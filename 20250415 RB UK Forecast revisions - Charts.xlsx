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8F4258E5-6A54-47ED-9B1C-1072A261786B}" xr6:coauthVersionLast="47" xr6:coauthVersionMax="47" xr10:uidLastSave="{00000000-0000-0000-0000-000000000000}"/>
  <bookViews>
    <workbookView xWindow="-120" yWindow="-120" windowWidth="29040" windowHeight="15840" activeTab="3" xr2:uid="{E481E607-2420-4F86-8E3C-B68B6116789A}"/>
  </bookViews>
  <sheets>
    <sheet name="&gt;&gt; CHARTS" sheetId="25" r:id="rId1"/>
    <sheet name="Chart - GDP (£bn)" sheetId="14" r:id="rId2"/>
    <sheet name="Chart - IPNR (£bn)" sheetId="23" r:id="rId3"/>
    <sheet name="Chart - CPI" sheetId="18" r:id="rId4"/>
    <sheet name="&gt;&gt; DATA" sheetId="26" r:id="rId5"/>
    <sheet name="Chart Data" sheetId="7" r:id="rId6"/>
    <sheet name="Annual Data" sheetId="17" r:id="rId7"/>
    <sheet name="Quarterly Data" sheetId="6" r:id="rId8"/>
    <sheet name="GMW" sheetId="2" r:id="rId9"/>
    <sheet name="&gt;&gt; NOT USED" sheetId="27" r:id="rId10"/>
    <sheet name="Chart - GDP (index)" sheetId="9" r:id="rId11"/>
    <sheet name="Chart - XGNF (£bn)" sheetId="15" r:id="rId12"/>
    <sheet name="Chart - XGNF (index)" sheetId="8" r:id="rId13"/>
    <sheet name="Chart - IPNR" sheetId="10" r:id="rId14"/>
    <sheet name="Chart - IF" sheetId="12" r:id="rId15"/>
  </sheets>
  <externalReferences>
    <externalReference r:id="rId16"/>
    <externalReference r:id="rId17"/>
  </externalReferences>
  <definedNames>
    <definedName name="A">#REF!</definedName>
    <definedName name="ag" hidden="1">{#N/A,#N/A,FALSE,"CGBR95C"}</definedName>
    <definedName name="b" hidden="1">{#N/A,#N/A,FALSE,"CGBR95C"}</definedName>
    <definedName name="Data">[1]sheet0!$C$2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dfg" localSheetId="7" hidden="1">{#N/A,#N/A,FALSE,"CGBR95C"}</definedName>
    <definedName name="dfgdfg" hidden="1">{#N/A,#N/A,FALSE,"CGBR95C"}</definedName>
    <definedName name="fffffffff" hidden="1">{#N/A,#N/A,FALSE,"CGBR95C"}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mine" hidden="1">{#N/A,#N/A,FALSE,"CGBR95C"}</definedName>
    <definedName name="S">{#N/A,#N/A,FALSE,"CGBR95C"}</definedName>
    <definedName name="SpreadsheetBuilder_1" hidden="1">'[2]BBG services'!$A$1:$E$7</definedName>
    <definedName name="w" hidden="1">{#N/A,#N/A,FALSE,"CGBR95C"}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4" i="7"/>
  <c r="W5" i="7"/>
  <c r="AA5" i="7" s="1"/>
  <c r="W6" i="7"/>
  <c r="AA6" i="7" s="1"/>
  <c r="W7" i="7"/>
  <c r="AA7" i="7" s="1"/>
  <c r="W8" i="7"/>
  <c r="AA8" i="7" s="1"/>
  <c r="W9" i="7"/>
  <c r="AA9" i="7" s="1"/>
  <c r="W10" i="7"/>
  <c r="AA10" i="7" s="1"/>
  <c r="W11" i="7"/>
  <c r="AA11" i="7" s="1"/>
  <c r="W12" i="7"/>
  <c r="AA12" i="7" s="1"/>
  <c r="W13" i="7"/>
  <c r="AA13" i="7" s="1"/>
  <c r="W14" i="7"/>
  <c r="AA14" i="7" s="1"/>
  <c r="W15" i="7"/>
  <c r="AA15" i="7" s="1"/>
  <c r="W16" i="7"/>
  <c r="AA16" i="7" s="1"/>
  <c r="W17" i="7"/>
  <c r="AA17" i="7" s="1"/>
  <c r="W18" i="7"/>
  <c r="AA18" i="7" s="1"/>
  <c r="W19" i="7"/>
  <c r="AA19" i="7" s="1"/>
  <c r="W4" i="7"/>
  <c r="AA4" i="7" s="1"/>
  <c r="X5" i="7"/>
  <c r="X6" i="7"/>
  <c r="Z6" i="7" s="1"/>
  <c r="X7" i="7"/>
  <c r="Z7" i="7" s="1"/>
  <c r="X8" i="7"/>
  <c r="X9" i="7"/>
  <c r="X10" i="7"/>
  <c r="X11" i="7"/>
  <c r="X12" i="7"/>
  <c r="X13" i="7"/>
  <c r="X14" i="7"/>
  <c r="Z14" i="7" s="1"/>
  <c r="X15" i="7"/>
  <c r="Z15" i="7" s="1"/>
  <c r="X16" i="7"/>
  <c r="X17" i="7"/>
  <c r="X18" i="7"/>
  <c r="X19" i="7"/>
  <c r="X4" i="7"/>
  <c r="Z9" i="7"/>
  <c r="Z12" i="7" l="1"/>
  <c r="Z16" i="7"/>
  <c r="Z8" i="7"/>
  <c r="Z19" i="7"/>
  <c r="Z11" i="7"/>
  <c r="Z18" i="7"/>
  <c r="Z10" i="7"/>
  <c r="Z13" i="7"/>
  <c r="Z17" i="7"/>
  <c r="Z5" i="7"/>
  <c r="Z4" i="7"/>
  <c r="AJ1" i="6" l="1"/>
  <c r="AK1" i="6"/>
  <c r="AL1" i="6"/>
  <c r="AM1" i="6"/>
  <c r="AN1" i="6"/>
  <c r="AO1" i="6"/>
  <c r="AP1" i="6"/>
  <c r="AQ1" i="6"/>
  <c r="AQ50" i="6" s="1" a="1"/>
  <c r="AQ50" i="6" s="1"/>
  <c r="AR1" i="6"/>
  <c r="AS1" i="6"/>
  <c r="AT1" i="6"/>
  <c r="AU1" i="6"/>
  <c r="AV1" i="6"/>
  <c r="AI1" i="6"/>
  <c r="AH358" i="6" a="1"/>
  <c r="AH358" i="6" s="1"/>
  <c r="AH357" i="6" a="1"/>
  <c r="AH357" i="6" s="1"/>
  <c r="AH356" i="6" a="1"/>
  <c r="AH356" i="6" s="1"/>
  <c r="AH355" i="6" a="1"/>
  <c r="AH355" i="6" s="1"/>
  <c r="AH354" i="6" a="1"/>
  <c r="AH354" i="6" s="1"/>
  <c r="AH353" i="6" a="1"/>
  <c r="AH353" i="6" s="1"/>
  <c r="AH352" i="6" a="1"/>
  <c r="AH352" i="6" s="1"/>
  <c r="AH351" i="6" a="1"/>
  <c r="AH351" i="6" s="1"/>
  <c r="AH350" i="6" a="1"/>
  <c r="AH350" i="6" s="1"/>
  <c r="AH349" i="6" a="1"/>
  <c r="AH349" i="6" s="1"/>
  <c r="AH348" i="6" a="1"/>
  <c r="AH348" i="6" s="1"/>
  <c r="AH347" i="6" a="1"/>
  <c r="AH347" i="6" s="1"/>
  <c r="AH346" i="6" a="1"/>
  <c r="AH346" i="6" s="1"/>
  <c r="AH345" i="6" a="1"/>
  <c r="AH345" i="6" s="1"/>
  <c r="AH344" i="6" a="1"/>
  <c r="AH344" i="6" s="1"/>
  <c r="AH343" i="6" a="1"/>
  <c r="AH343" i="6" s="1"/>
  <c r="AH342" i="6" a="1"/>
  <c r="AH342" i="6" s="1"/>
  <c r="AH341" i="6" a="1"/>
  <c r="AH341" i="6" s="1"/>
  <c r="AH340" i="6" a="1"/>
  <c r="AH340" i="6" s="1"/>
  <c r="AH339" i="6" a="1"/>
  <c r="AH339" i="6" s="1"/>
  <c r="AH338" i="6" a="1"/>
  <c r="AH338" i="6" s="1"/>
  <c r="AH337" i="6" a="1"/>
  <c r="AH337" i="6" s="1"/>
  <c r="AH336" i="6" a="1"/>
  <c r="AH336" i="6" s="1"/>
  <c r="AH335" i="6" a="1"/>
  <c r="AH335" i="6" s="1"/>
  <c r="AH334" i="6" a="1"/>
  <c r="AH334" i="6" s="1"/>
  <c r="AH333" i="6" a="1"/>
  <c r="AH333" i="6" s="1"/>
  <c r="AH332" i="6" a="1"/>
  <c r="AH332" i="6" s="1"/>
  <c r="AH331" i="6" a="1"/>
  <c r="AH331" i="6" s="1"/>
  <c r="AH330" i="6" a="1"/>
  <c r="AH330" i="6" s="1"/>
  <c r="AH329" i="6" a="1"/>
  <c r="AH329" i="6" s="1"/>
  <c r="AH328" i="6" a="1"/>
  <c r="AH328" i="6" s="1"/>
  <c r="AH327" i="6" a="1"/>
  <c r="AH327" i="6" s="1"/>
  <c r="AH326" i="6" a="1"/>
  <c r="AH326" i="6" s="1"/>
  <c r="AH325" i="6" a="1"/>
  <c r="AH325" i="6" s="1"/>
  <c r="AH324" i="6" a="1"/>
  <c r="AH324" i="6" s="1"/>
  <c r="AH323" i="6" a="1"/>
  <c r="AH323" i="6" s="1"/>
  <c r="AH322" i="6" a="1"/>
  <c r="AH322" i="6" s="1"/>
  <c r="AH321" i="6" a="1"/>
  <c r="AH321" i="6" s="1"/>
  <c r="AH320" i="6" a="1"/>
  <c r="AH320" i="6" s="1"/>
  <c r="AH319" i="6" a="1"/>
  <c r="AH319" i="6" s="1"/>
  <c r="AH318" i="6" a="1"/>
  <c r="AH318" i="6" s="1"/>
  <c r="AH317" i="6" a="1"/>
  <c r="AH317" i="6" s="1"/>
  <c r="AH316" i="6"/>
  <c r="AH316" i="6" a="1"/>
  <c r="AH315" i="6" a="1"/>
  <c r="AH315" i="6" s="1"/>
  <c r="AH314" i="6" a="1"/>
  <c r="AH314" i="6" s="1"/>
  <c r="AH313" i="6" a="1"/>
  <c r="AH313" i="6" s="1"/>
  <c r="AH312" i="6" a="1"/>
  <c r="AH312" i="6" s="1"/>
  <c r="AH311" i="6" a="1"/>
  <c r="AH311" i="6" s="1"/>
  <c r="AH310" i="6" a="1"/>
  <c r="AH310" i="6" s="1"/>
  <c r="AH309" i="6" a="1"/>
  <c r="AH309" i="6" s="1"/>
  <c r="AH308" i="6" a="1"/>
  <c r="AH308" i="6" s="1"/>
  <c r="AH307" i="6" a="1"/>
  <c r="AH307" i="6" s="1"/>
  <c r="AH306" i="6" a="1"/>
  <c r="AH306" i="6" s="1"/>
  <c r="AH305" i="6" a="1"/>
  <c r="AH305" i="6" s="1"/>
  <c r="AH304" i="6" a="1"/>
  <c r="AH304" i="6" s="1"/>
  <c r="AH303" i="6" a="1"/>
  <c r="AH303" i="6" s="1"/>
  <c r="AH302" i="6" a="1"/>
  <c r="AH302" i="6" s="1"/>
  <c r="AH301" i="6" a="1"/>
  <c r="AH301" i="6" s="1"/>
  <c r="AH300" i="6" a="1"/>
  <c r="AH300" i="6" s="1"/>
  <c r="AH299" i="6" a="1"/>
  <c r="AH299" i="6" s="1"/>
  <c r="AH298" i="6" a="1"/>
  <c r="AH298" i="6" s="1"/>
  <c r="AH297" i="6" a="1"/>
  <c r="AH297" i="6" s="1"/>
  <c r="AH296" i="6" a="1"/>
  <c r="AH296" i="6" s="1"/>
  <c r="AH295" i="6" a="1"/>
  <c r="AH295" i="6" s="1"/>
  <c r="AH294" i="6" a="1"/>
  <c r="AH294" i="6" s="1"/>
  <c r="AH293" i="6" a="1"/>
  <c r="AH293" i="6" s="1"/>
  <c r="AH292" i="6" a="1"/>
  <c r="AH292" i="6" s="1"/>
  <c r="AH291" i="6" a="1"/>
  <c r="AH291" i="6" s="1"/>
  <c r="AH290" i="6" a="1"/>
  <c r="AH290" i="6" s="1"/>
  <c r="AH289" i="6" a="1"/>
  <c r="AH289" i="6" s="1"/>
  <c r="AH288" i="6" a="1"/>
  <c r="AH288" i="6" s="1"/>
  <c r="AH287" i="6" a="1"/>
  <c r="AH287" i="6" s="1"/>
  <c r="AH286" i="6" a="1"/>
  <c r="AH286" i="6" s="1"/>
  <c r="AH285" i="6" a="1"/>
  <c r="AH285" i="6" s="1"/>
  <c r="AH284" i="6" a="1"/>
  <c r="AH284" i="6" s="1"/>
  <c r="AH283" i="6" a="1"/>
  <c r="AH283" i="6" s="1"/>
  <c r="AH282" i="6" a="1"/>
  <c r="AH282" i="6" s="1"/>
  <c r="AH281" i="6" a="1"/>
  <c r="AH281" i="6" s="1"/>
  <c r="AH280" i="6" a="1"/>
  <c r="AH280" i="6" s="1"/>
  <c r="AH279" i="6" a="1"/>
  <c r="AH279" i="6" s="1"/>
  <c r="AH278" i="6" a="1"/>
  <c r="AH278" i="6" s="1"/>
  <c r="AH277" i="6" a="1"/>
  <c r="AH277" i="6" s="1"/>
  <c r="AH276" i="6" a="1"/>
  <c r="AH276" i="6" s="1"/>
  <c r="AH275" i="6" a="1"/>
  <c r="AH275" i="6" s="1"/>
  <c r="AH274" i="6" a="1"/>
  <c r="AH274" i="6" s="1"/>
  <c r="AH273" i="6" a="1"/>
  <c r="AH273" i="6" s="1"/>
  <c r="AH272" i="6" a="1"/>
  <c r="AH272" i="6" s="1"/>
  <c r="AH271" i="6" a="1"/>
  <c r="AH271" i="6" s="1"/>
  <c r="AH270" i="6" a="1"/>
  <c r="AH270" i="6" s="1"/>
  <c r="AH269" i="6" a="1"/>
  <c r="AH269" i="6" s="1"/>
  <c r="AH268" i="6" a="1"/>
  <c r="AH268" i="6" s="1"/>
  <c r="AH267" i="6" a="1"/>
  <c r="AH267" i="6" s="1"/>
  <c r="AH266" i="6" a="1"/>
  <c r="AH266" i="6" s="1"/>
  <c r="AH265" i="6" a="1"/>
  <c r="AH265" i="6" s="1"/>
  <c r="AH264" i="6" a="1"/>
  <c r="AH264" i="6" s="1"/>
  <c r="AH263" i="6" a="1"/>
  <c r="AH263" i="6" s="1"/>
  <c r="AH262" i="6" a="1"/>
  <c r="AH262" i="6" s="1"/>
  <c r="AH261" i="6" a="1"/>
  <c r="AH261" i="6" s="1"/>
  <c r="AH260" i="6" a="1"/>
  <c r="AH260" i="6" s="1"/>
  <c r="AH259" i="6" a="1"/>
  <c r="AH259" i="6" s="1"/>
  <c r="AH258" i="6" a="1"/>
  <c r="AH258" i="6" s="1"/>
  <c r="AH257" i="6" a="1"/>
  <c r="AH257" i="6" s="1"/>
  <c r="AH256" i="6" a="1"/>
  <c r="AH256" i="6" s="1"/>
  <c r="AH255" i="6" a="1"/>
  <c r="AH255" i="6" s="1"/>
  <c r="AH254" i="6" a="1"/>
  <c r="AH254" i="6" s="1"/>
  <c r="AH253" i="6" a="1"/>
  <c r="AH253" i="6" s="1"/>
  <c r="AH252" i="6" a="1"/>
  <c r="AH252" i="6" s="1"/>
  <c r="AH251" i="6" a="1"/>
  <c r="AH251" i="6" s="1"/>
  <c r="AH250" i="6" a="1"/>
  <c r="AH250" i="6" s="1"/>
  <c r="AH249" i="6" a="1"/>
  <c r="AH249" i="6" s="1"/>
  <c r="AH248" i="6" a="1"/>
  <c r="AH248" i="6" s="1"/>
  <c r="AH247" i="6" a="1"/>
  <c r="AH247" i="6" s="1"/>
  <c r="AH246" i="6" a="1"/>
  <c r="AH246" i="6" s="1"/>
  <c r="AH245" i="6"/>
  <c r="AH245" i="6" a="1"/>
  <c r="AH244" i="6" a="1"/>
  <c r="AH244" i="6" s="1"/>
  <c r="AH243" i="6" a="1"/>
  <c r="AH243" i="6" s="1"/>
  <c r="AH242" i="6" a="1"/>
  <c r="AH242" i="6" s="1"/>
  <c r="AH241" i="6" a="1"/>
  <c r="AH241" i="6" s="1"/>
  <c r="AH240" i="6" a="1"/>
  <c r="AH240" i="6" s="1"/>
  <c r="AH239" i="6" a="1"/>
  <c r="AH239" i="6" s="1"/>
  <c r="AH238" i="6" a="1"/>
  <c r="AH238" i="6" s="1"/>
  <c r="AH237" i="6"/>
  <c r="AH237" i="6" a="1"/>
  <c r="AH236" i="6" a="1"/>
  <c r="AH236" i="6" s="1"/>
  <c r="AH235" i="6"/>
  <c r="AH235" i="6" a="1"/>
  <c r="AH234" i="6" a="1"/>
  <c r="AH234" i="6" s="1"/>
  <c r="AH233" i="6" a="1"/>
  <c r="AH233" i="6" s="1"/>
  <c r="AH232" i="6" a="1"/>
  <c r="AH232" i="6" s="1"/>
  <c r="AH231" i="6" a="1"/>
  <c r="AH231" i="6" s="1"/>
  <c r="AH230" i="6" a="1"/>
  <c r="AH230" i="6" s="1"/>
  <c r="AH229" i="6"/>
  <c r="AH229" i="6" a="1"/>
  <c r="AH228" i="6" a="1"/>
  <c r="AH228" i="6" s="1"/>
  <c r="AH227" i="6" a="1"/>
  <c r="AH227" i="6" s="1"/>
  <c r="AH226" i="6" a="1"/>
  <c r="AH226" i="6" s="1"/>
  <c r="AH225" i="6" a="1"/>
  <c r="AH225" i="6" s="1"/>
  <c r="AH224" i="6" a="1"/>
  <c r="AH224" i="6" s="1"/>
  <c r="AH223" i="6" a="1"/>
  <c r="AH223" i="6" s="1"/>
  <c r="AH222" i="6" a="1"/>
  <c r="AH222" i="6" s="1"/>
  <c r="AH221" i="6" a="1"/>
  <c r="AH221" i="6" s="1"/>
  <c r="AH220" i="6" a="1"/>
  <c r="AH220" i="6" s="1"/>
  <c r="AH219" i="6" a="1"/>
  <c r="AH219" i="6" s="1"/>
  <c r="AH218" i="6" a="1"/>
  <c r="AH218" i="6" s="1"/>
  <c r="AH217" i="6" a="1"/>
  <c r="AH217" i="6" s="1"/>
  <c r="AH216" i="6" a="1"/>
  <c r="AH216" i="6" s="1"/>
  <c r="AH215" i="6" a="1"/>
  <c r="AH215" i="6" s="1"/>
  <c r="AH214" i="6" a="1"/>
  <c r="AH214" i="6" s="1"/>
  <c r="AH213" i="6" a="1"/>
  <c r="AH213" i="6" s="1"/>
  <c r="AH212" i="6" a="1"/>
  <c r="AH212" i="6" s="1"/>
  <c r="AH211" i="6" a="1"/>
  <c r="AH211" i="6" s="1"/>
  <c r="AH210" i="6" a="1"/>
  <c r="AH210" i="6" s="1"/>
  <c r="AH209" i="6" a="1"/>
  <c r="AH209" i="6" s="1"/>
  <c r="AH208" i="6" a="1"/>
  <c r="AH208" i="6" s="1"/>
  <c r="AH207" i="6" a="1"/>
  <c r="AH207" i="6" s="1"/>
  <c r="AH206" i="6" a="1"/>
  <c r="AH206" i="6" s="1"/>
  <c r="AH205" i="6" a="1"/>
  <c r="AH205" i="6" s="1"/>
  <c r="AH204" i="6" a="1"/>
  <c r="AH204" i="6" s="1"/>
  <c r="AH203" i="6" a="1"/>
  <c r="AH203" i="6" s="1"/>
  <c r="AH202" i="6" a="1"/>
  <c r="AH202" i="6" s="1"/>
  <c r="AH201" i="6" a="1"/>
  <c r="AH201" i="6" s="1"/>
  <c r="AH200" i="6" a="1"/>
  <c r="AH200" i="6" s="1"/>
  <c r="AH199" i="6" a="1"/>
  <c r="AH199" i="6" s="1"/>
  <c r="AH198" i="6" a="1"/>
  <c r="AH198" i="6" s="1"/>
  <c r="AH197" i="6" a="1"/>
  <c r="AH197" i="6" s="1"/>
  <c r="AH196" i="6" a="1"/>
  <c r="AH196" i="6" s="1"/>
  <c r="AH195" i="6" a="1"/>
  <c r="AH195" i="6" s="1"/>
  <c r="AH194" i="6" a="1"/>
  <c r="AH194" i="6" s="1"/>
  <c r="AH193" i="6" a="1"/>
  <c r="AH193" i="6" s="1"/>
  <c r="AH192" i="6" a="1"/>
  <c r="AH192" i="6" s="1"/>
  <c r="AH191" i="6" a="1"/>
  <c r="AH191" i="6" s="1"/>
  <c r="AH190" i="6" a="1"/>
  <c r="AH190" i="6" s="1"/>
  <c r="AH189" i="6" a="1"/>
  <c r="AH189" i="6" s="1"/>
  <c r="AH188" i="6" a="1"/>
  <c r="AH188" i="6" s="1"/>
  <c r="AH187" i="6" a="1"/>
  <c r="AH187" i="6" s="1"/>
  <c r="AH186" i="6" a="1"/>
  <c r="AH186" i="6" s="1"/>
  <c r="AH185" i="6" a="1"/>
  <c r="AH185" i="6" s="1"/>
  <c r="AH184" i="6" a="1"/>
  <c r="AH184" i="6" s="1"/>
  <c r="AH183" i="6" a="1"/>
  <c r="AH183" i="6" s="1"/>
  <c r="AH182" i="6" a="1"/>
  <c r="AH182" i="6" s="1"/>
  <c r="AH181" i="6" a="1"/>
  <c r="AH181" i="6" s="1"/>
  <c r="AH180" i="6" a="1"/>
  <c r="AH180" i="6" s="1"/>
  <c r="AH179" i="6" a="1"/>
  <c r="AH179" i="6" s="1"/>
  <c r="AH178" i="6" a="1"/>
  <c r="AH178" i="6" s="1"/>
  <c r="AH177" i="6" a="1"/>
  <c r="AH177" i="6" s="1"/>
  <c r="AH176" i="6" a="1"/>
  <c r="AH176" i="6" s="1"/>
  <c r="AH175" i="6" a="1"/>
  <c r="AH175" i="6" s="1"/>
  <c r="AH174" i="6" a="1"/>
  <c r="AH174" i="6" s="1"/>
  <c r="AH173" i="6" a="1"/>
  <c r="AH173" i="6" s="1"/>
  <c r="AH172" i="6" a="1"/>
  <c r="AH172" i="6" s="1"/>
  <c r="AH171" i="6" a="1"/>
  <c r="AH171" i="6" s="1"/>
  <c r="AH170" i="6" a="1"/>
  <c r="AH170" i="6" s="1"/>
  <c r="AH169" i="6" a="1"/>
  <c r="AH169" i="6" s="1"/>
  <c r="AH168" i="6" a="1"/>
  <c r="AH168" i="6" s="1"/>
  <c r="AH167" i="6" a="1"/>
  <c r="AH167" i="6" s="1"/>
  <c r="AH166" i="6" a="1"/>
  <c r="AH166" i="6" s="1"/>
  <c r="AH165" i="6" a="1"/>
  <c r="AH165" i="6" s="1"/>
  <c r="AH164" i="6" a="1"/>
  <c r="AH164" i="6" s="1"/>
  <c r="AH163" i="6" a="1"/>
  <c r="AH163" i="6" s="1"/>
  <c r="AH162" i="6" a="1"/>
  <c r="AH162" i="6" s="1"/>
  <c r="AH161" i="6" a="1"/>
  <c r="AH161" i="6" s="1"/>
  <c r="AH160" i="6" a="1"/>
  <c r="AH160" i="6" s="1"/>
  <c r="AH159" i="6" a="1"/>
  <c r="AH159" i="6" s="1"/>
  <c r="AH158" i="6" a="1"/>
  <c r="AH158" i="6" s="1"/>
  <c r="AH157" i="6" a="1"/>
  <c r="AH157" i="6" s="1"/>
  <c r="AH156" i="6" a="1"/>
  <c r="AH156" i="6" s="1"/>
  <c r="AH155" i="6" a="1"/>
  <c r="AH155" i="6" s="1"/>
  <c r="AH154" i="6" a="1"/>
  <c r="AH154" i="6" s="1"/>
  <c r="AH153" i="6" a="1"/>
  <c r="AH153" i="6" s="1"/>
  <c r="AH152" i="6" a="1"/>
  <c r="AH152" i="6" s="1"/>
  <c r="AH151" i="6"/>
  <c r="AH151" i="6" a="1"/>
  <c r="AH150" i="6" a="1"/>
  <c r="AH150" i="6" s="1"/>
  <c r="AH149" i="6" a="1"/>
  <c r="AH149" i="6" s="1"/>
  <c r="AH148" i="6" a="1"/>
  <c r="AH148" i="6" s="1"/>
  <c r="AH147" i="6" a="1"/>
  <c r="AH147" i="6" s="1"/>
  <c r="AH146" i="6" a="1"/>
  <c r="AH146" i="6" s="1"/>
  <c r="AH145" i="6" a="1"/>
  <c r="AH145" i="6" s="1"/>
  <c r="AH144" i="6" a="1"/>
  <c r="AH144" i="6" s="1"/>
  <c r="AH143" i="6" a="1"/>
  <c r="AH143" i="6" s="1"/>
  <c r="AH142" i="6" a="1"/>
  <c r="AH142" i="6" s="1"/>
  <c r="AH141" i="6" a="1"/>
  <c r="AH141" i="6" s="1"/>
  <c r="AH140" i="6" a="1"/>
  <c r="AH140" i="6" s="1"/>
  <c r="AH139" i="6" a="1"/>
  <c r="AH139" i="6" s="1"/>
  <c r="AH138" i="6" a="1"/>
  <c r="AH138" i="6" s="1"/>
  <c r="AH137" i="6" a="1"/>
  <c r="AH137" i="6" s="1"/>
  <c r="AH136" i="6" a="1"/>
  <c r="AH136" i="6" s="1"/>
  <c r="AH135" i="6" a="1"/>
  <c r="AH135" i="6" s="1"/>
  <c r="AH134" i="6" a="1"/>
  <c r="AH134" i="6" s="1"/>
  <c r="AH133" i="6" a="1"/>
  <c r="AH133" i="6" s="1"/>
  <c r="AH132" i="6" a="1"/>
  <c r="AH132" i="6" s="1"/>
  <c r="AH131" i="6" a="1"/>
  <c r="AH131" i="6" s="1"/>
  <c r="AH130" i="6" a="1"/>
  <c r="AH130" i="6" s="1"/>
  <c r="AH129" i="6" a="1"/>
  <c r="AH129" i="6" s="1"/>
  <c r="AH128" i="6" a="1"/>
  <c r="AH128" i="6" s="1"/>
  <c r="AH127" i="6" a="1"/>
  <c r="AH127" i="6" s="1"/>
  <c r="AH126" i="6" a="1"/>
  <c r="AH126" i="6" s="1"/>
  <c r="AH125" i="6" a="1"/>
  <c r="AH125" i="6" s="1"/>
  <c r="AH124" i="6" a="1"/>
  <c r="AH124" i="6" s="1"/>
  <c r="AH123" i="6" a="1"/>
  <c r="AH123" i="6" s="1"/>
  <c r="AH122" i="6" a="1"/>
  <c r="AH122" i="6" s="1"/>
  <c r="AH121" i="6" a="1"/>
  <c r="AH121" i="6" s="1"/>
  <c r="AH120" i="6" a="1"/>
  <c r="AH120" i="6" s="1"/>
  <c r="AH119" i="6" a="1"/>
  <c r="AH119" i="6" s="1"/>
  <c r="AH118" i="6" a="1"/>
  <c r="AH118" i="6" s="1"/>
  <c r="AH117" i="6" a="1"/>
  <c r="AH117" i="6" s="1"/>
  <c r="AH116" i="6" a="1"/>
  <c r="AH116" i="6" s="1"/>
  <c r="AH115" i="6" a="1"/>
  <c r="AH115" i="6" s="1"/>
  <c r="AH114" i="6" a="1"/>
  <c r="AH114" i="6" s="1"/>
  <c r="AH113" i="6" a="1"/>
  <c r="AH113" i="6" s="1"/>
  <c r="AH112" i="6" a="1"/>
  <c r="AH112" i="6" s="1"/>
  <c r="AH111" i="6" a="1"/>
  <c r="AH111" i="6" s="1"/>
  <c r="AH110" i="6" a="1"/>
  <c r="AH110" i="6" s="1"/>
  <c r="AH109" i="6" a="1"/>
  <c r="AH109" i="6" s="1"/>
  <c r="AH108" i="6" a="1"/>
  <c r="AH108" i="6" s="1"/>
  <c r="AH107" i="6" a="1"/>
  <c r="AH107" i="6" s="1"/>
  <c r="AH106" i="6" a="1"/>
  <c r="AH106" i="6" s="1"/>
  <c r="AH105" i="6" a="1"/>
  <c r="AH105" i="6" s="1"/>
  <c r="AH104" i="6" a="1"/>
  <c r="AH104" i="6" s="1"/>
  <c r="AH103" i="6" a="1"/>
  <c r="AH103" i="6" s="1"/>
  <c r="AH102" i="6" a="1"/>
  <c r="AH102" i="6" s="1"/>
  <c r="AH101" i="6" a="1"/>
  <c r="AH101" i="6" s="1"/>
  <c r="AH100" i="6" a="1"/>
  <c r="AH100" i="6" s="1"/>
  <c r="AH99" i="6" a="1"/>
  <c r="AH99" i="6" s="1"/>
  <c r="AH98" i="6" a="1"/>
  <c r="AH98" i="6" s="1"/>
  <c r="AH97" i="6" a="1"/>
  <c r="AH97" i="6" s="1"/>
  <c r="AH96" i="6" a="1"/>
  <c r="AH96" i="6" s="1"/>
  <c r="AH95" i="6" a="1"/>
  <c r="AH95" i="6" s="1"/>
  <c r="AH94" i="6" a="1"/>
  <c r="AH94" i="6" s="1"/>
  <c r="AH93" i="6" a="1"/>
  <c r="AH93" i="6" s="1"/>
  <c r="AH92" i="6" a="1"/>
  <c r="AH92" i="6" s="1"/>
  <c r="AH91" i="6" a="1"/>
  <c r="AH91" i="6" s="1"/>
  <c r="AH90" i="6" a="1"/>
  <c r="AH90" i="6" s="1"/>
  <c r="AH89" i="6" a="1"/>
  <c r="AH89" i="6" s="1"/>
  <c r="AH88" i="6" a="1"/>
  <c r="AH88" i="6" s="1"/>
  <c r="AH87" i="6" a="1"/>
  <c r="AH87" i="6" s="1"/>
  <c r="AH86" i="6" a="1"/>
  <c r="AH86" i="6" s="1"/>
  <c r="AH85" i="6" a="1"/>
  <c r="AH85" i="6" s="1"/>
  <c r="AH84" i="6" a="1"/>
  <c r="AH84" i="6" s="1"/>
  <c r="AH83" i="6" a="1"/>
  <c r="AH83" i="6" s="1"/>
  <c r="AH82" i="6" a="1"/>
  <c r="AH82" i="6" s="1"/>
  <c r="AH81" i="6" a="1"/>
  <c r="AH81" i="6" s="1"/>
  <c r="AH80" i="6" a="1"/>
  <c r="AH80" i="6" s="1"/>
  <c r="AH79" i="6" a="1"/>
  <c r="AH79" i="6" s="1"/>
  <c r="AH78" i="6" a="1"/>
  <c r="AH78" i="6" s="1"/>
  <c r="AH77" i="6" a="1"/>
  <c r="AH77" i="6" s="1"/>
  <c r="AH76" i="6" a="1"/>
  <c r="AH76" i="6" s="1"/>
  <c r="AH75" i="6" a="1"/>
  <c r="AH75" i="6" s="1"/>
  <c r="AH74" i="6" a="1"/>
  <c r="AH74" i="6" s="1"/>
  <c r="AH73" i="6"/>
  <c r="AH73" i="6" a="1"/>
  <c r="AH72" i="6" a="1"/>
  <c r="AH72" i="6" s="1"/>
  <c r="AJ71" i="6" a="1"/>
  <c r="AJ71" i="6" s="1"/>
  <c r="AH71" i="6" a="1"/>
  <c r="AH71" i="6" s="1"/>
  <c r="AH70" i="6" a="1"/>
  <c r="AH70" i="6" s="1"/>
  <c r="AV69" i="6" a="1"/>
  <c r="AV69" i="6" s="1"/>
  <c r="AH69" i="6" a="1"/>
  <c r="AH69" i="6" s="1"/>
  <c r="AN68" i="6" a="1"/>
  <c r="AN68" i="6" s="1"/>
  <c r="AH68" i="6" a="1"/>
  <c r="AH68" i="6" s="1"/>
  <c r="AH67" i="6" a="1"/>
  <c r="AH67" i="6" s="1"/>
  <c r="AH66" i="6" a="1"/>
  <c r="AH66" i="6" s="1"/>
  <c r="AR65" i="6" a="1"/>
  <c r="AR65" i="6" s="1"/>
  <c r="AM65" i="6" a="1"/>
  <c r="AM65" i="6" s="1"/>
  <c r="AH65" i="6"/>
  <c r="AH65" i="6" a="1"/>
  <c r="AR64" i="6" a="1"/>
  <c r="AR64" i="6" s="1"/>
  <c r="AJ64" i="6" a="1"/>
  <c r="AJ64" i="6" s="1"/>
  <c r="AH64" i="6" a="1"/>
  <c r="AH64" i="6" s="1"/>
  <c r="AJ63" i="6" a="1"/>
  <c r="AJ63" i="6" s="1"/>
  <c r="AH63" i="6" a="1"/>
  <c r="AH63" i="6" s="1"/>
  <c r="AR62" i="6" a="1"/>
  <c r="AR62" i="6" s="1"/>
  <c r="AH62" i="6" a="1"/>
  <c r="AH62" i="6" s="1"/>
  <c r="AV61" i="6" a="1"/>
  <c r="AV61" i="6" s="1"/>
  <c r="AN61" i="6" a="1"/>
  <c r="AN61" i="6" s="1"/>
  <c r="AH61" i="6" a="1"/>
  <c r="AH61" i="6" s="1"/>
  <c r="AN60" i="6" a="1"/>
  <c r="AN60" i="6" s="1"/>
  <c r="AH60" i="6" a="1"/>
  <c r="AH60" i="6" s="1"/>
  <c r="AV59" i="6" a="1"/>
  <c r="AV59" i="6" s="1"/>
  <c r="AN59" i="6" a="1"/>
  <c r="AN59" i="6" s="1"/>
  <c r="AH59" i="6" a="1"/>
  <c r="AH59" i="6" s="1"/>
  <c r="AV58" i="6" a="1"/>
  <c r="AV58" i="6" s="1"/>
  <c r="AN58" i="6" a="1"/>
  <c r="AN58" i="6" s="1"/>
  <c r="AL58" i="6" a="1"/>
  <c r="AL58" i="6" s="1"/>
  <c r="AH58" i="6" a="1"/>
  <c r="AH58" i="6" s="1"/>
  <c r="AR57" i="6" a="1"/>
  <c r="AR57" i="6" s="1"/>
  <c r="AJ57" i="6" a="1"/>
  <c r="AJ57" i="6" s="1"/>
  <c r="AH57" i="6" a="1"/>
  <c r="AH57" i="6" s="1"/>
  <c r="AR56" i="6" a="1"/>
  <c r="AR56" i="6" s="1"/>
  <c r="AL56" i="6" a="1"/>
  <c r="AL56" i="6" s="1"/>
  <c r="AJ56" i="6" a="1"/>
  <c r="AJ56" i="6" s="1"/>
  <c r="AH56" i="6" a="1"/>
  <c r="AH56" i="6" s="1"/>
  <c r="AS55" i="6" a="1"/>
  <c r="AS55" i="6" s="1"/>
  <c r="AR55" i="6" a="1"/>
  <c r="AR55" i="6" s="1"/>
  <c r="AJ55" i="6" a="1"/>
  <c r="AJ55" i="6" s="1"/>
  <c r="AH55" i="6" a="1"/>
  <c r="AH55" i="6" s="1"/>
  <c r="AR54" i="6" a="1"/>
  <c r="AR54" i="6" s="1"/>
  <c r="AP54" i="6" a="1"/>
  <c r="AP54" i="6" s="1"/>
  <c r="AJ54" i="6" a="1"/>
  <c r="AJ54" i="6" s="1"/>
  <c r="AH54" i="6" a="1"/>
  <c r="AH54" i="6" s="1"/>
  <c r="AV53" i="6" a="1"/>
  <c r="AV53" i="6" s="1"/>
  <c r="AR53" i="6" a="1"/>
  <c r="AR53" i="6" s="1"/>
  <c r="AN53" i="6" a="1"/>
  <c r="AN53" i="6" s="1"/>
  <c r="AH53" i="6" a="1"/>
  <c r="AH53" i="6" s="1"/>
  <c r="AV52" i="6" a="1"/>
  <c r="AV52" i="6" s="1"/>
  <c r="AN52" i="6" a="1"/>
  <c r="AN52" i="6" s="1"/>
  <c r="AJ52" i="6" a="1"/>
  <c r="AJ52" i="6" s="1"/>
  <c r="AH52" i="6" a="1"/>
  <c r="AH52" i="6" s="1"/>
  <c r="AV51" i="6" a="1"/>
  <c r="AV51" i="6" s="1"/>
  <c r="AN51" i="6" a="1"/>
  <c r="AN51" i="6" s="1"/>
  <c r="AH51" i="6" a="1"/>
  <c r="AH51" i="6" s="1"/>
  <c r="AV50" i="6" a="1"/>
  <c r="AV50" i="6" s="1"/>
  <c r="AN50" i="6" a="1"/>
  <c r="AN50" i="6" s="1"/>
  <c r="AH50" i="6" a="1"/>
  <c r="AH50" i="6" s="1"/>
  <c r="AR49" i="6" a="1"/>
  <c r="AR49" i="6" s="1"/>
  <c r="AN49" i="6" a="1"/>
  <c r="AN49" i="6" s="1"/>
  <c r="AJ49" i="6" a="1"/>
  <c r="AJ49" i="6" s="1"/>
  <c r="AH49" i="6" a="1"/>
  <c r="AH49" i="6" s="1"/>
  <c r="AS48" i="6" a="1"/>
  <c r="AS48" i="6" s="1"/>
  <c r="AR48" i="6" a="1"/>
  <c r="AR48" i="6" s="1"/>
  <c r="AK48" i="6" a="1"/>
  <c r="AK48" i="6" s="1"/>
  <c r="AJ48" i="6" a="1"/>
  <c r="AJ48" i="6" s="1"/>
  <c r="AH48" i="6" a="1"/>
  <c r="AH48" i="6" s="1"/>
  <c r="AR47" i="6" a="1"/>
  <c r="AR47" i="6" s="1"/>
  <c r="AN47" i="6" a="1"/>
  <c r="AN47" i="6" s="1"/>
  <c r="AJ47" i="6" a="1"/>
  <c r="AJ47" i="6" s="1"/>
  <c r="AH47" i="6" a="1"/>
  <c r="AH47" i="6" s="1"/>
  <c r="AV46" i="6" a="1"/>
  <c r="AV46" i="6" s="1"/>
  <c r="AR46" i="6" a="1"/>
  <c r="AR46" i="6" s="1"/>
  <c r="AJ46" i="6" a="1"/>
  <c r="AJ46" i="6" s="1"/>
  <c r="AH46" i="6" a="1"/>
  <c r="AH46" i="6" s="1"/>
  <c r="AV45" i="6" a="1"/>
  <c r="AV45" i="6" s="1"/>
  <c r="AR45" i="6" a="1"/>
  <c r="AR45" i="6" s="1"/>
  <c r="AQ45" i="6" a="1"/>
  <c r="AQ45" i="6" s="1"/>
  <c r="AN45" i="6" a="1"/>
  <c r="AN45" i="6" s="1"/>
  <c r="AJ45" i="6" a="1"/>
  <c r="AJ45" i="6" s="1"/>
  <c r="AH45" i="6" a="1"/>
  <c r="AH45" i="6" s="1"/>
  <c r="AV44" i="6" a="1"/>
  <c r="AV44" i="6" s="1"/>
  <c r="AU44" i="6" a="1"/>
  <c r="AU44" i="6" s="1"/>
  <c r="AR44" i="6" a="1"/>
  <c r="AR44" i="6" s="1"/>
  <c r="AP44" i="6" a="1"/>
  <c r="AP44" i="6" s="1"/>
  <c r="AN44" i="6" a="1"/>
  <c r="AN44" i="6" s="1"/>
  <c r="AJ44" i="6" a="1"/>
  <c r="AJ44" i="6" s="1"/>
  <c r="AH44" i="6" a="1"/>
  <c r="AH44" i="6" s="1"/>
  <c r="AV43" i="6" a="1"/>
  <c r="AV43" i="6" s="1"/>
  <c r="AT43" i="6" a="1"/>
  <c r="AT43" i="6" s="1"/>
  <c r="AR43" i="6" a="1"/>
  <c r="AR43" i="6" s="1"/>
  <c r="AO43" i="6" a="1"/>
  <c r="AO43" i="6" s="1"/>
  <c r="AN43" i="6" a="1"/>
  <c r="AN43" i="6" s="1"/>
  <c r="AJ43" i="6" a="1"/>
  <c r="AJ43" i="6" s="1"/>
  <c r="AH43" i="6" a="1"/>
  <c r="AH43" i="6" s="1"/>
  <c r="AV42" i="6" a="1"/>
  <c r="AV42" i="6" s="1"/>
  <c r="AS42" i="6" a="1"/>
  <c r="AS42" i="6" s="1"/>
  <c r="AR42" i="6" a="1"/>
  <c r="AR42" i="6" s="1"/>
  <c r="AN42" i="6" a="1"/>
  <c r="AN42" i="6" s="1"/>
  <c r="AJ42" i="6" a="1"/>
  <c r="AJ42" i="6" s="1"/>
  <c r="AH42" i="6" a="1"/>
  <c r="AH42" i="6" s="1"/>
  <c r="AV41" i="6" a="1"/>
  <c r="AV41" i="6" s="1"/>
  <c r="AR41" i="6" a="1"/>
  <c r="AR41" i="6" s="1"/>
  <c r="AN41" i="6" a="1"/>
  <c r="AN41" i="6" s="1"/>
  <c r="AM41" i="6" a="1"/>
  <c r="AM41" i="6" s="1"/>
  <c r="AJ41" i="6" a="1"/>
  <c r="AJ41" i="6" s="1"/>
  <c r="AH41" i="6" a="1"/>
  <c r="AH41" i="6" s="1"/>
  <c r="AV40" i="6" a="1"/>
  <c r="AV40" i="6" s="1"/>
  <c r="AR40" i="6" a="1"/>
  <c r="AR40" i="6" s="1"/>
  <c r="AN40" i="6" a="1"/>
  <c r="AN40" i="6" s="1"/>
  <c r="AL40" i="6" a="1"/>
  <c r="AL40" i="6" s="1"/>
  <c r="AJ40" i="6" a="1"/>
  <c r="AJ40" i="6" s="1"/>
  <c r="AH40" i="6" a="1"/>
  <c r="AH40" i="6" s="1"/>
  <c r="AV39" i="6" a="1"/>
  <c r="AV39" i="6" s="1"/>
  <c r="AR39" i="6" a="1"/>
  <c r="AR39" i="6" s="1"/>
  <c r="AP39" i="6" a="1"/>
  <c r="AP39" i="6" s="1"/>
  <c r="AN39" i="6" a="1"/>
  <c r="AN39" i="6" s="1"/>
  <c r="AK39" i="6" a="1"/>
  <c r="AK39" i="6" s="1"/>
  <c r="AJ39" i="6" a="1"/>
  <c r="AJ39" i="6" s="1"/>
  <c r="AH39" i="6" a="1"/>
  <c r="AH39" i="6" s="1"/>
  <c r="AV38" i="6" a="1"/>
  <c r="AV38" i="6" s="1"/>
  <c r="AR38" i="6" a="1"/>
  <c r="AR38" i="6" s="1"/>
  <c r="AO38" i="6" a="1"/>
  <c r="AO38" i="6" s="1"/>
  <c r="AN38" i="6"/>
  <c r="AN38" i="6" a="1"/>
  <c r="AJ38" i="6" a="1"/>
  <c r="AJ38" i="6" s="1"/>
  <c r="AH38" i="6" a="1"/>
  <c r="AH38" i="6" s="1"/>
  <c r="AV37" i="6" a="1"/>
  <c r="AV37" i="6" s="1"/>
  <c r="AR37" i="6" a="1"/>
  <c r="AR37" i="6" s="1"/>
  <c r="AN37" i="6" a="1"/>
  <c r="AN37" i="6" s="1"/>
  <c r="AJ37" i="6" a="1"/>
  <c r="AJ37" i="6" s="1"/>
  <c r="AI37" i="6" a="1"/>
  <c r="AI37" i="6" s="1"/>
  <c r="AH37" i="6" a="1"/>
  <c r="AH37" i="6" s="1"/>
  <c r="AV36" i="6" a="1"/>
  <c r="AV36" i="6" s="1"/>
  <c r="AR36" i="6"/>
  <c r="AR36" i="6" a="1"/>
  <c r="AN36" i="6" a="1"/>
  <c r="AN36" i="6" s="1"/>
  <c r="AM36" i="6" a="1"/>
  <c r="AM36" i="6" s="1"/>
  <c r="AJ36" i="6" a="1"/>
  <c r="AJ36" i="6" s="1"/>
  <c r="AH36" i="6" a="1"/>
  <c r="AH36" i="6" s="1"/>
  <c r="AV35" i="6" a="1"/>
  <c r="AV35" i="6" s="1"/>
  <c r="AR35" i="6" a="1"/>
  <c r="AR35" i="6" s="1"/>
  <c r="AN35" i="6" a="1"/>
  <c r="AN35" i="6" s="1"/>
  <c r="AL35" i="6" a="1"/>
  <c r="AL35" i="6" s="1"/>
  <c r="AJ35" i="6" a="1"/>
  <c r="AJ35" i="6" s="1"/>
  <c r="AH35" i="6" a="1"/>
  <c r="AH35" i="6" s="1"/>
  <c r="AV34" i="6" a="1"/>
  <c r="AV34" i="6" s="1"/>
  <c r="AR34" i="6" a="1"/>
  <c r="AR34" i="6" s="1"/>
  <c r="AN34" i="6" a="1"/>
  <c r="AN34" i="6" s="1"/>
  <c r="AK34" i="6" a="1"/>
  <c r="AK34" i="6" s="1"/>
  <c r="AJ34" i="6" a="1"/>
  <c r="AJ34" i="6" s="1"/>
  <c r="AH34" i="6"/>
  <c r="AH34" i="6" a="1"/>
  <c r="AV33" i="6" a="1"/>
  <c r="AV33" i="6" s="1"/>
  <c r="AU33" i="6" a="1"/>
  <c r="AU33" i="6" s="1"/>
  <c r="AR33" i="6" a="1"/>
  <c r="AR33" i="6" s="1"/>
  <c r="AN33" i="6" a="1"/>
  <c r="AN33" i="6" s="1"/>
  <c r="AJ33" i="6" a="1"/>
  <c r="AJ33" i="6" s="1"/>
  <c r="AH33" i="6" a="1"/>
  <c r="AH33" i="6" s="1"/>
  <c r="AV32" i="6" a="1"/>
  <c r="AV32" i="6" s="1"/>
  <c r="AT32" i="6" a="1"/>
  <c r="AT32" i="6" s="1"/>
  <c r="AR32" i="6" a="1"/>
  <c r="AR32" i="6" s="1"/>
  <c r="AN32" i="6" a="1"/>
  <c r="AN32" i="6" s="1"/>
  <c r="AJ32" i="6" a="1"/>
  <c r="AJ32" i="6" s="1"/>
  <c r="AI32" i="6" a="1"/>
  <c r="AI32" i="6" s="1"/>
  <c r="AH32" i="6" a="1"/>
  <c r="AH32" i="6" s="1"/>
  <c r="AV31" i="6" a="1"/>
  <c r="AV31" i="6" s="1"/>
  <c r="AS31" i="6" a="1"/>
  <c r="AS31" i="6" s="1"/>
  <c r="AR31" i="6" a="1"/>
  <c r="AR31" i="6" s="1"/>
  <c r="AN31" i="6" a="1"/>
  <c r="AN31" i="6" s="1"/>
  <c r="AJ31" i="6" a="1"/>
  <c r="AJ31" i="6" s="1"/>
  <c r="AH31" i="6" a="1"/>
  <c r="AH31" i="6" s="1"/>
  <c r="AV30" i="6"/>
  <c r="AV30" i="6" a="1"/>
  <c r="AR30" i="6" a="1"/>
  <c r="AR30" i="6" s="1"/>
  <c r="AN30" i="6" a="1"/>
  <c r="AN30" i="6" s="1"/>
  <c r="AJ30" i="6" a="1"/>
  <c r="AJ30" i="6" s="1"/>
  <c r="AH30" i="6" a="1"/>
  <c r="AH30" i="6" s="1"/>
  <c r="AV29" i="6" a="1"/>
  <c r="AV29" i="6" s="1"/>
  <c r="AR29" i="6" a="1"/>
  <c r="AR29" i="6" s="1"/>
  <c r="AN29" i="6" a="1"/>
  <c r="AN29" i="6" s="1"/>
  <c r="AJ29" i="6" a="1"/>
  <c r="AJ29" i="6" s="1"/>
  <c r="AH29" i="6" a="1"/>
  <c r="AH29" i="6" s="1"/>
  <c r="AV28" i="6" a="1"/>
  <c r="AV28" i="6" s="1"/>
  <c r="AU28" i="6" a="1"/>
  <c r="AU28" i="6" s="1"/>
  <c r="AR28" i="6" a="1"/>
  <c r="AR28" i="6" s="1"/>
  <c r="AP28" i="6" a="1"/>
  <c r="AP28" i="6" s="1"/>
  <c r="AN28" i="6" a="1"/>
  <c r="AN28" i="6" s="1"/>
  <c r="AJ28" i="6" a="1"/>
  <c r="AJ28" i="6" s="1"/>
  <c r="AH28" i="6" a="1"/>
  <c r="AH28" i="6" s="1"/>
  <c r="AV27" i="6" a="1"/>
  <c r="AV27" i="6" s="1"/>
  <c r="AT27" i="6" a="1"/>
  <c r="AT27" i="6" s="1"/>
  <c r="AR27" i="6" a="1"/>
  <c r="AR27" i="6" s="1"/>
  <c r="AO27" i="6" a="1"/>
  <c r="AO27" i="6" s="1"/>
  <c r="AN27" i="6" a="1"/>
  <c r="AN27" i="6" s="1"/>
  <c r="AJ27" i="6" a="1"/>
  <c r="AJ27" i="6" s="1"/>
  <c r="AH27" i="6" a="1"/>
  <c r="AH27" i="6" s="1"/>
  <c r="AV26" i="6" a="1"/>
  <c r="AV26" i="6" s="1"/>
  <c r="AS26" i="6" a="1"/>
  <c r="AS26" i="6" s="1"/>
  <c r="AR26" i="6" a="1"/>
  <c r="AR26" i="6" s="1"/>
  <c r="AN26" i="6" a="1"/>
  <c r="AN26" i="6" s="1"/>
  <c r="AJ26" i="6"/>
  <c r="AJ26" i="6" a="1"/>
  <c r="AH26" i="6" a="1"/>
  <c r="AH26" i="6" s="1"/>
  <c r="AV25" i="6" a="1"/>
  <c r="AV25" i="6" s="1"/>
  <c r="AR25" i="6" a="1"/>
  <c r="AR25" i="6" s="1"/>
  <c r="AN25" i="6" a="1"/>
  <c r="AN25" i="6" s="1"/>
  <c r="AM25" i="6" a="1"/>
  <c r="AM25" i="6" s="1"/>
  <c r="AJ25" i="6" a="1"/>
  <c r="AJ25" i="6" s="1"/>
  <c r="AH25" i="6" a="1"/>
  <c r="AH25" i="6" s="1"/>
  <c r="AV24" i="6" a="1"/>
  <c r="AV24" i="6" s="1"/>
  <c r="AR24" i="6" a="1"/>
  <c r="AR24" i="6" s="1"/>
  <c r="AN24" i="6" a="1"/>
  <c r="AN24" i="6" s="1"/>
  <c r="AL24" i="6" a="1"/>
  <c r="AL24" i="6" s="1"/>
  <c r="AJ24" i="6" a="1"/>
  <c r="AJ24" i="6" s="1"/>
  <c r="AH24" i="6" a="1"/>
  <c r="AH24" i="6" s="1"/>
  <c r="AV23" i="6" a="1"/>
  <c r="AV23" i="6" s="1"/>
  <c r="AR23" i="6" a="1"/>
  <c r="AR23" i="6" s="1"/>
  <c r="AP23" i="6" a="1"/>
  <c r="AP23" i="6" s="1"/>
  <c r="AN23" i="6" a="1"/>
  <c r="AN23" i="6" s="1"/>
  <c r="AK23" i="6" a="1"/>
  <c r="AK23" i="6" s="1"/>
  <c r="AJ23" i="6" a="1"/>
  <c r="AJ23" i="6" s="1"/>
  <c r="AH23" i="6" a="1"/>
  <c r="AH23" i="6" s="1"/>
  <c r="AV22" i="6" a="1"/>
  <c r="AV22" i="6" s="1"/>
  <c r="AR22" i="6" a="1"/>
  <c r="AR22" i="6" s="1"/>
  <c r="AO22" i="6" a="1"/>
  <c r="AO22" i="6" s="1"/>
  <c r="AN22" i="6" a="1"/>
  <c r="AN22" i="6" s="1"/>
  <c r="AJ22" i="6" a="1"/>
  <c r="AJ22" i="6" s="1"/>
  <c r="AH22" i="6" a="1"/>
  <c r="AH22" i="6" s="1"/>
  <c r="AV21" i="6" a="1"/>
  <c r="AV21" i="6" s="1"/>
  <c r="AR21" i="6" a="1"/>
  <c r="AR21" i="6" s="1"/>
  <c r="AN21" i="6" a="1"/>
  <c r="AN21" i="6" s="1"/>
  <c r="AJ21" i="6" a="1"/>
  <c r="AJ21" i="6" s="1"/>
  <c r="AI21" i="6" a="1"/>
  <c r="AI21" i="6" s="1"/>
  <c r="AH21" i="6" a="1"/>
  <c r="AH21" i="6" s="1"/>
  <c r="AV20" i="6" a="1"/>
  <c r="AV20" i="6" s="1"/>
  <c r="AR20" i="6" a="1"/>
  <c r="AR20" i="6" s="1"/>
  <c r="AN20" i="6" a="1"/>
  <c r="AN20" i="6" s="1"/>
  <c r="AM20" i="6" a="1"/>
  <c r="AM20" i="6" s="1"/>
  <c r="AJ20" i="6" a="1"/>
  <c r="AJ20" i="6" s="1"/>
  <c r="AH20" i="6" a="1"/>
  <c r="AH20" i="6" s="1"/>
  <c r="AV19" i="6" a="1"/>
  <c r="AV19" i="6" s="1"/>
  <c r="AR19" i="6" a="1"/>
  <c r="AR19" i="6" s="1"/>
  <c r="AN19" i="6" a="1"/>
  <c r="AN19" i="6" s="1"/>
  <c r="AL19" i="6" a="1"/>
  <c r="AL19" i="6" s="1"/>
  <c r="AJ19" i="6" a="1"/>
  <c r="AJ19" i="6" s="1"/>
  <c r="AH19" i="6" a="1"/>
  <c r="AH19" i="6" s="1"/>
  <c r="AV18" i="6" a="1"/>
  <c r="AV18" i="6" s="1"/>
  <c r="AR18" i="6" a="1"/>
  <c r="AR18" i="6" s="1"/>
  <c r="AN18" i="6" a="1"/>
  <c r="AN18" i="6" s="1"/>
  <c r="AK18" i="6" a="1"/>
  <c r="AK18" i="6" s="1"/>
  <c r="AJ18" i="6" a="1"/>
  <c r="AJ18" i="6" s="1"/>
  <c r="AH18" i="6" a="1"/>
  <c r="AH18" i="6" s="1"/>
  <c r="AV17" i="6" a="1"/>
  <c r="AV17" i="6" s="1"/>
  <c r="AU17" i="6" a="1"/>
  <c r="AU17" i="6" s="1"/>
  <c r="AR17" i="6" a="1"/>
  <c r="AR17" i="6" s="1"/>
  <c r="AN17" i="6" a="1"/>
  <c r="AN17" i="6" s="1"/>
  <c r="AJ17" i="6" a="1"/>
  <c r="AJ17" i="6" s="1"/>
  <c r="AH17" i="6" a="1"/>
  <c r="AH17" i="6" s="1"/>
  <c r="AV16" i="6" a="1"/>
  <c r="AV16" i="6" s="1"/>
  <c r="AT16" i="6" a="1"/>
  <c r="AT16" i="6" s="1"/>
  <c r="AR16" i="6" a="1"/>
  <c r="AR16" i="6" s="1"/>
  <c r="AN16" i="6"/>
  <c r="AN16" i="6" a="1"/>
  <c r="AJ16" i="6" a="1"/>
  <c r="AJ16" i="6" s="1"/>
  <c r="AI16" i="6" a="1"/>
  <c r="AI16" i="6" s="1"/>
  <c r="AH16" i="6" a="1"/>
  <c r="AH16" i="6" s="1"/>
  <c r="AV15" i="6" a="1"/>
  <c r="AV15" i="6" s="1"/>
  <c r="AS15" i="6" a="1"/>
  <c r="AS15" i="6" s="1"/>
  <c r="AR15" i="6" a="1"/>
  <c r="AR15" i="6" s="1"/>
  <c r="AN15" i="6" a="1"/>
  <c r="AN15" i="6" s="1"/>
  <c r="AJ15" i="6" a="1"/>
  <c r="AJ15" i="6" s="1"/>
  <c r="AI15" i="6" a="1"/>
  <c r="AI15" i="6" s="1"/>
  <c r="AH15" i="6" a="1"/>
  <c r="AH15" i="6" s="1"/>
  <c r="AV14" i="6" a="1"/>
  <c r="AV14" i="6" s="1"/>
  <c r="AR14" i="6" a="1"/>
  <c r="AR14" i="6" s="1"/>
  <c r="AN14" i="6" a="1"/>
  <c r="AN14" i="6" s="1"/>
  <c r="AJ14" i="6" a="1"/>
  <c r="AJ14" i="6" s="1"/>
  <c r="AH14" i="6" a="1"/>
  <c r="AH14" i="6" s="1"/>
  <c r="AV13" i="6" a="1"/>
  <c r="AV13" i="6" s="1"/>
  <c r="AR13" i="6" a="1"/>
  <c r="AR13" i="6" s="1"/>
  <c r="AN13" i="6" a="1"/>
  <c r="AN13" i="6" s="1"/>
  <c r="AL13" i="6" a="1"/>
  <c r="AL13" i="6" s="1"/>
  <c r="AJ13" i="6" a="1"/>
  <c r="AJ13" i="6" s="1"/>
  <c r="AH13" i="6" a="1"/>
  <c r="AH13" i="6" s="1"/>
  <c r="AV12" i="6" a="1"/>
  <c r="AV12" i="6" s="1"/>
  <c r="AU12" i="6" a="1"/>
  <c r="AU12" i="6" s="1"/>
  <c r="AR12" i="6" a="1"/>
  <c r="AR12" i="6" s="1"/>
  <c r="AP12" i="6" a="1"/>
  <c r="AP12" i="6" s="1"/>
  <c r="AN12" i="6" a="1"/>
  <c r="AN12" i="6" s="1"/>
  <c r="AJ12" i="6" a="1"/>
  <c r="AJ12" i="6" s="1"/>
  <c r="AH12" i="6" a="1"/>
  <c r="AH12" i="6" s="1"/>
  <c r="AV11" i="6" a="1"/>
  <c r="AV11" i="6" s="1"/>
  <c r="AU11" i="6" a="1"/>
  <c r="AU11" i="6" s="1"/>
  <c r="AT11" i="6" a="1"/>
  <c r="AT11" i="6" s="1"/>
  <c r="AR11" i="6" a="1"/>
  <c r="AR11" i="6" s="1"/>
  <c r="AO11" i="6" a="1"/>
  <c r="AO11" i="6" s="1"/>
  <c r="AN11" i="6" a="1"/>
  <c r="AN11" i="6" s="1"/>
  <c r="AJ11" i="6" a="1"/>
  <c r="AJ11" i="6" s="1"/>
  <c r="AH11" i="6" a="1"/>
  <c r="AH11" i="6" s="1"/>
  <c r="AV10" i="6" a="1"/>
  <c r="AV10" i="6" s="1"/>
  <c r="AT10" i="6" a="1"/>
  <c r="AT10" i="6" s="1"/>
  <c r="AS10" i="6" a="1"/>
  <c r="AS10" i="6" s="1"/>
  <c r="AR10" i="6" a="1"/>
  <c r="AR10" i="6" s="1"/>
  <c r="AN10" i="6" a="1"/>
  <c r="AN10" i="6" s="1"/>
  <c r="AJ10" i="6" a="1"/>
  <c r="AJ10" i="6" s="1"/>
  <c r="AI10" i="6" a="1"/>
  <c r="AI10" i="6" s="1"/>
  <c r="AH10" i="6"/>
  <c r="AH10" i="6" a="1"/>
  <c r="AV9" i="6" a="1"/>
  <c r="AV9" i="6" s="1"/>
  <c r="AR9" i="6" a="1"/>
  <c r="AR9" i="6" s="1"/>
  <c r="AN9" i="6" a="1"/>
  <c r="AN9" i="6" s="1"/>
  <c r="AM9" i="6" a="1"/>
  <c r="AM9" i="6" s="1"/>
  <c r="AJ9" i="6" a="1"/>
  <c r="AJ9" i="6" s="1"/>
  <c r="AH9" i="6" a="1"/>
  <c r="AH9" i="6" s="1"/>
  <c r="AV8" i="6"/>
  <c r="AV8" i="6" a="1"/>
  <c r="AR8" i="6" a="1"/>
  <c r="AR8" i="6" s="1"/>
  <c r="AN8" i="6" a="1"/>
  <c r="AN8" i="6" s="1"/>
  <c r="AL8" i="6" a="1"/>
  <c r="AL8" i="6" s="1"/>
  <c r="AJ8" i="6" a="1"/>
  <c r="AJ8" i="6" s="1"/>
  <c r="AH8" i="6" a="1"/>
  <c r="AH8" i="6" s="1"/>
  <c r="AV7" i="6" a="1"/>
  <c r="AV7" i="6" s="1"/>
  <c r="AR7" i="6" a="1"/>
  <c r="AR7" i="6" s="1"/>
  <c r="AP7" i="6" a="1"/>
  <c r="AP7" i="6" s="1"/>
  <c r="AN7" i="6" a="1"/>
  <c r="AN7" i="6" s="1"/>
  <c r="AK7" i="6" a="1"/>
  <c r="AK7" i="6" s="1"/>
  <c r="AJ7" i="6" a="1"/>
  <c r="AJ7" i="6" s="1"/>
  <c r="AI7" i="6" a="1"/>
  <c r="AI7" i="6" s="1"/>
  <c r="AH7" i="6" a="1"/>
  <c r="AH7" i="6" s="1"/>
  <c r="AV6" i="6" a="1"/>
  <c r="AV6" i="6" s="1"/>
  <c r="AU6" i="6" a="1"/>
  <c r="AU6" i="6" s="1"/>
  <c r="AR6" i="6" a="1"/>
  <c r="AR6" i="6" s="1"/>
  <c r="AP6" i="6" a="1"/>
  <c r="AP6" i="6" s="1"/>
  <c r="AO6" i="6" a="1"/>
  <c r="AO6" i="6" s="1"/>
  <c r="AN6" i="6" a="1"/>
  <c r="AN6" i="6" s="1"/>
  <c r="AL6" i="6" a="1"/>
  <c r="AL6" i="6" s="1"/>
  <c r="AJ6" i="6" a="1"/>
  <c r="AJ6" i="6" s="1"/>
  <c r="AH6" i="6" a="1"/>
  <c r="AH6" i="6" s="1"/>
  <c r="AV110" i="6" a="1"/>
  <c r="AV110" i="6" s="1"/>
  <c r="AU59" i="6" a="1"/>
  <c r="AU59" i="6" s="1"/>
  <c r="AT59" i="6" a="1"/>
  <c r="AT59" i="6" s="1"/>
  <c r="AS64" i="6" a="1"/>
  <c r="AS64" i="6" s="1"/>
  <c r="AR120" i="6" a="1"/>
  <c r="AR120" i="6" s="1"/>
  <c r="AP55" i="6" a="1"/>
  <c r="AP55" i="6" s="1"/>
  <c r="AO52" i="6" a="1"/>
  <c r="AO52" i="6" s="1"/>
  <c r="AN95" i="6" a="1"/>
  <c r="AN95" i="6" s="1"/>
  <c r="AM52" i="6" a="1"/>
  <c r="AM52" i="6" s="1"/>
  <c r="AL48" i="6" a="1"/>
  <c r="AL48" i="6" s="1"/>
  <c r="AK35" i="6" a="1"/>
  <c r="AK35" i="6" s="1"/>
  <c r="AJ94" i="6" a="1"/>
  <c r="AJ94" i="6" s="1"/>
  <c r="AI44" i="6" a="1"/>
  <c r="AI44" i="6" s="1"/>
  <c r="S358" i="6" a="1"/>
  <c r="S358" i="6" s="1"/>
  <c r="R358" i="6" a="1"/>
  <c r="R358" i="6" s="1"/>
  <c r="Q358" i="6" a="1"/>
  <c r="Q358" i="6" s="1"/>
  <c r="P358" i="6" a="1"/>
  <c r="P358" i="6" s="1"/>
  <c r="O358" i="6" a="1"/>
  <c r="O358" i="6" s="1"/>
  <c r="N358" i="6" a="1"/>
  <c r="N358" i="6" s="1"/>
  <c r="M358" i="6" a="1"/>
  <c r="M358" i="6" s="1"/>
  <c r="L358" i="6" a="1"/>
  <c r="L358" i="6" s="1"/>
  <c r="K358" i="6" a="1"/>
  <c r="K358" i="6" s="1"/>
  <c r="J358" i="6" a="1"/>
  <c r="J358" i="6" s="1"/>
  <c r="I358" i="6" a="1"/>
  <c r="I358" i="6" s="1"/>
  <c r="H358" i="6" a="1"/>
  <c r="H358" i="6" s="1"/>
  <c r="G358" i="6" a="1"/>
  <c r="G358" i="6" s="1"/>
  <c r="F358" i="6" a="1"/>
  <c r="F358" i="6" s="1"/>
  <c r="E358" i="6" a="1"/>
  <c r="E358" i="6" s="1"/>
  <c r="D358" i="6" a="1"/>
  <c r="D358" i="6" s="1"/>
  <c r="S357" i="6" a="1"/>
  <c r="S357" i="6" s="1"/>
  <c r="R357" i="6" a="1"/>
  <c r="R357" i="6" s="1"/>
  <c r="Q357" i="6" a="1"/>
  <c r="Q357" i="6" s="1"/>
  <c r="P357" i="6" a="1"/>
  <c r="P357" i="6" s="1"/>
  <c r="O357" i="6" a="1"/>
  <c r="O357" i="6" s="1"/>
  <c r="N357" i="6" a="1"/>
  <c r="N357" i="6" s="1"/>
  <c r="M357" i="6" a="1"/>
  <c r="M357" i="6" s="1"/>
  <c r="L357" i="6" a="1"/>
  <c r="L357" i="6" s="1"/>
  <c r="K357" i="6" a="1"/>
  <c r="K357" i="6" s="1"/>
  <c r="J357" i="6" a="1"/>
  <c r="J357" i="6" s="1"/>
  <c r="I357" i="6" a="1"/>
  <c r="I357" i="6" s="1"/>
  <c r="H357" i="6" a="1"/>
  <c r="H357" i="6" s="1"/>
  <c r="G357" i="6" a="1"/>
  <c r="G357" i="6" s="1"/>
  <c r="F357" i="6" a="1"/>
  <c r="F357" i="6" s="1"/>
  <c r="E357" i="6" a="1"/>
  <c r="E357" i="6" s="1"/>
  <c r="D357" i="6" a="1"/>
  <c r="D357" i="6" s="1"/>
  <c r="S356" i="6" a="1"/>
  <c r="S356" i="6" s="1"/>
  <c r="R356" i="6" a="1"/>
  <c r="R356" i="6" s="1"/>
  <c r="Q356" i="6" a="1"/>
  <c r="Q356" i="6" s="1"/>
  <c r="P356" i="6" a="1"/>
  <c r="P356" i="6" s="1"/>
  <c r="O356" i="6" a="1"/>
  <c r="O356" i="6" s="1"/>
  <c r="N356" i="6" a="1"/>
  <c r="N356" i="6" s="1"/>
  <c r="M356" i="6" a="1"/>
  <c r="M356" i="6" s="1"/>
  <c r="L356" i="6" a="1"/>
  <c r="L356" i="6" s="1"/>
  <c r="K356" i="6" a="1"/>
  <c r="K356" i="6" s="1"/>
  <c r="J356" i="6" a="1"/>
  <c r="J356" i="6" s="1"/>
  <c r="I356" i="6" a="1"/>
  <c r="I356" i="6" s="1"/>
  <c r="H356" i="6" a="1"/>
  <c r="H356" i="6" s="1"/>
  <c r="G356" i="6" a="1"/>
  <c r="G356" i="6" s="1"/>
  <c r="F356" i="6" a="1"/>
  <c r="F356" i="6" s="1"/>
  <c r="E356" i="6" a="1"/>
  <c r="E356" i="6" s="1"/>
  <c r="D356" i="6" a="1"/>
  <c r="D356" i="6" s="1"/>
  <c r="S355" i="6" a="1"/>
  <c r="S355" i="6" s="1"/>
  <c r="R355" i="6" a="1"/>
  <c r="R355" i="6" s="1"/>
  <c r="Q355" i="6" a="1"/>
  <c r="Q355" i="6" s="1"/>
  <c r="P355" i="6" a="1"/>
  <c r="P355" i="6" s="1"/>
  <c r="O355" i="6" a="1"/>
  <c r="O355" i="6" s="1"/>
  <c r="N355" i="6" a="1"/>
  <c r="N355" i="6" s="1"/>
  <c r="M355" i="6" a="1"/>
  <c r="M355" i="6" s="1"/>
  <c r="L355" i="6" a="1"/>
  <c r="L355" i="6" s="1"/>
  <c r="K355" i="6" a="1"/>
  <c r="K355" i="6" s="1"/>
  <c r="J355" i="6" a="1"/>
  <c r="J355" i="6" s="1"/>
  <c r="I355" i="6" a="1"/>
  <c r="I355" i="6" s="1"/>
  <c r="H355" i="6" a="1"/>
  <c r="H355" i="6" s="1"/>
  <c r="G355" i="6" a="1"/>
  <c r="G355" i="6" s="1"/>
  <c r="F355" i="6" a="1"/>
  <c r="F355" i="6" s="1"/>
  <c r="E355" i="6" a="1"/>
  <c r="E355" i="6" s="1"/>
  <c r="D355" i="6" a="1"/>
  <c r="D355" i="6" s="1"/>
  <c r="S354" i="6" a="1"/>
  <c r="S354" i="6" s="1"/>
  <c r="R354" i="6" a="1"/>
  <c r="R354" i="6" s="1"/>
  <c r="Q354" i="6" a="1"/>
  <c r="Q354" i="6" s="1"/>
  <c r="P354" i="6" a="1"/>
  <c r="P354" i="6" s="1"/>
  <c r="O354" i="6" a="1"/>
  <c r="O354" i="6" s="1"/>
  <c r="N354" i="6" a="1"/>
  <c r="N354" i="6" s="1"/>
  <c r="M354" i="6" a="1"/>
  <c r="M354" i="6" s="1"/>
  <c r="L354" i="6" a="1"/>
  <c r="L354" i="6" s="1"/>
  <c r="K354" i="6" a="1"/>
  <c r="K354" i="6" s="1"/>
  <c r="J354" i="6" a="1"/>
  <c r="J354" i="6" s="1"/>
  <c r="I354" i="6" a="1"/>
  <c r="I354" i="6" s="1"/>
  <c r="H354" i="6" a="1"/>
  <c r="H354" i="6" s="1"/>
  <c r="G354" i="6" a="1"/>
  <c r="G354" i="6" s="1"/>
  <c r="F354" i="6" a="1"/>
  <c r="F354" i="6" s="1"/>
  <c r="E354" i="6" a="1"/>
  <c r="E354" i="6" s="1"/>
  <c r="D354" i="6" a="1"/>
  <c r="D354" i="6" s="1"/>
  <c r="S353" i="6" a="1"/>
  <c r="S353" i="6" s="1"/>
  <c r="R353" i="6" a="1"/>
  <c r="R353" i="6" s="1"/>
  <c r="Q353" i="6" a="1"/>
  <c r="Q353" i="6" s="1"/>
  <c r="P353" i="6" a="1"/>
  <c r="P353" i="6" s="1"/>
  <c r="O353" i="6" a="1"/>
  <c r="O353" i="6" s="1"/>
  <c r="N353" i="6" a="1"/>
  <c r="N353" i="6" s="1"/>
  <c r="M353" i="6" a="1"/>
  <c r="M353" i="6" s="1"/>
  <c r="L353" i="6" a="1"/>
  <c r="L353" i="6" s="1"/>
  <c r="K353" i="6" a="1"/>
  <c r="K353" i="6" s="1"/>
  <c r="J353" i="6" a="1"/>
  <c r="J353" i="6" s="1"/>
  <c r="I353" i="6" a="1"/>
  <c r="I353" i="6" s="1"/>
  <c r="H353" i="6" a="1"/>
  <c r="H353" i="6" s="1"/>
  <c r="G353" i="6" a="1"/>
  <c r="G353" i="6" s="1"/>
  <c r="F353" i="6" a="1"/>
  <c r="F353" i="6" s="1"/>
  <c r="E353" i="6" a="1"/>
  <c r="E353" i="6" s="1"/>
  <c r="D353" i="6" a="1"/>
  <c r="D353" i="6" s="1"/>
  <c r="S352" i="6" a="1"/>
  <c r="S352" i="6" s="1"/>
  <c r="R352" i="6" a="1"/>
  <c r="R352" i="6" s="1"/>
  <c r="Q352" i="6" a="1"/>
  <c r="Q352" i="6" s="1"/>
  <c r="P352" i="6" a="1"/>
  <c r="P352" i="6" s="1"/>
  <c r="O352" i="6" a="1"/>
  <c r="O352" i="6" s="1"/>
  <c r="N352" i="6" a="1"/>
  <c r="N352" i="6" s="1"/>
  <c r="M352" i="6" a="1"/>
  <c r="M352" i="6" s="1"/>
  <c r="L352" i="6" a="1"/>
  <c r="L352" i="6" s="1"/>
  <c r="K352" i="6" a="1"/>
  <c r="K352" i="6" s="1"/>
  <c r="J352" i="6" a="1"/>
  <c r="J352" i="6" s="1"/>
  <c r="I352" i="6" a="1"/>
  <c r="I352" i="6" s="1"/>
  <c r="H352" i="6" a="1"/>
  <c r="H352" i="6" s="1"/>
  <c r="G352" i="6" a="1"/>
  <c r="G352" i="6" s="1"/>
  <c r="F352" i="6" a="1"/>
  <c r="F352" i="6" s="1"/>
  <c r="E352" i="6" a="1"/>
  <c r="E352" i="6" s="1"/>
  <c r="D352" i="6" a="1"/>
  <c r="D352" i="6" s="1"/>
  <c r="S351" i="6" a="1"/>
  <c r="S351" i="6" s="1"/>
  <c r="R351" i="6" a="1"/>
  <c r="R351" i="6" s="1"/>
  <c r="Q351" i="6" a="1"/>
  <c r="Q351" i="6" s="1"/>
  <c r="P351" i="6" a="1"/>
  <c r="P351" i="6" s="1"/>
  <c r="O351" i="6" a="1"/>
  <c r="O351" i="6" s="1"/>
  <c r="N351" i="6" a="1"/>
  <c r="N351" i="6" s="1"/>
  <c r="M351" i="6" a="1"/>
  <c r="M351" i="6" s="1"/>
  <c r="L351" i="6" a="1"/>
  <c r="L351" i="6" s="1"/>
  <c r="K351" i="6" a="1"/>
  <c r="K351" i="6" s="1"/>
  <c r="J351" i="6" a="1"/>
  <c r="J351" i="6" s="1"/>
  <c r="I351" i="6" a="1"/>
  <c r="I351" i="6" s="1"/>
  <c r="H351" i="6" a="1"/>
  <c r="H351" i="6" s="1"/>
  <c r="G351" i="6" a="1"/>
  <c r="G351" i="6" s="1"/>
  <c r="F351" i="6" a="1"/>
  <c r="F351" i="6" s="1"/>
  <c r="E351" i="6" a="1"/>
  <c r="E351" i="6" s="1"/>
  <c r="D351" i="6" a="1"/>
  <c r="D351" i="6" s="1"/>
  <c r="S350" i="6" a="1"/>
  <c r="S350" i="6" s="1"/>
  <c r="R350" i="6" a="1"/>
  <c r="R350" i="6" s="1"/>
  <c r="Q350" i="6" a="1"/>
  <c r="Q350" i="6" s="1"/>
  <c r="P350" i="6" a="1"/>
  <c r="P350" i="6" s="1"/>
  <c r="O350" i="6" a="1"/>
  <c r="O350" i="6" s="1"/>
  <c r="N350" i="6" a="1"/>
  <c r="N350" i="6" s="1"/>
  <c r="M350" i="6" a="1"/>
  <c r="M350" i="6" s="1"/>
  <c r="L350" i="6" a="1"/>
  <c r="L350" i="6" s="1"/>
  <c r="K350" i="6" a="1"/>
  <c r="K350" i="6" s="1"/>
  <c r="J350" i="6" a="1"/>
  <c r="J350" i="6" s="1"/>
  <c r="I350" i="6" a="1"/>
  <c r="I350" i="6" s="1"/>
  <c r="H350" i="6" a="1"/>
  <c r="H350" i="6" s="1"/>
  <c r="G350" i="6" a="1"/>
  <c r="G350" i="6" s="1"/>
  <c r="F350" i="6" a="1"/>
  <c r="F350" i="6" s="1"/>
  <c r="E350" i="6" a="1"/>
  <c r="E350" i="6" s="1"/>
  <c r="D350" i="6" a="1"/>
  <c r="D350" i="6" s="1"/>
  <c r="S349" i="6" a="1"/>
  <c r="S349" i="6" s="1"/>
  <c r="R349" i="6" a="1"/>
  <c r="R349" i="6" s="1"/>
  <c r="Q349" i="6" a="1"/>
  <c r="Q349" i="6" s="1"/>
  <c r="P349" i="6" a="1"/>
  <c r="P349" i="6" s="1"/>
  <c r="O349" i="6" a="1"/>
  <c r="O349" i="6" s="1"/>
  <c r="N349" i="6" a="1"/>
  <c r="N349" i="6" s="1"/>
  <c r="M349" i="6" a="1"/>
  <c r="M349" i="6" s="1"/>
  <c r="L349" i="6" a="1"/>
  <c r="L349" i="6" s="1"/>
  <c r="K349" i="6" a="1"/>
  <c r="K349" i="6" s="1"/>
  <c r="J349" i="6" a="1"/>
  <c r="J349" i="6" s="1"/>
  <c r="I349" i="6" a="1"/>
  <c r="I349" i="6" s="1"/>
  <c r="H349" i="6" a="1"/>
  <c r="H349" i="6" s="1"/>
  <c r="G349" i="6" a="1"/>
  <c r="G349" i="6" s="1"/>
  <c r="F349" i="6" a="1"/>
  <c r="F349" i="6" s="1"/>
  <c r="E349" i="6" a="1"/>
  <c r="E349" i="6" s="1"/>
  <c r="D349" i="6" a="1"/>
  <c r="D349" i="6" s="1"/>
  <c r="S348" i="6" a="1"/>
  <c r="S348" i="6" s="1"/>
  <c r="R348" i="6" a="1"/>
  <c r="R348" i="6" s="1"/>
  <c r="Q348" i="6" a="1"/>
  <c r="Q348" i="6" s="1"/>
  <c r="P348" i="6" a="1"/>
  <c r="P348" i="6" s="1"/>
  <c r="O348" i="6" a="1"/>
  <c r="O348" i="6" s="1"/>
  <c r="N348" i="6" a="1"/>
  <c r="N348" i="6" s="1"/>
  <c r="M348" i="6" a="1"/>
  <c r="M348" i="6" s="1"/>
  <c r="L348" i="6" a="1"/>
  <c r="L348" i="6" s="1"/>
  <c r="K348" i="6" a="1"/>
  <c r="K348" i="6" s="1"/>
  <c r="J348" i="6" a="1"/>
  <c r="J348" i="6" s="1"/>
  <c r="I348" i="6" a="1"/>
  <c r="I348" i="6" s="1"/>
  <c r="H348" i="6" a="1"/>
  <c r="H348" i="6" s="1"/>
  <c r="G348" i="6" a="1"/>
  <c r="G348" i="6" s="1"/>
  <c r="F348" i="6" a="1"/>
  <c r="F348" i="6" s="1"/>
  <c r="E348" i="6" a="1"/>
  <c r="E348" i="6" s="1"/>
  <c r="D348" i="6" a="1"/>
  <c r="D348" i="6" s="1"/>
  <c r="S347" i="6" a="1"/>
  <c r="S347" i="6" s="1"/>
  <c r="R347" i="6" a="1"/>
  <c r="R347" i="6" s="1"/>
  <c r="Q347" i="6" a="1"/>
  <c r="Q347" i="6" s="1"/>
  <c r="P347" i="6" a="1"/>
  <c r="P347" i="6" s="1"/>
  <c r="O347" i="6" a="1"/>
  <c r="O347" i="6" s="1"/>
  <c r="N347" i="6" a="1"/>
  <c r="N347" i="6" s="1"/>
  <c r="M347" i="6" a="1"/>
  <c r="M347" i="6" s="1"/>
  <c r="L347" i="6" a="1"/>
  <c r="L347" i="6" s="1"/>
  <c r="K347" i="6" a="1"/>
  <c r="K347" i="6" s="1"/>
  <c r="J347" i="6" a="1"/>
  <c r="J347" i="6" s="1"/>
  <c r="I347" i="6" a="1"/>
  <c r="I347" i="6" s="1"/>
  <c r="H347" i="6"/>
  <c r="H347" i="6" a="1"/>
  <c r="G347" i="6" a="1"/>
  <c r="G347" i="6" s="1"/>
  <c r="F347" i="6" a="1"/>
  <c r="F347" i="6" s="1"/>
  <c r="E347" i="6" a="1"/>
  <c r="E347" i="6" s="1"/>
  <c r="D347" i="6" a="1"/>
  <c r="D347" i="6" s="1"/>
  <c r="S346" i="6" a="1"/>
  <c r="S346" i="6" s="1"/>
  <c r="R346" i="6" a="1"/>
  <c r="R346" i="6" s="1"/>
  <c r="Q346" i="6" a="1"/>
  <c r="Q346" i="6" s="1"/>
  <c r="P346" i="6" a="1"/>
  <c r="P346" i="6" s="1"/>
  <c r="O346" i="6" a="1"/>
  <c r="O346" i="6" s="1"/>
  <c r="N346" i="6" a="1"/>
  <c r="N346" i="6" s="1"/>
  <c r="M346" i="6" a="1"/>
  <c r="M346" i="6" s="1"/>
  <c r="L346" i="6" a="1"/>
  <c r="L346" i="6" s="1"/>
  <c r="K346" i="6" a="1"/>
  <c r="K346" i="6" s="1"/>
  <c r="J346" i="6" a="1"/>
  <c r="J346" i="6" s="1"/>
  <c r="I346" i="6" a="1"/>
  <c r="I346" i="6" s="1"/>
  <c r="H346" i="6" a="1"/>
  <c r="H346" i="6" s="1"/>
  <c r="G346" i="6" a="1"/>
  <c r="G346" i="6" s="1"/>
  <c r="F346" i="6" a="1"/>
  <c r="F346" i="6" s="1"/>
  <c r="E346" i="6" a="1"/>
  <c r="E346" i="6" s="1"/>
  <c r="D346" i="6" a="1"/>
  <c r="D346" i="6" s="1"/>
  <c r="S345" i="6" a="1"/>
  <c r="S345" i="6" s="1"/>
  <c r="R345" i="6" a="1"/>
  <c r="R345" i="6" s="1"/>
  <c r="Q345" i="6" a="1"/>
  <c r="Q345" i="6" s="1"/>
  <c r="P345" i="6" a="1"/>
  <c r="P345" i="6" s="1"/>
  <c r="O345" i="6" a="1"/>
  <c r="O345" i="6" s="1"/>
  <c r="N345" i="6" a="1"/>
  <c r="N345" i="6" s="1"/>
  <c r="M345" i="6" a="1"/>
  <c r="M345" i="6" s="1"/>
  <c r="L345" i="6" a="1"/>
  <c r="L345" i="6" s="1"/>
  <c r="K345" i="6" a="1"/>
  <c r="K345" i="6" s="1"/>
  <c r="J345" i="6" a="1"/>
  <c r="J345" i="6" s="1"/>
  <c r="I345" i="6" a="1"/>
  <c r="I345" i="6" s="1"/>
  <c r="H345" i="6" a="1"/>
  <c r="H345" i="6" s="1"/>
  <c r="G345" i="6" a="1"/>
  <c r="G345" i="6" s="1"/>
  <c r="F345" i="6" a="1"/>
  <c r="F345" i="6" s="1"/>
  <c r="E345" i="6" a="1"/>
  <c r="E345" i="6" s="1"/>
  <c r="D345" i="6" a="1"/>
  <c r="D345" i="6" s="1"/>
  <c r="S344" i="6" a="1"/>
  <c r="S344" i="6" s="1"/>
  <c r="R344" i="6" a="1"/>
  <c r="R344" i="6" s="1"/>
  <c r="Q344" i="6" a="1"/>
  <c r="Q344" i="6" s="1"/>
  <c r="P344" i="6" a="1"/>
  <c r="P344" i="6" s="1"/>
  <c r="O344" i="6" a="1"/>
  <c r="O344" i="6" s="1"/>
  <c r="N344" i="6" a="1"/>
  <c r="N344" i="6" s="1"/>
  <c r="M344" i="6" a="1"/>
  <c r="M344" i="6" s="1"/>
  <c r="L344" i="6" a="1"/>
  <c r="L344" i="6" s="1"/>
  <c r="K344" i="6" a="1"/>
  <c r="K344" i="6" s="1"/>
  <c r="J344" i="6" a="1"/>
  <c r="J344" i="6" s="1"/>
  <c r="I344" i="6" a="1"/>
  <c r="I344" i="6" s="1"/>
  <c r="H344" i="6" a="1"/>
  <c r="H344" i="6" s="1"/>
  <c r="G344" i="6" a="1"/>
  <c r="G344" i="6" s="1"/>
  <c r="F344" i="6" a="1"/>
  <c r="F344" i="6" s="1"/>
  <c r="E344" i="6" a="1"/>
  <c r="E344" i="6" s="1"/>
  <c r="D344" i="6" a="1"/>
  <c r="D344" i="6" s="1"/>
  <c r="S343" i="6" a="1"/>
  <c r="S343" i="6" s="1"/>
  <c r="R343" i="6" a="1"/>
  <c r="R343" i="6" s="1"/>
  <c r="Q343" i="6" a="1"/>
  <c r="Q343" i="6" s="1"/>
  <c r="P343" i="6" a="1"/>
  <c r="P343" i="6" s="1"/>
  <c r="O343" i="6" a="1"/>
  <c r="O343" i="6" s="1"/>
  <c r="N343" i="6" a="1"/>
  <c r="N343" i="6" s="1"/>
  <c r="M343" i="6" a="1"/>
  <c r="M343" i="6" s="1"/>
  <c r="L343" i="6" a="1"/>
  <c r="L343" i="6" s="1"/>
  <c r="K343" i="6" a="1"/>
  <c r="K343" i="6" s="1"/>
  <c r="J343" i="6" a="1"/>
  <c r="J343" i="6" s="1"/>
  <c r="I343" i="6" a="1"/>
  <c r="I343" i="6" s="1"/>
  <c r="H343" i="6" a="1"/>
  <c r="H343" i="6" s="1"/>
  <c r="G343" i="6" a="1"/>
  <c r="G343" i="6" s="1"/>
  <c r="F343" i="6" a="1"/>
  <c r="F343" i="6" s="1"/>
  <c r="E343" i="6" a="1"/>
  <c r="E343" i="6" s="1"/>
  <c r="D343" i="6" a="1"/>
  <c r="D343" i="6" s="1"/>
  <c r="S342" i="6" a="1"/>
  <c r="S342" i="6" s="1"/>
  <c r="R342" i="6" a="1"/>
  <c r="R342" i="6" s="1"/>
  <c r="Q342" i="6" a="1"/>
  <c r="Q342" i="6" s="1"/>
  <c r="P342" i="6" a="1"/>
  <c r="P342" i="6" s="1"/>
  <c r="O342" i="6" a="1"/>
  <c r="O342" i="6" s="1"/>
  <c r="N342" i="6" a="1"/>
  <c r="N342" i="6" s="1"/>
  <c r="M342" i="6" a="1"/>
  <c r="M342" i="6" s="1"/>
  <c r="L342" i="6" a="1"/>
  <c r="L342" i="6" s="1"/>
  <c r="K342" i="6" a="1"/>
  <c r="K342" i="6" s="1"/>
  <c r="J342" i="6" a="1"/>
  <c r="J342" i="6" s="1"/>
  <c r="I342" i="6" a="1"/>
  <c r="I342" i="6" s="1"/>
  <c r="H342" i="6" a="1"/>
  <c r="H342" i="6" s="1"/>
  <c r="G342" i="6" a="1"/>
  <c r="G342" i="6" s="1"/>
  <c r="F342" i="6" a="1"/>
  <c r="F342" i="6" s="1"/>
  <c r="E342" i="6" a="1"/>
  <c r="E342" i="6" s="1"/>
  <c r="D342" i="6" a="1"/>
  <c r="D342" i="6" s="1"/>
  <c r="S341" i="6" a="1"/>
  <c r="S341" i="6" s="1"/>
  <c r="R341" i="6" a="1"/>
  <c r="R341" i="6" s="1"/>
  <c r="Q341" i="6" a="1"/>
  <c r="Q341" i="6" s="1"/>
  <c r="P341" i="6" a="1"/>
  <c r="P341" i="6" s="1"/>
  <c r="O341" i="6" a="1"/>
  <c r="O341" i="6" s="1"/>
  <c r="N341" i="6" a="1"/>
  <c r="N341" i="6" s="1"/>
  <c r="M341" i="6" a="1"/>
  <c r="M341" i="6" s="1"/>
  <c r="L341" i="6" a="1"/>
  <c r="L341" i="6" s="1"/>
  <c r="K341" i="6" a="1"/>
  <c r="K341" i="6" s="1"/>
  <c r="J341" i="6" a="1"/>
  <c r="J341" i="6" s="1"/>
  <c r="I341" i="6" a="1"/>
  <c r="I341" i="6" s="1"/>
  <c r="H341" i="6" a="1"/>
  <c r="H341" i="6" s="1"/>
  <c r="G341" i="6" a="1"/>
  <c r="G341" i="6" s="1"/>
  <c r="F341" i="6" a="1"/>
  <c r="F341" i="6" s="1"/>
  <c r="E341" i="6" a="1"/>
  <c r="E341" i="6" s="1"/>
  <c r="D341" i="6" a="1"/>
  <c r="D341" i="6" s="1"/>
  <c r="S340" i="6" a="1"/>
  <c r="S340" i="6" s="1"/>
  <c r="R340" i="6" a="1"/>
  <c r="R340" i="6" s="1"/>
  <c r="Q340" i="6" a="1"/>
  <c r="Q340" i="6" s="1"/>
  <c r="P340" i="6" a="1"/>
  <c r="P340" i="6" s="1"/>
  <c r="O340" i="6" a="1"/>
  <c r="O340" i="6" s="1"/>
  <c r="N340" i="6" a="1"/>
  <c r="N340" i="6" s="1"/>
  <c r="M340" i="6" a="1"/>
  <c r="M340" i="6" s="1"/>
  <c r="L340" i="6" a="1"/>
  <c r="L340" i="6" s="1"/>
  <c r="K340" i="6" a="1"/>
  <c r="K340" i="6" s="1"/>
  <c r="J340" i="6" a="1"/>
  <c r="J340" i="6" s="1"/>
  <c r="I340" i="6" a="1"/>
  <c r="I340" i="6" s="1"/>
  <c r="H340" i="6" a="1"/>
  <c r="H340" i="6" s="1"/>
  <c r="G340" i="6" a="1"/>
  <c r="G340" i="6" s="1"/>
  <c r="F340" i="6" a="1"/>
  <c r="F340" i="6" s="1"/>
  <c r="E340" i="6" a="1"/>
  <c r="E340" i="6" s="1"/>
  <c r="D340" i="6" a="1"/>
  <c r="D340" i="6" s="1"/>
  <c r="S339" i="6" a="1"/>
  <c r="S339" i="6" s="1"/>
  <c r="R339" i="6" a="1"/>
  <c r="R339" i="6" s="1"/>
  <c r="Q339" i="6" a="1"/>
  <c r="Q339" i="6" s="1"/>
  <c r="P339" i="6" a="1"/>
  <c r="P339" i="6" s="1"/>
  <c r="O339" i="6" a="1"/>
  <c r="O339" i="6" s="1"/>
  <c r="N339" i="6" a="1"/>
  <c r="N339" i="6" s="1"/>
  <c r="M339" i="6" a="1"/>
  <c r="M339" i="6" s="1"/>
  <c r="L339" i="6" a="1"/>
  <c r="L339" i="6" s="1"/>
  <c r="K339" i="6" a="1"/>
  <c r="K339" i="6" s="1"/>
  <c r="J339" i="6" a="1"/>
  <c r="J339" i="6" s="1"/>
  <c r="I339" i="6" a="1"/>
  <c r="I339" i="6" s="1"/>
  <c r="H339" i="6" a="1"/>
  <c r="H339" i="6" s="1"/>
  <c r="G339" i="6" a="1"/>
  <c r="G339" i="6" s="1"/>
  <c r="F339" i="6" a="1"/>
  <c r="F339" i="6" s="1"/>
  <c r="E339" i="6" a="1"/>
  <c r="E339" i="6" s="1"/>
  <c r="D339" i="6" a="1"/>
  <c r="D339" i="6" s="1"/>
  <c r="S338" i="6" a="1"/>
  <c r="S338" i="6" s="1"/>
  <c r="R338" i="6" a="1"/>
  <c r="R338" i="6" s="1"/>
  <c r="Q338" i="6" a="1"/>
  <c r="Q338" i="6" s="1"/>
  <c r="P338" i="6" a="1"/>
  <c r="P338" i="6" s="1"/>
  <c r="O338" i="6" a="1"/>
  <c r="O338" i="6" s="1"/>
  <c r="N338" i="6" a="1"/>
  <c r="N338" i="6" s="1"/>
  <c r="M338" i="6" a="1"/>
  <c r="M338" i="6" s="1"/>
  <c r="L338" i="6" a="1"/>
  <c r="L338" i="6" s="1"/>
  <c r="K338" i="6" a="1"/>
  <c r="K338" i="6" s="1"/>
  <c r="J338" i="6" a="1"/>
  <c r="J338" i="6" s="1"/>
  <c r="I338" i="6" a="1"/>
  <c r="I338" i="6" s="1"/>
  <c r="H338" i="6" a="1"/>
  <c r="H338" i="6" s="1"/>
  <c r="G338" i="6" a="1"/>
  <c r="G338" i="6" s="1"/>
  <c r="F338" i="6" a="1"/>
  <c r="F338" i="6" s="1"/>
  <c r="E338" i="6" a="1"/>
  <c r="E338" i="6" s="1"/>
  <c r="D338" i="6" a="1"/>
  <c r="D338" i="6" s="1"/>
  <c r="S337" i="6" a="1"/>
  <c r="S337" i="6" s="1"/>
  <c r="R337" i="6" a="1"/>
  <c r="R337" i="6" s="1"/>
  <c r="Q337" i="6" a="1"/>
  <c r="Q337" i="6" s="1"/>
  <c r="P337" i="6" a="1"/>
  <c r="P337" i="6" s="1"/>
  <c r="O337" i="6" a="1"/>
  <c r="O337" i="6" s="1"/>
  <c r="N337" i="6" a="1"/>
  <c r="N337" i="6" s="1"/>
  <c r="M337" i="6" a="1"/>
  <c r="M337" i="6" s="1"/>
  <c r="L337" i="6" a="1"/>
  <c r="L337" i="6" s="1"/>
  <c r="K337" i="6" a="1"/>
  <c r="K337" i="6" s="1"/>
  <c r="J337" i="6" a="1"/>
  <c r="J337" i="6" s="1"/>
  <c r="I337" i="6" a="1"/>
  <c r="I337" i="6" s="1"/>
  <c r="H337" i="6" a="1"/>
  <c r="H337" i="6" s="1"/>
  <c r="G337" i="6" a="1"/>
  <c r="G337" i="6" s="1"/>
  <c r="F337" i="6" a="1"/>
  <c r="F337" i="6" s="1"/>
  <c r="E337" i="6" a="1"/>
  <c r="E337" i="6" s="1"/>
  <c r="D337" i="6" a="1"/>
  <c r="D337" i="6" s="1"/>
  <c r="S336" i="6" a="1"/>
  <c r="S336" i="6" s="1"/>
  <c r="R336" i="6" a="1"/>
  <c r="R336" i="6" s="1"/>
  <c r="Q336" i="6" a="1"/>
  <c r="Q336" i="6" s="1"/>
  <c r="P336" i="6" a="1"/>
  <c r="P336" i="6" s="1"/>
  <c r="O336" i="6" a="1"/>
  <c r="O336" i="6" s="1"/>
  <c r="N336" i="6" a="1"/>
  <c r="N336" i="6" s="1"/>
  <c r="M336" i="6" a="1"/>
  <c r="M336" i="6" s="1"/>
  <c r="L336" i="6" a="1"/>
  <c r="L336" i="6" s="1"/>
  <c r="K336" i="6" a="1"/>
  <c r="K336" i="6" s="1"/>
  <c r="J336" i="6" a="1"/>
  <c r="J336" i="6" s="1"/>
  <c r="I336" i="6" a="1"/>
  <c r="I336" i="6" s="1"/>
  <c r="H336" i="6" a="1"/>
  <c r="H336" i="6" s="1"/>
  <c r="G336" i="6" a="1"/>
  <c r="G336" i="6" s="1"/>
  <c r="F336" i="6" a="1"/>
  <c r="F336" i="6" s="1"/>
  <c r="E336" i="6" a="1"/>
  <c r="E336" i="6" s="1"/>
  <c r="D336" i="6" a="1"/>
  <c r="D336" i="6" s="1"/>
  <c r="S335" i="6" a="1"/>
  <c r="S335" i="6" s="1"/>
  <c r="R335" i="6" a="1"/>
  <c r="R335" i="6" s="1"/>
  <c r="Q335" i="6" a="1"/>
  <c r="Q335" i="6" s="1"/>
  <c r="P335" i="6" a="1"/>
  <c r="P335" i="6" s="1"/>
  <c r="O335" i="6" a="1"/>
  <c r="O335" i="6" s="1"/>
  <c r="N335" i="6" a="1"/>
  <c r="N335" i="6" s="1"/>
  <c r="M335" i="6" a="1"/>
  <c r="M335" i="6" s="1"/>
  <c r="L335" i="6" a="1"/>
  <c r="L335" i="6" s="1"/>
  <c r="K335" i="6" a="1"/>
  <c r="K335" i="6" s="1"/>
  <c r="J335" i="6" a="1"/>
  <c r="J335" i="6" s="1"/>
  <c r="I335" i="6" a="1"/>
  <c r="I335" i="6" s="1"/>
  <c r="H335" i="6" a="1"/>
  <c r="H335" i="6" s="1"/>
  <c r="G335" i="6" a="1"/>
  <c r="G335" i="6" s="1"/>
  <c r="F335" i="6" a="1"/>
  <c r="F335" i="6" s="1"/>
  <c r="E335" i="6" a="1"/>
  <c r="E335" i="6" s="1"/>
  <c r="D335" i="6" a="1"/>
  <c r="D335" i="6" s="1"/>
  <c r="S334" i="6" a="1"/>
  <c r="S334" i="6" s="1"/>
  <c r="R334" i="6" a="1"/>
  <c r="R334" i="6" s="1"/>
  <c r="Q334" i="6" a="1"/>
  <c r="Q334" i="6" s="1"/>
  <c r="P334" i="6" a="1"/>
  <c r="P334" i="6" s="1"/>
  <c r="O334" i="6" a="1"/>
  <c r="O334" i="6" s="1"/>
  <c r="N334" i="6" a="1"/>
  <c r="N334" i="6" s="1"/>
  <c r="M334" i="6" a="1"/>
  <c r="M334" i="6" s="1"/>
  <c r="L334" i="6" a="1"/>
  <c r="L334" i="6" s="1"/>
  <c r="K334" i="6" a="1"/>
  <c r="K334" i="6" s="1"/>
  <c r="J334" i="6" a="1"/>
  <c r="J334" i="6" s="1"/>
  <c r="I334" i="6" a="1"/>
  <c r="I334" i="6" s="1"/>
  <c r="H334" i="6" a="1"/>
  <c r="H334" i="6" s="1"/>
  <c r="G334" i="6" a="1"/>
  <c r="G334" i="6" s="1"/>
  <c r="F334" i="6" a="1"/>
  <c r="F334" i="6" s="1"/>
  <c r="E334" i="6" a="1"/>
  <c r="E334" i="6" s="1"/>
  <c r="D334" i="6" a="1"/>
  <c r="D334" i="6" s="1"/>
  <c r="S333" i="6" a="1"/>
  <c r="S333" i="6" s="1"/>
  <c r="R333" i="6" a="1"/>
  <c r="R333" i="6" s="1"/>
  <c r="Q333" i="6" a="1"/>
  <c r="Q333" i="6" s="1"/>
  <c r="P333" i="6" a="1"/>
  <c r="P333" i="6" s="1"/>
  <c r="O333" i="6" a="1"/>
  <c r="O333" i="6" s="1"/>
  <c r="N333" i="6" a="1"/>
  <c r="N333" i="6" s="1"/>
  <c r="M333" i="6" a="1"/>
  <c r="M333" i="6" s="1"/>
  <c r="L333" i="6" a="1"/>
  <c r="L333" i="6" s="1"/>
  <c r="K333" i="6" a="1"/>
  <c r="K333" i="6" s="1"/>
  <c r="J333" i="6" a="1"/>
  <c r="J333" i="6" s="1"/>
  <c r="I333" i="6" a="1"/>
  <c r="I333" i="6" s="1"/>
  <c r="H333" i="6" a="1"/>
  <c r="H333" i="6" s="1"/>
  <c r="G333" i="6" a="1"/>
  <c r="G333" i="6" s="1"/>
  <c r="F333" i="6" a="1"/>
  <c r="F333" i="6" s="1"/>
  <c r="E333" i="6" a="1"/>
  <c r="E333" i="6" s="1"/>
  <c r="D333" i="6" a="1"/>
  <c r="D333" i="6" s="1"/>
  <c r="S332" i="6" a="1"/>
  <c r="S332" i="6" s="1"/>
  <c r="R332" i="6" a="1"/>
  <c r="R332" i="6" s="1"/>
  <c r="Q332" i="6" a="1"/>
  <c r="Q332" i="6" s="1"/>
  <c r="P332" i="6" a="1"/>
  <c r="P332" i="6" s="1"/>
  <c r="O332" i="6" a="1"/>
  <c r="O332" i="6" s="1"/>
  <c r="N332" i="6" a="1"/>
  <c r="N332" i="6" s="1"/>
  <c r="M332" i="6" a="1"/>
  <c r="M332" i="6" s="1"/>
  <c r="L332" i="6" a="1"/>
  <c r="L332" i="6" s="1"/>
  <c r="K332" i="6" a="1"/>
  <c r="K332" i="6" s="1"/>
  <c r="J332" i="6" a="1"/>
  <c r="J332" i="6" s="1"/>
  <c r="I332" i="6" a="1"/>
  <c r="I332" i="6" s="1"/>
  <c r="H332" i="6" a="1"/>
  <c r="H332" i="6" s="1"/>
  <c r="G332" i="6" a="1"/>
  <c r="G332" i="6" s="1"/>
  <c r="F332" i="6" a="1"/>
  <c r="F332" i="6" s="1"/>
  <c r="E332" i="6" a="1"/>
  <c r="E332" i="6" s="1"/>
  <c r="D332" i="6" a="1"/>
  <c r="D332" i="6" s="1"/>
  <c r="S331" i="6" a="1"/>
  <c r="S331" i="6" s="1"/>
  <c r="R331" i="6" a="1"/>
  <c r="R331" i="6" s="1"/>
  <c r="Q331" i="6" a="1"/>
  <c r="Q331" i="6" s="1"/>
  <c r="P331" i="6" a="1"/>
  <c r="P331" i="6" s="1"/>
  <c r="O331" i="6" a="1"/>
  <c r="O331" i="6" s="1"/>
  <c r="N331" i="6" a="1"/>
  <c r="N331" i="6" s="1"/>
  <c r="M331" i="6" a="1"/>
  <c r="M331" i="6" s="1"/>
  <c r="L331" i="6" a="1"/>
  <c r="L331" i="6" s="1"/>
  <c r="K331" i="6" a="1"/>
  <c r="K331" i="6" s="1"/>
  <c r="J331" i="6" a="1"/>
  <c r="J331" i="6" s="1"/>
  <c r="I331" i="6" a="1"/>
  <c r="I331" i="6" s="1"/>
  <c r="H331" i="6" a="1"/>
  <c r="H331" i="6" s="1"/>
  <c r="G331" i="6" a="1"/>
  <c r="G331" i="6" s="1"/>
  <c r="F331" i="6" a="1"/>
  <c r="F331" i="6" s="1"/>
  <c r="E331" i="6" a="1"/>
  <c r="E331" i="6" s="1"/>
  <c r="D331" i="6" a="1"/>
  <c r="D331" i="6" s="1"/>
  <c r="S330" i="6" a="1"/>
  <c r="S330" i="6" s="1"/>
  <c r="R330" i="6" a="1"/>
  <c r="R330" i="6" s="1"/>
  <c r="Q330" i="6" a="1"/>
  <c r="Q330" i="6" s="1"/>
  <c r="P330" i="6" a="1"/>
  <c r="P330" i="6" s="1"/>
  <c r="O330" i="6" a="1"/>
  <c r="O330" i="6" s="1"/>
  <c r="N330" i="6" a="1"/>
  <c r="N330" i="6" s="1"/>
  <c r="M330" i="6" a="1"/>
  <c r="M330" i="6" s="1"/>
  <c r="L330" i="6" a="1"/>
  <c r="L330" i="6" s="1"/>
  <c r="K330" i="6" a="1"/>
  <c r="K330" i="6" s="1"/>
  <c r="J330" i="6" a="1"/>
  <c r="J330" i="6" s="1"/>
  <c r="I330" i="6" a="1"/>
  <c r="I330" i="6" s="1"/>
  <c r="H330" i="6" a="1"/>
  <c r="H330" i="6" s="1"/>
  <c r="G330" i="6" a="1"/>
  <c r="G330" i="6" s="1"/>
  <c r="F330" i="6" a="1"/>
  <c r="F330" i="6" s="1"/>
  <c r="E330" i="6" a="1"/>
  <c r="E330" i="6" s="1"/>
  <c r="D330" i="6" a="1"/>
  <c r="D330" i="6" s="1"/>
  <c r="S329" i="6" a="1"/>
  <c r="S329" i="6" s="1"/>
  <c r="R329" i="6" a="1"/>
  <c r="R329" i="6" s="1"/>
  <c r="Q329" i="6" a="1"/>
  <c r="Q329" i="6" s="1"/>
  <c r="P329" i="6" a="1"/>
  <c r="P329" i="6" s="1"/>
  <c r="O329" i="6" a="1"/>
  <c r="O329" i="6" s="1"/>
  <c r="N329" i="6" a="1"/>
  <c r="N329" i="6" s="1"/>
  <c r="M329" i="6" a="1"/>
  <c r="M329" i="6" s="1"/>
  <c r="L329" i="6" a="1"/>
  <c r="L329" i="6" s="1"/>
  <c r="K329" i="6" a="1"/>
  <c r="K329" i="6" s="1"/>
  <c r="J329" i="6" a="1"/>
  <c r="J329" i="6" s="1"/>
  <c r="I329" i="6" a="1"/>
  <c r="I329" i="6" s="1"/>
  <c r="H329" i="6" a="1"/>
  <c r="H329" i="6" s="1"/>
  <c r="G329" i="6" a="1"/>
  <c r="G329" i="6" s="1"/>
  <c r="F329" i="6" a="1"/>
  <c r="F329" i="6" s="1"/>
  <c r="E329" i="6" a="1"/>
  <c r="E329" i="6" s="1"/>
  <c r="D329" i="6" a="1"/>
  <c r="D329" i="6" s="1"/>
  <c r="S328" i="6" a="1"/>
  <c r="S328" i="6" s="1"/>
  <c r="R328" i="6" a="1"/>
  <c r="R328" i="6" s="1"/>
  <c r="Q328" i="6" a="1"/>
  <c r="Q328" i="6" s="1"/>
  <c r="P328" i="6" a="1"/>
  <c r="P328" i="6" s="1"/>
  <c r="O328" i="6" a="1"/>
  <c r="O328" i="6" s="1"/>
  <c r="N328" i="6" a="1"/>
  <c r="N328" i="6" s="1"/>
  <c r="M328" i="6" a="1"/>
  <c r="M328" i="6" s="1"/>
  <c r="L328" i="6" a="1"/>
  <c r="L328" i="6" s="1"/>
  <c r="K328" i="6" a="1"/>
  <c r="K328" i="6" s="1"/>
  <c r="J328" i="6" a="1"/>
  <c r="J328" i="6" s="1"/>
  <c r="I328" i="6" a="1"/>
  <c r="I328" i="6" s="1"/>
  <c r="H328" i="6" a="1"/>
  <c r="H328" i="6" s="1"/>
  <c r="G328" i="6" a="1"/>
  <c r="G328" i="6" s="1"/>
  <c r="F328" i="6" a="1"/>
  <c r="F328" i="6" s="1"/>
  <c r="E328" i="6" a="1"/>
  <c r="E328" i="6" s="1"/>
  <c r="D328" i="6" a="1"/>
  <c r="D328" i="6" s="1"/>
  <c r="S327" i="6" a="1"/>
  <c r="S327" i="6" s="1"/>
  <c r="R327" i="6" a="1"/>
  <c r="R327" i="6" s="1"/>
  <c r="Q327" i="6" a="1"/>
  <c r="Q327" i="6" s="1"/>
  <c r="P327" i="6" a="1"/>
  <c r="P327" i="6" s="1"/>
  <c r="O327" i="6" a="1"/>
  <c r="O327" i="6" s="1"/>
  <c r="N327" i="6" a="1"/>
  <c r="N327" i="6" s="1"/>
  <c r="M327" i="6" a="1"/>
  <c r="M327" i="6" s="1"/>
  <c r="L327" i="6" a="1"/>
  <c r="L327" i="6" s="1"/>
  <c r="K327" i="6" a="1"/>
  <c r="K327" i="6" s="1"/>
  <c r="J327" i="6" a="1"/>
  <c r="J327" i="6" s="1"/>
  <c r="I327" i="6" a="1"/>
  <c r="I327" i="6" s="1"/>
  <c r="H327" i="6" a="1"/>
  <c r="H327" i="6" s="1"/>
  <c r="G327" i="6" a="1"/>
  <c r="G327" i="6" s="1"/>
  <c r="F327" i="6" a="1"/>
  <c r="F327" i="6" s="1"/>
  <c r="E327" i="6" a="1"/>
  <c r="E327" i="6" s="1"/>
  <c r="D327" i="6" a="1"/>
  <c r="D327" i="6" s="1"/>
  <c r="S326" i="6" a="1"/>
  <c r="S326" i="6" s="1"/>
  <c r="R326" i="6" a="1"/>
  <c r="R326" i="6" s="1"/>
  <c r="Q326" i="6" a="1"/>
  <c r="Q326" i="6" s="1"/>
  <c r="P326" i="6" a="1"/>
  <c r="P326" i="6" s="1"/>
  <c r="O326" i="6" a="1"/>
  <c r="O326" i="6" s="1"/>
  <c r="N326" i="6" a="1"/>
  <c r="N326" i="6" s="1"/>
  <c r="M326" i="6" a="1"/>
  <c r="M326" i="6" s="1"/>
  <c r="L326" i="6" a="1"/>
  <c r="L326" i="6" s="1"/>
  <c r="K326" i="6" a="1"/>
  <c r="K326" i="6" s="1"/>
  <c r="J326" i="6" a="1"/>
  <c r="J326" i="6" s="1"/>
  <c r="I326" i="6" a="1"/>
  <c r="I326" i="6" s="1"/>
  <c r="H326" i="6" a="1"/>
  <c r="H326" i="6" s="1"/>
  <c r="G326" i="6" a="1"/>
  <c r="G326" i="6" s="1"/>
  <c r="F326" i="6" a="1"/>
  <c r="F326" i="6" s="1"/>
  <c r="E326" i="6" a="1"/>
  <c r="E326" i="6" s="1"/>
  <c r="D326" i="6" a="1"/>
  <c r="D326" i="6" s="1"/>
  <c r="S325" i="6" a="1"/>
  <c r="S325" i="6" s="1"/>
  <c r="R325" i="6" a="1"/>
  <c r="R325" i="6" s="1"/>
  <c r="Q325" i="6" a="1"/>
  <c r="Q325" i="6" s="1"/>
  <c r="P325" i="6" a="1"/>
  <c r="P325" i="6" s="1"/>
  <c r="O325" i="6" a="1"/>
  <c r="O325" i="6" s="1"/>
  <c r="N325" i="6"/>
  <c r="N325" i="6" a="1"/>
  <c r="M325" i="6"/>
  <c r="M325" i="6" a="1"/>
  <c r="L325" i="6" a="1"/>
  <c r="L325" i="6" s="1"/>
  <c r="K325" i="6" a="1"/>
  <c r="K325" i="6" s="1"/>
  <c r="J325" i="6" a="1"/>
  <c r="J325" i="6" s="1"/>
  <c r="I325" i="6" a="1"/>
  <c r="I325" i="6" s="1"/>
  <c r="H325" i="6" a="1"/>
  <c r="H325" i="6" s="1"/>
  <c r="G325" i="6" a="1"/>
  <c r="G325" i="6" s="1"/>
  <c r="F325" i="6" a="1"/>
  <c r="F325" i="6" s="1"/>
  <c r="E325" i="6" a="1"/>
  <c r="E325" i="6" s="1"/>
  <c r="D325" i="6" a="1"/>
  <c r="D325" i="6" s="1"/>
  <c r="S324" i="6" a="1"/>
  <c r="S324" i="6" s="1"/>
  <c r="R324" i="6" a="1"/>
  <c r="R324" i="6" s="1"/>
  <c r="Q324" i="6" a="1"/>
  <c r="Q324" i="6" s="1"/>
  <c r="P324" i="6" a="1"/>
  <c r="P324" i="6" s="1"/>
  <c r="O324" i="6" a="1"/>
  <c r="O324" i="6" s="1"/>
  <c r="N324" i="6" a="1"/>
  <c r="N324" i="6" s="1"/>
  <c r="M324" i="6" a="1"/>
  <c r="M324" i="6" s="1"/>
  <c r="L324" i="6" a="1"/>
  <c r="L324" i="6" s="1"/>
  <c r="K324" i="6" a="1"/>
  <c r="K324" i="6" s="1"/>
  <c r="J324" i="6" a="1"/>
  <c r="J324" i="6" s="1"/>
  <c r="I324" i="6" a="1"/>
  <c r="I324" i="6" s="1"/>
  <c r="H324" i="6" a="1"/>
  <c r="H324" i="6" s="1"/>
  <c r="G324" i="6" a="1"/>
  <c r="G324" i="6" s="1"/>
  <c r="F324" i="6" a="1"/>
  <c r="F324" i="6" s="1"/>
  <c r="E324" i="6" a="1"/>
  <c r="E324" i="6" s="1"/>
  <c r="D324" i="6" a="1"/>
  <c r="D324" i="6" s="1"/>
  <c r="S323" i="6" a="1"/>
  <c r="S323" i="6" s="1"/>
  <c r="R323" i="6" a="1"/>
  <c r="R323" i="6" s="1"/>
  <c r="Q323" i="6" a="1"/>
  <c r="Q323" i="6" s="1"/>
  <c r="P323" i="6" a="1"/>
  <c r="P323" i="6" s="1"/>
  <c r="O323" i="6" a="1"/>
  <c r="O323" i="6" s="1"/>
  <c r="N323" i="6" a="1"/>
  <c r="N323" i="6" s="1"/>
  <c r="M323" i="6" a="1"/>
  <c r="M323" i="6" s="1"/>
  <c r="L323" i="6" a="1"/>
  <c r="L323" i="6" s="1"/>
  <c r="K323" i="6" a="1"/>
  <c r="K323" i="6" s="1"/>
  <c r="J323" i="6" a="1"/>
  <c r="J323" i="6" s="1"/>
  <c r="I323" i="6" a="1"/>
  <c r="I323" i="6" s="1"/>
  <c r="H323" i="6" a="1"/>
  <c r="H323" i="6" s="1"/>
  <c r="G323" i="6" a="1"/>
  <c r="G323" i="6" s="1"/>
  <c r="F323" i="6" a="1"/>
  <c r="F323" i="6" s="1"/>
  <c r="E323" i="6" a="1"/>
  <c r="E323" i="6" s="1"/>
  <c r="D323" i="6" a="1"/>
  <c r="D323" i="6" s="1"/>
  <c r="S322" i="6" a="1"/>
  <c r="S322" i="6" s="1"/>
  <c r="R322" i="6" a="1"/>
  <c r="R322" i="6" s="1"/>
  <c r="Q322" i="6" a="1"/>
  <c r="Q322" i="6" s="1"/>
  <c r="P322" i="6" a="1"/>
  <c r="P322" i="6" s="1"/>
  <c r="O322" i="6" a="1"/>
  <c r="O322" i="6" s="1"/>
  <c r="N322" i="6" a="1"/>
  <c r="N322" i="6" s="1"/>
  <c r="M322" i="6" a="1"/>
  <c r="M322" i="6" s="1"/>
  <c r="L322" i="6" a="1"/>
  <c r="L322" i="6" s="1"/>
  <c r="K322" i="6" a="1"/>
  <c r="K322" i="6" s="1"/>
  <c r="J322" i="6" a="1"/>
  <c r="J322" i="6" s="1"/>
  <c r="I322" i="6" a="1"/>
  <c r="I322" i="6" s="1"/>
  <c r="H322" i="6" a="1"/>
  <c r="H322" i="6" s="1"/>
  <c r="G322" i="6" a="1"/>
  <c r="G322" i="6" s="1"/>
  <c r="F322" i="6" a="1"/>
  <c r="F322" i="6" s="1"/>
  <c r="E322" i="6" a="1"/>
  <c r="E322" i="6" s="1"/>
  <c r="D322" i="6" a="1"/>
  <c r="D322" i="6" s="1"/>
  <c r="S321" i="6" a="1"/>
  <c r="S321" i="6" s="1"/>
  <c r="R321" i="6" a="1"/>
  <c r="R321" i="6" s="1"/>
  <c r="Q321" i="6" a="1"/>
  <c r="Q321" i="6" s="1"/>
  <c r="P321" i="6" a="1"/>
  <c r="P321" i="6" s="1"/>
  <c r="O321" i="6" a="1"/>
  <c r="O321" i="6" s="1"/>
  <c r="N321" i="6" a="1"/>
  <c r="N321" i="6" s="1"/>
  <c r="M321" i="6" a="1"/>
  <c r="M321" i="6" s="1"/>
  <c r="L321" i="6" a="1"/>
  <c r="L321" i="6" s="1"/>
  <c r="K321" i="6" a="1"/>
  <c r="K321" i="6" s="1"/>
  <c r="J321" i="6" a="1"/>
  <c r="J321" i="6" s="1"/>
  <c r="I321" i="6" a="1"/>
  <c r="I321" i="6" s="1"/>
  <c r="H321" i="6" a="1"/>
  <c r="H321" i="6" s="1"/>
  <c r="G321" i="6" a="1"/>
  <c r="G321" i="6" s="1"/>
  <c r="F321" i="6" a="1"/>
  <c r="F321" i="6" s="1"/>
  <c r="E321" i="6" a="1"/>
  <c r="E321" i="6" s="1"/>
  <c r="D321" i="6" a="1"/>
  <c r="D321" i="6" s="1"/>
  <c r="S320" i="6" a="1"/>
  <c r="S320" i="6" s="1"/>
  <c r="R320" i="6" a="1"/>
  <c r="R320" i="6" s="1"/>
  <c r="Q320" i="6" a="1"/>
  <c r="Q320" i="6" s="1"/>
  <c r="P320" i="6" a="1"/>
  <c r="P320" i="6" s="1"/>
  <c r="O320" i="6" a="1"/>
  <c r="O320" i="6" s="1"/>
  <c r="N320" i="6" a="1"/>
  <c r="N320" i="6" s="1"/>
  <c r="M320" i="6" a="1"/>
  <c r="M320" i="6" s="1"/>
  <c r="L320" i="6" a="1"/>
  <c r="L320" i="6" s="1"/>
  <c r="K320" i="6" a="1"/>
  <c r="K320" i="6" s="1"/>
  <c r="J320" i="6" a="1"/>
  <c r="J320" i="6" s="1"/>
  <c r="I320" i="6" a="1"/>
  <c r="I320" i="6" s="1"/>
  <c r="H320" i="6" a="1"/>
  <c r="H320" i="6" s="1"/>
  <c r="G320" i="6" a="1"/>
  <c r="G320" i="6" s="1"/>
  <c r="F320" i="6" a="1"/>
  <c r="F320" i="6" s="1"/>
  <c r="E320" i="6" a="1"/>
  <c r="E320" i="6" s="1"/>
  <c r="D320" i="6" a="1"/>
  <c r="D320" i="6" s="1"/>
  <c r="S319" i="6" a="1"/>
  <c r="S319" i="6" s="1"/>
  <c r="R319" i="6" a="1"/>
  <c r="R319" i="6" s="1"/>
  <c r="Q319" i="6" a="1"/>
  <c r="Q319" i="6" s="1"/>
  <c r="P319" i="6" a="1"/>
  <c r="P319" i="6" s="1"/>
  <c r="O319" i="6" a="1"/>
  <c r="O319" i="6" s="1"/>
  <c r="N319" i="6" a="1"/>
  <c r="N319" i="6" s="1"/>
  <c r="M319" i="6" a="1"/>
  <c r="M319" i="6" s="1"/>
  <c r="L319" i="6" a="1"/>
  <c r="L319" i="6" s="1"/>
  <c r="K319" i="6" a="1"/>
  <c r="K319" i="6" s="1"/>
  <c r="J319" i="6"/>
  <c r="J319" i="6" a="1"/>
  <c r="I319" i="6"/>
  <c r="I319" i="6" a="1"/>
  <c r="H319" i="6" a="1"/>
  <c r="H319" i="6" s="1"/>
  <c r="G319" i="6" a="1"/>
  <c r="G319" i="6" s="1"/>
  <c r="F319" i="6" a="1"/>
  <c r="F319" i="6" s="1"/>
  <c r="E319" i="6" a="1"/>
  <c r="E319" i="6" s="1"/>
  <c r="D319" i="6" a="1"/>
  <c r="D319" i="6" s="1"/>
  <c r="S318" i="6" a="1"/>
  <c r="S318" i="6" s="1"/>
  <c r="R318" i="6" a="1"/>
  <c r="R318" i="6" s="1"/>
  <c r="Q318" i="6" a="1"/>
  <c r="Q318" i="6" s="1"/>
  <c r="P318" i="6"/>
  <c r="P318" i="6" a="1"/>
  <c r="O318" i="6"/>
  <c r="O318" i="6" a="1"/>
  <c r="N318" i="6" a="1"/>
  <c r="N318" i="6" s="1"/>
  <c r="M318" i="6" a="1"/>
  <c r="M318" i="6" s="1"/>
  <c r="L318" i="6" a="1"/>
  <c r="L318" i="6" s="1"/>
  <c r="K318" i="6" a="1"/>
  <c r="K318" i="6" s="1"/>
  <c r="J318" i="6" a="1"/>
  <c r="J318" i="6" s="1"/>
  <c r="I318" i="6" a="1"/>
  <c r="I318" i="6" s="1"/>
  <c r="H318" i="6"/>
  <c r="H318" i="6" a="1"/>
  <c r="G318" i="6"/>
  <c r="G318" i="6" a="1"/>
  <c r="F318" i="6" a="1"/>
  <c r="F318" i="6" s="1"/>
  <c r="E318" i="6" a="1"/>
  <c r="E318" i="6" s="1"/>
  <c r="D318" i="6" a="1"/>
  <c r="D318" i="6" s="1"/>
  <c r="S317" i="6" a="1"/>
  <c r="S317" i="6" s="1"/>
  <c r="R317" i="6" a="1"/>
  <c r="R317" i="6" s="1"/>
  <c r="Q317" i="6" a="1"/>
  <c r="Q317" i="6" s="1"/>
  <c r="P317" i="6" a="1"/>
  <c r="P317" i="6" s="1"/>
  <c r="O317" i="6" a="1"/>
  <c r="O317" i="6" s="1"/>
  <c r="N317" i="6"/>
  <c r="N317" i="6" a="1"/>
  <c r="M317" i="6"/>
  <c r="M317" i="6" a="1"/>
  <c r="L317" i="6" a="1"/>
  <c r="L317" i="6" s="1"/>
  <c r="K317" i="6" a="1"/>
  <c r="K317" i="6" s="1"/>
  <c r="J317" i="6" a="1"/>
  <c r="J317" i="6" s="1"/>
  <c r="I317" i="6" a="1"/>
  <c r="I317" i="6" s="1"/>
  <c r="H317" i="6" a="1"/>
  <c r="H317" i="6" s="1"/>
  <c r="G317" i="6" a="1"/>
  <c r="G317" i="6" s="1"/>
  <c r="F317" i="6"/>
  <c r="F317" i="6" a="1"/>
  <c r="E317" i="6"/>
  <c r="E317" i="6" a="1"/>
  <c r="D317" i="6" a="1"/>
  <c r="D317" i="6" s="1"/>
  <c r="S316" i="6"/>
  <c r="S316" i="6" a="1"/>
  <c r="R316" i="6" a="1"/>
  <c r="R316" i="6" s="1"/>
  <c r="Q316" i="6" a="1"/>
  <c r="Q316" i="6" s="1"/>
  <c r="P316" i="6" a="1"/>
  <c r="P316" i="6" s="1"/>
  <c r="O316" i="6" a="1"/>
  <c r="O316" i="6" s="1"/>
  <c r="N316" i="6" a="1"/>
  <c r="N316" i="6" s="1"/>
  <c r="M316" i="6" a="1"/>
  <c r="M316" i="6" s="1"/>
  <c r="L316" i="6" a="1"/>
  <c r="L316" i="6" s="1"/>
  <c r="K316" i="6" a="1"/>
  <c r="K316" i="6" s="1"/>
  <c r="J316" i="6" a="1"/>
  <c r="J316" i="6" s="1"/>
  <c r="I316" i="6" a="1"/>
  <c r="I316" i="6" s="1"/>
  <c r="H316" i="6" a="1"/>
  <c r="H316" i="6" s="1"/>
  <c r="G316" i="6" a="1"/>
  <c r="G316" i="6" s="1"/>
  <c r="F316" i="6" a="1"/>
  <c r="F316" i="6" s="1"/>
  <c r="E316" i="6"/>
  <c r="E316" i="6" a="1"/>
  <c r="D316" i="6" a="1"/>
  <c r="D316" i="6" s="1"/>
  <c r="S315" i="6" a="1"/>
  <c r="S315" i="6" s="1"/>
  <c r="R315" i="6"/>
  <c r="R315" i="6" a="1"/>
  <c r="Q315" i="6"/>
  <c r="Q315" i="6" a="1"/>
  <c r="P315" i="6" a="1"/>
  <c r="P315" i="6" s="1"/>
  <c r="O315" i="6" a="1"/>
  <c r="O315" i="6" s="1"/>
  <c r="N315" i="6" a="1"/>
  <c r="N315" i="6" s="1"/>
  <c r="M315" i="6" a="1"/>
  <c r="M315" i="6" s="1"/>
  <c r="L315" i="6" a="1"/>
  <c r="L315" i="6" s="1"/>
  <c r="K315" i="6" a="1"/>
  <c r="K315" i="6" s="1"/>
  <c r="J315" i="6" a="1"/>
  <c r="J315" i="6" s="1"/>
  <c r="I315" i="6"/>
  <c r="I315" i="6" a="1"/>
  <c r="H315" i="6" a="1"/>
  <c r="H315" i="6" s="1"/>
  <c r="G315" i="6" a="1"/>
  <c r="G315" i="6" s="1"/>
  <c r="F315" i="6" a="1"/>
  <c r="F315" i="6" s="1"/>
  <c r="E315" i="6" a="1"/>
  <c r="E315" i="6" s="1"/>
  <c r="D315" i="6" a="1"/>
  <c r="D315" i="6" s="1"/>
  <c r="S314" i="6" a="1"/>
  <c r="S314" i="6" s="1"/>
  <c r="R314" i="6" a="1"/>
  <c r="R314" i="6" s="1"/>
  <c r="Q314" i="6" a="1"/>
  <c r="Q314" i="6" s="1"/>
  <c r="P314" i="6" a="1"/>
  <c r="P314" i="6" s="1"/>
  <c r="O314" i="6" a="1"/>
  <c r="O314" i="6" s="1"/>
  <c r="N314" i="6" a="1"/>
  <c r="N314" i="6" s="1"/>
  <c r="M314" i="6" a="1"/>
  <c r="M314" i="6" s="1"/>
  <c r="L314" i="6" a="1"/>
  <c r="L314" i="6" s="1"/>
  <c r="K314" i="6" a="1"/>
  <c r="K314" i="6" s="1"/>
  <c r="J314" i="6" a="1"/>
  <c r="J314" i="6" s="1"/>
  <c r="I314" i="6" a="1"/>
  <c r="I314" i="6" s="1"/>
  <c r="H314" i="6" a="1"/>
  <c r="H314" i="6" s="1"/>
  <c r="G314" i="6" a="1"/>
  <c r="G314" i="6" s="1"/>
  <c r="F314" i="6"/>
  <c r="F314" i="6" a="1"/>
  <c r="E314" i="6" a="1"/>
  <c r="E314" i="6" s="1"/>
  <c r="D314" i="6" a="1"/>
  <c r="D314" i="6" s="1"/>
  <c r="S313" i="6" a="1"/>
  <c r="S313" i="6" s="1"/>
  <c r="R313" i="6" a="1"/>
  <c r="R313" i="6" s="1"/>
  <c r="Q313" i="6" a="1"/>
  <c r="Q313" i="6" s="1"/>
  <c r="P313" i="6" a="1"/>
  <c r="P313" i="6" s="1"/>
  <c r="O313" i="6" a="1"/>
  <c r="O313" i="6" s="1"/>
  <c r="N313" i="6" a="1"/>
  <c r="N313" i="6" s="1"/>
  <c r="M313" i="6"/>
  <c r="M313" i="6" a="1"/>
  <c r="L313" i="6"/>
  <c r="L313" i="6" a="1"/>
  <c r="K313" i="6" a="1"/>
  <c r="K313" i="6" s="1"/>
  <c r="J313" i="6" a="1"/>
  <c r="J313" i="6" s="1"/>
  <c r="I313" i="6" a="1"/>
  <c r="I313" i="6" s="1"/>
  <c r="H313" i="6" a="1"/>
  <c r="H313" i="6" s="1"/>
  <c r="G313" i="6" a="1"/>
  <c r="G313" i="6" s="1"/>
  <c r="F313" i="6" a="1"/>
  <c r="F313" i="6" s="1"/>
  <c r="E313" i="6"/>
  <c r="E313" i="6" a="1"/>
  <c r="D313" i="6" a="1"/>
  <c r="D313" i="6" s="1"/>
  <c r="S312" i="6" a="1"/>
  <c r="S312" i="6" s="1"/>
  <c r="R312" i="6" a="1"/>
  <c r="R312" i="6" s="1"/>
  <c r="Q312" i="6" a="1"/>
  <c r="Q312" i="6" s="1"/>
  <c r="P312" i="6" a="1"/>
  <c r="P312" i="6" s="1"/>
  <c r="O312" i="6" a="1"/>
  <c r="O312" i="6" s="1"/>
  <c r="N312" i="6" a="1"/>
  <c r="N312" i="6" s="1"/>
  <c r="M312" i="6" a="1"/>
  <c r="M312" i="6" s="1"/>
  <c r="L312" i="6"/>
  <c r="L312" i="6" a="1"/>
  <c r="K312" i="6" a="1"/>
  <c r="K312" i="6" s="1"/>
  <c r="J312" i="6" a="1"/>
  <c r="J312" i="6" s="1"/>
  <c r="I312" i="6" a="1"/>
  <c r="I312" i="6" s="1"/>
  <c r="H312" i="6" a="1"/>
  <c r="H312" i="6" s="1"/>
  <c r="G312" i="6" a="1"/>
  <c r="G312" i="6" s="1"/>
  <c r="F312" i="6" a="1"/>
  <c r="F312" i="6" s="1"/>
  <c r="E312" i="6" a="1"/>
  <c r="E312" i="6" s="1"/>
  <c r="D312" i="6" a="1"/>
  <c r="D312" i="6" s="1"/>
  <c r="S311" i="6" a="1"/>
  <c r="S311" i="6" s="1"/>
  <c r="R311" i="6" a="1"/>
  <c r="R311" i="6" s="1"/>
  <c r="Q311" i="6" a="1"/>
  <c r="Q311" i="6" s="1"/>
  <c r="P311" i="6" a="1"/>
  <c r="P311" i="6" s="1"/>
  <c r="O311" i="6" a="1"/>
  <c r="O311" i="6" s="1"/>
  <c r="N311" i="6" a="1"/>
  <c r="N311" i="6" s="1"/>
  <c r="M311" i="6" a="1"/>
  <c r="M311" i="6" s="1"/>
  <c r="L311" i="6" a="1"/>
  <c r="L311" i="6" s="1"/>
  <c r="K311" i="6" a="1"/>
  <c r="K311" i="6" s="1"/>
  <c r="J311" i="6"/>
  <c r="J311" i="6" a="1"/>
  <c r="I311" i="6" a="1"/>
  <c r="I311" i="6" s="1"/>
  <c r="H311" i="6" a="1"/>
  <c r="H311" i="6" s="1"/>
  <c r="G311" i="6" a="1"/>
  <c r="G311" i="6" s="1"/>
  <c r="F311" i="6" a="1"/>
  <c r="F311" i="6" s="1"/>
  <c r="E311" i="6" a="1"/>
  <c r="E311" i="6" s="1"/>
  <c r="D311" i="6" a="1"/>
  <c r="D311" i="6" s="1"/>
  <c r="S310" i="6" a="1"/>
  <c r="S310" i="6" s="1"/>
  <c r="R310" i="6" a="1"/>
  <c r="R310" i="6" s="1"/>
  <c r="Q310" i="6" a="1"/>
  <c r="Q310" i="6" s="1"/>
  <c r="P310" i="6" a="1"/>
  <c r="P310" i="6" s="1"/>
  <c r="O310" i="6" a="1"/>
  <c r="O310" i="6" s="1"/>
  <c r="N310" i="6" a="1"/>
  <c r="N310" i="6" s="1"/>
  <c r="M310" i="6" a="1"/>
  <c r="M310" i="6" s="1"/>
  <c r="L310" i="6" a="1"/>
  <c r="L310" i="6" s="1"/>
  <c r="K310" i="6" a="1"/>
  <c r="K310" i="6" s="1"/>
  <c r="J310" i="6" a="1"/>
  <c r="J310" i="6" s="1"/>
  <c r="I310" i="6" a="1"/>
  <c r="I310" i="6" s="1"/>
  <c r="H310" i="6" a="1"/>
  <c r="H310" i="6" s="1"/>
  <c r="G310" i="6" a="1"/>
  <c r="G310" i="6" s="1"/>
  <c r="F310" i="6" a="1"/>
  <c r="F310" i="6" s="1"/>
  <c r="E310" i="6" a="1"/>
  <c r="E310" i="6" s="1"/>
  <c r="D310" i="6" a="1"/>
  <c r="D310" i="6" s="1"/>
  <c r="S309" i="6" a="1"/>
  <c r="S309" i="6" s="1"/>
  <c r="R309" i="6" a="1"/>
  <c r="R309" i="6" s="1"/>
  <c r="Q309" i="6" a="1"/>
  <c r="Q309" i="6" s="1"/>
  <c r="P309" i="6" a="1"/>
  <c r="P309" i="6" s="1"/>
  <c r="O309" i="6" a="1"/>
  <c r="O309" i="6" s="1"/>
  <c r="N309" i="6"/>
  <c r="N309" i="6" a="1"/>
  <c r="M309" i="6" a="1"/>
  <c r="M309" i="6" s="1"/>
  <c r="L309" i="6" a="1"/>
  <c r="L309" i="6" s="1"/>
  <c r="K309" i="6" a="1"/>
  <c r="K309" i="6" s="1"/>
  <c r="J309" i="6" a="1"/>
  <c r="J309" i="6" s="1"/>
  <c r="I309" i="6" a="1"/>
  <c r="I309" i="6" s="1"/>
  <c r="H309" i="6" a="1"/>
  <c r="H309" i="6" s="1"/>
  <c r="G309" i="6" a="1"/>
  <c r="G309" i="6" s="1"/>
  <c r="F309" i="6" a="1"/>
  <c r="F309" i="6" s="1"/>
  <c r="E309" i="6"/>
  <c r="E309" i="6" a="1"/>
  <c r="D309" i="6"/>
  <c r="D309" i="6" a="1"/>
  <c r="S308" i="6" a="1"/>
  <c r="S308" i="6" s="1"/>
  <c r="R308" i="6" a="1"/>
  <c r="R308" i="6" s="1"/>
  <c r="Q308" i="6" a="1"/>
  <c r="Q308" i="6" s="1"/>
  <c r="P308" i="6" a="1"/>
  <c r="P308" i="6" s="1"/>
  <c r="O308" i="6" a="1"/>
  <c r="O308" i="6" s="1"/>
  <c r="N308" i="6" a="1"/>
  <c r="N308" i="6" s="1"/>
  <c r="M308" i="6" a="1"/>
  <c r="M308" i="6" s="1"/>
  <c r="L308" i="6" a="1"/>
  <c r="L308" i="6" s="1"/>
  <c r="K308" i="6" a="1"/>
  <c r="K308" i="6" s="1"/>
  <c r="J308" i="6" a="1"/>
  <c r="J308" i="6" s="1"/>
  <c r="I308" i="6" a="1"/>
  <c r="I308" i="6" s="1"/>
  <c r="H308" i="6" a="1"/>
  <c r="H308" i="6" s="1"/>
  <c r="G308" i="6" a="1"/>
  <c r="G308" i="6" s="1"/>
  <c r="F308" i="6" a="1"/>
  <c r="F308" i="6" s="1"/>
  <c r="E308" i="6" a="1"/>
  <c r="E308" i="6" s="1"/>
  <c r="D308" i="6" a="1"/>
  <c r="D308" i="6" s="1"/>
  <c r="S307" i="6" a="1"/>
  <c r="S307" i="6" s="1"/>
  <c r="R307" i="6" a="1"/>
  <c r="R307" i="6" s="1"/>
  <c r="Q307" i="6" a="1"/>
  <c r="Q307" i="6" s="1"/>
  <c r="P307" i="6"/>
  <c r="P307" i="6" a="1"/>
  <c r="O307" i="6" a="1"/>
  <c r="O307" i="6" s="1"/>
  <c r="N307" i="6" a="1"/>
  <c r="N307" i="6" s="1"/>
  <c r="M307" i="6" a="1"/>
  <c r="M307" i="6" s="1"/>
  <c r="L307" i="6" a="1"/>
  <c r="L307" i="6" s="1"/>
  <c r="K307" i="6" a="1"/>
  <c r="K307" i="6" s="1"/>
  <c r="J307" i="6"/>
  <c r="J307" i="6" a="1"/>
  <c r="I307" i="6" a="1"/>
  <c r="I307" i="6" s="1"/>
  <c r="H307" i="6" a="1"/>
  <c r="H307" i="6" s="1"/>
  <c r="G307" i="6" a="1"/>
  <c r="G307" i="6" s="1"/>
  <c r="F307" i="6" a="1"/>
  <c r="F307" i="6" s="1"/>
  <c r="E307" i="6" a="1"/>
  <c r="E307" i="6" s="1"/>
  <c r="D307" i="6" a="1"/>
  <c r="D307" i="6" s="1"/>
  <c r="S306" i="6" a="1"/>
  <c r="S306" i="6" s="1"/>
  <c r="R306" i="6" a="1"/>
  <c r="R306" i="6" s="1"/>
  <c r="Q306" i="6" a="1"/>
  <c r="Q306" i="6" s="1"/>
  <c r="P306" i="6" a="1"/>
  <c r="P306" i="6" s="1"/>
  <c r="O306" i="6" a="1"/>
  <c r="O306" i="6" s="1"/>
  <c r="N306" i="6" a="1"/>
  <c r="N306" i="6" s="1"/>
  <c r="M306" i="6" a="1"/>
  <c r="M306" i="6" s="1"/>
  <c r="L306" i="6" a="1"/>
  <c r="L306" i="6" s="1"/>
  <c r="K306" i="6" a="1"/>
  <c r="K306" i="6" s="1"/>
  <c r="J306" i="6" a="1"/>
  <c r="J306" i="6" s="1"/>
  <c r="I306" i="6" a="1"/>
  <c r="I306" i="6" s="1"/>
  <c r="H306" i="6" a="1"/>
  <c r="H306" i="6" s="1"/>
  <c r="G306" i="6" a="1"/>
  <c r="G306" i="6" s="1"/>
  <c r="F306" i="6" a="1"/>
  <c r="F306" i="6" s="1"/>
  <c r="E306" i="6" a="1"/>
  <c r="E306" i="6" s="1"/>
  <c r="D306" i="6" a="1"/>
  <c r="D306" i="6" s="1"/>
  <c r="S305" i="6" a="1"/>
  <c r="S305" i="6" s="1"/>
  <c r="R305" i="6" a="1"/>
  <c r="R305" i="6" s="1"/>
  <c r="Q305" i="6" a="1"/>
  <c r="Q305" i="6" s="1"/>
  <c r="P305" i="6" a="1"/>
  <c r="P305" i="6" s="1"/>
  <c r="O305" i="6" a="1"/>
  <c r="O305" i="6" s="1"/>
  <c r="N305" i="6" a="1"/>
  <c r="N305" i="6" s="1"/>
  <c r="M305" i="6" a="1"/>
  <c r="M305" i="6" s="1"/>
  <c r="L305" i="6"/>
  <c r="L305" i="6" a="1"/>
  <c r="K305" i="6" a="1"/>
  <c r="K305" i="6" s="1"/>
  <c r="J305" i="6" a="1"/>
  <c r="J305" i="6" s="1"/>
  <c r="I305" i="6" a="1"/>
  <c r="I305" i="6" s="1"/>
  <c r="H305" i="6" a="1"/>
  <c r="H305" i="6" s="1"/>
  <c r="G305" i="6" a="1"/>
  <c r="G305" i="6" s="1"/>
  <c r="F305" i="6"/>
  <c r="F305" i="6" a="1"/>
  <c r="E305" i="6" a="1"/>
  <c r="E305" i="6" s="1"/>
  <c r="D305" i="6" a="1"/>
  <c r="D305" i="6" s="1"/>
  <c r="S304" i="6" a="1"/>
  <c r="S304" i="6" s="1"/>
  <c r="R304" i="6"/>
  <c r="R304" i="6" a="1"/>
  <c r="Q304" i="6" a="1"/>
  <c r="Q304" i="6" s="1"/>
  <c r="P304" i="6" a="1"/>
  <c r="P304" i="6" s="1"/>
  <c r="O304" i="6" a="1"/>
  <c r="O304" i="6" s="1"/>
  <c r="N304" i="6" a="1"/>
  <c r="N304" i="6" s="1"/>
  <c r="M304" i="6" a="1"/>
  <c r="M304" i="6" s="1"/>
  <c r="L304" i="6" a="1"/>
  <c r="L304" i="6" s="1"/>
  <c r="K304" i="6" a="1"/>
  <c r="K304" i="6" s="1"/>
  <c r="J304" i="6" a="1"/>
  <c r="J304" i="6" s="1"/>
  <c r="I304" i="6" a="1"/>
  <c r="I304" i="6" s="1"/>
  <c r="H304" i="6" a="1"/>
  <c r="H304" i="6" s="1"/>
  <c r="G304" i="6" a="1"/>
  <c r="G304" i="6" s="1"/>
  <c r="F304" i="6" a="1"/>
  <c r="F304" i="6" s="1"/>
  <c r="E304" i="6" a="1"/>
  <c r="E304" i="6" s="1"/>
  <c r="D304" i="6" a="1"/>
  <c r="D304" i="6" s="1"/>
  <c r="S303" i="6" a="1"/>
  <c r="S303" i="6" s="1"/>
  <c r="R303" i="6" a="1"/>
  <c r="R303" i="6" s="1"/>
  <c r="Q303" i="6" a="1"/>
  <c r="Q303" i="6" s="1"/>
  <c r="P303" i="6" a="1"/>
  <c r="P303" i="6" s="1"/>
  <c r="O303" i="6" a="1"/>
  <c r="O303" i="6" s="1"/>
  <c r="N303" i="6" a="1"/>
  <c r="N303" i="6" s="1"/>
  <c r="M303" i="6" a="1"/>
  <c r="M303" i="6" s="1"/>
  <c r="L303" i="6" a="1"/>
  <c r="L303" i="6" s="1"/>
  <c r="K303" i="6" a="1"/>
  <c r="K303" i="6" s="1"/>
  <c r="J303" i="6" a="1"/>
  <c r="J303" i="6" s="1"/>
  <c r="I303" i="6"/>
  <c r="I303" i="6" a="1"/>
  <c r="H303" i="6"/>
  <c r="H303" i="6" a="1"/>
  <c r="G303" i="6" a="1"/>
  <c r="G303" i="6" s="1"/>
  <c r="F303" i="6" a="1"/>
  <c r="F303" i="6" s="1"/>
  <c r="E303" i="6" a="1"/>
  <c r="E303" i="6" s="1"/>
  <c r="D303" i="6" a="1"/>
  <c r="D303" i="6" s="1"/>
  <c r="S302" i="6" a="1"/>
  <c r="S302" i="6" s="1"/>
  <c r="R302" i="6" a="1"/>
  <c r="R302" i="6" s="1"/>
  <c r="Q302" i="6" a="1"/>
  <c r="Q302" i="6" s="1"/>
  <c r="P302" i="6" a="1"/>
  <c r="P302" i="6" s="1"/>
  <c r="O302" i="6"/>
  <c r="O302" i="6" a="1"/>
  <c r="N302" i="6"/>
  <c r="N302" i="6" a="1"/>
  <c r="M302" i="6" a="1"/>
  <c r="M302" i="6" s="1"/>
  <c r="L302" i="6" a="1"/>
  <c r="L302" i="6" s="1"/>
  <c r="K302" i="6" a="1"/>
  <c r="K302" i="6" s="1"/>
  <c r="J302" i="6" a="1"/>
  <c r="J302" i="6" s="1"/>
  <c r="I302" i="6"/>
  <c r="I302" i="6" a="1"/>
  <c r="H302" i="6" a="1"/>
  <c r="H302" i="6" s="1"/>
  <c r="G302" i="6" a="1"/>
  <c r="G302" i="6" s="1"/>
  <c r="F302" i="6" a="1"/>
  <c r="F302" i="6" s="1"/>
  <c r="E302" i="6" a="1"/>
  <c r="E302" i="6" s="1"/>
  <c r="D302" i="6" a="1"/>
  <c r="D302" i="6" s="1"/>
  <c r="S301" i="6" a="1"/>
  <c r="S301" i="6" s="1"/>
  <c r="R301" i="6" a="1"/>
  <c r="R301" i="6" s="1"/>
  <c r="Q301" i="6" a="1"/>
  <c r="Q301" i="6" s="1"/>
  <c r="P301" i="6"/>
  <c r="P301" i="6" a="1"/>
  <c r="O301" i="6" a="1"/>
  <c r="O301" i="6" s="1"/>
  <c r="N301" i="6" a="1"/>
  <c r="N301" i="6" s="1"/>
  <c r="M301" i="6" a="1"/>
  <c r="M301" i="6" s="1"/>
  <c r="L301" i="6" a="1"/>
  <c r="L301" i="6" s="1"/>
  <c r="K301" i="6" a="1"/>
  <c r="K301" i="6" s="1"/>
  <c r="J301" i="6" a="1"/>
  <c r="J301" i="6" s="1"/>
  <c r="I301" i="6" a="1"/>
  <c r="I301" i="6" s="1"/>
  <c r="H301" i="6" a="1"/>
  <c r="H301" i="6" s="1"/>
  <c r="G301" i="6" a="1"/>
  <c r="G301" i="6" s="1"/>
  <c r="F301" i="6" a="1"/>
  <c r="F301" i="6" s="1"/>
  <c r="E301" i="6" a="1"/>
  <c r="E301" i="6" s="1"/>
  <c r="D301" i="6" a="1"/>
  <c r="D301" i="6" s="1"/>
  <c r="S300" i="6"/>
  <c r="S300" i="6" a="1"/>
  <c r="R300" i="6" a="1"/>
  <c r="R300" i="6" s="1"/>
  <c r="Q300" i="6" a="1"/>
  <c r="Q300" i="6" s="1"/>
  <c r="P300" i="6" a="1"/>
  <c r="P300" i="6" s="1"/>
  <c r="O300" i="6" a="1"/>
  <c r="O300" i="6" s="1"/>
  <c r="N300" i="6" a="1"/>
  <c r="N300" i="6" s="1"/>
  <c r="M300" i="6" a="1"/>
  <c r="M300" i="6" s="1"/>
  <c r="L300" i="6" a="1"/>
  <c r="L300" i="6" s="1"/>
  <c r="K300" i="6" a="1"/>
  <c r="K300" i="6" s="1"/>
  <c r="J300" i="6"/>
  <c r="J300" i="6" a="1"/>
  <c r="I300" i="6" a="1"/>
  <c r="I300" i="6" s="1"/>
  <c r="H300" i="6" a="1"/>
  <c r="H300" i="6" s="1"/>
  <c r="G300" i="6" a="1"/>
  <c r="G300" i="6" s="1"/>
  <c r="F300" i="6" a="1"/>
  <c r="F300" i="6" s="1"/>
  <c r="E300" i="6" a="1"/>
  <c r="E300" i="6" s="1"/>
  <c r="D300" i="6" a="1"/>
  <c r="D300" i="6" s="1"/>
  <c r="S299" i="6" a="1"/>
  <c r="S299" i="6" s="1"/>
  <c r="R299" i="6" a="1"/>
  <c r="R299" i="6" s="1"/>
  <c r="Q299" i="6" a="1"/>
  <c r="Q299" i="6" s="1"/>
  <c r="P299" i="6" a="1"/>
  <c r="P299" i="6" s="1"/>
  <c r="O299" i="6"/>
  <c r="O299" i="6" a="1"/>
  <c r="N299" i="6" a="1"/>
  <c r="N299" i="6" s="1"/>
  <c r="M299" i="6" a="1"/>
  <c r="M299" i="6" s="1"/>
  <c r="L299" i="6" a="1"/>
  <c r="L299" i="6" s="1"/>
  <c r="K299" i="6" a="1"/>
  <c r="K299" i="6" s="1"/>
  <c r="J299" i="6" a="1"/>
  <c r="J299" i="6" s="1"/>
  <c r="I299" i="6" a="1"/>
  <c r="I299" i="6" s="1"/>
  <c r="H299" i="6"/>
  <c r="H299" i="6" a="1"/>
  <c r="G299" i="6" a="1"/>
  <c r="G299" i="6" s="1"/>
  <c r="F299" i="6" a="1"/>
  <c r="F299" i="6" s="1"/>
  <c r="E299" i="6" a="1"/>
  <c r="E299" i="6" s="1"/>
  <c r="D299" i="6" a="1"/>
  <c r="D299" i="6" s="1"/>
  <c r="S298" i="6"/>
  <c r="S298" i="6" a="1"/>
  <c r="R298" i="6" a="1"/>
  <c r="R298" i="6" s="1"/>
  <c r="Q298" i="6" a="1"/>
  <c r="Q298" i="6" s="1"/>
  <c r="P298" i="6" a="1"/>
  <c r="P298" i="6" s="1"/>
  <c r="O298" i="6" a="1"/>
  <c r="O298" i="6" s="1"/>
  <c r="N298" i="6" a="1"/>
  <c r="N298" i="6" s="1"/>
  <c r="M298" i="6"/>
  <c r="M298" i="6" a="1"/>
  <c r="L298" i="6" a="1"/>
  <c r="L298" i="6" s="1"/>
  <c r="K298" i="6" a="1"/>
  <c r="K298" i="6" s="1"/>
  <c r="J298" i="6"/>
  <c r="J298" i="6" a="1"/>
  <c r="I298" i="6" a="1"/>
  <c r="I298" i="6" s="1"/>
  <c r="H298" i="6" a="1"/>
  <c r="H298" i="6" s="1"/>
  <c r="G298" i="6" a="1"/>
  <c r="G298" i="6" s="1"/>
  <c r="F298" i="6" a="1"/>
  <c r="F298" i="6" s="1"/>
  <c r="E298" i="6" a="1"/>
  <c r="E298" i="6" s="1"/>
  <c r="D298" i="6" a="1"/>
  <c r="D298" i="6" s="1"/>
  <c r="S297" i="6" a="1"/>
  <c r="S297" i="6" s="1"/>
  <c r="R297" i="6" a="1"/>
  <c r="R297" i="6" s="1"/>
  <c r="Q297" i="6" a="1"/>
  <c r="Q297" i="6" s="1"/>
  <c r="P297" i="6" a="1"/>
  <c r="P297" i="6" s="1"/>
  <c r="O297" i="6" a="1"/>
  <c r="O297" i="6" s="1"/>
  <c r="N297" i="6" a="1"/>
  <c r="N297" i="6" s="1"/>
  <c r="M297" i="6" a="1"/>
  <c r="M297" i="6" s="1"/>
  <c r="L297" i="6" a="1"/>
  <c r="L297" i="6" s="1"/>
  <c r="K297" i="6"/>
  <c r="K297" i="6" a="1"/>
  <c r="J297" i="6" a="1"/>
  <c r="J297" i="6" s="1"/>
  <c r="I297" i="6" a="1"/>
  <c r="I297" i="6" s="1"/>
  <c r="H297" i="6" a="1"/>
  <c r="H297" i="6" s="1"/>
  <c r="G297" i="6" a="1"/>
  <c r="G297" i="6" s="1"/>
  <c r="F297" i="6" a="1"/>
  <c r="F297" i="6" s="1"/>
  <c r="E297" i="6"/>
  <c r="E297" i="6" a="1"/>
  <c r="D297" i="6"/>
  <c r="D297" i="6" a="1"/>
  <c r="S296" i="6" a="1"/>
  <c r="S296" i="6" s="1"/>
  <c r="R296" i="6"/>
  <c r="R296" i="6" a="1"/>
  <c r="Q296" i="6" a="1"/>
  <c r="Q296" i="6" s="1"/>
  <c r="P296" i="6" a="1"/>
  <c r="P296" i="6" s="1"/>
  <c r="O296" i="6" a="1"/>
  <c r="O296" i="6" s="1"/>
  <c r="N296" i="6" a="1"/>
  <c r="N296" i="6" s="1"/>
  <c r="M296" i="6" a="1"/>
  <c r="M296" i="6" s="1"/>
  <c r="L296" i="6" a="1"/>
  <c r="L296" i="6" s="1"/>
  <c r="K296" i="6"/>
  <c r="K296" i="6" a="1"/>
  <c r="J296" i="6" a="1"/>
  <c r="J296" i="6" s="1"/>
  <c r="I296" i="6" a="1"/>
  <c r="I296" i="6" s="1"/>
  <c r="H296" i="6" a="1"/>
  <c r="H296" i="6" s="1"/>
  <c r="G296" i="6" a="1"/>
  <c r="G296" i="6" s="1"/>
  <c r="F296" i="6" a="1"/>
  <c r="F296" i="6" s="1"/>
  <c r="E296" i="6" a="1"/>
  <c r="E296" i="6" s="1"/>
  <c r="D296" i="6"/>
  <c r="D296" i="6" a="1"/>
  <c r="S295" i="6" a="1"/>
  <c r="S295" i="6" s="1"/>
  <c r="R295" i="6" a="1"/>
  <c r="R295" i="6" s="1"/>
  <c r="Q295" i="6" a="1"/>
  <c r="Q295" i="6" s="1"/>
  <c r="P295" i="6" a="1"/>
  <c r="P295" i="6" s="1"/>
  <c r="O295" i="6" a="1"/>
  <c r="O295" i="6" s="1"/>
  <c r="N295" i="6" a="1"/>
  <c r="N295" i="6" s="1"/>
  <c r="M295" i="6" a="1"/>
  <c r="M295" i="6" s="1"/>
  <c r="L295" i="6" a="1"/>
  <c r="L295" i="6" s="1"/>
  <c r="K295" i="6" a="1"/>
  <c r="K295" i="6" s="1"/>
  <c r="J295" i="6" a="1"/>
  <c r="J295" i="6" s="1"/>
  <c r="I295" i="6" a="1"/>
  <c r="I295" i="6" s="1"/>
  <c r="H295" i="6"/>
  <c r="H295" i="6" a="1"/>
  <c r="G295" i="6" a="1"/>
  <c r="G295" i="6" s="1"/>
  <c r="F295" i="6" a="1"/>
  <c r="F295" i="6" s="1"/>
  <c r="E295" i="6" a="1"/>
  <c r="E295" i="6" s="1"/>
  <c r="D295" i="6" a="1"/>
  <c r="D295" i="6" s="1"/>
  <c r="S294" i="6" a="1"/>
  <c r="S294" i="6" s="1"/>
  <c r="R294" i="6" a="1"/>
  <c r="R294" i="6" s="1"/>
  <c r="Q294" i="6" a="1"/>
  <c r="Q294" i="6" s="1"/>
  <c r="P294" i="6" a="1"/>
  <c r="P294" i="6" s="1"/>
  <c r="O294" i="6" a="1"/>
  <c r="O294" i="6" s="1"/>
  <c r="N294" i="6" a="1"/>
  <c r="N294" i="6" s="1"/>
  <c r="M294" i="6" a="1"/>
  <c r="M294" i="6" s="1"/>
  <c r="L294" i="6" a="1"/>
  <c r="L294" i="6" s="1"/>
  <c r="K294" i="6" a="1"/>
  <c r="K294" i="6" s="1"/>
  <c r="J294" i="6" a="1"/>
  <c r="J294" i="6" s="1"/>
  <c r="I294" i="6" a="1"/>
  <c r="I294" i="6" s="1"/>
  <c r="H294" i="6" a="1"/>
  <c r="H294" i="6" s="1"/>
  <c r="G294" i="6" a="1"/>
  <c r="G294" i="6" s="1"/>
  <c r="F294" i="6" a="1"/>
  <c r="F294" i="6" s="1"/>
  <c r="E294" i="6" a="1"/>
  <c r="E294" i="6" s="1"/>
  <c r="D294" i="6" a="1"/>
  <c r="D294" i="6" s="1"/>
  <c r="S293" i="6" a="1"/>
  <c r="S293" i="6" s="1"/>
  <c r="R293" i="6" a="1"/>
  <c r="R293" i="6" s="1"/>
  <c r="Q293" i="6" a="1"/>
  <c r="Q293" i="6" s="1"/>
  <c r="P293" i="6" a="1"/>
  <c r="P293" i="6" s="1"/>
  <c r="O293" i="6" a="1"/>
  <c r="O293" i="6" s="1"/>
  <c r="N293" i="6" a="1"/>
  <c r="N293" i="6" s="1"/>
  <c r="M293" i="6" a="1"/>
  <c r="M293" i="6" s="1"/>
  <c r="L293" i="6" a="1"/>
  <c r="L293" i="6" s="1"/>
  <c r="K293" i="6" a="1"/>
  <c r="K293" i="6" s="1"/>
  <c r="J293" i="6"/>
  <c r="J293" i="6" a="1"/>
  <c r="I293" i="6" a="1"/>
  <c r="I293" i="6" s="1"/>
  <c r="H293" i="6" a="1"/>
  <c r="H293" i="6" s="1"/>
  <c r="G293" i="6" a="1"/>
  <c r="G293" i="6" s="1"/>
  <c r="F293" i="6" a="1"/>
  <c r="F293" i="6" s="1"/>
  <c r="E293" i="6"/>
  <c r="E293" i="6" a="1"/>
  <c r="D293" i="6" a="1"/>
  <c r="D293" i="6" s="1"/>
  <c r="S292" i="6" a="1"/>
  <c r="S292" i="6" s="1"/>
  <c r="R292" i="6" a="1"/>
  <c r="R292" i="6" s="1"/>
  <c r="Q292" i="6" a="1"/>
  <c r="Q292" i="6" s="1"/>
  <c r="P292" i="6" a="1"/>
  <c r="P292" i="6" s="1"/>
  <c r="O292" i="6" a="1"/>
  <c r="O292" i="6" s="1"/>
  <c r="N292" i="6" a="1"/>
  <c r="N292" i="6" s="1"/>
  <c r="M292" i="6" a="1"/>
  <c r="M292" i="6" s="1"/>
  <c r="L292" i="6"/>
  <c r="L292" i="6" a="1"/>
  <c r="K292" i="6"/>
  <c r="K292" i="6" a="1"/>
  <c r="J292" i="6" a="1"/>
  <c r="J292" i="6" s="1"/>
  <c r="I292" i="6" a="1"/>
  <c r="I292" i="6" s="1"/>
  <c r="H292" i="6" a="1"/>
  <c r="H292" i="6" s="1"/>
  <c r="G292" i="6" a="1"/>
  <c r="G292" i="6" s="1"/>
  <c r="F292" i="6" a="1"/>
  <c r="F292" i="6" s="1"/>
  <c r="E292" i="6" a="1"/>
  <c r="E292" i="6" s="1"/>
  <c r="D292" i="6" a="1"/>
  <c r="D292" i="6" s="1"/>
  <c r="S291" i="6" a="1"/>
  <c r="S291" i="6" s="1"/>
  <c r="R291" i="6" a="1"/>
  <c r="R291" i="6" s="1"/>
  <c r="Q291" i="6" a="1"/>
  <c r="Q291" i="6" s="1"/>
  <c r="P291" i="6" a="1"/>
  <c r="P291" i="6" s="1"/>
  <c r="O291" i="6" a="1"/>
  <c r="O291" i="6" s="1"/>
  <c r="N291" i="6" a="1"/>
  <c r="N291" i="6" s="1"/>
  <c r="M291" i="6" a="1"/>
  <c r="M291" i="6" s="1"/>
  <c r="L291" i="6" a="1"/>
  <c r="L291" i="6" s="1"/>
  <c r="K291" i="6" a="1"/>
  <c r="K291" i="6" s="1"/>
  <c r="J291" i="6"/>
  <c r="J291" i="6" a="1"/>
  <c r="I291" i="6" a="1"/>
  <c r="I291" i="6" s="1"/>
  <c r="H291" i="6" a="1"/>
  <c r="H291" i="6" s="1"/>
  <c r="G291" i="6" a="1"/>
  <c r="G291" i="6" s="1"/>
  <c r="F291" i="6"/>
  <c r="F291" i="6" a="1"/>
  <c r="E291" i="6" a="1"/>
  <c r="E291" i="6" s="1"/>
  <c r="D291" i="6" a="1"/>
  <c r="D291" i="6" s="1"/>
  <c r="S290" i="6" a="1"/>
  <c r="S290" i="6" s="1"/>
  <c r="R290" i="6"/>
  <c r="R290" i="6" a="1"/>
  <c r="Q290" i="6" a="1"/>
  <c r="Q290" i="6" s="1"/>
  <c r="P290" i="6" a="1"/>
  <c r="P290" i="6" s="1"/>
  <c r="O290" i="6" a="1"/>
  <c r="O290" i="6" s="1"/>
  <c r="N290" i="6" a="1"/>
  <c r="N290" i="6" s="1"/>
  <c r="M290" i="6" a="1"/>
  <c r="M290" i="6" s="1"/>
  <c r="L290" i="6" a="1"/>
  <c r="L290" i="6" s="1"/>
  <c r="K290" i="6" a="1"/>
  <c r="K290" i="6" s="1"/>
  <c r="J290" i="6" a="1"/>
  <c r="J290" i="6" s="1"/>
  <c r="I290" i="6" a="1"/>
  <c r="I290" i="6" s="1"/>
  <c r="H290" i="6"/>
  <c r="H290" i="6" a="1"/>
  <c r="G290" i="6"/>
  <c r="G290" i="6" a="1"/>
  <c r="F290" i="6"/>
  <c r="F290" i="6" a="1"/>
  <c r="E290" i="6" a="1"/>
  <c r="E290" i="6" s="1"/>
  <c r="D290" i="6" a="1"/>
  <c r="D290" i="6" s="1"/>
  <c r="S289" i="6" a="1"/>
  <c r="S289" i="6" s="1"/>
  <c r="R289" i="6" a="1"/>
  <c r="R289" i="6" s="1"/>
  <c r="Q289" i="6" a="1"/>
  <c r="Q289" i="6" s="1"/>
  <c r="P289" i="6" a="1"/>
  <c r="P289" i="6" s="1"/>
  <c r="O289" i="6" a="1"/>
  <c r="O289" i="6" s="1"/>
  <c r="N289" i="6" a="1"/>
  <c r="N289" i="6" s="1"/>
  <c r="M289" i="6" a="1"/>
  <c r="M289" i="6" s="1"/>
  <c r="L289" i="6" a="1"/>
  <c r="L289" i="6" s="1"/>
  <c r="K289" i="6" a="1"/>
  <c r="K289" i="6" s="1"/>
  <c r="J289" i="6" a="1"/>
  <c r="J289" i="6" s="1"/>
  <c r="I289" i="6" a="1"/>
  <c r="I289" i="6" s="1"/>
  <c r="H289" i="6" a="1"/>
  <c r="H289" i="6" s="1"/>
  <c r="G289" i="6" a="1"/>
  <c r="G289" i="6" s="1"/>
  <c r="F289" i="6" a="1"/>
  <c r="F289" i="6" s="1"/>
  <c r="E289" i="6" a="1"/>
  <c r="E289" i="6" s="1"/>
  <c r="D289" i="6" a="1"/>
  <c r="D289" i="6" s="1"/>
  <c r="S288" i="6"/>
  <c r="S288" i="6" a="1"/>
  <c r="R288" i="6" a="1"/>
  <c r="R288" i="6" s="1"/>
  <c r="Q288" i="6" a="1"/>
  <c r="Q288" i="6" s="1"/>
  <c r="P288" i="6" a="1"/>
  <c r="P288" i="6" s="1"/>
  <c r="O288" i="6" a="1"/>
  <c r="O288" i="6" s="1"/>
  <c r="N288" i="6"/>
  <c r="N288" i="6" a="1"/>
  <c r="M288" i="6" a="1"/>
  <c r="M288" i="6" s="1"/>
  <c r="L288" i="6" a="1"/>
  <c r="L288" i="6" s="1"/>
  <c r="K288" i="6" a="1"/>
  <c r="K288" i="6" s="1"/>
  <c r="J288" i="6" a="1"/>
  <c r="J288" i="6" s="1"/>
  <c r="I288" i="6" a="1"/>
  <c r="I288" i="6" s="1"/>
  <c r="H288" i="6" a="1"/>
  <c r="H288" i="6" s="1"/>
  <c r="G288" i="6" a="1"/>
  <c r="G288" i="6" s="1"/>
  <c r="F288" i="6" a="1"/>
  <c r="F288" i="6" s="1"/>
  <c r="E288" i="6" a="1"/>
  <c r="E288" i="6" s="1"/>
  <c r="D288" i="6" a="1"/>
  <c r="D288" i="6" s="1"/>
  <c r="S287" i="6" a="1"/>
  <c r="S287" i="6" s="1"/>
  <c r="R287" i="6" a="1"/>
  <c r="R287" i="6" s="1"/>
  <c r="Q287" i="6"/>
  <c r="Q287" i="6" a="1"/>
  <c r="P287" i="6"/>
  <c r="P287" i="6" a="1"/>
  <c r="O287" i="6" a="1"/>
  <c r="O287" i="6" s="1"/>
  <c r="N287" i="6" a="1"/>
  <c r="N287" i="6" s="1"/>
  <c r="M287" i="6" a="1"/>
  <c r="M287" i="6" s="1"/>
  <c r="L287" i="6" a="1"/>
  <c r="L287" i="6" s="1"/>
  <c r="K287" i="6" a="1"/>
  <c r="K287" i="6" s="1"/>
  <c r="J287" i="6" a="1"/>
  <c r="J287" i="6" s="1"/>
  <c r="I287" i="6" a="1"/>
  <c r="I287" i="6" s="1"/>
  <c r="H287" i="6" a="1"/>
  <c r="H287" i="6" s="1"/>
  <c r="G287" i="6" a="1"/>
  <c r="G287" i="6" s="1"/>
  <c r="F287" i="6" a="1"/>
  <c r="F287" i="6" s="1"/>
  <c r="E287" i="6" a="1"/>
  <c r="E287" i="6" s="1"/>
  <c r="D287" i="6" a="1"/>
  <c r="D287" i="6" s="1"/>
  <c r="S286" i="6" a="1"/>
  <c r="S286" i="6" s="1"/>
  <c r="R286" i="6" a="1"/>
  <c r="R286" i="6" s="1"/>
  <c r="Q286" i="6" a="1"/>
  <c r="Q286" i="6" s="1"/>
  <c r="P286" i="6" a="1"/>
  <c r="P286" i="6" s="1"/>
  <c r="O286" i="6" a="1"/>
  <c r="O286" i="6" s="1"/>
  <c r="N286" i="6" a="1"/>
  <c r="N286" i="6" s="1"/>
  <c r="M286" i="6" a="1"/>
  <c r="M286" i="6" s="1"/>
  <c r="L286" i="6" a="1"/>
  <c r="L286" i="6" s="1"/>
  <c r="K286" i="6" a="1"/>
  <c r="K286" i="6" s="1"/>
  <c r="J286" i="6"/>
  <c r="J286" i="6" a="1"/>
  <c r="I286" i="6" a="1"/>
  <c r="I286" i="6" s="1"/>
  <c r="H286" i="6" a="1"/>
  <c r="H286" i="6" s="1"/>
  <c r="G286" i="6"/>
  <c r="G286" i="6" a="1"/>
  <c r="F286" i="6" a="1"/>
  <c r="F286" i="6" s="1"/>
  <c r="E286" i="6" a="1"/>
  <c r="E286" i="6" s="1"/>
  <c r="D286" i="6" a="1"/>
  <c r="D286" i="6" s="1"/>
  <c r="S285" i="6" a="1"/>
  <c r="S285" i="6" s="1"/>
  <c r="R285" i="6" a="1"/>
  <c r="R285" i="6" s="1"/>
  <c r="Q285" i="6"/>
  <c r="Q285" i="6" a="1"/>
  <c r="P285" i="6" a="1"/>
  <c r="P285" i="6" s="1"/>
  <c r="O285" i="6" a="1"/>
  <c r="O285" i="6" s="1"/>
  <c r="N285" i="6" a="1"/>
  <c r="N285" i="6" s="1"/>
  <c r="M285" i="6" a="1"/>
  <c r="M285" i="6" s="1"/>
  <c r="L285" i="6" a="1"/>
  <c r="L285" i="6" s="1"/>
  <c r="K285" i="6" a="1"/>
  <c r="K285" i="6" s="1"/>
  <c r="J285" i="6" a="1"/>
  <c r="J285" i="6" s="1"/>
  <c r="I285" i="6" a="1"/>
  <c r="I285" i="6" s="1"/>
  <c r="H285" i="6"/>
  <c r="H285" i="6" a="1"/>
  <c r="G285" i="6" a="1"/>
  <c r="G285" i="6" s="1"/>
  <c r="F285" i="6" a="1"/>
  <c r="F285" i="6" s="1"/>
  <c r="E285" i="6" a="1"/>
  <c r="E285" i="6" s="1"/>
  <c r="D285" i="6" a="1"/>
  <c r="D285" i="6" s="1"/>
  <c r="S284" i="6"/>
  <c r="S284" i="6" a="1"/>
  <c r="R284" i="6"/>
  <c r="R284" i="6" a="1"/>
  <c r="Q284" i="6" a="1"/>
  <c r="Q284" i="6" s="1"/>
  <c r="P284" i="6" a="1"/>
  <c r="P284" i="6" s="1"/>
  <c r="O284" i="6" a="1"/>
  <c r="O284" i="6" s="1"/>
  <c r="N284" i="6" a="1"/>
  <c r="N284" i="6" s="1"/>
  <c r="M284" i="6" a="1"/>
  <c r="M284" i="6" s="1"/>
  <c r="L284" i="6"/>
  <c r="L284" i="6" a="1"/>
  <c r="K284" i="6" a="1"/>
  <c r="K284" i="6" s="1"/>
  <c r="J284" i="6" a="1"/>
  <c r="J284" i="6" s="1"/>
  <c r="I284" i="6" a="1"/>
  <c r="I284" i="6" s="1"/>
  <c r="H284" i="6" a="1"/>
  <c r="H284" i="6" s="1"/>
  <c r="G284" i="6" a="1"/>
  <c r="G284" i="6" s="1"/>
  <c r="F284" i="6" a="1"/>
  <c r="F284" i="6" s="1"/>
  <c r="E284" i="6" a="1"/>
  <c r="E284" i="6" s="1"/>
  <c r="D284" i="6" a="1"/>
  <c r="D284" i="6" s="1"/>
  <c r="S283" i="6" a="1"/>
  <c r="S283" i="6" s="1"/>
  <c r="R283" i="6" a="1"/>
  <c r="R283" i="6" s="1"/>
  <c r="Q283" i="6"/>
  <c r="Q283" i="6" a="1"/>
  <c r="P283" i="6" a="1"/>
  <c r="P283" i="6" s="1"/>
  <c r="O283" i="6" a="1"/>
  <c r="O283" i="6" s="1"/>
  <c r="N283" i="6" a="1"/>
  <c r="N283" i="6" s="1"/>
  <c r="M283" i="6" a="1"/>
  <c r="M283" i="6" s="1"/>
  <c r="L283" i="6" a="1"/>
  <c r="L283" i="6" s="1"/>
  <c r="K283" i="6" a="1"/>
  <c r="K283" i="6" s="1"/>
  <c r="J283" i="6" a="1"/>
  <c r="J283" i="6" s="1"/>
  <c r="I283" i="6" a="1"/>
  <c r="I283" i="6" s="1"/>
  <c r="H283" i="6" a="1"/>
  <c r="H283" i="6" s="1"/>
  <c r="G283" i="6" a="1"/>
  <c r="G283" i="6" s="1"/>
  <c r="F283" i="6" a="1"/>
  <c r="F283" i="6" s="1"/>
  <c r="E283" i="6" a="1"/>
  <c r="E283" i="6" s="1"/>
  <c r="D283" i="6"/>
  <c r="D283" i="6" a="1"/>
  <c r="S282" i="6" a="1"/>
  <c r="S282" i="6" s="1"/>
  <c r="R282" i="6" a="1"/>
  <c r="R282" i="6" s="1"/>
  <c r="Q282" i="6" a="1"/>
  <c r="Q282" i="6" s="1"/>
  <c r="P282" i="6" a="1"/>
  <c r="P282" i="6" s="1"/>
  <c r="O282" i="6" a="1"/>
  <c r="O282" i="6" s="1"/>
  <c r="N282" i="6"/>
  <c r="N282" i="6" a="1"/>
  <c r="M282" i="6" a="1"/>
  <c r="M282" i="6" s="1"/>
  <c r="L282" i="6" a="1"/>
  <c r="L282" i="6" s="1"/>
  <c r="K282" i="6"/>
  <c r="K282" i="6" a="1"/>
  <c r="J282" i="6" a="1"/>
  <c r="J282" i="6" s="1"/>
  <c r="I282" i="6" a="1"/>
  <c r="I282" i="6" s="1"/>
  <c r="H282" i="6"/>
  <c r="H282" i="6" a="1"/>
  <c r="G282" i="6" a="1"/>
  <c r="G282" i="6" s="1"/>
  <c r="F282" i="6" a="1"/>
  <c r="F282" i="6" s="1"/>
  <c r="E282" i="6" a="1"/>
  <c r="E282" i="6" s="1"/>
  <c r="D282" i="6" a="1"/>
  <c r="D282" i="6" s="1"/>
  <c r="S281" i="6" a="1"/>
  <c r="S281" i="6" s="1"/>
  <c r="R281" i="6"/>
  <c r="R281" i="6" a="1"/>
  <c r="Q281" i="6" a="1"/>
  <c r="Q281" i="6" s="1"/>
  <c r="P281" i="6" a="1"/>
  <c r="P281" i="6" s="1"/>
  <c r="O281" i="6" a="1"/>
  <c r="O281" i="6" s="1"/>
  <c r="N281" i="6" a="1"/>
  <c r="N281" i="6" s="1"/>
  <c r="M281" i="6" a="1"/>
  <c r="M281" i="6" s="1"/>
  <c r="L281" i="6"/>
  <c r="L281" i="6" a="1"/>
  <c r="K281" i="6" a="1"/>
  <c r="K281" i="6" s="1"/>
  <c r="J281" i="6" a="1"/>
  <c r="J281" i="6" s="1"/>
  <c r="I281" i="6" a="1"/>
  <c r="I281" i="6" s="1"/>
  <c r="H281" i="6" a="1"/>
  <c r="H281" i="6" s="1"/>
  <c r="G281" i="6" a="1"/>
  <c r="G281" i="6" s="1"/>
  <c r="F281" i="6"/>
  <c r="F281" i="6" a="1"/>
  <c r="E281" i="6" a="1"/>
  <c r="E281" i="6" s="1"/>
  <c r="D281" i="6" a="1"/>
  <c r="D281" i="6" s="1"/>
  <c r="S280" i="6" a="1"/>
  <c r="S280" i="6" s="1"/>
  <c r="R280" i="6"/>
  <c r="R280" i="6" a="1"/>
  <c r="Q280" i="6" a="1"/>
  <c r="Q280" i="6" s="1"/>
  <c r="P280" i="6" a="1"/>
  <c r="P280" i="6" s="1"/>
  <c r="O280" i="6" a="1"/>
  <c r="O280" i="6" s="1"/>
  <c r="N280" i="6" a="1"/>
  <c r="N280" i="6" s="1"/>
  <c r="M280" i="6" a="1"/>
  <c r="M280" i="6" s="1"/>
  <c r="L280" i="6" a="1"/>
  <c r="L280" i="6" s="1"/>
  <c r="K280" i="6" a="1"/>
  <c r="K280" i="6" s="1"/>
  <c r="J280" i="6" a="1"/>
  <c r="J280" i="6" s="1"/>
  <c r="I280" i="6" a="1"/>
  <c r="I280" i="6" s="1"/>
  <c r="H280" i="6"/>
  <c r="H280" i="6" a="1"/>
  <c r="G280" i="6" a="1"/>
  <c r="G280" i="6" s="1"/>
  <c r="F280" i="6" a="1"/>
  <c r="F280" i="6" s="1"/>
  <c r="E280" i="6" a="1"/>
  <c r="E280" i="6" s="1"/>
  <c r="D280" i="6" a="1"/>
  <c r="D280" i="6" s="1"/>
  <c r="S279" i="6" a="1"/>
  <c r="S279" i="6" s="1"/>
  <c r="R279" i="6" a="1"/>
  <c r="R279" i="6" s="1"/>
  <c r="Q279" i="6" a="1"/>
  <c r="Q279" i="6" s="1"/>
  <c r="P279" i="6" a="1"/>
  <c r="P279" i="6" s="1"/>
  <c r="O279" i="6" a="1"/>
  <c r="O279" i="6" s="1"/>
  <c r="N279" i="6" a="1"/>
  <c r="N279" i="6" s="1"/>
  <c r="M279" i="6" a="1"/>
  <c r="M279" i="6" s="1"/>
  <c r="L279" i="6" a="1"/>
  <c r="L279" i="6" s="1"/>
  <c r="K279" i="6" a="1"/>
  <c r="K279" i="6" s="1"/>
  <c r="J279" i="6" a="1"/>
  <c r="J279" i="6" s="1"/>
  <c r="I279" i="6" a="1"/>
  <c r="I279" i="6" s="1"/>
  <c r="H279" i="6" a="1"/>
  <c r="H279" i="6" s="1"/>
  <c r="G279" i="6" a="1"/>
  <c r="G279" i="6" s="1"/>
  <c r="F279" i="6" a="1"/>
  <c r="F279" i="6" s="1"/>
  <c r="E279" i="6" a="1"/>
  <c r="E279" i="6" s="1"/>
  <c r="D279" i="6" a="1"/>
  <c r="D279" i="6" s="1"/>
  <c r="S278" i="6" a="1"/>
  <c r="S278" i="6" s="1"/>
  <c r="R278" i="6" a="1"/>
  <c r="R278" i="6" s="1"/>
  <c r="Q278" i="6" a="1"/>
  <c r="Q278" i="6" s="1"/>
  <c r="P278" i="6"/>
  <c r="P278" i="6" a="1"/>
  <c r="O278" i="6"/>
  <c r="O278" i="6" a="1"/>
  <c r="N278" i="6"/>
  <c r="N278" i="6" a="1"/>
  <c r="M278" i="6" a="1"/>
  <c r="M278" i="6" s="1"/>
  <c r="L278" i="6" a="1"/>
  <c r="L278" i="6" s="1"/>
  <c r="K278" i="6" a="1"/>
  <c r="K278" i="6" s="1"/>
  <c r="J278" i="6" a="1"/>
  <c r="J278" i="6" s="1"/>
  <c r="I278" i="6" a="1"/>
  <c r="I278" i="6" s="1"/>
  <c r="H278" i="6" a="1"/>
  <c r="H278" i="6" s="1"/>
  <c r="G278" i="6" a="1"/>
  <c r="G278" i="6" s="1"/>
  <c r="F278" i="6" a="1"/>
  <c r="F278" i="6" s="1"/>
  <c r="E278" i="6" a="1"/>
  <c r="E278" i="6" s="1"/>
  <c r="D278" i="6"/>
  <c r="D278" i="6" a="1"/>
  <c r="S277" i="6" a="1"/>
  <c r="S277" i="6" s="1"/>
  <c r="R277" i="6" a="1"/>
  <c r="R277" i="6" s="1"/>
  <c r="Q277" i="6" a="1"/>
  <c r="Q277" i="6" s="1"/>
  <c r="P277" i="6"/>
  <c r="P277" i="6" a="1"/>
  <c r="O277" i="6" a="1"/>
  <c r="O277" i="6" s="1"/>
  <c r="N277" i="6" a="1"/>
  <c r="N277" i="6" s="1"/>
  <c r="M277" i="6" a="1"/>
  <c r="M277" i="6" s="1"/>
  <c r="L277" i="6" a="1"/>
  <c r="L277" i="6" s="1"/>
  <c r="K277" i="6" a="1"/>
  <c r="K277" i="6" s="1"/>
  <c r="J277" i="6" a="1"/>
  <c r="J277" i="6" s="1"/>
  <c r="I277" i="6" a="1"/>
  <c r="I277" i="6" s="1"/>
  <c r="H277" i="6" a="1"/>
  <c r="H277" i="6" s="1"/>
  <c r="G277" i="6" a="1"/>
  <c r="G277" i="6" s="1"/>
  <c r="F277" i="6" a="1"/>
  <c r="F277" i="6" s="1"/>
  <c r="E277" i="6" a="1"/>
  <c r="E277" i="6" s="1"/>
  <c r="D277" i="6" a="1"/>
  <c r="D277" i="6" s="1"/>
  <c r="S276" i="6" a="1"/>
  <c r="S276" i="6" s="1"/>
  <c r="R276" i="6" a="1"/>
  <c r="R276" i="6" s="1"/>
  <c r="Q276" i="6" a="1"/>
  <c r="Q276" i="6" s="1"/>
  <c r="P276" i="6" a="1"/>
  <c r="P276" i="6" s="1"/>
  <c r="O276" i="6" a="1"/>
  <c r="O276" i="6" s="1"/>
  <c r="N276" i="6" a="1"/>
  <c r="N276" i="6" s="1"/>
  <c r="M276" i="6" a="1"/>
  <c r="M276" i="6" s="1"/>
  <c r="L276" i="6" a="1"/>
  <c r="L276" i="6" s="1"/>
  <c r="K276" i="6" a="1"/>
  <c r="K276" i="6" s="1"/>
  <c r="J276" i="6"/>
  <c r="J276" i="6" a="1"/>
  <c r="I276" i="6"/>
  <c r="I276" i="6" a="1"/>
  <c r="H276" i="6" a="1"/>
  <c r="H276" i="6" s="1"/>
  <c r="G276" i="6" a="1"/>
  <c r="G276" i="6" s="1"/>
  <c r="F276" i="6"/>
  <c r="F276" i="6" a="1"/>
  <c r="E276" i="6" a="1"/>
  <c r="E276" i="6" s="1"/>
  <c r="D276" i="6" a="1"/>
  <c r="D276" i="6" s="1"/>
  <c r="S275" i="6" a="1"/>
  <c r="S275" i="6" s="1"/>
  <c r="R275" i="6" a="1"/>
  <c r="R275" i="6" s="1"/>
  <c r="Q275" i="6" a="1"/>
  <c r="Q275" i="6" s="1"/>
  <c r="P275" i="6" a="1"/>
  <c r="P275" i="6" s="1"/>
  <c r="O275" i="6" a="1"/>
  <c r="O275" i="6" s="1"/>
  <c r="N275" i="6" a="1"/>
  <c r="N275" i="6" s="1"/>
  <c r="M275" i="6" a="1"/>
  <c r="M275" i="6" s="1"/>
  <c r="L275" i="6" a="1"/>
  <c r="L275" i="6" s="1"/>
  <c r="K275" i="6" a="1"/>
  <c r="K275" i="6" s="1"/>
  <c r="J275" i="6" a="1"/>
  <c r="J275" i="6" s="1"/>
  <c r="I275" i="6" a="1"/>
  <c r="I275" i="6" s="1"/>
  <c r="H275" i="6" a="1"/>
  <c r="H275" i="6" s="1"/>
  <c r="G275" i="6" a="1"/>
  <c r="G275" i="6" s="1"/>
  <c r="F275" i="6" a="1"/>
  <c r="F275" i="6" s="1"/>
  <c r="E275" i="6" a="1"/>
  <c r="E275" i="6" s="1"/>
  <c r="D275" i="6" a="1"/>
  <c r="D275" i="6" s="1"/>
  <c r="S274" i="6" a="1"/>
  <c r="S274" i="6" s="1"/>
  <c r="R274" i="6" a="1"/>
  <c r="R274" i="6" s="1"/>
  <c r="Q274" i="6" a="1"/>
  <c r="Q274" i="6" s="1"/>
  <c r="P274" i="6" a="1"/>
  <c r="P274" i="6" s="1"/>
  <c r="O274" i="6" a="1"/>
  <c r="O274" i="6" s="1"/>
  <c r="N274" i="6" a="1"/>
  <c r="N274" i="6" s="1"/>
  <c r="M274" i="6" a="1"/>
  <c r="M274" i="6" s="1"/>
  <c r="L274" i="6" a="1"/>
  <c r="L274" i="6" s="1"/>
  <c r="K274" i="6" a="1"/>
  <c r="K274" i="6" s="1"/>
  <c r="J274" i="6" a="1"/>
  <c r="J274" i="6" s="1"/>
  <c r="I274" i="6" a="1"/>
  <c r="I274" i="6" s="1"/>
  <c r="H274" i="6" a="1"/>
  <c r="H274" i="6" s="1"/>
  <c r="G274" i="6" a="1"/>
  <c r="G274" i="6" s="1"/>
  <c r="F274" i="6" a="1"/>
  <c r="F274" i="6" s="1"/>
  <c r="E274" i="6" a="1"/>
  <c r="E274" i="6" s="1"/>
  <c r="D274" i="6" a="1"/>
  <c r="D274" i="6" s="1"/>
  <c r="S273" i="6" a="1"/>
  <c r="S273" i="6" s="1"/>
  <c r="R273" i="6" a="1"/>
  <c r="R273" i="6" s="1"/>
  <c r="Q273" i="6" a="1"/>
  <c r="Q273" i="6" s="1"/>
  <c r="P273" i="6" a="1"/>
  <c r="P273" i="6" s="1"/>
  <c r="O273" i="6" a="1"/>
  <c r="O273" i="6" s="1"/>
  <c r="N273" i="6" a="1"/>
  <c r="N273" i="6" s="1"/>
  <c r="M273" i="6" a="1"/>
  <c r="M273" i="6" s="1"/>
  <c r="L273" i="6" a="1"/>
  <c r="L273" i="6" s="1"/>
  <c r="K273" i="6" a="1"/>
  <c r="K273" i="6" s="1"/>
  <c r="J273" i="6" a="1"/>
  <c r="J273" i="6" s="1"/>
  <c r="I273" i="6" a="1"/>
  <c r="I273" i="6" s="1"/>
  <c r="H273" i="6" a="1"/>
  <c r="H273" i="6" s="1"/>
  <c r="G273" i="6" a="1"/>
  <c r="G273" i="6" s="1"/>
  <c r="F273" i="6" a="1"/>
  <c r="F273" i="6" s="1"/>
  <c r="E273" i="6" a="1"/>
  <c r="E273" i="6" s="1"/>
  <c r="D273" i="6" a="1"/>
  <c r="D273" i="6" s="1"/>
  <c r="S272" i="6" a="1"/>
  <c r="S272" i="6" s="1"/>
  <c r="R272" i="6" a="1"/>
  <c r="R272" i="6" s="1"/>
  <c r="Q272" i="6" a="1"/>
  <c r="Q272" i="6" s="1"/>
  <c r="P272" i="6" a="1"/>
  <c r="P272" i="6" s="1"/>
  <c r="O272" i="6" a="1"/>
  <c r="O272" i="6" s="1"/>
  <c r="N272" i="6" a="1"/>
  <c r="N272" i="6" s="1"/>
  <c r="M272" i="6" a="1"/>
  <c r="M272" i="6" s="1"/>
  <c r="L272" i="6" a="1"/>
  <c r="L272" i="6" s="1"/>
  <c r="K272" i="6" a="1"/>
  <c r="K272" i="6" s="1"/>
  <c r="J272" i="6" a="1"/>
  <c r="J272" i="6" s="1"/>
  <c r="I272" i="6" a="1"/>
  <c r="I272" i="6" s="1"/>
  <c r="H272" i="6" a="1"/>
  <c r="H272" i="6" s="1"/>
  <c r="G272" i="6" a="1"/>
  <c r="G272" i="6" s="1"/>
  <c r="F272" i="6" a="1"/>
  <c r="F272" i="6" s="1"/>
  <c r="E272" i="6" a="1"/>
  <c r="E272" i="6" s="1"/>
  <c r="D272" i="6" a="1"/>
  <c r="D272" i="6" s="1"/>
  <c r="S271" i="6" a="1"/>
  <c r="S271" i="6" s="1"/>
  <c r="R271" i="6" a="1"/>
  <c r="R271" i="6" s="1"/>
  <c r="Q271" i="6" a="1"/>
  <c r="Q271" i="6" s="1"/>
  <c r="P271" i="6" a="1"/>
  <c r="P271" i="6" s="1"/>
  <c r="O271" i="6" a="1"/>
  <c r="O271" i="6" s="1"/>
  <c r="N271" i="6" a="1"/>
  <c r="N271" i="6" s="1"/>
  <c r="M271" i="6" a="1"/>
  <c r="M271" i="6" s="1"/>
  <c r="L271" i="6" a="1"/>
  <c r="L271" i="6" s="1"/>
  <c r="K271" i="6" a="1"/>
  <c r="K271" i="6" s="1"/>
  <c r="J271" i="6" a="1"/>
  <c r="J271" i="6" s="1"/>
  <c r="I271" i="6" a="1"/>
  <c r="I271" i="6" s="1"/>
  <c r="H271" i="6" a="1"/>
  <c r="H271" i="6" s="1"/>
  <c r="G271" i="6" a="1"/>
  <c r="G271" i="6" s="1"/>
  <c r="F271" i="6" a="1"/>
  <c r="F271" i="6" s="1"/>
  <c r="E271" i="6" a="1"/>
  <c r="E271" i="6" s="1"/>
  <c r="D271" i="6" a="1"/>
  <c r="D271" i="6" s="1"/>
  <c r="S270" i="6" a="1"/>
  <c r="S270" i="6" s="1"/>
  <c r="R270" i="6" a="1"/>
  <c r="R270" i="6" s="1"/>
  <c r="Q270" i="6" a="1"/>
  <c r="Q270" i="6" s="1"/>
  <c r="P270" i="6" a="1"/>
  <c r="P270" i="6" s="1"/>
  <c r="O270" i="6" a="1"/>
  <c r="O270" i="6" s="1"/>
  <c r="N270" i="6" a="1"/>
  <c r="N270" i="6" s="1"/>
  <c r="M270" i="6" a="1"/>
  <c r="M270" i="6" s="1"/>
  <c r="L270" i="6" a="1"/>
  <c r="L270" i="6" s="1"/>
  <c r="K270" i="6" a="1"/>
  <c r="K270" i="6" s="1"/>
  <c r="J270" i="6" a="1"/>
  <c r="J270" i="6" s="1"/>
  <c r="I270" i="6" a="1"/>
  <c r="I270" i="6" s="1"/>
  <c r="H270" i="6" a="1"/>
  <c r="H270" i="6" s="1"/>
  <c r="G270" i="6" a="1"/>
  <c r="G270" i="6" s="1"/>
  <c r="F270" i="6" a="1"/>
  <c r="F270" i="6" s="1"/>
  <c r="E270" i="6" a="1"/>
  <c r="E270" i="6" s="1"/>
  <c r="D270" i="6" a="1"/>
  <c r="D270" i="6" s="1"/>
  <c r="S269" i="6" a="1"/>
  <c r="S269" i="6" s="1"/>
  <c r="R269" i="6" a="1"/>
  <c r="R269" i="6" s="1"/>
  <c r="Q269" i="6" a="1"/>
  <c r="Q269" i="6" s="1"/>
  <c r="P269" i="6" a="1"/>
  <c r="P269" i="6" s="1"/>
  <c r="O269" i="6" a="1"/>
  <c r="O269" i="6" s="1"/>
  <c r="N269" i="6" a="1"/>
  <c r="N269" i="6" s="1"/>
  <c r="M269" i="6" a="1"/>
  <c r="M269" i="6" s="1"/>
  <c r="L269" i="6" a="1"/>
  <c r="L269" i="6" s="1"/>
  <c r="K269" i="6" a="1"/>
  <c r="K269" i="6" s="1"/>
  <c r="J269" i="6" a="1"/>
  <c r="J269" i="6" s="1"/>
  <c r="I269" i="6" a="1"/>
  <c r="I269" i="6" s="1"/>
  <c r="H269" i="6" a="1"/>
  <c r="H269" i="6" s="1"/>
  <c r="G269" i="6" a="1"/>
  <c r="G269" i="6" s="1"/>
  <c r="F269" i="6" a="1"/>
  <c r="F269" i="6" s="1"/>
  <c r="E269" i="6" a="1"/>
  <c r="E269" i="6" s="1"/>
  <c r="D269" i="6" a="1"/>
  <c r="D269" i="6" s="1"/>
  <c r="S268" i="6" a="1"/>
  <c r="S268" i="6" s="1"/>
  <c r="R268" i="6" a="1"/>
  <c r="R268" i="6" s="1"/>
  <c r="Q268" i="6" a="1"/>
  <c r="Q268" i="6" s="1"/>
  <c r="P268" i="6" a="1"/>
  <c r="P268" i="6" s="1"/>
  <c r="O268" i="6" a="1"/>
  <c r="O268" i="6" s="1"/>
  <c r="N268" i="6" a="1"/>
  <c r="N268" i="6" s="1"/>
  <c r="M268" i="6" a="1"/>
  <c r="M268" i="6" s="1"/>
  <c r="L268" i="6" a="1"/>
  <c r="L268" i="6" s="1"/>
  <c r="K268" i="6" a="1"/>
  <c r="K268" i="6" s="1"/>
  <c r="J268" i="6" a="1"/>
  <c r="J268" i="6" s="1"/>
  <c r="I268" i="6" a="1"/>
  <c r="I268" i="6" s="1"/>
  <c r="H268" i="6" a="1"/>
  <c r="H268" i="6" s="1"/>
  <c r="G268" i="6" a="1"/>
  <c r="G268" i="6" s="1"/>
  <c r="F268" i="6" a="1"/>
  <c r="F268" i="6" s="1"/>
  <c r="E268" i="6" a="1"/>
  <c r="E268" i="6" s="1"/>
  <c r="D268" i="6" a="1"/>
  <c r="D268" i="6" s="1"/>
  <c r="S267" i="6" a="1"/>
  <c r="S267" i="6" s="1"/>
  <c r="R267" i="6" a="1"/>
  <c r="R267" i="6" s="1"/>
  <c r="Q267" i="6" a="1"/>
  <c r="Q267" i="6" s="1"/>
  <c r="P267" i="6" a="1"/>
  <c r="P267" i="6" s="1"/>
  <c r="O267" i="6" a="1"/>
  <c r="O267" i="6" s="1"/>
  <c r="N267" i="6" a="1"/>
  <c r="N267" i="6" s="1"/>
  <c r="M267" i="6" a="1"/>
  <c r="M267" i="6" s="1"/>
  <c r="L267" i="6" a="1"/>
  <c r="L267" i="6" s="1"/>
  <c r="K267" i="6" a="1"/>
  <c r="K267" i="6" s="1"/>
  <c r="J267" i="6" a="1"/>
  <c r="J267" i="6" s="1"/>
  <c r="I267" i="6" a="1"/>
  <c r="I267" i="6" s="1"/>
  <c r="H267" i="6" a="1"/>
  <c r="H267" i="6" s="1"/>
  <c r="G267" i="6" a="1"/>
  <c r="G267" i="6" s="1"/>
  <c r="F267" i="6" a="1"/>
  <c r="F267" i="6" s="1"/>
  <c r="E267" i="6" a="1"/>
  <c r="E267" i="6" s="1"/>
  <c r="D267" i="6" a="1"/>
  <c r="D267" i="6" s="1"/>
  <c r="S266" i="6" a="1"/>
  <c r="S266" i="6" s="1"/>
  <c r="R266" i="6" a="1"/>
  <c r="R266" i="6" s="1"/>
  <c r="Q266" i="6" a="1"/>
  <c r="Q266" i="6" s="1"/>
  <c r="P266" i="6" a="1"/>
  <c r="P266" i="6" s="1"/>
  <c r="O266" i="6" a="1"/>
  <c r="O266" i="6" s="1"/>
  <c r="N266" i="6" a="1"/>
  <c r="N266" i="6" s="1"/>
  <c r="M266" i="6" a="1"/>
  <c r="M266" i="6" s="1"/>
  <c r="L266" i="6" a="1"/>
  <c r="L266" i="6" s="1"/>
  <c r="K266" i="6" a="1"/>
  <c r="K266" i="6" s="1"/>
  <c r="J266" i="6" a="1"/>
  <c r="J266" i="6" s="1"/>
  <c r="I266" i="6" a="1"/>
  <c r="I266" i="6" s="1"/>
  <c r="H266" i="6" a="1"/>
  <c r="H266" i="6" s="1"/>
  <c r="G266" i="6" a="1"/>
  <c r="G266" i="6" s="1"/>
  <c r="F266" i="6" a="1"/>
  <c r="F266" i="6" s="1"/>
  <c r="E266" i="6" a="1"/>
  <c r="E266" i="6" s="1"/>
  <c r="D266" i="6" a="1"/>
  <c r="D266" i="6" s="1"/>
  <c r="S265" i="6" a="1"/>
  <c r="S265" i="6" s="1"/>
  <c r="R265" i="6" a="1"/>
  <c r="R265" i="6" s="1"/>
  <c r="Q265" i="6" a="1"/>
  <c r="Q265" i="6" s="1"/>
  <c r="P265" i="6" a="1"/>
  <c r="P265" i="6" s="1"/>
  <c r="O265" i="6" a="1"/>
  <c r="O265" i="6" s="1"/>
  <c r="N265" i="6" a="1"/>
  <c r="N265" i="6" s="1"/>
  <c r="M265" i="6" a="1"/>
  <c r="M265" i="6" s="1"/>
  <c r="L265" i="6" a="1"/>
  <c r="L265" i="6" s="1"/>
  <c r="K265" i="6" a="1"/>
  <c r="K265" i="6" s="1"/>
  <c r="J265" i="6" a="1"/>
  <c r="J265" i="6" s="1"/>
  <c r="I265" i="6" a="1"/>
  <c r="I265" i="6" s="1"/>
  <c r="H265" i="6" a="1"/>
  <c r="H265" i="6" s="1"/>
  <c r="G265" i="6" a="1"/>
  <c r="G265" i="6" s="1"/>
  <c r="F265" i="6" a="1"/>
  <c r="F265" i="6" s="1"/>
  <c r="E265" i="6" a="1"/>
  <c r="E265" i="6" s="1"/>
  <c r="D265" i="6" a="1"/>
  <c r="D265" i="6" s="1"/>
  <c r="S264" i="6" a="1"/>
  <c r="S264" i="6" s="1"/>
  <c r="R264" i="6" a="1"/>
  <c r="R264" i="6" s="1"/>
  <c r="Q264" i="6" a="1"/>
  <c r="Q264" i="6" s="1"/>
  <c r="P264" i="6" a="1"/>
  <c r="P264" i="6" s="1"/>
  <c r="O264" i="6" a="1"/>
  <c r="O264" i="6" s="1"/>
  <c r="N264" i="6" a="1"/>
  <c r="N264" i="6" s="1"/>
  <c r="M264" i="6" a="1"/>
  <c r="M264" i="6" s="1"/>
  <c r="L264" i="6" a="1"/>
  <c r="L264" i="6" s="1"/>
  <c r="K264" i="6" a="1"/>
  <c r="K264" i="6" s="1"/>
  <c r="J264" i="6" a="1"/>
  <c r="J264" i="6" s="1"/>
  <c r="I264" i="6" a="1"/>
  <c r="I264" i="6" s="1"/>
  <c r="H264" i="6" a="1"/>
  <c r="H264" i="6" s="1"/>
  <c r="G264" i="6" a="1"/>
  <c r="G264" i="6" s="1"/>
  <c r="F264" i="6" a="1"/>
  <c r="F264" i="6" s="1"/>
  <c r="E264" i="6" a="1"/>
  <c r="E264" i="6" s="1"/>
  <c r="D264" i="6" a="1"/>
  <c r="D264" i="6" s="1"/>
  <c r="S263" i="6" a="1"/>
  <c r="S263" i="6" s="1"/>
  <c r="R263" i="6" a="1"/>
  <c r="R263" i="6" s="1"/>
  <c r="Q263" i="6" a="1"/>
  <c r="Q263" i="6" s="1"/>
  <c r="P263" i="6" a="1"/>
  <c r="P263" i="6" s="1"/>
  <c r="O263" i="6" a="1"/>
  <c r="O263" i="6" s="1"/>
  <c r="N263" i="6" a="1"/>
  <c r="N263" i="6" s="1"/>
  <c r="M263" i="6" a="1"/>
  <c r="M263" i="6" s="1"/>
  <c r="L263" i="6" a="1"/>
  <c r="L263" i="6" s="1"/>
  <c r="K263" i="6" a="1"/>
  <c r="K263" i="6" s="1"/>
  <c r="J263" i="6" a="1"/>
  <c r="J263" i="6" s="1"/>
  <c r="I263" i="6" a="1"/>
  <c r="I263" i="6" s="1"/>
  <c r="H263" i="6" a="1"/>
  <c r="H263" i="6" s="1"/>
  <c r="G263" i="6" a="1"/>
  <c r="G263" i="6" s="1"/>
  <c r="F263" i="6" a="1"/>
  <c r="F263" i="6" s="1"/>
  <c r="E263" i="6" a="1"/>
  <c r="E263" i="6" s="1"/>
  <c r="D263" i="6" a="1"/>
  <c r="D263" i="6" s="1"/>
  <c r="S262" i="6" a="1"/>
  <c r="S262" i="6" s="1"/>
  <c r="R262" i="6" a="1"/>
  <c r="R262" i="6" s="1"/>
  <c r="Q262" i="6" a="1"/>
  <c r="Q262" i="6" s="1"/>
  <c r="P262" i="6" a="1"/>
  <c r="P262" i="6" s="1"/>
  <c r="O262" i="6" a="1"/>
  <c r="O262" i="6" s="1"/>
  <c r="N262" i="6" a="1"/>
  <c r="N262" i="6" s="1"/>
  <c r="M262" i="6" a="1"/>
  <c r="M262" i="6" s="1"/>
  <c r="L262" i="6" a="1"/>
  <c r="L262" i="6" s="1"/>
  <c r="K262" i="6" a="1"/>
  <c r="K262" i="6" s="1"/>
  <c r="J262" i="6" a="1"/>
  <c r="J262" i="6" s="1"/>
  <c r="I262" i="6" a="1"/>
  <c r="I262" i="6" s="1"/>
  <c r="H262" i="6" a="1"/>
  <c r="H262" i="6" s="1"/>
  <c r="G262" i="6" a="1"/>
  <c r="G262" i="6" s="1"/>
  <c r="F262" i="6" a="1"/>
  <c r="F262" i="6" s="1"/>
  <c r="E262" i="6" a="1"/>
  <c r="E262" i="6" s="1"/>
  <c r="D262" i="6" a="1"/>
  <c r="D262" i="6" s="1"/>
  <c r="S261" i="6" a="1"/>
  <c r="S261" i="6" s="1"/>
  <c r="R261" i="6" a="1"/>
  <c r="R261" i="6" s="1"/>
  <c r="Q261" i="6" a="1"/>
  <c r="Q261" i="6" s="1"/>
  <c r="P261" i="6" a="1"/>
  <c r="P261" i="6" s="1"/>
  <c r="O261" i="6" a="1"/>
  <c r="O261" i="6" s="1"/>
  <c r="N261" i="6" a="1"/>
  <c r="N261" i="6" s="1"/>
  <c r="M261" i="6" a="1"/>
  <c r="M261" i="6" s="1"/>
  <c r="L261" i="6" a="1"/>
  <c r="L261" i="6" s="1"/>
  <c r="K261" i="6" a="1"/>
  <c r="K261" i="6" s="1"/>
  <c r="J261" i="6" a="1"/>
  <c r="J261" i="6" s="1"/>
  <c r="I261" i="6" a="1"/>
  <c r="I261" i="6" s="1"/>
  <c r="H261" i="6" a="1"/>
  <c r="H261" i="6" s="1"/>
  <c r="G261" i="6" a="1"/>
  <c r="G261" i="6" s="1"/>
  <c r="F261" i="6" a="1"/>
  <c r="F261" i="6" s="1"/>
  <c r="E261" i="6" a="1"/>
  <c r="E261" i="6" s="1"/>
  <c r="D261" i="6" a="1"/>
  <c r="D261" i="6" s="1"/>
  <c r="S260" i="6" a="1"/>
  <c r="S260" i="6" s="1"/>
  <c r="R260" i="6" a="1"/>
  <c r="R260" i="6" s="1"/>
  <c r="Q260" i="6" a="1"/>
  <c r="Q260" i="6" s="1"/>
  <c r="P260" i="6" a="1"/>
  <c r="P260" i="6" s="1"/>
  <c r="O260" i="6" a="1"/>
  <c r="O260" i="6" s="1"/>
  <c r="N260" i="6" a="1"/>
  <c r="N260" i="6" s="1"/>
  <c r="M260" i="6" a="1"/>
  <c r="M260" i="6" s="1"/>
  <c r="L260" i="6" a="1"/>
  <c r="L260" i="6" s="1"/>
  <c r="K260" i="6" a="1"/>
  <c r="K260" i="6" s="1"/>
  <c r="J260" i="6" a="1"/>
  <c r="J260" i="6" s="1"/>
  <c r="I260" i="6" a="1"/>
  <c r="I260" i="6" s="1"/>
  <c r="H260" i="6" a="1"/>
  <c r="H260" i="6" s="1"/>
  <c r="G260" i="6" a="1"/>
  <c r="G260" i="6" s="1"/>
  <c r="F260" i="6" a="1"/>
  <c r="F260" i="6" s="1"/>
  <c r="E260" i="6" a="1"/>
  <c r="E260" i="6" s="1"/>
  <c r="D260" i="6" a="1"/>
  <c r="D260" i="6" s="1"/>
  <c r="S259" i="6" a="1"/>
  <c r="S259" i="6" s="1"/>
  <c r="R259" i="6" a="1"/>
  <c r="R259" i="6" s="1"/>
  <c r="Q259" i="6" a="1"/>
  <c r="Q259" i="6" s="1"/>
  <c r="P259" i="6" a="1"/>
  <c r="P259" i="6" s="1"/>
  <c r="O259" i="6" a="1"/>
  <c r="O259" i="6" s="1"/>
  <c r="N259" i="6" a="1"/>
  <c r="N259" i="6" s="1"/>
  <c r="M259" i="6" a="1"/>
  <c r="M259" i="6" s="1"/>
  <c r="L259" i="6" a="1"/>
  <c r="L259" i="6" s="1"/>
  <c r="K259" i="6" a="1"/>
  <c r="K259" i="6" s="1"/>
  <c r="J259" i="6" a="1"/>
  <c r="J259" i="6" s="1"/>
  <c r="I259" i="6" a="1"/>
  <c r="I259" i="6" s="1"/>
  <c r="H259" i="6" a="1"/>
  <c r="H259" i="6" s="1"/>
  <c r="G259" i="6" a="1"/>
  <c r="G259" i="6" s="1"/>
  <c r="F259" i="6" a="1"/>
  <c r="F259" i="6" s="1"/>
  <c r="E259" i="6" a="1"/>
  <c r="E259" i="6" s="1"/>
  <c r="D259" i="6" a="1"/>
  <c r="D259" i="6" s="1"/>
  <c r="S258" i="6" a="1"/>
  <c r="S258" i="6" s="1"/>
  <c r="R258" i="6" a="1"/>
  <c r="R258" i="6" s="1"/>
  <c r="Q258" i="6" a="1"/>
  <c r="Q258" i="6" s="1"/>
  <c r="P258" i="6" a="1"/>
  <c r="P258" i="6" s="1"/>
  <c r="O258" i="6" a="1"/>
  <c r="O258" i="6" s="1"/>
  <c r="N258" i="6" a="1"/>
  <c r="N258" i="6" s="1"/>
  <c r="M258" i="6" a="1"/>
  <c r="M258" i="6" s="1"/>
  <c r="L258" i="6" a="1"/>
  <c r="L258" i="6" s="1"/>
  <c r="K258" i="6" a="1"/>
  <c r="K258" i="6" s="1"/>
  <c r="J258" i="6" a="1"/>
  <c r="J258" i="6" s="1"/>
  <c r="I258" i="6" a="1"/>
  <c r="I258" i="6" s="1"/>
  <c r="H258" i="6" a="1"/>
  <c r="H258" i="6" s="1"/>
  <c r="G258" i="6" a="1"/>
  <c r="G258" i="6" s="1"/>
  <c r="F258" i="6" a="1"/>
  <c r="F258" i="6" s="1"/>
  <c r="E258" i="6" a="1"/>
  <c r="E258" i="6" s="1"/>
  <c r="D258" i="6" a="1"/>
  <c r="D258" i="6" s="1"/>
  <c r="S257" i="6" a="1"/>
  <c r="S257" i="6" s="1"/>
  <c r="R257" i="6" a="1"/>
  <c r="R257" i="6" s="1"/>
  <c r="Q257" i="6" a="1"/>
  <c r="Q257" i="6" s="1"/>
  <c r="P257" i="6" a="1"/>
  <c r="P257" i="6" s="1"/>
  <c r="O257" i="6" a="1"/>
  <c r="O257" i="6" s="1"/>
  <c r="N257" i="6" a="1"/>
  <c r="N257" i="6" s="1"/>
  <c r="M257" i="6" a="1"/>
  <c r="M257" i="6" s="1"/>
  <c r="L257" i="6" a="1"/>
  <c r="L257" i="6" s="1"/>
  <c r="K257" i="6" a="1"/>
  <c r="K257" i="6" s="1"/>
  <c r="J257" i="6" a="1"/>
  <c r="J257" i="6" s="1"/>
  <c r="I257" i="6" a="1"/>
  <c r="I257" i="6" s="1"/>
  <c r="H257" i="6" a="1"/>
  <c r="H257" i="6" s="1"/>
  <c r="G257" i="6" a="1"/>
  <c r="G257" i="6" s="1"/>
  <c r="F257" i="6" a="1"/>
  <c r="F257" i="6" s="1"/>
  <c r="E257" i="6" a="1"/>
  <c r="E257" i="6" s="1"/>
  <c r="D257" i="6" a="1"/>
  <c r="D257" i="6" s="1"/>
  <c r="S256" i="6" a="1"/>
  <c r="S256" i="6" s="1"/>
  <c r="R256" i="6" a="1"/>
  <c r="R256" i="6" s="1"/>
  <c r="Q256" i="6" a="1"/>
  <c r="Q256" i="6" s="1"/>
  <c r="P256" i="6" a="1"/>
  <c r="P256" i="6" s="1"/>
  <c r="O256" i="6" a="1"/>
  <c r="O256" i="6" s="1"/>
  <c r="N256" i="6" a="1"/>
  <c r="N256" i="6" s="1"/>
  <c r="M256" i="6" a="1"/>
  <c r="M256" i="6" s="1"/>
  <c r="L256" i="6" a="1"/>
  <c r="L256" i="6" s="1"/>
  <c r="K256" i="6" a="1"/>
  <c r="K256" i="6" s="1"/>
  <c r="J256" i="6" a="1"/>
  <c r="J256" i="6" s="1"/>
  <c r="I256" i="6" a="1"/>
  <c r="I256" i="6" s="1"/>
  <c r="H256" i="6" a="1"/>
  <c r="H256" i="6" s="1"/>
  <c r="G256" i="6" a="1"/>
  <c r="G256" i="6" s="1"/>
  <c r="F256" i="6" a="1"/>
  <c r="F256" i="6" s="1"/>
  <c r="E256" i="6" a="1"/>
  <c r="E256" i="6" s="1"/>
  <c r="D256" i="6" a="1"/>
  <c r="D256" i="6" s="1"/>
  <c r="S255" i="6" a="1"/>
  <c r="S255" i="6" s="1"/>
  <c r="R255" i="6" a="1"/>
  <c r="R255" i="6" s="1"/>
  <c r="Q255" i="6" a="1"/>
  <c r="Q255" i="6" s="1"/>
  <c r="P255" i="6" a="1"/>
  <c r="P255" i="6" s="1"/>
  <c r="O255" i="6" a="1"/>
  <c r="O255" i="6" s="1"/>
  <c r="N255" i="6" a="1"/>
  <c r="N255" i="6" s="1"/>
  <c r="M255" i="6" a="1"/>
  <c r="M255" i="6" s="1"/>
  <c r="L255" i="6" a="1"/>
  <c r="L255" i="6" s="1"/>
  <c r="K255" i="6" a="1"/>
  <c r="K255" i="6" s="1"/>
  <c r="J255" i="6" a="1"/>
  <c r="J255" i="6" s="1"/>
  <c r="I255" i="6" a="1"/>
  <c r="I255" i="6" s="1"/>
  <c r="H255" i="6" a="1"/>
  <c r="H255" i="6" s="1"/>
  <c r="G255" i="6" a="1"/>
  <c r="G255" i="6" s="1"/>
  <c r="F255" i="6" a="1"/>
  <c r="F255" i="6" s="1"/>
  <c r="E255" i="6" a="1"/>
  <c r="E255" i="6" s="1"/>
  <c r="D255" i="6" a="1"/>
  <c r="D255" i="6" s="1"/>
  <c r="S254" i="6" a="1"/>
  <c r="S254" i="6" s="1"/>
  <c r="R254" i="6" a="1"/>
  <c r="R254" i="6" s="1"/>
  <c r="Q254" i="6" a="1"/>
  <c r="Q254" i="6" s="1"/>
  <c r="P254" i="6" a="1"/>
  <c r="P254" i="6" s="1"/>
  <c r="O254" i="6" a="1"/>
  <c r="O254" i="6" s="1"/>
  <c r="N254" i="6" a="1"/>
  <c r="N254" i="6" s="1"/>
  <c r="M254" i="6" a="1"/>
  <c r="M254" i="6" s="1"/>
  <c r="L254" i="6" a="1"/>
  <c r="L254" i="6" s="1"/>
  <c r="AS51" i="7" s="1"/>
  <c r="K254" i="6" a="1"/>
  <c r="K254" i="6" s="1"/>
  <c r="J254" i="6" a="1"/>
  <c r="J254" i="6" s="1"/>
  <c r="I254" i="6"/>
  <c r="I254" i="6" a="1"/>
  <c r="H254" i="6" a="1"/>
  <c r="H254" i="6" s="1"/>
  <c r="G254" i="6" a="1"/>
  <c r="G254" i="6" s="1"/>
  <c r="F254" i="6" a="1"/>
  <c r="F254" i="6" s="1"/>
  <c r="E254" i="6" a="1"/>
  <c r="E254" i="6" s="1"/>
  <c r="D254" i="6" a="1"/>
  <c r="D254" i="6" s="1"/>
  <c r="S253" i="6" a="1"/>
  <c r="S253" i="6" s="1"/>
  <c r="R253" i="6" a="1"/>
  <c r="R253" i="6" s="1"/>
  <c r="Q253" i="6" a="1"/>
  <c r="Q253" i="6" s="1"/>
  <c r="P253" i="6" a="1"/>
  <c r="P253" i="6" s="1"/>
  <c r="O253" i="6" a="1"/>
  <c r="O253" i="6" s="1"/>
  <c r="N253" i="6" a="1"/>
  <c r="N253" i="6" s="1"/>
  <c r="M253" i="6" a="1"/>
  <c r="M253" i="6" s="1"/>
  <c r="L253" i="6" a="1"/>
  <c r="L253" i="6" s="1"/>
  <c r="AS50" i="7" s="1"/>
  <c r="K253" i="6" a="1"/>
  <c r="K253" i="6" s="1"/>
  <c r="J253" i="6" a="1"/>
  <c r="J253" i="6" s="1"/>
  <c r="I253" i="6" a="1"/>
  <c r="I253" i="6" s="1"/>
  <c r="H253" i="6" a="1"/>
  <c r="H253" i="6" s="1"/>
  <c r="G253" i="6" a="1"/>
  <c r="G253" i="6" s="1"/>
  <c r="F253" i="6" a="1"/>
  <c r="F253" i="6" s="1"/>
  <c r="E253" i="6" a="1"/>
  <c r="E253" i="6" s="1"/>
  <c r="D253" i="6" a="1"/>
  <c r="D253" i="6" s="1"/>
  <c r="S252" i="6" a="1"/>
  <c r="S252" i="6" s="1"/>
  <c r="R252" i="6" a="1"/>
  <c r="R252" i="6" s="1"/>
  <c r="Q252" i="6" a="1"/>
  <c r="Q252" i="6" s="1"/>
  <c r="P252" i="6" a="1"/>
  <c r="P252" i="6" s="1"/>
  <c r="O252" i="6" a="1"/>
  <c r="O252" i="6" s="1"/>
  <c r="N252" i="6" a="1"/>
  <c r="N252" i="6" s="1"/>
  <c r="M252" i="6" a="1"/>
  <c r="M252" i="6" s="1"/>
  <c r="L252" i="6" a="1"/>
  <c r="L252" i="6" s="1"/>
  <c r="AS49" i="7" s="1"/>
  <c r="K252" i="6" a="1"/>
  <c r="K252" i="6" s="1"/>
  <c r="J252" i="6" a="1"/>
  <c r="J252" i="6" s="1"/>
  <c r="I252" i="6" a="1"/>
  <c r="I252" i="6" s="1"/>
  <c r="H252" i="6" a="1"/>
  <c r="H252" i="6" s="1"/>
  <c r="G252" i="6" a="1"/>
  <c r="G252" i="6" s="1"/>
  <c r="F252" i="6" a="1"/>
  <c r="F252" i="6" s="1"/>
  <c r="E252" i="6" a="1"/>
  <c r="E252" i="6" s="1"/>
  <c r="D252" i="6" a="1"/>
  <c r="D252" i="6" s="1"/>
  <c r="S251" i="6" a="1"/>
  <c r="S251" i="6" s="1"/>
  <c r="R251" i="6" a="1"/>
  <c r="R251" i="6" s="1"/>
  <c r="Q251" i="6" a="1"/>
  <c r="Q251" i="6" s="1"/>
  <c r="P251" i="6" a="1"/>
  <c r="P251" i="6" s="1"/>
  <c r="O251" i="6" a="1"/>
  <c r="O251" i="6" s="1"/>
  <c r="N251" i="6" a="1"/>
  <c r="N251" i="6" s="1"/>
  <c r="M251" i="6" a="1"/>
  <c r="M251" i="6" s="1"/>
  <c r="L251" i="6" a="1"/>
  <c r="L251" i="6" s="1"/>
  <c r="AS48" i="7" s="1"/>
  <c r="K251" i="6" a="1"/>
  <c r="K251" i="6" s="1"/>
  <c r="J251" i="6" a="1"/>
  <c r="J251" i="6" s="1"/>
  <c r="I251" i="6" a="1"/>
  <c r="I251" i="6" s="1"/>
  <c r="H251" i="6" a="1"/>
  <c r="H251" i="6" s="1"/>
  <c r="G251" i="6" a="1"/>
  <c r="G251" i="6" s="1"/>
  <c r="F251" i="6" a="1"/>
  <c r="F251" i="6" s="1"/>
  <c r="E251" i="6" a="1"/>
  <c r="E251" i="6" s="1"/>
  <c r="D251" i="6" a="1"/>
  <c r="D251" i="6" s="1"/>
  <c r="S250" i="6" a="1"/>
  <c r="S250" i="6" s="1"/>
  <c r="R250" i="6" a="1"/>
  <c r="R250" i="6" s="1"/>
  <c r="Q250" i="6" a="1"/>
  <c r="Q250" i="6" s="1"/>
  <c r="P250" i="6" a="1"/>
  <c r="P250" i="6" s="1"/>
  <c r="O250" i="6" a="1"/>
  <c r="O250" i="6" s="1"/>
  <c r="N250" i="6" a="1"/>
  <c r="N250" i="6" s="1"/>
  <c r="M250" i="6" a="1"/>
  <c r="M250" i="6" s="1"/>
  <c r="L250" i="6" a="1"/>
  <c r="L250" i="6" s="1"/>
  <c r="AS47" i="7" s="1"/>
  <c r="K250" i="6" a="1"/>
  <c r="K250" i="6" s="1"/>
  <c r="J250" i="6" a="1"/>
  <c r="J250" i="6" s="1"/>
  <c r="I250" i="6" a="1"/>
  <c r="I250" i="6" s="1"/>
  <c r="H250" i="6" a="1"/>
  <c r="H250" i="6" s="1"/>
  <c r="G250" i="6" a="1"/>
  <c r="G250" i="6" s="1"/>
  <c r="F250" i="6" a="1"/>
  <c r="F250" i="6" s="1"/>
  <c r="E250" i="6" a="1"/>
  <c r="E250" i="6" s="1"/>
  <c r="D250" i="6" a="1"/>
  <c r="D250" i="6" s="1"/>
  <c r="S249" i="6" a="1"/>
  <c r="S249" i="6" s="1"/>
  <c r="R249" i="6" a="1"/>
  <c r="R249" i="6" s="1"/>
  <c r="Q249" i="6" a="1"/>
  <c r="Q249" i="6" s="1"/>
  <c r="P249" i="6" a="1"/>
  <c r="P249" i="6" s="1"/>
  <c r="O249" i="6" a="1"/>
  <c r="O249" i="6" s="1"/>
  <c r="N249" i="6" a="1"/>
  <c r="N249" i="6" s="1"/>
  <c r="M249" i="6" a="1"/>
  <c r="M249" i="6" s="1"/>
  <c r="L249" i="6" a="1"/>
  <c r="L249" i="6" s="1"/>
  <c r="AS46" i="7" s="1"/>
  <c r="K249" i="6" a="1"/>
  <c r="K249" i="6" s="1"/>
  <c r="J249" i="6" a="1"/>
  <c r="J249" i="6" s="1"/>
  <c r="I249" i="6" a="1"/>
  <c r="I249" i="6" s="1"/>
  <c r="H249" i="6" a="1"/>
  <c r="H249" i="6" s="1"/>
  <c r="G249" i="6" a="1"/>
  <c r="G249" i="6" s="1"/>
  <c r="F249" i="6" a="1"/>
  <c r="F249" i="6" s="1"/>
  <c r="E249" i="6" a="1"/>
  <c r="E249" i="6" s="1"/>
  <c r="D249" i="6" a="1"/>
  <c r="D249" i="6" s="1"/>
  <c r="S248" i="6" a="1"/>
  <c r="S248" i="6" s="1"/>
  <c r="R248" i="6" a="1"/>
  <c r="R248" i="6" s="1"/>
  <c r="Q248" i="6" a="1"/>
  <c r="Q248" i="6" s="1"/>
  <c r="P248" i="6" a="1"/>
  <c r="P248" i="6" s="1"/>
  <c r="O248" i="6" a="1"/>
  <c r="O248" i="6" s="1"/>
  <c r="N248" i="6" a="1"/>
  <c r="N248" i="6" s="1"/>
  <c r="M248" i="6" a="1"/>
  <c r="M248" i="6" s="1"/>
  <c r="L248" i="6" a="1"/>
  <c r="L248" i="6" s="1"/>
  <c r="AS45" i="7" s="1"/>
  <c r="K248" i="6" a="1"/>
  <c r="K248" i="6" s="1"/>
  <c r="J248" i="6" a="1"/>
  <c r="J248" i="6" s="1"/>
  <c r="I248" i="6" a="1"/>
  <c r="I248" i="6" s="1"/>
  <c r="H248" i="6" a="1"/>
  <c r="H248" i="6" s="1"/>
  <c r="G248" i="6" a="1"/>
  <c r="G248" i="6" s="1"/>
  <c r="F248" i="6" a="1"/>
  <c r="F248" i="6" s="1"/>
  <c r="E248" i="6" a="1"/>
  <c r="E248" i="6" s="1"/>
  <c r="D248" i="6" a="1"/>
  <c r="D248" i="6" s="1"/>
  <c r="S247" i="6" a="1"/>
  <c r="S247" i="6" s="1"/>
  <c r="R247" i="6" a="1"/>
  <c r="R247" i="6" s="1"/>
  <c r="Q247" i="6" a="1"/>
  <c r="Q247" i="6" s="1"/>
  <c r="P247" i="6" a="1"/>
  <c r="P247" i="6" s="1"/>
  <c r="O247" i="6" a="1"/>
  <c r="O247" i="6" s="1"/>
  <c r="N247" i="6" a="1"/>
  <c r="N247" i="6" s="1"/>
  <c r="M247" i="6" a="1"/>
  <c r="M247" i="6" s="1"/>
  <c r="L247" i="6" a="1"/>
  <c r="L247" i="6" s="1"/>
  <c r="AS44" i="7" s="1"/>
  <c r="K247" i="6" a="1"/>
  <c r="K247" i="6" s="1"/>
  <c r="J247" i="6" a="1"/>
  <c r="J247" i="6" s="1"/>
  <c r="I247" i="6" a="1"/>
  <c r="I247" i="6" s="1"/>
  <c r="H247" i="6" a="1"/>
  <c r="H247" i="6" s="1"/>
  <c r="G247" i="6" a="1"/>
  <c r="G247" i="6" s="1"/>
  <c r="F247" i="6" a="1"/>
  <c r="F247" i="6" s="1"/>
  <c r="E247" i="6" a="1"/>
  <c r="E247" i="6" s="1"/>
  <c r="D247" i="6" a="1"/>
  <c r="D247" i="6" s="1"/>
  <c r="S246" i="6" a="1"/>
  <c r="S246" i="6" s="1"/>
  <c r="R246" i="6" a="1"/>
  <c r="R246" i="6" s="1"/>
  <c r="Q246" i="6" a="1"/>
  <c r="Q246" i="6" s="1"/>
  <c r="P246" i="6" a="1"/>
  <c r="P246" i="6" s="1"/>
  <c r="O246" i="6" a="1"/>
  <c r="O246" i="6" s="1"/>
  <c r="N246" i="6" a="1"/>
  <c r="N246" i="6" s="1"/>
  <c r="M246" i="6" a="1"/>
  <c r="M246" i="6" s="1"/>
  <c r="L246" i="6" a="1"/>
  <c r="L246" i="6" s="1"/>
  <c r="AS43" i="7" s="1"/>
  <c r="K246" i="6" a="1"/>
  <c r="K246" i="6" s="1"/>
  <c r="J246" i="6" a="1"/>
  <c r="J246" i="6" s="1"/>
  <c r="I246" i="6" a="1"/>
  <c r="I246" i="6" s="1"/>
  <c r="H246" i="6" a="1"/>
  <c r="H246" i="6" s="1"/>
  <c r="G246" i="6" a="1"/>
  <c r="G246" i="6" s="1"/>
  <c r="F246" i="6" a="1"/>
  <c r="F246" i="6" s="1"/>
  <c r="E246" i="6" a="1"/>
  <c r="E246" i="6" s="1"/>
  <c r="D246" i="6" a="1"/>
  <c r="D246" i="6" s="1"/>
  <c r="S245" i="6" a="1"/>
  <c r="S245" i="6" s="1"/>
  <c r="R245" i="6" a="1"/>
  <c r="R245" i="6" s="1"/>
  <c r="Q245" i="6" a="1"/>
  <c r="Q245" i="6" s="1"/>
  <c r="P245" i="6" a="1"/>
  <c r="P245" i="6" s="1"/>
  <c r="O245" i="6" a="1"/>
  <c r="O245" i="6" s="1"/>
  <c r="N245" i="6" a="1"/>
  <c r="N245" i="6" s="1"/>
  <c r="M245" i="6" a="1"/>
  <c r="M245" i="6" s="1"/>
  <c r="L245" i="6" a="1"/>
  <c r="L245" i="6" s="1"/>
  <c r="AS42" i="7" s="1"/>
  <c r="K245" i="6" a="1"/>
  <c r="K245" i="6" s="1"/>
  <c r="J245" i="6" a="1"/>
  <c r="J245" i="6" s="1"/>
  <c r="I245" i="6" a="1"/>
  <c r="I245" i="6" s="1"/>
  <c r="H245" i="6" a="1"/>
  <c r="H245" i="6" s="1"/>
  <c r="G245" i="6" a="1"/>
  <c r="G245" i="6" s="1"/>
  <c r="F245" i="6" a="1"/>
  <c r="F245" i="6" s="1"/>
  <c r="E245" i="6" a="1"/>
  <c r="E245" i="6" s="1"/>
  <c r="D245" i="6" a="1"/>
  <c r="D245" i="6" s="1"/>
  <c r="S244" i="6" a="1"/>
  <c r="S244" i="6" s="1"/>
  <c r="R244" i="6" a="1"/>
  <c r="R244" i="6" s="1"/>
  <c r="Q244" i="6" a="1"/>
  <c r="Q244" i="6" s="1"/>
  <c r="P244" i="6" a="1"/>
  <c r="P244" i="6" s="1"/>
  <c r="O244" i="6" a="1"/>
  <c r="O244" i="6" s="1"/>
  <c r="N244" i="6" a="1"/>
  <c r="N244" i="6" s="1"/>
  <c r="M244" i="6" a="1"/>
  <c r="M244" i="6" s="1"/>
  <c r="L244" i="6" a="1"/>
  <c r="L244" i="6" s="1"/>
  <c r="AS41" i="7" s="1"/>
  <c r="K244" i="6" a="1"/>
  <c r="K244" i="6" s="1"/>
  <c r="J244" i="6" a="1"/>
  <c r="J244" i="6" s="1"/>
  <c r="I244" i="6" a="1"/>
  <c r="I244" i="6" s="1"/>
  <c r="H244" i="6" a="1"/>
  <c r="H244" i="6" s="1"/>
  <c r="G244" i="6" a="1"/>
  <c r="G244" i="6" s="1"/>
  <c r="F244" i="6" a="1"/>
  <c r="F244" i="6" s="1"/>
  <c r="E244" i="6" a="1"/>
  <c r="E244" i="6" s="1"/>
  <c r="D244" i="6" a="1"/>
  <c r="D244" i="6" s="1"/>
  <c r="S243" i="6" a="1"/>
  <c r="S243" i="6" s="1"/>
  <c r="R243" i="6" a="1"/>
  <c r="R243" i="6" s="1"/>
  <c r="Q243" i="6" a="1"/>
  <c r="Q243" i="6" s="1"/>
  <c r="P243" i="6" a="1"/>
  <c r="P243" i="6" s="1"/>
  <c r="O243" i="6" a="1"/>
  <c r="O243" i="6" s="1"/>
  <c r="N243" i="6" a="1"/>
  <c r="N243" i="6" s="1"/>
  <c r="M243" i="6" a="1"/>
  <c r="M243" i="6" s="1"/>
  <c r="L243" i="6" a="1"/>
  <c r="L243" i="6" s="1"/>
  <c r="AS40" i="7" s="1"/>
  <c r="K243" i="6" a="1"/>
  <c r="K243" i="6" s="1"/>
  <c r="J243" i="6" a="1"/>
  <c r="J243" i="6" s="1"/>
  <c r="I243" i="6" a="1"/>
  <c r="I243" i="6" s="1"/>
  <c r="H243" i="6" a="1"/>
  <c r="H243" i="6" s="1"/>
  <c r="G243" i="6" a="1"/>
  <c r="G243" i="6" s="1"/>
  <c r="F243" i="6" a="1"/>
  <c r="F243" i="6" s="1"/>
  <c r="E243" i="6" a="1"/>
  <c r="E243" i="6" s="1"/>
  <c r="D243" i="6" a="1"/>
  <c r="D243" i="6" s="1"/>
  <c r="S242" i="6" a="1"/>
  <c r="S242" i="6" s="1"/>
  <c r="R242" i="6" a="1"/>
  <c r="R242" i="6" s="1"/>
  <c r="Q242" i="6" a="1"/>
  <c r="Q242" i="6" s="1"/>
  <c r="P242" i="6" a="1"/>
  <c r="P242" i="6" s="1"/>
  <c r="O242" i="6" a="1"/>
  <c r="O242" i="6" s="1"/>
  <c r="N242" i="6" a="1"/>
  <c r="N242" i="6" s="1"/>
  <c r="M242" i="6" a="1"/>
  <c r="M242" i="6" s="1"/>
  <c r="L242" i="6" a="1"/>
  <c r="L242" i="6" s="1"/>
  <c r="AS39" i="7" s="1"/>
  <c r="K242" i="6" a="1"/>
  <c r="K242" i="6" s="1"/>
  <c r="J242" i="6" a="1"/>
  <c r="J242" i="6" s="1"/>
  <c r="I242" i="6" a="1"/>
  <c r="I242" i="6" s="1"/>
  <c r="H242" i="6" a="1"/>
  <c r="H242" i="6" s="1"/>
  <c r="G242" i="6" a="1"/>
  <c r="G242" i="6" s="1"/>
  <c r="F242" i="6" a="1"/>
  <c r="F242" i="6" s="1"/>
  <c r="E242" i="6" a="1"/>
  <c r="E242" i="6" s="1"/>
  <c r="D242" i="6" a="1"/>
  <c r="D242" i="6" s="1"/>
  <c r="S241" i="6" a="1"/>
  <c r="S241" i="6" s="1"/>
  <c r="R241" i="6" a="1"/>
  <c r="R241" i="6" s="1"/>
  <c r="Q241" i="6" a="1"/>
  <c r="Q241" i="6" s="1"/>
  <c r="P241" i="6" a="1"/>
  <c r="P241" i="6" s="1"/>
  <c r="O241" i="6" a="1"/>
  <c r="O241" i="6" s="1"/>
  <c r="N241" i="6" a="1"/>
  <c r="N241" i="6" s="1"/>
  <c r="M241" i="6" a="1"/>
  <c r="M241" i="6" s="1"/>
  <c r="L241" i="6" a="1"/>
  <c r="L241" i="6" s="1"/>
  <c r="AS38" i="7" s="1"/>
  <c r="K241" i="6" a="1"/>
  <c r="K241" i="6" s="1"/>
  <c r="J241" i="6" a="1"/>
  <c r="J241" i="6" s="1"/>
  <c r="I241" i="6" a="1"/>
  <c r="I241" i="6" s="1"/>
  <c r="H241" i="6" a="1"/>
  <c r="H241" i="6" s="1"/>
  <c r="G241" i="6" a="1"/>
  <c r="G241" i="6" s="1"/>
  <c r="F241" i="6" a="1"/>
  <c r="F241" i="6" s="1"/>
  <c r="E241" i="6" a="1"/>
  <c r="E241" i="6" s="1"/>
  <c r="D241" i="6" a="1"/>
  <c r="D241" i="6" s="1"/>
  <c r="S240" i="6" a="1"/>
  <c r="S240" i="6" s="1"/>
  <c r="R240" i="6" a="1"/>
  <c r="R240" i="6" s="1"/>
  <c r="Q240" i="6"/>
  <c r="Q240" i="6" a="1"/>
  <c r="P240" i="6" a="1"/>
  <c r="P240" i="6" s="1"/>
  <c r="O240" i="6" a="1"/>
  <c r="O240" i="6" s="1"/>
  <c r="N240" i="6" a="1"/>
  <c r="N240" i="6" s="1"/>
  <c r="M240" i="6"/>
  <c r="M240" i="6" a="1"/>
  <c r="L240" i="6" a="1"/>
  <c r="L240" i="6" s="1"/>
  <c r="AS37" i="7" s="1"/>
  <c r="K240" i="6" a="1"/>
  <c r="K240" i="6" s="1"/>
  <c r="J240" i="6" a="1"/>
  <c r="J240" i="6" s="1"/>
  <c r="I240" i="6" a="1"/>
  <c r="I240" i="6" s="1"/>
  <c r="H240" i="6" a="1"/>
  <c r="H240" i="6" s="1"/>
  <c r="G240" i="6" a="1"/>
  <c r="G240" i="6" s="1"/>
  <c r="F240" i="6" a="1"/>
  <c r="F240" i="6" s="1"/>
  <c r="E240" i="6" a="1"/>
  <c r="E240" i="6" s="1"/>
  <c r="D240" i="6" a="1"/>
  <c r="D240" i="6" s="1"/>
  <c r="S239" i="6" a="1"/>
  <c r="S239" i="6" s="1"/>
  <c r="R239" i="6" a="1"/>
  <c r="R239" i="6" s="1"/>
  <c r="Q239" i="6" a="1"/>
  <c r="Q239" i="6" s="1"/>
  <c r="P239" i="6" a="1"/>
  <c r="P239" i="6" s="1"/>
  <c r="O239" i="6" a="1"/>
  <c r="O239" i="6" s="1"/>
  <c r="N239" i="6" a="1"/>
  <c r="N239" i="6" s="1"/>
  <c r="M239" i="6" a="1"/>
  <c r="M239" i="6" s="1"/>
  <c r="L239" i="6" a="1"/>
  <c r="L239" i="6" s="1"/>
  <c r="AS36" i="7" s="1"/>
  <c r="K239" i="6"/>
  <c r="K239" i="6" a="1"/>
  <c r="J239" i="6" a="1"/>
  <c r="J239" i="6" s="1"/>
  <c r="I239" i="6" a="1"/>
  <c r="I239" i="6" s="1"/>
  <c r="H239" i="6" a="1"/>
  <c r="H239" i="6" s="1"/>
  <c r="G239" i="6" a="1"/>
  <c r="G239" i="6" s="1"/>
  <c r="F239" i="6" a="1"/>
  <c r="F239" i="6" s="1"/>
  <c r="E239" i="6" a="1"/>
  <c r="E239" i="6" s="1"/>
  <c r="D239" i="6" a="1"/>
  <c r="D239" i="6" s="1"/>
  <c r="S238" i="6" a="1"/>
  <c r="S238" i="6" s="1"/>
  <c r="R238" i="6" a="1"/>
  <c r="R238" i="6" s="1"/>
  <c r="Q238" i="6" a="1"/>
  <c r="Q238" i="6" s="1"/>
  <c r="P238" i="6" a="1"/>
  <c r="P238" i="6" s="1"/>
  <c r="O238" i="6" a="1"/>
  <c r="O238" i="6" s="1"/>
  <c r="N238" i="6"/>
  <c r="N238" i="6" a="1"/>
  <c r="M238" i="6" a="1"/>
  <c r="M238" i="6" s="1"/>
  <c r="L238" i="6" a="1"/>
  <c r="L238" i="6" s="1"/>
  <c r="AS35" i="7" s="1"/>
  <c r="K238" i="6" a="1"/>
  <c r="K238" i="6" s="1"/>
  <c r="J238" i="6" a="1"/>
  <c r="J238" i="6" s="1"/>
  <c r="I238" i="6" a="1"/>
  <c r="I238" i="6" s="1"/>
  <c r="H238" i="6" a="1"/>
  <c r="H238" i="6" s="1"/>
  <c r="G238" i="6" a="1"/>
  <c r="G238" i="6" s="1"/>
  <c r="F238" i="6" a="1"/>
  <c r="F238" i="6" s="1"/>
  <c r="E238" i="6" a="1"/>
  <c r="E238" i="6" s="1"/>
  <c r="D238" i="6" a="1"/>
  <c r="D238" i="6" s="1"/>
  <c r="S237" i="6" a="1"/>
  <c r="S237" i="6" s="1"/>
  <c r="R237" i="6" a="1"/>
  <c r="R237" i="6" s="1"/>
  <c r="Q237" i="6" a="1"/>
  <c r="Q237" i="6" s="1"/>
  <c r="P237" i="6" a="1"/>
  <c r="P237" i="6" s="1"/>
  <c r="O237" i="6" a="1"/>
  <c r="O237" i="6" s="1"/>
  <c r="N237" i="6" a="1"/>
  <c r="N237" i="6" s="1"/>
  <c r="M237" i="6" a="1"/>
  <c r="M237" i="6" s="1"/>
  <c r="L237" i="6" a="1"/>
  <c r="L237" i="6" s="1"/>
  <c r="AS34" i="7" s="1"/>
  <c r="K237" i="6" a="1"/>
  <c r="K237" i="6" s="1"/>
  <c r="J237" i="6" a="1"/>
  <c r="J237" i="6" s="1"/>
  <c r="I237" i="6" a="1"/>
  <c r="I237" i="6" s="1"/>
  <c r="H237" i="6" a="1"/>
  <c r="H237" i="6" s="1"/>
  <c r="G237" i="6" a="1"/>
  <c r="G237" i="6" s="1"/>
  <c r="F237" i="6" a="1"/>
  <c r="F237" i="6" s="1"/>
  <c r="E237" i="6" a="1"/>
  <c r="E237" i="6" s="1"/>
  <c r="D237" i="6" a="1"/>
  <c r="D237" i="6" s="1"/>
  <c r="S236" i="6" a="1"/>
  <c r="S236" i="6" s="1"/>
  <c r="R236" i="6"/>
  <c r="R236" i="6" a="1"/>
  <c r="Q236" i="6" a="1"/>
  <c r="Q236" i="6" s="1"/>
  <c r="P236" i="6" a="1"/>
  <c r="P236" i="6" s="1"/>
  <c r="O236" i="6" a="1"/>
  <c r="O236" i="6" s="1"/>
  <c r="N236" i="6" a="1"/>
  <c r="N236" i="6" s="1"/>
  <c r="M236" i="6" a="1"/>
  <c r="M236" i="6" s="1"/>
  <c r="L236" i="6" a="1"/>
  <c r="L236" i="6" s="1"/>
  <c r="AS33" i="7" s="1"/>
  <c r="K236" i="6"/>
  <c r="K236" i="6" a="1"/>
  <c r="J236" i="6" a="1"/>
  <c r="J236" i="6" s="1"/>
  <c r="I236" i="6" a="1"/>
  <c r="I236" i="6" s="1"/>
  <c r="H236" i="6" a="1"/>
  <c r="H236" i="6" s="1"/>
  <c r="G236" i="6" a="1"/>
  <c r="G236" i="6" s="1"/>
  <c r="F236" i="6" a="1"/>
  <c r="F236" i="6" s="1"/>
  <c r="E236" i="6" a="1"/>
  <c r="E236" i="6" s="1"/>
  <c r="D236" i="6" a="1"/>
  <c r="D236" i="6" s="1"/>
  <c r="S235" i="6" a="1"/>
  <c r="S235" i="6" s="1"/>
  <c r="R235" i="6" a="1"/>
  <c r="R235" i="6" s="1"/>
  <c r="Q235" i="6" a="1"/>
  <c r="Q235" i="6" s="1"/>
  <c r="P235" i="6" a="1"/>
  <c r="P235" i="6" s="1"/>
  <c r="O235" i="6" a="1"/>
  <c r="O235" i="6" s="1"/>
  <c r="N235" i="6" a="1"/>
  <c r="N235" i="6" s="1"/>
  <c r="M235" i="6" a="1"/>
  <c r="M235" i="6" s="1"/>
  <c r="L235" i="6"/>
  <c r="AS32" i="7" s="1"/>
  <c r="L235" i="6" a="1"/>
  <c r="K235" i="6" a="1"/>
  <c r="K235" i="6" s="1"/>
  <c r="J235" i="6" a="1"/>
  <c r="J235" i="6" s="1"/>
  <c r="I235" i="6" a="1"/>
  <c r="I235" i="6" s="1"/>
  <c r="H235" i="6" a="1"/>
  <c r="H235" i="6" s="1"/>
  <c r="G235" i="6"/>
  <c r="G235" i="6" a="1"/>
  <c r="F235" i="6" a="1"/>
  <c r="F235" i="6" s="1"/>
  <c r="E235" i="6" a="1"/>
  <c r="E235" i="6" s="1"/>
  <c r="D235" i="6" a="1"/>
  <c r="D235" i="6" s="1"/>
  <c r="S234" i="6" a="1"/>
  <c r="S234" i="6" s="1"/>
  <c r="R234" i="6" a="1"/>
  <c r="R234" i="6" s="1"/>
  <c r="Q234" i="6" a="1"/>
  <c r="Q234" i="6" s="1"/>
  <c r="P234" i="6" a="1"/>
  <c r="P234" i="6" s="1"/>
  <c r="O234" i="6"/>
  <c r="O234" i="6" a="1"/>
  <c r="N234" i="6" a="1"/>
  <c r="N234" i="6" s="1"/>
  <c r="M234" i="6" a="1"/>
  <c r="M234" i="6" s="1"/>
  <c r="L234" i="6" a="1"/>
  <c r="L234" i="6" s="1"/>
  <c r="AS31" i="7" s="1"/>
  <c r="K234" i="6" a="1"/>
  <c r="K234" i="6" s="1"/>
  <c r="J234" i="6" a="1"/>
  <c r="J234" i="6" s="1"/>
  <c r="I234" i="6" a="1"/>
  <c r="I234" i="6" s="1"/>
  <c r="H234" i="6" a="1"/>
  <c r="H234" i="6" s="1"/>
  <c r="G234" i="6" a="1"/>
  <c r="G234" i="6" s="1"/>
  <c r="F234" i="6" a="1"/>
  <c r="F234" i="6" s="1"/>
  <c r="E234" i="6" a="1"/>
  <c r="E234" i="6" s="1"/>
  <c r="D234" i="6" a="1"/>
  <c r="D234" i="6" s="1"/>
  <c r="S233" i="6" a="1"/>
  <c r="S233" i="6" s="1"/>
  <c r="R233" i="6" a="1"/>
  <c r="R233" i="6" s="1"/>
  <c r="Q233" i="6" a="1"/>
  <c r="Q233" i="6" s="1"/>
  <c r="P233" i="6" a="1"/>
  <c r="P233" i="6" s="1"/>
  <c r="O233" i="6" a="1"/>
  <c r="O233" i="6" s="1"/>
  <c r="N233" i="6" a="1"/>
  <c r="N233" i="6" s="1"/>
  <c r="M233" i="6"/>
  <c r="M233" i="6" a="1"/>
  <c r="L233" i="6" a="1"/>
  <c r="L233" i="6" s="1"/>
  <c r="AS30" i="7" s="1"/>
  <c r="K233" i="6" a="1"/>
  <c r="K233" i="6" s="1"/>
  <c r="J233" i="6" a="1"/>
  <c r="J233" i="6" s="1"/>
  <c r="I233" i="6" a="1"/>
  <c r="I233" i="6" s="1"/>
  <c r="H233" i="6" a="1"/>
  <c r="H233" i="6" s="1"/>
  <c r="G233" i="6" a="1"/>
  <c r="G233" i="6" s="1"/>
  <c r="F233" i="6" a="1"/>
  <c r="F233" i="6" s="1"/>
  <c r="E233" i="6" a="1"/>
  <c r="E233" i="6" s="1"/>
  <c r="D233" i="6"/>
  <c r="D233" i="6" a="1"/>
  <c r="S232" i="6" a="1"/>
  <c r="S232" i="6" s="1"/>
  <c r="R232" i="6" a="1"/>
  <c r="R232" i="6" s="1"/>
  <c r="Q232" i="6" a="1"/>
  <c r="Q232" i="6" s="1"/>
  <c r="P232" i="6" a="1"/>
  <c r="P232" i="6" s="1"/>
  <c r="O232" i="6"/>
  <c r="O232" i="6" a="1"/>
  <c r="N232" i="6" a="1"/>
  <c r="N232" i="6" s="1"/>
  <c r="M232" i="6"/>
  <c r="M232" i="6" a="1"/>
  <c r="L232" i="6" a="1"/>
  <c r="L232" i="6" s="1"/>
  <c r="AS29" i="7" s="1"/>
  <c r="K232" i="6"/>
  <c r="K232" i="6" a="1"/>
  <c r="J232" i="6"/>
  <c r="J232" i="6" a="1"/>
  <c r="I232" i="6" a="1"/>
  <c r="I232" i="6" s="1"/>
  <c r="H232" i="6" a="1"/>
  <c r="H232" i="6" s="1"/>
  <c r="G232" i="6" a="1"/>
  <c r="G232" i="6" s="1"/>
  <c r="F232" i="6" a="1"/>
  <c r="F232" i="6" s="1"/>
  <c r="E232" i="6" a="1"/>
  <c r="E232" i="6" s="1"/>
  <c r="D232" i="6" a="1"/>
  <c r="D232" i="6" s="1"/>
  <c r="S231" i="6" a="1"/>
  <c r="S231" i="6" s="1"/>
  <c r="R231" i="6" a="1"/>
  <c r="R231" i="6" s="1"/>
  <c r="Q231" i="6"/>
  <c r="Q231" i="6" a="1"/>
  <c r="P231" i="6" a="1"/>
  <c r="P231" i="6" s="1"/>
  <c r="O231" i="6" a="1"/>
  <c r="O231" i="6" s="1"/>
  <c r="N231" i="6" a="1"/>
  <c r="N231" i="6" s="1"/>
  <c r="M231" i="6" a="1"/>
  <c r="M231" i="6" s="1"/>
  <c r="L231" i="6" a="1"/>
  <c r="L231" i="6" s="1"/>
  <c r="AS28" i="7" s="1"/>
  <c r="K231" i="6"/>
  <c r="K231" i="6" a="1"/>
  <c r="J231" i="6" a="1"/>
  <c r="J231" i="6" s="1"/>
  <c r="I231" i="6" a="1"/>
  <c r="I231" i="6" s="1"/>
  <c r="H231" i="6" a="1"/>
  <c r="H231" i="6" s="1"/>
  <c r="G231" i="6" a="1"/>
  <c r="G231" i="6" s="1"/>
  <c r="F231" i="6" a="1"/>
  <c r="F231" i="6" s="1"/>
  <c r="E231" i="6" a="1"/>
  <c r="E231" i="6" s="1"/>
  <c r="D231" i="6" a="1"/>
  <c r="D231" i="6" s="1"/>
  <c r="S230" i="6" a="1"/>
  <c r="S230" i="6" s="1"/>
  <c r="R230" i="6" a="1"/>
  <c r="R230" i="6" s="1"/>
  <c r="Q230" i="6" a="1"/>
  <c r="Q230" i="6" s="1"/>
  <c r="P230" i="6" a="1"/>
  <c r="P230" i="6" s="1"/>
  <c r="O230" i="6" a="1"/>
  <c r="O230" i="6" s="1"/>
  <c r="N230" i="6" a="1"/>
  <c r="N230" i="6" s="1"/>
  <c r="M230" i="6" a="1"/>
  <c r="M230" i="6" s="1"/>
  <c r="L230" i="6" a="1"/>
  <c r="L230" i="6" s="1"/>
  <c r="AS27" i="7" s="1"/>
  <c r="K230" i="6"/>
  <c r="K230" i="6" a="1"/>
  <c r="J230" i="6" a="1"/>
  <c r="J230" i="6" s="1"/>
  <c r="I230" i="6" a="1"/>
  <c r="I230" i="6" s="1"/>
  <c r="H230" i="6" a="1"/>
  <c r="H230" i="6" s="1"/>
  <c r="G230" i="6" a="1"/>
  <c r="G230" i="6" s="1"/>
  <c r="F230" i="6" a="1"/>
  <c r="F230" i="6" s="1"/>
  <c r="E230" i="6" a="1"/>
  <c r="E230" i="6" s="1"/>
  <c r="D230" i="6" a="1"/>
  <c r="D230" i="6" s="1"/>
  <c r="S229" i="6" a="1"/>
  <c r="S229" i="6" s="1"/>
  <c r="R229" i="6" a="1"/>
  <c r="R229" i="6" s="1"/>
  <c r="Q229" i="6" a="1"/>
  <c r="Q229" i="6" s="1"/>
  <c r="P229" i="6" a="1"/>
  <c r="P229" i="6" s="1"/>
  <c r="O229" i="6" a="1"/>
  <c r="O229" i="6" s="1"/>
  <c r="N229" i="6" a="1"/>
  <c r="N229" i="6" s="1"/>
  <c r="M229" i="6"/>
  <c r="M229" i="6" a="1"/>
  <c r="L229" i="6" a="1"/>
  <c r="L229" i="6" s="1"/>
  <c r="AS26" i="7" s="1"/>
  <c r="K229" i="6" a="1"/>
  <c r="K229" i="6" s="1"/>
  <c r="J229" i="6" a="1"/>
  <c r="J229" i="6" s="1"/>
  <c r="I229" i="6" a="1"/>
  <c r="I229" i="6" s="1"/>
  <c r="H229" i="6" a="1"/>
  <c r="H229" i="6" s="1"/>
  <c r="G229" i="6"/>
  <c r="G229" i="6" a="1"/>
  <c r="F229" i="6" a="1"/>
  <c r="F229" i="6" s="1"/>
  <c r="E229" i="6" a="1"/>
  <c r="E229" i="6" s="1"/>
  <c r="D229" i="6" a="1"/>
  <c r="D229" i="6" s="1"/>
  <c r="S228" i="6" a="1"/>
  <c r="S228" i="6" s="1"/>
  <c r="R228" i="6" a="1"/>
  <c r="R228" i="6" s="1"/>
  <c r="Q228" i="6" a="1"/>
  <c r="Q228" i="6" s="1"/>
  <c r="P228" i="6" a="1"/>
  <c r="P228" i="6" s="1"/>
  <c r="O228" i="6" a="1"/>
  <c r="O228" i="6" s="1"/>
  <c r="N228" i="6" a="1"/>
  <c r="N228" i="6" s="1"/>
  <c r="M228" i="6"/>
  <c r="M228" i="6" a="1"/>
  <c r="L228" i="6" a="1"/>
  <c r="L228" i="6" s="1"/>
  <c r="AS25" i="7" s="1"/>
  <c r="K228" i="6" a="1"/>
  <c r="K228" i="6" s="1"/>
  <c r="J228" i="6" a="1"/>
  <c r="J228" i="6" s="1"/>
  <c r="I228" i="6" a="1"/>
  <c r="I228" i="6" s="1"/>
  <c r="H228" i="6" a="1"/>
  <c r="H228" i="6" s="1"/>
  <c r="G228" i="6" a="1"/>
  <c r="G228" i="6" s="1"/>
  <c r="F228" i="6" a="1"/>
  <c r="F228" i="6" s="1"/>
  <c r="E228" i="6" a="1"/>
  <c r="E228" i="6" s="1"/>
  <c r="D228" i="6" a="1"/>
  <c r="D228" i="6" s="1"/>
  <c r="S227" i="6" a="1"/>
  <c r="S227" i="6" s="1"/>
  <c r="R227" i="6" a="1"/>
  <c r="R227" i="6" s="1"/>
  <c r="Q227" i="6" a="1"/>
  <c r="Q227" i="6" s="1"/>
  <c r="P227" i="6" a="1"/>
  <c r="P227" i="6" s="1"/>
  <c r="O227" i="6" a="1"/>
  <c r="O227" i="6" s="1"/>
  <c r="N227" i="6" a="1"/>
  <c r="N227" i="6" s="1"/>
  <c r="M227" i="6" a="1"/>
  <c r="M227" i="6" s="1"/>
  <c r="L227" i="6" a="1"/>
  <c r="L227" i="6" s="1"/>
  <c r="AS24" i="7" s="1"/>
  <c r="K227" i="6" a="1"/>
  <c r="K227" i="6" s="1"/>
  <c r="J227" i="6" a="1"/>
  <c r="J227" i="6" s="1"/>
  <c r="I227" i="6" a="1"/>
  <c r="I227" i="6" s="1"/>
  <c r="H227" i="6" a="1"/>
  <c r="H227" i="6" s="1"/>
  <c r="G227" i="6" a="1"/>
  <c r="G227" i="6" s="1"/>
  <c r="F227" i="6" a="1"/>
  <c r="F227" i="6" s="1"/>
  <c r="E227" i="6" a="1"/>
  <c r="E227" i="6" s="1"/>
  <c r="D227" i="6" a="1"/>
  <c r="D227" i="6" s="1"/>
  <c r="S226" i="6" a="1"/>
  <c r="S226" i="6" s="1"/>
  <c r="R226" i="6" a="1"/>
  <c r="R226" i="6" s="1"/>
  <c r="Q226" i="6" a="1"/>
  <c r="Q226" i="6" s="1"/>
  <c r="P226" i="6" a="1"/>
  <c r="P226" i="6" s="1"/>
  <c r="O226" i="6" a="1"/>
  <c r="O226" i="6" s="1"/>
  <c r="N226" i="6" a="1"/>
  <c r="N226" i="6" s="1"/>
  <c r="M226" i="6" a="1"/>
  <c r="M226" i="6" s="1"/>
  <c r="L226" i="6" a="1"/>
  <c r="L226" i="6" s="1"/>
  <c r="AS23" i="7" s="1"/>
  <c r="K226" i="6" a="1"/>
  <c r="K226" i="6" s="1"/>
  <c r="J226" i="6" a="1"/>
  <c r="J226" i="6" s="1"/>
  <c r="I226" i="6" a="1"/>
  <c r="I226" i="6" s="1"/>
  <c r="H226" i="6"/>
  <c r="H226" i="6" a="1"/>
  <c r="G226" i="6" a="1"/>
  <c r="G226" i="6" s="1"/>
  <c r="F226" i="6" a="1"/>
  <c r="F226" i="6" s="1"/>
  <c r="E226" i="6" a="1"/>
  <c r="E226" i="6" s="1"/>
  <c r="D226" i="6" a="1"/>
  <c r="D226" i="6" s="1"/>
  <c r="S225" i="6" a="1"/>
  <c r="S225" i="6" s="1"/>
  <c r="R225" i="6" a="1"/>
  <c r="R225" i="6" s="1"/>
  <c r="Q225" i="6" a="1"/>
  <c r="Q225" i="6" s="1"/>
  <c r="P225" i="6" a="1"/>
  <c r="P225" i="6" s="1"/>
  <c r="O225" i="6" a="1"/>
  <c r="O225" i="6" s="1"/>
  <c r="N225" i="6" a="1"/>
  <c r="N225" i="6" s="1"/>
  <c r="M225" i="6" a="1"/>
  <c r="M225" i="6" s="1"/>
  <c r="L225" i="6" a="1"/>
  <c r="L225" i="6" s="1"/>
  <c r="AS22" i="7" s="1"/>
  <c r="K225" i="6" a="1"/>
  <c r="K225" i="6" s="1"/>
  <c r="J225" i="6" a="1"/>
  <c r="J225" i="6" s="1"/>
  <c r="I225" i="6" a="1"/>
  <c r="I225" i="6" s="1"/>
  <c r="H225" i="6" a="1"/>
  <c r="H225" i="6" s="1"/>
  <c r="G225" i="6" a="1"/>
  <c r="G225" i="6" s="1"/>
  <c r="F225" i="6" a="1"/>
  <c r="F225" i="6" s="1"/>
  <c r="E225" i="6" a="1"/>
  <c r="E225" i="6" s="1"/>
  <c r="D225" i="6" a="1"/>
  <c r="D225" i="6" s="1"/>
  <c r="S224" i="6" a="1"/>
  <c r="S224" i="6" s="1"/>
  <c r="R224" i="6" a="1"/>
  <c r="R224" i="6" s="1"/>
  <c r="Q224" i="6" a="1"/>
  <c r="Q224" i="6" s="1"/>
  <c r="P224" i="6" a="1"/>
  <c r="P224" i="6" s="1"/>
  <c r="O224" i="6" a="1"/>
  <c r="O224" i="6" s="1"/>
  <c r="N224" i="6" a="1"/>
  <c r="N224" i="6" s="1"/>
  <c r="M224" i="6" a="1"/>
  <c r="M224" i="6" s="1"/>
  <c r="L224" i="6" a="1"/>
  <c r="L224" i="6" s="1"/>
  <c r="AS21" i="7" s="1"/>
  <c r="K224" i="6" a="1"/>
  <c r="K224" i="6" s="1"/>
  <c r="J224" i="6" a="1"/>
  <c r="J224" i="6" s="1"/>
  <c r="I224" i="6" a="1"/>
  <c r="I224" i="6" s="1"/>
  <c r="H224" i="6" a="1"/>
  <c r="H224" i="6" s="1"/>
  <c r="G224" i="6" a="1"/>
  <c r="G224" i="6" s="1"/>
  <c r="F224" i="6" a="1"/>
  <c r="F224" i="6" s="1"/>
  <c r="E224" i="6" a="1"/>
  <c r="E224" i="6" s="1"/>
  <c r="D224" i="6" a="1"/>
  <c r="D224" i="6" s="1"/>
  <c r="S223" i="6" a="1"/>
  <c r="S223" i="6" s="1"/>
  <c r="R223" i="6" a="1"/>
  <c r="R223" i="6" s="1"/>
  <c r="Q223" i="6" a="1"/>
  <c r="Q223" i="6" s="1"/>
  <c r="P223" i="6" a="1"/>
  <c r="P223" i="6" s="1"/>
  <c r="O223" i="6"/>
  <c r="O223" i="6" a="1"/>
  <c r="N223" i="6" a="1"/>
  <c r="N223" i="6" s="1"/>
  <c r="M223" i="6" a="1"/>
  <c r="M223" i="6" s="1"/>
  <c r="L223" i="6" a="1"/>
  <c r="L223" i="6" s="1"/>
  <c r="AS20" i="7" s="1"/>
  <c r="K223" i="6" a="1"/>
  <c r="K223" i="6" s="1"/>
  <c r="J223" i="6" a="1"/>
  <c r="J223" i="6" s="1"/>
  <c r="I223" i="6" a="1"/>
  <c r="I223" i="6" s="1"/>
  <c r="H223" i="6" a="1"/>
  <c r="H223" i="6" s="1"/>
  <c r="G223" i="6" a="1"/>
  <c r="G223" i="6" s="1"/>
  <c r="F223" i="6" a="1"/>
  <c r="F223" i="6" s="1"/>
  <c r="E223" i="6" a="1"/>
  <c r="E223" i="6" s="1"/>
  <c r="D223" i="6" a="1"/>
  <c r="D223" i="6" s="1"/>
  <c r="S222" i="6" a="1"/>
  <c r="S222" i="6" s="1"/>
  <c r="R222" i="6" a="1"/>
  <c r="R222" i="6" s="1"/>
  <c r="Q222" i="6" a="1"/>
  <c r="Q222" i="6" s="1"/>
  <c r="P222" i="6" a="1"/>
  <c r="P222" i="6" s="1"/>
  <c r="O222" i="6"/>
  <c r="O222" i="6" a="1"/>
  <c r="N222" i="6" a="1"/>
  <c r="N222" i="6" s="1"/>
  <c r="M222" i="6" a="1"/>
  <c r="M222" i="6" s="1"/>
  <c r="L222" i="6" a="1"/>
  <c r="L222" i="6" s="1"/>
  <c r="AS19" i="7" s="1"/>
  <c r="K222" i="6" a="1"/>
  <c r="K222" i="6" s="1"/>
  <c r="J222" i="6" a="1"/>
  <c r="J222" i="6" s="1"/>
  <c r="I222" i="6" a="1"/>
  <c r="I222" i="6" s="1"/>
  <c r="H222" i="6" a="1"/>
  <c r="H222" i="6" s="1"/>
  <c r="G222" i="6" a="1"/>
  <c r="G222" i="6" s="1"/>
  <c r="F222" i="6" a="1"/>
  <c r="F222" i="6" s="1"/>
  <c r="E222" i="6" a="1"/>
  <c r="E222" i="6" s="1"/>
  <c r="D222" i="6"/>
  <c r="D222" i="6" a="1"/>
  <c r="S221" i="6"/>
  <c r="S221" i="6" a="1"/>
  <c r="R221" i="6" a="1"/>
  <c r="R221" i="6" s="1"/>
  <c r="Q221" i="6" a="1"/>
  <c r="Q221" i="6" s="1"/>
  <c r="P221" i="6" a="1"/>
  <c r="P221" i="6" s="1"/>
  <c r="O221" i="6" a="1"/>
  <c r="O221" i="6" s="1"/>
  <c r="N221" i="6" a="1"/>
  <c r="N221" i="6" s="1"/>
  <c r="M221" i="6" a="1"/>
  <c r="M221" i="6" s="1"/>
  <c r="L221" i="6" a="1"/>
  <c r="L221" i="6" s="1"/>
  <c r="AS18" i="7" s="1"/>
  <c r="K221" i="6" a="1"/>
  <c r="K221" i="6" s="1"/>
  <c r="J221" i="6" a="1"/>
  <c r="J221" i="6" s="1"/>
  <c r="I221" i="6" a="1"/>
  <c r="I221" i="6" s="1"/>
  <c r="H221" i="6" a="1"/>
  <c r="H221" i="6" s="1"/>
  <c r="G221" i="6"/>
  <c r="G221" i="6" a="1"/>
  <c r="F221" i="6" a="1"/>
  <c r="F221" i="6" s="1"/>
  <c r="E221" i="6" a="1"/>
  <c r="E221" i="6" s="1"/>
  <c r="D221" i="6" a="1"/>
  <c r="D221" i="6" s="1"/>
  <c r="S220" i="6" a="1"/>
  <c r="S220" i="6" s="1"/>
  <c r="R220" i="6" a="1"/>
  <c r="R220" i="6" s="1"/>
  <c r="Q220" i="6" a="1"/>
  <c r="Q220" i="6" s="1"/>
  <c r="P220" i="6" a="1"/>
  <c r="P220" i="6" s="1"/>
  <c r="O220" i="6" a="1"/>
  <c r="O220" i="6" s="1"/>
  <c r="N220" i="6" a="1"/>
  <c r="N220" i="6" s="1"/>
  <c r="M220" i="6" a="1"/>
  <c r="M220" i="6" s="1"/>
  <c r="L220" i="6" a="1"/>
  <c r="L220" i="6" s="1"/>
  <c r="AS17" i="7" s="1"/>
  <c r="K220" i="6" a="1"/>
  <c r="K220" i="6" s="1"/>
  <c r="J220" i="6" a="1"/>
  <c r="J220" i="6" s="1"/>
  <c r="I220" i="6"/>
  <c r="I220" i="6" a="1"/>
  <c r="H220" i="6"/>
  <c r="H220" i="6" a="1"/>
  <c r="G220" i="6" a="1"/>
  <c r="G220" i="6" s="1"/>
  <c r="F220" i="6" a="1"/>
  <c r="F220" i="6" s="1"/>
  <c r="E220" i="6" a="1"/>
  <c r="E220" i="6" s="1"/>
  <c r="D220" i="6" a="1"/>
  <c r="D220" i="6" s="1"/>
  <c r="S219" i="6" a="1"/>
  <c r="S219" i="6" s="1"/>
  <c r="R219" i="6" a="1"/>
  <c r="R219" i="6" s="1"/>
  <c r="Q219" i="6" a="1"/>
  <c r="Q219" i="6" s="1"/>
  <c r="P219" i="6" a="1"/>
  <c r="P219" i="6" s="1"/>
  <c r="O219" i="6"/>
  <c r="O219" i="6" a="1"/>
  <c r="N219" i="6" a="1"/>
  <c r="N219" i="6" s="1"/>
  <c r="M219" i="6" a="1"/>
  <c r="M219" i="6" s="1"/>
  <c r="L219" i="6" a="1"/>
  <c r="L219" i="6" s="1"/>
  <c r="AS16" i="7" s="1"/>
  <c r="K219" i="6" a="1"/>
  <c r="K219" i="6" s="1"/>
  <c r="J219" i="6" a="1"/>
  <c r="J219" i="6" s="1"/>
  <c r="I219" i="6" a="1"/>
  <c r="I219" i="6" s="1"/>
  <c r="H219" i="6" a="1"/>
  <c r="H219" i="6" s="1"/>
  <c r="G219" i="6" a="1"/>
  <c r="G219" i="6" s="1"/>
  <c r="F219" i="6" a="1"/>
  <c r="F219" i="6" s="1"/>
  <c r="E219" i="6" a="1"/>
  <c r="E219" i="6" s="1"/>
  <c r="D219" i="6" a="1"/>
  <c r="D219" i="6" s="1"/>
  <c r="S218" i="6" a="1"/>
  <c r="S218" i="6" s="1"/>
  <c r="R218" i="6" a="1"/>
  <c r="R218" i="6" s="1"/>
  <c r="Q218" i="6" a="1"/>
  <c r="Q218" i="6" s="1"/>
  <c r="P218" i="6" a="1"/>
  <c r="P218" i="6" s="1"/>
  <c r="O218" i="6" a="1"/>
  <c r="O218" i="6" s="1"/>
  <c r="N218" i="6" a="1"/>
  <c r="N218" i="6" s="1"/>
  <c r="M218" i="6" a="1"/>
  <c r="M218" i="6" s="1"/>
  <c r="L218" i="6" a="1"/>
  <c r="L218" i="6" s="1"/>
  <c r="AS15" i="7" s="1"/>
  <c r="K218" i="6" a="1"/>
  <c r="K218" i="6" s="1"/>
  <c r="J218" i="6" a="1"/>
  <c r="J218" i="6" s="1"/>
  <c r="I218" i="6" a="1"/>
  <c r="I218" i="6" s="1"/>
  <c r="H218" i="6" a="1"/>
  <c r="H218" i="6" s="1"/>
  <c r="G218" i="6" a="1"/>
  <c r="G218" i="6" s="1"/>
  <c r="F218" i="6" a="1"/>
  <c r="F218" i="6" s="1"/>
  <c r="E218" i="6" a="1"/>
  <c r="E218" i="6" s="1"/>
  <c r="D218" i="6" a="1"/>
  <c r="D218" i="6" s="1"/>
  <c r="S217" i="6" a="1"/>
  <c r="S217" i="6" s="1"/>
  <c r="R217" i="6" a="1"/>
  <c r="R217" i="6" s="1"/>
  <c r="Q217" i="6" a="1"/>
  <c r="Q217" i="6" s="1"/>
  <c r="P217" i="6" a="1"/>
  <c r="P217" i="6" s="1"/>
  <c r="O217" i="6" a="1"/>
  <c r="O217" i="6" s="1"/>
  <c r="N217" i="6" a="1"/>
  <c r="N217" i="6" s="1"/>
  <c r="M217" i="6"/>
  <c r="M217" i="6" a="1"/>
  <c r="L217" i="6" a="1"/>
  <c r="L217" i="6" s="1"/>
  <c r="AS14" i="7" s="1"/>
  <c r="K217" i="6" a="1"/>
  <c r="K217" i="6" s="1"/>
  <c r="J217" i="6" a="1"/>
  <c r="J217" i="6" s="1"/>
  <c r="I217" i="6" a="1"/>
  <c r="I217" i="6" s="1"/>
  <c r="H217" i="6" a="1"/>
  <c r="H217" i="6" s="1"/>
  <c r="G217" i="6" a="1"/>
  <c r="G217" i="6" s="1"/>
  <c r="F217" i="6" a="1"/>
  <c r="F217" i="6" s="1"/>
  <c r="E217" i="6" a="1"/>
  <c r="E217" i="6" s="1"/>
  <c r="D217" i="6" a="1"/>
  <c r="D217" i="6" s="1"/>
  <c r="S216" i="6" a="1"/>
  <c r="S216" i="6" s="1"/>
  <c r="R216" i="6" a="1"/>
  <c r="R216" i="6" s="1"/>
  <c r="Q216" i="6" a="1"/>
  <c r="Q216" i="6" s="1"/>
  <c r="P216" i="6" a="1"/>
  <c r="P216" i="6" s="1"/>
  <c r="O216" i="6" a="1"/>
  <c r="O216" i="6" s="1"/>
  <c r="N216" i="6" a="1"/>
  <c r="N216" i="6" s="1"/>
  <c r="M216" i="6" a="1"/>
  <c r="M216" i="6" s="1"/>
  <c r="L216" i="6" a="1"/>
  <c r="L216" i="6" s="1"/>
  <c r="AS13" i="7" s="1"/>
  <c r="K216" i="6" a="1"/>
  <c r="K216" i="6" s="1"/>
  <c r="J216" i="6" a="1"/>
  <c r="J216" i="6" s="1"/>
  <c r="I216" i="6" a="1"/>
  <c r="I216" i="6" s="1"/>
  <c r="H216" i="6" a="1"/>
  <c r="H216" i="6" s="1"/>
  <c r="G216" i="6" a="1"/>
  <c r="G216" i="6" s="1"/>
  <c r="F216" i="6" a="1"/>
  <c r="F216" i="6" s="1"/>
  <c r="E216" i="6" a="1"/>
  <c r="E216" i="6" s="1"/>
  <c r="D216" i="6" a="1"/>
  <c r="D216" i="6" s="1"/>
  <c r="S215" i="6" a="1"/>
  <c r="S215" i="6" s="1"/>
  <c r="R215" i="6" a="1"/>
  <c r="R215" i="6" s="1"/>
  <c r="Q215" i="6" a="1"/>
  <c r="Q215" i="6" s="1"/>
  <c r="P215" i="6" a="1"/>
  <c r="P215" i="6" s="1"/>
  <c r="O215" i="6" a="1"/>
  <c r="O215" i="6" s="1"/>
  <c r="N215" i="6" a="1"/>
  <c r="N215" i="6" s="1"/>
  <c r="M215" i="6" a="1"/>
  <c r="M215" i="6" s="1"/>
  <c r="L215" i="6" a="1"/>
  <c r="L215" i="6" s="1"/>
  <c r="AS12" i="7" s="1"/>
  <c r="K215" i="6" a="1"/>
  <c r="K215" i="6" s="1"/>
  <c r="J215" i="6" a="1"/>
  <c r="J215" i="6" s="1"/>
  <c r="I215" i="6" a="1"/>
  <c r="I215" i="6" s="1"/>
  <c r="H215" i="6" a="1"/>
  <c r="H215" i="6" s="1"/>
  <c r="G215" i="6" a="1"/>
  <c r="G215" i="6" s="1"/>
  <c r="F215" i="6" a="1"/>
  <c r="F215" i="6" s="1"/>
  <c r="E215" i="6" a="1"/>
  <c r="E215" i="6" s="1"/>
  <c r="D215" i="6" a="1"/>
  <c r="D215" i="6" s="1"/>
  <c r="S214" i="6" a="1"/>
  <c r="S214" i="6" s="1"/>
  <c r="R214" i="6" a="1"/>
  <c r="R214" i="6" s="1"/>
  <c r="Q214" i="6" a="1"/>
  <c r="Q214" i="6" s="1"/>
  <c r="P214" i="6" a="1"/>
  <c r="P214" i="6" s="1"/>
  <c r="O214" i="6" a="1"/>
  <c r="O214" i="6" s="1"/>
  <c r="N214" i="6" a="1"/>
  <c r="N214" i="6" s="1"/>
  <c r="M214" i="6" a="1"/>
  <c r="M214" i="6" s="1"/>
  <c r="L214" i="6" a="1"/>
  <c r="L214" i="6" s="1"/>
  <c r="AS11" i="7" s="1"/>
  <c r="K214" i="6" a="1"/>
  <c r="K214" i="6" s="1"/>
  <c r="J214" i="6" a="1"/>
  <c r="J214" i="6" s="1"/>
  <c r="I214" i="6" a="1"/>
  <c r="I214" i="6" s="1"/>
  <c r="H214" i="6" a="1"/>
  <c r="H214" i="6" s="1"/>
  <c r="G214" i="6" a="1"/>
  <c r="G214" i="6" s="1"/>
  <c r="F214" i="6" a="1"/>
  <c r="F214" i="6" s="1"/>
  <c r="E214" i="6" a="1"/>
  <c r="E214" i="6" s="1"/>
  <c r="D214" i="6" a="1"/>
  <c r="D214" i="6" s="1"/>
  <c r="S213" i="6" a="1"/>
  <c r="S213" i="6" s="1"/>
  <c r="R213" i="6" a="1"/>
  <c r="R213" i="6" s="1"/>
  <c r="Q213" i="6" a="1"/>
  <c r="Q213" i="6" s="1"/>
  <c r="P213" i="6" a="1"/>
  <c r="P213" i="6" s="1"/>
  <c r="O213" i="6" a="1"/>
  <c r="O213" i="6" s="1"/>
  <c r="N213" i="6"/>
  <c r="N213" i="6" a="1"/>
  <c r="M213" i="6" a="1"/>
  <c r="M213" i="6" s="1"/>
  <c r="L213" i="6" a="1"/>
  <c r="L213" i="6" s="1"/>
  <c r="AS10" i="7" s="1"/>
  <c r="K213" i="6" a="1"/>
  <c r="K213" i="6" s="1"/>
  <c r="J213" i="6" a="1"/>
  <c r="J213" i="6" s="1"/>
  <c r="I213" i="6" a="1"/>
  <c r="I213" i="6" s="1"/>
  <c r="H213" i="6" a="1"/>
  <c r="H213" i="6" s="1"/>
  <c r="G213" i="6" a="1"/>
  <c r="G213" i="6" s="1"/>
  <c r="F213" i="6" a="1"/>
  <c r="F213" i="6" s="1"/>
  <c r="E213" i="6" a="1"/>
  <c r="E213" i="6" s="1"/>
  <c r="D213" i="6" a="1"/>
  <c r="D213" i="6" s="1"/>
  <c r="S212" i="6" a="1"/>
  <c r="S212" i="6" s="1"/>
  <c r="R212" i="6" a="1"/>
  <c r="R212" i="6" s="1"/>
  <c r="Q212" i="6" a="1"/>
  <c r="Q212" i="6" s="1"/>
  <c r="P212" i="6" a="1"/>
  <c r="P212" i="6" s="1"/>
  <c r="O212" i="6" a="1"/>
  <c r="O212" i="6" s="1"/>
  <c r="N212" i="6" a="1"/>
  <c r="N212" i="6" s="1"/>
  <c r="M212" i="6"/>
  <c r="M212" i="6" a="1"/>
  <c r="L212" i="6"/>
  <c r="AS9" i="7" s="1"/>
  <c r="L212" i="6" a="1"/>
  <c r="K212" i="6" a="1"/>
  <c r="K212" i="6" s="1"/>
  <c r="J212" i="6" a="1"/>
  <c r="J212" i="6" s="1"/>
  <c r="I212" i="6" a="1"/>
  <c r="I212" i="6" s="1"/>
  <c r="H212" i="6" a="1"/>
  <c r="H212" i="6" s="1"/>
  <c r="G212" i="6" a="1"/>
  <c r="G212" i="6" s="1"/>
  <c r="F212" i="6" a="1"/>
  <c r="F212" i="6" s="1"/>
  <c r="E212" i="6" a="1"/>
  <c r="E212" i="6" s="1"/>
  <c r="D212" i="6" a="1"/>
  <c r="D212" i="6" s="1"/>
  <c r="S211" i="6" a="1"/>
  <c r="S211" i="6" s="1"/>
  <c r="R211" i="6" a="1"/>
  <c r="R211" i="6" s="1"/>
  <c r="Q211" i="6" a="1"/>
  <c r="Q211" i="6" s="1"/>
  <c r="P211" i="6" a="1"/>
  <c r="P211" i="6" s="1"/>
  <c r="O211" i="6" a="1"/>
  <c r="O211" i="6" s="1"/>
  <c r="N211" i="6" a="1"/>
  <c r="N211" i="6" s="1"/>
  <c r="M211" i="6" a="1"/>
  <c r="M211" i="6" s="1"/>
  <c r="L211" i="6" a="1"/>
  <c r="L211" i="6" s="1"/>
  <c r="AS8" i="7" s="1"/>
  <c r="K211" i="6"/>
  <c r="K211" i="6" a="1"/>
  <c r="J211" i="6" a="1"/>
  <c r="J211" i="6" s="1"/>
  <c r="I211" i="6" a="1"/>
  <c r="I211" i="6" s="1"/>
  <c r="H211" i="6" a="1"/>
  <c r="H211" i="6" s="1"/>
  <c r="G211" i="6" a="1"/>
  <c r="G211" i="6" s="1"/>
  <c r="F211" i="6" a="1"/>
  <c r="F211" i="6" s="1"/>
  <c r="E211" i="6" a="1"/>
  <c r="E211" i="6" s="1"/>
  <c r="D211" i="6" a="1"/>
  <c r="D211" i="6" s="1"/>
  <c r="S210" i="6" a="1"/>
  <c r="S210" i="6" s="1"/>
  <c r="R210" i="6" a="1"/>
  <c r="R210" i="6" s="1"/>
  <c r="Q210" i="6" a="1"/>
  <c r="Q210" i="6" s="1"/>
  <c r="P210" i="6" a="1"/>
  <c r="P210" i="6" s="1"/>
  <c r="O210" i="6" a="1"/>
  <c r="O210" i="6" s="1"/>
  <c r="N210" i="6" a="1"/>
  <c r="N210" i="6" s="1"/>
  <c r="M210" i="6" a="1"/>
  <c r="M210" i="6" s="1"/>
  <c r="L210" i="6" a="1"/>
  <c r="L210" i="6" s="1"/>
  <c r="AS7" i="7" s="1"/>
  <c r="K210" i="6" a="1"/>
  <c r="K210" i="6" s="1"/>
  <c r="J210" i="6" a="1"/>
  <c r="J210" i="6" s="1"/>
  <c r="I210" i="6" a="1"/>
  <c r="I210" i="6" s="1"/>
  <c r="H210" i="6" a="1"/>
  <c r="H210" i="6" s="1"/>
  <c r="G210" i="6" a="1"/>
  <c r="G210" i="6" s="1"/>
  <c r="F210" i="6" a="1"/>
  <c r="F210" i="6" s="1"/>
  <c r="E210" i="6" a="1"/>
  <c r="E210" i="6" s="1"/>
  <c r="D210" i="6" a="1"/>
  <c r="D210" i="6" s="1"/>
  <c r="S209" i="6" a="1"/>
  <c r="S209" i="6" s="1"/>
  <c r="R209" i="6" a="1"/>
  <c r="R209" i="6" s="1"/>
  <c r="Q209" i="6" a="1"/>
  <c r="Q209" i="6" s="1"/>
  <c r="P209" i="6" a="1"/>
  <c r="P209" i="6" s="1"/>
  <c r="O209" i="6" a="1"/>
  <c r="O209" i="6" s="1"/>
  <c r="N209" i="6" a="1"/>
  <c r="N209" i="6" s="1"/>
  <c r="M209" i="6" a="1"/>
  <c r="M209" i="6" s="1"/>
  <c r="L209" i="6" a="1"/>
  <c r="L209" i="6" s="1"/>
  <c r="AS6" i="7" s="1"/>
  <c r="K209" i="6" a="1"/>
  <c r="K209" i="6" s="1"/>
  <c r="J209" i="6" a="1"/>
  <c r="J209" i="6" s="1"/>
  <c r="I209" i="6" a="1"/>
  <c r="I209" i="6" s="1"/>
  <c r="H209" i="6" a="1"/>
  <c r="H209" i="6" s="1"/>
  <c r="G209" i="6" a="1"/>
  <c r="G209" i="6" s="1"/>
  <c r="F209" i="6" a="1"/>
  <c r="F209" i="6" s="1"/>
  <c r="E209" i="6" a="1"/>
  <c r="E209" i="6" s="1"/>
  <c r="D209" i="6" a="1"/>
  <c r="D209" i="6" s="1"/>
  <c r="S208" i="6" a="1"/>
  <c r="S208" i="6" s="1"/>
  <c r="R208" i="6" a="1"/>
  <c r="R208" i="6" s="1"/>
  <c r="Q208" i="6" a="1"/>
  <c r="Q208" i="6" s="1"/>
  <c r="P208" i="6" a="1"/>
  <c r="P208" i="6" s="1"/>
  <c r="O208" i="6" a="1"/>
  <c r="O208" i="6" s="1"/>
  <c r="N208" i="6" a="1"/>
  <c r="N208" i="6" s="1"/>
  <c r="M208" i="6" a="1"/>
  <c r="M208" i="6" s="1"/>
  <c r="L208" i="6" a="1"/>
  <c r="L208" i="6" s="1"/>
  <c r="AS5" i="7" s="1"/>
  <c r="K208" i="6" a="1"/>
  <c r="K208" i="6" s="1"/>
  <c r="J208" i="6" a="1"/>
  <c r="J208" i="6" s="1"/>
  <c r="I208" i="6" a="1"/>
  <c r="I208" i="6" s="1"/>
  <c r="H208" i="6" a="1"/>
  <c r="H208" i="6" s="1"/>
  <c r="G208" i="6" a="1"/>
  <c r="G208" i="6" s="1"/>
  <c r="F208" i="6" a="1"/>
  <c r="F208" i="6" s="1"/>
  <c r="E208" i="6"/>
  <c r="E208" i="6" a="1"/>
  <c r="D208" i="6" a="1"/>
  <c r="D208" i="6" s="1"/>
  <c r="S207" i="6" a="1"/>
  <c r="S207" i="6" s="1"/>
  <c r="R207" i="6" a="1"/>
  <c r="R207" i="6" s="1"/>
  <c r="Q207" i="6" a="1"/>
  <c r="Q207" i="6" s="1"/>
  <c r="P207" i="6" a="1"/>
  <c r="P207" i="6" s="1"/>
  <c r="O207" i="6" a="1"/>
  <c r="O207" i="6" s="1"/>
  <c r="N207" i="6"/>
  <c r="N207" i="6" a="1"/>
  <c r="M207" i="6" a="1"/>
  <c r="M207" i="6" s="1"/>
  <c r="L207" i="6" a="1"/>
  <c r="L207" i="6" s="1"/>
  <c r="AS4" i="7" s="1"/>
  <c r="K207" i="6" a="1"/>
  <c r="K207" i="6" s="1"/>
  <c r="J207" i="6" a="1"/>
  <c r="J207" i="6" s="1"/>
  <c r="I207" i="6" a="1"/>
  <c r="I207" i="6" s="1"/>
  <c r="H207" i="6" a="1"/>
  <c r="H207" i="6" s="1"/>
  <c r="G207" i="6" a="1"/>
  <c r="G207" i="6" s="1"/>
  <c r="F207" i="6" a="1"/>
  <c r="F207" i="6" s="1"/>
  <c r="E207" i="6" a="1"/>
  <c r="E207" i="6" s="1"/>
  <c r="D207" i="6" a="1"/>
  <c r="D207" i="6" s="1"/>
  <c r="S206" i="6" a="1"/>
  <c r="S206" i="6" s="1"/>
  <c r="R206" i="6" a="1"/>
  <c r="R206" i="6" s="1"/>
  <c r="Q206" i="6" a="1"/>
  <c r="Q206" i="6" s="1"/>
  <c r="P206" i="6" a="1"/>
  <c r="P206" i="6" s="1"/>
  <c r="O206" i="6" a="1"/>
  <c r="O206" i="6" s="1"/>
  <c r="N206" i="6" a="1"/>
  <c r="N206" i="6" s="1"/>
  <c r="M206" i="6" a="1"/>
  <c r="M206" i="6" s="1"/>
  <c r="L206" i="6" a="1"/>
  <c r="L206" i="6" s="1"/>
  <c r="K206" i="6" a="1"/>
  <c r="K206" i="6" s="1"/>
  <c r="J206" i="6" a="1"/>
  <c r="J206" i="6" s="1"/>
  <c r="I206" i="6"/>
  <c r="I206" i="6" a="1"/>
  <c r="H206" i="6" a="1"/>
  <c r="H206" i="6" s="1"/>
  <c r="G206" i="6" a="1"/>
  <c r="G206" i="6" s="1"/>
  <c r="F206" i="6" a="1"/>
  <c r="F206" i="6" s="1"/>
  <c r="E206" i="6" a="1"/>
  <c r="E206" i="6" s="1"/>
  <c r="D206" i="6" a="1"/>
  <c r="D206" i="6" s="1"/>
  <c r="S205" i="6" a="1"/>
  <c r="S205" i="6" s="1"/>
  <c r="R205" i="6" a="1"/>
  <c r="R205" i="6" s="1"/>
  <c r="Q205" i="6" a="1"/>
  <c r="Q205" i="6" s="1"/>
  <c r="P205" i="6" a="1"/>
  <c r="P205" i="6" s="1"/>
  <c r="O205" i="6" a="1"/>
  <c r="O205" i="6" s="1"/>
  <c r="N205" i="6" a="1"/>
  <c r="N205" i="6" s="1"/>
  <c r="M205" i="6" a="1"/>
  <c r="M205" i="6" s="1"/>
  <c r="L205" i="6" a="1"/>
  <c r="L205" i="6" s="1"/>
  <c r="K205" i="6" a="1"/>
  <c r="K205" i="6" s="1"/>
  <c r="J205" i="6" a="1"/>
  <c r="J205" i="6" s="1"/>
  <c r="I205" i="6" a="1"/>
  <c r="I205" i="6" s="1"/>
  <c r="H205" i="6" a="1"/>
  <c r="H205" i="6" s="1"/>
  <c r="G205" i="6" a="1"/>
  <c r="G205" i="6" s="1"/>
  <c r="F205" i="6" a="1"/>
  <c r="F205" i="6" s="1"/>
  <c r="E205" i="6" a="1"/>
  <c r="E205" i="6" s="1"/>
  <c r="D205" i="6" a="1"/>
  <c r="D205" i="6" s="1"/>
  <c r="S204" i="6" a="1"/>
  <c r="S204" i="6" s="1"/>
  <c r="R204" i="6" a="1"/>
  <c r="R204" i="6" s="1"/>
  <c r="Q204" i="6" a="1"/>
  <c r="Q204" i="6" s="1"/>
  <c r="P204" i="6" a="1"/>
  <c r="P204" i="6" s="1"/>
  <c r="O204" i="6" a="1"/>
  <c r="O204" i="6" s="1"/>
  <c r="N204" i="6" a="1"/>
  <c r="N204" i="6" s="1"/>
  <c r="M204" i="6" a="1"/>
  <c r="M204" i="6" s="1"/>
  <c r="L204" i="6" a="1"/>
  <c r="L204" i="6" s="1"/>
  <c r="K204" i="6" a="1"/>
  <c r="K204" i="6" s="1"/>
  <c r="J204" i="6" a="1"/>
  <c r="J204" i="6" s="1"/>
  <c r="I204" i="6" a="1"/>
  <c r="I204" i="6" s="1"/>
  <c r="H204" i="6" a="1"/>
  <c r="H204" i="6" s="1"/>
  <c r="G204" i="6" a="1"/>
  <c r="G204" i="6" s="1"/>
  <c r="F204" i="6" a="1"/>
  <c r="F204" i="6" s="1"/>
  <c r="E204" i="6" a="1"/>
  <c r="E204" i="6" s="1"/>
  <c r="D204" i="6" a="1"/>
  <c r="D204" i="6" s="1"/>
  <c r="S203" i="6" a="1"/>
  <c r="S203" i="6" s="1"/>
  <c r="R203" i="6" a="1"/>
  <c r="R203" i="6" s="1"/>
  <c r="Q203" i="6" a="1"/>
  <c r="Q203" i="6" s="1"/>
  <c r="P203" i="6" a="1"/>
  <c r="P203" i="6" s="1"/>
  <c r="O203" i="6" a="1"/>
  <c r="O203" i="6" s="1"/>
  <c r="N203" i="6" a="1"/>
  <c r="N203" i="6" s="1"/>
  <c r="M203" i="6" a="1"/>
  <c r="M203" i="6" s="1"/>
  <c r="L203" i="6" a="1"/>
  <c r="L203" i="6" s="1"/>
  <c r="K203" i="6" a="1"/>
  <c r="K203" i="6" s="1"/>
  <c r="J203" i="6" a="1"/>
  <c r="J203" i="6" s="1"/>
  <c r="I203" i="6" a="1"/>
  <c r="I203" i="6" s="1"/>
  <c r="H203" i="6" a="1"/>
  <c r="H203" i="6" s="1"/>
  <c r="G203" i="6" a="1"/>
  <c r="G203" i="6" s="1"/>
  <c r="F203" i="6" a="1"/>
  <c r="F203" i="6" s="1"/>
  <c r="E203" i="6" a="1"/>
  <c r="E203" i="6" s="1"/>
  <c r="D203" i="6" a="1"/>
  <c r="D203" i="6" s="1"/>
  <c r="S202" i="6" a="1"/>
  <c r="S202" i="6" s="1"/>
  <c r="R202" i="6" a="1"/>
  <c r="R202" i="6" s="1"/>
  <c r="Q202" i="6" a="1"/>
  <c r="Q202" i="6" s="1"/>
  <c r="P202" i="6" a="1"/>
  <c r="P202" i="6" s="1"/>
  <c r="O202" i="6" a="1"/>
  <c r="O202" i="6" s="1"/>
  <c r="N202" i="6" a="1"/>
  <c r="N202" i="6" s="1"/>
  <c r="M202" i="6" a="1"/>
  <c r="M202" i="6" s="1"/>
  <c r="L202" i="6" a="1"/>
  <c r="L202" i="6" s="1"/>
  <c r="K202" i="6" a="1"/>
  <c r="K202" i="6" s="1"/>
  <c r="J202" i="6" a="1"/>
  <c r="J202" i="6" s="1"/>
  <c r="I202" i="6" a="1"/>
  <c r="I202" i="6" s="1"/>
  <c r="H202" i="6" a="1"/>
  <c r="H202" i="6" s="1"/>
  <c r="G202" i="6" a="1"/>
  <c r="G202" i="6" s="1"/>
  <c r="F202" i="6" a="1"/>
  <c r="F202" i="6" s="1"/>
  <c r="E202" i="6" a="1"/>
  <c r="E202" i="6" s="1"/>
  <c r="D202" i="6" a="1"/>
  <c r="D202" i="6" s="1"/>
  <c r="S201" i="6" a="1"/>
  <c r="S201" i="6" s="1"/>
  <c r="R201" i="6" a="1"/>
  <c r="R201" i="6" s="1"/>
  <c r="Q201" i="6" a="1"/>
  <c r="Q201" i="6" s="1"/>
  <c r="P201" i="6" a="1"/>
  <c r="P201" i="6" s="1"/>
  <c r="O201" i="6" a="1"/>
  <c r="O201" i="6" s="1"/>
  <c r="N201" i="6" a="1"/>
  <c r="N201" i="6" s="1"/>
  <c r="M201" i="6" a="1"/>
  <c r="M201" i="6" s="1"/>
  <c r="L201" i="6" a="1"/>
  <c r="L201" i="6" s="1"/>
  <c r="K201" i="6" a="1"/>
  <c r="K201" i="6" s="1"/>
  <c r="J201" i="6" a="1"/>
  <c r="J201" i="6" s="1"/>
  <c r="I201" i="6" a="1"/>
  <c r="I201" i="6" s="1"/>
  <c r="H201" i="6" a="1"/>
  <c r="H201" i="6" s="1"/>
  <c r="G201" i="6" a="1"/>
  <c r="G201" i="6" s="1"/>
  <c r="F201" i="6" a="1"/>
  <c r="F201" i="6" s="1"/>
  <c r="E201" i="6" a="1"/>
  <c r="E201" i="6" s="1"/>
  <c r="D201" i="6" a="1"/>
  <c r="D201" i="6" s="1"/>
  <c r="S200" i="6" a="1"/>
  <c r="S200" i="6" s="1"/>
  <c r="R200" i="6" a="1"/>
  <c r="R200" i="6" s="1"/>
  <c r="Q200" i="6" a="1"/>
  <c r="Q200" i="6" s="1"/>
  <c r="P200" i="6" a="1"/>
  <c r="P200" i="6" s="1"/>
  <c r="O200" i="6" a="1"/>
  <c r="O200" i="6" s="1"/>
  <c r="N200" i="6" a="1"/>
  <c r="N200" i="6" s="1"/>
  <c r="M200" i="6" a="1"/>
  <c r="M200" i="6" s="1"/>
  <c r="L200" i="6" a="1"/>
  <c r="L200" i="6" s="1"/>
  <c r="K200" i="6" a="1"/>
  <c r="K200" i="6" s="1"/>
  <c r="J200" i="6" a="1"/>
  <c r="J200" i="6" s="1"/>
  <c r="I200" i="6" a="1"/>
  <c r="I200" i="6" s="1"/>
  <c r="H200" i="6" a="1"/>
  <c r="H200" i="6" s="1"/>
  <c r="G200" i="6" a="1"/>
  <c r="G200" i="6" s="1"/>
  <c r="F200" i="6" a="1"/>
  <c r="F200" i="6" s="1"/>
  <c r="E200" i="6" a="1"/>
  <c r="E200" i="6" s="1"/>
  <c r="D200" i="6" a="1"/>
  <c r="D200" i="6" s="1"/>
  <c r="S199" i="6" a="1"/>
  <c r="S199" i="6" s="1"/>
  <c r="R199" i="6" a="1"/>
  <c r="R199" i="6" s="1"/>
  <c r="Q199" i="6" a="1"/>
  <c r="Q199" i="6" s="1"/>
  <c r="P199" i="6" a="1"/>
  <c r="P199" i="6" s="1"/>
  <c r="O199" i="6" a="1"/>
  <c r="O199" i="6" s="1"/>
  <c r="N199" i="6" a="1"/>
  <c r="N199" i="6" s="1"/>
  <c r="M199" i="6" a="1"/>
  <c r="M199" i="6" s="1"/>
  <c r="L199" i="6" a="1"/>
  <c r="L199" i="6" s="1"/>
  <c r="K199" i="6" a="1"/>
  <c r="K199" i="6" s="1"/>
  <c r="J199" i="6" a="1"/>
  <c r="J199" i="6" s="1"/>
  <c r="I199" i="6" a="1"/>
  <c r="I199" i="6" s="1"/>
  <c r="H199" i="6" a="1"/>
  <c r="H199" i="6" s="1"/>
  <c r="G199" i="6" a="1"/>
  <c r="G199" i="6" s="1"/>
  <c r="F199" i="6" a="1"/>
  <c r="F199" i="6" s="1"/>
  <c r="E199" i="6" a="1"/>
  <c r="E199" i="6" s="1"/>
  <c r="D199" i="6" a="1"/>
  <c r="D199" i="6" s="1"/>
  <c r="S198" i="6" a="1"/>
  <c r="S198" i="6" s="1"/>
  <c r="R198" i="6" a="1"/>
  <c r="R198" i="6" s="1"/>
  <c r="Q198" i="6" a="1"/>
  <c r="Q198" i="6" s="1"/>
  <c r="P198" i="6" a="1"/>
  <c r="P198" i="6" s="1"/>
  <c r="O198" i="6" a="1"/>
  <c r="O198" i="6" s="1"/>
  <c r="N198" i="6" a="1"/>
  <c r="N198" i="6" s="1"/>
  <c r="M198" i="6" a="1"/>
  <c r="M198" i="6" s="1"/>
  <c r="L198" i="6" a="1"/>
  <c r="L198" i="6" s="1"/>
  <c r="K198" i="6" a="1"/>
  <c r="K198" i="6" s="1"/>
  <c r="J198" i="6" a="1"/>
  <c r="J198" i="6" s="1"/>
  <c r="I198" i="6" a="1"/>
  <c r="I198" i="6" s="1"/>
  <c r="H198" i="6" a="1"/>
  <c r="H198" i="6" s="1"/>
  <c r="G198" i="6" a="1"/>
  <c r="G198" i="6" s="1"/>
  <c r="F198" i="6" a="1"/>
  <c r="F198" i="6" s="1"/>
  <c r="E198" i="6" a="1"/>
  <c r="E198" i="6" s="1"/>
  <c r="D198" i="6" a="1"/>
  <c r="D198" i="6" s="1"/>
  <c r="S197" i="6" a="1"/>
  <c r="S197" i="6" s="1"/>
  <c r="R197" i="6" a="1"/>
  <c r="R197" i="6" s="1"/>
  <c r="Q197" i="6" a="1"/>
  <c r="Q197" i="6" s="1"/>
  <c r="P197" i="6" a="1"/>
  <c r="P197" i="6" s="1"/>
  <c r="O197" i="6" a="1"/>
  <c r="O197" i="6" s="1"/>
  <c r="N197" i="6" a="1"/>
  <c r="N197" i="6" s="1"/>
  <c r="M197" i="6" a="1"/>
  <c r="M197" i="6" s="1"/>
  <c r="L197" i="6" a="1"/>
  <c r="L197" i="6" s="1"/>
  <c r="K197" i="6" a="1"/>
  <c r="K197" i="6" s="1"/>
  <c r="J197" i="6" a="1"/>
  <c r="J197" i="6" s="1"/>
  <c r="I197" i="6" a="1"/>
  <c r="I197" i="6" s="1"/>
  <c r="H197" i="6" a="1"/>
  <c r="H197" i="6" s="1"/>
  <c r="G197" i="6" a="1"/>
  <c r="G197" i="6" s="1"/>
  <c r="F197" i="6" a="1"/>
  <c r="F197" i="6" s="1"/>
  <c r="E197" i="6" a="1"/>
  <c r="E197" i="6" s="1"/>
  <c r="D197" i="6" a="1"/>
  <c r="D197" i="6" s="1"/>
  <c r="S196" i="6" a="1"/>
  <c r="S196" i="6" s="1"/>
  <c r="R196" i="6" a="1"/>
  <c r="R196" i="6" s="1"/>
  <c r="Q196" i="6" a="1"/>
  <c r="Q196" i="6" s="1"/>
  <c r="P196" i="6" a="1"/>
  <c r="P196" i="6" s="1"/>
  <c r="O196" i="6" a="1"/>
  <c r="O196" i="6" s="1"/>
  <c r="N196" i="6" a="1"/>
  <c r="N196" i="6" s="1"/>
  <c r="M196" i="6" a="1"/>
  <c r="M196" i="6" s="1"/>
  <c r="L196" i="6" a="1"/>
  <c r="L196" i="6" s="1"/>
  <c r="K196" i="6" a="1"/>
  <c r="K196" i="6" s="1"/>
  <c r="J196" i="6" a="1"/>
  <c r="J196" i="6" s="1"/>
  <c r="I196" i="6" a="1"/>
  <c r="I196" i="6" s="1"/>
  <c r="H196" i="6" a="1"/>
  <c r="H196" i="6" s="1"/>
  <c r="G196" i="6" a="1"/>
  <c r="G196" i="6" s="1"/>
  <c r="F196" i="6" a="1"/>
  <c r="F196" i="6" s="1"/>
  <c r="E196" i="6" a="1"/>
  <c r="E196" i="6" s="1"/>
  <c r="D196" i="6" a="1"/>
  <c r="D196" i="6" s="1"/>
  <c r="S195" i="6" a="1"/>
  <c r="S195" i="6" s="1"/>
  <c r="R195" i="6" a="1"/>
  <c r="R195" i="6" s="1"/>
  <c r="Q195" i="6" a="1"/>
  <c r="Q195" i="6" s="1"/>
  <c r="P195" i="6" a="1"/>
  <c r="P195" i="6" s="1"/>
  <c r="O195" i="6" a="1"/>
  <c r="O195" i="6" s="1"/>
  <c r="N195" i="6" a="1"/>
  <c r="N195" i="6" s="1"/>
  <c r="M195" i="6" a="1"/>
  <c r="M195" i="6" s="1"/>
  <c r="L195" i="6" a="1"/>
  <c r="L195" i="6" s="1"/>
  <c r="K195" i="6" a="1"/>
  <c r="K195" i="6" s="1"/>
  <c r="J195" i="6" a="1"/>
  <c r="J195" i="6" s="1"/>
  <c r="I195" i="6" a="1"/>
  <c r="I195" i="6" s="1"/>
  <c r="H195" i="6" a="1"/>
  <c r="H195" i="6" s="1"/>
  <c r="G195" i="6" a="1"/>
  <c r="G195" i="6" s="1"/>
  <c r="F195" i="6" a="1"/>
  <c r="F195" i="6" s="1"/>
  <c r="E195" i="6" a="1"/>
  <c r="E195" i="6" s="1"/>
  <c r="D195" i="6" a="1"/>
  <c r="D195" i="6" s="1"/>
  <c r="S194" i="6" a="1"/>
  <c r="S194" i="6" s="1"/>
  <c r="R194" i="6" a="1"/>
  <c r="R194" i="6" s="1"/>
  <c r="Q194" i="6" a="1"/>
  <c r="Q194" i="6" s="1"/>
  <c r="P194" i="6" a="1"/>
  <c r="P194" i="6" s="1"/>
  <c r="O194" i="6" a="1"/>
  <c r="O194" i="6" s="1"/>
  <c r="N194" i="6" a="1"/>
  <c r="N194" i="6" s="1"/>
  <c r="M194" i="6" a="1"/>
  <c r="M194" i="6" s="1"/>
  <c r="L194" i="6" a="1"/>
  <c r="L194" i="6" s="1"/>
  <c r="K194" i="6" a="1"/>
  <c r="K194" i="6" s="1"/>
  <c r="J194" i="6" a="1"/>
  <c r="J194" i="6" s="1"/>
  <c r="I194" i="6" a="1"/>
  <c r="I194" i="6" s="1"/>
  <c r="H194" i="6" a="1"/>
  <c r="H194" i="6" s="1"/>
  <c r="G194" i="6" a="1"/>
  <c r="G194" i="6" s="1"/>
  <c r="F194" i="6" a="1"/>
  <c r="F194" i="6" s="1"/>
  <c r="E194" i="6" a="1"/>
  <c r="E194" i="6" s="1"/>
  <c r="D194" i="6" a="1"/>
  <c r="D194" i="6" s="1"/>
  <c r="S193" i="6" a="1"/>
  <c r="S193" i="6" s="1"/>
  <c r="R193" i="6" a="1"/>
  <c r="R193" i="6" s="1"/>
  <c r="Q193" i="6" a="1"/>
  <c r="Q193" i="6" s="1"/>
  <c r="P193" i="6" a="1"/>
  <c r="P193" i="6" s="1"/>
  <c r="O193" i="6" a="1"/>
  <c r="O193" i="6" s="1"/>
  <c r="N193" i="6" a="1"/>
  <c r="N193" i="6" s="1"/>
  <c r="M193" i="6" a="1"/>
  <c r="M193" i="6" s="1"/>
  <c r="L193" i="6" a="1"/>
  <c r="L193" i="6" s="1"/>
  <c r="K193" i="6" a="1"/>
  <c r="K193" i="6" s="1"/>
  <c r="J193" i="6" a="1"/>
  <c r="J193" i="6" s="1"/>
  <c r="I193" i="6" a="1"/>
  <c r="I193" i="6" s="1"/>
  <c r="H193" i="6" a="1"/>
  <c r="H193" i="6" s="1"/>
  <c r="G193" i="6" a="1"/>
  <c r="G193" i="6" s="1"/>
  <c r="F193" i="6" a="1"/>
  <c r="F193" i="6" s="1"/>
  <c r="E193" i="6" a="1"/>
  <c r="E193" i="6" s="1"/>
  <c r="D193" i="6" a="1"/>
  <c r="D193" i="6" s="1"/>
  <c r="S192" i="6" a="1"/>
  <c r="S192" i="6" s="1"/>
  <c r="R192" i="6" a="1"/>
  <c r="R192" i="6" s="1"/>
  <c r="Q192" i="6" a="1"/>
  <c r="Q192" i="6" s="1"/>
  <c r="P192" i="6" a="1"/>
  <c r="P192" i="6" s="1"/>
  <c r="O192" i="6"/>
  <c r="O192" i="6" a="1"/>
  <c r="N192" i="6" a="1"/>
  <c r="N192" i="6" s="1"/>
  <c r="M192" i="6" a="1"/>
  <c r="M192" i="6" s="1"/>
  <c r="L192" i="6" a="1"/>
  <c r="L192" i="6" s="1"/>
  <c r="K192" i="6" a="1"/>
  <c r="K192" i="6" s="1"/>
  <c r="J192" i="6" a="1"/>
  <c r="J192" i="6" s="1"/>
  <c r="I192" i="6" a="1"/>
  <c r="I192" i="6" s="1"/>
  <c r="H192" i="6" a="1"/>
  <c r="H192" i="6" s="1"/>
  <c r="G192" i="6" a="1"/>
  <c r="G192" i="6" s="1"/>
  <c r="F192" i="6" a="1"/>
  <c r="F192" i="6" s="1"/>
  <c r="E192" i="6" a="1"/>
  <c r="E192" i="6" s="1"/>
  <c r="D192" i="6" a="1"/>
  <c r="D192" i="6" s="1"/>
  <c r="S191" i="6" a="1"/>
  <c r="S191" i="6" s="1"/>
  <c r="R191" i="6" a="1"/>
  <c r="R191" i="6" s="1"/>
  <c r="Q191" i="6" a="1"/>
  <c r="Q191" i="6" s="1"/>
  <c r="P191" i="6" a="1"/>
  <c r="P191" i="6" s="1"/>
  <c r="O191" i="6" a="1"/>
  <c r="O191" i="6" s="1"/>
  <c r="N191" i="6" a="1"/>
  <c r="N191" i="6" s="1"/>
  <c r="M191" i="6" a="1"/>
  <c r="M191" i="6" s="1"/>
  <c r="L191" i="6" a="1"/>
  <c r="L191" i="6" s="1"/>
  <c r="K191" i="6" a="1"/>
  <c r="K191" i="6" s="1"/>
  <c r="J191" i="6" a="1"/>
  <c r="J191" i="6" s="1"/>
  <c r="I191" i="6" a="1"/>
  <c r="I191" i="6" s="1"/>
  <c r="H191" i="6" a="1"/>
  <c r="H191" i="6" s="1"/>
  <c r="G191" i="6" a="1"/>
  <c r="G191" i="6" s="1"/>
  <c r="F191" i="6" a="1"/>
  <c r="F191" i="6" s="1"/>
  <c r="E191" i="6" a="1"/>
  <c r="E191" i="6" s="1"/>
  <c r="D191" i="6" a="1"/>
  <c r="D191" i="6" s="1"/>
  <c r="S190" i="6" a="1"/>
  <c r="S190" i="6" s="1"/>
  <c r="R190" i="6" a="1"/>
  <c r="R190" i="6" s="1"/>
  <c r="Q190" i="6" a="1"/>
  <c r="Q190" i="6" s="1"/>
  <c r="P190" i="6" a="1"/>
  <c r="P190" i="6" s="1"/>
  <c r="O190" i="6" a="1"/>
  <c r="O190" i="6" s="1"/>
  <c r="N190" i="6" a="1"/>
  <c r="N190" i="6" s="1"/>
  <c r="M190" i="6" a="1"/>
  <c r="M190" i="6" s="1"/>
  <c r="L190" i="6" a="1"/>
  <c r="L190" i="6" s="1"/>
  <c r="K190" i="6"/>
  <c r="K190" i="6" a="1"/>
  <c r="J190" i="6" a="1"/>
  <c r="J190" i="6" s="1"/>
  <c r="I190" i="6" a="1"/>
  <c r="I190" i="6" s="1"/>
  <c r="H190" i="6" a="1"/>
  <c r="H190" i="6" s="1"/>
  <c r="G190" i="6" a="1"/>
  <c r="G190" i="6" s="1"/>
  <c r="F190" i="6" a="1"/>
  <c r="F190" i="6" s="1"/>
  <c r="E190" i="6" a="1"/>
  <c r="E190" i="6" s="1"/>
  <c r="D190" i="6" a="1"/>
  <c r="D190" i="6" s="1"/>
  <c r="S189" i="6" a="1"/>
  <c r="S189" i="6" s="1"/>
  <c r="R189" i="6" a="1"/>
  <c r="R189" i="6" s="1"/>
  <c r="Q189" i="6" a="1"/>
  <c r="Q189" i="6" s="1"/>
  <c r="P189" i="6" a="1"/>
  <c r="P189" i="6" s="1"/>
  <c r="O189" i="6" a="1"/>
  <c r="O189" i="6" s="1"/>
  <c r="N189" i="6" a="1"/>
  <c r="N189" i="6" s="1"/>
  <c r="M189" i="6" a="1"/>
  <c r="M189" i="6" s="1"/>
  <c r="L189" i="6" a="1"/>
  <c r="L189" i="6" s="1"/>
  <c r="K189" i="6"/>
  <c r="K189" i="6" a="1"/>
  <c r="J189" i="6" a="1"/>
  <c r="J189" i="6" s="1"/>
  <c r="I189" i="6" a="1"/>
  <c r="I189" i="6" s="1"/>
  <c r="H189" i="6" a="1"/>
  <c r="H189" i="6" s="1"/>
  <c r="G189" i="6" a="1"/>
  <c r="G189" i="6" s="1"/>
  <c r="F189" i="6" a="1"/>
  <c r="F189" i="6" s="1"/>
  <c r="E189" i="6" a="1"/>
  <c r="E189" i="6" s="1"/>
  <c r="D189" i="6" a="1"/>
  <c r="D189" i="6" s="1"/>
  <c r="S188" i="6" a="1"/>
  <c r="S188" i="6" s="1"/>
  <c r="R188" i="6" a="1"/>
  <c r="R188" i="6" s="1"/>
  <c r="Q188" i="6" a="1"/>
  <c r="Q188" i="6" s="1"/>
  <c r="P188" i="6" a="1"/>
  <c r="P188" i="6" s="1"/>
  <c r="O188" i="6"/>
  <c r="O188" i="6" a="1"/>
  <c r="N188" i="6" a="1"/>
  <c r="N188" i="6" s="1"/>
  <c r="M188" i="6" a="1"/>
  <c r="M188" i="6" s="1"/>
  <c r="L188" i="6" a="1"/>
  <c r="L188" i="6" s="1"/>
  <c r="K188" i="6" a="1"/>
  <c r="K188" i="6" s="1"/>
  <c r="J188" i="6" a="1"/>
  <c r="J188" i="6" s="1"/>
  <c r="I188" i="6" a="1"/>
  <c r="I188" i="6" s="1"/>
  <c r="H188" i="6" a="1"/>
  <c r="H188" i="6" s="1"/>
  <c r="G188" i="6" a="1"/>
  <c r="G188" i="6" s="1"/>
  <c r="F188" i="6" a="1"/>
  <c r="F188" i="6" s="1"/>
  <c r="E188" i="6" a="1"/>
  <c r="E188" i="6" s="1"/>
  <c r="D188" i="6" a="1"/>
  <c r="D188" i="6" s="1"/>
  <c r="S187" i="6" a="1"/>
  <c r="S187" i="6" s="1"/>
  <c r="R187" i="6" a="1"/>
  <c r="R187" i="6" s="1"/>
  <c r="Q187" i="6" a="1"/>
  <c r="Q187" i="6" s="1"/>
  <c r="P187" i="6" a="1"/>
  <c r="P187" i="6" s="1"/>
  <c r="O187" i="6"/>
  <c r="O187" i="6" a="1"/>
  <c r="N187" i="6" a="1"/>
  <c r="N187" i="6" s="1"/>
  <c r="M187" i="6" a="1"/>
  <c r="M187" i="6" s="1"/>
  <c r="L187" i="6" a="1"/>
  <c r="L187" i="6" s="1"/>
  <c r="K187" i="6" a="1"/>
  <c r="K187" i="6" s="1"/>
  <c r="J187" i="6" a="1"/>
  <c r="J187" i="6" s="1"/>
  <c r="I187" i="6" a="1"/>
  <c r="I187" i="6" s="1"/>
  <c r="H187" i="6" a="1"/>
  <c r="H187" i="6" s="1"/>
  <c r="G187" i="6" a="1"/>
  <c r="G187" i="6" s="1"/>
  <c r="F187" i="6" a="1"/>
  <c r="F187" i="6" s="1"/>
  <c r="E187" i="6" a="1"/>
  <c r="E187" i="6" s="1"/>
  <c r="D187" i="6" a="1"/>
  <c r="D187" i="6" s="1"/>
  <c r="S186" i="6" a="1"/>
  <c r="S186" i="6" s="1"/>
  <c r="R186" i="6" a="1"/>
  <c r="R186" i="6" s="1"/>
  <c r="Q186" i="6" a="1"/>
  <c r="Q186" i="6" s="1"/>
  <c r="P186" i="6" a="1"/>
  <c r="P186" i="6" s="1"/>
  <c r="O186" i="6" a="1"/>
  <c r="O186" i="6" s="1"/>
  <c r="N186" i="6" a="1"/>
  <c r="N186" i="6" s="1"/>
  <c r="M186" i="6" a="1"/>
  <c r="M186" i="6" s="1"/>
  <c r="L186" i="6" a="1"/>
  <c r="L186" i="6" s="1"/>
  <c r="K186" i="6"/>
  <c r="K186" i="6" a="1"/>
  <c r="J186" i="6" a="1"/>
  <c r="J186" i="6" s="1"/>
  <c r="I186" i="6" a="1"/>
  <c r="I186" i="6" s="1"/>
  <c r="H186" i="6" a="1"/>
  <c r="H186" i="6" s="1"/>
  <c r="G186" i="6" a="1"/>
  <c r="G186" i="6" s="1"/>
  <c r="F186" i="6" a="1"/>
  <c r="F186" i="6" s="1"/>
  <c r="E186" i="6" a="1"/>
  <c r="E186" i="6" s="1"/>
  <c r="D186" i="6" a="1"/>
  <c r="D186" i="6" s="1"/>
  <c r="S185" i="6" a="1"/>
  <c r="S185" i="6" s="1"/>
  <c r="R185" i="6" a="1"/>
  <c r="R185" i="6" s="1"/>
  <c r="Q185" i="6" a="1"/>
  <c r="Q185" i="6" s="1"/>
  <c r="P185" i="6" a="1"/>
  <c r="P185" i="6" s="1"/>
  <c r="O185" i="6" a="1"/>
  <c r="O185" i="6" s="1"/>
  <c r="N185" i="6" a="1"/>
  <c r="N185" i="6" s="1"/>
  <c r="M185" i="6" a="1"/>
  <c r="M185" i="6" s="1"/>
  <c r="L185" i="6" a="1"/>
  <c r="L185" i="6" s="1"/>
  <c r="K185" i="6" a="1"/>
  <c r="K185" i="6" s="1"/>
  <c r="J185" i="6" a="1"/>
  <c r="J185" i="6" s="1"/>
  <c r="I185" i="6" a="1"/>
  <c r="I185" i="6" s="1"/>
  <c r="H185" i="6" a="1"/>
  <c r="H185" i="6" s="1"/>
  <c r="G185" i="6" a="1"/>
  <c r="G185" i="6" s="1"/>
  <c r="F185" i="6" a="1"/>
  <c r="F185" i="6" s="1"/>
  <c r="E185" i="6" a="1"/>
  <c r="E185" i="6" s="1"/>
  <c r="D185" i="6" a="1"/>
  <c r="D185" i="6" s="1"/>
  <c r="S184" i="6" a="1"/>
  <c r="S184" i="6" s="1"/>
  <c r="R184" i="6" a="1"/>
  <c r="R184" i="6" s="1"/>
  <c r="Q184" i="6" a="1"/>
  <c r="Q184" i="6" s="1"/>
  <c r="P184" i="6"/>
  <c r="P184" i="6" a="1"/>
  <c r="O184" i="6" a="1"/>
  <c r="O184" i="6" s="1"/>
  <c r="N184" i="6" a="1"/>
  <c r="N184" i="6" s="1"/>
  <c r="M184" i="6" a="1"/>
  <c r="M184" i="6" s="1"/>
  <c r="L184" i="6" a="1"/>
  <c r="L184" i="6" s="1"/>
  <c r="K184" i="6" a="1"/>
  <c r="K184" i="6" s="1"/>
  <c r="J184" i="6" a="1"/>
  <c r="J184" i="6" s="1"/>
  <c r="I184" i="6" a="1"/>
  <c r="I184" i="6" s="1"/>
  <c r="H184" i="6" a="1"/>
  <c r="H184" i="6" s="1"/>
  <c r="G184" i="6"/>
  <c r="G184" i="6" a="1"/>
  <c r="F184" i="6" a="1"/>
  <c r="F184" i="6" s="1"/>
  <c r="E184" i="6" a="1"/>
  <c r="E184" i="6" s="1"/>
  <c r="D184" i="6" a="1"/>
  <c r="D184" i="6" s="1"/>
  <c r="S183" i="6" a="1"/>
  <c r="S183" i="6" s="1"/>
  <c r="R183" i="6" a="1"/>
  <c r="R183" i="6" s="1"/>
  <c r="Q183" i="6" a="1"/>
  <c r="Q183" i="6" s="1"/>
  <c r="P183" i="6" a="1"/>
  <c r="P183" i="6" s="1"/>
  <c r="O183" i="6" a="1"/>
  <c r="O183" i="6" s="1"/>
  <c r="N183" i="6" a="1"/>
  <c r="N183" i="6" s="1"/>
  <c r="M183" i="6" a="1"/>
  <c r="M183" i="6" s="1"/>
  <c r="L183" i="6" a="1"/>
  <c r="L183" i="6" s="1"/>
  <c r="K183" i="6" a="1"/>
  <c r="K183" i="6" s="1"/>
  <c r="J183" i="6" a="1"/>
  <c r="J183" i="6" s="1"/>
  <c r="I183" i="6" a="1"/>
  <c r="I183" i="6" s="1"/>
  <c r="H183" i="6" a="1"/>
  <c r="H183" i="6" s="1"/>
  <c r="G183" i="6" a="1"/>
  <c r="G183" i="6" s="1"/>
  <c r="F183" i="6" a="1"/>
  <c r="F183" i="6" s="1"/>
  <c r="E183" i="6"/>
  <c r="E183" i="6" a="1"/>
  <c r="D183" i="6" a="1"/>
  <c r="D183" i="6" s="1"/>
  <c r="S182" i="6" a="1"/>
  <c r="S182" i="6" s="1"/>
  <c r="R182" i="6" a="1"/>
  <c r="R182" i="6" s="1"/>
  <c r="Q182" i="6" a="1"/>
  <c r="Q182" i="6" s="1"/>
  <c r="P182" i="6" a="1"/>
  <c r="P182" i="6" s="1"/>
  <c r="O182" i="6" a="1"/>
  <c r="O182" i="6" s="1"/>
  <c r="N182" i="6" a="1"/>
  <c r="N182" i="6" s="1"/>
  <c r="M182" i="6" a="1"/>
  <c r="M182" i="6" s="1"/>
  <c r="L182" i="6" a="1"/>
  <c r="L182" i="6" s="1"/>
  <c r="K182" i="6" a="1"/>
  <c r="K182" i="6" s="1"/>
  <c r="J182" i="6" a="1"/>
  <c r="J182" i="6" s="1"/>
  <c r="I182" i="6" a="1"/>
  <c r="I182" i="6" s="1"/>
  <c r="H182" i="6" a="1"/>
  <c r="H182" i="6" s="1"/>
  <c r="G182" i="6" a="1"/>
  <c r="G182" i="6" s="1"/>
  <c r="F182" i="6" a="1"/>
  <c r="F182" i="6" s="1"/>
  <c r="E182" i="6" a="1"/>
  <c r="E182" i="6" s="1"/>
  <c r="D182" i="6" a="1"/>
  <c r="D182" i="6" s="1"/>
  <c r="S181" i="6" a="1"/>
  <c r="S181" i="6" s="1"/>
  <c r="R181" i="6" a="1"/>
  <c r="R181" i="6" s="1"/>
  <c r="Q181" i="6" a="1"/>
  <c r="Q181" i="6" s="1"/>
  <c r="P181" i="6" a="1"/>
  <c r="P181" i="6" s="1"/>
  <c r="O181" i="6" a="1"/>
  <c r="O181" i="6" s="1"/>
  <c r="N181" i="6"/>
  <c r="N181" i="6" a="1"/>
  <c r="M181" i="6"/>
  <c r="M181" i="6" a="1"/>
  <c r="L181" i="6" a="1"/>
  <c r="L181" i="6" s="1"/>
  <c r="K181" i="6" a="1"/>
  <c r="K181" i="6" s="1"/>
  <c r="J181" i="6" a="1"/>
  <c r="J181" i="6" s="1"/>
  <c r="I181" i="6" a="1"/>
  <c r="I181" i="6" s="1"/>
  <c r="H181" i="6" a="1"/>
  <c r="H181" i="6" s="1"/>
  <c r="G181" i="6" a="1"/>
  <c r="G181" i="6" s="1"/>
  <c r="F181" i="6" a="1"/>
  <c r="F181" i="6" s="1"/>
  <c r="E181" i="6" a="1"/>
  <c r="E181" i="6" s="1"/>
  <c r="D181" i="6" a="1"/>
  <c r="D181" i="6" s="1"/>
  <c r="S180" i="6" a="1"/>
  <c r="S180" i="6" s="1"/>
  <c r="R180" i="6" a="1"/>
  <c r="R180" i="6" s="1"/>
  <c r="Q180" i="6" a="1"/>
  <c r="Q180" i="6" s="1"/>
  <c r="P180" i="6"/>
  <c r="P180" i="6" a="1"/>
  <c r="O180" i="6"/>
  <c r="O180" i="6" a="1"/>
  <c r="N180" i="6" a="1"/>
  <c r="N180" i="6" s="1"/>
  <c r="M180" i="6" a="1"/>
  <c r="M180" i="6" s="1"/>
  <c r="L180" i="6" a="1"/>
  <c r="L180" i="6" s="1"/>
  <c r="K180" i="6"/>
  <c r="K180" i="6" a="1"/>
  <c r="J180" i="6" a="1"/>
  <c r="J180" i="6" s="1"/>
  <c r="I180" i="6" a="1"/>
  <c r="I180" i="6" s="1"/>
  <c r="H180" i="6" a="1"/>
  <c r="H180" i="6" s="1"/>
  <c r="G180" i="6" a="1"/>
  <c r="G180" i="6" s="1"/>
  <c r="F180" i="6" a="1"/>
  <c r="F180" i="6" s="1"/>
  <c r="E180" i="6" a="1"/>
  <c r="E180" i="6" s="1"/>
  <c r="D180" i="6" a="1"/>
  <c r="D180" i="6" s="1"/>
  <c r="S179" i="6" a="1"/>
  <c r="S179" i="6" s="1"/>
  <c r="R179" i="6" a="1"/>
  <c r="R179" i="6" s="1"/>
  <c r="Q179" i="6" a="1"/>
  <c r="Q179" i="6" s="1"/>
  <c r="P179" i="6" a="1"/>
  <c r="P179" i="6" s="1"/>
  <c r="O179" i="6" a="1"/>
  <c r="O179" i="6" s="1"/>
  <c r="N179" i="6" a="1"/>
  <c r="N179" i="6" s="1"/>
  <c r="M179" i="6"/>
  <c r="M179" i="6" a="1"/>
  <c r="L179" i="6" a="1"/>
  <c r="L179" i="6" s="1"/>
  <c r="K179" i="6" a="1"/>
  <c r="K179" i="6" s="1"/>
  <c r="J179" i="6" a="1"/>
  <c r="J179" i="6" s="1"/>
  <c r="I179" i="6" a="1"/>
  <c r="I179" i="6" s="1"/>
  <c r="H179" i="6" a="1"/>
  <c r="H179" i="6" s="1"/>
  <c r="G179" i="6" a="1"/>
  <c r="G179" i="6" s="1"/>
  <c r="F179" i="6" a="1"/>
  <c r="F179" i="6" s="1"/>
  <c r="E179" i="6" a="1"/>
  <c r="E179" i="6" s="1"/>
  <c r="D179" i="6" a="1"/>
  <c r="D179" i="6" s="1"/>
  <c r="S178" i="6" a="1"/>
  <c r="S178" i="6" s="1"/>
  <c r="R178" i="6" a="1"/>
  <c r="R178" i="6" s="1"/>
  <c r="Q178" i="6" a="1"/>
  <c r="Q178" i="6" s="1"/>
  <c r="P178" i="6" a="1"/>
  <c r="P178" i="6" s="1"/>
  <c r="O178" i="6" a="1"/>
  <c r="O178" i="6" s="1"/>
  <c r="N178" i="6" a="1"/>
  <c r="N178" i="6" s="1"/>
  <c r="M178" i="6" a="1"/>
  <c r="M178" i="6" s="1"/>
  <c r="L178" i="6" a="1"/>
  <c r="L178" i="6" s="1"/>
  <c r="K178" i="6" a="1"/>
  <c r="K178" i="6" s="1"/>
  <c r="J178" i="6" a="1"/>
  <c r="J178" i="6" s="1"/>
  <c r="I178" i="6" a="1"/>
  <c r="I178" i="6" s="1"/>
  <c r="H178" i="6" a="1"/>
  <c r="H178" i="6" s="1"/>
  <c r="G178" i="6" a="1"/>
  <c r="G178" i="6" s="1"/>
  <c r="F178" i="6" a="1"/>
  <c r="F178" i="6" s="1"/>
  <c r="E178" i="6"/>
  <c r="E178" i="6" a="1"/>
  <c r="D178" i="6" a="1"/>
  <c r="D178" i="6" s="1"/>
  <c r="S177" i="6" a="1"/>
  <c r="S177" i="6" s="1"/>
  <c r="R177" i="6" a="1"/>
  <c r="R177" i="6" s="1"/>
  <c r="Q177" i="6" a="1"/>
  <c r="Q177" i="6" s="1"/>
  <c r="P177" i="6" a="1"/>
  <c r="P177" i="6" s="1"/>
  <c r="O177" i="6" a="1"/>
  <c r="O177" i="6" s="1"/>
  <c r="N177" i="6" a="1"/>
  <c r="N177" i="6" s="1"/>
  <c r="M177" i="6" a="1"/>
  <c r="M177" i="6" s="1"/>
  <c r="L177" i="6" a="1"/>
  <c r="L177" i="6" s="1"/>
  <c r="K177" i="6" a="1"/>
  <c r="K177" i="6" s="1"/>
  <c r="J177" i="6" a="1"/>
  <c r="J177" i="6" s="1"/>
  <c r="I177" i="6" a="1"/>
  <c r="I177" i="6" s="1"/>
  <c r="H177" i="6" a="1"/>
  <c r="H177" i="6" s="1"/>
  <c r="G177" i="6" a="1"/>
  <c r="G177" i="6" s="1"/>
  <c r="F177" i="6" a="1"/>
  <c r="F177" i="6" s="1"/>
  <c r="E177" i="6" a="1"/>
  <c r="E177" i="6" s="1"/>
  <c r="D177" i="6" a="1"/>
  <c r="D177" i="6" s="1"/>
  <c r="S176" i="6" a="1"/>
  <c r="S176" i="6" s="1"/>
  <c r="R176" i="6" a="1"/>
  <c r="R176" i="6" s="1"/>
  <c r="Q176" i="6" a="1"/>
  <c r="Q176" i="6" s="1"/>
  <c r="P176" i="6" a="1"/>
  <c r="P176" i="6" s="1"/>
  <c r="O176" i="6"/>
  <c r="O176" i="6" a="1"/>
  <c r="N176" i="6" a="1"/>
  <c r="N176" i="6" s="1"/>
  <c r="M176" i="6" a="1"/>
  <c r="M176" i="6" s="1"/>
  <c r="L176" i="6" a="1"/>
  <c r="L176" i="6" s="1"/>
  <c r="K176" i="6" a="1"/>
  <c r="K176" i="6" s="1"/>
  <c r="J176" i="6" a="1"/>
  <c r="J176" i="6" s="1"/>
  <c r="I176" i="6" a="1"/>
  <c r="I176" i="6" s="1"/>
  <c r="H176" i="6" a="1"/>
  <c r="H176" i="6" s="1"/>
  <c r="G176" i="6" a="1"/>
  <c r="G176" i="6" s="1"/>
  <c r="F176" i="6" a="1"/>
  <c r="F176" i="6" s="1"/>
  <c r="E176" i="6" a="1"/>
  <c r="E176" i="6" s="1"/>
  <c r="D176" i="6" a="1"/>
  <c r="D176" i="6" s="1"/>
  <c r="S175" i="6" a="1"/>
  <c r="S175" i="6" s="1"/>
  <c r="R175" i="6" a="1"/>
  <c r="R175" i="6" s="1"/>
  <c r="Q175" i="6" a="1"/>
  <c r="Q175" i="6" s="1"/>
  <c r="P175" i="6" a="1"/>
  <c r="P175" i="6" s="1"/>
  <c r="O175" i="6" a="1"/>
  <c r="O175" i="6" s="1"/>
  <c r="N175" i="6" a="1"/>
  <c r="N175" i="6" s="1"/>
  <c r="M175" i="6" a="1"/>
  <c r="M175" i="6" s="1"/>
  <c r="L175" i="6"/>
  <c r="L175" i="6" a="1"/>
  <c r="K175" i="6"/>
  <c r="K175" i="6" a="1"/>
  <c r="J175" i="6" a="1"/>
  <c r="J175" i="6" s="1"/>
  <c r="I175" i="6" a="1"/>
  <c r="I175" i="6" s="1"/>
  <c r="H175" i="6" a="1"/>
  <c r="H175" i="6" s="1"/>
  <c r="G175" i="6" a="1"/>
  <c r="G175" i="6" s="1"/>
  <c r="F175" i="6" a="1"/>
  <c r="F175" i="6" s="1"/>
  <c r="E175" i="6" a="1"/>
  <c r="E175" i="6" s="1"/>
  <c r="D175" i="6" a="1"/>
  <c r="D175" i="6" s="1"/>
  <c r="S174" i="6" a="1"/>
  <c r="S174" i="6" s="1"/>
  <c r="R174" i="6" a="1"/>
  <c r="R174" i="6" s="1"/>
  <c r="Q174" i="6" a="1"/>
  <c r="Q174" i="6" s="1"/>
  <c r="P174" i="6" a="1"/>
  <c r="P174" i="6" s="1"/>
  <c r="O174" i="6" a="1"/>
  <c r="O174" i="6" s="1"/>
  <c r="N174" i="6" a="1"/>
  <c r="N174" i="6" s="1"/>
  <c r="M174" i="6" a="1"/>
  <c r="M174" i="6" s="1"/>
  <c r="L174" i="6" a="1"/>
  <c r="L174" i="6" s="1"/>
  <c r="K174" i="6" a="1"/>
  <c r="K174" i="6" s="1"/>
  <c r="J174" i="6" a="1"/>
  <c r="J174" i="6" s="1"/>
  <c r="I174" i="6"/>
  <c r="I174" i="6" a="1"/>
  <c r="H174" i="6" a="1"/>
  <c r="H174" i="6" s="1"/>
  <c r="G174" i="6" a="1"/>
  <c r="G174" i="6" s="1"/>
  <c r="F174" i="6" a="1"/>
  <c r="F174" i="6" s="1"/>
  <c r="E174" i="6" a="1"/>
  <c r="E174" i="6" s="1"/>
  <c r="D174" i="6" a="1"/>
  <c r="D174" i="6" s="1"/>
  <c r="S173" i="6" a="1"/>
  <c r="S173" i="6" s="1"/>
  <c r="R173" i="6" a="1"/>
  <c r="R173" i="6" s="1"/>
  <c r="Q173" i="6" a="1"/>
  <c r="Q173" i="6" s="1"/>
  <c r="P173" i="6" a="1"/>
  <c r="P173" i="6" s="1"/>
  <c r="O173" i="6" a="1"/>
  <c r="O173" i="6" s="1"/>
  <c r="N173" i="6" a="1"/>
  <c r="N173" i="6" s="1"/>
  <c r="M173" i="6" a="1"/>
  <c r="M173" i="6" s="1"/>
  <c r="L173" i="6" a="1"/>
  <c r="L173" i="6" s="1"/>
  <c r="K173" i="6" a="1"/>
  <c r="K173" i="6" s="1"/>
  <c r="J173" i="6" a="1"/>
  <c r="J173" i="6" s="1"/>
  <c r="I173" i="6" a="1"/>
  <c r="I173" i="6" s="1"/>
  <c r="H173" i="6" a="1"/>
  <c r="H173" i="6" s="1"/>
  <c r="G173" i="6" a="1"/>
  <c r="G173" i="6" s="1"/>
  <c r="F173" i="6" a="1"/>
  <c r="F173" i="6" s="1"/>
  <c r="E173" i="6" a="1"/>
  <c r="E173" i="6" s="1"/>
  <c r="D173" i="6" a="1"/>
  <c r="D173" i="6" s="1"/>
  <c r="S172" i="6" a="1"/>
  <c r="S172" i="6" s="1"/>
  <c r="R172" i="6" a="1"/>
  <c r="R172" i="6" s="1"/>
  <c r="Q172" i="6" a="1"/>
  <c r="Q172" i="6" s="1"/>
  <c r="P172" i="6" a="1"/>
  <c r="P172" i="6" s="1"/>
  <c r="O172" i="6" a="1"/>
  <c r="O172" i="6" s="1"/>
  <c r="N172" i="6" a="1"/>
  <c r="N172" i="6" s="1"/>
  <c r="M172" i="6" a="1"/>
  <c r="M172" i="6" s="1"/>
  <c r="L172" i="6" a="1"/>
  <c r="L172" i="6" s="1"/>
  <c r="K172" i="6" a="1"/>
  <c r="K172" i="6" s="1"/>
  <c r="J172" i="6" a="1"/>
  <c r="J172" i="6" s="1"/>
  <c r="I172" i="6" a="1"/>
  <c r="I172" i="6" s="1"/>
  <c r="H172" i="6" a="1"/>
  <c r="H172" i="6" s="1"/>
  <c r="G172" i="6" a="1"/>
  <c r="G172" i="6" s="1"/>
  <c r="F172" i="6" a="1"/>
  <c r="F172" i="6" s="1"/>
  <c r="E172" i="6"/>
  <c r="E172" i="6" a="1"/>
  <c r="D172" i="6" a="1"/>
  <c r="D172" i="6" s="1"/>
  <c r="S171" i="6" a="1"/>
  <c r="S171" i="6" s="1"/>
  <c r="R171" i="6" a="1"/>
  <c r="R171" i="6" s="1"/>
  <c r="Q171" i="6" a="1"/>
  <c r="Q171" i="6" s="1"/>
  <c r="P171" i="6" a="1"/>
  <c r="P171" i="6" s="1"/>
  <c r="O171" i="6" a="1"/>
  <c r="O171" i="6" s="1"/>
  <c r="N171" i="6" a="1"/>
  <c r="N171" i="6" s="1"/>
  <c r="M171" i="6" a="1"/>
  <c r="M171" i="6" s="1"/>
  <c r="L171" i="6"/>
  <c r="L171" i="6" a="1"/>
  <c r="K171" i="6" a="1"/>
  <c r="K171" i="6" s="1"/>
  <c r="J171" i="6" a="1"/>
  <c r="J171" i="6" s="1"/>
  <c r="I171" i="6" a="1"/>
  <c r="I171" i="6" s="1"/>
  <c r="H171" i="6" a="1"/>
  <c r="H171" i="6" s="1"/>
  <c r="G171" i="6" a="1"/>
  <c r="G171" i="6" s="1"/>
  <c r="F171" i="6" a="1"/>
  <c r="F171" i="6" s="1"/>
  <c r="E171" i="6"/>
  <c r="E171" i="6" a="1"/>
  <c r="D171" i="6" a="1"/>
  <c r="D171" i="6" s="1"/>
  <c r="S170" i="6" a="1"/>
  <c r="S170" i="6" s="1"/>
  <c r="R170" i="6" a="1"/>
  <c r="R170" i="6" s="1"/>
  <c r="Q170" i="6"/>
  <c r="Q170" i="6" a="1"/>
  <c r="P170" i="6" a="1"/>
  <c r="P170" i="6" s="1"/>
  <c r="O170" i="6" a="1"/>
  <c r="O170" i="6" s="1"/>
  <c r="N170" i="6" a="1"/>
  <c r="N170" i="6" s="1"/>
  <c r="M170" i="6" a="1"/>
  <c r="M170" i="6" s="1"/>
  <c r="L170" i="6" a="1"/>
  <c r="L170" i="6" s="1"/>
  <c r="K170" i="6"/>
  <c r="K170" i="6" a="1"/>
  <c r="J170" i="6" a="1"/>
  <c r="J170" i="6" s="1"/>
  <c r="I170" i="6" a="1"/>
  <c r="I170" i="6" s="1"/>
  <c r="H170" i="6" a="1"/>
  <c r="H170" i="6" s="1"/>
  <c r="G170" i="6" a="1"/>
  <c r="G170" i="6" s="1"/>
  <c r="F170" i="6" a="1"/>
  <c r="F170" i="6" s="1"/>
  <c r="E170" i="6" a="1"/>
  <c r="E170" i="6" s="1"/>
  <c r="D170" i="6" a="1"/>
  <c r="D170" i="6" s="1"/>
  <c r="S169" i="6" a="1"/>
  <c r="S169" i="6" s="1"/>
  <c r="R169" i="6" a="1"/>
  <c r="R169" i="6" s="1"/>
  <c r="Q169" i="6" a="1"/>
  <c r="Q169" i="6" s="1"/>
  <c r="P169" i="6" a="1"/>
  <c r="P169" i="6" s="1"/>
  <c r="O169" i="6" a="1"/>
  <c r="O169" i="6" s="1"/>
  <c r="N169" i="6" a="1"/>
  <c r="N169" i="6" s="1"/>
  <c r="M169" i="6" a="1"/>
  <c r="M169" i="6" s="1"/>
  <c r="L169" i="6" a="1"/>
  <c r="L169" i="6" s="1"/>
  <c r="K169" i="6" a="1"/>
  <c r="K169" i="6" s="1"/>
  <c r="J169" i="6" a="1"/>
  <c r="J169" i="6" s="1"/>
  <c r="I169" i="6" a="1"/>
  <c r="I169" i="6" s="1"/>
  <c r="H169" i="6" a="1"/>
  <c r="H169" i="6" s="1"/>
  <c r="G169" i="6" a="1"/>
  <c r="G169" i="6" s="1"/>
  <c r="F169" i="6" a="1"/>
  <c r="F169" i="6" s="1"/>
  <c r="E169" i="6" a="1"/>
  <c r="E169" i="6" s="1"/>
  <c r="D169" i="6" a="1"/>
  <c r="D169" i="6" s="1"/>
  <c r="S168" i="6" a="1"/>
  <c r="S168" i="6" s="1"/>
  <c r="R168" i="6" a="1"/>
  <c r="R168" i="6" s="1"/>
  <c r="Q168" i="6" a="1"/>
  <c r="Q168" i="6" s="1"/>
  <c r="P168" i="6" a="1"/>
  <c r="P168" i="6" s="1"/>
  <c r="O168" i="6" a="1"/>
  <c r="O168" i="6" s="1"/>
  <c r="N168" i="6" a="1"/>
  <c r="N168" i="6" s="1"/>
  <c r="M168" i="6" a="1"/>
  <c r="M168" i="6" s="1"/>
  <c r="L168" i="6" a="1"/>
  <c r="L168" i="6" s="1"/>
  <c r="K168" i="6" a="1"/>
  <c r="K168" i="6" s="1"/>
  <c r="J168" i="6" a="1"/>
  <c r="J168" i="6" s="1"/>
  <c r="I168" i="6" a="1"/>
  <c r="I168" i="6" s="1"/>
  <c r="H168" i="6" a="1"/>
  <c r="H168" i="6" s="1"/>
  <c r="G168" i="6"/>
  <c r="G168" i="6" a="1"/>
  <c r="F168" i="6" a="1"/>
  <c r="F168" i="6" s="1"/>
  <c r="E168" i="6" a="1"/>
  <c r="E168" i="6" s="1"/>
  <c r="D168" i="6" a="1"/>
  <c r="D168" i="6" s="1"/>
  <c r="S167" i="6" a="1"/>
  <c r="S167" i="6" s="1"/>
  <c r="R167" i="6" a="1"/>
  <c r="R167" i="6" s="1"/>
  <c r="Q167" i="6" a="1"/>
  <c r="Q167" i="6" s="1"/>
  <c r="P167" i="6" a="1"/>
  <c r="P167" i="6" s="1"/>
  <c r="O167" i="6" a="1"/>
  <c r="O167" i="6" s="1"/>
  <c r="N167" i="6" a="1"/>
  <c r="N167" i="6" s="1"/>
  <c r="M167" i="6" a="1"/>
  <c r="M167" i="6" s="1"/>
  <c r="L167" i="6" a="1"/>
  <c r="L167" i="6" s="1"/>
  <c r="K167" i="6" a="1"/>
  <c r="K167" i="6" s="1"/>
  <c r="J167" i="6" a="1"/>
  <c r="J167" i="6" s="1"/>
  <c r="I167" i="6" a="1"/>
  <c r="I167" i="6" s="1"/>
  <c r="H167" i="6" a="1"/>
  <c r="H167" i="6" s="1"/>
  <c r="G167" i="6" a="1"/>
  <c r="G167" i="6" s="1"/>
  <c r="F167" i="6" a="1"/>
  <c r="F167" i="6" s="1"/>
  <c r="E167" i="6" a="1"/>
  <c r="E167" i="6" s="1"/>
  <c r="D167" i="6" a="1"/>
  <c r="D167" i="6" s="1"/>
  <c r="S166" i="6" a="1"/>
  <c r="S166" i="6" s="1"/>
  <c r="R166" i="6"/>
  <c r="R166" i="6" a="1"/>
  <c r="Q166" i="6" a="1"/>
  <c r="Q166" i="6" s="1"/>
  <c r="P166" i="6" a="1"/>
  <c r="P166" i="6" s="1"/>
  <c r="O166" i="6" a="1"/>
  <c r="O166" i="6" s="1"/>
  <c r="N166" i="6" a="1"/>
  <c r="N166" i="6" s="1"/>
  <c r="M166" i="6" a="1"/>
  <c r="M166" i="6" s="1"/>
  <c r="L166" i="6" a="1"/>
  <c r="L166" i="6" s="1"/>
  <c r="K166" i="6" a="1"/>
  <c r="K166" i="6" s="1"/>
  <c r="J166" i="6" a="1"/>
  <c r="J166" i="6" s="1"/>
  <c r="I166" i="6"/>
  <c r="I166" i="6" a="1"/>
  <c r="H166" i="6" a="1"/>
  <c r="H166" i="6" s="1"/>
  <c r="G166" i="6" a="1"/>
  <c r="G166" i="6" s="1"/>
  <c r="F166" i="6" a="1"/>
  <c r="F166" i="6" s="1"/>
  <c r="E166" i="6" a="1"/>
  <c r="E166" i="6" s="1"/>
  <c r="D166" i="6" a="1"/>
  <c r="D166" i="6" s="1"/>
  <c r="S165" i="6" a="1"/>
  <c r="S165" i="6" s="1"/>
  <c r="R165" i="6" a="1"/>
  <c r="R165" i="6" s="1"/>
  <c r="Q165" i="6" a="1"/>
  <c r="Q165" i="6" s="1"/>
  <c r="P165" i="6" a="1"/>
  <c r="P165" i="6" s="1"/>
  <c r="O165" i="6" a="1"/>
  <c r="O165" i="6" s="1"/>
  <c r="N165" i="6" a="1"/>
  <c r="N165" i="6" s="1"/>
  <c r="M165" i="6" a="1"/>
  <c r="M165" i="6" s="1"/>
  <c r="L165" i="6" a="1"/>
  <c r="L165" i="6" s="1"/>
  <c r="K165" i="6" a="1"/>
  <c r="K165" i="6" s="1"/>
  <c r="J165" i="6" a="1"/>
  <c r="J165" i="6" s="1"/>
  <c r="I165" i="6" a="1"/>
  <c r="I165" i="6" s="1"/>
  <c r="H165" i="6" a="1"/>
  <c r="H165" i="6" s="1"/>
  <c r="G165" i="6" a="1"/>
  <c r="G165" i="6" s="1"/>
  <c r="F165" i="6" a="1"/>
  <c r="F165" i="6" s="1"/>
  <c r="E165" i="6" a="1"/>
  <c r="E165" i="6" s="1"/>
  <c r="D165" i="6" a="1"/>
  <c r="D165" i="6" s="1"/>
  <c r="S164" i="6" a="1"/>
  <c r="S164" i="6" s="1"/>
  <c r="R164" i="6" a="1"/>
  <c r="R164" i="6" s="1"/>
  <c r="Q164" i="6" a="1"/>
  <c r="Q164" i="6" s="1"/>
  <c r="P164" i="6" a="1"/>
  <c r="P164" i="6" s="1"/>
  <c r="O164" i="6" a="1"/>
  <c r="O164" i="6" s="1"/>
  <c r="N164" i="6"/>
  <c r="N164" i="6" a="1"/>
  <c r="M164" i="6" a="1"/>
  <c r="M164" i="6" s="1"/>
  <c r="L164" i="6" a="1"/>
  <c r="L164" i="6" s="1"/>
  <c r="K164" i="6" a="1"/>
  <c r="K164" i="6" s="1"/>
  <c r="J164" i="6" a="1"/>
  <c r="J164" i="6" s="1"/>
  <c r="I164" i="6" a="1"/>
  <c r="I164" i="6" s="1"/>
  <c r="H164" i="6" a="1"/>
  <c r="H164" i="6" s="1"/>
  <c r="G164" i="6" a="1"/>
  <c r="G164" i="6" s="1"/>
  <c r="F164" i="6" a="1"/>
  <c r="F164" i="6" s="1"/>
  <c r="E164" i="6"/>
  <c r="E164" i="6" a="1"/>
  <c r="D164" i="6" a="1"/>
  <c r="D164" i="6" s="1"/>
  <c r="S163" i="6" a="1"/>
  <c r="S163" i="6" s="1"/>
  <c r="R163" i="6" a="1"/>
  <c r="R163" i="6" s="1"/>
  <c r="Q163" i="6" a="1"/>
  <c r="Q163" i="6" s="1"/>
  <c r="P163" i="6" a="1"/>
  <c r="P163" i="6" s="1"/>
  <c r="O163" i="6" a="1"/>
  <c r="O163" i="6" s="1"/>
  <c r="N163" i="6" a="1"/>
  <c r="N163" i="6" s="1"/>
  <c r="M163" i="6" a="1"/>
  <c r="M163" i="6" s="1"/>
  <c r="L163" i="6" a="1"/>
  <c r="L163" i="6" s="1"/>
  <c r="K163" i="6" a="1"/>
  <c r="K163" i="6" s="1"/>
  <c r="J163" i="6" a="1"/>
  <c r="J163" i="6" s="1"/>
  <c r="I163" i="6" a="1"/>
  <c r="I163" i="6" s="1"/>
  <c r="H163" i="6" a="1"/>
  <c r="H163" i="6" s="1"/>
  <c r="G163" i="6" a="1"/>
  <c r="G163" i="6" s="1"/>
  <c r="F163" i="6" a="1"/>
  <c r="F163" i="6" s="1"/>
  <c r="E163" i="6" a="1"/>
  <c r="E163" i="6" s="1"/>
  <c r="D163" i="6" a="1"/>
  <c r="D163" i="6" s="1"/>
  <c r="S162" i="6" a="1"/>
  <c r="S162" i="6" s="1"/>
  <c r="R162" i="6"/>
  <c r="R162" i="6" a="1"/>
  <c r="Q162" i="6" a="1"/>
  <c r="Q162" i="6" s="1"/>
  <c r="P162" i="6" a="1"/>
  <c r="P162" i="6" s="1"/>
  <c r="O162" i="6" a="1"/>
  <c r="O162" i="6" s="1"/>
  <c r="N162" i="6" a="1"/>
  <c r="N162" i="6" s="1"/>
  <c r="M162" i="6" a="1"/>
  <c r="M162" i="6" s="1"/>
  <c r="L162" i="6" a="1"/>
  <c r="L162" i="6" s="1"/>
  <c r="K162" i="6" a="1"/>
  <c r="K162" i="6" s="1"/>
  <c r="J162" i="6"/>
  <c r="J162" i="6" a="1"/>
  <c r="I162" i="6" a="1"/>
  <c r="I162" i="6" s="1"/>
  <c r="H162" i="6" a="1"/>
  <c r="H162" i="6" s="1"/>
  <c r="G162" i="6" a="1"/>
  <c r="G162" i="6" s="1"/>
  <c r="F162" i="6" a="1"/>
  <c r="F162" i="6" s="1"/>
  <c r="E162" i="6" a="1"/>
  <c r="E162" i="6" s="1"/>
  <c r="D162" i="6" a="1"/>
  <c r="D162" i="6" s="1"/>
  <c r="S161" i="6" a="1"/>
  <c r="S161" i="6" s="1"/>
  <c r="R161" i="6" a="1"/>
  <c r="R161" i="6" s="1"/>
  <c r="Q161" i="6" a="1"/>
  <c r="Q161" i="6" s="1"/>
  <c r="P161" i="6" a="1"/>
  <c r="P161" i="6" s="1"/>
  <c r="O161" i="6" a="1"/>
  <c r="O161" i="6" s="1"/>
  <c r="N161" i="6" a="1"/>
  <c r="N161" i="6" s="1"/>
  <c r="M161" i="6" a="1"/>
  <c r="M161" i="6" s="1"/>
  <c r="L161" i="6" a="1"/>
  <c r="L161" i="6" s="1"/>
  <c r="K161" i="6" a="1"/>
  <c r="K161" i="6" s="1"/>
  <c r="J161" i="6" a="1"/>
  <c r="J161" i="6" s="1"/>
  <c r="I161" i="6" a="1"/>
  <c r="I161" i="6" s="1"/>
  <c r="H161" i="6" a="1"/>
  <c r="H161" i="6" s="1"/>
  <c r="G161" i="6" a="1"/>
  <c r="G161" i="6" s="1"/>
  <c r="F161" i="6" a="1"/>
  <c r="F161" i="6" s="1"/>
  <c r="E161" i="6" a="1"/>
  <c r="E161" i="6" s="1"/>
  <c r="D161" i="6" a="1"/>
  <c r="D161" i="6" s="1"/>
  <c r="S160" i="6" a="1"/>
  <c r="S160" i="6" s="1"/>
  <c r="R160" i="6" a="1"/>
  <c r="R160" i="6" s="1"/>
  <c r="Q160" i="6" a="1"/>
  <c r="Q160" i="6" s="1"/>
  <c r="P160" i="6" a="1"/>
  <c r="P160" i="6" s="1"/>
  <c r="O160" i="6" a="1"/>
  <c r="O160" i="6" s="1"/>
  <c r="N160" i="6"/>
  <c r="N160" i="6" a="1"/>
  <c r="M160" i="6" a="1"/>
  <c r="M160" i="6" s="1"/>
  <c r="L160" i="6" a="1"/>
  <c r="L160" i="6" s="1"/>
  <c r="K160" i="6" a="1"/>
  <c r="K160" i="6" s="1"/>
  <c r="J160" i="6" a="1"/>
  <c r="J160" i="6" s="1"/>
  <c r="I160" i="6" a="1"/>
  <c r="I160" i="6" s="1"/>
  <c r="H160" i="6" a="1"/>
  <c r="H160" i="6" s="1"/>
  <c r="G160" i="6" a="1"/>
  <c r="G160" i="6" s="1"/>
  <c r="F160" i="6"/>
  <c r="F160" i="6" a="1"/>
  <c r="E160" i="6" a="1"/>
  <c r="E160" i="6" s="1"/>
  <c r="D160" i="6" a="1"/>
  <c r="D160" i="6" s="1"/>
  <c r="S159" i="6" a="1"/>
  <c r="S159" i="6" s="1"/>
  <c r="R159" i="6" a="1"/>
  <c r="R159" i="6" s="1"/>
  <c r="Q159" i="6" a="1"/>
  <c r="Q159" i="6" s="1"/>
  <c r="P159" i="6" a="1"/>
  <c r="P159" i="6" s="1"/>
  <c r="O159" i="6" a="1"/>
  <c r="O159" i="6" s="1"/>
  <c r="N159" i="6" a="1"/>
  <c r="N159" i="6" s="1"/>
  <c r="M159" i="6" a="1"/>
  <c r="M159" i="6" s="1"/>
  <c r="L159" i="6" a="1"/>
  <c r="L159" i="6" s="1"/>
  <c r="K159" i="6" a="1"/>
  <c r="K159" i="6" s="1"/>
  <c r="J159" i="6" a="1"/>
  <c r="J159" i="6" s="1"/>
  <c r="I159" i="6" a="1"/>
  <c r="I159" i="6" s="1"/>
  <c r="H159" i="6" a="1"/>
  <c r="H159" i="6" s="1"/>
  <c r="G159" i="6" a="1"/>
  <c r="G159" i="6" s="1"/>
  <c r="F159" i="6" a="1"/>
  <c r="F159" i="6" s="1"/>
  <c r="E159" i="6" a="1"/>
  <c r="E159" i="6" s="1"/>
  <c r="D159" i="6" a="1"/>
  <c r="D159" i="6" s="1"/>
  <c r="S158" i="6" a="1"/>
  <c r="S158" i="6" s="1"/>
  <c r="R158" i="6" a="1"/>
  <c r="R158" i="6" s="1"/>
  <c r="Q158" i="6" a="1"/>
  <c r="Q158" i="6" s="1"/>
  <c r="P158" i="6" a="1"/>
  <c r="P158" i="6" s="1"/>
  <c r="O158" i="6" a="1"/>
  <c r="O158" i="6" s="1"/>
  <c r="N158" i="6" a="1"/>
  <c r="N158" i="6" s="1"/>
  <c r="M158" i="6" a="1"/>
  <c r="M158" i="6" s="1"/>
  <c r="L158" i="6" a="1"/>
  <c r="L158" i="6" s="1"/>
  <c r="K158" i="6" a="1"/>
  <c r="K158" i="6" s="1"/>
  <c r="J158" i="6"/>
  <c r="J158" i="6" a="1"/>
  <c r="I158" i="6" a="1"/>
  <c r="I158" i="6" s="1"/>
  <c r="H158" i="6" a="1"/>
  <c r="H158" i="6" s="1"/>
  <c r="G158" i="6" a="1"/>
  <c r="G158" i="6" s="1"/>
  <c r="F158" i="6" a="1"/>
  <c r="F158" i="6" s="1"/>
  <c r="E158" i="6" a="1"/>
  <c r="E158" i="6" s="1"/>
  <c r="D158" i="6" a="1"/>
  <c r="D158" i="6" s="1"/>
  <c r="S157" i="6" a="1"/>
  <c r="S157" i="6" s="1"/>
  <c r="R157" i="6" a="1"/>
  <c r="R157" i="6" s="1"/>
  <c r="Q157" i="6"/>
  <c r="Q157" i="6" a="1"/>
  <c r="P157" i="6" a="1"/>
  <c r="P157" i="6" s="1"/>
  <c r="O157" i="6" a="1"/>
  <c r="O157" i="6" s="1"/>
  <c r="N157" i="6" a="1"/>
  <c r="N157" i="6" s="1"/>
  <c r="M157" i="6" a="1"/>
  <c r="M157" i="6" s="1"/>
  <c r="L157" i="6" a="1"/>
  <c r="L157" i="6" s="1"/>
  <c r="K157" i="6" a="1"/>
  <c r="K157" i="6" s="1"/>
  <c r="J157" i="6" a="1"/>
  <c r="J157" i="6" s="1"/>
  <c r="I157" i="6" a="1"/>
  <c r="I157" i="6" s="1"/>
  <c r="H157" i="6" a="1"/>
  <c r="H157" i="6" s="1"/>
  <c r="G157" i="6" a="1"/>
  <c r="G157" i="6" s="1"/>
  <c r="F157" i="6" a="1"/>
  <c r="F157" i="6" s="1"/>
  <c r="E157" i="6" a="1"/>
  <c r="E157" i="6" s="1"/>
  <c r="D157" i="6" a="1"/>
  <c r="D157" i="6" s="1"/>
  <c r="S156" i="6" a="1"/>
  <c r="S156" i="6" s="1"/>
  <c r="R156" i="6" a="1"/>
  <c r="R156" i="6" s="1"/>
  <c r="Q156" i="6" a="1"/>
  <c r="Q156" i="6" s="1"/>
  <c r="P156" i="6" a="1"/>
  <c r="P156" i="6" s="1"/>
  <c r="O156" i="6" a="1"/>
  <c r="O156" i="6" s="1"/>
  <c r="N156" i="6"/>
  <c r="N156" i="6" a="1"/>
  <c r="M156" i="6" a="1"/>
  <c r="M156" i="6" s="1"/>
  <c r="L156" i="6" a="1"/>
  <c r="L156" i="6" s="1"/>
  <c r="K156" i="6" a="1"/>
  <c r="K156" i="6" s="1"/>
  <c r="J156" i="6" a="1"/>
  <c r="J156" i="6" s="1"/>
  <c r="I156" i="6" a="1"/>
  <c r="I156" i="6" s="1"/>
  <c r="H156" i="6" a="1"/>
  <c r="H156" i="6" s="1"/>
  <c r="G156" i="6"/>
  <c r="G156" i="6" a="1"/>
  <c r="F156" i="6"/>
  <c r="F156" i="6" a="1"/>
  <c r="E156" i="6" a="1"/>
  <c r="E156" i="6" s="1"/>
  <c r="D156" i="6" a="1"/>
  <c r="D156" i="6" s="1"/>
  <c r="S155" i="6" a="1"/>
  <c r="S155" i="6" s="1"/>
  <c r="R155" i="6" a="1"/>
  <c r="R155" i="6" s="1"/>
  <c r="Q155" i="6" a="1"/>
  <c r="Q155" i="6" s="1"/>
  <c r="P155" i="6" a="1"/>
  <c r="P155" i="6" s="1"/>
  <c r="O155" i="6" a="1"/>
  <c r="O155" i="6" s="1"/>
  <c r="N155" i="6" a="1"/>
  <c r="N155" i="6" s="1"/>
  <c r="M155" i="6" a="1"/>
  <c r="M155" i="6" s="1"/>
  <c r="L155" i="6" a="1"/>
  <c r="L155" i="6" s="1"/>
  <c r="K155" i="6" a="1"/>
  <c r="K155" i="6" s="1"/>
  <c r="J155" i="6" a="1"/>
  <c r="J155" i="6" s="1"/>
  <c r="I155" i="6" a="1"/>
  <c r="I155" i="6" s="1"/>
  <c r="H155" i="6" a="1"/>
  <c r="H155" i="6" s="1"/>
  <c r="G155" i="6" a="1"/>
  <c r="G155" i="6" s="1"/>
  <c r="F155" i="6" a="1"/>
  <c r="F155" i="6" s="1"/>
  <c r="E155" i="6" a="1"/>
  <c r="E155" i="6" s="1"/>
  <c r="D155" i="6" a="1"/>
  <c r="D155" i="6" s="1"/>
  <c r="S154" i="6" a="1"/>
  <c r="S154" i="6" s="1"/>
  <c r="R154" i="6" a="1"/>
  <c r="R154" i="6" s="1"/>
  <c r="Q154" i="6"/>
  <c r="Q154" i="6" a="1"/>
  <c r="P154" i="6" a="1"/>
  <c r="P154" i="6" s="1"/>
  <c r="O154" i="6" a="1"/>
  <c r="O154" i="6" s="1"/>
  <c r="N154" i="6" a="1"/>
  <c r="N154" i="6" s="1"/>
  <c r="M154" i="6" a="1"/>
  <c r="M154" i="6" s="1"/>
  <c r="L154" i="6" a="1"/>
  <c r="L154" i="6" s="1"/>
  <c r="K154" i="6" a="1"/>
  <c r="K154" i="6" s="1"/>
  <c r="J154" i="6" a="1"/>
  <c r="J154" i="6" s="1"/>
  <c r="I154" i="6" a="1"/>
  <c r="I154" i="6" s="1"/>
  <c r="H154" i="6" a="1"/>
  <c r="H154" i="6" s="1"/>
  <c r="G154" i="6" a="1"/>
  <c r="G154" i="6" s="1"/>
  <c r="F154" i="6" a="1"/>
  <c r="F154" i="6" s="1"/>
  <c r="E154" i="6" a="1"/>
  <c r="E154" i="6" s="1"/>
  <c r="D154" i="6" a="1"/>
  <c r="D154" i="6" s="1"/>
  <c r="S153" i="6" a="1"/>
  <c r="S153" i="6" s="1"/>
  <c r="R153" i="6" a="1"/>
  <c r="R153" i="6" s="1"/>
  <c r="Q153" i="6" a="1"/>
  <c r="Q153" i="6" s="1"/>
  <c r="P153" i="6" a="1"/>
  <c r="P153" i="6" s="1"/>
  <c r="O153" i="6" a="1"/>
  <c r="O153" i="6" s="1"/>
  <c r="N153" i="6" a="1"/>
  <c r="N153" i="6" s="1"/>
  <c r="M153" i="6" a="1"/>
  <c r="M153" i="6" s="1"/>
  <c r="L153" i="6" a="1"/>
  <c r="L153" i="6" s="1"/>
  <c r="K153" i="6" a="1"/>
  <c r="K153" i="6" s="1"/>
  <c r="J153" i="6" a="1"/>
  <c r="J153" i="6" s="1"/>
  <c r="I153" i="6" a="1"/>
  <c r="I153" i="6" s="1"/>
  <c r="H153" i="6" a="1"/>
  <c r="H153" i="6" s="1"/>
  <c r="G153" i="6" a="1"/>
  <c r="G153" i="6" s="1"/>
  <c r="F153" i="6" a="1"/>
  <c r="F153" i="6" s="1"/>
  <c r="E153" i="6" a="1"/>
  <c r="E153" i="6" s="1"/>
  <c r="D153" i="6" a="1"/>
  <c r="D153" i="6" s="1"/>
  <c r="S152" i="6" a="1"/>
  <c r="S152" i="6" s="1"/>
  <c r="R152" i="6" a="1"/>
  <c r="R152" i="6" s="1"/>
  <c r="Q152" i="6" a="1"/>
  <c r="Q152" i="6" s="1"/>
  <c r="P152" i="6" a="1"/>
  <c r="P152" i="6" s="1"/>
  <c r="O152" i="6"/>
  <c r="O152" i="6" a="1"/>
  <c r="N152" i="6" a="1"/>
  <c r="N152" i="6" s="1"/>
  <c r="M152" i="6"/>
  <c r="M152" i="6" a="1"/>
  <c r="L152" i="6" a="1"/>
  <c r="L152" i="6" s="1"/>
  <c r="K152" i="6" a="1"/>
  <c r="K152" i="6" s="1"/>
  <c r="J152" i="6" a="1"/>
  <c r="J152" i="6" s="1"/>
  <c r="I152" i="6"/>
  <c r="I152" i="6" a="1"/>
  <c r="H152" i="6" a="1"/>
  <c r="H152" i="6" s="1"/>
  <c r="G152" i="6"/>
  <c r="G152" i="6" a="1"/>
  <c r="F152" i="6" a="1"/>
  <c r="F152" i="6" s="1"/>
  <c r="E152" i="6" a="1"/>
  <c r="E152" i="6" s="1"/>
  <c r="D152" i="6" a="1"/>
  <c r="D152" i="6" s="1"/>
  <c r="S151" i="6" a="1"/>
  <c r="S151" i="6" s="1"/>
  <c r="R151" i="6" a="1"/>
  <c r="R151" i="6" s="1"/>
  <c r="Q151" i="6" a="1"/>
  <c r="Q151" i="6" s="1"/>
  <c r="P151" i="6"/>
  <c r="P151" i="6" a="1"/>
  <c r="O151" i="6" a="1"/>
  <c r="O151" i="6" s="1"/>
  <c r="N151" i="6" a="1"/>
  <c r="N151" i="6" s="1"/>
  <c r="M151" i="6" a="1"/>
  <c r="M151" i="6" s="1"/>
  <c r="L151" i="6" a="1"/>
  <c r="L151" i="6" s="1"/>
  <c r="K151" i="6" a="1"/>
  <c r="K151" i="6" s="1"/>
  <c r="J151" i="6" a="1"/>
  <c r="J151" i="6" s="1"/>
  <c r="I151" i="6" a="1"/>
  <c r="I151" i="6" s="1"/>
  <c r="H151" i="6" a="1"/>
  <c r="H151" i="6" s="1"/>
  <c r="G151" i="6" a="1"/>
  <c r="G151" i="6" s="1"/>
  <c r="F151" i="6" a="1"/>
  <c r="F151" i="6" s="1"/>
  <c r="E151" i="6" a="1"/>
  <c r="E151" i="6" s="1"/>
  <c r="D151" i="6" a="1"/>
  <c r="D151" i="6" s="1"/>
  <c r="S150" i="6" a="1"/>
  <c r="S150" i="6" s="1"/>
  <c r="R150" i="6"/>
  <c r="R150" i="6" a="1"/>
  <c r="Q150" i="6" a="1"/>
  <c r="Q150" i="6" s="1"/>
  <c r="P150" i="6" a="1"/>
  <c r="P150" i="6" s="1"/>
  <c r="O150" i="6" a="1"/>
  <c r="O150" i="6" s="1"/>
  <c r="N150" i="6" a="1"/>
  <c r="N150" i="6" s="1"/>
  <c r="M150" i="6" a="1"/>
  <c r="M150" i="6" s="1"/>
  <c r="L150" i="6" a="1"/>
  <c r="L150" i="6" s="1"/>
  <c r="K150" i="6"/>
  <c r="K150" i="6" a="1"/>
  <c r="J150" i="6" a="1"/>
  <c r="J150" i="6" s="1"/>
  <c r="I150" i="6" a="1"/>
  <c r="I150" i="6" s="1"/>
  <c r="H150" i="6" a="1"/>
  <c r="H150" i="6" s="1"/>
  <c r="G150" i="6" a="1"/>
  <c r="G150" i="6" s="1"/>
  <c r="F150" i="6" a="1"/>
  <c r="F150" i="6" s="1"/>
  <c r="E150" i="6"/>
  <c r="E150" i="6" a="1"/>
  <c r="D150" i="6" a="1"/>
  <c r="D150" i="6" s="1"/>
  <c r="S149" i="6" a="1"/>
  <c r="S149" i="6" s="1"/>
  <c r="R149" i="6" a="1"/>
  <c r="R149" i="6" s="1"/>
  <c r="Q149" i="6" a="1"/>
  <c r="Q149" i="6" s="1"/>
  <c r="P149" i="6" a="1"/>
  <c r="P149" i="6" s="1"/>
  <c r="O149" i="6" a="1"/>
  <c r="O149" i="6" s="1"/>
  <c r="N149" i="6" a="1"/>
  <c r="N149" i="6" s="1"/>
  <c r="M149" i="6" a="1"/>
  <c r="M149" i="6" s="1"/>
  <c r="L149" i="6" a="1"/>
  <c r="L149" i="6" s="1"/>
  <c r="K149" i="6" a="1"/>
  <c r="K149" i="6" s="1"/>
  <c r="J149" i="6" a="1"/>
  <c r="J149" i="6" s="1"/>
  <c r="I149" i="6" a="1"/>
  <c r="I149" i="6" s="1"/>
  <c r="H149" i="6" a="1"/>
  <c r="H149" i="6" s="1"/>
  <c r="G149" i="6" a="1"/>
  <c r="G149" i="6" s="1"/>
  <c r="F149" i="6" a="1"/>
  <c r="F149" i="6" s="1"/>
  <c r="E149" i="6" a="1"/>
  <c r="E149" i="6" s="1"/>
  <c r="D149" i="6" a="1"/>
  <c r="D149" i="6" s="1"/>
  <c r="S148" i="6" a="1"/>
  <c r="S148" i="6" s="1"/>
  <c r="R148" i="6" a="1"/>
  <c r="R148" i="6" s="1"/>
  <c r="Q148" i="6" a="1"/>
  <c r="Q148" i="6" s="1"/>
  <c r="P148" i="6" a="1"/>
  <c r="P148" i="6" s="1"/>
  <c r="O148" i="6" a="1"/>
  <c r="O148" i="6" s="1"/>
  <c r="N148" i="6" a="1"/>
  <c r="N148" i="6" s="1"/>
  <c r="M148" i="6" a="1"/>
  <c r="M148" i="6" s="1"/>
  <c r="L148" i="6" a="1"/>
  <c r="L148" i="6" s="1"/>
  <c r="K148" i="6" a="1"/>
  <c r="K148" i="6" s="1"/>
  <c r="J148" i="6" a="1"/>
  <c r="J148" i="6" s="1"/>
  <c r="I148" i="6" a="1"/>
  <c r="I148" i="6" s="1"/>
  <c r="H148" i="6" a="1"/>
  <c r="H148" i="6" s="1"/>
  <c r="G148" i="6" a="1"/>
  <c r="G148" i="6" s="1"/>
  <c r="F148" i="6" a="1"/>
  <c r="F148" i="6" s="1"/>
  <c r="E148" i="6"/>
  <c r="E148" i="6" a="1"/>
  <c r="D148" i="6" a="1"/>
  <c r="D148" i="6" s="1"/>
  <c r="S147" i="6" a="1"/>
  <c r="S147" i="6" s="1"/>
  <c r="R147" i="6" a="1"/>
  <c r="R147" i="6" s="1"/>
  <c r="Q147" i="6" a="1"/>
  <c r="Q147" i="6" s="1"/>
  <c r="P147" i="6" a="1"/>
  <c r="P147" i="6" s="1"/>
  <c r="O147" i="6" a="1"/>
  <c r="O147" i="6" s="1"/>
  <c r="N147" i="6" a="1"/>
  <c r="N147" i="6" s="1"/>
  <c r="M147" i="6"/>
  <c r="M147" i="6" a="1"/>
  <c r="L147" i="6" a="1"/>
  <c r="L147" i="6" s="1"/>
  <c r="K147" i="6" a="1"/>
  <c r="K147" i="6" s="1"/>
  <c r="J147" i="6" a="1"/>
  <c r="J147" i="6" s="1"/>
  <c r="I147" i="6" a="1"/>
  <c r="I147" i="6" s="1"/>
  <c r="H147" i="6"/>
  <c r="H147" i="6" a="1"/>
  <c r="G147" i="6" a="1"/>
  <c r="G147" i="6" s="1"/>
  <c r="F147" i="6" a="1"/>
  <c r="F147" i="6" s="1"/>
  <c r="E147" i="6" a="1"/>
  <c r="E147" i="6" s="1"/>
  <c r="D147" i="6" a="1"/>
  <c r="D147" i="6" s="1"/>
  <c r="S146" i="6" a="1"/>
  <c r="S146" i="6" s="1"/>
  <c r="R146" i="6"/>
  <c r="R146" i="6" a="1"/>
  <c r="Q146" i="6" a="1"/>
  <c r="Q146" i="6" s="1"/>
  <c r="P146" i="6" a="1"/>
  <c r="P146" i="6" s="1"/>
  <c r="O146" i="6" a="1"/>
  <c r="O146" i="6" s="1"/>
  <c r="N146" i="6" a="1"/>
  <c r="N146" i="6" s="1"/>
  <c r="M146" i="6" a="1"/>
  <c r="M146" i="6" s="1"/>
  <c r="L146" i="6" a="1"/>
  <c r="L146" i="6" s="1"/>
  <c r="K146" i="6" a="1"/>
  <c r="K146" i="6" s="1"/>
  <c r="J146" i="6"/>
  <c r="J146" i="6" a="1"/>
  <c r="I146" i="6"/>
  <c r="I146" i="6" a="1"/>
  <c r="H146" i="6" a="1"/>
  <c r="H146" i="6" s="1"/>
  <c r="G146" i="6" a="1"/>
  <c r="G146" i="6" s="1"/>
  <c r="F146" i="6" a="1"/>
  <c r="F146" i="6" s="1"/>
  <c r="E146" i="6" a="1"/>
  <c r="E146" i="6" s="1"/>
  <c r="D146" i="6" a="1"/>
  <c r="D146" i="6" s="1"/>
  <c r="S145" i="6" a="1"/>
  <c r="S145" i="6" s="1"/>
  <c r="R145" i="6" a="1"/>
  <c r="R145" i="6" s="1"/>
  <c r="Q145" i="6" a="1"/>
  <c r="Q145" i="6" s="1"/>
  <c r="P145" i="6" a="1"/>
  <c r="P145" i="6" s="1"/>
  <c r="O145" i="6" a="1"/>
  <c r="O145" i="6" s="1"/>
  <c r="N145" i="6" a="1"/>
  <c r="N145" i="6" s="1"/>
  <c r="M145" i="6" a="1"/>
  <c r="M145" i="6" s="1"/>
  <c r="L145" i="6" a="1"/>
  <c r="L145" i="6" s="1"/>
  <c r="K145" i="6" a="1"/>
  <c r="K145" i="6" s="1"/>
  <c r="J145" i="6" a="1"/>
  <c r="J145" i="6" s="1"/>
  <c r="I145" i="6" a="1"/>
  <c r="I145" i="6" s="1"/>
  <c r="H145" i="6" a="1"/>
  <c r="H145" i="6" s="1"/>
  <c r="G145" i="6" a="1"/>
  <c r="G145" i="6" s="1"/>
  <c r="F145" i="6"/>
  <c r="F145" i="6" a="1"/>
  <c r="E145" i="6" a="1"/>
  <c r="E145" i="6" s="1"/>
  <c r="D145" i="6" a="1"/>
  <c r="D145" i="6" s="1"/>
  <c r="S144" i="6" a="1"/>
  <c r="S144" i="6" s="1"/>
  <c r="R144" i="6" a="1"/>
  <c r="R144" i="6" s="1"/>
  <c r="Q144" i="6" a="1"/>
  <c r="Q144" i="6" s="1"/>
  <c r="P144" i="6" a="1"/>
  <c r="P144" i="6" s="1"/>
  <c r="O144" i="6" a="1"/>
  <c r="O144" i="6" s="1"/>
  <c r="N144" i="6" a="1"/>
  <c r="N144" i="6" s="1"/>
  <c r="M144" i="6"/>
  <c r="M144" i="6" a="1"/>
  <c r="L144" i="6" a="1"/>
  <c r="L144" i="6" s="1"/>
  <c r="K144" i="6" a="1"/>
  <c r="K144" i="6" s="1"/>
  <c r="J144" i="6" a="1"/>
  <c r="J144" i="6" s="1"/>
  <c r="I144" i="6" a="1"/>
  <c r="I144" i="6" s="1"/>
  <c r="H144" i="6" a="1"/>
  <c r="H144" i="6" s="1"/>
  <c r="G144" i="6" a="1"/>
  <c r="G144" i="6" s="1"/>
  <c r="F144" i="6"/>
  <c r="F144" i="6" a="1"/>
  <c r="E144" i="6" a="1"/>
  <c r="E144" i="6" s="1"/>
  <c r="D144" i="6" a="1"/>
  <c r="D144" i="6" s="1"/>
  <c r="S143" i="6" a="1"/>
  <c r="S143" i="6" s="1"/>
  <c r="R143" i="6" a="1"/>
  <c r="R143" i="6" s="1"/>
  <c r="Q143" i="6" a="1"/>
  <c r="Q143" i="6" s="1"/>
  <c r="P143" i="6" a="1"/>
  <c r="P143" i="6" s="1"/>
  <c r="O143" i="6" a="1"/>
  <c r="O143" i="6" s="1"/>
  <c r="N143" i="6" a="1"/>
  <c r="N143" i="6" s="1"/>
  <c r="M143" i="6" a="1"/>
  <c r="M143" i="6" s="1"/>
  <c r="L143" i="6" a="1"/>
  <c r="L143" i="6" s="1"/>
  <c r="K143" i="6" a="1"/>
  <c r="K143" i="6" s="1"/>
  <c r="J143" i="6" a="1"/>
  <c r="J143" i="6" s="1"/>
  <c r="I143" i="6" a="1"/>
  <c r="I143" i="6" s="1"/>
  <c r="H143" i="6" a="1"/>
  <c r="H143" i="6" s="1"/>
  <c r="G143" i="6" a="1"/>
  <c r="G143" i="6" s="1"/>
  <c r="F143" i="6" a="1"/>
  <c r="F143" i="6" s="1"/>
  <c r="E143" i="6" a="1"/>
  <c r="E143" i="6" s="1"/>
  <c r="D143" i="6" a="1"/>
  <c r="D143" i="6" s="1"/>
  <c r="S142" i="6" a="1"/>
  <c r="S142" i="6" s="1"/>
  <c r="R142" i="6" a="1"/>
  <c r="R142" i="6" s="1"/>
  <c r="Q142" i="6" a="1"/>
  <c r="Q142" i="6" s="1"/>
  <c r="P142" i="6" a="1"/>
  <c r="P142" i="6" s="1"/>
  <c r="O142" i="6" a="1"/>
  <c r="O142" i="6" s="1"/>
  <c r="N142" i="6" a="1"/>
  <c r="N142" i="6" s="1"/>
  <c r="M142" i="6" a="1"/>
  <c r="M142" i="6" s="1"/>
  <c r="L142" i="6" a="1"/>
  <c r="L142" i="6" s="1"/>
  <c r="K142" i="6" a="1"/>
  <c r="K142" i="6" s="1"/>
  <c r="J142" i="6" a="1"/>
  <c r="J142" i="6" s="1"/>
  <c r="I142" i="6" a="1"/>
  <c r="I142" i="6" s="1"/>
  <c r="H142" i="6" a="1"/>
  <c r="H142" i="6" s="1"/>
  <c r="G142" i="6" a="1"/>
  <c r="G142" i="6" s="1"/>
  <c r="F142" i="6" a="1"/>
  <c r="F142" i="6" s="1"/>
  <c r="E142" i="6" a="1"/>
  <c r="E142" i="6" s="1"/>
  <c r="D142" i="6" a="1"/>
  <c r="D142" i="6" s="1"/>
  <c r="S141" i="6" a="1"/>
  <c r="S141" i="6" s="1"/>
  <c r="R141" i="6" a="1"/>
  <c r="R141" i="6" s="1"/>
  <c r="Q141" i="6" a="1"/>
  <c r="Q141" i="6" s="1"/>
  <c r="P141" i="6" a="1"/>
  <c r="P141" i="6" s="1"/>
  <c r="O141" i="6" a="1"/>
  <c r="O141" i="6" s="1"/>
  <c r="N141" i="6" a="1"/>
  <c r="N141" i="6" s="1"/>
  <c r="M141" i="6" a="1"/>
  <c r="M141" i="6" s="1"/>
  <c r="L141" i="6" a="1"/>
  <c r="L141" i="6" s="1"/>
  <c r="K141" i="6" a="1"/>
  <c r="K141" i="6" s="1"/>
  <c r="J141" i="6" a="1"/>
  <c r="J141" i="6" s="1"/>
  <c r="I141" i="6" a="1"/>
  <c r="I141" i="6" s="1"/>
  <c r="H141" i="6" a="1"/>
  <c r="H141" i="6" s="1"/>
  <c r="G141" i="6" a="1"/>
  <c r="G141" i="6" s="1"/>
  <c r="F141" i="6" a="1"/>
  <c r="F141" i="6" s="1"/>
  <c r="E141" i="6" a="1"/>
  <c r="E141" i="6" s="1"/>
  <c r="D141" i="6" a="1"/>
  <c r="D141" i="6" s="1"/>
  <c r="S140" i="6" a="1"/>
  <c r="S140" i="6" s="1"/>
  <c r="R140" i="6" a="1"/>
  <c r="R140" i="6" s="1"/>
  <c r="Q140" i="6" a="1"/>
  <c r="Q140" i="6" s="1"/>
  <c r="P140" i="6" a="1"/>
  <c r="P140" i="6" s="1"/>
  <c r="O140" i="6" a="1"/>
  <c r="O140" i="6" s="1"/>
  <c r="N140" i="6" a="1"/>
  <c r="N140" i="6" s="1"/>
  <c r="M140" i="6" a="1"/>
  <c r="M140" i="6" s="1"/>
  <c r="L140" i="6" a="1"/>
  <c r="L140" i="6" s="1"/>
  <c r="K140" i="6" a="1"/>
  <c r="K140" i="6" s="1"/>
  <c r="J140" i="6" a="1"/>
  <c r="J140" i="6" s="1"/>
  <c r="I140" i="6" a="1"/>
  <c r="I140" i="6" s="1"/>
  <c r="H140" i="6" a="1"/>
  <c r="H140" i="6" s="1"/>
  <c r="G140" i="6" a="1"/>
  <c r="G140" i="6" s="1"/>
  <c r="F140" i="6" a="1"/>
  <c r="F140" i="6" s="1"/>
  <c r="E140" i="6" a="1"/>
  <c r="E140" i="6" s="1"/>
  <c r="D140" i="6" a="1"/>
  <c r="D140" i="6" s="1"/>
  <c r="S139" i="6" a="1"/>
  <c r="S139" i="6" s="1"/>
  <c r="R139" i="6" a="1"/>
  <c r="R139" i="6" s="1"/>
  <c r="Q139" i="6" a="1"/>
  <c r="Q139" i="6" s="1"/>
  <c r="P139" i="6" a="1"/>
  <c r="P139" i="6" s="1"/>
  <c r="O139" i="6" a="1"/>
  <c r="O139" i="6" s="1"/>
  <c r="N139" i="6" a="1"/>
  <c r="N139" i="6" s="1"/>
  <c r="M139" i="6" a="1"/>
  <c r="M139" i="6" s="1"/>
  <c r="L139" i="6" a="1"/>
  <c r="L139" i="6" s="1"/>
  <c r="K139" i="6" a="1"/>
  <c r="K139" i="6" s="1"/>
  <c r="J139" i="6"/>
  <c r="J139" i="6" a="1"/>
  <c r="I139" i="6" a="1"/>
  <c r="I139" i="6" s="1"/>
  <c r="H139" i="6" a="1"/>
  <c r="H139" i="6" s="1"/>
  <c r="G139" i="6" a="1"/>
  <c r="G139" i="6" s="1"/>
  <c r="F139" i="6" a="1"/>
  <c r="F139" i="6" s="1"/>
  <c r="E139" i="6" a="1"/>
  <c r="E139" i="6" s="1"/>
  <c r="D139" i="6" a="1"/>
  <c r="D139" i="6" s="1"/>
  <c r="S138" i="6" a="1"/>
  <c r="S138" i="6" s="1"/>
  <c r="R138" i="6" a="1"/>
  <c r="R138" i="6" s="1"/>
  <c r="Q138" i="6" a="1"/>
  <c r="Q138" i="6" s="1"/>
  <c r="P138" i="6" a="1"/>
  <c r="P138" i="6" s="1"/>
  <c r="O138" i="6" a="1"/>
  <c r="O138" i="6" s="1"/>
  <c r="N138" i="6" a="1"/>
  <c r="N138" i="6" s="1"/>
  <c r="M138" i="6" a="1"/>
  <c r="M138" i="6" s="1"/>
  <c r="L138" i="6" a="1"/>
  <c r="L138" i="6" s="1"/>
  <c r="K138" i="6" a="1"/>
  <c r="K138" i="6" s="1"/>
  <c r="J138" i="6" a="1"/>
  <c r="J138" i="6" s="1"/>
  <c r="I138" i="6" a="1"/>
  <c r="I138" i="6" s="1"/>
  <c r="H138" i="6" a="1"/>
  <c r="H138" i="6" s="1"/>
  <c r="G138" i="6" a="1"/>
  <c r="G138" i="6" s="1"/>
  <c r="F138" i="6" a="1"/>
  <c r="F138" i="6" s="1"/>
  <c r="E138" i="6" a="1"/>
  <c r="E138" i="6" s="1"/>
  <c r="D138" i="6" a="1"/>
  <c r="D138" i="6" s="1"/>
  <c r="S137" i="6" a="1"/>
  <c r="S137" i="6" s="1"/>
  <c r="R137" i="6" a="1"/>
  <c r="R137" i="6" s="1"/>
  <c r="Q137" i="6" a="1"/>
  <c r="Q137" i="6" s="1"/>
  <c r="P137" i="6" a="1"/>
  <c r="P137" i="6" s="1"/>
  <c r="O137" i="6" a="1"/>
  <c r="O137" i="6" s="1"/>
  <c r="N137" i="6" a="1"/>
  <c r="N137" i="6" s="1"/>
  <c r="M137" i="6" a="1"/>
  <c r="M137" i="6" s="1"/>
  <c r="L137" i="6" a="1"/>
  <c r="L137" i="6" s="1"/>
  <c r="K137" i="6" a="1"/>
  <c r="K137" i="6" s="1"/>
  <c r="J137" i="6" a="1"/>
  <c r="J137" i="6" s="1"/>
  <c r="I137" i="6" a="1"/>
  <c r="I137" i="6" s="1"/>
  <c r="H137" i="6" a="1"/>
  <c r="H137" i="6" s="1"/>
  <c r="G137" i="6" a="1"/>
  <c r="G137" i="6" s="1"/>
  <c r="F137" i="6" a="1"/>
  <c r="F137" i="6" s="1"/>
  <c r="E137" i="6" a="1"/>
  <c r="E137" i="6" s="1"/>
  <c r="D137" i="6" a="1"/>
  <c r="D137" i="6" s="1"/>
  <c r="S136" i="6" a="1"/>
  <c r="S136" i="6" s="1"/>
  <c r="R136" i="6" a="1"/>
  <c r="R136" i="6" s="1"/>
  <c r="Q136" i="6" a="1"/>
  <c r="Q136" i="6" s="1"/>
  <c r="P136" i="6" a="1"/>
  <c r="P136" i="6" s="1"/>
  <c r="O136" i="6" a="1"/>
  <c r="O136" i="6" s="1"/>
  <c r="N136" i="6" a="1"/>
  <c r="N136" i="6" s="1"/>
  <c r="M136" i="6" a="1"/>
  <c r="M136" i="6" s="1"/>
  <c r="L136" i="6" a="1"/>
  <c r="L136" i="6" s="1"/>
  <c r="K136" i="6" a="1"/>
  <c r="K136" i="6" s="1"/>
  <c r="J136" i="6" a="1"/>
  <c r="J136" i="6" s="1"/>
  <c r="I136" i="6" a="1"/>
  <c r="I136" i="6" s="1"/>
  <c r="H136" i="6" a="1"/>
  <c r="H136" i="6" s="1"/>
  <c r="G136" i="6" a="1"/>
  <c r="G136" i="6" s="1"/>
  <c r="F136" i="6" a="1"/>
  <c r="F136" i="6" s="1"/>
  <c r="E136" i="6" a="1"/>
  <c r="E136" i="6" s="1"/>
  <c r="D136" i="6" a="1"/>
  <c r="D136" i="6" s="1"/>
  <c r="S135" i="6" a="1"/>
  <c r="S135" i="6" s="1"/>
  <c r="R135" i="6"/>
  <c r="R135" i="6" a="1"/>
  <c r="Q135" i="6" a="1"/>
  <c r="Q135" i="6" s="1"/>
  <c r="P135" i="6" a="1"/>
  <c r="P135" i="6" s="1"/>
  <c r="O135" i="6" a="1"/>
  <c r="O135" i="6" s="1"/>
  <c r="N135" i="6" a="1"/>
  <c r="N135" i="6" s="1"/>
  <c r="M135" i="6" a="1"/>
  <c r="M135" i="6" s="1"/>
  <c r="L135" i="6" a="1"/>
  <c r="L135" i="6" s="1"/>
  <c r="K135" i="6"/>
  <c r="K135" i="6" a="1"/>
  <c r="J135" i="6" a="1"/>
  <c r="J135" i="6" s="1"/>
  <c r="I135" i="6" a="1"/>
  <c r="I135" i="6" s="1"/>
  <c r="H135" i="6" a="1"/>
  <c r="H135" i="6" s="1"/>
  <c r="G135" i="6" a="1"/>
  <c r="G135" i="6" s="1"/>
  <c r="F135" i="6" a="1"/>
  <c r="F135" i="6" s="1"/>
  <c r="E135" i="6" a="1"/>
  <c r="E135" i="6" s="1"/>
  <c r="D135" i="6" a="1"/>
  <c r="D135" i="6" s="1"/>
  <c r="S134" i="6" a="1"/>
  <c r="S134" i="6" s="1"/>
  <c r="R134" i="6" a="1"/>
  <c r="R134" i="6" s="1"/>
  <c r="Q134" i="6" a="1"/>
  <c r="Q134" i="6" s="1"/>
  <c r="P134" i="6" a="1"/>
  <c r="P134" i="6" s="1"/>
  <c r="O134" i="6" a="1"/>
  <c r="O134" i="6" s="1"/>
  <c r="N134" i="6" a="1"/>
  <c r="N134" i="6" s="1"/>
  <c r="M134" i="6" a="1"/>
  <c r="M134" i="6" s="1"/>
  <c r="L134" i="6" a="1"/>
  <c r="L134" i="6" s="1"/>
  <c r="K134" i="6" a="1"/>
  <c r="K134" i="6" s="1"/>
  <c r="J134" i="6" a="1"/>
  <c r="J134" i="6" s="1"/>
  <c r="I134" i="6" a="1"/>
  <c r="I134" i="6" s="1"/>
  <c r="H134" i="6" a="1"/>
  <c r="H134" i="6" s="1"/>
  <c r="G134" i="6" a="1"/>
  <c r="G134" i="6" s="1"/>
  <c r="F134" i="6" a="1"/>
  <c r="F134" i="6" s="1"/>
  <c r="E134" i="6" a="1"/>
  <c r="E134" i="6" s="1"/>
  <c r="D134" i="6" a="1"/>
  <c r="D134" i="6" s="1"/>
  <c r="S133" i="6" a="1"/>
  <c r="S133" i="6" s="1"/>
  <c r="R133" i="6" a="1"/>
  <c r="R133" i="6" s="1"/>
  <c r="Q133" i="6" a="1"/>
  <c r="Q133" i="6" s="1"/>
  <c r="P133" i="6" a="1"/>
  <c r="P133" i="6" s="1"/>
  <c r="O133" i="6" a="1"/>
  <c r="O133" i="6" s="1"/>
  <c r="N133" i="6"/>
  <c r="N133" i="6" a="1"/>
  <c r="M133" i="6" a="1"/>
  <c r="M133" i="6" s="1"/>
  <c r="L133" i="6" a="1"/>
  <c r="L133" i="6" s="1"/>
  <c r="K133" i="6" a="1"/>
  <c r="K133" i="6" s="1"/>
  <c r="J133" i="6" a="1"/>
  <c r="J133" i="6" s="1"/>
  <c r="I133" i="6" a="1"/>
  <c r="I133" i="6" s="1"/>
  <c r="H133" i="6" a="1"/>
  <c r="H133" i="6" s="1"/>
  <c r="G133" i="6"/>
  <c r="G133" i="6" a="1"/>
  <c r="F133" i="6" a="1"/>
  <c r="F133" i="6" s="1"/>
  <c r="E133" i="6" a="1"/>
  <c r="E133" i="6" s="1"/>
  <c r="D133" i="6" a="1"/>
  <c r="D133" i="6" s="1"/>
  <c r="S132" i="6" a="1"/>
  <c r="S132" i="6" s="1"/>
  <c r="R132" i="6" a="1"/>
  <c r="R132" i="6" s="1"/>
  <c r="Q132" i="6" a="1"/>
  <c r="Q132" i="6" s="1"/>
  <c r="P132" i="6" a="1"/>
  <c r="P132" i="6" s="1"/>
  <c r="O132" i="6" a="1"/>
  <c r="O132" i="6" s="1"/>
  <c r="N132" i="6" a="1"/>
  <c r="N132" i="6" s="1"/>
  <c r="M132" i="6" a="1"/>
  <c r="M132" i="6" s="1"/>
  <c r="L132" i="6" a="1"/>
  <c r="L132" i="6" s="1"/>
  <c r="K132" i="6" a="1"/>
  <c r="K132" i="6" s="1"/>
  <c r="J132" i="6" a="1"/>
  <c r="J132" i="6" s="1"/>
  <c r="I132" i="6" a="1"/>
  <c r="I132" i="6" s="1"/>
  <c r="H132" i="6" a="1"/>
  <c r="H132" i="6" s="1"/>
  <c r="G132" i="6" a="1"/>
  <c r="G132" i="6" s="1"/>
  <c r="F132" i="6" a="1"/>
  <c r="F132" i="6" s="1"/>
  <c r="E132" i="6" a="1"/>
  <c r="E132" i="6" s="1"/>
  <c r="D132" i="6" a="1"/>
  <c r="D132" i="6" s="1"/>
  <c r="S131" i="6" a="1"/>
  <c r="S131" i="6" s="1"/>
  <c r="R131" i="6" a="1"/>
  <c r="R131" i="6" s="1"/>
  <c r="Q131" i="6" a="1"/>
  <c r="Q131" i="6" s="1"/>
  <c r="P131" i="6" a="1"/>
  <c r="P131" i="6" s="1"/>
  <c r="O131" i="6" a="1"/>
  <c r="O131" i="6" s="1"/>
  <c r="N131" i="6" a="1"/>
  <c r="N131" i="6" s="1"/>
  <c r="M131" i="6" a="1"/>
  <c r="M131" i="6" s="1"/>
  <c r="L131" i="6" a="1"/>
  <c r="L131" i="6" s="1"/>
  <c r="K131" i="6" a="1"/>
  <c r="K131" i="6" s="1"/>
  <c r="J131" i="6" a="1"/>
  <c r="J131" i="6" s="1"/>
  <c r="I131" i="6" a="1"/>
  <c r="I131" i="6" s="1"/>
  <c r="H131" i="6" a="1"/>
  <c r="H131" i="6" s="1"/>
  <c r="G131" i="6" a="1"/>
  <c r="G131" i="6" s="1"/>
  <c r="F131" i="6" a="1"/>
  <c r="F131" i="6" s="1"/>
  <c r="E131" i="6" a="1"/>
  <c r="E131" i="6" s="1"/>
  <c r="D131" i="6" a="1"/>
  <c r="D131" i="6" s="1"/>
  <c r="S130" i="6" a="1"/>
  <c r="S130" i="6" s="1"/>
  <c r="R130" i="6" a="1"/>
  <c r="R130" i="6" s="1"/>
  <c r="Q130" i="6"/>
  <c r="Q130" i="6" a="1"/>
  <c r="P130" i="6" a="1"/>
  <c r="P130" i="6" s="1"/>
  <c r="O130" i="6" a="1"/>
  <c r="O130" i="6" s="1"/>
  <c r="N130" i="6" a="1"/>
  <c r="N130" i="6" s="1"/>
  <c r="M130" i="6" a="1"/>
  <c r="M130" i="6" s="1"/>
  <c r="L130" i="6" a="1"/>
  <c r="L130" i="6" s="1"/>
  <c r="K130" i="6" a="1"/>
  <c r="K130" i="6" s="1"/>
  <c r="J130" i="6"/>
  <c r="J130" i="6" a="1"/>
  <c r="I130" i="6" a="1"/>
  <c r="I130" i="6" s="1"/>
  <c r="H130" i="6" a="1"/>
  <c r="H130" i="6" s="1"/>
  <c r="G130" i="6" a="1"/>
  <c r="G130" i="6" s="1"/>
  <c r="F130" i="6" a="1"/>
  <c r="F130" i="6" s="1"/>
  <c r="E130" i="6" a="1"/>
  <c r="E130" i="6" s="1"/>
  <c r="D130" i="6" a="1"/>
  <c r="D130" i="6" s="1"/>
  <c r="S129" i="6" a="1"/>
  <c r="S129" i="6" s="1"/>
  <c r="R129" i="6" a="1"/>
  <c r="R129" i="6" s="1"/>
  <c r="Q129" i="6" a="1"/>
  <c r="Q129" i="6" s="1"/>
  <c r="P129" i="6" a="1"/>
  <c r="P129" i="6" s="1"/>
  <c r="O129" i="6" a="1"/>
  <c r="O129" i="6" s="1"/>
  <c r="N129" i="6" a="1"/>
  <c r="N129" i="6" s="1"/>
  <c r="M129" i="6" a="1"/>
  <c r="M129" i="6" s="1"/>
  <c r="L129" i="6" a="1"/>
  <c r="L129" i="6" s="1"/>
  <c r="K129" i="6" a="1"/>
  <c r="K129" i="6" s="1"/>
  <c r="J129" i="6" a="1"/>
  <c r="J129" i="6" s="1"/>
  <c r="I129" i="6" a="1"/>
  <c r="I129" i="6" s="1"/>
  <c r="H129" i="6" a="1"/>
  <c r="H129" i="6" s="1"/>
  <c r="G129" i="6" a="1"/>
  <c r="G129" i="6" s="1"/>
  <c r="F129" i="6" a="1"/>
  <c r="F129" i="6" s="1"/>
  <c r="E129" i="6" a="1"/>
  <c r="E129" i="6" s="1"/>
  <c r="D129" i="6" a="1"/>
  <c r="D129" i="6" s="1"/>
  <c r="S128" i="6" a="1"/>
  <c r="S128" i="6" s="1"/>
  <c r="R128" i="6" a="1"/>
  <c r="R128" i="6" s="1"/>
  <c r="Q128" i="6" a="1"/>
  <c r="Q128" i="6" s="1"/>
  <c r="P128" i="6" a="1"/>
  <c r="P128" i="6" s="1"/>
  <c r="O128" i="6" a="1"/>
  <c r="O128" i="6" s="1"/>
  <c r="N128" i="6" a="1"/>
  <c r="N128" i="6" s="1"/>
  <c r="M128" i="6" a="1"/>
  <c r="M128" i="6" s="1"/>
  <c r="L128" i="6" a="1"/>
  <c r="L128" i="6" s="1"/>
  <c r="K128" i="6" a="1"/>
  <c r="K128" i="6" s="1"/>
  <c r="J128" i="6" a="1"/>
  <c r="J128" i="6" s="1"/>
  <c r="I128" i="6" a="1"/>
  <c r="I128" i="6" s="1"/>
  <c r="H128" i="6" a="1"/>
  <c r="H128" i="6" s="1"/>
  <c r="G128" i="6" a="1"/>
  <c r="G128" i="6" s="1"/>
  <c r="F128" i="6" a="1"/>
  <c r="F128" i="6" s="1"/>
  <c r="E128" i="6" a="1"/>
  <c r="E128" i="6" s="1"/>
  <c r="D128" i="6" a="1"/>
  <c r="D128" i="6" s="1"/>
  <c r="S127" i="6" a="1"/>
  <c r="S127" i="6" s="1"/>
  <c r="R127" i="6" a="1"/>
  <c r="R127" i="6" s="1"/>
  <c r="Q127" i="6" a="1"/>
  <c r="Q127" i="6" s="1"/>
  <c r="P127" i="6" a="1"/>
  <c r="P127" i="6" s="1"/>
  <c r="O127" i="6" a="1"/>
  <c r="O127" i="6" s="1"/>
  <c r="N127" i="6" a="1"/>
  <c r="N127" i="6" s="1"/>
  <c r="M127" i="6" a="1"/>
  <c r="M127" i="6" s="1"/>
  <c r="L127" i="6" a="1"/>
  <c r="L127" i="6" s="1"/>
  <c r="K127" i="6" a="1"/>
  <c r="K127" i="6" s="1"/>
  <c r="J127" i="6" a="1"/>
  <c r="J127" i="6" s="1"/>
  <c r="I127" i="6" a="1"/>
  <c r="I127" i="6" s="1"/>
  <c r="H127" i="6" a="1"/>
  <c r="H127" i="6" s="1"/>
  <c r="G127" i="6" a="1"/>
  <c r="G127" i="6" s="1"/>
  <c r="F127" i="6" a="1"/>
  <c r="F127" i="6" s="1"/>
  <c r="E127" i="6" a="1"/>
  <c r="E127" i="6" s="1"/>
  <c r="D127" i="6" a="1"/>
  <c r="D127" i="6" s="1"/>
  <c r="S126" i="6" a="1"/>
  <c r="S126" i="6" s="1"/>
  <c r="R126" i="6"/>
  <c r="R126" i="6" a="1"/>
  <c r="Q126" i="6" a="1"/>
  <c r="Q126" i="6" s="1"/>
  <c r="P126" i="6" a="1"/>
  <c r="P126" i="6" s="1"/>
  <c r="O126" i="6" a="1"/>
  <c r="O126" i="6" s="1"/>
  <c r="N126" i="6" a="1"/>
  <c r="N126" i="6" s="1"/>
  <c r="M126" i="6" a="1"/>
  <c r="M126" i="6" s="1"/>
  <c r="L126" i="6" a="1"/>
  <c r="L126" i="6" s="1"/>
  <c r="K126" i="6" a="1"/>
  <c r="K126" i="6" s="1"/>
  <c r="J126" i="6" a="1"/>
  <c r="J126" i="6" s="1"/>
  <c r="I126" i="6" a="1"/>
  <c r="I126" i="6" s="1"/>
  <c r="H126" i="6" a="1"/>
  <c r="H126" i="6" s="1"/>
  <c r="G126" i="6" a="1"/>
  <c r="G126" i="6" s="1"/>
  <c r="F126" i="6" a="1"/>
  <c r="F126" i="6" s="1"/>
  <c r="E126" i="6" a="1"/>
  <c r="E126" i="6" s="1"/>
  <c r="D126" i="6" a="1"/>
  <c r="D126" i="6" s="1"/>
  <c r="S125" i="6" a="1"/>
  <c r="S125" i="6" s="1"/>
  <c r="R125" i="6" a="1"/>
  <c r="R125" i="6" s="1"/>
  <c r="Q125" i="6" a="1"/>
  <c r="Q125" i="6" s="1"/>
  <c r="P125" i="6" a="1"/>
  <c r="P125" i="6" s="1"/>
  <c r="O125" i="6" a="1"/>
  <c r="O125" i="6" s="1"/>
  <c r="N125" i="6" a="1"/>
  <c r="N125" i="6" s="1"/>
  <c r="M125" i="6" a="1"/>
  <c r="M125" i="6" s="1"/>
  <c r="L125" i="6" a="1"/>
  <c r="L125" i="6" s="1"/>
  <c r="K125" i="6" a="1"/>
  <c r="K125" i="6" s="1"/>
  <c r="J125" i="6" a="1"/>
  <c r="J125" i="6" s="1"/>
  <c r="I125" i="6" a="1"/>
  <c r="I125" i="6" s="1"/>
  <c r="H125" i="6" a="1"/>
  <c r="H125" i="6" s="1"/>
  <c r="G125" i="6" a="1"/>
  <c r="G125" i="6" s="1"/>
  <c r="F125" i="6" a="1"/>
  <c r="F125" i="6" s="1"/>
  <c r="E125" i="6" a="1"/>
  <c r="E125" i="6" s="1"/>
  <c r="D125" i="6" a="1"/>
  <c r="D125" i="6" s="1"/>
  <c r="S124" i="6" a="1"/>
  <c r="S124" i="6" s="1"/>
  <c r="R124" i="6" a="1"/>
  <c r="R124" i="6" s="1"/>
  <c r="Q124" i="6" a="1"/>
  <c r="Q124" i="6" s="1"/>
  <c r="P124" i="6" a="1"/>
  <c r="P124" i="6" s="1"/>
  <c r="O124" i="6" a="1"/>
  <c r="O124" i="6" s="1"/>
  <c r="N124" i="6" a="1"/>
  <c r="N124" i="6" s="1"/>
  <c r="M124" i="6" a="1"/>
  <c r="M124" i="6" s="1"/>
  <c r="L124" i="6" a="1"/>
  <c r="L124" i="6" s="1"/>
  <c r="K124" i="6" a="1"/>
  <c r="K124" i="6" s="1"/>
  <c r="J124" i="6" a="1"/>
  <c r="J124" i="6" s="1"/>
  <c r="I124" i="6" a="1"/>
  <c r="I124" i="6" s="1"/>
  <c r="H124" i="6" a="1"/>
  <c r="H124" i="6" s="1"/>
  <c r="G124" i="6" a="1"/>
  <c r="G124" i="6" s="1"/>
  <c r="F124" i="6" a="1"/>
  <c r="F124" i="6" s="1"/>
  <c r="E124" i="6" a="1"/>
  <c r="E124" i="6" s="1"/>
  <c r="D124" i="6" a="1"/>
  <c r="D124" i="6" s="1"/>
  <c r="S123" i="6" a="1"/>
  <c r="S123" i="6" s="1"/>
  <c r="R123" i="6" a="1"/>
  <c r="R123" i="6" s="1"/>
  <c r="Q123" i="6" a="1"/>
  <c r="Q123" i="6" s="1"/>
  <c r="P123" i="6" a="1"/>
  <c r="P123" i="6" s="1"/>
  <c r="O123" i="6" a="1"/>
  <c r="O123" i="6" s="1"/>
  <c r="N123" i="6" a="1"/>
  <c r="N123" i="6" s="1"/>
  <c r="M123" i="6" a="1"/>
  <c r="M123" i="6" s="1"/>
  <c r="L123" i="6" a="1"/>
  <c r="L123" i="6" s="1"/>
  <c r="K123" i="6" a="1"/>
  <c r="K123" i="6" s="1"/>
  <c r="J123" i="6" a="1"/>
  <c r="J123" i="6" s="1"/>
  <c r="I123" i="6" a="1"/>
  <c r="I123" i="6" s="1"/>
  <c r="H123" i="6" a="1"/>
  <c r="H123" i="6" s="1"/>
  <c r="G123" i="6" a="1"/>
  <c r="G123" i="6" s="1"/>
  <c r="F123" i="6" a="1"/>
  <c r="F123" i="6" s="1"/>
  <c r="E123" i="6" a="1"/>
  <c r="E123" i="6" s="1"/>
  <c r="D123" i="6" a="1"/>
  <c r="D123" i="6" s="1"/>
  <c r="S122" i="6" a="1"/>
  <c r="S122" i="6" s="1"/>
  <c r="R122" i="6" a="1"/>
  <c r="R122" i="6" s="1"/>
  <c r="Q122" i="6" a="1"/>
  <c r="Q122" i="6" s="1"/>
  <c r="P122" i="6" a="1"/>
  <c r="P122" i="6" s="1"/>
  <c r="O122" i="6" a="1"/>
  <c r="O122" i="6" s="1"/>
  <c r="N122" i="6" a="1"/>
  <c r="N122" i="6" s="1"/>
  <c r="M122" i="6" a="1"/>
  <c r="M122" i="6" s="1"/>
  <c r="L122" i="6" a="1"/>
  <c r="L122" i="6" s="1"/>
  <c r="K122" i="6" a="1"/>
  <c r="K122" i="6" s="1"/>
  <c r="J122" i="6" a="1"/>
  <c r="J122" i="6" s="1"/>
  <c r="I122" i="6" a="1"/>
  <c r="I122" i="6" s="1"/>
  <c r="H122" i="6"/>
  <c r="H122" i="6" a="1"/>
  <c r="G122" i="6" a="1"/>
  <c r="G122" i="6" s="1"/>
  <c r="F122" i="6" a="1"/>
  <c r="F122" i="6" s="1"/>
  <c r="E122" i="6" a="1"/>
  <c r="E122" i="6" s="1"/>
  <c r="D122" i="6" a="1"/>
  <c r="D122" i="6" s="1"/>
  <c r="S121" i="6" a="1"/>
  <c r="S121" i="6" s="1"/>
  <c r="R121" i="6" a="1"/>
  <c r="R121" i="6" s="1"/>
  <c r="Q121" i="6" a="1"/>
  <c r="Q121" i="6" s="1"/>
  <c r="P121" i="6" a="1"/>
  <c r="P121" i="6" s="1"/>
  <c r="O121" i="6" a="1"/>
  <c r="O121" i="6" s="1"/>
  <c r="N121" i="6" a="1"/>
  <c r="N121" i="6" s="1"/>
  <c r="M121" i="6" a="1"/>
  <c r="M121" i="6" s="1"/>
  <c r="L121" i="6" a="1"/>
  <c r="L121" i="6" s="1"/>
  <c r="K121" i="6" a="1"/>
  <c r="K121" i="6" s="1"/>
  <c r="J121" i="6" a="1"/>
  <c r="J121" i="6" s="1"/>
  <c r="I121" i="6" a="1"/>
  <c r="I121" i="6" s="1"/>
  <c r="H121" i="6" a="1"/>
  <c r="H121" i="6" s="1"/>
  <c r="G121" i="6" a="1"/>
  <c r="G121" i="6" s="1"/>
  <c r="F121" i="6" a="1"/>
  <c r="F121" i="6" s="1"/>
  <c r="E121" i="6" a="1"/>
  <c r="E121" i="6" s="1"/>
  <c r="D121" i="6" a="1"/>
  <c r="D121" i="6" s="1"/>
  <c r="S120" i="6" a="1"/>
  <c r="S120" i="6" s="1"/>
  <c r="R120" i="6" a="1"/>
  <c r="R120" i="6" s="1"/>
  <c r="Q120" i="6" a="1"/>
  <c r="Q120" i="6" s="1"/>
  <c r="P120" i="6" a="1"/>
  <c r="P120" i="6" s="1"/>
  <c r="O120" i="6" a="1"/>
  <c r="O120" i="6" s="1"/>
  <c r="N120" i="6" a="1"/>
  <c r="N120" i="6" s="1"/>
  <c r="M120" i="6" a="1"/>
  <c r="M120" i="6" s="1"/>
  <c r="L120" i="6" a="1"/>
  <c r="L120" i="6" s="1"/>
  <c r="K120" i="6" a="1"/>
  <c r="K120" i="6" s="1"/>
  <c r="J120" i="6" a="1"/>
  <c r="J120" i="6" s="1"/>
  <c r="I120" i="6" a="1"/>
  <c r="I120" i="6" s="1"/>
  <c r="H120" i="6" a="1"/>
  <c r="H120" i="6" s="1"/>
  <c r="G120" i="6" a="1"/>
  <c r="G120" i="6" s="1"/>
  <c r="F120" i="6" a="1"/>
  <c r="F120" i="6" s="1"/>
  <c r="E120" i="6" a="1"/>
  <c r="E120" i="6" s="1"/>
  <c r="D120" i="6" a="1"/>
  <c r="D120" i="6" s="1"/>
  <c r="S119" i="6" a="1"/>
  <c r="S119" i="6" s="1"/>
  <c r="R119" i="6" a="1"/>
  <c r="R119" i="6" s="1"/>
  <c r="Q119" i="6" a="1"/>
  <c r="Q119" i="6" s="1"/>
  <c r="P119" i="6" a="1"/>
  <c r="P119" i="6" s="1"/>
  <c r="O119" i="6" a="1"/>
  <c r="O119" i="6" s="1"/>
  <c r="N119" i="6" a="1"/>
  <c r="N119" i="6" s="1"/>
  <c r="M119" i="6" a="1"/>
  <c r="M119" i="6" s="1"/>
  <c r="L119" i="6" a="1"/>
  <c r="L119" i="6" s="1"/>
  <c r="K119" i="6" a="1"/>
  <c r="K119" i="6" s="1"/>
  <c r="J119" i="6" a="1"/>
  <c r="J119" i="6" s="1"/>
  <c r="I119" i="6" a="1"/>
  <c r="I119" i="6" s="1"/>
  <c r="H119" i="6" a="1"/>
  <c r="H119" i="6" s="1"/>
  <c r="G119" i="6" a="1"/>
  <c r="G119" i="6" s="1"/>
  <c r="F119" i="6" a="1"/>
  <c r="F119" i="6" s="1"/>
  <c r="E119" i="6" a="1"/>
  <c r="E119" i="6" s="1"/>
  <c r="D119" i="6" a="1"/>
  <c r="D119" i="6" s="1"/>
  <c r="S118" i="6" a="1"/>
  <c r="S118" i="6" s="1"/>
  <c r="R118" i="6"/>
  <c r="R118" i="6" a="1"/>
  <c r="Q118" i="6" a="1"/>
  <c r="Q118" i="6" s="1"/>
  <c r="P118" i="6" a="1"/>
  <c r="P118" i="6" s="1"/>
  <c r="O118" i="6" a="1"/>
  <c r="O118" i="6" s="1"/>
  <c r="N118" i="6" a="1"/>
  <c r="N118" i="6" s="1"/>
  <c r="M118" i="6" a="1"/>
  <c r="M118" i="6" s="1"/>
  <c r="L118" i="6" a="1"/>
  <c r="L118" i="6" s="1"/>
  <c r="K118" i="6" a="1"/>
  <c r="K118" i="6" s="1"/>
  <c r="J118" i="6" a="1"/>
  <c r="J118" i="6" s="1"/>
  <c r="I118" i="6" a="1"/>
  <c r="I118" i="6" s="1"/>
  <c r="H118" i="6" a="1"/>
  <c r="H118" i="6" s="1"/>
  <c r="G118" i="6" a="1"/>
  <c r="G118" i="6" s="1"/>
  <c r="F118" i="6" a="1"/>
  <c r="F118" i="6" s="1"/>
  <c r="E118" i="6" a="1"/>
  <c r="E118" i="6" s="1"/>
  <c r="D118" i="6" a="1"/>
  <c r="D118" i="6" s="1"/>
  <c r="S117" i="6" a="1"/>
  <c r="S117" i="6" s="1"/>
  <c r="R117" i="6" a="1"/>
  <c r="R117" i="6" s="1"/>
  <c r="Q117" i="6" a="1"/>
  <c r="Q117" i="6" s="1"/>
  <c r="P117" i="6" a="1"/>
  <c r="P117" i="6" s="1"/>
  <c r="O117" i="6" a="1"/>
  <c r="O117" i="6" s="1"/>
  <c r="N117" i="6" a="1"/>
  <c r="N117" i="6" s="1"/>
  <c r="M117" i="6" a="1"/>
  <c r="M117" i="6" s="1"/>
  <c r="L117" i="6" a="1"/>
  <c r="L117" i="6" s="1"/>
  <c r="K117" i="6" a="1"/>
  <c r="K117" i="6" s="1"/>
  <c r="J117" i="6"/>
  <c r="J117" i="6" a="1"/>
  <c r="I117" i="6" a="1"/>
  <c r="I117" i="6" s="1"/>
  <c r="H117" i="6" a="1"/>
  <c r="H117" i="6" s="1"/>
  <c r="G117" i="6" a="1"/>
  <c r="G117" i="6" s="1"/>
  <c r="F117" i="6" a="1"/>
  <c r="F117" i="6" s="1"/>
  <c r="E117" i="6" a="1"/>
  <c r="E117" i="6" s="1"/>
  <c r="D117" i="6" a="1"/>
  <c r="D117" i="6" s="1"/>
  <c r="S116" i="6" a="1"/>
  <c r="S116" i="6" s="1"/>
  <c r="R116" i="6" a="1"/>
  <c r="R116" i="6" s="1"/>
  <c r="Q116" i="6" a="1"/>
  <c r="Q116" i="6" s="1"/>
  <c r="P116" i="6" a="1"/>
  <c r="P116" i="6" s="1"/>
  <c r="O116" i="6" a="1"/>
  <c r="O116" i="6" s="1"/>
  <c r="N116" i="6" a="1"/>
  <c r="N116" i="6" s="1"/>
  <c r="M116" i="6" a="1"/>
  <c r="M116" i="6" s="1"/>
  <c r="L116" i="6" a="1"/>
  <c r="L116" i="6" s="1"/>
  <c r="K116" i="6" a="1"/>
  <c r="K116" i="6" s="1"/>
  <c r="J116" i="6" a="1"/>
  <c r="J116" i="6" s="1"/>
  <c r="I116" i="6" a="1"/>
  <c r="I116" i="6" s="1"/>
  <c r="H116" i="6" a="1"/>
  <c r="H116" i="6" s="1"/>
  <c r="G116" i="6" a="1"/>
  <c r="G116" i="6" s="1"/>
  <c r="F116" i="6" a="1"/>
  <c r="F116" i="6" s="1"/>
  <c r="E116" i="6" a="1"/>
  <c r="E116" i="6" s="1"/>
  <c r="D116" i="6" a="1"/>
  <c r="D116" i="6" s="1"/>
  <c r="S115" i="6" a="1"/>
  <c r="S115" i="6" s="1"/>
  <c r="R115" i="6" a="1"/>
  <c r="R115" i="6" s="1"/>
  <c r="Q115" i="6" a="1"/>
  <c r="Q115" i="6" s="1"/>
  <c r="P115" i="6" a="1"/>
  <c r="P115" i="6" s="1"/>
  <c r="O115" i="6" a="1"/>
  <c r="O115" i="6" s="1"/>
  <c r="N115" i="6" a="1"/>
  <c r="N115" i="6" s="1"/>
  <c r="M115" i="6" a="1"/>
  <c r="M115" i="6" s="1"/>
  <c r="L115" i="6" a="1"/>
  <c r="L115" i="6" s="1"/>
  <c r="K115" i="6" a="1"/>
  <c r="K115" i="6" s="1"/>
  <c r="J115" i="6" a="1"/>
  <c r="J115" i="6" s="1"/>
  <c r="I115" i="6" a="1"/>
  <c r="I115" i="6" s="1"/>
  <c r="H115" i="6" a="1"/>
  <c r="H115" i="6" s="1"/>
  <c r="G115" i="6" a="1"/>
  <c r="G115" i="6" s="1"/>
  <c r="F115" i="6" a="1"/>
  <c r="F115" i="6" s="1"/>
  <c r="E115" i="6" a="1"/>
  <c r="E115" i="6" s="1"/>
  <c r="D115" i="6" a="1"/>
  <c r="D115" i="6" s="1"/>
  <c r="S114" i="6" a="1"/>
  <c r="S114" i="6" s="1"/>
  <c r="R114" i="6" a="1"/>
  <c r="R114" i="6" s="1"/>
  <c r="Q114" i="6" a="1"/>
  <c r="Q114" i="6" s="1"/>
  <c r="P114" i="6" a="1"/>
  <c r="P114" i="6" s="1"/>
  <c r="O114" i="6" a="1"/>
  <c r="O114" i="6" s="1"/>
  <c r="N114" i="6" a="1"/>
  <c r="N114" i="6" s="1"/>
  <c r="M114" i="6" a="1"/>
  <c r="M114" i="6" s="1"/>
  <c r="L114" i="6" a="1"/>
  <c r="L114" i="6" s="1"/>
  <c r="K114" i="6" a="1"/>
  <c r="K114" i="6" s="1"/>
  <c r="J114" i="6" a="1"/>
  <c r="J114" i="6" s="1"/>
  <c r="I114" i="6" a="1"/>
  <c r="I114" i="6" s="1"/>
  <c r="H114" i="6" a="1"/>
  <c r="H114" i="6" s="1"/>
  <c r="G114" i="6" a="1"/>
  <c r="G114" i="6" s="1"/>
  <c r="F114" i="6" a="1"/>
  <c r="F114" i="6" s="1"/>
  <c r="E114" i="6" a="1"/>
  <c r="E114" i="6" s="1"/>
  <c r="D114" i="6" a="1"/>
  <c r="D114" i="6" s="1"/>
  <c r="S113" i="6" a="1"/>
  <c r="S113" i="6" s="1"/>
  <c r="R113" i="6" a="1"/>
  <c r="R113" i="6" s="1"/>
  <c r="Q113" i="6" a="1"/>
  <c r="Q113" i="6" s="1"/>
  <c r="P113" i="6" a="1"/>
  <c r="P113" i="6" s="1"/>
  <c r="O113" i="6" a="1"/>
  <c r="O113" i="6" s="1"/>
  <c r="N113" i="6" a="1"/>
  <c r="N113" i="6" s="1"/>
  <c r="M113" i="6" a="1"/>
  <c r="M113" i="6" s="1"/>
  <c r="L113" i="6" a="1"/>
  <c r="L113" i="6" s="1"/>
  <c r="K113" i="6" a="1"/>
  <c r="K113" i="6" s="1"/>
  <c r="J113" i="6" a="1"/>
  <c r="J113" i="6" s="1"/>
  <c r="I113" i="6" a="1"/>
  <c r="I113" i="6" s="1"/>
  <c r="H113" i="6" a="1"/>
  <c r="H113" i="6" s="1"/>
  <c r="G113" i="6"/>
  <c r="G113" i="6" a="1"/>
  <c r="F113" i="6" a="1"/>
  <c r="F113" i="6" s="1"/>
  <c r="E113" i="6" a="1"/>
  <c r="E113" i="6" s="1"/>
  <c r="D113" i="6" a="1"/>
  <c r="D113" i="6" s="1"/>
  <c r="S112" i="6" a="1"/>
  <c r="S112" i="6" s="1"/>
  <c r="R112" i="6" a="1"/>
  <c r="R112" i="6" s="1"/>
  <c r="Q112" i="6" a="1"/>
  <c r="Q112" i="6" s="1"/>
  <c r="P112" i="6" a="1"/>
  <c r="P112" i="6" s="1"/>
  <c r="O112" i="6" a="1"/>
  <c r="O112" i="6" s="1"/>
  <c r="N112" i="6" a="1"/>
  <c r="N112" i="6" s="1"/>
  <c r="M112" i="6" a="1"/>
  <c r="M112" i="6" s="1"/>
  <c r="L112" i="6" a="1"/>
  <c r="L112" i="6" s="1"/>
  <c r="K112" i="6" a="1"/>
  <c r="K112" i="6" s="1"/>
  <c r="J112" i="6" a="1"/>
  <c r="J112" i="6" s="1"/>
  <c r="I112" i="6" a="1"/>
  <c r="I112" i="6" s="1"/>
  <c r="H112" i="6" a="1"/>
  <c r="H112" i="6" s="1"/>
  <c r="G112" i="6" a="1"/>
  <c r="G112" i="6" s="1"/>
  <c r="F112" i="6" a="1"/>
  <c r="F112" i="6" s="1"/>
  <c r="E112" i="6" a="1"/>
  <c r="E112" i="6" s="1"/>
  <c r="D112" i="6" a="1"/>
  <c r="D112" i="6" s="1"/>
  <c r="S111" i="6" a="1"/>
  <c r="S111" i="6" s="1"/>
  <c r="R111" i="6" a="1"/>
  <c r="R111" i="6" s="1"/>
  <c r="Q111" i="6" a="1"/>
  <c r="Q111" i="6" s="1"/>
  <c r="P111" i="6" a="1"/>
  <c r="P111" i="6" s="1"/>
  <c r="O111" i="6" a="1"/>
  <c r="O111" i="6" s="1"/>
  <c r="N111" i="6" a="1"/>
  <c r="N111" i="6" s="1"/>
  <c r="M111" i="6" a="1"/>
  <c r="M111" i="6" s="1"/>
  <c r="L111" i="6" a="1"/>
  <c r="L111" i="6" s="1"/>
  <c r="K111" i="6" a="1"/>
  <c r="K111" i="6" s="1"/>
  <c r="J111" i="6" a="1"/>
  <c r="J111" i="6" s="1"/>
  <c r="I111" i="6" a="1"/>
  <c r="I111" i="6" s="1"/>
  <c r="H111" i="6" a="1"/>
  <c r="H111" i="6" s="1"/>
  <c r="G111" i="6" a="1"/>
  <c r="G111" i="6" s="1"/>
  <c r="F111" i="6" a="1"/>
  <c r="F111" i="6" s="1"/>
  <c r="E111" i="6" a="1"/>
  <c r="E111" i="6" s="1"/>
  <c r="D111" i="6" a="1"/>
  <c r="D111" i="6" s="1"/>
  <c r="S110" i="6" a="1"/>
  <c r="S110" i="6" s="1"/>
  <c r="R110" i="6" a="1"/>
  <c r="R110" i="6" s="1"/>
  <c r="Q110" i="6" a="1"/>
  <c r="Q110" i="6" s="1"/>
  <c r="P110" i="6" a="1"/>
  <c r="P110" i="6" s="1"/>
  <c r="O110" i="6" a="1"/>
  <c r="O110" i="6" s="1"/>
  <c r="N110" i="6" a="1"/>
  <c r="N110" i="6" s="1"/>
  <c r="M110" i="6" a="1"/>
  <c r="M110" i="6" s="1"/>
  <c r="L110" i="6" a="1"/>
  <c r="L110" i="6" s="1"/>
  <c r="K110" i="6" a="1"/>
  <c r="K110" i="6" s="1"/>
  <c r="J110" i="6" a="1"/>
  <c r="J110" i="6" s="1"/>
  <c r="I110" i="6" a="1"/>
  <c r="I110" i="6" s="1"/>
  <c r="H110" i="6" a="1"/>
  <c r="H110" i="6" s="1"/>
  <c r="G110" i="6" a="1"/>
  <c r="G110" i="6" s="1"/>
  <c r="F110" i="6" a="1"/>
  <c r="F110" i="6" s="1"/>
  <c r="E110" i="6" a="1"/>
  <c r="E110" i="6" s="1"/>
  <c r="D110" i="6" a="1"/>
  <c r="D110" i="6" s="1"/>
  <c r="S109" i="6" a="1"/>
  <c r="S109" i="6" s="1"/>
  <c r="R109" i="6" a="1"/>
  <c r="R109" i="6" s="1"/>
  <c r="Q109" i="6" a="1"/>
  <c r="Q109" i="6" s="1"/>
  <c r="P109" i="6" a="1"/>
  <c r="P109" i="6" s="1"/>
  <c r="O109" i="6" a="1"/>
  <c r="O109" i="6" s="1"/>
  <c r="N109" i="6" a="1"/>
  <c r="N109" i="6" s="1"/>
  <c r="M109" i="6" a="1"/>
  <c r="M109" i="6" s="1"/>
  <c r="L109" i="6" a="1"/>
  <c r="L109" i="6" s="1"/>
  <c r="K109" i="6" a="1"/>
  <c r="K109" i="6" s="1"/>
  <c r="J109" i="6" a="1"/>
  <c r="J109" i="6" s="1"/>
  <c r="I109" i="6" a="1"/>
  <c r="I109" i="6" s="1"/>
  <c r="H109" i="6" a="1"/>
  <c r="H109" i="6" s="1"/>
  <c r="G109" i="6" a="1"/>
  <c r="G109" i="6" s="1"/>
  <c r="F109" i="6" a="1"/>
  <c r="F109" i="6" s="1"/>
  <c r="E109" i="6" a="1"/>
  <c r="E109" i="6" s="1"/>
  <c r="D109" i="6" a="1"/>
  <c r="D109" i="6" s="1"/>
  <c r="S108" i="6" a="1"/>
  <c r="S108" i="6" s="1"/>
  <c r="R108" i="6" a="1"/>
  <c r="R108" i="6" s="1"/>
  <c r="Q108" i="6" a="1"/>
  <c r="Q108" i="6" s="1"/>
  <c r="P108" i="6" a="1"/>
  <c r="P108" i="6" s="1"/>
  <c r="O108" i="6" a="1"/>
  <c r="O108" i="6" s="1"/>
  <c r="N108" i="6" a="1"/>
  <c r="N108" i="6" s="1"/>
  <c r="M108" i="6" a="1"/>
  <c r="M108" i="6" s="1"/>
  <c r="L108" i="6" a="1"/>
  <c r="L108" i="6" s="1"/>
  <c r="K108" i="6" a="1"/>
  <c r="K108" i="6" s="1"/>
  <c r="J108" i="6" a="1"/>
  <c r="J108" i="6" s="1"/>
  <c r="I108" i="6" a="1"/>
  <c r="I108" i="6" s="1"/>
  <c r="H108" i="6" a="1"/>
  <c r="H108" i="6" s="1"/>
  <c r="G108" i="6" a="1"/>
  <c r="G108" i="6" s="1"/>
  <c r="F108" i="6" a="1"/>
  <c r="F108" i="6" s="1"/>
  <c r="E108" i="6" a="1"/>
  <c r="E108" i="6" s="1"/>
  <c r="D108" i="6" a="1"/>
  <c r="D108" i="6" s="1"/>
  <c r="S107" i="6" a="1"/>
  <c r="S107" i="6" s="1"/>
  <c r="R107" i="6" a="1"/>
  <c r="R107" i="6" s="1"/>
  <c r="Q107" i="6" a="1"/>
  <c r="Q107" i="6" s="1"/>
  <c r="P107" i="6" a="1"/>
  <c r="P107" i="6" s="1"/>
  <c r="O107" i="6" a="1"/>
  <c r="O107" i="6" s="1"/>
  <c r="N107" i="6" a="1"/>
  <c r="N107" i="6" s="1"/>
  <c r="M107" i="6" a="1"/>
  <c r="M107" i="6" s="1"/>
  <c r="L107" i="6" a="1"/>
  <c r="L107" i="6" s="1"/>
  <c r="K107" i="6" a="1"/>
  <c r="K107" i="6" s="1"/>
  <c r="J107" i="6" a="1"/>
  <c r="J107" i="6" s="1"/>
  <c r="I107" i="6" a="1"/>
  <c r="I107" i="6" s="1"/>
  <c r="H107" i="6" a="1"/>
  <c r="H107" i="6" s="1"/>
  <c r="G107" i="6" a="1"/>
  <c r="G107" i="6" s="1"/>
  <c r="F107" i="6" a="1"/>
  <c r="F107" i="6" s="1"/>
  <c r="E107" i="6" a="1"/>
  <c r="E107" i="6" s="1"/>
  <c r="D107" i="6" a="1"/>
  <c r="D107" i="6" s="1"/>
  <c r="S106" i="6" a="1"/>
  <c r="S106" i="6" s="1"/>
  <c r="R106" i="6" a="1"/>
  <c r="R106" i="6" s="1"/>
  <c r="Q106" i="6" a="1"/>
  <c r="Q106" i="6" s="1"/>
  <c r="P106" i="6" a="1"/>
  <c r="P106" i="6" s="1"/>
  <c r="O106" i="6" a="1"/>
  <c r="O106" i="6" s="1"/>
  <c r="N106" i="6" a="1"/>
  <c r="N106" i="6" s="1"/>
  <c r="M106" i="6" a="1"/>
  <c r="M106" i="6" s="1"/>
  <c r="L106" i="6" a="1"/>
  <c r="L106" i="6" s="1"/>
  <c r="K106" i="6" a="1"/>
  <c r="K106" i="6" s="1"/>
  <c r="J106" i="6" a="1"/>
  <c r="J106" i="6" s="1"/>
  <c r="I106" i="6" a="1"/>
  <c r="I106" i="6" s="1"/>
  <c r="H106" i="6" a="1"/>
  <c r="H106" i="6" s="1"/>
  <c r="G106" i="6" a="1"/>
  <c r="G106" i="6" s="1"/>
  <c r="F106" i="6" a="1"/>
  <c r="F106" i="6" s="1"/>
  <c r="E106" i="6" a="1"/>
  <c r="E106" i="6" s="1"/>
  <c r="D106" i="6" a="1"/>
  <c r="D106" i="6" s="1"/>
  <c r="S105" i="6" a="1"/>
  <c r="S105" i="6" s="1"/>
  <c r="R105" i="6" a="1"/>
  <c r="R105" i="6" s="1"/>
  <c r="Q105" i="6" a="1"/>
  <c r="Q105" i="6" s="1"/>
  <c r="P105" i="6" a="1"/>
  <c r="P105" i="6" s="1"/>
  <c r="O105" i="6" a="1"/>
  <c r="O105" i="6" s="1"/>
  <c r="N105" i="6" a="1"/>
  <c r="N105" i="6" s="1"/>
  <c r="M105" i="6" a="1"/>
  <c r="M105" i="6" s="1"/>
  <c r="L105" i="6" a="1"/>
  <c r="L105" i="6" s="1"/>
  <c r="K105" i="6" a="1"/>
  <c r="K105" i="6" s="1"/>
  <c r="J105" i="6" a="1"/>
  <c r="J105" i="6" s="1"/>
  <c r="I105" i="6" a="1"/>
  <c r="I105" i="6" s="1"/>
  <c r="H105" i="6" a="1"/>
  <c r="H105" i="6" s="1"/>
  <c r="G105" i="6" a="1"/>
  <c r="G105" i="6" s="1"/>
  <c r="F105" i="6" a="1"/>
  <c r="F105" i="6" s="1"/>
  <c r="E105" i="6" a="1"/>
  <c r="E105" i="6" s="1"/>
  <c r="D105" i="6" a="1"/>
  <c r="D105" i="6" s="1"/>
  <c r="S104" i="6" a="1"/>
  <c r="S104" i="6" s="1"/>
  <c r="R104" i="6" a="1"/>
  <c r="R104" i="6" s="1"/>
  <c r="Q104" i="6" a="1"/>
  <c r="Q104" i="6" s="1"/>
  <c r="P104" i="6" a="1"/>
  <c r="P104" i="6" s="1"/>
  <c r="O104" i="6" a="1"/>
  <c r="O104" i="6" s="1"/>
  <c r="N104" i="6" a="1"/>
  <c r="N104" i="6" s="1"/>
  <c r="M104" i="6" a="1"/>
  <c r="M104" i="6" s="1"/>
  <c r="L104" i="6" a="1"/>
  <c r="L104" i="6" s="1"/>
  <c r="K104" i="6" a="1"/>
  <c r="K104" i="6" s="1"/>
  <c r="J104" i="6" a="1"/>
  <c r="J104" i="6" s="1"/>
  <c r="I104" i="6" a="1"/>
  <c r="I104" i="6" s="1"/>
  <c r="H104" i="6" a="1"/>
  <c r="H104" i="6" s="1"/>
  <c r="G104" i="6" a="1"/>
  <c r="G104" i="6" s="1"/>
  <c r="F104" i="6" a="1"/>
  <c r="F104" i="6" s="1"/>
  <c r="E104" i="6" a="1"/>
  <c r="E104" i="6" s="1"/>
  <c r="D104" i="6" a="1"/>
  <c r="D104" i="6" s="1"/>
  <c r="S103" i="6" a="1"/>
  <c r="S103" i="6" s="1"/>
  <c r="R103" i="6" a="1"/>
  <c r="R103" i="6" s="1"/>
  <c r="Q103" i="6" a="1"/>
  <c r="Q103" i="6" s="1"/>
  <c r="P103" i="6" a="1"/>
  <c r="P103" i="6" s="1"/>
  <c r="O103" i="6" a="1"/>
  <c r="O103" i="6" s="1"/>
  <c r="N103" i="6" a="1"/>
  <c r="N103" i="6" s="1"/>
  <c r="M103" i="6" a="1"/>
  <c r="M103" i="6" s="1"/>
  <c r="L103" i="6" a="1"/>
  <c r="L103" i="6" s="1"/>
  <c r="K103" i="6" a="1"/>
  <c r="K103" i="6" s="1"/>
  <c r="J103" i="6" a="1"/>
  <c r="J103" i="6" s="1"/>
  <c r="I103" i="6" a="1"/>
  <c r="I103" i="6" s="1"/>
  <c r="H103" i="6" a="1"/>
  <c r="H103" i="6" s="1"/>
  <c r="G103" i="6" a="1"/>
  <c r="G103" i="6" s="1"/>
  <c r="F103" i="6" a="1"/>
  <c r="F103" i="6" s="1"/>
  <c r="E103" i="6" a="1"/>
  <c r="E103" i="6" s="1"/>
  <c r="D103" i="6" a="1"/>
  <c r="D103" i="6" s="1"/>
  <c r="S102" i="6" a="1"/>
  <c r="S102" i="6" s="1"/>
  <c r="R102" i="6" a="1"/>
  <c r="R102" i="6" s="1"/>
  <c r="Q102" i="6" a="1"/>
  <c r="Q102" i="6" s="1"/>
  <c r="P102" i="6" a="1"/>
  <c r="P102" i="6" s="1"/>
  <c r="O102" i="6" a="1"/>
  <c r="O102" i="6" s="1"/>
  <c r="N102" i="6" a="1"/>
  <c r="N102" i="6" s="1"/>
  <c r="M102" i="6" a="1"/>
  <c r="M102" i="6" s="1"/>
  <c r="L102" i="6" a="1"/>
  <c r="L102" i="6" s="1"/>
  <c r="K102" i="6" a="1"/>
  <c r="K102" i="6" s="1"/>
  <c r="J102" i="6" a="1"/>
  <c r="J102" i="6" s="1"/>
  <c r="I102" i="6" a="1"/>
  <c r="I102" i="6" s="1"/>
  <c r="H102" i="6" a="1"/>
  <c r="H102" i="6" s="1"/>
  <c r="G102" i="6" a="1"/>
  <c r="G102" i="6" s="1"/>
  <c r="F102" i="6" a="1"/>
  <c r="F102" i="6" s="1"/>
  <c r="E102" i="6" a="1"/>
  <c r="E102" i="6" s="1"/>
  <c r="D102" i="6" a="1"/>
  <c r="D102" i="6" s="1"/>
  <c r="S101" i="6" a="1"/>
  <c r="S101" i="6" s="1"/>
  <c r="R101" i="6" a="1"/>
  <c r="R101" i="6" s="1"/>
  <c r="Q101" i="6" a="1"/>
  <c r="Q101" i="6" s="1"/>
  <c r="P101" i="6" a="1"/>
  <c r="P101" i="6" s="1"/>
  <c r="O101" i="6" a="1"/>
  <c r="O101" i="6" s="1"/>
  <c r="N101" i="6" a="1"/>
  <c r="N101" i="6" s="1"/>
  <c r="M101" i="6" a="1"/>
  <c r="M101" i="6" s="1"/>
  <c r="L101" i="6" a="1"/>
  <c r="L101" i="6" s="1"/>
  <c r="K101" i="6" a="1"/>
  <c r="K101" i="6" s="1"/>
  <c r="J101" i="6" a="1"/>
  <c r="J101" i="6" s="1"/>
  <c r="I101" i="6" a="1"/>
  <c r="I101" i="6" s="1"/>
  <c r="H101" i="6" a="1"/>
  <c r="H101" i="6" s="1"/>
  <c r="G101" i="6" a="1"/>
  <c r="G101" i="6" s="1"/>
  <c r="F101" i="6" a="1"/>
  <c r="F101" i="6" s="1"/>
  <c r="E101" i="6" a="1"/>
  <c r="E101" i="6" s="1"/>
  <c r="D101" i="6" a="1"/>
  <c r="D101" i="6" s="1"/>
  <c r="S100" i="6" a="1"/>
  <c r="S100" i="6" s="1"/>
  <c r="R100" i="6" a="1"/>
  <c r="R100" i="6" s="1"/>
  <c r="Q100" i="6" a="1"/>
  <c r="Q100" i="6" s="1"/>
  <c r="P100" i="6" a="1"/>
  <c r="P100" i="6" s="1"/>
  <c r="O100" i="6" a="1"/>
  <c r="O100" i="6" s="1"/>
  <c r="N100" i="6" a="1"/>
  <c r="N100" i="6" s="1"/>
  <c r="M100" i="6" a="1"/>
  <c r="M100" i="6" s="1"/>
  <c r="L100" i="6" a="1"/>
  <c r="L100" i="6" s="1"/>
  <c r="K100" i="6" a="1"/>
  <c r="K100" i="6" s="1"/>
  <c r="J100" i="6" a="1"/>
  <c r="J100" i="6" s="1"/>
  <c r="I100" i="6" a="1"/>
  <c r="I100" i="6" s="1"/>
  <c r="H100" i="6" a="1"/>
  <c r="H100" i="6" s="1"/>
  <c r="G100" i="6" a="1"/>
  <c r="G100" i="6" s="1"/>
  <c r="F100" i="6"/>
  <c r="F100" i="6" a="1"/>
  <c r="E100" i="6" a="1"/>
  <c r="E100" i="6" s="1"/>
  <c r="D100" i="6" a="1"/>
  <c r="D100" i="6" s="1"/>
  <c r="S99" i="6" a="1"/>
  <c r="S99" i="6" s="1"/>
  <c r="R99" i="6" a="1"/>
  <c r="R99" i="6" s="1"/>
  <c r="Q99" i="6" a="1"/>
  <c r="Q99" i="6" s="1"/>
  <c r="P99" i="6" a="1"/>
  <c r="P99" i="6" s="1"/>
  <c r="O99" i="6" a="1"/>
  <c r="O99" i="6" s="1"/>
  <c r="N99" i="6" a="1"/>
  <c r="N99" i="6" s="1"/>
  <c r="M99" i="6" a="1"/>
  <c r="M99" i="6" s="1"/>
  <c r="L99" i="6" a="1"/>
  <c r="L99" i="6" s="1"/>
  <c r="K99" i="6" a="1"/>
  <c r="K99" i="6" s="1"/>
  <c r="J99" i="6" a="1"/>
  <c r="J99" i="6" s="1"/>
  <c r="I99" i="6" a="1"/>
  <c r="I99" i="6" s="1"/>
  <c r="H99" i="6" a="1"/>
  <c r="H99" i="6" s="1"/>
  <c r="G99" i="6" a="1"/>
  <c r="G99" i="6" s="1"/>
  <c r="F99" i="6" a="1"/>
  <c r="F99" i="6" s="1"/>
  <c r="E99" i="6" a="1"/>
  <c r="E99" i="6" s="1"/>
  <c r="D99" i="6" a="1"/>
  <c r="D99" i="6" s="1"/>
  <c r="S98" i="6" a="1"/>
  <c r="S98" i="6" s="1"/>
  <c r="R98" i="6"/>
  <c r="R98" i="6" a="1"/>
  <c r="Q98" i="6" a="1"/>
  <c r="Q98" i="6" s="1"/>
  <c r="P98" i="6" a="1"/>
  <c r="P98" i="6" s="1"/>
  <c r="O98" i="6" a="1"/>
  <c r="O98" i="6" s="1"/>
  <c r="N98" i="6" a="1"/>
  <c r="N98" i="6" s="1"/>
  <c r="M98" i="6" a="1"/>
  <c r="M98" i="6" s="1"/>
  <c r="L98" i="6" a="1"/>
  <c r="L98" i="6" s="1"/>
  <c r="K98" i="6" a="1"/>
  <c r="K98" i="6" s="1"/>
  <c r="J98" i="6"/>
  <c r="J98" i="6" a="1"/>
  <c r="I98" i="6" a="1"/>
  <c r="I98" i="6" s="1"/>
  <c r="H98" i="6" a="1"/>
  <c r="H98" i="6" s="1"/>
  <c r="G98" i="6" a="1"/>
  <c r="G98" i="6" s="1"/>
  <c r="F98" i="6" a="1"/>
  <c r="F98" i="6" s="1"/>
  <c r="E98" i="6" a="1"/>
  <c r="E98" i="6" s="1"/>
  <c r="D98" i="6" a="1"/>
  <c r="D98" i="6" s="1"/>
  <c r="S97" i="6" a="1"/>
  <c r="S97" i="6" s="1"/>
  <c r="R97" i="6" a="1"/>
  <c r="R97" i="6" s="1"/>
  <c r="Q97" i="6" a="1"/>
  <c r="Q97" i="6" s="1"/>
  <c r="P97" i="6" a="1"/>
  <c r="P97" i="6" s="1"/>
  <c r="O97" i="6" a="1"/>
  <c r="O97" i="6" s="1"/>
  <c r="N97" i="6" a="1"/>
  <c r="N97" i="6" s="1"/>
  <c r="M97" i="6" a="1"/>
  <c r="M97" i="6" s="1"/>
  <c r="L97" i="6" a="1"/>
  <c r="L97" i="6" s="1"/>
  <c r="K97" i="6" a="1"/>
  <c r="K97" i="6" s="1"/>
  <c r="J97" i="6" a="1"/>
  <c r="J97" i="6" s="1"/>
  <c r="I97" i="6" a="1"/>
  <c r="I97" i="6" s="1"/>
  <c r="H97" i="6" a="1"/>
  <c r="H97" i="6" s="1"/>
  <c r="G97" i="6" a="1"/>
  <c r="G97" i="6" s="1"/>
  <c r="F97" i="6"/>
  <c r="F97" i="6" a="1"/>
  <c r="E97" i="6" a="1"/>
  <c r="E97" i="6" s="1"/>
  <c r="D97" i="6" a="1"/>
  <c r="D97" i="6" s="1"/>
  <c r="S96" i="6" a="1"/>
  <c r="S96" i="6" s="1"/>
  <c r="R96" i="6" a="1"/>
  <c r="R96" i="6" s="1"/>
  <c r="Q96" i="6" a="1"/>
  <c r="Q96" i="6" s="1"/>
  <c r="P96" i="6" a="1"/>
  <c r="P96" i="6" s="1"/>
  <c r="O96" i="6" a="1"/>
  <c r="O96" i="6" s="1"/>
  <c r="N96" i="6"/>
  <c r="N96" i="6" a="1"/>
  <c r="M96" i="6" a="1"/>
  <c r="M96" i="6" s="1"/>
  <c r="L96" i="6" a="1"/>
  <c r="L96" i="6" s="1"/>
  <c r="K96" i="6" a="1"/>
  <c r="K96" i="6" s="1"/>
  <c r="J96" i="6" a="1"/>
  <c r="J96" i="6" s="1"/>
  <c r="I96" i="6" a="1"/>
  <c r="I96" i="6" s="1"/>
  <c r="H96" i="6" a="1"/>
  <c r="H96" i="6" s="1"/>
  <c r="G96" i="6" a="1"/>
  <c r="G96" i="6" s="1"/>
  <c r="F96" i="6" a="1"/>
  <c r="F96" i="6" s="1"/>
  <c r="E96" i="6" a="1"/>
  <c r="E96" i="6" s="1"/>
  <c r="D96" i="6" a="1"/>
  <c r="D96" i="6" s="1"/>
  <c r="S95" i="6" a="1"/>
  <c r="S95" i="6" s="1"/>
  <c r="R95" i="6" a="1"/>
  <c r="R95" i="6" s="1"/>
  <c r="Q95" i="6" a="1"/>
  <c r="Q95" i="6" s="1"/>
  <c r="P95" i="6" a="1"/>
  <c r="P95" i="6" s="1"/>
  <c r="O95" i="6" a="1"/>
  <c r="O95" i="6" s="1"/>
  <c r="N95" i="6" a="1"/>
  <c r="N95" i="6" s="1"/>
  <c r="M95" i="6" a="1"/>
  <c r="M95" i="6" s="1"/>
  <c r="L95" i="6" a="1"/>
  <c r="L95" i="6" s="1"/>
  <c r="K95" i="6" a="1"/>
  <c r="K95" i="6" s="1"/>
  <c r="J95" i="6"/>
  <c r="J95" i="6" a="1"/>
  <c r="I95" i="6" a="1"/>
  <c r="I95" i="6" s="1"/>
  <c r="H95" i="6" a="1"/>
  <c r="H95" i="6" s="1"/>
  <c r="G95" i="6" a="1"/>
  <c r="G95" i="6" s="1"/>
  <c r="F95" i="6" a="1"/>
  <c r="F95" i="6" s="1"/>
  <c r="E95" i="6" a="1"/>
  <c r="E95" i="6" s="1"/>
  <c r="D95" i="6" a="1"/>
  <c r="D95" i="6" s="1"/>
  <c r="S94" i="6" a="1"/>
  <c r="S94" i="6" s="1"/>
  <c r="R94" i="6" a="1"/>
  <c r="R94" i="6" s="1"/>
  <c r="Q94" i="6" a="1"/>
  <c r="Q94" i="6" s="1"/>
  <c r="P94" i="6" a="1"/>
  <c r="P94" i="6" s="1"/>
  <c r="O94" i="6" a="1"/>
  <c r="O94" i="6" s="1"/>
  <c r="N94" i="6" a="1"/>
  <c r="N94" i="6" s="1"/>
  <c r="M94" i="6" a="1"/>
  <c r="M94" i="6" s="1"/>
  <c r="L94" i="6" a="1"/>
  <c r="L94" i="6" s="1"/>
  <c r="K94" i="6" a="1"/>
  <c r="K94" i="6" s="1"/>
  <c r="J94" i="6"/>
  <c r="J94" i="6" a="1"/>
  <c r="I94" i="6" a="1"/>
  <c r="I94" i="6" s="1"/>
  <c r="H94" i="6" a="1"/>
  <c r="H94" i="6" s="1"/>
  <c r="G94" i="6" a="1"/>
  <c r="G94" i="6" s="1"/>
  <c r="F94" i="6" a="1"/>
  <c r="F94" i="6" s="1"/>
  <c r="E94" i="6" a="1"/>
  <c r="E94" i="6" s="1"/>
  <c r="D94" i="6" a="1"/>
  <c r="D94" i="6" s="1"/>
  <c r="S93" i="6" a="1"/>
  <c r="S93" i="6" s="1"/>
  <c r="R93" i="6" a="1"/>
  <c r="R93" i="6" s="1"/>
  <c r="Q93" i="6" a="1"/>
  <c r="Q93" i="6" s="1"/>
  <c r="P93" i="6" a="1"/>
  <c r="P93" i="6" s="1"/>
  <c r="O93" i="6" a="1"/>
  <c r="O93" i="6" s="1"/>
  <c r="N93" i="6" a="1"/>
  <c r="N93" i="6" s="1"/>
  <c r="M93" i="6" a="1"/>
  <c r="M93" i="6" s="1"/>
  <c r="L93" i="6" a="1"/>
  <c r="L93" i="6" s="1"/>
  <c r="K93" i="6" a="1"/>
  <c r="K93" i="6" s="1"/>
  <c r="J93" i="6" a="1"/>
  <c r="J93" i="6" s="1"/>
  <c r="I93" i="6" a="1"/>
  <c r="I93" i="6" s="1"/>
  <c r="H93" i="6" a="1"/>
  <c r="H93" i="6" s="1"/>
  <c r="G93" i="6" a="1"/>
  <c r="G93" i="6" s="1"/>
  <c r="F93" i="6"/>
  <c r="F93" i="6" a="1"/>
  <c r="E93" i="6" a="1"/>
  <c r="E93" i="6" s="1"/>
  <c r="D93" i="6" a="1"/>
  <c r="D93" i="6" s="1"/>
  <c r="S92" i="6" a="1"/>
  <c r="S92" i="6" s="1"/>
  <c r="R92" i="6" a="1"/>
  <c r="R92" i="6" s="1"/>
  <c r="Q92" i="6" a="1"/>
  <c r="Q92" i="6" s="1"/>
  <c r="P92" i="6" a="1"/>
  <c r="P92" i="6" s="1"/>
  <c r="O92" i="6" a="1"/>
  <c r="O92" i="6" s="1"/>
  <c r="N92" i="6" a="1"/>
  <c r="N92" i="6" s="1"/>
  <c r="M92" i="6" a="1"/>
  <c r="M92" i="6" s="1"/>
  <c r="L92" i="6" a="1"/>
  <c r="L92" i="6" s="1"/>
  <c r="K92" i="6" a="1"/>
  <c r="K92" i="6" s="1"/>
  <c r="J92" i="6" a="1"/>
  <c r="J92" i="6" s="1"/>
  <c r="I92" i="6" a="1"/>
  <c r="I92" i="6" s="1"/>
  <c r="H92" i="6" a="1"/>
  <c r="H92" i="6" s="1"/>
  <c r="G92" i="6" a="1"/>
  <c r="G92" i="6" s="1"/>
  <c r="F92" i="6" a="1"/>
  <c r="F92" i="6" s="1"/>
  <c r="E92" i="6" a="1"/>
  <c r="E92" i="6" s="1"/>
  <c r="D92" i="6" a="1"/>
  <c r="D92" i="6" s="1"/>
  <c r="S91" i="6" a="1"/>
  <c r="S91" i="6" s="1"/>
  <c r="R91" i="6" a="1"/>
  <c r="R91" i="6" s="1"/>
  <c r="Q91" i="6" a="1"/>
  <c r="Q91" i="6" s="1"/>
  <c r="P91" i="6" a="1"/>
  <c r="P91" i="6" s="1"/>
  <c r="O91" i="6" a="1"/>
  <c r="O91" i="6" s="1"/>
  <c r="N91" i="6" a="1"/>
  <c r="N91" i="6" s="1"/>
  <c r="M91" i="6" a="1"/>
  <c r="M91" i="6" s="1"/>
  <c r="L91" i="6" a="1"/>
  <c r="L91" i="6" s="1"/>
  <c r="K91" i="6" a="1"/>
  <c r="K91" i="6" s="1"/>
  <c r="J91" i="6" a="1"/>
  <c r="J91" i="6" s="1"/>
  <c r="I91" i="6" a="1"/>
  <c r="I91" i="6" s="1"/>
  <c r="H91" i="6" a="1"/>
  <c r="H91" i="6" s="1"/>
  <c r="G91" i="6" a="1"/>
  <c r="G91" i="6" s="1"/>
  <c r="F91" i="6" a="1"/>
  <c r="F91" i="6" s="1"/>
  <c r="E91" i="6" a="1"/>
  <c r="E91" i="6" s="1"/>
  <c r="D91" i="6" a="1"/>
  <c r="D91" i="6" s="1"/>
  <c r="S90" i="6" a="1"/>
  <c r="S90" i="6" s="1"/>
  <c r="R90" i="6" a="1"/>
  <c r="R90" i="6" s="1"/>
  <c r="Q90" i="6" a="1"/>
  <c r="Q90" i="6" s="1"/>
  <c r="P90" i="6" a="1"/>
  <c r="P90" i="6" s="1"/>
  <c r="O90" i="6" a="1"/>
  <c r="O90" i="6" s="1"/>
  <c r="N90" i="6" a="1"/>
  <c r="N90" i="6" s="1"/>
  <c r="M90" i="6" a="1"/>
  <c r="M90" i="6" s="1"/>
  <c r="L90" i="6" a="1"/>
  <c r="L90" i="6" s="1"/>
  <c r="K90" i="6" a="1"/>
  <c r="K90" i="6" s="1"/>
  <c r="J90" i="6" a="1"/>
  <c r="J90" i="6" s="1"/>
  <c r="I90" i="6" a="1"/>
  <c r="I90" i="6" s="1"/>
  <c r="H90" i="6" a="1"/>
  <c r="H90" i="6" s="1"/>
  <c r="G90" i="6" a="1"/>
  <c r="G90" i="6" s="1"/>
  <c r="F90" i="6" a="1"/>
  <c r="F90" i="6" s="1"/>
  <c r="E90" i="6" a="1"/>
  <c r="E90" i="6" s="1"/>
  <c r="D90" i="6" a="1"/>
  <c r="D90" i="6" s="1"/>
  <c r="S89" i="6" a="1"/>
  <c r="S89" i="6" s="1"/>
  <c r="R89" i="6" a="1"/>
  <c r="R89" i="6" s="1"/>
  <c r="Q89" i="6" a="1"/>
  <c r="Q89" i="6" s="1"/>
  <c r="P89" i="6" a="1"/>
  <c r="P89" i="6" s="1"/>
  <c r="O89" i="6" a="1"/>
  <c r="O89" i="6" s="1"/>
  <c r="N89" i="6" a="1"/>
  <c r="N89" i="6" s="1"/>
  <c r="M89" i="6" a="1"/>
  <c r="M89" i="6" s="1"/>
  <c r="L89" i="6" a="1"/>
  <c r="L89" i="6" s="1"/>
  <c r="K89" i="6" a="1"/>
  <c r="K89" i="6" s="1"/>
  <c r="J89" i="6" a="1"/>
  <c r="J89" i="6" s="1"/>
  <c r="I89" i="6" a="1"/>
  <c r="I89" i="6" s="1"/>
  <c r="H89" i="6" a="1"/>
  <c r="H89" i="6" s="1"/>
  <c r="G89" i="6" a="1"/>
  <c r="G89" i="6" s="1"/>
  <c r="F89" i="6" a="1"/>
  <c r="F89" i="6" s="1"/>
  <c r="E89" i="6" a="1"/>
  <c r="E89" i="6" s="1"/>
  <c r="D89" i="6" a="1"/>
  <c r="D89" i="6" s="1"/>
  <c r="S88" i="6" a="1"/>
  <c r="S88" i="6" s="1"/>
  <c r="R88" i="6" a="1"/>
  <c r="R88" i="6" s="1"/>
  <c r="Q88" i="6" a="1"/>
  <c r="Q88" i="6" s="1"/>
  <c r="P88" i="6" a="1"/>
  <c r="P88" i="6" s="1"/>
  <c r="O88" i="6" a="1"/>
  <c r="O88" i="6" s="1"/>
  <c r="N88" i="6" a="1"/>
  <c r="N88" i="6" s="1"/>
  <c r="M88" i="6" a="1"/>
  <c r="M88" i="6" s="1"/>
  <c r="L88" i="6" a="1"/>
  <c r="L88" i="6" s="1"/>
  <c r="K88" i="6" a="1"/>
  <c r="K88" i="6" s="1"/>
  <c r="J88" i="6" a="1"/>
  <c r="J88" i="6" s="1"/>
  <c r="I88" i="6" a="1"/>
  <c r="I88" i="6" s="1"/>
  <c r="H88" i="6" a="1"/>
  <c r="H88" i="6" s="1"/>
  <c r="G88" i="6" a="1"/>
  <c r="G88" i="6" s="1"/>
  <c r="F88" i="6" a="1"/>
  <c r="F88" i="6" s="1"/>
  <c r="E88" i="6" a="1"/>
  <c r="E88" i="6" s="1"/>
  <c r="D88" i="6" a="1"/>
  <c r="D88" i="6" s="1"/>
  <c r="S87" i="6" a="1"/>
  <c r="S87" i="6" s="1"/>
  <c r="R87" i="6" a="1"/>
  <c r="R87" i="6" s="1"/>
  <c r="Q87" i="6" a="1"/>
  <c r="Q87" i="6" s="1"/>
  <c r="P87" i="6" a="1"/>
  <c r="P87" i="6" s="1"/>
  <c r="O87" i="6" a="1"/>
  <c r="O87" i="6" s="1"/>
  <c r="N87" i="6" a="1"/>
  <c r="N87" i="6" s="1"/>
  <c r="M87" i="6" a="1"/>
  <c r="M87" i="6" s="1"/>
  <c r="L87" i="6" a="1"/>
  <c r="L87" i="6" s="1"/>
  <c r="K87" i="6" a="1"/>
  <c r="K87" i="6" s="1"/>
  <c r="J87" i="6" a="1"/>
  <c r="J87" i="6" s="1"/>
  <c r="I87" i="6" a="1"/>
  <c r="I87" i="6" s="1"/>
  <c r="H87" i="6" a="1"/>
  <c r="H87" i="6" s="1"/>
  <c r="G87" i="6" a="1"/>
  <c r="G87" i="6" s="1"/>
  <c r="F87" i="6" a="1"/>
  <c r="F87" i="6" s="1"/>
  <c r="E87" i="6" a="1"/>
  <c r="E87" i="6" s="1"/>
  <c r="D87" i="6" a="1"/>
  <c r="D87" i="6" s="1"/>
  <c r="S86" i="6" a="1"/>
  <c r="S86" i="6" s="1"/>
  <c r="R86" i="6" a="1"/>
  <c r="R86" i="6" s="1"/>
  <c r="Q86" i="6" a="1"/>
  <c r="Q86" i="6" s="1"/>
  <c r="P86" i="6" a="1"/>
  <c r="P86" i="6" s="1"/>
  <c r="O86" i="6" a="1"/>
  <c r="O86" i="6" s="1"/>
  <c r="N86" i="6" a="1"/>
  <c r="N86" i="6" s="1"/>
  <c r="M86" i="6" a="1"/>
  <c r="M86" i="6" s="1"/>
  <c r="L86" i="6" a="1"/>
  <c r="L86" i="6" s="1"/>
  <c r="K86" i="6" a="1"/>
  <c r="K86" i="6" s="1"/>
  <c r="J86" i="6" a="1"/>
  <c r="J86" i="6" s="1"/>
  <c r="I86" i="6" a="1"/>
  <c r="I86" i="6" s="1"/>
  <c r="H86" i="6" a="1"/>
  <c r="H86" i="6" s="1"/>
  <c r="G86" i="6" a="1"/>
  <c r="G86" i="6" s="1"/>
  <c r="F86" i="6" a="1"/>
  <c r="F86" i="6" s="1"/>
  <c r="E86" i="6" a="1"/>
  <c r="E86" i="6" s="1"/>
  <c r="D86" i="6" a="1"/>
  <c r="D86" i="6" s="1"/>
  <c r="S85" i="6" a="1"/>
  <c r="S85" i="6" s="1"/>
  <c r="R85" i="6" a="1"/>
  <c r="R85" i="6" s="1"/>
  <c r="Q85" i="6" a="1"/>
  <c r="Q85" i="6" s="1"/>
  <c r="P85" i="6" a="1"/>
  <c r="P85" i="6" s="1"/>
  <c r="O85" i="6" a="1"/>
  <c r="O85" i="6" s="1"/>
  <c r="N85" i="6" a="1"/>
  <c r="N85" i="6" s="1"/>
  <c r="M85" i="6" a="1"/>
  <c r="M85" i="6" s="1"/>
  <c r="L85" i="6" a="1"/>
  <c r="L85" i="6" s="1"/>
  <c r="K85" i="6" a="1"/>
  <c r="K85" i="6" s="1"/>
  <c r="J85" i="6" a="1"/>
  <c r="J85" i="6" s="1"/>
  <c r="I85" i="6" a="1"/>
  <c r="I85" i="6" s="1"/>
  <c r="H85" i="6" a="1"/>
  <c r="H85" i="6" s="1"/>
  <c r="G85" i="6" a="1"/>
  <c r="G85" i="6" s="1"/>
  <c r="F85" i="6" a="1"/>
  <c r="F85" i="6" s="1"/>
  <c r="E85" i="6" a="1"/>
  <c r="E85" i="6" s="1"/>
  <c r="D85" i="6" a="1"/>
  <c r="D85" i="6" s="1"/>
  <c r="S84" i="6" a="1"/>
  <c r="S84" i="6" s="1"/>
  <c r="R84" i="6" a="1"/>
  <c r="R84" i="6" s="1"/>
  <c r="Q84" i="6" a="1"/>
  <c r="Q84" i="6" s="1"/>
  <c r="P84" i="6" a="1"/>
  <c r="P84" i="6" s="1"/>
  <c r="O84" i="6" a="1"/>
  <c r="O84" i="6" s="1"/>
  <c r="N84" i="6" a="1"/>
  <c r="N84" i="6" s="1"/>
  <c r="M84" i="6" a="1"/>
  <c r="M84" i="6" s="1"/>
  <c r="L84" i="6" a="1"/>
  <c r="L84" i="6" s="1"/>
  <c r="K84" i="6" a="1"/>
  <c r="K84" i="6" s="1"/>
  <c r="J84" i="6" a="1"/>
  <c r="J84" i="6" s="1"/>
  <c r="I84" i="6" a="1"/>
  <c r="I84" i="6" s="1"/>
  <c r="H84" i="6" a="1"/>
  <c r="H84" i="6" s="1"/>
  <c r="G84" i="6" a="1"/>
  <c r="G84" i="6" s="1"/>
  <c r="F84" i="6" a="1"/>
  <c r="F84" i="6" s="1"/>
  <c r="E84" i="6" a="1"/>
  <c r="E84" i="6" s="1"/>
  <c r="D84" i="6" a="1"/>
  <c r="D84" i="6" s="1"/>
  <c r="S83" i="6" a="1"/>
  <c r="S83" i="6" s="1"/>
  <c r="R83" i="6" a="1"/>
  <c r="R83" i="6" s="1"/>
  <c r="Q83" i="6" a="1"/>
  <c r="Q83" i="6" s="1"/>
  <c r="P83" i="6" a="1"/>
  <c r="P83" i="6" s="1"/>
  <c r="O83" i="6" a="1"/>
  <c r="O83" i="6" s="1"/>
  <c r="N83" i="6" a="1"/>
  <c r="N83" i="6" s="1"/>
  <c r="M83" i="6" a="1"/>
  <c r="M83" i="6" s="1"/>
  <c r="L83" i="6" a="1"/>
  <c r="L83" i="6" s="1"/>
  <c r="K83" i="6" a="1"/>
  <c r="K83" i="6" s="1"/>
  <c r="J83" i="6" a="1"/>
  <c r="J83" i="6" s="1"/>
  <c r="I83" i="6" a="1"/>
  <c r="I83" i="6" s="1"/>
  <c r="H83" i="6" a="1"/>
  <c r="H83" i="6" s="1"/>
  <c r="G83" i="6" a="1"/>
  <c r="G83" i="6" s="1"/>
  <c r="F83" i="6" a="1"/>
  <c r="F83" i="6" s="1"/>
  <c r="E83" i="6" a="1"/>
  <c r="E83" i="6" s="1"/>
  <c r="D83" i="6" a="1"/>
  <c r="D83" i="6" s="1"/>
  <c r="S82" i="6" a="1"/>
  <c r="S82" i="6" s="1"/>
  <c r="R82" i="6" a="1"/>
  <c r="R82" i="6" s="1"/>
  <c r="Q82" i="6" a="1"/>
  <c r="Q82" i="6" s="1"/>
  <c r="P82" i="6" a="1"/>
  <c r="P82" i="6" s="1"/>
  <c r="O82" i="6" a="1"/>
  <c r="O82" i="6" s="1"/>
  <c r="N82" i="6" a="1"/>
  <c r="N82" i="6" s="1"/>
  <c r="M82" i="6" a="1"/>
  <c r="M82" i="6" s="1"/>
  <c r="L82" i="6" a="1"/>
  <c r="L82" i="6" s="1"/>
  <c r="K82" i="6" a="1"/>
  <c r="K82" i="6" s="1"/>
  <c r="J82" i="6" a="1"/>
  <c r="J82" i="6" s="1"/>
  <c r="I82" i="6" a="1"/>
  <c r="I82" i="6" s="1"/>
  <c r="H82" i="6" a="1"/>
  <c r="H82" i="6" s="1"/>
  <c r="G82" i="6" a="1"/>
  <c r="G82" i="6" s="1"/>
  <c r="F82" i="6" a="1"/>
  <c r="F82" i="6" s="1"/>
  <c r="E82" i="6" a="1"/>
  <c r="E82" i="6" s="1"/>
  <c r="D82" i="6" a="1"/>
  <c r="D82" i="6" s="1"/>
  <c r="S81" i="6" a="1"/>
  <c r="S81" i="6" s="1"/>
  <c r="R81" i="6" a="1"/>
  <c r="R81" i="6" s="1"/>
  <c r="Q81" i="6" a="1"/>
  <c r="Q81" i="6" s="1"/>
  <c r="P81" i="6" a="1"/>
  <c r="P81" i="6" s="1"/>
  <c r="O81" i="6" a="1"/>
  <c r="O81" i="6" s="1"/>
  <c r="N81" i="6" a="1"/>
  <c r="N81" i="6" s="1"/>
  <c r="M81" i="6" a="1"/>
  <c r="M81" i="6" s="1"/>
  <c r="L81" i="6" a="1"/>
  <c r="L81" i="6" s="1"/>
  <c r="K81" i="6" a="1"/>
  <c r="K81" i="6" s="1"/>
  <c r="J81" i="6" a="1"/>
  <c r="J81" i="6" s="1"/>
  <c r="I81" i="6" a="1"/>
  <c r="I81" i="6" s="1"/>
  <c r="H81" i="6" a="1"/>
  <c r="H81" i="6" s="1"/>
  <c r="G81" i="6" a="1"/>
  <c r="G81" i="6" s="1"/>
  <c r="F81" i="6" a="1"/>
  <c r="F81" i="6" s="1"/>
  <c r="E81" i="6" a="1"/>
  <c r="E81" i="6" s="1"/>
  <c r="D81" i="6" a="1"/>
  <c r="D81" i="6" s="1"/>
  <c r="S80" i="6" a="1"/>
  <c r="S80" i="6" s="1"/>
  <c r="R80" i="6" a="1"/>
  <c r="R80" i="6" s="1"/>
  <c r="Q80" i="6" a="1"/>
  <c r="Q80" i="6" s="1"/>
  <c r="P80" i="6" a="1"/>
  <c r="P80" i="6" s="1"/>
  <c r="O80" i="6" a="1"/>
  <c r="O80" i="6" s="1"/>
  <c r="N80" i="6" a="1"/>
  <c r="N80" i="6" s="1"/>
  <c r="M80" i="6" a="1"/>
  <c r="M80" i="6" s="1"/>
  <c r="L80" i="6" a="1"/>
  <c r="L80" i="6" s="1"/>
  <c r="K80" i="6" a="1"/>
  <c r="K80" i="6" s="1"/>
  <c r="J80" i="6" a="1"/>
  <c r="J80" i="6" s="1"/>
  <c r="I80" i="6" a="1"/>
  <c r="I80" i="6" s="1"/>
  <c r="H80" i="6" a="1"/>
  <c r="H80" i="6" s="1"/>
  <c r="G80" i="6" a="1"/>
  <c r="G80" i="6" s="1"/>
  <c r="F80" i="6" a="1"/>
  <c r="F80" i="6" s="1"/>
  <c r="E80" i="6" a="1"/>
  <c r="E80" i="6" s="1"/>
  <c r="D80" i="6" a="1"/>
  <c r="D80" i="6" s="1"/>
  <c r="S79" i="6" a="1"/>
  <c r="S79" i="6" s="1"/>
  <c r="R79" i="6" a="1"/>
  <c r="R79" i="6" s="1"/>
  <c r="Q79" i="6" a="1"/>
  <c r="Q79" i="6" s="1"/>
  <c r="P79" i="6" a="1"/>
  <c r="P79" i="6" s="1"/>
  <c r="O79" i="6" a="1"/>
  <c r="O79" i="6" s="1"/>
  <c r="N79" i="6" a="1"/>
  <c r="N79" i="6" s="1"/>
  <c r="M79" i="6" a="1"/>
  <c r="M79" i="6" s="1"/>
  <c r="L79" i="6" a="1"/>
  <c r="L79" i="6" s="1"/>
  <c r="K79" i="6" a="1"/>
  <c r="K79" i="6" s="1"/>
  <c r="J79" i="6" a="1"/>
  <c r="J79" i="6" s="1"/>
  <c r="I79" i="6" a="1"/>
  <c r="I79" i="6" s="1"/>
  <c r="H79" i="6" a="1"/>
  <c r="H79" i="6" s="1"/>
  <c r="G79" i="6" a="1"/>
  <c r="G79" i="6" s="1"/>
  <c r="F79" i="6" a="1"/>
  <c r="F79" i="6" s="1"/>
  <c r="E79" i="6" a="1"/>
  <c r="E79" i="6" s="1"/>
  <c r="D79" i="6" a="1"/>
  <c r="D79" i="6" s="1"/>
  <c r="S78" i="6" a="1"/>
  <c r="S78" i="6" s="1"/>
  <c r="R78" i="6" a="1"/>
  <c r="R78" i="6" s="1"/>
  <c r="Q78" i="6" a="1"/>
  <c r="Q78" i="6" s="1"/>
  <c r="P78" i="6" a="1"/>
  <c r="P78" i="6" s="1"/>
  <c r="O78" i="6" a="1"/>
  <c r="O78" i="6" s="1"/>
  <c r="N78" i="6" a="1"/>
  <c r="N78" i="6" s="1"/>
  <c r="M78" i="6" a="1"/>
  <c r="M78" i="6" s="1"/>
  <c r="L78" i="6" a="1"/>
  <c r="L78" i="6" s="1"/>
  <c r="K78" i="6" a="1"/>
  <c r="K78" i="6" s="1"/>
  <c r="J78" i="6" a="1"/>
  <c r="J78" i="6" s="1"/>
  <c r="I78" i="6" a="1"/>
  <c r="I78" i="6" s="1"/>
  <c r="H78" i="6" a="1"/>
  <c r="H78" i="6" s="1"/>
  <c r="G78" i="6" a="1"/>
  <c r="G78" i="6" s="1"/>
  <c r="F78" i="6" a="1"/>
  <c r="F78" i="6" s="1"/>
  <c r="E78" i="6" a="1"/>
  <c r="E78" i="6" s="1"/>
  <c r="D78" i="6" a="1"/>
  <c r="D78" i="6" s="1"/>
  <c r="S77" i="6" a="1"/>
  <c r="S77" i="6" s="1"/>
  <c r="R77" i="6" a="1"/>
  <c r="R77" i="6" s="1"/>
  <c r="Q77" i="6" a="1"/>
  <c r="Q77" i="6" s="1"/>
  <c r="P77" i="6" a="1"/>
  <c r="P77" i="6" s="1"/>
  <c r="O77" i="6" a="1"/>
  <c r="O77" i="6" s="1"/>
  <c r="N77" i="6" a="1"/>
  <c r="N77" i="6" s="1"/>
  <c r="M77" i="6" a="1"/>
  <c r="M77" i="6" s="1"/>
  <c r="L77" i="6" a="1"/>
  <c r="L77" i="6" s="1"/>
  <c r="K77" i="6" a="1"/>
  <c r="K77" i="6" s="1"/>
  <c r="J77" i="6" a="1"/>
  <c r="J77" i="6" s="1"/>
  <c r="I77" i="6" a="1"/>
  <c r="I77" i="6" s="1"/>
  <c r="H77" i="6" a="1"/>
  <c r="H77" i="6" s="1"/>
  <c r="G77" i="6" a="1"/>
  <c r="G77" i="6" s="1"/>
  <c r="F77" i="6" a="1"/>
  <c r="F77" i="6" s="1"/>
  <c r="E77" i="6" a="1"/>
  <c r="E77" i="6" s="1"/>
  <c r="D77" i="6" a="1"/>
  <c r="D77" i="6" s="1"/>
  <c r="S76" i="6" a="1"/>
  <c r="S76" i="6" s="1"/>
  <c r="R76" i="6" a="1"/>
  <c r="R76" i="6" s="1"/>
  <c r="Q76" i="6" a="1"/>
  <c r="Q76" i="6" s="1"/>
  <c r="P76" i="6" a="1"/>
  <c r="P76" i="6" s="1"/>
  <c r="O76" i="6" a="1"/>
  <c r="O76" i="6" s="1"/>
  <c r="N76" i="6" a="1"/>
  <c r="N76" i="6" s="1"/>
  <c r="M76" i="6" a="1"/>
  <c r="M76" i="6" s="1"/>
  <c r="L76" i="6" a="1"/>
  <c r="L76" i="6" s="1"/>
  <c r="K76" i="6" a="1"/>
  <c r="K76" i="6" s="1"/>
  <c r="J76" i="6" a="1"/>
  <c r="J76" i="6" s="1"/>
  <c r="I76" i="6" a="1"/>
  <c r="I76" i="6" s="1"/>
  <c r="H76" i="6" a="1"/>
  <c r="H76" i="6" s="1"/>
  <c r="G76" i="6" a="1"/>
  <c r="G76" i="6" s="1"/>
  <c r="F76" i="6" a="1"/>
  <c r="F76" i="6" s="1"/>
  <c r="E76" i="6" a="1"/>
  <c r="E76" i="6" s="1"/>
  <c r="D76" i="6" a="1"/>
  <c r="D76" i="6" s="1"/>
  <c r="S75" i="6" a="1"/>
  <c r="S75" i="6" s="1"/>
  <c r="R75" i="6" a="1"/>
  <c r="R75" i="6" s="1"/>
  <c r="Q75" i="6" a="1"/>
  <c r="Q75" i="6" s="1"/>
  <c r="P75" i="6" a="1"/>
  <c r="P75" i="6" s="1"/>
  <c r="O75" i="6" a="1"/>
  <c r="O75" i="6" s="1"/>
  <c r="N75" i="6" a="1"/>
  <c r="N75" i="6" s="1"/>
  <c r="M75" i="6" a="1"/>
  <c r="M75" i="6" s="1"/>
  <c r="L75" i="6" a="1"/>
  <c r="L75" i="6" s="1"/>
  <c r="K75" i="6" a="1"/>
  <c r="K75" i="6" s="1"/>
  <c r="J75" i="6" a="1"/>
  <c r="J75" i="6" s="1"/>
  <c r="I75" i="6" a="1"/>
  <c r="I75" i="6" s="1"/>
  <c r="H75" i="6" a="1"/>
  <c r="H75" i="6" s="1"/>
  <c r="G75" i="6" a="1"/>
  <c r="G75" i="6" s="1"/>
  <c r="F75" i="6" a="1"/>
  <c r="F75" i="6" s="1"/>
  <c r="E75" i="6" a="1"/>
  <c r="E75" i="6" s="1"/>
  <c r="D75" i="6" a="1"/>
  <c r="D75" i="6" s="1"/>
  <c r="S74" i="6" a="1"/>
  <c r="S74" i="6" s="1"/>
  <c r="R74" i="6" a="1"/>
  <c r="R74" i="6" s="1"/>
  <c r="Q74" i="6" a="1"/>
  <c r="Q74" i="6" s="1"/>
  <c r="P74" i="6" a="1"/>
  <c r="P74" i="6" s="1"/>
  <c r="O74" i="6" a="1"/>
  <c r="O74" i="6" s="1"/>
  <c r="N74" i="6" a="1"/>
  <c r="N74" i="6" s="1"/>
  <c r="M74" i="6" a="1"/>
  <c r="M74" i="6" s="1"/>
  <c r="L74" i="6" a="1"/>
  <c r="L74" i="6" s="1"/>
  <c r="K74" i="6" a="1"/>
  <c r="K74" i="6" s="1"/>
  <c r="J74" i="6" a="1"/>
  <c r="J74" i="6" s="1"/>
  <c r="I74" i="6" a="1"/>
  <c r="I74" i="6" s="1"/>
  <c r="H74" i="6" a="1"/>
  <c r="H74" i="6" s="1"/>
  <c r="G74" i="6" a="1"/>
  <c r="G74" i="6" s="1"/>
  <c r="F74" i="6" a="1"/>
  <c r="F74" i="6" s="1"/>
  <c r="E74" i="6" a="1"/>
  <c r="E74" i="6" s="1"/>
  <c r="D74" i="6" a="1"/>
  <c r="D74" i="6" s="1"/>
  <c r="S73" i="6" a="1"/>
  <c r="S73" i="6" s="1"/>
  <c r="R73" i="6" a="1"/>
  <c r="R73" i="6" s="1"/>
  <c r="Q73" i="6" a="1"/>
  <c r="Q73" i="6" s="1"/>
  <c r="P73" i="6" a="1"/>
  <c r="P73" i="6" s="1"/>
  <c r="O73" i="6" a="1"/>
  <c r="O73" i="6" s="1"/>
  <c r="N73" i="6" a="1"/>
  <c r="N73" i="6" s="1"/>
  <c r="M73" i="6" a="1"/>
  <c r="M73" i="6" s="1"/>
  <c r="L73" i="6" a="1"/>
  <c r="L73" i="6" s="1"/>
  <c r="K73" i="6" a="1"/>
  <c r="K73" i="6" s="1"/>
  <c r="J73" i="6" a="1"/>
  <c r="J73" i="6" s="1"/>
  <c r="I73" i="6" a="1"/>
  <c r="I73" i="6" s="1"/>
  <c r="H73" i="6" a="1"/>
  <c r="H73" i="6" s="1"/>
  <c r="G73" i="6" a="1"/>
  <c r="G73" i="6" s="1"/>
  <c r="F73" i="6" a="1"/>
  <c r="F73" i="6" s="1"/>
  <c r="E73" i="6" a="1"/>
  <c r="E73" i="6" s="1"/>
  <c r="D73" i="6" a="1"/>
  <c r="D73" i="6" s="1"/>
  <c r="S72" i="6" a="1"/>
  <c r="S72" i="6" s="1"/>
  <c r="R72" i="6" a="1"/>
  <c r="R72" i="6" s="1"/>
  <c r="Q72" i="6" a="1"/>
  <c r="Q72" i="6" s="1"/>
  <c r="P72" i="6" a="1"/>
  <c r="P72" i="6" s="1"/>
  <c r="O72" i="6" a="1"/>
  <c r="O72" i="6" s="1"/>
  <c r="N72" i="6" a="1"/>
  <c r="N72" i="6" s="1"/>
  <c r="M72" i="6" a="1"/>
  <c r="M72" i="6" s="1"/>
  <c r="L72" i="6" a="1"/>
  <c r="L72" i="6" s="1"/>
  <c r="K72" i="6" a="1"/>
  <c r="K72" i="6" s="1"/>
  <c r="J72" i="6" a="1"/>
  <c r="J72" i="6" s="1"/>
  <c r="I72" i="6" a="1"/>
  <c r="I72" i="6" s="1"/>
  <c r="H72" i="6" a="1"/>
  <c r="H72" i="6" s="1"/>
  <c r="G72" i="6" a="1"/>
  <c r="G72" i="6" s="1"/>
  <c r="F72" i="6" a="1"/>
  <c r="F72" i="6" s="1"/>
  <c r="E72" i="6" a="1"/>
  <c r="E72" i="6" s="1"/>
  <c r="D72" i="6" a="1"/>
  <c r="D72" i="6" s="1"/>
  <c r="S71" i="6" a="1"/>
  <c r="S71" i="6" s="1"/>
  <c r="R71" i="6" a="1"/>
  <c r="R71" i="6" s="1"/>
  <c r="Q71" i="6" a="1"/>
  <c r="Q71" i="6" s="1"/>
  <c r="P71" i="6" a="1"/>
  <c r="P71" i="6" s="1"/>
  <c r="O71" i="6" a="1"/>
  <c r="O71" i="6" s="1"/>
  <c r="N71" i="6" a="1"/>
  <c r="N71" i="6" s="1"/>
  <c r="M71" i="6" a="1"/>
  <c r="M71" i="6" s="1"/>
  <c r="L71" i="6" a="1"/>
  <c r="L71" i="6" s="1"/>
  <c r="K71" i="6" a="1"/>
  <c r="K71" i="6" s="1"/>
  <c r="J71" i="6" a="1"/>
  <c r="J71" i="6" s="1"/>
  <c r="I71" i="6" a="1"/>
  <c r="I71" i="6" s="1"/>
  <c r="H71" i="6" a="1"/>
  <c r="H71" i="6" s="1"/>
  <c r="G71" i="6" a="1"/>
  <c r="G71" i="6" s="1"/>
  <c r="F71" i="6" a="1"/>
  <c r="F71" i="6" s="1"/>
  <c r="E71" i="6" a="1"/>
  <c r="E71" i="6" s="1"/>
  <c r="D71" i="6" a="1"/>
  <c r="D71" i="6" s="1"/>
  <c r="S70" i="6" a="1"/>
  <c r="S70" i="6" s="1"/>
  <c r="R70" i="6" a="1"/>
  <c r="R70" i="6" s="1"/>
  <c r="Q70" i="6" a="1"/>
  <c r="Q70" i="6" s="1"/>
  <c r="P70" i="6" a="1"/>
  <c r="P70" i="6" s="1"/>
  <c r="O70" i="6" a="1"/>
  <c r="O70" i="6" s="1"/>
  <c r="N70" i="6" a="1"/>
  <c r="N70" i="6" s="1"/>
  <c r="M70" i="6" a="1"/>
  <c r="M70" i="6" s="1"/>
  <c r="L70" i="6" a="1"/>
  <c r="L70" i="6" s="1"/>
  <c r="K70" i="6" a="1"/>
  <c r="K70" i="6" s="1"/>
  <c r="J70" i="6" a="1"/>
  <c r="J70" i="6" s="1"/>
  <c r="I70" i="6" a="1"/>
  <c r="I70" i="6" s="1"/>
  <c r="H70" i="6" a="1"/>
  <c r="H70" i="6" s="1"/>
  <c r="G70" i="6" a="1"/>
  <c r="G70" i="6" s="1"/>
  <c r="F70" i="6" a="1"/>
  <c r="F70" i="6" s="1"/>
  <c r="E70" i="6" a="1"/>
  <c r="E70" i="6" s="1"/>
  <c r="D70" i="6" a="1"/>
  <c r="D70" i="6" s="1"/>
  <c r="S69" i="6" a="1"/>
  <c r="S69" i="6" s="1"/>
  <c r="R69" i="6" a="1"/>
  <c r="R69" i="6" s="1"/>
  <c r="Q69" i="6" a="1"/>
  <c r="Q69" i="6" s="1"/>
  <c r="P69" i="6" a="1"/>
  <c r="P69" i="6" s="1"/>
  <c r="O69" i="6" a="1"/>
  <c r="O69" i="6" s="1"/>
  <c r="N69" i="6" a="1"/>
  <c r="N69" i="6" s="1"/>
  <c r="M69" i="6" a="1"/>
  <c r="M69" i="6" s="1"/>
  <c r="L69" i="6" a="1"/>
  <c r="L69" i="6" s="1"/>
  <c r="K69" i="6" a="1"/>
  <c r="K69" i="6" s="1"/>
  <c r="J69" i="6" a="1"/>
  <c r="J69" i="6" s="1"/>
  <c r="I69" i="6" a="1"/>
  <c r="I69" i="6" s="1"/>
  <c r="H69" i="6" a="1"/>
  <c r="H69" i="6" s="1"/>
  <c r="G69" i="6" a="1"/>
  <c r="G69" i="6" s="1"/>
  <c r="F69" i="6" a="1"/>
  <c r="F69" i="6" s="1"/>
  <c r="E69" i="6" a="1"/>
  <c r="E69" i="6" s="1"/>
  <c r="D69" i="6" a="1"/>
  <c r="D69" i="6" s="1"/>
  <c r="S68" i="6" a="1"/>
  <c r="S68" i="6" s="1"/>
  <c r="R68" i="6" a="1"/>
  <c r="R68" i="6" s="1"/>
  <c r="Q68" i="6" a="1"/>
  <c r="Q68" i="6" s="1"/>
  <c r="P68" i="6" a="1"/>
  <c r="P68" i="6" s="1"/>
  <c r="O68" i="6" a="1"/>
  <c r="O68" i="6" s="1"/>
  <c r="N68" i="6" a="1"/>
  <c r="N68" i="6" s="1"/>
  <c r="M68" i="6" a="1"/>
  <c r="M68" i="6" s="1"/>
  <c r="L68" i="6" a="1"/>
  <c r="L68" i="6" s="1"/>
  <c r="K68" i="6" a="1"/>
  <c r="K68" i="6" s="1"/>
  <c r="J68" i="6" a="1"/>
  <c r="J68" i="6" s="1"/>
  <c r="I68" i="6" a="1"/>
  <c r="I68" i="6" s="1"/>
  <c r="H68" i="6" a="1"/>
  <c r="H68" i="6" s="1"/>
  <c r="G68" i="6" a="1"/>
  <c r="G68" i="6" s="1"/>
  <c r="F68" i="6" a="1"/>
  <c r="F68" i="6" s="1"/>
  <c r="E68" i="6" a="1"/>
  <c r="E68" i="6" s="1"/>
  <c r="D68" i="6" a="1"/>
  <c r="D68" i="6" s="1"/>
  <c r="S67" i="6" a="1"/>
  <c r="S67" i="6" s="1"/>
  <c r="R67" i="6" a="1"/>
  <c r="R67" i="6" s="1"/>
  <c r="Q67" i="6" a="1"/>
  <c r="Q67" i="6" s="1"/>
  <c r="P67" i="6" a="1"/>
  <c r="P67" i="6" s="1"/>
  <c r="O67" i="6" a="1"/>
  <c r="O67" i="6" s="1"/>
  <c r="N67" i="6" a="1"/>
  <c r="N67" i="6" s="1"/>
  <c r="M67" i="6" a="1"/>
  <c r="M67" i="6" s="1"/>
  <c r="L67" i="6" a="1"/>
  <c r="L67" i="6" s="1"/>
  <c r="K67" i="6" a="1"/>
  <c r="K67" i="6" s="1"/>
  <c r="J67" i="6" a="1"/>
  <c r="J67" i="6" s="1"/>
  <c r="I67" i="6" a="1"/>
  <c r="I67" i="6" s="1"/>
  <c r="H67" i="6" a="1"/>
  <c r="H67" i="6" s="1"/>
  <c r="G67" i="6" a="1"/>
  <c r="G67" i="6" s="1"/>
  <c r="F67" i="6" a="1"/>
  <c r="F67" i="6" s="1"/>
  <c r="E67" i="6" a="1"/>
  <c r="E67" i="6" s="1"/>
  <c r="D67" i="6" a="1"/>
  <c r="D67" i="6" s="1"/>
  <c r="S66" i="6" a="1"/>
  <c r="S66" i="6" s="1"/>
  <c r="R66" i="6" a="1"/>
  <c r="R66" i="6" s="1"/>
  <c r="Q66" i="6" a="1"/>
  <c r="Q66" i="6" s="1"/>
  <c r="P66" i="6" a="1"/>
  <c r="P66" i="6" s="1"/>
  <c r="O66" i="6" a="1"/>
  <c r="O66" i="6" s="1"/>
  <c r="N66" i="6" a="1"/>
  <c r="N66" i="6" s="1"/>
  <c r="M66" i="6" a="1"/>
  <c r="M66" i="6" s="1"/>
  <c r="L66" i="6" a="1"/>
  <c r="L66" i="6" s="1"/>
  <c r="K66" i="6" a="1"/>
  <c r="K66" i="6" s="1"/>
  <c r="J66" i="6" a="1"/>
  <c r="J66" i="6" s="1"/>
  <c r="I66" i="6" a="1"/>
  <c r="I66" i="6" s="1"/>
  <c r="H66" i="6" a="1"/>
  <c r="H66" i="6" s="1"/>
  <c r="G66" i="6" a="1"/>
  <c r="G66" i="6" s="1"/>
  <c r="F66" i="6" a="1"/>
  <c r="F66" i="6" s="1"/>
  <c r="E66" i="6" a="1"/>
  <c r="E66" i="6" s="1"/>
  <c r="D66" i="6" a="1"/>
  <c r="D66" i="6" s="1"/>
  <c r="S65" i="6" a="1"/>
  <c r="S65" i="6" s="1"/>
  <c r="R65" i="6" a="1"/>
  <c r="R65" i="6" s="1"/>
  <c r="Q65" i="6" a="1"/>
  <c r="Q65" i="6" s="1"/>
  <c r="P65" i="6" a="1"/>
  <c r="P65" i="6" s="1"/>
  <c r="O65" i="6" a="1"/>
  <c r="O65" i="6" s="1"/>
  <c r="N65" i="6" a="1"/>
  <c r="N65" i="6" s="1"/>
  <c r="M65" i="6" a="1"/>
  <c r="M65" i="6" s="1"/>
  <c r="L65" i="6" a="1"/>
  <c r="L65" i="6" s="1"/>
  <c r="K65" i="6" a="1"/>
  <c r="K65" i="6" s="1"/>
  <c r="J65" i="6" a="1"/>
  <c r="J65" i="6" s="1"/>
  <c r="I65" i="6" a="1"/>
  <c r="I65" i="6" s="1"/>
  <c r="H65" i="6" a="1"/>
  <c r="H65" i="6" s="1"/>
  <c r="G65" i="6" a="1"/>
  <c r="G65" i="6" s="1"/>
  <c r="F65" i="6" a="1"/>
  <c r="F65" i="6" s="1"/>
  <c r="E65" i="6" a="1"/>
  <c r="E65" i="6" s="1"/>
  <c r="D65" i="6" a="1"/>
  <c r="D65" i="6" s="1"/>
  <c r="S64" i="6" a="1"/>
  <c r="S64" i="6" s="1"/>
  <c r="R64" i="6" a="1"/>
  <c r="R64" i="6" s="1"/>
  <c r="Q64" i="6" a="1"/>
  <c r="Q64" i="6" s="1"/>
  <c r="P64" i="6" a="1"/>
  <c r="P64" i="6" s="1"/>
  <c r="O64" i="6" a="1"/>
  <c r="O64" i="6" s="1"/>
  <c r="N64" i="6" a="1"/>
  <c r="N64" i="6" s="1"/>
  <c r="M64" i="6" a="1"/>
  <c r="M64" i="6" s="1"/>
  <c r="L64" i="6" a="1"/>
  <c r="L64" i="6" s="1"/>
  <c r="K64" i="6" a="1"/>
  <c r="K64" i="6" s="1"/>
  <c r="J64" i="6" a="1"/>
  <c r="J64" i="6" s="1"/>
  <c r="I64" i="6" a="1"/>
  <c r="I64" i="6" s="1"/>
  <c r="H64" i="6" a="1"/>
  <c r="H64" i="6" s="1"/>
  <c r="G64" i="6" a="1"/>
  <c r="G64" i="6" s="1"/>
  <c r="F64" i="6" a="1"/>
  <c r="F64" i="6" s="1"/>
  <c r="E64" i="6" a="1"/>
  <c r="E64" i="6" s="1"/>
  <c r="D64" i="6" a="1"/>
  <c r="D64" i="6" s="1"/>
  <c r="S63" i="6" a="1"/>
  <c r="S63" i="6" s="1"/>
  <c r="R63" i="6" a="1"/>
  <c r="R63" i="6" s="1"/>
  <c r="Q63" i="6" a="1"/>
  <c r="Q63" i="6" s="1"/>
  <c r="P63" i="6" a="1"/>
  <c r="P63" i="6" s="1"/>
  <c r="O63" i="6" a="1"/>
  <c r="O63" i="6" s="1"/>
  <c r="N63" i="6" a="1"/>
  <c r="N63" i="6" s="1"/>
  <c r="M63" i="6" a="1"/>
  <c r="M63" i="6" s="1"/>
  <c r="L63" i="6" a="1"/>
  <c r="L63" i="6" s="1"/>
  <c r="K63" i="6" a="1"/>
  <c r="K63" i="6" s="1"/>
  <c r="J63" i="6" a="1"/>
  <c r="J63" i="6" s="1"/>
  <c r="I63" i="6" a="1"/>
  <c r="I63" i="6" s="1"/>
  <c r="H63" i="6" a="1"/>
  <c r="H63" i="6" s="1"/>
  <c r="G63" i="6" a="1"/>
  <c r="G63" i="6" s="1"/>
  <c r="F63" i="6" a="1"/>
  <c r="F63" i="6" s="1"/>
  <c r="E63" i="6" a="1"/>
  <c r="E63" i="6" s="1"/>
  <c r="D63" i="6" a="1"/>
  <c r="D63" i="6" s="1"/>
  <c r="S62" i="6" a="1"/>
  <c r="S62" i="6" s="1"/>
  <c r="R62" i="6" a="1"/>
  <c r="R62" i="6" s="1"/>
  <c r="Q62" i="6" a="1"/>
  <c r="Q62" i="6" s="1"/>
  <c r="P62" i="6" a="1"/>
  <c r="P62" i="6" s="1"/>
  <c r="O62" i="6" a="1"/>
  <c r="O62" i="6" s="1"/>
  <c r="N62" i="6" a="1"/>
  <c r="N62" i="6" s="1"/>
  <c r="M62" i="6" a="1"/>
  <c r="M62" i="6" s="1"/>
  <c r="L62" i="6" a="1"/>
  <c r="L62" i="6" s="1"/>
  <c r="K62" i="6" a="1"/>
  <c r="K62" i="6" s="1"/>
  <c r="J62" i="6" a="1"/>
  <c r="J62" i="6" s="1"/>
  <c r="I62" i="6" a="1"/>
  <c r="I62" i="6" s="1"/>
  <c r="H62" i="6" a="1"/>
  <c r="H62" i="6" s="1"/>
  <c r="G62" i="6" a="1"/>
  <c r="G62" i="6" s="1"/>
  <c r="F62" i="6" a="1"/>
  <c r="F62" i="6" s="1"/>
  <c r="E62" i="6" a="1"/>
  <c r="E62" i="6" s="1"/>
  <c r="D62" i="6" a="1"/>
  <c r="D62" i="6" s="1"/>
  <c r="S61" i="6" a="1"/>
  <c r="S61" i="6" s="1"/>
  <c r="R61" i="6" a="1"/>
  <c r="R61" i="6" s="1"/>
  <c r="Q61" i="6" a="1"/>
  <c r="Q61" i="6" s="1"/>
  <c r="P61" i="6" a="1"/>
  <c r="P61" i="6" s="1"/>
  <c r="O61" i="6" a="1"/>
  <c r="O61" i="6" s="1"/>
  <c r="N61" i="6" a="1"/>
  <c r="N61" i="6" s="1"/>
  <c r="M61" i="6" a="1"/>
  <c r="M61" i="6" s="1"/>
  <c r="L61" i="6" a="1"/>
  <c r="L61" i="6" s="1"/>
  <c r="K61" i="6" a="1"/>
  <c r="K61" i="6" s="1"/>
  <c r="J61" i="6" a="1"/>
  <c r="J61" i="6" s="1"/>
  <c r="I61" i="6" a="1"/>
  <c r="I61" i="6" s="1"/>
  <c r="H61" i="6" a="1"/>
  <c r="H61" i="6" s="1"/>
  <c r="G61" i="6" a="1"/>
  <c r="G61" i="6" s="1"/>
  <c r="F61" i="6" a="1"/>
  <c r="F61" i="6" s="1"/>
  <c r="E61" i="6" a="1"/>
  <c r="E61" i="6" s="1"/>
  <c r="D61" i="6" a="1"/>
  <c r="D61" i="6" s="1"/>
  <c r="S60" i="6" a="1"/>
  <c r="S60" i="6" s="1"/>
  <c r="R60" i="6" a="1"/>
  <c r="R60" i="6" s="1"/>
  <c r="Q60" i="6" a="1"/>
  <c r="Q60" i="6" s="1"/>
  <c r="P60" i="6" a="1"/>
  <c r="P60" i="6" s="1"/>
  <c r="O60" i="6" a="1"/>
  <c r="O60" i="6" s="1"/>
  <c r="N60" i="6" a="1"/>
  <c r="N60" i="6" s="1"/>
  <c r="M60" i="6" a="1"/>
  <c r="M60" i="6" s="1"/>
  <c r="L60" i="6" a="1"/>
  <c r="L60" i="6" s="1"/>
  <c r="K60" i="6" a="1"/>
  <c r="K60" i="6" s="1"/>
  <c r="J60" i="6" a="1"/>
  <c r="J60" i="6" s="1"/>
  <c r="I60" i="6" a="1"/>
  <c r="I60" i="6" s="1"/>
  <c r="H60" i="6" a="1"/>
  <c r="H60" i="6" s="1"/>
  <c r="G60" i="6" a="1"/>
  <c r="G60" i="6" s="1"/>
  <c r="F60" i="6" a="1"/>
  <c r="F60" i="6" s="1"/>
  <c r="E60" i="6" a="1"/>
  <c r="E60" i="6" s="1"/>
  <c r="D60" i="6" a="1"/>
  <c r="D60" i="6" s="1"/>
  <c r="S59" i="6" a="1"/>
  <c r="S59" i="6" s="1"/>
  <c r="R59" i="6" a="1"/>
  <c r="R59" i="6" s="1"/>
  <c r="Q59" i="6" a="1"/>
  <c r="Q59" i="6" s="1"/>
  <c r="P59" i="6" a="1"/>
  <c r="P59" i="6" s="1"/>
  <c r="O59" i="6" a="1"/>
  <c r="O59" i="6" s="1"/>
  <c r="N59" i="6" a="1"/>
  <c r="N59" i="6" s="1"/>
  <c r="M59" i="6" a="1"/>
  <c r="M59" i="6" s="1"/>
  <c r="L59" i="6" a="1"/>
  <c r="L59" i="6" s="1"/>
  <c r="K59" i="6" a="1"/>
  <c r="K59" i="6" s="1"/>
  <c r="J59" i="6" a="1"/>
  <c r="J59" i="6" s="1"/>
  <c r="I59" i="6" a="1"/>
  <c r="I59" i="6" s="1"/>
  <c r="H59" i="6" a="1"/>
  <c r="H59" i="6" s="1"/>
  <c r="G59" i="6" a="1"/>
  <c r="G59" i="6" s="1"/>
  <c r="F59" i="6" a="1"/>
  <c r="F59" i="6" s="1"/>
  <c r="E59" i="6" a="1"/>
  <c r="E59" i="6" s="1"/>
  <c r="D59" i="6" a="1"/>
  <c r="D59" i="6" s="1"/>
  <c r="S58" i="6" a="1"/>
  <c r="S58" i="6" s="1"/>
  <c r="R58" i="6" a="1"/>
  <c r="R58" i="6" s="1"/>
  <c r="Q58" i="6" a="1"/>
  <c r="Q58" i="6" s="1"/>
  <c r="P58" i="6" a="1"/>
  <c r="P58" i="6" s="1"/>
  <c r="O58" i="6" a="1"/>
  <c r="O58" i="6" s="1"/>
  <c r="N58" i="6" a="1"/>
  <c r="N58" i="6" s="1"/>
  <c r="M58" i="6" a="1"/>
  <c r="M58" i="6" s="1"/>
  <c r="L58" i="6" a="1"/>
  <c r="L58" i="6" s="1"/>
  <c r="K58" i="6" a="1"/>
  <c r="K58" i="6" s="1"/>
  <c r="J58" i="6" a="1"/>
  <c r="J58" i="6" s="1"/>
  <c r="I58" i="6" a="1"/>
  <c r="I58" i="6" s="1"/>
  <c r="H58" i="6" a="1"/>
  <c r="H58" i="6" s="1"/>
  <c r="G58" i="6" a="1"/>
  <c r="G58" i="6" s="1"/>
  <c r="F58" i="6" a="1"/>
  <c r="F58" i="6" s="1"/>
  <c r="E58" i="6" a="1"/>
  <c r="E58" i="6" s="1"/>
  <c r="D58" i="6" a="1"/>
  <c r="D58" i="6" s="1"/>
  <c r="S57" i="6" a="1"/>
  <c r="S57" i="6" s="1"/>
  <c r="R57" i="6" a="1"/>
  <c r="R57" i="6" s="1"/>
  <c r="Q57" i="6" a="1"/>
  <c r="Q57" i="6" s="1"/>
  <c r="P57" i="6" a="1"/>
  <c r="P57" i="6" s="1"/>
  <c r="O57" i="6" a="1"/>
  <c r="O57" i="6" s="1"/>
  <c r="N57" i="6" a="1"/>
  <c r="N57" i="6" s="1"/>
  <c r="M57" i="6" a="1"/>
  <c r="M57" i="6" s="1"/>
  <c r="L57" i="6" a="1"/>
  <c r="L57" i="6" s="1"/>
  <c r="K57" i="6" a="1"/>
  <c r="K57" i="6" s="1"/>
  <c r="J57" i="6" a="1"/>
  <c r="J57" i="6" s="1"/>
  <c r="I57" i="6" a="1"/>
  <c r="I57" i="6" s="1"/>
  <c r="H57" i="6" a="1"/>
  <c r="H57" i="6" s="1"/>
  <c r="G57" i="6" a="1"/>
  <c r="G57" i="6" s="1"/>
  <c r="F57" i="6" a="1"/>
  <c r="F57" i="6" s="1"/>
  <c r="E57" i="6" a="1"/>
  <c r="E57" i="6" s="1"/>
  <c r="D57" i="6" a="1"/>
  <c r="D57" i="6" s="1"/>
  <c r="S56" i="6" a="1"/>
  <c r="S56" i="6" s="1"/>
  <c r="R56" i="6" a="1"/>
  <c r="R56" i="6" s="1"/>
  <c r="Q56" i="6" a="1"/>
  <c r="Q56" i="6" s="1"/>
  <c r="P56" i="6" a="1"/>
  <c r="P56" i="6" s="1"/>
  <c r="O56" i="6" a="1"/>
  <c r="O56" i="6" s="1"/>
  <c r="N56" i="6" a="1"/>
  <c r="N56" i="6" s="1"/>
  <c r="M56" i="6" a="1"/>
  <c r="M56" i="6" s="1"/>
  <c r="L56" i="6" a="1"/>
  <c r="L56" i="6" s="1"/>
  <c r="K56" i="6" a="1"/>
  <c r="K56" i="6" s="1"/>
  <c r="J56" i="6" a="1"/>
  <c r="J56" i="6" s="1"/>
  <c r="I56" i="6" a="1"/>
  <c r="I56" i="6" s="1"/>
  <c r="H56" i="6" a="1"/>
  <c r="H56" i="6" s="1"/>
  <c r="G56" i="6" a="1"/>
  <c r="G56" i="6" s="1"/>
  <c r="F56" i="6" a="1"/>
  <c r="F56" i="6" s="1"/>
  <c r="E56" i="6" a="1"/>
  <c r="E56" i="6" s="1"/>
  <c r="D56" i="6" a="1"/>
  <c r="D56" i="6" s="1"/>
  <c r="S55" i="6" a="1"/>
  <c r="S55" i="6" s="1"/>
  <c r="R55" i="6" a="1"/>
  <c r="R55" i="6" s="1"/>
  <c r="Q55" i="6" a="1"/>
  <c r="Q55" i="6" s="1"/>
  <c r="P55" i="6" a="1"/>
  <c r="P55" i="6" s="1"/>
  <c r="O55" i="6" a="1"/>
  <c r="O55" i="6" s="1"/>
  <c r="N55" i="6" a="1"/>
  <c r="N55" i="6" s="1"/>
  <c r="M55" i="6" a="1"/>
  <c r="M55" i="6" s="1"/>
  <c r="L55" i="6" a="1"/>
  <c r="L55" i="6" s="1"/>
  <c r="K55" i="6" a="1"/>
  <c r="K55" i="6" s="1"/>
  <c r="J55" i="6" a="1"/>
  <c r="J55" i="6" s="1"/>
  <c r="I55" i="6" a="1"/>
  <c r="I55" i="6" s="1"/>
  <c r="H55" i="6" a="1"/>
  <c r="H55" i="6" s="1"/>
  <c r="G55" i="6" a="1"/>
  <c r="G55" i="6" s="1"/>
  <c r="F55" i="6" a="1"/>
  <c r="F55" i="6" s="1"/>
  <c r="E55" i="6" a="1"/>
  <c r="E55" i="6" s="1"/>
  <c r="D55" i="6" a="1"/>
  <c r="D55" i="6" s="1"/>
  <c r="S54" i="6" a="1"/>
  <c r="S54" i="6" s="1"/>
  <c r="R54" i="6" a="1"/>
  <c r="R54" i="6" s="1"/>
  <c r="Q54" i="6" a="1"/>
  <c r="Q54" i="6" s="1"/>
  <c r="P54" i="6" a="1"/>
  <c r="P54" i="6" s="1"/>
  <c r="O54" i="6" a="1"/>
  <c r="O54" i="6" s="1"/>
  <c r="N54" i="6" a="1"/>
  <c r="N54" i="6" s="1"/>
  <c r="M54" i="6" a="1"/>
  <c r="M54" i="6" s="1"/>
  <c r="L54" i="6" a="1"/>
  <c r="L54" i="6" s="1"/>
  <c r="K54" i="6" a="1"/>
  <c r="K54" i="6" s="1"/>
  <c r="J54" i="6" a="1"/>
  <c r="J54" i="6" s="1"/>
  <c r="I54" i="6" a="1"/>
  <c r="I54" i="6" s="1"/>
  <c r="H54" i="6" a="1"/>
  <c r="H54" i="6" s="1"/>
  <c r="G54" i="6" a="1"/>
  <c r="G54" i="6" s="1"/>
  <c r="F54" i="6" a="1"/>
  <c r="F54" i="6" s="1"/>
  <c r="E54" i="6" a="1"/>
  <c r="E54" i="6" s="1"/>
  <c r="D54" i="6" a="1"/>
  <c r="D54" i="6" s="1"/>
  <c r="S53" i="6" a="1"/>
  <c r="S53" i="6" s="1"/>
  <c r="R53" i="6" a="1"/>
  <c r="R53" i="6" s="1"/>
  <c r="Q53" i="6" a="1"/>
  <c r="Q53" i="6" s="1"/>
  <c r="P53" i="6" a="1"/>
  <c r="P53" i="6" s="1"/>
  <c r="O53" i="6" a="1"/>
  <c r="O53" i="6" s="1"/>
  <c r="N53" i="6" a="1"/>
  <c r="N53" i="6" s="1"/>
  <c r="M53" i="6" a="1"/>
  <c r="M53" i="6" s="1"/>
  <c r="L53" i="6" a="1"/>
  <c r="L53" i="6" s="1"/>
  <c r="K53" i="6" a="1"/>
  <c r="K53" i="6" s="1"/>
  <c r="J53" i="6" a="1"/>
  <c r="J53" i="6" s="1"/>
  <c r="I53" i="6" a="1"/>
  <c r="I53" i="6" s="1"/>
  <c r="H53" i="6" a="1"/>
  <c r="H53" i="6" s="1"/>
  <c r="G53" i="6" a="1"/>
  <c r="G53" i="6" s="1"/>
  <c r="F53" i="6" a="1"/>
  <c r="F53" i="6" s="1"/>
  <c r="E53" i="6" a="1"/>
  <c r="E53" i="6" s="1"/>
  <c r="D53" i="6" a="1"/>
  <c r="D53" i="6" s="1"/>
  <c r="S52" i="6" a="1"/>
  <c r="S52" i="6" s="1"/>
  <c r="R52" i="6" a="1"/>
  <c r="R52" i="6" s="1"/>
  <c r="Q52" i="6" a="1"/>
  <c r="Q52" i="6" s="1"/>
  <c r="P52" i="6" a="1"/>
  <c r="P52" i="6" s="1"/>
  <c r="O52" i="6" a="1"/>
  <c r="O52" i="6" s="1"/>
  <c r="N52" i="6" a="1"/>
  <c r="N52" i="6" s="1"/>
  <c r="M52" i="6" a="1"/>
  <c r="M52" i="6" s="1"/>
  <c r="L52" i="6" a="1"/>
  <c r="L52" i="6" s="1"/>
  <c r="K52" i="6" a="1"/>
  <c r="K52" i="6" s="1"/>
  <c r="J52" i="6" a="1"/>
  <c r="J52" i="6" s="1"/>
  <c r="I52" i="6" a="1"/>
  <c r="I52" i="6" s="1"/>
  <c r="H52" i="6" a="1"/>
  <c r="H52" i="6" s="1"/>
  <c r="G52" i="6" a="1"/>
  <c r="G52" i="6" s="1"/>
  <c r="F52" i="6" a="1"/>
  <c r="F52" i="6" s="1"/>
  <c r="E52" i="6" a="1"/>
  <c r="E52" i="6" s="1"/>
  <c r="D52" i="6" a="1"/>
  <c r="D52" i="6" s="1"/>
  <c r="S51" i="6" a="1"/>
  <c r="S51" i="6" s="1"/>
  <c r="R51" i="6" a="1"/>
  <c r="R51" i="6" s="1"/>
  <c r="Q51" i="6" a="1"/>
  <c r="Q51" i="6" s="1"/>
  <c r="P51" i="6" a="1"/>
  <c r="P51" i="6" s="1"/>
  <c r="O51" i="6" a="1"/>
  <c r="O51" i="6" s="1"/>
  <c r="N51" i="6" a="1"/>
  <c r="N51" i="6" s="1"/>
  <c r="M51" i="6" a="1"/>
  <c r="M51" i="6" s="1"/>
  <c r="L51" i="6" a="1"/>
  <c r="L51" i="6" s="1"/>
  <c r="K51" i="6" a="1"/>
  <c r="K51" i="6" s="1"/>
  <c r="J51" i="6" a="1"/>
  <c r="J51" i="6" s="1"/>
  <c r="I51" i="6" a="1"/>
  <c r="I51" i="6" s="1"/>
  <c r="H51" i="6" a="1"/>
  <c r="H51" i="6" s="1"/>
  <c r="G51" i="6" a="1"/>
  <c r="G51" i="6" s="1"/>
  <c r="F51" i="6" a="1"/>
  <c r="F51" i="6" s="1"/>
  <c r="E51" i="6" a="1"/>
  <c r="E51" i="6" s="1"/>
  <c r="D51" i="6" a="1"/>
  <c r="D51" i="6" s="1"/>
  <c r="S50" i="6" a="1"/>
  <c r="S50" i="6" s="1"/>
  <c r="R50" i="6" a="1"/>
  <c r="R50" i="6" s="1"/>
  <c r="Q50" i="6" a="1"/>
  <c r="Q50" i="6" s="1"/>
  <c r="P50" i="6" a="1"/>
  <c r="P50" i="6" s="1"/>
  <c r="O50" i="6" a="1"/>
  <c r="O50" i="6" s="1"/>
  <c r="N50" i="6" a="1"/>
  <c r="N50" i="6" s="1"/>
  <c r="M50" i="6" a="1"/>
  <c r="M50" i="6" s="1"/>
  <c r="L50" i="6" a="1"/>
  <c r="L50" i="6" s="1"/>
  <c r="K50" i="6" a="1"/>
  <c r="K50" i="6" s="1"/>
  <c r="J50" i="6" a="1"/>
  <c r="J50" i="6" s="1"/>
  <c r="I50" i="6" a="1"/>
  <c r="I50" i="6" s="1"/>
  <c r="H50" i="6" a="1"/>
  <c r="H50" i="6" s="1"/>
  <c r="G50" i="6" a="1"/>
  <c r="G50" i="6" s="1"/>
  <c r="F50" i="6" a="1"/>
  <c r="F50" i="6" s="1"/>
  <c r="E50" i="6" a="1"/>
  <c r="E50" i="6" s="1"/>
  <c r="D50" i="6" a="1"/>
  <c r="D50" i="6" s="1"/>
  <c r="S49" i="6" a="1"/>
  <c r="S49" i="6" s="1"/>
  <c r="R49" i="6" a="1"/>
  <c r="R49" i="6" s="1"/>
  <c r="Q49" i="6" a="1"/>
  <c r="Q49" i="6" s="1"/>
  <c r="P49" i="6" a="1"/>
  <c r="P49" i="6" s="1"/>
  <c r="O49" i="6" a="1"/>
  <c r="O49" i="6" s="1"/>
  <c r="N49" i="6" a="1"/>
  <c r="N49" i="6" s="1"/>
  <c r="M49" i="6" a="1"/>
  <c r="M49" i="6" s="1"/>
  <c r="L49" i="6" a="1"/>
  <c r="L49" i="6" s="1"/>
  <c r="K49" i="6" a="1"/>
  <c r="K49" i="6" s="1"/>
  <c r="J49" i="6" a="1"/>
  <c r="J49" i="6" s="1"/>
  <c r="I49" i="6" a="1"/>
  <c r="I49" i="6" s="1"/>
  <c r="H49" i="6" a="1"/>
  <c r="H49" i="6" s="1"/>
  <c r="G49" i="6" a="1"/>
  <c r="G49" i="6" s="1"/>
  <c r="F49" i="6" a="1"/>
  <c r="F49" i="6" s="1"/>
  <c r="E49" i="6" a="1"/>
  <c r="E49" i="6" s="1"/>
  <c r="D49" i="6" a="1"/>
  <c r="D49" i="6" s="1"/>
  <c r="S48" i="6" a="1"/>
  <c r="S48" i="6" s="1"/>
  <c r="R48" i="6" a="1"/>
  <c r="R48" i="6" s="1"/>
  <c r="Q48" i="6" a="1"/>
  <c r="Q48" i="6" s="1"/>
  <c r="P48" i="6" a="1"/>
  <c r="P48" i="6" s="1"/>
  <c r="O48" i="6" a="1"/>
  <c r="O48" i="6" s="1"/>
  <c r="N48" i="6" a="1"/>
  <c r="N48" i="6" s="1"/>
  <c r="M48" i="6" a="1"/>
  <c r="M48" i="6" s="1"/>
  <c r="L48" i="6" a="1"/>
  <c r="L48" i="6" s="1"/>
  <c r="K48" i="6" a="1"/>
  <c r="K48" i="6" s="1"/>
  <c r="J48" i="6" a="1"/>
  <c r="J48" i="6" s="1"/>
  <c r="I48" i="6" a="1"/>
  <c r="I48" i="6" s="1"/>
  <c r="H48" i="6" a="1"/>
  <c r="H48" i="6" s="1"/>
  <c r="G48" i="6" a="1"/>
  <c r="G48" i="6" s="1"/>
  <c r="F48" i="6" a="1"/>
  <c r="F48" i="6" s="1"/>
  <c r="E48" i="6" a="1"/>
  <c r="E48" i="6" s="1"/>
  <c r="D48" i="6" a="1"/>
  <c r="D48" i="6" s="1"/>
  <c r="S47" i="6" a="1"/>
  <c r="S47" i="6" s="1"/>
  <c r="R47" i="6" a="1"/>
  <c r="R47" i="6" s="1"/>
  <c r="Q47" i="6" a="1"/>
  <c r="Q47" i="6" s="1"/>
  <c r="P47" i="6" a="1"/>
  <c r="P47" i="6" s="1"/>
  <c r="O47" i="6" a="1"/>
  <c r="O47" i="6" s="1"/>
  <c r="N47" i="6" a="1"/>
  <c r="N47" i="6" s="1"/>
  <c r="M47" i="6" a="1"/>
  <c r="M47" i="6" s="1"/>
  <c r="L47" i="6" a="1"/>
  <c r="L47" i="6" s="1"/>
  <c r="K47" i="6" a="1"/>
  <c r="K47" i="6" s="1"/>
  <c r="J47" i="6" a="1"/>
  <c r="J47" i="6" s="1"/>
  <c r="I47" i="6" a="1"/>
  <c r="I47" i="6" s="1"/>
  <c r="H47" i="6" a="1"/>
  <c r="H47" i="6" s="1"/>
  <c r="G47" i="6" a="1"/>
  <c r="G47" i="6" s="1"/>
  <c r="F47" i="6" a="1"/>
  <c r="F47" i="6" s="1"/>
  <c r="E47" i="6" a="1"/>
  <c r="E47" i="6" s="1"/>
  <c r="D47" i="6" a="1"/>
  <c r="D47" i="6" s="1"/>
  <c r="S46" i="6" a="1"/>
  <c r="S46" i="6" s="1"/>
  <c r="R46" i="6" a="1"/>
  <c r="R46" i="6" s="1"/>
  <c r="Q46" i="6" a="1"/>
  <c r="Q46" i="6" s="1"/>
  <c r="P46" i="6" a="1"/>
  <c r="P46" i="6" s="1"/>
  <c r="O46" i="6" a="1"/>
  <c r="O46" i="6" s="1"/>
  <c r="N46" i="6" a="1"/>
  <c r="N46" i="6" s="1"/>
  <c r="M46" i="6" a="1"/>
  <c r="M46" i="6" s="1"/>
  <c r="L46" i="6" a="1"/>
  <c r="L46" i="6" s="1"/>
  <c r="K46" i="6" a="1"/>
  <c r="K46" i="6" s="1"/>
  <c r="J46" i="6" a="1"/>
  <c r="J46" i="6" s="1"/>
  <c r="I46" i="6" a="1"/>
  <c r="I46" i="6" s="1"/>
  <c r="H46" i="6" a="1"/>
  <c r="H46" i="6" s="1"/>
  <c r="G46" i="6" a="1"/>
  <c r="G46" i="6" s="1"/>
  <c r="F46" i="6" a="1"/>
  <c r="F46" i="6" s="1"/>
  <c r="E46" i="6" a="1"/>
  <c r="E46" i="6" s="1"/>
  <c r="D46" i="6" a="1"/>
  <c r="D46" i="6" s="1"/>
  <c r="S45" i="6" a="1"/>
  <c r="S45" i="6" s="1"/>
  <c r="R45" i="6" a="1"/>
  <c r="R45" i="6" s="1"/>
  <c r="Q45" i="6" a="1"/>
  <c r="Q45" i="6" s="1"/>
  <c r="P45" i="6" a="1"/>
  <c r="P45" i="6" s="1"/>
  <c r="O45" i="6" a="1"/>
  <c r="O45" i="6" s="1"/>
  <c r="N45" i="6" a="1"/>
  <c r="N45" i="6" s="1"/>
  <c r="M45" i="6" a="1"/>
  <c r="M45" i="6" s="1"/>
  <c r="L45" i="6" a="1"/>
  <c r="L45" i="6" s="1"/>
  <c r="K45" i="6" a="1"/>
  <c r="K45" i="6" s="1"/>
  <c r="J45" i="6" a="1"/>
  <c r="J45" i="6" s="1"/>
  <c r="I45" i="6" a="1"/>
  <c r="I45" i="6" s="1"/>
  <c r="H45" i="6" a="1"/>
  <c r="H45" i="6" s="1"/>
  <c r="G45" i="6" a="1"/>
  <c r="G45" i="6" s="1"/>
  <c r="F45" i="6" a="1"/>
  <c r="F45" i="6" s="1"/>
  <c r="E45" i="6" a="1"/>
  <c r="E45" i="6" s="1"/>
  <c r="D45" i="6" a="1"/>
  <c r="D45" i="6" s="1"/>
  <c r="S44" i="6" a="1"/>
  <c r="S44" i="6" s="1"/>
  <c r="R44" i="6" a="1"/>
  <c r="R44" i="6" s="1"/>
  <c r="Q44" i="6" a="1"/>
  <c r="Q44" i="6" s="1"/>
  <c r="P44" i="6" a="1"/>
  <c r="P44" i="6" s="1"/>
  <c r="O44" i="6" a="1"/>
  <c r="O44" i="6" s="1"/>
  <c r="N44" i="6" a="1"/>
  <c r="N44" i="6" s="1"/>
  <c r="M44" i="6" a="1"/>
  <c r="M44" i="6" s="1"/>
  <c r="L44" i="6" a="1"/>
  <c r="L44" i="6" s="1"/>
  <c r="K44" i="6" a="1"/>
  <c r="K44" i="6" s="1"/>
  <c r="J44" i="6" a="1"/>
  <c r="J44" i="6" s="1"/>
  <c r="I44" i="6" a="1"/>
  <c r="I44" i="6" s="1"/>
  <c r="H44" i="6" a="1"/>
  <c r="H44" i="6" s="1"/>
  <c r="G44" i="6" a="1"/>
  <c r="G44" i="6" s="1"/>
  <c r="F44" i="6" a="1"/>
  <c r="F44" i="6" s="1"/>
  <c r="E44" i="6" a="1"/>
  <c r="E44" i="6" s="1"/>
  <c r="D44" i="6" a="1"/>
  <c r="D44" i="6" s="1"/>
  <c r="S43" i="6" a="1"/>
  <c r="S43" i="6" s="1"/>
  <c r="R43" i="6" a="1"/>
  <c r="R43" i="6" s="1"/>
  <c r="Q43" i="6" a="1"/>
  <c r="Q43" i="6" s="1"/>
  <c r="P43" i="6" a="1"/>
  <c r="P43" i="6" s="1"/>
  <c r="O43" i="6" a="1"/>
  <c r="O43" i="6" s="1"/>
  <c r="N43" i="6" a="1"/>
  <c r="N43" i="6" s="1"/>
  <c r="M43" i="6" a="1"/>
  <c r="M43" i="6" s="1"/>
  <c r="L43" i="6" a="1"/>
  <c r="L43" i="6" s="1"/>
  <c r="K43" i="6" a="1"/>
  <c r="K43" i="6" s="1"/>
  <c r="J43" i="6" a="1"/>
  <c r="J43" i="6" s="1"/>
  <c r="I43" i="6" a="1"/>
  <c r="I43" i="6" s="1"/>
  <c r="H43" i="6" a="1"/>
  <c r="H43" i="6" s="1"/>
  <c r="G43" i="6" a="1"/>
  <c r="G43" i="6" s="1"/>
  <c r="F43" i="6" a="1"/>
  <c r="F43" i="6" s="1"/>
  <c r="E43" i="6" a="1"/>
  <c r="E43" i="6" s="1"/>
  <c r="D43" i="6" a="1"/>
  <c r="D43" i="6" s="1"/>
  <c r="S42" i="6" a="1"/>
  <c r="S42" i="6" s="1"/>
  <c r="R42" i="6" a="1"/>
  <c r="R42" i="6" s="1"/>
  <c r="Q42" i="6" a="1"/>
  <c r="Q42" i="6" s="1"/>
  <c r="P42" i="6" a="1"/>
  <c r="P42" i="6" s="1"/>
  <c r="O42" i="6" a="1"/>
  <c r="O42" i="6" s="1"/>
  <c r="N42" i="6" a="1"/>
  <c r="N42" i="6" s="1"/>
  <c r="M42" i="6" a="1"/>
  <c r="M42" i="6" s="1"/>
  <c r="L42" i="6" a="1"/>
  <c r="L42" i="6" s="1"/>
  <c r="K42" i="6" a="1"/>
  <c r="K42" i="6" s="1"/>
  <c r="J42" i="6" a="1"/>
  <c r="J42" i="6" s="1"/>
  <c r="I42" i="6" a="1"/>
  <c r="I42" i="6" s="1"/>
  <c r="H42" i="6" a="1"/>
  <c r="H42" i="6" s="1"/>
  <c r="G42" i="6" a="1"/>
  <c r="G42" i="6" s="1"/>
  <c r="F42" i="6" a="1"/>
  <c r="F42" i="6" s="1"/>
  <c r="E42" i="6" a="1"/>
  <c r="E42" i="6" s="1"/>
  <c r="D42" i="6" a="1"/>
  <c r="D42" i="6" s="1"/>
  <c r="S41" i="6" a="1"/>
  <c r="S41" i="6" s="1"/>
  <c r="R41" i="6" a="1"/>
  <c r="R41" i="6" s="1"/>
  <c r="Q41" i="6" a="1"/>
  <c r="Q41" i="6" s="1"/>
  <c r="P41" i="6" a="1"/>
  <c r="P41" i="6" s="1"/>
  <c r="O41" i="6" a="1"/>
  <c r="O41" i="6" s="1"/>
  <c r="N41" i="6" a="1"/>
  <c r="N41" i="6" s="1"/>
  <c r="M41" i="6" a="1"/>
  <c r="M41" i="6" s="1"/>
  <c r="L41" i="6" a="1"/>
  <c r="L41" i="6" s="1"/>
  <c r="K41" i="6" a="1"/>
  <c r="K41" i="6" s="1"/>
  <c r="J41" i="6" a="1"/>
  <c r="J41" i="6" s="1"/>
  <c r="I41" i="6" a="1"/>
  <c r="I41" i="6" s="1"/>
  <c r="H41" i="6" a="1"/>
  <c r="H41" i="6" s="1"/>
  <c r="G41" i="6" a="1"/>
  <c r="G41" i="6" s="1"/>
  <c r="F41" i="6" a="1"/>
  <c r="F41" i="6" s="1"/>
  <c r="E41" i="6" a="1"/>
  <c r="E41" i="6" s="1"/>
  <c r="D41" i="6" a="1"/>
  <c r="D41" i="6" s="1"/>
  <c r="AE40" i="6" a="1"/>
  <c r="AE40" i="6" s="1"/>
  <c r="S40" i="6" a="1"/>
  <c r="S40" i="6" s="1"/>
  <c r="R40" i="6" a="1"/>
  <c r="R40" i="6" s="1"/>
  <c r="Q40" i="6" a="1"/>
  <c r="Q40" i="6" s="1"/>
  <c r="P40" i="6" a="1"/>
  <c r="P40" i="6" s="1"/>
  <c r="O40" i="6" a="1"/>
  <c r="O40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G40" i="6" a="1"/>
  <c r="G40" i="6" s="1"/>
  <c r="F40" i="6" a="1"/>
  <c r="F40" i="6" s="1"/>
  <c r="E40" i="6" a="1"/>
  <c r="E40" i="6" s="1"/>
  <c r="D40" i="6" a="1"/>
  <c r="D40" i="6" s="1"/>
  <c r="S39" i="6" a="1"/>
  <c r="S39" i="6" s="1"/>
  <c r="R39" i="6" a="1"/>
  <c r="R39" i="6" s="1"/>
  <c r="Q39" i="6" a="1"/>
  <c r="Q39" i="6" s="1"/>
  <c r="P39" i="6" a="1"/>
  <c r="P39" i="6" s="1"/>
  <c r="O39" i="6" a="1"/>
  <c r="O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AA38" i="6" a="1"/>
  <c r="AA38" i="6" s="1"/>
  <c r="S38" i="6" a="1"/>
  <c r="S38" i="6" s="1"/>
  <c r="R38" i="6" a="1"/>
  <c r="R38" i="6" s="1"/>
  <c r="Q38" i="6" a="1"/>
  <c r="Q38" i="6" s="1"/>
  <c r="P38" i="6" a="1"/>
  <c r="P38" i="6" s="1"/>
  <c r="O38" i="6" a="1"/>
  <c r="O38" i="6" s="1"/>
  <c r="N38" i="6" a="1"/>
  <c r="N38" i="6" s="1"/>
  <c r="M38" i="6" a="1"/>
  <c r="M38" i="6" s="1"/>
  <c r="L38" i="6" a="1"/>
  <c r="L38" i="6" s="1"/>
  <c r="K38" i="6" a="1"/>
  <c r="K38" i="6" s="1"/>
  <c r="J38" i="6" a="1"/>
  <c r="J38" i="6" s="1"/>
  <c r="I38" i="6" a="1"/>
  <c r="I38" i="6" s="1"/>
  <c r="H38" i="6" a="1"/>
  <c r="H38" i="6" s="1"/>
  <c r="G38" i="6" a="1"/>
  <c r="G38" i="6" s="1"/>
  <c r="F38" i="6" a="1"/>
  <c r="F38" i="6" s="1"/>
  <c r="E38" i="6" a="1"/>
  <c r="E38" i="6" s="1"/>
  <c r="D38" i="6" a="1"/>
  <c r="D38" i="6" s="1"/>
  <c r="S37" i="6" a="1"/>
  <c r="S37" i="6" s="1"/>
  <c r="R37" i="6" a="1"/>
  <c r="R37" i="6" s="1"/>
  <c r="Q37" i="6" a="1"/>
  <c r="Q37" i="6" s="1"/>
  <c r="P37" i="6" a="1"/>
  <c r="P37" i="6" s="1"/>
  <c r="O37" i="6" a="1"/>
  <c r="O37" i="6" s="1"/>
  <c r="N37" i="6" a="1"/>
  <c r="N37" i="6" s="1"/>
  <c r="M37" i="6" a="1"/>
  <c r="M37" i="6" s="1"/>
  <c r="L37" i="6" a="1"/>
  <c r="L37" i="6" s="1"/>
  <c r="K37" i="6" a="1"/>
  <c r="K37" i="6" s="1"/>
  <c r="J37" i="6" a="1"/>
  <c r="J37" i="6" s="1"/>
  <c r="I37" i="6" a="1"/>
  <c r="I37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S36" i="6" a="1"/>
  <c r="S36" i="6" s="1"/>
  <c r="R36" i="6" a="1"/>
  <c r="R36" i="6" s="1"/>
  <c r="Q36" i="6" a="1"/>
  <c r="Q36" i="6" s="1"/>
  <c r="P36" i="6" a="1"/>
  <c r="P36" i="6" s="1"/>
  <c r="O36" i="6" a="1"/>
  <c r="O36" i="6" s="1"/>
  <c r="N36" i="6" a="1"/>
  <c r="N36" i="6" s="1"/>
  <c r="M36" i="6" a="1"/>
  <c r="M36" i="6" s="1"/>
  <c r="L36" i="6" a="1"/>
  <c r="L36" i="6" s="1"/>
  <c r="K36" i="6" a="1"/>
  <c r="K36" i="6" s="1"/>
  <c r="J36" i="6" a="1"/>
  <c r="J36" i="6" s="1"/>
  <c r="I36" i="6" a="1"/>
  <c r="I36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S35" i="6" a="1"/>
  <c r="S35" i="6" s="1"/>
  <c r="R35" i="6" a="1"/>
  <c r="R35" i="6" s="1"/>
  <c r="Q35" i="6" a="1"/>
  <c r="Q35" i="6" s="1"/>
  <c r="P35" i="6" a="1"/>
  <c r="P35" i="6" s="1"/>
  <c r="O35" i="6" a="1"/>
  <c r="O35" i="6" s="1"/>
  <c r="N35" i="6" a="1"/>
  <c r="N35" i="6" s="1"/>
  <c r="M35" i="6" a="1"/>
  <c r="M35" i="6" s="1"/>
  <c r="L35" i="6" a="1"/>
  <c r="L35" i="6" s="1"/>
  <c r="K35" i="6" a="1"/>
  <c r="K35" i="6" s="1"/>
  <c r="J35" i="6" a="1"/>
  <c r="J35" i="6" s="1"/>
  <c r="I35" i="6" a="1"/>
  <c r="I35" i="6" s="1"/>
  <c r="H35" i="6" a="1"/>
  <c r="H35" i="6" s="1"/>
  <c r="G35" i="6" a="1"/>
  <c r="G35" i="6" s="1"/>
  <c r="F35" i="6" a="1"/>
  <c r="F35" i="6" s="1"/>
  <c r="E35" i="6" a="1"/>
  <c r="E35" i="6" s="1"/>
  <c r="D35" i="6" a="1"/>
  <c r="D35" i="6" s="1"/>
  <c r="S34" i="6" a="1"/>
  <c r="S34" i="6" s="1"/>
  <c r="R34" i="6" a="1"/>
  <c r="R34" i="6" s="1"/>
  <c r="Q34" i="6" a="1"/>
  <c r="Q34" i="6" s="1"/>
  <c r="P34" i="6" a="1"/>
  <c r="P34" i="6" s="1"/>
  <c r="O34" i="6" a="1"/>
  <c r="O34" i="6" s="1"/>
  <c r="N34" i="6" a="1"/>
  <c r="N34" i="6" s="1"/>
  <c r="M34" i="6" a="1"/>
  <c r="M34" i="6" s="1"/>
  <c r="L34" i="6" a="1"/>
  <c r="L34" i="6" s="1"/>
  <c r="K34" i="6" a="1"/>
  <c r="K34" i="6" s="1"/>
  <c r="J34" i="6" a="1"/>
  <c r="J34" i="6" s="1"/>
  <c r="I34" i="6" a="1"/>
  <c r="I34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S33" i="6" a="1"/>
  <c r="S33" i="6" s="1"/>
  <c r="R33" i="6" a="1"/>
  <c r="R33" i="6" s="1"/>
  <c r="Q33" i="6" a="1"/>
  <c r="Q33" i="6" s="1"/>
  <c r="P33" i="6" a="1"/>
  <c r="P33" i="6" s="1"/>
  <c r="O33" i="6" a="1"/>
  <c r="O33" i="6" s="1"/>
  <c r="N33" i="6" a="1"/>
  <c r="N33" i="6" s="1"/>
  <c r="M33" i="6" a="1"/>
  <c r="M33" i="6" s="1"/>
  <c r="L33" i="6" a="1"/>
  <c r="L33" i="6" s="1"/>
  <c r="K33" i="6" a="1"/>
  <c r="K33" i="6" s="1"/>
  <c r="J33" i="6" a="1"/>
  <c r="J33" i="6" s="1"/>
  <c r="I33" i="6" a="1"/>
  <c r="I33" i="6" s="1"/>
  <c r="H33" i="6" a="1"/>
  <c r="H33" i="6" s="1"/>
  <c r="G33" i="6" a="1"/>
  <c r="G33" i="6" s="1"/>
  <c r="F33" i="6" a="1"/>
  <c r="F33" i="6" s="1"/>
  <c r="E33" i="6" a="1"/>
  <c r="E33" i="6" s="1"/>
  <c r="D33" i="6" a="1"/>
  <c r="D33" i="6" s="1"/>
  <c r="S32" i="6" a="1"/>
  <c r="S32" i="6" s="1"/>
  <c r="R32" i="6" a="1"/>
  <c r="R32" i="6" s="1"/>
  <c r="Q32" i="6" a="1"/>
  <c r="Q32" i="6" s="1"/>
  <c r="P32" i="6" a="1"/>
  <c r="P32" i="6" s="1"/>
  <c r="O32" i="6" a="1"/>
  <c r="O32" i="6" s="1"/>
  <c r="N32" i="6" a="1"/>
  <c r="N32" i="6" s="1"/>
  <c r="M32" i="6" a="1"/>
  <c r="M32" i="6" s="1"/>
  <c r="L32" i="6" a="1"/>
  <c r="L32" i="6" s="1"/>
  <c r="K32" i="6" a="1"/>
  <c r="K32" i="6" s="1"/>
  <c r="J32" i="6" a="1"/>
  <c r="J32" i="6" s="1"/>
  <c r="I32" i="6" a="1"/>
  <c r="I32" i="6" s="1"/>
  <c r="H32" i="6" a="1"/>
  <c r="H32" i="6" s="1"/>
  <c r="G32" i="6" a="1"/>
  <c r="G32" i="6" s="1"/>
  <c r="F32" i="6" a="1"/>
  <c r="F32" i="6" s="1"/>
  <c r="E32" i="6" a="1"/>
  <c r="E32" i="6" s="1"/>
  <c r="D32" i="6" a="1"/>
  <c r="D32" i="6" s="1"/>
  <c r="S31" i="6" a="1"/>
  <c r="S31" i="6" s="1"/>
  <c r="R31" i="6" a="1"/>
  <c r="R31" i="6" s="1"/>
  <c r="Q31" i="6" a="1"/>
  <c r="Q31" i="6" s="1"/>
  <c r="P31" i="6" a="1"/>
  <c r="P31" i="6" s="1"/>
  <c r="O31" i="6" a="1"/>
  <c r="O31" i="6" s="1"/>
  <c r="N31" i="6" a="1"/>
  <c r="N31" i="6" s="1"/>
  <c r="M31" i="6" a="1"/>
  <c r="M31" i="6" s="1"/>
  <c r="L31" i="6" a="1"/>
  <c r="L31" i="6" s="1"/>
  <c r="K31" i="6" a="1"/>
  <c r="K31" i="6" s="1"/>
  <c r="J31" i="6" a="1"/>
  <c r="J31" i="6" s="1"/>
  <c r="I31" i="6" a="1"/>
  <c r="I31" i="6" s="1"/>
  <c r="H31" i="6" a="1"/>
  <c r="H31" i="6" s="1"/>
  <c r="G31" i="6" a="1"/>
  <c r="G31" i="6" s="1"/>
  <c r="F31" i="6" a="1"/>
  <c r="F31" i="6" s="1"/>
  <c r="E31" i="6" a="1"/>
  <c r="E31" i="6" s="1"/>
  <c r="D31" i="6" a="1"/>
  <c r="D31" i="6" s="1"/>
  <c r="S30" i="6" a="1"/>
  <c r="S30" i="6" s="1"/>
  <c r="R30" i="6" a="1"/>
  <c r="R30" i="6" s="1"/>
  <c r="Q30" i="6" a="1"/>
  <c r="Q30" i="6" s="1"/>
  <c r="P30" i="6" a="1"/>
  <c r="P30" i="6" s="1"/>
  <c r="O30" i="6" a="1"/>
  <c r="O30" i="6" s="1"/>
  <c r="N30" i="6" a="1"/>
  <c r="N30" i="6" s="1"/>
  <c r="M30" i="6" a="1"/>
  <c r="M30" i="6" s="1"/>
  <c r="L30" i="6" a="1"/>
  <c r="L30" i="6" s="1"/>
  <c r="K30" i="6" a="1"/>
  <c r="K30" i="6" s="1"/>
  <c r="J30" i="6" a="1"/>
  <c r="J30" i="6" s="1"/>
  <c r="I30" i="6" a="1"/>
  <c r="I30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AC29" i="6" a="1"/>
  <c r="AC29" i="6" s="1"/>
  <c r="S29" i="6" a="1"/>
  <c r="S29" i="6" s="1"/>
  <c r="R29" i="6" a="1"/>
  <c r="R29" i="6" s="1"/>
  <c r="Q29" i="6" a="1"/>
  <c r="Q29" i="6" s="1"/>
  <c r="P29" i="6" a="1"/>
  <c r="P29" i="6" s="1"/>
  <c r="O29" i="6" a="1"/>
  <c r="O29" i="6" s="1"/>
  <c r="N29" i="6" a="1"/>
  <c r="N29" i="6" s="1"/>
  <c r="M29" i="6" a="1"/>
  <c r="M29" i="6" s="1"/>
  <c r="L29" i="6" a="1"/>
  <c r="L29" i="6" s="1"/>
  <c r="K29" i="6" a="1"/>
  <c r="K29" i="6" s="1"/>
  <c r="J29" i="6" a="1"/>
  <c r="J29" i="6" s="1"/>
  <c r="I29" i="6" a="1"/>
  <c r="I29" i="6" s="1"/>
  <c r="H29" i="6" a="1"/>
  <c r="H29" i="6" s="1"/>
  <c r="G29" i="6" a="1"/>
  <c r="G29" i="6" s="1"/>
  <c r="F29" i="6" a="1"/>
  <c r="F29" i="6" s="1"/>
  <c r="E29" i="6" a="1"/>
  <c r="E29" i="6" s="1"/>
  <c r="D29" i="6" a="1"/>
  <c r="D29" i="6" s="1"/>
  <c r="S28" i="6" a="1"/>
  <c r="S28" i="6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 a="1"/>
  <c r="G28" i="6" s="1"/>
  <c r="F28" i="6" a="1"/>
  <c r="F28" i="6" s="1"/>
  <c r="E28" i="6" a="1"/>
  <c r="E28" i="6" s="1"/>
  <c r="D28" i="6" a="1"/>
  <c r="D28" i="6" s="1"/>
  <c r="AC27" i="6" a="1"/>
  <c r="AC27" i="6" s="1"/>
  <c r="S27" i="6" a="1"/>
  <c r="S27" i="6" s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G27" i="6" a="1"/>
  <c r="G27" i="6" s="1"/>
  <c r="F27" i="6" a="1"/>
  <c r="F27" i="6" s="1"/>
  <c r="E27" i="6" a="1"/>
  <c r="E27" i="6" s="1"/>
  <c r="D27" i="6" a="1"/>
  <c r="D27" i="6" s="1"/>
  <c r="AA26" i="6" a="1"/>
  <c r="AA26" i="6" s="1"/>
  <c r="S26" i="6" a="1"/>
  <c r="S26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F26" i="6" a="1"/>
  <c r="F26" i="6" s="1"/>
  <c r="E26" i="6" a="1"/>
  <c r="E26" i="6" s="1"/>
  <c r="D26" i="6" a="1"/>
  <c r="D26" i="6" s="1"/>
  <c r="S25" i="6" a="1"/>
  <c r="S25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AE24" i="6" a="1"/>
  <c r="AE24" i="6" s="1"/>
  <c r="S24" i="6" a="1"/>
  <c r="S24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F24" i="6" a="1"/>
  <c r="F24" i="6" s="1"/>
  <c r="E24" i="6" a="1"/>
  <c r="E24" i="6" s="1"/>
  <c r="D24" i="6" a="1"/>
  <c r="D24" i="6" s="1"/>
  <c r="AC23" i="6" a="1"/>
  <c r="AC23" i="6" s="1"/>
  <c r="S23" i="6" a="1"/>
  <c r="S23" i="6" s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F23" i="6" a="1"/>
  <c r="F23" i="6" s="1"/>
  <c r="E23" i="6" a="1"/>
  <c r="E23" i="6" s="1"/>
  <c r="D23" i="6" a="1"/>
  <c r="D23" i="6" s="1"/>
  <c r="AA22" i="6" a="1"/>
  <c r="AA22" i="6" s="1"/>
  <c r="S22" i="6" a="1"/>
  <c r="S22" i="6" s="1"/>
  <c r="R22" i="6" a="1"/>
  <c r="R22" i="6" s="1"/>
  <c r="Q22" i="6" a="1"/>
  <c r="Q22" i="6" s="1"/>
  <c r="P22" i="6" a="1"/>
  <c r="P22" i="6" s="1"/>
  <c r="O22" i="6" a="1"/>
  <c r="O22" i="6" s="1"/>
  <c r="N22" i="6" a="1"/>
  <c r="N22" i="6" s="1"/>
  <c r="M22" i="6" a="1"/>
  <c r="M22" i="6" s="1"/>
  <c r="L22" i="6" a="1"/>
  <c r="L22" i="6" s="1"/>
  <c r="K22" i="6" a="1"/>
  <c r="K22" i="6" s="1"/>
  <c r="J22" i="6" a="1"/>
  <c r="J22" i="6" s="1"/>
  <c r="I22" i="6" a="1"/>
  <c r="I22" i="6" s="1"/>
  <c r="H22" i="6" a="1"/>
  <c r="H22" i="6" s="1"/>
  <c r="G22" i="6" a="1"/>
  <c r="G22" i="6" s="1"/>
  <c r="F22" i="6" a="1"/>
  <c r="F22" i="6" s="1"/>
  <c r="E22" i="6" a="1"/>
  <c r="E22" i="6" s="1"/>
  <c r="D22" i="6" a="1"/>
  <c r="D22" i="6" s="1"/>
  <c r="S21" i="6" a="1"/>
  <c r="S21" i="6" s="1"/>
  <c r="R21" i="6" a="1"/>
  <c r="R21" i="6" s="1"/>
  <c r="Q21" i="6" a="1"/>
  <c r="Q21" i="6" s="1"/>
  <c r="P21" i="6" a="1"/>
  <c r="P21" i="6" s="1"/>
  <c r="O21" i="6" a="1"/>
  <c r="O21" i="6" s="1"/>
  <c r="N21" i="6" a="1"/>
  <c r="N21" i="6" s="1"/>
  <c r="M21" i="6" a="1"/>
  <c r="M21" i="6" s="1"/>
  <c r="L21" i="6" a="1"/>
  <c r="L21" i="6" s="1"/>
  <c r="K21" i="6" a="1"/>
  <c r="K21" i="6" s="1"/>
  <c r="J21" i="6" a="1"/>
  <c r="J21" i="6" s="1"/>
  <c r="I21" i="6" a="1"/>
  <c r="I21" i="6" s="1"/>
  <c r="H21" i="6" a="1"/>
  <c r="H21" i="6" s="1"/>
  <c r="G21" i="6" a="1"/>
  <c r="G21" i="6" s="1"/>
  <c r="F21" i="6" a="1"/>
  <c r="F21" i="6" s="1"/>
  <c r="E21" i="6" a="1"/>
  <c r="E21" i="6" s="1"/>
  <c r="D21" i="6" a="1"/>
  <c r="D21" i="6" s="1"/>
  <c r="AE20" i="6" a="1"/>
  <c r="AE20" i="6" s="1"/>
  <c r="S20" i="6" a="1"/>
  <c r="S20" i="6" s="1"/>
  <c r="R20" i="6" a="1"/>
  <c r="R20" i="6" s="1"/>
  <c r="Q20" i="6" a="1"/>
  <c r="Q20" i="6" s="1"/>
  <c r="P20" i="6" a="1"/>
  <c r="P20" i="6" s="1"/>
  <c r="O20" i="6" a="1"/>
  <c r="O20" i="6" s="1"/>
  <c r="N20" i="6" a="1"/>
  <c r="N20" i="6" s="1"/>
  <c r="M20" i="6" a="1"/>
  <c r="M20" i="6" s="1"/>
  <c r="L20" i="6" a="1"/>
  <c r="L20" i="6" s="1"/>
  <c r="K20" i="6" a="1"/>
  <c r="K20" i="6" s="1"/>
  <c r="J20" i="6" a="1"/>
  <c r="J20" i="6" s="1"/>
  <c r="I20" i="6" a="1"/>
  <c r="I20" i="6" s="1"/>
  <c r="H20" i="6" a="1"/>
  <c r="H20" i="6" s="1"/>
  <c r="G20" i="6" a="1"/>
  <c r="G20" i="6" s="1"/>
  <c r="F20" i="6" a="1"/>
  <c r="F20" i="6" s="1"/>
  <c r="E20" i="6" a="1"/>
  <c r="E20" i="6" s="1"/>
  <c r="D20" i="6" a="1"/>
  <c r="D20" i="6" s="1"/>
  <c r="AC19" i="6" a="1"/>
  <c r="AC19" i="6" s="1"/>
  <c r="S19" i="6" a="1"/>
  <c r="S19" i="6" s="1"/>
  <c r="R19" i="6" a="1"/>
  <c r="R19" i="6" s="1"/>
  <c r="Q19" i="6" a="1"/>
  <c r="Q19" i="6" s="1"/>
  <c r="P19" i="6" a="1"/>
  <c r="P19" i="6" s="1"/>
  <c r="O19" i="6" a="1"/>
  <c r="O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 a="1"/>
  <c r="G19" i="6" s="1"/>
  <c r="F19" i="6" a="1"/>
  <c r="F19" i="6" s="1"/>
  <c r="E19" i="6" a="1"/>
  <c r="E19" i="6" s="1"/>
  <c r="D19" i="6" a="1"/>
  <c r="D19" i="6" s="1"/>
  <c r="AB18" i="6" a="1"/>
  <c r="AB18" i="6" s="1"/>
  <c r="AA18" i="6" a="1"/>
  <c r="AA18" i="6" s="1"/>
  <c r="S18" i="6" a="1"/>
  <c r="S18" i="6" s="1"/>
  <c r="R18" i="6" a="1"/>
  <c r="R18" i="6" s="1"/>
  <c r="Q18" i="6" a="1"/>
  <c r="Q18" i="6" s="1"/>
  <c r="P18" i="6" a="1"/>
  <c r="P18" i="6" s="1"/>
  <c r="O18" i="6" a="1"/>
  <c r="O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 a="1"/>
  <c r="G18" i="6" s="1"/>
  <c r="F18" i="6" a="1"/>
  <c r="F18" i="6" s="1"/>
  <c r="E18" i="6" a="1"/>
  <c r="E18" i="6" s="1"/>
  <c r="D18" i="6" a="1"/>
  <c r="D18" i="6" s="1"/>
  <c r="S17" i="6" a="1"/>
  <c r="S17" i="6" s="1"/>
  <c r="R17" i="6" a="1"/>
  <c r="R17" i="6" s="1"/>
  <c r="Q17" i="6" a="1"/>
  <c r="Q17" i="6" s="1"/>
  <c r="P17" i="6" a="1"/>
  <c r="P17" i="6" s="1"/>
  <c r="O17" i="6" a="1"/>
  <c r="O17" i="6" s="1"/>
  <c r="N17" i="6" a="1"/>
  <c r="N17" i="6" s="1"/>
  <c r="M17" i="6" a="1"/>
  <c r="M17" i="6" s="1"/>
  <c r="L17" i="6" a="1"/>
  <c r="L17" i="6" s="1"/>
  <c r="K17" i="6" a="1"/>
  <c r="K17" i="6" s="1"/>
  <c r="J17" i="6" a="1"/>
  <c r="J17" i="6" s="1"/>
  <c r="I17" i="6" a="1"/>
  <c r="I17" i="6" s="1"/>
  <c r="H17" i="6" a="1"/>
  <c r="H17" i="6" s="1"/>
  <c r="G17" i="6" a="1"/>
  <c r="G17" i="6" s="1"/>
  <c r="F17" i="6" a="1"/>
  <c r="F17" i="6" s="1"/>
  <c r="E17" i="6" a="1"/>
  <c r="E17" i="6" s="1"/>
  <c r="D17" i="6" a="1"/>
  <c r="D17" i="6" s="1"/>
  <c r="AF16" i="6" a="1"/>
  <c r="AF16" i="6" s="1"/>
  <c r="AE16" i="6" a="1"/>
  <c r="AE16" i="6" s="1"/>
  <c r="S16" i="6" a="1"/>
  <c r="S16" i="6" s="1"/>
  <c r="R16" i="6" a="1"/>
  <c r="R16" i="6" s="1"/>
  <c r="Q16" i="6" a="1"/>
  <c r="Q16" i="6" s="1"/>
  <c r="P16" i="6" a="1"/>
  <c r="P16" i="6" s="1"/>
  <c r="O16" i="6" a="1"/>
  <c r="O16" i="6" s="1"/>
  <c r="N16" i="6" a="1"/>
  <c r="N16" i="6" s="1"/>
  <c r="M16" i="6" a="1"/>
  <c r="M16" i="6" s="1"/>
  <c r="L16" i="6" a="1"/>
  <c r="L16" i="6" s="1"/>
  <c r="K16" i="6" a="1"/>
  <c r="K16" i="6" s="1"/>
  <c r="J16" i="6" a="1"/>
  <c r="J16" i="6" s="1"/>
  <c r="I16" i="6" a="1"/>
  <c r="I16" i="6" s="1"/>
  <c r="H16" i="6" a="1"/>
  <c r="H16" i="6" s="1"/>
  <c r="G16" i="6" a="1"/>
  <c r="G16" i="6" s="1"/>
  <c r="F16" i="6" a="1"/>
  <c r="F16" i="6" s="1"/>
  <c r="E16" i="6" a="1"/>
  <c r="E16" i="6" s="1"/>
  <c r="D16" i="6" a="1"/>
  <c r="D16" i="6" s="1"/>
  <c r="AC15" i="6" a="1"/>
  <c r="AC15" i="6" s="1"/>
  <c r="S15" i="6" a="1"/>
  <c r="S15" i="6" s="1"/>
  <c r="R15" i="6" a="1"/>
  <c r="R15" i="6" s="1"/>
  <c r="Q15" i="6" a="1"/>
  <c r="Q15" i="6" s="1"/>
  <c r="P15" i="6" a="1"/>
  <c r="P15" i="6" s="1"/>
  <c r="O15" i="6" a="1"/>
  <c r="O15" i="6" s="1"/>
  <c r="N15" i="6" a="1"/>
  <c r="N15" i="6" s="1"/>
  <c r="M15" i="6" a="1"/>
  <c r="M15" i="6" s="1"/>
  <c r="L15" i="6" a="1"/>
  <c r="L15" i="6" s="1"/>
  <c r="K15" i="6" a="1"/>
  <c r="K15" i="6" s="1"/>
  <c r="J15" i="6" a="1"/>
  <c r="J15" i="6" s="1"/>
  <c r="I15" i="6" a="1"/>
  <c r="I15" i="6" s="1"/>
  <c r="H15" i="6" a="1"/>
  <c r="H15" i="6" s="1"/>
  <c r="G15" i="6" a="1"/>
  <c r="G15" i="6" s="1"/>
  <c r="F15" i="6" a="1"/>
  <c r="F15" i="6" s="1"/>
  <c r="E15" i="6" a="1"/>
  <c r="E15" i="6" s="1"/>
  <c r="D15" i="6" a="1"/>
  <c r="D15" i="6" s="1"/>
  <c r="AF14" i="6" a="1"/>
  <c r="AF14" i="6" s="1"/>
  <c r="AB14" i="6" a="1"/>
  <c r="AB14" i="6" s="1"/>
  <c r="AA14" i="6" a="1"/>
  <c r="AA14" i="6" s="1"/>
  <c r="S14" i="6" a="1"/>
  <c r="S14" i="6" s="1"/>
  <c r="R14" i="6" a="1"/>
  <c r="R14" i="6" s="1"/>
  <c r="Q14" i="6" a="1"/>
  <c r="Q14" i="6" s="1"/>
  <c r="P14" i="6" a="1"/>
  <c r="P14" i="6" s="1"/>
  <c r="O14" i="6" a="1"/>
  <c r="O14" i="6" s="1"/>
  <c r="N14" i="6" a="1"/>
  <c r="N14" i="6" s="1"/>
  <c r="M14" i="6" a="1"/>
  <c r="M14" i="6" s="1"/>
  <c r="L14" i="6" a="1"/>
  <c r="L14" i="6" s="1"/>
  <c r="K14" i="6" a="1"/>
  <c r="K14" i="6" s="1"/>
  <c r="J14" i="6" a="1"/>
  <c r="J14" i="6" s="1"/>
  <c r="I14" i="6" a="1"/>
  <c r="I14" i="6" s="1"/>
  <c r="H14" i="6" a="1"/>
  <c r="H14" i="6" s="1"/>
  <c r="G14" i="6" a="1"/>
  <c r="G14" i="6" s="1"/>
  <c r="F14" i="6" a="1"/>
  <c r="F14" i="6" s="1"/>
  <c r="E14" i="6" a="1"/>
  <c r="E14" i="6" s="1"/>
  <c r="D14" i="6" a="1"/>
  <c r="D14" i="6" s="1"/>
  <c r="S13" i="6" a="1"/>
  <c r="S13" i="6" s="1"/>
  <c r="R13" i="6" a="1"/>
  <c r="R13" i="6" s="1"/>
  <c r="Q13" i="6" a="1"/>
  <c r="Q13" i="6" s="1"/>
  <c r="P13" i="6" a="1"/>
  <c r="P13" i="6" s="1"/>
  <c r="O13" i="6" a="1"/>
  <c r="O13" i="6" s="1"/>
  <c r="N13" i="6" a="1"/>
  <c r="N13" i="6" s="1"/>
  <c r="M13" i="6" a="1"/>
  <c r="M13" i="6" s="1"/>
  <c r="L13" i="6" a="1"/>
  <c r="L13" i="6" s="1"/>
  <c r="K13" i="6" a="1"/>
  <c r="K13" i="6" s="1"/>
  <c r="J13" i="6" a="1"/>
  <c r="J13" i="6" s="1"/>
  <c r="I13" i="6" a="1"/>
  <c r="I13" i="6" s="1"/>
  <c r="H13" i="6" a="1"/>
  <c r="H13" i="6" s="1"/>
  <c r="G13" i="6" a="1"/>
  <c r="G13" i="6" s="1"/>
  <c r="F13" i="6" a="1"/>
  <c r="F13" i="6" s="1"/>
  <c r="E13" i="6" a="1"/>
  <c r="E13" i="6" s="1"/>
  <c r="D13" i="6" a="1"/>
  <c r="D13" i="6" s="1"/>
  <c r="AF12" i="6" a="1"/>
  <c r="AF12" i="6" s="1"/>
  <c r="AE12" i="6" a="1"/>
  <c r="AE12" i="6" s="1"/>
  <c r="AB12" i="6" a="1"/>
  <c r="AB12" i="6" s="1"/>
  <c r="S12" i="6" a="1"/>
  <c r="S12" i="6" s="1"/>
  <c r="R12" i="6" a="1"/>
  <c r="R12" i="6" s="1"/>
  <c r="Q12" i="6" a="1"/>
  <c r="Q12" i="6" s="1"/>
  <c r="P12" i="6" a="1"/>
  <c r="P12" i="6" s="1"/>
  <c r="O12" i="6" a="1"/>
  <c r="O12" i="6" s="1"/>
  <c r="N12" i="6" a="1"/>
  <c r="N12" i="6" s="1"/>
  <c r="M12" i="6" a="1"/>
  <c r="M12" i="6" s="1"/>
  <c r="L12" i="6" a="1"/>
  <c r="L12" i="6" s="1"/>
  <c r="K12" i="6" a="1"/>
  <c r="K12" i="6" s="1"/>
  <c r="J12" i="6" a="1"/>
  <c r="J12" i="6" s="1"/>
  <c r="I12" i="6" a="1"/>
  <c r="I12" i="6" s="1"/>
  <c r="H12" i="6" a="1"/>
  <c r="H12" i="6" s="1"/>
  <c r="G12" i="6" a="1"/>
  <c r="G12" i="6" s="1"/>
  <c r="F12" i="6" a="1"/>
  <c r="F12" i="6" s="1"/>
  <c r="E12" i="6" a="1"/>
  <c r="E12" i="6" s="1"/>
  <c r="D12" i="6" a="1"/>
  <c r="D12" i="6" s="1"/>
  <c r="AC11" i="6" a="1"/>
  <c r="AC11" i="6" s="1"/>
  <c r="S11" i="6" a="1"/>
  <c r="S11" i="6" s="1"/>
  <c r="R11" i="6" a="1"/>
  <c r="R11" i="6" s="1"/>
  <c r="Q11" i="6" a="1"/>
  <c r="Q11" i="6" s="1"/>
  <c r="P11" i="6" a="1"/>
  <c r="P11" i="6" s="1"/>
  <c r="O11" i="6" a="1"/>
  <c r="O11" i="6" s="1"/>
  <c r="N11" i="6" a="1"/>
  <c r="N11" i="6" s="1"/>
  <c r="M11" i="6" a="1"/>
  <c r="M11" i="6" s="1"/>
  <c r="L11" i="6" a="1"/>
  <c r="L11" i="6" s="1"/>
  <c r="K11" i="6" a="1"/>
  <c r="K11" i="6" s="1"/>
  <c r="J11" i="6" a="1"/>
  <c r="J11" i="6" s="1"/>
  <c r="I11" i="6" a="1"/>
  <c r="I11" i="6" s="1"/>
  <c r="H11" i="6" a="1"/>
  <c r="H11" i="6" s="1"/>
  <c r="G11" i="6" a="1"/>
  <c r="G11" i="6" s="1"/>
  <c r="F11" i="6" a="1"/>
  <c r="F11" i="6" s="1"/>
  <c r="E11" i="6" a="1"/>
  <c r="E11" i="6" s="1"/>
  <c r="D11" i="6" a="1"/>
  <c r="D11" i="6" s="1"/>
  <c r="AF10" i="6" a="1"/>
  <c r="AF10" i="6" s="1"/>
  <c r="AE10" i="6" a="1"/>
  <c r="AE10" i="6" s="1"/>
  <c r="AB10" i="6" a="1"/>
  <c r="AB10" i="6" s="1"/>
  <c r="AA10" i="6" a="1"/>
  <c r="AA10" i="6" s="1"/>
  <c r="S10" i="6" a="1"/>
  <c r="S10" i="6" s="1"/>
  <c r="R10" i="6" a="1"/>
  <c r="R10" i="6" s="1"/>
  <c r="Q10" i="6" a="1"/>
  <c r="Q10" i="6" s="1"/>
  <c r="P10" i="6" a="1"/>
  <c r="P10" i="6" s="1"/>
  <c r="O10" i="6" a="1"/>
  <c r="O10" i="6" s="1"/>
  <c r="N10" i="6" a="1"/>
  <c r="N10" i="6" s="1"/>
  <c r="M10" i="6" a="1"/>
  <c r="M10" i="6" s="1"/>
  <c r="L10" i="6" a="1"/>
  <c r="L10" i="6" s="1"/>
  <c r="K10" i="6" a="1"/>
  <c r="K10" i="6" s="1"/>
  <c r="J10" i="6" a="1"/>
  <c r="J10" i="6" s="1"/>
  <c r="I10" i="6" a="1"/>
  <c r="I10" i="6" s="1"/>
  <c r="H10" i="6" a="1"/>
  <c r="H10" i="6" s="1"/>
  <c r="G10" i="6" a="1"/>
  <c r="G10" i="6" s="1"/>
  <c r="F10" i="6" a="1"/>
  <c r="F10" i="6" s="1"/>
  <c r="E10" i="6" a="1"/>
  <c r="E10" i="6" s="1"/>
  <c r="D10" i="6" a="1"/>
  <c r="D10" i="6" s="1"/>
  <c r="S9" i="6" a="1"/>
  <c r="S9" i="6" s="1"/>
  <c r="R9" i="6" a="1"/>
  <c r="R9" i="6" s="1"/>
  <c r="Q9" i="6" a="1"/>
  <c r="Q9" i="6" s="1"/>
  <c r="P9" i="6" a="1"/>
  <c r="P9" i="6" s="1"/>
  <c r="O9" i="6" a="1"/>
  <c r="O9" i="6" s="1"/>
  <c r="N9" i="6" a="1"/>
  <c r="N9" i="6" s="1"/>
  <c r="M9" i="6" a="1"/>
  <c r="M9" i="6" s="1"/>
  <c r="L9" i="6" a="1"/>
  <c r="L9" i="6" s="1"/>
  <c r="K9" i="6" a="1"/>
  <c r="K9" i="6" s="1"/>
  <c r="J9" i="6" a="1"/>
  <c r="J9" i="6" s="1"/>
  <c r="I9" i="6" a="1"/>
  <c r="I9" i="6" s="1"/>
  <c r="H9" i="6" a="1"/>
  <c r="H9" i="6" s="1"/>
  <c r="G9" i="6" a="1"/>
  <c r="G9" i="6" s="1"/>
  <c r="F9" i="6" a="1"/>
  <c r="F9" i="6" s="1"/>
  <c r="E9" i="6" a="1"/>
  <c r="E9" i="6" s="1"/>
  <c r="D9" i="6" a="1"/>
  <c r="D9" i="6" s="1"/>
  <c r="AF8" i="6" a="1"/>
  <c r="AF8" i="6" s="1"/>
  <c r="AE8" i="6" a="1"/>
  <c r="AE8" i="6" s="1"/>
  <c r="AB8" i="6" a="1"/>
  <c r="AB8" i="6" s="1"/>
  <c r="AA8" i="6" a="1"/>
  <c r="AA8" i="6" s="1"/>
  <c r="S8" i="6" a="1"/>
  <c r="S8" i="6" s="1"/>
  <c r="R8" i="6" a="1"/>
  <c r="R8" i="6" s="1"/>
  <c r="Q8" i="6" a="1"/>
  <c r="Q8" i="6" s="1"/>
  <c r="P8" i="6" a="1"/>
  <c r="P8" i="6" s="1"/>
  <c r="O8" i="6" a="1"/>
  <c r="O8" i="6" s="1"/>
  <c r="N8" i="6" a="1"/>
  <c r="N8" i="6" s="1"/>
  <c r="M8" i="6" a="1"/>
  <c r="M8" i="6" s="1"/>
  <c r="L8" i="6" a="1"/>
  <c r="L8" i="6" s="1"/>
  <c r="K8" i="6" a="1"/>
  <c r="K8" i="6" s="1"/>
  <c r="J8" i="6" a="1"/>
  <c r="J8" i="6" s="1"/>
  <c r="I8" i="6" a="1"/>
  <c r="I8" i="6" s="1"/>
  <c r="H8" i="6" a="1"/>
  <c r="H8" i="6" s="1"/>
  <c r="G8" i="6" a="1"/>
  <c r="G8" i="6" s="1"/>
  <c r="F8" i="6" a="1"/>
  <c r="F8" i="6" s="1"/>
  <c r="E8" i="6" a="1"/>
  <c r="E8" i="6" s="1"/>
  <c r="D8" i="6" a="1"/>
  <c r="D8" i="6" s="1"/>
  <c r="AE7" i="6" a="1"/>
  <c r="AE7" i="6" s="1"/>
  <c r="AD7" i="6" a="1"/>
  <c r="AD7" i="6" s="1"/>
  <c r="AC7" i="6" a="1"/>
  <c r="AC7" i="6" s="1"/>
  <c r="S7" i="6" a="1"/>
  <c r="S7" i="6" s="1"/>
  <c r="R7" i="6" a="1"/>
  <c r="R7" i="6" s="1"/>
  <c r="Q7" i="6" a="1"/>
  <c r="Q7" i="6" s="1"/>
  <c r="P7" i="6" a="1"/>
  <c r="P7" i="6" s="1"/>
  <c r="O7" i="6" a="1"/>
  <c r="O7" i="6" s="1"/>
  <c r="N7" i="6" a="1"/>
  <c r="N7" i="6" s="1"/>
  <c r="M7" i="6" a="1"/>
  <c r="M7" i="6" s="1"/>
  <c r="L7" i="6" a="1"/>
  <c r="L7" i="6" s="1"/>
  <c r="K7" i="6" a="1"/>
  <c r="K7" i="6" s="1"/>
  <c r="J7" i="6" a="1"/>
  <c r="J7" i="6" s="1"/>
  <c r="I7" i="6" a="1"/>
  <c r="I7" i="6" s="1"/>
  <c r="H7" i="6" a="1"/>
  <c r="H7" i="6" s="1"/>
  <c r="G7" i="6" a="1"/>
  <c r="G7" i="6" s="1"/>
  <c r="F7" i="6" a="1"/>
  <c r="F7" i="6" s="1"/>
  <c r="E7" i="6" a="1"/>
  <c r="E7" i="6" s="1"/>
  <c r="D7" i="6" a="1"/>
  <c r="D7" i="6" s="1"/>
  <c r="AF6" i="6" a="1"/>
  <c r="AF6" i="6" s="1"/>
  <c r="AE6" i="6" a="1"/>
  <c r="AE6" i="6" s="1"/>
  <c r="AB6" i="6" a="1"/>
  <c r="AB6" i="6" s="1"/>
  <c r="AA6" i="6" a="1"/>
  <c r="AA6" i="6" s="1"/>
  <c r="S6" i="6" a="1"/>
  <c r="S6" i="6" s="1"/>
  <c r="R6" i="6" a="1"/>
  <c r="R6" i="6" s="1"/>
  <c r="Q6" i="6" a="1"/>
  <c r="Q6" i="6" s="1"/>
  <c r="P6" i="6" a="1"/>
  <c r="P6" i="6" s="1"/>
  <c r="O6" i="6" a="1"/>
  <c r="O6" i="6" s="1"/>
  <c r="N6" i="6" a="1"/>
  <c r="N6" i="6" s="1"/>
  <c r="M6" i="6" a="1"/>
  <c r="M6" i="6" s="1"/>
  <c r="L6" i="6" a="1"/>
  <c r="L6" i="6" s="1"/>
  <c r="K6" i="6" a="1"/>
  <c r="K6" i="6" s="1"/>
  <c r="J6" i="6" a="1"/>
  <c r="J6" i="6" s="1"/>
  <c r="I6" i="6" a="1"/>
  <c r="I6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AG1" i="6"/>
  <c r="AG74" i="6" s="1" a="1"/>
  <c r="AG74" i="6" s="1"/>
  <c r="AF1" i="6"/>
  <c r="AF34" i="6" s="1" a="1"/>
  <c r="AF34" i="6" s="1"/>
  <c r="AE1" i="6"/>
  <c r="AE73" i="6" s="1" a="1"/>
  <c r="AE73" i="6" s="1"/>
  <c r="AD1" i="6"/>
  <c r="AC1" i="6"/>
  <c r="AC76" i="6" s="1" a="1"/>
  <c r="AC76" i="6" s="1"/>
  <c r="AB1" i="6"/>
  <c r="AB32" i="6" s="1" a="1"/>
  <c r="AB32" i="6" s="1"/>
  <c r="AA1" i="6"/>
  <c r="AA71" i="6" s="1" a="1"/>
  <c r="AA71" i="6" s="1"/>
  <c r="AQ6" i="6" l="1" a="1"/>
  <c r="AQ6" i="6" s="1"/>
  <c r="AQ8" i="6" a="1"/>
  <c r="AQ8" i="6" s="1"/>
  <c r="AQ13" i="6" a="1"/>
  <c r="AQ13" i="6" s="1"/>
  <c r="AQ7" i="6" a="1"/>
  <c r="AQ7" i="6" s="1"/>
  <c r="AQ24" i="6" a="1"/>
  <c r="AQ24" i="6" s="1"/>
  <c r="AQ55" i="6" a="1"/>
  <c r="AQ55" i="6" s="1"/>
  <c r="AQ29" i="6" a="1"/>
  <c r="AQ29" i="6" s="1"/>
  <c r="AQ61" i="6" a="1"/>
  <c r="AQ61" i="6" s="1"/>
  <c r="AQ40" i="6" a="1"/>
  <c r="AQ40" i="6" s="1"/>
  <c r="AN10" i="7"/>
  <c r="AN11" i="7"/>
  <c r="AK12" i="6" a="1"/>
  <c r="AK12" i="6" s="1"/>
  <c r="AM14" i="6" a="1"/>
  <c r="AM14" i="6" s="1"/>
  <c r="AO16" i="6" a="1"/>
  <c r="AO16" i="6" s="1"/>
  <c r="AK17" i="6" a="1"/>
  <c r="AK17" i="6" s="1"/>
  <c r="AP17" i="6" a="1"/>
  <c r="AP17" i="6" s="1"/>
  <c r="AL18" i="6" a="1"/>
  <c r="AL18" i="6" s="1"/>
  <c r="AQ18" i="6" a="1"/>
  <c r="AQ18" i="6" s="1"/>
  <c r="AM19" i="6" a="1"/>
  <c r="AM19" i="6" s="1"/>
  <c r="AS20" i="6" a="1"/>
  <c r="AS20" i="6" s="1"/>
  <c r="AO21" i="6" a="1"/>
  <c r="AO21" i="6" s="1"/>
  <c r="AT21" i="6" a="1"/>
  <c r="AT21" i="6" s="1"/>
  <c r="AP22" i="6" a="1"/>
  <c r="AP22" i="6" s="1"/>
  <c r="AU22" i="6" a="1"/>
  <c r="AU22" i="6" s="1"/>
  <c r="AQ23" i="6" a="1"/>
  <c r="AQ23" i="6" s="1"/>
  <c r="AS25" i="6" a="1"/>
  <c r="AS25" i="6" s="1"/>
  <c r="AI26" i="6" a="1"/>
  <c r="AI26" i="6" s="1"/>
  <c r="AT26" i="6" a="1"/>
  <c r="AT26" i="6" s="1"/>
  <c r="AU27" i="6" a="1"/>
  <c r="AU27" i="6" s="1"/>
  <c r="AK28" i="6" a="1"/>
  <c r="AK28" i="6" s="1"/>
  <c r="AL29" i="6" a="1"/>
  <c r="AL29" i="6" s="1"/>
  <c r="AM30" i="6" a="1"/>
  <c r="AM30" i="6" s="1"/>
  <c r="AI31" i="6" a="1"/>
  <c r="AI31" i="6" s="1"/>
  <c r="AO32" i="6" a="1"/>
  <c r="AO32" i="6" s="1"/>
  <c r="AK33" i="6" a="1"/>
  <c r="AK33" i="6" s="1"/>
  <c r="AP33" i="6" a="1"/>
  <c r="AP33" i="6" s="1"/>
  <c r="AL34" i="6" a="1"/>
  <c r="AL34" i="6" s="1"/>
  <c r="AQ34" i="6" a="1"/>
  <c r="AQ34" i="6" s="1"/>
  <c r="AM35" i="6" a="1"/>
  <c r="AM35" i="6" s="1"/>
  <c r="AS36" i="6" a="1"/>
  <c r="AS36" i="6" s="1"/>
  <c r="AO37" i="6" a="1"/>
  <c r="AO37" i="6" s="1"/>
  <c r="AT37" i="6" a="1"/>
  <c r="AT37" i="6" s="1"/>
  <c r="AP38" i="6" a="1"/>
  <c r="AP38" i="6" s="1"/>
  <c r="AU38" i="6" a="1"/>
  <c r="AU38" i="6" s="1"/>
  <c r="AQ39" i="6" a="1"/>
  <c r="AQ39" i="6" s="1"/>
  <c r="AS41" i="6" a="1"/>
  <c r="AS41" i="6" s="1"/>
  <c r="AI42" i="6" a="1"/>
  <c r="AI42" i="6" s="1"/>
  <c r="AT42" i="6" a="1"/>
  <c r="AT42" i="6" s="1"/>
  <c r="AU43" i="6" a="1"/>
  <c r="AU43" i="6" s="1"/>
  <c r="AK44" i="6" a="1"/>
  <c r="AK44" i="6" s="1"/>
  <c r="AL45" i="6" a="1"/>
  <c r="AL45" i="6" s="1"/>
  <c r="AO46" i="6" a="1"/>
  <c r="AO46" i="6" s="1"/>
  <c r="AU47" i="6" a="1"/>
  <c r="AU47" i="6" s="1"/>
  <c r="AK49" i="6" a="1"/>
  <c r="AK49" i="6" s="1"/>
  <c r="AK50" i="6" a="1"/>
  <c r="AK50" i="6" s="1"/>
  <c r="AU52" i="6" a="1"/>
  <c r="AU52" i="6" s="1"/>
  <c r="AO53" i="6" a="1"/>
  <c r="AO53" i="6" s="1"/>
  <c r="AQ54" i="6" a="1"/>
  <c r="AQ54" i="6" s="1"/>
  <c r="AK55" i="6" a="1"/>
  <c r="AK55" i="6" s="1"/>
  <c r="AM58" i="6" a="1"/>
  <c r="AM58" i="6" s="1"/>
  <c r="AO60" i="6" a="1"/>
  <c r="AO60" i="6" s="1"/>
  <c r="AL358" i="6" a="1"/>
  <c r="AL358" i="6" s="1"/>
  <c r="AL350" i="6" a="1"/>
  <c r="AL350" i="6" s="1"/>
  <c r="AL342" i="6" a="1"/>
  <c r="AL342" i="6" s="1"/>
  <c r="AL351" i="6" a="1"/>
  <c r="AL351" i="6" s="1"/>
  <c r="AL343" i="6" a="1"/>
  <c r="AL343" i="6" s="1"/>
  <c r="AL352" i="6" a="1"/>
  <c r="AL352" i="6" s="1"/>
  <c r="AL353" i="6" a="1"/>
  <c r="AL353" i="6" s="1"/>
  <c r="AL345" i="6" a="1"/>
  <c r="AL345" i="6" s="1"/>
  <c r="AL337" i="6" a="1"/>
  <c r="AL337" i="6" s="1"/>
  <c r="AL354" i="6" a="1"/>
  <c r="AL354" i="6" s="1"/>
  <c r="AL346" i="6" a="1"/>
  <c r="AL346" i="6" s="1"/>
  <c r="AL338" i="6" a="1"/>
  <c r="AL338" i="6" s="1"/>
  <c r="AL355" i="6" a="1"/>
  <c r="AL355" i="6" s="1"/>
  <c r="AL347" i="6" a="1"/>
  <c r="AL347" i="6" s="1"/>
  <c r="AL339" i="6" a="1"/>
  <c r="AL339" i="6" s="1"/>
  <c r="AL356" i="6" a="1"/>
  <c r="AL356" i="6" s="1"/>
  <c r="AL348" i="6" a="1"/>
  <c r="AL348" i="6" s="1"/>
  <c r="AL340" i="6" a="1"/>
  <c r="AL340" i="6" s="1"/>
  <c r="AL333" i="6" a="1"/>
  <c r="AL333" i="6" s="1"/>
  <c r="AL326" i="6" a="1"/>
  <c r="AL326" i="6" s="1"/>
  <c r="AL315" i="6" a="1"/>
  <c r="AL315" i="6" s="1"/>
  <c r="AL349" i="6" a="1"/>
  <c r="AL349" i="6" s="1"/>
  <c r="AL329" i="6" a="1"/>
  <c r="AL329" i="6" s="1"/>
  <c r="AL322" i="6" a="1"/>
  <c r="AL322" i="6" s="1"/>
  <c r="AL336" i="6" a="1"/>
  <c r="AL336" i="6" s="1"/>
  <c r="AL332" i="6" a="1"/>
  <c r="AL332" i="6" s="1"/>
  <c r="AL325" i="6" a="1"/>
  <c r="AL325" i="6" s="1"/>
  <c r="AL318" i="6" a="1"/>
  <c r="AL318" i="6" s="1"/>
  <c r="AL357" i="6" a="1"/>
  <c r="AL357" i="6" s="1"/>
  <c r="AL335" i="6" a="1"/>
  <c r="AL335" i="6" s="1"/>
  <c r="AL328" i="6" a="1"/>
  <c r="AL328" i="6" s="1"/>
  <c r="AL321" i="6" a="1"/>
  <c r="AL321" i="6" s="1"/>
  <c r="AL314" i="6" a="1"/>
  <c r="AL314" i="6" s="1"/>
  <c r="AL331" i="6" a="1"/>
  <c r="AL331" i="6" s="1"/>
  <c r="AL324" i="6" a="1"/>
  <c r="AL324" i="6" s="1"/>
  <c r="AL317" i="6" a="1"/>
  <c r="AL317" i="6" s="1"/>
  <c r="AL341" i="6" a="1"/>
  <c r="AL341" i="6" s="1"/>
  <c r="AL327" i="6" a="1"/>
  <c r="AL327" i="6" s="1"/>
  <c r="AL320" i="6" a="1"/>
  <c r="AL320" i="6" s="1"/>
  <c r="AL313" i="6" a="1"/>
  <c r="AL313" i="6" s="1"/>
  <c r="AL334" i="6" a="1"/>
  <c r="AL334" i="6" s="1"/>
  <c r="AL323" i="6" a="1"/>
  <c r="AL323" i="6" s="1"/>
  <c r="AL316" i="6" a="1"/>
  <c r="AL316" i="6" s="1"/>
  <c r="AL307" i="6" a="1"/>
  <c r="AL307" i="6" s="1"/>
  <c r="AL303" i="6" a="1"/>
  <c r="AL303" i="6" s="1"/>
  <c r="AL310" i="6" a="1"/>
  <c r="AL310" i="6" s="1"/>
  <c r="AL306" i="6" a="1"/>
  <c r="AL306" i="6" s="1"/>
  <c r="AL309" i="6" a="1"/>
  <c r="AL309" i="6" s="1"/>
  <c r="AL302" i="6" a="1"/>
  <c r="AL302" i="6" s="1"/>
  <c r="AL330" i="6" a="1"/>
  <c r="AL330" i="6" s="1"/>
  <c r="AL305" i="6" a="1"/>
  <c r="AL305" i="6" s="1"/>
  <c r="AL319" i="6" a="1"/>
  <c r="AL319" i="6" s="1"/>
  <c r="AL312" i="6" a="1"/>
  <c r="AL312" i="6" s="1"/>
  <c r="AL308" i="6" a="1"/>
  <c r="AL308" i="6" s="1"/>
  <c r="AL298" i="6" a="1"/>
  <c r="AL298" i="6" s="1"/>
  <c r="AL292" i="6" a="1"/>
  <c r="AL292" i="6" s="1"/>
  <c r="AL287" i="6" a="1"/>
  <c r="AL287" i="6" s="1"/>
  <c r="AL311" i="6" a="1"/>
  <c r="AL311" i="6" s="1"/>
  <c r="AL304" i="6" a="1"/>
  <c r="AL304" i="6" s="1"/>
  <c r="AL293" i="6" a="1"/>
  <c r="AL293" i="6" s="1"/>
  <c r="AL280" i="6" a="1"/>
  <c r="AL280" i="6" s="1"/>
  <c r="AL294" i="6" a="1"/>
  <c r="AL294" i="6" s="1"/>
  <c r="AL288" i="6" a="1"/>
  <c r="AL288" i="6" s="1"/>
  <c r="AL300" i="6" a="1"/>
  <c r="AL300" i="6" s="1"/>
  <c r="AL289" i="6" a="1"/>
  <c r="AL289" i="6" s="1"/>
  <c r="AL279" i="6" a="1"/>
  <c r="AL279" i="6" s="1"/>
  <c r="AL295" i="6" a="1"/>
  <c r="AL295" i="6" s="1"/>
  <c r="AL290" i="6" a="1"/>
  <c r="AL290" i="6" s="1"/>
  <c r="AL301" i="6" a="1"/>
  <c r="AL301" i="6" s="1"/>
  <c r="AL285" i="6" a="1"/>
  <c r="AL285" i="6" s="1"/>
  <c r="AL278" i="6" a="1"/>
  <c r="AL278" i="6" s="1"/>
  <c r="AL344" i="6" a="1"/>
  <c r="AL344" i="6" s="1"/>
  <c r="AL299" i="6" a="1"/>
  <c r="AL299" i="6" s="1"/>
  <c r="AL296" i="6" a="1"/>
  <c r="AL296" i="6" s="1"/>
  <c r="AL291" i="6" a="1"/>
  <c r="AL291" i="6" s="1"/>
  <c r="AL284" i="6" a="1"/>
  <c r="AL284" i="6" s="1"/>
  <c r="AL274" i="6" a="1"/>
  <c r="AL274" i="6" s="1"/>
  <c r="AL273" i="6" a="1"/>
  <c r="AL273" i="6" s="1"/>
  <c r="AL297" i="6" a="1"/>
  <c r="AL297" i="6" s="1"/>
  <c r="AL286" i="6" a="1"/>
  <c r="AL286" i="6" s="1"/>
  <c r="AL281" i="6" a="1"/>
  <c r="AL281" i="6" s="1"/>
  <c r="AL275" i="6" a="1"/>
  <c r="AL275" i="6" s="1"/>
  <c r="AL269" i="6" a="1"/>
  <c r="AL269" i="6" s="1"/>
  <c r="AL282" i="6" a="1"/>
  <c r="AL282" i="6" s="1"/>
  <c r="AL277" i="6" a="1"/>
  <c r="AL277" i="6" s="1"/>
  <c r="AL272" i="6" a="1"/>
  <c r="AL272" i="6" s="1"/>
  <c r="AL283" i="6" a="1"/>
  <c r="AL283" i="6" s="1"/>
  <c r="AL276" i="6" a="1"/>
  <c r="AL276" i="6" s="1"/>
  <c r="AL271" i="6" a="1"/>
  <c r="AL271" i="6" s="1"/>
  <c r="AL259" i="6" a="1"/>
  <c r="AL259" i="6" s="1"/>
  <c r="AL266" i="6" a="1"/>
  <c r="AL266" i="6" s="1"/>
  <c r="AL262" i="6" a="1"/>
  <c r="AL262" i="6" s="1"/>
  <c r="AL265" i="6" a="1"/>
  <c r="AL265" i="6" s="1"/>
  <c r="AL261" i="6" a="1"/>
  <c r="AL261" i="6" s="1"/>
  <c r="AL264" i="6" a="1"/>
  <c r="AL264" i="6" s="1"/>
  <c r="AL270" i="6" a="1"/>
  <c r="AL270" i="6" s="1"/>
  <c r="AL268" i="6" a="1"/>
  <c r="AL268" i="6" s="1"/>
  <c r="AL267" i="6" a="1"/>
  <c r="AL267" i="6" s="1"/>
  <c r="AL260" i="6" a="1"/>
  <c r="AL260" i="6" s="1"/>
  <c r="AL254" i="6" a="1"/>
  <c r="AL254" i="6" s="1"/>
  <c r="AL247" i="6" a="1"/>
  <c r="AL247" i="6" s="1"/>
  <c r="AL240" i="6" a="1"/>
  <c r="AL240" i="6" s="1"/>
  <c r="AL250" i="6" a="1"/>
  <c r="AL250" i="6" s="1"/>
  <c r="AL243" i="6" a="1"/>
  <c r="AL243" i="6" s="1"/>
  <c r="AL236" i="6" a="1"/>
  <c r="AL236" i="6" s="1"/>
  <c r="AL257" i="6" a="1"/>
  <c r="AL257" i="6" s="1"/>
  <c r="AL246" i="6" a="1"/>
  <c r="AL246" i="6" s="1"/>
  <c r="AL239" i="6" a="1"/>
  <c r="AL239" i="6" s="1"/>
  <c r="AL232" i="6" a="1"/>
  <c r="AL232" i="6" s="1"/>
  <c r="AL263" i="6" a="1"/>
  <c r="AL263" i="6" s="1"/>
  <c r="AL253" i="6" a="1"/>
  <c r="AL253" i="6" s="1"/>
  <c r="AL242" i="6" a="1"/>
  <c r="AL242" i="6" s="1"/>
  <c r="AL235" i="6" a="1"/>
  <c r="AL235" i="6" s="1"/>
  <c r="AL256" i="6" a="1"/>
  <c r="AL256" i="6" s="1"/>
  <c r="AL249" i="6" a="1"/>
  <c r="AL249" i="6" s="1"/>
  <c r="AL238" i="6" a="1"/>
  <c r="AL238" i="6" s="1"/>
  <c r="AL255" i="6" a="1"/>
  <c r="AL255" i="6" s="1"/>
  <c r="AL248" i="6" a="1"/>
  <c r="AL248" i="6" s="1"/>
  <c r="AL241" i="6" a="1"/>
  <c r="AL241" i="6" s="1"/>
  <c r="AL251" i="6" a="1"/>
  <c r="AL251" i="6" s="1"/>
  <c r="AL244" i="6" a="1"/>
  <c r="AL244" i="6" s="1"/>
  <c r="AL237" i="6" a="1"/>
  <c r="AL237" i="6" s="1"/>
  <c r="AL233" i="6" a="1"/>
  <c r="AL233" i="6" s="1"/>
  <c r="AL228" i="6" a="1"/>
  <c r="AL228" i="6" s="1"/>
  <c r="AL258" i="6" a="1"/>
  <c r="AL258" i="6" s="1"/>
  <c r="AL245" i="6" a="1"/>
  <c r="AL245" i="6" s="1"/>
  <c r="AL231" i="6" a="1"/>
  <c r="AL231" i="6" s="1"/>
  <c r="AL224" i="6" a="1"/>
  <c r="AL224" i="6" s="1"/>
  <c r="AL234" i="6" a="1"/>
  <c r="AL234" i="6" s="1"/>
  <c r="AL227" i="6" a="1"/>
  <c r="AL227" i="6" s="1"/>
  <c r="AL222" i="6" a="1"/>
  <c r="AL222" i="6" s="1"/>
  <c r="AL252" i="6" a="1"/>
  <c r="AL252" i="6" s="1"/>
  <c r="AL230" i="6" a="1"/>
  <c r="AL230" i="6" s="1"/>
  <c r="AL229" i="6" a="1"/>
  <c r="AL229" i="6" s="1"/>
  <c r="AL218" i="6" a="1"/>
  <c r="AL218" i="6" s="1"/>
  <c r="AL207" i="6" a="1"/>
  <c r="AL207" i="6" s="1"/>
  <c r="AL200" i="6" a="1"/>
  <c r="AL200" i="6" s="1"/>
  <c r="AL193" i="6" a="1"/>
  <c r="AL193" i="6" s="1"/>
  <c r="AL221" i="6" a="1"/>
  <c r="AL221" i="6" s="1"/>
  <c r="AL214" i="6" a="1"/>
  <c r="AL214" i="6" s="1"/>
  <c r="AL203" i="6" a="1"/>
  <c r="AL203" i="6" s="1"/>
  <c r="AL196" i="6" a="1"/>
  <c r="AL196" i="6" s="1"/>
  <c r="AL189" i="6" a="1"/>
  <c r="AL189" i="6" s="1"/>
  <c r="AL217" i="6" a="1"/>
  <c r="AL217" i="6" s="1"/>
  <c r="AL210" i="6" a="1"/>
  <c r="AL210" i="6" s="1"/>
  <c r="AL199" i="6" a="1"/>
  <c r="AL199" i="6" s="1"/>
  <c r="AL192" i="6" a="1"/>
  <c r="AL192" i="6" s="1"/>
  <c r="AL220" i="6" a="1"/>
  <c r="AL220" i="6" s="1"/>
  <c r="AL213" i="6" a="1"/>
  <c r="AL213" i="6" s="1"/>
  <c r="AL206" i="6" a="1"/>
  <c r="AL206" i="6" s="1"/>
  <c r="AL195" i="6" a="1"/>
  <c r="AL195" i="6" s="1"/>
  <c r="AL223" i="6" a="1"/>
  <c r="AL223" i="6" s="1"/>
  <c r="AL216" i="6" a="1"/>
  <c r="AL216" i="6" s="1"/>
  <c r="AL209" i="6" a="1"/>
  <c r="AL209" i="6" s="1"/>
  <c r="AL202" i="6" a="1"/>
  <c r="AL202" i="6" s="1"/>
  <c r="AL191" i="6" a="1"/>
  <c r="AL191" i="6" s="1"/>
  <c r="AL219" i="6" a="1"/>
  <c r="AL219" i="6" s="1"/>
  <c r="AL212" i="6" a="1"/>
  <c r="AL212" i="6" s="1"/>
  <c r="AL205" i="6" a="1"/>
  <c r="AL205" i="6" s="1"/>
  <c r="AL198" i="6" a="1"/>
  <c r="AL198" i="6" s="1"/>
  <c r="AL226" i="6" a="1"/>
  <c r="AL226" i="6" s="1"/>
  <c r="AL225" i="6" a="1"/>
  <c r="AL225" i="6" s="1"/>
  <c r="AL215" i="6" a="1"/>
  <c r="AL215" i="6" s="1"/>
  <c r="AL208" i="6" a="1"/>
  <c r="AL208" i="6" s="1"/>
  <c r="AL201" i="6" a="1"/>
  <c r="AL201" i="6" s="1"/>
  <c r="AL194" i="6" a="1"/>
  <c r="AL194" i="6" s="1"/>
  <c r="AL211" i="6" a="1"/>
  <c r="AL211" i="6" s="1"/>
  <c r="AL204" i="6" a="1"/>
  <c r="AL204" i="6" s="1"/>
  <c r="AL197" i="6" a="1"/>
  <c r="AL197" i="6" s="1"/>
  <c r="AL177" i="6" a="1"/>
  <c r="AL177" i="6" s="1"/>
  <c r="AL188" i="6" a="1"/>
  <c r="AL188" i="6" s="1"/>
  <c r="AL184" i="6" a="1"/>
  <c r="AL184" i="6" s="1"/>
  <c r="AL187" i="6" a="1"/>
  <c r="AL187" i="6" s="1"/>
  <c r="AL180" i="6" a="1"/>
  <c r="AL180" i="6" s="1"/>
  <c r="AL183" i="6" a="1"/>
  <c r="AL183" i="6" s="1"/>
  <c r="AL176" i="6" a="1"/>
  <c r="AL176" i="6" s="1"/>
  <c r="AL186" i="6" a="1"/>
  <c r="AL186" i="6" s="1"/>
  <c r="AL179" i="6" a="1"/>
  <c r="AL179" i="6" s="1"/>
  <c r="AL190" i="6" a="1"/>
  <c r="AL190" i="6" s="1"/>
  <c r="AL182" i="6" a="1"/>
  <c r="AL182" i="6" s="1"/>
  <c r="AL175" i="6" a="1"/>
  <c r="AL175" i="6" s="1"/>
  <c r="AL185" i="6" a="1"/>
  <c r="AL185" i="6" s="1"/>
  <c r="AL178" i="6" a="1"/>
  <c r="AL178" i="6" s="1"/>
  <c r="AL173" i="6" a="1"/>
  <c r="AL173" i="6" s="1"/>
  <c r="AL166" i="6" a="1"/>
  <c r="AL166" i="6" s="1"/>
  <c r="AL159" i="6" a="1"/>
  <c r="AL159" i="6" s="1"/>
  <c r="AL152" i="6" a="1"/>
  <c r="AL152" i="6" s="1"/>
  <c r="AL141" i="6" a="1"/>
  <c r="AL141" i="6" s="1"/>
  <c r="AL134" i="6" a="1"/>
  <c r="AL134" i="6" s="1"/>
  <c r="AL127" i="6" a="1"/>
  <c r="AL127" i="6" s="1"/>
  <c r="AL169" i="6" a="1"/>
  <c r="AL169" i="6" s="1"/>
  <c r="AL162" i="6" a="1"/>
  <c r="AL162" i="6" s="1"/>
  <c r="AL155" i="6" a="1"/>
  <c r="AL155" i="6" s="1"/>
  <c r="AL148" i="6" a="1"/>
  <c r="AL148" i="6" s="1"/>
  <c r="AL137" i="6" a="1"/>
  <c r="AL137" i="6" s="1"/>
  <c r="AL130" i="6" a="1"/>
  <c r="AL130" i="6" s="1"/>
  <c r="AL123" i="6" a="1"/>
  <c r="AL123" i="6" s="1"/>
  <c r="AL165" i="6" a="1"/>
  <c r="AL165" i="6" s="1"/>
  <c r="AL158" i="6" a="1"/>
  <c r="AL158" i="6" s="1"/>
  <c r="AL151" i="6" a="1"/>
  <c r="AL151" i="6" s="1"/>
  <c r="AL144" i="6" a="1"/>
  <c r="AL144" i="6" s="1"/>
  <c r="AL133" i="6" a="1"/>
  <c r="AL133" i="6" s="1"/>
  <c r="AL126" i="6" a="1"/>
  <c r="AL126" i="6" s="1"/>
  <c r="AL172" i="6" a="1"/>
  <c r="AL172" i="6" s="1"/>
  <c r="AL161" i="6" a="1"/>
  <c r="AL161" i="6" s="1"/>
  <c r="AL154" i="6" a="1"/>
  <c r="AL154" i="6" s="1"/>
  <c r="AL147" i="6" a="1"/>
  <c r="AL147" i="6" s="1"/>
  <c r="AL140" i="6" a="1"/>
  <c r="AL140" i="6" s="1"/>
  <c r="AL129" i="6" a="1"/>
  <c r="AL129" i="6" s="1"/>
  <c r="AL168" i="6" a="1"/>
  <c r="AL168" i="6" s="1"/>
  <c r="AL157" i="6" a="1"/>
  <c r="AL157" i="6" s="1"/>
  <c r="AL150" i="6" a="1"/>
  <c r="AL150" i="6" s="1"/>
  <c r="AL143" i="6" a="1"/>
  <c r="AL143" i="6" s="1"/>
  <c r="AL136" i="6" a="1"/>
  <c r="AL136" i="6" s="1"/>
  <c r="AL125" i="6" a="1"/>
  <c r="AL125" i="6" s="1"/>
  <c r="AL181" i="6" a="1"/>
  <c r="AL181" i="6" s="1"/>
  <c r="AL171" i="6" a="1"/>
  <c r="AL171" i="6" s="1"/>
  <c r="AL164" i="6" a="1"/>
  <c r="AL164" i="6" s="1"/>
  <c r="AL153" i="6" a="1"/>
  <c r="AL153" i="6" s="1"/>
  <c r="AL146" i="6" a="1"/>
  <c r="AL146" i="6" s="1"/>
  <c r="AL139" i="6" a="1"/>
  <c r="AL139" i="6" s="1"/>
  <c r="AL132" i="6" a="1"/>
  <c r="AL132" i="6" s="1"/>
  <c r="AL174" i="6" a="1"/>
  <c r="AL174" i="6" s="1"/>
  <c r="AL167" i="6" a="1"/>
  <c r="AL167" i="6" s="1"/>
  <c r="AL138" i="6" a="1"/>
  <c r="AL138" i="6" s="1"/>
  <c r="AL117" i="6" a="1"/>
  <c r="AL117" i="6" s="1"/>
  <c r="AL110" i="6" a="1"/>
  <c r="AL110" i="6" s="1"/>
  <c r="AL103" i="6" a="1"/>
  <c r="AL103" i="6" s="1"/>
  <c r="AL142" i="6" a="1"/>
  <c r="AL142" i="6" s="1"/>
  <c r="AL128" i="6" a="1"/>
  <c r="AL128" i="6" s="1"/>
  <c r="AL113" i="6" a="1"/>
  <c r="AL113" i="6" s="1"/>
  <c r="AL106" i="6" a="1"/>
  <c r="AL106" i="6" s="1"/>
  <c r="AL99" i="6" a="1"/>
  <c r="AL99" i="6" s="1"/>
  <c r="AL163" i="6" a="1"/>
  <c r="AL163" i="6" s="1"/>
  <c r="AL149" i="6" a="1"/>
  <c r="AL149" i="6" s="1"/>
  <c r="AL145" i="6" a="1"/>
  <c r="AL145" i="6" s="1"/>
  <c r="AL120" i="6" a="1"/>
  <c r="AL120" i="6" s="1"/>
  <c r="AL109" i="6" a="1"/>
  <c r="AL109" i="6" s="1"/>
  <c r="AL102" i="6" a="1"/>
  <c r="AL102" i="6" s="1"/>
  <c r="AL170" i="6" a="1"/>
  <c r="AL170" i="6" s="1"/>
  <c r="AL124" i="6" a="1"/>
  <c r="AL124" i="6" s="1"/>
  <c r="AL116" i="6" a="1"/>
  <c r="AL116" i="6" s="1"/>
  <c r="AL105" i="6" a="1"/>
  <c r="AL105" i="6" s="1"/>
  <c r="AL131" i="6" a="1"/>
  <c r="AL131" i="6" s="1"/>
  <c r="AL119" i="6" a="1"/>
  <c r="AL119" i="6" s="1"/>
  <c r="AL112" i="6" a="1"/>
  <c r="AL112" i="6" s="1"/>
  <c r="AL101" i="6" a="1"/>
  <c r="AL101" i="6" s="1"/>
  <c r="AL135" i="6" a="1"/>
  <c r="AL135" i="6" s="1"/>
  <c r="AL115" i="6" a="1"/>
  <c r="AL115" i="6" s="1"/>
  <c r="AL108" i="6" a="1"/>
  <c r="AL108" i="6" s="1"/>
  <c r="AL97" i="6" a="1"/>
  <c r="AL97" i="6" s="1"/>
  <c r="AL156" i="6" a="1"/>
  <c r="AL156" i="6" s="1"/>
  <c r="AL122" i="6" a="1"/>
  <c r="AL122" i="6" s="1"/>
  <c r="AL118" i="6" a="1"/>
  <c r="AL118" i="6" s="1"/>
  <c r="AL111" i="6" a="1"/>
  <c r="AL111" i="6" s="1"/>
  <c r="AL104" i="6" a="1"/>
  <c r="AL104" i="6" s="1"/>
  <c r="AL94" i="6" a="1"/>
  <c r="AL94" i="6" s="1"/>
  <c r="AL89" i="6" a="1"/>
  <c r="AL89" i="6" s="1"/>
  <c r="AL84" i="6" a="1"/>
  <c r="AL84" i="6" s="1"/>
  <c r="AL80" i="6" a="1"/>
  <c r="AL80" i="6" s="1"/>
  <c r="AL73" i="6" a="1"/>
  <c r="AL73" i="6" s="1"/>
  <c r="AL95" i="6" a="1"/>
  <c r="AL95" i="6" s="1"/>
  <c r="AL76" i="6" a="1"/>
  <c r="AL76" i="6" s="1"/>
  <c r="AL69" i="6" a="1"/>
  <c r="AL69" i="6" s="1"/>
  <c r="AL62" i="6" a="1"/>
  <c r="AL62" i="6" s="1"/>
  <c r="AL55" i="6" a="1"/>
  <c r="AL55" i="6" s="1"/>
  <c r="AL90" i="6" a="1"/>
  <c r="AL90" i="6" s="1"/>
  <c r="AL85" i="6" a="1"/>
  <c r="AL85" i="6" s="1"/>
  <c r="AL72" i="6" a="1"/>
  <c r="AL72" i="6" s="1"/>
  <c r="AL65" i="6" a="1"/>
  <c r="AL65" i="6" s="1"/>
  <c r="AL100" i="6" a="1"/>
  <c r="AL100" i="6" s="1"/>
  <c r="AL91" i="6" a="1"/>
  <c r="AL91" i="6" s="1"/>
  <c r="AL79" i="6" a="1"/>
  <c r="AL79" i="6" s="1"/>
  <c r="AL68" i="6" a="1"/>
  <c r="AL68" i="6" s="1"/>
  <c r="AL61" i="6" a="1"/>
  <c r="AL61" i="6" s="1"/>
  <c r="AL54" i="6" a="1"/>
  <c r="AL54" i="6" s="1"/>
  <c r="AL92" i="6" a="1"/>
  <c r="AL92" i="6" s="1"/>
  <c r="AL86" i="6" a="1"/>
  <c r="AL86" i="6" s="1"/>
  <c r="AL75" i="6" a="1"/>
  <c r="AL75" i="6" s="1"/>
  <c r="AL64" i="6" a="1"/>
  <c r="AL64" i="6" s="1"/>
  <c r="AL57" i="6" a="1"/>
  <c r="AL57" i="6" s="1"/>
  <c r="AL107" i="6" a="1"/>
  <c r="AL107" i="6" s="1"/>
  <c r="AL96" i="6" a="1"/>
  <c r="AL96" i="6" s="1"/>
  <c r="AL87" i="6" a="1"/>
  <c r="AL87" i="6" s="1"/>
  <c r="AL78" i="6" a="1"/>
  <c r="AL78" i="6" s="1"/>
  <c r="AL71" i="6" a="1"/>
  <c r="AL71" i="6" s="1"/>
  <c r="AL60" i="6" a="1"/>
  <c r="AL60" i="6" s="1"/>
  <c r="AL53" i="6" a="1"/>
  <c r="AL53" i="6" s="1"/>
  <c r="AL46" i="6" a="1"/>
  <c r="AL46" i="6" s="1"/>
  <c r="AL114" i="6" a="1"/>
  <c r="AL114" i="6" s="1"/>
  <c r="AL98" i="6" a="1"/>
  <c r="AL98" i="6" s="1"/>
  <c r="AL93" i="6" a="1"/>
  <c r="AL93" i="6" s="1"/>
  <c r="AL88" i="6" a="1"/>
  <c r="AL88" i="6" s="1"/>
  <c r="AL82" i="6" a="1"/>
  <c r="AL82" i="6" s="1"/>
  <c r="AL81" i="6" a="1"/>
  <c r="AL81" i="6" s="1"/>
  <c r="AL74" i="6" a="1"/>
  <c r="AL74" i="6" s="1"/>
  <c r="AL67" i="6" a="1"/>
  <c r="AL67" i="6" s="1"/>
  <c r="AL160" i="6" a="1"/>
  <c r="AL160" i="6" s="1"/>
  <c r="AL121" i="6" a="1"/>
  <c r="AL121" i="6" s="1"/>
  <c r="AL83" i="6" a="1"/>
  <c r="AL83" i="6" s="1"/>
  <c r="AL77" i="6" a="1"/>
  <c r="AL77" i="6" s="1"/>
  <c r="AL70" i="6" a="1"/>
  <c r="AL70" i="6" s="1"/>
  <c r="AL63" i="6" a="1"/>
  <c r="AL63" i="6" s="1"/>
  <c r="AL52" i="6" a="1"/>
  <c r="AL52" i="6" s="1"/>
  <c r="AT358" i="6" a="1"/>
  <c r="AT358" i="6" s="1"/>
  <c r="AT350" i="6" a="1"/>
  <c r="AT350" i="6" s="1"/>
  <c r="AT342" i="6" a="1"/>
  <c r="AT342" i="6" s="1"/>
  <c r="AT351" i="6" a="1"/>
  <c r="AT351" i="6" s="1"/>
  <c r="AT343" i="6" a="1"/>
  <c r="AT343" i="6" s="1"/>
  <c r="AT352" i="6" a="1"/>
  <c r="AT352" i="6" s="1"/>
  <c r="AT353" i="6" a="1"/>
  <c r="AT353" i="6" s="1"/>
  <c r="AT345" i="6" a="1"/>
  <c r="AT345" i="6" s="1"/>
  <c r="AT337" i="6" a="1"/>
  <c r="AT337" i="6" s="1"/>
  <c r="AT354" i="6" a="1"/>
  <c r="AT354" i="6" s="1"/>
  <c r="AT346" i="6" a="1"/>
  <c r="AT346" i="6" s="1"/>
  <c r="AT338" i="6" a="1"/>
  <c r="AT338" i="6" s="1"/>
  <c r="AT355" i="6" a="1"/>
  <c r="AT355" i="6" s="1"/>
  <c r="AT347" i="6" a="1"/>
  <c r="AT347" i="6" s="1"/>
  <c r="AT339" i="6" a="1"/>
  <c r="AT339" i="6" s="1"/>
  <c r="AT356" i="6" a="1"/>
  <c r="AT356" i="6" s="1"/>
  <c r="AT348" i="6" a="1"/>
  <c r="AT348" i="6" s="1"/>
  <c r="AT340" i="6" a="1"/>
  <c r="AT340" i="6" s="1"/>
  <c r="AT349" i="6" a="1"/>
  <c r="AT349" i="6" s="1"/>
  <c r="AT334" i="6" a="1"/>
  <c r="AT334" i="6" s="1"/>
  <c r="AT323" i="6" a="1"/>
  <c r="AT323" i="6" s="1"/>
  <c r="AT316" i="6" a="1"/>
  <c r="AT316" i="6" s="1"/>
  <c r="AT330" i="6" a="1"/>
  <c r="AT330" i="6" s="1"/>
  <c r="AT319" i="6" a="1"/>
  <c r="AT319" i="6" s="1"/>
  <c r="AT357" i="6" a="1"/>
  <c r="AT357" i="6" s="1"/>
  <c r="AT333" i="6" a="1"/>
  <c r="AT333" i="6" s="1"/>
  <c r="AT326" i="6" a="1"/>
  <c r="AT326" i="6" s="1"/>
  <c r="AT315" i="6" a="1"/>
  <c r="AT315" i="6" s="1"/>
  <c r="AT341" i="6" a="1"/>
  <c r="AT341" i="6" s="1"/>
  <c r="AT329" i="6" a="1"/>
  <c r="AT329" i="6" s="1"/>
  <c r="AT322" i="6" a="1"/>
  <c r="AT322" i="6" s="1"/>
  <c r="AT336" i="6" a="1"/>
  <c r="AT336" i="6" s="1"/>
  <c r="AT332" i="6" a="1"/>
  <c r="AT332" i="6" s="1"/>
  <c r="AT325" i="6" a="1"/>
  <c r="AT325" i="6" s="1"/>
  <c r="AT318" i="6" a="1"/>
  <c r="AT318" i="6" s="1"/>
  <c r="AT344" i="6" a="1"/>
  <c r="AT344" i="6" s="1"/>
  <c r="AT335" i="6" a="1"/>
  <c r="AT335" i="6" s="1"/>
  <c r="AT328" i="6" a="1"/>
  <c r="AT328" i="6" s="1"/>
  <c r="AT321" i="6" a="1"/>
  <c r="AT321" i="6" s="1"/>
  <c r="AT314" i="6" a="1"/>
  <c r="AT314" i="6" s="1"/>
  <c r="AT331" i="6" a="1"/>
  <c r="AT331" i="6" s="1"/>
  <c r="AT324" i="6" a="1"/>
  <c r="AT324" i="6" s="1"/>
  <c r="AT317" i="6" a="1"/>
  <c r="AT317" i="6" s="1"/>
  <c r="AT327" i="6" a="1"/>
  <c r="AT327" i="6" s="1"/>
  <c r="AT320" i="6" a="1"/>
  <c r="AT320" i="6" s="1"/>
  <c r="AT308" i="6" a="1"/>
  <c r="AT308" i="6" s="1"/>
  <c r="AT301" i="6" a="1"/>
  <c r="AT301" i="6" s="1"/>
  <c r="AT311" i="6" a="1"/>
  <c r="AT311" i="6" s="1"/>
  <c r="AT304" i="6" a="1"/>
  <c r="AT304" i="6" s="1"/>
  <c r="AT307" i="6" a="1"/>
  <c r="AT307" i="6" s="1"/>
  <c r="AT313" i="6" a="1"/>
  <c r="AT313" i="6" s="1"/>
  <c r="AT312" i="6" a="1"/>
  <c r="AT312" i="6" s="1"/>
  <c r="AT303" i="6" a="1"/>
  <c r="AT303" i="6" s="1"/>
  <c r="AT310" i="6" a="1"/>
  <c r="AT310" i="6" s="1"/>
  <c r="AT306" i="6" a="1"/>
  <c r="AT306" i="6" s="1"/>
  <c r="AT300" i="6" a="1"/>
  <c r="AT300" i="6" s="1"/>
  <c r="AT309" i="6" a="1"/>
  <c r="AT309" i="6" s="1"/>
  <c r="AT302" i="6" a="1"/>
  <c r="AT302" i="6" s="1"/>
  <c r="AT295" i="6" a="1"/>
  <c r="AT295" i="6" s="1"/>
  <c r="AT290" i="6" a="1"/>
  <c r="AT290" i="6" s="1"/>
  <c r="AT285" i="6" a="1"/>
  <c r="AT285" i="6" s="1"/>
  <c r="AT277" i="6" a="1"/>
  <c r="AT277" i="6" s="1"/>
  <c r="AT296" i="6" a="1"/>
  <c r="AT296" i="6" s="1"/>
  <c r="AT291" i="6" a="1"/>
  <c r="AT291" i="6" s="1"/>
  <c r="AT305" i="6" a="1"/>
  <c r="AT305" i="6" s="1"/>
  <c r="AT297" i="6" a="1"/>
  <c r="AT297" i="6" s="1"/>
  <c r="AT281" i="6" a="1"/>
  <c r="AT281" i="6" s="1"/>
  <c r="AT280" i="6" a="1"/>
  <c r="AT280" i="6" s="1"/>
  <c r="AT299" i="6" a="1"/>
  <c r="AT299" i="6" s="1"/>
  <c r="AT292" i="6" a="1"/>
  <c r="AT292" i="6" s="1"/>
  <c r="AT287" i="6" a="1"/>
  <c r="AT287" i="6" s="1"/>
  <c r="AT293" i="6" a="1"/>
  <c r="AT293" i="6" s="1"/>
  <c r="AT279" i="6" a="1"/>
  <c r="AT279" i="6" s="1"/>
  <c r="AT298" i="6" a="1"/>
  <c r="AT298" i="6" s="1"/>
  <c r="AT294" i="6" a="1"/>
  <c r="AT294" i="6" s="1"/>
  <c r="AT288" i="6" a="1"/>
  <c r="AT288" i="6" s="1"/>
  <c r="AT275" i="6" a="1"/>
  <c r="AT275" i="6" s="1"/>
  <c r="AT271" i="6" a="1"/>
  <c r="AT271" i="6" s="1"/>
  <c r="AT284" i="6" a="1"/>
  <c r="AT284" i="6" s="1"/>
  <c r="AT270" i="6" a="1"/>
  <c r="AT270" i="6" s="1"/>
  <c r="AT278" i="6" a="1"/>
  <c r="AT278" i="6" s="1"/>
  <c r="AT273" i="6" a="1"/>
  <c r="AT273" i="6" s="1"/>
  <c r="AT286" i="6" a="1"/>
  <c r="AT286" i="6" s="1"/>
  <c r="AT282" i="6" a="1"/>
  <c r="AT282" i="6" s="1"/>
  <c r="AT276" i="6" a="1"/>
  <c r="AT276" i="6" s="1"/>
  <c r="AT269" i="6" a="1"/>
  <c r="AT269" i="6" s="1"/>
  <c r="AT267" i="6" a="1"/>
  <c r="AT267" i="6" s="1"/>
  <c r="AT289" i="6" a="1"/>
  <c r="AT289" i="6" s="1"/>
  <c r="AT283" i="6" a="1"/>
  <c r="AT283" i="6" s="1"/>
  <c r="AT272" i="6" a="1"/>
  <c r="AT272" i="6" s="1"/>
  <c r="AT260" i="6" a="1"/>
  <c r="AT260" i="6" s="1"/>
  <c r="AT274" i="6" a="1"/>
  <c r="AT274" i="6" s="1"/>
  <c r="AT263" i="6" a="1"/>
  <c r="AT263" i="6" s="1"/>
  <c r="AT257" i="6" a="1"/>
  <c r="AT257" i="6" s="1"/>
  <c r="AT259" i="6" a="1"/>
  <c r="AT259" i="6" s="1"/>
  <c r="AT268" i="6" a="1"/>
  <c r="AT268" i="6" s="1"/>
  <c r="AT266" i="6" a="1"/>
  <c r="AT266" i="6" s="1"/>
  <c r="AT262" i="6" a="1"/>
  <c r="AT262" i="6" s="1"/>
  <c r="AT265" i="6" a="1"/>
  <c r="AT265" i="6" s="1"/>
  <c r="AT258" i="6" a="1"/>
  <c r="AT258" i="6" s="1"/>
  <c r="AT261" i="6" a="1"/>
  <c r="AT261" i="6" s="1"/>
  <c r="AT255" i="6" a="1"/>
  <c r="AT255" i="6" s="1"/>
  <c r="AT248" i="6" a="1"/>
  <c r="AT248" i="6" s="1"/>
  <c r="AT241" i="6" a="1"/>
  <c r="AT241" i="6" s="1"/>
  <c r="AT251" i="6" a="1"/>
  <c r="AT251" i="6" s="1"/>
  <c r="AT244" i="6" a="1"/>
  <c r="AT244" i="6" s="1"/>
  <c r="AT237" i="6" a="1"/>
  <c r="AT237" i="6" s="1"/>
  <c r="AT254" i="6" a="1"/>
  <c r="AT254" i="6" s="1"/>
  <c r="AT247" i="6" a="1"/>
  <c r="AT247" i="6" s="1"/>
  <c r="AT240" i="6" a="1"/>
  <c r="AT240" i="6" s="1"/>
  <c r="AT233" i="6" a="1"/>
  <c r="AT233" i="6" s="1"/>
  <c r="AT250" i="6" a="1"/>
  <c r="AT250" i="6" s="1"/>
  <c r="AT243" i="6" a="1"/>
  <c r="AT243" i="6" s="1"/>
  <c r="AT236" i="6" a="1"/>
  <c r="AT236" i="6" s="1"/>
  <c r="AT246" i="6" a="1"/>
  <c r="AT246" i="6" s="1"/>
  <c r="AT239" i="6" a="1"/>
  <c r="AT239" i="6" s="1"/>
  <c r="AT256" i="6" a="1"/>
  <c r="AT256" i="6" s="1"/>
  <c r="AT249" i="6" a="1"/>
  <c r="AT249" i="6" s="1"/>
  <c r="AT238" i="6" a="1"/>
  <c r="AT238" i="6" s="1"/>
  <c r="AT231" i="6" a="1"/>
  <c r="AT231" i="6" s="1"/>
  <c r="AT252" i="6" a="1"/>
  <c r="AT252" i="6" s="1"/>
  <c r="AT245" i="6" a="1"/>
  <c r="AT245" i="6" s="1"/>
  <c r="AT234" i="6" a="1"/>
  <c r="AT234" i="6" s="1"/>
  <c r="AT229" i="6" a="1"/>
  <c r="AT229" i="6" s="1"/>
  <c r="AT225" i="6" a="1"/>
  <c r="AT225" i="6" s="1"/>
  <c r="AT228" i="6" a="1"/>
  <c r="AT228" i="6" s="1"/>
  <c r="AT222" i="6" a="1"/>
  <c r="AT222" i="6" s="1"/>
  <c r="AT235" i="6" a="1"/>
  <c r="AT235" i="6" s="1"/>
  <c r="AT224" i="6" a="1"/>
  <c r="AT224" i="6" s="1"/>
  <c r="AT253" i="6" a="1"/>
  <c r="AT253" i="6" s="1"/>
  <c r="AT242" i="6" a="1"/>
  <c r="AT242" i="6" s="1"/>
  <c r="AT230" i="6" a="1"/>
  <c r="AT230" i="6" s="1"/>
  <c r="AT223" i="6" a="1"/>
  <c r="AT223" i="6" s="1"/>
  <c r="AT264" i="6" a="1"/>
  <c r="AT264" i="6" s="1"/>
  <c r="AT226" i="6" a="1"/>
  <c r="AT226" i="6" s="1"/>
  <c r="AT232" i="6" a="1"/>
  <c r="AT232" i="6" s="1"/>
  <c r="AT215" i="6" a="1"/>
  <c r="AT215" i="6" s="1"/>
  <c r="AT208" i="6" a="1"/>
  <c r="AT208" i="6" s="1"/>
  <c r="AT201" i="6" a="1"/>
  <c r="AT201" i="6" s="1"/>
  <c r="AT194" i="6" a="1"/>
  <c r="AT194" i="6" s="1"/>
  <c r="AT211" i="6" a="1"/>
  <c r="AT211" i="6" s="1"/>
  <c r="AT204" i="6" a="1"/>
  <c r="AT204" i="6" s="1"/>
  <c r="AT197" i="6" a="1"/>
  <c r="AT197" i="6" s="1"/>
  <c r="AT190" i="6" a="1"/>
  <c r="AT190" i="6" s="1"/>
  <c r="AT218" i="6" a="1"/>
  <c r="AT218" i="6" s="1"/>
  <c r="AT207" i="6" a="1"/>
  <c r="AT207" i="6" s="1"/>
  <c r="AT200" i="6" a="1"/>
  <c r="AT200" i="6" s="1"/>
  <c r="AT193" i="6" a="1"/>
  <c r="AT193" i="6" s="1"/>
  <c r="AT227" i="6" a="1"/>
  <c r="AT227" i="6" s="1"/>
  <c r="AT221" i="6" a="1"/>
  <c r="AT221" i="6" s="1"/>
  <c r="AT214" i="6" a="1"/>
  <c r="AT214" i="6" s="1"/>
  <c r="AT203" i="6" a="1"/>
  <c r="AT203" i="6" s="1"/>
  <c r="AT196" i="6" a="1"/>
  <c r="AT196" i="6" s="1"/>
  <c r="AT217" i="6" a="1"/>
  <c r="AT217" i="6" s="1"/>
  <c r="AT210" i="6" a="1"/>
  <c r="AT210" i="6" s="1"/>
  <c r="AT199" i="6" a="1"/>
  <c r="AT199" i="6" s="1"/>
  <c r="AT192" i="6" a="1"/>
  <c r="AT192" i="6" s="1"/>
  <c r="AT220" i="6" a="1"/>
  <c r="AT220" i="6" s="1"/>
  <c r="AT213" i="6" a="1"/>
  <c r="AT213" i="6" s="1"/>
  <c r="AT206" i="6" a="1"/>
  <c r="AT206" i="6" s="1"/>
  <c r="AT195" i="6" a="1"/>
  <c r="AT195" i="6" s="1"/>
  <c r="AT188" i="6" a="1"/>
  <c r="AT188" i="6" s="1"/>
  <c r="AT216" i="6" a="1"/>
  <c r="AT216" i="6" s="1"/>
  <c r="AT209" i="6" a="1"/>
  <c r="AT209" i="6" s="1"/>
  <c r="AT202" i="6" a="1"/>
  <c r="AT202" i="6" s="1"/>
  <c r="AT191" i="6" a="1"/>
  <c r="AT191" i="6" s="1"/>
  <c r="AT219" i="6" a="1"/>
  <c r="AT219" i="6" s="1"/>
  <c r="AT212" i="6" a="1"/>
  <c r="AT212" i="6" s="1"/>
  <c r="AT205" i="6" a="1"/>
  <c r="AT205" i="6" s="1"/>
  <c r="AT198" i="6" a="1"/>
  <c r="AT198" i="6" s="1"/>
  <c r="AT185" i="6" a="1"/>
  <c r="AT185" i="6" s="1"/>
  <c r="AT178" i="6" a="1"/>
  <c r="AT178" i="6" s="1"/>
  <c r="AT189" i="6" a="1"/>
  <c r="AT189" i="6" s="1"/>
  <c r="AT181" i="6" a="1"/>
  <c r="AT181" i="6" s="1"/>
  <c r="AT174" i="6" a="1"/>
  <c r="AT174" i="6" s="1"/>
  <c r="AT177" i="6" a="1"/>
  <c r="AT177" i="6" s="1"/>
  <c r="AT184" i="6" a="1"/>
  <c r="AT184" i="6" s="1"/>
  <c r="AT187" i="6" a="1"/>
  <c r="AT187" i="6" s="1"/>
  <c r="AT180" i="6" a="1"/>
  <c r="AT180" i="6" s="1"/>
  <c r="AT173" i="6" a="1"/>
  <c r="AT173" i="6" s="1"/>
  <c r="AT183" i="6" a="1"/>
  <c r="AT183" i="6" s="1"/>
  <c r="AT176" i="6" a="1"/>
  <c r="AT176" i="6" s="1"/>
  <c r="AT186" i="6" a="1"/>
  <c r="AT186" i="6" s="1"/>
  <c r="AT179" i="6" a="1"/>
  <c r="AT179" i="6" s="1"/>
  <c r="AT167" i="6" a="1"/>
  <c r="AT167" i="6" s="1"/>
  <c r="AT160" i="6" a="1"/>
  <c r="AT160" i="6" s="1"/>
  <c r="AT149" i="6" a="1"/>
  <c r="AT149" i="6" s="1"/>
  <c r="AT142" i="6" a="1"/>
  <c r="AT142" i="6" s="1"/>
  <c r="AT135" i="6" a="1"/>
  <c r="AT135" i="6" s="1"/>
  <c r="AT128" i="6" a="1"/>
  <c r="AT128" i="6" s="1"/>
  <c r="AT170" i="6" a="1"/>
  <c r="AT170" i="6" s="1"/>
  <c r="AT163" i="6" a="1"/>
  <c r="AT163" i="6" s="1"/>
  <c r="AT156" i="6" a="1"/>
  <c r="AT156" i="6" s="1"/>
  <c r="AT145" i="6" a="1"/>
  <c r="AT145" i="6" s="1"/>
  <c r="AT138" i="6" a="1"/>
  <c r="AT138" i="6" s="1"/>
  <c r="AT131" i="6" a="1"/>
  <c r="AT131" i="6" s="1"/>
  <c r="AT124" i="6" a="1"/>
  <c r="AT124" i="6" s="1"/>
  <c r="AT166" i="6" a="1"/>
  <c r="AT166" i="6" s="1"/>
  <c r="AT159" i="6" a="1"/>
  <c r="AT159" i="6" s="1"/>
  <c r="AT152" i="6" a="1"/>
  <c r="AT152" i="6" s="1"/>
  <c r="AT141" i="6" a="1"/>
  <c r="AT141" i="6" s="1"/>
  <c r="AT134" i="6" a="1"/>
  <c r="AT134" i="6" s="1"/>
  <c r="AT127" i="6" a="1"/>
  <c r="AT127" i="6" s="1"/>
  <c r="AT169" i="6" a="1"/>
  <c r="AT169" i="6" s="1"/>
  <c r="AT162" i="6" a="1"/>
  <c r="AT162" i="6" s="1"/>
  <c r="AT155" i="6" a="1"/>
  <c r="AT155" i="6" s="1"/>
  <c r="AT148" i="6" a="1"/>
  <c r="AT148" i="6" s="1"/>
  <c r="AT137" i="6" a="1"/>
  <c r="AT137" i="6" s="1"/>
  <c r="AT130" i="6" a="1"/>
  <c r="AT130" i="6" s="1"/>
  <c r="AT123" i="6" a="1"/>
  <c r="AT123" i="6" s="1"/>
  <c r="AT165" i="6" a="1"/>
  <c r="AT165" i="6" s="1"/>
  <c r="AT158" i="6" a="1"/>
  <c r="AT158" i="6" s="1"/>
  <c r="AT151" i="6" a="1"/>
  <c r="AT151" i="6" s="1"/>
  <c r="AT144" i="6" a="1"/>
  <c r="AT144" i="6" s="1"/>
  <c r="AT133" i="6" a="1"/>
  <c r="AT133" i="6" s="1"/>
  <c r="AT126" i="6" a="1"/>
  <c r="AT126" i="6" s="1"/>
  <c r="AT172" i="6" a="1"/>
  <c r="AT172" i="6" s="1"/>
  <c r="AT161" i="6" a="1"/>
  <c r="AT161" i="6" s="1"/>
  <c r="AT154" i="6" a="1"/>
  <c r="AT154" i="6" s="1"/>
  <c r="AT147" i="6" a="1"/>
  <c r="AT147" i="6" s="1"/>
  <c r="AT140" i="6" a="1"/>
  <c r="AT140" i="6" s="1"/>
  <c r="AT129" i="6" a="1"/>
  <c r="AT129" i="6" s="1"/>
  <c r="AT175" i="6" a="1"/>
  <c r="AT175" i="6" s="1"/>
  <c r="AT168" i="6" a="1"/>
  <c r="AT168" i="6" s="1"/>
  <c r="AT153" i="6" a="1"/>
  <c r="AT153" i="6" s="1"/>
  <c r="AT132" i="6" a="1"/>
  <c r="AT132" i="6" s="1"/>
  <c r="AT118" i="6" a="1"/>
  <c r="AT118" i="6" s="1"/>
  <c r="AT111" i="6" a="1"/>
  <c r="AT111" i="6" s="1"/>
  <c r="AT104" i="6" a="1"/>
  <c r="AT104" i="6" s="1"/>
  <c r="AT121" i="6" a="1"/>
  <c r="AT121" i="6" s="1"/>
  <c r="AT114" i="6" a="1"/>
  <c r="AT114" i="6" s="1"/>
  <c r="AT107" i="6" a="1"/>
  <c r="AT107" i="6" s="1"/>
  <c r="AT100" i="6" a="1"/>
  <c r="AT100" i="6" s="1"/>
  <c r="AT157" i="6" a="1"/>
  <c r="AT157" i="6" s="1"/>
  <c r="AT136" i="6" a="1"/>
  <c r="AT136" i="6" s="1"/>
  <c r="AT117" i="6" a="1"/>
  <c r="AT117" i="6" s="1"/>
  <c r="AT110" i="6" a="1"/>
  <c r="AT110" i="6" s="1"/>
  <c r="AT103" i="6" a="1"/>
  <c r="AT103" i="6" s="1"/>
  <c r="AT122" i="6" a="1"/>
  <c r="AT122" i="6" s="1"/>
  <c r="AT113" i="6" a="1"/>
  <c r="AT113" i="6" s="1"/>
  <c r="AT106" i="6" a="1"/>
  <c r="AT106" i="6" s="1"/>
  <c r="AT139" i="6" a="1"/>
  <c r="AT139" i="6" s="1"/>
  <c r="AT125" i="6" a="1"/>
  <c r="AT125" i="6" s="1"/>
  <c r="AT120" i="6" a="1"/>
  <c r="AT120" i="6" s="1"/>
  <c r="AT109" i="6" a="1"/>
  <c r="AT109" i="6" s="1"/>
  <c r="AT102" i="6" a="1"/>
  <c r="AT102" i="6" s="1"/>
  <c r="AT182" i="6" a="1"/>
  <c r="AT182" i="6" s="1"/>
  <c r="AT171" i="6" a="1"/>
  <c r="AT171" i="6" s="1"/>
  <c r="AT143" i="6" a="1"/>
  <c r="AT143" i="6" s="1"/>
  <c r="AT116" i="6" a="1"/>
  <c r="AT116" i="6" s="1"/>
  <c r="AT105" i="6" a="1"/>
  <c r="AT105" i="6" s="1"/>
  <c r="AT98" i="6" a="1"/>
  <c r="AT98" i="6" s="1"/>
  <c r="AT95" i="6" a="1"/>
  <c r="AT95" i="6" s="1"/>
  <c r="AT150" i="6" a="1"/>
  <c r="AT150" i="6" s="1"/>
  <c r="AT146" i="6" a="1"/>
  <c r="AT146" i="6" s="1"/>
  <c r="AT119" i="6" a="1"/>
  <c r="AT119" i="6" s="1"/>
  <c r="AT112" i="6" a="1"/>
  <c r="AT112" i="6" s="1"/>
  <c r="AT101" i="6" a="1"/>
  <c r="AT101" i="6" s="1"/>
  <c r="AT99" i="6" a="1"/>
  <c r="AT99" i="6" s="1"/>
  <c r="AT92" i="6" a="1"/>
  <c r="AT92" i="6" s="1"/>
  <c r="AT86" i="6" a="1"/>
  <c r="AT86" i="6" s="1"/>
  <c r="AT81" i="6" a="1"/>
  <c r="AT81" i="6" s="1"/>
  <c r="AT74" i="6" a="1"/>
  <c r="AT74" i="6" s="1"/>
  <c r="AT87" i="6" a="1"/>
  <c r="AT87" i="6" s="1"/>
  <c r="AT77" i="6" a="1"/>
  <c r="AT77" i="6" s="1"/>
  <c r="AT70" i="6" a="1"/>
  <c r="AT70" i="6" s="1"/>
  <c r="AT63" i="6" a="1"/>
  <c r="AT63" i="6" s="1"/>
  <c r="AT52" i="6" a="1"/>
  <c r="AT52" i="6" s="1"/>
  <c r="AT93" i="6" a="1"/>
  <c r="AT93" i="6" s="1"/>
  <c r="AT88" i="6" a="1"/>
  <c r="AT88" i="6" s="1"/>
  <c r="AT82" i="6" a="1"/>
  <c r="AT82" i="6" s="1"/>
  <c r="AT80" i="6" a="1"/>
  <c r="AT80" i="6" s="1"/>
  <c r="AT73" i="6" a="1"/>
  <c r="AT73" i="6" s="1"/>
  <c r="AT66" i="6" a="1"/>
  <c r="AT66" i="6" s="1"/>
  <c r="AT97" i="6" a="1"/>
  <c r="AT97" i="6" s="1"/>
  <c r="AT83" i="6" a="1"/>
  <c r="AT83" i="6" s="1"/>
  <c r="AT76" i="6" a="1"/>
  <c r="AT76" i="6" s="1"/>
  <c r="AT69" i="6" a="1"/>
  <c r="AT69" i="6" s="1"/>
  <c r="AT62" i="6" a="1"/>
  <c r="AT62" i="6" s="1"/>
  <c r="AT55" i="6" a="1"/>
  <c r="AT55" i="6" s="1"/>
  <c r="AT94" i="6" a="1"/>
  <c r="AT94" i="6" s="1"/>
  <c r="AT89" i="6" a="1"/>
  <c r="AT89" i="6" s="1"/>
  <c r="AT84" i="6" a="1"/>
  <c r="AT84" i="6" s="1"/>
  <c r="AT72" i="6" a="1"/>
  <c r="AT72" i="6" s="1"/>
  <c r="AT65" i="6" a="1"/>
  <c r="AT65" i="6" s="1"/>
  <c r="AT58" i="6" a="1"/>
  <c r="AT58" i="6" s="1"/>
  <c r="AT96" i="6" a="1"/>
  <c r="AT96" i="6" s="1"/>
  <c r="AT79" i="6" a="1"/>
  <c r="AT79" i="6" s="1"/>
  <c r="AT68" i="6" a="1"/>
  <c r="AT68" i="6" s="1"/>
  <c r="AT61" i="6" a="1"/>
  <c r="AT61" i="6" s="1"/>
  <c r="AT54" i="6" a="1"/>
  <c r="AT54" i="6" s="1"/>
  <c r="AT47" i="6" a="1"/>
  <c r="AT47" i="6" s="1"/>
  <c r="AT164" i="6" a="1"/>
  <c r="AT164" i="6" s="1"/>
  <c r="AT108" i="6" a="1"/>
  <c r="AT108" i="6" s="1"/>
  <c r="AT90" i="6" a="1"/>
  <c r="AT90" i="6" s="1"/>
  <c r="AT85" i="6" a="1"/>
  <c r="AT85" i="6" s="1"/>
  <c r="AT75" i="6" a="1"/>
  <c r="AT75" i="6" s="1"/>
  <c r="AT64" i="6" a="1"/>
  <c r="AT64" i="6" s="1"/>
  <c r="AT115" i="6" a="1"/>
  <c r="AT115" i="6" s="1"/>
  <c r="AT91" i="6" a="1"/>
  <c r="AT91" i="6" s="1"/>
  <c r="AT78" i="6" a="1"/>
  <c r="AT78" i="6" s="1"/>
  <c r="AT71" i="6" a="1"/>
  <c r="AT71" i="6" s="1"/>
  <c r="AT60" i="6" a="1"/>
  <c r="AT60" i="6" s="1"/>
  <c r="AT53" i="6" a="1"/>
  <c r="AT53" i="6" s="1"/>
  <c r="AT46" i="6" a="1"/>
  <c r="AT46" i="6" s="1"/>
  <c r="AK6" i="6" a="1"/>
  <c r="AK6" i="6" s="1"/>
  <c r="AL7" i="6" a="1"/>
  <c r="AL7" i="6" s="1"/>
  <c r="AM8" i="6" a="1"/>
  <c r="AM8" i="6" s="1"/>
  <c r="AI9" i="6" a="1"/>
  <c r="AI9" i="6" s="1"/>
  <c r="AO10" i="6" a="1"/>
  <c r="AO10" i="6" s="1"/>
  <c r="AK11" i="6" a="1"/>
  <c r="AK11" i="6" s="1"/>
  <c r="AP11" i="6" a="1"/>
  <c r="AP11" i="6" s="1"/>
  <c r="AL12" i="6" a="1"/>
  <c r="AL12" i="6" s="1"/>
  <c r="AQ12" i="6" a="1"/>
  <c r="AQ12" i="6" s="1"/>
  <c r="AM13" i="6" a="1"/>
  <c r="AM13" i="6" s="1"/>
  <c r="AS14" i="6" a="1"/>
  <c r="AS14" i="6" s="1"/>
  <c r="AO15" i="6" a="1"/>
  <c r="AO15" i="6" s="1"/>
  <c r="AT15" i="6" a="1"/>
  <c r="AT15" i="6" s="1"/>
  <c r="AP16" i="6" a="1"/>
  <c r="AP16" i="6" s="1"/>
  <c r="AU16" i="6" a="1"/>
  <c r="AU16" i="6" s="1"/>
  <c r="AQ17" i="6" a="1"/>
  <c r="AQ17" i="6" s="1"/>
  <c r="AS19" i="6" a="1"/>
  <c r="AS19" i="6" s="1"/>
  <c r="AI20" i="6" a="1"/>
  <c r="AI20" i="6" s="1"/>
  <c r="AT20" i="6" a="1"/>
  <c r="AT20" i="6" s="1"/>
  <c r="AU21" i="6" a="1"/>
  <c r="AU21" i="6" s="1"/>
  <c r="AK22" i="6" a="1"/>
  <c r="AK22" i="6" s="1"/>
  <c r="AL23" i="6" a="1"/>
  <c r="AL23" i="6" s="1"/>
  <c r="AM24" i="6" a="1"/>
  <c r="AM24" i="6" s="1"/>
  <c r="AI25" i="6" a="1"/>
  <c r="AI25" i="6" s="1"/>
  <c r="AO26" i="6" a="1"/>
  <c r="AO26" i="6" s="1"/>
  <c r="AK27" i="6" a="1"/>
  <c r="AK27" i="6" s="1"/>
  <c r="AP27" i="6" a="1"/>
  <c r="AP27" i="6" s="1"/>
  <c r="AL28" i="6" a="1"/>
  <c r="AL28" i="6" s="1"/>
  <c r="AQ28" i="6" a="1"/>
  <c r="AQ28" i="6" s="1"/>
  <c r="AM29" i="6" a="1"/>
  <c r="AM29" i="6" s="1"/>
  <c r="AS30" i="6" a="1"/>
  <c r="AS30" i="6" s="1"/>
  <c r="AO31" i="6" a="1"/>
  <c r="AO31" i="6" s="1"/>
  <c r="AT31" i="6" a="1"/>
  <c r="AT31" i="6" s="1"/>
  <c r="AP32" i="6" a="1"/>
  <c r="AP32" i="6" s="1"/>
  <c r="AU32" i="6" a="1"/>
  <c r="AU32" i="6" s="1"/>
  <c r="AQ33" i="6" a="1"/>
  <c r="AQ33" i="6" s="1"/>
  <c r="AS35" i="6" a="1"/>
  <c r="AS35" i="6" s="1"/>
  <c r="AI36" i="6" a="1"/>
  <c r="AI36" i="6" s="1"/>
  <c r="AT36" i="6" a="1"/>
  <c r="AT36" i="6" s="1"/>
  <c r="AU37" i="6" a="1"/>
  <c r="AU37" i="6" s="1"/>
  <c r="AK38" i="6" a="1"/>
  <c r="AK38" i="6" s="1"/>
  <c r="AL39" i="6" a="1"/>
  <c r="AL39" i="6" s="1"/>
  <c r="AM40" i="6" a="1"/>
  <c r="AM40" i="6" s="1"/>
  <c r="AI41" i="6" a="1"/>
  <c r="AI41" i="6" s="1"/>
  <c r="AO42" i="6" a="1"/>
  <c r="AO42" i="6" s="1"/>
  <c r="AK43" i="6" a="1"/>
  <c r="AK43" i="6" s="1"/>
  <c r="AP43" i="6" a="1"/>
  <c r="AP43" i="6" s="1"/>
  <c r="AL44" i="6" a="1"/>
  <c r="AL44" i="6" s="1"/>
  <c r="AQ44" i="6" a="1"/>
  <c r="AQ44" i="6" s="1"/>
  <c r="AM45" i="6" a="1"/>
  <c r="AM45" i="6" s="1"/>
  <c r="AP46" i="6" a="1"/>
  <c r="AP46" i="6" s="1"/>
  <c r="AT48" i="6" a="1"/>
  <c r="AT48" i="6" s="1"/>
  <c r="AL49" i="6" a="1"/>
  <c r="AL49" i="6" s="1"/>
  <c r="AS49" i="6" a="1"/>
  <c r="AS49" i="6" s="1"/>
  <c r="AL50" i="6" a="1"/>
  <c r="AL50" i="6" s="1"/>
  <c r="AS50" i="6" a="1"/>
  <c r="AS50" i="6" s="1"/>
  <c r="AT51" i="6" a="1"/>
  <c r="AT51" i="6" s="1"/>
  <c r="AP53" i="6" a="1"/>
  <c r="AP53" i="6" s="1"/>
  <c r="AI54" i="6" a="1"/>
  <c r="AI54" i="6" s="1"/>
  <c r="AS57" i="6" a="1"/>
  <c r="AS57" i="6" s="1"/>
  <c r="AS9" i="6" a="1"/>
  <c r="AS9" i="6" s="1"/>
  <c r="AM351" i="6" a="1"/>
  <c r="AM351" i="6" s="1"/>
  <c r="AM343" i="6" a="1"/>
  <c r="AM343" i="6" s="1"/>
  <c r="AM352" i="6" a="1"/>
  <c r="AM352" i="6" s="1"/>
  <c r="AM344" i="6" a="1"/>
  <c r="AM344" i="6" s="1"/>
  <c r="AM336" i="6" a="1"/>
  <c r="AM336" i="6" s="1"/>
  <c r="AM353" i="6" a="1"/>
  <c r="AM353" i="6" s="1"/>
  <c r="AM354" i="6" a="1"/>
  <c r="AM354" i="6" s="1"/>
  <c r="AM346" i="6" a="1"/>
  <c r="AM346" i="6" s="1"/>
  <c r="AM338" i="6" a="1"/>
  <c r="AM338" i="6" s="1"/>
  <c r="AM355" i="6" a="1"/>
  <c r="AM355" i="6" s="1"/>
  <c r="AM347" i="6" a="1"/>
  <c r="AM347" i="6" s="1"/>
  <c r="AM339" i="6" a="1"/>
  <c r="AM339" i="6" s="1"/>
  <c r="AM356" i="6" a="1"/>
  <c r="AM356" i="6" s="1"/>
  <c r="AM348" i="6" a="1"/>
  <c r="AM348" i="6" s="1"/>
  <c r="AM340" i="6" a="1"/>
  <c r="AM340" i="6" s="1"/>
  <c r="AM357" i="6" a="1"/>
  <c r="AM357" i="6" s="1"/>
  <c r="AM349" i="6" a="1"/>
  <c r="AM349" i="6" s="1"/>
  <c r="AM341" i="6" a="1"/>
  <c r="AM341" i="6" s="1"/>
  <c r="AM358" i="6" a="1"/>
  <c r="AM358" i="6" s="1"/>
  <c r="AM342" i="6" a="1"/>
  <c r="AM342" i="6" s="1"/>
  <c r="AM332" i="6" a="1"/>
  <c r="AM332" i="6" s="1"/>
  <c r="AM325" i="6" a="1"/>
  <c r="AM325" i="6" s="1"/>
  <c r="AM318" i="6" a="1"/>
  <c r="AM318" i="6" s="1"/>
  <c r="AM337" i="6" a="1"/>
  <c r="AM337" i="6" s="1"/>
  <c r="AM328" i="6" a="1"/>
  <c r="AM328" i="6" s="1"/>
  <c r="AM321" i="6" a="1"/>
  <c r="AM321" i="6" s="1"/>
  <c r="AM335" i="6" a="1"/>
  <c r="AM335" i="6" s="1"/>
  <c r="AM324" i="6" a="1"/>
  <c r="AM324" i="6" s="1"/>
  <c r="AM317" i="6" a="1"/>
  <c r="AM317" i="6" s="1"/>
  <c r="AM345" i="6" a="1"/>
  <c r="AM345" i="6" s="1"/>
  <c r="AM331" i="6" a="1"/>
  <c r="AM331" i="6" s="1"/>
  <c r="AM320" i="6" a="1"/>
  <c r="AM320" i="6" s="1"/>
  <c r="AM313" i="6" a="1"/>
  <c r="AM313" i="6" s="1"/>
  <c r="AM334" i="6" a="1"/>
  <c r="AM334" i="6" s="1"/>
  <c r="AM327" i="6" a="1"/>
  <c r="AM327" i="6" s="1"/>
  <c r="AM316" i="6" a="1"/>
  <c r="AM316" i="6" s="1"/>
  <c r="AM330" i="6" a="1"/>
  <c r="AM330" i="6" s="1"/>
  <c r="AM323" i="6" a="1"/>
  <c r="AM323" i="6" s="1"/>
  <c r="AM312" i="6" a="1"/>
  <c r="AM312" i="6" s="1"/>
  <c r="AM350" i="6" a="1"/>
  <c r="AM350" i="6" s="1"/>
  <c r="AM333" i="6" a="1"/>
  <c r="AM333" i="6" s="1"/>
  <c r="AM326" i="6" a="1"/>
  <c r="AM326" i="6" s="1"/>
  <c r="AM319" i="6" a="1"/>
  <c r="AM319" i="6" s="1"/>
  <c r="AM322" i="6" a="1"/>
  <c r="AM322" i="6" s="1"/>
  <c r="AM310" i="6" a="1"/>
  <c r="AM310" i="6" s="1"/>
  <c r="AM303" i="6" a="1"/>
  <c r="AM303" i="6" s="1"/>
  <c r="AM329" i="6" a="1"/>
  <c r="AM329" i="6" s="1"/>
  <c r="AM306" i="6" a="1"/>
  <c r="AM306" i="6" s="1"/>
  <c r="AM315" i="6" a="1"/>
  <c r="AM315" i="6" s="1"/>
  <c r="AM309" i="6" a="1"/>
  <c r="AM309" i="6" s="1"/>
  <c r="AM305" i="6" a="1"/>
  <c r="AM305" i="6" s="1"/>
  <c r="AM314" i="6" a="1"/>
  <c r="AM314" i="6" s="1"/>
  <c r="AM308" i="6" a="1"/>
  <c r="AM308" i="6" s="1"/>
  <c r="AM304" i="6" a="1"/>
  <c r="AM304" i="6" s="1"/>
  <c r="AM301" i="6" a="1"/>
  <c r="AM301" i="6" s="1"/>
  <c r="AM311" i="6" a="1"/>
  <c r="AM311" i="6" s="1"/>
  <c r="AM293" i="6" a="1"/>
  <c r="AM293" i="6" s="1"/>
  <c r="AM288" i="6" a="1"/>
  <c r="AM288" i="6" s="1"/>
  <c r="AM294" i="6" a="1"/>
  <c r="AM294" i="6" s="1"/>
  <c r="AM279" i="6" a="1"/>
  <c r="AM279" i="6" s="1"/>
  <c r="AM300" i="6" a="1"/>
  <c r="AM300" i="6" s="1"/>
  <c r="AM295" i="6" a="1"/>
  <c r="AM295" i="6" s="1"/>
  <c r="AM289" i="6" a="1"/>
  <c r="AM289" i="6" s="1"/>
  <c r="AM290" i="6" a="1"/>
  <c r="AM290" i="6" s="1"/>
  <c r="AM278" i="6" a="1"/>
  <c r="AM278" i="6" s="1"/>
  <c r="AM299" i="6" a="1"/>
  <c r="AM299" i="6" s="1"/>
  <c r="AM296" i="6" a="1"/>
  <c r="AM296" i="6" s="1"/>
  <c r="AM291" i="6" a="1"/>
  <c r="AM291" i="6" s="1"/>
  <c r="AM307" i="6" a="1"/>
  <c r="AM307" i="6" s="1"/>
  <c r="AM302" i="6" a="1"/>
  <c r="AM302" i="6" s="1"/>
  <c r="AM286" i="6" a="1"/>
  <c r="AM286" i="6" s="1"/>
  <c r="AM297" i="6" a="1"/>
  <c r="AM297" i="6" s="1"/>
  <c r="AM292" i="6" a="1"/>
  <c r="AM292" i="6" s="1"/>
  <c r="AM287" i="6" a="1"/>
  <c r="AM287" i="6" s="1"/>
  <c r="AM285" i="6" a="1"/>
  <c r="AM285" i="6" s="1"/>
  <c r="AM273" i="6" a="1"/>
  <c r="AM273" i="6" s="1"/>
  <c r="AM281" i="6" a="1"/>
  <c r="AM281" i="6" s="1"/>
  <c r="AM275" i="6" a="1"/>
  <c r="AM275" i="6" s="1"/>
  <c r="AM269" i="6" a="1"/>
  <c r="AM269" i="6" s="1"/>
  <c r="AM280" i="6" a="1"/>
  <c r="AM280" i="6" s="1"/>
  <c r="AM272" i="6" a="1"/>
  <c r="AM272" i="6" s="1"/>
  <c r="AM282" i="6" a="1"/>
  <c r="AM282" i="6" s="1"/>
  <c r="AM277" i="6" a="1"/>
  <c r="AM277" i="6" s="1"/>
  <c r="AM271" i="6" a="1"/>
  <c r="AM271" i="6" s="1"/>
  <c r="AM268" i="6" a="1"/>
  <c r="AM268" i="6" s="1"/>
  <c r="AM298" i="6" a="1"/>
  <c r="AM298" i="6" s="1"/>
  <c r="AM284" i="6" a="1"/>
  <c r="AM284" i="6" s="1"/>
  <c r="AM274" i="6" a="1"/>
  <c r="AM274" i="6" s="1"/>
  <c r="AM262" i="6" a="1"/>
  <c r="AM262" i="6" s="1"/>
  <c r="AM276" i="6" a="1"/>
  <c r="AM276" i="6" s="1"/>
  <c r="AM265" i="6" a="1"/>
  <c r="AM265" i="6" s="1"/>
  <c r="AM258" i="6" a="1"/>
  <c r="AM258" i="6" s="1"/>
  <c r="AM261" i="6" a="1"/>
  <c r="AM261" i="6" s="1"/>
  <c r="AM283" i="6" a="1"/>
  <c r="AM283" i="6" s="1"/>
  <c r="AM264" i="6" a="1"/>
  <c r="AM264" i="6" s="1"/>
  <c r="AM270" i="6" a="1"/>
  <c r="AM270" i="6" s="1"/>
  <c r="AM267" i="6" a="1"/>
  <c r="AM267" i="6" s="1"/>
  <c r="AM263" i="6" a="1"/>
  <c r="AM263" i="6" s="1"/>
  <c r="AM257" i="6" a="1"/>
  <c r="AM257" i="6" s="1"/>
  <c r="AM250" i="6" a="1"/>
  <c r="AM250" i="6" s="1"/>
  <c r="AM239" i="6" a="1"/>
  <c r="AM239" i="6" s="1"/>
  <c r="AM253" i="6" a="1"/>
  <c r="AM253" i="6" s="1"/>
  <c r="AM246" i="6" a="1"/>
  <c r="AM246" i="6" s="1"/>
  <c r="AM235" i="6" a="1"/>
  <c r="AM235" i="6" s="1"/>
  <c r="AM256" i="6" a="1"/>
  <c r="AM256" i="6" s="1"/>
  <c r="AM249" i="6" a="1"/>
  <c r="AM249" i="6" s="1"/>
  <c r="AM242" i="6" a="1"/>
  <c r="AM242" i="6" s="1"/>
  <c r="AM260" i="6" a="1"/>
  <c r="AM260" i="6" s="1"/>
  <c r="AM259" i="6" a="1"/>
  <c r="AM259" i="6" s="1"/>
  <c r="AM252" i="6" a="1"/>
  <c r="AM252" i="6" s="1"/>
  <c r="AM245" i="6" a="1"/>
  <c r="AM245" i="6" s="1"/>
  <c r="AM238" i="6" a="1"/>
  <c r="AM238" i="6" s="1"/>
  <c r="AM255" i="6" a="1"/>
  <c r="AM255" i="6" s="1"/>
  <c r="AM248" i="6" a="1"/>
  <c r="AM248" i="6" s="1"/>
  <c r="AM241" i="6" a="1"/>
  <c r="AM241" i="6" s="1"/>
  <c r="AM234" i="6" a="1"/>
  <c r="AM234" i="6" s="1"/>
  <c r="AM266" i="6" a="1"/>
  <c r="AM266" i="6" s="1"/>
  <c r="AM247" i="6" a="1"/>
  <c r="AM247" i="6" s="1"/>
  <c r="AM240" i="6" a="1"/>
  <c r="AM240" i="6" s="1"/>
  <c r="AM233" i="6" a="1"/>
  <c r="AM233" i="6" s="1"/>
  <c r="AM254" i="6" a="1"/>
  <c r="AM254" i="6" s="1"/>
  <c r="AM243" i="6" a="1"/>
  <c r="AM243" i="6" s="1"/>
  <c r="AM236" i="6" a="1"/>
  <c r="AM236" i="6" s="1"/>
  <c r="AM251" i="6" a="1"/>
  <c r="AM251" i="6" s="1"/>
  <c r="AM232" i="6" a="1"/>
  <c r="AM232" i="6" s="1"/>
  <c r="AM227" i="6" a="1"/>
  <c r="AM227" i="6" s="1"/>
  <c r="AM230" i="6" a="1"/>
  <c r="AM230" i="6" s="1"/>
  <c r="AM223" i="6" a="1"/>
  <c r="AM223" i="6" s="1"/>
  <c r="AM226" i="6" a="1"/>
  <c r="AM226" i="6" s="1"/>
  <c r="AM237" i="6" a="1"/>
  <c r="AM237" i="6" s="1"/>
  <c r="AM229" i="6" a="1"/>
  <c r="AM229" i="6" s="1"/>
  <c r="AM225" i="6" a="1"/>
  <c r="AM225" i="6" s="1"/>
  <c r="AM244" i="6" a="1"/>
  <c r="AM244" i="6" s="1"/>
  <c r="AM228" i="6" a="1"/>
  <c r="AM228" i="6" s="1"/>
  <c r="AM231" i="6" a="1"/>
  <c r="AM231" i="6" s="1"/>
  <c r="AM217" i="6" a="1"/>
  <c r="AM217" i="6" s="1"/>
  <c r="AM210" i="6" a="1"/>
  <c r="AM210" i="6" s="1"/>
  <c r="AM203" i="6" a="1"/>
  <c r="AM203" i="6" s="1"/>
  <c r="AM192" i="6" a="1"/>
  <c r="AM192" i="6" s="1"/>
  <c r="AM220" i="6" a="1"/>
  <c r="AM220" i="6" s="1"/>
  <c r="AM213" i="6" a="1"/>
  <c r="AM213" i="6" s="1"/>
  <c r="AM206" i="6" a="1"/>
  <c r="AM206" i="6" s="1"/>
  <c r="AM199" i="6" a="1"/>
  <c r="AM199" i="6" s="1"/>
  <c r="AM216" i="6" a="1"/>
  <c r="AM216" i="6" s="1"/>
  <c r="AM209" i="6" a="1"/>
  <c r="AM209" i="6" s="1"/>
  <c r="AM202" i="6" a="1"/>
  <c r="AM202" i="6" s="1"/>
  <c r="AM195" i="6" a="1"/>
  <c r="AM195" i="6" s="1"/>
  <c r="AM212" i="6" a="1"/>
  <c r="AM212" i="6" s="1"/>
  <c r="AM205" i="6" a="1"/>
  <c r="AM205" i="6" s="1"/>
  <c r="AM198" i="6" a="1"/>
  <c r="AM198" i="6" s="1"/>
  <c r="AM219" i="6" a="1"/>
  <c r="AM219" i="6" s="1"/>
  <c r="AM208" i="6" a="1"/>
  <c r="AM208" i="6" s="1"/>
  <c r="AM201" i="6" a="1"/>
  <c r="AM201" i="6" s="1"/>
  <c r="AM194" i="6" a="1"/>
  <c r="AM194" i="6" s="1"/>
  <c r="AM215" i="6" a="1"/>
  <c r="AM215" i="6" s="1"/>
  <c r="AM204" i="6" a="1"/>
  <c r="AM204" i="6" s="1"/>
  <c r="AM197" i="6" a="1"/>
  <c r="AM197" i="6" s="1"/>
  <c r="AM190" i="6" a="1"/>
  <c r="AM190" i="6" s="1"/>
  <c r="AM224" i="6" a="1"/>
  <c r="AM224" i="6" s="1"/>
  <c r="AM222" i="6" a="1"/>
  <c r="AM222" i="6" s="1"/>
  <c r="AM218" i="6" a="1"/>
  <c r="AM218" i="6" s="1"/>
  <c r="AM211" i="6" a="1"/>
  <c r="AM211" i="6" s="1"/>
  <c r="AM200" i="6" a="1"/>
  <c r="AM200" i="6" s="1"/>
  <c r="AM193" i="6" a="1"/>
  <c r="AM193" i="6" s="1"/>
  <c r="AM221" i="6" a="1"/>
  <c r="AM221" i="6" s="1"/>
  <c r="AM214" i="6" a="1"/>
  <c r="AM214" i="6" s="1"/>
  <c r="AM207" i="6" a="1"/>
  <c r="AM207" i="6" s="1"/>
  <c r="AM196" i="6" a="1"/>
  <c r="AM196" i="6" s="1"/>
  <c r="AM187" i="6" a="1"/>
  <c r="AM187" i="6" s="1"/>
  <c r="AM180" i="6" a="1"/>
  <c r="AM180" i="6" s="1"/>
  <c r="AM183" i="6" a="1"/>
  <c r="AM183" i="6" s="1"/>
  <c r="AM176" i="6" a="1"/>
  <c r="AM176" i="6" s="1"/>
  <c r="AM186" i="6" a="1"/>
  <c r="AM186" i="6" s="1"/>
  <c r="AM179" i="6" a="1"/>
  <c r="AM179" i="6" s="1"/>
  <c r="AM191" i="6" a="1"/>
  <c r="AM191" i="6" s="1"/>
  <c r="AM182" i="6" a="1"/>
  <c r="AM182" i="6" s="1"/>
  <c r="AM175" i="6" a="1"/>
  <c r="AM175" i="6" s="1"/>
  <c r="AM178" i="6" a="1"/>
  <c r="AM178" i="6" s="1"/>
  <c r="AM185" i="6" a="1"/>
  <c r="AM185" i="6" s="1"/>
  <c r="AM189" i="6" a="1"/>
  <c r="AM189" i="6" s="1"/>
  <c r="AM181" i="6" a="1"/>
  <c r="AM181" i="6" s="1"/>
  <c r="AM169" i="6" a="1"/>
  <c r="AM169" i="6" s="1"/>
  <c r="AM158" i="6" a="1"/>
  <c r="AM158" i="6" s="1"/>
  <c r="AM151" i="6" a="1"/>
  <c r="AM151" i="6" s="1"/>
  <c r="AM144" i="6" a="1"/>
  <c r="AM144" i="6" s="1"/>
  <c r="AM137" i="6" a="1"/>
  <c r="AM137" i="6" s="1"/>
  <c r="AM126" i="6" a="1"/>
  <c r="AM126" i="6" s="1"/>
  <c r="AM172" i="6" a="1"/>
  <c r="AM172" i="6" s="1"/>
  <c r="AM165" i="6" a="1"/>
  <c r="AM165" i="6" s="1"/>
  <c r="AM154" i="6" a="1"/>
  <c r="AM154" i="6" s="1"/>
  <c r="AM147" i="6" a="1"/>
  <c r="AM147" i="6" s="1"/>
  <c r="AM140" i="6" a="1"/>
  <c r="AM140" i="6" s="1"/>
  <c r="AM133" i="6" a="1"/>
  <c r="AM133" i="6" s="1"/>
  <c r="AM122" i="6" a="1"/>
  <c r="AM122" i="6" s="1"/>
  <c r="AM168" i="6" a="1"/>
  <c r="AM168" i="6" s="1"/>
  <c r="AM161" i="6" a="1"/>
  <c r="AM161" i="6" s="1"/>
  <c r="AM150" i="6" a="1"/>
  <c r="AM150" i="6" s="1"/>
  <c r="AM143" i="6" a="1"/>
  <c r="AM143" i="6" s="1"/>
  <c r="AM136" i="6" a="1"/>
  <c r="AM136" i="6" s="1"/>
  <c r="AM129" i="6" a="1"/>
  <c r="AM129" i="6" s="1"/>
  <c r="AM171" i="6" a="1"/>
  <c r="AM171" i="6" s="1"/>
  <c r="AM164" i="6" a="1"/>
  <c r="AM164" i="6" s="1"/>
  <c r="AM157" i="6" a="1"/>
  <c r="AM157" i="6" s="1"/>
  <c r="AM146" i="6" a="1"/>
  <c r="AM146" i="6" s="1"/>
  <c r="AM139" i="6" a="1"/>
  <c r="AM139" i="6" s="1"/>
  <c r="AM132" i="6" a="1"/>
  <c r="AM132" i="6" s="1"/>
  <c r="AM125" i="6" a="1"/>
  <c r="AM125" i="6" s="1"/>
  <c r="AM167" i="6" a="1"/>
  <c r="AM167" i="6" s="1"/>
  <c r="AM160" i="6" a="1"/>
  <c r="AM160" i="6" s="1"/>
  <c r="AM153" i="6" a="1"/>
  <c r="AM153" i="6" s="1"/>
  <c r="AM142" i="6" a="1"/>
  <c r="AM142" i="6" s="1"/>
  <c r="AM135" i="6" a="1"/>
  <c r="AM135" i="6" s="1"/>
  <c r="AM128" i="6" a="1"/>
  <c r="AM128" i="6" s="1"/>
  <c r="AM174" i="6" a="1"/>
  <c r="AM174" i="6" s="1"/>
  <c r="AM170" i="6" a="1"/>
  <c r="AM170" i="6" s="1"/>
  <c r="AM163" i="6" a="1"/>
  <c r="AM163" i="6" s="1"/>
  <c r="AM156" i="6" a="1"/>
  <c r="AM156" i="6" s="1"/>
  <c r="AM149" i="6" a="1"/>
  <c r="AM149" i="6" s="1"/>
  <c r="AM138" i="6" a="1"/>
  <c r="AM138" i="6" s="1"/>
  <c r="AM131" i="6" a="1"/>
  <c r="AM131" i="6" s="1"/>
  <c r="AM124" i="6" a="1"/>
  <c r="AM124" i="6" s="1"/>
  <c r="AM188" i="6" a="1"/>
  <c r="AM188" i="6" s="1"/>
  <c r="AM166" i="6" a="1"/>
  <c r="AM166" i="6" s="1"/>
  <c r="AM184" i="6" a="1"/>
  <c r="AM184" i="6" s="1"/>
  <c r="AM162" i="6" a="1"/>
  <c r="AM162" i="6" s="1"/>
  <c r="AM127" i="6" a="1"/>
  <c r="AM127" i="6" s="1"/>
  <c r="AM120" i="6" a="1"/>
  <c r="AM120" i="6" s="1"/>
  <c r="AM113" i="6" a="1"/>
  <c r="AM113" i="6" s="1"/>
  <c r="AM102" i="6" a="1"/>
  <c r="AM102" i="6" s="1"/>
  <c r="AM145" i="6" a="1"/>
  <c r="AM145" i="6" s="1"/>
  <c r="AM141" i="6" a="1"/>
  <c r="AM141" i="6" s="1"/>
  <c r="AM116" i="6" a="1"/>
  <c r="AM116" i="6" s="1"/>
  <c r="AM109" i="6" a="1"/>
  <c r="AM109" i="6" s="1"/>
  <c r="AM98" i="6" a="1"/>
  <c r="AM98" i="6" s="1"/>
  <c r="AM152" i="6" a="1"/>
  <c r="AM152" i="6" s="1"/>
  <c r="AM148" i="6" a="1"/>
  <c r="AM148" i="6" s="1"/>
  <c r="AM130" i="6" a="1"/>
  <c r="AM130" i="6" s="1"/>
  <c r="AM123" i="6" a="1"/>
  <c r="AM123" i="6" s="1"/>
  <c r="AM119" i="6" a="1"/>
  <c r="AM119" i="6" s="1"/>
  <c r="AM112" i="6" a="1"/>
  <c r="AM112" i="6" s="1"/>
  <c r="AM105" i="6" a="1"/>
  <c r="AM105" i="6" s="1"/>
  <c r="AM115" i="6" a="1"/>
  <c r="AM115" i="6" s="1"/>
  <c r="AM108" i="6" a="1"/>
  <c r="AM108" i="6" s="1"/>
  <c r="AM155" i="6" a="1"/>
  <c r="AM155" i="6" s="1"/>
  <c r="AM134" i="6" a="1"/>
  <c r="AM134" i="6" s="1"/>
  <c r="AM118" i="6" a="1"/>
  <c r="AM118" i="6" s="1"/>
  <c r="AM111" i="6" a="1"/>
  <c r="AM111" i="6" s="1"/>
  <c r="AM104" i="6" a="1"/>
  <c r="AM104" i="6" s="1"/>
  <c r="AM97" i="6" a="1"/>
  <c r="AM97" i="6" s="1"/>
  <c r="AM177" i="6" a="1"/>
  <c r="AM177" i="6" s="1"/>
  <c r="AM114" i="6" a="1"/>
  <c r="AM114" i="6" s="1"/>
  <c r="AM107" i="6" a="1"/>
  <c r="AM107" i="6" s="1"/>
  <c r="AM100" i="6" a="1"/>
  <c r="AM100" i="6" s="1"/>
  <c r="AM159" i="6" a="1"/>
  <c r="AM159" i="6" s="1"/>
  <c r="AM121" i="6" a="1"/>
  <c r="AM121" i="6" s="1"/>
  <c r="AM110" i="6" a="1"/>
  <c r="AM110" i="6" s="1"/>
  <c r="AM103" i="6" a="1"/>
  <c r="AM103" i="6" s="1"/>
  <c r="AM96" i="6" a="1"/>
  <c r="AM96" i="6" s="1"/>
  <c r="AM173" i="6" a="1"/>
  <c r="AM173" i="6" s="1"/>
  <c r="AM95" i="6" a="1"/>
  <c r="AM95" i="6" s="1"/>
  <c r="AM90" i="6" a="1"/>
  <c r="AM90" i="6" s="1"/>
  <c r="AM85" i="6" a="1"/>
  <c r="AM85" i="6" s="1"/>
  <c r="AM76" i="6" a="1"/>
  <c r="AM76" i="6" s="1"/>
  <c r="AM117" i="6" a="1"/>
  <c r="AM117" i="6" s="1"/>
  <c r="AM79" i="6" a="1"/>
  <c r="AM79" i="6" s="1"/>
  <c r="AM72" i="6" a="1"/>
  <c r="AM72" i="6" s="1"/>
  <c r="AM61" i="6" a="1"/>
  <c r="AM61" i="6" s="1"/>
  <c r="AM54" i="6" a="1"/>
  <c r="AM54" i="6" s="1"/>
  <c r="AM47" i="6" a="1"/>
  <c r="AM47" i="6" s="1"/>
  <c r="AM106" i="6" a="1"/>
  <c r="AM106" i="6" s="1"/>
  <c r="AM91" i="6" a="1"/>
  <c r="AM91" i="6" s="1"/>
  <c r="AM86" i="6" a="1"/>
  <c r="AM86" i="6" s="1"/>
  <c r="AM75" i="6" a="1"/>
  <c r="AM75" i="6" s="1"/>
  <c r="AM68" i="6" a="1"/>
  <c r="AM68" i="6" s="1"/>
  <c r="AM99" i="6" a="1"/>
  <c r="AM99" i="6" s="1"/>
  <c r="AM92" i="6" a="1"/>
  <c r="AM92" i="6" s="1"/>
  <c r="AM78" i="6" a="1"/>
  <c r="AM78" i="6" s="1"/>
  <c r="AM71" i="6" a="1"/>
  <c r="AM71" i="6" s="1"/>
  <c r="AM64" i="6" a="1"/>
  <c r="AM64" i="6" s="1"/>
  <c r="AM53" i="6" a="1"/>
  <c r="AM53" i="6" s="1"/>
  <c r="AM101" i="6" a="1"/>
  <c r="AM101" i="6" s="1"/>
  <c r="AM93" i="6" a="1"/>
  <c r="AM93" i="6" s="1"/>
  <c r="AM87" i="6" a="1"/>
  <c r="AM87" i="6" s="1"/>
  <c r="AM82" i="6" a="1"/>
  <c r="AM82" i="6" s="1"/>
  <c r="AM81" i="6" a="1"/>
  <c r="AM81" i="6" s="1"/>
  <c r="AM74" i="6" a="1"/>
  <c r="AM74" i="6" s="1"/>
  <c r="AM67" i="6" a="1"/>
  <c r="AM67" i="6" s="1"/>
  <c r="AM60" i="6" a="1"/>
  <c r="AM60" i="6" s="1"/>
  <c r="AM88" i="6" a="1"/>
  <c r="AM88" i="6" s="1"/>
  <c r="AM77" i="6" a="1"/>
  <c r="AM77" i="6" s="1"/>
  <c r="AM70" i="6" a="1"/>
  <c r="AM70" i="6" s="1"/>
  <c r="AM63" i="6" a="1"/>
  <c r="AM63" i="6" s="1"/>
  <c r="AM56" i="6" a="1"/>
  <c r="AM56" i="6" s="1"/>
  <c r="AM94" i="6" a="1"/>
  <c r="AM94" i="6" s="1"/>
  <c r="AM89" i="6" a="1"/>
  <c r="AM89" i="6" s="1"/>
  <c r="AM83" i="6" a="1"/>
  <c r="AM83" i="6" s="1"/>
  <c r="AM73" i="6" a="1"/>
  <c r="AM73" i="6" s="1"/>
  <c r="AM66" i="6" a="1"/>
  <c r="AM66" i="6" s="1"/>
  <c r="AM84" i="6" a="1"/>
  <c r="AM84" i="6" s="1"/>
  <c r="AM80" i="6" a="1"/>
  <c r="AM80" i="6" s="1"/>
  <c r="AM69" i="6" a="1"/>
  <c r="AM69" i="6" s="1"/>
  <c r="AM62" i="6" a="1"/>
  <c r="AM62" i="6" s="1"/>
  <c r="AM55" i="6" a="1"/>
  <c r="AM55" i="6" s="1"/>
  <c r="AM48" i="6" a="1"/>
  <c r="AM48" i="6" s="1"/>
  <c r="AU358" i="6" a="1"/>
  <c r="AU358" i="6" s="1"/>
  <c r="AU351" i="6" a="1"/>
  <c r="AU351" i="6" s="1"/>
  <c r="AU343" i="6" a="1"/>
  <c r="AU343" i="6" s="1"/>
  <c r="AU352" i="6" a="1"/>
  <c r="AU352" i="6" s="1"/>
  <c r="AU344" i="6" a="1"/>
  <c r="AU344" i="6" s="1"/>
  <c r="AU336" i="6" a="1"/>
  <c r="AU336" i="6" s="1"/>
  <c r="AU353" i="6" a="1"/>
  <c r="AU353" i="6" s="1"/>
  <c r="AU354" i="6" a="1"/>
  <c r="AU354" i="6" s="1"/>
  <c r="AU346" i="6" a="1"/>
  <c r="AU346" i="6" s="1"/>
  <c r="AU338" i="6" a="1"/>
  <c r="AU338" i="6" s="1"/>
  <c r="AU355" i="6" a="1"/>
  <c r="AU355" i="6" s="1"/>
  <c r="AU347" i="6" a="1"/>
  <c r="AU347" i="6" s="1"/>
  <c r="AU339" i="6" a="1"/>
  <c r="AU339" i="6" s="1"/>
  <c r="AU356" i="6" a="1"/>
  <c r="AU356" i="6" s="1"/>
  <c r="AU348" i="6" a="1"/>
  <c r="AU348" i="6" s="1"/>
  <c r="AU340" i="6" a="1"/>
  <c r="AU340" i="6" s="1"/>
  <c r="AU357" i="6" a="1"/>
  <c r="AU357" i="6" s="1"/>
  <c r="AU349" i="6" a="1"/>
  <c r="AU349" i="6" s="1"/>
  <c r="AU341" i="6" a="1"/>
  <c r="AU341" i="6" s="1"/>
  <c r="AU333" i="6" a="1"/>
  <c r="AU333" i="6" s="1"/>
  <c r="AU326" i="6" a="1"/>
  <c r="AU326" i="6" s="1"/>
  <c r="AU319" i="6" a="1"/>
  <c r="AU319" i="6" s="1"/>
  <c r="AU345" i="6" a="1"/>
  <c r="AU345" i="6" s="1"/>
  <c r="AU329" i="6" a="1"/>
  <c r="AU329" i="6" s="1"/>
  <c r="AU322" i="6" a="1"/>
  <c r="AU322" i="6" s="1"/>
  <c r="AU315" i="6" a="1"/>
  <c r="AU315" i="6" s="1"/>
  <c r="AU332" i="6" a="1"/>
  <c r="AU332" i="6" s="1"/>
  <c r="AU325" i="6" a="1"/>
  <c r="AU325" i="6" s="1"/>
  <c r="AU318" i="6" a="1"/>
  <c r="AU318" i="6" s="1"/>
  <c r="AU328" i="6" a="1"/>
  <c r="AU328" i="6" s="1"/>
  <c r="AU321" i="6" a="1"/>
  <c r="AU321" i="6" s="1"/>
  <c r="AU314" i="6" a="1"/>
  <c r="AU314" i="6" s="1"/>
  <c r="AU335" i="6" a="1"/>
  <c r="AU335" i="6" s="1"/>
  <c r="AU324" i="6" a="1"/>
  <c r="AU324" i="6" s="1"/>
  <c r="AU317" i="6" a="1"/>
  <c r="AU317" i="6" s="1"/>
  <c r="AU350" i="6" a="1"/>
  <c r="AU350" i="6" s="1"/>
  <c r="AU331" i="6" a="1"/>
  <c r="AU331" i="6" s="1"/>
  <c r="AU320" i="6" a="1"/>
  <c r="AU320" i="6" s="1"/>
  <c r="AU313" i="6" a="1"/>
  <c r="AU313" i="6" s="1"/>
  <c r="AU342" i="6" a="1"/>
  <c r="AU342" i="6" s="1"/>
  <c r="AU337" i="6" a="1"/>
  <c r="AU337" i="6" s="1"/>
  <c r="AU334" i="6" a="1"/>
  <c r="AU334" i="6" s="1"/>
  <c r="AU327" i="6" a="1"/>
  <c r="AU327" i="6" s="1"/>
  <c r="AU316" i="6" a="1"/>
  <c r="AU316" i="6" s="1"/>
  <c r="AU311" i="6" a="1"/>
  <c r="AU311" i="6" s="1"/>
  <c r="AU312" i="6" a="1"/>
  <c r="AU312" i="6" s="1"/>
  <c r="AU307" i="6" a="1"/>
  <c r="AU307" i="6" s="1"/>
  <c r="AU323" i="6" a="1"/>
  <c r="AU323" i="6" s="1"/>
  <c r="AU310" i="6" a="1"/>
  <c r="AU310" i="6" s="1"/>
  <c r="AU303" i="6" a="1"/>
  <c r="AU303" i="6" s="1"/>
  <c r="AU330" i="6" a="1"/>
  <c r="AU330" i="6" s="1"/>
  <c r="AU306" i="6" a="1"/>
  <c r="AU306" i="6" s="1"/>
  <c r="AU309" i="6" a="1"/>
  <c r="AU309" i="6" s="1"/>
  <c r="AU302" i="6" a="1"/>
  <c r="AU302" i="6" s="1"/>
  <c r="AU305" i="6" a="1"/>
  <c r="AU305" i="6" s="1"/>
  <c r="AU308" i="6" a="1"/>
  <c r="AU308" i="6" s="1"/>
  <c r="AU301" i="6" a="1"/>
  <c r="AU301" i="6" s="1"/>
  <c r="AU296" i="6" a="1"/>
  <c r="AU296" i="6" s="1"/>
  <c r="AU291" i="6" a="1"/>
  <c r="AU291" i="6" s="1"/>
  <c r="AU286" i="6" a="1"/>
  <c r="AU286" i="6" s="1"/>
  <c r="AU280" i="6" a="1"/>
  <c r="AU280" i="6" s="1"/>
  <c r="AU273" i="6" a="1"/>
  <c r="AU273" i="6" s="1"/>
  <c r="AU300" i="6" a="1"/>
  <c r="AU300" i="6" s="1"/>
  <c r="AU299" i="6" a="1"/>
  <c r="AU299" i="6" s="1"/>
  <c r="AU297" i="6" a="1"/>
  <c r="AU297" i="6" s="1"/>
  <c r="AU292" i="6" a="1"/>
  <c r="AU292" i="6" s="1"/>
  <c r="AU287" i="6" a="1"/>
  <c r="AU287" i="6" s="1"/>
  <c r="AU282" i="6" a="1"/>
  <c r="AU282" i="6" s="1"/>
  <c r="AU279" i="6" a="1"/>
  <c r="AU279" i="6" s="1"/>
  <c r="AU293" i="6" a="1"/>
  <c r="AU293" i="6" s="1"/>
  <c r="AU288" i="6" a="1"/>
  <c r="AU288" i="6" s="1"/>
  <c r="AU298" i="6" a="1"/>
  <c r="AU298" i="6" s="1"/>
  <c r="AU294" i="6" a="1"/>
  <c r="AU294" i="6" s="1"/>
  <c r="AU278" i="6" a="1"/>
  <c r="AU278" i="6" s="1"/>
  <c r="AU295" i="6" a="1"/>
  <c r="AU295" i="6" s="1"/>
  <c r="AU289" i="6" a="1"/>
  <c r="AU289" i="6" s="1"/>
  <c r="AU270" i="6" a="1"/>
  <c r="AU270" i="6" s="1"/>
  <c r="AU285" i="6" a="1"/>
  <c r="AU285" i="6" s="1"/>
  <c r="AU290" i="6" a="1"/>
  <c r="AU290" i="6" s="1"/>
  <c r="AU281" i="6" a="1"/>
  <c r="AU281" i="6" s="1"/>
  <c r="AU277" i="6" a="1"/>
  <c r="AU277" i="6" s="1"/>
  <c r="AU276" i="6" a="1"/>
  <c r="AU276" i="6" s="1"/>
  <c r="AU274" i="6" a="1"/>
  <c r="AU274" i="6" s="1"/>
  <c r="AU269" i="6" a="1"/>
  <c r="AU269" i="6" s="1"/>
  <c r="AU272" i="6" a="1"/>
  <c r="AU272" i="6" s="1"/>
  <c r="AU275" i="6" a="1"/>
  <c r="AU275" i="6" s="1"/>
  <c r="AU271" i="6" a="1"/>
  <c r="AU271" i="6" s="1"/>
  <c r="AU304" i="6" a="1"/>
  <c r="AU304" i="6" s="1"/>
  <c r="AU284" i="6" a="1"/>
  <c r="AU284" i="6" s="1"/>
  <c r="AU267" i="6" a="1"/>
  <c r="AU267" i="6" s="1"/>
  <c r="AU263" i="6" a="1"/>
  <c r="AU263" i="6" s="1"/>
  <c r="AU268" i="6" a="1"/>
  <c r="AU268" i="6" s="1"/>
  <c r="AU266" i="6" a="1"/>
  <c r="AU266" i="6" s="1"/>
  <c r="AU259" i="6" a="1"/>
  <c r="AU259" i="6" s="1"/>
  <c r="AU283" i="6" a="1"/>
  <c r="AU283" i="6" s="1"/>
  <c r="AU262" i="6" a="1"/>
  <c r="AU262" i="6" s="1"/>
  <c r="AU265" i="6" a="1"/>
  <c r="AU265" i="6" s="1"/>
  <c r="AU258" i="6" a="1"/>
  <c r="AU258" i="6" s="1"/>
  <c r="AU261" i="6" a="1"/>
  <c r="AU261" i="6" s="1"/>
  <c r="AU264" i="6" a="1"/>
  <c r="AU264" i="6" s="1"/>
  <c r="AU260" i="6" a="1"/>
  <c r="AU260" i="6" s="1"/>
  <c r="AU247" i="6" a="1"/>
  <c r="AU247" i="6" s="1"/>
  <c r="AU240" i="6" a="1"/>
  <c r="AU240" i="6" s="1"/>
  <c r="AU233" i="6" a="1"/>
  <c r="AU233" i="6" s="1"/>
  <c r="AU254" i="6" a="1"/>
  <c r="AU254" i="6" s="1"/>
  <c r="AU243" i="6" a="1"/>
  <c r="AU243" i="6" s="1"/>
  <c r="AU236" i="6" a="1"/>
  <c r="AU236" i="6" s="1"/>
  <c r="AU250" i="6" a="1"/>
  <c r="AU250" i="6" s="1"/>
  <c r="AU239" i="6" a="1"/>
  <c r="AU239" i="6" s="1"/>
  <c r="AU232" i="6" a="1"/>
  <c r="AU232" i="6" s="1"/>
  <c r="AU253" i="6" a="1"/>
  <c r="AU253" i="6" s="1"/>
  <c r="AU246" i="6" a="1"/>
  <c r="AU246" i="6" s="1"/>
  <c r="AU235" i="6" a="1"/>
  <c r="AU235" i="6" s="1"/>
  <c r="AU256" i="6" a="1"/>
  <c r="AU256" i="6" s="1"/>
  <c r="AU249" i="6" a="1"/>
  <c r="AU249" i="6" s="1"/>
  <c r="AU242" i="6" a="1"/>
  <c r="AU242" i="6" s="1"/>
  <c r="AU255" i="6" a="1"/>
  <c r="AU255" i="6" s="1"/>
  <c r="AU248" i="6" a="1"/>
  <c r="AU248" i="6" s="1"/>
  <c r="AU241" i="6" a="1"/>
  <c r="AU241" i="6" s="1"/>
  <c r="AU234" i="6" a="1"/>
  <c r="AU234" i="6" s="1"/>
  <c r="AU251" i="6" a="1"/>
  <c r="AU251" i="6" s="1"/>
  <c r="AU244" i="6" a="1"/>
  <c r="AU244" i="6" s="1"/>
  <c r="AU237" i="6" a="1"/>
  <c r="AU237" i="6" s="1"/>
  <c r="AU228" i="6" a="1"/>
  <c r="AU228" i="6" s="1"/>
  <c r="AU252" i="6" a="1"/>
  <c r="AU252" i="6" s="1"/>
  <c r="AU224" i="6" a="1"/>
  <c r="AU224" i="6" s="1"/>
  <c r="AU231" i="6" a="1"/>
  <c r="AU231" i="6" s="1"/>
  <c r="AU227" i="6" a="1"/>
  <c r="AU227" i="6" s="1"/>
  <c r="AU257" i="6" a="1"/>
  <c r="AU257" i="6" s="1"/>
  <c r="AU223" i="6" a="1"/>
  <c r="AU223" i="6" s="1"/>
  <c r="AU230" i="6" a="1"/>
  <c r="AU230" i="6" s="1"/>
  <c r="AU226" i="6" a="1"/>
  <c r="AU226" i="6" s="1"/>
  <c r="AU238" i="6" a="1"/>
  <c r="AU238" i="6" s="1"/>
  <c r="AU229" i="6" a="1"/>
  <c r="AU229" i="6" s="1"/>
  <c r="AU245" i="6" a="1"/>
  <c r="AU245" i="6" s="1"/>
  <c r="AU218" i="6" a="1"/>
  <c r="AU218" i="6" s="1"/>
  <c r="AU211" i="6" a="1"/>
  <c r="AU211" i="6" s="1"/>
  <c r="AU200" i="6" a="1"/>
  <c r="AU200" i="6" s="1"/>
  <c r="AU193" i="6" a="1"/>
  <c r="AU193" i="6" s="1"/>
  <c r="AU221" i="6" a="1"/>
  <c r="AU221" i="6" s="1"/>
  <c r="AU214" i="6" a="1"/>
  <c r="AU214" i="6" s="1"/>
  <c r="AU207" i="6" a="1"/>
  <c r="AU207" i="6" s="1"/>
  <c r="AU196" i="6" a="1"/>
  <c r="AU196" i="6" s="1"/>
  <c r="AU189" i="6" a="1"/>
  <c r="AU189" i="6" s="1"/>
  <c r="AU225" i="6" a="1"/>
  <c r="AU225" i="6" s="1"/>
  <c r="AU217" i="6" a="1"/>
  <c r="AU217" i="6" s="1"/>
  <c r="AU210" i="6" a="1"/>
  <c r="AU210" i="6" s="1"/>
  <c r="AU203" i="6" a="1"/>
  <c r="AU203" i="6" s="1"/>
  <c r="AU192" i="6" a="1"/>
  <c r="AU192" i="6" s="1"/>
  <c r="AU220" i="6" a="1"/>
  <c r="AU220" i="6" s="1"/>
  <c r="AU213" i="6" a="1"/>
  <c r="AU213" i="6" s="1"/>
  <c r="AU206" i="6" a="1"/>
  <c r="AU206" i="6" s="1"/>
  <c r="AU199" i="6" a="1"/>
  <c r="AU199" i="6" s="1"/>
  <c r="AU222" i="6" a="1"/>
  <c r="AU222" i="6" s="1"/>
  <c r="AU216" i="6" a="1"/>
  <c r="AU216" i="6" s="1"/>
  <c r="AU209" i="6" a="1"/>
  <c r="AU209" i="6" s="1"/>
  <c r="AU202" i="6" a="1"/>
  <c r="AU202" i="6" s="1"/>
  <c r="AU195" i="6" a="1"/>
  <c r="AU195" i="6" s="1"/>
  <c r="AU212" i="6" a="1"/>
  <c r="AU212" i="6" s="1"/>
  <c r="AU205" i="6" a="1"/>
  <c r="AU205" i="6" s="1"/>
  <c r="AU198" i="6" a="1"/>
  <c r="AU198" i="6" s="1"/>
  <c r="AU191" i="6" a="1"/>
  <c r="AU191" i="6" s="1"/>
  <c r="AU219" i="6" a="1"/>
  <c r="AU219" i="6" s="1"/>
  <c r="AU208" i="6" a="1"/>
  <c r="AU208" i="6" s="1"/>
  <c r="AU201" i="6" a="1"/>
  <c r="AU201" i="6" s="1"/>
  <c r="AU194" i="6" a="1"/>
  <c r="AU194" i="6" s="1"/>
  <c r="AU215" i="6" a="1"/>
  <c r="AU215" i="6" s="1"/>
  <c r="AU204" i="6" a="1"/>
  <c r="AU204" i="6" s="1"/>
  <c r="AU197" i="6" a="1"/>
  <c r="AU197" i="6" s="1"/>
  <c r="AU181" i="6" a="1"/>
  <c r="AU181" i="6" s="1"/>
  <c r="AU184" i="6" a="1"/>
  <c r="AU184" i="6" s="1"/>
  <c r="AU177" i="6" a="1"/>
  <c r="AU177" i="6" s="1"/>
  <c r="AU187" i="6" a="1"/>
  <c r="AU187" i="6" s="1"/>
  <c r="AU180" i="6" a="1"/>
  <c r="AU180" i="6" s="1"/>
  <c r="AU173" i="6" a="1"/>
  <c r="AU173" i="6" s="1"/>
  <c r="AU183" i="6" a="1"/>
  <c r="AU183" i="6" s="1"/>
  <c r="AU176" i="6" a="1"/>
  <c r="AU176" i="6" s="1"/>
  <c r="AU186" i="6" a="1"/>
  <c r="AU186" i="6" s="1"/>
  <c r="AU179" i="6" a="1"/>
  <c r="AU179" i="6" s="1"/>
  <c r="AU188" i="6" a="1"/>
  <c r="AU188" i="6" s="1"/>
  <c r="AU182" i="6" a="1"/>
  <c r="AU182" i="6" s="1"/>
  <c r="AU175" i="6" a="1"/>
  <c r="AU175" i="6" s="1"/>
  <c r="AU178" i="6" a="1"/>
  <c r="AU178" i="6" s="1"/>
  <c r="AU190" i="6" a="1"/>
  <c r="AU190" i="6" s="1"/>
  <c r="AU166" i="6" a="1"/>
  <c r="AU166" i="6" s="1"/>
  <c r="AU159" i="6" a="1"/>
  <c r="AU159" i="6" s="1"/>
  <c r="AU152" i="6" a="1"/>
  <c r="AU152" i="6" s="1"/>
  <c r="AU145" i="6" a="1"/>
  <c r="AU145" i="6" s="1"/>
  <c r="AU134" i="6" a="1"/>
  <c r="AU134" i="6" s="1"/>
  <c r="AU127" i="6" a="1"/>
  <c r="AU127" i="6" s="1"/>
  <c r="AU185" i="6" a="1"/>
  <c r="AU185" i="6" s="1"/>
  <c r="AU162" i="6" a="1"/>
  <c r="AU162" i="6" s="1"/>
  <c r="AU155" i="6" a="1"/>
  <c r="AU155" i="6" s="1"/>
  <c r="AU148" i="6" a="1"/>
  <c r="AU148" i="6" s="1"/>
  <c r="AU141" i="6" a="1"/>
  <c r="AU141" i="6" s="1"/>
  <c r="AU130" i="6" a="1"/>
  <c r="AU130" i="6" s="1"/>
  <c r="AU123" i="6" a="1"/>
  <c r="AU123" i="6" s="1"/>
  <c r="AU174" i="6" a="1"/>
  <c r="AU174" i="6" s="1"/>
  <c r="AU169" i="6" a="1"/>
  <c r="AU169" i="6" s="1"/>
  <c r="AU158" i="6" a="1"/>
  <c r="AU158" i="6" s="1"/>
  <c r="AU151" i="6" a="1"/>
  <c r="AU151" i="6" s="1"/>
  <c r="AU144" i="6" a="1"/>
  <c r="AU144" i="6" s="1"/>
  <c r="AU137" i="6" a="1"/>
  <c r="AU137" i="6" s="1"/>
  <c r="AU126" i="6" a="1"/>
  <c r="AU126" i="6" s="1"/>
  <c r="AU172" i="6" a="1"/>
  <c r="AU172" i="6" s="1"/>
  <c r="AU165" i="6" a="1"/>
  <c r="AU165" i="6" s="1"/>
  <c r="AU154" i="6" a="1"/>
  <c r="AU154" i="6" s="1"/>
  <c r="AU147" i="6" a="1"/>
  <c r="AU147" i="6" s="1"/>
  <c r="AU140" i="6" a="1"/>
  <c r="AU140" i="6" s="1"/>
  <c r="AU133" i="6" a="1"/>
  <c r="AU133" i="6" s="1"/>
  <c r="AU168" i="6" a="1"/>
  <c r="AU168" i="6" s="1"/>
  <c r="AU161" i="6" a="1"/>
  <c r="AU161" i="6" s="1"/>
  <c r="AU150" i="6" a="1"/>
  <c r="AU150" i="6" s="1"/>
  <c r="AU143" i="6" a="1"/>
  <c r="AU143" i="6" s="1"/>
  <c r="AU136" i="6" a="1"/>
  <c r="AU136" i="6" s="1"/>
  <c r="AU129" i="6" a="1"/>
  <c r="AU129" i="6" s="1"/>
  <c r="AU171" i="6" a="1"/>
  <c r="AU171" i="6" s="1"/>
  <c r="AU164" i="6" a="1"/>
  <c r="AU164" i="6" s="1"/>
  <c r="AU157" i="6" a="1"/>
  <c r="AU157" i="6" s="1"/>
  <c r="AU146" i="6" a="1"/>
  <c r="AU146" i="6" s="1"/>
  <c r="AU139" i="6" a="1"/>
  <c r="AU139" i="6" s="1"/>
  <c r="AU132" i="6" a="1"/>
  <c r="AU132" i="6" s="1"/>
  <c r="AU125" i="6" a="1"/>
  <c r="AU125" i="6" s="1"/>
  <c r="AU167" i="6" a="1"/>
  <c r="AU167" i="6" s="1"/>
  <c r="AU131" i="6" a="1"/>
  <c r="AU131" i="6" s="1"/>
  <c r="AU121" i="6" a="1"/>
  <c r="AU121" i="6" s="1"/>
  <c r="AU110" i="6" a="1"/>
  <c r="AU110" i="6" s="1"/>
  <c r="AU103" i="6" a="1"/>
  <c r="AU103" i="6" s="1"/>
  <c r="AU170" i="6" a="1"/>
  <c r="AU170" i="6" s="1"/>
  <c r="AU135" i="6" a="1"/>
  <c r="AU135" i="6" s="1"/>
  <c r="AU117" i="6" a="1"/>
  <c r="AU117" i="6" s="1"/>
  <c r="AU106" i="6" a="1"/>
  <c r="AU106" i="6" s="1"/>
  <c r="AU99" i="6" a="1"/>
  <c r="AU99" i="6" s="1"/>
  <c r="AU156" i="6" a="1"/>
  <c r="AU156" i="6" s="1"/>
  <c r="AU122" i="6" a="1"/>
  <c r="AU122" i="6" s="1"/>
  <c r="AU120" i="6" a="1"/>
  <c r="AU120" i="6" s="1"/>
  <c r="AU113" i="6" a="1"/>
  <c r="AU113" i="6" s="1"/>
  <c r="AU102" i="6" a="1"/>
  <c r="AU102" i="6" s="1"/>
  <c r="AU160" i="6" a="1"/>
  <c r="AU160" i="6" s="1"/>
  <c r="AU116" i="6" a="1"/>
  <c r="AU116" i="6" s="1"/>
  <c r="AU109" i="6" a="1"/>
  <c r="AU109" i="6" s="1"/>
  <c r="AU138" i="6" a="1"/>
  <c r="AU138" i="6" s="1"/>
  <c r="AU124" i="6" a="1"/>
  <c r="AU124" i="6" s="1"/>
  <c r="AU119" i="6" a="1"/>
  <c r="AU119" i="6" s="1"/>
  <c r="AU112" i="6" a="1"/>
  <c r="AU112" i="6" s="1"/>
  <c r="AU105" i="6" a="1"/>
  <c r="AU105" i="6" s="1"/>
  <c r="AU142" i="6" a="1"/>
  <c r="AU142" i="6" s="1"/>
  <c r="AU128" i="6" a="1"/>
  <c r="AU128" i="6" s="1"/>
  <c r="AU115" i="6" a="1"/>
  <c r="AU115" i="6" s="1"/>
  <c r="AU108" i="6" a="1"/>
  <c r="AU108" i="6" s="1"/>
  <c r="AU101" i="6" a="1"/>
  <c r="AU101" i="6" s="1"/>
  <c r="AU163" i="6" a="1"/>
  <c r="AU163" i="6" s="1"/>
  <c r="AU118" i="6" a="1"/>
  <c r="AU118" i="6" s="1"/>
  <c r="AU111" i="6" a="1"/>
  <c r="AU111" i="6" s="1"/>
  <c r="AU104" i="6" a="1"/>
  <c r="AU104" i="6" s="1"/>
  <c r="AU97" i="6" a="1"/>
  <c r="AU97" i="6" s="1"/>
  <c r="AU98" i="6" a="1"/>
  <c r="AU98" i="6" s="1"/>
  <c r="AU93" i="6" a="1"/>
  <c r="AU93" i="6" s="1"/>
  <c r="AU87" i="6" a="1"/>
  <c r="AU87" i="6" s="1"/>
  <c r="AU82" i="6" a="1"/>
  <c r="AU82" i="6" s="1"/>
  <c r="AU73" i="6" a="1"/>
  <c r="AU73" i="6" s="1"/>
  <c r="AU88" i="6" a="1"/>
  <c r="AU88" i="6" s="1"/>
  <c r="AU80" i="6" a="1"/>
  <c r="AU80" i="6" s="1"/>
  <c r="AU69" i="6" a="1"/>
  <c r="AU69" i="6" s="1"/>
  <c r="AU62" i="6" a="1"/>
  <c r="AU62" i="6" s="1"/>
  <c r="AU55" i="6" a="1"/>
  <c r="AU55" i="6" s="1"/>
  <c r="AU48" i="6" a="1"/>
  <c r="AU48" i="6" s="1"/>
  <c r="AU94" i="6" a="1"/>
  <c r="AU94" i="6" s="1"/>
  <c r="AU89" i="6" a="1"/>
  <c r="AU89" i="6" s="1"/>
  <c r="AU83" i="6" a="1"/>
  <c r="AU83" i="6" s="1"/>
  <c r="AU76" i="6" a="1"/>
  <c r="AU76" i="6" s="1"/>
  <c r="AU65" i="6" a="1"/>
  <c r="AU65" i="6" s="1"/>
  <c r="AU107" i="6" a="1"/>
  <c r="AU107" i="6" s="1"/>
  <c r="AU96" i="6" a="1"/>
  <c r="AU96" i="6" s="1"/>
  <c r="AU84" i="6" a="1"/>
  <c r="AU84" i="6" s="1"/>
  <c r="AU79" i="6" a="1"/>
  <c r="AU79" i="6" s="1"/>
  <c r="AU72" i="6" a="1"/>
  <c r="AU72" i="6" s="1"/>
  <c r="AU61" i="6" a="1"/>
  <c r="AU61" i="6" s="1"/>
  <c r="AU54" i="6" a="1"/>
  <c r="AU54" i="6" s="1"/>
  <c r="AU153" i="6" a="1"/>
  <c r="AU153" i="6" s="1"/>
  <c r="AU114" i="6" a="1"/>
  <c r="AU114" i="6" s="1"/>
  <c r="AU90" i="6" a="1"/>
  <c r="AU90" i="6" s="1"/>
  <c r="AU85" i="6" a="1"/>
  <c r="AU85" i="6" s="1"/>
  <c r="AU75" i="6" a="1"/>
  <c r="AU75" i="6" s="1"/>
  <c r="AU68" i="6" a="1"/>
  <c r="AU68" i="6" s="1"/>
  <c r="AU57" i="6" a="1"/>
  <c r="AU57" i="6" s="1"/>
  <c r="AU95" i="6" a="1"/>
  <c r="AU95" i="6" s="1"/>
  <c r="AU78" i="6" a="1"/>
  <c r="AU78" i="6" s="1"/>
  <c r="AU71" i="6" a="1"/>
  <c r="AU71" i="6" s="1"/>
  <c r="AU64" i="6" a="1"/>
  <c r="AU64" i="6" s="1"/>
  <c r="AU53" i="6" a="1"/>
  <c r="AU53" i="6" s="1"/>
  <c r="AU46" i="6" a="1"/>
  <c r="AU46" i="6" s="1"/>
  <c r="AU149" i="6" a="1"/>
  <c r="AU149" i="6" s="1"/>
  <c r="AU91" i="6" a="1"/>
  <c r="AU91" i="6" s="1"/>
  <c r="AU86" i="6" a="1"/>
  <c r="AU86" i="6" s="1"/>
  <c r="AU81" i="6" a="1"/>
  <c r="AU81" i="6" s="1"/>
  <c r="AU74" i="6" a="1"/>
  <c r="AU74" i="6" s="1"/>
  <c r="AU67" i="6" a="1"/>
  <c r="AU67" i="6" s="1"/>
  <c r="AU60" i="6" a="1"/>
  <c r="AU60" i="6" s="1"/>
  <c r="AU100" i="6" a="1"/>
  <c r="AU100" i="6" s="1"/>
  <c r="AU92" i="6" a="1"/>
  <c r="AU92" i="6" s="1"/>
  <c r="AU77" i="6" a="1"/>
  <c r="AU77" i="6" s="1"/>
  <c r="AU70" i="6" a="1"/>
  <c r="AU70" i="6" s="1"/>
  <c r="AU63" i="6" a="1"/>
  <c r="AU63" i="6" s="1"/>
  <c r="AU56" i="6" a="1"/>
  <c r="AU56" i="6" s="1"/>
  <c r="AM7" i="6" a="1"/>
  <c r="AM7" i="6" s="1"/>
  <c r="AS8" i="6" a="1"/>
  <c r="AS8" i="6" s="1"/>
  <c r="AO9" i="6" a="1"/>
  <c r="AO9" i="6" s="1"/>
  <c r="AT9" i="6" a="1"/>
  <c r="AT9" i="6" s="1"/>
  <c r="AP10" i="6" a="1"/>
  <c r="AP10" i="6" s="1"/>
  <c r="AU10" i="6" a="1"/>
  <c r="AU10" i="6" s="1"/>
  <c r="AQ11" i="6" a="1"/>
  <c r="AQ11" i="6" s="1"/>
  <c r="AS13" i="6" a="1"/>
  <c r="AS13" i="6" s="1"/>
  <c r="AI14" i="6" a="1"/>
  <c r="AI14" i="6" s="1"/>
  <c r="AT14" i="6" a="1"/>
  <c r="AT14" i="6" s="1"/>
  <c r="AU15" i="6" a="1"/>
  <c r="AU15" i="6" s="1"/>
  <c r="AK16" i="6" a="1"/>
  <c r="AK16" i="6" s="1"/>
  <c r="AL17" i="6" a="1"/>
  <c r="AL17" i="6" s="1"/>
  <c r="AM18" i="6" a="1"/>
  <c r="AM18" i="6" s="1"/>
  <c r="AI19" i="6" a="1"/>
  <c r="AI19" i="6" s="1"/>
  <c r="AO20" i="6" a="1"/>
  <c r="AO20" i="6" s="1"/>
  <c r="AK21" i="6" a="1"/>
  <c r="AK21" i="6" s="1"/>
  <c r="AP21" i="6" a="1"/>
  <c r="AP21" i="6" s="1"/>
  <c r="AL22" i="6" a="1"/>
  <c r="AL22" i="6" s="1"/>
  <c r="AQ22" i="6" a="1"/>
  <c r="AQ22" i="6" s="1"/>
  <c r="AM23" i="6" a="1"/>
  <c r="AM23" i="6" s="1"/>
  <c r="AS24" i="6" a="1"/>
  <c r="AS24" i="6" s="1"/>
  <c r="AO25" i="6" a="1"/>
  <c r="AO25" i="6" s="1"/>
  <c r="AT25" i="6" a="1"/>
  <c r="AT25" i="6" s="1"/>
  <c r="AP26" i="6" a="1"/>
  <c r="AP26" i="6" s="1"/>
  <c r="AU26" i="6" a="1"/>
  <c r="AU26" i="6" s="1"/>
  <c r="AQ27" i="6" a="1"/>
  <c r="AQ27" i="6" s="1"/>
  <c r="AS29" i="6" a="1"/>
  <c r="AS29" i="6" s="1"/>
  <c r="AI30" i="6" a="1"/>
  <c r="AI30" i="6" s="1"/>
  <c r="AT30" i="6" a="1"/>
  <c r="AT30" i="6" s="1"/>
  <c r="AU31" i="6" a="1"/>
  <c r="AU31" i="6" s="1"/>
  <c r="AK32" i="6" a="1"/>
  <c r="AK32" i="6" s="1"/>
  <c r="AL33" i="6" a="1"/>
  <c r="AL33" i="6" s="1"/>
  <c r="AM34" i="6" a="1"/>
  <c r="AM34" i="6" s="1"/>
  <c r="AI35" i="6" a="1"/>
  <c r="AI35" i="6" s="1"/>
  <c r="AO36" i="6" a="1"/>
  <c r="AO36" i="6" s="1"/>
  <c r="AK37" i="6" a="1"/>
  <c r="AK37" i="6" s="1"/>
  <c r="AP37" i="6" a="1"/>
  <c r="AP37" i="6" s="1"/>
  <c r="AL38" i="6" a="1"/>
  <c r="AL38" i="6" s="1"/>
  <c r="AQ38" i="6" a="1"/>
  <c r="AQ38" i="6" s="1"/>
  <c r="AM39" i="6" a="1"/>
  <c r="AM39" i="6" s="1"/>
  <c r="AS40" i="6" a="1"/>
  <c r="AS40" i="6" s="1"/>
  <c r="AO41" i="6" a="1"/>
  <c r="AO41" i="6" s="1"/>
  <c r="AT41" i="6" a="1"/>
  <c r="AT41" i="6" s="1"/>
  <c r="AP42" i="6" a="1"/>
  <c r="AP42" i="6" s="1"/>
  <c r="AU42" i="6" a="1"/>
  <c r="AU42" i="6" s="1"/>
  <c r="AQ43" i="6" a="1"/>
  <c r="AQ43" i="6" s="1"/>
  <c r="AS45" i="6" a="1"/>
  <c r="AS45" i="6" s="1"/>
  <c r="AI46" i="6" a="1"/>
  <c r="AI46" i="6" s="1"/>
  <c r="AQ46" i="6" a="1"/>
  <c r="AQ46" i="6" s="1"/>
  <c r="AI47" i="6" a="1"/>
  <c r="AI47" i="6" s="1"/>
  <c r="AP47" i="6" a="1"/>
  <c r="AP47" i="6" s="1"/>
  <c r="AM49" i="6" a="1"/>
  <c r="AM49" i="6" s="1"/>
  <c r="AT49" i="6" a="1"/>
  <c r="AT49" i="6" s="1"/>
  <c r="AT50" i="6" a="1"/>
  <c r="AT50" i="6" s="1"/>
  <c r="AL51" i="6" a="1"/>
  <c r="AL51" i="6" s="1"/>
  <c r="AU51" i="6" a="1"/>
  <c r="AU51" i="6" s="1"/>
  <c r="AQ53" i="6" a="1"/>
  <c r="AQ53" i="6" s="1"/>
  <c r="AT57" i="6" a="1"/>
  <c r="AT57" i="6" s="1"/>
  <c r="AL59" i="6" a="1"/>
  <c r="AL59" i="6" s="1"/>
  <c r="AO67" i="6" a="1"/>
  <c r="AO67" i="6" s="1"/>
  <c r="AS7" i="6" a="1"/>
  <c r="AS7" i="6" s="1"/>
  <c r="AI8" i="6" a="1"/>
  <c r="AI8" i="6" s="1"/>
  <c r="AT8" i="6" a="1"/>
  <c r="AT8" i="6" s="1"/>
  <c r="AU9" i="6" a="1"/>
  <c r="AU9" i="6" s="1"/>
  <c r="AK10" i="6" a="1"/>
  <c r="AK10" i="6" s="1"/>
  <c r="AL11" i="6" a="1"/>
  <c r="AL11" i="6" s="1"/>
  <c r="AM12" i="6" a="1"/>
  <c r="AM12" i="6" s="1"/>
  <c r="AI13" i="6" a="1"/>
  <c r="AI13" i="6" s="1"/>
  <c r="AO14" i="6" a="1"/>
  <c r="AO14" i="6" s="1"/>
  <c r="AK15" i="6" a="1"/>
  <c r="AK15" i="6" s="1"/>
  <c r="AP15" i="6" a="1"/>
  <c r="AP15" i="6" s="1"/>
  <c r="AL16" i="6" a="1"/>
  <c r="AL16" i="6" s="1"/>
  <c r="AQ16" i="6" a="1"/>
  <c r="AQ16" i="6" s="1"/>
  <c r="AM17" i="6" a="1"/>
  <c r="AM17" i="6" s="1"/>
  <c r="AS18" i="6" a="1"/>
  <c r="AS18" i="6" s="1"/>
  <c r="AO19" i="6" a="1"/>
  <c r="AO19" i="6" s="1"/>
  <c r="AT19" i="6" a="1"/>
  <c r="AT19" i="6" s="1"/>
  <c r="AP20" i="6" a="1"/>
  <c r="AP20" i="6" s="1"/>
  <c r="AU20" i="6" a="1"/>
  <c r="AU20" i="6" s="1"/>
  <c r="AQ21" i="6" a="1"/>
  <c r="AQ21" i="6" s="1"/>
  <c r="AS23" i="6" a="1"/>
  <c r="AS23" i="6" s="1"/>
  <c r="AI24" i="6" a="1"/>
  <c r="AI24" i="6" s="1"/>
  <c r="AT24" i="6" a="1"/>
  <c r="AT24" i="6" s="1"/>
  <c r="AU25" i="6" a="1"/>
  <c r="AU25" i="6" s="1"/>
  <c r="AK26" i="6" a="1"/>
  <c r="AK26" i="6" s="1"/>
  <c r="AL27" i="6" a="1"/>
  <c r="AL27" i="6" s="1"/>
  <c r="AM28" i="6" a="1"/>
  <c r="AM28" i="6" s="1"/>
  <c r="AI29" i="6" a="1"/>
  <c r="AI29" i="6" s="1"/>
  <c r="AO30" i="6" a="1"/>
  <c r="AO30" i="6" s="1"/>
  <c r="AK31" i="6" a="1"/>
  <c r="AK31" i="6" s="1"/>
  <c r="AP31" i="6" a="1"/>
  <c r="AP31" i="6" s="1"/>
  <c r="AL32" i="6" a="1"/>
  <c r="AL32" i="6" s="1"/>
  <c r="AQ32" i="6" a="1"/>
  <c r="AQ32" i="6" s="1"/>
  <c r="AM33" i="6" a="1"/>
  <c r="AM33" i="6" s="1"/>
  <c r="AS34" i="6" a="1"/>
  <c r="AS34" i="6" s="1"/>
  <c r="AO35" i="6" a="1"/>
  <c r="AO35" i="6" s="1"/>
  <c r="AT35" i="6" a="1"/>
  <c r="AT35" i="6" s="1"/>
  <c r="AP36" i="6" a="1"/>
  <c r="AP36" i="6" s="1"/>
  <c r="AU36" i="6" a="1"/>
  <c r="AU36" i="6" s="1"/>
  <c r="AQ37" i="6" a="1"/>
  <c r="AQ37" i="6" s="1"/>
  <c r="AS39" i="6" a="1"/>
  <c r="AS39" i="6" s="1"/>
  <c r="AI40" i="6" a="1"/>
  <c r="AI40" i="6" s="1"/>
  <c r="AT40" i="6" a="1"/>
  <c r="AT40" i="6" s="1"/>
  <c r="AU41" i="6" a="1"/>
  <c r="AU41" i="6" s="1"/>
  <c r="AK42" i="6" a="1"/>
  <c r="AK42" i="6" s="1"/>
  <c r="AL43" i="6" a="1"/>
  <c r="AL43" i="6" s="1"/>
  <c r="AM44" i="6" a="1"/>
  <c r="AM44" i="6" s="1"/>
  <c r="AI45" i="6" a="1"/>
  <c r="AI45" i="6" s="1"/>
  <c r="AO48" i="6" a="1"/>
  <c r="AO48" i="6" s="1"/>
  <c r="AU49" i="6" a="1"/>
  <c r="AU49" i="6" s="1"/>
  <c r="AM50" i="6" a="1"/>
  <c r="AM50" i="6" s="1"/>
  <c r="AU50" i="6" a="1"/>
  <c r="AU50" i="6" s="1"/>
  <c r="AM51" i="6" a="1"/>
  <c r="AM51" i="6" s="1"/>
  <c r="AI53" i="6" a="1"/>
  <c r="AI53" i="6" s="1"/>
  <c r="AQ56" i="6" a="1"/>
  <c r="AQ56" i="6" s="1"/>
  <c r="AM59" i="6" a="1"/>
  <c r="AM59" i="6" s="1"/>
  <c r="AT67" i="6" a="1"/>
  <c r="AT67" i="6" s="1"/>
  <c r="AO353" i="6" a="1"/>
  <c r="AO353" i="6" s="1"/>
  <c r="AO345" i="6" a="1"/>
  <c r="AO345" i="6" s="1"/>
  <c r="AO337" i="6" a="1"/>
  <c r="AO337" i="6" s="1"/>
  <c r="AO354" i="6" a="1"/>
  <c r="AO354" i="6" s="1"/>
  <c r="AO346" i="6" a="1"/>
  <c r="AO346" i="6" s="1"/>
  <c r="AO338" i="6" a="1"/>
  <c r="AO338" i="6" s="1"/>
  <c r="AO355" i="6" a="1"/>
  <c r="AO355" i="6" s="1"/>
  <c r="AO356" i="6" a="1"/>
  <c r="AO356" i="6" s="1"/>
  <c r="AO348" i="6" a="1"/>
  <c r="AO348" i="6" s="1"/>
  <c r="AO340" i="6" a="1"/>
  <c r="AO340" i="6" s="1"/>
  <c r="AO357" i="6" a="1"/>
  <c r="AO357" i="6" s="1"/>
  <c r="AO349" i="6" a="1"/>
  <c r="AO349" i="6" s="1"/>
  <c r="AO341" i="6" a="1"/>
  <c r="AO341" i="6" s="1"/>
  <c r="AO358" i="6" a="1"/>
  <c r="AO358" i="6" s="1"/>
  <c r="AO350" i="6" a="1"/>
  <c r="AO350" i="6" s="1"/>
  <c r="AO342" i="6" a="1"/>
  <c r="AO342" i="6" s="1"/>
  <c r="AO351" i="6" a="1"/>
  <c r="AO351" i="6" s="1"/>
  <c r="AO343" i="6" a="1"/>
  <c r="AO343" i="6" s="1"/>
  <c r="AO352" i="6" a="1"/>
  <c r="AO352" i="6" s="1"/>
  <c r="AO336" i="6" a="1"/>
  <c r="AO336" i="6" s="1"/>
  <c r="AO334" i="6" a="1"/>
  <c r="AO334" i="6" s="1"/>
  <c r="AO327" i="6" a="1"/>
  <c r="AO327" i="6" s="1"/>
  <c r="AO320" i="6" a="1"/>
  <c r="AO320" i="6" s="1"/>
  <c r="AO313" i="6" a="1"/>
  <c r="AO313" i="6" s="1"/>
  <c r="AO347" i="6" a="1"/>
  <c r="AO347" i="6" s="1"/>
  <c r="AO330" i="6" a="1"/>
  <c r="AO330" i="6" s="1"/>
  <c r="AO323" i="6" a="1"/>
  <c r="AO323" i="6" s="1"/>
  <c r="AO316" i="6" a="1"/>
  <c r="AO316" i="6" s="1"/>
  <c r="AO326" i="6" a="1"/>
  <c r="AO326" i="6" s="1"/>
  <c r="AO319" i="6" a="1"/>
  <c r="AO319" i="6" s="1"/>
  <c r="AO333" i="6" a="1"/>
  <c r="AO333" i="6" s="1"/>
  <c r="AO322" i="6" a="1"/>
  <c r="AO322" i="6" s="1"/>
  <c r="AO315" i="6" a="1"/>
  <c r="AO315" i="6" s="1"/>
  <c r="AO329" i="6" a="1"/>
  <c r="AO329" i="6" s="1"/>
  <c r="AO318" i="6" a="1"/>
  <c r="AO318" i="6" s="1"/>
  <c r="AO339" i="6" a="1"/>
  <c r="AO339" i="6" s="1"/>
  <c r="AO332" i="6" a="1"/>
  <c r="AO332" i="6" s="1"/>
  <c r="AO325" i="6" a="1"/>
  <c r="AO325" i="6" s="1"/>
  <c r="AO314" i="6" a="1"/>
  <c r="AO314" i="6" s="1"/>
  <c r="AO344" i="6" a="1"/>
  <c r="AO344" i="6" s="1"/>
  <c r="AO335" i="6" a="1"/>
  <c r="AO335" i="6" s="1"/>
  <c r="AO328" i="6" a="1"/>
  <c r="AO328" i="6" s="1"/>
  <c r="AO321" i="6" a="1"/>
  <c r="AO321" i="6" s="1"/>
  <c r="AO331" i="6" a="1"/>
  <c r="AO331" i="6" s="1"/>
  <c r="AO305" i="6" a="1"/>
  <c r="AO305" i="6" s="1"/>
  <c r="AO308" i="6" a="1"/>
  <c r="AO308" i="6" s="1"/>
  <c r="AO301" i="6" a="1"/>
  <c r="AO301" i="6" s="1"/>
  <c r="AO312" i="6" a="1"/>
  <c r="AO312" i="6" s="1"/>
  <c r="AO311" i="6" a="1"/>
  <c r="AO311" i="6" s="1"/>
  <c r="AO304" i="6" a="1"/>
  <c r="AO304" i="6" s="1"/>
  <c r="AO307" i="6" a="1"/>
  <c r="AO307" i="6" s="1"/>
  <c r="AO310" i="6" a="1"/>
  <c r="AO310" i="6" s="1"/>
  <c r="AO303" i="6" a="1"/>
  <c r="AO303" i="6" s="1"/>
  <c r="AO306" i="6" a="1"/>
  <c r="AO306" i="6" s="1"/>
  <c r="AO324" i="6" a="1"/>
  <c r="AO324" i="6" s="1"/>
  <c r="AO317" i="6" a="1"/>
  <c r="AO317" i="6" s="1"/>
  <c r="AO302" i="6" a="1"/>
  <c r="AO302" i="6" s="1"/>
  <c r="AO295" i="6" a="1"/>
  <c r="AO295" i="6" s="1"/>
  <c r="AO290" i="6" a="1"/>
  <c r="AO290" i="6" s="1"/>
  <c r="AO296" i="6" a="1"/>
  <c r="AO296" i="6" s="1"/>
  <c r="AO274" i="6" a="1"/>
  <c r="AO274" i="6" s="1"/>
  <c r="AO309" i="6" a="1"/>
  <c r="AO309" i="6" s="1"/>
  <c r="AO299" i="6" a="1"/>
  <c r="AO299" i="6" s="1"/>
  <c r="AO297" i="6" a="1"/>
  <c r="AO297" i="6" s="1"/>
  <c r="AO291" i="6" a="1"/>
  <c r="AO291" i="6" s="1"/>
  <c r="AO292" i="6" a="1"/>
  <c r="AO292" i="6" s="1"/>
  <c r="AO280" i="6" a="1"/>
  <c r="AO280" i="6" s="1"/>
  <c r="AO293" i="6" a="1"/>
  <c r="AO293" i="6" s="1"/>
  <c r="AO287" i="6" a="1"/>
  <c r="AO287" i="6" s="1"/>
  <c r="AO298" i="6" a="1"/>
  <c r="AO298" i="6" s="1"/>
  <c r="AO288" i="6" a="1"/>
  <c r="AO288" i="6" s="1"/>
  <c r="AO294" i="6" a="1"/>
  <c r="AO294" i="6" s="1"/>
  <c r="AO289" i="6" a="1"/>
  <c r="AO289" i="6" s="1"/>
  <c r="AO286" i="6" a="1"/>
  <c r="AO286" i="6" s="1"/>
  <c r="AO279" i="6" a="1"/>
  <c r="AO279" i="6" s="1"/>
  <c r="AO282" i="6" a="1"/>
  <c r="AO282" i="6" s="1"/>
  <c r="AO278" i="6" a="1"/>
  <c r="AO278" i="6" s="1"/>
  <c r="AO277" i="6" a="1"/>
  <c r="AO277" i="6" s="1"/>
  <c r="AO276" i="6" a="1"/>
  <c r="AO276" i="6" s="1"/>
  <c r="AO271" i="6" a="1"/>
  <c r="AO271" i="6" s="1"/>
  <c r="AO283" i="6" a="1"/>
  <c r="AO283" i="6" s="1"/>
  <c r="AO270" i="6" a="1"/>
  <c r="AO270" i="6" s="1"/>
  <c r="AO273" i="6" a="1"/>
  <c r="AO273" i="6" s="1"/>
  <c r="AO285" i="6" a="1"/>
  <c r="AO285" i="6" s="1"/>
  <c r="AO272" i="6" a="1"/>
  <c r="AO272" i="6" s="1"/>
  <c r="AO300" i="6" a="1"/>
  <c r="AO300" i="6" s="1"/>
  <c r="AO281" i="6" a="1"/>
  <c r="AO281" i="6" s="1"/>
  <c r="AO275" i="6" a="1"/>
  <c r="AO275" i="6" s="1"/>
  <c r="AO284" i="6" a="1"/>
  <c r="AO284" i="6" s="1"/>
  <c r="AO264" i="6" a="1"/>
  <c r="AO264" i="6" s="1"/>
  <c r="AO267" i="6" a="1"/>
  <c r="AO267" i="6" s="1"/>
  <c r="AO260" i="6" a="1"/>
  <c r="AO260" i="6" s="1"/>
  <c r="AO268" i="6" a="1"/>
  <c r="AO268" i="6" s="1"/>
  <c r="AO263" i="6" a="1"/>
  <c r="AO263" i="6" s="1"/>
  <c r="AO266" i="6" a="1"/>
  <c r="AO266" i="6" s="1"/>
  <c r="AO259" i="6" a="1"/>
  <c r="AO259" i="6" s="1"/>
  <c r="AO262" i="6" a="1"/>
  <c r="AO262" i="6" s="1"/>
  <c r="AO258" i="6" a="1"/>
  <c r="AO258" i="6" s="1"/>
  <c r="AO265" i="6" a="1"/>
  <c r="AO265" i="6" s="1"/>
  <c r="AO252" i="6" a="1"/>
  <c r="AO252" i="6" s="1"/>
  <c r="AO241" i="6" a="1"/>
  <c r="AO241" i="6" s="1"/>
  <c r="AO234" i="6" a="1"/>
  <c r="AO234" i="6" s="1"/>
  <c r="AO255" i="6" a="1"/>
  <c r="AO255" i="6" s="1"/>
  <c r="AO248" i="6" a="1"/>
  <c r="AO248" i="6" s="1"/>
  <c r="AO237" i="6" a="1"/>
  <c r="AO237" i="6" s="1"/>
  <c r="AO251" i="6" a="1"/>
  <c r="AO251" i="6" s="1"/>
  <c r="AO244" i="6" a="1"/>
  <c r="AO244" i="6" s="1"/>
  <c r="AO233" i="6" a="1"/>
  <c r="AO233" i="6" s="1"/>
  <c r="AO269" i="6" a="1"/>
  <c r="AO269" i="6" s="1"/>
  <c r="AO254" i="6" a="1"/>
  <c r="AO254" i="6" s="1"/>
  <c r="AO247" i="6" a="1"/>
  <c r="AO247" i="6" s="1"/>
  <c r="AO240" i="6" a="1"/>
  <c r="AO240" i="6" s="1"/>
  <c r="AO261" i="6" a="1"/>
  <c r="AO261" i="6" s="1"/>
  <c r="AO257" i="6" a="1"/>
  <c r="AO257" i="6" s="1"/>
  <c r="AO250" i="6" a="1"/>
  <c r="AO250" i="6" s="1"/>
  <c r="AO243" i="6" a="1"/>
  <c r="AO243" i="6" s="1"/>
  <c r="AO236" i="6" a="1"/>
  <c r="AO236" i="6" s="1"/>
  <c r="AO249" i="6" a="1"/>
  <c r="AO249" i="6" s="1"/>
  <c r="AO242" i="6" a="1"/>
  <c r="AO242" i="6" s="1"/>
  <c r="AO235" i="6" a="1"/>
  <c r="AO235" i="6" s="1"/>
  <c r="AO256" i="6" a="1"/>
  <c r="AO256" i="6" s="1"/>
  <c r="AO245" i="6" a="1"/>
  <c r="AO245" i="6" s="1"/>
  <c r="AO238" i="6" a="1"/>
  <c r="AO238" i="6" s="1"/>
  <c r="AO229" i="6" a="1"/>
  <c r="AO229" i="6" s="1"/>
  <c r="AO225" i="6" a="1"/>
  <c r="AO225" i="6" s="1"/>
  <c r="AO239" i="6" a="1"/>
  <c r="AO239" i="6" s="1"/>
  <c r="AO228" i="6" a="1"/>
  <c r="AO228" i="6" s="1"/>
  <c r="AO246" i="6" a="1"/>
  <c r="AO246" i="6" s="1"/>
  <c r="AO231" i="6" a="1"/>
  <c r="AO231" i="6" s="1"/>
  <c r="AO253" i="6" a="1"/>
  <c r="AO253" i="6" s="1"/>
  <c r="AO227" i="6" a="1"/>
  <c r="AO227" i="6" s="1"/>
  <c r="AO232" i="6" a="1"/>
  <c r="AO232" i="6" s="1"/>
  <c r="AO230" i="6" a="1"/>
  <c r="AO230" i="6" s="1"/>
  <c r="AO223" i="6" a="1"/>
  <c r="AO223" i="6" s="1"/>
  <c r="AO219" i="6" a="1"/>
  <c r="AO219" i="6" s="1"/>
  <c r="AO212" i="6" a="1"/>
  <c r="AO212" i="6" s="1"/>
  <c r="AO205" i="6" a="1"/>
  <c r="AO205" i="6" s="1"/>
  <c r="AO194" i="6" a="1"/>
  <c r="AO194" i="6" s="1"/>
  <c r="AO215" i="6" a="1"/>
  <c r="AO215" i="6" s="1"/>
  <c r="AO208" i="6" a="1"/>
  <c r="AO208" i="6" s="1"/>
  <c r="AO201" i="6" a="1"/>
  <c r="AO201" i="6" s="1"/>
  <c r="AO190" i="6" a="1"/>
  <c r="AO190" i="6" s="1"/>
  <c r="AO218" i="6" a="1"/>
  <c r="AO218" i="6" s="1"/>
  <c r="AO211" i="6" a="1"/>
  <c r="AO211" i="6" s="1"/>
  <c r="AO204" i="6" a="1"/>
  <c r="AO204" i="6" s="1"/>
  <c r="AO197" i="6" a="1"/>
  <c r="AO197" i="6" s="1"/>
  <c r="AO222" i="6" a="1"/>
  <c r="AO222" i="6" s="1"/>
  <c r="AO214" i="6" a="1"/>
  <c r="AO214" i="6" s="1"/>
  <c r="AO207" i="6" a="1"/>
  <c r="AO207" i="6" s="1"/>
  <c r="AO200" i="6" a="1"/>
  <c r="AO200" i="6" s="1"/>
  <c r="AO193" i="6" a="1"/>
  <c r="AO193" i="6" s="1"/>
  <c r="AO221" i="6" a="1"/>
  <c r="AO221" i="6" s="1"/>
  <c r="AO210" i="6" a="1"/>
  <c r="AO210" i="6" s="1"/>
  <c r="AO203" i="6" a="1"/>
  <c r="AO203" i="6" s="1"/>
  <c r="AO196" i="6" a="1"/>
  <c r="AO196" i="6" s="1"/>
  <c r="AO189" i="6" a="1"/>
  <c r="AO189" i="6" s="1"/>
  <c r="AO226" i="6" a="1"/>
  <c r="AO226" i="6" s="1"/>
  <c r="AO224" i="6" a="1"/>
  <c r="AO224" i="6" s="1"/>
  <c r="AO217" i="6" a="1"/>
  <c r="AO217" i="6" s="1"/>
  <c r="AO206" i="6" a="1"/>
  <c r="AO206" i="6" s="1"/>
  <c r="AO199" i="6" a="1"/>
  <c r="AO199" i="6" s="1"/>
  <c r="AO192" i="6" a="1"/>
  <c r="AO192" i="6" s="1"/>
  <c r="AO220" i="6" a="1"/>
  <c r="AO220" i="6" s="1"/>
  <c r="AO213" i="6" a="1"/>
  <c r="AO213" i="6" s="1"/>
  <c r="AO202" i="6" a="1"/>
  <c r="AO202" i="6" s="1"/>
  <c r="AO195" i="6" a="1"/>
  <c r="AO195" i="6" s="1"/>
  <c r="AO216" i="6" a="1"/>
  <c r="AO216" i="6" s="1"/>
  <c r="AO209" i="6" a="1"/>
  <c r="AO209" i="6" s="1"/>
  <c r="AO198" i="6" a="1"/>
  <c r="AO198" i="6" s="1"/>
  <c r="AO182" i="6" a="1"/>
  <c r="AO182" i="6" s="1"/>
  <c r="AO175" i="6" a="1"/>
  <c r="AO175" i="6" s="1"/>
  <c r="AO185" i="6" a="1"/>
  <c r="AO185" i="6" s="1"/>
  <c r="AO178" i="6" a="1"/>
  <c r="AO178" i="6" s="1"/>
  <c r="AO191" i="6" a="1"/>
  <c r="AO191" i="6" s="1"/>
  <c r="AO181" i="6" a="1"/>
  <c r="AO181" i="6" s="1"/>
  <c r="AO174" i="6" a="1"/>
  <c r="AO174" i="6" s="1"/>
  <c r="AO184" i="6" a="1"/>
  <c r="AO184" i="6" s="1"/>
  <c r="AO177" i="6" a="1"/>
  <c r="AO177" i="6" s="1"/>
  <c r="AO188" i="6" a="1"/>
  <c r="AO188" i="6" s="1"/>
  <c r="AO180" i="6" a="1"/>
  <c r="AO180" i="6" s="1"/>
  <c r="AO187" i="6" a="1"/>
  <c r="AO187" i="6" s="1"/>
  <c r="AO176" i="6" a="1"/>
  <c r="AO176" i="6" s="1"/>
  <c r="AO183" i="6" a="1"/>
  <c r="AO183" i="6" s="1"/>
  <c r="AO171" i="6" a="1"/>
  <c r="AO171" i="6" s="1"/>
  <c r="AO160" i="6" a="1"/>
  <c r="AO160" i="6" s="1"/>
  <c r="AO153" i="6" a="1"/>
  <c r="AO153" i="6" s="1"/>
  <c r="AO146" i="6" a="1"/>
  <c r="AO146" i="6" s="1"/>
  <c r="AO139" i="6" a="1"/>
  <c r="AO139" i="6" s="1"/>
  <c r="AO128" i="6" a="1"/>
  <c r="AO128" i="6" s="1"/>
  <c r="AO167" i="6" a="1"/>
  <c r="AO167" i="6" s="1"/>
  <c r="AO156" i="6" a="1"/>
  <c r="AO156" i="6" s="1"/>
  <c r="AO149" i="6" a="1"/>
  <c r="AO149" i="6" s="1"/>
  <c r="AO142" i="6" a="1"/>
  <c r="AO142" i="6" s="1"/>
  <c r="AO135" i="6" a="1"/>
  <c r="AO135" i="6" s="1"/>
  <c r="AO124" i="6" a="1"/>
  <c r="AO124" i="6" s="1"/>
  <c r="AO170" i="6" a="1"/>
  <c r="AO170" i="6" s="1"/>
  <c r="AO163" i="6" a="1"/>
  <c r="AO163" i="6" s="1"/>
  <c r="AO152" i="6" a="1"/>
  <c r="AO152" i="6" s="1"/>
  <c r="AO145" i="6" a="1"/>
  <c r="AO145" i="6" s="1"/>
  <c r="AO138" i="6" a="1"/>
  <c r="AO138" i="6" s="1"/>
  <c r="AO131" i="6" a="1"/>
  <c r="AO131" i="6" s="1"/>
  <c r="AO173" i="6" a="1"/>
  <c r="AO173" i="6" s="1"/>
  <c r="AO166" i="6" a="1"/>
  <c r="AO166" i="6" s="1"/>
  <c r="AO159" i="6" a="1"/>
  <c r="AO159" i="6" s="1"/>
  <c r="AO148" i="6" a="1"/>
  <c r="AO148" i="6" s="1"/>
  <c r="AO141" i="6" a="1"/>
  <c r="AO141" i="6" s="1"/>
  <c r="AO134" i="6" a="1"/>
  <c r="AO134" i="6" s="1"/>
  <c r="AO127" i="6" a="1"/>
  <c r="AO127" i="6" s="1"/>
  <c r="AO169" i="6" a="1"/>
  <c r="AO169" i="6" s="1"/>
  <c r="AO162" i="6" a="1"/>
  <c r="AO162" i="6" s="1"/>
  <c r="AO155" i="6" a="1"/>
  <c r="AO155" i="6" s="1"/>
  <c r="AO144" i="6" a="1"/>
  <c r="AO144" i="6" s="1"/>
  <c r="AO137" i="6" a="1"/>
  <c r="AO137" i="6" s="1"/>
  <c r="AO130" i="6" a="1"/>
  <c r="AO130" i="6" s="1"/>
  <c r="AO123" i="6" a="1"/>
  <c r="AO123" i="6" s="1"/>
  <c r="AO186" i="6" a="1"/>
  <c r="AO186" i="6" s="1"/>
  <c r="AO179" i="6" a="1"/>
  <c r="AO179" i="6" s="1"/>
  <c r="AO172" i="6" a="1"/>
  <c r="AO172" i="6" s="1"/>
  <c r="AO165" i="6" a="1"/>
  <c r="AO165" i="6" s="1"/>
  <c r="AO158" i="6" a="1"/>
  <c r="AO158" i="6" s="1"/>
  <c r="AO151" i="6" a="1"/>
  <c r="AO151" i="6" s="1"/>
  <c r="AO140" i="6" a="1"/>
  <c r="AO140" i="6" s="1"/>
  <c r="AO133" i="6" a="1"/>
  <c r="AO133" i="6" s="1"/>
  <c r="AO126" i="6" a="1"/>
  <c r="AO126" i="6" s="1"/>
  <c r="AO168" i="6" a="1"/>
  <c r="AO168" i="6" s="1"/>
  <c r="AO147" i="6" a="1"/>
  <c r="AO147" i="6" s="1"/>
  <c r="AO143" i="6" a="1"/>
  <c r="AO143" i="6" s="1"/>
  <c r="AO129" i="6" a="1"/>
  <c r="AO129" i="6" s="1"/>
  <c r="AO115" i="6" a="1"/>
  <c r="AO115" i="6" s="1"/>
  <c r="AO104" i="6" a="1"/>
  <c r="AO104" i="6" s="1"/>
  <c r="AO164" i="6" a="1"/>
  <c r="AO164" i="6" s="1"/>
  <c r="AO150" i="6" a="1"/>
  <c r="AO150" i="6" s="1"/>
  <c r="AO118" i="6" a="1"/>
  <c r="AO118" i="6" s="1"/>
  <c r="AO111" i="6" a="1"/>
  <c r="AO111" i="6" s="1"/>
  <c r="AO100" i="6" a="1"/>
  <c r="AO100" i="6" s="1"/>
  <c r="AO154" i="6" a="1"/>
  <c r="AO154" i="6" s="1"/>
  <c r="AO132" i="6" a="1"/>
  <c r="AO132" i="6" s="1"/>
  <c r="AO122" i="6" a="1"/>
  <c r="AO122" i="6" s="1"/>
  <c r="AO121" i="6" a="1"/>
  <c r="AO121" i="6" s="1"/>
  <c r="AO114" i="6" a="1"/>
  <c r="AO114" i="6" s="1"/>
  <c r="AO107" i="6" a="1"/>
  <c r="AO107" i="6" s="1"/>
  <c r="AO117" i="6" a="1"/>
  <c r="AO117" i="6" s="1"/>
  <c r="AO110" i="6" a="1"/>
  <c r="AO110" i="6" s="1"/>
  <c r="AO136" i="6" a="1"/>
  <c r="AO136" i="6" s="1"/>
  <c r="AO120" i="6" a="1"/>
  <c r="AO120" i="6" s="1"/>
  <c r="AO113" i="6" a="1"/>
  <c r="AO113" i="6" s="1"/>
  <c r="AO106" i="6" a="1"/>
  <c r="AO106" i="6" s="1"/>
  <c r="AO99" i="6" a="1"/>
  <c r="AO99" i="6" s="1"/>
  <c r="AO157" i="6" a="1"/>
  <c r="AO157" i="6" s="1"/>
  <c r="AO116" i="6" a="1"/>
  <c r="AO116" i="6" s="1"/>
  <c r="AO109" i="6" a="1"/>
  <c r="AO109" i="6" s="1"/>
  <c r="AO102" i="6" a="1"/>
  <c r="AO102" i="6" s="1"/>
  <c r="AO161" i="6" a="1"/>
  <c r="AO161" i="6" s="1"/>
  <c r="AO112" i="6" a="1"/>
  <c r="AO112" i="6" s="1"/>
  <c r="AO105" i="6" a="1"/>
  <c r="AO105" i="6" s="1"/>
  <c r="AO98" i="6" a="1"/>
  <c r="AO98" i="6" s="1"/>
  <c r="AO119" i="6" a="1"/>
  <c r="AO119" i="6" s="1"/>
  <c r="AO97" i="6" a="1"/>
  <c r="AO97" i="6" s="1"/>
  <c r="AO92" i="6" a="1"/>
  <c r="AO92" i="6" s="1"/>
  <c r="AO87" i="6" a="1"/>
  <c r="AO87" i="6" s="1"/>
  <c r="AO78" i="6" a="1"/>
  <c r="AO78" i="6" s="1"/>
  <c r="AO82" i="6" a="1"/>
  <c r="AO82" i="6" s="1"/>
  <c r="AO81" i="6" a="1"/>
  <c r="AO81" i="6" s="1"/>
  <c r="AO74" i="6" a="1"/>
  <c r="AO74" i="6" s="1"/>
  <c r="AO63" i="6" a="1"/>
  <c r="AO63" i="6" s="1"/>
  <c r="AO56" i="6" a="1"/>
  <c r="AO56" i="6" s="1"/>
  <c r="AO49" i="6" a="1"/>
  <c r="AO49" i="6" s="1"/>
  <c r="AO96" i="6" a="1"/>
  <c r="AO96" i="6" s="1"/>
  <c r="AO93" i="6" a="1"/>
  <c r="AO93" i="6" s="1"/>
  <c r="AO88" i="6" a="1"/>
  <c r="AO88" i="6" s="1"/>
  <c r="AO83" i="6" a="1"/>
  <c r="AO83" i="6" s="1"/>
  <c r="AO77" i="6" a="1"/>
  <c r="AO77" i="6" s="1"/>
  <c r="AO70" i="6" a="1"/>
  <c r="AO70" i="6" s="1"/>
  <c r="AO125" i="6" a="1"/>
  <c r="AO125" i="6" s="1"/>
  <c r="AO101" i="6" a="1"/>
  <c r="AO101" i="6" s="1"/>
  <c r="AO94" i="6" a="1"/>
  <c r="AO94" i="6" s="1"/>
  <c r="AO80" i="6" a="1"/>
  <c r="AO80" i="6" s="1"/>
  <c r="AO73" i="6" a="1"/>
  <c r="AO73" i="6" s="1"/>
  <c r="AO66" i="6" a="1"/>
  <c r="AO66" i="6" s="1"/>
  <c r="AO55" i="6" a="1"/>
  <c r="AO55" i="6" s="1"/>
  <c r="AO103" i="6" a="1"/>
  <c r="AO103" i="6" s="1"/>
  <c r="AO95" i="6" a="1"/>
  <c r="AO95" i="6" s="1"/>
  <c r="AO89" i="6" a="1"/>
  <c r="AO89" i="6" s="1"/>
  <c r="AO84" i="6" a="1"/>
  <c r="AO84" i="6" s="1"/>
  <c r="AO76" i="6" a="1"/>
  <c r="AO76" i="6" s="1"/>
  <c r="AO69" i="6" a="1"/>
  <c r="AO69" i="6" s="1"/>
  <c r="AO62" i="6" a="1"/>
  <c r="AO62" i="6" s="1"/>
  <c r="AO90" i="6" a="1"/>
  <c r="AO90" i="6" s="1"/>
  <c r="AO79" i="6" a="1"/>
  <c r="AO79" i="6" s="1"/>
  <c r="AO72" i="6" a="1"/>
  <c r="AO72" i="6" s="1"/>
  <c r="AO65" i="6" a="1"/>
  <c r="AO65" i="6" s="1"/>
  <c r="AO58" i="6" a="1"/>
  <c r="AO58" i="6" s="1"/>
  <c r="AO47" i="6" a="1"/>
  <c r="AO47" i="6" s="1"/>
  <c r="AO91" i="6" a="1"/>
  <c r="AO91" i="6" s="1"/>
  <c r="AO85" i="6" a="1"/>
  <c r="AO85" i="6" s="1"/>
  <c r="AO75" i="6" a="1"/>
  <c r="AO75" i="6" s="1"/>
  <c r="AO68" i="6" a="1"/>
  <c r="AO68" i="6" s="1"/>
  <c r="AO61" i="6" a="1"/>
  <c r="AO61" i="6" s="1"/>
  <c r="AO108" i="6" a="1"/>
  <c r="AO108" i="6" s="1"/>
  <c r="AO86" i="6" a="1"/>
  <c r="AO86" i="6" s="1"/>
  <c r="AO71" i="6" a="1"/>
  <c r="AO71" i="6" s="1"/>
  <c r="AO64" i="6" a="1"/>
  <c r="AO64" i="6" s="1"/>
  <c r="AO57" i="6" a="1"/>
  <c r="AO57" i="6" s="1"/>
  <c r="AO50" i="6" a="1"/>
  <c r="AO50" i="6" s="1"/>
  <c r="AM6" i="6" a="1"/>
  <c r="AM6" i="6" s="1"/>
  <c r="AO8" i="6" a="1"/>
  <c r="AO8" i="6" s="1"/>
  <c r="AK9" i="6" a="1"/>
  <c r="AK9" i="6" s="1"/>
  <c r="AP9" i="6" a="1"/>
  <c r="AP9" i="6" s="1"/>
  <c r="AL10" i="6" a="1"/>
  <c r="AL10" i="6" s="1"/>
  <c r="AQ10" i="6" a="1"/>
  <c r="AQ10" i="6" s="1"/>
  <c r="AM11" i="6" a="1"/>
  <c r="AM11" i="6" s="1"/>
  <c r="AS12" i="6" a="1"/>
  <c r="AS12" i="6" s="1"/>
  <c r="AO13" i="6" a="1"/>
  <c r="AO13" i="6" s="1"/>
  <c r="AT13" i="6" a="1"/>
  <c r="AT13" i="6" s="1"/>
  <c r="AP14" i="6" a="1"/>
  <c r="AP14" i="6" s="1"/>
  <c r="AU14" i="6" a="1"/>
  <c r="AU14" i="6" s="1"/>
  <c r="AQ15" i="6" a="1"/>
  <c r="AQ15" i="6" s="1"/>
  <c r="AS17" i="6" a="1"/>
  <c r="AS17" i="6" s="1"/>
  <c r="AI18" i="6" a="1"/>
  <c r="AI18" i="6" s="1"/>
  <c r="AT18" i="6" a="1"/>
  <c r="AT18" i="6" s="1"/>
  <c r="AU19" i="6" a="1"/>
  <c r="AU19" i="6" s="1"/>
  <c r="AK20" i="6" a="1"/>
  <c r="AK20" i="6" s="1"/>
  <c r="AL21" i="6" a="1"/>
  <c r="AL21" i="6" s="1"/>
  <c r="AM22" i="6" a="1"/>
  <c r="AM22" i="6" s="1"/>
  <c r="AI23" i="6" a="1"/>
  <c r="AI23" i="6" s="1"/>
  <c r="AO24" i="6" a="1"/>
  <c r="AO24" i="6" s="1"/>
  <c r="AK25" i="6" a="1"/>
  <c r="AK25" i="6" s="1"/>
  <c r="AP25" i="6" a="1"/>
  <c r="AP25" i="6" s="1"/>
  <c r="AL26" i="6" a="1"/>
  <c r="AL26" i="6" s="1"/>
  <c r="AQ26" i="6" a="1"/>
  <c r="AQ26" i="6" s="1"/>
  <c r="AM27" i="6" a="1"/>
  <c r="AM27" i="6" s="1"/>
  <c r="AS28" i="6" a="1"/>
  <c r="AS28" i="6" s="1"/>
  <c r="AO29" i="6" a="1"/>
  <c r="AO29" i="6" s="1"/>
  <c r="AT29" i="6" a="1"/>
  <c r="AT29" i="6" s="1"/>
  <c r="AP30" i="6" a="1"/>
  <c r="AP30" i="6" s="1"/>
  <c r="AU30" i="6" a="1"/>
  <c r="AU30" i="6" s="1"/>
  <c r="AQ31" i="6" a="1"/>
  <c r="AQ31" i="6" s="1"/>
  <c r="AS33" i="6" a="1"/>
  <c r="AS33" i="6" s="1"/>
  <c r="AI34" i="6" a="1"/>
  <c r="AI34" i="6" s="1"/>
  <c r="AT34" i="6" a="1"/>
  <c r="AT34" i="6" s="1"/>
  <c r="AU35" i="6" a="1"/>
  <c r="AU35" i="6" s="1"/>
  <c r="AK36" i="6" a="1"/>
  <c r="AK36" i="6" s="1"/>
  <c r="AL37" i="6" a="1"/>
  <c r="AL37" i="6" s="1"/>
  <c r="AM38" i="6" a="1"/>
  <c r="AM38" i="6" s="1"/>
  <c r="AI39" i="6" a="1"/>
  <c r="AI39" i="6" s="1"/>
  <c r="AO40" i="6" a="1"/>
  <c r="AO40" i="6" s="1"/>
  <c r="AK41" i="6" a="1"/>
  <c r="AK41" i="6" s="1"/>
  <c r="AP41" i="6" a="1"/>
  <c r="AP41" i="6" s="1"/>
  <c r="AL42" i="6" a="1"/>
  <c r="AL42" i="6" s="1"/>
  <c r="AQ42" i="6" a="1"/>
  <c r="AQ42" i="6" s="1"/>
  <c r="AM43" i="6" a="1"/>
  <c r="AM43" i="6" s="1"/>
  <c r="AS44" i="6" a="1"/>
  <c r="AS44" i="6" s="1"/>
  <c r="AO45" i="6" a="1"/>
  <c r="AO45" i="6" s="1"/>
  <c r="AT45" i="6" a="1"/>
  <c r="AT45" i="6" s="1"/>
  <c r="AK47" i="6" a="1"/>
  <c r="AK47" i="6" s="1"/>
  <c r="AQ47" i="6" a="1"/>
  <c r="AQ47" i="6" s="1"/>
  <c r="AI48" i="6" a="1"/>
  <c r="AI48" i="6" s="1"/>
  <c r="AP52" i="6" a="1"/>
  <c r="AP52" i="6" s="1"/>
  <c r="AI56" i="6" a="1"/>
  <c r="AI56" i="6" s="1"/>
  <c r="AK57" i="6" a="1"/>
  <c r="AK57" i="6" s="1"/>
  <c r="AS58" i="6" a="1"/>
  <c r="AS58" i="6" s="1"/>
  <c r="AI61" i="6" a="1"/>
  <c r="AI61" i="6" s="1"/>
  <c r="AK63" i="6" a="1"/>
  <c r="AK63" i="6" s="1"/>
  <c r="AL66" i="6" a="1"/>
  <c r="AL66" i="6" s="1"/>
  <c r="AS357" i="6" a="1"/>
  <c r="AS357" i="6" s="1"/>
  <c r="AS349" i="6" a="1"/>
  <c r="AS349" i="6" s="1"/>
  <c r="AS341" i="6" a="1"/>
  <c r="AS341" i="6" s="1"/>
  <c r="AS358" i="6" a="1"/>
  <c r="AS358" i="6" s="1"/>
  <c r="AS350" i="6" a="1"/>
  <c r="AS350" i="6" s="1"/>
  <c r="AS342" i="6" a="1"/>
  <c r="AS342" i="6" s="1"/>
  <c r="AS351" i="6" a="1"/>
  <c r="AS351" i="6" s="1"/>
  <c r="AS352" i="6" a="1"/>
  <c r="AS352" i="6" s="1"/>
  <c r="AS344" i="6" a="1"/>
  <c r="AS344" i="6" s="1"/>
  <c r="AS353" i="6" a="1"/>
  <c r="AS353" i="6" s="1"/>
  <c r="AS345" i="6" a="1"/>
  <c r="AS345" i="6" s="1"/>
  <c r="AS337" i="6" a="1"/>
  <c r="AS337" i="6" s="1"/>
  <c r="AS354" i="6" a="1"/>
  <c r="AS354" i="6" s="1"/>
  <c r="AS346" i="6" a="1"/>
  <c r="AS346" i="6" s="1"/>
  <c r="AS338" i="6" a="1"/>
  <c r="AS338" i="6" s="1"/>
  <c r="AS355" i="6" a="1"/>
  <c r="AS355" i="6" s="1"/>
  <c r="AS347" i="6" a="1"/>
  <c r="AS347" i="6" s="1"/>
  <c r="AS339" i="6" a="1"/>
  <c r="AS339" i="6" s="1"/>
  <c r="AS340" i="6" a="1"/>
  <c r="AS340" i="6" s="1"/>
  <c r="AS331" i="6" a="1"/>
  <c r="AS331" i="6" s="1"/>
  <c r="AS324" i="6" a="1"/>
  <c r="AS324" i="6" s="1"/>
  <c r="AS317" i="6" a="1"/>
  <c r="AS317" i="6" s="1"/>
  <c r="AS334" i="6" a="1"/>
  <c r="AS334" i="6" s="1"/>
  <c r="AS327" i="6" a="1"/>
  <c r="AS327" i="6" s="1"/>
  <c r="AS320" i="6" a="1"/>
  <c r="AS320" i="6" s="1"/>
  <c r="AS343" i="6" a="1"/>
  <c r="AS343" i="6" s="1"/>
  <c r="AS330" i="6" a="1"/>
  <c r="AS330" i="6" s="1"/>
  <c r="AS323" i="6" a="1"/>
  <c r="AS323" i="6" s="1"/>
  <c r="AS316" i="6" a="1"/>
  <c r="AS316" i="6" s="1"/>
  <c r="AS326" i="6" a="1"/>
  <c r="AS326" i="6" s="1"/>
  <c r="AS319" i="6" a="1"/>
  <c r="AS319" i="6" s="1"/>
  <c r="AS312" i="6" a="1"/>
  <c r="AS312" i="6" s="1"/>
  <c r="AS348" i="6" a="1"/>
  <c r="AS348" i="6" s="1"/>
  <c r="AS333" i="6" a="1"/>
  <c r="AS333" i="6" s="1"/>
  <c r="AS322" i="6" a="1"/>
  <c r="AS322" i="6" s="1"/>
  <c r="AS315" i="6" a="1"/>
  <c r="AS315" i="6" s="1"/>
  <c r="AS356" i="6" a="1"/>
  <c r="AS356" i="6" s="1"/>
  <c r="AS336" i="6" a="1"/>
  <c r="AS336" i="6" s="1"/>
  <c r="AS329" i="6" a="1"/>
  <c r="AS329" i="6" s="1"/>
  <c r="AS318" i="6" a="1"/>
  <c r="AS318" i="6" s="1"/>
  <c r="AS332" i="6" a="1"/>
  <c r="AS332" i="6" s="1"/>
  <c r="AS325" i="6" a="1"/>
  <c r="AS325" i="6" s="1"/>
  <c r="AS314" i="6" a="1"/>
  <c r="AS314" i="6" s="1"/>
  <c r="AS309" i="6" a="1"/>
  <c r="AS309" i="6" s="1"/>
  <c r="AS305" i="6" a="1"/>
  <c r="AS305" i="6" s="1"/>
  <c r="AS308" i="6" a="1"/>
  <c r="AS308" i="6" s="1"/>
  <c r="AS321" i="6" a="1"/>
  <c r="AS321" i="6" s="1"/>
  <c r="AS311" i="6" a="1"/>
  <c r="AS311" i="6" s="1"/>
  <c r="AS304" i="6" a="1"/>
  <c r="AS304" i="6" s="1"/>
  <c r="AS328" i="6" a="1"/>
  <c r="AS328" i="6" s="1"/>
  <c r="AS313" i="6" a="1"/>
  <c r="AS313" i="6" s="1"/>
  <c r="AS307" i="6" a="1"/>
  <c r="AS307" i="6" s="1"/>
  <c r="AS335" i="6" a="1"/>
  <c r="AS335" i="6" s="1"/>
  <c r="AS310" i="6" a="1"/>
  <c r="AS310" i="6" s="1"/>
  <c r="AS303" i="6" a="1"/>
  <c r="AS303" i="6" s="1"/>
  <c r="AS306" i="6" a="1"/>
  <c r="AS306" i="6" s="1"/>
  <c r="AS298" i="6" a="1"/>
  <c r="AS298" i="6" s="1"/>
  <c r="AS294" i="6" a="1"/>
  <c r="AS294" i="6" s="1"/>
  <c r="AS289" i="6" a="1"/>
  <c r="AS289" i="6" s="1"/>
  <c r="AS284" i="6" a="1"/>
  <c r="AS284" i="6" s="1"/>
  <c r="AS278" i="6" a="1"/>
  <c r="AS278" i="6" s="1"/>
  <c r="AS302" i="6" a="1"/>
  <c r="AS302" i="6" s="1"/>
  <c r="AS301" i="6" a="1"/>
  <c r="AS301" i="6" s="1"/>
  <c r="AS295" i="6" a="1"/>
  <c r="AS295" i="6" s="1"/>
  <c r="AS290" i="6" a="1"/>
  <c r="AS290" i="6" s="1"/>
  <c r="AS300" i="6" a="1"/>
  <c r="AS300" i="6" s="1"/>
  <c r="AS296" i="6" a="1"/>
  <c r="AS296" i="6" s="1"/>
  <c r="AS277" i="6" a="1"/>
  <c r="AS277" i="6" s="1"/>
  <c r="AS297" i="6" a="1"/>
  <c r="AS297" i="6" s="1"/>
  <c r="AS291" i="6" a="1"/>
  <c r="AS291" i="6" s="1"/>
  <c r="AS286" i="6" a="1"/>
  <c r="AS286" i="6" s="1"/>
  <c r="AS299" i="6" a="1"/>
  <c r="AS299" i="6" s="1"/>
  <c r="AS292" i="6" a="1"/>
  <c r="AS292" i="6" s="1"/>
  <c r="AS276" i="6" a="1"/>
  <c r="AS276" i="6" s="1"/>
  <c r="AS293" i="6" a="1"/>
  <c r="AS293" i="6" s="1"/>
  <c r="AS287" i="6" a="1"/>
  <c r="AS287" i="6" s="1"/>
  <c r="AS283" i="6" a="1"/>
  <c r="AS283" i="6" s="1"/>
  <c r="AS288" i="6" a="1"/>
  <c r="AS288" i="6" s="1"/>
  <c r="AS285" i="6" a="1"/>
  <c r="AS285" i="6" s="1"/>
  <c r="AS275" i="6" a="1"/>
  <c r="AS275" i="6" s="1"/>
  <c r="AS271" i="6" a="1"/>
  <c r="AS271" i="6" s="1"/>
  <c r="AS281" i="6" a="1"/>
  <c r="AS281" i="6" s="1"/>
  <c r="AS280" i="6" a="1"/>
  <c r="AS280" i="6" s="1"/>
  <c r="AS279" i="6" a="1"/>
  <c r="AS279" i="6" s="1"/>
  <c r="AS270" i="6" a="1"/>
  <c r="AS270" i="6" s="1"/>
  <c r="AS274" i="6" a="1"/>
  <c r="AS274" i="6" s="1"/>
  <c r="AS272" i="6" a="1"/>
  <c r="AS272" i="6" s="1"/>
  <c r="AS261" i="6" a="1"/>
  <c r="AS261" i="6" s="1"/>
  <c r="AS264" i="6" a="1"/>
  <c r="AS264" i="6" s="1"/>
  <c r="AS267" i="6" a="1"/>
  <c r="AS267" i="6" s="1"/>
  <c r="AS260" i="6" a="1"/>
  <c r="AS260" i="6" s="1"/>
  <c r="AS263" i="6" a="1"/>
  <c r="AS263" i="6" s="1"/>
  <c r="AS269" i="6" a="1"/>
  <c r="AS269" i="6" s="1"/>
  <c r="AS268" i="6" a="1"/>
  <c r="AS268" i="6" s="1"/>
  <c r="AS266" i="6" a="1"/>
  <c r="AS266" i="6" s="1"/>
  <c r="AS282" i="6" a="1"/>
  <c r="AS282" i="6" s="1"/>
  <c r="AS262" i="6" a="1"/>
  <c r="AS262" i="6" s="1"/>
  <c r="AS273" i="6" a="1"/>
  <c r="AS273" i="6" s="1"/>
  <c r="AS258" i="6" a="1"/>
  <c r="AS258" i="6" s="1"/>
  <c r="AS259" i="6" a="1"/>
  <c r="AS259" i="6" s="1"/>
  <c r="AS256" i="6" a="1"/>
  <c r="AS256" i="6" s="1"/>
  <c r="AS245" i="6" a="1"/>
  <c r="AS245" i="6" s="1"/>
  <c r="AS238" i="6" a="1"/>
  <c r="AS238" i="6" s="1"/>
  <c r="AS265" i="6" a="1"/>
  <c r="AS265" i="6" s="1"/>
  <c r="AS252" i="6" a="1"/>
  <c r="AS252" i="6" s="1"/>
  <c r="AS241" i="6" a="1"/>
  <c r="AS241" i="6" s="1"/>
  <c r="AS234" i="6" a="1"/>
  <c r="AS234" i="6" s="1"/>
  <c r="AS255" i="6" a="1"/>
  <c r="AS255" i="6" s="1"/>
  <c r="AS248" i="6" a="1"/>
  <c r="AS248" i="6" s="1"/>
  <c r="AS237" i="6" a="1"/>
  <c r="AS237" i="6" s="1"/>
  <c r="AS251" i="6" a="1"/>
  <c r="AS251" i="6" s="1"/>
  <c r="AS244" i="6" a="1"/>
  <c r="AS244" i="6" s="1"/>
  <c r="AS233" i="6" a="1"/>
  <c r="AS233" i="6" s="1"/>
  <c r="AS254" i="6" a="1"/>
  <c r="AS254" i="6" s="1"/>
  <c r="AS247" i="6" a="1"/>
  <c r="AS247" i="6" s="1"/>
  <c r="AS240" i="6" a="1"/>
  <c r="AS240" i="6" s="1"/>
  <c r="AS253" i="6" a="1"/>
  <c r="AS253" i="6" s="1"/>
  <c r="AS246" i="6" a="1"/>
  <c r="AS246" i="6" s="1"/>
  <c r="AS239" i="6" a="1"/>
  <c r="AS239" i="6" s="1"/>
  <c r="AS232" i="6" a="1"/>
  <c r="AS232" i="6" s="1"/>
  <c r="AS257" i="6" a="1"/>
  <c r="AS257" i="6" s="1"/>
  <c r="AS249" i="6" a="1"/>
  <c r="AS249" i="6" s="1"/>
  <c r="AS242" i="6" a="1"/>
  <c r="AS242" i="6" s="1"/>
  <c r="AS235" i="6" a="1"/>
  <c r="AS235" i="6" s="1"/>
  <c r="AS226" i="6" a="1"/>
  <c r="AS226" i="6" s="1"/>
  <c r="AS243" i="6" a="1"/>
  <c r="AS243" i="6" s="1"/>
  <c r="AS229" i="6" a="1"/>
  <c r="AS229" i="6" s="1"/>
  <c r="AS225" i="6" a="1"/>
  <c r="AS225" i="6" s="1"/>
  <c r="AS250" i="6" a="1"/>
  <c r="AS250" i="6" s="1"/>
  <c r="AS228" i="6" a="1"/>
  <c r="AS228" i="6" s="1"/>
  <c r="AS231" i="6" a="1"/>
  <c r="AS231" i="6" s="1"/>
  <c r="AS224" i="6" a="1"/>
  <c r="AS224" i="6" s="1"/>
  <c r="AS227" i="6" a="1"/>
  <c r="AS227" i="6" s="1"/>
  <c r="AS236" i="6" a="1"/>
  <c r="AS236" i="6" s="1"/>
  <c r="AS230" i="6" a="1"/>
  <c r="AS230" i="6" s="1"/>
  <c r="AS216" i="6" a="1"/>
  <c r="AS216" i="6" s="1"/>
  <c r="AS209" i="6" a="1"/>
  <c r="AS209" i="6" s="1"/>
  <c r="AS198" i="6" a="1"/>
  <c r="AS198" i="6" s="1"/>
  <c r="AS191" i="6" a="1"/>
  <c r="AS191" i="6" s="1"/>
  <c r="AS219" i="6" a="1"/>
  <c r="AS219" i="6" s="1"/>
  <c r="AS212" i="6" a="1"/>
  <c r="AS212" i="6" s="1"/>
  <c r="AS205" i="6" a="1"/>
  <c r="AS205" i="6" s="1"/>
  <c r="AS194" i="6" a="1"/>
  <c r="AS194" i="6" s="1"/>
  <c r="AS215" i="6" a="1"/>
  <c r="AS215" i="6" s="1"/>
  <c r="AS208" i="6" a="1"/>
  <c r="AS208" i="6" s="1"/>
  <c r="AS201" i="6" a="1"/>
  <c r="AS201" i="6" s="1"/>
  <c r="AS190" i="6" a="1"/>
  <c r="AS190" i="6" s="1"/>
  <c r="AS218" i="6" a="1"/>
  <c r="AS218" i="6" s="1"/>
  <c r="AS211" i="6" a="1"/>
  <c r="AS211" i="6" s="1"/>
  <c r="AS204" i="6" a="1"/>
  <c r="AS204" i="6" s="1"/>
  <c r="AS197" i="6" a="1"/>
  <c r="AS197" i="6" s="1"/>
  <c r="AS223" i="6" a="1"/>
  <c r="AS223" i="6" s="1"/>
  <c r="AS214" i="6" a="1"/>
  <c r="AS214" i="6" s="1"/>
  <c r="AS207" i="6" a="1"/>
  <c r="AS207" i="6" s="1"/>
  <c r="AS200" i="6" a="1"/>
  <c r="AS200" i="6" s="1"/>
  <c r="AS193" i="6" a="1"/>
  <c r="AS193" i="6" s="1"/>
  <c r="AS221" i="6" a="1"/>
  <c r="AS221" i="6" s="1"/>
  <c r="AS210" i="6" a="1"/>
  <c r="AS210" i="6" s="1"/>
  <c r="AS203" i="6" a="1"/>
  <c r="AS203" i="6" s="1"/>
  <c r="AS196" i="6" a="1"/>
  <c r="AS196" i="6" s="1"/>
  <c r="AS189" i="6" a="1"/>
  <c r="AS189" i="6" s="1"/>
  <c r="AS222" i="6" a="1"/>
  <c r="AS222" i="6" s="1"/>
  <c r="AS217" i="6" a="1"/>
  <c r="AS217" i="6" s="1"/>
  <c r="AS206" i="6" a="1"/>
  <c r="AS206" i="6" s="1"/>
  <c r="AS199" i="6" a="1"/>
  <c r="AS199" i="6" s="1"/>
  <c r="AS192" i="6" a="1"/>
  <c r="AS192" i="6" s="1"/>
  <c r="AS220" i="6" a="1"/>
  <c r="AS220" i="6" s="1"/>
  <c r="AS213" i="6" a="1"/>
  <c r="AS213" i="6" s="1"/>
  <c r="AS202" i="6" a="1"/>
  <c r="AS202" i="6" s="1"/>
  <c r="AS195" i="6" a="1"/>
  <c r="AS195" i="6" s="1"/>
  <c r="AS188" i="6" a="1"/>
  <c r="AS188" i="6" s="1"/>
  <c r="AS186" i="6" a="1"/>
  <c r="AS186" i="6" s="1"/>
  <c r="AS179" i="6" a="1"/>
  <c r="AS179" i="6" s="1"/>
  <c r="AS182" i="6" a="1"/>
  <c r="AS182" i="6" s="1"/>
  <c r="AS175" i="6" a="1"/>
  <c r="AS175" i="6" s="1"/>
  <c r="AS185" i="6" a="1"/>
  <c r="AS185" i="6" s="1"/>
  <c r="AS178" i="6" a="1"/>
  <c r="AS178" i="6" s="1"/>
  <c r="AS181" i="6" a="1"/>
  <c r="AS181" i="6" s="1"/>
  <c r="AS174" i="6" a="1"/>
  <c r="AS174" i="6" s="1"/>
  <c r="AS184" i="6" a="1"/>
  <c r="AS184" i="6" s="1"/>
  <c r="AS177" i="6" a="1"/>
  <c r="AS177" i="6" s="1"/>
  <c r="AS180" i="6" a="1"/>
  <c r="AS180" i="6" s="1"/>
  <c r="AS187" i="6" a="1"/>
  <c r="AS187" i="6" s="1"/>
  <c r="AS176" i="6" a="1"/>
  <c r="AS176" i="6" s="1"/>
  <c r="AS173" i="6" a="1"/>
  <c r="AS173" i="6" s="1"/>
  <c r="AS164" i="6" a="1"/>
  <c r="AS164" i="6" s="1"/>
  <c r="AS157" i="6" a="1"/>
  <c r="AS157" i="6" s="1"/>
  <c r="AS150" i="6" a="1"/>
  <c r="AS150" i="6" s="1"/>
  <c r="AS143" i="6" a="1"/>
  <c r="AS143" i="6" s="1"/>
  <c r="AS132" i="6" a="1"/>
  <c r="AS132" i="6" s="1"/>
  <c r="AS125" i="6" a="1"/>
  <c r="AS125" i="6" s="1"/>
  <c r="AS171" i="6" a="1"/>
  <c r="AS171" i="6" s="1"/>
  <c r="AS160" i="6" a="1"/>
  <c r="AS160" i="6" s="1"/>
  <c r="AS153" i="6" a="1"/>
  <c r="AS153" i="6" s="1"/>
  <c r="AS146" i="6" a="1"/>
  <c r="AS146" i="6" s="1"/>
  <c r="AS139" i="6" a="1"/>
  <c r="AS139" i="6" s="1"/>
  <c r="AS128" i="6" a="1"/>
  <c r="AS128" i="6" s="1"/>
  <c r="AS183" i="6" a="1"/>
  <c r="AS183" i="6" s="1"/>
  <c r="AS167" i="6" a="1"/>
  <c r="AS167" i="6" s="1"/>
  <c r="AS156" i="6" a="1"/>
  <c r="AS156" i="6" s="1"/>
  <c r="AS149" i="6" a="1"/>
  <c r="AS149" i="6" s="1"/>
  <c r="AS142" i="6" a="1"/>
  <c r="AS142" i="6" s="1"/>
  <c r="AS135" i="6" a="1"/>
  <c r="AS135" i="6" s="1"/>
  <c r="AS124" i="6" a="1"/>
  <c r="AS124" i="6" s="1"/>
  <c r="AS170" i="6" a="1"/>
  <c r="AS170" i="6" s="1"/>
  <c r="AS163" i="6" a="1"/>
  <c r="AS163" i="6" s="1"/>
  <c r="AS152" i="6" a="1"/>
  <c r="AS152" i="6" s="1"/>
  <c r="AS145" i="6" a="1"/>
  <c r="AS145" i="6" s="1"/>
  <c r="AS138" i="6" a="1"/>
  <c r="AS138" i="6" s="1"/>
  <c r="AS131" i="6" a="1"/>
  <c r="AS131" i="6" s="1"/>
  <c r="AS166" i="6" a="1"/>
  <c r="AS166" i="6" s="1"/>
  <c r="AS159" i="6" a="1"/>
  <c r="AS159" i="6" s="1"/>
  <c r="AS148" i="6" a="1"/>
  <c r="AS148" i="6" s="1"/>
  <c r="AS141" i="6" a="1"/>
  <c r="AS141" i="6" s="1"/>
  <c r="AS134" i="6" a="1"/>
  <c r="AS134" i="6" s="1"/>
  <c r="AS127" i="6" a="1"/>
  <c r="AS127" i="6" s="1"/>
  <c r="AS169" i="6" a="1"/>
  <c r="AS169" i="6" s="1"/>
  <c r="AS162" i="6" a="1"/>
  <c r="AS162" i="6" s="1"/>
  <c r="AS155" i="6" a="1"/>
  <c r="AS155" i="6" s="1"/>
  <c r="AS144" i="6" a="1"/>
  <c r="AS144" i="6" s="1"/>
  <c r="AS137" i="6" a="1"/>
  <c r="AS137" i="6" s="1"/>
  <c r="AS130" i="6" a="1"/>
  <c r="AS130" i="6" s="1"/>
  <c r="AS172" i="6" a="1"/>
  <c r="AS172" i="6" s="1"/>
  <c r="AS165" i="6" a="1"/>
  <c r="AS165" i="6" s="1"/>
  <c r="AS133" i="6" a="1"/>
  <c r="AS133" i="6" s="1"/>
  <c r="AS119" i="6" a="1"/>
  <c r="AS119" i="6" s="1"/>
  <c r="AS108" i="6" a="1"/>
  <c r="AS108" i="6" s="1"/>
  <c r="AS101" i="6" a="1"/>
  <c r="AS101" i="6" s="1"/>
  <c r="AS154" i="6" a="1"/>
  <c r="AS154" i="6" s="1"/>
  <c r="AS115" i="6" a="1"/>
  <c r="AS115" i="6" s="1"/>
  <c r="AS104" i="6" a="1"/>
  <c r="AS104" i="6" s="1"/>
  <c r="AS97" i="6" a="1"/>
  <c r="AS97" i="6" s="1"/>
  <c r="AS158" i="6" a="1"/>
  <c r="AS158" i="6" s="1"/>
  <c r="AS118" i="6" a="1"/>
  <c r="AS118" i="6" s="1"/>
  <c r="AS111" i="6" a="1"/>
  <c r="AS111" i="6" s="1"/>
  <c r="AS100" i="6" a="1"/>
  <c r="AS100" i="6" s="1"/>
  <c r="AS168" i="6" a="1"/>
  <c r="AS168" i="6" s="1"/>
  <c r="AS136" i="6" a="1"/>
  <c r="AS136" i="6" s="1"/>
  <c r="AS123" i="6" a="1"/>
  <c r="AS123" i="6" s="1"/>
  <c r="AS121" i="6" a="1"/>
  <c r="AS121" i="6" s="1"/>
  <c r="AS114" i="6" a="1"/>
  <c r="AS114" i="6" s="1"/>
  <c r="AS107" i="6" a="1"/>
  <c r="AS107" i="6" s="1"/>
  <c r="AS140" i="6" a="1"/>
  <c r="AS140" i="6" s="1"/>
  <c r="AS126" i="6" a="1"/>
  <c r="AS126" i="6" s="1"/>
  <c r="AS117" i="6" a="1"/>
  <c r="AS117" i="6" s="1"/>
  <c r="AS110" i="6" a="1"/>
  <c r="AS110" i="6" s="1"/>
  <c r="AS103" i="6" a="1"/>
  <c r="AS103" i="6" s="1"/>
  <c r="AS161" i="6" a="1"/>
  <c r="AS161" i="6" s="1"/>
  <c r="AS122" i="6" a="1"/>
  <c r="AS122" i="6" s="1"/>
  <c r="AS120" i="6" a="1"/>
  <c r="AS120" i="6" s="1"/>
  <c r="AS113" i="6" a="1"/>
  <c r="AS113" i="6" s="1"/>
  <c r="AS106" i="6" a="1"/>
  <c r="AS106" i="6" s="1"/>
  <c r="AS99" i="6" a="1"/>
  <c r="AS99" i="6" s="1"/>
  <c r="AS151" i="6" a="1"/>
  <c r="AS151" i="6" s="1"/>
  <c r="AS116" i="6" a="1"/>
  <c r="AS116" i="6" s="1"/>
  <c r="AS109" i="6" a="1"/>
  <c r="AS109" i="6" s="1"/>
  <c r="AS102" i="6" a="1"/>
  <c r="AS102" i="6" s="1"/>
  <c r="AS91" i="6" a="1"/>
  <c r="AS91" i="6" s="1"/>
  <c r="AS85" i="6" a="1"/>
  <c r="AS85" i="6" s="1"/>
  <c r="AS71" i="6" a="1"/>
  <c r="AS71" i="6" s="1"/>
  <c r="AS98" i="6" a="1"/>
  <c r="AS98" i="6" s="1"/>
  <c r="AS86" i="6" a="1"/>
  <c r="AS86" i="6" s="1"/>
  <c r="AS78" i="6" a="1"/>
  <c r="AS78" i="6" s="1"/>
  <c r="AS67" i="6" a="1"/>
  <c r="AS67" i="6" s="1"/>
  <c r="AS60" i="6" a="1"/>
  <c r="AS60" i="6" s="1"/>
  <c r="AS53" i="6" a="1"/>
  <c r="AS53" i="6" s="1"/>
  <c r="AS46" i="6" a="1"/>
  <c r="AS46" i="6" s="1"/>
  <c r="AS129" i="6" a="1"/>
  <c r="AS129" i="6" s="1"/>
  <c r="AS92" i="6" a="1"/>
  <c r="AS92" i="6" s="1"/>
  <c r="AS87" i="6" a="1"/>
  <c r="AS87" i="6" s="1"/>
  <c r="AS81" i="6" a="1"/>
  <c r="AS81" i="6" s="1"/>
  <c r="AS74" i="6" a="1"/>
  <c r="AS74" i="6" s="1"/>
  <c r="AS63" i="6" a="1"/>
  <c r="AS63" i="6" s="1"/>
  <c r="AS147" i="6" a="1"/>
  <c r="AS147" i="6" s="1"/>
  <c r="AS82" i="6" a="1"/>
  <c r="AS82" i="6" s="1"/>
  <c r="AS77" i="6" a="1"/>
  <c r="AS77" i="6" s="1"/>
  <c r="AS70" i="6" a="1"/>
  <c r="AS70" i="6" s="1"/>
  <c r="AS59" i="6" a="1"/>
  <c r="AS59" i="6" s="1"/>
  <c r="AS52" i="6" a="1"/>
  <c r="AS52" i="6" s="1"/>
  <c r="AS93" i="6" a="1"/>
  <c r="AS93" i="6" s="1"/>
  <c r="AS88" i="6" a="1"/>
  <c r="AS88" i="6" s="1"/>
  <c r="AS83" i="6" a="1"/>
  <c r="AS83" i="6" s="1"/>
  <c r="AS80" i="6" a="1"/>
  <c r="AS80" i="6" s="1"/>
  <c r="AS73" i="6" a="1"/>
  <c r="AS73" i="6" s="1"/>
  <c r="AS66" i="6" a="1"/>
  <c r="AS66" i="6" s="1"/>
  <c r="AS105" i="6" a="1"/>
  <c r="AS105" i="6" s="1"/>
  <c r="AS94" i="6" a="1"/>
  <c r="AS94" i="6" s="1"/>
  <c r="AS76" i="6" a="1"/>
  <c r="AS76" i="6" s="1"/>
  <c r="AS69" i="6" a="1"/>
  <c r="AS69" i="6" s="1"/>
  <c r="AS62" i="6" a="1"/>
  <c r="AS62" i="6" s="1"/>
  <c r="AS51" i="6" a="1"/>
  <c r="AS51" i="6" s="1"/>
  <c r="AS112" i="6" a="1"/>
  <c r="AS112" i="6" s="1"/>
  <c r="AS96" i="6" a="1"/>
  <c r="AS96" i="6" s="1"/>
  <c r="AS95" i="6" a="1"/>
  <c r="AS95" i="6" s="1"/>
  <c r="AS89" i="6" a="1"/>
  <c r="AS89" i="6" s="1"/>
  <c r="AS84" i="6" a="1"/>
  <c r="AS84" i="6" s="1"/>
  <c r="AS79" i="6" a="1"/>
  <c r="AS79" i="6" s="1"/>
  <c r="AS72" i="6" a="1"/>
  <c r="AS72" i="6" s="1"/>
  <c r="AS65" i="6" a="1"/>
  <c r="AS65" i="6" s="1"/>
  <c r="AS90" i="6" a="1"/>
  <c r="AS90" i="6" s="1"/>
  <c r="AS75" i="6" a="1"/>
  <c r="AS75" i="6" s="1"/>
  <c r="AS68" i="6" a="1"/>
  <c r="AS68" i="6" s="1"/>
  <c r="AS61" i="6" a="1"/>
  <c r="AS61" i="6" s="1"/>
  <c r="AS54" i="6" a="1"/>
  <c r="AS54" i="6" s="1"/>
  <c r="AP354" i="6" a="1"/>
  <c r="AP354" i="6" s="1"/>
  <c r="AP346" i="6" a="1"/>
  <c r="AP346" i="6" s="1"/>
  <c r="AP338" i="6" a="1"/>
  <c r="AP338" i="6" s="1"/>
  <c r="AP355" i="6" a="1"/>
  <c r="AP355" i="6" s="1"/>
  <c r="AP347" i="6" a="1"/>
  <c r="AP347" i="6" s="1"/>
  <c r="AP339" i="6" a="1"/>
  <c r="AP339" i="6" s="1"/>
  <c r="AP356" i="6" a="1"/>
  <c r="AP356" i="6" s="1"/>
  <c r="AP357" i="6" a="1"/>
  <c r="AP357" i="6" s="1"/>
  <c r="AP349" i="6" a="1"/>
  <c r="AP349" i="6" s="1"/>
  <c r="AP341" i="6" a="1"/>
  <c r="AP341" i="6" s="1"/>
  <c r="AP358" i="6" a="1"/>
  <c r="AP358" i="6" s="1"/>
  <c r="AP350" i="6" a="1"/>
  <c r="AP350" i="6" s="1"/>
  <c r="AP342" i="6" a="1"/>
  <c r="AP342" i="6" s="1"/>
  <c r="AP351" i="6" a="1"/>
  <c r="AP351" i="6" s="1"/>
  <c r="AP343" i="6" a="1"/>
  <c r="AP343" i="6" s="1"/>
  <c r="AP352" i="6" a="1"/>
  <c r="AP352" i="6" s="1"/>
  <c r="AP344" i="6" a="1"/>
  <c r="AP344" i="6" s="1"/>
  <c r="AP337" i="6" a="1"/>
  <c r="AP337" i="6" s="1"/>
  <c r="AP330" i="6" a="1"/>
  <c r="AP330" i="6" s="1"/>
  <c r="AP319" i="6" a="1"/>
  <c r="AP319" i="6" s="1"/>
  <c r="AP340" i="6" a="1"/>
  <c r="AP340" i="6" s="1"/>
  <c r="AP333" i="6" a="1"/>
  <c r="AP333" i="6" s="1"/>
  <c r="AP326" i="6" a="1"/>
  <c r="AP326" i="6" s="1"/>
  <c r="AP345" i="6" a="1"/>
  <c r="AP345" i="6" s="1"/>
  <c r="AP329" i="6" a="1"/>
  <c r="AP329" i="6" s="1"/>
  <c r="AP322" i="6" a="1"/>
  <c r="AP322" i="6" s="1"/>
  <c r="AP332" i="6" a="1"/>
  <c r="AP332" i="6" s="1"/>
  <c r="AP325" i="6" a="1"/>
  <c r="AP325" i="6" s="1"/>
  <c r="AP318" i="6" a="1"/>
  <c r="AP318" i="6" s="1"/>
  <c r="AP335" i="6" a="1"/>
  <c r="AP335" i="6" s="1"/>
  <c r="AP328" i="6" a="1"/>
  <c r="AP328" i="6" s="1"/>
  <c r="AP321" i="6" a="1"/>
  <c r="AP321" i="6" s="1"/>
  <c r="AP314" i="6" a="1"/>
  <c r="AP314" i="6" s="1"/>
  <c r="AP348" i="6" a="1"/>
  <c r="AP348" i="6" s="1"/>
  <c r="AP331" i="6" a="1"/>
  <c r="AP331" i="6" s="1"/>
  <c r="AP324" i="6" a="1"/>
  <c r="AP324" i="6" s="1"/>
  <c r="AP317" i="6" a="1"/>
  <c r="AP317" i="6" s="1"/>
  <c r="AP353" i="6" a="1"/>
  <c r="AP353" i="6" s="1"/>
  <c r="AP327" i="6" a="1"/>
  <c r="AP327" i="6" s="1"/>
  <c r="AP320" i="6" a="1"/>
  <c r="AP320" i="6" s="1"/>
  <c r="AP312" i="6" a="1"/>
  <c r="AP312" i="6" s="1"/>
  <c r="AP311" i="6" a="1"/>
  <c r="AP311" i="6" s="1"/>
  <c r="AP304" i="6" a="1"/>
  <c r="AP304" i="6" s="1"/>
  <c r="AP315" i="6" a="1"/>
  <c r="AP315" i="6" s="1"/>
  <c r="AP307" i="6" a="1"/>
  <c r="AP307" i="6" s="1"/>
  <c r="AP336" i="6" a="1"/>
  <c r="AP336" i="6" s="1"/>
  <c r="AP334" i="6" a="1"/>
  <c r="AP334" i="6" s="1"/>
  <c r="AP303" i="6" a="1"/>
  <c r="AP303" i="6" s="1"/>
  <c r="AP323" i="6" a="1"/>
  <c r="AP323" i="6" s="1"/>
  <c r="AP316" i="6" a="1"/>
  <c r="AP316" i="6" s="1"/>
  <c r="AP310" i="6" a="1"/>
  <c r="AP310" i="6" s="1"/>
  <c r="AP306" i="6" a="1"/>
  <c r="AP306" i="6" s="1"/>
  <c r="AP309" i="6" a="1"/>
  <c r="AP309" i="6" s="1"/>
  <c r="AP302" i="6" a="1"/>
  <c r="AP302" i="6" s="1"/>
  <c r="AP313" i="6" a="1"/>
  <c r="AP313" i="6" s="1"/>
  <c r="AP305" i="6" a="1"/>
  <c r="AP305" i="6" s="1"/>
  <c r="AP296" i="6" a="1"/>
  <c r="AP296" i="6" s="1"/>
  <c r="AP291" i="6" a="1"/>
  <c r="AP291" i="6" s="1"/>
  <c r="AP299" i="6" a="1"/>
  <c r="AP299" i="6" s="1"/>
  <c r="AP297" i="6" a="1"/>
  <c r="AP297" i="6" s="1"/>
  <c r="AP281" i="6" a="1"/>
  <c r="AP281" i="6" s="1"/>
  <c r="AP292" i="6" a="1"/>
  <c r="AP292" i="6" s="1"/>
  <c r="AP287" i="6" a="1"/>
  <c r="AP287" i="6" s="1"/>
  <c r="AP301" i="6" a="1"/>
  <c r="AP301" i="6" s="1"/>
  <c r="AP298" i="6" a="1"/>
  <c r="AP298" i="6" s="1"/>
  <c r="AP293" i="6" a="1"/>
  <c r="AP293" i="6" s="1"/>
  <c r="AP276" i="6" a="1"/>
  <c r="AP276" i="6" s="1"/>
  <c r="AP294" i="6" a="1"/>
  <c r="AP294" i="6" s="1"/>
  <c r="AP288" i="6" a="1"/>
  <c r="AP288" i="6" s="1"/>
  <c r="AP289" i="6" a="1"/>
  <c r="AP289" i="6" s="1"/>
  <c r="AP300" i="6" a="1"/>
  <c r="AP300" i="6" s="1"/>
  <c r="AP295" i="6" a="1"/>
  <c r="AP295" i="6" s="1"/>
  <c r="AP290" i="6" a="1"/>
  <c r="AP290" i="6" s="1"/>
  <c r="AP308" i="6" a="1"/>
  <c r="AP308" i="6" s="1"/>
  <c r="AP282" i="6" a="1"/>
  <c r="AP282" i="6" s="1"/>
  <c r="AP277" i="6" a="1"/>
  <c r="AP277" i="6" s="1"/>
  <c r="AP270" i="6" a="1"/>
  <c r="AP270" i="6" s="1"/>
  <c r="AP283" i="6" a="1"/>
  <c r="AP283" i="6" s="1"/>
  <c r="AP273" i="6" a="1"/>
  <c r="AP273" i="6" s="1"/>
  <c r="AP274" i="6" a="1"/>
  <c r="AP274" i="6" s="1"/>
  <c r="AP269" i="6" a="1"/>
  <c r="AP269" i="6" s="1"/>
  <c r="AP284" i="6" a="1"/>
  <c r="AP284" i="6" s="1"/>
  <c r="AP286" i="6" a="1"/>
  <c r="AP286" i="6" s="1"/>
  <c r="AP280" i="6" a="1"/>
  <c r="AP280" i="6" s="1"/>
  <c r="AP279" i="6" a="1"/>
  <c r="AP279" i="6" s="1"/>
  <c r="AP278" i="6" a="1"/>
  <c r="AP278" i="6" s="1"/>
  <c r="AP271" i="6" a="1"/>
  <c r="AP271" i="6" s="1"/>
  <c r="AP268" i="6" a="1"/>
  <c r="AP268" i="6" s="1"/>
  <c r="AP263" i="6" a="1"/>
  <c r="AP263" i="6" s="1"/>
  <c r="AP259" i="6" a="1"/>
  <c r="AP259" i="6" s="1"/>
  <c r="AP257" i="6" a="1"/>
  <c r="AP257" i="6" s="1"/>
  <c r="AP266" i="6" a="1"/>
  <c r="AP266" i="6" s="1"/>
  <c r="AP272" i="6" a="1"/>
  <c r="AP272" i="6" s="1"/>
  <c r="AP262" i="6" a="1"/>
  <c r="AP262" i="6" s="1"/>
  <c r="AP265" i="6" a="1"/>
  <c r="AP265" i="6" s="1"/>
  <c r="AP275" i="6" a="1"/>
  <c r="AP275" i="6" s="1"/>
  <c r="AP261" i="6" a="1"/>
  <c r="AP261" i="6" s="1"/>
  <c r="AP285" i="6" a="1"/>
  <c r="AP285" i="6" s="1"/>
  <c r="AP264" i="6" a="1"/>
  <c r="AP264" i="6" s="1"/>
  <c r="AP251" i="6" a="1"/>
  <c r="AP251" i="6" s="1"/>
  <c r="AP244" i="6" a="1"/>
  <c r="AP244" i="6" s="1"/>
  <c r="AP237" i="6" a="1"/>
  <c r="AP237" i="6" s="1"/>
  <c r="AP267" i="6" a="1"/>
  <c r="AP267" i="6" s="1"/>
  <c r="AP258" i="6" a="1"/>
  <c r="AP258" i="6" s="1"/>
  <c r="AP254" i="6" a="1"/>
  <c r="AP254" i="6" s="1"/>
  <c r="AP247" i="6" a="1"/>
  <c r="AP247" i="6" s="1"/>
  <c r="AP240" i="6" a="1"/>
  <c r="AP240" i="6" s="1"/>
  <c r="AP233" i="6" a="1"/>
  <c r="AP233" i="6" s="1"/>
  <c r="AP260" i="6" a="1"/>
  <c r="AP260" i="6" s="1"/>
  <c r="AP250" i="6" a="1"/>
  <c r="AP250" i="6" s="1"/>
  <c r="AP243" i="6" a="1"/>
  <c r="AP243" i="6" s="1"/>
  <c r="AP236" i="6" a="1"/>
  <c r="AP236" i="6" s="1"/>
  <c r="AP246" i="6" a="1"/>
  <c r="AP246" i="6" s="1"/>
  <c r="AP239" i="6" a="1"/>
  <c r="AP239" i="6" s="1"/>
  <c r="AP253" i="6" a="1"/>
  <c r="AP253" i="6" s="1"/>
  <c r="AP242" i="6" a="1"/>
  <c r="AP242" i="6" s="1"/>
  <c r="AP235" i="6" a="1"/>
  <c r="AP235" i="6" s="1"/>
  <c r="AP252" i="6" a="1"/>
  <c r="AP252" i="6" s="1"/>
  <c r="AP245" i="6" a="1"/>
  <c r="AP245" i="6" s="1"/>
  <c r="AP234" i="6" a="1"/>
  <c r="AP234" i="6" s="1"/>
  <c r="AP255" i="6" a="1"/>
  <c r="AP255" i="6" s="1"/>
  <c r="AP248" i="6" a="1"/>
  <c r="AP248" i="6" s="1"/>
  <c r="AP241" i="6" a="1"/>
  <c r="AP241" i="6" s="1"/>
  <c r="AP249" i="6" a="1"/>
  <c r="AP249" i="6" s="1"/>
  <c r="AP225" i="6" a="1"/>
  <c r="AP225" i="6" s="1"/>
  <c r="AP256" i="6" a="1"/>
  <c r="AP256" i="6" s="1"/>
  <c r="AP228" i="6" a="1"/>
  <c r="AP228" i="6" s="1"/>
  <c r="AP231" i="6" a="1"/>
  <c r="AP231" i="6" s="1"/>
  <c r="AP224" i="6" a="1"/>
  <c r="AP224" i="6" s="1"/>
  <c r="AP222" i="6" a="1"/>
  <c r="AP222" i="6" s="1"/>
  <c r="AP227" i="6" a="1"/>
  <c r="AP227" i="6" s="1"/>
  <c r="AP232" i="6" a="1"/>
  <c r="AP232" i="6" s="1"/>
  <c r="AP230" i="6" a="1"/>
  <c r="AP230" i="6" s="1"/>
  <c r="AP226" i="6" a="1"/>
  <c r="AP226" i="6" s="1"/>
  <c r="AP238" i="6" a="1"/>
  <c r="AP238" i="6" s="1"/>
  <c r="AP229" i="6" a="1"/>
  <c r="AP229" i="6" s="1"/>
  <c r="AP211" i="6" a="1"/>
  <c r="AP211" i="6" s="1"/>
  <c r="AP204" i="6" a="1"/>
  <c r="AP204" i="6" s="1"/>
  <c r="AP197" i="6" a="1"/>
  <c r="AP197" i="6" s="1"/>
  <c r="AP190" i="6" a="1"/>
  <c r="AP190" i="6" s="1"/>
  <c r="AP218" i="6" a="1"/>
  <c r="AP218" i="6" s="1"/>
  <c r="AP207" i="6" a="1"/>
  <c r="AP207" i="6" s="1"/>
  <c r="AP200" i="6" a="1"/>
  <c r="AP200" i="6" s="1"/>
  <c r="AP193" i="6" a="1"/>
  <c r="AP193" i="6" s="1"/>
  <c r="AP221" i="6" a="1"/>
  <c r="AP221" i="6" s="1"/>
  <c r="AP214" i="6" a="1"/>
  <c r="AP214" i="6" s="1"/>
  <c r="AP203" i="6" a="1"/>
  <c r="AP203" i="6" s="1"/>
  <c r="AP196" i="6" a="1"/>
  <c r="AP196" i="6" s="1"/>
  <c r="AP189" i="6" a="1"/>
  <c r="AP189" i="6" s="1"/>
  <c r="AP217" i="6" a="1"/>
  <c r="AP217" i="6" s="1"/>
  <c r="AP210" i="6" a="1"/>
  <c r="AP210" i="6" s="1"/>
  <c r="AP199" i="6" a="1"/>
  <c r="AP199" i="6" s="1"/>
  <c r="AP192" i="6" a="1"/>
  <c r="AP192" i="6" s="1"/>
  <c r="AP220" i="6" a="1"/>
  <c r="AP220" i="6" s="1"/>
  <c r="AP213" i="6" a="1"/>
  <c r="AP213" i="6" s="1"/>
  <c r="AP206" i="6" a="1"/>
  <c r="AP206" i="6" s="1"/>
  <c r="AP195" i="6" a="1"/>
  <c r="AP195" i="6" s="1"/>
  <c r="AP216" i="6" a="1"/>
  <c r="AP216" i="6" s="1"/>
  <c r="AP209" i="6" a="1"/>
  <c r="AP209" i="6" s="1"/>
  <c r="AP202" i="6" a="1"/>
  <c r="AP202" i="6" s="1"/>
  <c r="AP191" i="6" a="1"/>
  <c r="AP191" i="6" s="1"/>
  <c r="AP219" i="6" a="1"/>
  <c r="AP219" i="6" s="1"/>
  <c r="AP212" i="6" a="1"/>
  <c r="AP212" i="6" s="1"/>
  <c r="AP205" i="6" a="1"/>
  <c r="AP205" i="6" s="1"/>
  <c r="AP198" i="6" a="1"/>
  <c r="AP198" i="6" s="1"/>
  <c r="AP223" i="6" a="1"/>
  <c r="AP223" i="6" s="1"/>
  <c r="AP215" i="6" a="1"/>
  <c r="AP215" i="6" s="1"/>
  <c r="AP208" i="6" a="1"/>
  <c r="AP208" i="6" s="1"/>
  <c r="AP201" i="6" a="1"/>
  <c r="AP201" i="6" s="1"/>
  <c r="AP194" i="6" a="1"/>
  <c r="AP194" i="6" s="1"/>
  <c r="AP181" i="6" a="1"/>
  <c r="AP181" i="6" s="1"/>
  <c r="AP174" i="6" a="1"/>
  <c r="AP174" i="6" s="1"/>
  <c r="AP177" i="6" a="1"/>
  <c r="AP177" i="6" s="1"/>
  <c r="AP184" i="6" a="1"/>
  <c r="AP184" i="6" s="1"/>
  <c r="AP188" i="6" a="1"/>
  <c r="AP188" i="6" s="1"/>
  <c r="AP187" i="6" a="1"/>
  <c r="AP187" i="6" s="1"/>
  <c r="AP180" i="6" a="1"/>
  <c r="AP180" i="6" s="1"/>
  <c r="AP183" i="6" a="1"/>
  <c r="AP183" i="6" s="1"/>
  <c r="AP176" i="6" a="1"/>
  <c r="AP176" i="6" s="1"/>
  <c r="AP186" i="6" a="1"/>
  <c r="AP186" i="6" s="1"/>
  <c r="AP179" i="6" a="1"/>
  <c r="AP179" i="6" s="1"/>
  <c r="AP182" i="6" a="1"/>
  <c r="AP182" i="6" s="1"/>
  <c r="AP175" i="6" a="1"/>
  <c r="AP175" i="6" s="1"/>
  <c r="AP170" i="6" a="1"/>
  <c r="AP170" i="6" s="1"/>
  <c r="AP163" i="6" a="1"/>
  <c r="AP163" i="6" s="1"/>
  <c r="AP156" i="6" a="1"/>
  <c r="AP156" i="6" s="1"/>
  <c r="AP145" i="6" a="1"/>
  <c r="AP145" i="6" s="1"/>
  <c r="AP138" i="6" a="1"/>
  <c r="AP138" i="6" s="1"/>
  <c r="AP131" i="6" a="1"/>
  <c r="AP131" i="6" s="1"/>
  <c r="AP173" i="6" a="1"/>
  <c r="AP173" i="6" s="1"/>
  <c r="AP166" i="6" a="1"/>
  <c r="AP166" i="6" s="1"/>
  <c r="AP159" i="6" a="1"/>
  <c r="AP159" i="6" s="1"/>
  <c r="AP152" i="6" a="1"/>
  <c r="AP152" i="6" s="1"/>
  <c r="AP141" i="6" a="1"/>
  <c r="AP141" i="6" s="1"/>
  <c r="AP134" i="6" a="1"/>
  <c r="AP134" i="6" s="1"/>
  <c r="AP127" i="6" a="1"/>
  <c r="AP127" i="6" s="1"/>
  <c r="AP185" i="6" a="1"/>
  <c r="AP185" i="6" s="1"/>
  <c r="AP178" i="6" a="1"/>
  <c r="AP178" i="6" s="1"/>
  <c r="AP169" i="6" a="1"/>
  <c r="AP169" i="6" s="1"/>
  <c r="AP162" i="6" a="1"/>
  <c r="AP162" i="6" s="1"/>
  <c r="AP155" i="6" a="1"/>
  <c r="AP155" i="6" s="1"/>
  <c r="AP148" i="6" a="1"/>
  <c r="AP148" i="6" s="1"/>
  <c r="AP137" i="6" a="1"/>
  <c r="AP137" i="6" s="1"/>
  <c r="AP130" i="6" a="1"/>
  <c r="AP130" i="6" s="1"/>
  <c r="AP165" i="6" a="1"/>
  <c r="AP165" i="6" s="1"/>
  <c r="AP158" i="6" a="1"/>
  <c r="AP158" i="6" s="1"/>
  <c r="AP151" i="6" a="1"/>
  <c r="AP151" i="6" s="1"/>
  <c r="AP144" i="6" a="1"/>
  <c r="AP144" i="6" s="1"/>
  <c r="AP133" i="6" a="1"/>
  <c r="AP133" i="6" s="1"/>
  <c r="AP126" i="6" a="1"/>
  <c r="AP126" i="6" s="1"/>
  <c r="AP172" i="6" a="1"/>
  <c r="AP172" i="6" s="1"/>
  <c r="AP161" i="6" a="1"/>
  <c r="AP161" i="6" s="1"/>
  <c r="AP154" i="6" a="1"/>
  <c r="AP154" i="6" s="1"/>
  <c r="AP147" i="6" a="1"/>
  <c r="AP147" i="6" s="1"/>
  <c r="AP140" i="6" a="1"/>
  <c r="AP140" i="6" s="1"/>
  <c r="AP129" i="6" a="1"/>
  <c r="AP129" i="6" s="1"/>
  <c r="AP122" i="6" a="1"/>
  <c r="AP122" i="6" s="1"/>
  <c r="AP168" i="6" a="1"/>
  <c r="AP168" i="6" s="1"/>
  <c r="AP157" i="6" a="1"/>
  <c r="AP157" i="6" s="1"/>
  <c r="AP150" i="6" a="1"/>
  <c r="AP150" i="6" s="1"/>
  <c r="AP143" i="6" a="1"/>
  <c r="AP143" i="6" s="1"/>
  <c r="AP136" i="6" a="1"/>
  <c r="AP136" i="6" s="1"/>
  <c r="AP125" i="6" a="1"/>
  <c r="AP125" i="6" s="1"/>
  <c r="AP171" i="6" a="1"/>
  <c r="AP171" i="6" s="1"/>
  <c r="AP164" i="6" a="1"/>
  <c r="AP164" i="6" s="1"/>
  <c r="AP142" i="6" a="1"/>
  <c r="AP142" i="6" s="1"/>
  <c r="AP128" i="6" a="1"/>
  <c r="AP128" i="6" s="1"/>
  <c r="AP124" i="6" a="1"/>
  <c r="AP124" i="6" s="1"/>
  <c r="AP121" i="6" a="1"/>
  <c r="AP121" i="6" s="1"/>
  <c r="AP114" i="6" a="1"/>
  <c r="AP114" i="6" s="1"/>
  <c r="AP107" i="6" a="1"/>
  <c r="AP107" i="6" s="1"/>
  <c r="AP100" i="6" a="1"/>
  <c r="AP100" i="6" s="1"/>
  <c r="AP167" i="6" a="1"/>
  <c r="AP167" i="6" s="1"/>
  <c r="AP153" i="6" a="1"/>
  <c r="AP153" i="6" s="1"/>
  <c r="AP149" i="6" a="1"/>
  <c r="AP149" i="6" s="1"/>
  <c r="AP132" i="6" a="1"/>
  <c r="AP132" i="6" s="1"/>
  <c r="AP117" i="6" a="1"/>
  <c r="AP117" i="6" s="1"/>
  <c r="AP110" i="6" a="1"/>
  <c r="AP110" i="6" s="1"/>
  <c r="AP103" i="6" a="1"/>
  <c r="AP103" i="6" s="1"/>
  <c r="AP113" i="6" a="1"/>
  <c r="AP113" i="6" s="1"/>
  <c r="AP106" i="6" a="1"/>
  <c r="AP106" i="6" s="1"/>
  <c r="AP99" i="6" a="1"/>
  <c r="AP99" i="6" s="1"/>
  <c r="AP120" i="6" a="1"/>
  <c r="AP120" i="6" s="1"/>
  <c r="AP109" i="6" a="1"/>
  <c r="AP109" i="6" s="1"/>
  <c r="AP135" i="6" a="1"/>
  <c r="AP135" i="6" s="1"/>
  <c r="AP116" i="6" a="1"/>
  <c r="AP116" i="6" s="1"/>
  <c r="AP105" i="6" a="1"/>
  <c r="AP105" i="6" s="1"/>
  <c r="AP98" i="6" a="1"/>
  <c r="AP98" i="6" s="1"/>
  <c r="AP139" i="6" a="1"/>
  <c r="AP139" i="6" s="1"/>
  <c r="AP119" i="6" a="1"/>
  <c r="AP119" i="6" s="1"/>
  <c r="AP112" i="6" a="1"/>
  <c r="AP112" i="6" s="1"/>
  <c r="AP101" i="6" a="1"/>
  <c r="AP101" i="6" s="1"/>
  <c r="AP160" i="6" a="1"/>
  <c r="AP160" i="6" s="1"/>
  <c r="AP115" i="6" a="1"/>
  <c r="AP115" i="6" s="1"/>
  <c r="AP108" i="6" a="1"/>
  <c r="AP108" i="6" s="1"/>
  <c r="AP97" i="6" a="1"/>
  <c r="AP97" i="6" s="1"/>
  <c r="AP93" i="6" a="1"/>
  <c r="AP93" i="6" s="1"/>
  <c r="AP88" i="6" a="1"/>
  <c r="AP88" i="6" s="1"/>
  <c r="AP82" i="6" a="1"/>
  <c r="AP82" i="6" s="1"/>
  <c r="AP77" i="6" a="1"/>
  <c r="AP77" i="6" s="1"/>
  <c r="AP70" i="6" a="1"/>
  <c r="AP70" i="6" s="1"/>
  <c r="AP96" i="6" a="1"/>
  <c r="AP96" i="6" s="1"/>
  <c r="AP83" i="6" a="1"/>
  <c r="AP83" i="6" s="1"/>
  <c r="AP80" i="6" a="1"/>
  <c r="AP80" i="6" s="1"/>
  <c r="AP73" i="6" a="1"/>
  <c r="AP73" i="6" s="1"/>
  <c r="AP66" i="6" a="1"/>
  <c r="AP66" i="6" s="1"/>
  <c r="AP59" i="6" a="1"/>
  <c r="AP59" i="6" s="1"/>
  <c r="AP48" i="6" a="1"/>
  <c r="AP48" i="6" s="1"/>
  <c r="AP102" i="6" a="1"/>
  <c r="AP102" i="6" s="1"/>
  <c r="AP94" i="6" a="1"/>
  <c r="AP94" i="6" s="1"/>
  <c r="AP89" i="6" a="1"/>
  <c r="AP89" i="6" s="1"/>
  <c r="AP84" i="6" a="1"/>
  <c r="AP84" i="6" s="1"/>
  <c r="AP76" i="6" a="1"/>
  <c r="AP76" i="6" s="1"/>
  <c r="AP69" i="6" a="1"/>
  <c r="AP69" i="6" s="1"/>
  <c r="AP111" i="6" a="1"/>
  <c r="AP111" i="6" s="1"/>
  <c r="AP95" i="6" a="1"/>
  <c r="AP95" i="6" s="1"/>
  <c r="AP72" i="6" a="1"/>
  <c r="AP72" i="6" s="1"/>
  <c r="AP65" i="6" a="1"/>
  <c r="AP65" i="6" s="1"/>
  <c r="AP58" i="6" a="1"/>
  <c r="AP58" i="6" s="1"/>
  <c r="AP51" i="6" a="1"/>
  <c r="AP51" i="6" s="1"/>
  <c r="AP118" i="6" a="1"/>
  <c r="AP118" i="6" s="1"/>
  <c r="AP104" i="6" a="1"/>
  <c r="AP104" i="6" s="1"/>
  <c r="AP90" i="6" a="1"/>
  <c r="AP90" i="6" s="1"/>
  <c r="AP85" i="6" a="1"/>
  <c r="AP85" i="6" s="1"/>
  <c r="AP79" i="6" a="1"/>
  <c r="AP79" i="6" s="1"/>
  <c r="AP68" i="6" a="1"/>
  <c r="AP68" i="6" s="1"/>
  <c r="AP61" i="6" a="1"/>
  <c r="AP61" i="6" s="1"/>
  <c r="AP146" i="6" a="1"/>
  <c r="AP146" i="6" s="1"/>
  <c r="AP91" i="6" a="1"/>
  <c r="AP91" i="6" s="1"/>
  <c r="AP75" i="6" a="1"/>
  <c r="AP75" i="6" s="1"/>
  <c r="AP64" i="6" a="1"/>
  <c r="AP64" i="6" s="1"/>
  <c r="AP57" i="6" a="1"/>
  <c r="AP57" i="6" s="1"/>
  <c r="AP50" i="6" a="1"/>
  <c r="AP50" i="6" s="1"/>
  <c r="AP92" i="6" a="1"/>
  <c r="AP92" i="6" s="1"/>
  <c r="AP86" i="6" a="1"/>
  <c r="AP86" i="6" s="1"/>
  <c r="AP78" i="6" a="1"/>
  <c r="AP78" i="6" s="1"/>
  <c r="AP71" i="6" a="1"/>
  <c r="AP71" i="6" s="1"/>
  <c r="AP60" i="6" a="1"/>
  <c r="AP60" i="6" s="1"/>
  <c r="AP123" i="6" a="1"/>
  <c r="AP123" i="6" s="1"/>
  <c r="AP87" i="6" a="1"/>
  <c r="AP87" i="6" s="1"/>
  <c r="AP81" i="6" a="1"/>
  <c r="AP81" i="6" s="1"/>
  <c r="AP74" i="6" a="1"/>
  <c r="AP74" i="6" s="1"/>
  <c r="AP67" i="6" a="1"/>
  <c r="AP67" i="6" s="1"/>
  <c r="AP56" i="6" a="1"/>
  <c r="AP56" i="6" s="1"/>
  <c r="AP49" i="6" a="1"/>
  <c r="AP49" i="6" s="1"/>
  <c r="AS6" i="6" a="1"/>
  <c r="AS6" i="6" s="1"/>
  <c r="AO7" i="6" a="1"/>
  <c r="AO7" i="6" s="1"/>
  <c r="AT7" i="6" a="1"/>
  <c r="AT7" i="6" s="1"/>
  <c r="AP8" i="6" a="1"/>
  <c r="AP8" i="6" s="1"/>
  <c r="AU8" i="6" a="1"/>
  <c r="AU8" i="6" s="1"/>
  <c r="AQ9" i="6" a="1"/>
  <c r="AQ9" i="6" s="1"/>
  <c r="AS11" i="6" a="1"/>
  <c r="AS11" i="6" s="1"/>
  <c r="AI12" i="6" a="1"/>
  <c r="AI12" i="6" s="1"/>
  <c r="AT12" i="6" a="1"/>
  <c r="AT12" i="6" s="1"/>
  <c r="AU13" i="6" a="1"/>
  <c r="AU13" i="6" s="1"/>
  <c r="AK14" i="6" a="1"/>
  <c r="AK14" i="6" s="1"/>
  <c r="AL15" i="6" a="1"/>
  <c r="AL15" i="6" s="1"/>
  <c r="AM16" i="6" a="1"/>
  <c r="AM16" i="6" s="1"/>
  <c r="AI17" i="6" a="1"/>
  <c r="AI17" i="6" s="1"/>
  <c r="AO18" i="6" a="1"/>
  <c r="AO18" i="6" s="1"/>
  <c r="AK19" i="6" a="1"/>
  <c r="AK19" i="6" s="1"/>
  <c r="AP19" i="6" a="1"/>
  <c r="AP19" i="6" s="1"/>
  <c r="AL20" i="6" a="1"/>
  <c r="AL20" i="6" s="1"/>
  <c r="AQ20" i="6" a="1"/>
  <c r="AQ20" i="6" s="1"/>
  <c r="AM21" i="6" a="1"/>
  <c r="AM21" i="6" s="1"/>
  <c r="AS22" i="6" a="1"/>
  <c r="AS22" i="6" s="1"/>
  <c r="AO23" i="6" a="1"/>
  <c r="AO23" i="6" s="1"/>
  <c r="AT23" i="6" a="1"/>
  <c r="AT23" i="6" s="1"/>
  <c r="AP24" i="6" a="1"/>
  <c r="AP24" i="6" s="1"/>
  <c r="AU24" i="6" a="1"/>
  <c r="AU24" i="6" s="1"/>
  <c r="AQ25" i="6" a="1"/>
  <c r="AQ25" i="6" s="1"/>
  <c r="AS27" i="6" a="1"/>
  <c r="AS27" i="6" s="1"/>
  <c r="AI28" i="6" a="1"/>
  <c r="AI28" i="6" s="1"/>
  <c r="AT28" i="6" a="1"/>
  <c r="AT28" i="6" s="1"/>
  <c r="AU29" i="6" a="1"/>
  <c r="AU29" i="6" s="1"/>
  <c r="AK30" i="6" a="1"/>
  <c r="AK30" i="6" s="1"/>
  <c r="AL31" i="6" a="1"/>
  <c r="AL31" i="6" s="1"/>
  <c r="AM32" i="6" a="1"/>
  <c r="AM32" i="6" s="1"/>
  <c r="AI33" i="6" a="1"/>
  <c r="AI33" i="6" s="1"/>
  <c r="AO34" i="6" a="1"/>
  <c r="AO34" i="6" s="1"/>
  <c r="AP35" i="6" a="1"/>
  <c r="AP35" i="6" s="1"/>
  <c r="AL36" i="6" a="1"/>
  <c r="AL36" i="6" s="1"/>
  <c r="AQ36" i="6" a="1"/>
  <c r="AQ36" i="6" s="1"/>
  <c r="AM37" i="6" a="1"/>
  <c r="AM37" i="6" s="1"/>
  <c r="AS38" i="6" a="1"/>
  <c r="AS38" i="6" s="1"/>
  <c r="AO39" i="6" a="1"/>
  <c r="AO39" i="6" s="1"/>
  <c r="AT39" i="6" a="1"/>
  <c r="AT39" i="6" s="1"/>
  <c r="AP40" i="6" a="1"/>
  <c r="AP40" i="6" s="1"/>
  <c r="AU40" i="6" a="1"/>
  <c r="AU40" i="6" s="1"/>
  <c r="AQ41" i="6" a="1"/>
  <c r="AQ41" i="6" s="1"/>
  <c r="AS43" i="6" a="1"/>
  <c r="AS43" i="6" s="1"/>
  <c r="AT44" i="6" a="1"/>
  <c r="AT44" i="6" s="1"/>
  <c r="AU45" i="6" a="1"/>
  <c r="AU45" i="6" s="1"/>
  <c r="AL47" i="6" a="1"/>
  <c r="AL47" i="6" s="1"/>
  <c r="AQ48" i="6" a="1"/>
  <c r="AQ48" i="6" s="1"/>
  <c r="AO51" i="6" a="1"/>
  <c r="AO51" i="6" s="1"/>
  <c r="AS56" i="6" a="1"/>
  <c r="AS56" i="6" s="1"/>
  <c r="AM57" i="6" a="1"/>
  <c r="AM57" i="6" s="1"/>
  <c r="AU58" i="6" a="1"/>
  <c r="AU58" i="6" s="1"/>
  <c r="AO59" i="6" a="1"/>
  <c r="AO59" i="6" s="1"/>
  <c r="AP62" i="6" a="1"/>
  <c r="AP62" i="6" s="1"/>
  <c r="AK357" i="6" a="1"/>
  <c r="AK357" i="6" s="1"/>
  <c r="AK349" i="6" a="1"/>
  <c r="AK349" i="6" s="1"/>
  <c r="AK341" i="6" a="1"/>
  <c r="AK341" i="6" s="1"/>
  <c r="AK358" i="6" a="1"/>
  <c r="AK358" i="6" s="1"/>
  <c r="AK350" i="6" a="1"/>
  <c r="AK350" i="6" s="1"/>
  <c r="AK342" i="6" a="1"/>
  <c r="AK342" i="6" s="1"/>
  <c r="AK351" i="6" a="1"/>
  <c r="AK351" i="6" s="1"/>
  <c r="AK352" i="6" a="1"/>
  <c r="AK352" i="6" s="1"/>
  <c r="AK344" i="6" a="1"/>
  <c r="AK344" i="6" s="1"/>
  <c r="AK353" i="6" a="1"/>
  <c r="AK353" i="6" s="1"/>
  <c r="AK345" i="6" a="1"/>
  <c r="AK345" i="6" s="1"/>
  <c r="AK337" i="6" a="1"/>
  <c r="AK337" i="6" s="1"/>
  <c r="AK354" i="6" a="1"/>
  <c r="AK354" i="6" s="1"/>
  <c r="AK346" i="6" a="1"/>
  <c r="AK346" i="6" s="1"/>
  <c r="AK338" i="6" a="1"/>
  <c r="AK338" i="6" s="1"/>
  <c r="AK355" i="6" a="1"/>
  <c r="AK355" i="6" s="1"/>
  <c r="AK347" i="6" a="1"/>
  <c r="AK347" i="6" s="1"/>
  <c r="AK339" i="6" a="1"/>
  <c r="AK339" i="6" s="1"/>
  <c r="AK330" i="6" a="1"/>
  <c r="AK330" i="6" s="1"/>
  <c r="AK323" i="6" a="1"/>
  <c r="AK323" i="6" s="1"/>
  <c r="AK316" i="6" a="1"/>
  <c r="AK316" i="6" s="1"/>
  <c r="AK326" i="6" a="1"/>
  <c r="AK326" i="6" s="1"/>
  <c r="AK319" i="6" a="1"/>
  <c r="AK319" i="6" s="1"/>
  <c r="AK340" i="6" a="1"/>
  <c r="AK340" i="6" s="1"/>
  <c r="AK333" i="6" a="1"/>
  <c r="AK333" i="6" s="1"/>
  <c r="AK322" i="6" a="1"/>
  <c r="AK322" i="6" s="1"/>
  <c r="AK315" i="6" a="1"/>
  <c r="AK315" i="6" s="1"/>
  <c r="AK329" i="6" a="1"/>
  <c r="AK329" i="6" s="1"/>
  <c r="AK318" i="6" a="1"/>
  <c r="AK318" i="6" s="1"/>
  <c r="AK343" i="6" a="1"/>
  <c r="AK343" i="6" s="1"/>
  <c r="AK336" i="6" a="1"/>
  <c r="AK336" i="6" s="1"/>
  <c r="AK332" i="6" a="1"/>
  <c r="AK332" i="6" s="1"/>
  <c r="AK325" i="6" a="1"/>
  <c r="AK325" i="6" s="1"/>
  <c r="AK314" i="6" a="1"/>
  <c r="AK314" i="6" s="1"/>
  <c r="AK335" i="6" a="1"/>
  <c r="AK335" i="6" s="1"/>
  <c r="AK328" i="6" a="1"/>
  <c r="AK328" i="6" s="1"/>
  <c r="AK321" i="6" a="1"/>
  <c r="AK321" i="6" s="1"/>
  <c r="AK356" i="6" a="1"/>
  <c r="AK356" i="6" s="1"/>
  <c r="AK348" i="6" a="1"/>
  <c r="AK348" i="6" s="1"/>
  <c r="AK331" i="6" a="1"/>
  <c r="AK331" i="6" s="1"/>
  <c r="AK324" i="6" a="1"/>
  <c r="AK324" i="6" s="1"/>
  <c r="AK317" i="6" a="1"/>
  <c r="AK317" i="6" s="1"/>
  <c r="AK312" i="6" a="1"/>
  <c r="AK312" i="6" s="1"/>
  <c r="AK308" i="6" a="1"/>
  <c r="AK308" i="6" s="1"/>
  <c r="AK311" i="6" a="1"/>
  <c r="AK311" i="6" s="1"/>
  <c r="AK304" i="6" a="1"/>
  <c r="AK304" i="6" s="1"/>
  <c r="AK301" i="6" a="1"/>
  <c r="AK301" i="6" s="1"/>
  <c r="AK327" i="6" a="1"/>
  <c r="AK327" i="6" s="1"/>
  <c r="AK320" i="6" a="1"/>
  <c r="AK320" i="6" s="1"/>
  <c r="AK307" i="6" a="1"/>
  <c r="AK307" i="6" s="1"/>
  <c r="AK334" i="6" a="1"/>
  <c r="AK334" i="6" s="1"/>
  <c r="AK313" i="6" a="1"/>
  <c r="AK313" i="6" s="1"/>
  <c r="AK310" i="6" a="1"/>
  <c r="AK310" i="6" s="1"/>
  <c r="AK303" i="6" a="1"/>
  <c r="AK303" i="6" s="1"/>
  <c r="AK306" i="6" a="1"/>
  <c r="AK306" i="6" s="1"/>
  <c r="AK302" i="6" a="1"/>
  <c r="AK302" i="6" s="1"/>
  <c r="AK309" i="6" a="1"/>
  <c r="AK309" i="6" s="1"/>
  <c r="AK297" i="6" a="1"/>
  <c r="AK297" i="6" s="1"/>
  <c r="AK291" i="6" a="1"/>
  <c r="AK291" i="6" s="1"/>
  <c r="AK292" i="6" a="1"/>
  <c r="AK292" i="6" s="1"/>
  <c r="AK277" i="6" a="1"/>
  <c r="AK277" i="6" s="1"/>
  <c r="AK298" i="6" a="1"/>
  <c r="AK298" i="6" s="1"/>
  <c r="AK293" i="6" a="1"/>
  <c r="AK293" i="6" s="1"/>
  <c r="AK288" i="6" a="1"/>
  <c r="AK288" i="6" s="1"/>
  <c r="AK276" i="6" a="1"/>
  <c r="AK276" i="6" s="1"/>
  <c r="AK300" i="6" a="1"/>
  <c r="AK300" i="6" s="1"/>
  <c r="AK294" i="6" a="1"/>
  <c r="AK294" i="6" s="1"/>
  <c r="AK289" i="6" a="1"/>
  <c r="AK289" i="6" s="1"/>
  <c r="AK305" i="6" a="1"/>
  <c r="AK305" i="6" s="1"/>
  <c r="AK284" i="6" a="1"/>
  <c r="AK284" i="6" s="1"/>
  <c r="AK279" i="6" a="1"/>
  <c r="AK279" i="6" s="1"/>
  <c r="AK295" i="6" a="1"/>
  <c r="AK295" i="6" s="1"/>
  <c r="AK290" i="6" a="1"/>
  <c r="AK290" i="6" s="1"/>
  <c r="AK287" i="6" a="1"/>
  <c r="AK287" i="6" s="1"/>
  <c r="AK271" i="6" a="1"/>
  <c r="AK271" i="6" s="1"/>
  <c r="AK285" i="6" a="1"/>
  <c r="AK285" i="6" s="1"/>
  <c r="AK270" i="6" a="1"/>
  <c r="AK270" i="6" s="1"/>
  <c r="AK299" i="6" a="1"/>
  <c r="AK299" i="6" s="1"/>
  <c r="AK281" i="6" a="1"/>
  <c r="AK281" i="6" s="1"/>
  <c r="AK274" i="6" a="1"/>
  <c r="AK274" i="6" s="1"/>
  <c r="AK273" i="6" a="1"/>
  <c r="AK273" i="6" s="1"/>
  <c r="AK286" i="6" a="1"/>
  <c r="AK286" i="6" s="1"/>
  <c r="AK280" i="6" a="1"/>
  <c r="AK280" i="6" s="1"/>
  <c r="AK275" i="6" a="1"/>
  <c r="AK275" i="6" s="1"/>
  <c r="AK269" i="6" a="1"/>
  <c r="AK269" i="6" s="1"/>
  <c r="AK296" i="6" a="1"/>
  <c r="AK296" i="6" s="1"/>
  <c r="AK283" i="6" a="1"/>
  <c r="AK283" i="6" s="1"/>
  <c r="AK268" i="6" a="1"/>
  <c r="AK268" i="6" s="1"/>
  <c r="AK267" i="6" a="1"/>
  <c r="AK267" i="6" s="1"/>
  <c r="AK260" i="6" a="1"/>
  <c r="AK260" i="6" s="1"/>
  <c r="AK263" i="6" a="1"/>
  <c r="AK263" i="6" s="1"/>
  <c r="AK266" i="6" a="1"/>
  <c r="AK266" i="6" s="1"/>
  <c r="AK259" i="6" a="1"/>
  <c r="AK259" i="6" s="1"/>
  <c r="AK278" i="6" a="1"/>
  <c r="AK278" i="6" s="1"/>
  <c r="AK262" i="6" a="1"/>
  <c r="AK262" i="6" s="1"/>
  <c r="AK272" i="6" a="1"/>
  <c r="AK272" i="6" s="1"/>
  <c r="AK265" i="6" a="1"/>
  <c r="AK265" i="6" s="1"/>
  <c r="AK258" i="6" a="1"/>
  <c r="AK258" i="6" s="1"/>
  <c r="AK282" i="6" a="1"/>
  <c r="AK282" i="6" s="1"/>
  <c r="AK261" i="6" a="1"/>
  <c r="AK261" i="6" s="1"/>
  <c r="AK255" i="6" a="1"/>
  <c r="AK255" i="6" s="1"/>
  <c r="AK248" i="6" a="1"/>
  <c r="AK248" i="6" s="1"/>
  <c r="AK237" i="6" a="1"/>
  <c r="AK237" i="6" s="1"/>
  <c r="AK251" i="6" a="1"/>
  <c r="AK251" i="6" s="1"/>
  <c r="AK244" i="6" a="1"/>
  <c r="AK244" i="6" s="1"/>
  <c r="AK233" i="6" a="1"/>
  <c r="AK233" i="6" s="1"/>
  <c r="AK254" i="6" a="1"/>
  <c r="AK254" i="6" s="1"/>
  <c r="AK247" i="6" a="1"/>
  <c r="AK247" i="6" s="1"/>
  <c r="AK240" i="6" a="1"/>
  <c r="AK240" i="6" s="1"/>
  <c r="AK257" i="6" a="1"/>
  <c r="AK257" i="6" s="1"/>
  <c r="AK250" i="6" a="1"/>
  <c r="AK250" i="6" s="1"/>
  <c r="AK243" i="6" a="1"/>
  <c r="AK243" i="6" s="1"/>
  <c r="AK236" i="6" a="1"/>
  <c r="AK236" i="6" s="1"/>
  <c r="AK253" i="6" a="1"/>
  <c r="AK253" i="6" s="1"/>
  <c r="AK246" i="6" a="1"/>
  <c r="AK246" i="6" s="1"/>
  <c r="AK239" i="6" a="1"/>
  <c r="AK239" i="6" s="1"/>
  <c r="AK256" i="6" a="1"/>
  <c r="AK256" i="6" s="1"/>
  <c r="AK245" i="6" a="1"/>
  <c r="AK245" i="6" s="1"/>
  <c r="AK238" i="6" a="1"/>
  <c r="AK238" i="6" s="1"/>
  <c r="AK264" i="6" a="1"/>
  <c r="AK264" i="6" s="1"/>
  <c r="AK252" i="6" a="1"/>
  <c r="AK252" i="6" s="1"/>
  <c r="AK241" i="6" a="1"/>
  <c r="AK241" i="6" s="1"/>
  <c r="AK234" i="6" a="1"/>
  <c r="AK234" i="6" s="1"/>
  <c r="AK225" i="6" a="1"/>
  <c r="AK225" i="6" s="1"/>
  <c r="AK249" i="6" a="1"/>
  <c r="AK249" i="6" s="1"/>
  <c r="AK228" i="6" a="1"/>
  <c r="AK228" i="6" s="1"/>
  <c r="AK232" i="6" a="1"/>
  <c r="AK232" i="6" s="1"/>
  <c r="AK231" i="6" a="1"/>
  <c r="AK231" i="6" s="1"/>
  <c r="AK224" i="6" a="1"/>
  <c r="AK224" i="6" s="1"/>
  <c r="AK235" i="6" a="1"/>
  <c r="AK235" i="6" s="1"/>
  <c r="AK230" i="6" a="1"/>
  <c r="AK230" i="6" s="1"/>
  <c r="AK226" i="6" a="1"/>
  <c r="AK226" i="6" s="1"/>
  <c r="AK223" i="6" a="1"/>
  <c r="AK223" i="6" s="1"/>
  <c r="AK242" i="6" a="1"/>
  <c r="AK242" i="6" s="1"/>
  <c r="AK229" i="6" a="1"/>
  <c r="AK229" i="6" s="1"/>
  <c r="AK222" i="6" a="1"/>
  <c r="AK222" i="6" s="1"/>
  <c r="AK215" i="6" a="1"/>
  <c r="AK215" i="6" s="1"/>
  <c r="AK208" i="6" a="1"/>
  <c r="AK208" i="6" s="1"/>
  <c r="AK201" i="6" a="1"/>
  <c r="AK201" i="6" s="1"/>
  <c r="AK190" i="6" a="1"/>
  <c r="AK190" i="6" s="1"/>
  <c r="AK218" i="6" a="1"/>
  <c r="AK218" i="6" s="1"/>
  <c r="AK211" i="6" a="1"/>
  <c r="AK211" i="6" s="1"/>
  <c r="AK204" i="6" a="1"/>
  <c r="AK204" i="6" s="1"/>
  <c r="AK197" i="6" a="1"/>
  <c r="AK197" i="6" s="1"/>
  <c r="AK214" i="6" a="1"/>
  <c r="AK214" i="6" s="1"/>
  <c r="AK207" i="6" a="1"/>
  <c r="AK207" i="6" s="1"/>
  <c r="AK200" i="6" a="1"/>
  <c r="AK200" i="6" s="1"/>
  <c r="AK193" i="6" a="1"/>
  <c r="AK193" i="6" s="1"/>
  <c r="AK221" i="6" a="1"/>
  <c r="AK221" i="6" s="1"/>
  <c r="AK210" i="6" a="1"/>
  <c r="AK210" i="6" s="1"/>
  <c r="AK203" i="6" a="1"/>
  <c r="AK203" i="6" s="1"/>
  <c r="AK196" i="6" a="1"/>
  <c r="AK196" i="6" s="1"/>
  <c r="AK217" i="6" a="1"/>
  <c r="AK217" i="6" s="1"/>
  <c r="AK206" i="6" a="1"/>
  <c r="AK206" i="6" s="1"/>
  <c r="AK199" i="6" a="1"/>
  <c r="AK199" i="6" s="1"/>
  <c r="AK192" i="6" a="1"/>
  <c r="AK192" i="6" s="1"/>
  <c r="AK220" i="6" a="1"/>
  <c r="AK220" i="6" s="1"/>
  <c r="AK213" i="6" a="1"/>
  <c r="AK213" i="6" s="1"/>
  <c r="AK202" i="6" a="1"/>
  <c r="AK202" i="6" s="1"/>
  <c r="AK195" i="6" a="1"/>
  <c r="AK195" i="6" s="1"/>
  <c r="AK216" i="6" a="1"/>
  <c r="AK216" i="6" s="1"/>
  <c r="AK209" i="6" a="1"/>
  <c r="AK209" i="6" s="1"/>
  <c r="AK198" i="6" a="1"/>
  <c r="AK198" i="6" s="1"/>
  <c r="AK191" i="6" a="1"/>
  <c r="AK191" i="6" s="1"/>
  <c r="AK227" i="6" a="1"/>
  <c r="AK227" i="6" s="1"/>
  <c r="AK219" i="6" a="1"/>
  <c r="AK219" i="6" s="1"/>
  <c r="AK212" i="6" a="1"/>
  <c r="AK212" i="6" s="1"/>
  <c r="AK205" i="6" a="1"/>
  <c r="AK205" i="6" s="1"/>
  <c r="AK194" i="6" a="1"/>
  <c r="AK194" i="6" s="1"/>
  <c r="AK189" i="6" a="1"/>
  <c r="AK189" i="6" s="1"/>
  <c r="AK185" i="6" a="1"/>
  <c r="AK185" i="6" s="1"/>
  <c r="AK178" i="6" a="1"/>
  <c r="AK178" i="6" s="1"/>
  <c r="AK181" i="6" a="1"/>
  <c r="AK181" i="6" s="1"/>
  <c r="AK188" i="6" a="1"/>
  <c r="AK188" i="6" s="1"/>
  <c r="AK184" i="6" a="1"/>
  <c r="AK184" i="6" s="1"/>
  <c r="AK177" i="6" a="1"/>
  <c r="AK177" i="6" s="1"/>
  <c r="AK180" i="6" a="1"/>
  <c r="AK180" i="6" s="1"/>
  <c r="AK187" i="6" a="1"/>
  <c r="AK187" i="6" s="1"/>
  <c r="AK176" i="6" a="1"/>
  <c r="AK176" i="6" s="1"/>
  <c r="AK183" i="6" a="1"/>
  <c r="AK183" i="6" s="1"/>
  <c r="AK186" i="6" a="1"/>
  <c r="AK186" i="6" s="1"/>
  <c r="AK179" i="6" a="1"/>
  <c r="AK179" i="6" s="1"/>
  <c r="AK175" i="6" a="1"/>
  <c r="AK175" i="6" s="1"/>
  <c r="AK167" i="6" a="1"/>
  <c r="AK167" i="6" s="1"/>
  <c r="AK156" i="6" a="1"/>
  <c r="AK156" i="6" s="1"/>
  <c r="AK149" i="6" a="1"/>
  <c r="AK149" i="6" s="1"/>
  <c r="AK142" i="6" a="1"/>
  <c r="AK142" i="6" s="1"/>
  <c r="AK135" i="6" a="1"/>
  <c r="AK135" i="6" s="1"/>
  <c r="AK182" i="6" a="1"/>
  <c r="AK182" i="6" s="1"/>
  <c r="AK170" i="6" a="1"/>
  <c r="AK170" i="6" s="1"/>
  <c r="AK163" i="6" a="1"/>
  <c r="AK163" i="6" s="1"/>
  <c r="AK152" i="6" a="1"/>
  <c r="AK152" i="6" s="1"/>
  <c r="AK145" i="6" a="1"/>
  <c r="AK145" i="6" s="1"/>
  <c r="AK138" i="6" a="1"/>
  <c r="AK138" i="6" s="1"/>
  <c r="AK131" i="6" a="1"/>
  <c r="AK131" i="6" s="1"/>
  <c r="AK173" i="6" a="1"/>
  <c r="AK173" i="6" s="1"/>
  <c r="AK166" i="6" a="1"/>
  <c r="AK166" i="6" s="1"/>
  <c r="AK159" i="6" a="1"/>
  <c r="AK159" i="6" s="1"/>
  <c r="AK148" i="6" a="1"/>
  <c r="AK148" i="6" s="1"/>
  <c r="AK141" i="6" a="1"/>
  <c r="AK141" i="6" s="1"/>
  <c r="AK134" i="6" a="1"/>
  <c r="AK134" i="6" s="1"/>
  <c r="AK127" i="6" a="1"/>
  <c r="AK127" i="6" s="1"/>
  <c r="AK169" i="6" a="1"/>
  <c r="AK169" i="6" s="1"/>
  <c r="AK162" i="6" a="1"/>
  <c r="AK162" i="6" s="1"/>
  <c r="AK155" i="6" a="1"/>
  <c r="AK155" i="6" s="1"/>
  <c r="AK144" i="6" a="1"/>
  <c r="AK144" i="6" s="1"/>
  <c r="AK137" i="6" a="1"/>
  <c r="AK137" i="6" s="1"/>
  <c r="AK130" i="6" a="1"/>
  <c r="AK130" i="6" s="1"/>
  <c r="AK123" i="6" a="1"/>
  <c r="AK123" i="6" s="1"/>
  <c r="AK172" i="6" a="1"/>
  <c r="AK172" i="6" s="1"/>
  <c r="AK165" i="6" a="1"/>
  <c r="AK165" i="6" s="1"/>
  <c r="AK158" i="6" a="1"/>
  <c r="AK158" i="6" s="1"/>
  <c r="AK151" i="6" a="1"/>
  <c r="AK151" i="6" s="1"/>
  <c r="AK140" i="6" a="1"/>
  <c r="AK140" i="6" s="1"/>
  <c r="AK133" i="6" a="1"/>
  <c r="AK133" i="6" s="1"/>
  <c r="AK126" i="6" a="1"/>
  <c r="AK126" i="6" s="1"/>
  <c r="AK168" i="6" a="1"/>
  <c r="AK168" i="6" s="1"/>
  <c r="AK161" i="6" a="1"/>
  <c r="AK161" i="6" s="1"/>
  <c r="AK154" i="6" a="1"/>
  <c r="AK154" i="6" s="1"/>
  <c r="AK147" i="6" a="1"/>
  <c r="AK147" i="6" s="1"/>
  <c r="AK136" i="6" a="1"/>
  <c r="AK136" i="6" s="1"/>
  <c r="AK129" i="6" a="1"/>
  <c r="AK129" i="6" s="1"/>
  <c r="AK160" i="6" a="1"/>
  <c r="AK160" i="6" s="1"/>
  <c r="AK139" i="6" a="1"/>
  <c r="AK139" i="6" s="1"/>
  <c r="AK125" i="6" a="1"/>
  <c r="AK125" i="6" s="1"/>
  <c r="AK122" i="6" a="1"/>
  <c r="AK122" i="6" s="1"/>
  <c r="AK118" i="6" a="1"/>
  <c r="AK118" i="6" s="1"/>
  <c r="AK111" i="6" a="1"/>
  <c r="AK111" i="6" s="1"/>
  <c r="AK100" i="6" a="1"/>
  <c r="AK100" i="6" s="1"/>
  <c r="AK143" i="6" a="1"/>
  <c r="AK143" i="6" s="1"/>
  <c r="AK121" i="6" a="1"/>
  <c r="AK121" i="6" s="1"/>
  <c r="AK114" i="6" a="1"/>
  <c r="AK114" i="6" s="1"/>
  <c r="AK107" i="6" a="1"/>
  <c r="AK107" i="6" s="1"/>
  <c r="AK164" i="6" a="1"/>
  <c r="AK164" i="6" s="1"/>
  <c r="AK150" i="6" a="1"/>
  <c r="AK150" i="6" s="1"/>
  <c r="AK146" i="6" a="1"/>
  <c r="AK146" i="6" s="1"/>
  <c r="AK128" i="6" a="1"/>
  <c r="AK128" i="6" s="1"/>
  <c r="AK117" i="6" a="1"/>
  <c r="AK117" i="6" s="1"/>
  <c r="AK110" i="6" a="1"/>
  <c r="AK110" i="6" s="1"/>
  <c r="AK103" i="6" a="1"/>
  <c r="AK103" i="6" s="1"/>
  <c r="AK174" i="6" a="1"/>
  <c r="AK174" i="6" s="1"/>
  <c r="AK132" i="6" a="1"/>
  <c r="AK132" i="6" s="1"/>
  <c r="AK120" i="6" a="1"/>
  <c r="AK120" i="6" s="1"/>
  <c r="AK113" i="6" a="1"/>
  <c r="AK113" i="6" s="1"/>
  <c r="AK106" i="6" a="1"/>
  <c r="AK106" i="6" s="1"/>
  <c r="AK153" i="6" a="1"/>
  <c r="AK153" i="6" s="1"/>
  <c r="AK124" i="6" a="1"/>
  <c r="AK124" i="6" s="1"/>
  <c r="AK116" i="6" a="1"/>
  <c r="AK116" i="6" s="1"/>
  <c r="AK109" i="6" a="1"/>
  <c r="AK109" i="6" s="1"/>
  <c r="AK102" i="6" a="1"/>
  <c r="AK102" i="6" s="1"/>
  <c r="AK112" i="6" a="1"/>
  <c r="AK112" i="6" s="1"/>
  <c r="AK105" i="6" a="1"/>
  <c r="AK105" i="6" s="1"/>
  <c r="AK98" i="6" a="1"/>
  <c r="AK98" i="6" s="1"/>
  <c r="AK157" i="6" a="1"/>
  <c r="AK157" i="6" s="1"/>
  <c r="AK119" i="6" a="1"/>
  <c r="AK119" i="6" s="1"/>
  <c r="AK108" i="6" a="1"/>
  <c r="AK108" i="6" s="1"/>
  <c r="AK101" i="6" a="1"/>
  <c r="AK101" i="6" s="1"/>
  <c r="AK93" i="6" a="1"/>
  <c r="AK93" i="6" s="1"/>
  <c r="AK88" i="6" a="1"/>
  <c r="AK88" i="6" s="1"/>
  <c r="AK83" i="6" a="1"/>
  <c r="AK83" i="6" s="1"/>
  <c r="AK81" i="6" a="1"/>
  <c r="AK81" i="6" s="1"/>
  <c r="AK74" i="6" a="1"/>
  <c r="AK74" i="6" s="1"/>
  <c r="AK115" i="6" a="1"/>
  <c r="AK115" i="6" s="1"/>
  <c r="AK94" i="6" a="1"/>
  <c r="AK94" i="6" s="1"/>
  <c r="AK77" i="6" a="1"/>
  <c r="AK77" i="6" s="1"/>
  <c r="AK70" i="6" a="1"/>
  <c r="AK70" i="6" s="1"/>
  <c r="AK59" i="6" a="1"/>
  <c r="AK59" i="6" s="1"/>
  <c r="AK52" i="6" a="1"/>
  <c r="AK52" i="6" s="1"/>
  <c r="AK95" i="6" a="1"/>
  <c r="AK95" i="6" s="1"/>
  <c r="AK89" i="6" a="1"/>
  <c r="AK89" i="6" s="1"/>
  <c r="AK84" i="6" a="1"/>
  <c r="AK84" i="6" s="1"/>
  <c r="AK80" i="6" a="1"/>
  <c r="AK80" i="6" s="1"/>
  <c r="AK73" i="6" a="1"/>
  <c r="AK73" i="6" s="1"/>
  <c r="AK66" i="6" a="1"/>
  <c r="AK66" i="6" s="1"/>
  <c r="AK171" i="6" a="1"/>
  <c r="AK171" i="6" s="1"/>
  <c r="AK90" i="6" a="1"/>
  <c r="AK90" i="6" s="1"/>
  <c r="AK76" i="6" a="1"/>
  <c r="AK76" i="6" s="1"/>
  <c r="AK69" i="6" a="1"/>
  <c r="AK69" i="6" s="1"/>
  <c r="AK62" i="6" a="1"/>
  <c r="AK62" i="6" s="1"/>
  <c r="AK51" i="6" a="1"/>
  <c r="AK51" i="6" s="1"/>
  <c r="AK97" i="6" a="1"/>
  <c r="AK97" i="6" s="1"/>
  <c r="AK91" i="6" a="1"/>
  <c r="AK91" i="6" s="1"/>
  <c r="AK85" i="6" a="1"/>
  <c r="AK85" i="6" s="1"/>
  <c r="AK79" i="6" a="1"/>
  <c r="AK79" i="6" s="1"/>
  <c r="AK72" i="6" a="1"/>
  <c r="AK72" i="6" s="1"/>
  <c r="AK65" i="6" a="1"/>
  <c r="AK65" i="6" s="1"/>
  <c r="AK58" i="6" a="1"/>
  <c r="AK58" i="6" s="1"/>
  <c r="AK99" i="6" a="1"/>
  <c r="AK99" i="6" s="1"/>
  <c r="AK86" i="6" a="1"/>
  <c r="AK86" i="6" s="1"/>
  <c r="AK75" i="6" a="1"/>
  <c r="AK75" i="6" s="1"/>
  <c r="AK68" i="6" a="1"/>
  <c r="AK68" i="6" s="1"/>
  <c r="AK61" i="6" a="1"/>
  <c r="AK61" i="6" s="1"/>
  <c r="AK54" i="6" a="1"/>
  <c r="AK54" i="6" s="1"/>
  <c r="AK104" i="6" a="1"/>
  <c r="AK104" i="6" s="1"/>
  <c r="AK96" i="6" a="1"/>
  <c r="AK96" i="6" s="1"/>
  <c r="AK92" i="6" a="1"/>
  <c r="AK92" i="6" s="1"/>
  <c r="AK87" i="6" a="1"/>
  <c r="AK87" i="6" s="1"/>
  <c r="AK71" i="6" a="1"/>
  <c r="AK71" i="6" s="1"/>
  <c r="AK64" i="6" a="1"/>
  <c r="AK64" i="6" s="1"/>
  <c r="AK82" i="6" a="1"/>
  <c r="AK82" i="6" s="1"/>
  <c r="AK78" i="6" a="1"/>
  <c r="AK78" i="6" s="1"/>
  <c r="AK67" i="6" a="1"/>
  <c r="AK67" i="6" s="1"/>
  <c r="AK60" i="6" a="1"/>
  <c r="AK60" i="6" s="1"/>
  <c r="AK53" i="6" a="1"/>
  <c r="AK53" i="6" s="1"/>
  <c r="AK46" i="6" a="1"/>
  <c r="AK46" i="6" s="1"/>
  <c r="AI355" i="6" a="1"/>
  <c r="AI355" i="6" s="1"/>
  <c r="AI347" i="6" a="1"/>
  <c r="AI347" i="6" s="1"/>
  <c r="AI339" i="6" a="1"/>
  <c r="AI339" i="6" s="1"/>
  <c r="AI356" i="6" a="1"/>
  <c r="AI356" i="6" s="1"/>
  <c r="AI348" i="6" a="1"/>
  <c r="AI348" i="6" s="1"/>
  <c r="AI340" i="6" a="1"/>
  <c r="AI340" i="6" s="1"/>
  <c r="AI336" i="6" a="1"/>
  <c r="AI336" i="6" s="1"/>
  <c r="AI357" i="6" a="1"/>
  <c r="AI357" i="6" s="1"/>
  <c r="AI358" i="6" a="1"/>
  <c r="AI358" i="6" s="1"/>
  <c r="AI350" i="6" a="1"/>
  <c r="AI350" i="6" s="1"/>
  <c r="AI342" i="6" a="1"/>
  <c r="AI342" i="6" s="1"/>
  <c r="AI351" i="6" a="1"/>
  <c r="AI351" i="6" s="1"/>
  <c r="AI343" i="6" a="1"/>
  <c r="AI343" i="6" s="1"/>
  <c r="AI352" i="6" a="1"/>
  <c r="AI352" i="6" s="1"/>
  <c r="AI344" i="6" a="1"/>
  <c r="AI344" i="6" s="1"/>
  <c r="AI353" i="6" a="1"/>
  <c r="AI353" i="6" s="1"/>
  <c r="AI345" i="6" a="1"/>
  <c r="AI345" i="6" s="1"/>
  <c r="AI328" i="6" a="1"/>
  <c r="AI328" i="6" s="1"/>
  <c r="AI321" i="6" a="1"/>
  <c r="AI321" i="6" s="1"/>
  <c r="AI314" i="6" a="1"/>
  <c r="AI314" i="6" s="1"/>
  <c r="AI335" i="6" a="1"/>
  <c r="AI335" i="6" s="1"/>
  <c r="AI324" i="6" a="1"/>
  <c r="AI324" i="6" s="1"/>
  <c r="AI317" i="6" a="1"/>
  <c r="AI317" i="6" s="1"/>
  <c r="AI349" i="6" a="1"/>
  <c r="AI349" i="6" s="1"/>
  <c r="AI337" i="6" a="1"/>
  <c r="AI337" i="6" s="1"/>
  <c r="AI331" i="6" a="1"/>
  <c r="AI331" i="6" s="1"/>
  <c r="AI320" i="6" a="1"/>
  <c r="AI320" i="6" s="1"/>
  <c r="AI334" i="6" a="1"/>
  <c r="AI334" i="6" s="1"/>
  <c r="AI327" i="6" a="1"/>
  <c r="AI327" i="6" s="1"/>
  <c r="AI316" i="6" a="1"/>
  <c r="AI316" i="6" s="1"/>
  <c r="AI354" i="6" a="1"/>
  <c r="AI354" i="6" s="1"/>
  <c r="AI338" i="6" a="1"/>
  <c r="AI338" i="6" s="1"/>
  <c r="AI330" i="6" a="1"/>
  <c r="AI330" i="6" s="1"/>
  <c r="AI323" i="6" a="1"/>
  <c r="AI323" i="6" s="1"/>
  <c r="AI333" i="6" a="1"/>
  <c r="AI333" i="6" s="1"/>
  <c r="AI326" i="6" a="1"/>
  <c r="AI326" i="6" s="1"/>
  <c r="AI319" i="6" a="1"/>
  <c r="AI319" i="6" s="1"/>
  <c r="AI341" i="6" a="1"/>
  <c r="AI341" i="6" s="1"/>
  <c r="AI329" i="6" a="1"/>
  <c r="AI329" i="6" s="1"/>
  <c r="AI322" i="6" a="1"/>
  <c r="AI322" i="6" s="1"/>
  <c r="AI315" i="6" a="1"/>
  <c r="AI315" i="6" s="1"/>
  <c r="AI306" i="6" a="1"/>
  <c r="AI306" i="6" s="1"/>
  <c r="AI309" i="6" a="1"/>
  <c r="AI309" i="6" s="1"/>
  <c r="AI302" i="6" a="1"/>
  <c r="AI302" i="6" s="1"/>
  <c r="AI325" i="6" a="1"/>
  <c r="AI325" i="6" s="1"/>
  <c r="AI305" i="6" a="1"/>
  <c r="AI305" i="6" s="1"/>
  <c r="AI318" i="6" a="1"/>
  <c r="AI318" i="6" s="1"/>
  <c r="AI312" i="6" a="1"/>
  <c r="AI312" i="6" s="1"/>
  <c r="AI308" i="6" a="1"/>
  <c r="AI308" i="6" s="1"/>
  <c r="AI346" i="6" a="1"/>
  <c r="AI346" i="6" s="1"/>
  <c r="AI332" i="6" a="1"/>
  <c r="AI332" i="6" s="1"/>
  <c r="AI304" i="6" a="1"/>
  <c r="AI304" i="6" s="1"/>
  <c r="AI311" i="6" a="1"/>
  <c r="AI311" i="6" s="1"/>
  <c r="AI301" i="6" a="1"/>
  <c r="AI301" i="6" s="1"/>
  <c r="AI313" i="6" a="1"/>
  <c r="AI313" i="6" s="1"/>
  <c r="AI307" i="6" a="1"/>
  <c r="AI307" i="6" s="1"/>
  <c r="AI295" i="6" a="1"/>
  <c r="AI295" i="6" s="1"/>
  <c r="AI289" i="6" a="1"/>
  <c r="AI289" i="6" s="1"/>
  <c r="AI299" i="6" a="1"/>
  <c r="AI299" i="6" s="1"/>
  <c r="AI290" i="6" a="1"/>
  <c r="AI290" i="6" s="1"/>
  <c r="AI275" i="6" a="1"/>
  <c r="AI275" i="6" s="1"/>
  <c r="AI296" i="6" a="1"/>
  <c r="AI296" i="6" s="1"/>
  <c r="AI291" i="6" a="1"/>
  <c r="AI291" i="6" s="1"/>
  <c r="AI286" i="6" a="1"/>
  <c r="AI286" i="6" s="1"/>
  <c r="AI297" i="6" a="1"/>
  <c r="AI297" i="6" s="1"/>
  <c r="AI292" i="6" a="1"/>
  <c r="AI292" i="6" s="1"/>
  <c r="AI287" i="6" a="1"/>
  <c r="AI287" i="6" s="1"/>
  <c r="AI298" i="6" a="1"/>
  <c r="AI298" i="6" s="1"/>
  <c r="AI282" i="6" a="1"/>
  <c r="AI282" i="6" s="1"/>
  <c r="AI277" i="6" a="1"/>
  <c r="AI277" i="6" s="1"/>
  <c r="AI310" i="6" a="1"/>
  <c r="AI310" i="6" s="1"/>
  <c r="AI293" i="6" a="1"/>
  <c r="AI293" i="6" s="1"/>
  <c r="AI288" i="6" a="1"/>
  <c r="AI288" i="6" s="1"/>
  <c r="AI300" i="6" a="1"/>
  <c r="AI300" i="6" s="1"/>
  <c r="AI283" i="6" a="1"/>
  <c r="AI283" i="6" s="1"/>
  <c r="AI303" i="6" a="1"/>
  <c r="AI303" i="6" s="1"/>
  <c r="AI272" i="6" a="1"/>
  <c r="AI272" i="6" s="1"/>
  <c r="AI276" i="6" a="1"/>
  <c r="AI276" i="6" s="1"/>
  <c r="AI284" i="6" a="1"/>
  <c r="AI284" i="6" s="1"/>
  <c r="AI271" i="6" a="1"/>
  <c r="AI271" i="6" s="1"/>
  <c r="AI285" i="6" a="1"/>
  <c r="AI285" i="6" s="1"/>
  <c r="AI268" i="6" a="1"/>
  <c r="AI268" i="6" s="1"/>
  <c r="AI294" i="6" a="1"/>
  <c r="AI294" i="6" s="1"/>
  <c r="AI280" i="6" a="1"/>
  <c r="AI280" i="6" s="1"/>
  <c r="AI279" i="6" a="1"/>
  <c r="AI279" i="6" s="1"/>
  <c r="AI278" i="6" a="1"/>
  <c r="AI278" i="6" s="1"/>
  <c r="AI273" i="6" a="1"/>
  <c r="AI273" i="6" s="1"/>
  <c r="AI265" i="6" a="1"/>
  <c r="AI265" i="6" s="1"/>
  <c r="AI281" i="6" a="1"/>
  <c r="AI281" i="6" s="1"/>
  <c r="AI261" i="6" a="1"/>
  <c r="AI261" i="6" s="1"/>
  <c r="AI258" i="6" a="1"/>
  <c r="AI258" i="6" s="1"/>
  <c r="AI264" i="6" a="1"/>
  <c r="AI264" i="6" s="1"/>
  <c r="AI274" i="6" a="1"/>
  <c r="AI274" i="6" s="1"/>
  <c r="AI260" i="6" a="1"/>
  <c r="AI260" i="6" s="1"/>
  <c r="AI267" i="6" a="1"/>
  <c r="AI267" i="6" s="1"/>
  <c r="AI263" i="6" a="1"/>
  <c r="AI263" i="6" s="1"/>
  <c r="AI269" i="6" a="1"/>
  <c r="AI269" i="6" s="1"/>
  <c r="AI266" i="6" a="1"/>
  <c r="AI266" i="6" s="1"/>
  <c r="AI259" i="6" a="1"/>
  <c r="AI259" i="6" s="1"/>
  <c r="AI270" i="6" a="1"/>
  <c r="AI270" i="6" s="1"/>
  <c r="AI262" i="6" a="1"/>
  <c r="AI262" i="6" s="1"/>
  <c r="AI253" i="6" a="1"/>
  <c r="AI253" i="6" s="1"/>
  <c r="AI246" i="6" a="1"/>
  <c r="AI246" i="6" s="1"/>
  <c r="AI235" i="6" a="1"/>
  <c r="AI235" i="6" s="1"/>
  <c r="AI256" i="6" a="1"/>
  <c r="AI256" i="6" s="1"/>
  <c r="AI249" i="6" a="1"/>
  <c r="AI249" i="6" s="1"/>
  <c r="AI242" i="6" a="1"/>
  <c r="AI242" i="6" s="1"/>
  <c r="AI252" i="6" a="1"/>
  <c r="AI252" i="6" s="1"/>
  <c r="AI245" i="6" a="1"/>
  <c r="AI245" i="6" s="1"/>
  <c r="AI238" i="6" a="1"/>
  <c r="AI238" i="6" s="1"/>
  <c r="AI255" i="6" a="1"/>
  <c r="AI255" i="6" s="1"/>
  <c r="AI248" i="6" a="1"/>
  <c r="AI248" i="6" s="1"/>
  <c r="AI241" i="6" a="1"/>
  <c r="AI241" i="6" s="1"/>
  <c r="AI234" i="6" a="1"/>
  <c r="AI234" i="6" s="1"/>
  <c r="AI251" i="6" a="1"/>
  <c r="AI251" i="6" s="1"/>
  <c r="AI244" i="6" a="1"/>
  <c r="AI244" i="6" s="1"/>
  <c r="AI237" i="6" a="1"/>
  <c r="AI237" i="6" s="1"/>
  <c r="AI254" i="6" a="1"/>
  <c r="AI254" i="6" s="1"/>
  <c r="AI243" i="6" a="1"/>
  <c r="AI243" i="6" s="1"/>
  <c r="AI236" i="6" a="1"/>
  <c r="AI236" i="6" s="1"/>
  <c r="AI257" i="6" a="1"/>
  <c r="AI257" i="6" s="1"/>
  <c r="AI250" i="6" a="1"/>
  <c r="AI250" i="6" s="1"/>
  <c r="AI239" i="6" a="1"/>
  <c r="AI239" i="6" s="1"/>
  <c r="AI247" i="6" a="1"/>
  <c r="AI247" i="6" s="1"/>
  <c r="AI230" i="6" a="1"/>
  <c r="AI230" i="6" s="1"/>
  <c r="AI233" i="6" a="1"/>
  <c r="AI233" i="6" s="1"/>
  <c r="AI226" i="6" a="1"/>
  <c r="AI226" i="6" s="1"/>
  <c r="AI223" i="6" a="1"/>
  <c r="AI223" i="6" s="1"/>
  <c r="AI229" i="6" a="1"/>
  <c r="AI229" i="6" s="1"/>
  <c r="AI232" i="6" a="1"/>
  <c r="AI232" i="6" s="1"/>
  <c r="AI228" i="6" a="1"/>
  <c r="AI228" i="6" s="1"/>
  <c r="AI231" i="6" a="1"/>
  <c r="AI231" i="6" s="1"/>
  <c r="AI224" i="6" a="1"/>
  <c r="AI224" i="6" s="1"/>
  <c r="AI240" i="6" a="1"/>
  <c r="AI240" i="6" s="1"/>
  <c r="AI227" i="6" a="1"/>
  <c r="AI227" i="6" s="1"/>
  <c r="AI220" i="6" a="1"/>
  <c r="AI220" i="6" s="1"/>
  <c r="AI213" i="6" a="1"/>
  <c r="AI213" i="6" s="1"/>
  <c r="AI206" i="6" a="1"/>
  <c r="AI206" i="6" s="1"/>
  <c r="AI199" i="6" a="1"/>
  <c r="AI199" i="6" s="1"/>
  <c r="AI216" i="6" a="1"/>
  <c r="AI216" i="6" s="1"/>
  <c r="AI209" i="6" a="1"/>
  <c r="AI209" i="6" s="1"/>
  <c r="AI202" i="6" a="1"/>
  <c r="AI202" i="6" s="1"/>
  <c r="AI195" i="6" a="1"/>
  <c r="AI195" i="6" s="1"/>
  <c r="AI212" i="6" a="1"/>
  <c r="AI212" i="6" s="1"/>
  <c r="AI205" i="6" a="1"/>
  <c r="AI205" i="6" s="1"/>
  <c r="AI198" i="6" a="1"/>
  <c r="AI198" i="6" s="1"/>
  <c r="AI191" i="6" a="1"/>
  <c r="AI191" i="6" s="1"/>
  <c r="AI219" i="6" a="1"/>
  <c r="AI219" i="6" s="1"/>
  <c r="AI208" i="6" a="1"/>
  <c r="AI208" i="6" s="1"/>
  <c r="AI201" i="6" a="1"/>
  <c r="AI201" i="6" s="1"/>
  <c r="AI194" i="6" a="1"/>
  <c r="AI194" i="6" s="1"/>
  <c r="AI222" i="6" a="1"/>
  <c r="AI222" i="6" s="1"/>
  <c r="AI215" i="6" a="1"/>
  <c r="AI215" i="6" s="1"/>
  <c r="AI204" i="6" a="1"/>
  <c r="AI204" i="6" s="1"/>
  <c r="AI197" i="6" a="1"/>
  <c r="AI197" i="6" s="1"/>
  <c r="AI190" i="6" a="1"/>
  <c r="AI190" i="6" s="1"/>
  <c r="AI218" i="6" a="1"/>
  <c r="AI218" i="6" s="1"/>
  <c r="AI211" i="6" a="1"/>
  <c r="AI211" i="6" s="1"/>
  <c r="AI200" i="6" a="1"/>
  <c r="AI200" i="6" s="1"/>
  <c r="AI193" i="6" a="1"/>
  <c r="AI193" i="6" s="1"/>
  <c r="AI221" i="6" a="1"/>
  <c r="AI221" i="6" s="1"/>
  <c r="AI214" i="6" a="1"/>
  <c r="AI214" i="6" s="1"/>
  <c r="AI207" i="6" a="1"/>
  <c r="AI207" i="6" s="1"/>
  <c r="AI196" i="6" a="1"/>
  <c r="AI196" i="6" s="1"/>
  <c r="AI225" i="6" a="1"/>
  <c r="AI225" i="6" s="1"/>
  <c r="AI217" i="6" a="1"/>
  <c r="AI217" i="6" s="1"/>
  <c r="AI210" i="6" a="1"/>
  <c r="AI210" i="6" s="1"/>
  <c r="AI203" i="6" a="1"/>
  <c r="AI203" i="6" s="1"/>
  <c r="AI183" i="6" a="1"/>
  <c r="AI183" i="6" s="1"/>
  <c r="AI176" i="6" a="1"/>
  <c r="AI176" i="6" s="1"/>
  <c r="AI189" i="6" a="1"/>
  <c r="AI189" i="6" s="1"/>
  <c r="AI186" i="6" a="1"/>
  <c r="AI186" i="6" s="1"/>
  <c r="AI179" i="6" a="1"/>
  <c r="AI179" i="6" s="1"/>
  <c r="AI182" i="6" a="1"/>
  <c r="AI182" i="6" s="1"/>
  <c r="AI175" i="6" a="1"/>
  <c r="AI175" i="6" s="1"/>
  <c r="AI178" i="6" a="1"/>
  <c r="AI178" i="6" s="1"/>
  <c r="AI185" i="6" a="1"/>
  <c r="AI185" i="6" s="1"/>
  <c r="AI174" i="6" a="1"/>
  <c r="AI174" i="6" s="1"/>
  <c r="AI188" i="6" a="1"/>
  <c r="AI188" i="6" s="1"/>
  <c r="AI181" i="6" a="1"/>
  <c r="AI181" i="6" s="1"/>
  <c r="AI192" i="6" a="1"/>
  <c r="AI192" i="6" s="1"/>
  <c r="AI184" i="6" a="1"/>
  <c r="AI184" i="6" s="1"/>
  <c r="AI177" i="6" a="1"/>
  <c r="AI177" i="6" s="1"/>
  <c r="AI172" i="6" a="1"/>
  <c r="AI172" i="6" s="1"/>
  <c r="AI165" i="6" a="1"/>
  <c r="AI165" i="6" s="1"/>
  <c r="AI154" i="6" a="1"/>
  <c r="AI154" i="6" s="1"/>
  <c r="AI147" i="6" a="1"/>
  <c r="AI147" i="6" s="1"/>
  <c r="AI140" i="6" a="1"/>
  <c r="AI140" i="6" s="1"/>
  <c r="AI133" i="6" a="1"/>
  <c r="AI133" i="6" s="1"/>
  <c r="AI168" i="6" a="1"/>
  <c r="AI168" i="6" s="1"/>
  <c r="AI161" i="6" a="1"/>
  <c r="AI161" i="6" s="1"/>
  <c r="AI150" i="6" a="1"/>
  <c r="AI150" i="6" s="1"/>
  <c r="AI143" i="6" a="1"/>
  <c r="AI143" i="6" s="1"/>
  <c r="AI136" i="6" a="1"/>
  <c r="AI136" i="6" s="1"/>
  <c r="AI129" i="6" a="1"/>
  <c r="AI129" i="6" s="1"/>
  <c r="AI187" i="6" a="1"/>
  <c r="AI187" i="6" s="1"/>
  <c r="AI180" i="6" a="1"/>
  <c r="AI180" i="6" s="1"/>
  <c r="AI171" i="6" a="1"/>
  <c r="AI171" i="6" s="1"/>
  <c r="AI164" i="6" a="1"/>
  <c r="AI164" i="6" s="1"/>
  <c r="AI157" i="6" a="1"/>
  <c r="AI157" i="6" s="1"/>
  <c r="AI146" i="6" a="1"/>
  <c r="AI146" i="6" s="1"/>
  <c r="AI139" i="6" a="1"/>
  <c r="AI139" i="6" s="1"/>
  <c r="AI132" i="6" a="1"/>
  <c r="AI132" i="6" s="1"/>
  <c r="AI125" i="6" a="1"/>
  <c r="AI125" i="6" s="1"/>
  <c r="AI167" i="6" a="1"/>
  <c r="AI167" i="6" s="1"/>
  <c r="AI160" i="6" a="1"/>
  <c r="AI160" i="6" s="1"/>
  <c r="AI153" i="6" a="1"/>
  <c r="AI153" i="6" s="1"/>
  <c r="AI142" i="6" a="1"/>
  <c r="AI142" i="6" s="1"/>
  <c r="AI135" i="6" a="1"/>
  <c r="AI135" i="6" s="1"/>
  <c r="AI128" i="6" a="1"/>
  <c r="AI128" i="6" s="1"/>
  <c r="AI170" i="6" a="1"/>
  <c r="AI170" i="6" s="1"/>
  <c r="AI163" i="6" a="1"/>
  <c r="AI163" i="6" s="1"/>
  <c r="AI156" i="6" a="1"/>
  <c r="AI156" i="6" s="1"/>
  <c r="AI149" i="6" a="1"/>
  <c r="AI149" i="6" s="1"/>
  <c r="AI138" i="6" a="1"/>
  <c r="AI138" i="6" s="1"/>
  <c r="AI131" i="6" a="1"/>
  <c r="AI131" i="6" s="1"/>
  <c r="AI124" i="6" a="1"/>
  <c r="AI124" i="6" s="1"/>
  <c r="AI166" i="6" a="1"/>
  <c r="AI166" i="6" s="1"/>
  <c r="AI159" i="6" a="1"/>
  <c r="AI159" i="6" s="1"/>
  <c r="AI152" i="6" a="1"/>
  <c r="AI152" i="6" s="1"/>
  <c r="AI145" i="6" a="1"/>
  <c r="AI145" i="6" s="1"/>
  <c r="AI134" i="6" a="1"/>
  <c r="AI134" i="6" s="1"/>
  <c r="AI127" i="6" a="1"/>
  <c r="AI127" i="6" s="1"/>
  <c r="AI173" i="6" a="1"/>
  <c r="AI173" i="6" s="1"/>
  <c r="AI137" i="6" a="1"/>
  <c r="AI137" i="6" s="1"/>
  <c r="AI116" i="6" a="1"/>
  <c r="AI116" i="6" s="1"/>
  <c r="AI109" i="6" a="1"/>
  <c r="AI109" i="6" s="1"/>
  <c r="AI169" i="6" a="1"/>
  <c r="AI169" i="6" s="1"/>
  <c r="AI162" i="6" a="1"/>
  <c r="AI162" i="6" s="1"/>
  <c r="AI126" i="6" a="1"/>
  <c r="AI126" i="6" s="1"/>
  <c r="AI119" i="6" a="1"/>
  <c r="AI119" i="6" s="1"/>
  <c r="AI112" i="6" a="1"/>
  <c r="AI112" i="6" s="1"/>
  <c r="AI105" i="6" a="1"/>
  <c r="AI105" i="6" s="1"/>
  <c r="AI144" i="6" a="1"/>
  <c r="AI144" i="6" s="1"/>
  <c r="AI141" i="6" a="1"/>
  <c r="AI141" i="6" s="1"/>
  <c r="AI115" i="6" a="1"/>
  <c r="AI115" i="6" s="1"/>
  <c r="AI108" i="6" a="1"/>
  <c r="AI108" i="6" s="1"/>
  <c r="AI101" i="6" a="1"/>
  <c r="AI101" i="6" s="1"/>
  <c r="AI151" i="6" a="1"/>
  <c r="AI151" i="6" s="1"/>
  <c r="AI148" i="6" a="1"/>
  <c r="AI148" i="6" s="1"/>
  <c r="AI130" i="6" a="1"/>
  <c r="AI130" i="6" s="1"/>
  <c r="AI122" i="6" a="1"/>
  <c r="AI122" i="6" s="1"/>
  <c r="AI118" i="6" a="1"/>
  <c r="AI118" i="6" s="1"/>
  <c r="AI111" i="6" a="1"/>
  <c r="AI111" i="6" s="1"/>
  <c r="AI114" i="6" a="1"/>
  <c r="AI114" i="6" s="1"/>
  <c r="AI107" i="6" a="1"/>
  <c r="AI107" i="6" s="1"/>
  <c r="AI100" i="6" a="1"/>
  <c r="AI100" i="6" s="1"/>
  <c r="AI155" i="6" a="1"/>
  <c r="AI155" i="6" s="1"/>
  <c r="AI121" i="6" a="1"/>
  <c r="AI121" i="6" s="1"/>
  <c r="AI110" i="6" a="1"/>
  <c r="AI110" i="6" s="1"/>
  <c r="AI103" i="6" a="1"/>
  <c r="AI103" i="6" s="1"/>
  <c r="AI96" i="6" a="1"/>
  <c r="AI96" i="6" s="1"/>
  <c r="AI123" i="6" a="1"/>
  <c r="AI123" i="6" s="1"/>
  <c r="AI117" i="6" a="1"/>
  <c r="AI117" i="6" s="1"/>
  <c r="AI106" i="6" a="1"/>
  <c r="AI106" i="6" s="1"/>
  <c r="AI99" i="6" a="1"/>
  <c r="AI99" i="6" s="1"/>
  <c r="AI98" i="6" a="1"/>
  <c r="AI98" i="6" s="1"/>
  <c r="AI97" i="6" a="1"/>
  <c r="AI97" i="6" s="1"/>
  <c r="AI91" i="6" a="1"/>
  <c r="AI91" i="6" s="1"/>
  <c r="AI86" i="6" a="1"/>
  <c r="AI86" i="6" s="1"/>
  <c r="AI79" i="6" a="1"/>
  <c r="AI79" i="6" s="1"/>
  <c r="AI72" i="6" a="1"/>
  <c r="AI72" i="6" s="1"/>
  <c r="AI92" i="6" a="1"/>
  <c r="AI92" i="6" s="1"/>
  <c r="AI75" i="6" a="1"/>
  <c r="AI75" i="6" s="1"/>
  <c r="AI68" i="6" a="1"/>
  <c r="AI68" i="6" s="1"/>
  <c r="AI57" i="6" a="1"/>
  <c r="AI57" i="6" s="1"/>
  <c r="AI50" i="6" a="1"/>
  <c r="AI50" i="6" s="1"/>
  <c r="AI93" i="6" a="1"/>
  <c r="AI93" i="6" s="1"/>
  <c r="AI87" i="6" a="1"/>
  <c r="AI87" i="6" s="1"/>
  <c r="AI82" i="6" a="1"/>
  <c r="AI82" i="6" s="1"/>
  <c r="AI78" i="6" a="1"/>
  <c r="AI78" i="6" s="1"/>
  <c r="AI71" i="6" a="1"/>
  <c r="AI71" i="6" s="1"/>
  <c r="AI64" i="6" a="1"/>
  <c r="AI64" i="6" s="1"/>
  <c r="AI158" i="6" a="1"/>
  <c r="AI158" i="6" s="1"/>
  <c r="AI88" i="6" a="1"/>
  <c r="AI88" i="6" s="1"/>
  <c r="AI81" i="6" a="1"/>
  <c r="AI81" i="6" s="1"/>
  <c r="AI74" i="6" a="1"/>
  <c r="AI74" i="6" s="1"/>
  <c r="AI67" i="6" a="1"/>
  <c r="AI67" i="6" s="1"/>
  <c r="AI60" i="6" a="1"/>
  <c r="AI60" i="6" s="1"/>
  <c r="AI120" i="6" a="1"/>
  <c r="AI120" i="6" s="1"/>
  <c r="AI113" i="6" a="1"/>
  <c r="AI113" i="6" s="1"/>
  <c r="AI94" i="6" a="1"/>
  <c r="AI94" i="6" s="1"/>
  <c r="AI89" i="6" a="1"/>
  <c r="AI89" i="6" s="1"/>
  <c r="AI83" i="6" a="1"/>
  <c r="AI83" i="6" s="1"/>
  <c r="AI77" i="6" a="1"/>
  <c r="AI77" i="6" s="1"/>
  <c r="AI70" i="6" a="1"/>
  <c r="AI70" i="6" s="1"/>
  <c r="AI63" i="6" a="1"/>
  <c r="AI63" i="6" s="1"/>
  <c r="AI102" i="6" a="1"/>
  <c r="AI102" i="6" s="1"/>
  <c r="AI84" i="6" a="1"/>
  <c r="AI84" i="6" s="1"/>
  <c r="AI73" i="6" a="1"/>
  <c r="AI73" i="6" s="1"/>
  <c r="AI66" i="6" a="1"/>
  <c r="AI66" i="6" s="1"/>
  <c r="AI59" i="6" a="1"/>
  <c r="AI59" i="6" s="1"/>
  <c r="AI52" i="6" a="1"/>
  <c r="AI52" i="6" s="1"/>
  <c r="AI95" i="6" a="1"/>
  <c r="AI95" i="6" s="1"/>
  <c r="AI90" i="6" a="1"/>
  <c r="AI90" i="6" s="1"/>
  <c r="AI85" i="6" a="1"/>
  <c r="AI85" i="6" s="1"/>
  <c r="AI80" i="6" a="1"/>
  <c r="AI80" i="6" s="1"/>
  <c r="AI69" i="6" a="1"/>
  <c r="AI69" i="6" s="1"/>
  <c r="AI62" i="6" a="1"/>
  <c r="AI62" i="6" s="1"/>
  <c r="AI104" i="6" a="1"/>
  <c r="AI104" i="6" s="1"/>
  <c r="AI76" i="6" a="1"/>
  <c r="AI76" i="6" s="1"/>
  <c r="AI65" i="6" a="1"/>
  <c r="AI65" i="6" s="1"/>
  <c r="AI58" i="6" a="1"/>
  <c r="AI58" i="6" s="1"/>
  <c r="AI51" i="6" a="1"/>
  <c r="AI51" i="6" s="1"/>
  <c r="AQ355" i="6" a="1"/>
  <c r="AQ355" i="6" s="1"/>
  <c r="AQ347" i="6" a="1"/>
  <c r="AQ347" i="6" s="1"/>
  <c r="AQ339" i="6" a="1"/>
  <c r="AQ339" i="6" s="1"/>
  <c r="AQ356" i="6" a="1"/>
  <c r="AQ356" i="6" s="1"/>
  <c r="AQ348" i="6" a="1"/>
  <c r="AQ348" i="6" s="1"/>
  <c r="AQ340" i="6" a="1"/>
  <c r="AQ340" i="6" s="1"/>
  <c r="AQ357" i="6" a="1"/>
  <c r="AQ357" i="6" s="1"/>
  <c r="AQ349" i="6" a="1"/>
  <c r="AQ349" i="6" s="1"/>
  <c r="AQ358" i="6" a="1"/>
  <c r="AQ358" i="6" s="1"/>
  <c r="AQ350" i="6" a="1"/>
  <c r="AQ350" i="6" s="1"/>
  <c r="AQ342" i="6" a="1"/>
  <c r="AQ342" i="6" s="1"/>
  <c r="AQ351" i="6" a="1"/>
  <c r="AQ351" i="6" s="1"/>
  <c r="AQ343" i="6" a="1"/>
  <c r="AQ343" i="6" s="1"/>
  <c r="AQ352" i="6" a="1"/>
  <c r="AQ352" i="6" s="1"/>
  <c r="AQ344" i="6" a="1"/>
  <c r="AQ344" i="6" s="1"/>
  <c r="AQ336" i="6" a="1"/>
  <c r="AQ336" i="6" s="1"/>
  <c r="AQ353" i="6" a="1"/>
  <c r="AQ353" i="6" s="1"/>
  <c r="AQ345" i="6" a="1"/>
  <c r="AQ345" i="6" s="1"/>
  <c r="AQ329" i="6" a="1"/>
  <c r="AQ329" i="6" s="1"/>
  <c r="AQ322" i="6" a="1"/>
  <c r="AQ322" i="6" s="1"/>
  <c r="AQ315" i="6" a="1"/>
  <c r="AQ315" i="6" s="1"/>
  <c r="AQ338" i="6" a="1"/>
  <c r="AQ338" i="6" s="1"/>
  <c r="AQ332" i="6" a="1"/>
  <c r="AQ332" i="6" s="1"/>
  <c r="AQ325" i="6" a="1"/>
  <c r="AQ325" i="6" s="1"/>
  <c r="AQ318" i="6" a="1"/>
  <c r="AQ318" i="6" s="1"/>
  <c r="AQ328" i="6" a="1"/>
  <c r="AQ328" i="6" s="1"/>
  <c r="AQ321" i="6" a="1"/>
  <c r="AQ321" i="6" s="1"/>
  <c r="AQ354" i="6" a="1"/>
  <c r="AQ354" i="6" s="1"/>
  <c r="AQ335" i="6" a="1"/>
  <c r="AQ335" i="6" s="1"/>
  <c r="AQ324" i="6" a="1"/>
  <c r="AQ324" i="6" s="1"/>
  <c r="AQ317" i="6" a="1"/>
  <c r="AQ317" i="6" s="1"/>
  <c r="AQ341" i="6" a="1"/>
  <c r="AQ341" i="6" s="1"/>
  <c r="AQ331" i="6" a="1"/>
  <c r="AQ331" i="6" s="1"/>
  <c r="AQ320" i="6" a="1"/>
  <c r="AQ320" i="6" s="1"/>
  <c r="AQ313" i="6" a="1"/>
  <c r="AQ313" i="6" s="1"/>
  <c r="AQ346" i="6" a="1"/>
  <c r="AQ346" i="6" s="1"/>
  <c r="AQ334" i="6" a="1"/>
  <c r="AQ334" i="6" s="1"/>
  <c r="AQ327" i="6" a="1"/>
  <c r="AQ327" i="6" s="1"/>
  <c r="AQ316" i="6" a="1"/>
  <c r="AQ316" i="6" s="1"/>
  <c r="AQ330" i="6" a="1"/>
  <c r="AQ330" i="6" s="1"/>
  <c r="AQ323" i="6" a="1"/>
  <c r="AQ323" i="6" s="1"/>
  <c r="AQ337" i="6" a="1"/>
  <c r="AQ337" i="6" s="1"/>
  <c r="AQ307" i="6" a="1"/>
  <c r="AQ307" i="6" s="1"/>
  <c r="AQ314" i="6" a="1"/>
  <c r="AQ314" i="6" s="1"/>
  <c r="AQ310" i="6" a="1"/>
  <c r="AQ310" i="6" s="1"/>
  <c r="AQ303" i="6" a="1"/>
  <c r="AQ303" i="6" s="1"/>
  <c r="AQ306" i="6" a="1"/>
  <c r="AQ306" i="6" s="1"/>
  <c r="AQ309" i="6" a="1"/>
  <c r="AQ309" i="6" s="1"/>
  <c r="AQ302" i="6" a="1"/>
  <c r="AQ302" i="6" s="1"/>
  <c r="AQ305" i="6" a="1"/>
  <c r="AQ305" i="6" s="1"/>
  <c r="AQ326" i="6" a="1"/>
  <c r="AQ326" i="6" s="1"/>
  <c r="AQ319" i="6" a="1"/>
  <c r="AQ319" i="6" s="1"/>
  <c r="AQ308" i="6" a="1"/>
  <c r="AQ308" i="6" s="1"/>
  <c r="AQ301" i="6" a="1"/>
  <c r="AQ301" i="6" s="1"/>
  <c r="AQ312" i="6" a="1"/>
  <c r="AQ312" i="6" s="1"/>
  <c r="AQ304" i="6" a="1"/>
  <c r="AQ304" i="6" s="1"/>
  <c r="AQ311" i="6" a="1"/>
  <c r="AQ311" i="6" s="1"/>
  <c r="AQ297" i="6" a="1"/>
  <c r="AQ297" i="6" s="1"/>
  <c r="AQ292" i="6" a="1"/>
  <c r="AQ292" i="6" s="1"/>
  <c r="AQ287" i="6" a="1"/>
  <c r="AQ287" i="6" s="1"/>
  <c r="AQ282" i="6" a="1"/>
  <c r="AQ282" i="6" s="1"/>
  <c r="AQ276" i="6" a="1"/>
  <c r="AQ276" i="6" s="1"/>
  <c r="AQ298" i="6" a="1"/>
  <c r="AQ298" i="6" s="1"/>
  <c r="AQ293" i="6" a="1"/>
  <c r="AQ293" i="6" s="1"/>
  <c r="AQ288" i="6" a="1"/>
  <c r="AQ288" i="6" s="1"/>
  <c r="AQ294" i="6" a="1"/>
  <c r="AQ294" i="6" s="1"/>
  <c r="AQ275" i="6" a="1"/>
  <c r="AQ275" i="6" s="1"/>
  <c r="AQ295" i="6" a="1"/>
  <c r="AQ295" i="6" s="1"/>
  <c r="AQ289" i="6" a="1"/>
  <c r="AQ289" i="6" s="1"/>
  <c r="AQ333" i="6" a="1"/>
  <c r="AQ333" i="6" s="1"/>
  <c r="AQ300" i="6" a="1"/>
  <c r="AQ300" i="6" s="1"/>
  <c r="AQ290" i="6" a="1"/>
  <c r="AQ290" i="6" s="1"/>
  <c r="AQ296" i="6" a="1"/>
  <c r="AQ296" i="6" s="1"/>
  <c r="AQ291" i="6" a="1"/>
  <c r="AQ291" i="6" s="1"/>
  <c r="AQ283" i="6" a="1"/>
  <c r="AQ283" i="6" s="1"/>
  <c r="AQ274" i="6" a="1"/>
  <c r="AQ274" i="6" s="1"/>
  <c r="AQ273" i="6" a="1"/>
  <c r="AQ273" i="6" s="1"/>
  <c r="AQ299" i="6" a="1"/>
  <c r="AQ299" i="6" s="1"/>
  <c r="AQ269" i="6" a="1"/>
  <c r="AQ269" i="6" s="1"/>
  <c r="AQ284" i="6" a="1"/>
  <c r="AQ284" i="6" s="1"/>
  <c r="AQ272" i="6" a="1"/>
  <c r="AQ272" i="6" s="1"/>
  <c r="AQ285" i="6" a="1"/>
  <c r="AQ285" i="6" s="1"/>
  <c r="AQ268" i="6" a="1"/>
  <c r="AQ268" i="6" s="1"/>
  <c r="AQ286" i="6" a="1"/>
  <c r="AQ286" i="6" s="1"/>
  <c r="AQ281" i="6" a="1"/>
  <c r="AQ281" i="6" s="1"/>
  <c r="AQ280" i="6" a="1"/>
  <c r="AQ280" i="6" s="1"/>
  <c r="AQ279" i="6" a="1"/>
  <c r="AQ279" i="6" s="1"/>
  <c r="AQ278" i="6" a="1"/>
  <c r="AQ278" i="6" s="1"/>
  <c r="AQ277" i="6" a="1"/>
  <c r="AQ277" i="6" s="1"/>
  <c r="AQ270" i="6" a="1"/>
  <c r="AQ270" i="6" s="1"/>
  <c r="AQ271" i="6" a="1"/>
  <c r="AQ271" i="6" s="1"/>
  <c r="AQ266" i="6" a="1"/>
  <c r="AQ266" i="6" s="1"/>
  <c r="AQ259" i="6" a="1"/>
  <c r="AQ259" i="6" s="1"/>
  <c r="AQ262" i="6" a="1"/>
  <c r="AQ262" i="6" s="1"/>
  <c r="AQ265" i="6" a="1"/>
  <c r="AQ265" i="6" s="1"/>
  <c r="AQ258" i="6" a="1"/>
  <c r="AQ258" i="6" s="1"/>
  <c r="AQ261" i="6" a="1"/>
  <c r="AQ261" i="6" s="1"/>
  <c r="AQ264" i="6" a="1"/>
  <c r="AQ264" i="6" s="1"/>
  <c r="AQ260" i="6" a="1"/>
  <c r="AQ260" i="6" s="1"/>
  <c r="AQ267" i="6" a="1"/>
  <c r="AQ267" i="6" s="1"/>
  <c r="AQ254" i="6" a="1"/>
  <c r="AQ254" i="6" s="1"/>
  <c r="AQ243" i="6" a="1"/>
  <c r="AQ243" i="6" s="1"/>
  <c r="AQ236" i="6" a="1"/>
  <c r="AQ236" i="6" s="1"/>
  <c r="AQ250" i="6" a="1"/>
  <c r="AQ250" i="6" s="1"/>
  <c r="AQ239" i="6" a="1"/>
  <c r="AQ239" i="6" s="1"/>
  <c r="AQ263" i="6" a="1"/>
  <c r="AQ263" i="6" s="1"/>
  <c r="AQ257" i="6" a="1"/>
  <c r="AQ257" i="6" s="1"/>
  <c r="AQ253" i="6" a="1"/>
  <c r="AQ253" i="6" s="1"/>
  <c r="AQ246" i="6" a="1"/>
  <c r="AQ246" i="6" s="1"/>
  <c r="AQ235" i="6" a="1"/>
  <c r="AQ235" i="6" s="1"/>
  <c r="AQ256" i="6" a="1"/>
  <c r="AQ256" i="6" s="1"/>
  <c r="AQ249" i="6" a="1"/>
  <c r="AQ249" i="6" s="1"/>
  <c r="AQ242" i="6" a="1"/>
  <c r="AQ242" i="6" s="1"/>
  <c r="AQ252" i="6" a="1"/>
  <c r="AQ252" i="6" s="1"/>
  <c r="AQ245" i="6" a="1"/>
  <c r="AQ245" i="6" s="1"/>
  <c r="AQ238" i="6" a="1"/>
  <c r="AQ238" i="6" s="1"/>
  <c r="AQ251" i="6" a="1"/>
  <c r="AQ251" i="6" s="1"/>
  <c r="AQ244" i="6" a="1"/>
  <c r="AQ244" i="6" s="1"/>
  <c r="AQ237" i="6" a="1"/>
  <c r="AQ237" i="6" s="1"/>
  <c r="AQ247" i="6" a="1"/>
  <c r="AQ247" i="6" s="1"/>
  <c r="AQ240" i="6" a="1"/>
  <c r="AQ240" i="6" s="1"/>
  <c r="AQ233" i="6" a="1"/>
  <c r="AQ233" i="6" s="1"/>
  <c r="AQ231" i="6" a="1"/>
  <c r="AQ231" i="6" s="1"/>
  <c r="AQ224" i="6" a="1"/>
  <c r="AQ224" i="6" s="1"/>
  <c r="AQ234" i="6" a="1"/>
  <c r="AQ234" i="6" s="1"/>
  <c r="AQ227" i="6" a="1"/>
  <c r="AQ227" i="6" s="1"/>
  <c r="AQ241" i="6" a="1"/>
  <c r="AQ241" i="6" s="1"/>
  <c r="AQ223" i="6" a="1"/>
  <c r="AQ223" i="6" s="1"/>
  <c r="AQ232" i="6" a="1"/>
  <c r="AQ232" i="6" s="1"/>
  <c r="AQ230" i="6" a="1"/>
  <c r="AQ230" i="6" s="1"/>
  <c r="AQ248" i="6" a="1"/>
  <c r="AQ248" i="6" s="1"/>
  <c r="AQ255" i="6" a="1"/>
  <c r="AQ255" i="6" s="1"/>
  <c r="AQ229" i="6" a="1"/>
  <c r="AQ229" i="6" s="1"/>
  <c r="AQ225" i="6" a="1"/>
  <c r="AQ225" i="6" s="1"/>
  <c r="AQ221" i="6" a="1"/>
  <c r="AQ221" i="6" s="1"/>
  <c r="AQ214" i="6" a="1"/>
  <c r="AQ214" i="6" s="1"/>
  <c r="AQ207" i="6" a="1"/>
  <c r="AQ207" i="6" s="1"/>
  <c r="AQ196" i="6" a="1"/>
  <c r="AQ196" i="6" s="1"/>
  <c r="AQ189" i="6" a="1"/>
  <c r="AQ189" i="6" s="1"/>
  <c r="AQ222" i="6" a="1"/>
  <c r="AQ222" i="6" s="1"/>
  <c r="AQ217" i="6" a="1"/>
  <c r="AQ217" i="6" s="1"/>
  <c r="AQ210" i="6" a="1"/>
  <c r="AQ210" i="6" s="1"/>
  <c r="AQ203" i="6" a="1"/>
  <c r="AQ203" i="6" s="1"/>
  <c r="AQ192" i="6" a="1"/>
  <c r="AQ192" i="6" s="1"/>
  <c r="AQ220" i="6" a="1"/>
  <c r="AQ220" i="6" s="1"/>
  <c r="AQ213" i="6" a="1"/>
  <c r="AQ213" i="6" s="1"/>
  <c r="AQ206" i="6" a="1"/>
  <c r="AQ206" i="6" s="1"/>
  <c r="AQ199" i="6" a="1"/>
  <c r="AQ199" i="6" s="1"/>
  <c r="AQ216" i="6" a="1"/>
  <c r="AQ216" i="6" s="1"/>
  <c r="AQ209" i="6" a="1"/>
  <c r="AQ209" i="6" s="1"/>
  <c r="AQ202" i="6" a="1"/>
  <c r="AQ202" i="6" s="1"/>
  <c r="AQ195" i="6" a="1"/>
  <c r="AQ195" i="6" s="1"/>
  <c r="AQ226" i="6" a="1"/>
  <c r="AQ226" i="6" s="1"/>
  <c r="AQ212" i="6" a="1"/>
  <c r="AQ212" i="6" s="1"/>
  <c r="AQ205" i="6" a="1"/>
  <c r="AQ205" i="6" s="1"/>
  <c r="AQ198" i="6" a="1"/>
  <c r="AQ198" i="6" s="1"/>
  <c r="AQ191" i="6" a="1"/>
  <c r="AQ191" i="6" s="1"/>
  <c r="AQ219" i="6" a="1"/>
  <c r="AQ219" i="6" s="1"/>
  <c r="AQ208" i="6" a="1"/>
  <c r="AQ208" i="6" s="1"/>
  <c r="AQ201" i="6" a="1"/>
  <c r="AQ201" i="6" s="1"/>
  <c r="AQ194" i="6" a="1"/>
  <c r="AQ194" i="6" s="1"/>
  <c r="AQ228" i="6" a="1"/>
  <c r="AQ228" i="6" s="1"/>
  <c r="AQ215" i="6" a="1"/>
  <c r="AQ215" i="6" s="1"/>
  <c r="AQ204" i="6" a="1"/>
  <c r="AQ204" i="6" s="1"/>
  <c r="AQ197" i="6" a="1"/>
  <c r="AQ197" i="6" s="1"/>
  <c r="AQ218" i="6" a="1"/>
  <c r="AQ218" i="6" s="1"/>
  <c r="AQ211" i="6" a="1"/>
  <c r="AQ211" i="6" s="1"/>
  <c r="AQ200" i="6" a="1"/>
  <c r="AQ200" i="6" s="1"/>
  <c r="AQ193" i="6" a="1"/>
  <c r="AQ193" i="6" s="1"/>
  <c r="AQ184" i="6" a="1"/>
  <c r="AQ184" i="6" s="1"/>
  <c r="AQ177" i="6" a="1"/>
  <c r="AQ177" i="6" s="1"/>
  <c r="AQ190" i="6" a="1"/>
  <c r="AQ190" i="6" s="1"/>
  <c r="AQ188" i="6" a="1"/>
  <c r="AQ188" i="6" s="1"/>
  <c r="AQ187" i="6" a="1"/>
  <c r="AQ187" i="6" s="1"/>
  <c r="AQ180" i="6" a="1"/>
  <c r="AQ180" i="6" s="1"/>
  <c r="AQ183" i="6" a="1"/>
  <c r="AQ183" i="6" s="1"/>
  <c r="AQ176" i="6" a="1"/>
  <c r="AQ176" i="6" s="1"/>
  <c r="AQ186" i="6" a="1"/>
  <c r="AQ186" i="6" s="1"/>
  <c r="AQ179" i="6" a="1"/>
  <c r="AQ179" i="6" s="1"/>
  <c r="AQ182" i="6" a="1"/>
  <c r="AQ182" i="6" s="1"/>
  <c r="AQ175" i="6" a="1"/>
  <c r="AQ175" i="6" s="1"/>
  <c r="AQ178" i="6" a="1"/>
  <c r="AQ178" i="6" s="1"/>
  <c r="AQ185" i="6" a="1"/>
  <c r="AQ185" i="6" s="1"/>
  <c r="AQ174" i="6" a="1"/>
  <c r="AQ174" i="6" s="1"/>
  <c r="AQ173" i="6" a="1"/>
  <c r="AQ173" i="6" s="1"/>
  <c r="AQ162" i="6" a="1"/>
  <c r="AQ162" i="6" s="1"/>
  <c r="AQ155" i="6" a="1"/>
  <c r="AQ155" i="6" s="1"/>
  <c r="AQ148" i="6" a="1"/>
  <c r="AQ148" i="6" s="1"/>
  <c r="AQ141" i="6" a="1"/>
  <c r="AQ141" i="6" s="1"/>
  <c r="AQ130" i="6" a="1"/>
  <c r="AQ130" i="6" s="1"/>
  <c r="AQ169" i="6" a="1"/>
  <c r="AQ169" i="6" s="1"/>
  <c r="AQ158" i="6" a="1"/>
  <c r="AQ158" i="6" s="1"/>
  <c r="AQ151" i="6" a="1"/>
  <c r="AQ151" i="6" s="1"/>
  <c r="AQ144" i="6" a="1"/>
  <c r="AQ144" i="6" s="1"/>
  <c r="AQ137" i="6" a="1"/>
  <c r="AQ137" i="6" s="1"/>
  <c r="AQ126" i="6" a="1"/>
  <c r="AQ126" i="6" s="1"/>
  <c r="AQ172" i="6" a="1"/>
  <c r="AQ172" i="6" s="1"/>
  <c r="AQ165" i="6" a="1"/>
  <c r="AQ165" i="6" s="1"/>
  <c r="AQ154" i="6" a="1"/>
  <c r="AQ154" i="6" s="1"/>
  <c r="AQ147" i="6" a="1"/>
  <c r="AQ147" i="6" s="1"/>
  <c r="AQ140" i="6" a="1"/>
  <c r="AQ140" i="6" s="1"/>
  <c r="AQ133" i="6" a="1"/>
  <c r="AQ133" i="6" s="1"/>
  <c r="AQ168" i="6" a="1"/>
  <c r="AQ168" i="6" s="1"/>
  <c r="AQ161" i="6" a="1"/>
  <c r="AQ161" i="6" s="1"/>
  <c r="AQ150" i="6" a="1"/>
  <c r="AQ150" i="6" s="1"/>
  <c r="AQ143" i="6" a="1"/>
  <c r="AQ143" i="6" s="1"/>
  <c r="AQ136" i="6" a="1"/>
  <c r="AQ136" i="6" s="1"/>
  <c r="AQ129" i="6" a="1"/>
  <c r="AQ129" i="6" s="1"/>
  <c r="AQ181" i="6" a="1"/>
  <c r="AQ181" i="6" s="1"/>
  <c r="AQ171" i="6" a="1"/>
  <c r="AQ171" i="6" s="1"/>
  <c r="AQ164" i="6" a="1"/>
  <c r="AQ164" i="6" s="1"/>
  <c r="AQ157" i="6" a="1"/>
  <c r="AQ157" i="6" s="1"/>
  <c r="AQ146" i="6" a="1"/>
  <c r="AQ146" i="6" s="1"/>
  <c r="AQ139" i="6" a="1"/>
  <c r="AQ139" i="6" s="1"/>
  <c r="AQ132" i="6" a="1"/>
  <c r="AQ132" i="6" s="1"/>
  <c r="AQ125" i="6" a="1"/>
  <c r="AQ125" i="6" s="1"/>
  <c r="AQ167" i="6" a="1"/>
  <c r="AQ167" i="6" s="1"/>
  <c r="AQ160" i="6" a="1"/>
  <c r="AQ160" i="6" s="1"/>
  <c r="AQ153" i="6" a="1"/>
  <c r="AQ153" i="6" s="1"/>
  <c r="AQ142" i="6" a="1"/>
  <c r="AQ142" i="6" s="1"/>
  <c r="AQ135" i="6" a="1"/>
  <c r="AQ135" i="6" s="1"/>
  <c r="AQ128" i="6" a="1"/>
  <c r="AQ128" i="6" s="1"/>
  <c r="AQ170" i="6" a="1"/>
  <c r="AQ170" i="6" s="1"/>
  <c r="AQ149" i="6" a="1"/>
  <c r="AQ149" i="6" s="1"/>
  <c r="AQ145" i="6" a="1"/>
  <c r="AQ145" i="6" s="1"/>
  <c r="AQ117" i="6" a="1"/>
  <c r="AQ117" i="6" s="1"/>
  <c r="AQ106" i="6" a="1"/>
  <c r="AQ106" i="6" s="1"/>
  <c r="AQ99" i="6" a="1"/>
  <c r="AQ99" i="6" s="1"/>
  <c r="AQ152" i="6" a="1"/>
  <c r="AQ152" i="6" s="1"/>
  <c r="AQ131" i="6" a="1"/>
  <c r="AQ131" i="6" s="1"/>
  <c r="AQ120" i="6" a="1"/>
  <c r="AQ120" i="6" s="1"/>
  <c r="AQ113" i="6" a="1"/>
  <c r="AQ113" i="6" s="1"/>
  <c r="AQ102" i="6" a="1"/>
  <c r="AQ102" i="6" s="1"/>
  <c r="AQ116" i="6" a="1"/>
  <c r="AQ116" i="6" s="1"/>
  <c r="AQ109" i="6" a="1"/>
  <c r="AQ109" i="6" s="1"/>
  <c r="AQ98" i="6" a="1"/>
  <c r="AQ98" i="6" s="1"/>
  <c r="AQ156" i="6" a="1"/>
  <c r="AQ156" i="6" s="1"/>
  <c r="AQ134" i="6" a="1"/>
  <c r="AQ134" i="6" s="1"/>
  <c r="AQ119" i="6" a="1"/>
  <c r="AQ119" i="6" s="1"/>
  <c r="AQ112" i="6" a="1"/>
  <c r="AQ112" i="6" s="1"/>
  <c r="AQ105" i="6" a="1"/>
  <c r="AQ105" i="6" s="1"/>
  <c r="AQ115" i="6" a="1"/>
  <c r="AQ115" i="6" s="1"/>
  <c r="AQ108" i="6" a="1"/>
  <c r="AQ108" i="6" s="1"/>
  <c r="AQ101" i="6" a="1"/>
  <c r="AQ101" i="6" s="1"/>
  <c r="AQ166" i="6" a="1"/>
  <c r="AQ166" i="6" s="1"/>
  <c r="AQ159" i="6" a="1"/>
  <c r="AQ159" i="6" s="1"/>
  <c r="AQ138" i="6" a="1"/>
  <c r="AQ138" i="6" s="1"/>
  <c r="AQ118" i="6" a="1"/>
  <c r="AQ118" i="6" s="1"/>
  <c r="AQ111" i="6" a="1"/>
  <c r="AQ111" i="6" s="1"/>
  <c r="AQ104" i="6" a="1"/>
  <c r="AQ104" i="6" s="1"/>
  <c r="AQ97" i="6" a="1"/>
  <c r="AQ97" i="6" s="1"/>
  <c r="AQ124" i="6" a="1"/>
  <c r="AQ124" i="6" s="1"/>
  <c r="AQ123" i="6" a="1"/>
  <c r="AQ123" i="6" s="1"/>
  <c r="AQ114" i="6" a="1"/>
  <c r="AQ114" i="6" s="1"/>
  <c r="AQ107" i="6" a="1"/>
  <c r="AQ107" i="6" s="1"/>
  <c r="AQ100" i="6" a="1"/>
  <c r="AQ100" i="6" s="1"/>
  <c r="AQ163" i="6" a="1"/>
  <c r="AQ163" i="6" s="1"/>
  <c r="AQ94" i="6" a="1"/>
  <c r="AQ94" i="6" s="1"/>
  <c r="AQ89" i="6" a="1"/>
  <c r="AQ89" i="6" s="1"/>
  <c r="AQ83" i="6" a="1"/>
  <c r="AQ83" i="6" s="1"/>
  <c r="AQ80" i="6" a="1"/>
  <c r="AQ80" i="6" s="1"/>
  <c r="AQ69" i="6" a="1"/>
  <c r="AQ69" i="6" s="1"/>
  <c r="AQ84" i="6" a="1"/>
  <c r="AQ84" i="6" s="1"/>
  <c r="AQ76" i="6" a="1"/>
  <c r="AQ76" i="6" s="1"/>
  <c r="AQ65" i="6" a="1"/>
  <c r="AQ65" i="6" s="1"/>
  <c r="AQ58" i="6" a="1"/>
  <c r="AQ58" i="6" s="1"/>
  <c r="AQ51" i="6" a="1"/>
  <c r="AQ51" i="6" s="1"/>
  <c r="AQ122" i="6" a="1"/>
  <c r="AQ122" i="6" s="1"/>
  <c r="AQ95" i="6" a="1"/>
  <c r="AQ95" i="6" s="1"/>
  <c r="AQ90" i="6" a="1"/>
  <c r="AQ90" i="6" s="1"/>
  <c r="AQ85" i="6" a="1"/>
  <c r="AQ85" i="6" s="1"/>
  <c r="AQ79" i="6" a="1"/>
  <c r="AQ79" i="6" s="1"/>
  <c r="AQ72" i="6" a="1"/>
  <c r="AQ72" i="6" s="1"/>
  <c r="AQ103" i="6" a="1"/>
  <c r="AQ103" i="6" s="1"/>
  <c r="AQ75" i="6" a="1"/>
  <c r="AQ75" i="6" s="1"/>
  <c r="AQ68" i="6" a="1"/>
  <c r="AQ68" i="6" s="1"/>
  <c r="AQ57" i="6" a="1"/>
  <c r="AQ57" i="6" s="1"/>
  <c r="AQ91" i="6" a="1"/>
  <c r="AQ91" i="6" s="1"/>
  <c r="AQ86" i="6" a="1"/>
  <c r="AQ86" i="6" s="1"/>
  <c r="AQ78" i="6" a="1"/>
  <c r="AQ78" i="6" s="1"/>
  <c r="AQ71" i="6" a="1"/>
  <c r="AQ71" i="6" s="1"/>
  <c r="AQ64" i="6" a="1"/>
  <c r="AQ64" i="6" s="1"/>
  <c r="AQ92" i="6" a="1"/>
  <c r="AQ92" i="6" s="1"/>
  <c r="AQ81" i="6" a="1"/>
  <c r="AQ81" i="6" s="1"/>
  <c r="AQ74" i="6" a="1"/>
  <c r="AQ74" i="6" s="1"/>
  <c r="AQ67" i="6" a="1"/>
  <c r="AQ67" i="6" s="1"/>
  <c r="AQ60" i="6" a="1"/>
  <c r="AQ60" i="6" s="1"/>
  <c r="AQ49" i="6" a="1"/>
  <c r="AQ49" i="6" s="1"/>
  <c r="AQ127" i="6" a="1"/>
  <c r="AQ127" i="6" s="1"/>
  <c r="AQ121" i="6" a="1"/>
  <c r="AQ121" i="6" s="1"/>
  <c r="AQ93" i="6" a="1"/>
  <c r="AQ93" i="6" s="1"/>
  <c r="AQ87" i="6" a="1"/>
  <c r="AQ87" i="6" s="1"/>
  <c r="AQ82" i="6" a="1"/>
  <c r="AQ82" i="6" s="1"/>
  <c r="AQ77" i="6" a="1"/>
  <c r="AQ77" i="6" s="1"/>
  <c r="AQ70" i="6" a="1"/>
  <c r="AQ70" i="6" s="1"/>
  <c r="AQ63" i="6" a="1"/>
  <c r="AQ63" i="6" s="1"/>
  <c r="AQ110" i="6" a="1"/>
  <c r="AQ110" i="6" s="1"/>
  <c r="AQ96" i="6" a="1"/>
  <c r="AQ96" i="6" s="1"/>
  <c r="AQ88" i="6" a="1"/>
  <c r="AQ88" i="6" s="1"/>
  <c r="AQ73" i="6" a="1"/>
  <c r="AQ73" i="6" s="1"/>
  <c r="AQ66" i="6" a="1"/>
  <c r="AQ66" i="6" s="1"/>
  <c r="AQ59" i="6" a="1"/>
  <c r="AQ59" i="6" s="1"/>
  <c r="AQ52" i="6" a="1"/>
  <c r="AQ52" i="6" s="1"/>
  <c r="AI6" i="6" a="1"/>
  <c r="AI6" i="6" s="1"/>
  <c r="AT6" i="6" a="1"/>
  <c r="AT6" i="6" s="1"/>
  <c r="AU7" i="6" a="1"/>
  <c r="AU7" i="6" s="1"/>
  <c r="AK8" i="6" a="1"/>
  <c r="AK8" i="6" s="1"/>
  <c r="AL9" i="6" a="1"/>
  <c r="AL9" i="6" s="1"/>
  <c r="AM10" i="6" a="1"/>
  <c r="AM10" i="6" s="1"/>
  <c r="AI11" i="6" a="1"/>
  <c r="AI11" i="6" s="1"/>
  <c r="AO12" i="6" a="1"/>
  <c r="AO12" i="6" s="1"/>
  <c r="AK13" i="6" a="1"/>
  <c r="AK13" i="6" s="1"/>
  <c r="AP13" i="6" a="1"/>
  <c r="AP13" i="6" s="1"/>
  <c r="AL14" i="6" a="1"/>
  <c r="AL14" i="6" s="1"/>
  <c r="AQ14" i="6" a="1"/>
  <c r="AQ14" i="6" s="1"/>
  <c r="AM15" i="6" a="1"/>
  <c r="AM15" i="6" s="1"/>
  <c r="AS16" i="6" a="1"/>
  <c r="AS16" i="6" s="1"/>
  <c r="AO17" i="6" a="1"/>
  <c r="AO17" i="6" s="1"/>
  <c r="AT17" i="6" a="1"/>
  <c r="AT17" i="6" s="1"/>
  <c r="AP18" i="6" a="1"/>
  <c r="AP18" i="6" s="1"/>
  <c r="AU18" i="6" a="1"/>
  <c r="AU18" i="6" s="1"/>
  <c r="AQ19" i="6" a="1"/>
  <c r="AQ19" i="6" s="1"/>
  <c r="AS21" i="6" a="1"/>
  <c r="AS21" i="6" s="1"/>
  <c r="AI22" i="6" a="1"/>
  <c r="AI22" i="6" s="1"/>
  <c r="AT22" i="6" a="1"/>
  <c r="AT22" i="6" s="1"/>
  <c r="AU23" i="6" a="1"/>
  <c r="AU23" i="6" s="1"/>
  <c r="AK24" i="6" a="1"/>
  <c r="AK24" i="6" s="1"/>
  <c r="AL25" i="6" a="1"/>
  <c r="AL25" i="6" s="1"/>
  <c r="AM26" i="6" a="1"/>
  <c r="AM26" i="6" s="1"/>
  <c r="AI27" i="6" a="1"/>
  <c r="AI27" i="6" s="1"/>
  <c r="AO28" i="6" a="1"/>
  <c r="AO28" i="6" s="1"/>
  <c r="AK29" i="6" a="1"/>
  <c r="AK29" i="6" s="1"/>
  <c r="AP29" i="6" a="1"/>
  <c r="AP29" i="6" s="1"/>
  <c r="AL30" i="6" a="1"/>
  <c r="AL30" i="6" s="1"/>
  <c r="AQ30" i="6" a="1"/>
  <c r="AQ30" i="6" s="1"/>
  <c r="AM31" i="6" a="1"/>
  <c r="AM31" i="6" s="1"/>
  <c r="AS32" i="6" a="1"/>
  <c r="AS32" i="6" s="1"/>
  <c r="AO33" i="6" a="1"/>
  <c r="AO33" i="6" s="1"/>
  <c r="AT33" i="6" a="1"/>
  <c r="AT33" i="6" s="1"/>
  <c r="AP34" i="6" a="1"/>
  <c r="AP34" i="6" s="1"/>
  <c r="AU34" i="6" a="1"/>
  <c r="AU34" i="6" s="1"/>
  <c r="AQ35" i="6" a="1"/>
  <c r="AQ35" i="6" s="1"/>
  <c r="AS37" i="6" a="1"/>
  <c r="AS37" i="6" s="1"/>
  <c r="AI38" i="6" a="1"/>
  <c r="AI38" i="6" s="1"/>
  <c r="AT38" i="6" a="1"/>
  <c r="AT38" i="6" s="1"/>
  <c r="AU39" i="6" a="1"/>
  <c r="AU39" i="6" s="1"/>
  <c r="AK40" i="6" a="1"/>
  <c r="AK40" i="6" s="1"/>
  <c r="AL41" i="6" a="1"/>
  <c r="AL41" i="6" s="1"/>
  <c r="AM42" i="6" a="1"/>
  <c r="AM42" i="6" s="1"/>
  <c r="AI43" i="6" a="1"/>
  <c r="AI43" i="6" s="1"/>
  <c r="AO44" i="6" a="1"/>
  <c r="AO44" i="6" s="1"/>
  <c r="AK45" i="6" a="1"/>
  <c r="AK45" i="6" s="1"/>
  <c r="AP45" i="6" a="1"/>
  <c r="AP45" i="6" s="1"/>
  <c r="AM46" i="6" a="1"/>
  <c r="AM46" i="6" s="1"/>
  <c r="AS47" i="6" a="1"/>
  <c r="AS47" i="6" s="1"/>
  <c r="AI49" i="6" a="1"/>
  <c r="AI49" i="6" s="1"/>
  <c r="AO54" i="6" a="1"/>
  <c r="AO54" i="6" s="1"/>
  <c r="AI55" i="6" a="1"/>
  <c r="AI55" i="6" s="1"/>
  <c r="AK56" i="6" a="1"/>
  <c r="AK56" i="6" s="1"/>
  <c r="AT56" i="6" a="1"/>
  <c r="AT56" i="6" s="1"/>
  <c r="AQ62" i="6" a="1"/>
  <c r="AQ62" i="6" s="1"/>
  <c r="AP63" i="6" a="1"/>
  <c r="AP63" i="6" s="1"/>
  <c r="AU66" i="6" a="1"/>
  <c r="AU66" i="6" s="1"/>
  <c r="AV48" i="6" a="1"/>
  <c r="AV48" i="6" s="1"/>
  <c r="AJ50" i="6" a="1"/>
  <c r="AJ50" i="6" s="1"/>
  <c r="AR51" i="6" a="1"/>
  <c r="AR51" i="6" s="1"/>
  <c r="AN54" i="6" a="1"/>
  <c r="AN54" i="6" s="1"/>
  <c r="AV55" i="6" a="1"/>
  <c r="AV55" i="6" s="1"/>
  <c r="AR58" i="6" a="1"/>
  <c r="AR58" i="6" s="1"/>
  <c r="AJ61" i="6" a="1"/>
  <c r="AJ61" i="6" s="1"/>
  <c r="AV62" i="6" a="1"/>
  <c r="AV62" i="6" s="1"/>
  <c r="AN65" i="6" a="1"/>
  <c r="AN65" i="6" s="1"/>
  <c r="AJ68" i="6" a="1"/>
  <c r="AJ68" i="6" s="1"/>
  <c r="AR69" i="6" a="1"/>
  <c r="AR69" i="6" s="1"/>
  <c r="AN72" i="6" a="1"/>
  <c r="AN72" i="6" s="1"/>
  <c r="AV73" i="6" a="1"/>
  <c r="AV73" i="6" s="1"/>
  <c r="AJ75" i="6" a="1"/>
  <c r="AJ75" i="6" s="1"/>
  <c r="AR76" i="6" a="1"/>
  <c r="AR76" i="6" s="1"/>
  <c r="AN79" i="6" a="1"/>
  <c r="AN79" i="6" s="1"/>
  <c r="AV80" i="6" a="1"/>
  <c r="AV80" i="6" s="1"/>
  <c r="AN85" i="6" a="1"/>
  <c r="AN85" i="6" s="1"/>
  <c r="AR89" i="6" a="1"/>
  <c r="AR89" i="6" s="1"/>
  <c r="AV93" i="6" a="1"/>
  <c r="AV93" i="6" s="1"/>
  <c r="AJ98" i="6" a="1"/>
  <c r="AJ98" i="6" s="1"/>
  <c r="AV99" i="6" a="1"/>
  <c r="AV99" i="6" s="1"/>
  <c r="AJ105" i="6" a="1"/>
  <c r="AJ105" i="6" s="1"/>
  <c r="AV117" i="6" a="1"/>
  <c r="AV117" i="6" s="1"/>
  <c r="AR169" i="6" a="1"/>
  <c r="AR169" i="6" s="1"/>
  <c r="AJ65" i="6" a="1"/>
  <c r="AJ65" i="6" s="1"/>
  <c r="AV66" i="6" a="1"/>
  <c r="AV66" i="6" s="1"/>
  <c r="AN69" i="6" a="1"/>
  <c r="AN69" i="6" s="1"/>
  <c r="AJ72" i="6" a="1"/>
  <c r="AJ72" i="6" s="1"/>
  <c r="AR73" i="6" a="1"/>
  <c r="AR73" i="6" s="1"/>
  <c r="AN76" i="6" a="1"/>
  <c r="AN76" i="6" s="1"/>
  <c r="AV77" i="6" a="1"/>
  <c r="AV77" i="6" s="1"/>
  <c r="AJ79" i="6" a="1"/>
  <c r="AJ79" i="6" s="1"/>
  <c r="AR80" i="6" a="1"/>
  <c r="AR80" i="6" s="1"/>
  <c r="AV82" i="6" a="1"/>
  <c r="AV82" i="6" s="1"/>
  <c r="AR83" i="6" a="1"/>
  <c r="AR83" i="6" s="1"/>
  <c r="AN84" i="6" a="1"/>
  <c r="AN84" i="6" s="1"/>
  <c r="AJ86" i="6" a="1"/>
  <c r="AJ86" i="6" s="1"/>
  <c r="AV87" i="6" a="1"/>
  <c r="AV87" i="6" s="1"/>
  <c r="AR88" i="6" a="1"/>
  <c r="AR88" i="6" s="1"/>
  <c r="AN90" i="6" a="1"/>
  <c r="AN90" i="6" s="1"/>
  <c r="AJ91" i="6" a="1"/>
  <c r="AJ91" i="6" s="1"/>
  <c r="AV92" i="6" a="1"/>
  <c r="AV92" i="6" s="1"/>
  <c r="AR94" i="6" a="1"/>
  <c r="AR94" i="6" s="1"/>
  <c r="AJ97" i="6" a="1"/>
  <c r="AJ97" i="6" s="1"/>
  <c r="AR97" i="6" a="1"/>
  <c r="AR97" i="6" s="1"/>
  <c r="AJ103" i="6" a="1"/>
  <c r="AJ103" i="6" s="1"/>
  <c r="AN352" i="6" a="1"/>
  <c r="AN352" i="6" s="1"/>
  <c r="AN344" i="6" a="1"/>
  <c r="AN344" i="6" s="1"/>
  <c r="AN336" i="6" a="1"/>
  <c r="AN336" i="6" s="1"/>
  <c r="AN353" i="6" a="1"/>
  <c r="AN353" i="6" s="1"/>
  <c r="AN345" i="6" a="1"/>
  <c r="AN345" i="6" s="1"/>
  <c r="AN337" i="6" a="1"/>
  <c r="AN337" i="6" s="1"/>
  <c r="AN354" i="6" a="1"/>
  <c r="AN354" i="6" s="1"/>
  <c r="AN355" i="6" a="1"/>
  <c r="AN355" i="6" s="1"/>
  <c r="AN347" i="6" a="1"/>
  <c r="AN347" i="6" s="1"/>
  <c r="AN339" i="6" a="1"/>
  <c r="AN339" i="6" s="1"/>
  <c r="AN356" i="6" a="1"/>
  <c r="AN356" i="6" s="1"/>
  <c r="AN348" i="6" a="1"/>
  <c r="AN348" i="6" s="1"/>
  <c r="AN340" i="6" a="1"/>
  <c r="AN340" i="6" s="1"/>
  <c r="AN357" i="6" a="1"/>
  <c r="AN357" i="6" s="1"/>
  <c r="AN349" i="6" a="1"/>
  <c r="AN349" i="6" s="1"/>
  <c r="AN341" i="6" a="1"/>
  <c r="AN341" i="6" s="1"/>
  <c r="AN358" i="6" a="1"/>
  <c r="AN358" i="6" s="1"/>
  <c r="AN350" i="6" a="1"/>
  <c r="AN350" i="6" s="1"/>
  <c r="AN342" i="6" a="1"/>
  <c r="AN342" i="6" s="1"/>
  <c r="AN335" i="6" a="1"/>
  <c r="AN335" i="6" s="1"/>
  <c r="AN328" i="6" a="1"/>
  <c r="AN328" i="6" s="1"/>
  <c r="AN317" i="6" a="1"/>
  <c r="AN317" i="6" s="1"/>
  <c r="AN331" i="6" a="1"/>
  <c r="AN331" i="6" s="1"/>
  <c r="AN324" i="6" a="1"/>
  <c r="AN324" i="6" s="1"/>
  <c r="AN338" i="6" a="1"/>
  <c r="AN338" i="6" s="1"/>
  <c r="AN334" i="6" a="1"/>
  <c r="AN334" i="6" s="1"/>
  <c r="AN327" i="6" a="1"/>
  <c r="AN327" i="6" s="1"/>
  <c r="AN320" i="6" a="1"/>
  <c r="AN320" i="6" s="1"/>
  <c r="AN351" i="6" a="1"/>
  <c r="AN351" i="6" s="1"/>
  <c r="AN343" i="6" a="1"/>
  <c r="AN343" i="6" s="1"/>
  <c r="AN330" i="6" a="1"/>
  <c r="AN330" i="6" s="1"/>
  <c r="AN323" i="6" a="1"/>
  <c r="AN323" i="6" s="1"/>
  <c r="AN316" i="6" a="1"/>
  <c r="AN316" i="6" s="1"/>
  <c r="AN333" i="6" a="1"/>
  <c r="AN333" i="6" s="1"/>
  <c r="AN326" i="6" a="1"/>
  <c r="AN326" i="6" s="1"/>
  <c r="AN319" i="6" a="1"/>
  <c r="AN319" i="6" s="1"/>
  <c r="AN329" i="6" a="1"/>
  <c r="AN329" i="6" s="1"/>
  <c r="AN322" i="6" a="1"/>
  <c r="AN322" i="6" s="1"/>
  <c r="AN315" i="6" a="1"/>
  <c r="AN315" i="6" s="1"/>
  <c r="AN346" i="6" a="1"/>
  <c r="AN346" i="6" s="1"/>
  <c r="AN325" i="6" a="1"/>
  <c r="AN325" i="6" s="1"/>
  <c r="AN318" i="6" a="1"/>
  <c r="AN318" i="6" s="1"/>
  <c r="AN313" i="6" a="1"/>
  <c r="AN313" i="6" s="1"/>
  <c r="AN309" i="6" a="1"/>
  <c r="AN309" i="6" s="1"/>
  <c r="AN302" i="6" a="1"/>
  <c r="AN302" i="6" s="1"/>
  <c r="AN305" i="6" a="1"/>
  <c r="AN305" i="6" s="1"/>
  <c r="AN332" i="6" a="1"/>
  <c r="AN332" i="6" s="1"/>
  <c r="AN314" i="6" a="1"/>
  <c r="AN314" i="6" s="1"/>
  <c r="AN308" i="6" a="1"/>
  <c r="AN308" i="6" s="1"/>
  <c r="AN301" i="6" a="1"/>
  <c r="AN301" i="6" s="1"/>
  <c r="AN321" i="6" a="1"/>
  <c r="AN321" i="6" s="1"/>
  <c r="AN312" i="6" a="1"/>
  <c r="AN312" i="6" s="1"/>
  <c r="AN311" i="6" a="1"/>
  <c r="AN311" i="6" s="1"/>
  <c r="AN304" i="6" a="1"/>
  <c r="AN304" i="6" s="1"/>
  <c r="AN307" i="6" a="1"/>
  <c r="AN307" i="6" s="1"/>
  <c r="AN310" i="6" a="1"/>
  <c r="AN310" i="6" s="1"/>
  <c r="AN303" i="6" a="1"/>
  <c r="AN303" i="6" s="1"/>
  <c r="AN306" i="6" a="1"/>
  <c r="AN306" i="6" s="1"/>
  <c r="AN300" i="6" a="1"/>
  <c r="AN300" i="6" s="1"/>
  <c r="AN294" i="6" a="1"/>
  <c r="AN294" i="6" s="1"/>
  <c r="AN289" i="6" a="1"/>
  <c r="AN289" i="6" s="1"/>
  <c r="AN295" i="6" a="1"/>
  <c r="AN295" i="6" s="1"/>
  <c r="AN296" i="6" a="1"/>
  <c r="AN296" i="6" s="1"/>
  <c r="AN290" i="6" a="1"/>
  <c r="AN290" i="6" s="1"/>
  <c r="AN299" i="6" a="1"/>
  <c r="AN299" i="6" s="1"/>
  <c r="AN291" i="6" a="1"/>
  <c r="AN291" i="6" s="1"/>
  <c r="AN297" i="6" a="1"/>
  <c r="AN297" i="6" s="1"/>
  <c r="AN292" i="6" a="1"/>
  <c r="AN292" i="6" s="1"/>
  <c r="AN287" i="6" a="1"/>
  <c r="AN287" i="6" s="1"/>
  <c r="AN280" i="6" a="1"/>
  <c r="AN280" i="6" s="1"/>
  <c r="AN298" i="6" a="1"/>
  <c r="AN298" i="6" s="1"/>
  <c r="AN293" i="6" a="1"/>
  <c r="AN293" i="6" s="1"/>
  <c r="AN288" i="6" a="1"/>
  <c r="AN288" i="6" s="1"/>
  <c r="AN281" i="6" a="1"/>
  <c r="AN281" i="6" s="1"/>
  <c r="AN275" i="6" a="1"/>
  <c r="AN275" i="6" s="1"/>
  <c r="AN272" i="6" a="1"/>
  <c r="AN272" i="6" s="1"/>
  <c r="AN286" i="6" a="1"/>
  <c r="AN286" i="6" s="1"/>
  <c r="AN279" i="6" a="1"/>
  <c r="AN279" i="6" s="1"/>
  <c r="AN282" i="6" a="1"/>
  <c r="AN282" i="6" s="1"/>
  <c r="AN278" i="6" a="1"/>
  <c r="AN278" i="6" s="1"/>
  <c r="AN277" i="6" a="1"/>
  <c r="AN277" i="6" s="1"/>
  <c r="AN271" i="6" a="1"/>
  <c r="AN271" i="6" s="1"/>
  <c r="AN276" i="6" a="1"/>
  <c r="AN276" i="6" s="1"/>
  <c r="AN283" i="6" a="1"/>
  <c r="AN283" i="6" s="1"/>
  <c r="AN284" i="6" a="1"/>
  <c r="AN284" i="6" s="1"/>
  <c r="AN274" i="6" a="1"/>
  <c r="AN274" i="6" s="1"/>
  <c r="AN273" i="6" a="1"/>
  <c r="AN273" i="6" s="1"/>
  <c r="AN285" i="6" a="1"/>
  <c r="AN285" i="6" s="1"/>
  <c r="AN261" i="6" a="1"/>
  <c r="AN261" i="6" s="1"/>
  <c r="AN269" i="6" a="1"/>
  <c r="AN269" i="6" s="1"/>
  <c r="AN264" i="6" a="1"/>
  <c r="AN264" i="6" s="1"/>
  <c r="AN267" i="6" a="1"/>
  <c r="AN267" i="6" s="1"/>
  <c r="AN260" i="6" a="1"/>
  <c r="AN260" i="6" s="1"/>
  <c r="AN270" i="6" a="1"/>
  <c r="AN270" i="6" s="1"/>
  <c r="AN268" i="6" a="1"/>
  <c r="AN268" i="6" s="1"/>
  <c r="AN263" i="6" a="1"/>
  <c r="AN263" i="6" s="1"/>
  <c r="AN266" i="6" a="1"/>
  <c r="AN266" i="6" s="1"/>
  <c r="AN259" i="6" a="1"/>
  <c r="AN259" i="6" s="1"/>
  <c r="AN262" i="6" a="1"/>
  <c r="AN262" i="6" s="1"/>
  <c r="AN256" i="6" a="1"/>
  <c r="AN256" i="6" s="1"/>
  <c r="AN249" i="6" a="1"/>
  <c r="AN249" i="6" s="1"/>
  <c r="AN242" i="6" a="1"/>
  <c r="AN242" i="6" s="1"/>
  <c r="AN235" i="6" a="1"/>
  <c r="AN235" i="6" s="1"/>
  <c r="AN252" i="6" a="1"/>
  <c r="AN252" i="6" s="1"/>
  <c r="AN245" i="6" a="1"/>
  <c r="AN245" i="6" s="1"/>
  <c r="AN238" i="6" a="1"/>
  <c r="AN238" i="6" s="1"/>
  <c r="AN265" i="6" a="1"/>
  <c r="AN265" i="6" s="1"/>
  <c r="AN248" i="6" a="1"/>
  <c r="AN248" i="6" s="1"/>
  <c r="AN241" i="6" a="1"/>
  <c r="AN241" i="6" s="1"/>
  <c r="AN234" i="6" a="1"/>
  <c r="AN234" i="6" s="1"/>
  <c r="AN258" i="6" a="1"/>
  <c r="AN258" i="6" s="1"/>
  <c r="AN255" i="6" a="1"/>
  <c r="AN255" i="6" s="1"/>
  <c r="AN244" i="6" a="1"/>
  <c r="AN244" i="6" s="1"/>
  <c r="AN237" i="6" a="1"/>
  <c r="AN237" i="6" s="1"/>
  <c r="AN251" i="6" a="1"/>
  <c r="AN251" i="6" s="1"/>
  <c r="AN240" i="6" a="1"/>
  <c r="AN240" i="6" s="1"/>
  <c r="AN233" i="6" a="1"/>
  <c r="AN233" i="6" s="1"/>
  <c r="AN257" i="6" a="1"/>
  <c r="AN257" i="6" s="1"/>
  <c r="AN250" i="6" a="1"/>
  <c r="AN250" i="6" s="1"/>
  <c r="AN243" i="6" a="1"/>
  <c r="AN243" i="6" s="1"/>
  <c r="AN232" i="6" a="1"/>
  <c r="AN232" i="6" s="1"/>
  <c r="AN253" i="6" a="1"/>
  <c r="AN253" i="6" s="1"/>
  <c r="AN246" i="6" a="1"/>
  <c r="AN246" i="6" s="1"/>
  <c r="AN239" i="6" a="1"/>
  <c r="AN239" i="6" s="1"/>
  <c r="AN247" i="6" a="1"/>
  <c r="AN247" i="6" s="1"/>
  <c r="AN236" i="6" a="1"/>
  <c r="AN236" i="6" s="1"/>
  <c r="AN230" i="6" a="1"/>
  <c r="AN230" i="6" s="1"/>
  <c r="AN254" i="6" a="1"/>
  <c r="AN254" i="6" s="1"/>
  <c r="AN226" i="6" a="1"/>
  <c r="AN226" i="6" s="1"/>
  <c r="AN229" i="6" a="1"/>
  <c r="AN229" i="6" s="1"/>
  <c r="AN225" i="6" a="1"/>
  <c r="AN225" i="6" s="1"/>
  <c r="AN224" i="6" a="1"/>
  <c r="AN224" i="6" s="1"/>
  <c r="AN231" i="6" a="1"/>
  <c r="AN231" i="6" s="1"/>
  <c r="AN222" i="6" a="1"/>
  <c r="AN222" i="6" s="1"/>
  <c r="AN220" i="6" a="1"/>
  <c r="AN220" i="6" s="1"/>
  <c r="AN209" i="6" a="1"/>
  <c r="AN209" i="6" s="1"/>
  <c r="AN202" i="6" a="1"/>
  <c r="AN202" i="6" s="1"/>
  <c r="AN195" i="6" a="1"/>
  <c r="AN195" i="6" s="1"/>
  <c r="AN188" i="6" a="1"/>
  <c r="AN188" i="6" s="1"/>
  <c r="AN216" i="6" a="1"/>
  <c r="AN216" i="6" s="1"/>
  <c r="AN205" i="6" a="1"/>
  <c r="AN205" i="6" s="1"/>
  <c r="AN198" i="6" a="1"/>
  <c r="AN198" i="6" s="1"/>
  <c r="AN191" i="6" a="1"/>
  <c r="AN191" i="6" s="1"/>
  <c r="AN223" i="6" a="1"/>
  <c r="AN223" i="6" s="1"/>
  <c r="AN219" i="6" a="1"/>
  <c r="AN219" i="6" s="1"/>
  <c r="AN212" i="6" a="1"/>
  <c r="AN212" i="6" s="1"/>
  <c r="AN201" i="6" a="1"/>
  <c r="AN201" i="6" s="1"/>
  <c r="AN194" i="6" a="1"/>
  <c r="AN194" i="6" s="1"/>
  <c r="AN215" i="6" a="1"/>
  <c r="AN215" i="6" s="1"/>
  <c r="AN208" i="6" a="1"/>
  <c r="AN208" i="6" s="1"/>
  <c r="AN197" i="6" a="1"/>
  <c r="AN197" i="6" s="1"/>
  <c r="AN218" i="6" a="1"/>
  <c r="AN218" i="6" s="1"/>
  <c r="AN211" i="6" a="1"/>
  <c r="AN211" i="6" s="1"/>
  <c r="AN204" i="6" a="1"/>
  <c r="AN204" i="6" s="1"/>
  <c r="AN193" i="6" a="1"/>
  <c r="AN193" i="6" s="1"/>
  <c r="AN221" i="6" a="1"/>
  <c r="AN221" i="6" s="1"/>
  <c r="AN214" i="6" a="1"/>
  <c r="AN214" i="6" s="1"/>
  <c r="AN207" i="6" a="1"/>
  <c r="AN207" i="6" s="1"/>
  <c r="AN200" i="6" a="1"/>
  <c r="AN200" i="6" s="1"/>
  <c r="AN189" i="6" a="1"/>
  <c r="AN189" i="6" s="1"/>
  <c r="AN227" i="6" a="1"/>
  <c r="AN227" i="6" s="1"/>
  <c r="AN217" i="6" a="1"/>
  <c r="AN217" i="6" s="1"/>
  <c r="AN210" i="6" a="1"/>
  <c r="AN210" i="6" s="1"/>
  <c r="AN203" i="6" a="1"/>
  <c r="AN203" i="6" s="1"/>
  <c r="AN196" i="6" a="1"/>
  <c r="AN196" i="6" s="1"/>
  <c r="AN228" i="6" a="1"/>
  <c r="AN228" i="6" s="1"/>
  <c r="AN213" i="6" a="1"/>
  <c r="AN213" i="6" s="1"/>
  <c r="AN206" i="6" a="1"/>
  <c r="AN206" i="6" s="1"/>
  <c r="AN199" i="6" a="1"/>
  <c r="AN199" i="6" s="1"/>
  <c r="AN192" i="6" a="1"/>
  <c r="AN192" i="6" s="1"/>
  <c r="AN179" i="6" a="1"/>
  <c r="AN179" i="6" s="1"/>
  <c r="AN186" i="6" a="1"/>
  <c r="AN186" i="6" s="1"/>
  <c r="AN175" i="6" a="1"/>
  <c r="AN175" i="6" s="1"/>
  <c r="AN182" i="6" a="1"/>
  <c r="AN182" i="6" s="1"/>
  <c r="AN190" i="6" a="1"/>
  <c r="AN190" i="6" s="1"/>
  <c r="AN185" i="6" a="1"/>
  <c r="AN185" i="6" s="1"/>
  <c r="AN178" i="6" a="1"/>
  <c r="AN178" i="6" s="1"/>
  <c r="AN181" i="6" a="1"/>
  <c r="AN181" i="6" s="1"/>
  <c r="AN174" i="6" a="1"/>
  <c r="AN174" i="6" s="1"/>
  <c r="AN184" i="6" a="1"/>
  <c r="AN184" i="6" s="1"/>
  <c r="AN177" i="6" a="1"/>
  <c r="AN177" i="6" s="1"/>
  <c r="AN187" i="6" a="1"/>
  <c r="AN187" i="6" s="1"/>
  <c r="AN180" i="6" a="1"/>
  <c r="AN180" i="6" s="1"/>
  <c r="AN168" i="6" a="1"/>
  <c r="AN168" i="6" s="1"/>
  <c r="AN161" i="6" a="1"/>
  <c r="AN161" i="6" s="1"/>
  <c r="AN154" i="6" a="1"/>
  <c r="AN154" i="6" s="1"/>
  <c r="AN143" i="6" a="1"/>
  <c r="AN143" i="6" s="1"/>
  <c r="AN136" i="6" a="1"/>
  <c r="AN136" i="6" s="1"/>
  <c r="AN129" i="6" a="1"/>
  <c r="AN129" i="6" s="1"/>
  <c r="AN171" i="6" a="1"/>
  <c r="AN171" i="6" s="1"/>
  <c r="AN164" i="6" a="1"/>
  <c r="AN164" i="6" s="1"/>
  <c r="AN157" i="6" a="1"/>
  <c r="AN157" i="6" s="1"/>
  <c r="AN150" i="6" a="1"/>
  <c r="AN150" i="6" s="1"/>
  <c r="AN139" i="6" a="1"/>
  <c r="AN139" i="6" s="1"/>
  <c r="AN132" i="6" a="1"/>
  <c r="AN132" i="6" s="1"/>
  <c r="AN125" i="6" a="1"/>
  <c r="AN125" i="6" s="1"/>
  <c r="AN176" i="6" a="1"/>
  <c r="AN176" i="6" s="1"/>
  <c r="AN167" i="6" a="1"/>
  <c r="AN167" i="6" s="1"/>
  <c r="AN160" i="6" a="1"/>
  <c r="AN160" i="6" s="1"/>
  <c r="AN153" i="6" a="1"/>
  <c r="AN153" i="6" s="1"/>
  <c r="AN146" i="6" a="1"/>
  <c r="AN146" i="6" s="1"/>
  <c r="AN135" i="6" a="1"/>
  <c r="AN135" i="6" s="1"/>
  <c r="AN128" i="6" a="1"/>
  <c r="AN128" i="6" s="1"/>
  <c r="AN183" i="6" a="1"/>
  <c r="AN183" i="6" s="1"/>
  <c r="AN163" i="6" a="1"/>
  <c r="AN163" i="6" s="1"/>
  <c r="AN156" i="6" a="1"/>
  <c r="AN156" i="6" s="1"/>
  <c r="AN149" i="6" a="1"/>
  <c r="AN149" i="6" s="1"/>
  <c r="AN142" i="6" a="1"/>
  <c r="AN142" i="6" s="1"/>
  <c r="AN131" i="6" a="1"/>
  <c r="AN131" i="6" s="1"/>
  <c r="AN124" i="6" a="1"/>
  <c r="AN124" i="6" s="1"/>
  <c r="AN170" i="6" a="1"/>
  <c r="AN170" i="6" s="1"/>
  <c r="AN159" i="6" a="1"/>
  <c r="AN159" i="6" s="1"/>
  <c r="AN152" i="6" a="1"/>
  <c r="AN152" i="6" s="1"/>
  <c r="AN145" i="6" a="1"/>
  <c r="AN145" i="6" s="1"/>
  <c r="AN138" i="6" a="1"/>
  <c r="AN138" i="6" s="1"/>
  <c r="AN127" i="6" a="1"/>
  <c r="AN127" i="6" s="1"/>
  <c r="AN173" i="6" a="1"/>
  <c r="AN173" i="6" s="1"/>
  <c r="AN166" i="6" a="1"/>
  <c r="AN166" i="6" s="1"/>
  <c r="AN155" i="6" a="1"/>
  <c r="AN155" i="6" s="1"/>
  <c r="AN148" i="6" a="1"/>
  <c r="AN148" i="6" s="1"/>
  <c r="AN141" i="6" a="1"/>
  <c r="AN141" i="6" s="1"/>
  <c r="AN134" i="6" a="1"/>
  <c r="AN134" i="6" s="1"/>
  <c r="AN169" i="6" a="1"/>
  <c r="AN169" i="6" s="1"/>
  <c r="AN151" i="6" a="1"/>
  <c r="AN151" i="6" s="1"/>
  <c r="AN123" i="6" a="1"/>
  <c r="AN123" i="6" s="1"/>
  <c r="AN119" i="6" a="1"/>
  <c r="AN119" i="6" s="1"/>
  <c r="AN112" i="6" a="1"/>
  <c r="AN112" i="6" s="1"/>
  <c r="AN105" i="6" a="1"/>
  <c r="AN105" i="6" s="1"/>
  <c r="AN147" i="6" a="1"/>
  <c r="AN147" i="6" s="1"/>
  <c r="AN130" i="6" a="1"/>
  <c r="AN130" i="6" s="1"/>
  <c r="AN115" i="6" a="1"/>
  <c r="AN115" i="6" s="1"/>
  <c r="AN108" i="6" a="1"/>
  <c r="AN108" i="6" s="1"/>
  <c r="AN101" i="6" a="1"/>
  <c r="AN101" i="6" s="1"/>
  <c r="AN172" i="6" a="1"/>
  <c r="AN172" i="6" s="1"/>
  <c r="AN165" i="6" a="1"/>
  <c r="AN165" i="6" s="1"/>
  <c r="AN111" i="6" a="1"/>
  <c r="AN111" i="6" s="1"/>
  <c r="AN104" i="6" a="1"/>
  <c r="AN104" i="6" s="1"/>
  <c r="AN133" i="6" a="1"/>
  <c r="AN133" i="6" s="1"/>
  <c r="AN118" i="6" a="1"/>
  <c r="AN118" i="6" s="1"/>
  <c r="AN107" i="6" a="1"/>
  <c r="AN107" i="6" s="1"/>
  <c r="AN122" i="6" a="1"/>
  <c r="AN122" i="6" s="1"/>
  <c r="AN121" i="6" a="1"/>
  <c r="AN121" i="6" s="1"/>
  <c r="AN114" i="6" a="1"/>
  <c r="AN114" i="6" s="1"/>
  <c r="AN103" i="6" a="1"/>
  <c r="AN103" i="6" s="1"/>
  <c r="AN96" i="6" a="1"/>
  <c r="AN96" i="6" s="1"/>
  <c r="AN158" i="6" a="1"/>
  <c r="AN158" i="6" s="1"/>
  <c r="AN137" i="6" a="1"/>
  <c r="AN137" i="6" s="1"/>
  <c r="AN117" i="6" a="1"/>
  <c r="AN117" i="6" s="1"/>
  <c r="AN110" i="6" a="1"/>
  <c r="AN110" i="6" s="1"/>
  <c r="AN99" i="6" a="1"/>
  <c r="AN99" i="6" s="1"/>
  <c r="AN120" i="6" a="1"/>
  <c r="AN120" i="6" s="1"/>
  <c r="AN113" i="6" a="1"/>
  <c r="AN113" i="6" s="1"/>
  <c r="AN106" i="6" a="1"/>
  <c r="AN106" i="6" s="1"/>
  <c r="AV358" i="6" a="1"/>
  <c r="AV358" i="6" s="1"/>
  <c r="AV352" i="6" a="1"/>
  <c r="AV352" i="6" s="1"/>
  <c r="AV344" i="6" a="1"/>
  <c r="AV344" i="6" s="1"/>
  <c r="AV336" i="6" a="1"/>
  <c r="AV336" i="6" s="1"/>
  <c r="AV353" i="6" a="1"/>
  <c r="AV353" i="6" s="1"/>
  <c r="AV345" i="6" a="1"/>
  <c r="AV345" i="6" s="1"/>
  <c r="AV337" i="6" a="1"/>
  <c r="AV337" i="6" s="1"/>
  <c r="AV354" i="6" a="1"/>
  <c r="AV354" i="6" s="1"/>
  <c r="AV355" i="6" a="1"/>
  <c r="AV355" i="6" s="1"/>
  <c r="AV347" i="6" a="1"/>
  <c r="AV347" i="6" s="1"/>
  <c r="AV339" i="6" a="1"/>
  <c r="AV339" i="6" s="1"/>
  <c r="AV356" i="6" a="1"/>
  <c r="AV356" i="6" s="1"/>
  <c r="AV348" i="6" a="1"/>
  <c r="AV348" i="6" s="1"/>
  <c r="AV340" i="6" a="1"/>
  <c r="AV340" i="6" s="1"/>
  <c r="AV357" i="6" a="1"/>
  <c r="AV357" i="6" s="1"/>
  <c r="AV349" i="6" a="1"/>
  <c r="AV349" i="6" s="1"/>
  <c r="AV341" i="6" a="1"/>
  <c r="AV341" i="6" s="1"/>
  <c r="AV350" i="6" a="1"/>
  <c r="AV350" i="6" s="1"/>
  <c r="AV342" i="6" a="1"/>
  <c r="AV342" i="6" s="1"/>
  <c r="AV338" i="6" a="1"/>
  <c r="AV338" i="6" s="1"/>
  <c r="AV325" i="6" a="1"/>
  <c r="AV325" i="6" s="1"/>
  <c r="AV318" i="6" a="1"/>
  <c r="AV318" i="6" s="1"/>
  <c r="AV343" i="6" a="1"/>
  <c r="AV343" i="6" s="1"/>
  <c r="AV332" i="6" a="1"/>
  <c r="AV332" i="6" s="1"/>
  <c r="AV321" i="6" a="1"/>
  <c r="AV321" i="6" s="1"/>
  <c r="AV351" i="6" a="1"/>
  <c r="AV351" i="6" s="1"/>
  <c r="AV335" i="6" a="1"/>
  <c r="AV335" i="6" s="1"/>
  <c r="AV328" i="6" a="1"/>
  <c r="AV328" i="6" s="1"/>
  <c r="AV317" i="6" a="1"/>
  <c r="AV317" i="6" s="1"/>
  <c r="AV331" i="6" a="1"/>
  <c r="AV331" i="6" s="1"/>
  <c r="AV324" i="6" a="1"/>
  <c r="AV324" i="6" s="1"/>
  <c r="AV313" i="6" a="1"/>
  <c r="AV313" i="6" s="1"/>
  <c r="AV346" i="6" a="1"/>
  <c r="AV346" i="6" s="1"/>
  <c r="AV334" i="6" a="1"/>
  <c r="AV334" i="6" s="1"/>
  <c r="AV327" i="6" a="1"/>
  <c r="AV327" i="6" s="1"/>
  <c r="AV320" i="6" a="1"/>
  <c r="AV320" i="6" s="1"/>
  <c r="AV330" i="6" a="1"/>
  <c r="AV330" i="6" s="1"/>
  <c r="AV323" i="6" a="1"/>
  <c r="AV323" i="6" s="1"/>
  <c r="AV316" i="6" a="1"/>
  <c r="AV316" i="6" s="1"/>
  <c r="AV333" i="6" a="1"/>
  <c r="AV333" i="6" s="1"/>
  <c r="AV326" i="6" a="1"/>
  <c r="AV326" i="6" s="1"/>
  <c r="AV319" i="6" a="1"/>
  <c r="AV319" i="6" s="1"/>
  <c r="AV312" i="6" a="1"/>
  <c r="AV312" i="6" s="1"/>
  <c r="AV310" i="6" a="1"/>
  <c r="AV310" i="6" s="1"/>
  <c r="AV303" i="6" a="1"/>
  <c r="AV303" i="6" s="1"/>
  <c r="AV306" i="6" a="1"/>
  <c r="AV306" i="6" s="1"/>
  <c r="AV300" i="6" a="1"/>
  <c r="AV300" i="6" s="1"/>
  <c r="AV309" i="6" a="1"/>
  <c r="AV309" i="6" s="1"/>
  <c r="AV305" i="6" a="1"/>
  <c r="AV305" i="6" s="1"/>
  <c r="AV301" i="6" a="1"/>
  <c r="AV301" i="6" s="1"/>
  <c r="AV314" i="6" a="1"/>
  <c r="AV314" i="6" s="1"/>
  <c r="AV308" i="6" a="1"/>
  <c r="AV308" i="6" s="1"/>
  <c r="AV322" i="6" a="1"/>
  <c r="AV322" i="6" s="1"/>
  <c r="AV311" i="6" a="1"/>
  <c r="AV311" i="6" s="1"/>
  <c r="AV304" i="6" a="1"/>
  <c r="AV304" i="6" s="1"/>
  <c r="AV297" i="6" a="1"/>
  <c r="AV297" i="6" s="1"/>
  <c r="AV292" i="6" a="1"/>
  <c r="AV292" i="6" s="1"/>
  <c r="AV302" i="6" a="1"/>
  <c r="AV302" i="6" s="1"/>
  <c r="AV299" i="6" a="1"/>
  <c r="AV299" i="6" s="1"/>
  <c r="AV287" i="6" a="1"/>
  <c r="AV287" i="6" s="1"/>
  <c r="AV279" i="6" a="1"/>
  <c r="AV279" i="6" s="1"/>
  <c r="AV293" i="6" a="1"/>
  <c r="AV293" i="6" s="1"/>
  <c r="AV288" i="6" a="1"/>
  <c r="AV288" i="6" s="1"/>
  <c r="AV307" i="6" a="1"/>
  <c r="AV307" i="6" s="1"/>
  <c r="AV283" i="6" a="1"/>
  <c r="AV283" i="6" s="1"/>
  <c r="AV329" i="6" a="1"/>
  <c r="AV329" i="6" s="1"/>
  <c r="AV298" i="6" a="1"/>
  <c r="AV298" i="6" s="1"/>
  <c r="AV294" i="6" a="1"/>
  <c r="AV294" i="6" s="1"/>
  <c r="AV289" i="6" a="1"/>
  <c r="AV289" i="6" s="1"/>
  <c r="AV315" i="6" a="1"/>
  <c r="AV315" i="6" s="1"/>
  <c r="AV295" i="6" a="1"/>
  <c r="AV295" i="6" s="1"/>
  <c r="AV296" i="6" a="1"/>
  <c r="AV296" i="6" s="1"/>
  <c r="AV290" i="6" a="1"/>
  <c r="AV290" i="6" s="1"/>
  <c r="AV280" i="6" a="1"/>
  <c r="AV280" i="6" s="1"/>
  <c r="AV281" i="6" a="1"/>
  <c r="AV281" i="6" s="1"/>
  <c r="AV278" i="6" a="1"/>
  <c r="AV278" i="6" s="1"/>
  <c r="AV277" i="6" a="1"/>
  <c r="AV277" i="6" s="1"/>
  <c r="AV273" i="6" a="1"/>
  <c r="AV273" i="6" s="1"/>
  <c r="AV269" i="6" a="1"/>
  <c r="AV269" i="6" s="1"/>
  <c r="AV276" i="6" a="1"/>
  <c r="AV276" i="6" s="1"/>
  <c r="AV274" i="6" a="1"/>
  <c r="AV274" i="6" s="1"/>
  <c r="AV272" i="6" a="1"/>
  <c r="AV272" i="6" s="1"/>
  <c r="AV286" i="6" a="1"/>
  <c r="AV286" i="6" s="1"/>
  <c r="AV282" i="6" a="1"/>
  <c r="AV282" i="6" s="1"/>
  <c r="AV268" i="6" a="1"/>
  <c r="AV268" i="6" s="1"/>
  <c r="AV271" i="6" a="1"/>
  <c r="AV271" i="6" s="1"/>
  <c r="AV291" i="6" a="1"/>
  <c r="AV291" i="6" s="1"/>
  <c r="AV284" i="6" a="1"/>
  <c r="AV284" i="6" s="1"/>
  <c r="AV285" i="6" a="1"/>
  <c r="AV285" i="6" s="1"/>
  <c r="AV270" i="6" a="1"/>
  <c r="AV270" i="6" s="1"/>
  <c r="AV262" i="6" a="1"/>
  <c r="AV262" i="6" s="1"/>
  <c r="AV265" i="6" a="1"/>
  <c r="AV265" i="6" s="1"/>
  <c r="AV258" i="6" a="1"/>
  <c r="AV258" i="6" s="1"/>
  <c r="AV261" i="6" a="1"/>
  <c r="AV261" i="6" s="1"/>
  <c r="AV275" i="6" a="1"/>
  <c r="AV275" i="6" s="1"/>
  <c r="AV264" i="6" a="1"/>
  <c r="AV264" i="6" s="1"/>
  <c r="AV260" i="6" a="1"/>
  <c r="AV260" i="6" s="1"/>
  <c r="AV257" i="6" a="1"/>
  <c r="AV257" i="6" s="1"/>
  <c r="AV267" i="6" a="1"/>
  <c r="AV267" i="6" s="1"/>
  <c r="AV263" i="6" a="1"/>
  <c r="AV263" i="6" s="1"/>
  <c r="AV250" i="6" a="1"/>
  <c r="AV250" i="6" s="1"/>
  <c r="AV243" i="6" a="1"/>
  <c r="AV243" i="6" s="1"/>
  <c r="AV253" i="6" a="1"/>
  <c r="AV253" i="6" s="1"/>
  <c r="AV246" i="6" a="1"/>
  <c r="AV246" i="6" s="1"/>
  <c r="AV239" i="6" a="1"/>
  <c r="AV239" i="6" s="1"/>
  <c r="AV256" i="6" a="1"/>
  <c r="AV256" i="6" s="1"/>
  <c r="AV249" i="6" a="1"/>
  <c r="AV249" i="6" s="1"/>
  <c r="AV242" i="6" a="1"/>
  <c r="AV242" i="6" s="1"/>
  <c r="AV235" i="6" a="1"/>
  <c r="AV235" i="6" s="1"/>
  <c r="AV252" i="6" a="1"/>
  <c r="AV252" i="6" s="1"/>
  <c r="AV245" i="6" a="1"/>
  <c r="AV245" i="6" s="1"/>
  <c r="AV238" i="6" a="1"/>
  <c r="AV238" i="6" s="1"/>
  <c r="AV266" i="6" a="1"/>
  <c r="AV266" i="6" s="1"/>
  <c r="AV248" i="6" a="1"/>
  <c r="AV248" i="6" s="1"/>
  <c r="AV241" i="6" a="1"/>
  <c r="AV241" i="6" s="1"/>
  <c r="AV234" i="6" a="1"/>
  <c r="AV234" i="6" s="1"/>
  <c r="AV251" i="6" a="1"/>
  <c r="AV251" i="6" s="1"/>
  <c r="AV240" i="6" a="1"/>
  <c r="AV240" i="6" s="1"/>
  <c r="AV233" i="6" a="1"/>
  <c r="AV233" i="6" s="1"/>
  <c r="AV259" i="6" a="1"/>
  <c r="AV259" i="6" s="1"/>
  <c r="AV254" i="6" a="1"/>
  <c r="AV254" i="6" s="1"/>
  <c r="AV247" i="6" a="1"/>
  <c r="AV247" i="6" s="1"/>
  <c r="AV236" i="6" a="1"/>
  <c r="AV236" i="6" s="1"/>
  <c r="AV231" i="6" a="1"/>
  <c r="AV231" i="6" s="1"/>
  <c r="AV227" i="6" a="1"/>
  <c r="AV227" i="6" s="1"/>
  <c r="AV237" i="6" a="1"/>
  <c r="AV237" i="6" s="1"/>
  <c r="AV230" i="6" a="1"/>
  <c r="AV230" i="6" s="1"/>
  <c r="AV223" i="6" a="1"/>
  <c r="AV223" i="6" s="1"/>
  <c r="AV226" i="6" a="1"/>
  <c r="AV226" i="6" s="1"/>
  <c r="AV255" i="6" a="1"/>
  <c r="AV255" i="6" s="1"/>
  <c r="AV244" i="6" a="1"/>
  <c r="AV244" i="6" s="1"/>
  <c r="AV232" i="6" a="1"/>
  <c r="AV232" i="6" s="1"/>
  <c r="AV229" i="6" a="1"/>
  <c r="AV229" i="6" s="1"/>
  <c r="AV225" i="6" a="1"/>
  <c r="AV225" i="6" s="1"/>
  <c r="AV228" i="6" a="1"/>
  <c r="AV228" i="6" s="1"/>
  <c r="AV222" i="6" a="1"/>
  <c r="AV222" i="6" s="1"/>
  <c r="AV217" i="6" a="1"/>
  <c r="AV217" i="6" s="1"/>
  <c r="AV210" i="6" a="1"/>
  <c r="AV210" i="6" s="1"/>
  <c r="AV203" i="6" a="1"/>
  <c r="AV203" i="6" s="1"/>
  <c r="AV196" i="6" a="1"/>
  <c r="AV196" i="6" s="1"/>
  <c r="AV213" i="6" a="1"/>
  <c r="AV213" i="6" s="1"/>
  <c r="AV206" i="6" a="1"/>
  <c r="AV206" i="6" s="1"/>
  <c r="AV199" i="6" a="1"/>
  <c r="AV199" i="6" s="1"/>
  <c r="AV192" i="6" a="1"/>
  <c r="AV192" i="6" s="1"/>
  <c r="AV224" i="6" a="1"/>
  <c r="AV224" i="6" s="1"/>
  <c r="AV220" i="6" a="1"/>
  <c r="AV220" i="6" s="1"/>
  <c r="AV209" i="6" a="1"/>
  <c r="AV209" i="6" s="1"/>
  <c r="AV202" i="6" a="1"/>
  <c r="AV202" i="6" s="1"/>
  <c r="AV195" i="6" a="1"/>
  <c r="AV195" i="6" s="1"/>
  <c r="AV216" i="6" a="1"/>
  <c r="AV216" i="6" s="1"/>
  <c r="AV205" i="6" a="1"/>
  <c r="AV205" i="6" s="1"/>
  <c r="AV198" i="6" a="1"/>
  <c r="AV198" i="6" s="1"/>
  <c r="AV191" i="6" a="1"/>
  <c r="AV191" i="6" s="1"/>
  <c r="AV219" i="6" a="1"/>
  <c r="AV219" i="6" s="1"/>
  <c r="AV212" i="6" a="1"/>
  <c r="AV212" i="6" s="1"/>
  <c r="AV201" i="6" a="1"/>
  <c r="AV201" i="6" s="1"/>
  <c r="AV194" i="6" a="1"/>
  <c r="AV194" i="6" s="1"/>
  <c r="AV215" i="6" a="1"/>
  <c r="AV215" i="6" s="1"/>
  <c r="AV208" i="6" a="1"/>
  <c r="AV208" i="6" s="1"/>
  <c r="AV197" i="6" a="1"/>
  <c r="AV197" i="6" s="1"/>
  <c r="AV190" i="6" a="1"/>
  <c r="AV190" i="6" s="1"/>
  <c r="AV218" i="6" a="1"/>
  <c r="AV218" i="6" s="1"/>
  <c r="AV211" i="6" a="1"/>
  <c r="AV211" i="6" s="1"/>
  <c r="AV204" i="6" a="1"/>
  <c r="AV204" i="6" s="1"/>
  <c r="AV193" i="6" a="1"/>
  <c r="AV193" i="6" s="1"/>
  <c r="AV221" i="6" a="1"/>
  <c r="AV221" i="6" s="1"/>
  <c r="AV214" i="6" a="1"/>
  <c r="AV214" i="6" s="1"/>
  <c r="AV207" i="6" a="1"/>
  <c r="AV207" i="6" s="1"/>
  <c r="AV200" i="6" a="1"/>
  <c r="AV200" i="6" s="1"/>
  <c r="AV189" i="6" a="1"/>
  <c r="AV189" i="6" s="1"/>
  <c r="AV187" i="6" a="1"/>
  <c r="AV187" i="6" s="1"/>
  <c r="AV180" i="6" a="1"/>
  <c r="AV180" i="6" s="1"/>
  <c r="AV173" i="6" a="1"/>
  <c r="AV173" i="6" s="1"/>
  <c r="AV183" i="6" a="1"/>
  <c r="AV183" i="6" s="1"/>
  <c r="AV176" i="6" a="1"/>
  <c r="AV176" i="6" s="1"/>
  <c r="AV179" i="6" a="1"/>
  <c r="AV179" i="6" s="1"/>
  <c r="AV186" i="6" a="1"/>
  <c r="AV186" i="6" s="1"/>
  <c r="AV175" i="6" a="1"/>
  <c r="AV175" i="6" s="1"/>
  <c r="AV188" i="6" a="1"/>
  <c r="AV188" i="6" s="1"/>
  <c r="AV182" i="6" a="1"/>
  <c r="AV182" i="6" s="1"/>
  <c r="AV185" i="6" a="1"/>
  <c r="AV185" i="6" s="1"/>
  <c r="AV178" i="6" a="1"/>
  <c r="AV178" i="6" s="1"/>
  <c r="AV181" i="6" a="1"/>
  <c r="AV181" i="6" s="1"/>
  <c r="AV174" i="6" a="1"/>
  <c r="AV174" i="6" s="1"/>
  <c r="AV169" i="6" a="1"/>
  <c r="AV169" i="6" s="1"/>
  <c r="AV162" i="6" a="1"/>
  <c r="AV162" i="6" s="1"/>
  <c r="AV151" i="6" a="1"/>
  <c r="AV151" i="6" s="1"/>
  <c r="AV144" i="6" a="1"/>
  <c r="AV144" i="6" s="1"/>
  <c r="AV137" i="6" a="1"/>
  <c r="AV137" i="6" s="1"/>
  <c r="AV130" i="6" a="1"/>
  <c r="AV130" i="6" s="1"/>
  <c r="AV172" i="6" a="1"/>
  <c r="AV172" i="6" s="1"/>
  <c r="AV165" i="6" a="1"/>
  <c r="AV165" i="6" s="1"/>
  <c r="AV158" i="6" a="1"/>
  <c r="AV158" i="6" s="1"/>
  <c r="AV147" i="6" a="1"/>
  <c r="AV147" i="6" s="1"/>
  <c r="AV140" i="6" a="1"/>
  <c r="AV140" i="6" s="1"/>
  <c r="AV133" i="6" a="1"/>
  <c r="AV133" i="6" s="1"/>
  <c r="AV126" i="6" a="1"/>
  <c r="AV126" i="6" s="1"/>
  <c r="AV168" i="6" a="1"/>
  <c r="AV168" i="6" s="1"/>
  <c r="AV161" i="6" a="1"/>
  <c r="AV161" i="6" s="1"/>
  <c r="AV154" i="6" a="1"/>
  <c r="AV154" i="6" s="1"/>
  <c r="AV143" i="6" a="1"/>
  <c r="AV143" i="6" s="1"/>
  <c r="AV136" i="6" a="1"/>
  <c r="AV136" i="6" s="1"/>
  <c r="AV129" i="6" a="1"/>
  <c r="AV129" i="6" s="1"/>
  <c r="AV171" i="6" a="1"/>
  <c r="AV171" i="6" s="1"/>
  <c r="AV164" i="6" a="1"/>
  <c r="AV164" i="6" s="1"/>
  <c r="AV157" i="6" a="1"/>
  <c r="AV157" i="6" s="1"/>
  <c r="AV150" i="6" a="1"/>
  <c r="AV150" i="6" s="1"/>
  <c r="AV139" i="6" a="1"/>
  <c r="AV139" i="6" s="1"/>
  <c r="AV132" i="6" a="1"/>
  <c r="AV132" i="6" s="1"/>
  <c r="AV125" i="6" a="1"/>
  <c r="AV125" i="6" s="1"/>
  <c r="AV167" i="6" a="1"/>
  <c r="AV167" i="6" s="1"/>
  <c r="AV160" i="6" a="1"/>
  <c r="AV160" i="6" s="1"/>
  <c r="AV153" i="6" a="1"/>
  <c r="AV153" i="6" s="1"/>
  <c r="AV146" i="6" a="1"/>
  <c r="AV146" i="6" s="1"/>
  <c r="AV135" i="6" a="1"/>
  <c r="AV135" i="6" s="1"/>
  <c r="AV128" i="6" a="1"/>
  <c r="AV128" i="6" s="1"/>
  <c r="AV184" i="6" a="1"/>
  <c r="AV184" i="6" s="1"/>
  <c r="AV177" i="6" a="1"/>
  <c r="AV177" i="6" s="1"/>
  <c r="AV163" i="6" a="1"/>
  <c r="AV163" i="6" s="1"/>
  <c r="AV156" i="6" a="1"/>
  <c r="AV156" i="6" s="1"/>
  <c r="AV149" i="6" a="1"/>
  <c r="AV149" i="6" s="1"/>
  <c r="AV142" i="6" a="1"/>
  <c r="AV142" i="6" s="1"/>
  <c r="AV131" i="6" a="1"/>
  <c r="AV131" i="6" s="1"/>
  <c r="AV124" i="6" a="1"/>
  <c r="AV124" i="6" s="1"/>
  <c r="AV170" i="6" a="1"/>
  <c r="AV170" i="6" s="1"/>
  <c r="AV155" i="6" a="1"/>
  <c r="AV155" i="6" s="1"/>
  <c r="AV123" i="6" a="1"/>
  <c r="AV123" i="6" s="1"/>
  <c r="AV120" i="6" a="1"/>
  <c r="AV120" i="6" s="1"/>
  <c r="AV113" i="6" a="1"/>
  <c r="AV113" i="6" s="1"/>
  <c r="AV106" i="6" a="1"/>
  <c r="AV106" i="6" s="1"/>
  <c r="AV134" i="6" a="1"/>
  <c r="AV134" i="6" s="1"/>
  <c r="AV122" i="6" a="1"/>
  <c r="AV122" i="6" s="1"/>
  <c r="AV116" i="6" a="1"/>
  <c r="AV116" i="6" s="1"/>
  <c r="AV109" i="6" a="1"/>
  <c r="AV109" i="6" s="1"/>
  <c r="AV102" i="6" a="1"/>
  <c r="AV102" i="6" s="1"/>
  <c r="AV159" i="6" a="1"/>
  <c r="AV159" i="6" s="1"/>
  <c r="AV119" i="6" a="1"/>
  <c r="AV119" i="6" s="1"/>
  <c r="AV112" i="6" a="1"/>
  <c r="AV112" i="6" s="1"/>
  <c r="AV105" i="6" a="1"/>
  <c r="AV105" i="6" s="1"/>
  <c r="AV98" i="6" a="1"/>
  <c r="AV98" i="6" s="1"/>
  <c r="AV138" i="6" a="1"/>
  <c r="AV138" i="6" s="1"/>
  <c r="AV115" i="6" a="1"/>
  <c r="AV115" i="6" s="1"/>
  <c r="AV108" i="6" a="1"/>
  <c r="AV108" i="6" s="1"/>
  <c r="AV166" i="6" a="1"/>
  <c r="AV166" i="6" s="1"/>
  <c r="AV127" i="6" a="1"/>
  <c r="AV127" i="6" s="1"/>
  <c r="AV111" i="6" a="1"/>
  <c r="AV111" i="6" s="1"/>
  <c r="AV104" i="6" a="1"/>
  <c r="AV104" i="6" s="1"/>
  <c r="AV97" i="6" a="1"/>
  <c r="AV97" i="6" s="1"/>
  <c r="AV145" i="6" a="1"/>
  <c r="AV145" i="6" s="1"/>
  <c r="AV141" i="6" a="1"/>
  <c r="AV141" i="6" s="1"/>
  <c r="AV118" i="6" a="1"/>
  <c r="AV118" i="6" s="1"/>
  <c r="AV107" i="6" a="1"/>
  <c r="AV107" i="6" s="1"/>
  <c r="AV100" i="6" a="1"/>
  <c r="AV100" i="6" s="1"/>
  <c r="AV152" i="6" a="1"/>
  <c r="AV152" i="6" s="1"/>
  <c r="AV148" i="6" a="1"/>
  <c r="AV148" i="6" s="1"/>
  <c r="AV121" i="6" a="1"/>
  <c r="AV121" i="6" s="1"/>
  <c r="AV114" i="6" a="1"/>
  <c r="AV114" i="6" s="1"/>
  <c r="AV103" i="6" a="1"/>
  <c r="AV103" i="6" s="1"/>
  <c r="AV96" i="6" a="1"/>
  <c r="AV96" i="6" s="1"/>
  <c r="AN48" i="6" a="1"/>
  <c r="AN48" i="6" s="1"/>
  <c r="AV49" i="6" a="1"/>
  <c r="AV49" i="6" s="1"/>
  <c r="AJ51" i="6" a="1"/>
  <c r="AJ51" i="6" s="1"/>
  <c r="AR52" i="6" a="1"/>
  <c r="AR52" i="6" s="1"/>
  <c r="AN55" i="6" a="1"/>
  <c r="AN55" i="6" s="1"/>
  <c r="AV56" i="6" a="1"/>
  <c r="AV56" i="6" s="1"/>
  <c r="AJ58" i="6" a="1"/>
  <c r="AJ58" i="6" s="1"/>
  <c r="AR59" i="6" a="1"/>
  <c r="AR59" i="6" s="1"/>
  <c r="AN62" i="6" a="1"/>
  <c r="AN62" i="6" s="1"/>
  <c r="AV63" i="6" a="1"/>
  <c r="AV63" i="6" s="1"/>
  <c r="AR66" i="6" a="1"/>
  <c r="AR66" i="6" s="1"/>
  <c r="AJ69" i="6" a="1"/>
  <c r="AJ69" i="6" s="1"/>
  <c r="AV70" i="6" a="1"/>
  <c r="AV70" i="6" s="1"/>
  <c r="AN73" i="6" a="1"/>
  <c r="AN73" i="6" s="1"/>
  <c r="AJ76" i="6" a="1"/>
  <c r="AJ76" i="6" s="1"/>
  <c r="AR77" i="6" a="1"/>
  <c r="AR77" i="6" s="1"/>
  <c r="AN80" i="6" a="1"/>
  <c r="AN80" i="6" s="1"/>
  <c r="AV81" i="6" a="1"/>
  <c r="AV81" i="6" s="1"/>
  <c r="AJ85" i="6" a="1"/>
  <c r="AJ85" i="6" s="1"/>
  <c r="AN89" i="6" a="1"/>
  <c r="AN89" i="6" s="1"/>
  <c r="AR93" i="6" a="1"/>
  <c r="AR93" i="6" s="1"/>
  <c r="AN98" i="6" a="1"/>
  <c r="AN98" i="6" s="1"/>
  <c r="AJ136" i="6" a="1"/>
  <c r="AJ136" i="6" s="1"/>
  <c r="AV60" i="6" a="1"/>
  <c r="AV60" i="6" s="1"/>
  <c r="AJ62" i="6" a="1"/>
  <c r="AJ62" i="6" s="1"/>
  <c r="AR63" i="6" a="1"/>
  <c r="AR63" i="6" s="1"/>
  <c r="AN66" i="6" a="1"/>
  <c r="AN66" i="6" s="1"/>
  <c r="AV67" i="6" a="1"/>
  <c r="AV67" i="6" s="1"/>
  <c r="AR70" i="6" a="1"/>
  <c r="AR70" i="6" s="1"/>
  <c r="AJ73" i="6" a="1"/>
  <c r="AJ73" i="6" s="1"/>
  <c r="AV74" i="6" a="1"/>
  <c r="AV74" i="6" s="1"/>
  <c r="AN77" i="6" a="1"/>
  <c r="AN77" i="6" s="1"/>
  <c r="AJ80" i="6" a="1"/>
  <c r="AJ80" i="6" s="1"/>
  <c r="AR81" i="6" a="1"/>
  <c r="AR81" i="6" s="1"/>
  <c r="AR82" i="6" a="1"/>
  <c r="AR82" i="6" s="1"/>
  <c r="AN83" i="6" a="1"/>
  <c r="AN83" i="6" s="1"/>
  <c r="AJ84" i="6" a="1"/>
  <c r="AJ84" i="6" s="1"/>
  <c r="AV86" i="6" a="1"/>
  <c r="AV86" i="6" s="1"/>
  <c r="AR87" i="6" a="1"/>
  <c r="AR87" i="6" s="1"/>
  <c r="AN88" i="6" a="1"/>
  <c r="AN88" i="6" s="1"/>
  <c r="AJ90" i="6" a="1"/>
  <c r="AJ90" i="6" s="1"/>
  <c r="AV91" i="6" a="1"/>
  <c r="AV91" i="6" s="1"/>
  <c r="AR92" i="6" a="1"/>
  <c r="AR92" i="6" s="1"/>
  <c r="AN94" i="6" a="1"/>
  <c r="AN94" i="6" s="1"/>
  <c r="AJ95" i="6" a="1"/>
  <c r="AJ95" i="6" s="1"/>
  <c r="AN116" i="6" a="1"/>
  <c r="AN116" i="6" s="1"/>
  <c r="AN140" i="6" a="1"/>
  <c r="AN140" i="6" s="1"/>
  <c r="AN56" i="6" a="1"/>
  <c r="AN56" i="6" s="1"/>
  <c r="AV57" i="6" a="1"/>
  <c r="AV57" i="6" s="1"/>
  <c r="AJ59" i="6" a="1"/>
  <c r="AJ59" i="6" s="1"/>
  <c r="AR60" i="6" a="1"/>
  <c r="AR60" i="6" s="1"/>
  <c r="AN63" i="6" a="1"/>
  <c r="AN63" i="6" s="1"/>
  <c r="AV64" i="6" a="1"/>
  <c r="AV64" i="6" s="1"/>
  <c r="AJ66" i="6" a="1"/>
  <c r="AJ66" i="6" s="1"/>
  <c r="AR67" i="6" a="1"/>
  <c r="AR67" i="6" s="1"/>
  <c r="AN70" i="6" a="1"/>
  <c r="AN70" i="6" s="1"/>
  <c r="AV71" i="6" a="1"/>
  <c r="AV71" i="6" s="1"/>
  <c r="AR74" i="6" a="1"/>
  <c r="AR74" i="6" s="1"/>
  <c r="AJ77" i="6" a="1"/>
  <c r="AJ77" i="6" s="1"/>
  <c r="AV78" i="6" a="1"/>
  <c r="AV78" i="6" s="1"/>
  <c r="AN81" i="6" a="1"/>
  <c r="AN81" i="6" s="1"/>
  <c r="AV85" i="6" a="1"/>
  <c r="AV85" i="6" s="1"/>
  <c r="AJ89" i="6" a="1"/>
  <c r="AJ89" i="6" s="1"/>
  <c r="AN93" i="6" a="1"/>
  <c r="AN93" i="6" s="1"/>
  <c r="AV95" i="6" a="1"/>
  <c r="AV95" i="6" s="1"/>
  <c r="AN102" i="6" a="1"/>
  <c r="AN102" i="6" s="1"/>
  <c r="AR104" i="6" a="1"/>
  <c r="AR104" i="6" s="1"/>
  <c r="AN109" i="6" a="1"/>
  <c r="AN109" i="6" s="1"/>
  <c r="AN67" i="6" a="1"/>
  <c r="AN67" i="6" s="1"/>
  <c r="AV68" i="6" a="1"/>
  <c r="AV68" i="6" s="1"/>
  <c r="AJ70" i="6" a="1"/>
  <c r="AJ70" i="6" s="1"/>
  <c r="AR71" i="6" a="1"/>
  <c r="AR71" i="6" s="1"/>
  <c r="AN74" i="6" a="1"/>
  <c r="AN74" i="6" s="1"/>
  <c r="AV75" i="6" a="1"/>
  <c r="AV75" i="6" s="1"/>
  <c r="AR78" i="6" a="1"/>
  <c r="AR78" i="6" s="1"/>
  <c r="AJ81" i="6" a="1"/>
  <c r="AJ81" i="6" s="1"/>
  <c r="AN82" i="6" a="1"/>
  <c r="AN82" i="6" s="1"/>
  <c r="AJ83" i="6" a="1"/>
  <c r="AJ83" i="6" s="1"/>
  <c r="AV84" i="6" a="1"/>
  <c r="AV84" i="6" s="1"/>
  <c r="AR86" i="6" a="1"/>
  <c r="AR86" i="6" s="1"/>
  <c r="AN87" i="6" a="1"/>
  <c r="AN87" i="6" s="1"/>
  <c r="AJ88" i="6" a="1"/>
  <c r="AJ88" i="6" s="1"/>
  <c r="AV90" i="6" a="1"/>
  <c r="AV90" i="6" s="1"/>
  <c r="AR91" i="6" a="1"/>
  <c r="AR91" i="6" s="1"/>
  <c r="AN92" i="6" a="1"/>
  <c r="AN92" i="6" s="1"/>
  <c r="AN97" i="6" a="1"/>
  <c r="AN97" i="6" s="1"/>
  <c r="AN100" i="6" a="1"/>
  <c r="AN100" i="6" s="1"/>
  <c r="AR113" i="6" a="1"/>
  <c r="AR113" i="6" s="1"/>
  <c r="AN144" i="6" a="1"/>
  <c r="AN144" i="6" s="1"/>
  <c r="AN162" i="6" a="1"/>
  <c r="AN162" i="6" s="1"/>
  <c r="AJ356" i="6" a="1"/>
  <c r="AJ356" i="6" s="1"/>
  <c r="AJ348" i="6" a="1"/>
  <c r="AJ348" i="6" s="1"/>
  <c r="AJ340" i="6" a="1"/>
  <c r="AJ340" i="6" s="1"/>
  <c r="AJ357" i="6" a="1"/>
  <c r="AJ357" i="6" s="1"/>
  <c r="AJ349" i="6" a="1"/>
  <c r="AJ349" i="6" s="1"/>
  <c r="AJ341" i="6" a="1"/>
  <c r="AJ341" i="6" s="1"/>
  <c r="AJ358" i="6" a="1"/>
  <c r="AJ358" i="6" s="1"/>
  <c r="AJ350" i="6" a="1"/>
  <c r="AJ350" i="6" s="1"/>
  <c r="AJ351" i="6" a="1"/>
  <c r="AJ351" i="6" s="1"/>
  <c r="AJ343" i="6" a="1"/>
  <c r="AJ343" i="6" s="1"/>
  <c r="AJ352" i="6" a="1"/>
  <c r="AJ352" i="6" s="1"/>
  <c r="AJ344" i="6" a="1"/>
  <c r="AJ344" i="6" s="1"/>
  <c r="AJ353" i="6" a="1"/>
  <c r="AJ353" i="6" s="1"/>
  <c r="AJ345" i="6" a="1"/>
  <c r="AJ345" i="6" s="1"/>
  <c r="AJ337" i="6" a="1"/>
  <c r="AJ337" i="6" s="1"/>
  <c r="AJ354" i="6" a="1"/>
  <c r="AJ354" i="6" s="1"/>
  <c r="AJ346" i="6" a="1"/>
  <c r="AJ346" i="6" s="1"/>
  <c r="AJ331" i="6" a="1"/>
  <c r="AJ331" i="6" s="1"/>
  <c r="AJ324" i="6" a="1"/>
  <c r="AJ324" i="6" s="1"/>
  <c r="AJ355" i="6" a="1"/>
  <c r="AJ355" i="6" s="1"/>
  <c r="AJ342" i="6" a="1"/>
  <c r="AJ342" i="6" s="1"/>
  <c r="AJ334" i="6" a="1"/>
  <c r="AJ334" i="6" s="1"/>
  <c r="AJ327" i="6" a="1"/>
  <c r="AJ327" i="6" s="1"/>
  <c r="AJ320" i="6" a="1"/>
  <c r="AJ320" i="6" s="1"/>
  <c r="AJ347" i="6" a="1"/>
  <c r="AJ347" i="6" s="1"/>
  <c r="AJ330" i="6" a="1"/>
  <c r="AJ330" i="6" s="1"/>
  <c r="AJ323" i="6" a="1"/>
  <c r="AJ323" i="6" s="1"/>
  <c r="AJ316" i="6" a="1"/>
  <c r="AJ316" i="6" s="1"/>
  <c r="AJ338" i="6" a="1"/>
  <c r="AJ338" i="6" s="1"/>
  <c r="AJ333" i="6" a="1"/>
  <c r="AJ333" i="6" s="1"/>
  <c r="AJ326" i="6" a="1"/>
  <c r="AJ326" i="6" s="1"/>
  <c r="AJ319" i="6" a="1"/>
  <c r="AJ319" i="6" s="1"/>
  <c r="AJ329" i="6" a="1"/>
  <c r="AJ329" i="6" s="1"/>
  <c r="AJ322" i="6" a="1"/>
  <c r="AJ322" i="6" s="1"/>
  <c r="AJ315" i="6" a="1"/>
  <c r="AJ315" i="6" s="1"/>
  <c r="AJ325" i="6" a="1"/>
  <c r="AJ325" i="6" s="1"/>
  <c r="AJ318" i="6" a="1"/>
  <c r="AJ318" i="6" s="1"/>
  <c r="AJ339" i="6" a="1"/>
  <c r="AJ339" i="6" s="1"/>
  <c r="AJ336" i="6" a="1"/>
  <c r="AJ336" i="6" s="1"/>
  <c r="AJ332" i="6" a="1"/>
  <c r="AJ332" i="6" s="1"/>
  <c r="AJ321" i="6" a="1"/>
  <c r="AJ321" i="6" s="1"/>
  <c r="AJ305" i="6" a="1"/>
  <c r="AJ305" i="6" s="1"/>
  <c r="AJ312" i="6" a="1"/>
  <c r="AJ312" i="6" s="1"/>
  <c r="AJ308" i="6" a="1"/>
  <c r="AJ308" i="6" s="1"/>
  <c r="AJ311" i="6" a="1"/>
  <c r="AJ311" i="6" s="1"/>
  <c r="AJ304" i="6" a="1"/>
  <c r="AJ304" i="6" s="1"/>
  <c r="AJ313" i="6" a="1"/>
  <c r="AJ313" i="6" s="1"/>
  <c r="AJ307" i="6" a="1"/>
  <c r="AJ307" i="6" s="1"/>
  <c r="AJ310" i="6" a="1"/>
  <c r="AJ310" i="6" s="1"/>
  <c r="AJ303" i="6" a="1"/>
  <c r="AJ303" i="6" s="1"/>
  <c r="AJ328" i="6" a="1"/>
  <c r="AJ328" i="6" s="1"/>
  <c r="AJ314" i="6" a="1"/>
  <c r="AJ314" i="6" s="1"/>
  <c r="AJ306" i="6" a="1"/>
  <c r="AJ306" i="6" s="1"/>
  <c r="AJ317" i="6" a="1"/>
  <c r="AJ317" i="6" s="1"/>
  <c r="AJ299" i="6" a="1"/>
  <c r="AJ299" i="6" s="1"/>
  <c r="AJ296" i="6" a="1"/>
  <c r="AJ296" i="6" s="1"/>
  <c r="AJ290" i="6" a="1"/>
  <c r="AJ290" i="6" s="1"/>
  <c r="AJ335" i="6" a="1"/>
  <c r="AJ335" i="6" s="1"/>
  <c r="AJ291" i="6" a="1"/>
  <c r="AJ291" i="6" s="1"/>
  <c r="AJ278" i="6" a="1"/>
  <c r="AJ278" i="6" s="1"/>
  <c r="AJ297" i="6" a="1"/>
  <c r="AJ297" i="6" s="1"/>
  <c r="AJ292" i="6" a="1"/>
  <c r="AJ292" i="6" s="1"/>
  <c r="AJ309" i="6" a="1"/>
  <c r="AJ309" i="6" s="1"/>
  <c r="AJ287" i="6" a="1"/>
  <c r="AJ287" i="6" s="1"/>
  <c r="AJ277" i="6" a="1"/>
  <c r="AJ277" i="6" s="1"/>
  <c r="AJ298" i="6" a="1"/>
  <c r="AJ298" i="6" s="1"/>
  <c r="AJ293" i="6" a="1"/>
  <c r="AJ293" i="6" s="1"/>
  <c r="AJ288" i="6" a="1"/>
  <c r="AJ288" i="6" s="1"/>
  <c r="AJ300" i="6" a="1"/>
  <c r="AJ300" i="6" s="1"/>
  <c r="AJ283" i="6" a="1"/>
  <c r="AJ283" i="6" s="1"/>
  <c r="AJ302" i="6" a="1"/>
  <c r="AJ302" i="6" s="1"/>
  <c r="AJ294" i="6" a="1"/>
  <c r="AJ294" i="6" s="1"/>
  <c r="AJ289" i="6" a="1"/>
  <c r="AJ289" i="6" s="1"/>
  <c r="AJ276" i="6" a="1"/>
  <c r="AJ276" i="6" s="1"/>
  <c r="AJ284" i="6" a="1"/>
  <c r="AJ284" i="6" s="1"/>
  <c r="AJ271" i="6" a="1"/>
  <c r="AJ271" i="6" s="1"/>
  <c r="AJ295" i="6" a="1"/>
  <c r="AJ295" i="6" s="1"/>
  <c r="AJ285" i="6" a="1"/>
  <c r="AJ285" i="6" s="1"/>
  <c r="AJ281" i="6" a="1"/>
  <c r="AJ281" i="6" s="1"/>
  <c r="AJ274" i="6" a="1"/>
  <c r="AJ274" i="6" s="1"/>
  <c r="AJ270" i="6" a="1"/>
  <c r="AJ270" i="6" s="1"/>
  <c r="AJ282" i="6" a="1"/>
  <c r="AJ282" i="6" s="1"/>
  <c r="AJ272" i="6" a="1"/>
  <c r="AJ272" i="6" s="1"/>
  <c r="AJ279" i="6" a="1"/>
  <c r="AJ279" i="6" s="1"/>
  <c r="AJ273" i="6" a="1"/>
  <c r="AJ273" i="6" s="1"/>
  <c r="AJ264" i="6" a="1"/>
  <c r="AJ264" i="6" s="1"/>
  <c r="AJ268" i="6" a="1"/>
  <c r="AJ268" i="6" s="1"/>
  <c r="AJ267" i="6" a="1"/>
  <c r="AJ267" i="6" s="1"/>
  <c r="AJ260" i="6" a="1"/>
  <c r="AJ260" i="6" s="1"/>
  <c r="AJ263" i="6" a="1"/>
  <c r="AJ263" i="6" s="1"/>
  <c r="AJ286" i="6" a="1"/>
  <c r="AJ286" i="6" s="1"/>
  <c r="AJ280" i="6" a="1"/>
  <c r="AJ280" i="6" s="1"/>
  <c r="AJ269" i="6" a="1"/>
  <c r="AJ269" i="6" s="1"/>
  <c r="AJ266" i="6" a="1"/>
  <c r="AJ266" i="6" s="1"/>
  <c r="AJ262" i="6" a="1"/>
  <c r="AJ262" i="6" s="1"/>
  <c r="AJ275" i="6" a="1"/>
  <c r="AJ275" i="6" s="1"/>
  <c r="AJ265" i="6" a="1"/>
  <c r="AJ265" i="6" s="1"/>
  <c r="AJ258" i="6" a="1"/>
  <c r="AJ258" i="6" s="1"/>
  <c r="AJ252" i="6" a="1"/>
  <c r="AJ252" i="6" s="1"/>
  <c r="AJ245" i="6" a="1"/>
  <c r="AJ245" i="6" s="1"/>
  <c r="AJ238" i="6" a="1"/>
  <c r="AJ238" i="6" s="1"/>
  <c r="AJ248" i="6" a="1"/>
  <c r="AJ248" i="6" s="1"/>
  <c r="AJ241" i="6" a="1"/>
  <c r="AJ241" i="6" s="1"/>
  <c r="AJ234" i="6" a="1"/>
  <c r="AJ234" i="6" s="1"/>
  <c r="AJ255" i="6" a="1"/>
  <c r="AJ255" i="6" s="1"/>
  <c r="AJ244" i="6" a="1"/>
  <c r="AJ244" i="6" s="1"/>
  <c r="AJ237" i="6" a="1"/>
  <c r="AJ237" i="6" s="1"/>
  <c r="AJ251" i="6" a="1"/>
  <c r="AJ251" i="6" s="1"/>
  <c r="AJ240" i="6" a="1"/>
  <c r="AJ240" i="6" s="1"/>
  <c r="AJ233" i="6" a="1"/>
  <c r="AJ233" i="6" s="1"/>
  <c r="AJ259" i="6" a="1"/>
  <c r="AJ259" i="6" s="1"/>
  <c r="AJ254" i="6" a="1"/>
  <c r="AJ254" i="6" s="1"/>
  <c r="AJ247" i="6" a="1"/>
  <c r="AJ247" i="6" s="1"/>
  <c r="AJ236" i="6" a="1"/>
  <c r="AJ236" i="6" s="1"/>
  <c r="AJ253" i="6" a="1"/>
  <c r="AJ253" i="6" s="1"/>
  <c r="AJ246" i="6" a="1"/>
  <c r="AJ246" i="6" s="1"/>
  <c r="AJ239" i="6" a="1"/>
  <c r="AJ239" i="6" s="1"/>
  <c r="AJ301" i="6" a="1"/>
  <c r="AJ301" i="6" s="1"/>
  <c r="AJ256" i="6" a="1"/>
  <c r="AJ256" i="6" s="1"/>
  <c r="AJ249" i="6" a="1"/>
  <c r="AJ249" i="6" s="1"/>
  <c r="AJ242" i="6" a="1"/>
  <c r="AJ242" i="6" s="1"/>
  <c r="AJ235" i="6" a="1"/>
  <c r="AJ235" i="6" s="1"/>
  <c r="AJ226" i="6" a="1"/>
  <c r="AJ226" i="6" s="1"/>
  <c r="AJ229" i="6" a="1"/>
  <c r="AJ229" i="6" s="1"/>
  <c r="AJ225" i="6" a="1"/>
  <c r="AJ225" i="6" s="1"/>
  <c r="AJ243" i="6" a="1"/>
  <c r="AJ243" i="6" s="1"/>
  <c r="AJ228" i="6" a="1"/>
  <c r="AJ228" i="6" s="1"/>
  <c r="AJ261" i="6" a="1"/>
  <c r="AJ261" i="6" s="1"/>
  <c r="AJ232" i="6" a="1"/>
  <c r="AJ232" i="6" s="1"/>
  <c r="AJ257" i="6" a="1"/>
  <c r="AJ257" i="6" s="1"/>
  <c r="AJ250" i="6" a="1"/>
  <c r="AJ250" i="6" s="1"/>
  <c r="AJ231" i="6" a="1"/>
  <c r="AJ231" i="6" s="1"/>
  <c r="AJ227" i="6" a="1"/>
  <c r="AJ227" i="6" s="1"/>
  <c r="AJ230" i="6" a="1"/>
  <c r="AJ230" i="6" s="1"/>
  <c r="AJ216" i="6" a="1"/>
  <c r="AJ216" i="6" s="1"/>
  <c r="AJ205" i="6" a="1"/>
  <c r="AJ205" i="6" s="1"/>
  <c r="AJ198" i="6" a="1"/>
  <c r="AJ198" i="6" s="1"/>
  <c r="AJ191" i="6" a="1"/>
  <c r="AJ191" i="6" s="1"/>
  <c r="AJ188" i="6" a="1"/>
  <c r="AJ188" i="6" s="1"/>
  <c r="AJ219" i="6" a="1"/>
  <c r="AJ219" i="6" s="1"/>
  <c r="AJ212" i="6" a="1"/>
  <c r="AJ212" i="6" s="1"/>
  <c r="AJ201" i="6" a="1"/>
  <c r="AJ201" i="6" s="1"/>
  <c r="AJ194" i="6" a="1"/>
  <c r="AJ194" i="6" s="1"/>
  <c r="AJ222" i="6" a="1"/>
  <c r="AJ222" i="6" s="1"/>
  <c r="AJ215" i="6" a="1"/>
  <c r="AJ215" i="6" s="1"/>
  <c r="AJ208" i="6" a="1"/>
  <c r="AJ208" i="6" s="1"/>
  <c r="AJ197" i="6" a="1"/>
  <c r="AJ197" i="6" s="1"/>
  <c r="AJ190" i="6" a="1"/>
  <c r="AJ190" i="6" s="1"/>
  <c r="AJ218" i="6" a="1"/>
  <c r="AJ218" i="6" s="1"/>
  <c r="AJ211" i="6" a="1"/>
  <c r="AJ211" i="6" s="1"/>
  <c r="AJ204" i="6" a="1"/>
  <c r="AJ204" i="6" s="1"/>
  <c r="AJ193" i="6" a="1"/>
  <c r="AJ193" i="6" s="1"/>
  <c r="AJ221" i="6" a="1"/>
  <c r="AJ221" i="6" s="1"/>
  <c r="AJ214" i="6" a="1"/>
  <c r="AJ214" i="6" s="1"/>
  <c r="AJ207" i="6" a="1"/>
  <c r="AJ207" i="6" s="1"/>
  <c r="AJ200" i="6" a="1"/>
  <c r="AJ200" i="6" s="1"/>
  <c r="AJ189" i="6" a="1"/>
  <c r="AJ189" i="6" s="1"/>
  <c r="AJ217" i="6" a="1"/>
  <c r="AJ217" i="6" s="1"/>
  <c r="AJ210" i="6" a="1"/>
  <c r="AJ210" i="6" s="1"/>
  <c r="AJ203" i="6" a="1"/>
  <c r="AJ203" i="6" s="1"/>
  <c r="AJ196" i="6" a="1"/>
  <c r="AJ196" i="6" s="1"/>
  <c r="AJ213" i="6" a="1"/>
  <c r="AJ213" i="6" s="1"/>
  <c r="AJ206" i="6" a="1"/>
  <c r="AJ206" i="6" s="1"/>
  <c r="AJ199" i="6" a="1"/>
  <c r="AJ199" i="6" s="1"/>
  <c r="AJ192" i="6" a="1"/>
  <c r="AJ192" i="6" s="1"/>
  <c r="AJ224" i="6" a="1"/>
  <c r="AJ224" i="6" s="1"/>
  <c r="AJ223" i="6" a="1"/>
  <c r="AJ223" i="6" s="1"/>
  <c r="AJ220" i="6" a="1"/>
  <c r="AJ220" i="6" s="1"/>
  <c r="AJ209" i="6" a="1"/>
  <c r="AJ209" i="6" s="1"/>
  <c r="AJ202" i="6" a="1"/>
  <c r="AJ202" i="6" s="1"/>
  <c r="AJ195" i="6" a="1"/>
  <c r="AJ195" i="6" s="1"/>
  <c r="AJ186" i="6" a="1"/>
  <c r="AJ186" i="6" s="1"/>
  <c r="AJ175" i="6" a="1"/>
  <c r="AJ175" i="6" s="1"/>
  <c r="AJ182" i="6" a="1"/>
  <c r="AJ182" i="6" s="1"/>
  <c r="AJ185" i="6" a="1"/>
  <c r="AJ185" i="6" s="1"/>
  <c r="AJ178" i="6" a="1"/>
  <c r="AJ178" i="6" s="1"/>
  <c r="AJ181" i="6" a="1"/>
  <c r="AJ181" i="6" s="1"/>
  <c r="AJ174" i="6" a="1"/>
  <c r="AJ174" i="6" s="1"/>
  <c r="AJ184" i="6" a="1"/>
  <c r="AJ184" i="6" s="1"/>
  <c r="AJ177" i="6" a="1"/>
  <c r="AJ177" i="6" s="1"/>
  <c r="AJ187" i="6" a="1"/>
  <c r="AJ187" i="6" s="1"/>
  <c r="AJ180" i="6" a="1"/>
  <c r="AJ180" i="6" s="1"/>
  <c r="AJ183" i="6" a="1"/>
  <c r="AJ183" i="6" s="1"/>
  <c r="AJ176" i="6" a="1"/>
  <c r="AJ176" i="6" s="1"/>
  <c r="AJ171" i="6" a="1"/>
  <c r="AJ171" i="6" s="1"/>
  <c r="AJ164" i="6" a="1"/>
  <c r="AJ164" i="6" s="1"/>
  <c r="AJ157" i="6" a="1"/>
  <c r="AJ157" i="6" s="1"/>
  <c r="AJ150" i="6" a="1"/>
  <c r="AJ150" i="6" s="1"/>
  <c r="AJ139" i="6" a="1"/>
  <c r="AJ139" i="6" s="1"/>
  <c r="AJ132" i="6" a="1"/>
  <c r="AJ132" i="6" s="1"/>
  <c r="AJ125" i="6" a="1"/>
  <c r="AJ125" i="6" s="1"/>
  <c r="AJ167" i="6" a="1"/>
  <c r="AJ167" i="6" s="1"/>
  <c r="AJ160" i="6" a="1"/>
  <c r="AJ160" i="6" s="1"/>
  <c r="AJ153" i="6" a="1"/>
  <c r="AJ153" i="6" s="1"/>
  <c r="AJ146" i="6" a="1"/>
  <c r="AJ146" i="6" s="1"/>
  <c r="AJ135" i="6" a="1"/>
  <c r="AJ135" i="6" s="1"/>
  <c r="AJ128" i="6" a="1"/>
  <c r="AJ128" i="6" s="1"/>
  <c r="AJ163" i="6" a="1"/>
  <c r="AJ163" i="6" s="1"/>
  <c r="AJ156" i="6" a="1"/>
  <c r="AJ156" i="6" s="1"/>
  <c r="AJ149" i="6" a="1"/>
  <c r="AJ149" i="6" s="1"/>
  <c r="AJ142" i="6" a="1"/>
  <c r="AJ142" i="6" s="1"/>
  <c r="AJ131" i="6" a="1"/>
  <c r="AJ131" i="6" s="1"/>
  <c r="AJ170" i="6" a="1"/>
  <c r="AJ170" i="6" s="1"/>
  <c r="AJ159" i="6" a="1"/>
  <c r="AJ159" i="6" s="1"/>
  <c r="AJ152" i="6" a="1"/>
  <c r="AJ152" i="6" s="1"/>
  <c r="AJ145" i="6" a="1"/>
  <c r="AJ145" i="6" s="1"/>
  <c r="AJ138" i="6" a="1"/>
  <c r="AJ138" i="6" s="1"/>
  <c r="AJ127" i="6" a="1"/>
  <c r="AJ127" i="6" s="1"/>
  <c r="AJ173" i="6" a="1"/>
  <c r="AJ173" i="6" s="1"/>
  <c r="AJ166" i="6" a="1"/>
  <c r="AJ166" i="6" s="1"/>
  <c r="AJ155" i="6" a="1"/>
  <c r="AJ155" i="6" s="1"/>
  <c r="AJ148" i="6" a="1"/>
  <c r="AJ148" i="6" s="1"/>
  <c r="AJ141" i="6" a="1"/>
  <c r="AJ141" i="6" s="1"/>
  <c r="AJ134" i="6" a="1"/>
  <c r="AJ134" i="6" s="1"/>
  <c r="AJ123" i="6" a="1"/>
  <c r="AJ123" i="6" s="1"/>
  <c r="AJ169" i="6" a="1"/>
  <c r="AJ169" i="6" s="1"/>
  <c r="AJ162" i="6" a="1"/>
  <c r="AJ162" i="6" s="1"/>
  <c r="AJ151" i="6" a="1"/>
  <c r="AJ151" i="6" s="1"/>
  <c r="AJ144" i="6" a="1"/>
  <c r="AJ144" i="6" s="1"/>
  <c r="AJ137" i="6" a="1"/>
  <c r="AJ137" i="6" s="1"/>
  <c r="AJ130" i="6" a="1"/>
  <c r="AJ130" i="6" s="1"/>
  <c r="AJ179" i="6" a="1"/>
  <c r="AJ179" i="6" s="1"/>
  <c r="AJ172" i="6" a="1"/>
  <c r="AJ172" i="6" s="1"/>
  <c r="AJ140" i="6" a="1"/>
  <c r="AJ140" i="6" s="1"/>
  <c r="AJ126" i="6" a="1"/>
  <c r="AJ126" i="6" s="1"/>
  <c r="AJ115" i="6" a="1"/>
  <c r="AJ115" i="6" s="1"/>
  <c r="AJ108" i="6" a="1"/>
  <c r="AJ108" i="6" s="1"/>
  <c r="AJ101" i="6" a="1"/>
  <c r="AJ101" i="6" s="1"/>
  <c r="AJ161" i="6" a="1"/>
  <c r="AJ161" i="6" s="1"/>
  <c r="AJ111" i="6" a="1"/>
  <c r="AJ111" i="6" s="1"/>
  <c r="AJ104" i="6" a="1"/>
  <c r="AJ104" i="6" s="1"/>
  <c r="AJ147" i="6" a="1"/>
  <c r="AJ147" i="6" s="1"/>
  <c r="AJ143" i="6" a="1"/>
  <c r="AJ143" i="6" s="1"/>
  <c r="AJ122" i="6" a="1"/>
  <c r="AJ122" i="6" s="1"/>
  <c r="AJ118" i="6" a="1"/>
  <c r="AJ118" i="6" s="1"/>
  <c r="AJ107" i="6" a="1"/>
  <c r="AJ107" i="6" s="1"/>
  <c r="AJ100" i="6" a="1"/>
  <c r="AJ100" i="6" s="1"/>
  <c r="AJ165" i="6" a="1"/>
  <c r="AJ165" i="6" s="1"/>
  <c r="AJ129" i="6" a="1"/>
  <c r="AJ129" i="6" s="1"/>
  <c r="AJ121" i="6" a="1"/>
  <c r="AJ121" i="6" s="1"/>
  <c r="AJ114" i="6" a="1"/>
  <c r="AJ114" i="6" s="1"/>
  <c r="AJ133" i="6" a="1"/>
  <c r="AJ133" i="6" s="1"/>
  <c r="AJ117" i="6" a="1"/>
  <c r="AJ117" i="6" s="1"/>
  <c r="AJ110" i="6" a="1"/>
  <c r="AJ110" i="6" s="1"/>
  <c r="AJ99" i="6" a="1"/>
  <c r="AJ99" i="6" s="1"/>
  <c r="AJ168" i="6" a="1"/>
  <c r="AJ168" i="6" s="1"/>
  <c r="AJ154" i="6" a="1"/>
  <c r="AJ154" i="6" s="1"/>
  <c r="AJ124" i="6" a="1"/>
  <c r="AJ124" i="6" s="1"/>
  <c r="AJ120" i="6" a="1"/>
  <c r="AJ120" i="6" s="1"/>
  <c r="AJ113" i="6" a="1"/>
  <c r="AJ113" i="6" s="1"/>
  <c r="AJ106" i="6" a="1"/>
  <c r="AJ106" i="6" s="1"/>
  <c r="AJ158" i="6" a="1"/>
  <c r="AJ158" i="6" s="1"/>
  <c r="AJ116" i="6" a="1"/>
  <c r="AJ116" i="6" s="1"/>
  <c r="AJ109" i="6" a="1"/>
  <c r="AJ109" i="6" s="1"/>
  <c r="AJ102" i="6" a="1"/>
  <c r="AJ102" i="6" s="1"/>
  <c r="AR356" i="6" a="1"/>
  <c r="AR356" i="6" s="1"/>
  <c r="AR348" i="6" a="1"/>
  <c r="AR348" i="6" s="1"/>
  <c r="AR340" i="6" a="1"/>
  <c r="AR340" i="6" s="1"/>
  <c r="AR357" i="6" a="1"/>
  <c r="AR357" i="6" s="1"/>
  <c r="AR349" i="6" a="1"/>
  <c r="AR349" i="6" s="1"/>
  <c r="AR341" i="6" a="1"/>
  <c r="AR341" i="6" s="1"/>
  <c r="AR358" i="6" a="1"/>
  <c r="AR358" i="6" s="1"/>
  <c r="AR350" i="6" a="1"/>
  <c r="AR350" i="6" s="1"/>
  <c r="AR351" i="6" a="1"/>
  <c r="AR351" i="6" s="1"/>
  <c r="AR343" i="6" a="1"/>
  <c r="AR343" i="6" s="1"/>
  <c r="AR352" i="6" a="1"/>
  <c r="AR352" i="6" s="1"/>
  <c r="AR344" i="6" a="1"/>
  <c r="AR344" i="6" s="1"/>
  <c r="AR353" i="6" a="1"/>
  <c r="AR353" i="6" s="1"/>
  <c r="AR345" i="6" a="1"/>
  <c r="AR345" i="6" s="1"/>
  <c r="AR337" i="6" a="1"/>
  <c r="AR337" i="6" s="1"/>
  <c r="AR354" i="6" a="1"/>
  <c r="AR354" i="6" s="1"/>
  <c r="AR346" i="6" a="1"/>
  <c r="AR346" i="6" s="1"/>
  <c r="AR338" i="6" a="1"/>
  <c r="AR338" i="6" s="1"/>
  <c r="AR355" i="6" a="1"/>
  <c r="AR355" i="6" s="1"/>
  <c r="AR347" i="6" a="1"/>
  <c r="AR347" i="6" s="1"/>
  <c r="AR332" i="6" a="1"/>
  <c r="AR332" i="6" s="1"/>
  <c r="AR321" i="6" a="1"/>
  <c r="AR321" i="6" s="1"/>
  <c r="AR314" i="6" a="1"/>
  <c r="AR314" i="6" s="1"/>
  <c r="AR335" i="6" a="1"/>
  <c r="AR335" i="6" s="1"/>
  <c r="AR328" i="6" a="1"/>
  <c r="AR328" i="6" s="1"/>
  <c r="AR317" i="6" a="1"/>
  <c r="AR317" i="6" s="1"/>
  <c r="AR331" i="6" a="1"/>
  <c r="AR331" i="6" s="1"/>
  <c r="AR324" i="6" a="1"/>
  <c r="AR324" i="6" s="1"/>
  <c r="AR334" i="6" a="1"/>
  <c r="AR334" i="6" s="1"/>
  <c r="AR327" i="6" a="1"/>
  <c r="AR327" i="6" s="1"/>
  <c r="AR320" i="6" a="1"/>
  <c r="AR320" i="6" s="1"/>
  <c r="AR339" i="6" a="1"/>
  <c r="AR339" i="6" s="1"/>
  <c r="AR330" i="6" a="1"/>
  <c r="AR330" i="6" s="1"/>
  <c r="AR323" i="6" a="1"/>
  <c r="AR323" i="6" s="1"/>
  <c r="AR316" i="6" a="1"/>
  <c r="AR316" i="6" s="1"/>
  <c r="AR333" i="6" a="1"/>
  <c r="AR333" i="6" s="1"/>
  <c r="AR326" i="6" a="1"/>
  <c r="AR326" i="6" s="1"/>
  <c r="AR319" i="6" a="1"/>
  <c r="AR319" i="6" s="1"/>
  <c r="AR312" i="6" a="1"/>
  <c r="AR312" i="6" s="1"/>
  <c r="AR336" i="6" a="1"/>
  <c r="AR336" i="6" s="1"/>
  <c r="AR329" i="6" a="1"/>
  <c r="AR329" i="6" s="1"/>
  <c r="AR322" i="6" a="1"/>
  <c r="AR322" i="6" s="1"/>
  <c r="AR315" i="6" a="1"/>
  <c r="AR315" i="6" s="1"/>
  <c r="AR325" i="6" a="1"/>
  <c r="AR325" i="6" s="1"/>
  <c r="AR306" i="6" a="1"/>
  <c r="AR306" i="6" s="1"/>
  <c r="AR318" i="6" a="1"/>
  <c r="AR318" i="6" s="1"/>
  <c r="AR309" i="6" a="1"/>
  <c r="AR309" i="6" s="1"/>
  <c r="AR302" i="6" a="1"/>
  <c r="AR302" i="6" s="1"/>
  <c r="AR300" i="6" a="1"/>
  <c r="AR300" i="6" s="1"/>
  <c r="AR342" i="6" a="1"/>
  <c r="AR342" i="6" s="1"/>
  <c r="AR305" i="6" a="1"/>
  <c r="AR305" i="6" s="1"/>
  <c r="AR301" i="6" a="1"/>
  <c r="AR301" i="6" s="1"/>
  <c r="AR308" i="6" a="1"/>
  <c r="AR308" i="6" s="1"/>
  <c r="AR313" i="6" a="1"/>
  <c r="AR313" i="6" s="1"/>
  <c r="AR311" i="6" a="1"/>
  <c r="AR311" i="6" s="1"/>
  <c r="AR304" i="6" a="1"/>
  <c r="AR304" i="6" s="1"/>
  <c r="AR307" i="6" a="1"/>
  <c r="AR307" i="6" s="1"/>
  <c r="AR293" i="6" a="1"/>
  <c r="AR293" i="6" s="1"/>
  <c r="AR288" i="6" a="1"/>
  <c r="AR288" i="6" s="1"/>
  <c r="AR298" i="6" a="1"/>
  <c r="AR298" i="6" s="1"/>
  <c r="AR283" i="6" a="1"/>
  <c r="AR283" i="6" s="1"/>
  <c r="AR275" i="6" a="1"/>
  <c r="AR275" i="6" s="1"/>
  <c r="AR294" i="6" a="1"/>
  <c r="AR294" i="6" s="1"/>
  <c r="AR289" i="6" a="1"/>
  <c r="AR289" i="6" s="1"/>
  <c r="AR295" i="6" a="1"/>
  <c r="AR295" i="6" s="1"/>
  <c r="AR278" i="6" a="1"/>
  <c r="AR278" i="6" s="1"/>
  <c r="AR310" i="6" a="1"/>
  <c r="AR310" i="6" s="1"/>
  <c r="AR303" i="6" a="1"/>
  <c r="AR303" i="6" s="1"/>
  <c r="AR296" i="6" a="1"/>
  <c r="AR296" i="6" s="1"/>
  <c r="AR290" i="6" a="1"/>
  <c r="AR290" i="6" s="1"/>
  <c r="AR291" i="6" a="1"/>
  <c r="AR291" i="6" s="1"/>
  <c r="AR277" i="6" a="1"/>
  <c r="AR277" i="6" s="1"/>
  <c r="AR299" i="6" a="1"/>
  <c r="AR299" i="6" s="1"/>
  <c r="AR297" i="6" a="1"/>
  <c r="AR297" i="6" s="1"/>
  <c r="AR292" i="6" a="1"/>
  <c r="AR292" i="6" s="1"/>
  <c r="AR274" i="6" a="1"/>
  <c r="AR274" i="6" s="1"/>
  <c r="AR272" i="6" a="1"/>
  <c r="AR272" i="6" s="1"/>
  <c r="AR284" i="6" a="1"/>
  <c r="AR284" i="6" s="1"/>
  <c r="AR285" i="6" a="1"/>
  <c r="AR285" i="6" s="1"/>
  <c r="AR271" i="6" a="1"/>
  <c r="AR271" i="6" s="1"/>
  <c r="AR281" i="6" a="1"/>
  <c r="AR281" i="6" s="1"/>
  <c r="AR280" i="6" a="1"/>
  <c r="AR280" i="6" s="1"/>
  <c r="AR287" i="6" a="1"/>
  <c r="AR287" i="6" s="1"/>
  <c r="AR276" i="6" a="1"/>
  <c r="AR276" i="6" s="1"/>
  <c r="AR270" i="6" a="1"/>
  <c r="AR270" i="6" s="1"/>
  <c r="AR282" i="6" a="1"/>
  <c r="AR282" i="6" s="1"/>
  <c r="AR273" i="6" a="1"/>
  <c r="AR273" i="6" s="1"/>
  <c r="AR265" i="6" a="1"/>
  <c r="AR265" i="6" s="1"/>
  <c r="AR258" i="6" a="1"/>
  <c r="AR258" i="6" s="1"/>
  <c r="AR261" i="6" a="1"/>
  <c r="AR261" i="6" s="1"/>
  <c r="AR286" i="6" a="1"/>
  <c r="AR286" i="6" s="1"/>
  <c r="AR264" i="6" a="1"/>
  <c r="AR264" i="6" s="1"/>
  <c r="AR267" i="6" a="1"/>
  <c r="AR267" i="6" s="1"/>
  <c r="AR263" i="6" a="1"/>
  <c r="AR263" i="6" s="1"/>
  <c r="AR257" i="6" a="1"/>
  <c r="AR257" i="6" s="1"/>
  <c r="AR269" i="6" a="1"/>
  <c r="AR269" i="6" s="1"/>
  <c r="AR268" i="6" a="1"/>
  <c r="AR268" i="6" s="1"/>
  <c r="AR266" i="6" a="1"/>
  <c r="AR266" i="6" s="1"/>
  <c r="AR259" i="6" a="1"/>
  <c r="AR259" i="6" s="1"/>
  <c r="AR279" i="6" a="1"/>
  <c r="AR279" i="6" s="1"/>
  <c r="AR253" i="6" a="1"/>
  <c r="AR253" i="6" s="1"/>
  <c r="AR246" i="6" a="1"/>
  <c r="AR246" i="6" s="1"/>
  <c r="AR239" i="6" a="1"/>
  <c r="AR239" i="6" s="1"/>
  <c r="AR260" i="6" a="1"/>
  <c r="AR260" i="6" s="1"/>
  <c r="AR256" i="6" a="1"/>
  <c r="AR256" i="6" s="1"/>
  <c r="AR249" i="6" a="1"/>
  <c r="AR249" i="6" s="1"/>
  <c r="AR242" i="6" a="1"/>
  <c r="AR242" i="6" s="1"/>
  <c r="AR235" i="6" a="1"/>
  <c r="AR235" i="6" s="1"/>
  <c r="AR252" i="6" a="1"/>
  <c r="AR252" i="6" s="1"/>
  <c r="AR245" i="6" a="1"/>
  <c r="AR245" i="6" s="1"/>
  <c r="AR238" i="6" a="1"/>
  <c r="AR238" i="6" s="1"/>
  <c r="AR248" i="6" a="1"/>
  <c r="AR248" i="6" s="1"/>
  <c r="AR241" i="6" a="1"/>
  <c r="AR241" i="6" s="1"/>
  <c r="AR234" i="6" a="1"/>
  <c r="AR234" i="6" s="1"/>
  <c r="AR255" i="6" a="1"/>
  <c r="AR255" i="6" s="1"/>
  <c r="AR244" i="6" a="1"/>
  <c r="AR244" i="6" s="1"/>
  <c r="AR237" i="6" a="1"/>
  <c r="AR237" i="6" s="1"/>
  <c r="AR262" i="6" a="1"/>
  <c r="AR262" i="6" s="1"/>
  <c r="AR254" i="6" a="1"/>
  <c r="AR254" i="6" s="1"/>
  <c r="AR247" i="6" a="1"/>
  <c r="AR247" i="6" s="1"/>
  <c r="AR236" i="6" a="1"/>
  <c r="AR236" i="6" s="1"/>
  <c r="AR250" i="6" a="1"/>
  <c r="AR250" i="6" s="1"/>
  <c r="AR243" i="6" a="1"/>
  <c r="AR243" i="6" s="1"/>
  <c r="AR227" i="6" a="1"/>
  <c r="AR227" i="6" s="1"/>
  <c r="AR232" i="6" a="1"/>
  <c r="AR232" i="6" s="1"/>
  <c r="AR230" i="6" a="1"/>
  <c r="AR230" i="6" s="1"/>
  <c r="AR226" i="6" a="1"/>
  <c r="AR226" i="6" s="1"/>
  <c r="AR229" i="6" a="1"/>
  <c r="AR229" i="6" s="1"/>
  <c r="AR240" i="6" a="1"/>
  <c r="AR240" i="6" s="1"/>
  <c r="AR233" i="6" a="1"/>
  <c r="AR233" i="6" s="1"/>
  <c r="AR228" i="6" a="1"/>
  <c r="AR228" i="6" s="1"/>
  <c r="AR224" i="6" a="1"/>
  <c r="AR224" i="6" s="1"/>
  <c r="AR222" i="6" a="1"/>
  <c r="AR222" i="6" s="1"/>
  <c r="AR251" i="6" a="1"/>
  <c r="AR251" i="6" s="1"/>
  <c r="AR231" i="6" a="1"/>
  <c r="AR231" i="6" s="1"/>
  <c r="AR213" i="6" a="1"/>
  <c r="AR213" i="6" s="1"/>
  <c r="AR206" i="6" a="1"/>
  <c r="AR206" i="6" s="1"/>
  <c r="AR199" i="6" a="1"/>
  <c r="AR199" i="6" s="1"/>
  <c r="AR192" i="6" a="1"/>
  <c r="AR192" i="6" s="1"/>
  <c r="AR220" i="6" a="1"/>
  <c r="AR220" i="6" s="1"/>
  <c r="AR209" i="6" a="1"/>
  <c r="AR209" i="6" s="1"/>
  <c r="AR202" i="6" a="1"/>
  <c r="AR202" i="6" s="1"/>
  <c r="AR195" i="6" a="1"/>
  <c r="AR195" i="6" s="1"/>
  <c r="AR188" i="6" a="1"/>
  <c r="AR188" i="6" s="1"/>
  <c r="AR216" i="6" a="1"/>
  <c r="AR216" i="6" s="1"/>
  <c r="AR205" i="6" a="1"/>
  <c r="AR205" i="6" s="1"/>
  <c r="AR198" i="6" a="1"/>
  <c r="AR198" i="6" s="1"/>
  <c r="AR191" i="6" a="1"/>
  <c r="AR191" i="6" s="1"/>
  <c r="AR225" i="6" a="1"/>
  <c r="AR225" i="6" s="1"/>
  <c r="AR219" i="6" a="1"/>
  <c r="AR219" i="6" s="1"/>
  <c r="AR212" i="6" a="1"/>
  <c r="AR212" i="6" s="1"/>
  <c r="AR201" i="6" a="1"/>
  <c r="AR201" i="6" s="1"/>
  <c r="AR194" i="6" a="1"/>
  <c r="AR194" i="6" s="1"/>
  <c r="AR215" i="6" a="1"/>
  <c r="AR215" i="6" s="1"/>
  <c r="AR208" i="6" a="1"/>
  <c r="AR208" i="6" s="1"/>
  <c r="AR197" i="6" a="1"/>
  <c r="AR197" i="6" s="1"/>
  <c r="AR190" i="6" a="1"/>
  <c r="AR190" i="6" s="1"/>
  <c r="AR218" i="6" a="1"/>
  <c r="AR218" i="6" s="1"/>
  <c r="AR211" i="6" a="1"/>
  <c r="AR211" i="6" s="1"/>
  <c r="AR204" i="6" a="1"/>
  <c r="AR204" i="6" s="1"/>
  <c r="AR193" i="6" a="1"/>
  <c r="AR193" i="6" s="1"/>
  <c r="AR223" i="6" a="1"/>
  <c r="AR223" i="6" s="1"/>
  <c r="AR221" i="6" a="1"/>
  <c r="AR221" i="6" s="1"/>
  <c r="AR214" i="6" a="1"/>
  <c r="AR214" i="6" s="1"/>
  <c r="AR207" i="6" a="1"/>
  <c r="AR207" i="6" s="1"/>
  <c r="AR200" i="6" a="1"/>
  <c r="AR200" i="6" s="1"/>
  <c r="AR217" i="6" a="1"/>
  <c r="AR217" i="6" s="1"/>
  <c r="AR210" i="6" a="1"/>
  <c r="AR210" i="6" s="1"/>
  <c r="AR203" i="6" a="1"/>
  <c r="AR203" i="6" s="1"/>
  <c r="AR196" i="6" a="1"/>
  <c r="AR196" i="6" s="1"/>
  <c r="AR183" i="6" a="1"/>
  <c r="AR183" i="6" s="1"/>
  <c r="AR176" i="6" a="1"/>
  <c r="AR176" i="6" s="1"/>
  <c r="AR179" i="6" a="1"/>
  <c r="AR179" i="6" s="1"/>
  <c r="AR189" i="6" a="1"/>
  <c r="AR189" i="6" s="1"/>
  <c r="AR186" i="6" a="1"/>
  <c r="AR186" i="6" s="1"/>
  <c r="AR175" i="6" a="1"/>
  <c r="AR175" i="6" s="1"/>
  <c r="AR182" i="6" a="1"/>
  <c r="AR182" i="6" s="1"/>
  <c r="AR185" i="6" a="1"/>
  <c r="AR185" i="6" s="1"/>
  <c r="AR178" i="6" a="1"/>
  <c r="AR178" i="6" s="1"/>
  <c r="AR181" i="6" a="1"/>
  <c r="AR181" i="6" s="1"/>
  <c r="AR174" i="6" a="1"/>
  <c r="AR174" i="6" s="1"/>
  <c r="AR184" i="6" a="1"/>
  <c r="AR184" i="6" s="1"/>
  <c r="AR177" i="6" a="1"/>
  <c r="AR177" i="6" s="1"/>
  <c r="AR187" i="6" a="1"/>
  <c r="AR187" i="6" s="1"/>
  <c r="AR180" i="6" a="1"/>
  <c r="AR180" i="6" s="1"/>
  <c r="AR172" i="6" a="1"/>
  <c r="AR172" i="6" s="1"/>
  <c r="AR165" i="6" a="1"/>
  <c r="AR165" i="6" s="1"/>
  <c r="AR158" i="6" a="1"/>
  <c r="AR158" i="6" s="1"/>
  <c r="AR147" i="6" a="1"/>
  <c r="AR147" i="6" s="1"/>
  <c r="AR140" i="6" a="1"/>
  <c r="AR140" i="6" s="1"/>
  <c r="AR133" i="6" a="1"/>
  <c r="AR133" i="6" s="1"/>
  <c r="AR126" i="6" a="1"/>
  <c r="AR126" i="6" s="1"/>
  <c r="AR168" i="6" a="1"/>
  <c r="AR168" i="6" s="1"/>
  <c r="AR161" i="6" a="1"/>
  <c r="AR161" i="6" s="1"/>
  <c r="AR154" i="6" a="1"/>
  <c r="AR154" i="6" s="1"/>
  <c r="AR143" i="6" a="1"/>
  <c r="AR143" i="6" s="1"/>
  <c r="AR136" i="6" a="1"/>
  <c r="AR136" i="6" s="1"/>
  <c r="AR129" i="6" a="1"/>
  <c r="AR129" i="6" s="1"/>
  <c r="AR122" i="6" a="1"/>
  <c r="AR122" i="6" s="1"/>
  <c r="AR171" i="6" a="1"/>
  <c r="AR171" i="6" s="1"/>
  <c r="AR164" i="6" a="1"/>
  <c r="AR164" i="6" s="1"/>
  <c r="AR157" i="6" a="1"/>
  <c r="AR157" i="6" s="1"/>
  <c r="AR150" i="6" a="1"/>
  <c r="AR150" i="6" s="1"/>
  <c r="AR139" i="6" a="1"/>
  <c r="AR139" i="6" s="1"/>
  <c r="AR132" i="6" a="1"/>
  <c r="AR132" i="6" s="1"/>
  <c r="AR125" i="6" a="1"/>
  <c r="AR125" i="6" s="1"/>
  <c r="AR167" i="6" a="1"/>
  <c r="AR167" i="6" s="1"/>
  <c r="AR160" i="6" a="1"/>
  <c r="AR160" i="6" s="1"/>
  <c r="AR153" i="6" a="1"/>
  <c r="AR153" i="6" s="1"/>
  <c r="AR146" i="6" a="1"/>
  <c r="AR146" i="6" s="1"/>
  <c r="AR135" i="6" a="1"/>
  <c r="AR135" i="6" s="1"/>
  <c r="AR128" i="6" a="1"/>
  <c r="AR128" i="6" s="1"/>
  <c r="AR163" i="6" a="1"/>
  <c r="AR163" i="6" s="1"/>
  <c r="AR156" i="6" a="1"/>
  <c r="AR156" i="6" s="1"/>
  <c r="AR149" i="6" a="1"/>
  <c r="AR149" i="6" s="1"/>
  <c r="AR142" i="6" a="1"/>
  <c r="AR142" i="6" s="1"/>
  <c r="AR131" i="6" a="1"/>
  <c r="AR131" i="6" s="1"/>
  <c r="AR124" i="6" a="1"/>
  <c r="AR124" i="6" s="1"/>
  <c r="AR170" i="6" a="1"/>
  <c r="AR170" i="6" s="1"/>
  <c r="AR159" i="6" a="1"/>
  <c r="AR159" i="6" s="1"/>
  <c r="AR152" i="6" a="1"/>
  <c r="AR152" i="6" s="1"/>
  <c r="AR145" i="6" a="1"/>
  <c r="AR145" i="6" s="1"/>
  <c r="AR138" i="6" a="1"/>
  <c r="AR138" i="6" s="1"/>
  <c r="AR127" i="6" a="1"/>
  <c r="AR127" i="6" s="1"/>
  <c r="AR173" i="6" a="1"/>
  <c r="AR173" i="6" s="1"/>
  <c r="AR166" i="6" a="1"/>
  <c r="AR166" i="6" s="1"/>
  <c r="AR130" i="6" a="1"/>
  <c r="AR130" i="6" s="1"/>
  <c r="AR116" i="6" a="1"/>
  <c r="AR116" i="6" s="1"/>
  <c r="AR109" i="6" a="1"/>
  <c r="AR109" i="6" s="1"/>
  <c r="AR102" i="6" a="1"/>
  <c r="AR102" i="6" s="1"/>
  <c r="AR155" i="6" a="1"/>
  <c r="AR155" i="6" s="1"/>
  <c r="AR119" i="6" a="1"/>
  <c r="AR119" i="6" s="1"/>
  <c r="AR112" i="6" a="1"/>
  <c r="AR112" i="6" s="1"/>
  <c r="AR105" i="6" a="1"/>
  <c r="AR105" i="6" s="1"/>
  <c r="AR98" i="6" a="1"/>
  <c r="AR98" i="6" s="1"/>
  <c r="AR134" i="6" a="1"/>
  <c r="AR134" i="6" s="1"/>
  <c r="AR115" i="6" a="1"/>
  <c r="AR115" i="6" s="1"/>
  <c r="AR108" i="6" a="1"/>
  <c r="AR108" i="6" s="1"/>
  <c r="AR101" i="6" a="1"/>
  <c r="AR101" i="6" s="1"/>
  <c r="AR111" i="6" a="1"/>
  <c r="AR111" i="6" s="1"/>
  <c r="AR137" i="6" a="1"/>
  <c r="AR137" i="6" s="1"/>
  <c r="AR123" i="6" a="1"/>
  <c r="AR123" i="6" s="1"/>
  <c r="AR118" i="6" a="1"/>
  <c r="AR118" i="6" s="1"/>
  <c r="AR107" i="6" a="1"/>
  <c r="AR107" i="6" s="1"/>
  <c r="AR100" i="6" a="1"/>
  <c r="AR100" i="6" s="1"/>
  <c r="AR121" i="6" a="1"/>
  <c r="AR121" i="6" s="1"/>
  <c r="AR114" i="6" a="1"/>
  <c r="AR114" i="6" s="1"/>
  <c r="AR103" i="6" a="1"/>
  <c r="AR103" i="6" s="1"/>
  <c r="AR96" i="6" a="1"/>
  <c r="AR96" i="6" s="1"/>
  <c r="AR162" i="6" a="1"/>
  <c r="AR162" i="6" s="1"/>
  <c r="AR144" i="6" a="1"/>
  <c r="AR144" i="6" s="1"/>
  <c r="AR141" i="6" a="1"/>
  <c r="AR141" i="6" s="1"/>
  <c r="AR117" i="6" a="1"/>
  <c r="AR117" i="6" s="1"/>
  <c r="AR110" i="6" a="1"/>
  <c r="AR110" i="6" s="1"/>
  <c r="AR99" i="6" a="1"/>
  <c r="AR99" i="6" s="1"/>
  <c r="AN46" i="6" a="1"/>
  <c r="AN46" i="6" s="1"/>
  <c r="AV47" i="6" a="1"/>
  <c r="AV47" i="6" s="1"/>
  <c r="AR50" i="6" a="1"/>
  <c r="AR50" i="6" s="1"/>
  <c r="AJ53" i="6" a="1"/>
  <c r="AJ53" i="6" s="1"/>
  <c r="AV54" i="6" a="1"/>
  <c r="AV54" i="6" s="1"/>
  <c r="AN57" i="6" a="1"/>
  <c r="AN57" i="6" s="1"/>
  <c r="AJ60" i="6" a="1"/>
  <c r="AJ60" i="6" s="1"/>
  <c r="AR61" i="6" a="1"/>
  <c r="AR61" i="6" s="1"/>
  <c r="AN64" i="6" a="1"/>
  <c r="AN64" i="6" s="1"/>
  <c r="AV65" i="6" a="1"/>
  <c r="AV65" i="6" s="1"/>
  <c r="AJ67" i="6" a="1"/>
  <c r="AJ67" i="6" s="1"/>
  <c r="AR68" i="6" a="1"/>
  <c r="AR68" i="6" s="1"/>
  <c r="AN71" i="6" a="1"/>
  <c r="AN71" i="6" s="1"/>
  <c r="AV72" i="6" a="1"/>
  <c r="AV72" i="6" s="1"/>
  <c r="AJ74" i="6" a="1"/>
  <c r="AJ74" i="6" s="1"/>
  <c r="AR75" i="6" a="1"/>
  <c r="AR75" i="6" s="1"/>
  <c r="AN78" i="6" a="1"/>
  <c r="AN78" i="6" s="1"/>
  <c r="AV79" i="6" a="1"/>
  <c r="AV79" i="6" s="1"/>
  <c r="AR85" i="6" a="1"/>
  <c r="AR85" i="6" s="1"/>
  <c r="AV89" i="6" a="1"/>
  <c r="AV89" i="6" s="1"/>
  <c r="AJ93" i="6" a="1"/>
  <c r="AJ93" i="6" s="1"/>
  <c r="AR106" i="6" a="1"/>
  <c r="AR106" i="6" s="1"/>
  <c r="AJ119" i="6" a="1"/>
  <c r="AJ119" i="6" s="1"/>
  <c r="AR72" i="6" a="1"/>
  <c r="AR72" i="6" s="1"/>
  <c r="AN75" i="6" a="1"/>
  <c r="AN75" i="6" s="1"/>
  <c r="AV76" i="6" a="1"/>
  <c r="AV76" i="6" s="1"/>
  <c r="AJ78" i="6" a="1"/>
  <c r="AJ78" i="6" s="1"/>
  <c r="AR79" i="6" a="1"/>
  <c r="AR79" i="6" s="1"/>
  <c r="AJ82" i="6" a="1"/>
  <c r="AJ82" i="6" s="1"/>
  <c r="AV83" i="6" a="1"/>
  <c r="AV83" i="6" s="1"/>
  <c r="AR84" i="6" a="1"/>
  <c r="AR84" i="6" s="1"/>
  <c r="AN86" i="6" a="1"/>
  <c r="AN86" i="6" s="1"/>
  <c r="AJ87" i="6" a="1"/>
  <c r="AJ87" i="6" s="1"/>
  <c r="AV88" i="6" a="1"/>
  <c r="AV88" i="6" s="1"/>
  <c r="AR90" i="6" a="1"/>
  <c r="AR90" i="6" s="1"/>
  <c r="AN91" i="6" a="1"/>
  <c r="AN91" i="6" s="1"/>
  <c r="AJ92" i="6" a="1"/>
  <c r="AJ92" i="6" s="1"/>
  <c r="AV94" i="6" a="1"/>
  <c r="AV94" i="6" s="1"/>
  <c r="AR95" i="6" a="1"/>
  <c r="AR95" i="6" s="1"/>
  <c r="AJ96" i="6" a="1"/>
  <c r="AJ96" i="6" s="1"/>
  <c r="AV101" i="6" a="1"/>
  <c r="AV101" i="6" s="1"/>
  <c r="AJ112" i="6" a="1"/>
  <c r="AJ112" i="6" s="1"/>
  <c r="AN126" i="6" a="1"/>
  <c r="AN126" i="6" s="1"/>
  <c r="AR148" i="6" a="1"/>
  <c r="AR148" i="6" s="1"/>
  <c r="AR151" i="6" a="1"/>
  <c r="AR151" i="6" s="1"/>
  <c r="AD343" i="6" a="1"/>
  <c r="AD343" i="6" s="1"/>
  <c r="AD357" i="6" a="1"/>
  <c r="AD357" i="6" s="1"/>
  <c r="AD353" i="6" a="1"/>
  <c r="AD353" i="6" s="1"/>
  <c r="AD349" i="6" a="1"/>
  <c r="AD349" i="6" s="1"/>
  <c r="AD339" i="6" a="1"/>
  <c r="AD339" i="6" s="1"/>
  <c r="AD335" i="6" a="1"/>
  <c r="AD335" i="6" s="1"/>
  <c r="AD331" i="6" a="1"/>
  <c r="AD331" i="6" s="1"/>
  <c r="AD327" i="6" a="1"/>
  <c r="AD327" i="6" s="1"/>
  <c r="AD324" i="6" a="1"/>
  <c r="AD324" i="6" s="1"/>
  <c r="AD320" i="6" a="1"/>
  <c r="AD320" i="6" s="1"/>
  <c r="AD344" i="6" a="1"/>
  <c r="AD344" i="6" s="1"/>
  <c r="AD358" i="6" a="1"/>
  <c r="AD358" i="6" s="1"/>
  <c r="AD354" i="6" a="1"/>
  <c r="AD354" i="6" s="1"/>
  <c r="AD350" i="6" a="1"/>
  <c r="AD350" i="6" s="1"/>
  <c r="AD345" i="6" a="1"/>
  <c r="AD345" i="6" s="1"/>
  <c r="AD340" i="6" a="1"/>
  <c r="AD340" i="6" s="1"/>
  <c r="AD336" i="6" a="1"/>
  <c r="AD336" i="6" s="1"/>
  <c r="AD332" i="6" a="1"/>
  <c r="AD332" i="6" s="1"/>
  <c r="AD328" i="6" a="1"/>
  <c r="AD328" i="6" s="1"/>
  <c r="AD321" i="6" a="1"/>
  <c r="AD321" i="6" s="1"/>
  <c r="AD318" i="6" a="1"/>
  <c r="AD318" i="6" s="1"/>
  <c r="AD346" i="6" a="1"/>
  <c r="AD346" i="6" s="1"/>
  <c r="AD355" i="6" a="1"/>
  <c r="AD355" i="6" s="1"/>
  <c r="AD351" i="6" a="1"/>
  <c r="AD351" i="6" s="1"/>
  <c r="AD347" i="6" a="1"/>
  <c r="AD347" i="6" s="1"/>
  <c r="AD341" i="6" a="1"/>
  <c r="AD341" i="6" s="1"/>
  <c r="AD337" i="6" a="1"/>
  <c r="AD337" i="6" s="1"/>
  <c r="AD333" i="6" a="1"/>
  <c r="AD333" i="6" s="1"/>
  <c r="AD329" i="6" a="1"/>
  <c r="AD329" i="6" s="1"/>
  <c r="AD325" i="6" a="1"/>
  <c r="AD325" i="6" s="1"/>
  <c r="AD322" i="6" a="1"/>
  <c r="AD322" i="6" s="1"/>
  <c r="AD356" i="6" a="1"/>
  <c r="AD356" i="6" s="1"/>
  <c r="AD352" i="6" a="1"/>
  <c r="AD352" i="6" s="1"/>
  <c r="AD348" i="6" a="1"/>
  <c r="AD348" i="6" s="1"/>
  <c r="AD338" i="6" a="1"/>
  <c r="AD338" i="6" s="1"/>
  <c r="AD309" i="6" a="1"/>
  <c r="AD309" i="6" s="1"/>
  <c r="AD306" i="6" a="1"/>
  <c r="AD306" i="6" s="1"/>
  <c r="AD292" i="6" a="1"/>
  <c r="AD292" i="6" s="1"/>
  <c r="AD289" i="6" a="1"/>
  <c r="AD289" i="6" s="1"/>
  <c r="AD342" i="6" a="1"/>
  <c r="AD342" i="6" s="1"/>
  <c r="AD319" i="6" a="1"/>
  <c r="AD319" i="6" s="1"/>
  <c r="AD315" i="6" a="1"/>
  <c r="AD315" i="6" s="1"/>
  <c r="AD287" i="6" a="1"/>
  <c r="AD287" i="6" s="1"/>
  <c r="AD311" i="6" a="1"/>
  <c r="AD311" i="6" s="1"/>
  <c r="AD307" i="6" a="1"/>
  <c r="AD307" i="6" s="1"/>
  <c r="AD305" i="6" a="1"/>
  <c r="AD305" i="6" s="1"/>
  <c r="AD300" i="6" a="1"/>
  <c r="AD300" i="6" s="1"/>
  <c r="AD303" i="6" a="1"/>
  <c r="AD303" i="6" s="1"/>
  <c r="AD296" i="6" a="1"/>
  <c r="AD296" i="6" s="1"/>
  <c r="AD290" i="6" a="1"/>
  <c r="AD290" i="6" s="1"/>
  <c r="AD314" i="6" a="1"/>
  <c r="AD314" i="6" s="1"/>
  <c r="AD313" i="6" a="1"/>
  <c r="AD313" i="6" s="1"/>
  <c r="AD301" i="6" a="1"/>
  <c r="AD301" i="6" s="1"/>
  <c r="AD326" i="6" a="1"/>
  <c r="AD326" i="6" s="1"/>
  <c r="AD330" i="6" a="1"/>
  <c r="AD330" i="6" s="1"/>
  <c r="AD323" i="6" a="1"/>
  <c r="AD323" i="6" s="1"/>
  <c r="AD317" i="6" a="1"/>
  <c r="AD317" i="6" s="1"/>
  <c r="AD312" i="6" a="1"/>
  <c r="AD312" i="6" s="1"/>
  <c r="AD288" i="6" a="1"/>
  <c r="AD288" i="6" s="1"/>
  <c r="AD282" i="6" a="1"/>
  <c r="AD282" i="6" s="1"/>
  <c r="AD280" i="6" a="1"/>
  <c r="AD280" i="6" s="1"/>
  <c r="AD276" i="6" a="1"/>
  <c r="AD276" i="6" s="1"/>
  <c r="AD271" i="6" a="1"/>
  <c r="AD271" i="6" s="1"/>
  <c r="AD267" i="6" a="1"/>
  <c r="AD267" i="6" s="1"/>
  <c r="AD263" i="6" a="1"/>
  <c r="AD263" i="6" s="1"/>
  <c r="AD259" i="6" a="1"/>
  <c r="AD259" i="6" s="1"/>
  <c r="AD255" i="6" a="1"/>
  <c r="AD255" i="6" s="1"/>
  <c r="AD304" i="6" a="1"/>
  <c r="AD304" i="6" s="1"/>
  <c r="AD295" i="6" a="1"/>
  <c r="AD295" i="6" s="1"/>
  <c r="AD334" i="6" a="1"/>
  <c r="AD334" i="6" s="1"/>
  <c r="AD281" i="6" a="1"/>
  <c r="AD281" i="6" s="1"/>
  <c r="AD272" i="6" a="1"/>
  <c r="AD272" i="6" s="1"/>
  <c r="AD268" i="6" a="1"/>
  <c r="AD268" i="6" s="1"/>
  <c r="AD264" i="6" a="1"/>
  <c r="AD264" i="6" s="1"/>
  <c r="AD260" i="6" a="1"/>
  <c r="AD260" i="6" s="1"/>
  <c r="AD256" i="6" a="1"/>
  <c r="AD256" i="6" s="1"/>
  <c r="AD297" i="6" a="1"/>
  <c r="AD297" i="6" s="1"/>
  <c r="AD294" i="6" a="1"/>
  <c r="AD294" i="6" s="1"/>
  <c r="AD278" i="6" a="1"/>
  <c r="AD278" i="6" s="1"/>
  <c r="AD277" i="6" a="1"/>
  <c r="AD277" i="6" s="1"/>
  <c r="AD273" i="6" a="1"/>
  <c r="AD273" i="6" s="1"/>
  <c r="AD269" i="6" a="1"/>
  <c r="AD269" i="6" s="1"/>
  <c r="AD265" i="6" a="1"/>
  <c r="AD265" i="6" s="1"/>
  <c r="AD261" i="6" a="1"/>
  <c r="AD261" i="6" s="1"/>
  <c r="AD257" i="6" a="1"/>
  <c r="AD257" i="6" s="1"/>
  <c r="AD302" i="6" a="1"/>
  <c r="AD302" i="6" s="1"/>
  <c r="AD299" i="6" a="1"/>
  <c r="AD299" i="6" s="1"/>
  <c r="AD293" i="6" a="1"/>
  <c r="AD293" i="6" s="1"/>
  <c r="AD291" i="6" a="1"/>
  <c r="AD291" i="6" s="1"/>
  <c r="AD286" i="6" a="1"/>
  <c r="AD286" i="6" s="1"/>
  <c r="AD285" i="6" a="1"/>
  <c r="AD285" i="6" s="1"/>
  <c r="AD284" i="6" a="1"/>
  <c r="AD284" i="6" s="1"/>
  <c r="AD275" i="6" a="1"/>
  <c r="AD275" i="6" s="1"/>
  <c r="AD274" i="6" a="1"/>
  <c r="AD274" i="6" s="1"/>
  <c r="AD270" i="6" a="1"/>
  <c r="AD270" i="6" s="1"/>
  <c r="AD266" i="6" a="1"/>
  <c r="AD266" i="6" s="1"/>
  <c r="AD262" i="6" a="1"/>
  <c r="AD262" i="6" s="1"/>
  <c r="AD258" i="6" a="1"/>
  <c r="AD258" i="6" s="1"/>
  <c r="AD298" i="6" a="1"/>
  <c r="AD298" i="6" s="1"/>
  <c r="AD283" i="6" a="1"/>
  <c r="AD283" i="6" s="1"/>
  <c r="AD246" i="6" a="1"/>
  <c r="AD246" i="6" s="1"/>
  <c r="AD240" i="6" a="1"/>
  <c r="AD240" i="6" s="1"/>
  <c r="AD234" i="6" a="1"/>
  <c r="AD234" i="6" s="1"/>
  <c r="AD227" i="6" a="1"/>
  <c r="AD227" i="6" s="1"/>
  <c r="AD251" i="6" a="1"/>
  <c r="AD251" i="6" s="1"/>
  <c r="AD232" i="6" a="1"/>
  <c r="AD232" i="6" s="1"/>
  <c r="AD231" i="6" a="1"/>
  <c r="AD231" i="6" s="1"/>
  <c r="AD247" i="6" a="1"/>
  <c r="AD247" i="6" s="1"/>
  <c r="AD241" i="6" a="1"/>
  <c r="AD241" i="6" s="1"/>
  <c r="AD310" i="6" a="1"/>
  <c r="AD310" i="6" s="1"/>
  <c r="AD248" i="6" a="1"/>
  <c r="AD248" i="6" s="1"/>
  <c r="AD242" i="6" a="1"/>
  <c r="AD242" i="6" s="1"/>
  <c r="AD239" i="6" a="1"/>
  <c r="AD239" i="6" s="1"/>
  <c r="AD236" i="6" a="1"/>
  <c r="AD236" i="6" s="1"/>
  <c r="AD229" i="6" a="1"/>
  <c r="AD229" i="6" s="1"/>
  <c r="AD316" i="6" a="1"/>
  <c r="AD316" i="6" s="1"/>
  <c r="AD279" i="6" a="1"/>
  <c r="AD279" i="6" s="1"/>
  <c r="AD254" i="6" a="1"/>
  <c r="AD254" i="6" s="1"/>
  <c r="AD252" i="6" a="1"/>
  <c r="AD252" i="6" s="1"/>
  <c r="AD243" i="6" a="1"/>
  <c r="AD243" i="6" s="1"/>
  <c r="AD238" i="6" a="1"/>
  <c r="AD238" i="6" s="1"/>
  <c r="AD235" i="6" a="1"/>
  <c r="AD235" i="6" s="1"/>
  <c r="AD228" i="6" a="1"/>
  <c r="AD228" i="6" s="1"/>
  <c r="AD244" i="6" a="1"/>
  <c r="AD244" i="6" s="1"/>
  <c r="AD233" i="6" a="1"/>
  <c r="AD233" i="6" s="1"/>
  <c r="AD222" i="6" a="1"/>
  <c r="AD222" i="6" s="1"/>
  <c r="AD253" i="6" a="1"/>
  <c r="AD253" i="6" s="1"/>
  <c r="AD250" i="6" a="1"/>
  <c r="AD250" i="6" s="1"/>
  <c r="AD245" i="6" a="1"/>
  <c r="AD245" i="6" s="1"/>
  <c r="AD237" i="6" a="1"/>
  <c r="AD237" i="6" s="1"/>
  <c r="AD223" i="6" a="1"/>
  <c r="AD223" i="6" s="1"/>
  <c r="AD308" i="6" a="1"/>
  <c r="AD308" i="6" s="1"/>
  <c r="AD210" i="6" a="1"/>
  <c r="AD210" i="6" s="1"/>
  <c r="AD209" i="6" a="1"/>
  <c r="AD209" i="6" s="1"/>
  <c r="AD208" i="6" a="1"/>
  <c r="AD208" i="6" s="1"/>
  <c r="AD202" i="6" a="1"/>
  <c r="AD202" i="6" s="1"/>
  <c r="AD198" i="6" a="1"/>
  <c r="AD198" i="6" s="1"/>
  <c r="AD194" i="6" a="1"/>
  <c r="AD194" i="6" s="1"/>
  <c r="AD225" i="6" a="1"/>
  <c r="AD225" i="6" s="1"/>
  <c r="AD216" i="6" a="1"/>
  <c r="AD216" i="6" s="1"/>
  <c r="AD211" i="6" a="1"/>
  <c r="AD211" i="6" s="1"/>
  <c r="AD207" i="6" a="1"/>
  <c r="AD207" i="6" s="1"/>
  <c r="AD185" i="6" a="1"/>
  <c r="AD185" i="6" s="1"/>
  <c r="AD218" i="6" a="1"/>
  <c r="AD218" i="6" s="1"/>
  <c r="AD206" i="6" a="1"/>
  <c r="AD206" i="6" s="1"/>
  <c r="AD203" i="6" a="1"/>
  <c r="AD203" i="6" s="1"/>
  <c r="AD199" i="6" a="1"/>
  <c r="AD199" i="6" s="1"/>
  <c r="AD195" i="6" a="1"/>
  <c r="AD195" i="6" s="1"/>
  <c r="AD192" i="6" a="1"/>
  <c r="AD192" i="6" s="1"/>
  <c r="AD188" i="6" a="1"/>
  <c r="AD188" i="6" s="1"/>
  <c r="AD230" i="6" a="1"/>
  <c r="AD230" i="6" s="1"/>
  <c r="AD226" i="6" a="1"/>
  <c r="AD226" i="6" s="1"/>
  <c r="AD224" i="6" a="1"/>
  <c r="AD224" i="6" s="1"/>
  <c r="AD221" i="6" a="1"/>
  <c r="AD221" i="6" s="1"/>
  <c r="AD205" i="6" a="1"/>
  <c r="AD205" i="6" s="1"/>
  <c r="AD204" i="6" a="1"/>
  <c r="AD204" i="6" s="1"/>
  <c r="AD191" i="6" a="1"/>
  <c r="AD191" i="6" s="1"/>
  <c r="AD220" i="6" a="1"/>
  <c r="AD220" i="6" s="1"/>
  <c r="AD200" i="6" a="1"/>
  <c r="AD200" i="6" s="1"/>
  <c r="AD196" i="6" a="1"/>
  <c r="AD196" i="6" s="1"/>
  <c r="AD187" i="6" a="1"/>
  <c r="AD187" i="6" s="1"/>
  <c r="AD217" i="6" a="1"/>
  <c r="AD217" i="6" s="1"/>
  <c r="AD214" i="6" a="1"/>
  <c r="AD214" i="6" s="1"/>
  <c r="AD201" i="6" a="1"/>
  <c r="AD201" i="6" s="1"/>
  <c r="AD197" i="6" a="1"/>
  <c r="AD197" i="6" s="1"/>
  <c r="AD193" i="6" a="1"/>
  <c r="AD193" i="6" s="1"/>
  <c r="AD219" i="6" a="1"/>
  <c r="AD219" i="6" s="1"/>
  <c r="AD212" i="6" a="1"/>
  <c r="AD212" i="6" s="1"/>
  <c r="AD189" i="6" a="1"/>
  <c r="AD189" i="6" s="1"/>
  <c r="AD213" i="6" a="1"/>
  <c r="AD213" i="6" s="1"/>
  <c r="AD180" i="6" a="1"/>
  <c r="AD180" i="6" s="1"/>
  <c r="AD172" i="6" a="1"/>
  <c r="AD172" i="6" s="1"/>
  <c r="AD155" i="6" a="1"/>
  <c r="AD155" i="6" s="1"/>
  <c r="AD249" i="6" a="1"/>
  <c r="AD249" i="6" s="1"/>
  <c r="AD175" i="6" a="1"/>
  <c r="AD175" i="6" s="1"/>
  <c r="AD171" i="6" a="1"/>
  <c r="AD171" i="6" s="1"/>
  <c r="AD164" i="6" a="1"/>
  <c r="AD164" i="6" s="1"/>
  <c r="AD159" i="6" a="1"/>
  <c r="AD159" i="6" s="1"/>
  <c r="AD215" i="6" a="1"/>
  <c r="AD215" i="6" s="1"/>
  <c r="AD184" i="6" a="1"/>
  <c r="AD184" i="6" s="1"/>
  <c r="AD168" i="6" a="1"/>
  <c r="AD168" i="6" s="1"/>
  <c r="AD163" i="6" a="1"/>
  <c r="AD163" i="6" s="1"/>
  <c r="AD183" i="6" a="1"/>
  <c r="AD183" i="6" s="1"/>
  <c r="AD174" i="6" a="1"/>
  <c r="AD174" i="6" s="1"/>
  <c r="AD170" i="6" a="1"/>
  <c r="AD170" i="6" s="1"/>
  <c r="AD167" i="6" a="1"/>
  <c r="AD167" i="6" s="1"/>
  <c r="AD158" i="6" a="1"/>
  <c r="AD158" i="6" s="1"/>
  <c r="AD153" i="6" a="1"/>
  <c r="AD153" i="6" s="1"/>
  <c r="AD151" i="6" a="1"/>
  <c r="AD151" i="6" s="1"/>
  <c r="AD150" i="6" a="1"/>
  <c r="AD150" i="6" s="1"/>
  <c r="AD179" i="6" a="1"/>
  <c r="AD179" i="6" s="1"/>
  <c r="AD178" i="6" a="1"/>
  <c r="AD178" i="6" s="1"/>
  <c r="AD162" i="6" a="1"/>
  <c r="AD162" i="6" s="1"/>
  <c r="AD157" i="6" a="1"/>
  <c r="AD157" i="6" s="1"/>
  <c r="AD181" i="6" a="1"/>
  <c r="AD181" i="6" s="1"/>
  <c r="AD177" i="6" a="1"/>
  <c r="AD177" i="6" s="1"/>
  <c r="AD166" i="6" a="1"/>
  <c r="AD166" i="6" s="1"/>
  <c r="AD176" i="6" a="1"/>
  <c r="AD176" i="6" s="1"/>
  <c r="AD173" i="6" a="1"/>
  <c r="AD173" i="6" s="1"/>
  <c r="AD169" i="6" a="1"/>
  <c r="AD169" i="6" s="1"/>
  <c r="AD161" i="6" a="1"/>
  <c r="AD161" i="6" s="1"/>
  <c r="AD182" i="6" a="1"/>
  <c r="AD182" i="6" s="1"/>
  <c r="AD147" i="6" a="1"/>
  <c r="AD147" i="6" s="1"/>
  <c r="AD145" i="6" a="1"/>
  <c r="AD145" i="6" s="1"/>
  <c r="AD144" i="6" a="1"/>
  <c r="AD144" i="6" s="1"/>
  <c r="AD140" i="6" a="1"/>
  <c r="AD140" i="6" s="1"/>
  <c r="AD137" i="6" a="1"/>
  <c r="AD137" i="6" s="1"/>
  <c r="AD122" i="6" a="1"/>
  <c r="AD122" i="6" s="1"/>
  <c r="AD186" i="6" a="1"/>
  <c r="AD186" i="6" s="1"/>
  <c r="AD160" i="6" a="1"/>
  <c r="AD160" i="6" s="1"/>
  <c r="AD138" i="6" a="1"/>
  <c r="AD138" i="6" s="1"/>
  <c r="AD146" i="6" a="1"/>
  <c r="AD146" i="6" s="1"/>
  <c r="AD141" i="6" a="1"/>
  <c r="AD141" i="6" s="1"/>
  <c r="AD126" i="6" a="1"/>
  <c r="AD126" i="6" s="1"/>
  <c r="AD123" i="6" a="1"/>
  <c r="AD123" i="6" s="1"/>
  <c r="AD120" i="6" a="1"/>
  <c r="AD120" i="6" s="1"/>
  <c r="AD148" i="6" a="1"/>
  <c r="AD148" i="6" s="1"/>
  <c r="AD127" i="6" a="1"/>
  <c r="AD127" i="6" s="1"/>
  <c r="AD124" i="6" a="1"/>
  <c r="AD124" i="6" s="1"/>
  <c r="AD121" i="6" a="1"/>
  <c r="AD121" i="6" s="1"/>
  <c r="AD156" i="6" a="1"/>
  <c r="AD156" i="6" s="1"/>
  <c r="AD149" i="6" a="1"/>
  <c r="AD149" i="6" s="1"/>
  <c r="AD143" i="6" a="1"/>
  <c r="AD143" i="6" s="1"/>
  <c r="AD142" i="6" a="1"/>
  <c r="AD142" i="6" s="1"/>
  <c r="AD131" i="6" a="1"/>
  <c r="AD131" i="6" s="1"/>
  <c r="AD130" i="6" a="1"/>
  <c r="AD130" i="6" s="1"/>
  <c r="AD135" i="6" a="1"/>
  <c r="AD135" i="6" s="1"/>
  <c r="AD128" i="6" a="1"/>
  <c r="AD128" i="6" s="1"/>
  <c r="AD125" i="6" a="1"/>
  <c r="AD125" i="6" s="1"/>
  <c r="AD190" i="6" a="1"/>
  <c r="AD190" i="6" s="1"/>
  <c r="AD165" i="6" a="1"/>
  <c r="AD165" i="6" s="1"/>
  <c r="AD134" i="6" a="1"/>
  <c r="AD134" i="6" s="1"/>
  <c r="AD133" i="6" a="1"/>
  <c r="AD133" i="6" s="1"/>
  <c r="AD132" i="6" a="1"/>
  <c r="AD132" i="6" s="1"/>
  <c r="AD129" i="6" a="1"/>
  <c r="AD129" i="6" s="1"/>
  <c r="AD118" i="6" a="1"/>
  <c r="AD118" i="6" s="1"/>
  <c r="AD117" i="6" a="1"/>
  <c r="AD117" i="6" s="1"/>
  <c r="AD154" i="6" a="1"/>
  <c r="AD154" i="6" s="1"/>
  <c r="AD152" i="6" a="1"/>
  <c r="AD152" i="6" s="1"/>
  <c r="AD115" i="6" a="1"/>
  <c r="AD115" i="6" s="1"/>
  <c r="AD114" i="6" a="1"/>
  <c r="AD114" i="6" s="1"/>
  <c r="AD111" i="6" a="1"/>
  <c r="AD111" i="6" s="1"/>
  <c r="AD107" i="6" a="1"/>
  <c r="AD107" i="6" s="1"/>
  <c r="AD103" i="6" a="1"/>
  <c r="AD103" i="6" s="1"/>
  <c r="AD95" i="6" a="1"/>
  <c r="AD95" i="6" s="1"/>
  <c r="AD90" i="6" a="1"/>
  <c r="AD90" i="6" s="1"/>
  <c r="AD86" i="6" a="1"/>
  <c r="AD86" i="6" s="1"/>
  <c r="AD82" i="6" a="1"/>
  <c r="AD82" i="6" s="1"/>
  <c r="AD77" i="6" a="1"/>
  <c r="AD77" i="6" s="1"/>
  <c r="AD73" i="6" a="1"/>
  <c r="AD73" i="6" s="1"/>
  <c r="AD69" i="6" a="1"/>
  <c r="AD69" i="6" s="1"/>
  <c r="AD65" i="6" a="1"/>
  <c r="AD65" i="6" s="1"/>
  <c r="AD61" i="6" a="1"/>
  <c r="AD61" i="6" s="1"/>
  <c r="AD57" i="6" a="1"/>
  <c r="AD57" i="6" s="1"/>
  <c r="AD53" i="6" a="1"/>
  <c r="AD53" i="6" s="1"/>
  <c r="AD49" i="6" a="1"/>
  <c r="AD49" i="6" s="1"/>
  <c r="AD45" i="6" a="1"/>
  <c r="AD45" i="6" s="1"/>
  <c r="AD41" i="6" a="1"/>
  <c r="AD41" i="6" s="1"/>
  <c r="AD37" i="6" a="1"/>
  <c r="AD37" i="6" s="1"/>
  <c r="AD108" i="6" a="1"/>
  <c r="AD108" i="6" s="1"/>
  <c r="AD104" i="6" a="1"/>
  <c r="AD104" i="6" s="1"/>
  <c r="AD98" i="6" a="1"/>
  <c r="AD98" i="6" s="1"/>
  <c r="AD92" i="6" a="1"/>
  <c r="AD92" i="6" s="1"/>
  <c r="AD91" i="6" a="1"/>
  <c r="AD91" i="6" s="1"/>
  <c r="AD87" i="6" a="1"/>
  <c r="AD87" i="6" s="1"/>
  <c r="AD83" i="6" a="1"/>
  <c r="AD83" i="6" s="1"/>
  <c r="AD79" i="6" a="1"/>
  <c r="AD79" i="6" s="1"/>
  <c r="AD78" i="6" a="1"/>
  <c r="AD78" i="6" s="1"/>
  <c r="AD74" i="6" a="1"/>
  <c r="AD74" i="6" s="1"/>
  <c r="AD70" i="6" a="1"/>
  <c r="AD70" i="6" s="1"/>
  <c r="AD66" i="6" a="1"/>
  <c r="AD66" i="6" s="1"/>
  <c r="AD62" i="6" a="1"/>
  <c r="AD62" i="6" s="1"/>
  <c r="AD58" i="6" a="1"/>
  <c r="AD58" i="6" s="1"/>
  <c r="AD54" i="6" a="1"/>
  <c r="AD54" i="6" s="1"/>
  <c r="AD50" i="6" a="1"/>
  <c r="AD50" i="6" s="1"/>
  <c r="AD46" i="6" a="1"/>
  <c r="AD46" i="6" s="1"/>
  <c r="AD42" i="6" a="1"/>
  <c r="AD42" i="6" s="1"/>
  <c r="AD38" i="6" a="1"/>
  <c r="AD38" i="6" s="1"/>
  <c r="AD33" i="6" a="1"/>
  <c r="AD33" i="6" s="1"/>
  <c r="AD113" i="6" a="1"/>
  <c r="AD113" i="6" s="1"/>
  <c r="AD112" i="6" a="1"/>
  <c r="AD112" i="6" s="1"/>
  <c r="AD109" i="6" a="1"/>
  <c r="AD109" i="6" s="1"/>
  <c r="AD105" i="6" a="1"/>
  <c r="AD105" i="6" s="1"/>
  <c r="AD101" i="6" a="1"/>
  <c r="AD101" i="6" s="1"/>
  <c r="AD97" i="6" a="1"/>
  <c r="AD97" i="6" s="1"/>
  <c r="AD88" i="6" a="1"/>
  <c r="AD88" i="6" s="1"/>
  <c r="AD84" i="6" a="1"/>
  <c r="AD84" i="6" s="1"/>
  <c r="AD80" i="6" a="1"/>
  <c r="AD80" i="6" s="1"/>
  <c r="AD75" i="6" a="1"/>
  <c r="AD75" i="6" s="1"/>
  <c r="AD71" i="6" a="1"/>
  <c r="AD71" i="6" s="1"/>
  <c r="AD67" i="6" a="1"/>
  <c r="AD67" i="6" s="1"/>
  <c r="AD63" i="6" a="1"/>
  <c r="AD63" i="6" s="1"/>
  <c r="AD59" i="6" a="1"/>
  <c r="AD59" i="6" s="1"/>
  <c r="AD55" i="6" a="1"/>
  <c r="AD55" i="6" s="1"/>
  <c r="AD51" i="6" a="1"/>
  <c r="AD51" i="6" s="1"/>
  <c r="AD47" i="6" a="1"/>
  <c r="AD47" i="6" s="1"/>
  <c r="AD43" i="6" a="1"/>
  <c r="AD43" i="6" s="1"/>
  <c r="AD39" i="6" a="1"/>
  <c r="AD39" i="6" s="1"/>
  <c r="AD35" i="6" a="1"/>
  <c r="AD35" i="6" s="1"/>
  <c r="AD32" i="6" a="1"/>
  <c r="AD32" i="6" s="1"/>
  <c r="AD31" i="6" a="1"/>
  <c r="AD31" i="6" s="1"/>
  <c r="AD30" i="6" a="1"/>
  <c r="AD30" i="6" s="1"/>
  <c r="AD29" i="6" a="1"/>
  <c r="AD29" i="6" s="1"/>
  <c r="AD119" i="6" a="1"/>
  <c r="AD119" i="6" s="1"/>
  <c r="AD100" i="6" a="1"/>
  <c r="AD100" i="6" s="1"/>
  <c r="AD94" i="6" a="1"/>
  <c r="AD94" i="6" s="1"/>
  <c r="AD136" i="6" a="1"/>
  <c r="AD136" i="6" s="1"/>
  <c r="AD110" i="6" a="1"/>
  <c r="AD110" i="6" s="1"/>
  <c r="AD106" i="6" a="1"/>
  <c r="AD106" i="6" s="1"/>
  <c r="AD102" i="6" a="1"/>
  <c r="AD102" i="6" s="1"/>
  <c r="AD99" i="6" a="1"/>
  <c r="AD99" i="6" s="1"/>
  <c r="AD93" i="6" a="1"/>
  <c r="AD93" i="6" s="1"/>
  <c r="AD89" i="6" a="1"/>
  <c r="AD89" i="6" s="1"/>
  <c r="AD85" i="6" a="1"/>
  <c r="AD85" i="6" s="1"/>
  <c r="AD81" i="6" a="1"/>
  <c r="AD81" i="6" s="1"/>
  <c r="AD76" i="6" a="1"/>
  <c r="AD76" i="6" s="1"/>
  <c r="AD72" i="6" a="1"/>
  <c r="AD72" i="6" s="1"/>
  <c r="AD68" i="6" a="1"/>
  <c r="AD68" i="6" s="1"/>
  <c r="AD64" i="6" a="1"/>
  <c r="AD64" i="6" s="1"/>
  <c r="AD60" i="6" a="1"/>
  <c r="AD60" i="6" s="1"/>
  <c r="AD56" i="6" a="1"/>
  <c r="AD56" i="6" s="1"/>
  <c r="AD52" i="6" a="1"/>
  <c r="AD52" i="6" s="1"/>
  <c r="AD48" i="6" a="1"/>
  <c r="AD48" i="6" s="1"/>
  <c r="AD44" i="6" a="1"/>
  <c r="AD44" i="6" s="1"/>
  <c r="AD40" i="6" a="1"/>
  <c r="AD40" i="6" s="1"/>
  <c r="AD36" i="6" a="1"/>
  <c r="AD36" i="6" s="1"/>
  <c r="AD139" i="6" a="1"/>
  <c r="AD139" i="6" s="1"/>
  <c r="AD116" i="6" a="1"/>
  <c r="AD116" i="6" s="1"/>
  <c r="AD96" i="6" a="1"/>
  <c r="AD96" i="6" s="1"/>
  <c r="AD9" i="6" a="1"/>
  <c r="AD9" i="6" s="1"/>
  <c r="AD13" i="6" a="1"/>
  <c r="AD13" i="6" s="1"/>
  <c r="AC8" i="6" a="1"/>
  <c r="AC8" i="6" s="1"/>
  <c r="AE9" i="6" a="1"/>
  <c r="AE9" i="6" s="1"/>
  <c r="AG10" i="6" a="1"/>
  <c r="AG10" i="6" s="1"/>
  <c r="AA11" i="6" a="1"/>
  <c r="AA11" i="6" s="1"/>
  <c r="AC12" i="6" a="1"/>
  <c r="AC12" i="6" s="1"/>
  <c r="AE13" i="6" a="1"/>
  <c r="AE13" i="6" s="1"/>
  <c r="AG14" i="6" a="1"/>
  <c r="AG14" i="6" s="1"/>
  <c r="AA15" i="6" a="1"/>
  <c r="AA15" i="6" s="1"/>
  <c r="AC16" i="6" a="1"/>
  <c r="AC16" i="6" s="1"/>
  <c r="AE17" i="6" a="1"/>
  <c r="AE17" i="6" s="1"/>
  <c r="AG18" i="6" a="1"/>
  <c r="AG18" i="6" s="1"/>
  <c r="AA19" i="6" a="1"/>
  <c r="AA19" i="6" s="1"/>
  <c r="AC20" i="6" a="1"/>
  <c r="AC20" i="6" s="1"/>
  <c r="AE21" i="6" a="1"/>
  <c r="AE21" i="6" s="1"/>
  <c r="AG22" i="6" a="1"/>
  <c r="AG22" i="6" s="1"/>
  <c r="AA23" i="6" a="1"/>
  <c r="AA23" i="6" s="1"/>
  <c r="AC24" i="6" a="1"/>
  <c r="AC24" i="6" s="1"/>
  <c r="AE25" i="6" a="1"/>
  <c r="AE25" i="6" s="1"/>
  <c r="AG26" i="6" a="1"/>
  <c r="AG26" i="6" s="1"/>
  <c r="AA27" i="6" a="1"/>
  <c r="AA27" i="6" s="1"/>
  <c r="AE28" i="6" a="1"/>
  <c r="AE28" i="6" s="1"/>
  <c r="AE33" i="6" a="1"/>
  <c r="AE33" i="6" s="1"/>
  <c r="AG35" i="6" a="1"/>
  <c r="AG35" i="6" s="1"/>
  <c r="AA40" i="6" a="1"/>
  <c r="AA40" i="6" s="1"/>
  <c r="AG41" i="6" a="1"/>
  <c r="AG41" i="6" s="1"/>
  <c r="AG50" i="6" a="1"/>
  <c r="AG50" i="6" s="1"/>
  <c r="AA55" i="6" a="1"/>
  <c r="AA55" i="6" s="1"/>
  <c r="AC64" i="6" a="1"/>
  <c r="AC64" i="6" s="1"/>
  <c r="AE357" i="6" a="1"/>
  <c r="AE357" i="6" s="1"/>
  <c r="AE353" i="6" a="1"/>
  <c r="AE353" i="6" s="1"/>
  <c r="AE349" i="6" a="1"/>
  <c r="AE349" i="6" s="1"/>
  <c r="AE339" i="6" a="1"/>
  <c r="AE339" i="6" s="1"/>
  <c r="AE335" i="6" a="1"/>
  <c r="AE335" i="6" s="1"/>
  <c r="AE331" i="6" a="1"/>
  <c r="AE331" i="6" s="1"/>
  <c r="AE327" i="6" a="1"/>
  <c r="AE327" i="6" s="1"/>
  <c r="AE320" i="6" a="1"/>
  <c r="AE320" i="6" s="1"/>
  <c r="AE344" i="6" a="1"/>
  <c r="AE344" i="6" s="1"/>
  <c r="AE358" i="6" a="1"/>
  <c r="AE358" i="6" s="1"/>
  <c r="AE354" i="6" a="1"/>
  <c r="AE354" i="6" s="1"/>
  <c r="AE350" i="6" a="1"/>
  <c r="AE350" i="6" s="1"/>
  <c r="AE345" i="6" a="1"/>
  <c r="AE345" i="6" s="1"/>
  <c r="AE340" i="6" a="1"/>
  <c r="AE340" i="6" s="1"/>
  <c r="AE336" i="6" a="1"/>
  <c r="AE336" i="6" s="1"/>
  <c r="AE332" i="6" a="1"/>
  <c r="AE332" i="6" s="1"/>
  <c r="AE328" i="6" a="1"/>
  <c r="AE328" i="6" s="1"/>
  <c r="AE346" i="6" a="1"/>
  <c r="AE346" i="6" s="1"/>
  <c r="AE316" i="6" a="1"/>
  <c r="AE316" i="6" s="1"/>
  <c r="AE355" i="6" a="1"/>
  <c r="AE355" i="6" s="1"/>
  <c r="AE351" i="6" a="1"/>
  <c r="AE351" i="6" s="1"/>
  <c r="AE347" i="6" a="1"/>
  <c r="AE347" i="6" s="1"/>
  <c r="AE341" i="6" a="1"/>
  <c r="AE341" i="6" s="1"/>
  <c r="AE337" i="6" a="1"/>
  <c r="AE337" i="6" s="1"/>
  <c r="AE333" i="6" a="1"/>
  <c r="AE333" i="6" s="1"/>
  <c r="AE329" i="6" a="1"/>
  <c r="AE329" i="6" s="1"/>
  <c r="AE325" i="6" a="1"/>
  <c r="AE325" i="6" s="1"/>
  <c r="AE322" i="6" a="1"/>
  <c r="AE322" i="6" s="1"/>
  <c r="AE315" i="6" a="1"/>
  <c r="AE315" i="6" s="1"/>
  <c r="AE356" i="6" a="1"/>
  <c r="AE356" i="6" s="1"/>
  <c r="AE352" i="6" a="1"/>
  <c r="AE352" i="6" s="1"/>
  <c r="AE348" i="6" a="1"/>
  <c r="AE348" i="6" s="1"/>
  <c r="AE342" i="6" a="1"/>
  <c r="AE342" i="6" s="1"/>
  <c r="AE338" i="6" a="1"/>
  <c r="AE338" i="6" s="1"/>
  <c r="AE334" i="6" a="1"/>
  <c r="AE334" i="6" s="1"/>
  <c r="AE330" i="6" a="1"/>
  <c r="AE330" i="6" s="1"/>
  <c r="AE326" i="6" a="1"/>
  <c r="AE326" i="6" s="1"/>
  <c r="AE323" i="6" a="1"/>
  <c r="AE323" i="6" s="1"/>
  <c r="AE319" i="6" a="1"/>
  <c r="AE319" i="6" s="1"/>
  <c r="AE343" i="6" a="1"/>
  <c r="AE343" i="6" s="1"/>
  <c r="AE305" i="6" a="1"/>
  <c r="AE305" i="6" s="1"/>
  <c r="AE311" i="6" a="1"/>
  <c r="AE311" i="6" s="1"/>
  <c r="AE307" i="6" a="1"/>
  <c r="AE307" i="6" s="1"/>
  <c r="AE300" i="6" a="1"/>
  <c r="AE300" i="6" s="1"/>
  <c r="AE294" i="6" a="1"/>
  <c r="AE294" i="6" s="1"/>
  <c r="AE290" i="6" a="1"/>
  <c r="AE290" i="6" s="1"/>
  <c r="AE313" i="6" a="1"/>
  <c r="AE313" i="6" s="1"/>
  <c r="AE303" i="6" a="1"/>
  <c r="AE303" i="6" s="1"/>
  <c r="AE296" i="6" a="1"/>
  <c r="AE296" i="6" s="1"/>
  <c r="AE318" i="6" a="1"/>
  <c r="AE318" i="6" s="1"/>
  <c r="AE314" i="6" a="1"/>
  <c r="AE314" i="6" s="1"/>
  <c r="AE301" i="6" a="1"/>
  <c r="AE301" i="6" s="1"/>
  <c r="AE298" i="6" a="1"/>
  <c r="AE298" i="6" s="1"/>
  <c r="AE324" i="6" a="1"/>
  <c r="AE324" i="6" s="1"/>
  <c r="AE310" i="6" a="1"/>
  <c r="AE310" i="6" s="1"/>
  <c r="AE293" i="6" a="1"/>
  <c r="AE293" i="6" s="1"/>
  <c r="AE317" i="6" a="1"/>
  <c r="AE317" i="6" s="1"/>
  <c r="AE312" i="6" a="1"/>
  <c r="AE312" i="6" s="1"/>
  <c r="AE308" i="6" a="1"/>
  <c r="AE308" i="6" s="1"/>
  <c r="AE321" i="6" a="1"/>
  <c r="AE321" i="6" s="1"/>
  <c r="AE304" i="6" a="1"/>
  <c r="AE304" i="6" s="1"/>
  <c r="AE295" i="6" a="1"/>
  <c r="AE295" i="6" s="1"/>
  <c r="AE281" i="6" a="1"/>
  <c r="AE281" i="6" s="1"/>
  <c r="AE272" i="6" a="1"/>
  <c r="AE272" i="6" s="1"/>
  <c r="AE268" i="6" a="1"/>
  <c r="AE268" i="6" s="1"/>
  <c r="AE264" i="6" a="1"/>
  <c r="AE264" i="6" s="1"/>
  <c r="AE306" i="6" a="1"/>
  <c r="AE306" i="6" s="1"/>
  <c r="AE297" i="6" a="1"/>
  <c r="AE297" i="6" s="1"/>
  <c r="AE292" i="6" a="1"/>
  <c r="AE292" i="6" s="1"/>
  <c r="AE278" i="6" a="1"/>
  <c r="AE278" i="6" s="1"/>
  <c r="AE277" i="6" a="1"/>
  <c r="AE277" i="6" s="1"/>
  <c r="AE273" i="6" a="1"/>
  <c r="AE273" i="6" s="1"/>
  <c r="AE269" i="6" a="1"/>
  <c r="AE269" i="6" s="1"/>
  <c r="AE265" i="6" a="1"/>
  <c r="AE265" i="6" s="1"/>
  <c r="AE261" i="6" a="1"/>
  <c r="AE261" i="6" s="1"/>
  <c r="AE287" i="6" a="1"/>
  <c r="AE287" i="6" s="1"/>
  <c r="AE286" i="6" a="1"/>
  <c r="AE286" i="6" s="1"/>
  <c r="AE279" i="6" a="1"/>
  <c r="AE279" i="6" s="1"/>
  <c r="AE253" i="6" a="1"/>
  <c r="AE253" i="6" s="1"/>
  <c r="AE283" i="6" a="1"/>
  <c r="AE283" i="6" s="1"/>
  <c r="AE280" i="6" a="1"/>
  <c r="AE280" i="6" s="1"/>
  <c r="AE289" i="6" a="1"/>
  <c r="AE289" i="6" s="1"/>
  <c r="AE288" i="6" a="1"/>
  <c r="AE288" i="6" s="1"/>
  <c r="AE282" i="6" a="1"/>
  <c r="AE282" i="6" s="1"/>
  <c r="AE276" i="6" a="1"/>
  <c r="AE276" i="6" s="1"/>
  <c r="AE271" i="6" a="1"/>
  <c r="AE271" i="6" s="1"/>
  <c r="AE267" i="6" a="1"/>
  <c r="AE267" i="6" s="1"/>
  <c r="AE263" i="6" a="1"/>
  <c r="AE263" i="6" s="1"/>
  <c r="AE274" i="6" a="1"/>
  <c r="AE274" i="6" s="1"/>
  <c r="AE251" i="6" a="1"/>
  <c r="AE251" i="6" s="1"/>
  <c r="AE232" i="6" a="1"/>
  <c r="AE232" i="6" s="1"/>
  <c r="AE231" i="6" a="1"/>
  <c r="AE231" i="6" s="1"/>
  <c r="AE221" i="6" a="1"/>
  <c r="AE221" i="6" s="1"/>
  <c r="AE291" i="6" a="1"/>
  <c r="AE291" i="6" s="1"/>
  <c r="AE260" i="6" a="1"/>
  <c r="AE260" i="6" s="1"/>
  <c r="AE247" i="6" a="1"/>
  <c r="AE247" i="6" s="1"/>
  <c r="AE241" i="6" a="1"/>
  <c r="AE241" i="6" s="1"/>
  <c r="AE257" i="6" a="1"/>
  <c r="AE257" i="6" s="1"/>
  <c r="AE256" i="6" a="1"/>
  <c r="AE256" i="6" s="1"/>
  <c r="AE248" i="6" a="1"/>
  <c r="AE248" i="6" s="1"/>
  <c r="AE242" i="6" a="1"/>
  <c r="AE242" i="6" s="1"/>
  <c r="AE239" i="6" a="1"/>
  <c r="AE239" i="6" s="1"/>
  <c r="AE236" i="6" a="1"/>
  <c r="AE236" i="6" s="1"/>
  <c r="AE229" i="6" a="1"/>
  <c r="AE229" i="6" s="1"/>
  <c r="AE228" i="6" a="1"/>
  <c r="AE228" i="6" s="1"/>
  <c r="AE299" i="6" a="1"/>
  <c r="AE299" i="6" s="1"/>
  <c r="AE258" i="6" a="1"/>
  <c r="AE258" i="6" s="1"/>
  <c r="AE255" i="6" a="1"/>
  <c r="AE255" i="6" s="1"/>
  <c r="AE254" i="6" a="1"/>
  <c r="AE254" i="6" s="1"/>
  <c r="AE252" i="6" a="1"/>
  <c r="AE252" i="6" s="1"/>
  <c r="AE243" i="6" a="1"/>
  <c r="AE243" i="6" s="1"/>
  <c r="AE238" i="6" a="1"/>
  <c r="AE238" i="6" s="1"/>
  <c r="AE235" i="6" a="1"/>
  <c r="AE235" i="6" s="1"/>
  <c r="AE284" i="6" a="1"/>
  <c r="AE284" i="6" s="1"/>
  <c r="AE249" i="6" a="1"/>
  <c r="AE249" i="6" s="1"/>
  <c r="AE230" i="6" a="1"/>
  <c r="AE230" i="6" s="1"/>
  <c r="AE226" i="6" a="1"/>
  <c r="AE226" i="6" s="1"/>
  <c r="AE275" i="6" a="1"/>
  <c r="AE275" i="6" s="1"/>
  <c r="AE266" i="6" a="1"/>
  <c r="AE266" i="6" s="1"/>
  <c r="AE259" i="6" a="1"/>
  <c r="AE259" i="6" s="1"/>
  <c r="AE250" i="6" a="1"/>
  <c r="AE250" i="6" s="1"/>
  <c r="AE245" i="6" a="1"/>
  <c r="AE245" i="6" s="1"/>
  <c r="AE237" i="6" a="1"/>
  <c r="AE237" i="6" s="1"/>
  <c r="AE223" i="6" a="1"/>
  <c r="AE223" i="6" s="1"/>
  <c r="AE309" i="6" a="1"/>
  <c r="AE309" i="6" s="1"/>
  <c r="AE285" i="6" a="1"/>
  <c r="AE285" i="6" s="1"/>
  <c r="AE270" i="6" a="1"/>
  <c r="AE270" i="6" s="1"/>
  <c r="AE246" i="6" a="1"/>
  <c r="AE246" i="6" s="1"/>
  <c r="AE240" i="6" a="1"/>
  <c r="AE240" i="6" s="1"/>
  <c r="AE234" i="6" a="1"/>
  <c r="AE234" i="6" s="1"/>
  <c r="AE227" i="6" a="1"/>
  <c r="AE227" i="6" s="1"/>
  <c r="AE225" i="6" a="1"/>
  <c r="AE225" i="6" s="1"/>
  <c r="AE216" i="6" a="1"/>
  <c r="AE216" i="6" s="1"/>
  <c r="AE211" i="6" a="1"/>
  <c r="AE211" i="6" s="1"/>
  <c r="AE207" i="6" a="1"/>
  <c r="AE207" i="6" s="1"/>
  <c r="AE185" i="6" a="1"/>
  <c r="AE185" i="6" s="1"/>
  <c r="AE233" i="6" a="1"/>
  <c r="AE233" i="6" s="1"/>
  <c r="AE218" i="6" a="1"/>
  <c r="AE218" i="6" s="1"/>
  <c r="AE206" i="6" a="1"/>
  <c r="AE206" i="6" s="1"/>
  <c r="AE203" i="6" a="1"/>
  <c r="AE203" i="6" s="1"/>
  <c r="AE199" i="6" a="1"/>
  <c r="AE199" i="6" s="1"/>
  <c r="AE195" i="6" a="1"/>
  <c r="AE195" i="6" s="1"/>
  <c r="AE192" i="6" a="1"/>
  <c r="AE192" i="6" s="1"/>
  <c r="AE188" i="6" a="1"/>
  <c r="AE188" i="6" s="1"/>
  <c r="AE224" i="6" a="1"/>
  <c r="AE224" i="6" s="1"/>
  <c r="AE205" i="6" a="1"/>
  <c r="AE205" i="6" s="1"/>
  <c r="AE204" i="6" a="1"/>
  <c r="AE204" i="6" s="1"/>
  <c r="AE191" i="6" a="1"/>
  <c r="AE191" i="6" s="1"/>
  <c r="AE220" i="6" a="1"/>
  <c r="AE220" i="6" s="1"/>
  <c r="AE200" i="6" a="1"/>
  <c r="AE200" i="6" s="1"/>
  <c r="AE196" i="6" a="1"/>
  <c r="AE196" i="6" s="1"/>
  <c r="AE215" i="6" a="1"/>
  <c r="AE215" i="6" s="1"/>
  <c r="AE213" i="6" a="1"/>
  <c r="AE213" i="6" s="1"/>
  <c r="AE190" i="6" a="1"/>
  <c r="AE190" i="6" s="1"/>
  <c r="AE302" i="6" a="1"/>
  <c r="AE302" i="6" s="1"/>
  <c r="AE262" i="6" a="1"/>
  <c r="AE262" i="6" s="1"/>
  <c r="AE222" i="6" a="1"/>
  <c r="AE222" i="6" s="1"/>
  <c r="AE212" i="6" a="1"/>
  <c r="AE212" i="6" s="1"/>
  <c r="AE189" i="6" a="1"/>
  <c r="AE189" i="6" s="1"/>
  <c r="AE244" i="6" a="1"/>
  <c r="AE244" i="6" s="1"/>
  <c r="AE210" i="6" a="1"/>
  <c r="AE210" i="6" s="1"/>
  <c r="AE209" i="6" a="1"/>
  <c r="AE209" i="6" s="1"/>
  <c r="AE208" i="6" a="1"/>
  <c r="AE208" i="6" s="1"/>
  <c r="AE202" i="6" a="1"/>
  <c r="AE202" i="6" s="1"/>
  <c r="AE198" i="6" a="1"/>
  <c r="AE198" i="6" s="1"/>
  <c r="AE194" i="6" a="1"/>
  <c r="AE194" i="6" s="1"/>
  <c r="AE175" i="6" a="1"/>
  <c r="AE175" i="6" s="1"/>
  <c r="AE171" i="6" a="1"/>
  <c r="AE171" i="6" s="1"/>
  <c r="AE168" i="6" a="1"/>
  <c r="AE168" i="6" s="1"/>
  <c r="AE164" i="6" a="1"/>
  <c r="AE164" i="6" s="1"/>
  <c r="AE159" i="6" a="1"/>
  <c r="AE159" i="6" s="1"/>
  <c r="AE217" i="6" a="1"/>
  <c r="AE217" i="6" s="1"/>
  <c r="AE193" i="6" a="1"/>
  <c r="AE193" i="6" s="1"/>
  <c r="AE187" i="6" a="1"/>
  <c r="AE187" i="6" s="1"/>
  <c r="AE184" i="6" a="1"/>
  <c r="AE184" i="6" s="1"/>
  <c r="AE163" i="6" a="1"/>
  <c r="AE163" i="6" s="1"/>
  <c r="AE154" i="6" a="1"/>
  <c r="AE154" i="6" s="1"/>
  <c r="AE197" i="6" a="1"/>
  <c r="AE197" i="6" s="1"/>
  <c r="AE183" i="6" a="1"/>
  <c r="AE183" i="6" s="1"/>
  <c r="AE174" i="6" a="1"/>
  <c r="AE174" i="6" s="1"/>
  <c r="AE170" i="6" a="1"/>
  <c r="AE170" i="6" s="1"/>
  <c r="AE167" i="6" a="1"/>
  <c r="AE167" i="6" s="1"/>
  <c r="AE158" i="6" a="1"/>
  <c r="AE158" i="6" s="1"/>
  <c r="AE201" i="6" a="1"/>
  <c r="AE201" i="6" s="1"/>
  <c r="AE179" i="6" a="1"/>
  <c r="AE179" i="6" s="1"/>
  <c r="AE178" i="6" a="1"/>
  <c r="AE178" i="6" s="1"/>
  <c r="AE162" i="6" a="1"/>
  <c r="AE162" i="6" s="1"/>
  <c r="AE157" i="6" a="1"/>
  <c r="AE157" i="6" s="1"/>
  <c r="AE181" i="6" a="1"/>
  <c r="AE181" i="6" s="1"/>
  <c r="AE177" i="6" a="1"/>
  <c r="AE177" i="6" s="1"/>
  <c r="AE166" i="6" a="1"/>
  <c r="AE166" i="6" s="1"/>
  <c r="AE156" i="6" a="1"/>
  <c r="AE156" i="6" s="1"/>
  <c r="AE214" i="6" a="1"/>
  <c r="AE214" i="6" s="1"/>
  <c r="AE176" i="6" a="1"/>
  <c r="AE176" i="6" s="1"/>
  <c r="AE173" i="6" a="1"/>
  <c r="AE173" i="6" s="1"/>
  <c r="AE169" i="6" a="1"/>
  <c r="AE169" i="6" s="1"/>
  <c r="AE161" i="6" a="1"/>
  <c r="AE161" i="6" s="1"/>
  <c r="AE219" i="6" a="1"/>
  <c r="AE219" i="6" s="1"/>
  <c r="AE186" i="6" a="1"/>
  <c r="AE186" i="6" s="1"/>
  <c r="AE182" i="6" a="1"/>
  <c r="AE182" i="6" s="1"/>
  <c r="AE172" i="6" a="1"/>
  <c r="AE172" i="6" s="1"/>
  <c r="AE165" i="6" a="1"/>
  <c r="AE165" i="6" s="1"/>
  <c r="AE160" i="6" a="1"/>
  <c r="AE160" i="6" s="1"/>
  <c r="AE151" i="6" a="1"/>
  <c r="AE151" i="6" s="1"/>
  <c r="AE138" i="6" a="1"/>
  <c r="AE138" i="6" s="1"/>
  <c r="AE146" i="6" a="1"/>
  <c r="AE146" i="6" s="1"/>
  <c r="AE141" i="6" a="1"/>
  <c r="AE141" i="6" s="1"/>
  <c r="AE126" i="6" a="1"/>
  <c r="AE126" i="6" s="1"/>
  <c r="AE123" i="6" a="1"/>
  <c r="AE123" i="6" s="1"/>
  <c r="AE148" i="6" a="1"/>
  <c r="AE148" i="6" s="1"/>
  <c r="AE127" i="6" a="1"/>
  <c r="AE127" i="6" s="1"/>
  <c r="AE124" i="6" a="1"/>
  <c r="AE124" i="6" s="1"/>
  <c r="AE121" i="6" a="1"/>
  <c r="AE121" i="6" s="1"/>
  <c r="AE149" i="6" a="1"/>
  <c r="AE149" i="6" s="1"/>
  <c r="AE143" i="6" a="1"/>
  <c r="AE143" i="6" s="1"/>
  <c r="AE142" i="6" a="1"/>
  <c r="AE142" i="6" s="1"/>
  <c r="AE131" i="6" a="1"/>
  <c r="AE131" i="6" s="1"/>
  <c r="AE130" i="6" a="1"/>
  <c r="AE130" i="6" s="1"/>
  <c r="AE135" i="6" a="1"/>
  <c r="AE135" i="6" s="1"/>
  <c r="AE128" i="6" a="1"/>
  <c r="AE128" i="6" s="1"/>
  <c r="AE125" i="6" a="1"/>
  <c r="AE125" i="6" s="1"/>
  <c r="AE153" i="6" a="1"/>
  <c r="AE153" i="6" s="1"/>
  <c r="AE152" i="6" a="1"/>
  <c r="AE152" i="6" s="1"/>
  <c r="AE134" i="6" a="1"/>
  <c r="AE134" i="6" s="1"/>
  <c r="AE133" i="6" a="1"/>
  <c r="AE133" i="6" s="1"/>
  <c r="AE132" i="6" a="1"/>
  <c r="AE132" i="6" s="1"/>
  <c r="AE129" i="6" a="1"/>
  <c r="AE129" i="6" s="1"/>
  <c r="AE118" i="6" a="1"/>
  <c r="AE118" i="6" s="1"/>
  <c r="AE117" i="6" a="1"/>
  <c r="AE117" i="6" s="1"/>
  <c r="AE115" i="6" a="1"/>
  <c r="AE115" i="6" s="1"/>
  <c r="AE155" i="6" a="1"/>
  <c r="AE155" i="6" s="1"/>
  <c r="AE150" i="6" a="1"/>
  <c r="AE150" i="6" s="1"/>
  <c r="AE139" i="6" a="1"/>
  <c r="AE139" i="6" s="1"/>
  <c r="AE136" i="6" a="1"/>
  <c r="AE136" i="6" s="1"/>
  <c r="AE180" i="6" a="1"/>
  <c r="AE180" i="6" s="1"/>
  <c r="AE120" i="6" a="1"/>
  <c r="AE120" i="6" s="1"/>
  <c r="AE108" i="6" a="1"/>
  <c r="AE108" i="6" s="1"/>
  <c r="AE104" i="6" a="1"/>
  <c r="AE104" i="6" s="1"/>
  <c r="AE98" i="6" a="1"/>
  <c r="AE98" i="6" s="1"/>
  <c r="AE92" i="6" a="1"/>
  <c r="AE92" i="6" s="1"/>
  <c r="AE91" i="6" a="1"/>
  <c r="AE91" i="6" s="1"/>
  <c r="AE87" i="6" a="1"/>
  <c r="AE87" i="6" s="1"/>
  <c r="AE83" i="6" a="1"/>
  <c r="AE83" i="6" s="1"/>
  <c r="AE79" i="6" a="1"/>
  <c r="AE79" i="6" s="1"/>
  <c r="AE78" i="6" a="1"/>
  <c r="AE78" i="6" s="1"/>
  <c r="AE74" i="6" a="1"/>
  <c r="AE74" i="6" s="1"/>
  <c r="AE70" i="6" a="1"/>
  <c r="AE70" i="6" s="1"/>
  <c r="AE66" i="6" a="1"/>
  <c r="AE66" i="6" s="1"/>
  <c r="AE62" i="6" a="1"/>
  <c r="AE62" i="6" s="1"/>
  <c r="AE58" i="6" a="1"/>
  <c r="AE58" i="6" s="1"/>
  <c r="AE54" i="6" a="1"/>
  <c r="AE54" i="6" s="1"/>
  <c r="AE50" i="6" a="1"/>
  <c r="AE50" i="6" s="1"/>
  <c r="AE46" i="6" a="1"/>
  <c r="AE46" i="6" s="1"/>
  <c r="AE42" i="6" a="1"/>
  <c r="AE42" i="6" s="1"/>
  <c r="AE144" i="6" a="1"/>
  <c r="AE144" i="6" s="1"/>
  <c r="AE34" i="6" a="1"/>
  <c r="AE34" i="6" s="1"/>
  <c r="AE147" i="6" a="1"/>
  <c r="AE147" i="6" s="1"/>
  <c r="AE113" i="6" a="1"/>
  <c r="AE113" i="6" s="1"/>
  <c r="AE112" i="6" a="1"/>
  <c r="AE112" i="6" s="1"/>
  <c r="AE109" i="6" a="1"/>
  <c r="AE109" i="6" s="1"/>
  <c r="AE105" i="6" a="1"/>
  <c r="AE105" i="6" s="1"/>
  <c r="AE101" i="6" a="1"/>
  <c r="AE101" i="6" s="1"/>
  <c r="AE97" i="6" a="1"/>
  <c r="AE97" i="6" s="1"/>
  <c r="AE88" i="6" a="1"/>
  <c r="AE88" i="6" s="1"/>
  <c r="AE84" i="6" a="1"/>
  <c r="AE84" i="6" s="1"/>
  <c r="AE80" i="6" a="1"/>
  <c r="AE80" i="6" s="1"/>
  <c r="AE75" i="6" a="1"/>
  <c r="AE75" i="6" s="1"/>
  <c r="AE71" i="6" a="1"/>
  <c r="AE71" i="6" s="1"/>
  <c r="AE67" i="6" a="1"/>
  <c r="AE67" i="6" s="1"/>
  <c r="AE63" i="6" a="1"/>
  <c r="AE63" i="6" s="1"/>
  <c r="AE59" i="6" a="1"/>
  <c r="AE59" i="6" s="1"/>
  <c r="AE55" i="6" a="1"/>
  <c r="AE55" i="6" s="1"/>
  <c r="AE51" i="6" a="1"/>
  <c r="AE51" i="6" s="1"/>
  <c r="AE47" i="6" a="1"/>
  <c r="AE47" i="6" s="1"/>
  <c r="AE43" i="6" a="1"/>
  <c r="AE43" i="6" s="1"/>
  <c r="AE140" i="6" a="1"/>
  <c r="AE140" i="6" s="1"/>
  <c r="AE137" i="6" a="1"/>
  <c r="AE137" i="6" s="1"/>
  <c r="AE122" i="6" a="1"/>
  <c r="AE122" i="6" s="1"/>
  <c r="AE119" i="6" a="1"/>
  <c r="AE119" i="6" s="1"/>
  <c r="AE100" i="6" a="1"/>
  <c r="AE100" i="6" s="1"/>
  <c r="AE94" i="6" a="1"/>
  <c r="AE94" i="6" s="1"/>
  <c r="AE110" i="6" a="1"/>
  <c r="AE110" i="6" s="1"/>
  <c r="AE106" i="6" a="1"/>
  <c r="AE106" i="6" s="1"/>
  <c r="AE102" i="6" a="1"/>
  <c r="AE102" i="6" s="1"/>
  <c r="AE99" i="6" a="1"/>
  <c r="AE99" i="6" s="1"/>
  <c r="AE93" i="6" a="1"/>
  <c r="AE93" i="6" s="1"/>
  <c r="AE89" i="6" a="1"/>
  <c r="AE89" i="6" s="1"/>
  <c r="AE85" i="6" a="1"/>
  <c r="AE85" i="6" s="1"/>
  <c r="AE81" i="6" a="1"/>
  <c r="AE81" i="6" s="1"/>
  <c r="AE76" i="6" a="1"/>
  <c r="AE76" i="6" s="1"/>
  <c r="AE72" i="6" a="1"/>
  <c r="AE72" i="6" s="1"/>
  <c r="AE68" i="6" a="1"/>
  <c r="AE68" i="6" s="1"/>
  <c r="AE64" i="6" a="1"/>
  <c r="AE64" i="6" s="1"/>
  <c r="AE60" i="6" a="1"/>
  <c r="AE60" i="6" s="1"/>
  <c r="AE56" i="6" a="1"/>
  <c r="AE56" i="6" s="1"/>
  <c r="AE52" i="6" a="1"/>
  <c r="AE52" i="6" s="1"/>
  <c r="AE48" i="6" a="1"/>
  <c r="AE48" i="6" s="1"/>
  <c r="AE44" i="6" a="1"/>
  <c r="AE44" i="6" s="1"/>
  <c r="AE116" i="6" a="1"/>
  <c r="AE116" i="6" s="1"/>
  <c r="AE96" i="6" a="1"/>
  <c r="AE96" i="6" s="1"/>
  <c r="AE145" i="6" a="1"/>
  <c r="AE145" i="6" s="1"/>
  <c r="AE114" i="6" a="1"/>
  <c r="AE114" i="6" s="1"/>
  <c r="AE111" i="6" a="1"/>
  <c r="AE111" i="6" s="1"/>
  <c r="AE107" i="6" a="1"/>
  <c r="AE107" i="6" s="1"/>
  <c r="AE103" i="6" a="1"/>
  <c r="AE103" i="6" s="1"/>
  <c r="AE95" i="6" a="1"/>
  <c r="AE95" i="6" s="1"/>
  <c r="AE90" i="6" a="1"/>
  <c r="AE90" i="6" s="1"/>
  <c r="AE86" i="6" a="1"/>
  <c r="AE86" i="6" s="1"/>
  <c r="AE82" i="6" a="1"/>
  <c r="AE82" i="6" s="1"/>
  <c r="AG6" i="6" a="1"/>
  <c r="AG6" i="6" s="1"/>
  <c r="AA7" i="6" a="1"/>
  <c r="AA7" i="6" s="1"/>
  <c r="AF344" i="6" a="1"/>
  <c r="AF344" i="6" s="1"/>
  <c r="AF358" i="6" a="1"/>
  <c r="AF358" i="6" s="1"/>
  <c r="AF354" i="6" a="1"/>
  <c r="AF354" i="6" s="1"/>
  <c r="AF350" i="6" a="1"/>
  <c r="AF350" i="6" s="1"/>
  <c r="AF345" i="6" a="1"/>
  <c r="AF345" i="6" s="1"/>
  <c r="AF340" i="6" a="1"/>
  <c r="AF340" i="6" s="1"/>
  <c r="AF336" i="6" a="1"/>
  <c r="AF336" i="6" s="1"/>
  <c r="AF332" i="6" a="1"/>
  <c r="AF332" i="6" s="1"/>
  <c r="AF328" i="6" a="1"/>
  <c r="AF328" i="6" s="1"/>
  <c r="AF321" i="6" a="1"/>
  <c r="AF321" i="6" s="1"/>
  <c r="AF313" i="6" a="1"/>
  <c r="AF313" i="6" s="1"/>
  <c r="AF346" i="6" a="1"/>
  <c r="AF346" i="6" s="1"/>
  <c r="AF355" i="6" a="1"/>
  <c r="AF355" i="6" s="1"/>
  <c r="AF351" i="6" a="1"/>
  <c r="AF351" i="6" s="1"/>
  <c r="AF347" i="6" a="1"/>
  <c r="AF347" i="6" s="1"/>
  <c r="AF341" i="6" a="1"/>
  <c r="AF341" i="6" s="1"/>
  <c r="AF337" i="6" a="1"/>
  <c r="AF337" i="6" s="1"/>
  <c r="AF333" i="6" a="1"/>
  <c r="AF333" i="6" s="1"/>
  <c r="AF329" i="6" a="1"/>
  <c r="AF329" i="6" s="1"/>
  <c r="AF325" i="6" a="1"/>
  <c r="AF325" i="6" s="1"/>
  <c r="AF322" i="6" a="1"/>
  <c r="AF322" i="6" s="1"/>
  <c r="AF356" i="6" a="1"/>
  <c r="AF356" i="6" s="1"/>
  <c r="AF352" i="6" a="1"/>
  <c r="AF352" i="6" s="1"/>
  <c r="AF348" i="6" a="1"/>
  <c r="AF348" i="6" s="1"/>
  <c r="AF342" i="6" a="1"/>
  <c r="AF342" i="6" s="1"/>
  <c r="AF338" i="6" a="1"/>
  <c r="AF338" i="6" s="1"/>
  <c r="AF334" i="6" a="1"/>
  <c r="AF334" i="6" s="1"/>
  <c r="AF330" i="6" a="1"/>
  <c r="AF330" i="6" s="1"/>
  <c r="AF326" i="6" a="1"/>
  <c r="AF326" i="6" s="1"/>
  <c r="AF324" i="6" a="1"/>
  <c r="AF324" i="6" s="1"/>
  <c r="AF323" i="6" a="1"/>
  <c r="AF323" i="6" s="1"/>
  <c r="AF319" i="6" a="1"/>
  <c r="AF319" i="6" s="1"/>
  <c r="AF314" i="6" a="1"/>
  <c r="AF314" i="6" s="1"/>
  <c r="AF343" i="6" a="1"/>
  <c r="AF343" i="6" s="1"/>
  <c r="AF357" i="6" a="1"/>
  <c r="AF357" i="6" s="1"/>
  <c r="AF353" i="6" a="1"/>
  <c r="AF353" i="6" s="1"/>
  <c r="AF349" i="6" a="1"/>
  <c r="AF349" i="6" s="1"/>
  <c r="AF315" i="6" a="1"/>
  <c r="AF315" i="6" s="1"/>
  <c r="AF311" i="6" a="1"/>
  <c r="AF311" i="6" s="1"/>
  <c r="AF307" i="6" a="1"/>
  <c r="AF307" i="6" s="1"/>
  <c r="AF300" i="6" a="1"/>
  <c r="AF300" i="6" s="1"/>
  <c r="AF294" i="6" a="1"/>
  <c r="AF294" i="6" s="1"/>
  <c r="AF290" i="6" a="1"/>
  <c r="AF290" i="6" s="1"/>
  <c r="AF303" i="6" a="1"/>
  <c r="AF303" i="6" s="1"/>
  <c r="AF298" i="6" a="1"/>
  <c r="AF298" i="6" s="1"/>
  <c r="AF296" i="6" a="1"/>
  <c r="AF296" i="6" s="1"/>
  <c r="AF282" i="6" a="1"/>
  <c r="AF282" i="6" s="1"/>
  <c r="AF318" i="6" a="1"/>
  <c r="AF318" i="6" s="1"/>
  <c r="AF310" i="6" a="1"/>
  <c r="AF310" i="6" s="1"/>
  <c r="AF301" i="6" a="1"/>
  <c r="AF301" i="6" s="1"/>
  <c r="AF327" i="6" a="1"/>
  <c r="AF327" i="6" s="1"/>
  <c r="AF320" i="6" a="1"/>
  <c r="AF320" i="6" s="1"/>
  <c r="AF293" i="6" a="1"/>
  <c r="AF293" i="6" s="1"/>
  <c r="AF331" i="6" a="1"/>
  <c r="AF331" i="6" s="1"/>
  <c r="AF317" i="6" a="1"/>
  <c r="AF317" i="6" s="1"/>
  <c r="AF312" i="6" a="1"/>
  <c r="AF312" i="6" s="1"/>
  <c r="AF308" i="6" a="1"/>
  <c r="AF308" i="6" s="1"/>
  <c r="AF306" i="6" a="1"/>
  <c r="AF306" i="6" s="1"/>
  <c r="AF299" i="6" a="1"/>
  <c r="AF299" i="6" s="1"/>
  <c r="AF291" i="6" a="1"/>
  <c r="AF291" i="6" s="1"/>
  <c r="AF286" i="6" a="1"/>
  <c r="AF286" i="6" s="1"/>
  <c r="AF283" i="6" a="1"/>
  <c r="AF283" i="6" s="1"/>
  <c r="AF335" i="6" a="1"/>
  <c r="AF335" i="6" s="1"/>
  <c r="AF304" i="6" a="1"/>
  <c r="AF304" i="6" s="1"/>
  <c r="AF302" i="6" a="1"/>
  <c r="AF302" i="6" s="1"/>
  <c r="AF339" i="6" a="1"/>
  <c r="AF339" i="6" s="1"/>
  <c r="AF316" i="6" a="1"/>
  <c r="AF316" i="6" s="1"/>
  <c r="AF305" i="6" a="1"/>
  <c r="AF305" i="6" s="1"/>
  <c r="AF281" i="6" a="1"/>
  <c r="AF281" i="6" s="1"/>
  <c r="AF272" i="6" a="1"/>
  <c r="AF272" i="6" s="1"/>
  <c r="AF268" i="6" a="1"/>
  <c r="AF268" i="6" s="1"/>
  <c r="AF264" i="6" a="1"/>
  <c r="AF264" i="6" s="1"/>
  <c r="AF260" i="6" a="1"/>
  <c r="AF260" i="6" s="1"/>
  <c r="AF256" i="6" a="1"/>
  <c r="AF256" i="6" s="1"/>
  <c r="AF297" i="6" a="1"/>
  <c r="AF297" i="6" s="1"/>
  <c r="AF292" i="6" a="1"/>
  <c r="AF292" i="6" s="1"/>
  <c r="AF278" i="6" a="1"/>
  <c r="AF278" i="6" s="1"/>
  <c r="AF277" i="6" a="1"/>
  <c r="AF277" i="6" s="1"/>
  <c r="AF273" i="6" a="1"/>
  <c r="AF273" i="6" s="1"/>
  <c r="AF269" i="6" a="1"/>
  <c r="AF269" i="6" s="1"/>
  <c r="AF265" i="6" a="1"/>
  <c r="AF265" i="6" s="1"/>
  <c r="AF261" i="6" a="1"/>
  <c r="AF261" i="6" s="1"/>
  <c r="AF257" i="6" a="1"/>
  <c r="AF257" i="6" s="1"/>
  <c r="AF287" i="6" a="1"/>
  <c r="AF287" i="6" s="1"/>
  <c r="AF279" i="6" a="1"/>
  <c r="AF279" i="6" s="1"/>
  <c r="AF275" i="6" a="1"/>
  <c r="AF275" i="6" s="1"/>
  <c r="AF309" i="6" a="1"/>
  <c r="AF309" i="6" s="1"/>
  <c r="AF285" i="6" a="1"/>
  <c r="AF285" i="6" s="1"/>
  <c r="AF284" i="6" a="1"/>
  <c r="AF284" i="6" s="1"/>
  <c r="AF274" i="6" a="1"/>
  <c r="AF274" i="6" s="1"/>
  <c r="AF270" i="6" a="1"/>
  <c r="AF270" i="6" s="1"/>
  <c r="AF266" i="6" a="1"/>
  <c r="AF266" i="6" s="1"/>
  <c r="AF262" i="6" a="1"/>
  <c r="AF262" i="6" s="1"/>
  <c r="AF258" i="6" a="1"/>
  <c r="AF258" i="6" s="1"/>
  <c r="AF254" i="6" a="1"/>
  <c r="AF254" i="6" s="1"/>
  <c r="AF289" i="6" a="1"/>
  <c r="AF289" i="6" s="1"/>
  <c r="AF288" i="6" a="1"/>
  <c r="AF288" i="6" s="1"/>
  <c r="AF276" i="6" a="1"/>
  <c r="AF276" i="6" s="1"/>
  <c r="AF271" i="6" a="1"/>
  <c r="AF271" i="6" s="1"/>
  <c r="AF267" i="6" a="1"/>
  <c r="AF267" i="6" s="1"/>
  <c r="AF263" i="6" a="1"/>
  <c r="AF263" i="6" s="1"/>
  <c r="AF259" i="6" a="1"/>
  <c r="AF259" i="6" s="1"/>
  <c r="AF295" i="6" a="1"/>
  <c r="AF295" i="6" s="1"/>
  <c r="AF247" i="6" a="1"/>
  <c r="AF247" i="6" s="1"/>
  <c r="AF241" i="6" a="1"/>
  <c r="AF241" i="6" s="1"/>
  <c r="AF239" i="6" a="1"/>
  <c r="AF239" i="6" s="1"/>
  <c r="AF248" i="6" a="1"/>
  <c r="AF248" i="6" s="1"/>
  <c r="AF242" i="6" a="1"/>
  <c r="AF242" i="6" s="1"/>
  <c r="AF236" i="6" a="1"/>
  <c r="AF236" i="6" s="1"/>
  <c r="AF229" i="6" a="1"/>
  <c r="AF229" i="6" s="1"/>
  <c r="AF228" i="6" a="1"/>
  <c r="AF228" i="6" s="1"/>
  <c r="AF255" i="6" a="1"/>
  <c r="AF255" i="6" s="1"/>
  <c r="AF252" i="6" a="1"/>
  <c r="AF252" i="6" s="1"/>
  <c r="AF243" i="6" a="1"/>
  <c r="AF243" i="6" s="1"/>
  <c r="AF238" i="6" a="1"/>
  <c r="AF238" i="6" s="1"/>
  <c r="AF235" i="6" a="1"/>
  <c r="AF235" i="6" s="1"/>
  <c r="AF249" i="6" a="1"/>
  <c r="AF249" i="6" s="1"/>
  <c r="AF233" i="6" a="1"/>
  <c r="AF233" i="6" s="1"/>
  <c r="AF230" i="6" a="1"/>
  <c r="AF230" i="6" s="1"/>
  <c r="AF226" i="6" a="1"/>
  <c r="AF226" i="6" s="1"/>
  <c r="AF224" i="6" a="1"/>
  <c r="AF224" i="6" s="1"/>
  <c r="AF244" i="6" a="1"/>
  <c r="AF244" i="6" s="1"/>
  <c r="AF280" i="6" a="1"/>
  <c r="AF280" i="6" s="1"/>
  <c r="AF253" i="6" a="1"/>
  <c r="AF253" i="6" s="1"/>
  <c r="AF246" i="6" a="1"/>
  <c r="AF246" i="6" s="1"/>
  <c r="AF240" i="6" a="1"/>
  <c r="AF240" i="6" s="1"/>
  <c r="AF234" i="6" a="1"/>
  <c r="AF234" i="6" s="1"/>
  <c r="AF232" i="6" a="1"/>
  <c r="AF232" i="6" s="1"/>
  <c r="AF231" i="6" a="1"/>
  <c r="AF231" i="6" s="1"/>
  <c r="AF227" i="6" a="1"/>
  <c r="AF227" i="6" s="1"/>
  <c r="AF225" i="6" a="1"/>
  <c r="AF225" i="6" s="1"/>
  <c r="AF251" i="6" a="1"/>
  <c r="AF251" i="6" s="1"/>
  <c r="AF218" i="6" a="1"/>
  <c r="AF218" i="6" s="1"/>
  <c r="AF206" i="6" a="1"/>
  <c r="AF206" i="6" s="1"/>
  <c r="AF203" i="6" a="1"/>
  <c r="AF203" i="6" s="1"/>
  <c r="AF199" i="6" a="1"/>
  <c r="AF199" i="6" s="1"/>
  <c r="AF195" i="6" a="1"/>
  <c r="AF195" i="6" s="1"/>
  <c r="AF191" i="6" a="1"/>
  <c r="AF191" i="6" s="1"/>
  <c r="AF188" i="6" a="1"/>
  <c r="AF188" i="6" s="1"/>
  <c r="AF205" i="6" a="1"/>
  <c r="AF205" i="6" s="1"/>
  <c r="AF204" i="6" a="1"/>
  <c r="AF204" i="6" s="1"/>
  <c r="AF184" i="6" a="1"/>
  <c r="AF184" i="6" s="1"/>
  <c r="AF221" i="6" a="1"/>
  <c r="AF221" i="6" s="1"/>
  <c r="AF220" i="6" a="1"/>
  <c r="AF220" i="6" s="1"/>
  <c r="AF215" i="6" a="1"/>
  <c r="AF215" i="6" s="1"/>
  <c r="AF200" i="6" a="1"/>
  <c r="AF200" i="6" s="1"/>
  <c r="AF196" i="6" a="1"/>
  <c r="AF196" i="6" s="1"/>
  <c r="AF187" i="6" a="1"/>
  <c r="AF187" i="6" s="1"/>
  <c r="AF250" i="6" a="1"/>
  <c r="AF250" i="6" s="1"/>
  <c r="AF213" i="6" a="1"/>
  <c r="AF213" i="6" s="1"/>
  <c r="AF223" i="6" a="1"/>
  <c r="AF223" i="6" s="1"/>
  <c r="AF219" i="6" a="1"/>
  <c r="AF219" i="6" s="1"/>
  <c r="AF217" i="6" a="1"/>
  <c r="AF217" i="6" s="1"/>
  <c r="AF214" i="6" a="1"/>
  <c r="AF214" i="6" s="1"/>
  <c r="AF201" i="6" a="1"/>
  <c r="AF201" i="6" s="1"/>
  <c r="AF197" i="6" a="1"/>
  <c r="AF197" i="6" s="1"/>
  <c r="AF193" i="6" a="1"/>
  <c r="AF193" i="6" s="1"/>
  <c r="AF237" i="6" a="1"/>
  <c r="AF237" i="6" s="1"/>
  <c r="AF210" i="6" a="1"/>
  <c r="AF210" i="6" s="1"/>
  <c r="AF209" i="6" a="1"/>
  <c r="AF209" i="6" s="1"/>
  <c r="AF208" i="6" a="1"/>
  <c r="AF208" i="6" s="1"/>
  <c r="AF202" i="6" a="1"/>
  <c r="AF202" i="6" s="1"/>
  <c r="AF198" i="6" a="1"/>
  <c r="AF198" i="6" s="1"/>
  <c r="AF194" i="6" a="1"/>
  <c r="AF194" i="6" s="1"/>
  <c r="AF216" i="6" a="1"/>
  <c r="AF216" i="6" s="1"/>
  <c r="AF211" i="6" a="1"/>
  <c r="AF211" i="6" s="1"/>
  <c r="AF207" i="6" a="1"/>
  <c r="AF207" i="6" s="1"/>
  <c r="AF192" i="6" a="1"/>
  <c r="AF192" i="6" s="1"/>
  <c r="AF163" i="6" a="1"/>
  <c r="AF163" i="6" s="1"/>
  <c r="AF154" i="6" a="1"/>
  <c r="AF154" i="6" s="1"/>
  <c r="AF183" i="6" a="1"/>
  <c r="AF183" i="6" s="1"/>
  <c r="AF174" i="6" a="1"/>
  <c r="AF174" i="6" s="1"/>
  <c r="AF170" i="6" a="1"/>
  <c r="AF170" i="6" s="1"/>
  <c r="AF167" i="6" a="1"/>
  <c r="AF167" i="6" s="1"/>
  <c r="AF158" i="6" a="1"/>
  <c r="AF158" i="6" s="1"/>
  <c r="AF179" i="6" a="1"/>
  <c r="AF179" i="6" s="1"/>
  <c r="AF178" i="6" a="1"/>
  <c r="AF178" i="6" s="1"/>
  <c r="AF162" i="6" a="1"/>
  <c r="AF162" i="6" s="1"/>
  <c r="AF157" i="6" a="1"/>
  <c r="AF157" i="6" s="1"/>
  <c r="AF245" i="6" a="1"/>
  <c r="AF245" i="6" s="1"/>
  <c r="AF189" i="6" a="1"/>
  <c r="AF189" i="6" s="1"/>
  <c r="AF185" i="6" a="1"/>
  <c r="AF185" i="6" s="1"/>
  <c r="AF181" i="6" a="1"/>
  <c r="AF181" i="6" s="1"/>
  <c r="AF177" i="6" a="1"/>
  <c r="AF177" i="6" s="1"/>
  <c r="AF169" i="6" a="1"/>
  <c r="AF169" i="6" s="1"/>
  <c r="AF166" i="6" a="1"/>
  <c r="AF166" i="6" s="1"/>
  <c r="AF161" i="6" a="1"/>
  <c r="AF161" i="6" s="1"/>
  <c r="AF156" i="6" a="1"/>
  <c r="AF156" i="6" s="1"/>
  <c r="AF212" i="6" a="1"/>
  <c r="AF212" i="6" s="1"/>
  <c r="AF176" i="6" a="1"/>
  <c r="AF176" i="6" s="1"/>
  <c r="AF173" i="6" a="1"/>
  <c r="AF173" i="6" s="1"/>
  <c r="AF186" i="6" a="1"/>
  <c r="AF186" i="6" s="1"/>
  <c r="AF182" i="6" a="1"/>
  <c r="AF182" i="6" s="1"/>
  <c r="AF172" i="6" a="1"/>
  <c r="AF172" i="6" s="1"/>
  <c r="AF165" i="6" a="1"/>
  <c r="AF165" i="6" s="1"/>
  <c r="AF160" i="6" a="1"/>
  <c r="AF160" i="6" s="1"/>
  <c r="AF190" i="6" a="1"/>
  <c r="AF190" i="6" s="1"/>
  <c r="AF180" i="6" a="1"/>
  <c r="AF180" i="6" s="1"/>
  <c r="AF168" i="6" a="1"/>
  <c r="AF168" i="6" s="1"/>
  <c r="AF164" i="6" a="1"/>
  <c r="AF164" i="6" s="1"/>
  <c r="AF155" i="6" a="1"/>
  <c r="AF155" i="6" s="1"/>
  <c r="AF146" i="6" a="1"/>
  <c r="AF146" i="6" s="1"/>
  <c r="AF141" i="6" a="1"/>
  <c r="AF141" i="6" s="1"/>
  <c r="AF126" i="6" a="1"/>
  <c r="AF126" i="6" s="1"/>
  <c r="AF123" i="6" a="1"/>
  <c r="AF123" i="6" s="1"/>
  <c r="AF121" i="6" a="1"/>
  <c r="AF121" i="6" s="1"/>
  <c r="AF120" i="6" a="1"/>
  <c r="AF120" i="6" s="1"/>
  <c r="AF148" i="6" a="1"/>
  <c r="AF148" i="6" s="1"/>
  <c r="AF127" i="6" a="1"/>
  <c r="AF127" i="6" s="1"/>
  <c r="AF124" i="6" a="1"/>
  <c r="AF124" i="6" s="1"/>
  <c r="AF149" i="6" a="1"/>
  <c r="AF149" i="6" s="1"/>
  <c r="AF143" i="6" a="1"/>
  <c r="AF143" i="6" s="1"/>
  <c r="AF142" i="6" a="1"/>
  <c r="AF142" i="6" s="1"/>
  <c r="AF131" i="6" a="1"/>
  <c r="AF131" i="6" s="1"/>
  <c r="AF130" i="6" a="1"/>
  <c r="AF130" i="6" s="1"/>
  <c r="AF175" i="6" a="1"/>
  <c r="AF175" i="6" s="1"/>
  <c r="AF135" i="6" a="1"/>
  <c r="AF135" i="6" s="1"/>
  <c r="AF128" i="6" a="1"/>
  <c r="AF128" i="6" s="1"/>
  <c r="AF125" i="6" a="1"/>
  <c r="AF125" i="6" s="1"/>
  <c r="AF111" i="6" a="1"/>
  <c r="AF111" i="6" s="1"/>
  <c r="AF222" i="6" a="1"/>
  <c r="AF222" i="6" s="1"/>
  <c r="AF153" i="6" a="1"/>
  <c r="AF153" i="6" s="1"/>
  <c r="AF152" i="6" a="1"/>
  <c r="AF152" i="6" s="1"/>
  <c r="AF134" i="6" a="1"/>
  <c r="AF134" i="6" s="1"/>
  <c r="AF133" i="6" a="1"/>
  <c r="AF133" i="6" s="1"/>
  <c r="AF132" i="6" a="1"/>
  <c r="AF132" i="6" s="1"/>
  <c r="AF129" i="6" a="1"/>
  <c r="AF129" i="6" s="1"/>
  <c r="AF118" i="6" a="1"/>
  <c r="AF118" i="6" s="1"/>
  <c r="AF117" i="6" a="1"/>
  <c r="AF117" i="6" s="1"/>
  <c r="AF115" i="6" a="1"/>
  <c r="AF115" i="6" s="1"/>
  <c r="AF171" i="6" a="1"/>
  <c r="AF171" i="6" s="1"/>
  <c r="AF159" i="6" a="1"/>
  <c r="AF159" i="6" s="1"/>
  <c r="AF150" i="6" a="1"/>
  <c r="AF150" i="6" s="1"/>
  <c r="AF147" i="6" a="1"/>
  <c r="AF147" i="6" s="1"/>
  <c r="AF145" i="6" a="1"/>
  <c r="AF145" i="6" s="1"/>
  <c r="AF139" i="6" a="1"/>
  <c r="AF139" i="6" s="1"/>
  <c r="AF136" i="6" a="1"/>
  <c r="AF136" i="6" s="1"/>
  <c r="AF116" i="6" a="1"/>
  <c r="AF116" i="6" s="1"/>
  <c r="AF144" i="6" a="1"/>
  <c r="AF144" i="6" s="1"/>
  <c r="AF140" i="6" a="1"/>
  <c r="AF140" i="6" s="1"/>
  <c r="AF137" i="6" a="1"/>
  <c r="AF137" i="6" s="1"/>
  <c r="AF122" i="6" a="1"/>
  <c r="AF122" i="6" s="1"/>
  <c r="AF119" i="6" a="1"/>
  <c r="AF119" i="6" s="1"/>
  <c r="AF151" i="6" a="1"/>
  <c r="AF151" i="6" s="1"/>
  <c r="AF108" i="6" a="1"/>
  <c r="AF108" i="6" s="1"/>
  <c r="AF104" i="6" a="1"/>
  <c r="AF104" i="6" s="1"/>
  <c r="AF98" i="6" a="1"/>
  <c r="AF98" i="6" s="1"/>
  <c r="AF92" i="6" a="1"/>
  <c r="AF92" i="6" s="1"/>
  <c r="AF91" i="6" a="1"/>
  <c r="AF91" i="6" s="1"/>
  <c r="AF87" i="6" a="1"/>
  <c r="AF87" i="6" s="1"/>
  <c r="AF83" i="6" a="1"/>
  <c r="AF83" i="6" s="1"/>
  <c r="AF79" i="6" a="1"/>
  <c r="AF79" i="6" s="1"/>
  <c r="AF78" i="6" a="1"/>
  <c r="AF78" i="6" s="1"/>
  <c r="AF74" i="6" a="1"/>
  <c r="AF74" i="6" s="1"/>
  <c r="AF70" i="6" a="1"/>
  <c r="AF70" i="6" s="1"/>
  <c r="AF66" i="6" a="1"/>
  <c r="AF66" i="6" s="1"/>
  <c r="AF62" i="6" a="1"/>
  <c r="AF62" i="6" s="1"/>
  <c r="AF58" i="6" a="1"/>
  <c r="AF58" i="6" s="1"/>
  <c r="AF54" i="6" a="1"/>
  <c r="AF54" i="6" s="1"/>
  <c r="AF50" i="6" a="1"/>
  <c r="AF50" i="6" s="1"/>
  <c r="AF46" i="6" a="1"/>
  <c r="AF46" i="6" s="1"/>
  <c r="AF42" i="6" a="1"/>
  <c r="AF42" i="6" s="1"/>
  <c r="AF38" i="6" a="1"/>
  <c r="AF38" i="6" s="1"/>
  <c r="AF33" i="6" a="1"/>
  <c r="AF33" i="6" s="1"/>
  <c r="AF97" i="6" a="1"/>
  <c r="AF97" i="6" s="1"/>
  <c r="AF138" i="6" a="1"/>
  <c r="AF138" i="6" s="1"/>
  <c r="AF113" i="6" a="1"/>
  <c r="AF113" i="6" s="1"/>
  <c r="AF112" i="6" a="1"/>
  <c r="AF112" i="6" s="1"/>
  <c r="AF109" i="6" a="1"/>
  <c r="AF109" i="6" s="1"/>
  <c r="AF105" i="6" a="1"/>
  <c r="AF105" i="6" s="1"/>
  <c r="AF101" i="6" a="1"/>
  <c r="AF101" i="6" s="1"/>
  <c r="AF88" i="6" a="1"/>
  <c r="AF88" i="6" s="1"/>
  <c r="AF84" i="6" a="1"/>
  <c r="AF84" i="6" s="1"/>
  <c r="AF80" i="6" a="1"/>
  <c r="AF80" i="6" s="1"/>
  <c r="AF75" i="6" a="1"/>
  <c r="AF75" i="6" s="1"/>
  <c r="AF71" i="6" a="1"/>
  <c r="AF71" i="6" s="1"/>
  <c r="AF67" i="6" a="1"/>
  <c r="AF67" i="6" s="1"/>
  <c r="AF63" i="6" a="1"/>
  <c r="AF63" i="6" s="1"/>
  <c r="AF59" i="6" a="1"/>
  <c r="AF59" i="6" s="1"/>
  <c r="AF55" i="6" a="1"/>
  <c r="AF55" i="6" s="1"/>
  <c r="AF51" i="6" a="1"/>
  <c r="AF51" i="6" s="1"/>
  <c r="AF47" i="6" a="1"/>
  <c r="AF47" i="6" s="1"/>
  <c r="AF43" i="6" a="1"/>
  <c r="AF43" i="6" s="1"/>
  <c r="AF39" i="6" a="1"/>
  <c r="AF39" i="6" s="1"/>
  <c r="AF35" i="6" a="1"/>
  <c r="AF35" i="6" s="1"/>
  <c r="AF32" i="6" a="1"/>
  <c r="AF32" i="6" s="1"/>
  <c r="AF31" i="6" a="1"/>
  <c r="AF31" i="6" s="1"/>
  <c r="AF30" i="6" a="1"/>
  <c r="AF30" i="6" s="1"/>
  <c r="AF100" i="6" a="1"/>
  <c r="AF100" i="6" s="1"/>
  <c r="AF94" i="6" a="1"/>
  <c r="AF94" i="6" s="1"/>
  <c r="AF110" i="6" a="1"/>
  <c r="AF110" i="6" s="1"/>
  <c r="AF106" i="6" a="1"/>
  <c r="AF106" i="6" s="1"/>
  <c r="AF102" i="6" a="1"/>
  <c r="AF102" i="6" s="1"/>
  <c r="AF99" i="6" a="1"/>
  <c r="AF99" i="6" s="1"/>
  <c r="AF93" i="6" a="1"/>
  <c r="AF93" i="6" s="1"/>
  <c r="AF89" i="6" a="1"/>
  <c r="AF89" i="6" s="1"/>
  <c r="AF85" i="6" a="1"/>
  <c r="AF85" i="6" s="1"/>
  <c r="AF81" i="6" a="1"/>
  <c r="AF81" i="6" s="1"/>
  <c r="AF76" i="6" a="1"/>
  <c r="AF76" i="6" s="1"/>
  <c r="AF72" i="6" a="1"/>
  <c r="AF72" i="6" s="1"/>
  <c r="AF68" i="6" a="1"/>
  <c r="AF68" i="6" s="1"/>
  <c r="AF64" i="6" a="1"/>
  <c r="AF64" i="6" s="1"/>
  <c r="AF60" i="6" a="1"/>
  <c r="AF60" i="6" s="1"/>
  <c r="AF56" i="6" a="1"/>
  <c r="AF56" i="6" s="1"/>
  <c r="AF52" i="6" a="1"/>
  <c r="AF52" i="6" s="1"/>
  <c r="AF48" i="6" a="1"/>
  <c r="AF48" i="6" s="1"/>
  <c r="AF44" i="6" a="1"/>
  <c r="AF44" i="6" s="1"/>
  <c r="AF40" i="6" a="1"/>
  <c r="AF40" i="6" s="1"/>
  <c r="AF36" i="6" a="1"/>
  <c r="AF36" i="6" s="1"/>
  <c r="AF96" i="6" a="1"/>
  <c r="AF96" i="6" s="1"/>
  <c r="AF114" i="6" a="1"/>
  <c r="AF114" i="6" s="1"/>
  <c r="AF107" i="6" a="1"/>
  <c r="AF107" i="6" s="1"/>
  <c r="AF103" i="6" a="1"/>
  <c r="AF103" i="6" s="1"/>
  <c r="AF95" i="6" a="1"/>
  <c r="AF95" i="6" s="1"/>
  <c r="AF90" i="6" a="1"/>
  <c r="AF90" i="6" s="1"/>
  <c r="AF86" i="6" a="1"/>
  <c r="AF86" i="6" s="1"/>
  <c r="AF82" i="6" a="1"/>
  <c r="AF82" i="6" s="1"/>
  <c r="AF77" i="6" a="1"/>
  <c r="AF77" i="6" s="1"/>
  <c r="AF73" i="6" a="1"/>
  <c r="AF73" i="6" s="1"/>
  <c r="AF69" i="6" a="1"/>
  <c r="AF69" i="6" s="1"/>
  <c r="AF65" i="6" a="1"/>
  <c r="AF65" i="6" s="1"/>
  <c r="AF61" i="6" a="1"/>
  <c r="AF61" i="6" s="1"/>
  <c r="AF57" i="6" a="1"/>
  <c r="AF57" i="6" s="1"/>
  <c r="AF53" i="6" a="1"/>
  <c r="AF53" i="6" s="1"/>
  <c r="AF49" i="6" a="1"/>
  <c r="AF49" i="6" s="1"/>
  <c r="AF45" i="6" a="1"/>
  <c r="AF45" i="6" s="1"/>
  <c r="AF41" i="6" a="1"/>
  <c r="AF41" i="6" s="1"/>
  <c r="AF37" i="6" a="1"/>
  <c r="AF37" i="6" s="1"/>
  <c r="AB7" i="6" a="1"/>
  <c r="AB7" i="6" s="1"/>
  <c r="AD8" i="6" a="1"/>
  <c r="AD8" i="6" s="1"/>
  <c r="AF9" i="6" a="1"/>
  <c r="AF9" i="6" s="1"/>
  <c r="AB11" i="6" a="1"/>
  <c r="AB11" i="6" s="1"/>
  <c r="AD12" i="6" a="1"/>
  <c r="AD12" i="6" s="1"/>
  <c r="AF13" i="6" a="1"/>
  <c r="AF13" i="6" s="1"/>
  <c r="AB15" i="6" a="1"/>
  <c r="AB15" i="6" s="1"/>
  <c r="AD16" i="6" a="1"/>
  <c r="AD16" i="6" s="1"/>
  <c r="AF17" i="6" a="1"/>
  <c r="AF17" i="6" s="1"/>
  <c r="AB19" i="6" a="1"/>
  <c r="AB19" i="6" s="1"/>
  <c r="AD20" i="6" a="1"/>
  <c r="AD20" i="6" s="1"/>
  <c r="AF21" i="6" a="1"/>
  <c r="AF21" i="6" s="1"/>
  <c r="AB23" i="6" a="1"/>
  <c r="AB23" i="6" s="1"/>
  <c r="AD24" i="6" a="1"/>
  <c r="AD24" i="6" s="1"/>
  <c r="AF25" i="6" a="1"/>
  <c r="AF25" i="6" s="1"/>
  <c r="AB27" i="6" a="1"/>
  <c r="AB27" i="6" s="1"/>
  <c r="AF28" i="6" a="1"/>
  <c r="AF28" i="6" s="1"/>
  <c r="AA29" i="6" a="1"/>
  <c r="AA29" i="6" s="1"/>
  <c r="AG33" i="6" a="1"/>
  <c r="AG33" i="6" s="1"/>
  <c r="AA39" i="6" a="1"/>
  <c r="AA39" i="6" s="1"/>
  <c r="AC40" i="6" a="1"/>
  <c r="AC40" i="6" s="1"/>
  <c r="AG46" i="6" a="1"/>
  <c r="AG46" i="6" s="1"/>
  <c r="AA51" i="6" a="1"/>
  <c r="AA51" i="6" s="1"/>
  <c r="AC60" i="6" a="1"/>
  <c r="AC60" i="6" s="1"/>
  <c r="AE69" i="6" a="1"/>
  <c r="AE69" i="6" s="1"/>
  <c r="AG78" i="6" a="1"/>
  <c r="AG78" i="6" s="1"/>
  <c r="AG13" i="6" a="1"/>
  <c r="AG13" i="6" s="1"/>
  <c r="AC39" i="6" a="1"/>
  <c r="AC39" i="6" s="1"/>
  <c r="AG42" i="6" a="1"/>
  <c r="AG42" i="6" s="1"/>
  <c r="AA47" i="6" a="1"/>
  <c r="AA47" i="6" s="1"/>
  <c r="AC56" i="6" a="1"/>
  <c r="AC56" i="6" s="1"/>
  <c r="AE65" i="6" a="1"/>
  <c r="AE65" i="6" s="1"/>
  <c r="AG358" i="6" a="1"/>
  <c r="AG358" i="6" s="1"/>
  <c r="AG354" i="6" a="1"/>
  <c r="AG354" i="6" s="1"/>
  <c r="AG350" i="6" a="1"/>
  <c r="AG350" i="6" s="1"/>
  <c r="AG345" i="6" a="1"/>
  <c r="AG345" i="6" s="1"/>
  <c r="AG340" i="6" a="1"/>
  <c r="AG340" i="6" s="1"/>
  <c r="AG336" i="6" a="1"/>
  <c r="AG336" i="6" s="1"/>
  <c r="AG332" i="6" a="1"/>
  <c r="AG332" i="6" s="1"/>
  <c r="AG328" i="6" a="1"/>
  <c r="AG328" i="6" s="1"/>
  <c r="AG321" i="6" a="1"/>
  <c r="AG321" i="6" s="1"/>
  <c r="AG346" i="6" a="1"/>
  <c r="AG346" i="6" s="1"/>
  <c r="AG316" i="6" a="1"/>
  <c r="AG316" i="6" s="1"/>
  <c r="AG355" i="6" a="1"/>
  <c r="AG355" i="6" s="1"/>
  <c r="AG351" i="6" a="1"/>
  <c r="AG351" i="6" s="1"/>
  <c r="AG347" i="6" a="1"/>
  <c r="AG347" i="6" s="1"/>
  <c r="AG341" i="6" a="1"/>
  <c r="AG341" i="6" s="1"/>
  <c r="AG337" i="6" a="1"/>
  <c r="AG337" i="6" s="1"/>
  <c r="AG333" i="6" a="1"/>
  <c r="AG333" i="6" s="1"/>
  <c r="AG329" i="6" a="1"/>
  <c r="AG329" i="6" s="1"/>
  <c r="AG325" i="6" a="1"/>
  <c r="AG325" i="6" s="1"/>
  <c r="AG324" i="6" a="1"/>
  <c r="AG324" i="6" s="1"/>
  <c r="AG315" i="6" a="1"/>
  <c r="AG315" i="6" s="1"/>
  <c r="AG314" i="6" a="1"/>
  <c r="AG314" i="6" s="1"/>
  <c r="AG356" i="6" a="1"/>
  <c r="AG356" i="6" s="1"/>
  <c r="AG352" i="6" a="1"/>
  <c r="AG352" i="6" s="1"/>
  <c r="AG348" i="6" a="1"/>
  <c r="AG348" i="6" s="1"/>
  <c r="AG342" i="6" a="1"/>
  <c r="AG342" i="6" s="1"/>
  <c r="AG338" i="6" a="1"/>
  <c r="AG338" i="6" s="1"/>
  <c r="AG334" i="6" a="1"/>
  <c r="AG334" i="6" s="1"/>
  <c r="AG330" i="6" a="1"/>
  <c r="AG330" i="6" s="1"/>
  <c r="AG326" i="6" a="1"/>
  <c r="AG326" i="6" s="1"/>
  <c r="AG323" i="6" a="1"/>
  <c r="AG323" i="6" s="1"/>
  <c r="AG343" i="6" a="1"/>
  <c r="AG343" i="6" s="1"/>
  <c r="AG357" i="6" a="1"/>
  <c r="AG357" i="6" s="1"/>
  <c r="AG353" i="6" a="1"/>
  <c r="AG353" i="6" s="1"/>
  <c r="AG349" i="6" a="1"/>
  <c r="AG349" i="6" s="1"/>
  <c r="AG339" i="6" a="1"/>
  <c r="AG339" i="6" s="1"/>
  <c r="AG335" i="6" a="1"/>
  <c r="AG335" i="6" s="1"/>
  <c r="AG331" i="6" a="1"/>
  <c r="AG331" i="6" s="1"/>
  <c r="AG327" i="6" a="1"/>
  <c r="AG327" i="6" s="1"/>
  <c r="AG320" i="6" a="1"/>
  <c r="AG320" i="6" s="1"/>
  <c r="AG318" i="6" a="1"/>
  <c r="AG318" i="6" s="1"/>
  <c r="AG344" i="6" a="1"/>
  <c r="AG344" i="6" s="1"/>
  <c r="AG319" i="6" a="1"/>
  <c r="AG319" i="6" s="1"/>
  <c r="AG303" i="6" a="1"/>
  <c r="AG303" i="6" s="1"/>
  <c r="AG298" i="6" a="1"/>
  <c r="AG298" i="6" s="1"/>
  <c r="AG296" i="6" a="1"/>
  <c r="AG296" i="6" s="1"/>
  <c r="AG322" i="6" a="1"/>
  <c r="AG322" i="6" s="1"/>
  <c r="AG313" i="6" a="1"/>
  <c r="AG313" i="6" s="1"/>
  <c r="AG310" i="6" a="1"/>
  <c r="AG310" i="6" s="1"/>
  <c r="AG301" i="6" a="1"/>
  <c r="AG301" i="6" s="1"/>
  <c r="AG285" i="6" a="1"/>
  <c r="AG285" i="6" s="1"/>
  <c r="AG306" i="6" a="1"/>
  <c r="AG306" i="6" s="1"/>
  <c r="AG317" i="6" a="1"/>
  <c r="AG317" i="6" s="1"/>
  <c r="AG312" i="6" a="1"/>
  <c r="AG312" i="6" s="1"/>
  <c r="AG308" i="6" a="1"/>
  <c r="AG308" i="6" s="1"/>
  <c r="AG299" i="6" a="1"/>
  <c r="AG299" i="6" s="1"/>
  <c r="AG304" i="6" a="1"/>
  <c r="AG304" i="6" s="1"/>
  <c r="AG302" i="6" a="1"/>
  <c r="AG302" i="6" s="1"/>
  <c r="AG297" i="6" a="1"/>
  <c r="AG297" i="6" s="1"/>
  <c r="AG295" i="6" a="1"/>
  <c r="AG295" i="6" s="1"/>
  <c r="AG289" i="6" a="1"/>
  <c r="AG289" i="6" s="1"/>
  <c r="AG288" i="6" a="1"/>
  <c r="AG288" i="6" s="1"/>
  <c r="AG309" i="6" a="1"/>
  <c r="AG309" i="6" s="1"/>
  <c r="AG292" i="6" a="1"/>
  <c r="AG292" i="6" s="1"/>
  <c r="AG278" i="6" a="1"/>
  <c r="AG278" i="6" s="1"/>
  <c r="AG277" i="6" a="1"/>
  <c r="AG277" i="6" s="1"/>
  <c r="AG290" i="6" a="1"/>
  <c r="AG290" i="6" s="1"/>
  <c r="AG287" i="6" a="1"/>
  <c r="AG287" i="6" s="1"/>
  <c r="AG279" i="6" a="1"/>
  <c r="AG279" i="6" s="1"/>
  <c r="AG273" i="6" a="1"/>
  <c r="AG273" i="6" s="1"/>
  <c r="AG269" i="6" a="1"/>
  <c r="AG269" i="6" s="1"/>
  <c r="AG265" i="6" a="1"/>
  <c r="AG265" i="6" s="1"/>
  <c r="AG261" i="6" a="1"/>
  <c r="AG261" i="6" s="1"/>
  <c r="AG307" i="6" a="1"/>
  <c r="AG307" i="6" s="1"/>
  <c r="AG294" i="6" a="1"/>
  <c r="AG294" i="6" s="1"/>
  <c r="AG275" i="6" a="1"/>
  <c r="AG275" i="6" s="1"/>
  <c r="AG286" i="6" a="1"/>
  <c r="AG286" i="6" s="1"/>
  <c r="AG284" i="6" a="1"/>
  <c r="AG284" i="6" s="1"/>
  <c r="AG274" i="6" a="1"/>
  <c r="AG274" i="6" s="1"/>
  <c r="AG270" i="6" a="1"/>
  <c r="AG270" i="6" s="1"/>
  <c r="AG266" i="6" a="1"/>
  <c r="AG266" i="6" s="1"/>
  <c r="AG262" i="6" a="1"/>
  <c r="AG262" i="6" s="1"/>
  <c r="AG258" i="6" a="1"/>
  <c r="AG258" i="6" s="1"/>
  <c r="AG291" i="6" a="1"/>
  <c r="AG291" i="6" s="1"/>
  <c r="AG280" i="6" a="1"/>
  <c r="AG280" i="6" s="1"/>
  <c r="AG311" i="6" a="1"/>
  <c r="AG311" i="6" s="1"/>
  <c r="AG282" i="6" a="1"/>
  <c r="AG282" i="6" s="1"/>
  <c r="AG281" i="6" a="1"/>
  <c r="AG281" i="6" s="1"/>
  <c r="AG305" i="6" a="1"/>
  <c r="AG305" i="6" s="1"/>
  <c r="AG272" i="6" a="1"/>
  <c r="AG272" i="6" s="1"/>
  <c r="AG268" i="6" a="1"/>
  <c r="AG268" i="6" s="1"/>
  <c r="AG264" i="6" a="1"/>
  <c r="AG264" i="6" s="1"/>
  <c r="AG260" i="6" a="1"/>
  <c r="AG260" i="6" s="1"/>
  <c r="AG293" i="6" a="1"/>
  <c r="AG293" i="6" s="1"/>
  <c r="AG276" i="6" a="1"/>
  <c r="AG276" i="6" s="1"/>
  <c r="AG248" i="6" a="1"/>
  <c r="AG248" i="6" s="1"/>
  <c r="AG242" i="6" a="1"/>
  <c r="AG242" i="6" s="1"/>
  <c r="AG236" i="6" a="1"/>
  <c r="AG236" i="6" s="1"/>
  <c r="AG235" i="6" a="1"/>
  <c r="AG235" i="6" s="1"/>
  <c r="AG229" i="6" a="1"/>
  <c r="AG229" i="6" s="1"/>
  <c r="AG228" i="6" a="1"/>
  <c r="AG228" i="6" s="1"/>
  <c r="AG257" i="6" a="1"/>
  <c r="AG257" i="6" s="1"/>
  <c r="AG256" i="6" a="1"/>
  <c r="AG256" i="6" s="1"/>
  <c r="AG255" i="6" a="1"/>
  <c r="AG255" i="6" s="1"/>
  <c r="AG252" i="6" a="1"/>
  <c r="AG252" i="6" s="1"/>
  <c r="AG243" i="6" a="1"/>
  <c r="AG243" i="6" s="1"/>
  <c r="AG238" i="6" a="1"/>
  <c r="AG238" i="6" s="1"/>
  <c r="AG233" i="6" a="1"/>
  <c r="AG233" i="6" s="1"/>
  <c r="AG226" i="6" a="1"/>
  <c r="AG226" i="6" s="1"/>
  <c r="AG254" i="6" a="1"/>
  <c r="AG254" i="6" s="1"/>
  <c r="AG249" i="6" a="1"/>
  <c r="AG249" i="6" s="1"/>
  <c r="AG230" i="6" a="1"/>
  <c r="AG230" i="6" s="1"/>
  <c r="AG224" i="6" a="1"/>
  <c r="AG224" i="6" s="1"/>
  <c r="AG283" i="6" a="1"/>
  <c r="AG283" i="6" s="1"/>
  <c r="AG263" i="6" a="1"/>
  <c r="AG263" i="6" s="1"/>
  <c r="AG244" i="6" a="1"/>
  <c r="AG244" i="6" s="1"/>
  <c r="AG267" i="6" a="1"/>
  <c r="AG267" i="6" s="1"/>
  <c r="AG250" i="6" a="1"/>
  <c r="AG250" i="6" s="1"/>
  <c r="AG245" i="6" a="1"/>
  <c r="AG245" i="6" s="1"/>
  <c r="AG237" i="6" a="1"/>
  <c r="AG237" i="6" s="1"/>
  <c r="AG231" i="6" a="1"/>
  <c r="AG231" i="6" s="1"/>
  <c r="AG227" i="6" a="1"/>
  <c r="AG227" i="6" s="1"/>
  <c r="AG300" i="6" a="1"/>
  <c r="AG300" i="6" s="1"/>
  <c r="AG251" i="6" a="1"/>
  <c r="AG251" i="6" s="1"/>
  <c r="AG221" i="6" a="1"/>
  <c r="AG221" i="6" s="1"/>
  <c r="AG247" i="6" a="1"/>
  <c r="AG247" i="6" s="1"/>
  <c r="AG241" i="6" a="1"/>
  <c r="AG241" i="6" s="1"/>
  <c r="AG239" i="6" a="1"/>
  <c r="AG239" i="6" s="1"/>
  <c r="AG240" i="6" a="1"/>
  <c r="AG240" i="6" s="1"/>
  <c r="AG225" i="6" a="1"/>
  <c r="AG225" i="6" s="1"/>
  <c r="AG220" i="6" a="1"/>
  <c r="AG220" i="6" s="1"/>
  <c r="AG205" i="6" a="1"/>
  <c r="AG205" i="6" s="1"/>
  <c r="AG204" i="6" a="1"/>
  <c r="AG204" i="6" s="1"/>
  <c r="AG215" i="6" a="1"/>
  <c r="AG215" i="6" s="1"/>
  <c r="AG200" i="6" a="1"/>
  <c r="AG200" i="6" s="1"/>
  <c r="AG196" i="6" a="1"/>
  <c r="AG196" i="6" s="1"/>
  <c r="AG187" i="6" a="1"/>
  <c r="AG187" i="6" s="1"/>
  <c r="AG213" i="6" a="1"/>
  <c r="AG213" i="6" s="1"/>
  <c r="AG190" i="6" a="1"/>
  <c r="AG190" i="6" s="1"/>
  <c r="AG246" i="6" a="1"/>
  <c r="AG246" i="6" s="1"/>
  <c r="AG223" i="6" a="1"/>
  <c r="AG223" i="6" s="1"/>
  <c r="AG222" i="6" a="1"/>
  <c r="AG222" i="6" s="1"/>
  <c r="AG219" i="6" a="1"/>
  <c r="AG219" i="6" s="1"/>
  <c r="AG217" i="6" a="1"/>
  <c r="AG217" i="6" s="1"/>
  <c r="AG214" i="6" a="1"/>
  <c r="AG214" i="6" s="1"/>
  <c r="AG201" i="6" a="1"/>
  <c r="AG201" i="6" s="1"/>
  <c r="AG197" i="6" a="1"/>
  <c r="AG197" i="6" s="1"/>
  <c r="AG193" i="6" a="1"/>
  <c r="AG193" i="6" s="1"/>
  <c r="AG271" i="6" a="1"/>
  <c r="AG271" i="6" s="1"/>
  <c r="AG234" i="6" a="1"/>
  <c r="AG234" i="6" s="1"/>
  <c r="AG212" i="6" a="1"/>
  <c r="AG212" i="6" s="1"/>
  <c r="AG208" i="6" a="1"/>
  <c r="AG208" i="6" s="1"/>
  <c r="AG189" i="6" a="1"/>
  <c r="AG189" i="6" s="1"/>
  <c r="AG253" i="6" a="1"/>
  <c r="AG253" i="6" s="1"/>
  <c r="AG216" i="6" a="1"/>
  <c r="AG216" i="6" s="1"/>
  <c r="AG211" i="6" a="1"/>
  <c r="AG211" i="6" s="1"/>
  <c r="AG207" i="6" a="1"/>
  <c r="AG207" i="6" s="1"/>
  <c r="AG188" i="6" a="1"/>
  <c r="AG188" i="6" s="1"/>
  <c r="AG259" i="6" a="1"/>
  <c r="AG259" i="6" s="1"/>
  <c r="AG218" i="6" a="1"/>
  <c r="AG218" i="6" s="1"/>
  <c r="AG206" i="6" a="1"/>
  <c r="AG206" i="6" s="1"/>
  <c r="AG203" i="6" a="1"/>
  <c r="AG203" i="6" s="1"/>
  <c r="AG199" i="6" a="1"/>
  <c r="AG199" i="6" s="1"/>
  <c r="AG195" i="6" a="1"/>
  <c r="AG195" i="6" s="1"/>
  <c r="AG191" i="6" a="1"/>
  <c r="AG191" i="6" s="1"/>
  <c r="AG198" i="6" a="1"/>
  <c r="AG198" i="6" s="1"/>
  <c r="AG183" i="6" a="1"/>
  <c r="AG183" i="6" s="1"/>
  <c r="AG174" i="6" a="1"/>
  <c r="AG174" i="6" s="1"/>
  <c r="AG170" i="6" a="1"/>
  <c r="AG170" i="6" s="1"/>
  <c r="AG167" i="6" a="1"/>
  <c r="AG167" i="6" s="1"/>
  <c r="AG158" i="6" a="1"/>
  <c r="AG158" i="6" s="1"/>
  <c r="AG202" i="6" a="1"/>
  <c r="AG202" i="6" s="1"/>
  <c r="AG179" i="6" a="1"/>
  <c r="AG179" i="6" s="1"/>
  <c r="AG178" i="6" a="1"/>
  <c r="AG178" i="6" s="1"/>
  <c r="AG169" i="6" a="1"/>
  <c r="AG169" i="6" s="1"/>
  <c r="AG162" i="6" a="1"/>
  <c r="AG162" i="6" s="1"/>
  <c r="AG157" i="6" a="1"/>
  <c r="AG157" i="6" s="1"/>
  <c r="AG185" i="6" a="1"/>
  <c r="AG185" i="6" s="1"/>
  <c r="AG181" i="6" a="1"/>
  <c r="AG181" i="6" s="1"/>
  <c r="AG177" i="6" a="1"/>
  <c r="AG177" i="6" s="1"/>
  <c r="AG173" i="6" a="1"/>
  <c r="AG173" i="6" s="1"/>
  <c r="AG166" i="6" a="1"/>
  <c r="AG166" i="6" s="1"/>
  <c r="AG161" i="6" a="1"/>
  <c r="AG161" i="6" s="1"/>
  <c r="AG156" i="6" a="1"/>
  <c r="AG156" i="6" s="1"/>
  <c r="AG210" i="6" a="1"/>
  <c r="AG210" i="6" s="1"/>
  <c r="AG176" i="6" a="1"/>
  <c r="AG176" i="6" s="1"/>
  <c r="AG152" i="6" a="1"/>
  <c r="AG152" i="6" s="1"/>
  <c r="AG186" i="6" a="1"/>
  <c r="AG186" i="6" s="1"/>
  <c r="AG182" i="6" a="1"/>
  <c r="AG182" i="6" s="1"/>
  <c r="AG172" i="6" a="1"/>
  <c r="AG172" i="6" s="1"/>
  <c r="AG165" i="6" a="1"/>
  <c r="AG165" i="6" s="1"/>
  <c r="AG160" i="6" a="1"/>
  <c r="AG160" i="6" s="1"/>
  <c r="AG232" i="6" a="1"/>
  <c r="AG232" i="6" s="1"/>
  <c r="AG209" i="6" a="1"/>
  <c r="AG209" i="6" s="1"/>
  <c r="AG192" i="6" a="1"/>
  <c r="AG192" i="6" s="1"/>
  <c r="AG180" i="6" a="1"/>
  <c r="AG180" i="6" s="1"/>
  <c r="AG168" i="6" a="1"/>
  <c r="AG168" i="6" s="1"/>
  <c r="AG164" i="6" a="1"/>
  <c r="AG164" i="6" s="1"/>
  <c r="AG175" i="6" a="1"/>
  <c r="AG175" i="6" s="1"/>
  <c r="AG171" i="6" a="1"/>
  <c r="AG171" i="6" s="1"/>
  <c r="AG159" i="6" a="1"/>
  <c r="AG159" i="6" s="1"/>
  <c r="AG149" i="6" a="1"/>
  <c r="AG149" i="6" s="1"/>
  <c r="AG148" i="6" a="1"/>
  <c r="AG148" i="6" s="1"/>
  <c r="AG127" i="6" a="1"/>
  <c r="AG127" i="6" s="1"/>
  <c r="AG124" i="6" a="1"/>
  <c r="AG124" i="6" s="1"/>
  <c r="AG143" i="6" a="1"/>
  <c r="AG143" i="6" s="1"/>
  <c r="AG142" i="6" a="1"/>
  <c r="AG142" i="6" s="1"/>
  <c r="AG131" i="6" a="1"/>
  <c r="AG131" i="6" s="1"/>
  <c r="AG130" i="6" a="1"/>
  <c r="AG130" i="6" s="1"/>
  <c r="AG125" i="6" a="1"/>
  <c r="AG125" i="6" s="1"/>
  <c r="AG153" i="6" a="1"/>
  <c r="AG153" i="6" s="1"/>
  <c r="AG135" i="6" a="1"/>
  <c r="AG135" i="6" s="1"/>
  <c r="AG134" i="6" a="1"/>
  <c r="AG134" i="6" s="1"/>
  <c r="AG128" i="6" a="1"/>
  <c r="AG128" i="6" s="1"/>
  <c r="AG133" i="6" a="1"/>
  <c r="AG133" i="6" s="1"/>
  <c r="AG132" i="6" a="1"/>
  <c r="AG132" i="6" s="1"/>
  <c r="AG129" i="6" a="1"/>
  <c r="AG129" i="6" s="1"/>
  <c r="AG118" i="6" a="1"/>
  <c r="AG118" i="6" s="1"/>
  <c r="AG115" i="6" a="1"/>
  <c r="AG115" i="6" s="1"/>
  <c r="AG113" i="6" a="1"/>
  <c r="AG113" i="6" s="1"/>
  <c r="AG150" i="6" a="1"/>
  <c r="AG150" i="6" s="1"/>
  <c r="AG147" i="6" a="1"/>
  <c r="AG147" i="6" s="1"/>
  <c r="AG145" i="6" a="1"/>
  <c r="AG145" i="6" s="1"/>
  <c r="AG139" i="6" a="1"/>
  <c r="AG139" i="6" s="1"/>
  <c r="AG136" i="6" a="1"/>
  <c r="AG136" i="6" s="1"/>
  <c r="AG116" i="6" a="1"/>
  <c r="AG116" i="6" s="1"/>
  <c r="AG155" i="6" a="1"/>
  <c r="AG155" i="6" s="1"/>
  <c r="AG144" i="6" a="1"/>
  <c r="AG144" i="6" s="1"/>
  <c r="AG140" i="6" a="1"/>
  <c r="AG140" i="6" s="1"/>
  <c r="AG137" i="6" a="1"/>
  <c r="AG137" i="6" s="1"/>
  <c r="AG122" i="6" a="1"/>
  <c r="AG122" i="6" s="1"/>
  <c r="AG119" i="6" a="1"/>
  <c r="AG119" i="6" s="1"/>
  <c r="AG194" i="6" a="1"/>
  <c r="AG194" i="6" s="1"/>
  <c r="AG184" i="6" a="1"/>
  <c r="AG184" i="6" s="1"/>
  <c r="AG163" i="6" a="1"/>
  <c r="AG163" i="6" s="1"/>
  <c r="AG154" i="6" a="1"/>
  <c r="AG154" i="6" s="1"/>
  <c r="AG151" i="6" a="1"/>
  <c r="AG151" i="6" s="1"/>
  <c r="AG138" i="6" a="1"/>
  <c r="AG138" i="6" s="1"/>
  <c r="AG126" i="6" a="1"/>
  <c r="AG126" i="6" s="1"/>
  <c r="AG146" i="6" a="1"/>
  <c r="AG146" i="6" s="1"/>
  <c r="AG34" i="6" a="1"/>
  <c r="AG34" i="6" s="1"/>
  <c r="AG123" i="6" a="1"/>
  <c r="AG123" i="6" s="1"/>
  <c r="AG112" i="6" a="1"/>
  <c r="AG112" i="6" s="1"/>
  <c r="AG109" i="6" a="1"/>
  <c r="AG109" i="6" s="1"/>
  <c r="AG105" i="6" a="1"/>
  <c r="AG105" i="6" s="1"/>
  <c r="AG101" i="6" a="1"/>
  <c r="AG101" i="6" s="1"/>
  <c r="AG94" i="6" a="1"/>
  <c r="AG94" i="6" s="1"/>
  <c r="AG88" i="6" a="1"/>
  <c r="AG88" i="6" s="1"/>
  <c r="AG84" i="6" a="1"/>
  <c r="AG84" i="6" s="1"/>
  <c r="AG80" i="6" a="1"/>
  <c r="AG80" i="6" s="1"/>
  <c r="AG75" i="6" a="1"/>
  <c r="AG75" i="6" s="1"/>
  <c r="AG71" i="6" a="1"/>
  <c r="AG71" i="6" s="1"/>
  <c r="AG67" i="6" a="1"/>
  <c r="AG67" i="6" s="1"/>
  <c r="AG63" i="6" a="1"/>
  <c r="AG63" i="6" s="1"/>
  <c r="AG59" i="6" a="1"/>
  <c r="AG59" i="6" s="1"/>
  <c r="AG55" i="6" a="1"/>
  <c r="AG55" i="6" s="1"/>
  <c r="AG51" i="6" a="1"/>
  <c r="AG51" i="6" s="1"/>
  <c r="AG47" i="6" a="1"/>
  <c r="AG47" i="6" s="1"/>
  <c r="AG43" i="6" a="1"/>
  <c r="AG43" i="6" s="1"/>
  <c r="AG141" i="6" a="1"/>
  <c r="AG141" i="6" s="1"/>
  <c r="AG100" i="6" a="1"/>
  <c r="AG100" i="6" s="1"/>
  <c r="AG93" i="6" a="1"/>
  <c r="AG93" i="6" s="1"/>
  <c r="AG121" i="6" a="1"/>
  <c r="AG121" i="6" s="1"/>
  <c r="AG117" i="6" a="1"/>
  <c r="AG117" i="6" s="1"/>
  <c r="AG110" i="6" a="1"/>
  <c r="AG110" i="6" s="1"/>
  <c r="AG106" i="6" a="1"/>
  <c r="AG106" i="6" s="1"/>
  <c r="AG102" i="6" a="1"/>
  <c r="AG102" i="6" s="1"/>
  <c r="AG99" i="6" a="1"/>
  <c r="AG99" i="6" s="1"/>
  <c r="AG89" i="6" a="1"/>
  <c r="AG89" i="6" s="1"/>
  <c r="AG85" i="6" a="1"/>
  <c r="AG85" i="6" s="1"/>
  <c r="AG81" i="6" a="1"/>
  <c r="AG81" i="6" s="1"/>
  <c r="AG76" i="6" a="1"/>
  <c r="AG76" i="6" s="1"/>
  <c r="AG72" i="6" a="1"/>
  <c r="AG72" i="6" s="1"/>
  <c r="AG68" i="6" a="1"/>
  <c r="AG68" i="6" s="1"/>
  <c r="AG64" i="6" a="1"/>
  <c r="AG64" i="6" s="1"/>
  <c r="AG60" i="6" a="1"/>
  <c r="AG60" i="6" s="1"/>
  <c r="AG56" i="6" a="1"/>
  <c r="AG56" i="6" s="1"/>
  <c r="AG52" i="6" a="1"/>
  <c r="AG52" i="6" s="1"/>
  <c r="AG48" i="6" a="1"/>
  <c r="AG48" i="6" s="1"/>
  <c r="AG44" i="6" a="1"/>
  <c r="AG44" i="6" s="1"/>
  <c r="AG96" i="6" a="1"/>
  <c r="AG96" i="6" s="1"/>
  <c r="AG114" i="6" a="1"/>
  <c r="AG114" i="6" s="1"/>
  <c r="AG107" i="6" a="1"/>
  <c r="AG107" i="6" s="1"/>
  <c r="AG103" i="6" a="1"/>
  <c r="AG103" i="6" s="1"/>
  <c r="AG95" i="6" a="1"/>
  <c r="AG95" i="6" s="1"/>
  <c r="AG90" i="6" a="1"/>
  <c r="AG90" i="6" s="1"/>
  <c r="AG86" i="6" a="1"/>
  <c r="AG86" i="6" s="1"/>
  <c r="AG82" i="6" a="1"/>
  <c r="AG82" i="6" s="1"/>
  <c r="AG77" i="6" a="1"/>
  <c r="AG77" i="6" s="1"/>
  <c r="AG73" i="6" a="1"/>
  <c r="AG73" i="6" s="1"/>
  <c r="AG69" i="6" a="1"/>
  <c r="AG69" i="6" s="1"/>
  <c r="AG65" i="6" a="1"/>
  <c r="AG65" i="6" s="1"/>
  <c r="AG61" i="6" a="1"/>
  <c r="AG61" i="6" s="1"/>
  <c r="AG57" i="6" a="1"/>
  <c r="AG57" i="6" s="1"/>
  <c r="AG53" i="6" a="1"/>
  <c r="AG53" i="6" s="1"/>
  <c r="AG49" i="6" a="1"/>
  <c r="AG49" i="6" s="1"/>
  <c r="AG45" i="6" a="1"/>
  <c r="AG45" i="6" s="1"/>
  <c r="AG111" i="6" a="1"/>
  <c r="AG111" i="6" s="1"/>
  <c r="AG98" i="6" a="1"/>
  <c r="AG98" i="6" s="1"/>
  <c r="AG120" i="6" a="1"/>
  <c r="AG120" i="6" s="1"/>
  <c r="AG108" i="6" a="1"/>
  <c r="AG108" i="6" s="1"/>
  <c r="AG104" i="6" a="1"/>
  <c r="AG104" i="6" s="1"/>
  <c r="AG97" i="6" a="1"/>
  <c r="AG97" i="6" s="1"/>
  <c r="AG92" i="6" a="1"/>
  <c r="AG92" i="6" s="1"/>
  <c r="AG91" i="6" a="1"/>
  <c r="AG91" i="6" s="1"/>
  <c r="AG87" i="6" a="1"/>
  <c r="AG87" i="6" s="1"/>
  <c r="AG83" i="6" a="1"/>
  <c r="AG83" i="6" s="1"/>
  <c r="AG25" i="6" a="1"/>
  <c r="AG25" i="6" s="1"/>
  <c r="AG28" i="6" a="1"/>
  <c r="AG28" i="6" s="1"/>
  <c r="AD11" i="6" a="1"/>
  <c r="AD11" i="6" s="1"/>
  <c r="AD19" i="6" a="1"/>
  <c r="AD19" i="6" s="1"/>
  <c r="AF20" i="6" a="1"/>
  <c r="AF20" i="6" s="1"/>
  <c r="AB22" i="6" a="1"/>
  <c r="AB22" i="6" s="1"/>
  <c r="AD23" i="6" a="1"/>
  <c r="AD23" i="6" s="1"/>
  <c r="AF24" i="6" a="1"/>
  <c r="AF24" i="6" s="1"/>
  <c r="AB26" i="6" a="1"/>
  <c r="AB26" i="6" s="1"/>
  <c r="AD27" i="6" a="1"/>
  <c r="AD27" i="6" s="1"/>
  <c r="AE29" i="6" a="1"/>
  <c r="AE29" i="6" s="1"/>
  <c r="AA30" i="6" a="1"/>
  <c r="AA30" i="6" s="1"/>
  <c r="AA37" i="6" a="1"/>
  <c r="AA37" i="6" s="1"/>
  <c r="AC38" i="6" a="1"/>
  <c r="AC38" i="6" s="1"/>
  <c r="AE39" i="6" a="1"/>
  <c r="AE39" i="6" s="1"/>
  <c r="AG40" i="6" a="1"/>
  <c r="AG40" i="6" s="1"/>
  <c r="AA43" i="6" a="1"/>
  <c r="AA43" i="6" s="1"/>
  <c r="AC52" i="6" a="1"/>
  <c r="AC52" i="6" s="1"/>
  <c r="AE61" i="6" a="1"/>
  <c r="AE61" i="6" s="1"/>
  <c r="AG70" i="6" a="1"/>
  <c r="AG70" i="6" s="1"/>
  <c r="AA75" i="6" a="1"/>
  <c r="AA75" i="6" s="1"/>
  <c r="AG8" i="6" a="1"/>
  <c r="AG8" i="6" s="1"/>
  <c r="AA9" i="6" a="1"/>
  <c r="AA9" i="6" s="1"/>
  <c r="AC10" i="6" a="1"/>
  <c r="AC10" i="6" s="1"/>
  <c r="AE11" i="6" a="1"/>
  <c r="AE11" i="6" s="1"/>
  <c r="AG12" i="6" a="1"/>
  <c r="AG12" i="6" s="1"/>
  <c r="AA13" i="6" a="1"/>
  <c r="AA13" i="6" s="1"/>
  <c r="AC14" i="6" a="1"/>
  <c r="AC14" i="6" s="1"/>
  <c r="AE15" i="6" a="1"/>
  <c r="AE15" i="6" s="1"/>
  <c r="AG16" i="6" a="1"/>
  <c r="AG16" i="6" s="1"/>
  <c r="AA17" i="6" a="1"/>
  <c r="AA17" i="6" s="1"/>
  <c r="AC18" i="6" a="1"/>
  <c r="AC18" i="6" s="1"/>
  <c r="AE19" i="6" a="1"/>
  <c r="AE19" i="6" s="1"/>
  <c r="AG20" i="6" a="1"/>
  <c r="AG20" i="6" s="1"/>
  <c r="AA21" i="6" a="1"/>
  <c r="AA21" i="6" s="1"/>
  <c r="AC22" i="6" a="1"/>
  <c r="AC22" i="6" s="1"/>
  <c r="AE23" i="6" a="1"/>
  <c r="AE23" i="6" s="1"/>
  <c r="AG24" i="6" a="1"/>
  <c r="AG24" i="6" s="1"/>
  <c r="AA25" i="6" a="1"/>
  <c r="AA25" i="6" s="1"/>
  <c r="AC26" i="6" a="1"/>
  <c r="AC26" i="6" s="1"/>
  <c r="AE27" i="6" a="1"/>
  <c r="AE27" i="6" s="1"/>
  <c r="AC30" i="6" a="1"/>
  <c r="AC30" i="6" s="1"/>
  <c r="AC31" i="6" a="1"/>
  <c r="AC31" i="6" s="1"/>
  <c r="AA36" i="6" a="1"/>
  <c r="AA36" i="6" s="1"/>
  <c r="AC37" i="6" a="1"/>
  <c r="AC37" i="6" s="1"/>
  <c r="AE38" i="6" a="1"/>
  <c r="AE38" i="6" s="1"/>
  <c r="AG39" i="6" a="1"/>
  <c r="AG39" i="6" s="1"/>
  <c r="AC48" i="6" a="1"/>
  <c r="AC48" i="6" s="1"/>
  <c r="AE57" i="6" a="1"/>
  <c r="AE57" i="6" s="1"/>
  <c r="AG66" i="6" a="1"/>
  <c r="AG66" i="6" s="1"/>
  <c r="AG9" i="6" a="1"/>
  <c r="AG9" i="6" s="1"/>
  <c r="AG17" i="6" a="1"/>
  <c r="AG17" i="6" s="1"/>
  <c r="AD15" i="6" a="1"/>
  <c r="AD15" i="6" s="1"/>
  <c r="AA355" i="6" a="1"/>
  <c r="AA355" i="6" s="1"/>
  <c r="AA351" i="6" a="1"/>
  <c r="AA351" i="6" s="1"/>
  <c r="AA347" i="6" a="1"/>
  <c r="AA347" i="6" s="1"/>
  <c r="AA346" i="6" a="1"/>
  <c r="AA346" i="6" s="1"/>
  <c r="AA341" i="6" a="1"/>
  <c r="AA341" i="6" s="1"/>
  <c r="AA337" i="6" a="1"/>
  <c r="AA337" i="6" s="1"/>
  <c r="AA333" i="6" a="1"/>
  <c r="AA333" i="6" s="1"/>
  <c r="AA329" i="6" a="1"/>
  <c r="AA329" i="6" s="1"/>
  <c r="AA325" i="6" a="1"/>
  <c r="AA325" i="6" s="1"/>
  <c r="AA322" i="6" a="1"/>
  <c r="AA322" i="6" s="1"/>
  <c r="AA356" i="6" a="1"/>
  <c r="AA356" i="6" s="1"/>
  <c r="AA352" i="6" a="1"/>
  <c r="AA352" i="6" s="1"/>
  <c r="AA348" i="6" a="1"/>
  <c r="AA348" i="6" s="1"/>
  <c r="AA342" i="6" a="1"/>
  <c r="AA342" i="6" s="1"/>
  <c r="AA338" i="6" a="1"/>
  <c r="AA338" i="6" s="1"/>
  <c r="AA334" i="6" a="1"/>
  <c r="AA334" i="6" s="1"/>
  <c r="AA330" i="6" a="1"/>
  <c r="AA330" i="6" s="1"/>
  <c r="AA326" i="6" a="1"/>
  <c r="AA326" i="6" s="1"/>
  <c r="AA343" i="6" a="1"/>
  <c r="AA343" i="6" s="1"/>
  <c r="AA314" i="6" a="1"/>
  <c r="AA314" i="6" s="1"/>
  <c r="AA357" i="6" a="1"/>
  <c r="AA357" i="6" s="1"/>
  <c r="AA353" i="6" a="1"/>
  <c r="AA353" i="6" s="1"/>
  <c r="AA349" i="6" a="1"/>
  <c r="AA349" i="6" s="1"/>
  <c r="AA339" i="6" a="1"/>
  <c r="AA339" i="6" s="1"/>
  <c r="AA335" i="6" a="1"/>
  <c r="AA335" i="6" s="1"/>
  <c r="AA331" i="6" a="1"/>
  <c r="AA331" i="6" s="1"/>
  <c r="AA327" i="6" a="1"/>
  <c r="AA327" i="6" s="1"/>
  <c r="AA324" i="6" a="1"/>
  <c r="AA324" i="6" s="1"/>
  <c r="AA344" i="6" a="1"/>
  <c r="AA344" i="6" s="1"/>
  <c r="AA358" i="6" a="1"/>
  <c r="AA358" i="6" s="1"/>
  <c r="AA354" i="6" a="1"/>
  <c r="AA354" i="6" s="1"/>
  <c r="AA350" i="6" a="1"/>
  <c r="AA350" i="6" s="1"/>
  <c r="AA345" i="6" a="1"/>
  <c r="AA345" i="6" s="1"/>
  <c r="AA340" i="6" a="1"/>
  <c r="AA340" i="6" s="1"/>
  <c r="AA336" i="6" a="1"/>
  <c r="AA336" i="6" s="1"/>
  <c r="AA332" i="6" a="1"/>
  <c r="AA332" i="6" s="1"/>
  <c r="AA328" i="6" a="1"/>
  <c r="AA328" i="6" s="1"/>
  <c r="AA321" i="6" a="1"/>
  <c r="AA321" i="6" s="1"/>
  <c r="AA298" i="6" a="1"/>
  <c r="AA298" i="6" s="1"/>
  <c r="AA317" i="6" a="1"/>
  <c r="AA317" i="6" s="1"/>
  <c r="AA310" i="6" a="1"/>
  <c r="AA310" i="6" s="1"/>
  <c r="AA301" i="6" a="1"/>
  <c r="AA301" i="6" s="1"/>
  <c r="AA293" i="6" a="1"/>
  <c r="AA293" i="6" s="1"/>
  <c r="AA291" i="6" a="1"/>
  <c r="AA291" i="6" s="1"/>
  <c r="AA283" i="6" a="1"/>
  <c r="AA283" i="6" s="1"/>
  <c r="AA319" i="6" a="1"/>
  <c r="AA319" i="6" s="1"/>
  <c r="AA312" i="6" a="1"/>
  <c r="AA312" i="6" s="1"/>
  <c r="AA308" i="6" a="1"/>
  <c r="AA308" i="6" s="1"/>
  <c r="AA299" i="6" a="1"/>
  <c r="AA299" i="6" s="1"/>
  <c r="AA316" i="6" a="1"/>
  <c r="AA316" i="6" s="1"/>
  <c r="AA306" i="6" a="1"/>
  <c r="AA306" i="6" s="1"/>
  <c r="AA302" i="6" a="1"/>
  <c r="AA302" i="6" s="1"/>
  <c r="AA297" i="6" a="1"/>
  <c r="AA297" i="6" s="1"/>
  <c r="AA292" i="6" a="1"/>
  <c r="AA292" i="6" s="1"/>
  <c r="AA315" i="6" a="1"/>
  <c r="AA315" i="6" s="1"/>
  <c r="AA304" i="6" a="1"/>
  <c r="AA304" i="6" s="1"/>
  <c r="AA289" i="6" a="1"/>
  <c r="AA289" i="6" s="1"/>
  <c r="AA287" i="6" a="1"/>
  <c r="AA287" i="6" s="1"/>
  <c r="AA320" i="6" a="1"/>
  <c r="AA320" i="6" s="1"/>
  <c r="AA318" i="6" a="1"/>
  <c r="AA318" i="6" s="1"/>
  <c r="AA311" i="6" a="1"/>
  <c r="AA311" i="6" s="1"/>
  <c r="AA309" i="6" a="1"/>
  <c r="AA309" i="6" s="1"/>
  <c r="AA307" i="6" a="1"/>
  <c r="AA307" i="6" s="1"/>
  <c r="AA300" i="6" a="1"/>
  <c r="AA300" i="6" s="1"/>
  <c r="AA323" i="6" a="1"/>
  <c r="AA323" i="6" s="1"/>
  <c r="AA284" i="6" a="1"/>
  <c r="AA284" i="6" s="1"/>
  <c r="AA279" i="6" a="1"/>
  <c r="AA279" i="6" s="1"/>
  <c r="AA278" i="6" a="1"/>
  <c r="AA278" i="6" s="1"/>
  <c r="AA286" i="6" a="1"/>
  <c r="AA286" i="6" s="1"/>
  <c r="AA285" i="6" a="1"/>
  <c r="AA285" i="6" s="1"/>
  <c r="AA274" i="6" a="1"/>
  <c r="AA274" i="6" s="1"/>
  <c r="AA270" i="6" a="1"/>
  <c r="AA270" i="6" s="1"/>
  <c r="AA266" i="6" a="1"/>
  <c r="AA266" i="6" s="1"/>
  <c r="AA262" i="6" a="1"/>
  <c r="AA262" i="6" s="1"/>
  <c r="AA305" i="6" a="1"/>
  <c r="AA305" i="6" s="1"/>
  <c r="AA295" i="6" a="1"/>
  <c r="AA295" i="6" s="1"/>
  <c r="AA288" i="6" a="1"/>
  <c r="AA288" i="6" s="1"/>
  <c r="AA282" i="6" a="1"/>
  <c r="AA282" i="6" s="1"/>
  <c r="AA275" i="6" a="1"/>
  <c r="AA275" i="6" s="1"/>
  <c r="AA313" i="6" a="1"/>
  <c r="AA313" i="6" s="1"/>
  <c r="AA280" i="6" a="1"/>
  <c r="AA280" i="6" s="1"/>
  <c r="AA276" i="6" a="1"/>
  <c r="AA276" i="6" s="1"/>
  <c r="AA271" i="6" a="1"/>
  <c r="AA271" i="6" s="1"/>
  <c r="AA267" i="6" a="1"/>
  <c r="AA267" i="6" s="1"/>
  <c r="AA263" i="6" a="1"/>
  <c r="AA263" i="6" s="1"/>
  <c r="AA259" i="6" a="1"/>
  <c r="AA259" i="6" s="1"/>
  <c r="AA290" i="6" a="1"/>
  <c r="AA290" i="6" s="1"/>
  <c r="AA296" i="6" a="1"/>
  <c r="AA296" i="6" s="1"/>
  <c r="AA281" i="6" a="1"/>
  <c r="AA281" i="6" s="1"/>
  <c r="AA303" i="6" a="1"/>
  <c r="AA303" i="6" s="1"/>
  <c r="AA277" i="6" a="1"/>
  <c r="AA277" i="6" s="1"/>
  <c r="AA273" i="6" a="1"/>
  <c r="AA273" i="6" s="1"/>
  <c r="AA269" i="6" a="1"/>
  <c r="AA269" i="6" s="1"/>
  <c r="AA265" i="6" a="1"/>
  <c r="AA265" i="6" s="1"/>
  <c r="AA261" i="6" a="1"/>
  <c r="AA261" i="6" s="1"/>
  <c r="AA249" i="6" a="1"/>
  <c r="AA249" i="6" s="1"/>
  <c r="AT46" i="7" s="1"/>
  <c r="AA235" i="6" a="1"/>
  <c r="AA235" i="6" s="1"/>
  <c r="AT32" i="7" s="1"/>
  <c r="AA229" i="6" a="1"/>
  <c r="AA229" i="6" s="1"/>
  <c r="AT26" i="7" s="1"/>
  <c r="AA224" i="6" a="1"/>
  <c r="AA224" i="6" s="1"/>
  <c r="AT21" i="7" s="1"/>
  <c r="AU21" i="7" s="1"/>
  <c r="AA244" i="6" a="1"/>
  <c r="AA244" i="6" s="1"/>
  <c r="AT41" i="7" s="1"/>
  <c r="AU41" i="7" s="1"/>
  <c r="AA233" i="6" a="1"/>
  <c r="AA233" i="6" s="1"/>
  <c r="AT30" i="7" s="1"/>
  <c r="AU30" i="7" s="1"/>
  <c r="AA226" i="6" a="1"/>
  <c r="AA226" i="6" s="1"/>
  <c r="AT23" i="7" s="1"/>
  <c r="AA264" i="6" a="1"/>
  <c r="AA264" i="6" s="1"/>
  <c r="AA260" i="6" a="1"/>
  <c r="AA260" i="6" s="1"/>
  <c r="AA253" i="6" a="1"/>
  <c r="AA253" i="6" s="1"/>
  <c r="AT50" i="7" s="1"/>
  <c r="AU50" i="7" s="1"/>
  <c r="AA250" i="6" a="1"/>
  <c r="AA250" i="6" s="1"/>
  <c r="AT47" i="7" s="1"/>
  <c r="AU47" i="7" s="1"/>
  <c r="AA245" i="6" a="1"/>
  <c r="AA245" i="6" s="1"/>
  <c r="AT42" i="7" s="1"/>
  <c r="AU42" i="7" s="1"/>
  <c r="AA230" i="6" a="1"/>
  <c r="AA230" i="6" s="1"/>
  <c r="AT27" i="7" s="1"/>
  <c r="AU27" i="7" s="1"/>
  <c r="AA294" i="6" a="1"/>
  <c r="AA294" i="6" s="1"/>
  <c r="AA268" i="6" a="1"/>
  <c r="AA268" i="6" s="1"/>
  <c r="AA246" i="6" a="1"/>
  <c r="AA246" i="6" s="1"/>
  <c r="AT43" i="7" s="1"/>
  <c r="AA240" i="6" a="1"/>
  <c r="AA240" i="6" s="1"/>
  <c r="AT37" i="7" s="1"/>
  <c r="AA234" i="6" a="1"/>
  <c r="AA234" i="6" s="1"/>
  <c r="AT31" i="7" s="1"/>
  <c r="AA272" i="6" a="1"/>
  <c r="AA272" i="6" s="1"/>
  <c r="AA257" i="6" a="1"/>
  <c r="AA257" i="6" s="1"/>
  <c r="AA256" i="6" a="1"/>
  <c r="AA256" i="6" s="1"/>
  <c r="AA251" i="6" a="1"/>
  <c r="AA251" i="6" s="1"/>
  <c r="AT48" i="7" s="1"/>
  <c r="AU48" i="7" s="1"/>
  <c r="AA237" i="6" a="1"/>
  <c r="AA237" i="6" s="1"/>
  <c r="AT34" i="7" s="1"/>
  <c r="AA227" i="6" a="1"/>
  <c r="AA227" i="6" s="1"/>
  <c r="AT24" i="7" s="1"/>
  <c r="AA254" i="6" a="1"/>
  <c r="AA254" i="6" s="1"/>
  <c r="AT51" i="7" s="1"/>
  <c r="AA252" i="6" a="1"/>
  <c r="AA252" i="6" s="1"/>
  <c r="AT49" i="7" s="1"/>
  <c r="AU49" i="7" s="1"/>
  <c r="AA248" i="6" a="1"/>
  <c r="AA248" i="6" s="1"/>
  <c r="AT45" i="7" s="1"/>
  <c r="AU45" i="7" s="1"/>
  <c r="AA242" i="6" a="1"/>
  <c r="AA242" i="6" s="1"/>
  <c r="AT39" i="7" s="1"/>
  <c r="AU39" i="7" s="1"/>
  <c r="AA239" i="6" a="1"/>
  <c r="AA239" i="6" s="1"/>
  <c r="AT36" i="7" s="1"/>
  <c r="AA231" i="6" a="1"/>
  <c r="AA231" i="6" s="1"/>
  <c r="AT28" i="7" s="1"/>
  <c r="AU28" i="7" s="1"/>
  <c r="AA225" i="6" a="1"/>
  <c r="AA225" i="6" s="1"/>
  <c r="AT22" i="7" s="1"/>
  <c r="AA243" i="6" a="1"/>
  <c r="AA243" i="6" s="1"/>
  <c r="AT40" i="7" s="1"/>
  <c r="AA238" i="6" a="1"/>
  <c r="AA238" i="6" s="1"/>
  <c r="AT35" i="7" s="1"/>
  <c r="AA236" i="6" a="1"/>
  <c r="AA236" i="6" s="1"/>
  <c r="AT33" i="7" s="1"/>
  <c r="AU33" i="7" s="1"/>
  <c r="AA228" i="6" a="1"/>
  <c r="AA228" i="6" s="1"/>
  <c r="AT25" i="7" s="1"/>
  <c r="AU25" i="7" s="1"/>
  <c r="AA258" i="6" a="1"/>
  <c r="AA258" i="6" s="1"/>
  <c r="AA222" i="6" a="1"/>
  <c r="AA222" i="6" s="1"/>
  <c r="AT19" i="7" s="1"/>
  <c r="AU19" i="7" s="1"/>
  <c r="AA220" i="6" a="1"/>
  <c r="AA220" i="6" s="1"/>
  <c r="AT17" i="7" s="1"/>
  <c r="AU17" i="7" s="1"/>
  <c r="AA217" i="6" a="1"/>
  <c r="AA217" i="6" s="1"/>
  <c r="AT14" i="7" s="1"/>
  <c r="AA215" i="6" a="1"/>
  <c r="AA215" i="6" s="1"/>
  <c r="AT12" i="7" s="1"/>
  <c r="AA214" i="6" a="1"/>
  <c r="AA214" i="6" s="1"/>
  <c r="AT11" i="7" s="1"/>
  <c r="AA213" i="6" a="1"/>
  <c r="AA213" i="6" s="1"/>
  <c r="AT10" i="7" s="1"/>
  <c r="AU10" i="7" s="1"/>
  <c r="AA201" i="6" a="1"/>
  <c r="AA201" i="6" s="1"/>
  <c r="AA197" i="6" a="1"/>
  <c r="AA197" i="6" s="1"/>
  <c r="AA183" i="6" a="1"/>
  <c r="AA183" i="6" s="1"/>
  <c r="AA247" i="6" a="1"/>
  <c r="AA247" i="6" s="1"/>
  <c r="AT44" i="7" s="1"/>
  <c r="AA219" i="6" a="1"/>
  <c r="AA219" i="6" s="1"/>
  <c r="AT16" i="7" s="1"/>
  <c r="AA212" i="6" a="1"/>
  <c r="AA212" i="6" s="1"/>
  <c r="AT9" i="7" s="1"/>
  <c r="AA193" i="6" a="1"/>
  <c r="AA193" i="6" s="1"/>
  <c r="AA190" i="6" a="1"/>
  <c r="AA190" i="6" s="1"/>
  <c r="AA186" i="6" a="1"/>
  <c r="AA186" i="6" s="1"/>
  <c r="AA255" i="6" a="1"/>
  <c r="AA255" i="6" s="1"/>
  <c r="AA208" i="6" a="1"/>
  <c r="AA208" i="6" s="1"/>
  <c r="AT5" i="7" s="1"/>
  <c r="AU5" i="7" s="1"/>
  <c r="AA202" i="6" a="1"/>
  <c r="AA202" i="6" s="1"/>
  <c r="AA198" i="6" a="1"/>
  <c r="AA198" i="6" s="1"/>
  <c r="AA194" i="6" a="1"/>
  <c r="AA194" i="6" s="1"/>
  <c r="AA211" i="6" a="1"/>
  <c r="AA211" i="6" s="1"/>
  <c r="AT8" i="7" s="1"/>
  <c r="AA210" i="6" a="1"/>
  <c r="AA210" i="6" s="1"/>
  <c r="AT7" i="7" s="1"/>
  <c r="AA209" i="6" a="1"/>
  <c r="AA209" i="6" s="1"/>
  <c r="AT6" i="7" s="1"/>
  <c r="AU6" i="7" s="1"/>
  <c r="AA232" i="6" a="1"/>
  <c r="AA232" i="6" s="1"/>
  <c r="AT29" i="7" s="1"/>
  <c r="AU29" i="7" s="1"/>
  <c r="AA223" i="6" a="1"/>
  <c r="AA223" i="6" s="1"/>
  <c r="AT20" i="7" s="1"/>
  <c r="AU20" i="7" s="1"/>
  <c r="AA221" i="6" a="1"/>
  <c r="AA221" i="6" s="1"/>
  <c r="AT18" i="7" s="1"/>
  <c r="AU18" i="7" s="1"/>
  <c r="AA206" i="6" a="1"/>
  <c r="AA206" i="6" s="1"/>
  <c r="AA205" i="6" a="1"/>
  <c r="AA205" i="6" s="1"/>
  <c r="AA204" i="6" a="1"/>
  <c r="AA204" i="6" s="1"/>
  <c r="AA191" i="6" a="1"/>
  <c r="AA191" i="6" s="1"/>
  <c r="AA241" i="6" a="1"/>
  <c r="AA241" i="6" s="1"/>
  <c r="AT38" i="7" s="1"/>
  <c r="AU38" i="7" s="1"/>
  <c r="AA218" i="6" a="1"/>
  <c r="AA218" i="6" s="1"/>
  <c r="AT15" i="7" s="1"/>
  <c r="AU15" i="7" s="1"/>
  <c r="AA200" i="6" a="1"/>
  <c r="AA200" i="6" s="1"/>
  <c r="AA196" i="6" a="1"/>
  <c r="AA196" i="6" s="1"/>
  <c r="AA203" i="6" a="1"/>
  <c r="AA203" i="6" s="1"/>
  <c r="AA181" i="6" a="1"/>
  <c r="AA181" i="6" s="1"/>
  <c r="AA178" i="6" a="1"/>
  <c r="AA178" i="6" s="1"/>
  <c r="AA177" i="6" a="1"/>
  <c r="AA177" i="6" s="1"/>
  <c r="AA166" i="6" a="1"/>
  <c r="AA166" i="6" s="1"/>
  <c r="AA162" i="6" a="1"/>
  <c r="AA162" i="6" s="1"/>
  <c r="AA156" i="6" a="1"/>
  <c r="AA156" i="6" s="1"/>
  <c r="AA173" i="6" a="1"/>
  <c r="AA173" i="6" s="1"/>
  <c r="AA169" i="6" a="1"/>
  <c r="AA169" i="6" s="1"/>
  <c r="AA161" i="6" a="1"/>
  <c r="AA161" i="6" s="1"/>
  <c r="AA188" i="6" a="1"/>
  <c r="AA188" i="6" s="1"/>
  <c r="AA182" i="6" a="1"/>
  <c r="AA182" i="6" s="1"/>
  <c r="AA176" i="6" a="1"/>
  <c r="AA176" i="6" s="1"/>
  <c r="AA165" i="6" a="1"/>
  <c r="AA165" i="6" s="1"/>
  <c r="AA207" i="6" a="1"/>
  <c r="AA207" i="6" s="1"/>
  <c r="AT4" i="7" s="1"/>
  <c r="AA180" i="6" a="1"/>
  <c r="AA180" i="6" s="1"/>
  <c r="AA172" i="6" a="1"/>
  <c r="AA172" i="6" s="1"/>
  <c r="AA160" i="6" a="1"/>
  <c r="AA160" i="6" s="1"/>
  <c r="AA155" i="6" a="1"/>
  <c r="AA155" i="6" s="1"/>
  <c r="AA152" i="6" a="1"/>
  <c r="AA152" i="6" s="1"/>
  <c r="AA189" i="6" a="1"/>
  <c r="AA189" i="6" s="1"/>
  <c r="AA187" i="6" a="1"/>
  <c r="AA187" i="6" s="1"/>
  <c r="AA175" i="6" a="1"/>
  <c r="AA175" i="6" s="1"/>
  <c r="AA164" i="6" a="1"/>
  <c r="AA164" i="6" s="1"/>
  <c r="AA184" i="6" a="1"/>
  <c r="AA184" i="6" s="1"/>
  <c r="AA171" i="6" a="1"/>
  <c r="AA171" i="6" s="1"/>
  <c r="AA168" i="6" a="1"/>
  <c r="AA168" i="6" s="1"/>
  <c r="AA159" i="6" a="1"/>
  <c r="AA159" i="6" s="1"/>
  <c r="AA216" i="6" a="1"/>
  <c r="AA216" i="6" s="1"/>
  <c r="AT13" i="7" s="1"/>
  <c r="AU13" i="7" s="1"/>
  <c r="AA195" i="6" a="1"/>
  <c r="AA195" i="6" s="1"/>
  <c r="AA192" i="6" a="1"/>
  <c r="AA192" i="6" s="1"/>
  <c r="AA185" i="6" a="1"/>
  <c r="AA185" i="6" s="1"/>
  <c r="AA174" i="6" a="1"/>
  <c r="AA174" i="6" s="1"/>
  <c r="AA170" i="6" a="1"/>
  <c r="AA170" i="6" s="1"/>
  <c r="AA163" i="6" a="1"/>
  <c r="AA163" i="6" s="1"/>
  <c r="AA158" i="6" a="1"/>
  <c r="AA158" i="6" s="1"/>
  <c r="AA143" i="6" a="1"/>
  <c r="AA143" i="6" s="1"/>
  <c r="AA135" i="6" a="1"/>
  <c r="AA135" i="6" s="1"/>
  <c r="AA128" i="6" a="1"/>
  <c r="AA128" i="6" s="1"/>
  <c r="AA125" i="6" a="1"/>
  <c r="AA125" i="6" s="1"/>
  <c r="AA154" i="6" a="1"/>
  <c r="AA154" i="6" s="1"/>
  <c r="AA153" i="6" a="1"/>
  <c r="AA153" i="6" s="1"/>
  <c r="AA150" i="6" a="1"/>
  <c r="AA150" i="6" s="1"/>
  <c r="AA134" i="6" a="1"/>
  <c r="AA134" i="6" s="1"/>
  <c r="AA133" i="6" a="1"/>
  <c r="AA133" i="6" s="1"/>
  <c r="AA132" i="6" a="1"/>
  <c r="AA132" i="6" s="1"/>
  <c r="AA129" i="6" a="1"/>
  <c r="AA129" i="6" s="1"/>
  <c r="AA139" i="6" a="1"/>
  <c r="AA139" i="6" s="1"/>
  <c r="AA136" i="6" a="1"/>
  <c r="AA136" i="6" s="1"/>
  <c r="AA151" i="6" a="1"/>
  <c r="AA151" i="6" s="1"/>
  <c r="AA140" i="6" a="1"/>
  <c r="AA140" i="6" s="1"/>
  <c r="AA137" i="6" a="1"/>
  <c r="AA137" i="6" s="1"/>
  <c r="AA122" i="6" a="1"/>
  <c r="AA122" i="6" s="1"/>
  <c r="AA119" i="6" a="1"/>
  <c r="AA119" i="6" s="1"/>
  <c r="AA114" i="6" a="1"/>
  <c r="AA114" i="6" s="1"/>
  <c r="AA179" i="6" a="1"/>
  <c r="AA179" i="6" s="1"/>
  <c r="AA147" i="6" a="1"/>
  <c r="AA147" i="6" s="1"/>
  <c r="AA145" i="6" a="1"/>
  <c r="AA145" i="6" s="1"/>
  <c r="AA144" i="6" a="1"/>
  <c r="AA144" i="6" s="1"/>
  <c r="AA138" i="6" a="1"/>
  <c r="AA138" i="6" s="1"/>
  <c r="AA199" i="6" a="1"/>
  <c r="AA199" i="6" s="1"/>
  <c r="AA141" i="6" a="1"/>
  <c r="AA141" i="6" s="1"/>
  <c r="AA126" i="6" a="1"/>
  <c r="AA126" i="6" s="1"/>
  <c r="AA123" i="6" a="1"/>
  <c r="AA123" i="6" s="1"/>
  <c r="AA120" i="6" a="1"/>
  <c r="AA120" i="6" s="1"/>
  <c r="AA167" i="6" a="1"/>
  <c r="AA167" i="6" s="1"/>
  <c r="AA148" i="6" a="1"/>
  <c r="AA148" i="6" s="1"/>
  <c r="AA146" i="6" a="1"/>
  <c r="AA146" i="6" s="1"/>
  <c r="AA127" i="6" a="1"/>
  <c r="AA127" i="6" s="1"/>
  <c r="AA121" i="6" a="1"/>
  <c r="AA121" i="6" s="1"/>
  <c r="AA157" i="6" a="1"/>
  <c r="AA157" i="6" s="1"/>
  <c r="AA124" i="6" a="1"/>
  <c r="AA124" i="6" s="1"/>
  <c r="AA100" i="6" a="1"/>
  <c r="AA100" i="6" s="1"/>
  <c r="AA94" i="6" a="1"/>
  <c r="AA94" i="6" s="1"/>
  <c r="AA32" i="6" a="1"/>
  <c r="AA32" i="6" s="1"/>
  <c r="AA31" i="6" a="1"/>
  <c r="AA31" i="6" s="1"/>
  <c r="AA142" i="6" a="1"/>
  <c r="AA142" i="6" s="1"/>
  <c r="AA110" i="6" a="1"/>
  <c r="AA110" i="6" s="1"/>
  <c r="AA106" i="6" a="1"/>
  <c r="AA106" i="6" s="1"/>
  <c r="AA102" i="6" a="1"/>
  <c r="AA102" i="6" s="1"/>
  <c r="AA93" i="6" a="1"/>
  <c r="AA93" i="6" s="1"/>
  <c r="AA89" i="6" a="1"/>
  <c r="AA89" i="6" s="1"/>
  <c r="AA85" i="6" a="1"/>
  <c r="AA85" i="6" s="1"/>
  <c r="AA81" i="6" a="1"/>
  <c r="AA81" i="6" s="1"/>
  <c r="AA76" i="6" a="1"/>
  <c r="AA76" i="6" s="1"/>
  <c r="AA72" i="6" a="1"/>
  <c r="AA72" i="6" s="1"/>
  <c r="AA68" i="6" a="1"/>
  <c r="AA68" i="6" s="1"/>
  <c r="AA64" i="6" a="1"/>
  <c r="AA64" i="6" s="1"/>
  <c r="AA60" i="6" a="1"/>
  <c r="AA60" i="6" s="1"/>
  <c r="AA56" i="6" a="1"/>
  <c r="AA56" i="6" s="1"/>
  <c r="AA52" i="6" a="1"/>
  <c r="AA52" i="6" s="1"/>
  <c r="AA48" i="6" a="1"/>
  <c r="AA48" i="6" s="1"/>
  <c r="AA44" i="6" a="1"/>
  <c r="AA44" i="6" s="1"/>
  <c r="AA116" i="6" a="1"/>
  <c r="AA116" i="6" s="1"/>
  <c r="AA149" i="6" a="1"/>
  <c r="AA149" i="6" s="1"/>
  <c r="AA111" i="6" a="1"/>
  <c r="AA111" i="6" s="1"/>
  <c r="AA107" i="6" a="1"/>
  <c r="AA107" i="6" s="1"/>
  <c r="AA103" i="6" a="1"/>
  <c r="AA103" i="6" s="1"/>
  <c r="AA99" i="6" a="1"/>
  <c r="AA99" i="6" s="1"/>
  <c r="AA96" i="6" a="1"/>
  <c r="AA96" i="6" s="1"/>
  <c r="AA90" i="6" a="1"/>
  <c r="AA90" i="6" s="1"/>
  <c r="AA86" i="6" a="1"/>
  <c r="AA86" i="6" s="1"/>
  <c r="AA82" i="6" a="1"/>
  <c r="AA82" i="6" s="1"/>
  <c r="AA77" i="6" a="1"/>
  <c r="AA77" i="6" s="1"/>
  <c r="AA73" i="6" a="1"/>
  <c r="AA73" i="6" s="1"/>
  <c r="AA69" i="6" a="1"/>
  <c r="AA69" i="6" s="1"/>
  <c r="AA65" i="6" a="1"/>
  <c r="AA65" i="6" s="1"/>
  <c r="AA61" i="6" a="1"/>
  <c r="AA61" i="6" s="1"/>
  <c r="AA57" i="6" a="1"/>
  <c r="AA57" i="6" s="1"/>
  <c r="AA53" i="6" a="1"/>
  <c r="AA53" i="6" s="1"/>
  <c r="AA49" i="6" a="1"/>
  <c r="AA49" i="6" s="1"/>
  <c r="AA45" i="6" a="1"/>
  <c r="AA45" i="6" s="1"/>
  <c r="AA41" i="6" a="1"/>
  <c r="AA41" i="6" s="1"/>
  <c r="AA115" i="6" a="1"/>
  <c r="AA115" i="6" s="1"/>
  <c r="AA131" i="6" a="1"/>
  <c r="AA131" i="6" s="1"/>
  <c r="AA108" i="6" a="1"/>
  <c r="AA108" i="6" s="1"/>
  <c r="AA104" i="6" a="1"/>
  <c r="AA104" i="6" s="1"/>
  <c r="AA98" i="6" a="1"/>
  <c r="AA98" i="6" s="1"/>
  <c r="AA95" i="6" a="1"/>
  <c r="AA95" i="6" s="1"/>
  <c r="AA91" i="6" a="1"/>
  <c r="AA91" i="6" s="1"/>
  <c r="AA87" i="6" a="1"/>
  <c r="AA87" i="6" s="1"/>
  <c r="AA83" i="6" a="1"/>
  <c r="AA83" i="6" s="1"/>
  <c r="AA79" i="6" a="1"/>
  <c r="AA79" i="6" s="1"/>
  <c r="AA78" i="6" a="1"/>
  <c r="AA78" i="6" s="1"/>
  <c r="AA74" i="6" a="1"/>
  <c r="AA74" i="6" s="1"/>
  <c r="AA70" i="6" a="1"/>
  <c r="AA70" i="6" s="1"/>
  <c r="AA66" i="6" a="1"/>
  <c r="AA66" i="6" s="1"/>
  <c r="AA62" i="6" a="1"/>
  <c r="AA62" i="6" s="1"/>
  <c r="AA58" i="6" a="1"/>
  <c r="AA58" i="6" s="1"/>
  <c r="AA54" i="6" a="1"/>
  <c r="AA54" i="6" s="1"/>
  <c r="AA50" i="6" a="1"/>
  <c r="AA50" i="6" s="1"/>
  <c r="AA46" i="6" a="1"/>
  <c r="AA46" i="6" s="1"/>
  <c r="AA42" i="6" a="1"/>
  <c r="AA42" i="6" s="1"/>
  <c r="AA118" i="6" a="1"/>
  <c r="AA118" i="6" s="1"/>
  <c r="AA117" i="6" a="1"/>
  <c r="AA117" i="6" s="1"/>
  <c r="AA92" i="6" a="1"/>
  <c r="AA92" i="6" s="1"/>
  <c r="AA130" i="6" a="1"/>
  <c r="AA130" i="6" s="1"/>
  <c r="AA113" i="6" a="1"/>
  <c r="AA113" i="6" s="1"/>
  <c r="AA112" i="6" a="1"/>
  <c r="AA112" i="6" s="1"/>
  <c r="AA109" i="6" a="1"/>
  <c r="AA109" i="6" s="1"/>
  <c r="AA105" i="6" a="1"/>
  <c r="AA105" i="6" s="1"/>
  <c r="AA101" i="6" a="1"/>
  <c r="AA101" i="6" s="1"/>
  <c r="AA97" i="6" a="1"/>
  <c r="AA97" i="6" s="1"/>
  <c r="AA88" i="6" a="1"/>
  <c r="AA88" i="6" s="1"/>
  <c r="AA84" i="6" a="1"/>
  <c r="AA84" i="6" s="1"/>
  <c r="AC6" i="6" a="1"/>
  <c r="AC6" i="6" s="1"/>
  <c r="AB356" i="6" a="1"/>
  <c r="AB356" i="6" s="1"/>
  <c r="AB352" i="6" a="1"/>
  <c r="AB352" i="6" s="1"/>
  <c r="AB348" i="6" a="1"/>
  <c r="AB348" i="6" s="1"/>
  <c r="AB342" i="6" a="1"/>
  <c r="AB342" i="6" s="1"/>
  <c r="AB338" i="6" a="1"/>
  <c r="AB338" i="6" s="1"/>
  <c r="AB334" i="6" a="1"/>
  <c r="AB334" i="6" s="1"/>
  <c r="AB330" i="6" a="1"/>
  <c r="AB330" i="6" s="1"/>
  <c r="AB326" i="6" a="1"/>
  <c r="AB326" i="6" s="1"/>
  <c r="AB323" i="6" a="1"/>
  <c r="AB323" i="6" s="1"/>
  <c r="AB319" i="6" a="1"/>
  <c r="AB319" i="6" s="1"/>
  <c r="AB343" i="6" a="1"/>
  <c r="AB343" i="6" s="1"/>
  <c r="AB357" i="6" a="1"/>
  <c r="AB357" i="6" s="1"/>
  <c r="AB353" i="6" a="1"/>
  <c r="AB353" i="6" s="1"/>
  <c r="AB349" i="6" a="1"/>
  <c r="AB349" i="6" s="1"/>
  <c r="AB339" i="6" a="1"/>
  <c r="AB339" i="6" s="1"/>
  <c r="AB335" i="6" a="1"/>
  <c r="AB335" i="6" s="1"/>
  <c r="AB331" i="6" a="1"/>
  <c r="AB331" i="6" s="1"/>
  <c r="AB327" i="6" a="1"/>
  <c r="AB327" i="6" s="1"/>
  <c r="AB324" i="6" a="1"/>
  <c r="AB324" i="6" s="1"/>
  <c r="AB320" i="6" a="1"/>
  <c r="AB320" i="6" s="1"/>
  <c r="AB344" i="6" a="1"/>
  <c r="AB344" i="6" s="1"/>
  <c r="AB358" i="6" a="1"/>
  <c r="AB358" i="6" s="1"/>
  <c r="AB354" i="6" a="1"/>
  <c r="AB354" i="6" s="1"/>
  <c r="AB350" i="6" a="1"/>
  <c r="AB350" i="6" s="1"/>
  <c r="AB345" i="6" a="1"/>
  <c r="AB345" i="6" s="1"/>
  <c r="AB340" i="6" a="1"/>
  <c r="AB340" i="6" s="1"/>
  <c r="AB336" i="6" a="1"/>
  <c r="AB336" i="6" s="1"/>
  <c r="AB332" i="6" a="1"/>
  <c r="AB332" i="6" s="1"/>
  <c r="AB328" i="6" a="1"/>
  <c r="AB328" i="6" s="1"/>
  <c r="AB321" i="6" a="1"/>
  <c r="AB321" i="6" s="1"/>
  <c r="AB318" i="6" a="1"/>
  <c r="AB318" i="6" s="1"/>
  <c r="AB346" i="6" a="1"/>
  <c r="AB346" i="6" s="1"/>
  <c r="AB355" i="6" a="1"/>
  <c r="AB355" i="6" s="1"/>
  <c r="AB351" i="6" a="1"/>
  <c r="AB351" i="6" s="1"/>
  <c r="AB347" i="6" a="1"/>
  <c r="AB347" i="6" s="1"/>
  <c r="AB329" i="6" a="1"/>
  <c r="AB329" i="6" s="1"/>
  <c r="AB317" i="6" a="1"/>
  <c r="AB317" i="6" s="1"/>
  <c r="AB310" i="6" a="1"/>
  <c r="AB310" i="6" s="1"/>
  <c r="AB308" i="6" a="1"/>
  <c r="AB308" i="6" s="1"/>
  <c r="AB293" i="6" a="1"/>
  <c r="AB293" i="6" s="1"/>
  <c r="AB291" i="6" a="1"/>
  <c r="AB291" i="6" s="1"/>
  <c r="AB333" i="6" a="1"/>
  <c r="AB333" i="6" s="1"/>
  <c r="AB312" i="6" a="1"/>
  <c r="AB312" i="6" s="1"/>
  <c r="AB302" i="6" a="1"/>
  <c r="AB302" i="6" s="1"/>
  <c r="AB299" i="6" a="1"/>
  <c r="AB299" i="6" s="1"/>
  <c r="AB295" i="6" a="1"/>
  <c r="AB295" i="6" s="1"/>
  <c r="AB288" i="6" a="1"/>
  <c r="AB288" i="6" s="1"/>
  <c r="AB337" i="6" a="1"/>
  <c r="AB337" i="6" s="1"/>
  <c r="AB322" i="6" a="1"/>
  <c r="AB322" i="6" s="1"/>
  <c r="AB316" i="6" a="1"/>
  <c r="AB316" i="6" s="1"/>
  <c r="AB306" i="6" a="1"/>
  <c r="AB306" i="6" s="1"/>
  <c r="AB304" i="6" a="1"/>
  <c r="AB304" i="6" s="1"/>
  <c r="AB297" i="6" a="1"/>
  <c r="AB297" i="6" s="1"/>
  <c r="AB341" i="6" a="1"/>
  <c r="AB341" i="6" s="1"/>
  <c r="AB315" i="6" a="1"/>
  <c r="AB315" i="6" s="1"/>
  <c r="AB289" i="6" a="1"/>
  <c r="AB289" i="6" s="1"/>
  <c r="AB311" i="6" a="1"/>
  <c r="AB311" i="6" s="1"/>
  <c r="AB309" i="6" a="1"/>
  <c r="AB309" i="6" s="1"/>
  <c r="AB307" i="6" a="1"/>
  <c r="AB307" i="6" s="1"/>
  <c r="AB300" i="6" a="1"/>
  <c r="AB300" i="6" s="1"/>
  <c r="AB294" i="6" a="1"/>
  <c r="AB294" i="6" s="1"/>
  <c r="AB314" i="6" a="1"/>
  <c r="AB314" i="6" s="1"/>
  <c r="AB313" i="6" a="1"/>
  <c r="AB313" i="6" s="1"/>
  <c r="AB286" i="6" a="1"/>
  <c r="AB286" i="6" s="1"/>
  <c r="AB285" i="6" a="1"/>
  <c r="AB285" i="6" s="1"/>
  <c r="AB274" i="6" a="1"/>
  <c r="AB274" i="6" s="1"/>
  <c r="AB270" i="6" a="1"/>
  <c r="AB270" i="6" s="1"/>
  <c r="AB266" i="6" a="1"/>
  <c r="AB266" i="6" s="1"/>
  <c r="AB262" i="6" a="1"/>
  <c r="AB262" i="6" s="1"/>
  <c r="AB258" i="6" a="1"/>
  <c r="AB258" i="6" s="1"/>
  <c r="AB254" i="6" a="1"/>
  <c r="AB254" i="6" s="1"/>
  <c r="AB305" i="6" a="1"/>
  <c r="AB305" i="6" s="1"/>
  <c r="AB298" i="6" a="1"/>
  <c r="AB298" i="6" s="1"/>
  <c r="AB283" i="6" a="1"/>
  <c r="AB283" i="6" s="1"/>
  <c r="AB282" i="6" a="1"/>
  <c r="AB282" i="6" s="1"/>
  <c r="AB275" i="6" a="1"/>
  <c r="AB275" i="6" s="1"/>
  <c r="AB280" i="6" a="1"/>
  <c r="AB280" i="6" s="1"/>
  <c r="AB276" i="6" a="1"/>
  <c r="AB276" i="6" s="1"/>
  <c r="AB271" i="6" a="1"/>
  <c r="AB271" i="6" s="1"/>
  <c r="AB267" i="6" a="1"/>
  <c r="AB267" i="6" s="1"/>
  <c r="AB263" i="6" a="1"/>
  <c r="AB263" i="6" s="1"/>
  <c r="AB259" i="6" a="1"/>
  <c r="AB259" i="6" s="1"/>
  <c r="AB255" i="6" a="1"/>
  <c r="AB255" i="6" s="1"/>
  <c r="AB292" i="6" a="1"/>
  <c r="AB292" i="6" s="1"/>
  <c r="AB290" i="6" a="1"/>
  <c r="AB290" i="6" s="1"/>
  <c r="AB325" i="6" a="1"/>
  <c r="AB325" i="6" s="1"/>
  <c r="AB272" i="6" a="1"/>
  <c r="AB272" i="6" s="1"/>
  <c r="AB268" i="6" a="1"/>
  <c r="AB268" i="6" s="1"/>
  <c r="AB264" i="6" a="1"/>
  <c r="AB264" i="6" s="1"/>
  <c r="AB260" i="6" a="1"/>
  <c r="AB260" i="6" s="1"/>
  <c r="AB256" i="6" a="1"/>
  <c r="AB256" i="6" s="1"/>
  <c r="AB303" i="6" a="1"/>
  <c r="AB303" i="6" s="1"/>
  <c r="AB287" i="6" a="1"/>
  <c r="AB287" i="6" s="1"/>
  <c r="AB278" i="6" a="1"/>
  <c r="AB278" i="6" s="1"/>
  <c r="AB277" i="6" a="1"/>
  <c r="AB277" i="6" s="1"/>
  <c r="AB273" i="6" a="1"/>
  <c r="AB273" i="6" s="1"/>
  <c r="AB269" i="6" a="1"/>
  <c r="AB269" i="6" s="1"/>
  <c r="AB265" i="6" a="1"/>
  <c r="AB265" i="6" s="1"/>
  <c r="AB261" i="6" a="1"/>
  <c r="AB261" i="6" s="1"/>
  <c r="AB257" i="6" a="1"/>
  <c r="AB257" i="6" s="1"/>
  <c r="AB284" i="6" a="1"/>
  <c r="AB284" i="6" s="1"/>
  <c r="AB279" i="6" a="1"/>
  <c r="AB279" i="6" s="1"/>
  <c r="AB244" i="6" a="1"/>
  <c r="AB244" i="6" s="1"/>
  <c r="AB233" i="6" a="1"/>
  <c r="AB233" i="6" s="1"/>
  <c r="AB230" i="6" a="1"/>
  <c r="AB230" i="6" s="1"/>
  <c r="AB226" i="6" a="1"/>
  <c r="AB226" i="6" s="1"/>
  <c r="AB222" i="6" a="1"/>
  <c r="AB222" i="6" s="1"/>
  <c r="AB301" i="6" a="1"/>
  <c r="AB301" i="6" s="1"/>
  <c r="AB253" i="6" a="1"/>
  <c r="AB253" i="6" s="1"/>
  <c r="AB250" i="6" a="1"/>
  <c r="AB250" i="6" s="1"/>
  <c r="AB245" i="6" a="1"/>
  <c r="AB245" i="6" s="1"/>
  <c r="AB296" i="6" a="1"/>
  <c r="AB296" i="6" s="1"/>
  <c r="AB246" i="6" a="1"/>
  <c r="AB246" i="6" s="1"/>
  <c r="AB240" i="6" a="1"/>
  <c r="AB240" i="6" s="1"/>
  <c r="AB234" i="6" a="1"/>
  <c r="AB234" i="6" s="1"/>
  <c r="AB251" i="6" a="1"/>
  <c r="AB251" i="6" s="1"/>
  <c r="AB237" i="6" a="1"/>
  <c r="AB237" i="6" s="1"/>
  <c r="AB227" i="6" a="1"/>
  <c r="AB227" i="6" s="1"/>
  <c r="AB247" i="6" a="1"/>
  <c r="AB247" i="6" s="1"/>
  <c r="AB241" i="6" a="1"/>
  <c r="AB241" i="6" s="1"/>
  <c r="AB232" i="6" a="1"/>
  <c r="AB232" i="6" s="1"/>
  <c r="AB243" i="6" a="1"/>
  <c r="AB243" i="6" s="1"/>
  <c r="AB238" i="6" a="1"/>
  <c r="AB238" i="6" s="1"/>
  <c r="AB229" i="6" a="1"/>
  <c r="AB229" i="6" s="1"/>
  <c r="AB228" i="6" a="1"/>
  <c r="AB228" i="6" s="1"/>
  <c r="AB281" i="6" a="1"/>
  <c r="AB281" i="6" s="1"/>
  <c r="AB249" i="6" a="1"/>
  <c r="AB249" i="6" s="1"/>
  <c r="AB235" i="6" a="1"/>
  <c r="AB235" i="6" s="1"/>
  <c r="AB224" i="6" a="1"/>
  <c r="AB224" i="6" s="1"/>
  <c r="AB252" i="6" a="1"/>
  <c r="AB252" i="6" s="1"/>
  <c r="AB217" i="6" a="1"/>
  <c r="AB217" i="6" s="1"/>
  <c r="AB214" i="6" a="1"/>
  <c r="AB214" i="6" s="1"/>
  <c r="AB213" i="6" a="1"/>
  <c r="AB213" i="6" s="1"/>
  <c r="AB201" i="6" a="1"/>
  <c r="AB201" i="6" s="1"/>
  <c r="AB197" i="6" a="1"/>
  <c r="AB197" i="6" s="1"/>
  <c r="AB193" i="6" a="1"/>
  <c r="AB193" i="6" s="1"/>
  <c r="AB190" i="6" a="1"/>
  <c r="AB190" i="6" s="1"/>
  <c r="AB219" i="6" a="1"/>
  <c r="AB219" i="6" s="1"/>
  <c r="AB212" i="6" a="1"/>
  <c r="AB212" i="6" s="1"/>
  <c r="AB189" i="6" a="1"/>
  <c r="AB189" i="6" s="1"/>
  <c r="AB186" i="6" a="1"/>
  <c r="AB186" i="6" s="1"/>
  <c r="AB236" i="6" a="1"/>
  <c r="AB236" i="6" s="1"/>
  <c r="AB225" i="6" a="1"/>
  <c r="AB225" i="6" s="1"/>
  <c r="AB208" i="6" a="1"/>
  <c r="AB208" i="6" s="1"/>
  <c r="AB202" i="6" a="1"/>
  <c r="AB202" i="6" s="1"/>
  <c r="AB198" i="6" a="1"/>
  <c r="AB198" i="6" s="1"/>
  <c r="AB194" i="6" a="1"/>
  <c r="AB194" i="6" s="1"/>
  <c r="AB211" i="6" a="1"/>
  <c r="AB211" i="6" s="1"/>
  <c r="AB210" i="6" a="1"/>
  <c r="AB210" i="6" s="1"/>
  <c r="AB209" i="6" a="1"/>
  <c r="AB209" i="6" s="1"/>
  <c r="AB207" i="6" a="1"/>
  <c r="AB207" i="6" s="1"/>
  <c r="AB242" i="6" a="1"/>
  <c r="AB242" i="6" s="1"/>
  <c r="AB216" i="6" a="1"/>
  <c r="AB216" i="6" s="1"/>
  <c r="AB203" i="6" a="1"/>
  <c r="AB203" i="6" s="1"/>
  <c r="AB199" i="6" a="1"/>
  <c r="AB199" i="6" s="1"/>
  <c r="AB195" i="6" a="1"/>
  <c r="AB195" i="6" s="1"/>
  <c r="AB192" i="6" a="1"/>
  <c r="AB192" i="6" s="1"/>
  <c r="AB188" i="6" a="1"/>
  <c r="AB188" i="6" s="1"/>
  <c r="AB231" i="6" a="1"/>
  <c r="AB231" i="6" s="1"/>
  <c r="AB200" i="6" a="1"/>
  <c r="AB200" i="6" s="1"/>
  <c r="AB196" i="6" a="1"/>
  <c r="AB196" i="6" s="1"/>
  <c r="AB248" i="6" a="1"/>
  <c r="AB248" i="6" s="1"/>
  <c r="AB220" i="6" a="1"/>
  <c r="AB220" i="6" s="1"/>
  <c r="AB215" i="6" a="1"/>
  <c r="AB215" i="6" s="1"/>
  <c r="AB173" i="6" a="1"/>
  <c r="AB173" i="6" s="1"/>
  <c r="AB169" i="6" a="1"/>
  <c r="AB169" i="6" s="1"/>
  <c r="AB161" i="6" a="1"/>
  <c r="AB161" i="6" s="1"/>
  <c r="AB223" i="6" a="1"/>
  <c r="AB223" i="6" s="1"/>
  <c r="AB205" i="6" a="1"/>
  <c r="AB205" i="6" s="1"/>
  <c r="AB191" i="6" a="1"/>
  <c r="AB191" i="6" s="1"/>
  <c r="AB182" i="6" a="1"/>
  <c r="AB182" i="6" s="1"/>
  <c r="AB176" i="6" a="1"/>
  <c r="AB176" i="6" s="1"/>
  <c r="AB165" i="6" a="1"/>
  <c r="AB165" i="6" s="1"/>
  <c r="AB239" i="6" a="1"/>
  <c r="AB239" i="6" s="1"/>
  <c r="AB180" i="6" a="1"/>
  <c r="AB180" i="6" s="1"/>
  <c r="AB172" i="6" a="1"/>
  <c r="AB172" i="6" s="1"/>
  <c r="AB160" i="6" a="1"/>
  <c r="AB160" i="6" s="1"/>
  <c r="AB187" i="6" a="1"/>
  <c r="AB187" i="6" s="1"/>
  <c r="AB175" i="6" a="1"/>
  <c r="AB175" i="6" s="1"/>
  <c r="AB164" i="6" a="1"/>
  <c r="AB164" i="6" s="1"/>
  <c r="AB159" i="6" a="1"/>
  <c r="AB159" i="6" s="1"/>
  <c r="AB218" i="6" a="1"/>
  <c r="AB218" i="6" s="1"/>
  <c r="AB184" i="6" a="1"/>
  <c r="AB184" i="6" s="1"/>
  <c r="AB171" i="6" a="1"/>
  <c r="AB171" i="6" s="1"/>
  <c r="AB168" i="6" a="1"/>
  <c r="AB168" i="6" s="1"/>
  <c r="AB221" i="6" a="1"/>
  <c r="AB221" i="6" s="1"/>
  <c r="AB204" i="6" a="1"/>
  <c r="AB204" i="6" s="1"/>
  <c r="AB185" i="6" a="1"/>
  <c r="AB185" i="6" s="1"/>
  <c r="AB174" i="6" a="1"/>
  <c r="AB174" i="6" s="1"/>
  <c r="AB170" i="6" a="1"/>
  <c r="AB170" i="6" s="1"/>
  <c r="AB163" i="6" a="1"/>
  <c r="AB163" i="6" s="1"/>
  <c r="AB206" i="6" a="1"/>
  <c r="AB206" i="6" s="1"/>
  <c r="AB183" i="6" a="1"/>
  <c r="AB183" i="6" s="1"/>
  <c r="AB179" i="6" a="1"/>
  <c r="AB179" i="6" s="1"/>
  <c r="AB167" i="6" a="1"/>
  <c r="AB167" i="6" s="1"/>
  <c r="AB162" i="6" a="1"/>
  <c r="AB162" i="6" s="1"/>
  <c r="AB157" i="6" a="1"/>
  <c r="AB157" i="6" s="1"/>
  <c r="AB154" i="6" a="1"/>
  <c r="AB154" i="6" s="1"/>
  <c r="AB153" i="6" a="1"/>
  <c r="AB153" i="6" s="1"/>
  <c r="AB150" i="6" a="1"/>
  <c r="AB150" i="6" s="1"/>
  <c r="AB134" i="6" a="1"/>
  <c r="AB134" i="6" s="1"/>
  <c r="AB133" i="6" a="1"/>
  <c r="AB133" i="6" s="1"/>
  <c r="AB132" i="6" a="1"/>
  <c r="AB132" i="6" s="1"/>
  <c r="AB129" i="6" a="1"/>
  <c r="AB129" i="6" s="1"/>
  <c r="AB158" i="6" a="1"/>
  <c r="AB158" i="6" s="1"/>
  <c r="AB152" i="6" a="1"/>
  <c r="AB152" i="6" s="1"/>
  <c r="AB139" i="6" a="1"/>
  <c r="AB139" i="6" s="1"/>
  <c r="AB136" i="6" a="1"/>
  <c r="AB136" i="6" s="1"/>
  <c r="AB181" i="6" a="1"/>
  <c r="AB181" i="6" s="1"/>
  <c r="AB177" i="6" a="1"/>
  <c r="AB177" i="6" s="1"/>
  <c r="AB166" i="6" a="1"/>
  <c r="AB166" i="6" s="1"/>
  <c r="AB151" i="6" a="1"/>
  <c r="AB151" i="6" s="1"/>
  <c r="AB145" i="6" a="1"/>
  <c r="AB145" i="6" s="1"/>
  <c r="AB140" i="6" a="1"/>
  <c r="AB140" i="6" s="1"/>
  <c r="AB137" i="6" a="1"/>
  <c r="AB137" i="6" s="1"/>
  <c r="AB122" i="6" a="1"/>
  <c r="AB122" i="6" s="1"/>
  <c r="AB147" i="6" a="1"/>
  <c r="AB147" i="6" s="1"/>
  <c r="AB144" i="6" a="1"/>
  <c r="AB144" i="6" s="1"/>
  <c r="AB138" i="6" a="1"/>
  <c r="AB138" i="6" s="1"/>
  <c r="AB146" i="6" a="1"/>
  <c r="AB146" i="6" s="1"/>
  <c r="AB141" i="6" a="1"/>
  <c r="AB141" i="6" s="1"/>
  <c r="AB126" i="6" a="1"/>
  <c r="AB126" i="6" s="1"/>
  <c r="AB123" i="6" a="1"/>
  <c r="AB123" i="6" s="1"/>
  <c r="AB120" i="6" a="1"/>
  <c r="AB120" i="6" s="1"/>
  <c r="AB156" i="6" a="1"/>
  <c r="AB156" i="6" s="1"/>
  <c r="AB148" i="6" a="1"/>
  <c r="AB148" i="6" s="1"/>
  <c r="AB127" i="6" a="1"/>
  <c r="AB127" i="6" s="1"/>
  <c r="AB121" i="6" a="1"/>
  <c r="AB121" i="6" s="1"/>
  <c r="AB149" i="6" a="1"/>
  <c r="AB149" i="6" s="1"/>
  <c r="AB143" i="6" a="1"/>
  <c r="AB143" i="6" s="1"/>
  <c r="AB142" i="6" a="1"/>
  <c r="AB142" i="6" s="1"/>
  <c r="AB131" i="6" a="1"/>
  <c r="AB131" i="6" s="1"/>
  <c r="AB130" i="6" a="1"/>
  <c r="AB130" i="6" s="1"/>
  <c r="AB124" i="6" a="1"/>
  <c r="AB124" i="6" s="1"/>
  <c r="AB178" i="6" a="1"/>
  <c r="AB178" i="6" s="1"/>
  <c r="AB155" i="6" a="1"/>
  <c r="AB155" i="6" s="1"/>
  <c r="AB135" i="6" a="1"/>
  <c r="AB135" i="6" s="1"/>
  <c r="AB110" i="6" a="1"/>
  <c r="AB110" i="6" s="1"/>
  <c r="AB106" i="6" a="1"/>
  <c r="AB106" i="6" s="1"/>
  <c r="AB102" i="6" a="1"/>
  <c r="AB102" i="6" s="1"/>
  <c r="AB93" i="6" a="1"/>
  <c r="AB93" i="6" s="1"/>
  <c r="AB89" i="6" a="1"/>
  <c r="AB89" i="6" s="1"/>
  <c r="AB85" i="6" a="1"/>
  <c r="AB85" i="6" s="1"/>
  <c r="AB81" i="6" a="1"/>
  <c r="AB81" i="6" s="1"/>
  <c r="AB76" i="6" a="1"/>
  <c r="AB76" i="6" s="1"/>
  <c r="AB72" i="6" a="1"/>
  <c r="AB72" i="6" s="1"/>
  <c r="AB68" i="6" a="1"/>
  <c r="AB68" i="6" s="1"/>
  <c r="AB64" i="6" a="1"/>
  <c r="AB64" i="6" s="1"/>
  <c r="AB60" i="6" a="1"/>
  <c r="AB60" i="6" s="1"/>
  <c r="AB56" i="6" a="1"/>
  <c r="AB56" i="6" s="1"/>
  <c r="AB52" i="6" a="1"/>
  <c r="AB52" i="6" s="1"/>
  <c r="AB48" i="6" a="1"/>
  <c r="AB48" i="6" s="1"/>
  <c r="AB44" i="6" a="1"/>
  <c r="AB44" i="6" s="1"/>
  <c r="AB40" i="6" a="1"/>
  <c r="AB40" i="6" s="1"/>
  <c r="AB36" i="6" a="1"/>
  <c r="AB36" i="6" s="1"/>
  <c r="AB116" i="6" a="1"/>
  <c r="AB116" i="6" s="1"/>
  <c r="AB99" i="6" a="1"/>
  <c r="AB99" i="6" s="1"/>
  <c r="AB114" i="6" a="1"/>
  <c r="AB114" i="6" s="1"/>
  <c r="AB111" i="6" a="1"/>
  <c r="AB111" i="6" s="1"/>
  <c r="AB107" i="6" a="1"/>
  <c r="AB107" i="6" s="1"/>
  <c r="AB103" i="6" a="1"/>
  <c r="AB103" i="6" s="1"/>
  <c r="AB96" i="6" a="1"/>
  <c r="AB96" i="6" s="1"/>
  <c r="AB90" i="6" a="1"/>
  <c r="AB90" i="6" s="1"/>
  <c r="AB86" i="6" a="1"/>
  <c r="AB86" i="6" s="1"/>
  <c r="AB82" i="6" a="1"/>
  <c r="AB82" i="6" s="1"/>
  <c r="AB77" i="6" a="1"/>
  <c r="AB77" i="6" s="1"/>
  <c r="AB73" i="6" a="1"/>
  <c r="AB73" i="6" s="1"/>
  <c r="AB69" i="6" a="1"/>
  <c r="AB69" i="6" s="1"/>
  <c r="AB65" i="6" a="1"/>
  <c r="AB65" i="6" s="1"/>
  <c r="AB61" i="6" a="1"/>
  <c r="AB61" i="6" s="1"/>
  <c r="AB57" i="6" a="1"/>
  <c r="AB57" i="6" s="1"/>
  <c r="AB53" i="6" a="1"/>
  <c r="AB53" i="6" s="1"/>
  <c r="AB49" i="6" a="1"/>
  <c r="AB49" i="6" s="1"/>
  <c r="AB45" i="6" a="1"/>
  <c r="AB45" i="6" s="1"/>
  <c r="AB41" i="6" a="1"/>
  <c r="AB41" i="6" s="1"/>
  <c r="AB37" i="6" a="1"/>
  <c r="AB37" i="6" s="1"/>
  <c r="AB115" i="6" a="1"/>
  <c r="AB115" i="6" s="1"/>
  <c r="AB95" i="6" a="1"/>
  <c r="AB95" i="6" s="1"/>
  <c r="AB108" i="6" a="1"/>
  <c r="AB108" i="6" s="1"/>
  <c r="AB104" i="6" a="1"/>
  <c r="AB104" i="6" s="1"/>
  <c r="AB98" i="6" a="1"/>
  <c r="AB98" i="6" s="1"/>
  <c r="AB91" i="6" a="1"/>
  <c r="AB91" i="6" s="1"/>
  <c r="AB87" i="6" a="1"/>
  <c r="AB87" i="6" s="1"/>
  <c r="AB83" i="6" a="1"/>
  <c r="AB83" i="6" s="1"/>
  <c r="AB79" i="6" a="1"/>
  <c r="AB79" i="6" s="1"/>
  <c r="AB78" i="6" a="1"/>
  <c r="AB78" i="6" s="1"/>
  <c r="AB74" i="6" a="1"/>
  <c r="AB74" i="6" s="1"/>
  <c r="AB70" i="6" a="1"/>
  <c r="AB70" i="6" s="1"/>
  <c r="AB66" i="6" a="1"/>
  <c r="AB66" i="6" s="1"/>
  <c r="AB62" i="6" a="1"/>
  <c r="AB62" i="6" s="1"/>
  <c r="AB58" i="6" a="1"/>
  <c r="AB58" i="6" s="1"/>
  <c r="AB54" i="6" a="1"/>
  <c r="AB54" i="6" s="1"/>
  <c r="AB50" i="6" a="1"/>
  <c r="AB50" i="6" s="1"/>
  <c r="AB46" i="6" a="1"/>
  <c r="AB46" i="6" s="1"/>
  <c r="AB42" i="6" a="1"/>
  <c r="AB42" i="6" s="1"/>
  <c r="AB38" i="6" a="1"/>
  <c r="AB38" i="6" s="1"/>
  <c r="AB33" i="6" a="1"/>
  <c r="AB33" i="6" s="1"/>
  <c r="AB118" i="6" a="1"/>
  <c r="AB118" i="6" s="1"/>
  <c r="AB117" i="6" a="1"/>
  <c r="AB117" i="6" s="1"/>
  <c r="AB92" i="6" a="1"/>
  <c r="AB92" i="6" s="1"/>
  <c r="AB128" i="6" a="1"/>
  <c r="AB128" i="6" s="1"/>
  <c r="AB125" i="6" a="1"/>
  <c r="AB125" i="6" s="1"/>
  <c r="AB113" i="6" a="1"/>
  <c r="AB113" i="6" s="1"/>
  <c r="AB112" i="6" a="1"/>
  <c r="AB112" i="6" s="1"/>
  <c r="AB109" i="6" a="1"/>
  <c r="AB109" i="6" s="1"/>
  <c r="AB105" i="6" a="1"/>
  <c r="AB105" i="6" s="1"/>
  <c r="AB101" i="6" a="1"/>
  <c r="AB101" i="6" s="1"/>
  <c r="AB97" i="6" a="1"/>
  <c r="AB97" i="6" s="1"/>
  <c r="AB88" i="6" a="1"/>
  <c r="AB88" i="6" s="1"/>
  <c r="AB84" i="6" a="1"/>
  <c r="AB84" i="6" s="1"/>
  <c r="AB80" i="6" a="1"/>
  <c r="AB80" i="6" s="1"/>
  <c r="AB75" i="6" a="1"/>
  <c r="AB75" i="6" s="1"/>
  <c r="AB71" i="6" a="1"/>
  <c r="AB71" i="6" s="1"/>
  <c r="AB67" i="6" a="1"/>
  <c r="AB67" i="6" s="1"/>
  <c r="AB63" i="6" a="1"/>
  <c r="AB63" i="6" s="1"/>
  <c r="AB59" i="6" a="1"/>
  <c r="AB59" i="6" s="1"/>
  <c r="AB55" i="6" a="1"/>
  <c r="AB55" i="6" s="1"/>
  <c r="AB51" i="6" a="1"/>
  <c r="AB51" i="6" s="1"/>
  <c r="AB47" i="6" a="1"/>
  <c r="AB47" i="6" s="1"/>
  <c r="AB43" i="6" a="1"/>
  <c r="AB43" i="6" s="1"/>
  <c r="AB39" i="6" a="1"/>
  <c r="AB39" i="6" s="1"/>
  <c r="AB35" i="6" a="1"/>
  <c r="AB35" i="6" s="1"/>
  <c r="AB31" i="6" a="1"/>
  <c r="AB31" i="6" s="1"/>
  <c r="AB30" i="6" a="1"/>
  <c r="AB30" i="6" s="1"/>
  <c r="AB29" i="6" a="1"/>
  <c r="AB29" i="6" s="1"/>
  <c r="AB28" i="6" a="1"/>
  <c r="AB28" i="6" s="1"/>
  <c r="AB119" i="6" a="1"/>
  <c r="AB119" i="6" s="1"/>
  <c r="AB100" i="6" a="1"/>
  <c r="AB100" i="6" s="1"/>
  <c r="AB94" i="6" a="1"/>
  <c r="AB94" i="6" s="1"/>
  <c r="AD6" i="6" a="1"/>
  <c r="AD6" i="6" s="1"/>
  <c r="AF7" i="6" a="1"/>
  <c r="AF7" i="6" s="1"/>
  <c r="AB9" i="6" a="1"/>
  <c r="AB9" i="6" s="1"/>
  <c r="AD10" i="6" a="1"/>
  <c r="AD10" i="6" s="1"/>
  <c r="AF11" i="6" a="1"/>
  <c r="AF11" i="6" s="1"/>
  <c r="AB13" i="6" a="1"/>
  <c r="AB13" i="6" s="1"/>
  <c r="AD14" i="6" a="1"/>
  <c r="AD14" i="6" s="1"/>
  <c r="AF15" i="6" a="1"/>
  <c r="AF15" i="6" s="1"/>
  <c r="AB17" i="6" a="1"/>
  <c r="AB17" i="6" s="1"/>
  <c r="AD18" i="6" a="1"/>
  <c r="AD18" i="6" s="1"/>
  <c r="AF19" i="6" a="1"/>
  <c r="AF19" i="6" s="1"/>
  <c r="AB21" i="6" a="1"/>
  <c r="AB21" i="6" s="1"/>
  <c r="AD22" i="6" a="1"/>
  <c r="AD22" i="6" s="1"/>
  <c r="AF23" i="6" a="1"/>
  <c r="AF23" i="6" s="1"/>
  <c r="AB25" i="6" a="1"/>
  <c r="AB25" i="6" s="1"/>
  <c r="AD26" i="6" a="1"/>
  <c r="AD26" i="6" s="1"/>
  <c r="AF27" i="6" a="1"/>
  <c r="AF27" i="6" s="1"/>
  <c r="AA28" i="6" a="1"/>
  <c r="AA28" i="6" s="1"/>
  <c r="AF29" i="6" a="1"/>
  <c r="AF29" i="6" s="1"/>
  <c r="AE30" i="6" a="1"/>
  <c r="AE30" i="6" s="1"/>
  <c r="AE31" i="6" a="1"/>
  <c r="AE31" i="6" s="1"/>
  <c r="AA34" i="6" a="1"/>
  <c r="AA34" i="6" s="1"/>
  <c r="AA35" i="6" a="1"/>
  <c r="AA35" i="6" s="1"/>
  <c r="AC36" i="6" a="1"/>
  <c r="AC36" i="6" s="1"/>
  <c r="AE37" i="6" a="1"/>
  <c r="AE37" i="6" s="1"/>
  <c r="AG38" i="6" a="1"/>
  <c r="AG38" i="6" s="1"/>
  <c r="AC44" i="6" a="1"/>
  <c r="AC44" i="6" s="1"/>
  <c r="AE53" i="6" a="1"/>
  <c r="AE53" i="6" s="1"/>
  <c r="AG62" i="6" a="1"/>
  <c r="AG62" i="6" s="1"/>
  <c r="AA67" i="6" a="1"/>
  <c r="AA67" i="6" s="1"/>
  <c r="AG79" i="6" a="1"/>
  <c r="AG79" i="6" s="1"/>
  <c r="AG21" i="6" a="1"/>
  <c r="AG21" i="6" s="1"/>
  <c r="AC356" i="6" a="1"/>
  <c r="AC356" i="6" s="1"/>
  <c r="AC352" i="6" a="1"/>
  <c r="AC352" i="6" s="1"/>
  <c r="AC348" i="6" a="1"/>
  <c r="AC348" i="6" s="1"/>
  <c r="AC342" i="6" a="1"/>
  <c r="AC342" i="6" s="1"/>
  <c r="AC338" i="6" a="1"/>
  <c r="AC338" i="6" s="1"/>
  <c r="AC334" i="6" a="1"/>
  <c r="AC334" i="6" s="1"/>
  <c r="AC330" i="6" a="1"/>
  <c r="AC330" i="6" s="1"/>
  <c r="AC326" i="6" a="1"/>
  <c r="AC326" i="6" s="1"/>
  <c r="AC323" i="6" a="1"/>
  <c r="AC323" i="6" s="1"/>
  <c r="AC319" i="6" a="1"/>
  <c r="AC319" i="6" s="1"/>
  <c r="AC343" i="6" a="1"/>
  <c r="AC343" i="6" s="1"/>
  <c r="AC314" i="6" a="1"/>
  <c r="AC314" i="6" s="1"/>
  <c r="AC357" i="6" a="1"/>
  <c r="AC357" i="6" s="1"/>
  <c r="AC353" i="6" a="1"/>
  <c r="AC353" i="6" s="1"/>
  <c r="AC349" i="6" a="1"/>
  <c r="AC349" i="6" s="1"/>
  <c r="AC339" i="6" a="1"/>
  <c r="AC339" i="6" s="1"/>
  <c r="AC335" i="6" a="1"/>
  <c r="AC335" i="6" s="1"/>
  <c r="AC331" i="6" a="1"/>
  <c r="AC331" i="6" s="1"/>
  <c r="AC327" i="6" a="1"/>
  <c r="AC327" i="6" s="1"/>
  <c r="AC324" i="6" a="1"/>
  <c r="AC324" i="6" s="1"/>
  <c r="AC344" i="6" a="1"/>
  <c r="AC344" i="6" s="1"/>
  <c r="AC358" i="6" a="1"/>
  <c r="AC358" i="6" s="1"/>
  <c r="AC354" i="6" a="1"/>
  <c r="AC354" i="6" s="1"/>
  <c r="AC350" i="6" a="1"/>
  <c r="AC350" i="6" s="1"/>
  <c r="AC345" i="6" a="1"/>
  <c r="AC345" i="6" s="1"/>
  <c r="AC340" i="6" a="1"/>
  <c r="AC340" i="6" s="1"/>
  <c r="AC336" i="6" a="1"/>
  <c r="AC336" i="6" s="1"/>
  <c r="AC332" i="6" a="1"/>
  <c r="AC332" i="6" s="1"/>
  <c r="AC328" i="6" a="1"/>
  <c r="AC328" i="6" s="1"/>
  <c r="AC346" i="6" a="1"/>
  <c r="AC346" i="6" s="1"/>
  <c r="AC355" i="6" a="1"/>
  <c r="AC355" i="6" s="1"/>
  <c r="AC351" i="6" a="1"/>
  <c r="AC351" i="6" s="1"/>
  <c r="AC347" i="6" a="1"/>
  <c r="AC347" i="6" s="1"/>
  <c r="AC341" i="6" a="1"/>
  <c r="AC341" i="6" s="1"/>
  <c r="AC337" i="6" a="1"/>
  <c r="AC337" i="6" s="1"/>
  <c r="AC333" i="6" a="1"/>
  <c r="AC333" i="6" s="1"/>
  <c r="AC329" i="6" a="1"/>
  <c r="AC329" i="6" s="1"/>
  <c r="AC325" i="6" a="1"/>
  <c r="AC325" i="6" s="1"/>
  <c r="AC322" i="6" a="1"/>
  <c r="AC322" i="6" s="1"/>
  <c r="AC316" i="6" a="1"/>
  <c r="AC316" i="6" s="1"/>
  <c r="AC304" i="6" a="1"/>
  <c r="AC304" i="6" s="1"/>
  <c r="AC302" i="6" a="1"/>
  <c r="AC302" i="6" s="1"/>
  <c r="AC299" i="6" a="1"/>
  <c r="AC299" i="6" s="1"/>
  <c r="AC295" i="6" a="1"/>
  <c r="AC295" i="6" s="1"/>
  <c r="AC306" i="6" a="1"/>
  <c r="AC306" i="6" s="1"/>
  <c r="AC297" i="6" a="1"/>
  <c r="AC297" i="6" s="1"/>
  <c r="AC292" i="6" a="1"/>
  <c r="AC292" i="6" s="1"/>
  <c r="AC289" i="6" a="1"/>
  <c r="AC289" i="6" s="1"/>
  <c r="AC284" i="6" a="1"/>
  <c r="AC284" i="6" s="1"/>
  <c r="AC315" i="6" a="1"/>
  <c r="AC315" i="6" s="1"/>
  <c r="AC309" i="6" a="1"/>
  <c r="AC309" i="6" s="1"/>
  <c r="AC311" i="6" a="1"/>
  <c r="AC311" i="6" s="1"/>
  <c r="AC307" i="6" a="1"/>
  <c r="AC307" i="6" s="1"/>
  <c r="AC300" i="6" a="1"/>
  <c r="AC300" i="6" s="1"/>
  <c r="AC294" i="6" a="1"/>
  <c r="AC294" i="6" s="1"/>
  <c r="AC320" i="6" a="1"/>
  <c r="AC320" i="6" s="1"/>
  <c r="AC318" i="6" a="1"/>
  <c r="AC318" i="6" s="1"/>
  <c r="AC305" i="6" a="1"/>
  <c r="AC305" i="6" s="1"/>
  <c r="AC303" i="6" a="1"/>
  <c r="AC303" i="6" s="1"/>
  <c r="AC290" i="6" a="1"/>
  <c r="AC290" i="6" s="1"/>
  <c r="AC282" i="6" a="1"/>
  <c r="AC282" i="6" s="1"/>
  <c r="AC313" i="6" a="1"/>
  <c r="AC313" i="6" s="1"/>
  <c r="AC301" i="6" a="1"/>
  <c r="AC301" i="6" s="1"/>
  <c r="AC298" i="6" a="1"/>
  <c r="AC298" i="6" s="1"/>
  <c r="AC283" i="6" a="1"/>
  <c r="AC283" i="6" s="1"/>
  <c r="AC321" i="6" a="1"/>
  <c r="AC321" i="6" s="1"/>
  <c r="AC312" i="6" a="1"/>
  <c r="AC312" i="6" s="1"/>
  <c r="AC288" i="6" a="1"/>
  <c r="AC288" i="6" s="1"/>
  <c r="AC280" i="6" a="1"/>
  <c r="AC280" i="6" s="1"/>
  <c r="AC276" i="6" a="1"/>
  <c r="AC276" i="6" s="1"/>
  <c r="AC271" i="6" a="1"/>
  <c r="AC271" i="6" s="1"/>
  <c r="AC267" i="6" a="1"/>
  <c r="AC267" i="6" s="1"/>
  <c r="AC263" i="6" a="1"/>
  <c r="AC263" i="6" s="1"/>
  <c r="AC272" i="6" a="1"/>
  <c r="AC272" i="6" s="1"/>
  <c r="AC268" i="6" a="1"/>
  <c r="AC268" i="6" s="1"/>
  <c r="AC264" i="6" a="1"/>
  <c r="AC264" i="6" s="1"/>
  <c r="AC260" i="6" a="1"/>
  <c r="AC260" i="6" s="1"/>
  <c r="AC296" i="6" a="1"/>
  <c r="AC296" i="6" s="1"/>
  <c r="AC281" i="6" a="1"/>
  <c r="AC281" i="6" s="1"/>
  <c r="AC252" i="6" a="1"/>
  <c r="AC252" i="6" s="1"/>
  <c r="AC310" i="6" a="1"/>
  <c r="AC310" i="6" s="1"/>
  <c r="AC308" i="6" a="1"/>
  <c r="AC308" i="6" s="1"/>
  <c r="AC279" i="6" a="1"/>
  <c r="AC279" i="6" s="1"/>
  <c r="AC293" i="6" a="1"/>
  <c r="AC293" i="6" s="1"/>
  <c r="AC291" i="6" a="1"/>
  <c r="AC291" i="6" s="1"/>
  <c r="AC286" i="6" a="1"/>
  <c r="AC286" i="6" s="1"/>
  <c r="AC285" i="6" a="1"/>
  <c r="AC285" i="6" s="1"/>
  <c r="AC275" i="6" a="1"/>
  <c r="AC275" i="6" s="1"/>
  <c r="AC274" i="6" a="1"/>
  <c r="AC274" i="6" s="1"/>
  <c r="AC270" i="6" a="1"/>
  <c r="AC270" i="6" s="1"/>
  <c r="AC266" i="6" a="1"/>
  <c r="AC266" i="6" s="1"/>
  <c r="AC262" i="6" a="1"/>
  <c r="AC262" i="6" s="1"/>
  <c r="AC265" i="6" a="1"/>
  <c r="AC265" i="6" s="1"/>
  <c r="AC253" i="6" a="1"/>
  <c r="AC253" i="6" s="1"/>
  <c r="AC250" i="6" a="1"/>
  <c r="AC250" i="6" s="1"/>
  <c r="AC245" i="6" a="1"/>
  <c r="AC245" i="6" s="1"/>
  <c r="AC223" i="6" a="1"/>
  <c r="AC223" i="6" s="1"/>
  <c r="AC269" i="6" a="1"/>
  <c r="AC269" i="6" s="1"/>
  <c r="AC246" i="6" a="1"/>
  <c r="AC246" i="6" s="1"/>
  <c r="AC240" i="6" a="1"/>
  <c r="AC240" i="6" s="1"/>
  <c r="AC237" i="6" a="1"/>
  <c r="AC237" i="6" s="1"/>
  <c r="AC234" i="6" a="1"/>
  <c r="AC234" i="6" s="1"/>
  <c r="AC227" i="6" a="1"/>
  <c r="AC227" i="6" s="1"/>
  <c r="AC277" i="6" a="1"/>
  <c r="AC277" i="6" s="1"/>
  <c r="AC273" i="6" a="1"/>
  <c r="AC273" i="6" s="1"/>
  <c r="AC251" i="6" a="1"/>
  <c r="AC251" i="6" s="1"/>
  <c r="AC278" i="6" a="1"/>
  <c r="AC278" i="6" s="1"/>
  <c r="AC257" i="6" a="1"/>
  <c r="AC257" i="6" s="1"/>
  <c r="AC256" i="6" a="1"/>
  <c r="AC256" i="6" s="1"/>
  <c r="AC247" i="6" a="1"/>
  <c r="AC247" i="6" s="1"/>
  <c r="AC241" i="6" a="1"/>
  <c r="AC241" i="6" s="1"/>
  <c r="AC232" i="6" a="1"/>
  <c r="AC232" i="6" s="1"/>
  <c r="AC231" i="6" a="1"/>
  <c r="AC231" i="6" s="1"/>
  <c r="AC225" i="6" a="1"/>
  <c r="AC225" i="6" s="1"/>
  <c r="AC287" i="6" a="1"/>
  <c r="AC287" i="6" s="1"/>
  <c r="AC258" i="6" a="1"/>
  <c r="AC258" i="6" s="1"/>
  <c r="AC255" i="6" a="1"/>
  <c r="AC255" i="6" s="1"/>
  <c r="AC248" i="6" a="1"/>
  <c r="AC248" i="6" s="1"/>
  <c r="AC242" i="6" a="1"/>
  <c r="AC242" i="6" s="1"/>
  <c r="AC239" i="6" a="1"/>
  <c r="AC239" i="6" s="1"/>
  <c r="AC236" i="6" a="1"/>
  <c r="AC236" i="6" s="1"/>
  <c r="AC229" i="6" a="1"/>
  <c r="AC229" i="6" s="1"/>
  <c r="AC249" i="6" a="1"/>
  <c r="AC249" i="6" s="1"/>
  <c r="AC224" i="6" a="1"/>
  <c r="AC224" i="6" s="1"/>
  <c r="AC220" i="6" a="1"/>
  <c r="AC220" i="6" s="1"/>
  <c r="AC261" i="6" a="1"/>
  <c r="AC261" i="6" s="1"/>
  <c r="AC259" i="6" a="1"/>
  <c r="AC259" i="6" s="1"/>
  <c r="AC244" i="6" a="1"/>
  <c r="AC244" i="6" s="1"/>
  <c r="AC233" i="6" a="1"/>
  <c r="AC233" i="6" s="1"/>
  <c r="AC230" i="6" a="1"/>
  <c r="AC230" i="6" s="1"/>
  <c r="AC226" i="6" a="1"/>
  <c r="AC226" i="6" s="1"/>
  <c r="AC222" i="6" a="1"/>
  <c r="AC222" i="6" s="1"/>
  <c r="AC219" i="6" a="1"/>
  <c r="AC219" i="6" s="1"/>
  <c r="AC212" i="6" a="1"/>
  <c r="AC212" i="6" s="1"/>
  <c r="AC189" i="6" a="1"/>
  <c r="AC189" i="6" s="1"/>
  <c r="AC243" i="6" a="1"/>
  <c r="AC243" i="6" s="1"/>
  <c r="AC238" i="6" a="1"/>
  <c r="AC238" i="6" s="1"/>
  <c r="AC208" i="6" a="1"/>
  <c r="AC208" i="6" s="1"/>
  <c r="AC202" i="6" a="1"/>
  <c r="AC202" i="6" s="1"/>
  <c r="AC198" i="6" a="1"/>
  <c r="AC198" i="6" s="1"/>
  <c r="AC194" i="6" a="1"/>
  <c r="AC194" i="6" s="1"/>
  <c r="AC228" i="6" a="1"/>
  <c r="AC228" i="6" s="1"/>
  <c r="AC211" i="6" a="1"/>
  <c r="AC211" i="6" s="1"/>
  <c r="AC210" i="6" a="1"/>
  <c r="AC210" i="6" s="1"/>
  <c r="AC209" i="6" a="1"/>
  <c r="AC209" i="6" s="1"/>
  <c r="AC207" i="6" a="1"/>
  <c r="AC207" i="6" s="1"/>
  <c r="AC218" i="6" a="1"/>
  <c r="AC218" i="6" s="1"/>
  <c r="AC216" i="6" a="1"/>
  <c r="AC216" i="6" s="1"/>
  <c r="AC206" i="6" a="1"/>
  <c r="AC206" i="6" s="1"/>
  <c r="AC203" i="6" a="1"/>
  <c r="AC203" i="6" s="1"/>
  <c r="AC199" i="6" a="1"/>
  <c r="AC199" i="6" s="1"/>
  <c r="AC195" i="6" a="1"/>
  <c r="AC195" i="6" s="1"/>
  <c r="AC192" i="6" a="1"/>
  <c r="AC192" i="6" s="1"/>
  <c r="AC254" i="6" a="1"/>
  <c r="AC254" i="6" s="1"/>
  <c r="AC221" i="6" a="1"/>
  <c r="AC221" i="6" s="1"/>
  <c r="AC205" i="6" a="1"/>
  <c r="AC205" i="6" s="1"/>
  <c r="AC204" i="6" a="1"/>
  <c r="AC204" i="6" s="1"/>
  <c r="AC191" i="6" a="1"/>
  <c r="AC191" i="6" s="1"/>
  <c r="AC215" i="6" a="1"/>
  <c r="AC215" i="6" s="1"/>
  <c r="AC190" i="6" a="1"/>
  <c r="AC190" i="6" s="1"/>
  <c r="AC235" i="6" a="1"/>
  <c r="AC235" i="6" s="1"/>
  <c r="AC217" i="6" a="1"/>
  <c r="AC217" i="6" s="1"/>
  <c r="AC214" i="6" a="1"/>
  <c r="AC214" i="6" s="1"/>
  <c r="AC213" i="6" a="1"/>
  <c r="AC213" i="6" s="1"/>
  <c r="AC201" i="6" a="1"/>
  <c r="AC201" i="6" s="1"/>
  <c r="AC197" i="6" a="1"/>
  <c r="AC197" i="6" s="1"/>
  <c r="AC193" i="6" a="1"/>
  <c r="AC193" i="6" s="1"/>
  <c r="AC186" i="6" a="1"/>
  <c r="AC186" i="6" s="1"/>
  <c r="AC182" i="6" a="1"/>
  <c r="AC182" i="6" s="1"/>
  <c r="AC176" i="6" a="1"/>
  <c r="AC176" i="6" s="1"/>
  <c r="AC165" i="6" a="1"/>
  <c r="AC165" i="6" s="1"/>
  <c r="AC188" i="6" a="1"/>
  <c r="AC188" i="6" s="1"/>
  <c r="AC180" i="6" a="1"/>
  <c r="AC180" i="6" s="1"/>
  <c r="AC172" i="6" a="1"/>
  <c r="AC172" i="6" s="1"/>
  <c r="AC160" i="6" a="1"/>
  <c r="AC160" i="6" s="1"/>
  <c r="AC155" i="6" a="1"/>
  <c r="AC155" i="6" s="1"/>
  <c r="AC187" i="6" a="1"/>
  <c r="AC187" i="6" s="1"/>
  <c r="AC175" i="6" a="1"/>
  <c r="AC175" i="6" s="1"/>
  <c r="AC171" i="6" a="1"/>
  <c r="AC171" i="6" s="1"/>
  <c r="AC164" i="6" a="1"/>
  <c r="AC164" i="6" s="1"/>
  <c r="AC159" i="6" a="1"/>
  <c r="AC159" i="6" s="1"/>
  <c r="AC184" i="6" a="1"/>
  <c r="AC184" i="6" s="1"/>
  <c r="AC168" i="6" a="1"/>
  <c r="AC168" i="6" s="1"/>
  <c r="AC154" i="6" a="1"/>
  <c r="AC154" i="6" s="1"/>
  <c r="AC196" i="6" a="1"/>
  <c r="AC196" i="6" s="1"/>
  <c r="AC185" i="6" a="1"/>
  <c r="AC185" i="6" s="1"/>
  <c r="AC174" i="6" a="1"/>
  <c r="AC174" i="6" s="1"/>
  <c r="AC170" i="6" a="1"/>
  <c r="AC170" i="6" s="1"/>
  <c r="AC167" i="6" a="1"/>
  <c r="AC167" i="6" s="1"/>
  <c r="AC163" i="6" a="1"/>
  <c r="AC163" i="6" s="1"/>
  <c r="AC158" i="6" a="1"/>
  <c r="AC158" i="6" s="1"/>
  <c r="AC317" i="6" a="1"/>
  <c r="AC317" i="6" s="1"/>
  <c r="AC200" i="6" a="1"/>
  <c r="AC200" i="6" s="1"/>
  <c r="AC183" i="6" a="1"/>
  <c r="AC183" i="6" s="1"/>
  <c r="AC179" i="6" a="1"/>
  <c r="AC179" i="6" s="1"/>
  <c r="AC178" i="6" a="1"/>
  <c r="AC178" i="6" s="1"/>
  <c r="AC162" i="6" a="1"/>
  <c r="AC162" i="6" s="1"/>
  <c r="AC181" i="6" a="1"/>
  <c r="AC181" i="6" s="1"/>
  <c r="AC177" i="6" a="1"/>
  <c r="AC177" i="6" s="1"/>
  <c r="AC166" i="6" a="1"/>
  <c r="AC166" i="6" s="1"/>
  <c r="AC156" i="6" a="1"/>
  <c r="AC156" i="6" s="1"/>
  <c r="AC152" i="6" a="1"/>
  <c r="AC152" i="6" s="1"/>
  <c r="AC139" i="6" a="1"/>
  <c r="AC139" i="6" s="1"/>
  <c r="AC136" i="6" a="1"/>
  <c r="AC136" i="6" s="1"/>
  <c r="AC151" i="6" a="1"/>
  <c r="AC151" i="6" s="1"/>
  <c r="AC145" i="6" a="1"/>
  <c r="AC145" i="6" s="1"/>
  <c r="AC140" i="6" a="1"/>
  <c r="AC140" i="6" s="1"/>
  <c r="AC137" i="6" a="1"/>
  <c r="AC137" i="6" s="1"/>
  <c r="AC147" i="6" a="1"/>
  <c r="AC147" i="6" s="1"/>
  <c r="AC144" i="6" a="1"/>
  <c r="AC144" i="6" s="1"/>
  <c r="AC138" i="6" a="1"/>
  <c r="AC138" i="6" s="1"/>
  <c r="AC146" i="6" a="1"/>
  <c r="AC146" i="6" s="1"/>
  <c r="AC141" i="6" a="1"/>
  <c r="AC141" i="6" s="1"/>
  <c r="AC126" i="6" a="1"/>
  <c r="AC126" i="6" s="1"/>
  <c r="AC123" i="6" a="1"/>
  <c r="AC123" i="6" s="1"/>
  <c r="AC120" i="6" a="1"/>
  <c r="AC120" i="6" s="1"/>
  <c r="AC173" i="6" a="1"/>
  <c r="AC173" i="6" s="1"/>
  <c r="AC148" i="6" a="1"/>
  <c r="AC148" i="6" s="1"/>
  <c r="AC127" i="6" a="1"/>
  <c r="AC127" i="6" s="1"/>
  <c r="AC124" i="6" a="1"/>
  <c r="AC124" i="6" s="1"/>
  <c r="AC121" i="6" a="1"/>
  <c r="AC121" i="6" s="1"/>
  <c r="AC169" i="6" a="1"/>
  <c r="AC169" i="6" s="1"/>
  <c r="AC161" i="6" a="1"/>
  <c r="AC161" i="6" s="1"/>
  <c r="AC149" i="6" a="1"/>
  <c r="AC149" i="6" s="1"/>
  <c r="AC143" i="6" a="1"/>
  <c r="AC143" i="6" s="1"/>
  <c r="AC142" i="6" a="1"/>
  <c r="AC142" i="6" s="1"/>
  <c r="AC131" i="6" a="1"/>
  <c r="AC131" i="6" s="1"/>
  <c r="AC130" i="6" a="1"/>
  <c r="AC130" i="6" s="1"/>
  <c r="AC157" i="6" a="1"/>
  <c r="AC157" i="6" s="1"/>
  <c r="AC135" i="6" a="1"/>
  <c r="AC135" i="6" s="1"/>
  <c r="AC128" i="6" a="1"/>
  <c r="AC128" i="6" s="1"/>
  <c r="AC125" i="6" a="1"/>
  <c r="AC125" i="6" s="1"/>
  <c r="AC153" i="6" a="1"/>
  <c r="AC153" i="6" s="1"/>
  <c r="AC150" i="6" a="1"/>
  <c r="AC150" i="6" s="1"/>
  <c r="AC116" i="6" a="1"/>
  <c r="AC116" i="6" s="1"/>
  <c r="AC96" i="6" a="1"/>
  <c r="AC96" i="6" s="1"/>
  <c r="AC115" i="6" a="1"/>
  <c r="AC115" i="6" s="1"/>
  <c r="AC114" i="6" a="1"/>
  <c r="AC114" i="6" s="1"/>
  <c r="AC111" i="6" a="1"/>
  <c r="AC111" i="6" s="1"/>
  <c r="AC107" i="6" a="1"/>
  <c r="AC107" i="6" s="1"/>
  <c r="AC103" i="6" a="1"/>
  <c r="AC103" i="6" s="1"/>
  <c r="AC95" i="6" a="1"/>
  <c r="AC95" i="6" s="1"/>
  <c r="AC90" i="6" a="1"/>
  <c r="AC90" i="6" s="1"/>
  <c r="AC86" i="6" a="1"/>
  <c r="AC86" i="6" s="1"/>
  <c r="AC82" i="6" a="1"/>
  <c r="AC82" i="6" s="1"/>
  <c r="AC77" i="6" a="1"/>
  <c r="AC77" i="6" s="1"/>
  <c r="AC73" i="6" a="1"/>
  <c r="AC73" i="6" s="1"/>
  <c r="AC69" i="6" a="1"/>
  <c r="AC69" i="6" s="1"/>
  <c r="AC65" i="6" a="1"/>
  <c r="AC65" i="6" s="1"/>
  <c r="AC61" i="6" a="1"/>
  <c r="AC61" i="6" s="1"/>
  <c r="AC57" i="6" a="1"/>
  <c r="AC57" i="6" s="1"/>
  <c r="AC53" i="6" a="1"/>
  <c r="AC53" i="6" s="1"/>
  <c r="AC49" i="6" a="1"/>
  <c r="AC49" i="6" s="1"/>
  <c r="AC45" i="6" a="1"/>
  <c r="AC45" i="6" s="1"/>
  <c r="AC41" i="6" a="1"/>
  <c r="AC41" i="6" s="1"/>
  <c r="AC132" i="6" a="1"/>
  <c r="AC132" i="6" s="1"/>
  <c r="AC129" i="6" a="1"/>
  <c r="AC129" i="6" s="1"/>
  <c r="AC108" i="6" a="1"/>
  <c r="AC108" i="6" s="1"/>
  <c r="AC104" i="6" a="1"/>
  <c r="AC104" i="6" s="1"/>
  <c r="AC98" i="6" a="1"/>
  <c r="AC98" i="6" s="1"/>
  <c r="AC92" i="6" a="1"/>
  <c r="AC92" i="6" s="1"/>
  <c r="AC91" i="6" a="1"/>
  <c r="AC91" i="6" s="1"/>
  <c r="AC87" i="6" a="1"/>
  <c r="AC87" i="6" s="1"/>
  <c r="AC83" i="6" a="1"/>
  <c r="AC83" i="6" s="1"/>
  <c r="AC79" i="6" a="1"/>
  <c r="AC79" i="6" s="1"/>
  <c r="AC78" i="6" a="1"/>
  <c r="AC78" i="6" s="1"/>
  <c r="AC74" i="6" a="1"/>
  <c r="AC74" i="6" s="1"/>
  <c r="AC70" i="6" a="1"/>
  <c r="AC70" i="6" s="1"/>
  <c r="AC66" i="6" a="1"/>
  <c r="AC66" i="6" s="1"/>
  <c r="AC62" i="6" a="1"/>
  <c r="AC62" i="6" s="1"/>
  <c r="AC58" i="6" a="1"/>
  <c r="AC58" i="6" s="1"/>
  <c r="AC54" i="6" a="1"/>
  <c r="AC54" i="6" s="1"/>
  <c r="AC50" i="6" a="1"/>
  <c r="AC50" i="6" s="1"/>
  <c r="AC46" i="6" a="1"/>
  <c r="AC46" i="6" s="1"/>
  <c r="AC42" i="6" a="1"/>
  <c r="AC42" i="6" s="1"/>
  <c r="AC134" i="6" a="1"/>
  <c r="AC134" i="6" s="1"/>
  <c r="AC118" i="6" a="1"/>
  <c r="AC118" i="6" s="1"/>
  <c r="AC117" i="6" a="1"/>
  <c r="AC117" i="6" s="1"/>
  <c r="AC34" i="6" a="1"/>
  <c r="AC34" i="6" s="1"/>
  <c r="AC122" i="6" a="1"/>
  <c r="AC122" i="6" s="1"/>
  <c r="AC113" i="6" a="1"/>
  <c r="AC113" i="6" s="1"/>
  <c r="AC112" i="6" a="1"/>
  <c r="AC112" i="6" s="1"/>
  <c r="AC109" i="6" a="1"/>
  <c r="AC109" i="6" s="1"/>
  <c r="AC105" i="6" a="1"/>
  <c r="AC105" i="6" s="1"/>
  <c r="AC101" i="6" a="1"/>
  <c r="AC101" i="6" s="1"/>
  <c r="AC97" i="6" a="1"/>
  <c r="AC97" i="6" s="1"/>
  <c r="AC88" i="6" a="1"/>
  <c r="AC88" i="6" s="1"/>
  <c r="AC84" i="6" a="1"/>
  <c r="AC84" i="6" s="1"/>
  <c r="AC80" i="6" a="1"/>
  <c r="AC80" i="6" s="1"/>
  <c r="AC75" i="6" a="1"/>
  <c r="AC75" i="6" s="1"/>
  <c r="AC71" i="6" a="1"/>
  <c r="AC71" i="6" s="1"/>
  <c r="AC67" i="6" a="1"/>
  <c r="AC67" i="6" s="1"/>
  <c r="AC63" i="6" a="1"/>
  <c r="AC63" i="6" s="1"/>
  <c r="AC59" i="6" a="1"/>
  <c r="AC59" i="6" s="1"/>
  <c r="AC55" i="6" a="1"/>
  <c r="AC55" i="6" s="1"/>
  <c r="AC51" i="6" a="1"/>
  <c r="AC51" i="6" s="1"/>
  <c r="AC47" i="6" a="1"/>
  <c r="AC47" i="6" s="1"/>
  <c r="AC43" i="6" a="1"/>
  <c r="AC43" i="6" s="1"/>
  <c r="AC119" i="6" a="1"/>
  <c r="AC119" i="6" s="1"/>
  <c r="AC100" i="6" a="1"/>
  <c r="AC100" i="6" s="1"/>
  <c r="AC94" i="6" a="1"/>
  <c r="AC94" i="6" s="1"/>
  <c r="AC32" i="6" a="1"/>
  <c r="AC32" i="6" s="1"/>
  <c r="AC133" i="6" a="1"/>
  <c r="AC133" i="6" s="1"/>
  <c r="AC110" i="6" a="1"/>
  <c r="AC110" i="6" s="1"/>
  <c r="AC106" i="6" a="1"/>
  <c r="AC106" i="6" s="1"/>
  <c r="AC102" i="6" a="1"/>
  <c r="AC102" i="6" s="1"/>
  <c r="AC99" i="6" a="1"/>
  <c r="AC99" i="6" s="1"/>
  <c r="AC93" i="6" a="1"/>
  <c r="AC93" i="6" s="1"/>
  <c r="AC89" i="6" a="1"/>
  <c r="AC89" i="6" s="1"/>
  <c r="AC85" i="6" a="1"/>
  <c r="AC85" i="6" s="1"/>
  <c r="AC81" i="6" a="1"/>
  <c r="AC81" i="6" s="1"/>
  <c r="AG7" i="6" a="1"/>
  <c r="AG7" i="6" s="1"/>
  <c r="AC9" i="6" a="1"/>
  <c r="AC9" i="6" s="1"/>
  <c r="AG11" i="6" a="1"/>
  <c r="AG11" i="6" s="1"/>
  <c r="AA12" i="6" a="1"/>
  <c r="AA12" i="6" s="1"/>
  <c r="AC13" i="6" a="1"/>
  <c r="AC13" i="6" s="1"/>
  <c r="AE14" i="6" a="1"/>
  <c r="AE14" i="6" s="1"/>
  <c r="AG15" i="6" a="1"/>
  <c r="AG15" i="6" s="1"/>
  <c r="AA16" i="6" a="1"/>
  <c r="AA16" i="6" s="1"/>
  <c r="AC17" i="6" a="1"/>
  <c r="AC17" i="6" s="1"/>
  <c r="AE18" i="6" a="1"/>
  <c r="AE18" i="6" s="1"/>
  <c r="AG19" i="6" a="1"/>
  <c r="AG19" i="6" s="1"/>
  <c r="AA20" i="6" a="1"/>
  <c r="AA20" i="6" s="1"/>
  <c r="AC21" i="6" a="1"/>
  <c r="AC21" i="6" s="1"/>
  <c r="AE22" i="6" a="1"/>
  <c r="AE22" i="6" s="1"/>
  <c r="AG23" i="6" a="1"/>
  <c r="AG23" i="6" s="1"/>
  <c r="AA24" i="6" a="1"/>
  <c r="AA24" i="6" s="1"/>
  <c r="AC25" i="6" a="1"/>
  <c r="AC25" i="6" s="1"/>
  <c r="AE26" i="6" a="1"/>
  <c r="AE26" i="6" s="1"/>
  <c r="AG27" i="6" a="1"/>
  <c r="AG27" i="6" s="1"/>
  <c r="AC28" i="6" a="1"/>
  <c r="AC28" i="6" s="1"/>
  <c r="AG29" i="6" a="1"/>
  <c r="AG29" i="6" s="1"/>
  <c r="AG30" i="6" a="1"/>
  <c r="AG30" i="6" s="1"/>
  <c r="AG31" i="6" a="1"/>
  <c r="AG31" i="6" s="1"/>
  <c r="AE32" i="6" a="1"/>
  <c r="AE32" i="6" s="1"/>
  <c r="AA33" i="6" a="1"/>
  <c r="AA33" i="6" s="1"/>
  <c r="AB34" i="6" a="1"/>
  <c r="AB34" i="6" s="1"/>
  <c r="AC35" i="6" a="1"/>
  <c r="AC35" i="6" s="1"/>
  <c r="AE36" i="6" a="1"/>
  <c r="AE36" i="6" s="1"/>
  <c r="AG37" i="6" a="1"/>
  <c r="AG37" i="6" s="1"/>
  <c r="AE49" i="6" a="1"/>
  <c r="AE49" i="6" s="1"/>
  <c r="AG58" i="6" a="1"/>
  <c r="AG58" i="6" s="1"/>
  <c r="AA63" i="6" a="1"/>
  <c r="AA63" i="6" s="1"/>
  <c r="AC72" i="6" a="1"/>
  <c r="AC72" i="6" s="1"/>
  <c r="AA80" i="6" a="1"/>
  <c r="AA80" i="6" s="1"/>
  <c r="AB16" i="6" a="1"/>
  <c r="AB16" i="6" s="1"/>
  <c r="AD17" i="6" a="1"/>
  <c r="AD17" i="6" s="1"/>
  <c r="AF18" i="6" a="1"/>
  <c r="AF18" i="6" s="1"/>
  <c r="AB20" i="6" a="1"/>
  <c r="AB20" i="6" s="1"/>
  <c r="AD21" i="6" a="1"/>
  <c r="AD21" i="6" s="1"/>
  <c r="AF22" i="6" a="1"/>
  <c r="AF22" i="6" s="1"/>
  <c r="AB24" i="6" a="1"/>
  <c r="AB24" i="6" s="1"/>
  <c r="AD25" i="6" a="1"/>
  <c r="AD25" i="6" s="1"/>
  <c r="AF26" i="6" a="1"/>
  <c r="AF26" i="6" s="1"/>
  <c r="AD28" i="6" a="1"/>
  <c r="AD28" i="6" s="1"/>
  <c r="AG32" i="6" a="1"/>
  <c r="AG32" i="6" s="1"/>
  <c r="AC33" i="6" a="1"/>
  <c r="AC33" i="6" s="1"/>
  <c r="AD34" i="6" a="1"/>
  <c r="AD34" i="6" s="1"/>
  <c r="AE35" i="6" a="1"/>
  <c r="AE35" i="6" s="1"/>
  <c r="AG36" i="6" a="1"/>
  <c r="AG36" i="6" s="1"/>
  <c r="AE41" i="6" a="1"/>
  <c r="AE41" i="6" s="1"/>
  <c r="AE45" i="6" a="1"/>
  <c r="AE45" i="6" s="1"/>
  <c r="AG54" i="6" a="1"/>
  <c r="AG54" i="6" s="1"/>
  <c r="AA59" i="6" a="1"/>
  <c r="AA59" i="6" s="1"/>
  <c r="AC68" i="6" a="1"/>
  <c r="AC68" i="6" s="1"/>
  <c r="AE77" i="6" a="1"/>
  <c r="AE77" i="6" s="1"/>
  <c r="AU7" i="7"/>
  <c r="AU8" i="7"/>
  <c r="AU11" i="7"/>
  <c r="AU36" i="7"/>
  <c r="AU46" i="7"/>
  <c r="AU31" i="7"/>
  <c r="AU37" i="7"/>
  <c r="AU40" i="7"/>
  <c r="AU44" i="7"/>
  <c r="AU26" i="7"/>
  <c r="AU43" i="7"/>
  <c r="AU35" i="7"/>
  <c r="AU22" i="7"/>
  <c r="AN16" i="7"/>
  <c r="AN9" i="7"/>
  <c r="AN15" i="7"/>
  <c r="AN4" i="7"/>
  <c r="AN8" i="7"/>
  <c r="AN17" i="7"/>
  <c r="AU4" i="7"/>
  <c r="AN5" i="7"/>
  <c r="AN6" i="7"/>
  <c r="AN7" i="7"/>
  <c r="AN12" i="7"/>
  <c r="AN14" i="7"/>
  <c r="AN13" i="7"/>
  <c r="AU12" i="7"/>
  <c r="AU32" i="7"/>
  <c r="AU16" i="7"/>
  <c r="AN18" i="7"/>
  <c r="AU34" i="7"/>
  <c r="AN19" i="7"/>
  <c r="AU24" i="7"/>
  <c r="AU14" i="7"/>
  <c r="AU23" i="7"/>
  <c r="AU51" i="7"/>
  <c r="AU9" i="7"/>
  <c r="AE358" i="17" l="1"/>
  <c r="AD358" i="17"/>
  <c r="AC358" i="17"/>
  <c r="AB358" i="17"/>
  <c r="AA358" i="17"/>
  <c r="Z358" i="17"/>
  <c r="Y358" i="17"/>
  <c r="X358" i="17"/>
  <c r="W358" i="17"/>
  <c r="V358" i="17"/>
  <c r="U358" i="17"/>
  <c r="T358" i="17"/>
  <c r="S358" i="17"/>
  <c r="R358" i="17"/>
  <c r="Q358" i="17"/>
  <c r="AE357" i="17"/>
  <c r="AD357" i="17"/>
  <c r="AC357" i="17"/>
  <c r="AB357" i="17"/>
  <c r="AA357" i="17"/>
  <c r="Z357" i="17"/>
  <c r="Y357" i="17"/>
  <c r="X357" i="17"/>
  <c r="W357" i="17"/>
  <c r="V357" i="17"/>
  <c r="U357" i="17"/>
  <c r="T357" i="17"/>
  <c r="S357" i="17"/>
  <c r="R357" i="17"/>
  <c r="Q357" i="17"/>
  <c r="AE356" i="17"/>
  <c r="AD356" i="17"/>
  <c r="AC356" i="17"/>
  <c r="AB356" i="17"/>
  <c r="AA356" i="17"/>
  <c r="Z356" i="17"/>
  <c r="Y356" i="17"/>
  <c r="X356" i="17"/>
  <c r="W356" i="17"/>
  <c r="V356" i="17"/>
  <c r="U356" i="17"/>
  <c r="T356" i="17"/>
  <c r="S356" i="17"/>
  <c r="R356" i="17"/>
  <c r="Q356" i="17"/>
  <c r="AE355" i="17"/>
  <c r="AD355" i="17"/>
  <c r="AC355" i="17"/>
  <c r="AB355" i="17"/>
  <c r="AA355" i="17"/>
  <c r="Z355" i="17"/>
  <c r="Y355" i="17"/>
  <c r="X355" i="17"/>
  <c r="W355" i="17"/>
  <c r="V355" i="17"/>
  <c r="U355" i="17"/>
  <c r="T355" i="17"/>
  <c r="S355" i="17"/>
  <c r="R355" i="17"/>
  <c r="Q355" i="17"/>
  <c r="AE354" i="17"/>
  <c r="AD354" i="17"/>
  <c r="AC354" i="17"/>
  <c r="AB354" i="17"/>
  <c r="AA354" i="17"/>
  <c r="Z354" i="17"/>
  <c r="Y354" i="17"/>
  <c r="X354" i="17"/>
  <c r="W354" i="17"/>
  <c r="V354" i="17"/>
  <c r="U354" i="17"/>
  <c r="T354" i="17"/>
  <c r="S354" i="17"/>
  <c r="R354" i="17"/>
  <c r="Q354" i="17"/>
  <c r="AE353" i="17"/>
  <c r="AD353" i="17"/>
  <c r="AC353" i="17"/>
  <c r="AB353" i="17"/>
  <c r="AA353" i="17"/>
  <c r="Z353" i="17"/>
  <c r="Y353" i="17"/>
  <c r="X353" i="17"/>
  <c r="W353" i="17"/>
  <c r="V353" i="17"/>
  <c r="U353" i="17"/>
  <c r="T353" i="17"/>
  <c r="S353" i="17"/>
  <c r="R353" i="17"/>
  <c r="Q353" i="17"/>
  <c r="AE352" i="17"/>
  <c r="AD352" i="17"/>
  <c r="AC352" i="17"/>
  <c r="AB352" i="17"/>
  <c r="AA352" i="17"/>
  <c r="Z352" i="17"/>
  <c r="Y352" i="17"/>
  <c r="X352" i="17"/>
  <c r="W352" i="17"/>
  <c r="V352" i="17"/>
  <c r="U352" i="17"/>
  <c r="T352" i="17"/>
  <c r="S352" i="17"/>
  <c r="R352" i="17"/>
  <c r="Q352" i="17"/>
  <c r="AE351" i="17"/>
  <c r="AD351" i="17"/>
  <c r="AC351" i="17"/>
  <c r="AB351" i="17"/>
  <c r="AA351" i="17"/>
  <c r="Z351" i="17"/>
  <c r="Y351" i="17"/>
  <c r="X351" i="17"/>
  <c r="W351" i="17"/>
  <c r="V351" i="17"/>
  <c r="U351" i="17"/>
  <c r="T351" i="17"/>
  <c r="S351" i="17"/>
  <c r="R351" i="17"/>
  <c r="Q351" i="17"/>
  <c r="AE350" i="17"/>
  <c r="AD350" i="17"/>
  <c r="AC350" i="17"/>
  <c r="AB350" i="17"/>
  <c r="AA350" i="17"/>
  <c r="Z350" i="17"/>
  <c r="Y350" i="17"/>
  <c r="X350" i="17"/>
  <c r="W350" i="17"/>
  <c r="V350" i="17"/>
  <c r="U350" i="17"/>
  <c r="T350" i="17"/>
  <c r="S350" i="17"/>
  <c r="R350" i="17"/>
  <c r="Q350" i="17"/>
  <c r="AE349" i="17"/>
  <c r="AD349" i="17"/>
  <c r="AC349" i="17"/>
  <c r="AB349" i="17"/>
  <c r="AA349" i="17"/>
  <c r="Z349" i="17"/>
  <c r="Y349" i="17"/>
  <c r="X349" i="17"/>
  <c r="W349" i="17"/>
  <c r="V349" i="17"/>
  <c r="U349" i="17"/>
  <c r="T349" i="17"/>
  <c r="S349" i="17"/>
  <c r="R349" i="17"/>
  <c r="Q349" i="17"/>
  <c r="AE348" i="17"/>
  <c r="AD348" i="17"/>
  <c r="AC348" i="17"/>
  <c r="AB348" i="17"/>
  <c r="AA348" i="17"/>
  <c r="Z348" i="17"/>
  <c r="Y348" i="17"/>
  <c r="X348" i="17"/>
  <c r="W348" i="17"/>
  <c r="V348" i="17"/>
  <c r="U348" i="17"/>
  <c r="T348" i="17"/>
  <c r="S348" i="17"/>
  <c r="R348" i="17"/>
  <c r="Q348" i="17"/>
  <c r="AE347" i="17"/>
  <c r="AD347" i="17"/>
  <c r="AC347" i="17"/>
  <c r="AB347" i="17"/>
  <c r="AA347" i="17"/>
  <c r="Z347" i="17"/>
  <c r="Y347" i="17"/>
  <c r="X347" i="17"/>
  <c r="W347" i="17"/>
  <c r="V347" i="17"/>
  <c r="U347" i="17"/>
  <c r="T347" i="17"/>
  <c r="S347" i="17"/>
  <c r="R347" i="17"/>
  <c r="Q347" i="17"/>
  <c r="AE346" i="17"/>
  <c r="AD346" i="17"/>
  <c r="AC346" i="17"/>
  <c r="AB346" i="17"/>
  <c r="AA346" i="17"/>
  <c r="Z346" i="17"/>
  <c r="Y346" i="17"/>
  <c r="X346" i="17"/>
  <c r="W346" i="17"/>
  <c r="V346" i="17"/>
  <c r="U346" i="17"/>
  <c r="T346" i="17"/>
  <c r="S346" i="17"/>
  <c r="R346" i="17"/>
  <c r="Q346" i="17"/>
  <c r="AE345" i="17"/>
  <c r="AD345" i="17"/>
  <c r="AC345" i="17"/>
  <c r="AB345" i="17"/>
  <c r="AA345" i="17"/>
  <c r="Z345" i="17"/>
  <c r="Y345" i="17"/>
  <c r="X345" i="17"/>
  <c r="W345" i="17"/>
  <c r="V345" i="17"/>
  <c r="U345" i="17"/>
  <c r="T345" i="17"/>
  <c r="S345" i="17"/>
  <c r="R345" i="17"/>
  <c r="Q345" i="17"/>
  <c r="AE344" i="17"/>
  <c r="AD344" i="17"/>
  <c r="AC344" i="17"/>
  <c r="AB344" i="17"/>
  <c r="AA344" i="17"/>
  <c r="Z344" i="17"/>
  <c r="Y344" i="17"/>
  <c r="X344" i="17"/>
  <c r="W344" i="17"/>
  <c r="V344" i="17"/>
  <c r="U344" i="17"/>
  <c r="T344" i="17"/>
  <c r="S344" i="17"/>
  <c r="R344" i="17"/>
  <c r="Q344" i="17"/>
  <c r="AE343" i="17"/>
  <c r="AD343" i="17"/>
  <c r="AC343" i="17"/>
  <c r="AB343" i="17"/>
  <c r="AA343" i="17"/>
  <c r="Z343" i="17"/>
  <c r="Y343" i="17"/>
  <c r="X343" i="17"/>
  <c r="W343" i="17"/>
  <c r="V343" i="17"/>
  <c r="U343" i="17"/>
  <c r="T343" i="17"/>
  <c r="S343" i="17"/>
  <c r="R343" i="17"/>
  <c r="Q343" i="17"/>
  <c r="AE342" i="17"/>
  <c r="AD342" i="17"/>
  <c r="AC342" i="17"/>
  <c r="AB342" i="17"/>
  <c r="AA342" i="17"/>
  <c r="Z342" i="17"/>
  <c r="Y342" i="17"/>
  <c r="X342" i="17"/>
  <c r="W342" i="17"/>
  <c r="V342" i="17"/>
  <c r="U342" i="17"/>
  <c r="T342" i="17"/>
  <c r="S342" i="17"/>
  <c r="R342" i="17"/>
  <c r="Q342" i="17"/>
  <c r="AE341" i="17"/>
  <c r="AD341" i="17"/>
  <c r="AC341" i="17"/>
  <c r="AB341" i="17"/>
  <c r="AA341" i="17"/>
  <c r="Z341" i="17"/>
  <c r="Y341" i="17"/>
  <c r="X341" i="17"/>
  <c r="W341" i="17"/>
  <c r="V341" i="17"/>
  <c r="U341" i="17"/>
  <c r="T341" i="17"/>
  <c r="S341" i="17"/>
  <c r="R341" i="17"/>
  <c r="Q341" i="17"/>
  <c r="AE340" i="17"/>
  <c r="AD340" i="17"/>
  <c r="AC340" i="17"/>
  <c r="AB340" i="17"/>
  <c r="AA340" i="17"/>
  <c r="Z340" i="17"/>
  <c r="Y340" i="17"/>
  <c r="X340" i="17"/>
  <c r="W340" i="17"/>
  <c r="V340" i="17"/>
  <c r="U340" i="17"/>
  <c r="T340" i="17"/>
  <c r="S340" i="17"/>
  <c r="R340" i="17"/>
  <c r="Q340" i="17"/>
  <c r="AE339" i="17"/>
  <c r="AD339" i="17"/>
  <c r="AC339" i="17"/>
  <c r="AB339" i="17"/>
  <c r="AA339" i="17"/>
  <c r="Z339" i="17"/>
  <c r="Y339" i="17"/>
  <c r="X339" i="17"/>
  <c r="W339" i="17"/>
  <c r="V339" i="17"/>
  <c r="U339" i="17"/>
  <c r="T339" i="17"/>
  <c r="S339" i="17"/>
  <c r="R339" i="17"/>
  <c r="Q339" i="17"/>
  <c r="AE338" i="17"/>
  <c r="AD338" i="17"/>
  <c r="AC338" i="17"/>
  <c r="AB338" i="17"/>
  <c r="AA338" i="17"/>
  <c r="Z338" i="17"/>
  <c r="Y338" i="17"/>
  <c r="X338" i="17"/>
  <c r="W338" i="17"/>
  <c r="V338" i="17"/>
  <c r="U338" i="17"/>
  <c r="T338" i="17"/>
  <c r="S338" i="17"/>
  <c r="R338" i="17"/>
  <c r="Q338" i="17"/>
  <c r="AE337" i="17"/>
  <c r="AD337" i="17"/>
  <c r="AC337" i="17"/>
  <c r="AB337" i="17"/>
  <c r="AA337" i="17"/>
  <c r="Z337" i="17"/>
  <c r="Y337" i="17"/>
  <c r="X337" i="17"/>
  <c r="W337" i="17"/>
  <c r="V337" i="17"/>
  <c r="U337" i="17"/>
  <c r="T337" i="17"/>
  <c r="S337" i="17"/>
  <c r="R337" i="17"/>
  <c r="Q337" i="17"/>
  <c r="AE336" i="17"/>
  <c r="AD336" i="17"/>
  <c r="AC336" i="17"/>
  <c r="AB336" i="17"/>
  <c r="AA336" i="17"/>
  <c r="Z336" i="17"/>
  <c r="Y336" i="17"/>
  <c r="X336" i="17"/>
  <c r="W336" i="17"/>
  <c r="V336" i="17"/>
  <c r="U336" i="17"/>
  <c r="T336" i="17"/>
  <c r="S336" i="17"/>
  <c r="R336" i="17"/>
  <c r="Q336" i="17"/>
  <c r="AE335" i="17"/>
  <c r="AD335" i="17"/>
  <c r="AC335" i="17"/>
  <c r="AB335" i="17"/>
  <c r="AA335" i="17"/>
  <c r="Z335" i="17"/>
  <c r="Y335" i="17"/>
  <c r="X335" i="17"/>
  <c r="W335" i="17"/>
  <c r="V335" i="17"/>
  <c r="U335" i="17"/>
  <c r="T335" i="17"/>
  <c r="S335" i="17"/>
  <c r="R335" i="17"/>
  <c r="Q335" i="17"/>
  <c r="AE334" i="17"/>
  <c r="AD334" i="17"/>
  <c r="AC334" i="17"/>
  <c r="AB334" i="17"/>
  <c r="AA334" i="17"/>
  <c r="Z334" i="17"/>
  <c r="Y334" i="17"/>
  <c r="X334" i="17"/>
  <c r="W334" i="17"/>
  <c r="V334" i="17"/>
  <c r="U334" i="17"/>
  <c r="T334" i="17"/>
  <c r="S334" i="17"/>
  <c r="R334" i="17"/>
  <c r="Q334" i="17"/>
  <c r="AE333" i="17"/>
  <c r="AD333" i="17"/>
  <c r="AC333" i="17"/>
  <c r="AB333" i="17"/>
  <c r="AA333" i="17"/>
  <c r="Z333" i="17"/>
  <c r="Y333" i="17"/>
  <c r="X333" i="17"/>
  <c r="W333" i="17"/>
  <c r="V333" i="17"/>
  <c r="U333" i="17"/>
  <c r="T333" i="17"/>
  <c r="S333" i="17"/>
  <c r="R333" i="17"/>
  <c r="Q333" i="17"/>
  <c r="AE332" i="17"/>
  <c r="AD332" i="17"/>
  <c r="AC332" i="17"/>
  <c r="AB332" i="17"/>
  <c r="AA332" i="17"/>
  <c r="Z332" i="17"/>
  <c r="Y332" i="17"/>
  <c r="X332" i="17"/>
  <c r="W332" i="17"/>
  <c r="V332" i="17"/>
  <c r="U332" i="17"/>
  <c r="T332" i="17"/>
  <c r="S332" i="17"/>
  <c r="R332" i="17"/>
  <c r="Q332" i="17"/>
  <c r="AE331" i="17"/>
  <c r="AD331" i="17"/>
  <c r="AC331" i="17"/>
  <c r="AB331" i="17"/>
  <c r="AA331" i="17"/>
  <c r="Z331" i="17"/>
  <c r="Y331" i="17"/>
  <c r="X331" i="17"/>
  <c r="W331" i="17"/>
  <c r="V331" i="17"/>
  <c r="U331" i="17"/>
  <c r="T331" i="17"/>
  <c r="S331" i="17"/>
  <c r="R331" i="17"/>
  <c r="Q331" i="17"/>
  <c r="AE330" i="17"/>
  <c r="AD330" i="17"/>
  <c r="AC330" i="17"/>
  <c r="AB330" i="17"/>
  <c r="AA330" i="17"/>
  <c r="Z330" i="17"/>
  <c r="Y330" i="17"/>
  <c r="X330" i="17"/>
  <c r="W330" i="17"/>
  <c r="V330" i="17"/>
  <c r="U330" i="17"/>
  <c r="T330" i="17"/>
  <c r="S330" i="17"/>
  <c r="R330" i="17"/>
  <c r="Q330" i="17"/>
  <c r="AE329" i="17"/>
  <c r="AD329" i="17"/>
  <c r="AC329" i="17"/>
  <c r="AB329" i="17"/>
  <c r="AA329" i="17"/>
  <c r="Z329" i="17"/>
  <c r="Y329" i="17"/>
  <c r="X329" i="17"/>
  <c r="W329" i="17"/>
  <c r="V329" i="17"/>
  <c r="U329" i="17"/>
  <c r="T329" i="17"/>
  <c r="S329" i="17"/>
  <c r="R329" i="17"/>
  <c r="Q329" i="17"/>
  <c r="AE328" i="17"/>
  <c r="AD328" i="17"/>
  <c r="AC328" i="17"/>
  <c r="AB328" i="17"/>
  <c r="AA328" i="17"/>
  <c r="Z328" i="17"/>
  <c r="Y328" i="17"/>
  <c r="X328" i="17"/>
  <c r="W328" i="17"/>
  <c r="V328" i="17"/>
  <c r="U328" i="17"/>
  <c r="T328" i="17"/>
  <c r="S328" i="17"/>
  <c r="R328" i="17"/>
  <c r="Q328" i="17"/>
  <c r="AE327" i="17"/>
  <c r="AD327" i="17"/>
  <c r="AC327" i="17"/>
  <c r="AB327" i="17"/>
  <c r="AA327" i="17"/>
  <c r="Z327" i="17"/>
  <c r="Y327" i="17"/>
  <c r="X327" i="17"/>
  <c r="W327" i="17"/>
  <c r="V327" i="17"/>
  <c r="U327" i="17"/>
  <c r="T327" i="17"/>
  <c r="S327" i="17"/>
  <c r="R327" i="17"/>
  <c r="Q327" i="17"/>
  <c r="AE326" i="17"/>
  <c r="AD326" i="17"/>
  <c r="AC326" i="17"/>
  <c r="AB326" i="17"/>
  <c r="AA326" i="17"/>
  <c r="Z326" i="17"/>
  <c r="Y326" i="17"/>
  <c r="X326" i="17"/>
  <c r="W326" i="17"/>
  <c r="V326" i="17"/>
  <c r="U326" i="17"/>
  <c r="T326" i="17"/>
  <c r="S326" i="17"/>
  <c r="R326" i="17"/>
  <c r="Q326" i="17"/>
  <c r="AE325" i="17"/>
  <c r="AD325" i="17"/>
  <c r="AC325" i="17"/>
  <c r="AB325" i="17"/>
  <c r="AA325" i="17"/>
  <c r="Z325" i="17"/>
  <c r="Y325" i="17"/>
  <c r="X325" i="17"/>
  <c r="W325" i="17"/>
  <c r="V325" i="17"/>
  <c r="U325" i="17"/>
  <c r="T325" i="17"/>
  <c r="S325" i="17"/>
  <c r="R325" i="17"/>
  <c r="Q325" i="17"/>
  <c r="AE324" i="17"/>
  <c r="AD324" i="17"/>
  <c r="AC324" i="17"/>
  <c r="AB324" i="17"/>
  <c r="AA324" i="17"/>
  <c r="Z324" i="17"/>
  <c r="Y324" i="17"/>
  <c r="X324" i="17"/>
  <c r="W324" i="17"/>
  <c r="V324" i="17"/>
  <c r="U324" i="17"/>
  <c r="T324" i="17"/>
  <c r="S324" i="17"/>
  <c r="R324" i="17"/>
  <c r="Q324" i="17"/>
  <c r="AE323" i="17"/>
  <c r="AD323" i="17"/>
  <c r="AC323" i="17"/>
  <c r="AB323" i="17"/>
  <c r="AA323" i="17"/>
  <c r="Z323" i="17"/>
  <c r="Y323" i="17"/>
  <c r="X323" i="17"/>
  <c r="W323" i="17"/>
  <c r="V323" i="17"/>
  <c r="U323" i="17"/>
  <c r="T323" i="17"/>
  <c r="S323" i="17"/>
  <c r="R323" i="17"/>
  <c r="Q323" i="17"/>
  <c r="AE322" i="17"/>
  <c r="AD322" i="17"/>
  <c r="AC322" i="17"/>
  <c r="AB322" i="17"/>
  <c r="AA322" i="17"/>
  <c r="Z322" i="17"/>
  <c r="Y322" i="17"/>
  <c r="X322" i="17"/>
  <c r="W322" i="17"/>
  <c r="V322" i="17"/>
  <c r="U322" i="17"/>
  <c r="T322" i="17"/>
  <c r="S322" i="17"/>
  <c r="R322" i="17"/>
  <c r="Q322" i="17"/>
  <c r="AE321" i="17"/>
  <c r="AD321" i="17"/>
  <c r="AC321" i="17"/>
  <c r="AB321" i="17"/>
  <c r="AA321" i="17"/>
  <c r="Z321" i="17"/>
  <c r="Y321" i="17"/>
  <c r="X321" i="17"/>
  <c r="W321" i="17"/>
  <c r="V321" i="17"/>
  <c r="U321" i="17"/>
  <c r="T321" i="17"/>
  <c r="S321" i="17"/>
  <c r="R321" i="17"/>
  <c r="Q321" i="17"/>
  <c r="AE320" i="17"/>
  <c r="AD320" i="17"/>
  <c r="AC320" i="17"/>
  <c r="AB320" i="17"/>
  <c r="AA320" i="17"/>
  <c r="Z320" i="17"/>
  <c r="Y320" i="17"/>
  <c r="X320" i="17"/>
  <c r="W320" i="17"/>
  <c r="V320" i="17"/>
  <c r="U320" i="17"/>
  <c r="T320" i="17"/>
  <c r="S320" i="17"/>
  <c r="R320" i="17"/>
  <c r="Q320" i="17"/>
  <c r="AE319" i="17"/>
  <c r="AD319" i="17"/>
  <c r="AC319" i="17"/>
  <c r="AB319" i="17"/>
  <c r="AA319" i="17"/>
  <c r="Z319" i="17"/>
  <c r="Y319" i="17"/>
  <c r="X319" i="17"/>
  <c r="W319" i="17"/>
  <c r="V319" i="17"/>
  <c r="U319" i="17"/>
  <c r="T319" i="17"/>
  <c r="S319" i="17"/>
  <c r="R319" i="17"/>
  <c r="Q319" i="17"/>
  <c r="AE318" i="17"/>
  <c r="AD318" i="17"/>
  <c r="AC318" i="17"/>
  <c r="AB318" i="17"/>
  <c r="AA318" i="17"/>
  <c r="Z318" i="17"/>
  <c r="Y318" i="17"/>
  <c r="X318" i="17"/>
  <c r="W318" i="17"/>
  <c r="V318" i="17"/>
  <c r="U318" i="17"/>
  <c r="T318" i="17"/>
  <c r="S318" i="17"/>
  <c r="R318" i="17"/>
  <c r="Q318" i="17"/>
  <c r="AE317" i="17"/>
  <c r="AD317" i="17"/>
  <c r="AC317" i="17"/>
  <c r="AB317" i="17"/>
  <c r="AA317" i="17"/>
  <c r="Z317" i="17"/>
  <c r="Y317" i="17"/>
  <c r="X317" i="17"/>
  <c r="W317" i="17"/>
  <c r="V317" i="17"/>
  <c r="U317" i="17"/>
  <c r="T317" i="17"/>
  <c r="S317" i="17"/>
  <c r="R317" i="17"/>
  <c r="Q317" i="17"/>
  <c r="AE316" i="17"/>
  <c r="AD316" i="17"/>
  <c r="AC316" i="17"/>
  <c r="AB316" i="17"/>
  <c r="AA316" i="17"/>
  <c r="Z316" i="17"/>
  <c r="Y316" i="17"/>
  <c r="X316" i="17"/>
  <c r="W316" i="17"/>
  <c r="V316" i="17"/>
  <c r="U316" i="17"/>
  <c r="T316" i="17"/>
  <c r="S316" i="17"/>
  <c r="R316" i="17"/>
  <c r="Q316" i="17"/>
  <c r="AE315" i="17"/>
  <c r="AD315" i="17"/>
  <c r="AC315" i="17"/>
  <c r="AB315" i="17"/>
  <c r="AA315" i="17"/>
  <c r="Z315" i="17"/>
  <c r="Y315" i="17"/>
  <c r="X315" i="17"/>
  <c r="W315" i="17"/>
  <c r="V315" i="17"/>
  <c r="U315" i="17"/>
  <c r="T315" i="17"/>
  <c r="S315" i="17"/>
  <c r="R315" i="17"/>
  <c r="Q315" i="17"/>
  <c r="AE314" i="17"/>
  <c r="AD314" i="17"/>
  <c r="AC314" i="17"/>
  <c r="AB314" i="17"/>
  <c r="AA314" i="17"/>
  <c r="Z314" i="17"/>
  <c r="Y314" i="17"/>
  <c r="X314" i="17"/>
  <c r="W314" i="17"/>
  <c r="V314" i="17"/>
  <c r="U314" i="17"/>
  <c r="T314" i="17"/>
  <c r="S314" i="17"/>
  <c r="R314" i="17"/>
  <c r="Q314" i="17"/>
  <c r="AE313" i="17"/>
  <c r="AD313" i="17"/>
  <c r="AC313" i="17"/>
  <c r="AB313" i="17"/>
  <c r="AA313" i="17"/>
  <c r="Z313" i="17"/>
  <c r="Y313" i="17"/>
  <c r="X313" i="17"/>
  <c r="W313" i="17"/>
  <c r="V313" i="17"/>
  <c r="U313" i="17"/>
  <c r="T313" i="17"/>
  <c r="S313" i="17"/>
  <c r="R313" i="17"/>
  <c r="Q313" i="17"/>
  <c r="AE312" i="17"/>
  <c r="AD312" i="17"/>
  <c r="AC312" i="17"/>
  <c r="AB312" i="17"/>
  <c r="AA312" i="17"/>
  <c r="Z312" i="17"/>
  <c r="Y312" i="17"/>
  <c r="X312" i="17"/>
  <c r="W312" i="17"/>
  <c r="V312" i="17"/>
  <c r="U312" i="17"/>
  <c r="T312" i="17"/>
  <c r="S312" i="17"/>
  <c r="R312" i="17"/>
  <c r="Q312" i="17"/>
  <c r="AE311" i="17"/>
  <c r="AD311" i="17"/>
  <c r="AC311" i="17"/>
  <c r="AB311" i="17"/>
  <c r="AA311" i="17"/>
  <c r="Z311" i="17"/>
  <c r="Y311" i="17"/>
  <c r="X311" i="17"/>
  <c r="W311" i="17"/>
  <c r="V311" i="17"/>
  <c r="U311" i="17"/>
  <c r="T311" i="17"/>
  <c r="S311" i="17"/>
  <c r="R311" i="17"/>
  <c r="Q311" i="17"/>
  <c r="AE310" i="17"/>
  <c r="AD310" i="17"/>
  <c r="AC310" i="17"/>
  <c r="AB310" i="17"/>
  <c r="AA310" i="17"/>
  <c r="Z310" i="17"/>
  <c r="Y310" i="17"/>
  <c r="X310" i="17"/>
  <c r="W310" i="17"/>
  <c r="V310" i="17"/>
  <c r="U310" i="17"/>
  <c r="T310" i="17"/>
  <c r="S310" i="17"/>
  <c r="R310" i="17"/>
  <c r="Q310" i="17"/>
  <c r="AE309" i="17"/>
  <c r="AD309" i="17"/>
  <c r="AC309" i="17"/>
  <c r="AB309" i="17"/>
  <c r="AA309" i="17"/>
  <c r="Z309" i="17"/>
  <c r="Y309" i="17"/>
  <c r="X309" i="17"/>
  <c r="W309" i="17"/>
  <c r="V309" i="17"/>
  <c r="U309" i="17"/>
  <c r="T309" i="17"/>
  <c r="S309" i="17"/>
  <c r="R309" i="17"/>
  <c r="Q309" i="17"/>
  <c r="AE308" i="17"/>
  <c r="AD308" i="17"/>
  <c r="AC308" i="17"/>
  <c r="AB308" i="17"/>
  <c r="AA308" i="17"/>
  <c r="Z308" i="17"/>
  <c r="Y308" i="17"/>
  <c r="X308" i="17"/>
  <c r="W308" i="17"/>
  <c r="V308" i="17"/>
  <c r="U308" i="17"/>
  <c r="T308" i="17"/>
  <c r="S308" i="17"/>
  <c r="R308" i="17"/>
  <c r="Q308" i="17"/>
  <c r="AE307" i="17"/>
  <c r="AD307" i="17"/>
  <c r="AC307" i="17"/>
  <c r="AB307" i="17"/>
  <c r="AA307" i="17"/>
  <c r="Z307" i="17"/>
  <c r="Y307" i="17"/>
  <c r="X307" i="17"/>
  <c r="W307" i="17"/>
  <c r="V307" i="17"/>
  <c r="U307" i="17"/>
  <c r="T307" i="17"/>
  <c r="S307" i="17"/>
  <c r="R307" i="17"/>
  <c r="Q307" i="17"/>
  <c r="AE306" i="17"/>
  <c r="AD306" i="17"/>
  <c r="AC306" i="17"/>
  <c r="AB306" i="17"/>
  <c r="AA306" i="17"/>
  <c r="Z306" i="17"/>
  <c r="Y306" i="17"/>
  <c r="X306" i="17"/>
  <c r="W306" i="17"/>
  <c r="V306" i="17"/>
  <c r="U306" i="17"/>
  <c r="T306" i="17"/>
  <c r="S306" i="17"/>
  <c r="R306" i="17"/>
  <c r="Q306" i="17"/>
  <c r="AE305" i="17"/>
  <c r="AD305" i="17"/>
  <c r="AC305" i="17"/>
  <c r="AB305" i="17"/>
  <c r="AA305" i="17"/>
  <c r="Z305" i="17"/>
  <c r="Y305" i="17"/>
  <c r="X305" i="17"/>
  <c r="W305" i="17"/>
  <c r="V305" i="17"/>
  <c r="U305" i="17"/>
  <c r="T305" i="17"/>
  <c r="S305" i="17"/>
  <c r="R305" i="17"/>
  <c r="Q305" i="17"/>
  <c r="AE304" i="17"/>
  <c r="AD304" i="17"/>
  <c r="AC304" i="17"/>
  <c r="AB304" i="17"/>
  <c r="AA304" i="17"/>
  <c r="Z304" i="17"/>
  <c r="Y304" i="17"/>
  <c r="X304" i="17"/>
  <c r="W304" i="17"/>
  <c r="V304" i="17"/>
  <c r="U304" i="17"/>
  <c r="T304" i="17"/>
  <c r="S304" i="17"/>
  <c r="R304" i="17"/>
  <c r="Q304" i="17"/>
  <c r="AE303" i="17"/>
  <c r="AD303" i="17"/>
  <c r="AC303" i="17"/>
  <c r="AB303" i="17"/>
  <c r="AA303" i="17"/>
  <c r="Z303" i="17"/>
  <c r="Y303" i="17"/>
  <c r="X303" i="17"/>
  <c r="W303" i="17"/>
  <c r="V303" i="17"/>
  <c r="U303" i="17"/>
  <c r="T303" i="17"/>
  <c r="S303" i="17"/>
  <c r="R303" i="17"/>
  <c r="Q303" i="17"/>
  <c r="AE302" i="17"/>
  <c r="AD302" i="17"/>
  <c r="AC302" i="17"/>
  <c r="AB302" i="17"/>
  <c r="AA302" i="17"/>
  <c r="Z302" i="17"/>
  <c r="Y302" i="17"/>
  <c r="X302" i="17"/>
  <c r="W302" i="17"/>
  <c r="V302" i="17"/>
  <c r="U302" i="17"/>
  <c r="T302" i="17"/>
  <c r="S302" i="17"/>
  <c r="R302" i="17"/>
  <c r="Q302" i="17"/>
  <c r="AE301" i="17"/>
  <c r="AD301" i="17"/>
  <c r="AC301" i="17"/>
  <c r="AB301" i="17"/>
  <c r="AA301" i="17"/>
  <c r="Z301" i="17"/>
  <c r="Y301" i="17"/>
  <c r="X301" i="17"/>
  <c r="W301" i="17"/>
  <c r="V301" i="17"/>
  <c r="U301" i="17"/>
  <c r="T301" i="17"/>
  <c r="S301" i="17"/>
  <c r="R301" i="17"/>
  <c r="Q301" i="17"/>
  <c r="AE300" i="17"/>
  <c r="AD300" i="17"/>
  <c r="AC300" i="17"/>
  <c r="AB300" i="17"/>
  <c r="AA300" i="17"/>
  <c r="Z300" i="17"/>
  <c r="Y300" i="17"/>
  <c r="X300" i="17"/>
  <c r="W300" i="17"/>
  <c r="V300" i="17"/>
  <c r="U300" i="17"/>
  <c r="T300" i="17"/>
  <c r="S300" i="17"/>
  <c r="R300" i="17"/>
  <c r="Q300" i="17"/>
  <c r="AE299" i="17"/>
  <c r="AD299" i="17"/>
  <c r="AC299" i="17"/>
  <c r="AB299" i="17"/>
  <c r="AA299" i="17"/>
  <c r="Z299" i="17"/>
  <c r="Y299" i="17"/>
  <c r="X299" i="17"/>
  <c r="W299" i="17"/>
  <c r="V299" i="17"/>
  <c r="U299" i="17"/>
  <c r="T299" i="17"/>
  <c r="S299" i="17"/>
  <c r="R299" i="17"/>
  <c r="Q299" i="17"/>
  <c r="AE298" i="17"/>
  <c r="AD298" i="17"/>
  <c r="AC298" i="17"/>
  <c r="AB298" i="17"/>
  <c r="AA298" i="17"/>
  <c r="Z298" i="17"/>
  <c r="Y298" i="17"/>
  <c r="X298" i="17"/>
  <c r="W298" i="17"/>
  <c r="V298" i="17"/>
  <c r="U298" i="17"/>
  <c r="T298" i="17"/>
  <c r="S298" i="17"/>
  <c r="R298" i="17"/>
  <c r="Q298" i="17"/>
  <c r="AE297" i="17"/>
  <c r="AD297" i="17"/>
  <c r="AC297" i="17"/>
  <c r="AB297" i="17"/>
  <c r="AA297" i="17"/>
  <c r="Z297" i="17"/>
  <c r="Y297" i="17"/>
  <c r="X297" i="17"/>
  <c r="W297" i="17"/>
  <c r="V297" i="17"/>
  <c r="U297" i="17"/>
  <c r="T297" i="17"/>
  <c r="S297" i="17"/>
  <c r="R297" i="17"/>
  <c r="Q297" i="17"/>
  <c r="AE296" i="17"/>
  <c r="AD296" i="17"/>
  <c r="AC296" i="17"/>
  <c r="AB296" i="17"/>
  <c r="AA296" i="17"/>
  <c r="Z296" i="17"/>
  <c r="Y296" i="17"/>
  <c r="X296" i="17"/>
  <c r="W296" i="17"/>
  <c r="V296" i="17"/>
  <c r="U296" i="17"/>
  <c r="T296" i="17"/>
  <c r="S296" i="17"/>
  <c r="R296" i="17"/>
  <c r="Q296" i="17"/>
  <c r="AE295" i="17"/>
  <c r="AD295" i="17"/>
  <c r="AC295" i="17"/>
  <c r="AB295" i="17"/>
  <c r="AA295" i="17"/>
  <c r="Z295" i="17"/>
  <c r="Y295" i="17"/>
  <c r="X295" i="17"/>
  <c r="W295" i="17"/>
  <c r="V295" i="17"/>
  <c r="U295" i="17"/>
  <c r="T295" i="17"/>
  <c r="S295" i="17"/>
  <c r="R295" i="17"/>
  <c r="Q295" i="17"/>
  <c r="AE294" i="17"/>
  <c r="AD294" i="17"/>
  <c r="AC294" i="17"/>
  <c r="AB294" i="17"/>
  <c r="AA294" i="17"/>
  <c r="Z294" i="17"/>
  <c r="Y294" i="17"/>
  <c r="X294" i="17"/>
  <c r="W294" i="17"/>
  <c r="V294" i="17"/>
  <c r="U294" i="17"/>
  <c r="T294" i="17"/>
  <c r="S294" i="17"/>
  <c r="R294" i="17"/>
  <c r="Q294" i="17"/>
  <c r="AE293" i="17"/>
  <c r="AD293" i="17"/>
  <c r="AC293" i="17"/>
  <c r="AB293" i="17"/>
  <c r="AA293" i="17"/>
  <c r="Z293" i="17"/>
  <c r="Y293" i="17"/>
  <c r="X293" i="17"/>
  <c r="W293" i="17"/>
  <c r="V293" i="17"/>
  <c r="U293" i="17"/>
  <c r="T293" i="17"/>
  <c r="S293" i="17"/>
  <c r="R293" i="17"/>
  <c r="Q293" i="17"/>
  <c r="AE292" i="17"/>
  <c r="AD292" i="17"/>
  <c r="AC292" i="17"/>
  <c r="AB292" i="17"/>
  <c r="AA292" i="17"/>
  <c r="Z292" i="17"/>
  <c r="Y292" i="17"/>
  <c r="X292" i="17"/>
  <c r="W292" i="17"/>
  <c r="V292" i="17"/>
  <c r="U292" i="17"/>
  <c r="T292" i="17"/>
  <c r="S292" i="17"/>
  <c r="R292" i="17"/>
  <c r="Q292" i="17"/>
  <c r="AE291" i="17"/>
  <c r="AD291" i="17"/>
  <c r="AC291" i="17"/>
  <c r="AB291" i="17"/>
  <c r="AA291" i="17"/>
  <c r="Z291" i="17"/>
  <c r="Y291" i="17"/>
  <c r="X291" i="17"/>
  <c r="W291" i="17"/>
  <c r="V291" i="17"/>
  <c r="U291" i="17"/>
  <c r="T291" i="17"/>
  <c r="S291" i="17"/>
  <c r="R291" i="17"/>
  <c r="Q291" i="17"/>
  <c r="AE290" i="17"/>
  <c r="AD290" i="17"/>
  <c r="AC290" i="17"/>
  <c r="AB290" i="17"/>
  <c r="AA290" i="17"/>
  <c r="Z290" i="17"/>
  <c r="Y290" i="17"/>
  <c r="X290" i="17"/>
  <c r="W290" i="17"/>
  <c r="V290" i="17"/>
  <c r="U290" i="17"/>
  <c r="T290" i="17"/>
  <c r="S290" i="17"/>
  <c r="R290" i="17"/>
  <c r="Q290" i="17"/>
  <c r="AE289" i="17"/>
  <c r="AD289" i="17"/>
  <c r="AC289" i="17"/>
  <c r="AB289" i="17"/>
  <c r="AA289" i="17"/>
  <c r="Z289" i="17"/>
  <c r="Y289" i="17"/>
  <c r="X289" i="17"/>
  <c r="W289" i="17"/>
  <c r="V289" i="17"/>
  <c r="U289" i="17"/>
  <c r="T289" i="17"/>
  <c r="S289" i="17"/>
  <c r="R289" i="17"/>
  <c r="Q289" i="17"/>
  <c r="AE288" i="17"/>
  <c r="AD288" i="17"/>
  <c r="AC288" i="17"/>
  <c r="AB288" i="17"/>
  <c r="AA288" i="17"/>
  <c r="Z288" i="17"/>
  <c r="Y288" i="17"/>
  <c r="X288" i="17"/>
  <c r="W288" i="17"/>
  <c r="V288" i="17"/>
  <c r="U288" i="17"/>
  <c r="T288" i="17"/>
  <c r="S288" i="17"/>
  <c r="R288" i="17"/>
  <c r="Q288" i="17"/>
  <c r="AE287" i="17"/>
  <c r="AD287" i="17"/>
  <c r="AC287" i="17"/>
  <c r="AB287" i="17"/>
  <c r="AA287" i="17"/>
  <c r="Z287" i="17"/>
  <c r="Y287" i="17"/>
  <c r="X287" i="17"/>
  <c r="W287" i="17"/>
  <c r="V287" i="17"/>
  <c r="U287" i="17"/>
  <c r="T287" i="17"/>
  <c r="S287" i="17"/>
  <c r="R287" i="17"/>
  <c r="Q287" i="17"/>
  <c r="AE286" i="17"/>
  <c r="AD286" i="17"/>
  <c r="AC286" i="17"/>
  <c r="AB286" i="17"/>
  <c r="AA286" i="17"/>
  <c r="Z286" i="17"/>
  <c r="Y286" i="17"/>
  <c r="X286" i="17"/>
  <c r="W286" i="17"/>
  <c r="V286" i="17"/>
  <c r="U286" i="17"/>
  <c r="T286" i="17"/>
  <c r="S286" i="17"/>
  <c r="R286" i="17"/>
  <c r="Q286" i="17"/>
  <c r="AE285" i="17"/>
  <c r="AD285" i="17"/>
  <c r="AC285" i="17"/>
  <c r="AB285" i="17"/>
  <c r="AA285" i="17"/>
  <c r="Z285" i="17"/>
  <c r="Y285" i="17"/>
  <c r="X285" i="17"/>
  <c r="W285" i="17"/>
  <c r="V285" i="17"/>
  <c r="U285" i="17"/>
  <c r="T285" i="17"/>
  <c r="S285" i="17"/>
  <c r="R285" i="17"/>
  <c r="Q285" i="17"/>
  <c r="AE284" i="17"/>
  <c r="AD284" i="17"/>
  <c r="AC284" i="17"/>
  <c r="AB284" i="17"/>
  <c r="AA284" i="17"/>
  <c r="Z284" i="17"/>
  <c r="Y284" i="17"/>
  <c r="X284" i="17"/>
  <c r="W284" i="17"/>
  <c r="V284" i="17"/>
  <c r="U284" i="17"/>
  <c r="T284" i="17"/>
  <c r="S284" i="17"/>
  <c r="R284" i="17"/>
  <c r="Q284" i="17"/>
  <c r="AE283" i="17"/>
  <c r="AD283" i="17"/>
  <c r="AC283" i="17"/>
  <c r="AB283" i="17"/>
  <c r="AA283" i="17"/>
  <c r="Z283" i="17"/>
  <c r="Y283" i="17"/>
  <c r="X283" i="17"/>
  <c r="W283" i="17"/>
  <c r="V283" i="17"/>
  <c r="U283" i="17"/>
  <c r="T283" i="17"/>
  <c r="S283" i="17"/>
  <c r="R283" i="17"/>
  <c r="Q283" i="17"/>
  <c r="AE282" i="17"/>
  <c r="AD282" i="17"/>
  <c r="AC282" i="17"/>
  <c r="AB282" i="17"/>
  <c r="AA282" i="17"/>
  <c r="Z282" i="17"/>
  <c r="Y282" i="17"/>
  <c r="X282" i="17"/>
  <c r="W282" i="17"/>
  <c r="V282" i="17"/>
  <c r="U282" i="17"/>
  <c r="T282" i="17"/>
  <c r="S282" i="17"/>
  <c r="R282" i="17"/>
  <c r="Q282" i="17"/>
  <c r="AE281" i="17"/>
  <c r="AD281" i="17"/>
  <c r="AC281" i="17"/>
  <c r="AB281" i="17"/>
  <c r="AA281" i="17"/>
  <c r="Z281" i="17"/>
  <c r="Y281" i="17"/>
  <c r="X281" i="17"/>
  <c r="W281" i="17"/>
  <c r="V281" i="17"/>
  <c r="U281" i="17"/>
  <c r="T281" i="17"/>
  <c r="S281" i="17"/>
  <c r="R281" i="17"/>
  <c r="Q281" i="17"/>
  <c r="AE280" i="17"/>
  <c r="AD280" i="17"/>
  <c r="AC280" i="17"/>
  <c r="AB280" i="17"/>
  <c r="AA280" i="17"/>
  <c r="Z280" i="17"/>
  <c r="Y280" i="17"/>
  <c r="X280" i="17"/>
  <c r="W280" i="17"/>
  <c r="V280" i="17"/>
  <c r="U280" i="17"/>
  <c r="T280" i="17"/>
  <c r="S280" i="17"/>
  <c r="R280" i="17"/>
  <c r="Q280" i="17"/>
  <c r="AE279" i="17"/>
  <c r="AD279" i="17"/>
  <c r="AC279" i="17"/>
  <c r="AB279" i="17"/>
  <c r="AA279" i="17"/>
  <c r="Z279" i="17"/>
  <c r="Y279" i="17"/>
  <c r="X279" i="17"/>
  <c r="W279" i="17"/>
  <c r="V279" i="17"/>
  <c r="U279" i="17"/>
  <c r="T279" i="17"/>
  <c r="S279" i="17"/>
  <c r="R279" i="17"/>
  <c r="Q279" i="17"/>
  <c r="AE278" i="17"/>
  <c r="AD278" i="17"/>
  <c r="AC278" i="17"/>
  <c r="AB278" i="17"/>
  <c r="AA278" i="17"/>
  <c r="Z278" i="17"/>
  <c r="Y278" i="17"/>
  <c r="X278" i="17"/>
  <c r="W278" i="17"/>
  <c r="V278" i="17"/>
  <c r="U278" i="17"/>
  <c r="T278" i="17"/>
  <c r="S278" i="17"/>
  <c r="R278" i="17"/>
  <c r="Q278" i="17"/>
  <c r="AE277" i="17"/>
  <c r="AD277" i="17"/>
  <c r="AC277" i="17"/>
  <c r="AB277" i="17"/>
  <c r="AA277" i="17"/>
  <c r="Z277" i="17"/>
  <c r="Y277" i="17"/>
  <c r="X277" i="17"/>
  <c r="W277" i="17"/>
  <c r="V277" i="17"/>
  <c r="U277" i="17"/>
  <c r="T277" i="17"/>
  <c r="S277" i="17"/>
  <c r="R277" i="17"/>
  <c r="Q277" i="17"/>
  <c r="AE276" i="17"/>
  <c r="AD276" i="17"/>
  <c r="AC276" i="17"/>
  <c r="AB276" i="17"/>
  <c r="AA276" i="17"/>
  <c r="Z276" i="17"/>
  <c r="Y276" i="17"/>
  <c r="X276" i="17"/>
  <c r="W276" i="17"/>
  <c r="V276" i="17"/>
  <c r="U276" i="17"/>
  <c r="T276" i="17"/>
  <c r="S276" i="17"/>
  <c r="R276" i="17"/>
  <c r="Q276" i="17"/>
  <c r="AE275" i="17"/>
  <c r="AD275" i="17"/>
  <c r="AC275" i="17"/>
  <c r="AB275" i="17"/>
  <c r="AA275" i="17"/>
  <c r="Z275" i="17"/>
  <c r="Y275" i="17"/>
  <c r="X275" i="17"/>
  <c r="W275" i="17"/>
  <c r="V275" i="17"/>
  <c r="U275" i="17"/>
  <c r="T275" i="17"/>
  <c r="S275" i="17"/>
  <c r="R275" i="17"/>
  <c r="Q275" i="17"/>
  <c r="AE274" i="17"/>
  <c r="AD274" i="17"/>
  <c r="AC274" i="17"/>
  <c r="AB274" i="17"/>
  <c r="AA274" i="17"/>
  <c r="Z274" i="17"/>
  <c r="Y274" i="17"/>
  <c r="X274" i="17"/>
  <c r="W274" i="17"/>
  <c r="V274" i="17"/>
  <c r="U274" i="17"/>
  <c r="T274" i="17"/>
  <c r="S274" i="17"/>
  <c r="R274" i="17"/>
  <c r="Q274" i="17"/>
  <c r="AE273" i="17"/>
  <c r="AD273" i="17"/>
  <c r="AC273" i="17"/>
  <c r="AB273" i="17"/>
  <c r="AA273" i="17"/>
  <c r="Z273" i="17"/>
  <c r="Y273" i="17"/>
  <c r="X273" i="17"/>
  <c r="W273" i="17"/>
  <c r="V273" i="17"/>
  <c r="U273" i="17"/>
  <c r="T273" i="17"/>
  <c r="S273" i="17"/>
  <c r="R273" i="17"/>
  <c r="Q273" i="17"/>
  <c r="AE272" i="17"/>
  <c r="AD272" i="17"/>
  <c r="AC272" i="17"/>
  <c r="AB272" i="17"/>
  <c r="AA272" i="17"/>
  <c r="Z272" i="17"/>
  <c r="Y272" i="17"/>
  <c r="X272" i="17"/>
  <c r="W272" i="17"/>
  <c r="V272" i="17"/>
  <c r="U272" i="17"/>
  <c r="T272" i="17"/>
  <c r="S272" i="17"/>
  <c r="R272" i="17"/>
  <c r="Q272" i="17"/>
  <c r="AE271" i="17"/>
  <c r="AD271" i="17"/>
  <c r="AC271" i="17"/>
  <c r="AB271" i="17"/>
  <c r="AA271" i="17"/>
  <c r="Z271" i="17"/>
  <c r="Y271" i="17"/>
  <c r="X271" i="17"/>
  <c r="W271" i="17"/>
  <c r="V271" i="17"/>
  <c r="U271" i="17"/>
  <c r="T271" i="17"/>
  <c r="S271" i="17"/>
  <c r="R271" i="17"/>
  <c r="Q271" i="17"/>
  <c r="AE270" i="17"/>
  <c r="AD270" i="17"/>
  <c r="AC270" i="17"/>
  <c r="AB270" i="17"/>
  <c r="AA270" i="17"/>
  <c r="Z270" i="17"/>
  <c r="Y270" i="17"/>
  <c r="X270" i="17"/>
  <c r="W270" i="17"/>
  <c r="V270" i="17"/>
  <c r="U270" i="17"/>
  <c r="T270" i="17"/>
  <c r="S270" i="17"/>
  <c r="R270" i="17"/>
  <c r="Q270" i="17"/>
  <c r="AE269" i="17"/>
  <c r="AD269" i="17"/>
  <c r="AC269" i="17"/>
  <c r="AB269" i="17"/>
  <c r="AA269" i="17"/>
  <c r="Z269" i="17"/>
  <c r="Y269" i="17"/>
  <c r="X269" i="17"/>
  <c r="W269" i="17"/>
  <c r="V269" i="17"/>
  <c r="U269" i="17"/>
  <c r="T269" i="17"/>
  <c r="S269" i="17"/>
  <c r="R269" i="17"/>
  <c r="Q269" i="17"/>
  <c r="AE268" i="17"/>
  <c r="AD268" i="17"/>
  <c r="AC268" i="17"/>
  <c r="AB268" i="17"/>
  <c r="AA268" i="17"/>
  <c r="Z268" i="17"/>
  <c r="Y268" i="17"/>
  <c r="X268" i="17"/>
  <c r="W268" i="17"/>
  <c r="V268" i="17"/>
  <c r="U268" i="17"/>
  <c r="T268" i="17"/>
  <c r="S268" i="17"/>
  <c r="R268" i="17"/>
  <c r="Q268" i="17"/>
  <c r="AE267" i="17"/>
  <c r="AD267" i="17"/>
  <c r="AC267" i="17"/>
  <c r="AB267" i="17"/>
  <c r="AA267" i="17"/>
  <c r="Z267" i="17"/>
  <c r="Y267" i="17"/>
  <c r="X267" i="17"/>
  <c r="W267" i="17"/>
  <c r="V267" i="17"/>
  <c r="U267" i="17"/>
  <c r="T267" i="17"/>
  <c r="S267" i="17"/>
  <c r="R267" i="17"/>
  <c r="Q267" i="17"/>
  <c r="AE266" i="17"/>
  <c r="AD266" i="17"/>
  <c r="AC266" i="17"/>
  <c r="AB266" i="17"/>
  <c r="AA266" i="17"/>
  <c r="Z266" i="17"/>
  <c r="Y266" i="17"/>
  <c r="X266" i="17"/>
  <c r="W266" i="17"/>
  <c r="V266" i="17"/>
  <c r="U266" i="17"/>
  <c r="T266" i="17"/>
  <c r="S266" i="17"/>
  <c r="R266" i="17"/>
  <c r="Q266" i="17"/>
  <c r="AE265" i="17"/>
  <c r="AD265" i="17"/>
  <c r="AC265" i="17"/>
  <c r="AB265" i="17"/>
  <c r="AA265" i="17"/>
  <c r="Z265" i="17"/>
  <c r="Y265" i="17"/>
  <c r="X265" i="17"/>
  <c r="W265" i="17"/>
  <c r="V265" i="17"/>
  <c r="U265" i="17"/>
  <c r="T265" i="17"/>
  <c r="S265" i="17"/>
  <c r="R265" i="17"/>
  <c r="Q265" i="17"/>
  <c r="AE264" i="17"/>
  <c r="AD264" i="17"/>
  <c r="AC264" i="17"/>
  <c r="AB264" i="17"/>
  <c r="AA264" i="17"/>
  <c r="Z264" i="17"/>
  <c r="Y264" i="17"/>
  <c r="X264" i="17"/>
  <c r="W264" i="17"/>
  <c r="V264" i="17"/>
  <c r="U264" i="17"/>
  <c r="T264" i="17"/>
  <c r="S264" i="17"/>
  <c r="R264" i="17"/>
  <c r="Q264" i="17"/>
  <c r="AE263" i="17"/>
  <c r="AD263" i="17"/>
  <c r="AC263" i="17"/>
  <c r="AB263" i="17"/>
  <c r="AA263" i="17"/>
  <c r="Z263" i="17"/>
  <c r="Y263" i="17"/>
  <c r="X263" i="17"/>
  <c r="W263" i="17"/>
  <c r="V263" i="17"/>
  <c r="U263" i="17"/>
  <c r="T263" i="17"/>
  <c r="S263" i="17"/>
  <c r="R263" i="17"/>
  <c r="Q263" i="17"/>
  <c r="AE262" i="17"/>
  <c r="AD262" i="17"/>
  <c r="AC262" i="17"/>
  <c r="AB262" i="17"/>
  <c r="AA262" i="17"/>
  <c r="Z262" i="17"/>
  <c r="Y262" i="17"/>
  <c r="X262" i="17"/>
  <c r="W262" i="17"/>
  <c r="V262" i="17"/>
  <c r="U262" i="17"/>
  <c r="T262" i="17"/>
  <c r="S262" i="17"/>
  <c r="R262" i="17"/>
  <c r="Q262" i="17"/>
  <c r="AE261" i="17"/>
  <c r="AD261" i="17"/>
  <c r="AC261" i="17"/>
  <c r="AB261" i="17"/>
  <c r="AA261" i="17"/>
  <c r="Z261" i="17"/>
  <c r="Y261" i="17"/>
  <c r="X261" i="17"/>
  <c r="W261" i="17"/>
  <c r="V261" i="17"/>
  <c r="U261" i="17"/>
  <c r="T261" i="17"/>
  <c r="S261" i="17"/>
  <c r="R261" i="17"/>
  <c r="Q261" i="17"/>
  <c r="AE260" i="17"/>
  <c r="AD260" i="17"/>
  <c r="AC260" i="17"/>
  <c r="AB260" i="17"/>
  <c r="AA260" i="17"/>
  <c r="Z260" i="17"/>
  <c r="Y260" i="17"/>
  <c r="X260" i="17"/>
  <c r="W260" i="17"/>
  <c r="V260" i="17"/>
  <c r="U260" i="17"/>
  <c r="T260" i="17"/>
  <c r="S260" i="17"/>
  <c r="R260" i="17"/>
  <c r="Q260" i="17"/>
  <c r="AE259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AE258" i="17"/>
  <c r="AD258" i="17"/>
  <c r="AC258" i="17"/>
  <c r="AB258" i="17"/>
  <c r="AA258" i="17"/>
  <c r="Z258" i="17"/>
  <c r="Y258" i="17"/>
  <c r="X258" i="17"/>
  <c r="W258" i="17"/>
  <c r="V258" i="17"/>
  <c r="U258" i="17"/>
  <c r="T258" i="17"/>
  <c r="S258" i="17"/>
  <c r="R258" i="17"/>
  <c r="Q258" i="17"/>
  <c r="AE257" i="17"/>
  <c r="AD257" i="17"/>
  <c r="AC257" i="17"/>
  <c r="AB257" i="17"/>
  <c r="AA257" i="17"/>
  <c r="Z257" i="17"/>
  <c r="Y257" i="17"/>
  <c r="X257" i="17"/>
  <c r="W257" i="17"/>
  <c r="V257" i="17"/>
  <c r="U257" i="17"/>
  <c r="T257" i="17"/>
  <c r="S257" i="17"/>
  <c r="R257" i="17"/>
  <c r="Q257" i="17"/>
  <c r="AE256" i="17"/>
  <c r="AD256" i="17"/>
  <c r="AC256" i="17"/>
  <c r="AB256" i="17"/>
  <c r="AA256" i="17"/>
  <c r="Z256" i="17"/>
  <c r="Y256" i="17"/>
  <c r="X256" i="17"/>
  <c r="W256" i="17"/>
  <c r="V256" i="17"/>
  <c r="U256" i="17"/>
  <c r="T256" i="17"/>
  <c r="S256" i="17"/>
  <c r="R256" i="17"/>
  <c r="Q256" i="17"/>
  <c r="AE255" i="17"/>
  <c r="AD255" i="17"/>
  <c r="AC255" i="17"/>
  <c r="AB255" i="17"/>
  <c r="AA255" i="17"/>
  <c r="Z255" i="17"/>
  <c r="Y255" i="17"/>
  <c r="X255" i="17"/>
  <c r="W255" i="17"/>
  <c r="V255" i="17"/>
  <c r="U255" i="17"/>
  <c r="T255" i="17"/>
  <c r="S255" i="17"/>
  <c r="R255" i="17"/>
  <c r="Q255" i="17"/>
  <c r="AE254" i="17"/>
  <c r="AD254" i="17"/>
  <c r="AC254" i="17"/>
  <c r="AB254" i="17"/>
  <c r="AA254" i="17"/>
  <c r="Z254" i="17"/>
  <c r="Y254" i="17"/>
  <c r="X254" i="17"/>
  <c r="W254" i="17"/>
  <c r="V254" i="17"/>
  <c r="U254" i="17"/>
  <c r="T254" i="17"/>
  <c r="S254" i="17"/>
  <c r="R254" i="17"/>
  <c r="Q254" i="17"/>
  <c r="AE253" i="17"/>
  <c r="AD253" i="17"/>
  <c r="AC253" i="17"/>
  <c r="AB253" i="17"/>
  <c r="AA253" i="17"/>
  <c r="Z253" i="17"/>
  <c r="Y253" i="17"/>
  <c r="X253" i="17"/>
  <c r="W253" i="17"/>
  <c r="V253" i="17"/>
  <c r="U253" i="17"/>
  <c r="T253" i="17"/>
  <c r="S253" i="17"/>
  <c r="R253" i="17"/>
  <c r="Q253" i="17"/>
  <c r="AE252" i="17"/>
  <c r="AD252" i="17"/>
  <c r="AC252" i="17"/>
  <c r="AB252" i="17"/>
  <c r="AA252" i="17"/>
  <c r="Z252" i="17"/>
  <c r="Y252" i="17"/>
  <c r="X252" i="17"/>
  <c r="W252" i="17"/>
  <c r="V252" i="17"/>
  <c r="U252" i="17"/>
  <c r="T252" i="17"/>
  <c r="S252" i="17"/>
  <c r="R252" i="17"/>
  <c r="Q252" i="17"/>
  <c r="AE251" i="17"/>
  <c r="AD251" i="17"/>
  <c r="AC251" i="17"/>
  <c r="AB251" i="17"/>
  <c r="AA251" i="17"/>
  <c r="Z251" i="17"/>
  <c r="Y251" i="17"/>
  <c r="X251" i="17"/>
  <c r="W251" i="17"/>
  <c r="V251" i="17"/>
  <c r="U251" i="17"/>
  <c r="T251" i="17"/>
  <c r="S251" i="17"/>
  <c r="R251" i="17"/>
  <c r="Q251" i="17"/>
  <c r="AE250" i="17"/>
  <c r="AD250" i="17"/>
  <c r="AC250" i="17"/>
  <c r="AB250" i="17"/>
  <c r="AA250" i="17"/>
  <c r="Z250" i="17"/>
  <c r="Y250" i="17"/>
  <c r="X250" i="17"/>
  <c r="W250" i="17"/>
  <c r="V250" i="17"/>
  <c r="U250" i="17"/>
  <c r="T250" i="17"/>
  <c r="S250" i="17"/>
  <c r="R250" i="17"/>
  <c r="Q250" i="17"/>
  <c r="AE249" i="17"/>
  <c r="AD249" i="17"/>
  <c r="AC249" i="17"/>
  <c r="AB249" i="17"/>
  <c r="AA249" i="17"/>
  <c r="Z249" i="17"/>
  <c r="Y249" i="17"/>
  <c r="X249" i="17"/>
  <c r="W249" i="17"/>
  <c r="V249" i="17"/>
  <c r="U249" i="17"/>
  <c r="T249" i="17"/>
  <c r="S249" i="17"/>
  <c r="R249" i="17"/>
  <c r="Q249" i="17"/>
  <c r="AE248" i="17"/>
  <c r="AD248" i="17"/>
  <c r="AC248" i="17"/>
  <c r="AB248" i="17"/>
  <c r="AA248" i="17"/>
  <c r="Z248" i="17"/>
  <c r="Y248" i="17"/>
  <c r="X248" i="17"/>
  <c r="W248" i="17"/>
  <c r="V248" i="17"/>
  <c r="U248" i="17"/>
  <c r="T248" i="17"/>
  <c r="S248" i="17"/>
  <c r="R248" i="17"/>
  <c r="Q248" i="17"/>
  <c r="AE247" i="17"/>
  <c r="AD247" i="17"/>
  <c r="AC247" i="17"/>
  <c r="AB247" i="17"/>
  <c r="AA247" i="17"/>
  <c r="Z247" i="17"/>
  <c r="Y247" i="17"/>
  <c r="X247" i="17"/>
  <c r="W247" i="17"/>
  <c r="V247" i="17"/>
  <c r="U247" i="17"/>
  <c r="T247" i="17"/>
  <c r="S247" i="17"/>
  <c r="R247" i="17"/>
  <c r="Q247" i="17"/>
  <c r="AE246" i="17"/>
  <c r="AD246" i="17"/>
  <c r="AC246" i="17"/>
  <c r="AB246" i="17"/>
  <c r="AA246" i="17"/>
  <c r="Z246" i="17"/>
  <c r="Y246" i="17"/>
  <c r="X246" i="17"/>
  <c r="W246" i="17"/>
  <c r="V246" i="17"/>
  <c r="U246" i="17"/>
  <c r="T246" i="17"/>
  <c r="S246" i="17"/>
  <c r="R246" i="17"/>
  <c r="Q246" i="17"/>
  <c r="AE245" i="17"/>
  <c r="AD245" i="17"/>
  <c r="AC245" i="17"/>
  <c r="AB245" i="17"/>
  <c r="AA245" i="17"/>
  <c r="Z245" i="17"/>
  <c r="Y245" i="17"/>
  <c r="X245" i="17"/>
  <c r="W245" i="17"/>
  <c r="V245" i="17"/>
  <c r="U245" i="17"/>
  <c r="T245" i="17"/>
  <c r="S245" i="17"/>
  <c r="R245" i="17"/>
  <c r="Q245" i="17"/>
  <c r="AE244" i="17"/>
  <c r="AD244" i="17"/>
  <c r="AC244" i="17"/>
  <c r="AB244" i="17"/>
  <c r="AA244" i="17"/>
  <c r="Z244" i="17"/>
  <c r="Y244" i="17"/>
  <c r="X244" i="17"/>
  <c r="W244" i="17"/>
  <c r="V244" i="17"/>
  <c r="U244" i="17"/>
  <c r="T244" i="17"/>
  <c r="S244" i="17"/>
  <c r="R244" i="17"/>
  <c r="Q244" i="17"/>
  <c r="AE243" i="17"/>
  <c r="AD243" i="17"/>
  <c r="AC243" i="17"/>
  <c r="AB243" i="17"/>
  <c r="AA243" i="17"/>
  <c r="Z243" i="17"/>
  <c r="Y243" i="17"/>
  <c r="X243" i="17"/>
  <c r="W243" i="17"/>
  <c r="V243" i="17"/>
  <c r="U243" i="17"/>
  <c r="T243" i="17"/>
  <c r="S243" i="17"/>
  <c r="R243" i="17"/>
  <c r="Q243" i="17"/>
  <c r="AE242" i="17"/>
  <c r="AD242" i="17"/>
  <c r="AC242" i="17"/>
  <c r="AB242" i="17"/>
  <c r="AA242" i="17"/>
  <c r="Z242" i="17"/>
  <c r="Y242" i="17"/>
  <c r="X242" i="17"/>
  <c r="W242" i="17"/>
  <c r="V242" i="17"/>
  <c r="U242" i="17"/>
  <c r="T242" i="17"/>
  <c r="S242" i="17"/>
  <c r="R242" i="17"/>
  <c r="Q242" i="17"/>
  <c r="AE241" i="17"/>
  <c r="AD241" i="17"/>
  <c r="AC241" i="17"/>
  <c r="AB241" i="17"/>
  <c r="AA241" i="17"/>
  <c r="Z241" i="17"/>
  <c r="Y241" i="17"/>
  <c r="X241" i="17"/>
  <c r="W241" i="17"/>
  <c r="V241" i="17"/>
  <c r="U241" i="17"/>
  <c r="T241" i="17"/>
  <c r="S241" i="17"/>
  <c r="R241" i="17"/>
  <c r="Q241" i="17"/>
  <c r="AE240" i="17"/>
  <c r="AD240" i="17"/>
  <c r="AC240" i="17"/>
  <c r="AB240" i="17"/>
  <c r="AA240" i="17"/>
  <c r="Z240" i="17"/>
  <c r="Y240" i="17"/>
  <c r="X240" i="17"/>
  <c r="W240" i="17"/>
  <c r="V240" i="17"/>
  <c r="U240" i="17"/>
  <c r="T240" i="17"/>
  <c r="S240" i="17"/>
  <c r="R240" i="17"/>
  <c r="Q240" i="17"/>
  <c r="AE239" i="17"/>
  <c r="AD239" i="17"/>
  <c r="AC239" i="17"/>
  <c r="AB239" i="17"/>
  <c r="AA239" i="17"/>
  <c r="Z239" i="17"/>
  <c r="Y239" i="17"/>
  <c r="X239" i="17"/>
  <c r="W239" i="17"/>
  <c r="V239" i="17"/>
  <c r="U239" i="17"/>
  <c r="T239" i="17"/>
  <c r="S239" i="17"/>
  <c r="R239" i="17"/>
  <c r="Q239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AE234" i="17"/>
  <c r="AD234" i="17"/>
  <c r="AC234" i="17"/>
  <c r="AB234" i="17"/>
  <c r="AA234" i="17"/>
  <c r="Z234" i="17"/>
  <c r="Y234" i="17"/>
  <c r="X234" i="17"/>
  <c r="W234" i="17"/>
  <c r="V234" i="17"/>
  <c r="U234" i="17"/>
  <c r="T234" i="17"/>
  <c r="S234" i="17"/>
  <c r="R234" i="17"/>
  <c r="Q234" i="17"/>
  <c r="AE233" i="17"/>
  <c r="AD233" i="17"/>
  <c r="AC233" i="17"/>
  <c r="AB233" i="17"/>
  <c r="AA233" i="17"/>
  <c r="Z233" i="17"/>
  <c r="Y233" i="17"/>
  <c r="X233" i="17"/>
  <c r="W233" i="17"/>
  <c r="V233" i="17"/>
  <c r="U233" i="17"/>
  <c r="T233" i="17"/>
  <c r="S233" i="17"/>
  <c r="R233" i="17"/>
  <c r="Q233" i="17"/>
  <c r="AE232" i="17"/>
  <c r="AD232" i="17"/>
  <c r="AC232" i="17"/>
  <c r="AB232" i="17"/>
  <c r="AA232" i="17"/>
  <c r="Z232" i="17"/>
  <c r="Y232" i="17"/>
  <c r="X232" i="17"/>
  <c r="W232" i="17"/>
  <c r="V232" i="17"/>
  <c r="U232" i="17"/>
  <c r="T232" i="17"/>
  <c r="S232" i="17"/>
  <c r="R232" i="17"/>
  <c r="Q232" i="17"/>
  <c r="AE231" i="17"/>
  <c r="AD231" i="17"/>
  <c r="AC231" i="17"/>
  <c r="AB231" i="17"/>
  <c r="AA231" i="17"/>
  <c r="Z231" i="17"/>
  <c r="Y231" i="17"/>
  <c r="X231" i="17"/>
  <c r="W231" i="17"/>
  <c r="V231" i="17"/>
  <c r="U231" i="17"/>
  <c r="T231" i="17"/>
  <c r="S231" i="17"/>
  <c r="R231" i="17"/>
  <c r="Q231" i="17"/>
  <c r="AE230" i="17"/>
  <c r="AD230" i="17"/>
  <c r="AC230" i="17"/>
  <c r="AB230" i="17"/>
  <c r="AA230" i="17"/>
  <c r="Z230" i="17"/>
  <c r="Y230" i="17"/>
  <c r="X230" i="17"/>
  <c r="W230" i="17"/>
  <c r="V230" i="17"/>
  <c r="U230" i="17"/>
  <c r="T230" i="17"/>
  <c r="S230" i="17"/>
  <c r="R230" i="17"/>
  <c r="Q230" i="17"/>
  <c r="AE229" i="17"/>
  <c r="AD229" i="17"/>
  <c r="AC229" i="17"/>
  <c r="AB229" i="17"/>
  <c r="AA229" i="17"/>
  <c r="Z229" i="17"/>
  <c r="Y229" i="17"/>
  <c r="X229" i="17"/>
  <c r="W229" i="17"/>
  <c r="V229" i="17"/>
  <c r="U229" i="17"/>
  <c r="T229" i="17"/>
  <c r="S229" i="17"/>
  <c r="R229" i="17"/>
  <c r="Q229" i="17"/>
  <c r="AE228" i="17"/>
  <c r="AD228" i="17"/>
  <c r="AC228" i="17"/>
  <c r="AB228" i="17"/>
  <c r="AA228" i="17"/>
  <c r="Z228" i="17"/>
  <c r="Y228" i="17"/>
  <c r="X228" i="17"/>
  <c r="W228" i="17"/>
  <c r="V228" i="17"/>
  <c r="U228" i="17"/>
  <c r="T228" i="17"/>
  <c r="S228" i="17"/>
  <c r="R228" i="17"/>
  <c r="Q228" i="17"/>
  <c r="AE227" i="17"/>
  <c r="AD227" i="17"/>
  <c r="AC227" i="17"/>
  <c r="AB227" i="17"/>
  <c r="AA227" i="17"/>
  <c r="Z227" i="17"/>
  <c r="Y227" i="17"/>
  <c r="X227" i="17"/>
  <c r="W227" i="17"/>
  <c r="V227" i="17"/>
  <c r="U227" i="17"/>
  <c r="T227" i="17"/>
  <c r="S227" i="17"/>
  <c r="R227" i="17"/>
  <c r="Q227" i="17"/>
  <c r="AE226" i="17"/>
  <c r="AD226" i="17"/>
  <c r="AC226" i="17"/>
  <c r="AB226" i="17"/>
  <c r="AA226" i="17"/>
  <c r="Z226" i="17"/>
  <c r="Y226" i="17"/>
  <c r="X226" i="17"/>
  <c r="W226" i="17"/>
  <c r="V226" i="17"/>
  <c r="U226" i="17"/>
  <c r="T226" i="17"/>
  <c r="S226" i="17"/>
  <c r="R226" i="17"/>
  <c r="Q226" i="17"/>
  <c r="AE225" i="17"/>
  <c r="AD225" i="17"/>
  <c r="AC225" i="17"/>
  <c r="AB225" i="17"/>
  <c r="AA225" i="17"/>
  <c r="Z225" i="17"/>
  <c r="Y225" i="17"/>
  <c r="X225" i="17"/>
  <c r="W225" i="17"/>
  <c r="V225" i="17"/>
  <c r="U225" i="17"/>
  <c r="T225" i="17"/>
  <c r="S225" i="17"/>
  <c r="R225" i="17"/>
  <c r="Q225" i="17"/>
  <c r="AE224" i="17"/>
  <c r="AD224" i="17"/>
  <c r="AC224" i="17"/>
  <c r="AB224" i="17"/>
  <c r="AA224" i="17"/>
  <c r="Z224" i="17"/>
  <c r="Y224" i="17"/>
  <c r="X224" i="17"/>
  <c r="W224" i="17"/>
  <c r="V224" i="17"/>
  <c r="U224" i="17"/>
  <c r="T224" i="17"/>
  <c r="S224" i="17"/>
  <c r="R224" i="17"/>
  <c r="Q224" i="17"/>
  <c r="AE223" i="17"/>
  <c r="AD223" i="17"/>
  <c r="AC223" i="17"/>
  <c r="AB223" i="17"/>
  <c r="AA223" i="17"/>
  <c r="Z223" i="17"/>
  <c r="Y223" i="17"/>
  <c r="X223" i="17"/>
  <c r="W223" i="17"/>
  <c r="V223" i="17"/>
  <c r="U223" i="17"/>
  <c r="T223" i="17"/>
  <c r="S223" i="17"/>
  <c r="R223" i="17"/>
  <c r="Q223" i="17"/>
  <c r="AE222" i="17"/>
  <c r="AD222" i="17"/>
  <c r="AC222" i="17"/>
  <c r="AB222" i="17"/>
  <c r="AA222" i="17"/>
  <c r="Z222" i="17"/>
  <c r="Y222" i="17"/>
  <c r="X222" i="17"/>
  <c r="W222" i="17"/>
  <c r="V222" i="17"/>
  <c r="U222" i="17"/>
  <c r="T222" i="17"/>
  <c r="S222" i="17"/>
  <c r="R222" i="17"/>
  <c r="Q222" i="17"/>
  <c r="AE221" i="17"/>
  <c r="AD221" i="17"/>
  <c r="AC221" i="17"/>
  <c r="AB221" i="17"/>
  <c r="AA221" i="17"/>
  <c r="Z221" i="17"/>
  <c r="Y221" i="17"/>
  <c r="X221" i="17"/>
  <c r="W221" i="17"/>
  <c r="V221" i="17"/>
  <c r="U221" i="17"/>
  <c r="T221" i="17"/>
  <c r="S221" i="17"/>
  <c r="R221" i="17"/>
  <c r="Q221" i="17"/>
  <c r="AE220" i="17"/>
  <c r="AD220" i="17"/>
  <c r="AC220" i="17"/>
  <c r="AB220" i="17"/>
  <c r="AA220" i="17"/>
  <c r="Z220" i="17"/>
  <c r="Y220" i="17"/>
  <c r="X220" i="17"/>
  <c r="W220" i="17"/>
  <c r="V220" i="17"/>
  <c r="U220" i="17"/>
  <c r="T220" i="17"/>
  <c r="S220" i="17"/>
  <c r="R220" i="17"/>
  <c r="Q220" i="17"/>
  <c r="AE219" i="17"/>
  <c r="AD219" i="17"/>
  <c r="AC219" i="17"/>
  <c r="AB219" i="17"/>
  <c r="AA219" i="17"/>
  <c r="Z219" i="17"/>
  <c r="Y219" i="17"/>
  <c r="X219" i="17"/>
  <c r="W219" i="17"/>
  <c r="V219" i="17"/>
  <c r="U219" i="17"/>
  <c r="T219" i="17"/>
  <c r="S219" i="17"/>
  <c r="R219" i="17"/>
  <c r="Q219" i="17"/>
  <c r="AE218" i="17"/>
  <c r="AD218" i="17"/>
  <c r="AC218" i="17"/>
  <c r="AB218" i="17"/>
  <c r="AA218" i="17"/>
  <c r="Z218" i="17"/>
  <c r="Y218" i="17"/>
  <c r="X218" i="17"/>
  <c r="W218" i="17"/>
  <c r="V218" i="17"/>
  <c r="U218" i="17"/>
  <c r="T218" i="17"/>
  <c r="S218" i="17"/>
  <c r="R218" i="17"/>
  <c r="Q218" i="17"/>
  <c r="AE217" i="17"/>
  <c r="AD217" i="17"/>
  <c r="AC217" i="17"/>
  <c r="AB217" i="17"/>
  <c r="AA217" i="17"/>
  <c r="Z217" i="17"/>
  <c r="Y217" i="17"/>
  <c r="X217" i="17"/>
  <c r="W217" i="17"/>
  <c r="V217" i="17"/>
  <c r="U217" i="17"/>
  <c r="T217" i="17"/>
  <c r="S217" i="17"/>
  <c r="R217" i="17"/>
  <c r="Q217" i="17"/>
  <c r="AE216" i="17"/>
  <c r="AD216" i="17"/>
  <c r="AC216" i="17"/>
  <c r="AB216" i="17"/>
  <c r="AA216" i="17"/>
  <c r="Z216" i="17"/>
  <c r="Y216" i="17"/>
  <c r="X216" i="17"/>
  <c r="W216" i="17"/>
  <c r="V216" i="17"/>
  <c r="U216" i="17"/>
  <c r="T216" i="17"/>
  <c r="S216" i="17"/>
  <c r="R216" i="17"/>
  <c r="Q216" i="17"/>
  <c r="AE215" i="17"/>
  <c r="AD215" i="17"/>
  <c r="AC215" i="17"/>
  <c r="AB215" i="17"/>
  <c r="AA215" i="17"/>
  <c r="Z215" i="17"/>
  <c r="Y215" i="17"/>
  <c r="X215" i="17"/>
  <c r="W215" i="17"/>
  <c r="V215" i="17"/>
  <c r="U215" i="17"/>
  <c r="T215" i="17"/>
  <c r="S215" i="17"/>
  <c r="R215" i="17"/>
  <c r="Q215" i="17"/>
  <c r="AE214" i="17"/>
  <c r="AD214" i="17"/>
  <c r="AC214" i="17"/>
  <c r="AB214" i="17"/>
  <c r="AA214" i="17"/>
  <c r="Z214" i="17"/>
  <c r="Y214" i="17"/>
  <c r="X214" i="17"/>
  <c r="W214" i="17"/>
  <c r="V214" i="17"/>
  <c r="U214" i="17"/>
  <c r="T214" i="17"/>
  <c r="S214" i="17"/>
  <c r="R214" i="17"/>
  <c r="Q214" i="17"/>
  <c r="AE213" i="17"/>
  <c r="AD213" i="17"/>
  <c r="AC213" i="17"/>
  <c r="AB213" i="17"/>
  <c r="AA213" i="17"/>
  <c r="Z213" i="17"/>
  <c r="Y213" i="17"/>
  <c r="X213" i="17"/>
  <c r="W213" i="17"/>
  <c r="V213" i="17"/>
  <c r="U213" i="17"/>
  <c r="T213" i="17"/>
  <c r="S213" i="17"/>
  <c r="R213" i="17"/>
  <c r="Q213" i="17"/>
  <c r="AE212" i="17"/>
  <c r="AD212" i="17"/>
  <c r="AC212" i="17"/>
  <c r="AB212" i="17"/>
  <c r="AA212" i="17"/>
  <c r="Z212" i="17"/>
  <c r="Y212" i="17"/>
  <c r="X212" i="17"/>
  <c r="W212" i="17"/>
  <c r="V212" i="17"/>
  <c r="U212" i="17"/>
  <c r="T212" i="17"/>
  <c r="S212" i="17"/>
  <c r="R212" i="17"/>
  <c r="Q212" i="17"/>
  <c r="AE211" i="17"/>
  <c r="AD211" i="17"/>
  <c r="AC211" i="17"/>
  <c r="AB211" i="17"/>
  <c r="AA211" i="17"/>
  <c r="Z211" i="17"/>
  <c r="Y211" i="17"/>
  <c r="X211" i="17"/>
  <c r="W211" i="17"/>
  <c r="V211" i="17"/>
  <c r="U211" i="17"/>
  <c r="T211" i="17"/>
  <c r="S211" i="17"/>
  <c r="R211" i="17"/>
  <c r="Q211" i="17"/>
  <c r="AE210" i="17"/>
  <c r="AD210" i="17"/>
  <c r="AC210" i="17"/>
  <c r="AB210" i="17"/>
  <c r="AA210" i="17"/>
  <c r="Z210" i="17"/>
  <c r="Y210" i="17"/>
  <c r="X210" i="17"/>
  <c r="W210" i="17"/>
  <c r="V210" i="17"/>
  <c r="U210" i="17"/>
  <c r="T210" i="17"/>
  <c r="S210" i="17"/>
  <c r="R210" i="17"/>
  <c r="Q210" i="17"/>
  <c r="AE209" i="17"/>
  <c r="AD209" i="17"/>
  <c r="AC209" i="17"/>
  <c r="AB209" i="17"/>
  <c r="AA209" i="17"/>
  <c r="Z209" i="17"/>
  <c r="Y209" i="17"/>
  <c r="X209" i="17"/>
  <c r="W209" i="17"/>
  <c r="V209" i="17"/>
  <c r="U209" i="17"/>
  <c r="T209" i="17"/>
  <c r="S209" i="17"/>
  <c r="R209" i="17"/>
  <c r="Q209" i="17"/>
  <c r="AE208" i="17"/>
  <c r="AD208" i="17"/>
  <c r="AC208" i="17"/>
  <c r="AB208" i="17"/>
  <c r="AA208" i="17"/>
  <c r="Z208" i="17"/>
  <c r="Y208" i="17"/>
  <c r="X208" i="17"/>
  <c r="W208" i="17"/>
  <c r="V208" i="17"/>
  <c r="U208" i="17"/>
  <c r="T208" i="17"/>
  <c r="S208" i="17"/>
  <c r="R208" i="17"/>
  <c r="Q208" i="17"/>
  <c r="AE207" i="17"/>
  <c r="AD207" i="17"/>
  <c r="AC207" i="17"/>
  <c r="AB207" i="17"/>
  <c r="AA207" i="17"/>
  <c r="Z207" i="17"/>
  <c r="Y207" i="17"/>
  <c r="X207" i="17"/>
  <c r="W207" i="17"/>
  <c r="V207" i="17"/>
  <c r="U207" i="17"/>
  <c r="T207" i="17"/>
  <c r="S207" i="17"/>
  <c r="R207" i="17"/>
  <c r="Q207" i="17"/>
  <c r="AE206" i="17"/>
  <c r="AD206" i="17"/>
  <c r="AC206" i="17"/>
  <c r="AB206" i="17"/>
  <c r="AA206" i="17"/>
  <c r="Z206" i="17"/>
  <c r="Y206" i="17"/>
  <c r="X206" i="17"/>
  <c r="W206" i="17"/>
  <c r="V206" i="17"/>
  <c r="U206" i="17"/>
  <c r="T206" i="17"/>
  <c r="S206" i="17"/>
  <c r="R206" i="17"/>
  <c r="Q206" i="17"/>
  <c r="AE205" i="17"/>
  <c r="AD205" i="17"/>
  <c r="AC205" i="17"/>
  <c r="AB205" i="17"/>
  <c r="AA205" i="17"/>
  <c r="Z205" i="17"/>
  <c r="Y205" i="17"/>
  <c r="X205" i="17"/>
  <c r="W205" i="17"/>
  <c r="V205" i="17"/>
  <c r="U205" i="17"/>
  <c r="T205" i="17"/>
  <c r="S205" i="17"/>
  <c r="R205" i="17"/>
  <c r="Q205" i="17"/>
  <c r="AE204" i="17"/>
  <c r="AD204" i="17"/>
  <c r="AC204" i="17"/>
  <c r="AB204" i="17"/>
  <c r="AA204" i="17"/>
  <c r="Z204" i="17"/>
  <c r="Y204" i="17"/>
  <c r="X204" i="17"/>
  <c r="W204" i="17"/>
  <c r="V204" i="17"/>
  <c r="U204" i="17"/>
  <c r="T204" i="17"/>
  <c r="S204" i="17"/>
  <c r="R204" i="17"/>
  <c r="Q204" i="17"/>
  <c r="AE203" i="17"/>
  <c r="AD203" i="17"/>
  <c r="AC203" i="17"/>
  <c r="AB203" i="17"/>
  <c r="AA203" i="17"/>
  <c r="Z203" i="17"/>
  <c r="Y203" i="17"/>
  <c r="X203" i="17"/>
  <c r="W203" i="17"/>
  <c r="V203" i="17"/>
  <c r="U203" i="17"/>
  <c r="T203" i="17"/>
  <c r="S203" i="17"/>
  <c r="R203" i="17"/>
  <c r="Q203" i="17"/>
  <c r="AE202" i="17"/>
  <c r="AD202" i="17"/>
  <c r="AC202" i="17"/>
  <c r="AB202" i="17"/>
  <c r="AA202" i="17"/>
  <c r="Z202" i="17"/>
  <c r="Y202" i="17"/>
  <c r="X202" i="17"/>
  <c r="W202" i="17"/>
  <c r="V202" i="17"/>
  <c r="U202" i="17"/>
  <c r="T202" i="17"/>
  <c r="S202" i="17"/>
  <c r="R202" i="17"/>
  <c r="Q202" i="17"/>
  <c r="AE201" i="17"/>
  <c r="AD201" i="17"/>
  <c r="AC201" i="17"/>
  <c r="AB201" i="17"/>
  <c r="AA201" i="17"/>
  <c r="Z201" i="17"/>
  <c r="Y201" i="17"/>
  <c r="X201" i="17"/>
  <c r="W201" i="17"/>
  <c r="V201" i="17"/>
  <c r="U201" i="17"/>
  <c r="T201" i="17"/>
  <c r="S201" i="17"/>
  <c r="R201" i="17"/>
  <c r="Q201" i="17"/>
  <c r="AE200" i="17"/>
  <c r="AD200" i="17"/>
  <c r="AC200" i="17"/>
  <c r="AB200" i="17"/>
  <c r="AA200" i="17"/>
  <c r="Z200" i="17"/>
  <c r="Y200" i="17"/>
  <c r="X200" i="17"/>
  <c r="W200" i="17"/>
  <c r="V200" i="17"/>
  <c r="U200" i="17"/>
  <c r="T200" i="17"/>
  <c r="S200" i="17"/>
  <c r="R200" i="17"/>
  <c r="Q200" i="17"/>
  <c r="AE199" i="17"/>
  <c r="AD199" i="17"/>
  <c r="AC199" i="17"/>
  <c r="AB199" i="17"/>
  <c r="AA199" i="17"/>
  <c r="Z199" i="17"/>
  <c r="Y199" i="17"/>
  <c r="X199" i="17"/>
  <c r="W199" i="17"/>
  <c r="V199" i="17"/>
  <c r="U199" i="17"/>
  <c r="T199" i="17"/>
  <c r="S199" i="17"/>
  <c r="R199" i="17"/>
  <c r="Q199" i="17"/>
  <c r="AE198" i="17"/>
  <c r="AD198" i="17"/>
  <c r="AC198" i="17"/>
  <c r="AB198" i="17"/>
  <c r="AA198" i="17"/>
  <c r="Z198" i="17"/>
  <c r="Y198" i="17"/>
  <c r="X198" i="17"/>
  <c r="W198" i="17"/>
  <c r="V198" i="17"/>
  <c r="U198" i="17"/>
  <c r="T198" i="17"/>
  <c r="S198" i="17"/>
  <c r="R198" i="17"/>
  <c r="Q198" i="17"/>
  <c r="AE197" i="17"/>
  <c r="AD197" i="17"/>
  <c r="AC197" i="17"/>
  <c r="AB197" i="17"/>
  <c r="AA197" i="17"/>
  <c r="Z197" i="17"/>
  <c r="Y197" i="17"/>
  <c r="X197" i="17"/>
  <c r="W197" i="17"/>
  <c r="V197" i="17"/>
  <c r="U197" i="17"/>
  <c r="T197" i="17"/>
  <c r="S197" i="17"/>
  <c r="R197" i="17"/>
  <c r="Q197" i="17"/>
  <c r="AE196" i="17"/>
  <c r="AD196" i="17"/>
  <c r="AC196" i="17"/>
  <c r="AB196" i="17"/>
  <c r="AA196" i="17"/>
  <c r="Z196" i="17"/>
  <c r="Y196" i="17"/>
  <c r="X196" i="17"/>
  <c r="W196" i="17"/>
  <c r="V196" i="17"/>
  <c r="U196" i="17"/>
  <c r="T196" i="17"/>
  <c r="S196" i="17"/>
  <c r="R196" i="17"/>
  <c r="Q196" i="17"/>
  <c r="AE195" i="17"/>
  <c r="AD195" i="17"/>
  <c r="AC195" i="17"/>
  <c r="AB195" i="17"/>
  <c r="AA195" i="17"/>
  <c r="Z195" i="17"/>
  <c r="Y195" i="17"/>
  <c r="X195" i="17"/>
  <c r="W195" i="17"/>
  <c r="V195" i="17"/>
  <c r="U195" i="17"/>
  <c r="T195" i="17"/>
  <c r="S195" i="17"/>
  <c r="R195" i="17"/>
  <c r="Q195" i="17"/>
  <c r="AE194" i="17"/>
  <c r="AD194" i="17"/>
  <c r="AC194" i="17"/>
  <c r="AB194" i="17"/>
  <c r="AA194" i="17"/>
  <c r="Z194" i="17"/>
  <c r="Y194" i="17"/>
  <c r="X194" i="17"/>
  <c r="W194" i="17"/>
  <c r="V194" i="17"/>
  <c r="U194" i="17"/>
  <c r="T194" i="17"/>
  <c r="S194" i="17"/>
  <c r="R194" i="17"/>
  <c r="Q194" i="17"/>
  <c r="AE193" i="17"/>
  <c r="AD193" i="17"/>
  <c r="AC193" i="17"/>
  <c r="AB193" i="17"/>
  <c r="AA193" i="17"/>
  <c r="Z193" i="17"/>
  <c r="Y193" i="17"/>
  <c r="X193" i="17"/>
  <c r="W193" i="17"/>
  <c r="V193" i="17"/>
  <c r="U193" i="17"/>
  <c r="T193" i="17"/>
  <c r="S193" i="17"/>
  <c r="R193" i="17"/>
  <c r="Q193" i="17"/>
  <c r="AE192" i="17"/>
  <c r="AD192" i="17"/>
  <c r="AC192" i="17"/>
  <c r="AB192" i="17"/>
  <c r="AA192" i="17"/>
  <c r="Z192" i="17"/>
  <c r="Y192" i="17"/>
  <c r="X192" i="17"/>
  <c r="W192" i="17"/>
  <c r="V192" i="17"/>
  <c r="U192" i="17"/>
  <c r="T192" i="17"/>
  <c r="S192" i="17"/>
  <c r="R192" i="17"/>
  <c r="Q192" i="17"/>
  <c r="AE191" i="17"/>
  <c r="AD191" i="17"/>
  <c r="AC191" i="17"/>
  <c r="AB191" i="17"/>
  <c r="AA191" i="17"/>
  <c r="Z191" i="17"/>
  <c r="Y191" i="17"/>
  <c r="X191" i="17"/>
  <c r="W191" i="17"/>
  <c r="V191" i="17"/>
  <c r="U191" i="17"/>
  <c r="T191" i="17"/>
  <c r="S191" i="17"/>
  <c r="R191" i="17"/>
  <c r="Q191" i="17"/>
  <c r="AE190" i="17"/>
  <c r="AD190" i="17"/>
  <c r="AC190" i="17"/>
  <c r="AB190" i="17"/>
  <c r="AA190" i="17"/>
  <c r="Z190" i="17"/>
  <c r="Y190" i="17"/>
  <c r="X190" i="17"/>
  <c r="W190" i="17"/>
  <c r="V190" i="17"/>
  <c r="U190" i="17"/>
  <c r="T190" i="17"/>
  <c r="S190" i="17"/>
  <c r="R190" i="17"/>
  <c r="Q190" i="17"/>
  <c r="AE189" i="17"/>
  <c r="AD189" i="17"/>
  <c r="AC189" i="17"/>
  <c r="AB189" i="17"/>
  <c r="AA189" i="17"/>
  <c r="Z189" i="17"/>
  <c r="Y189" i="17"/>
  <c r="X189" i="17"/>
  <c r="W189" i="17"/>
  <c r="V189" i="17"/>
  <c r="U189" i="17"/>
  <c r="T189" i="17"/>
  <c r="S189" i="17"/>
  <c r="R189" i="17"/>
  <c r="Q189" i="17"/>
  <c r="AE188" i="17"/>
  <c r="AD188" i="17"/>
  <c r="AC188" i="17"/>
  <c r="AB188" i="17"/>
  <c r="AA188" i="17"/>
  <c r="Z188" i="17"/>
  <c r="Y188" i="17"/>
  <c r="X188" i="17"/>
  <c r="W188" i="17"/>
  <c r="V188" i="17"/>
  <c r="U188" i="17"/>
  <c r="T188" i="17"/>
  <c r="S188" i="17"/>
  <c r="R188" i="17"/>
  <c r="Q188" i="17"/>
  <c r="AE187" i="17"/>
  <c r="AD187" i="17"/>
  <c r="AC187" i="17"/>
  <c r="AB187" i="17"/>
  <c r="AA187" i="17"/>
  <c r="Z187" i="17"/>
  <c r="Y187" i="17"/>
  <c r="X187" i="17"/>
  <c r="W187" i="17"/>
  <c r="V187" i="17"/>
  <c r="U187" i="17"/>
  <c r="T187" i="17"/>
  <c r="S187" i="17"/>
  <c r="R187" i="17"/>
  <c r="Q187" i="17"/>
  <c r="AE186" i="17"/>
  <c r="AD186" i="17"/>
  <c r="AC186" i="17"/>
  <c r="AB186" i="17"/>
  <c r="AA186" i="17"/>
  <c r="Z186" i="17"/>
  <c r="Y186" i="17"/>
  <c r="X186" i="17"/>
  <c r="W186" i="17"/>
  <c r="V186" i="17"/>
  <c r="U186" i="17"/>
  <c r="T186" i="17"/>
  <c r="S186" i="17"/>
  <c r="R186" i="17"/>
  <c r="Q186" i="17"/>
  <c r="AE185" i="17"/>
  <c r="AD185" i="17"/>
  <c r="AC185" i="17"/>
  <c r="AB185" i="17"/>
  <c r="AA185" i="17"/>
  <c r="Z185" i="17"/>
  <c r="Y185" i="17"/>
  <c r="X185" i="17"/>
  <c r="W185" i="17"/>
  <c r="V185" i="17"/>
  <c r="U185" i="17"/>
  <c r="T185" i="17"/>
  <c r="S185" i="17"/>
  <c r="R185" i="17"/>
  <c r="Q185" i="17"/>
  <c r="AE184" i="17"/>
  <c r="AD184" i="17"/>
  <c r="AC184" i="17"/>
  <c r="AB184" i="17"/>
  <c r="AA184" i="17"/>
  <c r="Z184" i="17"/>
  <c r="Y184" i="17"/>
  <c r="X184" i="17"/>
  <c r="W184" i="17"/>
  <c r="V184" i="17"/>
  <c r="U184" i="17"/>
  <c r="T184" i="17"/>
  <c r="S184" i="17"/>
  <c r="R184" i="17"/>
  <c r="Q184" i="17"/>
  <c r="AE183" i="17"/>
  <c r="AD183" i="17"/>
  <c r="AC183" i="17"/>
  <c r="AB183" i="17"/>
  <c r="AA183" i="17"/>
  <c r="Z183" i="17"/>
  <c r="Y183" i="17"/>
  <c r="X183" i="17"/>
  <c r="W183" i="17"/>
  <c r="V183" i="17"/>
  <c r="U183" i="17"/>
  <c r="T183" i="17"/>
  <c r="S183" i="17"/>
  <c r="R183" i="17"/>
  <c r="Q183" i="17"/>
  <c r="AE182" i="17"/>
  <c r="AD182" i="17"/>
  <c r="AC182" i="17"/>
  <c r="AB182" i="17"/>
  <c r="AA182" i="17"/>
  <c r="Z182" i="17"/>
  <c r="Y182" i="17"/>
  <c r="X182" i="17"/>
  <c r="W182" i="17"/>
  <c r="V182" i="17"/>
  <c r="U182" i="17"/>
  <c r="T182" i="17"/>
  <c r="S182" i="17"/>
  <c r="R182" i="17"/>
  <c r="Q182" i="17"/>
  <c r="AE181" i="17"/>
  <c r="AD181" i="17"/>
  <c r="AC181" i="17"/>
  <c r="AB181" i="17"/>
  <c r="AA181" i="17"/>
  <c r="Z181" i="17"/>
  <c r="Y181" i="17"/>
  <c r="X181" i="17"/>
  <c r="W181" i="17"/>
  <c r="V181" i="17"/>
  <c r="U181" i="17"/>
  <c r="T181" i="17"/>
  <c r="S181" i="17"/>
  <c r="R181" i="17"/>
  <c r="Q181" i="17"/>
  <c r="AE180" i="17"/>
  <c r="AD180" i="17"/>
  <c r="AC180" i="17"/>
  <c r="AB180" i="17"/>
  <c r="AA180" i="17"/>
  <c r="Z180" i="17"/>
  <c r="Y180" i="17"/>
  <c r="X180" i="17"/>
  <c r="W180" i="17"/>
  <c r="V180" i="17"/>
  <c r="U180" i="17"/>
  <c r="T180" i="17"/>
  <c r="S180" i="17"/>
  <c r="R180" i="17"/>
  <c r="Q180" i="17"/>
  <c r="AE179" i="17"/>
  <c r="AD179" i="17"/>
  <c r="AC179" i="17"/>
  <c r="AB179" i="17"/>
  <c r="AA179" i="17"/>
  <c r="Z179" i="17"/>
  <c r="Y179" i="17"/>
  <c r="X179" i="17"/>
  <c r="W179" i="17"/>
  <c r="V179" i="17"/>
  <c r="U179" i="17"/>
  <c r="T179" i="17"/>
  <c r="S179" i="17"/>
  <c r="R179" i="17"/>
  <c r="Q179" i="17"/>
  <c r="AE178" i="17"/>
  <c r="AD178" i="17"/>
  <c r="AC178" i="17"/>
  <c r="AB178" i="17"/>
  <c r="AA178" i="17"/>
  <c r="Z178" i="17"/>
  <c r="Y178" i="17"/>
  <c r="X178" i="17"/>
  <c r="W178" i="17"/>
  <c r="V178" i="17"/>
  <c r="U178" i="17"/>
  <c r="T178" i="17"/>
  <c r="S178" i="17"/>
  <c r="R178" i="17"/>
  <c r="Q178" i="17"/>
  <c r="AE177" i="17"/>
  <c r="AD177" i="17"/>
  <c r="AC177" i="17"/>
  <c r="AB177" i="17"/>
  <c r="AA177" i="17"/>
  <c r="Z177" i="17"/>
  <c r="Y177" i="17"/>
  <c r="X177" i="17"/>
  <c r="W177" i="17"/>
  <c r="V177" i="17"/>
  <c r="U177" i="17"/>
  <c r="T177" i="17"/>
  <c r="S177" i="17"/>
  <c r="R177" i="17"/>
  <c r="Q177" i="17"/>
  <c r="AE176" i="17"/>
  <c r="AD176" i="17"/>
  <c r="AC176" i="17"/>
  <c r="AB176" i="17"/>
  <c r="AA176" i="17"/>
  <c r="Z176" i="17"/>
  <c r="Y176" i="17"/>
  <c r="X176" i="17"/>
  <c r="W176" i="17"/>
  <c r="V176" i="17"/>
  <c r="U176" i="17"/>
  <c r="T176" i="17"/>
  <c r="S176" i="17"/>
  <c r="R176" i="17"/>
  <c r="Q176" i="17"/>
  <c r="AE175" i="17"/>
  <c r="AD175" i="17"/>
  <c r="AC175" i="17"/>
  <c r="AB175" i="17"/>
  <c r="AA175" i="17"/>
  <c r="Z175" i="17"/>
  <c r="Y175" i="17"/>
  <c r="X175" i="17"/>
  <c r="W175" i="17"/>
  <c r="V175" i="17"/>
  <c r="U175" i="17"/>
  <c r="T175" i="17"/>
  <c r="S175" i="17"/>
  <c r="R175" i="17"/>
  <c r="Q175" i="17"/>
  <c r="AE174" i="17"/>
  <c r="AD174" i="17"/>
  <c r="AC174" i="17"/>
  <c r="AB174" i="17"/>
  <c r="AA174" i="17"/>
  <c r="Z174" i="17"/>
  <c r="Y174" i="17"/>
  <c r="X174" i="17"/>
  <c r="W174" i="17"/>
  <c r="V174" i="17"/>
  <c r="U174" i="17"/>
  <c r="T174" i="17"/>
  <c r="S174" i="17"/>
  <c r="R174" i="17"/>
  <c r="Q174" i="17"/>
  <c r="AE173" i="17"/>
  <c r="AD173" i="17"/>
  <c r="AC173" i="17"/>
  <c r="AB173" i="17"/>
  <c r="AA173" i="17"/>
  <c r="Z173" i="17"/>
  <c r="Y173" i="17"/>
  <c r="X173" i="17"/>
  <c r="W173" i="17"/>
  <c r="V173" i="17"/>
  <c r="U173" i="17"/>
  <c r="T173" i="17"/>
  <c r="S173" i="17"/>
  <c r="R173" i="17"/>
  <c r="Q173" i="17"/>
  <c r="AE172" i="17"/>
  <c r="AD172" i="17"/>
  <c r="AC172" i="17"/>
  <c r="AB172" i="17"/>
  <c r="AA172" i="17"/>
  <c r="Z172" i="17"/>
  <c r="Y172" i="17"/>
  <c r="X172" i="17"/>
  <c r="W172" i="17"/>
  <c r="V172" i="17"/>
  <c r="U172" i="17"/>
  <c r="T172" i="17"/>
  <c r="S172" i="17"/>
  <c r="R172" i="17"/>
  <c r="Q172" i="17"/>
  <c r="AE171" i="17"/>
  <c r="AD171" i="17"/>
  <c r="AC171" i="17"/>
  <c r="AB171" i="17"/>
  <c r="AA171" i="17"/>
  <c r="Z171" i="17"/>
  <c r="Y171" i="17"/>
  <c r="X171" i="17"/>
  <c r="W171" i="17"/>
  <c r="V171" i="17"/>
  <c r="U171" i="17"/>
  <c r="T171" i="17"/>
  <c r="S171" i="17"/>
  <c r="R171" i="17"/>
  <c r="Q171" i="17"/>
  <c r="AE170" i="17"/>
  <c r="AD170" i="17"/>
  <c r="AC170" i="17"/>
  <c r="AB170" i="17"/>
  <c r="AA170" i="17"/>
  <c r="Z170" i="17"/>
  <c r="Y170" i="17"/>
  <c r="X170" i="17"/>
  <c r="W170" i="17"/>
  <c r="V170" i="17"/>
  <c r="U170" i="17"/>
  <c r="T170" i="17"/>
  <c r="S170" i="17"/>
  <c r="R170" i="17"/>
  <c r="Q170" i="17"/>
  <c r="AE169" i="17"/>
  <c r="AD169" i="17"/>
  <c r="AC169" i="17"/>
  <c r="AB169" i="17"/>
  <c r="AA169" i="17"/>
  <c r="Z169" i="17"/>
  <c r="Y169" i="17"/>
  <c r="X169" i="17"/>
  <c r="W169" i="17"/>
  <c r="V169" i="17"/>
  <c r="U169" i="17"/>
  <c r="T169" i="17"/>
  <c r="S169" i="17"/>
  <c r="R169" i="17"/>
  <c r="Q169" i="17"/>
  <c r="AE168" i="17"/>
  <c r="AD168" i="17"/>
  <c r="AC168" i="17"/>
  <c r="AB168" i="17"/>
  <c r="AA168" i="17"/>
  <c r="Z168" i="17"/>
  <c r="Y168" i="17"/>
  <c r="X168" i="17"/>
  <c r="W168" i="17"/>
  <c r="V168" i="17"/>
  <c r="U168" i="17"/>
  <c r="T168" i="17"/>
  <c r="S168" i="17"/>
  <c r="R168" i="17"/>
  <c r="Q168" i="17"/>
  <c r="AE167" i="17"/>
  <c r="AD167" i="17"/>
  <c r="AC167" i="17"/>
  <c r="AB167" i="17"/>
  <c r="AA167" i="17"/>
  <c r="Z167" i="17"/>
  <c r="Y167" i="17"/>
  <c r="X167" i="17"/>
  <c r="W167" i="17"/>
  <c r="V167" i="17"/>
  <c r="U167" i="17"/>
  <c r="T167" i="17"/>
  <c r="S167" i="17"/>
  <c r="R167" i="17"/>
  <c r="Q167" i="17"/>
  <c r="AE166" i="17"/>
  <c r="AD166" i="17"/>
  <c r="AC166" i="17"/>
  <c r="AB166" i="17"/>
  <c r="AA166" i="17"/>
  <c r="Z166" i="17"/>
  <c r="Y166" i="17"/>
  <c r="X166" i="17"/>
  <c r="W166" i="17"/>
  <c r="V166" i="17"/>
  <c r="U166" i="17"/>
  <c r="T166" i="17"/>
  <c r="S166" i="17"/>
  <c r="R166" i="17"/>
  <c r="Q166" i="17"/>
  <c r="AE165" i="17"/>
  <c r="AD165" i="17"/>
  <c r="AC165" i="17"/>
  <c r="AB165" i="17"/>
  <c r="AA165" i="17"/>
  <c r="Z165" i="17"/>
  <c r="Y165" i="17"/>
  <c r="X165" i="17"/>
  <c r="W165" i="17"/>
  <c r="V165" i="17"/>
  <c r="U165" i="17"/>
  <c r="T165" i="17"/>
  <c r="S165" i="17"/>
  <c r="R165" i="17"/>
  <c r="Q165" i="17"/>
  <c r="AE164" i="17"/>
  <c r="AD164" i="17"/>
  <c r="AC164" i="17"/>
  <c r="AB164" i="17"/>
  <c r="AA164" i="17"/>
  <c r="Z164" i="17"/>
  <c r="Y164" i="17"/>
  <c r="X164" i="17"/>
  <c r="W164" i="17"/>
  <c r="V164" i="17"/>
  <c r="U164" i="17"/>
  <c r="T164" i="17"/>
  <c r="S164" i="17"/>
  <c r="R164" i="17"/>
  <c r="Q164" i="17"/>
  <c r="AE163" i="17"/>
  <c r="AD163" i="17"/>
  <c r="AC163" i="17"/>
  <c r="AB163" i="17"/>
  <c r="AA163" i="17"/>
  <c r="Z163" i="17"/>
  <c r="Y163" i="17"/>
  <c r="X163" i="17"/>
  <c r="W163" i="17"/>
  <c r="V163" i="17"/>
  <c r="U163" i="17"/>
  <c r="T163" i="17"/>
  <c r="S163" i="17"/>
  <c r="R163" i="17"/>
  <c r="Q163" i="17"/>
  <c r="AE162" i="17"/>
  <c r="AD162" i="17"/>
  <c r="AC162" i="17"/>
  <c r="AB162" i="17"/>
  <c r="AA162" i="17"/>
  <c r="Z162" i="17"/>
  <c r="Y162" i="17"/>
  <c r="X162" i="17"/>
  <c r="W162" i="17"/>
  <c r="V162" i="17"/>
  <c r="U162" i="17"/>
  <c r="T162" i="17"/>
  <c r="S162" i="17"/>
  <c r="R162" i="17"/>
  <c r="Q162" i="17"/>
  <c r="AE161" i="17"/>
  <c r="AD161" i="17"/>
  <c r="AC161" i="17"/>
  <c r="AB161" i="17"/>
  <c r="AA161" i="17"/>
  <c r="Z161" i="17"/>
  <c r="Y161" i="17"/>
  <c r="X161" i="17"/>
  <c r="W161" i="17"/>
  <c r="V161" i="17"/>
  <c r="U161" i="17"/>
  <c r="T161" i="17"/>
  <c r="S161" i="17"/>
  <c r="R161" i="17"/>
  <c r="Q161" i="17"/>
  <c r="AE160" i="17"/>
  <c r="AD160" i="17"/>
  <c r="AC160" i="17"/>
  <c r="AB160" i="17"/>
  <c r="AA160" i="17"/>
  <c r="Z160" i="17"/>
  <c r="Y160" i="17"/>
  <c r="X160" i="17"/>
  <c r="W160" i="17"/>
  <c r="V160" i="17"/>
  <c r="U160" i="17"/>
  <c r="T160" i="17"/>
  <c r="S160" i="17"/>
  <c r="R160" i="17"/>
  <c r="Q160" i="17"/>
  <c r="AE159" i="17"/>
  <c r="AD159" i="17"/>
  <c r="AC159" i="17"/>
  <c r="AB159" i="17"/>
  <c r="AA159" i="17"/>
  <c r="Z159" i="17"/>
  <c r="Y159" i="17"/>
  <c r="X159" i="17"/>
  <c r="W159" i="17"/>
  <c r="V159" i="17"/>
  <c r="U159" i="17"/>
  <c r="T159" i="17"/>
  <c r="S159" i="17"/>
  <c r="R159" i="17"/>
  <c r="Q159" i="17"/>
  <c r="AE158" i="17"/>
  <c r="AD158" i="17"/>
  <c r="AC158" i="17"/>
  <c r="AB158" i="17"/>
  <c r="AA158" i="17"/>
  <c r="Z158" i="17"/>
  <c r="Y158" i="17"/>
  <c r="X158" i="17"/>
  <c r="W158" i="17"/>
  <c r="V158" i="17"/>
  <c r="U158" i="17"/>
  <c r="T158" i="17"/>
  <c r="S158" i="17"/>
  <c r="R158" i="17"/>
  <c r="Q158" i="17"/>
  <c r="AE157" i="17"/>
  <c r="AD157" i="17"/>
  <c r="AC157" i="17"/>
  <c r="AB157" i="17"/>
  <c r="AA157" i="17"/>
  <c r="Z157" i="17"/>
  <c r="Y157" i="17"/>
  <c r="X157" i="17"/>
  <c r="W157" i="17"/>
  <c r="V157" i="17"/>
  <c r="U157" i="17"/>
  <c r="T157" i="17"/>
  <c r="S157" i="17"/>
  <c r="R157" i="17"/>
  <c r="Q157" i="17"/>
  <c r="AE156" i="17"/>
  <c r="AD156" i="17"/>
  <c r="AC156" i="17"/>
  <c r="AB156" i="17"/>
  <c r="AA156" i="17"/>
  <c r="Z156" i="17"/>
  <c r="Y156" i="17"/>
  <c r="X156" i="17"/>
  <c r="W156" i="17"/>
  <c r="V156" i="17"/>
  <c r="U156" i="17"/>
  <c r="T156" i="17"/>
  <c r="S156" i="17"/>
  <c r="R156" i="17"/>
  <c r="Q156" i="17"/>
  <c r="AE155" i="17"/>
  <c r="AD155" i="17"/>
  <c r="AC155" i="17"/>
  <c r="AB155" i="17"/>
  <c r="AA155" i="17"/>
  <c r="Z155" i="17"/>
  <c r="Y155" i="17"/>
  <c r="X155" i="17"/>
  <c r="W155" i="17"/>
  <c r="V155" i="17"/>
  <c r="U155" i="17"/>
  <c r="T155" i="17"/>
  <c r="S155" i="17"/>
  <c r="R155" i="17"/>
  <c r="Q155" i="17"/>
  <c r="AE154" i="17"/>
  <c r="AD154" i="17"/>
  <c r="AC154" i="17"/>
  <c r="AB154" i="17"/>
  <c r="AA154" i="17"/>
  <c r="Z154" i="17"/>
  <c r="Y154" i="17"/>
  <c r="X154" i="17"/>
  <c r="W154" i="17"/>
  <c r="V154" i="17"/>
  <c r="U154" i="17"/>
  <c r="T154" i="17"/>
  <c r="S154" i="17"/>
  <c r="R154" i="17"/>
  <c r="Q154" i="17"/>
  <c r="AE153" i="17"/>
  <c r="AD153" i="17"/>
  <c r="AC153" i="17"/>
  <c r="AB153" i="17"/>
  <c r="AA153" i="17"/>
  <c r="Z153" i="17"/>
  <c r="Y153" i="17"/>
  <c r="X153" i="17"/>
  <c r="W153" i="17"/>
  <c r="V153" i="17"/>
  <c r="U153" i="17"/>
  <c r="T153" i="17"/>
  <c r="S153" i="17"/>
  <c r="R153" i="17"/>
  <c r="Q153" i="17"/>
  <c r="AE152" i="17"/>
  <c r="AD152" i="17"/>
  <c r="AC152" i="17"/>
  <c r="AB152" i="17"/>
  <c r="AA152" i="17"/>
  <c r="Z152" i="17"/>
  <c r="Y152" i="17"/>
  <c r="X152" i="17"/>
  <c r="W152" i="17"/>
  <c r="V152" i="17"/>
  <c r="U152" i="17"/>
  <c r="T152" i="17"/>
  <c r="S152" i="17"/>
  <c r="R152" i="17"/>
  <c r="Q152" i="17"/>
  <c r="AE151" i="17"/>
  <c r="AD151" i="17"/>
  <c r="AC151" i="17"/>
  <c r="AB151" i="17"/>
  <c r="AA151" i="17"/>
  <c r="Z151" i="17"/>
  <c r="Y151" i="17"/>
  <c r="X151" i="17"/>
  <c r="W151" i="17"/>
  <c r="V151" i="17"/>
  <c r="U151" i="17"/>
  <c r="T151" i="17"/>
  <c r="S151" i="17"/>
  <c r="R151" i="17"/>
  <c r="Q151" i="17"/>
  <c r="AE150" i="17"/>
  <c r="AD150" i="17"/>
  <c r="AC150" i="17"/>
  <c r="AB150" i="17"/>
  <c r="AA150" i="17"/>
  <c r="Z150" i="17"/>
  <c r="Y150" i="17"/>
  <c r="X150" i="17"/>
  <c r="W150" i="17"/>
  <c r="V150" i="17"/>
  <c r="U150" i="17"/>
  <c r="T150" i="17"/>
  <c r="S150" i="17"/>
  <c r="R150" i="17"/>
  <c r="Q150" i="17"/>
  <c r="AE149" i="17"/>
  <c r="AD149" i="17"/>
  <c r="AC149" i="17"/>
  <c r="AB149" i="17"/>
  <c r="AA149" i="17"/>
  <c r="Z149" i="17"/>
  <c r="Y149" i="17"/>
  <c r="X149" i="17"/>
  <c r="W149" i="17"/>
  <c r="V149" i="17"/>
  <c r="U149" i="17"/>
  <c r="T149" i="17"/>
  <c r="S149" i="17"/>
  <c r="R149" i="17"/>
  <c r="Q149" i="17"/>
  <c r="AE148" i="17"/>
  <c r="AD148" i="17"/>
  <c r="AC148" i="17"/>
  <c r="AB148" i="17"/>
  <c r="AA148" i="17"/>
  <c r="Z148" i="17"/>
  <c r="Y148" i="17"/>
  <c r="X148" i="17"/>
  <c r="W148" i="17"/>
  <c r="V148" i="17"/>
  <c r="U148" i="17"/>
  <c r="T148" i="17"/>
  <c r="S148" i="17"/>
  <c r="R148" i="17"/>
  <c r="Q148" i="17"/>
  <c r="AE147" i="17"/>
  <c r="AD147" i="17"/>
  <c r="AC147" i="17"/>
  <c r="AB147" i="17"/>
  <c r="AA147" i="17"/>
  <c r="Z147" i="17"/>
  <c r="Y147" i="17"/>
  <c r="X147" i="17"/>
  <c r="W147" i="17"/>
  <c r="V147" i="17"/>
  <c r="U147" i="17"/>
  <c r="T147" i="17"/>
  <c r="S147" i="17"/>
  <c r="R147" i="17"/>
  <c r="Q147" i="17"/>
  <c r="AE146" i="17"/>
  <c r="AD146" i="17"/>
  <c r="AC146" i="17"/>
  <c r="AB146" i="17"/>
  <c r="AA146" i="17"/>
  <c r="Z146" i="17"/>
  <c r="Y146" i="17"/>
  <c r="X146" i="17"/>
  <c r="W146" i="17"/>
  <c r="V146" i="17"/>
  <c r="U146" i="17"/>
  <c r="T146" i="17"/>
  <c r="S146" i="17"/>
  <c r="R146" i="17"/>
  <c r="Q146" i="17"/>
  <c r="AE145" i="17"/>
  <c r="AD145" i="17"/>
  <c r="AC145" i="17"/>
  <c r="AB145" i="17"/>
  <c r="AA145" i="17"/>
  <c r="Z145" i="17"/>
  <c r="Y145" i="17"/>
  <c r="X145" i="17"/>
  <c r="W145" i="17"/>
  <c r="V145" i="17"/>
  <c r="U145" i="17"/>
  <c r="T145" i="17"/>
  <c r="S145" i="17"/>
  <c r="R145" i="17"/>
  <c r="Q145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AE136" i="17"/>
  <c r="AD136" i="17"/>
  <c r="AC136" i="17"/>
  <c r="AB136" i="17"/>
  <c r="AA136" i="17"/>
  <c r="Z136" i="17"/>
  <c r="Y136" i="17"/>
  <c r="X136" i="17"/>
  <c r="W136" i="17"/>
  <c r="V136" i="17"/>
  <c r="U136" i="17"/>
  <c r="T136" i="17"/>
  <c r="S136" i="17"/>
  <c r="R136" i="17"/>
  <c r="Q136" i="17"/>
  <c r="AE135" i="17"/>
  <c r="AD135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AE134" i="17"/>
  <c r="AD134" i="17"/>
  <c r="AC134" i="17"/>
  <c r="AB134" i="17"/>
  <c r="AA134" i="17"/>
  <c r="Z134" i="17"/>
  <c r="Y134" i="17"/>
  <c r="X134" i="17"/>
  <c r="W134" i="17"/>
  <c r="V134" i="17"/>
  <c r="U134" i="17"/>
  <c r="T134" i="17"/>
  <c r="S134" i="17"/>
  <c r="R134" i="17"/>
  <c r="Q134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AE125" i="17"/>
  <c r="AD125" i="17"/>
  <c r="AC125" i="17"/>
  <c r="AB125" i="17"/>
  <c r="AA125" i="17"/>
  <c r="Z125" i="17"/>
  <c r="Y125" i="17"/>
  <c r="X125" i="17"/>
  <c r="W125" i="17"/>
  <c r="V125" i="17"/>
  <c r="U125" i="17"/>
  <c r="T125" i="17"/>
  <c r="S125" i="17"/>
  <c r="R125" i="17"/>
  <c r="Q125" i="17"/>
  <c r="AE124" i="17"/>
  <c r="AD124" i="17"/>
  <c r="AC124" i="17"/>
  <c r="AB124" i="17"/>
  <c r="AA124" i="17"/>
  <c r="Z124" i="17"/>
  <c r="Y124" i="17"/>
  <c r="X124" i="17"/>
  <c r="W124" i="17"/>
  <c r="V124" i="17"/>
  <c r="U124" i="17"/>
  <c r="T124" i="17"/>
  <c r="S124" i="17"/>
  <c r="R124" i="17"/>
  <c r="Q124" i="17"/>
  <c r="AE123" i="17"/>
  <c r="AD123" i="17"/>
  <c r="AC123" i="17"/>
  <c r="AB123" i="17"/>
  <c r="AA123" i="17"/>
  <c r="Z123" i="17"/>
  <c r="Y123" i="17"/>
  <c r="X123" i="17"/>
  <c r="W123" i="17"/>
  <c r="V123" i="17"/>
  <c r="U123" i="17"/>
  <c r="T123" i="17"/>
  <c r="S123" i="17"/>
  <c r="R123" i="17"/>
  <c r="Q123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AE114" i="17"/>
  <c r="AD114" i="17"/>
  <c r="AC114" i="17"/>
  <c r="AB114" i="17"/>
  <c r="AA114" i="17"/>
  <c r="Z114" i="17"/>
  <c r="Y114" i="17"/>
  <c r="X114" i="17"/>
  <c r="W114" i="17"/>
  <c r="V114" i="17"/>
  <c r="U114" i="17"/>
  <c r="T114" i="17"/>
  <c r="S114" i="17"/>
  <c r="R114" i="17"/>
  <c r="Q114" i="17"/>
  <c r="AE113" i="17"/>
  <c r="AD113" i="17"/>
  <c r="AC113" i="17"/>
  <c r="AB113" i="17"/>
  <c r="AA113" i="17"/>
  <c r="Z113" i="17"/>
  <c r="Y113" i="17"/>
  <c r="X113" i="17"/>
  <c r="W113" i="17"/>
  <c r="V113" i="17"/>
  <c r="U113" i="17"/>
  <c r="T113" i="17"/>
  <c r="S113" i="17"/>
  <c r="R113" i="17"/>
  <c r="Q113" i="17"/>
  <c r="AE112" i="17"/>
  <c r="AD112" i="17"/>
  <c r="AC112" i="17"/>
  <c r="AB112" i="17"/>
  <c r="AA112" i="17"/>
  <c r="Z112" i="17"/>
  <c r="Y112" i="17"/>
  <c r="X112" i="17"/>
  <c r="W112" i="17"/>
  <c r="V112" i="17"/>
  <c r="U112" i="17"/>
  <c r="T112" i="17"/>
  <c r="S112" i="17"/>
  <c r="R112" i="17"/>
  <c r="Q112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AE103" i="17"/>
  <c r="AD103" i="17"/>
  <c r="AC103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AE102" i="17"/>
  <c r="AD102" i="17"/>
  <c r="AC102" i="17"/>
  <c r="AB102" i="17"/>
  <c r="AA102" i="17"/>
  <c r="Z102" i="17"/>
  <c r="Y102" i="17"/>
  <c r="X102" i="17"/>
  <c r="W102" i="17"/>
  <c r="V102" i="17"/>
  <c r="U102" i="17"/>
  <c r="T102" i="17"/>
  <c r="S102" i="17"/>
  <c r="R102" i="17"/>
  <c r="Q102" i="17"/>
  <c r="AE101" i="17"/>
  <c r="AD101" i="17"/>
  <c r="AC101" i="17"/>
  <c r="AB101" i="17"/>
  <c r="AA101" i="17"/>
  <c r="Z101" i="17"/>
  <c r="Y101" i="17"/>
  <c r="X101" i="17"/>
  <c r="W101" i="17"/>
  <c r="V101" i="17"/>
  <c r="U101" i="17"/>
  <c r="T101" i="17"/>
  <c r="S101" i="17"/>
  <c r="R101" i="17"/>
  <c r="Q101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AE94" i="17"/>
  <c r="AD94" i="17"/>
  <c r="AC94" i="17"/>
  <c r="AB94" i="17"/>
  <c r="AA94" i="17"/>
  <c r="Z94" i="17"/>
  <c r="Y94" i="17"/>
  <c r="Q94" i="17"/>
  <c r="AE93" i="17"/>
  <c r="AD93" i="17"/>
  <c r="AC93" i="17"/>
  <c r="AB93" i="17"/>
  <c r="AA93" i="17"/>
  <c r="Z93" i="17"/>
  <c r="Y93" i="17"/>
  <c r="Q93" i="17"/>
  <c r="AE92" i="17"/>
  <c r="AD92" i="17"/>
  <c r="AC92" i="17"/>
  <c r="AB92" i="17"/>
  <c r="AA92" i="17"/>
  <c r="Z92" i="17"/>
  <c r="Y92" i="17"/>
  <c r="Q92" i="17"/>
  <c r="AE91" i="17"/>
  <c r="AD91" i="17"/>
  <c r="AC91" i="17"/>
  <c r="AB91" i="17"/>
  <c r="AA91" i="17"/>
  <c r="Z91" i="17"/>
  <c r="Y91" i="17"/>
  <c r="Q91" i="17"/>
  <c r="AE90" i="17"/>
  <c r="AD90" i="17"/>
  <c r="AC90" i="17"/>
  <c r="AB90" i="17"/>
  <c r="AA90" i="17"/>
  <c r="Z90" i="17"/>
  <c r="Y90" i="17"/>
  <c r="Q90" i="17"/>
  <c r="AE89" i="17"/>
  <c r="AD89" i="17"/>
  <c r="AC89" i="17"/>
  <c r="AB89" i="17"/>
  <c r="AA89" i="17"/>
  <c r="Z89" i="17"/>
  <c r="Y89" i="17"/>
  <c r="Q89" i="17"/>
  <c r="AE88" i="17"/>
  <c r="AD88" i="17"/>
  <c r="AC88" i="17"/>
  <c r="AB88" i="17"/>
  <c r="AA88" i="17"/>
  <c r="Z88" i="17"/>
  <c r="Y88" i="17"/>
  <c r="Q88" i="17"/>
  <c r="AE87" i="17"/>
  <c r="AD87" i="17"/>
  <c r="AC87" i="17"/>
  <c r="AB87" i="17"/>
  <c r="AA87" i="17"/>
  <c r="Z87" i="17"/>
  <c r="Y87" i="17"/>
  <c r="Q87" i="17"/>
  <c r="AE86" i="17"/>
  <c r="AD86" i="17"/>
  <c r="AC86" i="17"/>
  <c r="AB86" i="17"/>
  <c r="AA86" i="17"/>
  <c r="Z86" i="17"/>
  <c r="Y86" i="17"/>
  <c r="Q86" i="17"/>
  <c r="AE85" i="17"/>
  <c r="AD85" i="17"/>
  <c r="AC85" i="17"/>
  <c r="AB85" i="17"/>
  <c r="AA85" i="17"/>
  <c r="Z85" i="17"/>
  <c r="Y85" i="17"/>
  <c r="Q85" i="17"/>
  <c r="AE84" i="17"/>
  <c r="BL73" i="7" s="1"/>
  <c r="AD84" i="17"/>
  <c r="BK73" i="7" s="1"/>
  <c r="AC84" i="17"/>
  <c r="AB84" i="17"/>
  <c r="AA84" i="17"/>
  <c r="Z84" i="17"/>
  <c r="Y84" i="17"/>
  <c r="BM73" i="7" s="1"/>
  <c r="Q84" i="17"/>
  <c r="BN73" i="7" s="1"/>
  <c r="AE83" i="17"/>
  <c r="BL72" i="7" s="1"/>
  <c r="AD83" i="17"/>
  <c r="BK72" i="7" s="1"/>
  <c r="AC83" i="17"/>
  <c r="AB83" i="17"/>
  <c r="AA83" i="17"/>
  <c r="Z83" i="17"/>
  <c r="Y83" i="17"/>
  <c r="BM72" i="7" s="1"/>
  <c r="Q83" i="17"/>
  <c r="BN72" i="7" s="1"/>
  <c r="AE82" i="17"/>
  <c r="BL71" i="7" s="1"/>
  <c r="AD82" i="17"/>
  <c r="BK71" i="7" s="1"/>
  <c r="AC82" i="17"/>
  <c r="AB82" i="17"/>
  <c r="BJ71" i="7" s="1"/>
  <c r="AA82" i="17"/>
  <c r="Z82" i="17"/>
  <c r="Y82" i="17"/>
  <c r="BM71" i="7" s="1"/>
  <c r="Q82" i="17"/>
  <c r="BN71" i="7" s="1"/>
  <c r="AE81" i="17"/>
  <c r="BL70" i="7" s="1"/>
  <c r="AD81" i="17"/>
  <c r="BK70" i="7" s="1"/>
  <c r="AC81" i="17"/>
  <c r="AB81" i="17"/>
  <c r="AA81" i="17"/>
  <c r="Z81" i="17"/>
  <c r="Y81" i="17"/>
  <c r="BM70" i="7" s="1"/>
  <c r="Q81" i="17"/>
  <c r="BN70" i="7" s="1"/>
  <c r="AE80" i="17"/>
  <c r="BL69" i="7" s="1"/>
  <c r="AD80" i="17"/>
  <c r="BK69" i="7" s="1"/>
  <c r="AC80" i="17"/>
  <c r="AB80" i="17"/>
  <c r="AA80" i="17"/>
  <c r="Z80" i="17"/>
  <c r="BI69" i="7" s="1"/>
  <c r="Y80" i="17"/>
  <c r="BM69" i="7" s="1"/>
  <c r="Q80" i="17"/>
  <c r="BN69" i="7" s="1"/>
  <c r="AE79" i="17"/>
  <c r="BL68" i="7" s="1"/>
  <c r="AD79" i="17"/>
  <c r="BK68" i="7" s="1"/>
  <c r="AC79" i="17"/>
  <c r="AB79" i="17"/>
  <c r="BJ68" i="7" s="1"/>
  <c r="AA79" i="17"/>
  <c r="Z79" i="17"/>
  <c r="Y79" i="17"/>
  <c r="BM68" i="7" s="1"/>
  <c r="Q79" i="17"/>
  <c r="BN68" i="7" s="1"/>
  <c r="AE78" i="17"/>
  <c r="BL67" i="7" s="1"/>
  <c r="AD78" i="17"/>
  <c r="BK67" i="7" s="1"/>
  <c r="AC78" i="17"/>
  <c r="AB78" i="17"/>
  <c r="AA78" i="17"/>
  <c r="Z78" i="17"/>
  <c r="Y78" i="17"/>
  <c r="BM67" i="7" s="1"/>
  <c r="Q78" i="17"/>
  <c r="BN67" i="7" s="1"/>
  <c r="AE77" i="17"/>
  <c r="BL66" i="7" s="1"/>
  <c r="AD77" i="17"/>
  <c r="BK66" i="7" s="1"/>
  <c r="AC77" i="17"/>
  <c r="AB77" i="17"/>
  <c r="BJ66" i="7" s="1"/>
  <c r="AA77" i="17"/>
  <c r="Z77" i="17"/>
  <c r="BI66" i="7" s="1"/>
  <c r="Y77" i="17"/>
  <c r="BM66" i="7" s="1"/>
  <c r="Q77" i="17"/>
  <c r="BN66" i="7" s="1"/>
  <c r="AE76" i="17"/>
  <c r="BL65" i="7" s="1"/>
  <c r="AD76" i="17"/>
  <c r="BK65" i="7" s="1"/>
  <c r="AC76" i="17"/>
  <c r="AB76" i="17"/>
  <c r="AA76" i="17"/>
  <c r="Z76" i="17"/>
  <c r="Y76" i="17"/>
  <c r="BM65" i="7" s="1"/>
  <c r="Q76" i="17"/>
  <c r="BN65" i="7" s="1"/>
  <c r="AE75" i="17"/>
  <c r="BL64" i="7" s="1"/>
  <c r="AD75" i="17"/>
  <c r="BK64" i="7" s="1"/>
  <c r="AC75" i="17"/>
  <c r="AB75" i="17"/>
  <c r="AA75" i="17"/>
  <c r="Z75" i="17"/>
  <c r="BI64" i="7" s="1"/>
  <c r="Y75" i="17"/>
  <c r="BM64" i="7" s="1"/>
  <c r="Q75" i="17"/>
  <c r="BN64" i="7" s="1"/>
  <c r="AE74" i="17"/>
  <c r="BL63" i="7" s="1"/>
  <c r="AD74" i="17"/>
  <c r="BK63" i="7" s="1"/>
  <c r="AC74" i="17"/>
  <c r="AB74" i="17"/>
  <c r="BJ63" i="7" s="1"/>
  <c r="AA74" i="17"/>
  <c r="Z74" i="17"/>
  <c r="Y74" i="17"/>
  <c r="BM63" i="7" s="1"/>
  <c r="Q74" i="17"/>
  <c r="BN63" i="7" s="1"/>
  <c r="AE73" i="17"/>
  <c r="BL62" i="7" s="1"/>
  <c r="AD73" i="17"/>
  <c r="BK62" i="7" s="1"/>
  <c r="AC73" i="17"/>
  <c r="AB73" i="17"/>
  <c r="AA73" i="17"/>
  <c r="Z73" i="17"/>
  <c r="Y73" i="17"/>
  <c r="BM62" i="7" s="1"/>
  <c r="Q73" i="17"/>
  <c r="BN62" i="7" s="1"/>
  <c r="AE72" i="17"/>
  <c r="BL61" i="7" s="1"/>
  <c r="AD72" i="17"/>
  <c r="BK61" i="7" s="1"/>
  <c r="AC72" i="17"/>
  <c r="AB72" i="17"/>
  <c r="AA72" i="17"/>
  <c r="Z72" i="17"/>
  <c r="BI61" i="7" s="1"/>
  <c r="Y72" i="17"/>
  <c r="BM61" i="7" s="1"/>
  <c r="Q72" i="17"/>
  <c r="BN61" i="7" s="1"/>
  <c r="AE71" i="17"/>
  <c r="BL60" i="7" s="1"/>
  <c r="AD71" i="17"/>
  <c r="BK60" i="7" s="1"/>
  <c r="AC71" i="17"/>
  <c r="AB71" i="17"/>
  <c r="BJ60" i="7" s="1"/>
  <c r="AA71" i="17"/>
  <c r="Z71" i="17"/>
  <c r="Y71" i="17"/>
  <c r="BM60" i="7" s="1"/>
  <c r="Q71" i="17"/>
  <c r="BN60" i="7" s="1"/>
  <c r="AE70" i="17"/>
  <c r="BL59" i="7" s="1"/>
  <c r="AD70" i="17"/>
  <c r="BK59" i="7" s="1"/>
  <c r="AC70" i="17"/>
  <c r="AB70" i="17"/>
  <c r="AA70" i="17"/>
  <c r="Z70" i="17"/>
  <c r="Y70" i="17"/>
  <c r="BM59" i="7" s="1"/>
  <c r="Q70" i="17"/>
  <c r="BN59" i="7" s="1"/>
  <c r="AE69" i="17"/>
  <c r="BL58" i="7" s="1"/>
  <c r="AD69" i="17"/>
  <c r="BK58" i="7" s="1"/>
  <c r="AC69" i="17"/>
  <c r="AB69" i="17"/>
  <c r="BJ58" i="7" s="1"/>
  <c r="AA69" i="17"/>
  <c r="Z69" i="17"/>
  <c r="BI58" i="7" s="1"/>
  <c r="Y69" i="17"/>
  <c r="BM58" i="7" s="1"/>
  <c r="Q69" i="17"/>
  <c r="BN58" i="7" s="1"/>
  <c r="AE68" i="17"/>
  <c r="BL57" i="7" s="1"/>
  <c r="AD68" i="17"/>
  <c r="BK57" i="7" s="1"/>
  <c r="AC68" i="17"/>
  <c r="AB68" i="17"/>
  <c r="AA68" i="17"/>
  <c r="Z68" i="17"/>
  <c r="Y68" i="17"/>
  <c r="BM57" i="7" s="1"/>
  <c r="Q68" i="17"/>
  <c r="BN57" i="7" s="1"/>
  <c r="AE67" i="17"/>
  <c r="BL56" i="7" s="1"/>
  <c r="AD67" i="17"/>
  <c r="BK56" i="7" s="1"/>
  <c r="AC67" i="17"/>
  <c r="AB67" i="17"/>
  <c r="AA67" i="17"/>
  <c r="Z67" i="17"/>
  <c r="BI56" i="7" s="1"/>
  <c r="Y67" i="17"/>
  <c r="BM56" i="7" s="1"/>
  <c r="Q67" i="17"/>
  <c r="BN56" i="7" s="1"/>
  <c r="AE66" i="17"/>
  <c r="BL55" i="7" s="1"/>
  <c r="AD66" i="17"/>
  <c r="BK55" i="7" s="1"/>
  <c r="AC66" i="17"/>
  <c r="AB66" i="17"/>
  <c r="BJ55" i="7" s="1"/>
  <c r="AA66" i="17"/>
  <c r="Z66" i="17"/>
  <c r="Y66" i="17"/>
  <c r="BM55" i="7" s="1"/>
  <c r="Q66" i="17"/>
  <c r="BN55" i="7" s="1"/>
  <c r="AE65" i="17"/>
  <c r="BL54" i="7" s="1"/>
  <c r="AD65" i="17"/>
  <c r="BK54" i="7" s="1"/>
  <c r="AC65" i="17"/>
  <c r="AB65" i="17"/>
  <c r="AA65" i="17"/>
  <c r="Z65" i="17"/>
  <c r="Y65" i="17"/>
  <c r="BM54" i="7" s="1"/>
  <c r="Q65" i="17"/>
  <c r="BN54" i="7" s="1"/>
  <c r="AE64" i="17"/>
  <c r="BL53" i="7" s="1"/>
  <c r="AD64" i="17"/>
  <c r="BK53" i="7" s="1"/>
  <c r="AC64" i="17"/>
  <c r="AB64" i="17"/>
  <c r="AA64" i="17"/>
  <c r="Z64" i="17"/>
  <c r="BI53" i="7" s="1"/>
  <c r="Y64" i="17"/>
  <c r="BM53" i="7" s="1"/>
  <c r="Q64" i="17"/>
  <c r="BN53" i="7" s="1"/>
  <c r="AE63" i="17"/>
  <c r="BL52" i="7" s="1"/>
  <c r="AD63" i="17"/>
  <c r="BK52" i="7" s="1"/>
  <c r="AC63" i="17"/>
  <c r="AB63" i="17"/>
  <c r="AA63" i="17"/>
  <c r="Z63" i="17"/>
  <c r="Y63" i="17"/>
  <c r="BM52" i="7" s="1"/>
  <c r="Q63" i="17"/>
  <c r="BN52" i="7" s="1"/>
  <c r="AE62" i="17"/>
  <c r="BL51" i="7" s="1"/>
  <c r="AD62" i="17"/>
  <c r="BK51" i="7" s="1"/>
  <c r="AC62" i="17"/>
  <c r="AB62" i="17"/>
  <c r="AA62" i="17"/>
  <c r="Z62" i="17"/>
  <c r="BI51" i="7" s="1"/>
  <c r="Y62" i="17"/>
  <c r="BM51" i="7" s="1"/>
  <c r="Q62" i="17"/>
  <c r="BN51" i="7" s="1"/>
  <c r="AE61" i="17"/>
  <c r="BL50" i="7" s="1"/>
  <c r="AD61" i="17"/>
  <c r="BK50" i="7" s="1"/>
  <c r="AC61" i="17"/>
  <c r="AB61" i="17"/>
  <c r="BJ50" i="7" s="1"/>
  <c r="AA61" i="17"/>
  <c r="Z61" i="17"/>
  <c r="Y61" i="17"/>
  <c r="BM50" i="7" s="1"/>
  <c r="Q61" i="17"/>
  <c r="BN50" i="7" s="1"/>
  <c r="AE60" i="17"/>
  <c r="BL49" i="7" s="1"/>
  <c r="AD60" i="17"/>
  <c r="BK49" i="7" s="1"/>
  <c r="AC60" i="17"/>
  <c r="AB60" i="17"/>
  <c r="AA60" i="17"/>
  <c r="Z60" i="17"/>
  <c r="Y60" i="17"/>
  <c r="BM49" i="7" s="1"/>
  <c r="Q60" i="17"/>
  <c r="BN49" i="7" s="1"/>
  <c r="AE59" i="17"/>
  <c r="BL48" i="7" s="1"/>
  <c r="AD59" i="17"/>
  <c r="BK48" i="7" s="1"/>
  <c r="AC59" i="17"/>
  <c r="AB59" i="17"/>
  <c r="AA59" i="17"/>
  <c r="Z59" i="17"/>
  <c r="BI48" i="7" s="1"/>
  <c r="Y59" i="17"/>
  <c r="BM48" i="7" s="1"/>
  <c r="Q59" i="17"/>
  <c r="BN48" i="7" s="1"/>
  <c r="AE58" i="17"/>
  <c r="BL47" i="7" s="1"/>
  <c r="AD58" i="17"/>
  <c r="BK47" i="7" s="1"/>
  <c r="AC58" i="17"/>
  <c r="AB58" i="17"/>
  <c r="AA58" i="17"/>
  <c r="Z58" i="17"/>
  <c r="Y58" i="17"/>
  <c r="BM47" i="7" s="1"/>
  <c r="Q58" i="17"/>
  <c r="BN47" i="7" s="1"/>
  <c r="AE57" i="17"/>
  <c r="BL46" i="7" s="1"/>
  <c r="AD57" i="17"/>
  <c r="BK46" i="7" s="1"/>
  <c r="AC57" i="17"/>
  <c r="AB57" i="17"/>
  <c r="AA57" i="17"/>
  <c r="Z57" i="17"/>
  <c r="Y57" i="17"/>
  <c r="BM46" i="7" s="1"/>
  <c r="Q57" i="17"/>
  <c r="BN46" i="7" s="1"/>
  <c r="AE56" i="17"/>
  <c r="BL45" i="7" s="1"/>
  <c r="AD56" i="17"/>
  <c r="BK45" i="7" s="1"/>
  <c r="AC56" i="17"/>
  <c r="AB56" i="17"/>
  <c r="BJ45" i="7" s="1"/>
  <c r="AA56" i="17"/>
  <c r="Z56" i="17"/>
  <c r="Y56" i="17"/>
  <c r="BM45" i="7" s="1"/>
  <c r="Q56" i="17"/>
  <c r="BN45" i="7" s="1"/>
  <c r="AE55" i="17"/>
  <c r="BL44" i="7" s="1"/>
  <c r="AD55" i="17"/>
  <c r="BK44" i="7" s="1"/>
  <c r="AC55" i="17"/>
  <c r="AB55" i="17"/>
  <c r="AA55" i="17"/>
  <c r="Z55" i="17"/>
  <c r="Y55" i="17"/>
  <c r="BM44" i="7" s="1"/>
  <c r="Q55" i="17"/>
  <c r="BN44" i="7" s="1"/>
  <c r="AE54" i="17"/>
  <c r="BL43" i="7" s="1"/>
  <c r="AD54" i="17"/>
  <c r="BK43" i="7" s="1"/>
  <c r="AC54" i="17"/>
  <c r="AB54" i="17"/>
  <c r="AA54" i="17"/>
  <c r="Z54" i="17"/>
  <c r="BI43" i="7" s="1"/>
  <c r="Y54" i="17"/>
  <c r="BM43" i="7" s="1"/>
  <c r="Q54" i="17"/>
  <c r="BN43" i="7" s="1"/>
  <c r="AE53" i="17"/>
  <c r="BL42" i="7" s="1"/>
  <c r="AD53" i="17"/>
  <c r="BK42" i="7" s="1"/>
  <c r="AC53" i="17"/>
  <c r="AB53" i="17"/>
  <c r="BJ42" i="7" s="1"/>
  <c r="AA53" i="17"/>
  <c r="Z53" i="17"/>
  <c r="Y53" i="17"/>
  <c r="BM42" i="7" s="1"/>
  <c r="Q53" i="17"/>
  <c r="BN42" i="7" s="1"/>
  <c r="AE52" i="17"/>
  <c r="BL41" i="7" s="1"/>
  <c r="AD52" i="17"/>
  <c r="BK41" i="7" s="1"/>
  <c r="AC52" i="17"/>
  <c r="AB52" i="17"/>
  <c r="AA52" i="17"/>
  <c r="Z52" i="17"/>
  <c r="Y52" i="17"/>
  <c r="BM41" i="7" s="1"/>
  <c r="Q52" i="17"/>
  <c r="BN41" i="7" s="1"/>
  <c r="AE51" i="17"/>
  <c r="BL40" i="7" s="1"/>
  <c r="AD51" i="17"/>
  <c r="BK40" i="7" s="1"/>
  <c r="AC51" i="17"/>
  <c r="AB51" i="17"/>
  <c r="AA51" i="17"/>
  <c r="Z51" i="17"/>
  <c r="BI40" i="7" s="1"/>
  <c r="Y51" i="17"/>
  <c r="BM40" i="7" s="1"/>
  <c r="Q51" i="17"/>
  <c r="BN40" i="7" s="1"/>
  <c r="AE50" i="17"/>
  <c r="BL39" i="7" s="1"/>
  <c r="AD50" i="17"/>
  <c r="BK39" i="7" s="1"/>
  <c r="AC50" i="17"/>
  <c r="AB50" i="17"/>
  <c r="AA50" i="17"/>
  <c r="Z50" i="17"/>
  <c r="Y50" i="17"/>
  <c r="BM39" i="7" s="1"/>
  <c r="Q50" i="17"/>
  <c r="BN39" i="7" s="1"/>
  <c r="AE49" i="17"/>
  <c r="BL38" i="7" s="1"/>
  <c r="AD49" i="17"/>
  <c r="BK38" i="7" s="1"/>
  <c r="AC49" i="17"/>
  <c r="AB49" i="17"/>
  <c r="AA49" i="17"/>
  <c r="Z49" i="17"/>
  <c r="Y49" i="17"/>
  <c r="BM38" i="7" s="1"/>
  <c r="Q49" i="17"/>
  <c r="BN38" i="7" s="1"/>
  <c r="AE48" i="17"/>
  <c r="BL37" i="7" s="1"/>
  <c r="AD48" i="17"/>
  <c r="BK37" i="7" s="1"/>
  <c r="AC48" i="17"/>
  <c r="AB48" i="17"/>
  <c r="BJ37" i="7" s="1"/>
  <c r="AA48" i="17"/>
  <c r="Z48" i="17"/>
  <c r="Y48" i="17"/>
  <c r="BM37" i="7" s="1"/>
  <c r="Q48" i="17"/>
  <c r="BN37" i="7" s="1"/>
  <c r="AE47" i="17"/>
  <c r="BL36" i="7" s="1"/>
  <c r="AD47" i="17"/>
  <c r="BK36" i="7" s="1"/>
  <c r="AC47" i="17"/>
  <c r="AB47" i="17"/>
  <c r="AA47" i="17"/>
  <c r="Z47" i="17"/>
  <c r="Y47" i="17"/>
  <c r="BM36" i="7" s="1"/>
  <c r="Q47" i="17"/>
  <c r="BN36" i="7" s="1"/>
  <c r="AE46" i="17"/>
  <c r="BL35" i="7" s="1"/>
  <c r="AD46" i="17"/>
  <c r="BK35" i="7" s="1"/>
  <c r="AC46" i="17"/>
  <c r="AB46" i="17"/>
  <c r="AA46" i="17"/>
  <c r="Z46" i="17"/>
  <c r="BI35" i="7" s="1"/>
  <c r="Y46" i="17"/>
  <c r="BM35" i="7" s="1"/>
  <c r="Q46" i="17"/>
  <c r="BN35" i="7" s="1"/>
  <c r="AE45" i="17"/>
  <c r="BL34" i="7" s="1"/>
  <c r="AD45" i="17"/>
  <c r="BK34" i="7" s="1"/>
  <c r="AC45" i="17"/>
  <c r="AB45" i="17"/>
  <c r="BJ34" i="7" s="1"/>
  <c r="AA45" i="17"/>
  <c r="Z45" i="17"/>
  <c r="BI34" i="7" s="1"/>
  <c r="Y45" i="17"/>
  <c r="BM34" i="7" s="1"/>
  <c r="Q45" i="17"/>
  <c r="BN34" i="7" s="1"/>
  <c r="AE44" i="17"/>
  <c r="BL33" i="7" s="1"/>
  <c r="AD44" i="17"/>
  <c r="BK33" i="7" s="1"/>
  <c r="AC44" i="17"/>
  <c r="AB44" i="17"/>
  <c r="AA44" i="17"/>
  <c r="Z44" i="17"/>
  <c r="Y44" i="17"/>
  <c r="BM33" i="7" s="1"/>
  <c r="Q44" i="17"/>
  <c r="BN33" i="7" s="1"/>
  <c r="AE43" i="17"/>
  <c r="BL32" i="7" s="1"/>
  <c r="AD43" i="17"/>
  <c r="BK32" i="7" s="1"/>
  <c r="AC43" i="17"/>
  <c r="AB43" i="17"/>
  <c r="AA43" i="17"/>
  <c r="Z43" i="17"/>
  <c r="Y43" i="17"/>
  <c r="BM32" i="7" s="1"/>
  <c r="Q43" i="17"/>
  <c r="BN32" i="7" s="1"/>
  <c r="AE42" i="17"/>
  <c r="BL31" i="7" s="1"/>
  <c r="AD42" i="17"/>
  <c r="BK31" i="7" s="1"/>
  <c r="AC42" i="17"/>
  <c r="AB42" i="17"/>
  <c r="AA42" i="17"/>
  <c r="Z42" i="17"/>
  <c r="Y42" i="17"/>
  <c r="BM31" i="7" s="1"/>
  <c r="Q42" i="17"/>
  <c r="BN31" i="7" s="1"/>
  <c r="AE41" i="17"/>
  <c r="BL30" i="7" s="1"/>
  <c r="AD41" i="17"/>
  <c r="BK30" i="7" s="1"/>
  <c r="AC41" i="17"/>
  <c r="AB41" i="17"/>
  <c r="AA41" i="17"/>
  <c r="Z41" i="17"/>
  <c r="Y41" i="17"/>
  <c r="BM30" i="7" s="1"/>
  <c r="Q41" i="17"/>
  <c r="BN30" i="7" s="1"/>
  <c r="AE40" i="17"/>
  <c r="BL29" i="7" s="1"/>
  <c r="AD40" i="17"/>
  <c r="BK29" i="7" s="1"/>
  <c r="AC40" i="17"/>
  <c r="AB40" i="17"/>
  <c r="BJ29" i="7" s="1"/>
  <c r="AA40" i="17"/>
  <c r="Z40" i="17"/>
  <c r="Y40" i="17"/>
  <c r="BM29" i="7" s="1"/>
  <c r="Q40" i="17"/>
  <c r="BN29" i="7" s="1"/>
  <c r="AE39" i="17"/>
  <c r="BL28" i="7" s="1"/>
  <c r="AD39" i="17"/>
  <c r="BK28" i="7" s="1"/>
  <c r="AC39" i="17"/>
  <c r="AB39" i="17"/>
  <c r="BJ28" i="7" s="1"/>
  <c r="AA39" i="17"/>
  <c r="Z39" i="17"/>
  <c r="Y39" i="17"/>
  <c r="BM28" i="7" s="1"/>
  <c r="Q39" i="17"/>
  <c r="BN28" i="7" s="1"/>
  <c r="AE38" i="17"/>
  <c r="BL27" i="7" s="1"/>
  <c r="AD38" i="17"/>
  <c r="BK27" i="7" s="1"/>
  <c r="AC38" i="17"/>
  <c r="AB38" i="17"/>
  <c r="AA38" i="17"/>
  <c r="Z38" i="17"/>
  <c r="BI27" i="7" s="1"/>
  <c r="Y38" i="17"/>
  <c r="BM27" i="7" s="1"/>
  <c r="Q38" i="17"/>
  <c r="BN27" i="7" s="1"/>
  <c r="AE37" i="17"/>
  <c r="BL26" i="7" s="1"/>
  <c r="AD37" i="17"/>
  <c r="BK26" i="7" s="1"/>
  <c r="AC37" i="17"/>
  <c r="AB37" i="17"/>
  <c r="BJ26" i="7" s="1"/>
  <c r="AA37" i="17"/>
  <c r="Z37" i="17"/>
  <c r="BI26" i="7" s="1"/>
  <c r="Y37" i="17"/>
  <c r="BM26" i="7" s="1"/>
  <c r="Q37" i="17"/>
  <c r="BN26" i="7" s="1"/>
  <c r="AE36" i="17"/>
  <c r="BL25" i="7" s="1"/>
  <c r="AD36" i="17"/>
  <c r="BK25" i="7" s="1"/>
  <c r="AC36" i="17"/>
  <c r="AB36" i="17"/>
  <c r="AA36" i="17"/>
  <c r="Z36" i="17"/>
  <c r="Y36" i="17"/>
  <c r="BM25" i="7" s="1"/>
  <c r="Q36" i="17"/>
  <c r="BN25" i="7" s="1"/>
  <c r="AE35" i="17"/>
  <c r="BL24" i="7" s="1"/>
  <c r="AD35" i="17"/>
  <c r="BK24" i="7" s="1"/>
  <c r="AC35" i="17"/>
  <c r="AB35" i="17"/>
  <c r="AA35" i="17"/>
  <c r="Z35" i="17"/>
  <c r="BI24" i="7" s="1"/>
  <c r="Y35" i="17"/>
  <c r="BM24" i="7" s="1"/>
  <c r="Q35" i="17"/>
  <c r="BN24" i="7" s="1"/>
  <c r="AE34" i="17"/>
  <c r="BL23" i="7" s="1"/>
  <c r="AD34" i="17"/>
  <c r="BK23" i="7" s="1"/>
  <c r="AC34" i="17"/>
  <c r="AB34" i="17"/>
  <c r="AA34" i="17"/>
  <c r="Z34" i="17"/>
  <c r="Y34" i="17"/>
  <c r="BM23" i="7" s="1"/>
  <c r="Q34" i="17"/>
  <c r="BN23" i="7" s="1"/>
  <c r="AE33" i="17"/>
  <c r="BL22" i="7" s="1"/>
  <c r="AD33" i="17"/>
  <c r="BK22" i="7" s="1"/>
  <c r="AC33" i="17"/>
  <c r="AB33" i="17"/>
  <c r="AA33" i="17"/>
  <c r="Z33" i="17"/>
  <c r="Y33" i="17"/>
  <c r="BM22" i="7" s="1"/>
  <c r="Q33" i="17"/>
  <c r="BN22" i="7" s="1"/>
  <c r="AE32" i="17"/>
  <c r="BL21" i="7" s="1"/>
  <c r="AD32" i="17"/>
  <c r="BK21" i="7" s="1"/>
  <c r="AC32" i="17"/>
  <c r="AB32" i="17"/>
  <c r="BJ21" i="7" s="1"/>
  <c r="AA32" i="17"/>
  <c r="Z32" i="17"/>
  <c r="Y32" i="17"/>
  <c r="BM21" i="7" s="1"/>
  <c r="Q32" i="17"/>
  <c r="BN21" i="7" s="1"/>
  <c r="AE31" i="17"/>
  <c r="BL20" i="7" s="1"/>
  <c r="AD31" i="17"/>
  <c r="BK20" i="7" s="1"/>
  <c r="AC31" i="17"/>
  <c r="AB31" i="17"/>
  <c r="BJ20" i="7" s="1"/>
  <c r="AA31" i="17"/>
  <c r="Z31" i="17"/>
  <c r="Y31" i="17"/>
  <c r="BM20" i="7" s="1"/>
  <c r="Q31" i="17"/>
  <c r="BN20" i="7" s="1"/>
  <c r="AE30" i="17"/>
  <c r="BL19" i="7" s="1"/>
  <c r="AD30" i="17"/>
  <c r="BK19" i="7" s="1"/>
  <c r="AC30" i="17"/>
  <c r="AB30" i="17"/>
  <c r="AA30" i="17"/>
  <c r="Z30" i="17"/>
  <c r="BI19" i="7" s="1"/>
  <c r="Y30" i="17"/>
  <c r="BM19" i="7" s="1"/>
  <c r="Q30" i="17"/>
  <c r="BN19" i="7" s="1"/>
  <c r="AE29" i="17"/>
  <c r="BL18" i="7" s="1"/>
  <c r="AD29" i="17"/>
  <c r="BK18" i="7" s="1"/>
  <c r="AC29" i="17"/>
  <c r="AB29" i="17"/>
  <c r="BJ18" i="7" s="1"/>
  <c r="AA29" i="17"/>
  <c r="Z29" i="17"/>
  <c r="BI18" i="7" s="1"/>
  <c r="Y29" i="17"/>
  <c r="BM18" i="7" s="1"/>
  <c r="Q29" i="17"/>
  <c r="BN18" i="7" s="1"/>
  <c r="AE28" i="17"/>
  <c r="BL17" i="7" s="1"/>
  <c r="AD28" i="17"/>
  <c r="BK17" i="7" s="1"/>
  <c r="AC28" i="17"/>
  <c r="AB28" i="17"/>
  <c r="AA28" i="17"/>
  <c r="Z28" i="17"/>
  <c r="Y28" i="17"/>
  <c r="BM17" i="7" s="1"/>
  <c r="Q28" i="17"/>
  <c r="BN17" i="7" s="1"/>
  <c r="AE27" i="17"/>
  <c r="BL16" i="7" s="1"/>
  <c r="AD27" i="17"/>
  <c r="BK16" i="7" s="1"/>
  <c r="AC27" i="17"/>
  <c r="AB27" i="17"/>
  <c r="AA27" i="17"/>
  <c r="Z27" i="17"/>
  <c r="BI16" i="7" s="1"/>
  <c r="Y27" i="17"/>
  <c r="BM16" i="7" s="1"/>
  <c r="Q27" i="17"/>
  <c r="BN16" i="7" s="1"/>
  <c r="AE26" i="17"/>
  <c r="BL15" i="7" s="1"/>
  <c r="AD26" i="17"/>
  <c r="BK15" i="7" s="1"/>
  <c r="AC26" i="17"/>
  <c r="AB26" i="17"/>
  <c r="AA26" i="17"/>
  <c r="Z26" i="17"/>
  <c r="Y26" i="17"/>
  <c r="BM15" i="7" s="1"/>
  <c r="Q26" i="17"/>
  <c r="BN15" i="7" s="1"/>
  <c r="AE25" i="17"/>
  <c r="BL14" i="7" s="1"/>
  <c r="AD25" i="17"/>
  <c r="BK14" i="7" s="1"/>
  <c r="AC25" i="17"/>
  <c r="AB25" i="17"/>
  <c r="AA25" i="17"/>
  <c r="Z25" i="17"/>
  <c r="Y25" i="17"/>
  <c r="BM14" i="7" s="1"/>
  <c r="Q25" i="17"/>
  <c r="BN14" i="7" s="1"/>
  <c r="AE24" i="17"/>
  <c r="BL13" i="7" s="1"/>
  <c r="AD24" i="17"/>
  <c r="BK13" i="7" s="1"/>
  <c r="AC24" i="17"/>
  <c r="AB24" i="17"/>
  <c r="BJ13" i="7" s="1"/>
  <c r="AA24" i="17"/>
  <c r="Z24" i="17"/>
  <c r="Y24" i="17"/>
  <c r="BM13" i="7" s="1"/>
  <c r="Q24" i="17"/>
  <c r="BN13" i="7" s="1"/>
  <c r="AE23" i="17"/>
  <c r="BL12" i="7" s="1"/>
  <c r="AD23" i="17"/>
  <c r="BK12" i="7" s="1"/>
  <c r="AC23" i="17"/>
  <c r="AB23" i="17"/>
  <c r="BJ12" i="7" s="1"/>
  <c r="AA23" i="17"/>
  <c r="Z23" i="17"/>
  <c r="Y23" i="17"/>
  <c r="BM12" i="7" s="1"/>
  <c r="Q23" i="17"/>
  <c r="BN12" i="7" s="1"/>
  <c r="AE22" i="17"/>
  <c r="BL11" i="7" s="1"/>
  <c r="AD22" i="17"/>
  <c r="BK11" i="7" s="1"/>
  <c r="AC22" i="17"/>
  <c r="AB22" i="17"/>
  <c r="AA22" i="17"/>
  <c r="Z22" i="17"/>
  <c r="BI11" i="7" s="1"/>
  <c r="Y22" i="17"/>
  <c r="BM11" i="7" s="1"/>
  <c r="Q22" i="17"/>
  <c r="BN11" i="7" s="1"/>
  <c r="AE21" i="17"/>
  <c r="BL10" i="7" s="1"/>
  <c r="AD21" i="17"/>
  <c r="BK10" i="7" s="1"/>
  <c r="AC21" i="17"/>
  <c r="AB21" i="17"/>
  <c r="BJ10" i="7" s="1"/>
  <c r="AA21" i="17"/>
  <c r="Z21" i="17"/>
  <c r="BI10" i="7" s="1"/>
  <c r="Y21" i="17"/>
  <c r="BM10" i="7" s="1"/>
  <c r="Q21" i="17"/>
  <c r="BN10" i="7" s="1"/>
  <c r="AE20" i="17"/>
  <c r="BL9" i="7" s="1"/>
  <c r="AD20" i="17"/>
  <c r="BK9" i="7" s="1"/>
  <c r="AC20" i="17"/>
  <c r="AB20" i="17"/>
  <c r="AA20" i="17"/>
  <c r="Z20" i="17"/>
  <c r="Y20" i="17"/>
  <c r="BM9" i="7" s="1"/>
  <c r="Q20" i="17"/>
  <c r="BN9" i="7" s="1"/>
  <c r="AE19" i="17"/>
  <c r="BL8" i="7" s="1"/>
  <c r="AD19" i="17"/>
  <c r="BK8" i="7" s="1"/>
  <c r="AC19" i="17"/>
  <c r="AB19" i="17"/>
  <c r="AA19" i="17"/>
  <c r="Z19" i="17"/>
  <c r="BI8" i="7" s="1"/>
  <c r="Y19" i="17"/>
  <c r="BM8" i="7" s="1"/>
  <c r="Q19" i="17"/>
  <c r="BN8" i="7" s="1"/>
  <c r="AE18" i="17"/>
  <c r="BL7" i="7" s="1"/>
  <c r="AD18" i="17"/>
  <c r="BK7" i="7" s="1"/>
  <c r="AC18" i="17"/>
  <c r="AB18" i="17"/>
  <c r="AA18" i="17"/>
  <c r="Z18" i="17"/>
  <c r="Y18" i="17"/>
  <c r="BM7" i="7" s="1"/>
  <c r="Q18" i="17"/>
  <c r="BN7" i="7" s="1"/>
  <c r="AE17" i="17"/>
  <c r="BL6" i="7" s="1"/>
  <c r="AD17" i="17"/>
  <c r="BK6" i="7" s="1"/>
  <c r="AC17" i="17"/>
  <c r="AB17" i="17"/>
  <c r="AA17" i="17"/>
  <c r="Z17" i="17"/>
  <c r="Y17" i="17"/>
  <c r="BM6" i="7" s="1"/>
  <c r="Q17" i="17"/>
  <c r="BN6" i="7" s="1"/>
  <c r="AE16" i="17"/>
  <c r="BL5" i="7" s="1"/>
  <c r="AD16" i="17"/>
  <c r="BK5" i="7" s="1"/>
  <c r="AC16" i="17"/>
  <c r="AB16" i="17"/>
  <c r="BJ5" i="7" s="1"/>
  <c r="AA16" i="17"/>
  <c r="Z16" i="17"/>
  <c r="Y16" i="17"/>
  <c r="BM5" i="7" s="1"/>
  <c r="Q16" i="17"/>
  <c r="BN5" i="7" s="1"/>
  <c r="AE15" i="17"/>
  <c r="BL4" i="7" s="1"/>
  <c r="AD15" i="17"/>
  <c r="BK4" i="7" s="1"/>
  <c r="AC15" i="17"/>
  <c r="AB15" i="17"/>
  <c r="BJ4" i="7" s="1"/>
  <c r="AA15" i="17"/>
  <c r="Z15" i="17"/>
  <c r="Y15" i="17"/>
  <c r="BM4" i="7" s="1"/>
  <c r="Q15" i="17"/>
  <c r="BN4" i="7" s="1"/>
  <c r="AE14" i="17"/>
  <c r="BL3" i="7" s="1"/>
  <c r="AD14" i="17"/>
  <c r="BK3" i="7" s="1"/>
  <c r="AC14" i="17"/>
  <c r="AB14" i="17"/>
  <c r="AA14" i="17"/>
  <c r="Z14" i="17"/>
  <c r="BI3" i="7" s="1"/>
  <c r="Y14" i="17"/>
  <c r="BM3" i="7" s="1"/>
  <c r="Q14" i="17"/>
  <c r="BN3" i="7" s="1"/>
  <c r="AE13" i="17"/>
  <c r="AD13" i="17"/>
  <c r="AC13" i="17"/>
  <c r="AB13" i="17"/>
  <c r="AA13" i="17"/>
  <c r="Z13" i="17"/>
  <c r="Y13" i="17"/>
  <c r="Q13" i="17"/>
  <c r="AE12" i="17"/>
  <c r="AD12" i="17"/>
  <c r="AC12" i="17"/>
  <c r="AB12" i="17"/>
  <c r="AA12" i="17"/>
  <c r="Z12" i="17"/>
  <c r="Y12" i="17"/>
  <c r="Q12" i="17"/>
  <c r="AE11" i="17"/>
  <c r="AD11" i="17"/>
  <c r="AC11" i="17"/>
  <c r="AB11" i="17"/>
  <c r="AA11" i="17"/>
  <c r="Z11" i="17"/>
  <c r="Y11" i="17"/>
  <c r="Q11" i="17"/>
  <c r="AE10" i="17"/>
  <c r="AD10" i="17"/>
  <c r="AC10" i="17"/>
  <c r="AB10" i="17"/>
  <c r="AA10" i="17"/>
  <c r="Z10" i="17"/>
  <c r="Y10" i="17"/>
  <c r="Q10" i="17"/>
  <c r="AE9" i="17"/>
  <c r="AD9" i="17"/>
  <c r="AC9" i="17"/>
  <c r="AB9" i="17"/>
  <c r="AA9" i="17"/>
  <c r="Z9" i="17"/>
  <c r="Y9" i="17"/>
  <c r="Q9" i="17"/>
  <c r="AE8" i="17"/>
  <c r="AD8" i="17"/>
  <c r="AC8" i="17"/>
  <c r="AB8" i="17"/>
  <c r="AA8" i="17"/>
  <c r="Z8" i="17"/>
  <c r="Y8" i="17"/>
  <c r="Q8" i="17"/>
  <c r="AE7" i="17"/>
  <c r="AD7" i="17"/>
  <c r="AC7" i="17"/>
  <c r="AB7" i="17"/>
  <c r="AA7" i="17"/>
  <c r="Z7" i="17"/>
  <c r="Y7" i="17"/>
  <c r="Q7" i="17"/>
  <c r="AE6" i="17"/>
  <c r="AD6" i="17"/>
  <c r="AC6" i="17"/>
  <c r="AB6" i="17"/>
  <c r="AA6" i="17"/>
  <c r="Z6" i="17"/>
  <c r="Y6" i="17"/>
  <c r="Q6" i="17"/>
  <c r="AE5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AE2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AE1" i="17"/>
  <c r="AD1" i="17"/>
  <c r="AC1" i="17"/>
  <c r="AB1" i="17"/>
  <c r="AA1" i="17"/>
  <c r="Z1" i="17"/>
  <c r="Y1" i="17"/>
  <c r="Q1" i="17"/>
  <c r="P358" i="17"/>
  <c r="P357" i="17"/>
  <c r="P356" i="17"/>
  <c r="P355" i="17"/>
  <c r="P354" i="17"/>
  <c r="P353" i="17"/>
  <c r="P352" i="17"/>
  <c r="P351" i="17"/>
  <c r="P350" i="17"/>
  <c r="P349" i="17"/>
  <c r="P348" i="17"/>
  <c r="P347" i="17"/>
  <c r="P346" i="17"/>
  <c r="P345" i="17"/>
  <c r="P344" i="17"/>
  <c r="P343" i="17"/>
  <c r="P342" i="17"/>
  <c r="P341" i="17"/>
  <c r="P340" i="17"/>
  <c r="P339" i="17"/>
  <c r="P338" i="17"/>
  <c r="P337" i="17"/>
  <c r="P336" i="17"/>
  <c r="P335" i="17"/>
  <c r="P334" i="17"/>
  <c r="P333" i="17"/>
  <c r="P332" i="17"/>
  <c r="P331" i="17"/>
  <c r="P330" i="17"/>
  <c r="P329" i="17"/>
  <c r="P328" i="17"/>
  <c r="P327" i="17"/>
  <c r="P326" i="17"/>
  <c r="P325" i="17"/>
  <c r="P324" i="17"/>
  <c r="P323" i="17"/>
  <c r="P322" i="17"/>
  <c r="P321" i="17"/>
  <c r="P320" i="17"/>
  <c r="P319" i="17"/>
  <c r="P318" i="17"/>
  <c r="P317" i="17"/>
  <c r="P316" i="17"/>
  <c r="P315" i="17"/>
  <c r="P314" i="17"/>
  <c r="P313" i="17"/>
  <c r="P312" i="17"/>
  <c r="P311" i="17"/>
  <c r="P310" i="17"/>
  <c r="P309" i="17"/>
  <c r="P308" i="17"/>
  <c r="P307" i="17"/>
  <c r="P306" i="17"/>
  <c r="P305" i="17"/>
  <c r="P304" i="17"/>
  <c r="P303" i="17"/>
  <c r="P302" i="17"/>
  <c r="P301" i="17"/>
  <c r="P300" i="17"/>
  <c r="P299" i="17"/>
  <c r="P298" i="17"/>
  <c r="P297" i="17"/>
  <c r="P296" i="17"/>
  <c r="P295" i="17"/>
  <c r="P294" i="17"/>
  <c r="P293" i="17"/>
  <c r="P292" i="17"/>
  <c r="P291" i="17"/>
  <c r="P290" i="17"/>
  <c r="P289" i="17"/>
  <c r="P288" i="17"/>
  <c r="P287" i="17"/>
  <c r="P286" i="17"/>
  <c r="P285" i="17"/>
  <c r="P284" i="17"/>
  <c r="P283" i="17"/>
  <c r="P282" i="17"/>
  <c r="P281" i="17"/>
  <c r="P280" i="17"/>
  <c r="P279" i="17"/>
  <c r="P278" i="17"/>
  <c r="P277" i="17"/>
  <c r="P276" i="17"/>
  <c r="P275" i="17"/>
  <c r="P274" i="17"/>
  <c r="P273" i="17"/>
  <c r="P272" i="17"/>
  <c r="P271" i="17"/>
  <c r="P270" i="17"/>
  <c r="P269" i="17"/>
  <c r="P268" i="17"/>
  <c r="P267" i="17"/>
  <c r="P266" i="17"/>
  <c r="P265" i="17"/>
  <c r="P264" i="17"/>
  <c r="P263" i="17"/>
  <c r="P262" i="17"/>
  <c r="P261" i="17"/>
  <c r="P260" i="17"/>
  <c r="P259" i="17"/>
  <c r="P258" i="17"/>
  <c r="P257" i="17"/>
  <c r="P256" i="17"/>
  <c r="P255" i="17"/>
  <c r="P254" i="17"/>
  <c r="P253" i="17"/>
  <c r="P252" i="17"/>
  <c r="P251" i="17"/>
  <c r="P250" i="17"/>
  <c r="P249" i="17"/>
  <c r="P248" i="17"/>
  <c r="P247" i="17"/>
  <c r="P246" i="17"/>
  <c r="P245" i="17"/>
  <c r="P244" i="17"/>
  <c r="P243" i="17"/>
  <c r="P242" i="17"/>
  <c r="P241" i="17"/>
  <c r="P240" i="17"/>
  <c r="P239" i="17"/>
  <c r="P238" i="17"/>
  <c r="P237" i="17"/>
  <c r="P236" i="17"/>
  <c r="P235" i="17"/>
  <c r="P234" i="17"/>
  <c r="P233" i="17"/>
  <c r="P232" i="17"/>
  <c r="P231" i="17"/>
  <c r="P230" i="17"/>
  <c r="P229" i="17"/>
  <c r="P228" i="17"/>
  <c r="P227" i="17"/>
  <c r="P226" i="17"/>
  <c r="P225" i="17"/>
  <c r="P224" i="17"/>
  <c r="P223" i="17"/>
  <c r="P222" i="17"/>
  <c r="P221" i="17"/>
  <c r="P220" i="17"/>
  <c r="P219" i="17"/>
  <c r="P218" i="17"/>
  <c r="P217" i="17"/>
  <c r="P216" i="17"/>
  <c r="P215" i="17"/>
  <c r="P214" i="17"/>
  <c r="P213" i="17"/>
  <c r="P212" i="17"/>
  <c r="P211" i="17"/>
  <c r="P210" i="17"/>
  <c r="P209" i="17"/>
  <c r="P208" i="17"/>
  <c r="P207" i="17"/>
  <c r="P206" i="17"/>
  <c r="P205" i="17"/>
  <c r="P204" i="17"/>
  <c r="P203" i="17"/>
  <c r="P202" i="17"/>
  <c r="P201" i="17"/>
  <c r="P200" i="17"/>
  <c r="P199" i="17"/>
  <c r="P198" i="17"/>
  <c r="P197" i="17"/>
  <c r="P196" i="17"/>
  <c r="P195" i="17"/>
  <c r="P194" i="17"/>
  <c r="P193" i="17"/>
  <c r="P192" i="17"/>
  <c r="P191" i="17"/>
  <c r="P190" i="17"/>
  <c r="P189" i="17"/>
  <c r="P188" i="17"/>
  <c r="P187" i="17"/>
  <c r="P186" i="17"/>
  <c r="P185" i="17"/>
  <c r="P184" i="17"/>
  <c r="P183" i="17"/>
  <c r="P182" i="17"/>
  <c r="P181" i="17"/>
  <c r="P180" i="17"/>
  <c r="P179" i="17"/>
  <c r="P178" i="17"/>
  <c r="P177" i="17"/>
  <c r="P176" i="17"/>
  <c r="P175" i="17"/>
  <c r="P174" i="17"/>
  <c r="P173" i="17"/>
  <c r="P172" i="17"/>
  <c r="P171" i="17"/>
  <c r="P170" i="17"/>
  <c r="P169" i="17"/>
  <c r="P168" i="17"/>
  <c r="P167" i="17"/>
  <c r="P166" i="17"/>
  <c r="P165" i="17"/>
  <c r="P164" i="17"/>
  <c r="P163" i="17"/>
  <c r="P162" i="17"/>
  <c r="P161" i="17"/>
  <c r="P160" i="17"/>
  <c r="P159" i="17"/>
  <c r="P158" i="17"/>
  <c r="P157" i="17"/>
  <c r="P156" i="17"/>
  <c r="P155" i="17"/>
  <c r="P154" i="17"/>
  <c r="P153" i="17"/>
  <c r="P152" i="17"/>
  <c r="P151" i="17"/>
  <c r="P150" i="17"/>
  <c r="P149" i="17"/>
  <c r="P148" i="17"/>
  <c r="P147" i="17"/>
  <c r="P146" i="17"/>
  <c r="P145" i="17"/>
  <c r="P144" i="17"/>
  <c r="P143" i="17"/>
  <c r="P142" i="17"/>
  <c r="P141" i="17"/>
  <c r="P140" i="17"/>
  <c r="P139" i="17"/>
  <c r="P138" i="17"/>
  <c r="P137" i="17"/>
  <c r="P136" i="17"/>
  <c r="P135" i="17"/>
  <c r="P134" i="17"/>
  <c r="P133" i="17"/>
  <c r="P132" i="17"/>
  <c r="P131" i="17"/>
  <c r="P130" i="17"/>
  <c r="P129" i="17"/>
  <c r="P128" i="17"/>
  <c r="P127" i="17"/>
  <c r="P126" i="17"/>
  <c r="P125" i="17"/>
  <c r="P124" i="17"/>
  <c r="P123" i="17"/>
  <c r="P122" i="17"/>
  <c r="P121" i="17"/>
  <c r="P120" i="17"/>
  <c r="P119" i="17"/>
  <c r="P118" i="17"/>
  <c r="P117" i="17"/>
  <c r="P116" i="17"/>
  <c r="P115" i="17"/>
  <c r="P114" i="17"/>
  <c r="P113" i="17"/>
  <c r="P112" i="17"/>
  <c r="P111" i="17"/>
  <c r="P110" i="17"/>
  <c r="P109" i="17"/>
  <c r="P108" i="17"/>
  <c r="P107" i="17"/>
  <c r="P106" i="17"/>
  <c r="P105" i="17"/>
  <c r="P104" i="17"/>
  <c r="P103" i="17"/>
  <c r="P102" i="17"/>
  <c r="P101" i="17"/>
  <c r="P100" i="17"/>
  <c r="P99" i="17"/>
  <c r="P98" i="17"/>
  <c r="P97" i="17"/>
  <c r="P96" i="17"/>
  <c r="P95" i="17"/>
  <c r="P94" i="17"/>
  <c r="P93" i="17"/>
  <c r="P92" i="17"/>
  <c r="P91" i="17"/>
  <c r="P90" i="17"/>
  <c r="P89" i="17"/>
  <c r="P88" i="17"/>
  <c r="P87" i="17"/>
  <c r="P86" i="17"/>
  <c r="P85" i="17"/>
  <c r="P84" i="17"/>
  <c r="BA73" i="7" s="1"/>
  <c r="P83" i="17"/>
  <c r="BA72" i="7" s="1"/>
  <c r="P82" i="17"/>
  <c r="BA71" i="7" s="1"/>
  <c r="P81" i="17"/>
  <c r="BA70" i="7" s="1"/>
  <c r="P80" i="17"/>
  <c r="BA69" i="7" s="1"/>
  <c r="P79" i="17"/>
  <c r="BA68" i="7" s="1"/>
  <c r="P78" i="17"/>
  <c r="BA67" i="7" s="1"/>
  <c r="P77" i="17"/>
  <c r="BA66" i="7" s="1"/>
  <c r="P76" i="17"/>
  <c r="BA65" i="7" s="1"/>
  <c r="P75" i="17"/>
  <c r="BA64" i="7" s="1"/>
  <c r="P74" i="17"/>
  <c r="BA63" i="7" s="1"/>
  <c r="P73" i="17"/>
  <c r="BA62" i="7" s="1"/>
  <c r="P72" i="17"/>
  <c r="BA61" i="7" s="1"/>
  <c r="P71" i="17"/>
  <c r="BA60" i="7" s="1"/>
  <c r="P70" i="17"/>
  <c r="BA59" i="7" s="1"/>
  <c r="P69" i="17"/>
  <c r="BA58" i="7" s="1"/>
  <c r="P68" i="17"/>
  <c r="BA57" i="7" s="1"/>
  <c r="P67" i="17"/>
  <c r="BA56" i="7" s="1"/>
  <c r="P66" i="17"/>
  <c r="BA55" i="7" s="1"/>
  <c r="P65" i="17"/>
  <c r="BA54" i="7" s="1"/>
  <c r="P64" i="17"/>
  <c r="BA53" i="7" s="1"/>
  <c r="P63" i="17"/>
  <c r="BA52" i="7" s="1"/>
  <c r="P62" i="17"/>
  <c r="BA51" i="7" s="1"/>
  <c r="P61" i="17"/>
  <c r="BA50" i="7" s="1"/>
  <c r="P60" i="17"/>
  <c r="BA49" i="7" s="1"/>
  <c r="P59" i="17"/>
  <c r="BA48" i="7" s="1"/>
  <c r="P58" i="17"/>
  <c r="BA47" i="7" s="1"/>
  <c r="P57" i="17"/>
  <c r="BA46" i="7" s="1"/>
  <c r="P56" i="17"/>
  <c r="BA45" i="7" s="1"/>
  <c r="P55" i="17"/>
  <c r="BA44" i="7" s="1"/>
  <c r="P54" i="17"/>
  <c r="BA43" i="7" s="1"/>
  <c r="P53" i="17"/>
  <c r="BA42" i="7" s="1"/>
  <c r="P52" i="17"/>
  <c r="BA41" i="7" s="1"/>
  <c r="P51" i="17"/>
  <c r="BA40" i="7" s="1"/>
  <c r="P50" i="17"/>
  <c r="BA39" i="7" s="1"/>
  <c r="P49" i="17"/>
  <c r="BA38" i="7" s="1"/>
  <c r="P48" i="17"/>
  <c r="BA37" i="7" s="1"/>
  <c r="P47" i="17"/>
  <c r="BA36" i="7" s="1"/>
  <c r="P46" i="17"/>
  <c r="BA35" i="7" s="1"/>
  <c r="P45" i="17"/>
  <c r="BA34" i="7" s="1"/>
  <c r="P44" i="17"/>
  <c r="BA33" i="7" s="1"/>
  <c r="P43" i="17"/>
  <c r="BA32" i="7" s="1"/>
  <c r="P42" i="17"/>
  <c r="BA31" i="7" s="1"/>
  <c r="P41" i="17"/>
  <c r="BA30" i="7" s="1"/>
  <c r="P40" i="17"/>
  <c r="BA29" i="7" s="1"/>
  <c r="P39" i="17"/>
  <c r="BA28" i="7" s="1"/>
  <c r="P38" i="17"/>
  <c r="BA27" i="7" s="1"/>
  <c r="P37" i="17"/>
  <c r="BA26" i="7" s="1"/>
  <c r="P36" i="17"/>
  <c r="BA25" i="7" s="1"/>
  <c r="P35" i="17"/>
  <c r="BA24" i="7" s="1"/>
  <c r="P34" i="17"/>
  <c r="BA23" i="7" s="1"/>
  <c r="P33" i="17"/>
  <c r="BA22" i="7" s="1"/>
  <c r="P32" i="17"/>
  <c r="BA21" i="7" s="1"/>
  <c r="P31" i="17"/>
  <c r="BA20" i="7" s="1"/>
  <c r="P30" i="17"/>
  <c r="BA19" i="7" s="1"/>
  <c r="P29" i="17"/>
  <c r="BA18" i="7" s="1"/>
  <c r="P28" i="17"/>
  <c r="BA17" i="7" s="1"/>
  <c r="P27" i="17"/>
  <c r="BA16" i="7" s="1"/>
  <c r="P26" i="17"/>
  <c r="BA15" i="7" s="1"/>
  <c r="P25" i="17"/>
  <c r="BA14" i="7" s="1"/>
  <c r="P24" i="17"/>
  <c r="BA13" i="7" s="1"/>
  <c r="P23" i="17"/>
  <c r="BA12" i="7" s="1"/>
  <c r="P22" i="17"/>
  <c r="BA11" i="7" s="1"/>
  <c r="P21" i="17"/>
  <c r="BA10" i="7" s="1"/>
  <c r="P20" i="17"/>
  <c r="BA9" i="7" s="1"/>
  <c r="P19" i="17"/>
  <c r="BA8" i="7" s="1"/>
  <c r="P18" i="17"/>
  <c r="BA7" i="7" s="1"/>
  <c r="P17" i="17"/>
  <c r="BA6" i="7" s="1"/>
  <c r="P16" i="17"/>
  <c r="BA5" i="7" s="1"/>
  <c r="P15" i="17"/>
  <c r="BA4" i="7" s="1"/>
  <c r="P14" i="17"/>
  <c r="BA3" i="7" s="1"/>
  <c r="P13" i="17"/>
  <c r="P12" i="17"/>
  <c r="P11" i="17"/>
  <c r="P10" i="17"/>
  <c r="P9" i="17"/>
  <c r="P8" i="17"/>
  <c r="P7" i="17"/>
  <c r="P6" i="17"/>
  <c r="P5" i="17"/>
  <c r="P4" i="17"/>
  <c r="P3" i="17"/>
  <c r="P2" i="17"/>
  <c r="P1" i="17"/>
  <c r="O358" i="17"/>
  <c r="N358" i="17"/>
  <c r="M358" i="17"/>
  <c r="L358" i="17"/>
  <c r="K358" i="17"/>
  <c r="O357" i="17"/>
  <c r="N357" i="17"/>
  <c r="M357" i="17"/>
  <c r="L357" i="17"/>
  <c r="K357" i="17"/>
  <c r="O356" i="17"/>
  <c r="N356" i="17"/>
  <c r="M356" i="17"/>
  <c r="L356" i="17"/>
  <c r="K356" i="17"/>
  <c r="O355" i="17"/>
  <c r="N355" i="17"/>
  <c r="M355" i="17"/>
  <c r="L355" i="17"/>
  <c r="K355" i="17"/>
  <c r="O354" i="17"/>
  <c r="N354" i="17"/>
  <c r="M354" i="17"/>
  <c r="L354" i="17"/>
  <c r="K354" i="17"/>
  <c r="O353" i="17"/>
  <c r="N353" i="17"/>
  <c r="M353" i="17"/>
  <c r="L353" i="17"/>
  <c r="K353" i="17"/>
  <c r="O352" i="17"/>
  <c r="N352" i="17"/>
  <c r="M352" i="17"/>
  <c r="L352" i="17"/>
  <c r="K352" i="17"/>
  <c r="O351" i="17"/>
  <c r="N351" i="17"/>
  <c r="M351" i="17"/>
  <c r="L351" i="17"/>
  <c r="K351" i="17"/>
  <c r="O350" i="17"/>
  <c r="N350" i="17"/>
  <c r="M350" i="17"/>
  <c r="L350" i="17"/>
  <c r="K350" i="17"/>
  <c r="O349" i="17"/>
  <c r="N349" i="17"/>
  <c r="M349" i="17"/>
  <c r="L349" i="17"/>
  <c r="K349" i="17"/>
  <c r="O348" i="17"/>
  <c r="N348" i="17"/>
  <c r="M348" i="17"/>
  <c r="L348" i="17"/>
  <c r="K348" i="17"/>
  <c r="O347" i="17"/>
  <c r="N347" i="17"/>
  <c r="M347" i="17"/>
  <c r="L347" i="17"/>
  <c r="K347" i="17"/>
  <c r="O346" i="17"/>
  <c r="N346" i="17"/>
  <c r="M346" i="17"/>
  <c r="L346" i="17"/>
  <c r="K346" i="17"/>
  <c r="O345" i="17"/>
  <c r="N345" i="17"/>
  <c r="M345" i="17"/>
  <c r="L345" i="17"/>
  <c r="K345" i="17"/>
  <c r="O344" i="17"/>
  <c r="N344" i="17"/>
  <c r="M344" i="17"/>
  <c r="L344" i="17"/>
  <c r="K344" i="17"/>
  <c r="O343" i="17"/>
  <c r="N343" i="17"/>
  <c r="M343" i="17"/>
  <c r="L343" i="17"/>
  <c r="K343" i="17"/>
  <c r="O342" i="17"/>
  <c r="N342" i="17"/>
  <c r="M342" i="17"/>
  <c r="L342" i="17"/>
  <c r="K342" i="17"/>
  <c r="O341" i="17"/>
  <c r="N341" i="17"/>
  <c r="M341" i="17"/>
  <c r="L341" i="17"/>
  <c r="K341" i="17"/>
  <c r="O340" i="17"/>
  <c r="N340" i="17"/>
  <c r="M340" i="17"/>
  <c r="L340" i="17"/>
  <c r="K340" i="17"/>
  <c r="O339" i="17"/>
  <c r="N339" i="17"/>
  <c r="M339" i="17"/>
  <c r="L339" i="17"/>
  <c r="K339" i="17"/>
  <c r="O338" i="17"/>
  <c r="N338" i="17"/>
  <c r="M338" i="17"/>
  <c r="L338" i="17"/>
  <c r="K338" i="17"/>
  <c r="O337" i="17"/>
  <c r="N337" i="17"/>
  <c r="M337" i="17"/>
  <c r="L337" i="17"/>
  <c r="K337" i="17"/>
  <c r="O336" i="17"/>
  <c r="N336" i="17"/>
  <c r="M336" i="17"/>
  <c r="L336" i="17"/>
  <c r="K336" i="17"/>
  <c r="O335" i="17"/>
  <c r="N335" i="17"/>
  <c r="M335" i="17"/>
  <c r="L335" i="17"/>
  <c r="K335" i="17"/>
  <c r="O334" i="17"/>
  <c r="N334" i="17"/>
  <c r="M334" i="17"/>
  <c r="L334" i="17"/>
  <c r="K334" i="17"/>
  <c r="O333" i="17"/>
  <c r="N333" i="17"/>
  <c r="M333" i="17"/>
  <c r="L333" i="17"/>
  <c r="K333" i="17"/>
  <c r="O332" i="17"/>
  <c r="N332" i="17"/>
  <c r="M332" i="17"/>
  <c r="L332" i="17"/>
  <c r="K332" i="17"/>
  <c r="O331" i="17"/>
  <c r="N331" i="17"/>
  <c r="M331" i="17"/>
  <c r="L331" i="17"/>
  <c r="K331" i="17"/>
  <c r="O330" i="17"/>
  <c r="N330" i="17"/>
  <c r="M330" i="17"/>
  <c r="L330" i="17"/>
  <c r="K330" i="17"/>
  <c r="O329" i="17"/>
  <c r="N329" i="17"/>
  <c r="M329" i="17"/>
  <c r="L329" i="17"/>
  <c r="K329" i="17"/>
  <c r="O328" i="17"/>
  <c r="N328" i="17"/>
  <c r="M328" i="17"/>
  <c r="L328" i="17"/>
  <c r="K328" i="17"/>
  <c r="O327" i="17"/>
  <c r="N327" i="17"/>
  <c r="M327" i="17"/>
  <c r="L327" i="17"/>
  <c r="K327" i="17"/>
  <c r="O326" i="17"/>
  <c r="N326" i="17"/>
  <c r="M326" i="17"/>
  <c r="L326" i="17"/>
  <c r="K326" i="17"/>
  <c r="O325" i="17"/>
  <c r="N325" i="17"/>
  <c r="M325" i="17"/>
  <c r="L325" i="17"/>
  <c r="K325" i="17"/>
  <c r="O324" i="17"/>
  <c r="N324" i="17"/>
  <c r="M324" i="17"/>
  <c r="L324" i="17"/>
  <c r="K324" i="17"/>
  <c r="O323" i="17"/>
  <c r="N323" i="17"/>
  <c r="M323" i="17"/>
  <c r="L323" i="17"/>
  <c r="K323" i="17"/>
  <c r="O322" i="17"/>
  <c r="N322" i="17"/>
  <c r="M322" i="17"/>
  <c r="L322" i="17"/>
  <c r="K322" i="17"/>
  <c r="O321" i="17"/>
  <c r="N321" i="17"/>
  <c r="M321" i="17"/>
  <c r="L321" i="17"/>
  <c r="K321" i="17"/>
  <c r="O320" i="17"/>
  <c r="N320" i="17"/>
  <c r="M320" i="17"/>
  <c r="L320" i="17"/>
  <c r="K320" i="17"/>
  <c r="O319" i="17"/>
  <c r="N319" i="17"/>
  <c r="M319" i="17"/>
  <c r="L319" i="17"/>
  <c r="K319" i="17"/>
  <c r="O318" i="17"/>
  <c r="N318" i="17"/>
  <c r="M318" i="17"/>
  <c r="L318" i="17"/>
  <c r="K318" i="17"/>
  <c r="O317" i="17"/>
  <c r="N317" i="17"/>
  <c r="M317" i="17"/>
  <c r="L317" i="17"/>
  <c r="K317" i="17"/>
  <c r="O316" i="17"/>
  <c r="N316" i="17"/>
  <c r="M316" i="17"/>
  <c r="L316" i="17"/>
  <c r="K316" i="17"/>
  <c r="O315" i="17"/>
  <c r="N315" i="17"/>
  <c r="M315" i="17"/>
  <c r="L315" i="17"/>
  <c r="K315" i="17"/>
  <c r="O314" i="17"/>
  <c r="N314" i="17"/>
  <c r="M314" i="17"/>
  <c r="L314" i="17"/>
  <c r="K314" i="17"/>
  <c r="O313" i="17"/>
  <c r="N313" i="17"/>
  <c r="M313" i="17"/>
  <c r="L313" i="17"/>
  <c r="K313" i="17"/>
  <c r="O312" i="17"/>
  <c r="N312" i="17"/>
  <c r="M312" i="17"/>
  <c r="L312" i="17"/>
  <c r="K312" i="17"/>
  <c r="O311" i="17"/>
  <c r="N311" i="17"/>
  <c r="M311" i="17"/>
  <c r="L311" i="17"/>
  <c r="K311" i="17"/>
  <c r="O310" i="17"/>
  <c r="N310" i="17"/>
  <c r="M310" i="17"/>
  <c r="L310" i="17"/>
  <c r="K310" i="17"/>
  <c r="O309" i="17"/>
  <c r="N309" i="17"/>
  <c r="M309" i="17"/>
  <c r="L309" i="17"/>
  <c r="K309" i="17"/>
  <c r="O308" i="17"/>
  <c r="N308" i="17"/>
  <c r="M308" i="17"/>
  <c r="L308" i="17"/>
  <c r="K308" i="17"/>
  <c r="O307" i="17"/>
  <c r="N307" i="17"/>
  <c r="M307" i="17"/>
  <c r="L307" i="17"/>
  <c r="K307" i="17"/>
  <c r="O306" i="17"/>
  <c r="N306" i="17"/>
  <c r="M306" i="17"/>
  <c r="L306" i="17"/>
  <c r="K306" i="17"/>
  <c r="O305" i="17"/>
  <c r="N305" i="17"/>
  <c r="M305" i="17"/>
  <c r="L305" i="17"/>
  <c r="K305" i="17"/>
  <c r="O304" i="17"/>
  <c r="N304" i="17"/>
  <c r="M304" i="17"/>
  <c r="L304" i="17"/>
  <c r="K304" i="17"/>
  <c r="O303" i="17"/>
  <c r="N303" i="17"/>
  <c r="M303" i="17"/>
  <c r="L303" i="17"/>
  <c r="K303" i="17"/>
  <c r="O302" i="17"/>
  <c r="N302" i="17"/>
  <c r="M302" i="17"/>
  <c r="L302" i="17"/>
  <c r="K302" i="17"/>
  <c r="O301" i="17"/>
  <c r="N301" i="17"/>
  <c r="M301" i="17"/>
  <c r="L301" i="17"/>
  <c r="K301" i="17"/>
  <c r="O300" i="17"/>
  <c r="N300" i="17"/>
  <c r="M300" i="17"/>
  <c r="L300" i="17"/>
  <c r="K300" i="17"/>
  <c r="O299" i="17"/>
  <c r="N299" i="17"/>
  <c r="M299" i="17"/>
  <c r="L299" i="17"/>
  <c r="K299" i="17"/>
  <c r="O298" i="17"/>
  <c r="N298" i="17"/>
  <c r="M298" i="17"/>
  <c r="L298" i="17"/>
  <c r="K298" i="17"/>
  <c r="O297" i="17"/>
  <c r="N297" i="17"/>
  <c r="M297" i="17"/>
  <c r="L297" i="17"/>
  <c r="K297" i="17"/>
  <c r="O296" i="17"/>
  <c r="N296" i="17"/>
  <c r="M296" i="17"/>
  <c r="L296" i="17"/>
  <c r="K296" i="17"/>
  <c r="O295" i="17"/>
  <c r="N295" i="17"/>
  <c r="M295" i="17"/>
  <c r="L295" i="17"/>
  <c r="K295" i="17"/>
  <c r="O294" i="17"/>
  <c r="N294" i="17"/>
  <c r="M294" i="17"/>
  <c r="L294" i="17"/>
  <c r="K294" i="17"/>
  <c r="O293" i="17"/>
  <c r="N293" i="17"/>
  <c r="M293" i="17"/>
  <c r="L293" i="17"/>
  <c r="K293" i="17"/>
  <c r="O292" i="17"/>
  <c r="N292" i="17"/>
  <c r="M292" i="17"/>
  <c r="L292" i="17"/>
  <c r="K292" i="17"/>
  <c r="O291" i="17"/>
  <c r="N291" i="17"/>
  <c r="M291" i="17"/>
  <c r="L291" i="17"/>
  <c r="K291" i="17"/>
  <c r="O290" i="17"/>
  <c r="N290" i="17"/>
  <c r="M290" i="17"/>
  <c r="L290" i="17"/>
  <c r="K290" i="17"/>
  <c r="O289" i="17"/>
  <c r="N289" i="17"/>
  <c r="M289" i="17"/>
  <c r="L289" i="17"/>
  <c r="K289" i="17"/>
  <c r="O288" i="17"/>
  <c r="N288" i="17"/>
  <c r="M288" i="17"/>
  <c r="L288" i="17"/>
  <c r="K288" i="17"/>
  <c r="O287" i="17"/>
  <c r="N287" i="17"/>
  <c r="M287" i="17"/>
  <c r="L287" i="17"/>
  <c r="K287" i="17"/>
  <c r="O286" i="17"/>
  <c r="N286" i="17"/>
  <c r="M286" i="17"/>
  <c r="L286" i="17"/>
  <c r="K286" i="17"/>
  <c r="O285" i="17"/>
  <c r="N285" i="17"/>
  <c r="M285" i="17"/>
  <c r="L285" i="17"/>
  <c r="K285" i="17"/>
  <c r="O284" i="17"/>
  <c r="N284" i="17"/>
  <c r="M284" i="17"/>
  <c r="L284" i="17"/>
  <c r="K284" i="17"/>
  <c r="O283" i="17"/>
  <c r="N283" i="17"/>
  <c r="M283" i="17"/>
  <c r="L283" i="17"/>
  <c r="K283" i="17"/>
  <c r="O282" i="17"/>
  <c r="N282" i="17"/>
  <c r="M282" i="17"/>
  <c r="L282" i="17"/>
  <c r="K282" i="17"/>
  <c r="O281" i="17"/>
  <c r="N281" i="17"/>
  <c r="M281" i="17"/>
  <c r="L281" i="17"/>
  <c r="K281" i="17"/>
  <c r="O280" i="17"/>
  <c r="N280" i="17"/>
  <c r="M280" i="17"/>
  <c r="L280" i="17"/>
  <c r="K280" i="17"/>
  <c r="O279" i="17"/>
  <c r="N279" i="17"/>
  <c r="M279" i="17"/>
  <c r="L279" i="17"/>
  <c r="K279" i="17"/>
  <c r="O278" i="17"/>
  <c r="N278" i="17"/>
  <c r="M278" i="17"/>
  <c r="L278" i="17"/>
  <c r="K278" i="17"/>
  <c r="O277" i="17"/>
  <c r="N277" i="17"/>
  <c r="M277" i="17"/>
  <c r="L277" i="17"/>
  <c r="K277" i="17"/>
  <c r="O276" i="17"/>
  <c r="N276" i="17"/>
  <c r="M276" i="17"/>
  <c r="L276" i="17"/>
  <c r="K276" i="17"/>
  <c r="O275" i="17"/>
  <c r="N275" i="17"/>
  <c r="M275" i="17"/>
  <c r="L275" i="17"/>
  <c r="K275" i="17"/>
  <c r="O274" i="17"/>
  <c r="N274" i="17"/>
  <c r="M274" i="17"/>
  <c r="L274" i="17"/>
  <c r="K274" i="17"/>
  <c r="O273" i="17"/>
  <c r="N273" i="17"/>
  <c r="M273" i="17"/>
  <c r="L273" i="17"/>
  <c r="K273" i="17"/>
  <c r="O272" i="17"/>
  <c r="N272" i="17"/>
  <c r="M272" i="17"/>
  <c r="L272" i="17"/>
  <c r="K272" i="17"/>
  <c r="O271" i="17"/>
  <c r="N271" i="17"/>
  <c r="M271" i="17"/>
  <c r="L271" i="17"/>
  <c r="K271" i="17"/>
  <c r="O270" i="17"/>
  <c r="N270" i="17"/>
  <c r="M270" i="17"/>
  <c r="L270" i="17"/>
  <c r="K270" i="17"/>
  <c r="O269" i="17"/>
  <c r="N269" i="17"/>
  <c r="M269" i="17"/>
  <c r="L269" i="17"/>
  <c r="K269" i="17"/>
  <c r="O268" i="17"/>
  <c r="N268" i="17"/>
  <c r="M268" i="17"/>
  <c r="L268" i="17"/>
  <c r="K268" i="17"/>
  <c r="O267" i="17"/>
  <c r="N267" i="17"/>
  <c r="M267" i="17"/>
  <c r="L267" i="17"/>
  <c r="K267" i="17"/>
  <c r="O266" i="17"/>
  <c r="N266" i="17"/>
  <c r="M266" i="17"/>
  <c r="L266" i="17"/>
  <c r="K266" i="17"/>
  <c r="O265" i="17"/>
  <c r="N265" i="17"/>
  <c r="M265" i="17"/>
  <c r="L265" i="17"/>
  <c r="K265" i="17"/>
  <c r="O264" i="17"/>
  <c r="N264" i="17"/>
  <c r="M264" i="17"/>
  <c r="L264" i="17"/>
  <c r="K264" i="17"/>
  <c r="O263" i="17"/>
  <c r="N263" i="17"/>
  <c r="M263" i="17"/>
  <c r="L263" i="17"/>
  <c r="K263" i="17"/>
  <c r="O262" i="17"/>
  <c r="N262" i="17"/>
  <c r="M262" i="17"/>
  <c r="L262" i="17"/>
  <c r="K262" i="17"/>
  <c r="O261" i="17"/>
  <c r="N261" i="17"/>
  <c r="M261" i="17"/>
  <c r="L261" i="17"/>
  <c r="K261" i="17"/>
  <c r="O260" i="17"/>
  <c r="N260" i="17"/>
  <c r="M260" i="17"/>
  <c r="L260" i="17"/>
  <c r="K260" i="17"/>
  <c r="O259" i="17"/>
  <c r="N259" i="17"/>
  <c r="M259" i="17"/>
  <c r="L259" i="17"/>
  <c r="K259" i="17"/>
  <c r="O258" i="17"/>
  <c r="N258" i="17"/>
  <c r="M258" i="17"/>
  <c r="L258" i="17"/>
  <c r="K258" i="17"/>
  <c r="O257" i="17"/>
  <c r="N257" i="17"/>
  <c r="M257" i="17"/>
  <c r="L257" i="17"/>
  <c r="K257" i="17"/>
  <c r="O256" i="17"/>
  <c r="N256" i="17"/>
  <c r="M256" i="17"/>
  <c r="L256" i="17"/>
  <c r="K256" i="17"/>
  <c r="O255" i="17"/>
  <c r="N255" i="17"/>
  <c r="M255" i="17"/>
  <c r="L255" i="17"/>
  <c r="K255" i="17"/>
  <c r="O254" i="17"/>
  <c r="N254" i="17"/>
  <c r="M254" i="17"/>
  <c r="L254" i="17"/>
  <c r="K254" i="17"/>
  <c r="O253" i="17"/>
  <c r="N253" i="17"/>
  <c r="M253" i="17"/>
  <c r="L253" i="17"/>
  <c r="K253" i="17"/>
  <c r="O252" i="17"/>
  <c r="N252" i="17"/>
  <c r="M252" i="17"/>
  <c r="L252" i="17"/>
  <c r="K252" i="17"/>
  <c r="O251" i="17"/>
  <c r="N251" i="17"/>
  <c r="M251" i="17"/>
  <c r="L251" i="17"/>
  <c r="K251" i="17"/>
  <c r="O250" i="17"/>
  <c r="N250" i="17"/>
  <c r="M250" i="17"/>
  <c r="L250" i="17"/>
  <c r="K250" i="17"/>
  <c r="O249" i="17"/>
  <c r="N249" i="17"/>
  <c r="M249" i="17"/>
  <c r="L249" i="17"/>
  <c r="K249" i="17"/>
  <c r="O248" i="17"/>
  <c r="N248" i="17"/>
  <c r="M248" i="17"/>
  <c r="L248" i="17"/>
  <c r="K248" i="17"/>
  <c r="O247" i="17"/>
  <c r="N247" i="17"/>
  <c r="M247" i="17"/>
  <c r="L247" i="17"/>
  <c r="K247" i="17"/>
  <c r="O246" i="17"/>
  <c r="N246" i="17"/>
  <c r="M246" i="17"/>
  <c r="L246" i="17"/>
  <c r="K246" i="17"/>
  <c r="O245" i="17"/>
  <c r="N245" i="17"/>
  <c r="M245" i="17"/>
  <c r="L245" i="17"/>
  <c r="K245" i="17"/>
  <c r="O244" i="17"/>
  <c r="N244" i="17"/>
  <c r="M244" i="17"/>
  <c r="L244" i="17"/>
  <c r="K244" i="17"/>
  <c r="O243" i="17"/>
  <c r="N243" i="17"/>
  <c r="M243" i="17"/>
  <c r="L243" i="17"/>
  <c r="K243" i="17"/>
  <c r="O242" i="17"/>
  <c r="N242" i="17"/>
  <c r="M242" i="17"/>
  <c r="L242" i="17"/>
  <c r="K242" i="17"/>
  <c r="O241" i="17"/>
  <c r="N241" i="17"/>
  <c r="M241" i="17"/>
  <c r="L241" i="17"/>
  <c r="K241" i="17"/>
  <c r="O240" i="17"/>
  <c r="N240" i="17"/>
  <c r="M240" i="17"/>
  <c r="L240" i="17"/>
  <c r="K240" i="17"/>
  <c r="O239" i="17"/>
  <c r="N239" i="17"/>
  <c r="M239" i="17"/>
  <c r="L239" i="17"/>
  <c r="K239" i="17"/>
  <c r="O238" i="17"/>
  <c r="N238" i="17"/>
  <c r="M238" i="17"/>
  <c r="L238" i="17"/>
  <c r="K238" i="17"/>
  <c r="O237" i="17"/>
  <c r="N237" i="17"/>
  <c r="M237" i="17"/>
  <c r="L237" i="17"/>
  <c r="K237" i="17"/>
  <c r="O236" i="17"/>
  <c r="N236" i="17"/>
  <c r="M236" i="17"/>
  <c r="L236" i="17"/>
  <c r="K236" i="17"/>
  <c r="O235" i="17"/>
  <c r="N235" i="17"/>
  <c r="M235" i="17"/>
  <c r="L235" i="17"/>
  <c r="K235" i="17"/>
  <c r="O234" i="17"/>
  <c r="N234" i="17"/>
  <c r="M234" i="17"/>
  <c r="L234" i="17"/>
  <c r="K234" i="17"/>
  <c r="O233" i="17"/>
  <c r="N233" i="17"/>
  <c r="M233" i="17"/>
  <c r="L233" i="17"/>
  <c r="K233" i="17"/>
  <c r="O232" i="17"/>
  <c r="N232" i="17"/>
  <c r="M232" i="17"/>
  <c r="L232" i="17"/>
  <c r="K232" i="17"/>
  <c r="O231" i="17"/>
  <c r="N231" i="17"/>
  <c r="M231" i="17"/>
  <c r="L231" i="17"/>
  <c r="K231" i="17"/>
  <c r="O230" i="17"/>
  <c r="N230" i="17"/>
  <c r="M230" i="17"/>
  <c r="L230" i="17"/>
  <c r="K230" i="17"/>
  <c r="O229" i="17"/>
  <c r="N229" i="17"/>
  <c r="M229" i="17"/>
  <c r="L229" i="17"/>
  <c r="K229" i="17"/>
  <c r="O228" i="17"/>
  <c r="N228" i="17"/>
  <c r="M228" i="17"/>
  <c r="L228" i="17"/>
  <c r="K228" i="17"/>
  <c r="O227" i="17"/>
  <c r="N227" i="17"/>
  <c r="M227" i="17"/>
  <c r="L227" i="17"/>
  <c r="K227" i="17"/>
  <c r="O226" i="17"/>
  <c r="N226" i="17"/>
  <c r="M226" i="17"/>
  <c r="L226" i="17"/>
  <c r="K226" i="17"/>
  <c r="O225" i="17"/>
  <c r="N225" i="17"/>
  <c r="M225" i="17"/>
  <c r="L225" i="17"/>
  <c r="K225" i="17"/>
  <c r="O224" i="17"/>
  <c r="N224" i="17"/>
  <c r="M224" i="17"/>
  <c r="L224" i="17"/>
  <c r="K224" i="17"/>
  <c r="O223" i="17"/>
  <c r="N223" i="17"/>
  <c r="M223" i="17"/>
  <c r="L223" i="17"/>
  <c r="K223" i="17"/>
  <c r="O222" i="17"/>
  <c r="N222" i="17"/>
  <c r="M222" i="17"/>
  <c r="L222" i="17"/>
  <c r="K222" i="17"/>
  <c r="O221" i="17"/>
  <c r="N221" i="17"/>
  <c r="M221" i="17"/>
  <c r="L221" i="17"/>
  <c r="K221" i="17"/>
  <c r="O220" i="17"/>
  <c r="N220" i="17"/>
  <c r="M220" i="17"/>
  <c r="L220" i="17"/>
  <c r="K220" i="17"/>
  <c r="O219" i="17"/>
  <c r="N219" i="17"/>
  <c r="M219" i="17"/>
  <c r="L219" i="17"/>
  <c r="K219" i="17"/>
  <c r="O218" i="17"/>
  <c r="N218" i="17"/>
  <c r="M218" i="17"/>
  <c r="L218" i="17"/>
  <c r="K218" i="17"/>
  <c r="O217" i="17"/>
  <c r="N217" i="17"/>
  <c r="M217" i="17"/>
  <c r="L217" i="17"/>
  <c r="K217" i="17"/>
  <c r="O216" i="17"/>
  <c r="N216" i="17"/>
  <c r="M216" i="17"/>
  <c r="L216" i="17"/>
  <c r="K216" i="17"/>
  <c r="O215" i="17"/>
  <c r="N215" i="17"/>
  <c r="M215" i="17"/>
  <c r="L215" i="17"/>
  <c r="K215" i="17"/>
  <c r="O214" i="17"/>
  <c r="N214" i="17"/>
  <c r="M214" i="17"/>
  <c r="L214" i="17"/>
  <c r="K214" i="17"/>
  <c r="O213" i="17"/>
  <c r="N213" i="17"/>
  <c r="M213" i="17"/>
  <c r="L213" i="17"/>
  <c r="K213" i="17"/>
  <c r="O212" i="17"/>
  <c r="N212" i="17"/>
  <c r="M212" i="17"/>
  <c r="L212" i="17"/>
  <c r="K212" i="17"/>
  <c r="O211" i="17"/>
  <c r="N211" i="17"/>
  <c r="M211" i="17"/>
  <c r="L211" i="17"/>
  <c r="K211" i="17"/>
  <c r="O210" i="17"/>
  <c r="N210" i="17"/>
  <c r="M210" i="17"/>
  <c r="L210" i="17"/>
  <c r="K210" i="17"/>
  <c r="O209" i="17"/>
  <c r="N209" i="17"/>
  <c r="M209" i="17"/>
  <c r="L209" i="17"/>
  <c r="K209" i="17"/>
  <c r="O208" i="17"/>
  <c r="N208" i="17"/>
  <c r="M208" i="17"/>
  <c r="L208" i="17"/>
  <c r="K208" i="17"/>
  <c r="O207" i="17"/>
  <c r="N207" i="17"/>
  <c r="M207" i="17"/>
  <c r="L207" i="17"/>
  <c r="K207" i="17"/>
  <c r="O206" i="17"/>
  <c r="N206" i="17"/>
  <c r="M206" i="17"/>
  <c r="L206" i="17"/>
  <c r="K206" i="17"/>
  <c r="O205" i="17"/>
  <c r="N205" i="17"/>
  <c r="M205" i="17"/>
  <c r="L205" i="17"/>
  <c r="K205" i="17"/>
  <c r="O204" i="17"/>
  <c r="N204" i="17"/>
  <c r="M204" i="17"/>
  <c r="L204" i="17"/>
  <c r="K204" i="17"/>
  <c r="O203" i="17"/>
  <c r="N203" i="17"/>
  <c r="M203" i="17"/>
  <c r="L203" i="17"/>
  <c r="K203" i="17"/>
  <c r="O202" i="17"/>
  <c r="N202" i="17"/>
  <c r="M202" i="17"/>
  <c r="L202" i="17"/>
  <c r="K202" i="17"/>
  <c r="O201" i="17"/>
  <c r="N201" i="17"/>
  <c r="M201" i="17"/>
  <c r="L201" i="17"/>
  <c r="K201" i="17"/>
  <c r="O200" i="17"/>
  <c r="N200" i="17"/>
  <c r="M200" i="17"/>
  <c r="L200" i="17"/>
  <c r="K200" i="17"/>
  <c r="O199" i="17"/>
  <c r="N199" i="17"/>
  <c r="M199" i="17"/>
  <c r="L199" i="17"/>
  <c r="K199" i="17"/>
  <c r="O198" i="17"/>
  <c r="N198" i="17"/>
  <c r="M198" i="17"/>
  <c r="L198" i="17"/>
  <c r="K198" i="17"/>
  <c r="O197" i="17"/>
  <c r="N197" i="17"/>
  <c r="M197" i="17"/>
  <c r="L197" i="17"/>
  <c r="K197" i="17"/>
  <c r="O196" i="17"/>
  <c r="N196" i="17"/>
  <c r="M196" i="17"/>
  <c r="L196" i="17"/>
  <c r="K196" i="17"/>
  <c r="O195" i="17"/>
  <c r="N195" i="17"/>
  <c r="M195" i="17"/>
  <c r="L195" i="17"/>
  <c r="K195" i="17"/>
  <c r="O194" i="17"/>
  <c r="N194" i="17"/>
  <c r="M194" i="17"/>
  <c r="L194" i="17"/>
  <c r="K194" i="17"/>
  <c r="O193" i="17"/>
  <c r="N193" i="17"/>
  <c r="M193" i="17"/>
  <c r="L193" i="17"/>
  <c r="K193" i="17"/>
  <c r="O192" i="17"/>
  <c r="N192" i="17"/>
  <c r="M192" i="17"/>
  <c r="L192" i="17"/>
  <c r="K192" i="17"/>
  <c r="O191" i="17"/>
  <c r="N191" i="17"/>
  <c r="M191" i="17"/>
  <c r="L191" i="17"/>
  <c r="K191" i="17"/>
  <c r="O190" i="17"/>
  <c r="N190" i="17"/>
  <c r="M190" i="17"/>
  <c r="L190" i="17"/>
  <c r="K190" i="17"/>
  <c r="O189" i="17"/>
  <c r="N189" i="17"/>
  <c r="M189" i="17"/>
  <c r="L189" i="17"/>
  <c r="K189" i="17"/>
  <c r="O188" i="17"/>
  <c r="N188" i="17"/>
  <c r="M188" i="17"/>
  <c r="L188" i="17"/>
  <c r="K188" i="17"/>
  <c r="O187" i="17"/>
  <c r="N187" i="17"/>
  <c r="M187" i="17"/>
  <c r="L187" i="17"/>
  <c r="K187" i="17"/>
  <c r="O186" i="17"/>
  <c r="N186" i="17"/>
  <c r="M186" i="17"/>
  <c r="L186" i="17"/>
  <c r="K186" i="17"/>
  <c r="O185" i="17"/>
  <c r="N185" i="17"/>
  <c r="M185" i="17"/>
  <c r="L185" i="17"/>
  <c r="K185" i="17"/>
  <c r="O184" i="17"/>
  <c r="N184" i="17"/>
  <c r="M184" i="17"/>
  <c r="L184" i="17"/>
  <c r="K184" i="17"/>
  <c r="O183" i="17"/>
  <c r="N183" i="17"/>
  <c r="M183" i="17"/>
  <c r="L183" i="17"/>
  <c r="K183" i="17"/>
  <c r="O182" i="17"/>
  <c r="N182" i="17"/>
  <c r="M182" i="17"/>
  <c r="L182" i="17"/>
  <c r="K182" i="17"/>
  <c r="O181" i="17"/>
  <c r="N181" i="17"/>
  <c r="M181" i="17"/>
  <c r="L181" i="17"/>
  <c r="K181" i="17"/>
  <c r="O180" i="17"/>
  <c r="N180" i="17"/>
  <c r="M180" i="17"/>
  <c r="L180" i="17"/>
  <c r="K180" i="17"/>
  <c r="O179" i="17"/>
  <c r="N179" i="17"/>
  <c r="M179" i="17"/>
  <c r="L179" i="17"/>
  <c r="K179" i="17"/>
  <c r="O178" i="17"/>
  <c r="N178" i="17"/>
  <c r="M178" i="17"/>
  <c r="L178" i="17"/>
  <c r="K178" i="17"/>
  <c r="O177" i="17"/>
  <c r="N177" i="17"/>
  <c r="M177" i="17"/>
  <c r="L177" i="17"/>
  <c r="K177" i="17"/>
  <c r="O176" i="17"/>
  <c r="N176" i="17"/>
  <c r="M176" i="17"/>
  <c r="L176" i="17"/>
  <c r="K176" i="17"/>
  <c r="O175" i="17"/>
  <c r="N175" i="17"/>
  <c r="M175" i="17"/>
  <c r="L175" i="17"/>
  <c r="K175" i="17"/>
  <c r="O174" i="17"/>
  <c r="N174" i="17"/>
  <c r="M174" i="17"/>
  <c r="L174" i="17"/>
  <c r="K174" i="17"/>
  <c r="O173" i="17"/>
  <c r="N173" i="17"/>
  <c r="M173" i="17"/>
  <c r="L173" i="17"/>
  <c r="K173" i="17"/>
  <c r="O172" i="17"/>
  <c r="N172" i="17"/>
  <c r="M172" i="17"/>
  <c r="L172" i="17"/>
  <c r="K172" i="17"/>
  <c r="O171" i="17"/>
  <c r="N171" i="17"/>
  <c r="M171" i="17"/>
  <c r="L171" i="17"/>
  <c r="K171" i="17"/>
  <c r="O170" i="17"/>
  <c r="N170" i="17"/>
  <c r="M170" i="17"/>
  <c r="L170" i="17"/>
  <c r="K170" i="17"/>
  <c r="O169" i="17"/>
  <c r="N169" i="17"/>
  <c r="M169" i="17"/>
  <c r="L169" i="17"/>
  <c r="K169" i="17"/>
  <c r="O168" i="17"/>
  <c r="N168" i="17"/>
  <c r="M168" i="17"/>
  <c r="L168" i="17"/>
  <c r="K168" i="17"/>
  <c r="O167" i="17"/>
  <c r="N167" i="17"/>
  <c r="M167" i="17"/>
  <c r="L167" i="17"/>
  <c r="K167" i="17"/>
  <c r="O166" i="17"/>
  <c r="N166" i="17"/>
  <c r="M166" i="17"/>
  <c r="L166" i="17"/>
  <c r="K166" i="17"/>
  <c r="O165" i="17"/>
  <c r="N165" i="17"/>
  <c r="M165" i="17"/>
  <c r="L165" i="17"/>
  <c r="K165" i="17"/>
  <c r="O164" i="17"/>
  <c r="N164" i="17"/>
  <c r="M164" i="17"/>
  <c r="L164" i="17"/>
  <c r="K164" i="17"/>
  <c r="O163" i="17"/>
  <c r="N163" i="17"/>
  <c r="M163" i="17"/>
  <c r="L163" i="17"/>
  <c r="K163" i="17"/>
  <c r="O162" i="17"/>
  <c r="N162" i="17"/>
  <c r="M162" i="17"/>
  <c r="L162" i="17"/>
  <c r="K162" i="17"/>
  <c r="O161" i="17"/>
  <c r="N161" i="17"/>
  <c r="M161" i="17"/>
  <c r="L161" i="17"/>
  <c r="K161" i="17"/>
  <c r="O160" i="17"/>
  <c r="N160" i="17"/>
  <c r="M160" i="17"/>
  <c r="L160" i="17"/>
  <c r="K160" i="17"/>
  <c r="O159" i="17"/>
  <c r="N159" i="17"/>
  <c r="M159" i="17"/>
  <c r="L159" i="17"/>
  <c r="K159" i="17"/>
  <c r="O158" i="17"/>
  <c r="N158" i="17"/>
  <c r="M158" i="17"/>
  <c r="L158" i="17"/>
  <c r="K158" i="17"/>
  <c r="O157" i="17"/>
  <c r="N157" i="17"/>
  <c r="M157" i="17"/>
  <c r="L157" i="17"/>
  <c r="K157" i="17"/>
  <c r="O156" i="17"/>
  <c r="N156" i="17"/>
  <c r="M156" i="17"/>
  <c r="L156" i="17"/>
  <c r="K156" i="17"/>
  <c r="O155" i="17"/>
  <c r="N155" i="17"/>
  <c r="M155" i="17"/>
  <c r="L155" i="17"/>
  <c r="K155" i="17"/>
  <c r="O154" i="17"/>
  <c r="N154" i="17"/>
  <c r="M154" i="17"/>
  <c r="L154" i="17"/>
  <c r="K154" i="17"/>
  <c r="O153" i="17"/>
  <c r="N153" i="17"/>
  <c r="M153" i="17"/>
  <c r="L153" i="17"/>
  <c r="K153" i="17"/>
  <c r="O152" i="17"/>
  <c r="N152" i="17"/>
  <c r="M152" i="17"/>
  <c r="L152" i="17"/>
  <c r="K152" i="17"/>
  <c r="O151" i="17"/>
  <c r="N151" i="17"/>
  <c r="M151" i="17"/>
  <c r="L151" i="17"/>
  <c r="K151" i="17"/>
  <c r="O150" i="17"/>
  <c r="N150" i="17"/>
  <c r="M150" i="17"/>
  <c r="L150" i="17"/>
  <c r="K150" i="17"/>
  <c r="O149" i="17"/>
  <c r="N149" i="17"/>
  <c r="M149" i="17"/>
  <c r="L149" i="17"/>
  <c r="K149" i="17"/>
  <c r="O148" i="17"/>
  <c r="N148" i="17"/>
  <c r="M148" i="17"/>
  <c r="L148" i="17"/>
  <c r="K148" i="17"/>
  <c r="O147" i="17"/>
  <c r="N147" i="17"/>
  <c r="M147" i="17"/>
  <c r="L147" i="17"/>
  <c r="K147" i="17"/>
  <c r="O146" i="17"/>
  <c r="N146" i="17"/>
  <c r="M146" i="17"/>
  <c r="L146" i="17"/>
  <c r="K146" i="17"/>
  <c r="O145" i="17"/>
  <c r="N145" i="17"/>
  <c r="M145" i="17"/>
  <c r="L145" i="17"/>
  <c r="K145" i="17"/>
  <c r="O144" i="17"/>
  <c r="N144" i="17"/>
  <c r="M144" i="17"/>
  <c r="L144" i="17"/>
  <c r="K144" i="17"/>
  <c r="O143" i="17"/>
  <c r="N143" i="17"/>
  <c r="M143" i="17"/>
  <c r="L143" i="17"/>
  <c r="K143" i="17"/>
  <c r="O142" i="17"/>
  <c r="N142" i="17"/>
  <c r="M142" i="17"/>
  <c r="L142" i="17"/>
  <c r="K142" i="17"/>
  <c r="O141" i="17"/>
  <c r="N141" i="17"/>
  <c r="M141" i="17"/>
  <c r="L141" i="17"/>
  <c r="K141" i="17"/>
  <c r="O140" i="17"/>
  <c r="N140" i="17"/>
  <c r="M140" i="17"/>
  <c r="L140" i="17"/>
  <c r="K140" i="17"/>
  <c r="O139" i="17"/>
  <c r="N139" i="17"/>
  <c r="M139" i="17"/>
  <c r="L139" i="17"/>
  <c r="K139" i="17"/>
  <c r="O138" i="17"/>
  <c r="N138" i="17"/>
  <c r="M138" i="17"/>
  <c r="L138" i="17"/>
  <c r="K138" i="17"/>
  <c r="O137" i="17"/>
  <c r="N137" i="17"/>
  <c r="M137" i="17"/>
  <c r="L137" i="17"/>
  <c r="K137" i="17"/>
  <c r="O136" i="17"/>
  <c r="N136" i="17"/>
  <c r="M136" i="17"/>
  <c r="L136" i="17"/>
  <c r="K136" i="17"/>
  <c r="O135" i="17"/>
  <c r="N135" i="17"/>
  <c r="M135" i="17"/>
  <c r="L135" i="17"/>
  <c r="K135" i="17"/>
  <c r="O134" i="17"/>
  <c r="N134" i="17"/>
  <c r="M134" i="17"/>
  <c r="L134" i="17"/>
  <c r="K134" i="17"/>
  <c r="O133" i="17"/>
  <c r="N133" i="17"/>
  <c r="M133" i="17"/>
  <c r="L133" i="17"/>
  <c r="K133" i="17"/>
  <c r="O132" i="17"/>
  <c r="N132" i="17"/>
  <c r="M132" i="17"/>
  <c r="L132" i="17"/>
  <c r="K132" i="17"/>
  <c r="O131" i="17"/>
  <c r="N131" i="17"/>
  <c r="M131" i="17"/>
  <c r="L131" i="17"/>
  <c r="K131" i="17"/>
  <c r="O130" i="17"/>
  <c r="N130" i="17"/>
  <c r="M130" i="17"/>
  <c r="L130" i="17"/>
  <c r="K130" i="17"/>
  <c r="O129" i="17"/>
  <c r="N129" i="17"/>
  <c r="M129" i="17"/>
  <c r="L129" i="17"/>
  <c r="K129" i="17"/>
  <c r="O128" i="17"/>
  <c r="N128" i="17"/>
  <c r="M128" i="17"/>
  <c r="L128" i="17"/>
  <c r="K128" i="17"/>
  <c r="O127" i="17"/>
  <c r="N127" i="17"/>
  <c r="M127" i="17"/>
  <c r="L127" i="17"/>
  <c r="K127" i="17"/>
  <c r="O126" i="17"/>
  <c r="N126" i="17"/>
  <c r="M126" i="17"/>
  <c r="L126" i="17"/>
  <c r="K126" i="17"/>
  <c r="O125" i="17"/>
  <c r="N125" i="17"/>
  <c r="M125" i="17"/>
  <c r="L125" i="17"/>
  <c r="K125" i="17"/>
  <c r="O124" i="17"/>
  <c r="N124" i="17"/>
  <c r="M124" i="17"/>
  <c r="L124" i="17"/>
  <c r="K124" i="17"/>
  <c r="O123" i="17"/>
  <c r="N123" i="17"/>
  <c r="M123" i="17"/>
  <c r="L123" i="17"/>
  <c r="K123" i="17"/>
  <c r="O122" i="17"/>
  <c r="N122" i="17"/>
  <c r="M122" i="17"/>
  <c r="L122" i="17"/>
  <c r="K122" i="17"/>
  <c r="O121" i="17"/>
  <c r="N121" i="17"/>
  <c r="M121" i="17"/>
  <c r="L121" i="17"/>
  <c r="K121" i="17"/>
  <c r="O120" i="17"/>
  <c r="N120" i="17"/>
  <c r="M120" i="17"/>
  <c r="L120" i="17"/>
  <c r="K120" i="17"/>
  <c r="O119" i="17"/>
  <c r="N119" i="17"/>
  <c r="M119" i="17"/>
  <c r="L119" i="17"/>
  <c r="K119" i="17"/>
  <c r="O118" i="17"/>
  <c r="N118" i="17"/>
  <c r="M118" i="17"/>
  <c r="L118" i="17"/>
  <c r="K118" i="17"/>
  <c r="O117" i="17"/>
  <c r="N117" i="17"/>
  <c r="M117" i="17"/>
  <c r="L117" i="17"/>
  <c r="K117" i="17"/>
  <c r="O116" i="17"/>
  <c r="N116" i="17"/>
  <c r="M116" i="17"/>
  <c r="L116" i="17"/>
  <c r="K116" i="17"/>
  <c r="O115" i="17"/>
  <c r="N115" i="17"/>
  <c r="M115" i="17"/>
  <c r="L115" i="17"/>
  <c r="K115" i="17"/>
  <c r="O114" i="17"/>
  <c r="N114" i="17"/>
  <c r="M114" i="17"/>
  <c r="L114" i="17"/>
  <c r="K114" i="17"/>
  <c r="O113" i="17"/>
  <c r="N113" i="17"/>
  <c r="M113" i="17"/>
  <c r="L113" i="17"/>
  <c r="K113" i="17"/>
  <c r="O112" i="17"/>
  <c r="N112" i="17"/>
  <c r="M112" i="17"/>
  <c r="L112" i="17"/>
  <c r="K112" i="17"/>
  <c r="O111" i="17"/>
  <c r="N111" i="17"/>
  <c r="M111" i="17"/>
  <c r="L111" i="17"/>
  <c r="K111" i="17"/>
  <c r="O110" i="17"/>
  <c r="N110" i="17"/>
  <c r="M110" i="17"/>
  <c r="L110" i="17"/>
  <c r="K110" i="17"/>
  <c r="O109" i="17"/>
  <c r="N109" i="17"/>
  <c r="M109" i="17"/>
  <c r="L109" i="17"/>
  <c r="K109" i="17"/>
  <c r="O108" i="17"/>
  <c r="N108" i="17"/>
  <c r="M108" i="17"/>
  <c r="L108" i="17"/>
  <c r="K108" i="17"/>
  <c r="O107" i="17"/>
  <c r="N107" i="17"/>
  <c r="M107" i="17"/>
  <c r="L107" i="17"/>
  <c r="K107" i="17"/>
  <c r="O106" i="17"/>
  <c r="N106" i="17"/>
  <c r="M106" i="17"/>
  <c r="L106" i="17"/>
  <c r="K106" i="17"/>
  <c r="O105" i="17"/>
  <c r="N105" i="17"/>
  <c r="M105" i="17"/>
  <c r="L105" i="17"/>
  <c r="K105" i="17"/>
  <c r="O104" i="17"/>
  <c r="N104" i="17"/>
  <c r="M104" i="17"/>
  <c r="L104" i="17"/>
  <c r="K104" i="17"/>
  <c r="O103" i="17"/>
  <c r="N103" i="17"/>
  <c r="M103" i="17"/>
  <c r="L103" i="17"/>
  <c r="K103" i="17"/>
  <c r="O102" i="17"/>
  <c r="N102" i="17"/>
  <c r="M102" i="17"/>
  <c r="L102" i="17"/>
  <c r="K102" i="17"/>
  <c r="O101" i="17"/>
  <c r="N101" i="17"/>
  <c r="M101" i="17"/>
  <c r="L101" i="17"/>
  <c r="K101" i="17"/>
  <c r="O100" i="17"/>
  <c r="N100" i="17"/>
  <c r="M100" i="17"/>
  <c r="L100" i="17"/>
  <c r="K100" i="17"/>
  <c r="O99" i="17"/>
  <c r="N99" i="17"/>
  <c r="M99" i="17"/>
  <c r="L99" i="17"/>
  <c r="K99" i="17"/>
  <c r="O98" i="17"/>
  <c r="N98" i="17"/>
  <c r="M98" i="17"/>
  <c r="L98" i="17"/>
  <c r="K98" i="17"/>
  <c r="O97" i="17"/>
  <c r="N97" i="17"/>
  <c r="M97" i="17"/>
  <c r="L97" i="17"/>
  <c r="K97" i="17"/>
  <c r="O96" i="17"/>
  <c r="N96" i="17"/>
  <c r="M96" i="17"/>
  <c r="L96" i="17"/>
  <c r="K96" i="17"/>
  <c r="O95" i="17"/>
  <c r="N95" i="17"/>
  <c r="M95" i="17"/>
  <c r="L95" i="17"/>
  <c r="K95" i="17"/>
  <c r="O94" i="17"/>
  <c r="N94" i="17"/>
  <c r="M94" i="17"/>
  <c r="L94" i="17"/>
  <c r="K94" i="17"/>
  <c r="O93" i="17"/>
  <c r="N93" i="17"/>
  <c r="M93" i="17"/>
  <c r="L93" i="17"/>
  <c r="K93" i="17"/>
  <c r="O92" i="17"/>
  <c r="N92" i="17"/>
  <c r="M92" i="17"/>
  <c r="L92" i="17"/>
  <c r="K92" i="17"/>
  <c r="O91" i="17"/>
  <c r="N91" i="17"/>
  <c r="M91" i="17"/>
  <c r="L91" i="17"/>
  <c r="K91" i="17"/>
  <c r="O90" i="17"/>
  <c r="N90" i="17"/>
  <c r="M90" i="17"/>
  <c r="L90" i="17"/>
  <c r="K90" i="17"/>
  <c r="O89" i="17"/>
  <c r="N89" i="17"/>
  <c r="M89" i="17"/>
  <c r="L89" i="17"/>
  <c r="K89" i="17"/>
  <c r="O88" i="17"/>
  <c r="N88" i="17"/>
  <c r="M88" i="17"/>
  <c r="L88" i="17"/>
  <c r="K88" i="17"/>
  <c r="O87" i="17"/>
  <c r="N87" i="17"/>
  <c r="M87" i="17"/>
  <c r="L87" i="17"/>
  <c r="K87" i="17"/>
  <c r="O86" i="17"/>
  <c r="N86" i="17"/>
  <c r="M86" i="17"/>
  <c r="L86" i="17"/>
  <c r="K86" i="17"/>
  <c r="O85" i="17"/>
  <c r="N85" i="17"/>
  <c r="M85" i="17"/>
  <c r="L85" i="17"/>
  <c r="K85" i="17"/>
  <c r="O84" i="17"/>
  <c r="AZ73" i="7" s="1"/>
  <c r="N84" i="17"/>
  <c r="M84" i="17"/>
  <c r="L84" i="17"/>
  <c r="K84" i="17"/>
  <c r="AX73" i="7" s="1"/>
  <c r="O83" i="17"/>
  <c r="AZ72" i="7" s="1"/>
  <c r="N83" i="17"/>
  <c r="M83" i="17"/>
  <c r="L83" i="17"/>
  <c r="K83" i="17"/>
  <c r="O82" i="17"/>
  <c r="AZ71" i="7" s="1"/>
  <c r="N82" i="17"/>
  <c r="M82" i="17"/>
  <c r="L82" i="17"/>
  <c r="K82" i="17"/>
  <c r="O81" i="17"/>
  <c r="AZ70" i="7" s="1"/>
  <c r="N81" i="17"/>
  <c r="M81" i="17"/>
  <c r="L81" i="17"/>
  <c r="K81" i="17"/>
  <c r="O80" i="17"/>
  <c r="AZ69" i="7" s="1"/>
  <c r="N80" i="17"/>
  <c r="M80" i="17"/>
  <c r="L80" i="17"/>
  <c r="K80" i="17"/>
  <c r="O79" i="17"/>
  <c r="AZ68" i="7" s="1"/>
  <c r="N79" i="17"/>
  <c r="M79" i="17"/>
  <c r="L79" i="17"/>
  <c r="K79" i="17"/>
  <c r="O78" i="17"/>
  <c r="AZ67" i="7" s="1"/>
  <c r="N78" i="17"/>
  <c r="M78" i="17"/>
  <c r="L78" i="17"/>
  <c r="K78" i="17"/>
  <c r="O77" i="17"/>
  <c r="AZ66" i="7" s="1"/>
  <c r="N77" i="17"/>
  <c r="M77" i="17"/>
  <c r="L77" i="17"/>
  <c r="K77" i="17"/>
  <c r="AX66" i="7" s="1"/>
  <c r="O76" i="17"/>
  <c r="AZ65" i="7" s="1"/>
  <c r="N76" i="17"/>
  <c r="M76" i="17"/>
  <c r="L76" i="17"/>
  <c r="K76" i="17"/>
  <c r="O75" i="17"/>
  <c r="AZ64" i="7" s="1"/>
  <c r="N75" i="17"/>
  <c r="M75" i="17"/>
  <c r="L75" i="17"/>
  <c r="K75" i="17"/>
  <c r="O74" i="17"/>
  <c r="AZ63" i="7" s="1"/>
  <c r="N74" i="17"/>
  <c r="M74" i="17"/>
  <c r="L74" i="17"/>
  <c r="K74" i="17"/>
  <c r="O73" i="17"/>
  <c r="AZ62" i="7" s="1"/>
  <c r="N73" i="17"/>
  <c r="M73" i="17"/>
  <c r="L73" i="17"/>
  <c r="K73" i="17"/>
  <c r="O72" i="17"/>
  <c r="AZ61" i="7" s="1"/>
  <c r="N72" i="17"/>
  <c r="M72" i="17"/>
  <c r="L72" i="17"/>
  <c r="K72" i="17"/>
  <c r="O71" i="17"/>
  <c r="AZ60" i="7" s="1"/>
  <c r="N71" i="17"/>
  <c r="M71" i="17"/>
  <c r="L71" i="17"/>
  <c r="K71" i="17"/>
  <c r="O70" i="17"/>
  <c r="AZ59" i="7" s="1"/>
  <c r="N70" i="17"/>
  <c r="M70" i="17"/>
  <c r="L70" i="17"/>
  <c r="K70" i="17"/>
  <c r="O69" i="17"/>
  <c r="AZ58" i="7" s="1"/>
  <c r="N69" i="17"/>
  <c r="M69" i="17"/>
  <c r="L69" i="17"/>
  <c r="K69" i="17"/>
  <c r="AX58" i="7" s="1"/>
  <c r="O68" i="17"/>
  <c r="AZ57" i="7" s="1"/>
  <c r="N68" i="17"/>
  <c r="M68" i="17"/>
  <c r="L68" i="17"/>
  <c r="K68" i="17"/>
  <c r="O67" i="17"/>
  <c r="AZ56" i="7" s="1"/>
  <c r="N67" i="17"/>
  <c r="M67" i="17"/>
  <c r="L67" i="17"/>
  <c r="K67" i="17"/>
  <c r="O66" i="17"/>
  <c r="AZ55" i="7" s="1"/>
  <c r="N66" i="17"/>
  <c r="M66" i="17"/>
  <c r="L66" i="17"/>
  <c r="K66" i="17"/>
  <c r="O65" i="17"/>
  <c r="AZ54" i="7" s="1"/>
  <c r="N65" i="17"/>
  <c r="M65" i="17"/>
  <c r="L65" i="17"/>
  <c r="K65" i="17"/>
  <c r="O64" i="17"/>
  <c r="AZ53" i="7" s="1"/>
  <c r="N64" i="17"/>
  <c r="M64" i="17"/>
  <c r="L64" i="17"/>
  <c r="K64" i="17"/>
  <c r="O63" i="17"/>
  <c r="AZ52" i="7" s="1"/>
  <c r="N63" i="17"/>
  <c r="M63" i="17"/>
  <c r="L63" i="17"/>
  <c r="K63" i="17"/>
  <c r="O62" i="17"/>
  <c r="AZ51" i="7" s="1"/>
  <c r="N62" i="17"/>
  <c r="M62" i="17"/>
  <c r="L62" i="17"/>
  <c r="K62" i="17"/>
  <c r="O61" i="17"/>
  <c r="AZ50" i="7" s="1"/>
  <c r="N61" i="17"/>
  <c r="M61" i="17"/>
  <c r="L61" i="17"/>
  <c r="K61" i="17"/>
  <c r="AX50" i="7" s="1"/>
  <c r="O60" i="17"/>
  <c r="AZ49" i="7" s="1"/>
  <c r="N60" i="17"/>
  <c r="M60" i="17"/>
  <c r="L60" i="17"/>
  <c r="K60" i="17"/>
  <c r="O59" i="17"/>
  <c r="AZ48" i="7" s="1"/>
  <c r="N59" i="17"/>
  <c r="M59" i="17"/>
  <c r="L59" i="17"/>
  <c r="K59" i="17"/>
  <c r="O58" i="17"/>
  <c r="AZ47" i="7" s="1"/>
  <c r="N58" i="17"/>
  <c r="M58" i="17"/>
  <c r="L58" i="17"/>
  <c r="K58" i="17"/>
  <c r="O57" i="17"/>
  <c r="AZ46" i="7" s="1"/>
  <c r="N57" i="17"/>
  <c r="M57" i="17"/>
  <c r="L57" i="17"/>
  <c r="K57" i="17"/>
  <c r="O56" i="17"/>
  <c r="AZ45" i="7" s="1"/>
  <c r="N56" i="17"/>
  <c r="M56" i="17"/>
  <c r="L56" i="17"/>
  <c r="K56" i="17"/>
  <c r="O55" i="17"/>
  <c r="AZ44" i="7" s="1"/>
  <c r="N55" i="17"/>
  <c r="M55" i="17"/>
  <c r="L55" i="17"/>
  <c r="K55" i="17"/>
  <c r="O54" i="17"/>
  <c r="AZ43" i="7" s="1"/>
  <c r="N54" i="17"/>
  <c r="M54" i="17"/>
  <c r="L54" i="17"/>
  <c r="K54" i="17"/>
  <c r="O53" i="17"/>
  <c r="AZ42" i="7" s="1"/>
  <c r="N53" i="17"/>
  <c r="M53" i="17"/>
  <c r="L53" i="17"/>
  <c r="K53" i="17"/>
  <c r="AX42" i="7" s="1"/>
  <c r="O52" i="17"/>
  <c r="AZ41" i="7" s="1"/>
  <c r="N52" i="17"/>
  <c r="M52" i="17"/>
  <c r="L52" i="17"/>
  <c r="K52" i="17"/>
  <c r="O51" i="17"/>
  <c r="AZ40" i="7" s="1"/>
  <c r="N51" i="17"/>
  <c r="M51" i="17"/>
  <c r="L51" i="17"/>
  <c r="K51" i="17"/>
  <c r="O50" i="17"/>
  <c r="AZ39" i="7" s="1"/>
  <c r="N50" i="17"/>
  <c r="M50" i="17"/>
  <c r="L50" i="17"/>
  <c r="K50" i="17"/>
  <c r="O49" i="17"/>
  <c r="AZ38" i="7" s="1"/>
  <c r="N49" i="17"/>
  <c r="M49" i="17"/>
  <c r="L49" i="17"/>
  <c r="K49" i="17"/>
  <c r="O48" i="17"/>
  <c r="AZ37" i="7" s="1"/>
  <c r="N48" i="17"/>
  <c r="M48" i="17"/>
  <c r="L48" i="17"/>
  <c r="K48" i="17"/>
  <c r="O47" i="17"/>
  <c r="AZ36" i="7" s="1"/>
  <c r="N47" i="17"/>
  <c r="M47" i="17"/>
  <c r="L47" i="17"/>
  <c r="K47" i="17"/>
  <c r="O46" i="17"/>
  <c r="AZ35" i="7" s="1"/>
  <c r="N46" i="17"/>
  <c r="M46" i="17"/>
  <c r="L46" i="17"/>
  <c r="K46" i="17"/>
  <c r="O45" i="17"/>
  <c r="AZ34" i="7" s="1"/>
  <c r="N45" i="17"/>
  <c r="M45" i="17"/>
  <c r="L45" i="17"/>
  <c r="K45" i="17"/>
  <c r="AX34" i="7" s="1"/>
  <c r="O44" i="17"/>
  <c r="AZ33" i="7" s="1"/>
  <c r="N44" i="17"/>
  <c r="M44" i="17"/>
  <c r="L44" i="17"/>
  <c r="K44" i="17"/>
  <c r="O43" i="17"/>
  <c r="AZ32" i="7" s="1"/>
  <c r="N43" i="17"/>
  <c r="M43" i="17"/>
  <c r="L43" i="17"/>
  <c r="K43" i="17"/>
  <c r="O42" i="17"/>
  <c r="AZ31" i="7" s="1"/>
  <c r="N42" i="17"/>
  <c r="M42" i="17"/>
  <c r="L42" i="17"/>
  <c r="K42" i="17"/>
  <c r="O41" i="17"/>
  <c r="AZ30" i="7" s="1"/>
  <c r="N41" i="17"/>
  <c r="M41" i="17"/>
  <c r="L41" i="17"/>
  <c r="K41" i="17"/>
  <c r="O40" i="17"/>
  <c r="AZ29" i="7" s="1"/>
  <c r="N40" i="17"/>
  <c r="M40" i="17"/>
  <c r="L40" i="17"/>
  <c r="K40" i="17"/>
  <c r="O39" i="17"/>
  <c r="AZ28" i="7" s="1"/>
  <c r="N39" i="17"/>
  <c r="M39" i="17"/>
  <c r="L39" i="17"/>
  <c r="K39" i="17"/>
  <c r="O38" i="17"/>
  <c r="AZ27" i="7" s="1"/>
  <c r="N38" i="17"/>
  <c r="M38" i="17"/>
  <c r="L38" i="17"/>
  <c r="K38" i="17"/>
  <c r="O37" i="17"/>
  <c r="AZ26" i="7" s="1"/>
  <c r="N37" i="17"/>
  <c r="M37" i="17"/>
  <c r="L37" i="17"/>
  <c r="K37" i="17"/>
  <c r="AX26" i="7" s="1"/>
  <c r="O36" i="17"/>
  <c r="AZ25" i="7" s="1"/>
  <c r="N36" i="17"/>
  <c r="M36" i="17"/>
  <c r="L36" i="17"/>
  <c r="K36" i="17"/>
  <c r="O35" i="17"/>
  <c r="AZ24" i="7" s="1"/>
  <c r="N35" i="17"/>
  <c r="M35" i="17"/>
  <c r="L35" i="17"/>
  <c r="K35" i="17"/>
  <c r="O34" i="17"/>
  <c r="AZ23" i="7" s="1"/>
  <c r="N34" i="17"/>
  <c r="M34" i="17"/>
  <c r="L34" i="17"/>
  <c r="K34" i="17"/>
  <c r="O33" i="17"/>
  <c r="AZ22" i="7" s="1"/>
  <c r="N33" i="17"/>
  <c r="M33" i="17"/>
  <c r="L33" i="17"/>
  <c r="K33" i="17"/>
  <c r="O32" i="17"/>
  <c r="AZ21" i="7" s="1"/>
  <c r="N32" i="17"/>
  <c r="M32" i="17"/>
  <c r="L32" i="17"/>
  <c r="K32" i="17"/>
  <c r="O31" i="17"/>
  <c r="AZ20" i="7" s="1"/>
  <c r="N31" i="17"/>
  <c r="M31" i="17"/>
  <c r="L31" i="17"/>
  <c r="K31" i="17"/>
  <c r="O30" i="17"/>
  <c r="AZ19" i="7" s="1"/>
  <c r="N30" i="17"/>
  <c r="M30" i="17"/>
  <c r="L30" i="17"/>
  <c r="K30" i="17"/>
  <c r="O29" i="17"/>
  <c r="AZ18" i="7" s="1"/>
  <c r="N29" i="17"/>
  <c r="M29" i="17"/>
  <c r="L29" i="17"/>
  <c r="K29" i="17"/>
  <c r="AX18" i="7" s="1"/>
  <c r="O28" i="17"/>
  <c r="AZ17" i="7" s="1"/>
  <c r="N28" i="17"/>
  <c r="M28" i="17"/>
  <c r="L28" i="17"/>
  <c r="K28" i="17"/>
  <c r="O27" i="17"/>
  <c r="AZ16" i="7" s="1"/>
  <c r="N27" i="17"/>
  <c r="M27" i="17"/>
  <c r="L27" i="17"/>
  <c r="K27" i="17"/>
  <c r="O26" i="17"/>
  <c r="AZ15" i="7" s="1"/>
  <c r="N26" i="17"/>
  <c r="M26" i="17"/>
  <c r="L26" i="17"/>
  <c r="K26" i="17"/>
  <c r="O25" i="17"/>
  <c r="AZ14" i="7" s="1"/>
  <c r="N25" i="17"/>
  <c r="M25" i="17"/>
  <c r="L25" i="17"/>
  <c r="K25" i="17"/>
  <c r="O24" i="17"/>
  <c r="AZ13" i="7" s="1"/>
  <c r="N24" i="17"/>
  <c r="M24" i="17"/>
  <c r="L24" i="17"/>
  <c r="K24" i="17"/>
  <c r="O23" i="17"/>
  <c r="AZ12" i="7" s="1"/>
  <c r="N23" i="17"/>
  <c r="M23" i="17"/>
  <c r="L23" i="17"/>
  <c r="K23" i="17"/>
  <c r="O22" i="17"/>
  <c r="AZ11" i="7" s="1"/>
  <c r="N22" i="17"/>
  <c r="M22" i="17"/>
  <c r="L22" i="17"/>
  <c r="K22" i="17"/>
  <c r="O21" i="17"/>
  <c r="AZ10" i="7" s="1"/>
  <c r="N21" i="17"/>
  <c r="M21" i="17"/>
  <c r="L21" i="17"/>
  <c r="K21" i="17"/>
  <c r="AX10" i="7" s="1"/>
  <c r="O20" i="17"/>
  <c r="AZ9" i="7" s="1"/>
  <c r="N20" i="17"/>
  <c r="M20" i="17"/>
  <c r="L20" i="17"/>
  <c r="K20" i="17"/>
  <c r="O19" i="17"/>
  <c r="AZ8" i="7" s="1"/>
  <c r="N19" i="17"/>
  <c r="M19" i="17"/>
  <c r="L19" i="17"/>
  <c r="K19" i="17"/>
  <c r="O18" i="17"/>
  <c r="AZ7" i="7" s="1"/>
  <c r="N18" i="17"/>
  <c r="M18" i="17"/>
  <c r="L18" i="17"/>
  <c r="K18" i="17"/>
  <c r="O17" i="17"/>
  <c r="AZ6" i="7" s="1"/>
  <c r="N17" i="17"/>
  <c r="M17" i="17"/>
  <c r="L17" i="17"/>
  <c r="K17" i="17"/>
  <c r="O16" i="17"/>
  <c r="AZ5" i="7" s="1"/>
  <c r="N16" i="17"/>
  <c r="M16" i="17"/>
  <c r="L16" i="17"/>
  <c r="K16" i="17"/>
  <c r="O15" i="17"/>
  <c r="AZ4" i="7" s="1"/>
  <c r="N15" i="17"/>
  <c r="M15" i="17"/>
  <c r="L15" i="17"/>
  <c r="K15" i="17"/>
  <c r="O14" i="17"/>
  <c r="AZ3" i="7" s="1"/>
  <c r="N14" i="17"/>
  <c r="M14" i="17"/>
  <c r="L14" i="17"/>
  <c r="K14" i="17"/>
  <c r="O13" i="17"/>
  <c r="N13" i="17"/>
  <c r="M13" i="17"/>
  <c r="L13" i="17"/>
  <c r="K13" i="17"/>
  <c r="O12" i="17"/>
  <c r="N12" i="17"/>
  <c r="M12" i="17"/>
  <c r="L12" i="17"/>
  <c r="K12" i="17"/>
  <c r="O11" i="17"/>
  <c r="N11" i="17"/>
  <c r="M11" i="17"/>
  <c r="L11" i="17"/>
  <c r="K11" i="17"/>
  <c r="O10" i="17"/>
  <c r="N10" i="17"/>
  <c r="M10" i="17"/>
  <c r="L10" i="17"/>
  <c r="K10" i="17"/>
  <c r="O9" i="17"/>
  <c r="N9" i="17"/>
  <c r="M9" i="17"/>
  <c r="L9" i="17"/>
  <c r="K9" i="17"/>
  <c r="O8" i="17"/>
  <c r="N8" i="17"/>
  <c r="M8" i="17"/>
  <c r="L8" i="17"/>
  <c r="K8" i="17"/>
  <c r="O7" i="17"/>
  <c r="N7" i="17"/>
  <c r="M7" i="17"/>
  <c r="L7" i="17"/>
  <c r="K7" i="17"/>
  <c r="O6" i="17"/>
  <c r="N6" i="17"/>
  <c r="M6" i="17"/>
  <c r="L6" i="17"/>
  <c r="K6" i="17"/>
  <c r="O5" i="17"/>
  <c r="N5" i="17"/>
  <c r="M5" i="17"/>
  <c r="L5" i="17"/>
  <c r="K5" i="17"/>
  <c r="O4" i="17"/>
  <c r="N4" i="17"/>
  <c r="M4" i="17"/>
  <c r="L4" i="17"/>
  <c r="K4" i="17"/>
  <c r="O3" i="17"/>
  <c r="N3" i="17"/>
  <c r="M3" i="17"/>
  <c r="L3" i="17"/>
  <c r="K3" i="17"/>
  <c r="O2" i="17"/>
  <c r="N2" i="17"/>
  <c r="M2" i="17"/>
  <c r="L2" i="17"/>
  <c r="K2" i="17"/>
  <c r="O1" i="17"/>
  <c r="N1" i="17"/>
  <c r="M1" i="17"/>
  <c r="L1" i="17"/>
  <c r="K1" i="17"/>
  <c r="J358" i="17"/>
  <c r="J357" i="17"/>
  <c r="J356" i="17"/>
  <c r="J355" i="17"/>
  <c r="J354" i="17"/>
  <c r="J353" i="17"/>
  <c r="J352" i="17"/>
  <c r="J351" i="17"/>
  <c r="J350" i="17"/>
  <c r="J349" i="17"/>
  <c r="J348" i="17"/>
  <c r="J347" i="17"/>
  <c r="J346" i="17"/>
  <c r="J345" i="17"/>
  <c r="J344" i="17"/>
  <c r="J343" i="17"/>
  <c r="J342" i="17"/>
  <c r="J341" i="17"/>
  <c r="J340" i="17"/>
  <c r="J339" i="17"/>
  <c r="J338" i="17"/>
  <c r="J337" i="17"/>
  <c r="J336" i="17"/>
  <c r="J335" i="17"/>
  <c r="J334" i="17"/>
  <c r="J333" i="17"/>
  <c r="J332" i="17"/>
  <c r="J331" i="17"/>
  <c r="J330" i="17"/>
  <c r="J329" i="17"/>
  <c r="J328" i="17"/>
  <c r="J327" i="17"/>
  <c r="J326" i="17"/>
  <c r="J325" i="17"/>
  <c r="J324" i="17"/>
  <c r="J323" i="17"/>
  <c r="J322" i="17"/>
  <c r="J321" i="17"/>
  <c r="J320" i="17"/>
  <c r="J319" i="17"/>
  <c r="J318" i="17"/>
  <c r="J317" i="17"/>
  <c r="J316" i="17"/>
  <c r="J315" i="17"/>
  <c r="J314" i="17"/>
  <c r="J313" i="17"/>
  <c r="J312" i="17"/>
  <c r="J311" i="17"/>
  <c r="J310" i="17"/>
  <c r="J309" i="17"/>
  <c r="J308" i="17"/>
  <c r="J307" i="17"/>
  <c r="J306" i="17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BB73" i="7" s="1"/>
  <c r="J83" i="17"/>
  <c r="BB72" i="7" s="1"/>
  <c r="J82" i="17"/>
  <c r="BB71" i="7" s="1"/>
  <c r="J81" i="17"/>
  <c r="BB70" i="7" s="1"/>
  <c r="J80" i="17"/>
  <c r="BB69" i="7" s="1"/>
  <c r="J79" i="17"/>
  <c r="BB68" i="7" s="1"/>
  <c r="J78" i="17"/>
  <c r="BB67" i="7" s="1"/>
  <c r="J77" i="17"/>
  <c r="BB66" i="7" s="1"/>
  <c r="J76" i="17"/>
  <c r="BB65" i="7" s="1"/>
  <c r="J75" i="17"/>
  <c r="BB64" i="7" s="1"/>
  <c r="J74" i="17"/>
  <c r="BB63" i="7" s="1"/>
  <c r="J73" i="17"/>
  <c r="BB62" i="7" s="1"/>
  <c r="J72" i="17"/>
  <c r="BB61" i="7" s="1"/>
  <c r="J71" i="17"/>
  <c r="BB60" i="7" s="1"/>
  <c r="J70" i="17"/>
  <c r="BB59" i="7" s="1"/>
  <c r="J69" i="17"/>
  <c r="BB58" i="7" s="1"/>
  <c r="J68" i="17"/>
  <c r="BB57" i="7" s="1"/>
  <c r="J67" i="17"/>
  <c r="BB56" i="7" s="1"/>
  <c r="J66" i="17"/>
  <c r="BB55" i="7" s="1"/>
  <c r="J65" i="17"/>
  <c r="BB54" i="7" s="1"/>
  <c r="J64" i="17"/>
  <c r="BB53" i="7" s="1"/>
  <c r="J63" i="17"/>
  <c r="BB52" i="7" s="1"/>
  <c r="J62" i="17"/>
  <c r="BB51" i="7" s="1"/>
  <c r="J61" i="17"/>
  <c r="BB50" i="7" s="1"/>
  <c r="J60" i="17"/>
  <c r="BB49" i="7" s="1"/>
  <c r="J59" i="17"/>
  <c r="BB48" i="7" s="1"/>
  <c r="J58" i="17"/>
  <c r="BB47" i="7" s="1"/>
  <c r="J57" i="17"/>
  <c r="BB46" i="7" s="1"/>
  <c r="J56" i="17"/>
  <c r="BB45" i="7" s="1"/>
  <c r="J55" i="17"/>
  <c r="BB44" i="7" s="1"/>
  <c r="J54" i="17"/>
  <c r="BB43" i="7" s="1"/>
  <c r="J53" i="17"/>
  <c r="BB42" i="7" s="1"/>
  <c r="J52" i="17"/>
  <c r="BB41" i="7" s="1"/>
  <c r="J51" i="17"/>
  <c r="BB40" i="7" s="1"/>
  <c r="J50" i="17"/>
  <c r="BB39" i="7" s="1"/>
  <c r="J49" i="17"/>
  <c r="BB38" i="7" s="1"/>
  <c r="J48" i="17"/>
  <c r="BB37" i="7" s="1"/>
  <c r="J47" i="17"/>
  <c r="BB36" i="7" s="1"/>
  <c r="J46" i="17"/>
  <c r="BB35" i="7" s="1"/>
  <c r="J45" i="17"/>
  <c r="BB34" i="7" s="1"/>
  <c r="J44" i="17"/>
  <c r="BB33" i="7" s="1"/>
  <c r="J43" i="17"/>
  <c r="BB32" i="7" s="1"/>
  <c r="J42" i="17"/>
  <c r="BB31" i="7" s="1"/>
  <c r="J41" i="17"/>
  <c r="BB30" i="7" s="1"/>
  <c r="J40" i="17"/>
  <c r="BB29" i="7" s="1"/>
  <c r="J39" i="17"/>
  <c r="BB28" i="7" s="1"/>
  <c r="J38" i="17"/>
  <c r="BB27" i="7" s="1"/>
  <c r="J37" i="17"/>
  <c r="BB26" i="7" s="1"/>
  <c r="J36" i="17"/>
  <c r="BB25" i="7" s="1"/>
  <c r="J35" i="17"/>
  <c r="BB24" i="7" s="1"/>
  <c r="J34" i="17"/>
  <c r="BB23" i="7" s="1"/>
  <c r="J33" i="17"/>
  <c r="BB22" i="7" s="1"/>
  <c r="J32" i="17"/>
  <c r="BB21" i="7" s="1"/>
  <c r="J31" i="17"/>
  <c r="BB20" i="7" s="1"/>
  <c r="J30" i="17"/>
  <c r="BB19" i="7" s="1"/>
  <c r="J29" i="17"/>
  <c r="BB18" i="7" s="1"/>
  <c r="J28" i="17"/>
  <c r="BB17" i="7" s="1"/>
  <c r="J27" i="17"/>
  <c r="BB16" i="7" s="1"/>
  <c r="J26" i="17"/>
  <c r="BB15" i="7" s="1"/>
  <c r="J25" i="17"/>
  <c r="BB14" i="7" s="1"/>
  <c r="J24" i="17"/>
  <c r="BB13" i="7" s="1"/>
  <c r="J23" i="17"/>
  <c r="BB12" i="7" s="1"/>
  <c r="J22" i="17"/>
  <c r="BB11" i="7" s="1"/>
  <c r="J21" i="17"/>
  <c r="BB10" i="7" s="1"/>
  <c r="J20" i="17"/>
  <c r="BB9" i="7" s="1"/>
  <c r="J19" i="17"/>
  <c r="BB8" i="7" s="1"/>
  <c r="J18" i="17"/>
  <c r="BB7" i="7" s="1"/>
  <c r="J17" i="17"/>
  <c r="BB6" i="7" s="1"/>
  <c r="J16" i="17"/>
  <c r="BB5" i="7" s="1"/>
  <c r="J15" i="17"/>
  <c r="BB4" i="7" s="1"/>
  <c r="J14" i="17"/>
  <c r="BB3" i="7" s="1"/>
  <c r="J13" i="17"/>
  <c r="J12" i="17"/>
  <c r="J11" i="17"/>
  <c r="J10" i="17"/>
  <c r="J9" i="17"/>
  <c r="J8" i="17"/>
  <c r="J7" i="17"/>
  <c r="J6" i="17"/>
  <c r="J5" i="17"/>
  <c r="J4" i="17"/>
  <c r="J3" i="17"/>
  <c r="J2" i="17"/>
  <c r="J1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7" i="17"/>
  <c r="R1" i="6"/>
  <c r="Q1" i="6"/>
  <c r="P1" i="6"/>
  <c r="O1" i="6"/>
  <c r="N1" i="6"/>
  <c r="M1" i="6"/>
  <c r="L1" i="6"/>
  <c r="I5" i="17"/>
  <c r="H5" i="17"/>
  <c r="G5" i="17"/>
  <c r="F5" i="17"/>
  <c r="E5" i="17"/>
  <c r="D5" i="17"/>
  <c r="C5" i="17"/>
  <c r="I4" i="17"/>
  <c r="H4" i="17"/>
  <c r="G4" i="17"/>
  <c r="F4" i="17"/>
  <c r="E4" i="17"/>
  <c r="D4" i="17"/>
  <c r="C4" i="17"/>
  <c r="I3" i="17"/>
  <c r="H3" i="17"/>
  <c r="G3" i="17"/>
  <c r="F3" i="17"/>
  <c r="E3" i="17"/>
  <c r="D3" i="17"/>
  <c r="C3" i="17"/>
  <c r="I2" i="17"/>
  <c r="H2" i="17"/>
  <c r="G2" i="17"/>
  <c r="F2" i="17"/>
  <c r="E2" i="17"/>
  <c r="D2" i="17"/>
  <c r="C2" i="17"/>
  <c r="B2" i="17"/>
  <c r="B3" i="17"/>
  <c r="B4" i="17"/>
  <c r="B5" i="17"/>
  <c r="B1" i="17"/>
  <c r="BE7" i="7" l="1"/>
  <c r="BE15" i="7"/>
  <c r="BE23" i="7"/>
  <c r="BE31" i="7"/>
  <c r="BE39" i="7"/>
  <c r="BE55" i="7"/>
  <c r="AX5" i="7"/>
  <c r="AX13" i="7"/>
  <c r="AX21" i="7"/>
  <c r="AX29" i="7"/>
  <c r="AX37" i="7"/>
  <c r="AX45" i="7"/>
  <c r="AX53" i="7"/>
  <c r="AX61" i="7"/>
  <c r="AX69" i="7"/>
  <c r="AZ78" i="7"/>
  <c r="BI4" i="7"/>
  <c r="BJ6" i="7"/>
  <c r="BI12" i="7"/>
  <c r="BJ14" i="7"/>
  <c r="BI20" i="7"/>
  <c r="BJ22" i="7"/>
  <c r="BI28" i="7"/>
  <c r="BJ30" i="7"/>
  <c r="BI36" i="7"/>
  <c r="BJ38" i="7"/>
  <c r="BI44" i="7"/>
  <c r="BJ46" i="7"/>
  <c r="BI52" i="7"/>
  <c r="BJ54" i="7"/>
  <c r="BI60" i="7"/>
  <c r="BJ62" i="7"/>
  <c r="BI68" i="7"/>
  <c r="BJ70" i="7"/>
  <c r="BI49" i="7"/>
  <c r="BJ51" i="7"/>
  <c r="BI57" i="7"/>
  <c r="BJ59" i="7"/>
  <c r="BI65" i="7"/>
  <c r="BJ67" i="7"/>
  <c r="BI73" i="7"/>
  <c r="BI7" i="7"/>
  <c r="BJ9" i="7"/>
  <c r="BI15" i="7"/>
  <c r="BJ17" i="7"/>
  <c r="BI23" i="7"/>
  <c r="BJ25" i="7"/>
  <c r="BI31" i="7"/>
  <c r="BJ33" i="7"/>
  <c r="BI39" i="7"/>
  <c r="BJ41" i="7"/>
  <c r="BI47" i="7"/>
  <c r="BJ49" i="7"/>
  <c r="BI55" i="7"/>
  <c r="BJ57" i="7"/>
  <c r="BI63" i="7"/>
  <c r="BJ65" i="7"/>
  <c r="BI71" i="7"/>
  <c r="BJ73" i="7"/>
  <c r="AX4" i="7"/>
  <c r="AX12" i="7"/>
  <c r="AX20" i="7"/>
  <c r="AX28" i="7"/>
  <c r="AX36" i="7"/>
  <c r="AX44" i="7"/>
  <c r="AX52" i="7"/>
  <c r="AX60" i="7"/>
  <c r="AX68" i="7"/>
  <c r="BI5" i="7"/>
  <c r="BJ7" i="7"/>
  <c r="BI13" i="7"/>
  <c r="BJ15" i="7"/>
  <c r="BI21" i="7"/>
  <c r="BJ23" i="7"/>
  <c r="BI29" i="7"/>
  <c r="BJ31" i="7"/>
  <c r="BI37" i="7"/>
  <c r="BJ39" i="7"/>
  <c r="BI45" i="7"/>
  <c r="BJ47" i="7"/>
  <c r="BE4" i="7"/>
  <c r="BE12" i="7"/>
  <c r="BE20" i="7"/>
  <c r="AX6" i="7"/>
  <c r="AX14" i="7"/>
  <c r="AX22" i="7"/>
  <c r="AX30" i="7"/>
  <c r="AX38" i="7"/>
  <c r="AX46" i="7"/>
  <c r="AX54" i="7"/>
  <c r="AX62" i="7"/>
  <c r="BJ53" i="7"/>
  <c r="BI59" i="7"/>
  <c r="BJ61" i="7"/>
  <c r="BI67" i="7"/>
  <c r="BJ69" i="7"/>
  <c r="BJ36" i="7"/>
  <c r="BI42" i="7"/>
  <c r="BJ44" i="7"/>
  <c r="BI50" i="7"/>
  <c r="BJ52" i="7"/>
  <c r="BE6" i="7"/>
  <c r="BE14" i="7"/>
  <c r="BE30" i="7"/>
  <c r="BE38" i="7"/>
  <c r="BE46" i="7"/>
  <c r="BE54" i="7"/>
  <c r="BJ3" i="7"/>
  <c r="BI9" i="7"/>
  <c r="BJ11" i="7"/>
  <c r="BI17" i="7"/>
  <c r="BJ19" i="7"/>
  <c r="BI25" i="7"/>
  <c r="BJ27" i="7"/>
  <c r="BI33" i="7"/>
  <c r="BJ35" i="7"/>
  <c r="BI41" i="7"/>
  <c r="BJ43" i="7"/>
  <c r="BP4" i="7"/>
  <c r="BP11" i="7"/>
  <c r="BP19" i="7"/>
  <c r="BP27" i="7"/>
  <c r="BK78" i="7"/>
  <c r="BI32" i="7"/>
  <c r="BI79" i="7" s="1"/>
  <c r="BP35" i="7"/>
  <c r="BP43" i="7"/>
  <c r="BP51" i="7"/>
  <c r="BP59" i="7"/>
  <c r="BP67" i="7"/>
  <c r="BI72" i="7"/>
  <c r="BE9" i="7"/>
  <c r="BE17" i="7"/>
  <c r="BE25" i="7"/>
  <c r="BE33" i="7"/>
  <c r="BE41" i="7"/>
  <c r="BE49" i="7"/>
  <c r="BE57" i="7"/>
  <c r="BI6" i="7"/>
  <c r="BJ8" i="7"/>
  <c r="BI14" i="7"/>
  <c r="BJ16" i="7"/>
  <c r="BI22" i="7"/>
  <c r="BJ24" i="7"/>
  <c r="BI30" i="7"/>
  <c r="BJ32" i="7"/>
  <c r="BI38" i="7"/>
  <c r="BJ40" i="7"/>
  <c r="BI46" i="7"/>
  <c r="BJ48" i="7"/>
  <c r="BI54" i="7"/>
  <c r="BJ56" i="7"/>
  <c r="BI62" i="7"/>
  <c r="BI81" i="7" s="1"/>
  <c r="BJ64" i="7"/>
  <c r="BI70" i="7"/>
  <c r="BJ72" i="7"/>
  <c r="BE47" i="7"/>
  <c r="AX80" i="7"/>
  <c r="BE65" i="7"/>
  <c r="BE18" i="7"/>
  <c r="BE26" i="7"/>
  <c r="BE34" i="7"/>
  <c r="BE50" i="7"/>
  <c r="BE58" i="7"/>
  <c r="BE66" i="7"/>
  <c r="AZ82" i="7"/>
  <c r="BE10" i="7"/>
  <c r="AZ80" i="7"/>
  <c r="AY43" i="7"/>
  <c r="AY3" i="7"/>
  <c r="AY27" i="7"/>
  <c r="BI80" i="7"/>
  <c r="BE8" i="7"/>
  <c r="BE16" i="7"/>
  <c r="BE24" i="7"/>
  <c r="BB78" i="7"/>
  <c r="BE32" i="7"/>
  <c r="BE40" i="7"/>
  <c r="BE48" i="7"/>
  <c r="BE56" i="7"/>
  <c r="BE64" i="7"/>
  <c r="BE73" i="7"/>
  <c r="BB82" i="7"/>
  <c r="BE72" i="7"/>
  <c r="AY8" i="7"/>
  <c r="AY16" i="7"/>
  <c r="AZ77" i="7"/>
  <c r="AY24" i="7"/>
  <c r="AY32" i="7"/>
  <c r="AY40" i="7"/>
  <c r="AY48" i="7"/>
  <c r="AY56" i="7"/>
  <c r="AZ81" i="7"/>
  <c r="AZ86" i="7" s="1"/>
  <c r="AY64" i="7"/>
  <c r="AY72" i="7"/>
  <c r="BP10" i="7"/>
  <c r="BP18" i="7"/>
  <c r="BP26" i="7"/>
  <c r="BP34" i="7"/>
  <c r="BM79" i="7"/>
  <c r="BP42" i="7"/>
  <c r="BP50" i="7"/>
  <c r="BP58" i="7"/>
  <c r="BP66" i="7"/>
  <c r="AY59" i="7"/>
  <c r="AY5" i="7"/>
  <c r="AX7" i="7"/>
  <c r="AY13" i="7"/>
  <c r="AX15" i="7"/>
  <c r="AY21" i="7"/>
  <c r="AX23" i="7"/>
  <c r="AY29" i="7"/>
  <c r="AX31" i="7"/>
  <c r="AY37" i="7"/>
  <c r="AX39" i="7"/>
  <c r="AY45" i="7"/>
  <c r="AX47" i="7"/>
  <c r="BQ53" i="7"/>
  <c r="AY53" i="7"/>
  <c r="AX55" i="7"/>
  <c r="AY61" i="7"/>
  <c r="AX63" i="7"/>
  <c r="AY69" i="7"/>
  <c r="AX71" i="7"/>
  <c r="BP9" i="7"/>
  <c r="BP17" i="7"/>
  <c r="BP25" i="7"/>
  <c r="BP33" i="7"/>
  <c r="BP41" i="7"/>
  <c r="BP49" i="7"/>
  <c r="BP57" i="7"/>
  <c r="BP65" i="7"/>
  <c r="BP73" i="7"/>
  <c r="AY19" i="7"/>
  <c r="AY10" i="7"/>
  <c r="AY18" i="7"/>
  <c r="BQ26" i="7"/>
  <c r="AY26" i="7"/>
  <c r="AY34" i="7"/>
  <c r="AY42" i="7"/>
  <c r="AY50" i="7"/>
  <c r="BQ58" i="7"/>
  <c r="AY58" i="7"/>
  <c r="AY66" i="7"/>
  <c r="BM78" i="7"/>
  <c r="BP32" i="7"/>
  <c r="BP72" i="7"/>
  <c r="BM82" i="7"/>
  <c r="AY51" i="7"/>
  <c r="BE11" i="7"/>
  <c r="BE19" i="7"/>
  <c r="BE28" i="7"/>
  <c r="BE27" i="7"/>
  <c r="BE36" i="7"/>
  <c r="BE35" i="7"/>
  <c r="BE44" i="7"/>
  <c r="BE43" i="7"/>
  <c r="BE52" i="7"/>
  <c r="BE51" i="7"/>
  <c r="BE60" i="7"/>
  <c r="BE59" i="7"/>
  <c r="BE68" i="7"/>
  <c r="BE67" i="7"/>
  <c r="AY7" i="7"/>
  <c r="AX9" i="7"/>
  <c r="AY15" i="7"/>
  <c r="AX17" i="7"/>
  <c r="BQ23" i="7"/>
  <c r="AY23" i="7"/>
  <c r="AX25" i="7"/>
  <c r="AY31" i="7"/>
  <c r="AX33" i="7"/>
  <c r="AY39" i="7"/>
  <c r="AX41" i="7"/>
  <c r="BQ47" i="7"/>
  <c r="AY47" i="7"/>
  <c r="AX49" i="7"/>
  <c r="AY55" i="7"/>
  <c r="AX57" i="7"/>
  <c r="AY63" i="7"/>
  <c r="AX65" i="7"/>
  <c r="AY71" i="7"/>
  <c r="BP7" i="7"/>
  <c r="BP15" i="7"/>
  <c r="BP23" i="7"/>
  <c r="BP31" i="7"/>
  <c r="BP39" i="7"/>
  <c r="BP47" i="7"/>
  <c r="BP55" i="7"/>
  <c r="BP63" i="7"/>
  <c r="BP71" i="7"/>
  <c r="BQ11" i="7"/>
  <c r="AY11" i="7"/>
  <c r="BQ67" i="7"/>
  <c r="AY67" i="7"/>
  <c r="BB79" i="7"/>
  <c r="BE42" i="7"/>
  <c r="BB80" i="7"/>
  <c r="BQ4" i="7"/>
  <c r="AY4" i="7"/>
  <c r="BQ12" i="7"/>
  <c r="AY12" i="7"/>
  <c r="AY20" i="7"/>
  <c r="BQ20" i="7"/>
  <c r="BQ28" i="7"/>
  <c r="AY28" i="7"/>
  <c r="BQ36" i="7"/>
  <c r="AY36" i="7"/>
  <c r="AZ79" i="7"/>
  <c r="BQ44" i="7"/>
  <c r="AY44" i="7"/>
  <c r="AY52" i="7"/>
  <c r="AY80" i="7" s="1"/>
  <c r="BQ60" i="7"/>
  <c r="AY60" i="7"/>
  <c r="AX81" i="7"/>
  <c r="BQ68" i="7"/>
  <c r="AY68" i="7"/>
  <c r="AX70" i="7"/>
  <c r="BP6" i="7"/>
  <c r="BP14" i="7"/>
  <c r="BM77" i="7"/>
  <c r="BP22" i="7"/>
  <c r="BP30" i="7"/>
  <c r="BP38" i="7"/>
  <c r="BP46" i="7"/>
  <c r="BP54" i="7"/>
  <c r="BM81" i="7"/>
  <c r="BP62" i="7"/>
  <c r="BP70" i="7"/>
  <c r="BE5" i="7"/>
  <c r="BE13" i="7"/>
  <c r="BE21" i="7"/>
  <c r="BE29" i="7"/>
  <c r="BE37" i="7"/>
  <c r="BE45" i="7"/>
  <c r="BE53" i="7"/>
  <c r="BE61" i="7"/>
  <c r="BE69" i="7"/>
  <c r="AX3" i="7"/>
  <c r="AY9" i="7"/>
  <c r="BQ9" i="7"/>
  <c r="AX11" i="7"/>
  <c r="AY17" i="7"/>
  <c r="BQ17" i="7"/>
  <c r="AX19" i="7"/>
  <c r="AY25" i="7"/>
  <c r="BQ25" i="7"/>
  <c r="AX27" i="7"/>
  <c r="AY33" i="7"/>
  <c r="BQ33" i="7"/>
  <c r="AX35" i="7"/>
  <c r="AY41" i="7"/>
  <c r="BQ41" i="7"/>
  <c r="AX43" i="7"/>
  <c r="AY49" i="7"/>
  <c r="AX51" i="7"/>
  <c r="AY57" i="7"/>
  <c r="BQ57" i="7"/>
  <c r="AX59" i="7"/>
  <c r="AY65" i="7"/>
  <c r="BQ65" i="7"/>
  <c r="AX67" i="7"/>
  <c r="AY73" i="7"/>
  <c r="BP5" i="7"/>
  <c r="BP13" i="7"/>
  <c r="BP21" i="7"/>
  <c r="BP29" i="7"/>
  <c r="BP37" i="7"/>
  <c r="BP45" i="7"/>
  <c r="BP53" i="7"/>
  <c r="BP61" i="7"/>
  <c r="BP69" i="7"/>
  <c r="BQ35" i="7"/>
  <c r="AY35" i="7"/>
  <c r="BE22" i="7"/>
  <c r="BB77" i="7"/>
  <c r="BE63" i="7"/>
  <c r="BB81" i="7"/>
  <c r="BE62" i="7"/>
  <c r="BE71" i="7"/>
  <c r="BE70" i="7"/>
  <c r="BQ6" i="7"/>
  <c r="AY6" i="7"/>
  <c r="AX8" i="7"/>
  <c r="AY14" i="7"/>
  <c r="AX16" i="7"/>
  <c r="AY22" i="7"/>
  <c r="AX24" i="7"/>
  <c r="AY30" i="7"/>
  <c r="BQ30" i="7"/>
  <c r="AX32" i="7"/>
  <c r="BQ38" i="7"/>
  <c r="AY38" i="7"/>
  <c r="AX40" i="7"/>
  <c r="BQ46" i="7"/>
  <c r="AY46" i="7"/>
  <c r="AX48" i="7"/>
  <c r="AY54" i="7"/>
  <c r="AX56" i="7"/>
  <c r="AY62" i="7"/>
  <c r="AX64" i="7"/>
  <c r="BQ70" i="7"/>
  <c r="AY70" i="7"/>
  <c r="AX72" i="7"/>
  <c r="AX82" i="7" s="1"/>
  <c r="BP12" i="7"/>
  <c r="BP20" i="7"/>
  <c r="BP28" i="7"/>
  <c r="BP36" i="7"/>
  <c r="BP44" i="7"/>
  <c r="BP52" i="7"/>
  <c r="BM80" i="7"/>
  <c r="BP60" i="7"/>
  <c r="BP68" i="7"/>
  <c r="BK82" i="7"/>
  <c r="BJ77" i="7"/>
  <c r="BK80" i="7"/>
  <c r="BK85" i="7" s="1"/>
  <c r="BJ79" i="7"/>
  <c r="BK77" i="7"/>
  <c r="BK81" i="7"/>
  <c r="BK86" i="7" s="1"/>
  <c r="BJ80" i="7"/>
  <c r="BK79" i="7"/>
  <c r="BJ78" i="7"/>
  <c r="AX77" i="7" l="1"/>
  <c r="BK87" i="7"/>
  <c r="BI77" i="7"/>
  <c r="BJ82" i="7"/>
  <c r="AZ87" i="7"/>
  <c r="AZ93" i="7" s="1"/>
  <c r="AZ85" i="7"/>
  <c r="AZ91" i="7" s="1"/>
  <c r="BM86" i="7"/>
  <c r="AX78" i="7"/>
  <c r="AX85" i="7" s="1"/>
  <c r="BM87" i="7"/>
  <c r="BM85" i="7"/>
  <c r="AY79" i="7"/>
  <c r="AX79" i="7"/>
  <c r="AZ92" i="7"/>
  <c r="BJ81" i="7"/>
  <c r="BJ86" i="7" s="1"/>
  <c r="BN77" i="7"/>
  <c r="BQ22" i="7"/>
  <c r="BI82" i="7"/>
  <c r="BQ63" i="7"/>
  <c r="BQ29" i="7"/>
  <c r="BQ16" i="7"/>
  <c r="AY78" i="7"/>
  <c r="AY77" i="7"/>
  <c r="BA77" i="7" s="1"/>
  <c r="BB85" i="7"/>
  <c r="BA80" i="7"/>
  <c r="BQ39" i="7"/>
  <c r="BQ50" i="7"/>
  <c r="BQ18" i="7"/>
  <c r="BQ69" i="7"/>
  <c r="BQ5" i="7"/>
  <c r="BQ64" i="7"/>
  <c r="BQ40" i="7"/>
  <c r="BQ27" i="7"/>
  <c r="BN82" i="7"/>
  <c r="BQ72" i="7"/>
  <c r="AY82" i="7"/>
  <c r="BA82" i="7" s="1"/>
  <c r="AY81" i="7"/>
  <c r="BA81" i="7" s="1"/>
  <c r="BN80" i="7"/>
  <c r="BQ52" i="7"/>
  <c r="BQ15" i="7"/>
  <c r="BQ45" i="7"/>
  <c r="BQ8" i="7"/>
  <c r="BQ48" i="7"/>
  <c r="BN81" i="7"/>
  <c r="BQ62" i="7"/>
  <c r="BB86" i="7"/>
  <c r="BQ73" i="7"/>
  <c r="BI78" i="7"/>
  <c r="BI85" i="7" s="1"/>
  <c r="BQ55" i="7"/>
  <c r="BN79" i="7"/>
  <c r="BQ42" i="7"/>
  <c r="BQ10" i="7"/>
  <c r="BQ21" i="7"/>
  <c r="BQ59" i="7"/>
  <c r="BN78" i="7"/>
  <c r="BQ32" i="7"/>
  <c r="BQ54" i="7"/>
  <c r="BQ14" i="7"/>
  <c r="BQ49" i="7"/>
  <c r="BQ31" i="7"/>
  <c r="BQ66" i="7"/>
  <c r="BQ61" i="7"/>
  <c r="BQ56" i="7"/>
  <c r="BB87" i="7"/>
  <c r="BQ13" i="7"/>
  <c r="BL77" i="7"/>
  <c r="BQ71" i="7"/>
  <c r="BQ7" i="7"/>
  <c r="BQ51" i="7"/>
  <c r="BQ34" i="7"/>
  <c r="BQ19" i="7"/>
  <c r="BQ37" i="7"/>
  <c r="BQ24" i="7"/>
  <c r="BQ43" i="7"/>
  <c r="BL79" i="7"/>
  <c r="BJ85" i="7"/>
  <c r="BL80" i="7"/>
  <c r="BJ87" i="7"/>
  <c r="AX91" i="7" l="1"/>
  <c r="BB92" i="7"/>
  <c r="BL82" i="7"/>
  <c r="BB93" i="7"/>
  <c r="BA78" i="7"/>
  <c r="BA87" i="7" s="1"/>
  <c r="AX87" i="7"/>
  <c r="BA79" i="7"/>
  <c r="BB91" i="7"/>
  <c r="AX86" i="7"/>
  <c r="BL81" i="7"/>
  <c r="AY85" i="7"/>
  <c r="AY91" i="7" s="1"/>
  <c r="AY86" i="7"/>
  <c r="AY92" i="7" s="1"/>
  <c r="BN87" i="7"/>
  <c r="BA85" i="7"/>
  <c r="BI87" i="7"/>
  <c r="AX93" i="7" s="1"/>
  <c r="BI86" i="7"/>
  <c r="BN85" i="7"/>
  <c r="BL78" i="7"/>
  <c r="BL87" i="7" s="1"/>
  <c r="BN86" i="7"/>
  <c r="AY87" i="7"/>
  <c r="AY93" i="7" s="1"/>
  <c r="BA86" i="7" l="1"/>
  <c r="AX92" i="7"/>
  <c r="BA93" i="7"/>
  <c r="BL86" i="7"/>
  <c r="BA92" i="7" s="1"/>
  <c r="BL85" i="7"/>
  <c r="BA91" i="7" s="1"/>
  <c r="Y1" i="6" l="1"/>
  <c r="J1" i="6"/>
  <c r="Z1" i="6"/>
  <c r="K1" i="6"/>
  <c r="X1" i="6"/>
  <c r="V1" i="6"/>
  <c r="I1" i="6"/>
  <c r="G1" i="17" s="1"/>
  <c r="G1" i="6"/>
  <c r="B14" i="6"/>
  <c r="B18" i="6" s="1"/>
  <c r="B22" i="6" s="1"/>
  <c r="B26" i="6" s="1"/>
  <c r="B30" i="6" s="1"/>
  <c r="B34" i="6" s="1"/>
  <c r="B38" i="6" s="1"/>
  <c r="B42" i="6" s="1"/>
  <c r="B46" i="6" s="1"/>
  <c r="B50" i="6" s="1"/>
  <c r="B54" i="6" s="1"/>
  <c r="B58" i="6" s="1"/>
  <c r="B62" i="6" s="1"/>
  <c r="B66" i="6" s="1"/>
  <c r="B70" i="6" s="1"/>
  <c r="B74" i="6" s="1"/>
  <c r="B78" i="6" s="1"/>
  <c r="B82" i="6" s="1"/>
  <c r="B86" i="6" s="1"/>
  <c r="B90" i="6" s="1"/>
  <c r="B94" i="6" s="1"/>
  <c r="B98" i="6" s="1"/>
  <c r="B102" i="6" s="1"/>
  <c r="B106" i="6" s="1"/>
  <c r="B110" i="6" s="1"/>
  <c r="B114" i="6" s="1"/>
  <c r="B118" i="6" s="1"/>
  <c r="B122" i="6" s="1"/>
  <c r="B126" i="6" s="1"/>
  <c r="B130" i="6" s="1"/>
  <c r="B134" i="6" s="1"/>
  <c r="B138" i="6" s="1"/>
  <c r="B142" i="6" s="1"/>
  <c r="B146" i="6" s="1"/>
  <c r="B150" i="6" s="1"/>
  <c r="B154" i="6" s="1"/>
  <c r="B158" i="6" s="1"/>
  <c r="B162" i="6" s="1"/>
  <c r="B166" i="6" s="1"/>
  <c r="B170" i="6" s="1"/>
  <c r="B174" i="6" s="1"/>
  <c r="B178" i="6" s="1"/>
  <c r="B182" i="6" s="1"/>
  <c r="B186" i="6" s="1"/>
  <c r="B190" i="6" s="1"/>
  <c r="B194" i="6" s="1"/>
  <c r="B198" i="6" s="1"/>
  <c r="B202" i="6" s="1"/>
  <c r="B206" i="6" s="1"/>
  <c r="B210" i="6" s="1"/>
  <c r="B214" i="6" s="1"/>
  <c r="B218" i="6" s="1"/>
  <c r="B222" i="6" s="1"/>
  <c r="B226" i="6" s="1"/>
  <c r="B230" i="6" s="1"/>
  <c r="B234" i="6" s="1"/>
  <c r="B238" i="6" s="1"/>
  <c r="B242" i="6" s="1"/>
  <c r="B246" i="6" s="1"/>
  <c r="B250" i="6" s="1"/>
  <c r="B254" i="6" s="1"/>
  <c r="B258" i="6" s="1"/>
  <c r="B262" i="6" s="1"/>
  <c r="B266" i="6" s="1"/>
  <c r="B270" i="6" s="1"/>
  <c r="B274" i="6" s="1"/>
  <c r="B278" i="6" s="1"/>
  <c r="B282" i="6" s="1"/>
  <c r="B286" i="6" s="1"/>
  <c r="B290" i="6" s="1"/>
  <c r="B294" i="6" s="1"/>
  <c r="B298" i="6" s="1"/>
  <c r="B302" i="6" s="1"/>
  <c r="B306" i="6" s="1"/>
  <c r="B310" i="6" s="1"/>
  <c r="B314" i="6" s="1"/>
  <c r="B318" i="6" s="1"/>
  <c r="B322" i="6" s="1"/>
  <c r="B326" i="6" s="1"/>
  <c r="B330" i="6" s="1"/>
  <c r="B334" i="6" s="1"/>
  <c r="B338" i="6" s="1"/>
  <c r="B342" i="6" s="1"/>
  <c r="B346" i="6" s="1"/>
  <c r="B350" i="6" s="1"/>
  <c r="B354" i="6" s="1"/>
  <c r="B358" i="6" s="1"/>
  <c r="B13" i="6"/>
  <c r="B17" i="6" s="1"/>
  <c r="B21" i="6" s="1"/>
  <c r="B25" i="6" s="1"/>
  <c r="B29" i="6" s="1"/>
  <c r="B33" i="6" s="1"/>
  <c r="B37" i="6" s="1"/>
  <c r="B41" i="6" s="1"/>
  <c r="B45" i="6" s="1"/>
  <c r="B49" i="6" s="1"/>
  <c r="B53" i="6" s="1"/>
  <c r="B57" i="6" s="1"/>
  <c r="B61" i="6" s="1"/>
  <c r="B65" i="6" s="1"/>
  <c r="B69" i="6" s="1"/>
  <c r="B73" i="6" s="1"/>
  <c r="B77" i="6" s="1"/>
  <c r="B81" i="6" s="1"/>
  <c r="B85" i="6" s="1"/>
  <c r="B89" i="6" s="1"/>
  <c r="B93" i="6" s="1"/>
  <c r="B97" i="6" s="1"/>
  <c r="B101" i="6" s="1"/>
  <c r="B105" i="6" s="1"/>
  <c r="B109" i="6" s="1"/>
  <c r="B113" i="6" s="1"/>
  <c r="B117" i="6" s="1"/>
  <c r="B121" i="6" s="1"/>
  <c r="B125" i="6" s="1"/>
  <c r="B129" i="6" s="1"/>
  <c r="B133" i="6" s="1"/>
  <c r="B137" i="6" s="1"/>
  <c r="B141" i="6" s="1"/>
  <c r="B145" i="6" s="1"/>
  <c r="B149" i="6" s="1"/>
  <c r="B153" i="6" s="1"/>
  <c r="B157" i="6" s="1"/>
  <c r="B161" i="6" s="1"/>
  <c r="B165" i="6" s="1"/>
  <c r="B169" i="6" s="1"/>
  <c r="B173" i="6" s="1"/>
  <c r="B177" i="6" s="1"/>
  <c r="B181" i="6" s="1"/>
  <c r="B185" i="6" s="1"/>
  <c r="B189" i="6" s="1"/>
  <c r="B193" i="6" s="1"/>
  <c r="B197" i="6" s="1"/>
  <c r="B201" i="6" s="1"/>
  <c r="B205" i="6" s="1"/>
  <c r="B209" i="6" s="1"/>
  <c r="B213" i="6" s="1"/>
  <c r="B217" i="6" s="1"/>
  <c r="B221" i="6" s="1"/>
  <c r="B225" i="6" s="1"/>
  <c r="B229" i="6" s="1"/>
  <c r="B233" i="6" s="1"/>
  <c r="B237" i="6" s="1"/>
  <c r="B241" i="6" s="1"/>
  <c r="B245" i="6" s="1"/>
  <c r="B249" i="6" s="1"/>
  <c r="B253" i="6" s="1"/>
  <c r="B257" i="6" s="1"/>
  <c r="B261" i="6" s="1"/>
  <c r="B265" i="6" s="1"/>
  <c r="B269" i="6" s="1"/>
  <c r="B273" i="6" s="1"/>
  <c r="B277" i="6" s="1"/>
  <c r="B281" i="6" s="1"/>
  <c r="B285" i="6" s="1"/>
  <c r="B289" i="6" s="1"/>
  <c r="B293" i="6" s="1"/>
  <c r="B297" i="6" s="1"/>
  <c r="B301" i="6" s="1"/>
  <c r="B305" i="6" s="1"/>
  <c r="B309" i="6" s="1"/>
  <c r="B313" i="6" s="1"/>
  <c r="B317" i="6" s="1"/>
  <c r="B321" i="6" s="1"/>
  <c r="B325" i="6" s="1"/>
  <c r="B329" i="6" s="1"/>
  <c r="B333" i="6" s="1"/>
  <c r="B337" i="6" s="1"/>
  <c r="B341" i="6" s="1"/>
  <c r="B345" i="6" s="1"/>
  <c r="B349" i="6" s="1"/>
  <c r="B353" i="6" s="1"/>
  <c r="B357" i="6" s="1"/>
  <c r="B12" i="6"/>
  <c r="B16" i="6" s="1"/>
  <c r="B20" i="6" s="1"/>
  <c r="B24" i="6" s="1"/>
  <c r="B28" i="6" s="1"/>
  <c r="B32" i="6" s="1"/>
  <c r="B36" i="6" s="1"/>
  <c r="B40" i="6" s="1"/>
  <c r="B44" i="6" s="1"/>
  <c r="B48" i="6" s="1"/>
  <c r="B52" i="6" s="1"/>
  <c r="B56" i="6" s="1"/>
  <c r="B60" i="6" s="1"/>
  <c r="B64" i="6" s="1"/>
  <c r="B68" i="6" s="1"/>
  <c r="B72" i="6" s="1"/>
  <c r="B76" i="6" s="1"/>
  <c r="B80" i="6" s="1"/>
  <c r="B84" i="6" s="1"/>
  <c r="B88" i="6" s="1"/>
  <c r="B92" i="6" s="1"/>
  <c r="B96" i="6" s="1"/>
  <c r="B100" i="6" s="1"/>
  <c r="B104" i="6" s="1"/>
  <c r="B108" i="6" s="1"/>
  <c r="B112" i="6" s="1"/>
  <c r="B116" i="6" s="1"/>
  <c r="B120" i="6" s="1"/>
  <c r="B124" i="6" s="1"/>
  <c r="B128" i="6" s="1"/>
  <c r="B132" i="6" s="1"/>
  <c r="B136" i="6" s="1"/>
  <c r="B140" i="6" s="1"/>
  <c r="B144" i="6" s="1"/>
  <c r="B148" i="6" s="1"/>
  <c r="B152" i="6" s="1"/>
  <c r="B156" i="6" s="1"/>
  <c r="B160" i="6" s="1"/>
  <c r="B164" i="6" s="1"/>
  <c r="B168" i="6" s="1"/>
  <c r="B172" i="6" s="1"/>
  <c r="B176" i="6" s="1"/>
  <c r="B180" i="6" s="1"/>
  <c r="B184" i="6" s="1"/>
  <c r="B188" i="6" s="1"/>
  <c r="B192" i="6" s="1"/>
  <c r="B196" i="6" s="1"/>
  <c r="B200" i="6" s="1"/>
  <c r="B204" i="6" s="1"/>
  <c r="B208" i="6" s="1"/>
  <c r="B212" i="6" s="1"/>
  <c r="B216" i="6" s="1"/>
  <c r="B220" i="6" s="1"/>
  <c r="B224" i="6" s="1"/>
  <c r="B228" i="6" s="1"/>
  <c r="B232" i="6" s="1"/>
  <c r="B236" i="6" s="1"/>
  <c r="B240" i="6" s="1"/>
  <c r="B244" i="6" s="1"/>
  <c r="B248" i="6" s="1"/>
  <c r="B252" i="6" s="1"/>
  <c r="B256" i="6" s="1"/>
  <c r="B260" i="6" s="1"/>
  <c r="B264" i="6" s="1"/>
  <c r="B268" i="6" s="1"/>
  <c r="B272" i="6" s="1"/>
  <c r="B276" i="6" s="1"/>
  <c r="B280" i="6" s="1"/>
  <c r="B284" i="6" s="1"/>
  <c r="B288" i="6" s="1"/>
  <c r="B292" i="6" s="1"/>
  <c r="B296" i="6" s="1"/>
  <c r="B300" i="6" s="1"/>
  <c r="B304" i="6" s="1"/>
  <c r="B308" i="6" s="1"/>
  <c r="B312" i="6" s="1"/>
  <c r="B316" i="6" s="1"/>
  <c r="B320" i="6" s="1"/>
  <c r="B324" i="6" s="1"/>
  <c r="B328" i="6" s="1"/>
  <c r="B332" i="6" s="1"/>
  <c r="B336" i="6" s="1"/>
  <c r="B340" i="6" s="1"/>
  <c r="B344" i="6" s="1"/>
  <c r="B348" i="6" s="1"/>
  <c r="B352" i="6" s="1"/>
  <c r="B356" i="6" s="1"/>
  <c r="B11" i="6"/>
  <c r="C8" i="6"/>
  <c r="W1" i="6"/>
  <c r="U1" i="6"/>
  <c r="T1" i="6"/>
  <c r="H1" i="6"/>
  <c r="F1" i="17" s="1"/>
  <c r="F1" i="6"/>
  <c r="D1" i="17" s="1"/>
  <c r="E1" i="6"/>
  <c r="C1" i="17" s="1"/>
  <c r="U356" i="6" l="1" a="1"/>
  <c r="U356" i="6" s="1"/>
  <c r="U352" i="6" a="1"/>
  <c r="U352" i="6" s="1"/>
  <c r="U348" i="6" a="1"/>
  <c r="U348" i="6" s="1"/>
  <c r="U342" i="6" a="1"/>
  <c r="U342" i="6" s="1"/>
  <c r="U338" i="6" a="1"/>
  <c r="U338" i="6" s="1"/>
  <c r="U334" i="6" a="1"/>
  <c r="U334" i="6" s="1"/>
  <c r="U330" i="6" a="1"/>
  <c r="U330" i="6" s="1"/>
  <c r="U326" i="6" a="1"/>
  <c r="U326" i="6" s="1"/>
  <c r="U323" i="6" a="1"/>
  <c r="U323" i="6" s="1"/>
  <c r="U317" i="6" a="1"/>
  <c r="U317" i="6" s="1"/>
  <c r="U316" i="6" a="1"/>
  <c r="U316" i="6" s="1"/>
  <c r="U314" i="6" a="1"/>
  <c r="U314" i="6" s="1"/>
  <c r="U357" i="6" a="1"/>
  <c r="U357" i="6" s="1"/>
  <c r="U353" i="6" a="1"/>
  <c r="U353" i="6" s="1"/>
  <c r="U349" i="6" a="1"/>
  <c r="U349" i="6" s="1"/>
  <c r="U343" i="6" a="1"/>
  <c r="U343" i="6" s="1"/>
  <c r="U339" i="6" a="1"/>
  <c r="U339" i="6" s="1"/>
  <c r="U335" i="6" a="1"/>
  <c r="U335" i="6" s="1"/>
  <c r="U331" i="6" a="1"/>
  <c r="U331" i="6" s="1"/>
  <c r="U327" i="6" a="1"/>
  <c r="U327" i="6" s="1"/>
  <c r="U324" i="6" a="1"/>
  <c r="U324" i="6" s="1"/>
  <c r="U344" i="6" a="1"/>
  <c r="U344" i="6" s="1"/>
  <c r="U358" i="6" a="1"/>
  <c r="U358" i="6" s="1"/>
  <c r="U354" i="6" a="1"/>
  <c r="U354" i="6" s="1"/>
  <c r="U350" i="6" a="1"/>
  <c r="U350" i="6" s="1"/>
  <c r="U340" i="6" a="1"/>
  <c r="U340" i="6" s="1"/>
  <c r="U336" i="6" a="1"/>
  <c r="U336" i="6" s="1"/>
  <c r="U332" i="6" a="1"/>
  <c r="U332" i="6" s="1"/>
  <c r="U328" i="6" a="1"/>
  <c r="U328" i="6" s="1"/>
  <c r="U345" i="6" a="1"/>
  <c r="U345" i="6" s="1"/>
  <c r="U355" i="6" a="1"/>
  <c r="U355" i="6" s="1"/>
  <c r="S94" i="17" s="1"/>
  <c r="U351" i="6" a="1"/>
  <c r="U351" i="6" s="1"/>
  <c r="S93" i="17" s="1"/>
  <c r="U347" i="6" a="1"/>
  <c r="U347" i="6" s="1"/>
  <c r="S92" i="17" s="1"/>
  <c r="U346" i="6" a="1"/>
  <c r="U346" i="6" s="1"/>
  <c r="U341" i="6" a="1"/>
  <c r="U341" i="6" s="1"/>
  <c r="U337" i="6" a="1"/>
  <c r="U337" i="6" s="1"/>
  <c r="U333" i="6" a="1"/>
  <c r="U333" i="6" s="1"/>
  <c r="U329" i="6" a="1"/>
  <c r="U329" i="6" s="1"/>
  <c r="U325" i="6" a="1"/>
  <c r="U325" i="6" s="1"/>
  <c r="U322" i="6" a="1"/>
  <c r="U322" i="6" s="1"/>
  <c r="U312" i="6" a="1"/>
  <c r="U312" i="6" s="1"/>
  <c r="U310" i="6" a="1"/>
  <c r="U310" i="6" s="1"/>
  <c r="U315" i="6" a="1"/>
  <c r="U315" i="6" s="1"/>
  <c r="U308" i="6" a="1"/>
  <c r="U308" i="6" s="1"/>
  <c r="U297" i="6" a="1"/>
  <c r="U297" i="6" s="1"/>
  <c r="U295" i="6" a="1"/>
  <c r="U295" i="6" s="1"/>
  <c r="U293" i="6" a="1"/>
  <c r="U293" i="6" s="1"/>
  <c r="U291" i="6" a="1"/>
  <c r="U291" i="6" s="1"/>
  <c r="U283" i="6" a="1"/>
  <c r="U283" i="6" s="1"/>
  <c r="U321" i="6" a="1"/>
  <c r="U321" i="6" s="1"/>
  <c r="U299" i="6" a="1"/>
  <c r="U299" i="6" s="1"/>
  <c r="U318" i="6" a="1"/>
  <c r="U318" i="6" s="1"/>
  <c r="U309" i="6" a="1"/>
  <c r="U309" i="6" s="1"/>
  <c r="U306" i="6" a="1"/>
  <c r="U306" i="6" s="1"/>
  <c r="U304" i="6" a="1"/>
  <c r="U304" i="6" s="1"/>
  <c r="U302" i="6" a="1"/>
  <c r="U302" i="6" s="1"/>
  <c r="U294" i="6" a="1"/>
  <c r="U294" i="6" s="1"/>
  <c r="U313" i="6" a="1"/>
  <c r="U313" i="6" s="1"/>
  <c r="U311" i="6" a="1"/>
  <c r="U311" i="6" s="1"/>
  <c r="S83" i="17" s="1"/>
  <c r="U319" i="6" a="1"/>
  <c r="U319" i="6" s="1"/>
  <c r="U307" i="6" a="1"/>
  <c r="U307" i="6" s="1"/>
  <c r="S82" i="17" s="1"/>
  <c r="U300" i="6" a="1"/>
  <c r="U300" i="6" s="1"/>
  <c r="U279" i="6" a="1"/>
  <c r="U279" i="6" s="1"/>
  <c r="U278" i="6" a="1"/>
  <c r="U278" i="6" s="1"/>
  <c r="U303" i="6" a="1"/>
  <c r="U303" i="6" s="1"/>
  <c r="U296" i="6" a="1"/>
  <c r="U296" i="6" s="1"/>
  <c r="U280" i="6" a="1"/>
  <c r="U280" i="6" s="1"/>
  <c r="U275" i="6" a="1"/>
  <c r="U275" i="6" s="1"/>
  <c r="U271" i="6" a="1"/>
  <c r="U271" i="6" s="1"/>
  <c r="U267" i="6" a="1"/>
  <c r="U267" i="6" s="1"/>
  <c r="U263" i="6" a="1"/>
  <c r="U263" i="6" s="1"/>
  <c r="U320" i="6" a="1"/>
  <c r="U320" i="6" s="1"/>
  <c r="U305" i="6" a="1"/>
  <c r="U305" i="6" s="1"/>
  <c r="U298" i="6" a="1"/>
  <c r="U298" i="6" s="1"/>
  <c r="U272" i="6" a="1"/>
  <c r="U272" i="6" s="1"/>
  <c r="U268" i="6" a="1"/>
  <c r="U268" i="6" s="1"/>
  <c r="U264" i="6" a="1"/>
  <c r="U264" i="6" s="1"/>
  <c r="U260" i="6" a="1"/>
  <c r="U260" i="6" s="1"/>
  <c r="U276" i="6" a="1"/>
  <c r="U276" i="6" s="1"/>
  <c r="U288" i="6" a="1"/>
  <c r="U288" i="6" s="1"/>
  <c r="U285" i="6" a="1"/>
  <c r="U285" i="6" s="1"/>
  <c r="U284" i="6" a="1"/>
  <c r="U284" i="6" s="1"/>
  <c r="U301" i="6" a="1"/>
  <c r="U301" i="6" s="1"/>
  <c r="U292" i="6" a="1"/>
  <c r="U292" i="6" s="1"/>
  <c r="U290" i="6" a="1"/>
  <c r="U290" i="6" s="1"/>
  <c r="U289" i="6" a="1"/>
  <c r="U289" i="6" s="1"/>
  <c r="U286" i="6" a="1"/>
  <c r="U286" i="6" s="1"/>
  <c r="U282" i="6" a="1"/>
  <c r="U282" i="6" s="1"/>
  <c r="U277" i="6" a="1"/>
  <c r="U277" i="6" s="1"/>
  <c r="U274" i="6" a="1"/>
  <c r="U274" i="6" s="1"/>
  <c r="U270" i="6" a="1"/>
  <c r="U270" i="6" s="1"/>
  <c r="U266" i="6" a="1"/>
  <c r="U266" i="6" s="1"/>
  <c r="U262" i="6" a="1"/>
  <c r="U262" i="6" s="1"/>
  <c r="U281" i="6" a="1"/>
  <c r="U281" i="6" s="1"/>
  <c r="U261" i="6" a="1"/>
  <c r="U261" i="6" s="1"/>
  <c r="U258" i="6" a="1"/>
  <c r="U258" i="6" s="1"/>
  <c r="U256" i="6" a="1"/>
  <c r="U256" i="6" s="1"/>
  <c r="U250" i="6" a="1"/>
  <c r="U250" i="6" s="1"/>
  <c r="U235" i="6" a="1"/>
  <c r="U235" i="6" s="1"/>
  <c r="U233" i="6" a="1"/>
  <c r="U233" i="6" s="1"/>
  <c r="U229" i="6" a="1"/>
  <c r="U229" i="6" s="1"/>
  <c r="U222" i="6" a="1"/>
  <c r="U222" i="6" s="1"/>
  <c r="U265" i="6" a="1"/>
  <c r="U265" i="6" s="1"/>
  <c r="U255" i="6" a="1"/>
  <c r="U255" i="6" s="1"/>
  <c r="U245" i="6" a="1"/>
  <c r="U245" i="6" s="1"/>
  <c r="U236" i="6" a="1"/>
  <c r="U236" i="6" s="1"/>
  <c r="U230" i="6" a="1"/>
  <c r="U230" i="6" s="1"/>
  <c r="U269" i="6" a="1"/>
  <c r="U269" i="6" s="1"/>
  <c r="U259" i="6" a="1"/>
  <c r="U259" i="6" s="1"/>
  <c r="S70" i="17" s="1"/>
  <c r="U254" i="6" a="1"/>
  <c r="U254" i="6" s="1"/>
  <c r="U251" i="6" a="1"/>
  <c r="U251" i="6" s="1"/>
  <c r="U246" i="6" a="1"/>
  <c r="U246" i="6" s="1"/>
  <c r="U240" i="6" a="1"/>
  <c r="U240" i="6" s="1"/>
  <c r="U273" i="6" a="1"/>
  <c r="U273" i="6" s="1"/>
  <c r="U247" i="6" a="1"/>
  <c r="U247" i="6" s="1"/>
  <c r="U241" i="6" a="1"/>
  <c r="U241" i="6" s="1"/>
  <c r="U237" i="6" a="1"/>
  <c r="U237" i="6" s="1"/>
  <c r="U234" i="6" a="1"/>
  <c r="U234" i="6" s="1"/>
  <c r="U252" i="6" a="1"/>
  <c r="U252" i="6" s="1"/>
  <c r="U248" i="6" a="1"/>
  <c r="U248" i="6" s="1"/>
  <c r="U242" i="6" a="1"/>
  <c r="U242" i="6" s="1"/>
  <c r="U239" i="6" a="1"/>
  <c r="U239" i="6" s="1"/>
  <c r="U232" i="6" a="1"/>
  <c r="U232" i="6" s="1"/>
  <c r="U231" i="6" a="1"/>
  <c r="U231" i="6" s="1"/>
  <c r="U249" i="6" a="1"/>
  <c r="U249" i="6" s="1"/>
  <c r="U224" i="6" a="1"/>
  <c r="U224" i="6" s="1"/>
  <c r="U257" i="6" a="1"/>
  <c r="U257" i="6" s="1"/>
  <c r="U253" i="6" a="1"/>
  <c r="U253" i="6" s="1"/>
  <c r="U244" i="6" a="1"/>
  <c r="U244" i="6" s="1"/>
  <c r="U238" i="6" a="1"/>
  <c r="U238" i="6" s="1"/>
  <c r="U228" i="6" a="1"/>
  <c r="U228" i="6" s="1"/>
  <c r="U226" i="6" a="1"/>
  <c r="U226" i="6" s="1"/>
  <c r="U219" i="6" a="1"/>
  <c r="U219" i="6" s="1"/>
  <c r="U215" i="6" a="1"/>
  <c r="U215" i="6" s="1"/>
  <c r="U213" i="6" a="1"/>
  <c r="U213" i="6" s="1"/>
  <c r="U193" i="6" a="1"/>
  <c r="U193" i="6" s="1"/>
  <c r="U190" i="6" a="1"/>
  <c r="U190" i="6" s="1"/>
  <c r="U186" i="6" a="1"/>
  <c r="U186" i="6" s="1"/>
  <c r="U227" i="6" a="1"/>
  <c r="U227" i="6" s="1"/>
  <c r="S62" i="17" s="1"/>
  <c r="U217" i="6" a="1"/>
  <c r="U217" i="6" s="1"/>
  <c r="U212" i="6" a="1"/>
  <c r="U212" i="6" s="1"/>
  <c r="U202" i="6" a="1"/>
  <c r="U202" i="6" s="1"/>
  <c r="U198" i="6" a="1"/>
  <c r="U198" i="6" s="1"/>
  <c r="U194" i="6" a="1"/>
  <c r="U194" i="6" s="1"/>
  <c r="U189" i="6" a="1"/>
  <c r="U189" i="6" s="1"/>
  <c r="U243" i="6" a="1"/>
  <c r="U243" i="6" s="1"/>
  <c r="S66" i="17" s="1"/>
  <c r="U211" i="6" a="1"/>
  <c r="U211" i="6" s="1"/>
  <c r="U209" i="6" a="1"/>
  <c r="U209" i="6" s="1"/>
  <c r="U208" i="6" a="1"/>
  <c r="U208" i="6" s="1"/>
  <c r="U221" i="6" a="1"/>
  <c r="U221" i="6" s="1"/>
  <c r="U210" i="6" a="1"/>
  <c r="U210" i="6" s="1"/>
  <c r="U203" i="6" a="1"/>
  <c r="U203" i="6" s="1"/>
  <c r="U199" i="6" a="1"/>
  <c r="U199" i="6" s="1"/>
  <c r="U195" i="6" a="1"/>
  <c r="U195" i="6" s="1"/>
  <c r="U223" i="6" a="1"/>
  <c r="U223" i="6" s="1"/>
  <c r="S61" i="17" s="1"/>
  <c r="U207" i="6" a="1"/>
  <c r="U207" i="6" s="1"/>
  <c r="U205" i="6" a="1"/>
  <c r="U205" i="6" s="1"/>
  <c r="U204" i="6" a="1"/>
  <c r="U204" i="6" s="1"/>
  <c r="U192" i="6" a="1"/>
  <c r="U192" i="6" s="1"/>
  <c r="U225" i="6" a="1"/>
  <c r="U225" i="6" s="1"/>
  <c r="U220" i="6" a="1"/>
  <c r="U220" i="6" s="1"/>
  <c r="U218" i="6" a="1"/>
  <c r="U218" i="6" s="1"/>
  <c r="U287" i="6" a="1"/>
  <c r="U287" i="6" s="1"/>
  <c r="S77" i="17" s="1"/>
  <c r="U214" i="6" a="1"/>
  <c r="U214" i="6" s="1"/>
  <c r="U201" i="6" a="1"/>
  <c r="U201" i="6" s="1"/>
  <c r="U197" i="6" a="1"/>
  <c r="U197" i="6" s="1"/>
  <c r="U182" i="6" a="1"/>
  <c r="U182" i="6" s="1"/>
  <c r="U169" i="6" a="1"/>
  <c r="U169" i="6" s="1"/>
  <c r="U161" i="6" a="1"/>
  <c r="U161" i="6" s="1"/>
  <c r="U165" i="6" a="1"/>
  <c r="U165" i="6" s="1"/>
  <c r="U155" i="6" a="1"/>
  <c r="U155" i="6" s="1"/>
  <c r="U191" i="6" a="1"/>
  <c r="U191" i="6" s="1"/>
  <c r="S53" i="17" s="1"/>
  <c r="U185" i="6" a="1"/>
  <c r="U185" i="6" s="1"/>
  <c r="U180" i="6" a="1"/>
  <c r="U180" i="6" s="1"/>
  <c r="U176" i="6" a="1"/>
  <c r="U176" i="6" s="1"/>
  <c r="U175" i="6" a="1"/>
  <c r="U175" i="6" s="1"/>
  <c r="U172" i="6" a="1"/>
  <c r="U172" i="6" s="1"/>
  <c r="U160" i="6" a="1"/>
  <c r="U160" i="6" s="1"/>
  <c r="U184" i="6" a="1"/>
  <c r="U184" i="6" s="1"/>
  <c r="U171" i="6" a="1"/>
  <c r="U171" i="6" s="1"/>
  <c r="U164" i="6" a="1"/>
  <c r="U164" i="6" s="1"/>
  <c r="U168" i="6" a="1"/>
  <c r="U168" i="6" s="1"/>
  <c r="U163" i="6" a="1"/>
  <c r="U163" i="6" s="1"/>
  <c r="U159" i="6" a="1"/>
  <c r="U159" i="6" s="1"/>
  <c r="U196" i="6" a="1"/>
  <c r="U196" i="6" s="1"/>
  <c r="U188" i="6" a="1"/>
  <c r="U188" i="6" s="1"/>
  <c r="U179" i="6" a="1"/>
  <c r="U179" i="6" s="1"/>
  <c r="U174" i="6" a="1"/>
  <c r="U174" i="6" s="1"/>
  <c r="U170" i="6" a="1"/>
  <c r="U170" i="6" s="1"/>
  <c r="U167" i="6" a="1"/>
  <c r="U167" i="6" s="1"/>
  <c r="U200" i="6" a="1"/>
  <c r="U200" i="6" s="1"/>
  <c r="U183" i="6" a="1"/>
  <c r="U183" i="6" s="1"/>
  <c r="U178" i="6" a="1"/>
  <c r="U178" i="6" s="1"/>
  <c r="U177" i="6" a="1"/>
  <c r="U177" i="6" s="1"/>
  <c r="U162" i="6" a="1"/>
  <c r="U162" i="6" s="1"/>
  <c r="U157" i="6" a="1"/>
  <c r="U157" i="6" s="1"/>
  <c r="U206" i="6" a="1"/>
  <c r="U206" i="6" s="1"/>
  <c r="U156" i="6" a="1"/>
  <c r="U156" i="6" s="1"/>
  <c r="U153" i="6" a="1"/>
  <c r="U153" i="6" s="1"/>
  <c r="U150" i="6" a="1"/>
  <c r="U150" i="6" s="1"/>
  <c r="U136" i="6" a="1"/>
  <c r="U136" i="6" s="1"/>
  <c r="U134" i="6" a="1"/>
  <c r="U134" i="6" s="1"/>
  <c r="U216" i="6" a="1"/>
  <c r="U216" i="6" s="1"/>
  <c r="U152" i="6" a="1"/>
  <c r="U152" i="6" s="1"/>
  <c r="U151" i="6" a="1"/>
  <c r="U151" i="6" s="1"/>
  <c r="U140" i="6" a="1"/>
  <c r="U140" i="6" s="1"/>
  <c r="U139" i="6" a="1"/>
  <c r="U139" i="6" s="1"/>
  <c r="U147" i="6" a="1"/>
  <c r="U147" i="6" s="1"/>
  <c r="U145" i="6" a="1"/>
  <c r="U145" i="6" s="1"/>
  <c r="U137" i="6" a="1"/>
  <c r="U137" i="6" s="1"/>
  <c r="U122" i="6" a="1"/>
  <c r="U122" i="6" s="1"/>
  <c r="U181" i="6" a="1"/>
  <c r="U181" i="6" s="1"/>
  <c r="U166" i="6" a="1"/>
  <c r="U166" i="6" s="1"/>
  <c r="U158" i="6" a="1"/>
  <c r="U158" i="6" s="1"/>
  <c r="U144" i="6" a="1"/>
  <c r="U144" i="6" s="1"/>
  <c r="U141" i="6" a="1"/>
  <c r="U141" i="6" s="1"/>
  <c r="U138" i="6" a="1"/>
  <c r="U138" i="6" s="1"/>
  <c r="U123" i="6" a="1"/>
  <c r="U123" i="6" s="1"/>
  <c r="U120" i="6" a="1"/>
  <c r="U120" i="6" s="1"/>
  <c r="U127" i="6" a="1"/>
  <c r="U127" i="6" s="1"/>
  <c r="U126" i="6" a="1"/>
  <c r="U126" i="6" s="1"/>
  <c r="U187" i="6" a="1"/>
  <c r="U187" i="6" s="1"/>
  <c r="S52" i="17" s="1"/>
  <c r="U173" i="6" a="1"/>
  <c r="U173" i="6" s="1"/>
  <c r="U149" i="6" a="1"/>
  <c r="U149" i="6" s="1"/>
  <c r="U148" i="6" a="1"/>
  <c r="U148" i="6" s="1"/>
  <c r="U142" i="6" a="1"/>
  <c r="U142" i="6" s="1"/>
  <c r="U131" i="6" a="1"/>
  <c r="U131" i="6" s="1"/>
  <c r="U124" i="6" a="1"/>
  <c r="U124" i="6" s="1"/>
  <c r="U121" i="6" a="1"/>
  <c r="U121" i="6" s="1"/>
  <c r="U146" i="6" a="1"/>
  <c r="U146" i="6" s="1"/>
  <c r="U143" i="6" a="1"/>
  <c r="U143" i="6" s="1"/>
  <c r="S41" i="17" s="1"/>
  <c r="U135" i="6" a="1"/>
  <c r="U135" i="6" s="1"/>
  <c r="S39" i="17" s="1"/>
  <c r="U128" i="6" a="1"/>
  <c r="U128" i="6" s="1"/>
  <c r="U125" i="6" a="1"/>
  <c r="U125" i="6" s="1"/>
  <c r="U154" i="6" a="1"/>
  <c r="U154" i="6" s="1"/>
  <c r="U133" i="6" a="1"/>
  <c r="U133" i="6" s="1"/>
  <c r="U130" i="6" a="1"/>
  <c r="U130" i="6" s="1"/>
  <c r="U118" i="6" a="1"/>
  <c r="U118" i="6" s="1"/>
  <c r="U114" i="6" a="1"/>
  <c r="U114" i="6" s="1"/>
  <c r="U115" i="6" a="1"/>
  <c r="U115" i="6" s="1"/>
  <c r="U111" i="6" a="1"/>
  <c r="U111" i="6" s="1"/>
  <c r="U107" i="6" a="1"/>
  <c r="U107" i="6" s="1"/>
  <c r="U103" i="6" a="1"/>
  <c r="U103" i="6" s="1"/>
  <c r="U99" i="6" a="1"/>
  <c r="U99" i="6" s="1"/>
  <c r="U96" i="6" a="1"/>
  <c r="U96" i="6" s="1"/>
  <c r="U93" i="6" a="1"/>
  <c r="U93" i="6" s="1"/>
  <c r="U90" i="6" a="1"/>
  <c r="U90" i="6" s="1"/>
  <c r="U86" i="6" a="1"/>
  <c r="U86" i="6" s="1"/>
  <c r="U82" i="6" a="1"/>
  <c r="U82" i="6" s="1"/>
  <c r="U77" i="6" a="1"/>
  <c r="U77" i="6" s="1"/>
  <c r="U73" i="6" a="1"/>
  <c r="U73" i="6" s="1"/>
  <c r="U69" i="6" a="1"/>
  <c r="U69" i="6" s="1"/>
  <c r="U65" i="6" a="1"/>
  <c r="U65" i="6" s="1"/>
  <c r="U61" i="6" a="1"/>
  <c r="U61" i="6" s="1"/>
  <c r="U57" i="6" a="1"/>
  <c r="U57" i="6" s="1"/>
  <c r="U53" i="6" a="1"/>
  <c r="U53" i="6" s="1"/>
  <c r="U49" i="6" a="1"/>
  <c r="U49" i="6" s="1"/>
  <c r="U45" i="6" a="1"/>
  <c r="U45" i="6" s="1"/>
  <c r="U119" i="6" a="1"/>
  <c r="U119" i="6" s="1"/>
  <c r="S35" i="17" s="1"/>
  <c r="U117" i="6" a="1"/>
  <c r="U117" i="6" s="1"/>
  <c r="U108" i="6" a="1"/>
  <c r="U108" i="6" s="1"/>
  <c r="U104" i="6" a="1"/>
  <c r="U104" i="6" s="1"/>
  <c r="U98" i="6" a="1"/>
  <c r="U98" i="6" s="1"/>
  <c r="U95" i="6" a="1"/>
  <c r="U95" i="6" s="1"/>
  <c r="U91" i="6" a="1"/>
  <c r="U91" i="6" s="1"/>
  <c r="U87" i="6" a="1"/>
  <c r="U87" i="6" s="1"/>
  <c r="U83" i="6" a="1"/>
  <c r="U83" i="6" s="1"/>
  <c r="U79" i="6" a="1"/>
  <c r="U79" i="6" s="1"/>
  <c r="U78" i="6" a="1"/>
  <c r="U78" i="6" s="1"/>
  <c r="U74" i="6" a="1"/>
  <c r="U74" i="6" s="1"/>
  <c r="U70" i="6" a="1"/>
  <c r="U70" i="6" s="1"/>
  <c r="U66" i="6" a="1"/>
  <c r="U66" i="6" s="1"/>
  <c r="U62" i="6" a="1"/>
  <c r="U62" i="6" s="1"/>
  <c r="U58" i="6" a="1"/>
  <c r="U58" i="6" s="1"/>
  <c r="U54" i="6" a="1"/>
  <c r="U54" i="6" s="1"/>
  <c r="U50" i="6" a="1"/>
  <c r="U50" i="6" s="1"/>
  <c r="U46" i="6" a="1"/>
  <c r="U46" i="6" s="1"/>
  <c r="U42" i="6" a="1"/>
  <c r="U42" i="6" s="1"/>
  <c r="U132" i="6" a="1"/>
  <c r="U132" i="6" s="1"/>
  <c r="U129" i="6" a="1"/>
  <c r="U129" i="6" s="1"/>
  <c r="U113" i="6" a="1"/>
  <c r="U113" i="6" s="1"/>
  <c r="U112" i="6" a="1"/>
  <c r="U112" i="6" s="1"/>
  <c r="U92" i="6" a="1"/>
  <c r="U92" i="6" s="1"/>
  <c r="U116" i="6" a="1"/>
  <c r="U116" i="6" s="1"/>
  <c r="U109" i="6" a="1"/>
  <c r="U109" i="6" s="1"/>
  <c r="U105" i="6" a="1"/>
  <c r="U105" i="6" s="1"/>
  <c r="U88" i="6" a="1"/>
  <c r="U88" i="6" s="1"/>
  <c r="U84" i="6" a="1"/>
  <c r="U84" i="6" s="1"/>
  <c r="U80" i="6" a="1"/>
  <c r="U80" i="6" s="1"/>
  <c r="U75" i="6" a="1"/>
  <c r="U75" i="6" s="1"/>
  <c r="U71" i="6" a="1"/>
  <c r="U71" i="6" s="1"/>
  <c r="U67" i="6" a="1"/>
  <c r="U67" i="6" s="1"/>
  <c r="U63" i="6" a="1"/>
  <c r="U63" i="6" s="1"/>
  <c r="U59" i="6" a="1"/>
  <c r="U59" i="6" s="1"/>
  <c r="U55" i="6" a="1"/>
  <c r="U55" i="6" s="1"/>
  <c r="U51" i="6" a="1"/>
  <c r="U51" i="6" s="1"/>
  <c r="U47" i="6" a="1"/>
  <c r="U47" i="6" s="1"/>
  <c r="U43" i="6" a="1"/>
  <c r="U43" i="6" s="1"/>
  <c r="U101" i="6" a="1"/>
  <c r="U101" i="6" s="1"/>
  <c r="U32" i="6" a="1"/>
  <c r="U32" i="6" s="1"/>
  <c r="U31" i="6" a="1"/>
  <c r="U31" i="6" s="1"/>
  <c r="U30" i="6" a="1"/>
  <c r="U30" i="6" s="1"/>
  <c r="U29" i="6" a="1"/>
  <c r="U29" i="6" s="1"/>
  <c r="U28" i="6" a="1"/>
  <c r="U28" i="6" s="1"/>
  <c r="U110" i="6" a="1"/>
  <c r="U110" i="6" s="1"/>
  <c r="U106" i="6" a="1"/>
  <c r="U106" i="6" s="1"/>
  <c r="U102" i="6" a="1"/>
  <c r="U102" i="6" s="1"/>
  <c r="U100" i="6" a="1"/>
  <c r="U100" i="6" s="1"/>
  <c r="U97" i="6" a="1"/>
  <c r="U97" i="6" s="1"/>
  <c r="U94" i="6" a="1"/>
  <c r="U94" i="6" s="1"/>
  <c r="U89" i="6" a="1"/>
  <c r="U89" i="6" s="1"/>
  <c r="U85" i="6" a="1"/>
  <c r="U85" i="6" s="1"/>
  <c r="U81" i="6" a="1"/>
  <c r="U81" i="6" s="1"/>
  <c r="U64" i="6" a="1"/>
  <c r="U64" i="6" s="1"/>
  <c r="U38" i="6" a="1"/>
  <c r="U38" i="6" s="1"/>
  <c r="U68" i="6" a="1"/>
  <c r="U68" i="6" s="1"/>
  <c r="U39" i="6" a="1"/>
  <c r="U39" i="6" s="1"/>
  <c r="U25" i="6" a="1"/>
  <c r="U25" i="6" s="1"/>
  <c r="U21" i="6" a="1"/>
  <c r="U21" i="6" s="1"/>
  <c r="U17" i="6" a="1"/>
  <c r="U17" i="6" s="1"/>
  <c r="U13" i="6" a="1"/>
  <c r="U13" i="6" s="1"/>
  <c r="U9" i="6" a="1"/>
  <c r="U9" i="6" s="1"/>
  <c r="U27" i="6" a="1"/>
  <c r="U27" i="6" s="1"/>
  <c r="S12" i="17" s="1"/>
  <c r="U7" i="6" a="1"/>
  <c r="U7" i="6" s="1"/>
  <c r="U72" i="6" a="1"/>
  <c r="U72" i="6" s="1"/>
  <c r="U40" i="6" a="1"/>
  <c r="U40" i="6" s="1"/>
  <c r="U76" i="6" a="1"/>
  <c r="U76" i="6" s="1"/>
  <c r="U44" i="6" a="1"/>
  <c r="U44" i="6" s="1"/>
  <c r="U41" i="6" a="1"/>
  <c r="U41" i="6" s="1"/>
  <c r="U26" i="6" a="1"/>
  <c r="U26" i="6" s="1"/>
  <c r="U22" i="6" a="1"/>
  <c r="U22" i="6" s="1"/>
  <c r="U18" i="6" a="1"/>
  <c r="U18" i="6" s="1"/>
  <c r="U14" i="6" a="1"/>
  <c r="U14" i="6" s="1"/>
  <c r="U10" i="6" a="1"/>
  <c r="U10" i="6" s="1"/>
  <c r="U6" i="6" a="1"/>
  <c r="U6" i="6" s="1"/>
  <c r="S6" i="17" s="1"/>
  <c r="U33" i="6" a="1"/>
  <c r="U33" i="6" s="1"/>
  <c r="U19" i="6" a="1"/>
  <c r="U19" i="6" s="1"/>
  <c r="U48" i="6" a="1"/>
  <c r="U48" i="6" s="1"/>
  <c r="U35" i="6" a="1"/>
  <c r="U35" i="6" s="1"/>
  <c r="U52" i="6" a="1"/>
  <c r="U52" i="6" s="1"/>
  <c r="U34" i="6" a="1"/>
  <c r="U34" i="6" s="1"/>
  <c r="U23" i="6" a="1"/>
  <c r="U23" i="6" s="1"/>
  <c r="U56" i="6" a="1"/>
  <c r="U56" i="6" s="1"/>
  <c r="U36" i="6" a="1"/>
  <c r="U36" i="6" s="1"/>
  <c r="U15" i="6" a="1"/>
  <c r="U15" i="6" s="1"/>
  <c r="S9" i="17" s="1"/>
  <c r="U60" i="6" a="1"/>
  <c r="U60" i="6" s="1"/>
  <c r="U37" i="6" a="1"/>
  <c r="U37" i="6" s="1"/>
  <c r="U24" i="6" a="1"/>
  <c r="U24" i="6" s="1"/>
  <c r="U20" i="6" a="1"/>
  <c r="U20" i="6" s="1"/>
  <c r="U16" i="6" a="1"/>
  <c r="U16" i="6" s="1"/>
  <c r="U12" i="6" a="1"/>
  <c r="U12" i="6" s="1"/>
  <c r="U8" i="6" a="1"/>
  <c r="U8" i="6" s="1"/>
  <c r="U11" i="6" a="1"/>
  <c r="U11" i="6" s="1"/>
  <c r="S8" i="17" s="1"/>
  <c r="S1" i="17"/>
  <c r="W357" i="6" a="1"/>
  <c r="W357" i="6" s="1"/>
  <c r="W353" i="6" a="1"/>
  <c r="W353" i="6" s="1"/>
  <c r="W349" i="6" a="1"/>
  <c r="W349" i="6" s="1"/>
  <c r="W339" i="6" a="1"/>
  <c r="W339" i="6" s="1"/>
  <c r="W335" i="6" a="1"/>
  <c r="W335" i="6" s="1"/>
  <c r="W331" i="6" a="1"/>
  <c r="W331" i="6" s="1"/>
  <c r="W327" i="6" a="1"/>
  <c r="W327" i="6" s="1"/>
  <c r="W324" i="6" a="1"/>
  <c r="W324" i="6" s="1"/>
  <c r="W320" i="6" a="1"/>
  <c r="W320" i="6" s="1"/>
  <c r="W344" i="6" a="1"/>
  <c r="W344" i="6" s="1"/>
  <c r="W358" i="6" a="1"/>
  <c r="W358" i="6" s="1"/>
  <c r="W354" i="6" a="1"/>
  <c r="W354" i="6" s="1"/>
  <c r="W350" i="6" a="1"/>
  <c r="W350" i="6" s="1"/>
  <c r="W340" i="6" a="1"/>
  <c r="W340" i="6" s="1"/>
  <c r="W336" i="6" a="1"/>
  <c r="W336" i="6" s="1"/>
  <c r="W332" i="6" a="1"/>
  <c r="W332" i="6" s="1"/>
  <c r="W328" i="6" a="1"/>
  <c r="W328" i="6" s="1"/>
  <c r="W345" i="6" a="1"/>
  <c r="W345" i="6" s="1"/>
  <c r="W355" i="6" a="1"/>
  <c r="W355" i="6" s="1"/>
  <c r="W351" i="6" a="1"/>
  <c r="W351" i="6" s="1"/>
  <c r="W347" i="6" a="1"/>
  <c r="W347" i="6" s="1"/>
  <c r="U92" i="17" s="1"/>
  <c r="W346" i="6" a="1"/>
  <c r="W346" i="6" s="1"/>
  <c r="W341" i="6" a="1"/>
  <c r="W341" i="6" s="1"/>
  <c r="W337" i="6" a="1"/>
  <c r="W337" i="6" s="1"/>
  <c r="W333" i="6" a="1"/>
  <c r="W333" i="6" s="1"/>
  <c r="W329" i="6" a="1"/>
  <c r="W329" i="6" s="1"/>
  <c r="W325" i="6" a="1"/>
  <c r="W325" i="6" s="1"/>
  <c r="W318" i="6" a="1"/>
  <c r="W318" i="6" s="1"/>
  <c r="W317" i="6" a="1"/>
  <c r="W317" i="6" s="1"/>
  <c r="W356" i="6" a="1"/>
  <c r="W356" i="6" s="1"/>
  <c r="W352" i="6" a="1"/>
  <c r="W352" i="6" s="1"/>
  <c r="W348" i="6" a="1"/>
  <c r="W348" i="6" s="1"/>
  <c r="W342" i="6" a="1"/>
  <c r="W342" i="6" s="1"/>
  <c r="W338" i="6" a="1"/>
  <c r="W338" i="6" s="1"/>
  <c r="W334" i="6" a="1"/>
  <c r="W334" i="6" s="1"/>
  <c r="W330" i="6" a="1"/>
  <c r="W330" i="6" s="1"/>
  <c r="W326" i="6" a="1"/>
  <c r="W326" i="6" s="1"/>
  <c r="W323" i="6" a="1"/>
  <c r="W323" i="6" s="1"/>
  <c r="W319" i="6" a="1"/>
  <c r="W319" i="6" s="1"/>
  <c r="U85" i="17" s="1"/>
  <c r="W343" i="6" a="1"/>
  <c r="W343" i="6" s="1"/>
  <c r="W315" i="6" a="1"/>
  <c r="W315" i="6" s="1"/>
  <c r="U84" i="17" s="1"/>
  <c r="W306" i="6" a="1"/>
  <c r="W306" i="6" s="1"/>
  <c r="W299" i="6" a="1"/>
  <c r="W299" i="6" s="1"/>
  <c r="W321" i="6" a="1"/>
  <c r="W321" i="6" s="1"/>
  <c r="W314" i="6" a="1"/>
  <c r="W314" i="6" s="1"/>
  <c r="W309" i="6" a="1"/>
  <c r="W309" i="6" s="1"/>
  <c r="W304" i="6" a="1"/>
  <c r="W304" i="6" s="1"/>
  <c r="W302" i="6" a="1"/>
  <c r="W302" i="6" s="1"/>
  <c r="W294" i="6" a="1"/>
  <c r="W294" i="6" s="1"/>
  <c r="W289" i="6" a="1"/>
  <c r="W289" i="6" s="1"/>
  <c r="W284" i="6" a="1"/>
  <c r="W284" i="6" s="1"/>
  <c r="W313" i="6" a="1"/>
  <c r="W313" i="6" s="1"/>
  <c r="W311" i="6" a="1"/>
  <c r="W311" i="6" s="1"/>
  <c r="U83" i="17" s="1"/>
  <c r="W300" i="6" a="1"/>
  <c r="W300" i="6" s="1"/>
  <c r="W307" i="6" a="1"/>
  <c r="W307" i="6" s="1"/>
  <c r="W305" i="6" a="1"/>
  <c r="W305" i="6" s="1"/>
  <c r="W303" i="6" a="1"/>
  <c r="W303" i="6" s="1"/>
  <c r="W290" i="6" a="1"/>
  <c r="W290" i="6" s="1"/>
  <c r="W322" i="6" a="1"/>
  <c r="W322" i="6" s="1"/>
  <c r="W298" i="6" a="1"/>
  <c r="W298" i="6" s="1"/>
  <c r="W296" i="6" a="1"/>
  <c r="W296" i="6" s="1"/>
  <c r="W316" i="6" a="1"/>
  <c r="W316" i="6" s="1"/>
  <c r="W301" i="6" a="1"/>
  <c r="W301" i="6" s="1"/>
  <c r="W312" i="6" a="1"/>
  <c r="W312" i="6" s="1"/>
  <c r="W308" i="6" a="1"/>
  <c r="W308" i="6" s="1"/>
  <c r="W276" i="6" a="1"/>
  <c r="W276" i="6" s="1"/>
  <c r="W272" i="6" a="1"/>
  <c r="W272" i="6" s="1"/>
  <c r="W268" i="6" a="1"/>
  <c r="W268" i="6" s="1"/>
  <c r="W264" i="6" a="1"/>
  <c r="W264" i="6" s="1"/>
  <c r="W281" i="6" a="1"/>
  <c r="W281" i="6" s="1"/>
  <c r="W293" i="6" a="1"/>
  <c r="W293" i="6" s="1"/>
  <c r="W291" i="6" a="1"/>
  <c r="W291" i="6" s="1"/>
  <c r="W287" i="6" a="1"/>
  <c r="W287" i="6" s="1"/>
  <c r="W277" i="6" a="1"/>
  <c r="W277" i="6" s="1"/>
  <c r="W273" i="6" a="1"/>
  <c r="W273" i="6" s="1"/>
  <c r="W269" i="6" a="1"/>
  <c r="W269" i="6" s="1"/>
  <c r="W265" i="6" a="1"/>
  <c r="W265" i="6" s="1"/>
  <c r="W261" i="6" a="1"/>
  <c r="W261" i="6" s="1"/>
  <c r="W288" i="6" a="1"/>
  <c r="W288" i="6" s="1"/>
  <c r="W285" i="6" a="1"/>
  <c r="W285" i="6" s="1"/>
  <c r="W253" i="6" a="1"/>
  <c r="W253" i="6" s="1"/>
  <c r="W297" i="6" a="1"/>
  <c r="W297" i="6" s="1"/>
  <c r="W292" i="6" a="1"/>
  <c r="W292" i="6" s="1"/>
  <c r="W279" i="6" a="1"/>
  <c r="W279" i="6" s="1"/>
  <c r="W278" i="6" a="1"/>
  <c r="W278" i="6" s="1"/>
  <c r="W310" i="6" a="1"/>
  <c r="W310" i="6" s="1"/>
  <c r="W280" i="6" a="1"/>
  <c r="W280" i="6" s="1"/>
  <c r="W275" i="6" a="1"/>
  <c r="W275" i="6" s="1"/>
  <c r="W271" i="6" a="1"/>
  <c r="W271" i="6" s="1"/>
  <c r="U73" i="17" s="1"/>
  <c r="W267" i="6" a="1"/>
  <c r="W267" i="6" s="1"/>
  <c r="U72" i="17" s="1"/>
  <c r="W263" i="6" a="1"/>
  <c r="W263" i="6" s="1"/>
  <c r="W270" i="6" a="1"/>
  <c r="W270" i="6" s="1"/>
  <c r="W255" i="6" a="1"/>
  <c r="W255" i="6" s="1"/>
  <c r="W254" i="6" a="1"/>
  <c r="W254" i="6" s="1"/>
  <c r="W251" i="6" a="1"/>
  <c r="W251" i="6" s="1"/>
  <c r="W246" i="6" a="1"/>
  <c r="W246" i="6" s="1"/>
  <c r="W240" i="6" a="1"/>
  <c r="W240" i="6" s="1"/>
  <c r="W221" i="6" a="1"/>
  <c r="W221" i="6" s="1"/>
  <c r="W274" i="6" a="1"/>
  <c r="W274" i="6" s="1"/>
  <c r="W259" i="6" a="1"/>
  <c r="W259" i="6" s="1"/>
  <c r="W247" i="6" a="1"/>
  <c r="W247" i="6" s="1"/>
  <c r="W241" i="6" a="1"/>
  <c r="W241" i="6" s="1"/>
  <c r="W237" i="6" a="1"/>
  <c r="W237" i="6" s="1"/>
  <c r="W234" i="6" a="1"/>
  <c r="W234" i="6" s="1"/>
  <c r="W282" i="6" a="1"/>
  <c r="W282" i="6" s="1"/>
  <c r="W248" i="6" a="1"/>
  <c r="W248" i="6" s="1"/>
  <c r="W242" i="6" a="1"/>
  <c r="W242" i="6" s="1"/>
  <c r="W239" i="6" a="1"/>
  <c r="W239" i="6" s="1"/>
  <c r="W232" i="6" a="1"/>
  <c r="W232" i="6" s="1"/>
  <c r="W231" i="6" a="1"/>
  <c r="W231" i="6" s="1"/>
  <c r="W227" i="6" a="1"/>
  <c r="W227" i="6" s="1"/>
  <c r="W225" i="6" a="1"/>
  <c r="W225" i="6" s="1"/>
  <c r="W286" i="6" a="1"/>
  <c r="W286" i="6" s="1"/>
  <c r="W252" i="6" a="1"/>
  <c r="W252" i="6" s="1"/>
  <c r="W243" i="6" a="1"/>
  <c r="W243" i="6" s="1"/>
  <c r="W283" i="6" a="1"/>
  <c r="W283" i="6" s="1"/>
  <c r="W260" i="6" a="1"/>
  <c r="W260" i="6" s="1"/>
  <c r="W249" i="6" a="1"/>
  <c r="W249" i="6" s="1"/>
  <c r="W238" i="6" a="1"/>
  <c r="W238" i="6" s="1"/>
  <c r="W228" i="6" a="1"/>
  <c r="W228" i="6" s="1"/>
  <c r="W262" i="6" a="1"/>
  <c r="W262" i="6" s="1"/>
  <c r="W257" i="6" a="1"/>
  <c r="W257" i="6" s="1"/>
  <c r="W250" i="6" a="1"/>
  <c r="W250" i="6" s="1"/>
  <c r="W236" i="6" a="1"/>
  <c r="W236" i="6" s="1"/>
  <c r="W235" i="6" a="1"/>
  <c r="W235" i="6" s="1"/>
  <c r="W233" i="6" a="1"/>
  <c r="W233" i="6" s="1"/>
  <c r="W230" i="6" a="1"/>
  <c r="W230" i="6" s="1"/>
  <c r="W229" i="6" a="1"/>
  <c r="W229" i="6" s="1"/>
  <c r="W222" i="6" a="1"/>
  <c r="W222" i="6" s="1"/>
  <c r="W220" i="6" a="1"/>
  <c r="W220" i="6" s="1"/>
  <c r="W295" i="6" a="1"/>
  <c r="W295" i="6" s="1"/>
  <c r="W266" i="6" a="1"/>
  <c r="W266" i="6" s="1"/>
  <c r="W258" i="6" a="1"/>
  <c r="W258" i="6" s="1"/>
  <c r="W256" i="6" a="1"/>
  <c r="W256" i="6" s="1"/>
  <c r="W245" i="6" a="1"/>
  <c r="W245" i="6" s="1"/>
  <c r="W244" i="6" a="1"/>
  <c r="W244" i="6" s="1"/>
  <c r="W211" i="6" a="1"/>
  <c r="W211" i="6" s="1"/>
  <c r="W209" i="6" a="1"/>
  <c r="W209" i="6" s="1"/>
  <c r="W185" i="6" a="1"/>
  <c r="W185" i="6" s="1"/>
  <c r="W210" i="6" a="1"/>
  <c r="W210" i="6" s="1"/>
  <c r="W203" i="6" a="1"/>
  <c r="W203" i="6" s="1"/>
  <c r="W199" i="6" a="1"/>
  <c r="W199" i="6" s="1"/>
  <c r="W195" i="6" a="1"/>
  <c r="W195" i="6" s="1"/>
  <c r="W223" i="6" a="1"/>
  <c r="W223" i="6" s="1"/>
  <c r="W216" i="6" a="1"/>
  <c r="W216" i="6" s="1"/>
  <c r="W207" i="6" a="1"/>
  <c r="W207" i="6" s="1"/>
  <c r="W205" i="6" a="1"/>
  <c r="W205" i="6" s="1"/>
  <c r="W204" i="6" a="1"/>
  <c r="W204" i="6" s="1"/>
  <c r="W192" i="6" a="1"/>
  <c r="W192" i="6" s="1"/>
  <c r="W206" i="6" a="1"/>
  <c r="W206" i="6" s="1"/>
  <c r="W200" i="6" a="1"/>
  <c r="W200" i="6" s="1"/>
  <c r="W196" i="6" a="1"/>
  <c r="W196" i="6" s="1"/>
  <c r="W191" i="6" a="1"/>
  <c r="W191" i="6" s="1"/>
  <c r="W226" i="6" a="1"/>
  <c r="W226" i="6" s="1"/>
  <c r="W218" i="6" a="1"/>
  <c r="W218" i="6" s="1"/>
  <c r="W187" i="6" a="1"/>
  <c r="W187" i="6" s="1"/>
  <c r="W224" i="6" a="1"/>
  <c r="W224" i="6" s="1"/>
  <c r="W219" i="6" a="1"/>
  <c r="W219" i="6" s="1"/>
  <c r="W217" i="6" a="1"/>
  <c r="W217" i="6" s="1"/>
  <c r="W213" i="6" a="1"/>
  <c r="W213" i="6" s="1"/>
  <c r="W193" i="6" a="1"/>
  <c r="W193" i="6" s="1"/>
  <c r="W190" i="6" a="1"/>
  <c r="W190" i="6" s="1"/>
  <c r="W212" i="6" a="1"/>
  <c r="W212" i="6" s="1"/>
  <c r="W208" i="6" a="1"/>
  <c r="W208" i="6" s="1"/>
  <c r="W202" i="6" a="1"/>
  <c r="W202" i="6" s="1"/>
  <c r="W198" i="6" a="1"/>
  <c r="W198" i="6" s="1"/>
  <c r="W194" i="6" a="1"/>
  <c r="W194" i="6" s="1"/>
  <c r="W189" i="6" a="1"/>
  <c r="W189" i="6" s="1"/>
  <c r="W175" i="6" a="1"/>
  <c r="W175" i="6" s="1"/>
  <c r="W164" i="6" a="1"/>
  <c r="W164" i="6" s="1"/>
  <c r="W160" i="6" a="1"/>
  <c r="W160" i="6" s="1"/>
  <c r="W184" i="6" a="1"/>
  <c r="W184" i="6" s="1"/>
  <c r="W171" i="6" a="1"/>
  <c r="W171" i="6" s="1"/>
  <c r="W168" i="6" a="1"/>
  <c r="W168" i="6" s="1"/>
  <c r="W159" i="6" a="1"/>
  <c r="W159" i="6" s="1"/>
  <c r="W163" i="6" a="1"/>
  <c r="W163" i="6" s="1"/>
  <c r="W215" i="6" a="1"/>
  <c r="W215" i="6" s="1"/>
  <c r="U59" i="17" s="1"/>
  <c r="BP48" i="7" s="1"/>
  <c r="W197" i="6" a="1"/>
  <c r="W197" i="6" s="1"/>
  <c r="W183" i="6" a="1"/>
  <c r="W183" i="6" s="1"/>
  <c r="W179" i="6" a="1"/>
  <c r="W179" i="6" s="1"/>
  <c r="W174" i="6" a="1"/>
  <c r="W174" i="6" s="1"/>
  <c r="W170" i="6" a="1"/>
  <c r="W170" i="6" s="1"/>
  <c r="W167" i="6" a="1"/>
  <c r="W167" i="6" s="1"/>
  <c r="W158" i="6" a="1"/>
  <c r="W158" i="6" s="1"/>
  <c r="W151" i="6" a="1"/>
  <c r="W151" i="6" s="1"/>
  <c r="W201" i="6" a="1"/>
  <c r="W201" i="6" s="1"/>
  <c r="W188" i="6" a="1"/>
  <c r="W188" i="6" s="1"/>
  <c r="W186" i="6" a="1"/>
  <c r="W186" i="6" s="1"/>
  <c r="W178" i="6" a="1"/>
  <c r="W178" i="6" s="1"/>
  <c r="W177" i="6" a="1"/>
  <c r="W177" i="6" s="1"/>
  <c r="W162" i="6" a="1"/>
  <c r="W162" i="6" s="1"/>
  <c r="W157" i="6" a="1"/>
  <c r="W157" i="6" s="1"/>
  <c r="W156" i="6" a="1"/>
  <c r="W156" i="6" s="1"/>
  <c r="W181" i="6" a="1"/>
  <c r="W181" i="6" s="1"/>
  <c r="W173" i="6" a="1"/>
  <c r="W173" i="6" s="1"/>
  <c r="W166" i="6" a="1"/>
  <c r="W166" i="6" s="1"/>
  <c r="W214" i="6" a="1"/>
  <c r="W214" i="6" s="1"/>
  <c r="W182" i="6" a="1"/>
  <c r="W182" i="6" s="1"/>
  <c r="W169" i="6" a="1"/>
  <c r="W169" i="6" s="1"/>
  <c r="W161" i="6" a="1"/>
  <c r="W161" i="6" s="1"/>
  <c r="W180" i="6" a="1"/>
  <c r="W180" i="6" s="1"/>
  <c r="W176" i="6" a="1"/>
  <c r="W176" i="6" s="1"/>
  <c r="W147" i="6" a="1"/>
  <c r="W147" i="6" s="1"/>
  <c r="W145" i="6" a="1"/>
  <c r="W145" i="6" s="1"/>
  <c r="W144" i="6" a="1"/>
  <c r="W144" i="6" s="1"/>
  <c r="W122" i="6" a="1"/>
  <c r="W122" i="6" s="1"/>
  <c r="W155" i="6" a="1"/>
  <c r="W155" i="6" s="1"/>
  <c r="W141" i="6" a="1"/>
  <c r="W141" i="6" s="1"/>
  <c r="W138" i="6" a="1"/>
  <c r="W138" i="6" s="1"/>
  <c r="W172" i="6" a="1"/>
  <c r="W172" i="6" s="1"/>
  <c r="W148" i="6" a="1"/>
  <c r="W148" i="6" s="1"/>
  <c r="W127" i="6" a="1"/>
  <c r="W127" i="6" s="1"/>
  <c r="W126" i="6" a="1"/>
  <c r="W126" i="6" s="1"/>
  <c r="W149" i="6" a="1"/>
  <c r="W149" i="6" s="1"/>
  <c r="W142" i="6" a="1"/>
  <c r="W142" i="6" s="1"/>
  <c r="W131" i="6" a="1"/>
  <c r="W131" i="6" s="1"/>
  <c r="W124" i="6" a="1"/>
  <c r="W124" i="6" s="1"/>
  <c r="W121" i="6" a="1"/>
  <c r="W121" i="6" s="1"/>
  <c r="W146" i="6" a="1"/>
  <c r="W146" i="6" s="1"/>
  <c r="W143" i="6" a="1"/>
  <c r="W143" i="6" s="1"/>
  <c r="W135" i="6" a="1"/>
  <c r="W135" i="6" s="1"/>
  <c r="W128" i="6" a="1"/>
  <c r="W128" i="6" s="1"/>
  <c r="W125" i="6" a="1"/>
  <c r="W125" i="6" s="1"/>
  <c r="W133" i="6" a="1"/>
  <c r="W133" i="6" s="1"/>
  <c r="W132" i="6" a="1"/>
  <c r="W132" i="6" s="1"/>
  <c r="W130" i="6" a="1"/>
  <c r="W130" i="6" s="1"/>
  <c r="W129" i="6" a="1"/>
  <c r="W129" i="6" s="1"/>
  <c r="W118" i="6" a="1"/>
  <c r="W118" i="6" s="1"/>
  <c r="W154" i="6" a="1"/>
  <c r="W154" i="6" s="1"/>
  <c r="W153" i="6" a="1"/>
  <c r="W153" i="6" s="1"/>
  <c r="W152" i="6" a="1"/>
  <c r="W152" i="6" s="1"/>
  <c r="W150" i="6" a="1"/>
  <c r="W150" i="6" s="1"/>
  <c r="W136" i="6" a="1"/>
  <c r="W136" i="6" s="1"/>
  <c r="W134" i="6" a="1"/>
  <c r="W134" i="6" s="1"/>
  <c r="W165" i="6" a="1"/>
  <c r="W165" i="6" s="1"/>
  <c r="W139" i="6" a="1"/>
  <c r="W139" i="6" s="1"/>
  <c r="W119" i="6" a="1"/>
  <c r="W119" i="6" s="1"/>
  <c r="W117" i="6" a="1"/>
  <c r="W117" i="6" s="1"/>
  <c r="W108" i="6" a="1"/>
  <c r="W108" i="6" s="1"/>
  <c r="W104" i="6" a="1"/>
  <c r="W104" i="6" s="1"/>
  <c r="W98" i="6" a="1"/>
  <c r="W98" i="6" s="1"/>
  <c r="W95" i="6" a="1"/>
  <c r="W95" i="6" s="1"/>
  <c r="W91" i="6" a="1"/>
  <c r="W91" i="6" s="1"/>
  <c r="W87" i="6" a="1"/>
  <c r="W87" i="6" s="1"/>
  <c r="W83" i="6" a="1"/>
  <c r="W83" i="6" s="1"/>
  <c r="W79" i="6" a="1"/>
  <c r="W79" i="6" s="1"/>
  <c r="W78" i="6" a="1"/>
  <c r="W78" i="6" s="1"/>
  <c r="W74" i="6" a="1"/>
  <c r="W74" i="6" s="1"/>
  <c r="W70" i="6" a="1"/>
  <c r="W70" i="6" s="1"/>
  <c r="W66" i="6" a="1"/>
  <c r="W66" i="6" s="1"/>
  <c r="W62" i="6" a="1"/>
  <c r="W62" i="6" s="1"/>
  <c r="W58" i="6" a="1"/>
  <c r="W58" i="6" s="1"/>
  <c r="W54" i="6" a="1"/>
  <c r="W54" i="6" s="1"/>
  <c r="W50" i="6" a="1"/>
  <c r="W50" i="6" s="1"/>
  <c r="W46" i="6" a="1"/>
  <c r="W46" i="6" s="1"/>
  <c r="W42" i="6" a="1"/>
  <c r="W42" i="6" s="1"/>
  <c r="W120" i="6" a="1"/>
  <c r="W120" i="6" s="1"/>
  <c r="W113" i="6" a="1"/>
  <c r="W113" i="6" s="1"/>
  <c r="W112" i="6" a="1"/>
  <c r="W112" i="6" s="1"/>
  <c r="W92" i="6" a="1"/>
  <c r="W92" i="6" s="1"/>
  <c r="W123" i="6" a="1"/>
  <c r="W123" i="6" s="1"/>
  <c r="W116" i="6" a="1"/>
  <c r="W116" i="6" s="1"/>
  <c r="W109" i="6" a="1"/>
  <c r="W109" i="6" s="1"/>
  <c r="W105" i="6" a="1"/>
  <c r="W105" i="6" s="1"/>
  <c r="W88" i="6" a="1"/>
  <c r="W88" i="6" s="1"/>
  <c r="W84" i="6" a="1"/>
  <c r="W84" i="6" s="1"/>
  <c r="W80" i="6" a="1"/>
  <c r="W80" i="6" s="1"/>
  <c r="W75" i="6" a="1"/>
  <c r="W75" i="6" s="1"/>
  <c r="W71" i="6" a="1"/>
  <c r="W71" i="6" s="1"/>
  <c r="W67" i="6" a="1"/>
  <c r="W67" i="6" s="1"/>
  <c r="W63" i="6" a="1"/>
  <c r="W63" i="6" s="1"/>
  <c r="W59" i="6" a="1"/>
  <c r="W59" i="6" s="1"/>
  <c r="W55" i="6" a="1"/>
  <c r="W55" i="6" s="1"/>
  <c r="W51" i="6" a="1"/>
  <c r="W51" i="6" s="1"/>
  <c r="W47" i="6" a="1"/>
  <c r="W47" i="6" s="1"/>
  <c r="W43" i="6" a="1"/>
  <c r="W43" i="6" s="1"/>
  <c r="W101" i="6" a="1"/>
  <c r="W101" i="6" s="1"/>
  <c r="W100" i="6" a="1"/>
  <c r="W100" i="6" s="1"/>
  <c r="W32" i="6" a="1"/>
  <c r="W32" i="6" s="1"/>
  <c r="W31" i="6" a="1"/>
  <c r="W31" i="6" s="1"/>
  <c r="W30" i="6" a="1"/>
  <c r="W30" i="6" s="1"/>
  <c r="W29" i="6" a="1"/>
  <c r="W29" i="6" s="1"/>
  <c r="W140" i="6" a="1"/>
  <c r="W140" i="6" s="1"/>
  <c r="W137" i="6" a="1"/>
  <c r="W137" i="6" s="1"/>
  <c r="W110" i="6" a="1"/>
  <c r="W110" i="6" s="1"/>
  <c r="W106" i="6" a="1"/>
  <c r="W106" i="6" s="1"/>
  <c r="W102" i="6" a="1"/>
  <c r="W102" i="6" s="1"/>
  <c r="W97" i="6" a="1"/>
  <c r="W97" i="6" s="1"/>
  <c r="W94" i="6" a="1"/>
  <c r="W94" i="6" s="1"/>
  <c r="W89" i="6" a="1"/>
  <c r="W89" i="6" s="1"/>
  <c r="W85" i="6" a="1"/>
  <c r="W85" i="6" s="1"/>
  <c r="W81" i="6" a="1"/>
  <c r="W81" i="6" s="1"/>
  <c r="W76" i="6" a="1"/>
  <c r="W76" i="6" s="1"/>
  <c r="W72" i="6" a="1"/>
  <c r="W72" i="6" s="1"/>
  <c r="W68" i="6" a="1"/>
  <c r="W68" i="6" s="1"/>
  <c r="W64" i="6" a="1"/>
  <c r="W64" i="6" s="1"/>
  <c r="W60" i="6" a="1"/>
  <c r="W60" i="6" s="1"/>
  <c r="W56" i="6" a="1"/>
  <c r="W56" i="6" s="1"/>
  <c r="W52" i="6" a="1"/>
  <c r="W52" i="6" s="1"/>
  <c r="W48" i="6" a="1"/>
  <c r="W48" i="6" s="1"/>
  <c r="W44" i="6" a="1"/>
  <c r="W44" i="6" s="1"/>
  <c r="W114" i="6" a="1"/>
  <c r="W114" i="6" s="1"/>
  <c r="W115" i="6" a="1"/>
  <c r="W115" i="6" s="1"/>
  <c r="U34" i="17" s="1"/>
  <c r="W111" i="6" a="1"/>
  <c r="W111" i="6" s="1"/>
  <c r="W107" i="6" a="1"/>
  <c r="W107" i="6" s="1"/>
  <c r="U32" i="17" s="1"/>
  <c r="W103" i="6" a="1"/>
  <c r="W103" i="6" s="1"/>
  <c r="U31" i="17" s="1"/>
  <c r="W99" i="6" a="1"/>
  <c r="W99" i="6" s="1"/>
  <c r="W96" i="6" a="1"/>
  <c r="W96" i="6" s="1"/>
  <c r="W93" i="6" a="1"/>
  <c r="W93" i="6" s="1"/>
  <c r="W90" i="6" a="1"/>
  <c r="W90" i="6" s="1"/>
  <c r="W86" i="6" a="1"/>
  <c r="W86" i="6" s="1"/>
  <c r="W82" i="6" a="1"/>
  <c r="W82" i="6" s="1"/>
  <c r="W73" i="6" a="1"/>
  <c r="W73" i="6" s="1"/>
  <c r="W39" i="6" a="1"/>
  <c r="W39" i="6" s="1"/>
  <c r="W77" i="6" a="1"/>
  <c r="W77" i="6" s="1"/>
  <c r="W45" i="6" a="1"/>
  <c r="W45" i="6" s="1"/>
  <c r="W40" i="6" a="1"/>
  <c r="W40" i="6" s="1"/>
  <c r="W26" i="6" a="1"/>
  <c r="W26" i="6" s="1"/>
  <c r="W22" i="6" a="1"/>
  <c r="W22" i="6" s="1"/>
  <c r="W18" i="6" a="1"/>
  <c r="W18" i="6" s="1"/>
  <c r="W14" i="6" a="1"/>
  <c r="W14" i="6" s="1"/>
  <c r="W10" i="6" a="1"/>
  <c r="W10" i="6" s="1"/>
  <c r="W6" i="6" a="1"/>
  <c r="W6" i="6" s="1"/>
  <c r="U6" i="17" s="1"/>
  <c r="W49" i="6" a="1"/>
  <c r="W49" i="6" s="1"/>
  <c r="W41" i="6" a="1"/>
  <c r="W41" i="6" s="1"/>
  <c r="W20" i="6" a="1"/>
  <c r="W20" i="6" s="1"/>
  <c r="W53" i="6" a="1"/>
  <c r="W53" i="6" s="1"/>
  <c r="W27" i="6" a="1"/>
  <c r="W27" i="6" s="1"/>
  <c r="W23" i="6" a="1"/>
  <c r="W23" i="6" s="1"/>
  <c r="W19" i="6" a="1"/>
  <c r="W19" i="6" s="1"/>
  <c r="W15" i="6" a="1"/>
  <c r="W15" i="6" s="1"/>
  <c r="W11" i="6" a="1"/>
  <c r="W11" i="6" s="1"/>
  <c r="W7" i="6" a="1"/>
  <c r="W7" i="6" s="1"/>
  <c r="W8" i="6" a="1"/>
  <c r="W8" i="6" s="1"/>
  <c r="W57" i="6" a="1"/>
  <c r="W57" i="6" s="1"/>
  <c r="W35" i="6" a="1"/>
  <c r="W35" i="6" s="1"/>
  <c r="W34" i="6" a="1"/>
  <c r="W34" i="6" s="1"/>
  <c r="W33" i="6" a="1"/>
  <c r="W33" i="6" s="1"/>
  <c r="W16" i="6" a="1"/>
  <c r="W16" i="6" s="1"/>
  <c r="W61" i="6" a="1"/>
  <c r="W61" i="6" s="1"/>
  <c r="W36" i="6" a="1"/>
  <c r="W36" i="6" s="1"/>
  <c r="W65" i="6" a="1"/>
  <c r="W65" i="6" s="1"/>
  <c r="W37" i="6" a="1"/>
  <c r="W37" i="6" s="1"/>
  <c r="W28" i="6" a="1"/>
  <c r="W28" i="6" s="1"/>
  <c r="W24" i="6" a="1"/>
  <c r="W24" i="6" s="1"/>
  <c r="W12" i="6" a="1"/>
  <c r="W12" i="6" s="1"/>
  <c r="W69" i="6" a="1"/>
  <c r="W69" i="6" s="1"/>
  <c r="W38" i="6" a="1"/>
  <c r="W38" i="6" s="1"/>
  <c r="W25" i="6" a="1"/>
  <c r="W25" i="6" s="1"/>
  <c r="W21" i="6" a="1"/>
  <c r="W21" i="6" s="1"/>
  <c r="W17" i="6" a="1"/>
  <c r="W17" i="6" s="1"/>
  <c r="W13" i="6" a="1"/>
  <c r="W13" i="6" s="1"/>
  <c r="W9" i="6" a="1"/>
  <c r="W9" i="6" s="1"/>
  <c r="U1" i="17"/>
  <c r="T356" i="6" a="1"/>
  <c r="T356" i="6" s="1"/>
  <c r="T352" i="6" a="1"/>
  <c r="T352" i="6" s="1"/>
  <c r="T348" i="6" a="1"/>
  <c r="T348" i="6" s="1"/>
  <c r="T342" i="6" a="1"/>
  <c r="T342" i="6" s="1"/>
  <c r="T338" i="6" a="1"/>
  <c r="T338" i="6" s="1"/>
  <c r="T334" i="6" a="1"/>
  <c r="T334" i="6" s="1"/>
  <c r="T330" i="6" a="1"/>
  <c r="T330" i="6" s="1"/>
  <c r="T326" i="6" a="1"/>
  <c r="T326" i="6" s="1"/>
  <c r="T323" i="6" a="1"/>
  <c r="T323" i="6" s="1"/>
  <c r="T319" i="6" a="1"/>
  <c r="T319" i="6" s="1"/>
  <c r="T357" i="6" a="1"/>
  <c r="T357" i="6" s="1"/>
  <c r="T353" i="6" a="1"/>
  <c r="T353" i="6" s="1"/>
  <c r="T349" i="6" a="1"/>
  <c r="T349" i="6" s="1"/>
  <c r="T343" i="6" a="1"/>
  <c r="T343" i="6" s="1"/>
  <c r="T339" i="6" a="1"/>
  <c r="T339" i="6" s="1"/>
  <c r="T335" i="6" a="1"/>
  <c r="T335" i="6" s="1"/>
  <c r="T331" i="6" a="1"/>
  <c r="T331" i="6" s="1"/>
  <c r="T327" i="6" a="1"/>
  <c r="T327" i="6" s="1"/>
  <c r="T324" i="6" a="1"/>
  <c r="T324" i="6" s="1"/>
  <c r="T320" i="6" a="1"/>
  <c r="T320" i="6" s="1"/>
  <c r="T316" i="6" a="1"/>
  <c r="T316" i="6" s="1"/>
  <c r="T315" i="6" a="1"/>
  <c r="T315" i="6" s="1"/>
  <c r="T344" i="6" a="1"/>
  <c r="T344" i="6" s="1"/>
  <c r="T358" i="6" a="1"/>
  <c r="T358" i="6" s="1"/>
  <c r="T354" i="6" a="1"/>
  <c r="T354" i="6" s="1"/>
  <c r="T350" i="6" a="1"/>
  <c r="T350" i="6" s="1"/>
  <c r="T340" i="6" a="1"/>
  <c r="T340" i="6" s="1"/>
  <c r="T336" i="6" a="1"/>
  <c r="T336" i="6" s="1"/>
  <c r="T332" i="6" a="1"/>
  <c r="T332" i="6" s="1"/>
  <c r="T328" i="6" a="1"/>
  <c r="T328" i="6" s="1"/>
  <c r="T321" i="6" a="1"/>
  <c r="T321" i="6" s="1"/>
  <c r="T345" i="6" a="1"/>
  <c r="T345" i="6" s="1"/>
  <c r="T355" i="6" a="1"/>
  <c r="T355" i="6" s="1"/>
  <c r="T351" i="6" a="1"/>
  <c r="T351" i="6" s="1"/>
  <c r="R93" i="17" s="1"/>
  <c r="T347" i="6" a="1"/>
  <c r="T347" i="6" s="1"/>
  <c r="T346" i="6" a="1"/>
  <c r="T346" i="6" s="1"/>
  <c r="T325" i="6" a="1"/>
  <c r="T325" i="6" s="1"/>
  <c r="T305" i="6" a="1"/>
  <c r="T305" i="6" s="1"/>
  <c r="T303" i="6" a="1"/>
  <c r="T303" i="6" s="1"/>
  <c r="T301" i="6" a="1"/>
  <c r="T301" i="6" s="1"/>
  <c r="T329" i="6" a="1"/>
  <c r="T329" i="6" s="1"/>
  <c r="T312" i="6" a="1"/>
  <c r="T312" i="6" s="1"/>
  <c r="T310" i="6" a="1"/>
  <c r="T310" i="6" s="1"/>
  <c r="T288" i="6" a="1"/>
  <c r="T288" i="6" s="1"/>
  <c r="T285" i="6" a="1"/>
  <c r="T285" i="6" s="1"/>
  <c r="T333" i="6" a="1"/>
  <c r="T333" i="6" s="1"/>
  <c r="T297" i="6" a="1"/>
  <c r="T297" i="6" s="1"/>
  <c r="T337" i="6" a="1"/>
  <c r="T337" i="6" s="1"/>
  <c r="T314" i="6" a="1"/>
  <c r="T314" i="6" s="1"/>
  <c r="T308" i="6" a="1"/>
  <c r="T308" i="6" s="1"/>
  <c r="T299" i="6" a="1"/>
  <c r="T299" i="6" s="1"/>
  <c r="T292" i="6" a="1"/>
  <c r="T292" i="6" s="1"/>
  <c r="T341" i="6" a="1"/>
  <c r="T341" i="6" s="1"/>
  <c r="T318" i="6" a="1"/>
  <c r="T318" i="6" s="1"/>
  <c r="T306" i="6" a="1"/>
  <c r="T306" i="6" s="1"/>
  <c r="T304" i="6" a="1"/>
  <c r="T304" i="6" s="1"/>
  <c r="T302" i="6" a="1"/>
  <c r="T302" i="6" s="1"/>
  <c r="T294" i="6" a="1"/>
  <c r="T294" i="6" s="1"/>
  <c r="T286" i="6" a="1"/>
  <c r="T286" i="6" s="1"/>
  <c r="T284" i="6" a="1"/>
  <c r="T284" i="6" s="1"/>
  <c r="T322" i="6" a="1"/>
  <c r="T322" i="6" s="1"/>
  <c r="T313" i="6" a="1"/>
  <c r="T313" i="6" s="1"/>
  <c r="T311" i="6" a="1"/>
  <c r="T311" i="6" s="1"/>
  <c r="R83" i="17" s="1"/>
  <c r="T309" i="6" a="1"/>
  <c r="T309" i="6" s="1"/>
  <c r="T300" i="6" a="1"/>
  <c r="T300" i="6" s="1"/>
  <c r="T290" i="6" a="1"/>
  <c r="T290" i="6" s="1"/>
  <c r="T283" i="6" a="1"/>
  <c r="T283" i="6" s="1"/>
  <c r="T277" i="6" a="1"/>
  <c r="T277" i="6" s="1"/>
  <c r="T274" i="6" a="1"/>
  <c r="T274" i="6" s="1"/>
  <c r="T270" i="6" a="1"/>
  <c r="T270" i="6" s="1"/>
  <c r="T266" i="6" a="1"/>
  <c r="T266" i="6" s="1"/>
  <c r="T262" i="6" a="1"/>
  <c r="T262" i="6" s="1"/>
  <c r="T258" i="6" a="1"/>
  <c r="T258" i="6" s="1"/>
  <c r="T289" i="6" a="1"/>
  <c r="T289" i="6" s="1"/>
  <c r="T282" i="6" a="1"/>
  <c r="T282" i="6" s="1"/>
  <c r="T278" i="6" a="1"/>
  <c r="T278" i="6" s="1"/>
  <c r="T296" i="6" a="1"/>
  <c r="T296" i="6" s="1"/>
  <c r="T279" i="6" a="1"/>
  <c r="T279" i="6" s="1"/>
  <c r="T275" i="6" a="1"/>
  <c r="T275" i="6" s="1"/>
  <c r="R74" i="17" s="1"/>
  <c r="T271" i="6" a="1"/>
  <c r="T271" i="6" s="1"/>
  <c r="T267" i="6" a="1"/>
  <c r="T267" i="6" s="1"/>
  <c r="T263" i="6" a="1"/>
  <c r="T263" i="6" s="1"/>
  <c r="T259" i="6" a="1"/>
  <c r="T259" i="6" s="1"/>
  <c r="T255" i="6" a="1"/>
  <c r="T255" i="6" s="1"/>
  <c r="T280" i="6" a="1"/>
  <c r="T280" i="6" s="1"/>
  <c r="T298" i="6" a="1"/>
  <c r="T298" i="6" s="1"/>
  <c r="T291" i="6" a="1"/>
  <c r="T291" i="6" s="1"/>
  <c r="R78" i="17" s="1"/>
  <c r="T272" i="6" a="1"/>
  <c r="T272" i="6" s="1"/>
  <c r="T268" i="6" a="1"/>
  <c r="T268" i="6" s="1"/>
  <c r="T264" i="6" a="1"/>
  <c r="T264" i="6" s="1"/>
  <c r="T260" i="6" a="1"/>
  <c r="T260" i="6" s="1"/>
  <c r="T256" i="6" a="1"/>
  <c r="T256" i="6" s="1"/>
  <c r="T317" i="6" a="1"/>
  <c r="T317" i="6" s="1"/>
  <c r="T307" i="6" a="1"/>
  <c r="T307" i="6" s="1"/>
  <c r="T295" i="6" a="1"/>
  <c r="T295" i="6" s="1"/>
  <c r="R79" i="17" s="1"/>
  <c r="T287" i="6" a="1"/>
  <c r="T287" i="6" s="1"/>
  <c r="R77" i="17" s="1"/>
  <c r="T281" i="6" a="1"/>
  <c r="T281" i="6" s="1"/>
  <c r="T273" i="6" a="1"/>
  <c r="T273" i="6" s="1"/>
  <c r="T269" i="6" a="1"/>
  <c r="T269" i="6" s="1"/>
  <c r="T265" i="6" a="1"/>
  <c r="T265" i="6" s="1"/>
  <c r="T261" i="6" a="1"/>
  <c r="T261" i="6" s="1"/>
  <c r="T257" i="6" a="1"/>
  <c r="T257" i="6" s="1"/>
  <c r="T253" i="6" a="1"/>
  <c r="T253" i="6" s="1"/>
  <c r="T244" i="6" a="1"/>
  <c r="T244" i="6" s="1"/>
  <c r="T238" i="6" a="1"/>
  <c r="T238" i="6" s="1"/>
  <c r="T228" i="6" a="1"/>
  <c r="T228" i="6" s="1"/>
  <c r="T293" i="6" a="1"/>
  <c r="T293" i="6" s="1"/>
  <c r="T250" i="6" a="1"/>
  <c r="T250" i="6" s="1"/>
  <c r="T235" i="6" a="1"/>
  <c r="T235" i="6" s="1"/>
  <c r="T233" i="6" a="1"/>
  <c r="T233" i="6" s="1"/>
  <c r="T229" i="6" a="1"/>
  <c r="T229" i="6" s="1"/>
  <c r="T226" i="6" a="1"/>
  <c r="T226" i="6" s="1"/>
  <c r="T276" i="6" a="1"/>
  <c r="T276" i="6" s="1"/>
  <c r="T245" i="6" a="1"/>
  <c r="T245" i="6" s="1"/>
  <c r="T236" i="6" a="1"/>
  <c r="T236" i="6" s="1"/>
  <c r="T230" i="6" a="1"/>
  <c r="T230" i="6" s="1"/>
  <c r="T254" i="6" a="1"/>
  <c r="T254" i="6" s="1"/>
  <c r="T251" i="6" a="1"/>
  <c r="T251" i="6" s="1"/>
  <c r="T246" i="6" a="1"/>
  <c r="T246" i="6" s="1"/>
  <c r="T240" i="6" a="1"/>
  <c r="T240" i="6" s="1"/>
  <c r="T247" i="6" a="1"/>
  <c r="T247" i="6" s="1"/>
  <c r="T241" i="6" a="1"/>
  <c r="T241" i="6" s="1"/>
  <c r="T234" i="6" a="1"/>
  <c r="T234" i="6" s="1"/>
  <c r="T243" i="6" a="1"/>
  <c r="T243" i="6" s="1"/>
  <c r="T239" i="6" a="1"/>
  <c r="T239" i="6" s="1"/>
  <c r="T231" i="6" a="1"/>
  <c r="T231" i="6" s="1"/>
  <c r="T227" i="6" a="1"/>
  <c r="T227" i="6" s="1"/>
  <c r="R62" i="17" s="1"/>
  <c r="T225" i="6" a="1"/>
  <c r="T225" i="6" s="1"/>
  <c r="T249" i="6" a="1"/>
  <c r="T249" i="6" s="1"/>
  <c r="T224" i="6" a="1"/>
  <c r="T224" i="6" s="1"/>
  <c r="T248" i="6" a="1"/>
  <c r="T248" i="6" s="1"/>
  <c r="T237" i="6" a="1"/>
  <c r="T237" i="6" s="1"/>
  <c r="T214" i="6" a="1"/>
  <c r="T214" i="6" s="1"/>
  <c r="T201" i="6" a="1"/>
  <c r="T201" i="6" s="1"/>
  <c r="T197" i="6" a="1"/>
  <c r="T197" i="6" s="1"/>
  <c r="T252" i="6" a="1"/>
  <c r="T252" i="6" s="1"/>
  <c r="T219" i="6" a="1"/>
  <c r="T219" i="6" s="1"/>
  <c r="T215" i="6" a="1"/>
  <c r="T215" i="6" s="1"/>
  <c r="T213" i="6" a="1"/>
  <c r="T213" i="6" s="1"/>
  <c r="T193" i="6" a="1"/>
  <c r="T193" i="6" s="1"/>
  <c r="T190" i="6" a="1"/>
  <c r="T190" i="6" s="1"/>
  <c r="T217" i="6" a="1"/>
  <c r="T217" i="6" s="1"/>
  <c r="T212" i="6" a="1"/>
  <c r="T212" i="6" s="1"/>
  <c r="AO9" i="7" s="1"/>
  <c r="T202" i="6" a="1"/>
  <c r="T202" i="6" s="1"/>
  <c r="T198" i="6" a="1"/>
  <c r="T198" i="6" s="1"/>
  <c r="T194" i="6" a="1"/>
  <c r="T194" i="6" s="1"/>
  <c r="T189" i="6" a="1"/>
  <c r="T189" i="6" s="1"/>
  <c r="T211" i="6" a="1"/>
  <c r="T211" i="6" s="1"/>
  <c r="T209" i="6" a="1"/>
  <c r="T209" i="6" s="1"/>
  <c r="AO6" i="7" s="1"/>
  <c r="T208" i="6" a="1"/>
  <c r="T208" i="6" s="1"/>
  <c r="T221" i="6" a="1"/>
  <c r="T221" i="6" s="1"/>
  <c r="AO18" i="7" s="1"/>
  <c r="T210" i="6" a="1"/>
  <c r="T210" i="6" s="1"/>
  <c r="T203" i="6" a="1"/>
  <c r="T203" i="6" s="1"/>
  <c r="T199" i="6" a="1"/>
  <c r="T199" i="6" s="1"/>
  <c r="T195" i="6" a="1"/>
  <c r="T195" i="6" s="1"/>
  <c r="T216" i="6" a="1"/>
  <c r="T216" i="6" s="1"/>
  <c r="T206" i="6" a="1"/>
  <c r="T206" i="6" s="1"/>
  <c r="T200" i="6" a="1"/>
  <c r="T200" i="6" s="1"/>
  <c r="T196" i="6" a="1"/>
  <c r="T196" i="6" s="1"/>
  <c r="T191" i="6" a="1"/>
  <c r="T191" i="6" s="1"/>
  <c r="T232" i="6" a="1"/>
  <c r="T232" i="6" s="1"/>
  <c r="T220" i="6" a="1"/>
  <c r="T220" i="6" s="1"/>
  <c r="AO17" i="7" s="1"/>
  <c r="T218" i="6" a="1"/>
  <c r="T218" i="6" s="1"/>
  <c r="T222" i="6" a="1"/>
  <c r="T222" i="6" s="1"/>
  <c r="T187" i="6" a="1"/>
  <c r="T187" i="6" s="1"/>
  <c r="T181" i="6" a="1"/>
  <c r="T181" i="6" s="1"/>
  <c r="T173" i="6" a="1"/>
  <c r="T173" i="6" s="1"/>
  <c r="T166" i="6" a="1"/>
  <c r="T166" i="6" s="1"/>
  <c r="T156" i="6" a="1"/>
  <c r="T156" i="6" s="1"/>
  <c r="T182" i="6" a="1"/>
  <c r="T182" i="6" s="1"/>
  <c r="T169" i="6" a="1"/>
  <c r="T169" i="6" s="1"/>
  <c r="T161" i="6" a="1"/>
  <c r="T161" i="6" s="1"/>
  <c r="T223" i="6" a="1"/>
  <c r="T223" i="6" s="1"/>
  <c r="T205" i="6" a="1"/>
  <c r="T205" i="6" s="1"/>
  <c r="T165" i="6" a="1"/>
  <c r="T165" i="6" s="1"/>
  <c r="T185" i="6" a="1"/>
  <c r="T185" i="6" s="1"/>
  <c r="T176" i="6" a="1"/>
  <c r="T176" i="6" s="1"/>
  <c r="T172" i="6" a="1"/>
  <c r="T172" i="6" s="1"/>
  <c r="T160" i="6" a="1"/>
  <c r="T160" i="6" s="1"/>
  <c r="T152" i="6" a="1"/>
  <c r="T152" i="6" s="1"/>
  <c r="T207" i="6" a="1"/>
  <c r="T207" i="6" s="1"/>
  <c r="T184" i="6" a="1"/>
  <c r="T184" i="6" s="1"/>
  <c r="T180" i="6" a="1"/>
  <c r="T180" i="6" s="1"/>
  <c r="T175" i="6" a="1"/>
  <c r="T175" i="6" s="1"/>
  <c r="T171" i="6" a="1"/>
  <c r="T171" i="6" s="1"/>
  <c r="T164" i="6" a="1"/>
  <c r="T164" i="6" s="1"/>
  <c r="T242" i="6" a="1"/>
  <c r="T242" i="6" s="1"/>
  <c r="T168" i="6" a="1"/>
  <c r="T168" i="6" s="1"/>
  <c r="T159" i="6" a="1"/>
  <c r="T159" i="6" s="1"/>
  <c r="T204" i="6" a="1"/>
  <c r="T204" i="6" s="1"/>
  <c r="T188" i="6" a="1"/>
  <c r="T188" i="6" s="1"/>
  <c r="T186" i="6" a="1"/>
  <c r="T186" i="6" s="1"/>
  <c r="T179" i="6" a="1"/>
  <c r="T179" i="6" s="1"/>
  <c r="T174" i="6" a="1"/>
  <c r="T174" i="6" s="1"/>
  <c r="T170" i="6" a="1"/>
  <c r="T170" i="6" s="1"/>
  <c r="T163" i="6" a="1"/>
  <c r="T163" i="6" s="1"/>
  <c r="T158" i="6" a="1"/>
  <c r="T158" i="6" s="1"/>
  <c r="T178" i="6" a="1"/>
  <c r="T178" i="6" s="1"/>
  <c r="T154" i="6" a="1"/>
  <c r="T154" i="6" s="1"/>
  <c r="T143" i="6" a="1"/>
  <c r="T143" i="6" s="1"/>
  <c r="T133" i="6" a="1"/>
  <c r="T133" i="6" s="1"/>
  <c r="T132" i="6" a="1"/>
  <c r="T132" i="6" s="1"/>
  <c r="T130" i="6" a="1"/>
  <c r="T130" i="6" s="1"/>
  <c r="T129" i="6" a="1"/>
  <c r="T129" i="6" s="1"/>
  <c r="T192" i="6" a="1"/>
  <c r="T192" i="6" s="1"/>
  <c r="T157" i="6" a="1"/>
  <c r="T157" i="6" s="1"/>
  <c r="T153" i="6" a="1"/>
  <c r="T153" i="6" s="1"/>
  <c r="T150" i="6" a="1"/>
  <c r="T150" i="6" s="1"/>
  <c r="T136" i="6" a="1"/>
  <c r="T136" i="6" s="1"/>
  <c r="T134" i="6" a="1"/>
  <c r="T134" i="6" s="1"/>
  <c r="T162" i="6" a="1"/>
  <c r="T162" i="6" s="1"/>
  <c r="T155" i="6" a="1"/>
  <c r="T155" i="6" s="1"/>
  <c r="T151" i="6" a="1"/>
  <c r="T151" i="6" s="1"/>
  <c r="T140" i="6" a="1"/>
  <c r="T140" i="6" s="1"/>
  <c r="T139" i="6" a="1"/>
  <c r="T139" i="6" s="1"/>
  <c r="T177" i="6" a="1"/>
  <c r="T177" i="6" s="1"/>
  <c r="T147" i="6" a="1"/>
  <c r="T147" i="6" s="1"/>
  <c r="T145" i="6" a="1"/>
  <c r="T145" i="6" s="1"/>
  <c r="T137" i="6" a="1"/>
  <c r="T137" i="6" s="1"/>
  <c r="T122" i="6" a="1"/>
  <c r="T122" i="6" s="1"/>
  <c r="T183" i="6" a="1"/>
  <c r="T183" i="6" s="1"/>
  <c r="T141" i="6" a="1"/>
  <c r="T141" i="6" s="1"/>
  <c r="T138" i="6" a="1"/>
  <c r="T138" i="6" s="1"/>
  <c r="T123" i="6" a="1"/>
  <c r="T123" i="6" s="1"/>
  <c r="T120" i="6" a="1"/>
  <c r="T120" i="6" s="1"/>
  <c r="T144" i="6" a="1"/>
  <c r="T144" i="6" s="1"/>
  <c r="T127" i="6" a="1"/>
  <c r="T127" i="6" s="1"/>
  <c r="T126" i="6" a="1"/>
  <c r="T126" i="6" s="1"/>
  <c r="T149" i="6" a="1"/>
  <c r="T149" i="6" s="1"/>
  <c r="T148" i="6" a="1"/>
  <c r="T148" i="6" s="1"/>
  <c r="T142" i="6" a="1"/>
  <c r="T142" i="6" s="1"/>
  <c r="T131" i="6" a="1"/>
  <c r="T131" i="6" s="1"/>
  <c r="R38" i="17" s="1"/>
  <c r="T124" i="6" a="1"/>
  <c r="T124" i="6" s="1"/>
  <c r="T121" i="6" a="1"/>
  <c r="T121" i="6" s="1"/>
  <c r="T167" i="6" a="1"/>
  <c r="T167" i="6" s="1"/>
  <c r="R47" i="17" s="1"/>
  <c r="T110" i="6" a="1"/>
  <c r="T110" i="6" s="1"/>
  <c r="T106" i="6" a="1"/>
  <c r="T106" i="6" s="1"/>
  <c r="T102" i="6" a="1"/>
  <c r="T102" i="6" s="1"/>
  <c r="T100" i="6" a="1"/>
  <c r="T100" i="6" s="1"/>
  <c r="T97" i="6" a="1"/>
  <c r="T97" i="6" s="1"/>
  <c r="T94" i="6" a="1"/>
  <c r="T94" i="6" s="1"/>
  <c r="T89" i="6" a="1"/>
  <c r="T89" i="6" s="1"/>
  <c r="T85" i="6" a="1"/>
  <c r="T85" i="6" s="1"/>
  <c r="T81" i="6" a="1"/>
  <c r="T81" i="6" s="1"/>
  <c r="T76" i="6" a="1"/>
  <c r="T76" i="6" s="1"/>
  <c r="T72" i="6" a="1"/>
  <c r="T72" i="6" s="1"/>
  <c r="T68" i="6" a="1"/>
  <c r="T68" i="6" s="1"/>
  <c r="T64" i="6" a="1"/>
  <c r="T64" i="6" s="1"/>
  <c r="T60" i="6" a="1"/>
  <c r="T60" i="6" s="1"/>
  <c r="T56" i="6" a="1"/>
  <c r="T56" i="6" s="1"/>
  <c r="T52" i="6" a="1"/>
  <c r="T52" i="6" s="1"/>
  <c r="T48" i="6" a="1"/>
  <c r="T48" i="6" s="1"/>
  <c r="T44" i="6" a="1"/>
  <c r="T44" i="6" s="1"/>
  <c r="T40" i="6" a="1"/>
  <c r="T40" i="6" s="1"/>
  <c r="T36" i="6" a="1"/>
  <c r="T36" i="6" s="1"/>
  <c r="T135" i="6" a="1"/>
  <c r="T135" i="6" s="1"/>
  <c r="T118" i="6" a="1"/>
  <c r="T118" i="6" s="1"/>
  <c r="T114" i="6" a="1"/>
  <c r="T114" i="6" s="1"/>
  <c r="T146" i="6" a="1"/>
  <c r="T146" i="6" s="1"/>
  <c r="T115" i="6" a="1"/>
  <c r="T115" i="6" s="1"/>
  <c r="T111" i="6" a="1"/>
  <c r="T111" i="6" s="1"/>
  <c r="T107" i="6" a="1"/>
  <c r="T107" i="6" s="1"/>
  <c r="T103" i="6" a="1"/>
  <c r="T103" i="6" s="1"/>
  <c r="R31" i="17" s="1"/>
  <c r="T99" i="6" a="1"/>
  <c r="T99" i="6" s="1"/>
  <c r="T96" i="6" a="1"/>
  <c r="T96" i="6" s="1"/>
  <c r="T93" i="6" a="1"/>
  <c r="T93" i="6" s="1"/>
  <c r="T90" i="6" a="1"/>
  <c r="T90" i="6" s="1"/>
  <c r="T86" i="6" a="1"/>
  <c r="T86" i="6" s="1"/>
  <c r="T82" i="6" a="1"/>
  <c r="T82" i="6" s="1"/>
  <c r="T77" i="6" a="1"/>
  <c r="T77" i="6" s="1"/>
  <c r="T73" i="6" a="1"/>
  <c r="T73" i="6" s="1"/>
  <c r="T69" i="6" a="1"/>
  <c r="T69" i="6" s="1"/>
  <c r="T65" i="6" a="1"/>
  <c r="T65" i="6" s="1"/>
  <c r="T61" i="6" a="1"/>
  <c r="T61" i="6" s="1"/>
  <c r="T57" i="6" a="1"/>
  <c r="T57" i="6" s="1"/>
  <c r="T53" i="6" a="1"/>
  <c r="T53" i="6" s="1"/>
  <c r="T49" i="6" a="1"/>
  <c r="T49" i="6" s="1"/>
  <c r="T45" i="6" a="1"/>
  <c r="T45" i="6" s="1"/>
  <c r="T41" i="6" a="1"/>
  <c r="T41" i="6" s="1"/>
  <c r="T37" i="6" a="1"/>
  <c r="T37" i="6" s="1"/>
  <c r="T119" i="6" a="1"/>
  <c r="T119" i="6" s="1"/>
  <c r="R35" i="17" s="1"/>
  <c r="T117" i="6" a="1"/>
  <c r="T117" i="6" s="1"/>
  <c r="T108" i="6" a="1"/>
  <c r="T108" i="6" s="1"/>
  <c r="T104" i="6" a="1"/>
  <c r="T104" i="6" s="1"/>
  <c r="T98" i="6" a="1"/>
  <c r="T98" i="6" s="1"/>
  <c r="T91" i="6" a="1"/>
  <c r="T91" i="6" s="1"/>
  <c r="T87" i="6" a="1"/>
  <c r="T87" i="6" s="1"/>
  <c r="R27" i="17" s="1"/>
  <c r="T83" i="6" a="1"/>
  <c r="T83" i="6" s="1"/>
  <c r="T79" i="6" a="1"/>
  <c r="T79" i="6" s="1"/>
  <c r="T78" i="6" a="1"/>
  <c r="T78" i="6" s="1"/>
  <c r="T74" i="6" a="1"/>
  <c r="T74" i="6" s="1"/>
  <c r="T70" i="6" a="1"/>
  <c r="T70" i="6" s="1"/>
  <c r="T66" i="6" a="1"/>
  <c r="T66" i="6" s="1"/>
  <c r="T62" i="6" a="1"/>
  <c r="T62" i="6" s="1"/>
  <c r="T58" i="6" a="1"/>
  <c r="T58" i="6" s="1"/>
  <c r="T54" i="6" a="1"/>
  <c r="T54" i="6" s="1"/>
  <c r="T50" i="6" a="1"/>
  <c r="T50" i="6" s="1"/>
  <c r="T46" i="6" a="1"/>
  <c r="T46" i="6" s="1"/>
  <c r="T42" i="6" a="1"/>
  <c r="T42" i="6" s="1"/>
  <c r="T38" i="6" a="1"/>
  <c r="T38" i="6" s="1"/>
  <c r="T113" i="6" a="1"/>
  <c r="T113" i="6" s="1"/>
  <c r="T112" i="6" a="1"/>
  <c r="T112" i="6" s="1"/>
  <c r="T95" i="6" a="1"/>
  <c r="T95" i="6" s="1"/>
  <c r="T116" i="6" a="1"/>
  <c r="T116" i="6" s="1"/>
  <c r="T109" i="6" a="1"/>
  <c r="T109" i="6" s="1"/>
  <c r="T105" i="6" a="1"/>
  <c r="T105" i="6" s="1"/>
  <c r="T92" i="6" a="1"/>
  <c r="T92" i="6" s="1"/>
  <c r="T88" i="6" a="1"/>
  <c r="T88" i="6" s="1"/>
  <c r="T84" i="6" a="1"/>
  <c r="T84" i="6" s="1"/>
  <c r="T80" i="6" a="1"/>
  <c r="T80" i="6" s="1"/>
  <c r="T75" i="6" a="1"/>
  <c r="T75" i="6" s="1"/>
  <c r="R24" i="17" s="1"/>
  <c r="T71" i="6" a="1"/>
  <c r="T71" i="6" s="1"/>
  <c r="T67" i="6" a="1"/>
  <c r="T67" i="6" s="1"/>
  <c r="T63" i="6" a="1"/>
  <c r="T63" i="6" s="1"/>
  <c r="T59" i="6" a="1"/>
  <c r="T59" i="6" s="1"/>
  <c r="R20" i="17" s="1"/>
  <c r="T55" i="6" a="1"/>
  <c r="T55" i="6" s="1"/>
  <c r="T51" i="6" a="1"/>
  <c r="T51" i="6" s="1"/>
  <c r="T47" i="6" a="1"/>
  <c r="T47" i="6" s="1"/>
  <c r="T43" i="6" a="1"/>
  <c r="T43" i="6" s="1"/>
  <c r="R16" i="17" s="1"/>
  <c r="T39" i="6" a="1"/>
  <c r="T39" i="6" s="1"/>
  <c r="T35" i="6" a="1"/>
  <c r="T35" i="6" s="1"/>
  <c r="T34" i="6" a="1"/>
  <c r="T34" i="6" s="1"/>
  <c r="T33" i="6" a="1"/>
  <c r="T33" i="6" s="1"/>
  <c r="T27" i="6" a="1"/>
  <c r="T27" i="6" s="1"/>
  <c r="T128" i="6" a="1"/>
  <c r="T128" i="6" s="1"/>
  <c r="T125" i="6" a="1"/>
  <c r="T125" i="6" s="1"/>
  <c r="T101" i="6" a="1"/>
  <c r="T101" i="6" s="1"/>
  <c r="T31" i="6" a="1"/>
  <c r="T31" i="6" s="1"/>
  <c r="T30" i="6" a="1"/>
  <c r="T30" i="6" s="1"/>
  <c r="T28" i="6" a="1"/>
  <c r="T28" i="6" s="1"/>
  <c r="T24" i="6" a="1"/>
  <c r="T24" i="6" s="1"/>
  <c r="T20" i="6" a="1"/>
  <c r="T20" i="6" s="1"/>
  <c r="T16" i="6" a="1"/>
  <c r="T16" i="6" s="1"/>
  <c r="T6" i="6" a="1"/>
  <c r="T6" i="6" s="1"/>
  <c r="R6" i="17" s="1"/>
  <c r="T25" i="6" a="1"/>
  <c r="T25" i="6" s="1"/>
  <c r="T21" i="6" a="1"/>
  <c r="T21" i="6" s="1"/>
  <c r="T17" i="6" a="1"/>
  <c r="T17" i="6" s="1"/>
  <c r="T13" i="6" a="1"/>
  <c r="T13" i="6" s="1"/>
  <c r="T9" i="6" a="1"/>
  <c r="T9" i="6" s="1"/>
  <c r="T14" i="6" a="1"/>
  <c r="T14" i="6" s="1"/>
  <c r="T10" i="6" a="1"/>
  <c r="T10" i="6" s="1"/>
  <c r="T29" i="6" a="1"/>
  <c r="T29" i="6" s="1"/>
  <c r="T26" i="6" a="1"/>
  <c r="T26" i="6" s="1"/>
  <c r="T22" i="6" a="1"/>
  <c r="T22" i="6" s="1"/>
  <c r="T18" i="6" a="1"/>
  <c r="T18" i="6" s="1"/>
  <c r="T23" i="6" a="1"/>
  <c r="T23" i="6" s="1"/>
  <c r="T19" i="6" a="1"/>
  <c r="T19" i="6" s="1"/>
  <c r="T15" i="6" a="1"/>
  <c r="T15" i="6" s="1"/>
  <c r="T11" i="6" a="1"/>
  <c r="T11" i="6" s="1"/>
  <c r="T7" i="6" a="1"/>
  <c r="T7" i="6" s="1"/>
  <c r="T12" i="6" a="1"/>
  <c r="T12" i="6" s="1"/>
  <c r="T8" i="6" a="1"/>
  <c r="T8" i="6" s="1"/>
  <c r="T32" i="6" a="1"/>
  <c r="T32" i="6" s="1"/>
  <c r="R1" i="17"/>
  <c r="X344" i="6" a="1"/>
  <c r="X344" i="6" s="1"/>
  <c r="X358" i="6" a="1"/>
  <c r="X358" i="6" s="1"/>
  <c r="X354" i="6" a="1"/>
  <c r="X354" i="6" s="1"/>
  <c r="X350" i="6" a="1"/>
  <c r="X350" i="6" s="1"/>
  <c r="X340" i="6" a="1"/>
  <c r="X340" i="6" s="1"/>
  <c r="X336" i="6" a="1"/>
  <c r="X336" i="6" s="1"/>
  <c r="X332" i="6" a="1"/>
  <c r="X332" i="6" s="1"/>
  <c r="X328" i="6" a="1"/>
  <c r="X328" i="6" s="1"/>
  <c r="X321" i="6" a="1"/>
  <c r="X321" i="6" s="1"/>
  <c r="X345" i="6" a="1"/>
  <c r="X345" i="6" s="1"/>
  <c r="X355" i="6" a="1"/>
  <c r="X355" i="6" s="1"/>
  <c r="X351" i="6" a="1"/>
  <c r="X351" i="6" s="1"/>
  <c r="X347" i="6" a="1"/>
  <c r="X347" i="6" s="1"/>
  <c r="X346" i="6" a="1"/>
  <c r="X346" i="6" s="1"/>
  <c r="X341" i="6" a="1"/>
  <c r="X341" i="6" s="1"/>
  <c r="X337" i="6" a="1"/>
  <c r="X337" i="6" s="1"/>
  <c r="X333" i="6" a="1"/>
  <c r="X333" i="6" s="1"/>
  <c r="X329" i="6" a="1"/>
  <c r="X329" i="6" s="1"/>
  <c r="X325" i="6" a="1"/>
  <c r="X325" i="6" s="1"/>
  <c r="X322" i="6" a="1"/>
  <c r="X322" i="6" s="1"/>
  <c r="X318" i="6" a="1"/>
  <c r="X318" i="6" s="1"/>
  <c r="X317" i="6" a="1"/>
  <c r="X317" i="6" s="1"/>
  <c r="X356" i="6" a="1"/>
  <c r="X356" i="6" s="1"/>
  <c r="X352" i="6" a="1"/>
  <c r="X352" i="6" s="1"/>
  <c r="X348" i="6" a="1"/>
  <c r="X348" i="6" s="1"/>
  <c r="X342" i="6" a="1"/>
  <c r="X342" i="6" s="1"/>
  <c r="X338" i="6" a="1"/>
  <c r="X338" i="6" s="1"/>
  <c r="X334" i="6" a="1"/>
  <c r="X334" i="6" s="1"/>
  <c r="X330" i="6" a="1"/>
  <c r="X330" i="6" s="1"/>
  <c r="X326" i="6" a="1"/>
  <c r="X326" i="6" s="1"/>
  <c r="X323" i="6" a="1"/>
  <c r="X323" i="6" s="1"/>
  <c r="X319" i="6" a="1"/>
  <c r="X319" i="6" s="1"/>
  <c r="X316" i="6" a="1"/>
  <c r="X316" i="6" s="1"/>
  <c r="X343" i="6" a="1"/>
  <c r="X343" i="6" s="1"/>
  <c r="X357" i="6" a="1"/>
  <c r="X357" i="6" s="1"/>
  <c r="X353" i="6" a="1"/>
  <c r="X353" i="6" s="1"/>
  <c r="X349" i="6" a="1"/>
  <c r="X349" i="6" s="1"/>
  <c r="X314" i="6" a="1"/>
  <c r="X314" i="6" s="1"/>
  <c r="X309" i="6" a="1"/>
  <c r="X309" i="6" s="1"/>
  <c r="X304" i="6" a="1"/>
  <c r="X304" i="6" s="1"/>
  <c r="X300" i="6" a="1"/>
  <c r="X300" i="6" s="1"/>
  <c r="X294" i="6" a="1"/>
  <c r="X294" i="6" s="1"/>
  <c r="X313" i="6" a="1"/>
  <c r="X313" i="6" s="1"/>
  <c r="X311" i="6" a="1"/>
  <c r="X311" i="6" s="1"/>
  <c r="X287" i="6" a="1"/>
  <c r="X287" i="6" s="1"/>
  <c r="X282" i="6" a="1"/>
  <c r="X282" i="6" s="1"/>
  <c r="X307" i="6" a="1"/>
  <c r="X307" i="6" s="1"/>
  <c r="X305" i="6" a="1"/>
  <c r="X305" i="6" s="1"/>
  <c r="X303" i="6" a="1"/>
  <c r="X303" i="6" s="1"/>
  <c r="X298" i="6" a="1"/>
  <c r="X298" i="6" s="1"/>
  <c r="X327" i="6" a="1"/>
  <c r="X327" i="6" s="1"/>
  <c r="X301" i="6" a="1"/>
  <c r="X301" i="6" s="1"/>
  <c r="X285" i="6" a="1"/>
  <c r="X285" i="6" s="1"/>
  <c r="X331" i="6" a="1"/>
  <c r="X331" i="6" s="1"/>
  <c r="X324" i="6" a="1"/>
  <c r="X324" i="6" s="1"/>
  <c r="X312" i="6" a="1"/>
  <c r="X312" i="6" s="1"/>
  <c r="X310" i="6" a="1"/>
  <c r="X310" i="6" s="1"/>
  <c r="X335" i="6" a="1"/>
  <c r="X335" i="6" s="1"/>
  <c r="X320" i="6" a="1"/>
  <c r="X320" i="6" s="1"/>
  <c r="X302" i="6" a="1"/>
  <c r="X302" i="6" s="1"/>
  <c r="X272" i="6" a="1"/>
  <c r="X272" i="6" s="1"/>
  <c r="X268" i="6" a="1"/>
  <c r="X268" i="6" s="1"/>
  <c r="X264" i="6" a="1"/>
  <c r="X264" i="6" s="1"/>
  <c r="X260" i="6" a="1"/>
  <c r="X260" i="6" s="1"/>
  <c r="X256" i="6" a="1"/>
  <c r="X256" i="6" s="1"/>
  <c r="X339" i="6" a="1"/>
  <c r="X339" i="6" s="1"/>
  <c r="X299" i="6" a="1"/>
  <c r="X299" i="6" s="1"/>
  <c r="X281" i="6" a="1"/>
  <c r="X281" i="6" s="1"/>
  <c r="X293" i="6" a="1"/>
  <c r="X293" i="6" s="1"/>
  <c r="X291" i="6" a="1"/>
  <c r="X291" i="6" s="1"/>
  <c r="X277" i="6" a="1"/>
  <c r="X277" i="6" s="1"/>
  <c r="X273" i="6" a="1"/>
  <c r="X273" i="6" s="1"/>
  <c r="X269" i="6" a="1"/>
  <c r="X269" i="6" s="1"/>
  <c r="X265" i="6" a="1"/>
  <c r="X265" i="6" s="1"/>
  <c r="X261" i="6" a="1"/>
  <c r="X261" i="6" s="1"/>
  <c r="X257" i="6" a="1"/>
  <c r="X257" i="6" s="1"/>
  <c r="X288" i="6" a="1"/>
  <c r="X288" i="6" s="1"/>
  <c r="X286" i="6" a="1"/>
  <c r="X286" i="6" s="1"/>
  <c r="X306" i="6" a="1"/>
  <c r="X306" i="6" s="1"/>
  <c r="X295" i="6" a="1"/>
  <c r="X295" i="6" s="1"/>
  <c r="X284" i="6" a="1"/>
  <c r="X284" i="6" s="1"/>
  <c r="X283" i="6" a="1"/>
  <c r="X283" i="6" s="1"/>
  <c r="X274" i="6" a="1"/>
  <c r="X274" i="6" s="1"/>
  <c r="X270" i="6" a="1"/>
  <c r="X270" i="6" s="1"/>
  <c r="X266" i="6" a="1"/>
  <c r="X266" i="6" s="1"/>
  <c r="X262" i="6" a="1"/>
  <c r="X262" i="6" s="1"/>
  <c r="X258" i="6" a="1"/>
  <c r="X258" i="6" s="1"/>
  <c r="X254" i="6" a="1"/>
  <c r="X254" i="6" s="1"/>
  <c r="X315" i="6" a="1"/>
  <c r="X315" i="6" s="1"/>
  <c r="X290" i="6" a="1"/>
  <c r="X290" i="6" s="1"/>
  <c r="X280" i="6" a="1"/>
  <c r="X280" i="6" s="1"/>
  <c r="X271" i="6" a="1"/>
  <c r="X271" i="6" s="1"/>
  <c r="X267" i="6" a="1"/>
  <c r="X267" i="6" s="1"/>
  <c r="X263" i="6" a="1"/>
  <c r="X263" i="6" s="1"/>
  <c r="X259" i="6" a="1"/>
  <c r="X259" i="6" s="1"/>
  <c r="X308" i="6" a="1"/>
  <c r="X308" i="6" s="1"/>
  <c r="X296" i="6" a="1"/>
  <c r="X296" i="6" s="1"/>
  <c r="X276" i="6" a="1"/>
  <c r="X276" i="6" s="1"/>
  <c r="X247" i="6" a="1"/>
  <c r="X247" i="6" s="1"/>
  <c r="X241" i="6" a="1"/>
  <c r="X241" i="6" s="1"/>
  <c r="X237" i="6" a="1"/>
  <c r="X237" i="6" s="1"/>
  <c r="X227" i="6" a="1"/>
  <c r="X227" i="6" s="1"/>
  <c r="X248" i="6" a="1"/>
  <c r="X248" i="6" s="1"/>
  <c r="X242" i="6" a="1"/>
  <c r="X242" i="6" s="1"/>
  <c r="X239" i="6" a="1"/>
  <c r="X239" i="6" s="1"/>
  <c r="X232" i="6" a="1"/>
  <c r="X232" i="6" s="1"/>
  <c r="X231" i="6" a="1"/>
  <c r="X231" i="6" s="1"/>
  <c r="X252" i="6" a="1"/>
  <c r="X252" i="6" s="1"/>
  <c r="X243" i="6" a="1"/>
  <c r="X243" i="6" s="1"/>
  <c r="X249" i="6" a="1"/>
  <c r="X249" i="6" s="1"/>
  <c r="X238" i="6" a="1"/>
  <c r="X238" i="6" s="1"/>
  <c r="X228" i="6" a="1"/>
  <c r="X228" i="6" s="1"/>
  <c r="X224" i="6" a="1"/>
  <c r="X224" i="6" s="1"/>
  <c r="X297" i="6" a="1"/>
  <c r="X297" i="6" s="1"/>
  <c r="X292" i="6" a="1"/>
  <c r="X292" i="6" s="1"/>
  <c r="X289" i="6" a="1"/>
  <c r="X289" i="6" s="1"/>
  <c r="X278" i="6" a="1"/>
  <c r="X278" i="6" s="1"/>
  <c r="X244" i="6" a="1"/>
  <c r="X244" i="6" s="1"/>
  <c r="X236" i="6" a="1"/>
  <c r="X236" i="6" s="1"/>
  <c r="X235" i="6" a="1"/>
  <c r="X235" i="6" s="1"/>
  <c r="X229" i="6" a="1"/>
  <c r="X229" i="6" s="1"/>
  <c r="X226" i="6" a="1"/>
  <c r="X226" i="6" s="1"/>
  <c r="X275" i="6" a="1"/>
  <c r="X275" i="6" s="1"/>
  <c r="X255" i="6" a="1"/>
  <c r="X255" i="6" s="1"/>
  <c r="X251" i="6" a="1"/>
  <c r="X251" i="6" s="1"/>
  <c r="V68" i="17" s="1"/>
  <c r="X246" i="6" a="1"/>
  <c r="X246" i="6" s="1"/>
  <c r="X240" i="6" a="1"/>
  <c r="X240" i="6" s="1"/>
  <c r="X234" i="6" a="1"/>
  <c r="X234" i="6" s="1"/>
  <c r="X223" i="6" a="1"/>
  <c r="X223" i="6" s="1"/>
  <c r="X221" i="6" a="1"/>
  <c r="X221" i="6" s="1"/>
  <c r="X207" i="6" a="1"/>
  <c r="X207" i="6" s="1"/>
  <c r="X203" i="6" a="1"/>
  <c r="X203" i="6" s="1"/>
  <c r="X199" i="6" a="1"/>
  <c r="X199" i="6" s="1"/>
  <c r="V55" i="17" s="1"/>
  <c r="X195" i="6" a="1"/>
  <c r="X195" i="6" s="1"/>
  <c r="X192" i="6" a="1"/>
  <c r="X192" i="6" s="1"/>
  <c r="X216" i="6" a="1"/>
  <c r="X216" i="6" s="1"/>
  <c r="X205" i="6" a="1"/>
  <c r="X205" i="6" s="1"/>
  <c r="X204" i="6" a="1"/>
  <c r="X204" i="6" s="1"/>
  <c r="X191" i="6" a="1"/>
  <c r="X191" i="6" s="1"/>
  <c r="V53" i="17" s="1"/>
  <c r="X188" i="6" a="1"/>
  <c r="X188" i="6" s="1"/>
  <c r="X279" i="6" a="1"/>
  <c r="X279" i="6" s="1"/>
  <c r="X233" i="6" a="1"/>
  <c r="X233" i="6" s="1"/>
  <c r="X206" i="6" a="1"/>
  <c r="X206" i="6" s="1"/>
  <c r="X200" i="6" a="1"/>
  <c r="X200" i="6" s="1"/>
  <c r="X196" i="6" a="1"/>
  <c r="X196" i="6" s="1"/>
  <c r="X187" i="6" a="1"/>
  <c r="X187" i="6" s="1"/>
  <c r="X222" i="6" a="1"/>
  <c r="X222" i="6" s="1"/>
  <c r="X220" i="6" a="1"/>
  <c r="X220" i="6" s="1"/>
  <c r="X218" i="6" a="1"/>
  <c r="X218" i="6" s="1"/>
  <c r="X250" i="6" a="1"/>
  <c r="X250" i="6" s="1"/>
  <c r="X230" i="6" a="1"/>
  <c r="X230" i="6" s="1"/>
  <c r="X225" i="6" a="1"/>
  <c r="X225" i="6" s="1"/>
  <c r="X215" i="6" a="1"/>
  <c r="X215" i="6" s="1"/>
  <c r="X214" i="6" a="1"/>
  <c r="X214" i="6" s="1"/>
  <c r="X201" i="6" a="1"/>
  <c r="X201" i="6" s="1"/>
  <c r="X197" i="6" a="1"/>
  <c r="X197" i="6" s="1"/>
  <c r="X245" i="6" a="1"/>
  <c r="X245" i="6" s="1"/>
  <c r="X212" i="6" a="1"/>
  <c r="X212" i="6" s="1"/>
  <c r="X208" i="6" a="1"/>
  <c r="X208" i="6" s="1"/>
  <c r="X202" i="6" a="1"/>
  <c r="X202" i="6" s="1"/>
  <c r="X198" i="6" a="1"/>
  <c r="X198" i="6" s="1"/>
  <c r="X194" i="6" a="1"/>
  <c r="X194" i="6" s="1"/>
  <c r="X189" i="6" a="1"/>
  <c r="X189" i="6" s="1"/>
  <c r="X253" i="6" a="1"/>
  <c r="X253" i="6" s="1"/>
  <c r="X211" i="6" a="1"/>
  <c r="X211" i="6" s="1"/>
  <c r="X210" i="6" a="1"/>
  <c r="X210" i="6" s="1"/>
  <c r="X209" i="6" a="1"/>
  <c r="X209" i="6" s="1"/>
  <c r="X184" i="6" a="1"/>
  <c r="X184" i="6" s="1"/>
  <c r="X171" i="6" a="1"/>
  <c r="X171" i="6" s="1"/>
  <c r="X168" i="6" a="1"/>
  <c r="X168" i="6" s="1"/>
  <c r="X159" i="6" a="1"/>
  <c r="X159" i="6" s="1"/>
  <c r="X213" i="6" a="1"/>
  <c r="X213" i="6" s="1"/>
  <c r="X190" i="6" a="1"/>
  <c r="X190" i="6" s="1"/>
  <c r="X185" i="6" a="1"/>
  <c r="X185" i="6" s="1"/>
  <c r="X183" i="6" a="1"/>
  <c r="X183" i="6" s="1"/>
  <c r="X163" i="6" a="1"/>
  <c r="X163" i="6" s="1"/>
  <c r="X217" i="6" a="1"/>
  <c r="X217" i="6" s="1"/>
  <c r="X193" i="6" a="1"/>
  <c r="X193" i="6" s="1"/>
  <c r="X179" i="6" a="1"/>
  <c r="X179" i="6" s="1"/>
  <c r="X174" i="6" a="1"/>
  <c r="X174" i="6" s="1"/>
  <c r="X170" i="6" a="1"/>
  <c r="X170" i="6" s="1"/>
  <c r="X167" i="6" a="1"/>
  <c r="X167" i="6" s="1"/>
  <c r="X158" i="6" a="1"/>
  <c r="X158" i="6" s="1"/>
  <c r="X157" i="6" a="1"/>
  <c r="X157" i="6" s="1"/>
  <c r="X186" i="6" a="1"/>
  <c r="X186" i="6" s="1"/>
  <c r="X178" i="6" a="1"/>
  <c r="X178" i="6" s="1"/>
  <c r="X177" i="6" a="1"/>
  <c r="X177" i="6" s="1"/>
  <c r="X162" i="6" a="1"/>
  <c r="X162" i="6" s="1"/>
  <c r="X156" i="6" a="1"/>
  <c r="X156" i="6" s="1"/>
  <c r="X153" i="6" a="1"/>
  <c r="X153" i="6" s="1"/>
  <c r="X181" i="6" a="1"/>
  <c r="X181" i="6" s="1"/>
  <c r="X173" i="6" a="1"/>
  <c r="X173" i="6" s="1"/>
  <c r="X166" i="6" a="1"/>
  <c r="X166" i="6" s="1"/>
  <c r="X182" i="6" a="1"/>
  <c r="X182" i="6" s="1"/>
  <c r="X176" i="6" a="1"/>
  <c r="X176" i="6" s="1"/>
  <c r="X169" i="6" a="1"/>
  <c r="X169" i="6" s="1"/>
  <c r="X161" i="6" a="1"/>
  <c r="X161" i="6" s="1"/>
  <c r="X180" i="6" a="1"/>
  <c r="X180" i="6" s="1"/>
  <c r="X172" i="6" a="1"/>
  <c r="X172" i="6" s="1"/>
  <c r="X165" i="6" a="1"/>
  <c r="X165" i="6" s="1"/>
  <c r="X160" i="6" a="1"/>
  <c r="X160" i="6" s="1"/>
  <c r="X155" i="6" a="1"/>
  <c r="X155" i="6" s="1"/>
  <c r="X141" i="6" a="1"/>
  <c r="X141" i="6" s="1"/>
  <c r="X138" i="6" a="1"/>
  <c r="X138" i="6" s="1"/>
  <c r="X123" i="6" a="1"/>
  <c r="X123" i="6" s="1"/>
  <c r="X120" i="6" a="1"/>
  <c r="X120" i="6" s="1"/>
  <c r="X148" i="6" a="1"/>
  <c r="X148" i="6" s="1"/>
  <c r="X127" i="6" a="1"/>
  <c r="X127" i="6" s="1"/>
  <c r="X126" i="6" a="1"/>
  <c r="X126" i="6" s="1"/>
  <c r="X149" i="6" a="1"/>
  <c r="X149" i="6" s="1"/>
  <c r="X142" i="6" a="1"/>
  <c r="X142" i="6" s="1"/>
  <c r="X131" i="6" a="1"/>
  <c r="X131" i="6" s="1"/>
  <c r="X124" i="6" a="1"/>
  <c r="X124" i="6" s="1"/>
  <c r="X121" i="6" a="1"/>
  <c r="X121" i="6" s="1"/>
  <c r="X164" i="6" a="1"/>
  <c r="X164" i="6" s="1"/>
  <c r="X146" i="6" a="1"/>
  <c r="X146" i="6" s="1"/>
  <c r="X143" i="6" a="1"/>
  <c r="X143" i="6" s="1"/>
  <c r="X135" i="6" a="1"/>
  <c r="X135" i="6" s="1"/>
  <c r="X128" i="6" a="1"/>
  <c r="X128" i="6" s="1"/>
  <c r="X125" i="6" a="1"/>
  <c r="X125" i="6" s="1"/>
  <c r="X175" i="6" a="1"/>
  <c r="X175" i="6" s="1"/>
  <c r="V49" i="17" s="1"/>
  <c r="X133" i="6" a="1"/>
  <c r="X133" i="6" s="1"/>
  <c r="X132" i="6" a="1"/>
  <c r="X132" i="6" s="1"/>
  <c r="X130" i="6" a="1"/>
  <c r="X130" i="6" s="1"/>
  <c r="X129" i="6" a="1"/>
  <c r="X129" i="6" s="1"/>
  <c r="X118" i="6" a="1"/>
  <c r="X118" i="6" s="1"/>
  <c r="X154" i="6" a="1"/>
  <c r="X154" i="6" s="1"/>
  <c r="X152" i="6" a="1"/>
  <c r="X152" i="6" s="1"/>
  <c r="X150" i="6" a="1"/>
  <c r="X150" i="6" s="1"/>
  <c r="X136" i="6" a="1"/>
  <c r="X136" i="6" s="1"/>
  <c r="X134" i="6" a="1"/>
  <c r="X134" i="6" s="1"/>
  <c r="X117" i="6" a="1"/>
  <c r="X117" i="6" s="1"/>
  <c r="X116" i="6" a="1"/>
  <c r="X116" i="6" s="1"/>
  <c r="X140" i="6" a="1"/>
  <c r="X140" i="6" s="1"/>
  <c r="X139" i="6" a="1"/>
  <c r="X139" i="6" s="1"/>
  <c r="V40" i="17" s="1"/>
  <c r="X137" i="6" a="1"/>
  <c r="X137" i="6" s="1"/>
  <c r="X119" i="6" a="1"/>
  <c r="X119" i="6" s="1"/>
  <c r="X219" i="6" a="1"/>
  <c r="X219" i="6" s="1"/>
  <c r="V60" i="17" s="1"/>
  <c r="X151" i="6" a="1"/>
  <c r="X151" i="6" s="1"/>
  <c r="X145" i="6" a="1"/>
  <c r="X145" i="6" s="1"/>
  <c r="X108" i="6" a="1"/>
  <c r="X108" i="6" s="1"/>
  <c r="X104" i="6" a="1"/>
  <c r="X104" i="6" s="1"/>
  <c r="X98" i="6" a="1"/>
  <c r="X98" i="6" s="1"/>
  <c r="X95" i="6" a="1"/>
  <c r="X95" i="6" s="1"/>
  <c r="X91" i="6" a="1"/>
  <c r="X91" i="6" s="1"/>
  <c r="X87" i="6" a="1"/>
  <c r="X87" i="6" s="1"/>
  <c r="X83" i="6" a="1"/>
  <c r="X83" i="6" s="1"/>
  <c r="X79" i="6" a="1"/>
  <c r="X79" i="6" s="1"/>
  <c r="X78" i="6" a="1"/>
  <c r="X78" i="6" s="1"/>
  <c r="X74" i="6" a="1"/>
  <c r="X74" i="6" s="1"/>
  <c r="X70" i="6" a="1"/>
  <c r="X70" i="6" s="1"/>
  <c r="X66" i="6" a="1"/>
  <c r="X66" i="6" s="1"/>
  <c r="X62" i="6" a="1"/>
  <c r="X62" i="6" s="1"/>
  <c r="X58" i="6" a="1"/>
  <c r="X58" i="6" s="1"/>
  <c r="X54" i="6" a="1"/>
  <c r="X54" i="6" s="1"/>
  <c r="X50" i="6" a="1"/>
  <c r="X50" i="6" s="1"/>
  <c r="X46" i="6" a="1"/>
  <c r="X46" i="6" s="1"/>
  <c r="X42" i="6" a="1"/>
  <c r="X42" i="6" s="1"/>
  <c r="X38" i="6" a="1"/>
  <c r="X38" i="6" s="1"/>
  <c r="X113" i="6" a="1"/>
  <c r="X113" i="6" s="1"/>
  <c r="X112" i="6" a="1"/>
  <c r="X112" i="6" s="1"/>
  <c r="X92" i="6" a="1"/>
  <c r="X92" i="6" s="1"/>
  <c r="X109" i="6" a="1"/>
  <c r="X109" i="6" s="1"/>
  <c r="X105" i="6" a="1"/>
  <c r="X105" i="6" s="1"/>
  <c r="X101" i="6" a="1"/>
  <c r="X101" i="6" s="1"/>
  <c r="X88" i="6" a="1"/>
  <c r="X88" i="6" s="1"/>
  <c r="X84" i="6" a="1"/>
  <c r="X84" i="6" s="1"/>
  <c r="X80" i="6" a="1"/>
  <c r="X80" i="6" s="1"/>
  <c r="X75" i="6" a="1"/>
  <c r="X75" i="6" s="1"/>
  <c r="X71" i="6" a="1"/>
  <c r="X71" i="6" s="1"/>
  <c r="X67" i="6" a="1"/>
  <c r="X67" i="6" s="1"/>
  <c r="X63" i="6" a="1"/>
  <c r="X63" i="6" s="1"/>
  <c r="X59" i="6" a="1"/>
  <c r="X59" i="6" s="1"/>
  <c r="X55" i="6" a="1"/>
  <c r="X55" i="6" s="1"/>
  <c r="X51" i="6" a="1"/>
  <c r="X51" i="6" s="1"/>
  <c r="X47" i="6" a="1"/>
  <c r="X47" i="6" s="1"/>
  <c r="X43" i="6" a="1"/>
  <c r="X43" i="6" s="1"/>
  <c r="X39" i="6" a="1"/>
  <c r="X39" i="6" s="1"/>
  <c r="X35" i="6" a="1"/>
  <c r="X35" i="6" s="1"/>
  <c r="X34" i="6" a="1"/>
  <c r="X34" i="6" s="1"/>
  <c r="X33" i="6" a="1"/>
  <c r="X33" i="6" s="1"/>
  <c r="X144" i="6" a="1"/>
  <c r="X144" i="6" s="1"/>
  <c r="X100" i="6" a="1"/>
  <c r="X100" i="6" s="1"/>
  <c r="X97" i="6" a="1"/>
  <c r="X97" i="6" s="1"/>
  <c r="X147" i="6" a="1"/>
  <c r="X147" i="6" s="1"/>
  <c r="V42" i="17" s="1"/>
  <c r="X110" i="6" a="1"/>
  <c r="X110" i="6" s="1"/>
  <c r="X106" i="6" a="1"/>
  <c r="X106" i="6" s="1"/>
  <c r="X102" i="6" a="1"/>
  <c r="X102" i="6" s="1"/>
  <c r="X94" i="6" a="1"/>
  <c r="X94" i="6" s="1"/>
  <c r="X89" i="6" a="1"/>
  <c r="X89" i="6" s="1"/>
  <c r="X85" i="6" a="1"/>
  <c r="X85" i="6" s="1"/>
  <c r="X81" i="6" a="1"/>
  <c r="X81" i="6" s="1"/>
  <c r="X76" i="6" a="1"/>
  <c r="X76" i="6" s="1"/>
  <c r="X72" i="6" a="1"/>
  <c r="X72" i="6" s="1"/>
  <c r="X68" i="6" a="1"/>
  <c r="X68" i="6" s="1"/>
  <c r="X64" i="6" a="1"/>
  <c r="X64" i="6" s="1"/>
  <c r="X60" i="6" a="1"/>
  <c r="X60" i="6" s="1"/>
  <c r="X56" i="6" a="1"/>
  <c r="X56" i="6" s="1"/>
  <c r="X52" i="6" a="1"/>
  <c r="X52" i="6" s="1"/>
  <c r="X48" i="6" a="1"/>
  <c r="X48" i="6" s="1"/>
  <c r="X44" i="6" a="1"/>
  <c r="X44" i="6" s="1"/>
  <c r="X40" i="6" a="1"/>
  <c r="X40" i="6" s="1"/>
  <c r="X36" i="6" a="1"/>
  <c r="X36" i="6" s="1"/>
  <c r="X115" i="6" a="1"/>
  <c r="X115" i="6" s="1"/>
  <c r="V34" i="17" s="1"/>
  <c r="X114" i="6" a="1"/>
  <c r="X114" i="6" s="1"/>
  <c r="X93" i="6" a="1"/>
  <c r="X93" i="6" s="1"/>
  <c r="X122" i="6" a="1"/>
  <c r="X122" i="6" s="1"/>
  <c r="X111" i="6" a="1"/>
  <c r="X111" i="6" s="1"/>
  <c r="X107" i="6" a="1"/>
  <c r="X107" i="6" s="1"/>
  <c r="X103" i="6" a="1"/>
  <c r="X103" i="6" s="1"/>
  <c r="V31" i="17" s="1"/>
  <c r="X99" i="6" a="1"/>
  <c r="X99" i="6" s="1"/>
  <c r="X96" i="6" a="1"/>
  <c r="X96" i="6" s="1"/>
  <c r="X90" i="6" a="1"/>
  <c r="X90" i="6" s="1"/>
  <c r="X86" i="6" a="1"/>
  <c r="X86" i="6" s="1"/>
  <c r="X82" i="6" a="1"/>
  <c r="X82" i="6" s="1"/>
  <c r="X77" i="6" a="1"/>
  <c r="X77" i="6" s="1"/>
  <c r="X73" i="6" a="1"/>
  <c r="X73" i="6" s="1"/>
  <c r="X69" i="6" a="1"/>
  <c r="X69" i="6" s="1"/>
  <c r="X65" i="6" a="1"/>
  <c r="X65" i="6" s="1"/>
  <c r="X61" i="6" a="1"/>
  <c r="X61" i="6" s="1"/>
  <c r="X57" i="6" a="1"/>
  <c r="X57" i="6" s="1"/>
  <c r="X53" i="6" a="1"/>
  <c r="X53" i="6" s="1"/>
  <c r="X49" i="6" a="1"/>
  <c r="X49" i="6" s="1"/>
  <c r="X45" i="6" a="1"/>
  <c r="X45" i="6" s="1"/>
  <c r="X41" i="6" a="1"/>
  <c r="X41" i="6" s="1"/>
  <c r="X37" i="6" a="1"/>
  <c r="X37" i="6" s="1"/>
  <c r="X26" i="6" a="1"/>
  <c r="X26" i="6" s="1"/>
  <c r="X22" i="6" a="1"/>
  <c r="X22" i="6" s="1"/>
  <c r="X18" i="6" a="1"/>
  <c r="X18" i="6" s="1"/>
  <c r="X29" i="6" a="1"/>
  <c r="X29" i="6" s="1"/>
  <c r="X27" i="6" a="1"/>
  <c r="X27" i="6" s="1"/>
  <c r="X23" i="6" a="1"/>
  <c r="X23" i="6" s="1"/>
  <c r="X19" i="6" a="1"/>
  <c r="X19" i="6" s="1"/>
  <c r="V10" i="17" s="1"/>
  <c r="X15" i="6" a="1"/>
  <c r="X15" i="6" s="1"/>
  <c r="X11" i="6" a="1"/>
  <c r="X11" i="6" s="1"/>
  <c r="X7" i="6" a="1"/>
  <c r="X7" i="6" s="1"/>
  <c r="X12" i="6" a="1"/>
  <c r="X12" i="6" s="1"/>
  <c r="X28" i="6" a="1"/>
  <c r="X28" i="6" s="1"/>
  <c r="X24" i="6" a="1"/>
  <c r="X24" i="6" s="1"/>
  <c r="X20" i="6" a="1"/>
  <c r="X20" i="6" s="1"/>
  <c r="X16" i="6" a="1"/>
  <c r="X16" i="6" s="1"/>
  <c r="X8" i="6" a="1"/>
  <c r="X8" i="6" s="1"/>
  <c r="X31" i="6" a="1"/>
  <c r="X31" i="6" s="1"/>
  <c r="X30" i="6" a="1"/>
  <c r="X30" i="6" s="1"/>
  <c r="X25" i="6" a="1"/>
  <c r="X25" i="6" s="1"/>
  <c r="X21" i="6" a="1"/>
  <c r="X21" i="6" s="1"/>
  <c r="X17" i="6" a="1"/>
  <c r="X17" i="6" s="1"/>
  <c r="X13" i="6" a="1"/>
  <c r="X13" i="6" s="1"/>
  <c r="X9" i="6" a="1"/>
  <c r="X9" i="6" s="1"/>
  <c r="X14" i="6" a="1"/>
  <c r="X14" i="6" s="1"/>
  <c r="X32" i="6" a="1"/>
  <c r="X32" i="6" s="1"/>
  <c r="X10" i="6" a="1"/>
  <c r="X10" i="6" s="1"/>
  <c r="X6" i="6" a="1"/>
  <c r="X6" i="6" s="1"/>
  <c r="V6" i="17" s="1"/>
  <c r="V1" i="17"/>
  <c r="Z355" i="6" a="1"/>
  <c r="Z355" i="6" s="1"/>
  <c r="Z351" i="6" a="1"/>
  <c r="Z351" i="6" s="1"/>
  <c r="Z347" i="6" a="1"/>
  <c r="Z347" i="6" s="1"/>
  <c r="Z346" i="6" a="1"/>
  <c r="Z346" i="6" s="1"/>
  <c r="Z341" i="6" a="1"/>
  <c r="Z341" i="6" s="1"/>
  <c r="Z337" i="6" a="1"/>
  <c r="Z337" i="6" s="1"/>
  <c r="Z333" i="6" a="1"/>
  <c r="Z333" i="6" s="1"/>
  <c r="Z329" i="6" a="1"/>
  <c r="Z329" i="6" s="1"/>
  <c r="Z325" i="6" a="1"/>
  <c r="Z325" i="6" s="1"/>
  <c r="Z322" i="6" a="1"/>
  <c r="Z322" i="6" s="1"/>
  <c r="Z317" i="6" a="1"/>
  <c r="Z317" i="6" s="1"/>
  <c r="Z356" i="6" a="1"/>
  <c r="Z356" i="6" s="1"/>
  <c r="Z352" i="6" a="1"/>
  <c r="Z352" i="6" s="1"/>
  <c r="Z348" i="6" a="1"/>
  <c r="Z348" i="6" s="1"/>
  <c r="Z342" i="6" a="1"/>
  <c r="Z342" i="6" s="1"/>
  <c r="Z338" i="6" a="1"/>
  <c r="Z338" i="6" s="1"/>
  <c r="Z334" i="6" a="1"/>
  <c r="Z334" i="6" s="1"/>
  <c r="Z330" i="6" a="1"/>
  <c r="Z330" i="6" s="1"/>
  <c r="Z326" i="6" a="1"/>
  <c r="Z326" i="6" s="1"/>
  <c r="Z323" i="6" a="1"/>
  <c r="Z323" i="6" s="1"/>
  <c r="Z319" i="6" a="1"/>
  <c r="Z319" i="6" s="1"/>
  <c r="Z316" i="6" a="1"/>
  <c r="Z316" i="6" s="1"/>
  <c r="Z343" i="6" a="1"/>
  <c r="Z343" i="6" s="1"/>
  <c r="Z357" i="6" a="1"/>
  <c r="Z357" i="6" s="1"/>
  <c r="Z353" i="6" a="1"/>
  <c r="Z353" i="6" s="1"/>
  <c r="Z349" i="6" a="1"/>
  <c r="Z349" i="6" s="1"/>
  <c r="Z339" i="6" a="1"/>
  <c r="Z339" i="6" s="1"/>
  <c r="Z335" i="6" a="1"/>
  <c r="Z335" i="6" s="1"/>
  <c r="X89" i="17" s="1"/>
  <c r="Z331" i="6" a="1"/>
  <c r="Z331" i="6" s="1"/>
  <c r="Z327" i="6" a="1"/>
  <c r="Z327" i="6" s="1"/>
  <c r="Z324" i="6" a="1"/>
  <c r="Z324" i="6" s="1"/>
  <c r="Z320" i="6" a="1"/>
  <c r="Z320" i="6" s="1"/>
  <c r="Z344" i="6" a="1"/>
  <c r="Z344" i="6" s="1"/>
  <c r="Z358" i="6" a="1"/>
  <c r="Z358" i="6" s="1"/>
  <c r="Z354" i="6" a="1"/>
  <c r="Z354" i="6" s="1"/>
  <c r="Z350" i="6" a="1"/>
  <c r="Z350" i="6" s="1"/>
  <c r="Z345" i="6" a="1"/>
  <c r="Z345" i="6" s="1"/>
  <c r="Z321" i="6" a="1"/>
  <c r="Z321" i="6" s="1"/>
  <c r="Z313" i="6" a="1"/>
  <c r="Z313" i="6" s="1"/>
  <c r="Z305" i="6" a="1"/>
  <c r="Z305" i="6" s="1"/>
  <c r="Z303" i="6" a="1"/>
  <c r="Z303" i="6" s="1"/>
  <c r="Z296" i="6" a="1"/>
  <c r="Z296" i="6" s="1"/>
  <c r="Z298" i="6" a="1"/>
  <c r="Z298" i="6" s="1"/>
  <c r="Z328" i="6" a="1"/>
  <c r="Z328" i="6" s="1"/>
  <c r="Z310" i="6" a="1"/>
  <c r="Z310" i="6" s="1"/>
  <c r="Z301" i="6" a="1"/>
  <c r="Z301" i="6" s="1"/>
  <c r="Z332" i="6" a="1"/>
  <c r="Z332" i="6" s="1"/>
  <c r="Z312" i="6" a="1"/>
  <c r="Z312" i="6" s="1"/>
  <c r="Z299" i="6" a="1"/>
  <c r="Z299" i="6" s="1"/>
  <c r="X80" i="17" s="1"/>
  <c r="Z295" i="6" a="1"/>
  <c r="Z295" i="6" s="1"/>
  <c r="Z291" i="6" a="1"/>
  <c r="Z291" i="6" s="1"/>
  <c r="X78" i="17" s="1"/>
  <c r="Z288" i="6" a="1"/>
  <c r="Z288" i="6" s="1"/>
  <c r="Z336" i="6" a="1"/>
  <c r="Z336" i="6" s="1"/>
  <c r="Z308" i="6" a="1"/>
  <c r="Z308" i="6" s="1"/>
  <c r="Z306" i="6" a="1"/>
  <c r="Z306" i="6" s="1"/>
  <c r="Z297" i="6" a="1"/>
  <c r="Z297" i="6" s="1"/>
  <c r="Z292" i="6" a="1"/>
  <c r="Z292" i="6" s="1"/>
  <c r="Z286" i="6" a="1"/>
  <c r="Z286" i="6" s="1"/>
  <c r="Z340" i="6" a="1"/>
  <c r="Z340" i="6" s="1"/>
  <c r="Z315" i="6" a="1"/>
  <c r="Z315" i="6" s="1"/>
  <c r="Z302" i="6" a="1"/>
  <c r="Z302" i="6" s="1"/>
  <c r="Z318" i="6" a="1"/>
  <c r="Z318" i="6" s="1"/>
  <c r="Z314" i="6" a="1"/>
  <c r="Z314" i="6" s="1"/>
  <c r="Z287" i="6" a="1"/>
  <c r="Z287" i="6" s="1"/>
  <c r="Z277" i="6" a="1"/>
  <c r="Z277" i="6" s="1"/>
  <c r="Z273" i="6" a="1"/>
  <c r="Z273" i="6" s="1"/>
  <c r="Z269" i="6" a="1"/>
  <c r="Z269" i="6" s="1"/>
  <c r="Z265" i="6" a="1"/>
  <c r="Z265" i="6" s="1"/>
  <c r="Z261" i="6" a="1"/>
  <c r="Z261" i="6" s="1"/>
  <c r="Z257" i="6" a="1"/>
  <c r="Z257" i="6" s="1"/>
  <c r="Z311" i="6" a="1"/>
  <c r="Z311" i="6" s="1"/>
  <c r="X83" i="17" s="1"/>
  <c r="Z293" i="6" a="1"/>
  <c r="Z293" i="6" s="1"/>
  <c r="Z284" i="6" a="1"/>
  <c r="Z284" i="6" s="1"/>
  <c r="Z304" i="6" a="1"/>
  <c r="Z304" i="6" s="1"/>
  <c r="Z289" i="6" a="1"/>
  <c r="Z289" i="6" s="1"/>
  <c r="Z285" i="6" a="1"/>
  <c r="Z285" i="6" s="1"/>
  <c r="Z279" i="6" a="1"/>
  <c r="Z279" i="6" s="1"/>
  <c r="Z278" i="6" a="1"/>
  <c r="Z278" i="6" s="1"/>
  <c r="Z274" i="6" a="1"/>
  <c r="Z274" i="6" s="1"/>
  <c r="Z270" i="6" a="1"/>
  <c r="Z270" i="6" s="1"/>
  <c r="Z266" i="6" a="1"/>
  <c r="Z266" i="6" s="1"/>
  <c r="Z262" i="6" a="1"/>
  <c r="Z262" i="6" s="1"/>
  <c r="Z258" i="6" a="1"/>
  <c r="Z258" i="6" s="1"/>
  <c r="Z254" i="6" a="1"/>
  <c r="Z254" i="6" s="1"/>
  <c r="Z283" i="6" a="1"/>
  <c r="Z283" i="6" s="1"/>
  <c r="Z282" i="6" a="1"/>
  <c r="Z282" i="6" s="1"/>
  <c r="Z275" i="6" a="1"/>
  <c r="Z275" i="6" s="1"/>
  <c r="Z307" i="6" a="1"/>
  <c r="Z307" i="6" s="1"/>
  <c r="Z280" i="6" a="1"/>
  <c r="Z280" i="6" s="1"/>
  <c r="Z271" i="6" a="1"/>
  <c r="Z271" i="6" s="1"/>
  <c r="Z267" i="6" a="1"/>
  <c r="Z267" i="6" s="1"/>
  <c r="Z263" i="6" a="1"/>
  <c r="Z263" i="6" s="1"/>
  <c r="Z259" i="6" a="1"/>
  <c r="Z259" i="6" s="1"/>
  <c r="Z255" i="6" a="1"/>
  <c r="Z255" i="6" s="1"/>
  <c r="Z309" i="6" a="1"/>
  <c r="Z309" i="6" s="1"/>
  <c r="Z300" i="6" a="1"/>
  <c r="Z300" i="6" s="1"/>
  <c r="Z294" i="6" a="1"/>
  <c r="Z294" i="6" s="1"/>
  <c r="Z272" i="6" a="1"/>
  <c r="Z272" i="6" s="1"/>
  <c r="Z268" i="6" a="1"/>
  <c r="Z268" i="6" s="1"/>
  <c r="Z264" i="6" a="1"/>
  <c r="Z264" i="6" s="1"/>
  <c r="Z260" i="6" a="1"/>
  <c r="Z260" i="6" s="1"/>
  <c r="Z281" i="6" a="1"/>
  <c r="Z281" i="6" s="1"/>
  <c r="Z252" i="6" a="1"/>
  <c r="Z252" i="6" s="1"/>
  <c r="Z243" i="6" a="1"/>
  <c r="Z243" i="6" s="1"/>
  <c r="Z238" i="6" a="1"/>
  <c r="Z238" i="6" s="1"/>
  <c r="Z276" i="6" a="1"/>
  <c r="Z276" i="6" s="1"/>
  <c r="Z249" i="6" a="1"/>
  <c r="Z249" i="6" s="1"/>
  <c r="Z236" i="6" a="1"/>
  <c r="Z236" i="6" s="1"/>
  <c r="Z235" i="6" a="1"/>
  <c r="Z235" i="6" s="1"/>
  <c r="Z229" i="6" a="1"/>
  <c r="Z229" i="6" s="1"/>
  <c r="Z228" i="6" a="1"/>
  <c r="Z228" i="6" s="1"/>
  <c r="Z244" i="6" a="1"/>
  <c r="Z244" i="6" s="1"/>
  <c r="Z233" i="6" a="1"/>
  <c r="Z233" i="6" s="1"/>
  <c r="Z226" i="6" a="1"/>
  <c r="Z226" i="6" s="1"/>
  <c r="Z253" i="6" a="1"/>
  <c r="Z253" i="6" s="1"/>
  <c r="Z250" i="6" a="1"/>
  <c r="Z250" i="6" s="1"/>
  <c r="Z245" i="6" a="1"/>
  <c r="Z245" i="6" s="1"/>
  <c r="Z230" i="6" a="1"/>
  <c r="Z230" i="6" s="1"/>
  <c r="Z246" i="6" a="1"/>
  <c r="Z246" i="6" s="1"/>
  <c r="Z240" i="6" a="1"/>
  <c r="Z240" i="6" s="1"/>
  <c r="Z290" i="6" a="1"/>
  <c r="Z290" i="6" s="1"/>
  <c r="Z247" i="6" a="1"/>
  <c r="Z247" i="6" s="1"/>
  <c r="Z241" i="6" a="1"/>
  <c r="Z241" i="6" s="1"/>
  <c r="Z232" i="6" a="1"/>
  <c r="Z232" i="6" s="1"/>
  <c r="Z248" i="6" a="1"/>
  <c r="Z248" i="6" s="1"/>
  <c r="Z242" i="6" a="1"/>
  <c r="Z242" i="6" s="1"/>
  <c r="Z239" i="6" a="1"/>
  <c r="Z239" i="6" s="1"/>
  <c r="Z231" i="6" a="1"/>
  <c r="Z231" i="6" s="1"/>
  <c r="Z225" i="6" a="1"/>
  <c r="Z225" i="6" s="1"/>
  <c r="Z227" i="6" a="1"/>
  <c r="Z227" i="6" s="1"/>
  <c r="Z223" i="6" a="1"/>
  <c r="Z223" i="6" s="1"/>
  <c r="X61" i="17" s="1"/>
  <c r="Z218" i="6" a="1"/>
  <c r="Z218" i="6" s="1"/>
  <c r="Z200" i="6" a="1"/>
  <c r="Z200" i="6" s="1"/>
  <c r="Z196" i="6" a="1"/>
  <c r="Z196" i="6" s="1"/>
  <c r="Z187" i="6" a="1"/>
  <c r="Z187" i="6" s="1"/>
  <c r="Z222" i="6" a="1"/>
  <c r="Z222" i="6" s="1"/>
  <c r="Z220" i="6" a="1"/>
  <c r="Z220" i="6" s="1"/>
  <c r="Z256" i="6" a="1"/>
  <c r="Z256" i="6" s="1"/>
  <c r="Z251" i="6" a="1"/>
  <c r="Z251" i="6" s="1"/>
  <c r="Z215" i="6" a="1"/>
  <c r="Z215" i="6" s="1"/>
  <c r="Z214" i="6" a="1"/>
  <c r="Z214" i="6" s="1"/>
  <c r="Z201" i="6" a="1"/>
  <c r="Z201" i="6" s="1"/>
  <c r="Z197" i="6" a="1"/>
  <c r="Z197" i="6" s="1"/>
  <c r="Z219" i="6" a="1"/>
  <c r="Z219" i="6" s="1"/>
  <c r="Z217" i="6" a="1"/>
  <c r="Z217" i="6" s="1"/>
  <c r="Z213" i="6" a="1"/>
  <c r="Z213" i="6" s="1"/>
  <c r="Z212" i="6" a="1"/>
  <c r="Z212" i="6" s="1"/>
  <c r="Z193" i="6" a="1"/>
  <c r="Z193" i="6" s="1"/>
  <c r="Z224" i="6" a="1"/>
  <c r="Z224" i="6" s="1"/>
  <c r="Z208" i="6" a="1"/>
  <c r="Z208" i="6" s="1"/>
  <c r="Z202" i="6" a="1"/>
  <c r="Z202" i="6" s="1"/>
  <c r="Z198" i="6" a="1"/>
  <c r="Z198" i="6" s="1"/>
  <c r="Z194" i="6" a="1"/>
  <c r="Z194" i="6" s="1"/>
  <c r="Z189" i="6" a="1"/>
  <c r="Z189" i="6" s="1"/>
  <c r="Z216" i="6" a="1"/>
  <c r="Z216" i="6" s="1"/>
  <c r="Z207" i="6" a="1"/>
  <c r="Z207" i="6" s="1"/>
  <c r="Z203" i="6" a="1"/>
  <c r="Z203" i="6" s="1"/>
  <c r="Z199" i="6" a="1"/>
  <c r="Z199" i="6" s="1"/>
  <c r="Z195" i="6" a="1"/>
  <c r="Z195" i="6" s="1"/>
  <c r="X54" i="17" s="1"/>
  <c r="Z192" i="6" a="1"/>
  <c r="Z192" i="6" s="1"/>
  <c r="Z237" i="6" a="1"/>
  <c r="Z237" i="6" s="1"/>
  <c r="Z221" i="6" a="1"/>
  <c r="Z221" i="6" s="1"/>
  <c r="Z206" i="6" a="1"/>
  <c r="Z206" i="6" s="1"/>
  <c r="Z205" i="6" a="1"/>
  <c r="Z205" i="6" s="1"/>
  <c r="Z204" i="6" a="1"/>
  <c r="Z204" i="6" s="1"/>
  <c r="Z191" i="6" a="1"/>
  <c r="Z191" i="6" s="1"/>
  <c r="Z190" i="6" a="1"/>
  <c r="Z190" i="6" s="1"/>
  <c r="Z179" i="6" a="1"/>
  <c r="Z179" i="6" s="1"/>
  <c r="Z170" i="6" a="1"/>
  <c r="Z170" i="6" s="1"/>
  <c r="Z167" i="6" a="1"/>
  <c r="Z167" i="6" s="1"/>
  <c r="Z157" i="6" a="1"/>
  <c r="Z157" i="6" s="1"/>
  <c r="Z211" i="6" a="1"/>
  <c r="Z211" i="6" s="1"/>
  <c r="Z186" i="6" a="1"/>
  <c r="Z186" i="6" s="1"/>
  <c r="Z181" i="6" a="1"/>
  <c r="Z181" i="6" s="1"/>
  <c r="Z178" i="6" a="1"/>
  <c r="Z178" i="6" s="1"/>
  <c r="Z177" i="6" a="1"/>
  <c r="Z177" i="6" s="1"/>
  <c r="Z162" i="6" a="1"/>
  <c r="Z162" i="6" s="1"/>
  <c r="Z156" i="6" a="1"/>
  <c r="Z156" i="6" s="1"/>
  <c r="Z173" i="6" a="1"/>
  <c r="Z173" i="6" s="1"/>
  <c r="Z169" i="6" a="1"/>
  <c r="Z169" i="6" s="1"/>
  <c r="Z166" i="6" a="1"/>
  <c r="Z166" i="6" s="1"/>
  <c r="Z161" i="6" a="1"/>
  <c r="Z161" i="6" s="1"/>
  <c r="Z188" i="6" a="1"/>
  <c r="Z188" i="6" s="1"/>
  <c r="Z182" i="6" a="1"/>
  <c r="Z182" i="6" s="1"/>
  <c r="Z176" i="6" a="1"/>
  <c r="Z176" i="6" s="1"/>
  <c r="Z165" i="6" a="1"/>
  <c r="Z165" i="6" s="1"/>
  <c r="Z210" i="6" a="1"/>
  <c r="Z210" i="6" s="1"/>
  <c r="Z180" i="6" a="1"/>
  <c r="Z180" i="6" s="1"/>
  <c r="Z172" i="6" a="1"/>
  <c r="Z172" i="6" s="1"/>
  <c r="Z160" i="6" a="1"/>
  <c r="Z160" i="6" s="1"/>
  <c r="Z155" i="6" a="1"/>
  <c r="Z155" i="6" s="1"/>
  <c r="Z175" i="6" a="1"/>
  <c r="Z175" i="6" s="1"/>
  <c r="Z164" i="6" a="1"/>
  <c r="Z164" i="6" s="1"/>
  <c r="Z209" i="6" a="1"/>
  <c r="Z209" i="6" s="1"/>
  <c r="Z184" i="6" a="1"/>
  <c r="Z184" i="6" s="1"/>
  <c r="Z171" i="6" a="1"/>
  <c r="Z171" i="6" s="1"/>
  <c r="Z168" i="6" a="1"/>
  <c r="Z168" i="6" s="1"/>
  <c r="Z159" i="6" a="1"/>
  <c r="Z159" i="6" s="1"/>
  <c r="Z174" i="6" a="1"/>
  <c r="Z174" i="6" s="1"/>
  <c r="Z149" i="6" a="1"/>
  <c r="Z149" i="6" s="1"/>
  <c r="Z146" i="6" a="1"/>
  <c r="Z146" i="6" s="1"/>
  <c r="Z142" i="6" a="1"/>
  <c r="Z142" i="6" s="1"/>
  <c r="Z131" i="6" a="1"/>
  <c r="Z131" i="6" s="1"/>
  <c r="X38" i="17" s="1"/>
  <c r="Z124" i="6" a="1"/>
  <c r="Z124" i="6" s="1"/>
  <c r="Z143" i="6" a="1"/>
  <c r="Z143" i="6" s="1"/>
  <c r="Z135" i="6" a="1"/>
  <c r="Z135" i="6" s="1"/>
  <c r="Z130" i="6" a="1"/>
  <c r="Z130" i="6" s="1"/>
  <c r="Z128" i="6" a="1"/>
  <c r="Z128" i="6" s="1"/>
  <c r="Z125" i="6" a="1"/>
  <c r="Z125" i="6" s="1"/>
  <c r="Z234" i="6" a="1"/>
  <c r="Z234" i="6" s="1"/>
  <c r="Z158" i="6" a="1"/>
  <c r="Z158" i="6" s="1"/>
  <c r="Z153" i="6" a="1"/>
  <c r="Z153" i="6" s="1"/>
  <c r="Z134" i="6" a="1"/>
  <c r="Z134" i="6" s="1"/>
  <c r="Z133" i="6" a="1"/>
  <c r="Z133" i="6" s="1"/>
  <c r="Z132" i="6" a="1"/>
  <c r="Z132" i="6" s="1"/>
  <c r="Z129" i="6" a="1"/>
  <c r="Z129" i="6" s="1"/>
  <c r="Z183" i="6" a="1"/>
  <c r="Z183" i="6" s="1"/>
  <c r="Z154" i="6" a="1"/>
  <c r="Z154" i="6" s="1"/>
  <c r="Z152" i="6" a="1"/>
  <c r="Z152" i="6" s="1"/>
  <c r="Z150" i="6" a="1"/>
  <c r="Z150" i="6" s="1"/>
  <c r="Z136" i="6" a="1"/>
  <c r="Z136" i="6" s="1"/>
  <c r="Z116" i="6" a="1"/>
  <c r="Z116" i="6" s="1"/>
  <c r="Z115" i="6" a="1"/>
  <c r="Z115" i="6" s="1"/>
  <c r="Z112" i="6" a="1"/>
  <c r="Z112" i="6" s="1"/>
  <c r="Z185" i="6" a="1"/>
  <c r="Z185" i="6" s="1"/>
  <c r="Z151" i="6" a="1"/>
  <c r="Z151" i="6" s="1"/>
  <c r="Z140" i="6" a="1"/>
  <c r="Z140" i="6" s="1"/>
  <c r="Z139" i="6" a="1"/>
  <c r="Z139" i="6" s="1"/>
  <c r="Z137" i="6" a="1"/>
  <c r="Z137" i="6" s="1"/>
  <c r="Z122" i="6" a="1"/>
  <c r="Z122" i="6" s="1"/>
  <c r="Z119" i="6" a="1"/>
  <c r="Z119" i="6" s="1"/>
  <c r="Z147" i="6" a="1"/>
  <c r="Z147" i="6" s="1"/>
  <c r="Z145" i="6" a="1"/>
  <c r="Z145" i="6" s="1"/>
  <c r="Z144" i="6" a="1"/>
  <c r="Z144" i="6" s="1"/>
  <c r="Z141" i="6" a="1"/>
  <c r="Z141" i="6" s="1"/>
  <c r="Z138" i="6" a="1"/>
  <c r="Z138" i="6" s="1"/>
  <c r="Z126" i="6" a="1"/>
  <c r="Z126" i="6" s="1"/>
  <c r="Z123" i="6" a="1"/>
  <c r="Z123" i="6" s="1"/>
  <c r="Z120" i="6" a="1"/>
  <c r="Z120" i="6" s="1"/>
  <c r="Z163" i="6" a="1"/>
  <c r="Z163" i="6" s="1"/>
  <c r="Z127" i="6" a="1"/>
  <c r="Z127" i="6" s="1"/>
  <c r="Z113" i="6" a="1"/>
  <c r="Z113" i="6" s="1"/>
  <c r="Z109" i="6" a="1"/>
  <c r="Z109" i="6" s="1"/>
  <c r="Z105" i="6" a="1"/>
  <c r="Z105" i="6" s="1"/>
  <c r="Z101" i="6" a="1"/>
  <c r="Z101" i="6" s="1"/>
  <c r="Z97" i="6" a="1"/>
  <c r="Z97" i="6" s="1"/>
  <c r="Z88" i="6" a="1"/>
  <c r="Z88" i="6" s="1"/>
  <c r="Z84" i="6" a="1"/>
  <c r="Z84" i="6" s="1"/>
  <c r="Z80" i="6" a="1"/>
  <c r="Z80" i="6" s="1"/>
  <c r="Z75" i="6" a="1"/>
  <c r="Z75" i="6" s="1"/>
  <c r="Z71" i="6" a="1"/>
  <c r="Z71" i="6" s="1"/>
  <c r="X23" i="17" s="1"/>
  <c r="Z67" i="6" a="1"/>
  <c r="Z67" i="6" s="1"/>
  <c r="Z63" i="6" a="1"/>
  <c r="Z63" i="6" s="1"/>
  <c r="Z59" i="6" a="1"/>
  <c r="Z59" i="6" s="1"/>
  <c r="Z55" i="6" a="1"/>
  <c r="Z55" i="6" s="1"/>
  <c r="Z51" i="6" a="1"/>
  <c r="Z51" i="6" s="1"/>
  <c r="Z47" i="6" a="1"/>
  <c r="Z47" i="6" s="1"/>
  <c r="Z43" i="6" a="1"/>
  <c r="Z43" i="6" s="1"/>
  <c r="Z39" i="6" a="1"/>
  <c r="Z39" i="6" s="1"/>
  <c r="X15" i="17" s="1"/>
  <c r="Z35" i="6" a="1"/>
  <c r="Z35" i="6" s="1"/>
  <c r="Z34" i="6" a="1"/>
  <c r="Z34" i="6" s="1"/>
  <c r="Z30" i="6" a="1"/>
  <c r="Z30" i="6" s="1"/>
  <c r="Z100" i="6" a="1"/>
  <c r="Z100" i="6" s="1"/>
  <c r="Z94" i="6" a="1"/>
  <c r="Z94" i="6" s="1"/>
  <c r="Z110" i="6" a="1"/>
  <c r="Z110" i="6" s="1"/>
  <c r="Z106" i="6" a="1"/>
  <c r="Z106" i="6" s="1"/>
  <c r="Z102" i="6" a="1"/>
  <c r="Z102" i="6" s="1"/>
  <c r="Z93" i="6" a="1"/>
  <c r="Z93" i="6" s="1"/>
  <c r="Z89" i="6" a="1"/>
  <c r="Z89" i="6" s="1"/>
  <c r="Z85" i="6" a="1"/>
  <c r="Z85" i="6" s="1"/>
  <c r="Z81" i="6" a="1"/>
  <c r="Z81" i="6" s="1"/>
  <c r="Z76" i="6" a="1"/>
  <c r="Z76" i="6" s="1"/>
  <c r="Z72" i="6" a="1"/>
  <c r="Z72" i="6" s="1"/>
  <c r="Z68" i="6" a="1"/>
  <c r="Z68" i="6" s="1"/>
  <c r="Z64" i="6" a="1"/>
  <c r="Z64" i="6" s="1"/>
  <c r="Z60" i="6" a="1"/>
  <c r="Z60" i="6" s="1"/>
  <c r="Z56" i="6" a="1"/>
  <c r="Z56" i="6" s="1"/>
  <c r="Z52" i="6" a="1"/>
  <c r="Z52" i="6" s="1"/>
  <c r="Z48" i="6" a="1"/>
  <c r="Z48" i="6" s="1"/>
  <c r="Z44" i="6" a="1"/>
  <c r="Z44" i="6" s="1"/>
  <c r="Z40" i="6" a="1"/>
  <c r="Z40" i="6" s="1"/>
  <c r="Z36" i="6" a="1"/>
  <c r="Z36" i="6" s="1"/>
  <c r="Z114" i="6" a="1"/>
  <c r="Z114" i="6" s="1"/>
  <c r="Z111" i="6" a="1"/>
  <c r="Z111" i="6" s="1"/>
  <c r="Z107" i="6" a="1"/>
  <c r="Z107" i="6" s="1"/>
  <c r="Z103" i="6" a="1"/>
  <c r="Z103" i="6" s="1"/>
  <c r="Z99" i="6" a="1"/>
  <c r="Z99" i="6" s="1"/>
  <c r="Z96" i="6" a="1"/>
  <c r="Z96" i="6" s="1"/>
  <c r="Z90" i="6" a="1"/>
  <c r="Z90" i="6" s="1"/>
  <c r="Z86" i="6" a="1"/>
  <c r="Z86" i="6" s="1"/>
  <c r="Z82" i="6" a="1"/>
  <c r="Z82" i="6" s="1"/>
  <c r="Z77" i="6" a="1"/>
  <c r="Z77" i="6" s="1"/>
  <c r="Z73" i="6" a="1"/>
  <c r="Z73" i="6" s="1"/>
  <c r="Z69" i="6" a="1"/>
  <c r="Z69" i="6" s="1"/>
  <c r="Z65" i="6" a="1"/>
  <c r="Z65" i="6" s="1"/>
  <c r="Z61" i="6" a="1"/>
  <c r="Z61" i="6" s="1"/>
  <c r="Z57" i="6" a="1"/>
  <c r="Z57" i="6" s="1"/>
  <c r="Z53" i="6" a="1"/>
  <c r="Z53" i="6" s="1"/>
  <c r="Z49" i="6" a="1"/>
  <c r="Z49" i="6" s="1"/>
  <c r="Z45" i="6" a="1"/>
  <c r="Z45" i="6" s="1"/>
  <c r="Z41" i="6" a="1"/>
  <c r="Z41" i="6" s="1"/>
  <c r="Z37" i="6" a="1"/>
  <c r="Z37" i="6" s="1"/>
  <c r="Z148" i="6" a="1"/>
  <c r="Z148" i="6" s="1"/>
  <c r="Z121" i="6" a="1"/>
  <c r="Z121" i="6" s="1"/>
  <c r="Z108" i="6" a="1"/>
  <c r="Z108" i="6" s="1"/>
  <c r="Z104" i="6" a="1"/>
  <c r="Z104" i="6" s="1"/>
  <c r="Z98" i="6" a="1"/>
  <c r="Z98" i="6" s="1"/>
  <c r="Z95" i="6" a="1"/>
  <c r="Z95" i="6" s="1"/>
  <c r="Z91" i="6" a="1"/>
  <c r="Z91" i="6" s="1"/>
  <c r="Z87" i="6" a="1"/>
  <c r="Z87" i="6" s="1"/>
  <c r="Z83" i="6" a="1"/>
  <c r="Z83" i="6" s="1"/>
  <c r="X26" i="17" s="1"/>
  <c r="Z79" i="6" a="1"/>
  <c r="Z79" i="6" s="1"/>
  <c r="Z78" i="6" a="1"/>
  <c r="Z78" i="6" s="1"/>
  <c r="Z74" i="6" a="1"/>
  <c r="Z74" i="6" s="1"/>
  <c r="Z70" i="6" a="1"/>
  <c r="Z70" i="6" s="1"/>
  <c r="Z66" i="6" a="1"/>
  <c r="Z66" i="6" s="1"/>
  <c r="Z62" i="6" a="1"/>
  <c r="Z62" i="6" s="1"/>
  <c r="Z58" i="6" a="1"/>
  <c r="Z58" i="6" s="1"/>
  <c r="Z54" i="6" a="1"/>
  <c r="Z54" i="6" s="1"/>
  <c r="Z50" i="6" a="1"/>
  <c r="Z50" i="6" s="1"/>
  <c r="Z46" i="6" a="1"/>
  <c r="Z46" i="6" s="1"/>
  <c r="Z42" i="6" a="1"/>
  <c r="Z42" i="6" s="1"/>
  <c r="Z38" i="6" a="1"/>
  <c r="Z38" i="6" s="1"/>
  <c r="Z33" i="6" a="1"/>
  <c r="Z33" i="6" s="1"/>
  <c r="Z118" i="6" a="1"/>
  <c r="Z118" i="6" s="1"/>
  <c r="Z117" i="6" a="1"/>
  <c r="Z117" i="6" s="1"/>
  <c r="Z92" i="6" a="1"/>
  <c r="Z92" i="6" s="1"/>
  <c r="Z27" i="6" a="1"/>
  <c r="Z27" i="6" s="1"/>
  <c r="Z23" i="6" a="1"/>
  <c r="Z23" i="6" s="1"/>
  <c r="Z19" i="6" a="1"/>
  <c r="Z19" i="6" s="1"/>
  <c r="Z15" i="6" a="1"/>
  <c r="Z15" i="6" s="1"/>
  <c r="Z31" i="6" a="1"/>
  <c r="Z31" i="6" s="1"/>
  <c r="X13" i="17" s="1"/>
  <c r="Z24" i="6" a="1"/>
  <c r="Z24" i="6" s="1"/>
  <c r="Z20" i="6" a="1"/>
  <c r="Z20" i="6" s="1"/>
  <c r="Z16" i="6" a="1"/>
  <c r="Z16" i="6" s="1"/>
  <c r="Z12" i="6" a="1"/>
  <c r="Z12" i="6" s="1"/>
  <c r="Z8" i="6" a="1"/>
  <c r="Z8" i="6" s="1"/>
  <c r="Z17" i="6" a="1"/>
  <c r="Z17" i="6" s="1"/>
  <c r="Z28" i="6" a="1"/>
  <c r="Z28" i="6" s="1"/>
  <c r="Z9" i="6" a="1"/>
  <c r="Z9" i="6" s="1"/>
  <c r="Z32" i="6" a="1"/>
  <c r="Z32" i="6" s="1"/>
  <c r="Z25" i="6" a="1"/>
  <c r="Z25" i="6" s="1"/>
  <c r="Z21" i="6" a="1"/>
  <c r="Z21" i="6" s="1"/>
  <c r="Z13" i="6" a="1"/>
  <c r="Z13" i="6" s="1"/>
  <c r="Z26" i="6" a="1"/>
  <c r="Z26" i="6" s="1"/>
  <c r="Z22" i="6" a="1"/>
  <c r="Z22" i="6" s="1"/>
  <c r="Z18" i="6" a="1"/>
  <c r="Z18" i="6" s="1"/>
  <c r="Z14" i="6" a="1"/>
  <c r="Z14" i="6" s="1"/>
  <c r="Z10" i="6" a="1"/>
  <c r="Z10" i="6" s="1"/>
  <c r="Z6" i="6" a="1"/>
  <c r="Z6" i="6" s="1"/>
  <c r="X6" i="17" s="1"/>
  <c r="Z29" i="6" a="1"/>
  <c r="Z29" i="6" s="1"/>
  <c r="Z11" i="6" a="1"/>
  <c r="Z11" i="6" s="1"/>
  <c r="Z7" i="6" a="1"/>
  <c r="Z7" i="6" s="1"/>
  <c r="X1" i="17"/>
  <c r="V343" i="6" a="1"/>
  <c r="V343" i="6" s="1"/>
  <c r="V357" i="6" a="1"/>
  <c r="V357" i="6" s="1"/>
  <c r="V353" i="6" a="1"/>
  <c r="V353" i="6" s="1"/>
  <c r="V349" i="6" a="1"/>
  <c r="V349" i="6" s="1"/>
  <c r="V339" i="6" a="1"/>
  <c r="V339" i="6" s="1"/>
  <c r="V335" i="6" a="1"/>
  <c r="V335" i="6" s="1"/>
  <c r="V331" i="6" a="1"/>
  <c r="V331" i="6" s="1"/>
  <c r="V327" i="6" a="1"/>
  <c r="V327" i="6" s="1"/>
  <c r="V324" i="6" a="1"/>
  <c r="V324" i="6" s="1"/>
  <c r="V320" i="6" a="1"/>
  <c r="V320" i="6" s="1"/>
  <c r="V315" i="6" a="1"/>
  <c r="V315" i="6" s="1"/>
  <c r="V344" i="6" a="1"/>
  <c r="V344" i="6" s="1"/>
  <c r="V358" i="6" a="1"/>
  <c r="V358" i="6" s="1"/>
  <c r="V354" i="6" a="1"/>
  <c r="V354" i="6" s="1"/>
  <c r="V350" i="6" a="1"/>
  <c r="V350" i="6" s="1"/>
  <c r="V340" i="6" a="1"/>
  <c r="V340" i="6" s="1"/>
  <c r="V336" i="6" a="1"/>
  <c r="V336" i="6" s="1"/>
  <c r="V332" i="6" a="1"/>
  <c r="V332" i="6" s="1"/>
  <c r="V328" i="6" a="1"/>
  <c r="V328" i="6" s="1"/>
  <c r="V321" i="6" a="1"/>
  <c r="V321" i="6" s="1"/>
  <c r="V345" i="6" a="1"/>
  <c r="V345" i="6" s="1"/>
  <c r="V355" i="6" a="1"/>
  <c r="V355" i="6" s="1"/>
  <c r="V351" i="6" a="1"/>
  <c r="V351" i="6" s="1"/>
  <c r="V347" i="6" a="1"/>
  <c r="V347" i="6" s="1"/>
  <c r="V346" i="6" a="1"/>
  <c r="V346" i="6" s="1"/>
  <c r="V341" i="6" a="1"/>
  <c r="V341" i="6" s="1"/>
  <c r="V337" i="6" a="1"/>
  <c r="V337" i="6" s="1"/>
  <c r="V333" i="6" a="1"/>
  <c r="V333" i="6" s="1"/>
  <c r="V329" i="6" a="1"/>
  <c r="V329" i="6" s="1"/>
  <c r="V325" i="6" a="1"/>
  <c r="V325" i="6" s="1"/>
  <c r="V322" i="6" a="1"/>
  <c r="V322" i="6" s="1"/>
  <c r="V356" i="6" a="1"/>
  <c r="V356" i="6" s="1"/>
  <c r="V352" i="6" a="1"/>
  <c r="V352" i="6" s="1"/>
  <c r="V348" i="6" a="1"/>
  <c r="V348" i="6" s="1"/>
  <c r="V334" i="6" a="1"/>
  <c r="V334" i="6" s="1"/>
  <c r="V323" i="6" a="1"/>
  <c r="V323" i="6" s="1"/>
  <c r="V308" i="6" a="1"/>
  <c r="V308" i="6" s="1"/>
  <c r="V297" i="6" a="1"/>
  <c r="V297" i="6" s="1"/>
  <c r="V295" i="6" a="1"/>
  <c r="V295" i="6" s="1"/>
  <c r="V293" i="6" a="1"/>
  <c r="V293" i="6" s="1"/>
  <c r="V291" i="6" a="1"/>
  <c r="V291" i="6" s="1"/>
  <c r="T78" i="17" s="1"/>
  <c r="V338" i="6" a="1"/>
  <c r="V338" i="6" s="1"/>
  <c r="V299" i="6" a="1"/>
  <c r="V299" i="6" s="1"/>
  <c r="V292" i="6" a="1"/>
  <c r="V292" i="6" s="1"/>
  <c r="V342" i="6" a="1"/>
  <c r="V342" i="6" s="1"/>
  <c r="V318" i="6" a="1"/>
  <c r="V318" i="6" s="1"/>
  <c r="V314" i="6" a="1"/>
  <c r="V314" i="6" s="1"/>
  <c r="V309" i="6" a="1"/>
  <c r="V309" i="6" s="1"/>
  <c r="V306" i="6" a="1"/>
  <c r="V306" i="6" s="1"/>
  <c r="V304" i="6" a="1"/>
  <c r="V304" i="6" s="1"/>
  <c r="V302" i="6" a="1"/>
  <c r="V302" i="6" s="1"/>
  <c r="V313" i="6" a="1"/>
  <c r="V313" i="6" s="1"/>
  <c r="V311" i="6" a="1"/>
  <c r="V311" i="6" s="1"/>
  <c r="V289" i="6" a="1"/>
  <c r="V289" i="6" s="1"/>
  <c r="V319" i="6" a="1"/>
  <c r="V319" i="6" s="1"/>
  <c r="V307" i="6" a="1"/>
  <c r="V307" i="6" s="1"/>
  <c r="V305" i="6" a="1"/>
  <c r="V305" i="6" s="1"/>
  <c r="V300" i="6" a="1"/>
  <c r="V300" i="6" s="1"/>
  <c r="V290" i="6" a="1"/>
  <c r="V290" i="6" s="1"/>
  <c r="V282" i="6" a="1"/>
  <c r="V282" i="6" s="1"/>
  <c r="V317" i="6" a="1"/>
  <c r="V317" i="6" s="1"/>
  <c r="V303" i="6" a="1"/>
  <c r="V303" i="6" s="1"/>
  <c r="V326" i="6" a="1"/>
  <c r="V326" i="6" s="1"/>
  <c r="V316" i="6" a="1"/>
  <c r="V316" i="6" s="1"/>
  <c r="V310" i="6" a="1"/>
  <c r="V310" i="6" s="1"/>
  <c r="V296" i="6" a="1"/>
  <c r="V296" i="6" s="1"/>
  <c r="V294" i="6" a="1"/>
  <c r="V294" i="6" s="1"/>
  <c r="V280" i="6" a="1"/>
  <c r="V280" i="6" s="1"/>
  <c r="V275" i="6" a="1"/>
  <c r="V275" i="6" s="1"/>
  <c r="V271" i="6" a="1"/>
  <c r="V271" i="6" s="1"/>
  <c r="V267" i="6" a="1"/>
  <c r="V267" i="6" s="1"/>
  <c r="V263" i="6" a="1"/>
  <c r="V263" i="6" s="1"/>
  <c r="V259" i="6" a="1"/>
  <c r="V259" i="6" s="1"/>
  <c r="V255" i="6" a="1"/>
  <c r="V255" i="6" s="1"/>
  <c r="V312" i="6" a="1"/>
  <c r="V312" i="6" s="1"/>
  <c r="V298" i="6" a="1"/>
  <c r="V298" i="6" s="1"/>
  <c r="V272" i="6" a="1"/>
  <c r="V272" i="6" s="1"/>
  <c r="V268" i="6" a="1"/>
  <c r="V268" i="6" s="1"/>
  <c r="V264" i="6" a="1"/>
  <c r="V264" i="6" s="1"/>
  <c r="V260" i="6" a="1"/>
  <c r="V260" i="6" s="1"/>
  <c r="V256" i="6" a="1"/>
  <c r="V256" i="6" s="1"/>
  <c r="V330" i="6" a="1"/>
  <c r="V330" i="6" s="1"/>
  <c r="V276" i="6" a="1"/>
  <c r="V276" i="6" s="1"/>
  <c r="V287" i="6" a="1"/>
  <c r="V287" i="6" s="1"/>
  <c r="V281" i="6" a="1"/>
  <c r="V281" i="6" s="1"/>
  <c r="V273" i="6" a="1"/>
  <c r="V273" i="6" s="1"/>
  <c r="V269" i="6" a="1"/>
  <c r="V269" i="6" s="1"/>
  <c r="V265" i="6" a="1"/>
  <c r="V265" i="6" s="1"/>
  <c r="V261" i="6" a="1"/>
  <c r="V261" i="6" s="1"/>
  <c r="V257" i="6" a="1"/>
  <c r="V257" i="6" s="1"/>
  <c r="V252" i="6" a="1"/>
  <c r="V252" i="6" s="1"/>
  <c r="V301" i="6" a="1"/>
  <c r="V301" i="6" s="1"/>
  <c r="V286" i="6" a="1"/>
  <c r="V286" i="6" s="1"/>
  <c r="V274" i="6" a="1"/>
  <c r="V274" i="6" s="1"/>
  <c r="V270" i="6" a="1"/>
  <c r="V270" i="6" s="1"/>
  <c r="V266" i="6" a="1"/>
  <c r="V266" i="6" s="1"/>
  <c r="V262" i="6" a="1"/>
  <c r="V262" i="6" s="1"/>
  <c r="V258" i="6" a="1"/>
  <c r="V258" i="6" s="1"/>
  <c r="V283" i="6" a="1"/>
  <c r="V283" i="6" s="1"/>
  <c r="V279" i="6" a="1"/>
  <c r="V279" i="6" s="1"/>
  <c r="V278" i="6" a="1"/>
  <c r="V278" i="6" s="1"/>
  <c r="V285" i="6" a="1"/>
  <c r="V285" i="6" s="1"/>
  <c r="V245" i="6" a="1"/>
  <c r="V245" i="6" s="1"/>
  <c r="V288" i="6" a="1"/>
  <c r="V288" i="6" s="1"/>
  <c r="V254" i="6" a="1"/>
  <c r="V254" i="6" s="1"/>
  <c r="V251" i="6" a="1"/>
  <c r="V251" i="6" s="1"/>
  <c r="V246" i="6" a="1"/>
  <c r="V246" i="6" s="1"/>
  <c r="V240" i="6" a="1"/>
  <c r="V240" i="6" s="1"/>
  <c r="V247" i="6" a="1"/>
  <c r="V247" i="6" s="1"/>
  <c r="V241" i="6" a="1"/>
  <c r="V241" i="6" s="1"/>
  <c r="V237" i="6" a="1"/>
  <c r="V237" i="6" s="1"/>
  <c r="V234" i="6" a="1"/>
  <c r="V234" i="6" s="1"/>
  <c r="V277" i="6" a="1"/>
  <c r="V277" i="6" s="1"/>
  <c r="V248" i="6" a="1"/>
  <c r="V248" i="6" s="1"/>
  <c r="V242" i="6" a="1"/>
  <c r="V242" i="6" s="1"/>
  <c r="V239" i="6" a="1"/>
  <c r="V239" i="6" s="1"/>
  <c r="V232" i="6" a="1"/>
  <c r="V232" i="6" s="1"/>
  <c r="V231" i="6" a="1"/>
  <c r="V231" i="6" s="1"/>
  <c r="V227" i="6" a="1"/>
  <c r="V227" i="6" s="1"/>
  <c r="V225" i="6" a="1"/>
  <c r="V225" i="6" s="1"/>
  <c r="V243" i="6" a="1"/>
  <c r="V243" i="6" s="1"/>
  <c r="T66" i="17" s="1"/>
  <c r="V253" i="6" a="1"/>
  <c r="V253" i="6" s="1"/>
  <c r="V244" i="6" a="1"/>
  <c r="V244" i="6" s="1"/>
  <c r="V238" i="6" a="1"/>
  <c r="V238" i="6" s="1"/>
  <c r="V226" i="6" a="1"/>
  <c r="V226" i="6" s="1"/>
  <c r="V250" i="6" a="1"/>
  <c r="V250" i="6" s="1"/>
  <c r="V236" i="6" a="1"/>
  <c r="V236" i="6" s="1"/>
  <c r="V235" i="6" a="1"/>
  <c r="V235" i="6" s="1"/>
  <c r="V233" i="6" a="1"/>
  <c r="V233" i="6" s="1"/>
  <c r="V230" i="6" a="1"/>
  <c r="V230" i="6" s="1"/>
  <c r="V229" i="6" a="1"/>
  <c r="V229" i="6" s="1"/>
  <c r="V217" i="6" a="1"/>
  <c r="V217" i="6" s="1"/>
  <c r="V212" i="6" a="1"/>
  <c r="V212" i="6" s="1"/>
  <c r="V208" i="6" a="1"/>
  <c r="V208" i="6" s="1"/>
  <c r="V202" i="6" a="1"/>
  <c r="V202" i="6" s="1"/>
  <c r="V198" i="6" a="1"/>
  <c r="V198" i="6" s="1"/>
  <c r="V194" i="6" a="1"/>
  <c r="V194" i="6" s="1"/>
  <c r="V189" i="6" a="1"/>
  <c r="V189" i="6" s="1"/>
  <c r="V211" i="6" a="1"/>
  <c r="V211" i="6" s="1"/>
  <c r="V209" i="6" a="1"/>
  <c r="V209" i="6" s="1"/>
  <c r="V185" i="6" a="1"/>
  <c r="V185" i="6" s="1"/>
  <c r="V284" i="6" a="1"/>
  <c r="V284" i="6" s="1"/>
  <c r="V221" i="6" a="1"/>
  <c r="V221" i="6" s="1"/>
  <c r="V210" i="6" a="1"/>
  <c r="V210" i="6" s="1"/>
  <c r="V203" i="6" a="1"/>
  <c r="V203" i="6" s="1"/>
  <c r="V199" i="6" a="1"/>
  <c r="V199" i="6" s="1"/>
  <c r="V195" i="6" a="1"/>
  <c r="V195" i="6" s="1"/>
  <c r="V228" i="6" a="1"/>
  <c r="V228" i="6" s="1"/>
  <c r="V223" i="6" a="1"/>
  <c r="V223" i="6" s="1"/>
  <c r="T61" i="17" s="1"/>
  <c r="V216" i="6" a="1"/>
  <c r="V216" i="6" s="1"/>
  <c r="V207" i="6" a="1"/>
  <c r="V207" i="6" s="1"/>
  <c r="T57" i="17" s="1"/>
  <c r="V205" i="6" a="1"/>
  <c r="V205" i="6" s="1"/>
  <c r="V204" i="6" a="1"/>
  <c r="V204" i="6" s="1"/>
  <c r="V192" i="6" a="1"/>
  <c r="V192" i="6" s="1"/>
  <c r="V222" i="6" a="1"/>
  <c r="V222" i="6" s="1"/>
  <c r="V206" i="6" a="1"/>
  <c r="V206" i="6" s="1"/>
  <c r="V200" i="6" a="1"/>
  <c r="V200" i="6" s="1"/>
  <c r="V196" i="6" a="1"/>
  <c r="V196" i="6" s="1"/>
  <c r="V191" i="6" a="1"/>
  <c r="V191" i="6" s="1"/>
  <c r="V188" i="6" a="1"/>
  <c r="V188" i="6" s="1"/>
  <c r="V249" i="6" a="1"/>
  <c r="V249" i="6" s="1"/>
  <c r="V215" i="6" a="1"/>
  <c r="V215" i="6" s="1"/>
  <c r="T59" i="17" s="1"/>
  <c r="V214" i="6" a="1"/>
  <c r="V214" i="6" s="1"/>
  <c r="V201" i="6" a="1"/>
  <c r="V201" i="6" s="1"/>
  <c r="V197" i="6" a="1"/>
  <c r="V197" i="6" s="1"/>
  <c r="V224" i="6" a="1"/>
  <c r="V224" i="6" s="1"/>
  <c r="V219" i="6" a="1"/>
  <c r="V219" i="6" s="1"/>
  <c r="V213" i="6" a="1"/>
  <c r="V213" i="6" s="1"/>
  <c r="V193" i="6" a="1"/>
  <c r="V193" i="6" s="1"/>
  <c r="V190" i="6" a="1"/>
  <c r="V190" i="6" s="1"/>
  <c r="V180" i="6" a="1"/>
  <c r="V180" i="6" s="1"/>
  <c r="V172" i="6" a="1"/>
  <c r="V172" i="6" s="1"/>
  <c r="V165" i="6" a="1"/>
  <c r="V165" i="6" s="1"/>
  <c r="V155" i="6" a="1"/>
  <c r="V155" i="6" s="1"/>
  <c r="V176" i="6" a="1"/>
  <c r="V176" i="6" s="1"/>
  <c r="V175" i="6" a="1"/>
  <c r="V175" i="6" s="1"/>
  <c r="V160" i="6" a="1"/>
  <c r="V160" i="6" s="1"/>
  <c r="V220" i="6" a="1"/>
  <c r="V220" i="6" s="1"/>
  <c r="V184" i="6" a="1"/>
  <c r="V184" i="6" s="1"/>
  <c r="V171" i="6" a="1"/>
  <c r="V171" i="6" s="1"/>
  <c r="V164" i="6" a="1"/>
  <c r="V164" i="6" s="1"/>
  <c r="V159" i="6" a="1"/>
  <c r="V159" i="6" s="1"/>
  <c r="V168" i="6" a="1"/>
  <c r="V168" i="6" s="1"/>
  <c r="V163" i="6" a="1"/>
  <c r="V163" i="6" s="1"/>
  <c r="V154" i="6" a="1"/>
  <c r="V154" i="6" s="1"/>
  <c r="V179" i="6" a="1"/>
  <c r="V179" i="6" s="1"/>
  <c r="V174" i="6" a="1"/>
  <c r="V174" i="6" s="1"/>
  <c r="V170" i="6" a="1"/>
  <c r="V170" i="6" s="1"/>
  <c r="V167" i="6" a="1"/>
  <c r="V167" i="6" s="1"/>
  <c r="V158" i="6" a="1"/>
  <c r="V158" i="6" s="1"/>
  <c r="V218" i="6" a="1"/>
  <c r="V218" i="6" s="1"/>
  <c r="V186" i="6" a="1"/>
  <c r="V186" i="6" s="1"/>
  <c r="V183" i="6" a="1"/>
  <c r="V183" i="6" s="1"/>
  <c r="T51" i="17" s="1"/>
  <c r="V178" i="6" a="1"/>
  <c r="V178" i="6" s="1"/>
  <c r="V177" i="6" a="1"/>
  <c r="V177" i="6" s="1"/>
  <c r="V162" i="6" a="1"/>
  <c r="V162" i="6" s="1"/>
  <c r="V187" i="6" a="1"/>
  <c r="V187" i="6" s="1"/>
  <c r="V181" i="6" a="1"/>
  <c r="V181" i="6" s="1"/>
  <c r="V173" i="6" a="1"/>
  <c r="V173" i="6" s="1"/>
  <c r="V166" i="6" a="1"/>
  <c r="V166" i="6" s="1"/>
  <c r="V157" i="6" a="1"/>
  <c r="V157" i="6" s="1"/>
  <c r="V151" i="6" a="1"/>
  <c r="V151" i="6" s="1"/>
  <c r="V140" i="6" a="1"/>
  <c r="V140" i="6" s="1"/>
  <c r="V139" i="6" a="1"/>
  <c r="V139" i="6" s="1"/>
  <c r="V182" i="6" a="1"/>
  <c r="V182" i="6" s="1"/>
  <c r="V147" i="6" a="1"/>
  <c r="V147" i="6" s="1"/>
  <c r="V145" i="6" a="1"/>
  <c r="V145" i="6" s="1"/>
  <c r="V137" i="6" a="1"/>
  <c r="V137" i="6" s="1"/>
  <c r="V144" i="6" a="1"/>
  <c r="V144" i="6" s="1"/>
  <c r="V141" i="6" a="1"/>
  <c r="V141" i="6" s="1"/>
  <c r="V138" i="6" a="1"/>
  <c r="V138" i="6" s="1"/>
  <c r="V123" i="6" a="1"/>
  <c r="V123" i="6" s="1"/>
  <c r="V127" i="6" a="1"/>
  <c r="V127" i="6" s="1"/>
  <c r="V126" i="6" a="1"/>
  <c r="V126" i="6" s="1"/>
  <c r="V149" i="6" a="1"/>
  <c r="V149" i="6" s="1"/>
  <c r="V148" i="6" a="1"/>
  <c r="V148" i="6" s="1"/>
  <c r="V142" i="6" a="1"/>
  <c r="V142" i="6" s="1"/>
  <c r="V131" i="6" a="1"/>
  <c r="V131" i="6" s="1"/>
  <c r="V124" i="6" a="1"/>
  <c r="V124" i="6" s="1"/>
  <c r="V121" i="6" a="1"/>
  <c r="V121" i="6" s="1"/>
  <c r="V146" i="6" a="1"/>
  <c r="V146" i="6" s="1"/>
  <c r="V143" i="6" a="1"/>
  <c r="V143" i="6" s="1"/>
  <c r="V135" i="6" a="1"/>
  <c r="V135" i="6" s="1"/>
  <c r="V128" i="6" a="1"/>
  <c r="V128" i="6" s="1"/>
  <c r="V125" i="6" a="1"/>
  <c r="V125" i="6" s="1"/>
  <c r="V169" i="6" a="1"/>
  <c r="V169" i="6" s="1"/>
  <c r="V161" i="6" a="1"/>
  <c r="V161" i="6" s="1"/>
  <c r="V133" i="6" a="1"/>
  <c r="V133" i="6" s="1"/>
  <c r="V132" i="6" a="1"/>
  <c r="V132" i="6" s="1"/>
  <c r="V130" i="6" a="1"/>
  <c r="V130" i="6" s="1"/>
  <c r="V129" i="6" a="1"/>
  <c r="V129" i="6" s="1"/>
  <c r="V118" i="6" a="1"/>
  <c r="V118" i="6" s="1"/>
  <c r="V156" i="6" a="1"/>
  <c r="V156" i="6" s="1"/>
  <c r="V153" i="6" a="1"/>
  <c r="V153" i="6" s="1"/>
  <c r="V152" i="6" a="1"/>
  <c r="V152" i="6" s="1"/>
  <c r="V115" i="6" a="1"/>
  <c r="V115" i="6" s="1"/>
  <c r="V111" i="6" a="1"/>
  <c r="V111" i="6" s="1"/>
  <c r="V107" i="6" a="1"/>
  <c r="V107" i="6" s="1"/>
  <c r="V103" i="6" a="1"/>
  <c r="V103" i="6" s="1"/>
  <c r="V99" i="6" a="1"/>
  <c r="V99" i="6" s="1"/>
  <c r="V96" i="6" a="1"/>
  <c r="V96" i="6" s="1"/>
  <c r="V93" i="6" a="1"/>
  <c r="V93" i="6" s="1"/>
  <c r="V90" i="6" a="1"/>
  <c r="V90" i="6" s="1"/>
  <c r="V86" i="6" a="1"/>
  <c r="V86" i="6" s="1"/>
  <c r="V82" i="6" a="1"/>
  <c r="V82" i="6" s="1"/>
  <c r="V77" i="6" a="1"/>
  <c r="V77" i="6" s="1"/>
  <c r="V73" i="6" a="1"/>
  <c r="V73" i="6" s="1"/>
  <c r="V69" i="6" a="1"/>
  <c r="V69" i="6" s="1"/>
  <c r="V65" i="6" a="1"/>
  <c r="V65" i="6" s="1"/>
  <c r="V61" i="6" a="1"/>
  <c r="V61" i="6" s="1"/>
  <c r="V57" i="6" a="1"/>
  <c r="V57" i="6" s="1"/>
  <c r="V53" i="6" a="1"/>
  <c r="V53" i="6" s="1"/>
  <c r="V49" i="6" a="1"/>
  <c r="V49" i="6" s="1"/>
  <c r="V45" i="6" a="1"/>
  <c r="V45" i="6" s="1"/>
  <c r="V41" i="6" a="1"/>
  <c r="V41" i="6" s="1"/>
  <c r="V37" i="6" a="1"/>
  <c r="V37" i="6" s="1"/>
  <c r="V119" i="6" a="1"/>
  <c r="V119" i="6" s="1"/>
  <c r="T35" i="17" s="1"/>
  <c r="V117" i="6" a="1"/>
  <c r="V117" i="6" s="1"/>
  <c r="V108" i="6" a="1"/>
  <c r="V108" i="6" s="1"/>
  <c r="V104" i="6" a="1"/>
  <c r="V104" i="6" s="1"/>
  <c r="V98" i="6" a="1"/>
  <c r="V98" i="6" s="1"/>
  <c r="V95" i="6" a="1"/>
  <c r="V95" i="6" s="1"/>
  <c r="V91" i="6" a="1"/>
  <c r="V91" i="6" s="1"/>
  <c r="V87" i="6" a="1"/>
  <c r="V87" i="6" s="1"/>
  <c r="V83" i="6" a="1"/>
  <c r="V83" i="6" s="1"/>
  <c r="T26" i="17" s="1"/>
  <c r="V79" i="6" a="1"/>
  <c r="V79" i="6" s="1"/>
  <c r="V78" i="6" a="1"/>
  <c r="V78" i="6" s="1"/>
  <c r="V74" i="6" a="1"/>
  <c r="V74" i="6" s="1"/>
  <c r="V70" i="6" a="1"/>
  <c r="V70" i="6" s="1"/>
  <c r="V66" i="6" a="1"/>
  <c r="V66" i="6" s="1"/>
  <c r="V62" i="6" a="1"/>
  <c r="V62" i="6" s="1"/>
  <c r="V58" i="6" a="1"/>
  <c r="V58" i="6" s="1"/>
  <c r="V54" i="6" a="1"/>
  <c r="V54" i="6" s="1"/>
  <c r="V50" i="6" a="1"/>
  <c r="V50" i="6" s="1"/>
  <c r="V46" i="6" a="1"/>
  <c r="V46" i="6" s="1"/>
  <c r="V42" i="6" a="1"/>
  <c r="V42" i="6" s="1"/>
  <c r="V38" i="6" a="1"/>
  <c r="V38" i="6" s="1"/>
  <c r="V120" i="6" a="1"/>
  <c r="V120" i="6" s="1"/>
  <c r="V113" i="6" a="1"/>
  <c r="V113" i="6" s="1"/>
  <c r="V112" i="6" a="1"/>
  <c r="V112" i="6" s="1"/>
  <c r="V92" i="6" a="1"/>
  <c r="V92" i="6" s="1"/>
  <c r="V150" i="6" a="1"/>
  <c r="V150" i="6" s="1"/>
  <c r="V116" i="6" a="1"/>
  <c r="V116" i="6" s="1"/>
  <c r="V109" i="6" a="1"/>
  <c r="V109" i="6" s="1"/>
  <c r="V105" i="6" a="1"/>
  <c r="V105" i="6" s="1"/>
  <c r="V88" i="6" a="1"/>
  <c r="V88" i="6" s="1"/>
  <c r="V84" i="6" a="1"/>
  <c r="V84" i="6" s="1"/>
  <c r="V80" i="6" a="1"/>
  <c r="V80" i="6" s="1"/>
  <c r="V75" i="6" a="1"/>
  <c r="V75" i="6" s="1"/>
  <c r="V71" i="6" a="1"/>
  <c r="V71" i="6" s="1"/>
  <c r="T23" i="17" s="1"/>
  <c r="V67" i="6" a="1"/>
  <c r="V67" i="6" s="1"/>
  <c r="V63" i="6" a="1"/>
  <c r="V63" i="6" s="1"/>
  <c r="V59" i="6" a="1"/>
  <c r="V59" i="6" s="1"/>
  <c r="V55" i="6" a="1"/>
  <c r="V55" i="6" s="1"/>
  <c r="V51" i="6" a="1"/>
  <c r="V51" i="6" s="1"/>
  <c r="V47" i="6" a="1"/>
  <c r="V47" i="6" s="1"/>
  <c r="V43" i="6" a="1"/>
  <c r="V43" i="6" s="1"/>
  <c r="V39" i="6" a="1"/>
  <c r="V39" i="6" s="1"/>
  <c r="T15" i="17" s="1"/>
  <c r="V35" i="6" a="1"/>
  <c r="V35" i="6" s="1"/>
  <c r="V34" i="6" a="1"/>
  <c r="V34" i="6" s="1"/>
  <c r="V33" i="6" a="1"/>
  <c r="V33" i="6" s="1"/>
  <c r="V28" i="6" a="1"/>
  <c r="V28" i="6" s="1"/>
  <c r="V134" i="6" a="1"/>
  <c r="V134" i="6" s="1"/>
  <c r="V101" i="6" a="1"/>
  <c r="V101" i="6" s="1"/>
  <c r="V110" i="6" a="1"/>
  <c r="V110" i="6" s="1"/>
  <c r="V106" i="6" a="1"/>
  <c r="V106" i="6" s="1"/>
  <c r="V102" i="6" a="1"/>
  <c r="V102" i="6" s="1"/>
  <c r="V100" i="6" a="1"/>
  <c r="V100" i="6" s="1"/>
  <c r="V97" i="6" a="1"/>
  <c r="V97" i="6" s="1"/>
  <c r="V94" i="6" a="1"/>
  <c r="V94" i="6" s="1"/>
  <c r="V89" i="6" a="1"/>
  <c r="V89" i="6" s="1"/>
  <c r="V85" i="6" a="1"/>
  <c r="V85" i="6" s="1"/>
  <c r="V81" i="6" a="1"/>
  <c r="V81" i="6" s="1"/>
  <c r="V76" i="6" a="1"/>
  <c r="V76" i="6" s="1"/>
  <c r="V72" i="6" a="1"/>
  <c r="V72" i="6" s="1"/>
  <c r="V68" i="6" a="1"/>
  <c r="V68" i="6" s="1"/>
  <c r="V64" i="6" a="1"/>
  <c r="V64" i="6" s="1"/>
  <c r="V60" i="6" a="1"/>
  <c r="V60" i="6" s="1"/>
  <c r="V56" i="6" a="1"/>
  <c r="V56" i="6" s="1"/>
  <c r="V52" i="6" a="1"/>
  <c r="V52" i="6" s="1"/>
  <c r="V48" i="6" a="1"/>
  <c r="V48" i="6" s="1"/>
  <c r="V44" i="6" a="1"/>
  <c r="V44" i="6" s="1"/>
  <c r="V40" i="6" a="1"/>
  <c r="V40" i="6" s="1"/>
  <c r="V36" i="6" a="1"/>
  <c r="V36" i="6" s="1"/>
  <c r="V136" i="6" a="1"/>
  <c r="V136" i="6" s="1"/>
  <c r="V122" i="6" a="1"/>
  <c r="V122" i="6" s="1"/>
  <c r="V114" i="6" a="1"/>
  <c r="V114" i="6" s="1"/>
  <c r="V25" i="6" a="1"/>
  <c r="V25" i="6" s="1"/>
  <c r="V21" i="6" a="1"/>
  <c r="V21" i="6" s="1"/>
  <c r="V17" i="6" a="1"/>
  <c r="V17" i="6" s="1"/>
  <c r="V26" i="6" a="1"/>
  <c r="V26" i="6" s="1"/>
  <c r="V22" i="6" a="1"/>
  <c r="V22" i="6" s="1"/>
  <c r="V18" i="6" a="1"/>
  <c r="V18" i="6" s="1"/>
  <c r="V14" i="6" a="1"/>
  <c r="V14" i="6" s="1"/>
  <c r="V10" i="6" a="1"/>
  <c r="V10" i="6" s="1"/>
  <c r="V6" i="6" a="1"/>
  <c r="V6" i="6" s="1"/>
  <c r="T6" i="17" s="1"/>
  <c r="V29" i="6" a="1"/>
  <c r="V29" i="6" s="1"/>
  <c r="V11" i="6" a="1"/>
  <c r="V11" i="6" s="1"/>
  <c r="T8" i="17" s="1"/>
  <c r="V27" i="6" a="1"/>
  <c r="V27" i="6" s="1"/>
  <c r="V23" i="6" a="1"/>
  <c r="V23" i="6" s="1"/>
  <c r="V19" i="6" a="1"/>
  <c r="V19" i="6" s="1"/>
  <c r="V15" i="6" a="1"/>
  <c r="V15" i="6" s="1"/>
  <c r="V7" i="6" a="1"/>
  <c r="V7" i="6" s="1"/>
  <c r="V32" i="6" a="1"/>
  <c r="V32" i="6" s="1"/>
  <c r="V24" i="6" a="1"/>
  <c r="V24" i="6" s="1"/>
  <c r="V20" i="6" a="1"/>
  <c r="V20" i="6" s="1"/>
  <c r="V16" i="6" a="1"/>
  <c r="V16" i="6" s="1"/>
  <c r="V12" i="6" a="1"/>
  <c r="V12" i="6" s="1"/>
  <c r="V8" i="6" a="1"/>
  <c r="V8" i="6" s="1"/>
  <c r="V13" i="6" a="1"/>
  <c r="V13" i="6" s="1"/>
  <c r="V9" i="6" a="1"/>
  <c r="V9" i="6" s="1"/>
  <c r="V31" i="6" a="1"/>
  <c r="V31" i="6" s="1"/>
  <c r="V30" i="6" a="1"/>
  <c r="V30" i="6" s="1"/>
  <c r="T1" i="17"/>
  <c r="Y358" i="6" a="1"/>
  <c r="Y358" i="6" s="1"/>
  <c r="Y354" i="6" a="1"/>
  <c r="Y354" i="6" s="1"/>
  <c r="Y350" i="6" a="1"/>
  <c r="Y350" i="6" s="1"/>
  <c r="Y340" i="6" a="1"/>
  <c r="Y340" i="6" s="1"/>
  <c r="Y336" i="6" a="1"/>
  <c r="Y336" i="6" s="1"/>
  <c r="Y332" i="6" a="1"/>
  <c r="Y332" i="6" s="1"/>
  <c r="Y328" i="6" a="1"/>
  <c r="Y328" i="6" s="1"/>
  <c r="Y321" i="6" a="1"/>
  <c r="Y321" i="6" s="1"/>
  <c r="Y345" i="6" a="1"/>
  <c r="Y345" i="6" s="1"/>
  <c r="Y318" i="6" a="1"/>
  <c r="Y318" i="6" s="1"/>
  <c r="Y313" i="6" a="1"/>
  <c r="Y313" i="6" s="1"/>
  <c r="Y355" i="6" a="1"/>
  <c r="Y355" i="6" s="1"/>
  <c r="Y351" i="6" a="1"/>
  <c r="Y351" i="6" s="1"/>
  <c r="Y347" i="6" a="1"/>
  <c r="Y347" i="6" s="1"/>
  <c r="Y346" i="6" a="1"/>
  <c r="Y346" i="6" s="1"/>
  <c r="Y341" i="6" a="1"/>
  <c r="Y341" i="6" s="1"/>
  <c r="Y337" i="6" a="1"/>
  <c r="Y337" i="6" s="1"/>
  <c r="Y333" i="6" a="1"/>
  <c r="Y333" i="6" s="1"/>
  <c r="Y329" i="6" a="1"/>
  <c r="Y329" i="6" s="1"/>
  <c r="Y325" i="6" a="1"/>
  <c r="Y325" i="6" s="1"/>
  <c r="Y356" i="6" a="1"/>
  <c r="Y356" i="6" s="1"/>
  <c r="Y352" i="6" a="1"/>
  <c r="Y352" i="6" s="1"/>
  <c r="Y348" i="6" a="1"/>
  <c r="Y348" i="6" s="1"/>
  <c r="Y342" i="6" a="1"/>
  <c r="Y342" i="6" s="1"/>
  <c r="Y338" i="6" a="1"/>
  <c r="Y338" i="6" s="1"/>
  <c r="Y334" i="6" a="1"/>
  <c r="Y334" i="6" s="1"/>
  <c r="Y330" i="6" a="1"/>
  <c r="Y330" i="6" s="1"/>
  <c r="Y326" i="6" a="1"/>
  <c r="Y326" i="6" s="1"/>
  <c r="Y323" i="6" a="1"/>
  <c r="Y323" i="6" s="1"/>
  <c r="W86" i="17" s="1"/>
  <c r="Y343" i="6" a="1"/>
  <c r="Y343" i="6" s="1"/>
  <c r="Y357" i="6" a="1"/>
  <c r="Y357" i="6" s="1"/>
  <c r="Y353" i="6" a="1"/>
  <c r="Y353" i="6" s="1"/>
  <c r="Y349" i="6" a="1"/>
  <c r="Y349" i="6" s="1"/>
  <c r="Y339" i="6" a="1"/>
  <c r="Y339" i="6" s="1"/>
  <c r="Y335" i="6" a="1"/>
  <c r="Y335" i="6" s="1"/>
  <c r="Y331" i="6" a="1"/>
  <c r="Y331" i="6" s="1"/>
  <c r="Y327" i="6" a="1"/>
  <c r="Y327" i="6" s="1"/>
  <c r="Y324" i="6" a="1"/>
  <c r="Y324" i="6" s="1"/>
  <c r="Y320" i="6" a="1"/>
  <c r="Y320" i="6" s="1"/>
  <c r="Y344" i="6" a="1"/>
  <c r="Y344" i="6" s="1"/>
  <c r="Y311" i="6" a="1"/>
  <c r="Y311" i="6" s="1"/>
  <c r="Y307" i="6" a="1"/>
  <c r="Y307" i="6" s="1"/>
  <c r="Y290" i="6" a="1"/>
  <c r="Y290" i="6" s="1"/>
  <c r="Y305" i="6" a="1"/>
  <c r="Y305" i="6" s="1"/>
  <c r="Y303" i="6" a="1"/>
  <c r="Y303" i="6" s="1"/>
  <c r="Y296" i="6" a="1"/>
  <c r="Y296" i="6" s="1"/>
  <c r="Y317" i="6" a="1"/>
  <c r="Y317" i="6" s="1"/>
  <c r="Y298" i="6" a="1"/>
  <c r="Y298" i="6" s="1"/>
  <c r="Y322" i="6" a="1"/>
  <c r="Y322" i="6" s="1"/>
  <c r="Y319" i="6" a="1"/>
  <c r="Y319" i="6" s="1"/>
  <c r="Y310" i="6" a="1"/>
  <c r="Y310" i="6" s="1"/>
  <c r="Y301" i="6" a="1"/>
  <c r="Y301" i="6" s="1"/>
  <c r="Y316" i="6" a="1"/>
  <c r="Y316" i="6" s="1"/>
  <c r="Y312" i="6" a="1"/>
  <c r="Y312" i="6" s="1"/>
  <c r="Y299" i="6" a="1"/>
  <c r="Y299" i="6" s="1"/>
  <c r="Y293" i="6" a="1"/>
  <c r="Y293" i="6" s="1"/>
  <c r="Y288" i="6" a="1"/>
  <c r="Y288" i="6" s="1"/>
  <c r="Y283" i="6" a="1"/>
  <c r="Y283" i="6" s="1"/>
  <c r="Y308" i="6" a="1"/>
  <c r="Y308" i="6" s="1"/>
  <c r="Y306" i="6" a="1"/>
  <c r="Y306" i="6" s="1"/>
  <c r="Y315" i="6" a="1"/>
  <c r="Y315" i="6" s="1"/>
  <c r="Y281" i="6" a="1"/>
  <c r="Y281" i="6" s="1"/>
  <c r="Y291" i="6" a="1"/>
  <c r="Y291" i="6" s="1"/>
  <c r="Y277" i="6" a="1"/>
  <c r="Y277" i="6" s="1"/>
  <c r="Y273" i="6" a="1"/>
  <c r="Y273" i="6" s="1"/>
  <c r="Y269" i="6" a="1"/>
  <c r="Y269" i="6" s="1"/>
  <c r="Y265" i="6" a="1"/>
  <c r="Y265" i="6" s="1"/>
  <c r="Y261" i="6" a="1"/>
  <c r="Y261" i="6" s="1"/>
  <c r="Y287" i="6" a="1"/>
  <c r="Y287" i="6" s="1"/>
  <c r="Y286" i="6" a="1"/>
  <c r="Y286" i="6" s="1"/>
  <c r="Y284" i="6" a="1"/>
  <c r="Y284" i="6" s="1"/>
  <c r="Y304" i="6" a="1"/>
  <c r="Y304" i="6" s="1"/>
  <c r="Y295" i="6" a="1"/>
  <c r="Y295" i="6" s="1"/>
  <c r="Y285" i="6" a="1"/>
  <c r="Y285" i="6" s="1"/>
  <c r="Y278" i="6" a="1"/>
  <c r="Y278" i="6" s="1"/>
  <c r="Y274" i="6" a="1"/>
  <c r="Y274" i="6" s="1"/>
  <c r="Y270" i="6" a="1"/>
  <c r="Y270" i="6" s="1"/>
  <c r="Y266" i="6" a="1"/>
  <c r="Y266" i="6" s="1"/>
  <c r="Y262" i="6" a="1"/>
  <c r="Y262" i="6" s="1"/>
  <c r="Y297" i="6" a="1"/>
  <c r="Y297" i="6" s="1"/>
  <c r="Y292" i="6" a="1"/>
  <c r="Y292" i="6" s="1"/>
  <c r="Y289" i="6" a="1"/>
  <c r="Y289" i="6" s="1"/>
  <c r="Y282" i="6" a="1"/>
  <c r="Y282" i="6" s="1"/>
  <c r="Y279" i="6" a="1"/>
  <c r="Y279" i="6" s="1"/>
  <c r="Y275" i="6" a="1"/>
  <c r="Y275" i="6" s="1"/>
  <c r="Y276" i="6" a="1"/>
  <c r="Y276" i="6" s="1"/>
  <c r="Y309" i="6" a="1"/>
  <c r="Y309" i="6" s="1"/>
  <c r="Y302" i="6" a="1"/>
  <c r="Y302" i="6" s="1"/>
  <c r="Y300" i="6" a="1"/>
  <c r="Y300" i="6" s="1"/>
  <c r="Y294" i="6" a="1"/>
  <c r="Y294" i="6" s="1"/>
  <c r="Y272" i="6" a="1"/>
  <c r="Y272" i="6" s="1"/>
  <c r="Y268" i="6" a="1"/>
  <c r="Y268" i="6" s="1"/>
  <c r="Y264" i="6" a="1"/>
  <c r="Y264" i="6" s="1"/>
  <c r="Y259" i="6" a="1"/>
  <c r="Y259" i="6" s="1"/>
  <c r="Y248" i="6" a="1"/>
  <c r="Y248" i="6" s="1"/>
  <c r="Y242" i="6" a="1"/>
  <c r="Y242" i="6" s="1"/>
  <c r="Y239" i="6" a="1"/>
  <c r="Y239" i="6" s="1"/>
  <c r="Y232" i="6" a="1"/>
  <c r="Y232" i="6" s="1"/>
  <c r="Y231" i="6" a="1"/>
  <c r="Y231" i="6" s="1"/>
  <c r="Y225" i="6" a="1"/>
  <c r="Y225" i="6" s="1"/>
  <c r="Y252" i="6" a="1"/>
  <c r="Y252" i="6" s="1"/>
  <c r="Y243" i="6" a="1"/>
  <c r="Y243" i="6" s="1"/>
  <c r="Y314" i="6" a="1"/>
  <c r="Y314" i="6" s="1"/>
  <c r="Y249" i="6" a="1"/>
  <c r="Y249" i="6" s="1"/>
  <c r="Y238" i="6" a="1"/>
  <c r="Y238" i="6" s="1"/>
  <c r="Y235" i="6" a="1"/>
  <c r="Y235" i="6" s="1"/>
  <c r="Y228" i="6" a="1"/>
  <c r="Y228" i="6" s="1"/>
  <c r="Y260" i="6" a="1"/>
  <c r="Y260" i="6" s="1"/>
  <c r="Y244" i="6" a="1"/>
  <c r="Y244" i="6" s="1"/>
  <c r="Y236" i="6" a="1"/>
  <c r="Y236" i="6" s="1"/>
  <c r="Y233" i="6" a="1"/>
  <c r="Y233" i="6" s="1"/>
  <c r="Y229" i="6" a="1"/>
  <c r="Y229" i="6" s="1"/>
  <c r="Y226" i="6" a="1"/>
  <c r="Y226" i="6" s="1"/>
  <c r="Y263" i="6" a="1"/>
  <c r="Y263" i="6" s="1"/>
  <c r="Y253" i="6" a="1"/>
  <c r="Y253" i="6" s="1"/>
  <c r="Y250" i="6" a="1"/>
  <c r="Y250" i="6" s="1"/>
  <c r="Y245" i="6" a="1"/>
  <c r="Y245" i="6" s="1"/>
  <c r="Y230" i="6" a="1"/>
  <c r="Y230" i="6" s="1"/>
  <c r="Y271" i="6" a="1"/>
  <c r="Y271" i="6" s="1"/>
  <c r="W73" i="17" s="1"/>
  <c r="Y258" i="6" a="1"/>
  <c r="Y258" i="6" s="1"/>
  <c r="Y256" i="6" a="1"/>
  <c r="Y256" i="6" s="1"/>
  <c r="Y255" i="6" a="1"/>
  <c r="Y255" i="6" s="1"/>
  <c r="Y251" i="6" a="1"/>
  <c r="Y251" i="6" s="1"/>
  <c r="Y246" i="6" a="1"/>
  <c r="Y246" i="6" s="1"/>
  <c r="Y240" i="6" a="1"/>
  <c r="Y240" i="6" s="1"/>
  <c r="Y234" i="6" a="1"/>
  <c r="Y234" i="6" s="1"/>
  <c r="Y227" i="6" a="1"/>
  <c r="Y227" i="6" s="1"/>
  <c r="Y223" i="6" a="1"/>
  <c r="Y223" i="6" s="1"/>
  <c r="Y221" i="6" a="1"/>
  <c r="Y221" i="6" s="1"/>
  <c r="Y280" i="6" a="1"/>
  <c r="Y280" i="6" s="1"/>
  <c r="Y254" i="6" a="1"/>
  <c r="Y254" i="6" s="1"/>
  <c r="Y247" i="6" a="1"/>
  <c r="Y247" i="6" s="1"/>
  <c r="Y241" i="6" a="1"/>
  <c r="Y241" i="6" s="1"/>
  <c r="Y237" i="6" a="1"/>
  <c r="Y237" i="6" s="1"/>
  <c r="Y205" i="6" a="1"/>
  <c r="Y205" i="6" s="1"/>
  <c r="Y204" i="6" a="1"/>
  <c r="Y204" i="6" s="1"/>
  <c r="Y191" i="6" a="1"/>
  <c r="Y191" i="6" s="1"/>
  <c r="Y257" i="6" a="1"/>
  <c r="Y257" i="6" s="1"/>
  <c r="Y206" i="6" a="1"/>
  <c r="Y206" i="6" s="1"/>
  <c r="Y200" i="6" a="1"/>
  <c r="Y200" i="6" s="1"/>
  <c r="Y196" i="6" a="1"/>
  <c r="Y196" i="6" s="1"/>
  <c r="Y187" i="6" a="1"/>
  <c r="Y187" i="6" s="1"/>
  <c r="Y222" i="6" a="1"/>
  <c r="Y222" i="6" s="1"/>
  <c r="Y220" i="6" a="1"/>
  <c r="Y220" i="6" s="1"/>
  <c r="Y218" i="6" a="1"/>
  <c r="Y218" i="6" s="1"/>
  <c r="Y215" i="6" a="1"/>
  <c r="Y215" i="6" s="1"/>
  <c r="Y214" i="6" a="1"/>
  <c r="Y214" i="6" s="1"/>
  <c r="Y201" i="6" a="1"/>
  <c r="Y201" i="6" s="1"/>
  <c r="Y197" i="6" a="1"/>
  <c r="Y197" i="6" s="1"/>
  <c r="Y219" i="6" a="1"/>
  <c r="Y219" i="6" s="1"/>
  <c r="Y217" i="6" a="1"/>
  <c r="Y217" i="6" s="1"/>
  <c r="Y213" i="6" a="1"/>
  <c r="Y213" i="6" s="1"/>
  <c r="Y212" i="6" a="1"/>
  <c r="Y212" i="6" s="1"/>
  <c r="Y193" i="6" a="1"/>
  <c r="Y193" i="6" s="1"/>
  <c r="Y190" i="6" a="1"/>
  <c r="Y190" i="6" s="1"/>
  <c r="Y211" i="6" a="1"/>
  <c r="Y211" i="6" s="1"/>
  <c r="Y210" i="6" a="1"/>
  <c r="Y210" i="6" s="1"/>
  <c r="Y209" i="6" a="1"/>
  <c r="Y209" i="6" s="1"/>
  <c r="Y216" i="6" a="1"/>
  <c r="Y216" i="6" s="1"/>
  <c r="Y207" i="6" a="1"/>
  <c r="Y207" i="6" s="1"/>
  <c r="W57" i="17" s="1"/>
  <c r="Y203" i="6" a="1"/>
  <c r="Y203" i="6" s="1"/>
  <c r="Y199" i="6" a="1"/>
  <c r="Y199" i="6" s="1"/>
  <c r="Y195" i="6" a="1"/>
  <c r="Y195" i="6" s="1"/>
  <c r="Y192" i="6" a="1"/>
  <c r="Y192" i="6" s="1"/>
  <c r="Y188" i="6" a="1"/>
  <c r="Y188" i="6" s="1"/>
  <c r="Y208" i="6" a="1"/>
  <c r="Y208" i="6" s="1"/>
  <c r="Y194" i="6" a="1"/>
  <c r="Y194" i="6" s="1"/>
  <c r="Y185" i="6" a="1"/>
  <c r="Y185" i="6" s="1"/>
  <c r="Y183" i="6" a="1"/>
  <c r="Y183" i="6" s="1"/>
  <c r="Y163" i="6" a="1"/>
  <c r="Y163" i="6" s="1"/>
  <c r="Y198" i="6" a="1"/>
  <c r="Y198" i="6" s="1"/>
  <c r="Y179" i="6" a="1"/>
  <c r="Y179" i="6" s="1"/>
  <c r="Y174" i="6" a="1"/>
  <c r="Y174" i="6" s="1"/>
  <c r="Y170" i="6" a="1"/>
  <c r="Y170" i="6" s="1"/>
  <c r="Y167" i="6" a="1"/>
  <c r="Y167" i="6" s="1"/>
  <c r="W47" i="17" s="1"/>
  <c r="Y158" i="6" a="1"/>
  <c r="Y158" i="6" s="1"/>
  <c r="Y157" i="6" a="1"/>
  <c r="Y157" i="6" s="1"/>
  <c r="Y202" i="6" a="1"/>
  <c r="Y202" i="6" s="1"/>
  <c r="Y186" i="6" a="1"/>
  <c r="Y186" i="6" s="1"/>
  <c r="Y178" i="6" a="1"/>
  <c r="Y178" i="6" s="1"/>
  <c r="Y177" i="6" a="1"/>
  <c r="Y177" i="6" s="1"/>
  <c r="Y162" i="6" a="1"/>
  <c r="Y162" i="6" s="1"/>
  <c r="Y181" i="6" a="1"/>
  <c r="Y181" i="6" s="1"/>
  <c r="Y173" i="6" a="1"/>
  <c r="Y173" i="6" s="1"/>
  <c r="Y169" i="6" a="1"/>
  <c r="Y169" i="6" s="1"/>
  <c r="Y166" i="6" a="1"/>
  <c r="Y166" i="6" s="1"/>
  <c r="Y182" i="6" a="1"/>
  <c r="Y182" i="6" s="1"/>
  <c r="Y176" i="6" a="1"/>
  <c r="Y176" i="6" s="1"/>
  <c r="Y165" i="6" a="1"/>
  <c r="Y165" i="6" s="1"/>
  <c r="Y161" i="6" a="1"/>
  <c r="Y161" i="6" s="1"/>
  <c r="Y224" i="6" a="1"/>
  <c r="Y224" i="6" s="1"/>
  <c r="Y189" i="6" a="1"/>
  <c r="Y189" i="6" s="1"/>
  <c r="Y180" i="6" a="1"/>
  <c r="Y180" i="6" s="1"/>
  <c r="Y172" i="6" a="1"/>
  <c r="Y172" i="6" s="1"/>
  <c r="Y160" i="6" a="1"/>
  <c r="Y160" i="6" s="1"/>
  <c r="Y175" i="6" a="1"/>
  <c r="Y175" i="6" s="1"/>
  <c r="Y164" i="6" a="1"/>
  <c r="Y164" i="6" s="1"/>
  <c r="Y155" i="6" a="1"/>
  <c r="Y155" i="6" s="1"/>
  <c r="Y148" i="6" a="1"/>
  <c r="Y148" i="6" s="1"/>
  <c r="Y127" i="6" a="1"/>
  <c r="Y127" i="6" s="1"/>
  <c r="W37" i="17" s="1"/>
  <c r="Y126" i="6" a="1"/>
  <c r="Y126" i="6" s="1"/>
  <c r="Y121" i="6" a="1"/>
  <c r="Y121" i="6" s="1"/>
  <c r="Y149" i="6" a="1"/>
  <c r="Y149" i="6" s="1"/>
  <c r="Y142" i="6" a="1"/>
  <c r="Y142" i="6" s="1"/>
  <c r="Y131" i="6" a="1"/>
  <c r="Y131" i="6" s="1"/>
  <c r="Y124" i="6" a="1"/>
  <c r="Y124" i="6" s="1"/>
  <c r="Y146" i="6" a="1"/>
  <c r="Y146" i="6" s="1"/>
  <c r="Y143" i="6" a="1"/>
  <c r="Y143" i="6" s="1"/>
  <c r="Y135" i="6" a="1"/>
  <c r="Y135" i="6" s="1"/>
  <c r="Y130" i="6" a="1"/>
  <c r="Y130" i="6" s="1"/>
  <c r="Y128" i="6" a="1"/>
  <c r="Y128" i="6" s="1"/>
  <c r="Y125" i="6" a="1"/>
  <c r="Y125" i="6" s="1"/>
  <c r="Y168" i="6" a="1"/>
  <c r="Y168" i="6" s="1"/>
  <c r="Y153" i="6" a="1"/>
  <c r="Y153" i="6" s="1"/>
  <c r="Y133" i="6" a="1"/>
  <c r="Y133" i="6" s="1"/>
  <c r="Y132" i="6" a="1"/>
  <c r="Y132" i="6" s="1"/>
  <c r="Y129" i="6" a="1"/>
  <c r="Y129" i="6" s="1"/>
  <c r="Y118" i="6" a="1"/>
  <c r="Y118" i="6" s="1"/>
  <c r="Y117" i="6" a="1"/>
  <c r="Y117" i="6" s="1"/>
  <c r="Y113" i="6" a="1"/>
  <c r="Y113" i="6" s="1"/>
  <c r="Y154" i="6" a="1"/>
  <c r="Y154" i="6" s="1"/>
  <c r="Y152" i="6" a="1"/>
  <c r="Y152" i="6" s="1"/>
  <c r="Y150" i="6" a="1"/>
  <c r="Y150" i="6" s="1"/>
  <c r="Y136" i="6" a="1"/>
  <c r="Y136" i="6" s="1"/>
  <c r="Y134" i="6" a="1"/>
  <c r="Y134" i="6" s="1"/>
  <c r="Y116" i="6" a="1"/>
  <c r="Y116" i="6" s="1"/>
  <c r="Y115" i="6" a="1"/>
  <c r="Y115" i="6" s="1"/>
  <c r="W34" i="17" s="1"/>
  <c r="Y140" i="6" a="1"/>
  <c r="Y140" i="6" s="1"/>
  <c r="Y139" i="6" a="1"/>
  <c r="Y139" i="6" s="1"/>
  <c r="W40" i="17" s="1"/>
  <c r="Y137" i="6" a="1"/>
  <c r="Y137" i="6" s="1"/>
  <c r="Y122" i="6" a="1"/>
  <c r="Y122" i="6" s="1"/>
  <c r="Y119" i="6" a="1"/>
  <c r="Y119" i="6" s="1"/>
  <c r="Y267" i="6" a="1"/>
  <c r="Y267" i="6" s="1"/>
  <c r="W72" i="17" s="1"/>
  <c r="Y171" i="6" a="1"/>
  <c r="Y171" i="6" s="1"/>
  <c r="Y159" i="6" a="1"/>
  <c r="Y159" i="6" s="1"/>
  <c r="W45" i="17" s="1"/>
  <c r="Y156" i="6" a="1"/>
  <c r="Y156" i="6" s="1"/>
  <c r="Y151" i="6" a="1"/>
  <c r="Y151" i="6" s="1"/>
  <c r="W43" i="17" s="1"/>
  <c r="Y147" i="6" a="1"/>
  <c r="Y147" i="6" s="1"/>
  <c r="Y145" i="6" a="1"/>
  <c r="Y145" i="6" s="1"/>
  <c r="Y144" i="6" a="1"/>
  <c r="Y144" i="6" s="1"/>
  <c r="Y184" i="6" a="1"/>
  <c r="Y184" i="6" s="1"/>
  <c r="Y112" i="6" a="1"/>
  <c r="Y112" i="6" s="1"/>
  <c r="Y92" i="6" a="1"/>
  <c r="Y92" i="6" s="1"/>
  <c r="Y33" i="6" a="1"/>
  <c r="Y33" i="6" s="1"/>
  <c r="Y120" i="6" a="1"/>
  <c r="Y120" i="6" s="1"/>
  <c r="Y109" i="6" a="1"/>
  <c r="Y109" i="6" s="1"/>
  <c r="Y105" i="6" a="1"/>
  <c r="Y105" i="6" s="1"/>
  <c r="Y101" i="6" a="1"/>
  <c r="Y101" i="6" s="1"/>
  <c r="Y97" i="6" a="1"/>
  <c r="Y97" i="6" s="1"/>
  <c r="Y88" i="6" a="1"/>
  <c r="Y88" i="6" s="1"/>
  <c r="Y84" i="6" a="1"/>
  <c r="Y84" i="6" s="1"/>
  <c r="Y80" i="6" a="1"/>
  <c r="Y80" i="6" s="1"/>
  <c r="Y75" i="6" a="1"/>
  <c r="Y75" i="6" s="1"/>
  <c r="Y71" i="6" a="1"/>
  <c r="Y71" i="6" s="1"/>
  <c r="Y67" i="6" a="1"/>
  <c r="Y67" i="6" s="1"/>
  <c r="Y63" i="6" a="1"/>
  <c r="Y63" i="6" s="1"/>
  <c r="Y59" i="6" a="1"/>
  <c r="Y59" i="6" s="1"/>
  <c r="Y55" i="6" a="1"/>
  <c r="Y55" i="6" s="1"/>
  <c r="Y51" i="6" a="1"/>
  <c r="Y51" i="6" s="1"/>
  <c r="Y47" i="6" a="1"/>
  <c r="Y47" i="6" s="1"/>
  <c r="Y43" i="6" a="1"/>
  <c r="Y43" i="6" s="1"/>
  <c r="Y123" i="6" a="1"/>
  <c r="Y123" i="6" s="1"/>
  <c r="W36" i="17" s="1"/>
  <c r="Y100" i="6" a="1"/>
  <c r="Y100" i="6" s="1"/>
  <c r="Y94" i="6" a="1"/>
  <c r="Y94" i="6" s="1"/>
  <c r="Y32" i="6" a="1"/>
  <c r="Y32" i="6" s="1"/>
  <c r="Y31" i="6" a="1"/>
  <c r="Y31" i="6" s="1"/>
  <c r="Y30" i="6" a="1"/>
  <c r="Y30" i="6" s="1"/>
  <c r="Y141" i="6" a="1"/>
  <c r="Y141" i="6" s="1"/>
  <c r="Y138" i="6" a="1"/>
  <c r="Y138" i="6" s="1"/>
  <c r="Y110" i="6" a="1"/>
  <c r="Y110" i="6" s="1"/>
  <c r="Y106" i="6" a="1"/>
  <c r="Y106" i="6" s="1"/>
  <c r="Y102" i="6" a="1"/>
  <c r="Y102" i="6" s="1"/>
  <c r="Y93" i="6" a="1"/>
  <c r="Y93" i="6" s="1"/>
  <c r="Y89" i="6" a="1"/>
  <c r="Y89" i="6" s="1"/>
  <c r="Y85" i="6" a="1"/>
  <c r="Y85" i="6" s="1"/>
  <c r="Y81" i="6" a="1"/>
  <c r="Y81" i="6" s="1"/>
  <c r="Y76" i="6" a="1"/>
  <c r="Y76" i="6" s="1"/>
  <c r="Y72" i="6" a="1"/>
  <c r="Y72" i="6" s="1"/>
  <c r="Y68" i="6" a="1"/>
  <c r="Y68" i="6" s="1"/>
  <c r="Y64" i="6" a="1"/>
  <c r="Y64" i="6" s="1"/>
  <c r="Y60" i="6" a="1"/>
  <c r="Y60" i="6" s="1"/>
  <c r="Y56" i="6" a="1"/>
  <c r="Y56" i="6" s="1"/>
  <c r="Y52" i="6" a="1"/>
  <c r="Y52" i="6" s="1"/>
  <c r="Y48" i="6" a="1"/>
  <c r="Y48" i="6" s="1"/>
  <c r="Y44" i="6" a="1"/>
  <c r="Y44" i="6" s="1"/>
  <c r="Y114" i="6" a="1"/>
  <c r="Y114" i="6" s="1"/>
  <c r="Y111" i="6" a="1"/>
  <c r="Y111" i="6" s="1"/>
  <c r="W33" i="17" s="1"/>
  <c r="Y107" i="6" a="1"/>
  <c r="Y107" i="6" s="1"/>
  <c r="Y103" i="6" a="1"/>
  <c r="Y103" i="6" s="1"/>
  <c r="Y99" i="6" a="1"/>
  <c r="Y99" i="6" s="1"/>
  <c r="Y96" i="6" a="1"/>
  <c r="Y96" i="6" s="1"/>
  <c r="Y90" i="6" a="1"/>
  <c r="Y90" i="6" s="1"/>
  <c r="Y86" i="6" a="1"/>
  <c r="Y86" i="6" s="1"/>
  <c r="Y82" i="6" a="1"/>
  <c r="Y82" i="6" s="1"/>
  <c r="Y77" i="6" a="1"/>
  <c r="Y77" i="6" s="1"/>
  <c r="Y73" i="6" a="1"/>
  <c r="Y73" i="6" s="1"/>
  <c r="Y69" i="6" a="1"/>
  <c r="Y69" i="6" s="1"/>
  <c r="Y65" i="6" a="1"/>
  <c r="Y65" i="6" s="1"/>
  <c r="Y61" i="6" a="1"/>
  <c r="Y61" i="6" s="1"/>
  <c r="Y57" i="6" a="1"/>
  <c r="Y57" i="6" s="1"/>
  <c r="Y53" i="6" a="1"/>
  <c r="Y53" i="6" s="1"/>
  <c r="Y49" i="6" a="1"/>
  <c r="Y49" i="6" s="1"/>
  <c r="Y45" i="6" a="1"/>
  <c r="Y45" i="6" s="1"/>
  <c r="Y108" i="6" a="1"/>
  <c r="Y108" i="6" s="1"/>
  <c r="Y104" i="6" a="1"/>
  <c r="Y104" i="6" s="1"/>
  <c r="Y98" i="6" a="1"/>
  <c r="Y98" i="6" s="1"/>
  <c r="Y95" i="6" a="1"/>
  <c r="Y95" i="6" s="1"/>
  <c r="W29" i="17" s="1"/>
  <c r="Y91" i="6" a="1"/>
  <c r="Y91" i="6" s="1"/>
  <c r="Y87" i="6" a="1"/>
  <c r="Y87" i="6" s="1"/>
  <c r="W27" i="17" s="1"/>
  <c r="Y83" i="6" a="1"/>
  <c r="Y83" i="6" s="1"/>
  <c r="Y50" i="6" a="1"/>
  <c r="Y50" i="6" s="1"/>
  <c r="Y40" i="6" a="1"/>
  <c r="Y40" i="6" s="1"/>
  <c r="Y29" i="6" a="1"/>
  <c r="Y29" i="6" s="1"/>
  <c r="Y54" i="6" a="1"/>
  <c r="Y54" i="6" s="1"/>
  <c r="Y41" i="6" a="1"/>
  <c r="Y41" i="6" s="1"/>
  <c r="Y27" i="6" a="1"/>
  <c r="Y27" i="6" s="1"/>
  <c r="Y23" i="6" a="1"/>
  <c r="Y23" i="6" s="1"/>
  <c r="Y19" i="6" a="1"/>
  <c r="Y19" i="6" s="1"/>
  <c r="Y15" i="6" a="1"/>
  <c r="Y15" i="6" s="1"/>
  <c r="W9" i="17" s="1"/>
  <c r="Y11" i="6" a="1"/>
  <c r="Y11" i="6" s="1"/>
  <c r="Y7" i="6" a="1"/>
  <c r="Y7" i="6" s="1"/>
  <c r="Y58" i="6" a="1"/>
  <c r="Y58" i="6" s="1"/>
  <c r="Y79" i="6" a="1"/>
  <c r="Y79" i="6" s="1"/>
  <c r="W25" i="17" s="1"/>
  <c r="Y62" i="6" a="1"/>
  <c r="Y62" i="6" s="1"/>
  <c r="Y35" i="6" a="1"/>
  <c r="Y35" i="6" s="1"/>
  <c r="Y34" i="6" a="1"/>
  <c r="Y34" i="6" s="1"/>
  <c r="Y24" i="6" a="1"/>
  <c r="Y24" i="6" s="1"/>
  <c r="Y20" i="6" a="1"/>
  <c r="Y20" i="6" s="1"/>
  <c r="Y16" i="6" a="1"/>
  <c r="Y16" i="6" s="1"/>
  <c r="Y12" i="6" a="1"/>
  <c r="Y12" i="6" s="1"/>
  <c r="Y8" i="6" a="1"/>
  <c r="Y8" i="6" s="1"/>
  <c r="Y66" i="6" a="1"/>
  <c r="Y66" i="6" s="1"/>
  <c r="Y36" i="6" a="1"/>
  <c r="Y36" i="6" s="1"/>
  <c r="Y28" i="6" a="1"/>
  <c r="Y28" i="6" s="1"/>
  <c r="Y13" i="6" a="1"/>
  <c r="Y13" i="6" s="1"/>
  <c r="Y70" i="6" a="1"/>
  <c r="Y70" i="6" s="1"/>
  <c r="Y37" i="6" a="1"/>
  <c r="Y37" i="6" s="1"/>
  <c r="Y21" i="6" a="1"/>
  <c r="Y21" i="6" s="1"/>
  <c r="Y74" i="6" a="1"/>
  <c r="Y74" i="6" s="1"/>
  <c r="Y42" i="6" a="1"/>
  <c r="Y42" i="6" s="1"/>
  <c r="Y38" i="6" a="1"/>
  <c r="Y38" i="6" s="1"/>
  <c r="Y9" i="6" a="1"/>
  <c r="Y9" i="6" s="1"/>
  <c r="Y78" i="6" a="1"/>
  <c r="Y78" i="6" s="1"/>
  <c r="Y46" i="6" a="1"/>
  <c r="Y46" i="6" s="1"/>
  <c r="Y39" i="6" a="1"/>
  <c r="Y39" i="6" s="1"/>
  <c r="Y26" i="6" a="1"/>
  <c r="Y26" i="6" s="1"/>
  <c r="Y22" i="6" a="1"/>
  <c r="Y22" i="6" s="1"/>
  <c r="Y18" i="6" a="1"/>
  <c r="Y18" i="6" s="1"/>
  <c r="Y14" i="6" a="1"/>
  <c r="Y14" i="6" s="1"/>
  <c r="Y10" i="6" a="1"/>
  <c r="Y10" i="6" s="1"/>
  <c r="Y6" i="6" a="1"/>
  <c r="Y6" i="6" s="1"/>
  <c r="W6" i="17" s="1"/>
  <c r="Y25" i="6" a="1"/>
  <c r="Y25" i="6" s="1"/>
  <c r="Y17" i="6" a="1"/>
  <c r="Y17" i="6" s="1"/>
  <c r="W1" i="17"/>
  <c r="E1" i="17"/>
  <c r="C9" i="6"/>
  <c r="B15" i="6"/>
  <c r="B19" i="6" s="1"/>
  <c r="B23" i="6" s="1"/>
  <c r="B27" i="6" s="1"/>
  <c r="B31" i="6" s="1"/>
  <c r="B35" i="6" s="1"/>
  <c r="B39" i="6" s="1"/>
  <c r="B43" i="6" s="1"/>
  <c r="B47" i="6" s="1"/>
  <c r="B51" i="6" s="1"/>
  <c r="B55" i="6" s="1"/>
  <c r="B59" i="6" s="1"/>
  <c r="B63" i="6" s="1"/>
  <c r="B67" i="6" s="1"/>
  <c r="B71" i="6" s="1"/>
  <c r="B75" i="6" s="1"/>
  <c r="B79" i="6" s="1"/>
  <c r="B83" i="6" s="1"/>
  <c r="B87" i="6" s="1"/>
  <c r="B91" i="6" s="1"/>
  <c r="B95" i="6" s="1"/>
  <c r="B99" i="6" s="1"/>
  <c r="B103" i="6" s="1"/>
  <c r="B107" i="6" s="1"/>
  <c r="B111" i="6" s="1"/>
  <c r="B115" i="6" s="1"/>
  <c r="B119" i="6" s="1"/>
  <c r="B123" i="6" s="1"/>
  <c r="B127" i="6" s="1"/>
  <c r="B131" i="6" s="1"/>
  <c r="B135" i="6" s="1"/>
  <c r="B139" i="6" s="1"/>
  <c r="B143" i="6" s="1"/>
  <c r="B147" i="6" s="1"/>
  <c r="B151" i="6" s="1"/>
  <c r="B155" i="6" s="1"/>
  <c r="B159" i="6" s="1"/>
  <c r="B163" i="6" s="1"/>
  <c r="B167" i="6" s="1"/>
  <c r="B171" i="6" s="1"/>
  <c r="B175" i="6" s="1"/>
  <c r="B179" i="6" s="1"/>
  <c r="B183" i="6" s="1"/>
  <c r="B187" i="6" s="1"/>
  <c r="B191" i="6" s="1"/>
  <c r="B195" i="6" s="1"/>
  <c r="B199" i="6" s="1"/>
  <c r="B203" i="6" s="1"/>
  <c r="B207" i="6" s="1"/>
  <c r="B211" i="6" s="1"/>
  <c r="B215" i="6" s="1"/>
  <c r="B219" i="6" s="1"/>
  <c r="B223" i="6" s="1"/>
  <c r="B227" i="6" s="1"/>
  <c r="B231" i="6" s="1"/>
  <c r="B235" i="6" s="1"/>
  <c r="B239" i="6" s="1"/>
  <c r="B243" i="6" s="1"/>
  <c r="B247" i="6" s="1"/>
  <c r="B251" i="6" s="1"/>
  <c r="B255" i="6" s="1"/>
  <c r="B259" i="6" s="1"/>
  <c r="B263" i="6" s="1"/>
  <c r="B267" i="6" s="1"/>
  <c r="B271" i="6" s="1"/>
  <c r="B275" i="6" s="1"/>
  <c r="B279" i="6" s="1"/>
  <c r="B283" i="6" s="1"/>
  <c r="B287" i="6" s="1"/>
  <c r="B291" i="6" s="1"/>
  <c r="B295" i="6" s="1"/>
  <c r="B299" i="6" s="1"/>
  <c r="B303" i="6" s="1"/>
  <c r="B307" i="6" s="1"/>
  <c r="B311" i="6" s="1"/>
  <c r="B315" i="6" s="1"/>
  <c r="B319" i="6" s="1"/>
  <c r="B323" i="6" s="1"/>
  <c r="B327" i="6" s="1"/>
  <c r="B331" i="6" s="1"/>
  <c r="B335" i="6" s="1"/>
  <c r="B339" i="6" s="1"/>
  <c r="B343" i="6" s="1"/>
  <c r="B347" i="6" s="1"/>
  <c r="B351" i="6" s="1"/>
  <c r="B355" i="6" s="1"/>
  <c r="D358" i="17"/>
  <c r="H358" i="17"/>
  <c r="G357" i="17"/>
  <c r="F356" i="17"/>
  <c r="E355" i="17"/>
  <c r="D354" i="17"/>
  <c r="I351" i="17"/>
  <c r="H350" i="17"/>
  <c r="G349" i="17"/>
  <c r="F348" i="17"/>
  <c r="E347" i="17"/>
  <c r="D346" i="17"/>
  <c r="I343" i="17"/>
  <c r="H342" i="17"/>
  <c r="G341" i="17"/>
  <c r="F340" i="17"/>
  <c r="E339" i="17"/>
  <c r="D338" i="17"/>
  <c r="I335" i="17"/>
  <c r="H334" i="17"/>
  <c r="G333" i="17"/>
  <c r="F332" i="17"/>
  <c r="E331" i="17"/>
  <c r="D330" i="17"/>
  <c r="I327" i="17"/>
  <c r="H326" i="17"/>
  <c r="G325" i="17"/>
  <c r="F324" i="17"/>
  <c r="E323" i="17"/>
  <c r="D322" i="17"/>
  <c r="I319" i="17"/>
  <c r="H318" i="17"/>
  <c r="G317" i="17"/>
  <c r="F316" i="17"/>
  <c r="E315" i="17"/>
  <c r="D314" i="17"/>
  <c r="I311" i="17"/>
  <c r="H310" i="17"/>
  <c r="G309" i="17"/>
  <c r="F308" i="17"/>
  <c r="E307" i="17"/>
  <c r="D306" i="17"/>
  <c r="I303" i="17"/>
  <c r="H302" i="17"/>
  <c r="G301" i="17"/>
  <c r="F300" i="17"/>
  <c r="E299" i="17"/>
  <c r="D298" i="17"/>
  <c r="I295" i="17"/>
  <c r="H294" i="17"/>
  <c r="G293" i="17"/>
  <c r="F292" i="17"/>
  <c r="E291" i="17"/>
  <c r="D290" i="17"/>
  <c r="F357" i="17"/>
  <c r="H354" i="17"/>
  <c r="F353" i="17"/>
  <c r="D352" i="17"/>
  <c r="I350" i="17"/>
  <c r="F349" i="17"/>
  <c r="D348" i="17"/>
  <c r="I346" i="17"/>
  <c r="G345" i="17"/>
  <c r="E344" i="17"/>
  <c r="H341" i="17"/>
  <c r="E340" i="17"/>
  <c r="H337" i="17"/>
  <c r="F336" i="17"/>
  <c r="D335" i="17"/>
  <c r="I333" i="17"/>
  <c r="G332" i="17"/>
  <c r="D331" i="17"/>
  <c r="I329" i="17"/>
  <c r="G328" i="17"/>
  <c r="E327" i="17"/>
  <c r="H324" i="17"/>
  <c r="F323" i="17"/>
  <c r="H320" i="17"/>
  <c r="F319" i="17"/>
  <c r="D318" i="17"/>
  <c r="I316" i="17"/>
  <c r="G315" i="17"/>
  <c r="E314" i="17"/>
  <c r="I312" i="17"/>
  <c r="G311" i="17"/>
  <c r="E310" i="17"/>
  <c r="H307" i="17"/>
  <c r="F306" i="17"/>
  <c r="D305" i="17"/>
  <c r="H303" i="17"/>
  <c r="F302" i="17"/>
  <c r="D301" i="17"/>
  <c r="I299" i="17"/>
  <c r="G298" i="17"/>
  <c r="E297" i="17"/>
  <c r="G294" i="17"/>
  <c r="E293" i="17"/>
  <c r="H290" i="17"/>
  <c r="F289" i="17"/>
  <c r="D288" i="17"/>
  <c r="I285" i="17"/>
  <c r="H284" i="17"/>
  <c r="G283" i="17"/>
  <c r="F282" i="17"/>
  <c r="E281" i="17"/>
  <c r="D280" i="17"/>
  <c r="I277" i="17"/>
  <c r="H276" i="17"/>
  <c r="G275" i="17"/>
  <c r="F274" i="17"/>
  <c r="E273" i="17"/>
  <c r="D272" i="17"/>
  <c r="I269" i="17"/>
  <c r="H268" i="17"/>
  <c r="G267" i="17"/>
  <c r="F266" i="17"/>
  <c r="E265" i="17"/>
  <c r="D264" i="17"/>
  <c r="I261" i="17"/>
  <c r="H260" i="17"/>
  <c r="G259" i="17"/>
  <c r="F258" i="17"/>
  <c r="E257" i="17"/>
  <c r="D256" i="17"/>
  <c r="I253" i="17"/>
  <c r="H252" i="17"/>
  <c r="G251" i="17"/>
  <c r="F250" i="17"/>
  <c r="E249" i="17"/>
  <c r="D248" i="17"/>
  <c r="I245" i="17"/>
  <c r="H244" i="17"/>
  <c r="G243" i="17"/>
  <c r="F242" i="17"/>
  <c r="E241" i="17"/>
  <c r="D240" i="17"/>
  <c r="I237" i="17"/>
  <c r="H236" i="17"/>
  <c r="G235" i="17"/>
  <c r="F234" i="17"/>
  <c r="E233" i="17"/>
  <c r="D232" i="17"/>
  <c r="I358" i="17"/>
  <c r="E357" i="17"/>
  <c r="I355" i="17"/>
  <c r="G354" i="17"/>
  <c r="E353" i="17"/>
  <c r="G350" i="17"/>
  <c r="E349" i="17"/>
  <c r="H346" i="17"/>
  <c r="F345" i="17"/>
  <c r="D344" i="17"/>
  <c r="I342" i="17"/>
  <c r="F341" i="17"/>
  <c r="D340" i="17"/>
  <c r="I338" i="17"/>
  <c r="G337" i="17"/>
  <c r="E336" i="17"/>
  <c r="H333" i="17"/>
  <c r="E332" i="17"/>
  <c r="H329" i="17"/>
  <c r="F328" i="17"/>
  <c r="D327" i="17"/>
  <c r="I325" i="17"/>
  <c r="G324" i="17"/>
  <c r="D323" i="17"/>
  <c r="I321" i="17"/>
  <c r="G320" i="17"/>
  <c r="E319" i="17"/>
  <c r="H316" i="17"/>
  <c r="F315" i="17"/>
  <c r="H312" i="17"/>
  <c r="F311" i="17"/>
  <c r="D310" i="17"/>
  <c r="I308" i="17"/>
  <c r="G307" i="17"/>
  <c r="E306" i="17"/>
  <c r="I304" i="17"/>
  <c r="G303" i="17"/>
  <c r="E302" i="17"/>
  <c r="H299" i="17"/>
  <c r="F298" i="17"/>
  <c r="D297" i="17"/>
  <c r="H295" i="17"/>
  <c r="F294" i="17"/>
  <c r="D293" i="17"/>
  <c r="I291" i="17"/>
  <c r="G290" i="17"/>
  <c r="E289" i="17"/>
  <c r="I286" i="17"/>
  <c r="H285" i="17"/>
  <c r="G284" i="17"/>
  <c r="F283" i="17"/>
  <c r="E282" i="17"/>
  <c r="D281" i="17"/>
  <c r="I278" i="17"/>
  <c r="H277" i="17"/>
  <c r="G276" i="17"/>
  <c r="F275" i="17"/>
  <c r="E274" i="17"/>
  <c r="G358" i="17"/>
  <c r="G356" i="17"/>
  <c r="D355" i="17"/>
  <c r="I353" i="17"/>
  <c r="G352" i="17"/>
  <c r="E351" i="17"/>
  <c r="H348" i="17"/>
  <c r="F347" i="17"/>
  <c r="H344" i="17"/>
  <c r="F343" i="17"/>
  <c r="D342" i="17"/>
  <c r="I340" i="17"/>
  <c r="G339" i="17"/>
  <c r="E338" i="17"/>
  <c r="I336" i="17"/>
  <c r="G335" i="17"/>
  <c r="E334" i="17"/>
  <c r="H331" i="17"/>
  <c r="F330" i="17"/>
  <c r="D329" i="17"/>
  <c r="D357" i="17"/>
  <c r="I352" i="17"/>
  <c r="I348" i="17"/>
  <c r="G346" i="17"/>
  <c r="G344" i="17"/>
  <c r="F342" i="17"/>
  <c r="G340" i="17"/>
  <c r="F338" i="17"/>
  <c r="D336" i="17"/>
  <c r="D334" i="17"/>
  <c r="E326" i="17"/>
  <c r="E324" i="17"/>
  <c r="H322" i="17"/>
  <c r="D321" i="17"/>
  <c r="D319" i="17"/>
  <c r="F317" i="17"/>
  <c r="I315" i="17"/>
  <c r="I313" i="17"/>
  <c r="E312" i="17"/>
  <c r="G310" i="17"/>
  <c r="H308" i="17"/>
  <c r="F305" i="17"/>
  <c r="F303" i="17"/>
  <c r="I301" i="17"/>
  <c r="D300" i="17"/>
  <c r="E298" i="17"/>
  <c r="G296" i="17"/>
  <c r="F291" i="17"/>
  <c r="H289" i="17"/>
  <c r="I287" i="17"/>
  <c r="F286" i="17"/>
  <c r="E283" i="17"/>
  <c r="I281" i="17"/>
  <c r="F280" i="17"/>
  <c r="H278" i="17"/>
  <c r="E277" i="17"/>
  <c r="I275" i="17"/>
  <c r="D274" i="17"/>
  <c r="I272" i="17"/>
  <c r="G271" i="17"/>
  <c r="E270" i="17"/>
  <c r="H267" i="17"/>
  <c r="E266" i="17"/>
  <c r="H263" i="17"/>
  <c r="F262" i="17"/>
  <c r="D261" i="17"/>
  <c r="I259" i="17"/>
  <c r="G258" i="17"/>
  <c r="D257" i="17"/>
  <c r="I255" i="17"/>
  <c r="G254" i="17"/>
  <c r="E253" i="17"/>
  <c r="H250" i="17"/>
  <c r="F249" i="17"/>
  <c r="H246" i="17"/>
  <c r="F245" i="17"/>
  <c r="D244" i="17"/>
  <c r="I242" i="17"/>
  <c r="G241" i="17"/>
  <c r="E240" i="17"/>
  <c r="I238" i="17"/>
  <c r="G237" i="17"/>
  <c r="E236" i="17"/>
  <c r="H233" i="17"/>
  <c r="F232" i="17"/>
  <c r="D231" i="17"/>
  <c r="I228" i="17"/>
  <c r="H227" i="17"/>
  <c r="G226" i="17"/>
  <c r="F225" i="17"/>
  <c r="E224" i="17"/>
  <c r="D223" i="17"/>
  <c r="I220" i="17"/>
  <c r="H219" i="17"/>
  <c r="G218" i="17"/>
  <c r="F217" i="17"/>
  <c r="E216" i="17"/>
  <c r="D215" i="17"/>
  <c r="I212" i="17"/>
  <c r="H211" i="17"/>
  <c r="G210" i="17"/>
  <c r="F209" i="17"/>
  <c r="E208" i="17"/>
  <c r="D207" i="17"/>
  <c r="I204" i="17"/>
  <c r="H203" i="17"/>
  <c r="G202" i="17"/>
  <c r="F201" i="17"/>
  <c r="E200" i="17"/>
  <c r="D199" i="17"/>
  <c r="I196" i="17"/>
  <c r="H195" i="17"/>
  <c r="G194" i="17"/>
  <c r="F193" i="17"/>
  <c r="E192" i="17"/>
  <c r="D191" i="17"/>
  <c r="I188" i="17"/>
  <c r="H187" i="17"/>
  <c r="G186" i="17"/>
  <c r="F185" i="17"/>
  <c r="E184" i="17"/>
  <c r="D183" i="17"/>
  <c r="I180" i="17"/>
  <c r="H179" i="17"/>
  <c r="G178" i="17"/>
  <c r="F177" i="17"/>
  <c r="E176" i="17"/>
  <c r="D175" i="17"/>
  <c r="I172" i="17"/>
  <c r="H171" i="17"/>
  <c r="G170" i="17"/>
  <c r="F169" i="17"/>
  <c r="E168" i="17"/>
  <c r="D167" i="17"/>
  <c r="I164" i="17"/>
  <c r="H163" i="17"/>
  <c r="G162" i="17"/>
  <c r="F161" i="17"/>
  <c r="E160" i="17"/>
  <c r="D159" i="17"/>
  <c r="I156" i="17"/>
  <c r="H155" i="17"/>
  <c r="G154" i="17"/>
  <c r="F153" i="17"/>
  <c r="E152" i="17"/>
  <c r="D151" i="17"/>
  <c r="I148" i="17"/>
  <c r="H147" i="17"/>
  <c r="G146" i="17"/>
  <c r="F145" i="17"/>
  <c r="E144" i="17"/>
  <c r="D143" i="17"/>
  <c r="I140" i="17"/>
  <c r="I356" i="17"/>
  <c r="I354" i="17"/>
  <c r="H352" i="17"/>
  <c r="F350" i="17"/>
  <c r="G348" i="17"/>
  <c r="F346" i="17"/>
  <c r="F344" i="17"/>
  <c r="E342" i="17"/>
  <c r="I331" i="17"/>
  <c r="G329" i="17"/>
  <c r="H327" i="17"/>
  <c r="D326" i="17"/>
  <c r="D324" i="17"/>
  <c r="G322" i="17"/>
  <c r="I320" i="17"/>
  <c r="E317" i="17"/>
  <c r="H315" i="17"/>
  <c r="H313" i="17"/>
  <c r="D312" i="17"/>
  <c r="F310" i="17"/>
  <c r="G308" i="17"/>
  <c r="I306" i="17"/>
  <c r="E305" i="17"/>
  <c r="E303" i="17"/>
  <c r="H301" i="17"/>
  <c r="F296" i="17"/>
  <c r="I294" i="17"/>
  <c r="I292" i="17"/>
  <c r="D291" i="17"/>
  <c r="G289" i="17"/>
  <c r="H287" i="17"/>
  <c r="E286" i="17"/>
  <c r="I284" i="17"/>
  <c r="D283" i="17"/>
  <c r="H281" i="17"/>
  <c r="E280" i="17"/>
  <c r="G278" i="17"/>
  <c r="D277" i="17"/>
  <c r="H275" i="17"/>
  <c r="H272" i="17"/>
  <c r="F271" i="17"/>
  <c r="D270" i="17"/>
  <c r="I268" i="17"/>
  <c r="F267" i="17"/>
  <c r="D266" i="17"/>
  <c r="I264" i="17"/>
  <c r="G263" i="17"/>
  <c r="E262" i="17"/>
  <c r="H259" i="17"/>
  <c r="E258" i="17"/>
  <c r="H255" i="17"/>
  <c r="F254" i="17"/>
  <c r="D253" i="17"/>
  <c r="I251" i="17"/>
  <c r="G250" i="17"/>
  <c r="D249" i="17"/>
  <c r="I247" i="17"/>
  <c r="G246" i="17"/>
  <c r="E245" i="17"/>
  <c r="H242" i="17"/>
  <c r="F241" i="17"/>
  <c r="H238" i="17"/>
  <c r="F237" i="17"/>
  <c r="D236" i="17"/>
  <c r="I234" i="17"/>
  <c r="G233" i="17"/>
  <c r="E232" i="17"/>
  <c r="I229" i="17"/>
  <c r="H228" i="17"/>
  <c r="G227" i="17"/>
  <c r="F226" i="17"/>
  <c r="E225" i="17"/>
  <c r="D224" i="17"/>
  <c r="I221" i="17"/>
  <c r="H220" i="17"/>
  <c r="G219" i="17"/>
  <c r="F218" i="17"/>
  <c r="E217" i="17"/>
  <c r="D216" i="17"/>
  <c r="I213" i="17"/>
  <c r="H212" i="17"/>
  <c r="G211" i="17"/>
  <c r="F210" i="17"/>
  <c r="E209" i="17"/>
  <c r="D208" i="17"/>
  <c r="I205" i="17"/>
  <c r="H204" i="17"/>
  <c r="G203" i="17"/>
  <c r="F202" i="17"/>
  <c r="E201" i="17"/>
  <c r="D200" i="17"/>
  <c r="I197" i="17"/>
  <c r="H196" i="17"/>
  <c r="G195" i="17"/>
  <c r="F194" i="17"/>
  <c r="E193" i="17"/>
  <c r="D192" i="17"/>
  <c r="I189" i="17"/>
  <c r="H188" i="17"/>
  <c r="G187" i="17"/>
  <c r="F186" i="17"/>
  <c r="E185" i="17"/>
  <c r="D184" i="17"/>
  <c r="I181" i="17"/>
  <c r="H180" i="17"/>
  <c r="G179" i="17"/>
  <c r="F178" i="17"/>
  <c r="E177" i="17"/>
  <c r="D176" i="17"/>
  <c r="I173" i="17"/>
  <c r="H172" i="17"/>
  <c r="G171" i="17"/>
  <c r="F170" i="17"/>
  <c r="E169" i="17"/>
  <c r="D168" i="17"/>
  <c r="I165" i="17"/>
  <c r="H164" i="17"/>
  <c r="G163" i="17"/>
  <c r="F162" i="17"/>
  <c r="E161" i="17"/>
  <c r="D160" i="17"/>
  <c r="I157" i="17"/>
  <c r="H156" i="17"/>
  <c r="G155" i="17"/>
  <c r="F154" i="17"/>
  <c r="E153" i="17"/>
  <c r="D152" i="17"/>
  <c r="I149" i="17"/>
  <c r="H148" i="17"/>
  <c r="G147" i="17"/>
  <c r="F146" i="17"/>
  <c r="E145" i="17"/>
  <c r="D144" i="17"/>
  <c r="I141" i="17"/>
  <c r="H140" i="17"/>
  <c r="G139" i="17"/>
  <c r="F138" i="17"/>
  <c r="E137" i="17"/>
  <c r="D136" i="17"/>
  <c r="I133" i="17"/>
  <c r="H132" i="17"/>
  <c r="G131" i="17"/>
  <c r="F130" i="17"/>
  <c r="E129" i="17"/>
  <c r="D128" i="17"/>
  <c r="I125" i="17"/>
  <c r="H124" i="17"/>
  <c r="G123" i="17"/>
  <c r="H356" i="17"/>
  <c r="F354" i="17"/>
  <c r="F352" i="17"/>
  <c r="E350" i="17"/>
  <c r="E348" i="17"/>
  <c r="E346" i="17"/>
  <c r="I339" i="17"/>
  <c r="I337" i="17"/>
  <c r="H335" i="17"/>
  <c r="F333" i="17"/>
  <c r="G331" i="17"/>
  <c r="F329" i="17"/>
  <c r="G327" i="17"/>
  <c r="H325" i="17"/>
  <c r="F322" i="17"/>
  <c r="F320" i="17"/>
  <c r="I318" i="17"/>
  <c r="D317" i="17"/>
  <c r="D315" i="17"/>
  <c r="G313" i="17"/>
  <c r="E308" i="17"/>
  <c r="H306" i="17"/>
  <c r="H304" i="17"/>
  <c r="D303" i="17"/>
  <c r="F301" i="17"/>
  <c r="G299" i="17"/>
  <c r="I297" i="17"/>
  <c r="E296" i="17"/>
  <c r="E294" i="17"/>
  <c r="H292" i="17"/>
  <c r="D289" i="17"/>
  <c r="G287" i="17"/>
  <c r="D286" i="17"/>
  <c r="F284" i="17"/>
  <c r="G281" i="17"/>
  <c r="I279" i="17"/>
  <c r="F278" i="17"/>
  <c r="E275" i="17"/>
  <c r="I273" i="17"/>
  <c r="G272" i="17"/>
  <c r="E271" i="17"/>
  <c r="G268" i="17"/>
  <c r="E267" i="17"/>
  <c r="H264" i="17"/>
  <c r="F263" i="17"/>
  <c r="D262" i="17"/>
  <c r="I260" i="17"/>
  <c r="F259" i="17"/>
  <c r="D258" i="17"/>
  <c r="I256" i="17"/>
  <c r="G255" i="17"/>
  <c r="E254" i="17"/>
  <c r="H251" i="17"/>
  <c r="E250" i="17"/>
  <c r="H247" i="17"/>
  <c r="F246" i="17"/>
  <c r="D245" i="17"/>
  <c r="I243" i="17"/>
  <c r="G242" i="17"/>
  <c r="D241" i="17"/>
  <c r="I239" i="17"/>
  <c r="G238" i="17"/>
  <c r="E237" i="17"/>
  <c r="H234" i="17"/>
  <c r="F233" i="17"/>
  <c r="I230" i="17"/>
  <c r="H229" i="17"/>
  <c r="G228" i="17"/>
  <c r="F227" i="17"/>
  <c r="E226" i="17"/>
  <c r="D225" i="17"/>
  <c r="I222" i="17"/>
  <c r="H221" i="17"/>
  <c r="G220" i="17"/>
  <c r="F219" i="17"/>
  <c r="E218" i="17"/>
  <c r="D217" i="17"/>
  <c r="I214" i="17"/>
  <c r="H213" i="17"/>
  <c r="G212" i="17"/>
  <c r="F211" i="17"/>
  <c r="E210" i="17"/>
  <c r="D209" i="17"/>
  <c r="I206" i="17"/>
  <c r="H205" i="17"/>
  <c r="G204" i="17"/>
  <c r="F203" i="17"/>
  <c r="E202" i="17"/>
  <c r="D201" i="17"/>
  <c r="I198" i="17"/>
  <c r="H197" i="17"/>
  <c r="G196" i="17"/>
  <c r="F195" i="17"/>
  <c r="E194" i="17"/>
  <c r="D193" i="17"/>
  <c r="I190" i="17"/>
  <c r="H189" i="17"/>
  <c r="G188" i="17"/>
  <c r="F187" i="17"/>
  <c r="E186" i="17"/>
  <c r="D185" i="17"/>
  <c r="I182" i="17"/>
  <c r="H181" i="17"/>
  <c r="G180" i="17"/>
  <c r="F179" i="17"/>
  <c r="E178" i="17"/>
  <c r="D177" i="17"/>
  <c r="I174" i="17"/>
  <c r="H173" i="17"/>
  <c r="G172" i="17"/>
  <c r="F171" i="17"/>
  <c r="E170" i="17"/>
  <c r="D169" i="17"/>
  <c r="I166" i="17"/>
  <c r="H165" i="17"/>
  <c r="G164" i="17"/>
  <c r="F163" i="17"/>
  <c r="E162" i="17"/>
  <c r="D161" i="17"/>
  <c r="I158" i="17"/>
  <c r="H157" i="17"/>
  <c r="G156" i="17"/>
  <c r="F155" i="17"/>
  <c r="E154" i="17"/>
  <c r="D153" i="17"/>
  <c r="I150" i="17"/>
  <c r="H149" i="17"/>
  <c r="G148" i="17"/>
  <c r="F147" i="17"/>
  <c r="E146" i="17"/>
  <c r="D145" i="17"/>
  <c r="I142" i="17"/>
  <c r="H141" i="17"/>
  <c r="G140" i="17"/>
  <c r="F139" i="17"/>
  <c r="E138" i="17"/>
  <c r="D137" i="17"/>
  <c r="I134" i="17"/>
  <c r="H133" i="17"/>
  <c r="G132" i="17"/>
  <c r="F131" i="17"/>
  <c r="E130" i="17"/>
  <c r="D129" i="17"/>
  <c r="I126" i="17"/>
  <c r="H125" i="17"/>
  <c r="G124" i="17"/>
  <c r="F123" i="17"/>
  <c r="E122" i="17"/>
  <c r="D121" i="17"/>
  <c r="I118" i="17"/>
  <c r="E356" i="17"/>
  <c r="E354" i="17"/>
  <c r="E352" i="17"/>
  <c r="D350" i="17"/>
  <c r="I347" i="17"/>
  <c r="I345" i="17"/>
  <c r="H343" i="17"/>
  <c r="I341" i="17"/>
  <c r="H339" i="17"/>
  <c r="F337" i="17"/>
  <c r="F335" i="17"/>
  <c r="E333" i="17"/>
  <c r="F331" i="17"/>
  <c r="E329" i="17"/>
  <c r="F327" i="17"/>
  <c r="F325" i="17"/>
  <c r="I323" i="17"/>
  <c r="E322" i="17"/>
  <c r="E320" i="17"/>
  <c r="G318" i="17"/>
  <c r="F313" i="17"/>
  <c r="H311" i="17"/>
  <c r="I309" i="17"/>
  <c r="D308" i="17"/>
  <c r="G306" i="17"/>
  <c r="G304" i="17"/>
  <c r="E301" i="17"/>
  <c r="F299" i="17"/>
  <c r="H297" i="17"/>
  <c r="D296" i="17"/>
  <c r="D294" i="17"/>
  <c r="G292" i="17"/>
  <c r="I290" i="17"/>
  <c r="I288" i="17"/>
  <c r="F287" i="17"/>
  <c r="E284" i="17"/>
  <c r="I282" i="17"/>
  <c r="F281" i="17"/>
  <c r="H279" i="17"/>
  <c r="E278" i="17"/>
  <c r="I276" i="17"/>
  <c r="D275" i="17"/>
  <c r="H273" i="17"/>
  <c r="F272" i="17"/>
  <c r="D271" i="17"/>
  <c r="H269" i="17"/>
  <c r="F268" i="17"/>
  <c r="D267" i="17"/>
  <c r="I265" i="17"/>
  <c r="G264" i="17"/>
  <c r="E263" i="17"/>
  <c r="G260" i="17"/>
  <c r="E259" i="17"/>
  <c r="H256" i="17"/>
  <c r="F255" i="17"/>
  <c r="D254" i="17"/>
  <c r="I252" i="17"/>
  <c r="F251" i="17"/>
  <c r="D250" i="17"/>
  <c r="I248" i="17"/>
  <c r="G247" i="17"/>
  <c r="E246" i="17"/>
  <c r="H243" i="17"/>
  <c r="E242" i="17"/>
  <c r="H239" i="17"/>
  <c r="F238" i="17"/>
  <c r="D237" i="17"/>
  <c r="I235" i="17"/>
  <c r="G234" i="17"/>
  <c r="D233" i="17"/>
  <c r="I231" i="17"/>
  <c r="H230" i="17"/>
  <c r="G229" i="17"/>
  <c r="F228" i="17"/>
  <c r="E227" i="17"/>
  <c r="D226" i="17"/>
  <c r="I223" i="17"/>
  <c r="H222" i="17"/>
  <c r="G221" i="17"/>
  <c r="F220" i="17"/>
  <c r="E219" i="17"/>
  <c r="D218" i="17"/>
  <c r="I215" i="17"/>
  <c r="H214" i="17"/>
  <c r="G213" i="17"/>
  <c r="F212" i="17"/>
  <c r="E211" i="17"/>
  <c r="D210" i="17"/>
  <c r="I207" i="17"/>
  <c r="H206" i="17"/>
  <c r="G205" i="17"/>
  <c r="F204" i="17"/>
  <c r="E203" i="17"/>
  <c r="D202" i="17"/>
  <c r="I199" i="17"/>
  <c r="H198" i="17"/>
  <c r="G197" i="17"/>
  <c r="F196" i="17"/>
  <c r="E195" i="17"/>
  <c r="D194" i="17"/>
  <c r="I191" i="17"/>
  <c r="H190" i="17"/>
  <c r="G189" i="17"/>
  <c r="F188" i="17"/>
  <c r="E187" i="17"/>
  <c r="D186" i="17"/>
  <c r="I183" i="17"/>
  <c r="H182" i="17"/>
  <c r="G181" i="17"/>
  <c r="F180" i="17"/>
  <c r="E179" i="17"/>
  <c r="D178" i="17"/>
  <c r="I175" i="17"/>
  <c r="H174" i="17"/>
  <c r="G173" i="17"/>
  <c r="F172" i="17"/>
  <c r="E171" i="17"/>
  <c r="D170" i="17"/>
  <c r="I167" i="17"/>
  <c r="H166" i="17"/>
  <c r="G165" i="17"/>
  <c r="F164" i="17"/>
  <c r="E163" i="17"/>
  <c r="F358" i="17"/>
  <c r="D356" i="17"/>
  <c r="H351" i="17"/>
  <c r="I349" i="17"/>
  <c r="H347" i="17"/>
  <c r="H345" i="17"/>
  <c r="G343" i="17"/>
  <c r="E341" i="17"/>
  <c r="F339" i="17"/>
  <c r="E337" i="17"/>
  <c r="E335" i="17"/>
  <c r="D333" i="17"/>
  <c r="I330" i="17"/>
  <c r="I328" i="17"/>
  <c r="E325" i="17"/>
  <c r="H323" i="17"/>
  <c r="H321" i="17"/>
  <c r="D320" i="17"/>
  <c r="F318" i="17"/>
  <c r="G316" i="17"/>
  <c r="I314" i="17"/>
  <c r="E313" i="17"/>
  <c r="E311" i="17"/>
  <c r="H309" i="17"/>
  <c r="F304" i="17"/>
  <c r="I302" i="17"/>
  <c r="I300" i="17"/>
  <c r="D299" i="17"/>
  <c r="G297" i="17"/>
  <c r="G295" i="17"/>
  <c r="E292" i="17"/>
  <c r="F290" i="17"/>
  <c r="H288" i="17"/>
  <c r="E287" i="17"/>
  <c r="G285" i="17"/>
  <c r="D284" i="17"/>
  <c r="H282" i="17"/>
  <c r="G279" i="17"/>
  <c r="D278" i="17"/>
  <c r="F276" i="17"/>
  <c r="G273" i="17"/>
  <c r="E272" i="17"/>
  <c r="I270" i="17"/>
  <c r="G269" i="17"/>
  <c r="E268" i="17"/>
  <c r="H265" i="17"/>
  <c r="F264" i="17"/>
  <c r="D263" i="17"/>
  <c r="H261" i="17"/>
  <c r="F260" i="17"/>
  <c r="D259" i="17"/>
  <c r="I257" i="17"/>
  <c r="G256" i="17"/>
  <c r="E255" i="17"/>
  <c r="G252" i="17"/>
  <c r="E251" i="17"/>
  <c r="H248" i="17"/>
  <c r="F247" i="17"/>
  <c r="D246" i="17"/>
  <c r="I244" i="17"/>
  <c r="F243" i="17"/>
  <c r="D242" i="17"/>
  <c r="I240" i="17"/>
  <c r="G239" i="17"/>
  <c r="E238" i="17"/>
  <c r="H235" i="17"/>
  <c r="E234" i="17"/>
  <c r="H231" i="17"/>
  <c r="G230" i="17"/>
  <c r="F229" i="17"/>
  <c r="E228" i="17"/>
  <c r="D227" i="17"/>
  <c r="I224" i="17"/>
  <c r="H223" i="17"/>
  <c r="G222" i="17"/>
  <c r="F221" i="17"/>
  <c r="E220" i="17"/>
  <c r="D219" i="17"/>
  <c r="I216" i="17"/>
  <c r="H215" i="17"/>
  <c r="G214" i="17"/>
  <c r="F213" i="17"/>
  <c r="E212" i="17"/>
  <c r="D211" i="17"/>
  <c r="I208" i="17"/>
  <c r="H207" i="17"/>
  <c r="G206" i="17"/>
  <c r="F205" i="17"/>
  <c r="E204" i="17"/>
  <c r="D203" i="17"/>
  <c r="I200" i="17"/>
  <c r="H199" i="17"/>
  <c r="G198" i="17"/>
  <c r="F197" i="17"/>
  <c r="E196" i="17"/>
  <c r="D195" i="17"/>
  <c r="I192" i="17"/>
  <c r="H191" i="17"/>
  <c r="G190" i="17"/>
  <c r="F189" i="17"/>
  <c r="E188" i="17"/>
  <c r="D187" i="17"/>
  <c r="I184" i="17"/>
  <c r="H183" i="17"/>
  <c r="G182" i="17"/>
  <c r="F181" i="17"/>
  <c r="E180" i="17"/>
  <c r="D179" i="17"/>
  <c r="I176" i="17"/>
  <c r="H175" i="17"/>
  <c r="G174" i="17"/>
  <c r="F173" i="17"/>
  <c r="E172" i="17"/>
  <c r="D171" i="17"/>
  <c r="I168" i="17"/>
  <c r="H167" i="17"/>
  <c r="G166" i="17"/>
  <c r="F165" i="17"/>
  <c r="E164" i="17"/>
  <c r="D163" i="17"/>
  <c r="I160" i="17"/>
  <c r="H159" i="17"/>
  <c r="G158" i="17"/>
  <c r="F157" i="17"/>
  <c r="E156" i="17"/>
  <c r="D155" i="17"/>
  <c r="I152" i="17"/>
  <c r="H151" i="17"/>
  <c r="G150" i="17"/>
  <c r="F149" i="17"/>
  <c r="E148" i="17"/>
  <c r="D147" i="17"/>
  <c r="I144" i="17"/>
  <c r="H143" i="17"/>
  <c r="G142" i="17"/>
  <c r="F141" i="17"/>
  <c r="E140" i="17"/>
  <c r="D139" i="17"/>
  <c r="I136" i="17"/>
  <c r="H135" i="17"/>
  <c r="G134" i="17"/>
  <c r="F133" i="17"/>
  <c r="E132" i="17"/>
  <c r="D131" i="17"/>
  <c r="I128" i="17"/>
  <c r="E358" i="17"/>
  <c r="H355" i="17"/>
  <c r="H353" i="17"/>
  <c r="G351" i="17"/>
  <c r="H349" i="17"/>
  <c r="G347" i="17"/>
  <c r="E345" i="17"/>
  <c r="E343" i="17"/>
  <c r="D341" i="17"/>
  <c r="D339" i="17"/>
  <c r="D337" i="17"/>
  <c r="I334" i="17"/>
  <c r="I332" i="17"/>
  <c r="H330" i="17"/>
  <c r="H328" i="17"/>
  <c r="I326" i="17"/>
  <c r="D325" i="17"/>
  <c r="G323" i="17"/>
  <c r="G321" i="17"/>
  <c r="E318" i="17"/>
  <c r="E316" i="17"/>
  <c r="H314" i="17"/>
  <c r="D313" i="17"/>
  <c r="D311" i="17"/>
  <c r="F309" i="17"/>
  <c r="I307" i="17"/>
  <c r="I305" i="17"/>
  <c r="E304" i="17"/>
  <c r="G302" i="17"/>
  <c r="H300" i="17"/>
  <c r="F297" i="17"/>
  <c r="F295" i="17"/>
  <c r="I293" i="17"/>
  <c r="D292" i="17"/>
  <c r="E290" i="17"/>
  <c r="G288" i="17"/>
  <c r="D287" i="17"/>
  <c r="F285" i="17"/>
  <c r="G282" i="17"/>
  <c r="I280" i="17"/>
  <c r="F279" i="17"/>
  <c r="E276" i="17"/>
  <c r="I274" i="17"/>
  <c r="F273" i="17"/>
  <c r="H270" i="17"/>
  <c r="F269" i="17"/>
  <c r="D268" i="17"/>
  <c r="I266" i="17"/>
  <c r="G265" i="17"/>
  <c r="E264" i="17"/>
  <c r="I262" i="17"/>
  <c r="G261" i="17"/>
  <c r="E260" i="17"/>
  <c r="H257" i="17"/>
  <c r="F256" i="17"/>
  <c r="D255" i="17"/>
  <c r="H253" i="17"/>
  <c r="F252" i="17"/>
  <c r="D251" i="17"/>
  <c r="I249" i="17"/>
  <c r="G248" i="17"/>
  <c r="E247" i="17"/>
  <c r="G244" i="17"/>
  <c r="E243" i="17"/>
  <c r="H240" i="17"/>
  <c r="F239" i="17"/>
  <c r="D238" i="17"/>
  <c r="I236" i="17"/>
  <c r="F235" i="17"/>
  <c r="D234" i="17"/>
  <c r="I232" i="17"/>
  <c r="G231" i="17"/>
  <c r="F230" i="17"/>
  <c r="E229" i="17"/>
  <c r="D228" i="17"/>
  <c r="I225" i="17"/>
  <c r="H224" i="17"/>
  <c r="G223" i="17"/>
  <c r="F222" i="17"/>
  <c r="E221" i="17"/>
  <c r="D220" i="17"/>
  <c r="I217" i="17"/>
  <c r="H216" i="17"/>
  <c r="G215" i="17"/>
  <c r="F214" i="17"/>
  <c r="E213" i="17"/>
  <c r="D212" i="17"/>
  <c r="I209" i="17"/>
  <c r="H208" i="17"/>
  <c r="G207" i="17"/>
  <c r="F206" i="17"/>
  <c r="E205" i="17"/>
  <c r="D204" i="17"/>
  <c r="I201" i="17"/>
  <c r="H200" i="17"/>
  <c r="G199" i="17"/>
  <c r="F198" i="17"/>
  <c r="E197" i="17"/>
  <c r="D196" i="17"/>
  <c r="I193" i="17"/>
  <c r="H192" i="17"/>
  <c r="G191" i="17"/>
  <c r="F190" i="17"/>
  <c r="E189" i="17"/>
  <c r="D188" i="17"/>
  <c r="I185" i="17"/>
  <c r="H184" i="17"/>
  <c r="G183" i="17"/>
  <c r="F182" i="17"/>
  <c r="E181" i="17"/>
  <c r="D180" i="17"/>
  <c r="I177" i="17"/>
  <c r="H176" i="17"/>
  <c r="G175" i="17"/>
  <c r="F174" i="17"/>
  <c r="E173" i="17"/>
  <c r="D172" i="17"/>
  <c r="I169" i="17"/>
  <c r="H168" i="17"/>
  <c r="G167" i="17"/>
  <c r="F166" i="17"/>
  <c r="E165" i="17"/>
  <c r="D164" i="17"/>
  <c r="I161" i="17"/>
  <c r="H160" i="17"/>
  <c r="G159" i="17"/>
  <c r="F158" i="17"/>
  <c r="E157" i="17"/>
  <c r="D156" i="17"/>
  <c r="I153" i="17"/>
  <c r="H152" i="17"/>
  <c r="G151" i="17"/>
  <c r="F150" i="17"/>
  <c r="E149" i="17"/>
  <c r="D148" i="17"/>
  <c r="I145" i="17"/>
  <c r="H144" i="17"/>
  <c r="G143" i="17"/>
  <c r="F142" i="17"/>
  <c r="E141" i="17"/>
  <c r="D140" i="17"/>
  <c r="I357" i="17"/>
  <c r="D349" i="17"/>
  <c r="H332" i="17"/>
  <c r="I317" i="17"/>
  <c r="D304" i="17"/>
  <c r="I296" i="17"/>
  <c r="I283" i="17"/>
  <c r="G277" i="17"/>
  <c r="I271" i="17"/>
  <c r="H266" i="17"/>
  <c r="F261" i="17"/>
  <c r="E256" i="17"/>
  <c r="H245" i="17"/>
  <c r="G240" i="17"/>
  <c r="E235" i="17"/>
  <c r="E230" i="17"/>
  <c r="H225" i="17"/>
  <c r="D221" i="17"/>
  <c r="G216" i="17"/>
  <c r="F207" i="17"/>
  <c r="I202" i="17"/>
  <c r="E198" i="17"/>
  <c r="H193" i="17"/>
  <c r="D189" i="17"/>
  <c r="G184" i="17"/>
  <c r="F175" i="17"/>
  <c r="I170" i="17"/>
  <c r="E166" i="17"/>
  <c r="D162" i="17"/>
  <c r="E159" i="17"/>
  <c r="D150" i="17"/>
  <c r="I146" i="17"/>
  <c r="I143" i="17"/>
  <c r="H138" i="17"/>
  <c r="H136" i="17"/>
  <c r="D135" i="17"/>
  <c r="D133" i="17"/>
  <c r="E131" i="17"/>
  <c r="G129" i="17"/>
  <c r="H127" i="17"/>
  <c r="E126" i="17"/>
  <c r="I124" i="17"/>
  <c r="D123" i="17"/>
  <c r="I121" i="17"/>
  <c r="G120" i="17"/>
  <c r="E119" i="17"/>
  <c r="I116" i="17"/>
  <c r="H115" i="17"/>
  <c r="G114" i="17"/>
  <c r="F113" i="17"/>
  <c r="E112" i="17"/>
  <c r="D111" i="17"/>
  <c r="I108" i="17"/>
  <c r="H107" i="17"/>
  <c r="G106" i="17"/>
  <c r="F105" i="17"/>
  <c r="E104" i="17"/>
  <c r="D103" i="17"/>
  <c r="I100" i="17"/>
  <c r="H99" i="17"/>
  <c r="G98" i="17"/>
  <c r="F97" i="17"/>
  <c r="E96" i="17"/>
  <c r="D95" i="17"/>
  <c r="H357" i="17"/>
  <c r="H340" i="17"/>
  <c r="D332" i="17"/>
  <c r="I324" i="17"/>
  <c r="H317" i="17"/>
  <c r="I310" i="17"/>
  <c r="H296" i="17"/>
  <c r="I289" i="17"/>
  <c r="H283" i="17"/>
  <c r="F277" i="17"/>
  <c r="H271" i="17"/>
  <c r="G266" i="17"/>
  <c r="E261" i="17"/>
  <c r="I250" i="17"/>
  <c r="G245" i="17"/>
  <c r="F240" i="17"/>
  <c r="D235" i="17"/>
  <c r="D230" i="17"/>
  <c r="G225" i="17"/>
  <c r="F216" i="17"/>
  <c r="I211" i="17"/>
  <c r="E207" i="17"/>
  <c r="H202" i="17"/>
  <c r="D198" i="17"/>
  <c r="G193" i="17"/>
  <c r="F184" i="17"/>
  <c r="I179" i="17"/>
  <c r="E175" i="17"/>
  <c r="H170" i="17"/>
  <c r="D166" i="17"/>
  <c r="H161" i="17"/>
  <c r="H158" i="17"/>
  <c r="I155" i="17"/>
  <c r="G152" i="17"/>
  <c r="G149" i="17"/>
  <c r="H146" i="17"/>
  <c r="F143" i="17"/>
  <c r="F140" i="17"/>
  <c r="G138" i="17"/>
  <c r="G136" i="17"/>
  <c r="H134" i="17"/>
  <c r="F129" i="17"/>
  <c r="G127" i="17"/>
  <c r="D126" i="17"/>
  <c r="F124" i="17"/>
  <c r="H121" i="17"/>
  <c r="F120" i="17"/>
  <c r="D119" i="17"/>
  <c r="I117" i="17"/>
  <c r="H116" i="17"/>
  <c r="G115" i="17"/>
  <c r="F114" i="17"/>
  <c r="E113" i="17"/>
  <c r="D112" i="17"/>
  <c r="I109" i="17"/>
  <c r="H108" i="17"/>
  <c r="G107" i="17"/>
  <c r="F106" i="17"/>
  <c r="E105" i="17"/>
  <c r="D104" i="17"/>
  <c r="I101" i="17"/>
  <c r="H100" i="17"/>
  <c r="G99" i="17"/>
  <c r="F98" i="17"/>
  <c r="E97" i="17"/>
  <c r="D96" i="17"/>
  <c r="G355" i="17"/>
  <c r="D347" i="17"/>
  <c r="H338" i="17"/>
  <c r="G330" i="17"/>
  <c r="D316" i="17"/>
  <c r="E309" i="17"/>
  <c r="D302" i="17"/>
  <c r="E295" i="17"/>
  <c r="F288" i="17"/>
  <c r="D282" i="17"/>
  <c r="D276" i="17"/>
  <c r="G270" i="17"/>
  <c r="F265" i="17"/>
  <c r="D260" i="17"/>
  <c r="I254" i="17"/>
  <c r="H249" i="17"/>
  <c r="F244" i="17"/>
  <c r="E239" i="17"/>
  <c r="D229" i="17"/>
  <c r="G224" i="17"/>
  <c r="F215" i="17"/>
  <c r="I210" i="17"/>
  <c r="E206" i="17"/>
  <c r="H201" i="17"/>
  <c r="D197" i="17"/>
  <c r="G192" i="17"/>
  <c r="F183" i="17"/>
  <c r="I178" i="17"/>
  <c r="E174" i="17"/>
  <c r="H169" i="17"/>
  <c r="D165" i="17"/>
  <c r="G161" i="17"/>
  <c r="E158" i="17"/>
  <c r="E155" i="17"/>
  <c r="F152" i="17"/>
  <c r="D149" i="17"/>
  <c r="D146" i="17"/>
  <c r="E143" i="17"/>
  <c r="D138" i="17"/>
  <c r="F136" i="17"/>
  <c r="F134" i="17"/>
  <c r="I132" i="17"/>
  <c r="I130" i="17"/>
  <c r="F127" i="17"/>
  <c r="E124" i="17"/>
  <c r="I122" i="17"/>
  <c r="G121" i="17"/>
  <c r="E120" i="17"/>
  <c r="H117" i="17"/>
  <c r="G116" i="17"/>
  <c r="F115" i="17"/>
  <c r="E114" i="17"/>
  <c r="D113" i="17"/>
  <c r="I110" i="17"/>
  <c r="H109" i="17"/>
  <c r="G108" i="17"/>
  <c r="F107" i="17"/>
  <c r="E106" i="17"/>
  <c r="D105" i="17"/>
  <c r="I102" i="17"/>
  <c r="H101" i="17"/>
  <c r="G100" i="17"/>
  <c r="F99" i="17"/>
  <c r="E98" i="17"/>
  <c r="D97" i="17"/>
  <c r="B102" i="17"/>
  <c r="B110" i="17"/>
  <c r="B118" i="17"/>
  <c r="B126" i="17"/>
  <c r="B134" i="17"/>
  <c r="B142" i="17"/>
  <c r="B150" i="17"/>
  <c r="B158" i="17"/>
  <c r="B166" i="17"/>
  <c r="B174" i="17"/>
  <c r="B182" i="17"/>
  <c r="B190" i="17"/>
  <c r="B198" i="17"/>
  <c r="B206" i="17"/>
  <c r="B214" i="17"/>
  <c r="B222" i="17"/>
  <c r="B230" i="17"/>
  <c r="B238" i="17"/>
  <c r="B246" i="17"/>
  <c r="B254" i="17"/>
  <c r="B262" i="17"/>
  <c r="B270" i="17"/>
  <c r="B278" i="17"/>
  <c r="B286" i="17"/>
  <c r="B294" i="17"/>
  <c r="B302" i="17"/>
  <c r="B310" i="17"/>
  <c r="B318" i="17"/>
  <c r="B326" i="17"/>
  <c r="B334" i="17"/>
  <c r="B342" i="17"/>
  <c r="B350" i="17"/>
  <c r="B358" i="17"/>
  <c r="B103" i="17"/>
  <c r="B111" i="17"/>
  <c r="B127" i="17"/>
  <c r="B143" i="17"/>
  <c r="B159" i="17"/>
  <c r="B175" i="17"/>
  <c r="B191" i="17"/>
  <c r="B207" i="17"/>
  <c r="B223" i="17"/>
  <c r="B239" i="17"/>
  <c r="B263" i="17"/>
  <c r="B279" i="17"/>
  <c r="B295" i="17"/>
  <c r="B311" i="17"/>
  <c r="B327" i="17"/>
  <c r="B351" i="17"/>
  <c r="F355" i="17"/>
  <c r="G338" i="17"/>
  <c r="E330" i="17"/>
  <c r="I322" i="17"/>
  <c r="D309" i="17"/>
  <c r="D295" i="17"/>
  <c r="E288" i="17"/>
  <c r="F270" i="17"/>
  <c r="D265" i="17"/>
  <c r="H254" i="17"/>
  <c r="G249" i="17"/>
  <c r="E244" i="17"/>
  <c r="D239" i="17"/>
  <c r="I233" i="17"/>
  <c r="F224" i="17"/>
  <c r="I219" i="17"/>
  <c r="E215" i="17"/>
  <c r="H210" i="17"/>
  <c r="D206" i="17"/>
  <c r="G201" i="17"/>
  <c r="F192" i="17"/>
  <c r="I187" i="17"/>
  <c r="E183" i="17"/>
  <c r="H178" i="17"/>
  <c r="D174" i="17"/>
  <c r="G169" i="17"/>
  <c r="D158" i="17"/>
  <c r="I154" i="17"/>
  <c r="I151" i="17"/>
  <c r="H145" i="17"/>
  <c r="H142" i="17"/>
  <c r="I139" i="17"/>
  <c r="I137" i="17"/>
  <c r="E136" i="17"/>
  <c r="E134" i="17"/>
  <c r="F132" i="17"/>
  <c r="H130" i="17"/>
  <c r="H128" i="17"/>
  <c r="E127" i="17"/>
  <c r="G125" i="17"/>
  <c r="D124" i="17"/>
  <c r="H122" i="17"/>
  <c r="F121" i="17"/>
  <c r="D120" i="17"/>
  <c r="H118" i="17"/>
  <c r="G117" i="17"/>
  <c r="F116" i="17"/>
  <c r="E115" i="17"/>
  <c r="D114" i="17"/>
  <c r="I111" i="17"/>
  <c r="H110" i="17"/>
  <c r="G109" i="17"/>
  <c r="F108" i="17"/>
  <c r="E107" i="17"/>
  <c r="D106" i="17"/>
  <c r="I103" i="17"/>
  <c r="H102" i="17"/>
  <c r="G101" i="17"/>
  <c r="F100" i="17"/>
  <c r="E99" i="17"/>
  <c r="D98" i="17"/>
  <c r="I95" i="17"/>
  <c r="B95" i="17"/>
  <c r="B119" i="17"/>
  <c r="B135" i="17"/>
  <c r="B151" i="17"/>
  <c r="B167" i="17"/>
  <c r="B183" i="17"/>
  <c r="B199" i="17"/>
  <c r="B215" i="17"/>
  <c r="B231" i="17"/>
  <c r="B247" i="17"/>
  <c r="B255" i="17"/>
  <c r="B271" i="17"/>
  <c r="B287" i="17"/>
  <c r="B303" i="17"/>
  <c r="B319" i="17"/>
  <c r="B335" i="17"/>
  <c r="B343" i="17"/>
  <c r="G353" i="17"/>
  <c r="D345" i="17"/>
  <c r="H336" i="17"/>
  <c r="E328" i="17"/>
  <c r="F321" i="17"/>
  <c r="G314" i="17"/>
  <c r="F307" i="17"/>
  <c r="G300" i="17"/>
  <c r="H293" i="17"/>
  <c r="H286" i="17"/>
  <c r="H280" i="17"/>
  <c r="H274" i="17"/>
  <c r="E269" i="17"/>
  <c r="I258" i="17"/>
  <c r="G253" i="17"/>
  <c r="F248" i="17"/>
  <c r="D243" i="17"/>
  <c r="H232" i="17"/>
  <c r="F223" i="17"/>
  <c r="I218" i="17"/>
  <c r="E214" i="17"/>
  <c r="H209" i="17"/>
  <c r="D205" i="17"/>
  <c r="G200" i="17"/>
  <c r="F191" i="17"/>
  <c r="I186" i="17"/>
  <c r="E182" i="17"/>
  <c r="H177" i="17"/>
  <c r="D173" i="17"/>
  <c r="G168" i="17"/>
  <c r="G160" i="17"/>
  <c r="G157" i="17"/>
  <c r="H154" i="17"/>
  <c r="F151" i="17"/>
  <c r="F148" i="17"/>
  <c r="G145" i="17"/>
  <c r="E142" i="17"/>
  <c r="H139" i="17"/>
  <c r="H137" i="17"/>
  <c r="I135" i="17"/>
  <c r="D134" i="17"/>
  <c r="D132" i="17"/>
  <c r="G130" i="17"/>
  <c r="G128" i="17"/>
  <c r="D127" i="17"/>
  <c r="F125" i="17"/>
  <c r="G122" i="17"/>
  <c r="E121" i="17"/>
  <c r="I119" i="17"/>
  <c r="G118" i="17"/>
  <c r="F117" i="17"/>
  <c r="E116" i="17"/>
  <c r="D115" i="17"/>
  <c r="I112" i="17"/>
  <c r="H111" i="17"/>
  <c r="G110" i="17"/>
  <c r="F109" i="17"/>
  <c r="E108" i="17"/>
  <c r="D107" i="17"/>
  <c r="I104" i="17"/>
  <c r="H103" i="17"/>
  <c r="G102" i="17"/>
  <c r="F101" i="17"/>
  <c r="E100" i="17"/>
  <c r="D99" i="17"/>
  <c r="I96" i="17"/>
  <c r="H95" i="17"/>
  <c r="F351" i="17"/>
  <c r="D343" i="17"/>
  <c r="G334" i="17"/>
  <c r="G326" i="17"/>
  <c r="H319" i="17"/>
  <c r="G312" i="17"/>
  <c r="H305" i="17"/>
  <c r="I298" i="17"/>
  <c r="H291" i="17"/>
  <c r="E285" i="17"/>
  <c r="E279" i="17"/>
  <c r="D273" i="17"/>
  <c r="H262" i="17"/>
  <c r="G257" i="17"/>
  <c r="E252" i="17"/>
  <c r="D247" i="17"/>
  <c r="I241" i="17"/>
  <c r="G236" i="17"/>
  <c r="F231" i="17"/>
  <c r="I226" i="17"/>
  <c r="E222" i="17"/>
  <c r="H217" i="17"/>
  <c r="D213" i="17"/>
  <c r="G208" i="17"/>
  <c r="F199" i="17"/>
  <c r="I194" i="17"/>
  <c r="E190" i="17"/>
  <c r="H185" i="17"/>
  <c r="D181" i="17"/>
  <c r="G176" i="17"/>
  <c r="F167" i="17"/>
  <c r="I162" i="17"/>
  <c r="I159" i="17"/>
  <c r="H153" i="17"/>
  <c r="H150" i="17"/>
  <c r="I147" i="17"/>
  <c r="G144" i="17"/>
  <c r="G141" i="17"/>
  <c r="F137" i="17"/>
  <c r="F135" i="17"/>
  <c r="G133" i="17"/>
  <c r="I131" i="17"/>
  <c r="I129" i="17"/>
  <c r="E128" i="17"/>
  <c r="G126" i="17"/>
  <c r="D125" i="17"/>
  <c r="H123" i="17"/>
  <c r="D122" i="17"/>
  <c r="I120" i="17"/>
  <c r="G119" i="17"/>
  <c r="E118" i="17"/>
  <c r="D117" i="17"/>
  <c r="I114" i="17"/>
  <c r="H113" i="17"/>
  <c r="G112" i="17"/>
  <c r="F111" i="17"/>
  <c r="E110" i="17"/>
  <c r="D109" i="17"/>
  <c r="I106" i="17"/>
  <c r="H105" i="17"/>
  <c r="G104" i="17"/>
  <c r="F103" i="17"/>
  <c r="E102" i="17"/>
  <c r="D101" i="17"/>
  <c r="I98" i="17"/>
  <c r="H97" i="17"/>
  <c r="G96" i="17"/>
  <c r="F95" i="17"/>
  <c r="B98" i="17"/>
  <c r="D351" i="17"/>
  <c r="G342" i="17"/>
  <c r="F334" i="17"/>
  <c r="F326" i="17"/>
  <c r="G319" i="17"/>
  <c r="F312" i="17"/>
  <c r="G305" i="17"/>
  <c r="H298" i="17"/>
  <c r="G291" i="17"/>
  <c r="D285" i="17"/>
  <c r="D279" i="17"/>
  <c r="I267" i="17"/>
  <c r="G262" i="17"/>
  <c r="F257" i="17"/>
  <c r="D252" i="17"/>
  <c r="I246" i="17"/>
  <c r="H241" i="17"/>
  <c r="F236" i="17"/>
  <c r="E231" i="17"/>
  <c r="H226" i="17"/>
  <c r="D222" i="17"/>
  <c r="G217" i="17"/>
  <c r="F208" i="17"/>
  <c r="I203" i="17"/>
  <c r="E199" i="17"/>
  <c r="G336" i="17"/>
  <c r="G280" i="17"/>
  <c r="H237" i="17"/>
  <c r="F200" i="17"/>
  <c r="H162" i="17"/>
  <c r="E150" i="17"/>
  <c r="I138" i="17"/>
  <c r="H131" i="17"/>
  <c r="F119" i="17"/>
  <c r="H114" i="17"/>
  <c r="D110" i="17"/>
  <c r="G105" i="17"/>
  <c r="F96" i="17"/>
  <c r="B105" i="17"/>
  <c r="B115" i="17"/>
  <c r="B125" i="17"/>
  <c r="B137" i="17"/>
  <c r="B147" i="17"/>
  <c r="B157" i="17"/>
  <c r="B169" i="17"/>
  <c r="B179" i="17"/>
  <c r="B189" i="17"/>
  <c r="B201" i="17"/>
  <c r="B211" i="17"/>
  <c r="B221" i="17"/>
  <c r="B233" i="17"/>
  <c r="B243" i="17"/>
  <c r="B253" i="17"/>
  <c r="B265" i="17"/>
  <c r="B275" i="17"/>
  <c r="B285" i="17"/>
  <c r="B297" i="17"/>
  <c r="B307" i="17"/>
  <c r="B317" i="17"/>
  <c r="B329" i="17"/>
  <c r="B339" i="17"/>
  <c r="B349" i="17"/>
  <c r="D328" i="17"/>
  <c r="G274" i="17"/>
  <c r="G232" i="17"/>
  <c r="I195" i="17"/>
  <c r="G177" i="17"/>
  <c r="F160" i="17"/>
  <c r="G137" i="17"/>
  <c r="D130" i="17"/>
  <c r="I123" i="17"/>
  <c r="F118" i="17"/>
  <c r="I113" i="17"/>
  <c r="E109" i="17"/>
  <c r="H104" i="17"/>
  <c r="D100" i="17"/>
  <c r="G95" i="17"/>
  <c r="B106" i="17"/>
  <c r="B116" i="17"/>
  <c r="B128" i="17"/>
  <c r="B138" i="17"/>
  <c r="B148" i="17"/>
  <c r="B160" i="17"/>
  <c r="B170" i="17"/>
  <c r="B180" i="17"/>
  <c r="B192" i="17"/>
  <c r="B202" i="17"/>
  <c r="B212" i="17"/>
  <c r="B224" i="17"/>
  <c r="B234" i="17"/>
  <c r="B244" i="17"/>
  <c r="B256" i="17"/>
  <c r="B266" i="17"/>
  <c r="B276" i="17"/>
  <c r="B288" i="17"/>
  <c r="B298" i="17"/>
  <c r="B308" i="17"/>
  <c r="B320" i="17"/>
  <c r="B330" i="17"/>
  <c r="B340" i="17"/>
  <c r="B352" i="17"/>
  <c r="B186" i="17"/>
  <c r="B260" i="17"/>
  <c r="B304" i="17"/>
  <c r="B346" i="17"/>
  <c r="B187" i="17"/>
  <c r="B219" i="17"/>
  <c r="B261" i="17"/>
  <c r="B315" i="17"/>
  <c r="B357" i="17"/>
  <c r="B328" i="17"/>
  <c r="E321" i="17"/>
  <c r="D269" i="17"/>
  <c r="I227" i="17"/>
  <c r="H194" i="17"/>
  <c r="F176" i="17"/>
  <c r="F159" i="17"/>
  <c r="E147" i="17"/>
  <c r="H129" i="17"/>
  <c r="E123" i="17"/>
  <c r="D118" i="17"/>
  <c r="G113" i="17"/>
  <c r="F104" i="17"/>
  <c r="I99" i="17"/>
  <c r="E95" i="17"/>
  <c r="B96" i="17"/>
  <c r="B107" i="17"/>
  <c r="B117" i="17"/>
  <c r="B129" i="17"/>
  <c r="B139" i="17"/>
  <c r="B149" i="17"/>
  <c r="B161" i="17"/>
  <c r="B171" i="17"/>
  <c r="B181" i="17"/>
  <c r="B193" i="17"/>
  <c r="B203" i="17"/>
  <c r="B213" i="17"/>
  <c r="B225" i="17"/>
  <c r="B235" i="17"/>
  <c r="B245" i="17"/>
  <c r="B257" i="17"/>
  <c r="B267" i="17"/>
  <c r="B277" i="17"/>
  <c r="B289" i="17"/>
  <c r="B299" i="17"/>
  <c r="B309" i="17"/>
  <c r="B321" i="17"/>
  <c r="B331" i="17"/>
  <c r="B341" i="17"/>
  <c r="B353" i="17"/>
  <c r="B97" i="17"/>
  <c r="B120" i="17"/>
  <c r="B140" i="17"/>
  <c r="B162" i="17"/>
  <c r="B184" i="17"/>
  <c r="B204" i="17"/>
  <c r="B226" i="17"/>
  <c r="B248" i="17"/>
  <c r="B268" i="17"/>
  <c r="B290" i="17"/>
  <c r="B300" i="17"/>
  <c r="B322" i="17"/>
  <c r="B354" i="17"/>
  <c r="B132" i="17"/>
  <c r="B196" i="17"/>
  <c r="B240" i="17"/>
  <c r="B292" i="17"/>
  <c r="B356" i="17"/>
  <c r="B197" i="17"/>
  <c r="B251" i="17"/>
  <c r="B305" i="17"/>
  <c r="B284" i="17"/>
  <c r="B348" i="17"/>
  <c r="F314" i="17"/>
  <c r="I263" i="17"/>
  <c r="E223" i="17"/>
  <c r="E191" i="17"/>
  <c r="D157" i="17"/>
  <c r="G135" i="17"/>
  <c r="F128" i="17"/>
  <c r="F122" i="17"/>
  <c r="E117" i="17"/>
  <c r="H112" i="17"/>
  <c r="D108" i="17"/>
  <c r="G103" i="17"/>
  <c r="B108" i="17"/>
  <c r="B130" i="17"/>
  <c r="B152" i="17"/>
  <c r="B172" i="17"/>
  <c r="B194" i="17"/>
  <c r="B216" i="17"/>
  <c r="B236" i="17"/>
  <c r="B258" i="17"/>
  <c r="B280" i="17"/>
  <c r="B312" i="17"/>
  <c r="B332" i="17"/>
  <c r="B344" i="17"/>
  <c r="B122" i="17"/>
  <c r="B164" i="17"/>
  <c r="B218" i="17"/>
  <c r="B272" i="17"/>
  <c r="B324" i="17"/>
  <c r="B155" i="17"/>
  <c r="B241" i="17"/>
  <c r="B293" i="17"/>
  <c r="B325" i="17"/>
  <c r="B306" i="17"/>
  <c r="D307" i="17"/>
  <c r="H258" i="17"/>
  <c r="H218" i="17"/>
  <c r="D190" i="17"/>
  <c r="I171" i="17"/>
  <c r="F156" i="17"/>
  <c r="F144" i="17"/>
  <c r="E135" i="17"/>
  <c r="I127" i="17"/>
  <c r="F112" i="17"/>
  <c r="I107" i="17"/>
  <c r="E103" i="17"/>
  <c r="H98" i="17"/>
  <c r="B99" i="17"/>
  <c r="B109" i="17"/>
  <c r="B121" i="17"/>
  <c r="B131" i="17"/>
  <c r="B141" i="17"/>
  <c r="B153" i="17"/>
  <c r="B163" i="17"/>
  <c r="B173" i="17"/>
  <c r="B185" i="17"/>
  <c r="B195" i="17"/>
  <c r="B205" i="17"/>
  <c r="B217" i="17"/>
  <c r="B227" i="17"/>
  <c r="B237" i="17"/>
  <c r="B249" i="17"/>
  <c r="B259" i="17"/>
  <c r="B269" i="17"/>
  <c r="B281" i="17"/>
  <c r="B291" i="17"/>
  <c r="B301" i="17"/>
  <c r="B313" i="17"/>
  <c r="B323" i="17"/>
  <c r="B333" i="17"/>
  <c r="B345" i="17"/>
  <c r="B355" i="17"/>
  <c r="I97" i="17"/>
  <c r="B100" i="17"/>
  <c r="B144" i="17"/>
  <c r="B176" i="17"/>
  <c r="B228" i="17"/>
  <c r="B282" i="17"/>
  <c r="B336" i="17"/>
  <c r="B177" i="17"/>
  <c r="B229" i="17"/>
  <c r="B283" i="17"/>
  <c r="B337" i="17"/>
  <c r="B296" i="17"/>
  <c r="E300" i="17"/>
  <c r="F253" i="17"/>
  <c r="D214" i="17"/>
  <c r="H186" i="17"/>
  <c r="F168" i="17"/>
  <c r="D154" i="17"/>
  <c r="D142" i="17"/>
  <c r="H126" i="17"/>
  <c r="D116" i="17"/>
  <c r="G111" i="17"/>
  <c r="F102" i="17"/>
  <c r="B112" i="17"/>
  <c r="B154" i="17"/>
  <c r="B208" i="17"/>
  <c r="B250" i="17"/>
  <c r="B314" i="17"/>
  <c r="B165" i="17"/>
  <c r="B209" i="17"/>
  <c r="B273" i="17"/>
  <c r="B347" i="17"/>
  <c r="B338" i="17"/>
  <c r="D353" i="17"/>
  <c r="F293" i="17"/>
  <c r="E248" i="17"/>
  <c r="G209" i="17"/>
  <c r="G185" i="17"/>
  <c r="E167" i="17"/>
  <c r="G153" i="17"/>
  <c r="D141" i="17"/>
  <c r="E133" i="17"/>
  <c r="F126" i="17"/>
  <c r="H120" i="17"/>
  <c r="I115" i="17"/>
  <c r="E111" i="17"/>
  <c r="H106" i="17"/>
  <c r="D102" i="17"/>
  <c r="G97" i="17"/>
  <c r="B101" i="17"/>
  <c r="B113" i="17"/>
  <c r="B123" i="17"/>
  <c r="B133" i="17"/>
  <c r="B145" i="17"/>
  <c r="I344" i="17"/>
  <c r="G286" i="17"/>
  <c r="D182" i="17"/>
  <c r="I163" i="17"/>
  <c r="E151" i="17"/>
  <c r="E139" i="17"/>
  <c r="E125" i="17"/>
  <c r="H119" i="17"/>
  <c r="F110" i="17"/>
  <c r="I105" i="17"/>
  <c r="E101" i="17"/>
  <c r="H96" i="17"/>
  <c r="B104" i="17"/>
  <c r="B114" i="17"/>
  <c r="B124" i="17"/>
  <c r="B136" i="17"/>
  <c r="B146" i="17"/>
  <c r="B156" i="17"/>
  <c r="B168" i="17"/>
  <c r="B178" i="17"/>
  <c r="B188" i="17"/>
  <c r="B200" i="17"/>
  <c r="B210" i="17"/>
  <c r="B220" i="17"/>
  <c r="B232" i="17"/>
  <c r="B242" i="17"/>
  <c r="B252" i="17"/>
  <c r="B264" i="17"/>
  <c r="B274" i="17"/>
  <c r="B316" i="17"/>
  <c r="I1" i="17"/>
  <c r="H1" i="17"/>
  <c r="C10" i="6"/>
  <c r="W88" i="17" l="1"/>
  <c r="U86" i="17"/>
  <c r="U41" i="17"/>
  <c r="W8" i="17"/>
  <c r="W32" i="17"/>
  <c r="W35" i="17"/>
  <c r="W61" i="17"/>
  <c r="T25" i="17"/>
  <c r="T38" i="17"/>
  <c r="T50" i="17"/>
  <c r="T55" i="17"/>
  <c r="X29" i="17"/>
  <c r="X33" i="17"/>
  <c r="X14" i="17"/>
  <c r="X22" i="17"/>
  <c r="X40" i="17"/>
  <c r="X48" i="17"/>
  <c r="X58" i="17"/>
  <c r="X57" i="17"/>
  <c r="X59" i="17"/>
  <c r="X84" i="17"/>
  <c r="X86" i="17"/>
  <c r="V9" i="17"/>
  <c r="V27" i="17"/>
  <c r="V47" i="17"/>
  <c r="V54" i="17"/>
  <c r="V62" i="17"/>
  <c r="V71" i="17"/>
  <c r="V78" i="17"/>
  <c r="V88" i="17"/>
  <c r="R13" i="17"/>
  <c r="R15" i="17"/>
  <c r="R23" i="17"/>
  <c r="R26" i="17"/>
  <c r="R30" i="17"/>
  <c r="R39" i="17"/>
  <c r="R36" i="17"/>
  <c r="R41" i="17"/>
  <c r="R53" i="17"/>
  <c r="AO7" i="7"/>
  <c r="U10" i="17"/>
  <c r="U15" i="17"/>
  <c r="U18" i="17"/>
  <c r="U29" i="17"/>
  <c r="U57" i="17"/>
  <c r="S57" i="17"/>
  <c r="U58" i="17"/>
  <c r="S23" i="17"/>
  <c r="S67" i="17"/>
  <c r="T13" i="17"/>
  <c r="X62" i="17"/>
  <c r="V69" i="17"/>
  <c r="W77" i="17"/>
  <c r="X37" i="17"/>
  <c r="X81" i="17"/>
  <c r="V12" i="17"/>
  <c r="V80" i="17"/>
  <c r="R45" i="17"/>
  <c r="R64" i="17"/>
  <c r="W11" i="17"/>
  <c r="W24" i="17"/>
  <c r="W12" i="17"/>
  <c r="W28" i="17"/>
  <c r="W17" i="17"/>
  <c r="W49" i="17"/>
  <c r="W50" i="17"/>
  <c r="W58" i="17"/>
  <c r="W67" i="17"/>
  <c r="W75" i="17"/>
  <c r="W94" i="17"/>
  <c r="T9" i="17"/>
  <c r="T19" i="17"/>
  <c r="T29" i="17"/>
  <c r="T32" i="17"/>
  <c r="T41" i="17"/>
  <c r="T42" i="17"/>
  <c r="T45" i="17"/>
  <c r="T44" i="17"/>
  <c r="T63" i="17"/>
  <c r="T73" i="17"/>
  <c r="T81" i="17"/>
  <c r="T94" i="17"/>
  <c r="T89" i="17"/>
  <c r="X8" i="17"/>
  <c r="X12" i="17"/>
  <c r="X25" i="17"/>
  <c r="X18" i="17"/>
  <c r="X46" i="17"/>
  <c r="X42" i="17"/>
  <c r="X49" i="17"/>
  <c r="X50" i="17"/>
  <c r="X60" i="17"/>
  <c r="X63" i="17"/>
  <c r="X66" i="17"/>
  <c r="X82" i="17"/>
  <c r="X77" i="17"/>
  <c r="V19" i="17"/>
  <c r="V39" i="17"/>
  <c r="V44" i="17"/>
  <c r="V52" i="17"/>
  <c r="V76" i="17"/>
  <c r="V90" i="17"/>
  <c r="V89" i="17"/>
  <c r="V91" i="17"/>
  <c r="R9" i="17"/>
  <c r="R12" i="17"/>
  <c r="R19" i="17"/>
  <c r="R34" i="17"/>
  <c r="R44" i="17"/>
  <c r="R46" i="17"/>
  <c r="AO19" i="7"/>
  <c r="AO13" i="7"/>
  <c r="AO8" i="7"/>
  <c r="R58" i="17"/>
  <c r="R66" i="17"/>
  <c r="R69" i="17"/>
  <c r="U22" i="17"/>
  <c r="U25" i="17"/>
  <c r="U60" i="17"/>
  <c r="U55" i="17"/>
  <c r="U63" i="17"/>
  <c r="U88" i="17"/>
  <c r="S18" i="17"/>
  <c r="S29" i="17"/>
  <c r="S34" i="17"/>
  <c r="S42" i="17"/>
  <c r="S51" i="17"/>
  <c r="S45" i="17"/>
  <c r="S49" i="17"/>
  <c r="S56" i="17"/>
  <c r="S69" i="17"/>
  <c r="S78" i="17"/>
  <c r="S91" i="17"/>
  <c r="W21" i="17"/>
  <c r="W18" i="17"/>
  <c r="W54" i="17"/>
  <c r="W68" i="17"/>
  <c r="W63" i="17"/>
  <c r="W89" i="17"/>
  <c r="T10" i="17"/>
  <c r="T20" i="17"/>
  <c r="T33" i="17"/>
  <c r="T37" i="17"/>
  <c r="T52" i="17"/>
  <c r="T47" i="17"/>
  <c r="T67" i="17"/>
  <c r="T74" i="17"/>
  <c r="T83" i="17"/>
  <c r="T90" i="17"/>
  <c r="X30" i="17"/>
  <c r="X19" i="17"/>
  <c r="X35" i="17"/>
  <c r="X34" i="17"/>
  <c r="X44" i="17"/>
  <c r="X52" i="17"/>
  <c r="X65" i="17"/>
  <c r="X74" i="17"/>
  <c r="X91" i="17"/>
  <c r="V20" i="17"/>
  <c r="V41" i="17"/>
  <c r="V48" i="17"/>
  <c r="V59" i="17"/>
  <c r="V61" i="17"/>
  <c r="V65" i="17"/>
  <c r="V84" i="17"/>
  <c r="V81" i="17"/>
  <c r="R10" i="17"/>
  <c r="R37" i="17"/>
  <c r="AO15" i="7"/>
  <c r="R54" i="17"/>
  <c r="AO10" i="7"/>
  <c r="R70" i="17"/>
  <c r="R76" i="17"/>
  <c r="R80" i="17"/>
  <c r="R92" i="17"/>
  <c r="U7" i="17"/>
  <c r="U23" i="17"/>
  <c r="U36" i="17"/>
  <c r="U26" i="17"/>
  <c r="U35" i="17"/>
  <c r="BP24" i="7" s="1"/>
  <c r="U39" i="17"/>
  <c r="U48" i="17"/>
  <c r="U56" i="17"/>
  <c r="U64" i="17"/>
  <c r="U67" i="17"/>
  <c r="BP56" i="7" s="1"/>
  <c r="U69" i="17"/>
  <c r="U89" i="17"/>
  <c r="S19" i="17"/>
  <c r="S40" i="17"/>
  <c r="S46" i="17"/>
  <c r="S68" i="17"/>
  <c r="S71" i="17"/>
  <c r="S75" i="17"/>
  <c r="W41" i="17"/>
  <c r="W14" i="17"/>
  <c r="W30" i="17"/>
  <c r="W13" i="17"/>
  <c r="W19" i="17"/>
  <c r="W48" i="17"/>
  <c r="W46" i="17"/>
  <c r="W55" i="17"/>
  <c r="W59" i="17"/>
  <c r="W69" i="17"/>
  <c r="W71" i="17"/>
  <c r="W64" i="17"/>
  <c r="W76" i="17"/>
  <c r="W85" i="17"/>
  <c r="W82" i="17"/>
  <c r="W90" i="17"/>
  <c r="T11" i="17"/>
  <c r="T21" i="17"/>
  <c r="T34" i="17"/>
  <c r="T36" i="17"/>
  <c r="T40" i="17"/>
  <c r="T48" i="17"/>
  <c r="T65" i="17"/>
  <c r="T75" i="17"/>
  <c r="T77" i="17"/>
  <c r="T86" i="17"/>
  <c r="X27" i="17"/>
  <c r="X31" i="17"/>
  <c r="X20" i="17"/>
  <c r="X36" i="17"/>
  <c r="X39" i="17"/>
  <c r="X45" i="17"/>
  <c r="X53" i="17"/>
  <c r="X55" i="17"/>
  <c r="X69" i="17"/>
  <c r="X87" i="17"/>
  <c r="V7" i="17"/>
  <c r="V21" i="17"/>
  <c r="V25" i="17"/>
  <c r="V37" i="17"/>
  <c r="V46" i="17"/>
  <c r="V64" i="17"/>
  <c r="V79" i="17"/>
  <c r="V85" i="17"/>
  <c r="R11" i="17"/>
  <c r="R21" i="17"/>
  <c r="R55" i="17"/>
  <c r="AO12" i="7"/>
  <c r="R59" i="17"/>
  <c r="R71" i="17"/>
  <c r="R87" i="17"/>
  <c r="R85" i="17"/>
  <c r="U8" i="17"/>
  <c r="U16" i="17"/>
  <c r="U24" i="17"/>
  <c r="U27" i="17"/>
  <c r="BP16" i="7" s="1"/>
  <c r="U40" i="17"/>
  <c r="U37" i="17"/>
  <c r="U50" i="17"/>
  <c r="U52" i="17"/>
  <c r="U76" i="17"/>
  <c r="U65" i="17"/>
  <c r="U70" i="17"/>
  <c r="U75" i="17"/>
  <c r="BP64" i="7" s="1"/>
  <c r="U93" i="17"/>
  <c r="U90" i="17"/>
  <c r="S11" i="17"/>
  <c r="S20" i="17"/>
  <c r="S47" i="17"/>
  <c r="S59" i="17"/>
  <c r="S72" i="17"/>
  <c r="S79" i="17"/>
  <c r="W15" i="17"/>
  <c r="W7" i="17"/>
  <c r="W31" i="17"/>
  <c r="W20" i="17"/>
  <c r="W39" i="17"/>
  <c r="W51" i="17"/>
  <c r="W56" i="17"/>
  <c r="W53" i="17"/>
  <c r="W65" i="17"/>
  <c r="W79" i="17"/>
  <c r="W83" i="17"/>
  <c r="T12" i="17"/>
  <c r="T14" i="17"/>
  <c r="T22" i="17"/>
  <c r="T54" i="17"/>
  <c r="T58" i="17"/>
  <c r="T76" i="17"/>
  <c r="T80" i="17"/>
  <c r="T84" i="17"/>
  <c r="X28" i="17"/>
  <c r="X32" i="17"/>
  <c r="X21" i="17"/>
  <c r="X41" i="17"/>
  <c r="X56" i="17"/>
  <c r="X64" i="17"/>
  <c r="X70" i="17"/>
  <c r="X76" i="17"/>
  <c r="X75" i="17"/>
  <c r="X88" i="17"/>
  <c r="X85" i="17"/>
  <c r="V13" i="17"/>
  <c r="V8" i="17"/>
  <c r="V30" i="17"/>
  <c r="V14" i="17"/>
  <c r="V22" i="17"/>
  <c r="V26" i="17"/>
  <c r="V43" i="17"/>
  <c r="V51" i="17"/>
  <c r="V70" i="17"/>
  <c r="V82" i="17"/>
  <c r="V86" i="17"/>
  <c r="R14" i="17"/>
  <c r="R22" i="17"/>
  <c r="R25" i="17"/>
  <c r="R42" i="17"/>
  <c r="R50" i="17"/>
  <c r="R48" i="17"/>
  <c r="R56" i="17"/>
  <c r="AO16" i="7"/>
  <c r="R60" i="17"/>
  <c r="R67" i="17"/>
  <c r="R72" i="17"/>
  <c r="R94" i="17"/>
  <c r="R88" i="17"/>
  <c r="R86" i="17"/>
  <c r="U9" i="17"/>
  <c r="U30" i="17"/>
  <c r="U17" i="17"/>
  <c r="U28" i="17"/>
  <c r="U42" i="17"/>
  <c r="U51" i="17"/>
  <c r="BP40" i="7" s="1"/>
  <c r="U79" i="17"/>
  <c r="U66" i="17"/>
  <c r="U71" i="17"/>
  <c r="U80" i="17"/>
  <c r="U94" i="17"/>
  <c r="S15" i="17"/>
  <c r="S13" i="17"/>
  <c r="S21" i="17"/>
  <c r="S43" i="17"/>
  <c r="S60" i="17"/>
  <c r="S73" i="17"/>
  <c r="T43" i="17"/>
  <c r="T68" i="17"/>
  <c r="T69" i="17"/>
  <c r="X71" i="17"/>
  <c r="V15" i="17"/>
  <c r="V23" i="17"/>
  <c r="R49" i="17"/>
  <c r="R73" i="17"/>
  <c r="R89" i="17"/>
  <c r="S7" i="17"/>
  <c r="S22" i="17"/>
  <c r="S25" i="17"/>
  <c r="S30" i="17"/>
  <c r="S37" i="17"/>
  <c r="S48" i="17"/>
  <c r="S63" i="17"/>
  <c r="S74" i="17"/>
  <c r="S85" i="17"/>
  <c r="S87" i="17"/>
  <c r="W22" i="17"/>
  <c r="W62" i="17"/>
  <c r="W78" i="17"/>
  <c r="W80" i="17"/>
  <c r="T16" i="17"/>
  <c r="T24" i="17"/>
  <c r="T56" i="17"/>
  <c r="T70" i="17"/>
  <c r="T91" i="17"/>
  <c r="X9" i="17"/>
  <c r="X68" i="17"/>
  <c r="X72" i="17"/>
  <c r="X90" i="17"/>
  <c r="X92" i="17"/>
  <c r="V32" i="17"/>
  <c r="V16" i="17"/>
  <c r="V24" i="17"/>
  <c r="V28" i="17"/>
  <c r="V35" i="17"/>
  <c r="V36" i="17"/>
  <c r="V58" i="17"/>
  <c r="V75" i="17"/>
  <c r="V66" i="17"/>
  <c r="V72" i="17"/>
  <c r="V77" i="17"/>
  <c r="V92" i="17"/>
  <c r="R29" i="17"/>
  <c r="R40" i="17"/>
  <c r="R81" i="17"/>
  <c r="R90" i="17"/>
  <c r="U11" i="17"/>
  <c r="U19" i="17"/>
  <c r="BP8" i="7" s="1"/>
  <c r="U43" i="17"/>
  <c r="U49" i="17"/>
  <c r="U53" i="17"/>
  <c r="U77" i="17"/>
  <c r="U81" i="17"/>
  <c r="S14" i="17"/>
  <c r="S26" i="17"/>
  <c r="S31" i="17"/>
  <c r="S38" i="17"/>
  <c r="S50" i="17"/>
  <c r="S44" i="17"/>
  <c r="S58" i="17"/>
  <c r="S64" i="17"/>
  <c r="S80" i="17"/>
  <c r="S84" i="17"/>
  <c r="S88" i="17"/>
  <c r="W10" i="17"/>
  <c r="W26" i="17"/>
  <c r="W23" i="17"/>
  <c r="W42" i="17"/>
  <c r="W44" i="17"/>
  <c r="W60" i="17"/>
  <c r="W52" i="17"/>
  <c r="W66" i="17"/>
  <c r="W70" i="17"/>
  <c r="W91" i="17"/>
  <c r="W92" i="17"/>
  <c r="T17" i="17"/>
  <c r="T27" i="17"/>
  <c r="T30" i="17"/>
  <c r="T46" i="17"/>
  <c r="T49" i="17"/>
  <c r="T64" i="17"/>
  <c r="T71" i="17"/>
  <c r="T82" i="17"/>
  <c r="T92" i="17"/>
  <c r="T87" i="17"/>
  <c r="X10" i="17"/>
  <c r="X16" i="17"/>
  <c r="X24" i="17"/>
  <c r="X43" i="17"/>
  <c r="X47" i="17"/>
  <c r="X67" i="17"/>
  <c r="X73" i="17"/>
  <c r="X79" i="17"/>
  <c r="X93" i="17"/>
  <c r="V11" i="17"/>
  <c r="V33" i="17"/>
  <c r="V17" i="17"/>
  <c r="V29" i="17"/>
  <c r="V38" i="17"/>
  <c r="V56" i="17"/>
  <c r="V73" i="17"/>
  <c r="V83" i="17"/>
  <c r="V93" i="17"/>
  <c r="R7" i="17"/>
  <c r="R17" i="17"/>
  <c r="R28" i="17"/>
  <c r="R32" i="17"/>
  <c r="AO5" i="7"/>
  <c r="AO14" i="7"/>
  <c r="R63" i="17"/>
  <c r="R68" i="17"/>
  <c r="R82" i="17"/>
  <c r="R75" i="17"/>
  <c r="R84" i="17"/>
  <c r="R91" i="17"/>
  <c r="U14" i="17"/>
  <c r="U12" i="17"/>
  <c r="U33" i="17"/>
  <c r="U13" i="17"/>
  <c r="U20" i="17"/>
  <c r="U38" i="17"/>
  <c r="U46" i="17"/>
  <c r="U61" i="17"/>
  <c r="U74" i="17"/>
  <c r="U78" i="17"/>
  <c r="U91" i="17"/>
  <c r="S16" i="17"/>
  <c r="S24" i="17"/>
  <c r="S27" i="17"/>
  <c r="S32" i="17"/>
  <c r="S36" i="17"/>
  <c r="S54" i="17"/>
  <c r="S65" i="17"/>
  <c r="S89" i="17"/>
  <c r="W16" i="17"/>
  <c r="W38" i="17"/>
  <c r="W74" i="17"/>
  <c r="W84" i="17"/>
  <c r="W81" i="17"/>
  <c r="W87" i="17"/>
  <c r="W93" i="17"/>
  <c r="T7" i="17"/>
  <c r="T18" i="17"/>
  <c r="T28" i="17"/>
  <c r="T31" i="17"/>
  <c r="T39" i="17"/>
  <c r="T60" i="17"/>
  <c r="T53" i="17"/>
  <c r="T62" i="17"/>
  <c r="T72" i="17"/>
  <c r="T85" i="17"/>
  <c r="T79" i="17"/>
  <c r="T93" i="17"/>
  <c r="T88" i="17"/>
  <c r="X7" i="17"/>
  <c r="X11" i="17"/>
  <c r="X17" i="17"/>
  <c r="X51" i="17"/>
  <c r="X94" i="17"/>
  <c r="V18" i="17"/>
  <c r="V50" i="17"/>
  <c r="V45" i="17"/>
  <c r="V57" i="17"/>
  <c r="V74" i="17"/>
  <c r="V63" i="17"/>
  <c r="V67" i="17"/>
  <c r="V87" i="17"/>
  <c r="V94" i="17"/>
  <c r="R8" i="17"/>
  <c r="R18" i="17"/>
  <c r="R33" i="17"/>
  <c r="R51" i="17"/>
  <c r="R43" i="17"/>
  <c r="AO4" i="7"/>
  <c r="R57" i="17"/>
  <c r="R61" i="17"/>
  <c r="R52" i="17"/>
  <c r="AO11" i="7"/>
  <c r="R65" i="17"/>
  <c r="U21" i="17"/>
  <c r="U44" i="17"/>
  <c r="U47" i="17"/>
  <c r="U45" i="17"/>
  <c r="U54" i="17"/>
  <c r="U62" i="17"/>
  <c r="U68" i="17"/>
  <c r="U82" i="17"/>
  <c r="U87" i="17"/>
  <c r="S10" i="17"/>
  <c r="S17" i="17"/>
  <c r="S28" i="17"/>
  <c r="S33" i="17"/>
  <c r="S55" i="17"/>
  <c r="S81" i="17"/>
  <c r="S76" i="17"/>
  <c r="S90" i="17"/>
  <c r="S86" i="17"/>
  <c r="B7" i="17"/>
  <c r="I7" i="17"/>
  <c r="H7" i="17"/>
  <c r="G7" i="17"/>
  <c r="E7" i="17"/>
  <c r="F7" i="17"/>
  <c r="D7" i="17"/>
  <c r="C11" i="6"/>
  <c r="C12" i="6" l="1"/>
  <c r="C13" i="6" l="1"/>
  <c r="C14" i="6" l="1"/>
  <c r="C15" i="6" l="1"/>
  <c r="C16" i="6" l="1"/>
  <c r="C17" i="6" l="1"/>
  <c r="C18" i="6" l="1"/>
  <c r="C19" i="6" l="1"/>
  <c r="C20" i="6" l="1"/>
  <c r="C21" i="6" l="1"/>
  <c r="C22" i="6" l="1"/>
  <c r="C23" i="6" l="1"/>
  <c r="C24" i="6" l="1"/>
  <c r="C25" i="6" l="1"/>
  <c r="C26" i="6" l="1"/>
  <c r="C27" i="6" l="1"/>
  <c r="C28" i="6" l="1"/>
  <c r="C29" i="6" l="1"/>
  <c r="C30" i="6" l="1"/>
  <c r="C31" i="6" l="1"/>
  <c r="C32" i="6" l="1"/>
  <c r="C33" i="6" l="1"/>
  <c r="C34" i="6" l="1"/>
  <c r="C35" i="6" l="1"/>
  <c r="C36" i="6" l="1"/>
  <c r="C37" i="6" l="1"/>
  <c r="C38" i="6" l="1"/>
  <c r="C39" i="6" l="1"/>
  <c r="C40" i="6" l="1"/>
  <c r="C41" i="6" l="1"/>
  <c r="C42" i="6" l="1"/>
  <c r="C43" i="6" l="1"/>
  <c r="C44" i="6" l="1"/>
  <c r="C45" i="6" l="1"/>
  <c r="C46" i="6" l="1"/>
  <c r="C47" i="6" l="1"/>
  <c r="C48" i="6" l="1"/>
  <c r="C49" i="6" l="1"/>
  <c r="C50" i="6" l="1"/>
  <c r="C51" i="6" l="1"/>
  <c r="C52" i="6" l="1"/>
  <c r="C53" i="6" l="1"/>
  <c r="C54" i="6" l="1"/>
  <c r="C55" i="6" l="1"/>
  <c r="C56" i="6" l="1"/>
  <c r="C57" i="6" l="1"/>
  <c r="C58" i="6" l="1"/>
  <c r="C59" i="6" l="1"/>
  <c r="C60" i="6" l="1"/>
  <c r="C61" i="6" l="1"/>
  <c r="C62" i="6" l="1"/>
  <c r="C63" i="6" l="1"/>
  <c r="C64" i="6" l="1"/>
  <c r="C65" i="6" l="1"/>
  <c r="C66" i="6" l="1"/>
  <c r="C67" i="6" l="1"/>
  <c r="C68" i="6" l="1"/>
  <c r="C69" i="6" l="1"/>
  <c r="C70" i="6" l="1"/>
  <c r="C71" i="6" l="1"/>
  <c r="C72" i="6" l="1"/>
  <c r="C73" i="6" l="1"/>
  <c r="C74" i="6" l="1"/>
  <c r="C75" i="6" l="1"/>
  <c r="C76" i="6" l="1"/>
  <c r="C77" i="6" l="1"/>
  <c r="C78" i="6" l="1"/>
  <c r="C79" i="6" l="1"/>
  <c r="C80" i="6" l="1"/>
  <c r="C81" i="6" l="1"/>
  <c r="C82" i="6" l="1"/>
  <c r="B25" i="17" l="1"/>
  <c r="BC14" i="7" s="1"/>
  <c r="C83" i="6"/>
  <c r="C84" i="6" l="1"/>
  <c r="C85" i="6" l="1"/>
  <c r="C86" i="6" l="1"/>
  <c r="C87" i="6" l="1"/>
  <c r="C88" i="6" l="1"/>
  <c r="C89" i="6" l="1"/>
  <c r="C90" i="6" l="1"/>
  <c r="I27" i="17" l="1"/>
  <c r="C91" i="6"/>
  <c r="C92" i="6" l="1"/>
  <c r="C93" i="6" l="1"/>
  <c r="C94" i="6" l="1"/>
  <c r="C95" i="6" l="1"/>
  <c r="C96" i="6" l="1"/>
  <c r="C97" i="6" l="1"/>
  <c r="C98" i="6" l="1"/>
  <c r="C99" i="6" l="1"/>
  <c r="C100" i="6" l="1"/>
  <c r="C101" i="6" l="1"/>
  <c r="C102" i="6" l="1"/>
  <c r="C103" i="6" l="1"/>
  <c r="C104" i="6" l="1"/>
  <c r="C105" i="6" l="1"/>
  <c r="C106" i="6" l="1"/>
  <c r="C107" i="6" l="1"/>
  <c r="C108" i="6" l="1"/>
  <c r="C109" i="6" l="1"/>
  <c r="C110" i="6" l="1"/>
  <c r="C111" i="6" l="1"/>
  <c r="C112" i="6" l="1"/>
  <c r="C113" i="6" l="1"/>
  <c r="C114" i="6" l="1"/>
  <c r="C115" i="6" l="1"/>
  <c r="C116" i="6" l="1"/>
  <c r="C117" i="6" l="1"/>
  <c r="C118" i="6" l="1"/>
  <c r="C119" i="6" l="1"/>
  <c r="C120" i="6" l="1"/>
  <c r="C121" i="6" l="1"/>
  <c r="C122" i="6" l="1"/>
  <c r="C123" i="6" l="1"/>
  <c r="C124" i="6" l="1"/>
  <c r="C125" i="6" l="1"/>
  <c r="C126" i="6" l="1"/>
  <c r="C127" i="6" l="1"/>
  <c r="C128" i="6" l="1"/>
  <c r="C129" i="6" l="1"/>
  <c r="C130" i="6" l="1"/>
  <c r="C131" i="6" l="1"/>
  <c r="C132" i="6" l="1"/>
  <c r="C133" i="6" l="1"/>
  <c r="C134" i="6" l="1"/>
  <c r="C135" i="6" l="1"/>
  <c r="C136" i="6" l="1"/>
  <c r="C137" i="6" l="1"/>
  <c r="C138" i="6" l="1"/>
  <c r="C139" i="6" l="1"/>
  <c r="C140" i="6" l="1"/>
  <c r="C141" i="6" l="1"/>
  <c r="C142" i="6" l="1"/>
  <c r="C143" i="6" l="1"/>
  <c r="C144" i="6" l="1"/>
  <c r="C145" i="6" l="1"/>
  <c r="C146" i="6" l="1"/>
  <c r="C147" i="6" l="1"/>
  <c r="C148" i="6" l="1"/>
  <c r="C149" i="6" l="1"/>
  <c r="C150" i="6" l="1"/>
  <c r="C151" i="6" l="1"/>
  <c r="C152" i="6" l="1"/>
  <c r="C153" i="6" l="1"/>
  <c r="C154" i="6" l="1"/>
  <c r="C155" i="6" l="1"/>
  <c r="C156" i="6" l="1"/>
  <c r="C157" i="6" l="1"/>
  <c r="C158" i="6" l="1"/>
  <c r="C159" i="6" l="1"/>
  <c r="C160" i="6" l="1"/>
  <c r="C161" i="6" l="1"/>
  <c r="C162" i="6" l="1"/>
  <c r="C163" i="6" l="1"/>
  <c r="C164" i="6" l="1"/>
  <c r="C165" i="6" l="1"/>
  <c r="C166" i="6" l="1"/>
  <c r="C167" i="6" l="1"/>
  <c r="C168" i="6" l="1"/>
  <c r="C169" i="6" l="1"/>
  <c r="C170" i="6" l="1"/>
  <c r="C171" i="6" l="1"/>
  <c r="C172" i="6" l="1"/>
  <c r="C173" i="6" l="1"/>
  <c r="C174" i="6" l="1"/>
  <c r="C175" i="6" l="1"/>
  <c r="C176" i="6" l="1"/>
  <c r="C177" i="6" l="1"/>
  <c r="C178" i="6" l="1"/>
  <c r="C179" i="6" l="1"/>
  <c r="C180" i="6" l="1"/>
  <c r="C181" i="6" l="1"/>
  <c r="C182" i="6" l="1"/>
  <c r="C183" i="6" l="1"/>
  <c r="C184" i="6" l="1"/>
  <c r="C185" i="6" l="1"/>
  <c r="C186" i="6" l="1"/>
  <c r="C187" i="6" l="1"/>
  <c r="C188" i="6" l="1"/>
  <c r="C189" i="6" l="1"/>
  <c r="C190" i="6" l="1"/>
  <c r="C191" i="6" l="1"/>
  <c r="C192" i="6" l="1"/>
  <c r="C193" i="6" l="1"/>
  <c r="C194" i="6" l="1"/>
  <c r="C195" i="6" l="1"/>
  <c r="C196" i="6" l="1"/>
  <c r="C197" i="6" l="1"/>
  <c r="C198" i="6" l="1"/>
  <c r="C199" i="6" l="1"/>
  <c r="C200" i="6" l="1"/>
  <c r="C201" i="6" l="1"/>
  <c r="C202" i="6" l="1"/>
  <c r="C203" i="6" l="1"/>
  <c r="C204" i="6" l="1"/>
  <c r="C205" i="6" l="1"/>
  <c r="C206" i="6" l="1"/>
  <c r="C207" i="6" l="1"/>
  <c r="N4" i="7" l="1"/>
  <c r="C4" i="7"/>
  <c r="C208" i="6"/>
  <c r="M4" i="7" l="1"/>
  <c r="O4" i="7" s="1"/>
  <c r="B4" i="7"/>
  <c r="E4" i="7" s="1"/>
  <c r="N5" i="7"/>
  <c r="M5" i="7"/>
  <c r="C5" i="7"/>
  <c r="B5" i="7"/>
  <c r="C209" i="6"/>
  <c r="E5" i="7" l="1"/>
  <c r="O5" i="7"/>
  <c r="N6" i="7"/>
  <c r="M6" i="7"/>
  <c r="C6" i="7"/>
  <c r="B6" i="7"/>
  <c r="C210" i="6"/>
  <c r="O6" i="7" l="1"/>
  <c r="E6" i="7"/>
  <c r="N7" i="7"/>
  <c r="M7" i="7"/>
  <c r="C7" i="7"/>
  <c r="B7" i="7"/>
  <c r="C211" i="6"/>
  <c r="O7" i="7" l="1"/>
  <c r="B57" i="17"/>
  <c r="BC46" i="7" s="1"/>
  <c r="E57" i="17"/>
  <c r="E7" i="7"/>
  <c r="N8" i="7"/>
  <c r="C8" i="7"/>
  <c r="C212" i="6"/>
  <c r="B8" i="7" l="1"/>
  <c r="E8" i="7" s="1"/>
  <c r="M8" i="7"/>
  <c r="O8" i="7" s="1"/>
  <c r="N9" i="7"/>
  <c r="M9" i="7"/>
  <c r="B9" i="7"/>
  <c r="C9" i="7"/>
  <c r="C213" i="6"/>
  <c r="O9" i="7" l="1"/>
  <c r="E9" i="7"/>
  <c r="N10" i="7"/>
  <c r="M10" i="7"/>
  <c r="C10" i="7"/>
  <c r="B10" i="7"/>
  <c r="C214" i="6"/>
  <c r="E10" i="7" l="1"/>
  <c r="O10" i="7"/>
  <c r="N11" i="7"/>
  <c r="M11" i="7"/>
  <c r="C11" i="7"/>
  <c r="B11" i="7"/>
  <c r="C215" i="6"/>
  <c r="O11" i="7" l="1"/>
  <c r="B58" i="17"/>
  <c r="BC47" i="7" s="1"/>
  <c r="BF47" i="7" s="1"/>
  <c r="E58" i="17"/>
  <c r="E11" i="7"/>
  <c r="N12" i="7"/>
  <c r="C216" i="6"/>
  <c r="M12" i="7" l="1"/>
  <c r="O12" i="7" s="1"/>
  <c r="H11" i="7"/>
  <c r="B12" i="7"/>
  <c r="I11" i="7"/>
  <c r="C12" i="7"/>
  <c r="AJ12" i="7"/>
  <c r="AJ4" i="7"/>
  <c r="AJ5" i="7"/>
  <c r="AJ6" i="7"/>
  <c r="AJ7" i="7"/>
  <c r="AJ8" i="7"/>
  <c r="AJ9" i="7"/>
  <c r="AJ10" i="7"/>
  <c r="AI12" i="7"/>
  <c r="AI4" i="7"/>
  <c r="AI5" i="7"/>
  <c r="AI6" i="7"/>
  <c r="AI7" i="7"/>
  <c r="AK7" i="7" s="1"/>
  <c r="AI8" i="7"/>
  <c r="AK8" i="7" s="1"/>
  <c r="AI9" i="7"/>
  <c r="AK9" i="7" s="1"/>
  <c r="AI10" i="7"/>
  <c r="AK10" i="7" s="1"/>
  <c r="AI11" i="7"/>
  <c r="AJ11" i="7"/>
  <c r="AI13" i="7"/>
  <c r="AJ13" i="7"/>
  <c r="AE12" i="7"/>
  <c r="AE4" i="7"/>
  <c r="AE5" i="7"/>
  <c r="AE6" i="7"/>
  <c r="AE7" i="7"/>
  <c r="AE8" i="7"/>
  <c r="AE9" i="7"/>
  <c r="AE10" i="7"/>
  <c r="AD12" i="7"/>
  <c r="AF12" i="7" s="1"/>
  <c r="AD4" i="7"/>
  <c r="AD5" i="7"/>
  <c r="AD6" i="7"/>
  <c r="AD7" i="7"/>
  <c r="AD8" i="7"/>
  <c r="AD9" i="7"/>
  <c r="AD10" i="7"/>
  <c r="AD11" i="7"/>
  <c r="AE11" i="7"/>
  <c r="AD13" i="7"/>
  <c r="AE13" i="7"/>
  <c r="R12" i="7"/>
  <c r="R4" i="7"/>
  <c r="R5" i="7"/>
  <c r="R6" i="7"/>
  <c r="R7" i="7"/>
  <c r="R8" i="7"/>
  <c r="R9" i="7"/>
  <c r="R10" i="7"/>
  <c r="S12" i="7"/>
  <c r="S4" i="7"/>
  <c r="S5" i="7"/>
  <c r="S6" i="7"/>
  <c r="S7" i="7"/>
  <c r="S8" i="7"/>
  <c r="S9" i="7"/>
  <c r="S10" i="7"/>
  <c r="H12" i="7"/>
  <c r="H4" i="7"/>
  <c r="H5" i="7"/>
  <c r="H6" i="7"/>
  <c r="H7" i="7"/>
  <c r="H8" i="7"/>
  <c r="H9" i="7"/>
  <c r="H10" i="7"/>
  <c r="I12" i="7"/>
  <c r="I4" i="7"/>
  <c r="I5" i="7"/>
  <c r="I6" i="7"/>
  <c r="I7" i="7"/>
  <c r="I8" i="7"/>
  <c r="I9" i="7"/>
  <c r="I10" i="7"/>
  <c r="S11" i="7"/>
  <c r="R11" i="7"/>
  <c r="C217" i="6"/>
  <c r="AK12" i="7" l="1"/>
  <c r="AK4" i="7"/>
  <c r="AF9" i="7"/>
  <c r="AK6" i="7"/>
  <c r="AK5" i="7"/>
  <c r="AK13" i="7"/>
  <c r="S13" i="7"/>
  <c r="N13" i="7"/>
  <c r="H13" i="7"/>
  <c r="B13" i="7"/>
  <c r="I13" i="7"/>
  <c r="C13" i="7"/>
  <c r="R13" i="7"/>
  <c r="M13" i="7"/>
  <c r="E12" i="7"/>
  <c r="J11" i="7"/>
  <c r="AF11" i="7"/>
  <c r="T6" i="7"/>
  <c r="J10" i="7"/>
  <c r="AK11" i="7"/>
  <c r="AI14" i="7"/>
  <c r="AJ14" i="7"/>
  <c r="T11" i="7"/>
  <c r="T7" i="7"/>
  <c r="J7" i="7"/>
  <c r="T5" i="7"/>
  <c r="AD14" i="7"/>
  <c r="AE14" i="7"/>
  <c r="J9" i="7"/>
  <c r="AF10" i="7"/>
  <c r="AF6" i="7"/>
  <c r="J8" i="7"/>
  <c r="AF13" i="7"/>
  <c r="T10" i="7"/>
  <c r="J6" i="7"/>
  <c r="T9" i="7"/>
  <c r="AF5" i="7"/>
  <c r="J5" i="7"/>
  <c r="AF8" i="7"/>
  <c r="T4" i="7"/>
  <c r="J4" i="7"/>
  <c r="T8" i="7"/>
  <c r="AF4" i="7"/>
  <c r="J12" i="7"/>
  <c r="AF7" i="7"/>
  <c r="T12" i="7"/>
  <c r="C218" i="6"/>
  <c r="J13" i="7" l="1"/>
  <c r="T13" i="7"/>
  <c r="H14" i="7"/>
  <c r="B14" i="7"/>
  <c r="R14" i="7"/>
  <c r="M14" i="7"/>
  <c r="O14" i="7" s="1"/>
  <c r="E13" i="7"/>
  <c r="I14" i="7"/>
  <c r="J14" i="7" s="1"/>
  <c r="C14" i="7"/>
  <c r="S14" i="7"/>
  <c r="N14" i="7"/>
  <c r="O13" i="7"/>
  <c r="AK14" i="7"/>
  <c r="AI15" i="7"/>
  <c r="AJ15" i="7"/>
  <c r="AF14" i="7"/>
  <c r="AD15" i="7"/>
  <c r="AE15" i="7"/>
  <c r="C219" i="6"/>
  <c r="T14" i="7" l="1"/>
  <c r="H15" i="7"/>
  <c r="B15" i="7"/>
  <c r="I15" i="7"/>
  <c r="C15" i="7"/>
  <c r="R15" i="7"/>
  <c r="M15" i="7"/>
  <c r="S15" i="7"/>
  <c r="N15" i="7"/>
  <c r="E14" i="7"/>
  <c r="AF15" i="7"/>
  <c r="AK15" i="7"/>
  <c r="AJ16" i="7"/>
  <c r="AE16" i="7"/>
  <c r="C220" i="6"/>
  <c r="J15" i="7" l="1"/>
  <c r="AD16" i="7"/>
  <c r="T15" i="7"/>
  <c r="AI16" i="7"/>
  <c r="I16" i="7"/>
  <c r="C16" i="7"/>
  <c r="H16" i="7"/>
  <c r="B16" i="7"/>
  <c r="O15" i="7"/>
  <c r="R16" i="7"/>
  <c r="M16" i="7"/>
  <c r="S16" i="7"/>
  <c r="T16" i="7" s="1"/>
  <c r="N16" i="7"/>
  <c r="E15" i="7"/>
  <c r="AF16" i="7"/>
  <c r="AK16" i="7"/>
  <c r="AI17" i="7"/>
  <c r="AJ17" i="7"/>
  <c r="AD17" i="7"/>
  <c r="AE17" i="7"/>
  <c r="C221" i="6"/>
  <c r="J16" i="7" l="1"/>
  <c r="E16" i="7"/>
  <c r="O16" i="7"/>
  <c r="I17" i="7"/>
  <c r="C17" i="7"/>
  <c r="H17" i="7"/>
  <c r="J17" i="7" s="1"/>
  <c r="B17" i="7"/>
  <c r="E17" i="7" s="1"/>
  <c r="S17" i="7"/>
  <c r="N17" i="7"/>
  <c r="R17" i="7"/>
  <c r="M17" i="7"/>
  <c r="AF17" i="7"/>
  <c r="AK17" i="7"/>
  <c r="AI18" i="7"/>
  <c r="AJ18" i="7"/>
  <c r="AD18" i="7"/>
  <c r="AE18" i="7"/>
  <c r="C222" i="6"/>
  <c r="O17" i="7" l="1"/>
  <c r="T17" i="7"/>
  <c r="H18" i="7"/>
  <c r="B18" i="7"/>
  <c r="I18" i="7"/>
  <c r="C18" i="7"/>
  <c r="S18" i="7"/>
  <c r="N18" i="7"/>
  <c r="R18" i="7"/>
  <c r="M18" i="7"/>
  <c r="AF18" i="7"/>
  <c r="AK18" i="7"/>
  <c r="AI19" i="7"/>
  <c r="AJ19" i="7"/>
  <c r="AD19" i="7"/>
  <c r="AE19" i="7"/>
  <c r="C223" i="6"/>
  <c r="O18" i="7" l="1"/>
  <c r="J18" i="7"/>
  <c r="H60" i="17"/>
  <c r="T18" i="7"/>
  <c r="I60" i="17"/>
  <c r="I19" i="7"/>
  <c r="C19" i="7"/>
  <c r="H19" i="7"/>
  <c r="B19" i="7"/>
  <c r="R19" i="7"/>
  <c r="M19" i="7"/>
  <c r="E18" i="7"/>
  <c r="S19" i="7"/>
  <c r="N19" i="7"/>
  <c r="AF19" i="7"/>
  <c r="AK19" i="7"/>
  <c r="C224" i="6"/>
  <c r="E19" i="7" l="1"/>
  <c r="T19" i="7"/>
  <c r="O19" i="7"/>
  <c r="J19" i="7"/>
  <c r="C225" i="6"/>
  <c r="C226" i="6" l="1"/>
  <c r="C227" i="6" l="1"/>
  <c r="C228" i="6" l="1"/>
  <c r="C229" i="6" l="1"/>
  <c r="C230" i="6" l="1"/>
  <c r="C231" i="6" l="1"/>
  <c r="C232" i="6" l="1"/>
  <c r="C233" i="6" l="1"/>
  <c r="C234" i="6" l="1"/>
  <c r="C235" i="6" l="1"/>
  <c r="C236" i="6" l="1"/>
  <c r="C237" i="6" l="1"/>
  <c r="C238" i="6" l="1"/>
  <c r="C239" i="6" l="1"/>
  <c r="C240" i="6" l="1"/>
  <c r="C241" i="6" l="1"/>
  <c r="C242" i="6" l="1"/>
  <c r="C243" i="6" l="1"/>
  <c r="C244" i="6" l="1"/>
  <c r="C245" i="6" l="1"/>
  <c r="C246" i="6" l="1"/>
  <c r="C247" i="6" l="1"/>
  <c r="C248" i="6" l="1"/>
  <c r="C249" i="6" l="1"/>
  <c r="C250" i="6" l="1"/>
  <c r="C251" i="6" l="1"/>
  <c r="C252" i="6" l="1"/>
  <c r="C253" i="6" l="1"/>
  <c r="C254" i="6" l="1"/>
  <c r="C255" i="6" l="1"/>
  <c r="C256" i="6" l="1"/>
  <c r="C257" i="6" l="1"/>
  <c r="C258" i="6" l="1"/>
  <c r="C259" i="6" l="1"/>
  <c r="C260" i="6" l="1"/>
  <c r="C261" i="6" l="1"/>
  <c r="C262" i="6" l="1"/>
  <c r="C263" i="6" l="1"/>
  <c r="C264" i="6" l="1"/>
  <c r="C265" i="6" l="1"/>
  <c r="C266" i="6" l="1"/>
  <c r="C267" i="6" l="1"/>
  <c r="C268" i="6" l="1"/>
  <c r="C269" i="6" l="1"/>
  <c r="C270" i="6" l="1"/>
  <c r="C271" i="6" l="1"/>
  <c r="C272" i="6" l="1"/>
  <c r="C273" i="6" l="1"/>
  <c r="C274" i="6" l="1"/>
  <c r="C275" i="6" l="1"/>
  <c r="C276" i="6" l="1"/>
  <c r="C277" i="6" l="1"/>
  <c r="C278" i="6" l="1"/>
  <c r="C279" i="6" l="1"/>
  <c r="C280" i="6" l="1"/>
  <c r="C281" i="6" l="1"/>
  <c r="C282" i="6" l="1"/>
  <c r="C283" i="6" l="1"/>
  <c r="C284" i="6" l="1"/>
  <c r="C285" i="6" l="1"/>
  <c r="C286" i="6" l="1"/>
  <c r="C287" i="6" l="1"/>
  <c r="C288" i="6" l="1"/>
  <c r="C289" i="6" l="1"/>
  <c r="C290" i="6" l="1"/>
  <c r="C291" i="6" l="1"/>
  <c r="C292" i="6" l="1"/>
  <c r="C293" i="6" l="1"/>
  <c r="C294" i="6" l="1"/>
  <c r="C295" i="6" l="1"/>
  <c r="C296" i="6" l="1"/>
  <c r="C297" i="6" l="1"/>
  <c r="C298" i="6" l="1"/>
  <c r="C299" i="6" l="1"/>
  <c r="C300" i="6" l="1"/>
  <c r="C301" i="6" l="1"/>
  <c r="C302" i="6" l="1"/>
  <c r="C303" i="6" l="1"/>
  <c r="C304" i="6" l="1"/>
  <c r="C305" i="6" l="1"/>
  <c r="C306" i="6" l="1"/>
  <c r="C307" i="6" l="1"/>
  <c r="C308" i="6" l="1"/>
  <c r="C309" i="6" l="1"/>
  <c r="C310" i="6" l="1"/>
  <c r="C311" i="6" l="1"/>
  <c r="C312" i="6" l="1"/>
  <c r="C313" i="6" l="1"/>
  <c r="C314" i="6" l="1"/>
  <c r="C315" i="6" l="1"/>
  <c r="C316" i="6" l="1"/>
  <c r="C317" i="6" l="1"/>
  <c r="C318" i="6" l="1"/>
  <c r="C319" i="6" l="1"/>
  <c r="C320" i="6" l="1"/>
  <c r="C321" i="6" l="1"/>
  <c r="C322" i="6" l="1"/>
  <c r="C323" i="6" l="1"/>
  <c r="C324" i="6" l="1"/>
  <c r="C325" i="6" l="1"/>
  <c r="C326" i="6" l="1"/>
  <c r="C327" i="6" l="1"/>
  <c r="C328" i="6" l="1"/>
  <c r="C329" i="6" l="1"/>
  <c r="C330" i="6" l="1"/>
  <c r="C331" i="6" l="1"/>
  <c r="C332" i="6" l="1"/>
  <c r="C333" i="6" l="1"/>
  <c r="C334" i="6" l="1"/>
  <c r="C335" i="6" l="1"/>
  <c r="C336" i="6" l="1"/>
  <c r="C337" i="6" l="1"/>
  <c r="C338" i="6" l="1"/>
  <c r="C339" i="6" l="1"/>
  <c r="C340" i="6" l="1"/>
  <c r="C341" i="6" l="1"/>
  <c r="C342" i="6" l="1"/>
  <c r="C343" i="6" l="1"/>
  <c r="C344" i="6" l="1"/>
  <c r="C345" i="6" l="1"/>
  <c r="C346" i="6" l="1"/>
  <c r="C347" i="6" l="1"/>
  <c r="C348" i="6" l="1"/>
  <c r="C349" i="6" l="1"/>
  <c r="C350" i="6" l="1"/>
  <c r="C351" i="6" l="1"/>
  <c r="C352" i="6" l="1"/>
  <c r="C353" i="6" l="1"/>
  <c r="C354" i="6" l="1"/>
  <c r="C355" i="6" l="1"/>
  <c r="C356" i="6" l="1"/>
  <c r="C357" i="6" l="1"/>
  <c r="C358" i="6" l="1"/>
  <c r="C6" i="6" l="1"/>
  <c r="H8" i="17" l="1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B8" i="17"/>
  <c r="B9" i="17"/>
  <c r="B10" i="17"/>
  <c r="B11" i="17"/>
  <c r="B12" i="17"/>
  <c r="B13" i="17"/>
  <c r="B14" i="17"/>
  <c r="BC3" i="7" s="1"/>
  <c r="B15" i="17"/>
  <c r="BC4" i="7" s="1"/>
  <c r="B16" i="17"/>
  <c r="BC5" i="7" s="1"/>
  <c r="B17" i="17"/>
  <c r="BC6" i="7" s="1"/>
  <c r="B18" i="17"/>
  <c r="BC7" i="7" s="1"/>
  <c r="B19" i="17"/>
  <c r="BC8" i="7" s="1"/>
  <c r="B20" i="17"/>
  <c r="BC9" i="7" s="1"/>
  <c r="BF9" i="7" s="1"/>
  <c r="B21" i="17"/>
  <c r="BC10" i="7" s="1"/>
  <c r="B22" i="17"/>
  <c r="BC11" i="7" s="1"/>
  <c r="B23" i="17"/>
  <c r="BC12" i="7" s="1"/>
  <c r="B24" i="17"/>
  <c r="BC13" i="7" s="1"/>
  <c r="BF14" i="7" s="1"/>
  <c r="B26" i="17"/>
  <c r="BC15" i="7" s="1"/>
  <c r="BF15" i="7" s="1"/>
  <c r="B27" i="17"/>
  <c r="BC16" i="7" s="1"/>
  <c r="B28" i="17"/>
  <c r="BC17" i="7" s="1"/>
  <c r="B29" i="17"/>
  <c r="BC18" i="7" s="1"/>
  <c r="B30" i="17"/>
  <c r="BC19" i="7" s="1"/>
  <c r="B31" i="17"/>
  <c r="BC20" i="7" s="1"/>
  <c r="B32" i="17"/>
  <c r="BC21" i="7" s="1"/>
  <c r="B33" i="17"/>
  <c r="BC22" i="7" s="1"/>
  <c r="B34" i="17"/>
  <c r="BC23" i="7" s="1"/>
  <c r="B35" i="17"/>
  <c r="BC24" i="7" s="1"/>
  <c r="B36" i="17"/>
  <c r="BC25" i="7" s="1"/>
  <c r="B37" i="17"/>
  <c r="BC26" i="7" s="1"/>
  <c r="B38" i="17"/>
  <c r="BC27" i="7" s="1"/>
  <c r="B39" i="17"/>
  <c r="BC28" i="7" s="1"/>
  <c r="B40" i="17"/>
  <c r="BC29" i="7" s="1"/>
  <c r="B41" i="17"/>
  <c r="BC30" i="7" s="1"/>
  <c r="B42" i="17"/>
  <c r="BC31" i="7" s="1"/>
  <c r="B43" i="17"/>
  <c r="BC32" i="7" s="1"/>
  <c r="B44" i="17"/>
  <c r="BC33" i="7" s="1"/>
  <c r="B45" i="17"/>
  <c r="BC34" i="7" s="1"/>
  <c r="BF34" i="7" s="1"/>
  <c r="B46" i="17"/>
  <c r="BC35" i="7" s="1"/>
  <c r="B47" i="17"/>
  <c r="BC36" i="7" s="1"/>
  <c r="B48" i="17"/>
  <c r="BC37" i="7" s="1"/>
  <c r="B49" i="17"/>
  <c r="BC38" i="7" s="1"/>
  <c r="B50" i="17"/>
  <c r="BC39" i="7" s="1"/>
  <c r="B51" i="17"/>
  <c r="BC40" i="7" s="1"/>
  <c r="B52" i="17"/>
  <c r="BC41" i="7" s="1"/>
  <c r="B53" i="17"/>
  <c r="BC42" i="7" s="1"/>
  <c r="B54" i="17"/>
  <c r="BC43" i="7" s="1"/>
  <c r="B55" i="17"/>
  <c r="BC44" i="7" s="1"/>
  <c r="B56" i="17"/>
  <c r="BC45" i="7" s="1"/>
  <c r="BF46" i="7" s="1"/>
  <c r="B59" i="17"/>
  <c r="BC48" i="7" s="1"/>
  <c r="BF48" i="7" s="1"/>
  <c r="B60" i="17"/>
  <c r="BC49" i="7" s="1"/>
  <c r="B61" i="17"/>
  <c r="BC50" i="7" s="1"/>
  <c r="B62" i="17"/>
  <c r="BC51" i="7" s="1"/>
  <c r="B63" i="17"/>
  <c r="BC52" i="7" s="1"/>
  <c r="B64" i="17"/>
  <c r="BC53" i="7" s="1"/>
  <c r="B65" i="17"/>
  <c r="BC54" i="7" s="1"/>
  <c r="B66" i="17"/>
  <c r="BC55" i="7" s="1"/>
  <c r="B67" i="17"/>
  <c r="BC56" i="7" s="1"/>
  <c r="B68" i="17"/>
  <c r="BC57" i="7" s="1"/>
  <c r="B69" i="17"/>
  <c r="BC58" i="7" s="1"/>
  <c r="B70" i="17"/>
  <c r="BC59" i="7" s="1"/>
  <c r="B71" i="17"/>
  <c r="BC60" i="7" s="1"/>
  <c r="B72" i="17"/>
  <c r="BC61" i="7" s="1"/>
  <c r="B73" i="17"/>
  <c r="BC62" i="7" s="1"/>
  <c r="B74" i="17"/>
  <c r="BC63" i="7" s="1"/>
  <c r="B75" i="17"/>
  <c r="BC64" i="7" s="1"/>
  <c r="B76" i="17"/>
  <c r="BC65" i="7" s="1"/>
  <c r="B77" i="17"/>
  <c r="BC66" i="7" s="1"/>
  <c r="B78" i="17"/>
  <c r="BC67" i="7" s="1"/>
  <c r="B79" i="17"/>
  <c r="BC68" i="7" s="1"/>
  <c r="B80" i="17"/>
  <c r="BC69" i="7" s="1"/>
  <c r="B81" i="17"/>
  <c r="BC70" i="7" s="1"/>
  <c r="B82" i="17"/>
  <c r="BC71" i="7" s="1"/>
  <c r="B83" i="17"/>
  <c r="BC72" i="7" s="1"/>
  <c r="B84" i="17"/>
  <c r="BC73" i="7" s="1"/>
  <c r="B85" i="17"/>
  <c r="B86" i="17"/>
  <c r="B87" i="17"/>
  <c r="B88" i="17"/>
  <c r="B89" i="17"/>
  <c r="B90" i="17"/>
  <c r="B91" i="17"/>
  <c r="B92" i="17"/>
  <c r="B93" i="17"/>
  <c r="B94" i="17"/>
  <c r="H6" i="17"/>
  <c r="I6" i="17"/>
  <c r="E6" i="17"/>
  <c r="G6" i="17"/>
  <c r="B6" i="17"/>
  <c r="F6" i="17"/>
  <c r="D6" i="17"/>
  <c r="C6" i="17"/>
  <c r="BF6" i="7" l="1"/>
  <c r="BF66" i="7"/>
  <c r="BF58" i="7"/>
  <c r="BF50" i="7"/>
  <c r="BF40" i="7"/>
  <c r="BF20" i="7"/>
  <c r="BF11" i="7"/>
  <c r="BF24" i="7"/>
  <c r="BF16" i="7"/>
  <c r="BF7" i="7"/>
  <c r="BF21" i="7"/>
  <c r="BF68" i="7"/>
  <c r="BF60" i="7"/>
  <c r="BF26" i="7"/>
  <c r="BF18" i="7"/>
  <c r="BF67" i="7"/>
  <c r="BF59" i="7"/>
  <c r="BF51" i="7"/>
  <c r="BF41" i="7"/>
  <c r="BF33" i="7"/>
  <c r="BF25" i="7"/>
  <c r="BF17" i="7"/>
  <c r="BF8" i="7"/>
  <c r="BF32" i="7"/>
  <c r="BC78" i="7"/>
  <c r="BF73" i="7"/>
  <c r="BF65" i="7"/>
  <c r="BF57" i="7"/>
  <c r="BF49" i="7"/>
  <c r="BF31" i="7"/>
  <c r="BF72" i="7"/>
  <c r="BC82" i="7"/>
  <c r="BF64" i="7"/>
  <c r="BF56" i="7"/>
  <c r="BF39" i="7"/>
  <c r="BF38" i="7"/>
  <c r="BF30" i="7"/>
  <c r="BF23" i="7"/>
  <c r="BC77" i="7"/>
  <c r="BF22" i="7"/>
  <c r="BF63" i="7"/>
  <c r="BF37" i="7"/>
  <c r="BF13" i="7"/>
  <c r="BF12" i="7"/>
  <c r="BF5" i="7"/>
  <c r="BF4" i="7"/>
  <c r="BF71" i="7"/>
  <c r="BF70" i="7"/>
  <c r="BF62" i="7"/>
  <c r="BC81" i="7"/>
  <c r="BF55" i="7"/>
  <c r="BF54" i="7"/>
  <c r="BF45" i="7"/>
  <c r="BF44" i="7"/>
  <c r="BF29" i="7"/>
  <c r="BF28" i="7"/>
  <c r="BF69" i="7"/>
  <c r="BF61" i="7"/>
  <c r="BF43" i="7"/>
  <c r="BF36" i="7"/>
  <c r="BF35" i="7"/>
  <c r="BF27" i="7"/>
  <c r="BF19" i="7"/>
  <c r="BF10" i="7"/>
  <c r="BF53" i="7"/>
  <c r="BC80" i="7"/>
  <c r="BF52" i="7"/>
  <c r="BF42" i="7"/>
  <c r="BC79" i="7"/>
  <c r="BC85" i="7" l="1"/>
  <c r="BC91" i="7" s="1"/>
  <c r="BC86" i="7"/>
  <c r="BC92" i="7" s="1"/>
  <c r="BC87" i="7"/>
  <c r="BC9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<sst xmlns="http://schemas.openxmlformats.org/spreadsheetml/2006/main" count="2079" uniqueCount="531">
  <si>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</si>
  <si>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</si>
  <si>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</si>
  <si>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</si>
  <si>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</si>
  <si>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</si>
  <si>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</si>
  <si>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</si>
  <si>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</si>
  <si>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</si>
  <si>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</si>
  <si>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</si>
  <si>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</si>
  <si>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</si>
  <si>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</si>
  <si>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</si>
  <si>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</si>
  <si>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</si>
  <si>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</si>
  <si>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</si>
  <si>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</si>
  <si>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</si>
  <si>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</si>
  <si>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</si>
  <si>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</si>
  <si>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</si>
  <si>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</si>
  <si>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</si>
  <si>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</si>
  <si>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</si>
  <si>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</si>
  <si>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</si>
  <si>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</si>
  <si>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</si>
  <si>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</si>
  <si>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</si>
  <si>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</si>
  <si>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</si>
  <si>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</si>
  <si>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</si>
  <si>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</si>
  <si>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</si>
  <si>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</si>
  <si>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</si>
  <si>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</si>
  <si>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</si>
  <si>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</si>
  <si>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</si>
  <si>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</si>
  <si>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</si>
  <si>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</si>
  <si>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</si>
  <si>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</si>
  <si>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</si>
  <si>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</si>
  <si>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</si>
  <si>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</si>
  <si>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</si>
  <si>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</si>
  <si>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</si>
  <si>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</si>
  <si>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</si>
  <si>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</si>
  <si>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</si>
  <si>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</si>
  <si>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</si>
  <si>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</si>
  <si>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</si>
  <si>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</si>
  <si>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</si>
  <si>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</si>
  <si>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</si>
  <si>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</si>
  <si>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</si>
  <si>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</si>
  <si>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</si>
  <si>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</si>
  <si>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</si>
  <si>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</si>
  <si>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</si>
  <si>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</si>
  <si>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</si>
  <si>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</si>
  <si>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</si>
  <si>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</si>
  <si>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</si>
  <si>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</si>
  <si>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</si>
  <si>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</si>
  <si>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</si>
  <si>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</si>
  <si>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</si>
  <si>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</si>
  <si>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</si>
  <si>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</si>
  <si>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</si>
  <si>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</si>
  <si>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</si>
  <si>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</si>
  <si>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</si>
  <si>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</si>
  <si>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</si>
  <si>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</si>
  <si>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</si>
  <si>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</si>
  <si>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</si>
  <si>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</si>
  <si>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</si>
  <si>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</si>
  <si>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</si>
  <si>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</si>
  <si>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</si>
  <si>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</si>
  <si>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</si>
  <si>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</si>
  <si>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</si>
  <si>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</si>
  <si>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</si>
  <si>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</si>
  <si>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</si>
  <si>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</si>
  <si>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</si>
  <si>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</si>
  <si>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</si>
  <si>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</si>
  <si>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</si>
  <si>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</si>
  <si>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</si>
  <si>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</si>
  <si>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</si>
  <si>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</si>
  <si>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</si>
  <si>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</si>
  <si>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</si>
  <si>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</si>
  <si>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</si>
  <si>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</si>
  <si>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</si>
  <si>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</si>
  <si>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</si>
  <si>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</si>
  <si>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</si>
  <si>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</si>
  <si>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</si>
  <si>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</si>
  <si>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</si>
  <si>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</si>
  <si>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</si>
  <si>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</si>
  <si>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</si>
  <si>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</si>
  <si>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</si>
  <si>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</si>
  <si>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</si>
  <si>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</si>
  <si>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</si>
  <si>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</si>
  <si>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</si>
  <si>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</si>
  <si>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</si>
  <si>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</si>
  <si>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</si>
  <si>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</si>
  <si>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</si>
  <si>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</si>
  <si>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</si>
  <si>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</si>
  <si>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</si>
  <si>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</si>
  <si>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</si>
  <si>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</si>
  <si>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</si>
  <si>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</si>
  <si>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</si>
  <si>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</si>
  <si>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</si>
  <si>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</si>
  <si>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</si>
  <si>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</si>
  <si>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</si>
  <si>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</si>
  <si>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</si>
  <si>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</si>
  <si>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</si>
  <si>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</si>
  <si>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</si>
  <si>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</si>
  <si>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</si>
  <si>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</si>
  <si>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</si>
  <si>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</si>
  <si>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</si>
  <si>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</si>
  <si>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</si>
  <si>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</si>
  <si>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</si>
  <si>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</si>
  <si>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</si>
  <si>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</si>
  <si>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</si>
  <si>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</si>
  <si>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</si>
  <si>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</si>
  <si>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</si>
  <si>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</si>
  <si>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</si>
  <si>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</si>
  <si>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</si>
  <si>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</si>
  <si>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</si>
  <si>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</si>
  <si>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</si>
  <si>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</si>
  <si>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</si>
  <si>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</si>
  <si>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</si>
  <si>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</si>
  <si>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</si>
  <si>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</si>
  <si>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</si>
  <si>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</si>
  <si>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</si>
  <si>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</si>
  <si>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</si>
  <si>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</si>
  <si>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</si>
  <si>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</si>
  <si>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</si>
  <si>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</si>
  <si>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</si>
  <si>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</si>
  <si>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</si>
  <si>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</si>
  <si>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</si>
  <si>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</si>
  <si>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</si>
  <si>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</si>
  <si>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</si>
  <si>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</si>
  <si>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</si>
  <si>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</si>
  <si>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</si>
  <si>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</si>
  <si>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</si>
  <si>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</si>
  <si>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</si>
  <si>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</si>
  <si>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</si>
  <si>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</si>
  <si>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</si>
  <si>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</si>
  <si>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</si>
  <si>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</si>
  <si>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</si>
  <si>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</si>
  <si>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</si>
  <si>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</si>
  <si>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</si>
  <si>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</si>
  <si>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</si>
  <si>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</si>
  <si>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</si>
  <si>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</si>
  <si>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</si>
  <si>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</si>
  <si>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</si>
  <si>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</si>
  <si>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</si>
  <si>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</si>
  <si>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</si>
  <si>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</si>
  <si>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</si>
  <si>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</si>
  <si>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</si>
  <si>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</si>
  <si>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</si>
  <si>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</si>
  <si>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</si>
  <si>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</si>
  <si>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</si>
  <si>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</si>
  <si>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</si>
  <si>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</si>
  <si>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</si>
  <si>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</si>
  <si>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</si>
  <si>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</si>
  <si>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</si>
  <si>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</si>
  <si>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</si>
  <si>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</si>
  <si>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</si>
  <si>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</si>
  <si>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</si>
  <si>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</si>
  <si>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</si>
  <si>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</si>
  <si>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</si>
  <si>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</si>
  <si>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</si>
  <si>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</si>
  <si>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</si>
  <si>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</si>
  <si>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</si>
  <si>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</si>
  <si>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</si>
  <si>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</si>
  <si>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</si>
  <si>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</si>
  <si>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</si>
  <si>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</si>
  <si>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</si>
  <si>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</si>
  <si>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</si>
  <si>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</si>
  <si>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</si>
  <si>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</si>
  <si>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</si>
  <si>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</si>
  <si>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</si>
  <si>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</si>
  <si>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</si>
  <si>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</si>
  <si>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</si>
  <si>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</si>
  <si>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</si>
  <si>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</si>
  <si>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</si>
  <si>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</si>
  <si>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</si>
  <si>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</si>
  <si>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</si>
  <si>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</si>
  <si>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</si>
  <si>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</si>
  <si>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</si>
  <si>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</si>
  <si>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</si>
  <si>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</si>
  <si>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</si>
  <si>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</si>
  <si>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</si>
  <si>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</si>
  <si>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</si>
  <si>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</si>
  <si>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</si>
  <si>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</si>
  <si>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</si>
  <si>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</si>
  <si>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</si>
  <si>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</si>
  <si>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</si>
  <si>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</si>
  <si>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</si>
  <si>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</si>
  <si>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</si>
  <si>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</si>
  <si>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</si>
  <si>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</si>
  <si>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</si>
  <si>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</si>
  <si>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</si>
  <si>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</si>
  <si>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</si>
  <si>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</si>
  <si>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</si>
  <si>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</si>
  <si>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</si>
  <si>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</si>
  <si>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</si>
  <si>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</si>
  <si>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GDP, real, LCU</t>
  </si>
  <si>
    <t>Pound</t>
  </si>
  <si>
    <t>Millions</t>
  </si>
  <si>
    <t>Level</t>
  </si>
  <si>
    <t>Office for National Statistics\Haver Analytics</t>
  </si>
  <si>
    <t>chained 2022</t>
  </si>
  <si>
    <t>NA</t>
  </si>
  <si>
    <t>ABMIQ@UK</t>
  </si>
  <si>
    <t>U.K.: Real Gross Domestic Product (SA, Mil.Chn.2022.GBP)</t>
  </si>
  <si>
    <t>GBR</t>
  </si>
  <si>
    <t>GDP</t>
  </si>
  <si>
    <t>United States</t>
  </si>
  <si>
    <t>US$</t>
  </si>
  <si>
    <t>Billions</t>
  </si>
  <si>
    <t>Bureau of Economic Analysis\Haver Analytics</t>
  </si>
  <si>
    <t>chained 2017</t>
  </si>
  <si>
    <t>GDPH@USNA / 4</t>
  </si>
  <si>
    <t>Real Gross Domestic Product (SAAR, Bil.Chn.2017$) / 4</t>
  </si>
  <si>
    <t>USA</t>
  </si>
  <si>
    <t>Investment, private sector business, real, LCU</t>
  </si>
  <si>
    <t>NPELQ@UK</t>
  </si>
  <si>
    <t>UK: Gross Fixed Capital Formation: Business Investment (SA, Mil.Chn.2022.GBP)</t>
  </si>
  <si>
    <t>IPNR</t>
  </si>
  <si>
    <t>FNH@USNA / 4</t>
  </si>
  <si>
    <t>Real Private Nonresidential Fixed Investment (SAAR, Bil.Chn.2017$) / 4</t>
  </si>
  <si>
    <t>Exports, goods &amp; services, real, LCU</t>
  </si>
  <si>
    <t>IKBKQ@UK</t>
  </si>
  <si>
    <t>U.K.: Exports of Goods &amp; Services (SA, Mil.Chn.2022.Pounds)</t>
  </si>
  <si>
    <t>X</t>
  </si>
  <si>
    <t>XH@USNA / 4</t>
  </si>
  <si>
    <t>Real Exports of Goods &amp; Services (SAAR, Bil.Chn.2017$)</t>
  </si>
  <si>
    <t>Imports, goods &amp; services, real, LCU</t>
  </si>
  <si>
    <t>IKBLQ@UK</t>
  </si>
  <si>
    <t>U.K.: Imports of Goods &amp; Services (SA, Mil.Chn.2022.Pounds)</t>
  </si>
  <si>
    <t>M</t>
  </si>
  <si>
    <t>MH@USNA /4</t>
  </si>
  <si>
    <t>Real Imports of Goods &amp; Services (SAAR, Bil.Chn.2017$) / 4</t>
  </si>
  <si>
    <t>Imports, non-fuel goods, real, LCU</t>
  </si>
  <si>
    <t>Office for National Statistics</t>
  </si>
  <si>
    <t>IKBLQ@UK - IKBFQ@UK - BPIC@UK</t>
  </si>
  <si>
    <t>U.K.: Imports of Goods &amp; Services (SA, Mil.Chn.2022.Pounds) - U.K.: Imports: Services (SA, Mil.Chn.2022.Pounds) - UK: Imports of Fuels (SA, Mil.Chn.2022.GBP)</t>
  </si>
  <si>
    <t>MGNF</t>
  </si>
  <si>
    <t>Bureau of Economic Analysis,NIPA\Haver Analytics</t>
  </si>
  <si>
    <t>MMXPH@USNA / 4</t>
  </si>
  <si>
    <t>Real Imports of Nonpetroleum Goods (SAAR, Bil.Chn.2017$) / 4</t>
  </si>
  <si>
    <t>Consumer price index</t>
  </si>
  <si>
    <t>Index</t>
  </si>
  <si>
    <t>D7BT@UK</t>
  </si>
  <si>
    <t xml:space="preserve">UK: Consumer Price Index: All Items (NSA, 2015=100) </t>
  </si>
  <si>
    <t>CPI</t>
  </si>
  <si>
    <t>Bureau of Labor Statistics\Haver Analytics</t>
  </si>
  <si>
    <t>1982/84</t>
  </si>
  <si>
    <t>PCU@USECON</t>
  </si>
  <si>
    <t>CPI-U: All Items (SA, 1982-84=100)</t>
  </si>
  <si>
    <t>Exchange rate, period average (USD per Pound)</t>
  </si>
  <si>
    <t>US$ per Pound</t>
  </si>
  <si>
    <t>Bank of England\Haver Analytics</t>
  </si>
  <si>
    <t>UNAUSS@UK</t>
  </si>
  <si>
    <t xml:space="preserve">UK: Exchange Rate: United States, Average (US$/GBP) </t>
  </si>
  <si>
    <t>RXD</t>
  </si>
  <si>
    <t>Exchange rate, period average</t>
  </si>
  <si>
    <t>US$ per US$</t>
  </si>
  <si>
    <t>Oxford Economics</t>
  </si>
  <si>
    <t>Set equal to 1</t>
  </si>
  <si>
    <t>Exports, non-fuel goods, real, LCU</t>
  </si>
  <si>
    <t>IKBKQ@UK - IKBEQ@UK - BOXC@UK</t>
  </si>
  <si>
    <t>U.K.: Exports of Goods &amp; Services (SA, Mil.Chn.2022.Pounds) - U.K.: Exports: Services (SA, Mil.Chn.2022.Pounds) - UK: Exports of Fuels (SA, Mil.Chn.2022.GBP)</t>
  </si>
  <si>
    <t>XGNF</t>
  </si>
  <si>
    <t>(XMH@USNA - XMPH@USNA) / 4</t>
  </si>
  <si>
    <t>Exports, non-fuel goods, real, LCU [US$; Billions: chained 2017 prices]</t>
  </si>
  <si>
    <t>UK</t>
  </si>
  <si>
    <t>L</t>
  </si>
  <si>
    <t>Non-fuel goods exports</t>
  </si>
  <si>
    <t>March 2025</t>
  </si>
  <si>
    <t>April 2025</t>
  </si>
  <si>
    <t>Business investment</t>
  </si>
  <si>
    <t>Investment, total fixed investment, real, LCU</t>
  </si>
  <si>
    <t>NPQTQ@UK</t>
  </si>
  <si>
    <t>U.K.: Gross Fixed Capital Formation (SA, Mil.Chn.2022.GBP)</t>
  </si>
  <si>
    <t>IF</t>
  </si>
  <si>
    <t>IFPGH@USNA / 4</t>
  </si>
  <si>
    <t>Real Gross Fixed Investment (Bil.Chn.2017$) / 4</t>
  </si>
  <si>
    <t>Investment</t>
  </si>
  <si>
    <t>APR014A</t>
  </si>
  <si>
    <t>APR014A.db</t>
  </si>
  <si>
    <t>Potential output, LCU</t>
  </si>
  <si>
    <t>Oxford Economics estimate</t>
  </si>
  <si>
    <t>Potential output</t>
  </si>
  <si>
    <t>YHAT</t>
  </si>
  <si>
    <t>Congressional Budget Office\Haver Analytics</t>
  </si>
  <si>
    <t>GDPPOTHQ@USECON / 4</t>
  </si>
  <si>
    <t>Real Potential Gross Domestic Product {CBO} (SAAR, Bil.Chn.2017$) / 4</t>
  </si>
  <si>
    <t>Employment at the Nairu</t>
  </si>
  <si>
    <t>Person</t>
  </si>
  <si>
    <t>Thousands</t>
  </si>
  <si>
    <t>ESTAR</t>
  </si>
  <si>
    <t>(1-NAIRU/100)*Labour supply*0.985</t>
  </si>
  <si>
    <t>Average hours of work per week</t>
  </si>
  <si>
    <t>Hours per Week</t>
  </si>
  <si>
    <t>ONS\Haver Analytics</t>
  </si>
  <si>
    <t>YBUVQ@UK</t>
  </si>
  <si>
    <t>UK: LFS: Average Actual Weekly Hours Worked: All Workers (SA, Number)</t>
  </si>
  <si>
    <t>AVHR</t>
  </si>
  <si>
    <t>LRPRIVA@LABOR</t>
  </si>
  <si>
    <t>Avg Wkly Hours Production &amp; Nonsupervisory Employees: Total Private (SA, Hours)</t>
  </si>
  <si>
    <t>Total Years of Schooling in Population</t>
  </si>
  <si>
    <t>Years</t>
  </si>
  <si>
    <t>Barro R. &amp; J.W. Lee\Office for National Statistics Mid-Year Population Estimates</t>
  </si>
  <si>
    <t>EDUCAVE * POP15_64</t>
  </si>
  <si>
    <t>EDUC</t>
  </si>
  <si>
    <t>Barro R. &amp; J.W. Lee\Census Bureau\Haver Analytics</t>
  </si>
  <si>
    <t>(Working age population, average years of education) * (Population, 15-64)</t>
  </si>
  <si>
    <t>Population, 15-64</t>
  </si>
  <si>
    <t>Office for National Statistics Mid-Year Population Estimates</t>
  </si>
  <si>
    <t>Population aged 15-64 aggregated from ONS mid-year population estimates</t>
  </si>
  <si>
    <t>POP15_64</t>
  </si>
  <si>
    <t>Census Bureau\Oxford Economics\Haver Analytics</t>
  </si>
  <si>
    <t>POP15@USECON+POP20@USECON+POP25@USECON+POP30@USECON +POP35@USECON+POP40@USECON+POP45@USECON+POP50@USECON +POP55@USECON+POP60@USECON</t>
  </si>
  <si>
    <t>Resident Population: 15-64, interpolated, and forecast with Resident Population Projection: 15-64, interpolated and OE adjusted</t>
  </si>
  <si>
    <t>Capital stock, real, LCU</t>
  </si>
  <si>
    <t>(MLR3A@UK-MLO9A@UK)*1000, interpolated</t>
  </si>
  <si>
    <t>(UK: Net Capital Stock: Assets (Bil.Chn.2022.GBP)  - UK: Net Capital Stock: Dwellings excluding Land (Bil.Chn.2022.GBP)) *1000, interpolated</t>
  </si>
  <si>
    <t>K</t>
  </si>
  <si>
    <t>EPNH@USECON, interpolated</t>
  </si>
  <si>
    <t>Real Net Stock: Private Fixed Nonresidential Assets (Bil.Chn.2017$), interpolated</t>
  </si>
  <si>
    <t>Total factor productivity trend</t>
  </si>
  <si>
    <t>Number</t>
  </si>
  <si>
    <t>Oxford Economics calculation</t>
  </si>
  <si>
    <t>Ln(Potential output, LCU) - 0.4 * Ln(Labour supply * Average hours of work per week) - 0.3 * Ln( Years of schooling in population / Population, total) - 0.3 * Ln(Capital stock, real, LCU(-1))</t>
  </si>
  <si>
    <t>TREND</t>
  </si>
  <si>
    <t>Oxford Economics\ Congressional Budget Office\ World Bank\ Census\ Haver Analytics</t>
  </si>
  <si>
    <t>LN(Potential output, LCU )-0.35*LN(Employment at the Nairu/1000*Average hours of work per week)-0.30*LN( Years of schooling in population/Population, total) -0.35*LN(Capital stock, real, LCU-1))</t>
  </si>
  <si>
    <t>ESTAR * AVHR</t>
  </si>
  <si>
    <t>EDUC / POP15_64</t>
  </si>
  <si>
    <t>Contributions to growth</t>
  </si>
  <si>
    <t>Labour supply</t>
  </si>
  <si>
    <t>Human capital</t>
  </si>
  <si>
    <t>Capital stock</t>
  </si>
  <si>
    <t>Total factor productivity</t>
  </si>
  <si>
    <t>1990s</t>
  </si>
  <si>
    <t>2000s</t>
  </si>
  <si>
    <t>2010s</t>
  </si>
  <si>
    <t>2020s</t>
  </si>
  <si>
    <t>2030s</t>
  </si>
  <si>
    <t>2040s</t>
  </si>
  <si>
    <t>diff vs 10-19</t>
  </si>
  <si>
    <t>2020-30</t>
  </si>
  <si>
    <t>2030-40</t>
  </si>
  <si>
    <t>2040-50</t>
  </si>
  <si>
    <t>diff</t>
  </si>
  <si>
    <t>Potential output - April forecast</t>
  </si>
  <si>
    <t>Potential output - March forecast</t>
  </si>
  <si>
    <t>diff vs March</t>
  </si>
  <si>
    <t>CPI inflation</t>
  </si>
  <si>
    <t>MAR010I</t>
  </si>
  <si>
    <t>MAR010I.db</t>
  </si>
  <si>
    <t>JAN010B</t>
  </si>
  <si>
    <t>JAN010B.db</t>
  </si>
  <si>
    <t>January 2025</t>
  </si>
  <si>
    <t>2%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</si>
</sst>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;\-###0.0;0.0;@"/>
    <numFmt numFmtId="165" formatCode="0.0"/>
    <numFmt numFmtId="166" formatCode="0.0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16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5" fillId="0" borderId="0"/>
  </cellStyleXfs>
  <cellXfs count="18">
    <xf numFmtId="0" fontId="0" fillId="0" borderId="0" xfId="0"/>
    <xf numFmtId="0" fontId="0" fillId="0" borderId="0" xfId="0" quotePrefix="1"/>
    <xf numFmtId="164" fontId="0" fillId="0" borderId="0" xfId="0" applyNumberFormat="1"/>
    <xf numFmtId="164" fontId="4" fillId="0" borderId="0" xfId="0" applyNumberFormat="1" applyFont="1"/>
    <xf numFmtId="0" fontId="1" fillId="0" borderId="0" xfId="2"/>
    <xf numFmtId="0" fontId="0" fillId="0" borderId="0" xfId="2" applyFont="1"/>
    <xf numFmtId="0" fontId="1" fillId="0" borderId="0" xfId="2" applyAlignment="1">
      <alignment horizontal="right"/>
    </xf>
    <xf numFmtId="0" fontId="2" fillId="0" borderId="0" xfId="0" applyFont="1"/>
    <xf numFmtId="1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/>
    <xf numFmtId="166" fontId="0" fillId="0" borderId="0" xfId="0" applyNumberFormat="1"/>
    <xf numFmtId="2" fontId="0" fillId="0" borderId="0" xfId="0" applyNumberFormat="1"/>
    <xf numFmtId="0" fontId="7" fillId="0" borderId="0" xfId="0" applyFont="1"/>
    <xf numFmtId="0" fontId="8" fillId="2" borderId="1" xfId="1" applyFont="1" applyFill="1" applyBorder="1" applyAlignment="1">
      <alignment horizontal="left" wrapText="1"/>
    </xf>
  </cellXfs>
  <cellStyles count="4">
    <cellStyle name="Normal" xfId="0" builtinId="0"/>
    <cellStyle name="Normal 2" xfId="1" xr:uid="{3D543E31-DC87-47E5-9A18-18FDB466FABB}"/>
    <cellStyle name="Normal 2 5" xfId="2" xr:uid="{93F51AE2-3A49-4FB6-9127-53FE50DA5527}"/>
    <cellStyle name="Normal 3" xfId="3" xr:uid="{2DE2CDFE-BEA4-4147-BEEE-B3692EBE9D96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hartsheet" Target="chartsheets/sheet6.xml"/><Relationship Id="rId18" Type="http://schemas.openxmlformats.org/officeDocument/2006/relationships/theme" Target="theme/theme1.xml"/><Relationship Id="rId3" Type="http://schemas.openxmlformats.org/officeDocument/2006/relationships/chartsheet" Target="chartsheets/sheet2.xml"/><Relationship Id="rId21" Type="http://schemas.openxmlformats.org/officeDocument/2006/relationships/sheetMetadata" Target="metadata.xml"/><Relationship Id="rId7" Type="http://schemas.openxmlformats.org/officeDocument/2006/relationships/worksheet" Target="worksheets/sheet4.xml"/><Relationship Id="rId12" Type="http://schemas.openxmlformats.org/officeDocument/2006/relationships/chartsheet" Target="chartsheets/sheet5.xml"/><Relationship Id="rId17" Type="http://schemas.openxmlformats.org/officeDocument/2006/relationships/externalLink" Target="externalLinks/externalLink2.xml"/><Relationship Id="rId2" Type="http://schemas.openxmlformats.org/officeDocument/2006/relationships/chartsheet" Target="chartsheets/sheet1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chartsheet" Target="chartsheets/sheet4.xml"/><Relationship Id="rId5" Type="http://schemas.openxmlformats.org/officeDocument/2006/relationships/worksheet" Target="worksheets/sheet2.xml"/><Relationship Id="rId15" Type="http://schemas.openxmlformats.org/officeDocument/2006/relationships/chartsheet" Target="chartsheets/sheet8.xml"/><Relationship Id="rId10" Type="http://schemas.openxmlformats.org/officeDocument/2006/relationships/worksheet" Target="worksheets/sheet7.xml"/><Relationship Id="rId19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6.xml"/><Relationship Id="rId14" Type="http://schemas.openxmlformats.org/officeDocument/2006/relationships/chartsheet" Target="chartsheets/sheet7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6.xml"/><Relationship Id="rId1" Type="http://schemas.openxmlformats.org/officeDocument/2006/relationships/themeOverride" Target="../theme/themeOverrid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29278003744125E-2"/>
          <c:y val="0.14728143509160144"/>
          <c:w val="0.87149249812568763"/>
          <c:h val="0.7133059142007122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Data'!$B$3</c:f>
              <c:strCache>
                <c:ptCount val="1"/>
                <c:pt idx="0">
                  <c:v>April 2025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Data'!$A$4:$A$19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Data'!$B$4:$B$19</c:f>
              <c:numCache>
                <c:formatCode>0</c:formatCode>
                <c:ptCount val="16"/>
                <c:pt idx="0">
                  <c:v>634428</c:v>
                </c:pt>
                <c:pt idx="1">
                  <c:v>634694</c:v>
                </c:pt>
                <c:pt idx="2">
                  <c:v>634327</c:v>
                </c:pt>
                <c:pt idx="3">
                  <c:v>633011</c:v>
                </c:pt>
                <c:pt idx="4">
                  <c:v>638746</c:v>
                </c:pt>
                <c:pt idx="5">
                  <c:v>641670</c:v>
                </c:pt>
                <c:pt idx="6">
                  <c:v>641675</c:v>
                </c:pt>
                <c:pt idx="7">
                  <c:v>642287</c:v>
                </c:pt>
                <c:pt idx="8">
                  <c:v>645889.69999999995</c:v>
                </c:pt>
                <c:pt idx="9">
                  <c:v>647140.19999999995</c:v>
                </c:pt>
                <c:pt idx="10">
                  <c:v>648105.80000000005</c:v>
                </c:pt>
                <c:pt idx="11">
                  <c:v>649184.30000000005</c:v>
                </c:pt>
                <c:pt idx="12">
                  <c:v>650710.30000000005</c:v>
                </c:pt>
                <c:pt idx="13">
                  <c:v>652240.30000000005</c:v>
                </c:pt>
                <c:pt idx="14">
                  <c:v>653871</c:v>
                </c:pt>
                <c:pt idx="15">
                  <c:v>655799.6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0-4B93-9294-17094F38C20A}"/>
            </c:ext>
          </c:extLst>
        </c:ser>
        <c:ser>
          <c:idx val="0"/>
          <c:order val="1"/>
          <c:tx>
            <c:strRef>
              <c:f>'Chart Data'!$C$3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Data'!$A$4:$A$19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Data'!$C$4:$C$19</c:f>
              <c:numCache>
                <c:formatCode>0</c:formatCode>
                <c:ptCount val="16"/>
                <c:pt idx="0">
                  <c:v>634807</c:v>
                </c:pt>
                <c:pt idx="1">
                  <c:v>634866</c:v>
                </c:pt>
                <c:pt idx="2">
                  <c:v>634052</c:v>
                </c:pt>
                <c:pt idx="3">
                  <c:v>632365</c:v>
                </c:pt>
                <c:pt idx="4">
                  <c:v>637729</c:v>
                </c:pt>
                <c:pt idx="5">
                  <c:v>640592</c:v>
                </c:pt>
                <c:pt idx="6">
                  <c:v>640417</c:v>
                </c:pt>
                <c:pt idx="7">
                  <c:v>641065</c:v>
                </c:pt>
                <c:pt idx="8">
                  <c:v>643013.5</c:v>
                </c:pt>
                <c:pt idx="9">
                  <c:v>645036.80000000005</c:v>
                </c:pt>
                <c:pt idx="10">
                  <c:v>647093.9</c:v>
                </c:pt>
                <c:pt idx="11">
                  <c:v>649337.30000000005</c:v>
                </c:pt>
                <c:pt idx="12">
                  <c:v>651902.6</c:v>
                </c:pt>
                <c:pt idx="13">
                  <c:v>654217.69999999995</c:v>
                </c:pt>
                <c:pt idx="14">
                  <c:v>656769.30000000005</c:v>
                </c:pt>
                <c:pt idx="15">
                  <c:v>659363.1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0-4B93-9294-17094F38C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1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625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6522960296360737"/>
          <c:y val="0.11789924606557063"/>
          <c:w val="0.47488018276116511"/>
          <c:h val="5.611041463493352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383172442427743E-2"/>
          <c:y val="0.14728143509160144"/>
          <c:w val="0.88203864347465055"/>
          <c:h val="0.71330591420071221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Data'!$W$3</c:f>
              <c:strCache>
                <c:ptCount val="1"/>
                <c:pt idx="0">
                  <c:v>April 2025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Data'!$V$4:$V$19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Data'!$W$4:$W$19</c:f>
              <c:numCache>
                <c:formatCode>0</c:formatCode>
                <c:ptCount val="16"/>
                <c:pt idx="0">
                  <c:v>62765</c:v>
                </c:pt>
                <c:pt idx="1">
                  <c:v>63006</c:v>
                </c:pt>
                <c:pt idx="2">
                  <c:v>61551</c:v>
                </c:pt>
                <c:pt idx="3">
                  <c:v>62681</c:v>
                </c:pt>
                <c:pt idx="4">
                  <c:v>62527</c:v>
                </c:pt>
                <c:pt idx="5">
                  <c:v>63634</c:v>
                </c:pt>
                <c:pt idx="6">
                  <c:v>65023</c:v>
                </c:pt>
                <c:pt idx="7">
                  <c:v>63820</c:v>
                </c:pt>
                <c:pt idx="8">
                  <c:v>63851.91</c:v>
                </c:pt>
                <c:pt idx="9">
                  <c:v>63839.13</c:v>
                </c:pt>
                <c:pt idx="10">
                  <c:v>63871.05</c:v>
                </c:pt>
                <c:pt idx="11">
                  <c:v>63826.35</c:v>
                </c:pt>
                <c:pt idx="12">
                  <c:v>63858.21</c:v>
                </c:pt>
                <c:pt idx="13">
                  <c:v>63890.18</c:v>
                </c:pt>
                <c:pt idx="14">
                  <c:v>63947.7</c:v>
                </c:pt>
                <c:pt idx="15">
                  <c:v>63992.46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24-4697-BE00-6417C8AFCC3C}"/>
            </c:ext>
          </c:extLst>
        </c:ser>
        <c:ser>
          <c:idx val="1"/>
          <c:order val="1"/>
          <c:tx>
            <c:strRef>
              <c:f>'Chart Data'!$X$3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Data'!$V$4:$V$19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Data'!$X$4:$X$19</c:f>
              <c:numCache>
                <c:formatCode>0</c:formatCode>
                <c:ptCount val="16"/>
                <c:pt idx="0">
                  <c:v>62590</c:v>
                </c:pt>
                <c:pt idx="1">
                  <c:v>63199</c:v>
                </c:pt>
                <c:pt idx="2">
                  <c:v>61724</c:v>
                </c:pt>
                <c:pt idx="3">
                  <c:v>62795</c:v>
                </c:pt>
                <c:pt idx="4">
                  <c:v>62349</c:v>
                </c:pt>
                <c:pt idx="5">
                  <c:v>63236</c:v>
                </c:pt>
                <c:pt idx="6">
                  <c:v>64412</c:v>
                </c:pt>
                <c:pt idx="7">
                  <c:v>62338</c:v>
                </c:pt>
                <c:pt idx="8">
                  <c:v>63578.53</c:v>
                </c:pt>
                <c:pt idx="9">
                  <c:v>63756.54</c:v>
                </c:pt>
                <c:pt idx="10">
                  <c:v>63966.93</c:v>
                </c:pt>
                <c:pt idx="11">
                  <c:v>64171.65</c:v>
                </c:pt>
                <c:pt idx="12">
                  <c:v>64511.7</c:v>
                </c:pt>
                <c:pt idx="13">
                  <c:v>64879.45</c:v>
                </c:pt>
                <c:pt idx="14">
                  <c:v>65294.7</c:v>
                </c:pt>
                <c:pt idx="15">
                  <c:v>65686.47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4-4697-BE00-6417C8AFCC3C}"/>
            </c:ext>
          </c:extLst>
        </c:ser>
        <c:ser>
          <c:idx val="0"/>
          <c:order val="2"/>
          <c:tx>
            <c:strRef>
              <c:f>'Chart Data'!$Y$3</c:f>
              <c:strCache>
                <c:ptCount val="1"/>
                <c:pt idx="0">
                  <c:v>January 2025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Data'!$V$4:$V$19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Data'!$Y$4:$Y$19</c:f>
              <c:numCache>
                <c:formatCode>0</c:formatCode>
                <c:ptCount val="16"/>
                <c:pt idx="0">
                  <c:v>62590</c:v>
                </c:pt>
                <c:pt idx="1">
                  <c:v>63199</c:v>
                </c:pt>
                <c:pt idx="2">
                  <c:v>61724</c:v>
                </c:pt>
                <c:pt idx="3">
                  <c:v>62795</c:v>
                </c:pt>
                <c:pt idx="4">
                  <c:v>62978</c:v>
                </c:pt>
                <c:pt idx="5">
                  <c:v>64099</c:v>
                </c:pt>
                <c:pt idx="6">
                  <c:v>65327</c:v>
                </c:pt>
                <c:pt idx="7">
                  <c:v>64366.69</c:v>
                </c:pt>
                <c:pt idx="8">
                  <c:v>64431.09</c:v>
                </c:pt>
                <c:pt idx="9">
                  <c:v>64650.15</c:v>
                </c:pt>
                <c:pt idx="10">
                  <c:v>64934.61</c:v>
                </c:pt>
                <c:pt idx="11">
                  <c:v>65226.83</c:v>
                </c:pt>
                <c:pt idx="12">
                  <c:v>65657.279999999999</c:v>
                </c:pt>
                <c:pt idx="13">
                  <c:v>66116.899999999994</c:v>
                </c:pt>
                <c:pt idx="14">
                  <c:v>66612.789999999994</c:v>
                </c:pt>
                <c:pt idx="15">
                  <c:v>67079.09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4-4697-BE00-6417C8AFC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1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60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099230392811069"/>
          <c:y val="0.10658380573715412"/>
          <c:w val="0.66547468007177069"/>
          <c:h val="5.6021710157517439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6806515704970315E-2"/>
          <c:y val="0.14728143509160144"/>
          <c:w val="0.88761526042446148"/>
          <c:h val="0.7133059142007122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Data'!$AN$3</c:f>
              <c:strCache>
                <c:ptCount val="1"/>
                <c:pt idx="0">
                  <c:v>April 2025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Data'!$AM$4:$AM$19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Data'!$AN$4:$AN$19</c:f>
              <c:numCache>
                <c:formatCode>0.0</c:formatCode>
                <c:ptCount val="16"/>
                <c:pt idx="0">
                  <c:v>10.178266296223782</c:v>
                </c:pt>
                <c:pt idx="1">
                  <c:v>8.4390489688226822</c:v>
                </c:pt>
                <c:pt idx="2">
                  <c:v>6.7136184931289922</c:v>
                </c:pt>
                <c:pt idx="3">
                  <c:v>4.1568271507498089</c:v>
                </c:pt>
                <c:pt idx="4">
                  <c:v>3.5491136610421803</c:v>
                </c:pt>
                <c:pt idx="5">
                  <c:v>2.110833644243737</c:v>
                </c:pt>
                <c:pt idx="6">
                  <c:v>2.0547945205479312</c:v>
                </c:pt>
                <c:pt idx="7">
                  <c:v>2.4753214257839273</c:v>
                </c:pt>
                <c:pt idx="8">
                  <c:v>2.7868692573414178</c:v>
                </c:pt>
                <c:pt idx="9">
                  <c:v>3.0628401152777318</c:v>
                </c:pt>
                <c:pt idx="10">
                  <c:v>3.2803131991051337</c:v>
                </c:pt>
                <c:pt idx="11">
                  <c:v>2.9612528866780563</c:v>
                </c:pt>
                <c:pt idx="12">
                  <c:v>2.7575011327460652</c:v>
                </c:pt>
                <c:pt idx="13">
                  <c:v>2.2793049348811545</c:v>
                </c:pt>
                <c:pt idx="14">
                  <c:v>2.3326539055545048</c:v>
                </c:pt>
                <c:pt idx="15">
                  <c:v>2.3620005759926066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0"/>
          <c:order val="1"/>
          <c:tx>
            <c:strRef>
              <c:f>'Chart Data'!$AO$3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Data'!$AM$4:$AM$19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Data'!$AO$4:$AO$19</c:f>
              <c:numCache>
                <c:formatCode>0.0</c:formatCode>
                <c:ptCount val="16"/>
                <c:pt idx="0">
                  <c:v>10.178266296223782</c:v>
                </c:pt>
                <c:pt idx="1">
                  <c:v>8.4390489688226822</c:v>
                </c:pt>
                <c:pt idx="2">
                  <c:v>6.7136184931289922</c:v>
                </c:pt>
                <c:pt idx="3">
                  <c:v>4.1568271507498089</c:v>
                </c:pt>
                <c:pt idx="4">
                  <c:v>3.5491136610421803</c:v>
                </c:pt>
                <c:pt idx="5">
                  <c:v>2.110833644243737</c:v>
                </c:pt>
                <c:pt idx="6">
                  <c:v>2.0547945205479312</c:v>
                </c:pt>
                <c:pt idx="7">
                  <c:v>2.4753214257839273</c:v>
                </c:pt>
                <c:pt idx="8">
                  <c:v>2.7942785296677375</c:v>
                </c:pt>
                <c:pt idx="9">
                  <c:v>3.1688675389458298</c:v>
                </c:pt>
                <c:pt idx="10">
                  <c:v>3.4616703952274452</c:v>
                </c:pt>
                <c:pt idx="11">
                  <c:v>3.1802078334256301</c:v>
                </c:pt>
                <c:pt idx="12">
                  <c:v>3.1185781972395299</c:v>
                </c:pt>
                <c:pt idx="13">
                  <c:v>2.5062593111100373</c:v>
                </c:pt>
                <c:pt idx="14">
                  <c:v>2.4448238854680726</c:v>
                </c:pt>
                <c:pt idx="15">
                  <c:v>2.3744750383419166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2"/>
          <c:order val="2"/>
          <c:tx>
            <c:strRef>
              <c:f>'Chart Data'!$AP$3</c:f>
              <c:strCache>
                <c:ptCount val="1"/>
                <c:pt idx="0">
                  <c:v>2% target</c:v>
                </c:pt>
              </c:strCache>
            </c:strRef>
          </c:tx>
          <c:spPr>
            <a:ln w="1905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Data'!$AM$4:$AM$19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Data'!$AP$4:$AP$19</c:f>
              <c:numCache>
                <c:formatCode>0.0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5-4B19-A21F-ABE839D96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9591334134080701"/>
          <c:y val="8.5782148518563889E-2"/>
          <c:w val="0.63955798745495795"/>
          <c:h val="5.6021710157517439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29278003744125E-2"/>
          <c:y val="0.14728143509160144"/>
          <c:w val="0.87149249812568763"/>
          <c:h val="0.7133059142007122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Data'!$H$3</c:f>
              <c:strCache>
                <c:ptCount val="1"/>
                <c:pt idx="0">
                  <c:v>April 2025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Data'!$G$4:$G$19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Data'!$H$4:$H$19</c:f>
              <c:numCache>
                <c:formatCode>0.0</c:formatCode>
                <c:ptCount val="16"/>
                <c:pt idx="0">
                  <c:v>98.225440040304107</c:v>
                </c:pt>
                <c:pt idx="1">
                  <c:v>98.266623542688492</c:v>
                </c:pt>
                <c:pt idx="2">
                  <c:v>98.209802695413799</c:v>
                </c:pt>
                <c:pt idx="3">
                  <c:v>98.006052736248932</c:v>
                </c:pt>
                <c:pt idx="4">
                  <c:v>98.893975240664162</c:v>
                </c:pt>
                <c:pt idx="5">
                  <c:v>99.346684116498537</c:v>
                </c:pt>
                <c:pt idx="6">
                  <c:v>99.347458242483199</c:v>
                </c:pt>
                <c:pt idx="7">
                  <c:v>99.442211263006669</c:v>
                </c:pt>
                <c:pt idx="8">
                  <c:v>100</c:v>
                </c:pt>
                <c:pt idx="9">
                  <c:v>100.1936089087657</c:v>
                </c:pt>
                <c:pt idx="10">
                  <c:v>100.34310811892497</c:v>
                </c:pt>
                <c:pt idx="11">
                  <c:v>100.51008709381803</c:v>
                </c:pt>
                <c:pt idx="12">
                  <c:v>100.74635034433899</c:v>
                </c:pt>
                <c:pt idx="13">
                  <c:v>100.98323289564767</c:v>
                </c:pt>
                <c:pt idx="14">
                  <c:v>101.23570634428758</c:v>
                </c:pt>
                <c:pt idx="15">
                  <c:v>101.53430221909407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7D-4DAA-9598-AA60C12F9561}"/>
            </c:ext>
          </c:extLst>
        </c:ser>
        <c:ser>
          <c:idx val="0"/>
          <c:order val="1"/>
          <c:tx>
            <c:strRef>
              <c:f>'Chart Data'!$I$3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Data'!$G$4:$G$19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Data'!$I$4:$I$19</c:f>
              <c:numCache>
                <c:formatCode>0.0</c:formatCode>
                <c:ptCount val="16"/>
                <c:pt idx="0">
                  <c:v>98.723743747215266</c:v>
                </c:pt>
                <c:pt idx="1">
                  <c:v>98.732919293296334</c:v>
                </c:pt>
                <c:pt idx="2">
                  <c:v>98.606327860923599</c:v>
                </c:pt>
                <c:pt idx="3">
                  <c:v>98.343969450097077</c:v>
                </c:pt>
                <c:pt idx="4">
                  <c:v>99.178166554823505</c:v>
                </c:pt>
                <c:pt idx="5">
                  <c:v>99.623413816350677</c:v>
                </c:pt>
                <c:pt idx="6">
                  <c:v>99.596198213567831</c:v>
                </c:pt>
                <c:pt idx="7">
                  <c:v>99.696973702729423</c:v>
                </c:pt>
                <c:pt idx="8">
                  <c:v>100</c:v>
                </c:pt>
                <c:pt idx="9">
                  <c:v>100.31465902348862</c:v>
                </c:pt>
                <c:pt idx="10">
                  <c:v>100.6345745462576</c:v>
                </c:pt>
                <c:pt idx="11">
                  <c:v>100.98346302216051</c:v>
                </c:pt>
                <c:pt idx="12">
                  <c:v>101.38241265541082</c:v>
                </c:pt>
                <c:pt idx="13">
                  <c:v>101.74245175256817</c:v>
                </c:pt>
                <c:pt idx="14">
                  <c:v>102.13927079291494</c:v>
                </c:pt>
                <c:pt idx="15">
                  <c:v>102.54265268147557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D-4DAA-9598-AA60C12F9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1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97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6522960296360737"/>
          <c:y val="0.11789924606557063"/>
          <c:w val="0.47488018276116511"/>
          <c:h val="5.611041463493352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29278003744125E-2"/>
          <c:y val="0.14728143509160144"/>
          <c:w val="0.87149249812568763"/>
          <c:h val="0.7133059142007122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Data'!$M$3</c:f>
              <c:strCache>
                <c:ptCount val="1"/>
                <c:pt idx="0">
                  <c:v>April 2025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Data'!$L$4:$L$19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Data'!$M$4:$M$19</c:f>
              <c:numCache>
                <c:formatCode>0</c:formatCode>
                <c:ptCount val="16"/>
                <c:pt idx="0">
                  <c:v>87398</c:v>
                </c:pt>
                <c:pt idx="1">
                  <c:v>87193</c:v>
                </c:pt>
                <c:pt idx="2">
                  <c:v>83160</c:v>
                </c:pt>
                <c:pt idx="3">
                  <c:v>86003</c:v>
                </c:pt>
                <c:pt idx="4">
                  <c:v>82999</c:v>
                </c:pt>
                <c:pt idx="5">
                  <c:v>79136</c:v>
                </c:pt>
                <c:pt idx="6">
                  <c:v>79947</c:v>
                </c:pt>
                <c:pt idx="7">
                  <c:v>75593</c:v>
                </c:pt>
                <c:pt idx="8">
                  <c:v>78863.960000000006</c:v>
                </c:pt>
                <c:pt idx="9">
                  <c:v>76532.990000000005</c:v>
                </c:pt>
                <c:pt idx="10">
                  <c:v>75001.37</c:v>
                </c:pt>
                <c:pt idx="11">
                  <c:v>73106.27</c:v>
                </c:pt>
                <c:pt idx="12">
                  <c:v>72180.289999999994</c:v>
                </c:pt>
                <c:pt idx="13">
                  <c:v>71973.56</c:v>
                </c:pt>
                <c:pt idx="14">
                  <c:v>72055.94</c:v>
                </c:pt>
                <c:pt idx="15">
                  <c:v>72199.7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A2-45E1-A8CA-72E409B148EE}"/>
            </c:ext>
          </c:extLst>
        </c:ser>
        <c:ser>
          <c:idx val="0"/>
          <c:order val="1"/>
          <c:tx>
            <c:strRef>
              <c:f>'Chart Data'!$N$3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Data'!$L$4:$L$19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Data'!$N$4:$N$19</c:f>
              <c:numCache>
                <c:formatCode>0</c:formatCode>
                <c:ptCount val="16"/>
                <c:pt idx="0">
                  <c:v>87198</c:v>
                </c:pt>
                <c:pt idx="1">
                  <c:v>87228</c:v>
                </c:pt>
                <c:pt idx="2">
                  <c:v>83531</c:v>
                </c:pt>
                <c:pt idx="3">
                  <c:v>85834</c:v>
                </c:pt>
                <c:pt idx="4">
                  <c:v>82683</c:v>
                </c:pt>
                <c:pt idx="5">
                  <c:v>78994</c:v>
                </c:pt>
                <c:pt idx="6">
                  <c:v>79804</c:v>
                </c:pt>
                <c:pt idx="7">
                  <c:v>75407</c:v>
                </c:pt>
                <c:pt idx="8">
                  <c:v>76131.13</c:v>
                </c:pt>
                <c:pt idx="9">
                  <c:v>76218.149999999994</c:v>
                </c:pt>
                <c:pt idx="10">
                  <c:v>76140.98</c:v>
                </c:pt>
                <c:pt idx="11">
                  <c:v>76067.3</c:v>
                </c:pt>
                <c:pt idx="12">
                  <c:v>76031.839999999997</c:v>
                </c:pt>
                <c:pt idx="13">
                  <c:v>76011.77</c:v>
                </c:pt>
                <c:pt idx="14">
                  <c:v>76098.77</c:v>
                </c:pt>
                <c:pt idx="15">
                  <c:v>76212.55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A2-45E1-A8CA-72E409B1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1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70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6522960296360737"/>
          <c:y val="0.11789924606557063"/>
          <c:w val="0.47488018276116511"/>
          <c:h val="5.611041463493352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29278003744125E-2"/>
          <c:y val="0.14728143509160144"/>
          <c:w val="0.87149249812568763"/>
          <c:h val="0.7133059142007122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Data'!$R$3</c:f>
              <c:strCache>
                <c:ptCount val="1"/>
                <c:pt idx="0">
                  <c:v>April 2025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Data'!$Q$4:$Q$19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Data'!$R$4:$R$19</c:f>
              <c:numCache>
                <c:formatCode>0.0</c:formatCode>
                <c:ptCount val="16"/>
                <c:pt idx="0">
                  <c:v>110.82121668757185</c:v>
                </c:pt>
                <c:pt idx="1">
                  <c:v>110.56127539119262</c:v>
                </c:pt>
                <c:pt idx="2">
                  <c:v>105.44740588730264</c:v>
                </c:pt>
                <c:pt idx="3">
                  <c:v>109.05234786586927</c:v>
                </c:pt>
                <c:pt idx="4">
                  <c:v>105.24325686917064</c:v>
                </c:pt>
                <c:pt idx="5">
                  <c:v>100.34494844032686</c:v>
                </c:pt>
                <c:pt idx="6">
                  <c:v>101.37330156892959</c:v>
                </c:pt>
                <c:pt idx="7">
                  <c:v>95.852402035099431</c:v>
                </c:pt>
                <c:pt idx="8">
                  <c:v>100</c:v>
                </c:pt>
                <c:pt idx="9">
                  <c:v>97.044315299409263</c:v>
                </c:pt>
                <c:pt idx="10">
                  <c:v>95.10221145374895</c:v>
                </c:pt>
                <c:pt idx="11">
                  <c:v>92.699212669513415</c:v>
                </c:pt>
                <c:pt idx="12">
                  <c:v>91.525064173800033</c:v>
                </c:pt>
                <c:pt idx="13">
                  <c:v>91.262929226480622</c:v>
                </c:pt>
                <c:pt idx="14">
                  <c:v>91.36738758743536</c:v>
                </c:pt>
                <c:pt idx="15">
                  <c:v>91.54967617654502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0"/>
          <c:order val="1"/>
          <c:tx>
            <c:strRef>
              <c:f>'Chart Data'!$S$3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Data'!$Q$4:$Q$19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Data'!$S$4:$S$19</c:f>
              <c:numCache>
                <c:formatCode>0.0</c:formatCode>
                <c:ptCount val="16"/>
                <c:pt idx="0">
                  <c:v>114.53658969727624</c:v>
                </c:pt>
                <c:pt idx="1">
                  <c:v>114.57599539111006</c:v>
                </c:pt>
                <c:pt idx="2">
                  <c:v>109.71990038766006</c:v>
                </c:pt>
                <c:pt idx="3">
                  <c:v>112.74494415096687</c:v>
                </c:pt>
                <c:pt idx="4">
                  <c:v>108.60603277529177</c:v>
                </c:pt>
                <c:pt idx="5">
                  <c:v>103.76044595686416</c:v>
                </c:pt>
                <c:pt idx="6">
                  <c:v>104.82439969037631</c:v>
                </c:pt>
                <c:pt idx="7">
                  <c:v>99.048838497471394</c:v>
                </c:pt>
                <c:pt idx="8">
                  <c:v>100</c:v>
                </c:pt>
                <c:pt idx="9">
                  <c:v>100.11430278258051</c:v>
                </c:pt>
                <c:pt idx="10">
                  <c:v>100.01293820280874</c:v>
                </c:pt>
                <c:pt idx="11">
                  <c:v>99.916157818752978</c:v>
                </c:pt>
                <c:pt idx="12">
                  <c:v>99.869580288641444</c:v>
                </c:pt>
                <c:pt idx="13">
                  <c:v>99.84321787946665</c:v>
                </c:pt>
                <c:pt idx="14">
                  <c:v>99.957494391584618</c:v>
                </c:pt>
                <c:pt idx="15">
                  <c:v>100.10694705306489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1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9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6522960296360737"/>
          <c:y val="0.11789924606557063"/>
          <c:w val="0.47488018276116511"/>
          <c:h val="5.611041463493352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29278003744125E-2"/>
          <c:y val="0.14728143509160144"/>
          <c:w val="0.87149249812568763"/>
          <c:h val="0.7133059142007122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Data'!$AD$3</c:f>
              <c:strCache>
                <c:ptCount val="1"/>
                <c:pt idx="0">
                  <c:v>April 2025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Data'!$AC$4:$AC$19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Data'!$AD$4:$AD$19</c:f>
              <c:numCache>
                <c:formatCode>0.0</c:formatCode>
                <c:ptCount val="16"/>
                <c:pt idx="0">
                  <c:v>98.297764311200709</c:v>
                </c:pt>
                <c:pt idx="1">
                  <c:v>98.675200162375717</c:v>
                </c:pt>
                <c:pt idx="2">
                  <c:v>96.396489940551504</c:v>
                </c:pt>
                <c:pt idx="3">
                  <c:v>98.166209906641782</c:v>
                </c:pt>
                <c:pt idx="4">
                  <c:v>97.925026831617089</c:v>
                </c:pt>
                <c:pt idx="5">
                  <c:v>99.658725948840058</c:v>
                </c:pt>
                <c:pt idx="6">
                  <c:v>101.83407199565369</c:v>
                </c:pt>
                <c:pt idx="7">
                  <c:v>99.950024987506239</c:v>
                </c:pt>
                <c:pt idx="8">
                  <c:v>100</c:v>
                </c:pt>
                <c:pt idx="9">
                  <c:v>99.979984937020674</c:v>
                </c:pt>
                <c:pt idx="10">
                  <c:v>100.02997561075307</c:v>
                </c:pt>
                <c:pt idx="11">
                  <c:v>99.959969874041349</c:v>
                </c:pt>
                <c:pt idx="12">
                  <c:v>100.00986658034192</c:v>
                </c:pt>
                <c:pt idx="13">
                  <c:v>100.05993556026749</c:v>
                </c:pt>
                <c:pt idx="14">
                  <c:v>100.15001900491308</c:v>
                </c:pt>
                <c:pt idx="15">
                  <c:v>100.22011870905662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0-4642-BE04-A4BD2241A3C0}"/>
            </c:ext>
          </c:extLst>
        </c:ser>
        <c:ser>
          <c:idx val="0"/>
          <c:order val="1"/>
          <c:tx>
            <c:strRef>
              <c:f>'Chart Data'!$AE$3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Data'!$AC$4:$AC$19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Data'!$AE$4:$AE$19</c:f>
              <c:numCache>
                <c:formatCode>0.0</c:formatCode>
                <c:ptCount val="16"/>
                <c:pt idx="0">
                  <c:v>98.445182674088244</c:v>
                </c:pt>
                <c:pt idx="1">
                  <c:v>99.403053200506534</c:v>
                </c:pt>
                <c:pt idx="2">
                  <c:v>97.083087639805456</c:v>
                </c:pt>
                <c:pt idx="3">
                  <c:v>98.767618565575518</c:v>
                </c:pt>
                <c:pt idx="4">
                  <c:v>98.06612389433981</c:v>
                </c:pt>
                <c:pt idx="5">
                  <c:v>99.461248946774958</c:v>
                </c:pt>
                <c:pt idx="6">
                  <c:v>101.31092996330679</c:v>
                </c:pt>
                <c:pt idx="7">
                  <c:v>98.048822456259998</c:v>
                </c:pt>
                <c:pt idx="8">
                  <c:v>100</c:v>
                </c:pt>
                <c:pt idx="9">
                  <c:v>100.27998445387145</c:v>
                </c:pt>
                <c:pt idx="10">
                  <c:v>100.61089805001784</c:v>
                </c:pt>
                <c:pt idx="11">
                  <c:v>100.93289354126307</c:v>
                </c:pt>
                <c:pt idx="12">
                  <c:v>101.46774390663012</c:v>
                </c:pt>
                <c:pt idx="13">
                  <c:v>102.04616243879812</c:v>
                </c:pt>
                <c:pt idx="14">
                  <c:v>102.69929172631076</c:v>
                </c:pt>
                <c:pt idx="15">
                  <c:v>103.31549030781304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0-4642-BE04-A4BD2241A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1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96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6522960296360737"/>
          <c:y val="0.11789924606557063"/>
          <c:w val="0.47488018276116511"/>
          <c:h val="5.611041463493352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29278003744125E-2"/>
          <c:y val="0.14728143509160144"/>
          <c:w val="0.87149249812568763"/>
          <c:h val="0.7133059142007122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Data'!$AI$3</c:f>
              <c:strCache>
                <c:ptCount val="1"/>
                <c:pt idx="0">
                  <c:v>April 2025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Data'!$AH$4:$AH$19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Data'!$AI$4:$AI$19</c:f>
              <c:numCache>
                <c:formatCode>0.0</c:formatCode>
                <c:ptCount val="16"/>
                <c:pt idx="0">
                  <c:v>99.433534775847292</c:v>
                </c:pt>
                <c:pt idx="1">
                  <c:v>97.968314945328714</c:v>
                </c:pt>
                <c:pt idx="2">
                  <c:v>96.436533505990113</c:v>
                </c:pt>
                <c:pt idx="3">
                  <c:v>97.332089697386721</c:v>
                </c:pt>
                <c:pt idx="4">
                  <c:v>98.072911759188742</c:v>
                </c:pt>
                <c:pt idx="5">
                  <c:v>99.141355246221764</c:v>
                </c:pt>
                <c:pt idx="6">
                  <c:v>100.12940614078386</c:v>
                </c:pt>
                <c:pt idx="7">
                  <c:v>99.509605185927313</c:v>
                </c:pt>
                <c:pt idx="8">
                  <c:v>100</c:v>
                </c:pt>
                <c:pt idx="9">
                  <c:v>100.07261266416729</c:v>
                </c:pt>
                <c:pt idx="10">
                  <c:v>100.25232900798133</c:v>
                </c:pt>
                <c:pt idx="11">
                  <c:v>100.43913373091648</c:v>
                </c:pt>
                <c:pt idx="12">
                  <c:v>100.73001660582474</c:v>
                </c:pt>
                <c:pt idx="13">
                  <c:v>101.05608204539503</c:v>
                </c:pt>
                <c:pt idx="14">
                  <c:v>101.40911790308455</c:v>
                </c:pt>
                <c:pt idx="15">
                  <c:v>101.77486097700339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4B-49FB-A1CE-5EE4D84686AD}"/>
            </c:ext>
          </c:extLst>
        </c:ser>
        <c:ser>
          <c:idx val="0"/>
          <c:order val="1"/>
          <c:tx>
            <c:strRef>
              <c:f>'Chart Data'!$AJ$3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Data'!$AH$4:$AH$19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Data'!$AJ$4:$AJ$19</c:f>
              <c:numCache>
                <c:formatCode>0.0</c:formatCode>
                <c:ptCount val="16"/>
                <c:pt idx="0">
                  <c:v>101.25094250602984</c:v>
                </c:pt>
                <c:pt idx="1">
                  <c:v>100.05864481963411</c:v>
                </c:pt>
                <c:pt idx="2">
                  <c:v>98.459801842241021</c:v>
                </c:pt>
                <c:pt idx="3">
                  <c:v>99.31875002755865</c:v>
                </c:pt>
                <c:pt idx="4">
                  <c:v>100.25530338773045</c:v>
                </c:pt>
                <c:pt idx="5">
                  <c:v>100.93963992962622</c:v>
                </c:pt>
                <c:pt idx="6">
                  <c:v>101.91940526215998</c:v>
                </c:pt>
                <c:pt idx="7">
                  <c:v>101.00842633461058</c:v>
                </c:pt>
                <c:pt idx="8">
                  <c:v>100</c:v>
                </c:pt>
                <c:pt idx="9">
                  <c:v>100.59129851976947</c:v>
                </c:pt>
                <c:pt idx="10">
                  <c:v>101.46541498926314</c:v>
                </c:pt>
                <c:pt idx="11">
                  <c:v>102.28220945460318</c:v>
                </c:pt>
                <c:pt idx="12">
                  <c:v>103.06214146188748</c:v>
                </c:pt>
                <c:pt idx="13">
                  <c:v>103.8547724977843</c:v>
                </c:pt>
                <c:pt idx="14">
                  <c:v>104.61018832483057</c:v>
                </c:pt>
                <c:pt idx="15">
                  <c:v>105.30334363659613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B-49FB-A1CE-5EE4D8468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1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96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6522960296360737"/>
          <c:y val="0.11789924606557063"/>
          <c:w val="0.47488018276116511"/>
          <c:h val="5.611041463493352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9E8711-23C8-4B3A-9FA2-DC68C7833BFF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B661C6-CD86-4033-B6D8-03C418E14FD8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8C06D6-8966-4190-ACBD-9B33EFA352A8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88E5ABB-4F01-417E-BC1D-60CB2E310EB0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73A573-B600-4668-9BC2-A128362FEDE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9D0914B-B15D-4E5B-A2E0-F5DCA91E6C3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7932A8-5745-4BC5-8613-1EB11AD237C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2D4791B-DBBB-40BC-B8F7-1FB623D3C04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CAB18-EF68-547C-81CA-C116CBA367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CD2078-C43E-3808-EAAF-C91A0C4B7EC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GDP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C8CEC33-18F5-90B7-ECC4-18CE20F77194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0.23481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41CB87-524C-BE31-8E7C-7C47C94BB628}"/>
            </a:ext>
          </a:extLst>
        </cdr:cNvPr>
        <cdr:cNvSpPr txBox="1"/>
      </cdr:nvSpPr>
      <cdr:spPr>
        <a:xfrm xmlns:a="http://schemas.openxmlformats.org/drawingml/2006/main">
          <a:off x="0" y="508000"/>
          <a:ext cx="19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2022 prices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0.48814</cdr:x>
      <cdr:y>0.18529</cdr:y>
    </cdr:from>
    <cdr:to>
      <cdr:x>0.48814</cdr:x>
      <cdr:y>0.85856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404B5495-E79F-4580-5EF0-A48E72E4B30C}"/>
            </a:ext>
          </a:extLst>
        </cdr:cNvPr>
        <cdr:cNvCxnSpPr/>
      </cdr:nvCxnSpPr>
      <cdr:spPr>
        <a:xfrm xmlns:a="http://schemas.openxmlformats.org/drawingml/2006/main">
          <a:off x="4114800" y="1247775"/>
          <a:ext cx="0" cy="45339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0.70734</cdr:x>
      <cdr:y>0.63649</cdr:y>
    </cdr:from>
    <cdr:to>
      <cdr:x>0.85989</cdr:x>
      <cdr:y>0.71287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E87EF4F-EC8C-4F7C-2F33-37CDF1F7D13F}"/>
            </a:ext>
          </a:extLst>
        </cdr:cNvPr>
        <cdr:cNvSpPr txBox="1"/>
      </cdr:nvSpPr>
      <cdr:spPr>
        <a:xfrm xmlns:a="http://schemas.openxmlformats.org/drawingml/2006/main">
          <a:off x="5962650" y="4286250"/>
          <a:ext cx="1285875" cy="514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Forecast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F8F15-7E8E-FC24-DC2D-7DCCD525C9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CD2078-C43E-3808-EAAF-C91A0C4B7EC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 investment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C8CEC33-18F5-90B7-ECC4-18CE20F77194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0.23481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41CB87-524C-BE31-8E7C-7C47C94BB628}"/>
            </a:ext>
          </a:extLst>
        </cdr:cNvPr>
        <cdr:cNvSpPr txBox="1"/>
      </cdr:nvSpPr>
      <cdr:spPr>
        <a:xfrm xmlns:a="http://schemas.openxmlformats.org/drawingml/2006/main">
          <a:off x="0" y="508000"/>
          <a:ext cx="19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2022 prices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0.48362</cdr:x>
      <cdr:y>0.1867</cdr:y>
    </cdr:from>
    <cdr:to>
      <cdr:x>0.48362</cdr:x>
      <cdr:y>0.85997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404B5495-E79F-4580-5EF0-A48E72E4B30C}"/>
            </a:ext>
          </a:extLst>
        </cdr:cNvPr>
        <cdr:cNvCxnSpPr/>
      </cdr:nvCxnSpPr>
      <cdr:spPr>
        <a:xfrm xmlns:a="http://schemas.openxmlformats.org/drawingml/2006/main">
          <a:off x="4076737" y="1257300"/>
          <a:ext cx="0" cy="4533918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0.69265</cdr:x>
      <cdr:y>0.67751</cdr:y>
    </cdr:from>
    <cdr:to>
      <cdr:x>0.8452</cdr:x>
      <cdr:y>0.75389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E87EF4F-EC8C-4F7C-2F33-37CDF1F7D13F}"/>
            </a:ext>
          </a:extLst>
        </cdr:cNvPr>
        <cdr:cNvSpPr txBox="1"/>
      </cdr:nvSpPr>
      <cdr:spPr>
        <a:xfrm xmlns:a="http://schemas.openxmlformats.org/drawingml/2006/main">
          <a:off x="5838784" y="4562474"/>
          <a:ext cx="1285939" cy="514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Forecast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018307-843D-8211-2275-75B8BAB376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961CCAA-21A1-4C80-76C6-2157EC21C36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5AEAEC5-710F-7AE2-BB28-B9533ABEFD8E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0.49212</cdr:x>
      <cdr:y>0.15111</cdr:y>
    </cdr:from>
    <cdr:to>
      <cdr:x>0.49212</cdr:x>
      <cdr:y>0.85788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D1D2F42-945B-D2B0-94BD-F663EFBB1C71}"/>
            </a:ext>
          </a:extLst>
        </cdr:cNvPr>
        <cdr:cNvCxnSpPr/>
      </cdr:nvCxnSpPr>
      <cdr:spPr>
        <a:xfrm xmlns:a="http://schemas.openxmlformats.org/drawingml/2006/main">
          <a:off x="4149725" y="1016000"/>
          <a:ext cx="0" cy="4752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0.66908</cdr:x>
      <cdr:y>0.27531</cdr:y>
    </cdr:from>
    <cdr:to>
      <cdr:x>0.81969</cdr:x>
      <cdr:y>0.35464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ACABBE9-C77D-EAA1-118F-E992AFF01DD5}"/>
            </a:ext>
          </a:extLst>
        </cdr:cNvPr>
        <cdr:cNvSpPr txBox="1"/>
      </cdr:nvSpPr>
      <cdr:spPr>
        <a:xfrm xmlns:a="http://schemas.openxmlformats.org/drawingml/2006/main">
          <a:off x="5641975" y="185102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0.07131</cdr:y>
    </cdr:from>
    <cdr:to>
      <cdr:x>0.12808</cdr:x>
      <cdr:y>0.12231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5CE1BC2-29E3-884D-5F60-20BD5138C1F5}"/>
            </a:ext>
          </a:extLst>
        </cdr:cNvPr>
        <cdr:cNvSpPr txBox="1"/>
      </cdr:nvSpPr>
      <cdr:spPr>
        <a:xfrm xmlns:a="http://schemas.openxmlformats.org/drawingml/2006/main">
          <a:off x="0" y="479425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77C5F-9075-E086-7388-B92113DC0D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CD2078-C43E-3808-EAAF-C91A0C4B7EC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GDP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C8CEC33-18F5-90B7-ECC4-18CE20F77194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0.23481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41CB87-524C-BE31-8E7C-7C47C94BB628}"/>
            </a:ext>
          </a:extLst>
        </cdr:cNvPr>
        <cdr:cNvSpPr txBox="1"/>
      </cdr:nvSpPr>
      <cdr:spPr>
        <a:xfrm xmlns:a="http://schemas.openxmlformats.org/drawingml/2006/main">
          <a:off x="0" y="508000"/>
          <a:ext cx="19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Q1 2025 = 100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4D570-C136-7321-B4B9-B5E23C00E8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CD2078-C43E-3808-EAAF-C91A0C4B7EC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Non-fue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 goods exports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C8CEC33-18F5-90B7-ECC4-18CE20F77194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0.23481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41CB87-524C-BE31-8E7C-7C47C94BB628}"/>
            </a:ext>
          </a:extLst>
        </cdr:cNvPr>
        <cdr:cNvSpPr txBox="1"/>
      </cdr:nvSpPr>
      <cdr:spPr>
        <a:xfrm xmlns:a="http://schemas.openxmlformats.org/drawingml/2006/main">
          <a:off x="0" y="508000"/>
          <a:ext cx="19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2022 prices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0.48814</cdr:x>
      <cdr:y>0.18529</cdr:y>
    </cdr:from>
    <cdr:to>
      <cdr:x>0.48814</cdr:x>
      <cdr:y>0.85856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404B5495-E79F-4580-5EF0-A48E72E4B30C}"/>
            </a:ext>
          </a:extLst>
        </cdr:cNvPr>
        <cdr:cNvCxnSpPr/>
      </cdr:nvCxnSpPr>
      <cdr:spPr>
        <a:xfrm xmlns:a="http://schemas.openxmlformats.org/drawingml/2006/main">
          <a:off x="4114800" y="1247775"/>
          <a:ext cx="0" cy="45339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0.70282</cdr:x>
      <cdr:y>0.25884</cdr:y>
    </cdr:from>
    <cdr:to>
      <cdr:x>0.85537</cdr:x>
      <cdr:y>0.33522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E87EF4F-EC8C-4F7C-2F33-37CDF1F7D13F}"/>
            </a:ext>
          </a:extLst>
        </cdr:cNvPr>
        <cdr:cNvSpPr txBox="1"/>
      </cdr:nvSpPr>
      <cdr:spPr>
        <a:xfrm xmlns:a="http://schemas.openxmlformats.org/drawingml/2006/main">
          <a:off x="5924511" y="1743060"/>
          <a:ext cx="1285939" cy="514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Forecast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AD95A6-4F6F-046A-6652-FB61D8C2F7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CD2078-C43E-3808-EAAF-C91A0C4B7EC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Non-fuel goods exports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C8CEC33-18F5-90B7-ECC4-18CE20F77194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0.23481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41CB87-524C-BE31-8E7C-7C47C94BB628}"/>
            </a:ext>
          </a:extLst>
        </cdr:cNvPr>
        <cdr:cNvSpPr txBox="1"/>
      </cdr:nvSpPr>
      <cdr:spPr>
        <a:xfrm xmlns:a="http://schemas.openxmlformats.org/drawingml/2006/main">
          <a:off x="0" y="508000"/>
          <a:ext cx="19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Q1 2025 = 100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87739-179E-9717-1C91-7179C08F2A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CD2078-C43E-3808-EAAF-C91A0C4B7EC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 investment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C8CEC33-18F5-90B7-ECC4-18CE20F77194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0.23481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41CB87-524C-BE31-8E7C-7C47C94BB628}"/>
            </a:ext>
          </a:extLst>
        </cdr:cNvPr>
        <cdr:cNvSpPr txBox="1"/>
      </cdr:nvSpPr>
      <cdr:spPr>
        <a:xfrm xmlns:a="http://schemas.openxmlformats.org/drawingml/2006/main">
          <a:off x="0" y="508000"/>
          <a:ext cx="19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Q1 2025 = 100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45EAD-B4C1-D24D-11AF-D7C797FA79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CD2078-C43E-3808-EAAF-C91A0C4B7EC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Fixed investment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C8CEC33-18F5-90B7-ECC4-18CE20F77194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0.23481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41CB87-524C-BE31-8E7C-7C47C94BB628}"/>
            </a:ext>
          </a:extLst>
        </cdr:cNvPr>
        <cdr:cNvSpPr txBox="1"/>
      </cdr:nvSpPr>
      <cdr:spPr>
        <a:xfrm xmlns:a="http://schemas.openxmlformats.org/drawingml/2006/main">
          <a:off x="0" y="508000"/>
          <a:ext cx="19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Q1 2025 = 100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lobal%20macro%20team/Key%20Charts/PMI/Table_P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C601-A005-450E-8E00-9FCEC7920A7C}">
  <sheetPr>
    <tabColor rgb="FFC00000"/>
  </sheetPr>
  <dimension ref="A1"/>
  <sheetViews>
    <sheetView workbookViewId="0">
      <selection activeCell="J33" sqref="J3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59F1-C843-4F0A-B18A-8F242161ED2D}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88FB-E1C2-40DB-8724-6E653AD9ED08}">
  <dimension ref="A1:BQ105"/>
  <sheetViews>
    <sheetView topLeftCell="Q1" workbookViewId="0">
      <selection activeCell="AP5" sqref="AP5"/>
    </sheetView>
  </sheetViews>
  <sheetFormatPr defaultRowHeight="15" x14ac:dyDescent="0.25"/>
  <cols>
    <col min="1" max="1" width="10.42578125" bestFit="1" customWidth="1"/>
    <col min="6" max="6" width="2.7109375" customWidth="1"/>
    <col min="7" max="7" width="10.42578125" bestFit="1" customWidth="1"/>
    <col min="11" max="11" width="2.7109375" customWidth="1"/>
    <col min="12" max="12" width="10.42578125" bestFit="1" customWidth="1"/>
    <col min="16" max="16" width="2.7109375" customWidth="1"/>
    <col min="17" max="17" width="10.42578125" bestFit="1" customWidth="1"/>
    <col min="21" max="21" width="2.7109375" customWidth="1"/>
    <col min="22" max="22" width="10.42578125" bestFit="1" customWidth="1"/>
    <col min="28" max="28" width="2.7109375" customWidth="1"/>
    <col min="29" max="29" width="10.42578125" bestFit="1" customWidth="1"/>
    <col min="33" max="33" width="2.7109375" customWidth="1"/>
    <col min="34" max="34" width="10.42578125" bestFit="1" customWidth="1"/>
    <col min="38" max="38" width="2.7109375" customWidth="1"/>
    <col min="39" max="39" width="10.42578125" bestFit="1" customWidth="1"/>
    <col min="43" max="43" width="2.7109375" customWidth="1"/>
    <col min="44" max="44" width="10.42578125" bestFit="1" customWidth="1"/>
    <col min="48" max="48" width="2.7109375" customWidth="1"/>
    <col min="50" max="55" width="16.7109375" customWidth="1"/>
    <col min="56" max="56" width="2.7109375" customWidth="1"/>
    <col min="57" max="58" width="16.7109375" customWidth="1"/>
    <col min="59" max="59" width="2.7109375" customWidth="1"/>
    <col min="61" max="66" width="16.7109375" customWidth="1"/>
    <col min="67" max="67" width="2.7109375" customWidth="1"/>
    <col min="68" max="69" width="16.7109375" customWidth="1"/>
  </cols>
  <sheetData>
    <row r="1" spans="1:69" x14ac:dyDescent="0.25">
      <c r="A1" s="7" t="s">
        <v>381</v>
      </c>
      <c r="G1" s="7" t="s">
        <v>381</v>
      </c>
      <c r="L1" s="7" t="s">
        <v>443</v>
      </c>
      <c r="Q1" s="7" t="s">
        <v>443</v>
      </c>
      <c r="V1" s="7" t="s">
        <v>446</v>
      </c>
      <c r="AC1" s="7" t="s">
        <v>446</v>
      </c>
      <c r="AH1" s="7" t="s">
        <v>453</v>
      </c>
      <c r="AM1" s="7" t="s">
        <v>524</v>
      </c>
      <c r="AR1" s="7" t="s">
        <v>458</v>
      </c>
      <c r="AW1" s="13" t="s">
        <v>521</v>
      </c>
      <c r="BB1" s="13"/>
      <c r="BC1" s="13"/>
      <c r="BD1" s="12"/>
      <c r="BE1" s="13"/>
      <c r="BF1" s="13"/>
      <c r="BH1" s="13" t="s">
        <v>522</v>
      </c>
      <c r="BM1" s="13"/>
      <c r="BN1" s="13"/>
      <c r="BO1" s="12"/>
      <c r="BP1" s="13"/>
      <c r="BQ1" s="13"/>
    </row>
    <row r="2" spans="1:69" x14ac:dyDescent="0.25">
      <c r="AW2" s="11"/>
      <c r="AX2" s="11" t="s">
        <v>503</v>
      </c>
      <c r="AY2" s="11" t="s">
        <v>504</v>
      </c>
      <c r="AZ2" s="11" t="s">
        <v>493</v>
      </c>
      <c r="BA2" s="11" t="s">
        <v>500</v>
      </c>
      <c r="BB2" s="11" t="s">
        <v>459</v>
      </c>
      <c r="BC2" s="11" t="s">
        <v>381</v>
      </c>
      <c r="BE2" s="11" t="s">
        <v>458</v>
      </c>
      <c r="BF2" s="11" t="s">
        <v>381</v>
      </c>
      <c r="BH2" s="11"/>
      <c r="BI2" s="11" t="s">
        <v>503</v>
      </c>
      <c r="BJ2" s="11" t="s">
        <v>504</v>
      </c>
      <c r="BK2" s="11" t="s">
        <v>493</v>
      </c>
      <c r="BL2" s="11" t="s">
        <v>500</v>
      </c>
      <c r="BM2" s="11" t="s">
        <v>459</v>
      </c>
      <c r="BN2" s="11" t="s">
        <v>381</v>
      </c>
      <c r="BP2" s="11" t="s">
        <v>458</v>
      </c>
      <c r="BQ2" s="11" t="s">
        <v>381</v>
      </c>
    </row>
    <row r="3" spans="1:69" x14ac:dyDescent="0.25">
      <c r="B3" s="1" t="s">
        <v>445</v>
      </c>
      <c r="C3" s="1" t="s">
        <v>444</v>
      </c>
      <c r="D3" s="1" t="s">
        <v>529</v>
      </c>
      <c r="H3" s="1" t="s">
        <v>445</v>
      </c>
      <c r="I3" s="1" t="s">
        <v>444</v>
      </c>
      <c r="M3" s="1" t="s">
        <v>445</v>
      </c>
      <c r="N3" s="1" t="s">
        <v>444</v>
      </c>
      <c r="R3" s="1" t="s">
        <v>445</v>
      </c>
      <c r="S3" s="1" t="s">
        <v>444</v>
      </c>
      <c r="W3" s="1" t="s">
        <v>445</v>
      </c>
      <c r="X3" s="1" t="s">
        <v>444</v>
      </c>
      <c r="Y3" s="1" t="s">
        <v>529</v>
      </c>
      <c r="AD3" s="1" t="s">
        <v>445</v>
      </c>
      <c r="AE3" s="1" t="s">
        <v>444</v>
      </c>
      <c r="AI3" s="1" t="s">
        <v>445</v>
      </c>
      <c r="AJ3" s="1" t="s">
        <v>444</v>
      </c>
      <c r="AN3" s="1" t="s">
        <v>445</v>
      </c>
      <c r="AO3" s="1" t="s">
        <v>444</v>
      </c>
      <c r="AP3" s="1" t="s">
        <v>530</v>
      </c>
      <c r="AS3" s="1" t="s">
        <v>445</v>
      </c>
      <c r="AT3" s="1" t="s">
        <v>444</v>
      </c>
      <c r="AW3">
        <v>1980</v>
      </c>
      <c r="AX3">
        <f>'Annual Data'!K14*'Annual Data'!L14</f>
        <v>24.765529999999998</v>
      </c>
      <c r="AY3">
        <f>'Annual Data'!M14/'Annual Data'!N14</f>
        <v>8.4961677665268827</v>
      </c>
      <c r="AZ3" s="10">
        <f>'Annual Data'!O14</f>
        <v>1265800.5</v>
      </c>
      <c r="BA3" s="14">
        <f>'Annual Data'!P14</f>
        <v>-7.6452279999999995</v>
      </c>
      <c r="BB3" s="10">
        <f>'Annual Data'!J14</f>
        <v>1080987.1000000001</v>
      </c>
      <c r="BC3" s="10">
        <f>'Annual Data'!B14</f>
        <v>1059660</v>
      </c>
      <c r="BE3" s="10"/>
      <c r="BF3" s="10"/>
      <c r="BH3">
        <v>1980</v>
      </c>
      <c r="BI3">
        <f>'Annual Data'!Z14*'Annual Data'!AA14</f>
        <v>24.765529999999998</v>
      </c>
      <c r="BJ3">
        <f>'Annual Data'!AB14/'Annual Data'!AC14</f>
        <v>8.4961677665268827</v>
      </c>
      <c r="BK3" s="10">
        <f>'Annual Data'!AD14</f>
        <v>1265800.5</v>
      </c>
      <c r="BL3" s="14">
        <f>'Annual Data'!AE14</f>
        <v>-7.6452279999999995</v>
      </c>
      <c r="BM3" s="10">
        <f>'Annual Data'!Y14</f>
        <v>1080987.1000000001</v>
      </c>
      <c r="BN3" s="10">
        <f>'Annual Data'!Q14</f>
        <v>1059660</v>
      </c>
      <c r="BP3" s="10"/>
      <c r="BQ3" s="10"/>
    </row>
    <row r="4" spans="1:69" x14ac:dyDescent="0.25">
      <c r="A4" s="8">
        <v>44927</v>
      </c>
      <c r="B4" s="10">
        <f>'Quarterly Data'!D207</f>
        <v>634428</v>
      </c>
      <c r="C4" s="10">
        <f>'Quarterly Data'!S207</f>
        <v>634807</v>
      </c>
      <c r="D4" s="10">
        <f>'Quarterly Data'!AH207</f>
        <v>634807</v>
      </c>
      <c r="E4" s="9">
        <f t="shared" ref="E4:E19" si="0">100*((B4/C4)-1)</f>
        <v>-5.9703185377601997E-2</v>
      </c>
      <c r="G4" s="8">
        <v>44927</v>
      </c>
      <c r="H4" s="9">
        <f>100*('Quarterly Data'!D207/'Quarterly Data'!$D$215)</f>
        <v>98.225440040304107</v>
      </c>
      <c r="I4" s="9">
        <f>100*('Quarterly Data'!S207/'Quarterly Data'!$S$215)</f>
        <v>98.723743747215266</v>
      </c>
      <c r="J4" s="9">
        <f t="shared" ref="J4:J19" si="1">100*((H4/I4)-1)</f>
        <v>-0.50474555359962814</v>
      </c>
      <c r="L4" s="8">
        <v>44927</v>
      </c>
      <c r="M4" s="10">
        <f>'Quarterly Data'!G207</f>
        <v>87398</v>
      </c>
      <c r="N4" s="10">
        <f>'Quarterly Data'!V207</f>
        <v>87198</v>
      </c>
      <c r="O4" s="9">
        <f t="shared" ref="O4:O19" si="2">100*((M4/N4)-1)</f>
        <v>0.22936305878575869</v>
      </c>
      <c r="Q4" s="8">
        <v>44927</v>
      </c>
      <c r="R4" s="9">
        <f>100*('Quarterly Data'!G207/'Quarterly Data'!$G$215)</f>
        <v>110.82121668757185</v>
      </c>
      <c r="S4" s="9">
        <f>100*('Quarterly Data'!V207/'Quarterly Data'!$V$215)</f>
        <v>114.53658969727624</v>
      </c>
      <c r="T4" s="9">
        <f t="shared" ref="T4:T19" si="3">100*((R4/S4)-1)</f>
        <v>-3.2438306566698327</v>
      </c>
      <c r="V4" s="8">
        <v>44927</v>
      </c>
      <c r="W4" s="10">
        <f>'Quarterly Data'!K207</f>
        <v>62765</v>
      </c>
      <c r="X4" s="10">
        <f>'Quarterly Data'!Z207</f>
        <v>62590</v>
      </c>
      <c r="Y4" s="10">
        <f>'Quarterly Data'!AO207</f>
        <v>62590</v>
      </c>
      <c r="Z4" s="9">
        <f t="shared" ref="Z4:Z19" si="4">100*((W4/X4)-1)</f>
        <v>0.27959737977312216</v>
      </c>
      <c r="AA4" s="9">
        <f>100*((W4/Y4)-1)</f>
        <v>0.27959737977312216</v>
      </c>
      <c r="AC4" s="8">
        <v>44927</v>
      </c>
      <c r="AD4" s="9">
        <f>100*('Quarterly Data'!K207/'Quarterly Data'!$K$215)</f>
        <v>98.297764311200709</v>
      </c>
      <c r="AE4" s="9">
        <f>100*('Quarterly Data'!Z207/'Quarterly Data'!$Z$215)</f>
        <v>98.445182674088244</v>
      </c>
      <c r="AF4" s="9">
        <f t="shared" ref="AF4:AF19" si="5">100*((AD4/AE4)-1)</f>
        <v>-0.14974664974271024</v>
      </c>
      <c r="AH4" s="8">
        <v>44927</v>
      </c>
      <c r="AI4" s="9">
        <f>100*('Quarterly Data'!J207/'Quarterly Data'!$J$215)</f>
        <v>99.433534775847292</v>
      </c>
      <c r="AJ4" s="9">
        <f>100*('Quarterly Data'!Y207/'Quarterly Data'!$Y$215)</f>
        <v>101.25094250602984</v>
      </c>
      <c r="AK4" s="9">
        <f t="shared" ref="AK4:AK19" si="6">100*((AI4/AJ4)-1)</f>
        <v>-1.7949538890211558</v>
      </c>
      <c r="AM4" s="8">
        <v>44927</v>
      </c>
      <c r="AN4" s="9">
        <f>100*(('Quarterly Data'!E207/'Quarterly Data'!E203)-1)</f>
        <v>10.178266296223782</v>
      </c>
      <c r="AO4" s="9">
        <f>100*(('Quarterly Data'!T207/'Quarterly Data'!T203)-1)</f>
        <v>10.178266296223782</v>
      </c>
      <c r="AP4" s="9">
        <v>2</v>
      </c>
      <c r="AR4" s="8">
        <v>44927</v>
      </c>
      <c r="AS4" s="10">
        <f>'Quarterly Data'!L207</f>
        <v>628265.6</v>
      </c>
      <c r="AT4" s="10">
        <f>'Quarterly Data'!AA207</f>
        <v>628224.80000000005</v>
      </c>
      <c r="AU4" s="9">
        <f t="shared" ref="AU4:AU51" si="7">100*((AS4/AT4)-1)</f>
        <v>6.4944905072028547E-3</v>
      </c>
      <c r="AW4">
        <v>1981</v>
      </c>
      <c r="AX4">
        <f>'Annual Data'!K15*'Annual Data'!L15</f>
        <v>24.659649999999999</v>
      </c>
      <c r="AY4">
        <f>'Annual Data'!M15/'Annual Data'!N15</f>
        <v>8.5228977186130841</v>
      </c>
      <c r="AZ4" s="10">
        <f>'Annual Data'!O15</f>
        <v>1278218.5</v>
      </c>
      <c r="BA4" s="14">
        <f>'Annual Data'!P15</f>
        <v>-7.595809</v>
      </c>
      <c r="BB4" s="10">
        <f>'Annual Data'!J15</f>
        <v>1096885.7000000002</v>
      </c>
      <c r="BC4" s="10">
        <f>'Annual Data'!B15</f>
        <v>1052374</v>
      </c>
      <c r="BE4" s="9">
        <f>100*((BB4/BB3)-1)</f>
        <v>1.4707483558314527</v>
      </c>
      <c r="BF4" s="9">
        <f>100*((BC4/BC3)-1)</f>
        <v>-0.68757903478474658</v>
      </c>
      <c r="BH4">
        <v>1981</v>
      </c>
      <c r="BI4">
        <f>'Annual Data'!Z15*'Annual Data'!AA15</f>
        <v>24.659649999999999</v>
      </c>
      <c r="BJ4">
        <f>'Annual Data'!AB15/'Annual Data'!AC15</f>
        <v>8.5228977186130841</v>
      </c>
      <c r="BK4" s="10">
        <f>'Annual Data'!AD15</f>
        <v>1278218.5</v>
      </c>
      <c r="BL4" s="14">
        <f>'Annual Data'!AE15</f>
        <v>-7.595809</v>
      </c>
      <c r="BM4" s="10">
        <f>'Annual Data'!Y15</f>
        <v>1096885.7000000002</v>
      </c>
      <c r="BN4" s="10">
        <f>'Annual Data'!Q15</f>
        <v>1052374</v>
      </c>
      <c r="BP4" s="9">
        <f>100*((BM4/BM3)-1)</f>
        <v>1.4707483558314527</v>
      </c>
      <c r="BQ4" s="9">
        <f>100*((BN4/BN3)-1)</f>
        <v>-0.68757903478474658</v>
      </c>
    </row>
    <row r="5" spans="1:69" x14ac:dyDescent="0.25">
      <c r="A5" s="8">
        <v>45017</v>
      </c>
      <c r="B5" s="10">
        <f>'Quarterly Data'!D208</f>
        <v>634694</v>
      </c>
      <c r="C5" s="10">
        <f>'Quarterly Data'!S208</f>
        <v>634866</v>
      </c>
      <c r="D5" s="10">
        <f>'Quarterly Data'!AH208</f>
        <v>634866</v>
      </c>
      <c r="E5" s="9">
        <f t="shared" si="0"/>
        <v>-2.7092331295108796E-2</v>
      </c>
      <c r="G5" s="8">
        <v>45017</v>
      </c>
      <c r="H5" s="9">
        <f>100*('Quarterly Data'!D208/'Quarterly Data'!$D$215)</f>
        <v>98.266623542688492</v>
      </c>
      <c r="I5" s="9">
        <f>100*('Quarterly Data'!S208/'Quarterly Data'!$S$215)</f>
        <v>98.732919293296334</v>
      </c>
      <c r="J5" s="9">
        <f t="shared" si="1"/>
        <v>-0.47227991833469485</v>
      </c>
      <c r="L5" s="8">
        <v>45017</v>
      </c>
      <c r="M5" s="10">
        <f>'Quarterly Data'!G208</f>
        <v>87193</v>
      </c>
      <c r="N5" s="10">
        <f>'Quarterly Data'!V208</f>
        <v>87228</v>
      </c>
      <c r="O5" s="9">
        <f t="shared" si="2"/>
        <v>-4.012473059109567E-2</v>
      </c>
      <c r="Q5" s="8">
        <v>45017</v>
      </c>
      <c r="R5" s="9">
        <f>100*('Quarterly Data'!G208/'Quarterly Data'!$G$215)</f>
        <v>110.56127539119262</v>
      </c>
      <c r="S5" s="9">
        <f>100*('Quarterly Data'!V208/'Quarterly Data'!$V$215)</f>
        <v>114.57599539111006</v>
      </c>
      <c r="T5" s="9">
        <f t="shared" si="3"/>
        <v>-3.5039800319543457</v>
      </c>
      <c r="V5" s="8">
        <v>45017</v>
      </c>
      <c r="W5" s="10">
        <f>'Quarterly Data'!K208</f>
        <v>63006</v>
      </c>
      <c r="X5" s="10">
        <f>'Quarterly Data'!Z208</f>
        <v>63199</v>
      </c>
      <c r="Y5" s="10">
        <f>'Quarterly Data'!AO208</f>
        <v>63199</v>
      </c>
      <c r="Z5" s="9">
        <f t="shared" si="4"/>
        <v>-0.3053845788699161</v>
      </c>
      <c r="AA5" s="9">
        <f t="shared" ref="AA5:AA19" si="8">100*((W5/Y5)-1)</f>
        <v>-0.3053845788699161</v>
      </c>
      <c r="AC5" s="8">
        <v>45017</v>
      </c>
      <c r="AD5" s="9">
        <f>100*('Quarterly Data'!K208/'Quarterly Data'!$K$215)</f>
        <v>98.675200162375717</v>
      </c>
      <c r="AE5" s="9">
        <f>100*('Quarterly Data'!Z208/'Quarterly Data'!$Z$215)</f>
        <v>99.403053200506534</v>
      </c>
      <c r="AF5" s="9">
        <f t="shared" si="5"/>
        <v>-0.73222402601925696</v>
      </c>
      <c r="AH5" s="8">
        <v>45017</v>
      </c>
      <c r="AI5" s="9">
        <f>100*('Quarterly Data'!J208/'Quarterly Data'!$J$215)</f>
        <v>97.968314945328714</v>
      </c>
      <c r="AJ5" s="9">
        <f>100*('Quarterly Data'!Y208/'Quarterly Data'!$Y$215)</f>
        <v>100.05864481963411</v>
      </c>
      <c r="AK5" s="9">
        <f t="shared" si="6"/>
        <v>-2.0891047226088588</v>
      </c>
      <c r="AM5" s="8">
        <v>45017</v>
      </c>
      <c r="AN5" s="9">
        <f>100*(('Quarterly Data'!E208/'Quarterly Data'!E204)-1)</f>
        <v>8.4390489688226822</v>
      </c>
      <c r="AO5" s="9">
        <f>100*(('Quarterly Data'!T208/'Quarterly Data'!T204)-1)</f>
        <v>8.4390489688226822</v>
      </c>
      <c r="AP5" s="9">
        <v>2</v>
      </c>
      <c r="AR5" s="8">
        <v>45017</v>
      </c>
      <c r="AS5" s="10">
        <f>'Quarterly Data'!L208</f>
        <v>629361.4</v>
      </c>
      <c r="AT5" s="10">
        <f>'Quarterly Data'!AA208</f>
        <v>630809.5</v>
      </c>
      <c r="AU5" s="9">
        <f t="shared" si="7"/>
        <v>-0.22956217368317322</v>
      </c>
      <c r="AW5">
        <v>1982</v>
      </c>
      <c r="AX5">
        <f>'Annual Data'!K16*'Annual Data'!L16</f>
        <v>24.297707499999998</v>
      </c>
      <c r="AY5">
        <f>'Annual Data'!M16/'Annual Data'!N16</f>
        <v>8.5398114500880524</v>
      </c>
      <c r="AZ5" s="10">
        <f>'Annual Data'!O16</f>
        <v>1288706.5</v>
      </c>
      <c r="BA5" s="14">
        <f>'Annual Data'!P16</f>
        <v>-7.5467079999999997</v>
      </c>
      <c r="BB5" s="10">
        <f>'Annual Data'!J16</f>
        <v>1103412.6000000001</v>
      </c>
      <c r="BC5" s="10">
        <f>'Annual Data'!B16</f>
        <v>1073055</v>
      </c>
      <c r="BE5" s="9">
        <f t="shared" ref="BE5:BF68" si="9">100*((BB5/BB4)-1)</f>
        <v>0.59503920964598667</v>
      </c>
      <c r="BF5" s="9">
        <f t="shared" si="9"/>
        <v>1.965175878537484</v>
      </c>
      <c r="BH5">
        <v>1982</v>
      </c>
      <c r="BI5">
        <f>'Annual Data'!Z16*'Annual Data'!AA16</f>
        <v>24.297707499999998</v>
      </c>
      <c r="BJ5">
        <f>'Annual Data'!AB16/'Annual Data'!AC16</f>
        <v>8.5398114500880524</v>
      </c>
      <c r="BK5" s="10">
        <f>'Annual Data'!AD16</f>
        <v>1288706.5</v>
      </c>
      <c r="BL5" s="14">
        <f>'Annual Data'!AE16</f>
        <v>-7.5467079999999997</v>
      </c>
      <c r="BM5" s="10">
        <f>'Annual Data'!Y16</f>
        <v>1103412.6000000001</v>
      </c>
      <c r="BN5" s="10">
        <f>'Annual Data'!Q16</f>
        <v>1073055</v>
      </c>
      <c r="BP5" s="9">
        <f t="shared" ref="BP5:BP68" si="10">100*((BM5/BM4)-1)</f>
        <v>0.59503920964598667</v>
      </c>
      <c r="BQ5" s="9">
        <f t="shared" ref="BQ5:BQ68" si="11">100*((BN5/BN4)-1)</f>
        <v>1.965175878537484</v>
      </c>
    </row>
    <row r="6" spans="1:69" x14ac:dyDescent="0.25">
      <c r="A6" s="8">
        <v>45108</v>
      </c>
      <c r="B6" s="10">
        <f>'Quarterly Data'!D209</f>
        <v>634327</v>
      </c>
      <c r="C6" s="10">
        <f>'Quarterly Data'!S209</f>
        <v>634052</v>
      </c>
      <c r="D6" s="10">
        <f>'Quarterly Data'!AH209</f>
        <v>634052</v>
      </c>
      <c r="E6" s="9">
        <f t="shared" si="0"/>
        <v>4.3371837010219849E-2</v>
      </c>
      <c r="G6" s="8">
        <v>45108</v>
      </c>
      <c r="H6" s="9">
        <f>100*('Quarterly Data'!D209/'Quarterly Data'!$D$215)</f>
        <v>98.209802695413799</v>
      </c>
      <c r="I6" s="9">
        <f>100*('Quarterly Data'!S209/'Quarterly Data'!$S$215)</f>
        <v>98.606327860923599</v>
      </c>
      <c r="J6" s="9">
        <f t="shared" si="1"/>
        <v>-0.40212953277102281</v>
      </c>
      <c r="L6" s="8">
        <v>45108</v>
      </c>
      <c r="M6" s="10">
        <f>'Quarterly Data'!G209</f>
        <v>83160</v>
      </c>
      <c r="N6" s="10">
        <f>'Quarterly Data'!V209</f>
        <v>83531</v>
      </c>
      <c r="O6" s="9">
        <f t="shared" si="2"/>
        <v>-0.44414648453867667</v>
      </c>
      <c r="Q6" s="8">
        <v>45108</v>
      </c>
      <c r="R6" s="9">
        <f>100*('Quarterly Data'!G209/'Quarterly Data'!$G$215)</f>
        <v>105.44740588730264</v>
      </c>
      <c r="S6" s="9">
        <f>100*('Quarterly Data'!V209/'Quarterly Data'!$V$215)</f>
        <v>109.71990038766006</v>
      </c>
      <c r="T6" s="9">
        <f t="shared" si="3"/>
        <v>-3.8940014393577971</v>
      </c>
      <c r="V6" s="8">
        <v>45108</v>
      </c>
      <c r="W6" s="10">
        <f>'Quarterly Data'!K209</f>
        <v>61551</v>
      </c>
      <c r="X6" s="10">
        <f>'Quarterly Data'!Z209</f>
        <v>61724</v>
      </c>
      <c r="Y6" s="10">
        <f>'Quarterly Data'!AO209</f>
        <v>61724</v>
      </c>
      <c r="Z6" s="9">
        <f t="shared" si="4"/>
        <v>-0.28027995593286059</v>
      </c>
      <c r="AA6" s="9">
        <f t="shared" si="8"/>
        <v>-0.28027995593286059</v>
      </c>
      <c r="AC6" s="8">
        <v>45108</v>
      </c>
      <c r="AD6" s="9">
        <f>100*('Quarterly Data'!K209/'Quarterly Data'!$K$215)</f>
        <v>96.396489940551504</v>
      </c>
      <c r="AE6" s="9">
        <f>100*('Quarterly Data'!Z209/'Quarterly Data'!$Z$215)</f>
        <v>97.083087639805456</v>
      </c>
      <c r="AF6" s="9">
        <f t="shared" si="5"/>
        <v>-0.7072268877575727</v>
      </c>
      <c r="AH6" s="8">
        <v>45108</v>
      </c>
      <c r="AI6" s="9">
        <f>100*('Quarterly Data'!J209/'Quarterly Data'!$J$215)</f>
        <v>96.436533505990113</v>
      </c>
      <c r="AJ6" s="9">
        <f>100*('Quarterly Data'!Y209/'Quarterly Data'!$Y$215)</f>
        <v>98.459801842241021</v>
      </c>
      <c r="AK6" s="9">
        <f t="shared" si="6"/>
        <v>-2.0549181477053202</v>
      </c>
      <c r="AM6" s="8">
        <v>45108</v>
      </c>
      <c r="AN6" s="9">
        <f>100*(('Quarterly Data'!E209/'Quarterly Data'!E205)-1)</f>
        <v>6.7136184931289922</v>
      </c>
      <c r="AO6" s="9">
        <f>100*(('Quarterly Data'!T209/'Quarterly Data'!T205)-1)</f>
        <v>6.7136184931289922</v>
      </c>
      <c r="AP6" s="9">
        <v>2</v>
      </c>
      <c r="AR6" s="8">
        <v>45108</v>
      </c>
      <c r="AS6" s="10">
        <f>'Quarterly Data'!L209</f>
        <v>628663.1</v>
      </c>
      <c r="AT6" s="10">
        <f>'Quarterly Data'!AA209</f>
        <v>628564.19999999995</v>
      </c>
      <c r="AU6" s="9">
        <f t="shared" si="7"/>
        <v>1.5734271853218296E-2</v>
      </c>
      <c r="AW6">
        <v>1983</v>
      </c>
      <c r="AX6">
        <f>'Annual Data'!K17*'Annual Data'!L17</f>
        <v>24.304682499999995</v>
      </c>
      <c r="AY6">
        <f>'Annual Data'!M17/'Annual Data'!N17</f>
        <v>8.556318737998776</v>
      </c>
      <c r="AZ6" s="10">
        <f>'Annual Data'!O17</f>
        <v>1301611.5</v>
      </c>
      <c r="BA6" s="14">
        <f>'Annual Data'!P17</f>
        <v>-7.4979250000000004</v>
      </c>
      <c r="BB6" s="10">
        <f>'Annual Data'!J17</f>
        <v>1121588.5</v>
      </c>
      <c r="BC6" s="10">
        <f>'Annual Data'!B17</f>
        <v>1117759</v>
      </c>
      <c r="BE6" s="9">
        <f t="shared" si="9"/>
        <v>1.6472441949638705</v>
      </c>
      <c r="BF6" s="9">
        <f t="shared" si="9"/>
        <v>4.1660492705406504</v>
      </c>
      <c r="BH6">
        <v>1983</v>
      </c>
      <c r="BI6">
        <f>'Annual Data'!Z17*'Annual Data'!AA17</f>
        <v>24.304682499999995</v>
      </c>
      <c r="BJ6">
        <f>'Annual Data'!AB17/'Annual Data'!AC17</f>
        <v>8.556318737998776</v>
      </c>
      <c r="BK6" s="10">
        <f>'Annual Data'!AD17</f>
        <v>1301611.5</v>
      </c>
      <c r="BL6" s="14">
        <f>'Annual Data'!AE17</f>
        <v>-7.4979250000000004</v>
      </c>
      <c r="BM6" s="10">
        <f>'Annual Data'!Y17</f>
        <v>1121588.5</v>
      </c>
      <c r="BN6" s="10">
        <f>'Annual Data'!Q17</f>
        <v>1117759</v>
      </c>
      <c r="BP6" s="9">
        <f t="shared" si="10"/>
        <v>1.6472441949638705</v>
      </c>
      <c r="BQ6" s="9">
        <f t="shared" si="11"/>
        <v>4.1660492705406504</v>
      </c>
    </row>
    <row r="7" spans="1:69" x14ac:dyDescent="0.25">
      <c r="A7" s="8">
        <v>45200</v>
      </c>
      <c r="B7" s="10">
        <f>'Quarterly Data'!D210</f>
        <v>633011</v>
      </c>
      <c r="C7" s="10">
        <f>'Quarterly Data'!S210</f>
        <v>632365</v>
      </c>
      <c r="D7" s="10">
        <f>'Quarterly Data'!AH210</f>
        <v>632365</v>
      </c>
      <c r="E7" s="9">
        <f t="shared" si="0"/>
        <v>0.1021561914400726</v>
      </c>
      <c r="G7" s="8">
        <v>45200</v>
      </c>
      <c r="H7" s="9">
        <f>100*('Quarterly Data'!D210/'Quarterly Data'!$D$215)</f>
        <v>98.006052736248932</v>
      </c>
      <c r="I7" s="9">
        <f>100*('Quarterly Data'!S210/'Quarterly Data'!$S$215)</f>
        <v>98.343969450097077</v>
      </c>
      <c r="J7" s="9">
        <f t="shared" si="1"/>
        <v>-0.34360694991024676</v>
      </c>
      <c r="L7" s="8">
        <v>45200</v>
      </c>
      <c r="M7" s="10">
        <f>'Quarterly Data'!G210</f>
        <v>86003</v>
      </c>
      <c r="N7" s="10">
        <f>'Quarterly Data'!V210</f>
        <v>85834</v>
      </c>
      <c r="O7" s="9">
        <f t="shared" si="2"/>
        <v>0.1968916746277749</v>
      </c>
      <c r="Q7" s="8">
        <v>45200</v>
      </c>
      <c r="R7" s="9">
        <f>100*('Quarterly Data'!G210/'Quarterly Data'!$G$215)</f>
        <v>109.05234786586927</v>
      </c>
      <c r="S7" s="9">
        <f>100*('Quarterly Data'!V210/'Quarterly Data'!$V$215)</f>
        <v>112.74494415096687</v>
      </c>
      <c r="T7" s="9">
        <f t="shared" si="3"/>
        <v>-3.2751768275774529</v>
      </c>
      <c r="V7" s="8">
        <v>45200</v>
      </c>
      <c r="W7" s="10">
        <f>'Quarterly Data'!K210</f>
        <v>62681</v>
      </c>
      <c r="X7" s="10">
        <f>'Quarterly Data'!Z210</f>
        <v>62795</v>
      </c>
      <c r="Y7" s="10">
        <f>'Quarterly Data'!AO210</f>
        <v>62795</v>
      </c>
      <c r="Z7" s="9">
        <f t="shared" si="4"/>
        <v>-0.18154311649016819</v>
      </c>
      <c r="AA7" s="9">
        <f t="shared" si="8"/>
        <v>-0.18154311649016819</v>
      </c>
      <c r="AC7" s="8">
        <v>45200</v>
      </c>
      <c r="AD7" s="9">
        <f>100*('Quarterly Data'!K210/'Quarterly Data'!$K$215)</f>
        <v>98.166209906641782</v>
      </c>
      <c r="AE7" s="9">
        <f>100*('Quarterly Data'!Z210/'Quarterly Data'!$Z$215)</f>
        <v>98.767618565575518</v>
      </c>
      <c r="AF7" s="9">
        <f t="shared" si="5"/>
        <v>-0.60891278707346785</v>
      </c>
      <c r="AH7" s="8">
        <v>45200</v>
      </c>
      <c r="AI7" s="9">
        <f>100*('Quarterly Data'!J210/'Quarterly Data'!$J$215)</f>
        <v>97.332089697386721</v>
      </c>
      <c r="AJ7" s="9">
        <f>100*('Quarterly Data'!Y210/'Quarterly Data'!$Y$215)</f>
        <v>99.31875002755865</v>
      </c>
      <c r="AK7" s="9">
        <f t="shared" si="6"/>
        <v>-2.0002872867617372</v>
      </c>
      <c r="AM7" s="8">
        <v>45200</v>
      </c>
      <c r="AN7" s="9">
        <f>100*(('Quarterly Data'!E210/'Quarterly Data'!E206)-1)</f>
        <v>4.1568271507498089</v>
      </c>
      <c r="AO7" s="9">
        <f>100*(('Quarterly Data'!T210/'Quarterly Data'!T206)-1)</f>
        <v>4.1568271507498089</v>
      </c>
      <c r="AP7" s="9">
        <v>2</v>
      </c>
      <c r="AR7" s="8">
        <v>45200</v>
      </c>
      <c r="AS7" s="10">
        <f>'Quarterly Data'!L210</f>
        <v>631659.5</v>
      </c>
      <c r="AT7" s="10">
        <f>'Quarterly Data'!AA210</f>
        <v>630612.80000000005</v>
      </c>
      <c r="AU7" s="9">
        <f t="shared" si="7"/>
        <v>0.16598140729144895</v>
      </c>
      <c r="AW7">
        <v>1984</v>
      </c>
      <c r="AX7">
        <f>'Annual Data'!K18*'Annual Data'!L18</f>
        <v>24.910802499999999</v>
      </c>
      <c r="AY7">
        <f>'Annual Data'!M18/'Annual Data'!N18</f>
        <v>8.5981632164890716</v>
      </c>
      <c r="AZ7" s="10">
        <f>'Annual Data'!O18</f>
        <v>1322354.25</v>
      </c>
      <c r="BA7" s="14">
        <f>'Annual Data'!P18</f>
        <v>-7.4494580000000008</v>
      </c>
      <c r="BB7" s="10">
        <f>'Annual Data'!J18</f>
        <v>1160834.8999999999</v>
      </c>
      <c r="BC7" s="10">
        <f>'Annual Data'!B18</f>
        <v>1142579</v>
      </c>
      <c r="BE7" s="9">
        <f t="shared" si="9"/>
        <v>3.4991799577117622</v>
      </c>
      <c r="BF7" s="9">
        <f t="shared" si="9"/>
        <v>2.2205144400537113</v>
      </c>
      <c r="BH7">
        <v>1984</v>
      </c>
      <c r="BI7">
        <f>'Annual Data'!Z18*'Annual Data'!AA18</f>
        <v>24.910802499999999</v>
      </c>
      <c r="BJ7">
        <f>'Annual Data'!AB18/'Annual Data'!AC18</f>
        <v>8.5981632164890716</v>
      </c>
      <c r="BK7" s="10">
        <f>'Annual Data'!AD18</f>
        <v>1322354.25</v>
      </c>
      <c r="BL7" s="14">
        <f>'Annual Data'!AE18</f>
        <v>-7.4494580000000008</v>
      </c>
      <c r="BM7" s="10">
        <f>'Annual Data'!Y18</f>
        <v>1160834.8999999999</v>
      </c>
      <c r="BN7" s="10">
        <f>'Annual Data'!Q18</f>
        <v>1142579</v>
      </c>
      <c r="BP7" s="9">
        <f t="shared" si="10"/>
        <v>3.4991799577117622</v>
      </c>
      <c r="BQ7" s="9">
        <f t="shared" si="11"/>
        <v>2.2205144400537113</v>
      </c>
    </row>
    <row r="8" spans="1:69" x14ac:dyDescent="0.25">
      <c r="A8" s="8">
        <v>45292</v>
      </c>
      <c r="B8" s="10">
        <f>'Quarterly Data'!D211</f>
        <v>638746</v>
      </c>
      <c r="C8" s="10">
        <f>'Quarterly Data'!S211</f>
        <v>637729</v>
      </c>
      <c r="D8" s="10">
        <f>'Quarterly Data'!AH211</f>
        <v>637023</v>
      </c>
      <c r="E8" s="9">
        <f t="shared" si="0"/>
        <v>0.15947212687521528</v>
      </c>
      <c r="G8" s="8">
        <v>45292</v>
      </c>
      <c r="H8" s="9">
        <f>100*('Quarterly Data'!D211/'Quarterly Data'!$D$215)</f>
        <v>98.893975240664162</v>
      </c>
      <c r="I8" s="9">
        <f>100*('Quarterly Data'!S211/'Quarterly Data'!$S$215)</f>
        <v>99.178166554823505</v>
      </c>
      <c r="J8" s="9">
        <f t="shared" si="1"/>
        <v>-0.28654624705353182</v>
      </c>
      <c r="L8" s="8">
        <v>45292</v>
      </c>
      <c r="M8" s="10">
        <f>'Quarterly Data'!G211</f>
        <v>82999</v>
      </c>
      <c r="N8" s="10">
        <f>'Quarterly Data'!V211</f>
        <v>82683</v>
      </c>
      <c r="O8" s="9">
        <f t="shared" si="2"/>
        <v>0.38218255264081957</v>
      </c>
      <c r="Q8" s="8">
        <v>45292</v>
      </c>
      <c r="R8" s="9">
        <f>100*('Quarterly Data'!G211/'Quarterly Data'!$G$215)</f>
        <v>105.24325686917064</v>
      </c>
      <c r="S8" s="9">
        <f>100*('Quarterly Data'!V211/'Quarterly Data'!$V$215)</f>
        <v>108.60603277529177</v>
      </c>
      <c r="T8" s="9">
        <f t="shared" si="3"/>
        <v>-3.0963067337877903</v>
      </c>
      <c r="V8" s="8">
        <v>45292</v>
      </c>
      <c r="W8" s="10">
        <f>'Quarterly Data'!K211</f>
        <v>62527</v>
      </c>
      <c r="X8" s="10">
        <f>'Quarterly Data'!Z211</f>
        <v>62349</v>
      </c>
      <c r="Y8" s="10">
        <f>'Quarterly Data'!AO211</f>
        <v>62978</v>
      </c>
      <c r="Z8" s="9">
        <f t="shared" si="4"/>
        <v>0.28548974321962461</v>
      </c>
      <c r="AA8" s="9">
        <f t="shared" si="8"/>
        <v>-0.71612309060307133</v>
      </c>
      <c r="AC8" s="8">
        <v>45292</v>
      </c>
      <c r="AD8" s="9">
        <f>100*('Quarterly Data'!K211/'Quarterly Data'!$K$215)</f>
        <v>97.925026831617089</v>
      </c>
      <c r="AE8" s="9">
        <f>100*('Quarterly Data'!Z211/'Quarterly Data'!$Z$215)</f>
        <v>98.06612389433981</v>
      </c>
      <c r="AF8" s="9">
        <f t="shared" si="5"/>
        <v>-0.14387951427012879</v>
      </c>
      <c r="AH8" s="8">
        <v>45292</v>
      </c>
      <c r="AI8" s="9">
        <f>100*('Quarterly Data'!J211/'Quarterly Data'!$J$215)</f>
        <v>98.072911759188742</v>
      </c>
      <c r="AJ8" s="9">
        <f>100*('Quarterly Data'!Y211/'Quarterly Data'!$Y$215)</f>
        <v>100.25530338773045</v>
      </c>
      <c r="AK8" s="9">
        <f t="shared" si="6"/>
        <v>-2.1768340973459144</v>
      </c>
      <c r="AM8" s="8">
        <v>45292</v>
      </c>
      <c r="AN8" s="9">
        <f>100*(('Quarterly Data'!E211/'Quarterly Data'!E207)-1)</f>
        <v>3.5491136610421803</v>
      </c>
      <c r="AO8" s="9">
        <f>100*(('Quarterly Data'!T211/'Quarterly Data'!T207)-1)</f>
        <v>3.5491136610421803</v>
      </c>
      <c r="AP8" s="9">
        <v>2</v>
      </c>
      <c r="AR8" s="8">
        <v>45292</v>
      </c>
      <c r="AS8" s="10">
        <f>'Quarterly Data'!L211</f>
        <v>638150.9</v>
      </c>
      <c r="AT8" s="10">
        <f>'Quarterly Data'!AA211</f>
        <v>638391.4</v>
      </c>
      <c r="AU8" s="9">
        <f t="shared" si="7"/>
        <v>-3.7672813261580007E-2</v>
      </c>
      <c r="AW8">
        <v>1985</v>
      </c>
      <c r="AX8">
        <f>'Annual Data'!K19*'Annual Data'!L19</f>
        <v>25.107865000000004</v>
      </c>
      <c r="AY8">
        <f>'Annual Data'!M19/'Annual Data'!N19</f>
        <v>8.698773505509779</v>
      </c>
      <c r="AZ8" s="10">
        <f>'Annual Data'!O19</f>
        <v>1348477</v>
      </c>
      <c r="BA8" s="14">
        <f>'Annual Data'!P19</f>
        <v>-7.4013050000000007</v>
      </c>
      <c r="BB8" s="10">
        <f>'Annual Data'!J19</f>
        <v>1193082.2999999998</v>
      </c>
      <c r="BC8" s="10">
        <f>'Annual Data'!B19</f>
        <v>1189278</v>
      </c>
      <c r="BE8" s="9">
        <f t="shared" si="9"/>
        <v>2.7779488711099143</v>
      </c>
      <c r="BF8" s="9">
        <f t="shared" si="9"/>
        <v>4.0871572118864385</v>
      </c>
      <c r="BH8">
        <v>1985</v>
      </c>
      <c r="BI8">
        <f>'Annual Data'!Z19*'Annual Data'!AA19</f>
        <v>25.107865000000004</v>
      </c>
      <c r="BJ8">
        <f>'Annual Data'!AB19/'Annual Data'!AC19</f>
        <v>8.698773505509779</v>
      </c>
      <c r="BK8" s="10">
        <f>'Annual Data'!AD19</f>
        <v>1348477</v>
      </c>
      <c r="BL8" s="14">
        <f>'Annual Data'!AE19</f>
        <v>-7.4013050000000007</v>
      </c>
      <c r="BM8" s="10">
        <f>'Annual Data'!Y19</f>
        <v>1193082.2999999998</v>
      </c>
      <c r="BN8" s="10">
        <f>'Annual Data'!Q19</f>
        <v>1189278</v>
      </c>
      <c r="BP8" s="9">
        <f t="shared" si="10"/>
        <v>2.7779488711099143</v>
      </c>
      <c r="BQ8" s="9">
        <f t="shared" si="11"/>
        <v>4.0871572118864385</v>
      </c>
    </row>
    <row r="9" spans="1:69" x14ac:dyDescent="0.25">
      <c r="A9" s="8">
        <v>45383</v>
      </c>
      <c r="B9" s="10">
        <f>'Quarterly Data'!D212</f>
        <v>641670</v>
      </c>
      <c r="C9" s="10">
        <f>'Quarterly Data'!S212</f>
        <v>640592</v>
      </c>
      <c r="D9" s="10">
        <f>'Quarterly Data'!AH212</f>
        <v>639269</v>
      </c>
      <c r="E9" s="9">
        <f t="shared" si="0"/>
        <v>0.16828183929864515</v>
      </c>
      <c r="G9" s="8">
        <v>45383</v>
      </c>
      <c r="H9" s="9">
        <f>100*('Quarterly Data'!D212/'Quarterly Data'!$D$215)</f>
        <v>99.346684116498537</v>
      </c>
      <c r="I9" s="9">
        <f>100*('Quarterly Data'!S212/'Quarterly Data'!$S$215)</f>
        <v>99.623413816350677</v>
      </c>
      <c r="J9" s="9">
        <f t="shared" si="1"/>
        <v>-0.27777576500467305</v>
      </c>
      <c r="L9" s="8">
        <v>45383</v>
      </c>
      <c r="M9" s="10">
        <f>'Quarterly Data'!G212</f>
        <v>79136</v>
      </c>
      <c r="N9" s="10">
        <f>'Quarterly Data'!V212</f>
        <v>78994</v>
      </c>
      <c r="O9" s="9">
        <f t="shared" si="2"/>
        <v>0.17976048813834744</v>
      </c>
      <c r="Q9" s="8">
        <v>45383</v>
      </c>
      <c r="R9" s="9">
        <f>100*('Quarterly Data'!G212/'Quarterly Data'!$G$215)</f>
        <v>100.34494844032686</v>
      </c>
      <c r="S9" s="9">
        <f>100*('Quarterly Data'!V212/'Quarterly Data'!$V$215)</f>
        <v>103.76044595686416</v>
      </c>
      <c r="T9" s="9">
        <f t="shared" si="3"/>
        <v>-3.2917143763599555</v>
      </c>
      <c r="V9" s="8">
        <v>45383</v>
      </c>
      <c r="W9" s="10">
        <f>'Quarterly Data'!K212</f>
        <v>63634</v>
      </c>
      <c r="X9" s="10">
        <f>'Quarterly Data'!Z212</f>
        <v>63236</v>
      </c>
      <c r="Y9" s="10">
        <f>'Quarterly Data'!AO212</f>
        <v>64099</v>
      </c>
      <c r="Z9" s="9">
        <f t="shared" si="4"/>
        <v>0.62938832310708293</v>
      </c>
      <c r="AA9" s="9">
        <f t="shared" si="8"/>
        <v>-0.72544033448259659</v>
      </c>
      <c r="AC9" s="8">
        <v>45383</v>
      </c>
      <c r="AD9" s="9">
        <f>100*('Quarterly Data'!K212/'Quarterly Data'!$K$215)</f>
        <v>99.658725948840058</v>
      </c>
      <c r="AE9" s="9">
        <f>100*('Quarterly Data'!Z212/'Quarterly Data'!$Z$215)</f>
        <v>99.461248946774958</v>
      </c>
      <c r="AF9" s="9">
        <f t="shared" si="5"/>
        <v>0.198546674364386</v>
      </c>
      <c r="AH9" s="8">
        <v>45383</v>
      </c>
      <c r="AI9" s="9">
        <f>100*('Quarterly Data'!J212/'Quarterly Data'!$J$215)</f>
        <v>99.141355246221764</v>
      </c>
      <c r="AJ9" s="9">
        <f>100*('Quarterly Data'!Y212/'Quarterly Data'!$Y$215)</f>
        <v>100.93963992962622</v>
      </c>
      <c r="AK9" s="9">
        <f t="shared" si="6"/>
        <v>-1.7815445791744433</v>
      </c>
      <c r="AM9" s="8">
        <v>45383</v>
      </c>
      <c r="AN9" s="9">
        <f>100*(('Quarterly Data'!E212/'Quarterly Data'!E208)-1)</f>
        <v>2.110833644243737</v>
      </c>
      <c r="AO9" s="9">
        <f>100*(('Quarterly Data'!T212/'Quarterly Data'!T208)-1)</f>
        <v>2.110833644243737</v>
      </c>
      <c r="AP9" s="9">
        <v>2</v>
      </c>
      <c r="AR9" s="8">
        <v>45383</v>
      </c>
      <c r="AS9" s="10">
        <f>'Quarterly Data'!L212</f>
        <v>640407.30000000005</v>
      </c>
      <c r="AT9" s="10">
        <f>'Quarterly Data'!AA212</f>
        <v>640919.30000000005</v>
      </c>
      <c r="AU9" s="9">
        <f t="shared" si="7"/>
        <v>-7.9885252324274347E-2</v>
      </c>
      <c r="AW9">
        <v>1986</v>
      </c>
      <c r="AX9">
        <f>'Annual Data'!K20*'Annual Data'!L20</f>
        <v>846672.54228637507</v>
      </c>
      <c r="AY9">
        <f>'Annual Data'!M20/'Annual Data'!N20</f>
        <v>8.8112390425255196</v>
      </c>
      <c r="AZ9" s="10">
        <f>'Annual Data'!O20</f>
        <v>1372084.75</v>
      </c>
      <c r="BA9" s="14">
        <f>'Annual Data'!P20</f>
        <v>-7.3539529999999997</v>
      </c>
      <c r="BB9" s="10">
        <f>'Annual Data'!J20</f>
        <v>1223572.5</v>
      </c>
      <c r="BC9" s="10">
        <f>'Annual Data'!B20</f>
        <v>1226237</v>
      </c>
      <c r="BE9" s="9">
        <f t="shared" si="9"/>
        <v>2.5555822930237282</v>
      </c>
      <c r="BF9" s="9">
        <f t="shared" si="9"/>
        <v>3.1076838216127722</v>
      </c>
      <c r="BH9">
        <v>1986</v>
      </c>
      <c r="BI9">
        <f>'Annual Data'!Z20*'Annual Data'!AA20</f>
        <v>846672.54228637507</v>
      </c>
      <c r="BJ9">
        <f>'Annual Data'!AB20/'Annual Data'!AC20</f>
        <v>8.8112390425255196</v>
      </c>
      <c r="BK9" s="10">
        <f>'Annual Data'!AD20</f>
        <v>1372084.75</v>
      </c>
      <c r="BL9" s="14">
        <f>'Annual Data'!AE20</f>
        <v>-7.3539529999999997</v>
      </c>
      <c r="BM9" s="10">
        <f>'Annual Data'!Y20</f>
        <v>1223572.5</v>
      </c>
      <c r="BN9" s="10">
        <f>'Annual Data'!Q20</f>
        <v>1226237</v>
      </c>
      <c r="BP9" s="9">
        <f t="shared" si="10"/>
        <v>2.5555822930237282</v>
      </c>
      <c r="BQ9" s="9">
        <f t="shared" si="11"/>
        <v>3.1076838216127722</v>
      </c>
    </row>
    <row r="10" spans="1:69" x14ac:dyDescent="0.25">
      <c r="A10" s="8">
        <v>45474</v>
      </c>
      <c r="B10" s="10">
        <f>'Quarterly Data'!D213</f>
        <v>641675</v>
      </c>
      <c r="C10" s="10">
        <f>'Quarterly Data'!S213</f>
        <v>640417</v>
      </c>
      <c r="D10" s="10">
        <f>'Quarterly Data'!AH213</f>
        <v>639452</v>
      </c>
      <c r="E10" s="9">
        <f t="shared" si="0"/>
        <v>0.19643451063915407</v>
      </c>
      <c r="G10" s="8">
        <v>45474</v>
      </c>
      <c r="H10" s="9">
        <f>100*('Quarterly Data'!D213/'Quarterly Data'!$D$215)</f>
        <v>99.347458242483199</v>
      </c>
      <c r="I10" s="9">
        <f>100*('Quarterly Data'!S213/'Quarterly Data'!$S$215)</f>
        <v>99.596198213567831</v>
      </c>
      <c r="J10" s="9">
        <f t="shared" si="1"/>
        <v>-0.24974845982700389</v>
      </c>
      <c r="L10" s="8">
        <v>45474</v>
      </c>
      <c r="M10" s="10">
        <f>'Quarterly Data'!G213</f>
        <v>79947</v>
      </c>
      <c r="N10" s="10">
        <f>'Quarterly Data'!V213</f>
        <v>79804</v>
      </c>
      <c r="O10" s="9">
        <f t="shared" si="2"/>
        <v>0.17918901308204838</v>
      </c>
      <c r="Q10" s="8">
        <v>45474</v>
      </c>
      <c r="R10" s="9">
        <f>100*('Quarterly Data'!G213/'Quarterly Data'!$G$215)</f>
        <v>101.37330156892959</v>
      </c>
      <c r="S10" s="9">
        <f>100*('Quarterly Data'!V213/'Quarterly Data'!$V$215)</f>
        <v>104.82439969037631</v>
      </c>
      <c r="T10" s="9">
        <f t="shared" si="3"/>
        <v>-3.2922660484012822</v>
      </c>
      <c r="V10" s="8">
        <v>45474</v>
      </c>
      <c r="W10" s="10">
        <f>'Quarterly Data'!K213</f>
        <v>65023</v>
      </c>
      <c r="X10" s="10">
        <f>'Quarterly Data'!Z213</f>
        <v>64412</v>
      </c>
      <c r="Y10" s="10">
        <f>'Quarterly Data'!AO213</f>
        <v>65327</v>
      </c>
      <c r="Z10" s="9">
        <f t="shared" si="4"/>
        <v>0.94858100974972714</v>
      </c>
      <c r="AA10" s="9">
        <f t="shared" si="8"/>
        <v>-0.46535123302768877</v>
      </c>
      <c r="AC10" s="8">
        <v>45474</v>
      </c>
      <c r="AD10" s="9">
        <f>100*('Quarterly Data'!K213/'Quarterly Data'!$K$215)</f>
        <v>101.83407199565369</v>
      </c>
      <c r="AE10" s="9">
        <f>100*('Quarterly Data'!Z213/'Quarterly Data'!$Z$215)</f>
        <v>101.31092996330679</v>
      </c>
      <c r="AF10" s="9">
        <f t="shared" si="5"/>
        <v>0.51637274728044691</v>
      </c>
      <c r="AH10" s="8">
        <v>45474</v>
      </c>
      <c r="AI10" s="9">
        <f>100*('Quarterly Data'!J213/'Quarterly Data'!$J$215)</f>
        <v>100.12940614078386</v>
      </c>
      <c r="AJ10" s="9">
        <f>100*('Quarterly Data'!Y213/'Quarterly Data'!$Y$215)</f>
        <v>101.91940526215998</v>
      </c>
      <c r="AK10" s="9">
        <f t="shared" si="6"/>
        <v>-1.7562888213209615</v>
      </c>
      <c r="AM10" s="8">
        <v>45474</v>
      </c>
      <c r="AN10" s="9">
        <f>100*(('Quarterly Data'!E213/'Quarterly Data'!E209)-1)</f>
        <v>2.0547945205479312</v>
      </c>
      <c r="AO10" s="9">
        <f>100*(('Quarterly Data'!T213/'Quarterly Data'!T209)-1)</f>
        <v>2.0547945205479312</v>
      </c>
      <c r="AP10" s="9">
        <v>2</v>
      </c>
      <c r="AR10" s="8">
        <v>45474</v>
      </c>
      <c r="AS10" s="10">
        <f>'Quarterly Data'!L213</f>
        <v>646654.9</v>
      </c>
      <c r="AT10" s="10">
        <f>'Quarterly Data'!AA213</f>
        <v>646929.4</v>
      </c>
      <c r="AU10" s="9">
        <f t="shared" si="7"/>
        <v>-4.2431214287064201E-2</v>
      </c>
      <c r="AW10">
        <v>1987</v>
      </c>
      <c r="AX10">
        <f>'Annual Data'!K21*'Annual Data'!L21</f>
        <v>854924.76016303105</v>
      </c>
      <c r="AY10">
        <f>'Annual Data'!M21/'Annual Data'!N21</f>
        <v>8.916274568168383</v>
      </c>
      <c r="AZ10" s="10">
        <f>'Annual Data'!O21</f>
        <v>1399611</v>
      </c>
      <c r="BA10" s="14">
        <f>'Annual Data'!P21</f>
        <v>-7.308859</v>
      </c>
      <c r="BB10" s="10">
        <f>'Annual Data'!J21</f>
        <v>1257734.5</v>
      </c>
      <c r="BC10" s="10">
        <f>'Annual Data'!B21</f>
        <v>1292703</v>
      </c>
      <c r="BE10" s="9">
        <f t="shared" si="9"/>
        <v>2.7919882148381037</v>
      </c>
      <c r="BF10" s="9">
        <f t="shared" si="9"/>
        <v>5.4203224988317977</v>
      </c>
      <c r="BH10">
        <v>1987</v>
      </c>
      <c r="BI10">
        <f>'Annual Data'!Z21*'Annual Data'!AA21</f>
        <v>854924.76016303105</v>
      </c>
      <c r="BJ10">
        <f>'Annual Data'!AB21/'Annual Data'!AC21</f>
        <v>8.916274568168383</v>
      </c>
      <c r="BK10" s="10">
        <f>'Annual Data'!AD21</f>
        <v>1399611</v>
      </c>
      <c r="BL10" s="14">
        <f>'Annual Data'!AE21</f>
        <v>-7.308859</v>
      </c>
      <c r="BM10" s="10">
        <f>'Annual Data'!Y21</f>
        <v>1257734.5</v>
      </c>
      <c r="BN10" s="10">
        <f>'Annual Data'!Q21</f>
        <v>1292703</v>
      </c>
      <c r="BP10" s="9">
        <f t="shared" si="10"/>
        <v>2.7919882148381037</v>
      </c>
      <c r="BQ10" s="9">
        <f t="shared" si="11"/>
        <v>5.4203224988317977</v>
      </c>
    </row>
    <row r="11" spans="1:69" x14ac:dyDescent="0.25">
      <c r="A11" s="8">
        <v>45566</v>
      </c>
      <c r="B11" s="10">
        <f>'Quarterly Data'!D214</f>
        <v>642287</v>
      </c>
      <c r="C11" s="10">
        <f>'Quarterly Data'!S214</f>
        <v>641065</v>
      </c>
      <c r="D11" s="10">
        <f>'Quarterly Data'!AH214</f>
        <v>640033.9</v>
      </c>
      <c r="E11" s="9">
        <f t="shared" si="0"/>
        <v>0.19062029591383478</v>
      </c>
      <c r="G11" s="8">
        <v>45566</v>
      </c>
      <c r="H11" s="9">
        <f>100*('Quarterly Data'!D214/'Quarterly Data'!$D$215)</f>
        <v>99.442211263006669</v>
      </c>
      <c r="I11" s="9">
        <f>100*('Quarterly Data'!S214/'Quarterly Data'!$S$215)</f>
        <v>99.696973702729423</v>
      </c>
      <c r="J11" s="9">
        <f t="shared" si="1"/>
        <v>-0.25553678337557617</v>
      </c>
      <c r="L11" s="8">
        <v>45566</v>
      </c>
      <c r="M11" s="10">
        <f>'Quarterly Data'!G214</f>
        <v>75593</v>
      </c>
      <c r="N11" s="10">
        <f>'Quarterly Data'!V214</f>
        <v>75407</v>
      </c>
      <c r="O11" s="9">
        <f t="shared" si="2"/>
        <v>0.24666145052847366</v>
      </c>
      <c r="Q11" s="8">
        <v>45566</v>
      </c>
      <c r="R11" s="9">
        <f>100*('Quarterly Data'!G214/'Quarterly Data'!$G$215)</f>
        <v>95.852402035099431</v>
      </c>
      <c r="S11" s="9">
        <f>100*('Quarterly Data'!V214/'Quarterly Data'!$V$215)</f>
        <v>99.048838497471394</v>
      </c>
      <c r="T11" s="9">
        <f t="shared" si="3"/>
        <v>-3.2271316967069419</v>
      </c>
      <c r="V11" s="8">
        <v>45566</v>
      </c>
      <c r="W11" s="10">
        <f>'Quarterly Data'!K214</f>
        <v>63820</v>
      </c>
      <c r="X11" s="10">
        <f>'Quarterly Data'!Z214</f>
        <v>62338</v>
      </c>
      <c r="Y11" s="10">
        <f>'Quarterly Data'!AO214</f>
        <v>64366.69</v>
      </c>
      <c r="Z11" s="9">
        <f t="shared" si="4"/>
        <v>2.3773621226218289</v>
      </c>
      <c r="AA11" s="9">
        <f t="shared" si="8"/>
        <v>-0.84933682313010905</v>
      </c>
      <c r="AC11" s="8">
        <v>45566</v>
      </c>
      <c r="AD11" s="9">
        <f>100*('Quarterly Data'!K214/'Quarterly Data'!$K$215)</f>
        <v>99.950024987506239</v>
      </c>
      <c r="AE11" s="9">
        <f>100*('Quarterly Data'!Z214/'Quarterly Data'!$Z$215)</f>
        <v>98.048822456259998</v>
      </c>
      <c r="AF11" s="9">
        <f t="shared" si="5"/>
        <v>1.9390365775115548</v>
      </c>
      <c r="AH11" s="8">
        <v>45566</v>
      </c>
      <c r="AI11" s="9">
        <f>100*('Quarterly Data'!J214/'Quarterly Data'!$J$215)</f>
        <v>99.509605185927313</v>
      </c>
      <c r="AJ11" s="9">
        <f>100*('Quarterly Data'!Y214/'Quarterly Data'!$Y$215)</f>
        <v>101.00842633461058</v>
      </c>
      <c r="AK11" s="9">
        <f t="shared" si="6"/>
        <v>-1.4838575384969577</v>
      </c>
      <c r="AM11" s="8">
        <v>45566</v>
      </c>
      <c r="AN11" s="9">
        <f>100*(('Quarterly Data'!E214/'Quarterly Data'!E210)-1)</f>
        <v>2.4753214257839273</v>
      </c>
      <c r="AO11" s="9">
        <f>100*(('Quarterly Data'!T214/'Quarterly Data'!T210)-1)</f>
        <v>2.4753214257839273</v>
      </c>
      <c r="AP11" s="9">
        <v>2</v>
      </c>
      <c r="AR11" s="8">
        <v>45566</v>
      </c>
      <c r="AS11" s="10">
        <f>'Quarterly Data'!L214</f>
        <v>645443.6</v>
      </c>
      <c r="AT11" s="10">
        <f>'Quarterly Data'!AA214</f>
        <v>646080.4</v>
      </c>
      <c r="AU11" s="9">
        <f t="shared" si="7"/>
        <v>-9.8563584346478272E-2</v>
      </c>
      <c r="AW11">
        <v>1988</v>
      </c>
      <c r="AX11">
        <f>'Annual Data'!K22*'Annual Data'!L22</f>
        <v>869416.89214575</v>
      </c>
      <c r="AY11">
        <f>'Annual Data'!M22/'Annual Data'!N22</f>
        <v>9.0335851059530174</v>
      </c>
      <c r="AZ11" s="10">
        <f>'Annual Data'!O22</f>
        <v>1439126.5</v>
      </c>
      <c r="BA11" s="14">
        <f>'Annual Data'!P22</f>
        <v>-7.2642050000000005</v>
      </c>
      <c r="BB11" s="10">
        <f>'Annual Data'!J22</f>
        <v>1302509.7</v>
      </c>
      <c r="BC11" s="10">
        <f>'Annual Data'!B22</f>
        <v>1362204</v>
      </c>
      <c r="BE11" s="9">
        <f t="shared" si="9"/>
        <v>3.5599882169090602</v>
      </c>
      <c r="BF11" s="9">
        <f t="shared" si="9"/>
        <v>5.376408966328694</v>
      </c>
      <c r="BH11">
        <v>1988</v>
      </c>
      <c r="BI11">
        <f>'Annual Data'!Z22*'Annual Data'!AA22</f>
        <v>869416.89214575</v>
      </c>
      <c r="BJ11">
        <f>'Annual Data'!AB22/'Annual Data'!AC22</f>
        <v>9.0335851059530174</v>
      </c>
      <c r="BK11" s="10">
        <f>'Annual Data'!AD22</f>
        <v>1439126.5</v>
      </c>
      <c r="BL11" s="14">
        <f>'Annual Data'!AE22</f>
        <v>-7.2642050000000005</v>
      </c>
      <c r="BM11" s="10">
        <f>'Annual Data'!Y22</f>
        <v>1302509.7</v>
      </c>
      <c r="BN11" s="10">
        <f>'Annual Data'!Q22</f>
        <v>1362204</v>
      </c>
      <c r="BP11" s="9">
        <f t="shared" si="10"/>
        <v>3.5599882169090602</v>
      </c>
      <c r="BQ11" s="9">
        <f t="shared" si="11"/>
        <v>5.376408966328694</v>
      </c>
    </row>
    <row r="12" spans="1:69" x14ac:dyDescent="0.25">
      <c r="A12" s="8">
        <v>45658</v>
      </c>
      <c r="B12" s="10">
        <f>'Quarterly Data'!D215</f>
        <v>645889.69999999995</v>
      </c>
      <c r="C12" s="10">
        <f>'Quarterly Data'!S215</f>
        <v>643013.5</v>
      </c>
      <c r="D12" s="10">
        <f>'Quarterly Data'!AH215</f>
        <v>642502.80000000005</v>
      </c>
      <c r="E12" s="9">
        <f t="shared" si="0"/>
        <v>0.44730009556563921</v>
      </c>
      <c r="G12" s="8">
        <v>45658</v>
      </c>
      <c r="H12" s="9">
        <f>100*('Quarterly Data'!D215/'Quarterly Data'!$D$215)</f>
        <v>100</v>
      </c>
      <c r="I12" s="9">
        <f>100*('Quarterly Data'!S215/'Quarterly Data'!$S$215)</f>
        <v>100</v>
      </c>
      <c r="J12" s="9">
        <f t="shared" si="1"/>
        <v>0</v>
      </c>
      <c r="L12" s="8">
        <v>45658</v>
      </c>
      <c r="M12" s="10">
        <f>'Quarterly Data'!G215</f>
        <v>78863.960000000006</v>
      </c>
      <c r="N12" s="10">
        <f>'Quarterly Data'!V215</f>
        <v>76131.13</v>
      </c>
      <c r="O12" s="9">
        <f t="shared" si="2"/>
        <v>3.5896354093259975</v>
      </c>
      <c r="Q12" s="8">
        <v>45658</v>
      </c>
      <c r="R12" s="9">
        <f>100*('Quarterly Data'!G215/'Quarterly Data'!$G$215)</f>
        <v>100</v>
      </c>
      <c r="S12" s="9">
        <f>100*('Quarterly Data'!V215/'Quarterly Data'!$V$215)</f>
        <v>100</v>
      </c>
      <c r="T12" s="9">
        <f t="shared" si="3"/>
        <v>0</v>
      </c>
      <c r="V12" s="8">
        <v>45658</v>
      </c>
      <c r="W12" s="10">
        <f>'Quarterly Data'!K215</f>
        <v>63851.91</v>
      </c>
      <c r="X12" s="10">
        <f>'Quarterly Data'!Z215</f>
        <v>63578.53</v>
      </c>
      <c r="Y12" s="10">
        <f>'Quarterly Data'!AO215</f>
        <v>64431.09</v>
      </c>
      <c r="Z12" s="9">
        <f t="shared" si="4"/>
        <v>0.42998792202337821</v>
      </c>
      <c r="AA12" s="9">
        <f t="shared" si="8"/>
        <v>-0.89891386285718688</v>
      </c>
      <c r="AC12" s="8">
        <v>45658</v>
      </c>
      <c r="AD12" s="9">
        <f>100*('Quarterly Data'!K215/'Quarterly Data'!$K$215)</f>
        <v>100</v>
      </c>
      <c r="AE12" s="9">
        <f>100*('Quarterly Data'!Z215/'Quarterly Data'!$Z$215)</f>
        <v>100</v>
      </c>
      <c r="AF12" s="9">
        <f t="shared" si="5"/>
        <v>0</v>
      </c>
      <c r="AH12" s="8">
        <v>45658</v>
      </c>
      <c r="AI12" s="9">
        <f>100*('Quarterly Data'!J215/'Quarterly Data'!$J$215)</f>
        <v>100</v>
      </c>
      <c r="AJ12" s="9">
        <f>100*('Quarterly Data'!Y215/'Quarterly Data'!$Y$215)</f>
        <v>100</v>
      </c>
      <c r="AK12" s="9">
        <f t="shared" si="6"/>
        <v>0</v>
      </c>
      <c r="AM12" s="8">
        <v>45658</v>
      </c>
      <c r="AN12" s="9">
        <f>100*(('Quarterly Data'!E215/'Quarterly Data'!E211)-1)</f>
        <v>2.7868692573414178</v>
      </c>
      <c r="AO12" s="9">
        <f>100*(('Quarterly Data'!T215/'Quarterly Data'!T211)-1)</f>
        <v>2.7942785296677375</v>
      </c>
      <c r="AP12" s="9">
        <v>2</v>
      </c>
      <c r="AR12" s="8">
        <v>45658</v>
      </c>
      <c r="AS12" s="10">
        <f>'Quarterly Data'!L215</f>
        <v>649760.69999999995</v>
      </c>
      <c r="AT12" s="10">
        <f>'Quarterly Data'!AA215</f>
        <v>649314.1</v>
      </c>
      <c r="AU12" s="9">
        <f t="shared" si="7"/>
        <v>6.8780271366342127E-2</v>
      </c>
      <c r="AW12">
        <v>1989</v>
      </c>
      <c r="AX12">
        <f>'Annual Data'!K23*'Annual Data'!L23</f>
        <v>881201.46193640004</v>
      </c>
      <c r="AY12">
        <f>'Annual Data'!M23/'Annual Data'!N23</f>
        <v>9.1558675577199882</v>
      </c>
      <c r="AZ12" s="10">
        <f>'Annual Data'!O23</f>
        <v>1489091</v>
      </c>
      <c r="BA12" s="14">
        <f>'Annual Data'!P23</f>
        <v>-7.2198229999999999</v>
      </c>
      <c r="BB12" s="10">
        <f>'Annual Data'!J23</f>
        <v>1349436.2</v>
      </c>
      <c r="BC12" s="10">
        <f>'Annual Data'!B23</f>
        <v>1394928</v>
      </c>
      <c r="BE12" s="9">
        <f t="shared" si="9"/>
        <v>3.6027754726126071</v>
      </c>
      <c r="BF12" s="9">
        <f t="shared" si="9"/>
        <v>2.4022833584397052</v>
      </c>
      <c r="BH12">
        <v>1989</v>
      </c>
      <c r="BI12">
        <f>'Annual Data'!Z23*'Annual Data'!AA23</f>
        <v>881201.46193640004</v>
      </c>
      <c r="BJ12">
        <f>'Annual Data'!AB23/'Annual Data'!AC23</f>
        <v>9.1558675577199882</v>
      </c>
      <c r="BK12" s="10">
        <f>'Annual Data'!AD23</f>
        <v>1489091</v>
      </c>
      <c r="BL12" s="14">
        <f>'Annual Data'!AE23</f>
        <v>-7.2198229999999999</v>
      </c>
      <c r="BM12" s="10">
        <f>'Annual Data'!Y23</f>
        <v>1349436.2</v>
      </c>
      <c r="BN12" s="10">
        <f>'Annual Data'!Q23</f>
        <v>1394928</v>
      </c>
      <c r="BP12" s="9">
        <f t="shared" si="10"/>
        <v>3.6027754726126071</v>
      </c>
      <c r="BQ12" s="9">
        <f t="shared" si="11"/>
        <v>2.4022833584397052</v>
      </c>
    </row>
    <row r="13" spans="1:69" x14ac:dyDescent="0.25">
      <c r="A13" s="8">
        <v>45748</v>
      </c>
      <c r="B13" s="10">
        <f>'Quarterly Data'!D216</f>
        <v>647140.19999999995</v>
      </c>
      <c r="C13" s="10">
        <f>'Quarterly Data'!S216</f>
        <v>645036.80000000005</v>
      </c>
      <c r="D13" s="10">
        <f>'Quarterly Data'!AH216</f>
        <v>644937.6</v>
      </c>
      <c r="E13" s="9">
        <f t="shared" si="0"/>
        <v>0.3260899223114011</v>
      </c>
      <c r="G13" s="8">
        <v>45748</v>
      </c>
      <c r="H13" s="9">
        <f>100*('Quarterly Data'!D216/'Quarterly Data'!$D$215)</f>
        <v>100.1936089087657</v>
      </c>
      <c r="I13" s="9">
        <f>100*('Quarterly Data'!S216/'Quarterly Data'!$S$215)</f>
        <v>100.31465902348862</v>
      </c>
      <c r="J13" s="9">
        <f t="shared" si="1"/>
        <v>-0.12067041437540116</v>
      </c>
      <c r="L13" s="8">
        <v>45748</v>
      </c>
      <c r="M13" s="10">
        <f>'Quarterly Data'!G216</f>
        <v>76532.990000000005</v>
      </c>
      <c r="N13" s="10">
        <f>'Quarterly Data'!V216</f>
        <v>76218.149999999994</v>
      </c>
      <c r="O13" s="9">
        <f t="shared" si="2"/>
        <v>0.41307746252041699</v>
      </c>
      <c r="Q13" s="8">
        <v>45748</v>
      </c>
      <c r="R13" s="9">
        <f>100*('Quarterly Data'!G216/'Quarterly Data'!$G$215)</f>
        <v>97.044315299409263</v>
      </c>
      <c r="S13" s="9">
        <f>100*('Quarterly Data'!V216/'Quarterly Data'!$V$215)</f>
        <v>100.11430278258051</v>
      </c>
      <c r="T13" s="9">
        <f t="shared" si="3"/>
        <v>-3.0664824084510434</v>
      </c>
      <c r="V13" s="8">
        <v>45748</v>
      </c>
      <c r="W13" s="10">
        <f>'Quarterly Data'!K216</f>
        <v>63839.13</v>
      </c>
      <c r="X13" s="10">
        <f>'Quarterly Data'!Z216</f>
        <v>63756.54</v>
      </c>
      <c r="Y13" s="10">
        <f>'Quarterly Data'!AO216</f>
        <v>64650.15</v>
      </c>
      <c r="Z13" s="9">
        <f t="shared" si="4"/>
        <v>0.12953965193216455</v>
      </c>
      <c r="AA13" s="9">
        <f t="shared" si="8"/>
        <v>-1.2544750476217059</v>
      </c>
      <c r="AC13" s="8">
        <v>45748</v>
      </c>
      <c r="AD13" s="9">
        <f>100*('Quarterly Data'!K216/'Quarterly Data'!$K$215)</f>
        <v>99.979984937020674</v>
      </c>
      <c r="AE13" s="9">
        <f>100*('Quarterly Data'!Z216/'Quarterly Data'!$Z$215)</f>
        <v>100.27998445387145</v>
      </c>
      <c r="AF13" s="9">
        <f t="shared" si="5"/>
        <v>-0.2991619100108367</v>
      </c>
      <c r="AH13" s="8">
        <v>45748</v>
      </c>
      <c r="AI13" s="9">
        <f>100*('Quarterly Data'!J216/'Quarterly Data'!$J$215)</f>
        <v>100.07261266416729</v>
      </c>
      <c r="AJ13" s="9">
        <f>100*('Quarterly Data'!Y216/'Quarterly Data'!$Y$215)</f>
        <v>100.59129851976947</v>
      </c>
      <c r="AK13" s="9">
        <f t="shared" si="6"/>
        <v>-0.5156369022318863</v>
      </c>
      <c r="AM13" s="8">
        <v>45748</v>
      </c>
      <c r="AN13" s="9">
        <f>100*(('Quarterly Data'!E216/'Quarterly Data'!E212)-1)</f>
        <v>3.0628401152777318</v>
      </c>
      <c r="AO13" s="9">
        <f>100*(('Quarterly Data'!T216/'Quarterly Data'!T212)-1)</f>
        <v>3.1688675389458298</v>
      </c>
      <c r="AP13" s="9">
        <v>2</v>
      </c>
      <c r="AR13" s="8">
        <v>45748</v>
      </c>
      <c r="AS13" s="10">
        <f>'Quarterly Data'!L216</f>
        <v>651663.30000000005</v>
      </c>
      <c r="AT13" s="10">
        <f>'Quarterly Data'!AA216</f>
        <v>651120.4</v>
      </c>
      <c r="AU13" s="9">
        <f t="shared" si="7"/>
        <v>8.3379356567547802E-2</v>
      </c>
      <c r="AW13">
        <v>1990</v>
      </c>
      <c r="AX13">
        <f>'Annual Data'!K24*'Annual Data'!L24</f>
        <v>879722.63934988133</v>
      </c>
      <c r="AY13">
        <f>'Annual Data'!M24/'Annual Data'!N24</f>
        <v>9.2673130692554899</v>
      </c>
      <c r="AZ13" s="10">
        <f>'Annual Data'!O24</f>
        <v>1546268.5</v>
      </c>
      <c r="BA13" s="14">
        <f>'Annual Data'!P24</f>
        <v>-7.175711999999999</v>
      </c>
      <c r="BB13" s="10">
        <f>'Annual Data'!J24</f>
        <v>1385653.3</v>
      </c>
      <c r="BC13" s="10">
        <f>'Annual Data'!B24</f>
        <v>1402748</v>
      </c>
      <c r="BE13" s="9">
        <f t="shared" si="9"/>
        <v>2.6838690113693442</v>
      </c>
      <c r="BF13" s="9">
        <f t="shared" si="9"/>
        <v>0.56060241102049435</v>
      </c>
      <c r="BH13">
        <v>1990</v>
      </c>
      <c r="BI13">
        <f>'Annual Data'!Z24*'Annual Data'!AA24</f>
        <v>879722.63934988133</v>
      </c>
      <c r="BJ13">
        <f>'Annual Data'!AB24/'Annual Data'!AC24</f>
        <v>9.2673130692554899</v>
      </c>
      <c r="BK13" s="10">
        <f>'Annual Data'!AD24</f>
        <v>1546268.5</v>
      </c>
      <c r="BL13" s="14">
        <f>'Annual Data'!AE24</f>
        <v>-7.175711999999999</v>
      </c>
      <c r="BM13" s="10">
        <f>'Annual Data'!Y24</f>
        <v>1385653.3</v>
      </c>
      <c r="BN13" s="10">
        <f>'Annual Data'!Q24</f>
        <v>1402748</v>
      </c>
      <c r="BP13" s="9">
        <f t="shared" si="10"/>
        <v>2.6838690113693442</v>
      </c>
      <c r="BQ13" s="9">
        <f t="shared" si="11"/>
        <v>0.56060241102049435</v>
      </c>
    </row>
    <row r="14" spans="1:69" x14ac:dyDescent="0.25">
      <c r="A14" s="8">
        <v>45839</v>
      </c>
      <c r="B14" s="10">
        <f>'Quarterly Data'!D217</f>
        <v>648105.80000000005</v>
      </c>
      <c r="C14" s="10">
        <f>'Quarterly Data'!S217</f>
        <v>647093.9</v>
      </c>
      <c r="D14" s="10">
        <f>'Quarterly Data'!AH217</f>
        <v>647364.9</v>
      </c>
      <c r="E14" s="9">
        <f t="shared" si="0"/>
        <v>0.15637606845004814</v>
      </c>
      <c r="G14" s="8">
        <v>45839</v>
      </c>
      <c r="H14" s="9">
        <f>100*('Quarterly Data'!D217/'Quarterly Data'!$D$215)</f>
        <v>100.34310811892497</v>
      </c>
      <c r="I14" s="9">
        <f>100*('Quarterly Data'!S217/'Quarterly Data'!$S$215)</f>
        <v>100.6345745462576</v>
      </c>
      <c r="J14" s="9">
        <f t="shared" si="1"/>
        <v>-0.28962851847567084</v>
      </c>
      <c r="L14" s="8">
        <v>45839</v>
      </c>
      <c r="M14" s="10">
        <f>'Quarterly Data'!G217</f>
        <v>75001.37</v>
      </c>
      <c r="N14" s="10">
        <f>'Quarterly Data'!V217</f>
        <v>76140.98</v>
      </c>
      <c r="O14" s="9">
        <f t="shared" si="2"/>
        <v>-1.4967104442312196</v>
      </c>
      <c r="Q14" s="8">
        <v>45839</v>
      </c>
      <c r="R14" s="9">
        <f>100*('Quarterly Data'!G217/'Quarterly Data'!$G$215)</f>
        <v>95.10221145374895</v>
      </c>
      <c r="S14" s="9">
        <f>100*('Quarterly Data'!V217/'Quarterly Data'!$V$215)</f>
        <v>100.01293820280874</v>
      </c>
      <c r="T14" s="9">
        <f t="shared" si="3"/>
        <v>-4.9100914714671156</v>
      </c>
      <c r="V14" s="8">
        <v>45839</v>
      </c>
      <c r="W14" s="10">
        <f>'Quarterly Data'!K217</f>
        <v>63871.05</v>
      </c>
      <c r="X14" s="10">
        <f>'Quarterly Data'!Z217</f>
        <v>63966.93</v>
      </c>
      <c r="Y14" s="10">
        <f>'Quarterly Data'!AO217</f>
        <v>64934.61</v>
      </c>
      <c r="Z14" s="9">
        <f t="shared" si="4"/>
        <v>-0.14988995094808999</v>
      </c>
      <c r="AA14" s="9">
        <f t="shared" si="8"/>
        <v>-1.637893875084484</v>
      </c>
      <c r="AC14" s="8">
        <v>45839</v>
      </c>
      <c r="AD14" s="9">
        <f>100*('Quarterly Data'!K217/'Quarterly Data'!$K$215)</f>
        <v>100.02997561075307</v>
      </c>
      <c r="AE14" s="9">
        <f>100*('Quarterly Data'!Z217/'Quarterly Data'!$Z$215)</f>
        <v>100.61089805001784</v>
      </c>
      <c r="AF14" s="9">
        <f t="shared" si="5"/>
        <v>-0.57739514359166355</v>
      </c>
      <c r="AH14" s="8">
        <v>45839</v>
      </c>
      <c r="AI14" s="9">
        <f>100*('Quarterly Data'!J217/'Quarterly Data'!$J$215)</f>
        <v>100.25232900798133</v>
      </c>
      <c r="AJ14" s="9">
        <f>100*('Quarterly Data'!Y217/'Quarterly Data'!$Y$215)</f>
        <v>101.46541498926314</v>
      </c>
      <c r="AK14" s="9">
        <f t="shared" si="6"/>
        <v>-1.1955659782302952</v>
      </c>
      <c r="AM14" s="8">
        <v>45839</v>
      </c>
      <c r="AN14" s="9">
        <f>100*(('Quarterly Data'!E217/'Quarterly Data'!E213)-1)</f>
        <v>3.2803131991051337</v>
      </c>
      <c r="AO14" s="9">
        <f>100*(('Quarterly Data'!T217/'Quarterly Data'!T213)-1)</f>
        <v>3.4616703952274452</v>
      </c>
      <c r="AP14" s="9">
        <v>2</v>
      </c>
      <c r="AR14" s="8">
        <v>45839</v>
      </c>
      <c r="AS14" s="10">
        <f>'Quarterly Data'!L217</f>
        <v>653590.9</v>
      </c>
      <c r="AT14" s="10">
        <f>'Quarterly Data'!AA217</f>
        <v>653146.6</v>
      </c>
      <c r="AU14" s="9">
        <f t="shared" si="7"/>
        <v>6.8024544566269718E-2</v>
      </c>
      <c r="AW14">
        <v>1991</v>
      </c>
      <c r="AX14">
        <f>'Annual Data'!K25*'Annual Data'!L25</f>
        <v>861885.21783048753</v>
      </c>
      <c r="AY14">
        <f>'Annual Data'!M25/'Annual Data'!N25</f>
        <v>9.375413034179445</v>
      </c>
      <c r="AZ14" s="10">
        <f>'Annual Data'!O25</f>
        <v>1600385.25</v>
      </c>
      <c r="BA14" s="14">
        <f>'Annual Data'!P25</f>
        <v>-7.1318699999999993</v>
      </c>
      <c r="BB14" s="10">
        <f>'Annual Data'!J25</f>
        <v>1404835.4999999998</v>
      </c>
      <c r="BC14" s="10">
        <f>'Annual Data'!B25</f>
        <v>1383043</v>
      </c>
      <c r="BE14" s="9">
        <f t="shared" si="9"/>
        <v>1.3843433996079568</v>
      </c>
      <c r="BF14" s="9">
        <f t="shared" si="9"/>
        <v>-1.40474269077554</v>
      </c>
      <c r="BH14">
        <v>1991</v>
      </c>
      <c r="BI14">
        <f>'Annual Data'!Z25*'Annual Data'!AA25</f>
        <v>861885.21783048753</v>
      </c>
      <c r="BJ14">
        <f>'Annual Data'!AB25/'Annual Data'!AC25</f>
        <v>9.375413034179445</v>
      </c>
      <c r="BK14" s="10">
        <f>'Annual Data'!AD25</f>
        <v>1600385.25</v>
      </c>
      <c r="BL14" s="14">
        <f>'Annual Data'!AE25</f>
        <v>-7.1318699999999993</v>
      </c>
      <c r="BM14" s="10">
        <f>'Annual Data'!Y25</f>
        <v>1404835.4999999998</v>
      </c>
      <c r="BN14" s="10">
        <f>'Annual Data'!Q25</f>
        <v>1383043</v>
      </c>
      <c r="BP14" s="9">
        <f t="shared" si="10"/>
        <v>1.3843433996079568</v>
      </c>
      <c r="BQ14" s="9">
        <f t="shared" si="11"/>
        <v>-1.40474269077554</v>
      </c>
    </row>
    <row r="15" spans="1:69" x14ac:dyDescent="0.25">
      <c r="A15" s="8">
        <v>45931</v>
      </c>
      <c r="B15" s="10">
        <f>'Quarterly Data'!D218</f>
        <v>649184.30000000005</v>
      </c>
      <c r="C15" s="10">
        <f>'Quarterly Data'!S218</f>
        <v>649337.30000000005</v>
      </c>
      <c r="D15" s="10">
        <f>'Quarterly Data'!AH218</f>
        <v>649965.9</v>
      </c>
      <c r="E15" s="9">
        <f t="shared" si="0"/>
        <v>-2.3562484397554595E-2</v>
      </c>
      <c r="G15" s="8">
        <v>45931</v>
      </c>
      <c r="H15" s="9">
        <f>100*('Quarterly Data'!D218/'Quarterly Data'!$D$215)</f>
        <v>100.51008709381803</v>
      </c>
      <c r="I15" s="9">
        <f>100*('Quarterly Data'!S218/'Quarterly Data'!$S$215)</f>
        <v>100.98346302216051</v>
      </c>
      <c r="J15" s="9">
        <f t="shared" si="1"/>
        <v>-0.46876579013594988</v>
      </c>
      <c r="L15" s="8">
        <v>45931</v>
      </c>
      <c r="M15" s="10">
        <f>'Quarterly Data'!G218</f>
        <v>73106.27</v>
      </c>
      <c r="N15" s="10">
        <f>'Quarterly Data'!V218</f>
        <v>76067.3</v>
      </c>
      <c r="O15" s="9">
        <f t="shared" si="2"/>
        <v>-3.8926450656195266</v>
      </c>
      <c r="Q15" s="8">
        <v>45931</v>
      </c>
      <c r="R15" s="9">
        <f>100*('Quarterly Data'!G218/'Quarterly Data'!$G$215)</f>
        <v>92.699212669513415</v>
      </c>
      <c r="S15" s="9">
        <f>100*('Quarterly Data'!V218/'Quarterly Data'!$V$215)</f>
        <v>99.916157818752978</v>
      </c>
      <c r="T15" s="9">
        <f t="shared" si="3"/>
        <v>-7.2230010708888903</v>
      </c>
      <c r="V15" s="8">
        <v>45931</v>
      </c>
      <c r="W15" s="10">
        <f>'Quarterly Data'!K218</f>
        <v>63826.35</v>
      </c>
      <c r="X15" s="10">
        <f>'Quarterly Data'!Z218</f>
        <v>64171.65</v>
      </c>
      <c r="Y15" s="10">
        <f>'Quarterly Data'!AO218</f>
        <v>65226.83</v>
      </c>
      <c r="Z15" s="9">
        <f t="shared" si="4"/>
        <v>-0.53808808095163752</v>
      </c>
      <c r="AA15" s="9">
        <f t="shared" si="8"/>
        <v>-2.1470919252093101</v>
      </c>
      <c r="AC15" s="8">
        <v>45931</v>
      </c>
      <c r="AD15" s="9">
        <f>100*('Quarterly Data'!K218/'Quarterly Data'!$K$215)</f>
        <v>99.959969874041349</v>
      </c>
      <c r="AE15" s="9">
        <f>100*('Quarterly Data'!Z218/'Quarterly Data'!$Z$215)</f>
        <v>100.93289354126307</v>
      </c>
      <c r="AF15" s="9">
        <f t="shared" si="5"/>
        <v>-0.96393121517315272</v>
      </c>
      <c r="AH15" s="8">
        <v>45931</v>
      </c>
      <c r="AI15" s="9">
        <f>100*('Quarterly Data'!J218/'Quarterly Data'!$J$215)</f>
        <v>100.43913373091648</v>
      </c>
      <c r="AJ15" s="9">
        <f>100*('Quarterly Data'!Y218/'Quarterly Data'!$Y$215)</f>
        <v>102.28220945460318</v>
      </c>
      <c r="AK15" s="9">
        <f t="shared" si="6"/>
        <v>-1.8019514180564578</v>
      </c>
      <c r="AM15" s="8">
        <v>45931</v>
      </c>
      <c r="AN15" s="9">
        <f>100*(('Quarterly Data'!E218/'Quarterly Data'!E214)-1)</f>
        <v>2.9612528866780563</v>
      </c>
      <c r="AO15" s="9">
        <f>100*(('Quarterly Data'!T218/'Quarterly Data'!T214)-1)</f>
        <v>3.1802078334256301</v>
      </c>
      <c r="AP15" s="9">
        <v>2</v>
      </c>
      <c r="AR15" s="8">
        <v>45931</v>
      </c>
      <c r="AS15" s="10">
        <f>'Quarterly Data'!L218</f>
        <v>655545.4</v>
      </c>
      <c r="AT15" s="10">
        <f>'Quarterly Data'!AA218</f>
        <v>655401.6</v>
      </c>
      <c r="AU15" s="9">
        <f t="shared" si="7"/>
        <v>2.1940745948745288E-2</v>
      </c>
      <c r="AW15">
        <v>1992</v>
      </c>
      <c r="AX15">
        <f>'Annual Data'!K26*'Annual Data'!L26</f>
        <v>848974.47328146256</v>
      </c>
      <c r="AY15">
        <f>'Annual Data'!M26/'Annual Data'!N26</f>
        <v>9.4785341466726418</v>
      </c>
      <c r="AZ15" s="10">
        <f>'Annual Data'!O26</f>
        <v>1638555.75</v>
      </c>
      <c r="BA15" s="14">
        <f>'Annual Data'!P26</f>
        <v>-7.088298</v>
      </c>
      <c r="BB15" s="10">
        <f>'Annual Data'!J26</f>
        <v>1424319.6</v>
      </c>
      <c r="BC15" s="10">
        <f>'Annual Data'!B26</f>
        <v>1386437</v>
      </c>
      <c r="BE15" s="9">
        <f t="shared" si="9"/>
        <v>1.3869310677300239</v>
      </c>
      <c r="BF15" s="9">
        <f t="shared" si="9"/>
        <v>0.24540090221345512</v>
      </c>
      <c r="BH15">
        <v>1992</v>
      </c>
      <c r="BI15">
        <f>'Annual Data'!Z26*'Annual Data'!AA26</f>
        <v>848974.47328146256</v>
      </c>
      <c r="BJ15">
        <f>'Annual Data'!AB26/'Annual Data'!AC26</f>
        <v>9.4785341466726418</v>
      </c>
      <c r="BK15" s="10">
        <f>'Annual Data'!AD26</f>
        <v>1638555.75</v>
      </c>
      <c r="BL15" s="14">
        <f>'Annual Data'!AE26</f>
        <v>-7.088298</v>
      </c>
      <c r="BM15" s="10">
        <f>'Annual Data'!Y26</f>
        <v>1424319.6</v>
      </c>
      <c r="BN15" s="10">
        <f>'Annual Data'!Q26</f>
        <v>1386437</v>
      </c>
      <c r="BP15" s="9">
        <f t="shared" si="10"/>
        <v>1.3869310677300239</v>
      </c>
      <c r="BQ15" s="9">
        <f t="shared" si="11"/>
        <v>0.24540090221345512</v>
      </c>
    </row>
    <row r="16" spans="1:69" x14ac:dyDescent="0.25">
      <c r="A16" s="8">
        <v>46023</v>
      </c>
      <c r="B16" s="10">
        <f>'Quarterly Data'!D219</f>
        <v>650710.30000000005</v>
      </c>
      <c r="C16" s="10">
        <f>'Quarterly Data'!S219</f>
        <v>651902.6</v>
      </c>
      <c r="D16" s="10">
        <f>'Quarterly Data'!AH219</f>
        <v>652793.59999999998</v>
      </c>
      <c r="E16" s="9">
        <f t="shared" si="0"/>
        <v>-0.18289542026675987</v>
      </c>
      <c r="G16" s="8">
        <v>46023</v>
      </c>
      <c r="H16" s="9">
        <f>100*('Quarterly Data'!D219/'Quarterly Data'!$D$215)</f>
        <v>100.74635034433899</v>
      </c>
      <c r="I16" s="9">
        <f>100*('Quarterly Data'!S219/'Quarterly Data'!$S$215)</f>
        <v>101.38241265541082</v>
      </c>
      <c r="J16" s="9">
        <f t="shared" si="1"/>
        <v>-0.62738920332635617</v>
      </c>
      <c r="L16" s="8">
        <v>46023</v>
      </c>
      <c r="M16" s="10">
        <f>'Quarterly Data'!G219</f>
        <v>72180.289999999994</v>
      </c>
      <c r="N16" s="10">
        <f>'Quarterly Data'!V219</f>
        <v>76031.839999999997</v>
      </c>
      <c r="O16" s="9">
        <f t="shared" si="2"/>
        <v>-5.065706682884441</v>
      </c>
      <c r="Q16" s="8">
        <v>46023</v>
      </c>
      <c r="R16" s="9">
        <f>100*('Quarterly Data'!G219/'Quarterly Data'!$G$215)</f>
        <v>91.525064173800033</v>
      </c>
      <c r="S16" s="9">
        <f>100*('Quarterly Data'!V219/'Quarterly Data'!$V$215)</f>
        <v>99.869580288641444</v>
      </c>
      <c r="T16" s="9">
        <f t="shared" si="3"/>
        <v>-8.3554132206465894</v>
      </c>
      <c r="V16" s="8">
        <v>46023</v>
      </c>
      <c r="W16" s="10">
        <f>'Quarterly Data'!K219</f>
        <v>63858.21</v>
      </c>
      <c r="X16" s="10">
        <f>'Quarterly Data'!Z219</f>
        <v>64511.7</v>
      </c>
      <c r="Y16" s="10">
        <f>'Quarterly Data'!AO219</f>
        <v>65657.279999999999</v>
      </c>
      <c r="Z16" s="9">
        <f t="shared" si="4"/>
        <v>-1.0129790410111639</v>
      </c>
      <c r="AA16" s="9">
        <f t="shared" si="8"/>
        <v>-2.7400921877969941</v>
      </c>
      <c r="AC16" s="8">
        <v>46023</v>
      </c>
      <c r="AD16" s="9">
        <f>100*('Quarterly Data'!K219/'Quarterly Data'!$K$215)</f>
        <v>100.00986658034192</v>
      </c>
      <c r="AE16" s="9">
        <f>100*('Quarterly Data'!Z219/'Quarterly Data'!$Z$215)</f>
        <v>101.46774390663012</v>
      </c>
      <c r="AF16" s="9">
        <f t="shared" si="5"/>
        <v>-1.4367889441098902</v>
      </c>
      <c r="AH16" s="8">
        <v>46023</v>
      </c>
      <c r="AI16" s="9">
        <f>100*('Quarterly Data'!J219/'Quarterly Data'!$J$215)</f>
        <v>100.73001660582474</v>
      </c>
      <c r="AJ16" s="9">
        <f>100*('Quarterly Data'!Y219/'Quarterly Data'!$Y$215)</f>
        <v>103.06214146188748</v>
      </c>
      <c r="AK16" s="9">
        <f t="shared" si="6"/>
        <v>-2.2628336875041177</v>
      </c>
      <c r="AM16" s="8">
        <v>46023</v>
      </c>
      <c r="AN16" s="9">
        <f>100*(('Quarterly Data'!E219/'Quarterly Data'!E215)-1)</f>
        <v>2.7575011327460652</v>
      </c>
      <c r="AO16" s="9">
        <f>100*(('Quarterly Data'!T219/'Quarterly Data'!T215)-1)</f>
        <v>3.1185781972395299</v>
      </c>
      <c r="AP16" s="9">
        <v>2</v>
      </c>
      <c r="AR16" s="8">
        <v>46023</v>
      </c>
      <c r="AS16" s="10">
        <f>'Quarterly Data'!L219</f>
        <v>657638.69999999995</v>
      </c>
      <c r="AT16" s="10">
        <f>'Quarterly Data'!AA219</f>
        <v>657931</v>
      </c>
      <c r="AU16" s="9">
        <f t="shared" si="7"/>
        <v>-4.4427151175430168E-2</v>
      </c>
      <c r="AW16">
        <v>1993</v>
      </c>
      <c r="AX16">
        <f>'Annual Data'!K27*'Annual Data'!L27</f>
        <v>843846.87750000006</v>
      </c>
      <c r="AY16">
        <f>'Annual Data'!M27/'Annual Data'!N27</f>
        <v>9.5656685072133651</v>
      </c>
      <c r="AZ16" s="10">
        <f>'Annual Data'!O27</f>
        <v>1669415.5</v>
      </c>
      <c r="BA16" s="14">
        <f>'Annual Data'!P27</f>
        <v>-7.0449899999999985</v>
      </c>
      <c r="BB16" s="10">
        <f>'Annual Data'!J27</f>
        <v>1447569</v>
      </c>
      <c r="BC16" s="10">
        <f>'Annual Data'!B27</f>
        <v>1417763</v>
      </c>
      <c r="BE16" s="9">
        <f t="shared" si="9"/>
        <v>1.6323162301494554</v>
      </c>
      <c r="BF16" s="9">
        <f t="shared" si="9"/>
        <v>2.2594607616501783</v>
      </c>
      <c r="BH16">
        <v>1993</v>
      </c>
      <c r="BI16">
        <f>'Annual Data'!Z27*'Annual Data'!AA27</f>
        <v>843846.87750000006</v>
      </c>
      <c r="BJ16">
        <f>'Annual Data'!AB27/'Annual Data'!AC27</f>
        <v>9.5656685072133651</v>
      </c>
      <c r="BK16" s="10">
        <f>'Annual Data'!AD27</f>
        <v>1669415.5</v>
      </c>
      <c r="BL16" s="14">
        <f>'Annual Data'!AE27</f>
        <v>-7.0449899999999985</v>
      </c>
      <c r="BM16" s="10">
        <f>'Annual Data'!Y27</f>
        <v>1447569</v>
      </c>
      <c r="BN16" s="10">
        <f>'Annual Data'!Q27</f>
        <v>1417763</v>
      </c>
      <c r="BP16" s="9">
        <f t="shared" si="10"/>
        <v>1.6323162301494554</v>
      </c>
      <c r="BQ16" s="9">
        <f t="shared" si="11"/>
        <v>2.2594607616501783</v>
      </c>
    </row>
    <row r="17" spans="1:69" x14ac:dyDescent="0.25">
      <c r="A17" s="8">
        <v>46113</v>
      </c>
      <c r="B17" s="10">
        <f>'Quarterly Data'!D220</f>
        <v>652240.30000000005</v>
      </c>
      <c r="C17" s="10">
        <f>'Quarterly Data'!S220</f>
        <v>654217.69999999995</v>
      </c>
      <c r="D17" s="10">
        <f>'Quarterly Data'!AH220</f>
        <v>655438.30000000005</v>
      </c>
      <c r="E17" s="9">
        <f t="shared" si="0"/>
        <v>-0.30225412733405621</v>
      </c>
      <c r="G17" s="8">
        <v>46113</v>
      </c>
      <c r="H17" s="9">
        <f>100*('Quarterly Data'!D220/'Quarterly Data'!$D$215)</f>
        <v>100.98323289564767</v>
      </c>
      <c r="I17" s="9">
        <f>100*('Quarterly Data'!S220/'Quarterly Data'!$S$215)</f>
        <v>101.74245175256817</v>
      </c>
      <c r="J17" s="9">
        <f t="shared" si="1"/>
        <v>-0.74621639624615765</v>
      </c>
      <c r="L17" s="8">
        <v>46113</v>
      </c>
      <c r="M17" s="10">
        <f>'Quarterly Data'!G220</f>
        <v>71973.56</v>
      </c>
      <c r="N17" s="10">
        <f>'Quarterly Data'!V220</f>
        <v>76011.77</v>
      </c>
      <c r="O17" s="9">
        <f t="shared" si="2"/>
        <v>-5.3126114547786596</v>
      </c>
      <c r="Q17" s="8">
        <v>46113</v>
      </c>
      <c r="R17" s="9">
        <f>100*('Quarterly Data'!G220/'Quarterly Data'!$G$215)</f>
        <v>91.262929226480622</v>
      </c>
      <c r="S17" s="9">
        <f>100*('Quarterly Data'!V220/'Quarterly Data'!$V$215)</f>
        <v>99.84321787946665</v>
      </c>
      <c r="T17" s="9">
        <f t="shared" si="3"/>
        <v>-8.5937621354956519</v>
      </c>
      <c r="V17" s="8">
        <v>46113</v>
      </c>
      <c r="W17" s="10">
        <f>'Quarterly Data'!K220</f>
        <v>63890.18</v>
      </c>
      <c r="X17" s="10">
        <f>'Quarterly Data'!Z220</f>
        <v>64879.45</v>
      </c>
      <c r="Y17" s="10">
        <f>'Quarterly Data'!AO220</f>
        <v>66116.899999999994</v>
      </c>
      <c r="Z17" s="9">
        <f t="shared" si="4"/>
        <v>-1.5247817298081223</v>
      </c>
      <c r="AA17" s="9">
        <f t="shared" si="8"/>
        <v>-3.3678529997625328</v>
      </c>
      <c r="AC17" s="8">
        <v>46113</v>
      </c>
      <c r="AD17" s="9">
        <f>100*('Quarterly Data'!K220/'Quarterly Data'!$K$215)</f>
        <v>100.05993556026749</v>
      </c>
      <c r="AE17" s="9">
        <f>100*('Quarterly Data'!Z220/'Quarterly Data'!$Z$215)</f>
        <v>102.04616243879812</v>
      </c>
      <c r="AF17" s="9">
        <f t="shared" si="5"/>
        <v>-1.9464003653462902</v>
      </c>
      <c r="AH17" s="8">
        <v>46113</v>
      </c>
      <c r="AI17" s="9">
        <f>100*('Quarterly Data'!J220/'Quarterly Data'!$J$215)</f>
        <v>101.05608204539503</v>
      </c>
      <c r="AJ17" s="9">
        <f>100*('Quarterly Data'!Y220/'Quarterly Data'!$Y$215)</f>
        <v>103.8547724977843</v>
      </c>
      <c r="AK17" s="9">
        <f t="shared" si="6"/>
        <v>-2.6948115961151209</v>
      </c>
      <c r="AM17" s="8">
        <v>46113</v>
      </c>
      <c r="AN17" s="9">
        <f>100*(('Quarterly Data'!E220/'Quarterly Data'!E216)-1)</f>
        <v>2.2793049348811545</v>
      </c>
      <c r="AO17" s="9">
        <f>100*(('Quarterly Data'!T220/'Quarterly Data'!T216)-1)</f>
        <v>2.5062593111100373</v>
      </c>
      <c r="AP17" s="9">
        <v>2</v>
      </c>
      <c r="AR17" s="8">
        <v>46113</v>
      </c>
      <c r="AS17" s="10">
        <f>'Quarterly Data'!L220</f>
        <v>659779.6</v>
      </c>
      <c r="AT17" s="10">
        <f>'Quarterly Data'!AA220</f>
        <v>660364.4</v>
      </c>
      <c r="AU17" s="9">
        <f t="shared" si="7"/>
        <v>-8.8557166316061142E-2</v>
      </c>
      <c r="AW17">
        <v>1994</v>
      </c>
      <c r="AX17">
        <f>'Annual Data'!K28*'Annual Data'!L28</f>
        <v>851545.95187500003</v>
      </c>
      <c r="AY17">
        <f>'Annual Data'!M28/'Annual Data'!N28</f>
        <v>9.6325964550260554</v>
      </c>
      <c r="AZ17" s="10">
        <f>'Annual Data'!O28</f>
        <v>1704154.75</v>
      </c>
      <c r="BA17" s="14">
        <f>'Annual Data'!P28</f>
        <v>-7.0019480000000005</v>
      </c>
      <c r="BB17" s="10">
        <f>'Annual Data'!J28</f>
        <v>1485261.5</v>
      </c>
      <c r="BC17" s="10">
        <f>'Annual Data'!B28</f>
        <v>1466101</v>
      </c>
      <c r="BE17" s="9">
        <f t="shared" si="9"/>
        <v>2.6038482448850431</v>
      </c>
      <c r="BF17" s="9">
        <f t="shared" si="9"/>
        <v>3.4094556001249776</v>
      </c>
      <c r="BH17">
        <v>1994</v>
      </c>
      <c r="BI17">
        <f>'Annual Data'!Z28*'Annual Data'!AA28</f>
        <v>851545.95187500003</v>
      </c>
      <c r="BJ17">
        <f>'Annual Data'!AB28/'Annual Data'!AC28</f>
        <v>9.6325964550260554</v>
      </c>
      <c r="BK17" s="10">
        <f>'Annual Data'!AD28</f>
        <v>1704154.75</v>
      </c>
      <c r="BL17" s="14">
        <f>'Annual Data'!AE28</f>
        <v>-7.0019480000000005</v>
      </c>
      <c r="BM17" s="10">
        <f>'Annual Data'!Y28</f>
        <v>1485261.5</v>
      </c>
      <c r="BN17" s="10">
        <f>'Annual Data'!Q28</f>
        <v>1466101</v>
      </c>
      <c r="BP17" s="9">
        <f t="shared" si="10"/>
        <v>2.6038482448850431</v>
      </c>
      <c r="BQ17" s="9">
        <f t="shared" si="11"/>
        <v>3.4094556001249776</v>
      </c>
    </row>
    <row r="18" spans="1:69" x14ac:dyDescent="0.25">
      <c r="A18" s="8">
        <v>46204</v>
      </c>
      <c r="B18" s="10">
        <f>'Quarterly Data'!D221</f>
        <v>653871</v>
      </c>
      <c r="C18" s="10">
        <f>'Quarterly Data'!S221</f>
        <v>656769.30000000005</v>
      </c>
      <c r="D18" s="10">
        <f>'Quarterly Data'!AH221</f>
        <v>658256.80000000005</v>
      </c>
      <c r="E18" s="9">
        <f t="shared" si="0"/>
        <v>-0.44129651005307968</v>
      </c>
      <c r="G18" s="8">
        <v>46204</v>
      </c>
      <c r="H18" s="9">
        <f>100*('Quarterly Data'!D221/'Quarterly Data'!$D$215)</f>
        <v>101.23570634428758</v>
      </c>
      <c r="I18" s="9">
        <f>100*('Quarterly Data'!S221/'Quarterly Data'!$S$215)</f>
        <v>102.13927079291494</v>
      </c>
      <c r="J18" s="9">
        <f t="shared" si="1"/>
        <v>-0.88463961178978368</v>
      </c>
      <c r="L18" s="8">
        <v>46204</v>
      </c>
      <c r="M18" s="10">
        <f>'Quarterly Data'!G221</f>
        <v>72055.94</v>
      </c>
      <c r="N18" s="10">
        <f>'Quarterly Data'!V221</f>
        <v>76098.77</v>
      </c>
      <c r="O18" s="9">
        <f t="shared" si="2"/>
        <v>-5.3126088634546935</v>
      </c>
      <c r="Q18" s="8">
        <v>46204</v>
      </c>
      <c r="R18" s="9">
        <f>100*('Quarterly Data'!G221/'Quarterly Data'!$G$215)</f>
        <v>91.36738758743536</v>
      </c>
      <c r="S18" s="9">
        <f>100*('Quarterly Data'!V221/'Quarterly Data'!$V$215)</f>
        <v>99.957494391584618</v>
      </c>
      <c r="T18" s="9">
        <f t="shared" si="3"/>
        <v>-8.5937596339674354</v>
      </c>
      <c r="V18" s="8">
        <v>46204</v>
      </c>
      <c r="W18" s="10">
        <f>'Quarterly Data'!K221</f>
        <v>63947.7</v>
      </c>
      <c r="X18" s="10">
        <f>'Quarterly Data'!Z221</f>
        <v>65294.7</v>
      </c>
      <c r="Y18" s="10">
        <f>'Quarterly Data'!AO221</f>
        <v>66612.789999999994</v>
      </c>
      <c r="Z18" s="9">
        <f t="shared" si="4"/>
        <v>-2.0629545736484012</v>
      </c>
      <c r="AA18" s="9">
        <f t="shared" si="8"/>
        <v>-4.0008683017180307</v>
      </c>
      <c r="AC18" s="8">
        <v>46204</v>
      </c>
      <c r="AD18" s="9">
        <f>100*('Quarterly Data'!K221/'Quarterly Data'!$K$215)</f>
        <v>100.15001900491308</v>
      </c>
      <c r="AE18" s="9">
        <f>100*('Quarterly Data'!Z221/'Quarterly Data'!$Z$215)</f>
        <v>102.69929172631076</v>
      </c>
      <c r="AF18" s="9">
        <f t="shared" si="5"/>
        <v>-2.4822690386136159</v>
      </c>
      <c r="AH18" s="8">
        <v>46204</v>
      </c>
      <c r="AI18" s="9">
        <f>100*('Quarterly Data'!J221/'Quarterly Data'!$J$215)</f>
        <v>101.40911790308455</v>
      </c>
      <c r="AJ18" s="9">
        <f>100*('Quarterly Data'!Y221/'Quarterly Data'!$Y$215)</f>
        <v>104.61018832483057</v>
      </c>
      <c r="AK18" s="9">
        <f t="shared" si="6"/>
        <v>-3.0599987181040289</v>
      </c>
      <c r="AM18" s="8">
        <v>46204</v>
      </c>
      <c r="AN18" s="9">
        <f>100*(('Quarterly Data'!E221/'Quarterly Data'!E217)-1)</f>
        <v>2.3326539055545048</v>
      </c>
      <c r="AO18" s="9">
        <f>100*(('Quarterly Data'!T221/'Quarterly Data'!T217)-1)</f>
        <v>2.4448238854680726</v>
      </c>
      <c r="AP18" s="9">
        <v>2</v>
      </c>
      <c r="AR18" s="8">
        <v>46204</v>
      </c>
      <c r="AS18" s="10">
        <f>'Quarterly Data'!L221</f>
        <v>661917.30000000005</v>
      </c>
      <c r="AT18" s="10">
        <f>'Quarterly Data'!AA221</f>
        <v>662938.80000000005</v>
      </c>
      <c r="AU18" s="9">
        <f t="shared" si="7"/>
        <v>-0.1540866215704928</v>
      </c>
      <c r="AW18">
        <v>1995</v>
      </c>
      <c r="AX18">
        <f>'Annual Data'!K29*'Annual Data'!L29</f>
        <v>858185.90812500007</v>
      </c>
      <c r="AY18">
        <f>'Annual Data'!M29/'Annual Data'!N29</f>
        <v>9.6889083014550526</v>
      </c>
      <c r="AZ18" s="10">
        <f>'Annual Data'!O29</f>
        <v>1744333.25</v>
      </c>
      <c r="BA18" s="14">
        <f>'Annual Data'!P29</f>
        <v>-6.959166999999999</v>
      </c>
      <c r="BB18" s="10">
        <f>'Annual Data'!J29</f>
        <v>1523504.6</v>
      </c>
      <c r="BC18" s="10">
        <f>'Annual Data'!B29</f>
        <v>1501088</v>
      </c>
      <c r="BE18" s="9">
        <f t="shared" si="9"/>
        <v>2.5748395147925152</v>
      </c>
      <c r="BF18" s="9">
        <f t="shared" si="9"/>
        <v>2.3863976629168171</v>
      </c>
      <c r="BH18">
        <v>1995</v>
      </c>
      <c r="BI18">
        <f>'Annual Data'!Z29*'Annual Data'!AA29</f>
        <v>858185.90812500007</v>
      </c>
      <c r="BJ18">
        <f>'Annual Data'!AB29/'Annual Data'!AC29</f>
        <v>9.6889083014550526</v>
      </c>
      <c r="BK18" s="10">
        <f>'Annual Data'!AD29</f>
        <v>1744333.25</v>
      </c>
      <c r="BL18" s="14">
        <f>'Annual Data'!AE29</f>
        <v>-6.959166999999999</v>
      </c>
      <c r="BM18" s="10">
        <f>'Annual Data'!Y29</f>
        <v>1523504.6</v>
      </c>
      <c r="BN18" s="10">
        <f>'Annual Data'!Q29</f>
        <v>1501088</v>
      </c>
      <c r="BP18" s="9">
        <f t="shared" si="10"/>
        <v>2.5748395147925152</v>
      </c>
      <c r="BQ18" s="9">
        <f t="shared" si="11"/>
        <v>2.3863976629168171</v>
      </c>
    </row>
    <row r="19" spans="1:69" x14ac:dyDescent="0.25">
      <c r="A19" s="8">
        <v>46296</v>
      </c>
      <c r="B19" s="10">
        <f>'Quarterly Data'!D222</f>
        <v>655799.6</v>
      </c>
      <c r="C19" s="10">
        <f>'Quarterly Data'!S222</f>
        <v>659363.1</v>
      </c>
      <c r="D19" s="10">
        <f>'Quarterly Data'!AH222</f>
        <v>661119.80000000005</v>
      </c>
      <c r="E19" s="9">
        <f t="shared" si="0"/>
        <v>-0.54044577259479976</v>
      </c>
      <c r="G19" s="8">
        <v>46296</v>
      </c>
      <c r="H19" s="9">
        <f>100*('Quarterly Data'!D222/'Quarterly Data'!$D$215)</f>
        <v>101.53430221909407</v>
      </c>
      <c r="I19" s="9">
        <f>100*('Quarterly Data'!S222/'Quarterly Data'!$S$215)</f>
        <v>102.54265268147557</v>
      </c>
      <c r="J19" s="9">
        <f t="shared" si="1"/>
        <v>-0.98334735450398281</v>
      </c>
      <c r="L19" s="8">
        <v>46296</v>
      </c>
      <c r="M19" s="10">
        <f>'Quarterly Data'!G222</f>
        <v>72199.7</v>
      </c>
      <c r="N19" s="10">
        <f>'Quarterly Data'!V222</f>
        <v>76212.55</v>
      </c>
      <c r="O19" s="9">
        <f t="shared" si="2"/>
        <v>-5.2653401572313241</v>
      </c>
      <c r="Q19" s="8">
        <v>46296</v>
      </c>
      <c r="R19" s="9">
        <f>100*('Quarterly Data'!G222/'Quarterly Data'!$G$215)</f>
        <v>91.54967617654502</v>
      </c>
      <c r="S19" s="9">
        <f>100*('Quarterly Data'!V222/'Quarterly Data'!$V$215)</f>
        <v>100.10694705306489</v>
      </c>
      <c r="T19" s="9">
        <f t="shared" si="3"/>
        <v>-8.5481289045642441</v>
      </c>
      <c r="V19" s="8">
        <v>46296</v>
      </c>
      <c r="W19" s="10">
        <f>'Quarterly Data'!K222</f>
        <v>63992.46</v>
      </c>
      <c r="X19" s="10">
        <f>'Quarterly Data'!Z222</f>
        <v>65686.47</v>
      </c>
      <c r="Y19" s="10">
        <f>'Quarterly Data'!AO222</f>
        <v>67079.09</v>
      </c>
      <c r="Z19" s="9">
        <f t="shared" si="4"/>
        <v>-2.5789329218026236</v>
      </c>
      <c r="AA19" s="9">
        <f t="shared" si="8"/>
        <v>-4.6014786425993552</v>
      </c>
      <c r="AC19" s="8">
        <v>46296</v>
      </c>
      <c r="AD19" s="9">
        <f>100*('Quarterly Data'!K222/'Quarterly Data'!$K$215)</f>
        <v>100.22011870905662</v>
      </c>
      <c r="AE19" s="9">
        <f>100*('Quarterly Data'!Z222/'Quarterly Data'!$Z$215)</f>
        <v>103.31549030781304</v>
      </c>
      <c r="AF19" s="9">
        <f t="shared" si="5"/>
        <v>-2.9960382412494213</v>
      </c>
      <c r="AH19" s="8">
        <v>46296</v>
      </c>
      <c r="AI19" s="9">
        <f>100*('Quarterly Data'!J222/'Quarterly Data'!$J$215)</f>
        <v>101.77486097700339</v>
      </c>
      <c r="AJ19" s="9">
        <f>100*('Quarterly Data'!Y222/'Quarterly Data'!$Y$215)</f>
        <v>105.30334363659613</v>
      </c>
      <c r="AK19" s="9">
        <f t="shared" si="6"/>
        <v>-3.3507793178624956</v>
      </c>
      <c r="AM19" s="8">
        <v>46296</v>
      </c>
      <c r="AN19" s="9">
        <f>100*(('Quarterly Data'!E222/'Quarterly Data'!E218)-1)</f>
        <v>2.3620005759926066</v>
      </c>
      <c r="AO19" s="9">
        <f>100*(('Quarterly Data'!T222/'Quarterly Data'!T218)-1)</f>
        <v>2.3744750383419166</v>
      </c>
      <c r="AP19" s="9">
        <v>2</v>
      </c>
      <c r="AR19" s="8">
        <v>46296</v>
      </c>
      <c r="AS19" s="10">
        <f>'Quarterly Data'!L222</f>
        <v>664151.9</v>
      </c>
      <c r="AT19" s="10">
        <f>'Quarterly Data'!AA222</f>
        <v>665473.19999999995</v>
      </c>
      <c r="AU19" s="9">
        <f t="shared" si="7"/>
        <v>-0.19855044500663999</v>
      </c>
      <c r="AW19">
        <v>1996</v>
      </c>
      <c r="AX19">
        <f>'Annual Data'!K30*'Annual Data'!L30</f>
        <v>866753.36662500002</v>
      </c>
      <c r="AY19">
        <f>'Annual Data'!M30/'Annual Data'!N30</f>
        <v>9.7203959941900475</v>
      </c>
      <c r="AZ19" s="10">
        <f>'Annual Data'!O30</f>
        <v>1787124</v>
      </c>
      <c r="BA19" s="14">
        <f>'Annual Data'!P30</f>
        <v>-6.9166489999999996</v>
      </c>
      <c r="BB19" s="10">
        <f>'Annual Data'!J30</f>
        <v>1564487.5999999999</v>
      </c>
      <c r="BC19" s="10">
        <f>'Annual Data'!B30</f>
        <v>1539846</v>
      </c>
      <c r="BE19" s="9">
        <f t="shared" si="9"/>
        <v>2.6900476703516141</v>
      </c>
      <c r="BF19" s="9">
        <f t="shared" si="9"/>
        <v>2.5819938604532133</v>
      </c>
      <c r="BH19">
        <v>1996</v>
      </c>
      <c r="BI19">
        <f>'Annual Data'!Z30*'Annual Data'!AA30</f>
        <v>866753.36662500002</v>
      </c>
      <c r="BJ19">
        <f>'Annual Data'!AB30/'Annual Data'!AC30</f>
        <v>9.7203959941900475</v>
      </c>
      <c r="BK19" s="10">
        <f>'Annual Data'!AD30</f>
        <v>1787124</v>
      </c>
      <c r="BL19" s="14">
        <f>'Annual Data'!AE30</f>
        <v>-6.9166489999999996</v>
      </c>
      <c r="BM19" s="10">
        <f>'Annual Data'!Y30</f>
        <v>1564487.5999999999</v>
      </c>
      <c r="BN19" s="10">
        <f>'Annual Data'!Q30</f>
        <v>1539846</v>
      </c>
      <c r="BP19" s="9">
        <f t="shared" si="10"/>
        <v>2.6900476703516141</v>
      </c>
      <c r="BQ19" s="9">
        <f t="shared" si="11"/>
        <v>2.5819938604532133</v>
      </c>
    </row>
    <row r="20" spans="1:69" x14ac:dyDescent="0.25">
      <c r="AR20" s="8">
        <v>46388</v>
      </c>
      <c r="AS20" s="10">
        <f>'Quarterly Data'!L223</f>
        <v>666314.6</v>
      </c>
      <c r="AT20" s="10">
        <f>'Quarterly Data'!AA223</f>
        <v>667995</v>
      </c>
      <c r="AU20" s="9">
        <f t="shared" si="7"/>
        <v>-0.25155876915247122</v>
      </c>
      <c r="AW20">
        <v>1997</v>
      </c>
      <c r="AX20">
        <f>'Annual Data'!K31*'Annual Data'!L31</f>
        <v>877828.58037500002</v>
      </c>
      <c r="AY20">
        <f>'Annual Data'!M31/'Annual Data'!N31</f>
        <v>9.7395738866639121</v>
      </c>
      <c r="AZ20" s="10">
        <f>'Annual Data'!O31</f>
        <v>1838121.5</v>
      </c>
      <c r="BA20" s="14">
        <f>'Annual Data'!P31</f>
        <v>-6.8791900000000004</v>
      </c>
      <c r="BB20" s="10">
        <f>'Annual Data'!J31</f>
        <v>1608111.9</v>
      </c>
      <c r="BC20" s="10">
        <f>'Annual Data'!B31</f>
        <v>1615678</v>
      </c>
      <c r="BE20" s="9">
        <f t="shared" si="9"/>
        <v>2.7884081663542837</v>
      </c>
      <c r="BF20" s="9">
        <f t="shared" si="9"/>
        <v>4.9246483089867343</v>
      </c>
      <c r="BH20">
        <v>1997</v>
      </c>
      <c r="BI20">
        <f>'Annual Data'!Z31*'Annual Data'!AA31</f>
        <v>877828.58037500002</v>
      </c>
      <c r="BJ20">
        <f>'Annual Data'!AB31/'Annual Data'!AC31</f>
        <v>9.7395738866639121</v>
      </c>
      <c r="BK20" s="10">
        <f>'Annual Data'!AD31</f>
        <v>1838121.5</v>
      </c>
      <c r="BL20" s="14">
        <f>'Annual Data'!AE31</f>
        <v>-6.8791900000000004</v>
      </c>
      <c r="BM20" s="10">
        <f>'Annual Data'!Y31</f>
        <v>1608111.9</v>
      </c>
      <c r="BN20" s="10">
        <f>'Annual Data'!Q31</f>
        <v>1615678</v>
      </c>
      <c r="BP20" s="9">
        <f t="shared" si="10"/>
        <v>2.7884081663542837</v>
      </c>
      <c r="BQ20" s="9">
        <f t="shared" si="11"/>
        <v>4.9246483089867343</v>
      </c>
    </row>
    <row r="21" spans="1:69" x14ac:dyDescent="0.25">
      <c r="AR21" s="8">
        <v>46478</v>
      </c>
      <c r="AS21" s="10">
        <f>'Quarterly Data'!L224</f>
        <v>668574.9</v>
      </c>
      <c r="AT21" s="10">
        <f>'Quarterly Data'!AA224</f>
        <v>670454.69999999995</v>
      </c>
      <c r="AU21" s="9">
        <f t="shared" si="7"/>
        <v>-0.28037688452328124</v>
      </c>
      <c r="AW21">
        <v>1998</v>
      </c>
      <c r="AX21">
        <f>'Annual Data'!K32*'Annual Data'!L32</f>
        <v>884900.3743125</v>
      </c>
      <c r="AY21">
        <f>'Annual Data'!M32/'Annual Data'!N32</f>
        <v>9.7651542025065172</v>
      </c>
      <c r="AZ21" s="10">
        <f>'Annual Data'!O32</f>
        <v>1907750</v>
      </c>
      <c r="BA21" s="14">
        <f>'Annual Data'!P32</f>
        <v>-6.8610949999999997</v>
      </c>
      <c r="BB21" s="10">
        <f>'Annual Data'!J32</f>
        <v>1644834.7</v>
      </c>
      <c r="BC21" s="10">
        <f>'Annual Data'!B32</f>
        <v>1670654</v>
      </c>
      <c r="BE21" s="9">
        <f t="shared" si="9"/>
        <v>2.2835973043915603</v>
      </c>
      <c r="BF21" s="9">
        <f t="shared" si="9"/>
        <v>3.4026582029339947</v>
      </c>
      <c r="BH21">
        <v>1998</v>
      </c>
      <c r="BI21">
        <f>'Annual Data'!Z32*'Annual Data'!AA32</f>
        <v>884900.3743125</v>
      </c>
      <c r="BJ21">
        <f>'Annual Data'!AB32/'Annual Data'!AC32</f>
        <v>9.7651542025065172</v>
      </c>
      <c r="BK21" s="10">
        <f>'Annual Data'!AD32</f>
        <v>1907750</v>
      </c>
      <c r="BL21" s="14">
        <f>'Annual Data'!AE32</f>
        <v>-6.8610949999999997</v>
      </c>
      <c r="BM21" s="10">
        <f>'Annual Data'!Y32</f>
        <v>1644834.7</v>
      </c>
      <c r="BN21" s="10">
        <f>'Annual Data'!Q32</f>
        <v>1670654</v>
      </c>
      <c r="BP21" s="9">
        <f t="shared" si="10"/>
        <v>2.2835973043915603</v>
      </c>
      <c r="BQ21" s="9">
        <f t="shared" si="11"/>
        <v>3.4026582029339947</v>
      </c>
    </row>
    <row r="22" spans="1:69" x14ac:dyDescent="0.25">
      <c r="AR22" s="8">
        <v>46569</v>
      </c>
      <c r="AS22" s="10">
        <f>'Quarterly Data'!L225</f>
        <v>670903.69999999995</v>
      </c>
      <c r="AT22" s="10">
        <f>'Quarterly Data'!AA225</f>
        <v>672935</v>
      </c>
      <c r="AU22" s="9">
        <f t="shared" si="7"/>
        <v>-0.30185679151776279</v>
      </c>
      <c r="AW22">
        <v>1999</v>
      </c>
      <c r="AX22">
        <f>'Annual Data'!K33*'Annual Data'!L33</f>
        <v>895986.098</v>
      </c>
      <c r="AY22">
        <f>'Annual Data'!M33/'Annual Data'!N33</f>
        <v>9.8328066834607579</v>
      </c>
      <c r="AZ22" s="10">
        <f>'Annual Data'!O33</f>
        <v>1982625</v>
      </c>
      <c r="BA22" s="14">
        <f>'Annual Data'!P33</f>
        <v>-6.8446470000000001</v>
      </c>
      <c r="BB22" s="10">
        <f>'Annual Data'!J33</f>
        <v>1691774</v>
      </c>
      <c r="BC22" s="10">
        <f>'Annual Data'!B33</f>
        <v>1721748</v>
      </c>
      <c r="BE22" s="9">
        <f t="shared" si="9"/>
        <v>2.853739649339837</v>
      </c>
      <c r="BF22" s="9">
        <f t="shared" si="9"/>
        <v>3.0583232674150418</v>
      </c>
      <c r="BH22">
        <v>1999</v>
      </c>
      <c r="BI22">
        <f>'Annual Data'!Z33*'Annual Data'!AA33</f>
        <v>895986.098</v>
      </c>
      <c r="BJ22">
        <f>'Annual Data'!AB33/'Annual Data'!AC33</f>
        <v>9.8328066834607579</v>
      </c>
      <c r="BK22" s="10">
        <f>'Annual Data'!AD33</f>
        <v>1982625</v>
      </c>
      <c r="BL22" s="14">
        <f>'Annual Data'!AE33</f>
        <v>-6.8446470000000001</v>
      </c>
      <c r="BM22" s="10">
        <f>'Annual Data'!Y33</f>
        <v>1691774</v>
      </c>
      <c r="BN22" s="10">
        <f>'Annual Data'!Q33</f>
        <v>1721748</v>
      </c>
      <c r="BP22" s="9">
        <f t="shared" si="10"/>
        <v>2.853739649339837</v>
      </c>
      <c r="BQ22" s="9">
        <f t="shared" si="11"/>
        <v>3.0583232674150418</v>
      </c>
    </row>
    <row r="23" spans="1:69" x14ac:dyDescent="0.25">
      <c r="AR23" s="8">
        <v>46661</v>
      </c>
      <c r="AS23" s="10">
        <f>'Quarterly Data'!L226</f>
        <v>673270.1</v>
      </c>
      <c r="AT23" s="10">
        <f>'Quarterly Data'!AA226</f>
        <v>675409.1</v>
      </c>
      <c r="AU23" s="9">
        <f t="shared" si="7"/>
        <v>-0.31669694707993079</v>
      </c>
      <c r="AW23">
        <v>2000</v>
      </c>
      <c r="AX23">
        <f>'Annual Data'!K34*'Annual Data'!L34</f>
        <v>897004.56649999984</v>
      </c>
      <c r="AY23">
        <f>'Annual Data'!M34/'Annual Data'!N34</f>
        <v>9.9743922696041434</v>
      </c>
      <c r="AZ23" s="10">
        <f>'Annual Data'!O34</f>
        <v>2062500</v>
      </c>
      <c r="BA23" s="14">
        <f>'Annual Data'!P34</f>
        <v>-6.8282359999999986</v>
      </c>
      <c r="BB23" s="10">
        <f>'Annual Data'!J34</f>
        <v>1730478.3</v>
      </c>
      <c r="BC23" s="10">
        <f>'Annual Data'!B34</f>
        <v>1796500</v>
      </c>
      <c r="BE23" s="9">
        <f t="shared" si="9"/>
        <v>2.2877937596865738</v>
      </c>
      <c r="BF23" s="9">
        <f t="shared" si="9"/>
        <v>4.3416341996622032</v>
      </c>
      <c r="BH23">
        <v>2000</v>
      </c>
      <c r="BI23">
        <f>'Annual Data'!Z34*'Annual Data'!AA34</f>
        <v>897004.56649999984</v>
      </c>
      <c r="BJ23">
        <f>'Annual Data'!AB34/'Annual Data'!AC34</f>
        <v>9.9743922696041434</v>
      </c>
      <c r="BK23" s="10">
        <f>'Annual Data'!AD34</f>
        <v>2062500</v>
      </c>
      <c r="BL23" s="14">
        <f>'Annual Data'!AE34</f>
        <v>-6.8282359999999986</v>
      </c>
      <c r="BM23" s="10">
        <f>'Annual Data'!Y34</f>
        <v>1730478.3</v>
      </c>
      <c r="BN23" s="10">
        <f>'Annual Data'!Q34</f>
        <v>1796500</v>
      </c>
      <c r="BP23" s="9">
        <f t="shared" si="10"/>
        <v>2.2877937596865738</v>
      </c>
      <c r="BQ23" s="9">
        <f t="shared" si="11"/>
        <v>4.3416341996622032</v>
      </c>
    </row>
    <row r="24" spans="1:69" x14ac:dyDescent="0.25">
      <c r="AR24" s="8">
        <v>46753</v>
      </c>
      <c r="AS24" s="10">
        <f>'Quarterly Data'!L227</f>
        <v>675708.6</v>
      </c>
      <c r="AT24" s="10">
        <f>'Quarterly Data'!AA227</f>
        <v>677887.6</v>
      </c>
      <c r="AU24" s="9">
        <f t="shared" si="7"/>
        <v>-0.32143971950512329</v>
      </c>
      <c r="AW24">
        <v>2001</v>
      </c>
      <c r="AX24">
        <f>'Annual Data'!K35*'Annual Data'!L35</f>
        <v>906197.83062500006</v>
      </c>
      <c r="AY24">
        <f>'Annual Data'!M35/'Annual Data'!N35</f>
        <v>10.222141907419806</v>
      </c>
      <c r="AZ24" s="10">
        <f>'Annual Data'!O35</f>
        <v>2140250</v>
      </c>
      <c r="BA24" s="14">
        <f>'Annual Data'!P35</f>
        <v>-6.8118650000000001</v>
      </c>
      <c r="BB24" s="10">
        <f>'Annual Data'!J35</f>
        <v>1785942.4</v>
      </c>
      <c r="BC24" s="10">
        <f>'Annual Data'!B35</f>
        <v>1842720</v>
      </c>
      <c r="BE24" s="9">
        <f t="shared" si="9"/>
        <v>3.205131205632572</v>
      </c>
      <c r="BF24" s="9">
        <f t="shared" si="9"/>
        <v>2.5727804063456761</v>
      </c>
      <c r="BH24">
        <v>2001</v>
      </c>
      <c r="BI24">
        <f>'Annual Data'!Z35*'Annual Data'!AA35</f>
        <v>906197.83062500006</v>
      </c>
      <c r="BJ24">
        <f>'Annual Data'!AB35/'Annual Data'!AC35</f>
        <v>10.222141907419806</v>
      </c>
      <c r="BK24" s="10">
        <f>'Annual Data'!AD35</f>
        <v>2140250</v>
      </c>
      <c r="BL24" s="14">
        <f>'Annual Data'!AE35</f>
        <v>-6.8118650000000001</v>
      </c>
      <c r="BM24" s="10">
        <f>'Annual Data'!Y35</f>
        <v>1785942.4</v>
      </c>
      <c r="BN24" s="10">
        <f>'Annual Data'!Q35</f>
        <v>1842720</v>
      </c>
      <c r="BP24" s="9">
        <f t="shared" si="10"/>
        <v>3.205131205632572</v>
      </c>
      <c r="BQ24" s="9">
        <f t="shared" si="11"/>
        <v>2.5727804063456761</v>
      </c>
    </row>
    <row r="25" spans="1:69" x14ac:dyDescent="0.25">
      <c r="AR25" s="8">
        <v>46844</v>
      </c>
      <c r="AS25" s="10">
        <f>'Quarterly Data'!L228</f>
        <v>678119.8</v>
      </c>
      <c r="AT25" s="10">
        <f>'Quarterly Data'!AA228</f>
        <v>680403.3</v>
      </c>
      <c r="AU25" s="9">
        <f t="shared" si="7"/>
        <v>-0.3356097773188349</v>
      </c>
      <c r="AW25">
        <v>2002</v>
      </c>
      <c r="AX25">
        <f>'Annual Data'!K36*'Annual Data'!L36</f>
        <v>905078.98875000002</v>
      </c>
      <c r="AY25">
        <f>'Annual Data'!M36/'Annual Data'!N36</f>
        <v>10.553830417185974</v>
      </c>
      <c r="AZ25" s="10">
        <f>'Annual Data'!O36</f>
        <v>2206750</v>
      </c>
      <c r="BA25" s="14">
        <f>'Annual Data'!P36</f>
        <v>-6.7955329999999998</v>
      </c>
      <c r="BB25" s="10">
        <f>'Annual Data'!J36</f>
        <v>1829581.9</v>
      </c>
      <c r="BC25" s="10">
        <f>'Annual Data'!B36</f>
        <v>1875809</v>
      </c>
      <c r="BE25" s="9">
        <f t="shared" si="9"/>
        <v>2.4434998575541877</v>
      </c>
      <c r="BF25" s="9">
        <f t="shared" si="9"/>
        <v>1.7956607623513143</v>
      </c>
      <c r="BH25">
        <v>2002</v>
      </c>
      <c r="BI25">
        <f>'Annual Data'!Z36*'Annual Data'!AA36</f>
        <v>905078.98875000002</v>
      </c>
      <c r="BJ25">
        <f>'Annual Data'!AB36/'Annual Data'!AC36</f>
        <v>10.553830417185974</v>
      </c>
      <c r="BK25" s="10">
        <f>'Annual Data'!AD36</f>
        <v>2206750</v>
      </c>
      <c r="BL25" s="14">
        <f>'Annual Data'!AE36</f>
        <v>-6.7955329999999998</v>
      </c>
      <c r="BM25" s="10">
        <f>'Annual Data'!Y36</f>
        <v>1829581.9</v>
      </c>
      <c r="BN25" s="10">
        <f>'Annual Data'!Q36</f>
        <v>1875809</v>
      </c>
      <c r="BP25" s="9">
        <f t="shared" si="10"/>
        <v>2.4434998575541877</v>
      </c>
      <c r="BQ25" s="9">
        <f t="shared" si="11"/>
        <v>1.7956607623513143</v>
      </c>
    </row>
    <row r="26" spans="1:69" x14ac:dyDescent="0.25">
      <c r="AR26" s="8">
        <v>46935</v>
      </c>
      <c r="AS26" s="10">
        <f>'Quarterly Data'!L229</f>
        <v>680510.3</v>
      </c>
      <c r="AT26" s="10">
        <f>'Quarterly Data'!AA229</f>
        <v>682909.3</v>
      </c>
      <c r="AU26" s="9">
        <f t="shared" si="7"/>
        <v>-0.35129115974844582</v>
      </c>
      <c r="AW26">
        <v>2003</v>
      </c>
      <c r="AX26">
        <f>'Annual Data'!K37*'Annual Data'!L37</f>
        <v>907432.94625000015</v>
      </c>
      <c r="AY26">
        <f>'Annual Data'!M37/'Annual Data'!N37</f>
        <v>10.921333282664229</v>
      </c>
      <c r="AZ26" s="10">
        <f>'Annual Data'!O37</f>
        <v>2263125</v>
      </c>
      <c r="BA26" s="14">
        <f>'Annual Data'!P37</f>
        <v>-6.7792399999999997</v>
      </c>
      <c r="BB26" s="10">
        <f>'Annual Data'!J37</f>
        <v>1876404.4</v>
      </c>
      <c r="BC26" s="10">
        <f>'Annual Data'!B37</f>
        <v>1934941</v>
      </c>
      <c r="BE26" s="9">
        <f t="shared" si="9"/>
        <v>2.5591912556633734</v>
      </c>
      <c r="BF26" s="9">
        <f t="shared" si="9"/>
        <v>3.1523465342153667</v>
      </c>
      <c r="BH26">
        <v>2003</v>
      </c>
      <c r="BI26">
        <f>'Annual Data'!Z37*'Annual Data'!AA37</f>
        <v>907432.94625000015</v>
      </c>
      <c r="BJ26">
        <f>'Annual Data'!AB37/'Annual Data'!AC37</f>
        <v>10.921333282664229</v>
      </c>
      <c r="BK26" s="10">
        <f>'Annual Data'!AD37</f>
        <v>2263125</v>
      </c>
      <c r="BL26" s="14">
        <f>'Annual Data'!AE37</f>
        <v>-6.7792399999999997</v>
      </c>
      <c r="BM26" s="10">
        <f>'Annual Data'!Y37</f>
        <v>1876404.4</v>
      </c>
      <c r="BN26" s="10">
        <f>'Annual Data'!Q37</f>
        <v>1934941</v>
      </c>
      <c r="BP26" s="9">
        <f t="shared" si="10"/>
        <v>2.5591912556633734</v>
      </c>
      <c r="BQ26" s="9">
        <f t="shared" si="11"/>
        <v>3.1523465342153667</v>
      </c>
    </row>
    <row r="27" spans="1:69" x14ac:dyDescent="0.25">
      <c r="AR27" s="8">
        <v>47027</v>
      </c>
      <c r="AS27" s="10">
        <f>'Quarterly Data'!L230</f>
        <v>682872.2</v>
      </c>
      <c r="AT27" s="10">
        <f>'Quarterly Data'!AA230</f>
        <v>685382.8</v>
      </c>
      <c r="AU27" s="9">
        <f t="shared" si="7"/>
        <v>-0.36630624521072352</v>
      </c>
      <c r="AW27">
        <v>2004</v>
      </c>
      <c r="AX27">
        <f>'Annual Data'!K38*'Annual Data'!L38</f>
        <v>912728.20468750002</v>
      </c>
      <c r="AY27">
        <f>'Annual Data'!M38/'Annual Data'!N38</f>
        <v>11.276551683613036</v>
      </c>
      <c r="AZ27" s="10">
        <f>'Annual Data'!O38</f>
        <v>2318000</v>
      </c>
      <c r="BA27" s="14">
        <f>'Annual Data'!P38</f>
        <v>-6.7629870000000007</v>
      </c>
      <c r="BB27" s="10">
        <f>'Annual Data'!J38</f>
        <v>1925416.5</v>
      </c>
      <c r="BC27" s="10">
        <f>'Annual Data'!B38</f>
        <v>1982500</v>
      </c>
      <c r="BE27" s="9">
        <f t="shared" si="9"/>
        <v>2.6120222271915461</v>
      </c>
      <c r="BF27" s="9">
        <f t="shared" si="9"/>
        <v>2.4579044012194684</v>
      </c>
      <c r="BH27">
        <v>2004</v>
      </c>
      <c r="BI27">
        <f>'Annual Data'!Z38*'Annual Data'!AA38</f>
        <v>912728.20468750002</v>
      </c>
      <c r="BJ27">
        <f>'Annual Data'!AB38/'Annual Data'!AC38</f>
        <v>11.276551683613036</v>
      </c>
      <c r="BK27" s="10">
        <f>'Annual Data'!AD38</f>
        <v>2318000</v>
      </c>
      <c r="BL27" s="14">
        <f>'Annual Data'!AE38</f>
        <v>-6.7629870000000007</v>
      </c>
      <c r="BM27" s="10">
        <f>'Annual Data'!Y38</f>
        <v>1925416.5</v>
      </c>
      <c r="BN27" s="10">
        <f>'Annual Data'!Q38</f>
        <v>1982500</v>
      </c>
      <c r="BP27" s="9">
        <f t="shared" si="10"/>
        <v>2.6120222271915461</v>
      </c>
      <c r="BQ27" s="9">
        <f t="shared" si="11"/>
        <v>2.4579044012194684</v>
      </c>
    </row>
    <row r="28" spans="1:69" x14ac:dyDescent="0.25">
      <c r="AR28" s="8">
        <v>47119</v>
      </c>
      <c r="AS28" s="10">
        <f>'Quarterly Data'!L231</f>
        <v>685260.5</v>
      </c>
      <c r="AT28" s="10">
        <f>'Quarterly Data'!AA231</f>
        <v>687829.1</v>
      </c>
      <c r="AU28" s="9">
        <f t="shared" si="7"/>
        <v>-0.37343578513906461</v>
      </c>
      <c r="AW28">
        <v>2005</v>
      </c>
      <c r="AX28">
        <f>'Annual Data'!K39*'Annual Data'!L39</f>
        <v>926585.30250000022</v>
      </c>
      <c r="AY28">
        <f>'Annual Data'!M39/'Annual Data'!N39</f>
        <v>11.57125867372655</v>
      </c>
      <c r="AZ28" s="10">
        <f>'Annual Data'!O39</f>
        <v>2377750</v>
      </c>
      <c r="BA28" s="14">
        <f>'Annual Data'!P39</f>
        <v>-6.7467709999999999</v>
      </c>
      <c r="BB28" s="10">
        <f>'Annual Data'!J39</f>
        <v>1984701.9</v>
      </c>
      <c r="BC28" s="10">
        <f>'Annual Data'!B39</f>
        <v>2036675</v>
      </c>
      <c r="BE28" s="9">
        <f t="shared" si="9"/>
        <v>3.0790948348058622</v>
      </c>
      <c r="BF28" s="9">
        <f t="shared" si="9"/>
        <v>2.7326607818411119</v>
      </c>
      <c r="BH28">
        <v>2005</v>
      </c>
      <c r="BI28">
        <f>'Annual Data'!Z39*'Annual Data'!AA39</f>
        <v>926585.30250000022</v>
      </c>
      <c r="BJ28">
        <f>'Annual Data'!AB39/'Annual Data'!AC39</f>
        <v>11.57125867372655</v>
      </c>
      <c r="BK28" s="10">
        <f>'Annual Data'!AD39</f>
        <v>2377750</v>
      </c>
      <c r="BL28" s="14">
        <f>'Annual Data'!AE39</f>
        <v>-6.7467709999999999</v>
      </c>
      <c r="BM28" s="10">
        <f>'Annual Data'!Y39</f>
        <v>1984701.9</v>
      </c>
      <c r="BN28" s="10">
        <f>'Annual Data'!Q39</f>
        <v>2036675</v>
      </c>
      <c r="BP28" s="9">
        <f t="shared" si="10"/>
        <v>3.0790948348058622</v>
      </c>
      <c r="BQ28" s="9">
        <f t="shared" si="11"/>
        <v>2.7326607818411119</v>
      </c>
    </row>
    <row r="29" spans="1:69" x14ac:dyDescent="0.25">
      <c r="AR29" s="8">
        <v>47209</v>
      </c>
      <c r="AS29" s="10">
        <f>'Quarterly Data'!L232</f>
        <v>687617.9</v>
      </c>
      <c r="AT29" s="10">
        <f>'Quarterly Data'!AA232</f>
        <v>690238.7</v>
      </c>
      <c r="AU29" s="9">
        <f t="shared" si="7"/>
        <v>-0.37969473458963066</v>
      </c>
      <c r="AW29">
        <v>2006</v>
      </c>
      <c r="AX29">
        <f>'Annual Data'!K40*'Annual Data'!L40</f>
        <v>938041.80374999996</v>
      </c>
      <c r="AY29">
        <f>'Annual Data'!M40/'Annual Data'!N40</f>
        <v>11.808390151928197</v>
      </c>
      <c r="AZ29" s="10">
        <f>'Annual Data'!O40</f>
        <v>2443500</v>
      </c>
      <c r="BA29" s="14">
        <f>'Annual Data'!P40</f>
        <v>-6.7305950000000001</v>
      </c>
      <c r="BB29" s="10">
        <f>'Annual Data'!J40</f>
        <v>2040054.2</v>
      </c>
      <c r="BC29" s="10">
        <f>'Annual Data'!B40</f>
        <v>2085162</v>
      </c>
      <c r="BE29" s="9">
        <f t="shared" si="9"/>
        <v>2.7889478011785984</v>
      </c>
      <c r="BF29" s="9">
        <f t="shared" si="9"/>
        <v>2.3806940233468854</v>
      </c>
      <c r="BH29">
        <v>2006</v>
      </c>
      <c r="BI29">
        <f>'Annual Data'!Z40*'Annual Data'!AA40</f>
        <v>938041.80374999996</v>
      </c>
      <c r="BJ29">
        <f>'Annual Data'!AB40/'Annual Data'!AC40</f>
        <v>11.808390151928197</v>
      </c>
      <c r="BK29" s="10">
        <f>'Annual Data'!AD40</f>
        <v>2443500</v>
      </c>
      <c r="BL29" s="14">
        <f>'Annual Data'!AE40</f>
        <v>-6.7305950000000001</v>
      </c>
      <c r="BM29" s="10">
        <f>'Annual Data'!Y40</f>
        <v>2040054.2</v>
      </c>
      <c r="BN29" s="10">
        <f>'Annual Data'!Q40</f>
        <v>2085162</v>
      </c>
      <c r="BP29" s="9">
        <f t="shared" si="10"/>
        <v>2.7889478011785984</v>
      </c>
      <c r="BQ29" s="9">
        <f t="shared" si="11"/>
        <v>2.3806940233468854</v>
      </c>
    </row>
    <row r="30" spans="1:69" x14ac:dyDescent="0.25">
      <c r="AR30" s="8">
        <v>47300</v>
      </c>
      <c r="AS30" s="10">
        <f>'Quarterly Data'!L233</f>
        <v>690014.9</v>
      </c>
      <c r="AT30" s="10">
        <f>'Quarterly Data'!AA233</f>
        <v>692664.1</v>
      </c>
      <c r="AU30" s="9">
        <f t="shared" si="7"/>
        <v>-0.38246532482337781</v>
      </c>
      <c r="AW30">
        <v>2007</v>
      </c>
      <c r="AX30">
        <f>'Annual Data'!K41*'Annual Data'!L41</f>
        <v>945614.30125000014</v>
      </c>
      <c r="AY30">
        <f>'Annual Data'!M41/'Annual Data'!N41</f>
        <v>12.020052031312099</v>
      </c>
      <c r="AZ30" s="10">
        <f>'Annual Data'!O41</f>
        <v>2521500</v>
      </c>
      <c r="BA30" s="14">
        <f>'Annual Data'!P41</f>
        <v>-6.7228560000000002</v>
      </c>
      <c r="BB30" s="10">
        <f>'Annual Data'!J41</f>
        <v>2087491.9</v>
      </c>
      <c r="BC30" s="10">
        <f>'Annual Data'!B41</f>
        <v>2139895</v>
      </c>
      <c r="BE30" s="9">
        <f t="shared" si="9"/>
        <v>2.3253156705346445</v>
      </c>
      <c r="BF30" s="9">
        <f t="shared" si="9"/>
        <v>2.6248799853440641</v>
      </c>
      <c r="BH30">
        <v>2007</v>
      </c>
      <c r="BI30">
        <f>'Annual Data'!Z41*'Annual Data'!AA41</f>
        <v>945614.30125000014</v>
      </c>
      <c r="BJ30">
        <f>'Annual Data'!AB41/'Annual Data'!AC41</f>
        <v>12.020052031312099</v>
      </c>
      <c r="BK30" s="10">
        <f>'Annual Data'!AD41</f>
        <v>2521500</v>
      </c>
      <c r="BL30" s="14">
        <f>'Annual Data'!AE41</f>
        <v>-6.7228560000000002</v>
      </c>
      <c r="BM30" s="10">
        <f>'Annual Data'!Y41</f>
        <v>2087491.9</v>
      </c>
      <c r="BN30" s="10">
        <f>'Annual Data'!Q41</f>
        <v>2139895</v>
      </c>
      <c r="BP30" s="9">
        <f t="shared" si="10"/>
        <v>2.3253156705346445</v>
      </c>
      <c r="BQ30" s="9">
        <f t="shared" si="11"/>
        <v>2.6248799853440641</v>
      </c>
    </row>
    <row r="31" spans="1:69" x14ac:dyDescent="0.25">
      <c r="AR31" s="8">
        <v>47392</v>
      </c>
      <c r="AS31" s="10">
        <f>'Quarterly Data'!L234</f>
        <v>692387.9</v>
      </c>
      <c r="AT31" s="10">
        <f>'Quarterly Data'!AA234</f>
        <v>695095.9</v>
      </c>
      <c r="AU31" s="9">
        <f t="shared" si="7"/>
        <v>-0.38958653043414948</v>
      </c>
      <c r="AW31">
        <v>2008</v>
      </c>
      <c r="AX31">
        <f>'Annual Data'!K42*'Annual Data'!L42</f>
        <v>954262.29968750011</v>
      </c>
      <c r="AY31">
        <f>'Annual Data'!M42/'Annual Data'!N42</f>
        <v>12.2019120395023</v>
      </c>
      <c r="AZ31" s="10">
        <f>'Annual Data'!O42</f>
        <v>2595500</v>
      </c>
      <c r="BA31" s="14">
        <f>'Annual Data'!P42</f>
        <v>-6.7233599999999996</v>
      </c>
      <c r="BB31" s="10">
        <f>'Annual Data'!J42</f>
        <v>2131891.2000000002</v>
      </c>
      <c r="BC31" s="10">
        <f>'Annual Data'!B42</f>
        <v>2134571</v>
      </c>
      <c r="BE31" s="9">
        <f t="shared" si="9"/>
        <v>2.1269208278125618</v>
      </c>
      <c r="BF31" s="9">
        <f t="shared" si="9"/>
        <v>-0.24879725407087605</v>
      </c>
      <c r="BH31">
        <v>2008</v>
      </c>
      <c r="BI31">
        <f>'Annual Data'!Z42*'Annual Data'!AA42</f>
        <v>954262.29968750011</v>
      </c>
      <c r="BJ31">
        <f>'Annual Data'!AB42/'Annual Data'!AC42</f>
        <v>12.2019120395023</v>
      </c>
      <c r="BK31" s="10">
        <f>'Annual Data'!AD42</f>
        <v>2595500</v>
      </c>
      <c r="BL31" s="14">
        <f>'Annual Data'!AE42</f>
        <v>-6.7233599999999996</v>
      </c>
      <c r="BM31" s="10">
        <f>'Annual Data'!Y42</f>
        <v>2131891.2000000002</v>
      </c>
      <c r="BN31" s="10">
        <f>'Annual Data'!Q42</f>
        <v>2134571</v>
      </c>
      <c r="BP31" s="9">
        <f t="shared" si="10"/>
        <v>2.1269208278125618</v>
      </c>
      <c r="BQ31" s="9">
        <f t="shared" si="11"/>
        <v>-0.24879725407087605</v>
      </c>
    </row>
    <row r="32" spans="1:69" x14ac:dyDescent="0.25">
      <c r="AR32" s="8">
        <v>47484</v>
      </c>
      <c r="AS32" s="10">
        <f>'Quarterly Data'!L235</f>
        <v>694806.9</v>
      </c>
      <c r="AT32" s="10">
        <f>'Quarterly Data'!AA235</f>
        <v>697639.4</v>
      </c>
      <c r="AU32" s="9">
        <f t="shared" si="7"/>
        <v>-0.40601204576461436</v>
      </c>
      <c r="AW32">
        <v>2009</v>
      </c>
      <c r="AX32">
        <f>'Annual Data'!K43*'Annual Data'!L43</f>
        <v>945894.63437500002</v>
      </c>
      <c r="AY32">
        <f>'Annual Data'!M43/'Annual Data'!N43</f>
        <v>12.349722333517569</v>
      </c>
      <c r="AZ32" s="10">
        <f>'Annual Data'!O43</f>
        <v>2636625</v>
      </c>
      <c r="BA32" s="14">
        <f>'Annual Data'!P43</f>
        <v>-6.7267979999999996</v>
      </c>
      <c r="BB32" s="10">
        <f>'Annual Data'!J43</f>
        <v>2140455.6</v>
      </c>
      <c r="BC32" s="10">
        <f>'Annual Data'!B43</f>
        <v>2035942</v>
      </c>
      <c r="BE32" s="9">
        <f t="shared" si="9"/>
        <v>0.40172781800495994</v>
      </c>
      <c r="BF32" s="9">
        <f t="shared" si="9"/>
        <v>-4.6205537318739882</v>
      </c>
      <c r="BH32">
        <v>2009</v>
      </c>
      <c r="BI32">
        <f>'Annual Data'!Z43*'Annual Data'!AA43</f>
        <v>945894.63437500002</v>
      </c>
      <c r="BJ32">
        <f>'Annual Data'!AB43/'Annual Data'!AC43</f>
        <v>12.349722333517569</v>
      </c>
      <c r="BK32" s="10">
        <f>'Annual Data'!AD43</f>
        <v>2636625</v>
      </c>
      <c r="BL32" s="14">
        <f>'Annual Data'!AE43</f>
        <v>-6.7267979999999996</v>
      </c>
      <c r="BM32" s="10">
        <f>'Annual Data'!Y43</f>
        <v>2140455.6</v>
      </c>
      <c r="BN32" s="10">
        <f>'Annual Data'!Q43</f>
        <v>2035942</v>
      </c>
      <c r="BP32" s="9">
        <f t="shared" si="10"/>
        <v>0.40172781800495994</v>
      </c>
      <c r="BQ32" s="9">
        <f t="shared" si="11"/>
        <v>-4.6205537318739882</v>
      </c>
    </row>
    <row r="33" spans="44:69" x14ac:dyDescent="0.25">
      <c r="AR33" s="8">
        <v>47574</v>
      </c>
      <c r="AS33" s="10">
        <f>'Quarterly Data'!L236</f>
        <v>697239.1</v>
      </c>
      <c r="AT33" s="10">
        <f>'Quarterly Data'!AA236</f>
        <v>700193.6</v>
      </c>
      <c r="AU33" s="9">
        <f t="shared" si="7"/>
        <v>-0.42195472794952504</v>
      </c>
      <c r="AW33">
        <v>2010</v>
      </c>
      <c r="AX33">
        <f>'Annual Data'!K44*'Annual Data'!L44</f>
        <v>952641.81637500017</v>
      </c>
      <c r="AY33">
        <f>'Annual Data'!M44/'Annual Data'!N44</f>
        <v>12.459159532950105</v>
      </c>
      <c r="AZ33" s="10">
        <f>'Annual Data'!O44</f>
        <v>2666000</v>
      </c>
      <c r="BA33" s="14">
        <f>'Annual Data'!P44</f>
        <v>-6.7274729999999998</v>
      </c>
      <c r="BB33" s="10">
        <f>'Annual Data'!J44</f>
        <v>2163617.4</v>
      </c>
      <c r="BC33" s="10">
        <f>'Annual Data'!B44</f>
        <v>2081411</v>
      </c>
      <c r="BE33" s="9">
        <f t="shared" si="9"/>
        <v>1.0820967274443705</v>
      </c>
      <c r="BF33" s="9">
        <f t="shared" si="9"/>
        <v>2.2333150944378488</v>
      </c>
      <c r="BH33">
        <v>2010</v>
      </c>
      <c r="BI33">
        <f>'Annual Data'!Z44*'Annual Data'!AA44</f>
        <v>952641.81637500017</v>
      </c>
      <c r="BJ33">
        <f>'Annual Data'!AB44/'Annual Data'!AC44</f>
        <v>12.459159532950105</v>
      </c>
      <c r="BK33" s="10">
        <f>'Annual Data'!AD44</f>
        <v>2666000</v>
      </c>
      <c r="BL33" s="14">
        <f>'Annual Data'!AE44</f>
        <v>-6.7274729999999998</v>
      </c>
      <c r="BM33" s="10">
        <f>'Annual Data'!Y44</f>
        <v>2163617.4</v>
      </c>
      <c r="BN33" s="10">
        <f>'Annual Data'!Q44</f>
        <v>2081411</v>
      </c>
      <c r="BP33" s="9">
        <f t="shared" si="10"/>
        <v>1.0820967274443705</v>
      </c>
      <c r="BQ33" s="9">
        <f t="shared" si="11"/>
        <v>2.2333150944378488</v>
      </c>
    </row>
    <row r="34" spans="44:69" x14ac:dyDescent="0.25">
      <c r="AR34" s="8">
        <v>47665</v>
      </c>
      <c r="AS34" s="10">
        <f>'Quarterly Data'!L237</f>
        <v>699741</v>
      </c>
      <c r="AT34" s="10">
        <f>'Quarterly Data'!AA237</f>
        <v>702818.8</v>
      </c>
      <c r="AU34" s="9">
        <f t="shared" si="7"/>
        <v>-0.43792226388935651</v>
      </c>
      <c r="AW34">
        <v>2011</v>
      </c>
      <c r="AX34">
        <f>'Annual Data'!K45*'Annual Data'!L45</f>
        <v>956197.32881250011</v>
      </c>
      <c r="AY34">
        <f>'Annual Data'!M45/'Annual Data'!N45</f>
        <v>12.568907840244501</v>
      </c>
      <c r="AZ34" s="10">
        <f>'Annual Data'!O45</f>
        <v>2696750</v>
      </c>
      <c r="BA34" s="14">
        <f>'Annual Data'!P45</f>
        <v>-6.7281559999999994</v>
      </c>
      <c r="BB34" s="10">
        <f>'Annual Data'!J45</f>
        <v>2183102.2000000002</v>
      </c>
      <c r="BC34" s="10">
        <f>'Annual Data'!B45</f>
        <v>2105105</v>
      </c>
      <c r="BE34" s="9">
        <f t="shared" si="9"/>
        <v>0.90056587638831509</v>
      </c>
      <c r="BF34" s="9">
        <f t="shared" si="9"/>
        <v>1.1383623897442741</v>
      </c>
      <c r="BH34">
        <v>2011</v>
      </c>
      <c r="BI34">
        <f>'Annual Data'!Z45*'Annual Data'!AA45</f>
        <v>956197.32881250011</v>
      </c>
      <c r="BJ34">
        <f>'Annual Data'!AB45/'Annual Data'!AC45</f>
        <v>12.568907840244501</v>
      </c>
      <c r="BK34" s="10">
        <f>'Annual Data'!AD45</f>
        <v>2696750</v>
      </c>
      <c r="BL34" s="14">
        <f>'Annual Data'!AE45</f>
        <v>-6.7281559999999994</v>
      </c>
      <c r="BM34" s="10">
        <f>'Annual Data'!Y45</f>
        <v>2183102.2000000002</v>
      </c>
      <c r="BN34" s="10">
        <f>'Annual Data'!Q45</f>
        <v>2105105</v>
      </c>
      <c r="BP34" s="9">
        <f t="shared" si="10"/>
        <v>0.90056587638831509</v>
      </c>
      <c r="BQ34" s="9">
        <f t="shared" si="11"/>
        <v>1.1383623897442741</v>
      </c>
    </row>
    <row r="35" spans="44:69" x14ac:dyDescent="0.25">
      <c r="AR35" s="8">
        <v>47757</v>
      </c>
      <c r="AS35" s="10">
        <f>'Quarterly Data'!L238</f>
        <v>702260.7</v>
      </c>
      <c r="AT35" s="10">
        <f>'Quarterly Data'!AA238</f>
        <v>705459.19999999995</v>
      </c>
      <c r="AU35" s="9">
        <f t="shared" si="7"/>
        <v>-0.4533926271001909</v>
      </c>
      <c r="AW35">
        <v>2012</v>
      </c>
      <c r="AX35">
        <f>'Annual Data'!K46*'Annual Data'!L46</f>
        <v>973247.8038750001</v>
      </c>
      <c r="AY35">
        <f>'Annual Data'!M46/'Annual Data'!N46</f>
        <v>12.676275470307788</v>
      </c>
      <c r="AZ35" s="10">
        <f>'Annual Data'!O46</f>
        <v>2728000</v>
      </c>
      <c r="BA35" s="14">
        <f>'Annual Data'!P46</f>
        <v>-6.7288390000000007</v>
      </c>
      <c r="BB35" s="10">
        <f>'Annual Data'!J46</f>
        <v>2222445.2999999998</v>
      </c>
      <c r="BC35" s="10">
        <f>'Annual Data'!B46</f>
        <v>2136871</v>
      </c>
      <c r="BE35" s="9">
        <f t="shared" si="9"/>
        <v>1.8021648276475455</v>
      </c>
      <c r="BF35" s="9">
        <f t="shared" si="9"/>
        <v>1.5089983635020676</v>
      </c>
      <c r="BH35">
        <v>2012</v>
      </c>
      <c r="BI35">
        <f>'Annual Data'!Z46*'Annual Data'!AA46</f>
        <v>973247.8038750001</v>
      </c>
      <c r="BJ35">
        <f>'Annual Data'!AB46/'Annual Data'!AC46</f>
        <v>12.676275470307788</v>
      </c>
      <c r="BK35" s="10">
        <f>'Annual Data'!AD46</f>
        <v>2728000</v>
      </c>
      <c r="BL35" s="14">
        <f>'Annual Data'!AE46</f>
        <v>-6.7288390000000007</v>
      </c>
      <c r="BM35" s="10">
        <f>'Annual Data'!Y46</f>
        <v>2222445.2999999998</v>
      </c>
      <c r="BN35" s="10">
        <f>'Annual Data'!Q46</f>
        <v>2136871</v>
      </c>
      <c r="BP35" s="9">
        <f t="shared" si="10"/>
        <v>1.8021648276475455</v>
      </c>
      <c r="BQ35" s="9">
        <f t="shared" si="11"/>
        <v>1.5089983635020676</v>
      </c>
    </row>
    <row r="36" spans="44:69" x14ac:dyDescent="0.25">
      <c r="AR36" s="8">
        <v>47849</v>
      </c>
      <c r="AS36" s="10">
        <f>'Quarterly Data'!L239</f>
        <v>704812.3</v>
      </c>
      <c r="AT36" s="10">
        <f>'Quarterly Data'!AA239</f>
        <v>708154.8</v>
      </c>
      <c r="AU36" s="9">
        <f t="shared" si="7"/>
        <v>-0.47200131948551549</v>
      </c>
      <c r="AW36">
        <v>2013</v>
      </c>
      <c r="AX36">
        <f>'Annual Data'!K47*'Annual Data'!L47</f>
        <v>988566.22499999974</v>
      </c>
      <c r="AY36">
        <f>'Annual Data'!M47/'Annual Data'!N47</f>
        <v>12.780866603621366</v>
      </c>
      <c r="AZ36" s="10">
        <f>'Annual Data'!O47</f>
        <v>2763125</v>
      </c>
      <c r="BA36" s="14">
        <f>'Annual Data'!P47</f>
        <v>-6.7295210000000001</v>
      </c>
      <c r="BB36" s="10">
        <f>'Annual Data'!J47</f>
        <v>2260033.9</v>
      </c>
      <c r="BC36" s="10">
        <f>'Annual Data'!B47</f>
        <v>2175333</v>
      </c>
      <c r="BE36" s="9">
        <f t="shared" si="9"/>
        <v>1.6913172171211688</v>
      </c>
      <c r="BF36" s="9">
        <f t="shared" si="9"/>
        <v>1.7999214739682357</v>
      </c>
      <c r="BH36">
        <v>2013</v>
      </c>
      <c r="BI36">
        <f>'Annual Data'!Z47*'Annual Data'!AA47</f>
        <v>988566.22499999974</v>
      </c>
      <c r="BJ36">
        <f>'Annual Data'!AB47/'Annual Data'!AC47</f>
        <v>12.780866603621366</v>
      </c>
      <c r="BK36" s="10">
        <f>'Annual Data'!AD47</f>
        <v>2763125</v>
      </c>
      <c r="BL36" s="14">
        <f>'Annual Data'!AE47</f>
        <v>-6.7295210000000001</v>
      </c>
      <c r="BM36" s="10">
        <f>'Annual Data'!Y47</f>
        <v>2260033.9</v>
      </c>
      <c r="BN36" s="10">
        <f>'Annual Data'!Q47</f>
        <v>2175333</v>
      </c>
      <c r="BP36" s="9">
        <f t="shared" si="10"/>
        <v>1.6913172171211688</v>
      </c>
      <c r="BQ36" s="9">
        <f t="shared" si="11"/>
        <v>1.7999214739682357</v>
      </c>
    </row>
    <row r="37" spans="44:69" x14ac:dyDescent="0.25">
      <c r="AR37" s="8">
        <v>47939</v>
      </c>
      <c r="AS37" s="10">
        <f>'Quarterly Data'!L240</f>
        <v>707380.6</v>
      </c>
      <c r="AT37" s="10">
        <f>'Quarterly Data'!AA240</f>
        <v>710866.8</v>
      </c>
      <c r="AU37" s="9">
        <f t="shared" si="7"/>
        <v>-0.49041536332827818</v>
      </c>
      <c r="AW37">
        <v>2014</v>
      </c>
      <c r="AX37">
        <f>'Annual Data'!K48*'Annual Data'!L48</f>
        <v>1001159.4718125002</v>
      </c>
      <c r="AY37">
        <f>'Annual Data'!M48/'Annual Data'!N48</f>
        <v>12.882938627759509</v>
      </c>
      <c r="AZ37" s="10">
        <f>'Annual Data'!O48</f>
        <v>2808875</v>
      </c>
      <c r="BA37" s="14">
        <f>'Annual Data'!P48</f>
        <v>-6.7302040000000005</v>
      </c>
      <c r="BB37" s="10">
        <f>'Annual Data'!J48</f>
        <v>2295957.9</v>
      </c>
      <c r="BC37" s="10">
        <f>'Annual Data'!B48</f>
        <v>2244827</v>
      </c>
      <c r="BE37" s="9">
        <f t="shared" si="9"/>
        <v>1.5895336791187153</v>
      </c>
      <c r="BF37" s="9">
        <f t="shared" si="9"/>
        <v>3.1946373267908834</v>
      </c>
      <c r="BH37">
        <v>2014</v>
      </c>
      <c r="BI37">
        <f>'Annual Data'!Z48*'Annual Data'!AA48</f>
        <v>1001159.4718125002</v>
      </c>
      <c r="BJ37">
        <f>'Annual Data'!AB48/'Annual Data'!AC48</f>
        <v>12.882938627759509</v>
      </c>
      <c r="BK37" s="10">
        <f>'Annual Data'!AD48</f>
        <v>2808875</v>
      </c>
      <c r="BL37" s="14">
        <f>'Annual Data'!AE48</f>
        <v>-6.7302040000000005</v>
      </c>
      <c r="BM37" s="10">
        <f>'Annual Data'!Y48</f>
        <v>2295957.9</v>
      </c>
      <c r="BN37" s="10">
        <f>'Annual Data'!Q48</f>
        <v>2244827</v>
      </c>
      <c r="BP37" s="9">
        <f t="shared" si="10"/>
        <v>1.5895336791187153</v>
      </c>
      <c r="BQ37" s="9">
        <f t="shared" si="11"/>
        <v>3.1946373267908834</v>
      </c>
    </row>
    <row r="38" spans="44:69" x14ac:dyDescent="0.25">
      <c r="AR38" s="8">
        <v>48030</v>
      </c>
      <c r="AS38" s="10">
        <f>'Quarterly Data'!L241</f>
        <v>709967.1</v>
      </c>
      <c r="AT38" s="10">
        <f>'Quarterly Data'!AA241</f>
        <v>713608.9</v>
      </c>
      <c r="AU38" s="9">
        <f t="shared" si="7"/>
        <v>-0.51033556335970953</v>
      </c>
      <c r="AW38">
        <v>2015</v>
      </c>
      <c r="AX38">
        <f>'Annual Data'!K49*'Annual Data'!L49</f>
        <v>1010320.0545</v>
      </c>
      <c r="AY38">
        <f>'Annual Data'!M49/'Annual Data'!N49</f>
        <v>12.982612418418913</v>
      </c>
      <c r="AZ38" s="10">
        <f>'Annual Data'!O49</f>
        <v>2868625</v>
      </c>
      <c r="BA38" s="14">
        <f>'Annual Data'!P49</f>
        <v>-6.7308880000000002</v>
      </c>
      <c r="BB38" s="10">
        <f>'Annual Data'!J49</f>
        <v>2330741.1</v>
      </c>
      <c r="BC38" s="10">
        <f>'Annual Data'!B49</f>
        <v>2294727</v>
      </c>
      <c r="BE38" s="9">
        <f t="shared" si="9"/>
        <v>1.5149755141416144</v>
      </c>
      <c r="BF38" s="9">
        <f t="shared" si="9"/>
        <v>2.222888445301141</v>
      </c>
      <c r="BH38">
        <v>2015</v>
      </c>
      <c r="BI38">
        <f>'Annual Data'!Z49*'Annual Data'!AA49</f>
        <v>1010320.0545</v>
      </c>
      <c r="BJ38">
        <f>'Annual Data'!AB49/'Annual Data'!AC49</f>
        <v>12.982612418418913</v>
      </c>
      <c r="BK38" s="10">
        <f>'Annual Data'!AD49</f>
        <v>2868625</v>
      </c>
      <c r="BL38" s="14">
        <f>'Annual Data'!AE49</f>
        <v>-6.7308880000000002</v>
      </c>
      <c r="BM38" s="10">
        <f>'Annual Data'!Y49</f>
        <v>2330741.1</v>
      </c>
      <c r="BN38" s="10">
        <f>'Annual Data'!Q49</f>
        <v>2294727</v>
      </c>
      <c r="BP38" s="9">
        <f t="shared" si="10"/>
        <v>1.5149755141416144</v>
      </c>
      <c r="BQ38" s="9">
        <f t="shared" si="11"/>
        <v>2.222888445301141</v>
      </c>
    </row>
    <row r="39" spans="44:69" x14ac:dyDescent="0.25">
      <c r="AR39" s="8">
        <v>48122</v>
      </c>
      <c r="AS39" s="10">
        <f>'Quarterly Data'!L242</f>
        <v>712632.3</v>
      </c>
      <c r="AT39" s="10">
        <f>'Quarterly Data'!AA242</f>
        <v>716369.8</v>
      </c>
      <c r="AU39" s="9">
        <f t="shared" si="7"/>
        <v>-0.52172774452524662</v>
      </c>
      <c r="AW39">
        <v>2016</v>
      </c>
      <c r="AX39">
        <f>'Annual Data'!K50*'Annual Data'!L50</f>
        <v>1020729.6018749998</v>
      </c>
      <c r="AY39">
        <f>'Annual Data'!M50/'Annual Data'!N50</f>
        <v>13.080192259850607</v>
      </c>
      <c r="AZ39" s="10">
        <f>'Annual Data'!O50</f>
        <v>2939875</v>
      </c>
      <c r="BA39" s="14">
        <f>'Annual Data'!P50</f>
        <v>-6.7315709999999997</v>
      </c>
      <c r="BB39" s="10">
        <f>'Annual Data'!J50</f>
        <v>2370864.6000000006</v>
      </c>
      <c r="BC39" s="10">
        <f>'Annual Data'!B50</f>
        <v>2338825</v>
      </c>
      <c r="BE39" s="9">
        <f t="shared" si="9"/>
        <v>1.7214910742338718</v>
      </c>
      <c r="BF39" s="9">
        <f t="shared" si="9"/>
        <v>1.9217100770592799</v>
      </c>
      <c r="BH39">
        <v>2016</v>
      </c>
      <c r="BI39">
        <f>'Annual Data'!Z50*'Annual Data'!AA50</f>
        <v>1020729.6018749998</v>
      </c>
      <c r="BJ39">
        <f>'Annual Data'!AB50/'Annual Data'!AC50</f>
        <v>13.080192259850607</v>
      </c>
      <c r="BK39" s="10">
        <f>'Annual Data'!AD50</f>
        <v>2939875</v>
      </c>
      <c r="BL39" s="14">
        <f>'Annual Data'!AE50</f>
        <v>-6.7315709999999997</v>
      </c>
      <c r="BM39" s="10">
        <f>'Annual Data'!Y50</f>
        <v>2370864.6000000006</v>
      </c>
      <c r="BN39" s="10">
        <f>'Annual Data'!Q50</f>
        <v>2338825</v>
      </c>
      <c r="BP39" s="9">
        <f t="shared" si="10"/>
        <v>1.7214910742338718</v>
      </c>
      <c r="BQ39" s="9">
        <f t="shared" si="11"/>
        <v>1.9217100770592799</v>
      </c>
    </row>
    <row r="40" spans="44:69" x14ac:dyDescent="0.25">
      <c r="AR40" s="8">
        <v>48214</v>
      </c>
      <c r="AS40" s="10">
        <f>'Quarterly Data'!L243</f>
        <v>715312.9</v>
      </c>
      <c r="AT40" s="10">
        <f>'Quarterly Data'!AA243</f>
        <v>719176.3</v>
      </c>
      <c r="AU40" s="9">
        <f t="shared" si="7"/>
        <v>-0.53719790265613909</v>
      </c>
      <c r="AW40">
        <v>2017</v>
      </c>
      <c r="AX40">
        <f>'Annual Data'!K51*'Annual Data'!L51</f>
        <v>1029430.9500000002</v>
      </c>
      <c r="AY40">
        <f>'Annual Data'!M51/'Annual Data'!N51</f>
        <v>13.176189785969553</v>
      </c>
      <c r="AZ40" s="10">
        <f>'Annual Data'!O51</f>
        <v>3011750</v>
      </c>
      <c r="BA40" s="14">
        <f>'Annual Data'!P51</f>
        <v>-6.7322540000000002</v>
      </c>
      <c r="BB40" s="10">
        <f>'Annual Data'!J51</f>
        <v>2409541.2000000002</v>
      </c>
      <c r="BC40" s="10">
        <f>'Annual Data'!B51</f>
        <v>2400956</v>
      </c>
      <c r="BE40" s="9">
        <f t="shared" si="9"/>
        <v>1.6313289253211405</v>
      </c>
      <c r="BF40" s="9">
        <f t="shared" si="9"/>
        <v>2.6565048688978354</v>
      </c>
      <c r="BH40">
        <v>2017</v>
      </c>
      <c r="BI40">
        <f>'Annual Data'!Z51*'Annual Data'!AA51</f>
        <v>1029430.9500000002</v>
      </c>
      <c r="BJ40">
        <f>'Annual Data'!AB51/'Annual Data'!AC51</f>
        <v>13.176189785969553</v>
      </c>
      <c r="BK40" s="10">
        <f>'Annual Data'!AD51</f>
        <v>3011750</v>
      </c>
      <c r="BL40" s="14">
        <f>'Annual Data'!AE51</f>
        <v>-6.7322540000000002</v>
      </c>
      <c r="BM40" s="10">
        <f>'Annual Data'!Y51</f>
        <v>2409541.2000000002</v>
      </c>
      <c r="BN40" s="10">
        <f>'Annual Data'!Q51</f>
        <v>2400956</v>
      </c>
      <c r="BP40" s="9">
        <f t="shared" si="10"/>
        <v>1.6313289253211405</v>
      </c>
      <c r="BQ40" s="9">
        <f t="shared" si="11"/>
        <v>2.6565048688978354</v>
      </c>
    </row>
    <row r="41" spans="44:69" x14ac:dyDescent="0.25">
      <c r="AR41" s="8">
        <v>48305</v>
      </c>
      <c r="AS41" s="10">
        <f>'Quarterly Data'!L244</f>
        <v>717995.5</v>
      </c>
      <c r="AT41" s="10">
        <f>'Quarterly Data'!AA244</f>
        <v>722031</v>
      </c>
      <c r="AU41" s="9">
        <f t="shared" si="7"/>
        <v>-0.55890952050535736</v>
      </c>
      <c r="AW41">
        <v>2018</v>
      </c>
      <c r="AX41">
        <f>'Annual Data'!K52*'Annual Data'!L52</f>
        <v>1036885.04</v>
      </c>
      <c r="AY41">
        <f>'Annual Data'!M52/'Annual Data'!N52</f>
        <v>13.270736516586128</v>
      </c>
      <c r="AZ41" s="10">
        <f>'Annual Data'!O52</f>
        <v>3074875</v>
      </c>
      <c r="BA41" s="14">
        <f>'Annual Data'!P52</f>
        <v>-6.7329369999999997</v>
      </c>
      <c r="BB41" s="10">
        <f>'Annual Data'!J52</f>
        <v>2444240.5</v>
      </c>
      <c r="BC41" s="10">
        <f>'Annual Data'!B52</f>
        <v>2434694</v>
      </c>
      <c r="BE41" s="9">
        <f t="shared" si="9"/>
        <v>1.4400791320770878</v>
      </c>
      <c r="BF41" s="9">
        <f t="shared" si="9"/>
        <v>1.4051902658774207</v>
      </c>
      <c r="BH41">
        <v>2018</v>
      </c>
      <c r="BI41">
        <f>'Annual Data'!Z52*'Annual Data'!AA52</f>
        <v>1036885.04</v>
      </c>
      <c r="BJ41">
        <f>'Annual Data'!AB52/'Annual Data'!AC52</f>
        <v>13.270736516586128</v>
      </c>
      <c r="BK41" s="10">
        <f>'Annual Data'!AD52</f>
        <v>3074875</v>
      </c>
      <c r="BL41" s="14">
        <f>'Annual Data'!AE52</f>
        <v>-6.7329369999999997</v>
      </c>
      <c r="BM41" s="10">
        <f>'Annual Data'!Y52</f>
        <v>2444240.5</v>
      </c>
      <c r="BN41" s="10">
        <f>'Annual Data'!Q52</f>
        <v>2434694</v>
      </c>
      <c r="BP41" s="9">
        <f t="shared" si="10"/>
        <v>1.4400791320770878</v>
      </c>
      <c r="BQ41" s="9">
        <f t="shared" si="11"/>
        <v>1.4051902658774207</v>
      </c>
    </row>
    <row r="42" spans="44:69" x14ac:dyDescent="0.25">
      <c r="AR42" s="8">
        <v>48396</v>
      </c>
      <c r="AS42" s="10">
        <f>'Quarterly Data'!L245</f>
        <v>720725.3</v>
      </c>
      <c r="AT42" s="10">
        <f>'Quarterly Data'!AA245</f>
        <v>724878.4</v>
      </c>
      <c r="AU42" s="9">
        <f t="shared" si="7"/>
        <v>-0.57293747475438694</v>
      </c>
      <c r="AW42">
        <v>2019</v>
      </c>
      <c r="AX42">
        <f>'Annual Data'!K53*'Annual Data'!L53</f>
        <v>1050157.9920000001</v>
      </c>
      <c r="AY42">
        <f>'Annual Data'!M53/'Annual Data'!N53</f>
        <v>13.363915456632208</v>
      </c>
      <c r="AZ42" s="10">
        <f>'Annual Data'!O53</f>
        <v>3133250</v>
      </c>
      <c r="BA42" s="14">
        <f>'Annual Data'!P53</f>
        <v>-6.7336200000000002</v>
      </c>
      <c r="BB42" s="10">
        <f>'Annual Data'!J53</f>
        <v>2485690</v>
      </c>
      <c r="BC42" s="10">
        <f>'Annual Data'!B53</f>
        <v>2474245</v>
      </c>
      <c r="BE42" s="9">
        <f t="shared" si="9"/>
        <v>1.6958028475512199</v>
      </c>
      <c r="BF42" s="9">
        <f t="shared" si="9"/>
        <v>1.62447519072213</v>
      </c>
      <c r="BH42">
        <v>2019</v>
      </c>
      <c r="BI42">
        <f>'Annual Data'!Z53*'Annual Data'!AA53</f>
        <v>1050134.9961250001</v>
      </c>
      <c r="BJ42">
        <f>'Annual Data'!AB53/'Annual Data'!AC53</f>
        <v>13.363915456632208</v>
      </c>
      <c r="BK42" s="10">
        <f>'Annual Data'!AD53</f>
        <v>3133250</v>
      </c>
      <c r="BL42" s="14">
        <f>'Annual Data'!AE53</f>
        <v>-6.7336200000000002</v>
      </c>
      <c r="BM42" s="10">
        <f>'Annual Data'!Y53</f>
        <v>2485654.5</v>
      </c>
      <c r="BN42" s="10">
        <f>'Annual Data'!Q53</f>
        <v>2474245</v>
      </c>
      <c r="BP42" s="9">
        <f t="shared" si="10"/>
        <v>1.6943504536480747</v>
      </c>
      <c r="BQ42" s="9">
        <f t="shared" si="11"/>
        <v>1.62447519072213</v>
      </c>
    </row>
    <row r="43" spans="44:69" x14ac:dyDescent="0.25">
      <c r="AR43" s="8">
        <v>48488</v>
      </c>
      <c r="AS43" s="10">
        <f>'Quarterly Data'!L246</f>
        <v>723519.2</v>
      </c>
      <c r="AT43" s="10">
        <f>'Quarterly Data'!AA246</f>
        <v>727704.4</v>
      </c>
      <c r="AU43" s="9">
        <f t="shared" si="7"/>
        <v>-0.57512363536623701</v>
      </c>
      <c r="AW43">
        <v>2020</v>
      </c>
      <c r="AX43">
        <f>'Annual Data'!K54*'Annual Data'!L54</f>
        <v>943585.2628125</v>
      </c>
      <c r="AY43">
        <f>'Annual Data'!M54/'Annual Data'!N54</f>
        <v>13.455868650127071</v>
      </c>
      <c r="AZ43" s="10">
        <f>'Annual Data'!O54</f>
        <v>3167500</v>
      </c>
      <c r="BA43" s="14">
        <f>'Annual Data'!P54</f>
        <v>-6.759169</v>
      </c>
      <c r="BB43" s="10">
        <f>'Annual Data'!J54</f>
        <v>2318942.7000000002</v>
      </c>
      <c r="BC43" s="10">
        <f>'Annual Data'!B54</f>
        <v>2219474</v>
      </c>
      <c r="BE43" s="9">
        <f t="shared" si="9"/>
        <v>-6.7082902534105093</v>
      </c>
      <c r="BF43" s="9">
        <f t="shared" si="9"/>
        <v>-10.296918858075898</v>
      </c>
      <c r="BH43">
        <v>2020</v>
      </c>
      <c r="BI43">
        <f>'Annual Data'!Z54*'Annual Data'!AA54</f>
        <v>943550.68499999994</v>
      </c>
      <c r="BJ43">
        <f>'Annual Data'!AB54/'Annual Data'!AC54</f>
        <v>13.455868650127071</v>
      </c>
      <c r="BK43" s="10">
        <f>'Annual Data'!AD54</f>
        <v>3167500</v>
      </c>
      <c r="BL43" s="14">
        <f>'Annual Data'!AE54</f>
        <v>-6.759169</v>
      </c>
      <c r="BM43" s="10">
        <f>'Annual Data'!Y54</f>
        <v>2318885.7000000002</v>
      </c>
      <c r="BN43" s="10">
        <f>'Annual Data'!Q54</f>
        <v>2219474</v>
      </c>
      <c r="BP43" s="9">
        <f t="shared" si="10"/>
        <v>-6.7092510242272141</v>
      </c>
      <c r="BQ43" s="9">
        <f t="shared" si="11"/>
        <v>-10.296918858075898</v>
      </c>
    </row>
    <row r="44" spans="44:69" x14ac:dyDescent="0.25">
      <c r="AR44" s="8">
        <v>48580</v>
      </c>
      <c r="AS44" s="10">
        <f>'Quarterly Data'!L247</f>
        <v>726382.8</v>
      </c>
      <c r="AT44" s="10">
        <f>'Quarterly Data'!AA247</f>
        <v>730664.7</v>
      </c>
      <c r="AU44" s="9">
        <f t="shared" si="7"/>
        <v>-0.58602803721048424</v>
      </c>
      <c r="AW44">
        <v>2021</v>
      </c>
      <c r="AX44">
        <f>'Annual Data'!K55*'Annual Data'!L55</f>
        <v>1011326.2235</v>
      </c>
      <c r="AY44">
        <f>'Annual Data'!M55/'Annual Data'!N55</f>
        <v>13.546903644492325</v>
      </c>
      <c r="AZ44" s="10">
        <f>'Annual Data'!O55</f>
        <v>3194375</v>
      </c>
      <c r="BA44" s="14">
        <f>'Annual Data'!P55</f>
        <v>-6.790038</v>
      </c>
      <c r="BB44" s="10">
        <f>'Annual Data'!J55</f>
        <v>2419449.2999999998</v>
      </c>
      <c r="BC44" s="10">
        <f>'Annual Data'!B55</f>
        <v>2409815</v>
      </c>
      <c r="BE44" s="9">
        <f t="shared" si="9"/>
        <v>4.3341562514675136</v>
      </c>
      <c r="BF44" s="9">
        <f t="shared" si="9"/>
        <v>8.5759508784513763</v>
      </c>
      <c r="BH44">
        <v>2021</v>
      </c>
      <c r="BI44">
        <f>'Annual Data'!Z55*'Annual Data'!AA55</f>
        <v>1011244.67025</v>
      </c>
      <c r="BJ44">
        <f>'Annual Data'!AB55/'Annual Data'!AC55</f>
        <v>13.546903644492325</v>
      </c>
      <c r="BK44" s="10">
        <f>'Annual Data'!AD55</f>
        <v>3194375</v>
      </c>
      <c r="BL44" s="14">
        <f>'Annual Data'!AE55</f>
        <v>-6.790038</v>
      </c>
      <c r="BM44" s="10">
        <f>'Annual Data'!Y55</f>
        <v>2419323.5</v>
      </c>
      <c r="BN44" s="10">
        <f>'Annual Data'!Q55</f>
        <v>2409815</v>
      </c>
      <c r="BP44" s="9">
        <f t="shared" si="10"/>
        <v>4.3312958461040107</v>
      </c>
      <c r="BQ44" s="9">
        <f t="shared" si="11"/>
        <v>8.5759508784513763</v>
      </c>
    </row>
    <row r="45" spans="44:69" x14ac:dyDescent="0.25">
      <c r="AR45" s="8">
        <v>48670</v>
      </c>
      <c r="AS45" s="10">
        <f>'Quarterly Data'!L248</f>
        <v>729138.9</v>
      </c>
      <c r="AT45" s="10">
        <f>'Quarterly Data'!AA248</f>
        <v>733518.1</v>
      </c>
      <c r="AU45" s="9">
        <f t="shared" si="7"/>
        <v>-0.59701321617011693</v>
      </c>
      <c r="AW45">
        <v>2022</v>
      </c>
      <c r="AX45">
        <f>'Annual Data'!K56*'Annual Data'!L56</f>
        <v>1043187.4456250001</v>
      </c>
      <c r="AY45">
        <f>'Annual Data'!M56/'Annual Data'!N56</f>
        <v>13.636937683791192</v>
      </c>
      <c r="AZ45" s="10">
        <f>'Annual Data'!O56</f>
        <v>3236625</v>
      </c>
      <c r="BA45" s="14">
        <f>'Annual Data'!P56</f>
        <v>-6.7924980000000001</v>
      </c>
      <c r="BB45" s="10">
        <f>'Annual Data'!J56</f>
        <v>2482440.4</v>
      </c>
      <c r="BC45" s="10">
        <f>'Annual Data'!B56</f>
        <v>2526428</v>
      </c>
      <c r="BE45" s="9">
        <f t="shared" si="9"/>
        <v>2.6035304810892335</v>
      </c>
      <c r="BF45" s="9">
        <f t="shared" si="9"/>
        <v>4.8390851579892979</v>
      </c>
      <c r="BH45">
        <v>2022</v>
      </c>
      <c r="BI45">
        <f>'Annual Data'!Z56*'Annual Data'!AA56</f>
        <v>1043065.7637499999</v>
      </c>
      <c r="BJ45">
        <f>'Annual Data'!AB56/'Annual Data'!AC56</f>
        <v>13.636937683791192</v>
      </c>
      <c r="BK45" s="10">
        <f>'Annual Data'!AD56</f>
        <v>3236625</v>
      </c>
      <c r="BL45" s="14">
        <f>'Annual Data'!AE56</f>
        <v>-6.7924980000000001</v>
      </c>
      <c r="BM45" s="10">
        <f>'Annual Data'!Y56</f>
        <v>2482251.5</v>
      </c>
      <c r="BN45" s="10">
        <f>'Annual Data'!Q56</f>
        <v>2526428</v>
      </c>
      <c r="BP45" s="9">
        <f t="shared" si="10"/>
        <v>2.6010576923673145</v>
      </c>
      <c r="BQ45" s="9">
        <f t="shared" si="11"/>
        <v>4.8390851579892979</v>
      </c>
    </row>
    <row r="46" spans="44:69" x14ac:dyDescent="0.25">
      <c r="AR46" s="8">
        <v>48761</v>
      </c>
      <c r="AS46" s="10">
        <f>'Quarterly Data'!L249</f>
        <v>731906.1</v>
      </c>
      <c r="AT46" s="10">
        <f>'Quarterly Data'!AA249</f>
        <v>736379.2</v>
      </c>
      <c r="AU46" s="9">
        <f t="shared" si="7"/>
        <v>-0.60744518584989748</v>
      </c>
      <c r="AW46">
        <v>2023</v>
      </c>
      <c r="AX46">
        <f>'Annual Data'!K57*'Annual Data'!L57</f>
        <v>1054153.6740625</v>
      </c>
      <c r="AY46">
        <f>'Annual Data'!M57/'Annual Data'!N57</f>
        <v>13.725839021391485</v>
      </c>
      <c r="AZ46" s="10">
        <f>'Annual Data'!O57</f>
        <v>3283125</v>
      </c>
      <c r="BA46" s="14">
        <f>'Annual Data'!P57</f>
        <v>-6.7911380000000001</v>
      </c>
      <c r="BB46" s="10">
        <f>'Annual Data'!J57</f>
        <v>2517949.6</v>
      </c>
      <c r="BC46" s="10">
        <f>'Annual Data'!B57</f>
        <v>2536460</v>
      </c>
      <c r="BE46" s="9">
        <f t="shared" si="9"/>
        <v>1.4304150061367205</v>
      </c>
      <c r="BF46" s="9">
        <f t="shared" si="9"/>
        <v>0.39708236292503862</v>
      </c>
      <c r="BH46">
        <v>2023</v>
      </c>
      <c r="BI46">
        <f>'Annual Data'!Z57*'Annual Data'!AA57</f>
        <v>1053979.183125</v>
      </c>
      <c r="BJ46">
        <f>'Annual Data'!AB57/'Annual Data'!AC57</f>
        <v>13.725839021391485</v>
      </c>
      <c r="BK46" s="10">
        <f>'Annual Data'!AD57</f>
        <v>3283125</v>
      </c>
      <c r="BL46" s="14">
        <f>'Annual Data'!AE57</f>
        <v>-6.7902909999999999</v>
      </c>
      <c r="BM46" s="10">
        <f>'Annual Data'!Y57</f>
        <v>2518211.2999999998</v>
      </c>
      <c r="BN46" s="10">
        <f>'Annual Data'!Q57</f>
        <v>2536090</v>
      </c>
      <c r="BP46" s="9">
        <f t="shared" si="10"/>
        <v>1.4486767356168384</v>
      </c>
      <c r="BQ46" s="9">
        <f t="shared" si="11"/>
        <v>0.38243718008190708</v>
      </c>
    </row>
    <row r="47" spans="44:69" x14ac:dyDescent="0.25">
      <c r="AR47" s="8">
        <v>48853</v>
      </c>
      <c r="AS47" s="10">
        <f>'Quarterly Data'!L250</f>
        <v>734557</v>
      </c>
      <c r="AT47" s="10">
        <f>'Quarterly Data'!AA250</f>
        <v>739121.8</v>
      </c>
      <c r="AU47" s="9">
        <f t="shared" si="7"/>
        <v>-0.61759780323081825</v>
      </c>
      <c r="AW47">
        <v>2024</v>
      </c>
      <c r="AX47">
        <f>'Annual Data'!K58*'Annual Data'!L58</f>
        <v>1077081.4721875</v>
      </c>
      <c r="AY47">
        <f>'Annual Data'!M58/'Annual Data'!N58</f>
        <v>13.813467449026943</v>
      </c>
      <c r="AZ47" s="10">
        <f>'Annual Data'!O58</f>
        <v>3327331.75</v>
      </c>
      <c r="BA47" s="14">
        <f>'Annual Data'!P58</f>
        <v>-6.7906279999999999</v>
      </c>
      <c r="BB47" s="10">
        <f>'Annual Data'!J58</f>
        <v>2570656.7000000002</v>
      </c>
      <c r="BC47" s="10">
        <f>'Annual Data'!B58</f>
        <v>2564378</v>
      </c>
      <c r="BE47" s="9">
        <f t="shared" si="9"/>
        <v>2.0932547657030121</v>
      </c>
      <c r="BF47" s="9">
        <f t="shared" si="9"/>
        <v>1.1006678599307707</v>
      </c>
      <c r="BH47">
        <v>2024</v>
      </c>
      <c r="BI47">
        <f>'Annual Data'!Z58*'Annual Data'!AA58</f>
        <v>1076866.9199374998</v>
      </c>
      <c r="BJ47">
        <f>'Annual Data'!AB58/'Annual Data'!AC58</f>
        <v>13.813467449026943</v>
      </c>
      <c r="BK47" s="10">
        <f>'Annual Data'!AD58</f>
        <v>3327364.5</v>
      </c>
      <c r="BL47" s="14">
        <f>'Annual Data'!AE58</f>
        <v>-6.7875770000000006</v>
      </c>
      <c r="BM47" s="10">
        <f>'Annual Data'!Y58</f>
        <v>2572320.5</v>
      </c>
      <c r="BN47" s="10">
        <f>'Annual Data'!Q58</f>
        <v>2559803</v>
      </c>
      <c r="BP47" s="9">
        <f t="shared" si="10"/>
        <v>2.148715637960974</v>
      </c>
      <c r="BQ47" s="9">
        <f t="shared" si="11"/>
        <v>0.93502202208912699</v>
      </c>
    </row>
    <row r="48" spans="44:69" x14ac:dyDescent="0.25">
      <c r="AR48" s="8">
        <v>48945</v>
      </c>
      <c r="AS48" s="10">
        <f>'Quarterly Data'!L251</f>
        <v>737326.5</v>
      </c>
      <c r="AT48" s="10">
        <f>'Quarterly Data'!AA251</f>
        <v>741985.6</v>
      </c>
      <c r="AU48" s="9">
        <f t="shared" si="7"/>
        <v>-0.62792323732427935</v>
      </c>
      <c r="AW48">
        <v>2025</v>
      </c>
      <c r="AX48">
        <f>'Annual Data'!K59*'Annual Data'!L59</f>
        <v>1091712.5599999998</v>
      </c>
      <c r="AY48">
        <f>'Annual Data'!M59/'Annual Data'!N59</f>
        <v>13.899847808440429</v>
      </c>
      <c r="AZ48" s="10">
        <f>'Annual Data'!O59</f>
        <v>3374194.5</v>
      </c>
      <c r="BA48" s="14">
        <f>'Annual Data'!P59</f>
        <v>-6.7911380000000001</v>
      </c>
      <c r="BB48" s="10">
        <f>'Annual Data'!J59</f>
        <v>2610560.2999999998</v>
      </c>
      <c r="BC48" s="10">
        <f>'Annual Data'!B59</f>
        <v>2590320</v>
      </c>
      <c r="BE48" s="9">
        <f t="shared" si="9"/>
        <v>1.5522726157872313</v>
      </c>
      <c r="BF48" s="9">
        <f t="shared" si="9"/>
        <v>1.0116293307772972</v>
      </c>
      <c r="BH48">
        <v>2025</v>
      </c>
      <c r="BI48">
        <f>'Annual Data'!Z59*'Annual Data'!AA59</f>
        <v>1088594.3999999999</v>
      </c>
      <c r="BJ48">
        <f>'Annual Data'!AB59/'Annual Data'!AC59</f>
        <v>13.899847808440429</v>
      </c>
      <c r="BK48" s="10">
        <f>'Annual Data'!AD59</f>
        <v>3369963.75</v>
      </c>
      <c r="BL48" s="14">
        <f>'Annual Data'!AE59</f>
        <v>-6.7848620000000004</v>
      </c>
      <c r="BM48" s="10">
        <f>'Annual Data'!Y59</f>
        <v>2608982.7000000002</v>
      </c>
      <c r="BN48" s="10">
        <f>'Annual Data'!Q59</f>
        <v>2584481.5</v>
      </c>
      <c r="BP48" s="9">
        <f t="shared" si="10"/>
        <v>1.4252578556987805</v>
      </c>
      <c r="BQ48" s="9">
        <f t="shared" si="11"/>
        <v>0.9640780950721517</v>
      </c>
    </row>
    <row r="49" spans="44:69" x14ac:dyDescent="0.25">
      <c r="AR49" s="8">
        <v>49035</v>
      </c>
      <c r="AS49" s="10">
        <f>'Quarterly Data'!L252</f>
        <v>740037.9</v>
      </c>
      <c r="AT49" s="10">
        <f>'Quarterly Data'!AA252</f>
        <v>744783.8</v>
      </c>
      <c r="AU49" s="9">
        <f t="shared" si="7"/>
        <v>-0.63721847870482629</v>
      </c>
      <c r="AW49">
        <v>2026</v>
      </c>
      <c r="AX49">
        <f>'Annual Data'!K60*'Annual Data'!L60</f>
        <v>1102262.96</v>
      </c>
      <c r="AY49">
        <f>'Annual Data'!M60/'Annual Data'!N60</f>
        <v>13.984748308960327</v>
      </c>
      <c r="AZ49" s="10">
        <f>'Annual Data'!O60</f>
        <v>3418497.25</v>
      </c>
      <c r="BA49" s="14">
        <f>'Annual Data'!P60</f>
        <v>-6.7919029999999996</v>
      </c>
      <c r="BB49" s="10">
        <f>'Annual Data'!J60</f>
        <v>2643487.5</v>
      </c>
      <c r="BC49" s="10">
        <f>'Annual Data'!B60</f>
        <v>2612621.2000000002</v>
      </c>
      <c r="BE49" s="9">
        <f t="shared" si="9"/>
        <v>1.2613077736607137</v>
      </c>
      <c r="BF49" s="9">
        <f t="shared" si="9"/>
        <v>0.86094382161279182</v>
      </c>
      <c r="BH49">
        <v>2026</v>
      </c>
      <c r="BI49">
        <f>'Annual Data'!Z60*'Annual Data'!AA60</f>
        <v>1100900.2399999998</v>
      </c>
      <c r="BJ49">
        <f>'Annual Data'!AB60/'Annual Data'!AC60</f>
        <v>13.984748308960327</v>
      </c>
      <c r="BK49" s="10">
        <f>'Annual Data'!AD60</f>
        <v>3415495</v>
      </c>
      <c r="BL49" s="14">
        <f>'Annual Data'!AE60</f>
        <v>-6.7821479999999994</v>
      </c>
      <c r="BM49" s="10">
        <f>'Annual Data'!Y60</f>
        <v>2646707.4</v>
      </c>
      <c r="BN49" s="10">
        <f>'Annual Data'!Q60</f>
        <v>2622252.6999999997</v>
      </c>
      <c r="BP49" s="9">
        <f t="shared" si="10"/>
        <v>1.4459543944081998</v>
      </c>
      <c r="BQ49" s="9">
        <f t="shared" si="11"/>
        <v>1.461461418857124</v>
      </c>
    </row>
    <row r="50" spans="44:69" x14ac:dyDescent="0.25">
      <c r="AR50" s="8">
        <v>49126</v>
      </c>
      <c r="AS50" s="10">
        <f>'Quarterly Data'!L253</f>
        <v>742750.2</v>
      </c>
      <c r="AT50" s="10">
        <f>'Quarterly Data'!AA253</f>
        <v>747576.9</v>
      </c>
      <c r="AU50" s="9">
        <f t="shared" si="7"/>
        <v>-0.64564595294478444</v>
      </c>
      <c r="AW50">
        <v>2027</v>
      </c>
      <c r="AX50">
        <f>'Annual Data'!K61*'Annual Data'!L61</f>
        <v>1113794.853521456</v>
      </c>
      <c r="AY50">
        <f>'Annual Data'!M61/'Annual Data'!N61</f>
        <v>14.067703759638627</v>
      </c>
      <c r="AZ50" s="10">
        <f>'Annual Data'!O61</f>
        <v>3461841</v>
      </c>
      <c r="BA50" s="14">
        <f>'Annual Data'!P61</f>
        <v>-6.7902889999999996</v>
      </c>
      <c r="BB50" s="10">
        <f>'Annual Data'!J61</f>
        <v>2679063.2999999998</v>
      </c>
      <c r="BC50" s="10">
        <f>'Annual Data'!B61</f>
        <v>2647377.2000000002</v>
      </c>
      <c r="BE50" s="9">
        <f t="shared" si="9"/>
        <v>1.3457903621636014</v>
      </c>
      <c r="BF50" s="9">
        <f t="shared" si="9"/>
        <v>1.330311489472713</v>
      </c>
      <c r="BH50">
        <v>2027</v>
      </c>
      <c r="BI50">
        <f>'Annual Data'!Z61*'Annual Data'!AA61</f>
        <v>1113385.5802042312</v>
      </c>
      <c r="BJ50">
        <f>'Annual Data'!AB61/'Annual Data'!AC61</f>
        <v>14.067703759638627</v>
      </c>
      <c r="BK50" s="10">
        <f>'Annual Data'!AD61</f>
        <v>3465646.75</v>
      </c>
      <c r="BL50" s="14">
        <f>'Annual Data'!AE61</f>
        <v>-6.7785889999999993</v>
      </c>
      <c r="BM50" s="10">
        <f>'Annual Data'!Y61</f>
        <v>2686793.8</v>
      </c>
      <c r="BN50" s="10">
        <f>'Annual Data'!Q61</f>
        <v>2665748</v>
      </c>
      <c r="BP50" s="9">
        <f t="shared" si="10"/>
        <v>1.5145761862455975</v>
      </c>
      <c r="BQ50" s="9">
        <f t="shared" si="11"/>
        <v>1.658699788925766</v>
      </c>
    </row>
    <row r="51" spans="44:69" x14ac:dyDescent="0.25">
      <c r="AR51" s="8">
        <v>49218</v>
      </c>
      <c r="AS51" s="10">
        <f>'Quarterly Data'!L254</f>
        <v>745421.2</v>
      </c>
      <c r="AT51" s="10">
        <f>'Quarterly Data'!AA254</f>
        <v>750348.9</v>
      </c>
      <c r="AU51" s="9">
        <f t="shared" si="7"/>
        <v>-0.65672115998305358</v>
      </c>
      <c r="AW51">
        <v>2028</v>
      </c>
      <c r="AX51">
        <f>'Annual Data'!K62*'Annual Data'!L62</f>
        <v>1125837.6057951751</v>
      </c>
      <c r="AY51">
        <f>'Annual Data'!M62/'Annual Data'!N62</f>
        <v>14.148502944017389</v>
      </c>
      <c r="AZ51" s="10">
        <f>'Annual Data'!O62</f>
        <v>3506825.5</v>
      </c>
      <c r="BA51" s="14">
        <f>'Annual Data'!P62</f>
        <v>-6.7864710000000006</v>
      </c>
      <c r="BB51" s="10">
        <f>'Annual Data'!J62</f>
        <v>2717210.9</v>
      </c>
      <c r="BC51" s="10">
        <f>'Annual Data'!B62</f>
        <v>2696080.6</v>
      </c>
      <c r="BE51" s="9">
        <f t="shared" si="9"/>
        <v>1.4239155901990097</v>
      </c>
      <c r="BF51" s="9">
        <f t="shared" si="9"/>
        <v>1.8396849530924353</v>
      </c>
      <c r="BH51">
        <v>2028</v>
      </c>
      <c r="BI51">
        <f>'Annual Data'!Z62*'Annual Data'!AA62</f>
        <v>1124608.2978508875</v>
      </c>
      <c r="BJ51">
        <f>'Annual Data'!AB62/'Annual Data'!AC62</f>
        <v>14.148502944017389</v>
      </c>
      <c r="BK51" s="10">
        <f>'Annual Data'!AD62</f>
        <v>3518260.25</v>
      </c>
      <c r="BL51" s="14">
        <f>'Annual Data'!AE62</f>
        <v>-6.773676</v>
      </c>
      <c r="BM51" s="10">
        <f>'Annual Data'!Y62</f>
        <v>2726583</v>
      </c>
      <c r="BN51" s="10">
        <f>'Annual Data'!Q62</f>
        <v>2714647.4000000004</v>
      </c>
      <c r="BP51" s="9">
        <f t="shared" si="10"/>
        <v>1.4809175158882804</v>
      </c>
      <c r="BQ51" s="9">
        <f t="shared" si="11"/>
        <v>1.8343594368259941</v>
      </c>
    </row>
    <row r="52" spans="44:69" x14ac:dyDescent="0.25">
      <c r="AR52" s="8"/>
      <c r="AW52">
        <v>2029</v>
      </c>
      <c r="AX52">
        <f>'Annual Data'!K63*'Annual Data'!L63</f>
        <v>1136256.8096667498</v>
      </c>
      <c r="AY52">
        <f>'Annual Data'!M63/'Annual Data'!N63</f>
        <v>14.226978774109346</v>
      </c>
      <c r="AZ52" s="10">
        <f>'Annual Data'!O63</f>
        <v>3554214.75</v>
      </c>
      <c r="BA52" s="14">
        <f>'Annual Data'!P63</f>
        <v>-6.7800259999999994</v>
      </c>
      <c r="BB52" s="10">
        <f>'Annual Data'!J63</f>
        <v>2755281.1999999997</v>
      </c>
      <c r="BC52" s="10">
        <f>'Annual Data'!B63</f>
        <v>2743598.4</v>
      </c>
      <c r="BE52" s="9">
        <f t="shared" si="9"/>
        <v>1.4010800560236181</v>
      </c>
      <c r="BF52" s="9">
        <f t="shared" si="9"/>
        <v>1.7624769823275876</v>
      </c>
      <c r="BH52">
        <v>2029</v>
      </c>
      <c r="BI52">
        <f>'Annual Data'!Z63*'Annual Data'!AA63</f>
        <v>1134648.3595012373</v>
      </c>
      <c r="BJ52">
        <f>'Annual Data'!AB63/'Annual Data'!AC63</f>
        <v>14.226978774109346</v>
      </c>
      <c r="BK52" s="10">
        <f>'Annual Data'!AD63</f>
        <v>3572777.75</v>
      </c>
      <c r="BL52" s="14">
        <f>'Annual Data'!AE63</f>
        <v>-6.7677080000000007</v>
      </c>
      <c r="BM52" s="10">
        <f>'Annual Data'!Y63</f>
        <v>2765827.8</v>
      </c>
      <c r="BN52" s="10">
        <f>'Annual Data'!Q63</f>
        <v>2760086</v>
      </c>
      <c r="BP52" s="9">
        <f t="shared" si="10"/>
        <v>1.4393400090882968</v>
      </c>
      <c r="BQ52" s="9">
        <f t="shared" si="11"/>
        <v>1.6738306418726756</v>
      </c>
    </row>
    <row r="53" spans="44:69" x14ac:dyDescent="0.25">
      <c r="AR53" s="8"/>
      <c r="AW53">
        <v>2030</v>
      </c>
      <c r="AX53">
        <f>'Annual Data'!K64*'Annual Data'!L64</f>
        <v>1145515.4817727502</v>
      </c>
      <c r="AY53">
        <f>'Annual Data'!M64/'Annual Data'!N64</f>
        <v>14.3029157513283</v>
      </c>
      <c r="AZ53" s="10">
        <f>'Annual Data'!O64</f>
        <v>3603829.75</v>
      </c>
      <c r="BA53" s="14">
        <f>'Annual Data'!P64</f>
        <v>-6.7708779999999997</v>
      </c>
      <c r="BB53" s="10">
        <f>'Annual Data'!J64</f>
        <v>2794047.7</v>
      </c>
      <c r="BC53" s="10">
        <f>'Annual Data'!B64</f>
        <v>2787932</v>
      </c>
      <c r="BE53" s="9">
        <f t="shared" si="9"/>
        <v>1.4069888764892902</v>
      </c>
      <c r="BF53" s="9">
        <f t="shared" si="9"/>
        <v>1.6158924717261769</v>
      </c>
      <c r="BH53">
        <v>2030</v>
      </c>
      <c r="BI53">
        <f>'Annual Data'!Z64*'Annual Data'!AA64</f>
        <v>1144251.3610854002</v>
      </c>
      <c r="BJ53">
        <f>'Annual Data'!AB64/'Annual Data'!AC64</f>
        <v>14.3029157513283</v>
      </c>
      <c r="BK53" s="10">
        <f>'Annual Data'!AD64</f>
        <v>3628879</v>
      </c>
      <c r="BL53" s="14">
        <f>'Annual Data'!AE64</f>
        <v>-6.7598879999999992</v>
      </c>
      <c r="BM53" s="10">
        <f>'Annual Data'!Y64</f>
        <v>2806111</v>
      </c>
      <c r="BN53" s="10">
        <f>'Annual Data'!Q64</f>
        <v>2804164.9</v>
      </c>
      <c r="BP53" s="9">
        <f t="shared" si="10"/>
        <v>1.4564608830672787</v>
      </c>
      <c r="BQ53" s="9">
        <f t="shared" si="11"/>
        <v>1.597011832240014</v>
      </c>
    </row>
    <row r="54" spans="44:69" x14ac:dyDescent="0.25">
      <c r="AR54" s="8"/>
      <c r="AW54">
        <v>2031</v>
      </c>
      <c r="AX54">
        <f>'Annual Data'!K65*'Annual Data'!L65</f>
        <v>1154388.7554742752</v>
      </c>
      <c r="AY54">
        <f>'Annual Data'!M65/'Annual Data'!N65</f>
        <v>14.375742994451835</v>
      </c>
      <c r="AZ54" s="10">
        <f>'Annual Data'!O65</f>
        <v>3656608.5</v>
      </c>
      <c r="BA54" s="14">
        <f>'Annual Data'!P65</f>
        <v>-6.7592059999999989</v>
      </c>
      <c r="BB54" s="10">
        <f>'Annual Data'!J65</f>
        <v>2834792.3</v>
      </c>
      <c r="BC54" s="10">
        <f>'Annual Data'!B65</f>
        <v>2832594.8</v>
      </c>
      <c r="BE54" s="9">
        <f t="shared" si="9"/>
        <v>1.4582642952015279</v>
      </c>
      <c r="BF54" s="9">
        <f t="shared" si="9"/>
        <v>1.6020046399983778</v>
      </c>
      <c r="BH54">
        <v>2031</v>
      </c>
      <c r="BI54">
        <f>'Annual Data'!Z65*'Annual Data'!AA65</f>
        <v>1153862.8988312001</v>
      </c>
      <c r="BJ54">
        <f>'Annual Data'!AB65/'Annual Data'!AC65</f>
        <v>14.375742994451835</v>
      </c>
      <c r="BK54" s="10">
        <f>'Annual Data'!AD65</f>
        <v>3687931.5</v>
      </c>
      <c r="BL54" s="14">
        <f>'Annual Data'!AE65</f>
        <v>-6.7494160000000001</v>
      </c>
      <c r="BM54" s="10">
        <f>'Annual Data'!Y65</f>
        <v>2849000.3</v>
      </c>
      <c r="BN54" s="10">
        <f>'Annual Data'!Q65</f>
        <v>2848839.5999999996</v>
      </c>
      <c r="BP54" s="9">
        <f t="shared" si="10"/>
        <v>1.5284249268827876</v>
      </c>
      <c r="BQ54" s="9">
        <f t="shared" si="11"/>
        <v>1.5931552384811587</v>
      </c>
    </row>
    <row r="55" spans="44:69" x14ac:dyDescent="0.25">
      <c r="AR55" s="8"/>
      <c r="AW55">
        <v>2032</v>
      </c>
      <c r="AX55">
        <f>'Annual Data'!K66*'Annual Data'!L66</f>
        <v>1162996.8941679685</v>
      </c>
      <c r="AY55">
        <f>'Annual Data'!M66/'Annual Data'!N66</f>
        <v>14.444171764393513</v>
      </c>
      <c r="AZ55" s="10">
        <f>'Annual Data'!O66</f>
        <v>3713127.5</v>
      </c>
      <c r="BA55" s="14">
        <f>'Annual Data'!P66</f>
        <v>-6.7455380000000007</v>
      </c>
      <c r="BB55" s="10">
        <f>'Annual Data'!J66</f>
        <v>2877552.9000000004</v>
      </c>
      <c r="BC55" s="10">
        <f>'Annual Data'!B66</f>
        <v>2877149.6</v>
      </c>
      <c r="BE55" s="9">
        <f t="shared" si="9"/>
        <v>1.5084209167634866</v>
      </c>
      <c r="BF55" s="9">
        <f t="shared" si="9"/>
        <v>1.572932351637446</v>
      </c>
      <c r="BH55">
        <v>2032</v>
      </c>
      <c r="BI55">
        <f>'Annual Data'!Z66*'Annual Data'!AA66</f>
        <v>1163032.8089062499</v>
      </c>
      <c r="BJ55">
        <f>'Annual Data'!AB66/'Annual Data'!AC66</f>
        <v>14.444171764393513</v>
      </c>
      <c r="BK55" s="10">
        <f>'Annual Data'!AD66</f>
        <v>3750560.75</v>
      </c>
      <c r="BL55" s="14">
        <f>'Annual Data'!AE66</f>
        <v>-6.7366390000000003</v>
      </c>
      <c r="BM55" s="10">
        <f>'Annual Data'!Y66</f>
        <v>2893790.1</v>
      </c>
      <c r="BN55" s="10">
        <f>'Annual Data'!Q66</f>
        <v>2893722.4</v>
      </c>
      <c r="BP55" s="9">
        <f t="shared" si="10"/>
        <v>1.5721233865787942</v>
      </c>
      <c r="BQ55" s="9">
        <f t="shared" si="11"/>
        <v>1.5754765554368166</v>
      </c>
    </row>
    <row r="56" spans="44:69" x14ac:dyDescent="0.25">
      <c r="AR56" s="8"/>
      <c r="AW56">
        <v>2033</v>
      </c>
      <c r="AX56">
        <f>'Annual Data'!K67*'Annual Data'!L67</f>
        <v>1171103.9824703813</v>
      </c>
      <c r="AY56">
        <f>'Annual Data'!M67/'Annual Data'!N67</f>
        <v>14.507862672702913</v>
      </c>
      <c r="AZ56" s="10">
        <f>'Annual Data'!O67</f>
        <v>3773137.5</v>
      </c>
      <c r="BA56" s="14">
        <f>'Annual Data'!P67</f>
        <v>-6.729813</v>
      </c>
      <c r="BB56" s="10">
        <f>'Annual Data'!J67</f>
        <v>2921984.8000000003</v>
      </c>
      <c r="BC56" s="10">
        <f>'Annual Data'!B67</f>
        <v>2921985.5</v>
      </c>
      <c r="BE56" s="9">
        <f t="shared" si="9"/>
        <v>1.544086296380498</v>
      </c>
      <c r="BF56" s="9">
        <f t="shared" si="9"/>
        <v>1.5583444114271927</v>
      </c>
      <c r="BH56">
        <v>2033</v>
      </c>
      <c r="BI56">
        <f>'Annual Data'!Z67*'Annual Data'!AA67</f>
        <v>1171186.6058584501</v>
      </c>
      <c r="BJ56">
        <f>'Annual Data'!AB67/'Annual Data'!AC67</f>
        <v>14.507862672702913</v>
      </c>
      <c r="BK56" s="10">
        <f>'Annual Data'!AD67</f>
        <v>3816466.75</v>
      </c>
      <c r="BL56" s="14">
        <f>'Annual Data'!AE67</f>
        <v>-6.7213560000000001</v>
      </c>
      <c r="BM56" s="10">
        <f>'Annual Data'!Y67</f>
        <v>2939683.8</v>
      </c>
      <c r="BN56" s="10">
        <f>'Annual Data'!Q67</f>
        <v>2939685.7</v>
      </c>
      <c r="BP56" s="9">
        <f t="shared" si="10"/>
        <v>1.5859374181976582</v>
      </c>
      <c r="BQ56" s="9">
        <f t="shared" si="11"/>
        <v>1.588379728477074</v>
      </c>
    </row>
    <row r="57" spans="44:69" x14ac:dyDescent="0.25">
      <c r="AR57" s="8"/>
      <c r="AW57">
        <v>2034</v>
      </c>
      <c r="AX57">
        <f>'Annual Data'!K68*'Annual Data'!L68</f>
        <v>1177582.7691798622</v>
      </c>
      <c r="AY57">
        <f>'Annual Data'!M68/'Annual Data'!N68</f>
        <v>14.566617975171319</v>
      </c>
      <c r="AZ57" s="10">
        <f>'Annual Data'!O68</f>
        <v>3836108.25</v>
      </c>
      <c r="BA57" s="14">
        <f>'Annual Data'!P68</f>
        <v>-6.7128350000000001</v>
      </c>
      <c r="BB57" s="10">
        <f>'Annual Data'!J68</f>
        <v>2965535.8</v>
      </c>
      <c r="BC57" s="10">
        <f>'Annual Data'!B68</f>
        <v>2965535.9</v>
      </c>
      <c r="BE57" s="9">
        <f t="shared" si="9"/>
        <v>1.490459498625718</v>
      </c>
      <c r="BF57" s="9">
        <f t="shared" si="9"/>
        <v>1.4904386075837772</v>
      </c>
      <c r="BH57">
        <v>2034</v>
      </c>
      <c r="BI57">
        <f>'Annual Data'!Z68*'Annual Data'!AA68</f>
        <v>1177591.5667811749</v>
      </c>
      <c r="BJ57">
        <f>'Annual Data'!AB68/'Annual Data'!AC68</f>
        <v>14.566617975171319</v>
      </c>
      <c r="BK57" s="10">
        <f>'Annual Data'!AD68</f>
        <v>3884986</v>
      </c>
      <c r="BL57" s="14">
        <f>'Annual Data'!AE68</f>
        <v>-6.7044009999999998</v>
      </c>
      <c r="BM57" s="10">
        <f>'Annual Data'!Y68</f>
        <v>2984695.1999999997</v>
      </c>
      <c r="BN57" s="10">
        <f>'Annual Data'!Q68</f>
        <v>2984697.2</v>
      </c>
      <c r="BP57" s="9">
        <f t="shared" si="10"/>
        <v>1.5311646783235711</v>
      </c>
      <c r="BQ57" s="9">
        <f t="shared" si="11"/>
        <v>1.5311670904137875</v>
      </c>
    </row>
    <row r="58" spans="44:69" x14ac:dyDescent="0.25">
      <c r="AR58" s="8"/>
      <c r="AW58">
        <v>2035</v>
      </c>
      <c r="AX58">
        <f>'Annual Data'!K69*'Annual Data'!L69</f>
        <v>1183325.2444961248</v>
      </c>
      <c r="AY58">
        <f>'Annual Data'!M69/'Annual Data'!N69</f>
        <v>14.620399690505261</v>
      </c>
      <c r="AZ58" s="10">
        <f>'Annual Data'!O69</f>
        <v>3901801.5</v>
      </c>
      <c r="BA58" s="14">
        <f>'Annual Data'!P69</f>
        <v>-6.6945620000000003</v>
      </c>
      <c r="BB58" s="10">
        <f>'Annual Data'!J69</f>
        <v>3009580.5</v>
      </c>
      <c r="BC58" s="10">
        <f>'Annual Data'!B69</f>
        <v>3009580.9999999995</v>
      </c>
      <c r="BE58" s="9">
        <f t="shared" si="9"/>
        <v>1.4852189611064714</v>
      </c>
      <c r="BF58" s="9">
        <f t="shared" si="9"/>
        <v>1.4852323993110206</v>
      </c>
      <c r="BH58">
        <v>2035</v>
      </c>
      <c r="BI58">
        <f>'Annual Data'!Z69*'Annual Data'!AA69</f>
        <v>1183325.2444961248</v>
      </c>
      <c r="BJ58">
        <f>'Annual Data'!AB69/'Annual Data'!AC69</f>
        <v>14.620399690505261</v>
      </c>
      <c r="BK58" s="10">
        <f>'Annual Data'!AD69</f>
        <v>3955891.25</v>
      </c>
      <c r="BL58" s="14">
        <f>'Annual Data'!AE69</f>
        <v>-6.6861499999999996</v>
      </c>
      <c r="BM58" s="10">
        <f>'Annual Data'!Y69</f>
        <v>3030201.0999999996</v>
      </c>
      <c r="BN58" s="10">
        <f>'Annual Data'!Q69</f>
        <v>3030203.2</v>
      </c>
      <c r="BP58" s="9">
        <f t="shared" si="10"/>
        <v>1.5246414441246747</v>
      </c>
      <c r="BQ58" s="9">
        <f t="shared" si="11"/>
        <v>1.5246437729093509</v>
      </c>
    </row>
    <row r="59" spans="44:69" x14ac:dyDescent="0.25">
      <c r="AR59" s="8"/>
      <c r="AW59">
        <v>2036</v>
      </c>
      <c r="AX59">
        <f>'Annual Data'!K70*'Annual Data'!L70</f>
        <v>1189094.2582785874</v>
      </c>
      <c r="AY59">
        <f>'Annual Data'!M70/'Annual Data'!N70</f>
        <v>14.669929979249583</v>
      </c>
      <c r="AZ59" s="10">
        <f>'Annual Data'!O70</f>
        <v>3970259.5</v>
      </c>
      <c r="BA59" s="14">
        <f>'Annual Data'!P70</f>
        <v>-6.6750019999999992</v>
      </c>
      <c r="BB59" s="10">
        <f>'Annual Data'!J70</f>
        <v>3055423.2</v>
      </c>
      <c r="BC59" s="10">
        <f>'Annual Data'!B70</f>
        <v>3055424.1</v>
      </c>
      <c r="BE59" s="9">
        <f t="shared" si="9"/>
        <v>1.5232255791131077</v>
      </c>
      <c r="BF59" s="9">
        <f t="shared" si="9"/>
        <v>1.5232386169370615</v>
      </c>
      <c r="BH59">
        <v>2036</v>
      </c>
      <c r="BI59">
        <f>'Annual Data'!Z70*'Annual Data'!AA70</f>
        <v>1189094.2582785874</v>
      </c>
      <c r="BJ59">
        <f>'Annual Data'!AB70/'Annual Data'!AC70</f>
        <v>14.669929979249583</v>
      </c>
      <c r="BK59" s="10">
        <f>'Annual Data'!AD70</f>
        <v>4029250</v>
      </c>
      <c r="BL59" s="14">
        <f>'Annual Data'!AE70</f>
        <v>-6.6666160000000003</v>
      </c>
      <c r="BM59" s="10">
        <f>'Annual Data'!Y70</f>
        <v>3077430.1</v>
      </c>
      <c r="BN59" s="10">
        <f>'Annual Data'!Q70</f>
        <v>3077431</v>
      </c>
      <c r="BP59" s="9">
        <f t="shared" si="10"/>
        <v>1.558609426945301</v>
      </c>
      <c r="BQ59" s="9">
        <f t="shared" si="11"/>
        <v>1.558568745488742</v>
      </c>
    </row>
    <row r="60" spans="44:69" x14ac:dyDescent="0.25">
      <c r="AR60" s="8"/>
      <c r="AW60">
        <v>2037</v>
      </c>
      <c r="AX60">
        <f>'Annual Data'!K71*'Annual Data'!L71</f>
        <v>1194862.660348</v>
      </c>
      <c r="AY60">
        <f>'Annual Data'!M71/'Annual Data'!N71</f>
        <v>14.716929147366427</v>
      </c>
      <c r="AZ60" s="10">
        <f>'Annual Data'!O71</f>
        <v>4041537</v>
      </c>
      <c r="BA60" s="14">
        <f>'Annual Data'!P71</f>
        <v>-6.6549999999999994</v>
      </c>
      <c r="BB60" s="10">
        <f>'Annual Data'!J71</f>
        <v>3102526.6</v>
      </c>
      <c r="BC60" s="10">
        <f>'Annual Data'!B71</f>
        <v>3102529.6999999997</v>
      </c>
      <c r="BE60" s="9">
        <f t="shared" si="9"/>
        <v>1.54163259609994</v>
      </c>
      <c r="BF60" s="9">
        <f t="shared" si="9"/>
        <v>1.5417041450972224</v>
      </c>
      <c r="BH60">
        <v>2037</v>
      </c>
      <c r="BI60">
        <f>'Annual Data'!Z71*'Annual Data'!AA71</f>
        <v>1194862.660348</v>
      </c>
      <c r="BJ60">
        <f>'Annual Data'!AB71/'Annual Data'!AC71</f>
        <v>14.716929147366427</v>
      </c>
      <c r="BK60" s="10">
        <f>'Annual Data'!AD71</f>
        <v>4105132.5</v>
      </c>
      <c r="BL60" s="14">
        <f>'Annual Data'!AE71</f>
        <v>-6.6466380000000003</v>
      </c>
      <c r="BM60" s="10">
        <f>'Annual Data'!Y71</f>
        <v>3125831</v>
      </c>
      <c r="BN60" s="10">
        <f>'Annual Data'!Q71</f>
        <v>3125832.8</v>
      </c>
      <c r="BP60" s="9">
        <f t="shared" si="10"/>
        <v>1.572770085013464</v>
      </c>
      <c r="BQ60" s="9">
        <f t="shared" si="11"/>
        <v>1.5727988702264994</v>
      </c>
    </row>
    <row r="61" spans="44:69" x14ac:dyDescent="0.25">
      <c r="AR61" s="8"/>
      <c r="AW61">
        <v>2038</v>
      </c>
      <c r="AX61">
        <f>'Annual Data'!K72*'Annual Data'!L72</f>
        <v>1200630.3171453499</v>
      </c>
      <c r="AY61">
        <f>'Annual Data'!M72/'Annual Data'!N72</f>
        <v>14.761935405146989</v>
      </c>
      <c r="AZ61" s="10">
        <f>'Annual Data'!O72</f>
        <v>4115651</v>
      </c>
      <c r="BA61" s="14">
        <f>'Annual Data'!P72</f>
        <v>-6.6342269999999992</v>
      </c>
      <c r="BB61" s="10">
        <f>'Annual Data'!J72</f>
        <v>3151203.9</v>
      </c>
      <c r="BC61" s="10">
        <f>'Annual Data'!B72</f>
        <v>3151203.3</v>
      </c>
      <c r="BE61" s="9">
        <f t="shared" si="9"/>
        <v>1.5689567335216426</v>
      </c>
      <c r="BF61" s="9">
        <f t="shared" si="9"/>
        <v>1.5688359083234626</v>
      </c>
      <c r="BH61">
        <v>2038</v>
      </c>
      <c r="BI61">
        <f>'Annual Data'!Z72*'Annual Data'!AA72</f>
        <v>1200630.3171453499</v>
      </c>
      <c r="BJ61">
        <f>'Annual Data'!AB72/'Annual Data'!AC72</f>
        <v>14.761935405146989</v>
      </c>
      <c r="BK61" s="10">
        <f>'Annual Data'!AD72</f>
        <v>4183569.5</v>
      </c>
      <c r="BL61" s="14">
        <f>'Annual Data'!AE72</f>
        <v>-6.6258920000000003</v>
      </c>
      <c r="BM61" s="10">
        <f>'Annual Data'!Y72</f>
        <v>3175720.0999999996</v>
      </c>
      <c r="BN61" s="10">
        <f>'Annual Data'!Q72</f>
        <v>3175719.7</v>
      </c>
      <c r="BP61" s="9">
        <f t="shared" si="10"/>
        <v>1.5960267845574361</v>
      </c>
      <c r="BQ61" s="9">
        <f t="shared" si="11"/>
        <v>1.5959554842472912</v>
      </c>
    </row>
    <row r="62" spans="44:69" x14ac:dyDescent="0.25">
      <c r="AR62" s="8"/>
      <c r="AW62">
        <v>2039</v>
      </c>
      <c r="AX62">
        <f>'Annual Data'!K73*'Annual Data'!L73</f>
        <v>1206396.8815256625</v>
      </c>
      <c r="AY62">
        <f>'Annual Data'!M73/'Annual Data'!N73</f>
        <v>14.805607566909897</v>
      </c>
      <c r="AZ62" s="10">
        <f>'Annual Data'!O73</f>
        <v>4192666.25</v>
      </c>
      <c r="BA62" s="14">
        <f>'Annual Data'!P73</f>
        <v>-6.6130239999999993</v>
      </c>
      <c r="BB62" s="10">
        <f>'Annual Data'!J73</f>
        <v>3201256.5999999996</v>
      </c>
      <c r="BC62" s="10">
        <f>'Annual Data'!B73</f>
        <v>3201256.9</v>
      </c>
      <c r="BE62" s="9">
        <f t="shared" si="9"/>
        <v>1.5883675442265099</v>
      </c>
      <c r="BF62" s="9">
        <f t="shared" si="9"/>
        <v>1.5883964071756296</v>
      </c>
      <c r="BH62">
        <v>2039</v>
      </c>
      <c r="BI62">
        <f>'Annual Data'!Z73*'Annual Data'!AA73</f>
        <v>1206396.8815256625</v>
      </c>
      <c r="BJ62">
        <f>'Annual Data'!AB73/'Annual Data'!AC73</f>
        <v>14.805607566909897</v>
      </c>
      <c r="BK62" s="10">
        <f>'Annual Data'!AD73</f>
        <v>4264640.5</v>
      </c>
      <c r="BL62" s="14">
        <f>'Annual Data'!AE73</f>
        <v>-6.6047140000000004</v>
      </c>
      <c r="BM62" s="10">
        <f>'Annual Data'!Y73</f>
        <v>3226906.7</v>
      </c>
      <c r="BN62" s="10">
        <f>'Annual Data'!Q73</f>
        <v>3226906.8</v>
      </c>
      <c r="BP62" s="9">
        <f t="shared" si="10"/>
        <v>1.6118108141835563</v>
      </c>
      <c r="BQ62" s="9">
        <f t="shared" si="11"/>
        <v>1.6118267616628712</v>
      </c>
    </row>
    <row r="63" spans="44:69" x14ac:dyDescent="0.25">
      <c r="AR63" s="8"/>
      <c r="AW63">
        <v>2040</v>
      </c>
      <c r="AX63">
        <f>'Annual Data'!K74*'Annual Data'!L74</f>
        <v>1212162.7015718876</v>
      </c>
      <c r="AY63">
        <f>'Annual Data'!M74/'Annual Data'!N74</f>
        <v>14.848457213970148</v>
      </c>
      <c r="AZ63" s="10">
        <f>'Annual Data'!O74</f>
        <v>4272483.25</v>
      </c>
      <c r="BA63" s="14">
        <f>'Annual Data'!P74</f>
        <v>-6.591888</v>
      </c>
      <c r="BB63" s="10">
        <f>'Annual Data'!J74</f>
        <v>3252318.9000000004</v>
      </c>
      <c r="BC63" s="10">
        <f>'Annual Data'!B74</f>
        <v>3252321.0999999996</v>
      </c>
      <c r="BE63" s="9">
        <f t="shared" si="9"/>
        <v>1.5950705107488306</v>
      </c>
      <c r="BF63" s="9">
        <f t="shared" si="9"/>
        <v>1.5951297129574327</v>
      </c>
      <c r="BH63">
        <v>2040</v>
      </c>
      <c r="BI63">
        <f>'Annual Data'!Z74*'Annual Data'!AA74</f>
        <v>1212162.7015718876</v>
      </c>
      <c r="BJ63">
        <f>'Annual Data'!AB74/'Annual Data'!AC74</f>
        <v>14.848457213970148</v>
      </c>
      <c r="BK63" s="10">
        <f>'Annual Data'!AD74</f>
        <v>4348240.75</v>
      </c>
      <c r="BL63" s="14">
        <f>'Annual Data'!AE74</f>
        <v>-6.5836050000000004</v>
      </c>
      <c r="BM63" s="10">
        <f>'Annual Data'!Y74</f>
        <v>3279023.8</v>
      </c>
      <c r="BN63" s="10">
        <f>'Annual Data'!Q74</f>
        <v>3279023.8</v>
      </c>
      <c r="BP63" s="9">
        <f t="shared" si="10"/>
        <v>1.6150792336202313</v>
      </c>
      <c r="BQ63" s="9">
        <f t="shared" si="11"/>
        <v>1.6150760846269208</v>
      </c>
    </row>
    <row r="64" spans="44:69" x14ac:dyDescent="0.25">
      <c r="AR64" s="8"/>
      <c r="AW64">
        <v>2041</v>
      </c>
      <c r="AX64">
        <f>'Annual Data'!K75*'Annual Data'!L75</f>
        <v>1218352.1608414121</v>
      </c>
      <c r="AY64">
        <f>'Annual Data'!M75/'Annual Data'!N75</f>
        <v>14.890696486908267</v>
      </c>
      <c r="AZ64" s="10">
        <f>'Annual Data'!O75</f>
        <v>4354971</v>
      </c>
      <c r="BA64" s="14">
        <f>'Annual Data'!P75</f>
        <v>-6.570818</v>
      </c>
      <c r="BB64" s="10">
        <f>'Annual Data'!J75</f>
        <v>3305106.5</v>
      </c>
      <c r="BC64" s="10">
        <f>'Annual Data'!B75</f>
        <v>3305107</v>
      </c>
      <c r="BE64" s="9">
        <f t="shared" si="9"/>
        <v>1.6230757691073849</v>
      </c>
      <c r="BF64" s="9">
        <f t="shared" si="9"/>
        <v>1.6230224008324523</v>
      </c>
      <c r="BH64">
        <v>2041</v>
      </c>
      <c r="BI64">
        <f>'Annual Data'!Z75*'Annual Data'!AA75</f>
        <v>1218352.1608414121</v>
      </c>
      <c r="BJ64">
        <f>'Annual Data'!AB75/'Annual Data'!AC75</f>
        <v>14.890696486908267</v>
      </c>
      <c r="BK64" s="10">
        <f>'Annual Data'!AD75</f>
        <v>4434224</v>
      </c>
      <c r="BL64" s="14">
        <f>'Annual Data'!AE75</f>
        <v>-6.5625640000000001</v>
      </c>
      <c r="BM64" s="10">
        <f>'Annual Data'!Y75</f>
        <v>3332780.2</v>
      </c>
      <c r="BN64" s="10">
        <f>'Annual Data'!Q75</f>
        <v>3332783.6000000006</v>
      </c>
      <c r="BP64" s="9">
        <f t="shared" si="10"/>
        <v>1.6394025563340131</v>
      </c>
      <c r="BQ64" s="9">
        <f t="shared" si="11"/>
        <v>1.6395062457308374</v>
      </c>
    </row>
    <row r="65" spans="49:69" x14ac:dyDescent="0.25">
      <c r="AW65">
        <v>2042</v>
      </c>
      <c r="AX65">
        <f>'Annual Data'!K76*'Annual Data'!L76</f>
        <v>1224727.8848854499</v>
      </c>
      <c r="AY65">
        <f>'Annual Data'!M76/'Annual Data'!N76</f>
        <v>14.932399485196495</v>
      </c>
      <c r="AZ65" s="10">
        <f>'Annual Data'!O76</f>
        <v>4440213.25</v>
      </c>
      <c r="BA65" s="14">
        <f>'Annual Data'!P76</f>
        <v>-6.5498180000000001</v>
      </c>
      <c r="BB65" s="10">
        <f>'Annual Data'!J76</f>
        <v>3359232.1999999997</v>
      </c>
      <c r="BC65" s="10">
        <f>'Annual Data'!B76</f>
        <v>3359234.7</v>
      </c>
      <c r="BE65" s="9">
        <f t="shared" si="9"/>
        <v>1.6376386055940939</v>
      </c>
      <c r="BF65" s="9">
        <f t="shared" si="9"/>
        <v>1.6376988702635042</v>
      </c>
      <c r="BH65">
        <v>2042</v>
      </c>
      <c r="BI65">
        <f>'Annual Data'!Z76*'Annual Data'!AA76</f>
        <v>1224727.8848854499</v>
      </c>
      <c r="BJ65">
        <f>'Annual Data'!AB76/'Annual Data'!AC76</f>
        <v>14.932399485196495</v>
      </c>
      <c r="BK65" s="10">
        <f>'Annual Data'!AD76</f>
        <v>4522680.25</v>
      </c>
      <c r="BL65" s="14">
        <f>'Annual Data'!AE76</f>
        <v>-6.541588</v>
      </c>
      <c r="BM65" s="10">
        <f>'Annual Data'!Y76</f>
        <v>3387799.9</v>
      </c>
      <c r="BN65" s="10">
        <f>'Annual Data'!Q76</f>
        <v>3387804.3</v>
      </c>
      <c r="BP65" s="9">
        <f t="shared" si="10"/>
        <v>1.6508649445288848</v>
      </c>
      <c r="BQ65" s="9">
        <f t="shared" si="11"/>
        <v>1.6508932653172881</v>
      </c>
    </row>
    <row r="66" spans="49:69" x14ac:dyDescent="0.25">
      <c r="AW66">
        <v>2043</v>
      </c>
      <c r="AX66">
        <f>'Annual Data'!K77*'Annual Data'!L77</f>
        <v>1230491.547224025</v>
      </c>
      <c r="AY66">
        <f>'Annual Data'!M77/'Annual Data'!N77</f>
        <v>14.973526020715639</v>
      </c>
      <c r="AZ66" s="10">
        <f>'Annual Data'!O77</f>
        <v>4528098.5</v>
      </c>
      <c r="BA66" s="14">
        <f>'Annual Data'!P77</f>
        <v>-6.5288830000000004</v>
      </c>
      <c r="BB66" s="10">
        <f>'Annual Data'!J77</f>
        <v>3413253.7</v>
      </c>
      <c r="BC66" s="10">
        <f>'Annual Data'!B77</f>
        <v>3413254.8000000003</v>
      </c>
      <c r="BE66" s="9">
        <f t="shared" si="9"/>
        <v>1.6081502195650632</v>
      </c>
      <c r="BF66" s="9">
        <f t="shared" si="9"/>
        <v>1.6081073465929574</v>
      </c>
      <c r="BH66">
        <v>2043</v>
      </c>
      <c r="BI66">
        <f>'Annual Data'!Z77*'Annual Data'!AA77</f>
        <v>1230491.547224025</v>
      </c>
      <c r="BJ66">
        <f>'Annual Data'!AB77/'Annual Data'!AC77</f>
        <v>14.973526020715639</v>
      </c>
      <c r="BK66" s="10">
        <f>'Annual Data'!AD77</f>
        <v>4613504.75</v>
      </c>
      <c r="BL66" s="14">
        <f>'Annual Data'!AE77</f>
        <v>-6.5206789999999994</v>
      </c>
      <c r="BM66" s="10">
        <f>'Annual Data'!Y77</f>
        <v>3442627.0999999996</v>
      </c>
      <c r="BN66" s="10">
        <f>'Annual Data'!Q77</f>
        <v>3442627.9</v>
      </c>
      <c r="BP66" s="9">
        <f t="shared" si="10"/>
        <v>1.6183718524815927</v>
      </c>
      <c r="BQ66" s="9">
        <f t="shared" si="11"/>
        <v>1.6182634870615109</v>
      </c>
    </row>
    <row r="67" spans="49:69" x14ac:dyDescent="0.25">
      <c r="AW67">
        <v>2044</v>
      </c>
      <c r="AX67">
        <f>'Annual Data'!K78*'Annual Data'!L78</f>
        <v>1235383.6776547502</v>
      </c>
      <c r="AY67">
        <f>'Annual Data'!M78/'Annual Data'!N78</f>
        <v>15.013798793359701</v>
      </c>
      <c r="AZ67" s="10">
        <f>'Annual Data'!O78</f>
        <v>4618411</v>
      </c>
      <c r="BA67" s="14">
        <f>'Annual Data'!P78</f>
        <v>-6.5080149999999994</v>
      </c>
      <c r="BB67" s="10">
        <f>'Annual Data'!J78</f>
        <v>3466579.5999999996</v>
      </c>
      <c r="BC67" s="10">
        <f>'Annual Data'!B78</f>
        <v>3466581.6999999997</v>
      </c>
      <c r="BE67" s="9">
        <f t="shared" si="9"/>
        <v>1.5623186755792329</v>
      </c>
      <c r="BF67" s="9">
        <f t="shared" si="9"/>
        <v>1.562347469635128</v>
      </c>
      <c r="BH67">
        <v>2044</v>
      </c>
      <c r="BI67">
        <f>'Annual Data'!Z78*'Annual Data'!AA78</f>
        <v>1235383.6776547502</v>
      </c>
      <c r="BJ67">
        <f>'Annual Data'!AB78/'Annual Data'!AC78</f>
        <v>15.013798793359701</v>
      </c>
      <c r="BK67" s="10">
        <f>'Annual Data'!AD78</f>
        <v>4706487.75</v>
      </c>
      <c r="BL67" s="14">
        <f>'Annual Data'!AE78</f>
        <v>-6.4998379999999996</v>
      </c>
      <c r="BM67" s="10">
        <f>'Annual Data'!Y78</f>
        <v>3496663.5</v>
      </c>
      <c r="BN67" s="10">
        <f>'Annual Data'!Q78</f>
        <v>3496665.4000000004</v>
      </c>
      <c r="BP67" s="9">
        <f t="shared" si="10"/>
        <v>1.5696268701306693</v>
      </c>
      <c r="BQ67" s="9">
        <f t="shared" si="11"/>
        <v>1.5696584577148398</v>
      </c>
    </row>
    <row r="68" spans="49:69" x14ac:dyDescent="0.25">
      <c r="AW68">
        <v>2045</v>
      </c>
      <c r="AX68">
        <f>'Annual Data'!K79*'Annual Data'!L79</f>
        <v>1239060.4417594499</v>
      </c>
      <c r="AY68">
        <f>'Annual Data'!M79/'Annual Data'!N79</f>
        <v>15.053085777828969</v>
      </c>
      <c r="AZ68" s="10">
        <f>'Annual Data'!O79</f>
        <v>4710830</v>
      </c>
      <c r="BA68" s="14">
        <f>'Annual Data'!P79</f>
        <v>-6.4872139999999998</v>
      </c>
      <c r="BB68" s="10">
        <f>'Annual Data'!J79</f>
        <v>3518433.4</v>
      </c>
      <c r="BC68" s="10">
        <f>'Annual Data'!B79</f>
        <v>3518434.2</v>
      </c>
      <c r="BE68" s="9">
        <f t="shared" si="9"/>
        <v>1.4958202604088644</v>
      </c>
      <c r="BF68" s="9">
        <f t="shared" si="9"/>
        <v>1.4957818533456235</v>
      </c>
      <c r="BH68">
        <v>2045</v>
      </c>
      <c r="BI68">
        <f>'Annual Data'!Z79*'Annual Data'!AA79</f>
        <v>1239060.4417594499</v>
      </c>
      <c r="BJ68">
        <f>'Annual Data'!AB79/'Annual Data'!AC79</f>
        <v>15.053085777828969</v>
      </c>
      <c r="BK68" s="10">
        <f>'Annual Data'!AD79</f>
        <v>4801306.25</v>
      </c>
      <c r="BL68" s="14">
        <f>'Annual Data'!AE79</f>
        <v>-6.4790640000000002</v>
      </c>
      <c r="BM68" s="10">
        <f>'Annual Data'!Y79</f>
        <v>3549127.9000000004</v>
      </c>
      <c r="BN68" s="10">
        <f>'Annual Data'!Q79</f>
        <v>3549131.4000000004</v>
      </c>
      <c r="BP68" s="9">
        <f t="shared" si="10"/>
        <v>1.500413179592508</v>
      </c>
      <c r="BQ68" s="9">
        <f t="shared" si="11"/>
        <v>1.5004581221869318</v>
      </c>
    </row>
    <row r="69" spans="49:69" x14ac:dyDescent="0.25">
      <c r="AW69">
        <v>2046</v>
      </c>
      <c r="AX69">
        <f>'Annual Data'!K80*'Annual Data'!L80</f>
        <v>1242156.9829213128</v>
      </c>
      <c r="AY69">
        <f>'Annual Data'!M80/'Annual Data'!N80</f>
        <v>15.091439078365147</v>
      </c>
      <c r="AZ69" s="10">
        <f>'Annual Data'!O80</f>
        <v>4805125</v>
      </c>
      <c r="BA69" s="14">
        <f>'Annual Data'!P80</f>
        <v>-6.4664809999999999</v>
      </c>
      <c r="BB69" s="10">
        <f>'Annual Data'!J80</f>
        <v>3569844.4</v>
      </c>
      <c r="BC69" s="10">
        <f>'Annual Data'!B80</f>
        <v>3569845.9</v>
      </c>
      <c r="BE69" s="9">
        <f t="shared" ref="BE69:BF73" si="12">100*((BB69/BB68)-1)</f>
        <v>1.4611900853374049</v>
      </c>
      <c r="BF69" s="9">
        <f t="shared" si="12"/>
        <v>1.4612096483145764</v>
      </c>
      <c r="BH69">
        <v>2046</v>
      </c>
      <c r="BI69">
        <f>'Annual Data'!Z80*'Annual Data'!AA80</f>
        <v>1242156.9829213128</v>
      </c>
      <c r="BJ69">
        <f>'Annual Data'!AB80/'Annual Data'!AC80</f>
        <v>15.091439078365147</v>
      </c>
      <c r="BK69" s="10">
        <f>'Annual Data'!AD80</f>
        <v>4897732.5</v>
      </c>
      <c r="BL69" s="14">
        <f>'Annual Data'!AE80</f>
        <v>-6.4583549999999992</v>
      </c>
      <c r="BM69" s="10">
        <f>'Annual Data'!Y80</f>
        <v>3601069</v>
      </c>
      <c r="BN69" s="10">
        <f>'Annual Data'!Q80</f>
        <v>3601071.0999999996</v>
      </c>
      <c r="BP69" s="9">
        <f t="shared" ref="BP69:BP73" si="13">100*((BM69/BM68)-1)</f>
        <v>1.463489101083093</v>
      </c>
      <c r="BQ69" s="9">
        <f t="shared" ref="BQ69:BQ73" si="14">100*((BN69/BN68)-1)</f>
        <v>1.4634482115821079</v>
      </c>
    </row>
    <row r="70" spans="49:69" x14ac:dyDescent="0.25">
      <c r="AW70">
        <v>2047</v>
      </c>
      <c r="AX70">
        <f>'Annual Data'!K81*'Annual Data'!L81</f>
        <v>1245102.3245217374</v>
      </c>
      <c r="AY70">
        <f>'Annual Data'!M81/'Annual Data'!N81</f>
        <v>15.128978649213861</v>
      </c>
      <c r="AZ70" s="10">
        <f>'Annual Data'!O81</f>
        <v>4901239.5</v>
      </c>
      <c r="BA70" s="14">
        <f>'Annual Data'!P81</f>
        <v>-6.4458130000000002</v>
      </c>
      <c r="BB70" s="10">
        <f>'Annual Data'!J81</f>
        <v>3621566.8000000003</v>
      </c>
      <c r="BC70" s="10">
        <f>'Annual Data'!B81</f>
        <v>3621569.1999999997</v>
      </c>
      <c r="BE70" s="9">
        <f t="shared" si="12"/>
        <v>1.4488698723115423</v>
      </c>
      <c r="BF70" s="9">
        <f t="shared" si="12"/>
        <v>1.4488944746886556</v>
      </c>
      <c r="BH70">
        <v>2047</v>
      </c>
      <c r="BI70">
        <f>'Annual Data'!Z81*'Annual Data'!AA81</f>
        <v>1245102.3245217374</v>
      </c>
      <c r="BJ70">
        <f>'Annual Data'!AB81/'Annual Data'!AC81</f>
        <v>15.128978649213861</v>
      </c>
      <c r="BK70" s="10">
        <f>'Annual Data'!AD81</f>
        <v>4995713.5</v>
      </c>
      <c r="BL70" s="14">
        <f>'Annual Data'!AE81</f>
        <v>-6.4377139999999997</v>
      </c>
      <c r="BM70" s="10">
        <f>'Annual Data'!Y81</f>
        <v>3653243.7</v>
      </c>
      <c r="BN70" s="10">
        <f>'Annual Data'!Q81</f>
        <v>3653246.1</v>
      </c>
      <c r="BP70" s="9">
        <f t="shared" si="13"/>
        <v>1.4488669892190442</v>
      </c>
      <c r="BQ70" s="9">
        <f t="shared" si="14"/>
        <v>1.448874475152695</v>
      </c>
    </row>
    <row r="71" spans="49:69" x14ac:dyDescent="0.25">
      <c r="AW71">
        <v>2048</v>
      </c>
      <c r="AX71">
        <f>'Annual Data'!K82*'Annual Data'!L82</f>
        <v>1247666.9209561502</v>
      </c>
      <c r="AY71">
        <f>'Annual Data'!M82/'Annual Data'!N82</f>
        <v>15.165849923053301</v>
      </c>
      <c r="AZ71" s="10">
        <f>'Annual Data'!O82</f>
        <v>4999101.5</v>
      </c>
      <c r="BA71" s="14">
        <f>'Annual Data'!P82</f>
        <v>-6.425211</v>
      </c>
      <c r="BB71" s="10">
        <f>'Annual Data'!J82</f>
        <v>3673146.1</v>
      </c>
      <c r="BC71" s="10">
        <f>'Annual Data'!B82</f>
        <v>3673146.7</v>
      </c>
      <c r="BE71" s="9">
        <f t="shared" si="12"/>
        <v>1.4242261111958365</v>
      </c>
      <c r="BF71" s="9">
        <f t="shared" si="12"/>
        <v>1.42417546515472</v>
      </c>
      <c r="BH71">
        <v>2048</v>
      </c>
      <c r="BI71">
        <f>'Annual Data'!Z82*'Annual Data'!AA82</f>
        <v>1247666.9209561502</v>
      </c>
      <c r="BJ71">
        <f>'Annual Data'!AB82/'Annual Data'!AC82</f>
        <v>15.165849923053301</v>
      </c>
      <c r="BK71" s="10">
        <f>'Annual Data'!AD82</f>
        <v>5095181</v>
      </c>
      <c r="BL71" s="14">
        <f>'Annual Data'!AE82</f>
        <v>-6.4171379999999996</v>
      </c>
      <c r="BM71" s="10">
        <f>'Annual Data'!Y82</f>
        <v>3705196.4</v>
      </c>
      <c r="BN71" s="10">
        <f>'Annual Data'!Q82</f>
        <v>3705197.5</v>
      </c>
      <c r="BP71" s="9">
        <f t="shared" si="13"/>
        <v>1.4220978469079437</v>
      </c>
      <c r="BQ71" s="9">
        <f t="shared" si="14"/>
        <v>1.4220613278694838</v>
      </c>
    </row>
    <row r="72" spans="49:69" x14ac:dyDescent="0.25">
      <c r="AW72">
        <v>2049</v>
      </c>
      <c r="AX72">
        <f>'Annual Data'!K83*'Annual Data'!L83</f>
        <v>1249945.2140242874</v>
      </c>
      <c r="AY72">
        <f>'Annual Data'!M83/'Annual Data'!N83</f>
        <v>15.202054003635517</v>
      </c>
      <c r="AZ72" s="10">
        <f>'Annual Data'!O83</f>
        <v>5098643.25</v>
      </c>
      <c r="BA72" s="14">
        <f>'Annual Data'!P83</f>
        <v>-6.4046750000000001</v>
      </c>
      <c r="BB72" s="10">
        <f>'Annual Data'!J83</f>
        <v>3724711</v>
      </c>
      <c r="BC72" s="10">
        <f>'Annual Data'!B83</f>
        <v>3724712.7</v>
      </c>
      <c r="BE72" s="9">
        <f t="shared" si="12"/>
        <v>1.4038347127003803</v>
      </c>
      <c r="BF72" s="9">
        <f t="shared" si="12"/>
        <v>1.4038644304622983</v>
      </c>
      <c r="BH72">
        <v>2049</v>
      </c>
      <c r="BI72">
        <f>'Annual Data'!Z83*'Annual Data'!AA83</f>
        <v>1249945.2140242874</v>
      </c>
      <c r="BJ72">
        <f>'Annual Data'!AB83/'Annual Data'!AC83</f>
        <v>15.202054003635517</v>
      </c>
      <c r="BK72" s="10">
        <f>'Annual Data'!AD83</f>
        <v>5196070.25</v>
      </c>
      <c r="BL72" s="14">
        <f>'Annual Data'!AE83</f>
        <v>-6.3966269999999996</v>
      </c>
      <c r="BM72" s="10">
        <f>'Annual Data'!Y83</f>
        <v>3757063.3</v>
      </c>
      <c r="BN72" s="10">
        <f>'Annual Data'!Q83</f>
        <v>3757063.3</v>
      </c>
      <c r="BP72" s="9">
        <f t="shared" si="13"/>
        <v>1.3998421244282744</v>
      </c>
      <c r="BQ72" s="9">
        <f t="shared" si="14"/>
        <v>1.3998120208166931</v>
      </c>
    </row>
    <row r="73" spans="49:69" x14ac:dyDescent="0.25">
      <c r="AW73">
        <v>2050</v>
      </c>
      <c r="AX73">
        <f>'Annual Data'!K84*'Annual Data'!L84</f>
        <v>1251721.796353875</v>
      </c>
      <c r="AY73">
        <f>'Annual Data'!M84/'Annual Data'!N84</f>
        <v>15.237495994540319</v>
      </c>
      <c r="AZ73" s="10">
        <f>'Annual Data'!O84</f>
        <v>5199644.25</v>
      </c>
      <c r="BA73" s="14">
        <f>'Annual Data'!P84</f>
        <v>-6.3842050000000006</v>
      </c>
      <c r="BB73" s="10">
        <f>'Annual Data'!J84</f>
        <v>3775772.8</v>
      </c>
      <c r="BC73" s="10">
        <f>'Annual Data'!B84</f>
        <v>3775776</v>
      </c>
      <c r="BE73" s="9">
        <f t="shared" si="12"/>
        <v>1.3708929363915656</v>
      </c>
      <c r="BF73" s="9">
        <f t="shared" si="12"/>
        <v>1.3709325822633289</v>
      </c>
      <c r="BH73">
        <v>2050</v>
      </c>
      <c r="BI73">
        <f>'Annual Data'!Z84*'Annual Data'!AA84</f>
        <v>1251721.796353875</v>
      </c>
      <c r="BJ73">
        <f>'Annual Data'!AB84/'Annual Data'!AC84</f>
        <v>15.237495994540319</v>
      </c>
      <c r="BK73" s="10">
        <f>'Annual Data'!AD84</f>
        <v>5298187</v>
      </c>
      <c r="BL73" s="14">
        <f>'Annual Data'!AE84</f>
        <v>-6.376183000000001</v>
      </c>
      <c r="BM73" s="10">
        <f>'Annual Data'!Y84</f>
        <v>3808355.3000000003</v>
      </c>
      <c r="BN73" s="10">
        <f>'Annual Data'!Q84</f>
        <v>3808353.4000000004</v>
      </c>
      <c r="BP73" s="9">
        <f t="shared" si="13"/>
        <v>1.3652152200895884</v>
      </c>
      <c r="BQ73" s="9">
        <f t="shared" si="14"/>
        <v>1.3651646486765534</v>
      </c>
    </row>
    <row r="75" spans="49:69" x14ac:dyDescent="0.25">
      <c r="AW75" s="13" t="s">
        <v>505</v>
      </c>
      <c r="BH75" s="13" t="s">
        <v>505</v>
      </c>
    </row>
    <row r="76" spans="49:69" x14ac:dyDescent="0.25">
      <c r="AW76" s="13"/>
      <c r="AX76" s="11" t="s">
        <v>506</v>
      </c>
      <c r="AY76" s="11" t="s">
        <v>507</v>
      </c>
      <c r="AZ76" s="11" t="s">
        <v>508</v>
      </c>
      <c r="BA76" s="11" t="s">
        <v>509</v>
      </c>
      <c r="BB76" s="11" t="s">
        <v>458</v>
      </c>
      <c r="BC76" s="11" t="s">
        <v>381</v>
      </c>
      <c r="BE76" s="11"/>
      <c r="BF76" s="11"/>
      <c r="BH76" s="13"/>
      <c r="BI76" s="11" t="s">
        <v>506</v>
      </c>
      <c r="BJ76" s="11" t="s">
        <v>507</v>
      </c>
      <c r="BK76" s="11" t="s">
        <v>508</v>
      </c>
      <c r="BL76" s="11" t="s">
        <v>509</v>
      </c>
      <c r="BM76" s="11" t="s">
        <v>458</v>
      </c>
      <c r="BN76" s="11" t="s">
        <v>381</v>
      </c>
      <c r="BP76" s="11"/>
      <c r="BQ76" s="11"/>
    </row>
    <row r="77" spans="49:69" x14ac:dyDescent="0.25">
      <c r="AW77" t="s">
        <v>510</v>
      </c>
      <c r="AX77" s="9">
        <f>0.65*(100*((AX22/AX12)^(1/10)-1))</f>
        <v>0.1082410754313301</v>
      </c>
      <c r="AY77" s="9">
        <f>0.3*(100*((AY22/AY12)^(1/10)-1))</f>
        <v>0.21475343817814352</v>
      </c>
      <c r="AZ77" s="9">
        <f>0.35*(100*((AZ22/AZ12)^(1/10)-1))</f>
        <v>1.0163732386785052</v>
      </c>
      <c r="BA77" s="9">
        <f t="shared" ref="BA77:BA82" si="15">BB77-AX77-AY77-AZ77</f>
        <v>0.94729255547350011</v>
      </c>
      <c r="BB77" s="9">
        <f>100*((BB22/BB12)^(1/10)-1)</f>
        <v>2.2866603077614789</v>
      </c>
      <c r="BC77" s="9">
        <f>100*((BC22/BC12)^(1/10)-1)</f>
        <v>2.1272833452043116</v>
      </c>
      <c r="BE77" s="9"/>
      <c r="BF77" s="9"/>
      <c r="BH77" t="s">
        <v>510</v>
      </c>
      <c r="BI77" s="9">
        <f>0.65*(100*((BI22/BI12)^(1/10)-1))</f>
        <v>0.1082410754313301</v>
      </c>
      <c r="BJ77" s="9">
        <f>0.3*(100*((BJ22/BJ12)^(1/10)-1))</f>
        <v>0.21475343817814352</v>
      </c>
      <c r="BK77" s="9">
        <f>0.35*(100*((BK22/BK12)^(1/10)-1))</f>
        <v>1.0163732386785052</v>
      </c>
      <c r="BL77" s="9">
        <f t="shared" ref="BL77:BL82" si="16">BM77-BI77-BJ77-BK77</f>
        <v>0.94729255547350011</v>
      </c>
      <c r="BM77" s="9">
        <f>100*((BM22/BM12)^(1/10)-1)</f>
        <v>2.2866603077614789</v>
      </c>
      <c r="BN77" s="9">
        <f>100*((BN22/BN12)^(1/10)-1)</f>
        <v>2.1272833452043116</v>
      </c>
      <c r="BP77" s="9"/>
      <c r="BQ77" s="9"/>
    </row>
    <row r="78" spans="49:69" x14ac:dyDescent="0.25">
      <c r="AW78" t="s">
        <v>511</v>
      </c>
      <c r="AX78" s="9">
        <f>0.65*(100*((AX32/AX22)^(1/10)-1))</f>
        <v>0.35329753780284912</v>
      </c>
      <c r="AY78" s="9">
        <f>0.3*(100*((AY32/AY22)^(1/10)-1))</f>
        <v>0.69157841004365839</v>
      </c>
      <c r="AZ78" s="9">
        <f>0.35*(100*((AZ32/AZ22)^(1/10)-1))</f>
        <v>1.0121311501648478</v>
      </c>
      <c r="BA78" s="9">
        <f t="shared" si="15"/>
        <v>0.32329052757546961</v>
      </c>
      <c r="BB78" s="9">
        <f>100*((BB32/BB22)^(1/10)-1)</f>
        <v>2.3802976255868247</v>
      </c>
      <c r="BC78" s="9">
        <f>100*((BC32/BC22)^(1/10)-1)</f>
        <v>1.6903123827019195</v>
      </c>
      <c r="BE78" s="9"/>
      <c r="BF78" s="9"/>
      <c r="BH78" t="s">
        <v>511</v>
      </c>
      <c r="BI78" s="9">
        <f>0.65*(100*((BI32/BI22)^(1/10)-1))</f>
        <v>0.35329753780284912</v>
      </c>
      <c r="BJ78" s="9">
        <f>0.3*(100*((BJ32/BJ22)^(1/10)-1))</f>
        <v>0.69157841004365839</v>
      </c>
      <c r="BK78" s="9">
        <f>0.35*(100*((BK32/BK22)^(1/10)-1))</f>
        <v>1.0121311501648478</v>
      </c>
      <c r="BL78" s="9">
        <f t="shared" si="16"/>
        <v>0.32329052757546961</v>
      </c>
      <c r="BM78" s="9">
        <f>100*((BM32/BM22)^(1/10)-1)</f>
        <v>2.3802976255868247</v>
      </c>
      <c r="BN78" s="9">
        <f>100*((BN32/BN22)^(1/10)-1)</f>
        <v>1.6903123827019195</v>
      </c>
      <c r="BP78" s="9"/>
      <c r="BQ78" s="9"/>
    </row>
    <row r="79" spans="49:69" x14ac:dyDescent="0.25">
      <c r="AW79" t="s">
        <v>512</v>
      </c>
      <c r="AX79" s="15">
        <f>0.65*(100*((AX42/AX32)^(1/10)-1))</f>
        <v>0.68323656172732061</v>
      </c>
      <c r="AY79" s="15">
        <f>0.3*(100*((AY42/AY32)^(1/10)-1))</f>
        <v>0.23771068301595033</v>
      </c>
      <c r="AZ79" s="15">
        <f>0.35*(100*((AZ42/AZ32)^(1/10)-1))</f>
        <v>0.60924064728592464</v>
      </c>
      <c r="BA79" s="15">
        <f t="shared" si="15"/>
        <v>-2.3636276873901796E-2</v>
      </c>
      <c r="BB79" s="15">
        <f>100*((BB42/BB32)^(1/10)-1)</f>
        <v>1.5065516151552938</v>
      </c>
      <c r="BC79" s="15">
        <f>100*((BC42/BC32)^(1/10)-1)</f>
        <v>1.9688989751327046</v>
      </c>
      <c r="BE79" s="15"/>
      <c r="BF79" s="15"/>
      <c r="BH79" t="s">
        <v>512</v>
      </c>
      <c r="BI79" s="15">
        <f>0.65*(100*((BI42/BI32)^(1/10)-1))</f>
        <v>0.68309273019026229</v>
      </c>
      <c r="BJ79" s="15">
        <f>0.3*(100*((BJ42/BJ32)^(1/10)-1))</f>
        <v>0.23771068301595033</v>
      </c>
      <c r="BK79" s="15">
        <f>0.35*(100*((BK42/BK32)^(1/10)-1))</f>
        <v>0.60924064728592464</v>
      </c>
      <c r="BL79" s="15">
        <f t="shared" si="16"/>
        <v>-2.3637415374995197E-2</v>
      </c>
      <c r="BM79" s="15">
        <f>100*((BM42/BM32)^(1/10)-1)</f>
        <v>1.5064066451171421</v>
      </c>
      <c r="BN79" s="15">
        <f>100*((BN42/BN32)^(1/10)-1)</f>
        <v>1.9688989751327046</v>
      </c>
      <c r="BP79" s="15"/>
      <c r="BQ79" s="15"/>
    </row>
    <row r="80" spans="49:69" x14ac:dyDescent="0.25">
      <c r="AW80" t="s">
        <v>513</v>
      </c>
      <c r="AX80" s="15">
        <f>0.65*(100*((AX52/AX42)^(1/10)-1))</f>
        <v>0.51421511250984819</v>
      </c>
      <c r="AY80" s="15">
        <f>0.3*(100*((AY52/AY42)^(1/10)-1))</f>
        <v>0.18833433348898643</v>
      </c>
      <c r="AZ80" s="15">
        <f>0.35*(100*((AZ52/AZ42)^(1/10)-1))</f>
        <v>0.44401453670179664</v>
      </c>
      <c r="BA80" s="15">
        <f t="shared" si="15"/>
        <v>-0.11155221631002793</v>
      </c>
      <c r="BB80" s="15">
        <f>100*((BB52/BB42)^(1/10)-1)</f>
        <v>1.0350117663906033</v>
      </c>
      <c r="BC80" s="15">
        <f>100*((BC52/BC42)^(1/10)-1)</f>
        <v>1.0387079486296358</v>
      </c>
      <c r="BE80" s="15"/>
      <c r="BF80" s="15"/>
      <c r="BH80" t="s">
        <v>513</v>
      </c>
      <c r="BI80" s="15">
        <f>0.65*(100*((BI52/BI42)^(1/10)-1))</f>
        <v>0.50507865039325028</v>
      </c>
      <c r="BJ80" s="15">
        <f>0.3*(100*((BJ52/BJ42)^(1/10)-1))</f>
        <v>0.18833433348898643</v>
      </c>
      <c r="BK80" s="15">
        <f>0.35*(100*((BK52/BK42)^(1/10)-1))</f>
        <v>0.46248291952897141</v>
      </c>
      <c r="BL80" s="15">
        <f t="shared" si="16"/>
        <v>-8.2132297807335719E-2</v>
      </c>
      <c r="BM80" s="15">
        <f>100*((BM52/BM42)^(1/10)-1)</f>
        <v>1.0737636056038724</v>
      </c>
      <c r="BN80" s="15">
        <f>100*((BN52/BN42)^(1/10)-1)</f>
        <v>1.0992633810300578</v>
      </c>
      <c r="BP80" s="15"/>
      <c r="BQ80" s="15"/>
    </row>
    <row r="81" spans="49:69" x14ac:dyDescent="0.25">
      <c r="AW81" t="s">
        <v>514</v>
      </c>
      <c r="AX81" s="15">
        <f>0.65*(100*((AX62/AX52)^(1/10)-1))</f>
        <v>0.39051041640669859</v>
      </c>
      <c r="AY81" s="15">
        <f>0.3*(100*((AY62/AY52)^(1/10)-1))</f>
        <v>0.11983647970641442</v>
      </c>
      <c r="AZ81" s="15">
        <f>0.35*(100*((AZ62/AZ52)^(1/10)-1))</f>
        <v>0.58301200227121153</v>
      </c>
      <c r="BA81" s="15">
        <f t="shared" si="15"/>
        <v>0.41819031621942226</v>
      </c>
      <c r="BB81" s="15">
        <f>100*((BB62/BB52)^(1/10)-1)</f>
        <v>1.5115492146037468</v>
      </c>
      <c r="BC81" s="15">
        <f>100*((BC62/BC52)^(1/10)-1)</f>
        <v>1.5546932425800186</v>
      </c>
      <c r="BE81" s="15"/>
      <c r="BF81" s="15"/>
      <c r="BH81" t="s">
        <v>514</v>
      </c>
      <c r="BI81" s="15">
        <f>0.65*(100*((BI62/BI52)^(1/10)-1))</f>
        <v>0.39977410968972782</v>
      </c>
      <c r="BJ81" s="15">
        <f>0.3*(100*((BJ62/BJ52)^(1/10)-1))</f>
        <v>0.11983647970641442</v>
      </c>
      <c r="BK81" s="15">
        <f>0.35*(100*((BK62/BK52)^(1/10)-1))</f>
        <v>0.62506676552569029</v>
      </c>
      <c r="BL81" s="15">
        <f t="shared" si="16"/>
        <v>0.40911057771168879</v>
      </c>
      <c r="BM81" s="15">
        <f>100*((BM62/BM52)^(1/10)-1)</f>
        <v>1.5537879326335213</v>
      </c>
      <c r="BN81" s="15">
        <f>100*((BN62/BN52)^(1/10)-1)</f>
        <v>1.5748947055603368</v>
      </c>
      <c r="BP81" s="15"/>
      <c r="BQ81" s="15"/>
    </row>
    <row r="82" spans="49:69" x14ac:dyDescent="0.25">
      <c r="AW82" t="s">
        <v>515</v>
      </c>
      <c r="AX82" s="15">
        <f>0.65*(100*((AX72/AX62)^(1/10)-1))</f>
        <v>0.23090950251312359</v>
      </c>
      <c r="AY82" s="15">
        <f>0.3*(100*((AY72/AY62)^(1/10)-1))</f>
        <v>7.9378486483758781E-2</v>
      </c>
      <c r="AZ82" s="15">
        <f>0.35*(100*((AZ72/AZ62)^(1/10)-1))</f>
        <v>0.69147348038287038</v>
      </c>
      <c r="BA82" s="15">
        <f t="shared" si="15"/>
        <v>0.52422301176789365</v>
      </c>
      <c r="BB82" s="15">
        <f>100*((BB72/BB62)^(1/10)-1)</f>
        <v>1.5259844811476464</v>
      </c>
      <c r="BC82" s="15">
        <f>100*((BC72/BC62)^(1/10)-1)</f>
        <v>1.5259881634743566</v>
      </c>
      <c r="BE82" s="15"/>
      <c r="BF82" s="15"/>
      <c r="BH82" t="s">
        <v>515</v>
      </c>
      <c r="BI82" s="15">
        <f>0.65*(100*((BI72/BI62)^(1/10)-1))</f>
        <v>0.23090950251312359</v>
      </c>
      <c r="BJ82" s="15">
        <f>0.3*(100*((BJ72/BJ62)^(1/10)-1))</f>
        <v>7.9378486483758781E-2</v>
      </c>
      <c r="BK82" s="15">
        <f>0.35*(100*((BK72/BK62)^(1/10)-1))</f>
        <v>0.69828094044199984</v>
      </c>
      <c r="BL82" s="15">
        <f t="shared" si="16"/>
        <v>0.52419537818040096</v>
      </c>
      <c r="BM82" s="15">
        <f>100*((BM72/BM62)^(1/10)-1)</f>
        <v>1.5327643076192832</v>
      </c>
      <c r="BN82" s="15">
        <f>100*((BN72/BN62)^(1/10)-1)</f>
        <v>1.5327639929750392</v>
      </c>
      <c r="BP82" s="15"/>
      <c r="BQ82" s="15"/>
    </row>
    <row r="83" spans="49:69" x14ac:dyDescent="0.25">
      <c r="AX83" s="9"/>
      <c r="AY83" s="9"/>
      <c r="AZ83" s="9"/>
      <c r="BA83" s="9"/>
      <c r="BB83" s="9"/>
      <c r="BC83" s="9"/>
      <c r="BE83" s="9"/>
      <c r="BF83" s="9"/>
      <c r="BI83" s="9"/>
      <c r="BJ83" s="9"/>
      <c r="BK83" s="9"/>
      <c r="BL83" s="9"/>
      <c r="BM83" s="9"/>
      <c r="BN83" s="9"/>
      <c r="BP83" s="9"/>
      <c r="BQ83" s="9"/>
    </row>
    <row r="84" spans="49:69" x14ac:dyDescent="0.25">
      <c r="AW84" s="16" t="s">
        <v>516</v>
      </c>
      <c r="BH84" s="16" t="s">
        <v>516</v>
      </c>
    </row>
    <row r="85" spans="49:69" x14ac:dyDescent="0.25">
      <c r="AW85" t="s">
        <v>517</v>
      </c>
      <c r="AX85" s="15">
        <f t="shared" ref="AX85:BC87" si="17">AX80-AX$78</f>
        <v>0.16091757470699908</v>
      </c>
      <c r="AY85" s="15">
        <f t="shared" si="17"/>
        <v>-0.50324407655467196</v>
      </c>
      <c r="AZ85" s="15">
        <f t="shared" si="17"/>
        <v>-0.56811661346305109</v>
      </c>
      <c r="BA85" s="15">
        <f t="shared" si="17"/>
        <v>-0.43484274388549754</v>
      </c>
      <c r="BB85" s="15">
        <f t="shared" si="17"/>
        <v>-1.3452858591962213</v>
      </c>
      <c r="BC85" s="15">
        <f t="shared" si="17"/>
        <v>-0.65160443407228374</v>
      </c>
      <c r="BE85" s="15"/>
      <c r="BF85" s="15"/>
      <c r="BH85" t="s">
        <v>517</v>
      </c>
      <c r="BI85" s="15">
        <f t="shared" ref="BI85:BN85" si="18">BI80-BI$78</f>
        <v>0.15178111259040117</v>
      </c>
      <c r="BJ85" s="15">
        <f t="shared" si="18"/>
        <v>-0.50324407655467196</v>
      </c>
      <c r="BK85" s="15">
        <f t="shared" si="18"/>
        <v>-0.54964823063587631</v>
      </c>
      <c r="BL85" s="15">
        <f t="shared" si="18"/>
        <v>-0.40542282538280533</v>
      </c>
      <c r="BM85" s="15">
        <f t="shared" si="18"/>
        <v>-1.3065340199829523</v>
      </c>
      <c r="BN85" s="15">
        <f t="shared" si="18"/>
        <v>-0.5910490016718617</v>
      </c>
      <c r="BP85" s="15"/>
      <c r="BQ85" s="15"/>
    </row>
    <row r="86" spans="49:69" x14ac:dyDescent="0.25">
      <c r="AW86" t="s">
        <v>518</v>
      </c>
      <c r="AX86" s="15">
        <f t="shared" si="17"/>
        <v>3.7212878603849475E-2</v>
      </c>
      <c r="AY86" s="15">
        <f t="shared" si="17"/>
        <v>-0.57174193033724396</v>
      </c>
      <c r="AZ86" s="15">
        <f t="shared" si="17"/>
        <v>-0.42911914789363625</v>
      </c>
      <c r="BA86" s="15">
        <f t="shared" si="17"/>
        <v>9.4899788643952654E-2</v>
      </c>
      <c r="BB86" s="15">
        <f t="shared" si="17"/>
        <v>-0.86874841098307787</v>
      </c>
      <c r="BC86" s="15">
        <f t="shared" si="17"/>
        <v>-0.13561914012190091</v>
      </c>
      <c r="BE86" s="15"/>
      <c r="BF86" s="15"/>
      <c r="BH86" t="s">
        <v>518</v>
      </c>
      <c r="BI86" s="15">
        <f t="shared" ref="BI86:BN86" si="19">BI81-BI$78</f>
        <v>4.6476571886878704E-2</v>
      </c>
      <c r="BJ86" s="15">
        <f t="shared" si="19"/>
        <v>-0.57174193033724396</v>
      </c>
      <c r="BK86" s="15">
        <f t="shared" si="19"/>
        <v>-0.38706438463915749</v>
      </c>
      <c r="BL86" s="15">
        <f t="shared" si="19"/>
        <v>8.5820050136219184E-2</v>
      </c>
      <c r="BM86" s="15">
        <f t="shared" si="19"/>
        <v>-0.82650969295330334</v>
      </c>
      <c r="BN86" s="15">
        <f t="shared" si="19"/>
        <v>-0.11541767714158269</v>
      </c>
      <c r="BP86" s="15"/>
      <c r="BQ86" s="15"/>
    </row>
    <row r="87" spans="49:69" x14ac:dyDescent="0.25">
      <c r="AW87" t="s">
        <v>519</v>
      </c>
      <c r="AX87" s="15">
        <f t="shared" si="17"/>
        <v>-0.12238803528972553</v>
      </c>
      <c r="AY87" s="15">
        <f t="shared" si="17"/>
        <v>-0.61219992355989961</v>
      </c>
      <c r="AZ87" s="15">
        <f t="shared" si="17"/>
        <v>-0.32065766978197741</v>
      </c>
      <c r="BA87" s="15">
        <f t="shared" si="17"/>
        <v>0.20093248419242404</v>
      </c>
      <c r="BB87" s="15">
        <f t="shared" si="17"/>
        <v>-0.85431314443917827</v>
      </c>
      <c r="BC87" s="15">
        <f t="shared" si="17"/>
        <v>-0.16432421922756291</v>
      </c>
      <c r="BE87" s="15"/>
      <c r="BF87" s="15"/>
      <c r="BH87" t="s">
        <v>519</v>
      </c>
      <c r="BI87" s="15">
        <f t="shared" ref="BI87:BN87" si="20">BI82-BI$78</f>
        <v>-0.12238803528972553</v>
      </c>
      <c r="BJ87" s="15">
        <f t="shared" si="20"/>
        <v>-0.61219992355989961</v>
      </c>
      <c r="BK87" s="15">
        <f t="shared" si="20"/>
        <v>-0.31385020972284794</v>
      </c>
      <c r="BL87" s="15">
        <f t="shared" si="20"/>
        <v>0.20090485060493135</v>
      </c>
      <c r="BM87" s="15">
        <f t="shared" si="20"/>
        <v>-0.8475333179675415</v>
      </c>
      <c r="BN87" s="15">
        <f t="shared" si="20"/>
        <v>-0.15754838972688034</v>
      </c>
      <c r="BP87" s="15"/>
      <c r="BQ87" s="15"/>
    </row>
    <row r="88" spans="49:69" x14ac:dyDescent="0.25">
      <c r="AW88" s="16" t="s">
        <v>520</v>
      </c>
      <c r="BH88" s="16" t="s">
        <v>520</v>
      </c>
    </row>
    <row r="89" spans="49:69" x14ac:dyDescent="0.25">
      <c r="AX89" s="15"/>
      <c r="AY89" s="15"/>
      <c r="AZ89" s="15"/>
      <c r="BA89" s="15"/>
      <c r="BB89" s="15"/>
      <c r="BC89" s="15"/>
      <c r="BE89" s="15"/>
      <c r="BF89" s="15"/>
      <c r="BI89" s="15"/>
      <c r="BJ89" s="15"/>
      <c r="BK89" s="15"/>
      <c r="BL89" s="15"/>
      <c r="BM89" s="15"/>
      <c r="BN89" s="15"/>
      <c r="BP89" s="15"/>
      <c r="BQ89" s="15"/>
    </row>
    <row r="90" spans="49:69" x14ac:dyDescent="0.25">
      <c r="AW90" s="7" t="s">
        <v>523</v>
      </c>
      <c r="AX90" s="15"/>
      <c r="AY90" s="15"/>
      <c r="AZ90" s="15"/>
      <c r="BA90" s="15"/>
      <c r="BB90" s="15"/>
      <c r="BC90" s="15"/>
      <c r="BE90" s="15"/>
      <c r="BF90" s="15"/>
      <c r="BI90" s="15"/>
      <c r="BJ90" s="15"/>
      <c r="BK90" s="15"/>
      <c r="BL90" s="15"/>
      <c r="BM90" s="15"/>
      <c r="BN90" s="15"/>
      <c r="BP90" s="15"/>
      <c r="BQ90" s="15"/>
    </row>
    <row r="91" spans="49:69" x14ac:dyDescent="0.25">
      <c r="AW91" t="s">
        <v>517</v>
      </c>
      <c r="AX91" s="15">
        <f>AX85-BI85</f>
        <v>9.1364621165979099E-3</v>
      </c>
      <c r="AY91" s="15">
        <f t="shared" ref="AY91:BC93" si="21">AY85-BJ85</f>
        <v>0</v>
      </c>
      <c r="AZ91" s="15">
        <f t="shared" si="21"/>
        <v>-1.8468382827174779E-2</v>
      </c>
      <c r="BA91" s="15">
        <f t="shared" si="21"/>
        <v>-2.9419918502692211E-2</v>
      </c>
      <c r="BB91" s="15">
        <f t="shared" si="21"/>
        <v>-3.8751839213269079E-2</v>
      </c>
      <c r="BC91" s="15">
        <f t="shared" si="21"/>
        <v>-6.0555432400422049E-2</v>
      </c>
      <c r="BE91" s="15"/>
      <c r="BF91" s="15"/>
      <c r="BH91" s="16"/>
      <c r="BI91" s="15"/>
      <c r="BJ91" s="15"/>
      <c r="BK91" s="15"/>
      <c r="BL91" s="15"/>
      <c r="BM91" s="15"/>
      <c r="BN91" s="15"/>
      <c r="BP91" s="15"/>
      <c r="BQ91" s="15"/>
    </row>
    <row r="92" spans="49:69" x14ac:dyDescent="0.25">
      <c r="AW92" t="s">
        <v>518</v>
      </c>
      <c r="AX92" s="15">
        <f t="shared" ref="AX92:AX93" si="22">AX86-BI86</f>
        <v>-9.2636932830292285E-3</v>
      </c>
      <c r="AY92" s="15">
        <f t="shared" si="21"/>
        <v>0</v>
      </c>
      <c r="AZ92" s="15">
        <f t="shared" si="21"/>
        <v>-4.2054763254478766E-2</v>
      </c>
      <c r="BA92" s="15">
        <f t="shared" si="21"/>
        <v>9.0797385077334702E-3</v>
      </c>
      <c r="BB92" s="15">
        <f t="shared" si="21"/>
        <v>-4.2238718029774525E-2</v>
      </c>
      <c r="BC92" s="15">
        <f t="shared" si="21"/>
        <v>-2.0201462980318219E-2</v>
      </c>
      <c r="BE92" s="15"/>
      <c r="BF92" s="15"/>
      <c r="BI92" s="15"/>
      <c r="BJ92" s="15"/>
      <c r="BK92" s="15"/>
      <c r="BL92" s="15"/>
      <c r="BM92" s="15"/>
      <c r="BN92" s="15"/>
      <c r="BP92" s="15"/>
      <c r="BQ92" s="15"/>
    </row>
    <row r="93" spans="49:69" x14ac:dyDescent="0.25">
      <c r="AW93" t="s">
        <v>519</v>
      </c>
      <c r="AX93" s="15">
        <f t="shared" si="22"/>
        <v>0</v>
      </c>
      <c r="AY93" s="15">
        <f t="shared" si="21"/>
        <v>0</v>
      </c>
      <c r="AZ93" s="15">
        <f t="shared" si="21"/>
        <v>-6.8074600591294665E-3</v>
      </c>
      <c r="BA93" s="15">
        <f t="shared" si="21"/>
        <v>2.7633587492692513E-5</v>
      </c>
      <c r="BB93" s="15">
        <f t="shared" si="21"/>
        <v>-6.779826471636774E-3</v>
      </c>
      <c r="BC93" s="15">
        <f t="shared" si="21"/>
        <v>-6.775829500682562E-3</v>
      </c>
      <c r="BE93" s="15"/>
      <c r="BF93" s="15"/>
      <c r="BI93" s="15"/>
      <c r="BJ93" s="15"/>
      <c r="BK93" s="15"/>
      <c r="BL93" s="15"/>
      <c r="BM93" s="15"/>
      <c r="BN93" s="15"/>
      <c r="BP93" s="15"/>
      <c r="BQ93" s="15"/>
    </row>
    <row r="94" spans="49:69" x14ac:dyDescent="0.25">
      <c r="AW94" s="16" t="s">
        <v>520</v>
      </c>
      <c r="AX94" s="15"/>
      <c r="AY94" s="15"/>
      <c r="AZ94" s="15"/>
      <c r="BA94" s="15"/>
      <c r="BB94" s="15"/>
      <c r="BC94" s="15"/>
      <c r="BE94" s="15"/>
      <c r="BF94" s="15"/>
      <c r="BI94" s="15"/>
      <c r="BJ94" s="15"/>
      <c r="BK94" s="15"/>
      <c r="BL94" s="15"/>
      <c r="BM94" s="15"/>
      <c r="BN94" s="15"/>
      <c r="BP94" s="15"/>
      <c r="BQ94" s="15"/>
    </row>
    <row r="95" spans="49:69" x14ac:dyDescent="0.25">
      <c r="AX95" s="15"/>
      <c r="AY95" s="15"/>
      <c r="AZ95" s="15"/>
      <c r="BA95" s="15"/>
      <c r="BB95" s="15"/>
      <c r="BC95" s="15"/>
      <c r="BE95" s="15"/>
      <c r="BF95" s="15"/>
      <c r="BI95" s="15"/>
      <c r="BJ95" s="15"/>
      <c r="BK95" s="15"/>
      <c r="BL95" s="15"/>
      <c r="BM95" s="15"/>
      <c r="BN95" s="15"/>
      <c r="BP95" s="15"/>
      <c r="BQ95" s="15"/>
    </row>
    <row r="96" spans="49:69" x14ac:dyDescent="0.25">
      <c r="AX96" s="15"/>
      <c r="AY96" s="15"/>
      <c r="AZ96" s="15"/>
      <c r="BA96" s="15"/>
      <c r="BB96" s="15"/>
      <c r="BC96" s="15"/>
      <c r="BE96" s="15"/>
      <c r="BF96" s="15"/>
      <c r="BI96" s="15"/>
      <c r="BJ96" s="15"/>
      <c r="BK96" s="15"/>
      <c r="BL96" s="15"/>
      <c r="BM96" s="15"/>
      <c r="BN96" s="15"/>
      <c r="BP96" s="15"/>
      <c r="BQ96" s="15"/>
    </row>
    <row r="97" spans="49:69" x14ac:dyDescent="0.25">
      <c r="AX97" s="15"/>
      <c r="AY97" s="15"/>
      <c r="AZ97" s="15"/>
      <c r="BA97" s="15"/>
      <c r="BB97" s="15"/>
      <c r="BC97" s="15"/>
      <c r="BE97" s="15"/>
      <c r="BF97" s="15"/>
      <c r="BI97" s="15"/>
      <c r="BJ97" s="15"/>
      <c r="BK97" s="15"/>
      <c r="BL97" s="15"/>
      <c r="BM97" s="15"/>
      <c r="BN97" s="15"/>
      <c r="BP97" s="15"/>
      <c r="BQ97" s="15"/>
    </row>
    <row r="99" spans="49:69" x14ac:dyDescent="0.25">
      <c r="AW99" s="16"/>
      <c r="BH99" s="16"/>
    </row>
    <row r="100" spans="49:69" x14ac:dyDescent="0.25">
      <c r="AX100" s="15"/>
      <c r="AY100" s="15"/>
      <c r="AZ100" s="15"/>
      <c r="BA100" s="15"/>
      <c r="BB100" s="15"/>
      <c r="BC100" s="15"/>
      <c r="BE100" s="15"/>
      <c r="BF100" s="15"/>
      <c r="BI100" s="15"/>
      <c r="BJ100" s="15"/>
      <c r="BK100" s="15"/>
      <c r="BL100" s="15"/>
      <c r="BM100" s="15"/>
      <c r="BN100" s="15"/>
      <c r="BP100" s="15"/>
      <c r="BQ100" s="15"/>
    </row>
    <row r="101" spans="49:69" x14ac:dyDescent="0.25">
      <c r="AX101" s="15"/>
      <c r="AY101" s="15"/>
      <c r="AZ101" s="15"/>
      <c r="BA101" s="15"/>
      <c r="BB101" s="15"/>
      <c r="BC101" s="15"/>
      <c r="BE101" s="15"/>
      <c r="BF101" s="15"/>
      <c r="BI101" s="15"/>
      <c r="BJ101" s="15"/>
      <c r="BK101" s="15"/>
      <c r="BL101" s="15"/>
      <c r="BM101" s="15"/>
      <c r="BN101" s="15"/>
      <c r="BP101" s="15"/>
      <c r="BQ101" s="15"/>
    </row>
    <row r="102" spans="49:69" x14ac:dyDescent="0.25">
      <c r="AX102" s="15"/>
      <c r="AY102" s="15"/>
      <c r="AZ102" s="15"/>
      <c r="BA102" s="15"/>
      <c r="BB102" s="15"/>
      <c r="BC102" s="15"/>
      <c r="BE102" s="15"/>
      <c r="BF102" s="15"/>
      <c r="BI102" s="15"/>
      <c r="BJ102" s="15"/>
      <c r="BK102" s="15"/>
      <c r="BL102" s="15"/>
      <c r="BM102" s="15"/>
      <c r="BN102" s="15"/>
      <c r="BP102" s="15"/>
      <c r="BQ102" s="15"/>
    </row>
    <row r="103" spans="49:69" x14ac:dyDescent="0.25">
      <c r="AX103" s="15"/>
      <c r="AY103" s="15"/>
      <c r="AZ103" s="15"/>
      <c r="BA103" s="15"/>
      <c r="BB103" s="15"/>
      <c r="BC103" s="15"/>
      <c r="BE103" s="15"/>
      <c r="BF103" s="15"/>
      <c r="BI103" s="15"/>
      <c r="BJ103" s="15"/>
      <c r="BK103" s="15"/>
      <c r="BL103" s="15"/>
      <c r="BM103" s="15"/>
      <c r="BN103" s="15"/>
      <c r="BP103" s="15"/>
      <c r="BQ103" s="15"/>
    </row>
    <row r="104" spans="49:69" x14ac:dyDescent="0.25">
      <c r="AX104" s="15"/>
      <c r="AY104" s="15"/>
      <c r="AZ104" s="15"/>
      <c r="BA104" s="15"/>
      <c r="BB104" s="15"/>
      <c r="BC104" s="15"/>
      <c r="BE104" s="15"/>
      <c r="BF104" s="15"/>
      <c r="BI104" s="15"/>
      <c r="BJ104" s="15"/>
      <c r="BK104" s="15"/>
      <c r="BL104" s="15"/>
      <c r="BM104" s="15"/>
      <c r="BN104" s="15"/>
      <c r="BP104" s="15"/>
      <c r="BQ104" s="15"/>
    </row>
    <row r="105" spans="49:69" x14ac:dyDescent="0.25">
      <c r="AX105" s="15"/>
      <c r="AY105" s="15"/>
      <c r="AZ105" s="15"/>
      <c r="BA105" s="15"/>
      <c r="BB105" s="15"/>
      <c r="BC105" s="15"/>
      <c r="BE105" s="15"/>
      <c r="BF105" s="15"/>
      <c r="BI105" s="15"/>
      <c r="BJ105" s="15"/>
      <c r="BK105" s="15"/>
      <c r="BL105" s="15"/>
      <c r="BM105" s="15"/>
      <c r="BN105" s="15"/>
      <c r="BP105" s="15"/>
      <c r="BQ105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FC86-D07B-41D7-AF91-1C05AFEC3371}">
  <dimension ref="A1:AE358"/>
  <sheetViews>
    <sheetView workbookViewId="0">
      <pane xSplit="1" ySplit="6" topLeftCell="P7" activePane="bottomRight" state="frozen"/>
      <selection activeCell="AP9" sqref="AP9"/>
      <selection pane="topRight" activeCell="AP9" sqref="AP9"/>
      <selection pane="bottomLeft" activeCell="AP9" sqref="AP9"/>
      <selection pane="bottomRight" activeCell="AP9" sqref="AP9"/>
    </sheetView>
  </sheetViews>
  <sheetFormatPr defaultRowHeight="15" x14ac:dyDescent="0.25"/>
  <cols>
    <col min="2" max="31" width="14.7109375" customWidth="1"/>
  </cols>
  <sheetData>
    <row r="1" spans="1:31" s="11" customFormat="1" x14ac:dyDescent="0.25">
      <c r="B1" s="11" t="str">
        <f>'Quarterly Data'!D1</f>
        <v>APR014A.db</v>
      </c>
      <c r="C1" s="11" t="str">
        <f>'Quarterly Data'!E1</f>
        <v>APR014A.db</v>
      </c>
      <c r="D1" s="11" t="str">
        <f>'Quarterly Data'!F1</f>
        <v>APR014A.db</v>
      </c>
      <c r="E1" s="11" t="str">
        <f>'Quarterly Data'!G1</f>
        <v>APR014A.db</v>
      </c>
      <c r="F1" s="11" t="str">
        <f>'Quarterly Data'!H1</f>
        <v>APR014A.db</v>
      </c>
      <c r="G1" s="11" t="str">
        <f>'Quarterly Data'!I1</f>
        <v>APR014A.db</v>
      </c>
      <c r="H1" s="11" t="str">
        <f>'Quarterly Data'!J1</f>
        <v>APR014A.db</v>
      </c>
      <c r="I1" s="11" t="str">
        <f>'Quarterly Data'!K1</f>
        <v>APR014A.db</v>
      </c>
      <c r="J1" s="11" t="str">
        <f>'Quarterly Data'!L1</f>
        <v>APR014A.db</v>
      </c>
      <c r="K1" s="11" t="str">
        <f>'Quarterly Data'!M1</f>
        <v>APR014A.db</v>
      </c>
      <c r="L1" s="11" t="str">
        <f>'Quarterly Data'!N1</f>
        <v>APR014A.db</v>
      </c>
      <c r="M1" s="11" t="str">
        <f>'Quarterly Data'!O1</f>
        <v>APR014A.db</v>
      </c>
      <c r="N1" s="11" t="str">
        <f>'Quarterly Data'!P1</f>
        <v>APR014A.db</v>
      </c>
      <c r="O1" s="11" t="str">
        <f>'Quarterly Data'!Q1</f>
        <v>APR014A.db</v>
      </c>
      <c r="P1" s="11" t="str">
        <f>'Quarterly Data'!R1</f>
        <v>APR014A.db</v>
      </c>
      <c r="Q1" s="11" t="str">
        <f>'Quarterly Data'!S1</f>
        <v>MAR010I.db</v>
      </c>
      <c r="R1" s="11" t="str">
        <f>'Quarterly Data'!T1</f>
        <v>MAR010I.db</v>
      </c>
      <c r="S1" s="11" t="str">
        <f>'Quarterly Data'!U1</f>
        <v>MAR010I.db</v>
      </c>
      <c r="T1" s="11" t="str">
        <f>'Quarterly Data'!V1</f>
        <v>MAR010I.db</v>
      </c>
      <c r="U1" s="11" t="str">
        <f>'Quarterly Data'!W1</f>
        <v>MAR010I.db</v>
      </c>
      <c r="V1" s="11" t="str">
        <f>'Quarterly Data'!X1</f>
        <v>MAR010I.db</v>
      </c>
      <c r="W1" s="11" t="str">
        <f>'Quarterly Data'!Y1</f>
        <v>MAR010I.db</v>
      </c>
      <c r="X1" s="11" t="str">
        <f>'Quarterly Data'!Z1</f>
        <v>MAR010I.db</v>
      </c>
      <c r="Y1" s="11" t="str">
        <f>'Quarterly Data'!AA1</f>
        <v>MAR010I.db</v>
      </c>
      <c r="Z1" s="11" t="str">
        <f>'Quarterly Data'!AB1</f>
        <v>MAR010I.db</v>
      </c>
      <c r="AA1" s="11" t="str">
        <f>'Quarterly Data'!AC1</f>
        <v>MAR010I.db</v>
      </c>
      <c r="AB1" s="11" t="str">
        <f>'Quarterly Data'!AD1</f>
        <v>MAR010I.db</v>
      </c>
      <c r="AC1" s="11" t="str">
        <f>'Quarterly Data'!AE1</f>
        <v>MAR010I.db</v>
      </c>
      <c r="AD1" s="11" t="str">
        <f>'Quarterly Data'!AF1</f>
        <v>MAR010I.db</v>
      </c>
      <c r="AE1" s="11" t="str">
        <f>'Quarterly Data'!AG1</f>
        <v>MAR010I.db</v>
      </c>
    </row>
    <row r="2" spans="1:31" x14ac:dyDescent="0.25">
      <c r="B2" s="11" t="str">
        <f>'Quarterly Data'!D2</f>
        <v>UK</v>
      </c>
      <c r="C2" s="11" t="str">
        <f>'Quarterly Data'!E2</f>
        <v>UK</v>
      </c>
      <c r="D2" s="11" t="str">
        <f>'Quarterly Data'!F2</f>
        <v>UK</v>
      </c>
      <c r="E2" s="11" t="str">
        <f>'Quarterly Data'!G2</f>
        <v>UK</v>
      </c>
      <c r="F2" s="11" t="str">
        <f>'Quarterly Data'!H2</f>
        <v>UK</v>
      </c>
      <c r="G2" s="11" t="str">
        <f>'Quarterly Data'!I2</f>
        <v>UK</v>
      </c>
      <c r="H2" s="11" t="str">
        <f>'Quarterly Data'!J2</f>
        <v>UK</v>
      </c>
      <c r="I2" s="11" t="str">
        <f>'Quarterly Data'!K2</f>
        <v>UK</v>
      </c>
      <c r="J2" s="11" t="str">
        <f>'Quarterly Data'!L2</f>
        <v>UK</v>
      </c>
      <c r="K2" s="11" t="str">
        <f>'Quarterly Data'!M2</f>
        <v>UK</v>
      </c>
      <c r="L2" s="11" t="str">
        <f>'Quarterly Data'!N2</f>
        <v>UK</v>
      </c>
      <c r="M2" s="11" t="str">
        <f>'Quarterly Data'!O2</f>
        <v>UK</v>
      </c>
      <c r="N2" s="11" t="str">
        <f>'Quarterly Data'!P2</f>
        <v>UK</v>
      </c>
      <c r="O2" s="11" t="str">
        <f>'Quarterly Data'!Q2</f>
        <v>UK</v>
      </c>
      <c r="P2" s="11" t="str">
        <f>'Quarterly Data'!R2</f>
        <v>UK</v>
      </c>
      <c r="Q2" s="11" t="str">
        <f>'Quarterly Data'!S2</f>
        <v>UK</v>
      </c>
      <c r="R2" s="11" t="str">
        <f>'Quarterly Data'!T2</f>
        <v>UK</v>
      </c>
      <c r="S2" s="11" t="str">
        <f>'Quarterly Data'!U2</f>
        <v>UK</v>
      </c>
      <c r="T2" s="11" t="str">
        <f>'Quarterly Data'!V2</f>
        <v>UK</v>
      </c>
      <c r="U2" s="11" t="str">
        <f>'Quarterly Data'!W2</f>
        <v>UK</v>
      </c>
      <c r="V2" s="11" t="str">
        <f>'Quarterly Data'!X2</f>
        <v>UK</v>
      </c>
      <c r="W2" s="11" t="str">
        <f>'Quarterly Data'!Y2</f>
        <v>UK</v>
      </c>
      <c r="X2" s="11" t="str">
        <f>'Quarterly Data'!Z2</f>
        <v>UK</v>
      </c>
      <c r="Y2" s="11" t="str">
        <f>'Quarterly Data'!AA2</f>
        <v>UK</v>
      </c>
      <c r="Z2" s="11" t="str">
        <f>'Quarterly Data'!AB2</f>
        <v>UK</v>
      </c>
      <c r="AA2" s="11" t="str">
        <f>'Quarterly Data'!AC2</f>
        <v>UK</v>
      </c>
      <c r="AB2" s="11" t="str">
        <f>'Quarterly Data'!AD2</f>
        <v>UK</v>
      </c>
      <c r="AC2" s="11" t="str">
        <f>'Quarterly Data'!AE2</f>
        <v>UK</v>
      </c>
      <c r="AD2" s="11" t="str">
        <f>'Quarterly Data'!AF2</f>
        <v>UK</v>
      </c>
      <c r="AE2" s="11" t="str">
        <f>'Quarterly Data'!AG2</f>
        <v>UK</v>
      </c>
    </row>
    <row r="3" spans="1:31" x14ac:dyDescent="0.25">
      <c r="B3" s="11" t="str">
        <f>'Quarterly Data'!D3</f>
        <v>GDP</v>
      </c>
      <c r="C3" s="11" t="str">
        <f>'Quarterly Data'!E3</f>
        <v>CPI</v>
      </c>
      <c r="D3" s="11" t="str">
        <f>'Quarterly Data'!F3</f>
        <v>X</v>
      </c>
      <c r="E3" s="11" t="str">
        <f>'Quarterly Data'!G3</f>
        <v>XGNF</v>
      </c>
      <c r="F3" s="11" t="str">
        <f>'Quarterly Data'!H3</f>
        <v>M</v>
      </c>
      <c r="G3" s="11" t="str">
        <f>'Quarterly Data'!I3</f>
        <v>MGNF</v>
      </c>
      <c r="H3" s="11" t="str">
        <f>'Quarterly Data'!J3</f>
        <v>IF</v>
      </c>
      <c r="I3" s="11" t="str">
        <f>'Quarterly Data'!K3</f>
        <v>IPNR</v>
      </c>
      <c r="J3" s="11" t="str">
        <f>'Quarterly Data'!L3</f>
        <v>YHAT</v>
      </c>
      <c r="K3" s="11" t="str">
        <f>'Quarterly Data'!M3</f>
        <v>ESTAR</v>
      </c>
      <c r="L3" s="11" t="str">
        <f>'Quarterly Data'!N3</f>
        <v>AVHR</v>
      </c>
      <c r="M3" s="11" t="str">
        <f>'Quarterly Data'!O3</f>
        <v>EDUC</v>
      </c>
      <c r="N3" s="11" t="str">
        <f>'Quarterly Data'!P3</f>
        <v>POP15_64</v>
      </c>
      <c r="O3" s="11" t="str">
        <f>'Quarterly Data'!Q3</f>
        <v>K</v>
      </c>
      <c r="P3" s="11" t="str">
        <f>'Quarterly Data'!R3</f>
        <v>TREND</v>
      </c>
      <c r="Q3" s="11" t="str">
        <f>'Quarterly Data'!S3</f>
        <v>GDP</v>
      </c>
      <c r="R3" s="11" t="str">
        <f>'Quarterly Data'!T3</f>
        <v>CPI</v>
      </c>
      <c r="S3" s="11" t="str">
        <f>'Quarterly Data'!U3</f>
        <v>X</v>
      </c>
      <c r="T3" s="11" t="str">
        <f>'Quarterly Data'!V3</f>
        <v>XGNF</v>
      </c>
      <c r="U3" s="11" t="str">
        <f>'Quarterly Data'!W3</f>
        <v>M</v>
      </c>
      <c r="V3" s="11" t="str">
        <f>'Quarterly Data'!X3</f>
        <v>MGNF</v>
      </c>
      <c r="W3" s="11" t="str">
        <f>'Quarterly Data'!Y3</f>
        <v>IF</v>
      </c>
      <c r="X3" s="11" t="str">
        <f>'Quarterly Data'!Z3</f>
        <v>IPNR</v>
      </c>
      <c r="Y3" s="11" t="str">
        <f>'Quarterly Data'!AA3</f>
        <v>YHAT</v>
      </c>
      <c r="Z3" s="11" t="str">
        <f>'Quarterly Data'!AB3</f>
        <v>ESTAR</v>
      </c>
      <c r="AA3" s="11" t="str">
        <f>'Quarterly Data'!AC3</f>
        <v>AVHR</v>
      </c>
      <c r="AB3" s="11" t="str">
        <f>'Quarterly Data'!AD3</f>
        <v>EDUC</v>
      </c>
      <c r="AC3" s="11" t="str">
        <f>'Quarterly Data'!AE3</f>
        <v>POP15_64</v>
      </c>
      <c r="AD3" s="11" t="str">
        <f>'Quarterly Data'!AF3</f>
        <v>K</v>
      </c>
      <c r="AE3" s="11" t="str">
        <f>'Quarterly Data'!AG3</f>
        <v>TREND</v>
      </c>
    </row>
    <row r="4" spans="1:31" x14ac:dyDescent="0.25">
      <c r="B4" s="11" t="str">
        <f>'Quarterly Data'!D4</f>
        <v>GBR</v>
      </c>
      <c r="C4" s="11" t="str">
        <f>'Quarterly Data'!E4</f>
        <v>GBR</v>
      </c>
      <c r="D4" s="11" t="str">
        <f>'Quarterly Data'!F4</f>
        <v>GBR</v>
      </c>
      <c r="E4" s="11" t="str">
        <f>'Quarterly Data'!G4</f>
        <v>GBR</v>
      </c>
      <c r="F4" s="11" t="str">
        <f>'Quarterly Data'!H4</f>
        <v>GBR</v>
      </c>
      <c r="G4" s="11" t="str">
        <f>'Quarterly Data'!I4</f>
        <v>GBR</v>
      </c>
      <c r="H4" s="11" t="str">
        <f>'Quarterly Data'!J4</f>
        <v>GBR</v>
      </c>
      <c r="I4" s="11" t="str">
        <f>'Quarterly Data'!K4</f>
        <v>GBR</v>
      </c>
      <c r="J4" s="11" t="str">
        <f>'Quarterly Data'!L4</f>
        <v>GBR</v>
      </c>
      <c r="K4" s="11" t="str">
        <f>'Quarterly Data'!M4</f>
        <v>GBR</v>
      </c>
      <c r="L4" s="11" t="str">
        <f>'Quarterly Data'!N4</f>
        <v>GBR</v>
      </c>
      <c r="M4" s="11" t="str">
        <f>'Quarterly Data'!O4</f>
        <v>GBR</v>
      </c>
      <c r="N4" s="11" t="str">
        <f>'Quarterly Data'!P4</f>
        <v>GBR</v>
      </c>
      <c r="O4" s="11" t="str">
        <f>'Quarterly Data'!Q4</f>
        <v>GBR</v>
      </c>
      <c r="P4" s="11" t="str">
        <f>'Quarterly Data'!R4</f>
        <v>GBR</v>
      </c>
      <c r="Q4" s="11" t="str">
        <f>'Quarterly Data'!S4</f>
        <v>GBR</v>
      </c>
      <c r="R4" s="11" t="str">
        <f>'Quarterly Data'!T4</f>
        <v>GBR</v>
      </c>
      <c r="S4" s="11" t="str">
        <f>'Quarterly Data'!U4</f>
        <v>GBR</v>
      </c>
      <c r="T4" s="11" t="str">
        <f>'Quarterly Data'!V4</f>
        <v>GBR</v>
      </c>
      <c r="U4" s="11" t="str">
        <f>'Quarterly Data'!W4</f>
        <v>GBR</v>
      </c>
      <c r="V4" s="11" t="str">
        <f>'Quarterly Data'!X4</f>
        <v>GBR</v>
      </c>
      <c r="W4" s="11" t="str">
        <f>'Quarterly Data'!Y4</f>
        <v>GBR</v>
      </c>
      <c r="X4" s="11" t="str">
        <f>'Quarterly Data'!Z4</f>
        <v>GBR</v>
      </c>
      <c r="Y4" s="11" t="str">
        <f>'Quarterly Data'!AA4</f>
        <v>GBR</v>
      </c>
      <c r="Z4" s="11" t="str">
        <f>'Quarterly Data'!AB4</f>
        <v>GBR</v>
      </c>
      <c r="AA4" s="11" t="str">
        <f>'Quarterly Data'!AC4</f>
        <v>GBR</v>
      </c>
      <c r="AB4" s="11" t="str">
        <f>'Quarterly Data'!AD4</f>
        <v>GBR</v>
      </c>
      <c r="AC4" s="11" t="str">
        <f>'Quarterly Data'!AE4</f>
        <v>GBR</v>
      </c>
      <c r="AD4" s="11" t="str">
        <f>'Quarterly Data'!AF4</f>
        <v>GBR</v>
      </c>
      <c r="AE4" s="11" t="str">
        <f>'Quarterly Data'!AG4</f>
        <v>GBR</v>
      </c>
    </row>
    <row r="5" spans="1:31" x14ac:dyDescent="0.25">
      <c r="B5" s="11" t="str">
        <f>'Quarterly Data'!D5</f>
        <v>L</v>
      </c>
      <c r="C5" s="11" t="str">
        <f>'Quarterly Data'!E5</f>
        <v>L</v>
      </c>
      <c r="D5" s="11" t="str">
        <f>'Quarterly Data'!F5</f>
        <v>L</v>
      </c>
      <c r="E5" s="11" t="str">
        <f>'Quarterly Data'!G5</f>
        <v>L</v>
      </c>
      <c r="F5" s="11" t="str">
        <f>'Quarterly Data'!H5</f>
        <v>L</v>
      </c>
      <c r="G5" s="11" t="str">
        <f>'Quarterly Data'!I5</f>
        <v>L</v>
      </c>
      <c r="H5" s="11" t="str">
        <f>'Quarterly Data'!J5</f>
        <v>L</v>
      </c>
      <c r="I5" s="11" t="str">
        <f>'Quarterly Data'!K5</f>
        <v>L</v>
      </c>
      <c r="J5" s="11" t="str">
        <f>'Quarterly Data'!L5</f>
        <v>L</v>
      </c>
      <c r="K5" s="11" t="str">
        <f>'Quarterly Data'!M5</f>
        <v>L</v>
      </c>
      <c r="L5" s="11" t="str">
        <f>'Quarterly Data'!N5</f>
        <v>L</v>
      </c>
      <c r="M5" s="11" t="str">
        <f>'Quarterly Data'!O5</f>
        <v>L</v>
      </c>
      <c r="N5" s="11" t="str">
        <f>'Quarterly Data'!P5</f>
        <v>L</v>
      </c>
      <c r="O5" s="11" t="str">
        <f>'Quarterly Data'!Q5</f>
        <v>L</v>
      </c>
      <c r="P5" s="11" t="str">
        <f>'Quarterly Data'!R5</f>
        <v>L</v>
      </c>
      <c r="Q5" s="11" t="str">
        <f>'Quarterly Data'!S5</f>
        <v>L</v>
      </c>
      <c r="R5" s="11" t="str">
        <f>'Quarterly Data'!T5</f>
        <v>L</v>
      </c>
      <c r="S5" s="11" t="str">
        <f>'Quarterly Data'!U5</f>
        <v>L</v>
      </c>
      <c r="T5" s="11" t="str">
        <f>'Quarterly Data'!V5</f>
        <v>L</v>
      </c>
      <c r="U5" s="11" t="str">
        <f>'Quarterly Data'!W5</f>
        <v>L</v>
      </c>
      <c r="V5" s="11" t="str">
        <f>'Quarterly Data'!X5</f>
        <v>L</v>
      </c>
      <c r="W5" s="11" t="str">
        <f>'Quarterly Data'!Y5</f>
        <v>L</v>
      </c>
      <c r="X5" s="11" t="str">
        <f>'Quarterly Data'!Z5</f>
        <v>L</v>
      </c>
      <c r="Y5" s="11" t="str">
        <f>'Quarterly Data'!AA5</f>
        <v>L</v>
      </c>
      <c r="Z5" s="11" t="str">
        <f>'Quarterly Data'!AB5</f>
        <v>L</v>
      </c>
      <c r="AA5" s="11" t="str">
        <f>'Quarterly Data'!AC5</f>
        <v>L</v>
      </c>
      <c r="AB5" s="11" t="str">
        <f>'Quarterly Data'!AD5</f>
        <v>L</v>
      </c>
      <c r="AC5" s="11" t="str">
        <f>'Quarterly Data'!AE5</f>
        <v>L</v>
      </c>
      <c r="AD5" s="11" t="str">
        <f>'Quarterly Data'!AF5</f>
        <v>L</v>
      </c>
      <c r="AE5" s="11" t="str">
        <f>'Quarterly Data'!AG5</f>
        <v>L</v>
      </c>
    </row>
    <row r="6" spans="1:31" x14ac:dyDescent="0.25">
      <c r="B6" s="11" t="str">
        <f>'Quarterly Data'!D6</f>
        <v>202404</v>
      </c>
      <c r="C6" s="11" t="str">
        <f>'Quarterly Data'!E6</f>
        <v>202404</v>
      </c>
      <c r="D6" s="11" t="str">
        <f>'Quarterly Data'!F6</f>
        <v>202404</v>
      </c>
      <c r="E6" s="11" t="str">
        <f>'Quarterly Data'!G6</f>
        <v>202404</v>
      </c>
      <c r="F6" s="11" t="str">
        <f>'Quarterly Data'!H6</f>
        <v>202404</v>
      </c>
      <c r="G6" s="11" t="str">
        <f>'Quarterly Data'!I6</f>
        <v>202404</v>
      </c>
      <c r="H6" s="11" t="str">
        <f>'Quarterly Data'!J6</f>
        <v>202404</v>
      </c>
      <c r="I6" s="11" t="str">
        <f>'Quarterly Data'!K6</f>
        <v>202404</v>
      </c>
      <c r="J6" s="11" t="str">
        <f>'Quarterly Data'!L6</f>
        <v>202302</v>
      </c>
      <c r="K6" s="11" t="str">
        <f>'Quarterly Data'!M6</f>
        <v>202304</v>
      </c>
      <c r="L6" s="11" t="str">
        <f>'Quarterly Data'!N6</f>
        <v>202404</v>
      </c>
      <c r="M6" s="11" t="str">
        <f>'Quarterly Data'!O6</f>
        <v>201004</v>
      </c>
      <c r="N6" s="11" t="str">
        <f>'Quarterly Data'!P6</f>
        <v>202302</v>
      </c>
      <c r="O6" s="11" t="str">
        <f>'Quarterly Data'!Q6</f>
        <v>202304</v>
      </c>
      <c r="P6" s="11" t="str">
        <f>'Quarterly Data'!R6</f>
        <v>202302</v>
      </c>
      <c r="Q6" s="11" t="str">
        <f>'Quarterly Data'!S6</f>
        <v>202404</v>
      </c>
      <c r="R6" s="11" t="str">
        <f>'Quarterly Data'!T6</f>
        <v>202404</v>
      </c>
      <c r="S6" s="11" t="str">
        <f>'Quarterly Data'!U6</f>
        <v>202404</v>
      </c>
      <c r="T6" s="11" t="str">
        <f>'Quarterly Data'!V6</f>
        <v>202404</v>
      </c>
      <c r="U6" s="11" t="str">
        <f>'Quarterly Data'!W6</f>
        <v>202404</v>
      </c>
      <c r="V6" s="11" t="str">
        <f>'Quarterly Data'!X6</f>
        <v>202404</v>
      </c>
      <c r="W6" s="11" t="str">
        <f>'Quarterly Data'!Y6</f>
        <v>202404</v>
      </c>
      <c r="X6" s="11" t="str">
        <f>'Quarterly Data'!Z6</f>
        <v>202404</v>
      </c>
      <c r="Y6" s="11" t="str">
        <f>'Quarterly Data'!AA6</f>
        <v>202302</v>
      </c>
      <c r="Z6" s="11" t="str">
        <f>'Quarterly Data'!AB6</f>
        <v>202304</v>
      </c>
      <c r="AA6" s="11" t="str">
        <f>'Quarterly Data'!AC6</f>
        <v>202404</v>
      </c>
      <c r="AB6" s="11" t="str">
        <f>'Quarterly Data'!AD6</f>
        <v>201004</v>
      </c>
      <c r="AC6" s="11" t="str">
        <f>'Quarterly Data'!AE6</f>
        <v>202302</v>
      </c>
      <c r="AD6" s="11" t="str">
        <f>'Quarterly Data'!AF6</f>
        <v>202304</v>
      </c>
      <c r="AE6" s="11" t="str">
        <f>'Quarterly Data'!AG6</f>
        <v>202302</v>
      </c>
    </row>
    <row r="7" spans="1:31" x14ac:dyDescent="0.25">
      <c r="A7">
        <v>1973</v>
      </c>
      <c r="B7">
        <f>SUMIF('Quarterly Data'!$B:$B,'Annual Data'!$A7,'Quarterly Data'!D:D)</f>
        <v>987527</v>
      </c>
      <c r="C7">
        <f>AVERAGEIF('Quarterly Data'!$B:$B,'Annual Data'!$A7,'Quarterly Data'!E:E)</f>
        <v>12.428425000000001</v>
      </c>
      <c r="D7">
        <f>SUMIF('Quarterly Data'!$B:$B,'Annual Data'!$A7,'Quarterly Data'!F:F)</f>
        <v>148219</v>
      </c>
      <c r="E7">
        <f>SUMIF('Quarterly Data'!$B:$B,'Annual Data'!$A7,'Quarterly Data'!G:G)</f>
        <v>57084.06</v>
      </c>
      <c r="F7">
        <f>SUMIF('Quarterly Data'!$B:$B,'Annual Data'!$A7,'Quarterly Data'!H:H)</f>
        <v>141214</v>
      </c>
      <c r="G7">
        <f>SUMIF('Quarterly Data'!$B:$B,'Annual Data'!$A7,'Quarterly Data'!I:I)</f>
        <v>-16816.350000000002</v>
      </c>
      <c r="H7">
        <f>SUMIF('Quarterly Data'!$B:$B,'Annual Data'!$A7,'Quarterly Data'!J:J)</f>
        <v>193673</v>
      </c>
      <c r="I7">
        <f>SUMIF('Quarterly Data'!$B:$B,'Annual Data'!$A7,'Quarterly Data'!K:K)</f>
        <v>64130.86</v>
      </c>
      <c r="J7">
        <f>SUMIF('Quarterly Data'!$B:$B,'Annual Data'!$A7,'Quarterly Data'!L:L)</f>
        <v>995761.2</v>
      </c>
      <c r="K7">
        <f>AVERAGEIF('Quarterly Data'!$B:$B,'Annual Data'!$A7,'Quarterly Data'!M:M)</f>
        <v>24874.799999999999</v>
      </c>
      <c r="L7">
        <f>AVERAGEIF('Quarterly Data'!$B:$B,'Annual Data'!$A7,'Quarterly Data'!N:N)</f>
        <v>1E-3</v>
      </c>
      <c r="M7">
        <f>AVERAGEIF('Quarterly Data'!$B:$B,'Annual Data'!$A7,'Quarterly Data'!O:O)</f>
        <v>286021.40000000002</v>
      </c>
      <c r="N7">
        <f>AVERAGEIF('Quarterly Data'!$B:$B,'Annual Data'!$A7,'Quarterly Data'!P:P)</f>
        <v>35322.815000000002</v>
      </c>
      <c r="O7">
        <f>AVERAGEIF('Quarterly Data'!$B:$B,'Annual Data'!$A7,'Quarterly Data'!Q:Q)</f>
        <v>1074461.5</v>
      </c>
      <c r="P7">
        <f>SUMIF('Quarterly Data'!$B:$B,'Annual Data'!$A7,'Quarterly Data'!R:R)</f>
        <v>-7.6907550000000002</v>
      </c>
      <c r="Q7">
        <f>SUMIF('Quarterly Data'!$B:$B,'Annual Data'!$A7,'Quarterly Data'!S:S)</f>
        <v>987527</v>
      </c>
      <c r="R7">
        <f>AVERAGEIF('Quarterly Data'!$B:$B,'Annual Data'!$A7,'Quarterly Data'!T:T)</f>
        <v>12.428425000000001</v>
      </c>
      <c r="S7">
        <f>SUMIF('Quarterly Data'!$B:$B,'Annual Data'!$A7,'Quarterly Data'!U:U)</f>
        <v>148219</v>
      </c>
      <c r="T7">
        <f>SUMIF('Quarterly Data'!$B:$B,'Annual Data'!$A7,'Quarterly Data'!V:V)</f>
        <v>57084.06</v>
      </c>
      <c r="U7">
        <f>SUMIF('Quarterly Data'!$B:$B,'Annual Data'!$A7,'Quarterly Data'!W:W)</f>
        <v>141214</v>
      </c>
      <c r="V7">
        <f>SUMIF('Quarterly Data'!$B:$B,'Annual Data'!$A7,'Quarterly Data'!X:X)</f>
        <v>-16816.350000000002</v>
      </c>
      <c r="W7">
        <f>SUMIF('Quarterly Data'!$B:$B,'Annual Data'!$A7,'Quarterly Data'!Y:Y)</f>
        <v>193673</v>
      </c>
      <c r="X7">
        <f>SUMIF('Quarterly Data'!$B:$B,'Annual Data'!$A7,'Quarterly Data'!Z:Z)</f>
        <v>64130.86</v>
      </c>
      <c r="Y7">
        <f>SUMIF('Quarterly Data'!$B:$B,'Annual Data'!$A7,'Quarterly Data'!AA:AA)</f>
        <v>995761.2</v>
      </c>
      <c r="Z7">
        <f>AVERAGEIF('Quarterly Data'!$B:$B,'Annual Data'!$A7,'Quarterly Data'!AB:AB)</f>
        <v>24874.799999999999</v>
      </c>
      <c r="AA7">
        <f>AVERAGEIF('Quarterly Data'!$B:$B,'Annual Data'!$A7,'Quarterly Data'!AC:AC)</f>
        <v>1E-3</v>
      </c>
      <c r="AB7">
        <f>AVERAGEIF('Quarterly Data'!$B:$B,'Annual Data'!$A7,'Quarterly Data'!AD:AD)</f>
        <v>286021.40000000002</v>
      </c>
      <c r="AC7">
        <f>AVERAGEIF('Quarterly Data'!$B:$B,'Annual Data'!$A7,'Quarterly Data'!AE:AE)</f>
        <v>35322.815000000002</v>
      </c>
      <c r="AD7">
        <f>AVERAGEIF('Quarterly Data'!$B:$B,'Annual Data'!$A7,'Quarterly Data'!AF:AF)</f>
        <v>1074461.5</v>
      </c>
      <c r="AE7">
        <f>SUMIF('Quarterly Data'!$B:$B,'Annual Data'!$A7,'Quarterly Data'!AG:AG)</f>
        <v>-7.6907550000000002</v>
      </c>
    </row>
    <row r="8" spans="1:31" x14ac:dyDescent="0.25">
      <c r="A8">
        <v>1974</v>
      </c>
      <c r="B8">
        <f>SUMIF('Quarterly Data'!$B:$B,'Annual Data'!$A8,'Quarterly Data'!D:D)</f>
        <v>962880</v>
      </c>
      <c r="C8">
        <f>AVERAGEIF('Quarterly Data'!$B:$B,'Annual Data'!$A8,'Quarterly Data'!E:E)</f>
        <v>14.3836075</v>
      </c>
      <c r="D8">
        <f>SUMIF('Quarterly Data'!$B:$B,'Annual Data'!$A8,'Quarterly Data'!F:F)</f>
        <v>158966</v>
      </c>
      <c r="E8">
        <f>SUMIF('Quarterly Data'!$B:$B,'Annual Data'!$A8,'Quarterly Data'!G:G)</f>
        <v>63320.36</v>
      </c>
      <c r="F8">
        <f>SUMIF('Quarterly Data'!$B:$B,'Annual Data'!$A8,'Quarterly Data'!H:H)</f>
        <v>142566</v>
      </c>
      <c r="G8">
        <f>SUMIF('Quarterly Data'!$B:$B,'Annual Data'!$A8,'Quarterly Data'!I:I)</f>
        <v>-9135.5</v>
      </c>
      <c r="H8">
        <f>SUMIF('Quarterly Data'!$B:$B,'Annual Data'!$A8,'Quarterly Data'!J:J)</f>
        <v>179218</v>
      </c>
      <c r="I8">
        <f>SUMIF('Quarterly Data'!$B:$B,'Annual Data'!$A8,'Quarterly Data'!K:K)</f>
        <v>67920.03</v>
      </c>
      <c r="J8">
        <f>SUMIF('Quarterly Data'!$B:$B,'Annual Data'!$A8,'Quarterly Data'!L:L)</f>
        <v>1007843.7</v>
      </c>
      <c r="K8">
        <f>AVERAGEIF('Quarterly Data'!$B:$B,'Annual Data'!$A8,'Quarterly Data'!M:M)</f>
        <v>24938.640000000003</v>
      </c>
      <c r="L8">
        <f>AVERAGEIF('Quarterly Data'!$B:$B,'Annual Data'!$A8,'Quarterly Data'!N:N)</f>
        <v>1E-3</v>
      </c>
      <c r="M8">
        <f>AVERAGEIF('Quarterly Data'!$B:$B,'Annual Data'!$A8,'Quarterly Data'!O:O)</f>
        <v>288869</v>
      </c>
      <c r="N8">
        <f>AVERAGEIF('Quarterly Data'!$B:$B,'Annual Data'!$A8,'Quarterly Data'!P:P)</f>
        <v>35332.712500000001</v>
      </c>
      <c r="O8">
        <f>AVERAGEIF('Quarterly Data'!$B:$B,'Annual Data'!$A8,'Quarterly Data'!Q:Q)</f>
        <v>1107914</v>
      </c>
      <c r="P8">
        <f>SUMIF('Quarterly Data'!$B:$B,'Annual Data'!$A8,'Quarterly Data'!R:R)</f>
        <v>-7.7065070000000002</v>
      </c>
      <c r="Q8">
        <f>SUMIF('Quarterly Data'!$B:$B,'Annual Data'!$A8,'Quarterly Data'!S:S)</f>
        <v>962880</v>
      </c>
      <c r="R8">
        <f>AVERAGEIF('Quarterly Data'!$B:$B,'Annual Data'!$A8,'Quarterly Data'!T:T)</f>
        <v>14.3836075</v>
      </c>
      <c r="S8">
        <f>SUMIF('Quarterly Data'!$B:$B,'Annual Data'!$A8,'Quarterly Data'!U:U)</f>
        <v>158966</v>
      </c>
      <c r="T8">
        <f>SUMIF('Quarterly Data'!$B:$B,'Annual Data'!$A8,'Quarterly Data'!V:V)</f>
        <v>63320.36</v>
      </c>
      <c r="U8">
        <f>SUMIF('Quarterly Data'!$B:$B,'Annual Data'!$A8,'Quarterly Data'!W:W)</f>
        <v>142566</v>
      </c>
      <c r="V8">
        <f>SUMIF('Quarterly Data'!$B:$B,'Annual Data'!$A8,'Quarterly Data'!X:X)</f>
        <v>-9135.5</v>
      </c>
      <c r="W8">
        <f>SUMIF('Quarterly Data'!$B:$B,'Annual Data'!$A8,'Quarterly Data'!Y:Y)</f>
        <v>179218</v>
      </c>
      <c r="X8">
        <f>SUMIF('Quarterly Data'!$B:$B,'Annual Data'!$A8,'Quarterly Data'!Z:Z)</f>
        <v>67920.03</v>
      </c>
      <c r="Y8">
        <f>SUMIF('Quarterly Data'!$B:$B,'Annual Data'!$A8,'Quarterly Data'!AA:AA)</f>
        <v>1007843.7</v>
      </c>
      <c r="Z8">
        <f>AVERAGEIF('Quarterly Data'!$B:$B,'Annual Data'!$A8,'Quarterly Data'!AB:AB)</f>
        <v>24938.640000000003</v>
      </c>
      <c r="AA8">
        <f>AVERAGEIF('Quarterly Data'!$B:$B,'Annual Data'!$A8,'Quarterly Data'!AC:AC)</f>
        <v>1E-3</v>
      </c>
      <c r="AB8">
        <f>AVERAGEIF('Quarterly Data'!$B:$B,'Annual Data'!$A8,'Quarterly Data'!AD:AD)</f>
        <v>288869</v>
      </c>
      <c r="AC8">
        <f>AVERAGEIF('Quarterly Data'!$B:$B,'Annual Data'!$A8,'Quarterly Data'!AE:AE)</f>
        <v>35332.712500000001</v>
      </c>
      <c r="AD8">
        <f>AVERAGEIF('Quarterly Data'!$B:$B,'Annual Data'!$A8,'Quarterly Data'!AF:AF)</f>
        <v>1107914</v>
      </c>
      <c r="AE8">
        <f>SUMIF('Quarterly Data'!$B:$B,'Annual Data'!$A8,'Quarterly Data'!AG:AG)</f>
        <v>-7.7065070000000002</v>
      </c>
    </row>
    <row r="9" spans="1:31" x14ac:dyDescent="0.25">
      <c r="A9">
        <v>1975</v>
      </c>
      <c r="B9">
        <f>SUMIF('Quarterly Data'!$B:$B,'Annual Data'!$A9,'Quarterly Data'!D:D)</f>
        <v>948361</v>
      </c>
      <c r="C9">
        <f>AVERAGEIF('Quarterly Data'!$B:$B,'Annual Data'!$A9,'Quarterly Data'!E:E)</f>
        <v>17.648755000000001</v>
      </c>
      <c r="D9">
        <f>SUMIF('Quarterly Data'!$B:$B,'Annual Data'!$A9,'Quarterly Data'!F:F)</f>
        <v>154269</v>
      </c>
      <c r="E9">
        <f>SUMIF('Quarterly Data'!$B:$B,'Annual Data'!$A9,'Quarterly Data'!G:G)</f>
        <v>61668.590000000004</v>
      </c>
      <c r="F9">
        <f>SUMIF('Quarterly Data'!$B:$B,'Annual Data'!$A9,'Quarterly Data'!H:H)</f>
        <v>133122</v>
      </c>
      <c r="G9">
        <f>SUMIF('Quarterly Data'!$B:$B,'Annual Data'!$A9,'Quarterly Data'!I:I)</f>
        <v>190.60000000000002</v>
      </c>
      <c r="H9">
        <f>SUMIF('Quarterly Data'!$B:$B,'Annual Data'!$A9,'Quarterly Data'!J:J)</f>
        <v>168504</v>
      </c>
      <c r="I9">
        <f>SUMIF('Quarterly Data'!$B:$B,'Annual Data'!$A9,'Quarterly Data'!K:K)</f>
        <v>67112.320000000007</v>
      </c>
      <c r="J9">
        <f>SUMIF('Quarterly Data'!$B:$B,'Annual Data'!$A9,'Quarterly Data'!L:L)</f>
        <v>1015923.8</v>
      </c>
      <c r="K9">
        <f>AVERAGEIF('Quarterly Data'!$B:$B,'Annual Data'!$A9,'Quarterly Data'!M:M)</f>
        <v>24932.055</v>
      </c>
      <c r="L9">
        <f>AVERAGEIF('Quarterly Data'!$B:$B,'Annual Data'!$A9,'Quarterly Data'!N:N)</f>
        <v>1E-3</v>
      </c>
      <c r="M9">
        <f>AVERAGEIF('Quarterly Data'!$B:$B,'Annual Data'!$A9,'Quarterly Data'!O:O)</f>
        <v>291532.5</v>
      </c>
      <c r="N9">
        <f>AVERAGEIF('Quarterly Data'!$B:$B,'Annual Data'!$A9,'Quarterly Data'!P:P)</f>
        <v>35327.332500000004</v>
      </c>
      <c r="O9">
        <f>AVERAGEIF('Quarterly Data'!$B:$B,'Annual Data'!$A9,'Quarterly Data'!Q:Q)</f>
        <v>1137370.5</v>
      </c>
      <c r="P9">
        <f>SUMIF('Quarterly Data'!$B:$B,'Annual Data'!$A9,'Quarterly Data'!R:R)</f>
        <v>-7.7222930000000005</v>
      </c>
      <c r="Q9">
        <f>SUMIF('Quarterly Data'!$B:$B,'Annual Data'!$A9,'Quarterly Data'!S:S)</f>
        <v>948361</v>
      </c>
      <c r="R9">
        <f>AVERAGEIF('Quarterly Data'!$B:$B,'Annual Data'!$A9,'Quarterly Data'!T:T)</f>
        <v>17.648755000000001</v>
      </c>
      <c r="S9">
        <f>SUMIF('Quarterly Data'!$B:$B,'Annual Data'!$A9,'Quarterly Data'!U:U)</f>
        <v>154269</v>
      </c>
      <c r="T9">
        <f>SUMIF('Quarterly Data'!$B:$B,'Annual Data'!$A9,'Quarterly Data'!V:V)</f>
        <v>61668.590000000004</v>
      </c>
      <c r="U9">
        <f>SUMIF('Quarterly Data'!$B:$B,'Annual Data'!$A9,'Quarterly Data'!W:W)</f>
        <v>133122</v>
      </c>
      <c r="V9">
        <f>SUMIF('Quarterly Data'!$B:$B,'Annual Data'!$A9,'Quarterly Data'!X:X)</f>
        <v>190.60000000000002</v>
      </c>
      <c r="W9">
        <f>SUMIF('Quarterly Data'!$B:$B,'Annual Data'!$A9,'Quarterly Data'!Y:Y)</f>
        <v>168504</v>
      </c>
      <c r="X9">
        <f>SUMIF('Quarterly Data'!$B:$B,'Annual Data'!$A9,'Quarterly Data'!Z:Z)</f>
        <v>67112.320000000007</v>
      </c>
      <c r="Y9">
        <f>SUMIF('Quarterly Data'!$B:$B,'Annual Data'!$A9,'Quarterly Data'!AA:AA)</f>
        <v>1015923.8</v>
      </c>
      <c r="Z9">
        <f>AVERAGEIF('Quarterly Data'!$B:$B,'Annual Data'!$A9,'Quarterly Data'!AB:AB)</f>
        <v>24932.055</v>
      </c>
      <c r="AA9">
        <f>AVERAGEIF('Quarterly Data'!$B:$B,'Annual Data'!$A9,'Quarterly Data'!AC:AC)</f>
        <v>1E-3</v>
      </c>
      <c r="AB9">
        <f>AVERAGEIF('Quarterly Data'!$B:$B,'Annual Data'!$A9,'Quarterly Data'!AD:AD)</f>
        <v>291532.5</v>
      </c>
      <c r="AC9">
        <f>AVERAGEIF('Quarterly Data'!$B:$B,'Annual Data'!$A9,'Quarterly Data'!AE:AE)</f>
        <v>35327.332500000004</v>
      </c>
      <c r="AD9">
        <f>AVERAGEIF('Quarterly Data'!$B:$B,'Annual Data'!$A9,'Quarterly Data'!AF:AF)</f>
        <v>1137370.5</v>
      </c>
      <c r="AE9">
        <f>SUMIF('Quarterly Data'!$B:$B,'Annual Data'!$A9,'Quarterly Data'!AG:AG)</f>
        <v>-7.7222930000000005</v>
      </c>
    </row>
    <row r="10" spans="1:31" x14ac:dyDescent="0.25">
      <c r="A10">
        <v>1976</v>
      </c>
      <c r="B10">
        <f>SUMIF('Quarterly Data'!$B:$B,'Annual Data'!$A10,'Quarterly Data'!D:D)</f>
        <v>976967</v>
      </c>
      <c r="C10">
        <f>AVERAGEIF('Quarterly Data'!$B:$B,'Annual Data'!$A10,'Quarterly Data'!E:E)</f>
        <v>20.412077499999999</v>
      </c>
      <c r="D10">
        <f>SUMIF('Quarterly Data'!$B:$B,'Annual Data'!$A10,'Quarterly Data'!F:F)</f>
        <v>167901</v>
      </c>
      <c r="E10">
        <f>SUMIF('Quarterly Data'!$B:$B,'Annual Data'!$A10,'Quarterly Data'!G:G)</f>
        <v>67181.58</v>
      </c>
      <c r="F10">
        <f>SUMIF('Quarterly Data'!$B:$B,'Annual Data'!$A10,'Quarterly Data'!H:H)</f>
        <v>139646</v>
      </c>
      <c r="G10">
        <f>SUMIF('Quarterly Data'!$B:$B,'Annual Data'!$A10,'Quarterly Data'!I:I)</f>
        <v>6920.5750000000007</v>
      </c>
      <c r="H10">
        <f>SUMIF('Quarterly Data'!$B:$B,'Annual Data'!$A10,'Quarterly Data'!J:J)</f>
        <v>169648</v>
      </c>
      <c r="I10">
        <f>SUMIF('Quarterly Data'!$B:$B,'Annual Data'!$A10,'Quarterly Data'!K:K)</f>
        <v>68650.5</v>
      </c>
      <c r="J10">
        <f>SUMIF('Quarterly Data'!$B:$B,'Annual Data'!$A10,'Quarterly Data'!L:L)</f>
        <v>1020748.1</v>
      </c>
      <c r="K10">
        <f>AVERAGEIF('Quarterly Data'!$B:$B,'Annual Data'!$A10,'Quarterly Data'!M:M)</f>
        <v>24850.212499999998</v>
      </c>
      <c r="L10">
        <f>AVERAGEIF('Quarterly Data'!$B:$B,'Annual Data'!$A10,'Quarterly Data'!N:N)</f>
        <v>1E-3</v>
      </c>
      <c r="M10">
        <f>AVERAGEIF('Quarterly Data'!$B:$B,'Annual Data'!$A10,'Quarterly Data'!O:O)</f>
        <v>293842.92499999999</v>
      </c>
      <c r="N10">
        <f>AVERAGEIF('Quarterly Data'!$B:$B,'Annual Data'!$A10,'Quarterly Data'!P:P)</f>
        <v>35352.077499999999</v>
      </c>
      <c r="O10">
        <f>AVERAGEIF('Quarterly Data'!$B:$B,'Annual Data'!$A10,'Quarterly Data'!Q:Q)</f>
        <v>1165169.5</v>
      </c>
      <c r="P10">
        <f>SUMIF('Quarterly Data'!$B:$B,'Annual Data'!$A10,'Quarterly Data'!R:R)</f>
        <v>-7.7381089999999997</v>
      </c>
      <c r="Q10">
        <f>SUMIF('Quarterly Data'!$B:$B,'Annual Data'!$A10,'Quarterly Data'!S:S)</f>
        <v>976967</v>
      </c>
      <c r="R10">
        <f>AVERAGEIF('Quarterly Data'!$B:$B,'Annual Data'!$A10,'Quarterly Data'!T:T)</f>
        <v>20.412077499999999</v>
      </c>
      <c r="S10">
        <f>SUMIF('Quarterly Data'!$B:$B,'Annual Data'!$A10,'Quarterly Data'!U:U)</f>
        <v>167901</v>
      </c>
      <c r="T10">
        <f>SUMIF('Quarterly Data'!$B:$B,'Annual Data'!$A10,'Quarterly Data'!V:V)</f>
        <v>67181.58</v>
      </c>
      <c r="U10">
        <f>SUMIF('Quarterly Data'!$B:$B,'Annual Data'!$A10,'Quarterly Data'!W:W)</f>
        <v>139646</v>
      </c>
      <c r="V10">
        <f>SUMIF('Quarterly Data'!$B:$B,'Annual Data'!$A10,'Quarterly Data'!X:X)</f>
        <v>6920.5750000000007</v>
      </c>
      <c r="W10">
        <f>SUMIF('Quarterly Data'!$B:$B,'Annual Data'!$A10,'Quarterly Data'!Y:Y)</f>
        <v>169648</v>
      </c>
      <c r="X10">
        <f>SUMIF('Quarterly Data'!$B:$B,'Annual Data'!$A10,'Quarterly Data'!Z:Z)</f>
        <v>68650.5</v>
      </c>
      <c r="Y10">
        <f>SUMIF('Quarterly Data'!$B:$B,'Annual Data'!$A10,'Quarterly Data'!AA:AA)</f>
        <v>1020748.1</v>
      </c>
      <c r="Z10">
        <f>AVERAGEIF('Quarterly Data'!$B:$B,'Annual Data'!$A10,'Quarterly Data'!AB:AB)</f>
        <v>24850.212499999998</v>
      </c>
      <c r="AA10">
        <f>AVERAGEIF('Quarterly Data'!$B:$B,'Annual Data'!$A10,'Quarterly Data'!AC:AC)</f>
        <v>1E-3</v>
      </c>
      <c r="AB10">
        <f>AVERAGEIF('Quarterly Data'!$B:$B,'Annual Data'!$A10,'Quarterly Data'!AD:AD)</f>
        <v>293842.92499999999</v>
      </c>
      <c r="AC10">
        <f>AVERAGEIF('Quarterly Data'!$B:$B,'Annual Data'!$A10,'Quarterly Data'!AE:AE)</f>
        <v>35352.077499999999</v>
      </c>
      <c r="AD10">
        <f>AVERAGEIF('Quarterly Data'!$B:$B,'Annual Data'!$A10,'Quarterly Data'!AF:AF)</f>
        <v>1165169.5</v>
      </c>
      <c r="AE10">
        <f>SUMIF('Quarterly Data'!$B:$B,'Annual Data'!$A10,'Quarterly Data'!AG:AG)</f>
        <v>-7.7381089999999997</v>
      </c>
    </row>
    <row r="11" spans="1:31" x14ac:dyDescent="0.25">
      <c r="A11">
        <v>1977</v>
      </c>
      <c r="B11">
        <f>SUMIF('Quarterly Data'!$B:$B,'Annual Data'!$A11,'Quarterly Data'!D:D)</f>
        <v>1001004</v>
      </c>
      <c r="C11">
        <f>AVERAGEIF('Quarterly Data'!$B:$B,'Annual Data'!$A11,'Quarterly Data'!E:E)</f>
        <v>23.4621575</v>
      </c>
      <c r="D11">
        <f>SUMIF('Quarterly Data'!$B:$B,'Annual Data'!$A11,'Quarterly Data'!F:F)</f>
        <v>178972</v>
      </c>
      <c r="E11">
        <f>SUMIF('Quarterly Data'!$B:$B,'Annual Data'!$A11,'Quarterly Data'!G:G)</f>
        <v>70121.679999999993</v>
      </c>
      <c r="F11">
        <f>SUMIF('Quarterly Data'!$B:$B,'Annual Data'!$A11,'Quarterly Data'!H:H)</f>
        <v>142063</v>
      </c>
      <c r="G11">
        <f>SUMIF('Quarterly Data'!$B:$B,'Annual Data'!$A11,'Quarterly Data'!I:I)</f>
        <v>22647.55</v>
      </c>
      <c r="H11">
        <f>SUMIF('Quarterly Data'!$B:$B,'Annual Data'!$A11,'Quarterly Data'!J:J)</f>
        <v>172276</v>
      </c>
      <c r="I11">
        <f>SUMIF('Quarterly Data'!$B:$B,'Annual Data'!$A11,'Quarterly Data'!K:K)</f>
        <v>69620.72</v>
      </c>
      <c r="J11">
        <f>SUMIF('Quarterly Data'!$B:$B,'Annual Data'!$A11,'Quarterly Data'!L:L)</f>
        <v>1024172.3</v>
      </c>
      <c r="K11">
        <f>AVERAGEIF('Quarterly Data'!$B:$B,'Annual Data'!$A11,'Quarterly Data'!M:M)</f>
        <v>24800.7425</v>
      </c>
      <c r="L11">
        <f>AVERAGEIF('Quarterly Data'!$B:$B,'Annual Data'!$A11,'Quarterly Data'!N:N)</f>
        <v>1E-3</v>
      </c>
      <c r="M11">
        <f>AVERAGEIF('Quarterly Data'!$B:$B,'Annual Data'!$A11,'Quarterly Data'!O:O)</f>
        <v>295875.20000000001</v>
      </c>
      <c r="N11">
        <f>AVERAGEIF('Quarterly Data'!$B:$B,'Annual Data'!$A11,'Quarterly Data'!P:P)</f>
        <v>35501.052499999998</v>
      </c>
      <c r="O11">
        <f>AVERAGEIF('Quarterly Data'!$B:$B,'Annual Data'!$A11,'Quarterly Data'!Q:Q)</f>
        <v>1190688</v>
      </c>
      <c r="P11">
        <f>SUMIF('Quarterly Data'!$B:$B,'Annual Data'!$A11,'Quarterly Data'!R:R)</f>
        <v>-7.7539569999999998</v>
      </c>
      <c r="Q11">
        <f>SUMIF('Quarterly Data'!$B:$B,'Annual Data'!$A11,'Quarterly Data'!S:S)</f>
        <v>1001004</v>
      </c>
      <c r="R11">
        <f>AVERAGEIF('Quarterly Data'!$B:$B,'Annual Data'!$A11,'Quarterly Data'!T:T)</f>
        <v>23.4621575</v>
      </c>
      <c r="S11">
        <f>SUMIF('Quarterly Data'!$B:$B,'Annual Data'!$A11,'Quarterly Data'!U:U)</f>
        <v>178972</v>
      </c>
      <c r="T11">
        <f>SUMIF('Quarterly Data'!$B:$B,'Annual Data'!$A11,'Quarterly Data'!V:V)</f>
        <v>70121.679999999993</v>
      </c>
      <c r="U11">
        <f>SUMIF('Quarterly Data'!$B:$B,'Annual Data'!$A11,'Quarterly Data'!W:W)</f>
        <v>142063</v>
      </c>
      <c r="V11">
        <f>SUMIF('Quarterly Data'!$B:$B,'Annual Data'!$A11,'Quarterly Data'!X:X)</f>
        <v>22647.55</v>
      </c>
      <c r="W11">
        <f>SUMIF('Quarterly Data'!$B:$B,'Annual Data'!$A11,'Quarterly Data'!Y:Y)</f>
        <v>172276</v>
      </c>
      <c r="X11">
        <f>SUMIF('Quarterly Data'!$B:$B,'Annual Data'!$A11,'Quarterly Data'!Z:Z)</f>
        <v>69620.72</v>
      </c>
      <c r="Y11">
        <f>SUMIF('Quarterly Data'!$B:$B,'Annual Data'!$A11,'Quarterly Data'!AA:AA)</f>
        <v>1024172.3</v>
      </c>
      <c r="Z11">
        <f>AVERAGEIF('Quarterly Data'!$B:$B,'Annual Data'!$A11,'Quarterly Data'!AB:AB)</f>
        <v>24800.7425</v>
      </c>
      <c r="AA11">
        <f>AVERAGEIF('Quarterly Data'!$B:$B,'Annual Data'!$A11,'Quarterly Data'!AC:AC)</f>
        <v>1E-3</v>
      </c>
      <c r="AB11">
        <f>AVERAGEIF('Quarterly Data'!$B:$B,'Annual Data'!$A11,'Quarterly Data'!AD:AD)</f>
        <v>295875.20000000001</v>
      </c>
      <c r="AC11">
        <f>AVERAGEIF('Quarterly Data'!$B:$B,'Annual Data'!$A11,'Quarterly Data'!AE:AE)</f>
        <v>35501.052499999998</v>
      </c>
      <c r="AD11">
        <f>AVERAGEIF('Quarterly Data'!$B:$B,'Annual Data'!$A11,'Quarterly Data'!AF:AF)</f>
        <v>1190688</v>
      </c>
      <c r="AE11">
        <f>SUMIF('Quarterly Data'!$B:$B,'Annual Data'!$A11,'Quarterly Data'!AG:AG)</f>
        <v>-7.7539569999999998</v>
      </c>
    </row>
    <row r="12" spans="1:31" x14ac:dyDescent="0.25">
      <c r="A12">
        <v>1978</v>
      </c>
      <c r="B12">
        <f>SUMIF('Quarterly Data'!$B:$B,'Annual Data'!$A12,'Quarterly Data'!D:D)</f>
        <v>1042953</v>
      </c>
      <c r="C12">
        <f>AVERAGEIF('Quarterly Data'!$B:$B,'Annual Data'!$A12,'Quarterly Data'!E:E)</f>
        <v>25.215302500000004</v>
      </c>
      <c r="D12">
        <f>SUMIF('Quarterly Data'!$B:$B,'Annual Data'!$A12,'Quarterly Data'!F:F)</f>
        <v>181926</v>
      </c>
      <c r="E12">
        <f>SUMIF('Quarterly Data'!$B:$B,'Annual Data'!$A12,'Quarterly Data'!G:G)</f>
        <v>67878.55</v>
      </c>
      <c r="F12">
        <f>SUMIF('Quarterly Data'!$B:$B,'Annual Data'!$A12,'Quarterly Data'!H:H)</f>
        <v>147034</v>
      </c>
      <c r="G12">
        <f>SUMIF('Quarterly Data'!$B:$B,'Annual Data'!$A12,'Quarterly Data'!I:I)</f>
        <v>30741.1</v>
      </c>
      <c r="H12">
        <f>SUMIF('Quarterly Data'!$B:$B,'Annual Data'!$A12,'Quarterly Data'!J:J)</f>
        <v>184970</v>
      </c>
      <c r="I12">
        <f>SUMIF('Quarterly Data'!$B:$B,'Annual Data'!$A12,'Quarterly Data'!K:K)</f>
        <v>72055.12000000001</v>
      </c>
      <c r="J12">
        <f>SUMIF('Quarterly Data'!$B:$B,'Annual Data'!$A12,'Quarterly Data'!L:L)</f>
        <v>1032547.7</v>
      </c>
      <c r="K12">
        <f>AVERAGEIF('Quarterly Data'!$B:$B,'Annual Data'!$A12,'Quarterly Data'!M:M)</f>
        <v>24703.73</v>
      </c>
      <c r="L12">
        <f>AVERAGEIF('Quarterly Data'!$B:$B,'Annual Data'!$A12,'Quarterly Data'!N:N)</f>
        <v>1E-3</v>
      </c>
      <c r="M12">
        <f>AVERAGEIF('Quarterly Data'!$B:$B,'Annual Data'!$A12,'Quarterly Data'!O:O)</f>
        <v>297883.125</v>
      </c>
      <c r="N12">
        <f>AVERAGEIF('Quarterly Data'!$B:$B,'Annual Data'!$A12,'Quarterly Data'!P:P)</f>
        <v>35670.839999999997</v>
      </c>
      <c r="O12">
        <f>AVERAGEIF('Quarterly Data'!$B:$B,'Annual Data'!$A12,'Quarterly Data'!Q:Q)</f>
        <v>1219033</v>
      </c>
      <c r="P12">
        <f>SUMIF('Quarterly Data'!$B:$B,'Annual Data'!$A12,'Quarterly Data'!R:R)</f>
        <v>-7.7450330000000003</v>
      </c>
      <c r="Q12">
        <f>SUMIF('Quarterly Data'!$B:$B,'Annual Data'!$A12,'Quarterly Data'!S:S)</f>
        <v>1042953</v>
      </c>
      <c r="R12">
        <f>AVERAGEIF('Quarterly Data'!$B:$B,'Annual Data'!$A12,'Quarterly Data'!T:T)</f>
        <v>25.215302500000004</v>
      </c>
      <c r="S12">
        <f>SUMIF('Quarterly Data'!$B:$B,'Annual Data'!$A12,'Quarterly Data'!U:U)</f>
        <v>181926</v>
      </c>
      <c r="T12">
        <f>SUMIF('Quarterly Data'!$B:$B,'Annual Data'!$A12,'Quarterly Data'!V:V)</f>
        <v>67878.55</v>
      </c>
      <c r="U12">
        <f>SUMIF('Quarterly Data'!$B:$B,'Annual Data'!$A12,'Quarterly Data'!W:W)</f>
        <v>147034</v>
      </c>
      <c r="V12">
        <f>SUMIF('Quarterly Data'!$B:$B,'Annual Data'!$A12,'Quarterly Data'!X:X)</f>
        <v>30741.1</v>
      </c>
      <c r="W12">
        <f>SUMIF('Quarterly Data'!$B:$B,'Annual Data'!$A12,'Quarterly Data'!Y:Y)</f>
        <v>184970</v>
      </c>
      <c r="X12">
        <f>SUMIF('Quarterly Data'!$B:$B,'Annual Data'!$A12,'Quarterly Data'!Z:Z)</f>
        <v>72055.12000000001</v>
      </c>
      <c r="Y12">
        <f>SUMIF('Quarterly Data'!$B:$B,'Annual Data'!$A12,'Quarterly Data'!AA:AA)</f>
        <v>1032547.7</v>
      </c>
      <c r="Z12">
        <f>AVERAGEIF('Quarterly Data'!$B:$B,'Annual Data'!$A12,'Quarterly Data'!AB:AB)</f>
        <v>24703.73</v>
      </c>
      <c r="AA12">
        <f>AVERAGEIF('Quarterly Data'!$B:$B,'Annual Data'!$A12,'Quarterly Data'!AC:AC)</f>
        <v>1E-3</v>
      </c>
      <c r="AB12">
        <f>AVERAGEIF('Quarterly Data'!$B:$B,'Annual Data'!$A12,'Quarterly Data'!AD:AD)</f>
        <v>297883.125</v>
      </c>
      <c r="AC12">
        <f>AVERAGEIF('Quarterly Data'!$B:$B,'Annual Data'!$A12,'Quarterly Data'!AE:AE)</f>
        <v>35670.839999999997</v>
      </c>
      <c r="AD12">
        <f>AVERAGEIF('Quarterly Data'!$B:$B,'Annual Data'!$A12,'Quarterly Data'!AF:AF)</f>
        <v>1219033</v>
      </c>
      <c r="AE12">
        <f>SUMIF('Quarterly Data'!$B:$B,'Annual Data'!$A12,'Quarterly Data'!AG:AG)</f>
        <v>-7.7450330000000003</v>
      </c>
    </row>
    <row r="13" spans="1:31" x14ac:dyDescent="0.25">
      <c r="A13">
        <v>1979</v>
      </c>
      <c r="B13">
        <f>SUMIF('Quarterly Data'!$B:$B,'Annual Data'!$A13,'Quarterly Data'!D:D)</f>
        <v>1081838</v>
      </c>
      <c r="C13">
        <f>AVERAGEIF('Quarterly Data'!$B:$B,'Annual Data'!$A13,'Quarterly Data'!E:E)</f>
        <v>28.082897500000001</v>
      </c>
      <c r="D13">
        <f>SUMIF('Quarterly Data'!$B:$B,'Annual Data'!$A13,'Quarterly Data'!F:F)</f>
        <v>188405</v>
      </c>
      <c r="E13">
        <f>SUMIF('Quarterly Data'!$B:$B,'Annual Data'!$A13,'Quarterly Data'!G:G)</f>
        <v>60671.399999999994</v>
      </c>
      <c r="F13">
        <f>SUMIF('Quarterly Data'!$B:$B,'Annual Data'!$A13,'Quarterly Data'!H:H)</f>
        <v>160714</v>
      </c>
      <c r="G13">
        <f>SUMIF('Quarterly Data'!$B:$B,'Annual Data'!$A13,'Quarterly Data'!I:I)</f>
        <v>40981.055</v>
      </c>
      <c r="H13">
        <f>SUMIF('Quarterly Data'!$B:$B,'Annual Data'!$A13,'Quarterly Data'!J:J)</f>
        <v>200887</v>
      </c>
      <c r="I13">
        <f>SUMIF('Quarterly Data'!$B:$B,'Annual Data'!$A13,'Quarterly Data'!K:K)</f>
        <v>74494.33</v>
      </c>
      <c r="J13">
        <f>SUMIF('Quarterly Data'!$B:$B,'Annual Data'!$A13,'Quarterly Data'!L:L)</f>
        <v>1054600.3999999999</v>
      </c>
      <c r="K13">
        <f>AVERAGEIF('Quarterly Data'!$B:$B,'Annual Data'!$A13,'Quarterly Data'!M:M)</f>
        <v>24709.4375</v>
      </c>
      <c r="L13">
        <f>AVERAGEIF('Quarterly Data'!$B:$B,'Annual Data'!$A13,'Quarterly Data'!N:N)</f>
        <v>1E-3</v>
      </c>
      <c r="M13">
        <f>AVERAGEIF('Quarterly Data'!$B:$B,'Annual Data'!$A13,'Quarterly Data'!O:O)</f>
        <v>300120.32500000001</v>
      </c>
      <c r="N13">
        <f>AVERAGEIF('Quarterly Data'!$B:$B,'Annual Data'!$A13,'Quarterly Data'!P:P)</f>
        <v>35882.959999999999</v>
      </c>
      <c r="O13">
        <f>AVERAGEIF('Quarterly Data'!$B:$B,'Annual Data'!$A13,'Quarterly Data'!Q:Q)</f>
        <v>1245311.5</v>
      </c>
      <c r="P13">
        <f>SUMIF('Quarterly Data'!$B:$B,'Annual Data'!$A13,'Quarterly Data'!R:R)</f>
        <v>-7.6949680000000003</v>
      </c>
      <c r="Q13">
        <f>SUMIF('Quarterly Data'!$B:$B,'Annual Data'!$A13,'Quarterly Data'!S:S)</f>
        <v>1081838</v>
      </c>
      <c r="R13">
        <f>AVERAGEIF('Quarterly Data'!$B:$B,'Annual Data'!$A13,'Quarterly Data'!T:T)</f>
        <v>28.082897500000001</v>
      </c>
      <c r="S13">
        <f>SUMIF('Quarterly Data'!$B:$B,'Annual Data'!$A13,'Quarterly Data'!U:U)</f>
        <v>188405</v>
      </c>
      <c r="T13">
        <f>SUMIF('Quarterly Data'!$B:$B,'Annual Data'!$A13,'Quarterly Data'!V:V)</f>
        <v>60671.399999999994</v>
      </c>
      <c r="U13">
        <f>SUMIF('Quarterly Data'!$B:$B,'Annual Data'!$A13,'Quarterly Data'!W:W)</f>
        <v>160714</v>
      </c>
      <c r="V13">
        <f>SUMIF('Quarterly Data'!$B:$B,'Annual Data'!$A13,'Quarterly Data'!X:X)</f>
        <v>40981.055</v>
      </c>
      <c r="W13">
        <f>SUMIF('Quarterly Data'!$B:$B,'Annual Data'!$A13,'Quarterly Data'!Y:Y)</f>
        <v>200887</v>
      </c>
      <c r="X13">
        <f>SUMIF('Quarterly Data'!$B:$B,'Annual Data'!$A13,'Quarterly Data'!Z:Z)</f>
        <v>74494.33</v>
      </c>
      <c r="Y13">
        <f>SUMIF('Quarterly Data'!$B:$B,'Annual Data'!$A13,'Quarterly Data'!AA:AA)</f>
        <v>1054600.3999999999</v>
      </c>
      <c r="Z13">
        <f>AVERAGEIF('Quarterly Data'!$B:$B,'Annual Data'!$A13,'Quarterly Data'!AB:AB)</f>
        <v>24709.4375</v>
      </c>
      <c r="AA13">
        <f>AVERAGEIF('Quarterly Data'!$B:$B,'Annual Data'!$A13,'Quarterly Data'!AC:AC)</f>
        <v>1E-3</v>
      </c>
      <c r="AB13">
        <f>AVERAGEIF('Quarterly Data'!$B:$B,'Annual Data'!$A13,'Quarterly Data'!AD:AD)</f>
        <v>300120.32500000001</v>
      </c>
      <c r="AC13">
        <f>AVERAGEIF('Quarterly Data'!$B:$B,'Annual Data'!$A13,'Quarterly Data'!AE:AE)</f>
        <v>35882.959999999999</v>
      </c>
      <c r="AD13">
        <f>AVERAGEIF('Quarterly Data'!$B:$B,'Annual Data'!$A13,'Quarterly Data'!AF:AF)</f>
        <v>1245311.5</v>
      </c>
      <c r="AE13">
        <f>SUMIF('Quarterly Data'!$B:$B,'Annual Data'!$A13,'Quarterly Data'!AG:AG)</f>
        <v>-7.6949680000000003</v>
      </c>
    </row>
    <row r="14" spans="1:31" x14ac:dyDescent="0.25">
      <c r="A14">
        <v>1980</v>
      </c>
      <c r="B14">
        <f>SUMIF('Quarterly Data'!$B:$B,'Annual Data'!$A14,'Quarterly Data'!D:D)</f>
        <v>1059660</v>
      </c>
      <c r="C14">
        <f>AVERAGEIF('Quarterly Data'!$B:$B,'Annual Data'!$A14,'Quarterly Data'!E:E)</f>
        <v>32.338672500000001</v>
      </c>
      <c r="D14">
        <f>SUMIF('Quarterly Data'!$B:$B,'Annual Data'!$A14,'Quarterly Data'!F:F)</f>
        <v>187439</v>
      </c>
      <c r="E14">
        <f>SUMIF('Quarterly Data'!$B:$B,'Annual Data'!$A14,'Quarterly Data'!G:G)</f>
        <v>64610.76</v>
      </c>
      <c r="F14">
        <f>SUMIF('Quarterly Data'!$B:$B,'Annual Data'!$A14,'Quarterly Data'!H:H)</f>
        <v>154997</v>
      </c>
      <c r="G14">
        <f>SUMIF('Quarterly Data'!$B:$B,'Annual Data'!$A14,'Quarterly Data'!I:I)</f>
        <v>43481.54</v>
      </c>
      <c r="H14">
        <f>SUMIF('Quarterly Data'!$B:$B,'Annual Data'!$A14,'Quarterly Data'!J:J)</f>
        <v>187961</v>
      </c>
      <c r="I14">
        <f>SUMIF('Quarterly Data'!$B:$B,'Annual Data'!$A14,'Quarterly Data'!K:K)</f>
        <v>71284.42</v>
      </c>
      <c r="J14">
        <f>SUMIF('Quarterly Data'!$B:$B,'Annual Data'!$A14,'Quarterly Data'!L:L)</f>
        <v>1080987.1000000001</v>
      </c>
      <c r="K14">
        <f>AVERAGEIF('Quarterly Data'!$B:$B,'Annual Data'!$A14,'Quarterly Data'!M:M)</f>
        <v>24765.53</v>
      </c>
      <c r="L14">
        <f>AVERAGEIF('Quarterly Data'!$B:$B,'Annual Data'!$A14,'Quarterly Data'!N:N)</f>
        <v>1E-3</v>
      </c>
      <c r="M14">
        <f>AVERAGEIF('Quarterly Data'!$B:$B,'Annual Data'!$A14,'Quarterly Data'!O:O)</f>
        <v>306731.32500000001</v>
      </c>
      <c r="N14">
        <f>AVERAGEIF('Quarterly Data'!$B:$B,'Annual Data'!$A14,'Quarterly Data'!P:P)</f>
        <v>36102.315000000002</v>
      </c>
      <c r="O14">
        <f>AVERAGEIF('Quarterly Data'!$B:$B,'Annual Data'!$A14,'Quarterly Data'!Q:Q)</f>
        <v>1265800.5</v>
      </c>
      <c r="P14">
        <f>SUMIF('Quarterly Data'!$B:$B,'Annual Data'!$A14,'Quarterly Data'!R:R)</f>
        <v>-7.6452279999999995</v>
      </c>
      <c r="Q14">
        <f>SUMIF('Quarterly Data'!$B:$B,'Annual Data'!$A14,'Quarterly Data'!S:S)</f>
        <v>1059660</v>
      </c>
      <c r="R14">
        <f>AVERAGEIF('Quarterly Data'!$B:$B,'Annual Data'!$A14,'Quarterly Data'!T:T)</f>
        <v>32.338672500000001</v>
      </c>
      <c r="S14">
        <f>SUMIF('Quarterly Data'!$B:$B,'Annual Data'!$A14,'Quarterly Data'!U:U)</f>
        <v>187439</v>
      </c>
      <c r="T14">
        <f>SUMIF('Quarterly Data'!$B:$B,'Annual Data'!$A14,'Quarterly Data'!V:V)</f>
        <v>64610.76</v>
      </c>
      <c r="U14">
        <f>SUMIF('Quarterly Data'!$B:$B,'Annual Data'!$A14,'Quarterly Data'!W:W)</f>
        <v>154997</v>
      </c>
      <c r="V14">
        <f>SUMIF('Quarterly Data'!$B:$B,'Annual Data'!$A14,'Quarterly Data'!X:X)</f>
        <v>43481.54</v>
      </c>
      <c r="W14">
        <f>SUMIF('Quarterly Data'!$B:$B,'Annual Data'!$A14,'Quarterly Data'!Y:Y)</f>
        <v>187961</v>
      </c>
      <c r="X14">
        <f>SUMIF('Quarterly Data'!$B:$B,'Annual Data'!$A14,'Quarterly Data'!Z:Z)</f>
        <v>71284.42</v>
      </c>
      <c r="Y14">
        <f>SUMIF('Quarterly Data'!$B:$B,'Annual Data'!$A14,'Quarterly Data'!AA:AA)</f>
        <v>1080987.1000000001</v>
      </c>
      <c r="Z14">
        <f>AVERAGEIF('Quarterly Data'!$B:$B,'Annual Data'!$A14,'Quarterly Data'!AB:AB)</f>
        <v>24765.53</v>
      </c>
      <c r="AA14">
        <f>AVERAGEIF('Quarterly Data'!$B:$B,'Annual Data'!$A14,'Quarterly Data'!AC:AC)</f>
        <v>1E-3</v>
      </c>
      <c r="AB14">
        <f>AVERAGEIF('Quarterly Data'!$B:$B,'Annual Data'!$A14,'Quarterly Data'!AD:AD)</f>
        <v>306731.32500000001</v>
      </c>
      <c r="AC14">
        <f>AVERAGEIF('Quarterly Data'!$B:$B,'Annual Data'!$A14,'Quarterly Data'!AE:AE)</f>
        <v>36102.315000000002</v>
      </c>
      <c r="AD14">
        <f>AVERAGEIF('Quarterly Data'!$B:$B,'Annual Data'!$A14,'Quarterly Data'!AF:AF)</f>
        <v>1265800.5</v>
      </c>
      <c r="AE14">
        <f>SUMIF('Quarterly Data'!$B:$B,'Annual Data'!$A14,'Quarterly Data'!AG:AG)</f>
        <v>-7.6452279999999995</v>
      </c>
    </row>
    <row r="15" spans="1:31" x14ac:dyDescent="0.25">
      <c r="A15">
        <v>1981</v>
      </c>
      <c r="B15">
        <f>SUMIF('Quarterly Data'!$B:$B,'Annual Data'!$A15,'Quarterly Data'!D:D)</f>
        <v>1052374</v>
      </c>
      <c r="C15">
        <f>AVERAGEIF('Quarterly Data'!$B:$B,'Annual Data'!$A15,'Quarterly Data'!E:E)</f>
        <v>36.157795</v>
      </c>
      <c r="D15">
        <f>SUMIF('Quarterly Data'!$B:$B,'Annual Data'!$A15,'Quarterly Data'!F:F)</f>
        <v>186305</v>
      </c>
      <c r="E15">
        <f>SUMIF('Quarterly Data'!$B:$B,'Annual Data'!$A15,'Quarterly Data'!G:G)</f>
        <v>54092.85</v>
      </c>
      <c r="F15">
        <f>SUMIF('Quarterly Data'!$B:$B,'Annual Data'!$A15,'Quarterly Data'!H:H)</f>
        <v>150582</v>
      </c>
      <c r="G15">
        <f>SUMIF('Quarterly Data'!$B:$B,'Annual Data'!$A15,'Quarterly Data'!I:I)</f>
        <v>48510.055</v>
      </c>
      <c r="H15">
        <f>SUMIF('Quarterly Data'!$B:$B,'Annual Data'!$A15,'Quarterly Data'!J:J)</f>
        <v>175495</v>
      </c>
      <c r="I15">
        <f>SUMIF('Quarterly Data'!$B:$B,'Annual Data'!$A15,'Quarterly Data'!K:K)</f>
        <v>66146.92</v>
      </c>
      <c r="J15">
        <f>SUMIF('Quarterly Data'!$B:$B,'Annual Data'!$A15,'Quarterly Data'!L:L)</f>
        <v>1096885.7000000002</v>
      </c>
      <c r="K15">
        <f>AVERAGEIF('Quarterly Data'!$B:$B,'Annual Data'!$A15,'Quarterly Data'!M:M)</f>
        <v>24659.649999999998</v>
      </c>
      <c r="L15">
        <f>AVERAGEIF('Quarterly Data'!$B:$B,'Annual Data'!$A15,'Quarterly Data'!N:N)</f>
        <v>1E-3</v>
      </c>
      <c r="M15">
        <f>AVERAGEIF('Quarterly Data'!$B:$B,'Annual Data'!$A15,'Quarterly Data'!O:O)</f>
        <v>309382.7</v>
      </c>
      <c r="N15">
        <f>AVERAGEIF('Quarterly Data'!$B:$B,'Annual Data'!$A15,'Quarterly Data'!P:P)</f>
        <v>36300.177499999998</v>
      </c>
      <c r="O15">
        <f>AVERAGEIF('Quarterly Data'!$B:$B,'Annual Data'!$A15,'Quarterly Data'!Q:Q)</f>
        <v>1278218.5</v>
      </c>
      <c r="P15">
        <f>SUMIF('Quarterly Data'!$B:$B,'Annual Data'!$A15,'Quarterly Data'!R:R)</f>
        <v>-7.595809</v>
      </c>
      <c r="Q15">
        <f>SUMIF('Quarterly Data'!$B:$B,'Annual Data'!$A15,'Quarterly Data'!S:S)</f>
        <v>1052374</v>
      </c>
      <c r="R15">
        <f>AVERAGEIF('Quarterly Data'!$B:$B,'Annual Data'!$A15,'Quarterly Data'!T:T)</f>
        <v>36.157795</v>
      </c>
      <c r="S15">
        <f>SUMIF('Quarterly Data'!$B:$B,'Annual Data'!$A15,'Quarterly Data'!U:U)</f>
        <v>186305</v>
      </c>
      <c r="T15">
        <f>SUMIF('Quarterly Data'!$B:$B,'Annual Data'!$A15,'Quarterly Data'!V:V)</f>
        <v>54092.85</v>
      </c>
      <c r="U15">
        <f>SUMIF('Quarterly Data'!$B:$B,'Annual Data'!$A15,'Quarterly Data'!W:W)</f>
        <v>150582</v>
      </c>
      <c r="V15">
        <f>SUMIF('Quarterly Data'!$B:$B,'Annual Data'!$A15,'Quarterly Data'!X:X)</f>
        <v>48510.055</v>
      </c>
      <c r="W15">
        <f>SUMIF('Quarterly Data'!$B:$B,'Annual Data'!$A15,'Quarterly Data'!Y:Y)</f>
        <v>175495</v>
      </c>
      <c r="X15">
        <f>SUMIF('Quarterly Data'!$B:$B,'Annual Data'!$A15,'Quarterly Data'!Z:Z)</f>
        <v>66146.92</v>
      </c>
      <c r="Y15">
        <f>SUMIF('Quarterly Data'!$B:$B,'Annual Data'!$A15,'Quarterly Data'!AA:AA)</f>
        <v>1096885.7000000002</v>
      </c>
      <c r="Z15">
        <f>AVERAGEIF('Quarterly Data'!$B:$B,'Annual Data'!$A15,'Quarterly Data'!AB:AB)</f>
        <v>24659.649999999998</v>
      </c>
      <c r="AA15">
        <f>AVERAGEIF('Quarterly Data'!$B:$B,'Annual Data'!$A15,'Quarterly Data'!AC:AC)</f>
        <v>1E-3</v>
      </c>
      <c r="AB15">
        <f>AVERAGEIF('Quarterly Data'!$B:$B,'Annual Data'!$A15,'Quarterly Data'!AD:AD)</f>
        <v>309382.7</v>
      </c>
      <c r="AC15">
        <f>AVERAGEIF('Quarterly Data'!$B:$B,'Annual Data'!$A15,'Quarterly Data'!AE:AE)</f>
        <v>36300.177499999998</v>
      </c>
      <c r="AD15">
        <f>AVERAGEIF('Quarterly Data'!$B:$B,'Annual Data'!$A15,'Quarterly Data'!AF:AF)</f>
        <v>1278218.5</v>
      </c>
      <c r="AE15">
        <f>SUMIF('Quarterly Data'!$B:$B,'Annual Data'!$A15,'Quarterly Data'!AG:AG)</f>
        <v>-7.595809</v>
      </c>
    </row>
    <row r="16" spans="1:31" x14ac:dyDescent="0.25">
      <c r="A16">
        <v>1982</v>
      </c>
      <c r="B16">
        <f>SUMIF('Quarterly Data'!$B:$B,'Annual Data'!$A16,'Quarterly Data'!D:D)</f>
        <v>1073055</v>
      </c>
      <c r="C16">
        <f>AVERAGEIF('Quarterly Data'!$B:$B,'Annual Data'!$A16,'Quarterly Data'!E:E)</f>
        <v>39.090559999999996</v>
      </c>
      <c r="D16">
        <f>SUMIF('Quarterly Data'!$B:$B,'Annual Data'!$A16,'Quarterly Data'!F:F)</f>
        <v>187924</v>
      </c>
      <c r="E16">
        <f>SUMIF('Quarterly Data'!$B:$B,'Annual Data'!$A16,'Quarterly Data'!G:G)</f>
        <v>54553.54</v>
      </c>
      <c r="F16">
        <f>SUMIF('Quarterly Data'!$B:$B,'Annual Data'!$A16,'Quarterly Data'!H:H)</f>
        <v>157406</v>
      </c>
      <c r="G16">
        <f>SUMIF('Quarterly Data'!$B:$B,'Annual Data'!$A16,'Quarterly Data'!I:I)</f>
        <v>59126.38</v>
      </c>
      <c r="H16">
        <f>SUMIF('Quarterly Data'!$B:$B,'Annual Data'!$A16,'Quarterly Data'!J:J)</f>
        <v>184492</v>
      </c>
      <c r="I16">
        <f>SUMIF('Quarterly Data'!$B:$B,'Annual Data'!$A16,'Quarterly Data'!K:K)</f>
        <v>68777.61</v>
      </c>
      <c r="J16">
        <f>SUMIF('Quarterly Data'!$B:$B,'Annual Data'!$A16,'Quarterly Data'!L:L)</f>
        <v>1103412.6000000001</v>
      </c>
      <c r="K16">
        <f>AVERAGEIF('Quarterly Data'!$B:$B,'Annual Data'!$A16,'Quarterly Data'!M:M)</f>
        <v>24297.707499999997</v>
      </c>
      <c r="L16">
        <f>AVERAGEIF('Quarterly Data'!$B:$B,'Annual Data'!$A16,'Quarterly Data'!N:N)</f>
        <v>1E-3</v>
      </c>
      <c r="M16">
        <f>AVERAGEIF('Quarterly Data'!$B:$B,'Annual Data'!$A16,'Quarterly Data'!O:O)</f>
        <v>311708.92499999999</v>
      </c>
      <c r="N16">
        <f>AVERAGEIF('Quarterly Data'!$B:$B,'Annual Data'!$A16,'Quarterly Data'!P:P)</f>
        <v>36500.68</v>
      </c>
      <c r="O16">
        <f>AVERAGEIF('Quarterly Data'!$B:$B,'Annual Data'!$A16,'Quarterly Data'!Q:Q)</f>
        <v>1288706.5</v>
      </c>
      <c r="P16">
        <f>SUMIF('Quarterly Data'!$B:$B,'Annual Data'!$A16,'Quarterly Data'!R:R)</f>
        <v>-7.5467079999999997</v>
      </c>
      <c r="Q16">
        <f>SUMIF('Quarterly Data'!$B:$B,'Annual Data'!$A16,'Quarterly Data'!S:S)</f>
        <v>1073055</v>
      </c>
      <c r="R16">
        <f>AVERAGEIF('Quarterly Data'!$B:$B,'Annual Data'!$A16,'Quarterly Data'!T:T)</f>
        <v>39.090559999999996</v>
      </c>
      <c r="S16">
        <f>SUMIF('Quarterly Data'!$B:$B,'Annual Data'!$A16,'Quarterly Data'!U:U)</f>
        <v>187924</v>
      </c>
      <c r="T16">
        <f>SUMIF('Quarterly Data'!$B:$B,'Annual Data'!$A16,'Quarterly Data'!V:V)</f>
        <v>54553.54</v>
      </c>
      <c r="U16">
        <f>SUMIF('Quarterly Data'!$B:$B,'Annual Data'!$A16,'Quarterly Data'!W:W)</f>
        <v>157406</v>
      </c>
      <c r="V16">
        <f>SUMIF('Quarterly Data'!$B:$B,'Annual Data'!$A16,'Quarterly Data'!X:X)</f>
        <v>59126.38</v>
      </c>
      <c r="W16">
        <f>SUMIF('Quarterly Data'!$B:$B,'Annual Data'!$A16,'Quarterly Data'!Y:Y)</f>
        <v>184492</v>
      </c>
      <c r="X16">
        <f>SUMIF('Quarterly Data'!$B:$B,'Annual Data'!$A16,'Quarterly Data'!Z:Z)</f>
        <v>68777.61</v>
      </c>
      <c r="Y16">
        <f>SUMIF('Quarterly Data'!$B:$B,'Annual Data'!$A16,'Quarterly Data'!AA:AA)</f>
        <v>1103412.6000000001</v>
      </c>
      <c r="Z16">
        <f>AVERAGEIF('Quarterly Data'!$B:$B,'Annual Data'!$A16,'Quarterly Data'!AB:AB)</f>
        <v>24297.707499999997</v>
      </c>
      <c r="AA16">
        <f>AVERAGEIF('Quarterly Data'!$B:$B,'Annual Data'!$A16,'Quarterly Data'!AC:AC)</f>
        <v>1E-3</v>
      </c>
      <c r="AB16">
        <f>AVERAGEIF('Quarterly Data'!$B:$B,'Annual Data'!$A16,'Quarterly Data'!AD:AD)</f>
        <v>311708.92499999999</v>
      </c>
      <c r="AC16">
        <f>AVERAGEIF('Quarterly Data'!$B:$B,'Annual Data'!$A16,'Quarterly Data'!AE:AE)</f>
        <v>36500.68</v>
      </c>
      <c r="AD16">
        <f>AVERAGEIF('Quarterly Data'!$B:$B,'Annual Data'!$A16,'Quarterly Data'!AF:AF)</f>
        <v>1288706.5</v>
      </c>
      <c r="AE16">
        <f>SUMIF('Quarterly Data'!$B:$B,'Annual Data'!$A16,'Quarterly Data'!AG:AG)</f>
        <v>-7.5467079999999997</v>
      </c>
    </row>
    <row r="17" spans="1:31" x14ac:dyDescent="0.25">
      <c r="A17">
        <v>1983</v>
      </c>
      <c r="B17">
        <f>SUMIF('Quarterly Data'!$B:$B,'Annual Data'!$A17,'Quarterly Data'!D:D)</f>
        <v>1117759</v>
      </c>
      <c r="C17">
        <f>AVERAGEIF('Quarterly Data'!$B:$B,'Annual Data'!$A17,'Quarterly Data'!E:E)</f>
        <v>41.019672499999999</v>
      </c>
      <c r="D17">
        <f>SUMIF('Quarterly Data'!$B:$B,'Annual Data'!$A17,'Quarterly Data'!F:F)</f>
        <v>191250</v>
      </c>
      <c r="E17">
        <f>SUMIF('Quarterly Data'!$B:$B,'Annual Data'!$A17,'Quarterly Data'!G:G)</f>
        <v>52090.420000000006</v>
      </c>
      <c r="F17">
        <f>SUMIF('Quarterly Data'!$B:$B,'Annual Data'!$A17,'Quarterly Data'!H:H)</f>
        <v>167113</v>
      </c>
      <c r="G17">
        <f>SUMIF('Quarterly Data'!$B:$B,'Annual Data'!$A17,'Quarterly Data'!I:I)</f>
        <v>74218.83</v>
      </c>
      <c r="H17">
        <f>SUMIF('Quarterly Data'!$B:$B,'Annual Data'!$A17,'Quarterly Data'!J:J)</f>
        <v>197849</v>
      </c>
      <c r="I17">
        <f>SUMIF('Quarterly Data'!$B:$B,'Annual Data'!$A17,'Quarterly Data'!K:K)</f>
        <v>69744.62</v>
      </c>
      <c r="J17">
        <f>SUMIF('Quarterly Data'!$B:$B,'Annual Data'!$A17,'Quarterly Data'!L:L)</f>
        <v>1121588.5</v>
      </c>
      <c r="K17">
        <f>AVERAGEIF('Quarterly Data'!$B:$B,'Annual Data'!$A17,'Quarterly Data'!M:M)</f>
        <v>24304.682499999995</v>
      </c>
      <c r="L17">
        <f>AVERAGEIF('Quarterly Data'!$B:$B,'Annual Data'!$A17,'Quarterly Data'!N:N)</f>
        <v>1E-3</v>
      </c>
      <c r="M17">
        <f>AVERAGEIF('Quarterly Data'!$B:$B,'Annual Data'!$A17,'Quarterly Data'!O:O)</f>
        <v>314668.82500000001</v>
      </c>
      <c r="N17">
        <f>AVERAGEIF('Quarterly Data'!$B:$B,'Annual Data'!$A17,'Quarterly Data'!P:P)</f>
        <v>36776.192499999997</v>
      </c>
      <c r="O17">
        <f>AVERAGEIF('Quarterly Data'!$B:$B,'Annual Data'!$A17,'Quarterly Data'!Q:Q)</f>
        <v>1301611.5</v>
      </c>
      <c r="P17">
        <f>SUMIF('Quarterly Data'!$B:$B,'Annual Data'!$A17,'Quarterly Data'!R:R)</f>
        <v>-7.4979250000000004</v>
      </c>
      <c r="Q17">
        <f>SUMIF('Quarterly Data'!$B:$B,'Annual Data'!$A17,'Quarterly Data'!S:S)</f>
        <v>1117759</v>
      </c>
      <c r="R17">
        <f>AVERAGEIF('Quarterly Data'!$B:$B,'Annual Data'!$A17,'Quarterly Data'!T:T)</f>
        <v>41.019672499999999</v>
      </c>
      <c r="S17">
        <f>SUMIF('Quarterly Data'!$B:$B,'Annual Data'!$A17,'Quarterly Data'!U:U)</f>
        <v>191250</v>
      </c>
      <c r="T17">
        <f>SUMIF('Quarterly Data'!$B:$B,'Annual Data'!$A17,'Quarterly Data'!V:V)</f>
        <v>52090.420000000006</v>
      </c>
      <c r="U17">
        <f>SUMIF('Quarterly Data'!$B:$B,'Annual Data'!$A17,'Quarterly Data'!W:W)</f>
        <v>167113</v>
      </c>
      <c r="V17">
        <f>SUMIF('Quarterly Data'!$B:$B,'Annual Data'!$A17,'Quarterly Data'!X:X)</f>
        <v>74218.83</v>
      </c>
      <c r="W17">
        <f>SUMIF('Quarterly Data'!$B:$B,'Annual Data'!$A17,'Quarterly Data'!Y:Y)</f>
        <v>197849</v>
      </c>
      <c r="X17">
        <f>SUMIF('Quarterly Data'!$B:$B,'Annual Data'!$A17,'Quarterly Data'!Z:Z)</f>
        <v>69744.62</v>
      </c>
      <c r="Y17">
        <f>SUMIF('Quarterly Data'!$B:$B,'Annual Data'!$A17,'Quarterly Data'!AA:AA)</f>
        <v>1121588.5</v>
      </c>
      <c r="Z17">
        <f>AVERAGEIF('Quarterly Data'!$B:$B,'Annual Data'!$A17,'Quarterly Data'!AB:AB)</f>
        <v>24304.682499999995</v>
      </c>
      <c r="AA17">
        <f>AVERAGEIF('Quarterly Data'!$B:$B,'Annual Data'!$A17,'Quarterly Data'!AC:AC)</f>
        <v>1E-3</v>
      </c>
      <c r="AB17">
        <f>AVERAGEIF('Quarterly Data'!$B:$B,'Annual Data'!$A17,'Quarterly Data'!AD:AD)</f>
        <v>314668.82500000001</v>
      </c>
      <c r="AC17">
        <f>AVERAGEIF('Quarterly Data'!$B:$B,'Annual Data'!$A17,'Quarterly Data'!AE:AE)</f>
        <v>36776.192499999997</v>
      </c>
      <c r="AD17">
        <f>AVERAGEIF('Quarterly Data'!$B:$B,'Annual Data'!$A17,'Quarterly Data'!AF:AF)</f>
        <v>1301611.5</v>
      </c>
      <c r="AE17">
        <f>SUMIF('Quarterly Data'!$B:$B,'Annual Data'!$A17,'Quarterly Data'!AG:AG)</f>
        <v>-7.4979250000000004</v>
      </c>
    </row>
    <row r="18" spans="1:31" x14ac:dyDescent="0.25">
      <c r="A18">
        <v>1984</v>
      </c>
      <c r="B18">
        <f>SUMIF('Quarterly Data'!$B:$B,'Annual Data'!$A18,'Quarterly Data'!D:D)</f>
        <v>1142579</v>
      </c>
      <c r="C18">
        <f>AVERAGEIF('Quarterly Data'!$B:$B,'Annual Data'!$A18,'Quarterly Data'!E:E)</f>
        <v>42.766302500000002</v>
      </c>
      <c r="D18">
        <f>SUMIF('Quarterly Data'!$B:$B,'Annual Data'!$A18,'Quarterly Data'!F:F)</f>
        <v>203561</v>
      </c>
      <c r="E18">
        <f>SUMIF('Quarterly Data'!$B:$B,'Annual Data'!$A18,'Quarterly Data'!G:G)</f>
        <v>57978.81</v>
      </c>
      <c r="F18">
        <f>SUMIF('Quarterly Data'!$B:$B,'Annual Data'!$A18,'Quarterly Data'!H:H)</f>
        <v>182917</v>
      </c>
      <c r="G18">
        <f>SUMIF('Quarterly Data'!$B:$B,'Annual Data'!$A18,'Quarterly Data'!I:I)</f>
        <v>77955.400000000009</v>
      </c>
      <c r="H18">
        <f>SUMIF('Quarterly Data'!$B:$B,'Annual Data'!$A18,'Quarterly Data'!J:J)</f>
        <v>210577</v>
      </c>
      <c r="I18">
        <f>SUMIF('Quarterly Data'!$B:$B,'Annual Data'!$A18,'Quarterly Data'!K:K)</f>
        <v>77615.759999999995</v>
      </c>
      <c r="J18">
        <f>SUMIF('Quarterly Data'!$B:$B,'Annual Data'!$A18,'Quarterly Data'!L:L)</f>
        <v>1160834.8999999999</v>
      </c>
      <c r="K18">
        <f>AVERAGEIF('Quarterly Data'!$B:$B,'Annual Data'!$A18,'Quarterly Data'!M:M)</f>
        <v>24910.802499999998</v>
      </c>
      <c r="L18">
        <f>AVERAGEIF('Quarterly Data'!$B:$B,'Annual Data'!$A18,'Quarterly Data'!N:N)</f>
        <v>1E-3</v>
      </c>
      <c r="M18">
        <f>AVERAGEIF('Quarterly Data'!$B:$B,'Annual Data'!$A18,'Quarterly Data'!O:O)</f>
        <v>318382.52500000002</v>
      </c>
      <c r="N18">
        <f>AVERAGEIF('Quarterly Data'!$B:$B,'Annual Data'!$A18,'Quarterly Data'!P:P)</f>
        <v>37029.1325</v>
      </c>
      <c r="O18">
        <f>AVERAGEIF('Quarterly Data'!$B:$B,'Annual Data'!$A18,'Quarterly Data'!Q:Q)</f>
        <v>1322354.25</v>
      </c>
      <c r="P18">
        <f>SUMIF('Quarterly Data'!$B:$B,'Annual Data'!$A18,'Quarterly Data'!R:R)</f>
        <v>-7.4494580000000008</v>
      </c>
      <c r="Q18">
        <f>SUMIF('Quarterly Data'!$B:$B,'Annual Data'!$A18,'Quarterly Data'!S:S)</f>
        <v>1142579</v>
      </c>
      <c r="R18">
        <f>AVERAGEIF('Quarterly Data'!$B:$B,'Annual Data'!$A18,'Quarterly Data'!T:T)</f>
        <v>42.766302500000002</v>
      </c>
      <c r="S18">
        <f>SUMIF('Quarterly Data'!$B:$B,'Annual Data'!$A18,'Quarterly Data'!U:U)</f>
        <v>203561</v>
      </c>
      <c r="T18">
        <f>SUMIF('Quarterly Data'!$B:$B,'Annual Data'!$A18,'Quarterly Data'!V:V)</f>
        <v>57978.81</v>
      </c>
      <c r="U18">
        <f>SUMIF('Quarterly Data'!$B:$B,'Annual Data'!$A18,'Quarterly Data'!W:W)</f>
        <v>182917</v>
      </c>
      <c r="V18">
        <f>SUMIF('Quarterly Data'!$B:$B,'Annual Data'!$A18,'Quarterly Data'!X:X)</f>
        <v>77955.400000000009</v>
      </c>
      <c r="W18">
        <f>SUMIF('Quarterly Data'!$B:$B,'Annual Data'!$A18,'Quarterly Data'!Y:Y)</f>
        <v>210577</v>
      </c>
      <c r="X18">
        <f>SUMIF('Quarterly Data'!$B:$B,'Annual Data'!$A18,'Quarterly Data'!Z:Z)</f>
        <v>77615.759999999995</v>
      </c>
      <c r="Y18">
        <f>SUMIF('Quarterly Data'!$B:$B,'Annual Data'!$A18,'Quarterly Data'!AA:AA)</f>
        <v>1160834.8999999999</v>
      </c>
      <c r="Z18">
        <f>AVERAGEIF('Quarterly Data'!$B:$B,'Annual Data'!$A18,'Quarterly Data'!AB:AB)</f>
        <v>24910.802499999998</v>
      </c>
      <c r="AA18">
        <f>AVERAGEIF('Quarterly Data'!$B:$B,'Annual Data'!$A18,'Quarterly Data'!AC:AC)</f>
        <v>1E-3</v>
      </c>
      <c r="AB18">
        <f>AVERAGEIF('Quarterly Data'!$B:$B,'Annual Data'!$A18,'Quarterly Data'!AD:AD)</f>
        <v>318382.52500000002</v>
      </c>
      <c r="AC18">
        <f>AVERAGEIF('Quarterly Data'!$B:$B,'Annual Data'!$A18,'Quarterly Data'!AE:AE)</f>
        <v>37029.1325</v>
      </c>
      <c r="AD18">
        <f>AVERAGEIF('Quarterly Data'!$B:$B,'Annual Data'!$A18,'Quarterly Data'!AF:AF)</f>
        <v>1322354.25</v>
      </c>
      <c r="AE18">
        <f>SUMIF('Quarterly Data'!$B:$B,'Annual Data'!$A18,'Quarterly Data'!AG:AG)</f>
        <v>-7.4494580000000008</v>
      </c>
    </row>
    <row r="19" spans="1:31" x14ac:dyDescent="0.25">
      <c r="A19">
        <v>1985</v>
      </c>
      <c r="B19">
        <f>SUMIF('Quarterly Data'!$B:$B,'Annual Data'!$A19,'Quarterly Data'!D:D)</f>
        <v>1189278</v>
      </c>
      <c r="C19">
        <f>AVERAGEIF('Quarterly Data'!$B:$B,'Annual Data'!$A19,'Quarterly Data'!E:E)</f>
        <v>44.871375</v>
      </c>
      <c r="D19">
        <f>SUMIF('Quarterly Data'!$B:$B,'Annual Data'!$A19,'Quarterly Data'!F:F)</f>
        <v>215070</v>
      </c>
      <c r="E19">
        <f>SUMIF('Quarterly Data'!$B:$B,'Annual Data'!$A19,'Quarterly Data'!G:G)</f>
        <v>59925.200000000004</v>
      </c>
      <c r="F19">
        <f>SUMIF('Quarterly Data'!$B:$B,'Annual Data'!$A19,'Quarterly Data'!H:H)</f>
        <v>187204</v>
      </c>
      <c r="G19">
        <f>SUMIF('Quarterly Data'!$B:$B,'Annual Data'!$A19,'Quarterly Data'!I:I)</f>
        <v>83739.240000000005</v>
      </c>
      <c r="H19">
        <f>SUMIF('Quarterly Data'!$B:$B,'Annual Data'!$A19,'Quarterly Data'!J:J)</f>
        <v>214788</v>
      </c>
      <c r="I19">
        <f>SUMIF('Quarterly Data'!$B:$B,'Annual Data'!$A19,'Quarterly Data'!K:K)</f>
        <v>83848.959999999992</v>
      </c>
      <c r="J19">
        <f>SUMIF('Quarterly Data'!$B:$B,'Annual Data'!$A19,'Quarterly Data'!L:L)</f>
        <v>1193082.2999999998</v>
      </c>
      <c r="K19">
        <f>AVERAGEIF('Quarterly Data'!$B:$B,'Annual Data'!$A19,'Quarterly Data'!M:M)</f>
        <v>25107.865000000002</v>
      </c>
      <c r="L19">
        <f>AVERAGEIF('Quarterly Data'!$B:$B,'Annual Data'!$A19,'Quarterly Data'!N:N)</f>
        <v>1E-3</v>
      </c>
      <c r="M19">
        <f>AVERAGEIF('Quarterly Data'!$B:$B,'Annual Data'!$A19,'Quarterly Data'!O:O)</f>
        <v>322872.05000000005</v>
      </c>
      <c r="N19">
        <f>AVERAGEIF('Quarterly Data'!$B:$B,'Annual Data'!$A19,'Quarterly Data'!P:P)</f>
        <v>37116.962500000001</v>
      </c>
      <c r="O19">
        <f>AVERAGEIF('Quarterly Data'!$B:$B,'Annual Data'!$A19,'Quarterly Data'!Q:Q)</f>
        <v>1348477</v>
      </c>
      <c r="P19">
        <f>SUMIF('Quarterly Data'!$B:$B,'Annual Data'!$A19,'Quarterly Data'!R:R)</f>
        <v>-7.4013050000000007</v>
      </c>
      <c r="Q19">
        <f>SUMIF('Quarterly Data'!$B:$B,'Annual Data'!$A19,'Quarterly Data'!S:S)</f>
        <v>1189278</v>
      </c>
      <c r="R19">
        <f>AVERAGEIF('Quarterly Data'!$B:$B,'Annual Data'!$A19,'Quarterly Data'!T:T)</f>
        <v>44.871375</v>
      </c>
      <c r="S19">
        <f>SUMIF('Quarterly Data'!$B:$B,'Annual Data'!$A19,'Quarterly Data'!U:U)</f>
        <v>215070</v>
      </c>
      <c r="T19">
        <f>SUMIF('Quarterly Data'!$B:$B,'Annual Data'!$A19,'Quarterly Data'!V:V)</f>
        <v>59925.200000000004</v>
      </c>
      <c r="U19">
        <f>SUMIF('Quarterly Data'!$B:$B,'Annual Data'!$A19,'Quarterly Data'!W:W)</f>
        <v>187204</v>
      </c>
      <c r="V19">
        <f>SUMIF('Quarterly Data'!$B:$B,'Annual Data'!$A19,'Quarterly Data'!X:X)</f>
        <v>83739.240000000005</v>
      </c>
      <c r="W19">
        <f>SUMIF('Quarterly Data'!$B:$B,'Annual Data'!$A19,'Quarterly Data'!Y:Y)</f>
        <v>214788</v>
      </c>
      <c r="X19">
        <f>SUMIF('Quarterly Data'!$B:$B,'Annual Data'!$A19,'Quarterly Data'!Z:Z)</f>
        <v>83848.959999999992</v>
      </c>
      <c r="Y19">
        <f>SUMIF('Quarterly Data'!$B:$B,'Annual Data'!$A19,'Quarterly Data'!AA:AA)</f>
        <v>1193082.2999999998</v>
      </c>
      <c r="Z19">
        <f>AVERAGEIF('Quarterly Data'!$B:$B,'Annual Data'!$A19,'Quarterly Data'!AB:AB)</f>
        <v>25107.865000000002</v>
      </c>
      <c r="AA19">
        <f>AVERAGEIF('Quarterly Data'!$B:$B,'Annual Data'!$A19,'Quarterly Data'!AC:AC)</f>
        <v>1E-3</v>
      </c>
      <c r="AB19">
        <f>AVERAGEIF('Quarterly Data'!$B:$B,'Annual Data'!$A19,'Quarterly Data'!AD:AD)</f>
        <v>322872.05000000005</v>
      </c>
      <c r="AC19">
        <f>AVERAGEIF('Quarterly Data'!$B:$B,'Annual Data'!$A19,'Quarterly Data'!AE:AE)</f>
        <v>37116.962500000001</v>
      </c>
      <c r="AD19">
        <f>AVERAGEIF('Quarterly Data'!$B:$B,'Annual Data'!$A19,'Quarterly Data'!AF:AF)</f>
        <v>1348477</v>
      </c>
      <c r="AE19">
        <f>SUMIF('Quarterly Data'!$B:$B,'Annual Data'!$A19,'Quarterly Data'!AG:AG)</f>
        <v>-7.4013050000000007</v>
      </c>
    </row>
    <row r="20" spans="1:31" x14ac:dyDescent="0.25">
      <c r="A20">
        <v>1986</v>
      </c>
      <c r="B20">
        <f>SUMIF('Quarterly Data'!$B:$B,'Annual Data'!$A20,'Quarterly Data'!D:D)</f>
        <v>1226237</v>
      </c>
      <c r="C20">
        <f>AVERAGEIF('Quarterly Data'!$B:$B,'Annual Data'!$A20,'Quarterly Data'!E:E)</f>
        <v>46.363832499999994</v>
      </c>
      <c r="D20">
        <f>SUMIF('Quarterly Data'!$B:$B,'Annual Data'!$A20,'Quarterly Data'!F:F)</f>
        <v>223617</v>
      </c>
      <c r="E20">
        <f>SUMIF('Quarterly Data'!$B:$B,'Annual Data'!$A20,'Quarterly Data'!G:G)</f>
        <v>62064.670000000006</v>
      </c>
      <c r="F20">
        <f>SUMIF('Quarterly Data'!$B:$B,'Annual Data'!$A20,'Quarterly Data'!H:H)</f>
        <v>199680</v>
      </c>
      <c r="G20">
        <f>SUMIF('Quarterly Data'!$B:$B,'Annual Data'!$A20,'Quarterly Data'!I:I)</f>
        <v>90310.859999999986</v>
      </c>
      <c r="H20">
        <f>SUMIF('Quarterly Data'!$B:$B,'Annual Data'!$A20,'Quarterly Data'!J:J)</f>
        <v>212084</v>
      </c>
      <c r="I20">
        <f>SUMIF('Quarterly Data'!$B:$B,'Annual Data'!$A20,'Quarterly Data'!K:K)</f>
        <v>82748.420000000013</v>
      </c>
      <c r="J20">
        <f>SUMIF('Quarterly Data'!$B:$B,'Annual Data'!$A20,'Quarterly Data'!L:L)</f>
        <v>1223572.5</v>
      </c>
      <c r="K20">
        <f>AVERAGEIF('Quarterly Data'!$B:$B,'Annual Data'!$A20,'Quarterly Data'!M:M)</f>
        <v>25255.61</v>
      </c>
      <c r="L20">
        <f>AVERAGEIF('Quarterly Data'!$B:$B,'Annual Data'!$A20,'Quarterly Data'!N:N)</f>
        <v>33.524137500000002</v>
      </c>
      <c r="M20">
        <f>AVERAGEIF('Quarterly Data'!$B:$B,'Annual Data'!$A20,'Quarterly Data'!O:O)</f>
        <v>327826.39999999997</v>
      </c>
      <c r="N20">
        <f>AVERAGEIF('Quarterly Data'!$B:$B,'Annual Data'!$A20,'Quarterly Data'!P:P)</f>
        <v>37205.482499999998</v>
      </c>
      <c r="O20">
        <f>AVERAGEIF('Quarterly Data'!$B:$B,'Annual Data'!$A20,'Quarterly Data'!Q:Q)</f>
        <v>1372084.75</v>
      </c>
      <c r="P20">
        <f>SUMIF('Quarterly Data'!$B:$B,'Annual Data'!$A20,'Quarterly Data'!R:R)</f>
        <v>-7.3539529999999997</v>
      </c>
      <c r="Q20">
        <f>SUMIF('Quarterly Data'!$B:$B,'Annual Data'!$A20,'Quarterly Data'!S:S)</f>
        <v>1226237</v>
      </c>
      <c r="R20">
        <f>AVERAGEIF('Quarterly Data'!$B:$B,'Annual Data'!$A20,'Quarterly Data'!T:T)</f>
        <v>46.363832499999994</v>
      </c>
      <c r="S20">
        <f>SUMIF('Quarterly Data'!$B:$B,'Annual Data'!$A20,'Quarterly Data'!U:U)</f>
        <v>223617</v>
      </c>
      <c r="T20">
        <f>SUMIF('Quarterly Data'!$B:$B,'Annual Data'!$A20,'Quarterly Data'!V:V)</f>
        <v>62064.670000000006</v>
      </c>
      <c r="U20">
        <f>SUMIF('Quarterly Data'!$B:$B,'Annual Data'!$A20,'Quarterly Data'!W:W)</f>
        <v>199680</v>
      </c>
      <c r="V20">
        <f>SUMIF('Quarterly Data'!$B:$B,'Annual Data'!$A20,'Quarterly Data'!X:X)</f>
        <v>90310.859999999986</v>
      </c>
      <c r="W20">
        <f>SUMIF('Quarterly Data'!$B:$B,'Annual Data'!$A20,'Quarterly Data'!Y:Y)</f>
        <v>212084</v>
      </c>
      <c r="X20">
        <f>SUMIF('Quarterly Data'!$B:$B,'Annual Data'!$A20,'Quarterly Data'!Z:Z)</f>
        <v>82748.420000000013</v>
      </c>
      <c r="Y20">
        <f>SUMIF('Quarterly Data'!$B:$B,'Annual Data'!$A20,'Quarterly Data'!AA:AA)</f>
        <v>1223572.5</v>
      </c>
      <c r="Z20">
        <f>AVERAGEIF('Quarterly Data'!$B:$B,'Annual Data'!$A20,'Quarterly Data'!AB:AB)</f>
        <v>25255.61</v>
      </c>
      <c r="AA20">
        <f>AVERAGEIF('Quarterly Data'!$B:$B,'Annual Data'!$A20,'Quarterly Data'!AC:AC)</f>
        <v>33.524137500000002</v>
      </c>
      <c r="AB20">
        <f>AVERAGEIF('Quarterly Data'!$B:$B,'Annual Data'!$A20,'Quarterly Data'!AD:AD)</f>
        <v>327826.39999999997</v>
      </c>
      <c r="AC20">
        <f>AVERAGEIF('Quarterly Data'!$B:$B,'Annual Data'!$A20,'Quarterly Data'!AE:AE)</f>
        <v>37205.482499999998</v>
      </c>
      <c r="AD20">
        <f>AVERAGEIF('Quarterly Data'!$B:$B,'Annual Data'!$A20,'Quarterly Data'!AF:AF)</f>
        <v>1372084.75</v>
      </c>
      <c r="AE20">
        <f>SUMIF('Quarterly Data'!$B:$B,'Annual Data'!$A20,'Quarterly Data'!AG:AG)</f>
        <v>-7.3539529999999997</v>
      </c>
    </row>
    <row r="21" spans="1:31" x14ac:dyDescent="0.25">
      <c r="A21">
        <v>1987</v>
      </c>
      <c r="B21">
        <f>SUMIF('Quarterly Data'!$B:$B,'Annual Data'!$A21,'Quarterly Data'!D:D)</f>
        <v>1292703</v>
      </c>
      <c r="C21">
        <f>AVERAGEIF('Quarterly Data'!$B:$B,'Annual Data'!$A21,'Quarterly Data'!E:E)</f>
        <v>47.849764999999998</v>
      </c>
      <c r="D21">
        <f>SUMIF('Quarterly Data'!$B:$B,'Annual Data'!$A21,'Quarterly Data'!F:F)</f>
        <v>237836</v>
      </c>
      <c r="E21">
        <f>SUMIF('Quarterly Data'!$B:$B,'Annual Data'!$A21,'Quarterly Data'!G:G)</f>
        <v>73159.61</v>
      </c>
      <c r="F21">
        <f>SUMIF('Quarterly Data'!$B:$B,'Annual Data'!$A21,'Quarterly Data'!H:H)</f>
        <v>215204</v>
      </c>
      <c r="G21">
        <f>SUMIF('Quarterly Data'!$B:$B,'Annual Data'!$A21,'Quarterly Data'!I:I)</f>
        <v>101628.83</v>
      </c>
      <c r="H21">
        <f>SUMIF('Quarterly Data'!$B:$B,'Annual Data'!$A21,'Quarterly Data'!J:J)</f>
        <v>238398</v>
      </c>
      <c r="I21">
        <f>SUMIF('Quarterly Data'!$B:$B,'Annual Data'!$A21,'Quarterly Data'!K:K)</f>
        <v>87160.260000000009</v>
      </c>
      <c r="J21">
        <f>SUMIF('Quarterly Data'!$B:$B,'Annual Data'!$A21,'Quarterly Data'!L:L)</f>
        <v>1257734.5</v>
      </c>
      <c r="K21">
        <f>AVERAGEIF('Quarterly Data'!$B:$B,'Annual Data'!$A21,'Quarterly Data'!M:M)</f>
        <v>25501.767499999998</v>
      </c>
      <c r="L21">
        <f>AVERAGEIF('Quarterly Data'!$B:$B,'Annual Data'!$A21,'Quarterly Data'!N:N)</f>
        <v>33.524137499999995</v>
      </c>
      <c r="M21">
        <f>AVERAGEIF('Quarterly Data'!$B:$B,'Annual Data'!$A21,'Quarterly Data'!O:O)</f>
        <v>332272.34999999998</v>
      </c>
      <c r="N21">
        <f>AVERAGEIF('Quarterly Data'!$B:$B,'Annual Data'!$A21,'Quarterly Data'!P:P)</f>
        <v>37265.827499999999</v>
      </c>
      <c r="O21">
        <f>AVERAGEIF('Quarterly Data'!$B:$B,'Annual Data'!$A21,'Quarterly Data'!Q:Q)</f>
        <v>1399611</v>
      </c>
      <c r="P21">
        <f>SUMIF('Quarterly Data'!$B:$B,'Annual Data'!$A21,'Quarterly Data'!R:R)</f>
        <v>-7.308859</v>
      </c>
      <c r="Q21">
        <f>SUMIF('Quarterly Data'!$B:$B,'Annual Data'!$A21,'Quarterly Data'!S:S)</f>
        <v>1292703</v>
      </c>
      <c r="R21">
        <f>AVERAGEIF('Quarterly Data'!$B:$B,'Annual Data'!$A21,'Quarterly Data'!T:T)</f>
        <v>47.849764999999998</v>
      </c>
      <c r="S21">
        <f>SUMIF('Quarterly Data'!$B:$B,'Annual Data'!$A21,'Quarterly Data'!U:U)</f>
        <v>237836</v>
      </c>
      <c r="T21">
        <f>SUMIF('Quarterly Data'!$B:$B,'Annual Data'!$A21,'Quarterly Data'!V:V)</f>
        <v>73159.61</v>
      </c>
      <c r="U21">
        <f>SUMIF('Quarterly Data'!$B:$B,'Annual Data'!$A21,'Quarterly Data'!W:W)</f>
        <v>215204</v>
      </c>
      <c r="V21">
        <f>SUMIF('Quarterly Data'!$B:$B,'Annual Data'!$A21,'Quarterly Data'!X:X)</f>
        <v>101628.83</v>
      </c>
      <c r="W21">
        <f>SUMIF('Quarterly Data'!$B:$B,'Annual Data'!$A21,'Quarterly Data'!Y:Y)</f>
        <v>238398</v>
      </c>
      <c r="X21">
        <f>SUMIF('Quarterly Data'!$B:$B,'Annual Data'!$A21,'Quarterly Data'!Z:Z)</f>
        <v>87160.260000000009</v>
      </c>
      <c r="Y21">
        <f>SUMIF('Quarterly Data'!$B:$B,'Annual Data'!$A21,'Quarterly Data'!AA:AA)</f>
        <v>1257734.5</v>
      </c>
      <c r="Z21">
        <f>AVERAGEIF('Quarterly Data'!$B:$B,'Annual Data'!$A21,'Quarterly Data'!AB:AB)</f>
        <v>25501.767499999998</v>
      </c>
      <c r="AA21">
        <f>AVERAGEIF('Quarterly Data'!$B:$B,'Annual Data'!$A21,'Quarterly Data'!AC:AC)</f>
        <v>33.524137499999995</v>
      </c>
      <c r="AB21">
        <f>AVERAGEIF('Quarterly Data'!$B:$B,'Annual Data'!$A21,'Quarterly Data'!AD:AD)</f>
        <v>332272.34999999998</v>
      </c>
      <c r="AC21">
        <f>AVERAGEIF('Quarterly Data'!$B:$B,'Annual Data'!$A21,'Quarterly Data'!AE:AE)</f>
        <v>37265.827499999999</v>
      </c>
      <c r="AD21">
        <f>AVERAGEIF('Quarterly Data'!$B:$B,'Annual Data'!$A21,'Quarterly Data'!AF:AF)</f>
        <v>1399611</v>
      </c>
      <c r="AE21">
        <f>SUMIF('Quarterly Data'!$B:$B,'Annual Data'!$A21,'Quarterly Data'!AG:AG)</f>
        <v>-7.308859</v>
      </c>
    </row>
    <row r="22" spans="1:31" x14ac:dyDescent="0.25">
      <c r="A22">
        <v>1988</v>
      </c>
      <c r="B22">
        <f>SUMIF('Quarterly Data'!$B:$B,'Annual Data'!$A22,'Quarterly Data'!D:D)</f>
        <v>1362204</v>
      </c>
      <c r="C22">
        <f>AVERAGEIF('Quarterly Data'!$B:$B,'Annual Data'!$A22,'Quarterly Data'!E:E)</f>
        <v>49.608334999999997</v>
      </c>
      <c r="D22">
        <f>SUMIF('Quarterly Data'!$B:$B,'Annual Data'!$A22,'Quarterly Data'!F:F)</f>
        <v>239957</v>
      </c>
      <c r="E22">
        <f>SUMIF('Quarterly Data'!$B:$B,'Annual Data'!$A22,'Quarterly Data'!G:G)</f>
        <v>83267.81</v>
      </c>
      <c r="F22">
        <f>SUMIF('Quarterly Data'!$B:$B,'Annual Data'!$A22,'Quarterly Data'!H:H)</f>
        <v>241800</v>
      </c>
      <c r="G22">
        <f>SUMIF('Quarterly Data'!$B:$B,'Annual Data'!$A22,'Quarterly Data'!I:I)</f>
        <v>122026.97</v>
      </c>
      <c r="H22">
        <f>SUMIF('Quarterly Data'!$B:$B,'Annual Data'!$A22,'Quarterly Data'!J:J)</f>
        <v>275330</v>
      </c>
      <c r="I22">
        <f>SUMIF('Quarterly Data'!$B:$B,'Annual Data'!$A22,'Quarterly Data'!K:K)</f>
        <v>107163.14</v>
      </c>
      <c r="J22">
        <f>SUMIF('Quarterly Data'!$B:$B,'Annual Data'!$A22,'Quarterly Data'!L:L)</f>
        <v>1302509.7</v>
      </c>
      <c r="K22">
        <f>AVERAGEIF('Quarterly Data'!$B:$B,'Annual Data'!$A22,'Quarterly Data'!M:M)</f>
        <v>25806.300000000003</v>
      </c>
      <c r="L22">
        <f>AVERAGEIF('Quarterly Data'!$B:$B,'Annual Data'!$A22,'Quarterly Data'!N:N)</f>
        <v>33.690102499999995</v>
      </c>
      <c r="M22">
        <f>AVERAGEIF('Quarterly Data'!$B:$B,'Annual Data'!$A22,'Quarterly Data'!O:O)</f>
        <v>336945.47500000003</v>
      </c>
      <c r="N22">
        <f>AVERAGEIF('Quarterly Data'!$B:$B,'Annual Data'!$A22,'Quarterly Data'!P:P)</f>
        <v>37299.197500000002</v>
      </c>
      <c r="O22">
        <f>AVERAGEIF('Quarterly Data'!$B:$B,'Annual Data'!$A22,'Quarterly Data'!Q:Q)</f>
        <v>1439126.5</v>
      </c>
      <c r="P22">
        <f>SUMIF('Quarterly Data'!$B:$B,'Annual Data'!$A22,'Quarterly Data'!R:R)</f>
        <v>-7.2642050000000005</v>
      </c>
      <c r="Q22">
        <f>SUMIF('Quarterly Data'!$B:$B,'Annual Data'!$A22,'Quarterly Data'!S:S)</f>
        <v>1362204</v>
      </c>
      <c r="R22">
        <f>AVERAGEIF('Quarterly Data'!$B:$B,'Annual Data'!$A22,'Quarterly Data'!T:T)</f>
        <v>49.608334999999997</v>
      </c>
      <c r="S22">
        <f>SUMIF('Quarterly Data'!$B:$B,'Annual Data'!$A22,'Quarterly Data'!U:U)</f>
        <v>239957</v>
      </c>
      <c r="T22">
        <f>SUMIF('Quarterly Data'!$B:$B,'Annual Data'!$A22,'Quarterly Data'!V:V)</f>
        <v>83267.81</v>
      </c>
      <c r="U22">
        <f>SUMIF('Quarterly Data'!$B:$B,'Annual Data'!$A22,'Quarterly Data'!W:W)</f>
        <v>241800</v>
      </c>
      <c r="V22">
        <f>SUMIF('Quarterly Data'!$B:$B,'Annual Data'!$A22,'Quarterly Data'!X:X)</f>
        <v>122026.97</v>
      </c>
      <c r="W22">
        <f>SUMIF('Quarterly Data'!$B:$B,'Annual Data'!$A22,'Quarterly Data'!Y:Y)</f>
        <v>275330</v>
      </c>
      <c r="X22">
        <f>SUMIF('Quarterly Data'!$B:$B,'Annual Data'!$A22,'Quarterly Data'!Z:Z)</f>
        <v>107163.14</v>
      </c>
      <c r="Y22">
        <f>SUMIF('Quarterly Data'!$B:$B,'Annual Data'!$A22,'Quarterly Data'!AA:AA)</f>
        <v>1302509.7</v>
      </c>
      <c r="Z22">
        <f>AVERAGEIF('Quarterly Data'!$B:$B,'Annual Data'!$A22,'Quarterly Data'!AB:AB)</f>
        <v>25806.300000000003</v>
      </c>
      <c r="AA22">
        <f>AVERAGEIF('Quarterly Data'!$B:$B,'Annual Data'!$A22,'Quarterly Data'!AC:AC)</f>
        <v>33.690102499999995</v>
      </c>
      <c r="AB22">
        <f>AVERAGEIF('Quarterly Data'!$B:$B,'Annual Data'!$A22,'Quarterly Data'!AD:AD)</f>
        <v>336945.47500000003</v>
      </c>
      <c r="AC22">
        <f>AVERAGEIF('Quarterly Data'!$B:$B,'Annual Data'!$A22,'Quarterly Data'!AE:AE)</f>
        <v>37299.197500000002</v>
      </c>
      <c r="AD22">
        <f>AVERAGEIF('Quarterly Data'!$B:$B,'Annual Data'!$A22,'Quarterly Data'!AF:AF)</f>
        <v>1439126.5</v>
      </c>
      <c r="AE22">
        <f>SUMIF('Quarterly Data'!$B:$B,'Annual Data'!$A22,'Quarterly Data'!AG:AG)</f>
        <v>-7.2642050000000005</v>
      </c>
    </row>
    <row r="23" spans="1:31" x14ac:dyDescent="0.25">
      <c r="A23">
        <v>1989</v>
      </c>
      <c r="B23">
        <f>SUMIF('Quarterly Data'!$B:$B,'Annual Data'!$A23,'Quarterly Data'!D:D)</f>
        <v>1394928</v>
      </c>
      <c r="C23">
        <f>AVERAGEIF('Quarterly Data'!$B:$B,'Annual Data'!$A23,'Quarterly Data'!E:E)</f>
        <v>52.216670000000001</v>
      </c>
      <c r="D23">
        <f>SUMIF('Quarterly Data'!$B:$B,'Annual Data'!$A23,'Quarterly Data'!F:F)</f>
        <v>250957</v>
      </c>
      <c r="E23">
        <f>SUMIF('Quarterly Data'!$B:$B,'Annual Data'!$A23,'Quarterly Data'!G:G)</f>
        <v>104794.67</v>
      </c>
      <c r="F23">
        <f>SUMIF('Quarterly Data'!$B:$B,'Annual Data'!$A23,'Quarterly Data'!H:H)</f>
        <v>259009</v>
      </c>
      <c r="G23">
        <f>SUMIF('Quarterly Data'!$B:$B,'Annual Data'!$A23,'Quarterly Data'!I:I)</f>
        <v>132622.68000000002</v>
      </c>
      <c r="H23">
        <f>SUMIF('Quarterly Data'!$B:$B,'Annual Data'!$A23,'Quarterly Data'!J:J)</f>
        <v>288769</v>
      </c>
      <c r="I23">
        <f>SUMIF('Quarterly Data'!$B:$B,'Annual Data'!$A23,'Quarterly Data'!K:K)</f>
        <v>120195.90999999999</v>
      </c>
      <c r="J23">
        <f>SUMIF('Quarterly Data'!$B:$B,'Annual Data'!$A23,'Quarterly Data'!L:L)</f>
        <v>1349436.2</v>
      </c>
      <c r="K23">
        <f>AVERAGEIF('Quarterly Data'!$B:$B,'Annual Data'!$A23,'Quarterly Data'!M:M)</f>
        <v>26091.83</v>
      </c>
      <c r="L23">
        <f>AVERAGEIF('Quarterly Data'!$B:$B,'Annual Data'!$A23,'Quarterly Data'!N:N)</f>
        <v>33.77308</v>
      </c>
      <c r="M23">
        <f>AVERAGEIF('Quarterly Data'!$B:$B,'Annual Data'!$A23,'Quarterly Data'!O:O)</f>
        <v>341767.77500000002</v>
      </c>
      <c r="N23">
        <f>AVERAGEIF('Quarterly Data'!$B:$B,'Annual Data'!$A23,'Quarterly Data'!P:P)</f>
        <v>37327.732499999998</v>
      </c>
      <c r="O23">
        <f>AVERAGEIF('Quarterly Data'!$B:$B,'Annual Data'!$A23,'Quarterly Data'!Q:Q)</f>
        <v>1489091</v>
      </c>
      <c r="P23">
        <f>SUMIF('Quarterly Data'!$B:$B,'Annual Data'!$A23,'Quarterly Data'!R:R)</f>
        <v>-7.2198229999999999</v>
      </c>
      <c r="Q23">
        <f>SUMIF('Quarterly Data'!$B:$B,'Annual Data'!$A23,'Quarterly Data'!S:S)</f>
        <v>1394928</v>
      </c>
      <c r="R23">
        <f>AVERAGEIF('Quarterly Data'!$B:$B,'Annual Data'!$A23,'Quarterly Data'!T:T)</f>
        <v>52.216670000000001</v>
      </c>
      <c r="S23">
        <f>SUMIF('Quarterly Data'!$B:$B,'Annual Data'!$A23,'Quarterly Data'!U:U)</f>
        <v>250957</v>
      </c>
      <c r="T23">
        <f>SUMIF('Quarterly Data'!$B:$B,'Annual Data'!$A23,'Quarterly Data'!V:V)</f>
        <v>104794.67</v>
      </c>
      <c r="U23">
        <f>SUMIF('Quarterly Data'!$B:$B,'Annual Data'!$A23,'Quarterly Data'!W:W)</f>
        <v>259009</v>
      </c>
      <c r="V23">
        <f>SUMIF('Quarterly Data'!$B:$B,'Annual Data'!$A23,'Quarterly Data'!X:X)</f>
        <v>132622.68000000002</v>
      </c>
      <c r="W23">
        <f>SUMIF('Quarterly Data'!$B:$B,'Annual Data'!$A23,'Quarterly Data'!Y:Y)</f>
        <v>288769</v>
      </c>
      <c r="X23">
        <f>SUMIF('Quarterly Data'!$B:$B,'Annual Data'!$A23,'Quarterly Data'!Z:Z)</f>
        <v>120195.90999999999</v>
      </c>
      <c r="Y23">
        <f>SUMIF('Quarterly Data'!$B:$B,'Annual Data'!$A23,'Quarterly Data'!AA:AA)</f>
        <v>1349436.2</v>
      </c>
      <c r="Z23">
        <f>AVERAGEIF('Quarterly Data'!$B:$B,'Annual Data'!$A23,'Quarterly Data'!AB:AB)</f>
        <v>26091.83</v>
      </c>
      <c r="AA23">
        <f>AVERAGEIF('Quarterly Data'!$B:$B,'Annual Data'!$A23,'Quarterly Data'!AC:AC)</f>
        <v>33.77308</v>
      </c>
      <c r="AB23">
        <f>AVERAGEIF('Quarterly Data'!$B:$B,'Annual Data'!$A23,'Quarterly Data'!AD:AD)</f>
        <v>341767.77500000002</v>
      </c>
      <c r="AC23">
        <f>AVERAGEIF('Quarterly Data'!$B:$B,'Annual Data'!$A23,'Quarterly Data'!AE:AE)</f>
        <v>37327.732499999998</v>
      </c>
      <c r="AD23">
        <f>AVERAGEIF('Quarterly Data'!$B:$B,'Annual Data'!$A23,'Quarterly Data'!AF:AF)</f>
        <v>1489091</v>
      </c>
      <c r="AE23">
        <f>SUMIF('Quarterly Data'!$B:$B,'Annual Data'!$A23,'Quarterly Data'!AG:AG)</f>
        <v>-7.2198229999999999</v>
      </c>
    </row>
    <row r="24" spans="1:31" x14ac:dyDescent="0.25">
      <c r="A24">
        <v>1990</v>
      </c>
      <c r="B24">
        <f>SUMIF('Quarterly Data'!$B:$B,'Annual Data'!$A24,'Quarterly Data'!D:D)</f>
        <v>1402748</v>
      </c>
      <c r="C24">
        <f>AVERAGEIF('Quarterly Data'!$B:$B,'Annual Data'!$A24,'Quarterly Data'!E:E)</f>
        <v>55.85</v>
      </c>
      <c r="D24">
        <f>SUMIF('Quarterly Data'!$B:$B,'Annual Data'!$A24,'Quarterly Data'!F:F)</f>
        <v>263922</v>
      </c>
      <c r="E24">
        <f>SUMIF('Quarterly Data'!$B:$B,'Annual Data'!$A24,'Quarterly Data'!G:G)</f>
        <v>110549.29000000001</v>
      </c>
      <c r="F24">
        <f>SUMIF('Quarterly Data'!$B:$B,'Annual Data'!$A24,'Quarterly Data'!H:H)</f>
        <v>260060</v>
      </c>
      <c r="G24">
        <f>SUMIF('Quarterly Data'!$B:$B,'Annual Data'!$A24,'Quarterly Data'!I:I)</f>
        <v>127354.45999999999</v>
      </c>
      <c r="H24">
        <f>SUMIF('Quarterly Data'!$B:$B,'Annual Data'!$A24,'Quarterly Data'!J:J)</f>
        <v>281334</v>
      </c>
      <c r="I24">
        <f>SUMIF('Quarterly Data'!$B:$B,'Annual Data'!$A24,'Quarterly Data'!K:K)</f>
        <v>120112.23999999999</v>
      </c>
      <c r="J24">
        <f>SUMIF('Quarterly Data'!$B:$B,'Annual Data'!$A24,'Quarterly Data'!L:L)</f>
        <v>1385653.3</v>
      </c>
      <c r="K24">
        <f>AVERAGEIF('Quarterly Data'!$B:$B,'Annual Data'!$A24,'Quarterly Data'!M:M)</f>
        <v>26176.672500000001</v>
      </c>
      <c r="L24">
        <f>AVERAGEIF('Quarterly Data'!$B:$B,'Annual Data'!$A24,'Quarterly Data'!N:N)</f>
        <v>33.607122500000003</v>
      </c>
      <c r="M24">
        <f>AVERAGEIF('Quarterly Data'!$B:$B,'Annual Data'!$A24,'Quarterly Data'!O:O)</f>
        <v>346213.42500000005</v>
      </c>
      <c r="N24">
        <f>AVERAGEIF('Quarterly Data'!$B:$B,'Annual Data'!$A24,'Quarterly Data'!P:P)</f>
        <v>37358.555</v>
      </c>
      <c r="O24">
        <f>AVERAGEIF('Quarterly Data'!$B:$B,'Annual Data'!$A24,'Quarterly Data'!Q:Q)</f>
        <v>1546268.5</v>
      </c>
      <c r="P24">
        <f>SUMIF('Quarterly Data'!$B:$B,'Annual Data'!$A24,'Quarterly Data'!R:R)</f>
        <v>-7.175711999999999</v>
      </c>
      <c r="Q24">
        <f>SUMIF('Quarterly Data'!$B:$B,'Annual Data'!$A24,'Quarterly Data'!S:S)</f>
        <v>1402748</v>
      </c>
      <c r="R24">
        <f>AVERAGEIF('Quarterly Data'!$B:$B,'Annual Data'!$A24,'Quarterly Data'!T:T)</f>
        <v>55.85</v>
      </c>
      <c r="S24">
        <f>SUMIF('Quarterly Data'!$B:$B,'Annual Data'!$A24,'Quarterly Data'!U:U)</f>
        <v>263922</v>
      </c>
      <c r="T24">
        <f>SUMIF('Quarterly Data'!$B:$B,'Annual Data'!$A24,'Quarterly Data'!V:V)</f>
        <v>110549.29000000001</v>
      </c>
      <c r="U24">
        <f>SUMIF('Quarterly Data'!$B:$B,'Annual Data'!$A24,'Quarterly Data'!W:W)</f>
        <v>260060</v>
      </c>
      <c r="V24">
        <f>SUMIF('Quarterly Data'!$B:$B,'Annual Data'!$A24,'Quarterly Data'!X:X)</f>
        <v>127354.45999999999</v>
      </c>
      <c r="W24">
        <f>SUMIF('Quarterly Data'!$B:$B,'Annual Data'!$A24,'Quarterly Data'!Y:Y)</f>
        <v>281334</v>
      </c>
      <c r="X24">
        <f>SUMIF('Quarterly Data'!$B:$B,'Annual Data'!$A24,'Quarterly Data'!Z:Z)</f>
        <v>120112.23999999999</v>
      </c>
      <c r="Y24">
        <f>SUMIF('Quarterly Data'!$B:$B,'Annual Data'!$A24,'Quarterly Data'!AA:AA)</f>
        <v>1385653.3</v>
      </c>
      <c r="Z24">
        <f>AVERAGEIF('Quarterly Data'!$B:$B,'Annual Data'!$A24,'Quarterly Data'!AB:AB)</f>
        <v>26176.672500000001</v>
      </c>
      <c r="AA24">
        <f>AVERAGEIF('Quarterly Data'!$B:$B,'Annual Data'!$A24,'Quarterly Data'!AC:AC)</f>
        <v>33.607122500000003</v>
      </c>
      <c r="AB24">
        <f>AVERAGEIF('Quarterly Data'!$B:$B,'Annual Data'!$A24,'Quarterly Data'!AD:AD)</f>
        <v>346213.42500000005</v>
      </c>
      <c r="AC24">
        <f>AVERAGEIF('Quarterly Data'!$B:$B,'Annual Data'!$A24,'Quarterly Data'!AE:AE)</f>
        <v>37358.555</v>
      </c>
      <c r="AD24">
        <f>AVERAGEIF('Quarterly Data'!$B:$B,'Annual Data'!$A24,'Quarterly Data'!AF:AF)</f>
        <v>1546268.5</v>
      </c>
      <c r="AE24">
        <f>SUMIF('Quarterly Data'!$B:$B,'Annual Data'!$A24,'Quarterly Data'!AG:AG)</f>
        <v>-7.175711999999999</v>
      </c>
    </row>
    <row r="25" spans="1:31" x14ac:dyDescent="0.25">
      <c r="A25">
        <v>1991</v>
      </c>
      <c r="B25">
        <f>SUMIF('Quarterly Data'!$B:$B,'Annual Data'!$A25,'Quarterly Data'!D:D)</f>
        <v>1383043</v>
      </c>
      <c r="C25">
        <f>AVERAGEIF('Quarterly Data'!$B:$B,'Annual Data'!$A25,'Quarterly Data'!E:E)</f>
        <v>60.058335</v>
      </c>
      <c r="D25">
        <f>SUMIF('Quarterly Data'!$B:$B,'Annual Data'!$A25,'Quarterly Data'!F:F)</f>
        <v>263361</v>
      </c>
      <c r="E25">
        <f>SUMIF('Quarterly Data'!$B:$B,'Annual Data'!$A25,'Quarterly Data'!G:G)</f>
        <v>113351.06</v>
      </c>
      <c r="F25">
        <f>SUMIF('Quarterly Data'!$B:$B,'Annual Data'!$A25,'Quarterly Data'!H:H)</f>
        <v>248334</v>
      </c>
      <c r="G25">
        <f>SUMIF('Quarterly Data'!$B:$B,'Annual Data'!$A25,'Quarterly Data'!I:I)</f>
        <v>115230.68</v>
      </c>
      <c r="H25">
        <f>SUMIF('Quarterly Data'!$B:$B,'Annual Data'!$A25,'Quarterly Data'!J:J)</f>
        <v>258993</v>
      </c>
      <c r="I25">
        <f>SUMIF('Quarterly Data'!$B:$B,'Annual Data'!$A25,'Quarterly Data'!K:K)</f>
        <v>110492.12</v>
      </c>
      <c r="J25">
        <f>SUMIF('Quarterly Data'!$B:$B,'Annual Data'!$A25,'Quarterly Data'!L:L)</f>
        <v>1404835.4999999998</v>
      </c>
      <c r="K25">
        <f>AVERAGEIF('Quarterly Data'!$B:$B,'Annual Data'!$A25,'Quarterly Data'!M:M)</f>
        <v>25966.485000000001</v>
      </c>
      <c r="L25">
        <f>AVERAGEIF('Quarterly Data'!$B:$B,'Annual Data'!$A25,'Quarterly Data'!N:N)</f>
        <v>33.192217499999998</v>
      </c>
      <c r="M25">
        <f>AVERAGEIF('Quarterly Data'!$B:$B,'Annual Data'!$A25,'Quarterly Data'!O:O)</f>
        <v>350307.55000000005</v>
      </c>
      <c r="N25">
        <f>AVERAGEIF('Quarterly Data'!$B:$B,'Annual Data'!$A25,'Quarterly Data'!P:P)</f>
        <v>37364.492499999993</v>
      </c>
      <c r="O25">
        <f>AVERAGEIF('Quarterly Data'!$B:$B,'Annual Data'!$A25,'Quarterly Data'!Q:Q)</f>
        <v>1600385.25</v>
      </c>
      <c r="P25">
        <f>SUMIF('Quarterly Data'!$B:$B,'Annual Data'!$A25,'Quarterly Data'!R:R)</f>
        <v>-7.1318699999999993</v>
      </c>
      <c r="Q25">
        <f>SUMIF('Quarterly Data'!$B:$B,'Annual Data'!$A25,'Quarterly Data'!S:S)</f>
        <v>1383043</v>
      </c>
      <c r="R25">
        <f>AVERAGEIF('Quarterly Data'!$B:$B,'Annual Data'!$A25,'Quarterly Data'!T:T)</f>
        <v>60.058335</v>
      </c>
      <c r="S25">
        <f>SUMIF('Quarterly Data'!$B:$B,'Annual Data'!$A25,'Quarterly Data'!U:U)</f>
        <v>263361</v>
      </c>
      <c r="T25">
        <f>SUMIF('Quarterly Data'!$B:$B,'Annual Data'!$A25,'Quarterly Data'!V:V)</f>
        <v>113351.06</v>
      </c>
      <c r="U25">
        <f>SUMIF('Quarterly Data'!$B:$B,'Annual Data'!$A25,'Quarterly Data'!W:W)</f>
        <v>248334</v>
      </c>
      <c r="V25">
        <f>SUMIF('Quarterly Data'!$B:$B,'Annual Data'!$A25,'Quarterly Data'!X:X)</f>
        <v>115230.68</v>
      </c>
      <c r="W25">
        <f>SUMIF('Quarterly Data'!$B:$B,'Annual Data'!$A25,'Quarterly Data'!Y:Y)</f>
        <v>258993</v>
      </c>
      <c r="X25">
        <f>SUMIF('Quarterly Data'!$B:$B,'Annual Data'!$A25,'Quarterly Data'!Z:Z)</f>
        <v>110492.12</v>
      </c>
      <c r="Y25">
        <f>SUMIF('Quarterly Data'!$B:$B,'Annual Data'!$A25,'Quarterly Data'!AA:AA)</f>
        <v>1404835.4999999998</v>
      </c>
      <c r="Z25">
        <f>AVERAGEIF('Quarterly Data'!$B:$B,'Annual Data'!$A25,'Quarterly Data'!AB:AB)</f>
        <v>25966.485000000001</v>
      </c>
      <c r="AA25">
        <f>AVERAGEIF('Quarterly Data'!$B:$B,'Annual Data'!$A25,'Quarterly Data'!AC:AC)</f>
        <v>33.192217499999998</v>
      </c>
      <c r="AB25">
        <f>AVERAGEIF('Quarterly Data'!$B:$B,'Annual Data'!$A25,'Quarterly Data'!AD:AD)</f>
        <v>350307.55000000005</v>
      </c>
      <c r="AC25">
        <f>AVERAGEIF('Quarterly Data'!$B:$B,'Annual Data'!$A25,'Quarterly Data'!AE:AE)</f>
        <v>37364.492499999993</v>
      </c>
      <c r="AD25">
        <f>AVERAGEIF('Quarterly Data'!$B:$B,'Annual Data'!$A25,'Quarterly Data'!AF:AF)</f>
        <v>1600385.25</v>
      </c>
      <c r="AE25">
        <f>SUMIF('Quarterly Data'!$B:$B,'Annual Data'!$A25,'Quarterly Data'!AG:AG)</f>
        <v>-7.1318699999999993</v>
      </c>
    </row>
    <row r="26" spans="1:31" x14ac:dyDescent="0.25">
      <c r="A26">
        <v>1992</v>
      </c>
      <c r="B26">
        <f>SUMIF('Quarterly Data'!$B:$B,'Annual Data'!$A26,'Quarterly Data'!D:D)</f>
        <v>1386437</v>
      </c>
      <c r="C26">
        <f>AVERAGEIF('Quarterly Data'!$B:$B,'Annual Data'!$A26,'Quarterly Data'!E:E)</f>
        <v>62.6</v>
      </c>
      <c r="D26">
        <f>SUMIF('Quarterly Data'!$B:$B,'Annual Data'!$A26,'Quarterly Data'!F:F)</f>
        <v>274731</v>
      </c>
      <c r="E26">
        <f>SUMIF('Quarterly Data'!$B:$B,'Annual Data'!$A26,'Quarterly Data'!G:G)</f>
        <v>114504.63999999998</v>
      </c>
      <c r="F26">
        <f>SUMIF('Quarterly Data'!$B:$B,'Annual Data'!$A26,'Quarterly Data'!H:H)</f>
        <v>264594</v>
      </c>
      <c r="G26">
        <f>SUMIF('Quarterly Data'!$B:$B,'Annual Data'!$A26,'Quarterly Data'!I:I)</f>
        <v>127649.60000000001</v>
      </c>
      <c r="H26">
        <f>SUMIF('Quarterly Data'!$B:$B,'Annual Data'!$A26,'Quarterly Data'!J:J)</f>
        <v>254824</v>
      </c>
      <c r="I26">
        <f>SUMIF('Quarterly Data'!$B:$B,'Annual Data'!$A26,'Quarterly Data'!K:K)</f>
        <v>106318.42</v>
      </c>
      <c r="J26">
        <f>SUMIF('Quarterly Data'!$B:$B,'Annual Data'!$A26,'Quarterly Data'!L:L)</f>
        <v>1424319.6</v>
      </c>
      <c r="K26">
        <f>AVERAGEIF('Quarterly Data'!$B:$B,'Annual Data'!$A26,'Quarterly Data'!M:M)</f>
        <v>25667.157500000001</v>
      </c>
      <c r="L26">
        <f>AVERAGEIF('Quarterly Data'!$B:$B,'Annual Data'!$A26,'Quarterly Data'!N:N)</f>
        <v>33.076295000000002</v>
      </c>
      <c r="M26">
        <f>AVERAGEIF('Quarterly Data'!$B:$B,'Annual Data'!$A26,'Quarterly Data'!O:O)</f>
        <v>353919.65</v>
      </c>
      <c r="N26">
        <f>AVERAGEIF('Quarterly Data'!$B:$B,'Annual Data'!$A26,'Quarterly Data'!P:P)</f>
        <v>37339.07</v>
      </c>
      <c r="O26">
        <f>AVERAGEIF('Quarterly Data'!$B:$B,'Annual Data'!$A26,'Quarterly Data'!Q:Q)</f>
        <v>1638555.75</v>
      </c>
      <c r="P26">
        <f>SUMIF('Quarterly Data'!$B:$B,'Annual Data'!$A26,'Quarterly Data'!R:R)</f>
        <v>-7.088298</v>
      </c>
      <c r="Q26">
        <f>SUMIF('Quarterly Data'!$B:$B,'Annual Data'!$A26,'Quarterly Data'!S:S)</f>
        <v>1386437</v>
      </c>
      <c r="R26">
        <f>AVERAGEIF('Quarterly Data'!$B:$B,'Annual Data'!$A26,'Quarterly Data'!T:T)</f>
        <v>62.6</v>
      </c>
      <c r="S26">
        <f>SUMIF('Quarterly Data'!$B:$B,'Annual Data'!$A26,'Quarterly Data'!U:U)</f>
        <v>274731</v>
      </c>
      <c r="T26">
        <f>SUMIF('Quarterly Data'!$B:$B,'Annual Data'!$A26,'Quarterly Data'!V:V)</f>
        <v>114504.63999999998</v>
      </c>
      <c r="U26">
        <f>SUMIF('Quarterly Data'!$B:$B,'Annual Data'!$A26,'Quarterly Data'!W:W)</f>
        <v>264594</v>
      </c>
      <c r="V26">
        <f>SUMIF('Quarterly Data'!$B:$B,'Annual Data'!$A26,'Quarterly Data'!X:X)</f>
        <v>127649.60000000001</v>
      </c>
      <c r="W26">
        <f>SUMIF('Quarterly Data'!$B:$B,'Annual Data'!$A26,'Quarterly Data'!Y:Y)</f>
        <v>254824</v>
      </c>
      <c r="X26">
        <f>SUMIF('Quarterly Data'!$B:$B,'Annual Data'!$A26,'Quarterly Data'!Z:Z)</f>
        <v>106318.42</v>
      </c>
      <c r="Y26">
        <f>SUMIF('Quarterly Data'!$B:$B,'Annual Data'!$A26,'Quarterly Data'!AA:AA)</f>
        <v>1424319.6</v>
      </c>
      <c r="Z26">
        <f>AVERAGEIF('Quarterly Data'!$B:$B,'Annual Data'!$A26,'Quarterly Data'!AB:AB)</f>
        <v>25667.157500000001</v>
      </c>
      <c r="AA26">
        <f>AVERAGEIF('Quarterly Data'!$B:$B,'Annual Data'!$A26,'Quarterly Data'!AC:AC)</f>
        <v>33.076295000000002</v>
      </c>
      <c r="AB26">
        <f>AVERAGEIF('Quarterly Data'!$B:$B,'Annual Data'!$A26,'Quarterly Data'!AD:AD)</f>
        <v>353919.65</v>
      </c>
      <c r="AC26">
        <f>AVERAGEIF('Quarterly Data'!$B:$B,'Annual Data'!$A26,'Quarterly Data'!AE:AE)</f>
        <v>37339.07</v>
      </c>
      <c r="AD26">
        <f>AVERAGEIF('Quarterly Data'!$B:$B,'Annual Data'!$A26,'Quarterly Data'!AF:AF)</f>
        <v>1638555.75</v>
      </c>
      <c r="AE26">
        <f>SUMIF('Quarterly Data'!$B:$B,'Annual Data'!$A26,'Quarterly Data'!AG:AG)</f>
        <v>-7.088298</v>
      </c>
    </row>
    <row r="27" spans="1:31" x14ac:dyDescent="0.25">
      <c r="A27">
        <v>1993</v>
      </c>
      <c r="B27">
        <f>SUMIF('Quarterly Data'!$B:$B,'Annual Data'!$A27,'Quarterly Data'!D:D)</f>
        <v>1417763</v>
      </c>
      <c r="C27">
        <f>AVERAGEIF('Quarterly Data'!$B:$B,'Annual Data'!$A27,'Quarterly Data'!E:E)</f>
        <v>64.199997499999995</v>
      </c>
      <c r="D27">
        <f>SUMIF('Quarterly Data'!$B:$B,'Annual Data'!$A27,'Quarterly Data'!F:F)</f>
        <v>286534</v>
      </c>
      <c r="E27">
        <f>SUMIF('Quarterly Data'!$B:$B,'Annual Data'!$A27,'Quarterly Data'!G:G)</f>
        <v>110858.91</v>
      </c>
      <c r="F27">
        <f>SUMIF('Quarterly Data'!$B:$B,'Annual Data'!$A27,'Quarterly Data'!H:H)</f>
        <v>272834</v>
      </c>
      <c r="G27">
        <f>SUMIF('Quarterly Data'!$B:$B,'Annual Data'!$A27,'Quarterly Data'!I:I)</f>
        <v>134817.69</v>
      </c>
      <c r="H27">
        <f>SUMIF('Quarterly Data'!$B:$B,'Annual Data'!$A27,'Quarterly Data'!J:J)</f>
        <v>256774</v>
      </c>
      <c r="I27">
        <f>SUMIF('Quarterly Data'!$B:$B,'Annual Data'!$A27,'Quarterly Data'!K:K)</f>
        <v>102456.87</v>
      </c>
      <c r="J27">
        <f>SUMIF('Quarterly Data'!$B:$B,'Annual Data'!$A27,'Quarterly Data'!L:L)</f>
        <v>1447569</v>
      </c>
      <c r="K27">
        <f>AVERAGEIF('Quarterly Data'!$B:$B,'Annual Data'!$A27,'Quarterly Data'!M:M)</f>
        <v>25571.1175</v>
      </c>
      <c r="L27">
        <f>AVERAGEIF('Quarterly Data'!$B:$B,'Annual Data'!$A27,'Quarterly Data'!N:N)</f>
        <v>33</v>
      </c>
      <c r="M27">
        <f>AVERAGEIF('Quarterly Data'!$B:$B,'Annual Data'!$A27,'Quarterly Data'!O:O)</f>
        <v>357272.07499999995</v>
      </c>
      <c r="N27">
        <f>AVERAGEIF('Quarterly Data'!$B:$B,'Annual Data'!$A27,'Quarterly Data'!P:P)</f>
        <v>37349.410000000003</v>
      </c>
      <c r="O27">
        <f>AVERAGEIF('Quarterly Data'!$B:$B,'Annual Data'!$A27,'Quarterly Data'!Q:Q)</f>
        <v>1669415.5</v>
      </c>
      <c r="P27">
        <f>SUMIF('Quarterly Data'!$B:$B,'Annual Data'!$A27,'Quarterly Data'!R:R)</f>
        <v>-7.0449899999999985</v>
      </c>
      <c r="Q27">
        <f>SUMIF('Quarterly Data'!$B:$B,'Annual Data'!$A27,'Quarterly Data'!S:S)</f>
        <v>1417763</v>
      </c>
      <c r="R27">
        <f>AVERAGEIF('Quarterly Data'!$B:$B,'Annual Data'!$A27,'Quarterly Data'!T:T)</f>
        <v>64.199997499999995</v>
      </c>
      <c r="S27">
        <f>SUMIF('Quarterly Data'!$B:$B,'Annual Data'!$A27,'Quarterly Data'!U:U)</f>
        <v>286534</v>
      </c>
      <c r="T27">
        <f>SUMIF('Quarterly Data'!$B:$B,'Annual Data'!$A27,'Quarterly Data'!V:V)</f>
        <v>110858.91</v>
      </c>
      <c r="U27">
        <f>SUMIF('Quarterly Data'!$B:$B,'Annual Data'!$A27,'Quarterly Data'!W:W)</f>
        <v>272834</v>
      </c>
      <c r="V27">
        <f>SUMIF('Quarterly Data'!$B:$B,'Annual Data'!$A27,'Quarterly Data'!X:X)</f>
        <v>134817.69</v>
      </c>
      <c r="W27">
        <f>SUMIF('Quarterly Data'!$B:$B,'Annual Data'!$A27,'Quarterly Data'!Y:Y)</f>
        <v>256774</v>
      </c>
      <c r="X27">
        <f>SUMIF('Quarterly Data'!$B:$B,'Annual Data'!$A27,'Quarterly Data'!Z:Z)</f>
        <v>102456.87</v>
      </c>
      <c r="Y27">
        <f>SUMIF('Quarterly Data'!$B:$B,'Annual Data'!$A27,'Quarterly Data'!AA:AA)</f>
        <v>1447569</v>
      </c>
      <c r="Z27">
        <f>AVERAGEIF('Quarterly Data'!$B:$B,'Annual Data'!$A27,'Quarterly Data'!AB:AB)</f>
        <v>25571.1175</v>
      </c>
      <c r="AA27">
        <f>AVERAGEIF('Quarterly Data'!$B:$B,'Annual Data'!$A27,'Quarterly Data'!AC:AC)</f>
        <v>33</v>
      </c>
      <c r="AB27">
        <f>AVERAGEIF('Quarterly Data'!$B:$B,'Annual Data'!$A27,'Quarterly Data'!AD:AD)</f>
        <v>357272.07499999995</v>
      </c>
      <c r="AC27">
        <f>AVERAGEIF('Quarterly Data'!$B:$B,'Annual Data'!$A27,'Quarterly Data'!AE:AE)</f>
        <v>37349.410000000003</v>
      </c>
      <c r="AD27">
        <f>AVERAGEIF('Quarterly Data'!$B:$B,'Annual Data'!$A27,'Quarterly Data'!AF:AF)</f>
        <v>1669415.5</v>
      </c>
      <c r="AE27">
        <f>SUMIF('Quarterly Data'!$B:$B,'Annual Data'!$A27,'Quarterly Data'!AG:AG)</f>
        <v>-7.0449899999999985</v>
      </c>
    </row>
    <row r="28" spans="1:31" x14ac:dyDescent="0.25">
      <c r="A28">
        <v>1994</v>
      </c>
      <c r="B28">
        <f>SUMIF('Quarterly Data'!$B:$B,'Annual Data'!$A28,'Quarterly Data'!D:D)</f>
        <v>1466101</v>
      </c>
      <c r="C28">
        <f>AVERAGEIF('Quarterly Data'!$B:$B,'Annual Data'!$A28,'Quarterly Data'!E:E)</f>
        <v>65.475000000000009</v>
      </c>
      <c r="D28">
        <f>SUMIF('Quarterly Data'!$B:$B,'Annual Data'!$A28,'Quarterly Data'!F:F)</f>
        <v>312148</v>
      </c>
      <c r="E28">
        <f>SUMIF('Quarterly Data'!$B:$B,'Annual Data'!$A28,'Quarterly Data'!G:G)</f>
        <v>118882.87</v>
      </c>
      <c r="F28">
        <f>SUMIF('Quarterly Data'!$B:$B,'Annual Data'!$A28,'Quarterly Data'!H:H)</f>
        <v>288490</v>
      </c>
      <c r="G28">
        <f>SUMIF('Quarterly Data'!$B:$B,'Annual Data'!$A28,'Quarterly Data'!I:I)</f>
        <v>151604.41</v>
      </c>
      <c r="H28">
        <f>SUMIF('Quarterly Data'!$B:$B,'Annual Data'!$A28,'Quarterly Data'!J:J)</f>
        <v>260971</v>
      </c>
      <c r="I28">
        <f>SUMIF('Quarterly Data'!$B:$B,'Annual Data'!$A28,'Quarterly Data'!K:K)</f>
        <v>107467.23</v>
      </c>
      <c r="J28">
        <f>SUMIF('Quarterly Data'!$B:$B,'Annual Data'!$A28,'Quarterly Data'!L:L)</f>
        <v>1485261.5</v>
      </c>
      <c r="K28">
        <f>AVERAGEIF('Quarterly Data'!$B:$B,'Annual Data'!$A28,'Quarterly Data'!M:M)</f>
        <v>25629.674999999999</v>
      </c>
      <c r="L28">
        <f>AVERAGEIF('Quarterly Data'!$B:$B,'Annual Data'!$A28,'Quarterly Data'!N:N)</f>
        <v>33.225000000000001</v>
      </c>
      <c r="M28">
        <f>AVERAGEIF('Quarterly Data'!$B:$B,'Annual Data'!$A28,'Quarterly Data'!O:O)</f>
        <v>360583.75</v>
      </c>
      <c r="N28">
        <f>AVERAGEIF('Quarterly Data'!$B:$B,'Annual Data'!$A28,'Quarterly Data'!P:P)</f>
        <v>37433.702499999999</v>
      </c>
      <c r="O28">
        <f>AVERAGEIF('Quarterly Data'!$B:$B,'Annual Data'!$A28,'Quarterly Data'!Q:Q)</f>
        <v>1704154.75</v>
      </c>
      <c r="P28">
        <f>SUMIF('Quarterly Data'!$B:$B,'Annual Data'!$A28,'Quarterly Data'!R:R)</f>
        <v>-7.0019480000000005</v>
      </c>
      <c r="Q28">
        <f>SUMIF('Quarterly Data'!$B:$B,'Annual Data'!$A28,'Quarterly Data'!S:S)</f>
        <v>1466101</v>
      </c>
      <c r="R28">
        <f>AVERAGEIF('Quarterly Data'!$B:$B,'Annual Data'!$A28,'Quarterly Data'!T:T)</f>
        <v>65.475000000000009</v>
      </c>
      <c r="S28">
        <f>SUMIF('Quarterly Data'!$B:$B,'Annual Data'!$A28,'Quarterly Data'!U:U)</f>
        <v>312148</v>
      </c>
      <c r="T28">
        <f>SUMIF('Quarterly Data'!$B:$B,'Annual Data'!$A28,'Quarterly Data'!V:V)</f>
        <v>118882.87</v>
      </c>
      <c r="U28">
        <f>SUMIF('Quarterly Data'!$B:$B,'Annual Data'!$A28,'Quarterly Data'!W:W)</f>
        <v>288490</v>
      </c>
      <c r="V28">
        <f>SUMIF('Quarterly Data'!$B:$B,'Annual Data'!$A28,'Quarterly Data'!X:X)</f>
        <v>151604.41</v>
      </c>
      <c r="W28">
        <f>SUMIF('Quarterly Data'!$B:$B,'Annual Data'!$A28,'Quarterly Data'!Y:Y)</f>
        <v>260971</v>
      </c>
      <c r="X28">
        <f>SUMIF('Quarterly Data'!$B:$B,'Annual Data'!$A28,'Quarterly Data'!Z:Z)</f>
        <v>107467.23</v>
      </c>
      <c r="Y28">
        <f>SUMIF('Quarterly Data'!$B:$B,'Annual Data'!$A28,'Quarterly Data'!AA:AA)</f>
        <v>1485261.5</v>
      </c>
      <c r="Z28">
        <f>AVERAGEIF('Quarterly Data'!$B:$B,'Annual Data'!$A28,'Quarterly Data'!AB:AB)</f>
        <v>25629.674999999999</v>
      </c>
      <c r="AA28">
        <f>AVERAGEIF('Quarterly Data'!$B:$B,'Annual Data'!$A28,'Quarterly Data'!AC:AC)</f>
        <v>33.225000000000001</v>
      </c>
      <c r="AB28">
        <f>AVERAGEIF('Quarterly Data'!$B:$B,'Annual Data'!$A28,'Quarterly Data'!AD:AD)</f>
        <v>360583.75</v>
      </c>
      <c r="AC28">
        <f>AVERAGEIF('Quarterly Data'!$B:$B,'Annual Data'!$A28,'Quarterly Data'!AE:AE)</f>
        <v>37433.702499999999</v>
      </c>
      <c r="AD28">
        <f>AVERAGEIF('Quarterly Data'!$B:$B,'Annual Data'!$A28,'Quarterly Data'!AF:AF)</f>
        <v>1704154.75</v>
      </c>
      <c r="AE28">
        <f>SUMIF('Quarterly Data'!$B:$B,'Annual Data'!$A28,'Quarterly Data'!AG:AG)</f>
        <v>-7.0019480000000005</v>
      </c>
    </row>
    <row r="29" spans="1:31" x14ac:dyDescent="0.25">
      <c r="A29">
        <v>1995</v>
      </c>
      <c r="B29">
        <f>SUMIF('Quarterly Data'!$B:$B,'Annual Data'!$A29,'Quarterly Data'!D:D)</f>
        <v>1501088</v>
      </c>
      <c r="C29">
        <f>AVERAGEIF('Quarterly Data'!$B:$B,'Annual Data'!$A29,'Quarterly Data'!E:E)</f>
        <v>67.183335</v>
      </c>
      <c r="D29">
        <f>SUMIF('Quarterly Data'!$B:$B,'Annual Data'!$A29,'Quarterly Data'!F:F)</f>
        <v>340271</v>
      </c>
      <c r="E29">
        <f>SUMIF('Quarterly Data'!$B:$B,'Annual Data'!$A29,'Quarterly Data'!G:G)</f>
        <v>142504.35999999999</v>
      </c>
      <c r="F29">
        <f>SUMIF('Quarterly Data'!$B:$B,'Annual Data'!$A29,'Quarterly Data'!H:H)</f>
        <v>303862</v>
      </c>
      <c r="G29">
        <f>SUMIF('Quarterly Data'!$B:$B,'Annual Data'!$A29,'Quarterly Data'!I:I)</f>
        <v>168782.83000000002</v>
      </c>
      <c r="H29">
        <f>SUMIF('Quarterly Data'!$B:$B,'Annual Data'!$A29,'Quarterly Data'!J:J)</f>
        <v>259687</v>
      </c>
      <c r="I29">
        <f>SUMIF('Quarterly Data'!$B:$B,'Annual Data'!$A29,'Quarterly Data'!K:K)</f>
        <v>115800.17000000001</v>
      </c>
      <c r="J29">
        <f>SUMIF('Quarterly Data'!$B:$B,'Annual Data'!$A29,'Quarterly Data'!L:L)</f>
        <v>1523504.6</v>
      </c>
      <c r="K29">
        <f>AVERAGEIF('Quarterly Data'!$B:$B,'Annual Data'!$A29,'Quarterly Data'!M:M)</f>
        <v>25810.102500000001</v>
      </c>
      <c r="L29">
        <f>AVERAGEIF('Quarterly Data'!$B:$B,'Annual Data'!$A29,'Quarterly Data'!N:N)</f>
        <v>33.25</v>
      </c>
      <c r="M29">
        <f>AVERAGEIF('Quarterly Data'!$B:$B,'Annual Data'!$A29,'Quarterly Data'!O:O)</f>
        <v>363847.52500000002</v>
      </c>
      <c r="N29">
        <f>AVERAGEIF('Quarterly Data'!$B:$B,'Annual Data'!$A29,'Quarterly Data'!P:P)</f>
        <v>37552.994999999995</v>
      </c>
      <c r="O29">
        <f>AVERAGEIF('Quarterly Data'!$B:$B,'Annual Data'!$A29,'Quarterly Data'!Q:Q)</f>
        <v>1744333.25</v>
      </c>
      <c r="P29">
        <f>SUMIF('Quarterly Data'!$B:$B,'Annual Data'!$A29,'Quarterly Data'!R:R)</f>
        <v>-6.959166999999999</v>
      </c>
      <c r="Q29">
        <f>SUMIF('Quarterly Data'!$B:$B,'Annual Data'!$A29,'Quarterly Data'!S:S)</f>
        <v>1501088</v>
      </c>
      <c r="R29">
        <f>AVERAGEIF('Quarterly Data'!$B:$B,'Annual Data'!$A29,'Quarterly Data'!T:T)</f>
        <v>67.183335</v>
      </c>
      <c r="S29">
        <f>SUMIF('Quarterly Data'!$B:$B,'Annual Data'!$A29,'Quarterly Data'!U:U)</f>
        <v>340271</v>
      </c>
      <c r="T29">
        <f>SUMIF('Quarterly Data'!$B:$B,'Annual Data'!$A29,'Quarterly Data'!V:V)</f>
        <v>142504.35999999999</v>
      </c>
      <c r="U29">
        <f>SUMIF('Quarterly Data'!$B:$B,'Annual Data'!$A29,'Quarterly Data'!W:W)</f>
        <v>303862</v>
      </c>
      <c r="V29">
        <f>SUMIF('Quarterly Data'!$B:$B,'Annual Data'!$A29,'Quarterly Data'!X:X)</f>
        <v>168782.83000000002</v>
      </c>
      <c r="W29">
        <f>SUMIF('Quarterly Data'!$B:$B,'Annual Data'!$A29,'Quarterly Data'!Y:Y)</f>
        <v>259687</v>
      </c>
      <c r="X29">
        <f>SUMIF('Quarterly Data'!$B:$B,'Annual Data'!$A29,'Quarterly Data'!Z:Z)</f>
        <v>115800.17000000001</v>
      </c>
      <c r="Y29">
        <f>SUMIF('Quarterly Data'!$B:$B,'Annual Data'!$A29,'Quarterly Data'!AA:AA)</f>
        <v>1523504.6</v>
      </c>
      <c r="Z29">
        <f>AVERAGEIF('Quarterly Data'!$B:$B,'Annual Data'!$A29,'Quarterly Data'!AB:AB)</f>
        <v>25810.102500000001</v>
      </c>
      <c r="AA29">
        <f>AVERAGEIF('Quarterly Data'!$B:$B,'Annual Data'!$A29,'Quarterly Data'!AC:AC)</f>
        <v>33.25</v>
      </c>
      <c r="AB29">
        <f>AVERAGEIF('Quarterly Data'!$B:$B,'Annual Data'!$A29,'Quarterly Data'!AD:AD)</f>
        <v>363847.52500000002</v>
      </c>
      <c r="AC29">
        <f>AVERAGEIF('Quarterly Data'!$B:$B,'Annual Data'!$A29,'Quarterly Data'!AE:AE)</f>
        <v>37552.994999999995</v>
      </c>
      <c r="AD29">
        <f>AVERAGEIF('Quarterly Data'!$B:$B,'Annual Data'!$A29,'Quarterly Data'!AF:AF)</f>
        <v>1744333.25</v>
      </c>
      <c r="AE29">
        <f>SUMIF('Quarterly Data'!$B:$B,'Annual Data'!$A29,'Quarterly Data'!AG:AG)</f>
        <v>-6.959166999999999</v>
      </c>
    </row>
    <row r="30" spans="1:31" x14ac:dyDescent="0.25">
      <c r="A30">
        <v>1996</v>
      </c>
      <c r="B30">
        <f>SUMIF('Quarterly Data'!$B:$B,'Annual Data'!$A30,'Quarterly Data'!D:D)</f>
        <v>1539846</v>
      </c>
      <c r="C30">
        <f>AVERAGEIF('Quarterly Data'!$B:$B,'Annual Data'!$A30,'Quarterly Data'!E:E)</f>
        <v>68.816667499999994</v>
      </c>
      <c r="D30">
        <f>SUMIF('Quarterly Data'!$B:$B,'Annual Data'!$A30,'Quarterly Data'!F:F)</f>
        <v>364436</v>
      </c>
      <c r="E30">
        <f>SUMIF('Quarterly Data'!$B:$B,'Annual Data'!$A30,'Quarterly Data'!G:G)</f>
        <v>161580.47999999998</v>
      </c>
      <c r="F30">
        <f>SUMIF('Quarterly Data'!$B:$B,'Annual Data'!$A30,'Quarterly Data'!H:H)</f>
        <v>331812</v>
      </c>
      <c r="G30">
        <f>SUMIF('Quarterly Data'!$B:$B,'Annual Data'!$A30,'Quarterly Data'!I:I)</f>
        <v>188912.97999999998</v>
      </c>
      <c r="H30">
        <f>SUMIF('Quarterly Data'!$B:$B,'Annual Data'!$A30,'Quarterly Data'!J:J)</f>
        <v>271805</v>
      </c>
      <c r="I30">
        <f>SUMIF('Quarterly Data'!$B:$B,'Annual Data'!$A30,'Quarterly Data'!K:K)</f>
        <v>127894.89000000001</v>
      </c>
      <c r="J30">
        <f>SUMIF('Quarterly Data'!$B:$B,'Annual Data'!$A30,'Quarterly Data'!L:L)</f>
        <v>1564487.5999999999</v>
      </c>
      <c r="K30">
        <f>AVERAGEIF('Quarterly Data'!$B:$B,'Annual Data'!$A30,'Quarterly Data'!M:M)</f>
        <v>26087.384999999998</v>
      </c>
      <c r="L30">
        <f>AVERAGEIF('Quarterly Data'!$B:$B,'Annual Data'!$A30,'Quarterly Data'!N:N)</f>
        <v>33.225000000000001</v>
      </c>
      <c r="M30">
        <f>AVERAGEIF('Quarterly Data'!$B:$B,'Annual Data'!$A30,'Quarterly Data'!O:O)</f>
        <v>366199.2</v>
      </c>
      <c r="N30">
        <f>AVERAGEIF('Quarterly Data'!$B:$B,'Annual Data'!$A30,'Quarterly Data'!P:P)</f>
        <v>37673.279999999999</v>
      </c>
      <c r="O30">
        <f>AVERAGEIF('Quarterly Data'!$B:$B,'Annual Data'!$A30,'Quarterly Data'!Q:Q)</f>
        <v>1787124</v>
      </c>
      <c r="P30">
        <f>SUMIF('Quarterly Data'!$B:$B,'Annual Data'!$A30,'Quarterly Data'!R:R)</f>
        <v>-6.9166489999999996</v>
      </c>
      <c r="Q30">
        <f>SUMIF('Quarterly Data'!$B:$B,'Annual Data'!$A30,'Quarterly Data'!S:S)</f>
        <v>1539846</v>
      </c>
      <c r="R30">
        <f>AVERAGEIF('Quarterly Data'!$B:$B,'Annual Data'!$A30,'Quarterly Data'!T:T)</f>
        <v>68.816667499999994</v>
      </c>
      <c r="S30">
        <f>SUMIF('Quarterly Data'!$B:$B,'Annual Data'!$A30,'Quarterly Data'!U:U)</f>
        <v>364436</v>
      </c>
      <c r="T30">
        <f>SUMIF('Quarterly Data'!$B:$B,'Annual Data'!$A30,'Quarterly Data'!V:V)</f>
        <v>161580.47999999998</v>
      </c>
      <c r="U30">
        <f>SUMIF('Quarterly Data'!$B:$B,'Annual Data'!$A30,'Quarterly Data'!W:W)</f>
        <v>331812</v>
      </c>
      <c r="V30">
        <f>SUMIF('Quarterly Data'!$B:$B,'Annual Data'!$A30,'Quarterly Data'!X:X)</f>
        <v>188912.97999999998</v>
      </c>
      <c r="W30">
        <f>SUMIF('Quarterly Data'!$B:$B,'Annual Data'!$A30,'Quarterly Data'!Y:Y)</f>
        <v>271805</v>
      </c>
      <c r="X30">
        <f>SUMIF('Quarterly Data'!$B:$B,'Annual Data'!$A30,'Quarterly Data'!Z:Z)</f>
        <v>127894.89000000001</v>
      </c>
      <c r="Y30">
        <f>SUMIF('Quarterly Data'!$B:$B,'Annual Data'!$A30,'Quarterly Data'!AA:AA)</f>
        <v>1564487.5999999999</v>
      </c>
      <c r="Z30">
        <f>AVERAGEIF('Quarterly Data'!$B:$B,'Annual Data'!$A30,'Quarterly Data'!AB:AB)</f>
        <v>26087.384999999998</v>
      </c>
      <c r="AA30">
        <f>AVERAGEIF('Quarterly Data'!$B:$B,'Annual Data'!$A30,'Quarterly Data'!AC:AC)</f>
        <v>33.225000000000001</v>
      </c>
      <c r="AB30">
        <f>AVERAGEIF('Quarterly Data'!$B:$B,'Annual Data'!$A30,'Quarterly Data'!AD:AD)</f>
        <v>366199.2</v>
      </c>
      <c r="AC30">
        <f>AVERAGEIF('Quarterly Data'!$B:$B,'Annual Data'!$A30,'Quarterly Data'!AE:AE)</f>
        <v>37673.279999999999</v>
      </c>
      <c r="AD30">
        <f>AVERAGEIF('Quarterly Data'!$B:$B,'Annual Data'!$A30,'Quarterly Data'!AF:AF)</f>
        <v>1787124</v>
      </c>
      <c r="AE30">
        <f>SUMIF('Quarterly Data'!$B:$B,'Annual Data'!$A30,'Quarterly Data'!AG:AG)</f>
        <v>-6.9166489999999996</v>
      </c>
    </row>
    <row r="31" spans="1:31" x14ac:dyDescent="0.25">
      <c r="A31">
        <v>1997</v>
      </c>
      <c r="B31">
        <f>SUMIF('Quarterly Data'!$B:$B,'Annual Data'!$A31,'Quarterly Data'!D:D)</f>
        <v>1615678</v>
      </c>
      <c r="C31">
        <f>AVERAGEIF('Quarterly Data'!$B:$B,'Annual Data'!$A31,'Quarterly Data'!E:E)</f>
        <v>70.066667499999994</v>
      </c>
      <c r="D31">
        <f>SUMIF('Quarterly Data'!$B:$B,'Annual Data'!$A31,'Quarterly Data'!F:F)</f>
        <v>409305</v>
      </c>
      <c r="E31">
        <f>SUMIF('Quarterly Data'!$B:$B,'Annual Data'!$A31,'Quarterly Data'!G:G)</f>
        <v>192556</v>
      </c>
      <c r="F31">
        <f>SUMIF('Quarterly Data'!$B:$B,'Annual Data'!$A31,'Quarterly Data'!H:H)</f>
        <v>364449</v>
      </c>
      <c r="G31">
        <f>SUMIF('Quarterly Data'!$B:$B,'Annual Data'!$A31,'Quarterly Data'!I:I)</f>
        <v>205049</v>
      </c>
      <c r="H31">
        <f>SUMIF('Quarterly Data'!$B:$B,'Annual Data'!$A31,'Quarterly Data'!J:J)</f>
        <v>267797</v>
      </c>
      <c r="I31">
        <f>SUMIF('Quarterly Data'!$B:$B,'Annual Data'!$A31,'Quarterly Data'!K:K)</f>
        <v>152062</v>
      </c>
      <c r="J31">
        <f>SUMIF('Quarterly Data'!$B:$B,'Annual Data'!$A31,'Quarterly Data'!L:L)</f>
        <v>1608111.9</v>
      </c>
      <c r="K31">
        <f>AVERAGEIF('Quarterly Data'!$B:$B,'Annual Data'!$A31,'Quarterly Data'!M:M)</f>
        <v>26460.544999999998</v>
      </c>
      <c r="L31">
        <f>AVERAGEIF('Quarterly Data'!$B:$B,'Annual Data'!$A31,'Quarterly Data'!N:N)</f>
        <v>33.175000000000004</v>
      </c>
      <c r="M31">
        <f>AVERAGEIF('Quarterly Data'!$B:$B,'Annual Data'!$A31,'Quarterly Data'!O:O)</f>
        <v>368101.39999999997</v>
      </c>
      <c r="N31">
        <f>AVERAGEIF('Quarterly Data'!$B:$B,'Annual Data'!$A31,'Quarterly Data'!P:P)</f>
        <v>37794.404999999999</v>
      </c>
      <c r="O31">
        <f>AVERAGEIF('Quarterly Data'!$B:$B,'Annual Data'!$A31,'Quarterly Data'!Q:Q)</f>
        <v>1838121.5</v>
      </c>
      <c r="P31">
        <f>SUMIF('Quarterly Data'!$B:$B,'Annual Data'!$A31,'Quarterly Data'!R:R)</f>
        <v>-6.8791900000000004</v>
      </c>
      <c r="Q31">
        <f>SUMIF('Quarterly Data'!$B:$B,'Annual Data'!$A31,'Quarterly Data'!S:S)</f>
        <v>1615678</v>
      </c>
      <c r="R31">
        <f>AVERAGEIF('Quarterly Data'!$B:$B,'Annual Data'!$A31,'Quarterly Data'!T:T)</f>
        <v>70.066667499999994</v>
      </c>
      <c r="S31">
        <f>SUMIF('Quarterly Data'!$B:$B,'Annual Data'!$A31,'Quarterly Data'!U:U)</f>
        <v>409305</v>
      </c>
      <c r="T31">
        <f>SUMIF('Quarterly Data'!$B:$B,'Annual Data'!$A31,'Quarterly Data'!V:V)</f>
        <v>192556</v>
      </c>
      <c r="U31">
        <f>SUMIF('Quarterly Data'!$B:$B,'Annual Data'!$A31,'Quarterly Data'!W:W)</f>
        <v>364449</v>
      </c>
      <c r="V31">
        <f>SUMIF('Quarterly Data'!$B:$B,'Annual Data'!$A31,'Quarterly Data'!X:X)</f>
        <v>205049</v>
      </c>
      <c r="W31">
        <f>SUMIF('Quarterly Data'!$B:$B,'Annual Data'!$A31,'Quarterly Data'!Y:Y)</f>
        <v>267797</v>
      </c>
      <c r="X31">
        <f>SUMIF('Quarterly Data'!$B:$B,'Annual Data'!$A31,'Quarterly Data'!Z:Z)</f>
        <v>152062</v>
      </c>
      <c r="Y31">
        <f>SUMIF('Quarterly Data'!$B:$B,'Annual Data'!$A31,'Quarterly Data'!AA:AA)</f>
        <v>1608111.9</v>
      </c>
      <c r="Z31">
        <f>AVERAGEIF('Quarterly Data'!$B:$B,'Annual Data'!$A31,'Quarterly Data'!AB:AB)</f>
        <v>26460.544999999998</v>
      </c>
      <c r="AA31">
        <f>AVERAGEIF('Quarterly Data'!$B:$B,'Annual Data'!$A31,'Quarterly Data'!AC:AC)</f>
        <v>33.175000000000004</v>
      </c>
      <c r="AB31">
        <f>AVERAGEIF('Quarterly Data'!$B:$B,'Annual Data'!$A31,'Quarterly Data'!AD:AD)</f>
        <v>368101.39999999997</v>
      </c>
      <c r="AC31">
        <f>AVERAGEIF('Quarterly Data'!$B:$B,'Annual Data'!$A31,'Quarterly Data'!AE:AE)</f>
        <v>37794.404999999999</v>
      </c>
      <c r="AD31">
        <f>AVERAGEIF('Quarterly Data'!$B:$B,'Annual Data'!$A31,'Quarterly Data'!AF:AF)</f>
        <v>1838121.5</v>
      </c>
      <c r="AE31">
        <f>SUMIF('Quarterly Data'!$B:$B,'Annual Data'!$A31,'Quarterly Data'!AG:AG)</f>
        <v>-6.8791900000000004</v>
      </c>
    </row>
    <row r="32" spans="1:31" x14ac:dyDescent="0.25">
      <c r="A32">
        <v>1998</v>
      </c>
      <c r="B32">
        <f>SUMIF('Quarterly Data'!$B:$B,'Annual Data'!$A32,'Quarterly Data'!D:D)</f>
        <v>1670654</v>
      </c>
      <c r="C32">
        <f>AVERAGEIF('Quarterly Data'!$B:$B,'Annual Data'!$A32,'Quarterly Data'!E:E)</f>
        <v>71.1583325</v>
      </c>
      <c r="D32">
        <f>SUMIF('Quarterly Data'!$B:$B,'Annual Data'!$A32,'Quarterly Data'!F:F)</f>
        <v>421706</v>
      </c>
      <c r="E32">
        <f>SUMIF('Quarterly Data'!$B:$B,'Annual Data'!$A32,'Quarterly Data'!G:G)</f>
        <v>195924</v>
      </c>
      <c r="F32">
        <f>SUMIF('Quarterly Data'!$B:$B,'Annual Data'!$A32,'Quarterly Data'!H:H)</f>
        <v>391647</v>
      </c>
      <c r="G32">
        <f>SUMIF('Quarterly Data'!$B:$B,'Annual Data'!$A32,'Quarterly Data'!I:I)</f>
        <v>223974</v>
      </c>
      <c r="H32">
        <f>SUMIF('Quarterly Data'!$B:$B,'Annual Data'!$A32,'Quarterly Data'!J:J)</f>
        <v>283211</v>
      </c>
      <c r="I32">
        <f>SUMIF('Quarterly Data'!$B:$B,'Annual Data'!$A32,'Quarterly Data'!K:K)</f>
        <v>163565</v>
      </c>
      <c r="J32">
        <f>SUMIF('Quarterly Data'!$B:$B,'Annual Data'!$A32,'Quarterly Data'!L:L)</f>
        <v>1644834.7</v>
      </c>
      <c r="K32">
        <f>AVERAGEIF('Quarterly Data'!$B:$B,'Annual Data'!$A32,'Quarterly Data'!M:M)</f>
        <v>26754.357499999998</v>
      </c>
      <c r="L32">
        <f>AVERAGEIF('Quarterly Data'!$B:$B,'Annual Data'!$A32,'Quarterly Data'!N:N)</f>
        <v>33.075000000000003</v>
      </c>
      <c r="M32">
        <f>AVERAGEIF('Quarterly Data'!$B:$B,'Annual Data'!$A32,'Quarterly Data'!O:O)</f>
        <v>370531.55</v>
      </c>
      <c r="N32">
        <f>AVERAGEIF('Quarterly Data'!$B:$B,'Annual Data'!$A32,'Quarterly Data'!P:P)</f>
        <v>37944.26</v>
      </c>
      <c r="O32">
        <f>AVERAGEIF('Quarterly Data'!$B:$B,'Annual Data'!$A32,'Quarterly Data'!Q:Q)</f>
        <v>1907750</v>
      </c>
      <c r="P32">
        <f>SUMIF('Quarterly Data'!$B:$B,'Annual Data'!$A32,'Quarterly Data'!R:R)</f>
        <v>-6.8610949999999997</v>
      </c>
      <c r="Q32">
        <f>SUMIF('Quarterly Data'!$B:$B,'Annual Data'!$A32,'Quarterly Data'!S:S)</f>
        <v>1670654</v>
      </c>
      <c r="R32">
        <f>AVERAGEIF('Quarterly Data'!$B:$B,'Annual Data'!$A32,'Quarterly Data'!T:T)</f>
        <v>71.1583325</v>
      </c>
      <c r="S32">
        <f>SUMIF('Quarterly Data'!$B:$B,'Annual Data'!$A32,'Quarterly Data'!U:U)</f>
        <v>421706</v>
      </c>
      <c r="T32">
        <f>SUMIF('Quarterly Data'!$B:$B,'Annual Data'!$A32,'Quarterly Data'!V:V)</f>
        <v>195924</v>
      </c>
      <c r="U32">
        <f>SUMIF('Quarterly Data'!$B:$B,'Annual Data'!$A32,'Quarterly Data'!W:W)</f>
        <v>391647</v>
      </c>
      <c r="V32">
        <f>SUMIF('Quarterly Data'!$B:$B,'Annual Data'!$A32,'Quarterly Data'!X:X)</f>
        <v>223974</v>
      </c>
      <c r="W32">
        <f>SUMIF('Quarterly Data'!$B:$B,'Annual Data'!$A32,'Quarterly Data'!Y:Y)</f>
        <v>283211</v>
      </c>
      <c r="X32">
        <f>SUMIF('Quarterly Data'!$B:$B,'Annual Data'!$A32,'Quarterly Data'!Z:Z)</f>
        <v>163565</v>
      </c>
      <c r="Y32">
        <f>SUMIF('Quarterly Data'!$B:$B,'Annual Data'!$A32,'Quarterly Data'!AA:AA)</f>
        <v>1644834.7</v>
      </c>
      <c r="Z32">
        <f>AVERAGEIF('Quarterly Data'!$B:$B,'Annual Data'!$A32,'Quarterly Data'!AB:AB)</f>
        <v>26754.357499999998</v>
      </c>
      <c r="AA32">
        <f>AVERAGEIF('Quarterly Data'!$B:$B,'Annual Data'!$A32,'Quarterly Data'!AC:AC)</f>
        <v>33.075000000000003</v>
      </c>
      <c r="AB32">
        <f>AVERAGEIF('Quarterly Data'!$B:$B,'Annual Data'!$A32,'Quarterly Data'!AD:AD)</f>
        <v>370531.55</v>
      </c>
      <c r="AC32">
        <f>AVERAGEIF('Quarterly Data'!$B:$B,'Annual Data'!$A32,'Quarterly Data'!AE:AE)</f>
        <v>37944.26</v>
      </c>
      <c r="AD32">
        <f>AVERAGEIF('Quarterly Data'!$B:$B,'Annual Data'!$A32,'Quarterly Data'!AF:AF)</f>
        <v>1907750</v>
      </c>
      <c r="AE32">
        <f>SUMIF('Quarterly Data'!$B:$B,'Annual Data'!$A32,'Quarterly Data'!AG:AG)</f>
        <v>-6.8610949999999997</v>
      </c>
    </row>
    <row r="33" spans="1:31" x14ac:dyDescent="0.25">
      <c r="A33">
        <v>1999</v>
      </c>
      <c r="B33">
        <f>SUMIF('Quarterly Data'!$B:$B,'Annual Data'!$A33,'Quarterly Data'!D:D)</f>
        <v>1721748</v>
      </c>
      <c r="C33">
        <f>AVERAGEIF('Quarterly Data'!$B:$B,'Annual Data'!$A33,'Quarterly Data'!E:E)</f>
        <v>72.116664999999998</v>
      </c>
      <c r="D33">
        <f>SUMIF('Quarterly Data'!$B:$B,'Annual Data'!$A33,'Quarterly Data'!F:F)</f>
        <v>436510</v>
      </c>
      <c r="E33">
        <f>SUMIF('Quarterly Data'!$B:$B,'Annual Data'!$A33,'Quarterly Data'!G:G)</f>
        <v>205281</v>
      </c>
      <c r="F33">
        <f>SUMIF('Quarterly Data'!$B:$B,'Annual Data'!$A33,'Quarterly Data'!H:H)</f>
        <v>420630</v>
      </c>
      <c r="G33">
        <f>SUMIF('Quarterly Data'!$B:$B,'Annual Data'!$A33,'Quarterly Data'!I:I)</f>
        <v>248822</v>
      </c>
      <c r="H33">
        <f>SUMIF('Quarterly Data'!$B:$B,'Annual Data'!$A33,'Quarterly Data'!J:J)</f>
        <v>288091</v>
      </c>
      <c r="I33">
        <f>SUMIF('Quarterly Data'!$B:$B,'Annual Data'!$A33,'Quarterly Data'!K:K)</f>
        <v>166624</v>
      </c>
      <c r="J33">
        <f>SUMIF('Quarterly Data'!$B:$B,'Annual Data'!$A33,'Quarterly Data'!L:L)</f>
        <v>1691774</v>
      </c>
      <c r="K33">
        <f>AVERAGEIF('Quarterly Data'!$B:$B,'Annual Data'!$A33,'Quarterly Data'!M:M)</f>
        <v>27233.620000000003</v>
      </c>
      <c r="L33">
        <f>AVERAGEIF('Quarterly Data'!$B:$B,'Annual Data'!$A33,'Quarterly Data'!N:N)</f>
        <v>32.9</v>
      </c>
      <c r="M33">
        <f>AVERAGEIF('Quarterly Data'!$B:$B,'Annual Data'!$A33,'Quarterly Data'!O:O)</f>
        <v>375183.32500000007</v>
      </c>
      <c r="N33">
        <f>AVERAGEIF('Quarterly Data'!$B:$B,'Annual Data'!$A33,'Quarterly Data'!P:P)</f>
        <v>38156.28</v>
      </c>
      <c r="O33">
        <f>AVERAGEIF('Quarterly Data'!$B:$B,'Annual Data'!$A33,'Quarterly Data'!Q:Q)</f>
        <v>1982625</v>
      </c>
      <c r="P33">
        <f>SUMIF('Quarterly Data'!$B:$B,'Annual Data'!$A33,'Quarterly Data'!R:R)</f>
        <v>-6.8446470000000001</v>
      </c>
      <c r="Q33">
        <f>SUMIF('Quarterly Data'!$B:$B,'Annual Data'!$A33,'Quarterly Data'!S:S)</f>
        <v>1721748</v>
      </c>
      <c r="R33">
        <f>AVERAGEIF('Quarterly Data'!$B:$B,'Annual Data'!$A33,'Quarterly Data'!T:T)</f>
        <v>72.116664999999998</v>
      </c>
      <c r="S33">
        <f>SUMIF('Quarterly Data'!$B:$B,'Annual Data'!$A33,'Quarterly Data'!U:U)</f>
        <v>436510</v>
      </c>
      <c r="T33">
        <f>SUMIF('Quarterly Data'!$B:$B,'Annual Data'!$A33,'Quarterly Data'!V:V)</f>
        <v>205281</v>
      </c>
      <c r="U33">
        <f>SUMIF('Quarterly Data'!$B:$B,'Annual Data'!$A33,'Quarterly Data'!W:W)</f>
        <v>420630</v>
      </c>
      <c r="V33">
        <f>SUMIF('Quarterly Data'!$B:$B,'Annual Data'!$A33,'Quarterly Data'!X:X)</f>
        <v>248822</v>
      </c>
      <c r="W33">
        <f>SUMIF('Quarterly Data'!$B:$B,'Annual Data'!$A33,'Quarterly Data'!Y:Y)</f>
        <v>288091</v>
      </c>
      <c r="X33">
        <f>SUMIF('Quarterly Data'!$B:$B,'Annual Data'!$A33,'Quarterly Data'!Z:Z)</f>
        <v>166624</v>
      </c>
      <c r="Y33">
        <f>SUMIF('Quarterly Data'!$B:$B,'Annual Data'!$A33,'Quarterly Data'!AA:AA)</f>
        <v>1691774</v>
      </c>
      <c r="Z33">
        <f>AVERAGEIF('Quarterly Data'!$B:$B,'Annual Data'!$A33,'Quarterly Data'!AB:AB)</f>
        <v>27233.620000000003</v>
      </c>
      <c r="AA33">
        <f>AVERAGEIF('Quarterly Data'!$B:$B,'Annual Data'!$A33,'Quarterly Data'!AC:AC)</f>
        <v>32.9</v>
      </c>
      <c r="AB33">
        <f>AVERAGEIF('Quarterly Data'!$B:$B,'Annual Data'!$A33,'Quarterly Data'!AD:AD)</f>
        <v>375183.32500000007</v>
      </c>
      <c r="AC33">
        <f>AVERAGEIF('Quarterly Data'!$B:$B,'Annual Data'!$A33,'Quarterly Data'!AE:AE)</f>
        <v>38156.28</v>
      </c>
      <c r="AD33">
        <f>AVERAGEIF('Quarterly Data'!$B:$B,'Annual Data'!$A33,'Quarterly Data'!AF:AF)</f>
        <v>1982625</v>
      </c>
      <c r="AE33">
        <f>SUMIF('Quarterly Data'!$B:$B,'Annual Data'!$A33,'Quarterly Data'!AG:AG)</f>
        <v>-6.8446470000000001</v>
      </c>
    </row>
    <row r="34" spans="1:31" x14ac:dyDescent="0.25">
      <c r="A34">
        <v>2000</v>
      </c>
      <c r="B34">
        <f>SUMIF('Quarterly Data'!$B:$B,'Annual Data'!$A34,'Quarterly Data'!D:D)</f>
        <v>1796500</v>
      </c>
      <c r="C34">
        <f>AVERAGEIF('Quarterly Data'!$B:$B,'Annual Data'!$A34,'Quarterly Data'!E:E)</f>
        <v>72.691665</v>
      </c>
      <c r="D34">
        <f>SUMIF('Quarterly Data'!$B:$B,'Annual Data'!$A34,'Quarterly Data'!F:F)</f>
        <v>479101</v>
      </c>
      <c r="E34">
        <f>SUMIF('Quarterly Data'!$B:$B,'Annual Data'!$A34,'Quarterly Data'!G:G)</f>
        <v>231008</v>
      </c>
      <c r="F34">
        <f>SUMIF('Quarterly Data'!$B:$B,'Annual Data'!$A34,'Quarterly Data'!H:H)</f>
        <v>460236</v>
      </c>
      <c r="G34">
        <f>SUMIF('Quarterly Data'!$B:$B,'Annual Data'!$A34,'Quarterly Data'!I:I)</f>
        <v>274931</v>
      </c>
      <c r="H34">
        <f>SUMIF('Quarterly Data'!$B:$B,'Annual Data'!$A34,'Quarterly Data'!J:J)</f>
        <v>304586</v>
      </c>
      <c r="I34">
        <f>SUMIF('Quarterly Data'!$B:$B,'Annual Data'!$A34,'Quarterly Data'!K:K)</f>
        <v>177449</v>
      </c>
      <c r="J34">
        <f>SUMIF('Quarterly Data'!$B:$B,'Annual Data'!$A34,'Quarterly Data'!L:L)</f>
        <v>1730478.3</v>
      </c>
      <c r="K34">
        <f>AVERAGEIF('Quarterly Data'!$B:$B,'Annual Data'!$A34,'Quarterly Data'!M:M)</f>
        <v>27515.477500000001</v>
      </c>
      <c r="L34">
        <f>AVERAGEIF('Quarterly Data'!$B:$B,'Annual Data'!$A34,'Quarterly Data'!N:N)</f>
        <v>32.599999999999994</v>
      </c>
      <c r="M34">
        <f>AVERAGEIF('Quarterly Data'!$B:$B,'Annual Data'!$A34,'Quarterly Data'!O:O)</f>
        <v>383089.95</v>
      </c>
      <c r="N34">
        <f>AVERAGEIF('Quarterly Data'!$B:$B,'Annual Data'!$A34,'Quarterly Data'!P:P)</f>
        <v>38407.347499999996</v>
      </c>
      <c r="O34">
        <f>AVERAGEIF('Quarterly Data'!$B:$B,'Annual Data'!$A34,'Quarterly Data'!Q:Q)</f>
        <v>2062500</v>
      </c>
      <c r="P34">
        <f>SUMIF('Quarterly Data'!$B:$B,'Annual Data'!$A34,'Quarterly Data'!R:R)</f>
        <v>-6.8282359999999986</v>
      </c>
      <c r="Q34">
        <f>SUMIF('Quarterly Data'!$B:$B,'Annual Data'!$A34,'Quarterly Data'!S:S)</f>
        <v>1796500</v>
      </c>
      <c r="R34">
        <f>AVERAGEIF('Quarterly Data'!$B:$B,'Annual Data'!$A34,'Quarterly Data'!T:T)</f>
        <v>72.691665</v>
      </c>
      <c r="S34">
        <f>SUMIF('Quarterly Data'!$B:$B,'Annual Data'!$A34,'Quarterly Data'!U:U)</f>
        <v>479101</v>
      </c>
      <c r="T34">
        <f>SUMIF('Quarterly Data'!$B:$B,'Annual Data'!$A34,'Quarterly Data'!V:V)</f>
        <v>231008</v>
      </c>
      <c r="U34">
        <f>SUMIF('Quarterly Data'!$B:$B,'Annual Data'!$A34,'Quarterly Data'!W:W)</f>
        <v>460236</v>
      </c>
      <c r="V34">
        <f>SUMIF('Quarterly Data'!$B:$B,'Annual Data'!$A34,'Quarterly Data'!X:X)</f>
        <v>274931</v>
      </c>
      <c r="W34">
        <f>SUMIF('Quarterly Data'!$B:$B,'Annual Data'!$A34,'Quarterly Data'!Y:Y)</f>
        <v>304586</v>
      </c>
      <c r="X34">
        <f>SUMIF('Quarterly Data'!$B:$B,'Annual Data'!$A34,'Quarterly Data'!Z:Z)</f>
        <v>177449</v>
      </c>
      <c r="Y34">
        <f>SUMIF('Quarterly Data'!$B:$B,'Annual Data'!$A34,'Quarterly Data'!AA:AA)</f>
        <v>1730478.3</v>
      </c>
      <c r="Z34">
        <f>AVERAGEIF('Quarterly Data'!$B:$B,'Annual Data'!$A34,'Quarterly Data'!AB:AB)</f>
        <v>27515.477500000001</v>
      </c>
      <c r="AA34">
        <f>AVERAGEIF('Quarterly Data'!$B:$B,'Annual Data'!$A34,'Quarterly Data'!AC:AC)</f>
        <v>32.599999999999994</v>
      </c>
      <c r="AB34">
        <f>AVERAGEIF('Quarterly Data'!$B:$B,'Annual Data'!$A34,'Quarterly Data'!AD:AD)</f>
        <v>383089.95</v>
      </c>
      <c r="AC34">
        <f>AVERAGEIF('Quarterly Data'!$B:$B,'Annual Data'!$A34,'Quarterly Data'!AE:AE)</f>
        <v>38407.347499999996</v>
      </c>
      <c r="AD34">
        <f>AVERAGEIF('Quarterly Data'!$B:$B,'Annual Data'!$A34,'Quarterly Data'!AF:AF)</f>
        <v>2062500</v>
      </c>
      <c r="AE34">
        <f>SUMIF('Quarterly Data'!$B:$B,'Annual Data'!$A34,'Quarterly Data'!AG:AG)</f>
        <v>-6.8282359999999986</v>
      </c>
    </row>
    <row r="35" spans="1:31" x14ac:dyDescent="0.25">
      <c r="A35">
        <v>2001</v>
      </c>
      <c r="B35">
        <f>SUMIF('Quarterly Data'!$B:$B,'Annual Data'!$A35,'Quarterly Data'!D:D)</f>
        <v>1842720</v>
      </c>
      <c r="C35">
        <f>AVERAGEIF('Quarterly Data'!$B:$B,'Annual Data'!$A35,'Quarterly Data'!E:E)</f>
        <v>73.591669999999993</v>
      </c>
      <c r="D35">
        <f>SUMIF('Quarterly Data'!$B:$B,'Annual Data'!$A35,'Quarterly Data'!F:F)</f>
        <v>492937</v>
      </c>
      <c r="E35">
        <f>SUMIF('Quarterly Data'!$B:$B,'Annual Data'!$A35,'Quarterly Data'!G:G)</f>
        <v>234439</v>
      </c>
      <c r="F35">
        <f>SUMIF('Quarterly Data'!$B:$B,'Annual Data'!$A35,'Quarterly Data'!H:H)</f>
        <v>488755</v>
      </c>
      <c r="G35">
        <f>SUMIF('Quarterly Data'!$B:$B,'Annual Data'!$A35,'Quarterly Data'!I:I)</f>
        <v>291870</v>
      </c>
      <c r="H35">
        <f>SUMIF('Quarterly Data'!$B:$B,'Annual Data'!$A35,'Quarterly Data'!J:J)</f>
        <v>310637</v>
      </c>
      <c r="I35">
        <f>SUMIF('Quarterly Data'!$B:$B,'Annual Data'!$A35,'Quarterly Data'!K:K)</f>
        <v>176690</v>
      </c>
      <c r="J35">
        <f>SUMIF('Quarterly Data'!$B:$B,'Annual Data'!$A35,'Quarterly Data'!L:L)</f>
        <v>1785942.4</v>
      </c>
      <c r="K35">
        <f>AVERAGEIF('Quarterly Data'!$B:$B,'Annual Data'!$A35,'Quarterly Data'!M:M)</f>
        <v>27733.675000000003</v>
      </c>
      <c r="L35">
        <f>AVERAGEIF('Quarterly Data'!$B:$B,'Annual Data'!$A35,'Quarterly Data'!N:N)</f>
        <v>32.674999999999997</v>
      </c>
      <c r="M35">
        <f>AVERAGEIF('Quarterly Data'!$B:$B,'Annual Data'!$A35,'Quarterly Data'!O:O)</f>
        <v>395262.5</v>
      </c>
      <c r="N35">
        <f>AVERAGEIF('Quarterly Data'!$B:$B,'Annual Data'!$A35,'Quarterly Data'!P:P)</f>
        <v>38667.287499999999</v>
      </c>
      <c r="O35">
        <f>AVERAGEIF('Quarterly Data'!$B:$B,'Annual Data'!$A35,'Quarterly Data'!Q:Q)</f>
        <v>2140250</v>
      </c>
      <c r="P35">
        <f>SUMIF('Quarterly Data'!$B:$B,'Annual Data'!$A35,'Quarterly Data'!R:R)</f>
        <v>-6.8118650000000001</v>
      </c>
      <c r="Q35">
        <f>SUMIF('Quarterly Data'!$B:$B,'Annual Data'!$A35,'Quarterly Data'!S:S)</f>
        <v>1842720</v>
      </c>
      <c r="R35">
        <f>AVERAGEIF('Quarterly Data'!$B:$B,'Annual Data'!$A35,'Quarterly Data'!T:T)</f>
        <v>73.591669999999993</v>
      </c>
      <c r="S35">
        <f>SUMIF('Quarterly Data'!$B:$B,'Annual Data'!$A35,'Quarterly Data'!U:U)</f>
        <v>492937</v>
      </c>
      <c r="T35">
        <f>SUMIF('Quarterly Data'!$B:$B,'Annual Data'!$A35,'Quarterly Data'!V:V)</f>
        <v>234439</v>
      </c>
      <c r="U35">
        <f>SUMIF('Quarterly Data'!$B:$B,'Annual Data'!$A35,'Quarterly Data'!W:W)</f>
        <v>488755</v>
      </c>
      <c r="V35">
        <f>SUMIF('Quarterly Data'!$B:$B,'Annual Data'!$A35,'Quarterly Data'!X:X)</f>
        <v>291870</v>
      </c>
      <c r="W35">
        <f>SUMIF('Quarterly Data'!$B:$B,'Annual Data'!$A35,'Quarterly Data'!Y:Y)</f>
        <v>310637</v>
      </c>
      <c r="X35">
        <f>SUMIF('Quarterly Data'!$B:$B,'Annual Data'!$A35,'Quarterly Data'!Z:Z)</f>
        <v>176690</v>
      </c>
      <c r="Y35">
        <f>SUMIF('Quarterly Data'!$B:$B,'Annual Data'!$A35,'Quarterly Data'!AA:AA)</f>
        <v>1785942.4</v>
      </c>
      <c r="Z35">
        <f>AVERAGEIF('Quarterly Data'!$B:$B,'Annual Data'!$A35,'Quarterly Data'!AB:AB)</f>
        <v>27733.675000000003</v>
      </c>
      <c r="AA35">
        <f>AVERAGEIF('Quarterly Data'!$B:$B,'Annual Data'!$A35,'Quarterly Data'!AC:AC)</f>
        <v>32.674999999999997</v>
      </c>
      <c r="AB35">
        <f>AVERAGEIF('Quarterly Data'!$B:$B,'Annual Data'!$A35,'Quarterly Data'!AD:AD)</f>
        <v>395262.5</v>
      </c>
      <c r="AC35">
        <f>AVERAGEIF('Quarterly Data'!$B:$B,'Annual Data'!$A35,'Quarterly Data'!AE:AE)</f>
        <v>38667.287499999999</v>
      </c>
      <c r="AD35">
        <f>AVERAGEIF('Quarterly Data'!$B:$B,'Annual Data'!$A35,'Quarterly Data'!AF:AF)</f>
        <v>2140250</v>
      </c>
      <c r="AE35">
        <f>SUMIF('Quarterly Data'!$B:$B,'Annual Data'!$A35,'Quarterly Data'!AG:AG)</f>
        <v>-6.8118650000000001</v>
      </c>
    </row>
    <row r="36" spans="1:31" x14ac:dyDescent="0.25">
      <c r="A36">
        <v>2002</v>
      </c>
      <c r="B36">
        <f>SUMIF('Quarterly Data'!$B:$B,'Annual Data'!$A36,'Quarterly Data'!D:D)</f>
        <v>1875809</v>
      </c>
      <c r="C36">
        <f>AVERAGEIF('Quarterly Data'!$B:$B,'Annual Data'!$A36,'Quarterly Data'!E:E)</f>
        <v>74.5</v>
      </c>
      <c r="D36">
        <f>SUMIF('Quarterly Data'!$B:$B,'Annual Data'!$A36,'Quarterly Data'!F:F)</f>
        <v>497592</v>
      </c>
      <c r="E36">
        <f>SUMIF('Quarterly Data'!$B:$B,'Annual Data'!$A36,'Quarterly Data'!G:G)</f>
        <v>234803</v>
      </c>
      <c r="F36">
        <f>SUMIF('Quarterly Data'!$B:$B,'Annual Data'!$A36,'Quarterly Data'!H:H)</f>
        <v>511912</v>
      </c>
      <c r="G36">
        <f>SUMIF('Quarterly Data'!$B:$B,'Annual Data'!$A36,'Quarterly Data'!I:I)</f>
        <v>307851</v>
      </c>
      <c r="H36">
        <f>SUMIF('Quarterly Data'!$B:$B,'Annual Data'!$A36,'Quarterly Data'!J:J)</f>
        <v>316935</v>
      </c>
      <c r="I36">
        <f>SUMIF('Quarterly Data'!$B:$B,'Annual Data'!$A36,'Quarterly Data'!K:K)</f>
        <v>173443</v>
      </c>
      <c r="J36">
        <f>SUMIF('Quarterly Data'!$B:$B,'Annual Data'!$A36,'Quarterly Data'!L:L)</f>
        <v>1829581.9</v>
      </c>
      <c r="K36">
        <f>AVERAGEIF('Quarterly Data'!$B:$B,'Annual Data'!$A36,'Quarterly Data'!M:M)</f>
        <v>27999.35</v>
      </c>
      <c r="L36">
        <f>AVERAGEIF('Quarterly Data'!$B:$B,'Annual Data'!$A36,'Quarterly Data'!N:N)</f>
        <v>32.325000000000003</v>
      </c>
      <c r="M36">
        <f>AVERAGEIF('Quarterly Data'!$B:$B,'Annual Data'!$A36,'Quarterly Data'!O:O)</f>
        <v>410903.625</v>
      </c>
      <c r="N36">
        <f>AVERAGEIF('Quarterly Data'!$B:$B,'Annual Data'!$A36,'Quarterly Data'!P:P)</f>
        <v>38934.074999999997</v>
      </c>
      <c r="O36">
        <f>AVERAGEIF('Quarterly Data'!$B:$B,'Annual Data'!$A36,'Quarterly Data'!Q:Q)</f>
        <v>2206750</v>
      </c>
      <c r="P36">
        <f>SUMIF('Quarterly Data'!$B:$B,'Annual Data'!$A36,'Quarterly Data'!R:R)</f>
        <v>-6.7955329999999998</v>
      </c>
      <c r="Q36">
        <f>SUMIF('Quarterly Data'!$B:$B,'Annual Data'!$A36,'Quarterly Data'!S:S)</f>
        <v>1875809</v>
      </c>
      <c r="R36">
        <f>AVERAGEIF('Quarterly Data'!$B:$B,'Annual Data'!$A36,'Quarterly Data'!T:T)</f>
        <v>74.5</v>
      </c>
      <c r="S36">
        <f>SUMIF('Quarterly Data'!$B:$B,'Annual Data'!$A36,'Quarterly Data'!U:U)</f>
        <v>497592</v>
      </c>
      <c r="T36">
        <f>SUMIF('Quarterly Data'!$B:$B,'Annual Data'!$A36,'Quarterly Data'!V:V)</f>
        <v>234803</v>
      </c>
      <c r="U36">
        <f>SUMIF('Quarterly Data'!$B:$B,'Annual Data'!$A36,'Quarterly Data'!W:W)</f>
        <v>511912</v>
      </c>
      <c r="V36">
        <f>SUMIF('Quarterly Data'!$B:$B,'Annual Data'!$A36,'Quarterly Data'!X:X)</f>
        <v>307851</v>
      </c>
      <c r="W36">
        <f>SUMIF('Quarterly Data'!$B:$B,'Annual Data'!$A36,'Quarterly Data'!Y:Y)</f>
        <v>316935</v>
      </c>
      <c r="X36">
        <f>SUMIF('Quarterly Data'!$B:$B,'Annual Data'!$A36,'Quarterly Data'!Z:Z)</f>
        <v>173443</v>
      </c>
      <c r="Y36">
        <f>SUMIF('Quarterly Data'!$B:$B,'Annual Data'!$A36,'Quarterly Data'!AA:AA)</f>
        <v>1829581.9</v>
      </c>
      <c r="Z36">
        <f>AVERAGEIF('Quarterly Data'!$B:$B,'Annual Data'!$A36,'Quarterly Data'!AB:AB)</f>
        <v>27999.35</v>
      </c>
      <c r="AA36">
        <f>AVERAGEIF('Quarterly Data'!$B:$B,'Annual Data'!$A36,'Quarterly Data'!AC:AC)</f>
        <v>32.325000000000003</v>
      </c>
      <c r="AB36">
        <f>AVERAGEIF('Quarterly Data'!$B:$B,'Annual Data'!$A36,'Quarterly Data'!AD:AD)</f>
        <v>410903.625</v>
      </c>
      <c r="AC36">
        <f>AVERAGEIF('Quarterly Data'!$B:$B,'Annual Data'!$A36,'Quarterly Data'!AE:AE)</f>
        <v>38934.074999999997</v>
      </c>
      <c r="AD36">
        <f>AVERAGEIF('Quarterly Data'!$B:$B,'Annual Data'!$A36,'Quarterly Data'!AF:AF)</f>
        <v>2206750</v>
      </c>
      <c r="AE36">
        <f>SUMIF('Quarterly Data'!$B:$B,'Annual Data'!$A36,'Quarterly Data'!AG:AG)</f>
        <v>-6.7955329999999998</v>
      </c>
    </row>
    <row r="37" spans="1:31" x14ac:dyDescent="0.25">
      <c r="A37">
        <v>2003</v>
      </c>
      <c r="B37">
        <f>SUMIF('Quarterly Data'!$B:$B,'Annual Data'!$A37,'Quarterly Data'!D:D)</f>
        <v>1934941</v>
      </c>
      <c r="C37">
        <f>AVERAGEIF('Quarterly Data'!$B:$B,'Annual Data'!$A37,'Quarterly Data'!E:E)</f>
        <v>75.525000000000006</v>
      </c>
      <c r="D37">
        <f>SUMIF('Quarterly Data'!$B:$B,'Annual Data'!$A37,'Quarterly Data'!F:F)</f>
        <v>506092</v>
      </c>
      <c r="E37">
        <f>SUMIF('Quarterly Data'!$B:$B,'Annual Data'!$A37,'Quarterly Data'!G:G)</f>
        <v>235738</v>
      </c>
      <c r="F37">
        <f>SUMIF('Quarterly Data'!$B:$B,'Annual Data'!$A37,'Quarterly Data'!H:H)</f>
        <v>520319</v>
      </c>
      <c r="G37">
        <f>SUMIF('Quarterly Data'!$B:$B,'Annual Data'!$A37,'Quarterly Data'!I:I)</f>
        <v>308137</v>
      </c>
      <c r="H37">
        <f>SUMIF('Quarterly Data'!$B:$B,'Annual Data'!$A37,'Quarterly Data'!J:J)</f>
        <v>324805</v>
      </c>
      <c r="I37">
        <f>SUMIF('Quarterly Data'!$B:$B,'Annual Data'!$A37,'Quarterly Data'!K:K)</f>
        <v>171490</v>
      </c>
      <c r="J37">
        <f>SUMIF('Quarterly Data'!$B:$B,'Annual Data'!$A37,'Quarterly Data'!L:L)</f>
        <v>1876404.4</v>
      </c>
      <c r="K37">
        <f>AVERAGEIF('Quarterly Data'!$B:$B,'Annual Data'!$A37,'Quarterly Data'!M:M)</f>
        <v>28224.974999999999</v>
      </c>
      <c r="L37">
        <f>AVERAGEIF('Quarterly Data'!$B:$B,'Annual Data'!$A37,'Quarterly Data'!N:N)</f>
        <v>32.150000000000006</v>
      </c>
      <c r="M37">
        <f>AVERAGEIF('Quarterly Data'!$B:$B,'Annual Data'!$A37,'Quarterly Data'!O:O)</f>
        <v>428210.625</v>
      </c>
      <c r="N37">
        <f>AVERAGEIF('Quarterly Data'!$B:$B,'Annual Data'!$A37,'Quarterly Data'!P:P)</f>
        <v>39208.639999999999</v>
      </c>
      <c r="O37">
        <f>AVERAGEIF('Quarterly Data'!$B:$B,'Annual Data'!$A37,'Quarterly Data'!Q:Q)</f>
        <v>2263125</v>
      </c>
      <c r="P37">
        <f>SUMIF('Quarterly Data'!$B:$B,'Annual Data'!$A37,'Quarterly Data'!R:R)</f>
        <v>-6.7792399999999997</v>
      </c>
      <c r="Q37">
        <f>SUMIF('Quarterly Data'!$B:$B,'Annual Data'!$A37,'Quarterly Data'!S:S)</f>
        <v>1934941</v>
      </c>
      <c r="R37">
        <f>AVERAGEIF('Quarterly Data'!$B:$B,'Annual Data'!$A37,'Quarterly Data'!T:T)</f>
        <v>75.525000000000006</v>
      </c>
      <c r="S37">
        <f>SUMIF('Quarterly Data'!$B:$B,'Annual Data'!$A37,'Quarterly Data'!U:U)</f>
        <v>506092</v>
      </c>
      <c r="T37">
        <f>SUMIF('Quarterly Data'!$B:$B,'Annual Data'!$A37,'Quarterly Data'!V:V)</f>
        <v>235738</v>
      </c>
      <c r="U37">
        <f>SUMIF('Quarterly Data'!$B:$B,'Annual Data'!$A37,'Quarterly Data'!W:W)</f>
        <v>520319</v>
      </c>
      <c r="V37">
        <f>SUMIF('Quarterly Data'!$B:$B,'Annual Data'!$A37,'Quarterly Data'!X:X)</f>
        <v>308137</v>
      </c>
      <c r="W37">
        <f>SUMIF('Quarterly Data'!$B:$B,'Annual Data'!$A37,'Quarterly Data'!Y:Y)</f>
        <v>324805</v>
      </c>
      <c r="X37">
        <f>SUMIF('Quarterly Data'!$B:$B,'Annual Data'!$A37,'Quarterly Data'!Z:Z)</f>
        <v>171490</v>
      </c>
      <c r="Y37">
        <f>SUMIF('Quarterly Data'!$B:$B,'Annual Data'!$A37,'Quarterly Data'!AA:AA)</f>
        <v>1876404.4</v>
      </c>
      <c r="Z37">
        <f>AVERAGEIF('Quarterly Data'!$B:$B,'Annual Data'!$A37,'Quarterly Data'!AB:AB)</f>
        <v>28224.974999999999</v>
      </c>
      <c r="AA37">
        <f>AVERAGEIF('Quarterly Data'!$B:$B,'Annual Data'!$A37,'Quarterly Data'!AC:AC)</f>
        <v>32.150000000000006</v>
      </c>
      <c r="AB37">
        <f>AVERAGEIF('Quarterly Data'!$B:$B,'Annual Data'!$A37,'Quarterly Data'!AD:AD)</f>
        <v>428210.625</v>
      </c>
      <c r="AC37">
        <f>AVERAGEIF('Quarterly Data'!$B:$B,'Annual Data'!$A37,'Quarterly Data'!AE:AE)</f>
        <v>39208.639999999999</v>
      </c>
      <c r="AD37">
        <f>AVERAGEIF('Quarterly Data'!$B:$B,'Annual Data'!$A37,'Quarterly Data'!AF:AF)</f>
        <v>2263125</v>
      </c>
      <c r="AE37">
        <f>SUMIF('Quarterly Data'!$B:$B,'Annual Data'!$A37,'Quarterly Data'!AG:AG)</f>
        <v>-6.7792399999999997</v>
      </c>
    </row>
    <row r="38" spans="1:31" x14ac:dyDescent="0.25">
      <c r="A38">
        <v>2004</v>
      </c>
      <c r="B38">
        <f>SUMIF('Quarterly Data'!$B:$B,'Annual Data'!$A38,'Quarterly Data'!D:D)</f>
        <v>1982500</v>
      </c>
      <c r="C38">
        <f>AVERAGEIF('Quarterly Data'!$B:$B,'Annual Data'!$A38,'Quarterly Data'!E:E)</f>
        <v>76.541667499999988</v>
      </c>
      <c r="D38">
        <f>SUMIF('Quarterly Data'!$B:$B,'Annual Data'!$A38,'Quarterly Data'!F:F)</f>
        <v>531942</v>
      </c>
      <c r="E38">
        <f>SUMIF('Quarterly Data'!$B:$B,'Annual Data'!$A38,'Quarterly Data'!G:G)</f>
        <v>247206</v>
      </c>
      <c r="F38">
        <f>SUMIF('Quarterly Data'!$B:$B,'Annual Data'!$A38,'Quarterly Data'!H:H)</f>
        <v>555352</v>
      </c>
      <c r="G38">
        <f>SUMIF('Quarterly Data'!$B:$B,'Annual Data'!$A38,'Quarterly Data'!I:I)</f>
        <v>316710</v>
      </c>
      <c r="H38">
        <f>SUMIF('Quarterly Data'!$B:$B,'Annual Data'!$A38,'Quarterly Data'!J:J)</f>
        <v>333596</v>
      </c>
      <c r="I38">
        <f>SUMIF('Quarterly Data'!$B:$B,'Annual Data'!$A38,'Quarterly Data'!K:K)</f>
        <v>165133</v>
      </c>
      <c r="J38">
        <f>SUMIF('Quarterly Data'!$B:$B,'Annual Data'!$A38,'Quarterly Data'!L:L)</f>
        <v>1925416.5</v>
      </c>
      <c r="K38">
        <f>AVERAGEIF('Quarterly Data'!$B:$B,'Annual Data'!$A38,'Quarterly Data'!M:M)</f>
        <v>28456.0625</v>
      </c>
      <c r="L38">
        <f>AVERAGEIF('Quarterly Data'!$B:$B,'Annual Data'!$A38,'Quarterly Data'!N:N)</f>
        <v>32.075000000000003</v>
      </c>
      <c r="M38">
        <f>AVERAGEIF('Quarterly Data'!$B:$B,'Annual Data'!$A38,'Quarterly Data'!O:O)</f>
        <v>445699.47499999998</v>
      </c>
      <c r="N38">
        <f>AVERAGEIF('Quarterly Data'!$B:$B,'Annual Data'!$A38,'Quarterly Data'!P:P)</f>
        <v>39524.447499999995</v>
      </c>
      <c r="O38">
        <f>AVERAGEIF('Quarterly Data'!$B:$B,'Annual Data'!$A38,'Quarterly Data'!Q:Q)</f>
        <v>2318000</v>
      </c>
      <c r="P38">
        <f>SUMIF('Quarterly Data'!$B:$B,'Annual Data'!$A38,'Quarterly Data'!R:R)</f>
        <v>-6.7629870000000007</v>
      </c>
      <c r="Q38">
        <f>SUMIF('Quarterly Data'!$B:$B,'Annual Data'!$A38,'Quarterly Data'!S:S)</f>
        <v>1982500</v>
      </c>
      <c r="R38">
        <f>AVERAGEIF('Quarterly Data'!$B:$B,'Annual Data'!$A38,'Quarterly Data'!T:T)</f>
        <v>76.541667499999988</v>
      </c>
      <c r="S38">
        <f>SUMIF('Quarterly Data'!$B:$B,'Annual Data'!$A38,'Quarterly Data'!U:U)</f>
        <v>531942</v>
      </c>
      <c r="T38">
        <f>SUMIF('Quarterly Data'!$B:$B,'Annual Data'!$A38,'Quarterly Data'!V:V)</f>
        <v>247206</v>
      </c>
      <c r="U38">
        <f>SUMIF('Quarterly Data'!$B:$B,'Annual Data'!$A38,'Quarterly Data'!W:W)</f>
        <v>555352</v>
      </c>
      <c r="V38">
        <f>SUMIF('Quarterly Data'!$B:$B,'Annual Data'!$A38,'Quarterly Data'!X:X)</f>
        <v>316710</v>
      </c>
      <c r="W38">
        <f>SUMIF('Quarterly Data'!$B:$B,'Annual Data'!$A38,'Quarterly Data'!Y:Y)</f>
        <v>333596</v>
      </c>
      <c r="X38">
        <f>SUMIF('Quarterly Data'!$B:$B,'Annual Data'!$A38,'Quarterly Data'!Z:Z)</f>
        <v>165133</v>
      </c>
      <c r="Y38">
        <f>SUMIF('Quarterly Data'!$B:$B,'Annual Data'!$A38,'Quarterly Data'!AA:AA)</f>
        <v>1925416.5</v>
      </c>
      <c r="Z38">
        <f>AVERAGEIF('Quarterly Data'!$B:$B,'Annual Data'!$A38,'Quarterly Data'!AB:AB)</f>
        <v>28456.0625</v>
      </c>
      <c r="AA38">
        <f>AVERAGEIF('Quarterly Data'!$B:$B,'Annual Data'!$A38,'Quarterly Data'!AC:AC)</f>
        <v>32.075000000000003</v>
      </c>
      <c r="AB38">
        <f>AVERAGEIF('Quarterly Data'!$B:$B,'Annual Data'!$A38,'Quarterly Data'!AD:AD)</f>
        <v>445699.47499999998</v>
      </c>
      <c r="AC38">
        <f>AVERAGEIF('Quarterly Data'!$B:$B,'Annual Data'!$A38,'Quarterly Data'!AE:AE)</f>
        <v>39524.447499999995</v>
      </c>
      <c r="AD38">
        <f>AVERAGEIF('Quarterly Data'!$B:$B,'Annual Data'!$A38,'Quarterly Data'!AF:AF)</f>
        <v>2318000</v>
      </c>
      <c r="AE38">
        <f>SUMIF('Quarterly Data'!$B:$B,'Annual Data'!$A38,'Quarterly Data'!AG:AG)</f>
        <v>-6.7629870000000007</v>
      </c>
    </row>
    <row r="39" spans="1:31" x14ac:dyDescent="0.25">
      <c r="A39">
        <v>2005</v>
      </c>
      <c r="B39">
        <f>SUMIF('Quarterly Data'!$B:$B,'Annual Data'!$A39,'Quarterly Data'!D:D)</f>
        <v>2036675</v>
      </c>
      <c r="C39">
        <f>AVERAGEIF('Quarterly Data'!$B:$B,'Annual Data'!$A39,'Quarterly Data'!E:E)</f>
        <v>78.099999999999994</v>
      </c>
      <c r="D39">
        <f>SUMIF('Quarterly Data'!$B:$B,'Annual Data'!$A39,'Quarterly Data'!F:F)</f>
        <v>572158</v>
      </c>
      <c r="E39">
        <f>SUMIF('Quarterly Data'!$B:$B,'Annual Data'!$A39,'Quarterly Data'!G:G)</f>
        <v>282384</v>
      </c>
      <c r="F39">
        <f>SUMIF('Quarterly Data'!$B:$B,'Annual Data'!$A39,'Quarterly Data'!H:H)</f>
        <v>594492</v>
      </c>
      <c r="G39">
        <f>SUMIF('Quarterly Data'!$B:$B,'Annual Data'!$A39,'Quarterly Data'!I:I)</f>
        <v>349359</v>
      </c>
      <c r="H39">
        <f>SUMIF('Quarterly Data'!$B:$B,'Annual Data'!$A39,'Quarterly Data'!J:J)</f>
        <v>347467</v>
      </c>
      <c r="I39">
        <f>SUMIF('Quarterly Data'!$B:$B,'Annual Data'!$A39,'Quarterly Data'!K:K)</f>
        <v>173788.5</v>
      </c>
      <c r="J39">
        <f>SUMIF('Quarterly Data'!$B:$B,'Annual Data'!$A39,'Quarterly Data'!L:L)</f>
        <v>1984701.9</v>
      </c>
      <c r="K39">
        <f>AVERAGEIF('Quarterly Data'!$B:$B,'Annual Data'!$A39,'Quarterly Data'!M:M)</f>
        <v>28798.300000000003</v>
      </c>
      <c r="L39">
        <f>AVERAGEIF('Quarterly Data'!$B:$B,'Annual Data'!$A39,'Quarterly Data'!N:N)</f>
        <v>32.175000000000004</v>
      </c>
      <c r="M39">
        <f>AVERAGEIF('Quarterly Data'!$B:$B,'Annual Data'!$A39,'Quarterly Data'!O:O)</f>
        <v>462180.39999999997</v>
      </c>
      <c r="N39">
        <f>AVERAGEIF('Quarterly Data'!$B:$B,'Annual Data'!$A39,'Quarterly Data'!P:P)</f>
        <v>39942.102500000001</v>
      </c>
      <c r="O39">
        <f>AVERAGEIF('Quarterly Data'!$B:$B,'Annual Data'!$A39,'Quarterly Data'!Q:Q)</f>
        <v>2377750</v>
      </c>
      <c r="P39">
        <f>SUMIF('Quarterly Data'!$B:$B,'Annual Data'!$A39,'Quarterly Data'!R:R)</f>
        <v>-6.7467709999999999</v>
      </c>
      <c r="Q39">
        <f>SUMIF('Quarterly Data'!$B:$B,'Annual Data'!$A39,'Quarterly Data'!S:S)</f>
        <v>2036675</v>
      </c>
      <c r="R39">
        <f>AVERAGEIF('Quarterly Data'!$B:$B,'Annual Data'!$A39,'Quarterly Data'!T:T)</f>
        <v>78.099999999999994</v>
      </c>
      <c r="S39">
        <f>SUMIF('Quarterly Data'!$B:$B,'Annual Data'!$A39,'Quarterly Data'!U:U)</f>
        <v>572158</v>
      </c>
      <c r="T39">
        <f>SUMIF('Quarterly Data'!$B:$B,'Annual Data'!$A39,'Quarterly Data'!V:V)</f>
        <v>282384</v>
      </c>
      <c r="U39">
        <f>SUMIF('Quarterly Data'!$B:$B,'Annual Data'!$A39,'Quarterly Data'!W:W)</f>
        <v>594492</v>
      </c>
      <c r="V39">
        <f>SUMIF('Quarterly Data'!$B:$B,'Annual Data'!$A39,'Quarterly Data'!X:X)</f>
        <v>349359</v>
      </c>
      <c r="W39">
        <f>SUMIF('Quarterly Data'!$B:$B,'Annual Data'!$A39,'Quarterly Data'!Y:Y)</f>
        <v>347467</v>
      </c>
      <c r="X39">
        <f>SUMIF('Quarterly Data'!$B:$B,'Annual Data'!$A39,'Quarterly Data'!Z:Z)</f>
        <v>173788.5</v>
      </c>
      <c r="Y39">
        <f>SUMIF('Quarterly Data'!$B:$B,'Annual Data'!$A39,'Quarterly Data'!AA:AA)</f>
        <v>1984701.9</v>
      </c>
      <c r="Z39">
        <f>AVERAGEIF('Quarterly Data'!$B:$B,'Annual Data'!$A39,'Quarterly Data'!AB:AB)</f>
        <v>28798.300000000003</v>
      </c>
      <c r="AA39">
        <f>AVERAGEIF('Quarterly Data'!$B:$B,'Annual Data'!$A39,'Quarterly Data'!AC:AC)</f>
        <v>32.175000000000004</v>
      </c>
      <c r="AB39">
        <f>AVERAGEIF('Quarterly Data'!$B:$B,'Annual Data'!$A39,'Quarterly Data'!AD:AD)</f>
        <v>462180.39999999997</v>
      </c>
      <c r="AC39">
        <f>AVERAGEIF('Quarterly Data'!$B:$B,'Annual Data'!$A39,'Quarterly Data'!AE:AE)</f>
        <v>39942.102500000001</v>
      </c>
      <c r="AD39">
        <f>AVERAGEIF('Quarterly Data'!$B:$B,'Annual Data'!$A39,'Quarterly Data'!AF:AF)</f>
        <v>2377750</v>
      </c>
      <c r="AE39">
        <f>SUMIF('Quarterly Data'!$B:$B,'Annual Data'!$A39,'Quarterly Data'!AG:AG)</f>
        <v>-6.7467709999999999</v>
      </c>
    </row>
    <row r="40" spans="1:31" x14ac:dyDescent="0.25">
      <c r="A40">
        <v>2006</v>
      </c>
      <c r="B40">
        <f>SUMIF('Quarterly Data'!$B:$B,'Annual Data'!$A40,'Quarterly Data'!D:D)</f>
        <v>2085162</v>
      </c>
      <c r="C40">
        <f>AVERAGEIF('Quarterly Data'!$B:$B,'Annual Data'!$A40,'Quarterly Data'!E:E)</f>
        <v>79.933332500000006</v>
      </c>
      <c r="D40">
        <f>SUMIF('Quarterly Data'!$B:$B,'Annual Data'!$A40,'Quarterly Data'!F:F)</f>
        <v>644883</v>
      </c>
      <c r="E40">
        <f>SUMIF('Quarterly Data'!$B:$B,'Annual Data'!$A40,'Quarterly Data'!G:G)</f>
        <v>332290</v>
      </c>
      <c r="F40">
        <f>SUMIF('Quarterly Data'!$B:$B,'Annual Data'!$A40,'Quarterly Data'!H:H)</f>
        <v>657357</v>
      </c>
      <c r="G40">
        <f>SUMIF('Quarterly Data'!$B:$B,'Annual Data'!$A40,'Quarterly Data'!I:I)</f>
        <v>400631</v>
      </c>
      <c r="H40">
        <f>SUMIF('Quarterly Data'!$B:$B,'Annual Data'!$A40,'Quarterly Data'!J:J)</f>
        <v>357310</v>
      </c>
      <c r="I40">
        <f>SUMIF('Quarterly Data'!$B:$B,'Annual Data'!$A40,'Quarterly Data'!K:K)</f>
        <v>187132</v>
      </c>
      <c r="J40">
        <f>SUMIF('Quarterly Data'!$B:$B,'Annual Data'!$A40,'Quarterly Data'!L:L)</f>
        <v>2040054.2</v>
      </c>
      <c r="K40">
        <f>AVERAGEIF('Quarterly Data'!$B:$B,'Annual Data'!$A40,'Quarterly Data'!M:M)</f>
        <v>29268.075000000001</v>
      </c>
      <c r="L40">
        <f>AVERAGEIF('Quarterly Data'!$B:$B,'Annual Data'!$A40,'Quarterly Data'!N:N)</f>
        <v>32.049999999999997</v>
      </c>
      <c r="M40">
        <f>AVERAGEIF('Quarterly Data'!$B:$B,'Annual Data'!$A40,'Quarterly Data'!O:O)</f>
        <v>476476.1</v>
      </c>
      <c r="N40">
        <f>AVERAGEIF('Quarterly Data'!$B:$B,'Annual Data'!$A40,'Quarterly Data'!P:P)</f>
        <v>40350.639999999999</v>
      </c>
      <c r="O40">
        <f>AVERAGEIF('Quarterly Data'!$B:$B,'Annual Data'!$A40,'Quarterly Data'!Q:Q)</f>
        <v>2443500</v>
      </c>
      <c r="P40">
        <f>SUMIF('Quarterly Data'!$B:$B,'Annual Data'!$A40,'Quarterly Data'!R:R)</f>
        <v>-6.7305950000000001</v>
      </c>
      <c r="Q40">
        <f>SUMIF('Quarterly Data'!$B:$B,'Annual Data'!$A40,'Quarterly Data'!S:S)</f>
        <v>2085162</v>
      </c>
      <c r="R40">
        <f>AVERAGEIF('Quarterly Data'!$B:$B,'Annual Data'!$A40,'Quarterly Data'!T:T)</f>
        <v>79.933332500000006</v>
      </c>
      <c r="S40">
        <f>SUMIF('Quarterly Data'!$B:$B,'Annual Data'!$A40,'Quarterly Data'!U:U)</f>
        <v>644883</v>
      </c>
      <c r="T40">
        <f>SUMIF('Quarterly Data'!$B:$B,'Annual Data'!$A40,'Quarterly Data'!V:V)</f>
        <v>332290</v>
      </c>
      <c r="U40">
        <f>SUMIF('Quarterly Data'!$B:$B,'Annual Data'!$A40,'Quarterly Data'!W:W)</f>
        <v>657357</v>
      </c>
      <c r="V40">
        <f>SUMIF('Quarterly Data'!$B:$B,'Annual Data'!$A40,'Quarterly Data'!X:X)</f>
        <v>400631</v>
      </c>
      <c r="W40">
        <f>SUMIF('Quarterly Data'!$B:$B,'Annual Data'!$A40,'Quarterly Data'!Y:Y)</f>
        <v>357310</v>
      </c>
      <c r="X40">
        <f>SUMIF('Quarterly Data'!$B:$B,'Annual Data'!$A40,'Quarterly Data'!Z:Z)</f>
        <v>187132</v>
      </c>
      <c r="Y40">
        <f>SUMIF('Quarterly Data'!$B:$B,'Annual Data'!$A40,'Quarterly Data'!AA:AA)</f>
        <v>2040054.2</v>
      </c>
      <c r="Z40">
        <f>AVERAGEIF('Quarterly Data'!$B:$B,'Annual Data'!$A40,'Quarterly Data'!AB:AB)</f>
        <v>29268.075000000001</v>
      </c>
      <c r="AA40">
        <f>AVERAGEIF('Quarterly Data'!$B:$B,'Annual Data'!$A40,'Quarterly Data'!AC:AC)</f>
        <v>32.049999999999997</v>
      </c>
      <c r="AB40">
        <f>AVERAGEIF('Quarterly Data'!$B:$B,'Annual Data'!$A40,'Quarterly Data'!AD:AD)</f>
        <v>476476.1</v>
      </c>
      <c r="AC40">
        <f>AVERAGEIF('Quarterly Data'!$B:$B,'Annual Data'!$A40,'Quarterly Data'!AE:AE)</f>
        <v>40350.639999999999</v>
      </c>
      <c r="AD40">
        <f>AVERAGEIF('Quarterly Data'!$B:$B,'Annual Data'!$A40,'Quarterly Data'!AF:AF)</f>
        <v>2443500</v>
      </c>
      <c r="AE40">
        <f>SUMIF('Quarterly Data'!$B:$B,'Annual Data'!$A40,'Quarterly Data'!AG:AG)</f>
        <v>-6.7305950000000001</v>
      </c>
    </row>
    <row r="41" spans="1:31" x14ac:dyDescent="0.25">
      <c r="A41">
        <v>2007</v>
      </c>
      <c r="B41">
        <f>SUMIF('Quarterly Data'!$B:$B,'Annual Data'!$A41,'Quarterly Data'!D:D)</f>
        <v>2139895</v>
      </c>
      <c r="C41">
        <f>AVERAGEIF('Quarterly Data'!$B:$B,'Annual Data'!$A41,'Quarterly Data'!E:E)</f>
        <v>81.7833325</v>
      </c>
      <c r="D41">
        <f>SUMIF('Quarterly Data'!$B:$B,'Annual Data'!$A41,'Quarterly Data'!F:F)</f>
        <v>634819</v>
      </c>
      <c r="E41">
        <f>SUMIF('Quarterly Data'!$B:$B,'Annual Data'!$A41,'Quarterly Data'!G:G)</f>
        <v>299218</v>
      </c>
      <c r="F41">
        <f>SUMIF('Quarterly Data'!$B:$B,'Annual Data'!$A41,'Quarterly Data'!H:H)</f>
        <v>648186</v>
      </c>
      <c r="G41">
        <f>SUMIF('Quarterly Data'!$B:$B,'Annual Data'!$A41,'Quarterly Data'!I:I)</f>
        <v>386230</v>
      </c>
      <c r="H41">
        <f>SUMIF('Quarterly Data'!$B:$B,'Annual Data'!$A41,'Quarterly Data'!J:J)</f>
        <v>373032</v>
      </c>
      <c r="I41">
        <f>SUMIF('Quarterly Data'!$B:$B,'Annual Data'!$A41,'Quarterly Data'!K:K)</f>
        <v>203440</v>
      </c>
      <c r="J41">
        <f>SUMIF('Quarterly Data'!$B:$B,'Annual Data'!$A41,'Quarterly Data'!L:L)</f>
        <v>2087491.9</v>
      </c>
      <c r="K41">
        <f>AVERAGEIF('Quarterly Data'!$B:$B,'Annual Data'!$A41,'Quarterly Data'!M:M)</f>
        <v>29481.350000000002</v>
      </c>
      <c r="L41">
        <f>AVERAGEIF('Quarterly Data'!$B:$B,'Annual Data'!$A41,'Quarterly Data'!N:N)</f>
        <v>32.075000000000003</v>
      </c>
      <c r="M41">
        <f>AVERAGEIF('Quarterly Data'!$B:$B,'Annual Data'!$A41,'Quarterly Data'!O:O)</f>
        <v>489499.25</v>
      </c>
      <c r="N41">
        <f>AVERAGEIF('Quarterly Data'!$B:$B,'Annual Data'!$A41,'Quarterly Data'!P:P)</f>
        <v>40723.555</v>
      </c>
      <c r="O41">
        <f>AVERAGEIF('Quarterly Data'!$B:$B,'Annual Data'!$A41,'Quarterly Data'!Q:Q)</f>
        <v>2521500</v>
      </c>
      <c r="P41">
        <f>SUMIF('Quarterly Data'!$B:$B,'Annual Data'!$A41,'Quarterly Data'!R:R)</f>
        <v>-6.7228560000000002</v>
      </c>
      <c r="Q41">
        <f>SUMIF('Quarterly Data'!$B:$B,'Annual Data'!$A41,'Quarterly Data'!S:S)</f>
        <v>2139895</v>
      </c>
      <c r="R41">
        <f>AVERAGEIF('Quarterly Data'!$B:$B,'Annual Data'!$A41,'Quarterly Data'!T:T)</f>
        <v>81.7833325</v>
      </c>
      <c r="S41">
        <f>SUMIF('Quarterly Data'!$B:$B,'Annual Data'!$A41,'Quarterly Data'!U:U)</f>
        <v>634819</v>
      </c>
      <c r="T41">
        <f>SUMIF('Quarterly Data'!$B:$B,'Annual Data'!$A41,'Quarterly Data'!V:V)</f>
        <v>299218</v>
      </c>
      <c r="U41">
        <f>SUMIF('Quarterly Data'!$B:$B,'Annual Data'!$A41,'Quarterly Data'!W:W)</f>
        <v>648186</v>
      </c>
      <c r="V41">
        <f>SUMIF('Quarterly Data'!$B:$B,'Annual Data'!$A41,'Quarterly Data'!X:X)</f>
        <v>386230</v>
      </c>
      <c r="W41">
        <f>SUMIF('Quarterly Data'!$B:$B,'Annual Data'!$A41,'Quarterly Data'!Y:Y)</f>
        <v>373032</v>
      </c>
      <c r="X41">
        <f>SUMIF('Quarterly Data'!$B:$B,'Annual Data'!$A41,'Quarterly Data'!Z:Z)</f>
        <v>203440</v>
      </c>
      <c r="Y41">
        <f>SUMIF('Quarterly Data'!$B:$B,'Annual Data'!$A41,'Quarterly Data'!AA:AA)</f>
        <v>2087491.9</v>
      </c>
      <c r="Z41">
        <f>AVERAGEIF('Quarterly Data'!$B:$B,'Annual Data'!$A41,'Quarterly Data'!AB:AB)</f>
        <v>29481.350000000002</v>
      </c>
      <c r="AA41">
        <f>AVERAGEIF('Quarterly Data'!$B:$B,'Annual Data'!$A41,'Quarterly Data'!AC:AC)</f>
        <v>32.075000000000003</v>
      </c>
      <c r="AB41">
        <f>AVERAGEIF('Quarterly Data'!$B:$B,'Annual Data'!$A41,'Quarterly Data'!AD:AD)</f>
        <v>489499.25</v>
      </c>
      <c r="AC41">
        <f>AVERAGEIF('Quarterly Data'!$B:$B,'Annual Data'!$A41,'Quarterly Data'!AE:AE)</f>
        <v>40723.555</v>
      </c>
      <c r="AD41">
        <f>AVERAGEIF('Quarterly Data'!$B:$B,'Annual Data'!$A41,'Quarterly Data'!AF:AF)</f>
        <v>2521500</v>
      </c>
      <c r="AE41">
        <f>SUMIF('Quarterly Data'!$B:$B,'Annual Data'!$A41,'Quarterly Data'!AG:AG)</f>
        <v>-6.7228560000000002</v>
      </c>
    </row>
    <row r="42" spans="1:31" x14ac:dyDescent="0.25">
      <c r="A42">
        <v>2008</v>
      </c>
      <c r="B42">
        <f>SUMIF('Quarterly Data'!$B:$B,'Annual Data'!$A42,'Quarterly Data'!D:D)</f>
        <v>2134571</v>
      </c>
      <c r="C42">
        <f>AVERAGEIF('Quarterly Data'!$B:$B,'Annual Data'!$A42,'Quarterly Data'!E:E)</f>
        <v>84.724997500000001</v>
      </c>
      <c r="D42">
        <f>SUMIF('Quarterly Data'!$B:$B,'Annual Data'!$A42,'Quarterly Data'!F:F)</f>
        <v>652113</v>
      </c>
      <c r="E42">
        <f>SUMIF('Quarterly Data'!$B:$B,'Annual Data'!$A42,'Quarterly Data'!G:G)</f>
        <v>297818</v>
      </c>
      <c r="F42">
        <f>SUMIF('Quarterly Data'!$B:$B,'Annual Data'!$A42,'Quarterly Data'!H:H)</f>
        <v>641769</v>
      </c>
      <c r="G42">
        <f>SUMIF('Quarterly Data'!$B:$B,'Annual Data'!$A42,'Quarterly Data'!I:I)</f>
        <v>375851</v>
      </c>
      <c r="H42">
        <f>SUMIF('Quarterly Data'!$B:$B,'Annual Data'!$A42,'Quarterly Data'!J:J)</f>
        <v>360889</v>
      </c>
      <c r="I42">
        <f>SUMIF('Quarterly Data'!$B:$B,'Annual Data'!$A42,'Quarterly Data'!K:K)</f>
        <v>196550</v>
      </c>
      <c r="J42">
        <f>SUMIF('Quarterly Data'!$B:$B,'Annual Data'!$A42,'Quarterly Data'!L:L)</f>
        <v>2131891.2000000002</v>
      </c>
      <c r="K42">
        <f>AVERAGEIF('Quarterly Data'!$B:$B,'Annual Data'!$A42,'Quarterly Data'!M:M)</f>
        <v>29844.012500000001</v>
      </c>
      <c r="L42">
        <f>AVERAGEIF('Quarterly Data'!$B:$B,'Annual Data'!$A42,'Quarterly Data'!N:N)</f>
        <v>31.975000000000001</v>
      </c>
      <c r="M42">
        <f>AVERAGEIF('Quarterly Data'!$B:$B,'Annual Data'!$A42,'Quarterly Data'!O:O)</f>
        <v>500453.125</v>
      </c>
      <c r="N42">
        <f>AVERAGEIF('Quarterly Data'!$B:$B,'Annual Data'!$A42,'Quarterly Data'!P:P)</f>
        <v>41014.32</v>
      </c>
      <c r="O42">
        <f>AVERAGEIF('Quarterly Data'!$B:$B,'Annual Data'!$A42,'Quarterly Data'!Q:Q)</f>
        <v>2595500</v>
      </c>
      <c r="P42">
        <f>SUMIF('Quarterly Data'!$B:$B,'Annual Data'!$A42,'Quarterly Data'!R:R)</f>
        <v>-6.7233599999999996</v>
      </c>
      <c r="Q42">
        <f>SUMIF('Quarterly Data'!$B:$B,'Annual Data'!$A42,'Quarterly Data'!S:S)</f>
        <v>2134571</v>
      </c>
      <c r="R42">
        <f>AVERAGEIF('Quarterly Data'!$B:$B,'Annual Data'!$A42,'Quarterly Data'!T:T)</f>
        <v>84.724997500000001</v>
      </c>
      <c r="S42">
        <f>SUMIF('Quarterly Data'!$B:$B,'Annual Data'!$A42,'Quarterly Data'!U:U)</f>
        <v>652113</v>
      </c>
      <c r="T42">
        <f>SUMIF('Quarterly Data'!$B:$B,'Annual Data'!$A42,'Quarterly Data'!V:V)</f>
        <v>297818</v>
      </c>
      <c r="U42">
        <f>SUMIF('Quarterly Data'!$B:$B,'Annual Data'!$A42,'Quarterly Data'!W:W)</f>
        <v>641769</v>
      </c>
      <c r="V42">
        <f>SUMIF('Quarterly Data'!$B:$B,'Annual Data'!$A42,'Quarterly Data'!X:X)</f>
        <v>375851</v>
      </c>
      <c r="W42">
        <f>SUMIF('Quarterly Data'!$B:$B,'Annual Data'!$A42,'Quarterly Data'!Y:Y)</f>
        <v>360889</v>
      </c>
      <c r="X42">
        <f>SUMIF('Quarterly Data'!$B:$B,'Annual Data'!$A42,'Quarterly Data'!Z:Z)</f>
        <v>196550</v>
      </c>
      <c r="Y42">
        <f>SUMIF('Quarterly Data'!$B:$B,'Annual Data'!$A42,'Quarterly Data'!AA:AA)</f>
        <v>2131891.2000000002</v>
      </c>
      <c r="Z42">
        <f>AVERAGEIF('Quarterly Data'!$B:$B,'Annual Data'!$A42,'Quarterly Data'!AB:AB)</f>
        <v>29844.012500000001</v>
      </c>
      <c r="AA42">
        <f>AVERAGEIF('Quarterly Data'!$B:$B,'Annual Data'!$A42,'Quarterly Data'!AC:AC)</f>
        <v>31.975000000000001</v>
      </c>
      <c r="AB42">
        <f>AVERAGEIF('Quarterly Data'!$B:$B,'Annual Data'!$A42,'Quarterly Data'!AD:AD)</f>
        <v>500453.125</v>
      </c>
      <c r="AC42">
        <f>AVERAGEIF('Quarterly Data'!$B:$B,'Annual Data'!$A42,'Quarterly Data'!AE:AE)</f>
        <v>41014.32</v>
      </c>
      <c r="AD42">
        <f>AVERAGEIF('Quarterly Data'!$B:$B,'Annual Data'!$A42,'Quarterly Data'!AF:AF)</f>
        <v>2595500</v>
      </c>
      <c r="AE42">
        <f>SUMIF('Quarterly Data'!$B:$B,'Annual Data'!$A42,'Quarterly Data'!AG:AG)</f>
        <v>-6.7233599999999996</v>
      </c>
    </row>
    <row r="43" spans="1:31" x14ac:dyDescent="0.25">
      <c r="A43">
        <v>2009</v>
      </c>
      <c r="B43">
        <f>SUMIF('Quarterly Data'!$B:$B,'Annual Data'!$A43,'Quarterly Data'!D:D)</f>
        <v>2035942</v>
      </c>
      <c r="C43">
        <f>AVERAGEIF('Quarterly Data'!$B:$B,'Annual Data'!$A43,'Quarterly Data'!E:E)</f>
        <v>86.575000000000003</v>
      </c>
      <c r="D43">
        <f>SUMIF('Quarterly Data'!$B:$B,'Annual Data'!$A43,'Quarterly Data'!F:F)</f>
        <v>594411</v>
      </c>
      <c r="E43">
        <f>SUMIF('Quarterly Data'!$B:$B,'Annual Data'!$A43,'Quarterly Data'!G:G)</f>
        <v>261052</v>
      </c>
      <c r="F43">
        <f>SUMIF('Quarterly Data'!$B:$B,'Annual Data'!$A43,'Quarterly Data'!H:H)</f>
        <v>596749</v>
      </c>
      <c r="G43">
        <f>SUMIF('Quarterly Data'!$B:$B,'Annual Data'!$A43,'Quarterly Data'!I:I)</f>
        <v>345902</v>
      </c>
      <c r="H43">
        <f>SUMIF('Quarterly Data'!$B:$B,'Annual Data'!$A43,'Quarterly Data'!J:J)</f>
        <v>316526</v>
      </c>
      <c r="I43">
        <f>SUMIF('Quarterly Data'!$B:$B,'Annual Data'!$A43,'Quarterly Data'!K:K)</f>
        <v>163592</v>
      </c>
      <c r="J43">
        <f>SUMIF('Quarterly Data'!$B:$B,'Annual Data'!$A43,'Quarterly Data'!L:L)</f>
        <v>2140455.6</v>
      </c>
      <c r="K43">
        <f>AVERAGEIF('Quarterly Data'!$B:$B,'Annual Data'!$A43,'Quarterly Data'!M:M)</f>
        <v>29980.8125</v>
      </c>
      <c r="L43">
        <f>AVERAGEIF('Quarterly Data'!$B:$B,'Annual Data'!$A43,'Quarterly Data'!N:N)</f>
        <v>31.55</v>
      </c>
      <c r="M43">
        <f>AVERAGEIF('Quarterly Data'!$B:$B,'Annual Data'!$A43,'Quarterly Data'!O:O)</f>
        <v>509276.27500000002</v>
      </c>
      <c r="N43">
        <f>AVERAGEIF('Quarterly Data'!$B:$B,'Annual Data'!$A43,'Quarterly Data'!P:P)</f>
        <v>41237.872500000005</v>
      </c>
      <c r="O43">
        <f>AVERAGEIF('Quarterly Data'!$B:$B,'Annual Data'!$A43,'Quarterly Data'!Q:Q)</f>
        <v>2636625</v>
      </c>
      <c r="P43">
        <f>SUMIF('Quarterly Data'!$B:$B,'Annual Data'!$A43,'Quarterly Data'!R:R)</f>
        <v>-6.7267979999999996</v>
      </c>
      <c r="Q43">
        <f>SUMIF('Quarterly Data'!$B:$B,'Annual Data'!$A43,'Quarterly Data'!S:S)</f>
        <v>2035942</v>
      </c>
      <c r="R43">
        <f>AVERAGEIF('Quarterly Data'!$B:$B,'Annual Data'!$A43,'Quarterly Data'!T:T)</f>
        <v>86.575000000000003</v>
      </c>
      <c r="S43">
        <f>SUMIF('Quarterly Data'!$B:$B,'Annual Data'!$A43,'Quarterly Data'!U:U)</f>
        <v>594411</v>
      </c>
      <c r="T43">
        <f>SUMIF('Quarterly Data'!$B:$B,'Annual Data'!$A43,'Quarterly Data'!V:V)</f>
        <v>261052</v>
      </c>
      <c r="U43">
        <f>SUMIF('Quarterly Data'!$B:$B,'Annual Data'!$A43,'Quarterly Data'!W:W)</f>
        <v>596749</v>
      </c>
      <c r="V43">
        <f>SUMIF('Quarterly Data'!$B:$B,'Annual Data'!$A43,'Quarterly Data'!X:X)</f>
        <v>345902</v>
      </c>
      <c r="W43">
        <f>SUMIF('Quarterly Data'!$B:$B,'Annual Data'!$A43,'Quarterly Data'!Y:Y)</f>
        <v>316526</v>
      </c>
      <c r="X43">
        <f>SUMIF('Quarterly Data'!$B:$B,'Annual Data'!$A43,'Quarterly Data'!Z:Z)</f>
        <v>163592</v>
      </c>
      <c r="Y43">
        <f>SUMIF('Quarterly Data'!$B:$B,'Annual Data'!$A43,'Quarterly Data'!AA:AA)</f>
        <v>2140455.6</v>
      </c>
      <c r="Z43">
        <f>AVERAGEIF('Quarterly Data'!$B:$B,'Annual Data'!$A43,'Quarterly Data'!AB:AB)</f>
        <v>29980.8125</v>
      </c>
      <c r="AA43">
        <f>AVERAGEIF('Quarterly Data'!$B:$B,'Annual Data'!$A43,'Quarterly Data'!AC:AC)</f>
        <v>31.55</v>
      </c>
      <c r="AB43">
        <f>AVERAGEIF('Quarterly Data'!$B:$B,'Annual Data'!$A43,'Quarterly Data'!AD:AD)</f>
        <v>509276.27500000002</v>
      </c>
      <c r="AC43">
        <f>AVERAGEIF('Quarterly Data'!$B:$B,'Annual Data'!$A43,'Quarterly Data'!AE:AE)</f>
        <v>41237.872500000005</v>
      </c>
      <c r="AD43">
        <f>AVERAGEIF('Quarterly Data'!$B:$B,'Annual Data'!$A43,'Quarterly Data'!AF:AF)</f>
        <v>2636625</v>
      </c>
      <c r="AE43">
        <f>SUMIF('Quarterly Data'!$B:$B,'Annual Data'!$A43,'Quarterly Data'!AG:AG)</f>
        <v>-6.7267979999999996</v>
      </c>
    </row>
    <row r="44" spans="1:31" x14ac:dyDescent="0.25">
      <c r="A44">
        <v>2010</v>
      </c>
      <c r="B44">
        <f>SUMIF('Quarterly Data'!$B:$B,'Annual Data'!$A44,'Quarterly Data'!D:D)</f>
        <v>2081411</v>
      </c>
      <c r="C44">
        <f>AVERAGEIF('Quarterly Data'!$B:$B,'Annual Data'!$A44,'Quarterly Data'!E:E)</f>
        <v>89.433332500000006</v>
      </c>
      <c r="D44">
        <f>SUMIF('Quarterly Data'!$B:$B,'Annual Data'!$A44,'Quarterly Data'!F:F)</f>
        <v>633230</v>
      </c>
      <c r="E44">
        <f>SUMIF('Quarterly Data'!$B:$B,'Annual Data'!$A44,'Quarterly Data'!G:G)</f>
        <v>293291</v>
      </c>
      <c r="F44">
        <f>SUMIF('Quarterly Data'!$B:$B,'Annual Data'!$A44,'Quarterly Data'!H:H)</f>
        <v>650294</v>
      </c>
      <c r="G44">
        <f>SUMIF('Quarterly Data'!$B:$B,'Annual Data'!$A44,'Quarterly Data'!I:I)</f>
        <v>386881</v>
      </c>
      <c r="H44">
        <f>SUMIF('Quarterly Data'!$B:$B,'Annual Data'!$A44,'Quarterly Data'!J:J)</f>
        <v>331443</v>
      </c>
      <c r="I44">
        <f>SUMIF('Quarterly Data'!$B:$B,'Annual Data'!$A44,'Quarterly Data'!K:K)</f>
        <v>170549</v>
      </c>
      <c r="J44">
        <f>SUMIF('Quarterly Data'!$B:$B,'Annual Data'!$A44,'Quarterly Data'!L:L)</f>
        <v>2163617.4</v>
      </c>
      <c r="K44">
        <f>AVERAGEIF('Quarterly Data'!$B:$B,'Annual Data'!$A44,'Quarterly Data'!M:M)</f>
        <v>30099.267500000002</v>
      </c>
      <c r="L44">
        <f>AVERAGEIF('Quarterly Data'!$B:$B,'Annual Data'!$A44,'Quarterly Data'!N:N)</f>
        <v>31.650000000000002</v>
      </c>
      <c r="M44">
        <f>AVERAGEIF('Quarterly Data'!$B:$B,'Annual Data'!$A44,'Quarterly Data'!O:O)</f>
        <v>516794.47499999998</v>
      </c>
      <c r="N44">
        <f>AVERAGEIF('Quarterly Data'!$B:$B,'Annual Data'!$A44,'Quarterly Data'!P:P)</f>
        <v>41479.079999999994</v>
      </c>
      <c r="O44">
        <f>AVERAGEIF('Quarterly Data'!$B:$B,'Annual Data'!$A44,'Quarterly Data'!Q:Q)</f>
        <v>2666000</v>
      </c>
      <c r="P44">
        <f>SUMIF('Quarterly Data'!$B:$B,'Annual Data'!$A44,'Quarterly Data'!R:R)</f>
        <v>-6.7274729999999998</v>
      </c>
      <c r="Q44">
        <f>SUMIF('Quarterly Data'!$B:$B,'Annual Data'!$A44,'Quarterly Data'!S:S)</f>
        <v>2081411</v>
      </c>
      <c r="R44">
        <f>AVERAGEIF('Quarterly Data'!$B:$B,'Annual Data'!$A44,'Quarterly Data'!T:T)</f>
        <v>89.433332500000006</v>
      </c>
      <c r="S44">
        <f>SUMIF('Quarterly Data'!$B:$B,'Annual Data'!$A44,'Quarterly Data'!U:U)</f>
        <v>633230</v>
      </c>
      <c r="T44">
        <f>SUMIF('Quarterly Data'!$B:$B,'Annual Data'!$A44,'Quarterly Data'!V:V)</f>
        <v>293291</v>
      </c>
      <c r="U44">
        <f>SUMIF('Quarterly Data'!$B:$B,'Annual Data'!$A44,'Quarterly Data'!W:W)</f>
        <v>650294</v>
      </c>
      <c r="V44">
        <f>SUMIF('Quarterly Data'!$B:$B,'Annual Data'!$A44,'Quarterly Data'!X:X)</f>
        <v>386881</v>
      </c>
      <c r="W44">
        <f>SUMIF('Quarterly Data'!$B:$B,'Annual Data'!$A44,'Quarterly Data'!Y:Y)</f>
        <v>331443</v>
      </c>
      <c r="X44">
        <f>SUMIF('Quarterly Data'!$B:$B,'Annual Data'!$A44,'Quarterly Data'!Z:Z)</f>
        <v>170549</v>
      </c>
      <c r="Y44">
        <f>SUMIF('Quarterly Data'!$B:$B,'Annual Data'!$A44,'Quarterly Data'!AA:AA)</f>
        <v>2163617.4</v>
      </c>
      <c r="Z44">
        <f>AVERAGEIF('Quarterly Data'!$B:$B,'Annual Data'!$A44,'Quarterly Data'!AB:AB)</f>
        <v>30099.267500000002</v>
      </c>
      <c r="AA44">
        <f>AVERAGEIF('Quarterly Data'!$B:$B,'Annual Data'!$A44,'Quarterly Data'!AC:AC)</f>
        <v>31.650000000000002</v>
      </c>
      <c r="AB44">
        <f>AVERAGEIF('Quarterly Data'!$B:$B,'Annual Data'!$A44,'Quarterly Data'!AD:AD)</f>
        <v>516794.47499999998</v>
      </c>
      <c r="AC44">
        <f>AVERAGEIF('Quarterly Data'!$B:$B,'Annual Data'!$A44,'Quarterly Data'!AE:AE)</f>
        <v>41479.079999999994</v>
      </c>
      <c r="AD44">
        <f>AVERAGEIF('Quarterly Data'!$B:$B,'Annual Data'!$A44,'Quarterly Data'!AF:AF)</f>
        <v>2666000</v>
      </c>
      <c r="AE44">
        <f>SUMIF('Quarterly Data'!$B:$B,'Annual Data'!$A44,'Quarterly Data'!AG:AG)</f>
        <v>-6.7274729999999998</v>
      </c>
    </row>
    <row r="45" spans="1:31" x14ac:dyDescent="0.25">
      <c r="A45">
        <v>2011</v>
      </c>
      <c r="B45">
        <f>SUMIF('Quarterly Data'!$B:$B,'Annual Data'!$A45,'Quarterly Data'!D:D)</f>
        <v>2105105</v>
      </c>
      <c r="C45">
        <f>AVERAGEIF('Quarterly Data'!$B:$B,'Annual Data'!$A45,'Quarterly Data'!E:E)</f>
        <v>93.425002500000005</v>
      </c>
      <c r="D45">
        <f>SUMIF('Quarterly Data'!$B:$B,'Annual Data'!$A45,'Quarterly Data'!F:F)</f>
        <v>677165</v>
      </c>
      <c r="E45">
        <f>SUMIF('Quarterly Data'!$B:$B,'Annual Data'!$A45,'Quarterly Data'!G:G)</f>
        <v>321747</v>
      </c>
      <c r="F45">
        <f>SUMIF('Quarterly Data'!$B:$B,'Annual Data'!$A45,'Quarterly Data'!H:H)</f>
        <v>669364</v>
      </c>
      <c r="G45">
        <f>SUMIF('Quarterly Data'!$B:$B,'Annual Data'!$A45,'Quarterly Data'!I:I)</f>
        <v>393647</v>
      </c>
      <c r="H45">
        <f>SUMIF('Quarterly Data'!$B:$B,'Annual Data'!$A45,'Quarterly Data'!J:J)</f>
        <v>331794</v>
      </c>
      <c r="I45">
        <f>SUMIF('Quarterly Data'!$B:$B,'Annual Data'!$A45,'Quarterly Data'!K:K)</f>
        <v>180663</v>
      </c>
      <c r="J45">
        <f>SUMIF('Quarterly Data'!$B:$B,'Annual Data'!$A45,'Quarterly Data'!L:L)</f>
        <v>2183102.2000000002</v>
      </c>
      <c r="K45">
        <f>AVERAGEIF('Quarterly Data'!$B:$B,'Annual Data'!$A45,'Quarterly Data'!M:M)</f>
        <v>30283.3675</v>
      </c>
      <c r="L45">
        <f>AVERAGEIF('Quarterly Data'!$B:$B,'Annual Data'!$A45,'Quarterly Data'!N:N)</f>
        <v>31.575000000000003</v>
      </c>
      <c r="M45">
        <f>AVERAGEIF('Quarterly Data'!$B:$B,'Annual Data'!$A45,'Quarterly Data'!O:O)</f>
        <v>523972.85</v>
      </c>
      <c r="N45">
        <f>AVERAGEIF('Quarterly Data'!$B:$B,'Annual Data'!$A45,'Quarterly Data'!P:P)</f>
        <v>41688.017500000002</v>
      </c>
      <c r="O45">
        <f>AVERAGEIF('Quarterly Data'!$B:$B,'Annual Data'!$A45,'Quarterly Data'!Q:Q)</f>
        <v>2696750</v>
      </c>
      <c r="P45">
        <f>SUMIF('Quarterly Data'!$B:$B,'Annual Data'!$A45,'Quarterly Data'!R:R)</f>
        <v>-6.7281559999999994</v>
      </c>
      <c r="Q45">
        <f>SUMIF('Quarterly Data'!$B:$B,'Annual Data'!$A45,'Quarterly Data'!S:S)</f>
        <v>2105105</v>
      </c>
      <c r="R45">
        <f>AVERAGEIF('Quarterly Data'!$B:$B,'Annual Data'!$A45,'Quarterly Data'!T:T)</f>
        <v>93.425002500000005</v>
      </c>
      <c r="S45">
        <f>SUMIF('Quarterly Data'!$B:$B,'Annual Data'!$A45,'Quarterly Data'!U:U)</f>
        <v>677165</v>
      </c>
      <c r="T45">
        <f>SUMIF('Quarterly Data'!$B:$B,'Annual Data'!$A45,'Quarterly Data'!V:V)</f>
        <v>321747</v>
      </c>
      <c r="U45">
        <f>SUMIF('Quarterly Data'!$B:$B,'Annual Data'!$A45,'Quarterly Data'!W:W)</f>
        <v>669364</v>
      </c>
      <c r="V45">
        <f>SUMIF('Quarterly Data'!$B:$B,'Annual Data'!$A45,'Quarterly Data'!X:X)</f>
        <v>393647</v>
      </c>
      <c r="W45">
        <f>SUMIF('Quarterly Data'!$B:$B,'Annual Data'!$A45,'Quarterly Data'!Y:Y)</f>
        <v>331794</v>
      </c>
      <c r="X45">
        <f>SUMIF('Quarterly Data'!$B:$B,'Annual Data'!$A45,'Quarterly Data'!Z:Z)</f>
        <v>180663</v>
      </c>
      <c r="Y45">
        <f>SUMIF('Quarterly Data'!$B:$B,'Annual Data'!$A45,'Quarterly Data'!AA:AA)</f>
        <v>2183102.2000000002</v>
      </c>
      <c r="Z45">
        <f>AVERAGEIF('Quarterly Data'!$B:$B,'Annual Data'!$A45,'Quarterly Data'!AB:AB)</f>
        <v>30283.3675</v>
      </c>
      <c r="AA45">
        <f>AVERAGEIF('Quarterly Data'!$B:$B,'Annual Data'!$A45,'Quarterly Data'!AC:AC)</f>
        <v>31.575000000000003</v>
      </c>
      <c r="AB45">
        <f>AVERAGEIF('Quarterly Data'!$B:$B,'Annual Data'!$A45,'Quarterly Data'!AD:AD)</f>
        <v>523972.85</v>
      </c>
      <c r="AC45">
        <f>AVERAGEIF('Quarterly Data'!$B:$B,'Annual Data'!$A45,'Quarterly Data'!AE:AE)</f>
        <v>41688.017500000002</v>
      </c>
      <c r="AD45">
        <f>AVERAGEIF('Quarterly Data'!$B:$B,'Annual Data'!$A45,'Quarterly Data'!AF:AF)</f>
        <v>2696750</v>
      </c>
      <c r="AE45">
        <f>SUMIF('Quarterly Data'!$B:$B,'Annual Data'!$A45,'Quarterly Data'!AG:AG)</f>
        <v>-6.7281559999999994</v>
      </c>
    </row>
    <row r="46" spans="1:31" x14ac:dyDescent="0.25">
      <c r="A46">
        <v>2012</v>
      </c>
      <c r="B46">
        <f>SUMIF('Quarterly Data'!$B:$B,'Annual Data'!$A46,'Quarterly Data'!D:D)</f>
        <v>2136871</v>
      </c>
      <c r="C46">
        <f>AVERAGEIF('Quarterly Data'!$B:$B,'Annual Data'!$A46,'Quarterly Data'!E:E)</f>
        <v>96.041667499999988</v>
      </c>
      <c r="D46">
        <f>SUMIF('Quarterly Data'!$B:$B,'Annual Data'!$A46,'Quarterly Data'!F:F)</f>
        <v>682230</v>
      </c>
      <c r="E46">
        <f>SUMIF('Quarterly Data'!$B:$B,'Annual Data'!$A46,'Quarterly Data'!G:G)</f>
        <v>319513</v>
      </c>
      <c r="F46">
        <f>SUMIF('Quarterly Data'!$B:$B,'Annual Data'!$A46,'Quarterly Data'!H:H)</f>
        <v>685845</v>
      </c>
      <c r="G46">
        <f>SUMIF('Quarterly Data'!$B:$B,'Annual Data'!$A46,'Quarterly Data'!I:I)</f>
        <v>397798</v>
      </c>
      <c r="H46">
        <f>SUMIF('Quarterly Data'!$B:$B,'Annual Data'!$A46,'Quarterly Data'!J:J)</f>
        <v>337186</v>
      </c>
      <c r="I46">
        <f>SUMIF('Quarterly Data'!$B:$B,'Annual Data'!$A46,'Quarterly Data'!K:K)</f>
        <v>193379</v>
      </c>
      <c r="J46">
        <f>SUMIF('Quarterly Data'!$B:$B,'Annual Data'!$A46,'Quarterly Data'!L:L)</f>
        <v>2222445.2999999998</v>
      </c>
      <c r="K46">
        <f>AVERAGEIF('Quarterly Data'!$B:$B,'Annual Data'!$A46,'Quarterly Data'!M:M)</f>
        <v>30581.235000000001</v>
      </c>
      <c r="L46">
        <f>AVERAGEIF('Quarterly Data'!$B:$B,'Annual Data'!$A46,'Quarterly Data'!N:N)</f>
        <v>31.825000000000003</v>
      </c>
      <c r="M46">
        <f>AVERAGEIF('Quarterly Data'!$B:$B,'Annual Data'!$A46,'Quarterly Data'!O:O)</f>
        <v>528470.375</v>
      </c>
      <c r="N46">
        <f>AVERAGEIF('Quarterly Data'!$B:$B,'Annual Data'!$A46,'Quarterly Data'!P:P)</f>
        <v>41689.72</v>
      </c>
      <c r="O46">
        <f>AVERAGEIF('Quarterly Data'!$B:$B,'Annual Data'!$A46,'Quarterly Data'!Q:Q)</f>
        <v>2728000</v>
      </c>
      <c r="P46">
        <f>SUMIF('Quarterly Data'!$B:$B,'Annual Data'!$A46,'Quarterly Data'!R:R)</f>
        <v>-6.7288390000000007</v>
      </c>
      <c r="Q46">
        <f>SUMIF('Quarterly Data'!$B:$B,'Annual Data'!$A46,'Quarterly Data'!S:S)</f>
        <v>2136871</v>
      </c>
      <c r="R46">
        <f>AVERAGEIF('Quarterly Data'!$B:$B,'Annual Data'!$A46,'Quarterly Data'!T:T)</f>
        <v>96.041667499999988</v>
      </c>
      <c r="S46">
        <f>SUMIF('Quarterly Data'!$B:$B,'Annual Data'!$A46,'Quarterly Data'!U:U)</f>
        <v>682230</v>
      </c>
      <c r="T46">
        <f>SUMIF('Quarterly Data'!$B:$B,'Annual Data'!$A46,'Quarterly Data'!V:V)</f>
        <v>319513</v>
      </c>
      <c r="U46">
        <f>SUMIF('Quarterly Data'!$B:$B,'Annual Data'!$A46,'Quarterly Data'!W:W)</f>
        <v>685845</v>
      </c>
      <c r="V46">
        <f>SUMIF('Quarterly Data'!$B:$B,'Annual Data'!$A46,'Quarterly Data'!X:X)</f>
        <v>397798</v>
      </c>
      <c r="W46">
        <f>SUMIF('Quarterly Data'!$B:$B,'Annual Data'!$A46,'Quarterly Data'!Y:Y)</f>
        <v>337186</v>
      </c>
      <c r="X46">
        <f>SUMIF('Quarterly Data'!$B:$B,'Annual Data'!$A46,'Quarterly Data'!Z:Z)</f>
        <v>193379</v>
      </c>
      <c r="Y46">
        <f>SUMIF('Quarterly Data'!$B:$B,'Annual Data'!$A46,'Quarterly Data'!AA:AA)</f>
        <v>2222445.2999999998</v>
      </c>
      <c r="Z46">
        <f>AVERAGEIF('Quarterly Data'!$B:$B,'Annual Data'!$A46,'Quarterly Data'!AB:AB)</f>
        <v>30581.235000000001</v>
      </c>
      <c r="AA46">
        <f>AVERAGEIF('Quarterly Data'!$B:$B,'Annual Data'!$A46,'Quarterly Data'!AC:AC)</f>
        <v>31.825000000000003</v>
      </c>
      <c r="AB46">
        <f>AVERAGEIF('Quarterly Data'!$B:$B,'Annual Data'!$A46,'Quarterly Data'!AD:AD)</f>
        <v>528470.375</v>
      </c>
      <c r="AC46">
        <f>AVERAGEIF('Quarterly Data'!$B:$B,'Annual Data'!$A46,'Quarterly Data'!AE:AE)</f>
        <v>41689.72</v>
      </c>
      <c r="AD46">
        <f>AVERAGEIF('Quarterly Data'!$B:$B,'Annual Data'!$A46,'Quarterly Data'!AF:AF)</f>
        <v>2728000</v>
      </c>
      <c r="AE46">
        <f>SUMIF('Quarterly Data'!$B:$B,'Annual Data'!$A46,'Quarterly Data'!AG:AG)</f>
        <v>-6.7288390000000007</v>
      </c>
    </row>
    <row r="47" spans="1:31" x14ac:dyDescent="0.25">
      <c r="A47">
        <v>2013</v>
      </c>
      <c r="B47">
        <f>SUMIF('Quarterly Data'!$B:$B,'Annual Data'!$A47,'Quarterly Data'!D:D)</f>
        <v>2175333</v>
      </c>
      <c r="C47">
        <f>AVERAGEIF('Quarterly Data'!$B:$B,'Annual Data'!$A47,'Quarterly Data'!E:E)</f>
        <v>98.508332499999995</v>
      </c>
      <c r="D47">
        <f>SUMIF('Quarterly Data'!$B:$B,'Annual Data'!$A47,'Quarterly Data'!F:F)</f>
        <v>684213</v>
      </c>
      <c r="E47">
        <f>SUMIF('Quarterly Data'!$B:$B,'Annual Data'!$A47,'Quarterly Data'!G:G)</f>
        <v>319334</v>
      </c>
      <c r="F47">
        <f>SUMIF('Quarterly Data'!$B:$B,'Annual Data'!$A47,'Quarterly Data'!H:H)</f>
        <v>708062</v>
      </c>
      <c r="G47">
        <f>SUMIF('Quarterly Data'!$B:$B,'Annual Data'!$A47,'Quarterly Data'!I:I)</f>
        <v>421510</v>
      </c>
      <c r="H47">
        <f>SUMIF('Quarterly Data'!$B:$B,'Annual Data'!$A47,'Quarterly Data'!J:J)</f>
        <v>348041</v>
      </c>
      <c r="I47">
        <f>SUMIF('Quarterly Data'!$B:$B,'Annual Data'!$A47,'Quarterly Data'!K:K)</f>
        <v>200330</v>
      </c>
      <c r="J47">
        <f>SUMIF('Quarterly Data'!$B:$B,'Annual Data'!$A47,'Quarterly Data'!L:L)</f>
        <v>2260033.9</v>
      </c>
      <c r="K47">
        <f>AVERAGEIF('Quarterly Data'!$B:$B,'Annual Data'!$A47,'Quarterly Data'!M:M)</f>
        <v>30844.499999999996</v>
      </c>
      <c r="L47">
        <f>AVERAGEIF('Quarterly Data'!$B:$B,'Annual Data'!$A47,'Quarterly Data'!N:N)</f>
        <v>32.049999999999997</v>
      </c>
      <c r="M47">
        <f>AVERAGEIF('Quarterly Data'!$B:$B,'Annual Data'!$A47,'Quarterly Data'!O:O)</f>
        <v>533606.32499999995</v>
      </c>
      <c r="N47">
        <f>AVERAGEIF('Quarterly Data'!$B:$B,'Annual Data'!$A47,'Quarterly Data'!P:P)</f>
        <v>41750.402499999997</v>
      </c>
      <c r="O47">
        <f>AVERAGEIF('Quarterly Data'!$B:$B,'Annual Data'!$A47,'Quarterly Data'!Q:Q)</f>
        <v>2763125</v>
      </c>
      <c r="P47">
        <f>SUMIF('Quarterly Data'!$B:$B,'Annual Data'!$A47,'Quarterly Data'!R:R)</f>
        <v>-6.7295210000000001</v>
      </c>
      <c r="Q47">
        <f>SUMIF('Quarterly Data'!$B:$B,'Annual Data'!$A47,'Quarterly Data'!S:S)</f>
        <v>2175333</v>
      </c>
      <c r="R47">
        <f>AVERAGEIF('Quarterly Data'!$B:$B,'Annual Data'!$A47,'Quarterly Data'!T:T)</f>
        <v>98.508332499999995</v>
      </c>
      <c r="S47">
        <f>SUMIF('Quarterly Data'!$B:$B,'Annual Data'!$A47,'Quarterly Data'!U:U)</f>
        <v>684213</v>
      </c>
      <c r="T47">
        <f>SUMIF('Quarterly Data'!$B:$B,'Annual Data'!$A47,'Quarterly Data'!V:V)</f>
        <v>319334</v>
      </c>
      <c r="U47">
        <f>SUMIF('Quarterly Data'!$B:$B,'Annual Data'!$A47,'Quarterly Data'!W:W)</f>
        <v>708062</v>
      </c>
      <c r="V47">
        <f>SUMIF('Quarterly Data'!$B:$B,'Annual Data'!$A47,'Quarterly Data'!X:X)</f>
        <v>421510</v>
      </c>
      <c r="W47">
        <f>SUMIF('Quarterly Data'!$B:$B,'Annual Data'!$A47,'Quarterly Data'!Y:Y)</f>
        <v>348041</v>
      </c>
      <c r="X47">
        <f>SUMIF('Quarterly Data'!$B:$B,'Annual Data'!$A47,'Quarterly Data'!Z:Z)</f>
        <v>200330</v>
      </c>
      <c r="Y47">
        <f>SUMIF('Quarterly Data'!$B:$B,'Annual Data'!$A47,'Quarterly Data'!AA:AA)</f>
        <v>2260033.9</v>
      </c>
      <c r="Z47">
        <f>AVERAGEIF('Quarterly Data'!$B:$B,'Annual Data'!$A47,'Quarterly Data'!AB:AB)</f>
        <v>30844.499999999996</v>
      </c>
      <c r="AA47">
        <f>AVERAGEIF('Quarterly Data'!$B:$B,'Annual Data'!$A47,'Quarterly Data'!AC:AC)</f>
        <v>32.049999999999997</v>
      </c>
      <c r="AB47">
        <f>AVERAGEIF('Quarterly Data'!$B:$B,'Annual Data'!$A47,'Quarterly Data'!AD:AD)</f>
        <v>533606.32499999995</v>
      </c>
      <c r="AC47">
        <f>AVERAGEIF('Quarterly Data'!$B:$B,'Annual Data'!$A47,'Quarterly Data'!AE:AE)</f>
        <v>41750.402499999997</v>
      </c>
      <c r="AD47">
        <f>AVERAGEIF('Quarterly Data'!$B:$B,'Annual Data'!$A47,'Quarterly Data'!AF:AF)</f>
        <v>2763125</v>
      </c>
      <c r="AE47">
        <f>SUMIF('Quarterly Data'!$B:$B,'Annual Data'!$A47,'Quarterly Data'!AG:AG)</f>
        <v>-6.7295210000000001</v>
      </c>
    </row>
    <row r="48" spans="1:31" x14ac:dyDescent="0.25">
      <c r="A48">
        <v>2014</v>
      </c>
      <c r="B48">
        <f>SUMIF('Quarterly Data'!$B:$B,'Annual Data'!$A48,'Quarterly Data'!D:D)</f>
        <v>2244827</v>
      </c>
      <c r="C48">
        <f>AVERAGEIF('Quarterly Data'!$B:$B,'Annual Data'!$A48,'Quarterly Data'!E:E)</f>
        <v>99.958325000000002</v>
      </c>
      <c r="D48">
        <f>SUMIF('Quarterly Data'!$B:$B,'Annual Data'!$A48,'Quarterly Data'!F:F)</f>
        <v>691115</v>
      </c>
      <c r="E48">
        <f>SUMIF('Quarterly Data'!$B:$B,'Annual Data'!$A48,'Quarterly Data'!G:G)</f>
        <v>326617</v>
      </c>
      <c r="F48">
        <f>SUMIF('Quarterly Data'!$B:$B,'Annual Data'!$A48,'Quarterly Data'!H:H)</f>
        <v>744137</v>
      </c>
      <c r="G48">
        <f>SUMIF('Quarterly Data'!$B:$B,'Annual Data'!$A48,'Quarterly Data'!I:I)</f>
        <v>447232</v>
      </c>
      <c r="H48">
        <f>SUMIF('Quarterly Data'!$B:$B,'Annual Data'!$A48,'Quarterly Data'!J:J)</f>
        <v>372530</v>
      </c>
      <c r="I48">
        <f>SUMIF('Quarterly Data'!$B:$B,'Annual Data'!$A48,'Quarterly Data'!K:K)</f>
        <v>211329</v>
      </c>
      <c r="J48">
        <f>SUMIF('Quarterly Data'!$B:$B,'Annual Data'!$A48,'Quarterly Data'!L:L)</f>
        <v>2295957.9</v>
      </c>
      <c r="K48">
        <f>AVERAGEIF('Quarterly Data'!$B:$B,'Annual Data'!$A48,'Quarterly Data'!M:M)</f>
        <v>31116.067500000001</v>
      </c>
      <c r="L48">
        <f>AVERAGEIF('Quarterly Data'!$B:$B,'Annual Data'!$A48,'Quarterly Data'!N:N)</f>
        <v>32.175000000000004</v>
      </c>
      <c r="M48">
        <f>AVERAGEIF('Quarterly Data'!$B:$B,'Annual Data'!$A48,'Quarterly Data'!O:O)</f>
        <v>539818.35</v>
      </c>
      <c r="N48">
        <f>AVERAGEIF('Quarterly Data'!$B:$B,'Annual Data'!$A48,'Quarterly Data'!P:P)</f>
        <v>41901.802499999998</v>
      </c>
      <c r="O48">
        <f>AVERAGEIF('Quarterly Data'!$B:$B,'Annual Data'!$A48,'Quarterly Data'!Q:Q)</f>
        <v>2808875</v>
      </c>
      <c r="P48">
        <f>SUMIF('Quarterly Data'!$B:$B,'Annual Data'!$A48,'Quarterly Data'!R:R)</f>
        <v>-6.7302040000000005</v>
      </c>
      <c r="Q48">
        <f>SUMIF('Quarterly Data'!$B:$B,'Annual Data'!$A48,'Quarterly Data'!S:S)</f>
        <v>2244827</v>
      </c>
      <c r="R48">
        <f>AVERAGEIF('Quarterly Data'!$B:$B,'Annual Data'!$A48,'Quarterly Data'!T:T)</f>
        <v>99.958325000000002</v>
      </c>
      <c r="S48">
        <f>SUMIF('Quarterly Data'!$B:$B,'Annual Data'!$A48,'Quarterly Data'!U:U)</f>
        <v>691115</v>
      </c>
      <c r="T48">
        <f>SUMIF('Quarterly Data'!$B:$B,'Annual Data'!$A48,'Quarterly Data'!V:V)</f>
        <v>326617</v>
      </c>
      <c r="U48">
        <f>SUMIF('Quarterly Data'!$B:$B,'Annual Data'!$A48,'Quarterly Data'!W:W)</f>
        <v>744137</v>
      </c>
      <c r="V48">
        <f>SUMIF('Quarterly Data'!$B:$B,'Annual Data'!$A48,'Quarterly Data'!X:X)</f>
        <v>447232</v>
      </c>
      <c r="W48">
        <f>SUMIF('Quarterly Data'!$B:$B,'Annual Data'!$A48,'Quarterly Data'!Y:Y)</f>
        <v>372530</v>
      </c>
      <c r="X48">
        <f>SUMIF('Quarterly Data'!$B:$B,'Annual Data'!$A48,'Quarterly Data'!Z:Z)</f>
        <v>211329</v>
      </c>
      <c r="Y48">
        <f>SUMIF('Quarterly Data'!$B:$B,'Annual Data'!$A48,'Quarterly Data'!AA:AA)</f>
        <v>2295957.9</v>
      </c>
      <c r="Z48">
        <f>AVERAGEIF('Quarterly Data'!$B:$B,'Annual Data'!$A48,'Quarterly Data'!AB:AB)</f>
        <v>31116.067500000001</v>
      </c>
      <c r="AA48">
        <f>AVERAGEIF('Quarterly Data'!$B:$B,'Annual Data'!$A48,'Quarterly Data'!AC:AC)</f>
        <v>32.175000000000004</v>
      </c>
      <c r="AB48">
        <f>AVERAGEIF('Quarterly Data'!$B:$B,'Annual Data'!$A48,'Quarterly Data'!AD:AD)</f>
        <v>539818.35</v>
      </c>
      <c r="AC48">
        <f>AVERAGEIF('Quarterly Data'!$B:$B,'Annual Data'!$A48,'Quarterly Data'!AE:AE)</f>
        <v>41901.802499999998</v>
      </c>
      <c r="AD48">
        <f>AVERAGEIF('Quarterly Data'!$B:$B,'Annual Data'!$A48,'Quarterly Data'!AF:AF)</f>
        <v>2808875</v>
      </c>
      <c r="AE48">
        <f>SUMIF('Quarterly Data'!$B:$B,'Annual Data'!$A48,'Quarterly Data'!AG:AG)</f>
        <v>-6.7302040000000005</v>
      </c>
    </row>
    <row r="49" spans="1:31" x14ac:dyDescent="0.25">
      <c r="A49">
        <v>2015</v>
      </c>
      <c r="B49">
        <f>SUMIF('Quarterly Data'!$B:$B,'Annual Data'!$A49,'Quarterly Data'!D:D)</f>
        <v>2294727</v>
      </c>
      <c r="C49">
        <f>AVERAGEIF('Quarterly Data'!$B:$B,'Annual Data'!$A49,'Quarterly Data'!E:E)</f>
        <v>100.00835000000001</v>
      </c>
      <c r="D49">
        <f>SUMIF('Quarterly Data'!$B:$B,'Annual Data'!$A49,'Quarterly Data'!F:F)</f>
        <v>717177</v>
      </c>
      <c r="E49">
        <f>SUMIF('Quarterly Data'!$B:$B,'Annual Data'!$A49,'Quarterly Data'!G:G)</f>
        <v>335013</v>
      </c>
      <c r="F49">
        <f>SUMIF('Quarterly Data'!$B:$B,'Annual Data'!$A49,'Quarterly Data'!H:H)</f>
        <v>781010</v>
      </c>
      <c r="G49">
        <f>SUMIF('Quarterly Data'!$B:$B,'Annual Data'!$A49,'Quarterly Data'!I:I)</f>
        <v>463749</v>
      </c>
      <c r="H49">
        <f>SUMIF('Quarterly Data'!$B:$B,'Annual Data'!$A49,'Quarterly Data'!J:J)</f>
        <v>399154</v>
      </c>
      <c r="I49">
        <f>SUMIF('Quarterly Data'!$B:$B,'Annual Data'!$A49,'Quarterly Data'!K:K)</f>
        <v>231101</v>
      </c>
      <c r="J49">
        <f>SUMIF('Quarterly Data'!$B:$B,'Annual Data'!$A49,'Quarterly Data'!L:L)</f>
        <v>2330741.1</v>
      </c>
      <c r="K49">
        <f>AVERAGEIF('Quarterly Data'!$B:$B,'Annual Data'!$A49,'Quarterly Data'!M:M)</f>
        <v>31474.145000000004</v>
      </c>
      <c r="L49">
        <f>AVERAGEIF('Quarterly Data'!$B:$B,'Annual Data'!$A49,'Quarterly Data'!N:N)</f>
        <v>32.099999999999994</v>
      </c>
      <c r="M49">
        <f>AVERAGEIF('Quarterly Data'!$B:$B,'Annual Data'!$A49,'Quarterly Data'!O:O)</f>
        <v>546756.75</v>
      </c>
      <c r="N49">
        <f>AVERAGEIF('Quarterly Data'!$B:$B,'Annual Data'!$A49,'Quarterly Data'!P:P)</f>
        <v>42114.539999999994</v>
      </c>
      <c r="O49">
        <f>AVERAGEIF('Quarterly Data'!$B:$B,'Annual Data'!$A49,'Quarterly Data'!Q:Q)</f>
        <v>2868625</v>
      </c>
      <c r="P49">
        <f>SUMIF('Quarterly Data'!$B:$B,'Annual Data'!$A49,'Quarterly Data'!R:R)</f>
        <v>-6.7308880000000002</v>
      </c>
      <c r="Q49">
        <f>SUMIF('Quarterly Data'!$B:$B,'Annual Data'!$A49,'Quarterly Data'!S:S)</f>
        <v>2294727</v>
      </c>
      <c r="R49">
        <f>AVERAGEIF('Quarterly Data'!$B:$B,'Annual Data'!$A49,'Quarterly Data'!T:T)</f>
        <v>100.00835000000001</v>
      </c>
      <c r="S49">
        <f>SUMIF('Quarterly Data'!$B:$B,'Annual Data'!$A49,'Quarterly Data'!U:U)</f>
        <v>717177</v>
      </c>
      <c r="T49">
        <f>SUMIF('Quarterly Data'!$B:$B,'Annual Data'!$A49,'Quarterly Data'!V:V)</f>
        <v>335013</v>
      </c>
      <c r="U49">
        <f>SUMIF('Quarterly Data'!$B:$B,'Annual Data'!$A49,'Quarterly Data'!W:W)</f>
        <v>781010</v>
      </c>
      <c r="V49">
        <f>SUMIF('Quarterly Data'!$B:$B,'Annual Data'!$A49,'Quarterly Data'!X:X)</f>
        <v>463749</v>
      </c>
      <c r="W49">
        <f>SUMIF('Quarterly Data'!$B:$B,'Annual Data'!$A49,'Quarterly Data'!Y:Y)</f>
        <v>399154</v>
      </c>
      <c r="X49">
        <f>SUMIF('Quarterly Data'!$B:$B,'Annual Data'!$A49,'Quarterly Data'!Z:Z)</f>
        <v>231101</v>
      </c>
      <c r="Y49">
        <f>SUMIF('Quarterly Data'!$B:$B,'Annual Data'!$A49,'Quarterly Data'!AA:AA)</f>
        <v>2330741.1</v>
      </c>
      <c r="Z49">
        <f>AVERAGEIF('Quarterly Data'!$B:$B,'Annual Data'!$A49,'Quarterly Data'!AB:AB)</f>
        <v>31474.145000000004</v>
      </c>
      <c r="AA49">
        <f>AVERAGEIF('Quarterly Data'!$B:$B,'Annual Data'!$A49,'Quarterly Data'!AC:AC)</f>
        <v>32.099999999999994</v>
      </c>
      <c r="AB49">
        <f>AVERAGEIF('Quarterly Data'!$B:$B,'Annual Data'!$A49,'Quarterly Data'!AD:AD)</f>
        <v>546756.75</v>
      </c>
      <c r="AC49">
        <f>AVERAGEIF('Quarterly Data'!$B:$B,'Annual Data'!$A49,'Quarterly Data'!AE:AE)</f>
        <v>42114.539999999994</v>
      </c>
      <c r="AD49">
        <f>AVERAGEIF('Quarterly Data'!$B:$B,'Annual Data'!$A49,'Quarterly Data'!AF:AF)</f>
        <v>2868625</v>
      </c>
      <c r="AE49">
        <f>SUMIF('Quarterly Data'!$B:$B,'Annual Data'!$A49,'Quarterly Data'!AG:AG)</f>
        <v>-6.7308880000000002</v>
      </c>
    </row>
    <row r="50" spans="1:31" x14ac:dyDescent="0.25">
      <c r="A50">
        <v>2016</v>
      </c>
      <c r="B50">
        <f>SUMIF('Quarterly Data'!$B:$B,'Annual Data'!$A50,'Quarterly Data'!D:D)</f>
        <v>2338825</v>
      </c>
      <c r="C50">
        <f>AVERAGEIF('Quarterly Data'!$B:$B,'Annual Data'!$A50,'Quarterly Data'!E:E)</f>
        <v>100.65000999999999</v>
      </c>
      <c r="D50">
        <f>SUMIF('Quarterly Data'!$B:$B,'Annual Data'!$A50,'Quarterly Data'!F:F)</f>
        <v>737028</v>
      </c>
      <c r="E50">
        <f>SUMIF('Quarterly Data'!$B:$B,'Annual Data'!$A50,'Quarterly Data'!G:G)</f>
        <v>337241</v>
      </c>
      <c r="F50">
        <f>SUMIF('Quarterly Data'!$B:$B,'Annual Data'!$A50,'Quarterly Data'!H:H)</f>
        <v>812091</v>
      </c>
      <c r="G50">
        <f>SUMIF('Quarterly Data'!$B:$B,'Annual Data'!$A50,'Quarterly Data'!I:I)</f>
        <v>490074</v>
      </c>
      <c r="H50">
        <f>SUMIF('Quarterly Data'!$B:$B,'Annual Data'!$A50,'Quarterly Data'!J:J)</f>
        <v>419678</v>
      </c>
      <c r="I50">
        <f>SUMIF('Quarterly Data'!$B:$B,'Annual Data'!$A50,'Quarterly Data'!K:K)</f>
        <v>246803</v>
      </c>
      <c r="J50">
        <f>SUMIF('Quarterly Data'!$B:$B,'Annual Data'!$A50,'Quarterly Data'!L:L)</f>
        <v>2370864.6000000006</v>
      </c>
      <c r="K50">
        <f>AVERAGEIF('Quarterly Data'!$B:$B,'Annual Data'!$A50,'Quarterly Data'!M:M)</f>
        <v>31848.037499999999</v>
      </c>
      <c r="L50">
        <f>AVERAGEIF('Quarterly Data'!$B:$B,'Annual Data'!$A50,'Quarterly Data'!N:N)</f>
        <v>32.049999999999997</v>
      </c>
      <c r="M50">
        <f>AVERAGEIF('Quarterly Data'!$B:$B,'Annual Data'!$A50,'Quarterly Data'!O:O)</f>
        <v>553646.47499999998</v>
      </c>
      <c r="N50">
        <f>AVERAGEIF('Quarterly Data'!$B:$B,'Annual Data'!$A50,'Quarterly Data'!P:P)</f>
        <v>42327.09</v>
      </c>
      <c r="O50">
        <f>AVERAGEIF('Quarterly Data'!$B:$B,'Annual Data'!$A50,'Quarterly Data'!Q:Q)</f>
        <v>2939875</v>
      </c>
      <c r="P50">
        <f>SUMIF('Quarterly Data'!$B:$B,'Annual Data'!$A50,'Quarterly Data'!R:R)</f>
        <v>-6.7315709999999997</v>
      </c>
      <c r="Q50">
        <f>SUMIF('Quarterly Data'!$B:$B,'Annual Data'!$A50,'Quarterly Data'!S:S)</f>
        <v>2338825</v>
      </c>
      <c r="R50">
        <f>AVERAGEIF('Quarterly Data'!$B:$B,'Annual Data'!$A50,'Quarterly Data'!T:T)</f>
        <v>100.65000999999999</v>
      </c>
      <c r="S50">
        <f>SUMIF('Quarterly Data'!$B:$B,'Annual Data'!$A50,'Quarterly Data'!U:U)</f>
        <v>737028</v>
      </c>
      <c r="T50">
        <f>SUMIF('Quarterly Data'!$B:$B,'Annual Data'!$A50,'Quarterly Data'!V:V)</f>
        <v>337241</v>
      </c>
      <c r="U50">
        <f>SUMIF('Quarterly Data'!$B:$B,'Annual Data'!$A50,'Quarterly Data'!W:W)</f>
        <v>812091</v>
      </c>
      <c r="V50">
        <f>SUMIF('Quarterly Data'!$B:$B,'Annual Data'!$A50,'Quarterly Data'!X:X)</f>
        <v>490074</v>
      </c>
      <c r="W50">
        <f>SUMIF('Quarterly Data'!$B:$B,'Annual Data'!$A50,'Quarterly Data'!Y:Y)</f>
        <v>419678</v>
      </c>
      <c r="X50">
        <f>SUMIF('Quarterly Data'!$B:$B,'Annual Data'!$A50,'Quarterly Data'!Z:Z)</f>
        <v>246803</v>
      </c>
      <c r="Y50">
        <f>SUMIF('Quarterly Data'!$B:$B,'Annual Data'!$A50,'Quarterly Data'!AA:AA)</f>
        <v>2370864.6000000006</v>
      </c>
      <c r="Z50">
        <f>AVERAGEIF('Quarterly Data'!$B:$B,'Annual Data'!$A50,'Quarterly Data'!AB:AB)</f>
        <v>31848.037499999999</v>
      </c>
      <c r="AA50">
        <f>AVERAGEIF('Quarterly Data'!$B:$B,'Annual Data'!$A50,'Quarterly Data'!AC:AC)</f>
        <v>32.049999999999997</v>
      </c>
      <c r="AB50">
        <f>AVERAGEIF('Quarterly Data'!$B:$B,'Annual Data'!$A50,'Quarterly Data'!AD:AD)</f>
        <v>553646.47499999998</v>
      </c>
      <c r="AC50">
        <f>AVERAGEIF('Quarterly Data'!$B:$B,'Annual Data'!$A50,'Quarterly Data'!AE:AE)</f>
        <v>42327.09</v>
      </c>
      <c r="AD50">
        <f>AVERAGEIF('Quarterly Data'!$B:$B,'Annual Data'!$A50,'Quarterly Data'!AF:AF)</f>
        <v>2939875</v>
      </c>
      <c r="AE50">
        <f>SUMIF('Quarterly Data'!$B:$B,'Annual Data'!$A50,'Quarterly Data'!AG:AG)</f>
        <v>-6.7315709999999997</v>
      </c>
    </row>
    <row r="51" spans="1:31" x14ac:dyDescent="0.25">
      <c r="A51">
        <v>2017</v>
      </c>
      <c r="B51">
        <f>SUMIF('Quarterly Data'!$B:$B,'Annual Data'!$A51,'Quarterly Data'!D:D)</f>
        <v>2400956</v>
      </c>
      <c r="C51">
        <f>AVERAGEIF('Quarterly Data'!$B:$B,'Annual Data'!$A51,'Quarterly Data'!E:E)</f>
        <v>103.35835</v>
      </c>
      <c r="D51">
        <f>SUMIF('Quarterly Data'!$B:$B,'Annual Data'!$A51,'Quarterly Data'!F:F)</f>
        <v>786896</v>
      </c>
      <c r="E51">
        <f>SUMIF('Quarterly Data'!$B:$B,'Annual Data'!$A51,'Quarterly Data'!G:G)</f>
        <v>352232</v>
      </c>
      <c r="F51">
        <f>SUMIF('Quarterly Data'!$B:$B,'Annual Data'!$A51,'Quarterly Data'!H:H)</f>
        <v>837777</v>
      </c>
      <c r="G51">
        <f>SUMIF('Quarterly Data'!$B:$B,'Annual Data'!$A51,'Quarterly Data'!I:I)</f>
        <v>496226</v>
      </c>
      <c r="H51">
        <f>SUMIF('Quarterly Data'!$B:$B,'Annual Data'!$A51,'Quarterly Data'!J:J)</f>
        <v>434377</v>
      </c>
      <c r="I51">
        <f>SUMIF('Quarterly Data'!$B:$B,'Annual Data'!$A51,'Quarterly Data'!K:K)</f>
        <v>246164</v>
      </c>
      <c r="J51">
        <f>SUMIF('Quarterly Data'!$B:$B,'Annual Data'!$A51,'Quarterly Data'!L:L)</f>
        <v>2409541.2000000002</v>
      </c>
      <c r="K51">
        <f>AVERAGEIF('Quarterly Data'!$B:$B,'Annual Data'!$A51,'Quarterly Data'!M:M)</f>
        <v>32069.500000000004</v>
      </c>
      <c r="L51">
        <f>AVERAGEIF('Quarterly Data'!$B:$B,'Annual Data'!$A51,'Quarterly Data'!N:N)</f>
        <v>32.1</v>
      </c>
      <c r="M51">
        <f>AVERAGEIF('Quarterly Data'!$B:$B,'Annual Data'!$A51,'Quarterly Data'!O:O)</f>
        <v>559740.65</v>
      </c>
      <c r="N51">
        <f>AVERAGEIF('Quarterly Data'!$B:$B,'Annual Data'!$A51,'Quarterly Data'!P:P)</f>
        <v>42481.222500000003</v>
      </c>
      <c r="O51">
        <f>AVERAGEIF('Quarterly Data'!$B:$B,'Annual Data'!$A51,'Quarterly Data'!Q:Q)</f>
        <v>3011750</v>
      </c>
      <c r="P51">
        <f>SUMIF('Quarterly Data'!$B:$B,'Annual Data'!$A51,'Quarterly Data'!R:R)</f>
        <v>-6.7322540000000002</v>
      </c>
      <c r="Q51">
        <f>SUMIF('Quarterly Data'!$B:$B,'Annual Data'!$A51,'Quarterly Data'!S:S)</f>
        <v>2400956</v>
      </c>
      <c r="R51">
        <f>AVERAGEIF('Quarterly Data'!$B:$B,'Annual Data'!$A51,'Quarterly Data'!T:T)</f>
        <v>103.35835</v>
      </c>
      <c r="S51">
        <f>SUMIF('Quarterly Data'!$B:$B,'Annual Data'!$A51,'Quarterly Data'!U:U)</f>
        <v>786896</v>
      </c>
      <c r="T51">
        <f>SUMIF('Quarterly Data'!$B:$B,'Annual Data'!$A51,'Quarterly Data'!V:V)</f>
        <v>352232</v>
      </c>
      <c r="U51">
        <f>SUMIF('Quarterly Data'!$B:$B,'Annual Data'!$A51,'Quarterly Data'!W:W)</f>
        <v>837777</v>
      </c>
      <c r="V51">
        <f>SUMIF('Quarterly Data'!$B:$B,'Annual Data'!$A51,'Quarterly Data'!X:X)</f>
        <v>496226</v>
      </c>
      <c r="W51">
        <f>SUMIF('Quarterly Data'!$B:$B,'Annual Data'!$A51,'Quarterly Data'!Y:Y)</f>
        <v>434377</v>
      </c>
      <c r="X51">
        <f>SUMIF('Quarterly Data'!$B:$B,'Annual Data'!$A51,'Quarterly Data'!Z:Z)</f>
        <v>246164</v>
      </c>
      <c r="Y51">
        <f>SUMIF('Quarterly Data'!$B:$B,'Annual Data'!$A51,'Quarterly Data'!AA:AA)</f>
        <v>2409541.2000000002</v>
      </c>
      <c r="Z51">
        <f>AVERAGEIF('Quarterly Data'!$B:$B,'Annual Data'!$A51,'Quarterly Data'!AB:AB)</f>
        <v>32069.500000000004</v>
      </c>
      <c r="AA51">
        <f>AVERAGEIF('Quarterly Data'!$B:$B,'Annual Data'!$A51,'Quarterly Data'!AC:AC)</f>
        <v>32.1</v>
      </c>
      <c r="AB51">
        <f>AVERAGEIF('Quarterly Data'!$B:$B,'Annual Data'!$A51,'Quarterly Data'!AD:AD)</f>
        <v>559740.65</v>
      </c>
      <c r="AC51">
        <f>AVERAGEIF('Quarterly Data'!$B:$B,'Annual Data'!$A51,'Quarterly Data'!AE:AE)</f>
        <v>42481.222500000003</v>
      </c>
      <c r="AD51">
        <f>AVERAGEIF('Quarterly Data'!$B:$B,'Annual Data'!$A51,'Quarterly Data'!AF:AF)</f>
        <v>3011750</v>
      </c>
      <c r="AE51">
        <f>SUMIF('Quarterly Data'!$B:$B,'Annual Data'!$A51,'Quarterly Data'!AG:AG)</f>
        <v>-6.7322540000000002</v>
      </c>
    </row>
    <row r="52" spans="1:31" x14ac:dyDescent="0.25">
      <c r="A52">
        <v>2018</v>
      </c>
      <c r="B52">
        <f>SUMIF('Quarterly Data'!$B:$B,'Annual Data'!$A52,'Quarterly Data'!D:D)</f>
        <v>2434694</v>
      </c>
      <c r="C52">
        <f>AVERAGEIF('Quarterly Data'!$B:$B,'Annual Data'!$A52,'Quarterly Data'!E:E)</f>
        <v>105.916675</v>
      </c>
      <c r="D52">
        <f>SUMIF('Quarterly Data'!$B:$B,'Annual Data'!$A52,'Quarterly Data'!F:F)</f>
        <v>811128</v>
      </c>
      <c r="E52">
        <f>SUMIF('Quarterly Data'!$B:$B,'Annual Data'!$A52,'Quarterly Data'!G:G)</f>
        <v>358250</v>
      </c>
      <c r="F52">
        <f>SUMIF('Quarterly Data'!$B:$B,'Annual Data'!$A52,'Quarterly Data'!H:H)</f>
        <v>863727</v>
      </c>
      <c r="G52">
        <f>SUMIF('Quarterly Data'!$B:$B,'Annual Data'!$A52,'Quarterly Data'!I:I)</f>
        <v>497214</v>
      </c>
      <c r="H52">
        <f>SUMIF('Quarterly Data'!$B:$B,'Annual Data'!$A52,'Quarterly Data'!J:J)</f>
        <v>432395</v>
      </c>
      <c r="I52">
        <f>SUMIF('Quarterly Data'!$B:$B,'Annual Data'!$A52,'Quarterly Data'!K:K)</f>
        <v>242048</v>
      </c>
      <c r="J52">
        <f>SUMIF('Quarterly Data'!$B:$B,'Annual Data'!$A52,'Quarterly Data'!L:L)</f>
        <v>2444240.5</v>
      </c>
      <c r="K52">
        <f>AVERAGEIF('Quarterly Data'!$B:$B,'Annual Data'!$A52,'Quarterly Data'!M:M)</f>
        <v>32402.657500000001</v>
      </c>
      <c r="L52">
        <f>AVERAGEIF('Quarterly Data'!$B:$B,'Annual Data'!$A52,'Quarterly Data'!N:N)</f>
        <v>32</v>
      </c>
      <c r="M52">
        <f>AVERAGEIF('Quarterly Data'!$B:$B,'Annual Data'!$A52,'Quarterly Data'!O:O)</f>
        <v>566116.14999999991</v>
      </c>
      <c r="N52">
        <f>AVERAGEIF('Quarterly Data'!$B:$B,'Annual Data'!$A52,'Quarterly Data'!P:P)</f>
        <v>42658.985000000001</v>
      </c>
      <c r="O52">
        <f>AVERAGEIF('Quarterly Data'!$B:$B,'Annual Data'!$A52,'Quarterly Data'!Q:Q)</f>
        <v>3074875</v>
      </c>
      <c r="P52">
        <f>SUMIF('Quarterly Data'!$B:$B,'Annual Data'!$A52,'Quarterly Data'!R:R)</f>
        <v>-6.7329369999999997</v>
      </c>
      <c r="Q52">
        <f>SUMIF('Quarterly Data'!$B:$B,'Annual Data'!$A52,'Quarterly Data'!S:S)</f>
        <v>2434694</v>
      </c>
      <c r="R52">
        <f>AVERAGEIF('Quarterly Data'!$B:$B,'Annual Data'!$A52,'Quarterly Data'!T:T)</f>
        <v>105.916675</v>
      </c>
      <c r="S52">
        <f>SUMIF('Quarterly Data'!$B:$B,'Annual Data'!$A52,'Quarterly Data'!U:U)</f>
        <v>811128</v>
      </c>
      <c r="T52">
        <f>SUMIF('Quarterly Data'!$B:$B,'Annual Data'!$A52,'Quarterly Data'!V:V)</f>
        <v>358250</v>
      </c>
      <c r="U52">
        <f>SUMIF('Quarterly Data'!$B:$B,'Annual Data'!$A52,'Quarterly Data'!W:W)</f>
        <v>863727</v>
      </c>
      <c r="V52">
        <f>SUMIF('Quarterly Data'!$B:$B,'Annual Data'!$A52,'Quarterly Data'!X:X)</f>
        <v>497214</v>
      </c>
      <c r="W52">
        <f>SUMIF('Quarterly Data'!$B:$B,'Annual Data'!$A52,'Quarterly Data'!Y:Y)</f>
        <v>432395</v>
      </c>
      <c r="X52">
        <f>SUMIF('Quarterly Data'!$B:$B,'Annual Data'!$A52,'Quarterly Data'!Z:Z)</f>
        <v>242048</v>
      </c>
      <c r="Y52">
        <f>SUMIF('Quarterly Data'!$B:$B,'Annual Data'!$A52,'Quarterly Data'!AA:AA)</f>
        <v>2444240.5</v>
      </c>
      <c r="Z52">
        <f>AVERAGEIF('Quarterly Data'!$B:$B,'Annual Data'!$A52,'Quarterly Data'!AB:AB)</f>
        <v>32402.657500000001</v>
      </c>
      <c r="AA52">
        <f>AVERAGEIF('Quarterly Data'!$B:$B,'Annual Data'!$A52,'Quarterly Data'!AC:AC)</f>
        <v>32</v>
      </c>
      <c r="AB52">
        <f>AVERAGEIF('Quarterly Data'!$B:$B,'Annual Data'!$A52,'Quarterly Data'!AD:AD)</f>
        <v>566116.14999999991</v>
      </c>
      <c r="AC52">
        <f>AVERAGEIF('Quarterly Data'!$B:$B,'Annual Data'!$A52,'Quarterly Data'!AE:AE)</f>
        <v>42658.985000000001</v>
      </c>
      <c r="AD52">
        <f>AVERAGEIF('Quarterly Data'!$B:$B,'Annual Data'!$A52,'Quarterly Data'!AF:AF)</f>
        <v>3074875</v>
      </c>
      <c r="AE52">
        <f>SUMIF('Quarterly Data'!$B:$B,'Annual Data'!$A52,'Quarterly Data'!AG:AG)</f>
        <v>-6.7329369999999997</v>
      </c>
    </row>
    <row r="53" spans="1:31" x14ac:dyDescent="0.25">
      <c r="A53">
        <v>2019</v>
      </c>
      <c r="B53">
        <f>SUMIF('Quarterly Data'!$B:$B,'Annual Data'!$A53,'Quarterly Data'!D:D)</f>
        <v>2474245</v>
      </c>
      <c r="C53">
        <f>AVERAGEIF('Quarterly Data'!$B:$B,'Annual Data'!$A53,'Quarterly Data'!E:E)</f>
        <v>107.80000000000001</v>
      </c>
      <c r="D53">
        <f>SUMIF('Quarterly Data'!$B:$B,'Annual Data'!$A53,'Quarterly Data'!F:F)</f>
        <v>827359</v>
      </c>
      <c r="E53">
        <f>SUMIF('Quarterly Data'!$B:$B,'Annual Data'!$A53,'Quarterly Data'!G:G)</f>
        <v>369364</v>
      </c>
      <c r="F53">
        <f>SUMIF('Quarterly Data'!$B:$B,'Annual Data'!$A53,'Quarterly Data'!H:H)</f>
        <v>887222</v>
      </c>
      <c r="G53">
        <f>SUMIF('Quarterly Data'!$B:$B,'Annual Data'!$A53,'Quarterly Data'!I:I)</f>
        <v>522939</v>
      </c>
      <c r="H53">
        <f>SUMIF('Quarterly Data'!$B:$B,'Annual Data'!$A53,'Quarterly Data'!J:J)</f>
        <v>441621</v>
      </c>
      <c r="I53">
        <f>SUMIF('Quarterly Data'!$B:$B,'Annual Data'!$A53,'Quarterly Data'!K:K)</f>
        <v>247308</v>
      </c>
      <c r="J53">
        <f>SUMIF('Quarterly Data'!$B:$B,'Annual Data'!$A53,'Quarterly Data'!L:L)</f>
        <v>2485690</v>
      </c>
      <c r="K53">
        <f>AVERAGEIF('Quarterly Data'!$B:$B,'Annual Data'!$A53,'Quarterly Data'!M:M)</f>
        <v>32766.240000000002</v>
      </c>
      <c r="L53">
        <f>AVERAGEIF('Quarterly Data'!$B:$B,'Annual Data'!$A53,'Quarterly Data'!N:N)</f>
        <v>32.050000000000004</v>
      </c>
      <c r="M53">
        <f>AVERAGEIF('Quarterly Data'!$B:$B,'Annual Data'!$A53,'Quarterly Data'!O:O)</f>
        <v>572358.72500000009</v>
      </c>
      <c r="N53">
        <f>AVERAGEIF('Quarterly Data'!$B:$B,'Annual Data'!$A53,'Quarterly Data'!P:P)</f>
        <v>42828.67</v>
      </c>
      <c r="O53">
        <f>AVERAGEIF('Quarterly Data'!$B:$B,'Annual Data'!$A53,'Quarterly Data'!Q:Q)</f>
        <v>3133250</v>
      </c>
      <c r="P53">
        <f>SUMIF('Quarterly Data'!$B:$B,'Annual Data'!$A53,'Quarterly Data'!R:R)</f>
        <v>-6.7336200000000002</v>
      </c>
      <c r="Q53">
        <f>SUMIF('Quarterly Data'!$B:$B,'Annual Data'!$A53,'Quarterly Data'!S:S)</f>
        <v>2474245</v>
      </c>
      <c r="R53">
        <f>AVERAGEIF('Quarterly Data'!$B:$B,'Annual Data'!$A53,'Quarterly Data'!T:T)</f>
        <v>107.80000000000001</v>
      </c>
      <c r="S53">
        <f>SUMIF('Quarterly Data'!$B:$B,'Annual Data'!$A53,'Quarterly Data'!U:U)</f>
        <v>827359</v>
      </c>
      <c r="T53">
        <f>SUMIF('Quarterly Data'!$B:$B,'Annual Data'!$A53,'Quarterly Data'!V:V)</f>
        <v>369364</v>
      </c>
      <c r="U53">
        <f>SUMIF('Quarterly Data'!$B:$B,'Annual Data'!$A53,'Quarterly Data'!W:W)</f>
        <v>887222</v>
      </c>
      <c r="V53">
        <f>SUMIF('Quarterly Data'!$B:$B,'Annual Data'!$A53,'Quarterly Data'!X:X)</f>
        <v>522939</v>
      </c>
      <c r="W53">
        <f>SUMIF('Quarterly Data'!$B:$B,'Annual Data'!$A53,'Quarterly Data'!Y:Y)</f>
        <v>441621</v>
      </c>
      <c r="X53">
        <f>SUMIF('Quarterly Data'!$B:$B,'Annual Data'!$A53,'Quarterly Data'!Z:Z)</f>
        <v>247308</v>
      </c>
      <c r="Y53">
        <f>SUMIF('Quarterly Data'!$B:$B,'Annual Data'!$A53,'Quarterly Data'!AA:AA)</f>
        <v>2485654.5</v>
      </c>
      <c r="Z53">
        <f>AVERAGEIF('Quarterly Data'!$B:$B,'Annual Data'!$A53,'Quarterly Data'!AB:AB)</f>
        <v>32765.522499999999</v>
      </c>
      <c r="AA53">
        <f>AVERAGEIF('Quarterly Data'!$B:$B,'Annual Data'!$A53,'Quarterly Data'!AC:AC)</f>
        <v>32.050000000000004</v>
      </c>
      <c r="AB53">
        <f>AVERAGEIF('Quarterly Data'!$B:$B,'Annual Data'!$A53,'Quarterly Data'!AD:AD)</f>
        <v>572358.72500000009</v>
      </c>
      <c r="AC53">
        <f>AVERAGEIF('Quarterly Data'!$B:$B,'Annual Data'!$A53,'Quarterly Data'!AE:AE)</f>
        <v>42828.67</v>
      </c>
      <c r="AD53">
        <f>AVERAGEIF('Quarterly Data'!$B:$B,'Annual Data'!$A53,'Quarterly Data'!AF:AF)</f>
        <v>3133250</v>
      </c>
      <c r="AE53">
        <f>SUMIF('Quarterly Data'!$B:$B,'Annual Data'!$A53,'Quarterly Data'!AG:AG)</f>
        <v>-6.7336200000000002</v>
      </c>
    </row>
    <row r="54" spans="1:31" x14ac:dyDescent="0.25">
      <c r="A54">
        <v>2020</v>
      </c>
      <c r="B54">
        <f>SUMIF('Quarterly Data'!$B:$B,'Annual Data'!$A54,'Quarterly Data'!D:D)</f>
        <v>2219474</v>
      </c>
      <c r="C54">
        <f>AVERAGEIF('Quarterly Data'!$B:$B,'Annual Data'!$A54,'Quarterly Data'!E:E)</f>
        <v>108.75</v>
      </c>
      <c r="D54">
        <f>SUMIF('Quarterly Data'!$B:$B,'Annual Data'!$A54,'Quarterly Data'!F:F)</f>
        <v>729795</v>
      </c>
      <c r="E54">
        <f>SUMIF('Quarterly Data'!$B:$B,'Annual Data'!$A54,'Quarterly Data'!G:G)</f>
        <v>318334</v>
      </c>
      <c r="F54">
        <f>SUMIF('Quarterly Data'!$B:$B,'Annual Data'!$A54,'Quarterly Data'!H:H)</f>
        <v>746284</v>
      </c>
      <c r="G54">
        <f>SUMIF('Quarterly Data'!$B:$B,'Annual Data'!$A54,'Quarterly Data'!I:I)</f>
        <v>465233</v>
      </c>
      <c r="H54">
        <f>SUMIF('Quarterly Data'!$B:$B,'Annual Data'!$A54,'Quarterly Data'!J:J)</f>
        <v>398878</v>
      </c>
      <c r="I54">
        <f>SUMIF('Quarterly Data'!$B:$B,'Annual Data'!$A54,'Quarterly Data'!K:K)</f>
        <v>222035</v>
      </c>
      <c r="J54">
        <f>SUMIF('Quarterly Data'!$B:$B,'Annual Data'!$A54,'Quarterly Data'!L:L)</f>
        <v>2318942.7000000002</v>
      </c>
      <c r="K54">
        <f>AVERAGEIF('Quarterly Data'!$B:$B,'Annual Data'!$A54,'Quarterly Data'!M:M)</f>
        <v>32678.2775</v>
      </c>
      <c r="L54">
        <f>AVERAGEIF('Quarterly Data'!$B:$B,'Annual Data'!$A54,'Quarterly Data'!N:N)</f>
        <v>28.875</v>
      </c>
      <c r="M54">
        <f>AVERAGEIF('Quarterly Data'!$B:$B,'Annual Data'!$A54,'Quarterly Data'!O:O)</f>
        <v>577995.42500000005</v>
      </c>
      <c r="N54">
        <f>AVERAGEIF('Quarterly Data'!$B:$B,'Annual Data'!$A54,'Quarterly Data'!P:P)</f>
        <v>42954.894999999997</v>
      </c>
      <c r="O54">
        <f>AVERAGEIF('Quarterly Data'!$B:$B,'Annual Data'!$A54,'Quarterly Data'!Q:Q)</f>
        <v>3167500</v>
      </c>
      <c r="P54">
        <f>SUMIF('Quarterly Data'!$B:$B,'Annual Data'!$A54,'Quarterly Data'!R:R)</f>
        <v>-6.759169</v>
      </c>
      <c r="Q54">
        <f>SUMIF('Quarterly Data'!$B:$B,'Annual Data'!$A54,'Quarterly Data'!S:S)</f>
        <v>2219474</v>
      </c>
      <c r="R54">
        <f>AVERAGEIF('Quarterly Data'!$B:$B,'Annual Data'!$A54,'Quarterly Data'!T:T)</f>
        <v>108.75</v>
      </c>
      <c r="S54">
        <f>SUMIF('Quarterly Data'!$B:$B,'Annual Data'!$A54,'Quarterly Data'!U:U)</f>
        <v>729795</v>
      </c>
      <c r="T54">
        <f>SUMIF('Quarterly Data'!$B:$B,'Annual Data'!$A54,'Quarterly Data'!V:V)</f>
        <v>318334</v>
      </c>
      <c r="U54">
        <f>SUMIF('Quarterly Data'!$B:$B,'Annual Data'!$A54,'Quarterly Data'!W:W)</f>
        <v>746284</v>
      </c>
      <c r="V54">
        <f>SUMIF('Quarterly Data'!$B:$B,'Annual Data'!$A54,'Quarterly Data'!X:X)</f>
        <v>465233</v>
      </c>
      <c r="W54">
        <f>SUMIF('Quarterly Data'!$B:$B,'Annual Data'!$A54,'Quarterly Data'!Y:Y)</f>
        <v>398878</v>
      </c>
      <c r="X54">
        <f>SUMIF('Quarterly Data'!$B:$B,'Annual Data'!$A54,'Quarterly Data'!Z:Z)</f>
        <v>222035</v>
      </c>
      <c r="Y54">
        <f>SUMIF('Quarterly Data'!$B:$B,'Annual Data'!$A54,'Quarterly Data'!AA:AA)</f>
        <v>2318885.7000000002</v>
      </c>
      <c r="Z54">
        <f>AVERAGEIF('Quarterly Data'!$B:$B,'Annual Data'!$A54,'Quarterly Data'!AB:AB)</f>
        <v>32677.079999999998</v>
      </c>
      <c r="AA54">
        <f>AVERAGEIF('Quarterly Data'!$B:$B,'Annual Data'!$A54,'Quarterly Data'!AC:AC)</f>
        <v>28.875</v>
      </c>
      <c r="AB54">
        <f>AVERAGEIF('Quarterly Data'!$B:$B,'Annual Data'!$A54,'Quarterly Data'!AD:AD)</f>
        <v>577995.42500000005</v>
      </c>
      <c r="AC54">
        <f>AVERAGEIF('Quarterly Data'!$B:$B,'Annual Data'!$A54,'Quarterly Data'!AE:AE)</f>
        <v>42954.894999999997</v>
      </c>
      <c r="AD54">
        <f>AVERAGEIF('Quarterly Data'!$B:$B,'Annual Data'!$A54,'Quarterly Data'!AF:AF)</f>
        <v>3167500</v>
      </c>
      <c r="AE54">
        <f>SUMIF('Quarterly Data'!$B:$B,'Annual Data'!$A54,'Quarterly Data'!AG:AG)</f>
        <v>-6.759169</v>
      </c>
    </row>
    <row r="55" spans="1:31" x14ac:dyDescent="0.25">
      <c r="A55">
        <v>2021</v>
      </c>
      <c r="B55">
        <f>SUMIF('Quarterly Data'!$B:$B,'Annual Data'!$A55,'Quarterly Data'!D:D)</f>
        <v>2409815</v>
      </c>
      <c r="C55">
        <f>AVERAGEIF('Quarterly Data'!$B:$B,'Annual Data'!$A55,'Quarterly Data'!E:E)</f>
        <v>111.558325</v>
      </c>
      <c r="D55">
        <f>SUMIF('Quarterly Data'!$B:$B,'Annual Data'!$A55,'Quarterly Data'!F:F)</f>
        <v>753369</v>
      </c>
      <c r="E55">
        <f>SUMIF('Quarterly Data'!$B:$B,'Annual Data'!$A55,'Quarterly Data'!G:G)</f>
        <v>332619</v>
      </c>
      <c r="F55">
        <f>SUMIF('Quarterly Data'!$B:$B,'Annual Data'!$A55,'Quarterly Data'!H:H)</f>
        <v>789644</v>
      </c>
      <c r="G55">
        <f>SUMIF('Quarterly Data'!$B:$B,'Annual Data'!$A55,'Quarterly Data'!I:I)</f>
        <v>492575</v>
      </c>
      <c r="H55">
        <f>SUMIF('Quarterly Data'!$B:$B,'Annual Data'!$A55,'Quarterly Data'!J:J)</f>
        <v>429120</v>
      </c>
      <c r="I55">
        <f>SUMIF('Quarterly Data'!$B:$B,'Annual Data'!$A55,'Quarterly Data'!K:K)</f>
        <v>225991</v>
      </c>
      <c r="J55">
        <f>SUMIF('Quarterly Data'!$B:$B,'Annual Data'!$A55,'Quarterly Data'!L:L)</f>
        <v>2419449.2999999998</v>
      </c>
      <c r="K55">
        <f>AVERAGEIF('Quarterly Data'!$B:$B,'Annual Data'!$A55,'Quarterly Data'!M:M)</f>
        <v>32676.13</v>
      </c>
      <c r="L55">
        <f>AVERAGEIF('Quarterly Data'!$B:$B,'Annual Data'!$A55,'Quarterly Data'!N:N)</f>
        <v>30.95</v>
      </c>
      <c r="M55">
        <f>AVERAGEIF('Quarterly Data'!$B:$B,'Annual Data'!$A55,'Quarterly Data'!O:O)</f>
        <v>582445.6</v>
      </c>
      <c r="N55">
        <f>AVERAGEIF('Quarterly Data'!$B:$B,'Annual Data'!$A55,'Quarterly Data'!P:P)</f>
        <v>42994.740000000005</v>
      </c>
      <c r="O55">
        <f>AVERAGEIF('Quarterly Data'!$B:$B,'Annual Data'!$A55,'Quarterly Data'!Q:Q)</f>
        <v>3194375</v>
      </c>
      <c r="P55">
        <f>SUMIF('Quarterly Data'!$B:$B,'Annual Data'!$A55,'Quarterly Data'!R:R)</f>
        <v>-6.790038</v>
      </c>
      <c r="Q55">
        <f>SUMIF('Quarterly Data'!$B:$B,'Annual Data'!$A55,'Quarterly Data'!S:S)</f>
        <v>2409815</v>
      </c>
      <c r="R55">
        <f>AVERAGEIF('Quarterly Data'!$B:$B,'Annual Data'!$A55,'Quarterly Data'!T:T)</f>
        <v>111.558325</v>
      </c>
      <c r="S55">
        <f>SUMIF('Quarterly Data'!$B:$B,'Annual Data'!$A55,'Quarterly Data'!U:U)</f>
        <v>753369</v>
      </c>
      <c r="T55">
        <f>SUMIF('Quarterly Data'!$B:$B,'Annual Data'!$A55,'Quarterly Data'!V:V)</f>
        <v>332619</v>
      </c>
      <c r="U55">
        <f>SUMIF('Quarterly Data'!$B:$B,'Annual Data'!$A55,'Quarterly Data'!W:W)</f>
        <v>789644</v>
      </c>
      <c r="V55">
        <f>SUMIF('Quarterly Data'!$B:$B,'Annual Data'!$A55,'Quarterly Data'!X:X)</f>
        <v>492575</v>
      </c>
      <c r="W55">
        <f>SUMIF('Quarterly Data'!$B:$B,'Annual Data'!$A55,'Quarterly Data'!Y:Y)</f>
        <v>429120</v>
      </c>
      <c r="X55">
        <f>SUMIF('Quarterly Data'!$B:$B,'Annual Data'!$A55,'Quarterly Data'!Z:Z)</f>
        <v>225991</v>
      </c>
      <c r="Y55">
        <f>SUMIF('Quarterly Data'!$B:$B,'Annual Data'!$A55,'Quarterly Data'!AA:AA)</f>
        <v>2419323.5</v>
      </c>
      <c r="Z55">
        <f>AVERAGEIF('Quarterly Data'!$B:$B,'Annual Data'!$A55,'Quarterly Data'!AB:AB)</f>
        <v>32673.494999999999</v>
      </c>
      <c r="AA55">
        <f>AVERAGEIF('Quarterly Data'!$B:$B,'Annual Data'!$A55,'Quarterly Data'!AC:AC)</f>
        <v>30.95</v>
      </c>
      <c r="AB55">
        <f>AVERAGEIF('Quarterly Data'!$B:$B,'Annual Data'!$A55,'Quarterly Data'!AD:AD)</f>
        <v>582445.6</v>
      </c>
      <c r="AC55">
        <f>AVERAGEIF('Quarterly Data'!$B:$B,'Annual Data'!$A55,'Quarterly Data'!AE:AE)</f>
        <v>42994.740000000005</v>
      </c>
      <c r="AD55">
        <f>AVERAGEIF('Quarterly Data'!$B:$B,'Annual Data'!$A55,'Quarterly Data'!AF:AF)</f>
        <v>3194375</v>
      </c>
      <c r="AE55">
        <f>SUMIF('Quarterly Data'!$B:$B,'Annual Data'!$A55,'Quarterly Data'!AG:AG)</f>
        <v>-6.790038</v>
      </c>
    </row>
    <row r="56" spans="1:31" x14ac:dyDescent="0.25">
      <c r="A56">
        <v>2022</v>
      </c>
      <c r="B56">
        <f>SUMIF('Quarterly Data'!$B:$B,'Annual Data'!$A56,'Quarterly Data'!D:D)</f>
        <v>2526428</v>
      </c>
      <c r="C56">
        <f>AVERAGEIF('Quarterly Data'!$B:$B,'Annual Data'!$A56,'Quarterly Data'!E:E)</f>
        <v>121.658325</v>
      </c>
      <c r="D56">
        <f>SUMIF('Quarterly Data'!$B:$B,'Annual Data'!$A56,'Quarterly Data'!F:F)</f>
        <v>848051</v>
      </c>
      <c r="E56">
        <f>SUMIF('Quarterly Data'!$B:$B,'Annual Data'!$A56,'Quarterly Data'!G:G)</f>
        <v>362562</v>
      </c>
      <c r="F56">
        <f>SUMIF('Quarterly Data'!$B:$B,'Annual Data'!$A56,'Quarterly Data'!H:H)</f>
        <v>892166</v>
      </c>
      <c r="G56">
        <f>SUMIF('Quarterly Data'!$B:$B,'Annual Data'!$A56,'Quarterly Data'!I:I)</f>
        <v>523670</v>
      </c>
      <c r="H56">
        <f>SUMIF('Quarterly Data'!$B:$B,'Annual Data'!$A56,'Quarterly Data'!J:J)</f>
        <v>451091</v>
      </c>
      <c r="I56">
        <f>SUMIF('Quarterly Data'!$B:$B,'Annual Data'!$A56,'Quarterly Data'!K:K)</f>
        <v>239370</v>
      </c>
      <c r="J56">
        <f>SUMIF('Quarterly Data'!$B:$B,'Annual Data'!$A56,'Quarterly Data'!L:L)</f>
        <v>2482440.4</v>
      </c>
      <c r="K56">
        <f>AVERAGEIF('Quarterly Data'!$B:$B,'Annual Data'!$A56,'Quarterly Data'!M:M)</f>
        <v>32856.297500000001</v>
      </c>
      <c r="L56">
        <f>AVERAGEIF('Quarterly Data'!$B:$B,'Annual Data'!$A56,'Quarterly Data'!N:N)</f>
        <v>31.75</v>
      </c>
      <c r="M56">
        <f>AVERAGEIF('Quarterly Data'!$B:$B,'Annual Data'!$A56,'Quarterly Data'!O:O)</f>
        <v>590708.77500000002</v>
      </c>
      <c r="N56">
        <f>AVERAGEIF('Quarterly Data'!$B:$B,'Annual Data'!$A56,'Quarterly Data'!P:P)</f>
        <v>43316.82</v>
      </c>
      <c r="O56">
        <f>AVERAGEIF('Quarterly Data'!$B:$B,'Annual Data'!$A56,'Quarterly Data'!Q:Q)</f>
        <v>3236625</v>
      </c>
      <c r="P56">
        <f>SUMIF('Quarterly Data'!$B:$B,'Annual Data'!$A56,'Quarterly Data'!R:R)</f>
        <v>-6.7924980000000001</v>
      </c>
      <c r="Q56">
        <f>SUMIF('Quarterly Data'!$B:$B,'Annual Data'!$A56,'Quarterly Data'!S:S)</f>
        <v>2526428</v>
      </c>
      <c r="R56">
        <f>AVERAGEIF('Quarterly Data'!$B:$B,'Annual Data'!$A56,'Quarterly Data'!T:T)</f>
        <v>121.658325</v>
      </c>
      <c r="S56">
        <f>SUMIF('Quarterly Data'!$B:$B,'Annual Data'!$A56,'Quarterly Data'!U:U)</f>
        <v>848051</v>
      </c>
      <c r="T56">
        <f>SUMIF('Quarterly Data'!$B:$B,'Annual Data'!$A56,'Quarterly Data'!V:V)</f>
        <v>362562</v>
      </c>
      <c r="U56">
        <f>SUMIF('Quarterly Data'!$B:$B,'Annual Data'!$A56,'Quarterly Data'!W:W)</f>
        <v>892166</v>
      </c>
      <c r="V56">
        <f>SUMIF('Quarterly Data'!$B:$B,'Annual Data'!$A56,'Quarterly Data'!X:X)</f>
        <v>523670</v>
      </c>
      <c r="W56">
        <f>SUMIF('Quarterly Data'!$B:$B,'Annual Data'!$A56,'Quarterly Data'!Y:Y)</f>
        <v>451091</v>
      </c>
      <c r="X56">
        <f>SUMIF('Quarterly Data'!$B:$B,'Annual Data'!$A56,'Quarterly Data'!Z:Z)</f>
        <v>239370</v>
      </c>
      <c r="Y56">
        <f>SUMIF('Quarterly Data'!$B:$B,'Annual Data'!$A56,'Quarterly Data'!AA:AA)</f>
        <v>2482251.5</v>
      </c>
      <c r="Z56">
        <f>AVERAGEIF('Quarterly Data'!$B:$B,'Annual Data'!$A56,'Quarterly Data'!AB:AB)</f>
        <v>32852.464999999997</v>
      </c>
      <c r="AA56">
        <f>AVERAGEIF('Quarterly Data'!$B:$B,'Annual Data'!$A56,'Quarterly Data'!AC:AC)</f>
        <v>31.75</v>
      </c>
      <c r="AB56">
        <f>AVERAGEIF('Quarterly Data'!$B:$B,'Annual Data'!$A56,'Quarterly Data'!AD:AD)</f>
        <v>590708.77500000002</v>
      </c>
      <c r="AC56">
        <f>AVERAGEIF('Quarterly Data'!$B:$B,'Annual Data'!$A56,'Quarterly Data'!AE:AE)</f>
        <v>43316.82</v>
      </c>
      <c r="AD56">
        <f>AVERAGEIF('Quarterly Data'!$B:$B,'Annual Data'!$A56,'Quarterly Data'!AF:AF)</f>
        <v>3236625</v>
      </c>
      <c r="AE56">
        <f>SUMIF('Quarterly Data'!$B:$B,'Annual Data'!$A56,'Quarterly Data'!AG:AG)</f>
        <v>-6.7924980000000001</v>
      </c>
    </row>
    <row r="57" spans="1:31" x14ac:dyDescent="0.25">
      <c r="A57">
        <v>2023</v>
      </c>
      <c r="B57">
        <f>SUMIF('Quarterly Data'!$B:$B,'Annual Data'!$A57,'Quarterly Data'!D:D)</f>
        <v>2536460</v>
      </c>
      <c r="C57">
        <f>AVERAGEIF('Quarterly Data'!$B:$B,'Annual Data'!$A57,'Quarterly Data'!E:E)</f>
        <v>130.541675</v>
      </c>
      <c r="D57">
        <f>SUMIF('Quarterly Data'!$B:$B,'Annual Data'!$A57,'Quarterly Data'!F:F)</f>
        <v>844507</v>
      </c>
      <c r="E57">
        <f>SUMIF('Quarterly Data'!$B:$B,'Annual Data'!$A57,'Quarterly Data'!G:G)</f>
        <v>343754</v>
      </c>
      <c r="F57">
        <f>SUMIF('Quarterly Data'!$B:$B,'Annual Data'!$A57,'Quarterly Data'!H:H)</f>
        <v>881182</v>
      </c>
      <c r="G57">
        <f>SUMIF('Quarterly Data'!$B:$B,'Annual Data'!$A57,'Quarterly Data'!I:I)</f>
        <v>496916</v>
      </c>
      <c r="H57">
        <f>SUMIF('Quarterly Data'!$B:$B,'Annual Data'!$A57,'Quarterly Data'!J:J)</f>
        <v>452515</v>
      </c>
      <c r="I57">
        <f>SUMIF('Quarterly Data'!$B:$B,'Annual Data'!$A57,'Quarterly Data'!K:K)</f>
        <v>250003</v>
      </c>
      <c r="J57">
        <f>SUMIF('Quarterly Data'!$B:$B,'Annual Data'!$A57,'Quarterly Data'!L:L)</f>
        <v>2517949.6</v>
      </c>
      <c r="K57">
        <f>AVERAGEIF('Quarterly Data'!$B:$B,'Annual Data'!$A57,'Quarterly Data'!M:M)</f>
        <v>33332.922500000001</v>
      </c>
      <c r="L57">
        <f>AVERAGEIF('Quarterly Data'!$B:$B,'Annual Data'!$A57,'Quarterly Data'!N:N)</f>
        <v>31.625</v>
      </c>
      <c r="M57">
        <f>AVERAGEIF('Quarterly Data'!$B:$B,'Annual Data'!$A57,'Quarterly Data'!O:O)</f>
        <v>601283.57500000007</v>
      </c>
      <c r="N57">
        <f>AVERAGEIF('Quarterly Data'!$B:$B,'Annual Data'!$A57,'Quarterly Data'!P:P)</f>
        <v>43806.689999999995</v>
      </c>
      <c r="O57">
        <f>AVERAGEIF('Quarterly Data'!$B:$B,'Annual Data'!$A57,'Quarterly Data'!Q:Q)</f>
        <v>3283125</v>
      </c>
      <c r="P57">
        <f>SUMIF('Quarterly Data'!$B:$B,'Annual Data'!$A57,'Quarterly Data'!R:R)</f>
        <v>-6.7911380000000001</v>
      </c>
      <c r="Q57">
        <f>SUMIF('Quarterly Data'!$B:$B,'Annual Data'!$A57,'Quarterly Data'!S:S)</f>
        <v>2536090</v>
      </c>
      <c r="R57">
        <f>AVERAGEIF('Quarterly Data'!$B:$B,'Annual Data'!$A57,'Quarterly Data'!T:T)</f>
        <v>130.541675</v>
      </c>
      <c r="S57">
        <f>SUMIF('Quarterly Data'!$B:$B,'Annual Data'!$A57,'Quarterly Data'!U:U)</f>
        <v>821185</v>
      </c>
      <c r="T57">
        <f>SUMIF('Quarterly Data'!$B:$B,'Annual Data'!$A57,'Quarterly Data'!V:V)</f>
        <v>343791</v>
      </c>
      <c r="U57">
        <f>SUMIF('Quarterly Data'!$B:$B,'Annual Data'!$A57,'Quarterly Data'!W:W)</f>
        <v>852463</v>
      </c>
      <c r="V57">
        <f>SUMIF('Quarterly Data'!$B:$B,'Annual Data'!$A57,'Quarterly Data'!X:X)</f>
        <v>474682</v>
      </c>
      <c r="W57">
        <f>SUMIF('Quarterly Data'!$B:$B,'Annual Data'!$A57,'Quarterly Data'!Y:Y)</f>
        <v>452544</v>
      </c>
      <c r="X57">
        <f>SUMIF('Quarterly Data'!$B:$B,'Annual Data'!$A57,'Quarterly Data'!Z:Z)</f>
        <v>250308</v>
      </c>
      <c r="Y57">
        <f>SUMIF('Quarterly Data'!$B:$B,'Annual Data'!$A57,'Quarterly Data'!AA:AA)</f>
        <v>2518211.2999999998</v>
      </c>
      <c r="Z57">
        <f>AVERAGEIF('Quarterly Data'!$B:$B,'Annual Data'!$A57,'Quarterly Data'!AB:AB)</f>
        <v>33327.404999999999</v>
      </c>
      <c r="AA57">
        <f>AVERAGEIF('Quarterly Data'!$B:$B,'Annual Data'!$A57,'Quarterly Data'!AC:AC)</f>
        <v>31.625</v>
      </c>
      <c r="AB57">
        <f>AVERAGEIF('Quarterly Data'!$B:$B,'Annual Data'!$A57,'Quarterly Data'!AD:AD)</f>
        <v>601283.57500000007</v>
      </c>
      <c r="AC57">
        <f>AVERAGEIF('Quarterly Data'!$B:$B,'Annual Data'!$A57,'Quarterly Data'!AE:AE)</f>
        <v>43806.689999999995</v>
      </c>
      <c r="AD57">
        <f>AVERAGEIF('Quarterly Data'!$B:$B,'Annual Data'!$A57,'Quarterly Data'!AF:AF)</f>
        <v>3283125</v>
      </c>
      <c r="AE57">
        <f>SUMIF('Quarterly Data'!$B:$B,'Annual Data'!$A57,'Quarterly Data'!AG:AG)</f>
        <v>-6.7902909999999999</v>
      </c>
    </row>
    <row r="58" spans="1:31" x14ac:dyDescent="0.25">
      <c r="A58">
        <v>2024</v>
      </c>
      <c r="B58">
        <f>SUMIF('Quarterly Data'!$B:$B,'Annual Data'!$A58,'Quarterly Data'!D:D)</f>
        <v>2564378</v>
      </c>
      <c r="C58">
        <f>AVERAGEIF('Quarterly Data'!$B:$B,'Annual Data'!$A58,'Quarterly Data'!E:E)</f>
        <v>133.85832500000001</v>
      </c>
      <c r="D58">
        <f>SUMIF('Quarterly Data'!$B:$B,'Annual Data'!$A58,'Quarterly Data'!F:F)</f>
        <v>834698</v>
      </c>
      <c r="E58">
        <f>SUMIF('Quarterly Data'!$B:$B,'Annual Data'!$A58,'Quarterly Data'!G:G)</f>
        <v>317675</v>
      </c>
      <c r="F58">
        <f>SUMIF('Quarterly Data'!$B:$B,'Annual Data'!$A58,'Quarterly Data'!H:H)</f>
        <v>904876</v>
      </c>
      <c r="G58">
        <f>SUMIF('Quarterly Data'!$B:$B,'Annual Data'!$A58,'Quarterly Data'!I:I)</f>
        <v>504795</v>
      </c>
      <c r="H58">
        <f>SUMIF('Quarterly Data'!$B:$B,'Annual Data'!$A58,'Quarterly Data'!J:J)</f>
        <v>459089</v>
      </c>
      <c r="I58">
        <f>SUMIF('Quarterly Data'!$B:$B,'Annual Data'!$A58,'Quarterly Data'!K:K)</f>
        <v>255004</v>
      </c>
      <c r="J58">
        <f>SUMIF('Quarterly Data'!$B:$B,'Annual Data'!$A58,'Quarterly Data'!L:L)</f>
        <v>2570656.7000000002</v>
      </c>
      <c r="K58">
        <f>AVERAGEIF('Quarterly Data'!$B:$B,'Annual Data'!$A58,'Quarterly Data'!M:M)</f>
        <v>33685.112500000003</v>
      </c>
      <c r="L58">
        <f>AVERAGEIF('Quarterly Data'!$B:$B,'Annual Data'!$A58,'Quarterly Data'!N:N)</f>
        <v>31.974999999999998</v>
      </c>
      <c r="M58">
        <f>AVERAGEIF('Quarterly Data'!$B:$B,'Annual Data'!$A58,'Quarterly Data'!O:O)</f>
        <v>614539.82499999995</v>
      </c>
      <c r="N58">
        <f>AVERAGEIF('Quarterly Data'!$B:$B,'Annual Data'!$A58,'Quarterly Data'!P:P)</f>
        <v>44488.455000000002</v>
      </c>
      <c r="O58">
        <f>AVERAGEIF('Quarterly Data'!$B:$B,'Annual Data'!$A58,'Quarterly Data'!Q:Q)</f>
        <v>3327331.75</v>
      </c>
      <c r="P58">
        <f>SUMIF('Quarterly Data'!$B:$B,'Annual Data'!$A58,'Quarterly Data'!R:R)</f>
        <v>-6.7906279999999999</v>
      </c>
      <c r="Q58">
        <f>SUMIF('Quarterly Data'!$B:$B,'Annual Data'!$A58,'Quarterly Data'!S:S)</f>
        <v>2559803</v>
      </c>
      <c r="R58">
        <f>AVERAGEIF('Quarterly Data'!$B:$B,'Annual Data'!$A58,'Quarterly Data'!T:T)</f>
        <v>133.85832500000001</v>
      </c>
      <c r="S58">
        <f>SUMIF('Quarterly Data'!$B:$B,'Annual Data'!$A58,'Quarterly Data'!U:U)</f>
        <v>803389</v>
      </c>
      <c r="T58">
        <f>SUMIF('Quarterly Data'!$B:$B,'Annual Data'!$A58,'Quarterly Data'!V:V)</f>
        <v>316888</v>
      </c>
      <c r="U58">
        <f>SUMIF('Quarterly Data'!$B:$B,'Annual Data'!$A58,'Quarterly Data'!W:W)</f>
        <v>866402</v>
      </c>
      <c r="V58">
        <f>SUMIF('Quarterly Data'!$B:$B,'Annual Data'!$A58,'Quarterly Data'!X:X)</f>
        <v>482139</v>
      </c>
      <c r="W58">
        <f>SUMIF('Quarterly Data'!$B:$B,'Annual Data'!$A58,'Quarterly Data'!Y:Y)</f>
        <v>458253</v>
      </c>
      <c r="X58">
        <f>SUMIF('Quarterly Data'!$B:$B,'Annual Data'!$A58,'Quarterly Data'!Z:Z)</f>
        <v>252335</v>
      </c>
      <c r="Y58">
        <f>SUMIF('Quarterly Data'!$B:$B,'Annual Data'!$A58,'Quarterly Data'!AA:AA)</f>
        <v>2572320.5</v>
      </c>
      <c r="Z58">
        <f>AVERAGEIF('Quarterly Data'!$B:$B,'Annual Data'!$A58,'Quarterly Data'!AB:AB)</f>
        <v>33678.402499999997</v>
      </c>
      <c r="AA58">
        <f>AVERAGEIF('Quarterly Data'!$B:$B,'Annual Data'!$A58,'Quarterly Data'!AC:AC)</f>
        <v>31.974999999999998</v>
      </c>
      <c r="AB58">
        <f>AVERAGEIF('Quarterly Data'!$B:$B,'Annual Data'!$A58,'Quarterly Data'!AD:AD)</f>
        <v>614539.82499999995</v>
      </c>
      <c r="AC58">
        <f>AVERAGEIF('Quarterly Data'!$B:$B,'Annual Data'!$A58,'Quarterly Data'!AE:AE)</f>
        <v>44488.455000000002</v>
      </c>
      <c r="AD58">
        <f>AVERAGEIF('Quarterly Data'!$B:$B,'Annual Data'!$A58,'Quarterly Data'!AF:AF)</f>
        <v>3327364.5</v>
      </c>
      <c r="AE58">
        <f>SUMIF('Quarterly Data'!$B:$B,'Annual Data'!$A58,'Quarterly Data'!AG:AG)</f>
        <v>-6.7875770000000006</v>
      </c>
    </row>
    <row r="59" spans="1:31" x14ac:dyDescent="0.25">
      <c r="A59">
        <v>2025</v>
      </c>
      <c r="B59">
        <f>SUMIF('Quarterly Data'!$B:$B,'Annual Data'!$A59,'Quarterly Data'!D:D)</f>
        <v>2590320</v>
      </c>
      <c r="C59">
        <f>AVERAGEIF('Quarterly Data'!$B:$B,'Annual Data'!$A59,'Quarterly Data'!E:E)</f>
        <v>137.90549999999999</v>
      </c>
      <c r="D59">
        <f>SUMIF('Quarterly Data'!$B:$B,'Annual Data'!$A59,'Quarterly Data'!F:F)</f>
        <v>839889.3</v>
      </c>
      <c r="E59">
        <f>SUMIF('Quarterly Data'!$B:$B,'Annual Data'!$A59,'Quarterly Data'!G:G)</f>
        <v>303504.59000000003</v>
      </c>
      <c r="F59">
        <f>SUMIF('Quarterly Data'!$B:$B,'Annual Data'!$A59,'Quarterly Data'!H:H)</f>
        <v>911848.5</v>
      </c>
      <c r="G59">
        <f>SUMIF('Quarterly Data'!$B:$B,'Annual Data'!$A59,'Quarterly Data'!I:I)</f>
        <v>502409</v>
      </c>
      <c r="H59">
        <f>SUMIF('Quarterly Data'!$B:$B,'Annual Data'!$A59,'Quarterly Data'!J:J)</f>
        <v>463613.1</v>
      </c>
      <c r="I59">
        <f>SUMIF('Quarterly Data'!$B:$B,'Annual Data'!$A59,'Quarterly Data'!K:K)</f>
        <v>255388.44000000003</v>
      </c>
      <c r="J59">
        <f>SUMIF('Quarterly Data'!$B:$B,'Annual Data'!$A59,'Quarterly Data'!L:L)</f>
        <v>2610560.2999999998</v>
      </c>
      <c r="K59">
        <f>AVERAGEIF('Quarterly Data'!$B:$B,'Annual Data'!$A59,'Quarterly Data'!M:M)</f>
        <v>34116.017499999994</v>
      </c>
      <c r="L59">
        <f>AVERAGEIF('Quarterly Data'!$B:$B,'Annual Data'!$A59,'Quarterly Data'!N:N)</f>
        <v>32</v>
      </c>
      <c r="M59">
        <f>AVERAGEIF('Quarterly Data'!$B:$B,'Annual Data'!$A59,'Quarterly Data'!O:O)</f>
        <v>624751.52500000002</v>
      </c>
      <c r="N59">
        <f>AVERAGEIF('Quarterly Data'!$B:$B,'Annual Data'!$A59,'Quarterly Data'!P:P)</f>
        <v>44946.645000000004</v>
      </c>
      <c r="O59">
        <f>AVERAGEIF('Quarterly Data'!$B:$B,'Annual Data'!$A59,'Quarterly Data'!Q:Q)</f>
        <v>3374194.5</v>
      </c>
      <c r="P59">
        <f>SUMIF('Quarterly Data'!$B:$B,'Annual Data'!$A59,'Quarterly Data'!R:R)</f>
        <v>-6.7911380000000001</v>
      </c>
      <c r="Q59">
        <f>SUMIF('Quarterly Data'!$B:$B,'Annual Data'!$A59,'Quarterly Data'!S:S)</f>
        <v>2584481.5</v>
      </c>
      <c r="R59">
        <f>AVERAGEIF('Quarterly Data'!$B:$B,'Annual Data'!$A59,'Quarterly Data'!T:T)</f>
        <v>138.07825</v>
      </c>
      <c r="S59">
        <f>SUMIF('Quarterly Data'!$B:$B,'Annual Data'!$A59,'Quarterly Data'!U:U)</f>
        <v>790225.10000000009</v>
      </c>
      <c r="T59">
        <f>SUMIF('Quarterly Data'!$B:$B,'Annual Data'!$A59,'Quarterly Data'!V:V)</f>
        <v>304557.56</v>
      </c>
      <c r="U59">
        <f>SUMIF('Quarterly Data'!$B:$B,'Annual Data'!$A59,'Quarterly Data'!W:W)</f>
        <v>866491.60000000009</v>
      </c>
      <c r="V59">
        <f>SUMIF('Quarterly Data'!$B:$B,'Annual Data'!$A59,'Quarterly Data'!X:X)</f>
        <v>471155.6</v>
      </c>
      <c r="W59">
        <f>SUMIF('Quarterly Data'!$B:$B,'Annual Data'!$A59,'Quarterly Data'!Y:Y)</f>
        <v>458498.1</v>
      </c>
      <c r="X59">
        <f>SUMIF('Quarterly Data'!$B:$B,'Annual Data'!$A59,'Quarterly Data'!Z:Z)</f>
        <v>255473.65</v>
      </c>
      <c r="Y59">
        <f>SUMIF('Quarterly Data'!$B:$B,'Annual Data'!$A59,'Quarterly Data'!AA:AA)</f>
        <v>2608982.7000000002</v>
      </c>
      <c r="Z59">
        <f>AVERAGEIF('Quarterly Data'!$B:$B,'Annual Data'!$A59,'Quarterly Data'!AB:AB)</f>
        <v>34018.574999999997</v>
      </c>
      <c r="AA59">
        <f>AVERAGEIF('Quarterly Data'!$B:$B,'Annual Data'!$A59,'Quarterly Data'!AC:AC)</f>
        <v>32</v>
      </c>
      <c r="AB59">
        <f>AVERAGEIF('Quarterly Data'!$B:$B,'Annual Data'!$A59,'Quarterly Data'!AD:AD)</f>
        <v>624751.52500000002</v>
      </c>
      <c r="AC59">
        <f>AVERAGEIF('Quarterly Data'!$B:$B,'Annual Data'!$A59,'Quarterly Data'!AE:AE)</f>
        <v>44946.645000000004</v>
      </c>
      <c r="AD59">
        <f>AVERAGEIF('Quarterly Data'!$B:$B,'Annual Data'!$A59,'Quarterly Data'!AF:AF)</f>
        <v>3369963.75</v>
      </c>
      <c r="AE59">
        <f>SUMIF('Quarterly Data'!$B:$B,'Annual Data'!$A59,'Quarterly Data'!AG:AG)</f>
        <v>-6.7848620000000004</v>
      </c>
    </row>
    <row r="60" spans="1:31" x14ac:dyDescent="0.25">
      <c r="A60">
        <v>2026</v>
      </c>
      <c r="B60">
        <f>SUMIF('Quarterly Data'!$B:$B,'Annual Data'!$A60,'Quarterly Data'!D:D)</f>
        <v>2612621.2000000002</v>
      </c>
      <c r="C60">
        <f>AVERAGEIF('Quarterly Data'!$B:$B,'Annual Data'!$A60,'Quarterly Data'!E:E)</f>
        <v>141.25857500000001</v>
      </c>
      <c r="D60">
        <f>SUMIF('Quarterly Data'!$B:$B,'Annual Data'!$A60,'Quarterly Data'!F:F)</f>
        <v>829874.1</v>
      </c>
      <c r="E60">
        <f>SUMIF('Quarterly Data'!$B:$B,'Annual Data'!$A60,'Quarterly Data'!G:G)</f>
        <v>288409.49</v>
      </c>
      <c r="F60">
        <f>SUMIF('Quarterly Data'!$B:$B,'Annual Data'!$A60,'Quarterly Data'!H:H)</f>
        <v>908076.4</v>
      </c>
      <c r="G60">
        <f>SUMIF('Quarterly Data'!$B:$B,'Annual Data'!$A60,'Quarterly Data'!I:I)</f>
        <v>495825.80000000005</v>
      </c>
      <c r="H60">
        <f>SUMIF('Quarterly Data'!$B:$B,'Annual Data'!$A60,'Quarterly Data'!J:J)</f>
        <v>468478.69999999995</v>
      </c>
      <c r="I60">
        <f>SUMIF('Quarterly Data'!$B:$B,'Annual Data'!$A60,'Quarterly Data'!K:K)</f>
        <v>255688.55</v>
      </c>
      <c r="J60">
        <f>SUMIF('Quarterly Data'!$B:$B,'Annual Data'!$A60,'Quarterly Data'!L:L)</f>
        <v>2643487.5</v>
      </c>
      <c r="K60">
        <f>AVERAGEIF('Quarterly Data'!$B:$B,'Annual Data'!$A60,'Quarterly Data'!M:M)</f>
        <v>34445.717499999999</v>
      </c>
      <c r="L60">
        <f>AVERAGEIF('Quarterly Data'!$B:$B,'Annual Data'!$A60,'Quarterly Data'!N:N)</f>
        <v>32</v>
      </c>
      <c r="M60">
        <f>AVERAGEIF('Quarterly Data'!$B:$B,'Annual Data'!$A60,'Quarterly Data'!O:O)</f>
        <v>632544.85</v>
      </c>
      <c r="N60">
        <f>AVERAGEIF('Quarterly Data'!$B:$B,'Annual Data'!$A60,'Quarterly Data'!P:P)</f>
        <v>45231.049999999996</v>
      </c>
      <c r="O60">
        <f>AVERAGEIF('Quarterly Data'!$B:$B,'Annual Data'!$A60,'Quarterly Data'!Q:Q)</f>
        <v>3418497.25</v>
      </c>
      <c r="P60">
        <f>SUMIF('Quarterly Data'!$B:$B,'Annual Data'!$A60,'Quarterly Data'!R:R)</f>
        <v>-6.7919029999999996</v>
      </c>
      <c r="Q60">
        <f>SUMIF('Quarterly Data'!$B:$B,'Annual Data'!$A60,'Quarterly Data'!S:S)</f>
        <v>2622252.6999999997</v>
      </c>
      <c r="R60">
        <f>AVERAGEIF('Quarterly Data'!$B:$B,'Annual Data'!$A60,'Quarterly Data'!T:T)</f>
        <v>141.67969999999997</v>
      </c>
      <c r="S60">
        <f>SUMIF('Quarterly Data'!$B:$B,'Annual Data'!$A60,'Quarterly Data'!U:U)</f>
        <v>797413.89999999991</v>
      </c>
      <c r="T60">
        <f>SUMIF('Quarterly Data'!$B:$B,'Annual Data'!$A60,'Quarterly Data'!V:V)</f>
        <v>304354.93</v>
      </c>
      <c r="U60">
        <f>SUMIF('Quarterly Data'!$B:$B,'Annual Data'!$A60,'Quarterly Data'!W:W)</f>
        <v>879522.9</v>
      </c>
      <c r="V60">
        <f>SUMIF('Quarterly Data'!$B:$B,'Annual Data'!$A60,'Quarterly Data'!X:X)</f>
        <v>476485.4</v>
      </c>
      <c r="W60">
        <f>SUMIF('Quarterly Data'!$B:$B,'Annual Data'!$A60,'Quarterly Data'!Y:Y)</f>
        <v>472662.80000000005</v>
      </c>
      <c r="X60">
        <f>SUMIF('Quarterly Data'!$B:$B,'Annual Data'!$A60,'Quarterly Data'!Z:Z)</f>
        <v>260372.31999999998</v>
      </c>
      <c r="Y60">
        <f>SUMIF('Quarterly Data'!$B:$B,'Annual Data'!$A60,'Quarterly Data'!AA:AA)</f>
        <v>2646707.4</v>
      </c>
      <c r="Z60">
        <f>AVERAGEIF('Quarterly Data'!$B:$B,'Annual Data'!$A60,'Quarterly Data'!AB:AB)</f>
        <v>34403.132499999992</v>
      </c>
      <c r="AA60">
        <f>AVERAGEIF('Quarterly Data'!$B:$B,'Annual Data'!$A60,'Quarterly Data'!AC:AC)</f>
        <v>32</v>
      </c>
      <c r="AB60">
        <f>AVERAGEIF('Quarterly Data'!$B:$B,'Annual Data'!$A60,'Quarterly Data'!AD:AD)</f>
        <v>632544.85</v>
      </c>
      <c r="AC60">
        <f>AVERAGEIF('Quarterly Data'!$B:$B,'Annual Data'!$A60,'Quarterly Data'!AE:AE)</f>
        <v>45231.049999999996</v>
      </c>
      <c r="AD60">
        <f>AVERAGEIF('Quarterly Data'!$B:$B,'Annual Data'!$A60,'Quarterly Data'!AF:AF)</f>
        <v>3415495</v>
      </c>
      <c r="AE60">
        <f>SUMIF('Quarterly Data'!$B:$B,'Annual Data'!$A60,'Quarterly Data'!AG:AG)</f>
        <v>-6.7821479999999994</v>
      </c>
    </row>
    <row r="61" spans="1:31" x14ac:dyDescent="0.25">
      <c r="A61">
        <v>2027</v>
      </c>
      <c r="B61">
        <f>SUMIF('Quarterly Data'!$B:$B,'Annual Data'!$A61,'Quarterly Data'!D:D)</f>
        <v>2647377.2000000002</v>
      </c>
      <c r="C61">
        <f>AVERAGEIF('Quarterly Data'!$B:$B,'Annual Data'!$A61,'Quarterly Data'!E:E)</f>
        <v>144.50579999999999</v>
      </c>
      <c r="D61">
        <f>SUMIF('Quarterly Data'!$B:$B,'Annual Data'!$A61,'Quarterly Data'!F:F)</f>
        <v>840000.49999999988</v>
      </c>
      <c r="E61">
        <f>SUMIF('Quarterly Data'!$B:$B,'Annual Data'!$A61,'Quarterly Data'!G:G)</f>
        <v>290971.42</v>
      </c>
      <c r="F61">
        <f>SUMIF('Quarterly Data'!$B:$B,'Annual Data'!$A61,'Quarterly Data'!H:H)</f>
        <v>918277.29999999993</v>
      </c>
      <c r="G61">
        <f>SUMIF('Quarterly Data'!$B:$B,'Annual Data'!$A61,'Quarterly Data'!I:I)</f>
        <v>500424.69999999995</v>
      </c>
      <c r="H61">
        <f>SUMIF('Quarterly Data'!$B:$B,'Annual Data'!$A61,'Quarterly Data'!J:J)</f>
        <v>475915</v>
      </c>
      <c r="I61">
        <f>SUMIF('Quarterly Data'!$B:$B,'Annual Data'!$A61,'Quarterly Data'!K:K)</f>
        <v>257626.09</v>
      </c>
      <c r="J61">
        <f>SUMIF('Quarterly Data'!$B:$B,'Annual Data'!$A61,'Quarterly Data'!L:L)</f>
        <v>2679063.2999999998</v>
      </c>
      <c r="K61">
        <f>AVERAGEIF('Quarterly Data'!$B:$B,'Annual Data'!$A61,'Quarterly Data'!M:M)</f>
        <v>34806.657499999994</v>
      </c>
      <c r="L61">
        <f>AVERAGEIF('Quarterly Data'!$B:$B,'Annual Data'!$A61,'Quarterly Data'!N:N)</f>
        <v>31.999477499999998</v>
      </c>
      <c r="M61">
        <f>AVERAGEIF('Quarterly Data'!$B:$B,'Annual Data'!$A61,'Quarterly Data'!O:O)</f>
        <v>638906.32499999995</v>
      </c>
      <c r="N61">
        <f>AVERAGEIF('Quarterly Data'!$B:$B,'Annual Data'!$A61,'Quarterly Data'!P:P)</f>
        <v>45416.532500000001</v>
      </c>
      <c r="O61">
        <f>AVERAGEIF('Quarterly Data'!$B:$B,'Annual Data'!$A61,'Quarterly Data'!Q:Q)</f>
        <v>3461841</v>
      </c>
      <c r="P61">
        <f>SUMIF('Quarterly Data'!$B:$B,'Annual Data'!$A61,'Quarterly Data'!R:R)</f>
        <v>-6.7902889999999996</v>
      </c>
      <c r="Q61">
        <f>SUMIF('Quarterly Data'!$B:$B,'Annual Data'!$A61,'Quarterly Data'!S:S)</f>
        <v>2665748</v>
      </c>
      <c r="R61">
        <f>AVERAGEIF('Quarterly Data'!$B:$B,'Annual Data'!$A61,'Quarterly Data'!T:T)</f>
        <v>144.797</v>
      </c>
      <c r="S61">
        <f>SUMIF('Quarterly Data'!$B:$B,'Annual Data'!$A61,'Quarterly Data'!U:U)</f>
        <v>808092.1</v>
      </c>
      <c r="T61">
        <f>SUMIF('Quarterly Data'!$B:$B,'Annual Data'!$A61,'Quarterly Data'!V:V)</f>
        <v>306469.28999999998</v>
      </c>
      <c r="U61">
        <f>SUMIF('Quarterly Data'!$B:$B,'Annual Data'!$A61,'Quarterly Data'!W:W)</f>
        <v>890049.8</v>
      </c>
      <c r="V61">
        <f>SUMIF('Quarterly Data'!$B:$B,'Annual Data'!$A61,'Quarterly Data'!X:X)</f>
        <v>480454.2</v>
      </c>
      <c r="W61">
        <f>SUMIF('Quarterly Data'!$B:$B,'Annual Data'!$A61,'Quarterly Data'!Y:Y)</f>
        <v>484161.6</v>
      </c>
      <c r="X61">
        <f>SUMIF('Quarterly Data'!$B:$B,'Annual Data'!$A61,'Quarterly Data'!Z:Z)</f>
        <v>266724.92</v>
      </c>
      <c r="Y61">
        <f>SUMIF('Quarterly Data'!$B:$B,'Annual Data'!$A61,'Quarterly Data'!AA:AA)</f>
        <v>2686793.8</v>
      </c>
      <c r="Z61">
        <f>AVERAGEIF('Quarterly Data'!$B:$B,'Annual Data'!$A61,'Quarterly Data'!AB:AB)</f>
        <v>34793.8675</v>
      </c>
      <c r="AA61">
        <f>AVERAGEIF('Quarterly Data'!$B:$B,'Annual Data'!$A61,'Quarterly Data'!AC:AC)</f>
        <v>31.999477499999998</v>
      </c>
      <c r="AB61">
        <f>AVERAGEIF('Quarterly Data'!$B:$B,'Annual Data'!$A61,'Quarterly Data'!AD:AD)</f>
        <v>638906.32499999995</v>
      </c>
      <c r="AC61">
        <f>AVERAGEIF('Quarterly Data'!$B:$B,'Annual Data'!$A61,'Quarterly Data'!AE:AE)</f>
        <v>45416.532500000001</v>
      </c>
      <c r="AD61">
        <f>AVERAGEIF('Quarterly Data'!$B:$B,'Annual Data'!$A61,'Quarterly Data'!AF:AF)</f>
        <v>3465646.75</v>
      </c>
      <c r="AE61">
        <f>SUMIF('Quarterly Data'!$B:$B,'Annual Data'!$A61,'Quarterly Data'!AG:AG)</f>
        <v>-6.7785889999999993</v>
      </c>
    </row>
    <row r="62" spans="1:31" x14ac:dyDescent="0.25">
      <c r="A62">
        <v>2028</v>
      </c>
      <c r="B62">
        <f>SUMIF('Quarterly Data'!$B:$B,'Annual Data'!$A62,'Quarterly Data'!D:D)</f>
        <v>2696080.6</v>
      </c>
      <c r="C62">
        <f>AVERAGEIF('Quarterly Data'!$B:$B,'Annual Data'!$A62,'Quarterly Data'!E:E)</f>
        <v>147.78025</v>
      </c>
      <c r="D62">
        <f>SUMIF('Quarterly Data'!$B:$B,'Annual Data'!$A62,'Quarterly Data'!F:F)</f>
        <v>852298.7</v>
      </c>
      <c r="E62">
        <f>SUMIF('Quarterly Data'!$B:$B,'Annual Data'!$A62,'Quarterly Data'!G:G)</f>
        <v>294265.33</v>
      </c>
      <c r="F62">
        <f>SUMIF('Quarterly Data'!$B:$B,'Annual Data'!$A62,'Quarterly Data'!H:H)</f>
        <v>931439.10000000009</v>
      </c>
      <c r="G62">
        <f>SUMIF('Quarterly Data'!$B:$B,'Annual Data'!$A62,'Quarterly Data'!I:I)</f>
        <v>506704.1</v>
      </c>
      <c r="H62">
        <f>SUMIF('Quarterly Data'!$B:$B,'Annual Data'!$A62,'Quarterly Data'!J:J)</f>
        <v>485625.4</v>
      </c>
      <c r="I62">
        <f>SUMIF('Quarterly Data'!$B:$B,'Annual Data'!$A62,'Quarterly Data'!K:K)</f>
        <v>264408.07</v>
      </c>
      <c r="J62">
        <f>SUMIF('Quarterly Data'!$B:$B,'Annual Data'!$A62,'Quarterly Data'!L:L)</f>
        <v>2717210.9</v>
      </c>
      <c r="K62">
        <f>AVERAGEIF('Quarterly Data'!$B:$B,'Annual Data'!$A62,'Quarterly Data'!M:M)</f>
        <v>35183.915000000001</v>
      </c>
      <c r="L62">
        <f>AVERAGEIF('Quarterly Data'!$B:$B,'Annual Data'!$A62,'Quarterly Data'!N:N)</f>
        <v>31.998645</v>
      </c>
      <c r="M62">
        <f>AVERAGEIF('Quarterly Data'!$B:$B,'Annual Data'!$A62,'Quarterly Data'!O:O)</f>
        <v>643953.72499999998</v>
      </c>
      <c r="N62">
        <f>AVERAGEIF('Quarterly Data'!$B:$B,'Annual Data'!$A62,'Quarterly Data'!P:P)</f>
        <v>45513.912500000006</v>
      </c>
      <c r="O62">
        <f>AVERAGEIF('Quarterly Data'!$B:$B,'Annual Data'!$A62,'Quarterly Data'!Q:Q)</f>
        <v>3506825.5</v>
      </c>
      <c r="P62">
        <f>SUMIF('Quarterly Data'!$B:$B,'Annual Data'!$A62,'Quarterly Data'!R:R)</f>
        <v>-6.7864710000000006</v>
      </c>
      <c r="Q62">
        <f>SUMIF('Quarterly Data'!$B:$B,'Annual Data'!$A62,'Quarterly Data'!S:S)</f>
        <v>2714647.4000000004</v>
      </c>
      <c r="R62">
        <f>AVERAGEIF('Quarterly Data'!$B:$B,'Annual Data'!$A62,'Quarterly Data'!T:T)</f>
        <v>148.01827500000002</v>
      </c>
      <c r="S62">
        <f>SUMIF('Quarterly Data'!$B:$B,'Annual Data'!$A62,'Quarterly Data'!U:U)</f>
        <v>818776.70000000007</v>
      </c>
      <c r="T62">
        <f>SUMIF('Quarterly Data'!$B:$B,'Annual Data'!$A62,'Quarterly Data'!V:V)</f>
        <v>309267.89</v>
      </c>
      <c r="U62">
        <f>SUMIF('Quarterly Data'!$B:$B,'Annual Data'!$A62,'Quarterly Data'!W:W)</f>
        <v>902112.2</v>
      </c>
      <c r="V62">
        <f>SUMIF('Quarterly Data'!$B:$B,'Annual Data'!$A62,'Quarterly Data'!X:X)</f>
        <v>485944.19999999995</v>
      </c>
      <c r="W62">
        <f>SUMIF('Quarterly Data'!$B:$B,'Annual Data'!$A62,'Quarterly Data'!Y:Y)</f>
        <v>494561.6</v>
      </c>
      <c r="X62">
        <f>SUMIF('Quarterly Data'!$B:$B,'Annual Data'!$A62,'Quarterly Data'!Z:Z)</f>
        <v>274532.86</v>
      </c>
      <c r="Y62">
        <f>SUMIF('Quarterly Data'!$B:$B,'Annual Data'!$A62,'Quarterly Data'!AA:AA)</f>
        <v>2726583</v>
      </c>
      <c r="Z62">
        <f>AVERAGEIF('Quarterly Data'!$B:$B,'Annual Data'!$A62,'Quarterly Data'!AB:AB)</f>
        <v>35145.497499999998</v>
      </c>
      <c r="AA62">
        <f>AVERAGEIF('Quarterly Data'!$B:$B,'Annual Data'!$A62,'Quarterly Data'!AC:AC)</f>
        <v>31.998645</v>
      </c>
      <c r="AB62">
        <f>AVERAGEIF('Quarterly Data'!$B:$B,'Annual Data'!$A62,'Quarterly Data'!AD:AD)</f>
        <v>643953.72499999998</v>
      </c>
      <c r="AC62">
        <f>AVERAGEIF('Quarterly Data'!$B:$B,'Annual Data'!$A62,'Quarterly Data'!AE:AE)</f>
        <v>45513.912500000006</v>
      </c>
      <c r="AD62">
        <f>AVERAGEIF('Quarterly Data'!$B:$B,'Annual Data'!$A62,'Quarterly Data'!AF:AF)</f>
        <v>3518260.25</v>
      </c>
      <c r="AE62">
        <f>SUMIF('Quarterly Data'!$B:$B,'Annual Data'!$A62,'Quarterly Data'!AG:AG)</f>
        <v>-6.773676</v>
      </c>
    </row>
    <row r="63" spans="1:31" x14ac:dyDescent="0.25">
      <c r="A63">
        <v>2029</v>
      </c>
      <c r="B63">
        <f>SUMIF('Quarterly Data'!$B:$B,'Annual Data'!$A63,'Quarterly Data'!D:D)</f>
        <v>2743598.4</v>
      </c>
      <c r="C63">
        <f>AVERAGEIF('Quarterly Data'!$B:$B,'Annual Data'!$A63,'Quarterly Data'!E:E)</f>
        <v>150.96344999999999</v>
      </c>
      <c r="D63">
        <f>SUMIF('Quarterly Data'!$B:$B,'Annual Data'!$A63,'Quarterly Data'!F:F)</f>
        <v>864668.2</v>
      </c>
      <c r="E63">
        <f>SUMIF('Quarterly Data'!$B:$B,'Annual Data'!$A63,'Quarterly Data'!G:G)</f>
        <v>297245.05000000005</v>
      </c>
      <c r="F63">
        <f>SUMIF('Quarterly Data'!$B:$B,'Annual Data'!$A63,'Quarterly Data'!H:H)</f>
        <v>944647.10000000009</v>
      </c>
      <c r="G63">
        <f>SUMIF('Quarterly Data'!$B:$B,'Annual Data'!$A63,'Quarterly Data'!I:I)</f>
        <v>512842.80000000005</v>
      </c>
      <c r="H63">
        <f>SUMIF('Quarterly Data'!$B:$B,'Annual Data'!$A63,'Quarterly Data'!J:J)</f>
        <v>495251.50000000006</v>
      </c>
      <c r="I63">
        <f>SUMIF('Quarterly Data'!$B:$B,'Annual Data'!$A63,'Quarterly Data'!K:K)</f>
        <v>271917.61</v>
      </c>
      <c r="J63">
        <f>SUMIF('Quarterly Data'!$B:$B,'Annual Data'!$A63,'Quarterly Data'!L:L)</f>
        <v>2755281.1999999997</v>
      </c>
      <c r="K63">
        <f>AVERAGEIF('Quarterly Data'!$B:$B,'Annual Data'!$A63,'Quarterly Data'!M:M)</f>
        <v>35510.449999999997</v>
      </c>
      <c r="L63">
        <f>AVERAGEIF('Quarterly Data'!$B:$B,'Annual Data'!$A63,'Quarterly Data'!N:N)</f>
        <v>31.997814999999999</v>
      </c>
      <c r="M63">
        <f>AVERAGEIF('Quarterly Data'!$B:$B,'Annual Data'!$A63,'Quarterly Data'!O:O)</f>
        <v>648444.85</v>
      </c>
      <c r="N63">
        <f>AVERAGEIF('Quarterly Data'!$B:$B,'Annual Data'!$A63,'Quarterly Data'!P:P)</f>
        <v>45578.535000000003</v>
      </c>
      <c r="O63">
        <f>AVERAGEIF('Quarterly Data'!$B:$B,'Annual Data'!$A63,'Quarterly Data'!Q:Q)</f>
        <v>3554214.75</v>
      </c>
      <c r="P63">
        <f>SUMIF('Quarterly Data'!$B:$B,'Annual Data'!$A63,'Quarterly Data'!R:R)</f>
        <v>-6.7800259999999994</v>
      </c>
      <c r="Q63">
        <f>SUMIF('Quarterly Data'!$B:$B,'Annual Data'!$A63,'Quarterly Data'!S:S)</f>
        <v>2760086</v>
      </c>
      <c r="R63">
        <f>AVERAGEIF('Quarterly Data'!$B:$B,'Annual Data'!$A63,'Quarterly Data'!T:T)</f>
        <v>151.106075</v>
      </c>
      <c r="S63">
        <f>SUMIF('Quarterly Data'!$B:$B,'Annual Data'!$A63,'Quarterly Data'!U:U)</f>
        <v>829693.8</v>
      </c>
      <c r="T63">
        <f>SUMIF('Quarterly Data'!$B:$B,'Annual Data'!$A63,'Quarterly Data'!V:V)</f>
        <v>312360.7</v>
      </c>
      <c r="U63">
        <f>SUMIF('Quarterly Data'!$B:$B,'Annual Data'!$A63,'Quarterly Data'!W:W)</f>
        <v>914621.89999999991</v>
      </c>
      <c r="V63">
        <f>SUMIF('Quarterly Data'!$B:$B,'Annual Data'!$A63,'Quarterly Data'!X:X)</f>
        <v>491788.89999999997</v>
      </c>
      <c r="W63">
        <f>SUMIF('Quarterly Data'!$B:$B,'Annual Data'!$A63,'Quarterly Data'!Y:Y)</f>
        <v>503490.8</v>
      </c>
      <c r="X63">
        <f>SUMIF('Quarterly Data'!$B:$B,'Annual Data'!$A63,'Quarterly Data'!Z:Z)</f>
        <v>281786.27</v>
      </c>
      <c r="Y63">
        <f>SUMIF('Quarterly Data'!$B:$B,'Annual Data'!$A63,'Quarterly Data'!AA:AA)</f>
        <v>2765827.8</v>
      </c>
      <c r="Z63">
        <f>AVERAGEIF('Quarterly Data'!$B:$B,'Annual Data'!$A63,'Quarterly Data'!AB:AB)</f>
        <v>35460.182499999995</v>
      </c>
      <c r="AA63">
        <f>AVERAGEIF('Quarterly Data'!$B:$B,'Annual Data'!$A63,'Quarterly Data'!AC:AC)</f>
        <v>31.997814999999999</v>
      </c>
      <c r="AB63">
        <f>AVERAGEIF('Quarterly Data'!$B:$B,'Annual Data'!$A63,'Quarterly Data'!AD:AD)</f>
        <v>648444.85</v>
      </c>
      <c r="AC63">
        <f>AVERAGEIF('Quarterly Data'!$B:$B,'Annual Data'!$A63,'Quarterly Data'!AE:AE)</f>
        <v>45578.535000000003</v>
      </c>
      <c r="AD63">
        <f>AVERAGEIF('Quarterly Data'!$B:$B,'Annual Data'!$A63,'Quarterly Data'!AF:AF)</f>
        <v>3572777.75</v>
      </c>
      <c r="AE63">
        <f>SUMIF('Quarterly Data'!$B:$B,'Annual Data'!$A63,'Quarterly Data'!AG:AG)</f>
        <v>-6.7677080000000007</v>
      </c>
    </row>
    <row r="64" spans="1:31" x14ac:dyDescent="0.25">
      <c r="A64">
        <v>2030</v>
      </c>
      <c r="B64">
        <f>SUMIF('Quarterly Data'!$B:$B,'Annual Data'!$A64,'Quarterly Data'!D:D)</f>
        <v>2787932</v>
      </c>
      <c r="C64">
        <f>AVERAGEIF('Quarterly Data'!$B:$B,'Annual Data'!$A64,'Quarterly Data'!E:E)</f>
        <v>154.1086</v>
      </c>
      <c r="D64">
        <f>SUMIF('Quarterly Data'!$B:$B,'Annual Data'!$A64,'Quarterly Data'!F:F)</f>
        <v>877187.6</v>
      </c>
      <c r="E64">
        <f>SUMIF('Quarterly Data'!$B:$B,'Annual Data'!$A64,'Quarterly Data'!G:G)</f>
        <v>300704.92</v>
      </c>
      <c r="F64">
        <f>SUMIF('Quarterly Data'!$B:$B,'Annual Data'!$A64,'Quarterly Data'!H:H)</f>
        <v>958517.7</v>
      </c>
      <c r="G64">
        <f>SUMIF('Quarterly Data'!$B:$B,'Annual Data'!$A64,'Quarterly Data'!I:I)</f>
        <v>519479</v>
      </c>
      <c r="H64">
        <f>SUMIF('Quarterly Data'!$B:$B,'Annual Data'!$A64,'Quarterly Data'!J:J)</f>
        <v>504290.5</v>
      </c>
      <c r="I64">
        <f>SUMIF('Quarterly Data'!$B:$B,'Annual Data'!$A64,'Quarterly Data'!K:K)</f>
        <v>278816.69</v>
      </c>
      <c r="J64">
        <f>SUMIF('Quarterly Data'!$B:$B,'Annual Data'!$A64,'Quarterly Data'!L:L)</f>
        <v>2794047.7</v>
      </c>
      <c r="K64">
        <f>AVERAGEIF('Quarterly Data'!$B:$B,'Annual Data'!$A64,'Quarterly Data'!M:M)</f>
        <v>35800.737500000003</v>
      </c>
      <c r="L64">
        <f>AVERAGEIF('Quarterly Data'!$B:$B,'Annual Data'!$A64,'Quarterly Data'!N:N)</f>
        <v>31.996980000000001</v>
      </c>
      <c r="M64">
        <f>AVERAGEIF('Quarterly Data'!$B:$B,'Annual Data'!$A64,'Quarterly Data'!O:O)</f>
        <v>652752.5</v>
      </c>
      <c r="N64">
        <f>AVERAGEIF('Quarterly Data'!$B:$B,'Annual Data'!$A64,'Quarterly Data'!P:P)</f>
        <v>45637.722500000003</v>
      </c>
      <c r="O64">
        <f>AVERAGEIF('Quarterly Data'!$B:$B,'Annual Data'!$A64,'Quarterly Data'!Q:Q)</f>
        <v>3603829.75</v>
      </c>
      <c r="P64">
        <f>SUMIF('Quarterly Data'!$B:$B,'Annual Data'!$A64,'Quarterly Data'!R:R)</f>
        <v>-6.7708779999999997</v>
      </c>
      <c r="Q64">
        <f>SUMIF('Quarterly Data'!$B:$B,'Annual Data'!$A64,'Quarterly Data'!S:S)</f>
        <v>2804164.9</v>
      </c>
      <c r="R64">
        <f>AVERAGEIF('Quarterly Data'!$B:$B,'Annual Data'!$A64,'Quarterly Data'!T:T)</f>
        <v>154.106425</v>
      </c>
      <c r="S64">
        <f>SUMIF('Quarterly Data'!$B:$B,'Annual Data'!$A64,'Quarterly Data'!U:U)</f>
        <v>841203.3</v>
      </c>
      <c r="T64">
        <f>SUMIF('Quarterly Data'!$B:$B,'Annual Data'!$A64,'Quarterly Data'!V:V)</f>
        <v>315996.48</v>
      </c>
      <c r="U64">
        <f>SUMIF('Quarterly Data'!$B:$B,'Annual Data'!$A64,'Quarterly Data'!W:W)</f>
        <v>927882.2</v>
      </c>
      <c r="V64">
        <f>SUMIF('Quarterly Data'!$B:$B,'Annual Data'!$A64,'Quarterly Data'!X:X)</f>
        <v>498152.8</v>
      </c>
      <c r="W64">
        <f>SUMIF('Quarterly Data'!$B:$B,'Annual Data'!$A64,'Quarterly Data'!Y:Y)</f>
        <v>512384.19999999995</v>
      </c>
      <c r="X64">
        <f>SUMIF('Quarterly Data'!$B:$B,'Annual Data'!$A64,'Quarterly Data'!Z:Z)</f>
        <v>288689.28000000003</v>
      </c>
      <c r="Y64">
        <f>SUMIF('Quarterly Data'!$B:$B,'Annual Data'!$A64,'Quarterly Data'!AA:AA)</f>
        <v>2806111</v>
      </c>
      <c r="Z64">
        <f>AVERAGEIF('Quarterly Data'!$B:$B,'Annual Data'!$A64,'Quarterly Data'!AB:AB)</f>
        <v>35761.230000000003</v>
      </c>
      <c r="AA64">
        <f>AVERAGEIF('Quarterly Data'!$B:$B,'Annual Data'!$A64,'Quarterly Data'!AC:AC)</f>
        <v>31.996980000000001</v>
      </c>
      <c r="AB64">
        <f>AVERAGEIF('Quarterly Data'!$B:$B,'Annual Data'!$A64,'Quarterly Data'!AD:AD)</f>
        <v>652752.5</v>
      </c>
      <c r="AC64">
        <f>AVERAGEIF('Quarterly Data'!$B:$B,'Annual Data'!$A64,'Quarterly Data'!AE:AE)</f>
        <v>45637.722500000003</v>
      </c>
      <c r="AD64">
        <f>AVERAGEIF('Quarterly Data'!$B:$B,'Annual Data'!$A64,'Quarterly Data'!AF:AF)</f>
        <v>3628879</v>
      </c>
      <c r="AE64">
        <f>SUMIF('Quarterly Data'!$B:$B,'Annual Data'!$A64,'Quarterly Data'!AG:AG)</f>
        <v>-6.7598879999999992</v>
      </c>
    </row>
    <row r="65" spans="1:31" x14ac:dyDescent="0.25">
      <c r="A65">
        <v>2031</v>
      </c>
      <c r="B65">
        <f>SUMIF('Quarterly Data'!$B:$B,'Annual Data'!$A65,'Quarterly Data'!D:D)</f>
        <v>2832594.8</v>
      </c>
      <c r="C65">
        <f>AVERAGEIF('Quarterly Data'!$B:$B,'Annual Data'!$A65,'Quarterly Data'!E:E)</f>
        <v>157.22055</v>
      </c>
      <c r="D65">
        <f>SUMIF('Quarterly Data'!$B:$B,'Annual Data'!$A65,'Quarterly Data'!F:F)</f>
        <v>889928.20000000007</v>
      </c>
      <c r="E65">
        <f>SUMIF('Quarterly Data'!$B:$B,'Annual Data'!$A65,'Quarterly Data'!G:G)</f>
        <v>304451.04000000004</v>
      </c>
      <c r="F65">
        <f>SUMIF('Quarterly Data'!$B:$B,'Annual Data'!$A65,'Quarterly Data'!H:H)</f>
        <v>973542.99999999988</v>
      </c>
      <c r="G65">
        <f>SUMIF('Quarterly Data'!$B:$B,'Annual Data'!$A65,'Quarterly Data'!I:I)</f>
        <v>526960.69999999995</v>
      </c>
      <c r="H65">
        <f>SUMIF('Quarterly Data'!$B:$B,'Annual Data'!$A65,'Quarterly Data'!J:J)</f>
        <v>514832.69999999995</v>
      </c>
      <c r="I65">
        <f>SUMIF('Quarterly Data'!$B:$B,'Annual Data'!$A65,'Quarterly Data'!K:K)</f>
        <v>285682.30999999994</v>
      </c>
      <c r="J65">
        <f>SUMIF('Quarterly Data'!$B:$B,'Annual Data'!$A65,'Quarterly Data'!L:L)</f>
        <v>2834792.3</v>
      </c>
      <c r="K65">
        <f>AVERAGEIF('Quarterly Data'!$B:$B,'Annual Data'!$A65,'Quarterly Data'!M:M)</f>
        <v>36078.995000000003</v>
      </c>
      <c r="L65">
        <f>AVERAGEIF('Quarterly Data'!$B:$B,'Annual Data'!$A65,'Quarterly Data'!N:N)</f>
        <v>31.996145000000002</v>
      </c>
      <c r="M65">
        <f>AVERAGEIF('Quarterly Data'!$B:$B,'Annual Data'!$A65,'Quarterly Data'!O:O)</f>
        <v>657059.07499999995</v>
      </c>
      <c r="N65">
        <f>AVERAGEIF('Quarterly Data'!$B:$B,'Annual Data'!$A65,'Quarterly Data'!P:P)</f>
        <v>45706.094999999994</v>
      </c>
      <c r="O65">
        <f>AVERAGEIF('Quarterly Data'!$B:$B,'Annual Data'!$A65,'Quarterly Data'!Q:Q)</f>
        <v>3656608.5</v>
      </c>
      <c r="P65">
        <f>SUMIF('Quarterly Data'!$B:$B,'Annual Data'!$A65,'Quarterly Data'!R:R)</f>
        <v>-6.7592059999999989</v>
      </c>
      <c r="Q65">
        <f>SUMIF('Quarterly Data'!$B:$B,'Annual Data'!$A65,'Quarterly Data'!S:S)</f>
        <v>2848839.5999999996</v>
      </c>
      <c r="R65">
        <f>AVERAGEIF('Quarterly Data'!$B:$B,'Annual Data'!$A65,'Quarterly Data'!T:T)</f>
        <v>157.125925</v>
      </c>
      <c r="S65">
        <f>SUMIF('Quarterly Data'!$B:$B,'Annual Data'!$A65,'Quarterly Data'!U:U)</f>
        <v>853171.5</v>
      </c>
      <c r="T65">
        <f>SUMIF('Quarterly Data'!$B:$B,'Annual Data'!$A65,'Quarterly Data'!V:V)</f>
        <v>319933.09999999998</v>
      </c>
      <c r="U65">
        <f>SUMIF('Quarterly Data'!$B:$B,'Annual Data'!$A65,'Quarterly Data'!W:W)</f>
        <v>942294.6</v>
      </c>
      <c r="V65">
        <f>SUMIF('Quarterly Data'!$B:$B,'Annual Data'!$A65,'Quarterly Data'!X:X)</f>
        <v>505327.5</v>
      </c>
      <c r="W65">
        <f>SUMIF('Quarterly Data'!$B:$B,'Annual Data'!$A65,'Quarterly Data'!Y:Y)</f>
        <v>523146.5</v>
      </c>
      <c r="X65">
        <f>SUMIF('Quarterly Data'!$B:$B,'Annual Data'!$A65,'Quarterly Data'!Z:Z)</f>
        <v>295798.01</v>
      </c>
      <c r="Y65">
        <f>SUMIF('Quarterly Data'!$B:$B,'Annual Data'!$A65,'Quarterly Data'!AA:AA)</f>
        <v>2849000.3</v>
      </c>
      <c r="Z65">
        <f>AVERAGEIF('Quarterly Data'!$B:$B,'Annual Data'!$A65,'Quarterly Data'!AB:AB)</f>
        <v>36062.559999999998</v>
      </c>
      <c r="AA65">
        <f>AVERAGEIF('Quarterly Data'!$B:$B,'Annual Data'!$A65,'Quarterly Data'!AC:AC)</f>
        <v>31.996145000000002</v>
      </c>
      <c r="AB65">
        <f>AVERAGEIF('Quarterly Data'!$B:$B,'Annual Data'!$A65,'Quarterly Data'!AD:AD)</f>
        <v>657059.07499999995</v>
      </c>
      <c r="AC65">
        <f>AVERAGEIF('Quarterly Data'!$B:$B,'Annual Data'!$A65,'Quarterly Data'!AE:AE)</f>
        <v>45706.094999999994</v>
      </c>
      <c r="AD65">
        <f>AVERAGEIF('Quarterly Data'!$B:$B,'Annual Data'!$A65,'Quarterly Data'!AF:AF)</f>
        <v>3687931.5</v>
      </c>
      <c r="AE65">
        <f>SUMIF('Quarterly Data'!$B:$B,'Annual Data'!$A65,'Quarterly Data'!AG:AG)</f>
        <v>-6.7494160000000001</v>
      </c>
    </row>
    <row r="66" spans="1:31" x14ac:dyDescent="0.25">
      <c r="A66">
        <v>2032</v>
      </c>
      <c r="B66">
        <f>SUMIF('Quarterly Data'!$B:$B,'Annual Data'!$A66,'Quarterly Data'!D:D)</f>
        <v>2877149.6</v>
      </c>
      <c r="C66">
        <f>AVERAGEIF('Quarterly Data'!$B:$B,'Annual Data'!$A66,'Quarterly Data'!E:E)</f>
        <v>160.36292500000002</v>
      </c>
      <c r="D66">
        <f>SUMIF('Quarterly Data'!$B:$B,'Annual Data'!$A66,'Quarterly Data'!F:F)</f>
        <v>902897.39999999991</v>
      </c>
      <c r="E66">
        <f>SUMIF('Quarterly Data'!$B:$B,'Annual Data'!$A66,'Quarterly Data'!G:G)</f>
        <v>308243.82</v>
      </c>
      <c r="F66">
        <f>SUMIF('Quarterly Data'!$B:$B,'Annual Data'!$A66,'Quarterly Data'!H:H)</f>
        <v>989128.3</v>
      </c>
      <c r="G66">
        <f>SUMIF('Quarterly Data'!$B:$B,'Annual Data'!$A66,'Quarterly Data'!I:I)</f>
        <v>534590.1</v>
      </c>
      <c r="H66">
        <f>SUMIF('Quarterly Data'!$B:$B,'Annual Data'!$A66,'Quarterly Data'!J:J)</f>
        <v>525815.6</v>
      </c>
      <c r="I66">
        <f>SUMIF('Quarterly Data'!$B:$B,'Annual Data'!$A66,'Quarterly Data'!K:K)</f>
        <v>292717</v>
      </c>
      <c r="J66">
        <f>SUMIF('Quarterly Data'!$B:$B,'Annual Data'!$A66,'Quarterly Data'!L:L)</f>
        <v>2877552.9000000004</v>
      </c>
      <c r="K66">
        <f>AVERAGEIF('Quarterly Data'!$B:$B,'Annual Data'!$A66,'Quarterly Data'!M:M)</f>
        <v>36348.977499999994</v>
      </c>
      <c r="L66">
        <f>AVERAGEIF('Quarterly Data'!$B:$B,'Annual Data'!$A66,'Quarterly Data'!N:N)</f>
        <v>31.995312500000001</v>
      </c>
      <c r="M66">
        <f>AVERAGEIF('Quarterly Data'!$B:$B,'Annual Data'!$A66,'Quarterly Data'!O:O)</f>
        <v>660962.05000000005</v>
      </c>
      <c r="N66">
        <f>AVERAGEIF('Quarterly Data'!$B:$B,'Annual Data'!$A66,'Quarterly Data'!P:P)</f>
        <v>45759.774999999994</v>
      </c>
      <c r="O66">
        <f>AVERAGEIF('Quarterly Data'!$B:$B,'Annual Data'!$A66,'Quarterly Data'!Q:Q)</f>
        <v>3713127.5</v>
      </c>
      <c r="P66">
        <f>SUMIF('Quarterly Data'!$B:$B,'Annual Data'!$A66,'Quarterly Data'!R:R)</f>
        <v>-6.7455380000000007</v>
      </c>
      <c r="Q66">
        <f>SUMIF('Quarterly Data'!$B:$B,'Annual Data'!$A66,'Quarterly Data'!S:S)</f>
        <v>2893722.4</v>
      </c>
      <c r="R66">
        <f>AVERAGEIF('Quarterly Data'!$B:$B,'Annual Data'!$A66,'Quarterly Data'!T:T)</f>
        <v>160.20585</v>
      </c>
      <c r="S66">
        <f>SUMIF('Quarterly Data'!$B:$B,'Annual Data'!$A66,'Quarterly Data'!U:U)</f>
        <v>865354.8</v>
      </c>
      <c r="T66">
        <f>SUMIF('Quarterly Data'!$B:$B,'Annual Data'!$A66,'Quarterly Data'!V:V)</f>
        <v>323918.76</v>
      </c>
      <c r="U66">
        <f>SUMIF('Quarterly Data'!$B:$B,'Annual Data'!$A66,'Quarterly Data'!W:W)</f>
        <v>957241.40000000014</v>
      </c>
      <c r="V66">
        <f>SUMIF('Quarterly Data'!$B:$B,'Annual Data'!$A66,'Quarterly Data'!X:X)</f>
        <v>512643.6</v>
      </c>
      <c r="W66">
        <f>SUMIF('Quarterly Data'!$B:$B,'Annual Data'!$A66,'Quarterly Data'!Y:Y)</f>
        <v>534343.80000000005</v>
      </c>
      <c r="X66">
        <f>SUMIF('Quarterly Data'!$B:$B,'Annual Data'!$A66,'Quarterly Data'!Z:Z)</f>
        <v>303081.79000000004</v>
      </c>
      <c r="Y66">
        <f>SUMIF('Quarterly Data'!$B:$B,'Annual Data'!$A66,'Quarterly Data'!AA:AA)</f>
        <v>2893790.1</v>
      </c>
      <c r="Z66">
        <f>AVERAGEIF('Quarterly Data'!$B:$B,'Annual Data'!$A66,'Quarterly Data'!AB:AB)</f>
        <v>36350.1</v>
      </c>
      <c r="AA66">
        <f>AVERAGEIF('Quarterly Data'!$B:$B,'Annual Data'!$A66,'Quarterly Data'!AC:AC)</f>
        <v>31.995312500000001</v>
      </c>
      <c r="AB66">
        <f>AVERAGEIF('Quarterly Data'!$B:$B,'Annual Data'!$A66,'Quarterly Data'!AD:AD)</f>
        <v>660962.05000000005</v>
      </c>
      <c r="AC66">
        <f>AVERAGEIF('Quarterly Data'!$B:$B,'Annual Data'!$A66,'Quarterly Data'!AE:AE)</f>
        <v>45759.774999999994</v>
      </c>
      <c r="AD66">
        <f>AVERAGEIF('Quarterly Data'!$B:$B,'Annual Data'!$A66,'Quarterly Data'!AF:AF)</f>
        <v>3750560.75</v>
      </c>
      <c r="AE66">
        <f>SUMIF('Quarterly Data'!$B:$B,'Annual Data'!$A66,'Quarterly Data'!AG:AG)</f>
        <v>-6.7366390000000003</v>
      </c>
    </row>
    <row r="67" spans="1:31" x14ac:dyDescent="0.25">
      <c r="A67">
        <v>2033</v>
      </c>
      <c r="B67">
        <f>SUMIF('Quarterly Data'!$B:$B,'Annual Data'!$A67,'Quarterly Data'!D:D)</f>
        <v>2921985.5</v>
      </c>
      <c r="C67">
        <f>AVERAGEIF('Quarterly Data'!$B:$B,'Annual Data'!$A67,'Quarterly Data'!E:E)</f>
        <v>163.560925</v>
      </c>
      <c r="D67">
        <f>SUMIF('Quarterly Data'!$B:$B,'Annual Data'!$A67,'Quarterly Data'!F:F)</f>
        <v>915530.6</v>
      </c>
      <c r="E67">
        <f>SUMIF('Quarterly Data'!$B:$B,'Annual Data'!$A67,'Quarterly Data'!G:G)</f>
        <v>311883.31</v>
      </c>
      <c r="F67">
        <f>SUMIF('Quarterly Data'!$B:$B,'Annual Data'!$A67,'Quarterly Data'!H:H)</f>
        <v>1004365.4</v>
      </c>
      <c r="G67">
        <f>SUMIF('Quarterly Data'!$B:$B,'Annual Data'!$A67,'Quarterly Data'!I:I)</f>
        <v>542279.19999999995</v>
      </c>
      <c r="H67">
        <f>SUMIF('Quarterly Data'!$B:$B,'Annual Data'!$A67,'Quarterly Data'!J:J)</f>
        <v>536666.60000000009</v>
      </c>
      <c r="I67">
        <f>SUMIF('Quarterly Data'!$B:$B,'Annual Data'!$A67,'Quarterly Data'!K:K)</f>
        <v>299508.3</v>
      </c>
      <c r="J67">
        <f>SUMIF('Quarterly Data'!$B:$B,'Annual Data'!$A67,'Quarterly Data'!L:L)</f>
        <v>2921984.8000000003</v>
      </c>
      <c r="K67">
        <f>AVERAGEIF('Quarterly Data'!$B:$B,'Annual Data'!$A67,'Quarterly Data'!M:M)</f>
        <v>36604.357499999998</v>
      </c>
      <c r="L67">
        <f>AVERAGEIF('Quarterly Data'!$B:$B,'Annual Data'!$A67,'Quarterly Data'!N:N)</f>
        <v>31.993567500000001</v>
      </c>
      <c r="M67">
        <f>AVERAGEIF('Quarterly Data'!$B:$B,'Annual Data'!$A67,'Quarterly Data'!O:O)</f>
        <v>664556.22500000009</v>
      </c>
      <c r="N67">
        <f>AVERAGEIF('Quarterly Data'!$B:$B,'Annual Data'!$A67,'Quarterly Data'!P:P)</f>
        <v>45806.625</v>
      </c>
      <c r="O67">
        <f>AVERAGEIF('Quarterly Data'!$B:$B,'Annual Data'!$A67,'Quarterly Data'!Q:Q)</f>
        <v>3773137.5</v>
      </c>
      <c r="P67">
        <f>SUMIF('Quarterly Data'!$B:$B,'Annual Data'!$A67,'Quarterly Data'!R:R)</f>
        <v>-6.729813</v>
      </c>
      <c r="Q67">
        <f>SUMIF('Quarterly Data'!$B:$B,'Annual Data'!$A67,'Quarterly Data'!S:S)</f>
        <v>2939685.7</v>
      </c>
      <c r="R67">
        <f>AVERAGEIF('Quarterly Data'!$B:$B,'Annual Data'!$A67,'Quarterly Data'!T:T)</f>
        <v>163.3948</v>
      </c>
      <c r="S67">
        <f>SUMIF('Quarterly Data'!$B:$B,'Annual Data'!$A67,'Quarterly Data'!U:U)</f>
        <v>877442.3</v>
      </c>
      <c r="T67">
        <f>SUMIF('Quarterly Data'!$B:$B,'Annual Data'!$A67,'Quarterly Data'!V:V)</f>
        <v>327832.15000000002</v>
      </c>
      <c r="U67">
        <f>SUMIF('Quarterly Data'!$B:$B,'Annual Data'!$A67,'Quarterly Data'!W:W)</f>
        <v>972089.2</v>
      </c>
      <c r="V67">
        <f>SUMIF('Quarterly Data'!$B:$B,'Annual Data'!$A67,'Quarterly Data'!X:X)</f>
        <v>520157.8</v>
      </c>
      <c r="W67">
        <f>SUMIF('Quarterly Data'!$B:$B,'Annual Data'!$A67,'Quarterly Data'!Y:Y)</f>
        <v>545487</v>
      </c>
      <c r="X67">
        <f>SUMIF('Quarterly Data'!$B:$B,'Annual Data'!$A67,'Quarterly Data'!Z:Z)</f>
        <v>310139.49000000005</v>
      </c>
      <c r="Y67">
        <f>SUMIF('Quarterly Data'!$B:$B,'Annual Data'!$A67,'Quarterly Data'!AA:AA)</f>
        <v>2939683.8</v>
      </c>
      <c r="Z67">
        <f>AVERAGEIF('Quarterly Data'!$B:$B,'Annual Data'!$A67,'Quarterly Data'!AB:AB)</f>
        <v>36606.94</v>
      </c>
      <c r="AA67">
        <f>AVERAGEIF('Quarterly Data'!$B:$B,'Annual Data'!$A67,'Quarterly Data'!AC:AC)</f>
        <v>31.993567500000001</v>
      </c>
      <c r="AB67">
        <f>AVERAGEIF('Quarterly Data'!$B:$B,'Annual Data'!$A67,'Quarterly Data'!AD:AD)</f>
        <v>664556.22500000009</v>
      </c>
      <c r="AC67">
        <f>AVERAGEIF('Quarterly Data'!$B:$B,'Annual Data'!$A67,'Quarterly Data'!AE:AE)</f>
        <v>45806.625</v>
      </c>
      <c r="AD67">
        <f>AVERAGEIF('Quarterly Data'!$B:$B,'Annual Data'!$A67,'Quarterly Data'!AF:AF)</f>
        <v>3816466.75</v>
      </c>
      <c r="AE67">
        <f>SUMIF('Quarterly Data'!$B:$B,'Annual Data'!$A67,'Quarterly Data'!AG:AG)</f>
        <v>-6.7213560000000001</v>
      </c>
    </row>
    <row r="68" spans="1:31" x14ac:dyDescent="0.25">
      <c r="A68">
        <v>2034</v>
      </c>
      <c r="B68">
        <f>SUMIF('Quarterly Data'!$B:$B,'Annual Data'!$A68,'Quarterly Data'!D:D)</f>
        <v>2965535.9</v>
      </c>
      <c r="C68">
        <f>AVERAGEIF('Quarterly Data'!$B:$B,'Annual Data'!$A68,'Quarterly Data'!E:E)</f>
        <v>166.81909999999999</v>
      </c>
      <c r="D68">
        <f>SUMIF('Quarterly Data'!$B:$B,'Annual Data'!$A68,'Quarterly Data'!F:F)</f>
        <v>927547.89999999991</v>
      </c>
      <c r="E68">
        <f>SUMIF('Quarterly Data'!$B:$B,'Annual Data'!$A68,'Quarterly Data'!G:G)</f>
        <v>315272.19999999995</v>
      </c>
      <c r="F68">
        <f>SUMIF('Quarterly Data'!$B:$B,'Annual Data'!$A68,'Quarterly Data'!H:H)</f>
        <v>1018982.7</v>
      </c>
      <c r="G68">
        <f>SUMIF('Quarterly Data'!$B:$B,'Annual Data'!$A68,'Quarterly Data'!I:I)</f>
        <v>549747.5</v>
      </c>
      <c r="H68">
        <f>SUMIF('Quarterly Data'!$B:$B,'Annual Data'!$A68,'Quarterly Data'!J:J)</f>
        <v>547224.4</v>
      </c>
      <c r="I68">
        <f>SUMIF('Quarterly Data'!$B:$B,'Annual Data'!$A68,'Quarterly Data'!K:K)</f>
        <v>306036.83</v>
      </c>
      <c r="J68">
        <f>SUMIF('Quarterly Data'!$B:$B,'Annual Data'!$A68,'Quarterly Data'!L:L)</f>
        <v>2965535.8</v>
      </c>
      <c r="K68">
        <f>AVERAGEIF('Quarterly Data'!$B:$B,'Annual Data'!$A68,'Quarterly Data'!M:M)</f>
        <v>36809.494999999995</v>
      </c>
      <c r="L68">
        <f>AVERAGEIF('Quarterly Data'!$B:$B,'Annual Data'!$A68,'Quarterly Data'!N:N)</f>
        <v>31.991277499999999</v>
      </c>
      <c r="M68">
        <f>AVERAGEIF('Quarterly Data'!$B:$B,'Annual Data'!$A68,'Quarterly Data'!O:O)</f>
        <v>667902.85000000009</v>
      </c>
      <c r="N68">
        <f>AVERAGEIF('Quarterly Data'!$B:$B,'Annual Data'!$A68,'Quarterly Data'!P:P)</f>
        <v>45851.607500000006</v>
      </c>
      <c r="O68">
        <f>AVERAGEIF('Quarterly Data'!$B:$B,'Annual Data'!$A68,'Quarterly Data'!Q:Q)</f>
        <v>3836108.25</v>
      </c>
      <c r="P68">
        <f>SUMIF('Quarterly Data'!$B:$B,'Annual Data'!$A68,'Quarterly Data'!R:R)</f>
        <v>-6.7128350000000001</v>
      </c>
      <c r="Q68">
        <f>SUMIF('Quarterly Data'!$B:$B,'Annual Data'!$A68,'Quarterly Data'!S:S)</f>
        <v>2984697.2</v>
      </c>
      <c r="R68">
        <f>AVERAGEIF('Quarterly Data'!$B:$B,'Annual Data'!$A68,'Quarterly Data'!T:T)</f>
        <v>166.6645</v>
      </c>
      <c r="S68">
        <f>SUMIF('Quarterly Data'!$B:$B,'Annual Data'!$A68,'Quarterly Data'!U:U)</f>
        <v>889056.5</v>
      </c>
      <c r="T68">
        <f>SUMIF('Quarterly Data'!$B:$B,'Annual Data'!$A68,'Quarterly Data'!V:V)</f>
        <v>331527.48</v>
      </c>
      <c r="U68">
        <f>SUMIF('Quarterly Data'!$B:$B,'Annual Data'!$A68,'Quarterly Data'!W:W)</f>
        <v>986466.3</v>
      </c>
      <c r="V68">
        <f>SUMIF('Quarterly Data'!$B:$B,'Annual Data'!$A68,'Quarterly Data'!X:X)</f>
        <v>527533.30000000005</v>
      </c>
      <c r="W68">
        <f>SUMIF('Quarterly Data'!$B:$B,'Annual Data'!$A68,'Quarterly Data'!Y:Y)</f>
        <v>556367.1</v>
      </c>
      <c r="X68">
        <f>SUMIF('Quarterly Data'!$B:$B,'Annual Data'!$A68,'Quarterly Data'!Z:Z)</f>
        <v>316932.15000000002</v>
      </c>
      <c r="Y68">
        <f>SUMIF('Quarterly Data'!$B:$B,'Annual Data'!$A68,'Quarterly Data'!AA:AA)</f>
        <v>2984695.1999999997</v>
      </c>
      <c r="Z68">
        <f>AVERAGEIF('Quarterly Data'!$B:$B,'Annual Data'!$A68,'Quarterly Data'!AB:AB)</f>
        <v>36809.769999999997</v>
      </c>
      <c r="AA68">
        <f>AVERAGEIF('Quarterly Data'!$B:$B,'Annual Data'!$A68,'Quarterly Data'!AC:AC)</f>
        <v>31.991277499999999</v>
      </c>
      <c r="AB68">
        <f>AVERAGEIF('Quarterly Data'!$B:$B,'Annual Data'!$A68,'Quarterly Data'!AD:AD)</f>
        <v>667902.85000000009</v>
      </c>
      <c r="AC68">
        <f>AVERAGEIF('Quarterly Data'!$B:$B,'Annual Data'!$A68,'Quarterly Data'!AE:AE)</f>
        <v>45851.607500000006</v>
      </c>
      <c r="AD68">
        <f>AVERAGEIF('Quarterly Data'!$B:$B,'Annual Data'!$A68,'Quarterly Data'!AF:AF)</f>
        <v>3884986</v>
      </c>
      <c r="AE68">
        <f>SUMIF('Quarterly Data'!$B:$B,'Annual Data'!$A68,'Quarterly Data'!AG:AG)</f>
        <v>-6.7044009999999998</v>
      </c>
    </row>
    <row r="69" spans="1:31" x14ac:dyDescent="0.25">
      <c r="A69">
        <v>2035</v>
      </c>
      <c r="B69">
        <f>SUMIF('Quarterly Data'!$B:$B,'Annual Data'!$A69,'Quarterly Data'!D:D)</f>
        <v>3009580.9999999995</v>
      </c>
      <c r="C69">
        <f>AVERAGEIF('Quarterly Data'!$B:$B,'Annual Data'!$A69,'Quarterly Data'!E:E)</f>
        <v>170.14352499999998</v>
      </c>
      <c r="D69">
        <f>SUMIF('Quarterly Data'!$B:$B,'Annual Data'!$A69,'Quarterly Data'!F:F)</f>
        <v>939714.9</v>
      </c>
      <c r="E69">
        <f>SUMIF('Quarterly Data'!$B:$B,'Annual Data'!$A69,'Quarterly Data'!G:G)</f>
        <v>318681.48</v>
      </c>
      <c r="F69">
        <f>SUMIF('Quarterly Data'!$B:$B,'Annual Data'!$A69,'Quarterly Data'!H:H)</f>
        <v>1033784.6</v>
      </c>
      <c r="G69">
        <f>SUMIF('Quarterly Data'!$B:$B,'Annual Data'!$A69,'Quarterly Data'!I:I)</f>
        <v>557290.1</v>
      </c>
      <c r="H69">
        <f>SUMIF('Quarterly Data'!$B:$B,'Annual Data'!$A69,'Quarterly Data'!J:J)</f>
        <v>557965.5</v>
      </c>
      <c r="I69">
        <f>SUMIF('Quarterly Data'!$B:$B,'Annual Data'!$A69,'Quarterly Data'!K:K)</f>
        <v>312691.78000000003</v>
      </c>
      <c r="J69">
        <f>SUMIF('Quarterly Data'!$B:$B,'Annual Data'!$A69,'Quarterly Data'!L:L)</f>
        <v>3009580.5</v>
      </c>
      <c r="K69">
        <f>AVERAGEIF('Quarterly Data'!$B:$B,'Annual Data'!$A69,'Quarterly Data'!M:M)</f>
        <v>36991.649999999994</v>
      </c>
      <c r="L69">
        <f>AVERAGEIF('Quarterly Data'!$B:$B,'Annual Data'!$A69,'Quarterly Data'!N:N)</f>
        <v>31.988982500000002</v>
      </c>
      <c r="M69">
        <f>AVERAGEIF('Quarterly Data'!$B:$B,'Annual Data'!$A69,'Quarterly Data'!O:O)</f>
        <v>671038.15</v>
      </c>
      <c r="N69">
        <f>AVERAGEIF('Quarterly Data'!$B:$B,'Annual Data'!$A69,'Quarterly Data'!P:P)</f>
        <v>45897.387499999997</v>
      </c>
      <c r="O69">
        <f>AVERAGEIF('Quarterly Data'!$B:$B,'Annual Data'!$A69,'Quarterly Data'!Q:Q)</f>
        <v>3901801.5</v>
      </c>
      <c r="P69">
        <f>SUMIF('Quarterly Data'!$B:$B,'Annual Data'!$A69,'Quarterly Data'!R:R)</f>
        <v>-6.6945620000000003</v>
      </c>
      <c r="Q69">
        <f>SUMIF('Quarterly Data'!$B:$B,'Annual Data'!$A69,'Quarterly Data'!S:S)</f>
        <v>3030203.2</v>
      </c>
      <c r="R69">
        <f>AVERAGEIF('Quarterly Data'!$B:$B,'Annual Data'!$A69,'Quarterly Data'!T:T)</f>
        <v>170.008375</v>
      </c>
      <c r="S69">
        <f>SUMIF('Quarterly Data'!$B:$B,'Annual Data'!$A69,'Quarterly Data'!U:U)</f>
        <v>900809</v>
      </c>
      <c r="T69">
        <f>SUMIF('Quarterly Data'!$B:$B,'Annual Data'!$A69,'Quarterly Data'!V:V)</f>
        <v>335242.79000000004</v>
      </c>
      <c r="U69">
        <f>SUMIF('Quarterly Data'!$B:$B,'Annual Data'!$A69,'Quarterly Data'!W:W)</f>
        <v>1001019.3</v>
      </c>
      <c r="V69">
        <f>SUMIF('Quarterly Data'!$B:$B,'Annual Data'!$A69,'Quarterly Data'!X:X)</f>
        <v>534978.9</v>
      </c>
      <c r="W69">
        <f>SUMIF('Quarterly Data'!$B:$B,'Annual Data'!$A69,'Quarterly Data'!Y:Y)</f>
        <v>567431.6</v>
      </c>
      <c r="X69">
        <f>SUMIF('Quarterly Data'!$B:$B,'Annual Data'!$A69,'Quarterly Data'!Z:Z)</f>
        <v>323852.90999999997</v>
      </c>
      <c r="Y69">
        <f>SUMIF('Quarterly Data'!$B:$B,'Annual Data'!$A69,'Quarterly Data'!AA:AA)</f>
        <v>3030201.0999999996</v>
      </c>
      <c r="Z69">
        <f>AVERAGEIF('Quarterly Data'!$B:$B,'Annual Data'!$A69,'Quarterly Data'!AB:AB)</f>
        <v>36991.649999999994</v>
      </c>
      <c r="AA69">
        <f>AVERAGEIF('Quarterly Data'!$B:$B,'Annual Data'!$A69,'Quarterly Data'!AC:AC)</f>
        <v>31.988982500000002</v>
      </c>
      <c r="AB69">
        <f>AVERAGEIF('Quarterly Data'!$B:$B,'Annual Data'!$A69,'Quarterly Data'!AD:AD)</f>
        <v>671038.15</v>
      </c>
      <c r="AC69">
        <f>AVERAGEIF('Quarterly Data'!$B:$B,'Annual Data'!$A69,'Quarterly Data'!AE:AE)</f>
        <v>45897.387499999997</v>
      </c>
      <c r="AD69">
        <f>AVERAGEIF('Quarterly Data'!$B:$B,'Annual Data'!$A69,'Quarterly Data'!AF:AF)</f>
        <v>3955891.25</v>
      </c>
      <c r="AE69">
        <f>SUMIF('Quarterly Data'!$B:$B,'Annual Data'!$A69,'Quarterly Data'!AG:AG)</f>
        <v>-6.6861499999999996</v>
      </c>
    </row>
    <row r="70" spans="1:31" x14ac:dyDescent="0.25">
      <c r="A70">
        <v>2036</v>
      </c>
      <c r="B70">
        <f>SUMIF('Quarterly Data'!$B:$B,'Annual Data'!$A70,'Quarterly Data'!D:D)</f>
        <v>3055424.1</v>
      </c>
      <c r="C70">
        <f>AVERAGEIF('Quarterly Data'!$B:$B,'Annual Data'!$A70,'Quarterly Data'!E:E)</f>
        <v>173.54639999999998</v>
      </c>
      <c r="D70">
        <f>SUMIF('Quarterly Data'!$B:$B,'Annual Data'!$A70,'Quarterly Data'!F:F)</f>
        <v>952425.29999999993</v>
      </c>
      <c r="E70">
        <f>SUMIF('Quarterly Data'!$B:$B,'Annual Data'!$A70,'Quarterly Data'!G:G)</f>
        <v>322248.39</v>
      </c>
      <c r="F70">
        <f>SUMIF('Quarterly Data'!$B:$B,'Annual Data'!$A70,'Quarterly Data'!H:H)</f>
        <v>1049173.1000000001</v>
      </c>
      <c r="G70">
        <f>SUMIF('Quarterly Data'!$B:$B,'Annual Data'!$A70,'Quarterly Data'!I:I)</f>
        <v>565148.1</v>
      </c>
      <c r="H70">
        <f>SUMIF('Quarterly Data'!$B:$B,'Annual Data'!$A70,'Quarterly Data'!J:J)</f>
        <v>569134.5</v>
      </c>
      <c r="I70">
        <f>SUMIF('Quarterly Data'!$B:$B,'Annual Data'!$A70,'Quarterly Data'!K:K)</f>
        <v>319610.93</v>
      </c>
      <c r="J70">
        <f>SUMIF('Quarterly Data'!$B:$B,'Annual Data'!$A70,'Quarterly Data'!L:L)</f>
        <v>3055423.2</v>
      </c>
      <c r="K70">
        <f>AVERAGEIF('Quarterly Data'!$B:$B,'Annual Data'!$A70,'Quarterly Data'!M:M)</f>
        <v>37174.654999999999</v>
      </c>
      <c r="L70">
        <f>AVERAGEIF('Quarterly Data'!$B:$B,'Annual Data'!$A70,'Quarterly Data'!N:N)</f>
        <v>31.986692499999997</v>
      </c>
      <c r="M70">
        <f>AVERAGEIF('Quarterly Data'!$B:$B,'Annual Data'!$A70,'Quarterly Data'!O:O)</f>
        <v>673689.72499999998</v>
      </c>
      <c r="N70">
        <f>AVERAGEIF('Quarterly Data'!$B:$B,'Annual Data'!$A70,'Quarterly Data'!P:P)</f>
        <v>45923.172500000001</v>
      </c>
      <c r="O70">
        <f>AVERAGEIF('Quarterly Data'!$B:$B,'Annual Data'!$A70,'Quarterly Data'!Q:Q)</f>
        <v>3970259.5</v>
      </c>
      <c r="P70">
        <f>SUMIF('Quarterly Data'!$B:$B,'Annual Data'!$A70,'Quarterly Data'!R:R)</f>
        <v>-6.6750019999999992</v>
      </c>
      <c r="Q70">
        <f>SUMIF('Quarterly Data'!$B:$B,'Annual Data'!$A70,'Quarterly Data'!S:S)</f>
        <v>3077431</v>
      </c>
      <c r="R70">
        <f>AVERAGEIF('Quarterly Data'!$B:$B,'Annual Data'!$A70,'Quarterly Data'!T:T)</f>
        <v>173.40854999999999</v>
      </c>
      <c r="S70">
        <f>SUMIF('Quarterly Data'!$B:$B,'Annual Data'!$A70,'Quarterly Data'!U:U)</f>
        <v>913051.5</v>
      </c>
      <c r="T70">
        <f>SUMIF('Quarterly Data'!$B:$B,'Annual Data'!$A70,'Quarterly Data'!V:V)</f>
        <v>339113.17</v>
      </c>
      <c r="U70">
        <f>SUMIF('Quarterly Data'!$B:$B,'Annual Data'!$A70,'Quarterly Data'!W:W)</f>
        <v>1016108.9</v>
      </c>
      <c r="V70">
        <f>SUMIF('Quarterly Data'!$B:$B,'Annual Data'!$A70,'Quarterly Data'!X:X)</f>
        <v>542711.1</v>
      </c>
      <c r="W70">
        <f>SUMIF('Quarterly Data'!$B:$B,'Annual Data'!$A70,'Quarterly Data'!Y:Y)</f>
        <v>578913.4</v>
      </c>
      <c r="X70">
        <f>SUMIF('Quarterly Data'!$B:$B,'Annual Data'!$A70,'Quarterly Data'!Z:Z)</f>
        <v>331035.23</v>
      </c>
      <c r="Y70">
        <f>SUMIF('Quarterly Data'!$B:$B,'Annual Data'!$A70,'Quarterly Data'!AA:AA)</f>
        <v>3077430.1</v>
      </c>
      <c r="Z70">
        <f>AVERAGEIF('Quarterly Data'!$B:$B,'Annual Data'!$A70,'Quarterly Data'!AB:AB)</f>
        <v>37174.654999999999</v>
      </c>
      <c r="AA70">
        <f>AVERAGEIF('Quarterly Data'!$B:$B,'Annual Data'!$A70,'Quarterly Data'!AC:AC)</f>
        <v>31.986692499999997</v>
      </c>
      <c r="AB70">
        <f>AVERAGEIF('Quarterly Data'!$B:$B,'Annual Data'!$A70,'Quarterly Data'!AD:AD)</f>
        <v>673689.72499999998</v>
      </c>
      <c r="AC70">
        <f>AVERAGEIF('Quarterly Data'!$B:$B,'Annual Data'!$A70,'Quarterly Data'!AE:AE)</f>
        <v>45923.172500000001</v>
      </c>
      <c r="AD70">
        <f>AVERAGEIF('Quarterly Data'!$B:$B,'Annual Data'!$A70,'Quarterly Data'!AF:AF)</f>
        <v>4029250</v>
      </c>
      <c r="AE70">
        <f>SUMIF('Quarterly Data'!$B:$B,'Annual Data'!$A70,'Quarterly Data'!AG:AG)</f>
        <v>-6.6666160000000003</v>
      </c>
    </row>
    <row r="71" spans="1:31" x14ac:dyDescent="0.25">
      <c r="A71">
        <v>2037</v>
      </c>
      <c r="B71">
        <f>SUMIF('Quarterly Data'!$B:$B,'Annual Data'!$A71,'Quarterly Data'!D:D)</f>
        <v>3102529.6999999997</v>
      </c>
      <c r="C71">
        <f>AVERAGEIF('Quarterly Data'!$B:$B,'Annual Data'!$A71,'Quarterly Data'!E:E)</f>
        <v>177.01729999999998</v>
      </c>
      <c r="D71">
        <f>SUMIF('Quarterly Data'!$B:$B,'Annual Data'!$A71,'Quarterly Data'!F:F)</f>
        <v>965516.10000000009</v>
      </c>
      <c r="E71">
        <f>SUMIF('Quarterly Data'!$B:$B,'Annual Data'!$A71,'Quarterly Data'!G:G)</f>
        <v>325914.58999999997</v>
      </c>
      <c r="F71">
        <f>SUMIF('Quarterly Data'!$B:$B,'Annual Data'!$A71,'Quarterly Data'!H:H)</f>
        <v>1064984.2999999998</v>
      </c>
      <c r="G71">
        <f>SUMIF('Quarterly Data'!$B:$B,'Annual Data'!$A71,'Quarterly Data'!I:I)</f>
        <v>573221</v>
      </c>
      <c r="H71">
        <f>SUMIF('Quarterly Data'!$B:$B,'Annual Data'!$A71,'Quarterly Data'!J:J)</f>
        <v>580636.69999999995</v>
      </c>
      <c r="I71">
        <f>SUMIF('Quarterly Data'!$B:$B,'Annual Data'!$A71,'Quarterly Data'!K:K)</f>
        <v>326742.42</v>
      </c>
      <c r="J71">
        <f>SUMIF('Quarterly Data'!$B:$B,'Annual Data'!$A71,'Quarterly Data'!L:L)</f>
        <v>3102526.6</v>
      </c>
      <c r="K71">
        <f>AVERAGEIF('Quarterly Data'!$B:$B,'Annual Data'!$A71,'Quarterly Data'!M:M)</f>
        <v>37357.67</v>
      </c>
      <c r="L71">
        <f>AVERAGEIF('Quarterly Data'!$B:$B,'Annual Data'!$A71,'Quarterly Data'!N:N)</f>
        <v>31.984400000000001</v>
      </c>
      <c r="M71">
        <f>AVERAGEIF('Quarterly Data'!$B:$B,'Annual Data'!$A71,'Quarterly Data'!O:O)</f>
        <v>676638.375</v>
      </c>
      <c r="N71">
        <f>AVERAGEIF('Quarterly Data'!$B:$B,'Annual Data'!$A71,'Quarterly Data'!P:P)</f>
        <v>45976.872500000005</v>
      </c>
      <c r="O71">
        <f>AVERAGEIF('Quarterly Data'!$B:$B,'Annual Data'!$A71,'Quarterly Data'!Q:Q)</f>
        <v>4041537</v>
      </c>
      <c r="P71">
        <f>SUMIF('Quarterly Data'!$B:$B,'Annual Data'!$A71,'Quarterly Data'!R:R)</f>
        <v>-6.6549999999999994</v>
      </c>
      <c r="Q71">
        <f>SUMIF('Quarterly Data'!$B:$B,'Annual Data'!$A71,'Quarterly Data'!S:S)</f>
        <v>3125832.8</v>
      </c>
      <c r="R71">
        <f>AVERAGEIF('Quarterly Data'!$B:$B,'Annual Data'!$A71,'Quarterly Data'!T:T)</f>
        <v>176.87672499999999</v>
      </c>
      <c r="S71">
        <f>SUMIF('Quarterly Data'!$B:$B,'Annual Data'!$A71,'Quarterly Data'!U:U)</f>
        <v>925625.60000000009</v>
      </c>
      <c r="T71">
        <f>SUMIF('Quarterly Data'!$B:$B,'Annual Data'!$A71,'Quarterly Data'!V:V)</f>
        <v>343076.37</v>
      </c>
      <c r="U71">
        <f>SUMIF('Quarterly Data'!$B:$B,'Annual Data'!$A71,'Quarterly Data'!W:W)</f>
        <v>1031575.6</v>
      </c>
      <c r="V71">
        <f>SUMIF('Quarterly Data'!$B:$B,'Annual Data'!$A71,'Quarterly Data'!X:X)</f>
        <v>550632.1</v>
      </c>
      <c r="W71">
        <f>SUMIF('Quarterly Data'!$B:$B,'Annual Data'!$A71,'Quarterly Data'!Y:Y)</f>
        <v>590713.9</v>
      </c>
      <c r="X71">
        <f>SUMIF('Quarterly Data'!$B:$B,'Annual Data'!$A71,'Quarterly Data'!Z:Z)</f>
        <v>338424.09</v>
      </c>
      <c r="Y71">
        <f>SUMIF('Quarterly Data'!$B:$B,'Annual Data'!$A71,'Quarterly Data'!AA:AA)</f>
        <v>3125831</v>
      </c>
      <c r="Z71">
        <f>AVERAGEIF('Quarterly Data'!$B:$B,'Annual Data'!$A71,'Quarterly Data'!AB:AB)</f>
        <v>37357.67</v>
      </c>
      <c r="AA71">
        <f>AVERAGEIF('Quarterly Data'!$B:$B,'Annual Data'!$A71,'Quarterly Data'!AC:AC)</f>
        <v>31.984400000000001</v>
      </c>
      <c r="AB71">
        <f>AVERAGEIF('Quarterly Data'!$B:$B,'Annual Data'!$A71,'Quarterly Data'!AD:AD)</f>
        <v>676638.375</v>
      </c>
      <c r="AC71">
        <f>AVERAGEIF('Quarterly Data'!$B:$B,'Annual Data'!$A71,'Quarterly Data'!AE:AE)</f>
        <v>45976.872500000005</v>
      </c>
      <c r="AD71">
        <f>AVERAGEIF('Quarterly Data'!$B:$B,'Annual Data'!$A71,'Quarterly Data'!AF:AF)</f>
        <v>4105132.5</v>
      </c>
      <c r="AE71">
        <f>SUMIF('Quarterly Data'!$B:$B,'Annual Data'!$A71,'Quarterly Data'!AG:AG)</f>
        <v>-6.6466380000000003</v>
      </c>
    </row>
    <row r="72" spans="1:31" x14ac:dyDescent="0.25">
      <c r="A72">
        <v>2038</v>
      </c>
      <c r="B72">
        <f>SUMIF('Quarterly Data'!$B:$B,'Annual Data'!$A72,'Quarterly Data'!D:D)</f>
        <v>3151203.3</v>
      </c>
      <c r="C72">
        <f>AVERAGEIF('Quarterly Data'!$B:$B,'Annual Data'!$A72,'Quarterly Data'!E:E)</f>
        <v>180.55762499999997</v>
      </c>
      <c r="D72">
        <f>SUMIF('Quarterly Data'!$B:$B,'Annual Data'!$A72,'Quarterly Data'!F:F)</f>
        <v>979078.7</v>
      </c>
      <c r="E72">
        <f>SUMIF('Quarterly Data'!$B:$B,'Annual Data'!$A72,'Quarterly Data'!G:G)</f>
        <v>329710.58</v>
      </c>
      <c r="F72">
        <f>SUMIF('Quarterly Data'!$B:$B,'Annual Data'!$A72,'Quarterly Data'!H:H)</f>
        <v>1081314.3</v>
      </c>
      <c r="G72">
        <f>SUMIF('Quarterly Data'!$B:$B,'Annual Data'!$A72,'Quarterly Data'!I:I)</f>
        <v>581564.5</v>
      </c>
      <c r="H72">
        <f>SUMIF('Quarterly Data'!$B:$B,'Annual Data'!$A72,'Quarterly Data'!J:J)</f>
        <v>592533.60000000009</v>
      </c>
      <c r="I72">
        <f>SUMIF('Quarterly Data'!$B:$B,'Annual Data'!$A72,'Quarterly Data'!K:K)</f>
        <v>334122.15999999997</v>
      </c>
      <c r="J72">
        <f>SUMIF('Quarterly Data'!$B:$B,'Annual Data'!$A72,'Quarterly Data'!L:L)</f>
        <v>3151203.9</v>
      </c>
      <c r="K72">
        <f>AVERAGEIF('Quarterly Data'!$B:$B,'Annual Data'!$A72,'Quarterly Data'!M:M)</f>
        <v>37540.684999999998</v>
      </c>
      <c r="L72">
        <f>AVERAGEIF('Quarterly Data'!$B:$B,'Annual Data'!$A72,'Quarterly Data'!N:N)</f>
        <v>31.982110000000002</v>
      </c>
      <c r="M72">
        <f>AVERAGEIF('Quarterly Data'!$B:$B,'Annual Data'!$A72,'Quarterly Data'!O:O)</f>
        <v>679591.04999999993</v>
      </c>
      <c r="N72">
        <f>AVERAGEIF('Quarterly Data'!$B:$B,'Annual Data'!$A72,'Quarterly Data'!P:P)</f>
        <v>46036.717499999999</v>
      </c>
      <c r="O72">
        <f>AVERAGEIF('Quarterly Data'!$B:$B,'Annual Data'!$A72,'Quarterly Data'!Q:Q)</f>
        <v>4115651</v>
      </c>
      <c r="P72">
        <f>SUMIF('Quarterly Data'!$B:$B,'Annual Data'!$A72,'Quarterly Data'!R:R)</f>
        <v>-6.6342269999999992</v>
      </c>
      <c r="Q72">
        <f>SUMIF('Quarterly Data'!$B:$B,'Annual Data'!$A72,'Quarterly Data'!S:S)</f>
        <v>3175719.7</v>
      </c>
      <c r="R72">
        <f>AVERAGEIF('Quarterly Data'!$B:$B,'Annual Data'!$A72,'Quarterly Data'!T:T)</f>
        <v>180.41427499999998</v>
      </c>
      <c r="S72">
        <f>SUMIF('Quarterly Data'!$B:$B,'Annual Data'!$A72,'Quarterly Data'!U:U)</f>
        <v>938620.1</v>
      </c>
      <c r="T72">
        <f>SUMIF('Quarterly Data'!$B:$B,'Annual Data'!$A72,'Quarterly Data'!V:V)</f>
        <v>347165.04000000004</v>
      </c>
      <c r="U72">
        <f>SUMIF('Quarterly Data'!$B:$B,'Annual Data'!$A72,'Quarterly Data'!W:W)</f>
        <v>1047512.2</v>
      </c>
      <c r="V72">
        <f>SUMIF('Quarterly Data'!$B:$B,'Annual Data'!$A72,'Quarterly Data'!X:X)</f>
        <v>558796.1</v>
      </c>
      <c r="W72">
        <f>SUMIF('Quarterly Data'!$B:$B,'Annual Data'!$A72,'Quarterly Data'!Y:Y)</f>
        <v>602896.19999999995</v>
      </c>
      <c r="X72">
        <f>SUMIF('Quarterly Data'!$B:$B,'Annual Data'!$A72,'Quarterly Data'!Z:Z)</f>
        <v>346056.70999999996</v>
      </c>
      <c r="Y72">
        <f>SUMIF('Quarterly Data'!$B:$B,'Annual Data'!$A72,'Quarterly Data'!AA:AA)</f>
        <v>3175720.0999999996</v>
      </c>
      <c r="Z72">
        <f>AVERAGEIF('Quarterly Data'!$B:$B,'Annual Data'!$A72,'Quarterly Data'!AB:AB)</f>
        <v>37540.684999999998</v>
      </c>
      <c r="AA72">
        <f>AVERAGEIF('Quarterly Data'!$B:$B,'Annual Data'!$A72,'Quarterly Data'!AC:AC)</f>
        <v>31.982110000000002</v>
      </c>
      <c r="AB72">
        <f>AVERAGEIF('Quarterly Data'!$B:$B,'Annual Data'!$A72,'Quarterly Data'!AD:AD)</f>
        <v>679591.04999999993</v>
      </c>
      <c r="AC72">
        <f>AVERAGEIF('Quarterly Data'!$B:$B,'Annual Data'!$A72,'Quarterly Data'!AE:AE)</f>
        <v>46036.717499999999</v>
      </c>
      <c r="AD72">
        <f>AVERAGEIF('Quarterly Data'!$B:$B,'Annual Data'!$A72,'Quarterly Data'!AF:AF)</f>
        <v>4183569.5</v>
      </c>
      <c r="AE72">
        <f>SUMIF('Quarterly Data'!$B:$B,'Annual Data'!$A72,'Quarterly Data'!AG:AG)</f>
        <v>-6.6258920000000003</v>
      </c>
    </row>
    <row r="73" spans="1:31" x14ac:dyDescent="0.25">
      <c r="A73">
        <v>2039</v>
      </c>
      <c r="B73">
        <f>SUMIF('Quarterly Data'!$B:$B,'Annual Data'!$A73,'Quarterly Data'!D:D)</f>
        <v>3201256.9</v>
      </c>
      <c r="C73">
        <f>AVERAGEIF('Quarterly Data'!$B:$B,'Annual Data'!$A73,'Quarterly Data'!E:E)</f>
        <v>184.1688</v>
      </c>
      <c r="D73">
        <f>SUMIF('Quarterly Data'!$B:$B,'Annual Data'!$A73,'Quarterly Data'!F:F)</f>
        <v>993056.20000000007</v>
      </c>
      <c r="E73">
        <f>SUMIF('Quarterly Data'!$B:$B,'Annual Data'!$A73,'Quarterly Data'!G:G)</f>
        <v>333615.17</v>
      </c>
      <c r="F73">
        <f>SUMIF('Quarterly Data'!$B:$B,'Annual Data'!$A73,'Quarterly Data'!H:H)</f>
        <v>1098106.7</v>
      </c>
      <c r="G73">
        <f>SUMIF('Quarterly Data'!$B:$B,'Annual Data'!$A73,'Quarterly Data'!I:I)</f>
        <v>590143.19999999995</v>
      </c>
      <c r="H73">
        <f>SUMIF('Quarterly Data'!$B:$B,'Annual Data'!$A73,'Quarterly Data'!J:J)</f>
        <v>604795</v>
      </c>
      <c r="I73">
        <f>SUMIF('Quarterly Data'!$B:$B,'Annual Data'!$A73,'Quarterly Data'!K:K)</f>
        <v>341734.27</v>
      </c>
      <c r="J73">
        <f>SUMIF('Quarterly Data'!$B:$B,'Annual Data'!$A73,'Quarterly Data'!L:L)</f>
        <v>3201256.5999999996</v>
      </c>
      <c r="K73">
        <f>AVERAGEIF('Quarterly Data'!$B:$B,'Annual Data'!$A73,'Quarterly Data'!M:M)</f>
        <v>37723.695</v>
      </c>
      <c r="L73">
        <f>AVERAGEIF('Quarterly Data'!$B:$B,'Annual Data'!$A73,'Quarterly Data'!N:N)</f>
        <v>31.979817499999999</v>
      </c>
      <c r="M73">
        <f>AVERAGEIF('Quarterly Data'!$B:$B,'Annual Data'!$A73,'Quarterly Data'!O:O)</f>
        <v>682850.5</v>
      </c>
      <c r="N73">
        <f>AVERAGEIF('Quarterly Data'!$B:$B,'Annual Data'!$A73,'Quarterly Data'!P:P)</f>
        <v>46121.072500000002</v>
      </c>
      <c r="O73">
        <f>AVERAGEIF('Quarterly Data'!$B:$B,'Annual Data'!$A73,'Quarterly Data'!Q:Q)</f>
        <v>4192666.25</v>
      </c>
      <c r="P73">
        <f>SUMIF('Quarterly Data'!$B:$B,'Annual Data'!$A73,'Quarterly Data'!R:R)</f>
        <v>-6.6130239999999993</v>
      </c>
      <c r="Q73">
        <f>SUMIF('Quarterly Data'!$B:$B,'Annual Data'!$A73,'Quarterly Data'!S:S)</f>
        <v>3226906.8</v>
      </c>
      <c r="R73">
        <f>AVERAGEIF('Quarterly Data'!$B:$B,'Annual Data'!$A73,'Quarterly Data'!T:T)</f>
        <v>184.02255000000002</v>
      </c>
      <c r="S73">
        <f>SUMIF('Quarterly Data'!$B:$B,'Annual Data'!$A73,'Quarterly Data'!U:U)</f>
        <v>951981</v>
      </c>
      <c r="T73">
        <f>SUMIF('Quarterly Data'!$B:$B,'Annual Data'!$A73,'Quarterly Data'!V:V)</f>
        <v>351357.44999999995</v>
      </c>
      <c r="U73">
        <f>SUMIF('Quarterly Data'!$B:$B,'Annual Data'!$A73,'Quarterly Data'!W:W)</f>
        <v>1063866</v>
      </c>
      <c r="V73">
        <f>SUMIF('Quarterly Data'!$B:$B,'Annual Data'!$A73,'Quarterly Data'!X:X)</f>
        <v>567169.69999999995</v>
      </c>
      <c r="W73">
        <f>SUMIF('Quarterly Data'!$B:$B,'Annual Data'!$A73,'Quarterly Data'!Y:Y)</f>
        <v>615429.69999999995</v>
      </c>
      <c r="X73">
        <f>SUMIF('Quarterly Data'!$B:$B,'Annual Data'!$A73,'Quarterly Data'!Z:Z)</f>
        <v>353916.6</v>
      </c>
      <c r="Y73">
        <f>SUMIF('Quarterly Data'!$B:$B,'Annual Data'!$A73,'Quarterly Data'!AA:AA)</f>
        <v>3226906.7</v>
      </c>
      <c r="Z73">
        <f>AVERAGEIF('Quarterly Data'!$B:$B,'Annual Data'!$A73,'Quarterly Data'!AB:AB)</f>
        <v>37723.695</v>
      </c>
      <c r="AA73">
        <f>AVERAGEIF('Quarterly Data'!$B:$B,'Annual Data'!$A73,'Quarterly Data'!AC:AC)</f>
        <v>31.979817499999999</v>
      </c>
      <c r="AB73">
        <f>AVERAGEIF('Quarterly Data'!$B:$B,'Annual Data'!$A73,'Quarterly Data'!AD:AD)</f>
        <v>682850.5</v>
      </c>
      <c r="AC73">
        <f>AVERAGEIF('Quarterly Data'!$B:$B,'Annual Data'!$A73,'Quarterly Data'!AE:AE)</f>
        <v>46121.072500000002</v>
      </c>
      <c r="AD73">
        <f>AVERAGEIF('Quarterly Data'!$B:$B,'Annual Data'!$A73,'Quarterly Data'!AF:AF)</f>
        <v>4264640.5</v>
      </c>
      <c r="AE73">
        <f>SUMIF('Quarterly Data'!$B:$B,'Annual Data'!$A73,'Quarterly Data'!AG:AG)</f>
        <v>-6.6047140000000004</v>
      </c>
    </row>
    <row r="74" spans="1:31" x14ac:dyDescent="0.25">
      <c r="A74">
        <v>2040</v>
      </c>
      <c r="B74">
        <f>SUMIF('Quarterly Data'!$B:$B,'Annual Data'!$A74,'Quarterly Data'!D:D)</f>
        <v>3252321.0999999996</v>
      </c>
      <c r="C74">
        <f>AVERAGEIF('Quarterly Data'!$B:$B,'Annual Data'!$A74,'Quarterly Data'!E:E)</f>
        <v>187.85219999999998</v>
      </c>
      <c r="D74">
        <f>SUMIF('Quarterly Data'!$B:$B,'Annual Data'!$A74,'Quarterly Data'!F:F)</f>
        <v>1007496.6</v>
      </c>
      <c r="E74">
        <f>SUMIF('Quarterly Data'!$B:$B,'Annual Data'!$A74,'Quarterly Data'!G:G)</f>
        <v>337748.53</v>
      </c>
      <c r="F74">
        <f>SUMIF('Quarterly Data'!$B:$B,'Annual Data'!$A74,'Quarterly Data'!H:H)</f>
        <v>1115398.6000000001</v>
      </c>
      <c r="G74">
        <f>SUMIF('Quarterly Data'!$B:$B,'Annual Data'!$A74,'Quarterly Data'!I:I)</f>
        <v>599037.69999999995</v>
      </c>
      <c r="H74">
        <f>SUMIF('Quarterly Data'!$B:$B,'Annual Data'!$A74,'Quarterly Data'!J:J)</f>
        <v>617181.1</v>
      </c>
      <c r="I74">
        <f>SUMIF('Quarterly Data'!$B:$B,'Annual Data'!$A74,'Quarterly Data'!K:K)</f>
        <v>349368.64</v>
      </c>
      <c r="J74">
        <f>SUMIF('Quarterly Data'!$B:$B,'Annual Data'!$A74,'Quarterly Data'!L:L)</f>
        <v>3252318.9000000004</v>
      </c>
      <c r="K74">
        <f>AVERAGEIF('Quarterly Data'!$B:$B,'Annual Data'!$A74,'Quarterly Data'!M:M)</f>
        <v>37906.705000000002</v>
      </c>
      <c r="L74">
        <f>AVERAGEIF('Quarterly Data'!$B:$B,'Annual Data'!$A74,'Quarterly Data'!N:N)</f>
        <v>31.977527500000001</v>
      </c>
      <c r="M74">
        <f>AVERAGEIF('Quarterly Data'!$B:$B,'Annual Data'!$A74,'Quarterly Data'!O:O)</f>
        <v>686298.625</v>
      </c>
      <c r="N74">
        <f>AVERAGEIF('Quarterly Data'!$B:$B,'Annual Data'!$A74,'Quarterly Data'!P:P)</f>
        <v>46220.197500000002</v>
      </c>
      <c r="O74">
        <f>AVERAGEIF('Quarterly Data'!$B:$B,'Annual Data'!$A74,'Quarterly Data'!Q:Q)</f>
        <v>4272483.25</v>
      </c>
      <c r="P74">
        <f>SUMIF('Quarterly Data'!$B:$B,'Annual Data'!$A74,'Quarterly Data'!R:R)</f>
        <v>-6.591888</v>
      </c>
      <c r="Q74">
        <f>SUMIF('Quarterly Data'!$B:$B,'Annual Data'!$A74,'Quarterly Data'!S:S)</f>
        <v>3279023.8</v>
      </c>
      <c r="R74">
        <f>AVERAGEIF('Quarterly Data'!$B:$B,'Annual Data'!$A74,'Quarterly Data'!T:T)</f>
        <v>187.703</v>
      </c>
      <c r="S74">
        <f>SUMIF('Quarterly Data'!$B:$B,'Annual Data'!$A74,'Quarterly Data'!U:U)</f>
        <v>965769.9</v>
      </c>
      <c r="T74">
        <f>SUMIF('Quarterly Data'!$B:$B,'Annual Data'!$A74,'Quarterly Data'!V:V)</f>
        <v>355780.51</v>
      </c>
      <c r="U74">
        <f>SUMIF('Quarterly Data'!$B:$B,'Annual Data'!$A74,'Quarterly Data'!W:W)</f>
        <v>1080673.2</v>
      </c>
      <c r="V74">
        <f>SUMIF('Quarterly Data'!$B:$B,'Annual Data'!$A74,'Quarterly Data'!X:X)</f>
        <v>575831</v>
      </c>
      <c r="W74">
        <f>SUMIF('Quarterly Data'!$B:$B,'Annual Data'!$A74,'Quarterly Data'!Y:Y)</f>
        <v>628045</v>
      </c>
      <c r="X74">
        <f>SUMIF('Quarterly Data'!$B:$B,'Annual Data'!$A74,'Quarterly Data'!Z:Z)</f>
        <v>361763.56</v>
      </c>
      <c r="Y74">
        <f>SUMIF('Quarterly Data'!$B:$B,'Annual Data'!$A74,'Quarterly Data'!AA:AA)</f>
        <v>3279023.8</v>
      </c>
      <c r="Z74">
        <f>AVERAGEIF('Quarterly Data'!$B:$B,'Annual Data'!$A74,'Quarterly Data'!AB:AB)</f>
        <v>37906.705000000002</v>
      </c>
      <c r="AA74">
        <f>AVERAGEIF('Quarterly Data'!$B:$B,'Annual Data'!$A74,'Quarterly Data'!AC:AC)</f>
        <v>31.977527500000001</v>
      </c>
      <c r="AB74">
        <f>AVERAGEIF('Quarterly Data'!$B:$B,'Annual Data'!$A74,'Quarterly Data'!AD:AD)</f>
        <v>686298.625</v>
      </c>
      <c r="AC74">
        <f>AVERAGEIF('Quarterly Data'!$B:$B,'Annual Data'!$A74,'Quarterly Data'!AE:AE)</f>
        <v>46220.197500000002</v>
      </c>
      <c r="AD74">
        <f>AVERAGEIF('Quarterly Data'!$B:$B,'Annual Data'!$A74,'Quarterly Data'!AF:AF)</f>
        <v>4348240.75</v>
      </c>
      <c r="AE74">
        <f>SUMIF('Quarterly Data'!$B:$B,'Annual Data'!$A74,'Quarterly Data'!AG:AG)</f>
        <v>-6.5836050000000004</v>
      </c>
    </row>
    <row r="75" spans="1:31" x14ac:dyDescent="0.25">
      <c r="A75">
        <v>2041</v>
      </c>
      <c r="B75">
        <f>SUMIF('Quarterly Data'!$B:$B,'Annual Data'!$A75,'Quarterly Data'!D:D)</f>
        <v>3305107</v>
      </c>
      <c r="C75">
        <f>AVERAGEIF('Quarterly Data'!$B:$B,'Annual Data'!$A75,'Quarterly Data'!E:E)</f>
        <v>191.60924999999997</v>
      </c>
      <c r="D75">
        <f>SUMIF('Quarterly Data'!$B:$B,'Annual Data'!$A75,'Quarterly Data'!F:F)</f>
        <v>1022553.7</v>
      </c>
      <c r="E75">
        <f>SUMIF('Quarterly Data'!$B:$B,'Annual Data'!$A75,'Quarterly Data'!G:G)</f>
        <v>342123.95999999996</v>
      </c>
      <c r="F75">
        <f>SUMIF('Quarterly Data'!$B:$B,'Annual Data'!$A75,'Quarterly Data'!H:H)</f>
        <v>1133356.3</v>
      </c>
      <c r="G75">
        <f>SUMIF('Quarterly Data'!$B:$B,'Annual Data'!$A75,'Quarterly Data'!I:I)</f>
        <v>608323.80000000005</v>
      </c>
      <c r="H75">
        <f>SUMIF('Quarterly Data'!$B:$B,'Annual Data'!$A75,'Quarterly Data'!J:J)</f>
        <v>629891.80000000005</v>
      </c>
      <c r="I75">
        <f>SUMIF('Quarterly Data'!$B:$B,'Annual Data'!$A75,'Quarterly Data'!K:K)</f>
        <v>357165.5</v>
      </c>
      <c r="J75">
        <f>SUMIF('Quarterly Data'!$B:$B,'Annual Data'!$A75,'Quarterly Data'!L:L)</f>
        <v>3305106.5</v>
      </c>
      <c r="K75">
        <f>AVERAGEIF('Quarterly Data'!$B:$B,'Annual Data'!$A75,'Quarterly Data'!M:M)</f>
        <v>38103.517499999994</v>
      </c>
      <c r="L75">
        <f>AVERAGEIF('Quarterly Data'!$B:$B,'Annual Data'!$A75,'Quarterly Data'!N:N)</f>
        <v>31.974794999999997</v>
      </c>
      <c r="M75">
        <f>AVERAGEIF('Quarterly Data'!$B:$B,'Annual Data'!$A75,'Quarterly Data'!O:O)</f>
        <v>689959.97499999998</v>
      </c>
      <c r="N75">
        <f>AVERAGEIF('Quarterly Data'!$B:$B,'Annual Data'!$A75,'Quarterly Data'!P:P)</f>
        <v>46334.97</v>
      </c>
      <c r="O75">
        <f>AVERAGEIF('Quarterly Data'!$B:$B,'Annual Data'!$A75,'Quarterly Data'!Q:Q)</f>
        <v>4354971</v>
      </c>
      <c r="P75">
        <f>SUMIF('Quarterly Data'!$B:$B,'Annual Data'!$A75,'Quarterly Data'!R:R)</f>
        <v>-6.570818</v>
      </c>
      <c r="Q75">
        <f>SUMIF('Quarterly Data'!$B:$B,'Annual Data'!$A75,'Quarterly Data'!S:S)</f>
        <v>3332783.6000000006</v>
      </c>
      <c r="R75">
        <f>AVERAGEIF('Quarterly Data'!$B:$B,'Annual Data'!$A75,'Quarterly Data'!T:T)</f>
        <v>191.45705000000001</v>
      </c>
      <c r="S75">
        <f>SUMIF('Quarterly Data'!$B:$B,'Annual Data'!$A75,'Quarterly Data'!U:U)</f>
        <v>980128</v>
      </c>
      <c r="T75">
        <f>SUMIF('Quarterly Data'!$B:$B,'Annual Data'!$A75,'Quarterly Data'!V:V)</f>
        <v>360448.05</v>
      </c>
      <c r="U75">
        <f>SUMIF('Quarterly Data'!$B:$B,'Annual Data'!$A75,'Quarterly Data'!W:W)</f>
        <v>1098092.5</v>
      </c>
      <c r="V75">
        <f>SUMIF('Quarterly Data'!$B:$B,'Annual Data'!$A75,'Quarterly Data'!X:X)</f>
        <v>584852.20000000007</v>
      </c>
      <c r="W75">
        <f>SUMIF('Quarterly Data'!$B:$B,'Annual Data'!$A75,'Quarterly Data'!Y:Y)</f>
        <v>640952.69999999995</v>
      </c>
      <c r="X75">
        <f>SUMIF('Quarterly Data'!$B:$B,'Annual Data'!$A75,'Quarterly Data'!Z:Z)</f>
        <v>369749.76000000001</v>
      </c>
      <c r="Y75">
        <f>SUMIF('Quarterly Data'!$B:$B,'Annual Data'!$A75,'Quarterly Data'!AA:AA)</f>
        <v>3332780.2</v>
      </c>
      <c r="Z75">
        <f>AVERAGEIF('Quarterly Data'!$B:$B,'Annual Data'!$A75,'Quarterly Data'!AB:AB)</f>
        <v>38103.517499999994</v>
      </c>
      <c r="AA75">
        <f>AVERAGEIF('Quarterly Data'!$B:$B,'Annual Data'!$A75,'Quarterly Data'!AC:AC)</f>
        <v>31.974794999999997</v>
      </c>
      <c r="AB75">
        <f>AVERAGEIF('Quarterly Data'!$B:$B,'Annual Data'!$A75,'Quarterly Data'!AD:AD)</f>
        <v>689959.97499999998</v>
      </c>
      <c r="AC75">
        <f>AVERAGEIF('Quarterly Data'!$B:$B,'Annual Data'!$A75,'Quarterly Data'!AE:AE)</f>
        <v>46334.97</v>
      </c>
      <c r="AD75">
        <f>AVERAGEIF('Quarterly Data'!$B:$B,'Annual Data'!$A75,'Quarterly Data'!AF:AF)</f>
        <v>4434224</v>
      </c>
      <c r="AE75">
        <f>SUMIF('Quarterly Data'!$B:$B,'Annual Data'!$A75,'Quarterly Data'!AG:AG)</f>
        <v>-6.5625640000000001</v>
      </c>
    </row>
    <row r="76" spans="1:31" x14ac:dyDescent="0.25">
      <c r="A76">
        <v>2042</v>
      </c>
      <c r="B76">
        <f>SUMIF('Quarterly Data'!$B:$B,'Annual Data'!$A76,'Quarterly Data'!D:D)</f>
        <v>3359234.7</v>
      </c>
      <c r="C76">
        <f>AVERAGEIF('Quarterly Data'!$B:$B,'Annual Data'!$A76,'Quarterly Data'!E:E)</f>
        <v>195.44142500000001</v>
      </c>
      <c r="D76">
        <f>SUMIF('Quarterly Data'!$B:$B,'Annual Data'!$A76,'Quarterly Data'!F:F)</f>
        <v>1038019</v>
      </c>
      <c r="E76">
        <f>SUMIF('Quarterly Data'!$B:$B,'Annual Data'!$A76,'Quarterly Data'!G:G)</f>
        <v>346606.24</v>
      </c>
      <c r="F76">
        <f>SUMIF('Quarterly Data'!$B:$B,'Annual Data'!$A76,'Quarterly Data'!H:H)</f>
        <v>1151776.7999999998</v>
      </c>
      <c r="G76">
        <f>SUMIF('Quarterly Data'!$B:$B,'Annual Data'!$A76,'Quarterly Data'!I:I)</f>
        <v>617843</v>
      </c>
      <c r="H76">
        <f>SUMIF('Quarterly Data'!$B:$B,'Annual Data'!$A76,'Quarterly Data'!J:J)</f>
        <v>642960.1</v>
      </c>
      <c r="I76">
        <f>SUMIF('Quarterly Data'!$B:$B,'Annual Data'!$A76,'Quarterly Data'!K:K)</f>
        <v>365188.89</v>
      </c>
      <c r="J76">
        <f>SUMIF('Quarterly Data'!$B:$B,'Annual Data'!$A76,'Quarterly Data'!L:L)</f>
        <v>3359232.1999999997</v>
      </c>
      <c r="K76">
        <f>AVERAGEIF('Quarterly Data'!$B:$B,'Annual Data'!$A76,'Quarterly Data'!M:M)</f>
        <v>38306.51</v>
      </c>
      <c r="L76">
        <f>AVERAGEIF('Quarterly Data'!$B:$B,'Annual Data'!$A76,'Quarterly Data'!N:N)</f>
        <v>31.971794999999997</v>
      </c>
      <c r="M76">
        <f>AVERAGEIF('Quarterly Data'!$B:$B,'Annual Data'!$A76,'Quarterly Data'!O:O)</f>
        <v>693765.92500000005</v>
      </c>
      <c r="N76">
        <f>AVERAGEIF('Quarterly Data'!$B:$B,'Annual Data'!$A76,'Quarterly Data'!P:P)</f>
        <v>46460.445</v>
      </c>
      <c r="O76">
        <f>AVERAGEIF('Quarterly Data'!$B:$B,'Annual Data'!$A76,'Quarterly Data'!Q:Q)</f>
        <v>4440213.25</v>
      </c>
      <c r="P76">
        <f>SUMIF('Quarterly Data'!$B:$B,'Annual Data'!$A76,'Quarterly Data'!R:R)</f>
        <v>-6.5498180000000001</v>
      </c>
      <c r="Q76">
        <f>SUMIF('Quarterly Data'!$B:$B,'Annual Data'!$A76,'Quarterly Data'!S:S)</f>
        <v>3387804.3</v>
      </c>
      <c r="R76">
        <f>AVERAGEIF('Quarterly Data'!$B:$B,'Annual Data'!$A76,'Quarterly Data'!T:T)</f>
        <v>195.28617499999999</v>
      </c>
      <c r="S76">
        <f>SUMIF('Quarterly Data'!$B:$B,'Annual Data'!$A76,'Quarterly Data'!U:U)</f>
        <v>994846</v>
      </c>
      <c r="T76">
        <f>SUMIF('Quarterly Data'!$B:$B,'Annual Data'!$A76,'Quarterly Data'!V:V)</f>
        <v>365217.85</v>
      </c>
      <c r="U76">
        <f>SUMIF('Quarterly Data'!$B:$B,'Annual Data'!$A76,'Quarterly Data'!W:W)</f>
        <v>1115928.8999999999</v>
      </c>
      <c r="V76">
        <f>SUMIF('Quarterly Data'!$B:$B,'Annual Data'!$A76,'Quarterly Data'!X:X)</f>
        <v>594081.30000000005</v>
      </c>
      <c r="W76">
        <f>SUMIF('Quarterly Data'!$B:$B,'Annual Data'!$A76,'Quarterly Data'!Y:Y)</f>
        <v>654201.9</v>
      </c>
      <c r="X76">
        <f>SUMIF('Quarterly Data'!$B:$B,'Annual Data'!$A76,'Quarterly Data'!Z:Z)</f>
        <v>377954.49</v>
      </c>
      <c r="Y76">
        <f>SUMIF('Quarterly Data'!$B:$B,'Annual Data'!$A76,'Quarterly Data'!AA:AA)</f>
        <v>3387799.9</v>
      </c>
      <c r="Z76">
        <f>AVERAGEIF('Quarterly Data'!$B:$B,'Annual Data'!$A76,'Quarterly Data'!AB:AB)</f>
        <v>38306.51</v>
      </c>
      <c r="AA76">
        <f>AVERAGEIF('Quarterly Data'!$B:$B,'Annual Data'!$A76,'Quarterly Data'!AC:AC)</f>
        <v>31.971794999999997</v>
      </c>
      <c r="AB76">
        <f>AVERAGEIF('Quarterly Data'!$B:$B,'Annual Data'!$A76,'Quarterly Data'!AD:AD)</f>
        <v>693765.92500000005</v>
      </c>
      <c r="AC76">
        <f>AVERAGEIF('Quarterly Data'!$B:$B,'Annual Data'!$A76,'Quarterly Data'!AE:AE)</f>
        <v>46460.445</v>
      </c>
      <c r="AD76">
        <f>AVERAGEIF('Quarterly Data'!$B:$B,'Annual Data'!$A76,'Quarterly Data'!AF:AF)</f>
        <v>4522680.25</v>
      </c>
      <c r="AE76">
        <f>SUMIF('Quarterly Data'!$B:$B,'Annual Data'!$A76,'Quarterly Data'!AG:AG)</f>
        <v>-6.541588</v>
      </c>
    </row>
    <row r="77" spans="1:31" x14ac:dyDescent="0.25">
      <c r="A77">
        <v>2043</v>
      </c>
      <c r="B77">
        <f>SUMIF('Quarterly Data'!$B:$B,'Annual Data'!$A77,'Quarterly Data'!D:D)</f>
        <v>3413254.8000000003</v>
      </c>
      <c r="C77">
        <f>AVERAGEIF('Quarterly Data'!$B:$B,'Annual Data'!$A77,'Quarterly Data'!E:E)</f>
        <v>199.35025000000002</v>
      </c>
      <c r="D77">
        <f>SUMIF('Quarterly Data'!$B:$B,'Annual Data'!$A77,'Quarterly Data'!F:F)</f>
        <v>1053455.3</v>
      </c>
      <c r="E77">
        <f>SUMIF('Quarterly Data'!$B:$B,'Annual Data'!$A77,'Quarterly Data'!G:G)</f>
        <v>351044.94</v>
      </c>
      <c r="F77">
        <f>SUMIF('Quarterly Data'!$B:$B,'Annual Data'!$A77,'Quarterly Data'!H:H)</f>
        <v>1170213.2</v>
      </c>
      <c r="G77">
        <f>SUMIF('Quarterly Data'!$B:$B,'Annual Data'!$A77,'Quarterly Data'!I:I)</f>
        <v>627328.5</v>
      </c>
      <c r="H77">
        <f>SUMIF('Quarterly Data'!$B:$B,'Annual Data'!$A77,'Quarterly Data'!J:J)</f>
        <v>656112.30000000005</v>
      </c>
      <c r="I77">
        <f>SUMIF('Quarterly Data'!$B:$B,'Annual Data'!$A77,'Quarterly Data'!K:K)</f>
        <v>373283.96</v>
      </c>
      <c r="J77">
        <f>SUMIF('Quarterly Data'!$B:$B,'Annual Data'!$A77,'Quarterly Data'!L:L)</f>
        <v>3413253.7</v>
      </c>
      <c r="K77">
        <f>AVERAGEIF('Quarterly Data'!$B:$B,'Annual Data'!$A77,'Quarterly Data'!M:M)</f>
        <v>38490.395000000004</v>
      </c>
      <c r="L77">
        <f>AVERAGEIF('Quarterly Data'!$B:$B,'Annual Data'!$A77,'Quarterly Data'!N:N)</f>
        <v>31.968794999999997</v>
      </c>
      <c r="M77">
        <f>AVERAGEIF('Quarterly Data'!$B:$B,'Annual Data'!$A77,'Quarterly Data'!O:O)</f>
        <v>697243.17500000005</v>
      </c>
      <c r="N77">
        <f>AVERAGEIF('Quarterly Data'!$B:$B,'Annual Data'!$A77,'Quarterly Data'!P:P)</f>
        <v>46565.0625</v>
      </c>
      <c r="O77">
        <f>AVERAGEIF('Quarterly Data'!$B:$B,'Annual Data'!$A77,'Quarterly Data'!Q:Q)</f>
        <v>4528098.5</v>
      </c>
      <c r="P77">
        <f>SUMIF('Quarterly Data'!$B:$B,'Annual Data'!$A77,'Quarterly Data'!R:R)</f>
        <v>-6.5288830000000004</v>
      </c>
      <c r="Q77">
        <f>SUMIF('Quarterly Data'!$B:$B,'Annual Data'!$A77,'Quarterly Data'!S:S)</f>
        <v>3442627.9</v>
      </c>
      <c r="R77">
        <f>AVERAGEIF('Quarterly Data'!$B:$B,'Annual Data'!$A77,'Quarterly Data'!T:T)</f>
        <v>199.191925</v>
      </c>
      <c r="S77">
        <f>SUMIF('Quarterly Data'!$B:$B,'Annual Data'!$A77,'Quarterly Data'!U:U)</f>
        <v>1009507.5999999999</v>
      </c>
      <c r="T77">
        <f>SUMIF('Quarterly Data'!$B:$B,'Annual Data'!$A77,'Quarterly Data'!V:V)</f>
        <v>369931.89</v>
      </c>
      <c r="U77">
        <f>SUMIF('Quarterly Data'!$B:$B,'Annual Data'!$A77,'Quarterly Data'!W:W)</f>
        <v>1133754.5</v>
      </c>
      <c r="V77">
        <f>SUMIF('Quarterly Data'!$B:$B,'Annual Data'!$A77,'Quarterly Data'!X:X)</f>
        <v>603262.39999999991</v>
      </c>
      <c r="W77">
        <f>SUMIF('Quarterly Data'!$B:$B,'Annual Data'!$A77,'Quarterly Data'!Y:Y)</f>
        <v>667514.10000000009</v>
      </c>
      <c r="X77">
        <f>SUMIF('Quarterly Data'!$B:$B,'Annual Data'!$A77,'Quarterly Data'!Z:Z)</f>
        <v>386217.39999999997</v>
      </c>
      <c r="Y77">
        <f>SUMIF('Quarterly Data'!$B:$B,'Annual Data'!$A77,'Quarterly Data'!AA:AA)</f>
        <v>3442627.0999999996</v>
      </c>
      <c r="Z77">
        <f>AVERAGEIF('Quarterly Data'!$B:$B,'Annual Data'!$A77,'Quarterly Data'!AB:AB)</f>
        <v>38490.395000000004</v>
      </c>
      <c r="AA77">
        <f>AVERAGEIF('Quarterly Data'!$B:$B,'Annual Data'!$A77,'Quarterly Data'!AC:AC)</f>
        <v>31.968794999999997</v>
      </c>
      <c r="AB77">
        <f>AVERAGEIF('Quarterly Data'!$B:$B,'Annual Data'!$A77,'Quarterly Data'!AD:AD)</f>
        <v>697243.17500000005</v>
      </c>
      <c r="AC77">
        <f>AVERAGEIF('Quarterly Data'!$B:$B,'Annual Data'!$A77,'Quarterly Data'!AE:AE)</f>
        <v>46565.0625</v>
      </c>
      <c r="AD77">
        <f>AVERAGEIF('Quarterly Data'!$B:$B,'Annual Data'!$A77,'Quarterly Data'!AF:AF)</f>
        <v>4613504.75</v>
      </c>
      <c r="AE77">
        <f>SUMIF('Quarterly Data'!$B:$B,'Annual Data'!$A77,'Quarterly Data'!AG:AG)</f>
        <v>-6.5206789999999994</v>
      </c>
    </row>
    <row r="78" spans="1:31" x14ac:dyDescent="0.25">
      <c r="A78">
        <v>2044</v>
      </c>
      <c r="B78">
        <f>SUMIF('Quarterly Data'!$B:$B,'Annual Data'!$A78,'Quarterly Data'!D:D)</f>
        <v>3466581.6999999997</v>
      </c>
      <c r="C78">
        <f>AVERAGEIF('Quarterly Data'!$B:$B,'Annual Data'!$A78,'Quarterly Data'!E:E)</f>
        <v>203.33725000000001</v>
      </c>
      <c r="D78">
        <f>SUMIF('Quarterly Data'!$B:$B,'Annual Data'!$A78,'Quarterly Data'!F:F)</f>
        <v>1068687</v>
      </c>
      <c r="E78">
        <f>SUMIF('Quarterly Data'!$B:$B,'Annual Data'!$A78,'Quarterly Data'!G:G)</f>
        <v>355380.23</v>
      </c>
      <c r="F78">
        <f>SUMIF('Quarterly Data'!$B:$B,'Annual Data'!$A78,'Quarterly Data'!H:H)</f>
        <v>1188484</v>
      </c>
      <c r="G78">
        <f>SUMIF('Quarterly Data'!$B:$B,'Annual Data'!$A78,'Quarterly Data'!I:I)</f>
        <v>636672.80000000005</v>
      </c>
      <c r="H78">
        <f>SUMIF('Quarterly Data'!$B:$B,'Annual Data'!$A78,'Quarterly Data'!J:J)</f>
        <v>669235.89999999991</v>
      </c>
      <c r="I78">
        <f>SUMIF('Quarterly Data'!$B:$B,'Annual Data'!$A78,'Quarterly Data'!K:K)</f>
        <v>381386.81000000006</v>
      </c>
      <c r="J78">
        <f>SUMIF('Quarterly Data'!$B:$B,'Annual Data'!$A78,'Quarterly Data'!L:L)</f>
        <v>3466579.5999999996</v>
      </c>
      <c r="K78">
        <f>AVERAGEIF('Quarterly Data'!$B:$B,'Annual Data'!$A78,'Quarterly Data'!M:M)</f>
        <v>38647.050000000003</v>
      </c>
      <c r="L78">
        <f>AVERAGEIF('Quarterly Data'!$B:$B,'Annual Data'!$A78,'Quarterly Data'!N:N)</f>
        <v>31.965795000000004</v>
      </c>
      <c r="M78">
        <f>AVERAGEIF('Quarterly Data'!$B:$B,'Annual Data'!$A78,'Quarterly Data'!O:O)</f>
        <v>699929.97500000009</v>
      </c>
      <c r="N78">
        <f>AVERAGEIF('Quarterly Data'!$B:$B,'Annual Data'!$A78,'Quarterly Data'!P:P)</f>
        <v>46619.112499999996</v>
      </c>
      <c r="O78">
        <f>AVERAGEIF('Quarterly Data'!$B:$B,'Annual Data'!$A78,'Quarterly Data'!Q:Q)</f>
        <v>4618411</v>
      </c>
      <c r="P78">
        <f>SUMIF('Quarterly Data'!$B:$B,'Annual Data'!$A78,'Quarterly Data'!R:R)</f>
        <v>-6.5080149999999994</v>
      </c>
      <c r="Q78">
        <f>SUMIF('Quarterly Data'!$B:$B,'Annual Data'!$A78,'Quarterly Data'!S:S)</f>
        <v>3496665.4000000004</v>
      </c>
      <c r="R78">
        <f>AVERAGEIF('Quarterly Data'!$B:$B,'Annual Data'!$A78,'Quarterly Data'!T:T)</f>
        <v>203.17577500000002</v>
      </c>
      <c r="S78">
        <f>SUMIF('Quarterly Data'!$B:$B,'Annual Data'!$A78,'Quarterly Data'!U:U)</f>
        <v>1023944.5</v>
      </c>
      <c r="T78">
        <f>SUMIF('Quarterly Data'!$B:$B,'Annual Data'!$A78,'Quarterly Data'!V:V)</f>
        <v>374527.39999999997</v>
      </c>
      <c r="U78">
        <f>SUMIF('Quarterly Data'!$B:$B,'Annual Data'!$A78,'Quarterly Data'!W:W)</f>
        <v>1151395.6000000001</v>
      </c>
      <c r="V78">
        <f>SUMIF('Quarterly Data'!$B:$B,'Annual Data'!$A78,'Quarterly Data'!X:X)</f>
        <v>612292.1</v>
      </c>
      <c r="W78">
        <f>SUMIF('Quarterly Data'!$B:$B,'Annual Data'!$A78,'Quarterly Data'!Y:Y)</f>
        <v>680774.9</v>
      </c>
      <c r="X78">
        <f>SUMIF('Quarterly Data'!$B:$B,'Annual Data'!$A78,'Quarterly Data'!Z:Z)</f>
        <v>394472.37000000005</v>
      </c>
      <c r="Y78">
        <f>SUMIF('Quarterly Data'!$B:$B,'Annual Data'!$A78,'Quarterly Data'!AA:AA)</f>
        <v>3496663.5</v>
      </c>
      <c r="Z78">
        <f>AVERAGEIF('Quarterly Data'!$B:$B,'Annual Data'!$A78,'Quarterly Data'!AB:AB)</f>
        <v>38647.050000000003</v>
      </c>
      <c r="AA78">
        <f>AVERAGEIF('Quarterly Data'!$B:$B,'Annual Data'!$A78,'Quarterly Data'!AC:AC)</f>
        <v>31.965795000000004</v>
      </c>
      <c r="AB78">
        <f>AVERAGEIF('Quarterly Data'!$B:$B,'Annual Data'!$A78,'Quarterly Data'!AD:AD)</f>
        <v>699929.97500000009</v>
      </c>
      <c r="AC78">
        <f>AVERAGEIF('Quarterly Data'!$B:$B,'Annual Data'!$A78,'Quarterly Data'!AE:AE)</f>
        <v>46619.112499999996</v>
      </c>
      <c r="AD78">
        <f>AVERAGEIF('Quarterly Data'!$B:$B,'Annual Data'!$A78,'Quarterly Data'!AF:AF)</f>
        <v>4706487.75</v>
      </c>
      <c r="AE78">
        <f>SUMIF('Quarterly Data'!$B:$B,'Annual Data'!$A78,'Quarterly Data'!AG:AG)</f>
        <v>-6.4998379999999996</v>
      </c>
    </row>
    <row r="79" spans="1:31" x14ac:dyDescent="0.25">
      <c r="A79">
        <v>2045</v>
      </c>
      <c r="B79">
        <f>SUMIF('Quarterly Data'!$B:$B,'Annual Data'!$A79,'Quarterly Data'!D:D)</f>
        <v>3518434.2</v>
      </c>
      <c r="C79">
        <f>AVERAGEIF('Quarterly Data'!$B:$B,'Annual Data'!$A79,'Quarterly Data'!E:E)</f>
        <v>207.403975</v>
      </c>
      <c r="D79">
        <f>SUMIF('Quarterly Data'!$B:$B,'Annual Data'!$A79,'Quarterly Data'!F:F)</f>
        <v>1083478.7</v>
      </c>
      <c r="E79">
        <f>SUMIF('Quarterly Data'!$B:$B,'Annual Data'!$A79,'Quarterly Data'!G:G)</f>
        <v>359533.05000000005</v>
      </c>
      <c r="F79">
        <f>SUMIF('Quarterly Data'!$B:$B,'Annual Data'!$A79,'Quarterly Data'!H:H)</f>
        <v>1206345.7999999998</v>
      </c>
      <c r="G79">
        <f>SUMIF('Quarterly Data'!$B:$B,'Annual Data'!$A79,'Quarterly Data'!I:I)</f>
        <v>645732.60000000009</v>
      </c>
      <c r="H79">
        <f>SUMIF('Quarterly Data'!$B:$B,'Annual Data'!$A79,'Quarterly Data'!J:J)</f>
        <v>682178.7</v>
      </c>
      <c r="I79">
        <f>SUMIF('Quarterly Data'!$B:$B,'Annual Data'!$A79,'Quarterly Data'!K:K)</f>
        <v>389410.55999999994</v>
      </c>
      <c r="J79">
        <f>SUMIF('Quarterly Data'!$B:$B,'Annual Data'!$A79,'Quarterly Data'!L:L)</f>
        <v>3518433.4</v>
      </c>
      <c r="K79">
        <f>AVERAGEIF('Quarterly Data'!$B:$B,'Annual Data'!$A79,'Quarterly Data'!M:M)</f>
        <v>38765.71</v>
      </c>
      <c r="L79">
        <f>AVERAGEIF('Quarterly Data'!$B:$B,'Annual Data'!$A79,'Quarterly Data'!N:N)</f>
        <v>31.962795</v>
      </c>
      <c r="M79">
        <f>AVERAGEIF('Quarterly Data'!$B:$B,'Annual Data'!$A79,'Quarterly Data'!O:O)</f>
        <v>702123.22499999998</v>
      </c>
      <c r="N79">
        <f>AVERAGEIF('Quarterly Data'!$B:$B,'Annual Data'!$A79,'Quarterly Data'!P:P)</f>
        <v>46643.142500000002</v>
      </c>
      <c r="O79">
        <f>AVERAGEIF('Quarterly Data'!$B:$B,'Annual Data'!$A79,'Quarterly Data'!Q:Q)</f>
        <v>4710830</v>
      </c>
      <c r="P79">
        <f>SUMIF('Quarterly Data'!$B:$B,'Annual Data'!$A79,'Quarterly Data'!R:R)</f>
        <v>-6.4872139999999998</v>
      </c>
      <c r="Q79">
        <f>SUMIF('Quarterly Data'!$B:$B,'Annual Data'!$A79,'Quarterly Data'!S:S)</f>
        <v>3549131.4000000004</v>
      </c>
      <c r="R79">
        <f>AVERAGEIF('Quarterly Data'!$B:$B,'Annual Data'!$A79,'Quarterly Data'!T:T)</f>
        <v>207.23930000000001</v>
      </c>
      <c r="S79">
        <f>SUMIF('Quarterly Data'!$B:$B,'Annual Data'!$A79,'Quarterly Data'!U:U)</f>
        <v>1037933.2</v>
      </c>
      <c r="T79">
        <f>SUMIF('Quarterly Data'!$B:$B,'Annual Data'!$A79,'Quarterly Data'!V:V)</f>
        <v>378921.45999999996</v>
      </c>
      <c r="U79">
        <f>SUMIF('Quarterly Data'!$B:$B,'Annual Data'!$A79,'Quarterly Data'!W:W)</f>
        <v>1168619.8</v>
      </c>
      <c r="V79">
        <f>SUMIF('Quarterly Data'!$B:$B,'Annual Data'!$A79,'Quarterly Data'!X:X)</f>
        <v>621033.60000000009</v>
      </c>
      <c r="W79">
        <f>SUMIF('Quarterly Data'!$B:$B,'Annual Data'!$A79,'Quarterly Data'!Y:Y)</f>
        <v>693829.8</v>
      </c>
      <c r="X79">
        <f>SUMIF('Quarterly Data'!$B:$B,'Annual Data'!$A79,'Quarterly Data'!Z:Z)</f>
        <v>402629.72</v>
      </c>
      <c r="Y79">
        <f>SUMIF('Quarterly Data'!$B:$B,'Annual Data'!$A79,'Quarterly Data'!AA:AA)</f>
        <v>3549127.9000000004</v>
      </c>
      <c r="Z79">
        <f>AVERAGEIF('Quarterly Data'!$B:$B,'Annual Data'!$A79,'Quarterly Data'!AB:AB)</f>
        <v>38765.71</v>
      </c>
      <c r="AA79">
        <f>AVERAGEIF('Quarterly Data'!$B:$B,'Annual Data'!$A79,'Quarterly Data'!AC:AC)</f>
        <v>31.962795</v>
      </c>
      <c r="AB79">
        <f>AVERAGEIF('Quarterly Data'!$B:$B,'Annual Data'!$A79,'Quarterly Data'!AD:AD)</f>
        <v>702123.22499999998</v>
      </c>
      <c r="AC79">
        <f>AVERAGEIF('Quarterly Data'!$B:$B,'Annual Data'!$A79,'Quarterly Data'!AE:AE)</f>
        <v>46643.142500000002</v>
      </c>
      <c r="AD79">
        <f>AVERAGEIF('Quarterly Data'!$B:$B,'Annual Data'!$A79,'Quarterly Data'!AF:AF)</f>
        <v>4801306.25</v>
      </c>
      <c r="AE79">
        <f>SUMIF('Quarterly Data'!$B:$B,'Annual Data'!$A79,'Quarterly Data'!AG:AG)</f>
        <v>-6.4790640000000002</v>
      </c>
    </row>
    <row r="80" spans="1:31" x14ac:dyDescent="0.25">
      <c r="A80">
        <v>2046</v>
      </c>
      <c r="B80">
        <f>SUMIF('Quarterly Data'!$B:$B,'Annual Data'!$A80,'Quarterly Data'!D:D)</f>
        <v>3569845.9</v>
      </c>
      <c r="C80">
        <f>AVERAGEIF('Quarterly Data'!$B:$B,'Annual Data'!$A80,'Quarterly Data'!E:E)</f>
        <v>211.552075</v>
      </c>
      <c r="D80">
        <f>SUMIF('Quarterly Data'!$B:$B,'Annual Data'!$A80,'Quarterly Data'!F:F)</f>
        <v>1098141.7999999998</v>
      </c>
      <c r="E80">
        <f>SUMIF('Quarterly Data'!$B:$B,'Annual Data'!$A80,'Quarterly Data'!G:G)</f>
        <v>363610.4</v>
      </c>
      <c r="F80">
        <f>SUMIF('Quarterly Data'!$B:$B,'Annual Data'!$A80,'Quarterly Data'!H:H)</f>
        <v>1224119.8</v>
      </c>
      <c r="G80">
        <f>SUMIF('Quarterly Data'!$B:$B,'Annual Data'!$A80,'Quarterly Data'!I:I)</f>
        <v>654698.30000000005</v>
      </c>
      <c r="H80">
        <f>SUMIF('Quarterly Data'!$B:$B,'Annual Data'!$A80,'Quarterly Data'!J:J)</f>
        <v>695139.2</v>
      </c>
      <c r="I80">
        <f>SUMIF('Quarterly Data'!$B:$B,'Annual Data'!$A80,'Quarterly Data'!K:K)</f>
        <v>397467.96</v>
      </c>
      <c r="J80">
        <f>SUMIF('Quarterly Data'!$B:$B,'Annual Data'!$A80,'Quarterly Data'!L:L)</f>
        <v>3569844.4</v>
      </c>
      <c r="K80">
        <f>AVERAGEIF('Quarterly Data'!$B:$B,'Annual Data'!$A80,'Quarterly Data'!M:M)</f>
        <v>38866.237500000003</v>
      </c>
      <c r="L80">
        <f>AVERAGEIF('Quarterly Data'!$B:$B,'Annual Data'!$A80,'Quarterly Data'!N:N)</f>
        <v>31.959795000000003</v>
      </c>
      <c r="M80">
        <f>AVERAGEIF('Quarterly Data'!$B:$B,'Annual Data'!$A80,'Quarterly Data'!O:O)</f>
        <v>704253.625</v>
      </c>
      <c r="N80">
        <f>AVERAGEIF('Quarterly Data'!$B:$B,'Annual Data'!$A80,'Quarterly Data'!P:P)</f>
        <v>46665.770000000004</v>
      </c>
      <c r="O80">
        <f>AVERAGEIF('Quarterly Data'!$B:$B,'Annual Data'!$A80,'Quarterly Data'!Q:Q)</f>
        <v>4805125</v>
      </c>
      <c r="P80">
        <f>SUMIF('Quarterly Data'!$B:$B,'Annual Data'!$A80,'Quarterly Data'!R:R)</f>
        <v>-6.4664809999999999</v>
      </c>
      <c r="Q80">
        <f>SUMIF('Quarterly Data'!$B:$B,'Annual Data'!$A80,'Quarterly Data'!S:S)</f>
        <v>3601071.0999999996</v>
      </c>
      <c r="R80">
        <f>AVERAGEIF('Quarterly Data'!$B:$B,'Annual Data'!$A80,'Quarterly Data'!T:T)</f>
        <v>211.38405</v>
      </c>
      <c r="S80">
        <f>SUMIF('Quarterly Data'!$B:$B,'Annual Data'!$A80,'Quarterly Data'!U:U)</f>
        <v>1051772.5</v>
      </c>
      <c r="T80">
        <f>SUMIF('Quarterly Data'!$B:$B,'Annual Data'!$A80,'Quarterly Data'!V:V)</f>
        <v>383227.15</v>
      </c>
      <c r="U80">
        <f>SUMIF('Quarterly Data'!$B:$B,'Annual Data'!$A80,'Quarterly Data'!W:W)</f>
        <v>1185735.3</v>
      </c>
      <c r="V80">
        <f>SUMIF('Quarterly Data'!$B:$B,'Annual Data'!$A80,'Quarterly Data'!X:X)</f>
        <v>629670.29999999993</v>
      </c>
      <c r="W80">
        <f>SUMIF('Quarterly Data'!$B:$B,'Annual Data'!$A80,'Quarterly Data'!Y:Y)</f>
        <v>706880.7</v>
      </c>
      <c r="X80">
        <f>SUMIF('Quarterly Data'!$B:$B,'Annual Data'!$A80,'Quarterly Data'!Z:Z)</f>
        <v>410806.1</v>
      </c>
      <c r="Y80">
        <f>SUMIF('Quarterly Data'!$B:$B,'Annual Data'!$A80,'Quarterly Data'!AA:AA)</f>
        <v>3601069</v>
      </c>
      <c r="Z80">
        <f>AVERAGEIF('Quarterly Data'!$B:$B,'Annual Data'!$A80,'Quarterly Data'!AB:AB)</f>
        <v>38866.237500000003</v>
      </c>
      <c r="AA80">
        <f>AVERAGEIF('Quarterly Data'!$B:$B,'Annual Data'!$A80,'Quarterly Data'!AC:AC)</f>
        <v>31.959795000000003</v>
      </c>
      <c r="AB80">
        <f>AVERAGEIF('Quarterly Data'!$B:$B,'Annual Data'!$A80,'Quarterly Data'!AD:AD)</f>
        <v>704253.625</v>
      </c>
      <c r="AC80">
        <f>AVERAGEIF('Quarterly Data'!$B:$B,'Annual Data'!$A80,'Quarterly Data'!AE:AE)</f>
        <v>46665.770000000004</v>
      </c>
      <c r="AD80">
        <f>AVERAGEIF('Quarterly Data'!$B:$B,'Annual Data'!$A80,'Quarterly Data'!AF:AF)</f>
        <v>4897732.5</v>
      </c>
      <c r="AE80">
        <f>SUMIF('Quarterly Data'!$B:$B,'Annual Data'!$A80,'Quarterly Data'!AG:AG)</f>
        <v>-6.4583549999999992</v>
      </c>
    </row>
    <row r="81" spans="1:31" x14ac:dyDescent="0.25">
      <c r="A81">
        <v>2047</v>
      </c>
      <c r="B81">
        <f>SUMIF('Quarterly Data'!$B:$B,'Annual Data'!$A81,'Quarterly Data'!D:D)</f>
        <v>3621569.1999999997</v>
      </c>
      <c r="C81">
        <f>AVERAGEIF('Quarterly Data'!$B:$B,'Annual Data'!$A81,'Quarterly Data'!E:E)</f>
        <v>215.78312499999998</v>
      </c>
      <c r="D81">
        <f>SUMIF('Quarterly Data'!$B:$B,'Annual Data'!$A81,'Quarterly Data'!F:F)</f>
        <v>1112903.1000000001</v>
      </c>
      <c r="E81">
        <f>SUMIF('Quarterly Data'!$B:$B,'Annual Data'!$A81,'Quarterly Data'!G:G)</f>
        <v>367689.33</v>
      </c>
      <c r="F81">
        <f>SUMIF('Quarterly Data'!$B:$B,'Annual Data'!$A81,'Quarterly Data'!H:H)</f>
        <v>1242038.5</v>
      </c>
      <c r="G81">
        <f>SUMIF('Quarterly Data'!$B:$B,'Annual Data'!$A81,'Quarterly Data'!I:I)</f>
        <v>663707.80000000005</v>
      </c>
      <c r="H81">
        <f>SUMIF('Quarterly Data'!$B:$B,'Annual Data'!$A81,'Quarterly Data'!J:J)</f>
        <v>708263.79999999993</v>
      </c>
      <c r="I81">
        <f>SUMIF('Quarterly Data'!$B:$B,'Annual Data'!$A81,'Quarterly Data'!K:K)</f>
        <v>405642.80000000005</v>
      </c>
      <c r="J81">
        <f>SUMIF('Quarterly Data'!$B:$B,'Annual Data'!$A81,'Quarterly Data'!L:L)</f>
        <v>3621566.8000000003</v>
      </c>
      <c r="K81">
        <f>AVERAGEIF('Quarterly Data'!$B:$B,'Annual Data'!$A81,'Quarterly Data'!M:M)</f>
        <v>38962.052499999998</v>
      </c>
      <c r="L81">
        <f>AVERAGEIF('Quarterly Data'!$B:$B,'Annual Data'!$A81,'Quarterly Data'!N:N)</f>
        <v>31.956795</v>
      </c>
      <c r="M81">
        <f>AVERAGEIF('Quarterly Data'!$B:$B,'Annual Data'!$A81,'Quarterly Data'!O:O)</f>
        <v>706391</v>
      </c>
      <c r="N81">
        <f>AVERAGEIF('Quarterly Data'!$B:$B,'Annual Data'!$A81,'Quarterly Data'!P:P)</f>
        <v>46691.255000000005</v>
      </c>
      <c r="O81">
        <f>AVERAGEIF('Quarterly Data'!$B:$B,'Annual Data'!$A81,'Quarterly Data'!Q:Q)</f>
        <v>4901239.5</v>
      </c>
      <c r="P81">
        <f>SUMIF('Quarterly Data'!$B:$B,'Annual Data'!$A81,'Quarterly Data'!R:R)</f>
        <v>-6.4458130000000002</v>
      </c>
      <c r="Q81">
        <f>SUMIF('Quarterly Data'!$B:$B,'Annual Data'!$A81,'Quarterly Data'!S:S)</f>
        <v>3653246.1</v>
      </c>
      <c r="R81">
        <f>AVERAGEIF('Quarterly Data'!$B:$B,'Annual Data'!$A81,'Quarterly Data'!T:T)</f>
        <v>215.61175</v>
      </c>
      <c r="S81">
        <f>SUMIF('Quarterly Data'!$B:$B,'Annual Data'!$A81,'Quarterly Data'!U:U)</f>
        <v>1065679.3999999999</v>
      </c>
      <c r="T81">
        <f>SUMIF('Quarterly Data'!$B:$B,'Annual Data'!$A81,'Quarterly Data'!V:V)</f>
        <v>387526.04000000004</v>
      </c>
      <c r="U81">
        <f>SUMIF('Quarterly Data'!$B:$B,'Annual Data'!$A81,'Quarterly Data'!W:W)</f>
        <v>1202966.8999999999</v>
      </c>
      <c r="V81">
        <f>SUMIF('Quarterly Data'!$B:$B,'Annual Data'!$A81,'Quarterly Data'!X:X)</f>
        <v>638335.20000000007</v>
      </c>
      <c r="W81">
        <f>SUMIF('Quarterly Data'!$B:$B,'Annual Data'!$A81,'Quarterly Data'!Y:Y)</f>
        <v>720077.8</v>
      </c>
      <c r="X81">
        <f>SUMIF('Quarterly Data'!$B:$B,'Annual Data'!$A81,'Quarterly Data'!Z:Z)</f>
        <v>419088.6</v>
      </c>
      <c r="Y81">
        <f>SUMIF('Quarterly Data'!$B:$B,'Annual Data'!$A81,'Quarterly Data'!AA:AA)</f>
        <v>3653243.7</v>
      </c>
      <c r="Z81">
        <f>AVERAGEIF('Quarterly Data'!$B:$B,'Annual Data'!$A81,'Quarterly Data'!AB:AB)</f>
        <v>38962.052499999998</v>
      </c>
      <c r="AA81">
        <f>AVERAGEIF('Quarterly Data'!$B:$B,'Annual Data'!$A81,'Quarterly Data'!AC:AC)</f>
        <v>31.956795</v>
      </c>
      <c r="AB81">
        <f>AVERAGEIF('Quarterly Data'!$B:$B,'Annual Data'!$A81,'Quarterly Data'!AD:AD)</f>
        <v>706391</v>
      </c>
      <c r="AC81">
        <f>AVERAGEIF('Quarterly Data'!$B:$B,'Annual Data'!$A81,'Quarterly Data'!AE:AE)</f>
        <v>46691.255000000005</v>
      </c>
      <c r="AD81">
        <f>AVERAGEIF('Quarterly Data'!$B:$B,'Annual Data'!$A81,'Quarterly Data'!AF:AF)</f>
        <v>4995713.5</v>
      </c>
      <c r="AE81">
        <f>SUMIF('Quarterly Data'!$B:$B,'Annual Data'!$A81,'Quarterly Data'!AG:AG)</f>
        <v>-6.4377139999999997</v>
      </c>
    </row>
    <row r="82" spans="1:31" x14ac:dyDescent="0.25">
      <c r="A82">
        <v>2048</v>
      </c>
      <c r="B82">
        <f>SUMIF('Quarterly Data'!$B:$B,'Annual Data'!$A82,'Quarterly Data'!D:D)</f>
        <v>3673146.7</v>
      </c>
      <c r="C82">
        <f>AVERAGEIF('Quarterly Data'!$B:$B,'Annual Data'!$A82,'Quarterly Data'!E:E)</f>
        <v>220.09877499999999</v>
      </c>
      <c r="D82">
        <f>SUMIF('Quarterly Data'!$B:$B,'Annual Data'!$A82,'Quarterly Data'!F:F)</f>
        <v>1127624.5999999999</v>
      </c>
      <c r="E82">
        <f>SUMIF('Quarterly Data'!$B:$B,'Annual Data'!$A82,'Quarterly Data'!G:G)</f>
        <v>371723.33999999997</v>
      </c>
      <c r="F82">
        <f>SUMIF('Quarterly Data'!$B:$B,'Annual Data'!$A82,'Quarterly Data'!H:H)</f>
        <v>1259961.5</v>
      </c>
      <c r="G82">
        <f>SUMIF('Quarterly Data'!$B:$B,'Annual Data'!$A82,'Quarterly Data'!I:I)</f>
        <v>672677.4</v>
      </c>
      <c r="H82">
        <f>SUMIF('Quarterly Data'!$B:$B,'Annual Data'!$A82,'Quarterly Data'!J:J)</f>
        <v>721464.5</v>
      </c>
      <c r="I82">
        <f>SUMIF('Quarterly Data'!$B:$B,'Annual Data'!$A82,'Quarterly Data'!K:K)</f>
        <v>413885.19999999995</v>
      </c>
      <c r="J82">
        <f>SUMIF('Quarterly Data'!$B:$B,'Annual Data'!$A82,'Quarterly Data'!L:L)</f>
        <v>3673146.1</v>
      </c>
      <c r="K82">
        <f>AVERAGEIF('Quarterly Data'!$B:$B,'Annual Data'!$A82,'Quarterly Data'!M:M)</f>
        <v>39045.97</v>
      </c>
      <c r="L82">
        <f>AVERAGEIF('Quarterly Data'!$B:$B,'Annual Data'!$A82,'Quarterly Data'!N:N)</f>
        <v>31.953795000000003</v>
      </c>
      <c r="M82">
        <f>AVERAGEIF('Quarterly Data'!$B:$B,'Annual Data'!$A82,'Quarterly Data'!O:O)</f>
        <v>708410.57500000007</v>
      </c>
      <c r="N82">
        <f>AVERAGEIF('Quarterly Data'!$B:$B,'Annual Data'!$A82,'Quarterly Data'!P:P)</f>
        <v>46710.904999999999</v>
      </c>
      <c r="O82">
        <f>AVERAGEIF('Quarterly Data'!$B:$B,'Annual Data'!$A82,'Quarterly Data'!Q:Q)</f>
        <v>4999101.5</v>
      </c>
      <c r="P82">
        <f>SUMIF('Quarterly Data'!$B:$B,'Annual Data'!$A82,'Quarterly Data'!R:R)</f>
        <v>-6.425211</v>
      </c>
      <c r="Q82">
        <f>SUMIF('Quarterly Data'!$B:$B,'Annual Data'!$A82,'Quarterly Data'!S:S)</f>
        <v>3705197.5</v>
      </c>
      <c r="R82">
        <f>AVERAGEIF('Quarterly Data'!$B:$B,'Annual Data'!$A82,'Quarterly Data'!T:T)</f>
        <v>219.92399999999998</v>
      </c>
      <c r="S82">
        <f>SUMIF('Quarterly Data'!$B:$B,'Annual Data'!$A82,'Quarterly Data'!U:U)</f>
        <v>1079523.2999999998</v>
      </c>
      <c r="T82">
        <f>SUMIF('Quarterly Data'!$B:$B,'Annual Data'!$A82,'Quarterly Data'!V:V)</f>
        <v>391769.51</v>
      </c>
      <c r="U82">
        <f>SUMIF('Quarterly Data'!$B:$B,'Annual Data'!$A82,'Quarterly Data'!W:W)</f>
        <v>1220179.2000000002</v>
      </c>
      <c r="V82">
        <f>SUMIF('Quarterly Data'!$B:$B,'Annual Data'!$A82,'Quarterly Data'!X:X)</f>
        <v>646948.30000000005</v>
      </c>
      <c r="W82">
        <f>SUMIF('Quarterly Data'!$B:$B,'Annual Data'!$A82,'Quarterly Data'!Y:Y)</f>
        <v>733330.3</v>
      </c>
      <c r="X82">
        <f>SUMIF('Quarterly Data'!$B:$B,'Annual Data'!$A82,'Quarterly Data'!Z:Z)</f>
        <v>427425</v>
      </c>
      <c r="Y82">
        <f>SUMIF('Quarterly Data'!$B:$B,'Annual Data'!$A82,'Quarterly Data'!AA:AA)</f>
        <v>3705196.4</v>
      </c>
      <c r="Z82">
        <f>AVERAGEIF('Quarterly Data'!$B:$B,'Annual Data'!$A82,'Quarterly Data'!AB:AB)</f>
        <v>39045.97</v>
      </c>
      <c r="AA82">
        <f>AVERAGEIF('Quarterly Data'!$B:$B,'Annual Data'!$A82,'Quarterly Data'!AC:AC)</f>
        <v>31.953795000000003</v>
      </c>
      <c r="AB82">
        <f>AVERAGEIF('Quarterly Data'!$B:$B,'Annual Data'!$A82,'Quarterly Data'!AD:AD)</f>
        <v>708410.57500000007</v>
      </c>
      <c r="AC82">
        <f>AVERAGEIF('Quarterly Data'!$B:$B,'Annual Data'!$A82,'Quarterly Data'!AE:AE)</f>
        <v>46710.904999999999</v>
      </c>
      <c r="AD82">
        <f>AVERAGEIF('Quarterly Data'!$B:$B,'Annual Data'!$A82,'Quarterly Data'!AF:AF)</f>
        <v>5095181</v>
      </c>
      <c r="AE82">
        <f>SUMIF('Quarterly Data'!$B:$B,'Annual Data'!$A82,'Quarterly Data'!AG:AG)</f>
        <v>-6.4171379999999996</v>
      </c>
    </row>
    <row r="83" spans="1:31" x14ac:dyDescent="0.25">
      <c r="A83">
        <v>2049</v>
      </c>
      <c r="B83">
        <f>SUMIF('Quarterly Data'!$B:$B,'Annual Data'!$A83,'Quarterly Data'!D:D)</f>
        <v>3724712.7</v>
      </c>
      <c r="C83">
        <f>AVERAGEIF('Quarterly Data'!$B:$B,'Annual Data'!$A83,'Quarterly Data'!E:E)</f>
        <v>224.50075000000001</v>
      </c>
      <c r="D83">
        <f>SUMIF('Quarterly Data'!$B:$B,'Annual Data'!$A83,'Quarterly Data'!F:F)</f>
        <v>1142347</v>
      </c>
      <c r="E83">
        <f>SUMIF('Quarterly Data'!$B:$B,'Annual Data'!$A83,'Quarterly Data'!G:G)</f>
        <v>375726.28</v>
      </c>
      <c r="F83">
        <f>SUMIF('Quarterly Data'!$B:$B,'Annual Data'!$A83,'Quarterly Data'!H:H)</f>
        <v>1277930</v>
      </c>
      <c r="G83">
        <f>SUMIF('Quarterly Data'!$B:$B,'Annual Data'!$A83,'Quarterly Data'!I:I)</f>
        <v>681631.5</v>
      </c>
      <c r="H83">
        <f>SUMIF('Quarterly Data'!$B:$B,'Annual Data'!$A83,'Quarterly Data'!J:J)</f>
        <v>734768.3</v>
      </c>
      <c r="I83">
        <f>SUMIF('Quarterly Data'!$B:$B,'Annual Data'!$A83,'Quarterly Data'!K:K)</f>
        <v>422210.7</v>
      </c>
      <c r="J83">
        <f>SUMIF('Quarterly Data'!$B:$B,'Annual Data'!$A83,'Quarterly Data'!L:L)</f>
        <v>3724711</v>
      </c>
      <c r="K83">
        <f>AVERAGEIF('Quarterly Data'!$B:$B,'Annual Data'!$A83,'Quarterly Data'!M:M)</f>
        <v>39120.942499999997</v>
      </c>
      <c r="L83">
        <f>AVERAGEIF('Quarterly Data'!$B:$B,'Annual Data'!$A83,'Quarterly Data'!N:N)</f>
        <v>31.950794999999999</v>
      </c>
      <c r="M83">
        <f>AVERAGEIF('Quarterly Data'!$B:$B,'Annual Data'!$A83,'Quarterly Data'!O:O)</f>
        <v>710276.60000000009</v>
      </c>
      <c r="N83">
        <f>AVERAGEIF('Quarterly Data'!$B:$B,'Annual Data'!$A83,'Quarterly Data'!P:P)</f>
        <v>46722.409999999996</v>
      </c>
      <c r="O83">
        <f>AVERAGEIF('Quarterly Data'!$B:$B,'Annual Data'!$A83,'Quarterly Data'!Q:Q)</f>
        <v>5098643.25</v>
      </c>
      <c r="P83">
        <f>SUMIF('Quarterly Data'!$B:$B,'Annual Data'!$A83,'Quarterly Data'!R:R)</f>
        <v>-6.4046750000000001</v>
      </c>
      <c r="Q83">
        <f>SUMIF('Quarterly Data'!$B:$B,'Annual Data'!$A83,'Quarterly Data'!S:S)</f>
        <v>3757063.3</v>
      </c>
      <c r="R83">
        <f>AVERAGEIF('Quarterly Data'!$B:$B,'Annual Data'!$A83,'Quarterly Data'!T:T)</f>
        <v>224.32245</v>
      </c>
      <c r="S83">
        <f>SUMIF('Quarterly Data'!$B:$B,'Annual Data'!$A83,'Quarterly Data'!U:U)</f>
        <v>1093343.1000000001</v>
      </c>
      <c r="T83">
        <f>SUMIF('Quarterly Data'!$B:$B,'Annual Data'!$A83,'Quarterly Data'!V:V)</f>
        <v>395972.49</v>
      </c>
      <c r="U83">
        <f>SUMIF('Quarterly Data'!$B:$B,'Annual Data'!$A83,'Quarterly Data'!W:W)</f>
        <v>1237413.7000000002</v>
      </c>
      <c r="V83">
        <f>SUMIF('Quarterly Data'!$B:$B,'Annual Data'!$A83,'Quarterly Data'!X:X)</f>
        <v>655533.89999999991</v>
      </c>
      <c r="W83">
        <f>SUMIF('Quarterly Data'!$B:$B,'Annual Data'!$A83,'Quarterly Data'!Y:Y)</f>
        <v>746666.89999999991</v>
      </c>
      <c r="X83">
        <f>SUMIF('Quarterly Data'!$B:$B,'Annual Data'!$A83,'Quarterly Data'!Z:Z)</f>
        <v>435831.89999999997</v>
      </c>
      <c r="Y83">
        <f>SUMIF('Quarterly Data'!$B:$B,'Annual Data'!$A83,'Quarterly Data'!AA:AA)</f>
        <v>3757063.3</v>
      </c>
      <c r="Z83">
        <f>AVERAGEIF('Quarterly Data'!$B:$B,'Annual Data'!$A83,'Quarterly Data'!AB:AB)</f>
        <v>39120.942499999997</v>
      </c>
      <c r="AA83">
        <f>AVERAGEIF('Quarterly Data'!$B:$B,'Annual Data'!$A83,'Quarterly Data'!AC:AC)</f>
        <v>31.950794999999999</v>
      </c>
      <c r="AB83">
        <f>AVERAGEIF('Quarterly Data'!$B:$B,'Annual Data'!$A83,'Quarterly Data'!AD:AD)</f>
        <v>710276.60000000009</v>
      </c>
      <c r="AC83">
        <f>AVERAGEIF('Quarterly Data'!$B:$B,'Annual Data'!$A83,'Quarterly Data'!AE:AE)</f>
        <v>46722.409999999996</v>
      </c>
      <c r="AD83">
        <f>AVERAGEIF('Quarterly Data'!$B:$B,'Annual Data'!$A83,'Quarterly Data'!AF:AF)</f>
        <v>5196070.25</v>
      </c>
      <c r="AE83">
        <f>SUMIF('Quarterly Data'!$B:$B,'Annual Data'!$A83,'Quarterly Data'!AG:AG)</f>
        <v>-6.3966269999999996</v>
      </c>
    </row>
    <row r="84" spans="1:31" x14ac:dyDescent="0.25">
      <c r="A84">
        <v>2050</v>
      </c>
      <c r="B84">
        <f>SUMIF('Quarterly Data'!$B:$B,'Annual Data'!$A84,'Quarterly Data'!D:D)</f>
        <v>3775776</v>
      </c>
      <c r="C84">
        <f>AVERAGEIF('Quarterly Data'!$B:$B,'Annual Data'!$A84,'Quarterly Data'!E:E)</f>
        <v>228.99077500000001</v>
      </c>
      <c r="D84">
        <f>SUMIF('Quarterly Data'!$B:$B,'Annual Data'!$A84,'Quarterly Data'!F:F)</f>
        <v>1156932</v>
      </c>
      <c r="E84">
        <f>SUMIF('Quarterly Data'!$B:$B,'Annual Data'!$A84,'Quarterly Data'!G:G)</f>
        <v>379658.36</v>
      </c>
      <c r="F84">
        <f>SUMIF('Quarterly Data'!$B:$B,'Annual Data'!$A84,'Quarterly Data'!H:H)</f>
        <v>1295922.8999999999</v>
      </c>
      <c r="G84">
        <f>SUMIF('Quarterly Data'!$B:$B,'Annual Data'!$A84,'Quarterly Data'!I:I)</f>
        <v>690618.40000000014</v>
      </c>
      <c r="H84">
        <f>SUMIF('Quarterly Data'!$B:$B,'Annual Data'!$A84,'Quarterly Data'!J:J)</f>
        <v>747863.8</v>
      </c>
      <c r="I84">
        <f>SUMIF('Quarterly Data'!$B:$B,'Annual Data'!$A84,'Quarterly Data'!K:K)</f>
        <v>430349.1</v>
      </c>
      <c r="J84">
        <f>SUMIF('Quarterly Data'!$B:$B,'Annual Data'!$A84,'Quarterly Data'!L:L)</f>
        <v>3775772.8</v>
      </c>
      <c r="K84">
        <f>AVERAGEIF('Quarterly Data'!$B:$B,'Annual Data'!$A84,'Quarterly Data'!M:M)</f>
        <v>39180.224999999999</v>
      </c>
      <c r="L84">
        <f>AVERAGEIF('Quarterly Data'!$B:$B,'Annual Data'!$A84,'Quarterly Data'!N:N)</f>
        <v>31.947795000000003</v>
      </c>
      <c r="M84">
        <f>AVERAGEIF('Quarterly Data'!$B:$B,'Annual Data'!$A84,'Quarterly Data'!O:O)</f>
        <v>711738.6</v>
      </c>
      <c r="N84">
        <f>AVERAGEIF('Quarterly Data'!$B:$B,'Annual Data'!$A84,'Quarterly Data'!P:P)</f>
        <v>46709.682499999995</v>
      </c>
      <c r="O84">
        <f>AVERAGEIF('Quarterly Data'!$B:$B,'Annual Data'!$A84,'Quarterly Data'!Q:Q)</f>
        <v>5199644.25</v>
      </c>
      <c r="P84">
        <f>SUMIF('Quarterly Data'!$B:$B,'Annual Data'!$A84,'Quarterly Data'!R:R)</f>
        <v>-6.3842050000000006</v>
      </c>
      <c r="Q84">
        <f>SUMIF('Quarterly Data'!$B:$B,'Annual Data'!$A84,'Quarterly Data'!S:S)</f>
        <v>3808353.4000000004</v>
      </c>
      <c r="R84">
        <f>AVERAGEIF('Quarterly Data'!$B:$B,'Annual Data'!$A84,'Quarterly Data'!T:T)</f>
        <v>228.80889999999999</v>
      </c>
      <c r="S84">
        <f>SUMIF('Quarterly Data'!$B:$B,'Annual Data'!$A84,'Quarterly Data'!U:U)</f>
        <v>1107010.2</v>
      </c>
      <c r="T84">
        <f>SUMIF('Quarterly Data'!$B:$B,'Annual Data'!$A84,'Quarterly Data'!V:V)</f>
        <v>400093.68999999994</v>
      </c>
      <c r="U84">
        <f>SUMIF('Quarterly Data'!$B:$B,'Annual Data'!$A84,'Quarterly Data'!W:W)</f>
        <v>1254651.3999999999</v>
      </c>
      <c r="V84">
        <f>SUMIF('Quarterly Data'!$B:$B,'Annual Data'!$A84,'Quarterly Data'!X:X)</f>
        <v>664139</v>
      </c>
      <c r="W84">
        <f>SUMIF('Quarterly Data'!$B:$B,'Annual Data'!$A84,'Quarterly Data'!Y:Y)</f>
        <v>759823.7</v>
      </c>
      <c r="X84">
        <f>SUMIF('Quarterly Data'!$B:$B,'Annual Data'!$A84,'Quarterly Data'!Z:Z)</f>
        <v>444086.10000000003</v>
      </c>
      <c r="Y84">
        <f>SUMIF('Quarterly Data'!$B:$B,'Annual Data'!$A84,'Quarterly Data'!AA:AA)</f>
        <v>3808355.3000000003</v>
      </c>
      <c r="Z84">
        <f>AVERAGEIF('Quarterly Data'!$B:$B,'Annual Data'!$A84,'Quarterly Data'!AB:AB)</f>
        <v>39180.224999999999</v>
      </c>
      <c r="AA84">
        <f>AVERAGEIF('Quarterly Data'!$B:$B,'Annual Data'!$A84,'Quarterly Data'!AC:AC)</f>
        <v>31.947795000000003</v>
      </c>
      <c r="AB84">
        <f>AVERAGEIF('Quarterly Data'!$B:$B,'Annual Data'!$A84,'Quarterly Data'!AD:AD)</f>
        <v>711738.6</v>
      </c>
      <c r="AC84">
        <f>AVERAGEIF('Quarterly Data'!$B:$B,'Annual Data'!$A84,'Quarterly Data'!AE:AE)</f>
        <v>46709.682499999995</v>
      </c>
      <c r="AD84">
        <f>AVERAGEIF('Quarterly Data'!$B:$B,'Annual Data'!$A84,'Quarterly Data'!AF:AF)</f>
        <v>5298187</v>
      </c>
      <c r="AE84">
        <f>SUMIF('Quarterly Data'!$B:$B,'Annual Data'!$A84,'Quarterly Data'!AG:AG)</f>
        <v>-6.376183000000001</v>
      </c>
    </row>
    <row r="85" spans="1:31" x14ac:dyDescent="0.25">
      <c r="A85">
        <v>2051</v>
      </c>
      <c r="B85">
        <f>SUMIF('Quarterly Data'!$B:$B,'Annual Data'!$A85,'Quarterly Data'!D:D)</f>
        <v>3826750.9</v>
      </c>
      <c r="C85">
        <f>AVERAGEIF('Quarterly Data'!$B:$B,'Annual Data'!$A85,'Quarterly Data'!E:E)</f>
        <v>233.57057500000002</v>
      </c>
      <c r="D85">
        <f>SUMIF('Quarterly Data'!$B:$B,'Annual Data'!$A85,'Quarterly Data'!F:F)</f>
        <v>1171501</v>
      </c>
      <c r="E85">
        <f>SUMIF('Quarterly Data'!$B:$B,'Annual Data'!$A85,'Quarterly Data'!G:G)</f>
        <v>383558.25</v>
      </c>
      <c r="F85">
        <f>SUMIF('Quarterly Data'!$B:$B,'Annual Data'!$A85,'Quarterly Data'!H:H)</f>
        <v>1314021.3</v>
      </c>
      <c r="G85">
        <f>SUMIF('Quarterly Data'!$B:$B,'Annual Data'!$A85,'Quarterly Data'!I:I)</f>
        <v>699663.2</v>
      </c>
      <c r="H85">
        <f>SUMIF('Quarterly Data'!$B:$B,'Annual Data'!$A85,'Quarterly Data'!J:J)</f>
        <v>760909.1</v>
      </c>
      <c r="I85">
        <f>SUMIF('Quarterly Data'!$B:$B,'Annual Data'!$A85,'Quarterly Data'!K:K)</f>
        <v>438423.80000000005</v>
      </c>
      <c r="J85">
        <f>SUMIF('Quarterly Data'!$B:$B,'Annual Data'!$A85,'Quarterly Data'!L:L)</f>
        <v>3826748.4000000004</v>
      </c>
      <c r="K85">
        <f>AVERAGEIF('Quarterly Data'!$B:$B,'Annual Data'!$A85,'Quarterly Data'!M:M)</f>
        <v>39231.9925</v>
      </c>
      <c r="L85">
        <f>AVERAGEIF('Quarterly Data'!$B:$B,'Annual Data'!$A85,'Quarterly Data'!N:N)</f>
        <v>31.944794999999999</v>
      </c>
      <c r="M85">
        <f>AVERAGEIF('Quarterly Data'!$B:$B,'Annual Data'!$A85,'Quarterly Data'!O:O)</f>
        <v>713023.65</v>
      </c>
      <c r="N85">
        <f>AVERAGEIF('Quarterly Data'!$B:$B,'Annual Data'!$A85,'Quarterly Data'!P:P)</f>
        <v>46687.09</v>
      </c>
      <c r="O85">
        <f>AVERAGEIF('Quarterly Data'!$B:$B,'Annual Data'!$A85,'Quarterly Data'!Q:Q)</f>
        <v>5301831.25</v>
      </c>
      <c r="P85">
        <f>SUMIF('Quarterly Data'!$B:$B,'Annual Data'!$A85,'Quarterly Data'!R:R)</f>
        <v>-6.3637999999999995</v>
      </c>
      <c r="Q85">
        <f>SUMIF('Quarterly Data'!$B:$B,'Annual Data'!$A85,'Quarterly Data'!S:S)</f>
        <v>3859502.5</v>
      </c>
      <c r="R85">
        <f>AVERAGEIF('Quarterly Data'!$B:$B,'Annual Data'!$A85,'Quarterly Data'!T:T)</f>
        <v>233.385075</v>
      </c>
      <c r="S85">
        <f>SUMIF('Quarterly Data'!$B:$B,'Annual Data'!$A85,'Quarterly Data'!U:U)</f>
        <v>1120643.8999999999</v>
      </c>
      <c r="T85">
        <f>SUMIF('Quarterly Data'!$B:$B,'Annual Data'!$A85,'Quarterly Data'!V:V)</f>
        <v>404175.6</v>
      </c>
      <c r="U85">
        <f>SUMIF('Quarterly Data'!$B:$B,'Annual Data'!$A85,'Quarterly Data'!W:W)</f>
        <v>1271974.3</v>
      </c>
      <c r="V85">
        <f>SUMIF('Quarterly Data'!$B:$B,'Annual Data'!$A85,'Quarterly Data'!X:X)</f>
        <v>672790.7</v>
      </c>
      <c r="W85">
        <f>SUMIF('Quarterly Data'!$B:$B,'Annual Data'!$A85,'Quarterly Data'!Y:Y)</f>
        <v>772946.7</v>
      </c>
      <c r="X85">
        <f>SUMIF('Quarterly Data'!$B:$B,'Annual Data'!$A85,'Quarterly Data'!Z:Z)</f>
        <v>452297.60000000003</v>
      </c>
      <c r="Y85">
        <f>SUMIF('Quarterly Data'!$B:$B,'Annual Data'!$A85,'Quarterly Data'!AA:AA)</f>
        <v>3859500.9</v>
      </c>
      <c r="Z85">
        <f>AVERAGEIF('Quarterly Data'!$B:$B,'Annual Data'!$A85,'Quarterly Data'!AB:AB)</f>
        <v>39231.9925</v>
      </c>
      <c r="AA85">
        <f>AVERAGEIF('Quarterly Data'!$B:$B,'Annual Data'!$A85,'Quarterly Data'!AC:AC)</f>
        <v>31.944794999999999</v>
      </c>
      <c r="AB85">
        <f>AVERAGEIF('Quarterly Data'!$B:$B,'Annual Data'!$A85,'Quarterly Data'!AD:AD)</f>
        <v>713023.65</v>
      </c>
      <c r="AC85">
        <f>AVERAGEIF('Quarterly Data'!$B:$B,'Annual Data'!$A85,'Quarterly Data'!AE:AE)</f>
        <v>46687.09</v>
      </c>
      <c r="AD85">
        <f>AVERAGEIF('Quarterly Data'!$B:$B,'Annual Data'!$A85,'Quarterly Data'!AF:AF)</f>
        <v>5401305.5</v>
      </c>
      <c r="AE85">
        <f>SUMIF('Quarterly Data'!$B:$B,'Annual Data'!$A85,'Quarterly Data'!AG:AG)</f>
        <v>-6.3558039999999991</v>
      </c>
    </row>
    <row r="86" spans="1:31" x14ac:dyDescent="0.25">
      <c r="A86">
        <v>2052</v>
      </c>
      <c r="B86">
        <f>SUMIF('Quarterly Data'!$B:$B,'Annual Data'!$A86,'Quarterly Data'!D:D)</f>
        <v>3877404.2</v>
      </c>
      <c r="C86">
        <f>AVERAGEIF('Quarterly Data'!$B:$B,'Annual Data'!$A86,'Quarterly Data'!E:E)</f>
        <v>238.24200000000002</v>
      </c>
      <c r="D86">
        <f>SUMIF('Quarterly Data'!$B:$B,'Annual Data'!$A86,'Quarterly Data'!F:F)</f>
        <v>1185978</v>
      </c>
      <c r="E86">
        <f>SUMIF('Quarterly Data'!$B:$B,'Annual Data'!$A86,'Quarterly Data'!G:G)</f>
        <v>387397.23</v>
      </c>
      <c r="F86">
        <f>SUMIF('Quarterly Data'!$B:$B,'Annual Data'!$A86,'Quarterly Data'!H:H)</f>
        <v>1332074.3999999999</v>
      </c>
      <c r="G86">
        <f>SUMIF('Quarterly Data'!$B:$B,'Annual Data'!$A86,'Quarterly Data'!I:I)</f>
        <v>708641.79999999993</v>
      </c>
      <c r="H86">
        <f>SUMIF('Quarterly Data'!$B:$B,'Annual Data'!$A86,'Quarterly Data'!J:J)</f>
        <v>773983.7</v>
      </c>
      <c r="I86">
        <f>SUMIF('Quarterly Data'!$B:$B,'Annual Data'!$A86,'Quarterly Data'!K:K)</f>
        <v>446534</v>
      </c>
      <c r="J86">
        <f>SUMIF('Quarterly Data'!$B:$B,'Annual Data'!$A86,'Quarterly Data'!L:L)</f>
        <v>3877403.7</v>
      </c>
      <c r="K86">
        <f>AVERAGEIF('Quarterly Data'!$B:$B,'Annual Data'!$A86,'Quarterly Data'!M:M)</f>
        <v>39272.707500000004</v>
      </c>
      <c r="L86">
        <f>AVERAGEIF('Quarterly Data'!$B:$B,'Annual Data'!$A86,'Quarterly Data'!N:N)</f>
        <v>31.941795000000003</v>
      </c>
      <c r="M86">
        <f>AVERAGEIF('Quarterly Data'!$B:$B,'Annual Data'!$A86,'Quarterly Data'!O:O)</f>
        <v>714092.00000000012</v>
      </c>
      <c r="N86">
        <f>AVERAGEIF('Quarterly Data'!$B:$B,'Annual Data'!$A86,'Quarterly Data'!P:P)</f>
        <v>46650.847500000003</v>
      </c>
      <c r="O86">
        <f>AVERAGEIF('Quarterly Data'!$B:$B,'Annual Data'!$A86,'Quarterly Data'!Q:Q)</f>
        <v>5405153.75</v>
      </c>
      <c r="P86">
        <f>SUMIF('Quarterly Data'!$B:$B,'Annual Data'!$A86,'Quarterly Data'!R:R)</f>
        <v>-6.3434600000000003</v>
      </c>
      <c r="Q86">
        <f>SUMIF('Quarterly Data'!$B:$B,'Annual Data'!$A86,'Quarterly Data'!S:S)</f>
        <v>3910278</v>
      </c>
      <c r="R86">
        <f>AVERAGEIF('Quarterly Data'!$B:$B,'Annual Data'!$A86,'Quarterly Data'!T:T)</f>
        <v>238.052775</v>
      </c>
      <c r="S86">
        <f>SUMIF('Quarterly Data'!$B:$B,'Annual Data'!$A86,'Quarterly Data'!U:U)</f>
        <v>1134173</v>
      </c>
      <c r="T86">
        <f>SUMIF('Quarterly Data'!$B:$B,'Annual Data'!$A86,'Quarterly Data'!V:V)</f>
        <v>408188.5</v>
      </c>
      <c r="U86">
        <f>SUMIF('Quarterly Data'!$B:$B,'Annual Data'!$A86,'Quarterly Data'!W:W)</f>
        <v>1289238.8999999999</v>
      </c>
      <c r="V86">
        <f>SUMIF('Quarterly Data'!$B:$B,'Annual Data'!$A86,'Quarterly Data'!X:X)</f>
        <v>681370.1</v>
      </c>
      <c r="W86">
        <f>SUMIF('Quarterly Data'!$B:$B,'Annual Data'!$A86,'Quarterly Data'!Y:Y)</f>
        <v>786085.8</v>
      </c>
      <c r="X86">
        <f>SUMIF('Quarterly Data'!$B:$B,'Annual Data'!$A86,'Quarterly Data'!Z:Z)</f>
        <v>460536</v>
      </c>
      <c r="Y86">
        <f>SUMIF('Quarterly Data'!$B:$B,'Annual Data'!$A86,'Quarterly Data'!AA:AA)</f>
        <v>3910278.4</v>
      </c>
      <c r="Z86">
        <f>AVERAGEIF('Quarterly Data'!$B:$B,'Annual Data'!$A86,'Quarterly Data'!AB:AB)</f>
        <v>39272.707500000004</v>
      </c>
      <c r="AA86">
        <f>AVERAGEIF('Quarterly Data'!$B:$B,'Annual Data'!$A86,'Quarterly Data'!AC:AC)</f>
        <v>31.941795000000003</v>
      </c>
      <c r="AB86">
        <f>AVERAGEIF('Quarterly Data'!$B:$B,'Annual Data'!$A86,'Quarterly Data'!AD:AD)</f>
        <v>714092.00000000012</v>
      </c>
      <c r="AC86">
        <f>AVERAGEIF('Quarterly Data'!$B:$B,'Annual Data'!$A86,'Quarterly Data'!AE:AE)</f>
        <v>46650.847500000003</v>
      </c>
      <c r="AD86">
        <f>AVERAGEIF('Quarterly Data'!$B:$B,'Annual Data'!$A86,'Quarterly Data'!AF:AF)</f>
        <v>5505372.75</v>
      </c>
      <c r="AE86">
        <f>SUMIF('Quarterly Data'!$B:$B,'Annual Data'!$A86,'Quarterly Data'!AG:AG)</f>
        <v>-6.3354889999999999</v>
      </c>
    </row>
    <row r="87" spans="1:31" x14ac:dyDescent="0.25">
      <c r="A87">
        <v>2053</v>
      </c>
      <c r="B87">
        <f>SUMIF('Quarterly Data'!$B:$B,'Annual Data'!$A87,'Quarterly Data'!D:D)</f>
        <v>3927423.8</v>
      </c>
      <c r="C87">
        <f>AVERAGEIF('Quarterly Data'!$B:$B,'Annual Data'!$A87,'Quarterly Data'!E:E)</f>
        <v>243.00682500000002</v>
      </c>
      <c r="D87">
        <f>SUMIF('Quarterly Data'!$B:$B,'Annual Data'!$A87,'Quarterly Data'!F:F)</f>
        <v>1200269.9000000001</v>
      </c>
      <c r="E87">
        <f>SUMIF('Quarterly Data'!$B:$B,'Annual Data'!$A87,'Quarterly Data'!G:G)</f>
        <v>391144.64</v>
      </c>
      <c r="F87">
        <f>SUMIF('Quarterly Data'!$B:$B,'Annual Data'!$A87,'Quarterly Data'!H:H)</f>
        <v>1349983.6</v>
      </c>
      <c r="G87">
        <f>SUMIF('Quarterly Data'!$B:$B,'Annual Data'!$A87,'Quarterly Data'!I:I)</f>
        <v>717497.20000000007</v>
      </c>
      <c r="H87">
        <f>SUMIF('Quarterly Data'!$B:$B,'Annual Data'!$A87,'Quarterly Data'!J:J)</f>
        <v>787025.1</v>
      </c>
      <c r="I87">
        <f>SUMIF('Quarterly Data'!$B:$B,'Annual Data'!$A87,'Quarterly Data'!K:K)</f>
        <v>454643.20000000001</v>
      </c>
      <c r="J87">
        <f>SUMIF('Quarterly Data'!$B:$B,'Annual Data'!$A87,'Quarterly Data'!L:L)</f>
        <v>3927421</v>
      </c>
      <c r="K87">
        <f>AVERAGEIF('Quarterly Data'!$B:$B,'Annual Data'!$A87,'Quarterly Data'!M:M)</f>
        <v>39298.525000000001</v>
      </c>
      <c r="L87">
        <f>AVERAGEIF('Quarterly Data'!$B:$B,'Annual Data'!$A87,'Quarterly Data'!N:N)</f>
        <v>31.938794999999999</v>
      </c>
      <c r="M87">
        <f>AVERAGEIF('Quarterly Data'!$B:$B,'Annual Data'!$A87,'Quarterly Data'!O:O)</f>
        <v>714847.95</v>
      </c>
      <c r="N87">
        <f>AVERAGEIF('Quarterly Data'!$B:$B,'Annual Data'!$A87,'Quarterly Data'!P:P)</f>
        <v>46595.360000000001</v>
      </c>
      <c r="O87">
        <f>AVERAGEIF('Quarterly Data'!$B:$B,'Annual Data'!$A87,'Quarterly Data'!Q:Q)</f>
        <v>5509503</v>
      </c>
      <c r="P87">
        <f>SUMIF('Quarterly Data'!$B:$B,'Annual Data'!$A87,'Quarterly Data'!R:R)</f>
        <v>-6.3231849999999996</v>
      </c>
      <c r="Q87">
        <f>SUMIF('Quarterly Data'!$B:$B,'Annual Data'!$A87,'Quarterly Data'!S:S)</f>
        <v>3960365.8</v>
      </c>
      <c r="R87">
        <f>AVERAGEIF('Quarterly Data'!$B:$B,'Annual Data'!$A87,'Quarterly Data'!T:T)</f>
        <v>242.81385</v>
      </c>
      <c r="S87">
        <f>SUMIF('Quarterly Data'!$B:$B,'Annual Data'!$A87,'Quarterly Data'!U:U)</f>
        <v>1147508</v>
      </c>
      <c r="T87">
        <f>SUMIF('Quarterly Data'!$B:$B,'Annual Data'!$A87,'Quarterly Data'!V:V)</f>
        <v>412100</v>
      </c>
      <c r="U87">
        <f>SUMIF('Quarterly Data'!$B:$B,'Annual Data'!$A87,'Quarterly Data'!W:W)</f>
        <v>1306351.3999999999</v>
      </c>
      <c r="V87">
        <f>SUMIF('Quarterly Data'!$B:$B,'Annual Data'!$A87,'Quarterly Data'!X:X)</f>
        <v>689822.9</v>
      </c>
      <c r="W87">
        <f>SUMIF('Quarterly Data'!$B:$B,'Annual Data'!$A87,'Quarterly Data'!Y:Y)</f>
        <v>799178</v>
      </c>
      <c r="X87">
        <f>SUMIF('Quarterly Data'!$B:$B,'Annual Data'!$A87,'Quarterly Data'!Z:Z)</f>
        <v>468764.10000000003</v>
      </c>
      <c r="Y87">
        <f>SUMIF('Quarterly Data'!$B:$B,'Annual Data'!$A87,'Quarterly Data'!AA:AA)</f>
        <v>3960365.7</v>
      </c>
      <c r="Z87">
        <f>AVERAGEIF('Quarterly Data'!$B:$B,'Annual Data'!$A87,'Quarterly Data'!AB:AB)</f>
        <v>39298.525000000001</v>
      </c>
      <c r="AA87">
        <f>AVERAGEIF('Quarterly Data'!$B:$B,'Annual Data'!$A87,'Quarterly Data'!AC:AC)</f>
        <v>31.938794999999999</v>
      </c>
      <c r="AB87">
        <f>AVERAGEIF('Quarterly Data'!$B:$B,'Annual Data'!$A87,'Quarterly Data'!AD:AD)</f>
        <v>714847.95</v>
      </c>
      <c r="AC87">
        <f>AVERAGEIF('Quarterly Data'!$B:$B,'Annual Data'!$A87,'Quarterly Data'!AE:AE)</f>
        <v>46595.360000000001</v>
      </c>
      <c r="AD87">
        <f>AVERAGEIF('Quarterly Data'!$B:$B,'Annual Data'!$A87,'Quarterly Data'!AF:AF)</f>
        <v>5610279</v>
      </c>
      <c r="AE87">
        <f>SUMIF('Quarterly Data'!$B:$B,'Annual Data'!$A87,'Quarterly Data'!AG:AG)</f>
        <v>-6.3152400000000011</v>
      </c>
    </row>
    <row r="88" spans="1:31" x14ac:dyDescent="0.25">
      <c r="A88">
        <v>2054</v>
      </c>
      <c r="B88">
        <f>SUMIF('Quarterly Data'!$B:$B,'Annual Data'!$A88,'Quarterly Data'!D:D)</f>
        <v>3977537.7</v>
      </c>
      <c r="C88">
        <f>AVERAGEIF('Quarterly Data'!$B:$B,'Annual Data'!$A88,'Quarterly Data'!E:E)</f>
        <v>247.86697500000002</v>
      </c>
      <c r="D88">
        <f>SUMIF('Quarterly Data'!$B:$B,'Annual Data'!$A88,'Quarterly Data'!F:F)</f>
        <v>1214594.8999999999</v>
      </c>
      <c r="E88">
        <f>SUMIF('Quarterly Data'!$B:$B,'Annual Data'!$A88,'Quarterly Data'!G:G)</f>
        <v>394873.54000000004</v>
      </c>
      <c r="F88">
        <f>SUMIF('Quarterly Data'!$B:$B,'Annual Data'!$A88,'Quarterly Data'!H:H)</f>
        <v>1367977.9</v>
      </c>
      <c r="G88">
        <f>SUMIF('Quarterly Data'!$B:$B,'Annual Data'!$A88,'Quarterly Data'!I:I)</f>
        <v>726362.7</v>
      </c>
      <c r="H88">
        <f>SUMIF('Quarterly Data'!$B:$B,'Annual Data'!$A88,'Quarterly Data'!J:J)</f>
        <v>800178.7</v>
      </c>
      <c r="I88">
        <f>SUMIF('Quarterly Data'!$B:$B,'Annual Data'!$A88,'Quarterly Data'!K:K)</f>
        <v>462835.8</v>
      </c>
      <c r="J88">
        <f>SUMIF('Quarterly Data'!$B:$B,'Annual Data'!$A88,'Quarterly Data'!L:L)</f>
        <v>3977533.5000000005</v>
      </c>
      <c r="K88">
        <f>AVERAGEIF('Quarterly Data'!$B:$B,'Annual Data'!$A88,'Quarterly Data'!M:M)</f>
        <v>39321.342499999999</v>
      </c>
      <c r="L88">
        <f>AVERAGEIF('Quarterly Data'!$B:$B,'Annual Data'!$A88,'Quarterly Data'!N:N)</f>
        <v>31.935795000000002</v>
      </c>
      <c r="M88">
        <f>AVERAGEIF('Quarterly Data'!$B:$B,'Annual Data'!$A88,'Quarterly Data'!O:O)</f>
        <v>715575.42500000005</v>
      </c>
      <c r="N88">
        <f>AVERAGEIF('Quarterly Data'!$B:$B,'Annual Data'!$A88,'Quarterly Data'!P:P)</f>
        <v>46539.39</v>
      </c>
      <c r="O88">
        <f>AVERAGEIF('Quarterly Data'!$B:$B,'Annual Data'!$A88,'Quarterly Data'!Q:Q)</f>
        <v>5614850.25</v>
      </c>
      <c r="P88">
        <f>SUMIF('Quarterly Data'!$B:$B,'Annual Data'!$A88,'Quarterly Data'!R:R)</f>
        <v>-6.3029759999999992</v>
      </c>
      <c r="Q88">
        <f>SUMIF('Quarterly Data'!$B:$B,'Annual Data'!$A88,'Quarterly Data'!S:S)</f>
        <v>4010501.5</v>
      </c>
      <c r="R88">
        <f>AVERAGEIF('Quarterly Data'!$B:$B,'Annual Data'!$A88,'Quarterly Data'!T:T)</f>
        <v>247.67012499999998</v>
      </c>
      <c r="S88">
        <f>SUMIF('Quarterly Data'!$B:$B,'Annual Data'!$A88,'Quarterly Data'!U:U)</f>
        <v>1160858.2999999998</v>
      </c>
      <c r="T88">
        <f>SUMIF('Quarterly Data'!$B:$B,'Annual Data'!$A88,'Quarterly Data'!V:V)</f>
        <v>415987.30000000005</v>
      </c>
      <c r="U88">
        <f>SUMIF('Quarterly Data'!$B:$B,'Annual Data'!$A88,'Quarterly Data'!W:W)</f>
        <v>1323530.3999999999</v>
      </c>
      <c r="V88">
        <f>SUMIF('Quarterly Data'!$B:$B,'Annual Data'!$A88,'Quarterly Data'!X:X)</f>
        <v>698277.1</v>
      </c>
      <c r="W88">
        <f>SUMIF('Quarterly Data'!$B:$B,'Annual Data'!$A88,'Quarterly Data'!Y:Y)</f>
        <v>812371.2</v>
      </c>
      <c r="X88">
        <f>SUMIF('Quarterly Data'!$B:$B,'Annual Data'!$A88,'Quarterly Data'!Z:Z)</f>
        <v>477068.79999999999</v>
      </c>
      <c r="Y88">
        <f>SUMIF('Quarterly Data'!$B:$B,'Annual Data'!$A88,'Quarterly Data'!AA:AA)</f>
        <v>4010498.1</v>
      </c>
      <c r="Z88">
        <f>AVERAGEIF('Quarterly Data'!$B:$B,'Annual Data'!$A88,'Quarterly Data'!AB:AB)</f>
        <v>39321.342499999999</v>
      </c>
      <c r="AA88">
        <f>AVERAGEIF('Quarterly Data'!$B:$B,'Annual Data'!$A88,'Quarterly Data'!AC:AC)</f>
        <v>31.935795000000002</v>
      </c>
      <c r="AB88">
        <f>AVERAGEIF('Quarterly Data'!$B:$B,'Annual Data'!$A88,'Quarterly Data'!AD:AD)</f>
        <v>715575.42500000005</v>
      </c>
      <c r="AC88">
        <f>AVERAGEIF('Quarterly Data'!$B:$B,'Annual Data'!$A88,'Quarterly Data'!AE:AE)</f>
        <v>46539.39</v>
      </c>
      <c r="AD88">
        <f>AVERAGEIF('Quarterly Data'!$B:$B,'Annual Data'!$A88,'Quarterly Data'!AF:AF)</f>
        <v>5715998.5</v>
      </c>
      <c r="AE88">
        <f>SUMIF('Quarterly Data'!$B:$B,'Annual Data'!$A88,'Quarterly Data'!AG:AG)</f>
        <v>-6.2950560000000007</v>
      </c>
    </row>
    <row r="89" spans="1:31" x14ac:dyDescent="0.25">
      <c r="A89">
        <v>2055</v>
      </c>
      <c r="B89">
        <f>SUMIF('Quarterly Data'!$B:$B,'Annual Data'!$A89,'Quarterly Data'!D:D)</f>
        <v>4027423</v>
      </c>
      <c r="C89">
        <f>AVERAGEIF('Quarterly Data'!$B:$B,'Annual Data'!$A89,'Quarterly Data'!E:E)</f>
        <v>252.82429999999999</v>
      </c>
      <c r="D89">
        <f>SUMIF('Quarterly Data'!$B:$B,'Annual Data'!$A89,'Quarterly Data'!F:F)</f>
        <v>1228856.7</v>
      </c>
      <c r="E89">
        <f>SUMIF('Quarterly Data'!$B:$B,'Annual Data'!$A89,'Quarterly Data'!G:G)</f>
        <v>398552.12</v>
      </c>
      <c r="F89">
        <f>SUMIF('Quarterly Data'!$B:$B,'Annual Data'!$A89,'Quarterly Data'!H:H)</f>
        <v>1385956.5</v>
      </c>
      <c r="G89">
        <f>SUMIF('Quarterly Data'!$B:$B,'Annual Data'!$A89,'Quarterly Data'!I:I)</f>
        <v>735179.60000000009</v>
      </c>
      <c r="H89">
        <f>SUMIF('Quarterly Data'!$B:$B,'Annual Data'!$A89,'Quarterly Data'!J:J)</f>
        <v>813380.39999999991</v>
      </c>
      <c r="I89">
        <f>SUMIF('Quarterly Data'!$B:$B,'Annual Data'!$A89,'Quarterly Data'!K:K)</f>
        <v>471074.8</v>
      </c>
      <c r="J89">
        <f>SUMIF('Quarterly Data'!$B:$B,'Annual Data'!$A89,'Quarterly Data'!L:L)</f>
        <v>4027426</v>
      </c>
      <c r="K89">
        <f>AVERAGEIF('Quarterly Data'!$B:$B,'Annual Data'!$A89,'Quarterly Data'!M:M)</f>
        <v>39336.572499999995</v>
      </c>
      <c r="L89">
        <f>AVERAGEIF('Quarterly Data'!$B:$B,'Annual Data'!$A89,'Quarterly Data'!N:N)</f>
        <v>31.932794999999999</v>
      </c>
      <c r="M89">
        <f>AVERAGEIF('Quarterly Data'!$B:$B,'Annual Data'!$A89,'Quarterly Data'!O:O)</f>
        <v>716108.7</v>
      </c>
      <c r="N89">
        <f>AVERAGEIF('Quarterly Data'!$B:$B,'Annual Data'!$A89,'Quarterly Data'!P:P)</f>
        <v>46472.447500000002</v>
      </c>
      <c r="O89">
        <f>AVERAGEIF('Quarterly Data'!$B:$B,'Annual Data'!$A89,'Quarterly Data'!Q:Q)</f>
        <v>5721176.5</v>
      </c>
      <c r="P89">
        <f>SUMIF('Quarterly Data'!$B:$B,'Annual Data'!$A89,'Quarterly Data'!R:R)</f>
        <v>-6.2828290000000004</v>
      </c>
      <c r="Q89">
        <f>SUMIF('Quarterly Data'!$B:$B,'Annual Data'!$A89,'Quarterly Data'!S:S)</f>
        <v>4060363</v>
      </c>
      <c r="R89">
        <f>AVERAGEIF('Quarterly Data'!$B:$B,'Annual Data'!$A89,'Quarterly Data'!T:T)</f>
        <v>252.62352499999997</v>
      </c>
      <c r="S89">
        <f>SUMIF('Quarterly Data'!$B:$B,'Annual Data'!$A89,'Quarterly Data'!U:U)</f>
        <v>1174132</v>
      </c>
      <c r="T89">
        <f>SUMIF('Quarterly Data'!$B:$B,'Annual Data'!$A89,'Quarterly Data'!V:V)</f>
        <v>419817.19999999995</v>
      </c>
      <c r="U89">
        <f>SUMIF('Quarterly Data'!$B:$B,'Annual Data'!$A89,'Quarterly Data'!W:W)</f>
        <v>1340680.8</v>
      </c>
      <c r="V89">
        <f>SUMIF('Quarterly Data'!$B:$B,'Annual Data'!$A89,'Quarterly Data'!X:X)</f>
        <v>706676.7</v>
      </c>
      <c r="W89">
        <f>SUMIF('Quarterly Data'!$B:$B,'Annual Data'!$A89,'Quarterly Data'!Y:Y)</f>
        <v>825600.60000000009</v>
      </c>
      <c r="X89">
        <f>SUMIF('Quarterly Data'!$B:$B,'Annual Data'!$A89,'Quarterly Data'!Z:Z)</f>
        <v>485412.1</v>
      </c>
      <c r="Y89">
        <f>SUMIF('Quarterly Data'!$B:$B,'Annual Data'!$A89,'Quarterly Data'!AA:AA)</f>
        <v>4060361</v>
      </c>
      <c r="Z89">
        <f>AVERAGEIF('Quarterly Data'!$B:$B,'Annual Data'!$A89,'Quarterly Data'!AB:AB)</f>
        <v>39336.572499999995</v>
      </c>
      <c r="AA89">
        <f>AVERAGEIF('Quarterly Data'!$B:$B,'Annual Data'!$A89,'Quarterly Data'!AC:AC)</f>
        <v>31.932794999999999</v>
      </c>
      <c r="AB89">
        <f>AVERAGEIF('Quarterly Data'!$B:$B,'Annual Data'!$A89,'Quarterly Data'!AD:AD)</f>
        <v>716108.7</v>
      </c>
      <c r="AC89">
        <f>AVERAGEIF('Quarterly Data'!$B:$B,'Annual Data'!$A89,'Quarterly Data'!AE:AE)</f>
        <v>46472.447500000002</v>
      </c>
      <c r="AD89">
        <f>AVERAGEIF('Quarterly Data'!$B:$B,'Annual Data'!$A89,'Quarterly Data'!AF:AF)</f>
        <v>5822513.25</v>
      </c>
      <c r="AE89">
        <f>SUMIF('Quarterly Data'!$B:$B,'Annual Data'!$A89,'Quarterly Data'!AG:AG)</f>
        <v>-6.2749360000000003</v>
      </c>
    </row>
    <row r="90" spans="1:31" x14ac:dyDescent="0.25">
      <c r="A90">
        <v>2056</v>
      </c>
      <c r="B90">
        <f>SUMIF('Quarterly Data'!$B:$B,'Annual Data'!$A90,'Quarterly Data'!D:D)</f>
        <v>4077126</v>
      </c>
      <c r="C90">
        <f>AVERAGEIF('Quarterly Data'!$B:$B,'Annual Data'!$A90,'Quarterly Data'!E:E)</f>
        <v>257.88080000000002</v>
      </c>
      <c r="D90">
        <f>SUMIF('Quarterly Data'!$B:$B,'Annual Data'!$A90,'Quarterly Data'!F:F)</f>
        <v>1243068.6000000001</v>
      </c>
      <c r="E90">
        <f>SUMIF('Quarterly Data'!$B:$B,'Annual Data'!$A90,'Quarterly Data'!G:G)</f>
        <v>402185.1</v>
      </c>
      <c r="F90">
        <f>SUMIF('Quarterly Data'!$B:$B,'Annual Data'!$A90,'Quarterly Data'!H:H)</f>
        <v>1403932.8</v>
      </c>
      <c r="G90">
        <f>SUMIF('Quarterly Data'!$B:$B,'Annual Data'!$A90,'Quarterly Data'!I:I)</f>
        <v>743955.7</v>
      </c>
      <c r="H90">
        <f>SUMIF('Quarterly Data'!$B:$B,'Annual Data'!$A90,'Quarterly Data'!J:J)</f>
        <v>826639.1</v>
      </c>
      <c r="I90">
        <f>SUMIF('Quarterly Data'!$B:$B,'Annual Data'!$A90,'Quarterly Data'!K:K)</f>
        <v>479365.2</v>
      </c>
      <c r="J90">
        <f>SUMIF('Quarterly Data'!$B:$B,'Annual Data'!$A90,'Quarterly Data'!L:L)</f>
        <v>4077125</v>
      </c>
      <c r="K90">
        <f>AVERAGEIF('Quarterly Data'!$B:$B,'Annual Data'!$A90,'Quarterly Data'!M:M)</f>
        <v>39345.414999999994</v>
      </c>
      <c r="L90">
        <f>AVERAGEIF('Quarterly Data'!$B:$B,'Annual Data'!$A90,'Quarterly Data'!N:N)</f>
        <v>31.929795000000002</v>
      </c>
      <c r="M90">
        <f>AVERAGEIF('Quarterly Data'!$B:$B,'Annual Data'!$A90,'Quarterly Data'!O:O)</f>
        <v>716469.875</v>
      </c>
      <c r="N90">
        <f>AVERAGEIF('Quarterly Data'!$B:$B,'Annual Data'!$A90,'Quarterly Data'!P:P)</f>
        <v>46396.372499999998</v>
      </c>
      <c r="O90">
        <f>AVERAGEIF('Quarterly Data'!$B:$B,'Annual Data'!$A90,'Quarterly Data'!Q:Q)</f>
        <v>5828441.25</v>
      </c>
      <c r="P90">
        <f>SUMIF('Quarterly Data'!$B:$B,'Annual Data'!$A90,'Quarterly Data'!R:R)</f>
        <v>-6.2627480000000002</v>
      </c>
      <c r="Q90">
        <f>SUMIF('Quarterly Data'!$B:$B,'Annual Data'!$A90,'Quarterly Data'!S:S)</f>
        <v>4109995</v>
      </c>
      <c r="R90">
        <f>AVERAGEIF('Quarterly Data'!$B:$B,'Annual Data'!$A90,'Quarterly Data'!T:T)</f>
        <v>257.67597499999999</v>
      </c>
      <c r="S90">
        <f>SUMIF('Quarterly Data'!$B:$B,'Annual Data'!$A90,'Quarterly Data'!U:U)</f>
        <v>1187342.2</v>
      </c>
      <c r="T90">
        <f>SUMIF('Quarterly Data'!$B:$B,'Annual Data'!$A90,'Quarterly Data'!V:V)</f>
        <v>423594.7</v>
      </c>
      <c r="U90">
        <f>SUMIF('Quarterly Data'!$B:$B,'Annual Data'!$A90,'Quarterly Data'!W:W)</f>
        <v>1357815.3</v>
      </c>
      <c r="V90">
        <f>SUMIF('Quarterly Data'!$B:$B,'Annual Data'!$A90,'Quarterly Data'!X:X)</f>
        <v>715029.5</v>
      </c>
      <c r="W90">
        <f>SUMIF('Quarterly Data'!$B:$B,'Annual Data'!$A90,'Quarterly Data'!Y:Y)</f>
        <v>838875.4</v>
      </c>
      <c r="X90">
        <f>SUMIF('Quarterly Data'!$B:$B,'Annual Data'!$A90,'Quarterly Data'!Z:Z)</f>
        <v>493799.4</v>
      </c>
      <c r="Y90">
        <f>SUMIF('Quarterly Data'!$B:$B,'Annual Data'!$A90,'Quarterly Data'!AA:AA)</f>
        <v>4109992</v>
      </c>
      <c r="Z90">
        <f>AVERAGEIF('Quarterly Data'!$B:$B,'Annual Data'!$A90,'Quarterly Data'!AB:AB)</f>
        <v>39345.414999999994</v>
      </c>
      <c r="AA90">
        <f>AVERAGEIF('Quarterly Data'!$B:$B,'Annual Data'!$A90,'Quarterly Data'!AC:AC)</f>
        <v>31.929795000000002</v>
      </c>
      <c r="AB90">
        <f>AVERAGEIF('Quarterly Data'!$B:$B,'Annual Data'!$A90,'Quarterly Data'!AD:AD)</f>
        <v>716469.875</v>
      </c>
      <c r="AC90">
        <f>AVERAGEIF('Quarterly Data'!$B:$B,'Annual Data'!$A90,'Quarterly Data'!AE:AE)</f>
        <v>46396.372499999998</v>
      </c>
      <c r="AD90">
        <f>AVERAGEIF('Quarterly Data'!$B:$B,'Annual Data'!$A90,'Quarterly Data'!AF:AF)</f>
        <v>5929786</v>
      </c>
      <c r="AE90">
        <f>SUMIF('Quarterly Data'!$B:$B,'Annual Data'!$A90,'Quarterly Data'!AG:AG)</f>
        <v>-6.25488</v>
      </c>
    </row>
    <row r="91" spans="1:31" x14ac:dyDescent="0.25">
      <c r="A91">
        <v>2057</v>
      </c>
      <c r="B91">
        <f>SUMIF('Quarterly Data'!$B:$B,'Annual Data'!$A91,'Quarterly Data'!D:D)</f>
        <v>4127082</v>
      </c>
      <c r="C91">
        <f>AVERAGEIF('Quarterly Data'!$B:$B,'Annual Data'!$A91,'Quarterly Data'!E:E)</f>
        <v>263.03842500000007</v>
      </c>
      <c r="D91">
        <f>SUMIF('Quarterly Data'!$B:$B,'Annual Data'!$A91,'Quarterly Data'!F:F)</f>
        <v>1257361.5999999999</v>
      </c>
      <c r="E91">
        <f>SUMIF('Quarterly Data'!$B:$B,'Annual Data'!$A91,'Quarterly Data'!G:G)</f>
        <v>405815.69999999995</v>
      </c>
      <c r="F91">
        <f>SUMIF('Quarterly Data'!$B:$B,'Annual Data'!$A91,'Quarterly Data'!H:H)</f>
        <v>1422045.2000000002</v>
      </c>
      <c r="G91">
        <f>SUMIF('Quarterly Data'!$B:$B,'Annual Data'!$A91,'Quarterly Data'!I:I)</f>
        <v>752770.9</v>
      </c>
      <c r="H91">
        <f>SUMIF('Quarterly Data'!$B:$B,'Annual Data'!$A91,'Quarterly Data'!J:J)</f>
        <v>840044.2</v>
      </c>
      <c r="I91">
        <f>SUMIF('Quarterly Data'!$B:$B,'Annual Data'!$A91,'Quarterly Data'!K:K)</f>
        <v>487759.1</v>
      </c>
      <c r="J91">
        <f>SUMIF('Quarterly Data'!$B:$B,'Annual Data'!$A91,'Quarterly Data'!L:L)</f>
        <v>4127079</v>
      </c>
      <c r="K91">
        <f>AVERAGEIF('Quarterly Data'!$B:$B,'Annual Data'!$A91,'Quarterly Data'!M:M)</f>
        <v>39354.427500000005</v>
      </c>
      <c r="L91">
        <f>AVERAGEIF('Quarterly Data'!$B:$B,'Annual Data'!$A91,'Quarterly Data'!N:N)</f>
        <v>31.926794999999998</v>
      </c>
      <c r="M91">
        <f>AVERAGEIF('Quarterly Data'!$B:$B,'Annual Data'!$A91,'Quarterly Data'!O:O)</f>
        <v>716859.64999999991</v>
      </c>
      <c r="N91">
        <f>AVERAGEIF('Quarterly Data'!$B:$B,'Annual Data'!$A91,'Quarterly Data'!P:P)</f>
        <v>46323.912499999999</v>
      </c>
      <c r="O91">
        <f>AVERAGEIF('Quarterly Data'!$B:$B,'Annual Data'!$A91,'Quarterly Data'!Q:Q)</f>
        <v>5936660.25</v>
      </c>
      <c r="P91">
        <f>SUMIF('Quarterly Data'!$B:$B,'Annual Data'!$A91,'Quarterly Data'!R:R)</f>
        <v>-6.2427320000000002</v>
      </c>
      <c r="Q91">
        <f>SUMIF('Quarterly Data'!$B:$B,'Annual Data'!$A91,'Quarterly Data'!S:S)</f>
        <v>4159838</v>
      </c>
      <c r="R91">
        <f>AVERAGEIF('Quarterly Data'!$B:$B,'Annual Data'!$A91,'Quarterly Data'!T:T)</f>
        <v>262.82952499999999</v>
      </c>
      <c r="S91">
        <f>SUMIF('Quarterly Data'!$B:$B,'Annual Data'!$A91,'Quarterly Data'!U:U)</f>
        <v>1200614.5</v>
      </c>
      <c r="T91">
        <f>SUMIF('Quarterly Data'!$B:$B,'Annual Data'!$A91,'Quarterly Data'!V:V)</f>
        <v>427365.7</v>
      </c>
      <c r="U91">
        <f>SUMIF('Quarterly Data'!$B:$B,'Annual Data'!$A91,'Quarterly Data'!W:W)</f>
        <v>1375066.9</v>
      </c>
      <c r="V91">
        <f>SUMIF('Quarterly Data'!$B:$B,'Annual Data'!$A91,'Quarterly Data'!X:X)</f>
        <v>723412.40000000014</v>
      </c>
      <c r="W91">
        <f>SUMIF('Quarterly Data'!$B:$B,'Annual Data'!$A91,'Quarterly Data'!Y:Y)</f>
        <v>852285.89999999991</v>
      </c>
      <c r="X91">
        <f>SUMIF('Quarterly Data'!$B:$B,'Annual Data'!$A91,'Quarterly Data'!Z:Z)</f>
        <v>502284</v>
      </c>
      <c r="Y91">
        <f>SUMIF('Quarterly Data'!$B:$B,'Annual Data'!$A91,'Quarterly Data'!AA:AA)</f>
        <v>4159837</v>
      </c>
      <c r="Z91">
        <f>AVERAGEIF('Quarterly Data'!$B:$B,'Annual Data'!$A91,'Quarterly Data'!AB:AB)</f>
        <v>39354.427500000005</v>
      </c>
      <c r="AA91">
        <f>AVERAGEIF('Quarterly Data'!$B:$B,'Annual Data'!$A91,'Quarterly Data'!AC:AC)</f>
        <v>31.926794999999998</v>
      </c>
      <c r="AB91">
        <f>AVERAGEIF('Quarterly Data'!$B:$B,'Annual Data'!$A91,'Quarterly Data'!AD:AD)</f>
        <v>716859.64999999991</v>
      </c>
      <c r="AC91">
        <f>AVERAGEIF('Quarterly Data'!$B:$B,'Annual Data'!$A91,'Quarterly Data'!AE:AE)</f>
        <v>46323.912499999999</v>
      </c>
      <c r="AD91">
        <f>AVERAGEIF('Quarterly Data'!$B:$B,'Annual Data'!$A91,'Quarterly Data'!AF:AF)</f>
        <v>6037831.5</v>
      </c>
      <c r="AE91">
        <f>SUMIF('Quarterly Data'!$B:$B,'Annual Data'!$A91,'Quarterly Data'!AG:AG)</f>
        <v>-6.2348879999999998</v>
      </c>
    </row>
    <row r="92" spans="1:31" x14ac:dyDescent="0.25">
      <c r="A92">
        <v>2058</v>
      </c>
      <c r="B92">
        <f>SUMIF('Quarterly Data'!$B:$B,'Annual Data'!$A92,'Quarterly Data'!D:D)</f>
        <v>4177524</v>
      </c>
      <c r="C92">
        <f>AVERAGEIF('Quarterly Data'!$B:$B,'Annual Data'!$A92,'Quarterly Data'!E:E)</f>
        <v>268.29920000000004</v>
      </c>
      <c r="D92">
        <f>SUMIF('Quarterly Data'!$B:$B,'Annual Data'!$A92,'Quarterly Data'!F:F)</f>
        <v>1271805</v>
      </c>
      <c r="E92">
        <f>SUMIF('Quarterly Data'!$B:$B,'Annual Data'!$A92,'Quarterly Data'!G:G)</f>
        <v>409466.5</v>
      </c>
      <c r="F92">
        <f>SUMIF('Quarterly Data'!$B:$B,'Annual Data'!$A92,'Quarterly Data'!H:H)</f>
        <v>1440367.6</v>
      </c>
      <c r="G92">
        <f>SUMIF('Quarterly Data'!$B:$B,'Annual Data'!$A92,'Quarterly Data'!I:I)</f>
        <v>761667.5</v>
      </c>
      <c r="H92">
        <f>SUMIF('Quarterly Data'!$B:$B,'Annual Data'!$A92,'Quarterly Data'!J:J)</f>
        <v>853644.5</v>
      </c>
      <c r="I92">
        <f>SUMIF('Quarterly Data'!$B:$B,'Annual Data'!$A92,'Quarterly Data'!K:K)</f>
        <v>496285.29999999993</v>
      </c>
      <c r="J92">
        <f>SUMIF('Quarterly Data'!$B:$B,'Annual Data'!$A92,'Quarterly Data'!L:L)</f>
        <v>4177520</v>
      </c>
      <c r="K92">
        <f>AVERAGEIF('Quarterly Data'!$B:$B,'Annual Data'!$A92,'Quarterly Data'!M:M)</f>
        <v>39366.657500000001</v>
      </c>
      <c r="L92">
        <f>AVERAGEIF('Quarterly Data'!$B:$B,'Annual Data'!$A92,'Quarterly Data'!N:N)</f>
        <v>31.923795000000002</v>
      </c>
      <c r="M92">
        <f>AVERAGEIF('Quarterly Data'!$B:$B,'Annual Data'!$A92,'Quarterly Data'!O:O)</f>
        <v>717363.15000000014</v>
      </c>
      <c r="N92">
        <f>AVERAGEIF('Quarterly Data'!$B:$B,'Annual Data'!$A92,'Quarterly Data'!P:P)</f>
        <v>46260.3</v>
      </c>
      <c r="O92">
        <f>AVERAGEIF('Quarterly Data'!$B:$B,'Annual Data'!$A92,'Quarterly Data'!Q:Q)</f>
        <v>6045907.25</v>
      </c>
      <c r="P92">
        <f>SUMIF('Quarterly Data'!$B:$B,'Annual Data'!$A92,'Quarterly Data'!R:R)</f>
        <v>-6.2227800000000002</v>
      </c>
      <c r="Q92">
        <f>SUMIF('Quarterly Data'!$B:$B,'Annual Data'!$A92,'Quarterly Data'!S:S)</f>
        <v>4210131</v>
      </c>
      <c r="R92">
        <f>AVERAGEIF('Quarterly Data'!$B:$B,'Annual Data'!$A92,'Quarterly Data'!T:T)</f>
        <v>268.08612499999998</v>
      </c>
      <c r="S92">
        <f>SUMIF('Quarterly Data'!$B:$B,'Annual Data'!$A92,'Quarterly Data'!U:U)</f>
        <v>1214015.6000000001</v>
      </c>
      <c r="T92">
        <f>SUMIF('Quarterly Data'!$B:$B,'Annual Data'!$A92,'Quarterly Data'!V:V)</f>
        <v>431154.1</v>
      </c>
      <c r="U92">
        <f>SUMIF('Quarterly Data'!$B:$B,'Annual Data'!$A92,'Quarterly Data'!W:W)</f>
        <v>1392506.9</v>
      </c>
      <c r="V92">
        <f>SUMIF('Quarterly Data'!$B:$B,'Annual Data'!$A92,'Quarterly Data'!X:X)</f>
        <v>731866.4</v>
      </c>
      <c r="W92">
        <f>SUMIF('Quarterly Data'!$B:$B,'Annual Data'!$A92,'Quarterly Data'!Y:Y)</f>
        <v>865881.9</v>
      </c>
      <c r="X92">
        <f>SUMIF('Quarterly Data'!$B:$B,'Annual Data'!$A92,'Quarterly Data'!Z:Z)</f>
        <v>510895.4</v>
      </c>
      <c r="Y92">
        <f>SUMIF('Quarterly Data'!$B:$B,'Annual Data'!$A92,'Quarterly Data'!AA:AA)</f>
        <v>4210129</v>
      </c>
      <c r="Z92">
        <f>AVERAGEIF('Quarterly Data'!$B:$B,'Annual Data'!$A92,'Quarterly Data'!AB:AB)</f>
        <v>39366.657500000001</v>
      </c>
      <c r="AA92">
        <f>AVERAGEIF('Quarterly Data'!$B:$B,'Annual Data'!$A92,'Quarterly Data'!AC:AC)</f>
        <v>31.923795000000002</v>
      </c>
      <c r="AB92">
        <f>AVERAGEIF('Quarterly Data'!$B:$B,'Annual Data'!$A92,'Quarterly Data'!AD:AD)</f>
        <v>717363.15000000014</v>
      </c>
      <c r="AC92">
        <f>AVERAGEIF('Quarterly Data'!$B:$B,'Annual Data'!$A92,'Quarterly Data'!AE:AE)</f>
        <v>46260.3</v>
      </c>
      <c r="AD92">
        <f>AVERAGEIF('Quarterly Data'!$B:$B,'Annual Data'!$A92,'Quarterly Data'!AF:AF)</f>
        <v>6146727</v>
      </c>
      <c r="AE92">
        <f>SUMIF('Quarterly Data'!$B:$B,'Annual Data'!$A92,'Quarterly Data'!AG:AG)</f>
        <v>-6.2149600000000005</v>
      </c>
    </row>
    <row r="93" spans="1:31" x14ac:dyDescent="0.25">
      <c r="A93">
        <v>2059</v>
      </c>
      <c r="B93">
        <f>SUMIF('Quarterly Data'!$B:$B,'Annual Data'!$A93,'Quarterly Data'!D:D)</f>
        <v>4228077</v>
      </c>
      <c r="C93">
        <f>AVERAGEIF('Quarterly Data'!$B:$B,'Annual Data'!$A93,'Quarterly Data'!E:E)</f>
        <v>273.66515000000004</v>
      </c>
      <c r="D93">
        <f>SUMIF('Quarterly Data'!$B:$B,'Annual Data'!$A93,'Quarterly Data'!F:F)</f>
        <v>1286287.3999999999</v>
      </c>
      <c r="E93">
        <f>SUMIF('Quarterly Data'!$B:$B,'Annual Data'!$A93,'Quarterly Data'!G:G)</f>
        <v>413101</v>
      </c>
      <c r="F93">
        <f>SUMIF('Quarterly Data'!$B:$B,'Annual Data'!$A93,'Quarterly Data'!H:H)</f>
        <v>1458783</v>
      </c>
      <c r="G93">
        <f>SUMIF('Quarterly Data'!$B:$B,'Annual Data'!$A93,'Quarterly Data'!I:I)</f>
        <v>770577.1</v>
      </c>
      <c r="H93">
        <f>SUMIF('Quarterly Data'!$B:$B,'Annual Data'!$A93,'Quarterly Data'!J:J)</f>
        <v>867364.2</v>
      </c>
      <c r="I93">
        <f>SUMIF('Quarterly Data'!$B:$B,'Annual Data'!$A93,'Quarterly Data'!K:K)</f>
        <v>504899.80000000005</v>
      </c>
      <c r="J93">
        <f>SUMIF('Quarterly Data'!$B:$B,'Annual Data'!$A93,'Quarterly Data'!L:L)</f>
        <v>4228073</v>
      </c>
      <c r="K93">
        <f>AVERAGEIF('Quarterly Data'!$B:$B,'Annual Data'!$A93,'Quarterly Data'!M:M)</f>
        <v>39376.4925</v>
      </c>
      <c r="L93">
        <f>AVERAGEIF('Quarterly Data'!$B:$B,'Annual Data'!$A93,'Quarterly Data'!N:N)</f>
        <v>31.920794999999998</v>
      </c>
      <c r="M93">
        <f>AVERAGEIF('Quarterly Data'!$B:$B,'Annual Data'!$A93,'Quarterly Data'!O:O)</f>
        <v>717760.77500000014</v>
      </c>
      <c r="N93">
        <f>AVERAGEIF('Quarterly Data'!$B:$B,'Annual Data'!$A93,'Quarterly Data'!P:P)</f>
        <v>46191.362500000003</v>
      </c>
      <c r="O93">
        <f>AVERAGEIF('Quarterly Data'!$B:$B,'Annual Data'!$A93,'Quarterly Data'!Q:Q)</f>
        <v>6156210.75</v>
      </c>
      <c r="P93">
        <f>SUMIF('Quarterly Data'!$B:$B,'Annual Data'!$A93,'Quarterly Data'!R:R)</f>
        <v>-6.2028919999999994</v>
      </c>
      <c r="Q93">
        <f>SUMIF('Quarterly Data'!$B:$B,'Annual Data'!$A93,'Quarterly Data'!S:S)</f>
        <v>4260494</v>
      </c>
      <c r="R93">
        <f>AVERAGEIF('Quarterly Data'!$B:$B,'Annual Data'!$A93,'Quarterly Data'!T:T)</f>
        <v>273.44782500000002</v>
      </c>
      <c r="S93">
        <f>SUMIF('Quarterly Data'!$B:$B,'Annual Data'!$A93,'Quarterly Data'!U:U)</f>
        <v>1227438.5</v>
      </c>
      <c r="T93">
        <f>SUMIF('Quarterly Data'!$B:$B,'Annual Data'!$A93,'Quarterly Data'!V:V)</f>
        <v>434921.39999999997</v>
      </c>
      <c r="U93">
        <f>SUMIF('Quarterly Data'!$B:$B,'Annual Data'!$A93,'Quarterly Data'!W:W)</f>
        <v>1410023.2</v>
      </c>
      <c r="V93">
        <f>SUMIF('Quarterly Data'!$B:$B,'Annual Data'!$A93,'Quarterly Data'!X:X)</f>
        <v>740326</v>
      </c>
      <c r="W93">
        <f>SUMIF('Quarterly Data'!$B:$B,'Annual Data'!$A93,'Quarterly Data'!Y:Y)</f>
        <v>879587.39999999991</v>
      </c>
      <c r="X93">
        <f>SUMIF('Quarterly Data'!$B:$B,'Annual Data'!$A93,'Quarterly Data'!Z:Z)</f>
        <v>519589.20000000007</v>
      </c>
      <c r="Y93">
        <f>SUMIF('Quarterly Data'!$B:$B,'Annual Data'!$A93,'Quarterly Data'!AA:AA)</f>
        <v>4260493</v>
      </c>
      <c r="Z93">
        <f>AVERAGEIF('Quarterly Data'!$B:$B,'Annual Data'!$A93,'Quarterly Data'!AB:AB)</f>
        <v>39376.4925</v>
      </c>
      <c r="AA93">
        <f>AVERAGEIF('Quarterly Data'!$B:$B,'Annual Data'!$A93,'Quarterly Data'!AC:AC)</f>
        <v>31.920794999999998</v>
      </c>
      <c r="AB93">
        <f>AVERAGEIF('Quarterly Data'!$B:$B,'Annual Data'!$A93,'Quarterly Data'!AD:AD)</f>
        <v>717760.77500000014</v>
      </c>
      <c r="AC93">
        <f>AVERAGEIF('Quarterly Data'!$B:$B,'Annual Data'!$A93,'Quarterly Data'!AE:AE)</f>
        <v>46191.362500000003</v>
      </c>
      <c r="AD93">
        <f>AVERAGEIF('Quarterly Data'!$B:$B,'Annual Data'!$A93,'Quarterly Data'!AF:AF)</f>
        <v>6256501</v>
      </c>
      <c r="AE93">
        <f>SUMIF('Quarterly Data'!$B:$B,'Annual Data'!$A93,'Quarterly Data'!AG:AG)</f>
        <v>-6.1950960000000004</v>
      </c>
    </row>
    <row r="94" spans="1:31" x14ac:dyDescent="0.25">
      <c r="A94">
        <v>2060</v>
      </c>
      <c r="B94">
        <f>SUMIF('Quarterly Data'!$B:$B,'Annual Data'!$A94,'Quarterly Data'!D:D)</f>
        <v>4279159</v>
      </c>
      <c r="C94">
        <f>AVERAGEIF('Quarterly Data'!$B:$B,'Annual Data'!$A94,'Quarterly Data'!E:E)</f>
        <v>279.13844999999998</v>
      </c>
      <c r="D94">
        <f>SUMIF('Quarterly Data'!$B:$B,'Annual Data'!$A94,'Quarterly Data'!F:F)</f>
        <v>1300933.8999999999</v>
      </c>
      <c r="E94">
        <f>SUMIF('Quarterly Data'!$B:$B,'Annual Data'!$A94,'Quarterly Data'!G:G)</f>
        <v>416759.89999999997</v>
      </c>
      <c r="F94">
        <f>SUMIF('Quarterly Data'!$B:$B,'Annual Data'!$A94,'Quarterly Data'!H:H)</f>
        <v>1477424.5999999999</v>
      </c>
      <c r="G94">
        <f>SUMIF('Quarterly Data'!$B:$B,'Annual Data'!$A94,'Quarterly Data'!I:I)</f>
        <v>779576.3</v>
      </c>
      <c r="H94">
        <f>SUMIF('Quarterly Data'!$B:$B,'Annual Data'!$A94,'Quarterly Data'!J:J)</f>
        <v>881291.70000000007</v>
      </c>
      <c r="I94">
        <f>SUMIF('Quarterly Data'!$B:$B,'Annual Data'!$A94,'Quarterly Data'!K:K)</f>
        <v>513654.39999999997</v>
      </c>
      <c r="J94">
        <f>SUMIF('Quarterly Data'!$B:$B,'Annual Data'!$A94,'Quarterly Data'!L:L)</f>
        <v>4279159</v>
      </c>
      <c r="K94">
        <f>AVERAGEIF('Quarterly Data'!$B:$B,'Annual Data'!$A94,'Quarterly Data'!M:M)</f>
        <v>39389.857499999998</v>
      </c>
      <c r="L94">
        <f>AVERAGEIF('Quarterly Data'!$B:$B,'Annual Data'!$A94,'Quarterly Data'!N:N)</f>
        <v>31.917795000000002</v>
      </c>
      <c r="M94">
        <f>AVERAGEIF('Quarterly Data'!$B:$B,'Annual Data'!$A94,'Quarterly Data'!O:O)</f>
        <v>718225.77500000002</v>
      </c>
      <c r="N94">
        <f>AVERAGEIF('Quarterly Data'!$B:$B,'Annual Data'!$A94,'Quarterly Data'!P:P)</f>
        <v>46128.347499999996</v>
      </c>
      <c r="O94">
        <f>AVERAGEIF('Quarterly Data'!$B:$B,'Annual Data'!$A94,'Quarterly Data'!Q:Q)</f>
        <v>6267628</v>
      </c>
      <c r="P94">
        <f>SUMIF('Quarterly Data'!$B:$B,'Annual Data'!$A94,'Quarterly Data'!R:R)</f>
        <v>-6.1830639999999999</v>
      </c>
      <c r="Q94">
        <f>SUMIF('Quarterly Data'!$B:$B,'Annual Data'!$A94,'Quarterly Data'!S:S)</f>
        <v>4311352</v>
      </c>
      <c r="R94">
        <f>AVERAGEIF('Quarterly Data'!$B:$B,'Annual Data'!$A94,'Quarterly Data'!T:T)</f>
        <v>278.91680000000002</v>
      </c>
      <c r="S94">
        <f>SUMIF('Quarterly Data'!$B:$B,'Annual Data'!$A94,'Quarterly Data'!U:U)</f>
        <v>1241003.4000000001</v>
      </c>
      <c r="T94">
        <f>SUMIF('Quarterly Data'!$B:$B,'Annual Data'!$A94,'Quarterly Data'!V:V)</f>
        <v>438710.6</v>
      </c>
      <c r="U94">
        <f>SUMIF('Quarterly Data'!$B:$B,'Annual Data'!$A94,'Quarterly Data'!W:W)</f>
        <v>1427743.7</v>
      </c>
      <c r="V94">
        <f>SUMIF('Quarterly Data'!$B:$B,'Annual Data'!$A94,'Quarterly Data'!X:X)</f>
        <v>748864.6</v>
      </c>
      <c r="W94">
        <f>SUMIF('Quarterly Data'!$B:$B,'Annual Data'!$A94,'Quarterly Data'!Y:Y)</f>
        <v>893490.60000000009</v>
      </c>
      <c r="X94">
        <f>SUMIF('Quarterly Data'!$B:$B,'Annual Data'!$A94,'Quarterly Data'!Z:Z)</f>
        <v>528417.6</v>
      </c>
      <c r="Y94">
        <f>SUMIF('Quarterly Data'!$B:$B,'Annual Data'!$A94,'Quarterly Data'!AA:AA)</f>
        <v>4311348</v>
      </c>
      <c r="Z94">
        <f>AVERAGEIF('Quarterly Data'!$B:$B,'Annual Data'!$A94,'Quarterly Data'!AB:AB)</f>
        <v>39389.857499999998</v>
      </c>
      <c r="AA94">
        <f>AVERAGEIF('Quarterly Data'!$B:$B,'Annual Data'!$A94,'Quarterly Data'!AC:AC)</f>
        <v>31.917795000000002</v>
      </c>
      <c r="AB94">
        <f>AVERAGEIF('Quarterly Data'!$B:$B,'Annual Data'!$A94,'Quarterly Data'!AD:AD)</f>
        <v>718225.77500000002</v>
      </c>
      <c r="AC94">
        <f>AVERAGEIF('Quarterly Data'!$B:$B,'Annual Data'!$A94,'Quarterly Data'!AE:AE)</f>
        <v>46128.347499999996</v>
      </c>
      <c r="AD94">
        <f>AVERAGEIF('Quarterly Data'!$B:$B,'Annual Data'!$A94,'Quarterly Data'!AF:AF)</f>
        <v>6367215.5</v>
      </c>
      <c r="AE94">
        <f>SUMIF('Quarterly Data'!$B:$B,'Annual Data'!$A94,'Quarterly Data'!AG:AG)</f>
        <v>-6.1752960000000003</v>
      </c>
    </row>
    <row r="95" spans="1:31" x14ac:dyDescent="0.25">
      <c r="A95">
        <v>2061</v>
      </c>
      <c r="B95">
        <f>SUMIF('Quarterly Data'!$B:$B,'Annual Data'!$A95,'Quarterly Data'!D:D)</f>
        <v>0</v>
      </c>
      <c r="C95" t="e">
        <f>AVERAGEIF('Quarterly Data'!$B:$B,'Annual Data'!$A95,'Quarterly Data'!E:E)</f>
        <v>#DIV/0!</v>
      </c>
      <c r="D95">
        <f>SUMIF('Quarterly Data'!$B:$B,'Annual Data'!$A95,'Quarterly Data'!F:F)</f>
        <v>0</v>
      </c>
      <c r="E95">
        <f>SUMIF('Quarterly Data'!$B:$B,'Annual Data'!$A95,'Quarterly Data'!G:G)</f>
        <v>0</v>
      </c>
      <c r="F95">
        <f>SUMIF('Quarterly Data'!$B:$B,'Annual Data'!$A95,'Quarterly Data'!H:H)</f>
        <v>0</v>
      </c>
      <c r="G95">
        <f>SUMIF('Quarterly Data'!$B:$B,'Annual Data'!$A95,'Quarterly Data'!I:I)</f>
        <v>0</v>
      </c>
      <c r="H95">
        <f>SUMIF('Quarterly Data'!$B:$B,'Annual Data'!$A95,'Quarterly Data'!J:J)</f>
        <v>0</v>
      </c>
      <c r="I95">
        <f>SUMIF('Quarterly Data'!$B:$B,'Annual Data'!$A95,'Quarterly Data'!K:K)</f>
        <v>0</v>
      </c>
      <c r="J95">
        <f>SUMIF('Quarterly Data'!$B:$B,'Annual Data'!$A95,'Quarterly Data'!L:L)</f>
        <v>0</v>
      </c>
      <c r="K95" t="e">
        <f>AVERAGEIF('Quarterly Data'!$B:$B,'Annual Data'!$A95,'Quarterly Data'!M:M)</f>
        <v>#DIV/0!</v>
      </c>
      <c r="L95" t="e">
        <f>AVERAGEIF('Quarterly Data'!$B:$B,'Annual Data'!$A95,'Quarterly Data'!N:N)</f>
        <v>#DIV/0!</v>
      </c>
      <c r="M95" t="e">
        <f>AVERAGEIF('Quarterly Data'!$B:$B,'Annual Data'!$A95,'Quarterly Data'!O:O)</f>
        <v>#DIV/0!</v>
      </c>
      <c r="N95" t="e">
        <f>AVERAGEIF('Quarterly Data'!$B:$B,'Annual Data'!$A95,'Quarterly Data'!P:P)</f>
        <v>#DIV/0!</v>
      </c>
      <c r="O95" t="e">
        <f>AVERAGEIF('Quarterly Data'!$B:$B,'Annual Data'!$A95,'Quarterly Data'!Q:Q)</f>
        <v>#DIV/0!</v>
      </c>
      <c r="P95">
        <f>SUMIF('Quarterly Data'!$B:$B,'Annual Data'!$A95,'Quarterly Data'!R:R)</f>
        <v>0</v>
      </c>
      <c r="Q95">
        <f>SUMIF('Quarterly Data'!$B:$B,'Annual Data'!$A95,'Quarterly Data'!S:S)</f>
        <v>0</v>
      </c>
      <c r="R95" t="e">
        <f>AVERAGEIF('Quarterly Data'!$B:$B,'Annual Data'!$A95,'Quarterly Data'!T:T)</f>
        <v>#DIV/0!</v>
      </c>
      <c r="S95">
        <f>SUMIF('Quarterly Data'!$B:$B,'Annual Data'!$A95,'Quarterly Data'!U:U)</f>
        <v>0</v>
      </c>
      <c r="T95">
        <f>SUMIF('Quarterly Data'!$B:$B,'Annual Data'!$A95,'Quarterly Data'!V:V)</f>
        <v>0</v>
      </c>
      <c r="U95">
        <f>SUMIF('Quarterly Data'!$B:$B,'Annual Data'!$A95,'Quarterly Data'!W:W)</f>
        <v>0</v>
      </c>
      <c r="V95">
        <f>SUMIF('Quarterly Data'!$B:$B,'Annual Data'!$A95,'Quarterly Data'!X:X)</f>
        <v>0</v>
      </c>
      <c r="W95">
        <f>SUMIF('Quarterly Data'!$B:$B,'Annual Data'!$A95,'Quarterly Data'!Y:Y)</f>
        <v>0</v>
      </c>
      <c r="X95">
        <f>SUMIF('Quarterly Data'!$B:$B,'Annual Data'!$A95,'Quarterly Data'!Z:Z)</f>
        <v>0</v>
      </c>
      <c r="Y95">
        <f>SUMIF('Quarterly Data'!$B:$B,'Annual Data'!$A95,'Quarterly Data'!AA:AA)</f>
        <v>0</v>
      </c>
      <c r="Z95" t="e">
        <f>AVERAGEIF('Quarterly Data'!$B:$B,'Annual Data'!$A95,'Quarterly Data'!AB:AB)</f>
        <v>#DIV/0!</v>
      </c>
      <c r="AA95" t="e">
        <f>AVERAGEIF('Quarterly Data'!$B:$B,'Annual Data'!$A95,'Quarterly Data'!AC:AC)</f>
        <v>#DIV/0!</v>
      </c>
      <c r="AB95" t="e">
        <f>AVERAGEIF('Quarterly Data'!$B:$B,'Annual Data'!$A95,'Quarterly Data'!AD:AD)</f>
        <v>#DIV/0!</v>
      </c>
      <c r="AC95" t="e">
        <f>AVERAGEIF('Quarterly Data'!$B:$B,'Annual Data'!$A95,'Quarterly Data'!AE:AE)</f>
        <v>#DIV/0!</v>
      </c>
      <c r="AD95" t="e">
        <f>AVERAGEIF('Quarterly Data'!$B:$B,'Annual Data'!$A95,'Quarterly Data'!AF:AF)</f>
        <v>#DIV/0!</v>
      </c>
      <c r="AE95">
        <f>SUMIF('Quarterly Data'!$B:$B,'Annual Data'!$A95,'Quarterly Data'!AG:AG)</f>
        <v>0</v>
      </c>
    </row>
    <row r="96" spans="1:31" x14ac:dyDescent="0.25">
      <c r="A96">
        <v>2062</v>
      </c>
      <c r="B96">
        <f>SUMIF('Quarterly Data'!$B:$B,'Annual Data'!$A96,'Quarterly Data'!D:D)</f>
        <v>0</v>
      </c>
      <c r="C96" t="e">
        <f>AVERAGEIF('Quarterly Data'!$B:$B,'Annual Data'!$A96,'Quarterly Data'!E:E)</f>
        <v>#DIV/0!</v>
      </c>
      <c r="D96">
        <f>SUMIF('Quarterly Data'!$B:$B,'Annual Data'!$A96,'Quarterly Data'!F:F)</f>
        <v>0</v>
      </c>
      <c r="E96">
        <f>SUMIF('Quarterly Data'!$B:$B,'Annual Data'!$A96,'Quarterly Data'!G:G)</f>
        <v>0</v>
      </c>
      <c r="F96">
        <f>SUMIF('Quarterly Data'!$B:$B,'Annual Data'!$A96,'Quarterly Data'!H:H)</f>
        <v>0</v>
      </c>
      <c r="G96">
        <f>SUMIF('Quarterly Data'!$B:$B,'Annual Data'!$A96,'Quarterly Data'!I:I)</f>
        <v>0</v>
      </c>
      <c r="H96">
        <f>SUMIF('Quarterly Data'!$B:$B,'Annual Data'!$A96,'Quarterly Data'!J:J)</f>
        <v>0</v>
      </c>
      <c r="I96">
        <f>SUMIF('Quarterly Data'!$B:$B,'Annual Data'!$A96,'Quarterly Data'!K:K)</f>
        <v>0</v>
      </c>
      <c r="J96">
        <f>SUMIF('Quarterly Data'!$B:$B,'Annual Data'!$A96,'Quarterly Data'!L:L)</f>
        <v>0</v>
      </c>
      <c r="K96" t="e">
        <f>AVERAGEIF('Quarterly Data'!$B:$B,'Annual Data'!$A96,'Quarterly Data'!M:M)</f>
        <v>#DIV/0!</v>
      </c>
      <c r="L96" t="e">
        <f>AVERAGEIF('Quarterly Data'!$B:$B,'Annual Data'!$A96,'Quarterly Data'!N:N)</f>
        <v>#DIV/0!</v>
      </c>
      <c r="M96" t="e">
        <f>AVERAGEIF('Quarterly Data'!$B:$B,'Annual Data'!$A96,'Quarterly Data'!O:O)</f>
        <v>#DIV/0!</v>
      </c>
      <c r="N96" t="e">
        <f>AVERAGEIF('Quarterly Data'!$B:$B,'Annual Data'!$A96,'Quarterly Data'!P:P)</f>
        <v>#DIV/0!</v>
      </c>
      <c r="O96" t="e">
        <f>AVERAGEIF('Quarterly Data'!$B:$B,'Annual Data'!$A96,'Quarterly Data'!Q:Q)</f>
        <v>#DIV/0!</v>
      </c>
      <c r="P96">
        <f>SUMIF('Quarterly Data'!$B:$B,'Annual Data'!$A96,'Quarterly Data'!R:R)</f>
        <v>0</v>
      </c>
      <c r="Q96">
        <f>SUMIF('Quarterly Data'!$B:$B,'Annual Data'!$A96,'Quarterly Data'!S:S)</f>
        <v>0</v>
      </c>
      <c r="R96" t="e">
        <f>AVERAGEIF('Quarterly Data'!$B:$B,'Annual Data'!$A96,'Quarterly Data'!T:T)</f>
        <v>#DIV/0!</v>
      </c>
      <c r="S96">
        <f>SUMIF('Quarterly Data'!$B:$B,'Annual Data'!$A96,'Quarterly Data'!U:U)</f>
        <v>0</v>
      </c>
      <c r="T96">
        <f>SUMIF('Quarterly Data'!$B:$B,'Annual Data'!$A96,'Quarterly Data'!V:V)</f>
        <v>0</v>
      </c>
      <c r="U96">
        <f>SUMIF('Quarterly Data'!$B:$B,'Annual Data'!$A96,'Quarterly Data'!W:W)</f>
        <v>0</v>
      </c>
      <c r="V96">
        <f>SUMIF('Quarterly Data'!$B:$B,'Annual Data'!$A96,'Quarterly Data'!X:X)</f>
        <v>0</v>
      </c>
      <c r="W96">
        <f>SUMIF('Quarterly Data'!$B:$B,'Annual Data'!$A96,'Quarterly Data'!Y:Y)</f>
        <v>0</v>
      </c>
      <c r="X96">
        <f>SUMIF('Quarterly Data'!$B:$B,'Annual Data'!$A96,'Quarterly Data'!Z:Z)</f>
        <v>0</v>
      </c>
      <c r="Y96">
        <f>SUMIF('Quarterly Data'!$B:$B,'Annual Data'!$A96,'Quarterly Data'!AA:AA)</f>
        <v>0</v>
      </c>
      <c r="Z96" t="e">
        <f>AVERAGEIF('Quarterly Data'!$B:$B,'Annual Data'!$A96,'Quarterly Data'!AB:AB)</f>
        <v>#DIV/0!</v>
      </c>
      <c r="AA96" t="e">
        <f>AVERAGEIF('Quarterly Data'!$B:$B,'Annual Data'!$A96,'Quarterly Data'!AC:AC)</f>
        <v>#DIV/0!</v>
      </c>
      <c r="AB96" t="e">
        <f>AVERAGEIF('Quarterly Data'!$B:$B,'Annual Data'!$A96,'Quarterly Data'!AD:AD)</f>
        <v>#DIV/0!</v>
      </c>
      <c r="AC96" t="e">
        <f>AVERAGEIF('Quarterly Data'!$B:$B,'Annual Data'!$A96,'Quarterly Data'!AE:AE)</f>
        <v>#DIV/0!</v>
      </c>
      <c r="AD96" t="e">
        <f>AVERAGEIF('Quarterly Data'!$B:$B,'Annual Data'!$A96,'Quarterly Data'!AF:AF)</f>
        <v>#DIV/0!</v>
      </c>
      <c r="AE96">
        <f>SUMIF('Quarterly Data'!$B:$B,'Annual Data'!$A96,'Quarterly Data'!AG:AG)</f>
        <v>0</v>
      </c>
    </row>
    <row r="97" spans="1:31" x14ac:dyDescent="0.25">
      <c r="A97">
        <v>2063</v>
      </c>
      <c r="B97">
        <f>SUMIF('Quarterly Data'!$B:$B,'Annual Data'!$A97,'Quarterly Data'!D:D)</f>
        <v>0</v>
      </c>
      <c r="C97" t="e">
        <f>AVERAGEIF('Quarterly Data'!$B:$B,'Annual Data'!$A97,'Quarterly Data'!E:E)</f>
        <v>#DIV/0!</v>
      </c>
      <c r="D97">
        <f>SUMIF('Quarterly Data'!$B:$B,'Annual Data'!$A97,'Quarterly Data'!F:F)</f>
        <v>0</v>
      </c>
      <c r="E97">
        <f>SUMIF('Quarterly Data'!$B:$B,'Annual Data'!$A97,'Quarterly Data'!G:G)</f>
        <v>0</v>
      </c>
      <c r="F97">
        <f>SUMIF('Quarterly Data'!$B:$B,'Annual Data'!$A97,'Quarterly Data'!H:H)</f>
        <v>0</v>
      </c>
      <c r="G97">
        <f>SUMIF('Quarterly Data'!$B:$B,'Annual Data'!$A97,'Quarterly Data'!I:I)</f>
        <v>0</v>
      </c>
      <c r="H97">
        <f>SUMIF('Quarterly Data'!$B:$B,'Annual Data'!$A97,'Quarterly Data'!J:J)</f>
        <v>0</v>
      </c>
      <c r="I97">
        <f>SUMIF('Quarterly Data'!$B:$B,'Annual Data'!$A97,'Quarterly Data'!K:K)</f>
        <v>0</v>
      </c>
      <c r="J97">
        <f>SUMIF('Quarterly Data'!$B:$B,'Annual Data'!$A97,'Quarterly Data'!L:L)</f>
        <v>0</v>
      </c>
      <c r="K97" t="e">
        <f>AVERAGEIF('Quarterly Data'!$B:$B,'Annual Data'!$A97,'Quarterly Data'!M:M)</f>
        <v>#DIV/0!</v>
      </c>
      <c r="L97" t="e">
        <f>AVERAGEIF('Quarterly Data'!$B:$B,'Annual Data'!$A97,'Quarterly Data'!N:N)</f>
        <v>#DIV/0!</v>
      </c>
      <c r="M97" t="e">
        <f>AVERAGEIF('Quarterly Data'!$B:$B,'Annual Data'!$A97,'Quarterly Data'!O:O)</f>
        <v>#DIV/0!</v>
      </c>
      <c r="N97" t="e">
        <f>AVERAGEIF('Quarterly Data'!$B:$B,'Annual Data'!$A97,'Quarterly Data'!P:P)</f>
        <v>#DIV/0!</v>
      </c>
      <c r="O97" t="e">
        <f>AVERAGEIF('Quarterly Data'!$B:$B,'Annual Data'!$A97,'Quarterly Data'!Q:Q)</f>
        <v>#DIV/0!</v>
      </c>
      <c r="P97">
        <f>SUMIF('Quarterly Data'!$B:$B,'Annual Data'!$A97,'Quarterly Data'!R:R)</f>
        <v>0</v>
      </c>
      <c r="Q97">
        <f>SUMIF('Quarterly Data'!$B:$B,'Annual Data'!$A97,'Quarterly Data'!S:S)</f>
        <v>0</v>
      </c>
      <c r="R97" t="e">
        <f>AVERAGEIF('Quarterly Data'!$B:$B,'Annual Data'!$A97,'Quarterly Data'!T:T)</f>
        <v>#DIV/0!</v>
      </c>
      <c r="S97">
        <f>SUMIF('Quarterly Data'!$B:$B,'Annual Data'!$A97,'Quarterly Data'!U:U)</f>
        <v>0</v>
      </c>
      <c r="T97">
        <f>SUMIF('Quarterly Data'!$B:$B,'Annual Data'!$A97,'Quarterly Data'!V:V)</f>
        <v>0</v>
      </c>
      <c r="U97">
        <f>SUMIF('Quarterly Data'!$B:$B,'Annual Data'!$A97,'Quarterly Data'!W:W)</f>
        <v>0</v>
      </c>
      <c r="V97">
        <f>SUMIF('Quarterly Data'!$B:$B,'Annual Data'!$A97,'Quarterly Data'!X:X)</f>
        <v>0</v>
      </c>
      <c r="W97">
        <f>SUMIF('Quarterly Data'!$B:$B,'Annual Data'!$A97,'Quarterly Data'!Y:Y)</f>
        <v>0</v>
      </c>
      <c r="X97">
        <f>SUMIF('Quarterly Data'!$B:$B,'Annual Data'!$A97,'Quarterly Data'!Z:Z)</f>
        <v>0</v>
      </c>
      <c r="Y97">
        <f>SUMIF('Quarterly Data'!$B:$B,'Annual Data'!$A97,'Quarterly Data'!AA:AA)</f>
        <v>0</v>
      </c>
      <c r="Z97" t="e">
        <f>AVERAGEIF('Quarterly Data'!$B:$B,'Annual Data'!$A97,'Quarterly Data'!AB:AB)</f>
        <v>#DIV/0!</v>
      </c>
      <c r="AA97" t="e">
        <f>AVERAGEIF('Quarterly Data'!$B:$B,'Annual Data'!$A97,'Quarterly Data'!AC:AC)</f>
        <v>#DIV/0!</v>
      </c>
      <c r="AB97" t="e">
        <f>AVERAGEIF('Quarterly Data'!$B:$B,'Annual Data'!$A97,'Quarterly Data'!AD:AD)</f>
        <v>#DIV/0!</v>
      </c>
      <c r="AC97" t="e">
        <f>AVERAGEIF('Quarterly Data'!$B:$B,'Annual Data'!$A97,'Quarterly Data'!AE:AE)</f>
        <v>#DIV/0!</v>
      </c>
      <c r="AD97" t="e">
        <f>AVERAGEIF('Quarterly Data'!$B:$B,'Annual Data'!$A97,'Quarterly Data'!AF:AF)</f>
        <v>#DIV/0!</v>
      </c>
      <c r="AE97">
        <f>SUMIF('Quarterly Data'!$B:$B,'Annual Data'!$A97,'Quarterly Data'!AG:AG)</f>
        <v>0</v>
      </c>
    </row>
    <row r="98" spans="1:31" x14ac:dyDescent="0.25">
      <c r="A98">
        <v>2064</v>
      </c>
      <c r="B98">
        <f>SUMIF('Quarterly Data'!$B:$B,'Annual Data'!$A98,'Quarterly Data'!D:D)</f>
        <v>0</v>
      </c>
      <c r="C98" t="e">
        <f>AVERAGEIF('Quarterly Data'!$B:$B,'Annual Data'!$A98,'Quarterly Data'!E:E)</f>
        <v>#DIV/0!</v>
      </c>
      <c r="D98">
        <f>SUMIF('Quarterly Data'!$B:$B,'Annual Data'!$A98,'Quarterly Data'!F:F)</f>
        <v>0</v>
      </c>
      <c r="E98">
        <f>SUMIF('Quarterly Data'!$B:$B,'Annual Data'!$A98,'Quarterly Data'!G:G)</f>
        <v>0</v>
      </c>
      <c r="F98">
        <f>SUMIF('Quarterly Data'!$B:$B,'Annual Data'!$A98,'Quarterly Data'!H:H)</f>
        <v>0</v>
      </c>
      <c r="G98">
        <f>SUMIF('Quarterly Data'!$B:$B,'Annual Data'!$A98,'Quarterly Data'!I:I)</f>
        <v>0</v>
      </c>
      <c r="H98">
        <f>SUMIF('Quarterly Data'!$B:$B,'Annual Data'!$A98,'Quarterly Data'!J:J)</f>
        <v>0</v>
      </c>
      <c r="I98">
        <f>SUMIF('Quarterly Data'!$B:$B,'Annual Data'!$A98,'Quarterly Data'!K:K)</f>
        <v>0</v>
      </c>
      <c r="J98">
        <f>SUMIF('Quarterly Data'!$B:$B,'Annual Data'!$A98,'Quarterly Data'!L:L)</f>
        <v>0</v>
      </c>
      <c r="K98" t="e">
        <f>AVERAGEIF('Quarterly Data'!$B:$B,'Annual Data'!$A98,'Quarterly Data'!M:M)</f>
        <v>#DIV/0!</v>
      </c>
      <c r="L98" t="e">
        <f>AVERAGEIF('Quarterly Data'!$B:$B,'Annual Data'!$A98,'Quarterly Data'!N:N)</f>
        <v>#DIV/0!</v>
      </c>
      <c r="M98" t="e">
        <f>AVERAGEIF('Quarterly Data'!$B:$B,'Annual Data'!$A98,'Quarterly Data'!O:O)</f>
        <v>#DIV/0!</v>
      </c>
      <c r="N98" t="e">
        <f>AVERAGEIF('Quarterly Data'!$B:$B,'Annual Data'!$A98,'Quarterly Data'!P:P)</f>
        <v>#DIV/0!</v>
      </c>
      <c r="O98" t="e">
        <f>AVERAGEIF('Quarterly Data'!$B:$B,'Annual Data'!$A98,'Quarterly Data'!Q:Q)</f>
        <v>#DIV/0!</v>
      </c>
      <c r="P98">
        <f>SUMIF('Quarterly Data'!$B:$B,'Annual Data'!$A98,'Quarterly Data'!R:R)</f>
        <v>0</v>
      </c>
      <c r="Q98">
        <f>SUMIF('Quarterly Data'!$B:$B,'Annual Data'!$A98,'Quarterly Data'!S:S)</f>
        <v>0</v>
      </c>
      <c r="R98" t="e">
        <f>AVERAGEIF('Quarterly Data'!$B:$B,'Annual Data'!$A98,'Quarterly Data'!T:T)</f>
        <v>#DIV/0!</v>
      </c>
      <c r="S98">
        <f>SUMIF('Quarterly Data'!$B:$B,'Annual Data'!$A98,'Quarterly Data'!U:U)</f>
        <v>0</v>
      </c>
      <c r="T98">
        <f>SUMIF('Quarterly Data'!$B:$B,'Annual Data'!$A98,'Quarterly Data'!V:V)</f>
        <v>0</v>
      </c>
      <c r="U98">
        <f>SUMIF('Quarterly Data'!$B:$B,'Annual Data'!$A98,'Quarterly Data'!W:W)</f>
        <v>0</v>
      </c>
      <c r="V98">
        <f>SUMIF('Quarterly Data'!$B:$B,'Annual Data'!$A98,'Quarterly Data'!X:X)</f>
        <v>0</v>
      </c>
      <c r="W98">
        <f>SUMIF('Quarterly Data'!$B:$B,'Annual Data'!$A98,'Quarterly Data'!Y:Y)</f>
        <v>0</v>
      </c>
      <c r="X98">
        <f>SUMIF('Quarterly Data'!$B:$B,'Annual Data'!$A98,'Quarterly Data'!Z:Z)</f>
        <v>0</v>
      </c>
      <c r="Y98">
        <f>SUMIF('Quarterly Data'!$B:$B,'Annual Data'!$A98,'Quarterly Data'!AA:AA)</f>
        <v>0</v>
      </c>
      <c r="Z98" t="e">
        <f>AVERAGEIF('Quarterly Data'!$B:$B,'Annual Data'!$A98,'Quarterly Data'!AB:AB)</f>
        <v>#DIV/0!</v>
      </c>
      <c r="AA98" t="e">
        <f>AVERAGEIF('Quarterly Data'!$B:$B,'Annual Data'!$A98,'Quarterly Data'!AC:AC)</f>
        <v>#DIV/0!</v>
      </c>
      <c r="AB98" t="e">
        <f>AVERAGEIF('Quarterly Data'!$B:$B,'Annual Data'!$A98,'Quarterly Data'!AD:AD)</f>
        <v>#DIV/0!</v>
      </c>
      <c r="AC98" t="e">
        <f>AVERAGEIF('Quarterly Data'!$B:$B,'Annual Data'!$A98,'Quarterly Data'!AE:AE)</f>
        <v>#DIV/0!</v>
      </c>
      <c r="AD98" t="e">
        <f>AVERAGEIF('Quarterly Data'!$B:$B,'Annual Data'!$A98,'Quarterly Data'!AF:AF)</f>
        <v>#DIV/0!</v>
      </c>
      <c r="AE98">
        <f>SUMIF('Quarterly Data'!$B:$B,'Annual Data'!$A98,'Quarterly Data'!AG:AG)</f>
        <v>0</v>
      </c>
    </row>
    <row r="99" spans="1:31" x14ac:dyDescent="0.25">
      <c r="A99">
        <v>2065</v>
      </c>
      <c r="B99">
        <f>SUMIF('Quarterly Data'!$B:$B,'Annual Data'!$A99,'Quarterly Data'!D:D)</f>
        <v>0</v>
      </c>
      <c r="C99" t="e">
        <f>AVERAGEIF('Quarterly Data'!$B:$B,'Annual Data'!$A99,'Quarterly Data'!E:E)</f>
        <v>#DIV/0!</v>
      </c>
      <c r="D99">
        <f>SUMIF('Quarterly Data'!$B:$B,'Annual Data'!$A99,'Quarterly Data'!F:F)</f>
        <v>0</v>
      </c>
      <c r="E99">
        <f>SUMIF('Quarterly Data'!$B:$B,'Annual Data'!$A99,'Quarterly Data'!G:G)</f>
        <v>0</v>
      </c>
      <c r="F99">
        <f>SUMIF('Quarterly Data'!$B:$B,'Annual Data'!$A99,'Quarterly Data'!H:H)</f>
        <v>0</v>
      </c>
      <c r="G99">
        <f>SUMIF('Quarterly Data'!$B:$B,'Annual Data'!$A99,'Quarterly Data'!I:I)</f>
        <v>0</v>
      </c>
      <c r="H99">
        <f>SUMIF('Quarterly Data'!$B:$B,'Annual Data'!$A99,'Quarterly Data'!J:J)</f>
        <v>0</v>
      </c>
      <c r="I99">
        <f>SUMIF('Quarterly Data'!$B:$B,'Annual Data'!$A99,'Quarterly Data'!K:K)</f>
        <v>0</v>
      </c>
      <c r="J99">
        <f>SUMIF('Quarterly Data'!$B:$B,'Annual Data'!$A99,'Quarterly Data'!L:L)</f>
        <v>0</v>
      </c>
      <c r="K99" t="e">
        <f>AVERAGEIF('Quarterly Data'!$B:$B,'Annual Data'!$A99,'Quarterly Data'!M:M)</f>
        <v>#DIV/0!</v>
      </c>
      <c r="L99" t="e">
        <f>AVERAGEIF('Quarterly Data'!$B:$B,'Annual Data'!$A99,'Quarterly Data'!N:N)</f>
        <v>#DIV/0!</v>
      </c>
      <c r="M99" t="e">
        <f>AVERAGEIF('Quarterly Data'!$B:$B,'Annual Data'!$A99,'Quarterly Data'!O:O)</f>
        <v>#DIV/0!</v>
      </c>
      <c r="N99" t="e">
        <f>AVERAGEIF('Quarterly Data'!$B:$B,'Annual Data'!$A99,'Quarterly Data'!P:P)</f>
        <v>#DIV/0!</v>
      </c>
      <c r="O99" t="e">
        <f>AVERAGEIF('Quarterly Data'!$B:$B,'Annual Data'!$A99,'Quarterly Data'!Q:Q)</f>
        <v>#DIV/0!</v>
      </c>
      <c r="P99">
        <f>SUMIF('Quarterly Data'!$B:$B,'Annual Data'!$A99,'Quarterly Data'!R:R)</f>
        <v>0</v>
      </c>
      <c r="Q99">
        <f>SUMIF('Quarterly Data'!$B:$B,'Annual Data'!$A99,'Quarterly Data'!S:S)</f>
        <v>0</v>
      </c>
      <c r="R99" t="e">
        <f>AVERAGEIF('Quarterly Data'!$B:$B,'Annual Data'!$A99,'Quarterly Data'!T:T)</f>
        <v>#DIV/0!</v>
      </c>
      <c r="S99">
        <f>SUMIF('Quarterly Data'!$B:$B,'Annual Data'!$A99,'Quarterly Data'!U:U)</f>
        <v>0</v>
      </c>
      <c r="T99">
        <f>SUMIF('Quarterly Data'!$B:$B,'Annual Data'!$A99,'Quarterly Data'!V:V)</f>
        <v>0</v>
      </c>
      <c r="U99">
        <f>SUMIF('Quarterly Data'!$B:$B,'Annual Data'!$A99,'Quarterly Data'!W:W)</f>
        <v>0</v>
      </c>
      <c r="V99">
        <f>SUMIF('Quarterly Data'!$B:$B,'Annual Data'!$A99,'Quarterly Data'!X:X)</f>
        <v>0</v>
      </c>
      <c r="W99">
        <f>SUMIF('Quarterly Data'!$B:$B,'Annual Data'!$A99,'Quarterly Data'!Y:Y)</f>
        <v>0</v>
      </c>
      <c r="X99">
        <f>SUMIF('Quarterly Data'!$B:$B,'Annual Data'!$A99,'Quarterly Data'!Z:Z)</f>
        <v>0</v>
      </c>
      <c r="Y99">
        <f>SUMIF('Quarterly Data'!$B:$B,'Annual Data'!$A99,'Quarterly Data'!AA:AA)</f>
        <v>0</v>
      </c>
      <c r="Z99" t="e">
        <f>AVERAGEIF('Quarterly Data'!$B:$B,'Annual Data'!$A99,'Quarterly Data'!AB:AB)</f>
        <v>#DIV/0!</v>
      </c>
      <c r="AA99" t="e">
        <f>AVERAGEIF('Quarterly Data'!$B:$B,'Annual Data'!$A99,'Quarterly Data'!AC:AC)</f>
        <v>#DIV/0!</v>
      </c>
      <c r="AB99" t="e">
        <f>AVERAGEIF('Quarterly Data'!$B:$B,'Annual Data'!$A99,'Quarterly Data'!AD:AD)</f>
        <v>#DIV/0!</v>
      </c>
      <c r="AC99" t="e">
        <f>AVERAGEIF('Quarterly Data'!$B:$B,'Annual Data'!$A99,'Quarterly Data'!AE:AE)</f>
        <v>#DIV/0!</v>
      </c>
      <c r="AD99" t="e">
        <f>AVERAGEIF('Quarterly Data'!$B:$B,'Annual Data'!$A99,'Quarterly Data'!AF:AF)</f>
        <v>#DIV/0!</v>
      </c>
      <c r="AE99">
        <f>SUMIF('Quarterly Data'!$B:$B,'Annual Data'!$A99,'Quarterly Data'!AG:AG)</f>
        <v>0</v>
      </c>
    </row>
    <row r="100" spans="1:31" x14ac:dyDescent="0.25">
      <c r="A100">
        <v>2066</v>
      </c>
      <c r="B100">
        <f>SUMIF('Quarterly Data'!$B:$B,'Annual Data'!$A100,'Quarterly Data'!D:D)</f>
        <v>0</v>
      </c>
      <c r="C100" t="e">
        <f>AVERAGEIF('Quarterly Data'!$B:$B,'Annual Data'!$A100,'Quarterly Data'!E:E)</f>
        <v>#DIV/0!</v>
      </c>
      <c r="D100">
        <f>SUMIF('Quarterly Data'!$B:$B,'Annual Data'!$A100,'Quarterly Data'!F:F)</f>
        <v>0</v>
      </c>
      <c r="E100">
        <f>SUMIF('Quarterly Data'!$B:$B,'Annual Data'!$A100,'Quarterly Data'!G:G)</f>
        <v>0</v>
      </c>
      <c r="F100">
        <f>SUMIF('Quarterly Data'!$B:$B,'Annual Data'!$A100,'Quarterly Data'!H:H)</f>
        <v>0</v>
      </c>
      <c r="G100">
        <f>SUMIF('Quarterly Data'!$B:$B,'Annual Data'!$A100,'Quarterly Data'!I:I)</f>
        <v>0</v>
      </c>
      <c r="H100">
        <f>SUMIF('Quarterly Data'!$B:$B,'Annual Data'!$A100,'Quarterly Data'!J:J)</f>
        <v>0</v>
      </c>
      <c r="I100">
        <f>SUMIF('Quarterly Data'!$B:$B,'Annual Data'!$A100,'Quarterly Data'!K:K)</f>
        <v>0</v>
      </c>
      <c r="J100">
        <f>SUMIF('Quarterly Data'!$B:$B,'Annual Data'!$A100,'Quarterly Data'!L:L)</f>
        <v>0</v>
      </c>
      <c r="K100" t="e">
        <f>AVERAGEIF('Quarterly Data'!$B:$B,'Annual Data'!$A100,'Quarterly Data'!M:M)</f>
        <v>#DIV/0!</v>
      </c>
      <c r="L100" t="e">
        <f>AVERAGEIF('Quarterly Data'!$B:$B,'Annual Data'!$A100,'Quarterly Data'!N:N)</f>
        <v>#DIV/0!</v>
      </c>
      <c r="M100" t="e">
        <f>AVERAGEIF('Quarterly Data'!$B:$B,'Annual Data'!$A100,'Quarterly Data'!O:O)</f>
        <v>#DIV/0!</v>
      </c>
      <c r="N100" t="e">
        <f>AVERAGEIF('Quarterly Data'!$B:$B,'Annual Data'!$A100,'Quarterly Data'!P:P)</f>
        <v>#DIV/0!</v>
      </c>
      <c r="O100" t="e">
        <f>AVERAGEIF('Quarterly Data'!$B:$B,'Annual Data'!$A100,'Quarterly Data'!Q:Q)</f>
        <v>#DIV/0!</v>
      </c>
      <c r="P100">
        <f>SUMIF('Quarterly Data'!$B:$B,'Annual Data'!$A100,'Quarterly Data'!R:R)</f>
        <v>0</v>
      </c>
      <c r="Q100">
        <f>SUMIF('Quarterly Data'!$B:$B,'Annual Data'!$A100,'Quarterly Data'!S:S)</f>
        <v>0</v>
      </c>
      <c r="R100" t="e">
        <f>AVERAGEIF('Quarterly Data'!$B:$B,'Annual Data'!$A100,'Quarterly Data'!T:T)</f>
        <v>#DIV/0!</v>
      </c>
      <c r="S100">
        <f>SUMIF('Quarterly Data'!$B:$B,'Annual Data'!$A100,'Quarterly Data'!U:U)</f>
        <v>0</v>
      </c>
      <c r="T100">
        <f>SUMIF('Quarterly Data'!$B:$B,'Annual Data'!$A100,'Quarterly Data'!V:V)</f>
        <v>0</v>
      </c>
      <c r="U100">
        <f>SUMIF('Quarterly Data'!$B:$B,'Annual Data'!$A100,'Quarterly Data'!W:W)</f>
        <v>0</v>
      </c>
      <c r="V100">
        <f>SUMIF('Quarterly Data'!$B:$B,'Annual Data'!$A100,'Quarterly Data'!X:X)</f>
        <v>0</v>
      </c>
      <c r="W100">
        <f>SUMIF('Quarterly Data'!$B:$B,'Annual Data'!$A100,'Quarterly Data'!Y:Y)</f>
        <v>0</v>
      </c>
      <c r="X100">
        <f>SUMIF('Quarterly Data'!$B:$B,'Annual Data'!$A100,'Quarterly Data'!Z:Z)</f>
        <v>0</v>
      </c>
      <c r="Y100">
        <f>SUMIF('Quarterly Data'!$B:$B,'Annual Data'!$A100,'Quarterly Data'!AA:AA)</f>
        <v>0</v>
      </c>
      <c r="Z100" t="e">
        <f>AVERAGEIF('Quarterly Data'!$B:$B,'Annual Data'!$A100,'Quarterly Data'!AB:AB)</f>
        <v>#DIV/0!</v>
      </c>
      <c r="AA100" t="e">
        <f>AVERAGEIF('Quarterly Data'!$B:$B,'Annual Data'!$A100,'Quarterly Data'!AC:AC)</f>
        <v>#DIV/0!</v>
      </c>
      <c r="AB100" t="e">
        <f>AVERAGEIF('Quarterly Data'!$B:$B,'Annual Data'!$A100,'Quarterly Data'!AD:AD)</f>
        <v>#DIV/0!</v>
      </c>
      <c r="AC100" t="e">
        <f>AVERAGEIF('Quarterly Data'!$B:$B,'Annual Data'!$A100,'Quarterly Data'!AE:AE)</f>
        <v>#DIV/0!</v>
      </c>
      <c r="AD100" t="e">
        <f>AVERAGEIF('Quarterly Data'!$B:$B,'Annual Data'!$A100,'Quarterly Data'!AF:AF)</f>
        <v>#DIV/0!</v>
      </c>
      <c r="AE100">
        <f>SUMIF('Quarterly Data'!$B:$B,'Annual Data'!$A100,'Quarterly Data'!AG:AG)</f>
        <v>0</v>
      </c>
    </row>
    <row r="101" spans="1:31" x14ac:dyDescent="0.25">
      <c r="A101">
        <v>2067</v>
      </c>
      <c r="B101">
        <f>SUMIF('Quarterly Data'!$B:$B,'Annual Data'!$A101,'Quarterly Data'!D:D)</f>
        <v>0</v>
      </c>
      <c r="C101" t="e">
        <f>AVERAGEIF('Quarterly Data'!$B:$B,'Annual Data'!$A101,'Quarterly Data'!E:E)</f>
        <v>#DIV/0!</v>
      </c>
      <c r="D101">
        <f>SUMIF('Quarterly Data'!$B:$B,'Annual Data'!$A101,'Quarterly Data'!F:F)</f>
        <v>0</v>
      </c>
      <c r="E101">
        <f>SUMIF('Quarterly Data'!$B:$B,'Annual Data'!$A101,'Quarterly Data'!G:G)</f>
        <v>0</v>
      </c>
      <c r="F101">
        <f>SUMIF('Quarterly Data'!$B:$B,'Annual Data'!$A101,'Quarterly Data'!H:H)</f>
        <v>0</v>
      </c>
      <c r="G101">
        <f>SUMIF('Quarterly Data'!$B:$B,'Annual Data'!$A101,'Quarterly Data'!I:I)</f>
        <v>0</v>
      </c>
      <c r="H101">
        <f>SUMIF('Quarterly Data'!$B:$B,'Annual Data'!$A101,'Quarterly Data'!J:J)</f>
        <v>0</v>
      </c>
      <c r="I101">
        <f>SUMIF('Quarterly Data'!$B:$B,'Annual Data'!$A101,'Quarterly Data'!K:K)</f>
        <v>0</v>
      </c>
      <c r="J101">
        <f>SUMIF('Quarterly Data'!$B:$B,'Annual Data'!$A101,'Quarterly Data'!L:L)</f>
        <v>0</v>
      </c>
      <c r="K101" t="e">
        <f>AVERAGEIF('Quarterly Data'!$B:$B,'Annual Data'!$A101,'Quarterly Data'!M:M)</f>
        <v>#DIV/0!</v>
      </c>
      <c r="L101" t="e">
        <f>AVERAGEIF('Quarterly Data'!$B:$B,'Annual Data'!$A101,'Quarterly Data'!N:N)</f>
        <v>#DIV/0!</v>
      </c>
      <c r="M101" t="e">
        <f>AVERAGEIF('Quarterly Data'!$B:$B,'Annual Data'!$A101,'Quarterly Data'!O:O)</f>
        <v>#DIV/0!</v>
      </c>
      <c r="N101" t="e">
        <f>AVERAGEIF('Quarterly Data'!$B:$B,'Annual Data'!$A101,'Quarterly Data'!P:P)</f>
        <v>#DIV/0!</v>
      </c>
      <c r="O101" t="e">
        <f>AVERAGEIF('Quarterly Data'!$B:$B,'Annual Data'!$A101,'Quarterly Data'!Q:Q)</f>
        <v>#DIV/0!</v>
      </c>
      <c r="P101">
        <f>SUMIF('Quarterly Data'!$B:$B,'Annual Data'!$A101,'Quarterly Data'!R:R)</f>
        <v>0</v>
      </c>
      <c r="Q101">
        <f>SUMIF('Quarterly Data'!$B:$B,'Annual Data'!$A101,'Quarterly Data'!S:S)</f>
        <v>0</v>
      </c>
      <c r="R101" t="e">
        <f>AVERAGEIF('Quarterly Data'!$B:$B,'Annual Data'!$A101,'Quarterly Data'!T:T)</f>
        <v>#DIV/0!</v>
      </c>
      <c r="S101">
        <f>SUMIF('Quarterly Data'!$B:$B,'Annual Data'!$A101,'Quarterly Data'!U:U)</f>
        <v>0</v>
      </c>
      <c r="T101">
        <f>SUMIF('Quarterly Data'!$B:$B,'Annual Data'!$A101,'Quarterly Data'!V:V)</f>
        <v>0</v>
      </c>
      <c r="U101">
        <f>SUMIF('Quarterly Data'!$B:$B,'Annual Data'!$A101,'Quarterly Data'!W:W)</f>
        <v>0</v>
      </c>
      <c r="V101">
        <f>SUMIF('Quarterly Data'!$B:$B,'Annual Data'!$A101,'Quarterly Data'!X:X)</f>
        <v>0</v>
      </c>
      <c r="W101">
        <f>SUMIF('Quarterly Data'!$B:$B,'Annual Data'!$A101,'Quarterly Data'!Y:Y)</f>
        <v>0</v>
      </c>
      <c r="X101">
        <f>SUMIF('Quarterly Data'!$B:$B,'Annual Data'!$A101,'Quarterly Data'!Z:Z)</f>
        <v>0</v>
      </c>
      <c r="Y101">
        <f>SUMIF('Quarterly Data'!$B:$B,'Annual Data'!$A101,'Quarterly Data'!AA:AA)</f>
        <v>0</v>
      </c>
      <c r="Z101" t="e">
        <f>AVERAGEIF('Quarterly Data'!$B:$B,'Annual Data'!$A101,'Quarterly Data'!AB:AB)</f>
        <v>#DIV/0!</v>
      </c>
      <c r="AA101" t="e">
        <f>AVERAGEIF('Quarterly Data'!$B:$B,'Annual Data'!$A101,'Quarterly Data'!AC:AC)</f>
        <v>#DIV/0!</v>
      </c>
      <c r="AB101" t="e">
        <f>AVERAGEIF('Quarterly Data'!$B:$B,'Annual Data'!$A101,'Quarterly Data'!AD:AD)</f>
        <v>#DIV/0!</v>
      </c>
      <c r="AC101" t="e">
        <f>AVERAGEIF('Quarterly Data'!$B:$B,'Annual Data'!$A101,'Quarterly Data'!AE:AE)</f>
        <v>#DIV/0!</v>
      </c>
      <c r="AD101" t="e">
        <f>AVERAGEIF('Quarterly Data'!$B:$B,'Annual Data'!$A101,'Quarterly Data'!AF:AF)</f>
        <v>#DIV/0!</v>
      </c>
      <c r="AE101">
        <f>SUMIF('Quarterly Data'!$B:$B,'Annual Data'!$A101,'Quarterly Data'!AG:AG)</f>
        <v>0</v>
      </c>
    </row>
    <row r="102" spans="1:31" x14ac:dyDescent="0.25">
      <c r="A102">
        <v>2068</v>
      </c>
      <c r="B102">
        <f>SUMIF('Quarterly Data'!$B:$B,'Annual Data'!$A102,'Quarterly Data'!D:D)</f>
        <v>0</v>
      </c>
      <c r="C102" t="e">
        <f>AVERAGEIF('Quarterly Data'!$B:$B,'Annual Data'!$A102,'Quarterly Data'!E:E)</f>
        <v>#DIV/0!</v>
      </c>
      <c r="D102">
        <f>SUMIF('Quarterly Data'!$B:$B,'Annual Data'!$A102,'Quarterly Data'!F:F)</f>
        <v>0</v>
      </c>
      <c r="E102">
        <f>SUMIF('Quarterly Data'!$B:$B,'Annual Data'!$A102,'Quarterly Data'!G:G)</f>
        <v>0</v>
      </c>
      <c r="F102">
        <f>SUMIF('Quarterly Data'!$B:$B,'Annual Data'!$A102,'Quarterly Data'!H:H)</f>
        <v>0</v>
      </c>
      <c r="G102">
        <f>SUMIF('Quarterly Data'!$B:$B,'Annual Data'!$A102,'Quarterly Data'!I:I)</f>
        <v>0</v>
      </c>
      <c r="H102">
        <f>SUMIF('Quarterly Data'!$B:$B,'Annual Data'!$A102,'Quarterly Data'!J:J)</f>
        <v>0</v>
      </c>
      <c r="I102">
        <f>SUMIF('Quarterly Data'!$B:$B,'Annual Data'!$A102,'Quarterly Data'!K:K)</f>
        <v>0</v>
      </c>
      <c r="J102">
        <f>SUMIF('Quarterly Data'!$B:$B,'Annual Data'!$A102,'Quarterly Data'!L:L)</f>
        <v>0</v>
      </c>
      <c r="K102" t="e">
        <f>AVERAGEIF('Quarterly Data'!$B:$B,'Annual Data'!$A102,'Quarterly Data'!M:M)</f>
        <v>#DIV/0!</v>
      </c>
      <c r="L102" t="e">
        <f>AVERAGEIF('Quarterly Data'!$B:$B,'Annual Data'!$A102,'Quarterly Data'!N:N)</f>
        <v>#DIV/0!</v>
      </c>
      <c r="M102" t="e">
        <f>AVERAGEIF('Quarterly Data'!$B:$B,'Annual Data'!$A102,'Quarterly Data'!O:O)</f>
        <v>#DIV/0!</v>
      </c>
      <c r="N102" t="e">
        <f>AVERAGEIF('Quarterly Data'!$B:$B,'Annual Data'!$A102,'Quarterly Data'!P:P)</f>
        <v>#DIV/0!</v>
      </c>
      <c r="O102" t="e">
        <f>AVERAGEIF('Quarterly Data'!$B:$B,'Annual Data'!$A102,'Quarterly Data'!Q:Q)</f>
        <v>#DIV/0!</v>
      </c>
      <c r="P102">
        <f>SUMIF('Quarterly Data'!$B:$B,'Annual Data'!$A102,'Quarterly Data'!R:R)</f>
        <v>0</v>
      </c>
      <c r="Q102">
        <f>SUMIF('Quarterly Data'!$B:$B,'Annual Data'!$A102,'Quarterly Data'!S:S)</f>
        <v>0</v>
      </c>
      <c r="R102" t="e">
        <f>AVERAGEIF('Quarterly Data'!$B:$B,'Annual Data'!$A102,'Quarterly Data'!T:T)</f>
        <v>#DIV/0!</v>
      </c>
      <c r="S102">
        <f>SUMIF('Quarterly Data'!$B:$B,'Annual Data'!$A102,'Quarterly Data'!U:U)</f>
        <v>0</v>
      </c>
      <c r="T102">
        <f>SUMIF('Quarterly Data'!$B:$B,'Annual Data'!$A102,'Quarterly Data'!V:V)</f>
        <v>0</v>
      </c>
      <c r="U102">
        <f>SUMIF('Quarterly Data'!$B:$B,'Annual Data'!$A102,'Quarterly Data'!W:W)</f>
        <v>0</v>
      </c>
      <c r="V102">
        <f>SUMIF('Quarterly Data'!$B:$B,'Annual Data'!$A102,'Quarterly Data'!X:X)</f>
        <v>0</v>
      </c>
      <c r="W102">
        <f>SUMIF('Quarterly Data'!$B:$B,'Annual Data'!$A102,'Quarterly Data'!Y:Y)</f>
        <v>0</v>
      </c>
      <c r="X102">
        <f>SUMIF('Quarterly Data'!$B:$B,'Annual Data'!$A102,'Quarterly Data'!Z:Z)</f>
        <v>0</v>
      </c>
      <c r="Y102">
        <f>SUMIF('Quarterly Data'!$B:$B,'Annual Data'!$A102,'Quarterly Data'!AA:AA)</f>
        <v>0</v>
      </c>
      <c r="Z102" t="e">
        <f>AVERAGEIF('Quarterly Data'!$B:$B,'Annual Data'!$A102,'Quarterly Data'!AB:AB)</f>
        <v>#DIV/0!</v>
      </c>
      <c r="AA102" t="e">
        <f>AVERAGEIF('Quarterly Data'!$B:$B,'Annual Data'!$A102,'Quarterly Data'!AC:AC)</f>
        <v>#DIV/0!</v>
      </c>
      <c r="AB102" t="e">
        <f>AVERAGEIF('Quarterly Data'!$B:$B,'Annual Data'!$A102,'Quarterly Data'!AD:AD)</f>
        <v>#DIV/0!</v>
      </c>
      <c r="AC102" t="e">
        <f>AVERAGEIF('Quarterly Data'!$B:$B,'Annual Data'!$A102,'Quarterly Data'!AE:AE)</f>
        <v>#DIV/0!</v>
      </c>
      <c r="AD102" t="e">
        <f>AVERAGEIF('Quarterly Data'!$B:$B,'Annual Data'!$A102,'Quarterly Data'!AF:AF)</f>
        <v>#DIV/0!</v>
      </c>
      <c r="AE102">
        <f>SUMIF('Quarterly Data'!$B:$B,'Annual Data'!$A102,'Quarterly Data'!AG:AG)</f>
        <v>0</v>
      </c>
    </row>
    <row r="103" spans="1:31" x14ac:dyDescent="0.25">
      <c r="A103">
        <v>2069</v>
      </c>
      <c r="B103">
        <f>SUMIF('Quarterly Data'!$B:$B,'Annual Data'!$A103,'Quarterly Data'!D:D)</f>
        <v>0</v>
      </c>
      <c r="C103" t="e">
        <f>AVERAGEIF('Quarterly Data'!$B:$B,'Annual Data'!$A103,'Quarterly Data'!E:E)</f>
        <v>#DIV/0!</v>
      </c>
      <c r="D103">
        <f>SUMIF('Quarterly Data'!$B:$B,'Annual Data'!$A103,'Quarterly Data'!F:F)</f>
        <v>0</v>
      </c>
      <c r="E103">
        <f>SUMIF('Quarterly Data'!$B:$B,'Annual Data'!$A103,'Quarterly Data'!G:G)</f>
        <v>0</v>
      </c>
      <c r="F103">
        <f>SUMIF('Quarterly Data'!$B:$B,'Annual Data'!$A103,'Quarterly Data'!H:H)</f>
        <v>0</v>
      </c>
      <c r="G103">
        <f>SUMIF('Quarterly Data'!$B:$B,'Annual Data'!$A103,'Quarterly Data'!I:I)</f>
        <v>0</v>
      </c>
      <c r="H103">
        <f>SUMIF('Quarterly Data'!$B:$B,'Annual Data'!$A103,'Quarterly Data'!J:J)</f>
        <v>0</v>
      </c>
      <c r="I103">
        <f>SUMIF('Quarterly Data'!$B:$B,'Annual Data'!$A103,'Quarterly Data'!K:K)</f>
        <v>0</v>
      </c>
      <c r="J103">
        <f>SUMIF('Quarterly Data'!$B:$B,'Annual Data'!$A103,'Quarterly Data'!L:L)</f>
        <v>0</v>
      </c>
      <c r="K103" t="e">
        <f>AVERAGEIF('Quarterly Data'!$B:$B,'Annual Data'!$A103,'Quarterly Data'!M:M)</f>
        <v>#DIV/0!</v>
      </c>
      <c r="L103" t="e">
        <f>AVERAGEIF('Quarterly Data'!$B:$B,'Annual Data'!$A103,'Quarterly Data'!N:N)</f>
        <v>#DIV/0!</v>
      </c>
      <c r="M103" t="e">
        <f>AVERAGEIF('Quarterly Data'!$B:$B,'Annual Data'!$A103,'Quarterly Data'!O:O)</f>
        <v>#DIV/0!</v>
      </c>
      <c r="N103" t="e">
        <f>AVERAGEIF('Quarterly Data'!$B:$B,'Annual Data'!$A103,'Quarterly Data'!P:P)</f>
        <v>#DIV/0!</v>
      </c>
      <c r="O103" t="e">
        <f>AVERAGEIF('Quarterly Data'!$B:$B,'Annual Data'!$A103,'Quarterly Data'!Q:Q)</f>
        <v>#DIV/0!</v>
      </c>
      <c r="P103">
        <f>SUMIF('Quarterly Data'!$B:$B,'Annual Data'!$A103,'Quarterly Data'!R:R)</f>
        <v>0</v>
      </c>
      <c r="Q103">
        <f>SUMIF('Quarterly Data'!$B:$B,'Annual Data'!$A103,'Quarterly Data'!S:S)</f>
        <v>0</v>
      </c>
      <c r="R103" t="e">
        <f>AVERAGEIF('Quarterly Data'!$B:$B,'Annual Data'!$A103,'Quarterly Data'!T:T)</f>
        <v>#DIV/0!</v>
      </c>
      <c r="S103">
        <f>SUMIF('Quarterly Data'!$B:$B,'Annual Data'!$A103,'Quarterly Data'!U:U)</f>
        <v>0</v>
      </c>
      <c r="T103">
        <f>SUMIF('Quarterly Data'!$B:$B,'Annual Data'!$A103,'Quarterly Data'!V:V)</f>
        <v>0</v>
      </c>
      <c r="U103">
        <f>SUMIF('Quarterly Data'!$B:$B,'Annual Data'!$A103,'Quarterly Data'!W:W)</f>
        <v>0</v>
      </c>
      <c r="V103">
        <f>SUMIF('Quarterly Data'!$B:$B,'Annual Data'!$A103,'Quarterly Data'!X:X)</f>
        <v>0</v>
      </c>
      <c r="W103">
        <f>SUMIF('Quarterly Data'!$B:$B,'Annual Data'!$A103,'Quarterly Data'!Y:Y)</f>
        <v>0</v>
      </c>
      <c r="X103">
        <f>SUMIF('Quarterly Data'!$B:$B,'Annual Data'!$A103,'Quarterly Data'!Z:Z)</f>
        <v>0</v>
      </c>
      <c r="Y103">
        <f>SUMIF('Quarterly Data'!$B:$B,'Annual Data'!$A103,'Quarterly Data'!AA:AA)</f>
        <v>0</v>
      </c>
      <c r="Z103" t="e">
        <f>AVERAGEIF('Quarterly Data'!$B:$B,'Annual Data'!$A103,'Quarterly Data'!AB:AB)</f>
        <v>#DIV/0!</v>
      </c>
      <c r="AA103" t="e">
        <f>AVERAGEIF('Quarterly Data'!$B:$B,'Annual Data'!$A103,'Quarterly Data'!AC:AC)</f>
        <v>#DIV/0!</v>
      </c>
      <c r="AB103" t="e">
        <f>AVERAGEIF('Quarterly Data'!$B:$B,'Annual Data'!$A103,'Quarterly Data'!AD:AD)</f>
        <v>#DIV/0!</v>
      </c>
      <c r="AC103" t="e">
        <f>AVERAGEIF('Quarterly Data'!$B:$B,'Annual Data'!$A103,'Quarterly Data'!AE:AE)</f>
        <v>#DIV/0!</v>
      </c>
      <c r="AD103" t="e">
        <f>AVERAGEIF('Quarterly Data'!$B:$B,'Annual Data'!$A103,'Quarterly Data'!AF:AF)</f>
        <v>#DIV/0!</v>
      </c>
      <c r="AE103">
        <f>SUMIF('Quarterly Data'!$B:$B,'Annual Data'!$A103,'Quarterly Data'!AG:AG)</f>
        <v>0</v>
      </c>
    </row>
    <row r="104" spans="1:31" x14ac:dyDescent="0.25">
      <c r="A104">
        <v>2070</v>
      </c>
      <c r="B104">
        <f>SUMIF('Quarterly Data'!$B:$B,'Annual Data'!$A104,'Quarterly Data'!D:D)</f>
        <v>0</v>
      </c>
      <c r="C104" t="e">
        <f>AVERAGEIF('Quarterly Data'!$B:$B,'Annual Data'!$A104,'Quarterly Data'!E:E)</f>
        <v>#DIV/0!</v>
      </c>
      <c r="D104">
        <f>SUMIF('Quarterly Data'!$B:$B,'Annual Data'!$A104,'Quarterly Data'!F:F)</f>
        <v>0</v>
      </c>
      <c r="E104">
        <f>SUMIF('Quarterly Data'!$B:$B,'Annual Data'!$A104,'Quarterly Data'!G:G)</f>
        <v>0</v>
      </c>
      <c r="F104">
        <f>SUMIF('Quarterly Data'!$B:$B,'Annual Data'!$A104,'Quarterly Data'!H:H)</f>
        <v>0</v>
      </c>
      <c r="G104">
        <f>SUMIF('Quarterly Data'!$B:$B,'Annual Data'!$A104,'Quarterly Data'!I:I)</f>
        <v>0</v>
      </c>
      <c r="H104">
        <f>SUMIF('Quarterly Data'!$B:$B,'Annual Data'!$A104,'Quarterly Data'!J:J)</f>
        <v>0</v>
      </c>
      <c r="I104">
        <f>SUMIF('Quarterly Data'!$B:$B,'Annual Data'!$A104,'Quarterly Data'!K:K)</f>
        <v>0</v>
      </c>
      <c r="J104">
        <f>SUMIF('Quarterly Data'!$B:$B,'Annual Data'!$A104,'Quarterly Data'!L:L)</f>
        <v>0</v>
      </c>
      <c r="K104" t="e">
        <f>AVERAGEIF('Quarterly Data'!$B:$B,'Annual Data'!$A104,'Quarterly Data'!M:M)</f>
        <v>#DIV/0!</v>
      </c>
      <c r="L104" t="e">
        <f>AVERAGEIF('Quarterly Data'!$B:$B,'Annual Data'!$A104,'Quarterly Data'!N:N)</f>
        <v>#DIV/0!</v>
      </c>
      <c r="M104" t="e">
        <f>AVERAGEIF('Quarterly Data'!$B:$B,'Annual Data'!$A104,'Quarterly Data'!O:O)</f>
        <v>#DIV/0!</v>
      </c>
      <c r="N104" t="e">
        <f>AVERAGEIF('Quarterly Data'!$B:$B,'Annual Data'!$A104,'Quarterly Data'!P:P)</f>
        <v>#DIV/0!</v>
      </c>
      <c r="O104" t="e">
        <f>AVERAGEIF('Quarterly Data'!$B:$B,'Annual Data'!$A104,'Quarterly Data'!Q:Q)</f>
        <v>#DIV/0!</v>
      </c>
      <c r="P104">
        <f>SUMIF('Quarterly Data'!$B:$B,'Annual Data'!$A104,'Quarterly Data'!R:R)</f>
        <v>0</v>
      </c>
      <c r="Q104">
        <f>SUMIF('Quarterly Data'!$B:$B,'Annual Data'!$A104,'Quarterly Data'!S:S)</f>
        <v>0</v>
      </c>
      <c r="R104" t="e">
        <f>AVERAGEIF('Quarterly Data'!$B:$B,'Annual Data'!$A104,'Quarterly Data'!T:T)</f>
        <v>#DIV/0!</v>
      </c>
      <c r="S104">
        <f>SUMIF('Quarterly Data'!$B:$B,'Annual Data'!$A104,'Quarterly Data'!U:U)</f>
        <v>0</v>
      </c>
      <c r="T104">
        <f>SUMIF('Quarterly Data'!$B:$B,'Annual Data'!$A104,'Quarterly Data'!V:V)</f>
        <v>0</v>
      </c>
      <c r="U104">
        <f>SUMIF('Quarterly Data'!$B:$B,'Annual Data'!$A104,'Quarterly Data'!W:W)</f>
        <v>0</v>
      </c>
      <c r="V104">
        <f>SUMIF('Quarterly Data'!$B:$B,'Annual Data'!$A104,'Quarterly Data'!X:X)</f>
        <v>0</v>
      </c>
      <c r="W104">
        <f>SUMIF('Quarterly Data'!$B:$B,'Annual Data'!$A104,'Quarterly Data'!Y:Y)</f>
        <v>0</v>
      </c>
      <c r="X104">
        <f>SUMIF('Quarterly Data'!$B:$B,'Annual Data'!$A104,'Quarterly Data'!Z:Z)</f>
        <v>0</v>
      </c>
      <c r="Y104">
        <f>SUMIF('Quarterly Data'!$B:$B,'Annual Data'!$A104,'Quarterly Data'!AA:AA)</f>
        <v>0</v>
      </c>
      <c r="Z104" t="e">
        <f>AVERAGEIF('Quarterly Data'!$B:$B,'Annual Data'!$A104,'Quarterly Data'!AB:AB)</f>
        <v>#DIV/0!</v>
      </c>
      <c r="AA104" t="e">
        <f>AVERAGEIF('Quarterly Data'!$B:$B,'Annual Data'!$A104,'Quarterly Data'!AC:AC)</f>
        <v>#DIV/0!</v>
      </c>
      <c r="AB104" t="e">
        <f>AVERAGEIF('Quarterly Data'!$B:$B,'Annual Data'!$A104,'Quarterly Data'!AD:AD)</f>
        <v>#DIV/0!</v>
      </c>
      <c r="AC104" t="e">
        <f>AVERAGEIF('Quarterly Data'!$B:$B,'Annual Data'!$A104,'Quarterly Data'!AE:AE)</f>
        <v>#DIV/0!</v>
      </c>
      <c r="AD104" t="e">
        <f>AVERAGEIF('Quarterly Data'!$B:$B,'Annual Data'!$A104,'Quarterly Data'!AF:AF)</f>
        <v>#DIV/0!</v>
      </c>
      <c r="AE104">
        <f>SUMIF('Quarterly Data'!$B:$B,'Annual Data'!$A104,'Quarterly Data'!AG:AG)</f>
        <v>0</v>
      </c>
    </row>
    <row r="105" spans="1:31" x14ac:dyDescent="0.25">
      <c r="A105">
        <v>2071</v>
      </c>
      <c r="B105">
        <f>SUMIF('Quarterly Data'!$B:$B,'Annual Data'!$A105,'Quarterly Data'!D:D)</f>
        <v>0</v>
      </c>
      <c r="C105" t="e">
        <f>AVERAGEIF('Quarterly Data'!$B:$B,'Annual Data'!$A105,'Quarterly Data'!E:E)</f>
        <v>#DIV/0!</v>
      </c>
      <c r="D105">
        <f>SUMIF('Quarterly Data'!$B:$B,'Annual Data'!$A105,'Quarterly Data'!F:F)</f>
        <v>0</v>
      </c>
      <c r="E105">
        <f>SUMIF('Quarterly Data'!$B:$B,'Annual Data'!$A105,'Quarterly Data'!G:G)</f>
        <v>0</v>
      </c>
      <c r="F105">
        <f>SUMIF('Quarterly Data'!$B:$B,'Annual Data'!$A105,'Quarterly Data'!H:H)</f>
        <v>0</v>
      </c>
      <c r="G105">
        <f>SUMIF('Quarterly Data'!$B:$B,'Annual Data'!$A105,'Quarterly Data'!I:I)</f>
        <v>0</v>
      </c>
      <c r="H105">
        <f>SUMIF('Quarterly Data'!$B:$B,'Annual Data'!$A105,'Quarterly Data'!J:J)</f>
        <v>0</v>
      </c>
      <c r="I105">
        <f>SUMIF('Quarterly Data'!$B:$B,'Annual Data'!$A105,'Quarterly Data'!K:K)</f>
        <v>0</v>
      </c>
      <c r="J105">
        <f>SUMIF('Quarterly Data'!$B:$B,'Annual Data'!$A105,'Quarterly Data'!L:L)</f>
        <v>0</v>
      </c>
      <c r="K105" t="e">
        <f>AVERAGEIF('Quarterly Data'!$B:$B,'Annual Data'!$A105,'Quarterly Data'!M:M)</f>
        <v>#DIV/0!</v>
      </c>
      <c r="L105" t="e">
        <f>AVERAGEIF('Quarterly Data'!$B:$B,'Annual Data'!$A105,'Quarterly Data'!N:N)</f>
        <v>#DIV/0!</v>
      </c>
      <c r="M105" t="e">
        <f>AVERAGEIF('Quarterly Data'!$B:$B,'Annual Data'!$A105,'Quarterly Data'!O:O)</f>
        <v>#DIV/0!</v>
      </c>
      <c r="N105" t="e">
        <f>AVERAGEIF('Quarterly Data'!$B:$B,'Annual Data'!$A105,'Quarterly Data'!P:P)</f>
        <v>#DIV/0!</v>
      </c>
      <c r="O105" t="e">
        <f>AVERAGEIF('Quarterly Data'!$B:$B,'Annual Data'!$A105,'Quarterly Data'!Q:Q)</f>
        <v>#DIV/0!</v>
      </c>
      <c r="P105">
        <f>SUMIF('Quarterly Data'!$B:$B,'Annual Data'!$A105,'Quarterly Data'!R:R)</f>
        <v>0</v>
      </c>
      <c r="Q105">
        <f>SUMIF('Quarterly Data'!$B:$B,'Annual Data'!$A105,'Quarterly Data'!S:S)</f>
        <v>0</v>
      </c>
      <c r="R105" t="e">
        <f>AVERAGEIF('Quarterly Data'!$B:$B,'Annual Data'!$A105,'Quarterly Data'!T:T)</f>
        <v>#DIV/0!</v>
      </c>
      <c r="S105">
        <f>SUMIF('Quarterly Data'!$B:$B,'Annual Data'!$A105,'Quarterly Data'!U:U)</f>
        <v>0</v>
      </c>
      <c r="T105">
        <f>SUMIF('Quarterly Data'!$B:$B,'Annual Data'!$A105,'Quarterly Data'!V:V)</f>
        <v>0</v>
      </c>
      <c r="U105">
        <f>SUMIF('Quarterly Data'!$B:$B,'Annual Data'!$A105,'Quarterly Data'!W:W)</f>
        <v>0</v>
      </c>
      <c r="V105">
        <f>SUMIF('Quarterly Data'!$B:$B,'Annual Data'!$A105,'Quarterly Data'!X:X)</f>
        <v>0</v>
      </c>
      <c r="W105">
        <f>SUMIF('Quarterly Data'!$B:$B,'Annual Data'!$A105,'Quarterly Data'!Y:Y)</f>
        <v>0</v>
      </c>
      <c r="X105">
        <f>SUMIF('Quarterly Data'!$B:$B,'Annual Data'!$A105,'Quarterly Data'!Z:Z)</f>
        <v>0</v>
      </c>
      <c r="Y105">
        <f>SUMIF('Quarterly Data'!$B:$B,'Annual Data'!$A105,'Quarterly Data'!AA:AA)</f>
        <v>0</v>
      </c>
      <c r="Z105" t="e">
        <f>AVERAGEIF('Quarterly Data'!$B:$B,'Annual Data'!$A105,'Quarterly Data'!AB:AB)</f>
        <v>#DIV/0!</v>
      </c>
      <c r="AA105" t="e">
        <f>AVERAGEIF('Quarterly Data'!$B:$B,'Annual Data'!$A105,'Quarterly Data'!AC:AC)</f>
        <v>#DIV/0!</v>
      </c>
      <c r="AB105" t="e">
        <f>AVERAGEIF('Quarterly Data'!$B:$B,'Annual Data'!$A105,'Quarterly Data'!AD:AD)</f>
        <v>#DIV/0!</v>
      </c>
      <c r="AC105" t="e">
        <f>AVERAGEIF('Quarterly Data'!$B:$B,'Annual Data'!$A105,'Quarterly Data'!AE:AE)</f>
        <v>#DIV/0!</v>
      </c>
      <c r="AD105" t="e">
        <f>AVERAGEIF('Quarterly Data'!$B:$B,'Annual Data'!$A105,'Quarterly Data'!AF:AF)</f>
        <v>#DIV/0!</v>
      </c>
      <c r="AE105">
        <f>SUMIF('Quarterly Data'!$B:$B,'Annual Data'!$A105,'Quarterly Data'!AG:AG)</f>
        <v>0</v>
      </c>
    </row>
    <row r="106" spans="1:31" x14ac:dyDescent="0.25">
      <c r="A106">
        <v>2072</v>
      </c>
      <c r="B106">
        <f>SUMIF('Quarterly Data'!$B:$B,'Annual Data'!$A106,'Quarterly Data'!D:D)</f>
        <v>0</v>
      </c>
      <c r="C106" t="e">
        <f>AVERAGEIF('Quarterly Data'!$B:$B,'Annual Data'!$A106,'Quarterly Data'!E:E)</f>
        <v>#DIV/0!</v>
      </c>
      <c r="D106">
        <f>SUMIF('Quarterly Data'!$B:$B,'Annual Data'!$A106,'Quarterly Data'!F:F)</f>
        <v>0</v>
      </c>
      <c r="E106">
        <f>SUMIF('Quarterly Data'!$B:$B,'Annual Data'!$A106,'Quarterly Data'!G:G)</f>
        <v>0</v>
      </c>
      <c r="F106">
        <f>SUMIF('Quarterly Data'!$B:$B,'Annual Data'!$A106,'Quarterly Data'!H:H)</f>
        <v>0</v>
      </c>
      <c r="G106">
        <f>SUMIF('Quarterly Data'!$B:$B,'Annual Data'!$A106,'Quarterly Data'!I:I)</f>
        <v>0</v>
      </c>
      <c r="H106">
        <f>SUMIF('Quarterly Data'!$B:$B,'Annual Data'!$A106,'Quarterly Data'!J:J)</f>
        <v>0</v>
      </c>
      <c r="I106">
        <f>SUMIF('Quarterly Data'!$B:$B,'Annual Data'!$A106,'Quarterly Data'!K:K)</f>
        <v>0</v>
      </c>
      <c r="J106">
        <f>SUMIF('Quarterly Data'!$B:$B,'Annual Data'!$A106,'Quarterly Data'!L:L)</f>
        <v>0</v>
      </c>
      <c r="K106" t="e">
        <f>AVERAGEIF('Quarterly Data'!$B:$B,'Annual Data'!$A106,'Quarterly Data'!M:M)</f>
        <v>#DIV/0!</v>
      </c>
      <c r="L106" t="e">
        <f>AVERAGEIF('Quarterly Data'!$B:$B,'Annual Data'!$A106,'Quarterly Data'!N:N)</f>
        <v>#DIV/0!</v>
      </c>
      <c r="M106" t="e">
        <f>AVERAGEIF('Quarterly Data'!$B:$B,'Annual Data'!$A106,'Quarterly Data'!O:O)</f>
        <v>#DIV/0!</v>
      </c>
      <c r="N106" t="e">
        <f>AVERAGEIF('Quarterly Data'!$B:$B,'Annual Data'!$A106,'Quarterly Data'!P:P)</f>
        <v>#DIV/0!</v>
      </c>
      <c r="O106" t="e">
        <f>AVERAGEIF('Quarterly Data'!$B:$B,'Annual Data'!$A106,'Quarterly Data'!Q:Q)</f>
        <v>#DIV/0!</v>
      </c>
      <c r="P106">
        <f>SUMIF('Quarterly Data'!$B:$B,'Annual Data'!$A106,'Quarterly Data'!R:R)</f>
        <v>0</v>
      </c>
      <c r="Q106">
        <f>SUMIF('Quarterly Data'!$B:$B,'Annual Data'!$A106,'Quarterly Data'!S:S)</f>
        <v>0</v>
      </c>
      <c r="R106" t="e">
        <f>AVERAGEIF('Quarterly Data'!$B:$B,'Annual Data'!$A106,'Quarterly Data'!T:T)</f>
        <v>#DIV/0!</v>
      </c>
      <c r="S106">
        <f>SUMIF('Quarterly Data'!$B:$B,'Annual Data'!$A106,'Quarterly Data'!U:U)</f>
        <v>0</v>
      </c>
      <c r="T106">
        <f>SUMIF('Quarterly Data'!$B:$B,'Annual Data'!$A106,'Quarterly Data'!V:V)</f>
        <v>0</v>
      </c>
      <c r="U106">
        <f>SUMIF('Quarterly Data'!$B:$B,'Annual Data'!$A106,'Quarterly Data'!W:W)</f>
        <v>0</v>
      </c>
      <c r="V106">
        <f>SUMIF('Quarterly Data'!$B:$B,'Annual Data'!$A106,'Quarterly Data'!X:X)</f>
        <v>0</v>
      </c>
      <c r="W106">
        <f>SUMIF('Quarterly Data'!$B:$B,'Annual Data'!$A106,'Quarterly Data'!Y:Y)</f>
        <v>0</v>
      </c>
      <c r="X106">
        <f>SUMIF('Quarterly Data'!$B:$B,'Annual Data'!$A106,'Quarterly Data'!Z:Z)</f>
        <v>0</v>
      </c>
      <c r="Y106">
        <f>SUMIF('Quarterly Data'!$B:$B,'Annual Data'!$A106,'Quarterly Data'!AA:AA)</f>
        <v>0</v>
      </c>
      <c r="Z106" t="e">
        <f>AVERAGEIF('Quarterly Data'!$B:$B,'Annual Data'!$A106,'Quarterly Data'!AB:AB)</f>
        <v>#DIV/0!</v>
      </c>
      <c r="AA106" t="e">
        <f>AVERAGEIF('Quarterly Data'!$B:$B,'Annual Data'!$A106,'Quarterly Data'!AC:AC)</f>
        <v>#DIV/0!</v>
      </c>
      <c r="AB106" t="e">
        <f>AVERAGEIF('Quarterly Data'!$B:$B,'Annual Data'!$A106,'Quarterly Data'!AD:AD)</f>
        <v>#DIV/0!</v>
      </c>
      <c r="AC106" t="e">
        <f>AVERAGEIF('Quarterly Data'!$B:$B,'Annual Data'!$A106,'Quarterly Data'!AE:AE)</f>
        <v>#DIV/0!</v>
      </c>
      <c r="AD106" t="e">
        <f>AVERAGEIF('Quarterly Data'!$B:$B,'Annual Data'!$A106,'Quarterly Data'!AF:AF)</f>
        <v>#DIV/0!</v>
      </c>
      <c r="AE106">
        <f>SUMIF('Quarterly Data'!$B:$B,'Annual Data'!$A106,'Quarterly Data'!AG:AG)</f>
        <v>0</v>
      </c>
    </row>
    <row r="107" spans="1:31" x14ac:dyDescent="0.25">
      <c r="A107">
        <v>2073</v>
      </c>
      <c r="B107">
        <f>SUMIF('Quarterly Data'!$B:$B,'Annual Data'!$A107,'Quarterly Data'!D:D)</f>
        <v>0</v>
      </c>
      <c r="C107" t="e">
        <f>AVERAGEIF('Quarterly Data'!$B:$B,'Annual Data'!$A107,'Quarterly Data'!E:E)</f>
        <v>#DIV/0!</v>
      </c>
      <c r="D107">
        <f>SUMIF('Quarterly Data'!$B:$B,'Annual Data'!$A107,'Quarterly Data'!F:F)</f>
        <v>0</v>
      </c>
      <c r="E107">
        <f>SUMIF('Quarterly Data'!$B:$B,'Annual Data'!$A107,'Quarterly Data'!G:G)</f>
        <v>0</v>
      </c>
      <c r="F107">
        <f>SUMIF('Quarterly Data'!$B:$B,'Annual Data'!$A107,'Quarterly Data'!H:H)</f>
        <v>0</v>
      </c>
      <c r="G107">
        <f>SUMIF('Quarterly Data'!$B:$B,'Annual Data'!$A107,'Quarterly Data'!I:I)</f>
        <v>0</v>
      </c>
      <c r="H107">
        <f>SUMIF('Quarterly Data'!$B:$B,'Annual Data'!$A107,'Quarterly Data'!J:J)</f>
        <v>0</v>
      </c>
      <c r="I107">
        <f>SUMIF('Quarterly Data'!$B:$B,'Annual Data'!$A107,'Quarterly Data'!K:K)</f>
        <v>0</v>
      </c>
      <c r="J107">
        <f>SUMIF('Quarterly Data'!$B:$B,'Annual Data'!$A107,'Quarterly Data'!L:L)</f>
        <v>0</v>
      </c>
      <c r="K107" t="e">
        <f>AVERAGEIF('Quarterly Data'!$B:$B,'Annual Data'!$A107,'Quarterly Data'!M:M)</f>
        <v>#DIV/0!</v>
      </c>
      <c r="L107" t="e">
        <f>AVERAGEIF('Quarterly Data'!$B:$B,'Annual Data'!$A107,'Quarterly Data'!N:N)</f>
        <v>#DIV/0!</v>
      </c>
      <c r="M107" t="e">
        <f>AVERAGEIF('Quarterly Data'!$B:$B,'Annual Data'!$A107,'Quarterly Data'!O:O)</f>
        <v>#DIV/0!</v>
      </c>
      <c r="N107" t="e">
        <f>AVERAGEIF('Quarterly Data'!$B:$B,'Annual Data'!$A107,'Quarterly Data'!P:P)</f>
        <v>#DIV/0!</v>
      </c>
      <c r="O107" t="e">
        <f>AVERAGEIF('Quarterly Data'!$B:$B,'Annual Data'!$A107,'Quarterly Data'!Q:Q)</f>
        <v>#DIV/0!</v>
      </c>
      <c r="P107">
        <f>SUMIF('Quarterly Data'!$B:$B,'Annual Data'!$A107,'Quarterly Data'!R:R)</f>
        <v>0</v>
      </c>
      <c r="Q107">
        <f>SUMIF('Quarterly Data'!$B:$B,'Annual Data'!$A107,'Quarterly Data'!S:S)</f>
        <v>0</v>
      </c>
      <c r="R107" t="e">
        <f>AVERAGEIF('Quarterly Data'!$B:$B,'Annual Data'!$A107,'Quarterly Data'!T:T)</f>
        <v>#DIV/0!</v>
      </c>
      <c r="S107">
        <f>SUMIF('Quarterly Data'!$B:$B,'Annual Data'!$A107,'Quarterly Data'!U:U)</f>
        <v>0</v>
      </c>
      <c r="T107">
        <f>SUMIF('Quarterly Data'!$B:$B,'Annual Data'!$A107,'Quarterly Data'!V:V)</f>
        <v>0</v>
      </c>
      <c r="U107">
        <f>SUMIF('Quarterly Data'!$B:$B,'Annual Data'!$A107,'Quarterly Data'!W:W)</f>
        <v>0</v>
      </c>
      <c r="V107">
        <f>SUMIF('Quarterly Data'!$B:$B,'Annual Data'!$A107,'Quarterly Data'!X:X)</f>
        <v>0</v>
      </c>
      <c r="W107">
        <f>SUMIF('Quarterly Data'!$B:$B,'Annual Data'!$A107,'Quarterly Data'!Y:Y)</f>
        <v>0</v>
      </c>
      <c r="X107">
        <f>SUMIF('Quarterly Data'!$B:$B,'Annual Data'!$A107,'Quarterly Data'!Z:Z)</f>
        <v>0</v>
      </c>
      <c r="Y107">
        <f>SUMIF('Quarterly Data'!$B:$B,'Annual Data'!$A107,'Quarterly Data'!AA:AA)</f>
        <v>0</v>
      </c>
      <c r="Z107" t="e">
        <f>AVERAGEIF('Quarterly Data'!$B:$B,'Annual Data'!$A107,'Quarterly Data'!AB:AB)</f>
        <v>#DIV/0!</v>
      </c>
      <c r="AA107" t="e">
        <f>AVERAGEIF('Quarterly Data'!$B:$B,'Annual Data'!$A107,'Quarterly Data'!AC:AC)</f>
        <v>#DIV/0!</v>
      </c>
      <c r="AB107" t="e">
        <f>AVERAGEIF('Quarterly Data'!$B:$B,'Annual Data'!$A107,'Quarterly Data'!AD:AD)</f>
        <v>#DIV/0!</v>
      </c>
      <c r="AC107" t="e">
        <f>AVERAGEIF('Quarterly Data'!$B:$B,'Annual Data'!$A107,'Quarterly Data'!AE:AE)</f>
        <v>#DIV/0!</v>
      </c>
      <c r="AD107" t="e">
        <f>AVERAGEIF('Quarterly Data'!$B:$B,'Annual Data'!$A107,'Quarterly Data'!AF:AF)</f>
        <v>#DIV/0!</v>
      </c>
      <c r="AE107">
        <f>SUMIF('Quarterly Data'!$B:$B,'Annual Data'!$A107,'Quarterly Data'!AG:AG)</f>
        <v>0</v>
      </c>
    </row>
    <row r="108" spans="1:31" x14ac:dyDescent="0.25">
      <c r="A108">
        <v>2074</v>
      </c>
      <c r="B108">
        <f>SUMIF('Quarterly Data'!$B:$B,'Annual Data'!$A108,'Quarterly Data'!D:D)</f>
        <v>0</v>
      </c>
      <c r="C108" t="e">
        <f>AVERAGEIF('Quarterly Data'!$B:$B,'Annual Data'!$A108,'Quarterly Data'!E:E)</f>
        <v>#DIV/0!</v>
      </c>
      <c r="D108">
        <f>SUMIF('Quarterly Data'!$B:$B,'Annual Data'!$A108,'Quarterly Data'!F:F)</f>
        <v>0</v>
      </c>
      <c r="E108">
        <f>SUMIF('Quarterly Data'!$B:$B,'Annual Data'!$A108,'Quarterly Data'!G:G)</f>
        <v>0</v>
      </c>
      <c r="F108">
        <f>SUMIF('Quarterly Data'!$B:$B,'Annual Data'!$A108,'Quarterly Data'!H:H)</f>
        <v>0</v>
      </c>
      <c r="G108">
        <f>SUMIF('Quarterly Data'!$B:$B,'Annual Data'!$A108,'Quarterly Data'!I:I)</f>
        <v>0</v>
      </c>
      <c r="H108">
        <f>SUMIF('Quarterly Data'!$B:$B,'Annual Data'!$A108,'Quarterly Data'!J:J)</f>
        <v>0</v>
      </c>
      <c r="I108">
        <f>SUMIF('Quarterly Data'!$B:$B,'Annual Data'!$A108,'Quarterly Data'!K:K)</f>
        <v>0</v>
      </c>
      <c r="J108">
        <f>SUMIF('Quarterly Data'!$B:$B,'Annual Data'!$A108,'Quarterly Data'!L:L)</f>
        <v>0</v>
      </c>
      <c r="K108" t="e">
        <f>AVERAGEIF('Quarterly Data'!$B:$B,'Annual Data'!$A108,'Quarterly Data'!M:M)</f>
        <v>#DIV/0!</v>
      </c>
      <c r="L108" t="e">
        <f>AVERAGEIF('Quarterly Data'!$B:$B,'Annual Data'!$A108,'Quarterly Data'!N:N)</f>
        <v>#DIV/0!</v>
      </c>
      <c r="M108" t="e">
        <f>AVERAGEIF('Quarterly Data'!$B:$B,'Annual Data'!$A108,'Quarterly Data'!O:O)</f>
        <v>#DIV/0!</v>
      </c>
      <c r="N108" t="e">
        <f>AVERAGEIF('Quarterly Data'!$B:$B,'Annual Data'!$A108,'Quarterly Data'!P:P)</f>
        <v>#DIV/0!</v>
      </c>
      <c r="O108" t="e">
        <f>AVERAGEIF('Quarterly Data'!$B:$B,'Annual Data'!$A108,'Quarterly Data'!Q:Q)</f>
        <v>#DIV/0!</v>
      </c>
      <c r="P108">
        <f>SUMIF('Quarterly Data'!$B:$B,'Annual Data'!$A108,'Quarterly Data'!R:R)</f>
        <v>0</v>
      </c>
      <c r="Q108">
        <f>SUMIF('Quarterly Data'!$B:$B,'Annual Data'!$A108,'Quarterly Data'!S:S)</f>
        <v>0</v>
      </c>
      <c r="R108" t="e">
        <f>AVERAGEIF('Quarterly Data'!$B:$B,'Annual Data'!$A108,'Quarterly Data'!T:T)</f>
        <v>#DIV/0!</v>
      </c>
      <c r="S108">
        <f>SUMIF('Quarterly Data'!$B:$B,'Annual Data'!$A108,'Quarterly Data'!U:U)</f>
        <v>0</v>
      </c>
      <c r="T108">
        <f>SUMIF('Quarterly Data'!$B:$B,'Annual Data'!$A108,'Quarterly Data'!V:V)</f>
        <v>0</v>
      </c>
      <c r="U108">
        <f>SUMIF('Quarterly Data'!$B:$B,'Annual Data'!$A108,'Quarterly Data'!W:W)</f>
        <v>0</v>
      </c>
      <c r="V108">
        <f>SUMIF('Quarterly Data'!$B:$B,'Annual Data'!$A108,'Quarterly Data'!X:X)</f>
        <v>0</v>
      </c>
      <c r="W108">
        <f>SUMIF('Quarterly Data'!$B:$B,'Annual Data'!$A108,'Quarterly Data'!Y:Y)</f>
        <v>0</v>
      </c>
      <c r="X108">
        <f>SUMIF('Quarterly Data'!$B:$B,'Annual Data'!$A108,'Quarterly Data'!Z:Z)</f>
        <v>0</v>
      </c>
      <c r="Y108">
        <f>SUMIF('Quarterly Data'!$B:$B,'Annual Data'!$A108,'Quarterly Data'!AA:AA)</f>
        <v>0</v>
      </c>
      <c r="Z108" t="e">
        <f>AVERAGEIF('Quarterly Data'!$B:$B,'Annual Data'!$A108,'Quarterly Data'!AB:AB)</f>
        <v>#DIV/0!</v>
      </c>
      <c r="AA108" t="e">
        <f>AVERAGEIF('Quarterly Data'!$B:$B,'Annual Data'!$A108,'Quarterly Data'!AC:AC)</f>
        <v>#DIV/0!</v>
      </c>
      <c r="AB108" t="e">
        <f>AVERAGEIF('Quarterly Data'!$B:$B,'Annual Data'!$A108,'Quarterly Data'!AD:AD)</f>
        <v>#DIV/0!</v>
      </c>
      <c r="AC108" t="e">
        <f>AVERAGEIF('Quarterly Data'!$B:$B,'Annual Data'!$A108,'Quarterly Data'!AE:AE)</f>
        <v>#DIV/0!</v>
      </c>
      <c r="AD108" t="e">
        <f>AVERAGEIF('Quarterly Data'!$B:$B,'Annual Data'!$A108,'Quarterly Data'!AF:AF)</f>
        <v>#DIV/0!</v>
      </c>
      <c r="AE108">
        <f>SUMIF('Quarterly Data'!$B:$B,'Annual Data'!$A108,'Quarterly Data'!AG:AG)</f>
        <v>0</v>
      </c>
    </row>
    <row r="109" spans="1:31" x14ac:dyDescent="0.25">
      <c r="A109">
        <v>2075</v>
      </c>
      <c r="B109">
        <f>SUMIF('Quarterly Data'!$B:$B,'Annual Data'!$A109,'Quarterly Data'!D:D)</f>
        <v>0</v>
      </c>
      <c r="C109" t="e">
        <f>AVERAGEIF('Quarterly Data'!$B:$B,'Annual Data'!$A109,'Quarterly Data'!E:E)</f>
        <v>#DIV/0!</v>
      </c>
      <c r="D109">
        <f>SUMIF('Quarterly Data'!$B:$B,'Annual Data'!$A109,'Quarterly Data'!F:F)</f>
        <v>0</v>
      </c>
      <c r="E109">
        <f>SUMIF('Quarterly Data'!$B:$B,'Annual Data'!$A109,'Quarterly Data'!G:G)</f>
        <v>0</v>
      </c>
      <c r="F109">
        <f>SUMIF('Quarterly Data'!$B:$B,'Annual Data'!$A109,'Quarterly Data'!H:H)</f>
        <v>0</v>
      </c>
      <c r="G109">
        <f>SUMIF('Quarterly Data'!$B:$B,'Annual Data'!$A109,'Quarterly Data'!I:I)</f>
        <v>0</v>
      </c>
      <c r="H109">
        <f>SUMIF('Quarterly Data'!$B:$B,'Annual Data'!$A109,'Quarterly Data'!J:J)</f>
        <v>0</v>
      </c>
      <c r="I109">
        <f>SUMIF('Quarterly Data'!$B:$B,'Annual Data'!$A109,'Quarterly Data'!K:K)</f>
        <v>0</v>
      </c>
      <c r="J109">
        <f>SUMIF('Quarterly Data'!$B:$B,'Annual Data'!$A109,'Quarterly Data'!L:L)</f>
        <v>0</v>
      </c>
      <c r="K109" t="e">
        <f>AVERAGEIF('Quarterly Data'!$B:$B,'Annual Data'!$A109,'Quarterly Data'!M:M)</f>
        <v>#DIV/0!</v>
      </c>
      <c r="L109" t="e">
        <f>AVERAGEIF('Quarterly Data'!$B:$B,'Annual Data'!$A109,'Quarterly Data'!N:N)</f>
        <v>#DIV/0!</v>
      </c>
      <c r="M109" t="e">
        <f>AVERAGEIF('Quarterly Data'!$B:$B,'Annual Data'!$A109,'Quarterly Data'!O:O)</f>
        <v>#DIV/0!</v>
      </c>
      <c r="N109" t="e">
        <f>AVERAGEIF('Quarterly Data'!$B:$B,'Annual Data'!$A109,'Quarterly Data'!P:P)</f>
        <v>#DIV/0!</v>
      </c>
      <c r="O109" t="e">
        <f>AVERAGEIF('Quarterly Data'!$B:$B,'Annual Data'!$A109,'Quarterly Data'!Q:Q)</f>
        <v>#DIV/0!</v>
      </c>
      <c r="P109">
        <f>SUMIF('Quarterly Data'!$B:$B,'Annual Data'!$A109,'Quarterly Data'!R:R)</f>
        <v>0</v>
      </c>
      <c r="Q109">
        <f>SUMIF('Quarterly Data'!$B:$B,'Annual Data'!$A109,'Quarterly Data'!S:S)</f>
        <v>0</v>
      </c>
      <c r="R109" t="e">
        <f>AVERAGEIF('Quarterly Data'!$B:$B,'Annual Data'!$A109,'Quarterly Data'!T:T)</f>
        <v>#DIV/0!</v>
      </c>
      <c r="S109">
        <f>SUMIF('Quarterly Data'!$B:$B,'Annual Data'!$A109,'Quarterly Data'!U:U)</f>
        <v>0</v>
      </c>
      <c r="T109">
        <f>SUMIF('Quarterly Data'!$B:$B,'Annual Data'!$A109,'Quarterly Data'!V:V)</f>
        <v>0</v>
      </c>
      <c r="U109">
        <f>SUMIF('Quarterly Data'!$B:$B,'Annual Data'!$A109,'Quarterly Data'!W:W)</f>
        <v>0</v>
      </c>
      <c r="V109">
        <f>SUMIF('Quarterly Data'!$B:$B,'Annual Data'!$A109,'Quarterly Data'!X:X)</f>
        <v>0</v>
      </c>
      <c r="W109">
        <f>SUMIF('Quarterly Data'!$B:$B,'Annual Data'!$A109,'Quarterly Data'!Y:Y)</f>
        <v>0</v>
      </c>
      <c r="X109">
        <f>SUMIF('Quarterly Data'!$B:$B,'Annual Data'!$A109,'Quarterly Data'!Z:Z)</f>
        <v>0</v>
      </c>
      <c r="Y109">
        <f>SUMIF('Quarterly Data'!$B:$B,'Annual Data'!$A109,'Quarterly Data'!AA:AA)</f>
        <v>0</v>
      </c>
      <c r="Z109" t="e">
        <f>AVERAGEIF('Quarterly Data'!$B:$B,'Annual Data'!$A109,'Quarterly Data'!AB:AB)</f>
        <v>#DIV/0!</v>
      </c>
      <c r="AA109" t="e">
        <f>AVERAGEIF('Quarterly Data'!$B:$B,'Annual Data'!$A109,'Quarterly Data'!AC:AC)</f>
        <v>#DIV/0!</v>
      </c>
      <c r="AB109" t="e">
        <f>AVERAGEIF('Quarterly Data'!$B:$B,'Annual Data'!$A109,'Quarterly Data'!AD:AD)</f>
        <v>#DIV/0!</v>
      </c>
      <c r="AC109" t="e">
        <f>AVERAGEIF('Quarterly Data'!$B:$B,'Annual Data'!$A109,'Quarterly Data'!AE:AE)</f>
        <v>#DIV/0!</v>
      </c>
      <c r="AD109" t="e">
        <f>AVERAGEIF('Quarterly Data'!$B:$B,'Annual Data'!$A109,'Quarterly Data'!AF:AF)</f>
        <v>#DIV/0!</v>
      </c>
      <c r="AE109">
        <f>SUMIF('Quarterly Data'!$B:$B,'Annual Data'!$A109,'Quarterly Data'!AG:AG)</f>
        <v>0</v>
      </c>
    </row>
    <row r="110" spans="1:31" x14ac:dyDescent="0.25">
      <c r="A110">
        <v>2076</v>
      </c>
      <c r="B110">
        <f>SUMIF('Quarterly Data'!$B:$B,'Annual Data'!$A110,'Quarterly Data'!D:D)</f>
        <v>0</v>
      </c>
      <c r="C110" t="e">
        <f>AVERAGEIF('Quarterly Data'!$B:$B,'Annual Data'!$A110,'Quarterly Data'!E:E)</f>
        <v>#DIV/0!</v>
      </c>
      <c r="D110">
        <f>SUMIF('Quarterly Data'!$B:$B,'Annual Data'!$A110,'Quarterly Data'!F:F)</f>
        <v>0</v>
      </c>
      <c r="E110">
        <f>SUMIF('Quarterly Data'!$B:$B,'Annual Data'!$A110,'Quarterly Data'!G:G)</f>
        <v>0</v>
      </c>
      <c r="F110">
        <f>SUMIF('Quarterly Data'!$B:$B,'Annual Data'!$A110,'Quarterly Data'!H:H)</f>
        <v>0</v>
      </c>
      <c r="G110">
        <f>SUMIF('Quarterly Data'!$B:$B,'Annual Data'!$A110,'Quarterly Data'!I:I)</f>
        <v>0</v>
      </c>
      <c r="H110">
        <f>SUMIF('Quarterly Data'!$B:$B,'Annual Data'!$A110,'Quarterly Data'!J:J)</f>
        <v>0</v>
      </c>
      <c r="I110">
        <f>SUMIF('Quarterly Data'!$B:$B,'Annual Data'!$A110,'Quarterly Data'!K:K)</f>
        <v>0</v>
      </c>
      <c r="J110">
        <f>SUMIF('Quarterly Data'!$B:$B,'Annual Data'!$A110,'Quarterly Data'!L:L)</f>
        <v>0</v>
      </c>
      <c r="K110" t="e">
        <f>AVERAGEIF('Quarterly Data'!$B:$B,'Annual Data'!$A110,'Quarterly Data'!M:M)</f>
        <v>#DIV/0!</v>
      </c>
      <c r="L110" t="e">
        <f>AVERAGEIF('Quarterly Data'!$B:$B,'Annual Data'!$A110,'Quarterly Data'!N:N)</f>
        <v>#DIV/0!</v>
      </c>
      <c r="M110" t="e">
        <f>AVERAGEIF('Quarterly Data'!$B:$B,'Annual Data'!$A110,'Quarterly Data'!O:O)</f>
        <v>#DIV/0!</v>
      </c>
      <c r="N110" t="e">
        <f>AVERAGEIF('Quarterly Data'!$B:$B,'Annual Data'!$A110,'Quarterly Data'!P:P)</f>
        <v>#DIV/0!</v>
      </c>
      <c r="O110" t="e">
        <f>AVERAGEIF('Quarterly Data'!$B:$B,'Annual Data'!$A110,'Quarterly Data'!Q:Q)</f>
        <v>#DIV/0!</v>
      </c>
      <c r="P110">
        <f>SUMIF('Quarterly Data'!$B:$B,'Annual Data'!$A110,'Quarterly Data'!R:R)</f>
        <v>0</v>
      </c>
      <c r="Q110">
        <f>SUMIF('Quarterly Data'!$B:$B,'Annual Data'!$A110,'Quarterly Data'!S:S)</f>
        <v>0</v>
      </c>
      <c r="R110" t="e">
        <f>AVERAGEIF('Quarterly Data'!$B:$B,'Annual Data'!$A110,'Quarterly Data'!T:T)</f>
        <v>#DIV/0!</v>
      </c>
      <c r="S110">
        <f>SUMIF('Quarterly Data'!$B:$B,'Annual Data'!$A110,'Quarterly Data'!U:U)</f>
        <v>0</v>
      </c>
      <c r="T110">
        <f>SUMIF('Quarterly Data'!$B:$B,'Annual Data'!$A110,'Quarterly Data'!V:V)</f>
        <v>0</v>
      </c>
      <c r="U110">
        <f>SUMIF('Quarterly Data'!$B:$B,'Annual Data'!$A110,'Quarterly Data'!W:W)</f>
        <v>0</v>
      </c>
      <c r="V110">
        <f>SUMIF('Quarterly Data'!$B:$B,'Annual Data'!$A110,'Quarterly Data'!X:X)</f>
        <v>0</v>
      </c>
      <c r="W110">
        <f>SUMIF('Quarterly Data'!$B:$B,'Annual Data'!$A110,'Quarterly Data'!Y:Y)</f>
        <v>0</v>
      </c>
      <c r="X110">
        <f>SUMIF('Quarterly Data'!$B:$B,'Annual Data'!$A110,'Quarterly Data'!Z:Z)</f>
        <v>0</v>
      </c>
      <c r="Y110">
        <f>SUMIF('Quarterly Data'!$B:$B,'Annual Data'!$A110,'Quarterly Data'!AA:AA)</f>
        <v>0</v>
      </c>
      <c r="Z110" t="e">
        <f>AVERAGEIF('Quarterly Data'!$B:$B,'Annual Data'!$A110,'Quarterly Data'!AB:AB)</f>
        <v>#DIV/0!</v>
      </c>
      <c r="AA110" t="e">
        <f>AVERAGEIF('Quarterly Data'!$B:$B,'Annual Data'!$A110,'Quarterly Data'!AC:AC)</f>
        <v>#DIV/0!</v>
      </c>
      <c r="AB110" t="e">
        <f>AVERAGEIF('Quarterly Data'!$B:$B,'Annual Data'!$A110,'Quarterly Data'!AD:AD)</f>
        <v>#DIV/0!</v>
      </c>
      <c r="AC110" t="e">
        <f>AVERAGEIF('Quarterly Data'!$B:$B,'Annual Data'!$A110,'Quarterly Data'!AE:AE)</f>
        <v>#DIV/0!</v>
      </c>
      <c r="AD110" t="e">
        <f>AVERAGEIF('Quarterly Data'!$B:$B,'Annual Data'!$A110,'Quarterly Data'!AF:AF)</f>
        <v>#DIV/0!</v>
      </c>
      <c r="AE110">
        <f>SUMIF('Quarterly Data'!$B:$B,'Annual Data'!$A110,'Quarterly Data'!AG:AG)</f>
        <v>0</v>
      </c>
    </row>
    <row r="111" spans="1:31" x14ac:dyDescent="0.25">
      <c r="A111">
        <v>2077</v>
      </c>
      <c r="B111">
        <f>SUMIF('Quarterly Data'!$B:$B,'Annual Data'!$A111,'Quarterly Data'!D:D)</f>
        <v>0</v>
      </c>
      <c r="C111" t="e">
        <f>AVERAGEIF('Quarterly Data'!$B:$B,'Annual Data'!$A111,'Quarterly Data'!E:E)</f>
        <v>#DIV/0!</v>
      </c>
      <c r="D111">
        <f>SUMIF('Quarterly Data'!$B:$B,'Annual Data'!$A111,'Quarterly Data'!F:F)</f>
        <v>0</v>
      </c>
      <c r="E111">
        <f>SUMIF('Quarterly Data'!$B:$B,'Annual Data'!$A111,'Quarterly Data'!G:G)</f>
        <v>0</v>
      </c>
      <c r="F111">
        <f>SUMIF('Quarterly Data'!$B:$B,'Annual Data'!$A111,'Quarterly Data'!H:H)</f>
        <v>0</v>
      </c>
      <c r="G111">
        <f>SUMIF('Quarterly Data'!$B:$B,'Annual Data'!$A111,'Quarterly Data'!I:I)</f>
        <v>0</v>
      </c>
      <c r="H111">
        <f>SUMIF('Quarterly Data'!$B:$B,'Annual Data'!$A111,'Quarterly Data'!J:J)</f>
        <v>0</v>
      </c>
      <c r="I111">
        <f>SUMIF('Quarterly Data'!$B:$B,'Annual Data'!$A111,'Quarterly Data'!K:K)</f>
        <v>0</v>
      </c>
      <c r="J111">
        <f>SUMIF('Quarterly Data'!$B:$B,'Annual Data'!$A111,'Quarterly Data'!L:L)</f>
        <v>0</v>
      </c>
      <c r="K111" t="e">
        <f>AVERAGEIF('Quarterly Data'!$B:$B,'Annual Data'!$A111,'Quarterly Data'!M:M)</f>
        <v>#DIV/0!</v>
      </c>
      <c r="L111" t="e">
        <f>AVERAGEIF('Quarterly Data'!$B:$B,'Annual Data'!$A111,'Quarterly Data'!N:N)</f>
        <v>#DIV/0!</v>
      </c>
      <c r="M111" t="e">
        <f>AVERAGEIF('Quarterly Data'!$B:$B,'Annual Data'!$A111,'Quarterly Data'!O:O)</f>
        <v>#DIV/0!</v>
      </c>
      <c r="N111" t="e">
        <f>AVERAGEIF('Quarterly Data'!$B:$B,'Annual Data'!$A111,'Quarterly Data'!P:P)</f>
        <v>#DIV/0!</v>
      </c>
      <c r="O111" t="e">
        <f>AVERAGEIF('Quarterly Data'!$B:$B,'Annual Data'!$A111,'Quarterly Data'!Q:Q)</f>
        <v>#DIV/0!</v>
      </c>
      <c r="P111">
        <f>SUMIF('Quarterly Data'!$B:$B,'Annual Data'!$A111,'Quarterly Data'!R:R)</f>
        <v>0</v>
      </c>
      <c r="Q111">
        <f>SUMIF('Quarterly Data'!$B:$B,'Annual Data'!$A111,'Quarterly Data'!S:S)</f>
        <v>0</v>
      </c>
      <c r="R111" t="e">
        <f>AVERAGEIF('Quarterly Data'!$B:$B,'Annual Data'!$A111,'Quarterly Data'!T:T)</f>
        <v>#DIV/0!</v>
      </c>
      <c r="S111">
        <f>SUMIF('Quarterly Data'!$B:$B,'Annual Data'!$A111,'Quarterly Data'!U:U)</f>
        <v>0</v>
      </c>
      <c r="T111">
        <f>SUMIF('Quarterly Data'!$B:$B,'Annual Data'!$A111,'Quarterly Data'!V:V)</f>
        <v>0</v>
      </c>
      <c r="U111">
        <f>SUMIF('Quarterly Data'!$B:$B,'Annual Data'!$A111,'Quarterly Data'!W:W)</f>
        <v>0</v>
      </c>
      <c r="V111">
        <f>SUMIF('Quarterly Data'!$B:$B,'Annual Data'!$A111,'Quarterly Data'!X:X)</f>
        <v>0</v>
      </c>
      <c r="W111">
        <f>SUMIF('Quarterly Data'!$B:$B,'Annual Data'!$A111,'Quarterly Data'!Y:Y)</f>
        <v>0</v>
      </c>
      <c r="X111">
        <f>SUMIF('Quarterly Data'!$B:$B,'Annual Data'!$A111,'Quarterly Data'!Z:Z)</f>
        <v>0</v>
      </c>
      <c r="Y111">
        <f>SUMIF('Quarterly Data'!$B:$B,'Annual Data'!$A111,'Quarterly Data'!AA:AA)</f>
        <v>0</v>
      </c>
      <c r="Z111" t="e">
        <f>AVERAGEIF('Quarterly Data'!$B:$B,'Annual Data'!$A111,'Quarterly Data'!AB:AB)</f>
        <v>#DIV/0!</v>
      </c>
      <c r="AA111" t="e">
        <f>AVERAGEIF('Quarterly Data'!$B:$B,'Annual Data'!$A111,'Quarterly Data'!AC:AC)</f>
        <v>#DIV/0!</v>
      </c>
      <c r="AB111" t="e">
        <f>AVERAGEIF('Quarterly Data'!$B:$B,'Annual Data'!$A111,'Quarterly Data'!AD:AD)</f>
        <v>#DIV/0!</v>
      </c>
      <c r="AC111" t="e">
        <f>AVERAGEIF('Quarterly Data'!$B:$B,'Annual Data'!$A111,'Quarterly Data'!AE:AE)</f>
        <v>#DIV/0!</v>
      </c>
      <c r="AD111" t="e">
        <f>AVERAGEIF('Quarterly Data'!$B:$B,'Annual Data'!$A111,'Quarterly Data'!AF:AF)</f>
        <v>#DIV/0!</v>
      </c>
      <c r="AE111">
        <f>SUMIF('Quarterly Data'!$B:$B,'Annual Data'!$A111,'Quarterly Data'!AG:AG)</f>
        <v>0</v>
      </c>
    </row>
    <row r="112" spans="1:31" x14ac:dyDescent="0.25">
      <c r="A112">
        <v>2078</v>
      </c>
      <c r="B112">
        <f>SUMIF('Quarterly Data'!$B:$B,'Annual Data'!$A112,'Quarterly Data'!D:D)</f>
        <v>0</v>
      </c>
      <c r="C112" t="e">
        <f>AVERAGEIF('Quarterly Data'!$B:$B,'Annual Data'!$A112,'Quarterly Data'!E:E)</f>
        <v>#DIV/0!</v>
      </c>
      <c r="D112">
        <f>SUMIF('Quarterly Data'!$B:$B,'Annual Data'!$A112,'Quarterly Data'!F:F)</f>
        <v>0</v>
      </c>
      <c r="E112">
        <f>SUMIF('Quarterly Data'!$B:$B,'Annual Data'!$A112,'Quarterly Data'!G:G)</f>
        <v>0</v>
      </c>
      <c r="F112">
        <f>SUMIF('Quarterly Data'!$B:$B,'Annual Data'!$A112,'Quarterly Data'!H:H)</f>
        <v>0</v>
      </c>
      <c r="G112">
        <f>SUMIF('Quarterly Data'!$B:$B,'Annual Data'!$A112,'Quarterly Data'!I:I)</f>
        <v>0</v>
      </c>
      <c r="H112">
        <f>SUMIF('Quarterly Data'!$B:$B,'Annual Data'!$A112,'Quarterly Data'!J:J)</f>
        <v>0</v>
      </c>
      <c r="I112">
        <f>SUMIF('Quarterly Data'!$B:$B,'Annual Data'!$A112,'Quarterly Data'!K:K)</f>
        <v>0</v>
      </c>
      <c r="J112">
        <f>SUMIF('Quarterly Data'!$B:$B,'Annual Data'!$A112,'Quarterly Data'!L:L)</f>
        <v>0</v>
      </c>
      <c r="K112" t="e">
        <f>AVERAGEIF('Quarterly Data'!$B:$B,'Annual Data'!$A112,'Quarterly Data'!M:M)</f>
        <v>#DIV/0!</v>
      </c>
      <c r="L112" t="e">
        <f>AVERAGEIF('Quarterly Data'!$B:$B,'Annual Data'!$A112,'Quarterly Data'!N:N)</f>
        <v>#DIV/0!</v>
      </c>
      <c r="M112" t="e">
        <f>AVERAGEIF('Quarterly Data'!$B:$B,'Annual Data'!$A112,'Quarterly Data'!O:O)</f>
        <v>#DIV/0!</v>
      </c>
      <c r="N112" t="e">
        <f>AVERAGEIF('Quarterly Data'!$B:$B,'Annual Data'!$A112,'Quarterly Data'!P:P)</f>
        <v>#DIV/0!</v>
      </c>
      <c r="O112" t="e">
        <f>AVERAGEIF('Quarterly Data'!$B:$B,'Annual Data'!$A112,'Quarterly Data'!Q:Q)</f>
        <v>#DIV/0!</v>
      </c>
      <c r="P112">
        <f>SUMIF('Quarterly Data'!$B:$B,'Annual Data'!$A112,'Quarterly Data'!R:R)</f>
        <v>0</v>
      </c>
      <c r="Q112">
        <f>SUMIF('Quarterly Data'!$B:$B,'Annual Data'!$A112,'Quarterly Data'!S:S)</f>
        <v>0</v>
      </c>
      <c r="R112" t="e">
        <f>AVERAGEIF('Quarterly Data'!$B:$B,'Annual Data'!$A112,'Quarterly Data'!T:T)</f>
        <v>#DIV/0!</v>
      </c>
      <c r="S112">
        <f>SUMIF('Quarterly Data'!$B:$B,'Annual Data'!$A112,'Quarterly Data'!U:U)</f>
        <v>0</v>
      </c>
      <c r="T112">
        <f>SUMIF('Quarterly Data'!$B:$B,'Annual Data'!$A112,'Quarterly Data'!V:V)</f>
        <v>0</v>
      </c>
      <c r="U112">
        <f>SUMIF('Quarterly Data'!$B:$B,'Annual Data'!$A112,'Quarterly Data'!W:W)</f>
        <v>0</v>
      </c>
      <c r="V112">
        <f>SUMIF('Quarterly Data'!$B:$B,'Annual Data'!$A112,'Quarterly Data'!X:X)</f>
        <v>0</v>
      </c>
      <c r="W112">
        <f>SUMIF('Quarterly Data'!$B:$B,'Annual Data'!$A112,'Quarterly Data'!Y:Y)</f>
        <v>0</v>
      </c>
      <c r="X112">
        <f>SUMIF('Quarterly Data'!$B:$B,'Annual Data'!$A112,'Quarterly Data'!Z:Z)</f>
        <v>0</v>
      </c>
      <c r="Y112">
        <f>SUMIF('Quarterly Data'!$B:$B,'Annual Data'!$A112,'Quarterly Data'!AA:AA)</f>
        <v>0</v>
      </c>
      <c r="Z112" t="e">
        <f>AVERAGEIF('Quarterly Data'!$B:$B,'Annual Data'!$A112,'Quarterly Data'!AB:AB)</f>
        <v>#DIV/0!</v>
      </c>
      <c r="AA112" t="e">
        <f>AVERAGEIF('Quarterly Data'!$B:$B,'Annual Data'!$A112,'Quarterly Data'!AC:AC)</f>
        <v>#DIV/0!</v>
      </c>
      <c r="AB112" t="e">
        <f>AVERAGEIF('Quarterly Data'!$B:$B,'Annual Data'!$A112,'Quarterly Data'!AD:AD)</f>
        <v>#DIV/0!</v>
      </c>
      <c r="AC112" t="e">
        <f>AVERAGEIF('Quarterly Data'!$B:$B,'Annual Data'!$A112,'Quarterly Data'!AE:AE)</f>
        <v>#DIV/0!</v>
      </c>
      <c r="AD112" t="e">
        <f>AVERAGEIF('Quarterly Data'!$B:$B,'Annual Data'!$A112,'Quarterly Data'!AF:AF)</f>
        <v>#DIV/0!</v>
      </c>
      <c r="AE112">
        <f>SUMIF('Quarterly Data'!$B:$B,'Annual Data'!$A112,'Quarterly Data'!AG:AG)</f>
        <v>0</v>
      </c>
    </row>
    <row r="113" spans="1:31" x14ac:dyDescent="0.25">
      <c r="A113">
        <v>2079</v>
      </c>
      <c r="B113">
        <f>SUMIF('Quarterly Data'!$B:$B,'Annual Data'!$A113,'Quarterly Data'!D:D)</f>
        <v>0</v>
      </c>
      <c r="C113" t="e">
        <f>AVERAGEIF('Quarterly Data'!$B:$B,'Annual Data'!$A113,'Quarterly Data'!E:E)</f>
        <v>#DIV/0!</v>
      </c>
      <c r="D113">
        <f>SUMIF('Quarterly Data'!$B:$B,'Annual Data'!$A113,'Quarterly Data'!F:F)</f>
        <v>0</v>
      </c>
      <c r="E113">
        <f>SUMIF('Quarterly Data'!$B:$B,'Annual Data'!$A113,'Quarterly Data'!G:G)</f>
        <v>0</v>
      </c>
      <c r="F113">
        <f>SUMIF('Quarterly Data'!$B:$B,'Annual Data'!$A113,'Quarterly Data'!H:H)</f>
        <v>0</v>
      </c>
      <c r="G113">
        <f>SUMIF('Quarterly Data'!$B:$B,'Annual Data'!$A113,'Quarterly Data'!I:I)</f>
        <v>0</v>
      </c>
      <c r="H113">
        <f>SUMIF('Quarterly Data'!$B:$B,'Annual Data'!$A113,'Quarterly Data'!J:J)</f>
        <v>0</v>
      </c>
      <c r="I113">
        <f>SUMIF('Quarterly Data'!$B:$B,'Annual Data'!$A113,'Quarterly Data'!K:K)</f>
        <v>0</v>
      </c>
      <c r="J113">
        <f>SUMIF('Quarterly Data'!$B:$B,'Annual Data'!$A113,'Quarterly Data'!L:L)</f>
        <v>0</v>
      </c>
      <c r="K113" t="e">
        <f>AVERAGEIF('Quarterly Data'!$B:$B,'Annual Data'!$A113,'Quarterly Data'!M:M)</f>
        <v>#DIV/0!</v>
      </c>
      <c r="L113" t="e">
        <f>AVERAGEIF('Quarterly Data'!$B:$B,'Annual Data'!$A113,'Quarterly Data'!N:N)</f>
        <v>#DIV/0!</v>
      </c>
      <c r="M113" t="e">
        <f>AVERAGEIF('Quarterly Data'!$B:$B,'Annual Data'!$A113,'Quarterly Data'!O:O)</f>
        <v>#DIV/0!</v>
      </c>
      <c r="N113" t="e">
        <f>AVERAGEIF('Quarterly Data'!$B:$B,'Annual Data'!$A113,'Quarterly Data'!P:P)</f>
        <v>#DIV/0!</v>
      </c>
      <c r="O113" t="e">
        <f>AVERAGEIF('Quarterly Data'!$B:$B,'Annual Data'!$A113,'Quarterly Data'!Q:Q)</f>
        <v>#DIV/0!</v>
      </c>
      <c r="P113">
        <f>SUMIF('Quarterly Data'!$B:$B,'Annual Data'!$A113,'Quarterly Data'!R:R)</f>
        <v>0</v>
      </c>
      <c r="Q113">
        <f>SUMIF('Quarterly Data'!$B:$B,'Annual Data'!$A113,'Quarterly Data'!S:S)</f>
        <v>0</v>
      </c>
      <c r="R113" t="e">
        <f>AVERAGEIF('Quarterly Data'!$B:$B,'Annual Data'!$A113,'Quarterly Data'!T:T)</f>
        <v>#DIV/0!</v>
      </c>
      <c r="S113">
        <f>SUMIF('Quarterly Data'!$B:$B,'Annual Data'!$A113,'Quarterly Data'!U:U)</f>
        <v>0</v>
      </c>
      <c r="T113">
        <f>SUMIF('Quarterly Data'!$B:$B,'Annual Data'!$A113,'Quarterly Data'!V:V)</f>
        <v>0</v>
      </c>
      <c r="U113">
        <f>SUMIF('Quarterly Data'!$B:$B,'Annual Data'!$A113,'Quarterly Data'!W:W)</f>
        <v>0</v>
      </c>
      <c r="V113">
        <f>SUMIF('Quarterly Data'!$B:$B,'Annual Data'!$A113,'Quarterly Data'!X:X)</f>
        <v>0</v>
      </c>
      <c r="W113">
        <f>SUMIF('Quarterly Data'!$B:$B,'Annual Data'!$A113,'Quarterly Data'!Y:Y)</f>
        <v>0</v>
      </c>
      <c r="X113">
        <f>SUMIF('Quarterly Data'!$B:$B,'Annual Data'!$A113,'Quarterly Data'!Z:Z)</f>
        <v>0</v>
      </c>
      <c r="Y113">
        <f>SUMIF('Quarterly Data'!$B:$B,'Annual Data'!$A113,'Quarterly Data'!AA:AA)</f>
        <v>0</v>
      </c>
      <c r="Z113" t="e">
        <f>AVERAGEIF('Quarterly Data'!$B:$B,'Annual Data'!$A113,'Quarterly Data'!AB:AB)</f>
        <v>#DIV/0!</v>
      </c>
      <c r="AA113" t="e">
        <f>AVERAGEIF('Quarterly Data'!$B:$B,'Annual Data'!$A113,'Quarterly Data'!AC:AC)</f>
        <v>#DIV/0!</v>
      </c>
      <c r="AB113" t="e">
        <f>AVERAGEIF('Quarterly Data'!$B:$B,'Annual Data'!$A113,'Quarterly Data'!AD:AD)</f>
        <v>#DIV/0!</v>
      </c>
      <c r="AC113" t="e">
        <f>AVERAGEIF('Quarterly Data'!$B:$B,'Annual Data'!$A113,'Quarterly Data'!AE:AE)</f>
        <v>#DIV/0!</v>
      </c>
      <c r="AD113" t="e">
        <f>AVERAGEIF('Quarterly Data'!$B:$B,'Annual Data'!$A113,'Quarterly Data'!AF:AF)</f>
        <v>#DIV/0!</v>
      </c>
      <c r="AE113">
        <f>SUMIF('Quarterly Data'!$B:$B,'Annual Data'!$A113,'Quarterly Data'!AG:AG)</f>
        <v>0</v>
      </c>
    </row>
    <row r="114" spans="1:31" x14ac:dyDescent="0.25">
      <c r="A114">
        <v>2080</v>
      </c>
      <c r="B114">
        <f>SUMIF('Quarterly Data'!$B:$B,'Annual Data'!$A114,'Quarterly Data'!D:D)</f>
        <v>0</v>
      </c>
      <c r="C114" t="e">
        <f>AVERAGEIF('Quarterly Data'!$B:$B,'Annual Data'!$A114,'Quarterly Data'!E:E)</f>
        <v>#DIV/0!</v>
      </c>
      <c r="D114">
        <f>SUMIF('Quarterly Data'!$B:$B,'Annual Data'!$A114,'Quarterly Data'!F:F)</f>
        <v>0</v>
      </c>
      <c r="E114">
        <f>SUMIF('Quarterly Data'!$B:$B,'Annual Data'!$A114,'Quarterly Data'!G:G)</f>
        <v>0</v>
      </c>
      <c r="F114">
        <f>SUMIF('Quarterly Data'!$B:$B,'Annual Data'!$A114,'Quarterly Data'!H:H)</f>
        <v>0</v>
      </c>
      <c r="G114">
        <f>SUMIF('Quarterly Data'!$B:$B,'Annual Data'!$A114,'Quarterly Data'!I:I)</f>
        <v>0</v>
      </c>
      <c r="H114">
        <f>SUMIF('Quarterly Data'!$B:$B,'Annual Data'!$A114,'Quarterly Data'!J:J)</f>
        <v>0</v>
      </c>
      <c r="I114">
        <f>SUMIF('Quarterly Data'!$B:$B,'Annual Data'!$A114,'Quarterly Data'!K:K)</f>
        <v>0</v>
      </c>
      <c r="J114">
        <f>SUMIF('Quarterly Data'!$B:$B,'Annual Data'!$A114,'Quarterly Data'!L:L)</f>
        <v>0</v>
      </c>
      <c r="K114" t="e">
        <f>AVERAGEIF('Quarterly Data'!$B:$B,'Annual Data'!$A114,'Quarterly Data'!M:M)</f>
        <v>#DIV/0!</v>
      </c>
      <c r="L114" t="e">
        <f>AVERAGEIF('Quarterly Data'!$B:$B,'Annual Data'!$A114,'Quarterly Data'!N:N)</f>
        <v>#DIV/0!</v>
      </c>
      <c r="M114" t="e">
        <f>AVERAGEIF('Quarterly Data'!$B:$B,'Annual Data'!$A114,'Quarterly Data'!O:O)</f>
        <v>#DIV/0!</v>
      </c>
      <c r="N114" t="e">
        <f>AVERAGEIF('Quarterly Data'!$B:$B,'Annual Data'!$A114,'Quarterly Data'!P:P)</f>
        <v>#DIV/0!</v>
      </c>
      <c r="O114" t="e">
        <f>AVERAGEIF('Quarterly Data'!$B:$B,'Annual Data'!$A114,'Quarterly Data'!Q:Q)</f>
        <v>#DIV/0!</v>
      </c>
      <c r="P114">
        <f>SUMIF('Quarterly Data'!$B:$B,'Annual Data'!$A114,'Quarterly Data'!R:R)</f>
        <v>0</v>
      </c>
      <c r="Q114">
        <f>SUMIF('Quarterly Data'!$B:$B,'Annual Data'!$A114,'Quarterly Data'!S:S)</f>
        <v>0</v>
      </c>
      <c r="R114" t="e">
        <f>AVERAGEIF('Quarterly Data'!$B:$B,'Annual Data'!$A114,'Quarterly Data'!T:T)</f>
        <v>#DIV/0!</v>
      </c>
      <c r="S114">
        <f>SUMIF('Quarterly Data'!$B:$B,'Annual Data'!$A114,'Quarterly Data'!U:U)</f>
        <v>0</v>
      </c>
      <c r="T114">
        <f>SUMIF('Quarterly Data'!$B:$B,'Annual Data'!$A114,'Quarterly Data'!V:V)</f>
        <v>0</v>
      </c>
      <c r="U114">
        <f>SUMIF('Quarterly Data'!$B:$B,'Annual Data'!$A114,'Quarterly Data'!W:W)</f>
        <v>0</v>
      </c>
      <c r="V114">
        <f>SUMIF('Quarterly Data'!$B:$B,'Annual Data'!$A114,'Quarterly Data'!X:X)</f>
        <v>0</v>
      </c>
      <c r="W114">
        <f>SUMIF('Quarterly Data'!$B:$B,'Annual Data'!$A114,'Quarterly Data'!Y:Y)</f>
        <v>0</v>
      </c>
      <c r="X114">
        <f>SUMIF('Quarterly Data'!$B:$B,'Annual Data'!$A114,'Quarterly Data'!Z:Z)</f>
        <v>0</v>
      </c>
      <c r="Y114">
        <f>SUMIF('Quarterly Data'!$B:$B,'Annual Data'!$A114,'Quarterly Data'!AA:AA)</f>
        <v>0</v>
      </c>
      <c r="Z114" t="e">
        <f>AVERAGEIF('Quarterly Data'!$B:$B,'Annual Data'!$A114,'Quarterly Data'!AB:AB)</f>
        <v>#DIV/0!</v>
      </c>
      <c r="AA114" t="e">
        <f>AVERAGEIF('Quarterly Data'!$B:$B,'Annual Data'!$A114,'Quarterly Data'!AC:AC)</f>
        <v>#DIV/0!</v>
      </c>
      <c r="AB114" t="e">
        <f>AVERAGEIF('Quarterly Data'!$B:$B,'Annual Data'!$A114,'Quarterly Data'!AD:AD)</f>
        <v>#DIV/0!</v>
      </c>
      <c r="AC114" t="e">
        <f>AVERAGEIF('Quarterly Data'!$B:$B,'Annual Data'!$A114,'Quarterly Data'!AE:AE)</f>
        <v>#DIV/0!</v>
      </c>
      <c r="AD114" t="e">
        <f>AVERAGEIF('Quarterly Data'!$B:$B,'Annual Data'!$A114,'Quarterly Data'!AF:AF)</f>
        <v>#DIV/0!</v>
      </c>
      <c r="AE114">
        <f>SUMIF('Quarterly Data'!$B:$B,'Annual Data'!$A114,'Quarterly Data'!AG:AG)</f>
        <v>0</v>
      </c>
    </row>
    <row r="115" spans="1:31" x14ac:dyDescent="0.25">
      <c r="A115">
        <v>2081</v>
      </c>
      <c r="B115">
        <f>SUMIF('Quarterly Data'!$B:$B,'Annual Data'!$A115,'Quarterly Data'!D:D)</f>
        <v>0</v>
      </c>
      <c r="C115" t="e">
        <f>AVERAGEIF('Quarterly Data'!$B:$B,'Annual Data'!$A115,'Quarterly Data'!E:E)</f>
        <v>#DIV/0!</v>
      </c>
      <c r="D115">
        <f>SUMIF('Quarterly Data'!$B:$B,'Annual Data'!$A115,'Quarterly Data'!F:F)</f>
        <v>0</v>
      </c>
      <c r="E115">
        <f>SUMIF('Quarterly Data'!$B:$B,'Annual Data'!$A115,'Quarterly Data'!G:G)</f>
        <v>0</v>
      </c>
      <c r="F115">
        <f>SUMIF('Quarterly Data'!$B:$B,'Annual Data'!$A115,'Quarterly Data'!H:H)</f>
        <v>0</v>
      </c>
      <c r="G115">
        <f>SUMIF('Quarterly Data'!$B:$B,'Annual Data'!$A115,'Quarterly Data'!I:I)</f>
        <v>0</v>
      </c>
      <c r="H115">
        <f>SUMIF('Quarterly Data'!$B:$B,'Annual Data'!$A115,'Quarterly Data'!J:J)</f>
        <v>0</v>
      </c>
      <c r="I115">
        <f>SUMIF('Quarterly Data'!$B:$B,'Annual Data'!$A115,'Quarterly Data'!K:K)</f>
        <v>0</v>
      </c>
      <c r="J115">
        <f>SUMIF('Quarterly Data'!$B:$B,'Annual Data'!$A115,'Quarterly Data'!L:L)</f>
        <v>0</v>
      </c>
      <c r="K115" t="e">
        <f>AVERAGEIF('Quarterly Data'!$B:$B,'Annual Data'!$A115,'Quarterly Data'!M:M)</f>
        <v>#DIV/0!</v>
      </c>
      <c r="L115" t="e">
        <f>AVERAGEIF('Quarterly Data'!$B:$B,'Annual Data'!$A115,'Quarterly Data'!N:N)</f>
        <v>#DIV/0!</v>
      </c>
      <c r="M115" t="e">
        <f>AVERAGEIF('Quarterly Data'!$B:$B,'Annual Data'!$A115,'Quarterly Data'!O:O)</f>
        <v>#DIV/0!</v>
      </c>
      <c r="N115" t="e">
        <f>AVERAGEIF('Quarterly Data'!$B:$B,'Annual Data'!$A115,'Quarterly Data'!P:P)</f>
        <v>#DIV/0!</v>
      </c>
      <c r="O115" t="e">
        <f>AVERAGEIF('Quarterly Data'!$B:$B,'Annual Data'!$A115,'Quarterly Data'!Q:Q)</f>
        <v>#DIV/0!</v>
      </c>
      <c r="P115">
        <f>SUMIF('Quarterly Data'!$B:$B,'Annual Data'!$A115,'Quarterly Data'!R:R)</f>
        <v>0</v>
      </c>
      <c r="Q115">
        <f>SUMIF('Quarterly Data'!$B:$B,'Annual Data'!$A115,'Quarterly Data'!S:S)</f>
        <v>0</v>
      </c>
      <c r="R115" t="e">
        <f>AVERAGEIF('Quarterly Data'!$B:$B,'Annual Data'!$A115,'Quarterly Data'!T:T)</f>
        <v>#DIV/0!</v>
      </c>
      <c r="S115">
        <f>SUMIF('Quarterly Data'!$B:$B,'Annual Data'!$A115,'Quarterly Data'!U:U)</f>
        <v>0</v>
      </c>
      <c r="T115">
        <f>SUMIF('Quarterly Data'!$B:$B,'Annual Data'!$A115,'Quarterly Data'!V:V)</f>
        <v>0</v>
      </c>
      <c r="U115">
        <f>SUMIF('Quarterly Data'!$B:$B,'Annual Data'!$A115,'Quarterly Data'!W:W)</f>
        <v>0</v>
      </c>
      <c r="V115">
        <f>SUMIF('Quarterly Data'!$B:$B,'Annual Data'!$A115,'Quarterly Data'!X:X)</f>
        <v>0</v>
      </c>
      <c r="W115">
        <f>SUMIF('Quarterly Data'!$B:$B,'Annual Data'!$A115,'Quarterly Data'!Y:Y)</f>
        <v>0</v>
      </c>
      <c r="X115">
        <f>SUMIF('Quarterly Data'!$B:$B,'Annual Data'!$A115,'Quarterly Data'!Z:Z)</f>
        <v>0</v>
      </c>
      <c r="Y115">
        <f>SUMIF('Quarterly Data'!$B:$B,'Annual Data'!$A115,'Quarterly Data'!AA:AA)</f>
        <v>0</v>
      </c>
      <c r="Z115" t="e">
        <f>AVERAGEIF('Quarterly Data'!$B:$B,'Annual Data'!$A115,'Quarterly Data'!AB:AB)</f>
        <v>#DIV/0!</v>
      </c>
      <c r="AA115" t="e">
        <f>AVERAGEIF('Quarterly Data'!$B:$B,'Annual Data'!$A115,'Quarterly Data'!AC:AC)</f>
        <v>#DIV/0!</v>
      </c>
      <c r="AB115" t="e">
        <f>AVERAGEIF('Quarterly Data'!$B:$B,'Annual Data'!$A115,'Quarterly Data'!AD:AD)</f>
        <v>#DIV/0!</v>
      </c>
      <c r="AC115" t="e">
        <f>AVERAGEIF('Quarterly Data'!$B:$B,'Annual Data'!$A115,'Quarterly Data'!AE:AE)</f>
        <v>#DIV/0!</v>
      </c>
      <c r="AD115" t="e">
        <f>AVERAGEIF('Quarterly Data'!$B:$B,'Annual Data'!$A115,'Quarterly Data'!AF:AF)</f>
        <v>#DIV/0!</v>
      </c>
      <c r="AE115">
        <f>SUMIF('Quarterly Data'!$B:$B,'Annual Data'!$A115,'Quarterly Data'!AG:AG)</f>
        <v>0</v>
      </c>
    </row>
    <row r="116" spans="1:31" x14ac:dyDescent="0.25">
      <c r="A116">
        <v>2082</v>
      </c>
      <c r="B116">
        <f>SUMIF('Quarterly Data'!$B:$B,'Annual Data'!$A116,'Quarterly Data'!D:D)</f>
        <v>0</v>
      </c>
      <c r="C116" t="e">
        <f>AVERAGEIF('Quarterly Data'!$B:$B,'Annual Data'!$A116,'Quarterly Data'!E:E)</f>
        <v>#DIV/0!</v>
      </c>
      <c r="D116">
        <f>SUMIF('Quarterly Data'!$B:$B,'Annual Data'!$A116,'Quarterly Data'!F:F)</f>
        <v>0</v>
      </c>
      <c r="E116">
        <f>SUMIF('Quarterly Data'!$B:$B,'Annual Data'!$A116,'Quarterly Data'!G:G)</f>
        <v>0</v>
      </c>
      <c r="F116">
        <f>SUMIF('Quarterly Data'!$B:$B,'Annual Data'!$A116,'Quarterly Data'!H:H)</f>
        <v>0</v>
      </c>
      <c r="G116">
        <f>SUMIF('Quarterly Data'!$B:$B,'Annual Data'!$A116,'Quarterly Data'!I:I)</f>
        <v>0</v>
      </c>
      <c r="H116">
        <f>SUMIF('Quarterly Data'!$B:$B,'Annual Data'!$A116,'Quarterly Data'!J:J)</f>
        <v>0</v>
      </c>
      <c r="I116">
        <f>SUMIF('Quarterly Data'!$B:$B,'Annual Data'!$A116,'Quarterly Data'!K:K)</f>
        <v>0</v>
      </c>
      <c r="J116">
        <f>SUMIF('Quarterly Data'!$B:$B,'Annual Data'!$A116,'Quarterly Data'!L:L)</f>
        <v>0</v>
      </c>
      <c r="K116" t="e">
        <f>AVERAGEIF('Quarterly Data'!$B:$B,'Annual Data'!$A116,'Quarterly Data'!M:M)</f>
        <v>#DIV/0!</v>
      </c>
      <c r="L116" t="e">
        <f>AVERAGEIF('Quarterly Data'!$B:$B,'Annual Data'!$A116,'Quarterly Data'!N:N)</f>
        <v>#DIV/0!</v>
      </c>
      <c r="M116" t="e">
        <f>AVERAGEIF('Quarterly Data'!$B:$B,'Annual Data'!$A116,'Quarterly Data'!O:O)</f>
        <v>#DIV/0!</v>
      </c>
      <c r="N116" t="e">
        <f>AVERAGEIF('Quarterly Data'!$B:$B,'Annual Data'!$A116,'Quarterly Data'!P:P)</f>
        <v>#DIV/0!</v>
      </c>
      <c r="O116" t="e">
        <f>AVERAGEIF('Quarterly Data'!$B:$B,'Annual Data'!$A116,'Quarterly Data'!Q:Q)</f>
        <v>#DIV/0!</v>
      </c>
      <c r="P116">
        <f>SUMIF('Quarterly Data'!$B:$B,'Annual Data'!$A116,'Quarterly Data'!R:R)</f>
        <v>0</v>
      </c>
      <c r="Q116">
        <f>SUMIF('Quarterly Data'!$B:$B,'Annual Data'!$A116,'Quarterly Data'!S:S)</f>
        <v>0</v>
      </c>
      <c r="R116" t="e">
        <f>AVERAGEIF('Quarterly Data'!$B:$B,'Annual Data'!$A116,'Quarterly Data'!T:T)</f>
        <v>#DIV/0!</v>
      </c>
      <c r="S116">
        <f>SUMIF('Quarterly Data'!$B:$B,'Annual Data'!$A116,'Quarterly Data'!U:U)</f>
        <v>0</v>
      </c>
      <c r="T116">
        <f>SUMIF('Quarterly Data'!$B:$B,'Annual Data'!$A116,'Quarterly Data'!V:V)</f>
        <v>0</v>
      </c>
      <c r="U116">
        <f>SUMIF('Quarterly Data'!$B:$B,'Annual Data'!$A116,'Quarterly Data'!W:W)</f>
        <v>0</v>
      </c>
      <c r="V116">
        <f>SUMIF('Quarterly Data'!$B:$B,'Annual Data'!$A116,'Quarterly Data'!X:X)</f>
        <v>0</v>
      </c>
      <c r="W116">
        <f>SUMIF('Quarterly Data'!$B:$B,'Annual Data'!$A116,'Quarterly Data'!Y:Y)</f>
        <v>0</v>
      </c>
      <c r="X116">
        <f>SUMIF('Quarterly Data'!$B:$B,'Annual Data'!$A116,'Quarterly Data'!Z:Z)</f>
        <v>0</v>
      </c>
      <c r="Y116">
        <f>SUMIF('Quarterly Data'!$B:$B,'Annual Data'!$A116,'Quarterly Data'!AA:AA)</f>
        <v>0</v>
      </c>
      <c r="Z116" t="e">
        <f>AVERAGEIF('Quarterly Data'!$B:$B,'Annual Data'!$A116,'Quarterly Data'!AB:AB)</f>
        <v>#DIV/0!</v>
      </c>
      <c r="AA116" t="e">
        <f>AVERAGEIF('Quarterly Data'!$B:$B,'Annual Data'!$A116,'Quarterly Data'!AC:AC)</f>
        <v>#DIV/0!</v>
      </c>
      <c r="AB116" t="e">
        <f>AVERAGEIF('Quarterly Data'!$B:$B,'Annual Data'!$A116,'Quarterly Data'!AD:AD)</f>
        <v>#DIV/0!</v>
      </c>
      <c r="AC116" t="e">
        <f>AVERAGEIF('Quarterly Data'!$B:$B,'Annual Data'!$A116,'Quarterly Data'!AE:AE)</f>
        <v>#DIV/0!</v>
      </c>
      <c r="AD116" t="e">
        <f>AVERAGEIF('Quarterly Data'!$B:$B,'Annual Data'!$A116,'Quarterly Data'!AF:AF)</f>
        <v>#DIV/0!</v>
      </c>
      <c r="AE116">
        <f>SUMIF('Quarterly Data'!$B:$B,'Annual Data'!$A116,'Quarterly Data'!AG:AG)</f>
        <v>0</v>
      </c>
    </row>
    <row r="117" spans="1:31" x14ac:dyDescent="0.25">
      <c r="A117">
        <v>2083</v>
      </c>
      <c r="B117">
        <f>SUMIF('Quarterly Data'!$B:$B,'Annual Data'!$A117,'Quarterly Data'!D:D)</f>
        <v>0</v>
      </c>
      <c r="C117" t="e">
        <f>AVERAGEIF('Quarterly Data'!$B:$B,'Annual Data'!$A117,'Quarterly Data'!E:E)</f>
        <v>#DIV/0!</v>
      </c>
      <c r="D117">
        <f>SUMIF('Quarterly Data'!$B:$B,'Annual Data'!$A117,'Quarterly Data'!F:F)</f>
        <v>0</v>
      </c>
      <c r="E117">
        <f>SUMIF('Quarterly Data'!$B:$B,'Annual Data'!$A117,'Quarterly Data'!G:G)</f>
        <v>0</v>
      </c>
      <c r="F117">
        <f>SUMIF('Quarterly Data'!$B:$B,'Annual Data'!$A117,'Quarterly Data'!H:H)</f>
        <v>0</v>
      </c>
      <c r="G117">
        <f>SUMIF('Quarterly Data'!$B:$B,'Annual Data'!$A117,'Quarterly Data'!I:I)</f>
        <v>0</v>
      </c>
      <c r="H117">
        <f>SUMIF('Quarterly Data'!$B:$B,'Annual Data'!$A117,'Quarterly Data'!J:J)</f>
        <v>0</v>
      </c>
      <c r="I117">
        <f>SUMIF('Quarterly Data'!$B:$B,'Annual Data'!$A117,'Quarterly Data'!K:K)</f>
        <v>0</v>
      </c>
      <c r="J117">
        <f>SUMIF('Quarterly Data'!$B:$B,'Annual Data'!$A117,'Quarterly Data'!L:L)</f>
        <v>0</v>
      </c>
      <c r="K117" t="e">
        <f>AVERAGEIF('Quarterly Data'!$B:$B,'Annual Data'!$A117,'Quarterly Data'!M:M)</f>
        <v>#DIV/0!</v>
      </c>
      <c r="L117" t="e">
        <f>AVERAGEIF('Quarterly Data'!$B:$B,'Annual Data'!$A117,'Quarterly Data'!N:N)</f>
        <v>#DIV/0!</v>
      </c>
      <c r="M117" t="e">
        <f>AVERAGEIF('Quarterly Data'!$B:$B,'Annual Data'!$A117,'Quarterly Data'!O:O)</f>
        <v>#DIV/0!</v>
      </c>
      <c r="N117" t="e">
        <f>AVERAGEIF('Quarterly Data'!$B:$B,'Annual Data'!$A117,'Quarterly Data'!P:P)</f>
        <v>#DIV/0!</v>
      </c>
      <c r="O117" t="e">
        <f>AVERAGEIF('Quarterly Data'!$B:$B,'Annual Data'!$A117,'Quarterly Data'!Q:Q)</f>
        <v>#DIV/0!</v>
      </c>
      <c r="P117">
        <f>SUMIF('Quarterly Data'!$B:$B,'Annual Data'!$A117,'Quarterly Data'!R:R)</f>
        <v>0</v>
      </c>
      <c r="Q117">
        <f>SUMIF('Quarterly Data'!$B:$B,'Annual Data'!$A117,'Quarterly Data'!S:S)</f>
        <v>0</v>
      </c>
      <c r="R117" t="e">
        <f>AVERAGEIF('Quarterly Data'!$B:$B,'Annual Data'!$A117,'Quarterly Data'!T:T)</f>
        <v>#DIV/0!</v>
      </c>
      <c r="S117">
        <f>SUMIF('Quarterly Data'!$B:$B,'Annual Data'!$A117,'Quarterly Data'!U:U)</f>
        <v>0</v>
      </c>
      <c r="T117">
        <f>SUMIF('Quarterly Data'!$B:$B,'Annual Data'!$A117,'Quarterly Data'!V:V)</f>
        <v>0</v>
      </c>
      <c r="U117">
        <f>SUMIF('Quarterly Data'!$B:$B,'Annual Data'!$A117,'Quarterly Data'!W:W)</f>
        <v>0</v>
      </c>
      <c r="V117">
        <f>SUMIF('Quarterly Data'!$B:$B,'Annual Data'!$A117,'Quarterly Data'!X:X)</f>
        <v>0</v>
      </c>
      <c r="W117">
        <f>SUMIF('Quarterly Data'!$B:$B,'Annual Data'!$A117,'Quarterly Data'!Y:Y)</f>
        <v>0</v>
      </c>
      <c r="X117">
        <f>SUMIF('Quarterly Data'!$B:$B,'Annual Data'!$A117,'Quarterly Data'!Z:Z)</f>
        <v>0</v>
      </c>
      <c r="Y117">
        <f>SUMIF('Quarterly Data'!$B:$B,'Annual Data'!$A117,'Quarterly Data'!AA:AA)</f>
        <v>0</v>
      </c>
      <c r="Z117" t="e">
        <f>AVERAGEIF('Quarterly Data'!$B:$B,'Annual Data'!$A117,'Quarterly Data'!AB:AB)</f>
        <v>#DIV/0!</v>
      </c>
      <c r="AA117" t="e">
        <f>AVERAGEIF('Quarterly Data'!$B:$B,'Annual Data'!$A117,'Quarterly Data'!AC:AC)</f>
        <v>#DIV/0!</v>
      </c>
      <c r="AB117" t="e">
        <f>AVERAGEIF('Quarterly Data'!$B:$B,'Annual Data'!$A117,'Quarterly Data'!AD:AD)</f>
        <v>#DIV/0!</v>
      </c>
      <c r="AC117" t="e">
        <f>AVERAGEIF('Quarterly Data'!$B:$B,'Annual Data'!$A117,'Quarterly Data'!AE:AE)</f>
        <v>#DIV/0!</v>
      </c>
      <c r="AD117" t="e">
        <f>AVERAGEIF('Quarterly Data'!$B:$B,'Annual Data'!$A117,'Quarterly Data'!AF:AF)</f>
        <v>#DIV/0!</v>
      </c>
      <c r="AE117">
        <f>SUMIF('Quarterly Data'!$B:$B,'Annual Data'!$A117,'Quarterly Data'!AG:AG)</f>
        <v>0</v>
      </c>
    </row>
    <row r="118" spans="1:31" x14ac:dyDescent="0.25">
      <c r="A118">
        <v>2084</v>
      </c>
      <c r="B118">
        <f>SUMIF('Quarterly Data'!$B:$B,'Annual Data'!$A118,'Quarterly Data'!D:D)</f>
        <v>0</v>
      </c>
      <c r="C118" t="e">
        <f>AVERAGEIF('Quarterly Data'!$B:$B,'Annual Data'!$A118,'Quarterly Data'!E:E)</f>
        <v>#DIV/0!</v>
      </c>
      <c r="D118">
        <f>SUMIF('Quarterly Data'!$B:$B,'Annual Data'!$A118,'Quarterly Data'!F:F)</f>
        <v>0</v>
      </c>
      <c r="E118">
        <f>SUMIF('Quarterly Data'!$B:$B,'Annual Data'!$A118,'Quarterly Data'!G:G)</f>
        <v>0</v>
      </c>
      <c r="F118">
        <f>SUMIF('Quarterly Data'!$B:$B,'Annual Data'!$A118,'Quarterly Data'!H:H)</f>
        <v>0</v>
      </c>
      <c r="G118">
        <f>SUMIF('Quarterly Data'!$B:$B,'Annual Data'!$A118,'Quarterly Data'!I:I)</f>
        <v>0</v>
      </c>
      <c r="H118">
        <f>SUMIF('Quarterly Data'!$B:$B,'Annual Data'!$A118,'Quarterly Data'!J:J)</f>
        <v>0</v>
      </c>
      <c r="I118">
        <f>SUMIF('Quarterly Data'!$B:$B,'Annual Data'!$A118,'Quarterly Data'!K:K)</f>
        <v>0</v>
      </c>
      <c r="J118">
        <f>SUMIF('Quarterly Data'!$B:$B,'Annual Data'!$A118,'Quarterly Data'!L:L)</f>
        <v>0</v>
      </c>
      <c r="K118" t="e">
        <f>AVERAGEIF('Quarterly Data'!$B:$B,'Annual Data'!$A118,'Quarterly Data'!M:M)</f>
        <v>#DIV/0!</v>
      </c>
      <c r="L118" t="e">
        <f>AVERAGEIF('Quarterly Data'!$B:$B,'Annual Data'!$A118,'Quarterly Data'!N:N)</f>
        <v>#DIV/0!</v>
      </c>
      <c r="M118" t="e">
        <f>AVERAGEIF('Quarterly Data'!$B:$B,'Annual Data'!$A118,'Quarterly Data'!O:O)</f>
        <v>#DIV/0!</v>
      </c>
      <c r="N118" t="e">
        <f>AVERAGEIF('Quarterly Data'!$B:$B,'Annual Data'!$A118,'Quarterly Data'!P:P)</f>
        <v>#DIV/0!</v>
      </c>
      <c r="O118" t="e">
        <f>AVERAGEIF('Quarterly Data'!$B:$B,'Annual Data'!$A118,'Quarterly Data'!Q:Q)</f>
        <v>#DIV/0!</v>
      </c>
      <c r="P118">
        <f>SUMIF('Quarterly Data'!$B:$B,'Annual Data'!$A118,'Quarterly Data'!R:R)</f>
        <v>0</v>
      </c>
      <c r="Q118">
        <f>SUMIF('Quarterly Data'!$B:$B,'Annual Data'!$A118,'Quarterly Data'!S:S)</f>
        <v>0</v>
      </c>
      <c r="R118" t="e">
        <f>AVERAGEIF('Quarterly Data'!$B:$B,'Annual Data'!$A118,'Quarterly Data'!T:T)</f>
        <v>#DIV/0!</v>
      </c>
      <c r="S118">
        <f>SUMIF('Quarterly Data'!$B:$B,'Annual Data'!$A118,'Quarterly Data'!U:U)</f>
        <v>0</v>
      </c>
      <c r="T118">
        <f>SUMIF('Quarterly Data'!$B:$B,'Annual Data'!$A118,'Quarterly Data'!V:V)</f>
        <v>0</v>
      </c>
      <c r="U118">
        <f>SUMIF('Quarterly Data'!$B:$B,'Annual Data'!$A118,'Quarterly Data'!W:W)</f>
        <v>0</v>
      </c>
      <c r="V118">
        <f>SUMIF('Quarterly Data'!$B:$B,'Annual Data'!$A118,'Quarterly Data'!X:X)</f>
        <v>0</v>
      </c>
      <c r="W118">
        <f>SUMIF('Quarterly Data'!$B:$B,'Annual Data'!$A118,'Quarterly Data'!Y:Y)</f>
        <v>0</v>
      </c>
      <c r="X118">
        <f>SUMIF('Quarterly Data'!$B:$B,'Annual Data'!$A118,'Quarterly Data'!Z:Z)</f>
        <v>0</v>
      </c>
      <c r="Y118">
        <f>SUMIF('Quarterly Data'!$B:$B,'Annual Data'!$A118,'Quarterly Data'!AA:AA)</f>
        <v>0</v>
      </c>
      <c r="Z118" t="e">
        <f>AVERAGEIF('Quarterly Data'!$B:$B,'Annual Data'!$A118,'Quarterly Data'!AB:AB)</f>
        <v>#DIV/0!</v>
      </c>
      <c r="AA118" t="e">
        <f>AVERAGEIF('Quarterly Data'!$B:$B,'Annual Data'!$A118,'Quarterly Data'!AC:AC)</f>
        <v>#DIV/0!</v>
      </c>
      <c r="AB118" t="e">
        <f>AVERAGEIF('Quarterly Data'!$B:$B,'Annual Data'!$A118,'Quarterly Data'!AD:AD)</f>
        <v>#DIV/0!</v>
      </c>
      <c r="AC118" t="e">
        <f>AVERAGEIF('Quarterly Data'!$B:$B,'Annual Data'!$A118,'Quarterly Data'!AE:AE)</f>
        <v>#DIV/0!</v>
      </c>
      <c r="AD118" t="e">
        <f>AVERAGEIF('Quarterly Data'!$B:$B,'Annual Data'!$A118,'Quarterly Data'!AF:AF)</f>
        <v>#DIV/0!</v>
      </c>
      <c r="AE118">
        <f>SUMIF('Quarterly Data'!$B:$B,'Annual Data'!$A118,'Quarterly Data'!AG:AG)</f>
        <v>0</v>
      </c>
    </row>
    <row r="119" spans="1:31" x14ac:dyDescent="0.25">
      <c r="A119">
        <v>2085</v>
      </c>
      <c r="B119">
        <f>SUMIF('Quarterly Data'!$B:$B,'Annual Data'!$A119,'Quarterly Data'!D:D)</f>
        <v>0</v>
      </c>
      <c r="C119" t="e">
        <f>AVERAGEIF('Quarterly Data'!$B:$B,'Annual Data'!$A119,'Quarterly Data'!E:E)</f>
        <v>#DIV/0!</v>
      </c>
      <c r="D119">
        <f>SUMIF('Quarterly Data'!$B:$B,'Annual Data'!$A119,'Quarterly Data'!F:F)</f>
        <v>0</v>
      </c>
      <c r="E119">
        <f>SUMIF('Quarterly Data'!$B:$B,'Annual Data'!$A119,'Quarterly Data'!G:G)</f>
        <v>0</v>
      </c>
      <c r="F119">
        <f>SUMIF('Quarterly Data'!$B:$B,'Annual Data'!$A119,'Quarterly Data'!H:H)</f>
        <v>0</v>
      </c>
      <c r="G119">
        <f>SUMIF('Quarterly Data'!$B:$B,'Annual Data'!$A119,'Quarterly Data'!I:I)</f>
        <v>0</v>
      </c>
      <c r="H119">
        <f>SUMIF('Quarterly Data'!$B:$B,'Annual Data'!$A119,'Quarterly Data'!J:J)</f>
        <v>0</v>
      </c>
      <c r="I119">
        <f>SUMIF('Quarterly Data'!$B:$B,'Annual Data'!$A119,'Quarterly Data'!K:K)</f>
        <v>0</v>
      </c>
      <c r="J119">
        <f>SUMIF('Quarterly Data'!$B:$B,'Annual Data'!$A119,'Quarterly Data'!L:L)</f>
        <v>0</v>
      </c>
      <c r="K119" t="e">
        <f>AVERAGEIF('Quarterly Data'!$B:$B,'Annual Data'!$A119,'Quarterly Data'!M:M)</f>
        <v>#DIV/0!</v>
      </c>
      <c r="L119" t="e">
        <f>AVERAGEIF('Quarterly Data'!$B:$B,'Annual Data'!$A119,'Quarterly Data'!N:N)</f>
        <v>#DIV/0!</v>
      </c>
      <c r="M119" t="e">
        <f>AVERAGEIF('Quarterly Data'!$B:$B,'Annual Data'!$A119,'Quarterly Data'!O:O)</f>
        <v>#DIV/0!</v>
      </c>
      <c r="N119" t="e">
        <f>AVERAGEIF('Quarterly Data'!$B:$B,'Annual Data'!$A119,'Quarterly Data'!P:P)</f>
        <v>#DIV/0!</v>
      </c>
      <c r="O119" t="e">
        <f>AVERAGEIF('Quarterly Data'!$B:$B,'Annual Data'!$A119,'Quarterly Data'!Q:Q)</f>
        <v>#DIV/0!</v>
      </c>
      <c r="P119">
        <f>SUMIF('Quarterly Data'!$B:$B,'Annual Data'!$A119,'Quarterly Data'!R:R)</f>
        <v>0</v>
      </c>
      <c r="Q119">
        <f>SUMIF('Quarterly Data'!$B:$B,'Annual Data'!$A119,'Quarterly Data'!S:S)</f>
        <v>0</v>
      </c>
      <c r="R119" t="e">
        <f>AVERAGEIF('Quarterly Data'!$B:$B,'Annual Data'!$A119,'Quarterly Data'!T:T)</f>
        <v>#DIV/0!</v>
      </c>
      <c r="S119">
        <f>SUMIF('Quarterly Data'!$B:$B,'Annual Data'!$A119,'Quarterly Data'!U:U)</f>
        <v>0</v>
      </c>
      <c r="T119">
        <f>SUMIF('Quarterly Data'!$B:$B,'Annual Data'!$A119,'Quarterly Data'!V:V)</f>
        <v>0</v>
      </c>
      <c r="U119">
        <f>SUMIF('Quarterly Data'!$B:$B,'Annual Data'!$A119,'Quarterly Data'!W:W)</f>
        <v>0</v>
      </c>
      <c r="V119">
        <f>SUMIF('Quarterly Data'!$B:$B,'Annual Data'!$A119,'Quarterly Data'!X:X)</f>
        <v>0</v>
      </c>
      <c r="W119">
        <f>SUMIF('Quarterly Data'!$B:$B,'Annual Data'!$A119,'Quarterly Data'!Y:Y)</f>
        <v>0</v>
      </c>
      <c r="X119">
        <f>SUMIF('Quarterly Data'!$B:$B,'Annual Data'!$A119,'Quarterly Data'!Z:Z)</f>
        <v>0</v>
      </c>
      <c r="Y119">
        <f>SUMIF('Quarterly Data'!$B:$B,'Annual Data'!$A119,'Quarterly Data'!AA:AA)</f>
        <v>0</v>
      </c>
      <c r="Z119" t="e">
        <f>AVERAGEIF('Quarterly Data'!$B:$B,'Annual Data'!$A119,'Quarterly Data'!AB:AB)</f>
        <v>#DIV/0!</v>
      </c>
      <c r="AA119" t="e">
        <f>AVERAGEIF('Quarterly Data'!$B:$B,'Annual Data'!$A119,'Quarterly Data'!AC:AC)</f>
        <v>#DIV/0!</v>
      </c>
      <c r="AB119" t="e">
        <f>AVERAGEIF('Quarterly Data'!$B:$B,'Annual Data'!$A119,'Quarterly Data'!AD:AD)</f>
        <v>#DIV/0!</v>
      </c>
      <c r="AC119" t="e">
        <f>AVERAGEIF('Quarterly Data'!$B:$B,'Annual Data'!$A119,'Quarterly Data'!AE:AE)</f>
        <v>#DIV/0!</v>
      </c>
      <c r="AD119" t="e">
        <f>AVERAGEIF('Quarterly Data'!$B:$B,'Annual Data'!$A119,'Quarterly Data'!AF:AF)</f>
        <v>#DIV/0!</v>
      </c>
      <c r="AE119">
        <f>SUMIF('Quarterly Data'!$B:$B,'Annual Data'!$A119,'Quarterly Data'!AG:AG)</f>
        <v>0</v>
      </c>
    </row>
    <row r="120" spans="1:31" x14ac:dyDescent="0.25">
      <c r="A120">
        <v>2086</v>
      </c>
      <c r="B120">
        <f>SUMIF('Quarterly Data'!$B:$B,'Annual Data'!$A120,'Quarterly Data'!D:D)</f>
        <v>0</v>
      </c>
      <c r="C120" t="e">
        <f>AVERAGEIF('Quarterly Data'!$B:$B,'Annual Data'!$A120,'Quarterly Data'!E:E)</f>
        <v>#DIV/0!</v>
      </c>
      <c r="D120">
        <f>SUMIF('Quarterly Data'!$B:$B,'Annual Data'!$A120,'Quarterly Data'!F:F)</f>
        <v>0</v>
      </c>
      <c r="E120">
        <f>SUMIF('Quarterly Data'!$B:$B,'Annual Data'!$A120,'Quarterly Data'!G:G)</f>
        <v>0</v>
      </c>
      <c r="F120">
        <f>SUMIF('Quarterly Data'!$B:$B,'Annual Data'!$A120,'Quarterly Data'!H:H)</f>
        <v>0</v>
      </c>
      <c r="G120">
        <f>SUMIF('Quarterly Data'!$B:$B,'Annual Data'!$A120,'Quarterly Data'!I:I)</f>
        <v>0</v>
      </c>
      <c r="H120">
        <f>SUMIF('Quarterly Data'!$B:$B,'Annual Data'!$A120,'Quarterly Data'!J:J)</f>
        <v>0</v>
      </c>
      <c r="I120">
        <f>SUMIF('Quarterly Data'!$B:$B,'Annual Data'!$A120,'Quarterly Data'!K:K)</f>
        <v>0</v>
      </c>
      <c r="J120">
        <f>SUMIF('Quarterly Data'!$B:$B,'Annual Data'!$A120,'Quarterly Data'!L:L)</f>
        <v>0</v>
      </c>
      <c r="K120" t="e">
        <f>AVERAGEIF('Quarterly Data'!$B:$B,'Annual Data'!$A120,'Quarterly Data'!M:M)</f>
        <v>#DIV/0!</v>
      </c>
      <c r="L120" t="e">
        <f>AVERAGEIF('Quarterly Data'!$B:$B,'Annual Data'!$A120,'Quarterly Data'!N:N)</f>
        <v>#DIV/0!</v>
      </c>
      <c r="M120" t="e">
        <f>AVERAGEIF('Quarterly Data'!$B:$B,'Annual Data'!$A120,'Quarterly Data'!O:O)</f>
        <v>#DIV/0!</v>
      </c>
      <c r="N120" t="e">
        <f>AVERAGEIF('Quarterly Data'!$B:$B,'Annual Data'!$A120,'Quarterly Data'!P:P)</f>
        <v>#DIV/0!</v>
      </c>
      <c r="O120" t="e">
        <f>AVERAGEIF('Quarterly Data'!$B:$B,'Annual Data'!$A120,'Quarterly Data'!Q:Q)</f>
        <v>#DIV/0!</v>
      </c>
      <c r="P120">
        <f>SUMIF('Quarterly Data'!$B:$B,'Annual Data'!$A120,'Quarterly Data'!R:R)</f>
        <v>0</v>
      </c>
      <c r="Q120">
        <f>SUMIF('Quarterly Data'!$B:$B,'Annual Data'!$A120,'Quarterly Data'!S:S)</f>
        <v>0</v>
      </c>
      <c r="R120" t="e">
        <f>AVERAGEIF('Quarterly Data'!$B:$B,'Annual Data'!$A120,'Quarterly Data'!T:T)</f>
        <v>#DIV/0!</v>
      </c>
      <c r="S120">
        <f>SUMIF('Quarterly Data'!$B:$B,'Annual Data'!$A120,'Quarterly Data'!U:U)</f>
        <v>0</v>
      </c>
      <c r="T120">
        <f>SUMIF('Quarterly Data'!$B:$B,'Annual Data'!$A120,'Quarterly Data'!V:V)</f>
        <v>0</v>
      </c>
      <c r="U120">
        <f>SUMIF('Quarterly Data'!$B:$B,'Annual Data'!$A120,'Quarterly Data'!W:W)</f>
        <v>0</v>
      </c>
      <c r="V120">
        <f>SUMIF('Quarterly Data'!$B:$B,'Annual Data'!$A120,'Quarterly Data'!X:X)</f>
        <v>0</v>
      </c>
      <c r="W120">
        <f>SUMIF('Quarterly Data'!$B:$B,'Annual Data'!$A120,'Quarterly Data'!Y:Y)</f>
        <v>0</v>
      </c>
      <c r="X120">
        <f>SUMIF('Quarterly Data'!$B:$B,'Annual Data'!$A120,'Quarterly Data'!Z:Z)</f>
        <v>0</v>
      </c>
      <c r="Y120">
        <f>SUMIF('Quarterly Data'!$B:$B,'Annual Data'!$A120,'Quarterly Data'!AA:AA)</f>
        <v>0</v>
      </c>
      <c r="Z120" t="e">
        <f>AVERAGEIF('Quarterly Data'!$B:$B,'Annual Data'!$A120,'Quarterly Data'!AB:AB)</f>
        <v>#DIV/0!</v>
      </c>
      <c r="AA120" t="e">
        <f>AVERAGEIF('Quarterly Data'!$B:$B,'Annual Data'!$A120,'Quarterly Data'!AC:AC)</f>
        <v>#DIV/0!</v>
      </c>
      <c r="AB120" t="e">
        <f>AVERAGEIF('Quarterly Data'!$B:$B,'Annual Data'!$A120,'Quarterly Data'!AD:AD)</f>
        <v>#DIV/0!</v>
      </c>
      <c r="AC120" t="e">
        <f>AVERAGEIF('Quarterly Data'!$B:$B,'Annual Data'!$A120,'Quarterly Data'!AE:AE)</f>
        <v>#DIV/0!</v>
      </c>
      <c r="AD120" t="e">
        <f>AVERAGEIF('Quarterly Data'!$B:$B,'Annual Data'!$A120,'Quarterly Data'!AF:AF)</f>
        <v>#DIV/0!</v>
      </c>
      <c r="AE120">
        <f>SUMIF('Quarterly Data'!$B:$B,'Annual Data'!$A120,'Quarterly Data'!AG:AG)</f>
        <v>0</v>
      </c>
    </row>
    <row r="121" spans="1:31" x14ac:dyDescent="0.25">
      <c r="A121">
        <v>2087</v>
      </c>
      <c r="B121">
        <f>SUMIF('Quarterly Data'!$B:$B,'Annual Data'!$A121,'Quarterly Data'!D:D)</f>
        <v>0</v>
      </c>
      <c r="C121" t="e">
        <f>AVERAGEIF('Quarterly Data'!$B:$B,'Annual Data'!$A121,'Quarterly Data'!E:E)</f>
        <v>#DIV/0!</v>
      </c>
      <c r="D121">
        <f>SUMIF('Quarterly Data'!$B:$B,'Annual Data'!$A121,'Quarterly Data'!F:F)</f>
        <v>0</v>
      </c>
      <c r="E121">
        <f>SUMIF('Quarterly Data'!$B:$B,'Annual Data'!$A121,'Quarterly Data'!G:G)</f>
        <v>0</v>
      </c>
      <c r="F121">
        <f>SUMIF('Quarterly Data'!$B:$B,'Annual Data'!$A121,'Quarterly Data'!H:H)</f>
        <v>0</v>
      </c>
      <c r="G121">
        <f>SUMIF('Quarterly Data'!$B:$B,'Annual Data'!$A121,'Quarterly Data'!I:I)</f>
        <v>0</v>
      </c>
      <c r="H121">
        <f>SUMIF('Quarterly Data'!$B:$B,'Annual Data'!$A121,'Quarterly Data'!J:J)</f>
        <v>0</v>
      </c>
      <c r="I121">
        <f>SUMIF('Quarterly Data'!$B:$B,'Annual Data'!$A121,'Quarterly Data'!K:K)</f>
        <v>0</v>
      </c>
      <c r="J121">
        <f>SUMIF('Quarterly Data'!$B:$B,'Annual Data'!$A121,'Quarterly Data'!L:L)</f>
        <v>0</v>
      </c>
      <c r="K121" t="e">
        <f>AVERAGEIF('Quarterly Data'!$B:$B,'Annual Data'!$A121,'Quarterly Data'!M:M)</f>
        <v>#DIV/0!</v>
      </c>
      <c r="L121" t="e">
        <f>AVERAGEIF('Quarterly Data'!$B:$B,'Annual Data'!$A121,'Quarterly Data'!N:N)</f>
        <v>#DIV/0!</v>
      </c>
      <c r="M121" t="e">
        <f>AVERAGEIF('Quarterly Data'!$B:$B,'Annual Data'!$A121,'Quarterly Data'!O:O)</f>
        <v>#DIV/0!</v>
      </c>
      <c r="N121" t="e">
        <f>AVERAGEIF('Quarterly Data'!$B:$B,'Annual Data'!$A121,'Quarterly Data'!P:P)</f>
        <v>#DIV/0!</v>
      </c>
      <c r="O121" t="e">
        <f>AVERAGEIF('Quarterly Data'!$B:$B,'Annual Data'!$A121,'Quarterly Data'!Q:Q)</f>
        <v>#DIV/0!</v>
      </c>
      <c r="P121">
        <f>SUMIF('Quarterly Data'!$B:$B,'Annual Data'!$A121,'Quarterly Data'!R:R)</f>
        <v>0</v>
      </c>
      <c r="Q121">
        <f>SUMIF('Quarterly Data'!$B:$B,'Annual Data'!$A121,'Quarterly Data'!S:S)</f>
        <v>0</v>
      </c>
      <c r="R121" t="e">
        <f>AVERAGEIF('Quarterly Data'!$B:$B,'Annual Data'!$A121,'Quarterly Data'!T:T)</f>
        <v>#DIV/0!</v>
      </c>
      <c r="S121">
        <f>SUMIF('Quarterly Data'!$B:$B,'Annual Data'!$A121,'Quarterly Data'!U:U)</f>
        <v>0</v>
      </c>
      <c r="T121">
        <f>SUMIF('Quarterly Data'!$B:$B,'Annual Data'!$A121,'Quarterly Data'!V:V)</f>
        <v>0</v>
      </c>
      <c r="U121">
        <f>SUMIF('Quarterly Data'!$B:$B,'Annual Data'!$A121,'Quarterly Data'!W:W)</f>
        <v>0</v>
      </c>
      <c r="V121">
        <f>SUMIF('Quarterly Data'!$B:$B,'Annual Data'!$A121,'Quarterly Data'!X:X)</f>
        <v>0</v>
      </c>
      <c r="W121">
        <f>SUMIF('Quarterly Data'!$B:$B,'Annual Data'!$A121,'Quarterly Data'!Y:Y)</f>
        <v>0</v>
      </c>
      <c r="X121">
        <f>SUMIF('Quarterly Data'!$B:$B,'Annual Data'!$A121,'Quarterly Data'!Z:Z)</f>
        <v>0</v>
      </c>
      <c r="Y121">
        <f>SUMIF('Quarterly Data'!$B:$B,'Annual Data'!$A121,'Quarterly Data'!AA:AA)</f>
        <v>0</v>
      </c>
      <c r="Z121" t="e">
        <f>AVERAGEIF('Quarterly Data'!$B:$B,'Annual Data'!$A121,'Quarterly Data'!AB:AB)</f>
        <v>#DIV/0!</v>
      </c>
      <c r="AA121" t="e">
        <f>AVERAGEIF('Quarterly Data'!$B:$B,'Annual Data'!$A121,'Quarterly Data'!AC:AC)</f>
        <v>#DIV/0!</v>
      </c>
      <c r="AB121" t="e">
        <f>AVERAGEIF('Quarterly Data'!$B:$B,'Annual Data'!$A121,'Quarterly Data'!AD:AD)</f>
        <v>#DIV/0!</v>
      </c>
      <c r="AC121" t="e">
        <f>AVERAGEIF('Quarterly Data'!$B:$B,'Annual Data'!$A121,'Quarterly Data'!AE:AE)</f>
        <v>#DIV/0!</v>
      </c>
      <c r="AD121" t="e">
        <f>AVERAGEIF('Quarterly Data'!$B:$B,'Annual Data'!$A121,'Quarterly Data'!AF:AF)</f>
        <v>#DIV/0!</v>
      </c>
      <c r="AE121">
        <f>SUMIF('Quarterly Data'!$B:$B,'Annual Data'!$A121,'Quarterly Data'!AG:AG)</f>
        <v>0</v>
      </c>
    </row>
    <row r="122" spans="1:31" x14ac:dyDescent="0.25">
      <c r="A122">
        <v>2088</v>
      </c>
      <c r="B122">
        <f>SUMIF('Quarterly Data'!$B:$B,'Annual Data'!$A122,'Quarterly Data'!D:D)</f>
        <v>0</v>
      </c>
      <c r="C122" t="e">
        <f>AVERAGEIF('Quarterly Data'!$B:$B,'Annual Data'!$A122,'Quarterly Data'!E:E)</f>
        <v>#DIV/0!</v>
      </c>
      <c r="D122">
        <f>SUMIF('Quarterly Data'!$B:$B,'Annual Data'!$A122,'Quarterly Data'!F:F)</f>
        <v>0</v>
      </c>
      <c r="E122">
        <f>SUMIF('Quarterly Data'!$B:$B,'Annual Data'!$A122,'Quarterly Data'!G:G)</f>
        <v>0</v>
      </c>
      <c r="F122">
        <f>SUMIF('Quarterly Data'!$B:$B,'Annual Data'!$A122,'Quarterly Data'!H:H)</f>
        <v>0</v>
      </c>
      <c r="G122">
        <f>SUMIF('Quarterly Data'!$B:$B,'Annual Data'!$A122,'Quarterly Data'!I:I)</f>
        <v>0</v>
      </c>
      <c r="H122">
        <f>SUMIF('Quarterly Data'!$B:$B,'Annual Data'!$A122,'Quarterly Data'!J:J)</f>
        <v>0</v>
      </c>
      <c r="I122">
        <f>SUMIF('Quarterly Data'!$B:$B,'Annual Data'!$A122,'Quarterly Data'!K:K)</f>
        <v>0</v>
      </c>
      <c r="J122">
        <f>SUMIF('Quarterly Data'!$B:$B,'Annual Data'!$A122,'Quarterly Data'!L:L)</f>
        <v>0</v>
      </c>
      <c r="K122" t="e">
        <f>AVERAGEIF('Quarterly Data'!$B:$B,'Annual Data'!$A122,'Quarterly Data'!M:M)</f>
        <v>#DIV/0!</v>
      </c>
      <c r="L122" t="e">
        <f>AVERAGEIF('Quarterly Data'!$B:$B,'Annual Data'!$A122,'Quarterly Data'!N:N)</f>
        <v>#DIV/0!</v>
      </c>
      <c r="M122" t="e">
        <f>AVERAGEIF('Quarterly Data'!$B:$B,'Annual Data'!$A122,'Quarterly Data'!O:O)</f>
        <v>#DIV/0!</v>
      </c>
      <c r="N122" t="e">
        <f>AVERAGEIF('Quarterly Data'!$B:$B,'Annual Data'!$A122,'Quarterly Data'!P:P)</f>
        <v>#DIV/0!</v>
      </c>
      <c r="O122" t="e">
        <f>AVERAGEIF('Quarterly Data'!$B:$B,'Annual Data'!$A122,'Quarterly Data'!Q:Q)</f>
        <v>#DIV/0!</v>
      </c>
      <c r="P122">
        <f>SUMIF('Quarterly Data'!$B:$B,'Annual Data'!$A122,'Quarterly Data'!R:R)</f>
        <v>0</v>
      </c>
      <c r="Q122">
        <f>SUMIF('Quarterly Data'!$B:$B,'Annual Data'!$A122,'Quarterly Data'!S:S)</f>
        <v>0</v>
      </c>
      <c r="R122" t="e">
        <f>AVERAGEIF('Quarterly Data'!$B:$B,'Annual Data'!$A122,'Quarterly Data'!T:T)</f>
        <v>#DIV/0!</v>
      </c>
      <c r="S122">
        <f>SUMIF('Quarterly Data'!$B:$B,'Annual Data'!$A122,'Quarterly Data'!U:U)</f>
        <v>0</v>
      </c>
      <c r="T122">
        <f>SUMIF('Quarterly Data'!$B:$B,'Annual Data'!$A122,'Quarterly Data'!V:V)</f>
        <v>0</v>
      </c>
      <c r="U122">
        <f>SUMIF('Quarterly Data'!$B:$B,'Annual Data'!$A122,'Quarterly Data'!W:W)</f>
        <v>0</v>
      </c>
      <c r="V122">
        <f>SUMIF('Quarterly Data'!$B:$B,'Annual Data'!$A122,'Quarterly Data'!X:X)</f>
        <v>0</v>
      </c>
      <c r="W122">
        <f>SUMIF('Quarterly Data'!$B:$B,'Annual Data'!$A122,'Quarterly Data'!Y:Y)</f>
        <v>0</v>
      </c>
      <c r="X122">
        <f>SUMIF('Quarterly Data'!$B:$B,'Annual Data'!$A122,'Quarterly Data'!Z:Z)</f>
        <v>0</v>
      </c>
      <c r="Y122">
        <f>SUMIF('Quarterly Data'!$B:$B,'Annual Data'!$A122,'Quarterly Data'!AA:AA)</f>
        <v>0</v>
      </c>
      <c r="Z122" t="e">
        <f>AVERAGEIF('Quarterly Data'!$B:$B,'Annual Data'!$A122,'Quarterly Data'!AB:AB)</f>
        <v>#DIV/0!</v>
      </c>
      <c r="AA122" t="e">
        <f>AVERAGEIF('Quarterly Data'!$B:$B,'Annual Data'!$A122,'Quarterly Data'!AC:AC)</f>
        <v>#DIV/0!</v>
      </c>
      <c r="AB122" t="e">
        <f>AVERAGEIF('Quarterly Data'!$B:$B,'Annual Data'!$A122,'Quarterly Data'!AD:AD)</f>
        <v>#DIV/0!</v>
      </c>
      <c r="AC122" t="e">
        <f>AVERAGEIF('Quarterly Data'!$B:$B,'Annual Data'!$A122,'Quarterly Data'!AE:AE)</f>
        <v>#DIV/0!</v>
      </c>
      <c r="AD122" t="e">
        <f>AVERAGEIF('Quarterly Data'!$B:$B,'Annual Data'!$A122,'Quarterly Data'!AF:AF)</f>
        <v>#DIV/0!</v>
      </c>
      <c r="AE122">
        <f>SUMIF('Quarterly Data'!$B:$B,'Annual Data'!$A122,'Quarterly Data'!AG:AG)</f>
        <v>0</v>
      </c>
    </row>
    <row r="123" spans="1:31" x14ac:dyDescent="0.25">
      <c r="A123">
        <v>2089</v>
      </c>
      <c r="B123">
        <f>SUMIF('Quarterly Data'!$B:$B,'Annual Data'!$A123,'Quarterly Data'!D:D)</f>
        <v>0</v>
      </c>
      <c r="C123" t="e">
        <f>AVERAGEIF('Quarterly Data'!$B:$B,'Annual Data'!$A123,'Quarterly Data'!E:E)</f>
        <v>#DIV/0!</v>
      </c>
      <c r="D123">
        <f>SUMIF('Quarterly Data'!$B:$B,'Annual Data'!$A123,'Quarterly Data'!F:F)</f>
        <v>0</v>
      </c>
      <c r="E123">
        <f>SUMIF('Quarterly Data'!$B:$B,'Annual Data'!$A123,'Quarterly Data'!G:G)</f>
        <v>0</v>
      </c>
      <c r="F123">
        <f>SUMIF('Quarterly Data'!$B:$B,'Annual Data'!$A123,'Quarterly Data'!H:H)</f>
        <v>0</v>
      </c>
      <c r="G123">
        <f>SUMIF('Quarterly Data'!$B:$B,'Annual Data'!$A123,'Quarterly Data'!I:I)</f>
        <v>0</v>
      </c>
      <c r="H123">
        <f>SUMIF('Quarterly Data'!$B:$B,'Annual Data'!$A123,'Quarterly Data'!J:J)</f>
        <v>0</v>
      </c>
      <c r="I123">
        <f>SUMIF('Quarterly Data'!$B:$B,'Annual Data'!$A123,'Quarterly Data'!K:K)</f>
        <v>0</v>
      </c>
      <c r="J123">
        <f>SUMIF('Quarterly Data'!$B:$B,'Annual Data'!$A123,'Quarterly Data'!L:L)</f>
        <v>0</v>
      </c>
      <c r="K123" t="e">
        <f>AVERAGEIF('Quarterly Data'!$B:$B,'Annual Data'!$A123,'Quarterly Data'!M:M)</f>
        <v>#DIV/0!</v>
      </c>
      <c r="L123" t="e">
        <f>AVERAGEIF('Quarterly Data'!$B:$B,'Annual Data'!$A123,'Quarterly Data'!N:N)</f>
        <v>#DIV/0!</v>
      </c>
      <c r="M123" t="e">
        <f>AVERAGEIF('Quarterly Data'!$B:$B,'Annual Data'!$A123,'Quarterly Data'!O:O)</f>
        <v>#DIV/0!</v>
      </c>
      <c r="N123" t="e">
        <f>AVERAGEIF('Quarterly Data'!$B:$B,'Annual Data'!$A123,'Quarterly Data'!P:P)</f>
        <v>#DIV/0!</v>
      </c>
      <c r="O123" t="e">
        <f>AVERAGEIF('Quarterly Data'!$B:$B,'Annual Data'!$A123,'Quarterly Data'!Q:Q)</f>
        <v>#DIV/0!</v>
      </c>
      <c r="P123">
        <f>SUMIF('Quarterly Data'!$B:$B,'Annual Data'!$A123,'Quarterly Data'!R:R)</f>
        <v>0</v>
      </c>
      <c r="Q123">
        <f>SUMIF('Quarterly Data'!$B:$B,'Annual Data'!$A123,'Quarterly Data'!S:S)</f>
        <v>0</v>
      </c>
      <c r="R123" t="e">
        <f>AVERAGEIF('Quarterly Data'!$B:$B,'Annual Data'!$A123,'Quarterly Data'!T:T)</f>
        <v>#DIV/0!</v>
      </c>
      <c r="S123">
        <f>SUMIF('Quarterly Data'!$B:$B,'Annual Data'!$A123,'Quarterly Data'!U:U)</f>
        <v>0</v>
      </c>
      <c r="T123">
        <f>SUMIF('Quarterly Data'!$B:$B,'Annual Data'!$A123,'Quarterly Data'!V:V)</f>
        <v>0</v>
      </c>
      <c r="U123">
        <f>SUMIF('Quarterly Data'!$B:$B,'Annual Data'!$A123,'Quarterly Data'!W:W)</f>
        <v>0</v>
      </c>
      <c r="V123">
        <f>SUMIF('Quarterly Data'!$B:$B,'Annual Data'!$A123,'Quarterly Data'!X:X)</f>
        <v>0</v>
      </c>
      <c r="W123">
        <f>SUMIF('Quarterly Data'!$B:$B,'Annual Data'!$A123,'Quarterly Data'!Y:Y)</f>
        <v>0</v>
      </c>
      <c r="X123">
        <f>SUMIF('Quarterly Data'!$B:$B,'Annual Data'!$A123,'Quarterly Data'!Z:Z)</f>
        <v>0</v>
      </c>
      <c r="Y123">
        <f>SUMIF('Quarterly Data'!$B:$B,'Annual Data'!$A123,'Quarterly Data'!AA:AA)</f>
        <v>0</v>
      </c>
      <c r="Z123" t="e">
        <f>AVERAGEIF('Quarterly Data'!$B:$B,'Annual Data'!$A123,'Quarterly Data'!AB:AB)</f>
        <v>#DIV/0!</v>
      </c>
      <c r="AA123" t="e">
        <f>AVERAGEIF('Quarterly Data'!$B:$B,'Annual Data'!$A123,'Quarterly Data'!AC:AC)</f>
        <v>#DIV/0!</v>
      </c>
      <c r="AB123" t="e">
        <f>AVERAGEIF('Quarterly Data'!$B:$B,'Annual Data'!$A123,'Quarterly Data'!AD:AD)</f>
        <v>#DIV/0!</v>
      </c>
      <c r="AC123" t="e">
        <f>AVERAGEIF('Quarterly Data'!$B:$B,'Annual Data'!$A123,'Quarterly Data'!AE:AE)</f>
        <v>#DIV/0!</v>
      </c>
      <c r="AD123" t="e">
        <f>AVERAGEIF('Quarterly Data'!$B:$B,'Annual Data'!$A123,'Quarterly Data'!AF:AF)</f>
        <v>#DIV/0!</v>
      </c>
      <c r="AE123">
        <f>SUMIF('Quarterly Data'!$B:$B,'Annual Data'!$A123,'Quarterly Data'!AG:AG)</f>
        <v>0</v>
      </c>
    </row>
    <row r="124" spans="1:31" x14ac:dyDescent="0.25">
      <c r="A124">
        <v>2090</v>
      </c>
      <c r="B124">
        <f>SUMIF('Quarterly Data'!$B:$B,'Annual Data'!$A124,'Quarterly Data'!D:D)</f>
        <v>0</v>
      </c>
      <c r="C124" t="e">
        <f>AVERAGEIF('Quarterly Data'!$B:$B,'Annual Data'!$A124,'Quarterly Data'!E:E)</f>
        <v>#DIV/0!</v>
      </c>
      <c r="D124">
        <f>SUMIF('Quarterly Data'!$B:$B,'Annual Data'!$A124,'Quarterly Data'!F:F)</f>
        <v>0</v>
      </c>
      <c r="E124">
        <f>SUMIF('Quarterly Data'!$B:$B,'Annual Data'!$A124,'Quarterly Data'!G:G)</f>
        <v>0</v>
      </c>
      <c r="F124">
        <f>SUMIF('Quarterly Data'!$B:$B,'Annual Data'!$A124,'Quarterly Data'!H:H)</f>
        <v>0</v>
      </c>
      <c r="G124">
        <f>SUMIF('Quarterly Data'!$B:$B,'Annual Data'!$A124,'Quarterly Data'!I:I)</f>
        <v>0</v>
      </c>
      <c r="H124">
        <f>SUMIF('Quarterly Data'!$B:$B,'Annual Data'!$A124,'Quarterly Data'!J:J)</f>
        <v>0</v>
      </c>
      <c r="I124">
        <f>SUMIF('Quarterly Data'!$B:$B,'Annual Data'!$A124,'Quarterly Data'!K:K)</f>
        <v>0</v>
      </c>
      <c r="J124">
        <f>SUMIF('Quarterly Data'!$B:$B,'Annual Data'!$A124,'Quarterly Data'!L:L)</f>
        <v>0</v>
      </c>
      <c r="K124" t="e">
        <f>AVERAGEIF('Quarterly Data'!$B:$B,'Annual Data'!$A124,'Quarterly Data'!M:M)</f>
        <v>#DIV/0!</v>
      </c>
      <c r="L124" t="e">
        <f>AVERAGEIF('Quarterly Data'!$B:$B,'Annual Data'!$A124,'Quarterly Data'!N:N)</f>
        <v>#DIV/0!</v>
      </c>
      <c r="M124" t="e">
        <f>AVERAGEIF('Quarterly Data'!$B:$B,'Annual Data'!$A124,'Quarterly Data'!O:O)</f>
        <v>#DIV/0!</v>
      </c>
      <c r="N124" t="e">
        <f>AVERAGEIF('Quarterly Data'!$B:$B,'Annual Data'!$A124,'Quarterly Data'!P:P)</f>
        <v>#DIV/0!</v>
      </c>
      <c r="O124" t="e">
        <f>AVERAGEIF('Quarterly Data'!$B:$B,'Annual Data'!$A124,'Quarterly Data'!Q:Q)</f>
        <v>#DIV/0!</v>
      </c>
      <c r="P124">
        <f>SUMIF('Quarterly Data'!$B:$B,'Annual Data'!$A124,'Quarterly Data'!R:R)</f>
        <v>0</v>
      </c>
      <c r="Q124">
        <f>SUMIF('Quarterly Data'!$B:$B,'Annual Data'!$A124,'Quarterly Data'!S:S)</f>
        <v>0</v>
      </c>
      <c r="R124" t="e">
        <f>AVERAGEIF('Quarterly Data'!$B:$B,'Annual Data'!$A124,'Quarterly Data'!T:T)</f>
        <v>#DIV/0!</v>
      </c>
      <c r="S124">
        <f>SUMIF('Quarterly Data'!$B:$B,'Annual Data'!$A124,'Quarterly Data'!U:U)</f>
        <v>0</v>
      </c>
      <c r="T124">
        <f>SUMIF('Quarterly Data'!$B:$B,'Annual Data'!$A124,'Quarterly Data'!V:V)</f>
        <v>0</v>
      </c>
      <c r="U124">
        <f>SUMIF('Quarterly Data'!$B:$B,'Annual Data'!$A124,'Quarterly Data'!W:W)</f>
        <v>0</v>
      </c>
      <c r="V124">
        <f>SUMIF('Quarterly Data'!$B:$B,'Annual Data'!$A124,'Quarterly Data'!X:X)</f>
        <v>0</v>
      </c>
      <c r="W124">
        <f>SUMIF('Quarterly Data'!$B:$B,'Annual Data'!$A124,'Quarterly Data'!Y:Y)</f>
        <v>0</v>
      </c>
      <c r="X124">
        <f>SUMIF('Quarterly Data'!$B:$B,'Annual Data'!$A124,'Quarterly Data'!Z:Z)</f>
        <v>0</v>
      </c>
      <c r="Y124">
        <f>SUMIF('Quarterly Data'!$B:$B,'Annual Data'!$A124,'Quarterly Data'!AA:AA)</f>
        <v>0</v>
      </c>
      <c r="Z124" t="e">
        <f>AVERAGEIF('Quarterly Data'!$B:$B,'Annual Data'!$A124,'Quarterly Data'!AB:AB)</f>
        <v>#DIV/0!</v>
      </c>
      <c r="AA124" t="e">
        <f>AVERAGEIF('Quarterly Data'!$B:$B,'Annual Data'!$A124,'Quarterly Data'!AC:AC)</f>
        <v>#DIV/0!</v>
      </c>
      <c r="AB124" t="e">
        <f>AVERAGEIF('Quarterly Data'!$B:$B,'Annual Data'!$A124,'Quarterly Data'!AD:AD)</f>
        <v>#DIV/0!</v>
      </c>
      <c r="AC124" t="e">
        <f>AVERAGEIF('Quarterly Data'!$B:$B,'Annual Data'!$A124,'Quarterly Data'!AE:AE)</f>
        <v>#DIV/0!</v>
      </c>
      <c r="AD124" t="e">
        <f>AVERAGEIF('Quarterly Data'!$B:$B,'Annual Data'!$A124,'Quarterly Data'!AF:AF)</f>
        <v>#DIV/0!</v>
      </c>
      <c r="AE124">
        <f>SUMIF('Quarterly Data'!$B:$B,'Annual Data'!$A124,'Quarterly Data'!AG:AG)</f>
        <v>0</v>
      </c>
    </row>
    <row r="125" spans="1:31" x14ac:dyDescent="0.25">
      <c r="A125">
        <v>2091</v>
      </c>
      <c r="B125">
        <f>SUMIF('Quarterly Data'!$B:$B,'Annual Data'!$A125,'Quarterly Data'!D:D)</f>
        <v>0</v>
      </c>
      <c r="C125" t="e">
        <f>AVERAGEIF('Quarterly Data'!$B:$B,'Annual Data'!$A125,'Quarterly Data'!E:E)</f>
        <v>#DIV/0!</v>
      </c>
      <c r="D125">
        <f>SUMIF('Quarterly Data'!$B:$B,'Annual Data'!$A125,'Quarterly Data'!F:F)</f>
        <v>0</v>
      </c>
      <c r="E125">
        <f>SUMIF('Quarterly Data'!$B:$B,'Annual Data'!$A125,'Quarterly Data'!G:G)</f>
        <v>0</v>
      </c>
      <c r="F125">
        <f>SUMIF('Quarterly Data'!$B:$B,'Annual Data'!$A125,'Quarterly Data'!H:H)</f>
        <v>0</v>
      </c>
      <c r="G125">
        <f>SUMIF('Quarterly Data'!$B:$B,'Annual Data'!$A125,'Quarterly Data'!I:I)</f>
        <v>0</v>
      </c>
      <c r="H125">
        <f>SUMIF('Quarterly Data'!$B:$B,'Annual Data'!$A125,'Quarterly Data'!J:J)</f>
        <v>0</v>
      </c>
      <c r="I125">
        <f>SUMIF('Quarterly Data'!$B:$B,'Annual Data'!$A125,'Quarterly Data'!K:K)</f>
        <v>0</v>
      </c>
      <c r="J125">
        <f>SUMIF('Quarterly Data'!$B:$B,'Annual Data'!$A125,'Quarterly Data'!L:L)</f>
        <v>0</v>
      </c>
      <c r="K125" t="e">
        <f>AVERAGEIF('Quarterly Data'!$B:$B,'Annual Data'!$A125,'Quarterly Data'!M:M)</f>
        <v>#DIV/0!</v>
      </c>
      <c r="L125" t="e">
        <f>AVERAGEIF('Quarterly Data'!$B:$B,'Annual Data'!$A125,'Quarterly Data'!N:N)</f>
        <v>#DIV/0!</v>
      </c>
      <c r="M125" t="e">
        <f>AVERAGEIF('Quarterly Data'!$B:$B,'Annual Data'!$A125,'Quarterly Data'!O:O)</f>
        <v>#DIV/0!</v>
      </c>
      <c r="N125" t="e">
        <f>AVERAGEIF('Quarterly Data'!$B:$B,'Annual Data'!$A125,'Quarterly Data'!P:P)</f>
        <v>#DIV/0!</v>
      </c>
      <c r="O125" t="e">
        <f>AVERAGEIF('Quarterly Data'!$B:$B,'Annual Data'!$A125,'Quarterly Data'!Q:Q)</f>
        <v>#DIV/0!</v>
      </c>
      <c r="P125">
        <f>SUMIF('Quarterly Data'!$B:$B,'Annual Data'!$A125,'Quarterly Data'!R:R)</f>
        <v>0</v>
      </c>
      <c r="Q125">
        <f>SUMIF('Quarterly Data'!$B:$B,'Annual Data'!$A125,'Quarterly Data'!S:S)</f>
        <v>0</v>
      </c>
      <c r="R125" t="e">
        <f>AVERAGEIF('Quarterly Data'!$B:$B,'Annual Data'!$A125,'Quarterly Data'!T:T)</f>
        <v>#DIV/0!</v>
      </c>
      <c r="S125">
        <f>SUMIF('Quarterly Data'!$B:$B,'Annual Data'!$A125,'Quarterly Data'!U:U)</f>
        <v>0</v>
      </c>
      <c r="T125">
        <f>SUMIF('Quarterly Data'!$B:$B,'Annual Data'!$A125,'Quarterly Data'!V:V)</f>
        <v>0</v>
      </c>
      <c r="U125">
        <f>SUMIF('Quarterly Data'!$B:$B,'Annual Data'!$A125,'Quarterly Data'!W:W)</f>
        <v>0</v>
      </c>
      <c r="V125">
        <f>SUMIF('Quarterly Data'!$B:$B,'Annual Data'!$A125,'Quarterly Data'!X:X)</f>
        <v>0</v>
      </c>
      <c r="W125">
        <f>SUMIF('Quarterly Data'!$B:$B,'Annual Data'!$A125,'Quarterly Data'!Y:Y)</f>
        <v>0</v>
      </c>
      <c r="X125">
        <f>SUMIF('Quarterly Data'!$B:$B,'Annual Data'!$A125,'Quarterly Data'!Z:Z)</f>
        <v>0</v>
      </c>
      <c r="Y125">
        <f>SUMIF('Quarterly Data'!$B:$B,'Annual Data'!$A125,'Quarterly Data'!AA:AA)</f>
        <v>0</v>
      </c>
      <c r="Z125" t="e">
        <f>AVERAGEIF('Quarterly Data'!$B:$B,'Annual Data'!$A125,'Quarterly Data'!AB:AB)</f>
        <v>#DIV/0!</v>
      </c>
      <c r="AA125" t="e">
        <f>AVERAGEIF('Quarterly Data'!$B:$B,'Annual Data'!$A125,'Quarterly Data'!AC:AC)</f>
        <v>#DIV/0!</v>
      </c>
      <c r="AB125" t="e">
        <f>AVERAGEIF('Quarterly Data'!$B:$B,'Annual Data'!$A125,'Quarterly Data'!AD:AD)</f>
        <v>#DIV/0!</v>
      </c>
      <c r="AC125" t="e">
        <f>AVERAGEIF('Quarterly Data'!$B:$B,'Annual Data'!$A125,'Quarterly Data'!AE:AE)</f>
        <v>#DIV/0!</v>
      </c>
      <c r="AD125" t="e">
        <f>AVERAGEIF('Quarterly Data'!$B:$B,'Annual Data'!$A125,'Quarterly Data'!AF:AF)</f>
        <v>#DIV/0!</v>
      </c>
      <c r="AE125">
        <f>SUMIF('Quarterly Data'!$B:$B,'Annual Data'!$A125,'Quarterly Data'!AG:AG)</f>
        <v>0</v>
      </c>
    </row>
    <row r="126" spans="1:31" x14ac:dyDescent="0.25">
      <c r="A126">
        <v>2092</v>
      </c>
      <c r="B126">
        <f>SUMIF('Quarterly Data'!$B:$B,'Annual Data'!$A126,'Quarterly Data'!D:D)</f>
        <v>0</v>
      </c>
      <c r="C126" t="e">
        <f>AVERAGEIF('Quarterly Data'!$B:$B,'Annual Data'!$A126,'Quarterly Data'!E:E)</f>
        <v>#DIV/0!</v>
      </c>
      <c r="D126">
        <f>SUMIF('Quarterly Data'!$B:$B,'Annual Data'!$A126,'Quarterly Data'!F:F)</f>
        <v>0</v>
      </c>
      <c r="E126">
        <f>SUMIF('Quarterly Data'!$B:$B,'Annual Data'!$A126,'Quarterly Data'!G:G)</f>
        <v>0</v>
      </c>
      <c r="F126">
        <f>SUMIF('Quarterly Data'!$B:$B,'Annual Data'!$A126,'Quarterly Data'!H:H)</f>
        <v>0</v>
      </c>
      <c r="G126">
        <f>SUMIF('Quarterly Data'!$B:$B,'Annual Data'!$A126,'Quarterly Data'!I:I)</f>
        <v>0</v>
      </c>
      <c r="H126">
        <f>SUMIF('Quarterly Data'!$B:$B,'Annual Data'!$A126,'Quarterly Data'!J:J)</f>
        <v>0</v>
      </c>
      <c r="I126">
        <f>SUMIF('Quarterly Data'!$B:$B,'Annual Data'!$A126,'Quarterly Data'!K:K)</f>
        <v>0</v>
      </c>
      <c r="J126">
        <f>SUMIF('Quarterly Data'!$B:$B,'Annual Data'!$A126,'Quarterly Data'!L:L)</f>
        <v>0</v>
      </c>
      <c r="K126" t="e">
        <f>AVERAGEIF('Quarterly Data'!$B:$B,'Annual Data'!$A126,'Quarterly Data'!M:M)</f>
        <v>#DIV/0!</v>
      </c>
      <c r="L126" t="e">
        <f>AVERAGEIF('Quarterly Data'!$B:$B,'Annual Data'!$A126,'Quarterly Data'!N:N)</f>
        <v>#DIV/0!</v>
      </c>
      <c r="M126" t="e">
        <f>AVERAGEIF('Quarterly Data'!$B:$B,'Annual Data'!$A126,'Quarterly Data'!O:O)</f>
        <v>#DIV/0!</v>
      </c>
      <c r="N126" t="e">
        <f>AVERAGEIF('Quarterly Data'!$B:$B,'Annual Data'!$A126,'Quarterly Data'!P:P)</f>
        <v>#DIV/0!</v>
      </c>
      <c r="O126" t="e">
        <f>AVERAGEIF('Quarterly Data'!$B:$B,'Annual Data'!$A126,'Quarterly Data'!Q:Q)</f>
        <v>#DIV/0!</v>
      </c>
      <c r="P126">
        <f>SUMIF('Quarterly Data'!$B:$B,'Annual Data'!$A126,'Quarterly Data'!R:R)</f>
        <v>0</v>
      </c>
      <c r="Q126">
        <f>SUMIF('Quarterly Data'!$B:$B,'Annual Data'!$A126,'Quarterly Data'!S:S)</f>
        <v>0</v>
      </c>
      <c r="R126" t="e">
        <f>AVERAGEIF('Quarterly Data'!$B:$B,'Annual Data'!$A126,'Quarterly Data'!T:T)</f>
        <v>#DIV/0!</v>
      </c>
      <c r="S126">
        <f>SUMIF('Quarterly Data'!$B:$B,'Annual Data'!$A126,'Quarterly Data'!U:U)</f>
        <v>0</v>
      </c>
      <c r="T126">
        <f>SUMIF('Quarterly Data'!$B:$B,'Annual Data'!$A126,'Quarterly Data'!V:V)</f>
        <v>0</v>
      </c>
      <c r="U126">
        <f>SUMIF('Quarterly Data'!$B:$B,'Annual Data'!$A126,'Quarterly Data'!W:W)</f>
        <v>0</v>
      </c>
      <c r="V126">
        <f>SUMIF('Quarterly Data'!$B:$B,'Annual Data'!$A126,'Quarterly Data'!X:X)</f>
        <v>0</v>
      </c>
      <c r="W126">
        <f>SUMIF('Quarterly Data'!$B:$B,'Annual Data'!$A126,'Quarterly Data'!Y:Y)</f>
        <v>0</v>
      </c>
      <c r="X126">
        <f>SUMIF('Quarterly Data'!$B:$B,'Annual Data'!$A126,'Quarterly Data'!Z:Z)</f>
        <v>0</v>
      </c>
      <c r="Y126">
        <f>SUMIF('Quarterly Data'!$B:$B,'Annual Data'!$A126,'Quarterly Data'!AA:AA)</f>
        <v>0</v>
      </c>
      <c r="Z126" t="e">
        <f>AVERAGEIF('Quarterly Data'!$B:$B,'Annual Data'!$A126,'Quarterly Data'!AB:AB)</f>
        <v>#DIV/0!</v>
      </c>
      <c r="AA126" t="e">
        <f>AVERAGEIF('Quarterly Data'!$B:$B,'Annual Data'!$A126,'Quarterly Data'!AC:AC)</f>
        <v>#DIV/0!</v>
      </c>
      <c r="AB126" t="e">
        <f>AVERAGEIF('Quarterly Data'!$B:$B,'Annual Data'!$A126,'Quarterly Data'!AD:AD)</f>
        <v>#DIV/0!</v>
      </c>
      <c r="AC126" t="e">
        <f>AVERAGEIF('Quarterly Data'!$B:$B,'Annual Data'!$A126,'Quarterly Data'!AE:AE)</f>
        <v>#DIV/0!</v>
      </c>
      <c r="AD126" t="e">
        <f>AVERAGEIF('Quarterly Data'!$B:$B,'Annual Data'!$A126,'Quarterly Data'!AF:AF)</f>
        <v>#DIV/0!</v>
      </c>
      <c r="AE126">
        <f>SUMIF('Quarterly Data'!$B:$B,'Annual Data'!$A126,'Quarterly Data'!AG:AG)</f>
        <v>0</v>
      </c>
    </row>
    <row r="127" spans="1:31" x14ac:dyDescent="0.25">
      <c r="A127">
        <v>2093</v>
      </c>
      <c r="B127">
        <f>SUMIF('Quarterly Data'!$B:$B,'Annual Data'!$A127,'Quarterly Data'!D:D)</f>
        <v>0</v>
      </c>
      <c r="C127" t="e">
        <f>AVERAGEIF('Quarterly Data'!$B:$B,'Annual Data'!$A127,'Quarterly Data'!E:E)</f>
        <v>#DIV/0!</v>
      </c>
      <c r="D127">
        <f>SUMIF('Quarterly Data'!$B:$B,'Annual Data'!$A127,'Quarterly Data'!F:F)</f>
        <v>0</v>
      </c>
      <c r="E127">
        <f>SUMIF('Quarterly Data'!$B:$B,'Annual Data'!$A127,'Quarterly Data'!G:G)</f>
        <v>0</v>
      </c>
      <c r="F127">
        <f>SUMIF('Quarterly Data'!$B:$B,'Annual Data'!$A127,'Quarterly Data'!H:H)</f>
        <v>0</v>
      </c>
      <c r="G127">
        <f>SUMIF('Quarterly Data'!$B:$B,'Annual Data'!$A127,'Quarterly Data'!I:I)</f>
        <v>0</v>
      </c>
      <c r="H127">
        <f>SUMIF('Quarterly Data'!$B:$B,'Annual Data'!$A127,'Quarterly Data'!J:J)</f>
        <v>0</v>
      </c>
      <c r="I127">
        <f>SUMIF('Quarterly Data'!$B:$B,'Annual Data'!$A127,'Quarterly Data'!K:K)</f>
        <v>0</v>
      </c>
      <c r="J127">
        <f>SUMIF('Quarterly Data'!$B:$B,'Annual Data'!$A127,'Quarterly Data'!L:L)</f>
        <v>0</v>
      </c>
      <c r="K127" t="e">
        <f>AVERAGEIF('Quarterly Data'!$B:$B,'Annual Data'!$A127,'Quarterly Data'!M:M)</f>
        <v>#DIV/0!</v>
      </c>
      <c r="L127" t="e">
        <f>AVERAGEIF('Quarterly Data'!$B:$B,'Annual Data'!$A127,'Quarterly Data'!N:N)</f>
        <v>#DIV/0!</v>
      </c>
      <c r="M127" t="e">
        <f>AVERAGEIF('Quarterly Data'!$B:$B,'Annual Data'!$A127,'Quarterly Data'!O:O)</f>
        <v>#DIV/0!</v>
      </c>
      <c r="N127" t="e">
        <f>AVERAGEIF('Quarterly Data'!$B:$B,'Annual Data'!$A127,'Quarterly Data'!P:P)</f>
        <v>#DIV/0!</v>
      </c>
      <c r="O127" t="e">
        <f>AVERAGEIF('Quarterly Data'!$B:$B,'Annual Data'!$A127,'Quarterly Data'!Q:Q)</f>
        <v>#DIV/0!</v>
      </c>
      <c r="P127">
        <f>SUMIF('Quarterly Data'!$B:$B,'Annual Data'!$A127,'Quarterly Data'!R:R)</f>
        <v>0</v>
      </c>
      <c r="Q127">
        <f>SUMIF('Quarterly Data'!$B:$B,'Annual Data'!$A127,'Quarterly Data'!S:S)</f>
        <v>0</v>
      </c>
      <c r="R127" t="e">
        <f>AVERAGEIF('Quarterly Data'!$B:$B,'Annual Data'!$A127,'Quarterly Data'!T:T)</f>
        <v>#DIV/0!</v>
      </c>
      <c r="S127">
        <f>SUMIF('Quarterly Data'!$B:$B,'Annual Data'!$A127,'Quarterly Data'!U:U)</f>
        <v>0</v>
      </c>
      <c r="T127">
        <f>SUMIF('Quarterly Data'!$B:$B,'Annual Data'!$A127,'Quarterly Data'!V:V)</f>
        <v>0</v>
      </c>
      <c r="U127">
        <f>SUMIF('Quarterly Data'!$B:$B,'Annual Data'!$A127,'Quarterly Data'!W:W)</f>
        <v>0</v>
      </c>
      <c r="V127">
        <f>SUMIF('Quarterly Data'!$B:$B,'Annual Data'!$A127,'Quarterly Data'!X:X)</f>
        <v>0</v>
      </c>
      <c r="W127">
        <f>SUMIF('Quarterly Data'!$B:$B,'Annual Data'!$A127,'Quarterly Data'!Y:Y)</f>
        <v>0</v>
      </c>
      <c r="X127">
        <f>SUMIF('Quarterly Data'!$B:$B,'Annual Data'!$A127,'Quarterly Data'!Z:Z)</f>
        <v>0</v>
      </c>
      <c r="Y127">
        <f>SUMIF('Quarterly Data'!$B:$B,'Annual Data'!$A127,'Quarterly Data'!AA:AA)</f>
        <v>0</v>
      </c>
      <c r="Z127" t="e">
        <f>AVERAGEIF('Quarterly Data'!$B:$B,'Annual Data'!$A127,'Quarterly Data'!AB:AB)</f>
        <v>#DIV/0!</v>
      </c>
      <c r="AA127" t="e">
        <f>AVERAGEIF('Quarterly Data'!$B:$B,'Annual Data'!$A127,'Quarterly Data'!AC:AC)</f>
        <v>#DIV/0!</v>
      </c>
      <c r="AB127" t="e">
        <f>AVERAGEIF('Quarterly Data'!$B:$B,'Annual Data'!$A127,'Quarterly Data'!AD:AD)</f>
        <v>#DIV/0!</v>
      </c>
      <c r="AC127" t="e">
        <f>AVERAGEIF('Quarterly Data'!$B:$B,'Annual Data'!$A127,'Quarterly Data'!AE:AE)</f>
        <v>#DIV/0!</v>
      </c>
      <c r="AD127" t="e">
        <f>AVERAGEIF('Quarterly Data'!$B:$B,'Annual Data'!$A127,'Quarterly Data'!AF:AF)</f>
        <v>#DIV/0!</v>
      </c>
      <c r="AE127">
        <f>SUMIF('Quarterly Data'!$B:$B,'Annual Data'!$A127,'Quarterly Data'!AG:AG)</f>
        <v>0</v>
      </c>
    </row>
    <row r="128" spans="1:31" x14ac:dyDescent="0.25">
      <c r="A128">
        <v>2094</v>
      </c>
      <c r="B128">
        <f>SUMIF('Quarterly Data'!$B:$B,'Annual Data'!$A128,'Quarterly Data'!D:D)</f>
        <v>0</v>
      </c>
      <c r="C128" t="e">
        <f>AVERAGEIF('Quarterly Data'!$B:$B,'Annual Data'!$A128,'Quarterly Data'!E:E)</f>
        <v>#DIV/0!</v>
      </c>
      <c r="D128">
        <f>SUMIF('Quarterly Data'!$B:$B,'Annual Data'!$A128,'Quarterly Data'!F:F)</f>
        <v>0</v>
      </c>
      <c r="E128">
        <f>SUMIF('Quarterly Data'!$B:$B,'Annual Data'!$A128,'Quarterly Data'!G:G)</f>
        <v>0</v>
      </c>
      <c r="F128">
        <f>SUMIF('Quarterly Data'!$B:$B,'Annual Data'!$A128,'Quarterly Data'!H:H)</f>
        <v>0</v>
      </c>
      <c r="G128">
        <f>SUMIF('Quarterly Data'!$B:$B,'Annual Data'!$A128,'Quarterly Data'!I:I)</f>
        <v>0</v>
      </c>
      <c r="H128">
        <f>SUMIF('Quarterly Data'!$B:$B,'Annual Data'!$A128,'Quarterly Data'!J:J)</f>
        <v>0</v>
      </c>
      <c r="I128">
        <f>SUMIF('Quarterly Data'!$B:$B,'Annual Data'!$A128,'Quarterly Data'!K:K)</f>
        <v>0</v>
      </c>
      <c r="J128">
        <f>SUMIF('Quarterly Data'!$B:$B,'Annual Data'!$A128,'Quarterly Data'!L:L)</f>
        <v>0</v>
      </c>
      <c r="K128" t="e">
        <f>AVERAGEIF('Quarterly Data'!$B:$B,'Annual Data'!$A128,'Quarterly Data'!M:M)</f>
        <v>#DIV/0!</v>
      </c>
      <c r="L128" t="e">
        <f>AVERAGEIF('Quarterly Data'!$B:$B,'Annual Data'!$A128,'Quarterly Data'!N:N)</f>
        <v>#DIV/0!</v>
      </c>
      <c r="M128" t="e">
        <f>AVERAGEIF('Quarterly Data'!$B:$B,'Annual Data'!$A128,'Quarterly Data'!O:O)</f>
        <v>#DIV/0!</v>
      </c>
      <c r="N128" t="e">
        <f>AVERAGEIF('Quarterly Data'!$B:$B,'Annual Data'!$A128,'Quarterly Data'!P:P)</f>
        <v>#DIV/0!</v>
      </c>
      <c r="O128" t="e">
        <f>AVERAGEIF('Quarterly Data'!$B:$B,'Annual Data'!$A128,'Quarterly Data'!Q:Q)</f>
        <v>#DIV/0!</v>
      </c>
      <c r="P128">
        <f>SUMIF('Quarterly Data'!$B:$B,'Annual Data'!$A128,'Quarterly Data'!R:R)</f>
        <v>0</v>
      </c>
      <c r="Q128">
        <f>SUMIF('Quarterly Data'!$B:$B,'Annual Data'!$A128,'Quarterly Data'!S:S)</f>
        <v>0</v>
      </c>
      <c r="R128" t="e">
        <f>AVERAGEIF('Quarterly Data'!$B:$B,'Annual Data'!$A128,'Quarterly Data'!T:T)</f>
        <v>#DIV/0!</v>
      </c>
      <c r="S128">
        <f>SUMIF('Quarterly Data'!$B:$B,'Annual Data'!$A128,'Quarterly Data'!U:U)</f>
        <v>0</v>
      </c>
      <c r="T128">
        <f>SUMIF('Quarterly Data'!$B:$B,'Annual Data'!$A128,'Quarterly Data'!V:V)</f>
        <v>0</v>
      </c>
      <c r="U128">
        <f>SUMIF('Quarterly Data'!$B:$B,'Annual Data'!$A128,'Quarterly Data'!W:W)</f>
        <v>0</v>
      </c>
      <c r="V128">
        <f>SUMIF('Quarterly Data'!$B:$B,'Annual Data'!$A128,'Quarterly Data'!X:X)</f>
        <v>0</v>
      </c>
      <c r="W128">
        <f>SUMIF('Quarterly Data'!$B:$B,'Annual Data'!$A128,'Quarterly Data'!Y:Y)</f>
        <v>0</v>
      </c>
      <c r="X128">
        <f>SUMIF('Quarterly Data'!$B:$B,'Annual Data'!$A128,'Quarterly Data'!Z:Z)</f>
        <v>0</v>
      </c>
      <c r="Y128">
        <f>SUMIF('Quarterly Data'!$B:$B,'Annual Data'!$A128,'Quarterly Data'!AA:AA)</f>
        <v>0</v>
      </c>
      <c r="Z128" t="e">
        <f>AVERAGEIF('Quarterly Data'!$B:$B,'Annual Data'!$A128,'Quarterly Data'!AB:AB)</f>
        <v>#DIV/0!</v>
      </c>
      <c r="AA128" t="e">
        <f>AVERAGEIF('Quarterly Data'!$B:$B,'Annual Data'!$A128,'Quarterly Data'!AC:AC)</f>
        <v>#DIV/0!</v>
      </c>
      <c r="AB128" t="e">
        <f>AVERAGEIF('Quarterly Data'!$B:$B,'Annual Data'!$A128,'Quarterly Data'!AD:AD)</f>
        <v>#DIV/0!</v>
      </c>
      <c r="AC128" t="e">
        <f>AVERAGEIF('Quarterly Data'!$B:$B,'Annual Data'!$A128,'Quarterly Data'!AE:AE)</f>
        <v>#DIV/0!</v>
      </c>
      <c r="AD128" t="e">
        <f>AVERAGEIF('Quarterly Data'!$B:$B,'Annual Data'!$A128,'Quarterly Data'!AF:AF)</f>
        <v>#DIV/0!</v>
      </c>
      <c r="AE128">
        <f>SUMIF('Quarterly Data'!$B:$B,'Annual Data'!$A128,'Quarterly Data'!AG:AG)</f>
        <v>0</v>
      </c>
    </row>
    <row r="129" spans="1:31" x14ac:dyDescent="0.25">
      <c r="A129">
        <v>2095</v>
      </c>
      <c r="B129">
        <f>SUMIF('Quarterly Data'!$B:$B,'Annual Data'!$A129,'Quarterly Data'!D:D)</f>
        <v>0</v>
      </c>
      <c r="C129" t="e">
        <f>AVERAGEIF('Quarterly Data'!$B:$B,'Annual Data'!$A129,'Quarterly Data'!E:E)</f>
        <v>#DIV/0!</v>
      </c>
      <c r="D129">
        <f>SUMIF('Quarterly Data'!$B:$B,'Annual Data'!$A129,'Quarterly Data'!F:F)</f>
        <v>0</v>
      </c>
      <c r="E129">
        <f>SUMIF('Quarterly Data'!$B:$B,'Annual Data'!$A129,'Quarterly Data'!G:G)</f>
        <v>0</v>
      </c>
      <c r="F129">
        <f>SUMIF('Quarterly Data'!$B:$B,'Annual Data'!$A129,'Quarterly Data'!H:H)</f>
        <v>0</v>
      </c>
      <c r="G129">
        <f>SUMIF('Quarterly Data'!$B:$B,'Annual Data'!$A129,'Quarterly Data'!I:I)</f>
        <v>0</v>
      </c>
      <c r="H129">
        <f>SUMIF('Quarterly Data'!$B:$B,'Annual Data'!$A129,'Quarterly Data'!J:J)</f>
        <v>0</v>
      </c>
      <c r="I129">
        <f>SUMIF('Quarterly Data'!$B:$B,'Annual Data'!$A129,'Quarterly Data'!K:K)</f>
        <v>0</v>
      </c>
      <c r="J129">
        <f>SUMIF('Quarterly Data'!$B:$B,'Annual Data'!$A129,'Quarterly Data'!L:L)</f>
        <v>0</v>
      </c>
      <c r="K129" t="e">
        <f>AVERAGEIF('Quarterly Data'!$B:$B,'Annual Data'!$A129,'Quarterly Data'!M:M)</f>
        <v>#DIV/0!</v>
      </c>
      <c r="L129" t="e">
        <f>AVERAGEIF('Quarterly Data'!$B:$B,'Annual Data'!$A129,'Quarterly Data'!N:N)</f>
        <v>#DIV/0!</v>
      </c>
      <c r="M129" t="e">
        <f>AVERAGEIF('Quarterly Data'!$B:$B,'Annual Data'!$A129,'Quarterly Data'!O:O)</f>
        <v>#DIV/0!</v>
      </c>
      <c r="N129" t="e">
        <f>AVERAGEIF('Quarterly Data'!$B:$B,'Annual Data'!$A129,'Quarterly Data'!P:P)</f>
        <v>#DIV/0!</v>
      </c>
      <c r="O129" t="e">
        <f>AVERAGEIF('Quarterly Data'!$B:$B,'Annual Data'!$A129,'Quarterly Data'!Q:Q)</f>
        <v>#DIV/0!</v>
      </c>
      <c r="P129">
        <f>SUMIF('Quarterly Data'!$B:$B,'Annual Data'!$A129,'Quarterly Data'!R:R)</f>
        <v>0</v>
      </c>
      <c r="Q129">
        <f>SUMIF('Quarterly Data'!$B:$B,'Annual Data'!$A129,'Quarterly Data'!S:S)</f>
        <v>0</v>
      </c>
      <c r="R129" t="e">
        <f>AVERAGEIF('Quarterly Data'!$B:$B,'Annual Data'!$A129,'Quarterly Data'!T:T)</f>
        <v>#DIV/0!</v>
      </c>
      <c r="S129">
        <f>SUMIF('Quarterly Data'!$B:$B,'Annual Data'!$A129,'Quarterly Data'!U:U)</f>
        <v>0</v>
      </c>
      <c r="T129">
        <f>SUMIF('Quarterly Data'!$B:$B,'Annual Data'!$A129,'Quarterly Data'!V:V)</f>
        <v>0</v>
      </c>
      <c r="U129">
        <f>SUMIF('Quarterly Data'!$B:$B,'Annual Data'!$A129,'Quarterly Data'!W:W)</f>
        <v>0</v>
      </c>
      <c r="V129">
        <f>SUMIF('Quarterly Data'!$B:$B,'Annual Data'!$A129,'Quarterly Data'!X:X)</f>
        <v>0</v>
      </c>
      <c r="W129">
        <f>SUMIF('Quarterly Data'!$B:$B,'Annual Data'!$A129,'Quarterly Data'!Y:Y)</f>
        <v>0</v>
      </c>
      <c r="X129">
        <f>SUMIF('Quarterly Data'!$B:$B,'Annual Data'!$A129,'Quarterly Data'!Z:Z)</f>
        <v>0</v>
      </c>
      <c r="Y129">
        <f>SUMIF('Quarterly Data'!$B:$B,'Annual Data'!$A129,'Quarterly Data'!AA:AA)</f>
        <v>0</v>
      </c>
      <c r="Z129" t="e">
        <f>AVERAGEIF('Quarterly Data'!$B:$B,'Annual Data'!$A129,'Quarterly Data'!AB:AB)</f>
        <v>#DIV/0!</v>
      </c>
      <c r="AA129" t="e">
        <f>AVERAGEIF('Quarterly Data'!$B:$B,'Annual Data'!$A129,'Quarterly Data'!AC:AC)</f>
        <v>#DIV/0!</v>
      </c>
      <c r="AB129" t="e">
        <f>AVERAGEIF('Quarterly Data'!$B:$B,'Annual Data'!$A129,'Quarterly Data'!AD:AD)</f>
        <v>#DIV/0!</v>
      </c>
      <c r="AC129" t="e">
        <f>AVERAGEIF('Quarterly Data'!$B:$B,'Annual Data'!$A129,'Quarterly Data'!AE:AE)</f>
        <v>#DIV/0!</v>
      </c>
      <c r="AD129" t="e">
        <f>AVERAGEIF('Quarterly Data'!$B:$B,'Annual Data'!$A129,'Quarterly Data'!AF:AF)</f>
        <v>#DIV/0!</v>
      </c>
      <c r="AE129">
        <f>SUMIF('Quarterly Data'!$B:$B,'Annual Data'!$A129,'Quarterly Data'!AG:AG)</f>
        <v>0</v>
      </c>
    </row>
    <row r="130" spans="1:31" x14ac:dyDescent="0.25">
      <c r="A130">
        <v>2096</v>
      </c>
      <c r="B130">
        <f>SUMIF('Quarterly Data'!$B:$B,'Annual Data'!$A130,'Quarterly Data'!D:D)</f>
        <v>0</v>
      </c>
      <c r="C130" t="e">
        <f>AVERAGEIF('Quarterly Data'!$B:$B,'Annual Data'!$A130,'Quarterly Data'!E:E)</f>
        <v>#DIV/0!</v>
      </c>
      <c r="D130">
        <f>SUMIF('Quarterly Data'!$B:$B,'Annual Data'!$A130,'Quarterly Data'!F:F)</f>
        <v>0</v>
      </c>
      <c r="E130">
        <f>SUMIF('Quarterly Data'!$B:$B,'Annual Data'!$A130,'Quarterly Data'!G:G)</f>
        <v>0</v>
      </c>
      <c r="F130">
        <f>SUMIF('Quarterly Data'!$B:$B,'Annual Data'!$A130,'Quarterly Data'!H:H)</f>
        <v>0</v>
      </c>
      <c r="G130">
        <f>SUMIF('Quarterly Data'!$B:$B,'Annual Data'!$A130,'Quarterly Data'!I:I)</f>
        <v>0</v>
      </c>
      <c r="H130">
        <f>SUMIF('Quarterly Data'!$B:$B,'Annual Data'!$A130,'Quarterly Data'!J:J)</f>
        <v>0</v>
      </c>
      <c r="I130">
        <f>SUMIF('Quarterly Data'!$B:$B,'Annual Data'!$A130,'Quarterly Data'!K:K)</f>
        <v>0</v>
      </c>
      <c r="J130">
        <f>SUMIF('Quarterly Data'!$B:$B,'Annual Data'!$A130,'Quarterly Data'!L:L)</f>
        <v>0</v>
      </c>
      <c r="K130" t="e">
        <f>AVERAGEIF('Quarterly Data'!$B:$B,'Annual Data'!$A130,'Quarterly Data'!M:M)</f>
        <v>#DIV/0!</v>
      </c>
      <c r="L130" t="e">
        <f>AVERAGEIF('Quarterly Data'!$B:$B,'Annual Data'!$A130,'Quarterly Data'!N:N)</f>
        <v>#DIV/0!</v>
      </c>
      <c r="M130" t="e">
        <f>AVERAGEIF('Quarterly Data'!$B:$B,'Annual Data'!$A130,'Quarterly Data'!O:O)</f>
        <v>#DIV/0!</v>
      </c>
      <c r="N130" t="e">
        <f>AVERAGEIF('Quarterly Data'!$B:$B,'Annual Data'!$A130,'Quarterly Data'!P:P)</f>
        <v>#DIV/0!</v>
      </c>
      <c r="O130" t="e">
        <f>AVERAGEIF('Quarterly Data'!$B:$B,'Annual Data'!$A130,'Quarterly Data'!Q:Q)</f>
        <v>#DIV/0!</v>
      </c>
      <c r="P130">
        <f>SUMIF('Quarterly Data'!$B:$B,'Annual Data'!$A130,'Quarterly Data'!R:R)</f>
        <v>0</v>
      </c>
      <c r="Q130">
        <f>SUMIF('Quarterly Data'!$B:$B,'Annual Data'!$A130,'Quarterly Data'!S:S)</f>
        <v>0</v>
      </c>
      <c r="R130" t="e">
        <f>AVERAGEIF('Quarterly Data'!$B:$B,'Annual Data'!$A130,'Quarterly Data'!T:T)</f>
        <v>#DIV/0!</v>
      </c>
      <c r="S130">
        <f>SUMIF('Quarterly Data'!$B:$B,'Annual Data'!$A130,'Quarterly Data'!U:U)</f>
        <v>0</v>
      </c>
      <c r="T130">
        <f>SUMIF('Quarterly Data'!$B:$B,'Annual Data'!$A130,'Quarterly Data'!V:V)</f>
        <v>0</v>
      </c>
      <c r="U130">
        <f>SUMIF('Quarterly Data'!$B:$B,'Annual Data'!$A130,'Quarterly Data'!W:W)</f>
        <v>0</v>
      </c>
      <c r="V130">
        <f>SUMIF('Quarterly Data'!$B:$B,'Annual Data'!$A130,'Quarterly Data'!X:X)</f>
        <v>0</v>
      </c>
      <c r="W130">
        <f>SUMIF('Quarterly Data'!$B:$B,'Annual Data'!$A130,'Quarterly Data'!Y:Y)</f>
        <v>0</v>
      </c>
      <c r="X130">
        <f>SUMIF('Quarterly Data'!$B:$B,'Annual Data'!$A130,'Quarterly Data'!Z:Z)</f>
        <v>0</v>
      </c>
      <c r="Y130">
        <f>SUMIF('Quarterly Data'!$B:$B,'Annual Data'!$A130,'Quarterly Data'!AA:AA)</f>
        <v>0</v>
      </c>
      <c r="Z130" t="e">
        <f>AVERAGEIF('Quarterly Data'!$B:$B,'Annual Data'!$A130,'Quarterly Data'!AB:AB)</f>
        <v>#DIV/0!</v>
      </c>
      <c r="AA130" t="e">
        <f>AVERAGEIF('Quarterly Data'!$B:$B,'Annual Data'!$A130,'Quarterly Data'!AC:AC)</f>
        <v>#DIV/0!</v>
      </c>
      <c r="AB130" t="e">
        <f>AVERAGEIF('Quarterly Data'!$B:$B,'Annual Data'!$A130,'Quarterly Data'!AD:AD)</f>
        <v>#DIV/0!</v>
      </c>
      <c r="AC130" t="e">
        <f>AVERAGEIF('Quarterly Data'!$B:$B,'Annual Data'!$A130,'Quarterly Data'!AE:AE)</f>
        <v>#DIV/0!</v>
      </c>
      <c r="AD130" t="e">
        <f>AVERAGEIF('Quarterly Data'!$B:$B,'Annual Data'!$A130,'Quarterly Data'!AF:AF)</f>
        <v>#DIV/0!</v>
      </c>
      <c r="AE130">
        <f>SUMIF('Quarterly Data'!$B:$B,'Annual Data'!$A130,'Quarterly Data'!AG:AG)</f>
        <v>0</v>
      </c>
    </row>
    <row r="131" spans="1:31" x14ac:dyDescent="0.25">
      <c r="A131">
        <v>2097</v>
      </c>
      <c r="B131">
        <f>SUMIF('Quarterly Data'!$B:$B,'Annual Data'!$A131,'Quarterly Data'!D:D)</f>
        <v>0</v>
      </c>
      <c r="C131" t="e">
        <f>AVERAGEIF('Quarterly Data'!$B:$B,'Annual Data'!$A131,'Quarterly Data'!E:E)</f>
        <v>#DIV/0!</v>
      </c>
      <c r="D131">
        <f>SUMIF('Quarterly Data'!$B:$B,'Annual Data'!$A131,'Quarterly Data'!F:F)</f>
        <v>0</v>
      </c>
      <c r="E131">
        <f>SUMIF('Quarterly Data'!$B:$B,'Annual Data'!$A131,'Quarterly Data'!G:G)</f>
        <v>0</v>
      </c>
      <c r="F131">
        <f>SUMIF('Quarterly Data'!$B:$B,'Annual Data'!$A131,'Quarterly Data'!H:H)</f>
        <v>0</v>
      </c>
      <c r="G131">
        <f>SUMIF('Quarterly Data'!$B:$B,'Annual Data'!$A131,'Quarterly Data'!I:I)</f>
        <v>0</v>
      </c>
      <c r="H131">
        <f>SUMIF('Quarterly Data'!$B:$B,'Annual Data'!$A131,'Quarterly Data'!J:J)</f>
        <v>0</v>
      </c>
      <c r="I131">
        <f>SUMIF('Quarterly Data'!$B:$B,'Annual Data'!$A131,'Quarterly Data'!K:K)</f>
        <v>0</v>
      </c>
      <c r="J131">
        <f>SUMIF('Quarterly Data'!$B:$B,'Annual Data'!$A131,'Quarterly Data'!L:L)</f>
        <v>0</v>
      </c>
      <c r="K131" t="e">
        <f>AVERAGEIF('Quarterly Data'!$B:$B,'Annual Data'!$A131,'Quarterly Data'!M:M)</f>
        <v>#DIV/0!</v>
      </c>
      <c r="L131" t="e">
        <f>AVERAGEIF('Quarterly Data'!$B:$B,'Annual Data'!$A131,'Quarterly Data'!N:N)</f>
        <v>#DIV/0!</v>
      </c>
      <c r="M131" t="e">
        <f>AVERAGEIF('Quarterly Data'!$B:$B,'Annual Data'!$A131,'Quarterly Data'!O:O)</f>
        <v>#DIV/0!</v>
      </c>
      <c r="N131" t="e">
        <f>AVERAGEIF('Quarterly Data'!$B:$B,'Annual Data'!$A131,'Quarterly Data'!P:P)</f>
        <v>#DIV/0!</v>
      </c>
      <c r="O131" t="e">
        <f>AVERAGEIF('Quarterly Data'!$B:$B,'Annual Data'!$A131,'Quarterly Data'!Q:Q)</f>
        <v>#DIV/0!</v>
      </c>
      <c r="P131">
        <f>SUMIF('Quarterly Data'!$B:$B,'Annual Data'!$A131,'Quarterly Data'!R:R)</f>
        <v>0</v>
      </c>
      <c r="Q131">
        <f>SUMIF('Quarterly Data'!$B:$B,'Annual Data'!$A131,'Quarterly Data'!S:S)</f>
        <v>0</v>
      </c>
      <c r="R131" t="e">
        <f>AVERAGEIF('Quarterly Data'!$B:$B,'Annual Data'!$A131,'Quarterly Data'!T:T)</f>
        <v>#DIV/0!</v>
      </c>
      <c r="S131">
        <f>SUMIF('Quarterly Data'!$B:$B,'Annual Data'!$A131,'Quarterly Data'!U:U)</f>
        <v>0</v>
      </c>
      <c r="T131">
        <f>SUMIF('Quarterly Data'!$B:$B,'Annual Data'!$A131,'Quarterly Data'!V:V)</f>
        <v>0</v>
      </c>
      <c r="U131">
        <f>SUMIF('Quarterly Data'!$B:$B,'Annual Data'!$A131,'Quarterly Data'!W:W)</f>
        <v>0</v>
      </c>
      <c r="V131">
        <f>SUMIF('Quarterly Data'!$B:$B,'Annual Data'!$A131,'Quarterly Data'!X:X)</f>
        <v>0</v>
      </c>
      <c r="W131">
        <f>SUMIF('Quarterly Data'!$B:$B,'Annual Data'!$A131,'Quarterly Data'!Y:Y)</f>
        <v>0</v>
      </c>
      <c r="X131">
        <f>SUMIF('Quarterly Data'!$B:$B,'Annual Data'!$A131,'Quarterly Data'!Z:Z)</f>
        <v>0</v>
      </c>
      <c r="Y131">
        <f>SUMIF('Quarterly Data'!$B:$B,'Annual Data'!$A131,'Quarterly Data'!AA:AA)</f>
        <v>0</v>
      </c>
      <c r="Z131" t="e">
        <f>AVERAGEIF('Quarterly Data'!$B:$B,'Annual Data'!$A131,'Quarterly Data'!AB:AB)</f>
        <v>#DIV/0!</v>
      </c>
      <c r="AA131" t="e">
        <f>AVERAGEIF('Quarterly Data'!$B:$B,'Annual Data'!$A131,'Quarterly Data'!AC:AC)</f>
        <v>#DIV/0!</v>
      </c>
      <c r="AB131" t="e">
        <f>AVERAGEIF('Quarterly Data'!$B:$B,'Annual Data'!$A131,'Quarterly Data'!AD:AD)</f>
        <v>#DIV/0!</v>
      </c>
      <c r="AC131" t="e">
        <f>AVERAGEIF('Quarterly Data'!$B:$B,'Annual Data'!$A131,'Quarterly Data'!AE:AE)</f>
        <v>#DIV/0!</v>
      </c>
      <c r="AD131" t="e">
        <f>AVERAGEIF('Quarterly Data'!$B:$B,'Annual Data'!$A131,'Quarterly Data'!AF:AF)</f>
        <v>#DIV/0!</v>
      </c>
      <c r="AE131">
        <f>SUMIF('Quarterly Data'!$B:$B,'Annual Data'!$A131,'Quarterly Data'!AG:AG)</f>
        <v>0</v>
      </c>
    </row>
    <row r="132" spans="1:31" x14ac:dyDescent="0.25">
      <c r="A132">
        <v>2098</v>
      </c>
      <c r="B132">
        <f>SUMIF('Quarterly Data'!$B:$B,'Annual Data'!$A132,'Quarterly Data'!D:D)</f>
        <v>0</v>
      </c>
      <c r="C132" t="e">
        <f>AVERAGEIF('Quarterly Data'!$B:$B,'Annual Data'!$A132,'Quarterly Data'!E:E)</f>
        <v>#DIV/0!</v>
      </c>
      <c r="D132">
        <f>SUMIF('Quarterly Data'!$B:$B,'Annual Data'!$A132,'Quarterly Data'!F:F)</f>
        <v>0</v>
      </c>
      <c r="E132">
        <f>SUMIF('Quarterly Data'!$B:$B,'Annual Data'!$A132,'Quarterly Data'!G:G)</f>
        <v>0</v>
      </c>
      <c r="F132">
        <f>SUMIF('Quarterly Data'!$B:$B,'Annual Data'!$A132,'Quarterly Data'!H:H)</f>
        <v>0</v>
      </c>
      <c r="G132">
        <f>SUMIF('Quarterly Data'!$B:$B,'Annual Data'!$A132,'Quarterly Data'!I:I)</f>
        <v>0</v>
      </c>
      <c r="H132">
        <f>SUMIF('Quarterly Data'!$B:$B,'Annual Data'!$A132,'Quarterly Data'!J:J)</f>
        <v>0</v>
      </c>
      <c r="I132">
        <f>SUMIF('Quarterly Data'!$B:$B,'Annual Data'!$A132,'Quarterly Data'!K:K)</f>
        <v>0</v>
      </c>
      <c r="J132">
        <f>SUMIF('Quarterly Data'!$B:$B,'Annual Data'!$A132,'Quarterly Data'!L:L)</f>
        <v>0</v>
      </c>
      <c r="K132" t="e">
        <f>AVERAGEIF('Quarterly Data'!$B:$B,'Annual Data'!$A132,'Quarterly Data'!M:M)</f>
        <v>#DIV/0!</v>
      </c>
      <c r="L132" t="e">
        <f>AVERAGEIF('Quarterly Data'!$B:$B,'Annual Data'!$A132,'Quarterly Data'!N:N)</f>
        <v>#DIV/0!</v>
      </c>
      <c r="M132" t="e">
        <f>AVERAGEIF('Quarterly Data'!$B:$B,'Annual Data'!$A132,'Quarterly Data'!O:O)</f>
        <v>#DIV/0!</v>
      </c>
      <c r="N132" t="e">
        <f>AVERAGEIF('Quarterly Data'!$B:$B,'Annual Data'!$A132,'Quarterly Data'!P:P)</f>
        <v>#DIV/0!</v>
      </c>
      <c r="O132" t="e">
        <f>AVERAGEIF('Quarterly Data'!$B:$B,'Annual Data'!$A132,'Quarterly Data'!Q:Q)</f>
        <v>#DIV/0!</v>
      </c>
      <c r="P132">
        <f>SUMIF('Quarterly Data'!$B:$B,'Annual Data'!$A132,'Quarterly Data'!R:R)</f>
        <v>0</v>
      </c>
      <c r="Q132">
        <f>SUMIF('Quarterly Data'!$B:$B,'Annual Data'!$A132,'Quarterly Data'!S:S)</f>
        <v>0</v>
      </c>
      <c r="R132" t="e">
        <f>AVERAGEIF('Quarterly Data'!$B:$B,'Annual Data'!$A132,'Quarterly Data'!T:T)</f>
        <v>#DIV/0!</v>
      </c>
      <c r="S132">
        <f>SUMIF('Quarterly Data'!$B:$B,'Annual Data'!$A132,'Quarterly Data'!U:U)</f>
        <v>0</v>
      </c>
      <c r="T132">
        <f>SUMIF('Quarterly Data'!$B:$B,'Annual Data'!$A132,'Quarterly Data'!V:V)</f>
        <v>0</v>
      </c>
      <c r="U132">
        <f>SUMIF('Quarterly Data'!$B:$B,'Annual Data'!$A132,'Quarterly Data'!W:W)</f>
        <v>0</v>
      </c>
      <c r="V132">
        <f>SUMIF('Quarterly Data'!$B:$B,'Annual Data'!$A132,'Quarterly Data'!X:X)</f>
        <v>0</v>
      </c>
      <c r="W132">
        <f>SUMIF('Quarterly Data'!$B:$B,'Annual Data'!$A132,'Quarterly Data'!Y:Y)</f>
        <v>0</v>
      </c>
      <c r="X132">
        <f>SUMIF('Quarterly Data'!$B:$B,'Annual Data'!$A132,'Quarterly Data'!Z:Z)</f>
        <v>0</v>
      </c>
      <c r="Y132">
        <f>SUMIF('Quarterly Data'!$B:$B,'Annual Data'!$A132,'Quarterly Data'!AA:AA)</f>
        <v>0</v>
      </c>
      <c r="Z132" t="e">
        <f>AVERAGEIF('Quarterly Data'!$B:$B,'Annual Data'!$A132,'Quarterly Data'!AB:AB)</f>
        <v>#DIV/0!</v>
      </c>
      <c r="AA132" t="e">
        <f>AVERAGEIF('Quarterly Data'!$B:$B,'Annual Data'!$A132,'Quarterly Data'!AC:AC)</f>
        <v>#DIV/0!</v>
      </c>
      <c r="AB132" t="e">
        <f>AVERAGEIF('Quarterly Data'!$B:$B,'Annual Data'!$A132,'Quarterly Data'!AD:AD)</f>
        <v>#DIV/0!</v>
      </c>
      <c r="AC132" t="e">
        <f>AVERAGEIF('Quarterly Data'!$B:$B,'Annual Data'!$A132,'Quarterly Data'!AE:AE)</f>
        <v>#DIV/0!</v>
      </c>
      <c r="AD132" t="e">
        <f>AVERAGEIF('Quarterly Data'!$B:$B,'Annual Data'!$A132,'Quarterly Data'!AF:AF)</f>
        <v>#DIV/0!</v>
      </c>
      <c r="AE132">
        <f>SUMIF('Quarterly Data'!$B:$B,'Annual Data'!$A132,'Quarterly Data'!AG:AG)</f>
        <v>0</v>
      </c>
    </row>
    <row r="133" spans="1:31" x14ac:dyDescent="0.25">
      <c r="A133">
        <v>2099</v>
      </c>
      <c r="B133">
        <f>SUMIF('Quarterly Data'!$B:$B,'Annual Data'!$A133,'Quarterly Data'!D:D)</f>
        <v>0</v>
      </c>
      <c r="C133" t="e">
        <f>AVERAGEIF('Quarterly Data'!$B:$B,'Annual Data'!$A133,'Quarterly Data'!E:E)</f>
        <v>#DIV/0!</v>
      </c>
      <c r="D133">
        <f>SUMIF('Quarterly Data'!$B:$B,'Annual Data'!$A133,'Quarterly Data'!F:F)</f>
        <v>0</v>
      </c>
      <c r="E133">
        <f>SUMIF('Quarterly Data'!$B:$B,'Annual Data'!$A133,'Quarterly Data'!G:G)</f>
        <v>0</v>
      </c>
      <c r="F133">
        <f>SUMIF('Quarterly Data'!$B:$B,'Annual Data'!$A133,'Quarterly Data'!H:H)</f>
        <v>0</v>
      </c>
      <c r="G133">
        <f>SUMIF('Quarterly Data'!$B:$B,'Annual Data'!$A133,'Quarterly Data'!I:I)</f>
        <v>0</v>
      </c>
      <c r="H133">
        <f>SUMIF('Quarterly Data'!$B:$B,'Annual Data'!$A133,'Quarterly Data'!J:J)</f>
        <v>0</v>
      </c>
      <c r="I133">
        <f>SUMIF('Quarterly Data'!$B:$B,'Annual Data'!$A133,'Quarterly Data'!K:K)</f>
        <v>0</v>
      </c>
      <c r="J133">
        <f>SUMIF('Quarterly Data'!$B:$B,'Annual Data'!$A133,'Quarterly Data'!L:L)</f>
        <v>0</v>
      </c>
      <c r="K133" t="e">
        <f>AVERAGEIF('Quarterly Data'!$B:$B,'Annual Data'!$A133,'Quarterly Data'!M:M)</f>
        <v>#DIV/0!</v>
      </c>
      <c r="L133" t="e">
        <f>AVERAGEIF('Quarterly Data'!$B:$B,'Annual Data'!$A133,'Quarterly Data'!N:N)</f>
        <v>#DIV/0!</v>
      </c>
      <c r="M133" t="e">
        <f>AVERAGEIF('Quarterly Data'!$B:$B,'Annual Data'!$A133,'Quarterly Data'!O:O)</f>
        <v>#DIV/0!</v>
      </c>
      <c r="N133" t="e">
        <f>AVERAGEIF('Quarterly Data'!$B:$B,'Annual Data'!$A133,'Quarterly Data'!P:P)</f>
        <v>#DIV/0!</v>
      </c>
      <c r="O133" t="e">
        <f>AVERAGEIF('Quarterly Data'!$B:$B,'Annual Data'!$A133,'Quarterly Data'!Q:Q)</f>
        <v>#DIV/0!</v>
      </c>
      <c r="P133">
        <f>SUMIF('Quarterly Data'!$B:$B,'Annual Data'!$A133,'Quarterly Data'!R:R)</f>
        <v>0</v>
      </c>
      <c r="Q133">
        <f>SUMIF('Quarterly Data'!$B:$B,'Annual Data'!$A133,'Quarterly Data'!S:S)</f>
        <v>0</v>
      </c>
      <c r="R133" t="e">
        <f>AVERAGEIF('Quarterly Data'!$B:$B,'Annual Data'!$A133,'Quarterly Data'!T:T)</f>
        <v>#DIV/0!</v>
      </c>
      <c r="S133">
        <f>SUMIF('Quarterly Data'!$B:$B,'Annual Data'!$A133,'Quarterly Data'!U:U)</f>
        <v>0</v>
      </c>
      <c r="T133">
        <f>SUMIF('Quarterly Data'!$B:$B,'Annual Data'!$A133,'Quarterly Data'!V:V)</f>
        <v>0</v>
      </c>
      <c r="U133">
        <f>SUMIF('Quarterly Data'!$B:$B,'Annual Data'!$A133,'Quarterly Data'!W:W)</f>
        <v>0</v>
      </c>
      <c r="V133">
        <f>SUMIF('Quarterly Data'!$B:$B,'Annual Data'!$A133,'Quarterly Data'!X:X)</f>
        <v>0</v>
      </c>
      <c r="W133">
        <f>SUMIF('Quarterly Data'!$B:$B,'Annual Data'!$A133,'Quarterly Data'!Y:Y)</f>
        <v>0</v>
      </c>
      <c r="X133">
        <f>SUMIF('Quarterly Data'!$B:$B,'Annual Data'!$A133,'Quarterly Data'!Z:Z)</f>
        <v>0</v>
      </c>
      <c r="Y133">
        <f>SUMIF('Quarterly Data'!$B:$B,'Annual Data'!$A133,'Quarterly Data'!AA:AA)</f>
        <v>0</v>
      </c>
      <c r="Z133" t="e">
        <f>AVERAGEIF('Quarterly Data'!$B:$B,'Annual Data'!$A133,'Quarterly Data'!AB:AB)</f>
        <v>#DIV/0!</v>
      </c>
      <c r="AA133" t="e">
        <f>AVERAGEIF('Quarterly Data'!$B:$B,'Annual Data'!$A133,'Quarterly Data'!AC:AC)</f>
        <v>#DIV/0!</v>
      </c>
      <c r="AB133" t="e">
        <f>AVERAGEIF('Quarterly Data'!$B:$B,'Annual Data'!$A133,'Quarterly Data'!AD:AD)</f>
        <v>#DIV/0!</v>
      </c>
      <c r="AC133" t="e">
        <f>AVERAGEIF('Quarterly Data'!$B:$B,'Annual Data'!$A133,'Quarterly Data'!AE:AE)</f>
        <v>#DIV/0!</v>
      </c>
      <c r="AD133" t="e">
        <f>AVERAGEIF('Quarterly Data'!$B:$B,'Annual Data'!$A133,'Quarterly Data'!AF:AF)</f>
        <v>#DIV/0!</v>
      </c>
      <c r="AE133">
        <f>SUMIF('Quarterly Data'!$B:$B,'Annual Data'!$A133,'Quarterly Data'!AG:AG)</f>
        <v>0</v>
      </c>
    </row>
    <row r="134" spans="1:31" x14ac:dyDescent="0.25">
      <c r="A134">
        <v>2100</v>
      </c>
      <c r="B134">
        <f>SUMIF('Quarterly Data'!$B:$B,'Annual Data'!$A134,'Quarterly Data'!D:D)</f>
        <v>0</v>
      </c>
      <c r="C134" t="e">
        <f>AVERAGEIF('Quarterly Data'!$B:$B,'Annual Data'!$A134,'Quarterly Data'!E:E)</f>
        <v>#DIV/0!</v>
      </c>
      <c r="D134">
        <f>SUMIF('Quarterly Data'!$B:$B,'Annual Data'!$A134,'Quarterly Data'!F:F)</f>
        <v>0</v>
      </c>
      <c r="E134">
        <f>SUMIF('Quarterly Data'!$B:$B,'Annual Data'!$A134,'Quarterly Data'!G:G)</f>
        <v>0</v>
      </c>
      <c r="F134">
        <f>SUMIF('Quarterly Data'!$B:$B,'Annual Data'!$A134,'Quarterly Data'!H:H)</f>
        <v>0</v>
      </c>
      <c r="G134">
        <f>SUMIF('Quarterly Data'!$B:$B,'Annual Data'!$A134,'Quarterly Data'!I:I)</f>
        <v>0</v>
      </c>
      <c r="H134">
        <f>SUMIF('Quarterly Data'!$B:$B,'Annual Data'!$A134,'Quarterly Data'!J:J)</f>
        <v>0</v>
      </c>
      <c r="I134">
        <f>SUMIF('Quarterly Data'!$B:$B,'Annual Data'!$A134,'Quarterly Data'!K:K)</f>
        <v>0</v>
      </c>
      <c r="J134">
        <f>SUMIF('Quarterly Data'!$B:$B,'Annual Data'!$A134,'Quarterly Data'!L:L)</f>
        <v>0</v>
      </c>
      <c r="K134" t="e">
        <f>AVERAGEIF('Quarterly Data'!$B:$B,'Annual Data'!$A134,'Quarterly Data'!M:M)</f>
        <v>#DIV/0!</v>
      </c>
      <c r="L134" t="e">
        <f>AVERAGEIF('Quarterly Data'!$B:$B,'Annual Data'!$A134,'Quarterly Data'!N:N)</f>
        <v>#DIV/0!</v>
      </c>
      <c r="M134" t="e">
        <f>AVERAGEIF('Quarterly Data'!$B:$B,'Annual Data'!$A134,'Quarterly Data'!O:O)</f>
        <v>#DIV/0!</v>
      </c>
      <c r="N134" t="e">
        <f>AVERAGEIF('Quarterly Data'!$B:$B,'Annual Data'!$A134,'Quarterly Data'!P:P)</f>
        <v>#DIV/0!</v>
      </c>
      <c r="O134" t="e">
        <f>AVERAGEIF('Quarterly Data'!$B:$B,'Annual Data'!$A134,'Quarterly Data'!Q:Q)</f>
        <v>#DIV/0!</v>
      </c>
      <c r="P134">
        <f>SUMIF('Quarterly Data'!$B:$B,'Annual Data'!$A134,'Quarterly Data'!R:R)</f>
        <v>0</v>
      </c>
      <c r="Q134">
        <f>SUMIF('Quarterly Data'!$B:$B,'Annual Data'!$A134,'Quarterly Data'!S:S)</f>
        <v>0</v>
      </c>
      <c r="R134" t="e">
        <f>AVERAGEIF('Quarterly Data'!$B:$B,'Annual Data'!$A134,'Quarterly Data'!T:T)</f>
        <v>#DIV/0!</v>
      </c>
      <c r="S134">
        <f>SUMIF('Quarterly Data'!$B:$B,'Annual Data'!$A134,'Quarterly Data'!U:U)</f>
        <v>0</v>
      </c>
      <c r="T134">
        <f>SUMIF('Quarterly Data'!$B:$B,'Annual Data'!$A134,'Quarterly Data'!V:V)</f>
        <v>0</v>
      </c>
      <c r="U134">
        <f>SUMIF('Quarterly Data'!$B:$B,'Annual Data'!$A134,'Quarterly Data'!W:W)</f>
        <v>0</v>
      </c>
      <c r="V134">
        <f>SUMIF('Quarterly Data'!$B:$B,'Annual Data'!$A134,'Quarterly Data'!X:X)</f>
        <v>0</v>
      </c>
      <c r="W134">
        <f>SUMIF('Quarterly Data'!$B:$B,'Annual Data'!$A134,'Quarterly Data'!Y:Y)</f>
        <v>0</v>
      </c>
      <c r="X134">
        <f>SUMIF('Quarterly Data'!$B:$B,'Annual Data'!$A134,'Quarterly Data'!Z:Z)</f>
        <v>0</v>
      </c>
      <c r="Y134">
        <f>SUMIF('Quarterly Data'!$B:$B,'Annual Data'!$A134,'Quarterly Data'!AA:AA)</f>
        <v>0</v>
      </c>
      <c r="Z134" t="e">
        <f>AVERAGEIF('Quarterly Data'!$B:$B,'Annual Data'!$A134,'Quarterly Data'!AB:AB)</f>
        <v>#DIV/0!</v>
      </c>
      <c r="AA134" t="e">
        <f>AVERAGEIF('Quarterly Data'!$B:$B,'Annual Data'!$A134,'Quarterly Data'!AC:AC)</f>
        <v>#DIV/0!</v>
      </c>
      <c r="AB134" t="e">
        <f>AVERAGEIF('Quarterly Data'!$B:$B,'Annual Data'!$A134,'Quarterly Data'!AD:AD)</f>
        <v>#DIV/0!</v>
      </c>
      <c r="AC134" t="e">
        <f>AVERAGEIF('Quarterly Data'!$B:$B,'Annual Data'!$A134,'Quarterly Data'!AE:AE)</f>
        <v>#DIV/0!</v>
      </c>
      <c r="AD134" t="e">
        <f>AVERAGEIF('Quarterly Data'!$B:$B,'Annual Data'!$A134,'Quarterly Data'!AF:AF)</f>
        <v>#DIV/0!</v>
      </c>
      <c r="AE134">
        <f>SUMIF('Quarterly Data'!$B:$B,'Annual Data'!$A134,'Quarterly Data'!AG:AG)</f>
        <v>0</v>
      </c>
    </row>
    <row r="135" spans="1:31" x14ac:dyDescent="0.25">
      <c r="A135">
        <v>2101</v>
      </c>
      <c r="B135">
        <f>SUMIF('Quarterly Data'!$B:$B,'Annual Data'!$A135,'Quarterly Data'!D:D)</f>
        <v>0</v>
      </c>
      <c r="C135" t="e">
        <f>AVERAGEIF('Quarterly Data'!$B:$B,'Annual Data'!$A135,'Quarterly Data'!E:E)</f>
        <v>#DIV/0!</v>
      </c>
      <c r="D135">
        <f>SUMIF('Quarterly Data'!$B:$B,'Annual Data'!$A135,'Quarterly Data'!F:F)</f>
        <v>0</v>
      </c>
      <c r="E135">
        <f>SUMIF('Quarterly Data'!$B:$B,'Annual Data'!$A135,'Quarterly Data'!G:G)</f>
        <v>0</v>
      </c>
      <c r="F135">
        <f>SUMIF('Quarterly Data'!$B:$B,'Annual Data'!$A135,'Quarterly Data'!H:H)</f>
        <v>0</v>
      </c>
      <c r="G135">
        <f>SUMIF('Quarterly Data'!$B:$B,'Annual Data'!$A135,'Quarterly Data'!I:I)</f>
        <v>0</v>
      </c>
      <c r="H135">
        <f>SUMIF('Quarterly Data'!$B:$B,'Annual Data'!$A135,'Quarterly Data'!J:J)</f>
        <v>0</v>
      </c>
      <c r="I135">
        <f>SUMIF('Quarterly Data'!$B:$B,'Annual Data'!$A135,'Quarterly Data'!K:K)</f>
        <v>0</v>
      </c>
      <c r="J135">
        <f>SUMIF('Quarterly Data'!$B:$B,'Annual Data'!$A135,'Quarterly Data'!L:L)</f>
        <v>0</v>
      </c>
      <c r="K135" t="e">
        <f>AVERAGEIF('Quarterly Data'!$B:$B,'Annual Data'!$A135,'Quarterly Data'!M:M)</f>
        <v>#DIV/0!</v>
      </c>
      <c r="L135" t="e">
        <f>AVERAGEIF('Quarterly Data'!$B:$B,'Annual Data'!$A135,'Quarterly Data'!N:N)</f>
        <v>#DIV/0!</v>
      </c>
      <c r="M135" t="e">
        <f>AVERAGEIF('Quarterly Data'!$B:$B,'Annual Data'!$A135,'Quarterly Data'!O:O)</f>
        <v>#DIV/0!</v>
      </c>
      <c r="N135" t="e">
        <f>AVERAGEIF('Quarterly Data'!$B:$B,'Annual Data'!$A135,'Quarterly Data'!P:P)</f>
        <v>#DIV/0!</v>
      </c>
      <c r="O135" t="e">
        <f>AVERAGEIF('Quarterly Data'!$B:$B,'Annual Data'!$A135,'Quarterly Data'!Q:Q)</f>
        <v>#DIV/0!</v>
      </c>
      <c r="P135">
        <f>SUMIF('Quarterly Data'!$B:$B,'Annual Data'!$A135,'Quarterly Data'!R:R)</f>
        <v>0</v>
      </c>
      <c r="Q135">
        <f>SUMIF('Quarterly Data'!$B:$B,'Annual Data'!$A135,'Quarterly Data'!S:S)</f>
        <v>0</v>
      </c>
      <c r="R135" t="e">
        <f>AVERAGEIF('Quarterly Data'!$B:$B,'Annual Data'!$A135,'Quarterly Data'!T:T)</f>
        <v>#DIV/0!</v>
      </c>
      <c r="S135">
        <f>SUMIF('Quarterly Data'!$B:$B,'Annual Data'!$A135,'Quarterly Data'!U:U)</f>
        <v>0</v>
      </c>
      <c r="T135">
        <f>SUMIF('Quarterly Data'!$B:$B,'Annual Data'!$A135,'Quarterly Data'!V:V)</f>
        <v>0</v>
      </c>
      <c r="U135">
        <f>SUMIF('Quarterly Data'!$B:$B,'Annual Data'!$A135,'Quarterly Data'!W:W)</f>
        <v>0</v>
      </c>
      <c r="V135">
        <f>SUMIF('Quarterly Data'!$B:$B,'Annual Data'!$A135,'Quarterly Data'!X:X)</f>
        <v>0</v>
      </c>
      <c r="W135">
        <f>SUMIF('Quarterly Data'!$B:$B,'Annual Data'!$A135,'Quarterly Data'!Y:Y)</f>
        <v>0</v>
      </c>
      <c r="X135">
        <f>SUMIF('Quarterly Data'!$B:$B,'Annual Data'!$A135,'Quarterly Data'!Z:Z)</f>
        <v>0</v>
      </c>
      <c r="Y135">
        <f>SUMIF('Quarterly Data'!$B:$B,'Annual Data'!$A135,'Quarterly Data'!AA:AA)</f>
        <v>0</v>
      </c>
      <c r="Z135" t="e">
        <f>AVERAGEIF('Quarterly Data'!$B:$B,'Annual Data'!$A135,'Quarterly Data'!AB:AB)</f>
        <v>#DIV/0!</v>
      </c>
      <c r="AA135" t="e">
        <f>AVERAGEIF('Quarterly Data'!$B:$B,'Annual Data'!$A135,'Quarterly Data'!AC:AC)</f>
        <v>#DIV/0!</v>
      </c>
      <c r="AB135" t="e">
        <f>AVERAGEIF('Quarterly Data'!$B:$B,'Annual Data'!$A135,'Quarterly Data'!AD:AD)</f>
        <v>#DIV/0!</v>
      </c>
      <c r="AC135" t="e">
        <f>AVERAGEIF('Quarterly Data'!$B:$B,'Annual Data'!$A135,'Quarterly Data'!AE:AE)</f>
        <v>#DIV/0!</v>
      </c>
      <c r="AD135" t="e">
        <f>AVERAGEIF('Quarterly Data'!$B:$B,'Annual Data'!$A135,'Quarterly Data'!AF:AF)</f>
        <v>#DIV/0!</v>
      </c>
      <c r="AE135">
        <f>SUMIF('Quarterly Data'!$B:$B,'Annual Data'!$A135,'Quarterly Data'!AG:AG)</f>
        <v>0</v>
      </c>
    </row>
    <row r="136" spans="1:31" x14ac:dyDescent="0.25">
      <c r="A136">
        <v>2102</v>
      </c>
      <c r="B136">
        <f>SUMIF('Quarterly Data'!$B:$B,'Annual Data'!$A136,'Quarterly Data'!D:D)</f>
        <v>0</v>
      </c>
      <c r="C136" t="e">
        <f>AVERAGEIF('Quarterly Data'!$B:$B,'Annual Data'!$A136,'Quarterly Data'!E:E)</f>
        <v>#DIV/0!</v>
      </c>
      <c r="D136">
        <f>SUMIF('Quarterly Data'!$B:$B,'Annual Data'!$A136,'Quarterly Data'!F:F)</f>
        <v>0</v>
      </c>
      <c r="E136">
        <f>SUMIF('Quarterly Data'!$B:$B,'Annual Data'!$A136,'Quarterly Data'!G:G)</f>
        <v>0</v>
      </c>
      <c r="F136">
        <f>SUMIF('Quarterly Data'!$B:$B,'Annual Data'!$A136,'Quarterly Data'!H:H)</f>
        <v>0</v>
      </c>
      <c r="G136">
        <f>SUMIF('Quarterly Data'!$B:$B,'Annual Data'!$A136,'Quarterly Data'!I:I)</f>
        <v>0</v>
      </c>
      <c r="H136">
        <f>SUMIF('Quarterly Data'!$B:$B,'Annual Data'!$A136,'Quarterly Data'!J:J)</f>
        <v>0</v>
      </c>
      <c r="I136">
        <f>SUMIF('Quarterly Data'!$B:$B,'Annual Data'!$A136,'Quarterly Data'!K:K)</f>
        <v>0</v>
      </c>
      <c r="J136">
        <f>SUMIF('Quarterly Data'!$B:$B,'Annual Data'!$A136,'Quarterly Data'!L:L)</f>
        <v>0</v>
      </c>
      <c r="K136" t="e">
        <f>AVERAGEIF('Quarterly Data'!$B:$B,'Annual Data'!$A136,'Quarterly Data'!M:M)</f>
        <v>#DIV/0!</v>
      </c>
      <c r="L136" t="e">
        <f>AVERAGEIF('Quarterly Data'!$B:$B,'Annual Data'!$A136,'Quarterly Data'!N:N)</f>
        <v>#DIV/0!</v>
      </c>
      <c r="M136" t="e">
        <f>AVERAGEIF('Quarterly Data'!$B:$B,'Annual Data'!$A136,'Quarterly Data'!O:O)</f>
        <v>#DIV/0!</v>
      </c>
      <c r="N136" t="e">
        <f>AVERAGEIF('Quarterly Data'!$B:$B,'Annual Data'!$A136,'Quarterly Data'!P:P)</f>
        <v>#DIV/0!</v>
      </c>
      <c r="O136" t="e">
        <f>AVERAGEIF('Quarterly Data'!$B:$B,'Annual Data'!$A136,'Quarterly Data'!Q:Q)</f>
        <v>#DIV/0!</v>
      </c>
      <c r="P136">
        <f>SUMIF('Quarterly Data'!$B:$B,'Annual Data'!$A136,'Quarterly Data'!R:R)</f>
        <v>0</v>
      </c>
      <c r="Q136">
        <f>SUMIF('Quarterly Data'!$B:$B,'Annual Data'!$A136,'Quarterly Data'!S:S)</f>
        <v>0</v>
      </c>
      <c r="R136" t="e">
        <f>AVERAGEIF('Quarterly Data'!$B:$B,'Annual Data'!$A136,'Quarterly Data'!T:T)</f>
        <v>#DIV/0!</v>
      </c>
      <c r="S136">
        <f>SUMIF('Quarterly Data'!$B:$B,'Annual Data'!$A136,'Quarterly Data'!U:U)</f>
        <v>0</v>
      </c>
      <c r="T136">
        <f>SUMIF('Quarterly Data'!$B:$B,'Annual Data'!$A136,'Quarterly Data'!V:V)</f>
        <v>0</v>
      </c>
      <c r="U136">
        <f>SUMIF('Quarterly Data'!$B:$B,'Annual Data'!$A136,'Quarterly Data'!W:W)</f>
        <v>0</v>
      </c>
      <c r="V136">
        <f>SUMIF('Quarterly Data'!$B:$B,'Annual Data'!$A136,'Quarterly Data'!X:X)</f>
        <v>0</v>
      </c>
      <c r="W136">
        <f>SUMIF('Quarterly Data'!$B:$B,'Annual Data'!$A136,'Quarterly Data'!Y:Y)</f>
        <v>0</v>
      </c>
      <c r="X136">
        <f>SUMIF('Quarterly Data'!$B:$B,'Annual Data'!$A136,'Quarterly Data'!Z:Z)</f>
        <v>0</v>
      </c>
      <c r="Y136">
        <f>SUMIF('Quarterly Data'!$B:$B,'Annual Data'!$A136,'Quarterly Data'!AA:AA)</f>
        <v>0</v>
      </c>
      <c r="Z136" t="e">
        <f>AVERAGEIF('Quarterly Data'!$B:$B,'Annual Data'!$A136,'Quarterly Data'!AB:AB)</f>
        <v>#DIV/0!</v>
      </c>
      <c r="AA136" t="e">
        <f>AVERAGEIF('Quarterly Data'!$B:$B,'Annual Data'!$A136,'Quarterly Data'!AC:AC)</f>
        <v>#DIV/0!</v>
      </c>
      <c r="AB136" t="e">
        <f>AVERAGEIF('Quarterly Data'!$B:$B,'Annual Data'!$A136,'Quarterly Data'!AD:AD)</f>
        <v>#DIV/0!</v>
      </c>
      <c r="AC136" t="e">
        <f>AVERAGEIF('Quarterly Data'!$B:$B,'Annual Data'!$A136,'Quarterly Data'!AE:AE)</f>
        <v>#DIV/0!</v>
      </c>
      <c r="AD136" t="e">
        <f>AVERAGEIF('Quarterly Data'!$B:$B,'Annual Data'!$A136,'Quarterly Data'!AF:AF)</f>
        <v>#DIV/0!</v>
      </c>
      <c r="AE136">
        <f>SUMIF('Quarterly Data'!$B:$B,'Annual Data'!$A136,'Quarterly Data'!AG:AG)</f>
        <v>0</v>
      </c>
    </row>
    <row r="137" spans="1:31" x14ac:dyDescent="0.25">
      <c r="A137">
        <v>2103</v>
      </c>
      <c r="B137">
        <f>SUMIF('Quarterly Data'!$B:$B,'Annual Data'!$A137,'Quarterly Data'!D:D)</f>
        <v>0</v>
      </c>
      <c r="C137" t="e">
        <f>AVERAGEIF('Quarterly Data'!$B:$B,'Annual Data'!$A137,'Quarterly Data'!E:E)</f>
        <v>#DIV/0!</v>
      </c>
      <c r="D137">
        <f>SUMIF('Quarterly Data'!$B:$B,'Annual Data'!$A137,'Quarterly Data'!F:F)</f>
        <v>0</v>
      </c>
      <c r="E137">
        <f>SUMIF('Quarterly Data'!$B:$B,'Annual Data'!$A137,'Quarterly Data'!G:G)</f>
        <v>0</v>
      </c>
      <c r="F137">
        <f>SUMIF('Quarterly Data'!$B:$B,'Annual Data'!$A137,'Quarterly Data'!H:H)</f>
        <v>0</v>
      </c>
      <c r="G137">
        <f>SUMIF('Quarterly Data'!$B:$B,'Annual Data'!$A137,'Quarterly Data'!I:I)</f>
        <v>0</v>
      </c>
      <c r="H137">
        <f>SUMIF('Quarterly Data'!$B:$B,'Annual Data'!$A137,'Quarterly Data'!J:J)</f>
        <v>0</v>
      </c>
      <c r="I137">
        <f>SUMIF('Quarterly Data'!$B:$B,'Annual Data'!$A137,'Quarterly Data'!K:K)</f>
        <v>0</v>
      </c>
      <c r="J137">
        <f>SUMIF('Quarterly Data'!$B:$B,'Annual Data'!$A137,'Quarterly Data'!L:L)</f>
        <v>0</v>
      </c>
      <c r="K137" t="e">
        <f>AVERAGEIF('Quarterly Data'!$B:$B,'Annual Data'!$A137,'Quarterly Data'!M:M)</f>
        <v>#DIV/0!</v>
      </c>
      <c r="L137" t="e">
        <f>AVERAGEIF('Quarterly Data'!$B:$B,'Annual Data'!$A137,'Quarterly Data'!N:N)</f>
        <v>#DIV/0!</v>
      </c>
      <c r="M137" t="e">
        <f>AVERAGEIF('Quarterly Data'!$B:$B,'Annual Data'!$A137,'Quarterly Data'!O:O)</f>
        <v>#DIV/0!</v>
      </c>
      <c r="N137" t="e">
        <f>AVERAGEIF('Quarterly Data'!$B:$B,'Annual Data'!$A137,'Quarterly Data'!P:P)</f>
        <v>#DIV/0!</v>
      </c>
      <c r="O137" t="e">
        <f>AVERAGEIF('Quarterly Data'!$B:$B,'Annual Data'!$A137,'Quarterly Data'!Q:Q)</f>
        <v>#DIV/0!</v>
      </c>
      <c r="P137">
        <f>SUMIF('Quarterly Data'!$B:$B,'Annual Data'!$A137,'Quarterly Data'!R:R)</f>
        <v>0</v>
      </c>
      <c r="Q137">
        <f>SUMIF('Quarterly Data'!$B:$B,'Annual Data'!$A137,'Quarterly Data'!S:S)</f>
        <v>0</v>
      </c>
      <c r="R137" t="e">
        <f>AVERAGEIF('Quarterly Data'!$B:$B,'Annual Data'!$A137,'Quarterly Data'!T:T)</f>
        <v>#DIV/0!</v>
      </c>
      <c r="S137">
        <f>SUMIF('Quarterly Data'!$B:$B,'Annual Data'!$A137,'Quarterly Data'!U:U)</f>
        <v>0</v>
      </c>
      <c r="T137">
        <f>SUMIF('Quarterly Data'!$B:$B,'Annual Data'!$A137,'Quarterly Data'!V:V)</f>
        <v>0</v>
      </c>
      <c r="U137">
        <f>SUMIF('Quarterly Data'!$B:$B,'Annual Data'!$A137,'Quarterly Data'!W:W)</f>
        <v>0</v>
      </c>
      <c r="V137">
        <f>SUMIF('Quarterly Data'!$B:$B,'Annual Data'!$A137,'Quarterly Data'!X:X)</f>
        <v>0</v>
      </c>
      <c r="W137">
        <f>SUMIF('Quarterly Data'!$B:$B,'Annual Data'!$A137,'Quarterly Data'!Y:Y)</f>
        <v>0</v>
      </c>
      <c r="X137">
        <f>SUMIF('Quarterly Data'!$B:$B,'Annual Data'!$A137,'Quarterly Data'!Z:Z)</f>
        <v>0</v>
      </c>
      <c r="Y137">
        <f>SUMIF('Quarterly Data'!$B:$B,'Annual Data'!$A137,'Quarterly Data'!AA:AA)</f>
        <v>0</v>
      </c>
      <c r="Z137" t="e">
        <f>AVERAGEIF('Quarterly Data'!$B:$B,'Annual Data'!$A137,'Quarterly Data'!AB:AB)</f>
        <v>#DIV/0!</v>
      </c>
      <c r="AA137" t="e">
        <f>AVERAGEIF('Quarterly Data'!$B:$B,'Annual Data'!$A137,'Quarterly Data'!AC:AC)</f>
        <v>#DIV/0!</v>
      </c>
      <c r="AB137" t="e">
        <f>AVERAGEIF('Quarterly Data'!$B:$B,'Annual Data'!$A137,'Quarterly Data'!AD:AD)</f>
        <v>#DIV/0!</v>
      </c>
      <c r="AC137" t="e">
        <f>AVERAGEIF('Quarterly Data'!$B:$B,'Annual Data'!$A137,'Quarterly Data'!AE:AE)</f>
        <v>#DIV/0!</v>
      </c>
      <c r="AD137" t="e">
        <f>AVERAGEIF('Quarterly Data'!$B:$B,'Annual Data'!$A137,'Quarterly Data'!AF:AF)</f>
        <v>#DIV/0!</v>
      </c>
      <c r="AE137">
        <f>SUMIF('Quarterly Data'!$B:$B,'Annual Data'!$A137,'Quarterly Data'!AG:AG)</f>
        <v>0</v>
      </c>
    </row>
    <row r="138" spans="1:31" x14ac:dyDescent="0.25">
      <c r="A138">
        <v>2104</v>
      </c>
      <c r="B138">
        <f>SUMIF('Quarterly Data'!$B:$B,'Annual Data'!$A138,'Quarterly Data'!D:D)</f>
        <v>0</v>
      </c>
      <c r="C138" t="e">
        <f>AVERAGEIF('Quarterly Data'!$B:$B,'Annual Data'!$A138,'Quarterly Data'!E:E)</f>
        <v>#DIV/0!</v>
      </c>
      <c r="D138">
        <f>SUMIF('Quarterly Data'!$B:$B,'Annual Data'!$A138,'Quarterly Data'!F:F)</f>
        <v>0</v>
      </c>
      <c r="E138">
        <f>SUMIF('Quarterly Data'!$B:$B,'Annual Data'!$A138,'Quarterly Data'!G:G)</f>
        <v>0</v>
      </c>
      <c r="F138">
        <f>SUMIF('Quarterly Data'!$B:$B,'Annual Data'!$A138,'Quarterly Data'!H:H)</f>
        <v>0</v>
      </c>
      <c r="G138">
        <f>SUMIF('Quarterly Data'!$B:$B,'Annual Data'!$A138,'Quarterly Data'!I:I)</f>
        <v>0</v>
      </c>
      <c r="H138">
        <f>SUMIF('Quarterly Data'!$B:$B,'Annual Data'!$A138,'Quarterly Data'!J:J)</f>
        <v>0</v>
      </c>
      <c r="I138">
        <f>SUMIF('Quarterly Data'!$B:$B,'Annual Data'!$A138,'Quarterly Data'!K:K)</f>
        <v>0</v>
      </c>
      <c r="J138">
        <f>SUMIF('Quarterly Data'!$B:$B,'Annual Data'!$A138,'Quarterly Data'!L:L)</f>
        <v>0</v>
      </c>
      <c r="K138" t="e">
        <f>AVERAGEIF('Quarterly Data'!$B:$B,'Annual Data'!$A138,'Quarterly Data'!M:M)</f>
        <v>#DIV/0!</v>
      </c>
      <c r="L138" t="e">
        <f>AVERAGEIF('Quarterly Data'!$B:$B,'Annual Data'!$A138,'Quarterly Data'!N:N)</f>
        <v>#DIV/0!</v>
      </c>
      <c r="M138" t="e">
        <f>AVERAGEIF('Quarterly Data'!$B:$B,'Annual Data'!$A138,'Quarterly Data'!O:O)</f>
        <v>#DIV/0!</v>
      </c>
      <c r="N138" t="e">
        <f>AVERAGEIF('Quarterly Data'!$B:$B,'Annual Data'!$A138,'Quarterly Data'!P:P)</f>
        <v>#DIV/0!</v>
      </c>
      <c r="O138" t="e">
        <f>AVERAGEIF('Quarterly Data'!$B:$B,'Annual Data'!$A138,'Quarterly Data'!Q:Q)</f>
        <v>#DIV/0!</v>
      </c>
      <c r="P138">
        <f>SUMIF('Quarterly Data'!$B:$B,'Annual Data'!$A138,'Quarterly Data'!R:R)</f>
        <v>0</v>
      </c>
      <c r="Q138">
        <f>SUMIF('Quarterly Data'!$B:$B,'Annual Data'!$A138,'Quarterly Data'!S:S)</f>
        <v>0</v>
      </c>
      <c r="R138" t="e">
        <f>AVERAGEIF('Quarterly Data'!$B:$B,'Annual Data'!$A138,'Quarterly Data'!T:T)</f>
        <v>#DIV/0!</v>
      </c>
      <c r="S138">
        <f>SUMIF('Quarterly Data'!$B:$B,'Annual Data'!$A138,'Quarterly Data'!U:U)</f>
        <v>0</v>
      </c>
      <c r="T138">
        <f>SUMIF('Quarterly Data'!$B:$B,'Annual Data'!$A138,'Quarterly Data'!V:V)</f>
        <v>0</v>
      </c>
      <c r="U138">
        <f>SUMIF('Quarterly Data'!$B:$B,'Annual Data'!$A138,'Quarterly Data'!W:W)</f>
        <v>0</v>
      </c>
      <c r="V138">
        <f>SUMIF('Quarterly Data'!$B:$B,'Annual Data'!$A138,'Quarterly Data'!X:X)</f>
        <v>0</v>
      </c>
      <c r="W138">
        <f>SUMIF('Quarterly Data'!$B:$B,'Annual Data'!$A138,'Quarterly Data'!Y:Y)</f>
        <v>0</v>
      </c>
      <c r="X138">
        <f>SUMIF('Quarterly Data'!$B:$B,'Annual Data'!$A138,'Quarterly Data'!Z:Z)</f>
        <v>0</v>
      </c>
      <c r="Y138">
        <f>SUMIF('Quarterly Data'!$B:$B,'Annual Data'!$A138,'Quarterly Data'!AA:AA)</f>
        <v>0</v>
      </c>
      <c r="Z138" t="e">
        <f>AVERAGEIF('Quarterly Data'!$B:$B,'Annual Data'!$A138,'Quarterly Data'!AB:AB)</f>
        <v>#DIV/0!</v>
      </c>
      <c r="AA138" t="e">
        <f>AVERAGEIF('Quarterly Data'!$B:$B,'Annual Data'!$A138,'Quarterly Data'!AC:AC)</f>
        <v>#DIV/0!</v>
      </c>
      <c r="AB138" t="e">
        <f>AVERAGEIF('Quarterly Data'!$B:$B,'Annual Data'!$A138,'Quarterly Data'!AD:AD)</f>
        <v>#DIV/0!</v>
      </c>
      <c r="AC138" t="e">
        <f>AVERAGEIF('Quarterly Data'!$B:$B,'Annual Data'!$A138,'Quarterly Data'!AE:AE)</f>
        <v>#DIV/0!</v>
      </c>
      <c r="AD138" t="e">
        <f>AVERAGEIF('Quarterly Data'!$B:$B,'Annual Data'!$A138,'Quarterly Data'!AF:AF)</f>
        <v>#DIV/0!</v>
      </c>
      <c r="AE138">
        <f>SUMIF('Quarterly Data'!$B:$B,'Annual Data'!$A138,'Quarterly Data'!AG:AG)</f>
        <v>0</v>
      </c>
    </row>
    <row r="139" spans="1:31" x14ac:dyDescent="0.25">
      <c r="A139">
        <v>2105</v>
      </c>
      <c r="B139">
        <f>SUMIF('Quarterly Data'!$B:$B,'Annual Data'!$A139,'Quarterly Data'!D:D)</f>
        <v>0</v>
      </c>
      <c r="C139" t="e">
        <f>AVERAGEIF('Quarterly Data'!$B:$B,'Annual Data'!$A139,'Quarterly Data'!E:E)</f>
        <v>#DIV/0!</v>
      </c>
      <c r="D139">
        <f>SUMIF('Quarterly Data'!$B:$B,'Annual Data'!$A139,'Quarterly Data'!F:F)</f>
        <v>0</v>
      </c>
      <c r="E139">
        <f>SUMIF('Quarterly Data'!$B:$B,'Annual Data'!$A139,'Quarterly Data'!G:G)</f>
        <v>0</v>
      </c>
      <c r="F139">
        <f>SUMIF('Quarterly Data'!$B:$B,'Annual Data'!$A139,'Quarterly Data'!H:H)</f>
        <v>0</v>
      </c>
      <c r="G139">
        <f>SUMIF('Quarterly Data'!$B:$B,'Annual Data'!$A139,'Quarterly Data'!I:I)</f>
        <v>0</v>
      </c>
      <c r="H139">
        <f>SUMIF('Quarterly Data'!$B:$B,'Annual Data'!$A139,'Quarterly Data'!J:J)</f>
        <v>0</v>
      </c>
      <c r="I139">
        <f>SUMIF('Quarterly Data'!$B:$B,'Annual Data'!$A139,'Quarterly Data'!K:K)</f>
        <v>0</v>
      </c>
      <c r="J139">
        <f>SUMIF('Quarterly Data'!$B:$B,'Annual Data'!$A139,'Quarterly Data'!L:L)</f>
        <v>0</v>
      </c>
      <c r="K139" t="e">
        <f>AVERAGEIF('Quarterly Data'!$B:$B,'Annual Data'!$A139,'Quarterly Data'!M:M)</f>
        <v>#DIV/0!</v>
      </c>
      <c r="L139" t="e">
        <f>AVERAGEIF('Quarterly Data'!$B:$B,'Annual Data'!$A139,'Quarterly Data'!N:N)</f>
        <v>#DIV/0!</v>
      </c>
      <c r="M139" t="e">
        <f>AVERAGEIF('Quarterly Data'!$B:$B,'Annual Data'!$A139,'Quarterly Data'!O:O)</f>
        <v>#DIV/0!</v>
      </c>
      <c r="N139" t="e">
        <f>AVERAGEIF('Quarterly Data'!$B:$B,'Annual Data'!$A139,'Quarterly Data'!P:P)</f>
        <v>#DIV/0!</v>
      </c>
      <c r="O139" t="e">
        <f>AVERAGEIF('Quarterly Data'!$B:$B,'Annual Data'!$A139,'Quarterly Data'!Q:Q)</f>
        <v>#DIV/0!</v>
      </c>
      <c r="P139">
        <f>SUMIF('Quarterly Data'!$B:$B,'Annual Data'!$A139,'Quarterly Data'!R:R)</f>
        <v>0</v>
      </c>
      <c r="Q139">
        <f>SUMIF('Quarterly Data'!$B:$B,'Annual Data'!$A139,'Quarterly Data'!S:S)</f>
        <v>0</v>
      </c>
      <c r="R139" t="e">
        <f>AVERAGEIF('Quarterly Data'!$B:$B,'Annual Data'!$A139,'Quarterly Data'!T:T)</f>
        <v>#DIV/0!</v>
      </c>
      <c r="S139">
        <f>SUMIF('Quarterly Data'!$B:$B,'Annual Data'!$A139,'Quarterly Data'!U:U)</f>
        <v>0</v>
      </c>
      <c r="T139">
        <f>SUMIF('Quarterly Data'!$B:$B,'Annual Data'!$A139,'Quarterly Data'!V:V)</f>
        <v>0</v>
      </c>
      <c r="U139">
        <f>SUMIF('Quarterly Data'!$B:$B,'Annual Data'!$A139,'Quarterly Data'!W:W)</f>
        <v>0</v>
      </c>
      <c r="V139">
        <f>SUMIF('Quarterly Data'!$B:$B,'Annual Data'!$A139,'Quarterly Data'!X:X)</f>
        <v>0</v>
      </c>
      <c r="W139">
        <f>SUMIF('Quarterly Data'!$B:$B,'Annual Data'!$A139,'Quarterly Data'!Y:Y)</f>
        <v>0</v>
      </c>
      <c r="X139">
        <f>SUMIF('Quarterly Data'!$B:$B,'Annual Data'!$A139,'Quarterly Data'!Z:Z)</f>
        <v>0</v>
      </c>
      <c r="Y139">
        <f>SUMIF('Quarterly Data'!$B:$B,'Annual Data'!$A139,'Quarterly Data'!AA:AA)</f>
        <v>0</v>
      </c>
      <c r="Z139" t="e">
        <f>AVERAGEIF('Quarterly Data'!$B:$B,'Annual Data'!$A139,'Quarterly Data'!AB:AB)</f>
        <v>#DIV/0!</v>
      </c>
      <c r="AA139" t="e">
        <f>AVERAGEIF('Quarterly Data'!$B:$B,'Annual Data'!$A139,'Quarterly Data'!AC:AC)</f>
        <v>#DIV/0!</v>
      </c>
      <c r="AB139" t="e">
        <f>AVERAGEIF('Quarterly Data'!$B:$B,'Annual Data'!$A139,'Quarterly Data'!AD:AD)</f>
        <v>#DIV/0!</v>
      </c>
      <c r="AC139" t="e">
        <f>AVERAGEIF('Quarterly Data'!$B:$B,'Annual Data'!$A139,'Quarterly Data'!AE:AE)</f>
        <v>#DIV/0!</v>
      </c>
      <c r="AD139" t="e">
        <f>AVERAGEIF('Quarterly Data'!$B:$B,'Annual Data'!$A139,'Quarterly Data'!AF:AF)</f>
        <v>#DIV/0!</v>
      </c>
      <c r="AE139">
        <f>SUMIF('Quarterly Data'!$B:$B,'Annual Data'!$A139,'Quarterly Data'!AG:AG)</f>
        <v>0</v>
      </c>
    </row>
    <row r="140" spans="1:31" x14ac:dyDescent="0.25">
      <c r="A140">
        <v>2106</v>
      </c>
      <c r="B140">
        <f>SUMIF('Quarterly Data'!$B:$B,'Annual Data'!$A140,'Quarterly Data'!D:D)</f>
        <v>0</v>
      </c>
      <c r="C140" t="e">
        <f>AVERAGEIF('Quarterly Data'!$B:$B,'Annual Data'!$A140,'Quarterly Data'!E:E)</f>
        <v>#DIV/0!</v>
      </c>
      <c r="D140">
        <f>SUMIF('Quarterly Data'!$B:$B,'Annual Data'!$A140,'Quarterly Data'!F:F)</f>
        <v>0</v>
      </c>
      <c r="E140">
        <f>SUMIF('Quarterly Data'!$B:$B,'Annual Data'!$A140,'Quarterly Data'!G:G)</f>
        <v>0</v>
      </c>
      <c r="F140">
        <f>SUMIF('Quarterly Data'!$B:$B,'Annual Data'!$A140,'Quarterly Data'!H:H)</f>
        <v>0</v>
      </c>
      <c r="G140">
        <f>SUMIF('Quarterly Data'!$B:$B,'Annual Data'!$A140,'Quarterly Data'!I:I)</f>
        <v>0</v>
      </c>
      <c r="H140">
        <f>SUMIF('Quarterly Data'!$B:$B,'Annual Data'!$A140,'Quarterly Data'!J:J)</f>
        <v>0</v>
      </c>
      <c r="I140">
        <f>SUMIF('Quarterly Data'!$B:$B,'Annual Data'!$A140,'Quarterly Data'!K:K)</f>
        <v>0</v>
      </c>
      <c r="J140">
        <f>SUMIF('Quarterly Data'!$B:$B,'Annual Data'!$A140,'Quarterly Data'!L:L)</f>
        <v>0</v>
      </c>
      <c r="K140" t="e">
        <f>AVERAGEIF('Quarterly Data'!$B:$B,'Annual Data'!$A140,'Quarterly Data'!M:M)</f>
        <v>#DIV/0!</v>
      </c>
      <c r="L140" t="e">
        <f>AVERAGEIF('Quarterly Data'!$B:$B,'Annual Data'!$A140,'Quarterly Data'!N:N)</f>
        <v>#DIV/0!</v>
      </c>
      <c r="M140" t="e">
        <f>AVERAGEIF('Quarterly Data'!$B:$B,'Annual Data'!$A140,'Quarterly Data'!O:O)</f>
        <v>#DIV/0!</v>
      </c>
      <c r="N140" t="e">
        <f>AVERAGEIF('Quarterly Data'!$B:$B,'Annual Data'!$A140,'Quarterly Data'!P:P)</f>
        <v>#DIV/0!</v>
      </c>
      <c r="O140" t="e">
        <f>AVERAGEIF('Quarterly Data'!$B:$B,'Annual Data'!$A140,'Quarterly Data'!Q:Q)</f>
        <v>#DIV/0!</v>
      </c>
      <c r="P140">
        <f>SUMIF('Quarterly Data'!$B:$B,'Annual Data'!$A140,'Quarterly Data'!R:R)</f>
        <v>0</v>
      </c>
      <c r="Q140">
        <f>SUMIF('Quarterly Data'!$B:$B,'Annual Data'!$A140,'Quarterly Data'!S:S)</f>
        <v>0</v>
      </c>
      <c r="R140" t="e">
        <f>AVERAGEIF('Quarterly Data'!$B:$B,'Annual Data'!$A140,'Quarterly Data'!T:T)</f>
        <v>#DIV/0!</v>
      </c>
      <c r="S140">
        <f>SUMIF('Quarterly Data'!$B:$B,'Annual Data'!$A140,'Quarterly Data'!U:U)</f>
        <v>0</v>
      </c>
      <c r="T140">
        <f>SUMIF('Quarterly Data'!$B:$B,'Annual Data'!$A140,'Quarterly Data'!V:V)</f>
        <v>0</v>
      </c>
      <c r="U140">
        <f>SUMIF('Quarterly Data'!$B:$B,'Annual Data'!$A140,'Quarterly Data'!W:W)</f>
        <v>0</v>
      </c>
      <c r="V140">
        <f>SUMIF('Quarterly Data'!$B:$B,'Annual Data'!$A140,'Quarterly Data'!X:X)</f>
        <v>0</v>
      </c>
      <c r="W140">
        <f>SUMIF('Quarterly Data'!$B:$B,'Annual Data'!$A140,'Quarterly Data'!Y:Y)</f>
        <v>0</v>
      </c>
      <c r="X140">
        <f>SUMIF('Quarterly Data'!$B:$B,'Annual Data'!$A140,'Quarterly Data'!Z:Z)</f>
        <v>0</v>
      </c>
      <c r="Y140">
        <f>SUMIF('Quarterly Data'!$B:$B,'Annual Data'!$A140,'Quarterly Data'!AA:AA)</f>
        <v>0</v>
      </c>
      <c r="Z140" t="e">
        <f>AVERAGEIF('Quarterly Data'!$B:$B,'Annual Data'!$A140,'Quarterly Data'!AB:AB)</f>
        <v>#DIV/0!</v>
      </c>
      <c r="AA140" t="e">
        <f>AVERAGEIF('Quarterly Data'!$B:$B,'Annual Data'!$A140,'Quarterly Data'!AC:AC)</f>
        <v>#DIV/0!</v>
      </c>
      <c r="AB140" t="e">
        <f>AVERAGEIF('Quarterly Data'!$B:$B,'Annual Data'!$A140,'Quarterly Data'!AD:AD)</f>
        <v>#DIV/0!</v>
      </c>
      <c r="AC140" t="e">
        <f>AVERAGEIF('Quarterly Data'!$B:$B,'Annual Data'!$A140,'Quarterly Data'!AE:AE)</f>
        <v>#DIV/0!</v>
      </c>
      <c r="AD140" t="e">
        <f>AVERAGEIF('Quarterly Data'!$B:$B,'Annual Data'!$A140,'Quarterly Data'!AF:AF)</f>
        <v>#DIV/0!</v>
      </c>
      <c r="AE140">
        <f>SUMIF('Quarterly Data'!$B:$B,'Annual Data'!$A140,'Quarterly Data'!AG:AG)</f>
        <v>0</v>
      </c>
    </row>
    <row r="141" spans="1:31" x14ac:dyDescent="0.25">
      <c r="A141">
        <v>2107</v>
      </c>
      <c r="B141">
        <f>SUMIF('Quarterly Data'!$B:$B,'Annual Data'!$A141,'Quarterly Data'!D:D)</f>
        <v>0</v>
      </c>
      <c r="C141" t="e">
        <f>AVERAGEIF('Quarterly Data'!$B:$B,'Annual Data'!$A141,'Quarterly Data'!E:E)</f>
        <v>#DIV/0!</v>
      </c>
      <c r="D141">
        <f>SUMIF('Quarterly Data'!$B:$B,'Annual Data'!$A141,'Quarterly Data'!F:F)</f>
        <v>0</v>
      </c>
      <c r="E141">
        <f>SUMIF('Quarterly Data'!$B:$B,'Annual Data'!$A141,'Quarterly Data'!G:G)</f>
        <v>0</v>
      </c>
      <c r="F141">
        <f>SUMIF('Quarterly Data'!$B:$B,'Annual Data'!$A141,'Quarterly Data'!H:H)</f>
        <v>0</v>
      </c>
      <c r="G141">
        <f>SUMIF('Quarterly Data'!$B:$B,'Annual Data'!$A141,'Quarterly Data'!I:I)</f>
        <v>0</v>
      </c>
      <c r="H141">
        <f>SUMIF('Quarterly Data'!$B:$B,'Annual Data'!$A141,'Quarterly Data'!J:J)</f>
        <v>0</v>
      </c>
      <c r="I141">
        <f>SUMIF('Quarterly Data'!$B:$B,'Annual Data'!$A141,'Quarterly Data'!K:K)</f>
        <v>0</v>
      </c>
      <c r="J141">
        <f>SUMIF('Quarterly Data'!$B:$B,'Annual Data'!$A141,'Quarterly Data'!L:L)</f>
        <v>0</v>
      </c>
      <c r="K141" t="e">
        <f>AVERAGEIF('Quarterly Data'!$B:$B,'Annual Data'!$A141,'Quarterly Data'!M:M)</f>
        <v>#DIV/0!</v>
      </c>
      <c r="L141" t="e">
        <f>AVERAGEIF('Quarterly Data'!$B:$B,'Annual Data'!$A141,'Quarterly Data'!N:N)</f>
        <v>#DIV/0!</v>
      </c>
      <c r="M141" t="e">
        <f>AVERAGEIF('Quarterly Data'!$B:$B,'Annual Data'!$A141,'Quarterly Data'!O:O)</f>
        <v>#DIV/0!</v>
      </c>
      <c r="N141" t="e">
        <f>AVERAGEIF('Quarterly Data'!$B:$B,'Annual Data'!$A141,'Quarterly Data'!P:P)</f>
        <v>#DIV/0!</v>
      </c>
      <c r="O141" t="e">
        <f>AVERAGEIF('Quarterly Data'!$B:$B,'Annual Data'!$A141,'Quarterly Data'!Q:Q)</f>
        <v>#DIV/0!</v>
      </c>
      <c r="P141">
        <f>SUMIF('Quarterly Data'!$B:$B,'Annual Data'!$A141,'Quarterly Data'!R:R)</f>
        <v>0</v>
      </c>
      <c r="Q141">
        <f>SUMIF('Quarterly Data'!$B:$B,'Annual Data'!$A141,'Quarterly Data'!S:S)</f>
        <v>0</v>
      </c>
      <c r="R141" t="e">
        <f>AVERAGEIF('Quarterly Data'!$B:$B,'Annual Data'!$A141,'Quarterly Data'!T:T)</f>
        <v>#DIV/0!</v>
      </c>
      <c r="S141">
        <f>SUMIF('Quarterly Data'!$B:$B,'Annual Data'!$A141,'Quarterly Data'!U:U)</f>
        <v>0</v>
      </c>
      <c r="T141">
        <f>SUMIF('Quarterly Data'!$B:$B,'Annual Data'!$A141,'Quarterly Data'!V:V)</f>
        <v>0</v>
      </c>
      <c r="U141">
        <f>SUMIF('Quarterly Data'!$B:$B,'Annual Data'!$A141,'Quarterly Data'!W:W)</f>
        <v>0</v>
      </c>
      <c r="V141">
        <f>SUMIF('Quarterly Data'!$B:$B,'Annual Data'!$A141,'Quarterly Data'!X:X)</f>
        <v>0</v>
      </c>
      <c r="W141">
        <f>SUMIF('Quarterly Data'!$B:$B,'Annual Data'!$A141,'Quarterly Data'!Y:Y)</f>
        <v>0</v>
      </c>
      <c r="X141">
        <f>SUMIF('Quarterly Data'!$B:$B,'Annual Data'!$A141,'Quarterly Data'!Z:Z)</f>
        <v>0</v>
      </c>
      <c r="Y141">
        <f>SUMIF('Quarterly Data'!$B:$B,'Annual Data'!$A141,'Quarterly Data'!AA:AA)</f>
        <v>0</v>
      </c>
      <c r="Z141" t="e">
        <f>AVERAGEIF('Quarterly Data'!$B:$B,'Annual Data'!$A141,'Quarterly Data'!AB:AB)</f>
        <v>#DIV/0!</v>
      </c>
      <c r="AA141" t="e">
        <f>AVERAGEIF('Quarterly Data'!$B:$B,'Annual Data'!$A141,'Quarterly Data'!AC:AC)</f>
        <v>#DIV/0!</v>
      </c>
      <c r="AB141" t="e">
        <f>AVERAGEIF('Quarterly Data'!$B:$B,'Annual Data'!$A141,'Quarterly Data'!AD:AD)</f>
        <v>#DIV/0!</v>
      </c>
      <c r="AC141" t="e">
        <f>AVERAGEIF('Quarterly Data'!$B:$B,'Annual Data'!$A141,'Quarterly Data'!AE:AE)</f>
        <v>#DIV/0!</v>
      </c>
      <c r="AD141" t="e">
        <f>AVERAGEIF('Quarterly Data'!$B:$B,'Annual Data'!$A141,'Quarterly Data'!AF:AF)</f>
        <v>#DIV/0!</v>
      </c>
      <c r="AE141">
        <f>SUMIF('Quarterly Data'!$B:$B,'Annual Data'!$A141,'Quarterly Data'!AG:AG)</f>
        <v>0</v>
      </c>
    </row>
    <row r="142" spans="1:31" x14ac:dyDescent="0.25">
      <c r="A142">
        <v>2108</v>
      </c>
      <c r="B142">
        <f>SUMIF('Quarterly Data'!$B:$B,'Annual Data'!$A142,'Quarterly Data'!D:D)</f>
        <v>0</v>
      </c>
      <c r="C142" t="e">
        <f>AVERAGEIF('Quarterly Data'!$B:$B,'Annual Data'!$A142,'Quarterly Data'!E:E)</f>
        <v>#DIV/0!</v>
      </c>
      <c r="D142">
        <f>SUMIF('Quarterly Data'!$B:$B,'Annual Data'!$A142,'Quarterly Data'!F:F)</f>
        <v>0</v>
      </c>
      <c r="E142">
        <f>SUMIF('Quarterly Data'!$B:$B,'Annual Data'!$A142,'Quarterly Data'!G:G)</f>
        <v>0</v>
      </c>
      <c r="F142">
        <f>SUMIF('Quarterly Data'!$B:$B,'Annual Data'!$A142,'Quarterly Data'!H:H)</f>
        <v>0</v>
      </c>
      <c r="G142">
        <f>SUMIF('Quarterly Data'!$B:$B,'Annual Data'!$A142,'Quarterly Data'!I:I)</f>
        <v>0</v>
      </c>
      <c r="H142">
        <f>SUMIF('Quarterly Data'!$B:$B,'Annual Data'!$A142,'Quarterly Data'!J:J)</f>
        <v>0</v>
      </c>
      <c r="I142">
        <f>SUMIF('Quarterly Data'!$B:$B,'Annual Data'!$A142,'Quarterly Data'!K:K)</f>
        <v>0</v>
      </c>
      <c r="J142">
        <f>SUMIF('Quarterly Data'!$B:$B,'Annual Data'!$A142,'Quarterly Data'!L:L)</f>
        <v>0</v>
      </c>
      <c r="K142" t="e">
        <f>AVERAGEIF('Quarterly Data'!$B:$B,'Annual Data'!$A142,'Quarterly Data'!M:M)</f>
        <v>#DIV/0!</v>
      </c>
      <c r="L142" t="e">
        <f>AVERAGEIF('Quarterly Data'!$B:$B,'Annual Data'!$A142,'Quarterly Data'!N:N)</f>
        <v>#DIV/0!</v>
      </c>
      <c r="M142" t="e">
        <f>AVERAGEIF('Quarterly Data'!$B:$B,'Annual Data'!$A142,'Quarterly Data'!O:O)</f>
        <v>#DIV/0!</v>
      </c>
      <c r="N142" t="e">
        <f>AVERAGEIF('Quarterly Data'!$B:$B,'Annual Data'!$A142,'Quarterly Data'!P:P)</f>
        <v>#DIV/0!</v>
      </c>
      <c r="O142" t="e">
        <f>AVERAGEIF('Quarterly Data'!$B:$B,'Annual Data'!$A142,'Quarterly Data'!Q:Q)</f>
        <v>#DIV/0!</v>
      </c>
      <c r="P142">
        <f>SUMIF('Quarterly Data'!$B:$B,'Annual Data'!$A142,'Quarterly Data'!R:R)</f>
        <v>0</v>
      </c>
      <c r="Q142">
        <f>SUMIF('Quarterly Data'!$B:$B,'Annual Data'!$A142,'Quarterly Data'!S:S)</f>
        <v>0</v>
      </c>
      <c r="R142" t="e">
        <f>AVERAGEIF('Quarterly Data'!$B:$B,'Annual Data'!$A142,'Quarterly Data'!T:T)</f>
        <v>#DIV/0!</v>
      </c>
      <c r="S142">
        <f>SUMIF('Quarterly Data'!$B:$B,'Annual Data'!$A142,'Quarterly Data'!U:U)</f>
        <v>0</v>
      </c>
      <c r="T142">
        <f>SUMIF('Quarterly Data'!$B:$B,'Annual Data'!$A142,'Quarterly Data'!V:V)</f>
        <v>0</v>
      </c>
      <c r="U142">
        <f>SUMIF('Quarterly Data'!$B:$B,'Annual Data'!$A142,'Quarterly Data'!W:W)</f>
        <v>0</v>
      </c>
      <c r="V142">
        <f>SUMIF('Quarterly Data'!$B:$B,'Annual Data'!$A142,'Quarterly Data'!X:X)</f>
        <v>0</v>
      </c>
      <c r="W142">
        <f>SUMIF('Quarterly Data'!$B:$B,'Annual Data'!$A142,'Quarterly Data'!Y:Y)</f>
        <v>0</v>
      </c>
      <c r="X142">
        <f>SUMIF('Quarterly Data'!$B:$B,'Annual Data'!$A142,'Quarterly Data'!Z:Z)</f>
        <v>0</v>
      </c>
      <c r="Y142">
        <f>SUMIF('Quarterly Data'!$B:$B,'Annual Data'!$A142,'Quarterly Data'!AA:AA)</f>
        <v>0</v>
      </c>
      <c r="Z142" t="e">
        <f>AVERAGEIF('Quarterly Data'!$B:$B,'Annual Data'!$A142,'Quarterly Data'!AB:AB)</f>
        <v>#DIV/0!</v>
      </c>
      <c r="AA142" t="e">
        <f>AVERAGEIF('Quarterly Data'!$B:$B,'Annual Data'!$A142,'Quarterly Data'!AC:AC)</f>
        <v>#DIV/0!</v>
      </c>
      <c r="AB142" t="e">
        <f>AVERAGEIF('Quarterly Data'!$B:$B,'Annual Data'!$A142,'Quarterly Data'!AD:AD)</f>
        <v>#DIV/0!</v>
      </c>
      <c r="AC142" t="e">
        <f>AVERAGEIF('Quarterly Data'!$B:$B,'Annual Data'!$A142,'Quarterly Data'!AE:AE)</f>
        <v>#DIV/0!</v>
      </c>
      <c r="AD142" t="e">
        <f>AVERAGEIF('Quarterly Data'!$B:$B,'Annual Data'!$A142,'Quarterly Data'!AF:AF)</f>
        <v>#DIV/0!</v>
      </c>
      <c r="AE142">
        <f>SUMIF('Quarterly Data'!$B:$B,'Annual Data'!$A142,'Quarterly Data'!AG:AG)</f>
        <v>0</v>
      </c>
    </row>
    <row r="143" spans="1:31" x14ac:dyDescent="0.25">
      <c r="A143">
        <v>2109</v>
      </c>
      <c r="B143">
        <f>SUMIF('Quarterly Data'!$B:$B,'Annual Data'!$A143,'Quarterly Data'!D:D)</f>
        <v>0</v>
      </c>
      <c r="C143" t="e">
        <f>AVERAGEIF('Quarterly Data'!$B:$B,'Annual Data'!$A143,'Quarterly Data'!E:E)</f>
        <v>#DIV/0!</v>
      </c>
      <c r="D143">
        <f>SUMIF('Quarterly Data'!$B:$B,'Annual Data'!$A143,'Quarterly Data'!F:F)</f>
        <v>0</v>
      </c>
      <c r="E143">
        <f>SUMIF('Quarterly Data'!$B:$B,'Annual Data'!$A143,'Quarterly Data'!G:G)</f>
        <v>0</v>
      </c>
      <c r="F143">
        <f>SUMIF('Quarterly Data'!$B:$B,'Annual Data'!$A143,'Quarterly Data'!H:H)</f>
        <v>0</v>
      </c>
      <c r="G143">
        <f>SUMIF('Quarterly Data'!$B:$B,'Annual Data'!$A143,'Quarterly Data'!I:I)</f>
        <v>0</v>
      </c>
      <c r="H143">
        <f>SUMIF('Quarterly Data'!$B:$B,'Annual Data'!$A143,'Quarterly Data'!J:J)</f>
        <v>0</v>
      </c>
      <c r="I143">
        <f>SUMIF('Quarterly Data'!$B:$B,'Annual Data'!$A143,'Quarterly Data'!K:K)</f>
        <v>0</v>
      </c>
      <c r="J143">
        <f>SUMIF('Quarterly Data'!$B:$B,'Annual Data'!$A143,'Quarterly Data'!L:L)</f>
        <v>0</v>
      </c>
      <c r="K143" t="e">
        <f>AVERAGEIF('Quarterly Data'!$B:$B,'Annual Data'!$A143,'Quarterly Data'!M:M)</f>
        <v>#DIV/0!</v>
      </c>
      <c r="L143" t="e">
        <f>AVERAGEIF('Quarterly Data'!$B:$B,'Annual Data'!$A143,'Quarterly Data'!N:N)</f>
        <v>#DIV/0!</v>
      </c>
      <c r="M143" t="e">
        <f>AVERAGEIF('Quarterly Data'!$B:$B,'Annual Data'!$A143,'Quarterly Data'!O:O)</f>
        <v>#DIV/0!</v>
      </c>
      <c r="N143" t="e">
        <f>AVERAGEIF('Quarterly Data'!$B:$B,'Annual Data'!$A143,'Quarterly Data'!P:P)</f>
        <v>#DIV/0!</v>
      </c>
      <c r="O143" t="e">
        <f>AVERAGEIF('Quarterly Data'!$B:$B,'Annual Data'!$A143,'Quarterly Data'!Q:Q)</f>
        <v>#DIV/0!</v>
      </c>
      <c r="P143">
        <f>SUMIF('Quarterly Data'!$B:$B,'Annual Data'!$A143,'Quarterly Data'!R:R)</f>
        <v>0</v>
      </c>
      <c r="Q143">
        <f>SUMIF('Quarterly Data'!$B:$B,'Annual Data'!$A143,'Quarterly Data'!S:S)</f>
        <v>0</v>
      </c>
      <c r="R143" t="e">
        <f>AVERAGEIF('Quarterly Data'!$B:$B,'Annual Data'!$A143,'Quarterly Data'!T:T)</f>
        <v>#DIV/0!</v>
      </c>
      <c r="S143">
        <f>SUMIF('Quarterly Data'!$B:$B,'Annual Data'!$A143,'Quarterly Data'!U:U)</f>
        <v>0</v>
      </c>
      <c r="T143">
        <f>SUMIF('Quarterly Data'!$B:$B,'Annual Data'!$A143,'Quarterly Data'!V:V)</f>
        <v>0</v>
      </c>
      <c r="U143">
        <f>SUMIF('Quarterly Data'!$B:$B,'Annual Data'!$A143,'Quarterly Data'!W:W)</f>
        <v>0</v>
      </c>
      <c r="V143">
        <f>SUMIF('Quarterly Data'!$B:$B,'Annual Data'!$A143,'Quarterly Data'!X:X)</f>
        <v>0</v>
      </c>
      <c r="W143">
        <f>SUMIF('Quarterly Data'!$B:$B,'Annual Data'!$A143,'Quarterly Data'!Y:Y)</f>
        <v>0</v>
      </c>
      <c r="X143">
        <f>SUMIF('Quarterly Data'!$B:$B,'Annual Data'!$A143,'Quarterly Data'!Z:Z)</f>
        <v>0</v>
      </c>
      <c r="Y143">
        <f>SUMIF('Quarterly Data'!$B:$B,'Annual Data'!$A143,'Quarterly Data'!AA:AA)</f>
        <v>0</v>
      </c>
      <c r="Z143" t="e">
        <f>AVERAGEIF('Quarterly Data'!$B:$B,'Annual Data'!$A143,'Quarterly Data'!AB:AB)</f>
        <v>#DIV/0!</v>
      </c>
      <c r="AA143" t="e">
        <f>AVERAGEIF('Quarterly Data'!$B:$B,'Annual Data'!$A143,'Quarterly Data'!AC:AC)</f>
        <v>#DIV/0!</v>
      </c>
      <c r="AB143" t="e">
        <f>AVERAGEIF('Quarterly Data'!$B:$B,'Annual Data'!$A143,'Quarterly Data'!AD:AD)</f>
        <v>#DIV/0!</v>
      </c>
      <c r="AC143" t="e">
        <f>AVERAGEIF('Quarterly Data'!$B:$B,'Annual Data'!$A143,'Quarterly Data'!AE:AE)</f>
        <v>#DIV/0!</v>
      </c>
      <c r="AD143" t="e">
        <f>AVERAGEIF('Quarterly Data'!$B:$B,'Annual Data'!$A143,'Quarterly Data'!AF:AF)</f>
        <v>#DIV/0!</v>
      </c>
      <c r="AE143">
        <f>SUMIF('Quarterly Data'!$B:$B,'Annual Data'!$A143,'Quarterly Data'!AG:AG)</f>
        <v>0</v>
      </c>
    </row>
    <row r="144" spans="1:31" x14ac:dyDescent="0.25">
      <c r="A144">
        <v>2110</v>
      </c>
      <c r="B144">
        <f>SUMIF('Quarterly Data'!$B:$B,'Annual Data'!$A144,'Quarterly Data'!D:D)</f>
        <v>0</v>
      </c>
      <c r="C144" t="e">
        <f>AVERAGEIF('Quarterly Data'!$B:$B,'Annual Data'!$A144,'Quarterly Data'!E:E)</f>
        <v>#DIV/0!</v>
      </c>
      <c r="D144">
        <f>SUMIF('Quarterly Data'!$B:$B,'Annual Data'!$A144,'Quarterly Data'!F:F)</f>
        <v>0</v>
      </c>
      <c r="E144">
        <f>SUMIF('Quarterly Data'!$B:$B,'Annual Data'!$A144,'Quarterly Data'!G:G)</f>
        <v>0</v>
      </c>
      <c r="F144">
        <f>SUMIF('Quarterly Data'!$B:$B,'Annual Data'!$A144,'Quarterly Data'!H:H)</f>
        <v>0</v>
      </c>
      <c r="G144">
        <f>SUMIF('Quarterly Data'!$B:$B,'Annual Data'!$A144,'Quarterly Data'!I:I)</f>
        <v>0</v>
      </c>
      <c r="H144">
        <f>SUMIF('Quarterly Data'!$B:$B,'Annual Data'!$A144,'Quarterly Data'!J:J)</f>
        <v>0</v>
      </c>
      <c r="I144">
        <f>SUMIF('Quarterly Data'!$B:$B,'Annual Data'!$A144,'Quarterly Data'!K:K)</f>
        <v>0</v>
      </c>
      <c r="J144">
        <f>SUMIF('Quarterly Data'!$B:$B,'Annual Data'!$A144,'Quarterly Data'!L:L)</f>
        <v>0</v>
      </c>
      <c r="K144" t="e">
        <f>AVERAGEIF('Quarterly Data'!$B:$B,'Annual Data'!$A144,'Quarterly Data'!M:M)</f>
        <v>#DIV/0!</v>
      </c>
      <c r="L144" t="e">
        <f>AVERAGEIF('Quarterly Data'!$B:$B,'Annual Data'!$A144,'Quarterly Data'!N:N)</f>
        <v>#DIV/0!</v>
      </c>
      <c r="M144" t="e">
        <f>AVERAGEIF('Quarterly Data'!$B:$B,'Annual Data'!$A144,'Quarterly Data'!O:O)</f>
        <v>#DIV/0!</v>
      </c>
      <c r="N144" t="e">
        <f>AVERAGEIF('Quarterly Data'!$B:$B,'Annual Data'!$A144,'Quarterly Data'!P:P)</f>
        <v>#DIV/0!</v>
      </c>
      <c r="O144" t="e">
        <f>AVERAGEIF('Quarterly Data'!$B:$B,'Annual Data'!$A144,'Quarterly Data'!Q:Q)</f>
        <v>#DIV/0!</v>
      </c>
      <c r="P144">
        <f>SUMIF('Quarterly Data'!$B:$B,'Annual Data'!$A144,'Quarterly Data'!R:R)</f>
        <v>0</v>
      </c>
      <c r="Q144">
        <f>SUMIF('Quarterly Data'!$B:$B,'Annual Data'!$A144,'Quarterly Data'!S:S)</f>
        <v>0</v>
      </c>
      <c r="R144" t="e">
        <f>AVERAGEIF('Quarterly Data'!$B:$B,'Annual Data'!$A144,'Quarterly Data'!T:T)</f>
        <v>#DIV/0!</v>
      </c>
      <c r="S144">
        <f>SUMIF('Quarterly Data'!$B:$B,'Annual Data'!$A144,'Quarterly Data'!U:U)</f>
        <v>0</v>
      </c>
      <c r="T144">
        <f>SUMIF('Quarterly Data'!$B:$B,'Annual Data'!$A144,'Quarterly Data'!V:V)</f>
        <v>0</v>
      </c>
      <c r="U144">
        <f>SUMIF('Quarterly Data'!$B:$B,'Annual Data'!$A144,'Quarterly Data'!W:W)</f>
        <v>0</v>
      </c>
      <c r="V144">
        <f>SUMIF('Quarterly Data'!$B:$B,'Annual Data'!$A144,'Quarterly Data'!X:X)</f>
        <v>0</v>
      </c>
      <c r="W144">
        <f>SUMIF('Quarterly Data'!$B:$B,'Annual Data'!$A144,'Quarterly Data'!Y:Y)</f>
        <v>0</v>
      </c>
      <c r="X144">
        <f>SUMIF('Quarterly Data'!$B:$B,'Annual Data'!$A144,'Quarterly Data'!Z:Z)</f>
        <v>0</v>
      </c>
      <c r="Y144">
        <f>SUMIF('Quarterly Data'!$B:$B,'Annual Data'!$A144,'Quarterly Data'!AA:AA)</f>
        <v>0</v>
      </c>
      <c r="Z144" t="e">
        <f>AVERAGEIF('Quarterly Data'!$B:$B,'Annual Data'!$A144,'Quarterly Data'!AB:AB)</f>
        <v>#DIV/0!</v>
      </c>
      <c r="AA144" t="e">
        <f>AVERAGEIF('Quarterly Data'!$B:$B,'Annual Data'!$A144,'Quarterly Data'!AC:AC)</f>
        <v>#DIV/0!</v>
      </c>
      <c r="AB144" t="e">
        <f>AVERAGEIF('Quarterly Data'!$B:$B,'Annual Data'!$A144,'Quarterly Data'!AD:AD)</f>
        <v>#DIV/0!</v>
      </c>
      <c r="AC144" t="e">
        <f>AVERAGEIF('Quarterly Data'!$B:$B,'Annual Data'!$A144,'Quarterly Data'!AE:AE)</f>
        <v>#DIV/0!</v>
      </c>
      <c r="AD144" t="e">
        <f>AVERAGEIF('Quarterly Data'!$B:$B,'Annual Data'!$A144,'Quarterly Data'!AF:AF)</f>
        <v>#DIV/0!</v>
      </c>
      <c r="AE144">
        <f>SUMIF('Quarterly Data'!$B:$B,'Annual Data'!$A144,'Quarterly Data'!AG:AG)</f>
        <v>0</v>
      </c>
    </row>
    <row r="145" spans="1:31" x14ac:dyDescent="0.25">
      <c r="A145">
        <v>2111</v>
      </c>
      <c r="B145">
        <f>SUMIF('Quarterly Data'!$B:$B,'Annual Data'!$A145,'Quarterly Data'!D:D)</f>
        <v>0</v>
      </c>
      <c r="C145" t="e">
        <f>AVERAGEIF('Quarterly Data'!$B:$B,'Annual Data'!$A145,'Quarterly Data'!E:E)</f>
        <v>#DIV/0!</v>
      </c>
      <c r="D145">
        <f>SUMIF('Quarterly Data'!$B:$B,'Annual Data'!$A145,'Quarterly Data'!F:F)</f>
        <v>0</v>
      </c>
      <c r="E145">
        <f>SUMIF('Quarterly Data'!$B:$B,'Annual Data'!$A145,'Quarterly Data'!G:G)</f>
        <v>0</v>
      </c>
      <c r="F145">
        <f>SUMIF('Quarterly Data'!$B:$B,'Annual Data'!$A145,'Quarterly Data'!H:H)</f>
        <v>0</v>
      </c>
      <c r="G145">
        <f>SUMIF('Quarterly Data'!$B:$B,'Annual Data'!$A145,'Quarterly Data'!I:I)</f>
        <v>0</v>
      </c>
      <c r="H145">
        <f>SUMIF('Quarterly Data'!$B:$B,'Annual Data'!$A145,'Quarterly Data'!J:J)</f>
        <v>0</v>
      </c>
      <c r="I145">
        <f>SUMIF('Quarterly Data'!$B:$B,'Annual Data'!$A145,'Quarterly Data'!K:K)</f>
        <v>0</v>
      </c>
      <c r="J145">
        <f>SUMIF('Quarterly Data'!$B:$B,'Annual Data'!$A145,'Quarterly Data'!L:L)</f>
        <v>0</v>
      </c>
      <c r="K145" t="e">
        <f>AVERAGEIF('Quarterly Data'!$B:$B,'Annual Data'!$A145,'Quarterly Data'!M:M)</f>
        <v>#DIV/0!</v>
      </c>
      <c r="L145" t="e">
        <f>AVERAGEIF('Quarterly Data'!$B:$B,'Annual Data'!$A145,'Quarterly Data'!N:N)</f>
        <v>#DIV/0!</v>
      </c>
      <c r="M145" t="e">
        <f>AVERAGEIF('Quarterly Data'!$B:$B,'Annual Data'!$A145,'Quarterly Data'!O:O)</f>
        <v>#DIV/0!</v>
      </c>
      <c r="N145" t="e">
        <f>AVERAGEIF('Quarterly Data'!$B:$B,'Annual Data'!$A145,'Quarterly Data'!P:P)</f>
        <v>#DIV/0!</v>
      </c>
      <c r="O145" t="e">
        <f>AVERAGEIF('Quarterly Data'!$B:$B,'Annual Data'!$A145,'Quarterly Data'!Q:Q)</f>
        <v>#DIV/0!</v>
      </c>
      <c r="P145">
        <f>SUMIF('Quarterly Data'!$B:$B,'Annual Data'!$A145,'Quarterly Data'!R:R)</f>
        <v>0</v>
      </c>
      <c r="Q145">
        <f>SUMIF('Quarterly Data'!$B:$B,'Annual Data'!$A145,'Quarterly Data'!S:S)</f>
        <v>0</v>
      </c>
      <c r="R145" t="e">
        <f>AVERAGEIF('Quarterly Data'!$B:$B,'Annual Data'!$A145,'Quarterly Data'!T:T)</f>
        <v>#DIV/0!</v>
      </c>
      <c r="S145">
        <f>SUMIF('Quarterly Data'!$B:$B,'Annual Data'!$A145,'Quarterly Data'!U:U)</f>
        <v>0</v>
      </c>
      <c r="T145">
        <f>SUMIF('Quarterly Data'!$B:$B,'Annual Data'!$A145,'Quarterly Data'!V:V)</f>
        <v>0</v>
      </c>
      <c r="U145">
        <f>SUMIF('Quarterly Data'!$B:$B,'Annual Data'!$A145,'Quarterly Data'!W:W)</f>
        <v>0</v>
      </c>
      <c r="V145">
        <f>SUMIF('Quarterly Data'!$B:$B,'Annual Data'!$A145,'Quarterly Data'!X:X)</f>
        <v>0</v>
      </c>
      <c r="W145">
        <f>SUMIF('Quarterly Data'!$B:$B,'Annual Data'!$A145,'Quarterly Data'!Y:Y)</f>
        <v>0</v>
      </c>
      <c r="X145">
        <f>SUMIF('Quarterly Data'!$B:$B,'Annual Data'!$A145,'Quarterly Data'!Z:Z)</f>
        <v>0</v>
      </c>
      <c r="Y145">
        <f>SUMIF('Quarterly Data'!$B:$B,'Annual Data'!$A145,'Quarterly Data'!AA:AA)</f>
        <v>0</v>
      </c>
      <c r="Z145" t="e">
        <f>AVERAGEIF('Quarterly Data'!$B:$B,'Annual Data'!$A145,'Quarterly Data'!AB:AB)</f>
        <v>#DIV/0!</v>
      </c>
      <c r="AA145" t="e">
        <f>AVERAGEIF('Quarterly Data'!$B:$B,'Annual Data'!$A145,'Quarterly Data'!AC:AC)</f>
        <v>#DIV/0!</v>
      </c>
      <c r="AB145" t="e">
        <f>AVERAGEIF('Quarterly Data'!$B:$B,'Annual Data'!$A145,'Quarterly Data'!AD:AD)</f>
        <v>#DIV/0!</v>
      </c>
      <c r="AC145" t="e">
        <f>AVERAGEIF('Quarterly Data'!$B:$B,'Annual Data'!$A145,'Quarterly Data'!AE:AE)</f>
        <v>#DIV/0!</v>
      </c>
      <c r="AD145" t="e">
        <f>AVERAGEIF('Quarterly Data'!$B:$B,'Annual Data'!$A145,'Quarterly Data'!AF:AF)</f>
        <v>#DIV/0!</v>
      </c>
      <c r="AE145">
        <f>SUMIF('Quarterly Data'!$B:$B,'Annual Data'!$A145,'Quarterly Data'!AG:AG)</f>
        <v>0</v>
      </c>
    </row>
    <row r="146" spans="1:31" x14ac:dyDescent="0.25">
      <c r="A146">
        <v>2112</v>
      </c>
      <c r="B146">
        <f>SUMIF('Quarterly Data'!$B:$B,'Annual Data'!$A146,'Quarterly Data'!D:D)</f>
        <v>0</v>
      </c>
      <c r="C146" t="e">
        <f>AVERAGEIF('Quarterly Data'!$B:$B,'Annual Data'!$A146,'Quarterly Data'!E:E)</f>
        <v>#DIV/0!</v>
      </c>
      <c r="D146">
        <f>SUMIF('Quarterly Data'!$B:$B,'Annual Data'!$A146,'Quarterly Data'!F:F)</f>
        <v>0</v>
      </c>
      <c r="E146">
        <f>SUMIF('Quarterly Data'!$B:$B,'Annual Data'!$A146,'Quarterly Data'!G:G)</f>
        <v>0</v>
      </c>
      <c r="F146">
        <f>SUMIF('Quarterly Data'!$B:$B,'Annual Data'!$A146,'Quarterly Data'!H:H)</f>
        <v>0</v>
      </c>
      <c r="G146">
        <f>SUMIF('Quarterly Data'!$B:$B,'Annual Data'!$A146,'Quarterly Data'!I:I)</f>
        <v>0</v>
      </c>
      <c r="H146">
        <f>SUMIF('Quarterly Data'!$B:$B,'Annual Data'!$A146,'Quarterly Data'!J:J)</f>
        <v>0</v>
      </c>
      <c r="I146">
        <f>SUMIF('Quarterly Data'!$B:$B,'Annual Data'!$A146,'Quarterly Data'!K:K)</f>
        <v>0</v>
      </c>
      <c r="J146">
        <f>SUMIF('Quarterly Data'!$B:$B,'Annual Data'!$A146,'Quarterly Data'!L:L)</f>
        <v>0</v>
      </c>
      <c r="K146" t="e">
        <f>AVERAGEIF('Quarterly Data'!$B:$B,'Annual Data'!$A146,'Quarterly Data'!M:M)</f>
        <v>#DIV/0!</v>
      </c>
      <c r="L146" t="e">
        <f>AVERAGEIF('Quarterly Data'!$B:$B,'Annual Data'!$A146,'Quarterly Data'!N:N)</f>
        <v>#DIV/0!</v>
      </c>
      <c r="M146" t="e">
        <f>AVERAGEIF('Quarterly Data'!$B:$B,'Annual Data'!$A146,'Quarterly Data'!O:O)</f>
        <v>#DIV/0!</v>
      </c>
      <c r="N146" t="e">
        <f>AVERAGEIF('Quarterly Data'!$B:$B,'Annual Data'!$A146,'Quarterly Data'!P:P)</f>
        <v>#DIV/0!</v>
      </c>
      <c r="O146" t="e">
        <f>AVERAGEIF('Quarterly Data'!$B:$B,'Annual Data'!$A146,'Quarterly Data'!Q:Q)</f>
        <v>#DIV/0!</v>
      </c>
      <c r="P146">
        <f>SUMIF('Quarterly Data'!$B:$B,'Annual Data'!$A146,'Quarterly Data'!R:R)</f>
        <v>0</v>
      </c>
      <c r="Q146">
        <f>SUMIF('Quarterly Data'!$B:$B,'Annual Data'!$A146,'Quarterly Data'!S:S)</f>
        <v>0</v>
      </c>
      <c r="R146" t="e">
        <f>AVERAGEIF('Quarterly Data'!$B:$B,'Annual Data'!$A146,'Quarterly Data'!T:T)</f>
        <v>#DIV/0!</v>
      </c>
      <c r="S146">
        <f>SUMIF('Quarterly Data'!$B:$B,'Annual Data'!$A146,'Quarterly Data'!U:U)</f>
        <v>0</v>
      </c>
      <c r="T146">
        <f>SUMIF('Quarterly Data'!$B:$B,'Annual Data'!$A146,'Quarterly Data'!V:V)</f>
        <v>0</v>
      </c>
      <c r="U146">
        <f>SUMIF('Quarterly Data'!$B:$B,'Annual Data'!$A146,'Quarterly Data'!W:W)</f>
        <v>0</v>
      </c>
      <c r="V146">
        <f>SUMIF('Quarterly Data'!$B:$B,'Annual Data'!$A146,'Quarterly Data'!X:X)</f>
        <v>0</v>
      </c>
      <c r="W146">
        <f>SUMIF('Quarterly Data'!$B:$B,'Annual Data'!$A146,'Quarterly Data'!Y:Y)</f>
        <v>0</v>
      </c>
      <c r="X146">
        <f>SUMIF('Quarterly Data'!$B:$B,'Annual Data'!$A146,'Quarterly Data'!Z:Z)</f>
        <v>0</v>
      </c>
      <c r="Y146">
        <f>SUMIF('Quarterly Data'!$B:$B,'Annual Data'!$A146,'Quarterly Data'!AA:AA)</f>
        <v>0</v>
      </c>
      <c r="Z146" t="e">
        <f>AVERAGEIF('Quarterly Data'!$B:$B,'Annual Data'!$A146,'Quarterly Data'!AB:AB)</f>
        <v>#DIV/0!</v>
      </c>
      <c r="AA146" t="e">
        <f>AVERAGEIF('Quarterly Data'!$B:$B,'Annual Data'!$A146,'Quarterly Data'!AC:AC)</f>
        <v>#DIV/0!</v>
      </c>
      <c r="AB146" t="e">
        <f>AVERAGEIF('Quarterly Data'!$B:$B,'Annual Data'!$A146,'Quarterly Data'!AD:AD)</f>
        <v>#DIV/0!</v>
      </c>
      <c r="AC146" t="e">
        <f>AVERAGEIF('Quarterly Data'!$B:$B,'Annual Data'!$A146,'Quarterly Data'!AE:AE)</f>
        <v>#DIV/0!</v>
      </c>
      <c r="AD146" t="e">
        <f>AVERAGEIF('Quarterly Data'!$B:$B,'Annual Data'!$A146,'Quarterly Data'!AF:AF)</f>
        <v>#DIV/0!</v>
      </c>
      <c r="AE146">
        <f>SUMIF('Quarterly Data'!$B:$B,'Annual Data'!$A146,'Quarterly Data'!AG:AG)</f>
        <v>0</v>
      </c>
    </row>
    <row r="147" spans="1:31" x14ac:dyDescent="0.25">
      <c r="A147">
        <v>2113</v>
      </c>
      <c r="B147">
        <f>SUMIF('Quarterly Data'!$B:$B,'Annual Data'!$A147,'Quarterly Data'!D:D)</f>
        <v>0</v>
      </c>
      <c r="C147" t="e">
        <f>AVERAGEIF('Quarterly Data'!$B:$B,'Annual Data'!$A147,'Quarterly Data'!E:E)</f>
        <v>#DIV/0!</v>
      </c>
      <c r="D147">
        <f>SUMIF('Quarterly Data'!$B:$B,'Annual Data'!$A147,'Quarterly Data'!F:F)</f>
        <v>0</v>
      </c>
      <c r="E147">
        <f>SUMIF('Quarterly Data'!$B:$B,'Annual Data'!$A147,'Quarterly Data'!G:G)</f>
        <v>0</v>
      </c>
      <c r="F147">
        <f>SUMIF('Quarterly Data'!$B:$B,'Annual Data'!$A147,'Quarterly Data'!H:H)</f>
        <v>0</v>
      </c>
      <c r="G147">
        <f>SUMIF('Quarterly Data'!$B:$B,'Annual Data'!$A147,'Quarterly Data'!I:I)</f>
        <v>0</v>
      </c>
      <c r="H147">
        <f>SUMIF('Quarterly Data'!$B:$B,'Annual Data'!$A147,'Quarterly Data'!J:J)</f>
        <v>0</v>
      </c>
      <c r="I147">
        <f>SUMIF('Quarterly Data'!$B:$B,'Annual Data'!$A147,'Quarterly Data'!K:K)</f>
        <v>0</v>
      </c>
      <c r="J147">
        <f>SUMIF('Quarterly Data'!$B:$B,'Annual Data'!$A147,'Quarterly Data'!L:L)</f>
        <v>0</v>
      </c>
      <c r="K147" t="e">
        <f>AVERAGEIF('Quarterly Data'!$B:$B,'Annual Data'!$A147,'Quarterly Data'!M:M)</f>
        <v>#DIV/0!</v>
      </c>
      <c r="L147" t="e">
        <f>AVERAGEIF('Quarterly Data'!$B:$B,'Annual Data'!$A147,'Quarterly Data'!N:N)</f>
        <v>#DIV/0!</v>
      </c>
      <c r="M147" t="e">
        <f>AVERAGEIF('Quarterly Data'!$B:$B,'Annual Data'!$A147,'Quarterly Data'!O:O)</f>
        <v>#DIV/0!</v>
      </c>
      <c r="N147" t="e">
        <f>AVERAGEIF('Quarterly Data'!$B:$B,'Annual Data'!$A147,'Quarterly Data'!P:P)</f>
        <v>#DIV/0!</v>
      </c>
      <c r="O147" t="e">
        <f>AVERAGEIF('Quarterly Data'!$B:$B,'Annual Data'!$A147,'Quarterly Data'!Q:Q)</f>
        <v>#DIV/0!</v>
      </c>
      <c r="P147">
        <f>SUMIF('Quarterly Data'!$B:$B,'Annual Data'!$A147,'Quarterly Data'!R:R)</f>
        <v>0</v>
      </c>
      <c r="Q147">
        <f>SUMIF('Quarterly Data'!$B:$B,'Annual Data'!$A147,'Quarterly Data'!S:S)</f>
        <v>0</v>
      </c>
      <c r="R147" t="e">
        <f>AVERAGEIF('Quarterly Data'!$B:$B,'Annual Data'!$A147,'Quarterly Data'!T:T)</f>
        <v>#DIV/0!</v>
      </c>
      <c r="S147">
        <f>SUMIF('Quarterly Data'!$B:$B,'Annual Data'!$A147,'Quarterly Data'!U:U)</f>
        <v>0</v>
      </c>
      <c r="T147">
        <f>SUMIF('Quarterly Data'!$B:$B,'Annual Data'!$A147,'Quarterly Data'!V:V)</f>
        <v>0</v>
      </c>
      <c r="U147">
        <f>SUMIF('Quarterly Data'!$B:$B,'Annual Data'!$A147,'Quarterly Data'!W:W)</f>
        <v>0</v>
      </c>
      <c r="V147">
        <f>SUMIF('Quarterly Data'!$B:$B,'Annual Data'!$A147,'Quarterly Data'!X:X)</f>
        <v>0</v>
      </c>
      <c r="W147">
        <f>SUMIF('Quarterly Data'!$B:$B,'Annual Data'!$A147,'Quarterly Data'!Y:Y)</f>
        <v>0</v>
      </c>
      <c r="X147">
        <f>SUMIF('Quarterly Data'!$B:$B,'Annual Data'!$A147,'Quarterly Data'!Z:Z)</f>
        <v>0</v>
      </c>
      <c r="Y147">
        <f>SUMIF('Quarterly Data'!$B:$B,'Annual Data'!$A147,'Quarterly Data'!AA:AA)</f>
        <v>0</v>
      </c>
      <c r="Z147" t="e">
        <f>AVERAGEIF('Quarterly Data'!$B:$B,'Annual Data'!$A147,'Quarterly Data'!AB:AB)</f>
        <v>#DIV/0!</v>
      </c>
      <c r="AA147" t="e">
        <f>AVERAGEIF('Quarterly Data'!$B:$B,'Annual Data'!$A147,'Quarterly Data'!AC:AC)</f>
        <v>#DIV/0!</v>
      </c>
      <c r="AB147" t="e">
        <f>AVERAGEIF('Quarterly Data'!$B:$B,'Annual Data'!$A147,'Quarterly Data'!AD:AD)</f>
        <v>#DIV/0!</v>
      </c>
      <c r="AC147" t="e">
        <f>AVERAGEIF('Quarterly Data'!$B:$B,'Annual Data'!$A147,'Quarterly Data'!AE:AE)</f>
        <v>#DIV/0!</v>
      </c>
      <c r="AD147" t="e">
        <f>AVERAGEIF('Quarterly Data'!$B:$B,'Annual Data'!$A147,'Quarterly Data'!AF:AF)</f>
        <v>#DIV/0!</v>
      </c>
      <c r="AE147">
        <f>SUMIF('Quarterly Data'!$B:$B,'Annual Data'!$A147,'Quarterly Data'!AG:AG)</f>
        <v>0</v>
      </c>
    </row>
    <row r="148" spans="1:31" x14ac:dyDescent="0.25">
      <c r="A148">
        <v>2114</v>
      </c>
      <c r="B148">
        <f>SUMIF('Quarterly Data'!$B:$B,'Annual Data'!$A148,'Quarterly Data'!D:D)</f>
        <v>0</v>
      </c>
      <c r="C148" t="e">
        <f>AVERAGEIF('Quarterly Data'!$B:$B,'Annual Data'!$A148,'Quarterly Data'!E:E)</f>
        <v>#DIV/0!</v>
      </c>
      <c r="D148">
        <f>SUMIF('Quarterly Data'!$B:$B,'Annual Data'!$A148,'Quarterly Data'!F:F)</f>
        <v>0</v>
      </c>
      <c r="E148">
        <f>SUMIF('Quarterly Data'!$B:$B,'Annual Data'!$A148,'Quarterly Data'!G:G)</f>
        <v>0</v>
      </c>
      <c r="F148">
        <f>SUMIF('Quarterly Data'!$B:$B,'Annual Data'!$A148,'Quarterly Data'!H:H)</f>
        <v>0</v>
      </c>
      <c r="G148">
        <f>SUMIF('Quarterly Data'!$B:$B,'Annual Data'!$A148,'Quarterly Data'!I:I)</f>
        <v>0</v>
      </c>
      <c r="H148">
        <f>SUMIF('Quarterly Data'!$B:$B,'Annual Data'!$A148,'Quarterly Data'!J:J)</f>
        <v>0</v>
      </c>
      <c r="I148">
        <f>SUMIF('Quarterly Data'!$B:$B,'Annual Data'!$A148,'Quarterly Data'!K:K)</f>
        <v>0</v>
      </c>
      <c r="J148">
        <f>SUMIF('Quarterly Data'!$B:$B,'Annual Data'!$A148,'Quarterly Data'!L:L)</f>
        <v>0</v>
      </c>
      <c r="K148" t="e">
        <f>AVERAGEIF('Quarterly Data'!$B:$B,'Annual Data'!$A148,'Quarterly Data'!M:M)</f>
        <v>#DIV/0!</v>
      </c>
      <c r="L148" t="e">
        <f>AVERAGEIF('Quarterly Data'!$B:$B,'Annual Data'!$A148,'Quarterly Data'!N:N)</f>
        <v>#DIV/0!</v>
      </c>
      <c r="M148" t="e">
        <f>AVERAGEIF('Quarterly Data'!$B:$B,'Annual Data'!$A148,'Quarterly Data'!O:O)</f>
        <v>#DIV/0!</v>
      </c>
      <c r="N148" t="e">
        <f>AVERAGEIF('Quarterly Data'!$B:$B,'Annual Data'!$A148,'Quarterly Data'!P:P)</f>
        <v>#DIV/0!</v>
      </c>
      <c r="O148" t="e">
        <f>AVERAGEIF('Quarterly Data'!$B:$B,'Annual Data'!$A148,'Quarterly Data'!Q:Q)</f>
        <v>#DIV/0!</v>
      </c>
      <c r="P148">
        <f>SUMIF('Quarterly Data'!$B:$B,'Annual Data'!$A148,'Quarterly Data'!R:R)</f>
        <v>0</v>
      </c>
      <c r="Q148">
        <f>SUMIF('Quarterly Data'!$B:$B,'Annual Data'!$A148,'Quarterly Data'!S:S)</f>
        <v>0</v>
      </c>
      <c r="R148" t="e">
        <f>AVERAGEIF('Quarterly Data'!$B:$B,'Annual Data'!$A148,'Quarterly Data'!T:T)</f>
        <v>#DIV/0!</v>
      </c>
      <c r="S148">
        <f>SUMIF('Quarterly Data'!$B:$B,'Annual Data'!$A148,'Quarterly Data'!U:U)</f>
        <v>0</v>
      </c>
      <c r="T148">
        <f>SUMIF('Quarterly Data'!$B:$B,'Annual Data'!$A148,'Quarterly Data'!V:V)</f>
        <v>0</v>
      </c>
      <c r="U148">
        <f>SUMIF('Quarterly Data'!$B:$B,'Annual Data'!$A148,'Quarterly Data'!W:W)</f>
        <v>0</v>
      </c>
      <c r="V148">
        <f>SUMIF('Quarterly Data'!$B:$B,'Annual Data'!$A148,'Quarterly Data'!X:X)</f>
        <v>0</v>
      </c>
      <c r="W148">
        <f>SUMIF('Quarterly Data'!$B:$B,'Annual Data'!$A148,'Quarterly Data'!Y:Y)</f>
        <v>0</v>
      </c>
      <c r="X148">
        <f>SUMIF('Quarterly Data'!$B:$B,'Annual Data'!$A148,'Quarterly Data'!Z:Z)</f>
        <v>0</v>
      </c>
      <c r="Y148">
        <f>SUMIF('Quarterly Data'!$B:$B,'Annual Data'!$A148,'Quarterly Data'!AA:AA)</f>
        <v>0</v>
      </c>
      <c r="Z148" t="e">
        <f>AVERAGEIF('Quarterly Data'!$B:$B,'Annual Data'!$A148,'Quarterly Data'!AB:AB)</f>
        <v>#DIV/0!</v>
      </c>
      <c r="AA148" t="e">
        <f>AVERAGEIF('Quarterly Data'!$B:$B,'Annual Data'!$A148,'Quarterly Data'!AC:AC)</f>
        <v>#DIV/0!</v>
      </c>
      <c r="AB148" t="e">
        <f>AVERAGEIF('Quarterly Data'!$B:$B,'Annual Data'!$A148,'Quarterly Data'!AD:AD)</f>
        <v>#DIV/0!</v>
      </c>
      <c r="AC148" t="e">
        <f>AVERAGEIF('Quarterly Data'!$B:$B,'Annual Data'!$A148,'Quarterly Data'!AE:AE)</f>
        <v>#DIV/0!</v>
      </c>
      <c r="AD148" t="e">
        <f>AVERAGEIF('Quarterly Data'!$B:$B,'Annual Data'!$A148,'Quarterly Data'!AF:AF)</f>
        <v>#DIV/0!</v>
      </c>
      <c r="AE148">
        <f>SUMIF('Quarterly Data'!$B:$B,'Annual Data'!$A148,'Quarterly Data'!AG:AG)</f>
        <v>0</v>
      </c>
    </row>
    <row r="149" spans="1:31" x14ac:dyDescent="0.25">
      <c r="A149">
        <v>2115</v>
      </c>
      <c r="B149">
        <f>SUMIF('Quarterly Data'!$B:$B,'Annual Data'!$A149,'Quarterly Data'!D:D)</f>
        <v>0</v>
      </c>
      <c r="C149" t="e">
        <f>AVERAGEIF('Quarterly Data'!$B:$B,'Annual Data'!$A149,'Quarterly Data'!E:E)</f>
        <v>#DIV/0!</v>
      </c>
      <c r="D149">
        <f>SUMIF('Quarterly Data'!$B:$B,'Annual Data'!$A149,'Quarterly Data'!F:F)</f>
        <v>0</v>
      </c>
      <c r="E149">
        <f>SUMIF('Quarterly Data'!$B:$B,'Annual Data'!$A149,'Quarterly Data'!G:G)</f>
        <v>0</v>
      </c>
      <c r="F149">
        <f>SUMIF('Quarterly Data'!$B:$B,'Annual Data'!$A149,'Quarterly Data'!H:H)</f>
        <v>0</v>
      </c>
      <c r="G149">
        <f>SUMIF('Quarterly Data'!$B:$B,'Annual Data'!$A149,'Quarterly Data'!I:I)</f>
        <v>0</v>
      </c>
      <c r="H149">
        <f>SUMIF('Quarterly Data'!$B:$B,'Annual Data'!$A149,'Quarterly Data'!J:J)</f>
        <v>0</v>
      </c>
      <c r="I149">
        <f>SUMIF('Quarterly Data'!$B:$B,'Annual Data'!$A149,'Quarterly Data'!K:K)</f>
        <v>0</v>
      </c>
      <c r="J149">
        <f>SUMIF('Quarterly Data'!$B:$B,'Annual Data'!$A149,'Quarterly Data'!L:L)</f>
        <v>0</v>
      </c>
      <c r="K149" t="e">
        <f>AVERAGEIF('Quarterly Data'!$B:$B,'Annual Data'!$A149,'Quarterly Data'!M:M)</f>
        <v>#DIV/0!</v>
      </c>
      <c r="L149" t="e">
        <f>AVERAGEIF('Quarterly Data'!$B:$B,'Annual Data'!$A149,'Quarterly Data'!N:N)</f>
        <v>#DIV/0!</v>
      </c>
      <c r="M149" t="e">
        <f>AVERAGEIF('Quarterly Data'!$B:$B,'Annual Data'!$A149,'Quarterly Data'!O:O)</f>
        <v>#DIV/0!</v>
      </c>
      <c r="N149" t="e">
        <f>AVERAGEIF('Quarterly Data'!$B:$B,'Annual Data'!$A149,'Quarterly Data'!P:P)</f>
        <v>#DIV/0!</v>
      </c>
      <c r="O149" t="e">
        <f>AVERAGEIF('Quarterly Data'!$B:$B,'Annual Data'!$A149,'Quarterly Data'!Q:Q)</f>
        <v>#DIV/0!</v>
      </c>
      <c r="P149">
        <f>SUMIF('Quarterly Data'!$B:$B,'Annual Data'!$A149,'Quarterly Data'!R:R)</f>
        <v>0</v>
      </c>
      <c r="Q149">
        <f>SUMIF('Quarterly Data'!$B:$B,'Annual Data'!$A149,'Quarterly Data'!S:S)</f>
        <v>0</v>
      </c>
      <c r="R149" t="e">
        <f>AVERAGEIF('Quarterly Data'!$B:$B,'Annual Data'!$A149,'Quarterly Data'!T:T)</f>
        <v>#DIV/0!</v>
      </c>
      <c r="S149">
        <f>SUMIF('Quarterly Data'!$B:$B,'Annual Data'!$A149,'Quarterly Data'!U:U)</f>
        <v>0</v>
      </c>
      <c r="T149">
        <f>SUMIF('Quarterly Data'!$B:$B,'Annual Data'!$A149,'Quarterly Data'!V:V)</f>
        <v>0</v>
      </c>
      <c r="U149">
        <f>SUMIF('Quarterly Data'!$B:$B,'Annual Data'!$A149,'Quarterly Data'!W:W)</f>
        <v>0</v>
      </c>
      <c r="V149">
        <f>SUMIF('Quarterly Data'!$B:$B,'Annual Data'!$A149,'Quarterly Data'!X:X)</f>
        <v>0</v>
      </c>
      <c r="W149">
        <f>SUMIF('Quarterly Data'!$B:$B,'Annual Data'!$A149,'Quarterly Data'!Y:Y)</f>
        <v>0</v>
      </c>
      <c r="X149">
        <f>SUMIF('Quarterly Data'!$B:$B,'Annual Data'!$A149,'Quarterly Data'!Z:Z)</f>
        <v>0</v>
      </c>
      <c r="Y149">
        <f>SUMIF('Quarterly Data'!$B:$B,'Annual Data'!$A149,'Quarterly Data'!AA:AA)</f>
        <v>0</v>
      </c>
      <c r="Z149" t="e">
        <f>AVERAGEIF('Quarterly Data'!$B:$B,'Annual Data'!$A149,'Quarterly Data'!AB:AB)</f>
        <v>#DIV/0!</v>
      </c>
      <c r="AA149" t="e">
        <f>AVERAGEIF('Quarterly Data'!$B:$B,'Annual Data'!$A149,'Quarterly Data'!AC:AC)</f>
        <v>#DIV/0!</v>
      </c>
      <c r="AB149" t="e">
        <f>AVERAGEIF('Quarterly Data'!$B:$B,'Annual Data'!$A149,'Quarterly Data'!AD:AD)</f>
        <v>#DIV/0!</v>
      </c>
      <c r="AC149" t="e">
        <f>AVERAGEIF('Quarterly Data'!$B:$B,'Annual Data'!$A149,'Quarterly Data'!AE:AE)</f>
        <v>#DIV/0!</v>
      </c>
      <c r="AD149" t="e">
        <f>AVERAGEIF('Quarterly Data'!$B:$B,'Annual Data'!$A149,'Quarterly Data'!AF:AF)</f>
        <v>#DIV/0!</v>
      </c>
      <c r="AE149">
        <f>SUMIF('Quarterly Data'!$B:$B,'Annual Data'!$A149,'Quarterly Data'!AG:AG)</f>
        <v>0</v>
      </c>
    </row>
    <row r="150" spans="1:31" x14ac:dyDescent="0.25">
      <c r="A150">
        <v>2116</v>
      </c>
      <c r="B150">
        <f>SUMIF('Quarterly Data'!$B:$B,'Annual Data'!$A150,'Quarterly Data'!D:D)</f>
        <v>0</v>
      </c>
      <c r="C150" t="e">
        <f>AVERAGEIF('Quarterly Data'!$B:$B,'Annual Data'!$A150,'Quarterly Data'!E:E)</f>
        <v>#DIV/0!</v>
      </c>
      <c r="D150">
        <f>SUMIF('Quarterly Data'!$B:$B,'Annual Data'!$A150,'Quarterly Data'!F:F)</f>
        <v>0</v>
      </c>
      <c r="E150">
        <f>SUMIF('Quarterly Data'!$B:$B,'Annual Data'!$A150,'Quarterly Data'!G:G)</f>
        <v>0</v>
      </c>
      <c r="F150">
        <f>SUMIF('Quarterly Data'!$B:$B,'Annual Data'!$A150,'Quarterly Data'!H:H)</f>
        <v>0</v>
      </c>
      <c r="G150">
        <f>SUMIF('Quarterly Data'!$B:$B,'Annual Data'!$A150,'Quarterly Data'!I:I)</f>
        <v>0</v>
      </c>
      <c r="H150">
        <f>SUMIF('Quarterly Data'!$B:$B,'Annual Data'!$A150,'Quarterly Data'!J:J)</f>
        <v>0</v>
      </c>
      <c r="I150">
        <f>SUMIF('Quarterly Data'!$B:$B,'Annual Data'!$A150,'Quarterly Data'!K:K)</f>
        <v>0</v>
      </c>
      <c r="J150">
        <f>SUMIF('Quarterly Data'!$B:$B,'Annual Data'!$A150,'Quarterly Data'!L:L)</f>
        <v>0</v>
      </c>
      <c r="K150" t="e">
        <f>AVERAGEIF('Quarterly Data'!$B:$B,'Annual Data'!$A150,'Quarterly Data'!M:M)</f>
        <v>#DIV/0!</v>
      </c>
      <c r="L150" t="e">
        <f>AVERAGEIF('Quarterly Data'!$B:$B,'Annual Data'!$A150,'Quarterly Data'!N:N)</f>
        <v>#DIV/0!</v>
      </c>
      <c r="M150" t="e">
        <f>AVERAGEIF('Quarterly Data'!$B:$B,'Annual Data'!$A150,'Quarterly Data'!O:O)</f>
        <v>#DIV/0!</v>
      </c>
      <c r="N150" t="e">
        <f>AVERAGEIF('Quarterly Data'!$B:$B,'Annual Data'!$A150,'Quarterly Data'!P:P)</f>
        <v>#DIV/0!</v>
      </c>
      <c r="O150" t="e">
        <f>AVERAGEIF('Quarterly Data'!$B:$B,'Annual Data'!$A150,'Quarterly Data'!Q:Q)</f>
        <v>#DIV/0!</v>
      </c>
      <c r="P150">
        <f>SUMIF('Quarterly Data'!$B:$B,'Annual Data'!$A150,'Quarterly Data'!R:R)</f>
        <v>0</v>
      </c>
      <c r="Q150">
        <f>SUMIF('Quarterly Data'!$B:$B,'Annual Data'!$A150,'Quarterly Data'!S:S)</f>
        <v>0</v>
      </c>
      <c r="R150" t="e">
        <f>AVERAGEIF('Quarterly Data'!$B:$B,'Annual Data'!$A150,'Quarterly Data'!T:T)</f>
        <v>#DIV/0!</v>
      </c>
      <c r="S150">
        <f>SUMIF('Quarterly Data'!$B:$B,'Annual Data'!$A150,'Quarterly Data'!U:U)</f>
        <v>0</v>
      </c>
      <c r="T150">
        <f>SUMIF('Quarterly Data'!$B:$B,'Annual Data'!$A150,'Quarterly Data'!V:V)</f>
        <v>0</v>
      </c>
      <c r="U150">
        <f>SUMIF('Quarterly Data'!$B:$B,'Annual Data'!$A150,'Quarterly Data'!W:W)</f>
        <v>0</v>
      </c>
      <c r="V150">
        <f>SUMIF('Quarterly Data'!$B:$B,'Annual Data'!$A150,'Quarterly Data'!X:X)</f>
        <v>0</v>
      </c>
      <c r="W150">
        <f>SUMIF('Quarterly Data'!$B:$B,'Annual Data'!$A150,'Quarterly Data'!Y:Y)</f>
        <v>0</v>
      </c>
      <c r="X150">
        <f>SUMIF('Quarterly Data'!$B:$B,'Annual Data'!$A150,'Quarterly Data'!Z:Z)</f>
        <v>0</v>
      </c>
      <c r="Y150">
        <f>SUMIF('Quarterly Data'!$B:$B,'Annual Data'!$A150,'Quarterly Data'!AA:AA)</f>
        <v>0</v>
      </c>
      <c r="Z150" t="e">
        <f>AVERAGEIF('Quarterly Data'!$B:$B,'Annual Data'!$A150,'Quarterly Data'!AB:AB)</f>
        <v>#DIV/0!</v>
      </c>
      <c r="AA150" t="e">
        <f>AVERAGEIF('Quarterly Data'!$B:$B,'Annual Data'!$A150,'Quarterly Data'!AC:AC)</f>
        <v>#DIV/0!</v>
      </c>
      <c r="AB150" t="e">
        <f>AVERAGEIF('Quarterly Data'!$B:$B,'Annual Data'!$A150,'Quarterly Data'!AD:AD)</f>
        <v>#DIV/0!</v>
      </c>
      <c r="AC150" t="e">
        <f>AVERAGEIF('Quarterly Data'!$B:$B,'Annual Data'!$A150,'Quarterly Data'!AE:AE)</f>
        <v>#DIV/0!</v>
      </c>
      <c r="AD150" t="e">
        <f>AVERAGEIF('Quarterly Data'!$B:$B,'Annual Data'!$A150,'Quarterly Data'!AF:AF)</f>
        <v>#DIV/0!</v>
      </c>
      <c r="AE150">
        <f>SUMIF('Quarterly Data'!$B:$B,'Annual Data'!$A150,'Quarterly Data'!AG:AG)</f>
        <v>0</v>
      </c>
    </row>
    <row r="151" spans="1:31" x14ac:dyDescent="0.25">
      <c r="A151">
        <v>2117</v>
      </c>
      <c r="B151">
        <f>SUMIF('Quarterly Data'!$B:$B,'Annual Data'!$A151,'Quarterly Data'!D:D)</f>
        <v>0</v>
      </c>
      <c r="C151" t="e">
        <f>AVERAGEIF('Quarterly Data'!$B:$B,'Annual Data'!$A151,'Quarterly Data'!E:E)</f>
        <v>#DIV/0!</v>
      </c>
      <c r="D151">
        <f>SUMIF('Quarterly Data'!$B:$B,'Annual Data'!$A151,'Quarterly Data'!F:F)</f>
        <v>0</v>
      </c>
      <c r="E151">
        <f>SUMIF('Quarterly Data'!$B:$B,'Annual Data'!$A151,'Quarterly Data'!G:G)</f>
        <v>0</v>
      </c>
      <c r="F151">
        <f>SUMIF('Quarterly Data'!$B:$B,'Annual Data'!$A151,'Quarterly Data'!H:H)</f>
        <v>0</v>
      </c>
      <c r="G151">
        <f>SUMIF('Quarterly Data'!$B:$B,'Annual Data'!$A151,'Quarterly Data'!I:I)</f>
        <v>0</v>
      </c>
      <c r="H151">
        <f>SUMIF('Quarterly Data'!$B:$B,'Annual Data'!$A151,'Quarterly Data'!J:J)</f>
        <v>0</v>
      </c>
      <c r="I151">
        <f>SUMIF('Quarterly Data'!$B:$B,'Annual Data'!$A151,'Quarterly Data'!K:K)</f>
        <v>0</v>
      </c>
      <c r="J151">
        <f>SUMIF('Quarterly Data'!$B:$B,'Annual Data'!$A151,'Quarterly Data'!L:L)</f>
        <v>0</v>
      </c>
      <c r="K151" t="e">
        <f>AVERAGEIF('Quarterly Data'!$B:$B,'Annual Data'!$A151,'Quarterly Data'!M:M)</f>
        <v>#DIV/0!</v>
      </c>
      <c r="L151" t="e">
        <f>AVERAGEIF('Quarterly Data'!$B:$B,'Annual Data'!$A151,'Quarterly Data'!N:N)</f>
        <v>#DIV/0!</v>
      </c>
      <c r="M151" t="e">
        <f>AVERAGEIF('Quarterly Data'!$B:$B,'Annual Data'!$A151,'Quarterly Data'!O:O)</f>
        <v>#DIV/0!</v>
      </c>
      <c r="N151" t="e">
        <f>AVERAGEIF('Quarterly Data'!$B:$B,'Annual Data'!$A151,'Quarterly Data'!P:P)</f>
        <v>#DIV/0!</v>
      </c>
      <c r="O151" t="e">
        <f>AVERAGEIF('Quarterly Data'!$B:$B,'Annual Data'!$A151,'Quarterly Data'!Q:Q)</f>
        <v>#DIV/0!</v>
      </c>
      <c r="P151">
        <f>SUMIF('Quarterly Data'!$B:$B,'Annual Data'!$A151,'Quarterly Data'!R:R)</f>
        <v>0</v>
      </c>
      <c r="Q151">
        <f>SUMIF('Quarterly Data'!$B:$B,'Annual Data'!$A151,'Quarterly Data'!S:S)</f>
        <v>0</v>
      </c>
      <c r="R151" t="e">
        <f>AVERAGEIF('Quarterly Data'!$B:$B,'Annual Data'!$A151,'Quarterly Data'!T:T)</f>
        <v>#DIV/0!</v>
      </c>
      <c r="S151">
        <f>SUMIF('Quarterly Data'!$B:$B,'Annual Data'!$A151,'Quarterly Data'!U:U)</f>
        <v>0</v>
      </c>
      <c r="T151">
        <f>SUMIF('Quarterly Data'!$B:$B,'Annual Data'!$A151,'Quarterly Data'!V:V)</f>
        <v>0</v>
      </c>
      <c r="U151">
        <f>SUMIF('Quarterly Data'!$B:$B,'Annual Data'!$A151,'Quarterly Data'!W:W)</f>
        <v>0</v>
      </c>
      <c r="V151">
        <f>SUMIF('Quarterly Data'!$B:$B,'Annual Data'!$A151,'Quarterly Data'!X:X)</f>
        <v>0</v>
      </c>
      <c r="W151">
        <f>SUMIF('Quarterly Data'!$B:$B,'Annual Data'!$A151,'Quarterly Data'!Y:Y)</f>
        <v>0</v>
      </c>
      <c r="X151">
        <f>SUMIF('Quarterly Data'!$B:$B,'Annual Data'!$A151,'Quarterly Data'!Z:Z)</f>
        <v>0</v>
      </c>
      <c r="Y151">
        <f>SUMIF('Quarterly Data'!$B:$B,'Annual Data'!$A151,'Quarterly Data'!AA:AA)</f>
        <v>0</v>
      </c>
      <c r="Z151" t="e">
        <f>AVERAGEIF('Quarterly Data'!$B:$B,'Annual Data'!$A151,'Quarterly Data'!AB:AB)</f>
        <v>#DIV/0!</v>
      </c>
      <c r="AA151" t="e">
        <f>AVERAGEIF('Quarterly Data'!$B:$B,'Annual Data'!$A151,'Quarterly Data'!AC:AC)</f>
        <v>#DIV/0!</v>
      </c>
      <c r="AB151" t="e">
        <f>AVERAGEIF('Quarterly Data'!$B:$B,'Annual Data'!$A151,'Quarterly Data'!AD:AD)</f>
        <v>#DIV/0!</v>
      </c>
      <c r="AC151" t="e">
        <f>AVERAGEIF('Quarterly Data'!$B:$B,'Annual Data'!$A151,'Quarterly Data'!AE:AE)</f>
        <v>#DIV/0!</v>
      </c>
      <c r="AD151" t="e">
        <f>AVERAGEIF('Quarterly Data'!$B:$B,'Annual Data'!$A151,'Quarterly Data'!AF:AF)</f>
        <v>#DIV/0!</v>
      </c>
      <c r="AE151">
        <f>SUMIF('Quarterly Data'!$B:$B,'Annual Data'!$A151,'Quarterly Data'!AG:AG)</f>
        <v>0</v>
      </c>
    </row>
    <row r="152" spans="1:31" x14ac:dyDescent="0.25">
      <c r="A152">
        <v>2118</v>
      </c>
      <c r="B152">
        <f>SUMIF('Quarterly Data'!$B:$B,'Annual Data'!$A152,'Quarterly Data'!D:D)</f>
        <v>0</v>
      </c>
      <c r="C152" t="e">
        <f>AVERAGEIF('Quarterly Data'!$B:$B,'Annual Data'!$A152,'Quarterly Data'!E:E)</f>
        <v>#DIV/0!</v>
      </c>
      <c r="D152">
        <f>SUMIF('Quarterly Data'!$B:$B,'Annual Data'!$A152,'Quarterly Data'!F:F)</f>
        <v>0</v>
      </c>
      <c r="E152">
        <f>SUMIF('Quarterly Data'!$B:$B,'Annual Data'!$A152,'Quarterly Data'!G:G)</f>
        <v>0</v>
      </c>
      <c r="F152">
        <f>SUMIF('Quarterly Data'!$B:$B,'Annual Data'!$A152,'Quarterly Data'!H:H)</f>
        <v>0</v>
      </c>
      <c r="G152">
        <f>SUMIF('Quarterly Data'!$B:$B,'Annual Data'!$A152,'Quarterly Data'!I:I)</f>
        <v>0</v>
      </c>
      <c r="H152">
        <f>SUMIF('Quarterly Data'!$B:$B,'Annual Data'!$A152,'Quarterly Data'!J:J)</f>
        <v>0</v>
      </c>
      <c r="I152">
        <f>SUMIF('Quarterly Data'!$B:$B,'Annual Data'!$A152,'Quarterly Data'!K:K)</f>
        <v>0</v>
      </c>
      <c r="J152">
        <f>SUMIF('Quarterly Data'!$B:$B,'Annual Data'!$A152,'Quarterly Data'!L:L)</f>
        <v>0</v>
      </c>
      <c r="K152" t="e">
        <f>AVERAGEIF('Quarterly Data'!$B:$B,'Annual Data'!$A152,'Quarterly Data'!M:M)</f>
        <v>#DIV/0!</v>
      </c>
      <c r="L152" t="e">
        <f>AVERAGEIF('Quarterly Data'!$B:$B,'Annual Data'!$A152,'Quarterly Data'!N:N)</f>
        <v>#DIV/0!</v>
      </c>
      <c r="M152" t="e">
        <f>AVERAGEIF('Quarterly Data'!$B:$B,'Annual Data'!$A152,'Quarterly Data'!O:O)</f>
        <v>#DIV/0!</v>
      </c>
      <c r="N152" t="e">
        <f>AVERAGEIF('Quarterly Data'!$B:$B,'Annual Data'!$A152,'Quarterly Data'!P:P)</f>
        <v>#DIV/0!</v>
      </c>
      <c r="O152" t="e">
        <f>AVERAGEIF('Quarterly Data'!$B:$B,'Annual Data'!$A152,'Quarterly Data'!Q:Q)</f>
        <v>#DIV/0!</v>
      </c>
      <c r="P152">
        <f>SUMIF('Quarterly Data'!$B:$B,'Annual Data'!$A152,'Quarterly Data'!R:R)</f>
        <v>0</v>
      </c>
      <c r="Q152">
        <f>SUMIF('Quarterly Data'!$B:$B,'Annual Data'!$A152,'Quarterly Data'!S:S)</f>
        <v>0</v>
      </c>
      <c r="R152" t="e">
        <f>AVERAGEIF('Quarterly Data'!$B:$B,'Annual Data'!$A152,'Quarterly Data'!T:T)</f>
        <v>#DIV/0!</v>
      </c>
      <c r="S152">
        <f>SUMIF('Quarterly Data'!$B:$B,'Annual Data'!$A152,'Quarterly Data'!U:U)</f>
        <v>0</v>
      </c>
      <c r="T152">
        <f>SUMIF('Quarterly Data'!$B:$B,'Annual Data'!$A152,'Quarterly Data'!V:V)</f>
        <v>0</v>
      </c>
      <c r="U152">
        <f>SUMIF('Quarterly Data'!$B:$B,'Annual Data'!$A152,'Quarterly Data'!W:W)</f>
        <v>0</v>
      </c>
      <c r="V152">
        <f>SUMIF('Quarterly Data'!$B:$B,'Annual Data'!$A152,'Quarterly Data'!X:X)</f>
        <v>0</v>
      </c>
      <c r="W152">
        <f>SUMIF('Quarterly Data'!$B:$B,'Annual Data'!$A152,'Quarterly Data'!Y:Y)</f>
        <v>0</v>
      </c>
      <c r="X152">
        <f>SUMIF('Quarterly Data'!$B:$B,'Annual Data'!$A152,'Quarterly Data'!Z:Z)</f>
        <v>0</v>
      </c>
      <c r="Y152">
        <f>SUMIF('Quarterly Data'!$B:$B,'Annual Data'!$A152,'Quarterly Data'!AA:AA)</f>
        <v>0</v>
      </c>
      <c r="Z152" t="e">
        <f>AVERAGEIF('Quarterly Data'!$B:$B,'Annual Data'!$A152,'Quarterly Data'!AB:AB)</f>
        <v>#DIV/0!</v>
      </c>
      <c r="AA152" t="e">
        <f>AVERAGEIF('Quarterly Data'!$B:$B,'Annual Data'!$A152,'Quarterly Data'!AC:AC)</f>
        <v>#DIV/0!</v>
      </c>
      <c r="AB152" t="e">
        <f>AVERAGEIF('Quarterly Data'!$B:$B,'Annual Data'!$A152,'Quarterly Data'!AD:AD)</f>
        <v>#DIV/0!</v>
      </c>
      <c r="AC152" t="e">
        <f>AVERAGEIF('Quarterly Data'!$B:$B,'Annual Data'!$A152,'Quarterly Data'!AE:AE)</f>
        <v>#DIV/0!</v>
      </c>
      <c r="AD152" t="e">
        <f>AVERAGEIF('Quarterly Data'!$B:$B,'Annual Data'!$A152,'Quarterly Data'!AF:AF)</f>
        <v>#DIV/0!</v>
      </c>
      <c r="AE152">
        <f>SUMIF('Quarterly Data'!$B:$B,'Annual Data'!$A152,'Quarterly Data'!AG:AG)</f>
        <v>0</v>
      </c>
    </row>
    <row r="153" spans="1:31" x14ac:dyDescent="0.25">
      <c r="A153">
        <v>2119</v>
      </c>
      <c r="B153">
        <f>SUMIF('Quarterly Data'!$B:$B,'Annual Data'!$A153,'Quarterly Data'!D:D)</f>
        <v>0</v>
      </c>
      <c r="C153" t="e">
        <f>AVERAGEIF('Quarterly Data'!$B:$B,'Annual Data'!$A153,'Quarterly Data'!E:E)</f>
        <v>#DIV/0!</v>
      </c>
      <c r="D153">
        <f>SUMIF('Quarterly Data'!$B:$B,'Annual Data'!$A153,'Quarterly Data'!F:F)</f>
        <v>0</v>
      </c>
      <c r="E153">
        <f>SUMIF('Quarterly Data'!$B:$B,'Annual Data'!$A153,'Quarterly Data'!G:G)</f>
        <v>0</v>
      </c>
      <c r="F153">
        <f>SUMIF('Quarterly Data'!$B:$B,'Annual Data'!$A153,'Quarterly Data'!H:H)</f>
        <v>0</v>
      </c>
      <c r="G153">
        <f>SUMIF('Quarterly Data'!$B:$B,'Annual Data'!$A153,'Quarterly Data'!I:I)</f>
        <v>0</v>
      </c>
      <c r="H153">
        <f>SUMIF('Quarterly Data'!$B:$B,'Annual Data'!$A153,'Quarterly Data'!J:J)</f>
        <v>0</v>
      </c>
      <c r="I153">
        <f>SUMIF('Quarterly Data'!$B:$B,'Annual Data'!$A153,'Quarterly Data'!K:K)</f>
        <v>0</v>
      </c>
      <c r="J153">
        <f>SUMIF('Quarterly Data'!$B:$B,'Annual Data'!$A153,'Quarterly Data'!L:L)</f>
        <v>0</v>
      </c>
      <c r="K153" t="e">
        <f>AVERAGEIF('Quarterly Data'!$B:$B,'Annual Data'!$A153,'Quarterly Data'!M:M)</f>
        <v>#DIV/0!</v>
      </c>
      <c r="L153" t="e">
        <f>AVERAGEIF('Quarterly Data'!$B:$B,'Annual Data'!$A153,'Quarterly Data'!N:N)</f>
        <v>#DIV/0!</v>
      </c>
      <c r="M153" t="e">
        <f>AVERAGEIF('Quarterly Data'!$B:$B,'Annual Data'!$A153,'Quarterly Data'!O:O)</f>
        <v>#DIV/0!</v>
      </c>
      <c r="N153" t="e">
        <f>AVERAGEIF('Quarterly Data'!$B:$B,'Annual Data'!$A153,'Quarterly Data'!P:P)</f>
        <v>#DIV/0!</v>
      </c>
      <c r="O153" t="e">
        <f>AVERAGEIF('Quarterly Data'!$B:$B,'Annual Data'!$A153,'Quarterly Data'!Q:Q)</f>
        <v>#DIV/0!</v>
      </c>
      <c r="P153">
        <f>SUMIF('Quarterly Data'!$B:$B,'Annual Data'!$A153,'Quarterly Data'!R:R)</f>
        <v>0</v>
      </c>
      <c r="Q153">
        <f>SUMIF('Quarterly Data'!$B:$B,'Annual Data'!$A153,'Quarterly Data'!S:S)</f>
        <v>0</v>
      </c>
      <c r="R153" t="e">
        <f>AVERAGEIF('Quarterly Data'!$B:$B,'Annual Data'!$A153,'Quarterly Data'!T:T)</f>
        <v>#DIV/0!</v>
      </c>
      <c r="S153">
        <f>SUMIF('Quarterly Data'!$B:$B,'Annual Data'!$A153,'Quarterly Data'!U:U)</f>
        <v>0</v>
      </c>
      <c r="T153">
        <f>SUMIF('Quarterly Data'!$B:$B,'Annual Data'!$A153,'Quarterly Data'!V:V)</f>
        <v>0</v>
      </c>
      <c r="U153">
        <f>SUMIF('Quarterly Data'!$B:$B,'Annual Data'!$A153,'Quarterly Data'!W:W)</f>
        <v>0</v>
      </c>
      <c r="V153">
        <f>SUMIF('Quarterly Data'!$B:$B,'Annual Data'!$A153,'Quarterly Data'!X:X)</f>
        <v>0</v>
      </c>
      <c r="W153">
        <f>SUMIF('Quarterly Data'!$B:$B,'Annual Data'!$A153,'Quarterly Data'!Y:Y)</f>
        <v>0</v>
      </c>
      <c r="X153">
        <f>SUMIF('Quarterly Data'!$B:$B,'Annual Data'!$A153,'Quarterly Data'!Z:Z)</f>
        <v>0</v>
      </c>
      <c r="Y153">
        <f>SUMIF('Quarterly Data'!$B:$B,'Annual Data'!$A153,'Quarterly Data'!AA:AA)</f>
        <v>0</v>
      </c>
      <c r="Z153" t="e">
        <f>AVERAGEIF('Quarterly Data'!$B:$B,'Annual Data'!$A153,'Quarterly Data'!AB:AB)</f>
        <v>#DIV/0!</v>
      </c>
      <c r="AA153" t="e">
        <f>AVERAGEIF('Quarterly Data'!$B:$B,'Annual Data'!$A153,'Quarterly Data'!AC:AC)</f>
        <v>#DIV/0!</v>
      </c>
      <c r="AB153" t="e">
        <f>AVERAGEIF('Quarterly Data'!$B:$B,'Annual Data'!$A153,'Quarterly Data'!AD:AD)</f>
        <v>#DIV/0!</v>
      </c>
      <c r="AC153" t="e">
        <f>AVERAGEIF('Quarterly Data'!$B:$B,'Annual Data'!$A153,'Quarterly Data'!AE:AE)</f>
        <v>#DIV/0!</v>
      </c>
      <c r="AD153" t="e">
        <f>AVERAGEIF('Quarterly Data'!$B:$B,'Annual Data'!$A153,'Quarterly Data'!AF:AF)</f>
        <v>#DIV/0!</v>
      </c>
      <c r="AE153">
        <f>SUMIF('Quarterly Data'!$B:$B,'Annual Data'!$A153,'Quarterly Data'!AG:AG)</f>
        <v>0</v>
      </c>
    </row>
    <row r="154" spans="1:31" x14ac:dyDescent="0.25">
      <c r="A154">
        <v>2120</v>
      </c>
      <c r="B154">
        <f>SUMIF('Quarterly Data'!$B:$B,'Annual Data'!$A154,'Quarterly Data'!D:D)</f>
        <v>0</v>
      </c>
      <c r="C154" t="e">
        <f>AVERAGEIF('Quarterly Data'!$B:$B,'Annual Data'!$A154,'Quarterly Data'!E:E)</f>
        <v>#DIV/0!</v>
      </c>
      <c r="D154">
        <f>SUMIF('Quarterly Data'!$B:$B,'Annual Data'!$A154,'Quarterly Data'!F:F)</f>
        <v>0</v>
      </c>
      <c r="E154">
        <f>SUMIF('Quarterly Data'!$B:$B,'Annual Data'!$A154,'Quarterly Data'!G:G)</f>
        <v>0</v>
      </c>
      <c r="F154">
        <f>SUMIF('Quarterly Data'!$B:$B,'Annual Data'!$A154,'Quarterly Data'!H:H)</f>
        <v>0</v>
      </c>
      <c r="G154">
        <f>SUMIF('Quarterly Data'!$B:$B,'Annual Data'!$A154,'Quarterly Data'!I:I)</f>
        <v>0</v>
      </c>
      <c r="H154">
        <f>SUMIF('Quarterly Data'!$B:$B,'Annual Data'!$A154,'Quarterly Data'!J:J)</f>
        <v>0</v>
      </c>
      <c r="I154">
        <f>SUMIF('Quarterly Data'!$B:$B,'Annual Data'!$A154,'Quarterly Data'!K:K)</f>
        <v>0</v>
      </c>
      <c r="J154">
        <f>SUMIF('Quarterly Data'!$B:$B,'Annual Data'!$A154,'Quarterly Data'!L:L)</f>
        <v>0</v>
      </c>
      <c r="K154" t="e">
        <f>AVERAGEIF('Quarterly Data'!$B:$B,'Annual Data'!$A154,'Quarterly Data'!M:M)</f>
        <v>#DIV/0!</v>
      </c>
      <c r="L154" t="e">
        <f>AVERAGEIF('Quarterly Data'!$B:$B,'Annual Data'!$A154,'Quarterly Data'!N:N)</f>
        <v>#DIV/0!</v>
      </c>
      <c r="M154" t="e">
        <f>AVERAGEIF('Quarterly Data'!$B:$B,'Annual Data'!$A154,'Quarterly Data'!O:O)</f>
        <v>#DIV/0!</v>
      </c>
      <c r="N154" t="e">
        <f>AVERAGEIF('Quarterly Data'!$B:$B,'Annual Data'!$A154,'Quarterly Data'!P:P)</f>
        <v>#DIV/0!</v>
      </c>
      <c r="O154" t="e">
        <f>AVERAGEIF('Quarterly Data'!$B:$B,'Annual Data'!$A154,'Quarterly Data'!Q:Q)</f>
        <v>#DIV/0!</v>
      </c>
      <c r="P154">
        <f>SUMIF('Quarterly Data'!$B:$B,'Annual Data'!$A154,'Quarterly Data'!R:R)</f>
        <v>0</v>
      </c>
      <c r="Q154">
        <f>SUMIF('Quarterly Data'!$B:$B,'Annual Data'!$A154,'Quarterly Data'!S:S)</f>
        <v>0</v>
      </c>
      <c r="R154" t="e">
        <f>AVERAGEIF('Quarterly Data'!$B:$B,'Annual Data'!$A154,'Quarterly Data'!T:T)</f>
        <v>#DIV/0!</v>
      </c>
      <c r="S154">
        <f>SUMIF('Quarterly Data'!$B:$B,'Annual Data'!$A154,'Quarterly Data'!U:U)</f>
        <v>0</v>
      </c>
      <c r="T154">
        <f>SUMIF('Quarterly Data'!$B:$B,'Annual Data'!$A154,'Quarterly Data'!V:V)</f>
        <v>0</v>
      </c>
      <c r="U154">
        <f>SUMIF('Quarterly Data'!$B:$B,'Annual Data'!$A154,'Quarterly Data'!W:W)</f>
        <v>0</v>
      </c>
      <c r="V154">
        <f>SUMIF('Quarterly Data'!$B:$B,'Annual Data'!$A154,'Quarterly Data'!X:X)</f>
        <v>0</v>
      </c>
      <c r="W154">
        <f>SUMIF('Quarterly Data'!$B:$B,'Annual Data'!$A154,'Quarterly Data'!Y:Y)</f>
        <v>0</v>
      </c>
      <c r="X154">
        <f>SUMIF('Quarterly Data'!$B:$B,'Annual Data'!$A154,'Quarterly Data'!Z:Z)</f>
        <v>0</v>
      </c>
      <c r="Y154">
        <f>SUMIF('Quarterly Data'!$B:$B,'Annual Data'!$A154,'Quarterly Data'!AA:AA)</f>
        <v>0</v>
      </c>
      <c r="Z154" t="e">
        <f>AVERAGEIF('Quarterly Data'!$B:$B,'Annual Data'!$A154,'Quarterly Data'!AB:AB)</f>
        <v>#DIV/0!</v>
      </c>
      <c r="AA154" t="e">
        <f>AVERAGEIF('Quarterly Data'!$B:$B,'Annual Data'!$A154,'Quarterly Data'!AC:AC)</f>
        <v>#DIV/0!</v>
      </c>
      <c r="AB154" t="e">
        <f>AVERAGEIF('Quarterly Data'!$B:$B,'Annual Data'!$A154,'Quarterly Data'!AD:AD)</f>
        <v>#DIV/0!</v>
      </c>
      <c r="AC154" t="e">
        <f>AVERAGEIF('Quarterly Data'!$B:$B,'Annual Data'!$A154,'Quarterly Data'!AE:AE)</f>
        <v>#DIV/0!</v>
      </c>
      <c r="AD154" t="e">
        <f>AVERAGEIF('Quarterly Data'!$B:$B,'Annual Data'!$A154,'Quarterly Data'!AF:AF)</f>
        <v>#DIV/0!</v>
      </c>
      <c r="AE154">
        <f>SUMIF('Quarterly Data'!$B:$B,'Annual Data'!$A154,'Quarterly Data'!AG:AG)</f>
        <v>0</v>
      </c>
    </row>
    <row r="155" spans="1:31" x14ac:dyDescent="0.25">
      <c r="A155">
        <v>2121</v>
      </c>
      <c r="B155">
        <f>SUMIF('Quarterly Data'!$B:$B,'Annual Data'!$A155,'Quarterly Data'!D:D)</f>
        <v>0</v>
      </c>
      <c r="C155" t="e">
        <f>AVERAGEIF('Quarterly Data'!$B:$B,'Annual Data'!$A155,'Quarterly Data'!E:E)</f>
        <v>#DIV/0!</v>
      </c>
      <c r="D155">
        <f>SUMIF('Quarterly Data'!$B:$B,'Annual Data'!$A155,'Quarterly Data'!F:F)</f>
        <v>0</v>
      </c>
      <c r="E155">
        <f>SUMIF('Quarterly Data'!$B:$B,'Annual Data'!$A155,'Quarterly Data'!G:G)</f>
        <v>0</v>
      </c>
      <c r="F155">
        <f>SUMIF('Quarterly Data'!$B:$B,'Annual Data'!$A155,'Quarterly Data'!H:H)</f>
        <v>0</v>
      </c>
      <c r="G155">
        <f>SUMIF('Quarterly Data'!$B:$B,'Annual Data'!$A155,'Quarterly Data'!I:I)</f>
        <v>0</v>
      </c>
      <c r="H155">
        <f>SUMIF('Quarterly Data'!$B:$B,'Annual Data'!$A155,'Quarterly Data'!J:J)</f>
        <v>0</v>
      </c>
      <c r="I155">
        <f>SUMIF('Quarterly Data'!$B:$B,'Annual Data'!$A155,'Quarterly Data'!K:K)</f>
        <v>0</v>
      </c>
      <c r="J155">
        <f>SUMIF('Quarterly Data'!$B:$B,'Annual Data'!$A155,'Quarterly Data'!L:L)</f>
        <v>0</v>
      </c>
      <c r="K155" t="e">
        <f>AVERAGEIF('Quarterly Data'!$B:$B,'Annual Data'!$A155,'Quarterly Data'!M:M)</f>
        <v>#DIV/0!</v>
      </c>
      <c r="L155" t="e">
        <f>AVERAGEIF('Quarterly Data'!$B:$B,'Annual Data'!$A155,'Quarterly Data'!N:N)</f>
        <v>#DIV/0!</v>
      </c>
      <c r="M155" t="e">
        <f>AVERAGEIF('Quarterly Data'!$B:$B,'Annual Data'!$A155,'Quarterly Data'!O:O)</f>
        <v>#DIV/0!</v>
      </c>
      <c r="N155" t="e">
        <f>AVERAGEIF('Quarterly Data'!$B:$B,'Annual Data'!$A155,'Quarterly Data'!P:P)</f>
        <v>#DIV/0!</v>
      </c>
      <c r="O155" t="e">
        <f>AVERAGEIF('Quarterly Data'!$B:$B,'Annual Data'!$A155,'Quarterly Data'!Q:Q)</f>
        <v>#DIV/0!</v>
      </c>
      <c r="P155">
        <f>SUMIF('Quarterly Data'!$B:$B,'Annual Data'!$A155,'Quarterly Data'!R:R)</f>
        <v>0</v>
      </c>
      <c r="Q155">
        <f>SUMIF('Quarterly Data'!$B:$B,'Annual Data'!$A155,'Quarterly Data'!S:S)</f>
        <v>0</v>
      </c>
      <c r="R155" t="e">
        <f>AVERAGEIF('Quarterly Data'!$B:$B,'Annual Data'!$A155,'Quarterly Data'!T:T)</f>
        <v>#DIV/0!</v>
      </c>
      <c r="S155">
        <f>SUMIF('Quarterly Data'!$B:$B,'Annual Data'!$A155,'Quarterly Data'!U:U)</f>
        <v>0</v>
      </c>
      <c r="T155">
        <f>SUMIF('Quarterly Data'!$B:$B,'Annual Data'!$A155,'Quarterly Data'!V:V)</f>
        <v>0</v>
      </c>
      <c r="U155">
        <f>SUMIF('Quarterly Data'!$B:$B,'Annual Data'!$A155,'Quarterly Data'!W:W)</f>
        <v>0</v>
      </c>
      <c r="V155">
        <f>SUMIF('Quarterly Data'!$B:$B,'Annual Data'!$A155,'Quarterly Data'!X:X)</f>
        <v>0</v>
      </c>
      <c r="W155">
        <f>SUMIF('Quarterly Data'!$B:$B,'Annual Data'!$A155,'Quarterly Data'!Y:Y)</f>
        <v>0</v>
      </c>
      <c r="X155">
        <f>SUMIF('Quarterly Data'!$B:$B,'Annual Data'!$A155,'Quarterly Data'!Z:Z)</f>
        <v>0</v>
      </c>
      <c r="Y155">
        <f>SUMIF('Quarterly Data'!$B:$B,'Annual Data'!$A155,'Quarterly Data'!AA:AA)</f>
        <v>0</v>
      </c>
      <c r="Z155" t="e">
        <f>AVERAGEIF('Quarterly Data'!$B:$B,'Annual Data'!$A155,'Quarterly Data'!AB:AB)</f>
        <v>#DIV/0!</v>
      </c>
      <c r="AA155" t="e">
        <f>AVERAGEIF('Quarterly Data'!$B:$B,'Annual Data'!$A155,'Quarterly Data'!AC:AC)</f>
        <v>#DIV/0!</v>
      </c>
      <c r="AB155" t="e">
        <f>AVERAGEIF('Quarterly Data'!$B:$B,'Annual Data'!$A155,'Quarterly Data'!AD:AD)</f>
        <v>#DIV/0!</v>
      </c>
      <c r="AC155" t="e">
        <f>AVERAGEIF('Quarterly Data'!$B:$B,'Annual Data'!$A155,'Quarterly Data'!AE:AE)</f>
        <v>#DIV/0!</v>
      </c>
      <c r="AD155" t="e">
        <f>AVERAGEIF('Quarterly Data'!$B:$B,'Annual Data'!$A155,'Quarterly Data'!AF:AF)</f>
        <v>#DIV/0!</v>
      </c>
      <c r="AE155">
        <f>SUMIF('Quarterly Data'!$B:$B,'Annual Data'!$A155,'Quarterly Data'!AG:AG)</f>
        <v>0</v>
      </c>
    </row>
    <row r="156" spans="1:31" x14ac:dyDescent="0.25">
      <c r="A156">
        <v>2122</v>
      </c>
      <c r="B156">
        <f>SUMIF('Quarterly Data'!$B:$B,'Annual Data'!$A156,'Quarterly Data'!D:D)</f>
        <v>0</v>
      </c>
      <c r="C156" t="e">
        <f>AVERAGEIF('Quarterly Data'!$B:$B,'Annual Data'!$A156,'Quarterly Data'!E:E)</f>
        <v>#DIV/0!</v>
      </c>
      <c r="D156">
        <f>SUMIF('Quarterly Data'!$B:$B,'Annual Data'!$A156,'Quarterly Data'!F:F)</f>
        <v>0</v>
      </c>
      <c r="E156">
        <f>SUMIF('Quarterly Data'!$B:$B,'Annual Data'!$A156,'Quarterly Data'!G:G)</f>
        <v>0</v>
      </c>
      <c r="F156">
        <f>SUMIF('Quarterly Data'!$B:$B,'Annual Data'!$A156,'Quarterly Data'!H:H)</f>
        <v>0</v>
      </c>
      <c r="G156">
        <f>SUMIF('Quarterly Data'!$B:$B,'Annual Data'!$A156,'Quarterly Data'!I:I)</f>
        <v>0</v>
      </c>
      <c r="H156">
        <f>SUMIF('Quarterly Data'!$B:$B,'Annual Data'!$A156,'Quarterly Data'!J:J)</f>
        <v>0</v>
      </c>
      <c r="I156">
        <f>SUMIF('Quarterly Data'!$B:$B,'Annual Data'!$A156,'Quarterly Data'!K:K)</f>
        <v>0</v>
      </c>
      <c r="J156">
        <f>SUMIF('Quarterly Data'!$B:$B,'Annual Data'!$A156,'Quarterly Data'!L:L)</f>
        <v>0</v>
      </c>
      <c r="K156" t="e">
        <f>AVERAGEIF('Quarterly Data'!$B:$B,'Annual Data'!$A156,'Quarterly Data'!M:M)</f>
        <v>#DIV/0!</v>
      </c>
      <c r="L156" t="e">
        <f>AVERAGEIF('Quarterly Data'!$B:$B,'Annual Data'!$A156,'Quarterly Data'!N:N)</f>
        <v>#DIV/0!</v>
      </c>
      <c r="M156" t="e">
        <f>AVERAGEIF('Quarterly Data'!$B:$B,'Annual Data'!$A156,'Quarterly Data'!O:O)</f>
        <v>#DIV/0!</v>
      </c>
      <c r="N156" t="e">
        <f>AVERAGEIF('Quarterly Data'!$B:$B,'Annual Data'!$A156,'Quarterly Data'!P:P)</f>
        <v>#DIV/0!</v>
      </c>
      <c r="O156" t="e">
        <f>AVERAGEIF('Quarterly Data'!$B:$B,'Annual Data'!$A156,'Quarterly Data'!Q:Q)</f>
        <v>#DIV/0!</v>
      </c>
      <c r="P156">
        <f>SUMIF('Quarterly Data'!$B:$B,'Annual Data'!$A156,'Quarterly Data'!R:R)</f>
        <v>0</v>
      </c>
      <c r="Q156">
        <f>SUMIF('Quarterly Data'!$B:$B,'Annual Data'!$A156,'Quarterly Data'!S:S)</f>
        <v>0</v>
      </c>
      <c r="R156" t="e">
        <f>AVERAGEIF('Quarterly Data'!$B:$B,'Annual Data'!$A156,'Quarterly Data'!T:T)</f>
        <v>#DIV/0!</v>
      </c>
      <c r="S156">
        <f>SUMIF('Quarterly Data'!$B:$B,'Annual Data'!$A156,'Quarterly Data'!U:U)</f>
        <v>0</v>
      </c>
      <c r="T156">
        <f>SUMIF('Quarterly Data'!$B:$B,'Annual Data'!$A156,'Quarterly Data'!V:V)</f>
        <v>0</v>
      </c>
      <c r="U156">
        <f>SUMIF('Quarterly Data'!$B:$B,'Annual Data'!$A156,'Quarterly Data'!W:W)</f>
        <v>0</v>
      </c>
      <c r="V156">
        <f>SUMIF('Quarterly Data'!$B:$B,'Annual Data'!$A156,'Quarterly Data'!X:X)</f>
        <v>0</v>
      </c>
      <c r="W156">
        <f>SUMIF('Quarterly Data'!$B:$B,'Annual Data'!$A156,'Quarterly Data'!Y:Y)</f>
        <v>0</v>
      </c>
      <c r="X156">
        <f>SUMIF('Quarterly Data'!$B:$B,'Annual Data'!$A156,'Quarterly Data'!Z:Z)</f>
        <v>0</v>
      </c>
      <c r="Y156">
        <f>SUMIF('Quarterly Data'!$B:$B,'Annual Data'!$A156,'Quarterly Data'!AA:AA)</f>
        <v>0</v>
      </c>
      <c r="Z156" t="e">
        <f>AVERAGEIF('Quarterly Data'!$B:$B,'Annual Data'!$A156,'Quarterly Data'!AB:AB)</f>
        <v>#DIV/0!</v>
      </c>
      <c r="AA156" t="e">
        <f>AVERAGEIF('Quarterly Data'!$B:$B,'Annual Data'!$A156,'Quarterly Data'!AC:AC)</f>
        <v>#DIV/0!</v>
      </c>
      <c r="AB156" t="e">
        <f>AVERAGEIF('Quarterly Data'!$B:$B,'Annual Data'!$A156,'Quarterly Data'!AD:AD)</f>
        <v>#DIV/0!</v>
      </c>
      <c r="AC156" t="e">
        <f>AVERAGEIF('Quarterly Data'!$B:$B,'Annual Data'!$A156,'Quarterly Data'!AE:AE)</f>
        <v>#DIV/0!</v>
      </c>
      <c r="AD156" t="e">
        <f>AVERAGEIF('Quarterly Data'!$B:$B,'Annual Data'!$A156,'Quarterly Data'!AF:AF)</f>
        <v>#DIV/0!</v>
      </c>
      <c r="AE156">
        <f>SUMIF('Quarterly Data'!$B:$B,'Annual Data'!$A156,'Quarterly Data'!AG:AG)</f>
        <v>0</v>
      </c>
    </row>
    <row r="157" spans="1:31" x14ac:dyDescent="0.25">
      <c r="A157">
        <v>2123</v>
      </c>
      <c r="B157">
        <f>SUMIF('Quarterly Data'!$B:$B,'Annual Data'!$A157,'Quarterly Data'!D:D)</f>
        <v>0</v>
      </c>
      <c r="C157" t="e">
        <f>AVERAGEIF('Quarterly Data'!$B:$B,'Annual Data'!$A157,'Quarterly Data'!E:E)</f>
        <v>#DIV/0!</v>
      </c>
      <c r="D157">
        <f>SUMIF('Quarterly Data'!$B:$B,'Annual Data'!$A157,'Quarterly Data'!F:F)</f>
        <v>0</v>
      </c>
      <c r="E157">
        <f>SUMIF('Quarterly Data'!$B:$B,'Annual Data'!$A157,'Quarterly Data'!G:G)</f>
        <v>0</v>
      </c>
      <c r="F157">
        <f>SUMIF('Quarterly Data'!$B:$B,'Annual Data'!$A157,'Quarterly Data'!H:H)</f>
        <v>0</v>
      </c>
      <c r="G157">
        <f>SUMIF('Quarterly Data'!$B:$B,'Annual Data'!$A157,'Quarterly Data'!I:I)</f>
        <v>0</v>
      </c>
      <c r="H157">
        <f>SUMIF('Quarterly Data'!$B:$B,'Annual Data'!$A157,'Quarterly Data'!J:J)</f>
        <v>0</v>
      </c>
      <c r="I157">
        <f>SUMIF('Quarterly Data'!$B:$B,'Annual Data'!$A157,'Quarterly Data'!K:K)</f>
        <v>0</v>
      </c>
      <c r="J157">
        <f>SUMIF('Quarterly Data'!$B:$B,'Annual Data'!$A157,'Quarterly Data'!L:L)</f>
        <v>0</v>
      </c>
      <c r="K157" t="e">
        <f>AVERAGEIF('Quarterly Data'!$B:$B,'Annual Data'!$A157,'Quarterly Data'!M:M)</f>
        <v>#DIV/0!</v>
      </c>
      <c r="L157" t="e">
        <f>AVERAGEIF('Quarterly Data'!$B:$B,'Annual Data'!$A157,'Quarterly Data'!N:N)</f>
        <v>#DIV/0!</v>
      </c>
      <c r="M157" t="e">
        <f>AVERAGEIF('Quarterly Data'!$B:$B,'Annual Data'!$A157,'Quarterly Data'!O:O)</f>
        <v>#DIV/0!</v>
      </c>
      <c r="N157" t="e">
        <f>AVERAGEIF('Quarterly Data'!$B:$B,'Annual Data'!$A157,'Quarterly Data'!P:P)</f>
        <v>#DIV/0!</v>
      </c>
      <c r="O157" t="e">
        <f>AVERAGEIF('Quarterly Data'!$B:$B,'Annual Data'!$A157,'Quarterly Data'!Q:Q)</f>
        <v>#DIV/0!</v>
      </c>
      <c r="P157">
        <f>SUMIF('Quarterly Data'!$B:$B,'Annual Data'!$A157,'Quarterly Data'!R:R)</f>
        <v>0</v>
      </c>
      <c r="Q157">
        <f>SUMIF('Quarterly Data'!$B:$B,'Annual Data'!$A157,'Quarterly Data'!S:S)</f>
        <v>0</v>
      </c>
      <c r="R157" t="e">
        <f>AVERAGEIF('Quarterly Data'!$B:$B,'Annual Data'!$A157,'Quarterly Data'!T:T)</f>
        <v>#DIV/0!</v>
      </c>
      <c r="S157">
        <f>SUMIF('Quarterly Data'!$B:$B,'Annual Data'!$A157,'Quarterly Data'!U:U)</f>
        <v>0</v>
      </c>
      <c r="T157">
        <f>SUMIF('Quarterly Data'!$B:$B,'Annual Data'!$A157,'Quarterly Data'!V:V)</f>
        <v>0</v>
      </c>
      <c r="U157">
        <f>SUMIF('Quarterly Data'!$B:$B,'Annual Data'!$A157,'Quarterly Data'!W:W)</f>
        <v>0</v>
      </c>
      <c r="V157">
        <f>SUMIF('Quarterly Data'!$B:$B,'Annual Data'!$A157,'Quarterly Data'!X:X)</f>
        <v>0</v>
      </c>
      <c r="W157">
        <f>SUMIF('Quarterly Data'!$B:$B,'Annual Data'!$A157,'Quarterly Data'!Y:Y)</f>
        <v>0</v>
      </c>
      <c r="X157">
        <f>SUMIF('Quarterly Data'!$B:$B,'Annual Data'!$A157,'Quarterly Data'!Z:Z)</f>
        <v>0</v>
      </c>
      <c r="Y157">
        <f>SUMIF('Quarterly Data'!$B:$B,'Annual Data'!$A157,'Quarterly Data'!AA:AA)</f>
        <v>0</v>
      </c>
      <c r="Z157" t="e">
        <f>AVERAGEIF('Quarterly Data'!$B:$B,'Annual Data'!$A157,'Quarterly Data'!AB:AB)</f>
        <v>#DIV/0!</v>
      </c>
      <c r="AA157" t="e">
        <f>AVERAGEIF('Quarterly Data'!$B:$B,'Annual Data'!$A157,'Quarterly Data'!AC:AC)</f>
        <v>#DIV/0!</v>
      </c>
      <c r="AB157" t="e">
        <f>AVERAGEIF('Quarterly Data'!$B:$B,'Annual Data'!$A157,'Quarterly Data'!AD:AD)</f>
        <v>#DIV/0!</v>
      </c>
      <c r="AC157" t="e">
        <f>AVERAGEIF('Quarterly Data'!$B:$B,'Annual Data'!$A157,'Quarterly Data'!AE:AE)</f>
        <v>#DIV/0!</v>
      </c>
      <c r="AD157" t="e">
        <f>AVERAGEIF('Quarterly Data'!$B:$B,'Annual Data'!$A157,'Quarterly Data'!AF:AF)</f>
        <v>#DIV/0!</v>
      </c>
      <c r="AE157">
        <f>SUMIF('Quarterly Data'!$B:$B,'Annual Data'!$A157,'Quarterly Data'!AG:AG)</f>
        <v>0</v>
      </c>
    </row>
    <row r="158" spans="1:31" x14ac:dyDescent="0.25">
      <c r="A158">
        <v>2124</v>
      </c>
      <c r="B158">
        <f>SUMIF('Quarterly Data'!$B:$B,'Annual Data'!$A158,'Quarterly Data'!D:D)</f>
        <v>0</v>
      </c>
      <c r="C158" t="e">
        <f>AVERAGEIF('Quarterly Data'!$B:$B,'Annual Data'!$A158,'Quarterly Data'!E:E)</f>
        <v>#DIV/0!</v>
      </c>
      <c r="D158">
        <f>SUMIF('Quarterly Data'!$B:$B,'Annual Data'!$A158,'Quarterly Data'!F:F)</f>
        <v>0</v>
      </c>
      <c r="E158">
        <f>SUMIF('Quarterly Data'!$B:$B,'Annual Data'!$A158,'Quarterly Data'!G:G)</f>
        <v>0</v>
      </c>
      <c r="F158">
        <f>SUMIF('Quarterly Data'!$B:$B,'Annual Data'!$A158,'Quarterly Data'!H:H)</f>
        <v>0</v>
      </c>
      <c r="G158">
        <f>SUMIF('Quarterly Data'!$B:$B,'Annual Data'!$A158,'Quarterly Data'!I:I)</f>
        <v>0</v>
      </c>
      <c r="H158">
        <f>SUMIF('Quarterly Data'!$B:$B,'Annual Data'!$A158,'Quarterly Data'!J:J)</f>
        <v>0</v>
      </c>
      <c r="I158">
        <f>SUMIF('Quarterly Data'!$B:$B,'Annual Data'!$A158,'Quarterly Data'!K:K)</f>
        <v>0</v>
      </c>
      <c r="J158">
        <f>SUMIF('Quarterly Data'!$B:$B,'Annual Data'!$A158,'Quarterly Data'!L:L)</f>
        <v>0</v>
      </c>
      <c r="K158" t="e">
        <f>AVERAGEIF('Quarterly Data'!$B:$B,'Annual Data'!$A158,'Quarterly Data'!M:M)</f>
        <v>#DIV/0!</v>
      </c>
      <c r="L158" t="e">
        <f>AVERAGEIF('Quarterly Data'!$B:$B,'Annual Data'!$A158,'Quarterly Data'!N:N)</f>
        <v>#DIV/0!</v>
      </c>
      <c r="M158" t="e">
        <f>AVERAGEIF('Quarterly Data'!$B:$B,'Annual Data'!$A158,'Quarterly Data'!O:O)</f>
        <v>#DIV/0!</v>
      </c>
      <c r="N158" t="e">
        <f>AVERAGEIF('Quarterly Data'!$B:$B,'Annual Data'!$A158,'Quarterly Data'!P:P)</f>
        <v>#DIV/0!</v>
      </c>
      <c r="O158" t="e">
        <f>AVERAGEIF('Quarterly Data'!$B:$B,'Annual Data'!$A158,'Quarterly Data'!Q:Q)</f>
        <v>#DIV/0!</v>
      </c>
      <c r="P158">
        <f>SUMIF('Quarterly Data'!$B:$B,'Annual Data'!$A158,'Quarterly Data'!R:R)</f>
        <v>0</v>
      </c>
      <c r="Q158">
        <f>SUMIF('Quarterly Data'!$B:$B,'Annual Data'!$A158,'Quarterly Data'!S:S)</f>
        <v>0</v>
      </c>
      <c r="R158" t="e">
        <f>AVERAGEIF('Quarterly Data'!$B:$B,'Annual Data'!$A158,'Quarterly Data'!T:T)</f>
        <v>#DIV/0!</v>
      </c>
      <c r="S158">
        <f>SUMIF('Quarterly Data'!$B:$B,'Annual Data'!$A158,'Quarterly Data'!U:U)</f>
        <v>0</v>
      </c>
      <c r="T158">
        <f>SUMIF('Quarterly Data'!$B:$B,'Annual Data'!$A158,'Quarterly Data'!V:V)</f>
        <v>0</v>
      </c>
      <c r="U158">
        <f>SUMIF('Quarterly Data'!$B:$B,'Annual Data'!$A158,'Quarterly Data'!W:W)</f>
        <v>0</v>
      </c>
      <c r="V158">
        <f>SUMIF('Quarterly Data'!$B:$B,'Annual Data'!$A158,'Quarterly Data'!X:X)</f>
        <v>0</v>
      </c>
      <c r="W158">
        <f>SUMIF('Quarterly Data'!$B:$B,'Annual Data'!$A158,'Quarterly Data'!Y:Y)</f>
        <v>0</v>
      </c>
      <c r="X158">
        <f>SUMIF('Quarterly Data'!$B:$B,'Annual Data'!$A158,'Quarterly Data'!Z:Z)</f>
        <v>0</v>
      </c>
      <c r="Y158">
        <f>SUMIF('Quarterly Data'!$B:$B,'Annual Data'!$A158,'Quarterly Data'!AA:AA)</f>
        <v>0</v>
      </c>
      <c r="Z158" t="e">
        <f>AVERAGEIF('Quarterly Data'!$B:$B,'Annual Data'!$A158,'Quarterly Data'!AB:AB)</f>
        <v>#DIV/0!</v>
      </c>
      <c r="AA158" t="e">
        <f>AVERAGEIF('Quarterly Data'!$B:$B,'Annual Data'!$A158,'Quarterly Data'!AC:AC)</f>
        <v>#DIV/0!</v>
      </c>
      <c r="AB158" t="e">
        <f>AVERAGEIF('Quarterly Data'!$B:$B,'Annual Data'!$A158,'Quarterly Data'!AD:AD)</f>
        <v>#DIV/0!</v>
      </c>
      <c r="AC158" t="e">
        <f>AVERAGEIF('Quarterly Data'!$B:$B,'Annual Data'!$A158,'Quarterly Data'!AE:AE)</f>
        <v>#DIV/0!</v>
      </c>
      <c r="AD158" t="e">
        <f>AVERAGEIF('Quarterly Data'!$B:$B,'Annual Data'!$A158,'Quarterly Data'!AF:AF)</f>
        <v>#DIV/0!</v>
      </c>
      <c r="AE158">
        <f>SUMIF('Quarterly Data'!$B:$B,'Annual Data'!$A158,'Quarterly Data'!AG:AG)</f>
        <v>0</v>
      </c>
    </row>
    <row r="159" spans="1:31" x14ac:dyDescent="0.25">
      <c r="A159">
        <v>2125</v>
      </c>
      <c r="B159">
        <f>SUMIF('Quarterly Data'!$B:$B,'Annual Data'!$A159,'Quarterly Data'!D:D)</f>
        <v>0</v>
      </c>
      <c r="C159" t="e">
        <f>AVERAGEIF('Quarterly Data'!$B:$B,'Annual Data'!$A159,'Quarterly Data'!E:E)</f>
        <v>#DIV/0!</v>
      </c>
      <c r="D159">
        <f>SUMIF('Quarterly Data'!$B:$B,'Annual Data'!$A159,'Quarterly Data'!F:F)</f>
        <v>0</v>
      </c>
      <c r="E159">
        <f>SUMIF('Quarterly Data'!$B:$B,'Annual Data'!$A159,'Quarterly Data'!G:G)</f>
        <v>0</v>
      </c>
      <c r="F159">
        <f>SUMIF('Quarterly Data'!$B:$B,'Annual Data'!$A159,'Quarterly Data'!H:H)</f>
        <v>0</v>
      </c>
      <c r="G159">
        <f>SUMIF('Quarterly Data'!$B:$B,'Annual Data'!$A159,'Quarterly Data'!I:I)</f>
        <v>0</v>
      </c>
      <c r="H159">
        <f>SUMIF('Quarterly Data'!$B:$B,'Annual Data'!$A159,'Quarterly Data'!J:J)</f>
        <v>0</v>
      </c>
      <c r="I159">
        <f>SUMIF('Quarterly Data'!$B:$B,'Annual Data'!$A159,'Quarterly Data'!K:K)</f>
        <v>0</v>
      </c>
      <c r="J159">
        <f>SUMIF('Quarterly Data'!$B:$B,'Annual Data'!$A159,'Quarterly Data'!L:L)</f>
        <v>0</v>
      </c>
      <c r="K159" t="e">
        <f>AVERAGEIF('Quarterly Data'!$B:$B,'Annual Data'!$A159,'Quarterly Data'!M:M)</f>
        <v>#DIV/0!</v>
      </c>
      <c r="L159" t="e">
        <f>AVERAGEIF('Quarterly Data'!$B:$B,'Annual Data'!$A159,'Quarterly Data'!N:N)</f>
        <v>#DIV/0!</v>
      </c>
      <c r="M159" t="e">
        <f>AVERAGEIF('Quarterly Data'!$B:$B,'Annual Data'!$A159,'Quarterly Data'!O:O)</f>
        <v>#DIV/0!</v>
      </c>
      <c r="N159" t="e">
        <f>AVERAGEIF('Quarterly Data'!$B:$B,'Annual Data'!$A159,'Quarterly Data'!P:P)</f>
        <v>#DIV/0!</v>
      </c>
      <c r="O159" t="e">
        <f>AVERAGEIF('Quarterly Data'!$B:$B,'Annual Data'!$A159,'Quarterly Data'!Q:Q)</f>
        <v>#DIV/0!</v>
      </c>
      <c r="P159">
        <f>SUMIF('Quarterly Data'!$B:$B,'Annual Data'!$A159,'Quarterly Data'!R:R)</f>
        <v>0</v>
      </c>
      <c r="Q159">
        <f>SUMIF('Quarterly Data'!$B:$B,'Annual Data'!$A159,'Quarterly Data'!S:S)</f>
        <v>0</v>
      </c>
      <c r="R159" t="e">
        <f>AVERAGEIF('Quarterly Data'!$B:$B,'Annual Data'!$A159,'Quarterly Data'!T:T)</f>
        <v>#DIV/0!</v>
      </c>
      <c r="S159">
        <f>SUMIF('Quarterly Data'!$B:$B,'Annual Data'!$A159,'Quarterly Data'!U:U)</f>
        <v>0</v>
      </c>
      <c r="T159">
        <f>SUMIF('Quarterly Data'!$B:$B,'Annual Data'!$A159,'Quarterly Data'!V:V)</f>
        <v>0</v>
      </c>
      <c r="U159">
        <f>SUMIF('Quarterly Data'!$B:$B,'Annual Data'!$A159,'Quarterly Data'!W:W)</f>
        <v>0</v>
      </c>
      <c r="V159">
        <f>SUMIF('Quarterly Data'!$B:$B,'Annual Data'!$A159,'Quarterly Data'!X:X)</f>
        <v>0</v>
      </c>
      <c r="W159">
        <f>SUMIF('Quarterly Data'!$B:$B,'Annual Data'!$A159,'Quarterly Data'!Y:Y)</f>
        <v>0</v>
      </c>
      <c r="X159">
        <f>SUMIF('Quarterly Data'!$B:$B,'Annual Data'!$A159,'Quarterly Data'!Z:Z)</f>
        <v>0</v>
      </c>
      <c r="Y159">
        <f>SUMIF('Quarterly Data'!$B:$B,'Annual Data'!$A159,'Quarterly Data'!AA:AA)</f>
        <v>0</v>
      </c>
      <c r="Z159" t="e">
        <f>AVERAGEIF('Quarterly Data'!$B:$B,'Annual Data'!$A159,'Quarterly Data'!AB:AB)</f>
        <v>#DIV/0!</v>
      </c>
      <c r="AA159" t="e">
        <f>AVERAGEIF('Quarterly Data'!$B:$B,'Annual Data'!$A159,'Quarterly Data'!AC:AC)</f>
        <v>#DIV/0!</v>
      </c>
      <c r="AB159" t="e">
        <f>AVERAGEIF('Quarterly Data'!$B:$B,'Annual Data'!$A159,'Quarterly Data'!AD:AD)</f>
        <v>#DIV/0!</v>
      </c>
      <c r="AC159" t="e">
        <f>AVERAGEIF('Quarterly Data'!$B:$B,'Annual Data'!$A159,'Quarterly Data'!AE:AE)</f>
        <v>#DIV/0!</v>
      </c>
      <c r="AD159" t="e">
        <f>AVERAGEIF('Quarterly Data'!$B:$B,'Annual Data'!$A159,'Quarterly Data'!AF:AF)</f>
        <v>#DIV/0!</v>
      </c>
      <c r="AE159">
        <f>SUMIF('Quarterly Data'!$B:$B,'Annual Data'!$A159,'Quarterly Data'!AG:AG)</f>
        <v>0</v>
      </c>
    </row>
    <row r="160" spans="1:31" x14ac:dyDescent="0.25">
      <c r="A160">
        <v>2126</v>
      </c>
      <c r="B160">
        <f>SUMIF('Quarterly Data'!$B:$B,'Annual Data'!$A160,'Quarterly Data'!D:D)</f>
        <v>0</v>
      </c>
      <c r="C160" t="e">
        <f>AVERAGEIF('Quarterly Data'!$B:$B,'Annual Data'!$A160,'Quarterly Data'!E:E)</f>
        <v>#DIV/0!</v>
      </c>
      <c r="D160">
        <f>SUMIF('Quarterly Data'!$B:$B,'Annual Data'!$A160,'Quarterly Data'!F:F)</f>
        <v>0</v>
      </c>
      <c r="E160">
        <f>SUMIF('Quarterly Data'!$B:$B,'Annual Data'!$A160,'Quarterly Data'!G:G)</f>
        <v>0</v>
      </c>
      <c r="F160">
        <f>SUMIF('Quarterly Data'!$B:$B,'Annual Data'!$A160,'Quarterly Data'!H:H)</f>
        <v>0</v>
      </c>
      <c r="G160">
        <f>SUMIF('Quarterly Data'!$B:$B,'Annual Data'!$A160,'Quarterly Data'!I:I)</f>
        <v>0</v>
      </c>
      <c r="H160">
        <f>SUMIF('Quarterly Data'!$B:$B,'Annual Data'!$A160,'Quarterly Data'!J:J)</f>
        <v>0</v>
      </c>
      <c r="I160">
        <f>SUMIF('Quarterly Data'!$B:$B,'Annual Data'!$A160,'Quarterly Data'!K:K)</f>
        <v>0</v>
      </c>
      <c r="J160">
        <f>SUMIF('Quarterly Data'!$B:$B,'Annual Data'!$A160,'Quarterly Data'!L:L)</f>
        <v>0</v>
      </c>
      <c r="K160" t="e">
        <f>AVERAGEIF('Quarterly Data'!$B:$B,'Annual Data'!$A160,'Quarterly Data'!M:M)</f>
        <v>#DIV/0!</v>
      </c>
      <c r="L160" t="e">
        <f>AVERAGEIF('Quarterly Data'!$B:$B,'Annual Data'!$A160,'Quarterly Data'!N:N)</f>
        <v>#DIV/0!</v>
      </c>
      <c r="M160" t="e">
        <f>AVERAGEIF('Quarterly Data'!$B:$B,'Annual Data'!$A160,'Quarterly Data'!O:O)</f>
        <v>#DIV/0!</v>
      </c>
      <c r="N160" t="e">
        <f>AVERAGEIF('Quarterly Data'!$B:$B,'Annual Data'!$A160,'Quarterly Data'!P:P)</f>
        <v>#DIV/0!</v>
      </c>
      <c r="O160" t="e">
        <f>AVERAGEIF('Quarterly Data'!$B:$B,'Annual Data'!$A160,'Quarterly Data'!Q:Q)</f>
        <v>#DIV/0!</v>
      </c>
      <c r="P160">
        <f>SUMIF('Quarterly Data'!$B:$B,'Annual Data'!$A160,'Quarterly Data'!R:R)</f>
        <v>0</v>
      </c>
      <c r="Q160">
        <f>SUMIF('Quarterly Data'!$B:$B,'Annual Data'!$A160,'Quarterly Data'!S:S)</f>
        <v>0</v>
      </c>
      <c r="R160" t="e">
        <f>AVERAGEIF('Quarterly Data'!$B:$B,'Annual Data'!$A160,'Quarterly Data'!T:T)</f>
        <v>#DIV/0!</v>
      </c>
      <c r="S160">
        <f>SUMIF('Quarterly Data'!$B:$B,'Annual Data'!$A160,'Quarterly Data'!U:U)</f>
        <v>0</v>
      </c>
      <c r="T160">
        <f>SUMIF('Quarterly Data'!$B:$B,'Annual Data'!$A160,'Quarterly Data'!V:V)</f>
        <v>0</v>
      </c>
      <c r="U160">
        <f>SUMIF('Quarterly Data'!$B:$B,'Annual Data'!$A160,'Quarterly Data'!W:W)</f>
        <v>0</v>
      </c>
      <c r="V160">
        <f>SUMIF('Quarterly Data'!$B:$B,'Annual Data'!$A160,'Quarterly Data'!X:X)</f>
        <v>0</v>
      </c>
      <c r="W160">
        <f>SUMIF('Quarterly Data'!$B:$B,'Annual Data'!$A160,'Quarterly Data'!Y:Y)</f>
        <v>0</v>
      </c>
      <c r="X160">
        <f>SUMIF('Quarterly Data'!$B:$B,'Annual Data'!$A160,'Quarterly Data'!Z:Z)</f>
        <v>0</v>
      </c>
      <c r="Y160">
        <f>SUMIF('Quarterly Data'!$B:$B,'Annual Data'!$A160,'Quarterly Data'!AA:AA)</f>
        <v>0</v>
      </c>
      <c r="Z160" t="e">
        <f>AVERAGEIF('Quarterly Data'!$B:$B,'Annual Data'!$A160,'Quarterly Data'!AB:AB)</f>
        <v>#DIV/0!</v>
      </c>
      <c r="AA160" t="e">
        <f>AVERAGEIF('Quarterly Data'!$B:$B,'Annual Data'!$A160,'Quarterly Data'!AC:AC)</f>
        <v>#DIV/0!</v>
      </c>
      <c r="AB160" t="e">
        <f>AVERAGEIF('Quarterly Data'!$B:$B,'Annual Data'!$A160,'Quarterly Data'!AD:AD)</f>
        <v>#DIV/0!</v>
      </c>
      <c r="AC160" t="e">
        <f>AVERAGEIF('Quarterly Data'!$B:$B,'Annual Data'!$A160,'Quarterly Data'!AE:AE)</f>
        <v>#DIV/0!</v>
      </c>
      <c r="AD160" t="e">
        <f>AVERAGEIF('Quarterly Data'!$B:$B,'Annual Data'!$A160,'Quarterly Data'!AF:AF)</f>
        <v>#DIV/0!</v>
      </c>
      <c r="AE160">
        <f>SUMIF('Quarterly Data'!$B:$B,'Annual Data'!$A160,'Quarterly Data'!AG:AG)</f>
        <v>0</v>
      </c>
    </row>
    <row r="161" spans="1:31" x14ac:dyDescent="0.25">
      <c r="A161">
        <v>2127</v>
      </c>
      <c r="B161">
        <f>SUMIF('Quarterly Data'!$B:$B,'Annual Data'!$A161,'Quarterly Data'!D:D)</f>
        <v>0</v>
      </c>
      <c r="C161" t="e">
        <f>AVERAGEIF('Quarterly Data'!$B:$B,'Annual Data'!$A161,'Quarterly Data'!E:E)</f>
        <v>#DIV/0!</v>
      </c>
      <c r="D161">
        <f>SUMIF('Quarterly Data'!$B:$B,'Annual Data'!$A161,'Quarterly Data'!F:F)</f>
        <v>0</v>
      </c>
      <c r="E161">
        <f>SUMIF('Quarterly Data'!$B:$B,'Annual Data'!$A161,'Quarterly Data'!G:G)</f>
        <v>0</v>
      </c>
      <c r="F161">
        <f>SUMIF('Quarterly Data'!$B:$B,'Annual Data'!$A161,'Quarterly Data'!H:H)</f>
        <v>0</v>
      </c>
      <c r="G161">
        <f>SUMIF('Quarterly Data'!$B:$B,'Annual Data'!$A161,'Quarterly Data'!I:I)</f>
        <v>0</v>
      </c>
      <c r="H161">
        <f>SUMIF('Quarterly Data'!$B:$B,'Annual Data'!$A161,'Quarterly Data'!J:J)</f>
        <v>0</v>
      </c>
      <c r="I161">
        <f>SUMIF('Quarterly Data'!$B:$B,'Annual Data'!$A161,'Quarterly Data'!K:K)</f>
        <v>0</v>
      </c>
      <c r="J161">
        <f>SUMIF('Quarterly Data'!$B:$B,'Annual Data'!$A161,'Quarterly Data'!L:L)</f>
        <v>0</v>
      </c>
      <c r="K161" t="e">
        <f>AVERAGEIF('Quarterly Data'!$B:$B,'Annual Data'!$A161,'Quarterly Data'!M:M)</f>
        <v>#DIV/0!</v>
      </c>
      <c r="L161" t="e">
        <f>AVERAGEIF('Quarterly Data'!$B:$B,'Annual Data'!$A161,'Quarterly Data'!N:N)</f>
        <v>#DIV/0!</v>
      </c>
      <c r="M161" t="e">
        <f>AVERAGEIF('Quarterly Data'!$B:$B,'Annual Data'!$A161,'Quarterly Data'!O:O)</f>
        <v>#DIV/0!</v>
      </c>
      <c r="N161" t="e">
        <f>AVERAGEIF('Quarterly Data'!$B:$B,'Annual Data'!$A161,'Quarterly Data'!P:P)</f>
        <v>#DIV/0!</v>
      </c>
      <c r="O161" t="e">
        <f>AVERAGEIF('Quarterly Data'!$B:$B,'Annual Data'!$A161,'Quarterly Data'!Q:Q)</f>
        <v>#DIV/0!</v>
      </c>
      <c r="P161">
        <f>SUMIF('Quarterly Data'!$B:$B,'Annual Data'!$A161,'Quarterly Data'!R:R)</f>
        <v>0</v>
      </c>
      <c r="Q161">
        <f>SUMIF('Quarterly Data'!$B:$B,'Annual Data'!$A161,'Quarterly Data'!S:S)</f>
        <v>0</v>
      </c>
      <c r="R161" t="e">
        <f>AVERAGEIF('Quarterly Data'!$B:$B,'Annual Data'!$A161,'Quarterly Data'!T:T)</f>
        <v>#DIV/0!</v>
      </c>
      <c r="S161">
        <f>SUMIF('Quarterly Data'!$B:$B,'Annual Data'!$A161,'Quarterly Data'!U:U)</f>
        <v>0</v>
      </c>
      <c r="T161">
        <f>SUMIF('Quarterly Data'!$B:$B,'Annual Data'!$A161,'Quarterly Data'!V:V)</f>
        <v>0</v>
      </c>
      <c r="U161">
        <f>SUMIF('Quarterly Data'!$B:$B,'Annual Data'!$A161,'Quarterly Data'!W:W)</f>
        <v>0</v>
      </c>
      <c r="V161">
        <f>SUMIF('Quarterly Data'!$B:$B,'Annual Data'!$A161,'Quarterly Data'!X:X)</f>
        <v>0</v>
      </c>
      <c r="W161">
        <f>SUMIF('Quarterly Data'!$B:$B,'Annual Data'!$A161,'Quarterly Data'!Y:Y)</f>
        <v>0</v>
      </c>
      <c r="X161">
        <f>SUMIF('Quarterly Data'!$B:$B,'Annual Data'!$A161,'Quarterly Data'!Z:Z)</f>
        <v>0</v>
      </c>
      <c r="Y161">
        <f>SUMIF('Quarterly Data'!$B:$B,'Annual Data'!$A161,'Quarterly Data'!AA:AA)</f>
        <v>0</v>
      </c>
      <c r="Z161" t="e">
        <f>AVERAGEIF('Quarterly Data'!$B:$B,'Annual Data'!$A161,'Quarterly Data'!AB:AB)</f>
        <v>#DIV/0!</v>
      </c>
      <c r="AA161" t="e">
        <f>AVERAGEIF('Quarterly Data'!$B:$B,'Annual Data'!$A161,'Quarterly Data'!AC:AC)</f>
        <v>#DIV/0!</v>
      </c>
      <c r="AB161" t="e">
        <f>AVERAGEIF('Quarterly Data'!$B:$B,'Annual Data'!$A161,'Quarterly Data'!AD:AD)</f>
        <v>#DIV/0!</v>
      </c>
      <c r="AC161" t="e">
        <f>AVERAGEIF('Quarterly Data'!$B:$B,'Annual Data'!$A161,'Quarterly Data'!AE:AE)</f>
        <v>#DIV/0!</v>
      </c>
      <c r="AD161" t="e">
        <f>AVERAGEIF('Quarterly Data'!$B:$B,'Annual Data'!$A161,'Quarterly Data'!AF:AF)</f>
        <v>#DIV/0!</v>
      </c>
      <c r="AE161">
        <f>SUMIF('Quarterly Data'!$B:$B,'Annual Data'!$A161,'Quarterly Data'!AG:AG)</f>
        <v>0</v>
      </c>
    </row>
    <row r="162" spans="1:31" x14ac:dyDescent="0.25">
      <c r="A162">
        <v>2128</v>
      </c>
      <c r="B162">
        <f>SUMIF('Quarterly Data'!$B:$B,'Annual Data'!$A162,'Quarterly Data'!D:D)</f>
        <v>0</v>
      </c>
      <c r="C162" t="e">
        <f>AVERAGEIF('Quarterly Data'!$B:$B,'Annual Data'!$A162,'Quarterly Data'!E:E)</f>
        <v>#DIV/0!</v>
      </c>
      <c r="D162">
        <f>SUMIF('Quarterly Data'!$B:$B,'Annual Data'!$A162,'Quarterly Data'!F:F)</f>
        <v>0</v>
      </c>
      <c r="E162">
        <f>SUMIF('Quarterly Data'!$B:$B,'Annual Data'!$A162,'Quarterly Data'!G:G)</f>
        <v>0</v>
      </c>
      <c r="F162">
        <f>SUMIF('Quarterly Data'!$B:$B,'Annual Data'!$A162,'Quarterly Data'!H:H)</f>
        <v>0</v>
      </c>
      <c r="G162">
        <f>SUMIF('Quarterly Data'!$B:$B,'Annual Data'!$A162,'Quarterly Data'!I:I)</f>
        <v>0</v>
      </c>
      <c r="H162">
        <f>SUMIF('Quarterly Data'!$B:$B,'Annual Data'!$A162,'Quarterly Data'!J:J)</f>
        <v>0</v>
      </c>
      <c r="I162">
        <f>SUMIF('Quarterly Data'!$B:$B,'Annual Data'!$A162,'Quarterly Data'!K:K)</f>
        <v>0</v>
      </c>
      <c r="J162">
        <f>SUMIF('Quarterly Data'!$B:$B,'Annual Data'!$A162,'Quarterly Data'!L:L)</f>
        <v>0</v>
      </c>
      <c r="K162" t="e">
        <f>AVERAGEIF('Quarterly Data'!$B:$B,'Annual Data'!$A162,'Quarterly Data'!M:M)</f>
        <v>#DIV/0!</v>
      </c>
      <c r="L162" t="e">
        <f>AVERAGEIF('Quarterly Data'!$B:$B,'Annual Data'!$A162,'Quarterly Data'!N:N)</f>
        <v>#DIV/0!</v>
      </c>
      <c r="M162" t="e">
        <f>AVERAGEIF('Quarterly Data'!$B:$B,'Annual Data'!$A162,'Quarterly Data'!O:O)</f>
        <v>#DIV/0!</v>
      </c>
      <c r="N162" t="e">
        <f>AVERAGEIF('Quarterly Data'!$B:$B,'Annual Data'!$A162,'Quarterly Data'!P:P)</f>
        <v>#DIV/0!</v>
      </c>
      <c r="O162" t="e">
        <f>AVERAGEIF('Quarterly Data'!$B:$B,'Annual Data'!$A162,'Quarterly Data'!Q:Q)</f>
        <v>#DIV/0!</v>
      </c>
      <c r="P162">
        <f>SUMIF('Quarterly Data'!$B:$B,'Annual Data'!$A162,'Quarterly Data'!R:R)</f>
        <v>0</v>
      </c>
      <c r="Q162">
        <f>SUMIF('Quarterly Data'!$B:$B,'Annual Data'!$A162,'Quarterly Data'!S:S)</f>
        <v>0</v>
      </c>
      <c r="R162" t="e">
        <f>AVERAGEIF('Quarterly Data'!$B:$B,'Annual Data'!$A162,'Quarterly Data'!T:T)</f>
        <v>#DIV/0!</v>
      </c>
      <c r="S162">
        <f>SUMIF('Quarterly Data'!$B:$B,'Annual Data'!$A162,'Quarterly Data'!U:U)</f>
        <v>0</v>
      </c>
      <c r="T162">
        <f>SUMIF('Quarterly Data'!$B:$B,'Annual Data'!$A162,'Quarterly Data'!V:V)</f>
        <v>0</v>
      </c>
      <c r="U162">
        <f>SUMIF('Quarterly Data'!$B:$B,'Annual Data'!$A162,'Quarterly Data'!W:W)</f>
        <v>0</v>
      </c>
      <c r="V162">
        <f>SUMIF('Quarterly Data'!$B:$B,'Annual Data'!$A162,'Quarterly Data'!X:X)</f>
        <v>0</v>
      </c>
      <c r="W162">
        <f>SUMIF('Quarterly Data'!$B:$B,'Annual Data'!$A162,'Quarterly Data'!Y:Y)</f>
        <v>0</v>
      </c>
      <c r="X162">
        <f>SUMIF('Quarterly Data'!$B:$B,'Annual Data'!$A162,'Quarterly Data'!Z:Z)</f>
        <v>0</v>
      </c>
      <c r="Y162">
        <f>SUMIF('Quarterly Data'!$B:$B,'Annual Data'!$A162,'Quarterly Data'!AA:AA)</f>
        <v>0</v>
      </c>
      <c r="Z162" t="e">
        <f>AVERAGEIF('Quarterly Data'!$B:$B,'Annual Data'!$A162,'Quarterly Data'!AB:AB)</f>
        <v>#DIV/0!</v>
      </c>
      <c r="AA162" t="e">
        <f>AVERAGEIF('Quarterly Data'!$B:$B,'Annual Data'!$A162,'Quarterly Data'!AC:AC)</f>
        <v>#DIV/0!</v>
      </c>
      <c r="AB162" t="e">
        <f>AVERAGEIF('Quarterly Data'!$B:$B,'Annual Data'!$A162,'Quarterly Data'!AD:AD)</f>
        <v>#DIV/0!</v>
      </c>
      <c r="AC162" t="e">
        <f>AVERAGEIF('Quarterly Data'!$B:$B,'Annual Data'!$A162,'Quarterly Data'!AE:AE)</f>
        <v>#DIV/0!</v>
      </c>
      <c r="AD162" t="e">
        <f>AVERAGEIF('Quarterly Data'!$B:$B,'Annual Data'!$A162,'Quarterly Data'!AF:AF)</f>
        <v>#DIV/0!</v>
      </c>
      <c r="AE162">
        <f>SUMIF('Quarterly Data'!$B:$B,'Annual Data'!$A162,'Quarterly Data'!AG:AG)</f>
        <v>0</v>
      </c>
    </row>
    <row r="163" spans="1:31" x14ac:dyDescent="0.25">
      <c r="A163">
        <v>2129</v>
      </c>
      <c r="B163">
        <f>SUMIF('Quarterly Data'!$B:$B,'Annual Data'!$A163,'Quarterly Data'!D:D)</f>
        <v>0</v>
      </c>
      <c r="C163" t="e">
        <f>AVERAGEIF('Quarterly Data'!$B:$B,'Annual Data'!$A163,'Quarterly Data'!E:E)</f>
        <v>#DIV/0!</v>
      </c>
      <c r="D163">
        <f>SUMIF('Quarterly Data'!$B:$B,'Annual Data'!$A163,'Quarterly Data'!F:F)</f>
        <v>0</v>
      </c>
      <c r="E163">
        <f>SUMIF('Quarterly Data'!$B:$B,'Annual Data'!$A163,'Quarterly Data'!G:G)</f>
        <v>0</v>
      </c>
      <c r="F163">
        <f>SUMIF('Quarterly Data'!$B:$B,'Annual Data'!$A163,'Quarterly Data'!H:H)</f>
        <v>0</v>
      </c>
      <c r="G163">
        <f>SUMIF('Quarterly Data'!$B:$B,'Annual Data'!$A163,'Quarterly Data'!I:I)</f>
        <v>0</v>
      </c>
      <c r="H163">
        <f>SUMIF('Quarterly Data'!$B:$B,'Annual Data'!$A163,'Quarterly Data'!J:J)</f>
        <v>0</v>
      </c>
      <c r="I163">
        <f>SUMIF('Quarterly Data'!$B:$B,'Annual Data'!$A163,'Quarterly Data'!K:K)</f>
        <v>0</v>
      </c>
      <c r="J163">
        <f>SUMIF('Quarterly Data'!$B:$B,'Annual Data'!$A163,'Quarterly Data'!L:L)</f>
        <v>0</v>
      </c>
      <c r="K163" t="e">
        <f>AVERAGEIF('Quarterly Data'!$B:$B,'Annual Data'!$A163,'Quarterly Data'!M:M)</f>
        <v>#DIV/0!</v>
      </c>
      <c r="L163" t="e">
        <f>AVERAGEIF('Quarterly Data'!$B:$B,'Annual Data'!$A163,'Quarterly Data'!N:N)</f>
        <v>#DIV/0!</v>
      </c>
      <c r="M163" t="e">
        <f>AVERAGEIF('Quarterly Data'!$B:$B,'Annual Data'!$A163,'Quarterly Data'!O:O)</f>
        <v>#DIV/0!</v>
      </c>
      <c r="N163" t="e">
        <f>AVERAGEIF('Quarterly Data'!$B:$B,'Annual Data'!$A163,'Quarterly Data'!P:P)</f>
        <v>#DIV/0!</v>
      </c>
      <c r="O163" t="e">
        <f>AVERAGEIF('Quarterly Data'!$B:$B,'Annual Data'!$A163,'Quarterly Data'!Q:Q)</f>
        <v>#DIV/0!</v>
      </c>
      <c r="P163">
        <f>SUMIF('Quarterly Data'!$B:$B,'Annual Data'!$A163,'Quarterly Data'!R:R)</f>
        <v>0</v>
      </c>
      <c r="Q163">
        <f>SUMIF('Quarterly Data'!$B:$B,'Annual Data'!$A163,'Quarterly Data'!S:S)</f>
        <v>0</v>
      </c>
      <c r="R163" t="e">
        <f>AVERAGEIF('Quarterly Data'!$B:$B,'Annual Data'!$A163,'Quarterly Data'!T:T)</f>
        <v>#DIV/0!</v>
      </c>
      <c r="S163">
        <f>SUMIF('Quarterly Data'!$B:$B,'Annual Data'!$A163,'Quarterly Data'!U:U)</f>
        <v>0</v>
      </c>
      <c r="T163">
        <f>SUMIF('Quarterly Data'!$B:$B,'Annual Data'!$A163,'Quarterly Data'!V:V)</f>
        <v>0</v>
      </c>
      <c r="U163">
        <f>SUMIF('Quarterly Data'!$B:$B,'Annual Data'!$A163,'Quarterly Data'!W:W)</f>
        <v>0</v>
      </c>
      <c r="V163">
        <f>SUMIF('Quarterly Data'!$B:$B,'Annual Data'!$A163,'Quarterly Data'!X:X)</f>
        <v>0</v>
      </c>
      <c r="W163">
        <f>SUMIF('Quarterly Data'!$B:$B,'Annual Data'!$A163,'Quarterly Data'!Y:Y)</f>
        <v>0</v>
      </c>
      <c r="X163">
        <f>SUMIF('Quarterly Data'!$B:$B,'Annual Data'!$A163,'Quarterly Data'!Z:Z)</f>
        <v>0</v>
      </c>
      <c r="Y163">
        <f>SUMIF('Quarterly Data'!$B:$B,'Annual Data'!$A163,'Quarterly Data'!AA:AA)</f>
        <v>0</v>
      </c>
      <c r="Z163" t="e">
        <f>AVERAGEIF('Quarterly Data'!$B:$B,'Annual Data'!$A163,'Quarterly Data'!AB:AB)</f>
        <v>#DIV/0!</v>
      </c>
      <c r="AA163" t="e">
        <f>AVERAGEIF('Quarterly Data'!$B:$B,'Annual Data'!$A163,'Quarterly Data'!AC:AC)</f>
        <v>#DIV/0!</v>
      </c>
      <c r="AB163" t="e">
        <f>AVERAGEIF('Quarterly Data'!$B:$B,'Annual Data'!$A163,'Quarterly Data'!AD:AD)</f>
        <v>#DIV/0!</v>
      </c>
      <c r="AC163" t="e">
        <f>AVERAGEIF('Quarterly Data'!$B:$B,'Annual Data'!$A163,'Quarterly Data'!AE:AE)</f>
        <v>#DIV/0!</v>
      </c>
      <c r="AD163" t="e">
        <f>AVERAGEIF('Quarterly Data'!$B:$B,'Annual Data'!$A163,'Quarterly Data'!AF:AF)</f>
        <v>#DIV/0!</v>
      </c>
      <c r="AE163">
        <f>SUMIF('Quarterly Data'!$B:$B,'Annual Data'!$A163,'Quarterly Data'!AG:AG)</f>
        <v>0</v>
      </c>
    </row>
    <row r="164" spans="1:31" x14ac:dyDescent="0.25">
      <c r="A164">
        <v>2130</v>
      </c>
      <c r="B164">
        <f>SUMIF('Quarterly Data'!$B:$B,'Annual Data'!$A164,'Quarterly Data'!D:D)</f>
        <v>0</v>
      </c>
      <c r="C164" t="e">
        <f>AVERAGEIF('Quarterly Data'!$B:$B,'Annual Data'!$A164,'Quarterly Data'!E:E)</f>
        <v>#DIV/0!</v>
      </c>
      <c r="D164">
        <f>SUMIF('Quarterly Data'!$B:$B,'Annual Data'!$A164,'Quarterly Data'!F:F)</f>
        <v>0</v>
      </c>
      <c r="E164">
        <f>SUMIF('Quarterly Data'!$B:$B,'Annual Data'!$A164,'Quarterly Data'!G:G)</f>
        <v>0</v>
      </c>
      <c r="F164">
        <f>SUMIF('Quarterly Data'!$B:$B,'Annual Data'!$A164,'Quarterly Data'!H:H)</f>
        <v>0</v>
      </c>
      <c r="G164">
        <f>SUMIF('Quarterly Data'!$B:$B,'Annual Data'!$A164,'Quarterly Data'!I:I)</f>
        <v>0</v>
      </c>
      <c r="H164">
        <f>SUMIF('Quarterly Data'!$B:$B,'Annual Data'!$A164,'Quarterly Data'!J:J)</f>
        <v>0</v>
      </c>
      <c r="I164">
        <f>SUMIF('Quarterly Data'!$B:$B,'Annual Data'!$A164,'Quarterly Data'!K:K)</f>
        <v>0</v>
      </c>
      <c r="J164">
        <f>SUMIF('Quarterly Data'!$B:$B,'Annual Data'!$A164,'Quarterly Data'!L:L)</f>
        <v>0</v>
      </c>
      <c r="K164" t="e">
        <f>AVERAGEIF('Quarterly Data'!$B:$B,'Annual Data'!$A164,'Quarterly Data'!M:M)</f>
        <v>#DIV/0!</v>
      </c>
      <c r="L164" t="e">
        <f>AVERAGEIF('Quarterly Data'!$B:$B,'Annual Data'!$A164,'Quarterly Data'!N:N)</f>
        <v>#DIV/0!</v>
      </c>
      <c r="M164" t="e">
        <f>AVERAGEIF('Quarterly Data'!$B:$B,'Annual Data'!$A164,'Quarterly Data'!O:O)</f>
        <v>#DIV/0!</v>
      </c>
      <c r="N164" t="e">
        <f>AVERAGEIF('Quarterly Data'!$B:$B,'Annual Data'!$A164,'Quarterly Data'!P:P)</f>
        <v>#DIV/0!</v>
      </c>
      <c r="O164" t="e">
        <f>AVERAGEIF('Quarterly Data'!$B:$B,'Annual Data'!$A164,'Quarterly Data'!Q:Q)</f>
        <v>#DIV/0!</v>
      </c>
      <c r="P164">
        <f>SUMIF('Quarterly Data'!$B:$B,'Annual Data'!$A164,'Quarterly Data'!R:R)</f>
        <v>0</v>
      </c>
      <c r="Q164">
        <f>SUMIF('Quarterly Data'!$B:$B,'Annual Data'!$A164,'Quarterly Data'!S:S)</f>
        <v>0</v>
      </c>
      <c r="R164" t="e">
        <f>AVERAGEIF('Quarterly Data'!$B:$B,'Annual Data'!$A164,'Quarterly Data'!T:T)</f>
        <v>#DIV/0!</v>
      </c>
      <c r="S164">
        <f>SUMIF('Quarterly Data'!$B:$B,'Annual Data'!$A164,'Quarterly Data'!U:U)</f>
        <v>0</v>
      </c>
      <c r="T164">
        <f>SUMIF('Quarterly Data'!$B:$B,'Annual Data'!$A164,'Quarterly Data'!V:V)</f>
        <v>0</v>
      </c>
      <c r="U164">
        <f>SUMIF('Quarterly Data'!$B:$B,'Annual Data'!$A164,'Quarterly Data'!W:W)</f>
        <v>0</v>
      </c>
      <c r="V164">
        <f>SUMIF('Quarterly Data'!$B:$B,'Annual Data'!$A164,'Quarterly Data'!X:X)</f>
        <v>0</v>
      </c>
      <c r="W164">
        <f>SUMIF('Quarterly Data'!$B:$B,'Annual Data'!$A164,'Quarterly Data'!Y:Y)</f>
        <v>0</v>
      </c>
      <c r="X164">
        <f>SUMIF('Quarterly Data'!$B:$B,'Annual Data'!$A164,'Quarterly Data'!Z:Z)</f>
        <v>0</v>
      </c>
      <c r="Y164">
        <f>SUMIF('Quarterly Data'!$B:$B,'Annual Data'!$A164,'Quarterly Data'!AA:AA)</f>
        <v>0</v>
      </c>
      <c r="Z164" t="e">
        <f>AVERAGEIF('Quarterly Data'!$B:$B,'Annual Data'!$A164,'Quarterly Data'!AB:AB)</f>
        <v>#DIV/0!</v>
      </c>
      <c r="AA164" t="e">
        <f>AVERAGEIF('Quarterly Data'!$B:$B,'Annual Data'!$A164,'Quarterly Data'!AC:AC)</f>
        <v>#DIV/0!</v>
      </c>
      <c r="AB164" t="e">
        <f>AVERAGEIF('Quarterly Data'!$B:$B,'Annual Data'!$A164,'Quarterly Data'!AD:AD)</f>
        <v>#DIV/0!</v>
      </c>
      <c r="AC164" t="e">
        <f>AVERAGEIF('Quarterly Data'!$B:$B,'Annual Data'!$A164,'Quarterly Data'!AE:AE)</f>
        <v>#DIV/0!</v>
      </c>
      <c r="AD164" t="e">
        <f>AVERAGEIF('Quarterly Data'!$B:$B,'Annual Data'!$A164,'Quarterly Data'!AF:AF)</f>
        <v>#DIV/0!</v>
      </c>
      <c r="AE164">
        <f>SUMIF('Quarterly Data'!$B:$B,'Annual Data'!$A164,'Quarterly Data'!AG:AG)</f>
        <v>0</v>
      </c>
    </row>
    <row r="165" spans="1:31" x14ac:dyDescent="0.25">
      <c r="A165">
        <v>2131</v>
      </c>
      <c r="B165">
        <f>SUMIF('Quarterly Data'!$B:$B,'Annual Data'!$A165,'Quarterly Data'!D:D)</f>
        <v>0</v>
      </c>
      <c r="C165" t="e">
        <f>AVERAGEIF('Quarterly Data'!$B:$B,'Annual Data'!$A165,'Quarterly Data'!E:E)</f>
        <v>#DIV/0!</v>
      </c>
      <c r="D165">
        <f>SUMIF('Quarterly Data'!$B:$B,'Annual Data'!$A165,'Quarterly Data'!F:F)</f>
        <v>0</v>
      </c>
      <c r="E165">
        <f>SUMIF('Quarterly Data'!$B:$B,'Annual Data'!$A165,'Quarterly Data'!G:G)</f>
        <v>0</v>
      </c>
      <c r="F165">
        <f>SUMIF('Quarterly Data'!$B:$B,'Annual Data'!$A165,'Quarterly Data'!H:H)</f>
        <v>0</v>
      </c>
      <c r="G165">
        <f>SUMIF('Quarterly Data'!$B:$B,'Annual Data'!$A165,'Quarterly Data'!I:I)</f>
        <v>0</v>
      </c>
      <c r="H165">
        <f>SUMIF('Quarterly Data'!$B:$B,'Annual Data'!$A165,'Quarterly Data'!J:J)</f>
        <v>0</v>
      </c>
      <c r="I165">
        <f>SUMIF('Quarterly Data'!$B:$B,'Annual Data'!$A165,'Quarterly Data'!K:K)</f>
        <v>0</v>
      </c>
      <c r="J165">
        <f>SUMIF('Quarterly Data'!$B:$B,'Annual Data'!$A165,'Quarterly Data'!L:L)</f>
        <v>0</v>
      </c>
      <c r="K165" t="e">
        <f>AVERAGEIF('Quarterly Data'!$B:$B,'Annual Data'!$A165,'Quarterly Data'!M:M)</f>
        <v>#DIV/0!</v>
      </c>
      <c r="L165" t="e">
        <f>AVERAGEIF('Quarterly Data'!$B:$B,'Annual Data'!$A165,'Quarterly Data'!N:N)</f>
        <v>#DIV/0!</v>
      </c>
      <c r="M165" t="e">
        <f>AVERAGEIF('Quarterly Data'!$B:$B,'Annual Data'!$A165,'Quarterly Data'!O:O)</f>
        <v>#DIV/0!</v>
      </c>
      <c r="N165" t="e">
        <f>AVERAGEIF('Quarterly Data'!$B:$B,'Annual Data'!$A165,'Quarterly Data'!P:P)</f>
        <v>#DIV/0!</v>
      </c>
      <c r="O165" t="e">
        <f>AVERAGEIF('Quarterly Data'!$B:$B,'Annual Data'!$A165,'Quarterly Data'!Q:Q)</f>
        <v>#DIV/0!</v>
      </c>
      <c r="P165">
        <f>SUMIF('Quarterly Data'!$B:$B,'Annual Data'!$A165,'Quarterly Data'!R:R)</f>
        <v>0</v>
      </c>
      <c r="Q165">
        <f>SUMIF('Quarterly Data'!$B:$B,'Annual Data'!$A165,'Quarterly Data'!S:S)</f>
        <v>0</v>
      </c>
      <c r="R165" t="e">
        <f>AVERAGEIF('Quarterly Data'!$B:$B,'Annual Data'!$A165,'Quarterly Data'!T:T)</f>
        <v>#DIV/0!</v>
      </c>
      <c r="S165">
        <f>SUMIF('Quarterly Data'!$B:$B,'Annual Data'!$A165,'Quarterly Data'!U:U)</f>
        <v>0</v>
      </c>
      <c r="T165">
        <f>SUMIF('Quarterly Data'!$B:$B,'Annual Data'!$A165,'Quarterly Data'!V:V)</f>
        <v>0</v>
      </c>
      <c r="U165">
        <f>SUMIF('Quarterly Data'!$B:$B,'Annual Data'!$A165,'Quarterly Data'!W:W)</f>
        <v>0</v>
      </c>
      <c r="V165">
        <f>SUMIF('Quarterly Data'!$B:$B,'Annual Data'!$A165,'Quarterly Data'!X:X)</f>
        <v>0</v>
      </c>
      <c r="W165">
        <f>SUMIF('Quarterly Data'!$B:$B,'Annual Data'!$A165,'Quarterly Data'!Y:Y)</f>
        <v>0</v>
      </c>
      <c r="X165">
        <f>SUMIF('Quarterly Data'!$B:$B,'Annual Data'!$A165,'Quarterly Data'!Z:Z)</f>
        <v>0</v>
      </c>
      <c r="Y165">
        <f>SUMIF('Quarterly Data'!$B:$B,'Annual Data'!$A165,'Quarterly Data'!AA:AA)</f>
        <v>0</v>
      </c>
      <c r="Z165" t="e">
        <f>AVERAGEIF('Quarterly Data'!$B:$B,'Annual Data'!$A165,'Quarterly Data'!AB:AB)</f>
        <v>#DIV/0!</v>
      </c>
      <c r="AA165" t="e">
        <f>AVERAGEIF('Quarterly Data'!$B:$B,'Annual Data'!$A165,'Quarterly Data'!AC:AC)</f>
        <v>#DIV/0!</v>
      </c>
      <c r="AB165" t="e">
        <f>AVERAGEIF('Quarterly Data'!$B:$B,'Annual Data'!$A165,'Quarterly Data'!AD:AD)</f>
        <v>#DIV/0!</v>
      </c>
      <c r="AC165" t="e">
        <f>AVERAGEIF('Quarterly Data'!$B:$B,'Annual Data'!$A165,'Quarterly Data'!AE:AE)</f>
        <v>#DIV/0!</v>
      </c>
      <c r="AD165" t="e">
        <f>AVERAGEIF('Quarterly Data'!$B:$B,'Annual Data'!$A165,'Quarterly Data'!AF:AF)</f>
        <v>#DIV/0!</v>
      </c>
      <c r="AE165">
        <f>SUMIF('Quarterly Data'!$B:$B,'Annual Data'!$A165,'Quarterly Data'!AG:AG)</f>
        <v>0</v>
      </c>
    </row>
    <row r="166" spans="1:31" x14ac:dyDescent="0.25">
      <c r="A166">
        <v>2132</v>
      </c>
      <c r="B166">
        <f>SUMIF('Quarterly Data'!$B:$B,'Annual Data'!$A166,'Quarterly Data'!D:D)</f>
        <v>0</v>
      </c>
      <c r="C166" t="e">
        <f>AVERAGEIF('Quarterly Data'!$B:$B,'Annual Data'!$A166,'Quarterly Data'!E:E)</f>
        <v>#DIV/0!</v>
      </c>
      <c r="D166">
        <f>SUMIF('Quarterly Data'!$B:$B,'Annual Data'!$A166,'Quarterly Data'!F:F)</f>
        <v>0</v>
      </c>
      <c r="E166">
        <f>SUMIF('Quarterly Data'!$B:$B,'Annual Data'!$A166,'Quarterly Data'!G:G)</f>
        <v>0</v>
      </c>
      <c r="F166">
        <f>SUMIF('Quarterly Data'!$B:$B,'Annual Data'!$A166,'Quarterly Data'!H:H)</f>
        <v>0</v>
      </c>
      <c r="G166">
        <f>SUMIF('Quarterly Data'!$B:$B,'Annual Data'!$A166,'Quarterly Data'!I:I)</f>
        <v>0</v>
      </c>
      <c r="H166">
        <f>SUMIF('Quarterly Data'!$B:$B,'Annual Data'!$A166,'Quarterly Data'!J:J)</f>
        <v>0</v>
      </c>
      <c r="I166">
        <f>SUMIF('Quarterly Data'!$B:$B,'Annual Data'!$A166,'Quarterly Data'!K:K)</f>
        <v>0</v>
      </c>
      <c r="J166">
        <f>SUMIF('Quarterly Data'!$B:$B,'Annual Data'!$A166,'Quarterly Data'!L:L)</f>
        <v>0</v>
      </c>
      <c r="K166" t="e">
        <f>AVERAGEIF('Quarterly Data'!$B:$B,'Annual Data'!$A166,'Quarterly Data'!M:M)</f>
        <v>#DIV/0!</v>
      </c>
      <c r="L166" t="e">
        <f>AVERAGEIF('Quarterly Data'!$B:$B,'Annual Data'!$A166,'Quarterly Data'!N:N)</f>
        <v>#DIV/0!</v>
      </c>
      <c r="M166" t="e">
        <f>AVERAGEIF('Quarterly Data'!$B:$B,'Annual Data'!$A166,'Quarterly Data'!O:O)</f>
        <v>#DIV/0!</v>
      </c>
      <c r="N166" t="e">
        <f>AVERAGEIF('Quarterly Data'!$B:$B,'Annual Data'!$A166,'Quarterly Data'!P:P)</f>
        <v>#DIV/0!</v>
      </c>
      <c r="O166" t="e">
        <f>AVERAGEIF('Quarterly Data'!$B:$B,'Annual Data'!$A166,'Quarterly Data'!Q:Q)</f>
        <v>#DIV/0!</v>
      </c>
      <c r="P166">
        <f>SUMIF('Quarterly Data'!$B:$B,'Annual Data'!$A166,'Quarterly Data'!R:R)</f>
        <v>0</v>
      </c>
      <c r="Q166">
        <f>SUMIF('Quarterly Data'!$B:$B,'Annual Data'!$A166,'Quarterly Data'!S:S)</f>
        <v>0</v>
      </c>
      <c r="R166" t="e">
        <f>AVERAGEIF('Quarterly Data'!$B:$B,'Annual Data'!$A166,'Quarterly Data'!T:T)</f>
        <v>#DIV/0!</v>
      </c>
      <c r="S166">
        <f>SUMIF('Quarterly Data'!$B:$B,'Annual Data'!$A166,'Quarterly Data'!U:U)</f>
        <v>0</v>
      </c>
      <c r="T166">
        <f>SUMIF('Quarterly Data'!$B:$B,'Annual Data'!$A166,'Quarterly Data'!V:V)</f>
        <v>0</v>
      </c>
      <c r="U166">
        <f>SUMIF('Quarterly Data'!$B:$B,'Annual Data'!$A166,'Quarterly Data'!W:W)</f>
        <v>0</v>
      </c>
      <c r="V166">
        <f>SUMIF('Quarterly Data'!$B:$B,'Annual Data'!$A166,'Quarterly Data'!X:X)</f>
        <v>0</v>
      </c>
      <c r="W166">
        <f>SUMIF('Quarterly Data'!$B:$B,'Annual Data'!$A166,'Quarterly Data'!Y:Y)</f>
        <v>0</v>
      </c>
      <c r="X166">
        <f>SUMIF('Quarterly Data'!$B:$B,'Annual Data'!$A166,'Quarterly Data'!Z:Z)</f>
        <v>0</v>
      </c>
      <c r="Y166">
        <f>SUMIF('Quarterly Data'!$B:$B,'Annual Data'!$A166,'Quarterly Data'!AA:AA)</f>
        <v>0</v>
      </c>
      <c r="Z166" t="e">
        <f>AVERAGEIF('Quarterly Data'!$B:$B,'Annual Data'!$A166,'Quarterly Data'!AB:AB)</f>
        <v>#DIV/0!</v>
      </c>
      <c r="AA166" t="e">
        <f>AVERAGEIF('Quarterly Data'!$B:$B,'Annual Data'!$A166,'Quarterly Data'!AC:AC)</f>
        <v>#DIV/0!</v>
      </c>
      <c r="AB166" t="e">
        <f>AVERAGEIF('Quarterly Data'!$B:$B,'Annual Data'!$A166,'Quarterly Data'!AD:AD)</f>
        <v>#DIV/0!</v>
      </c>
      <c r="AC166" t="e">
        <f>AVERAGEIF('Quarterly Data'!$B:$B,'Annual Data'!$A166,'Quarterly Data'!AE:AE)</f>
        <v>#DIV/0!</v>
      </c>
      <c r="AD166" t="e">
        <f>AVERAGEIF('Quarterly Data'!$B:$B,'Annual Data'!$A166,'Quarterly Data'!AF:AF)</f>
        <v>#DIV/0!</v>
      </c>
      <c r="AE166">
        <f>SUMIF('Quarterly Data'!$B:$B,'Annual Data'!$A166,'Quarterly Data'!AG:AG)</f>
        <v>0</v>
      </c>
    </row>
    <row r="167" spans="1:31" x14ac:dyDescent="0.25">
      <c r="A167">
        <v>2133</v>
      </c>
      <c r="B167">
        <f>SUMIF('Quarterly Data'!$B:$B,'Annual Data'!$A167,'Quarterly Data'!D:D)</f>
        <v>0</v>
      </c>
      <c r="C167" t="e">
        <f>AVERAGEIF('Quarterly Data'!$B:$B,'Annual Data'!$A167,'Quarterly Data'!E:E)</f>
        <v>#DIV/0!</v>
      </c>
      <c r="D167">
        <f>SUMIF('Quarterly Data'!$B:$B,'Annual Data'!$A167,'Quarterly Data'!F:F)</f>
        <v>0</v>
      </c>
      <c r="E167">
        <f>SUMIF('Quarterly Data'!$B:$B,'Annual Data'!$A167,'Quarterly Data'!G:G)</f>
        <v>0</v>
      </c>
      <c r="F167">
        <f>SUMIF('Quarterly Data'!$B:$B,'Annual Data'!$A167,'Quarterly Data'!H:H)</f>
        <v>0</v>
      </c>
      <c r="G167">
        <f>SUMIF('Quarterly Data'!$B:$B,'Annual Data'!$A167,'Quarterly Data'!I:I)</f>
        <v>0</v>
      </c>
      <c r="H167">
        <f>SUMIF('Quarterly Data'!$B:$B,'Annual Data'!$A167,'Quarterly Data'!J:J)</f>
        <v>0</v>
      </c>
      <c r="I167">
        <f>SUMIF('Quarterly Data'!$B:$B,'Annual Data'!$A167,'Quarterly Data'!K:K)</f>
        <v>0</v>
      </c>
      <c r="J167">
        <f>SUMIF('Quarterly Data'!$B:$B,'Annual Data'!$A167,'Quarterly Data'!L:L)</f>
        <v>0</v>
      </c>
      <c r="K167" t="e">
        <f>AVERAGEIF('Quarterly Data'!$B:$B,'Annual Data'!$A167,'Quarterly Data'!M:M)</f>
        <v>#DIV/0!</v>
      </c>
      <c r="L167" t="e">
        <f>AVERAGEIF('Quarterly Data'!$B:$B,'Annual Data'!$A167,'Quarterly Data'!N:N)</f>
        <v>#DIV/0!</v>
      </c>
      <c r="M167" t="e">
        <f>AVERAGEIF('Quarterly Data'!$B:$B,'Annual Data'!$A167,'Quarterly Data'!O:O)</f>
        <v>#DIV/0!</v>
      </c>
      <c r="N167" t="e">
        <f>AVERAGEIF('Quarterly Data'!$B:$B,'Annual Data'!$A167,'Quarterly Data'!P:P)</f>
        <v>#DIV/0!</v>
      </c>
      <c r="O167" t="e">
        <f>AVERAGEIF('Quarterly Data'!$B:$B,'Annual Data'!$A167,'Quarterly Data'!Q:Q)</f>
        <v>#DIV/0!</v>
      </c>
      <c r="P167">
        <f>SUMIF('Quarterly Data'!$B:$B,'Annual Data'!$A167,'Quarterly Data'!R:R)</f>
        <v>0</v>
      </c>
      <c r="Q167">
        <f>SUMIF('Quarterly Data'!$B:$B,'Annual Data'!$A167,'Quarterly Data'!S:S)</f>
        <v>0</v>
      </c>
      <c r="R167" t="e">
        <f>AVERAGEIF('Quarterly Data'!$B:$B,'Annual Data'!$A167,'Quarterly Data'!T:T)</f>
        <v>#DIV/0!</v>
      </c>
      <c r="S167">
        <f>SUMIF('Quarterly Data'!$B:$B,'Annual Data'!$A167,'Quarterly Data'!U:U)</f>
        <v>0</v>
      </c>
      <c r="T167">
        <f>SUMIF('Quarterly Data'!$B:$B,'Annual Data'!$A167,'Quarterly Data'!V:V)</f>
        <v>0</v>
      </c>
      <c r="U167">
        <f>SUMIF('Quarterly Data'!$B:$B,'Annual Data'!$A167,'Quarterly Data'!W:W)</f>
        <v>0</v>
      </c>
      <c r="V167">
        <f>SUMIF('Quarterly Data'!$B:$B,'Annual Data'!$A167,'Quarterly Data'!X:X)</f>
        <v>0</v>
      </c>
      <c r="W167">
        <f>SUMIF('Quarterly Data'!$B:$B,'Annual Data'!$A167,'Quarterly Data'!Y:Y)</f>
        <v>0</v>
      </c>
      <c r="X167">
        <f>SUMIF('Quarterly Data'!$B:$B,'Annual Data'!$A167,'Quarterly Data'!Z:Z)</f>
        <v>0</v>
      </c>
      <c r="Y167">
        <f>SUMIF('Quarterly Data'!$B:$B,'Annual Data'!$A167,'Quarterly Data'!AA:AA)</f>
        <v>0</v>
      </c>
      <c r="Z167" t="e">
        <f>AVERAGEIF('Quarterly Data'!$B:$B,'Annual Data'!$A167,'Quarterly Data'!AB:AB)</f>
        <v>#DIV/0!</v>
      </c>
      <c r="AA167" t="e">
        <f>AVERAGEIF('Quarterly Data'!$B:$B,'Annual Data'!$A167,'Quarterly Data'!AC:AC)</f>
        <v>#DIV/0!</v>
      </c>
      <c r="AB167" t="e">
        <f>AVERAGEIF('Quarterly Data'!$B:$B,'Annual Data'!$A167,'Quarterly Data'!AD:AD)</f>
        <v>#DIV/0!</v>
      </c>
      <c r="AC167" t="e">
        <f>AVERAGEIF('Quarterly Data'!$B:$B,'Annual Data'!$A167,'Quarterly Data'!AE:AE)</f>
        <v>#DIV/0!</v>
      </c>
      <c r="AD167" t="e">
        <f>AVERAGEIF('Quarterly Data'!$B:$B,'Annual Data'!$A167,'Quarterly Data'!AF:AF)</f>
        <v>#DIV/0!</v>
      </c>
      <c r="AE167">
        <f>SUMIF('Quarterly Data'!$B:$B,'Annual Data'!$A167,'Quarterly Data'!AG:AG)</f>
        <v>0</v>
      </c>
    </row>
    <row r="168" spans="1:31" x14ac:dyDescent="0.25">
      <c r="A168">
        <v>2134</v>
      </c>
      <c r="B168">
        <f>SUMIF('Quarterly Data'!$B:$B,'Annual Data'!$A168,'Quarterly Data'!D:D)</f>
        <v>0</v>
      </c>
      <c r="C168" t="e">
        <f>AVERAGEIF('Quarterly Data'!$B:$B,'Annual Data'!$A168,'Quarterly Data'!E:E)</f>
        <v>#DIV/0!</v>
      </c>
      <c r="D168">
        <f>SUMIF('Quarterly Data'!$B:$B,'Annual Data'!$A168,'Quarterly Data'!F:F)</f>
        <v>0</v>
      </c>
      <c r="E168">
        <f>SUMIF('Quarterly Data'!$B:$B,'Annual Data'!$A168,'Quarterly Data'!G:G)</f>
        <v>0</v>
      </c>
      <c r="F168">
        <f>SUMIF('Quarterly Data'!$B:$B,'Annual Data'!$A168,'Quarterly Data'!H:H)</f>
        <v>0</v>
      </c>
      <c r="G168">
        <f>SUMIF('Quarterly Data'!$B:$B,'Annual Data'!$A168,'Quarterly Data'!I:I)</f>
        <v>0</v>
      </c>
      <c r="H168">
        <f>SUMIF('Quarterly Data'!$B:$B,'Annual Data'!$A168,'Quarterly Data'!J:J)</f>
        <v>0</v>
      </c>
      <c r="I168">
        <f>SUMIF('Quarterly Data'!$B:$B,'Annual Data'!$A168,'Quarterly Data'!K:K)</f>
        <v>0</v>
      </c>
      <c r="J168">
        <f>SUMIF('Quarterly Data'!$B:$B,'Annual Data'!$A168,'Quarterly Data'!L:L)</f>
        <v>0</v>
      </c>
      <c r="K168" t="e">
        <f>AVERAGEIF('Quarterly Data'!$B:$B,'Annual Data'!$A168,'Quarterly Data'!M:M)</f>
        <v>#DIV/0!</v>
      </c>
      <c r="L168" t="e">
        <f>AVERAGEIF('Quarterly Data'!$B:$B,'Annual Data'!$A168,'Quarterly Data'!N:N)</f>
        <v>#DIV/0!</v>
      </c>
      <c r="M168" t="e">
        <f>AVERAGEIF('Quarterly Data'!$B:$B,'Annual Data'!$A168,'Quarterly Data'!O:O)</f>
        <v>#DIV/0!</v>
      </c>
      <c r="N168" t="e">
        <f>AVERAGEIF('Quarterly Data'!$B:$B,'Annual Data'!$A168,'Quarterly Data'!P:P)</f>
        <v>#DIV/0!</v>
      </c>
      <c r="O168" t="e">
        <f>AVERAGEIF('Quarterly Data'!$B:$B,'Annual Data'!$A168,'Quarterly Data'!Q:Q)</f>
        <v>#DIV/0!</v>
      </c>
      <c r="P168">
        <f>SUMIF('Quarterly Data'!$B:$B,'Annual Data'!$A168,'Quarterly Data'!R:R)</f>
        <v>0</v>
      </c>
      <c r="Q168">
        <f>SUMIF('Quarterly Data'!$B:$B,'Annual Data'!$A168,'Quarterly Data'!S:S)</f>
        <v>0</v>
      </c>
      <c r="R168" t="e">
        <f>AVERAGEIF('Quarterly Data'!$B:$B,'Annual Data'!$A168,'Quarterly Data'!T:T)</f>
        <v>#DIV/0!</v>
      </c>
      <c r="S168">
        <f>SUMIF('Quarterly Data'!$B:$B,'Annual Data'!$A168,'Quarterly Data'!U:U)</f>
        <v>0</v>
      </c>
      <c r="T168">
        <f>SUMIF('Quarterly Data'!$B:$B,'Annual Data'!$A168,'Quarterly Data'!V:V)</f>
        <v>0</v>
      </c>
      <c r="U168">
        <f>SUMIF('Quarterly Data'!$B:$B,'Annual Data'!$A168,'Quarterly Data'!W:W)</f>
        <v>0</v>
      </c>
      <c r="V168">
        <f>SUMIF('Quarterly Data'!$B:$B,'Annual Data'!$A168,'Quarterly Data'!X:X)</f>
        <v>0</v>
      </c>
      <c r="W168">
        <f>SUMIF('Quarterly Data'!$B:$B,'Annual Data'!$A168,'Quarterly Data'!Y:Y)</f>
        <v>0</v>
      </c>
      <c r="X168">
        <f>SUMIF('Quarterly Data'!$B:$B,'Annual Data'!$A168,'Quarterly Data'!Z:Z)</f>
        <v>0</v>
      </c>
      <c r="Y168">
        <f>SUMIF('Quarterly Data'!$B:$B,'Annual Data'!$A168,'Quarterly Data'!AA:AA)</f>
        <v>0</v>
      </c>
      <c r="Z168" t="e">
        <f>AVERAGEIF('Quarterly Data'!$B:$B,'Annual Data'!$A168,'Quarterly Data'!AB:AB)</f>
        <v>#DIV/0!</v>
      </c>
      <c r="AA168" t="e">
        <f>AVERAGEIF('Quarterly Data'!$B:$B,'Annual Data'!$A168,'Quarterly Data'!AC:AC)</f>
        <v>#DIV/0!</v>
      </c>
      <c r="AB168" t="e">
        <f>AVERAGEIF('Quarterly Data'!$B:$B,'Annual Data'!$A168,'Quarterly Data'!AD:AD)</f>
        <v>#DIV/0!</v>
      </c>
      <c r="AC168" t="e">
        <f>AVERAGEIF('Quarterly Data'!$B:$B,'Annual Data'!$A168,'Quarterly Data'!AE:AE)</f>
        <v>#DIV/0!</v>
      </c>
      <c r="AD168" t="e">
        <f>AVERAGEIF('Quarterly Data'!$B:$B,'Annual Data'!$A168,'Quarterly Data'!AF:AF)</f>
        <v>#DIV/0!</v>
      </c>
      <c r="AE168">
        <f>SUMIF('Quarterly Data'!$B:$B,'Annual Data'!$A168,'Quarterly Data'!AG:AG)</f>
        <v>0</v>
      </c>
    </row>
    <row r="169" spans="1:31" x14ac:dyDescent="0.25">
      <c r="A169">
        <v>2135</v>
      </c>
      <c r="B169">
        <f>SUMIF('Quarterly Data'!$B:$B,'Annual Data'!$A169,'Quarterly Data'!D:D)</f>
        <v>0</v>
      </c>
      <c r="C169" t="e">
        <f>AVERAGEIF('Quarterly Data'!$B:$B,'Annual Data'!$A169,'Quarterly Data'!E:E)</f>
        <v>#DIV/0!</v>
      </c>
      <c r="D169">
        <f>SUMIF('Quarterly Data'!$B:$B,'Annual Data'!$A169,'Quarterly Data'!F:F)</f>
        <v>0</v>
      </c>
      <c r="E169">
        <f>SUMIF('Quarterly Data'!$B:$B,'Annual Data'!$A169,'Quarterly Data'!G:G)</f>
        <v>0</v>
      </c>
      <c r="F169">
        <f>SUMIF('Quarterly Data'!$B:$B,'Annual Data'!$A169,'Quarterly Data'!H:H)</f>
        <v>0</v>
      </c>
      <c r="G169">
        <f>SUMIF('Quarterly Data'!$B:$B,'Annual Data'!$A169,'Quarterly Data'!I:I)</f>
        <v>0</v>
      </c>
      <c r="H169">
        <f>SUMIF('Quarterly Data'!$B:$B,'Annual Data'!$A169,'Quarterly Data'!J:J)</f>
        <v>0</v>
      </c>
      <c r="I169">
        <f>SUMIF('Quarterly Data'!$B:$B,'Annual Data'!$A169,'Quarterly Data'!K:K)</f>
        <v>0</v>
      </c>
      <c r="J169">
        <f>SUMIF('Quarterly Data'!$B:$B,'Annual Data'!$A169,'Quarterly Data'!L:L)</f>
        <v>0</v>
      </c>
      <c r="K169" t="e">
        <f>AVERAGEIF('Quarterly Data'!$B:$B,'Annual Data'!$A169,'Quarterly Data'!M:M)</f>
        <v>#DIV/0!</v>
      </c>
      <c r="L169" t="e">
        <f>AVERAGEIF('Quarterly Data'!$B:$B,'Annual Data'!$A169,'Quarterly Data'!N:N)</f>
        <v>#DIV/0!</v>
      </c>
      <c r="M169" t="e">
        <f>AVERAGEIF('Quarterly Data'!$B:$B,'Annual Data'!$A169,'Quarterly Data'!O:O)</f>
        <v>#DIV/0!</v>
      </c>
      <c r="N169" t="e">
        <f>AVERAGEIF('Quarterly Data'!$B:$B,'Annual Data'!$A169,'Quarterly Data'!P:P)</f>
        <v>#DIV/0!</v>
      </c>
      <c r="O169" t="e">
        <f>AVERAGEIF('Quarterly Data'!$B:$B,'Annual Data'!$A169,'Quarterly Data'!Q:Q)</f>
        <v>#DIV/0!</v>
      </c>
      <c r="P169">
        <f>SUMIF('Quarterly Data'!$B:$B,'Annual Data'!$A169,'Quarterly Data'!R:R)</f>
        <v>0</v>
      </c>
      <c r="Q169">
        <f>SUMIF('Quarterly Data'!$B:$B,'Annual Data'!$A169,'Quarterly Data'!S:S)</f>
        <v>0</v>
      </c>
      <c r="R169" t="e">
        <f>AVERAGEIF('Quarterly Data'!$B:$B,'Annual Data'!$A169,'Quarterly Data'!T:T)</f>
        <v>#DIV/0!</v>
      </c>
      <c r="S169">
        <f>SUMIF('Quarterly Data'!$B:$B,'Annual Data'!$A169,'Quarterly Data'!U:U)</f>
        <v>0</v>
      </c>
      <c r="T169">
        <f>SUMIF('Quarterly Data'!$B:$B,'Annual Data'!$A169,'Quarterly Data'!V:V)</f>
        <v>0</v>
      </c>
      <c r="U169">
        <f>SUMIF('Quarterly Data'!$B:$B,'Annual Data'!$A169,'Quarterly Data'!W:W)</f>
        <v>0</v>
      </c>
      <c r="V169">
        <f>SUMIF('Quarterly Data'!$B:$B,'Annual Data'!$A169,'Quarterly Data'!X:X)</f>
        <v>0</v>
      </c>
      <c r="W169">
        <f>SUMIF('Quarterly Data'!$B:$B,'Annual Data'!$A169,'Quarterly Data'!Y:Y)</f>
        <v>0</v>
      </c>
      <c r="X169">
        <f>SUMIF('Quarterly Data'!$B:$B,'Annual Data'!$A169,'Quarterly Data'!Z:Z)</f>
        <v>0</v>
      </c>
      <c r="Y169">
        <f>SUMIF('Quarterly Data'!$B:$B,'Annual Data'!$A169,'Quarterly Data'!AA:AA)</f>
        <v>0</v>
      </c>
      <c r="Z169" t="e">
        <f>AVERAGEIF('Quarterly Data'!$B:$B,'Annual Data'!$A169,'Quarterly Data'!AB:AB)</f>
        <v>#DIV/0!</v>
      </c>
      <c r="AA169" t="e">
        <f>AVERAGEIF('Quarterly Data'!$B:$B,'Annual Data'!$A169,'Quarterly Data'!AC:AC)</f>
        <v>#DIV/0!</v>
      </c>
      <c r="AB169" t="e">
        <f>AVERAGEIF('Quarterly Data'!$B:$B,'Annual Data'!$A169,'Quarterly Data'!AD:AD)</f>
        <v>#DIV/0!</v>
      </c>
      <c r="AC169" t="e">
        <f>AVERAGEIF('Quarterly Data'!$B:$B,'Annual Data'!$A169,'Quarterly Data'!AE:AE)</f>
        <v>#DIV/0!</v>
      </c>
      <c r="AD169" t="e">
        <f>AVERAGEIF('Quarterly Data'!$B:$B,'Annual Data'!$A169,'Quarterly Data'!AF:AF)</f>
        <v>#DIV/0!</v>
      </c>
      <c r="AE169">
        <f>SUMIF('Quarterly Data'!$B:$B,'Annual Data'!$A169,'Quarterly Data'!AG:AG)</f>
        <v>0</v>
      </c>
    </row>
    <row r="170" spans="1:31" x14ac:dyDescent="0.25">
      <c r="A170">
        <v>2136</v>
      </c>
      <c r="B170">
        <f>SUMIF('Quarterly Data'!$B:$B,'Annual Data'!$A170,'Quarterly Data'!D:D)</f>
        <v>0</v>
      </c>
      <c r="C170" t="e">
        <f>AVERAGEIF('Quarterly Data'!$B:$B,'Annual Data'!$A170,'Quarterly Data'!E:E)</f>
        <v>#DIV/0!</v>
      </c>
      <c r="D170">
        <f>SUMIF('Quarterly Data'!$B:$B,'Annual Data'!$A170,'Quarterly Data'!F:F)</f>
        <v>0</v>
      </c>
      <c r="E170">
        <f>SUMIF('Quarterly Data'!$B:$B,'Annual Data'!$A170,'Quarterly Data'!G:G)</f>
        <v>0</v>
      </c>
      <c r="F170">
        <f>SUMIF('Quarterly Data'!$B:$B,'Annual Data'!$A170,'Quarterly Data'!H:H)</f>
        <v>0</v>
      </c>
      <c r="G170">
        <f>SUMIF('Quarterly Data'!$B:$B,'Annual Data'!$A170,'Quarterly Data'!I:I)</f>
        <v>0</v>
      </c>
      <c r="H170">
        <f>SUMIF('Quarterly Data'!$B:$B,'Annual Data'!$A170,'Quarterly Data'!J:J)</f>
        <v>0</v>
      </c>
      <c r="I170">
        <f>SUMIF('Quarterly Data'!$B:$B,'Annual Data'!$A170,'Quarterly Data'!K:K)</f>
        <v>0</v>
      </c>
      <c r="J170">
        <f>SUMIF('Quarterly Data'!$B:$B,'Annual Data'!$A170,'Quarterly Data'!L:L)</f>
        <v>0</v>
      </c>
      <c r="K170" t="e">
        <f>AVERAGEIF('Quarterly Data'!$B:$B,'Annual Data'!$A170,'Quarterly Data'!M:M)</f>
        <v>#DIV/0!</v>
      </c>
      <c r="L170" t="e">
        <f>AVERAGEIF('Quarterly Data'!$B:$B,'Annual Data'!$A170,'Quarterly Data'!N:N)</f>
        <v>#DIV/0!</v>
      </c>
      <c r="M170" t="e">
        <f>AVERAGEIF('Quarterly Data'!$B:$B,'Annual Data'!$A170,'Quarterly Data'!O:O)</f>
        <v>#DIV/0!</v>
      </c>
      <c r="N170" t="e">
        <f>AVERAGEIF('Quarterly Data'!$B:$B,'Annual Data'!$A170,'Quarterly Data'!P:P)</f>
        <v>#DIV/0!</v>
      </c>
      <c r="O170" t="e">
        <f>AVERAGEIF('Quarterly Data'!$B:$B,'Annual Data'!$A170,'Quarterly Data'!Q:Q)</f>
        <v>#DIV/0!</v>
      </c>
      <c r="P170">
        <f>SUMIF('Quarterly Data'!$B:$B,'Annual Data'!$A170,'Quarterly Data'!R:R)</f>
        <v>0</v>
      </c>
      <c r="Q170">
        <f>SUMIF('Quarterly Data'!$B:$B,'Annual Data'!$A170,'Quarterly Data'!S:S)</f>
        <v>0</v>
      </c>
      <c r="R170" t="e">
        <f>AVERAGEIF('Quarterly Data'!$B:$B,'Annual Data'!$A170,'Quarterly Data'!T:T)</f>
        <v>#DIV/0!</v>
      </c>
      <c r="S170">
        <f>SUMIF('Quarterly Data'!$B:$B,'Annual Data'!$A170,'Quarterly Data'!U:U)</f>
        <v>0</v>
      </c>
      <c r="T170">
        <f>SUMIF('Quarterly Data'!$B:$B,'Annual Data'!$A170,'Quarterly Data'!V:V)</f>
        <v>0</v>
      </c>
      <c r="U170">
        <f>SUMIF('Quarterly Data'!$B:$B,'Annual Data'!$A170,'Quarterly Data'!W:W)</f>
        <v>0</v>
      </c>
      <c r="V170">
        <f>SUMIF('Quarterly Data'!$B:$B,'Annual Data'!$A170,'Quarterly Data'!X:X)</f>
        <v>0</v>
      </c>
      <c r="W170">
        <f>SUMIF('Quarterly Data'!$B:$B,'Annual Data'!$A170,'Quarterly Data'!Y:Y)</f>
        <v>0</v>
      </c>
      <c r="X170">
        <f>SUMIF('Quarterly Data'!$B:$B,'Annual Data'!$A170,'Quarterly Data'!Z:Z)</f>
        <v>0</v>
      </c>
      <c r="Y170">
        <f>SUMIF('Quarterly Data'!$B:$B,'Annual Data'!$A170,'Quarterly Data'!AA:AA)</f>
        <v>0</v>
      </c>
      <c r="Z170" t="e">
        <f>AVERAGEIF('Quarterly Data'!$B:$B,'Annual Data'!$A170,'Quarterly Data'!AB:AB)</f>
        <v>#DIV/0!</v>
      </c>
      <c r="AA170" t="e">
        <f>AVERAGEIF('Quarterly Data'!$B:$B,'Annual Data'!$A170,'Quarterly Data'!AC:AC)</f>
        <v>#DIV/0!</v>
      </c>
      <c r="AB170" t="e">
        <f>AVERAGEIF('Quarterly Data'!$B:$B,'Annual Data'!$A170,'Quarterly Data'!AD:AD)</f>
        <v>#DIV/0!</v>
      </c>
      <c r="AC170" t="e">
        <f>AVERAGEIF('Quarterly Data'!$B:$B,'Annual Data'!$A170,'Quarterly Data'!AE:AE)</f>
        <v>#DIV/0!</v>
      </c>
      <c r="AD170" t="e">
        <f>AVERAGEIF('Quarterly Data'!$B:$B,'Annual Data'!$A170,'Quarterly Data'!AF:AF)</f>
        <v>#DIV/0!</v>
      </c>
      <c r="AE170">
        <f>SUMIF('Quarterly Data'!$B:$B,'Annual Data'!$A170,'Quarterly Data'!AG:AG)</f>
        <v>0</v>
      </c>
    </row>
    <row r="171" spans="1:31" x14ac:dyDescent="0.25">
      <c r="A171">
        <v>2137</v>
      </c>
      <c r="B171">
        <f>SUMIF('Quarterly Data'!$B:$B,'Annual Data'!$A171,'Quarterly Data'!D:D)</f>
        <v>0</v>
      </c>
      <c r="C171" t="e">
        <f>AVERAGEIF('Quarterly Data'!$B:$B,'Annual Data'!$A171,'Quarterly Data'!E:E)</f>
        <v>#DIV/0!</v>
      </c>
      <c r="D171">
        <f>SUMIF('Quarterly Data'!$B:$B,'Annual Data'!$A171,'Quarterly Data'!F:F)</f>
        <v>0</v>
      </c>
      <c r="E171">
        <f>SUMIF('Quarterly Data'!$B:$B,'Annual Data'!$A171,'Quarterly Data'!G:G)</f>
        <v>0</v>
      </c>
      <c r="F171">
        <f>SUMIF('Quarterly Data'!$B:$B,'Annual Data'!$A171,'Quarterly Data'!H:H)</f>
        <v>0</v>
      </c>
      <c r="G171">
        <f>SUMIF('Quarterly Data'!$B:$B,'Annual Data'!$A171,'Quarterly Data'!I:I)</f>
        <v>0</v>
      </c>
      <c r="H171">
        <f>SUMIF('Quarterly Data'!$B:$B,'Annual Data'!$A171,'Quarterly Data'!J:J)</f>
        <v>0</v>
      </c>
      <c r="I171">
        <f>SUMIF('Quarterly Data'!$B:$B,'Annual Data'!$A171,'Quarterly Data'!K:K)</f>
        <v>0</v>
      </c>
      <c r="J171">
        <f>SUMIF('Quarterly Data'!$B:$B,'Annual Data'!$A171,'Quarterly Data'!L:L)</f>
        <v>0</v>
      </c>
      <c r="K171" t="e">
        <f>AVERAGEIF('Quarterly Data'!$B:$B,'Annual Data'!$A171,'Quarterly Data'!M:M)</f>
        <v>#DIV/0!</v>
      </c>
      <c r="L171" t="e">
        <f>AVERAGEIF('Quarterly Data'!$B:$B,'Annual Data'!$A171,'Quarterly Data'!N:N)</f>
        <v>#DIV/0!</v>
      </c>
      <c r="M171" t="e">
        <f>AVERAGEIF('Quarterly Data'!$B:$B,'Annual Data'!$A171,'Quarterly Data'!O:O)</f>
        <v>#DIV/0!</v>
      </c>
      <c r="N171" t="e">
        <f>AVERAGEIF('Quarterly Data'!$B:$B,'Annual Data'!$A171,'Quarterly Data'!P:P)</f>
        <v>#DIV/0!</v>
      </c>
      <c r="O171" t="e">
        <f>AVERAGEIF('Quarterly Data'!$B:$B,'Annual Data'!$A171,'Quarterly Data'!Q:Q)</f>
        <v>#DIV/0!</v>
      </c>
      <c r="P171">
        <f>SUMIF('Quarterly Data'!$B:$B,'Annual Data'!$A171,'Quarterly Data'!R:R)</f>
        <v>0</v>
      </c>
      <c r="Q171">
        <f>SUMIF('Quarterly Data'!$B:$B,'Annual Data'!$A171,'Quarterly Data'!S:S)</f>
        <v>0</v>
      </c>
      <c r="R171" t="e">
        <f>AVERAGEIF('Quarterly Data'!$B:$B,'Annual Data'!$A171,'Quarterly Data'!T:T)</f>
        <v>#DIV/0!</v>
      </c>
      <c r="S171">
        <f>SUMIF('Quarterly Data'!$B:$B,'Annual Data'!$A171,'Quarterly Data'!U:U)</f>
        <v>0</v>
      </c>
      <c r="T171">
        <f>SUMIF('Quarterly Data'!$B:$B,'Annual Data'!$A171,'Quarterly Data'!V:V)</f>
        <v>0</v>
      </c>
      <c r="U171">
        <f>SUMIF('Quarterly Data'!$B:$B,'Annual Data'!$A171,'Quarterly Data'!W:W)</f>
        <v>0</v>
      </c>
      <c r="V171">
        <f>SUMIF('Quarterly Data'!$B:$B,'Annual Data'!$A171,'Quarterly Data'!X:X)</f>
        <v>0</v>
      </c>
      <c r="W171">
        <f>SUMIF('Quarterly Data'!$B:$B,'Annual Data'!$A171,'Quarterly Data'!Y:Y)</f>
        <v>0</v>
      </c>
      <c r="X171">
        <f>SUMIF('Quarterly Data'!$B:$B,'Annual Data'!$A171,'Quarterly Data'!Z:Z)</f>
        <v>0</v>
      </c>
      <c r="Y171">
        <f>SUMIF('Quarterly Data'!$B:$B,'Annual Data'!$A171,'Quarterly Data'!AA:AA)</f>
        <v>0</v>
      </c>
      <c r="Z171" t="e">
        <f>AVERAGEIF('Quarterly Data'!$B:$B,'Annual Data'!$A171,'Quarterly Data'!AB:AB)</f>
        <v>#DIV/0!</v>
      </c>
      <c r="AA171" t="e">
        <f>AVERAGEIF('Quarterly Data'!$B:$B,'Annual Data'!$A171,'Quarterly Data'!AC:AC)</f>
        <v>#DIV/0!</v>
      </c>
      <c r="AB171" t="e">
        <f>AVERAGEIF('Quarterly Data'!$B:$B,'Annual Data'!$A171,'Quarterly Data'!AD:AD)</f>
        <v>#DIV/0!</v>
      </c>
      <c r="AC171" t="e">
        <f>AVERAGEIF('Quarterly Data'!$B:$B,'Annual Data'!$A171,'Quarterly Data'!AE:AE)</f>
        <v>#DIV/0!</v>
      </c>
      <c r="AD171" t="e">
        <f>AVERAGEIF('Quarterly Data'!$B:$B,'Annual Data'!$A171,'Quarterly Data'!AF:AF)</f>
        <v>#DIV/0!</v>
      </c>
      <c r="AE171">
        <f>SUMIF('Quarterly Data'!$B:$B,'Annual Data'!$A171,'Quarterly Data'!AG:AG)</f>
        <v>0</v>
      </c>
    </row>
    <row r="172" spans="1:31" x14ac:dyDescent="0.25">
      <c r="A172">
        <v>2138</v>
      </c>
      <c r="B172">
        <f>SUMIF('Quarterly Data'!$B:$B,'Annual Data'!$A172,'Quarterly Data'!D:D)</f>
        <v>0</v>
      </c>
      <c r="C172" t="e">
        <f>AVERAGEIF('Quarterly Data'!$B:$B,'Annual Data'!$A172,'Quarterly Data'!E:E)</f>
        <v>#DIV/0!</v>
      </c>
      <c r="D172">
        <f>SUMIF('Quarterly Data'!$B:$B,'Annual Data'!$A172,'Quarterly Data'!F:F)</f>
        <v>0</v>
      </c>
      <c r="E172">
        <f>SUMIF('Quarterly Data'!$B:$B,'Annual Data'!$A172,'Quarterly Data'!G:G)</f>
        <v>0</v>
      </c>
      <c r="F172">
        <f>SUMIF('Quarterly Data'!$B:$B,'Annual Data'!$A172,'Quarterly Data'!H:H)</f>
        <v>0</v>
      </c>
      <c r="G172">
        <f>SUMIF('Quarterly Data'!$B:$B,'Annual Data'!$A172,'Quarterly Data'!I:I)</f>
        <v>0</v>
      </c>
      <c r="H172">
        <f>SUMIF('Quarterly Data'!$B:$B,'Annual Data'!$A172,'Quarterly Data'!J:J)</f>
        <v>0</v>
      </c>
      <c r="I172">
        <f>SUMIF('Quarterly Data'!$B:$B,'Annual Data'!$A172,'Quarterly Data'!K:K)</f>
        <v>0</v>
      </c>
      <c r="J172">
        <f>SUMIF('Quarterly Data'!$B:$B,'Annual Data'!$A172,'Quarterly Data'!L:L)</f>
        <v>0</v>
      </c>
      <c r="K172" t="e">
        <f>AVERAGEIF('Quarterly Data'!$B:$B,'Annual Data'!$A172,'Quarterly Data'!M:M)</f>
        <v>#DIV/0!</v>
      </c>
      <c r="L172" t="e">
        <f>AVERAGEIF('Quarterly Data'!$B:$B,'Annual Data'!$A172,'Quarterly Data'!N:N)</f>
        <v>#DIV/0!</v>
      </c>
      <c r="M172" t="e">
        <f>AVERAGEIF('Quarterly Data'!$B:$B,'Annual Data'!$A172,'Quarterly Data'!O:O)</f>
        <v>#DIV/0!</v>
      </c>
      <c r="N172" t="e">
        <f>AVERAGEIF('Quarterly Data'!$B:$B,'Annual Data'!$A172,'Quarterly Data'!P:P)</f>
        <v>#DIV/0!</v>
      </c>
      <c r="O172" t="e">
        <f>AVERAGEIF('Quarterly Data'!$B:$B,'Annual Data'!$A172,'Quarterly Data'!Q:Q)</f>
        <v>#DIV/0!</v>
      </c>
      <c r="P172">
        <f>SUMIF('Quarterly Data'!$B:$B,'Annual Data'!$A172,'Quarterly Data'!R:R)</f>
        <v>0</v>
      </c>
      <c r="Q172">
        <f>SUMIF('Quarterly Data'!$B:$B,'Annual Data'!$A172,'Quarterly Data'!S:S)</f>
        <v>0</v>
      </c>
      <c r="R172" t="e">
        <f>AVERAGEIF('Quarterly Data'!$B:$B,'Annual Data'!$A172,'Quarterly Data'!T:T)</f>
        <v>#DIV/0!</v>
      </c>
      <c r="S172">
        <f>SUMIF('Quarterly Data'!$B:$B,'Annual Data'!$A172,'Quarterly Data'!U:U)</f>
        <v>0</v>
      </c>
      <c r="T172">
        <f>SUMIF('Quarterly Data'!$B:$B,'Annual Data'!$A172,'Quarterly Data'!V:V)</f>
        <v>0</v>
      </c>
      <c r="U172">
        <f>SUMIF('Quarterly Data'!$B:$B,'Annual Data'!$A172,'Quarterly Data'!W:W)</f>
        <v>0</v>
      </c>
      <c r="V172">
        <f>SUMIF('Quarterly Data'!$B:$B,'Annual Data'!$A172,'Quarterly Data'!X:X)</f>
        <v>0</v>
      </c>
      <c r="W172">
        <f>SUMIF('Quarterly Data'!$B:$B,'Annual Data'!$A172,'Quarterly Data'!Y:Y)</f>
        <v>0</v>
      </c>
      <c r="X172">
        <f>SUMIF('Quarterly Data'!$B:$B,'Annual Data'!$A172,'Quarterly Data'!Z:Z)</f>
        <v>0</v>
      </c>
      <c r="Y172">
        <f>SUMIF('Quarterly Data'!$B:$B,'Annual Data'!$A172,'Quarterly Data'!AA:AA)</f>
        <v>0</v>
      </c>
      <c r="Z172" t="e">
        <f>AVERAGEIF('Quarterly Data'!$B:$B,'Annual Data'!$A172,'Quarterly Data'!AB:AB)</f>
        <v>#DIV/0!</v>
      </c>
      <c r="AA172" t="e">
        <f>AVERAGEIF('Quarterly Data'!$B:$B,'Annual Data'!$A172,'Quarterly Data'!AC:AC)</f>
        <v>#DIV/0!</v>
      </c>
      <c r="AB172" t="e">
        <f>AVERAGEIF('Quarterly Data'!$B:$B,'Annual Data'!$A172,'Quarterly Data'!AD:AD)</f>
        <v>#DIV/0!</v>
      </c>
      <c r="AC172" t="e">
        <f>AVERAGEIF('Quarterly Data'!$B:$B,'Annual Data'!$A172,'Quarterly Data'!AE:AE)</f>
        <v>#DIV/0!</v>
      </c>
      <c r="AD172" t="e">
        <f>AVERAGEIF('Quarterly Data'!$B:$B,'Annual Data'!$A172,'Quarterly Data'!AF:AF)</f>
        <v>#DIV/0!</v>
      </c>
      <c r="AE172">
        <f>SUMIF('Quarterly Data'!$B:$B,'Annual Data'!$A172,'Quarterly Data'!AG:AG)</f>
        <v>0</v>
      </c>
    </row>
    <row r="173" spans="1:31" x14ac:dyDescent="0.25">
      <c r="A173">
        <v>2139</v>
      </c>
      <c r="B173">
        <f>SUMIF('Quarterly Data'!$B:$B,'Annual Data'!$A173,'Quarterly Data'!D:D)</f>
        <v>0</v>
      </c>
      <c r="C173" t="e">
        <f>AVERAGEIF('Quarterly Data'!$B:$B,'Annual Data'!$A173,'Quarterly Data'!E:E)</f>
        <v>#DIV/0!</v>
      </c>
      <c r="D173">
        <f>SUMIF('Quarterly Data'!$B:$B,'Annual Data'!$A173,'Quarterly Data'!F:F)</f>
        <v>0</v>
      </c>
      <c r="E173">
        <f>SUMIF('Quarterly Data'!$B:$B,'Annual Data'!$A173,'Quarterly Data'!G:G)</f>
        <v>0</v>
      </c>
      <c r="F173">
        <f>SUMIF('Quarterly Data'!$B:$B,'Annual Data'!$A173,'Quarterly Data'!H:H)</f>
        <v>0</v>
      </c>
      <c r="G173">
        <f>SUMIF('Quarterly Data'!$B:$B,'Annual Data'!$A173,'Quarterly Data'!I:I)</f>
        <v>0</v>
      </c>
      <c r="H173">
        <f>SUMIF('Quarterly Data'!$B:$B,'Annual Data'!$A173,'Quarterly Data'!J:J)</f>
        <v>0</v>
      </c>
      <c r="I173">
        <f>SUMIF('Quarterly Data'!$B:$B,'Annual Data'!$A173,'Quarterly Data'!K:K)</f>
        <v>0</v>
      </c>
      <c r="J173">
        <f>SUMIF('Quarterly Data'!$B:$B,'Annual Data'!$A173,'Quarterly Data'!L:L)</f>
        <v>0</v>
      </c>
      <c r="K173" t="e">
        <f>AVERAGEIF('Quarterly Data'!$B:$B,'Annual Data'!$A173,'Quarterly Data'!M:M)</f>
        <v>#DIV/0!</v>
      </c>
      <c r="L173" t="e">
        <f>AVERAGEIF('Quarterly Data'!$B:$B,'Annual Data'!$A173,'Quarterly Data'!N:N)</f>
        <v>#DIV/0!</v>
      </c>
      <c r="M173" t="e">
        <f>AVERAGEIF('Quarterly Data'!$B:$B,'Annual Data'!$A173,'Quarterly Data'!O:O)</f>
        <v>#DIV/0!</v>
      </c>
      <c r="N173" t="e">
        <f>AVERAGEIF('Quarterly Data'!$B:$B,'Annual Data'!$A173,'Quarterly Data'!P:P)</f>
        <v>#DIV/0!</v>
      </c>
      <c r="O173" t="e">
        <f>AVERAGEIF('Quarterly Data'!$B:$B,'Annual Data'!$A173,'Quarterly Data'!Q:Q)</f>
        <v>#DIV/0!</v>
      </c>
      <c r="P173">
        <f>SUMIF('Quarterly Data'!$B:$B,'Annual Data'!$A173,'Quarterly Data'!R:R)</f>
        <v>0</v>
      </c>
      <c r="Q173">
        <f>SUMIF('Quarterly Data'!$B:$B,'Annual Data'!$A173,'Quarterly Data'!S:S)</f>
        <v>0</v>
      </c>
      <c r="R173" t="e">
        <f>AVERAGEIF('Quarterly Data'!$B:$B,'Annual Data'!$A173,'Quarterly Data'!T:T)</f>
        <v>#DIV/0!</v>
      </c>
      <c r="S173">
        <f>SUMIF('Quarterly Data'!$B:$B,'Annual Data'!$A173,'Quarterly Data'!U:U)</f>
        <v>0</v>
      </c>
      <c r="T173">
        <f>SUMIF('Quarterly Data'!$B:$B,'Annual Data'!$A173,'Quarterly Data'!V:V)</f>
        <v>0</v>
      </c>
      <c r="U173">
        <f>SUMIF('Quarterly Data'!$B:$B,'Annual Data'!$A173,'Quarterly Data'!W:W)</f>
        <v>0</v>
      </c>
      <c r="V173">
        <f>SUMIF('Quarterly Data'!$B:$B,'Annual Data'!$A173,'Quarterly Data'!X:X)</f>
        <v>0</v>
      </c>
      <c r="W173">
        <f>SUMIF('Quarterly Data'!$B:$B,'Annual Data'!$A173,'Quarterly Data'!Y:Y)</f>
        <v>0</v>
      </c>
      <c r="X173">
        <f>SUMIF('Quarterly Data'!$B:$B,'Annual Data'!$A173,'Quarterly Data'!Z:Z)</f>
        <v>0</v>
      </c>
      <c r="Y173">
        <f>SUMIF('Quarterly Data'!$B:$B,'Annual Data'!$A173,'Quarterly Data'!AA:AA)</f>
        <v>0</v>
      </c>
      <c r="Z173" t="e">
        <f>AVERAGEIF('Quarterly Data'!$B:$B,'Annual Data'!$A173,'Quarterly Data'!AB:AB)</f>
        <v>#DIV/0!</v>
      </c>
      <c r="AA173" t="e">
        <f>AVERAGEIF('Quarterly Data'!$B:$B,'Annual Data'!$A173,'Quarterly Data'!AC:AC)</f>
        <v>#DIV/0!</v>
      </c>
      <c r="AB173" t="e">
        <f>AVERAGEIF('Quarterly Data'!$B:$B,'Annual Data'!$A173,'Quarterly Data'!AD:AD)</f>
        <v>#DIV/0!</v>
      </c>
      <c r="AC173" t="e">
        <f>AVERAGEIF('Quarterly Data'!$B:$B,'Annual Data'!$A173,'Quarterly Data'!AE:AE)</f>
        <v>#DIV/0!</v>
      </c>
      <c r="AD173" t="e">
        <f>AVERAGEIF('Quarterly Data'!$B:$B,'Annual Data'!$A173,'Quarterly Data'!AF:AF)</f>
        <v>#DIV/0!</v>
      </c>
      <c r="AE173">
        <f>SUMIF('Quarterly Data'!$B:$B,'Annual Data'!$A173,'Quarterly Data'!AG:AG)</f>
        <v>0</v>
      </c>
    </row>
    <row r="174" spans="1:31" x14ac:dyDescent="0.25">
      <c r="A174">
        <v>2140</v>
      </c>
      <c r="B174">
        <f>SUMIF('Quarterly Data'!$B:$B,'Annual Data'!$A174,'Quarterly Data'!D:D)</f>
        <v>0</v>
      </c>
      <c r="C174" t="e">
        <f>AVERAGEIF('Quarterly Data'!$B:$B,'Annual Data'!$A174,'Quarterly Data'!E:E)</f>
        <v>#DIV/0!</v>
      </c>
      <c r="D174">
        <f>SUMIF('Quarterly Data'!$B:$B,'Annual Data'!$A174,'Quarterly Data'!F:F)</f>
        <v>0</v>
      </c>
      <c r="E174">
        <f>SUMIF('Quarterly Data'!$B:$B,'Annual Data'!$A174,'Quarterly Data'!G:G)</f>
        <v>0</v>
      </c>
      <c r="F174">
        <f>SUMIF('Quarterly Data'!$B:$B,'Annual Data'!$A174,'Quarterly Data'!H:H)</f>
        <v>0</v>
      </c>
      <c r="G174">
        <f>SUMIF('Quarterly Data'!$B:$B,'Annual Data'!$A174,'Quarterly Data'!I:I)</f>
        <v>0</v>
      </c>
      <c r="H174">
        <f>SUMIF('Quarterly Data'!$B:$B,'Annual Data'!$A174,'Quarterly Data'!J:J)</f>
        <v>0</v>
      </c>
      <c r="I174">
        <f>SUMIF('Quarterly Data'!$B:$B,'Annual Data'!$A174,'Quarterly Data'!K:K)</f>
        <v>0</v>
      </c>
      <c r="J174">
        <f>SUMIF('Quarterly Data'!$B:$B,'Annual Data'!$A174,'Quarterly Data'!L:L)</f>
        <v>0</v>
      </c>
      <c r="K174" t="e">
        <f>AVERAGEIF('Quarterly Data'!$B:$B,'Annual Data'!$A174,'Quarterly Data'!M:M)</f>
        <v>#DIV/0!</v>
      </c>
      <c r="L174" t="e">
        <f>AVERAGEIF('Quarterly Data'!$B:$B,'Annual Data'!$A174,'Quarterly Data'!N:N)</f>
        <v>#DIV/0!</v>
      </c>
      <c r="M174" t="e">
        <f>AVERAGEIF('Quarterly Data'!$B:$B,'Annual Data'!$A174,'Quarterly Data'!O:O)</f>
        <v>#DIV/0!</v>
      </c>
      <c r="N174" t="e">
        <f>AVERAGEIF('Quarterly Data'!$B:$B,'Annual Data'!$A174,'Quarterly Data'!P:P)</f>
        <v>#DIV/0!</v>
      </c>
      <c r="O174" t="e">
        <f>AVERAGEIF('Quarterly Data'!$B:$B,'Annual Data'!$A174,'Quarterly Data'!Q:Q)</f>
        <v>#DIV/0!</v>
      </c>
      <c r="P174">
        <f>SUMIF('Quarterly Data'!$B:$B,'Annual Data'!$A174,'Quarterly Data'!R:R)</f>
        <v>0</v>
      </c>
      <c r="Q174">
        <f>SUMIF('Quarterly Data'!$B:$B,'Annual Data'!$A174,'Quarterly Data'!S:S)</f>
        <v>0</v>
      </c>
      <c r="R174" t="e">
        <f>AVERAGEIF('Quarterly Data'!$B:$B,'Annual Data'!$A174,'Quarterly Data'!T:T)</f>
        <v>#DIV/0!</v>
      </c>
      <c r="S174">
        <f>SUMIF('Quarterly Data'!$B:$B,'Annual Data'!$A174,'Quarterly Data'!U:U)</f>
        <v>0</v>
      </c>
      <c r="T174">
        <f>SUMIF('Quarterly Data'!$B:$B,'Annual Data'!$A174,'Quarterly Data'!V:V)</f>
        <v>0</v>
      </c>
      <c r="U174">
        <f>SUMIF('Quarterly Data'!$B:$B,'Annual Data'!$A174,'Quarterly Data'!W:W)</f>
        <v>0</v>
      </c>
      <c r="V174">
        <f>SUMIF('Quarterly Data'!$B:$B,'Annual Data'!$A174,'Quarterly Data'!X:X)</f>
        <v>0</v>
      </c>
      <c r="W174">
        <f>SUMIF('Quarterly Data'!$B:$B,'Annual Data'!$A174,'Quarterly Data'!Y:Y)</f>
        <v>0</v>
      </c>
      <c r="X174">
        <f>SUMIF('Quarterly Data'!$B:$B,'Annual Data'!$A174,'Quarterly Data'!Z:Z)</f>
        <v>0</v>
      </c>
      <c r="Y174">
        <f>SUMIF('Quarterly Data'!$B:$B,'Annual Data'!$A174,'Quarterly Data'!AA:AA)</f>
        <v>0</v>
      </c>
      <c r="Z174" t="e">
        <f>AVERAGEIF('Quarterly Data'!$B:$B,'Annual Data'!$A174,'Quarterly Data'!AB:AB)</f>
        <v>#DIV/0!</v>
      </c>
      <c r="AA174" t="e">
        <f>AVERAGEIF('Quarterly Data'!$B:$B,'Annual Data'!$A174,'Quarterly Data'!AC:AC)</f>
        <v>#DIV/0!</v>
      </c>
      <c r="AB174" t="e">
        <f>AVERAGEIF('Quarterly Data'!$B:$B,'Annual Data'!$A174,'Quarterly Data'!AD:AD)</f>
        <v>#DIV/0!</v>
      </c>
      <c r="AC174" t="e">
        <f>AVERAGEIF('Quarterly Data'!$B:$B,'Annual Data'!$A174,'Quarterly Data'!AE:AE)</f>
        <v>#DIV/0!</v>
      </c>
      <c r="AD174" t="e">
        <f>AVERAGEIF('Quarterly Data'!$B:$B,'Annual Data'!$A174,'Quarterly Data'!AF:AF)</f>
        <v>#DIV/0!</v>
      </c>
      <c r="AE174">
        <f>SUMIF('Quarterly Data'!$B:$B,'Annual Data'!$A174,'Quarterly Data'!AG:AG)</f>
        <v>0</v>
      </c>
    </row>
    <row r="175" spans="1:31" x14ac:dyDescent="0.25">
      <c r="A175">
        <v>2141</v>
      </c>
      <c r="B175">
        <f>SUMIF('Quarterly Data'!$B:$B,'Annual Data'!$A175,'Quarterly Data'!D:D)</f>
        <v>0</v>
      </c>
      <c r="C175" t="e">
        <f>AVERAGEIF('Quarterly Data'!$B:$B,'Annual Data'!$A175,'Quarterly Data'!E:E)</f>
        <v>#DIV/0!</v>
      </c>
      <c r="D175">
        <f>SUMIF('Quarterly Data'!$B:$B,'Annual Data'!$A175,'Quarterly Data'!F:F)</f>
        <v>0</v>
      </c>
      <c r="E175">
        <f>SUMIF('Quarterly Data'!$B:$B,'Annual Data'!$A175,'Quarterly Data'!G:G)</f>
        <v>0</v>
      </c>
      <c r="F175">
        <f>SUMIF('Quarterly Data'!$B:$B,'Annual Data'!$A175,'Quarterly Data'!H:H)</f>
        <v>0</v>
      </c>
      <c r="G175">
        <f>SUMIF('Quarterly Data'!$B:$B,'Annual Data'!$A175,'Quarterly Data'!I:I)</f>
        <v>0</v>
      </c>
      <c r="H175">
        <f>SUMIF('Quarterly Data'!$B:$B,'Annual Data'!$A175,'Quarterly Data'!J:J)</f>
        <v>0</v>
      </c>
      <c r="I175">
        <f>SUMIF('Quarterly Data'!$B:$B,'Annual Data'!$A175,'Quarterly Data'!K:K)</f>
        <v>0</v>
      </c>
      <c r="J175">
        <f>SUMIF('Quarterly Data'!$B:$B,'Annual Data'!$A175,'Quarterly Data'!L:L)</f>
        <v>0</v>
      </c>
      <c r="K175" t="e">
        <f>AVERAGEIF('Quarterly Data'!$B:$B,'Annual Data'!$A175,'Quarterly Data'!M:M)</f>
        <v>#DIV/0!</v>
      </c>
      <c r="L175" t="e">
        <f>AVERAGEIF('Quarterly Data'!$B:$B,'Annual Data'!$A175,'Quarterly Data'!N:N)</f>
        <v>#DIV/0!</v>
      </c>
      <c r="M175" t="e">
        <f>AVERAGEIF('Quarterly Data'!$B:$B,'Annual Data'!$A175,'Quarterly Data'!O:O)</f>
        <v>#DIV/0!</v>
      </c>
      <c r="N175" t="e">
        <f>AVERAGEIF('Quarterly Data'!$B:$B,'Annual Data'!$A175,'Quarterly Data'!P:P)</f>
        <v>#DIV/0!</v>
      </c>
      <c r="O175" t="e">
        <f>AVERAGEIF('Quarterly Data'!$B:$B,'Annual Data'!$A175,'Quarterly Data'!Q:Q)</f>
        <v>#DIV/0!</v>
      </c>
      <c r="P175">
        <f>SUMIF('Quarterly Data'!$B:$B,'Annual Data'!$A175,'Quarterly Data'!R:R)</f>
        <v>0</v>
      </c>
      <c r="Q175">
        <f>SUMIF('Quarterly Data'!$B:$B,'Annual Data'!$A175,'Quarterly Data'!S:S)</f>
        <v>0</v>
      </c>
      <c r="R175" t="e">
        <f>AVERAGEIF('Quarterly Data'!$B:$B,'Annual Data'!$A175,'Quarterly Data'!T:T)</f>
        <v>#DIV/0!</v>
      </c>
      <c r="S175">
        <f>SUMIF('Quarterly Data'!$B:$B,'Annual Data'!$A175,'Quarterly Data'!U:U)</f>
        <v>0</v>
      </c>
      <c r="T175">
        <f>SUMIF('Quarterly Data'!$B:$B,'Annual Data'!$A175,'Quarterly Data'!V:V)</f>
        <v>0</v>
      </c>
      <c r="U175">
        <f>SUMIF('Quarterly Data'!$B:$B,'Annual Data'!$A175,'Quarterly Data'!W:W)</f>
        <v>0</v>
      </c>
      <c r="V175">
        <f>SUMIF('Quarterly Data'!$B:$B,'Annual Data'!$A175,'Quarterly Data'!X:X)</f>
        <v>0</v>
      </c>
      <c r="W175">
        <f>SUMIF('Quarterly Data'!$B:$B,'Annual Data'!$A175,'Quarterly Data'!Y:Y)</f>
        <v>0</v>
      </c>
      <c r="X175">
        <f>SUMIF('Quarterly Data'!$B:$B,'Annual Data'!$A175,'Quarterly Data'!Z:Z)</f>
        <v>0</v>
      </c>
      <c r="Y175">
        <f>SUMIF('Quarterly Data'!$B:$B,'Annual Data'!$A175,'Quarterly Data'!AA:AA)</f>
        <v>0</v>
      </c>
      <c r="Z175" t="e">
        <f>AVERAGEIF('Quarterly Data'!$B:$B,'Annual Data'!$A175,'Quarterly Data'!AB:AB)</f>
        <v>#DIV/0!</v>
      </c>
      <c r="AA175" t="e">
        <f>AVERAGEIF('Quarterly Data'!$B:$B,'Annual Data'!$A175,'Quarterly Data'!AC:AC)</f>
        <v>#DIV/0!</v>
      </c>
      <c r="AB175" t="e">
        <f>AVERAGEIF('Quarterly Data'!$B:$B,'Annual Data'!$A175,'Quarterly Data'!AD:AD)</f>
        <v>#DIV/0!</v>
      </c>
      <c r="AC175" t="e">
        <f>AVERAGEIF('Quarterly Data'!$B:$B,'Annual Data'!$A175,'Quarterly Data'!AE:AE)</f>
        <v>#DIV/0!</v>
      </c>
      <c r="AD175" t="e">
        <f>AVERAGEIF('Quarterly Data'!$B:$B,'Annual Data'!$A175,'Quarterly Data'!AF:AF)</f>
        <v>#DIV/0!</v>
      </c>
      <c r="AE175">
        <f>SUMIF('Quarterly Data'!$B:$B,'Annual Data'!$A175,'Quarterly Data'!AG:AG)</f>
        <v>0</v>
      </c>
    </row>
    <row r="176" spans="1:31" x14ac:dyDescent="0.25">
      <c r="A176">
        <v>2142</v>
      </c>
      <c r="B176">
        <f>SUMIF('Quarterly Data'!$B:$B,'Annual Data'!$A176,'Quarterly Data'!D:D)</f>
        <v>0</v>
      </c>
      <c r="C176" t="e">
        <f>AVERAGEIF('Quarterly Data'!$B:$B,'Annual Data'!$A176,'Quarterly Data'!E:E)</f>
        <v>#DIV/0!</v>
      </c>
      <c r="D176">
        <f>SUMIF('Quarterly Data'!$B:$B,'Annual Data'!$A176,'Quarterly Data'!F:F)</f>
        <v>0</v>
      </c>
      <c r="E176">
        <f>SUMIF('Quarterly Data'!$B:$B,'Annual Data'!$A176,'Quarterly Data'!G:G)</f>
        <v>0</v>
      </c>
      <c r="F176">
        <f>SUMIF('Quarterly Data'!$B:$B,'Annual Data'!$A176,'Quarterly Data'!H:H)</f>
        <v>0</v>
      </c>
      <c r="G176">
        <f>SUMIF('Quarterly Data'!$B:$B,'Annual Data'!$A176,'Quarterly Data'!I:I)</f>
        <v>0</v>
      </c>
      <c r="H176">
        <f>SUMIF('Quarterly Data'!$B:$B,'Annual Data'!$A176,'Quarterly Data'!J:J)</f>
        <v>0</v>
      </c>
      <c r="I176">
        <f>SUMIF('Quarterly Data'!$B:$B,'Annual Data'!$A176,'Quarterly Data'!K:K)</f>
        <v>0</v>
      </c>
      <c r="J176">
        <f>SUMIF('Quarterly Data'!$B:$B,'Annual Data'!$A176,'Quarterly Data'!L:L)</f>
        <v>0</v>
      </c>
      <c r="K176" t="e">
        <f>AVERAGEIF('Quarterly Data'!$B:$B,'Annual Data'!$A176,'Quarterly Data'!M:M)</f>
        <v>#DIV/0!</v>
      </c>
      <c r="L176" t="e">
        <f>AVERAGEIF('Quarterly Data'!$B:$B,'Annual Data'!$A176,'Quarterly Data'!N:N)</f>
        <v>#DIV/0!</v>
      </c>
      <c r="M176" t="e">
        <f>AVERAGEIF('Quarterly Data'!$B:$B,'Annual Data'!$A176,'Quarterly Data'!O:O)</f>
        <v>#DIV/0!</v>
      </c>
      <c r="N176" t="e">
        <f>AVERAGEIF('Quarterly Data'!$B:$B,'Annual Data'!$A176,'Quarterly Data'!P:P)</f>
        <v>#DIV/0!</v>
      </c>
      <c r="O176" t="e">
        <f>AVERAGEIF('Quarterly Data'!$B:$B,'Annual Data'!$A176,'Quarterly Data'!Q:Q)</f>
        <v>#DIV/0!</v>
      </c>
      <c r="P176">
        <f>SUMIF('Quarterly Data'!$B:$B,'Annual Data'!$A176,'Quarterly Data'!R:R)</f>
        <v>0</v>
      </c>
      <c r="Q176">
        <f>SUMIF('Quarterly Data'!$B:$B,'Annual Data'!$A176,'Quarterly Data'!S:S)</f>
        <v>0</v>
      </c>
      <c r="R176" t="e">
        <f>AVERAGEIF('Quarterly Data'!$B:$B,'Annual Data'!$A176,'Quarterly Data'!T:T)</f>
        <v>#DIV/0!</v>
      </c>
      <c r="S176">
        <f>SUMIF('Quarterly Data'!$B:$B,'Annual Data'!$A176,'Quarterly Data'!U:U)</f>
        <v>0</v>
      </c>
      <c r="T176">
        <f>SUMIF('Quarterly Data'!$B:$B,'Annual Data'!$A176,'Quarterly Data'!V:V)</f>
        <v>0</v>
      </c>
      <c r="U176">
        <f>SUMIF('Quarterly Data'!$B:$B,'Annual Data'!$A176,'Quarterly Data'!W:W)</f>
        <v>0</v>
      </c>
      <c r="V176">
        <f>SUMIF('Quarterly Data'!$B:$B,'Annual Data'!$A176,'Quarterly Data'!X:X)</f>
        <v>0</v>
      </c>
      <c r="W176">
        <f>SUMIF('Quarterly Data'!$B:$B,'Annual Data'!$A176,'Quarterly Data'!Y:Y)</f>
        <v>0</v>
      </c>
      <c r="X176">
        <f>SUMIF('Quarterly Data'!$B:$B,'Annual Data'!$A176,'Quarterly Data'!Z:Z)</f>
        <v>0</v>
      </c>
      <c r="Y176">
        <f>SUMIF('Quarterly Data'!$B:$B,'Annual Data'!$A176,'Quarterly Data'!AA:AA)</f>
        <v>0</v>
      </c>
      <c r="Z176" t="e">
        <f>AVERAGEIF('Quarterly Data'!$B:$B,'Annual Data'!$A176,'Quarterly Data'!AB:AB)</f>
        <v>#DIV/0!</v>
      </c>
      <c r="AA176" t="e">
        <f>AVERAGEIF('Quarterly Data'!$B:$B,'Annual Data'!$A176,'Quarterly Data'!AC:AC)</f>
        <v>#DIV/0!</v>
      </c>
      <c r="AB176" t="e">
        <f>AVERAGEIF('Quarterly Data'!$B:$B,'Annual Data'!$A176,'Quarterly Data'!AD:AD)</f>
        <v>#DIV/0!</v>
      </c>
      <c r="AC176" t="e">
        <f>AVERAGEIF('Quarterly Data'!$B:$B,'Annual Data'!$A176,'Quarterly Data'!AE:AE)</f>
        <v>#DIV/0!</v>
      </c>
      <c r="AD176" t="e">
        <f>AVERAGEIF('Quarterly Data'!$B:$B,'Annual Data'!$A176,'Quarterly Data'!AF:AF)</f>
        <v>#DIV/0!</v>
      </c>
      <c r="AE176">
        <f>SUMIF('Quarterly Data'!$B:$B,'Annual Data'!$A176,'Quarterly Data'!AG:AG)</f>
        <v>0</v>
      </c>
    </row>
    <row r="177" spans="1:31" x14ac:dyDescent="0.25">
      <c r="A177">
        <v>2143</v>
      </c>
      <c r="B177">
        <f>SUMIF('Quarterly Data'!$B:$B,'Annual Data'!$A177,'Quarterly Data'!D:D)</f>
        <v>0</v>
      </c>
      <c r="C177" t="e">
        <f>AVERAGEIF('Quarterly Data'!$B:$B,'Annual Data'!$A177,'Quarterly Data'!E:E)</f>
        <v>#DIV/0!</v>
      </c>
      <c r="D177">
        <f>SUMIF('Quarterly Data'!$B:$B,'Annual Data'!$A177,'Quarterly Data'!F:F)</f>
        <v>0</v>
      </c>
      <c r="E177">
        <f>SUMIF('Quarterly Data'!$B:$B,'Annual Data'!$A177,'Quarterly Data'!G:G)</f>
        <v>0</v>
      </c>
      <c r="F177">
        <f>SUMIF('Quarterly Data'!$B:$B,'Annual Data'!$A177,'Quarterly Data'!H:H)</f>
        <v>0</v>
      </c>
      <c r="G177">
        <f>SUMIF('Quarterly Data'!$B:$B,'Annual Data'!$A177,'Quarterly Data'!I:I)</f>
        <v>0</v>
      </c>
      <c r="H177">
        <f>SUMIF('Quarterly Data'!$B:$B,'Annual Data'!$A177,'Quarterly Data'!J:J)</f>
        <v>0</v>
      </c>
      <c r="I177">
        <f>SUMIF('Quarterly Data'!$B:$B,'Annual Data'!$A177,'Quarterly Data'!K:K)</f>
        <v>0</v>
      </c>
      <c r="J177">
        <f>SUMIF('Quarterly Data'!$B:$B,'Annual Data'!$A177,'Quarterly Data'!L:L)</f>
        <v>0</v>
      </c>
      <c r="K177" t="e">
        <f>AVERAGEIF('Quarterly Data'!$B:$B,'Annual Data'!$A177,'Quarterly Data'!M:M)</f>
        <v>#DIV/0!</v>
      </c>
      <c r="L177" t="e">
        <f>AVERAGEIF('Quarterly Data'!$B:$B,'Annual Data'!$A177,'Quarterly Data'!N:N)</f>
        <v>#DIV/0!</v>
      </c>
      <c r="M177" t="e">
        <f>AVERAGEIF('Quarterly Data'!$B:$B,'Annual Data'!$A177,'Quarterly Data'!O:O)</f>
        <v>#DIV/0!</v>
      </c>
      <c r="N177" t="e">
        <f>AVERAGEIF('Quarterly Data'!$B:$B,'Annual Data'!$A177,'Quarterly Data'!P:P)</f>
        <v>#DIV/0!</v>
      </c>
      <c r="O177" t="e">
        <f>AVERAGEIF('Quarterly Data'!$B:$B,'Annual Data'!$A177,'Quarterly Data'!Q:Q)</f>
        <v>#DIV/0!</v>
      </c>
      <c r="P177">
        <f>SUMIF('Quarterly Data'!$B:$B,'Annual Data'!$A177,'Quarterly Data'!R:R)</f>
        <v>0</v>
      </c>
      <c r="Q177">
        <f>SUMIF('Quarterly Data'!$B:$B,'Annual Data'!$A177,'Quarterly Data'!S:S)</f>
        <v>0</v>
      </c>
      <c r="R177" t="e">
        <f>AVERAGEIF('Quarterly Data'!$B:$B,'Annual Data'!$A177,'Quarterly Data'!T:T)</f>
        <v>#DIV/0!</v>
      </c>
      <c r="S177">
        <f>SUMIF('Quarterly Data'!$B:$B,'Annual Data'!$A177,'Quarterly Data'!U:U)</f>
        <v>0</v>
      </c>
      <c r="T177">
        <f>SUMIF('Quarterly Data'!$B:$B,'Annual Data'!$A177,'Quarterly Data'!V:V)</f>
        <v>0</v>
      </c>
      <c r="U177">
        <f>SUMIF('Quarterly Data'!$B:$B,'Annual Data'!$A177,'Quarterly Data'!W:W)</f>
        <v>0</v>
      </c>
      <c r="V177">
        <f>SUMIF('Quarterly Data'!$B:$B,'Annual Data'!$A177,'Quarterly Data'!X:X)</f>
        <v>0</v>
      </c>
      <c r="W177">
        <f>SUMIF('Quarterly Data'!$B:$B,'Annual Data'!$A177,'Quarterly Data'!Y:Y)</f>
        <v>0</v>
      </c>
      <c r="X177">
        <f>SUMIF('Quarterly Data'!$B:$B,'Annual Data'!$A177,'Quarterly Data'!Z:Z)</f>
        <v>0</v>
      </c>
      <c r="Y177">
        <f>SUMIF('Quarterly Data'!$B:$B,'Annual Data'!$A177,'Quarterly Data'!AA:AA)</f>
        <v>0</v>
      </c>
      <c r="Z177" t="e">
        <f>AVERAGEIF('Quarterly Data'!$B:$B,'Annual Data'!$A177,'Quarterly Data'!AB:AB)</f>
        <v>#DIV/0!</v>
      </c>
      <c r="AA177" t="e">
        <f>AVERAGEIF('Quarterly Data'!$B:$B,'Annual Data'!$A177,'Quarterly Data'!AC:AC)</f>
        <v>#DIV/0!</v>
      </c>
      <c r="AB177" t="e">
        <f>AVERAGEIF('Quarterly Data'!$B:$B,'Annual Data'!$A177,'Quarterly Data'!AD:AD)</f>
        <v>#DIV/0!</v>
      </c>
      <c r="AC177" t="e">
        <f>AVERAGEIF('Quarterly Data'!$B:$B,'Annual Data'!$A177,'Quarterly Data'!AE:AE)</f>
        <v>#DIV/0!</v>
      </c>
      <c r="AD177" t="e">
        <f>AVERAGEIF('Quarterly Data'!$B:$B,'Annual Data'!$A177,'Quarterly Data'!AF:AF)</f>
        <v>#DIV/0!</v>
      </c>
      <c r="AE177">
        <f>SUMIF('Quarterly Data'!$B:$B,'Annual Data'!$A177,'Quarterly Data'!AG:AG)</f>
        <v>0</v>
      </c>
    </row>
    <row r="178" spans="1:31" x14ac:dyDescent="0.25">
      <c r="A178">
        <v>2144</v>
      </c>
      <c r="B178">
        <f>SUMIF('Quarterly Data'!$B:$B,'Annual Data'!$A178,'Quarterly Data'!D:D)</f>
        <v>0</v>
      </c>
      <c r="C178" t="e">
        <f>AVERAGEIF('Quarterly Data'!$B:$B,'Annual Data'!$A178,'Quarterly Data'!E:E)</f>
        <v>#DIV/0!</v>
      </c>
      <c r="D178">
        <f>SUMIF('Quarterly Data'!$B:$B,'Annual Data'!$A178,'Quarterly Data'!F:F)</f>
        <v>0</v>
      </c>
      <c r="E178">
        <f>SUMIF('Quarterly Data'!$B:$B,'Annual Data'!$A178,'Quarterly Data'!G:G)</f>
        <v>0</v>
      </c>
      <c r="F178">
        <f>SUMIF('Quarterly Data'!$B:$B,'Annual Data'!$A178,'Quarterly Data'!H:H)</f>
        <v>0</v>
      </c>
      <c r="G178">
        <f>SUMIF('Quarterly Data'!$B:$B,'Annual Data'!$A178,'Quarterly Data'!I:I)</f>
        <v>0</v>
      </c>
      <c r="H178">
        <f>SUMIF('Quarterly Data'!$B:$B,'Annual Data'!$A178,'Quarterly Data'!J:J)</f>
        <v>0</v>
      </c>
      <c r="I178">
        <f>SUMIF('Quarterly Data'!$B:$B,'Annual Data'!$A178,'Quarterly Data'!K:K)</f>
        <v>0</v>
      </c>
      <c r="J178">
        <f>SUMIF('Quarterly Data'!$B:$B,'Annual Data'!$A178,'Quarterly Data'!L:L)</f>
        <v>0</v>
      </c>
      <c r="K178" t="e">
        <f>AVERAGEIF('Quarterly Data'!$B:$B,'Annual Data'!$A178,'Quarterly Data'!M:M)</f>
        <v>#DIV/0!</v>
      </c>
      <c r="L178" t="e">
        <f>AVERAGEIF('Quarterly Data'!$B:$B,'Annual Data'!$A178,'Quarterly Data'!N:N)</f>
        <v>#DIV/0!</v>
      </c>
      <c r="M178" t="e">
        <f>AVERAGEIF('Quarterly Data'!$B:$B,'Annual Data'!$A178,'Quarterly Data'!O:O)</f>
        <v>#DIV/0!</v>
      </c>
      <c r="N178" t="e">
        <f>AVERAGEIF('Quarterly Data'!$B:$B,'Annual Data'!$A178,'Quarterly Data'!P:P)</f>
        <v>#DIV/0!</v>
      </c>
      <c r="O178" t="e">
        <f>AVERAGEIF('Quarterly Data'!$B:$B,'Annual Data'!$A178,'Quarterly Data'!Q:Q)</f>
        <v>#DIV/0!</v>
      </c>
      <c r="P178">
        <f>SUMIF('Quarterly Data'!$B:$B,'Annual Data'!$A178,'Quarterly Data'!R:R)</f>
        <v>0</v>
      </c>
      <c r="Q178">
        <f>SUMIF('Quarterly Data'!$B:$B,'Annual Data'!$A178,'Quarterly Data'!S:S)</f>
        <v>0</v>
      </c>
      <c r="R178" t="e">
        <f>AVERAGEIF('Quarterly Data'!$B:$B,'Annual Data'!$A178,'Quarterly Data'!T:T)</f>
        <v>#DIV/0!</v>
      </c>
      <c r="S178">
        <f>SUMIF('Quarterly Data'!$B:$B,'Annual Data'!$A178,'Quarterly Data'!U:U)</f>
        <v>0</v>
      </c>
      <c r="T178">
        <f>SUMIF('Quarterly Data'!$B:$B,'Annual Data'!$A178,'Quarterly Data'!V:V)</f>
        <v>0</v>
      </c>
      <c r="U178">
        <f>SUMIF('Quarterly Data'!$B:$B,'Annual Data'!$A178,'Quarterly Data'!W:W)</f>
        <v>0</v>
      </c>
      <c r="V178">
        <f>SUMIF('Quarterly Data'!$B:$B,'Annual Data'!$A178,'Quarterly Data'!X:X)</f>
        <v>0</v>
      </c>
      <c r="W178">
        <f>SUMIF('Quarterly Data'!$B:$B,'Annual Data'!$A178,'Quarterly Data'!Y:Y)</f>
        <v>0</v>
      </c>
      <c r="X178">
        <f>SUMIF('Quarterly Data'!$B:$B,'Annual Data'!$A178,'Quarterly Data'!Z:Z)</f>
        <v>0</v>
      </c>
      <c r="Y178">
        <f>SUMIF('Quarterly Data'!$B:$B,'Annual Data'!$A178,'Quarterly Data'!AA:AA)</f>
        <v>0</v>
      </c>
      <c r="Z178" t="e">
        <f>AVERAGEIF('Quarterly Data'!$B:$B,'Annual Data'!$A178,'Quarterly Data'!AB:AB)</f>
        <v>#DIV/0!</v>
      </c>
      <c r="AA178" t="e">
        <f>AVERAGEIF('Quarterly Data'!$B:$B,'Annual Data'!$A178,'Quarterly Data'!AC:AC)</f>
        <v>#DIV/0!</v>
      </c>
      <c r="AB178" t="e">
        <f>AVERAGEIF('Quarterly Data'!$B:$B,'Annual Data'!$A178,'Quarterly Data'!AD:AD)</f>
        <v>#DIV/0!</v>
      </c>
      <c r="AC178" t="e">
        <f>AVERAGEIF('Quarterly Data'!$B:$B,'Annual Data'!$A178,'Quarterly Data'!AE:AE)</f>
        <v>#DIV/0!</v>
      </c>
      <c r="AD178" t="e">
        <f>AVERAGEIF('Quarterly Data'!$B:$B,'Annual Data'!$A178,'Quarterly Data'!AF:AF)</f>
        <v>#DIV/0!</v>
      </c>
      <c r="AE178">
        <f>SUMIF('Quarterly Data'!$B:$B,'Annual Data'!$A178,'Quarterly Data'!AG:AG)</f>
        <v>0</v>
      </c>
    </row>
    <row r="179" spans="1:31" x14ac:dyDescent="0.25">
      <c r="A179">
        <v>2145</v>
      </c>
      <c r="B179">
        <f>SUMIF('Quarterly Data'!$B:$B,'Annual Data'!$A179,'Quarterly Data'!D:D)</f>
        <v>0</v>
      </c>
      <c r="C179" t="e">
        <f>AVERAGEIF('Quarterly Data'!$B:$B,'Annual Data'!$A179,'Quarterly Data'!E:E)</f>
        <v>#DIV/0!</v>
      </c>
      <c r="D179">
        <f>SUMIF('Quarterly Data'!$B:$B,'Annual Data'!$A179,'Quarterly Data'!F:F)</f>
        <v>0</v>
      </c>
      <c r="E179">
        <f>SUMIF('Quarterly Data'!$B:$B,'Annual Data'!$A179,'Quarterly Data'!G:G)</f>
        <v>0</v>
      </c>
      <c r="F179">
        <f>SUMIF('Quarterly Data'!$B:$B,'Annual Data'!$A179,'Quarterly Data'!H:H)</f>
        <v>0</v>
      </c>
      <c r="G179">
        <f>SUMIF('Quarterly Data'!$B:$B,'Annual Data'!$A179,'Quarterly Data'!I:I)</f>
        <v>0</v>
      </c>
      <c r="H179">
        <f>SUMIF('Quarterly Data'!$B:$B,'Annual Data'!$A179,'Quarterly Data'!J:J)</f>
        <v>0</v>
      </c>
      <c r="I179">
        <f>SUMIF('Quarterly Data'!$B:$B,'Annual Data'!$A179,'Quarterly Data'!K:K)</f>
        <v>0</v>
      </c>
      <c r="J179">
        <f>SUMIF('Quarterly Data'!$B:$B,'Annual Data'!$A179,'Quarterly Data'!L:L)</f>
        <v>0</v>
      </c>
      <c r="K179" t="e">
        <f>AVERAGEIF('Quarterly Data'!$B:$B,'Annual Data'!$A179,'Quarterly Data'!M:M)</f>
        <v>#DIV/0!</v>
      </c>
      <c r="L179" t="e">
        <f>AVERAGEIF('Quarterly Data'!$B:$B,'Annual Data'!$A179,'Quarterly Data'!N:N)</f>
        <v>#DIV/0!</v>
      </c>
      <c r="M179" t="e">
        <f>AVERAGEIF('Quarterly Data'!$B:$B,'Annual Data'!$A179,'Quarterly Data'!O:O)</f>
        <v>#DIV/0!</v>
      </c>
      <c r="N179" t="e">
        <f>AVERAGEIF('Quarterly Data'!$B:$B,'Annual Data'!$A179,'Quarterly Data'!P:P)</f>
        <v>#DIV/0!</v>
      </c>
      <c r="O179" t="e">
        <f>AVERAGEIF('Quarterly Data'!$B:$B,'Annual Data'!$A179,'Quarterly Data'!Q:Q)</f>
        <v>#DIV/0!</v>
      </c>
      <c r="P179">
        <f>SUMIF('Quarterly Data'!$B:$B,'Annual Data'!$A179,'Quarterly Data'!R:R)</f>
        <v>0</v>
      </c>
      <c r="Q179">
        <f>SUMIF('Quarterly Data'!$B:$B,'Annual Data'!$A179,'Quarterly Data'!S:S)</f>
        <v>0</v>
      </c>
      <c r="R179" t="e">
        <f>AVERAGEIF('Quarterly Data'!$B:$B,'Annual Data'!$A179,'Quarterly Data'!T:T)</f>
        <v>#DIV/0!</v>
      </c>
      <c r="S179">
        <f>SUMIF('Quarterly Data'!$B:$B,'Annual Data'!$A179,'Quarterly Data'!U:U)</f>
        <v>0</v>
      </c>
      <c r="T179">
        <f>SUMIF('Quarterly Data'!$B:$B,'Annual Data'!$A179,'Quarterly Data'!V:V)</f>
        <v>0</v>
      </c>
      <c r="U179">
        <f>SUMIF('Quarterly Data'!$B:$B,'Annual Data'!$A179,'Quarterly Data'!W:W)</f>
        <v>0</v>
      </c>
      <c r="V179">
        <f>SUMIF('Quarterly Data'!$B:$B,'Annual Data'!$A179,'Quarterly Data'!X:X)</f>
        <v>0</v>
      </c>
      <c r="W179">
        <f>SUMIF('Quarterly Data'!$B:$B,'Annual Data'!$A179,'Quarterly Data'!Y:Y)</f>
        <v>0</v>
      </c>
      <c r="X179">
        <f>SUMIF('Quarterly Data'!$B:$B,'Annual Data'!$A179,'Quarterly Data'!Z:Z)</f>
        <v>0</v>
      </c>
      <c r="Y179">
        <f>SUMIF('Quarterly Data'!$B:$B,'Annual Data'!$A179,'Quarterly Data'!AA:AA)</f>
        <v>0</v>
      </c>
      <c r="Z179" t="e">
        <f>AVERAGEIF('Quarterly Data'!$B:$B,'Annual Data'!$A179,'Quarterly Data'!AB:AB)</f>
        <v>#DIV/0!</v>
      </c>
      <c r="AA179" t="e">
        <f>AVERAGEIF('Quarterly Data'!$B:$B,'Annual Data'!$A179,'Quarterly Data'!AC:AC)</f>
        <v>#DIV/0!</v>
      </c>
      <c r="AB179" t="e">
        <f>AVERAGEIF('Quarterly Data'!$B:$B,'Annual Data'!$A179,'Quarterly Data'!AD:AD)</f>
        <v>#DIV/0!</v>
      </c>
      <c r="AC179" t="e">
        <f>AVERAGEIF('Quarterly Data'!$B:$B,'Annual Data'!$A179,'Quarterly Data'!AE:AE)</f>
        <v>#DIV/0!</v>
      </c>
      <c r="AD179" t="e">
        <f>AVERAGEIF('Quarterly Data'!$B:$B,'Annual Data'!$A179,'Quarterly Data'!AF:AF)</f>
        <v>#DIV/0!</v>
      </c>
      <c r="AE179">
        <f>SUMIF('Quarterly Data'!$B:$B,'Annual Data'!$A179,'Quarterly Data'!AG:AG)</f>
        <v>0</v>
      </c>
    </row>
    <row r="180" spans="1:31" x14ac:dyDescent="0.25">
      <c r="A180">
        <v>2146</v>
      </c>
      <c r="B180">
        <f>SUMIF('Quarterly Data'!$B:$B,'Annual Data'!$A180,'Quarterly Data'!D:D)</f>
        <v>0</v>
      </c>
      <c r="C180" t="e">
        <f>AVERAGEIF('Quarterly Data'!$B:$B,'Annual Data'!$A180,'Quarterly Data'!E:E)</f>
        <v>#DIV/0!</v>
      </c>
      <c r="D180">
        <f>SUMIF('Quarterly Data'!$B:$B,'Annual Data'!$A180,'Quarterly Data'!F:F)</f>
        <v>0</v>
      </c>
      <c r="E180">
        <f>SUMIF('Quarterly Data'!$B:$B,'Annual Data'!$A180,'Quarterly Data'!G:G)</f>
        <v>0</v>
      </c>
      <c r="F180">
        <f>SUMIF('Quarterly Data'!$B:$B,'Annual Data'!$A180,'Quarterly Data'!H:H)</f>
        <v>0</v>
      </c>
      <c r="G180">
        <f>SUMIF('Quarterly Data'!$B:$B,'Annual Data'!$A180,'Quarterly Data'!I:I)</f>
        <v>0</v>
      </c>
      <c r="H180">
        <f>SUMIF('Quarterly Data'!$B:$B,'Annual Data'!$A180,'Quarterly Data'!J:J)</f>
        <v>0</v>
      </c>
      <c r="I180">
        <f>SUMIF('Quarterly Data'!$B:$B,'Annual Data'!$A180,'Quarterly Data'!K:K)</f>
        <v>0</v>
      </c>
      <c r="J180">
        <f>SUMIF('Quarterly Data'!$B:$B,'Annual Data'!$A180,'Quarterly Data'!L:L)</f>
        <v>0</v>
      </c>
      <c r="K180" t="e">
        <f>AVERAGEIF('Quarterly Data'!$B:$B,'Annual Data'!$A180,'Quarterly Data'!M:M)</f>
        <v>#DIV/0!</v>
      </c>
      <c r="L180" t="e">
        <f>AVERAGEIF('Quarterly Data'!$B:$B,'Annual Data'!$A180,'Quarterly Data'!N:N)</f>
        <v>#DIV/0!</v>
      </c>
      <c r="M180" t="e">
        <f>AVERAGEIF('Quarterly Data'!$B:$B,'Annual Data'!$A180,'Quarterly Data'!O:O)</f>
        <v>#DIV/0!</v>
      </c>
      <c r="N180" t="e">
        <f>AVERAGEIF('Quarterly Data'!$B:$B,'Annual Data'!$A180,'Quarterly Data'!P:P)</f>
        <v>#DIV/0!</v>
      </c>
      <c r="O180" t="e">
        <f>AVERAGEIF('Quarterly Data'!$B:$B,'Annual Data'!$A180,'Quarterly Data'!Q:Q)</f>
        <v>#DIV/0!</v>
      </c>
      <c r="P180">
        <f>SUMIF('Quarterly Data'!$B:$B,'Annual Data'!$A180,'Quarterly Data'!R:R)</f>
        <v>0</v>
      </c>
      <c r="Q180">
        <f>SUMIF('Quarterly Data'!$B:$B,'Annual Data'!$A180,'Quarterly Data'!S:S)</f>
        <v>0</v>
      </c>
      <c r="R180" t="e">
        <f>AVERAGEIF('Quarterly Data'!$B:$B,'Annual Data'!$A180,'Quarterly Data'!T:T)</f>
        <v>#DIV/0!</v>
      </c>
      <c r="S180">
        <f>SUMIF('Quarterly Data'!$B:$B,'Annual Data'!$A180,'Quarterly Data'!U:U)</f>
        <v>0</v>
      </c>
      <c r="T180">
        <f>SUMIF('Quarterly Data'!$B:$B,'Annual Data'!$A180,'Quarterly Data'!V:V)</f>
        <v>0</v>
      </c>
      <c r="U180">
        <f>SUMIF('Quarterly Data'!$B:$B,'Annual Data'!$A180,'Quarterly Data'!W:W)</f>
        <v>0</v>
      </c>
      <c r="V180">
        <f>SUMIF('Quarterly Data'!$B:$B,'Annual Data'!$A180,'Quarterly Data'!X:X)</f>
        <v>0</v>
      </c>
      <c r="W180">
        <f>SUMIF('Quarterly Data'!$B:$B,'Annual Data'!$A180,'Quarterly Data'!Y:Y)</f>
        <v>0</v>
      </c>
      <c r="X180">
        <f>SUMIF('Quarterly Data'!$B:$B,'Annual Data'!$A180,'Quarterly Data'!Z:Z)</f>
        <v>0</v>
      </c>
      <c r="Y180">
        <f>SUMIF('Quarterly Data'!$B:$B,'Annual Data'!$A180,'Quarterly Data'!AA:AA)</f>
        <v>0</v>
      </c>
      <c r="Z180" t="e">
        <f>AVERAGEIF('Quarterly Data'!$B:$B,'Annual Data'!$A180,'Quarterly Data'!AB:AB)</f>
        <v>#DIV/0!</v>
      </c>
      <c r="AA180" t="e">
        <f>AVERAGEIF('Quarterly Data'!$B:$B,'Annual Data'!$A180,'Quarterly Data'!AC:AC)</f>
        <v>#DIV/0!</v>
      </c>
      <c r="AB180" t="e">
        <f>AVERAGEIF('Quarterly Data'!$B:$B,'Annual Data'!$A180,'Quarterly Data'!AD:AD)</f>
        <v>#DIV/0!</v>
      </c>
      <c r="AC180" t="e">
        <f>AVERAGEIF('Quarterly Data'!$B:$B,'Annual Data'!$A180,'Quarterly Data'!AE:AE)</f>
        <v>#DIV/0!</v>
      </c>
      <c r="AD180" t="e">
        <f>AVERAGEIF('Quarterly Data'!$B:$B,'Annual Data'!$A180,'Quarterly Data'!AF:AF)</f>
        <v>#DIV/0!</v>
      </c>
      <c r="AE180">
        <f>SUMIF('Quarterly Data'!$B:$B,'Annual Data'!$A180,'Quarterly Data'!AG:AG)</f>
        <v>0</v>
      </c>
    </row>
    <row r="181" spans="1:31" x14ac:dyDescent="0.25">
      <c r="A181">
        <v>2147</v>
      </c>
      <c r="B181">
        <f>SUMIF('Quarterly Data'!$B:$B,'Annual Data'!$A181,'Quarterly Data'!D:D)</f>
        <v>0</v>
      </c>
      <c r="C181" t="e">
        <f>AVERAGEIF('Quarterly Data'!$B:$B,'Annual Data'!$A181,'Quarterly Data'!E:E)</f>
        <v>#DIV/0!</v>
      </c>
      <c r="D181">
        <f>SUMIF('Quarterly Data'!$B:$B,'Annual Data'!$A181,'Quarterly Data'!F:F)</f>
        <v>0</v>
      </c>
      <c r="E181">
        <f>SUMIF('Quarterly Data'!$B:$B,'Annual Data'!$A181,'Quarterly Data'!G:G)</f>
        <v>0</v>
      </c>
      <c r="F181">
        <f>SUMIF('Quarterly Data'!$B:$B,'Annual Data'!$A181,'Quarterly Data'!H:H)</f>
        <v>0</v>
      </c>
      <c r="G181">
        <f>SUMIF('Quarterly Data'!$B:$B,'Annual Data'!$A181,'Quarterly Data'!I:I)</f>
        <v>0</v>
      </c>
      <c r="H181">
        <f>SUMIF('Quarterly Data'!$B:$B,'Annual Data'!$A181,'Quarterly Data'!J:J)</f>
        <v>0</v>
      </c>
      <c r="I181">
        <f>SUMIF('Quarterly Data'!$B:$B,'Annual Data'!$A181,'Quarterly Data'!K:K)</f>
        <v>0</v>
      </c>
      <c r="J181">
        <f>SUMIF('Quarterly Data'!$B:$B,'Annual Data'!$A181,'Quarterly Data'!L:L)</f>
        <v>0</v>
      </c>
      <c r="K181" t="e">
        <f>AVERAGEIF('Quarterly Data'!$B:$B,'Annual Data'!$A181,'Quarterly Data'!M:M)</f>
        <v>#DIV/0!</v>
      </c>
      <c r="L181" t="e">
        <f>AVERAGEIF('Quarterly Data'!$B:$B,'Annual Data'!$A181,'Quarterly Data'!N:N)</f>
        <v>#DIV/0!</v>
      </c>
      <c r="M181" t="e">
        <f>AVERAGEIF('Quarterly Data'!$B:$B,'Annual Data'!$A181,'Quarterly Data'!O:O)</f>
        <v>#DIV/0!</v>
      </c>
      <c r="N181" t="e">
        <f>AVERAGEIF('Quarterly Data'!$B:$B,'Annual Data'!$A181,'Quarterly Data'!P:P)</f>
        <v>#DIV/0!</v>
      </c>
      <c r="O181" t="e">
        <f>AVERAGEIF('Quarterly Data'!$B:$B,'Annual Data'!$A181,'Quarterly Data'!Q:Q)</f>
        <v>#DIV/0!</v>
      </c>
      <c r="P181">
        <f>SUMIF('Quarterly Data'!$B:$B,'Annual Data'!$A181,'Quarterly Data'!R:R)</f>
        <v>0</v>
      </c>
      <c r="Q181">
        <f>SUMIF('Quarterly Data'!$B:$B,'Annual Data'!$A181,'Quarterly Data'!S:S)</f>
        <v>0</v>
      </c>
      <c r="R181" t="e">
        <f>AVERAGEIF('Quarterly Data'!$B:$B,'Annual Data'!$A181,'Quarterly Data'!T:T)</f>
        <v>#DIV/0!</v>
      </c>
      <c r="S181">
        <f>SUMIF('Quarterly Data'!$B:$B,'Annual Data'!$A181,'Quarterly Data'!U:U)</f>
        <v>0</v>
      </c>
      <c r="T181">
        <f>SUMIF('Quarterly Data'!$B:$B,'Annual Data'!$A181,'Quarterly Data'!V:V)</f>
        <v>0</v>
      </c>
      <c r="U181">
        <f>SUMIF('Quarterly Data'!$B:$B,'Annual Data'!$A181,'Quarterly Data'!W:W)</f>
        <v>0</v>
      </c>
      <c r="V181">
        <f>SUMIF('Quarterly Data'!$B:$B,'Annual Data'!$A181,'Quarterly Data'!X:X)</f>
        <v>0</v>
      </c>
      <c r="W181">
        <f>SUMIF('Quarterly Data'!$B:$B,'Annual Data'!$A181,'Quarterly Data'!Y:Y)</f>
        <v>0</v>
      </c>
      <c r="X181">
        <f>SUMIF('Quarterly Data'!$B:$B,'Annual Data'!$A181,'Quarterly Data'!Z:Z)</f>
        <v>0</v>
      </c>
      <c r="Y181">
        <f>SUMIF('Quarterly Data'!$B:$B,'Annual Data'!$A181,'Quarterly Data'!AA:AA)</f>
        <v>0</v>
      </c>
      <c r="Z181" t="e">
        <f>AVERAGEIF('Quarterly Data'!$B:$B,'Annual Data'!$A181,'Quarterly Data'!AB:AB)</f>
        <v>#DIV/0!</v>
      </c>
      <c r="AA181" t="e">
        <f>AVERAGEIF('Quarterly Data'!$B:$B,'Annual Data'!$A181,'Quarterly Data'!AC:AC)</f>
        <v>#DIV/0!</v>
      </c>
      <c r="AB181" t="e">
        <f>AVERAGEIF('Quarterly Data'!$B:$B,'Annual Data'!$A181,'Quarterly Data'!AD:AD)</f>
        <v>#DIV/0!</v>
      </c>
      <c r="AC181" t="e">
        <f>AVERAGEIF('Quarterly Data'!$B:$B,'Annual Data'!$A181,'Quarterly Data'!AE:AE)</f>
        <v>#DIV/0!</v>
      </c>
      <c r="AD181" t="e">
        <f>AVERAGEIF('Quarterly Data'!$B:$B,'Annual Data'!$A181,'Quarterly Data'!AF:AF)</f>
        <v>#DIV/0!</v>
      </c>
      <c r="AE181">
        <f>SUMIF('Quarterly Data'!$B:$B,'Annual Data'!$A181,'Quarterly Data'!AG:AG)</f>
        <v>0</v>
      </c>
    </row>
    <row r="182" spans="1:31" x14ac:dyDescent="0.25">
      <c r="A182">
        <v>2148</v>
      </c>
      <c r="B182">
        <f>SUMIF('Quarterly Data'!$B:$B,'Annual Data'!$A182,'Quarterly Data'!D:D)</f>
        <v>0</v>
      </c>
      <c r="C182" t="e">
        <f>AVERAGEIF('Quarterly Data'!$B:$B,'Annual Data'!$A182,'Quarterly Data'!E:E)</f>
        <v>#DIV/0!</v>
      </c>
      <c r="D182">
        <f>SUMIF('Quarterly Data'!$B:$B,'Annual Data'!$A182,'Quarterly Data'!F:F)</f>
        <v>0</v>
      </c>
      <c r="E182">
        <f>SUMIF('Quarterly Data'!$B:$B,'Annual Data'!$A182,'Quarterly Data'!G:G)</f>
        <v>0</v>
      </c>
      <c r="F182">
        <f>SUMIF('Quarterly Data'!$B:$B,'Annual Data'!$A182,'Quarterly Data'!H:H)</f>
        <v>0</v>
      </c>
      <c r="G182">
        <f>SUMIF('Quarterly Data'!$B:$B,'Annual Data'!$A182,'Quarterly Data'!I:I)</f>
        <v>0</v>
      </c>
      <c r="H182">
        <f>SUMIF('Quarterly Data'!$B:$B,'Annual Data'!$A182,'Quarterly Data'!J:J)</f>
        <v>0</v>
      </c>
      <c r="I182">
        <f>SUMIF('Quarterly Data'!$B:$B,'Annual Data'!$A182,'Quarterly Data'!K:K)</f>
        <v>0</v>
      </c>
      <c r="J182">
        <f>SUMIF('Quarterly Data'!$B:$B,'Annual Data'!$A182,'Quarterly Data'!L:L)</f>
        <v>0</v>
      </c>
      <c r="K182" t="e">
        <f>AVERAGEIF('Quarterly Data'!$B:$B,'Annual Data'!$A182,'Quarterly Data'!M:M)</f>
        <v>#DIV/0!</v>
      </c>
      <c r="L182" t="e">
        <f>AVERAGEIF('Quarterly Data'!$B:$B,'Annual Data'!$A182,'Quarterly Data'!N:N)</f>
        <v>#DIV/0!</v>
      </c>
      <c r="M182" t="e">
        <f>AVERAGEIF('Quarterly Data'!$B:$B,'Annual Data'!$A182,'Quarterly Data'!O:O)</f>
        <v>#DIV/0!</v>
      </c>
      <c r="N182" t="e">
        <f>AVERAGEIF('Quarterly Data'!$B:$B,'Annual Data'!$A182,'Quarterly Data'!P:P)</f>
        <v>#DIV/0!</v>
      </c>
      <c r="O182" t="e">
        <f>AVERAGEIF('Quarterly Data'!$B:$B,'Annual Data'!$A182,'Quarterly Data'!Q:Q)</f>
        <v>#DIV/0!</v>
      </c>
      <c r="P182">
        <f>SUMIF('Quarterly Data'!$B:$B,'Annual Data'!$A182,'Quarterly Data'!R:R)</f>
        <v>0</v>
      </c>
      <c r="Q182">
        <f>SUMIF('Quarterly Data'!$B:$B,'Annual Data'!$A182,'Quarterly Data'!S:S)</f>
        <v>0</v>
      </c>
      <c r="R182" t="e">
        <f>AVERAGEIF('Quarterly Data'!$B:$B,'Annual Data'!$A182,'Quarterly Data'!T:T)</f>
        <v>#DIV/0!</v>
      </c>
      <c r="S182">
        <f>SUMIF('Quarterly Data'!$B:$B,'Annual Data'!$A182,'Quarterly Data'!U:U)</f>
        <v>0</v>
      </c>
      <c r="T182">
        <f>SUMIF('Quarterly Data'!$B:$B,'Annual Data'!$A182,'Quarterly Data'!V:V)</f>
        <v>0</v>
      </c>
      <c r="U182">
        <f>SUMIF('Quarterly Data'!$B:$B,'Annual Data'!$A182,'Quarterly Data'!W:W)</f>
        <v>0</v>
      </c>
      <c r="V182">
        <f>SUMIF('Quarterly Data'!$B:$B,'Annual Data'!$A182,'Quarterly Data'!X:X)</f>
        <v>0</v>
      </c>
      <c r="W182">
        <f>SUMIF('Quarterly Data'!$B:$B,'Annual Data'!$A182,'Quarterly Data'!Y:Y)</f>
        <v>0</v>
      </c>
      <c r="X182">
        <f>SUMIF('Quarterly Data'!$B:$B,'Annual Data'!$A182,'Quarterly Data'!Z:Z)</f>
        <v>0</v>
      </c>
      <c r="Y182">
        <f>SUMIF('Quarterly Data'!$B:$B,'Annual Data'!$A182,'Quarterly Data'!AA:AA)</f>
        <v>0</v>
      </c>
      <c r="Z182" t="e">
        <f>AVERAGEIF('Quarterly Data'!$B:$B,'Annual Data'!$A182,'Quarterly Data'!AB:AB)</f>
        <v>#DIV/0!</v>
      </c>
      <c r="AA182" t="e">
        <f>AVERAGEIF('Quarterly Data'!$B:$B,'Annual Data'!$A182,'Quarterly Data'!AC:AC)</f>
        <v>#DIV/0!</v>
      </c>
      <c r="AB182" t="e">
        <f>AVERAGEIF('Quarterly Data'!$B:$B,'Annual Data'!$A182,'Quarterly Data'!AD:AD)</f>
        <v>#DIV/0!</v>
      </c>
      <c r="AC182" t="e">
        <f>AVERAGEIF('Quarterly Data'!$B:$B,'Annual Data'!$A182,'Quarterly Data'!AE:AE)</f>
        <v>#DIV/0!</v>
      </c>
      <c r="AD182" t="e">
        <f>AVERAGEIF('Quarterly Data'!$B:$B,'Annual Data'!$A182,'Quarterly Data'!AF:AF)</f>
        <v>#DIV/0!</v>
      </c>
      <c r="AE182">
        <f>SUMIF('Quarterly Data'!$B:$B,'Annual Data'!$A182,'Quarterly Data'!AG:AG)</f>
        <v>0</v>
      </c>
    </row>
    <row r="183" spans="1:31" x14ac:dyDescent="0.25">
      <c r="A183">
        <v>2149</v>
      </c>
      <c r="B183">
        <f>SUMIF('Quarterly Data'!$B:$B,'Annual Data'!$A183,'Quarterly Data'!D:D)</f>
        <v>0</v>
      </c>
      <c r="C183" t="e">
        <f>AVERAGEIF('Quarterly Data'!$B:$B,'Annual Data'!$A183,'Quarterly Data'!E:E)</f>
        <v>#DIV/0!</v>
      </c>
      <c r="D183">
        <f>SUMIF('Quarterly Data'!$B:$B,'Annual Data'!$A183,'Quarterly Data'!F:F)</f>
        <v>0</v>
      </c>
      <c r="E183">
        <f>SUMIF('Quarterly Data'!$B:$B,'Annual Data'!$A183,'Quarterly Data'!G:G)</f>
        <v>0</v>
      </c>
      <c r="F183">
        <f>SUMIF('Quarterly Data'!$B:$B,'Annual Data'!$A183,'Quarterly Data'!H:H)</f>
        <v>0</v>
      </c>
      <c r="G183">
        <f>SUMIF('Quarterly Data'!$B:$B,'Annual Data'!$A183,'Quarterly Data'!I:I)</f>
        <v>0</v>
      </c>
      <c r="H183">
        <f>SUMIF('Quarterly Data'!$B:$B,'Annual Data'!$A183,'Quarterly Data'!J:J)</f>
        <v>0</v>
      </c>
      <c r="I183">
        <f>SUMIF('Quarterly Data'!$B:$B,'Annual Data'!$A183,'Quarterly Data'!K:K)</f>
        <v>0</v>
      </c>
      <c r="J183">
        <f>SUMIF('Quarterly Data'!$B:$B,'Annual Data'!$A183,'Quarterly Data'!L:L)</f>
        <v>0</v>
      </c>
      <c r="K183" t="e">
        <f>AVERAGEIF('Quarterly Data'!$B:$B,'Annual Data'!$A183,'Quarterly Data'!M:M)</f>
        <v>#DIV/0!</v>
      </c>
      <c r="L183" t="e">
        <f>AVERAGEIF('Quarterly Data'!$B:$B,'Annual Data'!$A183,'Quarterly Data'!N:N)</f>
        <v>#DIV/0!</v>
      </c>
      <c r="M183" t="e">
        <f>AVERAGEIF('Quarterly Data'!$B:$B,'Annual Data'!$A183,'Quarterly Data'!O:O)</f>
        <v>#DIV/0!</v>
      </c>
      <c r="N183" t="e">
        <f>AVERAGEIF('Quarterly Data'!$B:$B,'Annual Data'!$A183,'Quarterly Data'!P:P)</f>
        <v>#DIV/0!</v>
      </c>
      <c r="O183" t="e">
        <f>AVERAGEIF('Quarterly Data'!$B:$B,'Annual Data'!$A183,'Quarterly Data'!Q:Q)</f>
        <v>#DIV/0!</v>
      </c>
      <c r="P183">
        <f>SUMIF('Quarterly Data'!$B:$B,'Annual Data'!$A183,'Quarterly Data'!R:R)</f>
        <v>0</v>
      </c>
      <c r="Q183">
        <f>SUMIF('Quarterly Data'!$B:$B,'Annual Data'!$A183,'Quarterly Data'!S:S)</f>
        <v>0</v>
      </c>
      <c r="R183" t="e">
        <f>AVERAGEIF('Quarterly Data'!$B:$B,'Annual Data'!$A183,'Quarterly Data'!T:T)</f>
        <v>#DIV/0!</v>
      </c>
      <c r="S183">
        <f>SUMIF('Quarterly Data'!$B:$B,'Annual Data'!$A183,'Quarterly Data'!U:U)</f>
        <v>0</v>
      </c>
      <c r="T183">
        <f>SUMIF('Quarterly Data'!$B:$B,'Annual Data'!$A183,'Quarterly Data'!V:V)</f>
        <v>0</v>
      </c>
      <c r="U183">
        <f>SUMIF('Quarterly Data'!$B:$B,'Annual Data'!$A183,'Quarterly Data'!W:W)</f>
        <v>0</v>
      </c>
      <c r="V183">
        <f>SUMIF('Quarterly Data'!$B:$B,'Annual Data'!$A183,'Quarterly Data'!X:X)</f>
        <v>0</v>
      </c>
      <c r="W183">
        <f>SUMIF('Quarterly Data'!$B:$B,'Annual Data'!$A183,'Quarterly Data'!Y:Y)</f>
        <v>0</v>
      </c>
      <c r="X183">
        <f>SUMIF('Quarterly Data'!$B:$B,'Annual Data'!$A183,'Quarterly Data'!Z:Z)</f>
        <v>0</v>
      </c>
      <c r="Y183">
        <f>SUMIF('Quarterly Data'!$B:$B,'Annual Data'!$A183,'Quarterly Data'!AA:AA)</f>
        <v>0</v>
      </c>
      <c r="Z183" t="e">
        <f>AVERAGEIF('Quarterly Data'!$B:$B,'Annual Data'!$A183,'Quarterly Data'!AB:AB)</f>
        <v>#DIV/0!</v>
      </c>
      <c r="AA183" t="e">
        <f>AVERAGEIF('Quarterly Data'!$B:$B,'Annual Data'!$A183,'Quarterly Data'!AC:AC)</f>
        <v>#DIV/0!</v>
      </c>
      <c r="AB183" t="e">
        <f>AVERAGEIF('Quarterly Data'!$B:$B,'Annual Data'!$A183,'Quarterly Data'!AD:AD)</f>
        <v>#DIV/0!</v>
      </c>
      <c r="AC183" t="e">
        <f>AVERAGEIF('Quarterly Data'!$B:$B,'Annual Data'!$A183,'Quarterly Data'!AE:AE)</f>
        <v>#DIV/0!</v>
      </c>
      <c r="AD183" t="e">
        <f>AVERAGEIF('Quarterly Data'!$B:$B,'Annual Data'!$A183,'Quarterly Data'!AF:AF)</f>
        <v>#DIV/0!</v>
      </c>
      <c r="AE183">
        <f>SUMIF('Quarterly Data'!$B:$B,'Annual Data'!$A183,'Quarterly Data'!AG:AG)</f>
        <v>0</v>
      </c>
    </row>
    <row r="184" spans="1:31" x14ac:dyDescent="0.25">
      <c r="A184">
        <v>2150</v>
      </c>
      <c r="B184">
        <f>SUMIF('Quarterly Data'!$B:$B,'Annual Data'!$A184,'Quarterly Data'!D:D)</f>
        <v>0</v>
      </c>
      <c r="C184" t="e">
        <f>AVERAGEIF('Quarterly Data'!$B:$B,'Annual Data'!$A184,'Quarterly Data'!E:E)</f>
        <v>#DIV/0!</v>
      </c>
      <c r="D184">
        <f>SUMIF('Quarterly Data'!$B:$B,'Annual Data'!$A184,'Quarterly Data'!F:F)</f>
        <v>0</v>
      </c>
      <c r="E184">
        <f>SUMIF('Quarterly Data'!$B:$B,'Annual Data'!$A184,'Quarterly Data'!G:G)</f>
        <v>0</v>
      </c>
      <c r="F184">
        <f>SUMIF('Quarterly Data'!$B:$B,'Annual Data'!$A184,'Quarterly Data'!H:H)</f>
        <v>0</v>
      </c>
      <c r="G184">
        <f>SUMIF('Quarterly Data'!$B:$B,'Annual Data'!$A184,'Quarterly Data'!I:I)</f>
        <v>0</v>
      </c>
      <c r="H184">
        <f>SUMIF('Quarterly Data'!$B:$B,'Annual Data'!$A184,'Quarterly Data'!J:J)</f>
        <v>0</v>
      </c>
      <c r="I184">
        <f>SUMIF('Quarterly Data'!$B:$B,'Annual Data'!$A184,'Quarterly Data'!K:K)</f>
        <v>0</v>
      </c>
      <c r="J184">
        <f>SUMIF('Quarterly Data'!$B:$B,'Annual Data'!$A184,'Quarterly Data'!L:L)</f>
        <v>0</v>
      </c>
      <c r="K184" t="e">
        <f>AVERAGEIF('Quarterly Data'!$B:$B,'Annual Data'!$A184,'Quarterly Data'!M:M)</f>
        <v>#DIV/0!</v>
      </c>
      <c r="L184" t="e">
        <f>AVERAGEIF('Quarterly Data'!$B:$B,'Annual Data'!$A184,'Quarterly Data'!N:N)</f>
        <v>#DIV/0!</v>
      </c>
      <c r="M184" t="e">
        <f>AVERAGEIF('Quarterly Data'!$B:$B,'Annual Data'!$A184,'Quarterly Data'!O:O)</f>
        <v>#DIV/0!</v>
      </c>
      <c r="N184" t="e">
        <f>AVERAGEIF('Quarterly Data'!$B:$B,'Annual Data'!$A184,'Quarterly Data'!P:P)</f>
        <v>#DIV/0!</v>
      </c>
      <c r="O184" t="e">
        <f>AVERAGEIF('Quarterly Data'!$B:$B,'Annual Data'!$A184,'Quarterly Data'!Q:Q)</f>
        <v>#DIV/0!</v>
      </c>
      <c r="P184">
        <f>SUMIF('Quarterly Data'!$B:$B,'Annual Data'!$A184,'Quarterly Data'!R:R)</f>
        <v>0</v>
      </c>
      <c r="Q184">
        <f>SUMIF('Quarterly Data'!$B:$B,'Annual Data'!$A184,'Quarterly Data'!S:S)</f>
        <v>0</v>
      </c>
      <c r="R184" t="e">
        <f>AVERAGEIF('Quarterly Data'!$B:$B,'Annual Data'!$A184,'Quarterly Data'!T:T)</f>
        <v>#DIV/0!</v>
      </c>
      <c r="S184">
        <f>SUMIF('Quarterly Data'!$B:$B,'Annual Data'!$A184,'Quarterly Data'!U:U)</f>
        <v>0</v>
      </c>
      <c r="T184">
        <f>SUMIF('Quarterly Data'!$B:$B,'Annual Data'!$A184,'Quarterly Data'!V:V)</f>
        <v>0</v>
      </c>
      <c r="U184">
        <f>SUMIF('Quarterly Data'!$B:$B,'Annual Data'!$A184,'Quarterly Data'!W:W)</f>
        <v>0</v>
      </c>
      <c r="V184">
        <f>SUMIF('Quarterly Data'!$B:$B,'Annual Data'!$A184,'Quarterly Data'!X:X)</f>
        <v>0</v>
      </c>
      <c r="W184">
        <f>SUMIF('Quarterly Data'!$B:$B,'Annual Data'!$A184,'Quarterly Data'!Y:Y)</f>
        <v>0</v>
      </c>
      <c r="X184">
        <f>SUMIF('Quarterly Data'!$B:$B,'Annual Data'!$A184,'Quarterly Data'!Z:Z)</f>
        <v>0</v>
      </c>
      <c r="Y184">
        <f>SUMIF('Quarterly Data'!$B:$B,'Annual Data'!$A184,'Quarterly Data'!AA:AA)</f>
        <v>0</v>
      </c>
      <c r="Z184" t="e">
        <f>AVERAGEIF('Quarterly Data'!$B:$B,'Annual Data'!$A184,'Quarterly Data'!AB:AB)</f>
        <v>#DIV/0!</v>
      </c>
      <c r="AA184" t="e">
        <f>AVERAGEIF('Quarterly Data'!$B:$B,'Annual Data'!$A184,'Quarterly Data'!AC:AC)</f>
        <v>#DIV/0!</v>
      </c>
      <c r="AB184" t="e">
        <f>AVERAGEIF('Quarterly Data'!$B:$B,'Annual Data'!$A184,'Quarterly Data'!AD:AD)</f>
        <v>#DIV/0!</v>
      </c>
      <c r="AC184" t="e">
        <f>AVERAGEIF('Quarterly Data'!$B:$B,'Annual Data'!$A184,'Quarterly Data'!AE:AE)</f>
        <v>#DIV/0!</v>
      </c>
      <c r="AD184" t="e">
        <f>AVERAGEIF('Quarterly Data'!$B:$B,'Annual Data'!$A184,'Quarterly Data'!AF:AF)</f>
        <v>#DIV/0!</v>
      </c>
      <c r="AE184">
        <f>SUMIF('Quarterly Data'!$B:$B,'Annual Data'!$A184,'Quarterly Data'!AG:AG)</f>
        <v>0</v>
      </c>
    </row>
    <row r="185" spans="1:31" x14ac:dyDescent="0.25">
      <c r="A185">
        <v>2151</v>
      </c>
      <c r="B185">
        <f>SUMIF('Quarterly Data'!$B:$B,'Annual Data'!$A185,'Quarterly Data'!D:D)</f>
        <v>0</v>
      </c>
      <c r="C185" t="e">
        <f>AVERAGEIF('Quarterly Data'!$B:$B,'Annual Data'!$A185,'Quarterly Data'!E:E)</f>
        <v>#DIV/0!</v>
      </c>
      <c r="D185">
        <f>SUMIF('Quarterly Data'!$B:$B,'Annual Data'!$A185,'Quarterly Data'!F:F)</f>
        <v>0</v>
      </c>
      <c r="E185">
        <f>SUMIF('Quarterly Data'!$B:$B,'Annual Data'!$A185,'Quarterly Data'!G:G)</f>
        <v>0</v>
      </c>
      <c r="F185">
        <f>SUMIF('Quarterly Data'!$B:$B,'Annual Data'!$A185,'Quarterly Data'!H:H)</f>
        <v>0</v>
      </c>
      <c r="G185">
        <f>SUMIF('Quarterly Data'!$B:$B,'Annual Data'!$A185,'Quarterly Data'!I:I)</f>
        <v>0</v>
      </c>
      <c r="H185">
        <f>SUMIF('Quarterly Data'!$B:$B,'Annual Data'!$A185,'Quarterly Data'!J:J)</f>
        <v>0</v>
      </c>
      <c r="I185">
        <f>SUMIF('Quarterly Data'!$B:$B,'Annual Data'!$A185,'Quarterly Data'!K:K)</f>
        <v>0</v>
      </c>
      <c r="J185">
        <f>SUMIF('Quarterly Data'!$B:$B,'Annual Data'!$A185,'Quarterly Data'!L:L)</f>
        <v>0</v>
      </c>
      <c r="K185" t="e">
        <f>AVERAGEIF('Quarterly Data'!$B:$B,'Annual Data'!$A185,'Quarterly Data'!M:M)</f>
        <v>#DIV/0!</v>
      </c>
      <c r="L185" t="e">
        <f>AVERAGEIF('Quarterly Data'!$B:$B,'Annual Data'!$A185,'Quarterly Data'!N:N)</f>
        <v>#DIV/0!</v>
      </c>
      <c r="M185" t="e">
        <f>AVERAGEIF('Quarterly Data'!$B:$B,'Annual Data'!$A185,'Quarterly Data'!O:O)</f>
        <v>#DIV/0!</v>
      </c>
      <c r="N185" t="e">
        <f>AVERAGEIF('Quarterly Data'!$B:$B,'Annual Data'!$A185,'Quarterly Data'!P:P)</f>
        <v>#DIV/0!</v>
      </c>
      <c r="O185" t="e">
        <f>AVERAGEIF('Quarterly Data'!$B:$B,'Annual Data'!$A185,'Quarterly Data'!Q:Q)</f>
        <v>#DIV/0!</v>
      </c>
      <c r="P185">
        <f>SUMIF('Quarterly Data'!$B:$B,'Annual Data'!$A185,'Quarterly Data'!R:R)</f>
        <v>0</v>
      </c>
      <c r="Q185">
        <f>SUMIF('Quarterly Data'!$B:$B,'Annual Data'!$A185,'Quarterly Data'!S:S)</f>
        <v>0</v>
      </c>
      <c r="R185" t="e">
        <f>AVERAGEIF('Quarterly Data'!$B:$B,'Annual Data'!$A185,'Quarterly Data'!T:T)</f>
        <v>#DIV/0!</v>
      </c>
      <c r="S185">
        <f>SUMIF('Quarterly Data'!$B:$B,'Annual Data'!$A185,'Quarterly Data'!U:U)</f>
        <v>0</v>
      </c>
      <c r="T185">
        <f>SUMIF('Quarterly Data'!$B:$B,'Annual Data'!$A185,'Quarterly Data'!V:V)</f>
        <v>0</v>
      </c>
      <c r="U185">
        <f>SUMIF('Quarterly Data'!$B:$B,'Annual Data'!$A185,'Quarterly Data'!W:W)</f>
        <v>0</v>
      </c>
      <c r="V185">
        <f>SUMIF('Quarterly Data'!$B:$B,'Annual Data'!$A185,'Quarterly Data'!X:X)</f>
        <v>0</v>
      </c>
      <c r="W185">
        <f>SUMIF('Quarterly Data'!$B:$B,'Annual Data'!$A185,'Quarterly Data'!Y:Y)</f>
        <v>0</v>
      </c>
      <c r="X185">
        <f>SUMIF('Quarterly Data'!$B:$B,'Annual Data'!$A185,'Quarterly Data'!Z:Z)</f>
        <v>0</v>
      </c>
      <c r="Y185">
        <f>SUMIF('Quarterly Data'!$B:$B,'Annual Data'!$A185,'Quarterly Data'!AA:AA)</f>
        <v>0</v>
      </c>
      <c r="Z185" t="e">
        <f>AVERAGEIF('Quarterly Data'!$B:$B,'Annual Data'!$A185,'Quarterly Data'!AB:AB)</f>
        <v>#DIV/0!</v>
      </c>
      <c r="AA185" t="e">
        <f>AVERAGEIF('Quarterly Data'!$B:$B,'Annual Data'!$A185,'Quarterly Data'!AC:AC)</f>
        <v>#DIV/0!</v>
      </c>
      <c r="AB185" t="e">
        <f>AVERAGEIF('Quarterly Data'!$B:$B,'Annual Data'!$A185,'Quarterly Data'!AD:AD)</f>
        <v>#DIV/0!</v>
      </c>
      <c r="AC185" t="e">
        <f>AVERAGEIF('Quarterly Data'!$B:$B,'Annual Data'!$A185,'Quarterly Data'!AE:AE)</f>
        <v>#DIV/0!</v>
      </c>
      <c r="AD185" t="e">
        <f>AVERAGEIF('Quarterly Data'!$B:$B,'Annual Data'!$A185,'Quarterly Data'!AF:AF)</f>
        <v>#DIV/0!</v>
      </c>
      <c r="AE185">
        <f>SUMIF('Quarterly Data'!$B:$B,'Annual Data'!$A185,'Quarterly Data'!AG:AG)</f>
        <v>0</v>
      </c>
    </row>
    <row r="186" spans="1:31" x14ac:dyDescent="0.25">
      <c r="A186">
        <v>2152</v>
      </c>
      <c r="B186">
        <f>SUMIF('Quarterly Data'!$B:$B,'Annual Data'!$A186,'Quarterly Data'!D:D)</f>
        <v>0</v>
      </c>
      <c r="C186" t="e">
        <f>AVERAGEIF('Quarterly Data'!$B:$B,'Annual Data'!$A186,'Quarterly Data'!E:E)</f>
        <v>#DIV/0!</v>
      </c>
      <c r="D186">
        <f>SUMIF('Quarterly Data'!$B:$B,'Annual Data'!$A186,'Quarterly Data'!F:F)</f>
        <v>0</v>
      </c>
      <c r="E186">
        <f>SUMIF('Quarterly Data'!$B:$B,'Annual Data'!$A186,'Quarterly Data'!G:G)</f>
        <v>0</v>
      </c>
      <c r="F186">
        <f>SUMIF('Quarterly Data'!$B:$B,'Annual Data'!$A186,'Quarterly Data'!H:H)</f>
        <v>0</v>
      </c>
      <c r="G186">
        <f>SUMIF('Quarterly Data'!$B:$B,'Annual Data'!$A186,'Quarterly Data'!I:I)</f>
        <v>0</v>
      </c>
      <c r="H186">
        <f>SUMIF('Quarterly Data'!$B:$B,'Annual Data'!$A186,'Quarterly Data'!J:J)</f>
        <v>0</v>
      </c>
      <c r="I186">
        <f>SUMIF('Quarterly Data'!$B:$B,'Annual Data'!$A186,'Quarterly Data'!K:K)</f>
        <v>0</v>
      </c>
      <c r="J186">
        <f>SUMIF('Quarterly Data'!$B:$B,'Annual Data'!$A186,'Quarterly Data'!L:L)</f>
        <v>0</v>
      </c>
      <c r="K186" t="e">
        <f>AVERAGEIF('Quarterly Data'!$B:$B,'Annual Data'!$A186,'Quarterly Data'!M:M)</f>
        <v>#DIV/0!</v>
      </c>
      <c r="L186" t="e">
        <f>AVERAGEIF('Quarterly Data'!$B:$B,'Annual Data'!$A186,'Quarterly Data'!N:N)</f>
        <v>#DIV/0!</v>
      </c>
      <c r="M186" t="e">
        <f>AVERAGEIF('Quarterly Data'!$B:$B,'Annual Data'!$A186,'Quarterly Data'!O:O)</f>
        <v>#DIV/0!</v>
      </c>
      <c r="N186" t="e">
        <f>AVERAGEIF('Quarterly Data'!$B:$B,'Annual Data'!$A186,'Quarterly Data'!P:P)</f>
        <v>#DIV/0!</v>
      </c>
      <c r="O186" t="e">
        <f>AVERAGEIF('Quarterly Data'!$B:$B,'Annual Data'!$A186,'Quarterly Data'!Q:Q)</f>
        <v>#DIV/0!</v>
      </c>
      <c r="P186">
        <f>SUMIF('Quarterly Data'!$B:$B,'Annual Data'!$A186,'Quarterly Data'!R:R)</f>
        <v>0</v>
      </c>
      <c r="Q186">
        <f>SUMIF('Quarterly Data'!$B:$B,'Annual Data'!$A186,'Quarterly Data'!S:S)</f>
        <v>0</v>
      </c>
      <c r="R186" t="e">
        <f>AVERAGEIF('Quarterly Data'!$B:$B,'Annual Data'!$A186,'Quarterly Data'!T:T)</f>
        <v>#DIV/0!</v>
      </c>
      <c r="S186">
        <f>SUMIF('Quarterly Data'!$B:$B,'Annual Data'!$A186,'Quarterly Data'!U:U)</f>
        <v>0</v>
      </c>
      <c r="T186">
        <f>SUMIF('Quarterly Data'!$B:$B,'Annual Data'!$A186,'Quarterly Data'!V:V)</f>
        <v>0</v>
      </c>
      <c r="U186">
        <f>SUMIF('Quarterly Data'!$B:$B,'Annual Data'!$A186,'Quarterly Data'!W:W)</f>
        <v>0</v>
      </c>
      <c r="V186">
        <f>SUMIF('Quarterly Data'!$B:$B,'Annual Data'!$A186,'Quarterly Data'!X:X)</f>
        <v>0</v>
      </c>
      <c r="W186">
        <f>SUMIF('Quarterly Data'!$B:$B,'Annual Data'!$A186,'Quarterly Data'!Y:Y)</f>
        <v>0</v>
      </c>
      <c r="X186">
        <f>SUMIF('Quarterly Data'!$B:$B,'Annual Data'!$A186,'Quarterly Data'!Z:Z)</f>
        <v>0</v>
      </c>
      <c r="Y186">
        <f>SUMIF('Quarterly Data'!$B:$B,'Annual Data'!$A186,'Quarterly Data'!AA:AA)</f>
        <v>0</v>
      </c>
      <c r="Z186" t="e">
        <f>AVERAGEIF('Quarterly Data'!$B:$B,'Annual Data'!$A186,'Quarterly Data'!AB:AB)</f>
        <v>#DIV/0!</v>
      </c>
      <c r="AA186" t="e">
        <f>AVERAGEIF('Quarterly Data'!$B:$B,'Annual Data'!$A186,'Quarterly Data'!AC:AC)</f>
        <v>#DIV/0!</v>
      </c>
      <c r="AB186" t="e">
        <f>AVERAGEIF('Quarterly Data'!$B:$B,'Annual Data'!$A186,'Quarterly Data'!AD:AD)</f>
        <v>#DIV/0!</v>
      </c>
      <c r="AC186" t="e">
        <f>AVERAGEIF('Quarterly Data'!$B:$B,'Annual Data'!$A186,'Quarterly Data'!AE:AE)</f>
        <v>#DIV/0!</v>
      </c>
      <c r="AD186" t="e">
        <f>AVERAGEIF('Quarterly Data'!$B:$B,'Annual Data'!$A186,'Quarterly Data'!AF:AF)</f>
        <v>#DIV/0!</v>
      </c>
      <c r="AE186">
        <f>SUMIF('Quarterly Data'!$B:$B,'Annual Data'!$A186,'Quarterly Data'!AG:AG)</f>
        <v>0</v>
      </c>
    </row>
    <row r="187" spans="1:31" x14ac:dyDescent="0.25">
      <c r="A187">
        <v>2153</v>
      </c>
      <c r="B187">
        <f>SUMIF('Quarterly Data'!$B:$B,'Annual Data'!$A187,'Quarterly Data'!D:D)</f>
        <v>0</v>
      </c>
      <c r="C187" t="e">
        <f>AVERAGEIF('Quarterly Data'!$B:$B,'Annual Data'!$A187,'Quarterly Data'!E:E)</f>
        <v>#DIV/0!</v>
      </c>
      <c r="D187">
        <f>SUMIF('Quarterly Data'!$B:$B,'Annual Data'!$A187,'Quarterly Data'!F:F)</f>
        <v>0</v>
      </c>
      <c r="E187">
        <f>SUMIF('Quarterly Data'!$B:$B,'Annual Data'!$A187,'Quarterly Data'!G:G)</f>
        <v>0</v>
      </c>
      <c r="F187">
        <f>SUMIF('Quarterly Data'!$B:$B,'Annual Data'!$A187,'Quarterly Data'!H:H)</f>
        <v>0</v>
      </c>
      <c r="G187">
        <f>SUMIF('Quarterly Data'!$B:$B,'Annual Data'!$A187,'Quarterly Data'!I:I)</f>
        <v>0</v>
      </c>
      <c r="H187">
        <f>SUMIF('Quarterly Data'!$B:$B,'Annual Data'!$A187,'Quarterly Data'!J:J)</f>
        <v>0</v>
      </c>
      <c r="I187">
        <f>SUMIF('Quarterly Data'!$B:$B,'Annual Data'!$A187,'Quarterly Data'!K:K)</f>
        <v>0</v>
      </c>
      <c r="J187">
        <f>SUMIF('Quarterly Data'!$B:$B,'Annual Data'!$A187,'Quarterly Data'!L:L)</f>
        <v>0</v>
      </c>
      <c r="K187" t="e">
        <f>AVERAGEIF('Quarterly Data'!$B:$B,'Annual Data'!$A187,'Quarterly Data'!M:M)</f>
        <v>#DIV/0!</v>
      </c>
      <c r="L187" t="e">
        <f>AVERAGEIF('Quarterly Data'!$B:$B,'Annual Data'!$A187,'Quarterly Data'!N:N)</f>
        <v>#DIV/0!</v>
      </c>
      <c r="M187" t="e">
        <f>AVERAGEIF('Quarterly Data'!$B:$B,'Annual Data'!$A187,'Quarterly Data'!O:O)</f>
        <v>#DIV/0!</v>
      </c>
      <c r="N187" t="e">
        <f>AVERAGEIF('Quarterly Data'!$B:$B,'Annual Data'!$A187,'Quarterly Data'!P:P)</f>
        <v>#DIV/0!</v>
      </c>
      <c r="O187" t="e">
        <f>AVERAGEIF('Quarterly Data'!$B:$B,'Annual Data'!$A187,'Quarterly Data'!Q:Q)</f>
        <v>#DIV/0!</v>
      </c>
      <c r="P187">
        <f>SUMIF('Quarterly Data'!$B:$B,'Annual Data'!$A187,'Quarterly Data'!R:R)</f>
        <v>0</v>
      </c>
      <c r="Q187">
        <f>SUMIF('Quarterly Data'!$B:$B,'Annual Data'!$A187,'Quarterly Data'!S:S)</f>
        <v>0</v>
      </c>
      <c r="R187" t="e">
        <f>AVERAGEIF('Quarterly Data'!$B:$B,'Annual Data'!$A187,'Quarterly Data'!T:T)</f>
        <v>#DIV/0!</v>
      </c>
      <c r="S187">
        <f>SUMIF('Quarterly Data'!$B:$B,'Annual Data'!$A187,'Quarterly Data'!U:U)</f>
        <v>0</v>
      </c>
      <c r="T187">
        <f>SUMIF('Quarterly Data'!$B:$B,'Annual Data'!$A187,'Quarterly Data'!V:V)</f>
        <v>0</v>
      </c>
      <c r="U187">
        <f>SUMIF('Quarterly Data'!$B:$B,'Annual Data'!$A187,'Quarterly Data'!W:W)</f>
        <v>0</v>
      </c>
      <c r="V187">
        <f>SUMIF('Quarterly Data'!$B:$B,'Annual Data'!$A187,'Quarterly Data'!X:X)</f>
        <v>0</v>
      </c>
      <c r="W187">
        <f>SUMIF('Quarterly Data'!$B:$B,'Annual Data'!$A187,'Quarterly Data'!Y:Y)</f>
        <v>0</v>
      </c>
      <c r="X187">
        <f>SUMIF('Quarterly Data'!$B:$B,'Annual Data'!$A187,'Quarterly Data'!Z:Z)</f>
        <v>0</v>
      </c>
      <c r="Y187">
        <f>SUMIF('Quarterly Data'!$B:$B,'Annual Data'!$A187,'Quarterly Data'!AA:AA)</f>
        <v>0</v>
      </c>
      <c r="Z187" t="e">
        <f>AVERAGEIF('Quarterly Data'!$B:$B,'Annual Data'!$A187,'Quarterly Data'!AB:AB)</f>
        <v>#DIV/0!</v>
      </c>
      <c r="AA187" t="e">
        <f>AVERAGEIF('Quarterly Data'!$B:$B,'Annual Data'!$A187,'Quarterly Data'!AC:AC)</f>
        <v>#DIV/0!</v>
      </c>
      <c r="AB187" t="e">
        <f>AVERAGEIF('Quarterly Data'!$B:$B,'Annual Data'!$A187,'Quarterly Data'!AD:AD)</f>
        <v>#DIV/0!</v>
      </c>
      <c r="AC187" t="e">
        <f>AVERAGEIF('Quarterly Data'!$B:$B,'Annual Data'!$A187,'Quarterly Data'!AE:AE)</f>
        <v>#DIV/0!</v>
      </c>
      <c r="AD187" t="e">
        <f>AVERAGEIF('Quarterly Data'!$B:$B,'Annual Data'!$A187,'Quarterly Data'!AF:AF)</f>
        <v>#DIV/0!</v>
      </c>
      <c r="AE187">
        <f>SUMIF('Quarterly Data'!$B:$B,'Annual Data'!$A187,'Quarterly Data'!AG:AG)</f>
        <v>0</v>
      </c>
    </row>
    <row r="188" spans="1:31" x14ac:dyDescent="0.25">
      <c r="A188">
        <v>2154</v>
      </c>
      <c r="B188">
        <f>SUMIF('Quarterly Data'!$B:$B,'Annual Data'!$A188,'Quarterly Data'!D:D)</f>
        <v>0</v>
      </c>
      <c r="C188" t="e">
        <f>AVERAGEIF('Quarterly Data'!$B:$B,'Annual Data'!$A188,'Quarterly Data'!E:E)</f>
        <v>#DIV/0!</v>
      </c>
      <c r="D188">
        <f>SUMIF('Quarterly Data'!$B:$B,'Annual Data'!$A188,'Quarterly Data'!F:F)</f>
        <v>0</v>
      </c>
      <c r="E188">
        <f>SUMIF('Quarterly Data'!$B:$B,'Annual Data'!$A188,'Quarterly Data'!G:G)</f>
        <v>0</v>
      </c>
      <c r="F188">
        <f>SUMIF('Quarterly Data'!$B:$B,'Annual Data'!$A188,'Quarterly Data'!H:H)</f>
        <v>0</v>
      </c>
      <c r="G188">
        <f>SUMIF('Quarterly Data'!$B:$B,'Annual Data'!$A188,'Quarterly Data'!I:I)</f>
        <v>0</v>
      </c>
      <c r="H188">
        <f>SUMIF('Quarterly Data'!$B:$B,'Annual Data'!$A188,'Quarterly Data'!J:J)</f>
        <v>0</v>
      </c>
      <c r="I188">
        <f>SUMIF('Quarterly Data'!$B:$B,'Annual Data'!$A188,'Quarterly Data'!K:K)</f>
        <v>0</v>
      </c>
      <c r="J188">
        <f>SUMIF('Quarterly Data'!$B:$B,'Annual Data'!$A188,'Quarterly Data'!L:L)</f>
        <v>0</v>
      </c>
      <c r="K188" t="e">
        <f>AVERAGEIF('Quarterly Data'!$B:$B,'Annual Data'!$A188,'Quarterly Data'!M:M)</f>
        <v>#DIV/0!</v>
      </c>
      <c r="L188" t="e">
        <f>AVERAGEIF('Quarterly Data'!$B:$B,'Annual Data'!$A188,'Quarterly Data'!N:N)</f>
        <v>#DIV/0!</v>
      </c>
      <c r="M188" t="e">
        <f>AVERAGEIF('Quarterly Data'!$B:$B,'Annual Data'!$A188,'Quarterly Data'!O:O)</f>
        <v>#DIV/0!</v>
      </c>
      <c r="N188" t="e">
        <f>AVERAGEIF('Quarterly Data'!$B:$B,'Annual Data'!$A188,'Quarterly Data'!P:P)</f>
        <v>#DIV/0!</v>
      </c>
      <c r="O188" t="e">
        <f>AVERAGEIF('Quarterly Data'!$B:$B,'Annual Data'!$A188,'Quarterly Data'!Q:Q)</f>
        <v>#DIV/0!</v>
      </c>
      <c r="P188">
        <f>SUMIF('Quarterly Data'!$B:$B,'Annual Data'!$A188,'Quarterly Data'!R:R)</f>
        <v>0</v>
      </c>
      <c r="Q188">
        <f>SUMIF('Quarterly Data'!$B:$B,'Annual Data'!$A188,'Quarterly Data'!S:S)</f>
        <v>0</v>
      </c>
      <c r="R188" t="e">
        <f>AVERAGEIF('Quarterly Data'!$B:$B,'Annual Data'!$A188,'Quarterly Data'!T:T)</f>
        <v>#DIV/0!</v>
      </c>
      <c r="S188">
        <f>SUMIF('Quarterly Data'!$B:$B,'Annual Data'!$A188,'Quarterly Data'!U:U)</f>
        <v>0</v>
      </c>
      <c r="T188">
        <f>SUMIF('Quarterly Data'!$B:$B,'Annual Data'!$A188,'Quarterly Data'!V:V)</f>
        <v>0</v>
      </c>
      <c r="U188">
        <f>SUMIF('Quarterly Data'!$B:$B,'Annual Data'!$A188,'Quarterly Data'!W:W)</f>
        <v>0</v>
      </c>
      <c r="V188">
        <f>SUMIF('Quarterly Data'!$B:$B,'Annual Data'!$A188,'Quarterly Data'!X:X)</f>
        <v>0</v>
      </c>
      <c r="W188">
        <f>SUMIF('Quarterly Data'!$B:$B,'Annual Data'!$A188,'Quarterly Data'!Y:Y)</f>
        <v>0</v>
      </c>
      <c r="X188">
        <f>SUMIF('Quarterly Data'!$B:$B,'Annual Data'!$A188,'Quarterly Data'!Z:Z)</f>
        <v>0</v>
      </c>
      <c r="Y188">
        <f>SUMIF('Quarterly Data'!$B:$B,'Annual Data'!$A188,'Quarterly Data'!AA:AA)</f>
        <v>0</v>
      </c>
      <c r="Z188" t="e">
        <f>AVERAGEIF('Quarterly Data'!$B:$B,'Annual Data'!$A188,'Quarterly Data'!AB:AB)</f>
        <v>#DIV/0!</v>
      </c>
      <c r="AA188" t="e">
        <f>AVERAGEIF('Quarterly Data'!$B:$B,'Annual Data'!$A188,'Quarterly Data'!AC:AC)</f>
        <v>#DIV/0!</v>
      </c>
      <c r="AB188" t="e">
        <f>AVERAGEIF('Quarterly Data'!$B:$B,'Annual Data'!$A188,'Quarterly Data'!AD:AD)</f>
        <v>#DIV/0!</v>
      </c>
      <c r="AC188" t="e">
        <f>AVERAGEIF('Quarterly Data'!$B:$B,'Annual Data'!$A188,'Quarterly Data'!AE:AE)</f>
        <v>#DIV/0!</v>
      </c>
      <c r="AD188" t="e">
        <f>AVERAGEIF('Quarterly Data'!$B:$B,'Annual Data'!$A188,'Quarterly Data'!AF:AF)</f>
        <v>#DIV/0!</v>
      </c>
      <c r="AE188">
        <f>SUMIF('Quarterly Data'!$B:$B,'Annual Data'!$A188,'Quarterly Data'!AG:AG)</f>
        <v>0</v>
      </c>
    </row>
    <row r="189" spans="1:31" x14ac:dyDescent="0.25">
      <c r="A189">
        <v>2155</v>
      </c>
      <c r="B189">
        <f>SUMIF('Quarterly Data'!$B:$B,'Annual Data'!$A189,'Quarterly Data'!D:D)</f>
        <v>0</v>
      </c>
      <c r="C189" t="e">
        <f>AVERAGEIF('Quarterly Data'!$B:$B,'Annual Data'!$A189,'Quarterly Data'!E:E)</f>
        <v>#DIV/0!</v>
      </c>
      <c r="D189">
        <f>SUMIF('Quarterly Data'!$B:$B,'Annual Data'!$A189,'Quarterly Data'!F:F)</f>
        <v>0</v>
      </c>
      <c r="E189">
        <f>SUMIF('Quarterly Data'!$B:$B,'Annual Data'!$A189,'Quarterly Data'!G:G)</f>
        <v>0</v>
      </c>
      <c r="F189">
        <f>SUMIF('Quarterly Data'!$B:$B,'Annual Data'!$A189,'Quarterly Data'!H:H)</f>
        <v>0</v>
      </c>
      <c r="G189">
        <f>SUMIF('Quarterly Data'!$B:$B,'Annual Data'!$A189,'Quarterly Data'!I:I)</f>
        <v>0</v>
      </c>
      <c r="H189">
        <f>SUMIF('Quarterly Data'!$B:$B,'Annual Data'!$A189,'Quarterly Data'!J:J)</f>
        <v>0</v>
      </c>
      <c r="I189">
        <f>SUMIF('Quarterly Data'!$B:$B,'Annual Data'!$A189,'Quarterly Data'!K:K)</f>
        <v>0</v>
      </c>
      <c r="J189">
        <f>SUMIF('Quarterly Data'!$B:$B,'Annual Data'!$A189,'Quarterly Data'!L:L)</f>
        <v>0</v>
      </c>
      <c r="K189" t="e">
        <f>AVERAGEIF('Quarterly Data'!$B:$B,'Annual Data'!$A189,'Quarterly Data'!M:M)</f>
        <v>#DIV/0!</v>
      </c>
      <c r="L189" t="e">
        <f>AVERAGEIF('Quarterly Data'!$B:$B,'Annual Data'!$A189,'Quarterly Data'!N:N)</f>
        <v>#DIV/0!</v>
      </c>
      <c r="M189" t="e">
        <f>AVERAGEIF('Quarterly Data'!$B:$B,'Annual Data'!$A189,'Quarterly Data'!O:O)</f>
        <v>#DIV/0!</v>
      </c>
      <c r="N189" t="e">
        <f>AVERAGEIF('Quarterly Data'!$B:$B,'Annual Data'!$A189,'Quarterly Data'!P:P)</f>
        <v>#DIV/0!</v>
      </c>
      <c r="O189" t="e">
        <f>AVERAGEIF('Quarterly Data'!$B:$B,'Annual Data'!$A189,'Quarterly Data'!Q:Q)</f>
        <v>#DIV/0!</v>
      </c>
      <c r="P189">
        <f>SUMIF('Quarterly Data'!$B:$B,'Annual Data'!$A189,'Quarterly Data'!R:R)</f>
        <v>0</v>
      </c>
      <c r="Q189">
        <f>SUMIF('Quarterly Data'!$B:$B,'Annual Data'!$A189,'Quarterly Data'!S:S)</f>
        <v>0</v>
      </c>
      <c r="R189" t="e">
        <f>AVERAGEIF('Quarterly Data'!$B:$B,'Annual Data'!$A189,'Quarterly Data'!T:T)</f>
        <v>#DIV/0!</v>
      </c>
      <c r="S189">
        <f>SUMIF('Quarterly Data'!$B:$B,'Annual Data'!$A189,'Quarterly Data'!U:U)</f>
        <v>0</v>
      </c>
      <c r="T189">
        <f>SUMIF('Quarterly Data'!$B:$B,'Annual Data'!$A189,'Quarterly Data'!V:V)</f>
        <v>0</v>
      </c>
      <c r="U189">
        <f>SUMIF('Quarterly Data'!$B:$B,'Annual Data'!$A189,'Quarterly Data'!W:W)</f>
        <v>0</v>
      </c>
      <c r="V189">
        <f>SUMIF('Quarterly Data'!$B:$B,'Annual Data'!$A189,'Quarterly Data'!X:X)</f>
        <v>0</v>
      </c>
      <c r="W189">
        <f>SUMIF('Quarterly Data'!$B:$B,'Annual Data'!$A189,'Quarterly Data'!Y:Y)</f>
        <v>0</v>
      </c>
      <c r="X189">
        <f>SUMIF('Quarterly Data'!$B:$B,'Annual Data'!$A189,'Quarterly Data'!Z:Z)</f>
        <v>0</v>
      </c>
      <c r="Y189">
        <f>SUMIF('Quarterly Data'!$B:$B,'Annual Data'!$A189,'Quarterly Data'!AA:AA)</f>
        <v>0</v>
      </c>
      <c r="Z189" t="e">
        <f>AVERAGEIF('Quarterly Data'!$B:$B,'Annual Data'!$A189,'Quarterly Data'!AB:AB)</f>
        <v>#DIV/0!</v>
      </c>
      <c r="AA189" t="e">
        <f>AVERAGEIF('Quarterly Data'!$B:$B,'Annual Data'!$A189,'Quarterly Data'!AC:AC)</f>
        <v>#DIV/0!</v>
      </c>
      <c r="AB189" t="e">
        <f>AVERAGEIF('Quarterly Data'!$B:$B,'Annual Data'!$A189,'Quarterly Data'!AD:AD)</f>
        <v>#DIV/0!</v>
      </c>
      <c r="AC189" t="e">
        <f>AVERAGEIF('Quarterly Data'!$B:$B,'Annual Data'!$A189,'Quarterly Data'!AE:AE)</f>
        <v>#DIV/0!</v>
      </c>
      <c r="AD189" t="e">
        <f>AVERAGEIF('Quarterly Data'!$B:$B,'Annual Data'!$A189,'Quarterly Data'!AF:AF)</f>
        <v>#DIV/0!</v>
      </c>
      <c r="AE189">
        <f>SUMIF('Quarterly Data'!$B:$B,'Annual Data'!$A189,'Quarterly Data'!AG:AG)</f>
        <v>0</v>
      </c>
    </row>
    <row r="190" spans="1:31" x14ac:dyDescent="0.25">
      <c r="A190">
        <v>2156</v>
      </c>
      <c r="B190">
        <f>SUMIF('Quarterly Data'!$B:$B,'Annual Data'!$A190,'Quarterly Data'!D:D)</f>
        <v>0</v>
      </c>
      <c r="C190" t="e">
        <f>AVERAGEIF('Quarterly Data'!$B:$B,'Annual Data'!$A190,'Quarterly Data'!E:E)</f>
        <v>#DIV/0!</v>
      </c>
      <c r="D190">
        <f>SUMIF('Quarterly Data'!$B:$B,'Annual Data'!$A190,'Quarterly Data'!F:F)</f>
        <v>0</v>
      </c>
      <c r="E190">
        <f>SUMIF('Quarterly Data'!$B:$B,'Annual Data'!$A190,'Quarterly Data'!G:G)</f>
        <v>0</v>
      </c>
      <c r="F190">
        <f>SUMIF('Quarterly Data'!$B:$B,'Annual Data'!$A190,'Quarterly Data'!H:H)</f>
        <v>0</v>
      </c>
      <c r="G190">
        <f>SUMIF('Quarterly Data'!$B:$B,'Annual Data'!$A190,'Quarterly Data'!I:I)</f>
        <v>0</v>
      </c>
      <c r="H190">
        <f>SUMIF('Quarterly Data'!$B:$B,'Annual Data'!$A190,'Quarterly Data'!J:J)</f>
        <v>0</v>
      </c>
      <c r="I190">
        <f>SUMIF('Quarterly Data'!$B:$B,'Annual Data'!$A190,'Quarterly Data'!K:K)</f>
        <v>0</v>
      </c>
      <c r="J190">
        <f>SUMIF('Quarterly Data'!$B:$B,'Annual Data'!$A190,'Quarterly Data'!L:L)</f>
        <v>0</v>
      </c>
      <c r="K190" t="e">
        <f>AVERAGEIF('Quarterly Data'!$B:$B,'Annual Data'!$A190,'Quarterly Data'!M:M)</f>
        <v>#DIV/0!</v>
      </c>
      <c r="L190" t="e">
        <f>AVERAGEIF('Quarterly Data'!$B:$B,'Annual Data'!$A190,'Quarterly Data'!N:N)</f>
        <v>#DIV/0!</v>
      </c>
      <c r="M190" t="e">
        <f>AVERAGEIF('Quarterly Data'!$B:$B,'Annual Data'!$A190,'Quarterly Data'!O:O)</f>
        <v>#DIV/0!</v>
      </c>
      <c r="N190" t="e">
        <f>AVERAGEIF('Quarterly Data'!$B:$B,'Annual Data'!$A190,'Quarterly Data'!P:P)</f>
        <v>#DIV/0!</v>
      </c>
      <c r="O190" t="e">
        <f>AVERAGEIF('Quarterly Data'!$B:$B,'Annual Data'!$A190,'Quarterly Data'!Q:Q)</f>
        <v>#DIV/0!</v>
      </c>
      <c r="P190">
        <f>SUMIF('Quarterly Data'!$B:$B,'Annual Data'!$A190,'Quarterly Data'!R:R)</f>
        <v>0</v>
      </c>
      <c r="Q190">
        <f>SUMIF('Quarterly Data'!$B:$B,'Annual Data'!$A190,'Quarterly Data'!S:S)</f>
        <v>0</v>
      </c>
      <c r="R190" t="e">
        <f>AVERAGEIF('Quarterly Data'!$B:$B,'Annual Data'!$A190,'Quarterly Data'!T:T)</f>
        <v>#DIV/0!</v>
      </c>
      <c r="S190">
        <f>SUMIF('Quarterly Data'!$B:$B,'Annual Data'!$A190,'Quarterly Data'!U:U)</f>
        <v>0</v>
      </c>
      <c r="T190">
        <f>SUMIF('Quarterly Data'!$B:$B,'Annual Data'!$A190,'Quarterly Data'!V:V)</f>
        <v>0</v>
      </c>
      <c r="U190">
        <f>SUMIF('Quarterly Data'!$B:$B,'Annual Data'!$A190,'Quarterly Data'!W:W)</f>
        <v>0</v>
      </c>
      <c r="V190">
        <f>SUMIF('Quarterly Data'!$B:$B,'Annual Data'!$A190,'Quarterly Data'!X:X)</f>
        <v>0</v>
      </c>
      <c r="W190">
        <f>SUMIF('Quarterly Data'!$B:$B,'Annual Data'!$A190,'Quarterly Data'!Y:Y)</f>
        <v>0</v>
      </c>
      <c r="X190">
        <f>SUMIF('Quarterly Data'!$B:$B,'Annual Data'!$A190,'Quarterly Data'!Z:Z)</f>
        <v>0</v>
      </c>
      <c r="Y190">
        <f>SUMIF('Quarterly Data'!$B:$B,'Annual Data'!$A190,'Quarterly Data'!AA:AA)</f>
        <v>0</v>
      </c>
      <c r="Z190" t="e">
        <f>AVERAGEIF('Quarterly Data'!$B:$B,'Annual Data'!$A190,'Quarterly Data'!AB:AB)</f>
        <v>#DIV/0!</v>
      </c>
      <c r="AA190" t="e">
        <f>AVERAGEIF('Quarterly Data'!$B:$B,'Annual Data'!$A190,'Quarterly Data'!AC:AC)</f>
        <v>#DIV/0!</v>
      </c>
      <c r="AB190" t="e">
        <f>AVERAGEIF('Quarterly Data'!$B:$B,'Annual Data'!$A190,'Quarterly Data'!AD:AD)</f>
        <v>#DIV/0!</v>
      </c>
      <c r="AC190" t="e">
        <f>AVERAGEIF('Quarterly Data'!$B:$B,'Annual Data'!$A190,'Quarterly Data'!AE:AE)</f>
        <v>#DIV/0!</v>
      </c>
      <c r="AD190" t="e">
        <f>AVERAGEIF('Quarterly Data'!$B:$B,'Annual Data'!$A190,'Quarterly Data'!AF:AF)</f>
        <v>#DIV/0!</v>
      </c>
      <c r="AE190">
        <f>SUMIF('Quarterly Data'!$B:$B,'Annual Data'!$A190,'Quarterly Data'!AG:AG)</f>
        <v>0</v>
      </c>
    </row>
    <row r="191" spans="1:31" x14ac:dyDescent="0.25">
      <c r="A191">
        <v>2157</v>
      </c>
      <c r="B191">
        <f>SUMIF('Quarterly Data'!$B:$B,'Annual Data'!$A191,'Quarterly Data'!D:D)</f>
        <v>0</v>
      </c>
      <c r="C191" t="e">
        <f>AVERAGEIF('Quarterly Data'!$B:$B,'Annual Data'!$A191,'Quarterly Data'!E:E)</f>
        <v>#DIV/0!</v>
      </c>
      <c r="D191">
        <f>SUMIF('Quarterly Data'!$B:$B,'Annual Data'!$A191,'Quarterly Data'!F:F)</f>
        <v>0</v>
      </c>
      <c r="E191">
        <f>SUMIF('Quarterly Data'!$B:$B,'Annual Data'!$A191,'Quarterly Data'!G:G)</f>
        <v>0</v>
      </c>
      <c r="F191">
        <f>SUMIF('Quarterly Data'!$B:$B,'Annual Data'!$A191,'Quarterly Data'!H:H)</f>
        <v>0</v>
      </c>
      <c r="G191">
        <f>SUMIF('Quarterly Data'!$B:$B,'Annual Data'!$A191,'Quarterly Data'!I:I)</f>
        <v>0</v>
      </c>
      <c r="H191">
        <f>SUMIF('Quarterly Data'!$B:$B,'Annual Data'!$A191,'Quarterly Data'!J:J)</f>
        <v>0</v>
      </c>
      <c r="I191">
        <f>SUMIF('Quarterly Data'!$B:$B,'Annual Data'!$A191,'Quarterly Data'!K:K)</f>
        <v>0</v>
      </c>
      <c r="J191">
        <f>SUMIF('Quarterly Data'!$B:$B,'Annual Data'!$A191,'Quarterly Data'!L:L)</f>
        <v>0</v>
      </c>
      <c r="K191" t="e">
        <f>AVERAGEIF('Quarterly Data'!$B:$B,'Annual Data'!$A191,'Quarterly Data'!M:M)</f>
        <v>#DIV/0!</v>
      </c>
      <c r="L191" t="e">
        <f>AVERAGEIF('Quarterly Data'!$B:$B,'Annual Data'!$A191,'Quarterly Data'!N:N)</f>
        <v>#DIV/0!</v>
      </c>
      <c r="M191" t="e">
        <f>AVERAGEIF('Quarterly Data'!$B:$B,'Annual Data'!$A191,'Quarterly Data'!O:O)</f>
        <v>#DIV/0!</v>
      </c>
      <c r="N191" t="e">
        <f>AVERAGEIF('Quarterly Data'!$B:$B,'Annual Data'!$A191,'Quarterly Data'!P:P)</f>
        <v>#DIV/0!</v>
      </c>
      <c r="O191" t="e">
        <f>AVERAGEIF('Quarterly Data'!$B:$B,'Annual Data'!$A191,'Quarterly Data'!Q:Q)</f>
        <v>#DIV/0!</v>
      </c>
      <c r="P191">
        <f>SUMIF('Quarterly Data'!$B:$B,'Annual Data'!$A191,'Quarterly Data'!R:R)</f>
        <v>0</v>
      </c>
      <c r="Q191">
        <f>SUMIF('Quarterly Data'!$B:$B,'Annual Data'!$A191,'Quarterly Data'!S:S)</f>
        <v>0</v>
      </c>
      <c r="R191" t="e">
        <f>AVERAGEIF('Quarterly Data'!$B:$B,'Annual Data'!$A191,'Quarterly Data'!T:T)</f>
        <v>#DIV/0!</v>
      </c>
      <c r="S191">
        <f>SUMIF('Quarterly Data'!$B:$B,'Annual Data'!$A191,'Quarterly Data'!U:U)</f>
        <v>0</v>
      </c>
      <c r="T191">
        <f>SUMIF('Quarterly Data'!$B:$B,'Annual Data'!$A191,'Quarterly Data'!V:V)</f>
        <v>0</v>
      </c>
      <c r="U191">
        <f>SUMIF('Quarterly Data'!$B:$B,'Annual Data'!$A191,'Quarterly Data'!W:W)</f>
        <v>0</v>
      </c>
      <c r="V191">
        <f>SUMIF('Quarterly Data'!$B:$B,'Annual Data'!$A191,'Quarterly Data'!X:X)</f>
        <v>0</v>
      </c>
      <c r="W191">
        <f>SUMIF('Quarterly Data'!$B:$B,'Annual Data'!$A191,'Quarterly Data'!Y:Y)</f>
        <v>0</v>
      </c>
      <c r="X191">
        <f>SUMIF('Quarterly Data'!$B:$B,'Annual Data'!$A191,'Quarterly Data'!Z:Z)</f>
        <v>0</v>
      </c>
      <c r="Y191">
        <f>SUMIF('Quarterly Data'!$B:$B,'Annual Data'!$A191,'Quarterly Data'!AA:AA)</f>
        <v>0</v>
      </c>
      <c r="Z191" t="e">
        <f>AVERAGEIF('Quarterly Data'!$B:$B,'Annual Data'!$A191,'Quarterly Data'!AB:AB)</f>
        <v>#DIV/0!</v>
      </c>
      <c r="AA191" t="e">
        <f>AVERAGEIF('Quarterly Data'!$B:$B,'Annual Data'!$A191,'Quarterly Data'!AC:AC)</f>
        <v>#DIV/0!</v>
      </c>
      <c r="AB191" t="e">
        <f>AVERAGEIF('Quarterly Data'!$B:$B,'Annual Data'!$A191,'Quarterly Data'!AD:AD)</f>
        <v>#DIV/0!</v>
      </c>
      <c r="AC191" t="e">
        <f>AVERAGEIF('Quarterly Data'!$B:$B,'Annual Data'!$A191,'Quarterly Data'!AE:AE)</f>
        <v>#DIV/0!</v>
      </c>
      <c r="AD191" t="e">
        <f>AVERAGEIF('Quarterly Data'!$B:$B,'Annual Data'!$A191,'Quarterly Data'!AF:AF)</f>
        <v>#DIV/0!</v>
      </c>
      <c r="AE191">
        <f>SUMIF('Quarterly Data'!$B:$B,'Annual Data'!$A191,'Quarterly Data'!AG:AG)</f>
        <v>0</v>
      </c>
    </row>
    <row r="192" spans="1:31" x14ac:dyDescent="0.25">
      <c r="A192">
        <v>2158</v>
      </c>
      <c r="B192">
        <f>SUMIF('Quarterly Data'!$B:$B,'Annual Data'!$A192,'Quarterly Data'!D:D)</f>
        <v>0</v>
      </c>
      <c r="C192" t="e">
        <f>AVERAGEIF('Quarterly Data'!$B:$B,'Annual Data'!$A192,'Quarterly Data'!E:E)</f>
        <v>#DIV/0!</v>
      </c>
      <c r="D192">
        <f>SUMIF('Quarterly Data'!$B:$B,'Annual Data'!$A192,'Quarterly Data'!F:F)</f>
        <v>0</v>
      </c>
      <c r="E192">
        <f>SUMIF('Quarterly Data'!$B:$B,'Annual Data'!$A192,'Quarterly Data'!G:G)</f>
        <v>0</v>
      </c>
      <c r="F192">
        <f>SUMIF('Quarterly Data'!$B:$B,'Annual Data'!$A192,'Quarterly Data'!H:H)</f>
        <v>0</v>
      </c>
      <c r="G192">
        <f>SUMIF('Quarterly Data'!$B:$B,'Annual Data'!$A192,'Quarterly Data'!I:I)</f>
        <v>0</v>
      </c>
      <c r="H192">
        <f>SUMIF('Quarterly Data'!$B:$B,'Annual Data'!$A192,'Quarterly Data'!J:J)</f>
        <v>0</v>
      </c>
      <c r="I192">
        <f>SUMIF('Quarterly Data'!$B:$B,'Annual Data'!$A192,'Quarterly Data'!K:K)</f>
        <v>0</v>
      </c>
      <c r="J192">
        <f>SUMIF('Quarterly Data'!$B:$B,'Annual Data'!$A192,'Quarterly Data'!L:L)</f>
        <v>0</v>
      </c>
      <c r="K192" t="e">
        <f>AVERAGEIF('Quarterly Data'!$B:$B,'Annual Data'!$A192,'Quarterly Data'!M:M)</f>
        <v>#DIV/0!</v>
      </c>
      <c r="L192" t="e">
        <f>AVERAGEIF('Quarterly Data'!$B:$B,'Annual Data'!$A192,'Quarterly Data'!N:N)</f>
        <v>#DIV/0!</v>
      </c>
      <c r="M192" t="e">
        <f>AVERAGEIF('Quarterly Data'!$B:$B,'Annual Data'!$A192,'Quarterly Data'!O:O)</f>
        <v>#DIV/0!</v>
      </c>
      <c r="N192" t="e">
        <f>AVERAGEIF('Quarterly Data'!$B:$B,'Annual Data'!$A192,'Quarterly Data'!P:P)</f>
        <v>#DIV/0!</v>
      </c>
      <c r="O192" t="e">
        <f>AVERAGEIF('Quarterly Data'!$B:$B,'Annual Data'!$A192,'Quarterly Data'!Q:Q)</f>
        <v>#DIV/0!</v>
      </c>
      <c r="P192">
        <f>SUMIF('Quarterly Data'!$B:$B,'Annual Data'!$A192,'Quarterly Data'!R:R)</f>
        <v>0</v>
      </c>
      <c r="Q192">
        <f>SUMIF('Quarterly Data'!$B:$B,'Annual Data'!$A192,'Quarterly Data'!S:S)</f>
        <v>0</v>
      </c>
      <c r="R192" t="e">
        <f>AVERAGEIF('Quarterly Data'!$B:$B,'Annual Data'!$A192,'Quarterly Data'!T:T)</f>
        <v>#DIV/0!</v>
      </c>
      <c r="S192">
        <f>SUMIF('Quarterly Data'!$B:$B,'Annual Data'!$A192,'Quarterly Data'!U:U)</f>
        <v>0</v>
      </c>
      <c r="T192">
        <f>SUMIF('Quarterly Data'!$B:$B,'Annual Data'!$A192,'Quarterly Data'!V:V)</f>
        <v>0</v>
      </c>
      <c r="U192">
        <f>SUMIF('Quarterly Data'!$B:$B,'Annual Data'!$A192,'Quarterly Data'!W:W)</f>
        <v>0</v>
      </c>
      <c r="V192">
        <f>SUMIF('Quarterly Data'!$B:$B,'Annual Data'!$A192,'Quarterly Data'!X:X)</f>
        <v>0</v>
      </c>
      <c r="W192">
        <f>SUMIF('Quarterly Data'!$B:$B,'Annual Data'!$A192,'Quarterly Data'!Y:Y)</f>
        <v>0</v>
      </c>
      <c r="X192">
        <f>SUMIF('Quarterly Data'!$B:$B,'Annual Data'!$A192,'Quarterly Data'!Z:Z)</f>
        <v>0</v>
      </c>
      <c r="Y192">
        <f>SUMIF('Quarterly Data'!$B:$B,'Annual Data'!$A192,'Quarterly Data'!AA:AA)</f>
        <v>0</v>
      </c>
      <c r="Z192" t="e">
        <f>AVERAGEIF('Quarterly Data'!$B:$B,'Annual Data'!$A192,'Quarterly Data'!AB:AB)</f>
        <v>#DIV/0!</v>
      </c>
      <c r="AA192" t="e">
        <f>AVERAGEIF('Quarterly Data'!$B:$B,'Annual Data'!$A192,'Quarterly Data'!AC:AC)</f>
        <v>#DIV/0!</v>
      </c>
      <c r="AB192" t="e">
        <f>AVERAGEIF('Quarterly Data'!$B:$B,'Annual Data'!$A192,'Quarterly Data'!AD:AD)</f>
        <v>#DIV/0!</v>
      </c>
      <c r="AC192" t="e">
        <f>AVERAGEIF('Quarterly Data'!$B:$B,'Annual Data'!$A192,'Quarterly Data'!AE:AE)</f>
        <v>#DIV/0!</v>
      </c>
      <c r="AD192" t="e">
        <f>AVERAGEIF('Quarterly Data'!$B:$B,'Annual Data'!$A192,'Quarterly Data'!AF:AF)</f>
        <v>#DIV/0!</v>
      </c>
      <c r="AE192">
        <f>SUMIF('Quarterly Data'!$B:$B,'Annual Data'!$A192,'Quarterly Data'!AG:AG)</f>
        <v>0</v>
      </c>
    </row>
    <row r="193" spans="1:31" x14ac:dyDescent="0.25">
      <c r="A193">
        <v>2159</v>
      </c>
      <c r="B193">
        <f>SUMIF('Quarterly Data'!$B:$B,'Annual Data'!$A193,'Quarterly Data'!D:D)</f>
        <v>0</v>
      </c>
      <c r="C193" t="e">
        <f>AVERAGEIF('Quarterly Data'!$B:$B,'Annual Data'!$A193,'Quarterly Data'!E:E)</f>
        <v>#DIV/0!</v>
      </c>
      <c r="D193">
        <f>SUMIF('Quarterly Data'!$B:$B,'Annual Data'!$A193,'Quarterly Data'!F:F)</f>
        <v>0</v>
      </c>
      <c r="E193">
        <f>SUMIF('Quarterly Data'!$B:$B,'Annual Data'!$A193,'Quarterly Data'!G:G)</f>
        <v>0</v>
      </c>
      <c r="F193">
        <f>SUMIF('Quarterly Data'!$B:$B,'Annual Data'!$A193,'Quarterly Data'!H:H)</f>
        <v>0</v>
      </c>
      <c r="G193">
        <f>SUMIF('Quarterly Data'!$B:$B,'Annual Data'!$A193,'Quarterly Data'!I:I)</f>
        <v>0</v>
      </c>
      <c r="H193">
        <f>SUMIF('Quarterly Data'!$B:$B,'Annual Data'!$A193,'Quarterly Data'!J:J)</f>
        <v>0</v>
      </c>
      <c r="I193">
        <f>SUMIF('Quarterly Data'!$B:$B,'Annual Data'!$A193,'Quarterly Data'!K:K)</f>
        <v>0</v>
      </c>
      <c r="J193">
        <f>SUMIF('Quarterly Data'!$B:$B,'Annual Data'!$A193,'Quarterly Data'!L:L)</f>
        <v>0</v>
      </c>
      <c r="K193" t="e">
        <f>AVERAGEIF('Quarterly Data'!$B:$B,'Annual Data'!$A193,'Quarterly Data'!M:M)</f>
        <v>#DIV/0!</v>
      </c>
      <c r="L193" t="e">
        <f>AVERAGEIF('Quarterly Data'!$B:$B,'Annual Data'!$A193,'Quarterly Data'!N:N)</f>
        <v>#DIV/0!</v>
      </c>
      <c r="M193" t="e">
        <f>AVERAGEIF('Quarterly Data'!$B:$B,'Annual Data'!$A193,'Quarterly Data'!O:O)</f>
        <v>#DIV/0!</v>
      </c>
      <c r="N193" t="e">
        <f>AVERAGEIF('Quarterly Data'!$B:$B,'Annual Data'!$A193,'Quarterly Data'!P:P)</f>
        <v>#DIV/0!</v>
      </c>
      <c r="O193" t="e">
        <f>AVERAGEIF('Quarterly Data'!$B:$B,'Annual Data'!$A193,'Quarterly Data'!Q:Q)</f>
        <v>#DIV/0!</v>
      </c>
      <c r="P193">
        <f>SUMIF('Quarterly Data'!$B:$B,'Annual Data'!$A193,'Quarterly Data'!R:R)</f>
        <v>0</v>
      </c>
      <c r="Q193">
        <f>SUMIF('Quarterly Data'!$B:$B,'Annual Data'!$A193,'Quarterly Data'!S:S)</f>
        <v>0</v>
      </c>
      <c r="R193" t="e">
        <f>AVERAGEIF('Quarterly Data'!$B:$B,'Annual Data'!$A193,'Quarterly Data'!T:T)</f>
        <v>#DIV/0!</v>
      </c>
      <c r="S193">
        <f>SUMIF('Quarterly Data'!$B:$B,'Annual Data'!$A193,'Quarterly Data'!U:U)</f>
        <v>0</v>
      </c>
      <c r="T193">
        <f>SUMIF('Quarterly Data'!$B:$B,'Annual Data'!$A193,'Quarterly Data'!V:V)</f>
        <v>0</v>
      </c>
      <c r="U193">
        <f>SUMIF('Quarterly Data'!$B:$B,'Annual Data'!$A193,'Quarterly Data'!W:W)</f>
        <v>0</v>
      </c>
      <c r="V193">
        <f>SUMIF('Quarterly Data'!$B:$B,'Annual Data'!$A193,'Quarterly Data'!X:X)</f>
        <v>0</v>
      </c>
      <c r="W193">
        <f>SUMIF('Quarterly Data'!$B:$B,'Annual Data'!$A193,'Quarterly Data'!Y:Y)</f>
        <v>0</v>
      </c>
      <c r="X193">
        <f>SUMIF('Quarterly Data'!$B:$B,'Annual Data'!$A193,'Quarterly Data'!Z:Z)</f>
        <v>0</v>
      </c>
      <c r="Y193">
        <f>SUMIF('Quarterly Data'!$B:$B,'Annual Data'!$A193,'Quarterly Data'!AA:AA)</f>
        <v>0</v>
      </c>
      <c r="Z193" t="e">
        <f>AVERAGEIF('Quarterly Data'!$B:$B,'Annual Data'!$A193,'Quarterly Data'!AB:AB)</f>
        <v>#DIV/0!</v>
      </c>
      <c r="AA193" t="e">
        <f>AVERAGEIF('Quarterly Data'!$B:$B,'Annual Data'!$A193,'Quarterly Data'!AC:AC)</f>
        <v>#DIV/0!</v>
      </c>
      <c r="AB193" t="e">
        <f>AVERAGEIF('Quarterly Data'!$B:$B,'Annual Data'!$A193,'Quarterly Data'!AD:AD)</f>
        <v>#DIV/0!</v>
      </c>
      <c r="AC193" t="e">
        <f>AVERAGEIF('Quarterly Data'!$B:$B,'Annual Data'!$A193,'Quarterly Data'!AE:AE)</f>
        <v>#DIV/0!</v>
      </c>
      <c r="AD193" t="e">
        <f>AVERAGEIF('Quarterly Data'!$B:$B,'Annual Data'!$A193,'Quarterly Data'!AF:AF)</f>
        <v>#DIV/0!</v>
      </c>
      <c r="AE193">
        <f>SUMIF('Quarterly Data'!$B:$B,'Annual Data'!$A193,'Quarterly Data'!AG:AG)</f>
        <v>0</v>
      </c>
    </row>
    <row r="194" spans="1:31" x14ac:dyDescent="0.25">
      <c r="A194">
        <v>2160</v>
      </c>
      <c r="B194">
        <f>SUMIF('Quarterly Data'!$B:$B,'Annual Data'!$A194,'Quarterly Data'!D:D)</f>
        <v>0</v>
      </c>
      <c r="C194" t="e">
        <f>AVERAGEIF('Quarterly Data'!$B:$B,'Annual Data'!$A194,'Quarterly Data'!E:E)</f>
        <v>#DIV/0!</v>
      </c>
      <c r="D194">
        <f>SUMIF('Quarterly Data'!$B:$B,'Annual Data'!$A194,'Quarterly Data'!F:F)</f>
        <v>0</v>
      </c>
      <c r="E194">
        <f>SUMIF('Quarterly Data'!$B:$B,'Annual Data'!$A194,'Quarterly Data'!G:G)</f>
        <v>0</v>
      </c>
      <c r="F194">
        <f>SUMIF('Quarterly Data'!$B:$B,'Annual Data'!$A194,'Quarterly Data'!H:H)</f>
        <v>0</v>
      </c>
      <c r="G194">
        <f>SUMIF('Quarterly Data'!$B:$B,'Annual Data'!$A194,'Quarterly Data'!I:I)</f>
        <v>0</v>
      </c>
      <c r="H194">
        <f>SUMIF('Quarterly Data'!$B:$B,'Annual Data'!$A194,'Quarterly Data'!J:J)</f>
        <v>0</v>
      </c>
      <c r="I194">
        <f>SUMIF('Quarterly Data'!$B:$B,'Annual Data'!$A194,'Quarterly Data'!K:K)</f>
        <v>0</v>
      </c>
      <c r="J194">
        <f>SUMIF('Quarterly Data'!$B:$B,'Annual Data'!$A194,'Quarterly Data'!L:L)</f>
        <v>0</v>
      </c>
      <c r="K194" t="e">
        <f>AVERAGEIF('Quarterly Data'!$B:$B,'Annual Data'!$A194,'Quarterly Data'!M:M)</f>
        <v>#DIV/0!</v>
      </c>
      <c r="L194" t="e">
        <f>AVERAGEIF('Quarterly Data'!$B:$B,'Annual Data'!$A194,'Quarterly Data'!N:N)</f>
        <v>#DIV/0!</v>
      </c>
      <c r="M194" t="e">
        <f>AVERAGEIF('Quarterly Data'!$B:$B,'Annual Data'!$A194,'Quarterly Data'!O:O)</f>
        <v>#DIV/0!</v>
      </c>
      <c r="N194" t="e">
        <f>AVERAGEIF('Quarterly Data'!$B:$B,'Annual Data'!$A194,'Quarterly Data'!P:P)</f>
        <v>#DIV/0!</v>
      </c>
      <c r="O194" t="e">
        <f>AVERAGEIF('Quarterly Data'!$B:$B,'Annual Data'!$A194,'Quarterly Data'!Q:Q)</f>
        <v>#DIV/0!</v>
      </c>
      <c r="P194">
        <f>SUMIF('Quarterly Data'!$B:$B,'Annual Data'!$A194,'Quarterly Data'!R:R)</f>
        <v>0</v>
      </c>
      <c r="Q194">
        <f>SUMIF('Quarterly Data'!$B:$B,'Annual Data'!$A194,'Quarterly Data'!S:S)</f>
        <v>0</v>
      </c>
      <c r="R194" t="e">
        <f>AVERAGEIF('Quarterly Data'!$B:$B,'Annual Data'!$A194,'Quarterly Data'!T:T)</f>
        <v>#DIV/0!</v>
      </c>
      <c r="S194">
        <f>SUMIF('Quarterly Data'!$B:$B,'Annual Data'!$A194,'Quarterly Data'!U:U)</f>
        <v>0</v>
      </c>
      <c r="T194">
        <f>SUMIF('Quarterly Data'!$B:$B,'Annual Data'!$A194,'Quarterly Data'!V:V)</f>
        <v>0</v>
      </c>
      <c r="U194">
        <f>SUMIF('Quarterly Data'!$B:$B,'Annual Data'!$A194,'Quarterly Data'!W:W)</f>
        <v>0</v>
      </c>
      <c r="V194">
        <f>SUMIF('Quarterly Data'!$B:$B,'Annual Data'!$A194,'Quarterly Data'!X:X)</f>
        <v>0</v>
      </c>
      <c r="W194">
        <f>SUMIF('Quarterly Data'!$B:$B,'Annual Data'!$A194,'Quarterly Data'!Y:Y)</f>
        <v>0</v>
      </c>
      <c r="X194">
        <f>SUMIF('Quarterly Data'!$B:$B,'Annual Data'!$A194,'Quarterly Data'!Z:Z)</f>
        <v>0</v>
      </c>
      <c r="Y194">
        <f>SUMIF('Quarterly Data'!$B:$B,'Annual Data'!$A194,'Quarterly Data'!AA:AA)</f>
        <v>0</v>
      </c>
      <c r="Z194" t="e">
        <f>AVERAGEIF('Quarterly Data'!$B:$B,'Annual Data'!$A194,'Quarterly Data'!AB:AB)</f>
        <v>#DIV/0!</v>
      </c>
      <c r="AA194" t="e">
        <f>AVERAGEIF('Quarterly Data'!$B:$B,'Annual Data'!$A194,'Quarterly Data'!AC:AC)</f>
        <v>#DIV/0!</v>
      </c>
      <c r="AB194" t="e">
        <f>AVERAGEIF('Quarterly Data'!$B:$B,'Annual Data'!$A194,'Quarterly Data'!AD:AD)</f>
        <v>#DIV/0!</v>
      </c>
      <c r="AC194" t="e">
        <f>AVERAGEIF('Quarterly Data'!$B:$B,'Annual Data'!$A194,'Quarterly Data'!AE:AE)</f>
        <v>#DIV/0!</v>
      </c>
      <c r="AD194" t="e">
        <f>AVERAGEIF('Quarterly Data'!$B:$B,'Annual Data'!$A194,'Quarterly Data'!AF:AF)</f>
        <v>#DIV/0!</v>
      </c>
      <c r="AE194">
        <f>SUMIF('Quarterly Data'!$B:$B,'Annual Data'!$A194,'Quarterly Data'!AG:AG)</f>
        <v>0</v>
      </c>
    </row>
    <row r="195" spans="1:31" x14ac:dyDescent="0.25">
      <c r="A195">
        <v>2161</v>
      </c>
      <c r="B195">
        <f>SUMIF('Quarterly Data'!$B:$B,'Annual Data'!$A195,'Quarterly Data'!D:D)</f>
        <v>0</v>
      </c>
      <c r="C195" t="e">
        <f>AVERAGEIF('Quarterly Data'!$B:$B,'Annual Data'!$A195,'Quarterly Data'!E:E)</f>
        <v>#DIV/0!</v>
      </c>
      <c r="D195">
        <f>SUMIF('Quarterly Data'!$B:$B,'Annual Data'!$A195,'Quarterly Data'!F:F)</f>
        <v>0</v>
      </c>
      <c r="E195">
        <f>SUMIF('Quarterly Data'!$B:$B,'Annual Data'!$A195,'Quarterly Data'!G:G)</f>
        <v>0</v>
      </c>
      <c r="F195">
        <f>SUMIF('Quarterly Data'!$B:$B,'Annual Data'!$A195,'Quarterly Data'!H:H)</f>
        <v>0</v>
      </c>
      <c r="G195">
        <f>SUMIF('Quarterly Data'!$B:$B,'Annual Data'!$A195,'Quarterly Data'!I:I)</f>
        <v>0</v>
      </c>
      <c r="H195">
        <f>SUMIF('Quarterly Data'!$B:$B,'Annual Data'!$A195,'Quarterly Data'!J:J)</f>
        <v>0</v>
      </c>
      <c r="I195">
        <f>SUMIF('Quarterly Data'!$B:$B,'Annual Data'!$A195,'Quarterly Data'!K:K)</f>
        <v>0</v>
      </c>
      <c r="J195">
        <f>SUMIF('Quarterly Data'!$B:$B,'Annual Data'!$A195,'Quarterly Data'!L:L)</f>
        <v>0</v>
      </c>
      <c r="K195" t="e">
        <f>AVERAGEIF('Quarterly Data'!$B:$B,'Annual Data'!$A195,'Quarterly Data'!M:M)</f>
        <v>#DIV/0!</v>
      </c>
      <c r="L195" t="e">
        <f>AVERAGEIF('Quarterly Data'!$B:$B,'Annual Data'!$A195,'Quarterly Data'!N:N)</f>
        <v>#DIV/0!</v>
      </c>
      <c r="M195" t="e">
        <f>AVERAGEIF('Quarterly Data'!$B:$B,'Annual Data'!$A195,'Quarterly Data'!O:O)</f>
        <v>#DIV/0!</v>
      </c>
      <c r="N195" t="e">
        <f>AVERAGEIF('Quarterly Data'!$B:$B,'Annual Data'!$A195,'Quarterly Data'!P:P)</f>
        <v>#DIV/0!</v>
      </c>
      <c r="O195" t="e">
        <f>AVERAGEIF('Quarterly Data'!$B:$B,'Annual Data'!$A195,'Quarterly Data'!Q:Q)</f>
        <v>#DIV/0!</v>
      </c>
      <c r="P195">
        <f>SUMIF('Quarterly Data'!$B:$B,'Annual Data'!$A195,'Quarterly Data'!R:R)</f>
        <v>0</v>
      </c>
      <c r="Q195">
        <f>SUMIF('Quarterly Data'!$B:$B,'Annual Data'!$A195,'Quarterly Data'!S:S)</f>
        <v>0</v>
      </c>
      <c r="R195" t="e">
        <f>AVERAGEIF('Quarterly Data'!$B:$B,'Annual Data'!$A195,'Quarterly Data'!T:T)</f>
        <v>#DIV/0!</v>
      </c>
      <c r="S195">
        <f>SUMIF('Quarterly Data'!$B:$B,'Annual Data'!$A195,'Quarterly Data'!U:U)</f>
        <v>0</v>
      </c>
      <c r="T195">
        <f>SUMIF('Quarterly Data'!$B:$B,'Annual Data'!$A195,'Quarterly Data'!V:V)</f>
        <v>0</v>
      </c>
      <c r="U195">
        <f>SUMIF('Quarterly Data'!$B:$B,'Annual Data'!$A195,'Quarterly Data'!W:W)</f>
        <v>0</v>
      </c>
      <c r="V195">
        <f>SUMIF('Quarterly Data'!$B:$B,'Annual Data'!$A195,'Quarterly Data'!X:X)</f>
        <v>0</v>
      </c>
      <c r="W195">
        <f>SUMIF('Quarterly Data'!$B:$B,'Annual Data'!$A195,'Quarterly Data'!Y:Y)</f>
        <v>0</v>
      </c>
      <c r="X195">
        <f>SUMIF('Quarterly Data'!$B:$B,'Annual Data'!$A195,'Quarterly Data'!Z:Z)</f>
        <v>0</v>
      </c>
      <c r="Y195">
        <f>SUMIF('Quarterly Data'!$B:$B,'Annual Data'!$A195,'Quarterly Data'!AA:AA)</f>
        <v>0</v>
      </c>
      <c r="Z195" t="e">
        <f>AVERAGEIF('Quarterly Data'!$B:$B,'Annual Data'!$A195,'Quarterly Data'!AB:AB)</f>
        <v>#DIV/0!</v>
      </c>
      <c r="AA195" t="e">
        <f>AVERAGEIF('Quarterly Data'!$B:$B,'Annual Data'!$A195,'Quarterly Data'!AC:AC)</f>
        <v>#DIV/0!</v>
      </c>
      <c r="AB195" t="e">
        <f>AVERAGEIF('Quarterly Data'!$B:$B,'Annual Data'!$A195,'Quarterly Data'!AD:AD)</f>
        <v>#DIV/0!</v>
      </c>
      <c r="AC195" t="e">
        <f>AVERAGEIF('Quarterly Data'!$B:$B,'Annual Data'!$A195,'Quarterly Data'!AE:AE)</f>
        <v>#DIV/0!</v>
      </c>
      <c r="AD195" t="e">
        <f>AVERAGEIF('Quarterly Data'!$B:$B,'Annual Data'!$A195,'Quarterly Data'!AF:AF)</f>
        <v>#DIV/0!</v>
      </c>
      <c r="AE195">
        <f>SUMIF('Quarterly Data'!$B:$B,'Annual Data'!$A195,'Quarterly Data'!AG:AG)</f>
        <v>0</v>
      </c>
    </row>
    <row r="196" spans="1:31" x14ac:dyDescent="0.25">
      <c r="A196">
        <v>2162</v>
      </c>
      <c r="B196">
        <f>SUMIF('Quarterly Data'!$B:$B,'Annual Data'!$A196,'Quarterly Data'!D:D)</f>
        <v>0</v>
      </c>
      <c r="C196" t="e">
        <f>AVERAGEIF('Quarterly Data'!$B:$B,'Annual Data'!$A196,'Quarterly Data'!E:E)</f>
        <v>#DIV/0!</v>
      </c>
      <c r="D196">
        <f>SUMIF('Quarterly Data'!$B:$B,'Annual Data'!$A196,'Quarterly Data'!F:F)</f>
        <v>0</v>
      </c>
      <c r="E196">
        <f>SUMIF('Quarterly Data'!$B:$B,'Annual Data'!$A196,'Quarterly Data'!G:G)</f>
        <v>0</v>
      </c>
      <c r="F196">
        <f>SUMIF('Quarterly Data'!$B:$B,'Annual Data'!$A196,'Quarterly Data'!H:H)</f>
        <v>0</v>
      </c>
      <c r="G196">
        <f>SUMIF('Quarterly Data'!$B:$B,'Annual Data'!$A196,'Quarterly Data'!I:I)</f>
        <v>0</v>
      </c>
      <c r="H196">
        <f>SUMIF('Quarterly Data'!$B:$B,'Annual Data'!$A196,'Quarterly Data'!J:J)</f>
        <v>0</v>
      </c>
      <c r="I196">
        <f>SUMIF('Quarterly Data'!$B:$B,'Annual Data'!$A196,'Quarterly Data'!K:K)</f>
        <v>0</v>
      </c>
      <c r="J196">
        <f>SUMIF('Quarterly Data'!$B:$B,'Annual Data'!$A196,'Quarterly Data'!L:L)</f>
        <v>0</v>
      </c>
      <c r="K196" t="e">
        <f>AVERAGEIF('Quarterly Data'!$B:$B,'Annual Data'!$A196,'Quarterly Data'!M:M)</f>
        <v>#DIV/0!</v>
      </c>
      <c r="L196" t="e">
        <f>AVERAGEIF('Quarterly Data'!$B:$B,'Annual Data'!$A196,'Quarterly Data'!N:N)</f>
        <v>#DIV/0!</v>
      </c>
      <c r="M196" t="e">
        <f>AVERAGEIF('Quarterly Data'!$B:$B,'Annual Data'!$A196,'Quarterly Data'!O:O)</f>
        <v>#DIV/0!</v>
      </c>
      <c r="N196" t="e">
        <f>AVERAGEIF('Quarterly Data'!$B:$B,'Annual Data'!$A196,'Quarterly Data'!P:P)</f>
        <v>#DIV/0!</v>
      </c>
      <c r="O196" t="e">
        <f>AVERAGEIF('Quarterly Data'!$B:$B,'Annual Data'!$A196,'Quarterly Data'!Q:Q)</f>
        <v>#DIV/0!</v>
      </c>
      <c r="P196">
        <f>SUMIF('Quarterly Data'!$B:$B,'Annual Data'!$A196,'Quarterly Data'!R:R)</f>
        <v>0</v>
      </c>
      <c r="Q196">
        <f>SUMIF('Quarterly Data'!$B:$B,'Annual Data'!$A196,'Quarterly Data'!S:S)</f>
        <v>0</v>
      </c>
      <c r="R196" t="e">
        <f>AVERAGEIF('Quarterly Data'!$B:$B,'Annual Data'!$A196,'Quarterly Data'!T:T)</f>
        <v>#DIV/0!</v>
      </c>
      <c r="S196">
        <f>SUMIF('Quarterly Data'!$B:$B,'Annual Data'!$A196,'Quarterly Data'!U:U)</f>
        <v>0</v>
      </c>
      <c r="T196">
        <f>SUMIF('Quarterly Data'!$B:$B,'Annual Data'!$A196,'Quarterly Data'!V:V)</f>
        <v>0</v>
      </c>
      <c r="U196">
        <f>SUMIF('Quarterly Data'!$B:$B,'Annual Data'!$A196,'Quarterly Data'!W:W)</f>
        <v>0</v>
      </c>
      <c r="V196">
        <f>SUMIF('Quarterly Data'!$B:$B,'Annual Data'!$A196,'Quarterly Data'!X:X)</f>
        <v>0</v>
      </c>
      <c r="W196">
        <f>SUMIF('Quarterly Data'!$B:$B,'Annual Data'!$A196,'Quarterly Data'!Y:Y)</f>
        <v>0</v>
      </c>
      <c r="X196">
        <f>SUMIF('Quarterly Data'!$B:$B,'Annual Data'!$A196,'Quarterly Data'!Z:Z)</f>
        <v>0</v>
      </c>
      <c r="Y196">
        <f>SUMIF('Quarterly Data'!$B:$B,'Annual Data'!$A196,'Quarterly Data'!AA:AA)</f>
        <v>0</v>
      </c>
      <c r="Z196" t="e">
        <f>AVERAGEIF('Quarterly Data'!$B:$B,'Annual Data'!$A196,'Quarterly Data'!AB:AB)</f>
        <v>#DIV/0!</v>
      </c>
      <c r="AA196" t="e">
        <f>AVERAGEIF('Quarterly Data'!$B:$B,'Annual Data'!$A196,'Quarterly Data'!AC:AC)</f>
        <v>#DIV/0!</v>
      </c>
      <c r="AB196" t="e">
        <f>AVERAGEIF('Quarterly Data'!$B:$B,'Annual Data'!$A196,'Quarterly Data'!AD:AD)</f>
        <v>#DIV/0!</v>
      </c>
      <c r="AC196" t="e">
        <f>AVERAGEIF('Quarterly Data'!$B:$B,'Annual Data'!$A196,'Quarterly Data'!AE:AE)</f>
        <v>#DIV/0!</v>
      </c>
      <c r="AD196" t="e">
        <f>AVERAGEIF('Quarterly Data'!$B:$B,'Annual Data'!$A196,'Quarterly Data'!AF:AF)</f>
        <v>#DIV/0!</v>
      </c>
      <c r="AE196">
        <f>SUMIF('Quarterly Data'!$B:$B,'Annual Data'!$A196,'Quarterly Data'!AG:AG)</f>
        <v>0</v>
      </c>
    </row>
    <row r="197" spans="1:31" x14ac:dyDescent="0.25">
      <c r="A197">
        <v>2163</v>
      </c>
      <c r="B197">
        <f>SUMIF('Quarterly Data'!$B:$B,'Annual Data'!$A197,'Quarterly Data'!D:D)</f>
        <v>0</v>
      </c>
      <c r="C197" t="e">
        <f>AVERAGEIF('Quarterly Data'!$B:$B,'Annual Data'!$A197,'Quarterly Data'!E:E)</f>
        <v>#DIV/0!</v>
      </c>
      <c r="D197">
        <f>SUMIF('Quarterly Data'!$B:$B,'Annual Data'!$A197,'Quarterly Data'!F:F)</f>
        <v>0</v>
      </c>
      <c r="E197">
        <f>SUMIF('Quarterly Data'!$B:$B,'Annual Data'!$A197,'Quarterly Data'!G:G)</f>
        <v>0</v>
      </c>
      <c r="F197">
        <f>SUMIF('Quarterly Data'!$B:$B,'Annual Data'!$A197,'Quarterly Data'!H:H)</f>
        <v>0</v>
      </c>
      <c r="G197">
        <f>SUMIF('Quarterly Data'!$B:$B,'Annual Data'!$A197,'Quarterly Data'!I:I)</f>
        <v>0</v>
      </c>
      <c r="H197">
        <f>SUMIF('Quarterly Data'!$B:$B,'Annual Data'!$A197,'Quarterly Data'!J:J)</f>
        <v>0</v>
      </c>
      <c r="I197">
        <f>SUMIF('Quarterly Data'!$B:$B,'Annual Data'!$A197,'Quarterly Data'!K:K)</f>
        <v>0</v>
      </c>
      <c r="J197">
        <f>SUMIF('Quarterly Data'!$B:$B,'Annual Data'!$A197,'Quarterly Data'!L:L)</f>
        <v>0</v>
      </c>
      <c r="K197" t="e">
        <f>AVERAGEIF('Quarterly Data'!$B:$B,'Annual Data'!$A197,'Quarterly Data'!M:M)</f>
        <v>#DIV/0!</v>
      </c>
      <c r="L197" t="e">
        <f>AVERAGEIF('Quarterly Data'!$B:$B,'Annual Data'!$A197,'Quarterly Data'!N:N)</f>
        <v>#DIV/0!</v>
      </c>
      <c r="M197" t="e">
        <f>AVERAGEIF('Quarterly Data'!$B:$B,'Annual Data'!$A197,'Quarterly Data'!O:O)</f>
        <v>#DIV/0!</v>
      </c>
      <c r="N197" t="e">
        <f>AVERAGEIF('Quarterly Data'!$B:$B,'Annual Data'!$A197,'Quarterly Data'!P:P)</f>
        <v>#DIV/0!</v>
      </c>
      <c r="O197" t="e">
        <f>AVERAGEIF('Quarterly Data'!$B:$B,'Annual Data'!$A197,'Quarterly Data'!Q:Q)</f>
        <v>#DIV/0!</v>
      </c>
      <c r="P197">
        <f>SUMIF('Quarterly Data'!$B:$B,'Annual Data'!$A197,'Quarterly Data'!R:R)</f>
        <v>0</v>
      </c>
      <c r="Q197">
        <f>SUMIF('Quarterly Data'!$B:$B,'Annual Data'!$A197,'Quarterly Data'!S:S)</f>
        <v>0</v>
      </c>
      <c r="R197" t="e">
        <f>AVERAGEIF('Quarterly Data'!$B:$B,'Annual Data'!$A197,'Quarterly Data'!T:T)</f>
        <v>#DIV/0!</v>
      </c>
      <c r="S197">
        <f>SUMIF('Quarterly Data'!$B:$B,'Annual Data'!$A197,'Quarterly Data'!U:U)</f>
        <v>0</v>
      </c>
      <c r="T197">
        <f>SUMIF('Quarterly Data'!$B:$B,'Annual Data'!$A197,'Quarterly Data'!V:V)</f>
        <v>0</v>
      </c>
      <c r="U197">
        <f>SUMIF('Quarterly Data'!$B:$B,'Annual Data'!$A197,'Quarterly Data'!W:W)</f>
        <v>0</v>
      </c>
      <c r="V197">
        <f>SUMIF('Quarterly Data'!$B:$B,'Annual Data'!$A197,'Quarterly Data'!X:X)</f>
        <v>0</v>
      </c>
      <c r="W197">
        <f>SUMIF('Quarterly Data'!$B:$B,'Annual Data'!$A197,'Quarterly Data'!Y:Y)</f>
        <v>0</v>
      </c>
      <c r="X197">
        <f>SUMIF('Quarterly Data'!$B:$B,'Annual Data'!$A197,'Quarterly Data'!Z:Z)</f>
        <v>0</v>
      </c>
      <c r="Y197">
        <f>SUMIF('Quarterly Data'!$B:$B,'Annual Data'!$A197,'Quarterly Data'!AA:AA)</f>
        <v>0</v>
      </c>
      <c r="Z197" t="e">
        <f>AVERAGEIF('Quarterly Data'!$B:$B,'Annual Data'!$A197,'Quarterly Data'!AB:AB)</f>
        <v>#DIV/0!</v>
      </c>
      <c r="AA197" t="e">
        <f>AVERAGEIF('Quarterly Data'!$B:$B,'Annual Data'!$A197,'Quarterly Data'!AC:AC)</f>
        <v>#DIV/0!</v>
      </c>
      <c r="AB197" t="e">
        <f>AVERAGEIF('Quarterly Data'!$B:$B,'Annual Data'!$A197,'Quarterly Data'!AD:AD)</f>
        <v>#DIV/0!</v>
      </c>
      <c r="AC197" t="e">
        <f>AVERAGEIF('Quarterly Data'!$B:$B,'Annual Data'!$A197,'Quarterly Data'!AE:AE)</f>
        <v>#DIV/0!</v>
      </c>
      <c r="AD197" t="e">
        <f>AVERAGEIF('Quarterly Data'!$B:$B,'Annual Data'!$A197,'Quarterly Data'!AF:AF)</f>
        <v>#DIV/0!</v>
      </c>
      <c r="AE197">
        <f>SUMIF('Quarterly Data'!$B:$B,'Annual Data'!$A197,'Quarterly Data'!AG:AG)</f>
        <v>0</v>
      </c>
    </row>
    <row r="198" spans="1:31" x14ac:dyDescent="0.25">
      <c r="A198">
        <v>2164</v>
      </c>
      <c r="B198">
        <f>SUMIF('Quarterly Data'!$B:$B,'Annual Data'!$A198,'Quarterly Data'!D:D)</f>
        <v>0</v>
      </c>
      <c r="C198" t="e">
        <f>AVERAGEIF('Quarterly Data'!$B:$B,'Annual Data'!$A198,'Quarterly Data'!E:E)</f>
        <v>#DIV/0!</v>
      </c>
      <c r="D198">
        <f>SUMIF('Quarterly Data'!$B:$B,'Annual Data'!$A198,'Quarterly Data'!F:F)</f>
        <v>0</v>
      </c>
      <c r="E198">
        <f>SUMIF('Quarterly Data'!$B:$B,'Annual Data'!$A198,'Quarterly Data'!G:G)</f>
        <v>0</v>
      </c>
      <c r="F198">
        <f>SUMIF('Quarterly Data'!$B:$B,'Annual Data'!$A198,'Quarterly Data'!H:H)</f>
        <v>0</v>
      </c>
      <c r="G198">
        <f>SUMIF('Quarterly Data'!$B:$B,'Annual Data'!$A198,'Quarterly Data'!I:I)</f>
        <v>0</v>
      </c>
      <c r="H198">
        <f>SUMIF('Quarterly Data'!$B:$B,'Annual Data'!$A198,'Quarterly Data'!J:J)</f>
        <v>0</v>
      </c>
      <c r="I198">
        <f>SUMIF('Quarterly Data'!$B:$B,'Annual Data'!$A198,'Quarterly Data'!K:K)</f>
        <v>0</v>
      </c>
      <c r="J198">
        <f>SUMIF('Quarterly Data'!$B:$B,'Annual Data'!$A198,'Quarterly Data'!L:L)</f>
        <v>0</v>
      </c>
      <c r="K198" t="e">
        <f>AVERAGEIF('Quarterly Data'!$B:$B,'Annual Data'!$A198,'Quarterly Data'!M:M)</f>
        <v>#DIV/0!</v>
      </c>
      <c r="L198" t="e">
        <f>AVERAGEIF('Quarterly Data'!$B:$B,'Annual Data'!$A198,'Quarterly Data'!N:N)</f>
        <v>#DIV/0!</v>
      </c>
      <c r="M198" t="e">
        <f>AVERAGEIF('Quarterly Data'!$B:$B,'Annual Data'!$A198,'Quarterly Data'!O:O)</f>
        <v>#DIV/0!</v>
      </c>
      <c r="N198" t="e">
        <f>AVERAGEIF('Quarterly Data'!$B:$B,'Annual Data'!$A198,'Quarterly Data'!P:P)</f>
        <v>#DIV/0!</v>
      </c>
      <c r="O198" t="e">
        <f>AVERAGEIF('Quarterly Data'!$B:$B,'Annual Data'!$A198,'Quarterly Data'!Q:Q)</f>
        <v>#DIV/0!</v>
      </c>
      <c r="P198">
        <f>SUMIF('Quarterly Data'!$B:$B,'Annual Data'!$A198,'Quarterly Data'!R:R)</f>
        <v>0</v>
      </c>
      <c r="Q198">
        <f>SUMIF('Quarterly Data'!$B:$B,'Annual Data'!$A198,'Quarterly Data'!S:S)</f>
        <v>0</v>
      </c>
      <c r="R198" t="e">
        <f>AVERAGEIF('Quarterly Data'!$B:$B,'Annual Data'!$A198,'Quarterly Data'!T:T)</f>
        <v>#DIV/0!</v>
      </c>
      <c r="S198">
        <f>SUMIF('Quarterly Data'!$B:$B,'Annual Data'!$A198,'Quarterly Data'!U:U)</f>
        <v>0</v>
      </c>
      <c r="T198">
        <f>SUMIF('Quarterly Data'!$B:$B,'Annual Data'!$A198,'Quarterly Data'!V:V)</f>
        <v>0</v>
      </c>
      <c r="U198">
        <f>SUMIF('Quarterly Data'!$B:$B,'Annual Data'!$A198,'Quarterly Data'!W:W)</f>
        <v>0</v>
      </c>
      <c r="V198">
        <f>SUMIF('Quarterly Data'!$B:$B,'Annual Data'!$A198,'Quarterly Data'!X:X)</f>
        <v>0</v>
      </c>
      <c r="W198">
        <f>SUMIF('Quarterly Data'!$B:$B,'Annual Data'!$A198,'Quarterly Data'!Y:Y)</f>
        <v>0</v>
      </c>
      <c r="X198">
        <f>SUMIF('Quarterly Data'!$B:$B,'Annual Data'!$A198,'Quarterly Data'!Z:Z)</f>
        <v>0</v>
      </c>
      <c r="Y198">
        <f>SUMIF('Quarterly Data'!$B:$B,'Annual Data'!$A198,'Quarterly Data'!AA:AA)</f>
        <v>0</v>
      </c>
      <c r="Z198" t="e">
        <f>AVERAGEIF('Quarterly Data'!$B:$B,'Annual Data'!$A198,'Quarterly Data'!AB:AB)</f>
        <v>#DIV/0!</v>
      </c>
      <c r="AA198" t="e">
        <f>AVERAGEIF('Quarterly Data'!$B:$B,'Annual Data'!$A198,'Quarterly Data'!AC:AC)</f>
        <v>#DIV/0!</v>
      </c>
      <c r="AB198" t="e">
        <f>AVERAGEIF('Quarterly Data'!$B:$B,'Annual Data'!$A198,'Quarterly Data'!AD:AD)</f>
        <v>#DIV/0!</v>
      </c>
      <c r="AC198" t="e">
        <f>AVERAGEIF('Quarterly Data'!$B:$B,'Annual Data'!$A198,'Quarterly Data'!AE:AE)</f>
        <v>#DIV/0!</v>
      </c>
      <c r="AD198" t="e">
        <f>AVERAGEIF('Quarterly Data'!$B:$B,'Annual Data'!$A198,'Quarterly Data'!AF:AF)</f>
        <v>#DIV/0!</v>
      </c>
      <c r="AE198">
        <f>SUMIF('Quarterly Data'!$B:$B,'Annual Data'!$A198,'Quarterly Data'!AG:AG)</f>
        <v>0</v>
      </c>
    </row>
    <row r="199" spans="1:31" x14ac:dyDescent="0.25">
      <c r="A199">
        <v>2165</v>
      </c>
      <c r="B199">
        <f>SUMIF('Quarterly Data'!$B:$B,'Annual Data'!$A199,'Quarterly Data'!D:D)</f>
        <v>0</v>
      </c>
      <c r="C199" t="e">
        <f>AVERAGEIF('Quarterly Data'!$B:$B,'Annual Data'!$A199,'Quarterly Data'!E:E)</f>
        <v>#DIV/0!</v>
      </c>
      <c r="D199">
        <f>SUMIF('Quarterly Data'!$B:$B,'Annual Data'!$A199,'Quarterly Data'!F:F)</f>
        <v>0</v>
      </c>
      <c r="E199">
        <f>SUMIF('Quarterly Data'!$B:$B,'Annual Data'!$A199,'Quarterly Data'!G:G)</f>
        <v>0</v>
      </c>
      <c r="F199">
        <f>SUMIF('Quarterly Data'!$B:$B,'Annual Data'!$A199,'Quarterly Data'!H:H)</f>
        <v>0</v>
      </c>
      <c r="G199">
        <f>SUMIF('Quarterly Data'!$B:$B,'Annual Data'!$A199,'Quarterly Data'!I:I)</f>
        <v>0</v>
      </c>
      <c r="H199">
        <f>SUMIF('Quarterly Data'!$B:$B,'Annual Data'!$A199,'Quarterly Data'!J:J)</f>
        <v>0</v>
      </c>
      <c r="I199">
        <f>SUMIF('Quarterly Data'!$B:$B,'Annual Data'!$A199,'Quarterly Data'!K:K)</f>
        <v>0</v>
      </c>
      <c r="J199">
        <f>SUMIF('Quarterly Data'!$B:$B,'Annual Data'!$A199,'Quarterly Data'!L:L)</f>
        <v>0</v>
      </c>
      <c r="K199" t="e">
        <f>AVERAGEIF('Quarterly Data'!$B:$B,'Annual Data'!$A199,'Quarterly Data'!M:M)</f>
        <v>#DIV/0!</v>
      </c>
      <c r="L199" t="e">
        <f>AVERAGEIF('Quarterly Data'!$B:$B,'Annual Data'!$A199,'Quarterly Data'!N:N)</f>
        <v>#DIV/0!</v>
      </c>
      <c r="M199" t="e">
        <f>AVERAGEIF('Quarterly Data'!$B:$B,'Annual Data'!$A199,'Quarterly Data'!O:O)</f>
        <v>#DIV/0!</v>
      </c>
      <c r="N199" t="e">
        <f>AVERAGEIF('Quarterly Data'!$B:$B,'Annual Data'!$A199,'Quarterly Data'!P:P)</f>
        <v>#DIV/0!</v>
      </c>
      <c r="O199" t="e">
        <f>AVERAGEIF('Quarterly Data'!$B:$B,'Annual Data'!$A199,'Quarterly Data'!Q:Q)</f>
        <v>#DIV/0!</v>
      </c>
      <c r="P199">
        <f>SUMIF('Quarterly Data'!$B:$B,'Annual Data'!$A199,'Quarterly Data'!R:R)</f>
        <v>0</v>
      </c>
      <c r="Q199">
        <f>SUMIF('Quarterly Data'!$B:$B,'Annual Data'!$A199,'Quarterly Data'!S:S)</f>
        <v>0</v>
      </c>
      <c r="R199" t="e">
        <f>AVERAGEIF('Quarterly Data'!$B:$B,'Annual Data'!$A199,'Quarterly Data'!T:T)</f>
        <v>#DIV/0!</v>
      </c>
      <c r="S199">
        <f>SUMIF('Quarterly Data'!$B:$B,'Annual Data'!$A199,'Quarterly Data'!U:U)</f>
        <v>0</v>
      </c>
      <c r="T199">
        <f>SUMIF('Quarterly Data'!$B:$B,'Annual Data'!$A199,'Quarterly Data'!V:V)</f>
        <v>0</v>
      </c>
      <c r="U199">
        <f>SUMIF('Quarterly Data'!$B:$B,'Annual Data'!$A199,'Quarterly Data'!W:W)</f>
        <v>0</v>
      </c>
      <c r="V199">
        <f>SUMIF('Quarterly Data'!$B:$B,'Annual Data'!$A199,'Quarterly Data'!X:X)</f>
        <v>0</v>
      </c>
      <c r="W199">
        <f>SUMIF('Quarterly Data'!$B:$B,'Annual Data'!$A199,'Quarterly Data'!Y:Y)</f>
        <v>0</v>
      </c>
      <c r="X199">
        <f>SUMIF('Quarterly Data'!$B:$B,'Annual Data'!$A199,'Quarterly Data'!Z:Z)</f>
        <v>0</v>
      </c>
      <c r="Y199">
        <f>SUMIF('Quarterly Data'!$B:$B,'Annual Data'!$A199,'Quarterly Data'!AA:AA)</f>
        <v>0</v>
      </c>
      <c r="Z199" t="e">
        <f>AVERAGEIF('Quarterly Data'!$B:$B,'Annual Data'!$A199,'Quarterly Data'!AB:AB)</f>
        <v>#DIV/0!</v>
      </c>
      <c r="AA199" t="e">
        <f>AVERAGEIF('Quarterly Data'!$B:$B,'Annual Data'!$A199,'Quarterly Data'!AC:AC)</f>
        <v>#DIV/0!</v>
      </c>
      <c r="AB199" t="e">
        <f>AVERAGEIF('Quarterly Data'!$B:$B,'Annual Data'!$A199,'Quarterly Data'!AD:AD)</f>
        <v>#DIV/0!</v>
      </c>
      <c r="AC199" t="e">
        <f>AVERAGEIF('Quarterly Data'!$B:$B,'Annual Data'!$A199,'Quarterly Data'!AE:AE)</f>
        <v>#DIV/0!</v>
      </c>
      <c r="AD199" t="e">
        <f>AVERAGEIF('Quarterly Data'!$B:$B,'Annual Data'!$A199,'Quarterly Data'!AF:AF)</f>
        <v>#DIV/0!</v>
      </c>
      <c r="AE199">
        <f>SUMIF('Quarterly Data'!$B:$B,'Annual Data'!$A199,'Quarterly Data'!AG:AG)</f>
        <v>0</v>
      </c>
    </row>
    <row r="200" spans="1:31" x14ac:dyDescent="0.25">
      <c r="A200">
        <v>2166</v>
      </c>
      <c r="B200">
        <f>SUMIF('Quarterly Data'!$B:$B,'Annual Data'!$A200,'Quarterly Data'!D:D)</f>
        <v>0</v>
      </c>
      <c r="C200" t="e">
        <f>AVERAGEIF('Quarterly Data'!$B:$B,'Annual Data'!$A200,'Quarterly Data'!E:E)</f>
        <v>#DIV/0!</v>
      </c>
      <c r="D200">
        <f>SUMIF('Quarterly Data'!$B:$B,'Annual Data'!$A200,'Quarterly Data'!F:F)</f>
        <v>0</v>
      </c>
      <c r="E200">
        <f>SUMIF('Quarterly Data'!$B:$B,'Annual Data'!$A200,'Quarterly Data'!G:G)</f>
        <v>0</v>
      </c>
      <c r="F200">
        <f>SUMIF('Quarterly Data'!$B:$B,'Annual Data'!$A200,'Quarterly Data'!H:H)</f>
        <v>0</v>
      </c>
      <c r="G200">
        <f>SUMIF('Quarterly Data'!$B:$B,'Annual Data'!$A200,'Quarterly Data'!I:I)</f>
        <v>0</v>
      </c>
      <c r="H200">
        <f>SUMIF('Quarterly Data'!$B:$B,'Annual Data'!$A200,'Quarterly Data'!J:J)</f>
        <v>0</v>
      </c>
      <c r="I200">
        <f>SUMIF('Quarterly Data'!$B:$B,'Annual Data'!$A200,'Quarterly Data'!K:K)</f>
        <v>0</v>
      </c>
      <c r="J200">
        <f>SUMIF('Quarterly Data'!$B:$B,'Annual Data'!$A200,'Quarterly Data'!L:L)</f>
        <v>0</v>
      </c>
      <c r="K200" t="e">
        <f>AVERAGEIF('Quarterly Data'!$B:$B,'Annual Data'!$A200,'Quarterly Data'!M:M)</f>
        <v>#DIV/0!</v>
      </c>
      <c r="L200" t="e">
        <f>AVERAGEIF('Quarterly Data'!$B:$B,'Annual Data'!$A200,'Quarterly Data'!N:N)</f>
        <v>#DIV/0!</v>
      </c>
      <c r="M200" t="e">
        <f>AVERAGEIF('Quarterly Data'!$B:$B,'Annual Data'!$A200,'Quarterly Data'!O:O)</f>
        <v>#DIV/0!</v>
      </c>
      <c r="N200" t="e">
        <f>AVERAGEIF('Quarterly Data'!$B:$B,'Annual Data'!$A200,'Quarterly Data'!P:P)</f>
        <v>#DIV/0!</v>
      </c>
      <c r="O200" t="e">
        <f>AVERAGEIF('Quarterly Data'!$B:$B,'Annual Data'!$A200,'Quarterly Data'!Q:Q)</f>
        <v>#DIV/0!</v>
      </c>
      <c r="P200">
        <f>SUMIF('Quarterly Data'!$B:$B,'Annual Data'!$A200,'Quarterly Data'!R:R)</f>
        <v>0</v>
      </c>
      <c r="Q200">
        <f>SUMIF('Quarterly Data'!$B:$B,'Annual Data'!$A200,'Quarterly Data'!S:S)</f>
        <v>0</v>
      </c>
      <c r="R200" t="e">
        <f>AVERAGEIF('Quarterly Data'!$B:$B,'Annual Data'!$A200,'Quarterly Data'!T:T)</f>
        <v>#DIV/0!</v>
      </c>
      <c r="S200">
        <f>SUMIF('Quarterly Data'!$B:$B,'Annual Data'!$A200,'Quarterly Data'!U:U)</f>
        <v>0</v>
      </c>
      <c r="T200">
        <f>SUMIF('Quarterly Data'!$B:$B,'Annual Data'!$A200,'Quarterly Data'!V:V)</f>
        <v>0</v>
      </c>
      <c r="U200">
        <f>SUMIF('Quarterly Data'!$B:$B,'Annual Data'!$A200,'Quarterly Data'!W:W)</f>
        <v>0</v>
      </c>
      <c r="V200">
        <f>SUMIF('Quarterly Data'!$B:$B,'Annual Data'!$A200,'Quarterly Data'!X:X)</f>
        <v>0</v>
      </c>
      <c r="W200">
        <f>SUMIF('Quarterly Data'!$B:$B,'Annual Data'!$A200,'Quarterly Data'!Y:Y)</f>
        <v>0</v>
      </c>
      <c r="X200">
        <f>SUMIF('Quarterly Data'!$B:$B,'Annual Data'!$A200,'Quarterly Data'!Z:Z)</f>
        <v>0</v>
      </c>
      <c r="Y200">
        <f>SUMIF('Quarterly Data'!$B:$B,'Annual Data'!$A200,'Quarterly Data'!AA:AA)</f>
        <v>0</v>
      </c>
      <c r="Z200" t="e">
        <f>AVERAGEIF('Quarterly Data'!$B:$B,'Annual Data'!$A200,'Quarterly Data'!AB:AB)</f>
        <v>#DIV/0!</v>
      </c>
      <c r="AA200" t="e">
        <f>AVERAGEIF('Quarterly Data'!$B:$B,'Annual Data'!$A200,'Quarterly Data'!AC:AC)</f>
        <v>#DIV/0!</v>
      </c>
      <c r="AB200" t="e">
        <f>AVERAGEIF('Quarterly Data'!$B:$B,'Annual Data'!$A200,'Quarterly Data'!AD:AD)</f>
        <v>#DIV/0!</v>
      </c>
      <c r="AC200" t="e">
        <f>AVERAGEIF('Quarterly Data'!$B:$B,'Annual Data'!$A200,'Quarterly Data'!AE:AE)</f>
        <v>#DIV/0!</v>
      </c>
      <c r="AD200" t="e">
        <f>AVERAGEIF('Quarterly Data'!$B:$B,'Annual Data'!$A200,'Quarterly Data'!AF:AF)</f>
        <v>#DIV/0!</v>
      </c>
      <c r="AE200">
        <f>SUMIF('Quarterly Data'!$B:$B,'Annual Data'!$A200,'Quarterly Data'!AG:AG)</f>
        <v>0</v>
      </c>
    </row>
    <row r="201" spans="1:31" x14ac:dyDescent="0.25">
      <c r="A201">
        <v>2167</v>
      </c>
      <c r="B201">
        <f>SUMIF('Quarterly Data'!$B:$B,'Annual Data'!$A201,'Quarterly Data'!D:D)</f>
        <v>0</v>
      </c>
      <c r="C201" t="e">
        <f>AVERAGEIF('Quarterly Data'!$B:$B,'Annual Data'!$A201,'Quarterly Data'!E:E)</f>
        <v>#DIV/0!</v>
      </c>
      <c r="D201">
        <f>SUMIF('Quarterly Data'!$B:$B,'Annual Data'!$A201,'Quarterly Data'!F:F)</f>
        <v>0</v>
      </c>
      <c r="E201">
        <f>SUMIF('Quarterly Data'!$B:$B,'Annual Data'!$A201,'Quarterly Data'!G:G)</f>
        <v>0</v>
      </c>
      <c r="F201">
        <f>SUMIF('Quarterly Data'!$B:$B,'Annual Data'!$A201,'Quarterly Data'!H:H)</f>
        <v>0</v>
      </c>
      <c r="G201">
        <f>SUMIF('Quarterly Data'!$B:$B,'Annual Data'!$A201,'Quarterly Data'!I:I)</f>
        <v>0</v>
      </c>
      <c r="H201">
        <f>SUMIF('Quarterly Data'!$B:$B,'Annual Data'!$A201,'Quarterly Data'!J:J)</f>
        <v>0</v>
      </c>
      <c r="I201">
        <f>SUMIF('Quarterly Data'!$B:$B,'Annual Data'!$A201,'Quarterly Data'!K:K)</f>
        <v>0</v>
      </c>
      <c r="J201">
        <f>SUMIF('Quarterly Data'!$B:$B,'Annual Data'!$A201,'Quarterly Data'!L:L)</f>
        <v>0</v>
      </c>
      <c r="K201" t="e">
        <f>AVERAGEIF('Quarterly Data'!$B:$B,'Annual Data'!$A201,'Quarterly Data'!M:M)</f>
        <v>#DIV/0!</v>
      </c>
      <c r="L201" t="e">
        <f>AVERAGEIF('Quarterly Data'!$B:$B,'Annual Data'!$A201,'Quarterly Data'!N:N)</f>
        <v>#DIV/0!</v>
      </c>
      <c r="M201" t="e">
        <f>AVERAGEIF('Quarterly Data'!$B:$B,'Annual Data'!$A201,'Quarterly Data'!O:O)</f>
        <v>#DIV/0!</v>
      </c>
      <c r="N201" t="e">
        <f>AVERAGEIF('Quarterly Data'!$B:$B,'Annual Data'!$A201,'Quarterly Data'!P:P)</f>
        <v>#DIV/0!</v>
      </c>
      <c r="O201" t="e">
        <f>AVERAGEIF('Quarterly Data'!$B:$B,'Annual Data'!$A201,'Quarterly Data'!Q:Q)</f>
        <v>#DIV/0!</v>
      </c>
      <c r="P201">
        <f>SUMIF('Quarterly Data'!$B:$B,'Annual Data'!$A201,'Quarterly Data'!R:R)</f>
        <v>0</v>
      </c>
      <c r="Q201">
        <f>SUMIF('Quarterly Data'!$B:$B,'Annual Data'!$A201,'Quarterly Data'!S:S)</f>
        <v>0</v>
      </c>
      <c r="R201" t="e">
        <f>AVERAGEIF('Quarterly Data'!$B:$B,'Annual Data'!$A201,'Quarterly Data'!T:T)</f>
        <v>#DIV/0!</v>
      </c>
      <c r="S201">
        <f>SUMIF('Quarterly Data'!$B:$B,'Annual Data'!$A201,'Quarterly Data'!U:U)</f>
        <v>0</v>
      </c>
      <c r="T201">
        <f>SUMIF('Quarterly Data'!$B:$B,'Annual Data'!$A201,'Quarterly Data'!V:V)</f>
        <v>0</v>
      </c>
      <c r="U201">
        <f>SUMIF('Quarterly Data'!$B:$B,'Annual Data'!$A201,'Quarterly Data'!W:W)</f>
        <v>0</v>
      </c>
      <c r="V201">
        <f>SUMIF('Quarterly Data'!$B:$B,'Annual Data'!$A201,'Quarterly Data'!X:X)</f>
        <v>0</v>
      </c>
      <c r="W201">
        <f>SUMIF('Quarterly Data'!$B:$B,'Annual Data'!$A201,'Quarterly Data'!Y:Y)</f>
        <v>0</v>
      </c>
      <c r="X201">
        <f>SUMIF('Quarterly Data'!$B:$B,'Annual Data'!$A201,'Quarterly Data'!Z:Z)</f>
        <v>0</v>
      </c>
      <c r="Y201">
        <f>SUMIF('Quarterly Data'!$B:$B,'Annual Data'!$A201,'Quarterly Data'!AA:AA)</f>
        <v>0</v>
      </c>
      <c r="Z201" t="e">
        <f>AVERAGEIF('Quarterly Data'!$B:$B,'Annual Data'!$A201,'Quarterly Data'!AB:AB)</f>
        <v>#DIV/0!</v>
      </c>
      <c r="AA201" t="e">
        <f>AVERAGEIF('Quarterly Data'!$B:$B,'Annual Data'!$A201,'Quarterly Data'!AC:AC)</f>
        <v>#DIV/0!</v>
      </c>
      <c r="AB201" t="e">
        <f>AVERAGEIF('Quarterly Data'!$B:$B,'Annual Data'!$A201,'Quarterly Data'!AD:AD)</f>
        <v>#DIV/0!</v>
      </c>
      <c r="AC201" t="e">
        <f>AVERAGEIF('Quarterly Data'!$B:$B,'Annual Data'!$A201,'Quarterly Data'!AE:AE)</f>
        <v>#DIV/0!</v>
      </c>
      <c r="AD201" t="e">
        <f>AVERAGEIF('Quarterly Data'!$B:$B,'Annual Data'!$A201,'Quarterly Data'!AF:AF)</f>
        <v>#DIV/0!</v>
      </c>
      <c r="AE201">
        <f>SUMIF('Quarterly Data'!$B:$B,'Annual Data'!$A201,'Quarterly Data'!AG:AG)</f>
        <v>0</v>
      </c>
    </row>
    <row r="202" spans="1:31" x14ac:dyDescent="0.25">
      <c r="A202">
        <v>2168</v>
      </c>
      <c r="B202">
        <f>SUMIF('Quarterly Data'!$B:$B,'Annual Data'!$A202,'Quarterly Data'!D:D)</f>
        <v>0</v>
      </c>
      <c r="C202" t="e">
        <f>AVERAGEIF('Quarterly Data'!$B:$B,'Annual Data'!$A202,'Quarterly Data'!E:E)</f>
        <v>#DIV/0!</v>
      </c>
      <c r="D202">
        <f>SUMIF('Quarterly Data'!$B:$B,'Annual Data'!$A202,'Quarterly Data'!F:F)</f>
        <v>0</v>
      </c>
      <c r="E202">
        <f>SUMIF('Quarterly Data'!$B:$B,'Annual Data'!$A202,'Quarterly Data'!G:G)</f>
        <v>0</v>
      </c>
      <c r="F202">
        <f>SUMIF('Quarterly Data'!$B:$B,'Annual Data'!$A202,'Quarterly Data'!H:H)</f>
        <v>0</v>
      </c>
      <c r="G202">
        <f>SUMIF('Quarterly Data'!$B:$B,'Annual Data'!$A202,'Quarterly Data'!I:I)</f>
        <v>0</v>
      </c>
      <c r="H202">
        <f>SUMIF('Quarterly Data'!$B:$B,'Annual Data'!$A202,'Quarterly Data'!J:J)</f>
        <v>0</v>
      </c>
      <c r="I202">
        <f>SUMIF('Quarterly Data'!$B:$B,'Annual Data'!$A202,'Quarterly Data'!K:K)</f>
        <v>0</v>
      </c>
      <c r="J202">
        <f>SUMIF('Quarterly Data'!$B:$B,'Annual Data'!$A202,'Quarterly Data'!L:L)</f>
        <v>0</v>
      </c>
      <c r="K202" t="e">
        <f>AVERAGEIF('Quarterly Data'!$B:$B,'Annual Data'!$A202,'Quarterly Data'!M:M)</f>
        <v>#DIV/0!</v>
      </c>
      <c r="L202" t="e">
        <f>AVERAGEIF('Quarterly Data'!$B:$B,'Annual Data'!$A202,'Quarterly Data'!N:N)</f>
        <v>#DIV/0!</v>
      </c>
      <c r="M202" t="e">
        <f>AVERAGEIF('Quarterly Data'!$B:$B,'Annual Data'!$A202,'Quarterly Data'!O:O)</f>
        <v>#DIV/0!</v>
      </c>
      <c r="N202" t="e">
        <f>AVERAGEIF('Quarterly Data'!$B:$B,'Annual Data'!$A202,'Quarterly Data'!P:P)</f>
        <v>#DIV/0!</v>
      </c>
      <c r="O202" t="e">
        <f>AVERAGEIF('Quarterly Data'!$B:$B,'Annual Data'!$A202,'Quarterly Data'!Q:Q)</f>
        <v>#DIV/0!</v>
      </c>
      <c r="P202">
        <f>SUMIF('Quarterly Data'!$B:$B,'Annual Data'!$A202,'Quarterly Data'!R:R)</f>
        <v>0</v>
      </c>
      <c r="Q202">
        <f>SUMIF('Quarterly Data'!$B:$B,'Annual Data'!$A202,'Quarterly Data'!S:S)</f>
        <v>0</v>
      </c>
      <c r="R202" t="e">
        <f>AVERAGEIF('Quarterly Data'!$B:$B,'Annual Data'!$A202,'Quarterly Data'!T:T)</f>
        <v>#DIV/0!</v>
      </c>
      <c r="S202">
        <f>SUMIF('Quarterly Data'!$B:$B,'Annual Data'!$A202,'Quarterly Data'!U:U)</f>
        <v>0</v>
      </c>
      <c r="T202">
        <f>SUMIF('Quarterly Data'!$B:$B,'Annual Data'!$A202,'Quarterly Data'!V:V)</f>
        <v>0</v>
      </c>
      <c r="U202">
        <f>SUMIF('Quarterly Data'!$B:$B,'Annual Data'!$A202,'Quarterly Data'!W:W)</f>
        <v>0</v>
      </c>
      <c r="V202">
        <f>SUMIF('Quarterly Data'!$B:$B,'Annual Data'!$A202,'Quarterly Data'!X:X)</f>
        <v>0</v>
      </c>
      <c r="W202">
        <f>SUMIF('Quarterly Data'!$B:$B,'Annual Data'!$A202,'Quarterly Data'!Y:Y)</f>
        <v>0</v>
      </c>
      <c r="X202">
        <f>SUMIF('Quarterly Data'!$B:$B,'Annual Data'!$A202,'Quarterly Data'!Z:Z)</f>
        <v>0</v>
      </c>
      <c r="Y202">
        <f>SUMIF('Quarterly Data'!$B:$B,'Annual Data'!$A202,'Quarterly Data'!AA:AA)</f>
        <v>0</v>
      </c>
      <c r="Z202" t="e">
        <f>AVERAGEIF('Quarterly Data'!$B:$B,'Annual Data'!$A202,'Quarterly Data'!AB:AB)</f>
        <v>#DIV/0!</v>
      </c>
      <c r="AA202" t="e">
        <f>AVERAGEIF('Quarterly Data'!$B:$B,'Annual Data'!$A202,'Quarterly Data'!AC:AC)</f>
        <v>#DIV/0!</v>
      </c>
      <c r="AB202" t="e">
        <f>AVERAGEIF('Quarterly Data'!$B:$B,'Annual Data'!$A202,'Quarterly Data'!AD:AD)</f>
        <v>#DIV/0!</v>
      </c>
      <c r="AC202" t="e">
        <f>AVERAGEIF('Quarterly Data'!$B:$B,'Annual Data'!$A202,'Quarterly Data'!AE:AE)</f>
        <v>#DIV/0!</v>
      </c>
      <c r="AD202" t="e">
        <f>AVERAGEIF('Quarterly Data'!$B:$B,'Annual Data'!$A202,'Quarterly Data'!AF:AF)</f>
        <v>#DIV/0!</v>
      </c>
      <c r="AE202">
        <f>SUMIF('Quarterly Data'!$B:$B,'Annual Data'!$A202,'Quarterly Data'!AG:AG)</f>
        <v>0</v>
      </c>
    </row>
    <row r="203" spans="1:31" x14ac:dyDescent="0.25">
      <c r="A203">
        <v>2169</v>
      </c>
      <c r="B203">
        <f>SUMIF('Quarterly Data'!$B:$B,'Annual Data'!$A203,'Quarterly Data'!D:D)</f>
        <v>0</v>
      </c>
      <c r="C203" t="e">
        <f>AVERAGEIF('Quarterly Data'!$B:$B,'Annual Data'!$A203,'Quarterly Data'!E:E)</f>
        <v>#DIV/0!</v>
      </c>
      <c r="D203">
        <f>SUMIF('Quarterly Data'!$B:$B,'Annual Data'!$A203,'Quarterly Data'!F:F)</f>
        <v>0</v>
      </c>
      <c r="E203">
        <f>SUMIF('Quarterly Data'!$B:$B,'Annual Data'!$A203,'Quarterly Data'!G:G)</f>
        <v>0</v>
      </c>
      <c r="F203">
        <f>SUMIF('Quarterly Data'!$B:$B,'Annual Data'!$A203,'Quarterly Data'!H:H)</f>
        <v>0</v>
      </c>
      <c r="G203">
        <f>SUMIF('Quarterly Data'!$B:$B,'Annual Data'!$A203,'Quarterly Data'!I:I)</f>
        <v>0</v>
      </c>
      <c r="H203">
        <f>SUMIF('Quarterly Data'!$B:$B,'Annual Data'!$A203,'Quarterly Data'!J:J)</f>
        <v>0</v>
      </c>
      <c r="I203">
        <f>SUMIF('Quarterly Data'!$B:$B,'Annual Data'!$A203,'Quarterly Data'!K:K)</f>
        <v>0</v>
      </c>
      <c r="J203">
        <f>SUMIF('Quarterly Data'!$B:$B,'Annual Data'!$A203,'Quarterly Data'!L:L)</f>
        <v>0</v>
      </c>
      <c r="K203" t="e">
        <f>AVERAGEIF('Quarterly Data'!$B:$B,'Annual Data'!$A203,'Quarterly Data'!M:M)</f>
        <v>#DIV/0!</v>
      </c>
      <c r="L203" t="e">
        <f>AVERAGEIF('Quarterly Data'!$B:$B,'Annual Data'!$A203,'Quarterly Data'!N:N)</f>
        <v>#DIV/0!</v>
      </c>
      <c r="M203" t="e">
        <f>AVERAGEIF('Quarterly Data'!$B:$B,'Annual Data'!$A203,'Quarterly Data'!O:O)</f>
        <v>#DIV/0!</v>
      </c>
      <c r="N203" t="e">
        <f>AVERAGEIF('Quarterly Data'!$B:$B,'Annual Data'!$A203,'Quarterly Data'!P:P)</f>
        <v>#DIV/0!</v>
      </c>
      <c r="O203" t="e">
        <f>AVERAGEIF('Quarterly Data'!$B:$B,'Annual Data'!$A203,'Quarterly Data'!Q:Q)</f>
        <v>#DIV/0!</v>
      </c>
      <c r="P203">
        <f>SUMIF('Quarterly Data'!$B:$B,'Annual Data'!$A203,'Quarterly Data'!R:R)</f>
        <v>0</v>
      </c>
      <c r="Q203">
        <f>SUMIF('Quarterly Data'!$B:$B,'Annual Data'!$A203,'Quarterly Data'!S:S)</f>
        <v>0</v>
      </c>
      <c r="R203" t="e">
        <f>AVERAGEIF('Quarterly Data'!$B:$B,'Annual Data'!$A203,'Quarterly Data'!T:T)</f>
        <v>#DIV/0!</v>
      </c>
      <c r="S203">
        <f>SUMIF('Quarterly Data'!$B:$B,'Annual Data'!$A203,'Quarterly Data'!U:U)</f>
        <v>0</v>
      </c>
      <c r="T203">
        <f>SUMIF('Quarterly Data'!$B:$B,'Annual Data'!$A203,'Quarterly Data'!V:V)</f>
        <v>0</v>
      </c>
      <c r="U203">
        <f>SUMIF('Quarterly Data'!$B:$B,'Annual Data'!$A203,'Quarterly Data'!W:W)</f>
        <v>0</v>
      </c>
      <c r="V203">
        <f>SUMIF('Quarterly Data'!$B:$B,'Annual Data'!$A203,'Quarterly Data'!X:X)</f>
        <v>0</v>
      </c>
      <c r="W203">
        <f>SUMIF('Quarterly Data'!$B:$B,'Annual Data'!$A203,'Quarterly Data'!Y:Y)</f>
        <v>0</v>
      </c>
      <c r="X203">
        <f>SUMIF('Quarterly Data'!$B:$B,'Annual Data'!$A203,'Quarterly Data'!Z:Z)</f>
        <v>0</v>
      </c>
      <c r="Y203">
        <f>SUMIF('Quarterly Data'!$B:$B,'Annual Data'!$A203,'Quarterly Data'!AA:AA)</f>
        <v>0</v>
      </c>
      <c r="Z203" t="e">
        <f>AVERAGEIF('Quarterly Data'!$B:$B,'Annual Data'!$A203,'Quarterly Data'!AB:AB)</f>
        <v>#DIV/0!</v>
      </c>
      <c r="AA203" t="e">
        <f>AVERAGEIF('Quarterly Data'!$B:$B,'Annual Data'!$A203,'Quarterly Data'!AC:AC)</f>
        <v>#DIV/0!</v>
      </c>
      <c r="AB203" t="e">
        <f>AVERAGEIF('Quarterly Data'!$B:$B,'Annual Data'!$A203,'Quarterly Data'!AD:AD)</f>
        <v>#DIV/0!</v>
      </c>
      <c r="AC203" t="e">
        <f>AVERAGEIF('Quarterly Data'!$B:$B,'Annual Data'!$A203,'Quarterly Data'!AE:AE)</f>
        <v>#DIV/0!</v>
      </c>
      <c r="AD203" t="e">
        <f>AVERAGEIF('Quarterly Data'!$B:$B,'Annual Data'!$A203,'Quarterly Data'!AF:AF)</f>
        <v>#DIV/0!</v>
      </c>
      <c r="AE203">
        <f>SUMIF('Quarterly Data'!$B:$B,'Annual Data'!$A203,'Quarterly Data'!AG:AG)</f>
        <v>0</v>
      </c>
    </row>
    <row r="204" spans="1:31" x14ac:dyDescent="0.25">
      <c r="A204">
        <v>2170</v>
      </c>
      <c r="B204">
        <f>SUMIF('Quarterly Data'!$B:$B,'Annual Data'!$A204,'Quarterly Data'!D:D)</f>
        <v>0</v>
      </c>
      <c r="C204" t="e">
        <f>AVERAGEIF('Quarterly Data'!$B:$B,'Annual Data'!$A204,'Quarterly Data'!E:E)</f>
        <v>#DIV/0!</v>
      </c>
      <c r="D204">
        <f>SUMIF('Quarterly Data'!$B:$B,'Annual Data'!$A204,'Quarterly Data'!F:F)</f>
        <v>0</v>
      </c>
      <c r="E204">
        <f>SUMIF('Quarterly Data'!$B:$B,'Annual Data'!$A204,'Quarterly Data'!G:G)</f>
        <v>0</v>
      </c>
      <c r="F204">
        <f>SUMIF('Quarterly Data'!$B:$B,'Annual Data'!$A204,'Quarterly Data'!H:H)</f>
        <v>0</v>
      </c>
      <c r="G204">
        <f>SUMIF('Quarterly Data'!$B:$B,'Annual Data'!$A204,'Quarterly Data'!I:I)</f>
        <v>0</v>
      </c>
      <c r="H204">
        <f>SUMIF('Quarterly Data'!$B:$B,'Annual Data'!$A204,'Quarterly Data'!J:J)</f>
        <v>0</v>
      </c>
      <c r="I204">
        <f>SUMIF('Quarterly Data'!$B:$B,'Annual Data'!$A204,'Quarterly Data'!K:K)</f>
        <v>0</v>
      </c>
      <c r="J204">
        <f>SUMIF('Quarterly Data'!$B:$B,'Annual Data'!$A204,'Quarterly Data'!L:L)</f>
        <v>0</v>
      </c>
      <c r="K204" t="e">
        <f>AVERAGEIF('Quarterly Data'!$B:$B,'Annual Data'!$A204,'Quarterly Data'!M:M)</f>
        <v>#DIV/0!</v>
      </c>
      <c r="L204" t="e">
        <f>AVERAGEIF('Quarterly Data'!$B:$B,'Annual Data'!$A204,'Quarterly Data'!N:N)</f>
        <v>#DIV/0!</v>
      </c>
      <c r="M204" t="e">
        <f>AVERAGEIF('Quarterly Data'!$B:$B,'Annual Data'!$A204,'Quarterly Data'!O:O)</f>
        <v>#DIV/0!</v>
      </c>
      <c r="N204" t="e">
        <f>AVERAGEIF('Quarterly Data'!$B:$B,'Annual Data'!$A204,'Quarterly Data'!P:P)</f>
        <v>#DIV/0!</v>
      </c>
      <c r="O204" t="e">
        <f>AVERAGEIF('Quarterly Data'!$B:$B,'Annual Data'!$A204,'Quarterly Data'!Q:Q)</f>
        <v>#DIV/0!</v>
      </c>
      <c r="P204">
        <f>SUMIF('Quarterly Data'!$B:$B,'Annual Data'!$A204,'Quarterly Data'!R:R)</f>
        <v>0</v>
      </c>
      <c r="Q204">
        <f>SUMIF('Quarterly Data'!$B:$B,'Annual Data'!$A204,'Quarterly Data'!S:S)</f>
        <v>0</v>
      </c>
      <c r="R204" t="e">
        <f>AVERAGEIF('Quarterly Data'!$B:$B,'Annual Data'!$A204,'Quarterly Data'!T:T)</f>
        <v>#DIV/0!</v>
      </c>
      <c r="S204">
        <f>SUMIF('Quarterly Data'!$B:$B,'Annual Data'!$A204,'Quarterly Data'!U:U)</f>
        <v>0</v>
      </c>
      <c r="T204">
        <f>SUMIF('Quarterly Data'!$B:$B,'Annual Data'!$A204,'Quarterly Data'!V:V)</f>
        <v>0</v>
      </c>
      <c r="U204">
        <f>SUMIF('Quarterly Data'!$B:$B,'Annual Data'!$A204,'Quarterly Data'!W:W)</f>
        <v>0</v>
      </c>
      <c r="V204">
        <f>SUMIF('Quarterly Data'!$B:$B,'Annual Data'!$A204,'Quarterly Data'!X:X)</f>
        <v>0</v>
      </c>
      <c r="W204">
        <f>SUMIF('Quarterly Data'!$B:$B,'Annual Data'!$A204,'Quarterly Data'!Y:Y)</f>
        <v>0</v>
      </c>
      <c r="X204">
        <f>SUMIF('Quarterly Data'!$B:$B,'Annual Data'!$A204,'Quarterly Data'!Z:Z)</f>
        <v>0</v>
      </c>
      <c r="Y204">
        <f>SUMIF('Quarterly Data'!$B:$B,'Annual Data'!$A204,'Quarterly Data'!AA:AA)</f>
        <v>0</v>
      </c>
      <c r="Z204" t="e">
        <f>AVERAGEIF('Quarterly Data'!$B:$B,'Annual Data'!$A204,'Quarterly Data'!AB:AB)</f>
        <v>#DIV/0!</v>
      </c>
      <c r="AA204" t="e">
        <f>AVERAGEIF('Quarterly Data'!$B:$B,'Annual Data'!$A204,'Quarterly Data'!AC:AC)</f>
        <v>#DIV/0!</v>
      </c>
      <c r="AB204" t="e">
        <f>AVERAGEIF('Quarterly Data'!$B:$B,'Annual Data'!$A204,'Quarterly Data'!AD:AD)</f>
        <v>#DIV/0!</v>
      </c>
      <c r="AC204" t="e">
        <f>AVERAGEIF('Quarterly Data'!$B:$B,'Annual Data'!$A204,'Quarterly Data'!AE:AE)</f>
        <v>#DIV/0!</v>
      </c>
      <c r="AD204" t="e">
        <f>AVERAGEIF('Quarterly Data'!$B:$B,'Annual Data'!$A204,'Quarterly Data'!AF:AF)</f>
        <v>#DIV/0!</v>
      </c>
      <c r="AE204">
        <f>SUMIF('Quarterly Data'!$B:$B,'Annual Data'!$A204,'Quarterly Data'!AG:AG)</f>
        <v>0</v>
      </c>
    </row>
    <row r="205" spans="1:31" x14ac:dyDescent="0.25">
      <c r="A205">
        <v>2171</v>
      </c>
      <c r="B205">
        <f>SUMIF('Quarterly Data'!$B:$B,'Annual Data'!$A205,'Quarterly Data'!D:D)</f>
        <v>0</v>
      </c>
      <c r="C205" t="e">
        <f>AVERAGEIF('Quarterly Data'!$B:$B,'Annual Data'!$A205,'Quarterly Data'!E:E)</f>
        <v>#DIV/0!</v>
      </c>
      <c r="D205">
        <f>SUMIF('Quarterly Data'!$B:$B,'Annual Data'!$A205,'Quarterly Data'!F:F)</f>
        <v>0</v>
      </c>
      <c r="E205">
        <f>SUMIF('Quarterly Data'!$B:$B,'Annual Data'!$A205,'Quarterly Data'!G:G)</f>
        <v>0</v>
      </c>
      <c r="F205">
        <f>SUMIF('Quarterly Data'!$B:$B,'Annual Data'!$A205,'Quarterly Data'!H:H)</f>
        <v>0</v>
      </c>
      <c r="G205">
        <f>SUMIF('Quarterly Data'!$B:$B,'Annual Data'!$A205,'Quarterly Data'!I:I)</f>
        <v>0</v>
      </c>
      <c r="H205">
        <f>SUMIF('Quarterly Data'!$B:$B,'Annual Data'!$A205,'Quarterly Data'!J:J)</f>
        <v>0</v>
      </c>
      <c r="I205">
        <f>SUMIF('Quarterly Data'!$B:$B,'Annual Data'!$A205,'Quarterly Data'!K:K)</f>
        <v>0</v>
      </c>
      <c r="J205">
        <f>SUMIF('Quarterly Data'!$B:$B,'Annual Data'!$A205,'Quarterly Data'!L:L)</f>
        <v>0</v>
      </c>
      <c r="K205" t="e">
        <f>AVERAGEIF('Quarterly Data'!$B:$B,'Annual Data'!$A205,'Quarterly Data'!M:M)</f>
        <v>#DIV/0!</v>
      </c>
      <c r="L205" t="e">
        <f>AVERAGEIF('Quarterly Data'!$B:$B,'Annual Data'!$A205,'Quarterly Data'!N:N)</f>
        <v>#DIV/0!</v>
      </c>
      <c r="M205" t="e">
        <f>AVERAGEIF('Quarterly Data'!$B:$B,'Annual Data'!$A205,'Quarterly Data'!O:O)</f>
        <v>#DIV/0!</v>
      </c>
      <c r="N205" t="e">
        <f>AVERAGEIF('Quarterly Data'!$B:$B,'Annual Data'!$A205,'Quarterly Data'!P:P)</f>
        <v>#DIV/0!</v>
      </c>
      <c r="O205" t="e">
        <f>AVERAGEIF('Quarterly Data'!$B:$B,'Annual Data'!$A205,'Quarterly Data'!Q:Q)</f>
        <v>#DIV/0!</v>
      </c>
      <c r="P205">
        <f>SUMIF('Quarterly Data'!$B:$B,'Annual Data'!$A205,'Quarterly Data'!R:R)</f>
        <v>0</v>
      </c>
      <c r="Q205">
        <f>SUMIF('Quarterly Data'!$B:$B,'Annual Data'!$A205,'Quarterly Data'!S:S)</f>
        <v>0</v>
      </c>
      <c r="R205" t="e">
        <f>AVERAGEIF('Quarterly Data'!$B:$B,'Annual Data'!$A205,'Quarterly Data'!T:T)</f>
        <v>#DIV/0!</v>
      </c>
      <c r="S205">
        <f>SUMIF('Quarterly Data'!$B:$B,'Annual Data'!$A205,'Quarterly Data'!U:U)</f>
        <v>0</v>
      </c>
      <c r="T205">
        <f>SUMIF('Quarterly Data'!$B:$B,'Annual Data'!$A205,'Quarterly Data'!V:V)</f>
        <v>0</v>
      </c>
      <c r="U205">
        <f>SUMIF('Quarterly Data'!$B:$B,'Annual Data'!$A205,'Quarterly Data'!W:W)</f>
        <v>0</v>
      </c>
      <c r="V205">
        <f>SUMIF('Quarterly Data'!$B:$B,'Annual Data'!$A205,'Quarterly Data'!X:X)</f>
        <v>0</v>
      </c>
      <c r="W205">
        <f>SUMIF('Quarterly Data'!$B:$B,'Annual Data'!$A205,'Quarterly Data'!Y:Y)</f>
        <v>0</v>
      </c>
      <c r="X205">
        <f>SUMIF('Quarterly Data'!$B:$B,'Annual Data'!$A205,'Quarterly Data'!Z:Z)</f>
        <v>0</v>
      </c>
      <c r="Y205">
        <f>SUMIF('Quarterly Data'!$B:$B,'Annual Data'!$A205,'Quarterly Data'!AA:AA)</f>
        <v>0</v>
      </c>
      <c r="Z205" t="e">
        <f>AVERAGEIF('Quarterly Data'!$B:$B,'Annual Data'!$A205,'Quarterly Data'!AB:AB)</f>
        <v>#DIV/0!</v>
      </c>
      <c r="AA205" t="e">
        <f>AVERAGEIF('Quarterly Data'!$B:$B,'Annual Data'!$A205,'Quarterly Data'!AC:AC)</f>
        <v>#DIV/0!</v>
      </c>
      <c r="AB205" t="e">
        <f>AVERAGEIF('Quarterly Data'!$B:$B,'Annual Data'!$A205,'Quarterly Data'!AD:AD)</f>
        <v>#DIV/0!</v>
      </c>
      <c r="AC205" t="e">
        <f>AVERAGEIF('Quarterly Data'!$B:$B,'Annual Data'!$A205,'Quarterly Data'!AE:AE)</f>
        <v>#DIV/0!</v>
      </c>
      <c r="AD205" t="e">
        <f>AVERAGEIF('Quarterly Data'!$B:$B,'Annual Data'!$A205,'Quarterly Data'!AF:AF)</f>
        <v>#DIV/0!</v>
      </c>
      <c r="AE205">
        <f>SUMIF('Quarterly Data'!$B:$B,'Annual Data'!$A205,'Quarterly Data'!AG:AG)</f>
        <v>0</v>
      </c>
    </row>
    <row r="206" spans="1:31" x14ac:dyDescent="0.25">
      <c r="A206">
        <v>2172</v>
      </c>
      <c r="B206">
        <f>SUMIF('Quarterly Data'!$B:$B,'Annual Data'!$A206,'Quarterly Data'!D:D)</f>
        <v>0</v>
      </c>
      <c r="C206" t="e">
        <f>AVERAGEIF('Quarterly Data'!$B:$B,'Annual Data'!$A206,'Quarterly Data'!E:E)</f>
        <v>#DIV/0!</v>
      </c>
      <c r="D206">
        <f>SUMIF('Quarterly Data'!$B:$B,'Annual Data'!$A206,'Quarterly Data'!F:F)</f>
        <v>0</v>
      </c>
      <c r="E206">
        <f>SUMIF('Quarterly Data'!$B:$B,'Annual Data'!$A206,'Quarterly Data'!G:G)</f>
        <v>0</v>
      </c>
      <c r="F206">
        <f>SUMIF('Quarterly Data'!$B:$B,'Annual Data'!$A206,'Quarterly Data'!H:H)</f>
        <v>0</v>
      </c>
      <c r="G206">
        <f>SUMIF('Quarterly Data'!$B:$B,'Annual Data'!$A206,'Quarterly Data'!I:I)</f>
        <v>0</v>
      </c>
      <c r="H206">
        <f>SUMIF('Quarterly Data'!$B:$B,'Annual Data'!$A206,'Quarterly Data'!J:J)</f>
        <v>0</v>
      </c>
      <c r="I206">
        <f>SUMIF('Quarterly Data'!$B:$B,'Annual Data'!$A206,'Quarterly Data'!K:K)</f>
        <v>0</v>
      </c>
      <c r="J206">
        <f>SUMIF('Quarterly Data'!$B:$B,'Annual Data'!$A206,'Quarterly Data'!L:L)</f>
        <v>0</v>
      </c>
      <c r="K206" t="e">
        <f>AVERAGEIF('Quarterly Data'!$B:$B,'Annual Data'!$A206,'Quarterly Data'!M:M)</f>
        <v>#DIV/0!</v>
      </c>
      <c r="L206" t="e">
        <f>AVERAGEIF('Quarterly Data'!$B:$B,'Annual Data'!$A206,'Quarterly Data'!N:N)</f>
        <v>#DIV/0!</v>
      </c>
      <c r="M206" t="e">
        <f>AVERAGEIF('Quarterly Data'!$B:$B,'Annual Data'!$A206,'Quarterly Data'!O:O)</f>
        <v>#DIV/0!</v>
      </c>
      <c r="N206" t="e">
        <f>AVERAGEIF('Quarterly Data'!$B:$B,'Annual Data'!$A206,'Quarterly Data'!P:P)</f>
        <v>#DIV/0!</v>
      </c>
      <c r="O206" t="e">
        <f>AVERAGEIF('Quarterly Data'!$B:$B,'Annual Data'!$A206,'Quarterly Data'!Q:Q)</f>
        <v>#DIV/0!</v>
      </c>
      <c r="P206">
        <f>SUMIF('Quarterly Data'!$B:$B,'Annual Data'!$A206,'Quarterly Data'!R:R)</f>
        <v>0</v>
      </c>
      <c r="Q206">
        <f>SUMIF('Quarterly Data'!$B:$B,'Annual Data'!$A206,'Quarterly Data'!S:S)</f>
        <v>0</v>
      </c>
      <c r="R206" t="e">
        <f>AVERAGEIF('Quarterly Data'!$B:$B,'Annual Data'!$A206,'Quarterly Data'!T:T)</f>
        <v>#DIV/0!</v>
      </c>
      <c r="S206">
        <f>SUMIF('Quarterly Data'!$B:$B,'Annual Data'!$A206,'Quarterly Data'!U:U)</f>
        <v>0</v>
      </c>
      <c r="T206">
        <f>SUMIF('Quarterly Data'!$B:$B,'Annual Data'!$A206,'Quarterly Data'!V:V)</f>
        <v>0</v>
      </c>
      <c r="U206">
        <f>SUMIF('Quarterly Data'!$B:$B,'Annual Data'!$A206,'Quarterly Data'!W:W)</f>
        <v>0</v>
      </c>
      <c r="V206">
        <f>SUMIF('Quarterly Data'!$B:$B,'Annual Data'!$A206,'Quarterly Data'!X:X)</f>
        <v>0</v>
      </c>
      <c r="W206">
        <f>SUMIF('Quarterly Data'!$B:$B,'Annual Data'!$A206,'Quarterly Data'!Y:Y)</f>
        <v>0</v>
      </c>
      <c r="X206">
        <f>SUMIF('Quarterly Data'!$B:$B,'Annual Data'!$A206,'Quarterly Data'!Z:Z)</f>
        <v>0</v>
      </c>
      <c r="Y206">
        <f>SUMIF('Quarterly Data'!$B:$B,'Annual Data'!$A206,'Quarterly Data'!AA:AA)</f>
        <v>0</v>
      </c>
      <c r="Z206" t="e">
        <f>AVERAGEIF('Quarterly Data'!$B:$B,'Annual Data'!$A206,'Quarterly Data'!AB:AB)</f>
        <v>#DIV/0!</v>
      </c>
      <c r="AA206" t="e">
        <f>AVERAGEIF('Quarterly Data'!$B:$B,'Annual Data'!$A206,'Quarterly Data'!AC:AC)</f>
        <v>#DIV/0!</v>
      </c>
      <c r="AB206" t="e">
        <f>AVERAGEIF('Quarterly Data'!$B:$B,'Annual Data'!$A206,'Quarterly Data'!AD:AD)</f>
        <v>#DIV/0!</v>
      </c>
      <c r="AC206" t="e">
        <f>AVERAGEIF('Quarterly Data'!$B:$B,'Annual Data'!$A206,'Quarterly Data'!AE:AE)</f>
        <v>#DIV/0!</v>
      </c>
      <c r="AD206" t="e">
        <f>AVERAGEIF('Quarterly Data'!$B:$B,'Annual Data'!$A206,'Quarterly Data'!AF:AF)</f>
        <v>#DIV/0!</v>
      </c>
      <c r="AE206">
        <f>SUMIF('Quarterly Data'!$B:$B,'Annual Data'!$A206,'Quarterly Data'!AG:AG)</f>
        <v>0</v>
      </c>
    </row>
    <row r="207" spans="1:31" x14ac:dyDescent="0.25">
      <c r="A207">
        <v>2173</v>
      </c>
      <c r="B207">
        <f>SUMIF('Quarterly Data'!$B:$B,'Annual Data'!$A207,'Quarterly Data'!D:D)</f>
        <v>0</v>
      </c>
      <c r="C207" t="e">
        <f>AVERAGEIF('Quarterly Data'!$B:$B,'Annual Data'!$A207,'Quarterly Data'!E:E)</f>
        <v>#DIV/0!</v>
      </c>
      <c r="D207">
        <f>SUMIF('Quarterly Data'!$B:$B,'Annual Data'!$A207,'Quarterly Data'!F:F)</f>
        <v>0</v>
      </c>
      <c r="E207">
        <f>SUMIF('Quarterly Data'!$B:$B,'Annual Data'!$A207,'Quarterly Data'!G:G)</f>
        <v>0</v>
      </c>
      <c r="F207">
        <f>SUMIF('Quarterly Data'!$B:$B,'Annual Data'!$A207,'Quarterly Data'!H:H)</f>
        <v>0</v>
      </c>
      <c r="G207">
        <f>SUMIF('Quarterly Data'!$B:$B,'Annual Data'!$A207,'Quarterly Data'!I:I)</f>
        <v>0</v>
      </c>
      <c r="H207">
        <f>SUMIF('Quarterly Data'!$B:$B,'Annual Data'!$A207,'Quarterly Data'!J:J)</f>
        <v>0</v>
      </c>
      <c r="I207">
        <f>SUMIF('Quarterly Data'!$B:$B,'Annual Data'!$A207,'Quarterly Data'!K:K)</f>
        <v>0</v>
      </c>
      <c r="J207">
        <f>SUMIF('Quarterly Data'!$B:$B,'Annual Data'!$A207,'Quarterly Data'!L:L)</f>
        <v>0</v>
      </c>
      <c r="K207" t="e">
        <f>AVERAGEIF('Quarterly Data'!$B:$B,'Annual Data'!$A207,'Quarterly Data'!M:M)</f>
        <v>#DIV/0!</v>
      </c>
      <c r="L207" t="e">
        <f>AVERAGEIF('Quarterly Data'!$B:$B,'Annual Data'!$A207,'Quarterly Data'!N:N)</f>
        <v>#DIV/0!</v>
      </c>
      <c r="M207" t="e">
        <f>AVERAGEIF('Quarterly Data'!$B:$B,'Annual Data'!$A207,'Quarterly Data'!O:O)</f>
        <v>#DIV/0!</v>
      </c>
      <c r="N207" t="e">
        <f>AVERAGEIF('Quarterly Data'!$B:$B,'Annual Data'!$A207,'Quarterly Data'!P:P)</f>
        <v>#DIV/0!</v>
      </c>
      <c r="O207" t="e">
        <f>AVERAGEIF('Quarterly Data'!$B:$B,'Annual Data'!$A207,'Quarterly Data'!Q:Q)</f>
        <v>#DIV/0!</v>
      </c>
      <c r="P207">
        <f>SUMIF('Quarterly Data'!$B:$B,'Annual Data'!$A207,'Quarterly Data'!R:R)</f>
        <v>0</v>
      </c>
      <c r="Q207">
        <f>SUMIF('Quarterly Data'!$B:$B,'Annual Data'!$A207,'Quarterly Data'!S:S)</f>
        <v>0</v>
      </c>
      <c r="R207" t="e">
        <f>AVERAGEIF('Quarterly Data'!$B:$B,'Annual Data'!$A207,'Quarterly Data'!T:T)</f>
        <v>#DIV/0!</v>
      </c>
      <c r="S207">
        <f>SUMIF('Quarterly Data'!$B:$B,'Annual Data'!$A207,'Quarterly Data'!U:U)</f>
        <v>0</v>
      </c>
      <c r="T207">
        <f>SUMIF('Quarterly Data'!$B:$B,'Annual Data'!$A207,'Quarterly Data'!V:V)</f>
        <v>0</v>
      </c>
      <c r="U207">
        <f>SUMIF('Quarterly Data'!$B:$B,'Annual Data'!$A207,'Quarterly Data'!W:W)</f>
        <v>0</v>
      </c>
      <c r="V207">
        <f>SUMIF('Quarterly Data'!$B:$B,'Annual Data'!$A207,'Quarterly Data'!X:X)</f>
        <v>0</v>
      </c>
      <c r="W207">
        <f>SUMIF('Quarterly Data'!$B:$B,'Annual Data'!$A207,'Quarterly Data'!Y:Y)</f>
        <v>0</v>
      </c>
      <c r="X207">
        <f>SUMIF('Quarterly Data'!$B:$B,'Annual Data'!$A207,'Quarterly Data'!Z:Z)</f>
        <v>0</v>
      </c>
      <c r="Y207">
        <f>SUMIF('Quarterly Data'!$B:$B,'Annual Data'!$A207,'Quarterly Data'!AA:AA)</f>
        <v>0</v>
      </c>
      <c r="Z207" t="e">
        <f>AVERAGEIF('Quarterly Data'!$B:$B,'Annual Data'!$A207,'Quarterly Data'!AB:AB)</f>
        <v>#DIV/0!</v>
      </c>
      <c r="AA207" t="e">
        <f>AVERAGEIF('Quarterly Data'!$B:$B,'Annual Data'!$A207,'Quarterly Data'!AC:AC)</f>
        <v>#DIV/0!</v>
      </c>
      <c r="AB207" t="e">
        <f>AVERAGEIF('Quarterly Data'!$B:$B,'Annual Data'!$A207,'Quarterly Data'!AD:AD)</f>
        <v>#DIV/0!</v>
      </c>
      <c r="AC207" t="e">
        <f>AVERAGEIF('Quarterly Data'!$B:$B,'Annual Data'!$A207,'Quarterly Data'!AE:AE)</f>
        <v>#DIV/0!</v>
      </c>
      <c r="AD207" t="e">
        <f>AVERAGEIF('Quarterly Data'!$B:$B,'Annual Data'!$A207,'Quarterly Data'!AF:AF)</f>
        <v>#DIV/0!</v>
      </c>
      <c r="AE207">
        <f>SUMIF('Quarterly Data'!$B:$B,'Annual Data'!$A207,'Quarterly Data'!AG:AG)</f>
        <v>0</v>
      </c>
    </row>
    <row r="208" spans="1:31" x14ac:dyDescent="0.25">
      <c r="A208">
        <v>2174</v>
      </c>
      <c r="B208">
        <f>SUMIF('Quarterly Data'!$B:$B,'Annual Data'!$A208,'Quarterly Data'!D:D)</f>
        <v>0</v>
      </c>
      <c r="C208" t="e">
        <f>AVERAGEIF('Quarterly Data'!$B:$B,'Annual Data'!$A208,'Quarterly Data'!E:E)</f>
        <v>#DIV/0!</v>
      </c>
      <c r="D208">
        <f>SUMIF('Quarterly Data'!$B:$B,'Annual Data'!$A208,'Quarterly Data'!F:F)</f>
        <v>0</v>
      </c>
      <c r="E208">
        <f>SUMIF('Quarterly Data'!$B:$B,'Annual Data'!$A208,'Quarterly Data'!G:G)</f>
        <v>0</v>
      </c>
      <c r="F208">
        <f>SUMIF('Quarterly Data'!$B:$B,'Annual Data'!$A208,'Quarterly Data'!H:H)</f>
        <v>0</v>
      </c>
      <c r="G208">
        <f>SUMIF('Quarterly Data'!$B:$B,'Annual Data'!$A208,'Quarterly Data'!I:I)</f>
        <v>0</v>
      </c>
      <c r="H208">
        <f>SUMIF('Quarterly Data'!$B:$B,'Annual Data'!$A208,'Quarterly Data'!J:J)</f>
        <v>0</v>
      </c>
      <c r="I208">
        <f>SUMIF('Quarterly Data'!$B:$B,'Annual Data'!$A208,'Quarterly Data'!K:K)</f>
        <v>0</v>
      </c>
      <c r="J208">
        <f>SUMIF('Quarterly Data'!$B:$B,'Annual Data'!$A208,'Quarterly Data'!L:L)</f>
        <v>0</v>
      </c>
      <c r="K208" t="e">
        <f>AVERAGEIF('Quarterly Data'!$B:$B,'Annual Data'!$A208,'Quarterly Data'!M:M)</f>
        <v>#DIV/0!</v>
      </c>
      <c r="L208" t="e">
        <f>AVERAGEIF('Quarterly Data'!$B:$B,'Annual Data'!$A208,'Quarterly Data'!N:N)</f>
        <v>#DIV/0!</v>
      </c>
      <c r="M208" t="e">
        <f>AVERAGEIF('Quarterly Data'!$B:$B,'Annual Data'!$A208,'Quarterly Data'!O:O)</f>
        <v>#DIV/0!</v>
      </c>
      <c r="N208" t="e">
        <f>AVERAGEIF('Quarterly Data'!$B:$B,'Annual Data'!$A208,'Quarterly Data'!P:P)</f>
        <v>#DIV/0!</v>
      </c>
      <c r="O208" t="e">
        <f>AVERAGEIF('Quarterly Data'!$B:$B,'Annual Data'!$A208,'Quarterly Data'!Q:Q)</f>
        <v>#DIV/0!</v>
      </c>
      <c r="P208">
        <f>SUMIF('Quarterly Data'!$B:$B,'Annual Data'!$A208,'Quarterly Data'!R:R)</f>
        <v>0</v>
      </c>
      <c r="Q208">
        <f>SUMIF('Quarterly Data'!$B:$B,'Annual Data'!$A208,'Quarterly Data'!S:S)</f>
        <v>0</v>
      </c>
      <c r="R208" t="e">
        <f>AVERAGEIF('Quarterly Data'!$B:$B,'Annual Data'!$A208,'Quarterly Data'!T:T)</f>
        <v>#DIV/0!</v>
      </c>
      <c r="S208">
        <f>SUMIF('Quarterly Data'!$B:$B,'Annual Data'!$A208,'Quarterly Data'!U:U)</f>
        <v>0</v>
      </c>
      <c r="T208">
        <f>SUMIF('Quarterly Data'!$B:$B,'Annual Data'!$A208,'Quarterly Data'!V:V)</f>
        <v>0</v>
      </c>
      <c r="U208">
        <f>SUMIF('Quarterly Data'!$B:$B,'Annual Data'!$A208,'Quarterly Data'!W:W)</f>
        <v>0</v>
      </c>
      <c r="V208">
        <f>SUMIF('Quarterly Data'!$B:$B,'Annual Data'!$A208,'Quarterly Data'!X:X)</f>
        <v>0</v>
      </c>
      <c r="W208">
        <f>SUMIF('Quarterly Data'!$B:$B,'Annual Data'!$A208,'Quarterly Data'!Y:Y)</f>
        <v>0</v>
      </c>
      <c r="X208">
        <f>SUMIF('Quarterly Data'!$B:$B,'Annual Data'!$A208,'Quarterly Data'!Z:Z)</f>
        <v>0</v>
      </c>
      <c r="Y208">
        <f>SUMIF('Quarterly Data'!$B:$B,'Annual Data'!$A208,'Quarterly Data'!AA:AA)</f>
        <v>0</v>
      </c>
      <c r="Z208" t="e">
        <f>AVERAGEIF('Quarterly Data'!$B:$B,'Annual Data'!$A208,'Quarterly Data'!AB:AB)</f>
        <v>#DIV/0!</v>
      </c>
      <c r="AA208" t="e">
        <f>AVERAGEIF('Quarterly Data'!$B:$B,'Annual Data'!$A208,'Quarterly Data'!AC:AC)</f>
        <v>#DIV/0!</v>
      </c>
      <c r="AB208" t="e">
        <f>AVERAGEIF('Quarterly Data'!$B:$B,'Annual Data'!$A208,'Quarterly Data'!AD:AD)</f>
        <v>#DIV/0!</v>
      </c>
      <c r="AC208" t="e">
        <f>AVERAGEIF('Quarterly Data'!$B:$B,'Annual Data'!$A208,'Quarterly Data'!AE:AE)</f>
        <v>#DIV/0!</v>
      </c>
      <c r="AD208" t="e">
        <f>AVERAGEIF('Quarterly Data'!$B:$B,'Annual Data'!$A208,'Quarterly Data'!AF:AF)</f>
        <v>#DIV/0!</v>
      </c>
      <c r="AE208">
        <f>SUMIF('Quarterly Data'!$B:$B,'Annual Data'!$A208,'Quarterly Data'!AG:AG)</f>
        <v>0</v>
      </c>
    </row>
    <row r="209" spans="1:31" x14ac:dyDescent="0.25">
      <c r="A209">
        <v>2175</v>
      </c>
      <c r="B209">
        <f>SUMIF('Quarterly Data'!$B:$B,'Annual Data'!$A209,'Quarterly Data'!D:D)</f>
        <v>0</v>
      </c>
      <c r="C209" t="e">
        <f>AVERAGEIF('Quarterly Data'!$B:$B,'Annual Data'!$A209,'Quarterly Data'!E:E)</f>
        <v>#DIV/0!</v>
      </c>
      <c r="D209">
        <f>SUMIF('Quarterly Data'!$B:$B,'Annual Data'!$A209,'Quarterly Data'!F:F)</f>
        <v>0</v>
      </c>
      <c r="E209">
        <f>SUMIF('Quarterly Data'!$B:$B,'Annual Data'!$A209,'Quarterly Data'!G:G)</f>
        <v>0</v>
      </c>
      <c r="F209">
        <f>SUMIF('Quarterly Data'!$B:$B,'Annual Data'!$A209,'Quarterly Data'!H:H)</f>
        <v>0</v>
      </c>
      <c r="G209">
        <f>SUMIF('Quarterly Data'!$B:$B,'Annual Data'!$A209,'Quarterly Data'!I:I)</f>
        <v>0</v>
      </c>
      <c r="H209">
        <f>SUMIF('Quarterly Data'!$B:$B,'Annual Data'!$A209,'Quarterly Data'!J:J)</f>
        <v>0</v>
      </c>
      <c r="I209">
        <f>SUMIF('Quarterly Data'!$B:$B,'Annual Data'!$A209,'Quarterly Data'!K:K)</f>
        <v>0</v>
      </c>
      <c r="J209">
        <f>SUMIF('Quarterly Data'!$B:$B,'Annual Data'!$A209,'Quarterly Data'!L:L)</f>
        <v>0</v>
      </c>
      <c r="K209" t="e">
        <f>AVERAGEIF('Quarterly Data'!$B:$B,'Annual Data'!$A209,'Quarterly Data'!M:M)</f>
        <v>#DIV/0!</v>
      </c>
      <c r="L209" t="e">
        <f>AVERAGEIF('Quarterly Data'!$B:$B,'Annual Data'!$A209,'Quarterly Data'!N:N)</f>
        <v>#DIV/0!</v>
      </c>
      <c r="M209" t="e">
        <f>AVERAGEIF('Quarterly Data'!$B:$B,'Annual Data'!$A209,'Quarterly Data'!O:O)</f>
        <v>#DIV/0!</v>
      </c>
      <c r="N209" t="e">
        <f>AVERAGEIF('Quarterly Data'!$B:$B,'Annual Data'!$A209,'Quarterly Data'!P:P)</f>
        <v>#DIV/0!</v>
      </c>
      <c r="O209" t="e">
        <f>AVERAGEIF('Quarterly Data'!$B:$B,'Annual Data'!$A209,'Quarterly Data'!Q:Q)</f>
        <v>#DIV/0!</v>
      </c>
      <c r="P209">
        <f>SUMIF('Quarterly Data'!$B:$B,'Annual Data'!$A209,'Quarterly Data'!R:R)</f>
        <v>0</v>
      </c>
      <c r="Q209">
        <f>SUMIF('Quarterly Data'!$B:$B,'Annual Data'!$A209,'Quarterly Data'!S:S)</f>
        <v>0</v>
      </c>
      <c r="R209" t="e">
        <f>AVERAGEIF('Quarterly Data'!$B:$B,'Annual Data'!$A209,'Quarterly Data'!T:T)</f>
        <v>#DIV/0!</v>
      </c>
      <c r="S209">
        <f>SUMIF('Quarterly Data'!$B:$B,'Annual Data'!$A209,'Quarterly Data'!U:U)</f>
        <v>0</v>
      </c>
      <c r="T209">
        <f>SUMIF('Quarterly Data'!$B:$B,'Annual Data'!$A209,'Quarterly Data'!V:V)</f>
        <v>0</v>
      </c>
      <c r="U209">
        <f>SUMIF('Quarterly Data'!$B:$B,'Annual Data'!$A209,'Quarterly Data'!W:W)</f>
        <v>0</v>
      </c>
      <c r="V209">
        <f>SUMIF('Quarterly Data'!$B:$B,'Annual Data'!$A209,'Quarterly Data'!X:X)</f>
        <v>0</v>
      </c>
      <c r="W209">
        <f>SUMIF('Quarterly Data'!$B:$B,'Annual Data'!$A209,'Quarterly Data'!Y:Y)</f>
        <v>0</v>
      </c>
      <c r="X209">
        <f>SUMIF('Quarterly Data'!$B:$B,'Annual Data'!$A209,'Quarterly Data'!Z:Z)</f>
        <v>0</v>
      </c>
      <c r="Y209">
        <f>SUMIF('Quarterly Data'!$B:$B,'Annual Data'!$A209,'Quarterly Data'!AA:AA)</f>
        <v>0</v>
      </c>
      <c r="Z209" t="e">
        <f>AVERAGEIF('Quarterly Data'!$B:$B,'Annual Data'!$A209,'Quarterly Data'!AB:AB)</f>
        <v>#DIV/0!</v>
      </c>
      <c r="AA209" t="e">
        <f>AVERAGEIF('Quarterly Data'!$B:$B,'Annual Data'!$A209,'Quarterly Data'!AC:AC)</f>
        <v>#DIV/0!</v>
      </c>
      <c r="AB209" t="e">
        <f>AVERAGEIF('Quarterly Data'!$B:$B,'Annual Data'!$A209,'Quarterly Data'!AD:AD)</f>
        <v>#DIV/0!</v>
      </c>
      <c r="AC209" t="e">
        <f>AVERAGEIF('Quarterly Data'!$B:$B,'Annual Data'!$A209,'Quarterly Data'!AE:AE)</f>
        <v>#DIV/0!</v>
      </c>
      <c r="AD209" t="e">
        <f>AVERAGEIF('Quarterly Data'!$B:$B,'Annual Data'!$A209,'Quarterly Data'!AF:AF)</f>
        <v>#DIV/0!</v>
      </c>
      <c r="AE209">
        <f>SUMIF('Quarterly Data'!$B:$B,'Annual Data'!$A209,'Quarterly Data'!AG:AG)</f>
        <v>0</v>
      </c>
    </row>
    <row r="210" spans="1:31" x14ac:dyDescent="0.25">
      <c r="A210">
        <v>2176</v>
      </c>
      <c r="B210">
        <f>SUMIF('Quarterly Data'!$B:$B,'Annual Data'!$A210,'Quarterly Data'!D:D)</f>
        <v>0</v>
      </c>
      <c r="C210" t="e">
        <f>AVERAGEIF('Quarterly Data'!$B:$B,'Annual Data'!$A210,'Quarterly Data'!E:E)</f>
        <v>#DIV/0!</v>
      </c>
      <c r="D210">
        <f>SUMIF('Quarterly Data'!$B:$B,'Annual Data'!$A210,'Quarterly Data'!F:F)</f>
        <v>0</v>
      </c>
      <c r="E210">
        <f>SUMIF('Quarterly Data'!$B:$B,'Annual Data'!$A210,'Quarterly Data'!G:G)</f>
        <v>0</v>
      </c>
      <c r="F210">
        <f>SUMIF('Quarterly Data'!$B:$B,'Annual Data'!$A210,'Quarterly Data'!H:H)</f>
        <v>0</v>
      </c>
      <c r="G210">
        <f>SUMIF('Quarterly Data'!$B:$B,'Annual Data'!$A210,'Quarterly Data'!I:I)</f>
        <v>0</v>
      </c>
      <c r="H210">
        <f>SUMIF('Quarterly Data'!$B:$B,'Annual Data'!$A210,'Quarterly Data'!J:J)</f>
        <v>0</v>
      </c>
      <c r="I210">
        <f>SUMIF('Quarterly Data'!$B:$B,'Annual Data'!$A210,'Quarterly Data'!K:K)</f>
        <v>0</v>
      </c>
      <c r="J210">
        <f>SUMIF('Quarterly Data'!$B:$B,'Annual Data'!$A210,'Quarterly Data'!L:L)</f>
        <v>0</v>
      </c>
      <c r="K210" t="e">
        <f>AVERAGEIF('Quarterly Data'!$B:$B,'Annual Data'!$A210,'Quarterly Data'!M:M)</f>
        <v>#DIV/0!</v>
      </c>
      <c r="L210" t="e">
        <f>AVERAGEIF('Quarterly Data'!$B:$B,'Annual Data'!$A210,'Quarterly Data'!N:N)</f>
        <v>#DIV/0!</v>
      </c>
      <c r="M210" t="e">
        <f>AVERAGEIF('Quarterly Data'!$B:$B,'Annual Data'!$A210,'Quarterly Data'!O:O)</f>
        <v>#DIV/0!</v>
      </c>
      <c r="N210" t="e">
        <f>AVERAGEIF('Quarterly Data'!$B:$B,'Annual Data'!$A210,'Quarterly Data'!P:P)</f>
        <v>#DIV/0!</v>
      </c>
      <c r="O210" t="e">
        <f>AVERAGEIF('Quarterly Data'!$B:$B,'Annual Data'!$A210,'Quarterly Data'!Q:Q)</f>
        <v>#DIV/0!</v>
      </c>
      <c r="P210">
        <f>SUMIF('Quarterly Data'!$B:$B,'Annual Data'!$A210,'Quarterly Data'!R:R)</f>
        <v>0</v>
      </c>
      <c r="Q210">
        <f>SUMIF('Quarterly Data'!$B:$B,'Annual Data'!$A210,'Quarterly Data'!S:S)</f>
        <v>0</v>
      </c>
      <c r="R210" t="e">
        <f>AVERAGEIF('Quarterly Data'!$B:$B,'Annual Data'!$A210,'Quarterly Data'!T:T)</f>
        <v>#DIV/0!</v>
      </c>
      <c r="S210">
        <f>SUMIF('Quarterly Data'!$B:$B,'Annual Data'!$A210,'Quarterly Data'!U:U)</f>
        <v>0</v>
      </c>
      <c r="T210">
        <f>SUMIF('Quarterly Data'!$B:$B,'Annual Data'!$A210,'Quarterly Data'!V:V)</f>
        <v>0</v>
      </c>
      <c r="U210">
        <f>SUMIF('Quarterly Data'!$B:$B,'Annual Data'!$A210,'Quarterly Data'!W:W)</f>
        <v>0</v>
      </c>
      <c r="V210">
        <f>SUMIF('Quarterly Data'!$B:$B,'Annual Data'!$A210,'Quarterly Data'!X:X)</f>
        <v>0</v>
      </c>
      <c r="W210">
        <f>SUMIF('Quarterly Data'!$B:$B,'Annual Data'!$A210,'Quarterly Data'!Y:Y)</f>
        <v>0</v>
      </c>
      <c r="X210">
        <f>SUMIF('Quarterly Data'!$B:$B,'Annual Data'!$A210,'Quarterly Data'!Z:Z)</f>
        <v>0</v>
      </c>
      <c r="Y210">
        <f>SUMIF('Quarterly Data'!$B:$B,'Annual Data'!$A210,'Quarterly Data'!AA:AA)</f>
        <v>0</v>
      </c>
      <c r="Z210" t="e">
        <f>AVERAGEIF('Quarterly Data'!$B:$B,'Annual Data'!$A210,'Quarterly Data'!AB:AB)</f>
        <v>#DIV/0!</v>
      </c>
      <c r="AA210" t="e">
        <f>AVERAGEIF('Quarterly Data'!$B:$B,'Annual Data'!$A210,'Quarterly Data'!AC:AC)</f>
        <v>#DIV/0!</v>
      </c>
      <c r="AB210" t="e">
        <f>AVERAGEIF('Quarterly Data'!$B:$B,'Annual Data'!$A210,'Quarterly Data'!AD:AD)</f>
        <v>#DIV/0!</v>
      </c>
      <c r="AC210" t="e">
        <f>AVERAGEIF('Quarterly Data'!$B:$B,'Annual Data'!$A210,'Quarterly Data'!AE:AE)</f>
        <v>#DIV/0!</v>
      </c>
      <c r="AD210" t="e">
        <f>AVERAGEIF('Quarterly Data'!$B:$B,'Annual Data'!$A210,'Quarterly Data'!AF:AF)</f>
        <v>#DIV/0!</v>
      </c>
      <c r="AE210">
        <f>SUMIF('Quarterly Data'!$B:$B,'Annual Data'!$A210,'Quarterly Data'!AG:AG)</f>
        <v>0</v>
      </c>
    </row>
    <row r="211" spans="1:31" x14ac:dyDescent="0.25">
      <c r="A211">
        <v>2177</v>
      </c>
      <c r="B211">
        <f>SUMIF('Quarterly Data'!$B:$B,'Annual Data'!$A211,'Quarterly Data'!D:D)</f>
        <v>0</v>
      </c>
      <c r="C211" t="e">
        <f>AVERAGEIF('Quarterly Data'!$B:$B,'Annual Data'!$A211,'Quarterly Data'!E:E)</f>
        <v>#DIV/0!</v>
      </c>
      <c r="D211">
        <f>SUMIF('Quarterly Data'!$B:$B,'Annual Data'!$A211,'Quarterly Data'!F:F)</f>
        <v>0</v>
      </c>
      <c r="E211">
        <f>SUMIF('Quarterly Data'!$B:$B,'Annual Data'!$A211,'Quarterly Data'!G:G)</f>
        <v>0</v>
      </c>
      <c r="F211">
        <f>SUMIF('Quarterly Data'!$B:$B,'Annual Data'!$A211,'Quarterly Data'!H:H)</f>
        <v>0</v>
      </c>
      <c r="G211">
        <f>SUMIF('Quarterly Data'!$B:$B,'Annual Data'!$A211,'Quarterly Data'!I:I)</f>
        <v>0</v>
      </c>
      <c r="H211">
        <f>SUMIF('Quarterly Data'!$B:$B,'Annual Data'!$A211,'Quarterly Data'!J:J)</f>
        <v>0</v>
      </c>
      <c r="I211">
        <f>SUMIF('Quarterly Data'!$B:$B,'Annual Data'!$A211,'Quarterly Data'!K:K)</f>
        <v>0</v>
      </c>
      <c r="J211">
        <f>SUMIF('Quarterly Data'!$B:$B,'Annual Data'!$A211,'Quarterly Data'!L:L)</f>
        <v>0</v>
      </c>
      <c r="K211" t="e">
        <f>AVERAGEIF('Quarterly Data'!$B:$B,'Annual Data'!$A211,'Quarterly Data'!M:M)</f>
        <v>#DIV/0!</v>
      </c>
      <c r="L211" t="e">
        <f>AVERAGEIF('Quarterly Data'!$B:$B,'Annual Data'!$A211,'Quarterly Data'!N:N)</f>
        <v>#DIV/0!</v>
      </c>
      <c r="M211" t="e">
        <f>AVERAGEIF('Quarterly Data'!$B:$B,'Annual Data'!$A211,'Quarterly Data'!O:O)</f>
        <v>#DIV/0!</v>
      </c>
      <c r="N211" t="e">
        <f>AVERAGEIF('Quarterly Data'!$B:$B,'Annual Data'!$A211,'Quarterly Data'!P:P)</f>
        <v>#DIV/0!</v>
      </c>
      <c r="O211" t="e">
        <f>AVERAGEIF('Quarterly Data'!$B:$B,'Annual Data'!$A211,'Quarterly Data'!Q:Q)</f>
        <v>#DIV/0!</v>
      </c>
      <c r="P211">
        <f>SUMIF('Quarterly Data'!$B:$B,'Annual Data'!$A211,'Quarterly Data'!R:R)</f>
        <v>0</v>
      </c>
      <c r="Q211">
        <f>SUMIF('Quarterly Data'!$B:$B,'Annual Data'!$A211,'Quarterly Data'!S:S)</f>
        <v>0</v>
      </c>
      <c r="R211" t="e">
        <f>AVERAGEIF('Quarterly Data'!$B:$B,'Annual Data'!$A211,'Quarterly Data'!T:T)</f>
        <v>#DIV/0!</v>
      </c>
      <c r="S211">
        <f>SUMIF('Quarterly Data'!$B:$B,'Annual Data'!$A211,'Quarterly Data'!U:U)</f>
        <v>0</v>
      </c>
      <c r="T211">
        <f>SUMIF('Quarterly Data'!$B:$B,'Annual Data'!$A211,'Quarterly Data'!V:V)</f>
        <v>0</v>
      </c>
      <c r="U211">
        <f>SUMIF('Quarterly Data'!$B:$B,'Annual Data'!$A211,'Quarterly Data'!W:W)</f>
        <v>0</v>
      </c>
      <c r="V211">
        <f>SUMIF('Quarterly Data'!$B:$B,'Annual Data'!$A211,'Quarterly Data'!X:X)</f>
        <v>0</v>
      </c>
      <c r="W211">
        <f>SUMIF('Quarterly Data'!$B:$B,'Annual Data'!$A211,'Quarterly Data'!Y:Y)</f>
        <v>0</v>
      </c>
      <c r="X211">
        <f>SUMIF('Quarterly Data'!$B:$B,'Annual Data'!$A211,'Quarterly Data'!Z:Z)</f>
        <v>0</v>
      </c>
      <c r="Y211">
        <f>SUMIF('Quarterly Data'!$B:$B,'Annual Data'!$A211,'Quarterly Data'!AA:AA)</f>
        <v>0</v>
      </c>
      <c r="Z211" t="e">
        <f>AVERAGEIF('Quarterly Data'!$B:$B,'Annual Data'!$A211,'Quarterly Data'!AB:AB)</f>
        <v>#DIV/0!</v>
      </c>
      <c r="AA211" t="e">
        <f>AVERAGEIF('Quarterly Data'!$B:$B,'Annual Data'!$A211,'Quarterly Data'!AC:AC)</f>
        <v>#DIV/0!</v>
      </c>
      <c r="AB211" t="e">
        <f>AVERAGEIF('Quarterly Data'!$B:$B,'Annual Data'!$A211,'Quarterly Data'!AD:AD)</f>
        <v>#DIV/0!</v>
      </c>
      <c r="AC211" t="e">
        <f>AVERAGEIF('Quarterly Data'!$B:$B,'Annual Data'!$A211,'Quarterly Data'!AE:AE)</f>
        <v>#DIV/0!</v>
      </c>
      <c r="AD211" t="e">
        <f>AVERAGEIF('Quarterly Data'!$B:$B,'Annual Data'!$A211,'Quarterly Data'!AF:AF)</f>
        <v>#DIV/0!</v>
      </c>
      <c r="AE211">
        <f>SUMIF('Quarterly Data'!$B:$B,'Annual Data'!$A211,'Quarterly Data'!AG:AG)</f>
        <v>0</v>
      </c>
    </row>
    <row r="212" spans="1:31" x14ac:dyDescent="0.25">
      <c r="A212">
        <v>2178</v>
      </c>
      <c r="B212">
        <f>SUMIF('Quarterly Data'!$B:$B,'Annual Data'!$A212,'Quarterly Data'!D:D)</f>
        <v>0</v>
      </c>
      <c r="C212" t="e">
        <f>AVERAGEIF('Quarterly Data'!$B:$B,'Annual Data'!$A212,'Quarterly Data'!E:E)</f>
        <v>#DIV/0!</v>
      </c>
      <c r="D212">
        <f>SUMIF('Quarterly Data'!$B:$B,'Annual Data'!$A212,'Quarterly Data'!F:F)</f>
        <v>0</v>
      </c>
      <c r="E212">
        <f>SUMIF('Quarterly Data'!$B:$B,'Annual Data'!$A212,'Quarterly Data'!G:G)</f>
        <v>0</v>
      </c>
      <c r="F212">
        <f>SUMIF('Quarterly Data'!$B:$B,'Annual Data'!$A212,'Quarterly Data'!H:H)</f>
        <v>0</v>
      </c>
      <c r="G212">
        <f>SUMIF('Quarterly Data'!$B:$B,'Annual Data'!$A212,'Quarterly Data'!I:I)</f>
        <v>0</v>
      </c>
      <c r="H212">
        <f>SUMIF('Quarterly Data'!$B:$B,'Annual Data'!$A212,'Quarterly Data'!J:J)</f>
        <v>0</v>
      </c>
      <c r="I212">
        <f>SUMIF('Quarterly Data'!$B:$B,'Annual Data'!$A212,'Quarterly Data'!K:K)</f>
        <v>0</v>
      </c>
      <c r="J212">
        <f>SUMIF('Quarterly Data'!$B:$B,'Annual Data'!$A212,'Quarterly Data'!L:L)</f>
        <v>0</v>
      </c>
      <c r="K212" t="e">
        <f>AVERAGEIF('Quarterly Data'!$B:$B,'Annual Data'!$A212,'Quarterly Data'!M:M)</f>
        <v>#DIV/0!</v>
      </c>
      <c r="L212" t="e">
        <f>AVERAGEIF('Quarterly Data'!$B:$B,'Annual Data'!$A212,'Quarterly Data'!N:N)</f>
        <v>#DIV/0!</v>
      </c>
      <c r="M212" t="e">
        <f>AVERAGEIF('Quarterly Data'!$B:$B,'Annual Data'!$A212,'Quarterly Data'!O:O)</f>
        <v>#DIV/0!</v>
      </c>
      <c r="N212" t="e">
        <f>AVERAGEIF('Quarterly Data'!$B:$B,'Annual Data'!$A212,'Quarterly Data'!P:P)</f>
        <v>#DIV/0!</v>
      </c>
      <c r="O212" t="e">
        <f>AVERAGEIF('Quarterly Data'!$B:$B,'Annual Data'!$A212,'Quarterly Data'!Q:Q)</f>
        <v>#DIV/0!</v>
      </c>
      <c r="P212">
        <f>SUMIF('Quarterly Data'!$B:$B,'Annual Data'!$A212,'Quarterly Data'!R:R)</f>
        <v>0</v>
      </c>
      <c r="Q212">
        <f>SUMIF('Quarterly Data'!$B:$B,'Annual Data'!$A212,'Quarterly Data'!S:S)</f>
        <v>0</v>
      </c>
      <c r="R212" t="e">
        <f>AVERAGEIF('Quarterly Data'!$B:$B,'Annual Data'!$A212,'Quarterly Data'!T:T)</f>
        <v>#DIV/0!</v>
      </c>
      <c r="S212">
        <f>SUMIF('Quarterly Data'!$B:$B,'Annual Data'!$A212,'Quarterly Data'!U:U)</f>
        <v>0</v>
      </c>
      <c r="T212">
        <f>SUMIF('Quarterly Data'!$B:$B,'Annual Data'!$A212,'Quarterly Data'!V:V)</f>
        <v>0</v>
      </c>
      <c r="U212">
        <f>SUMIF('Quarterly Data'!$B:$B,'Annual Data'!$A212,'Quarterly Data'!W:W)</f>
        <v>0</v>
      </c>
      <c r="V212">
        <f>SUMIF('Quarterly Data'!$B:$B,'Annual Data'!$A212,'Quarterly Data'!X:X)</f>
        <v>0</v>
      </c>
      <c r="W212">
        <f>SUMIF('Quarterly Data'!$B:$B,'Annual Data'!$A212,'Quarterly Data'!Y:Y)</f>
        <v>0</v>
      </c>
      <c r="X212">
        <f>SUMIF('Quarterly Data'!$B:$B,'Annual Data'!$A212,'Quarterly Data'!Z:Z)</f>
        <v>0</v>
      </c>
      <c r="Y212">
        <f>SUMIF('Quarterly Data'!$B:$B,'Annual Data'!$A212,'Quarterly Data'!AA:AA)</f>
        <v>0</v>
      </c>
      <c r="Z212" t="e">
        <f>AVERAGEIF('Quarterly Data'!$B:$B,'Annual Data'!$A212,'Quarterly Data'!AB:AB)</f>
        <v>#DIV/0!</v>
      </c>
      <c r="AA212" t="e">
        <f>AVERAGEIF('Quarterly Data'!$B:$B,'Annual Data'!$A212,'Quarterly Data'!AC:AC)</f>
        <v>#DIV/0!</v>
      </c>
      <c r="AB212" t="e">
        <f>AVERAGEIF('Quarterly Data'!$B:$B,'Annual Data'!$A212,'Quarterly Data'!AD:AD)</f>
        <v>#DIV/0!</v>
      </c>
      <c r="AC212" t="e">
        <f>AVERAGEIF('Quarterly Data'!$B:$B,'Annual Data'!$A212,'Quarterly Data'!AE:AE)</f>
        <v>#DIV/0!</v>
      </c>
      <c r="AD212" t="e">
        <f>AVERAGEIF('Quarterly Data'!$B:$B,'Annual Data'!$A212,'Quarterly Data'!AF:AF)</f>
        <v>#DIV/0!</v>
      </c>
      <c r="AE212">
        <f>SUMIF('Quarterly Data'!$B:$B,'Annual Data'!$A212,'Quarterly Data'!AG:AG)</f>
        <v>0</v>
      </c>
    </row>
    <row r="213" spans="1:31" x14ac:dyDescent="0.25">
      <c r="A213">
        <v>2179</v>
      </c>
      <c r="B213">
        <f>SUMIF('Quarterly Data'!$B:$B,'Annual Data'!$A213,'Quarterly Data'!D:D)</f>
        <v>0</v>
      </c>
      <c r="C213" t="e">
        <f>AVERAGEIF('Quarterly Data'!$B:$B,'Annual Data'!$A213,'Quarterly Data'!E:E)</f>
        <v>#DIV/0!</v>
      </c>
      <c r="D213">
        <f>SUMIF('Quarterly Data'!$B:$B,'Annual Data'!$A213,'Quarterly Data'!F:F)</f>
        <v>0</v>
      </c>
      <c r="E213">
        <f>SUMIF('Quarterly Data'!$B:$B,'Annual Data'!$A213,'Quarterly Data'!G:G)</f>
        <v>0</v>
      </c>
      <c r="F213">
        <f>SUMIF('Quarterly Data'!$B:$B,'Annual Data'!$A213,'Quarterly Data'!H:H)</f>
        <v>0</v>
      </c>
      <c r="G213">
        <f>SUMIF('Quarterly Data'!$B:$B,'Annual Data'!$A213,'Quarterly Data'!I:I)</f>
        <v>0</v>
      </c>
      <c r="H213">
        <f>SUMIF('Quarterly Data'!$B:$B,'Annual Data'!$A213,'Quarterly Data'!J:J)</f>
        <v>0</v>
      </c>
      <c r="I213">
        <f>SUMIF('Quarterly Data'!$B:$B,'Annual Data'!$A213,'Quarterly Data'!K:K)</f>
        <v>0</v>
      </c>
      <c r="J213">
        <f>SUMIF('Quarterly Data'!$B:$B,'Annual Data'!$A213,'Quarterly Data'!L:L)</f>
        <v>0</v>
      </c>
      <c r="K213" t="e">
        <f>AVERAGEIF('Quarterly Data'!$B:$B,'Annual Data'!$A213,'Quarterly Data'!M:M)</f>
        <v>#DIV/0!</v>
      </c>
      <c r="L213" t="e">
        <f>AVERAGEIF('Quarterly Data'!$B:$B,'Annual Data'!$A213,'Quarterly Data'!N:N)</f>
        <v>#DIV/0!</v>
      </c>
      <c r="M213" t="e">
        <f>AVERAGEIF('Quarterly Data'!$B:$B,'Annual Data'!$A213,'Quarterly Data'!O:O)</f>
        <v>#DIV/0!</v>
      </c>
      <c r="N213" t="e">
        <f>AVERAGEIF('Quarterly Data'!$B:$B,'Annual Data'!$A213,'Quarterly Data'!P:P)</f>
        <v>#DIV/0!</v>
      </c>
      <c r="O213" t="e">
        <f>AVERAGEIF('Quarterly Data'!$B:$B,'Annual Data'!$A213,'Quarterly Data'!Q:Q)</f>
        <v>#DIV/0!</v>
      </c>
      <c r="P213">
        <f>SUMIF('Quarterly Data'!$B:$B,'Annual Data'!$A213,'Quarterly Data'!R:R)</f>
        <v>0</v>
      </c>
      <c r="Q213">
        <f>SUMIF('Quarterly Data'!$B:$B,'Annual Data'!$A213,'Quarterly Data'!S:S)</f>
        <v>0</v>
      </c>
      <c r="R213" t="e">
        <f>AVERAGEIF('Quarterly Data'!$B:$B,'Annual Data'!$A213,'Quarterly Data'!T:T)</f>
        <v>#DIV/0!</v>
      </c>
      <c r="S213">
        <f>SUMIF('Quarterly Data'!$B:$B,'Annual Data'!$A213,'Quarterly Data'!U:U)</f>
        <v>0</v>
      </c>
      <c r="T213">
        <f>SUMIF('Quarterly Data'!$B:$B,'Annual Data'!$A213,'Quarterly Data'!V:V)</f>
        <v>0</v>
      </c>
      <c r="U213">
        <f>SUMIF('Quarterly Data'!$B:$B,'Annual Data'!$A213,'Quarterly Data'!W:W)</f>
        <v>0</v>
      </c>
      <c r="V213">
        <f>SUMIF('Quarterly Data'!$B:$B,'Annual Data'!$A213,'Quarterly Data'!X:X)</f>
        <v>0</v>
      </c>
      <c r="W213">
        <f>SUMIF('Quarterly Data'!$B:$B,'Annual Data'!$A213,'Quarterly Data'!Y:Y)</f>
        <v>0</v>
      </c>
      <c r="X213">
        <f>SUMIF('Quarterly Data'!$B:$B,'Annual Data'!$A213,'Quarterly Data'!Z:Z)</f>
        <v>0</v>
      </c>
      <c r="Y213">
        <f>SUMIF('Quarterly Data'!$B:$B,'Annual Data'!$A213,'Quarterly Data'!AA:AA)</f>
        <v>0</v>
      </c>
      <c r="Z213" t="e">
        <f>AVERAGEIF('Quarterly Data'!$B:$B,'Annual Data'!$A213,'Quarterly Data'!AB:AB)</f>
        <v>#DIV/0!</v>
      </c>
      <c r="AA213" t="e">
        <f>AVERAGEIF('Quarterly Data'!$B:$B,'Annual Data'!$A213,'Quarterly Data'!AC:AC)</f>
        <v>#DIV/0!</v>
      </c>
      <c r="AB213" t="e">
        <f>AVERAGEIF('Quarterly Data'!$B:$B,'Annual Data'!$A213,'Quarterly Data'!AD:AD)</f>
        <v>#DIV/0!</v>
      </c>
      <c r="AC213" t="e">
        <f>AVERAGEIF('Quarterly Data'!$B:$B,'Annual Data'!$A213,'Quarterly Data'!AE:AE)</f>
        <v>#DIV/0!</v>
      </c>
      <c r="AD213" t="e">
        <f>AVERAGEIF('Quarterly Data'!$B:$B,'Annual Data'!$A213,'Quarterly Data'!AF:AF)</f>
        <v>#DIV/0!</v>
      </c>
      <c r="AE213">
        <f>SUMIF('Quarterly Data'!$B:$B,'Annual Data'!$A213,'Quarterly Data'!AG:AG)</f>
        <v>0</v>
      </c>
    </row>
    <row r="214" spans="1:31" x14ac:dyDescent="0.25">
      <c r="A214">
        <v>2180</v>
      </c>
      <c r="B214">
        <f>SUMIF('Quarterly Data'!$B:$B,'Annual Data'!$A214,'Quarterly Data'!D:D)</f>
        <v>0</v>
      </c>
      <c r="C214" t="e">
        <f>AVERAGEIF('Quarterly Data'!$B:$B,'Annual Data'!$A214,'Quarterly Data'!E:E)</f>
        <v>#DIV/0!</v>
      </c>
      <c r="D214">
        <f>SUMIF('Quarterly Data'!$B:$B,'Annual Data'!$A214,'Quarterly Data'!F:F)</f>
        <v>0</v>
      </c>
      <c r="E214">
        <f>SUMIF('Quarterly Data'!$B:$B,'Annual Data'!$A214,'Quarterly Data'!G:G)</f>
        <v>0</v>
      </c>
      <c r="F214">
        <f>SUMIF('Quarterly Data'!$B:$B,'Annual Data'!$A214,'Quarterly Data'!H:H)</f>
        <v>0</v>
      </c>
      <c r="G214">
        <f>SUMIF('Quarterly Data'!$B:$B,'Annual Data'!$A214,'Quarterly Data'!I:I)</f>
        <v>0</v>
      </c>
      <c r="H214">
        <f>SUMIF('Quarterly Data'!$B:$B,'Annual Data'!$A214,'Quarterly Data'!J:J)</f>
        <v>0</v>
      </c>
      <c r="I214">
        <f>SUMIF('Quarterly Data'!$B:$B,'Annual Data'!$A214,'Quarterly Data'!K:K)</f>
        <v>0</v>
      </c>
      <c r="J214">
        <f>SUMIF('Quarterly Data'!$B:$B,'Annual Data'!$A214,'Quarterly Data'!L:L)</f>
        <v>0</v>
      </c>
      <c r="K214" t="e">
        <f>AVERAGEIF('Quarterly Data'!$B:$B,'Annual Data'!$A214,'Quarterly Data'!M:M)</f>
        <v>#DIV/0!</v>
      </c>
      <c r="L214" t="e">
        <f>AVERAGEIF('Quarterly Data'!$B:$B,'Annual Data'!$A214,'Quarterly Data'!N:N)</f>
        <v>#DIV/0!</v>
      </c>
      <c r="M214" t="e">
        <f>AVERAGEIF('Quarterly Data'!$B:$B,'Annual Data'!$A214,'Quarterly Data'!O:O)</f>
        <v>#DIV/0!</v>
      </c>
      <c r="N214" t="e">
        <f>AVERAGEIF('Quarterly Data'!$B:$B,'Annual Data'!$A214,'Quarterly Data'!P:P)</f>
        <v>#DIV/0!</v>
      </c>
      <c r="O214" t="e">
        <f>AVERAGEIF('Quarterly Data'!$B:$B,'Annual Data'!$A214,'Quarterly Data'!Q:Q)</f>
        <v>#DIV/0!</v>
      </c>
      <c r="P214">
        <f>SUMIF('Quarterly Data'!$B:$B,'Annual Data'!$A214,'Quarterly Data'!R:R)</f>
        <v>0</v>
      </c>
      <c r="Q214">
        <f>SUMIF('Quarterly Data'!$B:$B,'Annual Data'!$A214,'Quarterly Data'!S:S)</f>
        <v>0</v>
      </c>
      <c r="R214" t="e">
        <f>AVERAGEIF('Quarterly Data'!$B:$B,'Annual Data'!$A214,'Quarterly Data'!T:T)</f>
        <v>#DIV/0!</v>
      </c>
      <c r="S214">
        <f>SUMIF('Quarterly Data'!$B:$B,'Annual Data'!$A214,'Quarterly Data'!U:U)</f>
        <v>0</v>
      </c>
      <c r="T214">
        <f>SUMIF('Quarterly Data'!$B:$B,'Annual Data'!$A214,'Quarterly Data'!V:V)</f>
        <v>0</v>
      </c>
      <c r="U214">
        <f>SUMIF('Quarterly Data'!$B:$B,'Annual Data'!$A214,'Quarterly Data'!W:W)</f>
        <v>0</v>
      </c>
      <c r="V214">
        <f>SUMIF('Quarterly Data'!$B:$B,'Annual Data'!$A214,'Quarterly Data'!X:X)</f>
        <v>0</v>
      </c>
      <c r="W214">
        <f>SUMIF('Quarterly Data'!$B:$B,'Annual Data'!$A214,'Quarterly Data'!Y:Y)</f>
        <v>0</v>
      </c>
      <c r="X214">
        <f>SUMIF('Quarterly Data'!$B:$B,'Annual Data'!$A214,'Quarterly Data'!Z:Z)</f>
        <v>0</v>
      </c>
      <c r="Y214">
        <f>SUMIF('Quarterly Data'!$B:$B,'Annual Data'!$A214,'Quarterly Data'!AA:AA)</f>
        <v>0</v>
      </c>
      <c r="Z214" t="e">
        <f>AVERAGEIF('Quarterly Data'!$B:$B,'Annual Data'!$A214,'Quarterly Data'!AB:AB)</f>
        <v>#DIV/0!</v>
      </c>
      <c r="AA214" t="e">
        <f>AVERAGEIF('Quarterly Data'!$B:$B,'Annual Data'!$A214,'Quarterly Data'!AC:AC)</f>
        <v>#DIV/0!</v>
      </c>
      <c r="AB214" t="e">
        <f>AVERAGEIF('Quarterly Data'!$B:$B,'Annual Data'!$A214,'Quarterly Data'!AD:AD)</f>
        <v>#DIV/0!</v>
      </c>
      <c r="AC214" t="e">
        <f>AVERAGEIF('Quarterly Data'!$B:$B,'Annual Data'!$A214,'Quarterly Data'!AE:AE)</f>
        <v>#DIV/0!</v>
      </c>
      <c r="AD214" t="e">
        <f>AVERAGEIF('Quarterly Data'!$B:$B,'Annual Data'!$A214,'Quarterly Data'!AF:AF)</f>
        <v>#DIV/0!</v>
      </c>
      <c r="AE214">
        <f>SUMIF('Quarterly Data'!$B:$B,'Annual Data'!$A214,'Quarterly Data'!AG:AG)</f>
        <v>0</v>
      </c>
    </row>
    <row r="215" spans="1:31" x14ac:dyDescent="0.25">
      <c r="A215">
        <v>2181</v>
      </c>
      <c r="B215">
        <f>SUMIF('Quarterly Data'!$B:$B,'Annual Data'!$A215,'Quarterly Data'!D:D)</f>
        <v>0</v>
      </c>
      <c r="C215" t="e">
        <f>AVERAGEIF('Quarterly Data'!$B:$B,'Annual Data'!$A215,'Quarterly Data'!E:E)</f>
        <v>#DIV/0!</v>
      </c>
      <c r="D215">
        <f>SUMIF('Quarterly Data'!$B:$B,'Annual Data'!$A215,'Quarterly Data'!F:F)</f>
        <v>0</v>
      </c>
      <c r="E215">
        <f>SUMIF('Quarterly Data'!$B:$B,'Annual Data'!$A215,'Quarterly Data'!G:G)</f>
        <v>0</v>
      </c>
      <c r="F215">
        <f>SUMIF('Quarterly Data'!$B:$B,'Annual Data'!$A215,'Quarterly Data'!H:H)</f>
        <v>0</v>
      </c>
      <c r="G215">
        <f>SUMIF('Quarterly Data'!$B:$B,'Annual Data'!$A215,'Quarterly Data'!I:I)</f>
        <v>0</v>
      </c>
      <c r="H215">
        <f>SUMIF('Quarterly Data'!$B:$B,'Annual Data'!$A215,'Quarterly Data'!J:J)</f>
        <v>0</v>
      </c>
      <c r="I215">
        <f>SUMIF('Quarterly Data'!$B:$B,'Annual Data'!$A215,'Quarterly Data'!K:K)</f>
        <v>0</v>
      </c>
      <c r="J215">
        <f>SUMIF('Quarterly Data'!$B:$B,'Annual Data'!$A215,'Quarterly Data'!L:L)</f>
        <v>0</v>
      </c>
      <c r="K215" t="e">
        <f>AVERAGEIF('Quarterly Data'!$B:$B,'Annual Data'!$A215,'Quarterly Data'!M:M)</f>
        <v>#DIV/0!</v>
      </c>
      <c r="L215" t="e">
        <f>AVERAGEIF('Quarterly Data'!$B:$B,'Annual Data'!$A215,'Quarterly Data'!N:N)</f>
        <v>#DIV/0!</v>
      </c>
      <c r="M215" t="e">
        <f>AVERAGEIF('Quarterly Data'!$B:$B,'Annual Data'!$A215,'Quarterly Data'!O:O)</f>
        <v>#DIV/0!</v>
      </c>
      <c r="N215" t="e">
        <f>AVERAGEIF('Quarterly Data'!$B:$B,'Annual Data'!$A215,'Quarterly Data'!P:P)</f>
        <v>#DIV/0!</v>
      </c>
      <c r="O215" t="e">
        <f>AVERAGEIF('Quarterly Data'!$B:$B,'Annual Data'!$A215,'Quarterly Data'!Q:Q)</f>
        <v>#DIV/0!</v>
      </c>
      <c r="P215">
        <f>SUMIF('Quarterly Data'!$B:$B,'Annual Data'!$A215,'Quarterly Data'!R:R)</f>
        <v>0</v>
      </c>
      <c r="Q215">
        <f>SUMIF('Quarterly Data'!$B:$B,'Annual Data'!$A215,'Quarterly Data'!S:S)</f>
        <v>0</v>
      </c>
      <c r="R215" t="e">
        <f>AVERAGEIF('Quarterly Data'!$B:$B,'Annual Data'!$A215,'Quarterly Data'!T:T)</f>
        <v>#DIV/0!</v>
      </c>
      <c r="S215">
        <f>SUMIF('Quarterly Data'!$B:$B,'Annual Data'!$A215,'Quarterly Data'!U:U)</f>
        <v>0</v>
      </c>
      <c r="T215">
        <f>SUMIF('Quarterly Data'!$B:$B,'Annual Data'!$A215,'Quarterly Data'!V:V)</f>
        <v>0</v>
      </c>
      <c r="U215">
        <f>SUMIF('Quarterly Data'!$B:$B,'Annual Data'!$A215,'Quarterly Data'!W:W)</f>
        <v>0</v>
      </c>
      <c r="V215">
        <f>SUMIF('Quarterly Data'!$B:$B,'Annual Data'!$A215,'Quarterly Data'!X:X)</f>
        <v>0</v>
      </c>
      <c r="W215">
        <f>SUMIF('Quarterly Data'!$B:$B,'Annual Data'!$A215,'Quarterly Data'!Y:Y)</f>
        <v>0</v>
      </c>
      <c r="X215">
        <f>SUMIF('Quarterly Data'!$B:$B,'Annual Data'!$A215,'Quarterly Data'!Z:Z)</f>
        <v>0</v>
      </c>
      <c r="Y215">
        <f>SUMIF('Quarterly Data'!$B:$B,'Annual Data'!$A215,'Quarterly Data'!AA:AA)</f>
        <v>0</v>
      </c>
      <c r="Z215" t="e">
        <f>AVERAGEIF('Quarterly Data'!$B:$B,'Annual Data'!$A215,'Quarterly Data'!AB:AB)</f>
        <v>#DIV/0!</v>
      </c>
      <c r="AA215" t="e">
        <f>AVERAGEIF('Quarterly Data'!$B:$B,'Annual Data'!$A215,'Quarterly Data'!AC:AC)</f>
        <v>#DIV/0!</v>
      </c>
      <c r="AB215" t="e">
        <f>AVERAGEIF('Quarterly Data'!$B:$B,'Annual Data'!$A215,'Quarterly Data'!AD:AD)</f>
        <v>#DIV/0!</v>
      </c>
      <c r="AC215" t="e">
        <f>AVERAGEIF('Quarterly Data'!$B:$B,'Annual Data'!$A215,'Quarterly Data'!AE:AE)</f>
        <v>#DIV/0!</v>
      </c>
      <c r="AD215" t="e">
        <f>AVERAGEIF('Quarterly Data'!$B:$B,'Annual Data'!$A215,'Quarterly Data'!AF:AF)</f>
        <v>#DIV/0!</v>
      </c>
      <c r="AE215">
        <f>SUMIF('Quarterly Data'!$B:$B,'Annual Data'!$A215,'Quarterly Data'!AG:AG)</f>
        <v>0</v>
      </c>
    </row>
    <row r="216" spans="1:31" x14ac:dyDescent="0.25">
      <c r="A216">
        <v>2182</v>
      </c>
      <c r="B216">
        <f>SUMIF('Quarterly Data'!$B:$B,'Annual Data'!$A216,'Quarterly Data'!D:D)</f>
        <v>0</v>
      </c>
      <c r="C216" t="e">
        <f>AVERAGEIF('Quarterly Data'!$B:$B,'Annual Data'!$A216,'Quarterly Data'!E:E)</f>
        <v>#DIV/0!</v>
      </c>
      <c r="D216">
        <f>SUMIF('Quarterly Data'!$B:$B,'Annual Data'!$A216,'Quarterly Data'!F:F)</f>
        <v>0</v>
      </c>
      <c r="E216">
        <f>SUMIF('Quarterly Data'!$B:$B,'Annual Data'!$A216,'Quarterly Data'!G:G)</f>
        <v>0</v>
      </c>
      <c r="F216">
        <f>SUMIF('Quarterly Data'!$B:$B,'Annual Data'!$A216,'Quarterly Data'!H:H)</f>
        <v>0</v>
      </c>
      <c r="G216">
        <f>SUMIF('Quarterly Data'!$B:$B,'Annual Data'!$A216,'Quarterly Data'!I:I)</f>
        <v>0</v>
      </c>
      <c r="H216">
        <f>SUMIF('Quarterly Data'!$B:$B,'Annual Data'!$A216,'Quarterly Data'!J:J)</f>
        <v>0</v>
      </c>
      <c r="I216">
        <f>SUMIF('Quarterly Data'!$B:$B,'Annual Data'!$A216,'Quarterly Data'!K:K)</f>
        <v>0</v>
      </c>
      <c r="J216">
        <f>SUMIF('Quarterly Data'!$B:$B,'Annual Data'!$A216,'Quarterly Data'!L:L)</f>
        <v>0</v>
      </c>
      <c r="K216" t="e">
        <f>AVERAGEIF('Quarterly Data'!$B:$B,'Annual Data'!$A216,'Quarterly Data'!M:M)</f>
        <v>#DIV/0!</v>
      </c>
      <c r="L216" t="e">
        <f>AVERAGEIF('Quarterly Data'!$B:$B,'Annual Data'!$A216,'Quarterly Data'!N:N)</f>
        <v>#DIV/0!</v>
      </c>
      <c r="M216" t="e">
        <f>AVERAGEIF('Quarterly Data'!$B:$B,'Annual Data'!$A216,'Quarterly Data'!O:O)</f>
        <v>#DIV/0!</v>
      </c>
      <c r="N216" t="e">
        <f>AVERAGEIF('Quarterly Data'!$B:$B,'Annual Data'!$A216,'Quarterly Data'!P:P)</f>
        <v>#DIV/0!</v>
      </c>
      <c r="O216" t="e">
        <f>AVERAGEIF('Quarterly Data'!$B:$B,'Annual Data'!$A216,'Quarterly Data'!Q:Q)</f>
        <v>#DIV/0!</v>
      </c>
      <c r="P216">
        <f>SUMIF('Quarterly Data'!$B:$B,'Annual Data'!$A216,'Quarterly Data'!R:R)</f>
        <v>0</v>
      </c>
      <c r="Q216">
        <f>SUMIF('Quarterly Data'!$B:$B,'Annual Data'!$A216,'Quarterly Data'!S:S)</f>
        <v>0</v>
      </c>
      <c r="R216" t="e">
        <f>AVERAGEIF('Quarterly Data'!$B:$B,'Annual Data'!$A216,'Quarterly Data'!T:T)</f>
        <v>#DIV/0!</v>
      </c>
      <c r="S216">
        <f>SUMIF('Quarterly Data'!$B:$B,'Annual Data'!$A216,'Quarterly Data'!U:U)</f>
        <v>0</v>
      </c>
      <c r="T216">
        <f>SUMIF('Quarterly Data'!$B:$B,'Annual Data'!$A216,'Quarterly Data'!V:V)</f>
        <v>0</v>
      </c>
      <c r="U216">
        <f>SUMIF('Quarterly Data'!$B:$B,'Annual Data'!$A216,'Quarterly Data'!W:W)</f>
        <v>0</v>
      </c>
      <c r="V216">
        <f>SUMIF('Quarterly Data'!$B:$B,'Annual Data'!$A216,'Quarterly Data'!X:X)</f>
        <v>0</v>
      </c>
      <c r="W216">
        <f>SUMIF('Quarterly Data'!$B:$B,'Annual Data'!$A216,'Quarterly Data'!Y:Y)</f>
        <v>0</v>
      </c>
      <c r="X216">
        <f>SUMIF('Quarterly Data'!$B:$B,'Annual Data'!$A216,'Quarterly Data'!Z:Z)</f>
        <v>0</v>
      </c>
      <c r="Y216">
        <f>SUMIF('Quarterly Data'!$B:$B,'Annual Data'!$A216,'Quarterly Data'!AA:AA)</f>
        <v>0</v>
      </c>
      <c r="Z216" t="e">
        <f>AVERAGEIF('Quarterly Data'!$B:$B,'Annual Data'!$A216,'Quarterly Data'!AB:AB)</f>
        <v>#DIV/0!</v>
      </c>
      <c r="AA216" t="e">
        <f>AVERAGEIF('Quarterly Data'!$B:$B,'Annual Data'!$A216,'Quarterly Data'!AC:AC)</f>
        <v>#DIV/0!</v>
      </c>
      <c r="AB216" t="e">
        <f>AVERAGEIF('Quarterly Data'!$B:$B,'Annual Data'!$A216,'Quarterly Data'!AD:AD)</f>
        <v>#DIV/0!</v>
      </c>
      <c r="AC216" t="e">
        <f>AVERAGEIF('Quarterly Data'!$B:$B,'Annual Data'!$A216,'Quarterly Data'!AE:AE)</f>
        <v>#DIV/0!</v>
      </c>
      <c r="AD216" t="e">
        <f>AVERAGEIF('Quarterly Data'!$B:$B,'Annual Data'!$A216,'Quarterly Data'!AF:AF)</f>
        <v>#DIV/0!</v>
      </c>
      <c r="AE216">
        <f>SUMIF('Quarterly Data'!$B:$B,'Annual Data'!$A216,'Quarterly Data'!AG:AG)</f>
        <v>0</v>
      </c>
    </row>
    <row r="217" spans="1:31" x14ac:dyDescent="0.25">
      <c r="A217">
        <v>2183</v>
      </c>
      <c r="B217">
        <f>SUMIF('Quarterly Data'!$B:$B,'Annual Data'!$A217,'Quarterly Data'!D:D)</f>
        <v>0</v>
      </c>
      <c r="C217" t="e">
        <f>AVERAGEIF('Quarterly Data'!$B:$B,'Annual Data'!$A217,'Quarterly Data'!E:E)</f>
        <v>#DIV/0!</v>
      </c>
      <c r="D217">
        <f>SUMIF('Quarterly Data'!$B:$B,'Annual Data'!$A217,'Quarterly Data'!F:F)</f>
        <v>0</v>
      </c>
      <c r="E217">
        <f>SUMIF('Quarterly Data'!$B:$B,'Annual Data'!$A217,'Quarterly Data'!G:G)</f>
        <v>0</v>
      </c>
      <c r="F217">
        <f>SUMIF('Quarterly Data'!$B:$B,'Annual Data'!$A217,'Quarterly Data'!H:H)</f>
        <v>0</v>
      </c>
      <c r="G217">
        <f>SUMIF('Quarterly Data'!$B:$B,'Annual Data'!$A217,'Quarterly Data'!I:I)</f>
        <v>0</v>
      </c>
      <c r="H217">
        <f>SUMIF('Quarterly Data'!$B:$B,'Annual Data'!$A217,'Quarterly Data'!J:J)</f>
        <v>0</v>
      </c>
      <c r="I217">
        <f>SUMIF('Quarterly Data'!$B:$B,'Annual Data'!$A217,'Quarterly Data'!K:K)</f>
        <v>0</v>
      </c>
      <c r="J217">
        <f>SUMIF('Quarterly Data'!$B:$B,'Annual Data'!$A217,'Quarterly Data'!L:L)</f>
        <v>0</v>
      </c>
      <c r="K217" t="e">
        <f>AVERAGEIF('Quarterly Data'!$B:$B,'Annual Data'!$A217,'Quarterly Data'!M:M)</f>
        <v>#DIV/0!</v>
      </c>
      <c r="L217" t="e">
        <f>AVERAGEIF('Quarterly Data'!$B:$B,'Annual Data'!$A217,'Quarterly Data'!N:N)</f>
        <v>#DIV/0!</v>
      </c>
      <c r="M217" t="e">
        <f>AVERAGEIF('Quarterly Data'!$B:$B,'Annual Data'!$A217,'Quarterly Data'!O:O)</f>
        <v>#DIV/0!</v>
      </c>
      <c r="N217" t="e">
        <f>AVERAGEIF('Quarterly Data'!$B:$B,'Annual Data'!$A217,'Quarterly Data'!P:P)</f>
        <v>#DIV/0!</v>
      </c>
      <c r="O217" t="e">
        <f>AVERAGEIF('Quarterly Data'!$B:$B,'Annual Data'!$A217,'Quarterly Data'!Q:Q)</f>
        <v>#DIV/0!</v>
      </c>
      <c r="P217">
        <f>SUMIF('Quarterly Data'!$B:$B,'Annual Data'!$A217,'Quarterly Data'!R:R)</f>
        <v>0</v>
      </c>
      <c r="Q217">
        <f>SUMIF('Quarterly Data'!$B:$B,'Annual Data'!$A217,'Quarterly Data'!S:S)</f>
        <v>0</v>
      </c>
      <c r="R217" t="e">
        <f>AVERAGEIF('Quarterly Data'!$B:$B,'Annual Data'!$A217,'Quarterly Data'!T:T)</f>
        <v>#DIV/0!</v>
      </c>
      <c r="S217">
        <f>SUMIF('Quarterly Data'!$B:$B,'Annual Data'!$A217,'Quarterly Data'!U:U)</f>
        <v>0</v>
      </c>
      <c r="T217">
        <f>SUMIF('Quarterly Data'!$B:$B,'Annual Data'!$A217,'Quarterly Data'!V:V)</f>
        <v>0</v>
      </c>
      <c r="U217">
        <f>SUMIF('Quarterly Data'!$B:$B,'Annual Data'!$A217,'Quarterly Data'!W:W)</f>
        <v>0</v>
      </c>
      <c r="V217">
        <f>SUMIF('Quarterly Data'!$B:$B,'Annual Data'!$A217,'Quarterly Data'!X:X)</f>
        <v>0</v>
      </c>
      <c r="W217">
        <f>SUMIF('Quarterly Data'!$B:$B,'Annual Data'!$A217,'Quarterly Data'!Y:Y)</f>
        <v>0</v>
      </c>
      <c r="X217">
        <f>SUMIF('Quarterly Data'!$B:$B,'Annual Data'!$A217,'Quarterly Data'!Z:Z)</f>
        <v>0</v>
      </c>
      <c r="Y217">
        <f>SUMIF('Quarterly Data'!$B:$B,'Annual Data'!$A217,'Quarterly Data'!AA:AA)</f>
        <v>0</v>
      </c>
      <c r="Z217" t="e">
        <f>AVERAGEIF('Quarterly Data'!$B:$B,'Annual Data'!$A217,'Quarterly Data'!AB:AB)</f>
        <v>#DIV/0!</v>
      </c>
      <c r="AA217" t="e">
        <f>AVERAGEIF('Quarterly Data'!$B:$B,'Annual Data'!$A217,'Quarterly Data'!AC:AC)</f>
        <v>#DIV/0!</v>
      </c>
      <c r="AB217" t="e">
        <f>AVERAGEIF('Quarterly Data'!$B:$B,'Annual Data'!$A217,'Quarterly Data'!AD:AD)</f>
        <v>#DIV/0!</v>
      </c>
      <c r="AC217" t="e">
        <f>AVERAGEIF('Quarterly Data'!$B:$B,'Annual Data'!$A217,'Quarterly Data'!AE:AE)</f>
        <v>#DIV/0!</v>
      </c>
      <c r="AD217" t="e">
        <f>AVERAGEIF('Quarterly Data'!$B:$B,'Annual Data'!$A217,'Quarterly Data'!AF:AF)</f>
        <v>#DIV/0!</v>
      </c>
      <c r="AE217">
        <f>SUMIF('Quarterly Data'!$B:$B,'Annual Data'!$A217,'Quarterly Data'!AG:AG)</f>
        <v>0</v>
      </c>
    </row>
    <row r="218" spans="1:31" x14ac:dyDescent="0.25">
      <c r="A218">
        <v>2184</v>
      </c>
      <c r="B218">
        <f>SUMIF('Quarterly Data'!$B:$B,'Annual Data'!$A218,'Quarterly Data'!D:D)</f>
        <v>0</v>
      </c>
      <c r="C218" t="e">
        <f>AVERAGEIF('Quarterly Data'!$B:$B,'Annual Data'!$A218,'Quarterly Data'!E:E)</f>
        <v>#DIV/0!</v>
      </c>
      <c r="D218">
        <f>SUMIF('Quarterly Data'!$B:$B,'Annual Data'!$A218,'Quarterly Data'!F:F)</f>
        <v>0</v>
      </c>
      <c r="E218">
        <f>SUMIF('Quarterly Data'!$B:$B,'Annual Data'!$A218,'Quarterly Data'!G:G)</f>
        <v>0</v>
      </c>
      <c r="F218">
        <f>SUMIF('Quarterly Data'!$B:$B,'Annual Data'!$A218,'Quarterly Data'!H:H)</f>
        <v>0</v>
      </c>
      <c r="G218">
        <f>SUMIF('Quarterly Data'!$B:$B,'Annual Data'!$A218,'Quarterly Data'!I:I)</f>
        <v>0</v>
      </c>
      <c r="H218">
        <f>SUMIF('Quarterly Data'!$B:$B,'Annual Data'!$A218,'Quarterly Data'!J:J)</f>
        <v>0</v>
      </c>
      <c r="I218">
        <f>SUMIF('Quarterly Data'!$B:$B,'Annual Data'!$A218,'Quarterly Data'!K:K)</f>
        <v>0</v>
      </c>
      <c r="J218">
        <f>SUMIF('Quarterly Data'!$B:$B,'Annual Data'!$A218,'Quarterly Data'!L:L)</f>
        <v>0</v>
      </c>
      <c r="K218" t="e">
        <f>AVERAGEIF('Quarterly Data'!$B:$B,'Annual Data'!$A218,'Quarterly Data'!M:M)</f>
        <v>#DIV/0!</v>
      </c>
      <c r="L218" t="e">
        <f>AVERAGEIF('Quarterly Data'!$B:$B,'Annual Data'!$A218,'Quarterly Data'!N:N)</f>
        <v>#DIV/0!</v>
      </c>
      <c r="M218" t="e">
        <f>AVERAGEIF('Quarterly Data'!$B:$B,'Annual Data'!$A218,'Quarterly Data'!O:O)</f>
        <v>#DIV/0!</v>
      </c>
      <c r="N218" t="e">
        <f>AVERAGEIF('Quarterly Data'!$B:$B,'Annual Data'!$A218,'Quarterly Data'!P:P)</f>
        <v>#DIV/0!</v>
      </c>
      <c r="O218" t="e">
        <f>AVERAGEIF('Quarterly Data'!$B:$B,'Annual Data'!$A218,'Quarterly Data'!Q:Q)</f>
        <v>#DIV/0!</v>
      </c>
      <c r="P218">
        <f>SUMIF('Quarterly Data'!$B:$B,'Annual Data'!$A218,'Quarterly Data'!R:R)</f>
        <v>0</v>
      </c>
      <c r="Q218">
        <f>SUMIF('Quarterly Data'!$B:$B,'Annual Data'!$A218,'Quarterly Data'!S:S)</f>
        <v>0</v>
      </c>
      <c r="R218" t="e">
        <f>AVERAGEIF('Quarterly Data'!$B:$B,'Annual Data'!$A218,'Quarterly Data'!T:T)</f>
        <v>#DIV/0!</v>
      </c>
      <c r="S218">
        <f>SUMIF('Quarterly Data'!$B:$B,'Annual Data'!$A218,'Quarterly Data'!U:U)</f>
        <v>0</v>
      </c>
      <c r="T218">
        <f>SUMIF('Quarterly Data'!$B:$B,'Annual Data'!$A218,'Quarterly Data'!V:V)</f>
        <v>0</v>
      </c>
      <c r="U218">
        <f>SUMIF('Quarterly Data'!$B:$B,'Annual Data'!$A218,'Quarterly Data'!W:W)</f>
        <v>0</v>
      </c>
      <c r="V218">
        <f>SUMIF('Quarterly Data'!$B:$B,'Annual Data'!$A218,'Quarterly Data'!X:X)</f>
        <v>0</v>
      </c>
      <c r="W218">
        <f>SUMIF('Quarterly Data'!$B:$B,'Annual Data'!$A218,'Quarterly Data'!Y:Y)</f>
        <v>0</v>
      </c>
      <c r="X218">
        <f>SUMIF('Quarterly Data'!$B:$B,'Annual Data'!$A218,'Quarterly Data'!Z:Z)</f>
        <v>0</v>
      </c>
      <c r="Y218">
        <f>SUMIF('Quarterly Data'!$B:$B,'Annual Data'!$A218,'Quarterly Data'!AA:AA)</f>
        <v>0</v>
      </c>
      <c r="Z218" t="e">
        <f>AVERAGEIF('Quarterly Data'!$B:$B,'Annual Data'!$A218,'Quarterly Data'!AB:AB)</f>
        <v>#DIV/0!</v>
      </c>
      <c r="AA218" t="e">
        <f>AVERAGEIF('Quarterly Data'!$B:$B,'Annual Data'!$A218,'Quarterly Data'!AC:AC)</f>
        <v>#DIV/0!</v>
      </c>
      <c r="AB218" t="e">
        <f>AVERAGEIF('Quarterly Data'!$B:$B,'Annual Data'!$A218,'Quarterly Data'!AD:AD)</f>
        <v>#DIV/0!</v>
      </c>
      <c r="AC218" t="e">
        <f>AVERAGEIF('Quarterly Data'!$B:$B,'Annual Data'!$A218,'Quarterly Data'!AE:AE)</f>
        <v>#DIV/0!</v>
      </c>
      <c r="AD218" t="e">
        <f>AVERAGEIF('Quarterly Data'!$B:$B,'Annual Data'!$A218,'Quarterly Data'!AF:AF)</f>
        <v>#DIV/0!</v>
      </c>
      <c r="AE218">
        <f>SUMIF('Quarterly Data'!$B:$B,'Annual Data'!$A218,'Quarterly Data'!AG:AG)</f>
        <v>0</v>
      </c>
    </row>
    <row r="219" spans="1:31" x14ac:dyDescent="0.25">
      <c r="A219">
        <v>2185</v>
      </c>
      <c r="B219">
        <f>SUMIF('Quarterly Data'!$B:$B,'Annual Data'!$A219,'Quarterly Data'!D:D)</f>
        <v>0</v>
      </c>
      <c r="C219" t="e">
        <f>AVERAGEIF('Quarterly Data'!$B:$B,'Annual Data'!$A219,'Quarterly Data'!E:E)</f>
        <v>#DIV/0!</v>
      </c>
      <c r="D219">
        <f>SUMIF('Quarterly Data'!$B:$B,'Annual Data'!$A219,'Quarterly Data'!F:F)</f>
        <v>0</v>
      </c>
      <c r="E219">
        <f>SUMIF('Quarterly Data'!$B:$B,'Annual Data'!$A219,'Quarterly Data'!G:G)</f>
        <v>0</v>
      </c>
      <c r="F219">
        <f>SUMIF('Quarterly Data'!$B:$B,'Annual Data'!$A219,'Quarterly Data'!H:H)</f>
        <v>0</v>
      </c>
      <c r="G219">
        <f>SUMIF('Quarterly Data'!$B:$B,'Annual Data'!$A219,'Quarterly Data'!I:I)</f>
        <v>0</v>
      </c>
      <c r="H219">
        <f>SUMIF('Quarterly Data'!$B:$B,'Annual Data'!$A219,'Quarterly Data'!J:J)</f>
        <v>0</v>
      </c>
      <c r="I219">
        <f>SUMIF('Quarterly Data'!$B:$B,'Annual Data'!$A219,'Quarterly Data'!K:K)</f>
        <v>0</v>
      </c>
      <c r="J219">
        <f>SUMIF('Quarterly Data'!$B:$B,'Annual Data'!$A219,'Quarterly Data'!L:L)</f>
        <v>0</v>
      </c>
      <c r="K219" t="e">
        <f>AVERAGEIF('Quarterly Data'!$B:$B,'Annual Data'!$A219,'Quarterly Data'!M:M)</f>
        <v>#DIV/0!</v>
      </c>
      <c r="L219" t="e">
        <f>AVERAGEIF('Quarterly Data'!$B:$B,'Annual Data'!$A219,'Quarterly Data'!N:N)</f>
        <v>#DIV/0!</v>
      </c>
      <c r="M219" t="e">
        <f>AVERAGEIF('Quarterly Data'!$B:$B,'Annual Data'!$A219,'Quarterly Data'!O:O)</f>
        <v>#DIV/0!</v>
      </c>
      <c r="N219" t="e">
        <f>AVERAGEIF('Quarterly Data'!$B:$B,'Annual Data'!$A219,'Quarterly Data'!P:P)</f>
        <v>#DIV/0!</v>
      </c>
      <c r="O219" t="e">
        <f>AVERAGEIF('Quarterly Data'!$B:$B,'Annual Data'!$A219,'Quarterly Data'!Q:Q)</f>
        <v>#DIV/0!</v>
      </c>
      <c r="P219">
        <f>SUMIF('Quarterly Data'!$B:$B,'Annual Data'!$A219,'Quarterly Data'!R:R)</f>
        <v>0</v>
      </c>
      <c r="Q219">
        <f>SUMIF('Quarterly Data'!$B:$B,'Annual Data'!$A219,'Quarterly Data'!S:S)</f>
        <v>0</v>
      </c>
      <c r="R219" t="e">
        <f>AVERAGEIF('Quarterly Data'!$B:$B,'Annual Data'!$A219,'Quarterly Data'!T:T)</f>
        <v>#DIV/0!</v>
      </c>
      <c r="S219">
        <f>SUMIF('Quarterly Data'!$B:$B,'Annual Data'!$A219,'Quarterly Data'!U:U)</f>
        <v>0</v>
      </c>
      <c r="T219">
        <f>SUMIF('Quarterly Data'!$B:$B,'Annual Data'!$A219,'Quarterly Data'!V:V)</f>
        <v>0</v>
      </c>
      <c r="U219">
        <f>SUMIF('Quarterly Data'!$B:$B,'Annual Data'!$A219,'Quarterly Data'!W:W)</f>
        <v>0</v>
      </c>
      <c r="V219">
        <f>SUMIF('Quarterly Data'!$B:$B,'Annual Data'!$A219,'Quarterly Data'!X:X)</f>
        <v>0</v>
      </c>
      <c r="W219">
        <f>SUMIF('Quarterly Data'!$B:$B,'Annual Data'!$A219,'Quarterly Data'!Y:Y)</f>
        <v>0</v>
      </c>
      <c r="X219">
        <f>SUMIF('Quarterly Data'!$B:$B,'Annual Data'!$A219,'Quarterly Data'!Z:Z)</f>
        <v>0</v>
      </c>
      <c r="Y219">
        <f>SUMIF('Quarterly Data'!$B:$B,'Annual Data'!$A219,'Quarterly Data'!AA:AA)</f>
        <v>0</v>
      </c>
      <c r="Z219" t="e">
        <f>AVERAGEIF('Quarterly Data'!$B:$B,'Annual Data'!$A219,'Quarterly Data'!AB:AB)</f>
        <v>#DIV/0!</v>
      </c>
      <c r="AA219" t="e">
        <f>AVERAGEIF('Quarterly Data'!$B:$B,'Annual Data'!$A219,'Quarterly Data'!AC:AC)</f>
        <v>#DIV/0!</v>
      </c>
      <c r="AB219" t="e">
        <f>AVERAGEIF('Quarterly Data'!$B:$B,'Annual Data'!$A219,'Quarterly Data'!AD:AD)</f>
        <v>#DIV/0!</v>
      </c>
      <c r="AC219" t="e">
        <f>AVERAGEIF('Quarterly Data'!$B:$B,'Annual Data'!$A219,'Quarterly Data'!AE:AE)</f>
        <v>#DIV/0!</v>
      </c>
      <c r="AD219" t="e">
        <f>AVERAGEIF('Quarterly Data'!$B:$B,'Annual Data'!$A219,'Quarterly Data'!AF:AF)</f>
        <v>#DIV/0!</v>
      </c>
      <c r="AE219">
        <f>SUMIF('Quarterly Data'!$B:$B,'Annual Data'!$A219,'Quarterly Data'!AG:AG)</f>
        <v>0</v>
      </c>
    </row>
    <row r="220" spans="1:31" x14ac:dyDescent="0.25">
      <c r="A220">
        <v>2186</v>
      </c>
      <c r="B220">
        <f>SUMIF('Quarterly Data'!$B:$B,'Annual Data'!$A220,'Quarterly Data'!D:D)</f>
        <v>0</v>
      </c>
      <c r="C220" t="e">
        <f>AVERAGEIF('Quarterly Data'!$B:$B,'Annual Data'!$A220,'Quarterly Data'!E:E)</f>
        <v>#DIV/0!</v>
      </c>
      <c r="D220">
        <f>SUMIF('Quarterly Data'!$B:$B,'Annual Data'!$A220,'Quarterly Data'!F:F)</f>
        <v>0</v>
      </c>
      <c r="E220">
        <f>SUMIF('Quarterly Data'!$B:$B,'Annual Data'!$A220,'Quarterly Data'!G:G)</f>
        <v>0</v>
      </c>
      <c r="F220">
        <f>SUMIF('Quarterly Data'!$B:$B,'Annual Data'!$A220,'Quarterly Data'!H:H)</f>
        <v>0</v>
      </c>
      <c r="G220">
        <f>SUMIF('Quarterly Data'!$B:$B,'Annual Data'!$A220,'Quarterly Data'!I:I)</f>
        <v>0</v>
      </c>
      <c r="H220">
        <f>SUMIF('Quarterly Data'!$B:$B,'Annual Data'!$A220,'Quarterly Data'!J:J)</f>
        <v>0</v>
      </c>
      <c r="I220">
        <f>SUMIF('Quarterly Data'!$B:$B,'Annual Data'!$A220,'Quarterly Data'!K:K)</f>
        <v>0</v>
      </c>
      <c r="J220">
        <f>SUMIF('Quarterly Data'!$B:$B,'Annual Data'!$A220,'Quarterly Data'!L:L)</f>
        <v>0</v>
      </c>
      <c r="K220" t="e">
        <f>AVERAGEIF('Quarterly Data'!$B:$B,'Annual Data'!$A220,'Quarterly Data'!M:M)</f>
        <v>#DIV/0!</v>
      </c>
      <c r="L220" t="e">
        <f>AVERAGEIF('Quarterly Data'!$B:$B,'Annual Data'!$A220,'Quarterly Data'!N:N)</f>
        <v>#DIV/0!</v>
      </c>
      <c r="M220" t="e">
        <f>AVERAGEIF('Quarterly Data'!$B:$B,'Annual Data'!$A220,'Quarterly Data'!O:O)</f>
        <v>#DIV/0!</v>
      </c>
      <c r="N220" t="e">
        <f>AVERAGEIF('Quarterly Data'!$B:$B,'Annual Data'!$A220,'Quarterly Data'!P:P)</f>
        <v>#DIV/0!</v>
      </c>
      <c r="O220" t="e">
        <f>AVERAGEIF('Quarterly Data'!$B:$B,'Annual Data'!$A220,'Quarterly Data'!Q:Q)</f>
        <v>#DIV/0!</v>
      </c>
      <c r="P220">
        <f>SUMIF('Quarterly Data'!$B:$B,'Annual Data'!$A220,'Quarterly Data'!R:R)</f>
        <v>0</v>
      </c>
      <c r="Q220">
        <f>SUMIF('Quarterly Data'!$B:$B,'Annual Data'!$A220,'Quarterly Data'!S:S)</f>
        <v>0</v>
      </c>
      <c r="R220" t="e">
        <f>AVERAGEIF('Quarterly Data'!$B:$B,'Annual Data'!$A220,'Quarterly Data'!T:T)</f>
        <v>#DIV/0!</v>
      </c>
      <c r="S220">
        <f>SUMIF('Quarterly Data'!$B:$B,'Annual Data'!$A220,'Quarterly Data'!U:U)</f>
        <v>0</v>
      </c>
      <c r="T220">
        <f>SUMIF('Quarterly Data'!$B:$B,'Annual Data'!$A220,'Quarterly Data'!V:V)</f>
        <v>0</v>
      </c>
      <c r="U220">
        <f>SUMIF('Quarterly Data'!$B:$B,'Annual Data'!$A220,'Quarterly Data'!W:W)</f>
        <v>0</v>
      </c>
      <c r="V220">
        <f>SUMIF('Quarterly Data'!$B:$B,'Annual Data'!$A220,'Quarterly Data'!X:X)</f>
        <v>0</v>
      </c>
      <c r="W220">
        <f>SUMIF('Quarterly Data'!$B:$B,'Annual Data'!$A220,'Quarterly Data'!Y:Y)</f>
        <v>0</v>
      </c>
      <c r="X220">
        <f>SUMIF('Quarterly Data'!$B:$B,'Annual Data'!$A220,'Quarterly Data'!Z:Z)</f>
        <v>0</v>
      </c>
      <c r="Y220">
        <f>SUMIF('Quarterly Data'!$B:$B,'Annual Data'!$A220,'Quarterly Data'!AA:AA)</f>
        <v>0</v>
      </c>
      <c r="Z220" t="e">
        <f>AVERAGEIF('Quarterly Data'!$B:$B,'Annual Data'!$A220,'Quarterly Data'!AB:AB)</f>
        <v>#DIV/0!</v>
      </c>
      <c r="AA220" t="e">
        <f>AVERAGEIF('Quarterly Data'!$B:$B,'Annual Data'!$A220,'Quarterly Data'!AC:AC)</f>
        <v>#DIV/0!</v>
      </c>
      <c r="AB220" t="e">
        <f>AVERAGEIF('Quarterly Data'!$B:$B,'Annual Data'!$A220,'Quarterly Data'!AD:AD)</f>
        <v>#DIV/0!</v>
      </c>
      <c r="AC220" t="e">
        <f>AVERAGEIF('Quarterly Data'!$B:$B,'Annual Data'!$A220,'Quarterly Data'!AE:AE)</f>
        <v>#DIV/0!</v>
      </c>
      <c r="AD220" t="e">
        <f>AVERAGEIF('Quarterly Data'!$B:$B,'Annual Data'!$A220,'Quarterly Data'!AF:AF)</f>
        <v>#DIV/0!</v>
      </c>
      <c r="AE220">
        <f>SUMIF('Quarterly Data'!$B:$B,'Annual Data'!$A220,'Quarterly Data'!AG:AG)</f>
        <v>0</v>
      </c>
    </row>
    <row r="221" spans="1:31" x14ac:dyDescent="0.25">
      <c r="A221">
        <v>2187</v>
      </c>
      <c r="B221">
        <f>SUMIF('Quarterly Data'!$B:$B,'Annual Data'!$A221,'Quarterly Data'!D:D)</f>
        <v>0</v>
      </c>
      <c r="C221" t="e">
        <f>AVERAGEIF('Quarterly Data'!$B:$B,'Annual Data'!$A221,'Quarterly Data'!E:E)</f>
        <v>#DIV/0!</v>
      </c>
      <c r="D221">
        <f>SUMIF('Quarterly Data'!$B:$B,'Annual Data'!$A221,'Quarterly Data'!F:F)</f>
        <v>0</v>
      </c>
      <c r="E221">
        <f>SUMIF('Quarterly Data'!$B:$B,'Annual Data'!$A221,'Quarterly Data'!G:G)</f>
        <v>0</v>
      </c>
      <c r="F221">
        <f>SUMIF('Quarterly Data'!$B:$B,'Annual Data'!$A221,'Quarterly Data'!H:H)</f>
        <v>0</v>
      </c>
      <c r="G221">
        <f>SUMIF('Quarterly Data'!$B:$B,'Annual Data'!$A221,'Quarterly Data'!I:I)</f>
        <v>0</v>
      </c>
      <c r="H221">
        <f>SUMIF('Quarterly Data'!$B:$B,'Annual Data'!$A221,'Quarterly Data'!J:J)</f>
        <v>0</v>
      </c>
      <c r="I221">
        <f>SUMIF('Quarterly Data'!$B:$B,'Annual Data'!$A221,'Quarterly Data'!K:K)</f>
        <v>0</v>
      </c>
      <c r="J221">
        <f>SUMIF('Quarterly Data'!$B:$B,'Annual Data'!$A221,'Quarterly Data'!L:L)</f>
        <v>0</v>
      </c>
      <c r="K221" t="e">
        <f>AVERAGEIF('Quarterly Data'!$B:$B,'Annual Data'!$A221,'Quarterly Data'!M:M)</f>
        <v>#DIV/0!</v>
      </c>
      <c r="L221" t="e">
        <f>AVERAGEIF('Quarterly Data'!$B:$B,'Annual Data'!$A221,'Quarterly Data'!N:N)</f>
        <v>#DIV/0!</v>
      </c>
      <c r="M221" t="e">
        <f>AVERAGEIF('Quarterly Data'!$B:$B,'Annual Data'!$A221,'Quarterly Data'!O:O)</f>
        <v>#DIV/0!</v>
      </c>
      <c r="N221" t="e">
        <f>AVERAGEIF('Quarterly Data'!$B:$B,'Annual Data'!$A221,'Quarterly Data'!P:P)</f>
        <v>#DIV/0!</v>
      </c>
      <c r="O221" t="e">
        <f>AVERAGEIF('Quarterly Data'!$B:$B,'Annual Data'!$A221,'Quarterly Data'!Q:Q)</f>
        <v>#DIV/0!</v>
      </c>
      <c r="P221">
        <f>SUMIF('Quarterly Data'!$B:$B,'Annual Data'!$A221,'Quarterly Data'!R:R)</f>
        <v>0</v>
      </c>
      <c r="Q221">
        <f>SUMIF('Quarterly Data'!$B:$B,'Annual Data'!$A221,'Quarterly Data'!S:S)</f>
        <v>0</v>
      </c>
      <c r="R221" t="e">
        <f>AVERAGEIF('Quarterly Data'!$B:$B,'Annual Data'!$A221,'Quarterly Data'!T:T)</f>
        <v>#DIV/0!</v>
      </c>
      <c r="S221">
        <f>SUMIF('Quarterly Data'!$B:$B,'Annual Data'!$A221,'Quarterly Data'!U:U)</f>
        <v>0</v>
      </c>
      <c r="T221">
        <f>SUMIF('Quarterly Data'!$B:$B,'Annual Data'!$A221,'Quarterly Data'!V:V)</f>
        <v>0</v>
      </c>
      <c r="U221">
        <f>SUMIF('Quarterly Data'!$B:$B,'Annual Data'!$A221,'Quarterly Data'!W:W)</f>
        <v>0</v>
      </c>
      <c r="V221">
        <f>SUMIF('Quarterly Data'!$B:$B,'Annual Data'!$A221,'Quarterly Data'!X:X)</f>
        <v>0</v>
      </c>
      <c r="W221">
        <f>SUMIF('Quarterly Data'!$B:$B,'Annual Data'!$A221,'Quarterly Data'!Y:Y)</f>
        <v>0</v>
      </c>
      <c r="X221">
        <f>SUMIF('Quarterly Data'!$B:$B,'Annual Data'!$A221,'Quarterly Data'!Z:Z)</f>
        <v>0</v>
      </c>
      <c r="Y221">
        <f>SUMIF('Quarterly Data'!$B:$B,'Annual Data'!$A221,'Quarterly Data'!AA:AA)</f>
        <v>0</v>
      </c>
      <c r="Z221" t="e">
        <f>AVERAGEIF('Quarterly Data'!$B:$B,'Annual Data'!$A221,'Quarterly Data'!AB:AB)</f>
        <v>#DIV/0!</v>
      </c>
      <c r="AA221" t="e">
        <f>AVERAGEIF('Quarterly Data'!$B:$B,'Annual Data'!$A221,'Quarterly Data'!AC:AC)</f>
        <v>#DIV/0!</v>
      </c>
      <c r="AB221" t="e">
        <f>AVERAGEIF('Quarterly Data'!$B:$B,'Annual Data'!$A221,'Quarterly Data'!AD:AD)</f>
        <v>#DIV/0!</v>
      </c>
      <c r="AC221" t="e">
        <f>AVERAGEIF('Quarterly Data'!$B:$B,'Annual Data'!$A221,'Quarterly Data'!AE:AE)</f>
        <v>#DIV/0!</v>
      </c>
      <c r="AD221" t="e">
        <f>AVERAGEIF('Quarterly Data'!$B:$B,'Annual Data'!$A221,'Quarterly Data'!AF:AF)</f>
        <v>#DIV/0!</v>
      </c>
      <c r="AE221">
        <f>SUMIF('Quarterly Data'!$B:$B,'Annual Data'!$A221,'Quarterly Data'!AG:AG)</f>
        <v>0</v>
      </c>
    </row>
    <row r="222" spans="1:31" x14ac:dyDescent="0.25">
      <c r="A222">
        <v>2188</v>
      </c>
      <c r="B222">
        <f>SUMIF('Quarterly Data'!$B:$B,'Annual Data'!$A222,'Quarterly Data'!D:D)</f>
        <v>0</v>
      </c>
      <c r="C222" t="e">
        <f>AVERAGEIF('Quarterly Data'!$B:$B,'Annual Data'!$A222,'Quarterly Data'!E:E)</f>
        <v>#DIV/0!</v>
      </c>
      <c r="D222">
        <f>SUMIF('Quarterly Data'!$B:$B,'Annual Data'!$A222,'Quarterly Data'!F:F)</f>
        <v>0</v>
      </c>
      <c r="E222">
        <f>SUMIF('Quarterly Data'!$B:$B,'Annual Data'!$A222,'Quarterly Data'!G:G)</f>
        <v>0</v>
      </c>
      <c r="F222">
        <f>SUMIF('Quarterly Data'!$B:$B,'Annual Data'!$A222,'Quarterly Data'!H:H)</f>
        <v>0</v>
      </c>
      <c r="G222">
        <f>SUMIF('Quarterly Data'!$B:$B,'Annual Data'!$A222,'Quarterly Data'!I:I)</f>
        <v>0</v>
      </c>
      <c r="H222">
        <f>SUMIF('Quarterly Data'!$B:$B,'Annual Data'!$A222,'Quarterly Data'!J:J)</f>
        <v>0</v>
      </c>
      <c r="I222">
        <f>SUMIF('Quarterly Data'!$B:$B,'Annual Data'!$A222,'Quarterly Data'!K:K)</f>
        <v>0</v>
      </c>
      <c r="J222">
        <f>SUMIF('Quarterly Data'!$B:$B,'Annual Data'!$A222,'Quarterly Data'!L:L)</f>
        <v>0</v>
      </c>
      <c r="K222" t="e">
        <f>AVERAGEIF('Quarterly Data'!$B:$B,'Annual Data'!$A222,'Quarterly Data'!M:M)</f>
        <v>#DIV/0!</v>
      </c>
      <c r="L222" t="e">
        <f>AVERAGEIF('Quarterly Data'!$B:$B,'Annual Data'!$A222,'Quarterly Data'!N:N)</f>
        <v>#DIV/0!</v>
      </c>
      <c r="M222" t="e">
        <f>AVERAGEIF('Quarterly Data'!$B:$B,'Annual Data'!$A222,'Quarterly Data'!O:O)</f>
        <v>#DIV/0!</v>
      </c>
      <c r="N222" t="e">
        <f>AVERAGEIF('Quarterly Data'!$B:$B,'Annual Data'!$A222,'Quarterly Data'!P:P)</f>
        <v>#DIV/0!</v>
      </c>
      <c r="O222" t="e">
        <f>AVERAGEIF('Quarterly Data'!$B:$B,'Annual Data'!$A222,'Quarterly Data'!Q:Q)</f>
        <v>#DIV/0!</v>
      </c>
      <c r="P222">
        <f>SUMIF('Quarterly Data'!$B:$B,'Annual Data'!$A222,'Quarterly Data'!R:R)</f>
        <v>0</v>
      </c>
      <c r="Q222">
        <f>SUMIF('Quarterly Data'!$B:$B,'Annual Data'!$A222,'Quarterly Data'!S:S)</f>
        <v>0</v>
      </c>
      <c r="R222" t="e">
        <f>AVERAGEIF('Quarterly Data'!$B:$B,'Annual Data'!$A222,'Quarterly Data'!T:T)</f>
        <v>#DIV/0!</v>
      </c>
      <c r="S222">
        <f>SUMIF('Quarterly Data'!$B:$B,'Annual Data'!$A222,'Quarterly Data'!U:U)</f>
        <v>0</v>
      </c>
      <c r="T222">
        <f>SUMIF('Quarterly Data'!$B:$B,'Annual Data'!$A222,'Quarterly Data'!V:V)</f>
        <v>0</v>
      </c>
      <c r="U222">
        <f>SUMIF('Quarterly Data'!$B:$B,'Annual Data'!$A222,'Quarterly Data'!W:W)</f>
        <v>0</v>
      </c>
      <c r="V222">
        <f>SUMIF('Quarterly Data'!$B:$B,'Annual Data'!$A222,'Quarterly Data'!X:X)</f>
        <v>0</v>
      </c>
      <c r="W222">
        <f>SUMIF('Quarterly Data'!$B:$B,'Annual Data'!$A222,'Quarterly Data'!Y:Y)</f>
        <v>0</v>
      </c>
      <c r="X222">
        <f>SUMIF('Quarterly Data'!$B:$B,'Annual Data'!$A222,'Quarterly Data'!Z:Z)</f>
        <v>0</v>
      </c>
      <c r="Y222">
        <f>SUMIF('Quarterly Data'!$B:$B,'Annual Data'!$A222,'Quarterly Data'!AA:AA)</f>
        <v>0</v>
      </c>
      <c r="Z222" t="e">
        <f>AVERAGEIF('Quarterly Data'!$B:$B,'Annual Data'!$A222,'Quarterly Data'!AB:AB)</f>
        <v>#DIV/0!</v>
      </c>
      <c r="AA222" t="e">
        <f>AVERAGEIF('Quarterly Data'!$B:$B,'Annual Data'!$A222,'Quarterly Data'!AC:AC)</f>
        <v>#DIV/0!</v>
      </c>
      <c r="AB222" t="e">
        <f>AVERAGEIF('Quarterly Data'!$B:$B,'Annual Data'!$A222,'Quarterly Data'!AD:AD)</f>
        <v>#DIV/0!</v>
      </c>
      <c r="AC222" t="e">
        <f>AVERAGEIF('Quarterly Data'!$B:$B,'Annual Data'!$A222,'Quarterly Data'!AE:AE)</f>
        <v>#DIV/0!</v>
      </c>
      <c r="AD222" t="e">
        <f>AVERAGEIF('Quarterly Data'!$B:$B,'Annual Data'!$A222,'Quarterly Data'!AF:AF)</f>
        <v>#DIV/0!</v>
      </c>
      <c r="AE222">
        <f>SUMIF('Quarterly Data'!$B:$B,'Annual Data'!$A222,'Quarterly Data'!AG:AG)</f>
        <v>0</v>
      </c>
    </row>
    <row r="223" spans="1:31" x14ac:dyDescent="0.25">
      <c r="A223">
        <v>2189</v>
      </c>
      <c r="B223">
        <f>SUMIF('Quarterly Data'!$B:$B,'Annual Data'!$A223,'Quarterly Data'!D:D)</f>
        <v>0</v>
      </c>
      <c r="C223" t="e">
        <f>AVERAGEIF('Quarterly Data'!$B:$B,'Annual Data'!$A223,'Quarterly Data'!E:E)</f>
        <v>#DIV/0!</v>
      </c>
      <c r="D223">
        <f>SUMIF('Quarterly Data'!$B:$B,'Annual Data'!$A223,'Quarterly Data'!F:F)</f>
        <v>0</v>
      </c>
      <c r="E223">
        <f>SUMIF('Quarterly Data'!$B:$B,'Annual Data'!$A223,'Quarterly Data'!G:G)</f>
        <v>0</v>
      </c>
      <c r="F223">
        <f>SUMIF('Quarterly Data'!$B:$B,'Annual Data'!$A223,'Quarterly Data'!H:H)</f>
        <v>0</v>
      </c>
      <c r="G223">
        <f>SUMIF('Quarterly Data'!$B:$B,'Annual Data'!$A223,'Quarterly Data'!I:I)</f>
        <v>0</v>
      </c>
      <c r="H223">
        <f>SUMIF('Quarterly Data'!$B:$B,'Annual Data'!$A223,'Quarterly Data'!J:J)</f>
        <v>0</v>
      </c>
      <c r="I223">
        <f>SUMIF('Quarterly Data'!$B:$B,'Annual Data'!$A223,'Quarterly Data'!K:K)</f>
        <v>0</v>
      </c>
      <c r="J223">
        <f>SUMIF('Quarterly Data'!$B:$B,'Annual Data'!$A223,'Quarterly Data'!L:L)</f>
        <v>0</v>
      </c>
      <c r="K223" t="e">
        <f>AVERAGEIF('Quarterly Data'!$B:$B,'Annual Data'!$A223,'Quarterly Data'!M:M)</f>
        <v>#DIV/0!</v>
      </c>
      <c r="L223" t="e">
        <f>AVERAGEIF('Quarterly Data'!$B:$B,'Annual Data'!$A223,'Quarterly Data'!N:N)</f>
        <v>#DIV/0!</v>
      </c>
      <c r="M223" t="e">
        <f>AVERAGEIF('Quarterly Data'!$B:$B,'Annual Data'!$A223,'Quarterly Data'!O:O)</f>
        <v>#DIV/0!</v>
      </c>
      <c r="N223" t="e">
        <f>AVERAGEIF('Quarterly Data'!$B:$B,'Annual Data'!$A223,'Quarterly Data'!P:P)</f>
        <v>#DIV/0!</v>
      </c>
      <c r="O223" t="e">
        <f>AVERAGEIF('Quarterly Data'!$B:$B,'Annual Data'!$A223,'Quarterly Data'!Q:Q)</f>
        <v>#DIV/0!</v>
      </c>
      <c r="P223">
        <f>SUMIF('Quarterly Data'!$B:$B,'Annual Data'!$A223,'Quarterly Data'!R:R)</f>
        <v>0</v>
      </c>
      <c r="Q223">
        <f>SUMIF('Quarterly Data'!$B:$B,'Annual Data'!$A223,'Quarterly Data'!S:S)</f>
        <v>0</v>
      </c>
      <c r="R223" t="e">
        <f>AVERAGEIF('Quarterly Data'!$B:$B,'Annual Data'!$A223,'Quarterly Data'!T:T)</f>
        <v>#DIV/0!</v>
      </c>
      <c r="S223">
        <f>SUMIF('Quarterly Data'!$B:$B,'Annual Data'!$A223,'Quarterly Data'!U:U)</f>
        <v>0</v>
      </c>
      <c r="T223">
        <f>SUMIF('Quarterly Data'!$B:$B,'Annual Data'!$A223,'Quarterly Data'!V:V)</f>
        <v>0</v>
      </c>
      <c r="U223">
        <f>SUMIF('Quarterly Data'!$B:$B,'Annual Data'!$A223,'Quarterly Data'!W:W)</f>
        <v>0</v>
      </c>
      <c r="V223">
        <f>SUMIF('Quarterly Data'!$B:$B,'Annual Data'!$A223,'Quarterly Data'!X:X)</f>
        <v>0</v>
      </c>
      <c r="W223">
        <f>SUMIF('Quarterly Data'!$B:$B,'Annual Data'!$A223,'Quarterly Data'!Y:Y)</f>
        <v>0</v>
      </c>
      <c r="X223">
        <f>SUMIF('Quarterly Data'!$B:$B,'Annual Data'!$A223,'Quarterly Data'!Z:Z)</f>
        <v>0</v>
      </c>
      <c r="Y223">
        <f>SUMIF('Quarterly Data'!$B:$B,'Annual Data'!$A223,'Quarterly Data'!AA:AA)</f>
        <v>0</v>
      </c>
      <c r="Z223" t="e">
        <f>AVERAGEIF('Quarterly Data'!$B:$B,'Annual Data'!$A223,'Quarterly Data'!AB:AB)</f>
        <v>#DIV/0!</v>
      </c>
      <c r="AA223" t="e">
        <f>AVERAGEIF('Quarterly Data'!$B:$B,'Annual Data'!$A223,'Quarterly Data'!AC:AC)</f>
        <v>#DIV/0!</v>
      </c>
      <c r="AB223" t="e">
        <f>AVERAGEIF('Quarterly Data'!$B:$B,'Annual Data'!$A223,'Quarterly Data'!AD:AD)</f>
        <v>#DIV/0!</v>
      </c>
      <c r="AC223" t="e">
        <f>AVERAGEIF('Quarterly Data'!$B:$B,'Annual Data'!$A223,'Quarterly Data'!AE:AE)</f>
        <v>#DIV/0!</v>
      </c>
      <c r="AD223" t="e">
        <f>AVERAGEIF('Quarterly Data'!$B:$B,'Annual Data'!$A223,'Quarterly Data'!AF:AF)</f>
        <v>#DIV/0!</v>
      </c>
      <c r="AE223">
        <f>SUMIF('Quarterly Data'!$B:$B,'Annual Data'!$A223,'Quarterly Data'!AG:AG)</f>
        <v>0</v>
      </c>
    </row>
    <row r="224" spans="1:31" x14ac:dyDescent="0.25">
      <c r="A224">
        <v>2190</v>
      </c>
      <c r="B224">
        <f>SUMIF('Quarterly Data'!$B:$B,'Annual Data'!$A224,'Quarterly Data'!D:D)</f>
        <v>0</v>
      </c>
      <c r="C224" t="e">
        <f>AVERAGEIF('Quarterly Data'!$B:$B,'Annual Data'!$A224,'Quarterly Data'!E:E)</f>
        <v>#DIV/0!</v>
      </c>
      <c r="D224">
        <f>SUMIF('Quarterly Data'!$B:$B,'Annual Data'!$A224,'Quarterly Data'!F:F)</f>
        <v>0</v>
      </c>
      <c r="E224">
        <f>SUMIF('Quarterly Data'!$B:$B,'Annual Data'!$A224,'Quarterly Data'!G:G)</f>
        <v>0</v>
      </c>
      <c r="F224">
        <f>SUMIF('Quarterly Data'!$B:$B,'Annual Data'!$A224,'Quarterly Data'!H:H)</f>
        <v>0</v>
      </c>
      <c r="G224">
        <f>SUMIF('Quarterly Data'!$B:$B,'Annual Data'!$A224,'Quarterly Data'!I:I)</f>
        <v>0</v>
      </c>
      <c r="H224">
        <f>SUMIF('Quarterly Data'!$B:$B,'Annual Data'!$A224,'Quarterly Data'!J:J)</f>
        <v>0</v>
      </c>
      <c r="I224">
        <f>SUMIF('Quarterly Data'!$B:$B,'Annual Data'!$A224,'Quarterly Data'!K:K)</f>
        <v>0</v>
      </c>
      <c r="J224">
        <f>SUMIF('Quarterly Data'!$B:$B,'Annual Data'!$A224,'Quarterly Data'!L:L)</f>
        <v>0</v>
      </c>
      <c r="K224" t="e">
        <f>AVERAGEIF('Quarterly Data'!$B:$B,'Annual Data'!$A224,'Quarterly Data'!M:M)</f>
        <v>#DIV/0!</v>
      </c>
      <c r="L224" t="e">
        <f>AVERAGEIF('Quarterly Data'!$B:$B,'Annual Data'!$A224,'Quarterly Data'!N:N)</f>
        <v>#DIV/0!</v>
      </c>
      <c r="M224" t="e">
        <f>AVERAGEIF('Quarterly Data'!$B:$B,'Annual Data'!$A224,'Quarterly Data'!O:O)</f>
        <v>#DIV/0!</v>
      </c>
      <c r="N224" t="e">
        <f>AVERAGEIF('Quarterly Data'!$B:$B,'Annual Data'!$A224,'Quarterly Data'!P:P)</f>
        <v>#DIV/0!</v>
      </c>
      <c r="O224" t="e">
        <f>AVERAGEIF('Quarterly Data'!$B:$B,'Annual Data'!$A224,'Quarterly Data'!Q:Q)</f>
        <v>#DIV/0!</v>
      </c>
      <c r="P224">
        <f>SUMIF('Quarterly Data'!$B:$B,'Annual Data'!$A224,'Quarterly Data'!R:R)</f>
        <v>0</v>
      </c>
      <c r="Q224">
        <f>SUMIF('Quarterly Data'!$B:$B,'Annual Data'!$A224,'Quarterly Data'!S:S)</f>
        <v>0</v>
      </c>
      <c r="R224" t="e">
        <f>AVERAGEIF('Quarterly Data'!$B:$B,'Annual Data'!$A224,'Quarterly Data'!T:T)</f>
        <v>#DIV/0!</v>
      </c>
      <c r="S224">
        <f>SUMIF('Quarterly Data'!$B:$B,'Annual Data'!$A224,'Quarterly Data'!U:U)</f>
        <v>0</v>
      </c>
      <c r="T224">
        <f>SUMIF('Quarterly Data'!$B:$B,'Annual Data'!$A224,'Quarterly Data'!V:V)</f>
        <v>0</v>
      </c>
      <c r="U224">
        <f>SUMIF('Quarterly Data'!$B:$B,'Annual Data'!$A224,'Quarterly Data'!W:W)</f>
        <v>0</v>
      </c>
      <c r="V224">
        <f>SUMIF('Quarterly Data'!$B:$B,'Annual Data'!$A224,'Quarterly Data'!X:X)</f>
        <v>0</v>
      </c>
      <c r="W224">
        <f>SUMIF('Quarterly Data'!$B:$B,'Annual Data'!$A224,'Quarterly Data'!Y:Y)</f>
        <v>0</v>
      </c>
      <c r="X224">
        <f>SUMIF('Quarterly Data'!$B:$B,'Annual Data'!$A224,'Quarterly Data'!Z:Z)</f>
        <v>0</v>
      </c>
      <c r="Y224">
        <f>SUMIF('Quarterly Data'!$B:$B,'Annual Data'!$A224,'Quarterly Data'!AA:AA)</f>
        <v>0</v>
      </c>
      <c r="Z224" t="e">
        <f>AVERAGEIF('Quarterly Data'!$B:$B,'Annual Data'!$A224,'Quarterly Data'!AB:AB)</f>
        <v>#DIV/0!</v>
      </c>
      <c r="AA224" t="e">
        <f>AVERAGEIF('Quarterly Data'!$B:$B,'Annual Data'!$A224,'Quarterly Data'!AC:AC)</f>
        <v>#DIV/0!</v>
      </c>
      <c r="AB224" t="e">
        <f>AVERAGEIF('Quarterly Data'!$B:$B,'Annual Data'!$A224,'Quarterly Data'!AD:AD)</f>
        <v>#DIV/0!</v>
      </c>
      <c r="AC224" t="e">
        <f>AVERAGEIF('Quarterly Data'!$B:$B,'Annual Data'!$A224,'Quarterly Data'!AE:AE)</f>
        <v>#DIV/0!</v>
      </c>
      <c r="AD224" t="e">
        <f>AVERAGEIF('Quarterly Data'!$B:$B,'Annual Data'!$A224,'Quarterly Data'!AF:AF)</f>
        <v>#DIV/0!</v>
      </c>
      <c r="AE224">
        <f>SUMIF('Quarterly Data'!$B:$B,'Annual Data'!$A224,'Quarterly Data'!AG:AG)</f>
        <v>0</v>
      </c>
    </row>
    <row r="225" spans="1:31" x14ac:dyDescent="0.25">
      <c r="A225">
        <v>2191</v>
      </c>
      <c r="B225">
        <f>SUMIF('Quarterly Data'!$B:$B,'Annual Data'!$A225,'Quarterly Data'!D:D)</f>
        <v>0</v>
      </c>
      <c r="C225" t="e">
        <f>AVERAGEIF('Quarterly Data'!$B:$B,'Annual Data'!$A225,'Quarterly Data'!E:E)</f>
        <v>#DIV/0!</v>
      </c>
      <c r="D225">
        <f>SUMIF('Quarterly Data'!$B:$B,'Annual Data'!$A225,'Quarterly Data'!F:F)</f>
        <v>0</v>
      </c>
      <c r="E225">
        <f>SUMIF('Quarterly Data'!$B:$B,'Annual Data'!$A225,'Quarterly Data'!G:G)</f>
        <v>0</v>
      </c>
      <c r="F225">
        <f>SUMIF('Quarterly Data'!$B:$B,'Annual Data'!$A225,'Quarterly Data'!H:H)</f>
        <v>0</v>
      </c>
      <c r="G225">
        <f>SUMIF('Quarterly Data'!$B:$B,'Annual Data'!$A225,'Quarterly Data'!I:I)</f>
        <v>0</v>
      </c>
      <c r="H225">
        <f>SUMIF('Quarterly Data'!$B:$B,'Annual Data'!$A225,'Quarterly Data'!J:J)</f>
        <v>0</v>
      </c>
      <c r="I225">
        <f>SUMIF('Quarterly Data'!$B:$B,'Annual Data'!$A225,'Quarterly Data'!K:K)</f>
        <v>0</v>
      </c>
      <c r="J225">
        <f>SUMIF('Quarterly Data'!$B:$B,'Annual Data'!$A225,'Quarterly Data'!L:L)</f>
        <v>0</v>
      </c>
      <c r="K225" t="e">
        <f>AVERAGEIF('Quarterly Data'!$B:$B,'Annual Data'!$A225,'Quarterly Data'!M:M)</f>
        <v>#DIV/0!</v>
      </c>
      <c r="L225" t="e">
        <f>AVERAGEIF('Quarterly Data'!$B:$B,'Annual Data'!$A225,'Quarterly Data'!N:N)</f>
        <v>#DIV/0!</v>
      </c>
      <c r="M225" t="e">
        <f>AVERAGEIF('Quarterly Data'!$B:$B,'Annual Data'!$A225,'Quarterly Data'!O:O)</f>
        <v>#DIV/0!</v>
      </c>
      <c r="N225" t="e">
        <f>AVERAGEIF('Quarterly Data'!$B:$B,'Annual Data'!$A225,'Quarterly Data'!P:P)</f>
        <v>#DIV/0!</v>
      </c>
      <c r="O225" t="e">
        <f>AVERAGEIF('Quarterly Data'!$B:$B,'Annual Data'!$A225,'Quarterly Data'!Q:Q)</f>
        <v>#DIV/0!</v>
      </c>
      <c r="P225">
        <f>SUMIF('Quarterly Data'!$B:$B,'Annual Data'!$A225,'Quarterly Data'!R:R)</f>
        <v>0</v>
      </c>
      <c r="Q225">
        <f>SUMIF('Quarterly Data'!$B:$B,'Annual Data'!$A225,'Quarterly Data'!S:S)</f>
        <v>0</v>
      </c>
      <c r="R225" t="e">
        <f>AVERAGEIF('Quarterly Data'!$B:$B,'Annual Data'!$A225,'Quarterly Data'!T:T)</f>
        <v>#DIV/0!</v>
      </c>
      <c r="S225">
        <f>SUMIF('Quarterly Data'!$B:$B,'Annual Data'!$A225,'Quarterly Data'!U:U)</f>
        <v>0</v>
      </c>
      <c r="T225">
        <f>SUMIF('Quarterly Data'!$B:$B,'Annual Data'!$A225,'Quarterly Data'!V:V)</f>
        <v>0</v>
      </c>
      <c r="U225">
        <f>SUMIF('Quarterly Data'!$B:$B,'Annual Data'!$A225,'Quarterly Data'!W:W)</f>
        <v>0</v>
      </c>
      <c r="V225">
        <f>SUMIF('Quarterly Data'!$B:$B,'Annual Data'!$A225,'Quarterly Data'!X:X)</f>
        <v>0</v>
      </c>
      <c r="W225">
        <f>SUMIF('Quarterly Data'!$B:$B,'Annual Data'!$A225,'Quarterly Data'!Y:Y)</f>
        <v>0</v>
      </c>
      <c r="X225">
        <f>SUMIF('Quarterly Data'!$B:$B,'Annual Data'!$A225,'Quarterly Data'!Z:Z)</f>
        <v>0</v>
      </c>
      <c r="Y225">
        <f>SUMIF('Quarterly Data'!$B:$B,'Annual Data'!$A225,'Quarterly Data'!AA:AA)</f>
        <v>0</v>
      </c>
      <c r="Z225" t="e">
        <f>AVERAGEIF('Quarterly Data'!$B:$B,'Annual Data'!$A225,'Quarterly Data'!AB:AB)</f>
        <v>#DIV/0!</v>
      </c>
      <c r="AA225" t="e">
        <f>AVERAGEIF('Quarterly Data'!$B:$B,'Annual Data'!$A225,'Quarterly Data'!AC:AC)</f>
        <v>#DIV/0!</v>
      </c>
      <c r="AB225" t="e">
        <f>AVERAGEIF('Quarterly Data'!$B:$B,'Annual Data'!$A225,'Quarterly Data'!AD:AD)</f>
        <v>#DIV/0!</v>
      </c>
      <c r="AC225" t="e">
        <f>AVERAGEIF('Quarterly Data'!$B:$B,'Annual Data'!$A225,'Quarterly Data'!AE:AE)</f>
        <v>#DIV/0!</v>
      </c>
      <c r="AD225" t="e">
        <f>AVERAGEIF('Quarterly Data'!$B:$B,'Annual Data'!$A225,'Quarterly Data'!AF:AF)</f>
        <v>#DIV/0!</v>
      </c>
      <c r="AE225">
        <f>SUMIF('Quarterly Data'!$B:$B,'Annual Data'!$A225,'Quarterly Data'!AG:AG)</f>
        <v>0</v>
      </c>
    </row>
    <row r="226" spans="1:31" x14ac:dyDescent="0.25">
      <c r="A226">
        <v>2192</v>
      </c>
      <c r="B226">
        <f>SUMIF('Quarterly Data'!$B:$B,'Annual Data'!$A226,'Quarterly Data'!D:D)</f>
        <v>0</v>
      </c>
      <c r="C226" t="e">
        <f>AVERAGEIF('Quarterly Data'!$B:$B,'Annual Data'!$A226,'Quarterly Data'!E:E)</f>
        <v>#DIV/0!</v>
      </c>
      <c r="D226">
        <f>SUMIF('Quarterly Data'!$B:$B,'Annual Data'!$A226,'Quarterly Data'!F:F)</f>
        <v>0</v>
      </c>
      <c r="E226">
        <f>SUMIF('Quarterly Data'!$B:$B,'Annual Data'!$A226,'Quarterly Data'!G:G)</f>
        <v>0</v>
      </c>
      <c r="F226">
        <f>SUMIF('Quarterly Data'!$B:$B,'Annual Data'!$A226,'Quarterly Data'!H:H)</f>
        <v>0</v>
      </c>
      <c r="G226">
        <f>SUMIF('Quarterly Data'!$B:$B,'Annual Data'!$A226,'Quarterly Data'!I:I)</f>
        <v>0</v>
      </c>
      <c r="H226">
        <f>SUMIF('Quarterly Data'!$B:$B,'Annual Data'!$A226,'Quarterly Data'!J:J)</f>
        <v>0</v>
      </c>
      <c r="I226">
        <f>SUMIF('Quarterly Data'!$B:$B,'Annual Data'!$A226,'Quarterly Data'!K:K)</f>
        <v>0</v>
      </c>
      <c r="J226">
        <f>SUMIF('Quarterly Data'!$B:$B,'Annual Data'!$A226,'Quarterly Data'!L:L)</f>
        <v>0</v>
      </c>
      <c r="K226" t="e">
        <f>AVERAGEIF('Quarterly Data'!$B:$B,'Annual Data'!$A226,'Quarterly Data'!M:M)</f>
        <v>#DIV/0!</v>
      </c>
      <c r="L226" t="e">
        <f>AVERAGEIF('Quarterly Data'!$B:$B,'Annual Data'!$A226,'Quarterly Data'!N:N)</f>
        <v>#DIV/0!</v>
      </c>
      <c r="M226" t="e">
        <f>AVERAGEIF('Quarterly Data'!$B:$B,'Annual Data'!$A226,'Quarterly Data'!O:O)</f>
        <v>#DIV/0!</v>
      </c>
      <c r="N226" t="e">
        <f>AVERAGEIF('Quarterly Data'!$B:$B,'Annual Data'!$A226,'Quarterly Data'!P:P)</f>
        <v>#DIV/0!</v>
      </c>
      <c r="O226" t="e">
        <f>AVERAGEIF('Quarterly Data'!$B:$B,'Annual Data'!$A226,'Quarterly Data'!Q:Q)</f>
        <v>#DIV/0!</v>
      </c>
      <c r="P226">
        <f>SUMIF('Quarterly Data'!$B:$B,'Annual Data'!$A226,'Quarterly Data'!R:R)</f>
        <v>0</v>
      </c>
      <c r="Q226">
        <f>SUMIF('Quarterly Data'!$B:$B,'Annual Data'!$A226,'Quarterly Data'!S:S)</f>
        <v>0</v>
      </c>
      <c r="R226" t="e">
        <f>AVERAGEIF('Quarterly Data'!$B:$B,'Annual Data'!$A226,'Quarterly Data'!T:T)</f>
        <v>#DIV/0!</v>
      </c>
      <c r="S226">
        <f>SUMIF('Quarterly Data'!$B:$B,'Annual Data'!$A226,'Quarterly Data'!U:U)</f>
        <v>0</v>
      </c>
      <c r="T226">
        <f>SUMIF('Quarterly Data'!$B:$B,'Annual Data'!$A226,'Quarterly Data'!V:V)</f>
        <v>0</v>
      </c>
      <c r="U226">
        <f>SUMIF('Quarterly Data'!$B:$B,'Annual Data'!$A226,'Quarterly Data'!W:W)</f>
        <v>0</v>
      </c>
      <c r="V226">
        <f>SUMIF('Quarterly Data'!$B:$B,'Annual Data'!$A226,'Quarterly Data'!X:X)</f>
        <v>0</v>
      </c>
      <c r="W226">
        <f>SUMIF('Quarterly Data'!$B:$B,'Annual Data'!$A226,'Quarterly Data'!Y:Y)</f>
        <v>0</v>
      </c>
      <c r="X226">
        <f>SUMIF('Quarterly Data'!$B:$B,'Annual Data'!$A226,'Quarterly Data'!Z:Z)</f>
        <v>0</v>
      </c>
      <c r="Y226">
        <f>SUMIF('Quarterly Data'!$B:$B,'Annual Data'!$A226,'Quarterly Data'!AA:AA)</f>
        <v>0</v>
      </c>
      <c r="Z226" t="e">
        <f>AVERAGEIF('Quarterly Data'!$B:$B,'Annual Data'!$A226,'Quarterly Data'!AB:AB)</f>
        <v>#DIV/0!</v>
      </c>
      <c r="AA226" t="e">
        <f>AVERAGEIF('Quarterly Data'!$B:$B,'Annual Data'!$A226,'Quarterly Data'!AC:AC)</f>
        <v>#DIV/0!</v>
      </c>
      <c r="AB226" t="e">
        <f>AVERAGEIF('Quarterly Data'!$B:$B,'Annual Data'!$A226,'Quarterly Data'!AD:AD)</f>
        <v>#DIV/0!</v>
      </c>
      <c r="AC226" t="e">
        <f>AVERAGEIF('Quarterly Data'!$B:$B,'Annual Data'!$A226,'Quarterly Data'!AE:AE)</f>
        <v>#DIV/0!</v>
      </c>
      <c r="AD226" t="e">
        <f>AVERAGEIF('Quarterly Data'!$B:$B,'Annual Data'!$A226,'Quarterly Data'!AF:AF)</f>
        <v>#DIV/0!</v>
      </c>
      <c r="AE226">
        <f>SUMIF('Quarterly Data'!$B:$B,'Annual Data'!$A226,'Quarterly Data'!AG:AG)</f>
        <v>0</v>
      </c>
    </row>
    <row r="227" spans="1:31" x14ac:dyDescent="0.25">
      <c r="A227">
        <v>2193</v>
      </c>
      <c r="B227">
        <f>SUMIF('Quarterly Data'!$B:$B,'Annual Data'!$A227,'Quarterly Data'!D:D)</f>
        <v>0</v>
      </c>
      <c r="C227" t="e">
        <f>AVERAGEIF('Quarterly Data'!$B:$B,'Annual Data'!$A227,'Quarterly Data'!E:E)</f>
        <v>#DIV/0!</v>
      </c>
      <c r="D227">
        <f>SUMIF('Quarterly Data'!$B:$B,'Annual Data'!$A227,'Quarterly Data'!F:F)</f>
        <v>0</v>
      </c>
      <c r="E227">
        <f>SUMIF('Quarterly Data'!$B:$B,'Annual Data'!$A227,'Quarterly Data'!G:G)</f>
        <v>0</v>
      </c>
      <c r="F227">
        <f>SUMIF('Quarterly Data'!$B:$B,'Annual Data'!$A227,'Quarterly Data'!H:H)</f>
        <v>0</v>
      </c>
      <c r="G227">
        <f>SUMIF('Quarterly Data'!$B:$B,'Annual Data'!$A227,'Quarterly Data'!I:I)</f>
        <v>0</v>
      </c>
      <c r="H227">
        <f>SUMIF('Quarterly Data'!$B:$B,'Annual Data'!$A227,'Quarterly Data'!J:J)</f>
        <v>0</v>
      </c>
      <c r="I227">
        <f>SUMIF('Quarterly Data'!$B:$B,'Annual Data'!$A227,'Quarterly Data'!K:K)</f>
        <v>0</v>
      </c>
      <c r="J227">
        <f>SUMIF('Quarterly Data'!$B:$B,'Annual Data'!$A227,'Quarterly Data'!L:L)</f>
        <v>0</v>
      </c>
      <c r="K227" t="e">
        <f>AVERAGEIF('Quarterly Data'!$B:$B,'Annual Data'!$A227,'Quarterly Data'!M:M)</f>
        <v>#DIV/0!</v>
      </c>
      <c r="L227" t="e">
        <f>AVERAGEIF('Quarterly Data'!$B:$B,'Annual Data'!$A227,'Quarterly Data'!N:N)</f>
        <v>#DIV/0!</v>
      </c>
      <c r="M227" t="e">
        <f>AVERAGEIF('Quarterly Data'!$B:$B,'Annual Data'!$A227,'Quarterly Data'!O:O)</f>
        <v>#DIV/0!</v>
      </c>
      <c r="N227" t="e">
        <f>AVERAGEIF('Quarterly Data'!$B:$B,'Annual Data'!$A227,'Quarterly Data'!P:P)</f>
        <v>#DIV/0!</v>
      </c>
      <c r="O227" t="e">
        <f>AVERAGEIF('Quarterly Data'!$B:$B,'Annual Data'!$A227,'Quarterly Data'!Q:Q)</f>
        <v>#DIV/0!</v>
      </c>
      <c r="P227">
        <f>SUMIF('Quarterly Data'!$B:$B,'Annual Data'!$A227,'Quarterly Data'!R:R)</f>
        <v>0</v>
      </c>
      <c r="Q227">
        <f>SUMIF('Quarterly Data'!$B:$B,'Annual Data'!$A227,'Quarterly Data'!S:S)</f>
        <v>0</v>
      </c>
      <c r="R227" t="e">
        <f>AVERAGEIF('Quarterly Data'!$B:$B,'Annual Data'!$A227,'Quarterly Data'!T:T)</f>
        <v>#DIV/0!</v>
      </c>
      <c r="S227">
        <f>SUMIF('Quarterly Data'!$B:$B,'Annual Data'!$A227,'Quarterly Data'!U:U)</f>
        <v>0</v>
      </c>
      <c r="T227">
        <f>SUMIF('Quarterly Data'!$B:$B,'Annual Data'!$A227,'Quarterly Data'!V:V)</f>
        <v>0</v>
      </c>
      <c r="U227">
        <f>SUMIF('Quarterly Data'!$B:$B,'Annual Data'!$A227,'Quarterly Data'!W:W)</f>
        <v>0</v>
      </c>
      <c r="V227">
        <f>SUMIF('Quarterly Data'!$B:$B,'Annual Data'!$A227,'Quarterly Data'!X:X)</f>
        <v>0</v>
      </c>
      <c r="W227">
        <f>SUMIF('Quarterly Data'!$B:$B,'Annual Data'!$A227,'Quarterly Data'!Y:Y)</f>
        <v>0</v>
      </c>
      <c r="X227">
        <f>SUMIF('Quarterly Data'!$B:$B,'Annual Data'!$A227,'Quarterly Data'!Z:Z)</f>
        <v>0</v>
      </c>
      <c r="Y227">
        <f>SUMIF('Quarterly Data'!$B:$B,'Annual Data'!$A227,'Quarterly Data'!AA:AA)</f>
        <v>0</v>
      </c>
      <c r="Z227" t="e">
        <f>AVERAGEIF('Quarterly Data'!$B:$B,'Annual Data'!$A227,'Quarterly Data'!AB:AB)</f>
        <v>#DIV/0!</v>
      </c>
      <c r="AA227" t="e">
        <f>AVERAGEIF('Quarterly Data'!$B:$B,'Annual Data'!$A227,'Quarterly Data'!AC:AC)</f>
        <v>#DIV/0!</v>
      </c>
      <c r="AB227" t="e">
        <f>AVERAGEIF('Quarterly Data'!$B:$B,'Annual Data'!$A227,'Quarterly Data'!AD:AD)</f>
        <v>#DIV/0!</v>
      </c>
      <c r="AC227" t="e">
        <f>AVERAGEIF('Quarterly Data'!$B:$B,'Annual Data'!$A227,'Quarterly Data'!AE:AE)</f>
        <v>#DIV/0!</v>
      </c>
      <c r="AD227" t="e">
        <f>AVERAGEIF('Quarterly Data'!$B:$B,'Annual Data'!$A227,'Quarterly Data'!AF:AF)</f>
        <v>#DIV/0!</v>
      </c>
      <c r="AE227">
        <f>SUMIF('Quarterly Data'!$B:$B,'Annual Data'!$A227,'Quarterly Data'!AG:AG)</f>
        <v>0</v>
      </c>
    </row>
    <row r="228" spans="1:31" x14ac:dyDescent="0.25">
      <c r="A228">
        <v>2194</v>
      </c>
      <c r="B228">
        <f>SUMIF('Quarterly Data'!$B:$B,'Annual Data'!$A228,'Quarterly Data'!D:D)</f>
        <v>0</v>
      </c>
      <c r="C228" t="e">
        <f>AVERAGEIF('Quarterly Data'!$B:$B,'Annual Data'!$A228,'Quarterly Data'!E:E)</f>
        <v>#DIV/0!</v>
      </c>
      <c r="D228">
        <f>SUMIF('Quarterly Data'!$B:$B,'Annual Data'!$A228,'Quarterly Data'!F:F)</f>
        <v>0</v>
      </c>
      <c r="E228">
        <f>SUMIF('Quarterly Data'!$B:$B,'Annual Data'!$A228,'Quarterly Data'!G:G)</f>
        <v>0</v>
      </c>
      <c r="F228">
        <f>SUMIF('Quarterly Data'!$B:$B,'Annual Data'!$A228,'Quarterly Data'!H:H)</f>
        <v>0</v>
      </c>
      <c r="G228">
        <f>SUMIF('Quarterly Data'!$B:$B,'Annual Data'!$A228,'Quarterly Data'!I:I)</f>
        <v>0</v>
      </c>
      <c r="H228">
        <f>SUMIF('Quarterly Data'!$B:$B,'Annual Data'!$A228,'Quarterly Data'!J:J)</f>
        <v>0</v>
      </c>
      <c r="I228">
        <f>SUMIF('Quarterly Data'!$B:$B,'Annual Data'!$A228,'Quarterly Data'!K:K)</f>
        <v>0</v>
      </c>
      <c r="J228">
        <f>SUMIF('Quarterly Data'!$B:$B,'Annual Data'!$A228,'Quarterly Data'!L:L)</f>
        <v>0</v>
      </c>
      <c r="K228" t="e">
        <f>AVERAGEIF('Quarterly Data'!$B:$B,'Annual Data'!$A228,'Quarterly Data'!M:M)</f>
        <v>#DIV/0!</v>
      </c>
      <c r="L228" t="e">
        <f>AVERAGEIF('Quarterly Data'!$B:$B,'Annual Data'!$A228,'Quarterly Data'!N:N)</f>
        <v>#DIV/0!</v>
      </c>
      <c r="M228" t="e">
        <f>AVERAGEIF('Quarterly Data'!$B:$B,'Annual Data'!$A228,'Quarterly Data'!O:O)</f>
        <v>#DIV/0!</v>
      </c>
      <c r="N228" t="e">
        <f>AVERAGEIF('Quarterly Data'!$B:$B,'Annual Data'!$A228,'Quarterly Data'!P:P)</f>
        <v>#DIV/0!</v>
      </c>
      <c r="O228" t="e">
        <f>AVERAGEIF('Quarterly Data'!$B:$B,'Annual Data'!$A228,'Quarterly Data'!Q:Q)</f>
        <v>#DIV/0!</v>
      </c>
      <c r="P228">
        <f>SUMIF('Quarterly Data'!$B:$B,'Annual Data'!$A228,'Quarterly Data'!R:R)</f>
        <v>0</v>
      </c>
      <c r="Q228">
        <f>SUMIF('Quarterly Data'!$B:$B,'Annual Data'!$A228,'Quarterly Data'!S:S)</f>
        <v>0</v>
      </c>
      <c r="R228" t="e">
        <f>AVERAGEIF('Quarterly Data'!$B:$B,'Annual Data'!$A228,'Quarterly Data'!T:T)</f>
        <v>#DIV/0!</v>
      </c>
      <c r="S228">
        <f>SUMIF('Quarterly Data'!$B:$B,'Annual Data'!$A228,'Quarterly Data'!U:U)</f>
        <v>0</v>
      </c>
      <c r="T228">
        <f>SUMIF('Quarterly Data'!$B:$B,'Annual Data'!$A228,'Quarterly Data'!V:V)</f>
        <v>0</v>
      </c>
      <c r="U228">
        <f>SUMIF('Quarterly Data'!$B:$B,'Annual Data'!$A228,'Quarterly Data'!W:W)</f>
        <v>0</v>
      </c>
      <c r="V228">
        <f>SUMIF('Quarterly Data'!$B:$B,'Annual Data'!$A228,'Quarterly Data'!X:X)</f>
        <v>0</v>
      </c>
      <c r="W228">
        <f>SUMIF('Quarterly Data'!$B:$B,'Annual Data'!$A228,'Quarterly Data'!Y:Y)</f>
        <v>0</v>
      </c>
      <c r="X228">
        <f>SUMIF('Quarterly Data'!$B:$B,'Annual Data'!$A228,'Quarterly Data'!Z:Z)</f>
        <v>0</v>
      </c>
      <c r="Y228">
        <f>SUMIF('Quarterly Data'!$B:$B,'Annual Data'!$A228,'Quarterly Data'!AA:AA)</f>
        <v>0</v>
      </c>
      <c r="Z228" t="e">
        <f>AVERAGEIF('Quarterly Data'!$B:$B,'Annual Data'!$A228,'Quarterly Data'!AB:AB)</f>
        <v>#DIV/0!</v>
      </c>
      <c r="AA228" t="e">
        <f>AVERAGEIF('Quarterly Data'!$B:$B,'Annual Data'!$A228,'Quarterly Data'!AC:AC)</f>
        <v>#DIV/0!</v>
      </c>
      <c r="AB228" t="e">
        <f>AVERAGEIF('Quarterly Data'!$B:$B,'Annual Data'!$A228,'Quarterly Data'!AD:AD)</f>
        <v>#DIV/0!</v>
      </c>
      <c r="AC228" t="e">
        <f>AVERAGEIF('Quarterly Data'!$B:$B,'Annual Data'!$A228,'Quarterly Data'!AE:AE)</f>
        <v>#DIV/0!</v>
      </c>
      <c r="AD228" t="e">
        <f>AVERAGEIF('Quarterly Data'!$B:$B,'Annual Data'!$A228,'Quarterly Data'!AF:AF)</f>
        <v>#DIV/0!</v>
      </c>
      <c r="AE228">
        <f>SUMIF('Quarterly Data'!$B:$B,'Annual Data'!$A228,'Quarterly Data'!AG:AG)</f>
        <v>0</v>
      </c>
    </row>
    <row r="229" spans="1:31" x14ac:dyDescent="0.25">
      <c r="A229">
        <v>2195</v>
      </c>
      <c r="B229">
        <f>SUMIF('Quarterly Data'!$B:$B,'Annual Data'!$A229,'Quarterly Data'!D:D)</f>
        <v>0</v>
      </c>
      <c r="C229" t="e">
        <f>AVERAGEIF('Quarterly Data'!$B:$B,'Annual Data'!$A229,'Quarterly Data'!E:E)</f>
        <v>#DIV/0!</v>
      </c>
      <c r="D229">
        <f>SUMIF('Quarterly Data'!$B:$B,'Annual Data'!$A229,'Quarterly Data'!F:F)</f>
        <v>0</v>
      </c>
      <c r="E229">
        <f>SUMIF('Quarterly Data'!$B:$B,'Annual Data'!$A229,'Quarterly Data'!G:G)</f>
        <v>0</v>
      </c>
      <c r="F229">
        <f>SUMIF('Quarterly Data'!$B:$B,'Annual Data'!$A229,'Quarterly Data'!H:H)</f>
        <v>0</v>
      </c>
      <c r="G229">
        <f>SUMIF('Quarterly Data'!$B:$B,'Annual Data'!$A229,'Quarterly Data'!I:I)</f>
        <v>0</v>
      </c>
      <c r="H229">
        <f>SUMIF('Quarterly Data'!$B:$B,'Annual Data'!$A229,'Quarterly Data'!J:J)</f>
        <v>0</v>
      </c>
      <c r="I229">
        <f>SUMIF('Quarterly Data'!$B:$B,'Annual Data'!$A229,'Quarterly Data'!K:K)</f>
        <v>0</v>
      </c>
      <c r="J229">
        <f>SUMIF('Quarterly Data'!$B:$B,'Annual Data'!$A229,'Quarterly Data'!L:L)</f>
        <v>0</v>
      </c>
      <c r="K229" t="e">
        <f>AVERAGEIF('Quarterly Data'!$B:$B,'Annual Data'!$A229,'Quarterly Data'!M:M)</f>
        <v>#DIV/0!</v>
      </c>
      <c r="L229" t="e">
        <f>AVERAGEIF('Quarterly Data'!$B:$B,'Annual Data'!$A229,'Quarterly Data'!N:N)</f>
        <v>#DIV/0!</v>
      </c>
      <c r="M229" t="e">
        <f>AVERAGEIF('Quarterly Data'!$B:$B,'Annual Data'!$A229,'Quarterly Data'!O:O)</f>
        <v>#DIV/0!</v>
      </c>
      <c r="N229" t="e">
        <f>AVERAGEIF('Quarterly Data'!$B:$B,'Annual Data'!$A229,'Quarterly Data'!P:P)</f>
        <v>#DIV/0!</v>
      </c>
      <c r="O229" t="e">
        <f>AVERAGEIF('Quarterly Data'!$B:$B,'Annual Data'!$A229,'Quarterly Data'!Q:Q)</f>
        <v>#DIV/0!</v>
      </c>
      <c r="P229">
        <f>SUMIF('Quarterly Data'!$B:$B,'Annual Data'!$A229,'Quarterly Data'!R:R)</f>
        <v>0</v>
      </c>
      <c r="Q229">
        <f>SUMIF('Quarterly Data'!$B:$B,'Annual Data'!$A229,'Quarterly Data'!S:S)</f>
        <v>0</v>
      </c>
      <c r="R229" t="e">
        <f>AVERAGEIF('Quarterly Data'!$B:$B,'Annual Data'!$A229,'Quarterly Data'!T:T)</f>
        <v>#DIV/0!</v>
      </c>
      <c r="S229">
        <f>SUMIF('Quarterly Data'!$B:$B,'Annual Data'!$A229,'Quarterly Data'!U:U)</f>
        <v>0</v>
      </c>
      <c r="T229">
        <f>SUMIF('Quarterly Data'!$B:$B,'Annual Data'!$A229,'Quarterly Data'!V:V)</f>
        <v>0</v>
      </c>
      <c r="U229">
        <f>SUMIF('Quarterly Data'!$B:$B,'Annual Data'!$A229,'Quarterly Data'!W:W)</f>
        <v>0</v>
      </c>
      <c r="V229">
        <f>SUMIF('Quarterly Data'!$B:$B,'Annual Data'!$A229,'Quarterly Data'!X:X)</f>
        <v>0</v>
      </c>
      <c r="W229">
        <f>SUMIF('Quarterly Data'!$B:$B,'Annual Data'!$A229,'Quarterly Data'!Y:Y)</f>
        <v>0</v>
      </c>
      <c r="X229">
        <f>SUMIF('Quarterly Data'!$B:$B,'Annual Data'!$A229,'Quarterly Data'!Z:Z)</f>
        <v>0</v>
      </c>
      <c r="Y229">
        <f>SUMIF('Quarterly Data'!$B:$B,'Annual Data'!$A229,'Quarterly Data'!AA:AA)</f>
        <v>0</v>
      </c>
      <c r="Z229" t="e">
        <f>AVERAGEIF('Quarterly Data'!$B:$B,'Annual Data'!$A229,'Quarterly Data'!AB:AB)</f>
        <v>#DIV/0!</v>
      </c>
      <c r="AA229" t="e">
        <f>AVERAGEIF('Quarterly Data'!$B:$B,'Annual Data'!$A229,'Quarterly Data'!AC:AC)</f>
        <v>#DIV/0!</v>
      </c>
      <c r="AB229" t="e">
        <f>AVERAGEIF('Quarterly Data'!$B:$B,'Annual Data'!$A229,'Quarterly Data'!AD:AD)</f>
        <v>#DIV/0!</v>
      </c>
      <c r="AC229" t="e">
        <f>AVERAGEIF('Quarterly Data'!$B:$B,'Annual Data'!$A229,'Quarterly Data'!AE:AE)</f>
        <v>#DIV/0!</v>
      </c>
      <c r="AD229" t="e">
        <f>AVERAGEIF('Quarterly Data'!$B:$B,'Annual Data'!$A229,'Quarterly Data'!AF:AF)</f>
        <v>#DIV/0!</v>
      </c>
      <c r="AE229">
        <f>SUMIF('Quarterly Data'!$B:$B,'Annual Data'!$A229,'Quarterly Data'!AG:AG)</f>
        <v>0</v>
      </c>
    </row>
    <row r="230" spans="1:31" x14ac:dyDescent="0.25">
      <c r="A230">
        <v>2196</v>
      </c>
      <c r="B230">
        <f>SUMIF('Quarterly Data'!$B:$B,'Annual Data'!$A230,'Quarterly Data'!D:D)</f>
        <v>0</v>
      </c>
      <c r="C230" t="e">
        <f>AVERAGEIF('Quarterly Data'!$B:$B,'Annual Data'!$A230,'Quarterly Data'!E:E)</f>
        <v>#DIV/0!</v>
      </c>
      <c r="D230">
        <f>SUMIF('Quarterly Data'!$B:$B,'Annual Data'!$A230,'Quarterly Data'!F:F)</f>
        <v>0</v>
      </c>
      <c r="E230">
        <f>SUMIF('Quarterly Data'!$B:$B,'Annual Data'!$A230,'Quarterly Data'!G:G)</f>
        <v>0</v>
      </c>
      <c r="F230">
        <f>SUMIF('Quarterly Data'!$B:$B,'Annual Data'!$A230,'Quarterly Data'!H:H)</f>
        <v>0</v>
      </c>
      <c r="G230">
        <f>SUMIF('Quarterly Data'!$B:$B,'Annual Data'!$A230,'Quarterly Data'!I:I)</f>
        <v>0</v>
      </c>
      <c r="H230">
        <f>SUMIF('Quarterly Data'!$B:$B,'Annual Data'!$A230,'Quarterly Data'!J:J)</f>
        <v>0</v>
      </c>
      <c r="I230">
        <f>SUMIF('Quarterly Data'!$B:$B,'Annual Data'!$A230,'Quarterly Data'!K:K)</f>
        <v>0</v>
      </c>
      <c r="J230">
        <f>SUMIF('Quarterly Data'!$B:$B,'Annual Data'!$A230,'Quarterly Data'!L:L)</f>
        <v>0</v>
      </c>
      <c r="K230" t="e">
        <f>AVERAGEIF('Quarterly Data'!$B:$B,'Annual Data'!$A230,'Quarterly Data'!M:M)</f>
        <v>#DIV/0!</v>
      </c>
      <c r="L230" t="e">
        <f>AVERAGEIF('Quarterly Data'!$B:$B,'Annual Data'!$A230,'Quarterly Data'!N:N)</f>
        <v>#DIV/0!</v>
      </c>
      <c r="M230" t="e">
        <f>AVERAGEIF('Quarterly Data'!$B:$B,'Annual Data'!$A230,'Quarterly Data'!O:O)</f>
        <v>#DIV/0!</v>
      </c>
      <c r="N230" t="e">
        <f>AVERAGEIF('Quarterly Data'!$B:$B,'Annual Data'!$A230,'Quarterly Data'!P:P)</f>
        <v>#DIV/0!</v>
      </c>
      <c r="O230" t="e">
        <f>AVERAGEIF('Quarterly Data'!$B:$B,'Annual Data'!$A230,'Quarterly Data'!Q:Q)</f>
        <v>#DIV/0!</v>
      </c>
      <c r="P230">
        <f>SUMIF('Quarterly Data'!$B:$B,'Annual Data'!$A230,'Quarterly Data'!R:R)</f>
        <v>0</v>
      </c>
      <c r="Q230">
        <f>SUMIF('Quarterly Data'!$B:$B,'Annual Data'!$A230,'Quarterly Data'!S:S)</f>
        <v>0</v>
      </c>
      <c r="R230" t="e">
        <f>AVERAGEIF('Quarterly Data'!$B:$B,'Annual Data'!$A230,'Quarterly Data'!T:T)</f>
        <v>#DIV/0!</v>
      </c>
      <c r="S230">
        <f>SUMIF('Quarterly Data'!$B:$B,'Annual Data'!$A230,'Quarterly Data'!U:U)</f>
        <v>0</v>
      </c>
      <c r="T230">
        <f>SUMIF('Quarterly Data'!$B:$B,'Annual Data'!$A230,'Quarterly Data'!V:V)</f>
        <v>0</v>
      </c>
      <c r="U230">
        <f>SUMIF('Quarterly Data'!$B:$B,'Annual Data'!$A230,'Quarterly Data'!W:W)</f>
        <v>0</v>
      </c>
      <c r="V230">
        <f>SUMIF('Quarterly Data'!$B:$B,'Annual Data'!$A230,'Quarterly Data'!X:X)</f>
        <v>0</v>
      </c>
      <c r="W230">
        <f>SUMIF('Quarterly Data'!$B:$B,'Annual Data'!$A230,'Quarterly Data'!Y:Y)</f>
        <v>0</v>
      </c>
      <c r="X230">
        <f>SUMIF('Quarterly Data'!$B:$B,'Annual Data'!$A230,'Quarterly Data'!Z:Z)</f>
        <v>0</v>
      </c>
      <c r="Y230">
        <f>SUMIF('Quarterly Data'!$B:$B,'Annual Data'!$A230,'Quarterly Data'!AA:AA)</f>
        <v>0</v>
      </c>
      <c r="Z230" t="e">
        <f>AVERAGEIF('Quarterly Data'!$B:$B,'Annual Data'!$A230,'Quarterly Data'!AB:AB)</f>
        <v>#DIV/0!</v>
      </c>
      <c r="AA230" t="e">
        <f>AVERAGEIF('Quarterly Data'!$B:$B,'Annual Data'!$A230,'Quarterly Data'!AC:AC)</f>
        <v>#DIV/0!</v>
      </c>
      <c r="AB230" t="e">
        <f>AVERAGEIF('Quarterly Data'!$B:$B,'Annual Data'!$A230,'Quarterly Data'!AD:AD)</f>
        <v>#DIV/0!</v>
      </c>
      <c r="AC230" t="e">
        <f>AVERAGEIF('Quarterly Data'!$B:$B,'Annual Data'!$A230,'Quarterly Data'!AE:AE)</f>
        <v>#DIV/0!</v>
      </c>
      <c r="AD230" t="e">
        <f>AVERAGEIF('Quarterly Data'!$B:$B,'Annual Data'!$A230,'Quarterly Data'!AF:AF)</f>
        <v>#DIV/0!</v>
      </c>
      <c r="AE230">
        <f>SUMIF('Quarterly Data'!$B:$B,'Annual Data'!$A230,'Quarterly Data'!AG:AG)</f>
        <v>0</v>
      </c>
    </row>
    <row r="231" spans="1:31" x14ac:dyDescent="0.25">
      <c r="A231">
        <v>2197</v>
      </c>
      <c r="B231">
        <f>SUMIF('Quarterly Data'!$B:$B,'Annual Data'!$A231,'Quarterly Data'!D:D)</f>
        <v>0</v>
      </c>
      <c r="C231" t="e">
        <f>AVERAGEIF('Quarterly Data'!$B:$B,'Annual Data'!$A231,'Quarterly Data'!E:E)</f>
        <v>#DIV/0!</v>
      </c>
      <c r="D231">
        <f>SUMIF('Quarterly Data'!$B:$B,'Annual Data'!$A231,'Quarterly Data'!F:F)</f>
        <v>0</v>
      </c>
      <c r="E231">
        <f>SUMIF('Quarterly Data'!$B:$B,'Annual Data'!$A231,'Quarterly Data'!G:G)</f>
        <v>0</v>
      </c>
      <c r="F231">
        <f>SUMIF('Quarterly Data'!$B:$B,'Annual Data'!$A231,'Quarterly Data'!H:H)</f>
        <v>0</v>
      </c>
      <c r="G231">
        <f>SUMIF('Quarterly Data'!$B:$B,'Annual Data'!$A231,'Quarterly Data'!I:I)</f>
        <v>0</v>
      </c>
      <c r="H231">
        <f>SUMIF('Quarterly Data'!$B:$B,'Annual Data'!$A231,'Quarterly Data'!J:J)</f>
        <v>0</v>
      </c>
      <c r="I231">
        <f>SUMIF('Quarterly Data'!$B:$B,'Annual Data'!$A231,'Quarterly Data'!K:K)</f>
        <v>0</v>
      </c>
      <c r="J231">
        <f>SUMIF('Quarterly Data'!$B:$B,'Annual Data'!$A231,'Quarterly Data'!L:L)</f>
        <v>0</v>
      </c>
      <c r="K231" t="e">
        <f>AVERAGEIF('Quarterly Data'!$B:$B,'Annual Data'!$A231,'Quarterly Data'!M:M)</f>
        <v>#DIV/0!</v>
      </c>
      <c r="L231" t="e">
        <f>AVERAGEIF('Quarterly Data'!$B:$B,'Annual Data'!$A231,'Quarterly Data'!N:N)</f>
        <v>#DIV/0!</v>
      </c>
      <c r="M231" t="e">
        <f>AVERAGEIF('Quarterly Data'!$B:$B,'Annual Data'!$A231,'Quarterly Data'!O:O)</f>
        <v>#DIV/0!</v>
      </c>
      <c r="N231" t="e">
        <f>AVERAGEIF('Quarterly Data'!$B:$B,'Annual Data'!$A231,'Quarterly Data'!P:P)</f>
        <v>#DIV/0!</v>
      </c>
      <c r="O231" t="e">
        <f>AVERAGEIF('Quarterly Data'!$B:$B,'Annual Data'!$A231,'Quarterly Data'!Q:Q)</f>
        <v>#DIV/0!</v>
      </c>
      <c r="P231">
        <f>SUMIF('Quarterly Data'!$B:$B,'Annual Data'!$A231,'Quarterly Data'!R:R)</f>
        <v>0</v>
      </c>
      <c r="Q231">
        <f>SUMIF('Quarterly Data'!$B:$B,'Annual Data'!$A231,'Quarterly Data'!S:S)</f>
        <v>0</v>
      </c>
      <c r="R231" t="e">
        <f>AVERAGEIF('Quarterly Data'!$B:$B,'Annual Data'!$A231,'Quarterly Data'!T:T)</f>
        <v>#DIV/0!</v>
      </c>
      <c r="S231">
        <f>SUMIF('Quarterly Data'!$B:$B,'Annual Data'!$A231,'Quarterly Data'!U:U)</f>
        <v>0</v>
      </c>
      <c r="T231">
        <f>SUMIF('Quarterly Data'!$B:$B,'Annual Data'!$A231,'Quarterly Data'!V:V)</f>
        <v>0</v>
      </c>
      <c r="U231">
        <f>SUMIF('Quarterly Data'!$B:$B,'Annual Data'!$A231,'Quarterly Data'!W:W)</f>
        <v>0</v>
      </c>
      <c r="V231">
        <f>SUMIF('Quarterly Data'!$B:$B,'Annual Data'!$A231,'Quarterly Data'!X:X)</f>
        <v>0</v>
      </c>
      <c r="W231">
        <f>SUMIF('Quarterly Data'!$B:$B,'Annual Data'!$A231,'Quarterly Data'!Y:Y)</f>
        <v>0</v>
      </c>
      <c r="X231">
        <f>SUMIF('Quarterly Data'!$B:$B,'Annual Data'!$A231,'Quarterly Data'!Z:Z)</f>
        <v>0</v>
      </c>
      <c r="Y231">
        <f>SUMIF('Quarterly Data'!$B:$B,'Annual Data'!$A231,'Quarterly Data'!AA:AA)</f>
        <v>0</v>
      </c>
      <c r="Z231" t="e">
        <f>AVERAGEIF('Quarterly Data'!$B:$B,'Annual Data'!$A231,'Quarterly Data'!AB:AB)</f>
        <v>#DIV/0!</v>
      </c>
      <c r="AA231" t="e">
        <f>AVERAGEIF('Quarterly Data'!$B:$B,'Annual Data'!$A231,'Quarterly Data'!AC:AC)</f>
        <v>#DIV/0!</v>
      </c>
      <c r="AB231" t="e">
        <f>AVERAGEIF('Quarterly Data'!$B:$B,'Annual Data'!$A231,'Quarterly Data'!AD:AD)</f>
        <v>#DIV/0!</v>
      </c>
      <c r="AC231" t="e">
        <f>AVERAGEIF('Quarterly Data'!$B:$B,'Annual Data'!$A231,'Quarterly Data'!AE:AE)</f>
        <v>#DIV/0!</v>
      </c>
      <c r="AD231" t="e">
        <f>AVERAGEIF('Quarterly Data'!$B:$B,'Annual Data'!$A231,'Quarterly Data'!AF:AF)</f>
        <v>#DIV/0!</v>
      </c>
      <c r="AE231">
        <f>SUMIF('Quarterly Data'!$B:$B,'Annual Data'!$A231,'Quarterly Data'!AG:AG)</f>
        <v>0</v>
      </c>
    </row>
    <row r="232" spans="1:31" x14ac:dyDescent="0.25">
      <c r="A232">
        <v>2198</v>
      </c>
      <c r="B232">
        <f>SUMIF('Quarterly Data'!$B:$B,'Annual Data'!$A232,'Quarterly Data'!D:D)</f>
        <v>0</v>
      </c>
      <c r="C232" t="e">
        <f>AVERAGEIF('Quarterly Data'!$B:$B,'Annual Data'!$A232,'Quarterly Data'!E:E)</f>
        <v>#DIV/0!</v>
      </c>
      <c r="D232">
        <f>SUMIF('Quarterly Data'!$B:$B,'Annual Data'!$A232,'Quarterly Data'!F:F)</f>
        <v>0</v>
      </c>
      <c r="E232">
        <f>SUMIF('Quarterly Data'!$B:$B,'Annual Data'!$A232,'Quarterly Data'!G:G)</f>
        <v>0</v>
      </c>
      <c r="F232">
        <f>SUMIF('Quarterly Data'!$B:$B,'Annual Data'!$A232,'Quarterly Data'!H:H)</f>
        <v>0</v>
      </c>
      <c r="G232">
        <f>SUMIF('Quarterly Data'!$B:$B,'Annual Data'!$A232,'Quarterly Data'!I:I)</f>
        <v>0</v>
      </c>
      <c r="H232">
        <f>SUMIF('Quarterly Data'!$B:$B,'Annual Data'!$A232,'Quarterly Data'!J:J)</f>
        <v>0</v>
      </c>
      <c r="I232">
        <f>SUMIF('Quarterly Data'!$B:$B,'Annual Data'!$A232,'Quarterly Data'!K:K)</f>
        <v>0</v>
      </c>
      <c r="J232">
        <f>SUMIF('Quarterly Data'!$B:$B,'Annual Data'!$A232,'Quarterly Data'!L:L)</f>
        <v>0</v>
      </c>
      <c r="K232" t="e">
        <f>AVERAGEIF('Quarterly Data'!$B:$B,'Annual Data'!$A232,'Quarterly Data'!M:M)</f>
        <v>#DIV/0!</v>
      </c>
      <c r="L232" t="e">
        <f>AVERAGEIF('Quarterly Data'!$B:$B,'Annual Data'!$A232,'Quarterly Data'!N:N)</f>
        <v>#DIV/0!</v>
      </c>
      <c r="M232" t="e">
        <f>AVERAGEIF('Quarterly Data'!$B:$B,'Annual Data'!$A232,'Quarterly Data'!O:O)</f>
        <v>#DIV/0!</v>
      </c>
      <c r="N232" t="e">
        <f>AVERAGEIF('Quarterly Data'!$B:$B,'Annual Data'!$A232,'Quarterly Data'!P:P)</f>
        <v>#DIV/0!</v>
      </c>
      <c r="O232" t="e">
        <f>AVERAGEIF('Quarterly Data'!$B:$B,'Annual Data'!$A232,'Quarterly Data'!Q:Q)</f>
        <v>#DIV/0!</v>
      </c>
      <c r="P232">
        <f>SUMIF('Quarterly Data'!$B:$B,'Annual Data'!$A232,'Quarterly Data'!R:R)</f>
        <v>0</v>
      </c>
      <c r="Q232">
        <f>SUMIF('Quarterly Data'!$B:$B,'Annual Data'!$A232,'Quarterly Data'!S:S)</f>
        <v>0</v>
      </c>
      <c r="R232" t="e">
        <f>AVERAGEIF('Quarterly Data'!$B:$B,'Annual Data'!$A232,'Quarterly Data'!T:T)</f>
        <v>#DIV/0!</v>
      </c>
      <c r="S232">
        <f>SUMIF('Quarterly Data'!$B:$B,'Annual Data'!$A232,'Quarterly Data'!U:U)</f>
        <v>0</v>
      </c>
      <c r="T232">
        <f>SUMIF('Quarterly Data'!$B:$B,'Annual Data'!$A232,'Quarterly Data'!V:V)</f>
        <v>0</v>
      </c>
      <c r="U232">
        <f>SUMIF('Quarterly Data'!$B:$B,'Annual Data'!$A232,'Quarterly Data'!W:W)</f>
        <v>0</v>
      </c>
      <c r="V232">
        <f>SUMIF('Quarterly Data'!$B:$B,'Annual Data'!$A232,'Quarterly Data'!X:X)</f>
        <v>0</v>
      </c>
      <c r="W232">
        <f>SUMIF('Quarterly Data'!$B:$B,'Annual Data'!$A232,'Quarterly Data'!Y:Y)</f>
        <v>0</v>
      </c>
      <c r="X232">
        <f>SUMIF('Quarterly Data'!$B:$B,'Annual Data'!$A232,'Quarterly Data'!Z:Z)</f>
        <v>0</v>
      </c>
      <c r="Y232">
        <f>SUMIF('Quarterly Data'!$B:$B,'Annual Data'!$A232,'Quarterly Data'!AA:AA)</f>
        <v>0</v>
      </c>
      <c r="Z232" t="e">
        <f>AVERAGEIF('Quarterly Data'!$B:$B,'Annual Data'!$A232,'Quarterly Data'!AB:AB)</f>
        <v>#DIV/0!</v>
      </c>
      <c r="AA232" t="e">
        <f>AVERAGEIF('Quarterly Data'!$B:$B,'Annual Data'!$A232,'Quarterly Data'!AC:AC)</f>
        <v>#DIV/0!</v>
      </c>
      <c r="AB232" t="e">
        <f>AVERAGEIF('Quarterly Data'!$B:$B,'Annual Data'!$A232,'Quarterly Data'!AD:AD)</f>
        <v>#DIV/0!</v>
      </c>
      <c r="AC232" t="e">
        <f>AVERAGEIF('Quarterly Data'!$B:$B,'Annual Data'!$A232,'Quarterly Data'!AE:AE)</f>
        <v>#DIV/0!</v>
      </c>
      <c r="AD232" t="e">
        <f>AVERAGEIF('Quarterly Data'!$B:$B,'Annual Data'!$A232,'Quarterly Data'!AF:AF)</f>
        <v>#DIV/0!</v>
      </c>
      <c r="AE232">
        <f>SUMIF('Quarterly Data'!$B:$B,'Annual Data'!$A232,'Quarterly Data'!AG:AG)</f>
        <v>0</v>
      </c>
    </row>
    <row r="233" spans="1:31" x14ac:dyDescent="0.25">
      <c r="A233">
        <v>2199</v>
      </c>
      <c r="B233">
        <f>SUMIF('Quarterly Data'!$B:$B,'Annual Data'!$A233,'Quarterly Data'!D:D)</f>
        <v>0</v>
      </c>
      <c r="C233" t="e">
        <f>AVERAGEIF('Quarterly Data'!$B:$B,'Annual Data'!$A233,'Quarterly Data'!E:E)</f>
        <v>#DIV/0!</v>
      </c>
      <c r="D233">
        <f>SUMIF('Quarterly Data'!$B:$B,'Annual Data'!$A233,'Quarterly Data'!F:F)</f>
        <v>0</v>
      </c>
      <c r="E233">
        <f>SUMIF('Quarterly Data'!$B:$B,'Annual Data'!$A233,'Quarterly Data'!G:G)</f>
        <v>0</v>
      </c>
      <c r="F233">
        <f>SUMIF('Quarterly Data'!$B:$B,'Annual Data'!$A233,'Quarterly Data'!H:H)</f>
        <v>0</v>
      </c>
      <c r="G233">
        <f>SUMIF('Quarterly Data'!$B:$B,'Annual Data'!$A233,'Quarterly Data'!I:I)</f>
        <v>0</v>
      </c>
      <c r="H233">
        <f>SUMIF('Quarterly Data'!$B:$B,'Annual Data'!$A233,'Quarterly Data'!J:J)</f>
        <v>0</v>
      </c>
      <c r="I233">
        <f>SUMIF('Quarterly Data'!$B:$B,'Annual Data'!$A233,'Quarterly Data'!K:K)</f>
        <v>0</v>
      </c>
      <c r="J233">
        <f>SUMIF('Quarterly Data'!$B:$B,'Annual Data'!$A233,'Quarterly Data'!L:L)</f>
        <v>0</v>
      </c>
      <c r="K233" t="e">
        <f>AVERAGEIF('Quarterly Data'!$B:$B,'Annual Data'!$A233,'Quarterly Data'!M:M)</f>
        <v>#DIV/0!</v>
      </c>
      <c r="L233" t="e">
        <f>AVERAGEIF('Quarterly Data'!$B:$B,'Annual Data'!$A233,'Quarterly Data'!N:N)</f>
        <v>#DIV/0!</v>
      </c>
      <c r="M233" t="e">
        <f>AVERAGEIF('Quarterly Data'!$B:$B,'Annual Data'!$A233,'Quarterly Data'!O:O)</f>
        <v>#DIV/0!</v>
      </c>
      <c r="N233" t="e">
        <f>AVERAGEIF('Quarterly Data'!$B:$B,'Annual Data'!$A233,'Quarterly Data'!P:P)</f>
        <v>#DIV/0!</v>
      </c>
      <c r="O233" t="e">
        <f>AVERAGEIF('Quarterly Data'!$B:$B,'Annual Data'!$A233,'Quarterly Data'!Q:Q)</f>
        <v>#DIV/0!</v>
      </c>
      <c r="P233">
        <f>SUMIF('Quarterly Data'!$B:$B,'Annual Data'!$A233,'Quarterly Data'!R:R)</f>
        <v>0</v>
      </c>
      <c r="Q233">
        <f>SUMIF('Quarterly Data'!$B:$B,'Annual Data'!$A233,'Quarterly Data'!S:S)</f>
        <v>0</v>
      </c>
      <c r="R233" t="e">
        <f>AVERAGEIF('Quarterly Data'!$B:$B,'Annual Data'!$A233,'Quarterly Data'!T:T)</f>
        <v>#DIV/0!</v>
      </c>
      <c r="S233">
        <f>SUMIF('Quarterly Data'!$B:$B,'Annual Data'!$A233,'Quarterly Data'!U:U)</f>
        <v>0</v>
      </c>
      <c r="T233">
        <f>SUMIF('Quarterly Data'!$B:$B,'Annual Data'!$A233,'Quarterly Data'!V:V)</f>
        <v>0</v>
      </c>
      <c r="U233">
        <f>SUMIF('Quarterly Data'!$B:$B,'Annual Data'!$A233,'Quarterly Data'!W:W)</f>
        <v>0</v>
      </c>
      <c r="V233">
        <f>SUMIF('Quarterly Data'!$B:$B,'Annual Data'!$A233,'Quarterly Data'!X:X)</f>
        <v>0</v>
      </c>
      <c r="W233">
        <f>SUMIF('Quarterly Data'!$B:$B,'Annual Data'!$A233,'Quarterly Data'!Y:Y)</f>
        <v>0</v>
      </c>
      <c r="X233">
        <f>SUMIF('Quarterly Data'!$B:$B,'Annual Data'!$A233,'Quarterly Data'!Z:Z)</f>
        <v>0</v>
      </c>
      <c r="Y233">
        <f>SUMIF('Quarterly Data'!$B:$B,'Annual Data'!$A233,'Quarterly Data'!AA:AA)</f>
        <v>0</v>
      </c>
      <c r="Z233" t="e">
        <f>AVERAGEIF('Quarterly Data'!$B:$B,'Annual Data'!$A233,'Quarterly Data'!AB:AB)</f>
        <v>#DIV/0!</v>
      </c>
      <c r="AA233" t="e">
        <f>AVERAGEIF('Quarterly Data'!$B:$B,'Annual Data'!$A233,'Quarterly Data'!AC:AC)</f>
        <v>#DIV/0!</v>
      </c>
      <c r="AB233" t="e">
        <f>AVERAGEIF('Quarterly Data'!$B:$B,'Annual Data'!$A233,'Quarterly Data'!AD:AD)</f>
        <v>#DIV/0!</v>
      </c>
      <c r="AC233" t="e">
        <f>AVERAGEIF('Quarterly Data'!$B:$B,'Annual Data'!$A233,'Quarterly Data'!AE:AE)</f>
        <v>#DIV/0!</v>
      </c>
      <c r="AD233" t="e">
        <f>AVERAGEIF('Quarterly Data'!$B:$B,'Annual Data'!$A233,'Quarterly Data'!AF:AF)</f>
        <v>#DIV/0!</v>
      </c>
      <c r="AE233">
        <f>SUMIF('Quarterly Data'!$B:$B,'Annual Data'!$A233,'Quarterly Data'!AG:AG)</f>
        <v>0</v>
      </c>
    </row>
    <row r="234" spans="1:31" x14ac:dyDescent="0.25">
      <c r="A234">
        <v>2200</v>
      </c>
      <c r="B234">
        <f>SUMIF('Quarterly Data'!$B:$B,'Annual Data'!$A234,'Quarterly Data'!D:D)</f>
        <v>0</v>
      </c>
      <c r="C234" t="e">
        <f>AVERAGEIF('Quarterly Data'!$B:$B,'Annual Data'!$A234,'Quarterly Data'!E:E)</f>
        <v>#DIV/0!</v>
      </c>
      <c r="D234">
        <f>SUMIF('Quarterly Data'!$B:$B,'Annual Data'!$A234,'Quarterly Data'!F:F)</f>
        <v>0</v>
      </c>
      <c r="E234">
        <f>SUMIF('Quarterly Data'!$B:$B,'Annual Data'!$A234,'Quarterly Data'!G:G)</f>
        <v>0</v>
      </c>
      <c r="F234">
        <f>SUMIF('Quarterly Data'!$B:$B,'Annual Data'!$A234,'Quarterly Data'!H:H)</f>
        <v>0</v>
      </c>
      <c r="G234">
        <f>SUMIF('Quarterly Data'!$B:$B,'Annual Data'!$A234,'Quarterly Data'!I:I)</f>
        <v>0</v>
      </c>
      <c r="H234">
        <f>SUMIF('Quarterly Data'!$B:$B,'Annual Data'!$A234,'Quarterly Data'!J:J)</f>
        <v>0</v>
      </c>
      <c r="I234">
        <f>SUMIF('Quarterly Data'!$B:$B,'Annual Data'!$A234,'Quarterly Data'!K:K)</f>
        <v>0</v>
      </c>
      <c r="J234">
        <f>SUMIF('Quarterly Data'!$B:$B,'Annual Data'!$A234,'Quarterly Data'!L:L)</f>
        <v>0</v>
      </c>
      <c r="K234" t="e">
        <f>AVERAGEIF('Quarterly Data'!$B:$B,'Annual Data'!$A234,'Quarterly Data'!M:M)</f>
        <v>#DIV/0!</v>
      </c>
      <c r="L234" t="e">
        <f>AVERAGEIF('Quarterly Data'!$B:$B,'Annual Data'!$A234,'Quarterly Data'!N:N)</f>
        <v>#DIV/0!</v>
      </c>
      <c r="M234" t="e">
        <f>AVERAGEIF('Quarterly Data'!$B:$B,'Annual Data'!$A234,'Quarterly Data'!O:O)</f>
        <v>#DIV/0!</v>
      </c>
      <c r="N234" t="e">
        <f>AVERAGEIF('Quarterly Data'!$B:$B,'Annual Data'!$A234,'Quarterly Data'!P:P)</f>
        <v>#DIV/0!</v>
      </c>
      <c r="O234" t="e">
        <f>AVERAGEIF('Quarterly Data'!$B:$B,'Annual Data'!$A234,'Quarterly Data'!Q:Q)</f>
        <v>#DIV/0!</v>
      </c>
      <c r="P234">
        <f>SUMIF('Quarterly Data'!$B:$B,'Annual Data'!$A234,'Quarterly Data'!R:R)</f>
        <v>0</v>
      </c>
      <c r="Q234">
        <f>SUMIF('Quarterly Data'!$B:$B,'Annual Data'!$A234,'Quarterly Data'!S:S)</f>
        <v>0</v>
      </c>
      <c r="R234" t="e">
        <f>AVERAGEIF('Quarterly Data'!$B:$B,'Annual Data'!$A234,'Quarterly Data'!T:T)</f>
        <v>#DIV/0!</v>
      </c>
      <c r="S234">
        <f>SUMIF('Quarterly Data'!$B:$B,'Annual Data'!$A234,'Quarterly Data'!U:U)</f>
        <v>0</v>
      </c>
      <c r="T234">
        <f>SUMIF('Quarterly Data'!$B:$B,'Annual Data'!$A234,'Quarterly Data'!V:V)</f>
        <v>0</v>
      </c>
      <c r="U234">
        <f>SUMIF('Quarterly Data'!$B:$B,'Annual Data'!$A234,'Quarterly Data'!W:W)</f>
        <v>0</v>
      </c>
      <c r="V234">
        <f>SUMIF('Quarterly Data'!$B:$B,'Annual Data'!$A234,'Quarterly Data'!X:X)</f>
        <v>0</v>
      </c>
      <c r="W234">
        <f>SUMIF('Quarterly Data'!$B:$B,'Annual Data'!$A234,'Quarterly Data'!Y:Y)</f>
        <v>0</v>
      </c>
      <c r="X234">
        <f>SUMIF('Quarterly Data'!$B:$B,'Annual Data'!$A234,'Quarterly Data'!Z:Z)</f>
        <v>0</v>
      </c>
      <c r="Y234">
        <f>SUMIF('Quarterly Data'!$B:$B,'Annual Data'!$A234,'Quarterly Data'!AA:AA)</f>
        <v>0</v>
      </c>
      <c r="Z234" t="e">
        <f>AVERAGEIF('Quarterly Data'!$B:$B,'Annual Data'!$A234,'Quarterly Data'!AB:AB)</f>
        <v>#DIV/0!</v>
      </c>
      <c r="AA234" t="e">
        <f>AVERAGEIF('Quarterly Data'!$B:$B,'Annual Data'!$A234,'Quarterly Data'!AC:AC)</f>
        <v>#DIV/0!</v>
      </c>
      <c r="AB234" t="e">
        <f>AVERAGEIF('Quarterly Data'!$B:$B,'Annual Data'!$A234,'Quarterly Data'!AD:AD)</f>
        <v>#DIV/0!</v>
      </c>
      <c r="AC234" t="e">
        <f>AVERAGEIF('Quarterly Data'!$B:$B,'Annual Data'!$A234,'Quarterly Data'!AE:AE)</f>
        <v>#DIV/0!</v>
      </c>
      <c r="AD234" t="e">
        <f>AVERAGEIF('Quarterly Data'!$B:$B,'Annual Data'!$A234,'Quarterly Data'!AF:AF)</f>
        <v>#DIV/0!</v>
      </c>
      <c r="AE234">
        <f>SUMIF('Quarterly Data'!$B:$B,'Annual Data'!$A234,'Quarterly Data'!AG:AG)</f>
        <v>0</v>
      </c>
    </row>
    <row r="235" spans="1:31" x14ac:dyDescent="0.25">
      <c r="A235">
        <v>2201</v>
      </c>
      <c r="B235">
        <f>SUMIF('Quarterly Data'!$B:$B,'Annual Data'!$A235,'Quarterly Data'!D:D)</f>
        <v>0</v>
      </c>
      <c r="C235" t="e">
        <f>AVERAGEIF('Quarterly Data'!$B:$B,'Annual Data'!$A235,'Quarterly Data'!E:E)</f>
        <v>#DIV/0!</v>
      </c>
      <c r="D235">
        <f>SUMIF('Quarterly Data'!$B:$B,'Annual Data'!$A235,'Quarterly Data'!F:F)</f>
        <v>0</v>
      </c>
      <c r="E235">
        <f>SUMIF('Quarterly Data'!$B:$B,'Annual Data'!$A235,'Quarterly Data'!G:G)</f>
        <v>0</v>
      </c>
      <c r="F235">
        <f>SUMIF('Quarterly Data'!$B:$B,'Annual Data'!$A235,'Quarterly Data'!H:H)</f>
        <v>0</v>
      </c>
      <c r="G235">
        <f>SUMIF('Quarterly Data'!$B:$B,'Annual Data'!$A235,'Quarterly Data'!I:I)</f>
        <v>0</v>
      </c>
      <c r="H235">
        <f>SUMIF('Quarterly Data'!$B:$B,'Annual Data'!$A235,'Quarterly Data'!J:J)</f>
        <v>0</v>
      </c>
      <c r="I235">
        <f>SUMIF('Quarterly Data'!$B:$B,'Annual Data'!$A235,'Quarterly Data'!K:K)</f>
        <v>0</v>
      </c>
      <c r="J235">
        <f>SUMIF('Quarterly Data'!$B:$B,'Annual Data'!$A235,'Quarterly Data'!L:L)</f>
        <v>0</v>
      </c>
      <c r="K235" t="e">
        <f>AVERAGEIF('Quarterly Data'!$B:$B,'Annual Data'!$A235,'Quarterly Data'!M:M)</f>
        <v>#DIV/0!</v>
      </c>
      <c r="L235" t="e">
        <f>AVERAGEIF('Quarterly Data'!$B:$B,'Annual Data'!$A235,'Quarterly Data'!N:N)</f>
        <v>#DIV/0!</v>
      </c>
      <c r="M235" t="e">
        <f>AVERAGEIF('Quarterly Data'!$B:$B,'Annual Data'!$A235,'Quarterly Data'!O:O)</f>
        <v>#DIV/0!</v>
      </c>
      <c r="N235" t="e">
        <f>AVERAGEIF('Quarterly Data'!$B:$B,'Annual Data'!$A235,'Quarterly Data'!P:P)</f>
        <v>#DIV/0!</v>
      </c>
      <c r="O235" t="e">
        <f>AVERAGEIF('Quarterly Data'!$B:$B,'Annual Data'!$A235,'Quarterly Data'!Q:Q)</f>
        <v>#DIV/0!</v>
      </c>
      <c r="P235">
        <f>SUMIF('Quarterly Data'!$B:$B,'Annual Data'!$A235,'Quarterly Data'!R:R)</f>
        <v>0</v>
      </c>
      <c r="Q235">
        <f>SUMIF('Quarterly Data'!$B:$B,'Annual Data'!$A235,'Quarterly Data'!S:S)</f>
        <v>0</v>
      </c>
      <c r="R235" t="e">
        <f>AVERAGEIF('Quarterly Data'!$B:$B,'Annual Data'!$A235,'Quarterly Data'!T:T)</f>
        <v>#DIV/0!</v>
      </c>
      <c r="S235">
        <f>SUMIF('Quarterly Data'!$B:$B,'Annual Data'!$A235,'Quarterly Data'!U:U)</f>
        <v>0</v>
      </c>
      <c r="T235">
        <f>SUMIF('Quarterly Data'!$B:$B,'Annual Data'!$A235,'Quarterly Data'!V:V)</f>
        <v>0</v>
      </c>
      <c r="U235">
        <f>SUMIF('Quarterly Data'!$B:$B,'Annual Data'!$A235,'Quarterly Data'!W:W)</f>
        <v>0</v>
      </c>
      <c r="V235">
        <f>SUMIF('Quarterly Data'!$B:$B,'Annual Data'!$A235,'Quarterly Data'!X:X)</f>
        <v>0</v>
      </c>
      <c r="W235">
        <f>SUMIF('Quarterly Data'!$B:$B,'Annual Data'!$A235,'Quarterly Data'!Y:Y)</f>
        <v>0</v>
      </c>
      <c r="X235">
        <f>SUMIF('Quarterly Data'!$B:$B,'Annual Data'!$A235,'Quarterly Data'!Z:Z)</f>
        <v>0</v>
      </c>
      <c r="Y235">
        <f>SUMIF('Quarterly Data'!$B:$B,'Annual Data'!$A235,'Quarterly Data'!AA:AA)</f>
        <v>0</v>
      </c>
      <c r="Z235" t="e">
        <f>AVERAGEIF('Quarterly Data'!$B:$B,'Annual Data'!$A235,'Quarterly Data'!AB:AB)</f>
        <v>#DIV/0!</v>
      </c>
      <c r="AA235" t="e">
        <f>AVERAGEIF('Quarterly Data'!$B:$B,'Annual Data'!$A235,'Quarterly Data'!AC:AC)</f>
        <v>#DIV/0!</v>
      </c>
      <c r="AB235" t="e">
        <f>AVERAGEIF('Quarterly Data'!$B:$B,'Annual Data'!$A235,'Quarterly Data'!AD:AD)</f>
        <v>#DIV/0!</v>
      </c>
      <c r="AC235" t="e">
        <f>AVERAGEIF('Quarterly Data'!$B:$B,'Annual Data'!$A235,'Quarterly Data'!AE:AE)</f>
        <v>#DIV/0!</v>
      </c>
      <c r="AD235" t="e">
        <f>AVERAGEIF('Quarterly Data'!$B:$B,'Annual Data'!$A235,'Quarterly Data'!AF:AF)</f>
        <v>#DIV/0!</v>
      </c>
      <c r="AE235">
        <f>SUMIF('Quarterly Data'!$B:$B,'Annual Data'!$A235,'Quarterly Data'!AG:AG)</f>
        <v>0</v>
      </c>
    </row>
    <row r="236" spans="1:31" x14ac:dyDescent="0.25">
      <c r="A236">
        <v>2202</v>
      </c>
      <c r="B236">
        <f>SUMIF('Quarterly Data'!$B:$B,'Annual Data'!$A236,'Quarterly Data'!D:D)</f>
        <v>0</v>
      </c>
      <c r="C236" t="e">
        <f>AVERAGEIF('Quarterly Data'!$B:$B,'Annual Data'!$A236,'Quarterly Data'!E:E)</f>
        <v>#DIV/0!</v>
      </c>
      <c r="D236">
        <f>SUMIF('Quarterly Data'!$B:$B,'Annual Data'!$A236,'Quarterly Data'!F:F)</f>
        <v>0</v>
      </c>
      <c r="E236">
        <f>SUMIF('Quarterly Data'!$B:$B,'Annual Data'!$A236,'Quarterly Data'!G:G)</f>
        <v>0</v>
      </c>
      <c r="F236">
        <f>SUMIF('Quarterly Data'!$B:$B,'Annual Data'!$A236,'Quarterly Data'!H:H)</f>
        <v>0</v>
      </c>
      <c r="G236">
        <f>SUMIF('Quarterly Data'!$B:$B,'Annual Data'!$A236,'Quarterly Data'!I:I)</f>
        <v>0</v>
      </c>
      <c r="H236">
        <f>SUMIF('Quarterly Data'!$B:$B,'Annual Data'!$A236,'Quarterly Data'!J:J)</f>
        <v>0</v>
      </c>
      <c r="I236">
        <f>SUMIF('Quarterly Data'!$B:$B,'Annual Data'!$A236,'Quarterly Data'!K:K)</f>
        <v>0</v>
      </c>
      <c r="J236">
        <f>SUMIF('Quarterly Data'!$B:$B,'Annual Data'!$A236,'Quarterly Data'!L:L)</f>
        <v>0</v>
      </c>
      <c r="K236" t="e">
        <f>AVERAGEIF('Quarterly Data'!$B:$B,'Annual Data'!$A236,'Quarterly Data'!M:M)</f>
        <v>#DIV/0!</v>
      </c>
      <c r="L236" t="e">
        <f>AVERAGEIF('Quarterly Data'!$B:$B,'Annual Data'!$A236,'Quarterly Data'!N:N)</f>
        <v>#DIV/0!</v>
      </c>
      <c r="M236" t="e">
        <f>AVERAGEIF('Quarterly Data'!$B:$B,'Annual Data'!$A236,'Quarterly Data'!O:O)</f>
        <v>#DIV/0!</v>
      </c>
      <c r="N236" t="e">
        <f>AVERAGEIF('Quarterly Data'!$B:$B,'Annual Data'!$A236,'Quarterly Data'!P:P)</f>
        <v>#DIV/0!</v>
      </c>
      <c r="O236" t="e">
        <f>AVERAGEIF('Quarterly Data'!$B:$B,'Annual Data'!$A236,'Quarterly Data'!Q:Q)</f>
        <v>#DIV/0!</v>
      </c>
      <c r="P236">
        <f>SUMIF('Quarterly Data'!$B:$B,'Annual Data'!$A236,'Quarterly Data'!R:R)</f>
        <v>0</v>
      </c>
      <c r="Q236">
        <f>SUMIF('Quarterly Data'!$B:$B,'Annual Data'!$A236,'Quarterly Data'!S:S)</f>
        <v>0</v>
      </c>
      <c r="R236" t="e">
        <f>AVERAGEIF('Quarterly Data'!$B:$B,'Annual Data'!$A236,'Quarterly Data'!T:T)</f>
        <v>#DIV/0!</v>
      </c>
      <c r="S236">
        <f>SUMIF('Quarterly Data'!$B:$B,'Annual Data'!$A236,'Quarterly Data'!U:U)</f>
        <v>0</v>
      </c>
      <c r="T236">
        <f>SUMIF('Quarterly Data'!$B:$B,'Annual Data'!$A236,'Quarterly Data'!V:V)</f>
        <v>0</v>
      </c>
      <c r="U236">
        <f>SUMIF('Quarterly Data'!$B:$B,'Annual Data'!$A236,'Quarterly Data'!W:W)</f>
        <v>0</v>
      </c>
      <c r="V236">
        <f>SUMIF('Quarterly Data'!$B:$B,'Annual Data'!$A236,'Quarterly Data'!X:X)</f>
        <v>0</v>
      </c>
      <c r="W236">
        <f>SUMIF('Quarterly Data'!$B:$B,'Annual Data'!$A236,'Quarterly Data'!Y:Y)</f>
        <v>0</v>
      </c>
      <c r="X236">
        <f>SUMIF('Quarterly Data'!$B:$B,'Annual Data'!$A236,'Quarterly Data'!Z:Z)</f>
        <v>0</v>
      </c>
      <c r="Y236">
        <f>SUMIF('Quarterly Data'!$B:$B,'Annual Data'!$A236,'Quarterly Data'!AA:AA)</f>
        <v>0</v>
      </c>
      <c r="Z236" t="e">
        <f>AVERAGEIF('Quarterly Data'!$B:$B,'Annual Data'!$A236,'Quarterly Data'!AB:AB)</f>
        <v>#DIV/0!</v>
      </c>
      <c r="AA236" t="e">
        <f>AVERAGEIF('Quarterly Data'!$B:$B,'Annual Data'!$A236,'Quarterly Data'!AC:AC)</f>
        <v>#DIV/0!</v>
      </c>
      <c r="AB236" t="e">
        <f>AVERAGEIF('Quarterly Data'!$B:$B,'Annual Data'!$A236,'Quarterly Data'!AD:AD)</f>
        <v>#DIV/0!</v>
      </c>
      <c r="AC236" t="e">
        <f>AVERAGEIF('Quarterly Data'!$B:$B,'Annual Data'!$A236,'Quarterly Data'!AE:AE)</f>
        <v>#DIV/0!</v>
      </c>
      <c r="AD236" t="e">
        <f>AVERAGEIF('Quarterly Data'!$B:$B,'Annual Data'!$A236,'Quarterly Data'!AF:AF)</f>
        <v>#DIV/0!</v>
      </c>
      <c r="AE236">
        <f>SUMIF('Quarterly Data'!$B:$B,'Annual Data'!$A236,'Quarterly Data'!AG:AG)</f>
        <v>0</v>
      </c>
    </row>
    <row r="237" spans="1:31" x14ac:dyDescent="0.25">
      <c r="A237">
        <v>2203</v>
      </c>
      <c r="B237">
        <f>SUMIF('Quarterly Data'!$B:$B,'Annual Data'!$A237,'Quarterly Data'!D:D)</f>
        <v>0</v>
      </c>
      <c r="C237" t="e">
        <f>AVERAGEIF('Quarterly Data'!$B:$B,'Annual Data'!$A237,'Quarterly Data'!E:E)</f>
        <v>#DIV/0!</v>
      </c>
      <c r="D237">
        <f>SUMIF('Quarterly Data'!$B:$B,'Annual Data'!$A237,'Quarterly Data'!F:F)</f>
        <v>0</v>
      </c>
      <c r="E237">
        <f>SUMIF('Quarterly Data'!$B:$B,'Annual Data'!$A237,'Quarterly Data'!G:G)</f>
        <v>0</v>
      </c>
      <c r="F237">
        <f>SUMIF('Quarterly Data'!$B:$B,'Annual Data'!$A237,'Quarterly Data'!H:H)</f>
        <v>0</v>
      </c>
      <c r="G237">
        <f>SUMIF('Quarterly Data'!$B:$B,'Annual Data'!$A237,'Quarterly Data'!I:I)</f>
        <v>0</v>
      </c>
      <c r="H237">
        <f>SUMIF('Quarterly Data'!$B:$B,'Annual Data'!$A237,'Quarterly Data'!J:J)</f>
        <v>0</v>
      </c>
      <c r="I237">
        <f>SUMIF('Quarterly Data'!$B:$B,'Annual Data'!$A237,'Quarterly Data'!K:K)</f>
        <v>0</v>
      </c>
      <c r="J237">
        <f>SUMIF('Quarterly Data'!$B:$B,'Annual Data'!$A237,'Quarterly Data'!L:L)</f>
        <v>0</v>
      </c>
      <c r="K237" t="e">
        <f>AVERAGEIF('Quarterly Data'!$B:$B,'Annual Data'!$A237,'Quarterly Data'!M:M)</f>
        <v>#DIV/0!</v>
      </c>
      <c r="L237" t="e">
        <f>AVERAGEIF('Quarterly Data'!$B:$B,'Annual Data'!$A237,'Quarterly Data'!N:N)</f>
        <v>#DIV/0!</v>
      </c>
      <c r="M237" t="e">
        <f>AVERAGEIF('Quarterly Data'!$B:$B,'Annual Data'!$A237,'Quarterly Data'!O:O)</f>
        <v>#DIV/0!</v>
      </c>
      <c r="N237" t="e">
        <f>AVERAGEIF('Quarterly Data'!$B:$B,'Annual Data'!$A237,'Quarterly Data'!P:P)</f>
        <v>#DIV/0!</v>
      </c>
      <c r="O237" t="e">
        <f>AVERAGEIF('Quarterly Data'!$B:$B,'Annual Data'!$A237,'Quarterly Data'!Q:Q)</f>
        <v>#DIV/0!</v>
      </c>
      <c r="P237">
        <f>SUMIF('Quarterly Data'!$B:$B,'Annual Data'!$A237,'Quarterly Data'!R:R)</f>
        <v>0</v>
      </c>
      <c r="Q237">
        <f>SUMIF('Quarterly Data'!$B:$B,'Annual Data'!$A237,'Quarterly Data'!S:S)</f>
        <v>0</v>
      </c>
      <c r="R237" t="e">
        <f>AVERAGEIF('Quarterly Data'!$B:$B,'Annual Data'!$A237,'Quarterly Data'!T:T)</f>
        <v>#DIV/0!</v>
      </c>
      <c r="S237">
        <f>SUMIF('Quarterly Data'!$B:$B,'Annual Data'!$A237,'Quarterly Data'!U:U)</f>
        <v>0</v>
      </c>
      <c r="T237">
        <f>SUMIF('Quarterly Data'!$B:$B,'Annual Data'!$A237,'Quarterly Data'!V:V)</f>
        <v>0</v>
      </c>
      <c r="U237">
        <f>SUMIF('Quarterly Data'!$B:$B,'Annual Data'!$A237,'Quarterly Data'!W:W)</f>
        <v>0</v>
      </c>
      <c r="V237">
        <f>SUMIF('Quarterly Data'!$B:$B,'Annual Data'!$A237,'Quarterly Data'!X:X)</f>
        <v>0</v>
      </c>
      <c r="W237">
        <f>SUMIF('Quarterly Data'!$B:$B,'Annual Data'!$A237,'Quarterly Data'!Y:Y)</f>
        <v>0</v>
      </c>
      <c r="X237">
        <f>SUMIF('Quarterly Data'!$B:$B,'Annual Data'!$A237,'Quarterly Data'!Z:Z)</f>
        <v>0</v>
      </c>
      <c r="Y237">
        <f>SUMIF('Quarterly Data'!$B:$B,'Annual Data'!$A237,'Quarterly Data'!AA:AA)</f>
        <v>0</v>
      </c>
      <c r="Z237" t="e">
        <f>AVERAGEIF('Quarterly Data'!$B:$B,'Annual Data'!$A237,'Quarterly Data'!AB:AB)</f>
        <v>#DIV/0!</v>
      </c>
      <c r="AA237" t="e">
        <f>AVERAGEIF('Quarterly Data'!$B:$B,'Annual Data'!$A237,'Quarterly Data'!AC:AC)</f>
        <v>#DIV/0!</v>
      </c>
      <c r="AB237" t="e">
        <f>AVERAGEIF('Quarterly Data'!$B:$B,'Annual Data'!$A237,'Quarterly Data'!AD:AD)</f>
        <v>#DIV/0!</v>
      </c>
      <c r="AC237" t="e">
        <f>AVERAGEIF('Quarterly Data'!$B:$B,'Annual Data'!$A237,'Quarterly Data'!AE:AE)</f>
        <v>#DIV/0!</v>
      </c>
      <c r="AD237" t="e">
        <f>AVERAGEIF('Quarterly Data'!$B:$B,'Annual Data'!$A237,'Quarterly Data'!AF:AF)</f>
        <v>#DIV/0!</v>
      </c>
      <c r="AE237">
        <f>SUMIF('Quarterly Data'!$B:$B,'Annual Data'!$A237,'Quarterly Data'!AG:AG)</f>
        <v>0</v>
      </c>
    </row>
    <row r="238" spans="1:31" x14ac:dyDescent="0.25">
      <c r="A238">
        <v>2204</v>
      </c>
      <c r="B238">
        <f>SUMIF('Quarterly Data'!$B:$B,'Annual Data'!$A238,'Quarterly Data'!D:D)</f>
        <v>0</v>
      </c>
      <c r="C238" t="e">
        <f>AVERAGEIF('Quarterly Data'!$B:$B,'Annual Data'!$A238,'Quarterly Data'!E:E)</f>
        <v>#DIV/0!</v>
      </c>
      <c r="D238">
        <f>SUMIF('Quarterly Data'!$B:$B,'Annual Data'!$A238,'Quarterly Data'!F:F)</f>
        <v>0</v>
      </c>
      <c r="E238">
        <f>SUMIF('Quarterly Data'!$B:$B,'Annual Data'!$A238,'Quarterly Data'!G:G)</f>
        <v>0</v>
      </c>
      <c r="F238">
        <f>SUMIF('Quarterly Data'!$B:$B,'Annual Data'!$A238,'Quarterly Data'!H:H)</f>
        <v>0</v>
      </c>
      <c r="G238">
        <f>SUMIF('Quarterly Data'!$B:$B,'Annual Data'!$A238,'Quarterly Data'!I:I)</f>
        <v>0</v>
      </c>
      <c r="H238">
        <f>SUMIF('Quarterly Data'!$B:$B,'Annual Data'!$A238,'Quarterly Data'!J:J)</f>
        <v>0</v>
      </c>
      <c r="I238">
        <f>SUMIF('Quarterly Data'!$B:$B,'Annual Data'!$A238,'Quarterly Data'!K:K)</f>
        <v>0</v>
      </c>
      <c r="J238">
        <f>SUMIF('Quarterly Data'!$B:$B,'Annual Data'!$A238,'Quarterly Data'!L:L)</f>
        <v>0</v>
      </c>
      <c r="K238" t="e">
        <f>AVERAGEIF('Quarterly Data'!$B:$B,'Annual Data'!$A238,'Quarterly Data'!M:M)</f>
        <v>#DIV/0!</v>
      </c>
      <c r="L238" t="e">
        <f>AVERAGEIF('Quarterly Data'!$B:$B,'Annual Data'!$A238,'Quarterly Data'!N:N)</f>
        <v>#DIV/0!</v>
      </c>
      <c r="M238" t="e">
        <f>AVERAGEIF('Quarterly Data'!$B:$B,'Annual Data'!$A238,'Quarterly Data'!O:O)</f>
        <v>#DIV/0!</v>
      </c>
      <c r="N238" t="e">
        <f>AVERAGEIF('Quarterly Data'!$B:$B,'Annual Data'!$A238,'Quarterly Data'!P:P)</f>
        <v>#DIV/0!</v>
      </c>
      <c r="O238" t="e">
        <f>AVERAGEIF('Quarterly Data'!$B:$B,'Annual Data'!$A238,'Quarterly Data'!Q:Q)</f>
        <v>#DIV/0!</v>
      </c>
      <c r="P238">
        <f>SUMIF('Quarterly Data'!$B:$B,'Annual Data'!$A238,'Quarterly Data'!R:R)</f>
        <v>0</v>
      </c>
      <c r="Q238">
        <f>SUMIF('Quarterly Data'!$B:$B,'Annual Data'!$A238,'Quarterly Data'!S:S)</f>
        <v>0</v>
      </c>
      <c r="R238" t="e">
        <f>AVERAGEIF('Quarterly Data'!$B:$B,'Annual Data'!$A238,'Quarterly Data'!T:T)</f>
        <v>#DIV/0!</v>
      </c>
      <c r="S238">
        <f>SUMIF('Quarterly Data'!$B:$B,'Annual Data'!$A238,'Quarterly Data'!U:U)</f>
        <v>0</v>
      </c>
      <c r="T238">
        <f>SUMIF('Quarterly Data'!$B:$B,'Annual Data'!$A238,'Quarterly Data'!V:V)</f>
        <v>0</v>
      </c>
      <c r="U238">
        <f>SUMIF('Quarterly Data'!$B:$B,'Annual Data'!$A238,'Quarterly Data'!W:W)</f>
        <v>0</v>
      </c>
      <c r="V238">
        <f>SUMIF('Quarterly Data'!$B:$B,'Annual Data'!$A238,'Quarterly Data'!X:X)</f>
        <v>0</v>
      </c>
      <c r="W238">
        <f>SUMIF('Quarterly Data'!$B:$B,'Annual Data'!$A238,'Quarterly Data'!Y:Y)</f>
        <v>0</v>
      </c>
      <c r="X238">
        <f>SUMIF('Quarterly Data'!$B:$B,'Annual Data'!$A238,'Quarterly Data'!Z:Z)</f>
        <v>0</v>
      </c>
      <c r="Y238">
        <f>SUMIF('Quarterly Data'!$B:$B,'Annual Data'!$A238,'Quarterly Data'!AA:AA)</f>
        <v>0</v>
      </c>
      <c r="Z238" t="e">
        <f>AVERAGEIF('Quarterly Data'!$B:$B,'Annual Data'!$A238,'Quarterly Data'!AB:AB)</f>
        <v>#DIV/0!</v>
      </c>
      <c r="AA238" t="e">
        <f>AVERAGEIF('Quarterly Data'!$B:$B,'Annual Data'!$A238,'Quarterly Data'!AC:AC)</f>
        <v>#DIV/0!</v>
      </c>
      <c r="AB238" t="e">
        <f>AVERAGEIF('Quarterly Data'!$B:$B,'Annual Data'!$A238,'Quarterly Data'!AD:AD)</f>
        <v>#DIV/0!</v>
      </c>
      <c r="AC238" t="e">
        <f>AVERAGEIF('Quarterly Data'!$B:$B,'Annual Data'!$A238,'Quarterly Data'!AE:AE)</f>
        <v>#DIV/0!</v>
      </c>
      <c r="AD238" t="e">
        <f>AVERAGEIF('Quarterly Data'!$B:$B,'Annual Data'!$A238,'Quarterly Data'!AF:AF)</f>
        <v>#DIV/0!</v>
      </c>
      <c r="AE238">
        <f>SUMIF('Quarterly Data'!$B:$B,'Annual Data'!$A238,'Quarterly Data'!AG:AG)</f>
        <v>0</v>
      </c>
    </row>
    <row r="239" spans="1:31" x14ac:dyDescent="0.25">
      <c r="A239">
        <v>2205</v>
      </c>
      <c r="B239">
        <f>SUMIF('Quarterly Data'!$B:$B,'Annual Data'!$A239,'Quarterly Data'!D:D)</f>
        <v>0</v>
      </c>
      <c r="C239" t="e">
        <f>AVERAGEIF('Quarterly Data'!$B:$B,'Annual Data'!$A239,'Quarterly Data'!E:E)</f>
        <v>#DIV/0!</v>
      </c>
      <c r="D239">
        <f>SUMIF('Quarterly Data'!$B:$B,'Annual Data'!$A239,'Quarterly Data'!F:F)</f>
        <v>0</v>
      </c>
      <c r="E239">
        <f>SUMIF('Quarterly Data'!$B:$B,'Annual Data'!$A239,'Quarterly Data'!G:G)</f>
        <v>0</v>
      </c>
      <c r="F239">
        <f>SUMIF('Quarterly Data'!$B:$B,'Annual Data'!$A239,'Quarterly Data'!H:H)</f>
        <v>0</v>
      </c>
      <c r="G239">
        <f>SUMIF('Quarterly Data'!$B:$B,'Annual Data'!$A239,'Quarterly Data'!I:I)</f>
        <v>0</v>
      </c>
      <c r="H239">
        <f>SUMIF('Quarterly Data'!$B:$B,'Annual Data'!$A239,'Quarterly Data'!J:J)</f>
        <v>0</v>
      </c>
      <c r="I239">
        <f>SUMIF('Quarterly Data'!$B:$B,'Annual Data'!$A239,'Quarterly Data'!K:K)</f>
        <v>0</v>
      </c>
      <c r="J239">
        <f>SUMIF('Quarterly Data'!$B:$B,'Annual Data'!$A239,'Quarterly Data'!L:L)</f>
        <v>0</v>
      </c>
      <c r="K239" t="e">
        <f>AVERAGEIF('Quarterly Data'!$B:$B,'Annual Data'!$A239,'Quarterly Data'!M:M)</f>
        <v>#DIV/0!</v>
      </c>
      <c r="L239" t="e">
        <f>AVERAGEIF('Quarterly Data'!$B:$B,'Annual Data'!$A239,'Quarterly Data'!N:N)</f>
        <v>#DIV/0!</v>
      </c>
      <c r="M239" t="e">
        <f>AVERAGEIF('Quarterly Data'!$B:$B,'Annual Data'!$A239,'Quarterly Data'!O:O)</f>
        <v>#DIV/0!</v>
      </c>
      <c r="N239" t="e">
        <f>AVERAGEIF('Quarterly Data'!$B:$B,'Annual Data'!$A239,'Quarterly Data'!P:P)</f>
        <v>#DIV/0!</v>
      </c>
      <c r="O239" t="e">
        <f>AVERAGEIF('Quarterly Data'!$B:$B,'Annual Data'!$A239,'Quarterly Data'!Q:Q)</f>
        <v>#DIV/0!</v>
      </c>
      <c r="P239">
        <f>SUMIF('Quarterly Data'!$B:$B,'Annual Data'!$A239,'Quarterly Data'!R:R)</f>
        <v>0</v>
      </c>
      <c r="Q239">
        <f>SUMIF('Quarterly Data'!$B:$B,'Annual Data'!$A239,'Quarterly Data'!S:S)</f>
        <v>0</v>
      </c>
      <c r="R239" t="e">
        <f>AVERAGEIF('Quarterly Data'!$B:$B,'Annual Data'!$A239,'Quarterly Data'!T:T)</f>
        <v>#DIV/0!</v>
      </c>
      <c r="S239">
        <f>SUMIF('Quarterly Data'!$B:$B,'Annual Data'!$A239,'Quarterly Data'!U:U)</f>
        <v>0</v>
      </c>
      <c r="T239">
        <f>SUMIF('Quarterly Data'!$B:$B,'Annual Data'!$A239,'Quarterly Data'!V:V)</f>
        <v>0</v>
      </c>
      <c r="U239">
        <f>SUMIF('Quarterly Data'!$B:$B,'Annual Data'!$A239,'Quarterly Data'!W:W)</f>
        <v>0</v>
      </c>
      <c r="V239">
        <f>SUMIF('Quarterly Data'!$B:$B,'Annual Data'!$A239,'Quarterly Data'!X:X)</f>
        <v>0</v>
      </c>
      <c r="W239">
        <f>SUMIF('Quarterly Data'!$B:$B,'Annual Data'!$A239,'Quarterly Data'!Y:Y)</f>
        <v>0</v>
      </c>
      <c r="X239">
        <f>SUMIF('Quarterly Data'!$B:$B,'Annual Data'!$A239,'Quarterly Data'!Z:Z)</f>
        <v>0</v>
      </c>
      <c r="Y239">
        <f>SUMIF('Quarterly Data'!$B:$B,'Annual Data'!$A239,'Quarterly Data'!AA:AA)</f>
        <v>0</v>
      </c>
      <c r="Z239" t="e">
        <f>AVERAGEIF('Quarterly Data'!$B:$B,'Annual Data'!$A239,'Quarterly Data'!AB:AB)</f>
        <v>#DIV/0!</v>
      </c>
      <c r="AA239" t="e">
        <f>AVERAGEIF('Quarterly Data'!$B:$B,'Annual Data'!$A239,'Quarterly Data'!AC:AC)</f>
        <v>#DIV/0!</v>
      </c>
      <c r="AB239" t="e">
        <f>AVERAGEIF('Quarterly Data'!$B:$B,'Annual Data'!$A239,'Quarterly Data'!AD:AD)</f>
        <v>#DIV/0!</v>
      </c>
      <c r="AC239" t="e">
        <f>AVERAGEIF('Quarterly Data'!$B:$B,'Annual Data'!$A239,'Quarterly Data'!AE:AE)</f>
        <v>#DIV/0!</v>
      </c>
      <c r="AD239" t="e">
        <f>AVERAGEIF('Quarterly Data'!$B:$B,'Annual Data'!$A239,'Quarterly Data'!AF:AF)</f>
        <v>#DIV/0!</v>
      </c>
      <c r="AE239">
        <f>SUMIF('Quarterly Data'!$B:$B,'Annual Data'!$A239,'Quarterly Data'!AG:AG)</f>
        <v>0</v>
      </c>
    </row>
    <row r="240" spans="1:31" x14ac:dyDescent="0.25">
      <c r="A240">
        <v>2206</v>
      </c>
      <c r="B240">
        <f>SUMIF('Quarterly Data'!$B:$B,'Annual Data'!$A240,'Quarterly Data'!D:D)</f>
        <v>0</v>
      </c>
      <c r="C240" t="e">
        <f>AVERAGEIF('Quarterly Data'!$B:$B,'Annual Data'!$A240,'Quarterly Data'!E:E)</f>
        <v>#DIV/0!</v>
      </c>
      <c r="D240">
        <f>SUMIF('Quarterly Data'!$B:$B,'Annual Data'!$A240,'Quarterly Data'!F:F)</f>
        <v>0</v>
      </c>
      <c r="E240">
        <f>SUMIF('Quarterly Data'!$B:$B,'Annual Data'!$A240,'Quarterly Data'!G:G)</f>
        <v>0</v>
      </c>
      <c r="F240">
        <f>SUMIF('Quarterly Data'!$B:$B,'Annual Data'!$A240,'Quarterly Data'!H:H)</f>
        <v>0</v>
      </c>
      <c r="G240">
        <f>SUMIF('Quarterly Data'!$B:$B,'Annual Data'!$A240,'Quarterly Data'!I:I)</f>
        <v>0</v>
      </c>
      <c r="H240">
        <f>SUMIF('Quarterly Data'!$B:$B,'Annual Data'!$A240,'Quarterly Data'!J:J)</f>
        <v>0</v>
      </c>
      <c r="I240">
        <f>SUMIF('Quarterly Data'!$B:$B,'Annual Data'!$A240,'Quarterly Data'!K:K)</f>
        <v>0</v>
      </c>
      <c r="J240">
        <f>SUMIF('Quarterly Data'!$B:$B,'Annual Data'!$A240,'Quarterly Data'!L:L)</f>
        <v>0</v>
      </c>
      <c r="K240" t="e">
        <f>AVERAGEIF('Quarterly Data'!$B:$B,'Annual Data'!$A240,'Quarterly Data'!M:M)</f>
        <v>#DIV/0!</v>
      </c>
      <c r="L240" t="e">
        <f>AVERAGEIF('Quarterly Data'!$B:$B,'Annual Data'!$A240,'Quarterly Data'!N:N)</f>
        <v>#DIV/0!</v>
      </c>
      <c r="M240" t="e">
        <f>AVERAGEIF('Quarterly Data'!$B:$B,'Annual Data'!$A240,'Quarterly Data'!O:O)</f>
        <v>#DIV/0!</v>
      </c>
      <c r="N240" t="e">
        <f>AVERAGEIF('Quarterly Data'!$B:$B,'Annual Data'!$A240,'Quarterly Data'!P:P)</f>
        <v>#DIV/0!</v>
      </c>
      <c r="O240" t="e">
        <f>AVERAGEIF('Quarterly Data'!$B:$B,'Annual Data'!$A240,'Quarterly Data'!Q:Q)</f>
        <v>#DIV/0!</v>
      </c>
      <c r="P240">
        <f>SUMIF('Quarterly Data'!$B:$B,'Annual Data'!$A240,'Quarterly Data'!R:R)</f>
        <v>0</v>
      </c>
      <c r="Q240">
        <f>SUMIF('Quarterly Data'!$B:$B,'Annual Data'!$A240,'Quarterly Data'!S:S)</f>
        <v>0</v>
      </c>
      <c r="R240" t="e">
        <f>AVERAGEIF('Quarterly Data'!$B:$B,'Annual Data'!$A240,'Quarterly Data'!T:T)</f>
        <v>#DIV/0!</v>
      </c>
      <c r="S240">
        <f>SUMIF('Quarterly Data'!$B:$B,'Annual Data'!$A240,'Quarterly Data'!U:U)</f>
        <v>0</v>
      </c>
      <c r="T240">
        <f>SUMIF('Quarterly Data'!$B:$B,'Annual Data'!$A240,'Quarterly Data'!V:V)</f>
        <v>0</v>
      </c>
      <c r="U240">
        <f>SUMIF('Quarterly Data'!$B:$B,'Annual Data'!$A240,'Quarterly Data'!W:W)</f>
        <v>0</v>
      </c>
      <c r="V240">
        <f>SUMIF('Quarterly Data'!$B:$B,'Annual Data'!$A240,'Quarterly Data'!X:X)</f>
        <v>0</v>
      </c>
      <c r="W240">
        <f>SUMIF('Quarterly Data'!$B:$B,'Annual Data'!$A240,'Quarterly Data'!Y:Y)</f>
        <v>0</v>
      </c>
      <c r="X240">
        <f>SUMIF('Quarterly Data'!$B:$B,'Annual Data'!$A240,'Quarterly Data'!Z:Z)</f>
        <v>0</v>
      </c>
      <c r="Y240">
        <f>SUMIF('Quarterly Data'!$B:$B,'Annual Data'!$A240,'Quarterly Data'!AA:AA)</f>
        <v>0</v>
      </c>
      <c r="Z240" t="e">
        <f>AVERAGEIF('Quarterly Data'!$B:$B,'Annual Data'!$A240,'Quarterly Data'!AB:AB)</f>
        <v>#DIV/0!</v>
      </c>
      <c r="AA240" t="e">
        <f>AVERAGEIF('Quarterly Data'!$B:$B,'Annual Data'!$A240,'Quarterly Data'!AC:AC)</f>
        <v>#DIV/0!</v>
      </c>
      <c r="AB240" t="e">
        <f>AVERAGEIF('Quarterly Data'!$B:$B,'Annual Data'!$A240,'Quarterly Data'!AD:AD)</f>
        <v>#DIV/0!</v>
      </c>
      <c r="AC240" t="e">
        <f>AVERAGEIF('Quarterly Data'!$B:$B,'Annual Data'!$A240,'Quarterly Data'!AE:AE)</f>
        <v>#DIV/0!</v>
      </c>
      <c r="AD240" t="e">
        <f>AVERAGEIF('Quarterly Data'!$B:$B,'Annual Data'!$A240,'Quarterly Data'!AF:AF)</f>
        <v>#DIV/0!</v>
      </c>
      <c r="AE240">
        <f>SUMIF('Quarterly Data'!$B:$B,'Annual Data'!$A240,'Quarterly Data'!AG:AG)</f>
        <v>0</v>
      </c>
    </row>
    <row r="241" spans="1:31" x14ac:dyDescent="0.25">
      <c r="A241">
        <v>2207</v>
      </c>
      <c r="B241">
        <f>SUMIF('Quarterly Data'!$B:$B,'Annual Data'!$A241,'Quarterly Data'!D:D)</f>
        <v>0</v>
      </c>
      <c r="C241" t="e">
        <f>AVERAGEIF('Quarterly Data'!$B:$B,'Annual Data'!$A241,'Quarterly Data'!E:E)</f>
        <v>#DIV/0!</v>
      </c>
      <c r="D241">
        <f>SUMIF('Quarterly Data'!$B:$B,'Annual Data'!$A241,'Quarterly Data'!F:F)</f>
        <v>0</v>
      </c>
      <c r="E241">
        <f>SUMIF('Quarterly Data'!$B:$B,'Annual Data'!$A241,'Quarterly Data'!G:G)</f>
        <v>0</v>
      </c>
      <c r="F241">
        <f>SUMIF('Quarterly Data'!$B:$B,'Annual Data'!$A241,'Quarterly Data'!H:H)</f>
        <v>0</v>
      </c>
      <c r="G241">
        <f>SUMIF('Quarterly Data'!$B:$B,'Annual Data'!$A241,'Quarterly Data'!I:I)</f>
        <v>0</v>
      </c>
      <c r="H241">
        <f>SUMIF('Quarterly Data'!$B:$B,'Annual Data'!$A241,'Quarterly Data'!J:J)</f>
        <v>0</v>
      </c>
      <c r="I241">
        <f>SUMIF('Quarterly Data'!$B:$B,'Annual Data'!$A241,'Quarterly Data'!K:K)</f>
        <v>0</v>
      </c>
      <c r="J241">
        <f>SUMIF('Quarterly Data'!$B:$B,'Annual Data'!$A241,'Quarterly Data'!L:L)</f>
        <v>0</v>
      </c>
      <c r="K241" t="e">
        <f>AVERAGEIF('Quarterly Data'!$B:$B,'Annual Data'!$A241,'Quarterly Data'!M:M)</f>
        <v>#DIV/0!</v>
      </c>
      <c r="L241" t="e">
        <f>AVERAGEIF('Quarterly Data'!$B:$B,'Annual Data'!$A241,'Quarterly Data'!N:N)</f>
        <v>#DIV/0!</v>
      </c>
      <c r="M241" t="e">
        <f>AVERAGEIF('Quarterly Data'!$B:$B,'Annual Data'!$A241,'Quarterly Data'!O:O)</f>
        <v>#DIV/0!</v>
      </c>
      <c r="N241" t="e">
        <f>AVERAGEIF('Quarterly Data'!$B:$B,'Annual Data'!$A241,'Quarterly Data'!P:P)</f>
        <v>#DIV/0!</v>
      </c>
      <c r="O241" t="e">
        <f>AVERAGEIF('Quarterly Data'!$B:$B,'Annual Data'!$A241,'Quarterly Data'!Q:Q)</f>
        <v>#DIV/0!</v>
      </c>
      <c r="P241">
        <f>SUMIF('Quarterly Data'!$B:$B,'Annual Data'!$A241,'Quarterly Data'!R:R)</f>
        <v>0</v>
      </c>
      <c r="Q241">
        <f>SUMIF('Quarterly Data'!$B:$B,'Annual Data'!$A241,'Quarterly Data'!S:S)</f>
        <v>0</v>
      </c>
      <c r="R241" t="e">
        <f>AVERAGEIF('Quarterly Data'!$B:$B,'Annual Data'!$A241,'Quarterly Data'!T:T)</f>
        <v>#DIV/0!</v>
      </c>
      <c r="S241">
        <f>SUMIF('Quarterly Data'!$B:$B,'Annual Data'!$A241,'Quarterly Data'!U:U)</f>
        <v>0</v>
      </c>
      <c r="T241">
        <f>SUMIF('Quarterly Data'!$B:$B,'Annual Data'!$A241,'Quarterly Data'!V:V)</f>
        <v>0</v>
      </c>
      <c r="U241">
        <f>SUMIF('Quarterly Data'!$B:$B,'Annual Data'!$A241,'Quarterly Data'!W:W)</f>
        <v>0</v>
      </c>
      <c r="V241">
        <f>SUMIF('Quarterly Data'!$B:$B,'Annual Data'!$A241,'Quarterly Data'!X:X)</f>
        <v>0</v>
      </c>
      <c r="W241">
        <f>SUMIF('Quarterly Data'!$B:$B,'Annual Data'!$A241,'Quarterly Data'!Y:Y)</f>
        <v>0</v>
      </c>
      <c r="X241">
        <f>SUMIF('Quarterly Data'!$B:$B,'Annual Data'!$A241,'Quarterly Data'!Z:Z)</f>
        <v>0</v>
      </c>
      <c r="Y241">
        <f>SUMIF('Quarterly Data'!$B:$B,'Annual Data'!$A241,'Quarterly Data'!AA:AA)</f>
        <v>0</v>
      </c>
      <c r="Z241" t="e">
        <f>AVERAGEIF('Quarterly Data'!$B:$B,'Annual Data'!$A241,'Quarterly Data'!AB:AB)</f>
        <v>#DIV/0!</v>
      </c>
      <c r="AA241" t="e">
        <f>AVERAGEIF('Quarterly Data'!$B:$B,'Annual Data'!$A241,'Quarterly Data'!AC:AC)</f>
        <v>#DIV/0!</v>
      </c>
      <c r="AB241" t="e">
        <f>AVERAGEIF('Quarterly Data'!$B:$B,'Annual Data'!$A241,'Quarterly Data'!AD:AD)</f>
        <v>#DIV/0!</v>
      </c>
      <c r="AC241" t="e">
        <f>AVERAGEIF('Quarterly Data'!$B:$B,'Annual Data'!$A241,'Quarterly Data'!AE:AE)</f>
        <v>#DIV/0!</v>
      </c>
      <c r="AD241" t="e">
        <f>AVERAGEIF('Quarterly Data'!$B:$B,'Annual Data'!$A241,'Quarterly Data'!AF:AF)</f>
        <v>#DIV/0!</v>
      </c>
      <c r="AE241">
        <f>SUMIF('Quarterly Data'!$B:$B,'Annual Data'!$A241,'Quarterly Data'!AG:AG)</f>
        <v>0</v>
      </c>
    </row>
    <row r="242" spans="1:31" x14ac:dyDescent="0.25">
      <c r="A242">
        <v>2208</v>
      </c>
      <c r="B242">
        <f>SUMIF('Quarterly Data'!$B:$B,'Annual Data'!$A242,'Quarterly Data'!D:D)</f>
        <v>0</v>
      </c>
      <c r="C242" t="e">
        <f>AVERAGEIF('Quarterly Data'!$B:$B,'Annual Data'!$A242,'Quarterly Data'!E:E)</f>
        <v>#DIV/0!</v>
      </c>
      <c r="D242">
        <f>SUMIF('Quarterly Data'!$B:$B,'Annual Data'!$A242,'Quarterly Data'!F:F)</f>
        <v>0</v>
      </c>
      <c r="E242">
        <f>SUMIF('Quarterly Data'!$B:$B,'Annual Data'!$A242,'Quarterly Data'!G:G)</f>
        <v>0</v>
      </c>
      <c r="F242">
        <f>SUMIF('Quarterly Data'!$B:$B,'Annual Data'!$A242,'Quarterly Data'!H:H)</f>
        <v>0</v>
      </c>
      <c r="G242">
        <f>SUMIF('Quarterly Data'!$B:$B,'Annual Data'!$A242,'Quarterly Data'!I:I)</f>
        <v>0</v>
      </c>
      <c r="H242">
        <f>SUMIF('Quarterly Data'!$B:$B,'Annual Data'!$A242,'Quarterly Data'!J:J)</f>
        <v>0</v>
      </c>
      <c r="I242">
        <f>SUMIF('Quarterly Data'!$B:$B,'Annual Data'!$A242,'Quarterly Data'!K:K)</f>
        <v>0</v>
      </c>
      <c r="J242">
        <f>SUMIF('Quarterly Data'!$B:$B,'Annual Data'!$A242,'Quarterly Data'!L:L)</f>
        <v>0</v>
      </c>
      <c r="K242" t="e">
        <f>AVERAGEIF('Quarterly Data'!$B:$B,'Annual Data'!$A242,'Quarterly Data'!M:M)</f>
        <v>#DIV/0!</v>
      </c>
      <c r="L242" t="e">
        <f>AVERAGEIF('Quarterly Data'!$B:$B,'Annual Data'!$A242,'Quarterly Data'!N:N)</f>
        <v>#DIV/0!</v>
      </c>
      <c r="M242" t="e">
        <f>AVERAGEIF('Quarterly Data'!$B:$B,'Annual Data'!$A242,'Quarterly Data'!O:O)</f>
        <v>#DIV/0!</v>
      </c>
      <c r="N242" t="e">
        <f>AVERAGEIF('Quarterly Data'!$B:$B,'Annual Data'!$A242,'Quarterly Data'!P:P)</f>
        <v>#DIV/0!</v>
      </c>
      <c r="O242" t="e">
        <f>AVERAGEIF('Quarterly Data'!$B:$B,'Annual Data'!$A242,'Quarterly Data'!Q:Q)</f>
        <v>#DIV/0!</v>
      </c>
      <c r="P242">
        <f>SUMIF('Quarterly Data'!$B:$B,'Annual Data'!$A242,'Quarterly Data'!R:R)</f>
        <v>0</v>
      </c>
      <c r="Q242">
        <f>SUMIF('Quarterly Data'!$B:$B,'Annual Data'!$A242,'Quarterly Data'!S:S)</f>
        <v>0</v>
      </c>
      <c r="R242" t="e">
        <f>AVERAGEIF('Quarterly Data'!$B:$B,'Annual Data'!$A242,'Quarterly Data'!T:T)</f>
        <v>#DIV/0!</v>
      </c>
      <c r="S242">
        <f>SUMIF('Quarterly Data'!$B:$B,'Annual Data'!$A242,'Quarterly Data'!U:U)</f>
        <v>0</v>
      </c>
      <c r="T242">
        <f>SUMIF('Quarterly Data'!$B:$B,'Annual Data'!$A242,'Quarterly Data'!V:V)</f>
        <v>0</v>
      </c>
      <c r="U242">
        <f>SUMIF('Quarterly Data'!$B:$B,'Annual Data'!$A242,'Quarterly Data'!W:W)</f>
        <v>0</v>
      </c>
      <c r="V242">
        <f>SUMIF('Quarterly Data'!$B:$B,'Annual Data'!$A242,'Quarterly Data'!X:X)</f>
        <v>0</v>
      </c>
      <c r="W242">
        <f>SUMIF('Quarterly Data'!$B:$B,'Annual Data'!$A242,'Quarterly Data'!Y:Y)</f>
        <v>0</v>
      </c>
      <c r="X242">
        <f>SUMIF('Quarterly Data'!$B:$B,'Annual Data'!$A242,'Quarterly Data'!Z:Z)</f>
        <v>0</v>
      </c>
      <c r="Y242">
        <f>SUMIF('Quarterly Data'!$B:$B,'Annual Data'!$A242,'Quarterly Data'!AA:AA)</f>
        <v>0</v>
      </c>
      <c r="Z242" t="e">
        <f>AVERAGEIF('Quarterly Data'!$B:$B,'Annual Data'!$A242,'Quarterly Data'!AB:AB)</f>
        <v>#DIV/0!</v>
      </c>
      <c r="AA242" t="e">
        <f>AVERAGEIF('Quarterly Data'!$B:$B,'Annual Data'!$A242,'Quarterly Data'!AC:AC)</f>
        <v>#DIV/0!</v>
      </c>
      <c r="AB242" t="e">
        <f>AVERAGEIF('Quarterly Data'!$B:$B,'Annual Data'!$A242,'Quarterly Data'!AD:AD)</f>
        <v>#DIV/0!</v>
      </c>
      <c r="AC242" t="e">
        <f>AVERAGEIF('Quarterly Data'!$B:$B,'Annual Data'!$A242,'Quarterly Data'!AE:AE)</f>
        <v>#DIV/0!</v>
      </c>
      <c r="AD242" t="e">
        <f>AVERAGEIF('Quarterly Data'!$B:$B,'Annual Data'!$A242,'Quarterly Data'!AF:AF)</f>
        <v>#DIV/0!</v>
      </c>
      <c r="AE242">
        <f>SUMIF('Quarterly Data'!$B:$B,'Annual Data'!$A242,'Quarterly Data'!AG:AG)</f>
        <v>0</v>
      </c>
    </row>
    <row r="243" spans="1:31" x14ac:dyDescent="0.25">
      <c r="A243">
        <v>2209</v>
      </c>
      <c r="B243">
        <f>SUMIF('Quarterly Data'!$B:$B,'Annual Data'!$A243,'Quarterly Data'!D:D)</f>
        <v>0</v>
      </c>
      <c r="C243" t="e">
        <f>AVERAGEIF('Quarterly Data'!$B:$B,'Annual Data'!$A243,'Quarterly Data'!E:E)</f>
        <v>#DIV/0!</v>
      </c>
      <c r="D243">
        <f>SUMIF('Quarterly Data'!$B:$B,'Annual Data'!$A243,'Quarterly Data'!F:F)</f>
        <v>0</v>
      </c>
      <c r="E243">
        <f>SUMIF('Quarterly Data'!$B:$B,'Annual Data'!$A243,'Quarterly Data'!G:G)</f>
        <v>0</v>
      </c>
      <c r="F243">
        <f>SUMIF('Quarterly Data'!$B:$B,'Annual Data'!$A243,'Quarterly Data'!H:H)</f>
        <v>0</v>
      </c>
      <c r="G243">
        <f>SUMIF('Quarterly Data'!$B:$B,'Annual Data'!$A243,'Quarterly Data'!I:I)</f>
        <v>0</v>
      </c>
      <c r="H243">
        <f>SUMIF('Quarterly Data'!$B:$B,'Annual Data'!$A243,'Quarterly Data'!J:J)</f>
        <v>0</v>
      </c>
      <c r="I243">
        <f>SUMIF('Quarterly Data'!$B:$B,'Annual Data'!$A243,'Quarterly Data'!K:K)</f>
        <v>0</v>
      </c>
      <c r="J243">
        <f>SUMIF('Quarterly Data'!$B:$B,'Annual Data'!$A243,'Quarterly Data'!L:L)</f>
        <v>0</v>
      </c>
      <c r="K243" t="e">
        <f>AVERAGEIF('Quarterly Data'!$B:$B,'Annual Data'!$A243,'Quarterly Data'!M:M)</f>
        <v>#DIV/0!</v>
      </c>
      <c r="L243" t="e">
        <f>AVERAGEIF('Quarterly Data'!$B:$B,'Annual Data'!$A243,'Quarterly Data'!N:N)</f>
        <v>#DIV/0!</v>
      </c>
      <c r="M243" t="e">
        <f>AVERAGEIF('Quarterly Data'!$B:$B,'Annual Data'!$A243,'Quarterly Data'!O:O)</f>
        <v>#DIV/0!</v>
      </c>
      <c r="N243" t="e">
        <f>AVERAGEIF('Quarterly Data'!$B:$B,'Annual Data'!$A243,'Quarterly Data'!P:P)</f>
        <v>#DIV/0!</v>
      </c>
      <c r="O243" t="e">
        <f>AVERAGEIF('Quarterly Data'!$B:$B,'Annual Data'!$A243,'Quarterly Data'!Q:Q)</f>
        <v>#DIV/0!</v>
      </c>
      <c r="P243">
        <f>SUMIF('Quarterly Data'!$B:$B,'Annual Data'!$A243,'Quarterly Data'!R:R)</f>
        <v>0</v>
      </c>
      <c r="Q243">
        <f>SUMIF('Quarterly Data'!$B:$B,'Annual Data'!$A243,'Quarterly Data'!S:S)</f>
        <v>0</v>
      </c>
      <c r="R243" t="e">
        <f>AVERAGEIF('Quarterly Data'!$B:$B,'Annual Data'!$A243,'Quarterly Data'!T:T)</f>
        <v>#DIV/0!</v>
      </c>
      <c r="S243">
        <f>SUMIF('Quarterly Data'!$B:$B,'Annual Data'!$A243,'Quarterly Data'!U:U)</f>
        <v>0</v>
      </c>
      <c r="T243">
        <f>SUMIF('Quarterly Data'!$B:$B,'Annual Data'!$A243,'Quarterly Data'!V:V)</f>
        <v>0</v>
      </c>
      <c r="U243">
        <f>SUMIF('Quarterly Data'!$B:$B,'Annual Data'!$A243,'Quarterly Data'!W:W)</f>
        <v>0</v>
      </c>
      <c r="V243">
        <f>SUMIF('Quarterly Data'!$B:$B,'Annual Data'!$A243,'Quarterly Data'!X:X)</f>
        <v>0</v>
      </c>
      <c r="W243">
        <f>SUMIF('Quarterly Data'!$B:$B,'Annual Data'!$A243,'Quarterly Data'!Y:Y)</f>
        <v>0</v>
      </c>
      <c r="X243">
        <f>SUMIF('Quarterly Data'!$B:$B,'Annual Data'!$A243,'Quarterly Data'!Z:Z)</f>
        <v>0</v>
      </c>
      <c r="Y243">
        <f>SUMIF('Quarterly Data'!$B:$B,'Annual Data'!$A243,'Quarterly Data'!AA:AA)</f>
        <v>0</v>
      </c>
      <c r="Z243" t="e">
        <f>AVERAGEIF('Quarterly Data'!$B:$B,'Annual Data'!$A243,'Quarterly Data'!AB:AB)</f>
        <v>#DIV/0!</v>
      </c>
      <c r="AA243" t="e">
        <f>AVERAGEIF('Quarterly Data'!$B:$B,'Annual Data'!$A243,'Quarterly Data'!AC:AC)</f>
        <v>#DIV/0!</v>
      </c>
      <c r="AB243" t="e">
        <f>AVERAGEIF('Quarterly Data'!$B:$B,'Annual Data'!$A243,'Quarterly Data'!AD:AD)</f>
        <v>#DIV/0!</v>
      </c>
      <c r="AC243" t="e">
        <f>AVERAGEIF('Quarterly Data'!$B:$B,'Annual Data'!$A243,'Quarterly Data'!AE:AE)</f>
        <v>#DIV/0!</v>
      </c>
      <c r="AD243" t="e">
        <f>AVERAGEIF('Quarterly Data'!$B:$B,'Annual Data'!$A243,'Quarterly Data'!AF:AF)</f>
        <v>#DIV/0!</v>
      </c>
      <c r="AE243">
        <f>SUMIF('Quarterly Data'!$B:$B,'Annual Data'!$A243,'Quarterly Data'!AG:AG)</f>
        <v>0</v>
      </c>
    </row>
    <row r="244" spans="1:31" x14ac:dyDescent="0.25">
      <c r="A244">
        <v>2210</v>
      </c>
      <c r="B244">
        <f>SUMIF('Quarterly Data'!$B:$B,'Annual Data'!$A244,'Quarterly Data'!D:D)</f>
        <v>0</v>
      </c>
      <c r="C244" t="e">
        <f>AVERAGEIF('Quarterly Data'!$B:$B,'Annual Data'!$A244,'Quarterly Data'!E:E)</f>
        <v>#DIV/0!</v>
      </c>
      <c r="D244">
        <f>SUMIF('Quarterly Data'!$B:$B,'Annual Data'!$A244,'Quarterly Data'!F:F)</f>
        <v>0</v>
      </c>
      <c r="E244">
        <f>SUMIF('Quarterly Data'!$B:$B,'Annual Data'!$A244,'Quarterly Data'!G:G)</f>
        <v>0</v>
      </c>
      <c r="F244">
        <f>SUMIF('Quarterly Data'!$B:$B,'Annual Data'!$A244,'Quarterly Data'!H:H)</f>
        <v>0</v>
      </c>
      <c r="G244">
        <f>SUMIF('Quarterly Data'!$B:$B,'Annual Data'!$A244,'Quarterly Data'!I:I)</f>
        <v>0</v>
      </c>
      <c r="H244">
        <f>SUMIF('Quarterly Data'!$B:$B,'Annual Data'!$A244,'Quarterly Data'!J:J)</f>
        <v>0</v>
      </c>
      <c r="I244">
        <f>SUMIF('Quarterly Data'!$B:$B,'Annual Data'!$A244,'Quarterly Data'!K:K)</f>
        <v>0</v>
      </c>
      <c r="J244">
        <f>SUMIF('Quarterly Data'!$B:$B,'Annual Data'!$A244,'Quarterly Data'!L:L)</f>
        <v>0</v>
      </c>
      <c r="K244" t="e">
        <f>AVERAGEIF('Quarterly Data'!$B:$B,'Annual Data'!$A244,'Quarterly Data'!M:M)</f>
        <v>#DIV/0!</v>
      </c>
      <c r="L244" t="e">
        <f>AVERAGEIF('Quarterly Data'!$B:$B,'Annual Data'!$A244,'Quarterly Data'!N:N)</f>
        <v>#DIV/0!</v>
      </c>
      <c r="M244" t="e">
        <f>AVERAGEIF('Quarterly Data'!$B:$B,'Annual Data'!$A244,'Quarterly Data'!O:O)</f>
        <v>#DIV/0!</v>
      </c>
      <c r="N244" t="e">
        <f>AVERAGEIF('Quarterly Data'!$B:$B,'Annual Data'!$A244,'Quarterly Data'!P:P)</f>
        <v>#DIV/0!</v>
      </c>
      <c r="O244" t="e">
        <f>AVERAGEIF('Quarterly Data'!$B:$B,'Annual Data'!$A244,'Quarterly Data'!Q:Q)</f>
        <v>#DIV/0!</v>
      </c>
      <c r="P244">
        <f>SUMIF('Quarterly Data'!$B:$B,'Annual Data'!$A244,'Quarterly Data'!R:R)</f>
        <v>0</v>
      </c>
      <c r="Q244">
        <f>SUMIF('Quarterly Data'!$B:$B,'Annual Data'!$A244,'Quarterly Data'!S:S)</f>
        <v>0</v>
      </c>
      <c r="R244" t="e">
        <f>AVERAGEIF('Quarterly Data'!$B:$B,'Annual Data'!$A244,'Quarterly Data'!T:T)</f>
        <v>#DIV/0!</v>
      </c>
      <c r="S244">
        <f>SUMIF('Quarterly Data'!$B:$B,'Annual Data'!$A244,'Quarterly Data'!U:U)</f>
        <v>0</v>
      </c>
      <c r="T244">
        <f>SUMIF('Quarterly Data'!$B:$B,'Annual Data'!$A244,'Quarterly Data'!V:V)</f>
        <v>0</v>
      </c>
      <c r="U244">
        <f>SUMIF('Quarterly Data'!$B:$B,'Annual Data'!$A244,'Quarterly Data'!W:W)</f>
        <v>0</v>
      </c>
      <c r="V244">
        <f>SUMIF('Quarterly Data'!$B:$B,'Annual Data'!$A244,'Quarterly Data'!X:X)</f>
        <v>0</v>
      </c>
      <c r="W244">
        <f>SUMIF('Quarterly Data'!$B:$B,'Annual Data'!$A244,'Quarterly Data'!Y:Y)</f>
        <v>0</v>
      </c>
      <c r="X244">
        <f>SUMIF('Quarterly Data'!$B:$B,'Annual Data'!$A244,'Quarterly Data'!Z:Z)</f>
        <v>0</v>
      </c>
      <c r="Y244">
        <f>SUMIF('Quarterly Data'!$B:$B,'Annual Data'!$A244,'Quarterly Data'!AA:AA)</f>
        <v>0</v>
      </c>
      <c r="Z244" t="e">
        <f>AVERAGEIF('Quarterly Data'!$B:$B,'Annual Data'!$A244,'Quarterly Data'!AB:AB)</f>
        <v>#DIV/0!</v>
      </c>
      <c r="AA244" t="e">
        <f>AVERAGEIF('Quarterly Data'!$B:$B,'Annual Data'!$A244,'Quarterly Data'!AC:AC)</f>
        <v>#DIV/0!</v>
      </c>
      <c r="AB244" t="e">
        <f>AVERAGEIF('Quarterly Data'!$B:$B,'Annual Data'!$A244,'Quarterly Data'!AD:AD)</f>
        <v>#DIV/0!</v>
      </c>
      <c r="AC244" t="e">
        <f>AVERAGEIF('Quarterly Data'!$B:$B,'Annual Data'!$A244,'Quarterly Data'!AE:AE)</f>
        <v>#DIV/0!</v>
      </c>
      <c r="AD244" t="e">
        <f>AVERAGEIF('Quarterly Data'!$B:$B,'Annual Data'!$A244,'Quarterly Data'!AF:AF)</f>
        <v>#DIV/0!</v>
      </c>
      <c r="AE244">
        <f>SUMIF('Quarterly Data'!$B:$B,'Annual Data'!$A244,'Quarterly Data'!AG:AG)</f>
        <v>0</v>
      </c>
    </row>
    <row r="245" spans="1:31" x14ac:dyDescent="0.25">
      <c r="A245">
        <v>2211</v>
      </c>
      <c r="B245">
        <f>SUMIF('Quarterly Data'!$B:$B,'Annual Data'!$A245,'Quarterly Data'!D:D)</f>
        <v>0</v>
      </c>
      <c r="C245" t="e">
        <f>AVERAGEIF('Quarterly Data'!$B:$B,'Annual Data'!$A245,'Quarterly Data'!E:E)</f>
        <v>#DIV/0!</v>
      </c>
      <c r="D245">
        <f>SUMIF('Quarterly Data'!$B:$B,'Annual Data'!$A245,'Quarterly Data'!F:F)</f>
        <v>0</v>
      </c>
      <c r="E245">
        <f>SUMIF('Quarterly Data'!$B:$B,'Annual Data'!$A245,'Quarterly Data'!G:G)</f>
        <v>0</v>
      </c>
      <c r="F245">
        <f>SUMIF('Quarterly Data'!$B:$B,'Annual Data'!$A245,'Quarterly Data'!H:H)</f>
        <v>0</v>
      </c>
      <c r="G245">
        <f>SUMIF('Quarterly Data'!$B:$B,'Annual Data'!$A245,'Quarterly Data'!I:I)</f>
        <v>0</v>
      </c>
      <c r="H245">
        <f>SUMIF('Quarterly Data'!$B:$B,'Annual Data'!$A245,'Quarterly Data'!J:J)</f>
        <v>0</v>
      </c>
      <c r="I245">
        <f>SUMIF('Quarterly Data'!$B:$B,'Annual Data'!$A245,'Quarterly Data'!K:K)</f>
        <v>0</v>
      </c>
      <c r="J245">
        <f>SUMIF('Quarterly Data'!$B:$B,'Annual Data'!$A245,'Quarterly Data'!L:L)</f>
        <v>0</v>
      </c>
      <c r="K245" t="e">
        <f>AVERAGEIF('Quarterly Data'!$B:$B,'Annual Data'!$A245,'Quarterly Data'!M:M)</f>
        <v>#DIV/0!</v>
      </c>
      <c r="L245" t="e">
        <f>AVERAGEIF('Quarterly Data'!$B:$B,'Annual Data'!$A245,'Quarterly Data'!N:N)</f>
        <v>#DIV/0!</v>
      </c>
      <c r="M245" t="e">
        <f>AVERAGEIF('Quarterly Data'!$B:$B,'Annual Data'!$A245,'Quarterly Data'!O:O)</f>
        <v>#DIV/0!</v>
      </c>
      <c r="N245" t="e">
        <f>AVERAGEIF('Quarterly Data'!$B:$B,'Annual Data'!$A245,'Quarterly Data'!P:P)</f>
        <v>#DIV/0!</v>
      </c>
      <c r="O245" t="e">
        <f>AVERAGEIF('Quarterly Data'!$B:$B,'Annual Data'!$A245,'Quarterly Data'!Q:Q)</f>
        <v>#DIV/0!</v>
      </c>
      <c r="P245">
        <f>SUMIF('Quarterly Data'!$B:$B,'Annual Data'!$A245,'Quarterly Data'!R:R)</f>
        <v>0</v>
      </c>
      <c r="Q245">
        <f>SUMIF('Quarterly Data'!$B:$B,'Annual Data'!$A245,'Quarterly Data'!S:S)</f>
        <v>0</v>
      </c>
      <c r="R245" t="e">
        <f>AVERAGEIF('Quarterly Data'!$B:$B,'Annual Data'!$A245,'Quarterly Data'!T:T)</f>
        <v>#DIV/0!</v>
      </c>
      <c r="S245">
        <f>SUMIF('Quarterly Data'!$B:$B,'Annual Data'!$A245,'Quarterly Data'!U:U)</f>
        <v>0</v>
      </c>
      <c r="T245">
        <f>SUMIF('Quarterly Data'!$B:$B,'Annual Data'!$A245,'Quarterly Data'!V:V)</f>
        <v>0</v>
      </c>
      <c r="U245">
        <f>SUMIF('Quarterly Data'!$B:$B,'Annual Data'!$A245,'Quarterly Data'!W:W)</f>
        <v>0</v>
      </c>
      <c r="V245">
        <f>SUMIF('Quarterly Data'!$B:$B,'Annual Data'!$A245,'Quarterly Data'!X:X)</f>
        <v>0</v>
      </c>
      <c r="W245">
        <f>SUMIF('Quarterly Data'!$B:$B,'Annual Data'!$A245,'Quarterly Data'!Y:Y)</f>
        <v>0</v>
      </c>
      <c r="X245">
        <f>SUMIF('Quarterly Data'!$B:$B,'Annual Data'!$A245,'Quarterly Data'!Z:Z)</f>
        <v>0</v>
      </c>
      <c r="Y245">
        <f>SUMIF('Quarterly Data'!$B:$B,'Annual Data'!$A245,'Quarterly Data'!AA:AA)</f>
        <v>0</v>
      </c>
      <c r="Z245" t="e">
        <f>AVERAGEIF('Quarterly Data'!$B:$B,'Annual Data'!$A245,'Quarterly Data'!AB:AB)</f>
        <v>#DIV/0!</v>
      </c>
      <c r="AA245" t="e">
        <f>AVERAGEIF('Quarterly Data'!$B:$B,'Annual Data'!$A245,'Quarterly Data'!AC:AC)</f>
        <v>#DIV/0!</v>
      </c>
      <c r="AB245" t="e">
        <f>AVERAGEIF('Quarterly Data'!$B:$B,'Annual Data'!$A245,'Quarterly Data'!AD:AD)</f>
        <v>#DIV/0!</v>
      </c>
      <c r="AC245" t="e">
        <f>AVERAGEIF('Quarterly Data'!$B:$B,'Annual Data'!$A245,'Quarterly Data'!AE:AE)</f>
        <v>#DIV/0!</v>
      </c>
      <c r="AD245" t="e">
        <f>AVERAGEIF('Quarterly Data'!$B:$B,'Annual Data'!$A245,'Quarterly Data'!AF:AF)</f>
        <v>#DIV/0!</v>
      </c>
      <c r="AE245">
        <f>SUMIF('Quarterly Data'!$B:$B,'Annual Data'!$A245,'Quarterly Data'!AG:AG)</f>
        <v>0</v>
      </c>
    </row>
    <row r="246" spans="1:31" x14ac:dyDescent="0.25">
      <c r="A246">
        <v>2212</v>
      </c>
      <c r="B246">
        <f>SUMIF('Quarterly Data'!$B:$B,'Annual Data'!$A246,'Quarterly Data'!D:D)</f>
        <v>0</v>
      </c>
      <c r="C246" t="e">
        <f>AVERAGEIF('Quarterly Data'!$B:$B,'Annual Data'!$A246,'Quarterly Data'!E:E)</f>
        <v>#DIV/0!</v>
      </c>
      <c r="D246">
        <f>SUMIF('Quarterly Data'!$B:$B,'Annual Data'!$A246,'Quarterly Data'!F:F)</f>
        <v>0</v>
      </c>
      <c r="E246">
        <f>SUMIF('Quarterly Data'!$B:$B,'Annual Data'!$A246,'Quarterly Data'!G:G)</f>
        <v>0</v>
      </c>
      <c r="F246">
        <f>SUMIF('Quarterly Data'!$B:$B,'Annual Data'!$A246,'Quarterly Data'!H:H)</f>
        <v>0</v>
      </c>
      <c r="G246">
        <f>SUMIF('Quarterly Data'!$B:$B,'Annual Data'!$A246,'Quarterly Data'!I:I)</f>
        <v>0</v>
      </c>
      <c r="H246">
        <f>SUMIF('Quarterly Data'!$B:$B,'Annual Data'!$A246,'Quarterly Data'!J:J)</f>
        <v>0</v>
      </c>
      <c r="I246">
        <f>SUMIF('Quarterly Data'!$B:$B,'Annual Data'!$A246,'Quarterly Data'!K:K)</f>
        <v>0</v>
      </c>
      <c r="J246">
        <f>SUMIF('Quarterly Data'!$B:$B,'Annual Data'!$A246,'Quarterly Data'!L:L)</f>
        <v>0</v>
      </c>
      <c r="K246" t="e">
        <f>AVERAGEIF('Quarterly Data'!$B:$B,'Annual Data'!$A246,'Quarterly Data'!M:M)</f>
        <v>#DIV/0!</v>
      </c>
      <c r="L246" t="e">
        <f>AVERAGEIF('Quarterly Data'!$B:$B,'Annual Data'!$A246,'Quarterly Data'!N:N)</f>
        <v>#DIV/0!</v>
      </c>
      <c r="M246" t="e">
        <f>AVERAGEIF('Quarterly Data'!$B:$B,'Annual Data'!$A246,'Quarterly Data'!O:O)</f>
        <v>#DIV/0!</v>
      </c>
      <c r="N246" t="e">
        <f>AVERAGEIF('Quarterly Data'!$B:$B,'Annual Data'!$A246,'Quarterly Data'!P:P)</f>
        <v>#DIV/0!</v>
      </c>
      <c r="O246" t="e">
        <f>AVERAGEIF('Quarterly Data'!$B:$B,'Annual Data'!$A246,'Quarterly Data'!Q:Q)</f>
        <v>#DIV/0!</v>
      </c>
      <c r="P246">
        <f>SUMIF('Quarterly Data'!$B:$B,'Annual Data'!$A246,'Quarterly Data'!R:R)</f>
        <v>0</v>
      </c>
      <c r="Q246">
        <f>SUMIF('Quarterly Data'!$B:$B,'Annual Data'!$A246,'Quarterly Data'!S:S)</f>
        <v>0</v>
      </c>
      <c r="R246" t="e">
        <f>AVERAGEIF('Quarterly Data'!$B:$B,'Annual Data'!$A246,'Quarterly Data'!T:T)</f>
        <v>#DIV/0!</v>
      </c>
      <c r="S246">
        <f>SUMIF('Quarterly Data'!$B:$B,'Annual Data'!$A246,'Quarterly Data'!U:U)</f>
        <v>0</v>
      </c>
      <c r="T246">
        <f>SUMIF('Quarterly Data'!$B:$B,'Annual Data'!$A246,'Quarterly Data'!V:V)</f>
        <v>0</v>
      </c>
      <c r="U246">
        <f>SUMIF('Quarterly Data'!$B:$B,'Annual Data'!$A246,'Quarterly Data'!W:W)</f>
        <v>0</v>
      </c>
      <c r="V246">
        <f>SUMIF('Quarterly Data'!$B:$B,'Annual Data'!$A246,'Quarterly Data'!X:X)</f>
        <v>0</v>
      </c>
      <c r="W246">
        <f>SUMIF('Quarterly Data'!$B:$B,'Annual Data'!$A246,'Quarterly Data'!Y:Y)</f>
        <v>0</v>
      </c>
      <c r="X246">
        <f>SUMIF('Quarterly Data'!$B:$B,'Annual Data'!$A246,'Quarterly Data'!Z:Z)</f>
        <v>0</v>
      </c>
      <c r="Y246">
        <f>SUMIF('Quarterly Data'!$B:$B,'Annual Data'!$A246,'Quarterly Data'!AA:AA)</f>
        <v>0</v>
      </c>
      <c r="Z246" t="e">
        <f>AVERAGEIF('Quarterly Data'!$B:$B,'Annual Data'!$A246,'Quarterly Data'!AB:AB)</f>
        <v>#DIV/0!</v>
      </c>
      <c r="AA246" t="e">
        <f>AVERAGEIF('Quarterly Data'!$B:$B,'Annual Data'!$A246,'Quarterly Data'!AC:AC)</f>
        <v>#DIV/0!</v>
      </c>
      <c r="AB246" t="e">
        <f>AVERAGEIF('Quarterly Data'!$B:$B,'Annual Data'!$A246,'Quarterly Data'!AD:AD)</f>
        <v>#DIV/0!</v>
      </c>
      <c r="AC246" t="e">
        <f>AVERAGEIF('Quarterly Data'!$B:$B,'Annual Data'!$A246,'Quarterly Data'!AE:AE)</f>
        <v>#DIV/0!</v>
      </c>
      <c r="AD246" t="e">
        <f>AVERAGEIF('Quarterly Data'!$B:$B,'Annual Data'!$A246,'Quarterly Data'!AF:AF)</f>
        <v>#DIV/0!</v>
      </c>
      <c r="AE246">
        <f>SUMIF('Quarterly Data'!$B:$B,'Annual Data'!$A246,'Quarterly Data'!AG:AG)</f>
        <v>0</v>
      </c>
    </row>
    <row r="247" spans="1:31" x14ac:dyDescent="0.25">
      <c r="A247">
        <v>2213</v>
      </c>
      <c r="B247">
        <f>SUMIF('Quarterly Data'!$B:$B,'Annual Data'!$A247,'Quarterly Data'!D:D)</f>
        <v>0</v>
      </c>
      <c r="C247" t="e">
        <f>AVERAGEIF('Quarterly Data'!$B:$B,'Annual Data'!$A247,'Quarterly Data'!E:E)</f>
        <v>#DIV/0!</v>
      </c>
      <c r="D247">
        <f>SUMIF('Quarterly Data'!$B:$B,'Annual Data'!$A247,'Quarterly Data'!F:F)</f>
        <v>0</v>
      </c>
      <c r="E247">
        <f>SUMIF('Quarterly Data'!$B:$B,'Annual Data'!$A247,'Quarterly Data'!G:G)</f>
        <v>0</v>
      </c>
      <c r="F247">
        <f>SUMIF('Quarterly Data'!$B:$B,'Annual Data'!$A247,'Quarterly Data'!H:H)</f>
        <v>0</v>
      </c>
      <c r="G247">
        <f>SUMIF('Quarterly Data'!$B:$B,'Annual Data'!$A247,'Quarterly Data'!I:I)</f>
        <v>0</v>
      </c>
      <c r="H247">
        <f>SUMIF('Quarterly Data'!$B:$B,'Annual Data'!$A247,'Quarterly Data'!J:J)</f>
        <v>0</v>
      </c>
      <c r="I247">
        <f>SUMIF('Quarterly Data'!$B:$B,'Annual Data'!$A247,'Quarterly Data'!K:K)</f>
        <v>0</v>
      </c>
      <c r="J247">
        <f>SUMIF('Quarterly Data'!$B:$B,'Annual Data'!$A247,'Quarterly Data'!L:L)</f>
        <v>0</v>
      </c>
      <c r="K247" t="e">
        <f>AVERAGEIF('Quarterly Data'!$B:$B,'Annual Data'!$A247,'Quarterly Data'!M:M)</f>
        <v>#DIV/0!</v>
      </c>
      <c r="L247" t="e">
        <f>AVERAGEIF('Quarterly Data'!$B:$B,'Annual Data'!$A247,'Quarterly Data'!N:N)</f>
        <v>#DIV/0!</v>
      </c>
      <c r="M247" t="e">
        <f>AVERAGEIF('Quarterly Data'!$B:$B,'Annual Data'!$A247,'Quarterly Data'!O:O)</f>
        <v>#DIV/0!</v>
      </c>
      <c r="N247" t="e">
        <f>AVERAGEIF('Quarterly Data'!$B:$B,'Annual Data'!$A247,'Quarterly Data'!P:P)</f>
        <v>#DIV/0!</v>
      </c>
      <c r="O247" t="e">
        <f>AVERAGEIF('Quarterly Data'!$B:$B,'Annual Data'!$A247,'Quarterly Data'!Q:Q)</f>
        <v>#DIV/0!</v>
      </c>
      <c r="P247">
        <f>SUMIF('Quarterly Data'!$B:$B,'Annual Data'!$A247,'Quarterly Data'!R:R)</f>
        <v>0</v>
      </c>
      <c r="Q247">
        <f>SUMIF('Quarterly Data'!$B:$B,'Annual Data'!$A247,'Quarterly Data'!S:S)</f>
        <v>0</v>
      </c>
      <c r="R247" t="e">
        <f>AVERAGEIF('Quarterly Data'!$B:$B,'Annual Data'!$A247,'Quarterly Data'!T:T)</f>
        <v>#DIV/0!</v>
      </c>
      <c r="S247">
        <f>SUMIF('Quarterly Data'!$B:$B,'Annual Data'!$A247,'Quarterly Data'!U:U)</f>
        <v>0</v>
      </c>
      <c r="T247">
        <f>SUMIF('Quarterly Data'!$B:$B,'Annual Data'!$A247,'Quarterly Data'!V:V)</f>
        <v>0</v>
      </c>
      <c r="U247">
        <f>SUMIF('Quarterly Data'!$B:$B,'Annual Data'!$A247,'Quarterly Data'!W:W)</f>
        <v>0</v>
      </c>
      <c r="V247">
        <f>SUMIF('Quarterly Data'!$B:$B,'Annual Data'!$A247,'Quarterly Data'!X:X)</f>
        <v>0</v>
      </c>
      <c r="W247">
        <f>SUMIF('Quarterly Data'!$B:$B,'Annual Data'!$A247,'Quarterly Data'!Y:Y)</f>
        <v>0</v>
      </c>
      <c r="X247">
        <f>SUMIF('Quarterly Data'!$B:$B,'Annual Data'!$A247,'Quarterly Data'!Z:Z)</f>
        <v>0</v>
      </c>
      <c r="Y247">
        <f>SUMIF('Quarterly Data'!$B:$B,'Annual Data'!$A247,'Quarterly Data'!AA:AA)</f>
        <v>0</v>
      </c>
      <c r="Z247" t="e">
        <f>AVERAGEIF('Quarterly Data'!$B:$B,'Annual Data'!$A247,'Quarterly Data'!AB:AB)</f>
        <v>#DIV/0!</v>
      </c>
      <c r="AA247" t="e">
        <f>AVERAGEIF('Quarterly Data'!$B:$B,'Annual Data'!$A247,'Quarterly Data'!AC:AC)</f>
        <v>#DIV/0!</v>
      </c>
      <c r="AB247" t="e">
        <f>AVERAGEIF('Quarterly Data'!$B:$B,'Annual Data'!$A247,'Quarterly Data'!AD:AD)</f>
        <v>#DIV/0!</v>
      </c>
      <c r="AC247" t="e">
        <f>AVERAGEIF('Quarterly Data'!$B:$B,'Annual Data'!$A247,'Quarterly Data'!AE:AE)</f>
        <v>#DIV/0!</v>
      </c>
      <c r="AD247" t="e">
        <f>AVERAGEIF('Quarterly Data'!$B:$B,'Annual Data'!$A247,'Quarterly Data'!AF:AF)</f>
        <v>#DIV/0!</v>
      </c>
      <c r="AE247">
        <f>SUMIF('Quarterly Data'!$B:$B,'Annual Data'!$A247,'Quarterly Data'!AG:AG)</f>
        <v>0</v>
      </c>
    </row>
    <row r="248" spans="1:31" x14ac:dyDescent="0.25">
      <c r="A248">
        <v>2214</v>
      </c>
      <c r="B248">
        <f>SUMIF('Quarterly Data'!$B:$B,'Annual Data'!$A248,'Quarterly Data'!D:D)</f>
        <v>0</v>
      </c>
      <c r="C248" t="e">
        <f>AVERAGEIF('Quarterly Data'!$B:$B,'Annual Data'!$A248,'Quarterly Data'!E:E)</f>
        <v>#DIV/0!</v>
      </c>
      <c r="D248">
        <f>SUMIF('Quarterly Data'!$B:$B,'Annual Data'!$A248,'Quarterly Data'!F:F)</f>
        <v>0</v>
      </c>
      <c r="E248">
        <f>SUMIF('Quarterly Data'!$B:$B,'Annual Data'!$A248,'Quarterly Data'!G:G)</f>
        <v>0</v>
      </c>
      <c r="F248">
        <f>SUMIF('Quarterly Data'!$B:$B,'Annual Data'!$A248,'Quarterly Data'!H:H)</f>
        <v>0</v>
      </c>
      <c r="G248">
        <f>SUMIF('Quarterly Data'!$B:$B,'Annual Data'!$A248,'Quarterly Data'!I:I)</f>
        <v>0</v>
      </c>
      <c r="H248">
        <f>SUMIF('Quarterly Data'!$B:$B,'Annual Data'!$A248,'Quarterly Data'!J:J)</f>
        <v>0</v>
      </c>
      <c r="I248">
        <f>SUMIF('Quarterly Data'!$B:$B,'Annual Data'!$A248,'Quarterly Data'!K:K)</f>
        <v>0</v>
      </c>
      <c r="J248">
        <f>SUMIF('Quarterly Data'!$B:$B,'Annual Data'!$A248,'Quarterly Data'!L:L)</f>
        <v>0</v>
      </c>
      <c r="K248" t="e">
        <f>AVERAGEIF('Quarterly Data'!$B:$B,'Annual Data'!$A248,'Quarterly Data'!M:M)</f>
        <v>#DIV/0!</v>
      </c>
      <c r="L248" t="e">
        <f>AVERAGEIF('Quarterly Data'!$B:$B,'Annual Data'!$A248,'Quarterly Data'!N:N)</f>
        <v>#DIV/0!</v>
      </c>
      <c r="M248" t="e">
        <f>AVERAGEIF('Quarterly Data'!$B:$B,'Annual Data'!$A248,'Quarterly Data'!O:O)</f>
        <v>#DIV/0!</v>
      </c>
      <c r="N248" t="e">
        <f>AVERAGEIF('Quarterly Data'!$B:$B,'Annual Data'!$A248,'Quarterly Data'!P:P)</f>
        <v>#DIV/0!</v>
      </c>
      <c r="O248" t="e">
        <f>AVERAGEIF('Quarterly Data'!$B:$B,'Annual Data'!$A248,'Quarterly Data'!Q:Q)</f>
        <v>#DIV/0!</v>
      </c>
      <c r="P248">
        <f>SUMIF('Quarterly Data'!$B:$B,'Annual Data'!$A248,'Quarterly Data'!R:R)</f>
        <v>0</v>
      </c>
      <c r="Q248">
        <f>SUMIF('Quarterly Data'!$B:$B,'Annual Data'!$A248,'Quarterly Data'!S:S)</f>
        <v>0</v>
      </c>
      <c r="R248" t="e">
        <f>AVERAGEIF('Quarterly Data'!$B:$B,'Annual Data'!$A248,'Quarterly Data'!T:T)</f>
        <v>#DIV/0!</v>
      </c>
      <c r="S248">
        <f>SUMIF('Quarterly Data'!$B:$B,'Annual Data'!$A248,'Quarterly Data'!U:U)</f>
        <v>0</v>
      </c>
      <c r="T248">
        <f>SUMIF('Quarterly Data'!$B:$B,'Annual Data'!$A248,'Quarterly Data'!V:V)</f>
        <v>0</v>
      </c>
      <c r="U248">
        <f>SUMIF('Quarterly Data'!$B:$B,'Annual Data'!$A248,'Quarterly Data'!W:W)</f>
        <v>0</v>
      </c>
      <c r="V248">
        <f>SUMIF('Quarterly Data'!$B:$B,'Annual Data'!$A248,'Quarterly Data'!X:X)</f>
        <v>0</v>
      </c>
      <c r="W248">
        <f>SUMIF('Quarterly Data'!$B:$B,'Annual Data'!$A248,'Quarterly Data'!Y:Y)</f>
        <v>0</v>
      </c>
      <c r="X248">
        <f>SUMIF('Quarterly Data'!$B:$B,'Annual Data'!$A248,'Quarterly Data'!Z:Z)</f>
        <v>0</v>
      </c>
      <c r="Y248">
        <f>SUMIF('Quarterly Data'!$B:$B,'Annual Data'!$A248,'Quarterly Data'!AA:AA)</f>
        <v>0</v>
      </c>
      <c r="Z248" t="e">
        <f>AVERAGEIF('Quarterly Data'!$B:$B,'Annual Data'!$A248,'Quarterly Data'!AB:AB)</f>
        <v>#DIV/0!</v>
      </c>
      <c r="AA248" t="e">
        <f>AVERAGEIF('Quarterly Data'!$B:$B,'Annual Data'!$A248,'Quarterly Data'!AC:AC)</f>
        <v>#DIV/0!</v>
      </c>
      <c r="AB248" t="e">
        <f>AVERAGEIF('Quarterly Data'!$B:$B,'Annual Data'!$A248,'Quarterly Data'!AD:AD)</f>
        <v>#DIV/0!</v>
      </c>
      <c r="AC248" t="e">
        <f>AVERAGEIF('Quarterly Data'!$B:$B,'Annual Data'!$A248,'Quarterly Data'!AE:AE)</f>
        <v>#DIV/0!</v>
      </c>
      <c r="AD248" t="e">
        <f>AVERAGEIF('Quarterly Data'!$B:$B,'Annual Data'!$A248,'Quarterly Data'!AF:AF)</f>
        <v>#DIV/0!</v>
      </c>
      <c r="AE248">
        <f>SUMIF('Quarterly Data'!$B:$B,'Annual Data'!$A248,'Quarterly Data'!AG:AG)</f>
        <v>0</v>
      </c>
    </row>
    <row r="249" spans="1:31" x14ac:dyDescent="0.25">
      <c r="A249">
        <v>2215</v>
      </c>
      <c r="B249">
        <f>SUMIF('Quarterly Data'!$B:$B,'Annual Data'!$A249,'Quarterly Data'!D:D)</f>
        <v>0</v>
      </c>
      <c r="C249" t="e">
        <f>AVERAGEIF('Quarterly Data'!$B:$B,'Annual Data'!$A249,'Quarterly Data'!E:E)</f>
        <v>#DIV/0!</v>
      </c>
      <c r="D249">
        <f>SUMIF('Quarterly Data'!$B:$B,'Annual Data'!$A249,'Quarterly Data'!F:F)</f>
        <v>0</v>
      </c>
      <c r="E249">
        <f>SUMIF('Quarterly Data'!$B:$B,'Annual Data'!$A249,'Quarterly Data'!G:G)</f>
        <v>0</v>
      </c>
      <c r="F249">
        <f>SUMIF('Quarterly Data'!$B:$B,'Annual Data'!$A249,'Quarterly Data'!H:H)</f>
        <v>0</v>
      </c>
      <c r="G249">
        <f>SUMIF('Quarterly Data'!$B:$B,'Annual Data'!$A249,'Quarterly Data'!I:I)</f>
        <v>0</v>
      </c>
      <c r="H249">
        <f>SUMIF('Quarterly Data'!$B:$B,'Annual Data'!$A249,'Quarterly Data'!J:J)</f>
        <v>0</v>
      </c>
      <c r="I249">
        <f>SUMIF('Quarterly Data'!$B:$B,'Annual Data'!$A249,'Quarterly Data'!K:K)</f>
        <v>0</v>
      </c>
      <c r="J249">
        <f>SUMIF('Quarterly Data'!$B:$B,'Annual Data'!$A249,'Quarterly Data'!L:L)</f>
        <v>0</v>
      </c>
      <c r="K249" t="e">
        <f>AVERAGEIF('Quarterly Data'!$B:$B,'Annual Data'!$A249,'Quarterly Data'!M:M)</f>
        <v>#DIV/0!</v>
      </c>
      <c r="L249" t="e">
        <f>AVERAGEIF('Quarterly Data'!$B:$B,'Annual Data'!$A249,'Quarterly Data'!N:N)</f>
        <v>#DIV/0!</v>
      </c>
      <c r="M249" t="e">
        <f>AVERAGEIF('Quarterly Data'!$B:$B,'Annual Data'!$A249,'Quarterly Data'!O:O)</f>
        <v>#DIV/0!</v>
      </c>
      <c r="N249" t="e">
        <f>AVERAGEIF('Quarterly Data'!$B:$B,'Annual Data'!$A249,'Quarterly Data'!P:P)</f>
        <v>#DIV/0!</v>
      </c>
      <c r="O249" t="e">
        <f>AVERAGEIF('Quarterly Data'!$B:$B,'Annual Data'!$A249,'Quarterly Data'!Q:Q)</f>
        <v>#DIV/0!</v>
      </c>
      <c r="P249">
        <f>SUMIF('Quarterly Data'!$B:$B,'Annual Data'!$A249,'Quarterly Data'!R:R)</f>
        <v>0</v>
      </c>
      <c r="Q249">
        <f>SUMIF('Quarterly Data'!$B:$B,'Annual Data'!$A249,'Quarterly Data'!S:S)</f>
        <v>0</v>
      </c>
      <c r="R249" t="e">
        <f>AVERAGEIF('Quarterly Data'!$B:$B,'Annual Data'!$A249,'Quarterly Data'!T:T)</f>
        <v>#DIV/0!</v>
      </c>
      <c r="S249">
        <f>SUMIF('Quarterly Data'!$B:$B,'Annual Data'!$A249,'Quarterly Data'!U:U)</f>
        <v>0</v>
      </c>
      <c r="T249">
        <f>SUMIF('Quarterly Data'!$B:$B,'Annual Data'!$A249,'Quarterly Data'!V:V)</f>
        <v>0</v>
      </c>
      <c r="U249">
        <f>SUMIF('Quarterly Data'!$B:$B,'Annual Data'!$A249,'Quarterly Data'!W:W)</f>
        <v>0</v>
      </c>
      <c r="V249">
        <f>SUMIF('Quarterly Data'!$B:$B,'Annual Data'!$A249,'Quarterly Data'!X:X)</f>
        <v>0</v>
      </c>
      <c r="W249">
        <f>SUMIF('Quarterly Data'!$B:$B,'Annual Data'!$A249,'Quarterly Data'!Y:Y)</f>
        <v>0</v>
      </c>
      <c r="X249">
        <f>SUMIF('Quarterly Data'!$B:$B,'Annual Data'!$A249,'Quarterly Data'!Z:Z)</f>
        <v>0</v>
      </c>
      <c r="Y249">
        <f>SUMIF('Quarterly Data'!$B:$B,'Annual Data'!$A249,'Quarterly Data'!AA:AA)</f>
        <v>0</v>
      </c>
      <c r="Z249" t="e">
        <f>AVERAGEIF('Quarterly Data'!$B:$B,'Annual Data'!$A249,'Quarterly Data'!AB:AB)</f>
        <v>#DIV/0!</v>
      </c>
      <c r="AA249" t="e">
        <f>AVERAGEIF('Quarterly Data'!$B:$B,'Annual Data'!$A249,'Quarterly Data'!AC:AC)</f>
        <v>#DIV/0!</v>
      </c>
      <c r="AB249" t="e">
        <f>AVERAGEIF('Quarterly Data'!$B:$B,'Annual Data'!$A249,'Quarterly Data'!AD:AD)</f>
        <v>#DIV/0!</v>
      </c>
      <c r="AC249" t="e">
        <f>AVERAGEIF('Quarterly Data'!$B:$B,'Annual Data'!$A249,'Quarterly Data'!AE:AE)</f>
        <v>#DIV/0!</v>
      </c>
      <c r="AD249" t="e">
        <f>AVERAGEIF('Quarterly Data'!$B:$B,'Annual Data'!$A249,'Quarterly Data'!AF:AF)</f>
        <v>#DIV/0!</v>
      </c>
      <c r="AE249">
        <f>SUMIF('Quarterly Data'!$B:$B,'Annual Data'!$A249,'Quarterly Data'!AG:AG)</f>
        <v>0</v>
      </c>
    </row>
    <row r="250" spans="1:31" x14ac:dyDescent="0.25">
      <c r="A250">
        <v>2216</v>
      </c>
      <c r="B250">
        <f>SUMIF('Quarterly Data'!$B:$B,'Annual Data'!$A250,'Quarterly Data'!D:D)</f>
        <v>0</v>
      </c>
      <c r="C250" t="e">
        <f>AVERAGEIF('Quarterly Data'!$B:$B,'Annual Data'!$A250,'Quarterly Data'!E:E)</f>
        <v>#DIV/0!</v>
      </c>
      <c r="D250">
        <f>SUMIF('Quarterly Data'!$B:$B,'Annual Data'!$A250,'Quarterly Data'!F:F)</f>
        <v>0</v>
      </c>
      <c r="E250">
        <f>SUMIF('Quarterly Data'!$B:$B,'Annual Data'!$A250,'Quarterly Data'!G:G)</f>
        <v>0</v>
      </c>
      <c r="F250">
        <f>SUMIF('Quarterly Data'!$B:$B,'Annual Data'!$A250,'Quarterly Data'!H:H)</f>
        <v>0</v>
      </c>
      <c r="G250">
        <f>SUMIF('Quarterly Data'!$B:$B,'Annual Data'!$A250,'Quarterly Data'!I:I)</f>
        <v>0</v>
      </c>
      <c r="H250">
        <f>SUMIF('Quarterly Data'!$B:$B,'Annual Data'!$A250,'Quarterly Data'!J:J)</f>
        <v>0</v>
      </c>
      <c r="I250">
        <f>SUMIF('Quarterly Data'!$B:$B,'Annual Data'!$A250,'Quarterly Data'!K:K)</f>
        <v>0</v>
      </c>
      <c r="J250">
        <f>SUMIF('Quarterly Data'!$B:$B,'Annual Data'!$A250,'Quarterly Data'!L:L)</f>
        <v>0</v>
      </c>
      <c r="K250" t="e">
        <f>AVERAGEIF('Quarterly Data'!$B:$B,'Annual Data'!$A250,'Quarterly Data'!M:M)</f>
        <v>#DIV/0!</v>
      </c>
      <c r="L250" t="e">
        <f>AVERAGEIF('Quarterly Data'!$B:$B,'Annual Data'!$A250,'Quarterly Data'!N:N)</f>
        <v>#DIV/0!</v>
      </c>
      <c r="M250" t="e">
        <f>AVERAGEIF('Quarterly Data'!$B:$B,'Annual Data'!$A250,'Quarterly Data'!O:O)</f>
        <v>#DIV/0!</v>
      </c>
      <c r="N250" t="e">
        <f>AVERAGEIF('Quarterly Data'!$B:$B,'Annual Data'!$A250,'Quarterly Data'!P:P)</f>
        <v>#DIV/0!</v>
      </c>
      <c r="O250" t="e">
        <f>AVERAGEIF('Quarterly Data'!$B:$B,'Annual Data'!$A250,'Quarterly Data'!Q:Q)</f>
        <v>#DIV/0!</v>
      </c>
      <c r="P250">
        <f>SUMIF('Quarterly Data'!$B:$B,'Annual Data'!$A250,'Quarterly Data'!R:R)</f>
        <v>0</v>
      </c>
      <c r="Q250">
        <f>SUMIF('Quarterly Data'!$B:$B,'Annual Data'!$A250,'Quarterly Data'!S:S)</f>
        <v>0</v>
      </c>
      <c r="R250" t="e">
        <f>AVERAGEIF('Quarterly Data'!$B:$B,'Annual Data'!$A250,'Quarterly Data'!T:T)</f>
        <v>#DIV/0!</v>
      </c>
      <c r="S250">
        <f>SUMIF('Quarterly Data'!$B:$B,'Annual Data'!$A250,'Quarterly Data'!U:U)</f>
        <v>0</v>
      </c>
      <c r="T250">
        <f>SUMIF('Quarterly Data'!$B:$B,'Annual Data'!$A250,'Quarterly Data'!V:V)</f>
        <v>0</v>
      </c>
      <c r="U250">
        <f>SUMIF('Quarterly Data'!$B:$B,'Annual Data'!$A250,'Quarterly Data'!W:W)</f>
        <v>0</v>
      </c>
      <c r="V250">
        <f>SUMIF('Quarterly Data'!$B:$B,'Annual Data'!$A250,'Quarterly Data'!X:X)</f>
        <v>0</v>
      </c>
      <c r="W250">
        <f>SUMIF('Quarterly Data'!$B:$B,'Annual Data'!$A250,'Quarterly Data'!Y:Y)</f>
        <v>0</v>
      </c>
      <c r="X250">
        <f>SUMIF('Quarterly Data'!$B:$B,'Annual Data'!$A250,'Quarterly Data'!Z:Z)</f>
        <v>0</v>
      </c>
      <c r="Y250">
        <f>SUMIF('Quarterly Data'!$B:$B,'Annual Data'!$A250,'Quarterly Data'!AA:AA)</f>
        <v>0</v>
      </c>
      <c r="Z250" t="e">
        <f>AVERAGEIF('Quarterly Data'!$B:$B,'Annual Data'!$A250,'Quarterly Data'!AB:AB)</f>
        <v>#DIV/0!</v>
      </c>
      <c r="AA250" t="e">
        <f>AVERAGEIF('Quarterly Data'!$B:$B,'Annual Data'!$A250,'Quarterly Data'!AC:AC)</f>
        <v>#DIV/0!</v>
      </c>
      <c r="AB250" t="e">
        <f>AVERAGEIF('Quarterly Data'!$B:$B,'Annual Data'!$A250,'Quarterly Data'!AD:AD)</f>
        <v>#DIV/0!</v>
      </c>
      <c r="AC250" t="e">
        <f>AVERAGEIF('Quarterly Data'!$B:$B,'Annual Data'!$A250,'Quarterly Data'!AE:AE)</f>
        <v>#DIV/0!</v>
      </c>
      <c r="AD250" t="e">
        <f>AVERAGEIF('Quarterly Data'!$B:$B,'Annual Data'!$A250,'Quarterly Data'!AF:AF)</f>
        <v>#DIV/0!</v>
      </c>
      <c r="AE250">
        <f>SUMIF('Quarterly Data'!$B:$B,'Annual Data'!$A250,'Quarterly Data'!AG:AG)</f>
        <v>0</v>
      </c>
    </row>
    <row r="251" spans="1:31" x14ac:dyDescent="0.25">
      <c r="A251">
        <v>2217</v>
      </c>
      <c r="B251">
        <f>SUMIF('Quarterly Data'!$B:$B,'Annual Data'!$A251,'Quarterly Data'!D:D)</f>
        <v>0</v>
      </c>
      <c r="C251" t="e">
        <f>AVERAGEIF('Quarterly Data'!$B:$B,'Annual Data'!$A251,'Quarterly Data'!E:E)</f>
        <v>#DIV/0!</v>
      </c>
      <c r="D251">
        <f>SUMIF('Quarterly Data'!$B:$B,'Annual Data'!$A251,'Quarterly Data'!F:F)</f>
        <v>0</v>
      </c>
      <c r="E251">
        <f>SUMIF('Quarterly Data'!$B:$B,'Annual Data'!$A251,'Quarterly Data'!G:G)</f>
        <v>0</v>
      </c>
      <c r="F251">
        <f>SUMIF('Quarterly Data'!$B:$B,'Annual Data'!$A251,'Quarterly Data'!H:H)</f>
        <v>0</v>
      </c>
      <c r="G251">
        <f>SUMIF('Quarterly Data'!$B:$B,'Annual Data'!$A251,'Quarterly Data'!I:I)</f>
        <v>0</v>
      </c>
      <c r="H251">
        <f>SUMIF('Quarterly Data'!$B:$B,'Annual Data'!$A251,'Quarterly Data'!J:J)</f>
        <v>0</v>
      </c>
      <c r="I251">
        <f>SUMIF('Quarterly Data'!$B:$B,'Annual Data'!$A251,'Quarterly Data'!K:K)</f>
        <v>0</v>
      </c>
      <c r="J251">
        <f>SUMIF('Quarterly Data'!$B:$B,'Annual Data'!$A251,'Quarterly Data'!L:L)</f>
        <v>0</v>
      </c>
      <c r="K251" t="e">
        <f>AVERAGEIF('Quarterly Data'!$B:$B,'Annual Data'!$A251,'Quarterly Data'!M:M)</f>
        <v>#DIV/0!</v>
      </c>
      <c r="L251" t="e">
        <f>AVERAGEIF('Quarterly Data'!$B:$B,'Annual Data'!$A251,'Quarterly Data'!N:N)</f>
        <v>#DIV/0!</v>
      </c>
      <c r="M251" t="e">
        <f>AVERAGEIF('Quarterly Data'!$B:$B,'Annual Data'!$A251,'Quarterly Data'!O:O)</f>
        <v>#DIV/0!</v>
      </c>
      <c r="N251" t="e">
        <f>AVERAGEIF('Quarterly Data'!$B:$B,'Annual Data'!$A251,'Quarterly Data'!P:P)</f>
        <v>#DIV/0!</v>
      </c>
      <c r="O251" t="e">
        <f>AVERAGEIF('Quarterly Data'!$B:$B,'Annual Data'!$A251,'Quarterly Data'!Q:Q)</f>
        <v>#DIV/0!</v>
      </c>
      <c r="P251">
        <f>SUMIF('Quarterly Data'!$B:$B,'Annual Data'!$A251,'Quarterly Data'!R:R)</f>
        <v>0</v>
      </c>
      <c r="Q251">
        <f>SUMIF('Quarterly Data'!$B:$B,'Annual Data'!$A251,'Quarterly Data'!S:S)</f>
        <v>0</v>
      </c>
      <c r="R251" t="e">
        <f>AVERAGEIF('Quarterly Data'!$B:$B,'Annual Data'!$A251,'Quarterly Data'!T:T)</f>
        <v>#DIV/0!</v>
      </c>
      <c r="S251">
        <f>SUMIF('Quarterly Data'!$B:$B,'Annual Data'!$A251,'Quarterly Data'!U:U)</f>
        <v>0</v>
      </c>
      <c r="T251">
        <f>SUMIF('Quarterly Data'!$B:$B,'Annual Data'!$A251,'Quarterly Data'!V:V)</f>
        <v>0</v>
      </c>
      <c r="U251">
        <f>SUMIF('Quarterly Data'!$B:$B,'Annual Data'!$A251,'Quarterly Data'!W:W)</f>
        <v>0</v>
      </c>
      <c r="V251">
        <f>SUMIF('Quarterly Data'!$B:$B,'Annual Data'!$A251,'Quarterly Data'!X:X)</f>
        <v>0</v>
      </c>
      <c r="W251">
        <f>SUMIF('Quarterly Data'!$B:$B,'Annual Data'!$A251,'Quarterly Data'!Y:Y)</f>
        <v>0</v>
      </c>
      <c r="X251">
        <f>SUMIF('Quarterly Data'!$B:$B,'Annual Data'!$A251,'Quarterly Data'!Z:Z)</f>
        <v>0</v>
      </c>
      <c r="Y251">
        <f>SUMIF('Quarterly Data'!$B:$B,'Annual Data'!$A251,'Quarterly Data'!AA:AA)</f>
        <v>0</v>
      </c>
      <c r="Z251" t="e">
        <f>AVERAGEIF('Quarterly Data'!$B:$B,'Annual Data'!$A251,'Quarterly Data'!AB:AB)</f>
        <v>#DIV/0!</v>
      </c>
      <c r="AA251" t="e">
        <f>AVERAGEIF('Quarterly Data'!$B:$B,'Annual Data'!$A251,'Quarterly Data'!AC:AC)</f>
        <v>#DIV/0!</v>
      </c>
      <c r="AB251" t="e">
        <f>AVERAGEIF('Quarterly Data'!$B:$B,'Annual Data'!$A251,'Quarterly Data'!AD:AD)</f>
        <v>#DIV/0!</v>
      </c>
      <c r="AC251" t="e">
        <f>AVERAGEIF('Quarterly Data'!$B:$B,'Annual Data'!$A251,'Quarterly Data'!AE:AE)</f>
        <v>#DIV/0!</v>
      </c>
      <c r="AD251" t="e">
        <f>AVERAGEIF('Quarterly Data'!$B:$B,'Annual Data'!$A251,'Quarterly Data'!AF:AF)</f>
        <v>#DIV/0!</v>
      </c>
      <c r="AE251">
        <f>SUMIF('Quarterly Data'!$B:$B,'Annual Data'!$A251,'Quarterly Data'!AG:AG)</f>
        <v>0</v>
      </c>
    </row>
    <row r="252" spans="1:31" x14ac:dyDescent="0.25">
      <c r="A252">
        <v>2218</v>
      </c>
      <c r="B252">
        <f>SUMIF('Quarterly Data'!$B:$B,'Annual Data'!$A252,'Quarterly Data'!D:D)</f>
        <v>0</v>
      </c>
      <c r="C252" t="e">
        <f>AVERAGEIF('Quarterly Data'!$B:$B,'Annual Data'!$A252,'Quarterly Data'!E:E)</f>
        <v>#DIV/0!</v>
      </c>
      <c r="D252">
        <f>SUMIF('Quarterly Data'!$B:$B,'Annual Data'!$A252,'Quarterly Data'!F:F)</f>
        <v>0</v>
      </c>
      <c r="E252">
        <f>SUMIF('Quarterly Data'!$B:$B,'Annual Data'!$A252,'Quarterly Data'!G:G)</f>
        <v>0</v>
      </c>
      <c r="F252">
        <f>SUMIF('Quarterly Data'!$B:$B,'Annual Data'!$A252,'Quarterly Data'!H:H)</f>
        <v>0</v>
      </c>
      <c r="G252">
        <f>SUMIF('Quarterly Data'!$B:$B,'Annual Data'!$A252,'Quarterly Data'!I:I)</f>
        <v>0</v>
      </c>
      <c r="H252">
        <f>SUMIF('Quarterly Data'!$B:$B,'Annual Data'!$A252,'Quarterly Data'!J:J)</f>
        <v>0</v>
      </c>
      <c r="I252">
        <f>SUMIF('Quarterly Data'!$B:$B,'Annual Data'!$A252,'Quarterly Data'!K:K)</f>
        <v>0</v>
      </c>
      <c r="J252">
        <f>SUMIF('Quarterly Data'!$B:$B,'Annual Data'!$A252,'Quarterly Data'!L:L)</f>
        <v>0</v>
      </c>
      <c r="K252" t="e">
        <f>AVERAGEIF('Quarterly Data'!$B:$B,'Annual Data'!$A252,'Quarterly Data'!M:M)</f>
        <v>#DIV/0!</v>
      </c>
      <c r="L252" t="e">
        <f>AVERAGEIF('Quarterly Data'!$B:$B,'Annual Data'!$A252,'Quarterly Data'!N:N)</f>
        <v>#DIV/0!</v>
      </c>
      <c r="M252" t="e">
        <f>AVERAGEIF('Quarterly Data'!$B:$B,'Annual Data'!$A252,'Quarterly Data'!O:O)</f>
        <v>#DIV/0!</v>
      </c>
      <c r="N252" t="e">
        <f>AVERAGEIF('Quarterly Data'!$B:$B,'Annual Data'!$A252,'Quarterly Data'!P:P)</f>
        <v>#DIV/0!</v>
      </c>
      <c r="O252" t="e">
        <f>AVERAGEIF('Quarterly Data'!$B:$B,'Annual Data'!$A252,'Quarterly Data'!Q:Q)</f>
        <v>#DIV/0!</v>
      </c>
      <c r="P252">
        <f>SUMIF('Quarterly Data'!$B:$B,'Annual Data'!$A252,'Quarterly Data'!R:R)</f>
        <v>0</v>
      </c>
      <c r="Q252">
        <f>SUMIF('Quarterly Data'!$B:$B,'Annual Data'!$A252,'Quarterly Data'!S:S)</f>
        <v>0</v>
      </c>
      <c r="R252" t="e">
        <f>AVERAGEIF('Quarterly Data'!$B:$B,'Annual Data'!$A252,'Quarterly Data'!T:T)</f>
        <v>#DIV/0!</v>
      </c>
      <c r="S252">
        <f>SUMIF('Quarterly Data'!$B:$B,'Annual Data'!$A252,'Quarterly Data'!U:U)</f>
        <v>0</v>
      </c>
      <c r="T252">
        <f>SUMIF('Quarterly Data'!$B:$B,'Annual Data'!$A252,'Quarterly Data'!V:V)</f>
        <v>0</v>
      </c>
      <c r="U252">
        <f>SUMIF('Quarterly Data'!$B:$B,'Annual Data'!$A252,'Quarterly Data'!W:W)</f>
        <v>0</v>
      </c>
      <c r="V252">
        <f>SUMIF('Quarterly Data'!$B:$B,'Annual Data'!$A252,'Quarterly Data'!X:X)</f>
        <v>0</v>
      </c>
      <c r="W252">
        <f>SUMIF('Quarterly Data'!$B:$B,'Annual Data'!$A252,'Quarterly Data'!Y:Y)</f>
        <v>0</v>
      </c>
      <c r="X252">
        <f>SUMIF('Quarterly Data'!$B:$B,'Annual Data'!$A252,'Quarterly Data'!Z:Z)</f>
        <v>0</v>
      </c>
      <c r="Y252">
        <f>SUMIF('Quarterly Data'!$B:$B,'Annual Data'!$A252,'Quarterly Data'!AA:AA)</f>
        <v>0</v>
      </c>
      <c r="Z252" t="e">
        <f>AVERAGEIF('Quarterly Data'!$B:$B,'Annual Data'!$A252,'Quarterly Data'!AB:AB)</f>
        <v>#DIV/0!</v>
      </c>
      <c r="AA252" t="e">
        <f>AVERAGEIF('Quarterly Data'!$B:$B,'Annual Data'!$A252,'Quarterly Data'!AC:AC)</f>
        <v>#DIV/0!</v>
      </c>
      <c r="AB252" t="e">
        <f>AVERAGEIF('Quarterly Data'!$B:$B,'Annual Data'!$A252,'Quarterly Data'!AD:AD)</f>
        <v>#DIV/0!</v>
      </c>
      <c r="AC252" t="e">
        <f>AVERAGEIF('Quarterly Data'!$B:$B,'Annual Data'!$A252,'Quarterly Data'!AE:AE)</f>
        <v>#DIV/0!</v>
      </c>
      <c r="AD252" t="e">
        <f>AVERAGEIF('Quarterly Data'!$B:$B,'Annual Data'!$A252,'Quarterly Data'!AF:AF)</f>
        <v>#DIV/0!</v>
      </c>
      <c r="AE252">
        <f>SUMIF('Quarterly Data'!$B:$B,'Annual Data'!$A252,'Quarterly Data'!AG:AG)</f>
        <v>0</v>
      </c>
    </row>
    <row r="253" spans="1:31" x14ac:dyDescent="0.25">
      <c r="A253">
        <v>2219</v>
      </c>
      <c r="B253">
        <f>SUMIF('Quarterly Data'!$B:$B,'Annual Data'!$A253,'Quarterly Data'!D:D)</f>
        <v>0</v>
      </c>
      <c r="C253" t="e">
        <f>AVERAGEIF('Quarterly Data'!$B:$B,'Annual Data'!$A253,'Quarterly Data'!E:E)</f>
        <v>#DIV/0!</v>
      </c>
      <c r="D253">
        <f>SUMIF('Quarterly Data'!$B:$B,'Annual Data'!$A253,'Quarterly Data'!F:F)</f>
        <v>0</v>
      </c>
      <c r="E253">
        <f>SUMIF('Quarterly Data'!$B:$B,'Annual Data'!$A253,'Quarterly Data'!G:G)</f>
        <v>0</v>
      </c>
      <c r="F253">
        <f>SUMIF('Quarterly Data'!$B:$B,'Annual Data'!$A253,'Quarterly Data'!H:H)</f>
        <v>0</v>
      </c>
      <c r="G253">
        <f>SUMIF('Quarterly Data'!$B:$B,'Annual Data'!$A253,'Quarterly Data'!I:I)</f>
        <v>0</v>
      </c>
      <c r="H253">
        <f>SUMIF('Quarterly Data'!$B:$B,'Annual Data'!$A253,'Quarterly Data'!J:J)</f>
        <v>0</v>
      </c>
      <c r="I253">
        <f>SUMIF('Quarterly Data'!$B:$B,'Annual Data'!$A253,'Quarterly Data'!K:K)</f>
        <v>0</v>
      </c>
      <c r="J253">
        <f>SUMIF('Quarterly Data'!$B:$B,'Annual Data'!$A253,'Quarterly Data'!L:L)</f>
        <v>0</v>
      </c>
      <c r="K253" t="e">
        <f>AVERAGEIF('Quarterly Data'!$B:$B,'Annual Data'!$A253,'Quarterly Data'!M:M)</f>
        <v>#DIV/0!</v>
      </c>
      <c r="L253" t="e">
        <f>AVERAGEIF('Quarterly Data'!$B:$B,'Annual Data'!$A253,'Quarterly Data'!N:N)</f>
        <v>#DIV/0!</v>
      </c>
      <c r="M253" t="e">
        <f>AVERAGEIF('Quarterly Data'!$B:$B,'Annual Data'!$A253,'Quarterly Data'!O:O)</f>
        <v>#DIV/0!</v>
      </c>
      <c r="N253" t="e">
        <f>AVERAGEIF('Quarterly Data'!$B:$B,'Annual Data'!$A253,'Quarterly Data'!P:P)</f>
        <v>#DIV/0!</v>
      </c>
      <c r="O253" t="e">
        <f>AVERAGEIF('Quarterly Data'!$B:$B,'Annual Data'!$A253,'Quarterly Data'!Q:Q)</f>
        <v>#DIV/0!</v>
      </c>
      <c r="P253">
        <f>SUMIF('Quarterly Data'!$B:$B,'Annual Data'!$A253,'Quarterly Data'!R:R)</f>
        <v>0</v>
      </c>
      <c r="Q253">
        <f>SUMIF('Quarterly Data'!$B:$B,'Annual Data'!$A253,'Quarterly Data'!S:S)</f>
        <v>0</v>
      </c>
      <c r="R253" t="e">
        <f>AVERAGEIF('Quarterly Data'!$B:$B,'Annual Data'!$A253,'Quarterly Data'!T:T)</f>
        <v>#DIV/0!</v>
      </c>
      <c r="S253">
        <f>SUMIF('Quarterly Data'!$B:$B,'Annual Data'!$A253,'Quarterly Data'!U:U)</f>
        <v>0</v>
      </c>
      <c r="T253">
        <f>SUMIF('Quarterly Data'!$B:$B,'Annual Data'!$A253,'Quarterly Data'!V:V)</f>
        <v>0</v>
      </c>
      <c r="U253">
        <f>SUMIF('Quarterly Data'!$B:$B,'Annual Data'!$A253,'Quarterly Data'!W:W)</f>
        <v>0</v>
      </c>
      <c r="V253">
        <f>SUMIF('Quarterly Data'!$B:$B,'Annual Data'!$A253,'Quarterly Data'!X:X)</f>
        <v>0</v>
      </c>
      <c r="W253">
        <f>SUMIF('Quarterly Data'!$B:$B,'Annual Data'!$A253,'Quarterly Data'!Y:Y)</f>
        <v>0</v>
      </c>
      <c r="X253">
        <f>SUMIF('Quarterly Data'!$B:$B,'Annual Data'!$A253,'Quarterly Data'!Z:Z)</f>
        <v>0</v>
      </c>
      <c r="Y253">
        <f>SUMIF('Quarterly Data'!$B:$B,'Annual Data'!$A253,'Quarterly Data'!AA:AA)</f>
        <v>0</v>
      </c>
      <c r="Z253" t="e">
        <f>AVERAGEIF('Quarterly Data'!$B:$B,'Annual Data'!$A253,'Quarterly Data'!AB:AB)</f>
        <v>#DIV/0!</v>
      </c>
      <c r="AA253" t="e">
        <f>AVERAGEIF('Quarterly Data'!$B:$B,'Annual Data'!$A253,'Quarterly Data'!AC:AC)</f>
        <v>#DIV/0!</v>
      </c>
      <c r="AB253" t="e">
        <f>AVERAGEIF('Quarterly Data'!$B:$B,'Annual Data'!$A253,'Quarterly Data'!AD:AD)</f>
        <v>#DIV/0!</v>
      </c>
      <c r="AC253" t="e">
        <f>AVERAGEIF('Quarterly Data'!$B:$B,'Annual Data'!$A253,'Quarterly Data'!AE:AE)</f>
        <v>#DIV/0!</v>
      </c>
      <c r="AD253" t="e">
        <f>AVERAGEIF('Quarterly Data'!$B:$B,'Annual Data'!$A253,'Quarterly Data'!AF:AF)</f>
        <v>#DIV/0!</v>
      </c>
      <c r="AE253">
        <f>SUMIF('Quarterly Data'!$B:$B,'Annual Data'!$A253,'Quarterly Data'!AG:AG)</f>
        <v>0</v>
      </c>
    </row>
    <row r="254" spans="1:31" x14ac:dyDescent="0.25">
      <c r="A254">
        <v>2220</v>
      </c>
      <c r="B254">
        <f>SUMIF('Quarterly Data'!$B:$B,'Annual Data'!$A254,'Quarterly Data'!D:D)</f>
        <v>0</v>
      </c>
      <c r="C254" t="e">
        <f>AVERAGEIF('Quarterly Data'!$B:$B,'Annual Data'!$A254,'Quarterly Data'!E:E)</f>
        <v>#DIV/0!</v>
      </c>
      <c r="D254">
        <f>SUMIF('Quarterly Data'!$B:$B,'Annual Data'!$A254,'Quarterly Data'!F:F)</f>
        <v>0</v>
      </c>
      <c r="E254">
        <f>SUMIF('Quarterly Data'!$B:$B,'Annual Data'!$A254,'Quarterly Data'!G:G)</f>
        <v>0</v>
      </c>
      <c r="F254">
        <f>SUMIF('Quarterly Data'!$B:$B,'Annual Data'!$A254,'Quarterly Data'!H:H)</f>
        <v>0</v>
      </c>
      <c r="G254">
        <f>SUMIF('Quarterly Data'!$B:$B,'Annual Data'!$A254,'Quarterly Data'!I:I)</f>
        <v>0</v>
      </c>
      <c r="H254">
        <f>SUMIF('Quarterly Data'!$B:$B,'Annual Data'!$A254,'Quarterly Data'!J:J)</f>
        <v>0</v>
      </c>
      <c r="I254">
        <f>SUMIF('Quarterly Data'!$B:$B,'Annual Data'!$A254,'Quarterly Data'!K:K)</f>
        <v>0</v>
      </c>
      <c r="J254">
        <f>SUMIF('Quarterly Data'!$B:$B,'Annual Data'!$A254,'Quarterly Data'!L:L)</f>
        <v>0</v>
      </c>
      <c r="K254" t="e">
        <f>AVERAGEIF('Quarterly Data'!$B:$B,'Annual Data'!$A254,'Quarterly Data'!M:M)</f>
        <v>#DIV/0!</v>
      </c>
      <c r="L254" t="e">
        <f>AVERAGEIF('Quarterly Data'!$B:$B,'Annual Data'!$A254,'Quarterly Data'!N:N)</f>
        <v>#DIV/0!</v>
      </c>
      <c r="M254" t="e">
        <f>AVERAGEIF('Quarterly Data'!$B:$B,'Annual Data'!$A254,'Quarterly Data'!O:O)</f>
        <v>#DIV/0!</v>
      </c>
      <c r="N254" t="e">
        <f>AVERAGEIF('Quarterly Data'!$B:$B,'Annual Data'!$A254,'Quarterly Data'!P:P)</f>
        <v>#DIV/0!</v>
      </c>
      <c r="O254" t="e">
        <f>AVERAGEIF('Quarterly Data'!$B:$B,'Annual Data'!$A254,'Quarterly Data'!Q:Q)</f>
        <v>#DIV/0!</v>
      </c>
      <c r="P254">
        <f>SUMIF('Quarterly Data'!$B:$B,'Annual Data'!$A254,'Quarterly Data'!R:R)</f>
        <v>0</v>
      </c>
      <c r="Q254">
        <f>SUMIF('Quarterly Data'!$B:$B,'Annual Data'!$A254,'Quarterly Data'!S:S)</f>
        <v>0</v>
      </c>
      <c r="R254" t="e">
        <f>AVERAGEIF('Quarterly Data'!$B:$B,'Annual Data'!$A254,'Quarterly Data'!T:T)</f>
        <v>#DIV/0!</v>
      </c>
      <c r="S254">
        <f>SUMIF('Quarterly Data'!$B:$B,'Annual Data'!$A254,'Quarterly Data'!U:U)</f>
        <v>0</v>
      </c>
      <c r="T254">
        <f>SUMIF('Quarterly Data'!$B:$B,'Annual Data'!$A254,'Quarterly Data'!V:V)</f>
        <v>0</v>
      </c>
      <c r="U254">
        <f>SUMIF('Quarterly Data'!$B:$B,'Annual Data'!$A254,'Quarterly Data'!W:W)</f>
        <v>0</v>
      </c>
      <c r="V254">
        <f>SUMIF('Quarterly Data'!$B:$B,'Annual Data'!$A254,'Quarterly Data'!X:X)</f>
        <v>0</v>
      </c>
      <c r="W254">
        <f>SUMIF('Quarterly Data'!$B:$B,'Annual Data'!$A254,'Quarterly Data'!Y:Y)</f>
        <v>0</v>
      </c>
      <c r="X254">
        <f>SUMIF('Quarterly Data'!$B:$B,'Annual Data'!$A254,'Quarterly Data'!Z:Z)</f>
        <v>0</v>
      </c>
      <c r="Y254">
        <f>SUMIF('Quarterly Data'!$B:$B,'Annual Data'!$A254,'Quarterly Data'!AA:AA)</f>
        <v>0</v>
      </c>
      <c r="Z254" t="e">
        <f>AVERAGEIF('Quarterly Data'!$B:$B,'Annual Data'!$A254,'Quarterly Data'!AB:AB)</f>
        <v>#DIV/0!</v>
      </c>
      <c r="AA254" t="e">
        <f>AVERAGEIF('Quarterly Data'!$B:$B,'Annual Data'!$A254,'Quarterly Data'!AC:AC)</f>
        <v>#DIV/0!</v>
      </c>
      <c r="AB254" t="e">
        <f>AVERAGEIF('Quarterly Data'!$B:$B,'Annual Data'!$A254,'Quarterly Data'!AD:AD)</f>
        <v>#DIV/0!</v>
      </c>
      <c r="AC254" t="e">
        <f>AVERAGEIF('Quarterly Data'!$B:$B,'Annual Data'!$A254,'Quarterly Data'!AE:AE)</f>
        <v>#DIV/0!</v>
      </c>
      <c r="AD254" t="e">
        <f>AVERAGEIF('Quarterly Data'!$B:$B,'Annual Data'!$A254,'Quarterly Data'!AF:AF)</f>
        <v>#DIV/0!</v>
      </c>
      <c r="AE254">
        <f>SUMIF('Quarterly Data'!$B:$B,'Annual Data'!$A254,'Quarterly Data'!AG:AG)</f>
        <v>0</v>
      </c>
    </row>
    <row r="255" spans="1:31" x14ac:dyDescent="0.25">
      <c r="A255">
        <v>2221</v>
      </c>
      <c r="B255">
        <f>SUMIF('Quarterly Data'!$B:$B,'Annual Data'!$A255,'Quarterly Data'!D:D)</f>
        <v>0</v>
      </c>
      <c r="C255" t="e">
        <f>AVERAGEIF('Quarterly Data'!$B:$B,'Annual Data'!$A255,'Quarterly Data'!E:E)</f>
        <v>#DIV/0!</v>
      </c>
      <c r="D255">
        <f>SUMIF('Quarterly Data'!$B:$B,'Annual Data'!$A255,'Quarterly Data'!F:F)</f>
        <v>0</v>
      </c>
      <c r="E255">
        <f>SUMIF('Quarterly Data'!$B:$B,'Annual Data'!$A255,'Quarterly Data'!G:G)</f>
        <v>0</v>
      </c>
      <c r="F255">
        <f>SUMIF('Quarterly Data'!$B:$B,'Annual Data'!$A255,'Quarterly Data'!H:H)</f>
        <v>0</v>
      </c>
      <c r="G255">
        <f>SUMIF('Quarterly Data'!$B:$B,'Annual Data'!$A255,'Quarterly Data'!I:I)</f>
        <v>0</v>
      </c>
      <c r="H255">
        <f>SUMIF('Quarterly Data'!$B:$B,'Annual Data'!$A255,'Quarterly Data'!J:J)</f>
        <v>0</v>
      </c>
      <c r="I255">
        <f>SUMIF('Quarterly Data'!$B:$B,'Annual Data'!$A255,'Quarterly Data'!K:K)</f>
        <v>0</v>
      </c>
      <c r="J255">
        <f>SUMIF('Quarterly Data'!$B:$B,'Annual Data'!$A255,'Quarterly Data'!L:L)</f>
        <v>0</v>
      </c>
      <c r="K255" t="e">
        <f>AVERAGEIF('Quarterly Data'!$B:$B,'Annual Data'!$A255,'Quarterly Data'!M:M)</f>
        <v>#DIV/0!</v>
      </c>
      <c r="L255" t="e">
        <f>AVERAGEIF('Quarterly Data'!$B:$B,'Annual Data'!$A255,'Quarterly Data'!N:N)</f>
        <v>#DIV/0!</v>
      </c>
      <c r="M255" t="e">
        <f>AVERAGEIF('Quarterly Data'!$B:$B,'Annual Data'!$A255,'Quarterly Data'!O:O)</f>
        <v>#DIV/0!</v>
      </c>
      <c r="N255" t="e">
        <f>AVERAGEIF('Quarterly Data'!$B:$B,'Annual Data'!$A255,'Quarterly Data'!P:P)</f>
        <v>#DIV/0!</v>
      </c>
      <c r="O255" t="e">
        <f>AVERAGEIF('Quarterly Data'!$B:$B,'Annual Data'!$A255,'Quarterly Data'!Q:Q)</f>
        <v>#DIV/0!</v>
      </c>
      <c r="P255">
        <f>SUMIF('Quarterly Data'!$B:$B,'Annual Data'!$A255,'Quarterly Data'!R:R)</f>
        <v>0</v>
      </c>
      <c r="Q255">
        <f>SUMIF('Quarterly Data'!$B:$B,'Annual Data'!$A255,'Quarterly Data'!S:S)</f>
        <v>0</v>
      </c>
      <c r="R255" t="e">
        <f>AVERAGEIF('Quarterly Data'!$B:$B,'Annual Data'!$A255,'Quarterly Data'!T:T)</f>
        <v>#DIV/0!</v>
      </c>
      <c r="S255">
        <f>SUMIF('Quarterly Data'!$B:$B,'Annual Data'!$A255,'Quarterly Data'!U:U)</f>
        <v>0</v>
      </c>
      <c r="T255">
        <f>SUMIF('Quarterly Data'!$B:$B,'Annual Data'!$A255,'Quarterly Data'!V:V)</f>
        <v>0</v>
      </c>
      <c r="U255">
        <f>SUMIF('Quarterly Data'!$B:$B,'Annual Data'!$A255,'Quarterly Data'!W:W)</f>
        <v>0</v>
      </c>
      <c r="V255">
        <f>SUMIF('Quarterly Data'!$B:$B,'Annual Data'!$A255,'Quarterly Data'!X:X)</f>
        <v>0</v>
      </c>
      <c r="W255">
        <f>SUMIF('Quarterly Data'!$B:$B,'Annual Data'!$A255,'Quarterly Data'!Y:Y)</f>
        <v>0</v>
      </c>
      <c r="X255">
        <f>SUMIF('Quarterly Data'!$B:$B,'Annual Data'!$A255,'Quarterly Data'!Z:Z)</f>
        <v>0</v>
      </c>
      <c r="Y255">
        <f>SUMIF('Quarterly Data'!$B:$B,'Annual Data'!$A255,'Quarterly Data'!AA:AA)</f>
        <v>0</v>
      </c>
      <c r="Z255" t="e">
        <f>AVERAGEIF('Quarterly Data'!$B:$B,'Annual Data'!$A255,'Quarterly Data'!AB:AB)</f>
        <v>#DIV/0!</v>
      </c>
      <c r="AA255" t="e">
        <f>AVERAGEIF('Quarterly Data'!$B:$B,'Annual Data'!$A255,'Quarterly Data'!AC:AC)</f>
        <v>#DIV/0!</v>
      </c>
      <c r="AB255" t="e">
        <f>AVERAGEIF('Quarterly Data'!$B:$B,'Annual Data'!$A255,'Quarterly Data'!AD:AD)</f>
        <v>#DIV/0!</v>
      </c>
      <c r="AC255" t="e">
        <f>AVERAGEIF('Quarterly Data'!$B:$B,'Annual Data'!$A255,'Quarterly Data'!AE:AE)</f>
        <v>#DIV/0!</v>
      </c>
      <c r="AD255" t="e">
        <f>AVERAGEIF('Quarterly Data'!$B:$B,'Annual Data'!$A255,'Quarterly Data'!AF:AF)</f>
        <v>#DIV/0!</v>
      </c>
      <c r="AE255">
        <f>SUMIF('Quarterly Data'!$B:$B,'Annual Data'!$A255,'Quarterly Data'!AG:AG)</f>
        <v>0</v>
      </c>
    </row>
    <row r="256" spans="1:31" x14ac:dyDescent="0.25">
      <c r="A256">
        <v>2222</v>
      </c>
      <c r="B256">
        <f>SUMIF('Quarterly Data'!$B:$B,'Annual Data'!$A256,'Quarterly Data'!D:D)</f>
        <v>0</v>
      </c>
      <c r="C256" t="e">
        <f>AVERAGEIF('Quarterly Data'!$B:$B,'Annual Data'!$A256,'Quarterly Data'!E:E)</f>
        <v>#DIV/0!</v>
      </c>
      <c r="D256">
        <f>SUMIF('Quarterly Data'!$B:$B,'Annual Data'!$A256,'Quarterly Data'!F:F)</f>
        <v>0</v>
      </c>
      <c r="E256">
        <f>SUMIF('Quarterly Data'!$B:$B,'Annual Data'!$A256,'Quarterly Data'!G:G)</f>
        <v>0</v>
      </c>
      <c r="F256">
        <f>SUMIF('Quarterly Data'!$B:$B,'Annual Data'!$A256,'Quarterly Data'!H:H)</f>
        <v>0</v>
      </c>
      <c r="G256">
        <f>SUMIF('Quarterly Data'!$B:$B,'Annual Data'!$A256,'Quarterly Data'!I:I)</f>
        <v>0</v>
      </c>
      <c r="H256">
        <f>SUMIF('Quarterly Data'!$B:$B,'Annual Data'!$A256,'Quarterly Data'!J:J)</f>
        <v>0</v>
      </c>
      <c r="I256">
        <f>SUMIF('Quarterly Data'!$B:$B,'Annual Data'!$A256,'Quarterly Data'!K:K)</f>
        <v>0</v>
      </c>
      <c r="J256">
        <f>SUMIF('Quarterly Data'!$B:$B,'Annual Data'!$A256,'Quarterly Data'!L:L)</f>
        <v>0</v>
      </c>
      <c r="K256" t="e">
        <f>AVERAGEIF('Quarterly Data'!$B:$B,'Annual Data'!$A256,'Quarterly Data'!M:M)</f>
        <v>#DIV/0!</v>
      </c>
      <c r="L256" t="e">
        <f>AVERAGEIF('Quarterly Data'!$B:$B,'Annual Data'!$A256,'Quarterly Data'!N:N)</f>
        <v>#DIV/0!</v>
      </c>
      <c r="M256" t="e">
        <f>AVERAGEIF('Quarterly Data'!$B:$B,'Annual Data'!$A256,'Quarterly Data'!O:O)</f>
        <v>#DIV/0!</v>
      </c>
      <c r="N256" t="e">
        <f>AVERAGEIF('Quarterly Data'!$B:$B,'Annual Data'!$A256,'Quarterly Data'!P:P)</f>
        <v>#DIV/0!</v>
      </c>
      <c r="O256" t="e">
        <f>AVERAGEIF('Quarterly Data'!$B:$B,'Annual Data'!$A256,'Quarterly Data'!Q:Q)</f>
        <v>#DIV/0!</v>
      </c>
      <c r="P256">
        <f>SUMIF('Quarterly Data'!$B:$B,'Annual Data'!$A256,'Quarterly Data'!R:R)</f>
        <v>0</v>
      </c>
      <c r="Q256">
        <f>SUMIF('Quarterly Data'!$B:$B,'Annual Data'!$A256,'Quarterly Data'!S:S)</f>
        <v>0</v>
      </c>
      <c r="R256" t="e">
        <f>AVERAGEIF('Quarterly Data'!$B:$B,'Annual Data'!$A256,'Quarterly Data'!T:T)</f>
        <v>#DIV/0!</v>
      </c>
      <c r="S256">
        <f>SUMIF('Quarterly Data'!$B:$B,'Annual Data'!$A256,'Quarterly Data'!U:U)</f>
        <v>0</v>
      </c>
      <c r="T256">
        <f>SUMIF('Quarterly Data'!$B:$B,'Annual Data'!$A256,'Quarterly Data'!V:V)</f>
        <v>0</v>
      </c>
      <c r="U256">
        <f>SUMIF('Quarterly Data'!$B:$B,'Annual Data'!$A256,'Quarterly Data'!W:W)</f>
        <v>0</v>
      </c>
      <c r="V256">
        <f>SUMIF('Quarterly Data'!$B:$B,'Annual Data'!$A256,'Quarterly Data'!X:X)</f>
        <v>0</v>
      </c>
      <c r="W256">
        <f>SUMIF('Quarterly Data'!$B:$B,'Annual Data'!$A256,'Quarterly Data'!Y:Y)</f>
        <v>0</v>
      </c>
      <c r="X256">
        <f>SUMIF('Quarterly Data'!$B:$B,'Annual Data'!$A256,'Quarterly Data'!Z:Z)</f>
        <v>0</v>
      </c>
      <c r="Y256">
        <f>SUMIF('Quarterly Data'!$B:$B,'Annual Data'!$A256,'Quarterly Data'!AA:AA)</f>
        <v>0</v>
      </c>
      <c r="Z256" t="e">
        <f>AVERAGEIF('Quarterly Data'!$B:$B,'Annual Data'!$A256,'Quarterly Data'!AB:AB)</f>
        <v>#DIV/0!</v>
      </c>
      <c r="AA256" t="e">
        <f>AVERAGEIF('Quarterly Data'!$B:$B,'Annual Data'!$A256,'Quarterly Data'!AC:AC)</f>
        <v>#DIV/0!</v>
      </c>
      <c r="AB256" t="e">
        <f>AVERAGEIF('Quarterly Data'!$B:$B,'Annual Data'!$A256,'Quarterly Data'!AD:AD)</f>
        <v>#DIV/0!</v>
      </c>
      <c r="AC256" t="e">
        <f>AVERAGEIF('Quarterly Data'!$B:$B,'Annual Data'!$A256,'Quarterly Data'!AE:AE)</f>
        <v>#DIV/0!</v>
      </c>
      <c r="AD256" t="e">
        <f>AVERAGEIF('Quarterly Data'!$B:$B,'Annual Data'!$A256,'Quarterly Data'!AF:AF)</f>
        <v>#DIV/0!</v>
      </c>
      <c r="AE256">
        <f>SUMIF('Quarterly Data'!$B:$B,'Annual Data'!$A256,'Quarterly Data'!AG:AG)</f>
        <v>0</v>
      </c>
    </row>
    <row r="257" spans="1:31" x14ac:dyDescent="0.25">
      <c r="A257">
        <v>2223</v>
      </c>
      <c r="B257">
        <f>SUMIF('Quarterly Data'!$B:$B,'Annual Data'!$A257,'Quarterly Data'!D:D)</f>
        <v>0</v>
      </c>
      <c r="C257" t="e">
        <f>AVERAGEIF('Quarterly Data'!$B:$B,'Annual Data'!$A257,'Quarterly Data'!E:E)</f>
        <v>#DIV/0!</v>
      </c>
      <c r="D257">
        <f>SUMIF('Quarterly Data'!$B:$B,'Annual Data'!$A257,'Quarterly Data'!F:F)</f>
        <v>0</v>
      </c>
      <c r="E257">
        <f>SUMIF('Quarterly Data'!$B:$B,'Annual Data'!$A257,'Quarterly Data'!G:G)</f>
        <v>0</v>
      </c>
      <c r="F257">
        <f>SUMIF('Quarterly Data'!$B:$B,'Annual Data'!$A257,'Quarterly Data'!H:H)</f>
        <v>0</v>
      </c>
      <c r="G257">
        <f>SUMIF('Quarterly Data'!$B:$B,'Annual Data'!$A257,'Quarterly Data'!I:I)</f>
        <v>0</v>
      </c>
      <c r="H257">
        <f>SUMIF('Quarterly Data'!$B:$B,'Annual Data'!$A257,'Quarterly Data'!J:J)</f>
        <v>0</v>
      </c>
      <c r="I257">
        <f>SUMIF('Quarterly Data'!$B:$B,'Annual Data'!$A257,'Quarterly Data'!K:K)</f>
        <v>0</v>
      </c>
      <c r="J257">
        <f>SUMIF('Quarterly Data'!$B:$B,'Annual Data'!$A257,'Quarterly Data'!L:L)</f>
        <v>0</v>
      </c>
      <c r="K257" t="e">
        <f>AVERAGEIF('Quarterly Data'!$B:$B,'Annual Data'!$A257,'Quarterly Data'!M:M)</f>
        <v>#DIV/0!</v>
      </c>
      <c r="L257" t="e">
        <f>AVERAGEIF('Quarterly Data'!$B:$B,'Annual Data'!$A257,'Quarterly Data'!N:N)</f>
        <v>#DIV/0!</v>
      </c>
      <c r="M257" t="e">
        <f>AVERAGEIF('Quarterly Data'!$B:$B,'Annual Data'!$A257,'Quarterly Data'!O:O)</f>
        <v>#DIV/0!</v>
      </c>
      <c r="N257" t="e">
        <f>AVERAGEIF('Quarterly Data'!$B:$B,'Annual Data'!$A257,'Quarterly Data'!P:P)</f>
        <v>#DIV/0!</v>
      </c>
      <c r="O257" t="e">
        <f>AVERAGEIF('Quarterly Data'!$B:$B,'Annual Data'!$A257,'Quarterly Data'!Q:Q)</f>
        <v>#DIV/0!</v>
      </c>
      <c r="P257">
        <f>SUMIF('Quarterly Data'!$B:$B,'Annual Data'!$A257,'Quarterly Data'!R:R)</f>
        <v>0</v>
      </c>
      <c r="Q257">
        <f>SUMIF('Quarterly Data'!$B:$B,'Annual Data'!$A257,'Quarterly Data'!S:S)</f>
        <v>0</v>
      </c>
      <c r="R257" t="e">
        <f>AVERAGEIF('Quarterly Data'!$B:$B,'Annual Data'!$A257,'Quarterly Data'!T:T)</f>
        <v>#DIV/0!</v>
      </c>
      <c r="S257">
        <f>SUMIF('Quarterly Data'!$B:$B,'Annual Data'!$A257,'Quarterly Data'!U:U)</f>
        <v>0</v>
      </c>
      <c r="T257">
        <f>SUMIF('Quarterly Data'!$B:$B,'Annual Data'!$A257,'Quarterly Data'!V:V)</f>
        <v>0</v>
      </c>
      <c r="U257">
        <f>SUMIF('Quarterly Data'!$B:$B,'Annual Data'!$A257,'Quarterly Data'!W:W)</f>
        <v>0</v>
      </c>
      <c r="V257">
        <f>SUMIF('Quarterly Data'!$B:$B,'Annual Data'!$A257,'Quarterly Data'!X:X)</f>
        <v>0</v>
      </c>
      <c r="W257">
        <f>SUMIF('Quarterly Data'!$B:$B,'Annual Data'!$A257,'Quarterly Data'!Y:Y)</f>
        <v>0</v>
      </c>
      <c r="X257">
        <f>SUMIF('Quarterly Data'!$B:$B,'Annual Data'!$A257,'Quarterly Data'!Z:Z)</f>
        <v>0</v>
      </c>
      <c r="Y257">
        <f>SUMIF('Quarterly Data'!$B:$B,'Annual Data'!$A257,'Quarterly Data'!AA:AA)</f>
        <v>0</v>
      </c>
      <c r="Z257" t="e">
        <f>AVERAGEIF('Quarterly Data'!$B:$B,'Annual Data'!$A257,'Quarterly Data'!AB:AB)</f>
        <v>#DIV/0!</v>
      </c>
      <c r="AA257" t="e">
        <f>AVERAGEIF('Quarterly Data'!$B:$B,'Annual Data'!$A257,'Quarterly Data'!AC:AC)</f>
        <v>#DIV/0!</v>
      </c>
      <c r="AB257" t="e">
        <f>AVERAGEIF('Quarterly Data'!$B:$B,'Annual Data'!$A257,'Quarterly Data'!AD:AD)</f>
        <v>#DIV/0!</v>
      </c>
      <c r="AC257" t="e">
        <f>AVERAGEIF('Quarterly Data'!$B:$B,'Annual Data'!$A257,'Quarterly Data'!AE:AE)</f>
        <v>#DIV/0!</v>
      </c>
      <c r="AD257" t="e">
        <f>AVERAGEIF('Quarterly Data'!$B:$B,'Annual Data'!$A257,'Quarterly Data'!AF:AF)</f>
        <v>#DIV/0!</v>
      </c>
      <c r="AE257">
        <f>SUMIF('Quarterly Data'!$B:$B,'Annual Data'!$A257,'Quarterly Data'!AG:AG)</f>
        <v>0</v>
      </c>
    </row>
    <row r="258" spans="1:31" x14ac:dyDescent="0.25">
      <c r="A258">
        <v>2224</v>
      </c>
      <c r="B258">
        <f>SUMIF('Quarterly Data'!$B:$B,'Annual Data'!$A258,'Quarterly Data'!D:D)</f>
        <v>0</v>
      </c>
      <c r="C258" t="e">
        <f>AVERAGEIF('Quarterly Data'!$B:$B,'Annual Data'!$A258,'Quarterly Data'!E:E)</f>
        <v>#DIV/0!</v>
      </c>
      <c r="D258">
        <f>SUMIF('Quarterly Data'!$B:$B,'Annual Data'!$A258,'Quarterly Data'!F:F)</f>
        <v>0</v>
      </c>
      <c r="E258">
        <f>SUMIF('Quarterly Data'!$B:$B,'Annual Data'!$A258,'Quarterly Data'!G:G)</f>
        <v>0</v>
      </c>
      <c r="F258">
        <f>SUMIF('Quarterly Data'!$B:$B,'Annual Data'!$A258,'Quarterly Data'!H:H)</f>
        <v>0</v>
      </c>
      <c r="G258">
        <f>SUMIF('Quarterly Data'!$B:$B,'Annual Data'!$A258,'Quarterly Data'!I:I)</f>
        <v>0</v>
      </c>
      <c r="H258">
        <f>SUMIF('Quarterly Data'!$B:$B,'Annual Data'!$A258,'Quarterly Data'!J:J)</f>
        <v>0</v>
      </c>
      <c r="I258">
        <f>SUMIF('Quarterly Data'!$B:$B,'Annual Data'!$A258,'Quarterly Data'!K:K)</f>
        <v>0</v>
      </c>
      <c r="J258">
        <f>SUMIF('Quarterly Data'!$B:$B,'Annual Data'!$A258,'Quarterly Data'!L:L)</f>
        <v>0</v>
      </c>
      <c r="K258" t="e">
        <f>AVERAGEIF('Quarterly Data'!$B:$B,'Annual Data'!$A258,'Quarterly Data'!M:M)</f>
        <v>#DIV/0!</v>
      </c>
      <c r="L258" t="e">
        <f>AVERAGEIF('Quarterly Data'!$B:$B,'Annual Data'!$A258,'Quarterly Data'!N:N)</f>
        <v>#DIV/0!</v>
      </c>
      <c r="M258" t="e">
        <f>AVERAGEIF('Quarterly Data'!$B:$B,'Annual Data'!$A258,'Quarterly Data'!O:O)</f>
        <v>#DIV/0!</v>
      </c>
      <c r="N258" t="e">
        <f>AVERAGEIF('Quarterly Data'!$B:$B,'Annual Data'!$A258,'Quarterly Data'!P:P)</f>
        <v>#DIV/0!</v>
      </c>
      <c r="O258" t="e">
        <f>AVERAGEIF('Quarterly Data'!$B:$B,'Annual Data'!$A258,'Quarterly Data'!Q:Q)</f>
        <v>#DIV/0!</v>
      </c>
      <c r="P258">
        <f>SUMIF('Quarterly Data'!$B:$B,'Annual Data'!$A258,'Quarterly Data'!R:R)</f>
        <v>0</v>
      </c>
      <c r="Q258">
        <f>SUMIF('Quarterly Data'!$B:$B,'Annual Data'!$A258,'Quarterly Data'!S:S)</f>
        <v>0</v>
      </c>
      <c r="R258" t="e">
        <f>AVERAGEIF('Quarterly Data'!$B:$B,'Annual Data'!$A258,'Quarterly Data'!T:T)</f>
        <v>#DIV/0!</v>
      </c>
      <c r="S258">
        <f>SUMIF('Quarterly Data'!$B:$B,'Annual Data'!$A258,'Quarterly Data'!U:U)</f>
        <v>0</v>
      </c>
      <c r="T258">
        <f>SUMIF('Quarterly Data'!$B:$B,'Annual Data'!$A258,'Quarterly Data'!V:V)</f>
        <v>0</v>
      </c>
      <c r="U258">
        <f>SUMIF('Quarterly Data'!$B:$B,'Annual Data'!$A258,'Quarterly Data'!W:W)</f>
        <v>0</v>
      </c>
      <c r="V258">
        <f>SUMIF('Quarterly Data'!$B:$B,'Annual Data'!$A258,'Quarterly Data'!X:X)</f>
        <v>0</v>
      </c>
      <c r="W258">
        <f>SUMIF('Quarterly Data'!$B:$B,'Annual Data'!$A258,'Quarterly Data'!Y:Y)</f>
        <v>0</v>
      </c>
      <c r="X258">
        <f>SUMIF('Quarterly Data'!$B:$B,'Annual Data'!$A258,'Quarterly Data'!Z:Z)</f>
        <v>0</v>
      </c>
      <c r="Y258">
        <f>SUMIF('Quarterly Data'!$B:$B,'Annual Data'!$A258,'Quarterly Data'!AA:AA)</f>
        <v>0</v>
      </c>
      <c r="Z258" t="e">
        <f>AVERAGEIF('Quarterly Data'!$B:$B,'Annual Data'!$A258,'Quarterly Data'!AB:AB)</f>
        <v>#DIV/0!</v>
      </c>
      <c r="AA258" t="e">
        <f>AVERAGEIF('Quarterly Data'!$B:$B,'Annual Data'!$A258,'Quarterly Data'!AC:AC)</f>
        <v>#DIV/0!</v>
      </c>
      <c r="AB258" t="e">
        <f>AVERAGEIF('Quarterly Data'!$B:$B,'Annual Data'!$A258,'Quarterly Data'!AD:AD)</f>
        <v>#DIV/0!</v>
      </c>
      <c r="AC258" t="e">
        <f>AVERAGEIF('Quarterly Data'!$B:$B,'Annual Data'!$A258,'Quarterly Data'!AE:AE)</f>
        <v>#DIV/0!</v>
      </c>
      <c r="AD258" t="e">
        <f>AVERAGEIF('Quarterly Data'!$B:$B,'Annual Data'!$A258,'Quarterly Data'!AF:AF)</f>
        <v>#DIV/0!</v>
      </c>
      <c r="AE258">
        <f>SUMIF('Quarterly Data'!$B:$B,'Annual Data'!$A258,'Quarterly Data'!AG:AG)</f>
        <v>0</v>
      </c>
    </row>
    <row r="259" spans="1:31" x14ac:dyDescent="0.25">
      <c r="A259">
        <v>2225</v>
      </c>
      <c r="B259">
        <f>SUMIF('Quarterly Data'!$B:$B,'Annual Data'!$A259,'Quarterly Data'!D:D)</f>
        <v>0</v>
      </c>
      <c r="C259" t="e">
        <f>AVERAGEIF('Quarterly Data'!$B:$B,'Annual Data'!$A259,'Quarterly Data'!E:E)</f>
        <v>#DIV/0!</v>
      </c>
      <c r="D259">
        <f>SUMIF('Quarterly Data'!$B:$B,'Annual Data'!$A259,'Quarterly Data'!F:F)</f>
        <v>0</v>
      </c>
      <c r="E259">
        <f>SUMIF('Quarterly Data'!$B:$B,'Annual Data'!$A259,'Quarterly Data'!G:G)</f>
        <v>0</v>
      </c>
      <c r="F259">
        <f>SUMIF('Quarterly Data'!$B:$B,'Annual Data'!$A259,'Quarterly Data'!H:H)</f>
        <v>0</v>
      </c>
      <c r="G259">
        <f>SUMIF('Quarterly Data'!$B:$B,'Annual Data'!$A259,'Quarterly Data'!I:I)</f>
        <v>0</v>
      </c>
      <c r="H259">
        <f>SUMIF('Quarterly Data'!$B:$B,'Annual Data'!$A259,'Quarterly Data'!J:J)</f>
        <v>0</v>
      </c>
      <c r="I259">
        <f>SUMIF('Quarterly Data'!$B:$B,'Annual Data'!$A259,'Quarterly Data'!K:K)</f>
        <v>0</v>
      </c>
      <c r="J259">
        <f>SUMIF('Quarterly Data'!$B:$B,'Annual Data'!$A259,'Quarterly Data'!L:L)</f>
        <v>0</v>
      </c>
      <c r="K259" t="e">
        <f>AVERAGEIF('Quarterly Data'!$B:$B,'Annual Data'!$A259,'Quarterly Data'!M:M)</f>
        <v>#DIV/0!</v>
      </c>
      <c r="L259" t="e">
        <f>AVERAGEIF('Quarterly Data'!$B:$B,'Annual Data'!$A259,'Quarterly Data'!N:N)</f>
        <v>#DIV/0!</v>
      </c>
      <c r="M259" t="e">
        <f>AVERAGEIF('Quarterly Data'!$B:$B,'Annual Data'!$A259,'Quarterly Data'!O:O)</f>
        <v>#DIV/0!</v>
      </c>
      <c r="N259" t="e">
        <f>AVERAGEIF('Quarterly Data'!$B:$B,'Annual Data'!$A259,'Quarterly Data'!P:P)</f>
        <v>#DIV/0!</v>
      </c>
      <c r="O259" t="e">
        <f>AVERAGEIF('Quarterly Data'!$B:$B,'Annual Data'!$A259,'Quarterly Data'!Q:Q)</f>
        <v>#DIV/0!</v>
      </c>
      <c r="P259">
        <f>SUMIF('Quarterly Data'!$B:$B,'Annual Data'!$A259,'Quarterly Data'!R:R)</f>
        <v>0</v>
      </c>
      <c r="Q259">
        <f>SUMIF('Quarterly Data'!$B:$B,'Annual Data'!$A259,'Quarterly Data'!S:S)</f>
        <v>0</v>
      </c>
      <c r="R259" t="e">
        <f>AVERAGEIF('Quarterly Data'!$B:$B,'Annual Data'!$A259,'Quarterly Data'!T:T)</f>
        <v>#DIV/0!</v>
      </c>
      <c r="S259">
        <f>SUMIF('Quarterly Data'!$B:$B,'Annual Data'!$A259,'Quarterly Data'!U:U)</f>
        <v>0</v>
      </c>
      <c r="T259">
        <f>SUMIF('Quarterly Data'!$B:$B,'Annual Data'!$A259,'Quarterly Data'!V:V)</f>
        <v>0</v>
      </c>
      <c r="U259">
        <f>SUMIF('Quarterly Data'!$B:$B,'Annual Data'!$A259,'Quarterly Data'!W:W)</f>
        <v>0</v>
      </c>
      <c r="V259">
        <f>SUMIF('Quarterly Data'!$B:$B,'Annual Data'!$A259,'Quarterly Data'!X:X)</f>
        <v>0</v>
      </c>
      <c r="W259">
        <f>SUMIF('Quarterly Data'!$B:$B,'Annual Data'!$A259,'Quarterly Data'!Y:Y)</f>
        <v>0</v>
      </c>
      <c r="X259">
        <f>SUMIF('Quarterly Data'!$B:$B,'Annual Data'!$A259,'Quarterly Data'!Z:Z)</f>
        <v>0</v>
      </c>
      <c r="Y259">
        <f>SUMIF('Quarterly Data'!$B:$B,'Annual Data'!$A259,'Quarterly Data'!AA:AA)</f>
        <v>0</v>
      </c>
      <c r="Z259" t="e">
        <f>AVERAGEIF('Quarterly Data'!$B:$B,'Annual Data'!$A259,'Quarterly Data'!AB:AB)</f>
        <v>#DIV/0!</v>
      </c>
      <c r="AA259" t="e">
        <f>AVERAGEIF('Quarterly Data'!$B:$B,'Annual Data'!$A259,'Quarterly Data'!AC:AC)</f>
        <v>#DIV/0!</v>
      </c>
      <c r="AB259" t="e">
        <f>AVERAGEIF('Quarterly Data'!$B:$B,'Annual Data'!$A259,'Quarterly Data'!AD:AD)</f>
        <v>#DIV/0!</v>
      </c>
      <c r="AC259" t="e">
        <f>AVERAGEIF('Quarterly Data'!$B:$B,'Annual Data'!$A259,'Quarterly Data'!AE:AE)</f>
        <v>#DIV/0!</v>
      </c>
      <c r="AD259" t="e">
        <f>AVERAGEIF('Quarterly Data'!$B:$B,'Annual Data'!$A259,'Quarterly Data'!AF:AF)</f>
        <v>#DIV/0!</v>
      </c>
      <c r="AE259">
        <f>SUMIF('Quarterly Data'!$B:$B,'Annual Data'!$A259,'Quarterly Data'!AG:AG)</f>
        <v>0</v>
      </c>
    </row>
    <row r="260" spans="1:31" x14ac:dyDescent="0.25">
      <c r="A260">
        <v>2226</v>
      </c>
      <c r="B260">
        <f>SUMIF('Quarterly Data'!$B:$B,'Annual Data'!$A260,'Quarterly Data'!D:D)</f>
        <v>0</v>
      </c>
      <c r="C260" t="e">
        <f>AVERAGEIF('Quarterly Data'!$B:$B,'Annual Data'!$A260,'Quarterly Data'!E:E)</f>
        <v>#DIV/0!</v>
      </c>
      <c r="D260">
        <f>SUMIF('Quarterly Data'!$B:$B,'Annual Data'!$A260,'Quarterly Data'!F:F)</f>
        <v>0</v>
      </c>
      <c r="E260">
        <f>SUMIF('Quarterly Data'!$B:$B,'Annual Data'!$A260,'Quarterly Data'!G:G)</f>
        <v>0</v>
      </c>
      <c r="F260">
        <f>SUMIF('Quarterly Data'!$B:$B,'Annual Data'!$A260,'Quarterly Data'!H:H)</f>
        <v>0</v>
      </c>
      <c r="G260">
        <f>SUMIF('Quarterly Data'!$B:$B,'Annual Data'!$A260,'Quarterly Data'!I:I)</f>
        <v>0</v>
      </c>
      <c r="H260">
        <f>SUMIF('Quarterly Data'!$B:$B,'Annual Data'!$A260,'Quarterly Data'!J:J)</f>
        <v>0</v>
      </c>
      <c r="I260">
        <f>SUMIF('Quarterly Data'!$B:$B,'Annual Data'!$A260,'Quarterly Data'!K:K)</f>
        <v>0</v>
      </c>
      <c r="J260">
        <f>SUMIF('Quarterly Data'!$B:$B,'Annual Data'!$A260,'Quarterly Data'!L:L)</f>
        <v>0</v>
      </c>
      <c r="K260" t="e">
        <f>AVERAGEIF('Quarterly Data'!$B:$B,'Annual Data'!$A260,'Quarterly Data'!M:M)</f>
        <v>#DIV/0!</v>
      </c>
      <c r="L260" t="e">
        <f>AVERAGEIF('Quarterly Data'!$B:$B,'Annual Data'!$A260,'Quarterly Data'!N:N)</f>
        <v>#DIV/0!</v>
      </c>
      <c r="M260" t="e">
        <f>AVERAGEIF('Quarterly Data'!$B:$B,'Annual Data'!$A260,'Quarterly Data'!O:O)</f>
        <v>#DIV/0!</v>
      </c>
      <c r="N260" t="e">
        <f>AVERAGEIF('Quarterly Data'!$B:$B,'Annual Data'!$A260,'Quarterly Data'!P:P)</f>
        <v>#DIV/0!</v>
      </c>
      <c r="O260" t="e">
        <f>AVERAGEIF('Quarterly Data'!$B:$B,'Annual Data'!$A260,'Quarterly Data'!Q:Q)</f>
        <v>#DIV/0!</v>
      </c>
      <c r="P260">
        <f>SUMIF('Quarterly Data'!$B:$B,'Annual Data'!$A260,'Quarterly Data'!R:R)</f>
        <v>0</v>
      </c>
      <c r="Q260">
        <f>SUMIF('Quarterly Data'!$B:$B,'Annual Data'!$A260,'Quarterly Data'!S:S)</f>
        <v>0</v>
      </c>
      <c r="R260" t="e">
        <f>AVERAGEIF('Quarterly Data'!$B:$B,'Annual Data'!$A260,'Quarterly Data'!T:T)</f>
        <v>#DIV/0!</v>
      </c>
      <c r="S260">
        <f>SUMIF('Quarterly Data'!$B:$B,'Annual Data'!$A260,'Quarterly Data'!U:U)</f>
        <v>0</v>
      </c>
      <c r="T260">
        <f>SUMIF('Quarterly Data'!$B:$B,'Annual Data'!$A260,'Quarterly Data'!V:V)</f>
        <v>0</v>
      </c>
      <c r="U260">
        <f>SUMIF('Quarterly Data'!$B:$B,'Annual Data'!$A260,'Quarterly Data'!W:W)</f>
        <v>0</v>
      </c>
      <c r="V260">
        <f>SUMIF('Quarterly Data'!$B:$B,'Annual Data'!$A260,'Quarterly Data'!X:X)</f>
        <v>0</v>
      </c>
      <c r="W260">
        <f>SUMIF('Quarterly Data'!$B:$B,'Annual Data'!$A260,'Quarterly Data'!Y:Y)</f>
        <v>0</v>
      </c>
      <c r="X260">
        <f>SUMIF('Quarterly Data'!$B:$B,'Annual Data'!$A260,'Quarterly Data'!Z:Z)</f>
        <v>0</v>
      </c>
      <c r="Y260">
        <f>SUMIF('Quarterly Data'!$B:$B,'Annual Data'!$A260,'Quarterly Data'!AA:AA)</f>
        <v>0</v>
      </c>
      <c r="Z260" t="e">
        <f>AVERAGEIF('Quarterly Data'!$B:$B,'Annual Data'!$A260,'Quarterly Data'!AB:AB)</f>
        <v>#DIV/0!</v>
      </c>
      <c r="AA260" t="e">
        <f>AVERAGEIF('Quarterly Data'!$B:$B,'Annual Data'!$A260,'Quarterly Data'!AC:AC)</f>
        <v>#DIV/0!</v>
      </c>
      <c r="AB260" t="e">
        <f>AVERAGEIF('Quarterly Data'!$B:$B,'Annual Data'!$A260,'Quarterly Data'!AD:AD)</f>
        <v>#DIV/0!</v>
      </c>
      <c r="AC260" t="e">
        <f>AVERAGEIF('Quarterly Data'!$B:$B,'Annual Data'!$A260,'Quarterly Data'!AE:AE)</f>
        <v>#DIV/0!</v>
      </c>
      <c r="AD260" t="e">
        <f>AVERAGEIF('Quarterly Data'!$B:$B,'Annual Data'!$A260,'Quarterly Data'!AF:AF)</f>
        <v>#DIV/0!</v>
      </c>
      <c r="AE260">
        <f>SUMIF('Quarterly Data'!$B:$B,'Annual Data'!$A260,'Quarterly Data'!AG:AG)</f>
        <v>0</v>
      </c>
    </row>
    <row r="261" spans="1:31" x14ac:dyDescent="0.25">
      <c r="A261">
        <v>2227</v>
      </c>
      <c r="B261">
        <f>SUMIF('Quarterly Data'!$B:$B,'Annual Data'!$A261,'Quarterly Data'!D:D)</f>
        <v>0</v>
      </c>
      <c r="C261" t="e">
        <f>AVERAGEIF('Quarterly Data'!$B:$B,'Annual Data'!$A261,'Quarterly Data'!E:E)</f>
        <v>#DIV/0!</v>
      </c>
      <c r="D261">
        <f>SUMIF('Quarterly Data'!$B:$B,'Annual Data'!$A261,'Quarterly Data'!F:F)</f>
        <v>0</v>
      </c>
      <c r="E261">
        <f>SUMIF('Quarterly Data'!$B:$B,'Annual Data'!$A261,'Quarterly Data'!G:G)</f>
        <v>0</v>
      </c>
      <c r="F261">
        <f>SUMIF('Quarterly Data'!$B:$B,'Annual Data'!$A261,'Quarterly Data'!H:H)</f>
        <v>0</v>
      </c>
      <c r="G261">
        <f>SUMIF('Quarterly Data'!$B:$B,'Annual Data'!$A261,'Quarterly Data'!I:I)</f>
        <v>0</v>
      </c>
      <c r="H261">
        <f>SUMIF('Quarterly Data'!$B:$B,'Annual Data'!$A261,'Quarterly Data'!J:J)</f>
        <v>0</v>
      </c>
      <c r="I261">
        <f>SUMIF('Quarterly Data'!$B:$B,'Annual Data'!$A261,'Quarterly Data'!K:K)</f>
        <v>0</v>
      </c>
      <c r="J261">
        <f>SUMIF('Quarterly Data'!$B:$B,'Annual Data'!$A261,'Quarterly Data'!L:L)</f>
        <v>0</v>
      </c>
      <c r="K261" t="e">
        <f>AVERAGEIF('Quarterly Data'!$B:$B,'Annual Data'!$A261,'Quarterly Data'!M:M)</f>
        <v>#DIV/0!</v>
      </c>
      <c r="L261" t="e">
        <f>AVERAGEIF('Quarterly Data'!$B:$B,'Annual Data'!$A261,'Quarterly Data'!N:N)</f>
        <v>#DIV/0!</v>
      </c>
      <c r="M261" t="e">
        <f>AVERAGEIF('Quarterly Data'!$B:$B,'Annual Data'!$A261,'Quarterly Data'!O:O)</f>
        <v>#DIV/0!</v>
      </c>
      <c r="N261" t="e">
        <f>AVERAGEIF('Quarterly Data'!$B:$B,'Annual Data'!$A261,'Quarterly Data'!P:P)</f>
        <v>#DIV/0!</v>
      </c>
      <c r="O261" t="e">
        <f>AVERAGEIF('Quarterly Data'!$B:$B,'Annual Data'!$A261,'Quarterly Data'!Q:Q)</f>
        <v>#DIV/0!</v>
      </c>
      <c r="P261">
        <f>SUMIF('Quarterly Data'!$B:$B,'Annual Data'!$A261,'Quarterly Data'!R:R)</f>
        <v>0</v>
      </c>
      <c r="Q261">
        <f>SUMIF('Quarterly Data'!$B:$B,'Annual Data'!$A261,'Quarterly Data'!S:S)</f>
        <v>0</v>
      </c>
      <c r="R261" t="e">
        <f>AVERAGEIF('Quarterly Data'!$B:$B,'Annual Data'!$A261,'Quarterly Data'!T:T)</f>
        <v>#DIV/0!</v>
      </c>
      <c r="S261">
        <f>SUMIF('Quarterly Data'!$B:$B,'Annual Data'!$A261,'Quarterly Data'!U:U)</f>
        <v>0</v>
      </c>
      <c r="T261">
        <f>SUMIF('Quarterly Data'!$B:$B,'Annual Data'!$A261,'Quarterly Data'!V:V)</f>
        <v>0</v>
      </c>
      <c r="U261">
        <f>SUMIF('Quarterly Data'!$B:$B,'Annual Data'!$A261,'Quarterly Data'!W:W)</f>
        <v>0</v>
      </c>
      <c r="V261">
        <f>SUMIF('Quarterly Data'!$B:$B,'Annual Data'!$A261,'Quarterly Data'!X:X)</f>
        <v>0</v>
      </c>
      <c r="W261">
        <f>SUMIF('Quarterly Data'!$B:$B,'Annual Data'!$A261,'Quarterly Data'!Y:Y)</f>
        <v>0</v>
      </c>
      <c r="X261">
        <f>SUMIF('Quarterly Data'!$B:$B,'Annual Data'!$A261,'Quarterly Data'!Z:Z)</f>
        <v>0</v>
      </c>
      <c r="Y261">
        <f>SUMIF('Quarterly Data'!$B:$B,'Annual Data'!$A261,'Quarterly Data'!AA:AA)</f>
        <v>0</v>
      </c>
      <c r="Z261" t="e">
        <f>AVERAGEIF('Quarterly Data'!$B:$B,'Annual Data'!$A261,'Quarterly Data'!AB:AB)</f>
        <v>#DIV/0!</v>
      </c>
      <c r="AA261" t="e">
        <f>AVERAGEIF('Quarterly Data'!$B:$B,'Annual Data'!$A261,'Quarterly Data'!AC:AC)</f>
        <v>#DIV/0!</v>
      </c>
      <c r="AB261" t="e">
        <f>AVERAGEIF('Quarterly Data'!$B:$B,'Annual Data'!$A261,'Quarterly Data'!AD:AD)</f>
        <v>#DIV/0!</v>
      </c>
      <c r="AC261" t="e">
        <f>AVERAGEIF('Quarterly Data'!$B:$B,'Annual Data'!$A261,'Quarterly Data'!AE:AE)</f>
        <v>#DIV/0!</v>
      </c>
      <c r="AD261" t="e">
        <f>AVERAGEIF('Quarterly Data'!$B:$B,'Annual Data'!$A261,'Quarterly Data'!AF:AF)</f>
        <v>#DIV/0!</v>
      </c>
      <c r="AE261">
        <f>SUMIF('Quarterly Data'!$B:$B,'Annual Data'!$A261,'Quarterly Data'!AG:AG)</f>
        <v>0</v>
      </c>
    </row>
    <row r="262" spans="1:31" x14ac:dyDescent="0.25">
      <c r="A262">
        <v>2228</v>
      </c>
      <c r="B262">
        <f>SUMIF('Quarterly Data'!$B:$B,'Annual Data'!$A262,'Quarterly Data'!D:D)</f>
        <v>0</v>
      </c>
      <c r="C262" t="e">
        <f>AVERAGEIF('Quarterly Data'!$B:$B,'Annual Data'!$A262,'Quarterly Data'!E:E)</f>
        <v>#DIV/0!</v>
      </c>
      <c r="D262">
        <f>SUMIF('Quarterly Data'!$B:$B,'Annual Data'!$A262,'Quarterly Data'!F:F)</f>
        <v>0</v>
      </c>
      <c r="E262">
        <f>SUMIF('Quarterly Data'!$B:$B,'Annual Data'!$A262,'Quarterly Data'!G:G)</f>
        <v>0</v>
      </c>
      <c r="F262">
        <f>SUMIF('Quarterly Data'!$B:$B,'Annual Data'!$A262,'Quarterly Data'!H:H)</f>
        <v>0</v>
      </c>
      <c r="G262">
        <f>SUMIF('Quarterly Data'!$B:$B,'Annual Data'!$A262,'Quarterly Data'!I:I)</f>
        <v>0</v>
      </c>
      <c r="H262">
        <f>SUMIF('Quarterly Data'!$B:$B,'Annual Data'!$A262,'Quarterly Data'!J:J)</f>
        <v>0</v>
      </c>
      <c r="I262">
        <f>SUMIF('Quarterly Data'!$B:$B,'Annual Data'!$A262,'Quarterly Data'!K:K)</f>
        <v>0</v>
      </c>
      <c r="J262">
        <f>SUMIF('Quarterly Data'!$B:$B,'Annual Data'!$A262,'Quarterly Data'!L:L)</f>
        <v>0</v>
      </c>
      <c r="K262" t="e">
        <f>AVERAGEIF('Quarterly Data'!$B:$B,'Annual Data'!$A262,'Quarterly Data'!M:M)</f>
        <v>#DIV/0!</v>
      </c>
      <c r="L262" t="e">
        <f>AVERAGEIF('Quarterly Data'!$B:$B,'Annual Data'!$A262,'Quarterly Data'!N:N)</f>
        <v>#DIV/0!</v>
      </c>
      <c r="M262" t="e">
        <f>AVERAGEIF('Quarterly Data'!$B:$B,'Annual Data'!$A262,'Quarterly Data'!O:O)</f>
        <v>#DIV/0!</v>
      </c>
      <c r="N262" t="e">
        <f>AVERAGEIF('Quarterly Data'!$B:$B,'Annual Data'!$A262,'Quarterly Data'!P:P)</f>
        <v>#DIV/0!</v>
      </c>
      <c r="O262" t="e">
        <f>AVERAGEIF('Quarterly Data'!$B:$B,'Annual Data'!$A262,'Quarterly Data'!Q:Q)</f>
        <v>#DIV/0!</v>
      </c>
      <c r="P262">
        <f>SUMIF('Quarterly Data'!$B:$B,'Annual Data'!$A262,'Quarterly Data'!R:R)</f>
        <v>0</v>
      </c>
      <c r="Q262">
        <f>SUMIF('Quarterly Data'!$B:$B,'Annual Data'!$A262,'Quarterly Data'!S:S)</f>
        <v>0</v>
      </c>
      <c r="R262" t="e">
        <f>AVERAGEIF('Quarterly Data'!$B:$B,'Annual Data'!$A262,'Quarterly Data'!T:T)</f>
        <v>#DIV/0!</v>
      </c>
      <c r="S262">
        <f>SUMIF('Quarterly Data'!$B:$B,'Annual Data'!$A262,'Quarterly Data'!U:U)</f>
        <v>0</v>
      </c>
      <c r="T262">
        <f>SUMIF('Quarterly Data'!$B:$B,'Annual Data'!$A262,'Quarterly Data'!V:V)</f>
        <v>0</v>
      </c>
      <c r="U262">
        <f>SUMIF('Quarterly Data'!$B:$B,'Annual Data'!$A262,'Quarterly Data'!W:W)</f>
        <v>0</v>
      </c>
      <c r="V262">
        <f>SUMIF('Quarterly Data'!$B:$B,'Annual Data'!$A262,'Quarterly Data'!X:X)</f>
        <v>0</v>
      </c>
      <c r="W262">
        <f>SUMIF('Quarterly Data'!$B:$B,'Annual Data'!$A262,'Quarterly Data'!Y:Y)</f>
        <v>0</v>
      </c>
      <c r="X262">
        <f>SUMIF('Quarterly Data'!$B:$B,'Annual Data'!$A262,'Quarterly Data'!Z:Z)</f>
        <v>0</v>
      </c>
      <c r="Y262">
        <f>SUMIF('Quarterly Data'!$B:$B,'Annual Data'!$A262,'Quarterly Data'!AA:AA)</f>
        <v>0</v>
      </c>
      <c r="Z262" t="e">
        <f>AVERAGEIF('Quarterly Data'!$B:$B,'Annual Data'!$A262,'Quarterly Data'!AB:AB)</f>
        <v>#DIV/0!</v>
      </c>
      <c r="AA262" t="e">
        <f>AVERAGEIF('Quarterly Data'!$B:$B,'Annual Data'!$A262,'Quarterly Data'!AC:AC)</f>
        <v>#DIV/0!</v>
      </c>
      <c r="AB262" t="e">
        <f>AVERAGEIF('Quarterly Data'!$B:$B,'Annual Data'!$A262,'Quarterly Data'!AD:AD)</f>
        <v>#DIV/0!</v>
      </c>
      <c r="AC262" t="e">
        <f>AVERAGEIF('Quarterly Data'!$B:$B,'Annual Data'!$A262,'Quarterly Data'!AE:AE)</f>
        <v>#DIV/0!</v>
      </c>
      <c r="AD262" t="e">
        <f>AVERAGEIF('Quarterly Data'!$B:$B,'Annual Data'!$A262,'Quarterly Data'!AF:AF)</f>
        <v>#DIV/0!</v>
      </c>
      <c r="AE262">
        <f>SUMIF('Quarterly Data'!$B:$B,'Annual Data'!$A262,'Quarterly Data'!AG:AG)</f>
        <v>0</v>
      </c>
    </row>
    <row r="263" spans="1:31" x14ac:dyDescent="0.25">
      <c r="A263">
        <v>2229</v>
      </c>
      <c r="B263">
        <f>SUMIF('Quarterly Data'!$B:$B,'Annual Data'!$A263,'Quarterly Data'!D:D)</f>
        <v>0</v>
      </c>
      <c r="C263" t="e">
        <f>AVERAGEIF('Quarterly Data'!$B:$B,'Annual Data'!$A263,'Quarterly Data'!E:E)</f>
        <v>#DIV/0!</v>
      </c>
      <c r="D263">
        <f>SUMIF('Quarterly Data'!$B:$B,'Annual Data'!$A263,'Quarterly Data'!F:F)</f>
        <v>0</v>
      </c>
      <c r="E263">
        <f>SUMIF('Quarterly Data'!$B:$B,'Annual Data'!$A263,'Quarterly Data'!G:G)</f>
        <v>0</v>
      </c>
      <c r="F263">
        <f>SUMIF('Quarterly Data'!$B:$B,'Annual Data'!$A263,'Quarterly Data'!H:H)</f>
        <v>0</v>
      </c>
      <c r="G263">
        <f>SUMIF('Quarterly Data'!$B:$B,'Annual Data'!$A263,'Quarterly Data'!I:I)</f>
        <v>0</v>
      </c>
      <c r="H263">
        <f>SUMIF('Quarterly Data'!$B:$B,'Annual Data'!$A263,'Quarterly Data'!J:J)</f>
        <v>0</v>
      </c>
      <c r="I263">
        <f>SUMIF('Quarterly Data'!$B:$B,'Annual Data'!$A263,'Quarterly Data'!K:K)</f>
        <v>0</v>
      </c>
      <c r="J263">
        <f>SUMIF('Quarterly Data'!$B:$B,'Annual Data'!$A263,'Quarterly Data'!L:L)</f>
        <v>0</v>
      </c>
      <c r="K263" t="e">
        <f>AVERAGEIF('Quarterly Data'!$B:$B,'Annual Data'!$A263,'Quarterly Data'!M:M)</f>
        <v>#DIV/0!</v>
      </c>
      <c r="L263" t="e">
        <f>AVERAGEIF('Quarterly Data'!$B:$B,'Annual Data'!$A263,'Quarterly Data'!N:N)</f>
        <v>#DIV/0!</v>
      </c>
      <c r="M263" t="e">
        <f>AVERAGEIF('Quarterly Data'!$B:$B,'Annual Data'!$A263,'Quarterly Data'!O:O)</f>
        <v>#DIV/0!</v>
      </c>
      <c r="N263" t="e">
        <f>AVERAGEIF('Quarterly Data'!$B:$B,'Annual Data'!$A263,'Quarterly Data'!P:P)</f>
        <v>#DIV/0!</v>
      </c>
      <c r="O263" t="e">
        <f>AVERAGEIF('Quarterly Data'!$B:$B,'Annual Data'!$A263,'Quarterly Data'!Q:Q)</f>
        <v>#DIV/0!</v>
      </c>
      <c r="P263">
        <f>SUMIF('Quarterly Data'!$B:$B,'Annual Data'!$A263,'Quarterly Data'!R:R)</f>
        <v>0</v>
      </c>
      <c r="Q263">
        <f>SUMIF('Quarterly Data'!$B:$B,'Annual Data'!$A263,'Quarterly Data'!S:S)</f>
        <v>0</v>
      </c>
      <c r="R263" t="e">
        <f>AVERAGEIF('Quarterly Data'!$B:$B,'Annual Data'!$A263,'Quarterly Data'!T:T)</f>
        <v>#DIV/0!</v>
      </c>
      <c r="S263">
        <f>SUMIF('Quarterly Data'!$B:$B,'Annual Data'!$A263,'Quarterly Data'!U:U)</f>
        <v>0</v>
      </c>
      <c r="T263">
        <f>SUMIF('Quarterly Data'!$B:$B,'Annual Data'!$A263,'Quarterly Data'!V:V)</f>
        <v>0</v>
      </c>
      <c r="U263">
        <f>SUMIF('Quarterly Data'!$B:$B,'Annual Data'!$A263,'Quarterly Data'!W:W)</f>
        <v>0</v>
      </c>
      <c r="V263">
        <f>SUMIF('Quarterly Data'!$B:$B,'Annual Data'!$A263,'Quarterly Data'!X:X)</f>
        <v>0</v>
      </c>
      <c r="W263">
        <f>SUMIF('Quarterly Data'!$B:$B,'Annual Data'!$A263,'Quarterly Data'!Y:Y)</f>
        <v>0</v>
      </c>
      <c r="X263">
        <f>SUMIF('Quarterly Data'!$B:$B,'Annual Data'!$A263,'Quarterly Data'!Z:Z)</f>
        <v>0</v>
      </c>
      <c r="Y263">
        <f>SUMIF('Quarterly Data'!$B:$B,'Annual Data'!$A263,'Quarterly Data'!AA:AA)</f>
        <v>0</v>
      </c>
      <c r="Z263" t="e">
        <f>AVERAGEIF('Quarterly Data'!$B:$B,'Annual Data'!$A263,'Quarterly Data'!AB:AB)</f>
        <v>#DIV/0!</v>
      </c>
      <c r="AA263" t="e">
        <f>AVERAGEIF('Quarterly Data'!$B:$B,'Annual Data'!$A263,'Quarterly Data'!AC:AC)</f>
        <v>#DIV/0!</v>
      </c>
      <c r="AB263" t="e">
        <f>AVERAGEIF('Quarterly Data'!$B:$B,'Annual Data'!$A263,'Quarterly Data'!AD:AD)</f>
        <v>#DIV/0!</v>
      </c>
      <c r="AC263" t="e">
        <f>AVERAGEIF('Quarterly Data'!$B:$B,'Annual Data'!$A263,'Quarterly Data'!AE:AE)</f>
        <v>#DIV/0!</v>
      </c>
      <c r="AD263" t="e">
        <f>AVERAGEIF('Quarterly Data'!$B:$B,'Annual Data'!$A263,'Quarterly Data'!AF:AF)</f>
        <v>#DIV/0!</v>
      </c>
      <c r="AE263">
        <f>SUMIF('Quarterly Data'!$B:$B,'Annual Data'!$A263,'Quarterly Data'!AG:AG)</f>
        <v>0</v>
      </c>
    </row>
    <row r="264" spans="1:31" x14ac:dyDescent="0.25">
      <c r="A264">
        <v>2230</v>
      </c>
      <c r="B264">
        <f>SUMIF('Quarterly Data'!$B:$B,'Annual Data'!$A264,'Quarterly Data'!D:D)</f>
        <v>0</v>
      </c>
      <c r="C264" t="e">
        <f>AVERAGEIF('Quarterly Data'!$B:$B,'Annual Data'!$A264,'Quarterly Data'!E:E)</f>
        <v>#DIV/0!</v>
      </c>
      <c r="D264">
        <f>SUMIF('Quarterly Data'!$B:$B,'Annual Data'!$A264,'Quarterly Data'!F:F)</f>
        <v>0</v>
      </c>
      <c r="E264">
        <f>SUMIF('Quarterly Data'!$B:$B,'Annual Data'!$A264,'Quarterly Data'!G:G)</f>
        <v>0</v>
      </c>
      <c r="F264">
        <f>SUMIF('Quarterly Data'!$B:$B,'Annual Data'!$A264,'Quarterly Data'!H:H)</f>
        <v>0</v>
      </c>
      <c r="G264">
        <f>SUMIF('Quarterly Data'!$B:$B,'Annual Data'!$A264,'Quarterly Data'!I:I)</f>
        <v>0</v>
      </c>
      <c r="H264">
        <f>SUMIF('Quarterly Data'!$B:$B,'Annual Data'!$A264,'Quarterly Data'!J:J)</f>
        <v>0</v>
      </c>
      <c r="I264">
        <f>SUMIF('Quarterly Data'!$B:$B,'Annual Data'!$A264,'Quarterly Data'!K:K)</f>
        <v>0</v>
      </c>
      <c r="J264">
        <f>SUMIF('Quarterly Data'!$B:$B,'Annual Data'!$A264,'Quarterly Data'!L:L)</f>
        <v>0</v>
      </c>
      <c r="K264" t="e">
        <f>AVERAGEIF('Quarterly Data'!$B:$B,'Annual Data'!$A264,'Quarterly Data'!M:M)</f>
        <v>#DIV/0!</v>
      </c>
      <c r="L264" t="e">
        <f>AVERAGEIF('Quarterly Data'!$B:$B,'Annual Data'!$A264,'Quarterly Data'!N:N)</f>
        <v>#DIV/0!</v>
      </c>
      <c r="M264" t="e">
        <f>AVERAGEIF('Quarterly Data'!$B:$B,'Annual Data'!$A264,'Quarterly Data'!O:O)</f>
        <v>#DIV/0!</v>
      </c>
      <c r="N264" t="e">
        <f>AVERAGEIF('Quarterly Data'!$B:$B,'Annual Data'!$A264,'Quarterly Data'!P:P)</f>
        <v>#DIV/0!</v>
      </c>
      <c r="O264" t="e">
        <f>AVERAGEIF('Quarterly Data'!$B:$B,'Annual Data'!$A264,'Quarterly Data'!Q:Q)</f>
        <v>#DIV/0!</v>
      </c>
      <c r="P264">
        <f>SUMIF('Quarterly Data'!$B:$B,'Annual Data'!$A264,'Quarterly Data'!R:R)</f>
        <v>0</v>
      </c>
      <c r="Q264">
        <f>SUMIF('Quarterly Data'!$B:$B,'Annual Data'!$A264,'Quarterly Data'!S:S)</f>
        <v>0</v>
      </c>
      <c r="R264" t="e">
        <f>AVERAGEIF('Quarterly Data'!$B:$B,'Annual Data'!$A264,'Quarterly Data'!T:T)</f>
        <v>#DIV/0!</v>
      </c>
      <c r="S264">
        <f>SUMIF('Quarterly Data'!$B:$B,'Annual Data'!$A264,'Quarterly Data'!U:U)</f>
        <v>0</v>
      </c>
      <c r="T264">
        <f>SUMIF('Quarterly Data'!$B:$B,'Annual Data'!$A264,'Quarterly Data'!V:V)</f>
        <v>0</v>
      </c>
      <c r="U264">
        <f>SUMIF('Quarterly Data'!$B:$B,'Annual Data'!$A264,'Quarterly Data'!W:W)</f>
        <v>0</v>
      </c>
      <c r="V264">
        <f>SUMIF('Quarterly Data'!$B:$B,'Annual Data'!$A264,'Quarterly Data'!X:X)</f>
        <v>0</v>
      </c>
      <c r="W264">
        <f>SUMIF('Quarterly Data'!$B:$B,'Annual Data'!$A264,'Quarterly Data'!Y:Y)</f>
        <v>0</v>
      </c>
      <c r="X264">
        <f>SUMIF('Quarterly Data'!$B:$B,'Annual Data'!$A264,'Quarterly Data'!Z:Z)</f>
        <v>0</v>
      </c>
      <c r="Y264">
        <f>SUMIF('Quarterly Data'!$B:$B,'Annual Data'!$A264,'Quarterly Data'!AA:AA)</f>
        <v>0</v>
      </c>
      <c r="Z264" t="e">
        <f>AVERAGEIF('Quarterly Data'!$B:$B,'Annual Data'!$A264,'Quarterly Data'!AB:AB)</f>
        <v>#DIV/0!</v>
      </c>
      <c r="AA264" t="e">
        <f>AVERAGEIF('Quarterly Data'!$B:$B,'Annual Data'!$A264,'Quarterly Data'!AC:AC)</f>
        <v>#DIV/0!</v>
      </c>
      <c r="AB264" t="e">
        <f>AVERAGEIF('Quarterly Data'!$B:$B,'Annual Data'!$A264,'Quarterly Data'!AD:AD)</f>
        <v>#DIV/0!</v>
      </c>
      <c r="AC264" t="e">
        <f>AVERAGEIF('Quarterly Data'!$B:$B,'Annual Data'!$A264,'Quarterly Data'!AE:AE)</f>
        <v>#DIV/0!</v>
      </c>
      <c r="AD264" t="e">
        <f>AVERAGEIF('Quarterly Data'!$B:$B,'Annual Data'!$A264,'Quarterly Data'!AF:AF)</f>
        <v>#DIV/0!</v>
      </c>
      <c r="AE264">
        <f>SUMIF('Quarterly Data'!$B:$B,'Annual Data'!$A264,'Quarterly Data'!AG:AG)</f>
        <v>0</v>
      </c>
    </row>
    <row r="265" spans="1:31" x14ac:dyDescent="0.25">
      <c r="A265">
        <v>2231</v>
      </c>
      <c r="B265">
        <f>SUMIF('Quarterly Data'!$B:$B,'Annual Data'!$A265,'Quarterly Data'!D:D)</f>
        <v>0</v>
      </c>
      <c r="C265" t="e">
        <f>AVERAGEIF('Quarterly Data'!$B:$B,'Annual Data'!$A265,'Quarterly Data'!E:E)</f>
        <v>#DIV/0!</v>
      </c>
      <c r="D265">
        <f>SUMIF('Quarterly Data'!$B:$B,'Annual Data'!$A265,'Quarterly Data'!F:F)</f>
        <v>0</v>
      </c>
      <c r="E265">
        <f>SUMIF('Quarterly Data'!$B:$B,'Annual Data'!$A265,'Quarterly Data'!G:G)</f>
        <v>0</v>
      </c>
      <c r="F265">
        <f>SUMIF('Quarterly Data'!$B:$B,'Annual Data'!$A265,'Quarterly Data'!H:H)</f>
        <v>0</v>
      </c>
      <c r="G265">
        <f>SUMIF('Quarterly Data'!$B:$B,'Annual Data'!$A265,'Quarterly Data'!I:I)</f>
        <v>0</v>
      </c>
      <c r="H265">
        <f>SUMIF('Quarterly Data'!$B:$B,'Annual Data'!$A265,'Quarterly Data'!J:J)</f>
        <v>0</v>
      </c>
      <c r="I265">
        <f>SUMIF('Quarterly Data'!$B:$B,'Annual Data'!$A265,'Quarterly Data'!K:K)</f>
        <v>0</v>
      </c>
      <c r="J265">
        <f>SUMIF('Quarterly Data'!$B:$B,'Annual Data'!$A265,'Quarterly Data'!L:L)</f>
        <v>0</v>
      </c>
      <c r="K265" t="e">
        <f>AVERAGEIF('Quarterly Data'!$B:$B,'Annual Data'!$A265,'Quarterly Data'!M:M)</f>
        <v>#DIV/0!</v>
      </c>
      <c r="L265" t="e">
        <f>AVERAGEIF('Quarterly Data'!$B:$B,'Annual Data'!$A265,'Quarterly Data'!N:N)</f>
        <v>#DIV/0!</v>
      </c>
      <c r="M265" t="e">
        <f>AVERAGEIF('Quarterly Data'!$B:$B,'Annual Data'!$A265,'Quarterly Data'!O:O)</f>
        <v>#DIV/0!</v>
      </c>
      <c r="N265" t="e">
        <f>AVERAGEIF('Quarterly Data'!$B:$B,'Annual Data'!$A265,'Quarterly Data'!P:P)</f>
        <v>#DIV/0!</v>
      </c>
      <c r="O265" t="e">
        <f>AVERAGEIF('Quarterly Data'!$B:$B,'Annual Data'!$A265,'Quarterly Data'!Q:Q)</f>
        <v>#DIV/0!</v>
      </c>
      <c r="P265">
        <f>SUMIF('Quarterly Data'!$B:$B,'Annual Data'!$A265,'Quarterly Data'!R:R)</f>
        <v>0</v>
      </c>
      <c r="Q265">
        <f>SUMIF('Quarterly Data'!$B:$B,'Annual Data'!$A265,'Quarterly Data'!S:S)</f>
        <v>0</v>
      </c>
      <c r="R265" t="e">
        <f>AVERAGEIF('Quarterly Data'!$B:$B,'Annual Data'!$A265,'Quarterly Data'!T:T)</f>
        <v>#DIV/0!</v>
      </c>
      <c r="S265">
        <f>SUMIF('Quarterly Data'!$B:$B,'Annual Data'!$A265,'Quarterly Data'!U:U)</f>
        <v>0</v>
      </c>
      <c r="T265">
        <f>SUMIF('Quarterly Data'!$B:$B,'Annual Data'!$A265,'Quarterly Data'!V:V)</f>
        <v>0</v>
      </c>
      <c r="U265">
        <f>SUMIF('Quarterly Data'!$B:$B,'Annual Data'!$A265,'Quarterly Data'!W:W)</f>
        <v>0</v>
      </c>
      <c r="V265">
        <f>SUMIF('Quarterly Data'!$B:$B,'Annual Data'!$A265,'Quarterly Data'!X:X)</f>
        <v>0</v>
      </c>
      <c r="W265">
        <f>SUMIF('Quarterly Data'!$B:$B,'Annual Data'!$A265,'Quarterly Data'!Y:Y)</f>
        <v>0</v>
      </c>
      <c r="X265">
        <f>SUMIF('Quarterly Data'!$B:$B,'Annual Data'!$A265,'Quarterly Data'!Z:Z)</f>
        <v>0</v>
      </c>
      <c r="Y265">
        <f>SUMIF('Quarterly Data'!$B:$B,'Annual Data'!$A265,'Quarterly Data'!AA:AA)</f>
        <v>0</v>
      </c>
      <c r="Z265" t="e">
        <f>AVERAGEIF('Quarterly Data'!$B:$B,'Annual Data'!$A265,'Quarterly Data'!AB:AB)</f>
        <v>#DIV/0!</v>
      </c>
      <c r="AA265" t="e">
        <f>AVERAGEIF('Quarterly Data'!$B:$B,'Annual Data'!$A265,'Quarterly Data'!AC:AC)</f>
        <v>#DIV/0!</v>
      </c>
      <c r="AB265" t="e">
        <f>AVERAGEIF('Quarterly Data'!$B:$B,'Annual Data'!$A265,'Quarterly Data'!AD:AD)</f>
        <v>#DIV/0!</v>
      </c>
      <c r="AC265" t="e">
        <f>AVERAGEIF('Quarterly Data'!$B:$B,'Annual Data'!$A265,'Quarterly Data'!AE:AE)</f>
        <v>#DIV/0!</v>
      </c>
      <c r="AD265" t="e">
        <f>AVERAGEIF('Quarterly Data'!$B:$B,'Annual Data'!$A265,'Quarterly Data'!AF:AF)</f>
        <v>#DIV/0!</v>
      </c>
      <c r="AE265">
        <f>SUMIF('Quarterly Data'!$B:$B,'Annual Data'!$A265,'Quarterly Data'!AG:AG)</f>
        <v>0</v>
      </c>
    </row>
    <row r="266" spans="1:31" x14ac:dyDescent="0.25">
      <c r="A266">
        <v>2232</v>
      </c>
      <c r="B266">
        <f>SUMIF('Quarterly Data'!$B:$B,'Annual Data'!$A266,'Quarterly Data'!D:D)</f>
        <v>0</v>
      </c>
      <c r="C266" t="e">
        <f>AVERAGEIF('Quarterly Data'!$B:$B,'Annual Data'!$A266,'Quarterly Data'!E:E)</f>
        <v>#DIV/0!</v>
      </c>
      <c r="D266">
        <f>SUMIF('Quarterly Data'!$B:$B,'Annual Data'!$A266,'Quarterly Data'!F:F)</f>
        <v>0</v>
      </c>
      <c r="E266">
        <f>SUMIF('Quarterly Data'!$B:$B,'Annual Data'!$A266,'Quarterly Data'!G:G)</f>
        <v>0</v>
      </c>
      <c r="F266">
        <f>SUMIF('Quarterly Data'!$B:$B,'Annual Data'!$A266,'Quarterly Data'!H:H)</f>
        <v>0</v>
      </c>
      <c r="G266">
        <f>SUMIF('Quarterly Data'!$B:$B,'Annual Data'!$A266,'Quarterly Data'!I:I)</f>
        <v>0</v>
      </c>
      <c r="H266">
        <f>SUMIF('Quarterly Data'!$B:$B,'Annual Data'!$A266,'Quarterly Data'!J:J)</f>
        <v>0</v>
      </c>
      <c r="I266">
        <f>SUMIF('Quarterly Data'!$B:$B,'Annual Data'!$A266,'Quarterly Data'!K:K)</f>
        <v>0</v>
      </c>
      <c r="J266">
        <f>SUMIF('Quarterly Data'!$B:$B,'Annual Data'!$A266,'Quarterly Data'!L:L)</f>
        <v>0</v>
      </c>
      <c r="K266" t="e">
        <f>AVERAGEIF('Quarterly Data'!$B:$B,'Annual Data'!$A266,'Quarterly Data'!M:M)</f>
        <v>#DIV/0!</v>
      </c>
      <c r="L266" t="e">
        <f>AVERAGEIF('Quarterly Data'!$B:$B,'Annual Data'!$A266,'Quarterly Data'!N:N)</f>
        <v>#DIV/0!</v>
      </c>
      <c r="M266" t="e">
        <f>AVERAGEIF('Quarterly Data'!$B:$B,'Annual Data'!$A266,'Quarterly Data'!O:O)</f>
        <v>#DIV/0!</v>
      </c>
      <c r="N266" t="e">
        <f>AVERAGEIF('Quarterly Data'!$B:$B,'Annual Data'!$A266,'Quarterly Data'!P:P)</f>
        <v>#DIV/0!</v>
      </c>
      <c r="O266" t="e">
        <f>AVERAGEIF('Quarterly Data'!$B:$B,'Annual Data'!$A266,'Quarterly Data'!Q:Q)</f>
        <v>#DIV/0!</v>
      </c>
      <c r="P266">
        <f>SUMIF('Quarterly Data'!$B:$B,'Annual Data'!$A266,'Quarterly Data'!R:R)</f>
        <v>0</v>
      </c>
      <c r="Q266">
        <f>SUMIF('Quarterly Data'!$B:$B,'Annual Data'!$A266,'Quarterly Data'!S:S)</f>
        <v>0</v>
      </c>
      <c r="R266" t="e">
        <f>AVERAGEIF('Quarterly Data'!$B:$B,'Annual Data'!$A266,'Quarterly Data'!T:T)</f>
        <v>#DIV/0!</v>
      </c>
      <c r="S266">
        <f>SUMIF('Quarterly Data'!$B:$B,'Annual Data'!$A266,'Quarterly Data'!U:U)</f>
        <v>0</v>
      </c>
      <c r="T266">
        <f>SUMIF('Quarterly Data'!$B:$B,'Annual Data'!$A266,'Quarterly Data'!V:V)</f>
        <v>0</v>
      </c>
      <c r="U266">
        <f>SUMIF('Quarterly Data'!$B:$B,'Annual Data'!$A266,'Quarterly Data'!W:W)</f>
        <v>0</v>
      </c>
      <c r="V266">
        <f>SUMIF('Quarterly Data'!$B:$B,'Annual Data'!$A266,'Quarterly Data'!X:X)</f>
        <v>0</v>
      </c>
      <c r="W266">
        <f>SUMIF('Quarterly Data'!$B:$B,'Annual Data'!$A266,'Quarterly Data'!Y:Y)</f>
        <v>0</v>
      </c>
      <c r="X266">
        <f>SUMIF('Quarterly Data'!$B:$B,'Annual Data'!$A266,'Quarterly Data'!Z:Z)</f>
        <v>0</v>
      </c>
      <c r="Y266">
        <f>SUMIF('Quarterly Data'!$B:$B,'Annual Data'!$A266,'Quarterly Data'!AA:AA)</f>
        <v>0</v>
      </c>
      <c r="Z266" t="e">
        <f>AVERAGEIF('Quarterly Data'!$B:$B,'Annual Data'!$A266,'Quarterly Data'!AB:AB)</f>
        <v>#DIV/0!</v>
      </c>
      <c r="AA266" t="e">
        <f>AVERAGEIF('Quarterly Data'!$B:$B,'Annual Data'!$A266,'Quarterly Data'!AC:AC)</f>
        <v>#DIV/0!</v>
      </c>
      <c r="AB266" t="e">
        <f>AVERAGEIF('Quarterly Data'!$B:$B,'Annual Data'!$A266,'Quarterly Data'!AD:AD)</f>
        <v>#DIV/0!</v>
      </c>
      <c r="AC266" t="e">
        <f>AVERAGEIF('Quarterly Data'!$B:$B,'Annual Data'!$A266,'Quarterly Data'!AE:AE)</f>
        <v>#DIV/0!</v>
      </c>
      <c r="AD266" t="e">
        <f>AVERAGEIF('Quarterly Data'!$B:$B,'Annual Data'!$A266,'Quarterly Data'!AF:AF)</f>
        <v>#DIV/0!</v>
      </c>
      <c r="AE266">
        <f>SUMIF('Quarterly Data'!$B:$B,'Annual Data'!$A266,'Quarterly Data'!AG:AG)</f>
        <v>0</v>
      </c>
    </row>
    <row r="267" spans="1:31" x14ac:dyDescent="0.25">
      <c r="A267">
        <v>2233</v>
      </c>
      <c r="B267">
        <f>SUMIF('Quarterly Data'!$B:$B,'Annual Data'!$A267,'Quarterly Data'!D:D)</f>
        <v>0</v>
      </c>
      <c r="C267" t="e">
        <f>AVERAGEIF('Quarterly Data'!$B:$B,'Annual Data'!$A267,'Quarterly Data'!E:E)</f>
        <v>#DIV/0!</v>
      </c>
      <c r="D267">
        <f>SUMIF('Quarterly Data'!$B:$B,'Annual Data'!$A267,'Quarterly Data'!F:F)</f>
        <v>0</v>
      </c>
      <c r="E267">
        <f>SUMIF('Quarterly Data'!$B:$B,'Annual Data'!$A267,'Quarterly Data'!G:G)</f>
        <v>0</v>
      </c>
      <c r="F267">
        <f>SUMIF('Quarterly Data'!$B:$B,'Annual Data'!$A267,'Quarterly Data'!H:H)</f>
        <v>0</v>
      </c>
      <c r="G267">
        <f>SUMIF('Quarterly Data'!$B:$B,'Annual Data'!$A267,'Quarterly Data'!I:I)</f>
        <v>0</v>
      </c>
      <c r="H267">
        <f>SUMIF('Quarterly Data'!$B:$B,'Annual Data'!$A267,'Quarterly Data'!J:J)</f>
        <v>0</v>
      </c>
      <c r="I267">
        <f>SUMIF('Quarterly Data'!$B:$B,'Annual Data'!$A267,'Quarterly Data'!K:K)</f>
        <v>0</v>
      </c>
      <c r="J267">
        <f>SUMIF('Quarterly Data'!$B:$B,'Annual Data'!$A267,'Quarterly Data'!L:L)</f>
        <v>0</v>
      </c>
      <c r="K267" t="e">
        <f>AVERAGEIF('Quarterly Data'!$B:$B,'Annual Data'!$A267,'Quarterly Data'!M:M)</f>
        <v>#DIV/0!</v>
      </c>
      <c r="L267" t="e">
        <f>AVERAGEIF('Quarterly Data'!$B:$B,'Annual Data'!$A267,'Quarterly Data'!N:N)</f>
        <v>#DIV/0!</v>
      </c>
      <c r="M267" t="e">
        <f>AVERAGEIF('Quarterly Data'!$B:$B,'Annual Data'!$A267,'Quarterly Data'!O:O)</f>
        <v>#DIV/0!</v>
      </c>
      <c r="N267" t="e">
        <f>AVERAGEIF('Quarterly Data'!$B:$B,'Annual Data'!$A267,'Quarterly Data'!P:P)</f>
        <v>#DIV/0!</v>
      </c>
      <c r="O267" t="e">
        <f>AVERAGEIF('Quarterly Data'!$B:$B,'Annual Data'!$A267,'Quarterly Data'!Q:Q)</f>
        <v>#DIV/0!</v>
      </c>
      <c r="P267">
        <f>SUMIF('Quarterly Data'!$B:$B,'Annual Data'!$A267,'Quarterly Data'!R:R)</f>
        <v>0</v>
      </c>
      <c r="Q267">
        <f>SUMIF('Quarterly Data'!$B:$B,'Annual Data'!$A267,'Quarterly Data'!S:S)</f>
        <v>0</v>
      </c>
      <c r="R267" t="e">
        <f>AVERAGEIF('Quarterly Data'!$B:$B,'Annual Data'!$A267,'Quarterly Data'!T:T)</f>
        <v>#DIV/0!</v>
      </c>
      <c r="S267">
        <f>SUMIF('Quarterly Data'!$B:$B,'Annual Data'!$A267,'Quarterly Data'!U:U)</f>
        <v>0</v>
      </c>
      <c r="T267">
        <f>SUMIF('Quarterly Data'!$B:$B,'Annual Data'!$A267,'Quarterly Data'!V:V)</f>
        <v>0</v>
      </c>
      <c r="U267">
        <f>SUMIF('Quarterly Data'!$B:$B,'Annual Data'!$A267,'Quarterly Data'!W:W)</f>
        <v>0</v>
      </c>
      <c r="V267">
        <f>SUMIF('Quarterly Data'!$B:$B,'Annual Data'!$A267,'Quarterly Data'!X:X)</f>
        <v>0</v>
      </c>
      <c r="W267">
        <f>SUMIF('Quarterly Data'!$B:$B,'Annual Data'!$A267,'Quarterly Data'!Y:Y)</f>
        <v>0</v>
      </c>
      <c r="X267">
        <f>SUMIF('Quarterly Data'!$B:$B,'Annual Data'!$A267,'Quarterly Data'!Z:Z)</f>
        <v>0</v>
      </c>
      <c r="Y267">
        <f>SUMIF('Quarterly Data'!$B:$B,'Annual Data'!$A267,'Quarterly Data'!AA:AA)</f>
        <v>0</v>
      </c>
      <c r="Z267" t="e">
        <f>AVERAGEIF('Quarterly Data'!$B:$B,'Annual Data'!$A267,'Quarterly Data'!AB:AB)</f>
        <v>#DIV/0!</v>
      </c>
      <c r="AA267" t="e">
        <f>AVERAGEIF('Quarterly Data'!$B:$B,'Annual Data'!$A267,'Quarterly Data'!AC:AC)</f>
        <v>#DIV/0!</v>
      </c>
      <c r="AB267" t="e">
        <f>AVERAGEIF('Quarterly Data'!$B:$B,'Annual Data'!$A267,'Quarterly Data'!AD:AD)</f>
        <v>#DIV/0!</v>
      </c>
      <c r="AC267" t="e">
        <f>AVERAGEIF('Quarterly Data'!$B:$B,'Annual Data'!$A267,'Quarterly Data'!AE:AE)</f>
        <v>#DIV/0!</v>
      </c>
      <c r="AD267" t="e">
        <f>AVERAGEIF('Quarterly Data'!$B:$B,'Annual Data'!$A267,'Quarterly Data'!AF:AF)</f>
        <v>#DIV/0!</v>
      </c>
      <c r="AE267">
        <f>SUMIF('Quarterly Data'!$B:$B,'Annual Data'!$A267,'Quarterly Data'!AG:AG)</f>
        <v>0</v>
      </c>
    </row>
    <row r="268" spans="1:31" x14ac:dyDescent="0.25">
      <c r="A268">
        <v>2234</v>
      </c>
      <c r="B268">
        <f>SUMIF('Quarterly Data'!$B:$B,'Annual Data'!$A268,'Quarterly Data'!D:D)</f>
        <v>0</v>
      </c>
      <c r="C268" t="e">
        <f>AVERAGEIF('Quarterly Data'!$B:$B,'Annual Data'!$A268,'Quarterly Data'!E:E)</f>
        <v>#DIV/0!</v>
      </c>
      <c r="D268">
        <f>SUMIF('Quarterly Data'!$B:$B,'Annual Data'!$A268,'Quarterly Data'!F:F)</f>
        <v>0</v>
      </c>
      <c r="E268">
        <f>SUMIF('Quarterly Data'!$B:$B,'Annual Data'!$A268,'Quarterly Data'!G:G)</f>
        <v>0</v>
      </c>
      <c r="F268">
        <f>SUMIF('Quarterly Data'!$B:$B,'Annual Data'!$A268,'Quarterly Data'!H:H)</f>
        <v>0</v>
      </c>
      <c r="G268">
        <f>SUMIF('Quarterly Data'!$B:$B,'Annual Data'!$A268,'Quarterly Data'!I:I)</f>
        <v>0</v>
      </c>
      <c r="H268">
        <f>SUMIF('Quarterly Data'!$B:$B,'Annual Data'!$A268,'Quarterly Data'!J:J)</f>
        <v>0</v>
      </c>
      <c r="I268">
        <f>SUMIF('Quarterly Data'!$B:$B,'Annual Data'!$A268,'Quarterly Data'!K:K)</f>
        <v>0</v>
      </c>
      <c r="J268">
        <f>SUMIF('Quarterly Data'!$B:$B,'Annual Data'!$A268,'Quarterly Data'!L:L)</f>
        <v>0</v>
      </c>
      <c r="K268" t="e">
        <f>AVERAGEIF('Quarterly Data'!$B:$B,'Annual Data'!$A268,'Quarterly Data'!M:M)</f>
        <v>#DIV/0!</v>
      </c>
      <c r="L268" t="e">
        <f>AVERAGEIF('Quarterly Data'!$B:$B,'Annual Data'!$A268,'Quarterly Data'!N:N)</f>
        <v>#DIV/0!</v>
      </c>
      <c r="M268" t="e">
        <f>AVERAGEIF('Quarterly Data'!$B:$B,'Annual Data'!$A268,'Quarterly Data'!O:O)</f>
        <v>#DIV/0!</v>
      </c>
      <c r="N268" t="e">
        <f>AVERAGEIF('Quarterly Data'!$B:$B,'Annual Data'!$A268,'Quarterly Data'!P:P)</f>
        <v>#DIV/0!</v>
      </c>
      <c r="O268" t="e">
        <f>AVERAGEIF('Quarterly Data'!$B:$B,'Annual Data'!$A268,'Quarterly Data'!Q:Q)</f>
        <v>#DIV/0!</v>
      </c>
      <c r="P268">
        <f>SUMIF('Quarterly Data'!$B:$B,'Annual Data'!$A268,'Quarterly Data'!R:R)</f>
        <v>0</v>
      </c>
      <c r="Q268">
        <f>SUMIF('Quarterly Data'!$B:$B,'Annual Data'!$A268,'Quarterly Data'!S:S)</f>
        <v>0</v>
      </c>
      <c r="R268" t="e">
        <f>AVERAGEIF('Quarterly Data'!$B:$B,'Annual Data'!$A268,'Quarterly Data'!T:T)</f>
        <v>#DIV/0!</v>
      </c>
      <c r="S268">
        <f>SUMIF('Quarterly Data'!$B:$B,'Annual Data'!$A268,'Quarterly Data'!U:U)</f>
        <v>0</v>
      </c>
      <c r="T268">
        <f>SUMIF('Quarterly Data'!$B:$B,'Annual Data'!$A268,'Quarterly Data'!V:V)</f>
        <v>0</v>
      </c>
      <c r="U268">
        <f>SUMIF('Quarterly Data'!$B:$B,'Annual Data'!$A268,'Quarterly Data'!W:W)</f>
        <v>0</v>
      </c>
      <c r="V268">
        <f>SUMIF('Quarterly Data'!$B:$B,'Annual Data'!$A268,'Quarterly Data'!X:X)</f>
        <v>0</v>
      </c>
      <c r="W268">
        <f>SUMIF('Quarterly Data'!$B:$B,'Annual Data'!$A268,'Quarterly Data'!Y:Y)</f>
        <v>0</v>
      </c>
      <c r="X268">
        <f>SUMIF('Quarterly Data'!$B:$B,'Annual Data'!$A268,'Quarterly Data'!Z:Z)</f>
        <v>0</v>
      </c>
      <c r="Y268">
        <f>SUMIF('Quarterly Data'!$B:$B,'Annual Data'!$A268,'Quarterly Data'!AA:AA)</f>
        <v>0</v>
      </c>
      <c r="Z268" t="e">
        <f>AVERAGEIF('Quarterly Data'!$B:$B,'Annual Data'!$A268,'Quarterly Data'!AB:AB)</f>
        <v>#DIV/0!</v>
      </c>
      <c r="AA268" t="e">
        <f>AVERAGEIF('Quarterly Data'!$B:$B,'Annual Data'!$A268,'Quarterly Data'!AC:AC)</f>
        <v>#DIV/0!</v>
      </c>
      <c r="AB268" t="e">
        <f>AVERAGEIF('Quarterly Data'!$B:$B,'Annual Data'!$A268,'Quarterly Data'!AD:AD)</f>
        <v>#DIV/0!</v>
      </c>
      <c r="AC268" t="e">
        <f>AVERAGEIF('Quarterly Data'!$B:$B,'Annual Data'!$A268,'Quarterly Data'!AE:AE)</f>
        <v>#DIV/0!</v>
      </c>
      <c r="AD268" t="e">
        <f>AVERAGEIF('Quarterly Data'!$B:$B,'Annual Data'!$A268,'Quarterly Data'!AF:AF)</f>
        <v>#DIV/0!</v>
      </c>
      <c r="AE268">
        <f>SUMIF('Quarterly Data'!$B:$B,'Annual Data'!$A268,'Quarterly Data'!AG:AG)</f>
        <v>0</v>
      </c>
    </row>
    <row r="269" spans="1:31" x14ac:dyDescent="0.25">
      <c r="A269">
        <v>2235</v>
      </c>
      <c r="B269">
        <f>SUMIF('Quarterly Data'!$B:$B,'Annual Data'!$A269,'Quarterly Data'!D:D)</f>
        <v>0</v>
      </c>
      <c r="C269" t="e">
        <f>AVERAGEIF('Quarterly Data'!$B:$B,'Annual Data'!$A269,'Quarterly Data'!E:E)</f>
        <v>#DIV/0!</v>
      </c>
      <c r="D269">
        <f>SUMIF('Quarterly Data'!$B:$B,'Annual Data'!$A269,'Quarterly Data'!F:F)</f>
        <v>0</v>
      </c>
      <c r="E269">
        <f>SUMIF('Quarterly Data'!$B:$B,'Annual Data'!$A269,'Quarterly Data'!G:G)</f>
        <v>0</v>
      </c>
      <c r="F269">
        <f>SUMIF('Quarterly Data'!$B:$B,'Annual Data'!$A269,'Quarterly Data'!H:H)</f>
        <v>0</v>
      </c>
      <c r="G269">
        <f>SUMIF('Quarterly Data'!$B:$B,'Annual Data'!$A269,'Quarterly Data'!I:I)</f>
        <v>0</v>
      </c>
      <c r="H269">
        <f>SUMIF('Quarterly Data'!$B:$B,'Annual Data'!$A269,'Quarterly Data'!J:J)</f>
        <v>0</v>
      </c>
      <c r="I269">
        <f>SUMIF('Quarterly Data'!$B:$B,'Annual Data'!$A269,'Quarterly Data'!K:K)</f>
        <v>0</v>
      </c>
      <c r="J269">
        <f>SUMIF('Quarterly Data'!$B:$B,'Annual Data'!$A269,'Quarterly Data'!L:L)</f>
        <v>0</v>
      </c>
      <c r="K269" t="e">
        <f>AVERAGEIF('Quarterly Data'!$B:$B,'Annual Data'!$A269,'Quarterly Data'!M:M)</f>
        <v>#DIV/0!</v>
      </c>
      <c r="L269" t="e">
        <f>AVERAGEIF('Quarterly Data'!$B:$B,'Annual Data'!$A269,'Quarterly Data'!N:N)</f>
        <v>#DIV/0!</v>
      </c>
      <c r="M269" t="e">
        <f>AVERAGEIF('Quarterly Data'!$B:$B,'Annual Data'!$A269,'Quarterly Data'!O:O)</f>
        <v>#DIV/0!</v>
      </c>
      <c r="N269" t="e">
        <f>AVERAGEIF('Quarterly Data'!$B:$B,'Annual Data'!$A269,'Quarterly Data'!P:P)</f>
        <v>#DIV/0!</v>
      </c>
      <c r="O269" t="e">
        <f>AVERAGEIF('Quarterly Data'!$B:$B,'Annual Data'!$A269,'Quarterly Data'!Q:Q)</f>
        <v>#DIV/0!</v>
      </c>
      <c r="P269">
        <f>SUMIF('Quarterly Data'!$B:$B,'Annual Data'!$A269,'Quarterly Data'!R:R)</f>
        <v>0</v>
      </c>
      <c r="Q269">
        <f>SUMIF('Quarterly Data'!$B:$B,'Annual Data'!$A269,'Quarterly Data'!S:S)</f>
        <v>0</v>
      </c>
      <c r="R269" t="e">
        <f>AVERAGEIF('Quarterly Data'!$B:$B,'Annual Data'!$A269,'Quarterly Data'!T:T)</f>
        <v>#DIV/0!</v>
      </c>
      <c r="S269">
        <f>SUMIF('Quarterly Data'!$B:$B,'Annual Data'!$A269,'Quarterly Data'!U:U)</f>
        <v>0</v>
      </c>
      <c r="T269">
        <f>SUMIF('Quarterly Data'!$B:$B,'Annual Data'!$A269,'Quarterly Data'!V:V)</f>
        <v>0</v>
      </c>
      <c r="U269">
        <f>SUMIF('Quarterly Data'!$B:$B,'Annual Data'!$A269,'Quarterly Data'!W:W)</f>
        <v>0</v>
      </c>
      <c r="V269">
        <f>SUMIF('Quarterly Data'!$B:$B,'Annual Data'!$A269,'Quarterly Data'!X:X)</f>
        <v>0</v>
      </c>
      <c r="W269">
        <f>SUMIF('Quarterly Data'!$B:$B,'Annual Data'!$A269,'Quarterly Data'!Y:Y)</f>
        <v>0</v>
      </c>
      <c r="X269">
        <f>SUMIF('Quarterly Data'!$B:$B,'Annual Data'!$A269,'Quarterly Data'!Z:Z)</f>
        <v>0</v>
      </c>
      <c r="Y269">
        <f>SUMIF('Quarterly Data'!$B:$B,'Annual Data'!$A269,'Quarterly Data'!AA:AA)</f>
        <v>0</v>
      </c>
      <c r="Z269" t="e">
        <f>AVERAGEIF('Quarterly Data'!$B:$B,'Annual Data'!$A269,'Quarterly Data'!AB:AB)</f>
        <v>#DIV/0!</v>
      </c>
      <c r="AA269" t="e">
        <f>AVERAGEIF('Quarterly Data'!$B:$B,'Annual Data'!$A269,'Quarterly Data'!AC:AC)</f>
        <v>#DIV/0!</v>
      </c>
      <c r="AB269" t="e">
        <f>AVERAGEIF('Quarterly Data'!$B:$B,'Annual Data'!$A269,'Quarterly Data'!AD:AD)</f>
        <v>#DIV/0!</v>
      </c>
      <c r="AC269" t="e">
        <f>AVERAGEIF('Quarterly Data'!$B:$B,'Annual Data'!$A269,'Quarterly Data'!AE:AE)</f>
        <v>#DIV/0!</v>
      </c>
      <c r="AD269" t="e">
        <f>AVERAGEIF('Quarterly Data'!$B:$B,'Annual Data'!$A269,'Quarterly Data'!AF:AF)</f>
        <v>#DIV/0!</v>
      </c>
      <c r="AE269">
        <f>SUMIF('Quarterly Data'!$B:$B,'Annual Data'!$A269,'Quarterly Data'!AG:AG)</f>
        <v>0</v>
      </c>
    </row>
    <row r="270" spans="1:31" x14ac:dyDescent="0.25">
      <c r="A270">
        <v>2236</v>
      </c>
      <c r="B270">
        <f>SUMIF('Quarterly Data'!$B:$B,'Annual Data'!$A270,'Quarterly Data'!D:D)</f>
        <v>0</v>
      </c>
      <c r="C270" t="e">
        <f>AVERAGEIF('Quarterly Data'!$B:$B,'Annual Data'!$A270,'Quarterly Data'!E:E)</f>
        <v>#DIV/0!</v>
      </c>
      <c r="D270">
        <f>SUMIF('Quarterly Data'!$B:$B,'Annual Data'!$A270,'Quarterly Data'!F:F)</f>
        <v>0</v>
      </c>
      <c r="E270">
        <f>SUMIF('Quarterly Data'!$B:$B,'Annual Data'!$A270,'Quarterly Data'!G:G)</f>
        <v>0</v>
      </c>
      <c r="F270">
        <f>SUMIF('Quarterly Data'!$B:$B,'Annual Data'!$A270,'Quarterly Data'!H:H)</f>
        <v>0</v>
      </c>
      <c r="G270">
        <f>SUMIF('Quarterly Data'!$B:$B,'Annual Data'!$A270,'Quarterly Data'!I:I)</f>
        <v>0</v>
      </c>
      <c r="H270">
        <f>SUMIF('Quarterly Data'!$B:$B,'Annual Data'!$A270,'Quarterly Data'!J:J)</f>
        <v>0</v>
      </c>
      <c r="I270">
        <f>SUMIF('Quarterly Data'!$B:$B,'Annual Data'!$A270,'Quarterly Data'!K:K)</f>
        <v>0</v>
      </c>
      <c r="J270">
        <f>SUMIF('Quarterly Data'!$B:$B,'Annual Data'!$A270,'Quarterly Data'!L:L)</f>
        <v>0</v>
      </c>
      <c r="K270" t="e">
        <f>AVERAGEIF('Quarterly Data'!$B:$B,'Annual Data'!$A270,'Quarterly Data'!M:M)</f>
        <v>#DIV/0!</v>
      </c>
      <c r="L270" t="e">
        <f>AVERAGEIF('Quarterly Data'!$B:$B,'Annual Data'!$A270,'Quarterly Data'!N:N)</f>
        <v>#DIV/0!</v>
      </c>
      <c r="M270" t="e">
        <f>AVERAGEIF('Quarterly Data'!$B:$B,'Annual Data'!$A270,'Quarterly Data'!O:O)</f>
        <v>#DIV/0!</v>
      </c>
      <c r="N270" t="e">
        <f>AVERAGEIF('Quarterly Data'!$B:$B,'Annual Data'!$A270,'Quarterly Data'!P:P)</f>
        <v>#DIV/0!</v>
      </c>
      <c r="O270" t="e">
        <f>AVERAGEIF('Quarterly Data'!$B:$B,'Annual Data'!$A270,'Quarterly Data'!Q:Q)</f>
        <v>#DIV/0!</v>
      </c>
      <c r="P270">
        <f>SUMIF('Quarterly Data'!$B:$B,'Annual Data'!$A270,'Quarterly Data'!R:R)</f>
        <v>0</v>
      </c>
      <c r="Q270">
        <f>SUMIF('Quarterly Data'!$B:$B,'Annual Data'!$A270,'Quarterly Data'!S:S)</f>
        <v>0</v>
      </c>
      <c r="R270" t="e">
        <f>AVERAGEIF('Quarterly Data'!$B:$B,'Annual Data'!$A270,'Quarterly Data'!T:T)</f>
        <v>#DIV/0!</v>
      </c>
      <c r="S270">
        <f>SUMIF('Quarterly Data'!$B:$B,'Annual Data'!$A270,'Quarterly Data'!U:U)</f>
        <v>0</v>
      </c>
      <c r="T270">
        <f>SUMIF('Quarterly Data'!$B:$B,'Annual Data'!$A270,'Quarterly Data'!V:V)</f>
        <v>0</v>
      </c>
      <c r="U270">
        <f>SUMIF('Quarterly Data'!$B:$B,'Annual Data'!$A270,'Quarterly Data'!W:W)</f>
        <v>0</v>
      </c>
      <c r="V270">
        <f>SUMIF('Quarterly Data'!$B:$B,'Annual Data'!$A270,'Quarterly Data'!X:X)</f>
        <v>0</v>
      </c>
      <c r="W270">
        <f>SUMIF('Quarterly Data'!$B:$B,'Annual Data'!$A270,'Quarterly Data'!Y:Y)</f>
        <v>0</v>
      </c>
      <c r="X270">
        <f>SUMIF('Quarterly Data'!$B:$B,'Annual Data'!$A270,'Quarterly Data'!Z:Z)</f>
        <v>0</v>
      </c>
      <c r="Y270">
        <f>SUMIF('Quarterly Data'!$B:$B,'Annual Data'!$A270,'Quarterly Data'!AA:AA)</f>
        <v>0</v>
      </c>
      <c r="Z270" t="e">
        <f>AVERAGEIF('Quarterly Data'!$B:$B,'Annual Data'!$A270,'Quarterly Data'!AB:AB)</f>
        <v>#DIV/0!</v>
      </c>
      <c r="AA270" t="e">
        <f>AVERAGEIF('Quarterly Data'!$B:$B,'Annual Data'!$A270,'Quarterly Data'!AC:AC)</f>
        <v>#DIV/0!</v>
      </c>
      <c r="AB270" t="e">
        <f>AVERAGEIF('Quarterly Data'!$B:$B,'Annual Data'!$A270,'Quarterly Data'!AD:AD)</f>
        <v>#DIV/0!</v>
      </c>
      <c r="AC270" t="e">
        <f>AVERAGEIF('Quarterly Data'!$B:$B,'Annual Data'!$A270,'Quarterly Data'!AE:AE)</f>
        <v>#DIV/0!</v>
      </c>
      <c r="AD270" t="e">
        <f>AVERAGEIF('Quarterly Data'!$B:$B,'Annual Data'!$A270,'Quarterly Data'!AF:AF)</f>
        <v>#DIV/0!</v>
      </c>
      <c r="AE270">
        <f>SUMIF('Quarterly Data'!$B:$B,'Annual Data'!$A270,'Quarterly Data'!AG:AG)</f>
        <v>0</v>
      </c>
    </row>
    <row r="271" spans="1:31" x14ac:dyDescent="0.25">
      <c r="A271">
        <v>2237</v>
      </c>
      <c r="B271">
        <f>SUMIF('Quarterly Data'!$B:$B,'Annual Data'!$A271,'Quarterly Data'!D:D)</f>
        <v>0</v>
      </c>
      <c r="C271" t="e">
        <f>AVERAGEIF('Quarterly Data'!$B:$B,'Annual Data'!$A271,'Quarterly Data'!E:E)</f>
        <v>#DIV/0!</v>
      </c>
      <c r="D271">
        <f>SUMIF('Quarterly Data'!$B:$B,'Annual Data'!$A271,'Quarterly Data'!F:F)</f>
        <v>0</v>
      </c>
      <c r="E271">
        <f>SUMIF('Quarterly Data'!$B:$B,'Annual Data'!$A271,'Quarterly Data'!G:G)</f>
        <v>0</v>
      </c>
      <c r="F271">
        <f>SUMIF('Quarterly Data'!$B:$B,'Annual Data'!$A271,'Quarterly Data'!H:H)</f>
        <v>0</v>
      </c>
      <c r="G271">
        <f>SUMIF('Quarterly Data'!$B:$B,'Annual Data'!$A271,'Quarterly Data'!I:I)</f>
        <v>0</v>
      </c>
      <c r="H271">
        <f>SUMIF('Quarterly Data'!$B:$B,'Annual Data'!$A271,'Quarterly Data'!J:J)</f>
        <v>0</v>
      </c>
      <c r="I271">
        <f>SUMIF('Quarterly Data'!$B:$B,'Annual Data'!$A271,'Quarterly Data'!K:K)</f>
        <v>0</v>
      </c>
      <c r="J271">
        <f>SUMIF('Quarterly Data'!$B:$B,'Annual Data'!$A271,'Quarterly Data'!L:L)</f>
        <v>0</v>
      </c>
      <c r="K271" t="e">
        <f>AVERAGEIF('Quarterly Data'!$B:$B,'Annual Data'!$A271,'Quarterly Data'!M:M)</f>
        <v>#DIV/0!</v>
      </c>
      <c r="L271" t="e">
        <f>AVERAGEIF('Quarterly Data'!$B:$B,'Annual Data'!$A271,'Quarterly Data'!N:N)</f>
        <v>#DIV/0!</v>
      </c>
      <c r="M271" t="e">
        <f>AVERAGEIF('Quarterly Data'!$B:$B,'Annual Data'!$A271,'Quarterly Data'!O:O)</f>
        <v>#DIV/0!</v>
      </c>
      <c r="N271" t="e">
        <f>AVERAGEIF('Quarterly Data'!$B:$B,'Annual Data'!$A271,'Quarterly Data'!P:P)</f>
        <v>#DIV/0!</v>
      </c>
      <c r="O271" t="e">
        <f>AVERAGEIF('Quarterly Data'!$B:$B,'Annual Data'!$A271,'Quarterly Data'!Q:Q)</f>
        <v>#DIV/0!</v>
      </c>
      <c r="P271">
        <f>SUMIF('Quarterly Data'!$B:$B,'Annual Data'!$A271,'Quarterly Data'!R:R)</f>
        <v>0</v>
      </c>
      <c r="Q271">
        <f>SUMIF('Quarterly Data'!$B:$B,'Annual Data'!$A271,'Quarterly Data'!S:S)</f>
        <v>0</v>
      </c>
      <c r="R271" t="e">
        <f>AVERAGEIF('Quarterly Data'!$B:$B,'Annual Data'!$A271,'Quarterly Data'!T:T)</f>
        <v>#DIV/0!</v>
      </c>
      <c r="S271">
        <f>SUMIF('Quarterly Data'!$B:$B,'Annual Data'!$A271,'Quarterly Data'!U:U)</f>
        <v>0</v>
      </c>
      <c r="T271">
        <f>SUMIF('Quarterly Data'!$B:$B,'Annual Data'!$A271,'Quarterly Data'!V:V)</f>
        <v>0</v>
      </c>
      <c r="U271">
        <f>SUMIF('Quarterly Data'!$B:$B,'Annual Data'!$A271,'Quarterly Data'!W:W)</f>
        <v>0</v>
      </c>
      <c r="V271">
        <f>SUMIF('Quarterly Data'!$B:$B,'Annual Data'!$A271,'Quarterly Data'!X:X)</f>
        <v>0</v>
      </c>
      <c r="W271">
        <f>SUMIF('Quarterly Data'!$B:$B,'Annual Data'!$A271,'Quarterly Data'!Y:Y)</f>
        <v>0</v>
      </c>
      <c r="X271">
        <f>SUMIF('Quarterly Data'!$B:$B,'Annual Data'!$A271,'Quarterly Data'!Z:Z)</f>
        <v>0</v>
      </c>
      <c r="Y271">
        <f>SUMIF('Quarterly Data'!$B:$B,'Annual Data'!$A271,'Quarterly Data'!AA:AA)</f>
        <v>0</v>
      </c>
      <c r="Z271" t="e">
        <f>AVERAGEIF('Quarterly Data'!$B:$B,'Annual Data'!$A271,'Quarterly Data'!AB:AB)</f>
        <v>#DIV/0!</v>
      </c>
      <c r="AA271" t="e">
        <f>AVERAGEIF('Quarterly Data'!$B:$B,'Annual Data'!$A271,'Quarterly Data'!AC:AC)</f>
        <v>#DIV/0!</v>
      </c>
      <c r="AB271" t="e">
        <f>AVERAGEIF('Quarterly Data'!$B:$B,'Annual Data'!$A271,'Quarterly Data'!AD:AD)</f>
        <v>#DIV/0!</v>
      </c>
      <c r="AC271" t="e">
        <f>AVERAGEIF('Quarterly Data'!$B:$B,'Annual Data'!$A271,'Quarterly Data'!AE:AE)</f>
        <v>#DIV/0!</v>
      </c>
      <c r="AD271" t="e">
        <f>AVERAGEIF('Quarterly Data'!$B:$B,'Annual Data'!$A271,'Quarterly Data'!AF:AF)</f>
        <v>#DIV/0!</v>
      </c>
      <c r="AE271">
        <f>SUMIF('Quarterly Data'!$B:$B,'Annual Data'!$A271,'Quarterly Data'!AG:AG)</f>
        <v>0</v>
      </c>
    </row>
    <row r="272" spans="1:31" x14ac:dyDescent="0.25">
      <c r="A272">
        <v>2238</v>
      </c>
      <c r="B272">
        <f>SUMIF('Quarterly Data'!$B:$B,'Annual Data'!$A272,'Quarterly Data'!D:D)</f>
        <v>0</v>
      </c>
      <c r="C272" t="e">
        <f>AVERAGEIF('Quarterly Data'!$B:$B,'Annual Data'!$A272,'Quarterly Data'!E:E)</f>
        <v>#DIV/0!</v>
      </c>
      <c r="D272">
        <f>SUMIF('Quarterly Data'!$B:$B,'Annual Data'!$A272,'Quarterly Data'!F:F)</f>
        <v>0</v>
      </c>
      <c r="E272">
        <f>SUMIF('Quarterly Data'!$B:$B,'Annual Data'!$A272,'Quarterly Data'!G:G)</f>
        <v>0</v>
      </c>
      <c r="F272">
        <f>SUMIF('Quarterly Data'!$B:$B,'Annual Data'!$A272,'Quarterly Data'!H:H)</f>
        <v>0</v>
      </c>
      <c r="G272">
        <f>SUMIF('Quarterly Data'!$B:$B,'Annual Data'!$A272,'Quarterly Data'!I:I)</f>
        <v>0</v>
      </c>
      <c r="H272">
        <f>SUMIF('Quarterly Data'!$B:$B,'Annual Data'!$A272,'Quarterly Data'!J:J)</f>
        <v>0</v>
      </c>
      <c r="I272">
        <f>SUMIF('Quarterly Data'!$B:$B,'Annual Data'!$A272,'Quarterly Data'!K:K)</f>
        <v>0</v>
      </c>
      <c r="J272">
        <f>SUMIF('Quarterly Data'!$B:$B,'Annual Data'!$A272,'Quarterly Data'!L:L)</f>
        <v>0</v>
      </c>
      <c r="K272" t="e">
        <f>AVERAGEIF('Quarterly Data'!$B:$B,'Annual Data'!$A272,'Quarterly Data'!M:M)</f>
        <v>#DIV/0!</v>
      </c>
      <c r="L272" t="e">
        <f>AVERAGEIF('Quarterly Data'!$B:$B,'Annual Data'!$A272,'Quarterly Data'!N:N)</f>
        <v>#DIV/0!</v>
      </c>
      <c r="M272" t="e">
        <f>AVERAGEIF('Quarterly Data'!$B:$B,'Annual Data'!$A272,'Quarterly Data'!O:O)</f>
        <v>#DIV/0!</v>
      </c>
      <c r="N272" t="e">
        <f>AVERAGEIF('Quarterly Data'!$B:$B,'Annual Data'!$A272,'Quarterly Data'!P:P)</f>
        <v>#DIV/0!</v>
      </c>
      <c r="O272" t="e">
        <f>AVERAGEIF('Quarterly Data'!$B:$B,'Annual Data'!$A272,'Quarterly Data'!Q:Q)</f>
        <v>#DIV/0!</v>
      </c>
      <c r="P272">
        <f>SUMIF('Quarterly Data'!$B:$B,'Annual Data'!$A272,'Quarterly Data'!R:R)</f>
        <v>0</v>
      </c>
      <c r="Q272">
        <f>SUMIF('Quarterly Data'!$B:$B,'Annual Data'!$A272,'Quarterly Data'!S:S)</f>
        <v>0</v>
      </c>
      <c r="R272" t="e">
        <f>AVERAGEIF('Quarterly Data'!$B:$B,'Annual Data'!$A272,'Quarterly Data'!T:T)</f>
        <v>#DIV/0!</v>
      </c>
      <c r="S272">
        <f>SUMIF('Quarterly Data'!$B:$B,'Annual Data'!$A272,'Quarterly Data'!U:U)</f>
        <v>0</v>
      </c>
      <c r="T272">
        <f>SUMIF('Quarterly Data'!$B:$B,'Annual Data'!$A272,'Quarterly Data'!V:V)</f>
        <v>0</v>
      </c>
      <c r="U272">
        <f>SUMIF('Quarterly Data'!$B:$B,'Annual Data'!$A272,'Quarterly Data'!W:W)</f>
        <v>0</v>
      </c>
      <c r="V272">
        <f>SUMIF('Quarterly Data'!$B:$B,'Annual Data'!$A272,'Quarterly Data'!X:X)</f>
        <v>0</v>
      </c>
      <c r="W272">
        <f>SUMIF('Quarterly Data'!$B:$B,'Annual Data'!$A272,'Quarterly Data'!Y:Y)</f>
        <v>0</v>
      </c>
      <c r="X272">
        <f>SUMIF('Quarterly Data'!$B:$B,'Annual Data'!$A272,'Quarterly Data'!Z:Z)</f>
        <v>0</v>
      </c>
      <c r="Y272">
        <f>SUMIF('Quarterly Data'!$B:$B,'Annual Data'!$A272,'Quarterly Data'!AA:AA)</f>
        <v>0</v>
      </c>
      <c r="Z272" t="e">
        <f>AVERAGEIF('Quarterly Data'!$B:$B,'Annual Data'!$A272,'Quarterly Data'!AB:AB)</f>
        <v>#DIV/0!</v>
      </c>
      <c r="AA272" t="e">
        <f>AVERAGEIF('Quarterly Data'!$B:$B,'Annual Data'!$A272,'Quarterly Data'!AC:AC)</f>
        <v>#DIV/0!</v>
      </c>
      <c r="AB272" t="e">
        <f>AVERAGEIF('Quarterly Data'!$B:$B,'Annual Data'!$A272,'Quarterly Data'!AD:AD)</f>
        <v>#DIV/0!</v>
      </c>
      <c r="AC272" t="e">
        <f>AVERAGEIF('Quarterly Data'!$B:$B,'Annual Data'!$A272,'Quarterly Data'!AE:AE)</f>
        <v>#DIV/0!</v>
      </c>
      <c r="AD272" t="e">
        <f>AVERAGEIF('Quarterly Data'!$B:$B,'Annual Data'!$A272,'Quarterly Data'!AF:AF)</f>
        <v>#DIV/0!</v>
      </c>
      <c r="AE272">
        <f>SUMIF('Quarterly Data'!$B:$B,'Annual Data'!$A272,'Quarterly Data'!AG:AG)</f>
        <v>0</v>
      </c>
    </row>
    <row r="273" spans="1:31" x14ac:dyDescent="0.25">
      <c r="A273">
        <v>2239</v>
      </c>
      <c r="B273">
        <f>SUMIF('Quarterly Data'!$B:$B,'Annual Data'!$A273,'Quarterly Data'!D:D)</f>
        <v>0</v>
      </c>
      <c r="C273" t="e">
        <f>AVERAGEIF('Quarterly Data'!$B:$B,'Annual Data'!$A273,'Quarterly Data'!E:E)</f>
        <v>#DIV/0!</v>
      </c>
      <c r="D273">
        <f>SUMIF('Quarterly Data'!$B:$B,'Annual Data'!$A273,'Quarterly Data'!F:F)</f>
        <v>0</v>
      </c>
      <c r="E273">
        <f>SUMIF('Quarterly Data'!$B:$B,'Annual Data'!$A273,'Quarterly Data'!G:G)</f>
        <v>0</v>
      </c>
      <c r="F273">
        <f>SUMIF('Quarterly Data'!$B:$B,'Annual Data'!$A273,'Quarterly Data'!H:H)</f>
        <v>0</v>
      </c>
      <c r="G273">
        <f>SUMIF('Quarterly Data'!$B:$B,'Annual Data'!$A273,'Quarterly Data'!I:I)</f>
        <v>0</v>
      </c>
      <c r="H273">
        <f>SUMIF('Quarterly Data'!$B:$B,'Annual Data'!$A273,'Quarterly Data'!J:J)</f>
        <v>0</v>
      </c>
      <c r="I273">
        <f>SUMIF('Quarterly Data'!$B:$B,'Annual Data'!$A273,'Quarterly Data'!K:K)</f>
        <v>0</v>
      </c>
      <c r="J273">
        <f>SUMIF('Quarterly Data'!$B:$B,'Annual Data'!$A273,'Quarterly Data'!L:L)</f>
        <v>0</v>
      </c>
      <c r="K273" t="e">
        <f>AVERAGEIF('Quarterly Data'!$B:$B,'Annual Data'!$A273,'Quarterly Data'!M:M)</f>
        <v>#DIV/0!</v>
      </c>
      <c r="L273" t="e">
        <f>AVERAGEIF('Quarterly Data'!$B:$B,'Annual Data'!$A273,'Quarterly Data'!N:N)</f>
        <v>#DIV/0!</v>
      </c>
      <c r="M273" t="e">
        <f>AVERAGEIF('Quarterly Data'!$B:$B,'Annual Data'!$A273,'Quarterly Data'!O:O)</f>
        <v>#DIV/0!</v>
      </c>
      <c r="N273" t="e">
        <f>AVERAGEIF('Quarterly Data'!$B:$B,'Annual Data'!$A273,'Quarterly Data'!P:P)</f>
        <v>#DIV/0!</v>
      </c>
      <c r="O273" t="e">
        <f>AVERAGEIF('Quarterly Data'!$B:$B,'Annual Data'!$A273,'Quarterly Data'!Q:Q)</f>
        <v>#DIV/0!</v>
      </c>
      <c r="P273">
        <f>SUMIF('Quarterly Data'!$B:$B,'Annual Data'!$A273,'Quarterly Data'!R:R)</f>
        <v>0</v>
      </c>
      <c r="Q273">
        <f>SUMIF('Quarterly Data'!$B:$B,'Annual Data'!$A273,'Quarterly Data'!S:S)</f>
        <v>0</v>
      </c>
      <c r="R273" t="e">
        <f>AVERAGEIF('Quarterly Data'!$B:$B,'Annual Data'!$A273,'Quarterly Data'!T:T)</f>
        <v>#DIV/0!</v>
      </c>
      <c r="S273">
        <f>SUMIF('Quarterly Data'!$B:$B,'Annual Data'!$A273,'Quarterly Data'!U:U)</f>
        <v>0</v>
      </c>
      <c r="T273">
        <f>SUMIF('Quarterly Data'!$B:$B,'Annual Data'!$A273,'Quarterly Data'!V:V)</f>
        <v>0</v>
      </c>
      <c r="U273">
        <f>SUMIF('Quarterly Data'!$B:$B,'Annual Data'!$A273,'Quarterly Data'!W:W)</f>
        <v>0</v>
      </c>
      <c r="V273">
        <f>SUMIF('Quarterly Data'!$B:$B,'Annual Data'!$A273,'Quarterly Data'!X:X)</f>
        <v>0</v>
      </c>
      <c r="W273">
        <f>SUMIF('Quarterly Data'!$B:$B,'Annual Data'!$A273,'Quarterly Data'!Y:Y)</f>
        <v>0</v>
      </c>
      <c r="X273">
        <f>SUMIF('Quarterly Data'!$B:$B,'Annual Data'!$A273,'Quarterly Data'!Z:Z)</f>
        <v>0</v>
      </c>
      <c r="Y273">
        <f>SUMIF('Quarterly Data'!$B:$B,'Annual Data'!$A273,'Quarterly Data'!AA:AA)</f>
        <v>0</v>
      </c>
      <c r="Z273" t="e">
        <f>AVERAGEIF('Quarterly Data'!$B:$B,'Annual Data'!$A273,'Quarterly Data'!AB:AB)</f>
        <v>#DIV/0!</v>
      </c>
      <c r="AA273" t="e">
        <f>AVERAGEIF('Quarterly Data'!$B:$B,'Annual Data'!$A273,'Quarterly Data'!AC:AC)</f>
        <v>#DIV/0!</v>
      </c>
      <c r="AB273" t="e">
        <f>AVERAGEIF('Quarterly Data'!$B:$B,'Annual Data'!$A273,'Quarterly Data'!AD:AD)</f>
        <v>#DIV/0!</v>
      </c>
      <c r="AC273" t="e">
        <f>AVERAGEIF('Quarterly Data'!$B:$B,'Annual Data'!$A273,'Quarterly Data'!AE:AE)</f>
        <v>#DIV/0!</v>
      </c>
      <c r="AD273" t="e">
        <f>AVERAGEIF('Quarterly Data'!$B:$B,'Annual Data'!$A273,'Quarterly Data'!AF:AF)</f>
        <v>#DIV/0!</v>
      </c>
      <c r="AE273">
        <f>SUMIF('Quarterly Data'!$B:$B,'Annual Data'!$A273,'Quarterly Data'!AG:AG)</f>
        <v>0</v>
      </c>
    </row>
    <row r="274" spans="1:31" x14ac:dyDescent="0.25">
      <c r="A274">
        <v>2240</v>
      </c>
      <c r="B274">
        <f>SUMIF('Quarterly Data'!$B:$B,'Annual Data'!$A274,'Quarterly Data'!D:D)</f>
        <v>0</v>
      </c>
      <c r="C274" t="e">
        <f>AVERAGEIF('Quarterly Data'!$B:$B,'Annual Data'!$A274,'Quarterly Data'!E:E)</f>
        <v>#DIV/0!</v>
      </c>
      <c r="D274">
        <f>SUMIF('Quarterly Data'!$B:$B,'Annual Data'!$A274,'Quarterly Data'!F:F)</f>
        <v>0</v>
      </c>
      <c r="E274">
        <f>SUMIF('Quarterly Data'!$B:$B,'Annual Data'!$A274,'Quarterly Data'!G:G)</f>
        <v>0</v>
      </c>
      <c r="F274">
        <f>SUMIF('Quarterly Data'!$B:$B,'Annual Data'!$A274,'Quarterly Data'!H:H)</f>
        <v>0</v>
      </c>
      <c r="G274">
        <f>SUMIF('Quarterly Data'!$B:$B,'Annual Data'!$A274,'Quarterly Data'!I:I)</f>
        <v>0</v>
      </c>
      <c r="H274">
        <f>SUMIF('Quarterly Data'!$B:$B,'Annual Data'!$A274,'Quarterly Data'!J:J)</f>
        <v>0</v>
      </c>
      <c r="I274">
        <f>SUMIF('Quarterly Data'!$B:$B,'Annual Data'!$A274,'Quarterly Data'!K:K)</f>
        <v>0</v>
      </c>
      <c r="J274">
        <f>SUMIF('Quarterly Data'!$B:$B,'Annual Data'!$A274,'Quarterly Data'!L:L)</f>
        <v>0</v>
      </c>
      <c r="K274" t="e">
        <f>AVERAGEIF('Quarterly Data'!$B:$B,'Annual Data'!$A274,'Quarterly Data'!M:M)</f>
        <v>#DIV/0!</v>
      </c>
      <c r="L274" t="e">
        <f>AVERAGEIF('Quarterly Data'!$B:$B,'Annual Data'!$A274,'Quarterly Data'!N:N)</f>
        <v>#DIV/0!</v>
      </c>
      <c r="M274" t="e">
        <f>AVERAGEIF('Quarterly Data'!$B:$B,'Annual Data'!$A274,'Quarterly Data'!O:O)</f>
        <v>#DIV/0!</v>
      </c>
      <c r="N274" t="e">
        <f>AVERAGEIF('Quarterly Data'!$B:$B,'Annual Data'!$A274,'Quarterly Data'!P:P)</f>
        <v>#DIV/0!</v>
      </c>
      <c r="O274" t="e">
        <f>AVERAGEIF('Quarterly Data'!$B:$B,'Annual Data'!$A274,'Quarterly Data'!Q:Q)</f>
        <v>#DIV/0!</v>
      </c>
      <c r="P274">
        <f>SUMIF('Quarterly Data'!$B:$B,'Annual Data'!$A274,'Quarterly Data'!R:R)</f>
        <v>0</v>
      </c>
      <c r="Q274">
        <f>SUMIF('Quarterly Data'!$B:$B,'Annual Data'!$A274,'Quarterly Data'!S:S)</f>
        <v>0</v>
      </c>
      <c r="R274" t="e">
        <f>AVERAGEIF('Quarterly Data'!$B:$B,'Annual Data'!$A274,'Quarterly Data'!T:T)</f>
        <v>#DIV/0!</v>
      </c>
      <c r="S274">
        <f>SUMIF('Quarterly Data'!$B:$B,'Annual Data'!$A274,'Quarterly Data'!U:U)</f>
        <v>0</v>
      </c>
      <c r="T274">
        <f>SUMIF('Quarterly Data'!$B:$B,'Annual Data'!$A274,'Quarterly Data'!V:V)</f>
        <v>0</v>
      </c>
      <c r="U274">
        <f>SUMIF('Quarterly Data'!$B:$B,'Annual Data'!$A274,'Quarterly Data'!W:W)</f>
        <v>0</v>
      </c>
      <c r="V274">
        <f>SUMIF('Quarterly Data'!$B:$B,'Annual Data'!$A274,'Quarterly Data'!X:X)</f>
        <v>0</v>
      </c>
      <c r="W274">
        <f>SUMIF('Quarterly Data'!$B:$B,'Annual Data'!$A274,'Quarterly Data'!Y:Y)</f>
        <v>0</v>
      </c>
      <c r="X274">
        <f>SUMIF('Quarterly Data'!$B:$B,'Annual Data'!$A274,'Quarterly Data'!Z:Z)</f>
        <v>0</v>
      </c>
      <c r="Y274">
        <f>SUMIF('Quarterly Data'!$B:$B,'Annual Data'!$A274,'Quarterly Data'!AA:AA)</f>
        <v>0</v>
      </c>
      <c r="Z274" t="e">
        <f>AVERAGEIF('Quarterly Data'!$B:$B,'Annual Data'!$A274,'Quarterly Data'!AB:AB)</f>
        <v>#DIV/0!</v>
      </c>
      <c r="AA274" t="e">
        <f>AVERAGEIF('Quarterly Data'!$B:$B,'Annual Data'!$A274,'Quarterly Data'!AC:AC)</f>
        <v>#DIV/0!</v>
      </c>
      <c r="AB274" t="e">
        <f>AVERAGEIF('Quarterly Data'!$B:$B,'Annual Data'!$A274,'Quarterly Data'!AD:AD)</f>
        <v>#DIV/0!</v>
      </c>
      <c r="AC274" t="e">
        <f>AVERAGEIF('Quarterly Data'!$B:$B,'Annual Data'!$A274,'Quarterly Data'!AE:AE)</f>
        <v>#DIV/0!</v>
      </c>
      <c r="AD274" t="e">
        <f>AVERAGEIF('Quarterly Data'!$B:$B,'Annual Data'!$A274,'Quarterly Data'!AF:AF)</f>
        <v>#DIV/0!</v>
      </c>
      <c r="AE274">
        <f>SUMIF('Quarterly Data'!$B:$B,'Annual Data'!$A274,'Quarterly Data'!AG:AG)</f>
        <v>0</v>
      </c>
    </row>
    <row r="275" spans="1:31" x14ac:dyDescent="0.25">
      <c r="A275">
        <v>2241</v>
      </c>
      <c r="B275">
        <f>SUMIF('Quarterly Data'!$B:$B,'Annual Data'!$A275,'Quarterly Data'!D:D)</f>
        <v>0</v>
      </c>
      <c r="C275" t="e">
        <f>AVERAGEIF('Quarterly Data'!$B:$B,'Annual Data'!$A275,'Quarterly Data'!E:E)</f>
        <v>#DIV/0!</v>
      </c>
      <c r="D275">
        <f>SUMIF('Quarterly Data'!$B:$B,'Annual Data'!$A275,'Quarterly Data'!F:F)</f>
        <v>0</v>
      </c>
      <c r="E275">
        <f>SUMIF('Quarterly Data'!$B:$B,'Annual Data'!$A275,'Quarterly Data'!G:G)</f>
        <v>0</v>
      </c>
      <c r="F275">
        <f>SUMIF('Quarterly Data'!$B:$B,'Annual Data'!$A275,'Quarterly Data'!H:H)</f>
        <v>0</v>
      </c>
      <c r="G275">
        <f>SUMIF('Quarterly Data'!$B:$B,'Annual Data'!$A275,'Quarterly Data'!I:I)</f>
        <v>0</v>
      </c>
      <c r="H275">
        <f>SUMIF('Quarterly Data'!$B:$B,'Annual Data'!$A275,'Quarterly Data'!J:J)</f>
        <v>0</v>
      </c>
      <c r="I275">
        <f>SUMIF('Quarterly Data'!$B:$B,'Annual Data'!$A275,'Quarterly Data'!K:K)</f>
        <v>0</v>
      </c>
      <c r="J275">
        <f>SUMIF('Quarterly Data'!$B:$B,'Annual Data'!$A275,'Quarterly Data'!L:L)</f>
        <v>0</v>
      </c>
      <c r="K275" t="e">
        <f>AVERAGEIF('Quarterly Data'!$B:$B,'Annual Data'!$A275,'Quarterly Data'!M:M)</f>
        <v>#DIV/0!</v>
      </c>
      <c r="L275" t="e">
        <f>AVERAGEIF('Quarterly Data'!$B:$B,'Annual Data'!$A275,'Quarterly Data'!N:N)</f>
        <v>#DIV/0!</v>
      </c>
      <c r="M275" t="e">
        <f>AVERAGEIF('Quarterly Data'!$B:$B,'Annual Data'!$A275,'Quarterly Data'!O:O)</f>
        <v>#DIV/0!</v>
      </c>
      <c r="N275" t="e">
        <f>AVERAGEIF('Quarterly Data'!$B:$B,'Annual Data'!$A275,'Quarterly Data'!P:P)</f>
        <v>#DIV/0!</v>
      </c>
      <c r="O275" t="e">
        <f>AVERAGEIF('Quarterly Data'!$B:$B,'Annual Data'!$A275,'Quarterly Data'!Q:Q)</f>
        <v>#DIV/0!</v>
      </c>
      <c r="P275">
        <f>SUMIF('Quarterly Data'!$B:$B,'Annual Data'!$A275,'Quarterly Data'!R:R)</f>
        <v>0</v>
      </c>
      <c r="Q275">
        <f>SUMIF('Quarterly Data'!$B:$B,'Annual Data'!$A275,'Quarterly Data'!S:S)</f>
        <v>0</v>
      </c>
      <c r="R275" t="e">
        <f>AVERAGEIF('Quarterly Data'!$B:$B,'Annual Data'!$A275,'Quarterly Data'!T:T)</f>
        <v>#DIV/0!</v>
      </c>
      <c r="S275">
        <f>SUMIF('Quarterly Data'!$B:$B,'Annual Data'!$A275,'Quarterly Data'!U:U)</f>
        <v>0</v>
      </c>
      <c r="T275">
        <f>SUMIF('Quarterly Data'!$B:$B,'Annual Data'!$A275,'Quarterly Data'!V:V)</f>
        <v>0</v>
      </c>
      <c r="U275">
        <f>SUMIF('Quarterly Data'!$B:$B,'Annual Data'!$A275,'Quarterly Data'!W:W)</f>
        <v>0</v>
      </c>
      <c r="V275">
        <f>SUMIF('Quarterly Data'!$B:$B,'Annual Data'!$A275,'Quarterly Data'!X:X)</f>
        <v>0</v>
      </c>
      <c r="W275">
        <f>SUMIF('Quarterly Data'!$B:$B,'Annual Data'!$A275,'Quarterly Data'!Y:Y)</f>
        <v>0</v>
      </c>
      <c r="X275">
        <f>SUMIF('Quarterly Data'!$B:$B,'Annual Data'!$A275,'Quarterly Data'!Z:Z)</f>
        <v>0</v>
      </c>
      <c r="Y275">
        <f>SUMIF('Quarterly Data'!$B:$B,'Annual Data'!$A275,'Quarterly Data'!AA:AA)</f>
        <v>0</v>
      </c>
      <c r="Z275" t="e">
        <f>AVERAGEIF('Quarterly Data'!$B:$B,'Annual Data'!$A275,'Quarterly Data'!AB:AB)</f>
        <v>#DIV/0!</v>
      </c>
      <c r="AA275" t="e">
        <f>AVERAGEIF('Quarterly Data'!$B:$B,'Annual Data'!$A275,'Quarterly Data'!AC:AC)</f>
        <v>#DIV/0!</v>
      </c>
      <c r="AB275" t="e">
        <f>AVERAGEIF('Quarterly Data'!$B:$B,'Annual Data'!$A275,'Quarterly Data'!AD:AD)</f>
        <v>#DIV/0!</v>
      </c>
      <c r="AC275" t="e">
        <f>AVERAGEIF('Quarterly Data'!$B:$B,'Annual Data'!$A275,'Quarterly Data'!AE:AE)</f>
        <v>#DIV/0!</v>
      </c>
      <c r="AD275" t="e">
        <f>AVERAGEIF('Quarterly Data'!$B:$B,'Annual Data'!$A275,'Quarterly Data'!AF:AF)</f>
        <v>#DIV/0!</v>
      </c>
      <c r="AE275">
        <f>SUMIF('Quarterly Data'!$B:$B,'Annual Data'!$A275,'Quarterly Data'!AG:AG)</f>
        <v>0</v>
      </c>
    </row>
    <row r="276" spans="1:31" x14ac:dyDescent="0.25">
      <c r="A276">
        <v>2242</v>
      </c>
      <c r="B276">
        <f>SUMIF('Quarterly Data'!$B:$B,'Annual Data'!$A276,'Quarterly Data'!D:D)</f>
        <v>0</v>
      </c>
      <c r="C276" t="e">
        <f>AVERAGEIF('Quarterly Data'!$B:$B,'Annual Data'!$A276,'Quarterly Data'!E:E)</f>
        <v>#DIV/0!</v>
      </c>
      <c r="D276">
        <f>SUMIF('Quarterly Data'!$B:$B,'Annual Data'!$A276,'Quarterly Data'!F:F)</f>
        <v>0</v>
      </c>
      <c r="E276">
        <f>SUMIF('Quarterly Data'!$B:$B,'Annual Data'!$A276,'Quarterly Data'!G:G)</f>
        <v>0</v>
      </c>
      <c r="F276">
        <f>SUMIF('Quarterly Data'!$B:$B,'Annual Data'!$A276,'Quarterly Data'!H:H)</f>
        <v>0</v>
      </c>
      <c r="G276">
        <f>SUMIF('Quarterly Data'!$B:$B,'Annual Data'!$A276,'Quarterly Data'!I:I)</f>
        <v>0</v>
      </c>
      <c r="H276">
        <f>SUMIF('Quarterly Data'!$B:$B,'Annual Data'!$A276,'Quarterly Data'!J:J)</f>
        <v>0</v>
      </c>
      <c r="I276">
        <f>SUMIF('Quarterly Data'!$B:$B,'Annual Data'!$A276,'Quarterly Data'!K:K)</f>
        <v>0</v>
      </c>
      <c r="J276">
        <f>SUMIF('Quarterly Data'!$B:$B,'Annual Data'!$A276,'Quarterly Data'!L:L)</f>
        <v>0</v>
      </c>
      <c r="K276" t="e">
        <f>AVERAGEIF('Quarterly Data'!$B:$B,'Annual Data'!$A276,'Quarterly Data'!M:M)</f>
        <v>#DIV/0!</v>
      </c>
      <c r="L276" t="e">
        <f>AVERAGEIF('Quarterly Data'!$B:$B,'Annual Data'!$A276,'Quarterly Data'!N:N)</f>
        <v>#DIV/0!</v>
      </c>
      <c r="M276" t="e">
        <f>AVERAGEIF('Quarterly Data'!$B:$B,'Annual Data'!$A276,'Quarterly Data'!O:O)</f>
        <v>#DIV/0!</v>
      </c>
      <c r="N276" t="e">
        <f>AVERAGEIF('Quarterly Data'!$B:$B,'Annual Data'!$A276,'Quarterly Data'!P:P)</f>
        <v>#DIV/0!</v>
      </c>
      <c r="O276" t="e">
        <f>AVERAGEIF('Quarterly Data'!$B:$B,'Annual Data'!$A276,'Quarterly Data'!Q:Q)</f>
        <v>#DIV/0!</v>
      </c>
      <c r="P276">
        <f>SUMIF('Quarterly Data'!$B:$B,'Annual Data'!$A276,'Quarterly Data'!R:R)</f>
        <v>0</v>
      </c>
      <c r="Q276">
        <f>SUMIF('Quarterly Data'!$B:$B,'Annual Data'!$A276,'Quarterly Data'!S:S)</f>
        <v>0</v>
      </c>
      <c r="R276" t="e">
        <f>AVERAGEIF('Quarterly Data'!$B:$B,'Annual Data'!$A276,'Quarterly Data'!T:T)</f>
        <v>#DIV/0!</v>
      </c>
      <c r="S276">
        <f>SUMIF('Quarterly Data'!$B:$B,'Annual Data'!$A276,'Quarterly Data'!U:U)</f>
        <v>0</v>
      </c>
      <c r="T276">
        <f>SUMIF('Quarterly Data'!$B:$B,'Annual Data'!$A276,'Quarterly Data'!V:V)</f>
        <v>0</v>
      </c>
      <c r="U276">
        <f>SUMIF('Quarterly Data'!$B:$B,'Annual Data'!$A276,'Quarterly Data'!W:W)</f>
        <v>0</v>
      </c>
      <c r="V276">
        <f>SUMIF('Quarterly Data'!$B:$B,'Annual Data'!$A276,'Quarterly Data'!X:X)</f>
        <v>0</v>
      </c>
      <c r="W276">
        <f>SUMIF('Quarterly Data'!$B:$B,'Annual Data'!$A276,'Quarterly Data'!Y:Y)</f>
        <v>0</v>
      </c>
      <c r="X276">
        <f>SUMIF('Quarterly Data'!$B:$B,'Annual Data'!$A276,'Quarterly Data'!Z:Z)</f>
        <v>0</v>
      </c>
      <c r="Y276">
        <f>SUMIF('Quarterly Data'!$B:$B,'Annual Data'!$A276,'Quarterly Data'!AA:AA)</f>
        <v>0</v>
      </c>
      <c r="Z276" t="e">
        <f>AVERAGEIF('Quarterly Data'!$B:$B,'Annual Data'!$A276,'Quarterly Data'!AB:AB)</f>
        <v>#DIV/0!</v>
      </c>
      <c r="AA276" t="e">
        <f>AVERAGEIF('Quarterly Data'!$B:$B,'Annual Data'!$A276,'Quarterly Data'!AC:AC)</f>
        <v>#DIV/0!</v>
      </c>
      <c r="AB276" t="e">
        <f>AVERAGEIF('Quarterly Data'!$B:$B,'Annual Data'!$A276,'Quarterly Data'!AD:AD)</f>
        <v>#DIV/0!</v>
      </c>
      <c r="AC276" t="e">
        <f>AVERAGEIF('Quarterly Data'!$B:$B,'Annual Data'!$A276,'Quarterly Data'!AE:AE)</f>
        <v>#DIV/0!</v>
      </c>
      <c r="AD276" t="e">
        <f>AVERAGEIF('Quarterly Data'!$B:$B,'Annual Data'!$A276,'Quarterly Data'!AF:AF)</f>
        <v>#DIV/0!</v>
      </c>
      <c r="AE276">
        <f>SUMIF('Quarterly Data'!$B:$B,'Annual Data'!$A276,'Quarterly Data'!AG:AG)</f>
        <v>0</v>
      </c>
    </row>
    <row r="277" spans="1:31" x14ac:dyDescent="0.25">
      <c r="A277">
        <v>2243</v>
      </c>
      <c r="B277">
        <f>SUMIF('Quarterly Data'!$B:$B,'Annual Data'!$A277,'Quarterly Data'!D:D)</f>
        <v>0</v>
      </c>
      <c r="C277" t="e">
        <f>AVERAGEIF('Quarterly Data'!$B:$B,'Annual Data'!$A277,'Quarterly Data'!E:E)</f>
        <v>#DIV/0!</v>
      </c>
      <c r="D277">
        <f>SUMIF('Quarterly Data'!$B:$B,'Annual Data'!$A277,'Quarterly Data'!F:F)</f>
        <v>0</v>
      </c>
      <c r="E277">
        <f>SUMIF('Quarterly Data'!$B:$B,'Annual Data'!$A277,'Quarterly Data'!G:G)</f>
        <v>0</v>
      </c>
      <c r="F277">
        <f>SUMIF('Quarterly Data'!$B:$B,'Annual Data'!$A277,'Quarterly Data'!H:H)</f>
        <v>0</v>
      </c>
      <c r="G277">
        <f>SUMIF('Quarterly Data'!$B:$B,'Annual Data'!$A277,'Quarterly Data'!I:I)</f>
        <v>0</v>
      </c>
      <c r="H277">
        <f>SUMIF('Quarterly Data'!$B:$B,'Annual Data'!$A277,'Quarterly Data'!J:J)</f>
        <v>0</v>
      </c>
      <c r="I277">
        <f>SUMIF('Quarterly Data'!$B:$B,'Annual Data'!$A277,'Quarterly Data'!K:K)</f>
        <v>0</v>
      </c>
      <c r="J277">
        <f>SUMIF('Quarterly Data'!$B:$B,'Annual Data'!$A277,'Quarterly Data'!L:L)</f>
        <v>0</v>
      </c>
      <c r="K277" t="e">
        <f>AVERAGEIF('Quarterly Data'!$B:$B,'Annual Data'!$A277,'Quarterly Data'!M:M)</f>
        <v>#DIV/0!</v>
      </c>
      <c r="L277" t="e">
        <f>AVERAGEIF('Quarterly Data'!$B:$B,'Annual Data'!$A277,'Quarterly Data'!N:N)</f>
        <v>#DIV/0!</v>
      </c>
      <c r="M277" t="e">
        <f>AVERAGEIF('Quarterly Data'!$B:$B,'Annual Data'!$A277,'Quarterly Data'!O:O)</f>
        <v>#DIV/0!</v>
      </c>
      <c r="N277" t="e">
        <f>AVERAGEIF('Quarterly Data'!$B:$B,'Annual Data'!$A277,'Quarterly Data'!P:P)</f>
        <v>#DIV/0!</v>
      </c>
      <c r="O277" t="e">
        <f>AVERAGEIF('Quarterly Data'!$B:$B,'Annual Data'!$A277,'Quarterly Data'!Q:Q)</f>
        <v>#DIV/0!</v>
      </c>
      <c r="P277">
        <f>SUMIF('Quarterly Data'!$B:$B,'Annual Data'!$A277,'Quarterly Data'!R:R)</f>
        <v>0</v>
      </c>
      <c r="Q277">
        <f>SUMIF('Quarterly Data'!$B:$B,'Annual Data'!$A277,'Quarterly Data'!S:S)</f>
        <v>0</v>
      </c>
      <c r="R277" t="e">
        <f>AVERAGEIF('Quarterly Data'!$B:$B,'Annual Data'!$A277,'Quarterly Data'!T:T)</f>
        <v>#DIV/0!</v>
      </c>
      <c r="S277">
        <f>SUMIF('Quarterly Data'!$B:$B,'Annual Data'!$A277,'Quarterly Data'!U:U)</f>
        <v>0</v>
      </c>
      <c r="T277">
        <f>SUMIF('Quarterly Data'!$B:$B,'Annual Data'!$A277,'Quarterly Data'!V:V)</f>
        <v>0</v>
      </c>
      <c r="U277">
        <f>SUMIF('Quarterly Data'!$B:$B,'Annual Data'!$A277,'Quarterly Data'!W:W)</f>
        <v>0</v>
      </c>
      <c r="V277">
        <f>SUMIF('Quarterly Data'!$B:$B,'Annual Data'!$A277,'Quarterly Data'!X:X)</f>
        <v>0</v>
      </c>
      <c r="W277">
        <f>SUMIF('Quarterly Data'!$B:$B,'Annual Data'!$A277,'Quarterly Data'!Y:Y)</f>
        <v>0</v>
      </c>
      <c r="X277">
        <f>SUMIF('Quarterly Data'!$B:$B,'Annual Data'!$A277,'Quarterly Data'!Z:Z)</f>
        <v>0</v>
      </c>
      <c r="Y277">
        <f>SUMIF('Quarterly Data'!$B:$B,'Annual Data'!$A277,'Quarterly Data'!AA:AA)</f>
        <v>0</v>
      </c>
      <c r="Z277" t="e">
        <f>AVERAGEIF('Quarterly Data'!$B:$B,'Annual Data'!$A277,'Quarterly Data'!AB:AB)</f>
        <v>#DIV/0!</v>
      </c>
      <c r="AA277" t="e">
        <f>AVERAGEIF('Quarterly Data'!$B:$B,'Annual Data'!$A277,'Quarterly Data'!AC:AC)</f>
        <v>#DIV/0!</v>
      </c>
      <c r="AB277" t="e">
        <f>AVERAGEIF('Quarterly Data'!$B:$B,'Annual Data'!$A277,'Quarterly Data'!AD:AD)</f>
        <v>#DIV/0!</v>
      </c>
      <c r="AC277" t="e">
        <f>AVERAGEIF('Quarterly Data'!$B:$B,'Annual Data'!$A277,'Quarterly Data'!AE:AE)</f>
        <v>#DIV/0!</v>
      </c>
      <c r="AD277" t="e">
        <f>AVERAGEIF('Quarterly Data'!$B:$B,'Annual Data'!$A277,'Quarterly Data'!AF:AF)</f>
        <v>#DIV/0!</v>
      </c>
      <c r="AE277">
        <f>SUMIF('Quarterly Data'!$B:$B,'Annual Data'!$A277,'Quarterly Data'!AG:AG)</f>
        <v>0</v>
      </c>
    </row>
    <row r="278" spans="1:31" x14ac:dyDescent="0.25">
      <c r="A278">
        <v>2244</v>
      </c>
      <c r="B278">
        <f>SUMIF('Quarterly Data'!$B:$B,'Annual Data'!$A278,'Quarterly Data'!D:D)</f>
        <v>0</v>
      </c>
      <c r="C278" t="e">
        <f>AVERAGEIF('Quarterly Data'!$B:$B,'Annual Data'!$A278,'Quarterly Data'!E:E)</f>
        <v>#DIV/0!</v>
      </c>
      <c r="D278">
        <f>SUMIF('Quarterly Data'!$B:$B,'Annual Data'!$A278,'Quarterly Data'!F:F)</f>
        <v>0</v>
      </c>
      <c r="E278">
        <f>SUMIF('Quarterly Data'!$B:$B,'Annual Data'!$A278,'Quarterly Data'!G:G)</f>
        <v>0</v>
      </c>
      <c r="F278">
        <f>SUMIF('Quarterly Data'!$B:$B,'Annual Data'!$A278,'Quarterly Data'!H:H)</f>
        <v>0</v>
      </c>
      <c r="G278">
        <f>SUMIF('Quarterly Data'!$B:$B,'Annual Data'!$A278,'Quarterly Data'!I:I)</f>
        <v>0</v>
      </c>
      <c r="H278">
        <f>SUMIF('Quarterly Data'!$B:$B,'Annual Data'!$A278,'Quarterly Data'!J:J)</f>
        <v>0</v>
      </c>
      <c r="I278">
        <f>SUMIF('Quarterly Data'!$B:$B,'Annual Data'!$A278,'Quarterly Data'!K:K)</f>
        <v>0</v>
      </c>
      <c r="J278">
        <f>SUMIF('Quarterly Data'!$B:$B,'Annual Data'!$A278,'Quarterly Data'!L:L)</f>
        <v>0</v>
      </c>
      <c r="K278" t="e">
        <f>AVERAGEIF('Quarterly Data'!$B:$B,'Annual Data'!$A278,'Quarterly Data'!M:M)</f>
        <v>#DIV/0!</v>
      </c>
      <c r="L278" t="e">
        <f>AVERAGEIF('Quarterly Data'!$B:$B,'Annual Data'!$A278,'Quarterly Data'!N:N)</f>
        <v>#DIV/0!</v>
      </c>
      <c r="M278" t="e">
        <f>AVERAGEIF('Quarterly Data'!$B:$B,'Annual Data'!$A278,'Quarterly Data'!O:O)</f>
        <v>#DIV/0!</v>
      </c>
      <c r="N278" t="e">
        <f>AVERAGEIF('Quarterly Data'!$B:$B,'Annual Data'!$A278,'Quarterly Data'!P:P)</f>
        <v>#DIV/0!</v>
      </c>
      <c r="O278" t="e">
        <f>AVERAGEIF('Quarterly Data'!$B:$B,'Annual Data'!$A278,'Quarterly Data'!Q:Q)</f>
        <v>#DIV/0!</v>
      </c>
      <c r="P278">
        <f>SUMIF('Quarterly Data'!$B:$B,'Annual Data'!$A278,'Quarterly Data'!R:R)</f>
        <v>0</v>
      </c>
      <c r="Q278">
        <f>SUMIF('Quarterly Data'!$B:$B,'Annual Data'!$A278,'Quarterly Data'!S:S)</f>
        <v>0</v>
      </c>
      <c r="R278" t="e">
        <f>AVERAGEIF('Quarterly Data'!$B:$B,'Annual Data'!$A278,'Quarterly Data'!T:T)</f>
        <v>#DIV/0!</v>
      </c>
      <c r="S278">
        <f>SUMIF('Quarterly Data'!$B:$B,'Annual Data'!$A278,'Quarterly Data'!U:U)</f>
        <v>0</v>
      </c>
      <c r="T278">
        <f>SUMIF('Quarterly Data'!$B:$B,'Annual Data'!$A278,'Quarterly Data'!V:V)</f>
        <v>0</v>
      </c>
      <c r="U278">
        <f>SUMIF('Quarterly Data'!$B:$B,'Annual Data'!$A278,'Quarterly Data'!W:W)</f>
        <v>0</v>
      </c>
      <c r="V278">
        <f>SUMIF('Quarterly Data'!$B:$B,'Annual Data'!$A278,'Quarterly Data'!X:X)</f>
        <v>0</v>
      </c>
      <c r="W278">
        <f>SUMIF('Quarterly Data'!$B:$B,'Annual Data'!$A278,'Quarterly Data'!Y:Y)</f>
        <v>0</v>
      </c>
      <c r="X278">
        <f>SUMIF('Quarterly Data'!$B:$B,'Annual Data'!$A278,'Quarterly Data'!Z:Z)</f>
        <v>0</v>
      </c>
      <c r="Y278">
        <f>SUMIF('Quarterly Data'!$B:$B,'Annual Data'!$A278,'Quarterly Data'!AA:AA)</f>
        <v>0</v>
      </c>
      <c r="Z278" t="e">
        <f>AVERAGEIF('Quarterly Data'!$B:$B,'Annual Data'!$A278,'Quarterly Data'!AB:AB)</f>
        <v>#DIV/0!</v>
      </c>
      <c r="AA278" t="e">
        <f>AVERAGEIF('Quarterly Data'!$B:$B,'Annual Data'!$A278,'Quarterly Data'!AC:AC)</f>
        <v>#DIV/0!</v>
      </c>
      <c r="AB278" t="e">
        <f>AVERAGEIF('Quarterly Data'!$B:$B,'Annual Data'!$A278,'Quarterly Data'!AD:AD)</f>
        <v>#DIV/0!</v>
      </c>
      <c r="AC278" t="e">
        <f>AVERAGEIF('Quarterly Data'!$B:$B,'Annual Data'!$A278,'Quarterly Data'!AE:AE)</f>
        <v>#DIV/0!</v>
      </c>
      <c r="AD278" t="e">
        <f>AVERAGEIF('Quarterly Data'!$B:$B,'Annual Data'!$A278,'Quarterly Data'!AF:AF)</f>
        <v>#DIV/0!</v>
      </c>
      <c r="AE278">
        <f>SUMIF('Quarterly Data'!$B:$B,'Annual Data'!$A278,'Quarterly Data'!AG:AG)</f>
        <v>0</v>
      </c>
    </row>
    <row r="279" spans="1:31" x14ac:dyDescent="0.25">
      <c r="A279">
        <v>2245</v>
      </c>
      <c r="B279">
        <f>SUMIF('Quarterly Data'!$B:$B,'Annual Data'!$A279,'Quarterly Data'!D:D)</f>
        <v>0</v>
      </c>
      <c r="C279" t="e">
        <f>AVERAGEIF('Quarterly Data'!$B:$B,'Annual Data'!$A279,'Quarterly Data'!E:E)</f>
        <v>#DIV/0!</v>
      </c>
      <c r="D279">
        <f>SUMIF('Quarterly Data'!$B:$B,'Annual Data'!$A279,'Quarterly Data'!F:F)</f>
        <v>0</v>
      </c>
      <c r="E279">
        <f>SUMIF('Quarterly Data'!$B:$B,'Annual Data'!$A279,'Quarterly Data'!G:G)</f>
        <v>0</v>
      </c>
      <c r="F279">
        <f>SUMIF('Quarterly Data'!$B:$B,'Annual Data'!$A279,'Quarterly Data'!H:H)</f>
        <v>0</v>
      </c>
      <c r="G279">
        <f>SUMIF('Quarterly Data'!$B:$B,'Annual Data'!$A279,'Quarterly Data'!I:I)</f>
        <v>0</v>
      </c>
      <c r="H279">
        <f>SUMIF('Quarterly Data'!$B:$B,'Annual Data'!$A279,'Quarterly Data'!J:J)</f>
        <v>0</v>
      </c>
      <c r="I279">
        <f>SUMIF('Quarterly Data'!$B:$B,'Annual Data'!$A279,'Quarterly Data'!K:K)</f>
        <v>0</v>
      </c>
      <c r="J279">
        <f>SUMIF('Quarterly Data'!$B:$B,'Annual Data'!$A279,'Quarterly Data'!L:L)</f>
        <v>0</v>
      </c>
      <c r="K279" t="e">
        <f>AVERAGEIF('Quarterly Data'!$B:$B,'Annual Data'!$A279,'Quarterly Data'!M:M)</f>
        <v>#DIV/0!</v>
      </c>
      <c r="L279" t="e">
        <f>AVERAGEIF('Quarterly Data'!$B:$B,'Annual Data'!$A279,'Quarterly Data'!N:N)</f>
        <v>#DIV/0!</v>
      </c>
      <c r="M279" t="e">
        <f>AVERAGEIF('Quarterly Data'!$B:$B,'Annual Data'!$A279,'Quarterly Data'!O:O)</f>
        <v>#DIV/0!</v>
      </c>
      <c r="N279" t="e">
        <f>AVERAGEIF('Quarterly Data'!$B:$B,'Annual Data'!$A279,'Quarterly Data'!P:P)</f>
        <v>#DIV/0!</v>
      </c>
      <c r="O279" t="e">
        <f>AVERAGEIF('Quarterly Data'!$B:$B,'Annual Data'!$A279,'Quarterly Data'!Q:Q)</f>
        <v>#DIV/0!</v>
      </c>
      <c r="P279">
        <f>SUMIF('Quarterly Data'!$B:$B,'Annual Data'!$A279,'Quarterly Data'!R:R)</f>
        <v>0</v>
      </c>
      <c r="Q279">
        <f>SUMIF('Quarterly Data'!$B:$B,'Annual Data'!$A279,'Quarterly Data'!S:S)</f>
        <v>0</v>
      </c>
      <c r="R279" t="e">
        <f>AVERAGEIF('Quarterly Data'!$B:$B,'Annual Data'!$A279,'Quarterly Data'!T:T)</f>
        <v>#DIV/0!</v>
      </c>
      <c r="S279">
        <f>SUMIF('Quarterly Data'!$B:$B,'Annual Data'!$A279,'Quarterly Data'!U:U)</f>
        <v>0</v>
      </c>
      <c r="T279">
        <f>SUMIF('Quarterly Data'!$B:$B,'Annual Data'!$A279,'Quarterly Data'!V:V)</f>
        <v>0</v>
      </c>
      <c r="U279">
        <f>SUMIF('Quarterly Data'!$B:$B,'Annual Data'!$A279,'Quarterly Data'!W:W)</f>
        <v>0</v>
      </c>
      <c r="V279">
        <f>SUMIF('Quarterly Data'!$B:$B,'Annual Data'!$A279,'Quarterly Data'!X:X)</f>
        <v>0</v>
      </c>
      <c r="W279">
        <f>SUMIF('Quarterly Data'!$B:$B,'Annual Data'!$A279,'Quarterly Data'!Y:Y)</f>
        <v>0</v>
      </c>
      <c r="X279">
        <f>SUMIF('Quarterly Data'!$B:$B,'Annual Data'!$A279,'Quarterly Data'!Z:Z)</f>
        <v>0</v>
      </c>
      <c r="Y279">
        <f>SUMIF('Quarterly Data'!$B:$B,'Annual Data'!$A279,'Quarterly Data'!AA:AA)</f>
        <v>0</v>
      </c>
      <c r="Z279" t="e">
        <f>AVERAGEIF('Quarterly Data'!$B:$B,'Annual Data'!$A279,'Quarterly Data'!AB:AB)</f>
        <v>#DIV/0!</v>
      </c>
      <c r="AA279" t="e">
        <f>AVERAGEIF('Quarterly Data'!$B:$B,'Annual Data'!$A279,'Quarterly Data'!AC:AC)</f>
        <v>#DIV/0!</v>
      </c>
      <c r="AB279" t="e">
        <f>AVERAGEIF('Quarterly Data'!$B:$B,'Annual Data'!$A279,'Quarterly Data'!AD:AD)</f>
        <v>#DIV/0!</v>
      </c>
      <c r="AC279" t="e">
        <f>AVERAGEIF('Quarterly Data'!$B:$B,'Annual Data'!$A279,'Quarterly Data'!AE:AE)</f>
        <v>#DIV/0!</v>
      </c>
      <c r="AD279" t="e">
        <f>AVERAGEIF('Quarterly Data'!$B:$B,'Annual Data'!$A279,'Quarterly Data'!AF:AF)</f>
        <v>#DIV/0!</v>
      </c>
      <c r="AE279">
        <f>SUMIF('Quarterly Data'!$B:$B,'Annual Data'!$A279,'Quarterly Data'!AG:AG)</f>
        <v>0</v>
      </c>
    </row>
    <row r="280" spans="1:31" x14ac:dyDescent="0.25">
      <c r="A280">
        <v>2246</v>
      </c>
      <c r="B280">
        <f>SUMIF('Quarterly Data'!$B:$B,'Annual Data'!$A280,'Quarterly Data'!D:D)</f>
        <v>0</v>
      </c>
      <c r="C280" t="e">
        <f>AVERAGEIF('Quarterly Data'!$B:$B,'Annual Data'!$A280,'Quarterly Data'!E:E)</f>
        <v>#DIV/0!</v>
      </c>
      <c r="D280">
        <f>SUMIF('Quarterly Data'!$B:$B,'Annual Data'!$A280,'Quarterly Data'!F:F)</f>
        <v>0</v>
      </c>
      <c r="E280">
        <f>SUMIF('Quarterly Data'!$B:$B,'Annual Data'!$A280,'Quarterly Data'!G:G)</f>
        <v>0</v>
      </c>
      <c r="F280">
        <f>SUMIF('Quarterly Data'!$B:$B,'Annual Data'!$A280,'Quarterly Data'!H:H)</f>
        <v>0</v>
      </c>
      <c r="G280">
        <f>SUMIF('Quarterly Data'!$B:$B,'Annual Data'!$A280,'Quarterly Data'!I:I)</f>
        <v>0</v>
      </c>
      <c r="H280">
        <f>SUMIF('Quarterly Data'!$B:$B,'Annual Data'!$A280,'Quarterly Data'!J:J)</f>
        <v>0</v>
      </c>
      <c r="I280">
        <f>SUMIF('Quarterly Data'!$B:$B,'Annual Data'!$A280,'Quarterly Data'!K:K)</f>
        <v>0</v>
      </c>
      <c r="J280">
        <f>SUMIF('Quarterly Data'!$B:$B,'Annual Data'!$A280,'Quarterly Data'!L:L)</f>
        <v>0</v>
      </c>
      <c r="K280" t="e">
        <f>AVERAGEIF('Quarterly Data'!$B:$B,'Annual Data'!$A280,'Quarterly Data'!M:M)</f>
        <v>#DIV/0!</v>
      </c>
      <c r="L280" t="e">
        <f>AVERAGEIF('Quarterly Data'!$B:$B,'Annual Data'!$A280,'Quarterly Data'!N:N)</f>
        <v>#DIV/0!</v>
      </c>
      <c r="M280" t="e">
        <f>AVERAGEIF('Quarterly Data'!$B:$B,'Annual Data'!$A280,'Quarterly Data'!O:O)</f>
        <v>#DIV/0!</v>
      </c>
      <c r="N280" t="e">
        <f>AVERAGEIF('Quarterly Data'!$B:$B,'Annual Data'!$A280,'Quarterly Data'!P:P)</f>
        <v>#DIV/0!</v>
      </c>
      <c r="O280" t="e">
        <f>AVERAGEIF('Quarterly Data'!$B:$B,'Annual Data'!$A280,'Quarterly Data'!Q:Q)</f>
        <v>#DIV/0!</v>
      </c>
      <c r="P280">
        <f>SUMIF('Quarterly Data'!$B:$B,'Annual Data'!$A280,'Quarterly Data'!R:R)</f>
        <v>0</v>
      </c>
      <c r="Q280">
        <f>SUMIF('Quarterly Data'!$B:$B,'Annual Data'!$A280,'Quarterly Data'!S:S)</f>
        <v>0</v>
      </c>
      <c r="R280" t="e">
        <f>AVERAGEIF('Quarterly Data'!$B:$B,'Annual Data'!$A280,'Quarterly Data'!T:T)</f>
        <v>#DIV/0!</v>
      </c>
      <c r="S280">
        <f>SUMIF('Quarterly Data'!$B:$B,'Annual Data'!$A280,'Quarterly Data'!U:U)</f>
        <v>0</v>
      </c>
      <c r="T280">
        <f>SUMIF('Quarterly Data'!$B:$B,'Annual Data'!$A280,'Quarterly Data'!V:V)</f>
        <v>0</v>
      </c>
      <c r="U280">
        <f>SUMIF('Quarterly Data'!$B:$B,'Annual Data'!$A280,'Quarterly Data'!W:W)</f>
        <v>0</v>
      </c>
      <c r="V280">
        <f>SUMIF('Quarterly Data'!$B:$B,'Annual Data'!$A280,'Quarterly Data'!X:X)</f>
        <v>0</v>
      </c>
      <c r="W280">
        <f>SUMIF('Quarterly Data'!$B:$B,'Annual Data'!$A280,'Quarterly Data'!Y:Y)</f>
        <v>0</v>
      </c>
      <c r="X280">
        <f>SUMIF('Quarterly Data'!$B:$B,'Annual Data'!$A280,'Quarterly Data'!Z:Z)</f>
        <v>0</v>
      </c>
      <c r="Y280">
        <f>SUMIF('Quarterly Data'!$B:$B,'Annual Data'!$A280,'Quarterly Data'!AA:AA)</f>
        <v>0</v>
      </c>
      <c r="Z280" t="e">
        <f>AVERAGEIF('Quarterly Data'!$B:$B,'Annual Data'!$A280,'Quarterly Data'!AB:AB)</f>
        <v>#DIV/0!</v>
      </c>
      <c r="AA280" t="e">
        <f>AVERAGEIF('Quarterly Data'!$B:$B,'Annual Data'!$A280,'Quarterly Data'!AC:AC)</f>
        <v>#DIV/0!</v>
      </c>
      <c r="AB280" t="e">
        <f>AVERAGEIF('Quarterly Data'!$B:$B,'Annual Data'!$A280,'Quarterly Data'!AD:AD)</f>
        <v>#DIV/0!</v>
      </c>
      <c r="AC280" t="e">
        <f>AVERAGEIF('Quarterly Data'!$B:$B,'Annual Data'!$A280,'Quarterly Data'!AE:AE)</f>
        <v>#DIV/0!</v>
      </c>
      <c r="AD280" t="e">
        <f>AVERAGEIF('Quarterly Data'!$B:$B,'Annual Data'!$A280,'Quarterly Data'!AF:AF)</f>
        <v>#DIV/0!</v>
      </c>
      <c r="AE280">
        <f>SUMIF('Quarterly Data'!$B:$B,'Annual Data'!$A280,'Quarterly Data'!AG:AG)</f>
        <v>0</v>
      </c>
    </row>
    <row r="281" spans="1:31" x14ac:dyDescent="0.25">
      <c r="A281">
        <v>2247</v>
      </c>
      <c r="B281">
        <f>SUMIF('Quarterly Data'!$B:$B,'Annual Data'!$A281,'Quarterly Data'!D:D)</f>
        <v>0</v>
      </c>
      <c r="C281" t="e">
        <f>AVERAGEIF('Quarterly Data'!$B:$B,'Annual Data'!$A281,'Quarterly Data'!E:E)</f>
        <v>#DIV/0!</v>
      </c>
      <c r="D281">
        <f>SUMIF('Quarterly Data'!$B:$B,'Annual Data'!$A281,'Quarterly Data'!F:F)</f>
        <v>0</v>
      </c>
      <c r="E281">
        <f>SUMIF('Quarterly Data'!$B:$B,'Annual Data'!$A281,'Quarterly Data'!G:G)</f>
        <v>0</v>
      </c>
      <c r="F281">
        <f>SUMIF('Quarterly Data'!$B:$B,'Annual Data'!$A281,'Quarterly Data'!H:H)</f>
        <v>0</v>
      </c>
      <c r="G281">
        <f>SUMIF('Quarterly Data'!$B:$B,'Annual Data'!$A281,'Quarterly Data'!I:I)</f>
        <v>0</v>
      </c>
      <c r="H281">
        <f>SUMIF('Quarterly Data'!$B:$B,'Annual Data'!$A281,'Quarterly Data'!J:J)</f>
        <v>0</v>
      </c>
      <c r="I281">
        <f>SUMIF('Quarterly Data'!$B:$B,'Annual Data'!$A281,'Quarterly Data'!K:K)</f>
        <v>0</v>
      </c>
      <c r="J281">
        <f>SUMIF('Quarterly Data'!$B:$B,'Annual Data'!$A281,'Quarterly Data'!L:L)</f>
        <v>0</v>
      </c>
      <c r="K281" t="e">
        <f>AVERAGEIF('Quarterly Data'!$B:$B,'Annual Data'!$A281,'Quarterly Data'!M:M)</f>
        <v>#DIV/0!</v>
      </c>
      <c r="L281" t="e">
        <f>AVERAGEIF('Quarterly Data'!$B:$B,'Annual Data'!$A281,'Quarterly Data'!N:N)</f>
        <v>#DIV/0!</v>
      </c>
      <c r="M281" t="e">
        <f>AVERAGEIF('Quarterly Data'!$B:$B,'Annual Data'!$A281,'Quarterly Data'!O:O)</f>
        <v>#DIV/0!</v>
      </c>
      <c r="N281" t="e">
        <f>AVERAGEIF('Quarterly Data'!$B:$B,'Annual Data'!$A281,'Quarterly Data'!P:P)</f>
        <v>#DIV/0!</v>
      </c>
      <c r="O281" t="e">
        <f>AVERAGEIF('Quarterly Data'!$B:$B,'Annual Data'!$A281,'Quarterly Data'!Q:Q)</f>
        <v>#DIV/0!</v>
      </c>
      <c r="P281">
        <f>SUMIF('Quarterly Data'!$B:$B,'Annual Data'!$A281,'Quarterly Data'!R:R)</f>
        <v>0</v>
      </c>
      <c r="Q281">
        <f>SUMIF('Quarterly Data'!$B:$B,'Annual Data'!$A281,'Quarterly Data'!S:S)</f>
        <v>0</v>
      </c>
      <c r="R281" t="e">
        <f>AVERAGEIF('Quarterly Data'!$B:$B,'Annual Data'!$A281,'Quarterly Data'!T:T)</f>
        <v>#DIV/0!</v>
      </c>
      <c r="S281">
        <f>SUMIF('Quarterly Data'!$B:$B,'Annual Data'!$A281,'Quarterly Data'!U:U)</f>
        <v>0</v>
      </c>
      <c r="T281">
        <f>SUMIF('Quarterly Data'!$B:$B,'Annual Data'!$A281,'Quarterly Data'!V:V)</f>
        <v>0</v>
      </c>
      <c r="U281">
        <f>SUMIF('Quarterly Data'!$B:$B,'Annual Data'!$A281,'Quarterly Data'!W:W)</f>
        <v>0</v>
      </c>
      <c r="V281">
        <f>SUMIF('Quarterly Data'!$B:$B,'Annual Data'!$A281,'Quarterly Data'!X:X)</f>
        <v>0</v>
      </c>
      <c r="W281">
        <f>SUMIF('Quarterly Data'!$B:$B,'Annual Data'!$A281,'Quarterly Data'!Y:Y)</f>
        <v>0</v>
      </c>
      <c r="X281">
        <f>SUMIF('Quarterly Data'!$B:$B,'Annual Data'!$A281,'Quarterly Data'!Z:Z)</f>
        <v>0</v>
      </c>
      <c r="Y281">
        <f>SUMIF('Quarterly Data'!$B:$B,'Annual Data'!$A281,'Quarterly Data'!AA:AA)</f>
        <v>0</v>
      </c>
      <c r="Z281" t="e">
        <f>AVERAGEIF('Quarterly Data'!$B:$B,'Annual Data'!$A281,'Quarterly Data'!AB:AB)</f>
        <v>#DIV/0!</v>
      </c>
      <c r="AA281" t="e">
        <f>AVERAGEIF('Quarterly Data'!$B:$B,'Annual Data'!$A281,'Quarterly Data'!AC:AC)</f>
        <v>#DIV/0!</v>
      </c>
      <c r="AB281" t="e">
        <f>AVERAGEIF('Quarterly Data'!$B:$B,'Annual Data'!$A281,'Quarterly Data'!AD:AD)</f>
        <v>#DIV/0!</v>
      </c>
      <c r="AC281" t="e">
        <f>AVERAGEIF('Quarterly Data'!$B:$B,'Annual Data'!$A281,'Quarterly Data'!AE:AE)</f>
        <v>#DIV/0!</v>
      </c>
      <c r="AD281" t="e">
        <f>AVERAGEIF('Quarterly Data'!$B:$B,'Annual Data'!$A281,'Quarterly Data'!AF:AF)</f>
        <v>#DIV/0!</v>
      </c>
      <c r="AE281">
        <f>SUMIF('Quarterly Data'!$B:$B,'Annual Data'!$A281,'Quarterly Data'!AG:AG)</f>
        <v>0</v>
      </c>
    </row>
    <row r="282" spans="1:31" x14ac:dyDescent="0.25">
      <c r="A282">
        <v>2248</v>
      </c>
      <c r="B282">
        <f>SUMIF('Quarterly Data'!$B:$B,'Annual Data'!$A282,'Quarterly Data'!D:D)</f>
        <v>0</v>
      </c>
      <c r="C282" t="e">
        <f>AVERAGEIF('Quarterly Data'!$B:$B,'Annual Data'!$A282,'Quarterly Data'!E:E)</f>
        <v>#DIV/0!</v>
      </c>
      <c r="D282">
        <f>SUMIF('Quarterly Data'!$B:$B,'Annual Data'!$A282,'Quarterly Data'!F:F)</f>
        <v>0</v>
      </c>
      <c r="E282">
        <f>SUMIF('Quarterly Data'!$B:$B,'Annual Data'!$A282,'Quarterly Data'!G:G)</f>
        <v>0</v>
      </c>
      <c r="F282">
        <f>SUMIF('Quarterly Data'!$B:$B,'Annual Data'!$A282,'Quarterly Data'!H:H)</f>
        <v>0</v>
      </c>
      <c r="G282">
        <f>SUMIF('Quarterly Data'!$B:$B,'Annual Data'!$A282,'Quarterly Data'!I:I)</f>
        <v>0</v>
      </c>
      <c r="H282">
        <f>SUMIF('Quarterly Data'!$B:$B,'Annual Data'!$A282,'Quarterly Data'!J:J)</f>
        <v>0</v>
      </c>
      <c r="I282">
        <f>SUMIF('Quarterly Data'!$B:$B,'Annual Data'!$A282,'Quarterly Data'!K:K)</f>
        <v>0</v>
      </c>
      <c r="J282">
        <f>SUMIF('Quarterly Data'!$B:$B,'Annual Data'!$A282,'Quarterly Data'!L:L)</f>
        <v>0</v>
      </c>
      <c r="K282" t="e">
        <f>AVERAGEIF('Quarterly Data'!$B:$B,'Annual Data'!$A282,'Quarterly Data'!M:M)</f>
        <v>#DIV/0!</v>
      </c>
      <c r="L282" t="e">
        <f>AVERAGEIF('Quarterly Data'!$B:$B,'Annual Data'!$A282,'Quarterly Data'!N:N)</f>
        <v>#DIV/0!</v>
      </c>
      <c r="M282" t="e">
        <f>AVERAGEIF('Quarterly Data'!$B:$B,'Annual Data'!$A282,'Quarterly Data'!O:O)</f>
        <v>#DIV/0!</v>
      </c>
      <c r="N282" t="e">
        <f>AVERAGEIF('Quarterly Data'!$B:$B,'Annual Data'!$A282,'Quarterly Data'!P:P)</f>
        <v>#DIV/0!</v>
      </c>
      <c r="O282" t="e">
        <f>AVERAGEIF('Quarterly Data'!$B:$B,'Annual Data'!$A282,'Quarterly Data'!Q:Q)</f>
        <v>#DIV/0!</v>
      </c>
      <c r="P282">
        <f>SUMIF('Quarterly Data'!$B:$B,'Annual Data'!$A282,'Quarterly Data'!R:R)</f>
        <v>0</v>
      </c>
      <c r="Q282">
        <f>SUMIF('Quarterly Data'!$B:$B,'Annual Data'!$A282,'Quarterly Data'!S:S)</f>
        <v>0</v>
      </c>
      <c r="R282" t="e">
        <f>AVERAGEIF('Quarterly Data'!$B:$B,'Annual Data'!$A282,'Quarterly Data'!T:T)</f>
        <v>#DIV/0!</v>
      </c>
      <c r="S282">
        <f>SUMIF('Quarterly Data'!$B:$B,'Annual Data'!$A282,'Quarterly Data'!U:U)</f>
        <v>0</v>
      </c>
      <c r="T282">
        <f>SUMIF('Quarterly Data'!$B:$B,'Annual Data'!$A282,'Quarterly Data'!V:V)</f>
        <v>0</v>
      </c>
      <c r="U282">
        <f>SUMIF('Quarterly Data'!$B:$B,'Annual Data'!$A282,'Quarterly Data'!W:W)</f>
        <v>0</v>
      </c>
      <c r="V282">
        <f>SUMIF('Quarterly Data'!$B:$B,'Annual Data'!$A282,'Quarterly Data'!X:X)</f>
        <v>0</v>
      </c>
      <c r="W282">
        <f>SUMIF('Quarterly Data'!$B:$B,'Annual Data'!$A282,'Quarterly Data'!Y:Y)</f>
        <v>0</v>
      </c>
      <c r="X282">
        <f>SUMIF('Quarterly Data'!$B:$B,'Annual Data'!$A282,'Quarterly Data'!Z:Z)</f>
        <v>0</v>
      </c>
      <c r="Y282">
        <f>SUMIF('Quarterly Data'!$B:$B,'Annual Data'!$A282,'Quarterly Data'!AA:AA)</f>
        <v>0</v>
      </c>
      <c r="Z282" t="e">
        <f>AVERAGEIF('Quarterly Data'!$B:$B,'Annual Data'!$A282,'Quarterly Data'!AB:AB)</f>
        <v>#DIV/0!</v>
      </c>
      <c r="AA282" t="e">
        <f>AVERAGEIF('Quarterly Data'!$B:$B,'Annual Data'!$A282,'Quarterly Data'!AC:AC)</f>
        <v>#DIV/0!</v>
      </c>
      <c r="AB282" t="e">
        <f>AVERAGEIF('Quarterly Data'!$B:$B,'Annual Data'!$A282,'Quarterly Data'!AD:AD)</f>
        <v>#DIV/0!</v>
      </c>
      <c r="AC282" t="e">
        <f>AVERAGEIF('Quarterly Data'!$B:$B,'Annual Data'!$A282,'Quarterly Data'!AE:AE)</f>
        <v>#DIV/0!</v>
      </c>
      <c r="AD282" t="e">
        <f>AVERAGEIF('Quarterly Data'!$B:$B,'Annual Data'!$A282,'Quarterly Data'!AF:AF)</f>
        <v>#DIV/0!</v>
      </c>
      <c r="AE282">
        <f>SUMIF('Quarterly Data'!$B:$B,'Annual Data'!$A282,'Quarterly Data'!AG:AG)</f>
        <v>0</v>
      </c>
    </row>
    <row r="283" spans="1:31" x14ac:dyDescent="0.25">
      <c r="A283">
        <v>2249</v>
      </c>
      <c r="B283">
        <f>SUMIF('Quarterly Data'!$B:$B,'Annual Data'!$A283,'Quarterly Data'!D:D)</f>
        <v>0</v>
      </c>
      <c r="C283" t="e">
        <f>AVERAGEIF('Quarterly Data'!$B:$B,'Annual Data'!$A283,'Quarterly Data'!E:E)</f>
        <v>#DIV/0!</v>
      </c>
      <c r="D283">
        <f>SUMIF('Quarterly Data'!$B:$B,'Annual Data'!$A283,'Quarterly Data'!F:F)</f>
        <v>0</v>
      </c>
      <c r="E283">
        <f>SUMIF('Quarterly Data'!$B:$B,'Annual Data'!$A283,'Quarterly Data'!G:G)</f>
        <v>0</v>
      </c>
      <c r="F283">
        <f>SUMIF('Quarterly Data'!$B:$B,'Annual Data'!$A283,'Quarterly Data'!H:H)</f>
        <v>0</v>
      </c>
      <c r="G283">
        <f>SUMIF('Quarterly Data'!$B:$B,'Annual Data'!$A283,'Quarterly Data'!I:I)</f>
        <v>0</v>
      </c>
      <c r="H283">
        <f>SUMIF('Quarterly Data'!$B:$B,'Annual Data'!$A283,'Quarterly Data'!J:J)</f>
        <v>0</v>
      </c>
      <c r="I283">
        <f>SUMIF('Quarterly Data'!$B:$B,'Annual Data'!$A283,'Quarterly Data'!K:K)</f>
        <v>0</v>
      </c>
      <c r="J283">
        <f>SUMIF('Quarterly Data'!$B:$B,'Annual Data'!$A283,'Quarterly Data'!L:L)</f>
        <v>0</v>
      </c>
      <c r="K283" t="e">
        <f>AVERAGEIF('Quarterly Data'!$B:$B,'Annual Data'!$A283,'Quarterly Data'!M:M)</f>
        <v>#DIV/0!</v>
      </c>
      <c r="L283" t="e">
        <f>AVERAGEIF('Quarterly Data'!$B:$B,'Annual Data'!$A283,'Quarterly Data'!N:N)</f>
        <v>#DIV/0!</v>
      </c>
      <c r="M283" t="e">
        <f>AVERAGEIF('Quarterly Data'!$B:$B,'Annual Data'!$A283,'Quarterly Data'!O:O)</f>
        <v>#DIV/0!</v>
      </c>
      <c r="N283" t="e">
        <f>AVERAGEIF('Quarterly Data'!$B:$B,'Annual Data'!$A283,'Quarterly Data'!P:P)</f>
        <v>#DIV/0!</v>
      </c>
      <c r="O283" t="e">
        <f>AVERAGEIF('Quarterly Data'!$B:$B,'Annual Data'!$A283,'Quarterly Data'!Q:Q)</f>
        <v>#DIV/0!</v>
      </c>
      <c r="P283">
        <f>SUMIF('Quarterly Data'!$B:$B,'Annual Data'!$A283,'Quarterly Data'!R:R)</f>
        <v>0</v>
      </c>
      <c r="Q283">
        <f>SUMIF('Quarterly Data'!$B:$B,'Annual Data'!$A283,'Quarterly Data'!S:S)</f>
        <v>0</v>
      </c>
      <c r="R283" t="e">
        <f>AVERAGEIF('Quarterly Data'!$B:$B,'Annual Data'!$A283,'Quarterly Data'!T:T)</f>
        <v>#DIV/0!</v>
      </c>
      <c r="S283">
        <f>SUMIF('Quarterly Data'!$B:$B,'Annual Data'!$A283,'Quarterly Data'!U:U)</f>
        <v>0</v>
      </c>
      <c r="T283">
        <f>SUMIF('Quarterly Data'!$B:$B,'Annual Data'!$A283,'Quarterly Data'!V:V)</f>
        <v>0</v>
      </c>
      <c r="U283">
        <f>SUMIF('Quarterly Data'!$B:$B,'Annual Data'!$A283,'Quarterly Data'!W:W)</f>
        <v>0</v>
      </c>
      <c r="V283">
        <f>SUMIF('Quarterly Data'!$B:$B,'Annual Data'!$A283,'Quarterly Data'!X:X)</f>
        <v>0</v>
      </c>
      <c r="W283">
        <f>SUMIF('Quarterly Data'!$B:$B,'Annual Data'!$A283,'Quarterly Data'!Y:Y)</f>
        <v>0</v>
      </c>
      <c r="X283">
        <f>SUMIF('Quarterly Data'!$B:$B,'Annual Data'!$A283,'Quarterly Data'!Z:Z)</f>
        <v>0</v>
      </c>
      <c r="Y283">
        <f>SUMIF('Quarterly Data'!$B:$B,'Annual Data'!$A283,'Quarterly Data'!AA:AA)</f>
        <v>0</v>
      </c>
      <c r="Z283" t="e">
        <f>AVERAGEIF('Quarterly Data'!$B:$B,'Annual Data'!$A283,'Quarterly Data'!AB:AB)</f>
        <v>#DIV/0!</v>
      </c>
      <c r="AA283" t="e">
        <f>AVERAGEIF('Quarterly Data'!$B:$B,'Annual Data'!$A283,'Quarterly Data'!AC:AC)</f>
        <v>#DIV/0!</v>
      </c>
      <c r="AB283" t="e">
        <f>AVERAGEIF('Quarterly Data'!$B:$B,'Annual Data'!$A283,'Quarterly Data'!AD:AD)</f>
        <v>#DIV/0!</v>
      </c>
      <c r="AC283" t="e">
        <f>AVERAGEIF('Quarterly Data'!$B:$B,'Annual Data'!$A283,'Quarterly Data'!AE:AE)</f>
        <v>#DIV/0!</v>
      </c>
      <c r="AD283" t="e">
        <f>AVERAGEIF('Quarterly Data'!$B:$B,'Annual Data'!$A283,'Quarterly Data'!AF:AF)</f>
        <v>#DIV/0!</v>
      </c>
      <c r="AE283">
        <f>SUMIF('Quarterly Data'!$B:$B,'Annual Data'!$A283,'Quarterly Data'!AG:AG)</f>
        <v>0</v>
      </c>
    </row>
    <row r="284" spans="1:31" x14ac:dyDescent="0.25">
      <c r="A284">
        <v>2250</v>
      </c>
      <c r="B284">
        <f>SUMIF('Quarterly Data'!$B:$B,'Annual Data'!$A284,'Quarterly Data'!D:D)</f>
        <v>0</v>
      </c>
      <c r="C284" t="e">
        <f>AVERAGEIF('Quarterly Data'!$B:$B,'Annual Data'!$A284,'Quarterly Data'!E:E)</f>
        <v>#DIV/0!</v>
      </c>
      <c r="D284">
        <f>SUMIF('Quarterly Data'!$B:$B,'Annual Data'!$A284,'Quarterly Data'!F:F)</f>
        <v>0</v>
      </c>
      <c r="E284">
        <f>SUMIF('Quarterly Data'!$B:$B,'Annual Data'!$A284,'Quarterly Data'!G:G)</f>
        <v>0</v>
      </c>
      <c r="F284">
        <f>SUMIF('Quarterly Data'!$B:$B,'Annual Data'!$A284,'Quarterly Data'!H:H)</f>
        <v>0</v>
      </c>
      <c r="G284">
        <f>SUMIF('Quarterly Data'!$B:$B,'Annual Data'!$A284,'Quarterly Data'!I:I)</f>
        <v>0</v>
      </c>
      <c r="H284">
        <f>SUMIF('Quarterly Data'!$B:$B,'Annual Data'!$A284,'Quarterly Data'!J:J)</f>
        <v>0</v>
      </c>
      <c r="I284">
        <f>SUMIF('Quarterly Data'!$B:$B,'Annual Data'!$A284,'Quarterly Data'!K:K)</f>
        <v>0</v>
      </c>
      <c r="J284">
        <f>SUMIF('Quarterly Data'!$B:$B,'Annual Data'!$A284,'Quarterly Data'!L:L)</f>
        <v>0</v>
      </c>
      <c r="K284" t="e">
        <f>AVERAGEIF('Quarterly Data'!$B:$B,'Annual Data'!$A284,'Quarterly Data'!M:M)</f>
        <v>#DIV/0!</v>
      </c>
      <c r="L284" t="e">
        <f>AVERAGEIF('Quarterly Data'!$B:$B,'Annual Data'!$A284,'Quarterly Data'!N:N)</f>
        <v>#DIV/0!</v>
      </c>
      <c r="M284" t="e">
        <f>AVERAGEIF('Quarterly Data'!$B:$B,'Annual Data'!$A284,'Quarterly Data'!O:O)</f>
        <v>#DIV/0!</v>
      </c>
      <c r="N284" t="e">
        <f>AVERAGEIF('Quarterly Data'!$B:$B,'Annual Data'!$A284,'Quarterly Data'!P:P)</f>
        <v>#DIV/0!</v>
      </c>
      <c r="O284" t="e">
        <f>AVERAGEIF('Quarterly Data'!$B:$B,'Annual Data'!$A284,'Quarterly Data'!Q:Q)</f>
        <v>#DIV/0!</v>
      </c>
      <c r="P284">
        <f>SUMIF('Quarterly Data'!$B:$B,'Annual Data'!$A284,'Quarterly Data'!R:R)</f>
        <v>0</v>
      </c>
      <c r="Q284">
        <f>SUMIF('Quarterly Data'!$B:$B,'Annual Data'!$A284,'Quarterly Data'!S:S)</f>
        <v>0</v>
      </c>
      <c r="R284" t="e">
        <f>AVERAGEIF('Quarterly Data'!$B:$B,'Annual Data'!$A284,'Quarterly Data'!T:T)</f>
        <v>#DIV/0!</v>
      </c>
      <c r="S284">
        <f>SUMIF('Quarterly Data'!$B:$B,'Annual Data'!$A284,'Quarterly Data'!U:U)</f>
        <v>0</v>
      </c>
      <c r="T284">
        <f>SUMIF('Quarterly Data'!$B:$B,'Annual Data'!$A284,'Quarterly Data'!V:V)</f>
        <v>0</v>
      </c>
      <c r="U284">
        <f>SUMIF('Quarterly Data'!$B:$B,'Annual Data'!$A284,'Quarterly Data'!W:W)</f>
        <v>0</v>
      </c>
      <c r="V284">
        <f>SUMIF('Quarterly Data'!$B:$B,'Annual Data'!$A284,'Quarterly Data'!X:X)</f>
        <v>0</v>
      </c>
      <c r="W284">
        <f>SUMIF('Quarterly Data'!$B:$B,'Annual Data'!$A284,'Quarterly Data'!Y:Y)</f>
        <v>0</v>
      </c>
      <c r="X284">
        <f>SUMIF('Quarterly Data'!$B:$B,'Annual Data'!$A284,'Quarterly Data'!Z:Z)</f>
        <v>0</v>
      </c>
      <c r="Y284">
        <f>SUMIF('Quarterly Data'!$B:$B,'Annual Data'!$A284,'Quarterly Data'!AA:AA)</f>
        <v>0</v>
      </c>
      <c r="Z284" t="e">
        <f>AVERAGEIF('Quarterly Data'!$B:$B,'Annual Data'!$A284,'Quarterly Data'!AB:AB)</f>
        <v>#DIV/0!</v>
      </c>
      <c r="AA284" t="e">
        <f>AVERAGEIF('Quarterly Data'!$B:$B,'Annual Data'!$A284,'Quarterly Data'!AC:AC)</f>
        <v>#DIV/0!</v>
      </c>
      <c r="AB284" t="e">
        <f>AVERAGEIF('Quarterly Data'!$B:$B,'Annual Data'!$A284,'Quarterly Data'!AD:AD)</f>
        <v>#DIV/0!</v>
      </c>
      <c r="AC284" t="e">
        <f>AVERAGEIF('Quarterly Data'!$B:$B,'Annual Data'!$A284,'Quarterly Data'!AE:AE)</f>
        <v>#DIV/0!</v>
      </c>
      <c r="AD284" t="e">
        <f>AVERAGEIF('Quarterly Data'!$B:$B,'Annual Data'!$A284,'Quarterly Data'!AF:AF)</f>
        <v>#DIV/0!</v>
      </c>
      <c r="AE284">
        <f>SUMIF('Quarterly Data'!$B:$B,'Annual Data'!$A284,'Quarterly Data'!AG:AG)</f>
        <v>0</v>
      </c>
    </row>
    <row r="285" spans="1:31" x14ac:dyDescent="0.25">
      <c r="A285">
        <v>2251</v>
      </c>
      <c r="B285">
        <f>SUMIF('Quarterly Data'!$B:$B,'Annual Data'!$A285,'Quarterly Data'!D:D)</f>
        <v>0</v>
      </c>
      <c r="C285" t="e">
        <f>AVERAGEIF('Quarterly Data'!$B:$B,'Annual Data'!$A285,'Quarterly Data'!E:E)</f>
        <v>#DIV/0!</v>
      </c>
      <c r="D285">
        <f>SUMIF('Quarterly Data'!$B:$B,'Annual Data'!$A285,'Quarterly Data'!F:F)</f>
        <v>0</v>
      </c>
      <c r="E285">
        <f>SUMIF('Quarterly Data'!$B:$B,'Annual Data'!$A285,'Quarterly Data'!G:G)</f>
        <v>0</v>
      </c>
      <c r="F285">
        <f>SUMIF('Quarterly Data'!$B:$B,'Annual Data'!$A285,'Quarterly Data'!H:H)</f>
        <v>0</v>
      </c>
      <c r="G285">
        <f>SUMIF('Quarterly Data'!$B:$B,'Annual Data'!$A285,'Quarterly Data'!I:I)</f>
        <v>0</v>
      </c>
      <c r="H285">
        <f>SUMIF('Quarterly Data'!$B:$B,'Annual Data'!$A285,'Quarterly Data'!J:J)</f>
        <v>0</v>
      </c>
      <c r="I285">
        <f>SUMIF('Quarterly Data'!$B:$B,'Annual Data'!$A285,'Quarterly Data'!K:K)</f>
        <v>0</v>
      </c>
      <c r="J285">
        <f>SUMIF('Quarterly Data'!$B:$B,'Annual Data'!$A285,'Quarterly Data'!L:L)</f>
        <v>0</v>
      </c>
      <c r="K285" t="e">
        <f>AVERAGEIF('Quarterly Data'!$B:$B,'Annual Data'!$A285,'Quarterly Data'!M:M)</f>
        <v>#DIV/0!</v>
      </c>
      <c r="L285" t="e">
        <f>AVERAGEIF('Quarterly Data'!$B:$B,'Annual Data'!$A285,'Quarterly Data'!N:N)</f>
        <v>#DIV/0!</v>
      </c>
      <c r="M285" t="e">
        <f>AVERAGEIF('Quarterly Data'!$B:$B,'Annual Data'!$A285,'Quarterly Data'!O:O)</f>
        <v>#DIV/0!</v>
      </c>
      <c r="N285" t="e">
        <f>AVERAGEIF('Quarterly Data'!$B:$B,'Annual Data'!$A285,'Quarterly Data'!P:P)</f>
        <v>#DIV/0!</v>
      </c>
      <c r="O285" t="e">
        <f>AVERAGEIF('Quarterly Data'!$B:$B,'Annual Data'!$A285,'Quarterly Data'!Q:Q)</f>
        <v>#DIV/0!</v>
      </c>
      <c r="P285">
        <f>SUMIF('Quarterly Data'!$B:$B,'Annual Data'!$A285,'Quarterly Data'!R:R)</f>
        <v>0</v>
      </c>
      <c r="Q285">
        <f>SUMIF('Quarterly Data'!$B:$B,'Annual Data'!$A285,'Quarterly Data'!S:S)</f>
        <v>0</v>
      </c>
      <c r="R285" t="e">
        <f>AVERAGEIF('Quarterly Data'!$B:$B,'Annual Data'!$A285,'Quarterly Data'!T:T)</f>
        <v>#DIV/0!</v>
      </c>
      <c r="S285">
        <f>SUMIF('Quarterly Data'!$B:$B,'Annual Data'!$A285,'Quarterly Data'!U:U)</f>
        <v>0</v>
      </c>
      <c r="T285">
        <f>SUMIF('Quarterly Data'!$B:$B,'Annual Data'!$A285,'Quarterly Data'!V:V)</f>
        <v>0</v>
      </c>
      <c r="U285">
        <f>SUMIF('Quarterly Data'!$B:$B,'Annual Data'!$A285,'Quarterly Data'!W:W)</f>
        <v>0</v>
      </c>
      <c r="V285">
        <f>SUMIF('Quarterly Data'!$B:$B,'Annual Data'!$A285,'Quarterly Data'!X:X)</f>
        <v>0</v>
      </c>
      <c r="W285">
        <f>SUMIF('Quarterly Data'!$B:$B,'Annual Data'!$A285,'Quarterly Data'!Y:Y)</f>
        <v>0</v>
      </c>
      <c r="X285">
        <f>SUMIF('Quarterly Data'!$B:$B,'Annual Data'!$A285,'Quarterly Data'!Z:Z)</f>
        <v>0</v>
      </c>
      <c r="Y285">
        <f>SUMIF('Quarterly Data'!$B:$B,'Annual Data'!$A285,'Quarterly Data'!AA:AA)</f>
        <v>0</v>
      </c>
      <c r="Z285" t="e">
        <f>AVERAGEIF('Quarterly Data'!$B:$B,'Annual Data'!$A285,'Quarterly Data'!AB:AB)</f>
        <v>#DIV/0!</v>
      </c>
      <c r="AA285" t="e">
        <f>AVERAGEIF('Quarterly Data'!$B:$B,'Annual Data'!$A285,'Quarterly Data'!AC:AC)</f>
        <v>#DIV/0!</v>
      </c>
      <c r="AB285" t="e">
        <f>AVERAGEIF('Quarterly Data'!$B:$B,'Annual Data'!$A285,'Quarterly Data'!AD:AD)</f>
        <v>#DIV/0!</v>
      </c>
      <c r="AC285" t="e">
        <f>AVERAGEIF('Quarterly Data'!$B:$B,'Annual Data'!$A285,'Quarterly Data'!AE:AE)</f>
        <v>#DIV/0!</v>
      </c>
      <c r="AD285" t="e">
        <f>AVERAGEIF('Quarterly Data'!$B:$B,'Annual Data'!$A285,'Quarterly Data'!AF:AF)</f>
        <v>#DIV/0!</v>
      </c>
      <c r="AE285">
        <f>SUMIF('Quarterly Data'!$B:$B,'Annual Data'!$A285,'Quarterly Data'!AG:AG)</f>
        <v>0</v>
      </c>
    </row>
    <row r="286" spans="1:31" x14ac:dyDescent="0.25">
      <c r="A286">
        <v>2252</v>
      </c>
      <c r="B286">
        <f>SUMIF('Quarterly Data'!$B:$B,'Annual Data'!$A286,'Quarterly Data'!D:D)</f>
        <v>0</v>
      </c>
      <c r="C286" t="e">
        <f>AVERAGEIF('Quarterly Data'!$B:$B,'Annual Data'!$A286,'Quarterly Data'!E:E)</f>
        <v>#DIV/0!</v>
      </c>
      <c r="D286">
        <f>SUMIF('Quarterly Data'!$B:$B,'Annual Data'!$A286,'Quarterly Data'!F:F)</f>
        <v>0</v>
      </c>
      <c r="E286">
        <f>SUMIF('Quarterly Data'!$B:$B,'Annual Data'!$A286,'Quarterly Data'!G:G)</f>
        <v>0</v>
      </c>
      <c r="F286">
        <f>SUMIF('Quarterly Data'!$B:$B,'Annual Data'!$A286,'Quarterly Data'!H:H)</f>
        <v>0</v>
      </c>
      <c r="G286">
        <f>SUMIF('Quarterly Data'!$B:$B,'Annual Data'!$A286,'Quarterly Data'!I:I)</f>
        <v>0</v>
      </c>
      <c r="H286">
        <f>SUMIF('Quarterly Data'!$B:$B,'Annual Data'!$A286,'Quarterly Data'!J:J)</f>
        <v>0</v>
      </c>
      <c r="I286">
        <f>SUMIF('Quarterly Data'!$B:$B,'Annual Data'!$A286,'Quarterly Data'!K:K)</f>
        <v>0</v>
      </c>
      <c r="J286">
        <f>SUMIF('Quarterly Data'!$B:$B,'Annual Data'!$A286,'Quarterly Data'!L:L)</f>
        <v>0</v>
      </c>
      <c r="K286" t="e">
        <f>AVERAGEIF('Quarterly Data'!$B:$B,'Annual Data'!$A286,'Quarterly Data'!M:M)</f>
        <v>#DIV/0!</v>
      </c>
      <c r="L286" t="e">
        <f>AVERAGEIF('Quarterly Data'!$B:$B,'Annual Data'!$A286,'Quarterly Data'!N:N)</f>
        <v>#DIV/0!</v>
      </c>
      <c r="M286" t="e">
        <f>AVERAGEIF('Quarterly Data'!$B:$B,'Annual Data'!$A286,'Quarterly Data'!O:O)</f>
        <v>#DIV/0!</v>
      </c>
      <c r="N286" t="e">
        <f>AVERAGEIF('Quarterly Data'!$B:$B,'Annual Data'!$A286,'Quarterly Data'!P:P)</f>
        <v>#DIV/0!</v>
      </c>
      <c r="O286" t="e">
        <f>AVERAGEIF('Quarterly Data'!$B:$B,'Annual Data'!$A286,'Quarterly Data'!Q:Q)</f>
        <v>#DIV/0!</v>
      </c>
      <c r="P286">
        <f>SUMIF('Quarterly Data'!$B:$B,'Annual Data'!$A286,'Quarterly Data'!R:R)</f>
        <v>0</v>
      </c>
      <c r="Q286">
        <f>SUMIF('Quarterly Data'!$B:$B,'Annual Data'!$A286,'Quarterly Data'!S:S)</f>
        <v>0</v>
      </c>
      <c r="R286" t="e">
        <f>AVERAGEIF('Quarterly Data'!$B:$B,'Annual Data'!$A286,'Quarterly Data'!T:T)</f>
        <v>#DIV/0!</v>
      </c>
      <c r="S286">
        <f>SUMIF('Quarterly Data'!$B:$B,'Annual Data'!$A286,'Quarterly Data'!U:U)</f>
        <v>0</v>
      </c>
      <c r="T286">
        <f>SUMIF('Quarterly Data'!$B:$B,'Annual Data'!$A286,'Quarterly Data'!V:V)</f>
        <v>0</v>
      </c>
      <c r="U286">
        <f>SUMIF('Quarterly Data'!$B:$B,'Annual Data'!$A286,'Quarterly Data'!W:W)</f>
        <v>0</v>
      </c>
      <c r="V286">
        <f>SUMIF('Quarterly Data'!$B:$B,'Annual Data'!$A286,'Quarterly Data'!X:X)</f>
        <v>0</v>
      </c>
      <c r="W286">
        <f>SUMIF('Quarterly Data'!$B:$B,'Annual Data'!$A286,'Quarterly Data'!Y:Y)</f>
        <v>0</v>
      </c>
      <c r="X286">
        <f>SUMIF('Quarterly Data'!$B:$B,'Annual Data'!$A286,'Quarterly Data'!Z:Z)</f>
        <v>0</v>
      </c>
      <c r="Y286">
        <f>SUMIF('Quarterly Data'!$B:$B,'Annual Data'!$A286,'Quarterly Data'!AA:AA)</f>
        <v>0</v>
      </c>
      <c r="Z286" t="e">
        <f>AVERAGEIF('Quarterly Data'!$B:$B,'Annual Data'!$A286,'Quarterly Data'!AB:AB)</f>
        <v>#DIV/0!</v>
      </c>
      <c r="AA286" t="e">
        <f>AVERAGEIF('Quarterly Data'!$B:$B,'Annual Data'!$A286,'Quarterly Data'!AC:AC)</f>
        <v>#DIV/0!</v>
      </c>
      <c r="AB286" t="e">
        <f>AVERAGEIF('Quarterly Data'!$B:$B,'Annual Data'!$A286,'Quarterly Data'!AD:AD)</f>
        <v>#DIV/0!</v>
      </c>
      <c r="AC286" t="e">
        <f>AVERAGEIF('Quarterly Data'!$B:$B,'Annual Data'!$A286,'Quarterly Data'!AE:AE)</f>
        <v>#DIV/0!</v>
      </c>
      <c r="AD286" t="e">
        <f>AVERAGEIF('Quarterly Data'!$B:$B,'Annual Data'!$A286,'Quarterly Data'!AF:AF)</f>
        <v>#DIV/0!</v>
      </c>
      <c r="AE286">
        <f>SUMIF('Quarterly Data'!$B:$B,'Annual Data'!$A286,'Quarterly Data'!AG:AG)</f>
        <v>0</v>
      </c>
    </row>
    <row r="287" spans="1:31" x14ac:dyDescent="0.25">
      <c r="A287">
        <v>2253</v>
      </c>
      <c r="B287">
        <f>SUMIF('Quarterly Data'!$B:$B,'Annual Data'!$A287,'Quarterly Data'!D:D)</f>
        <v>0</v>
      </c>
      <c r="C287" t="e">
        <f>AVERAGEIF('Quarterly Data'!$B:$B,'Annual Data'!$A287,'Quarterly Data'!E:E)</f>
        <v>#DIV/0!</v>
      </c>
      <c r="D287">
        <f>SUMIF('Quarterly Data'!$B:$B,'Annual Data'!$A287,'Quarterly Data'!F:F)</f>
        <v>0</v>
      </c>
      <c r="E287">
        <f>SUMIF('Quarterly Data'!$B:$B,'Annual Data'!$A287,'Quarterly Data'!G:G)</f>
        <v>0</v>
      </c>
      <c r="F287">
        <f>SUMIF('Quarterly Data'!$B:$B,'Annual Data'!$A287,'Quarterly Data'!H:H)</f>
        <v>0</v>
      </c>
      <c r="G287">
        <f>SUMIF('Quarterly Data'!$B:$B,'Annual Data'!$A287,'Quarterly Data'!I:I)</f>
        <v>0</v>
      </c>
      <c r="H287">
        <f>SUMIF('Quarterly Data'!$B:$B,'Annual Data'!$A287,'Quarterly Data'!J:J)</f>
        <v>0</v>
      </c>
      <c r="I287">
        <f>SUMIF('Quarterly Data'!$B:$B,'Annual Data'!$A287,'Quarterly Data'!K:K)</f>
        <v>0</v>
      </c>
      <c r="J287">
        <f>SUMIF('Quarterly Data'!$B:$B,'Annual Data'!$A287,'Quarterly Data'!L:L)</f>
        <v>0</v>
      </c>
      <c r="K287" t="e">
        <f>AVERAGEIF('Quarterly Data'!$B:$B,'Annual Data'!$A287,'Quarterly Data'!M:M)</f>
        <v>#DIV/0!</v>
      </c>
      <c r="L287" t="e">
        <f>AVERAGEIF('Quarterly Data'!$B:$B,'Annual Data'!$A287,'Quarterly Data'!N:N)</f>
        <v>#DIV/0!</v>
      </c>
      <c r="M287" t="e">
        <f>AVERAGEIF('Quarterly Data'!$B:$B,'Annual Data'!$A287,'Quarterly Data'!O:O)</f>
        <v>#DIV/0!</v>
      </c>
      <c r="N287" t="e">
        <f>AVERAGEIF('Quarterly Data'!$B:$B,'Annual Data'!$A287,'Quarterly Data'!P:P)</f>
        <v>#DIV/0!</v>
      </c>
      <c r="O287" t="e">
        <f>AVERAGEIF('Quarterly Data'!$B:$B,'Annual Data'!$A287,'Quarterly Data'!Q:Q)</f>
        <v>#DIV/0!</v>
      </c>
      <c r="P287">
        <f>SUMIF('Quarterly Data'!$B:$B,'Annual Data'!$A287,'Quarterly Data'!R:R)</f>
        <v>0</v>
      </c>
      <c r="Q287">
        <f>SUMIF('Quarterly Data'!$B:$B,'Annual Data'!$A287,'Quarterly Data'!S:S)</f>
        <v>0</v>
      </c>
      <c r="R287" t="e">
        <f>AVERAGEIF('Quarterly Data'!$B:$B,'Annual Data'!$A287,'Quarterly Data'!T:T)</f>
        <v>#DIV/0!</v>
      </c>
      <c r="S287">
        <f>SUMIF('Quarterly Data'!$B:$B,'Annual Data'!$A287,'Quarterly Data'!U:U)</f>
        <v>0</v>
      </c>
      <c r="T287">
        <f>SUMIF('Quarterly Data'!$B:$B,'Annual Data'!$A287,'Quarterly Data'!V:V)</f>
        <v>0</v>
      </c>
      <c r="U287">
        <f>SUMIF('Quarterly Data'!$B:$B,'Annual Data'!$A287,'Quarterly Data'!W:W)</f>
        <v>0</v>
      </c>
      <c r="V287">
        <f>SUMIF('Quarterly Data'!$B:$B,'Annual Data'!$A287,'Quarterly Data'!X:X)</f>
        <v>0</v>
      </c>
      <c r="W287">
        <f>SUMIF('Quarterly Data'!$B:$B,'Annual Data'!$A287,'Quarterly Data'!Y:Y)</f>
        <v>0</v>
      </c>
      <c r="X287">
        <f>SUMIF('Quarterly Data'!$B:$B,'Annual Data'!$A287,'Quarterly Data'!Z:Z)</f>
        <v>0</v>
      </c>
      <c r="Y287">
        <f>SUMIF('Quarterly Data'!$B:$B,'Annual Data'!$A287,'Quarterly Data'!AA:AA)</f>
        <v>0</v>
      </c>
      <c r="Z287" t="e">
        <f>AVERAGEIF('Quarterly Data'!$B:$B,'Annual Data'!$A287,'Quarterly Data'!AB:AB)</f>
        <v>#DIV/0!</v>
      </c>
      <c r="AA287" t="e">
        <f>AVERAGEIF('Quarterly Data'!$B:$B,'Annual Data'!$A287,'Quarterly Data'!AC:AC)</f>
        <v>#DIV/0!</v>
      </c>
      <c r="AB287" t="e">
        <f>AVERAGEIF('Quarterly Data'!$B:$B,'Annual Data'!$A287,'Quarterly Data'!AD:AD)</f>
        <v>#DIV/0!</v>
      </c>
      <c r="AC287" t="e">
        <f>AVERAGEIF('Quarterly Data'!$B:$B,'Annual Data'!$A287,'Quarterly Data'!AE:AE)</f>
        <v>#DIV/0!</v>
      </c>
      <c r="AD287" t="e">
        <f>AVERAGEIF('Quarterly Data'!$B:$B,'Annual Data'!$A287,'Quarterly Data'!AF:AF)</f>
        <v>#DIV/0!</v>
      </c>
      <c r="AE287">
        <f>SUMIF('Quarterly Data'!$B:$B,'Annual Data'!$A287,'Quarterly Data'!AG:AG)</f>
        <v>0</v>
      </c>
    </row>
    <row r="288" spans="1:31" x14ac:dyDescent="0.25">
      <c r="A288">
        <v>2254</v>
      </c>
      <c r="B288">
        <f>SUMIF('Quarterly Data'!$B:$B,'Annual Data'!$A288,'Quarterly Data'!D:D)</f>
        <v>0</v>
      </c>
      <c r="C288" t="e">
        <f>AVERAGEIF('Quarterly Data'!$B:$B,'Annual Data'!$A288,'Quarterly Data'!E:E)</f>
        <v>#DIV/0!</v>
      </c>
      <c r="D288">
        <f>SUMIF('Quarterly Data'!$B:$B,'Annual Data'!$A288,'Quarterly Data'!F:F)</f>
        <v>0</v>
      </c>
      <c r="E288">
        <f>SUMIF('Quarterly Data'!$B:$B,'Annual Data'!$A288,'Quarterly Data'!G:G)</f>
        <v>0</v>
      </c>
      <c r="F288">
        <f>SUMIF('Quarterly Data'!$B:$B,'Annual Data'!$A288,'Quarterly Data'!H:H)</f>
        <v>0</v>
      </c>
      <c r="G288">
        <f>SUMIF('Quarterly Data'!$B:$B,'Annual Data'!$A288,'Quarterly Data'!I:I)</f>
        <v>0</v>
      </c>
      <c r="H288">
        <f>SUMIF('Quarterly Data'!$B:$B,'Annual Data'!$A288,'Quarterly Data'!J:J)</f>
        <v>0</v>
      </c>
      <c r="I288">
        <f>SUMIF('Quarterly Data'!$B:$B,'Annual Data'!$A288,'Quarterly Data'!K:K)</f>
        <v>0</v>
      </c>
      <c r="J288">
        <f>SUMIF('Quarterly Data'!$B:$B,'Annual Data'!$A288,'Quarterly Data'!L:L)</f>
        <v>0</v>
      </c>
      <c r="K288" t="e">
        <f>AVERAGEIF('Quarterly Data'!$B:$B,'Annual Data'!$A288,'Quarterly Data'!M:M)</f>
        <v>#DIV/0!</v>
      </c>
      <c r="L288" t="e">
        <f>AVERAGEIF('Quarterly Data'!$B:$B,'Annual Data'!$A288,'Quarterly Data'!N:N)</f>
        <v>#DIV/0!</v>
      </c>
      <c r="M288" t="e">
        <f>AVERAGEIF('Quarterly Data'!$B:$B,'Annual Data'!$A288,'Quarterly Data'!O:O)</f>
        <v>#DIV/0!</v>
      </c>
      <c r="N288" t="e">
        <f>AVERAGEIF('Quarterly Data'!$B:$B,'Annual Data'!$A288,'Quarterly Data'!P:P)</f>
        <v>#DIV/0!</v>
      </c>
      <c r="O288" t="e">
        <f>AVERAGEIF('Quarterly Data'!$B:$B,'Annual Data'!$A288,'Quarterly Data'!Q:Q)</f>
        <v>#DIV/0!</v>
      </c>
      <c r="P288">
        <f>SUMIF('Quarterly Data'!$B:$B,'Annual Data'!$A288,'Quarterly Data'!R:R)</f>
        <v>0</v>
      </c>
      <c r="Q288">
        <f>SUMIF('Quarterly Data'!$B:$B,'Annual Data'!$A288,'Quarterly Data'!S:S)</f>
        <v>0</v>
      </c>
      <c r="R288" t="e">
        <f>AVERAGEIF('Quarterly Data'!$B:$B,'Annual Data'!$A288,'Quarterly Data'!T:T)</f>
        <v>#DIV/0!</v>
      </c>
      <c r="S288">
        <f>SUMIF('Quarterly Data'!$B:$B,'Annual Data'!$A288,'Quarterly Data'!U:U)</f>
        <v>0</v>
      </c>
      <c r="T288">
        <f>SUMIF('Quarterly Data'!$B:$B,'Annual Data'!$A288,'Quarterly Data'!V:V)</f>
        <v>0</v>
      </c>
      <c r="U288">
        <f>SUMIF('Quarterly Data'!$B:$B,'Annual Data'!$A288,'Quarterly Data'!W:W)</f>
        <v>0</v>
      </c>
      <c r="V288">
        <f>SUMIF('Quarterly Data'!$B:$B,'Annual Data'!$A288,'Quarterly Data'!X:X)</f>
        <v>0</v>
      </c>
      <c r="W288">
        <f>SUMIF('Quarterly Data'!$B:$B,'Annual Data'!$A288,'Quarterly Data'!Y:Y)</f>
        <v>0</v>
      </c>
      <c r="X288">
        <f>SUMIF('Quarterly Data'!$B:$B,'Annual Data'!$A288,'Quarterly Data'!Z:Z)</f>
        <v>0</v>
      </c>
      <c r="Y288">
        <f>SUMIF('Quarterly Data'!$B:$B,'Annual Data'!$A288,'Quarterly Data'!AA:AA)</f>
        <v>0</v>
      </c>
      <c r="Z288" t="e">
        <f>AVERAGEIF('Quarterly Data'!$B:$B,'Annual Data'!$A288,'Quarterly Data'!AB:AB)</f>
        <v>#DIV/0!</v>
      </c>
      <c r="AA288" t="e">
        <f>AVERAGEIF('Quarterly Data'!$B:$B,'Annual Data'!$A288,'Quarterly Data'!AC:AC)</f>
        <v>#DIV/0!</v>
      </c>
      <c r="AB288" t="e">
        <f>AVERAGEIF('Quarterly Data'!$B:$B,'Annual Data'!$A288,'Quarterly Data'!AD:AD)</f>
        <v>#DIV/0!</v>
      </c>
      <c r="AC288" t="e">
        <f>AVERAGEIF('Quarterly Data'!$B:$B,'Annual Data'!$A288,'Quarterly Data'!AE:AE)</f>
        <v>#DIV/0!</v>
      </c>
      <c r="AD288" t="e">
        <f>AVERAGEIF('Quarterly Data'!$B:$B,'Annual Data'!$A288,'Quarterly Data'!AF:AF)</f>
        <v>#DIV/0!</v>
      </c>
      <c r="AE288">
        <f>SUMIF('Quarterly Data'!$B:$B,'Annual Data'!$A288,'Quarterly Data'!AG:AG)</f>
        <v>0</v>
      </c>
    </row>
    <row r="289" spans="1:31" x14ac:dyDescent="0.25">
      <c r="A289">
        <v>2255</v>
      </c>
      <c r="B289">
        <f>SUMIF('Quarterly Data'!$B:$B,'Annual Data'!$A289,'Quarterly Data'!D:D)</f>
        <v>0</v>
      </c>
      <c r="C289" t="e">
        <f>AVERAGEIF('Quarterly Data'!$B:$B,'Annual Data'!$A289,'Quarterly Data'!E:E)</f>
        <v>#DIV/0!</v>
      </c>
      <c r="D289">
        <f>SUMIF('Quarterly Data'!$B:$B,'Annual Data'!$A289,'Quarterly Data'!F:F)</f>
        <v>0</v>
      </c>
      <c r="E289">
        <f>SUMIF('Quarterly Data'!$B:$B,'Annual Data'!$A289,'Quarterly Data'!G:G)</f>
        <v>0</v>
      </c>
      <c r="F289">
        <f>SUMIF('Quarterly Data'!$B:$B,'Annual Data'!$A289,'Quarterly Data'!H:H)</f>
        <v>0</v>
      </c>
      <c r="G289">
        <f>SUMIF('Quarterly Data'!$B:$B,'Annual Data'!$A289,'Quarterly Data'!I:I)</f>
        <v>0</v>
      </c>
      <c r="H289">
        <f>SUMIF('Quarterly Data'!$B:$B,'Annual Data'!$A289,'Quarterly Data'!J:J)</f>
        <v>0</v>
      </c>
      <c r="I289">
        <f>SUMIF('Quarterly Data'!$B:$B,'Annual Data'!$A289,'Quarterly Data'!K:K)</f>
        <v>0</v>
      </c>
      <c r="J289">
        <f>SUMIF('Quarterly Data'!$B:$B,'Annual Data'!$A289,'Quarterly Data'!L:L)</f>
        <v>0</v>
      </c>
      <c r="K289" t="e">
        <f>AVERAGEIF('Quarterly Data'!$B:$B,'Annual Data'!$A289,'Quarterly Data'!M:M)</f>
        <v>#DIV/0!</v>
      </c>
      <c r="L289" t="e">
        <f>AVERAGEIF('Quarterly Data'!$B:$B,'Annual Data'!$A289,'Quarterly Data'!N:N)</f>
        <v>#DIV/0!</v>
      </c>
      <c r="M289" t="e">
        <f>AVERAGEIF('Quarterly Data'!$B:$B,'Annual Data'!$A289,'Quarterly Data'!O:O)</f>
        <v>#DIV/0!</v>
      </c>
      <c r="N289" t="e">
        <f>AVERAGEIF('Quarterly Data'!$B:$B,'Annual Data'!$A289,'Quarterly Data'!P:P)</f>
        <v>#DIV/0!</v>
      </c>
      <c r="O289" t="e">
        <f>AVERAGEIF('Quarterly Data'!$B:$B,'Annual Data'!$A289,'Quarterly Data'!Q:Q)</f>
        <v>#DIV/0!</v>
      </c>
      <c r="P289">
        <f>SUMIF('Quarterly Data'!$B:$B,'Annual Data'!$A289,'Quarterly Data'!R:R)</f>
        <v>0</v>
      </c>
      <c r="Q289">
        <f>SUMIF('Quarterly Data'!$B:$B,'Annual Data'!$A289,'Quarterly Data'!S:S)</f>
        <v>0</v>
      </c>
      <c r="R289" t="e">
        <f>AVERAGEIF('Quarterly Data'!$B:$B,'Annual Data'!$A289,'Quarterly Data'!T:T)</f>
        <v>#DIV/0!</v>
      </c>
      <c r="S289">
        <f>SUMIF('Quarterly Data'!$B:$B,'Annual Data'!$A289,'Quarterly Data'!U:U)</f>
        <v>0</v>
      </c>
      <c r="T289">
        <f>SUMIF('Quarterly Data'!$B:$B,'Annual Data'!$A289,'Quarterly Data'!V:V)</f>
        <v>0</v>
      </c>
      <c r="U289">
        <f>SUMIF('Quarterly Data'!$B:$B,'Annual Data'!$A289,'Quarterly Data'!W:W)</f>
        <v>0</v>
      </c>
      <c r="V289">
        <f>SUMIF('Quarterly Data'!$B:$B,'Annual Data'!$A289,'Quarterly Data'!X:X)</f>
        <v>0</v>
      </c>
      <c r="W289">
        <f>SUMIF('Quarterly Data'!$B:$B,'Annual Data'!$A289,'Quarterly Data'!Y:Y)</f>
        <v>0</v>
      </c>
      <c r="X289">
        <f>SUMIF('Quarterly Data'!$B:$B,'Annual Data'!$A289,'Quarterly Data'!Z:Z)</f>
        <v>0</v>
      </c>
      <c r="Y289">
        <f>SUMIF('Quarterly Data'!$B:$B,'Annual Data'!$A289,'Quarterly Data'!AA:AA)</f>
        <v>0</v>
      </c>
      <c r="Z289" t="e">
        <f>AVERAGEIF('Quarterly Data'!$B:$B,'Annual Data'!$A289,'Quarterly Data'!AB:AB)</f>
        <v>#DIV/0!</v>
      </c>
      <c r="AA289" t="e">
        <f>AVERAGEIF('Quarterly Data'!$B:$B,'Annual Data'!$A289,'Quarterly Data'!AC:AC)</f>
        <v>#DIV/0!</v>
      </c>
      <c r="AB289" t="e">
        <f>AVERAGEIF('Quarterly Data'!$B:$B,'Annual Data'!$A289,'Quarterly Data'!AD:AD)</f>
        <v>#DIV/0!</v>
      </c>
      <c r="AC289" t="e">
        <f>AVERAGEIF('Quarterly Data'!$B:$B,'Annual Data'!$A289,'Quarterly Data'!AE:AE)</f>
        <v>#DIV/0!</v>
      </c>
      <c r="AD289" t="e">
        <f>AVERAGEIF('Quarterly Data'!$B:$B,'Annual Data'!$A289,'Quarterly Data'!AF:AF)</f>
        <v>#DIV/0!</v>
      </c>
      <c r="AE289">
        <f>SUMIF('Quarterly Data'!$B:$B,'Annual Data'!$A289,'Quarterly Data'!AG:AG)</f>
        <v>0</v>
      </c>
    </row>
    <row r="290" spans="1:31" x14ac:dyDescent="0.25">
      <c r="A290">
        <v>2256</v>
      </c>
      <c r="B290">
        <f>SUMIF('Quarterly Data'!$B:$B,'Annual Data'!$A290,'Quarterly Data'!D:D)</f>
        <v>0</v>
      </c>
      <c r="C290" t="e">
        <f>AVERAGEIF('Quarterly Data'!$B:$B,'Annual Data'!$A290,'Quarterly Data'!E:E)</f>
        <v>#DIV/0!</v>
      </c>
      <c r="D290">
        <f>SUMIF('Quarterly Data'!$B:$B,'Annual Data'!$A290,'Quarterly Data'!F:F)</f>
        <v>0</v>
      </c>
      <c r="E290">
        <f>SUMIF('Quarterly Data'!$B:$B,'Annual Data'!$A290,'Quarterly Data'!G:G)</f>
        <v>0</v>
      </c>
      <c r="F290">
        <f>SUMIF('Quarterly Data'!$B:$B,'Annual Data'!$A290,'Quarterly Data'!H:H)</f>
        <v>0</v>
      </c>
      <c r="G290">
        <f>SUMIF('Quarterly Data'!$B:$B,'Annual Data'!$A290,'Quarterly Data'!I:I)</f>
        <v>0</v>
      </c>
      <c r="H290">
        <f>SUMIF('Quarterly Data'!$B:$B,'Annual Data'!$A290,'Quarterly Data'!J:J)</f>
        <v>0</v>
      </c>
      <c r="I290">
        <f>SUMIF('Quarterly Data'!$B:$B,'Annual Data'!$A290,'Quarterly Data'!K:K)</f>
        <v>0</v>
      </c>
      <c r="J290">
        <f>SUMIF('Quarterly Data'!$B:$B,'Annual Data'!$A290,'Quarterly Data'!L:L)</f>
        <v>0</v>
      </c>
      <c r="K290" t="e">
        <f>AVERAGEIF('Quarterly Data'!$B:$B,'Annual Data'!$A290,'Quarterly Data'!M:M)</f>
        <v>#DIV/0!</v>
      </c>
      <c r="L290" t="e">
        <f>AVERAGEIF('Quarterly Data'!$B:$B,'Annual Data'!$A290,'Quarterly Data'!N:N)</f>
        <v>#DIV/0!</v>
      </c>
      <c r="M290" t="e">
        <f>AVERAGEIF('Quarterly Data'!$B:$B,'Annual Data'!$A290,'Quarterly Data'!O:O)</f>
        <v>#DIV/0!</v>
      </c>
      <c r="N290" t="e">
        <f>AVERAGEIF('Quarterly Data'!$B:$B,'Annual Data'!$A290,'Quarterly Data'!P:P)</f>
        <v>#DIV/0!</v>
      </c>
      <c r="O290" t="e">
        <f>AVERAGEIF('Quarterly Data'!$B:$B,'Annual Data'!$A290,'Quarterly Data'!Q:Q)</f>
        <v>#DIV/0!</v>
      </c>
      <c r="P290">
        <f>SUMIF('Quarterly Data'!$B:$B,'Annual Data'!$A290,'Quarterly Data'!R:R)</f>
        <v>0</v>
      </c>
      <c r="Q290">
        <f>SUMIF('Quarterly Data'!$B:$B,'Annual Data'!$A290,'Quarterly Data'!S:S)</f>
        <v>0</v>
      </c>
      <c r="R290" t="e">
        <f>AVERAGEIF('Quarterly Data'!$B:$B,'Annual Data'!$A290,'Quarterly Data'!T:T)</f>
        <v>#DIV/0!</v>
      </c>
      <c r="S290">
        <f>SUMIF('Quarterly Data'!$B:$B,'Annual Data'!$A290,'Quarterly Data'!U:U)</f>
        <v>0</v>
      </c>
      <c r="T290">
        <f>SUMIF('Quarterly Data'!$B:$B,'Annual Data'!$A290,'Quarterly Data'!V:V)</f>
        <v>0</v>
      </c>
      <c r="U290">
        <f>SUMIF('Quarterly Data'!$B:$B,'Annual Data'!$A290,'Quarterly Data'!W:W)</f>
        <v>0</v>
      </c>
      <c r="V290">
        <f>SUMIF('Quarterly Data'!$B:$B,'Annual Data'!$A290,'Quarterly Data'!X:X)</f>
        <v>0</v>
      </c>
      <c r="W290">
        <f>SUMIF('Quarterly Data'!$B:$B,'Annual Data'!$A290,'Quarterly Data'!Y:Y)</f>
        <v>0</v>
      </c>
      <c r="X290">
        <f>SUMIF('Quarterly Data'!$B:$B,'Annual Data'!$A290,'Quarterly Data'!Z:Z)</f>
        <v>0</v>
      </c>
      <c r="Y290">
        <f>SUMIF('Quarterly Data'!$B:$B,'Annual Data'!$A290,'Quarterly Data'!AA:AA)</f>
        <v>0</v>
      </c>
      <c r="Z290" t="e">
        <f>AVERAGEIF('Quarterly Data'!$B:$B,'Annual Data'!$A290,'Quarterly Data'!AB:AB)</f>
        <v>#DIV/0!</v>
      </c>
      <c r="AA290" t="e">
        <f>AVERAGEIF('Quarterly Data'!$B:$B,'Annual Data'!$A290,'Quarterly Data'!AC:AC)</f>
        <v>#DIV/0!</v>
      </c>
      <c r="AB290" t="e">
        <f>AVERAGEIF('Quarterly Data'!$B:$B,'Annual Data'!$A290,'Quarterly Data'!AD:AD)</f>
        <v>#DIV/0!</v>
      </c>
      <c r="AC290" t="e">
        <f>AVERAGEIF('Quarterly Data'!$B:$B,'Annual Data'!$A290,'Quarterly Data'!AE:AE)</f>
        <v>#DIV/0!</v>
      </c>
      <c r="AD290" t="e">
        <f>AVERAGEIF('Quarterly Data'!$B:$B,'Annual Data'!$A290,'Quarterly Data'!AF:AF)</f>
        <v>#DIV/0!</v>
      </c>
      <c r="AE290">
        <f>SUMIF('Quarterly Data'!$B:$B,'Annual Data'!$A290,'Quarterly Data'!AG:AG)</f>
        <v>0</v>
      </c>
    </row>
    <row r="291" spans="1:31" x14ac:dyDescent="0.25">
      <c r="A291">
        <v>2257</v>
      </c>
      <c r="B291">
        <f>SUMIF('Quarterly Data'!$B:$B,'Annual Data'!$A291,'Quarterly Data'!D:D)</f>
        <v>0</v>
      </c>
      <c r="C291" t="e">
        <f>AVERAGEIF('Quarterly Data'!$B:$B,'Annual Data'!$A291,'Quarterly Data'!E:E)</f>
        <v>#DIV/0!</v>
      </c>
      <c r="D291">
        <f>SUMIF('Quarterly Data'!$B:$B,'Annual Data'!$A291,'Quarterly Data'!F:F)</f>
        <v>0</v>
      </c>
      <c r="E291">
        <f>SUMIF('Quarterly Data'!$B:$B,'Annual Data'!$A291,'Quarterly Data'!G:G)</f>
        <v>0</v>
      </c>
      <c r="F291">
        <f>SUMIF('Quarterly Data'!$B:$B,'Annual Data'!$A291,'Quarterly Data'!H:H)</f>
        <v>0</v>
      </c>
      <c r="G291">
        <f>SUMIF('Quarterly Data'!$B:$B,'Annual Data'!$A291,'Quarterly Data'!I:I)</f>
        <v>0</v>
      </c>
      <c r="H291">
        <f>SUMIF('Quarterly Data'!$B:$B,'Annual Data'!$A291,'Quarterly Data'!J:J)</f>
        <v>0</v>
      </c>
      <c r="I291">
        <f>SUMIF('Quarterly Data'!$B:$B,'Annual Data'!$A291,'Quarterly Data'!K:K)</f>
        <v>0</v>
      </c>
      <c r="J291">
        <f>SUMIF('Quarterly Data'!$B:$B,'Annual Data'!$A291,'Quarterly Data'!L:L)</f>
        <v>0</v>
      </c>
      <c r="K291" t="e">
        <f>AVERAGEIF('Quarterly Data'!$B:$B,'Annual Data'!$A291,'Quarterly Data'!M:M)</f>
        <v>#DIV/0!</v>
      </c>
      <c r="L291" t="e">
        <f>AVERAGEIF('Quarterly Data'!$B:$B,'Annual Data'!$A291,'Quarterly Data'!N:N)</f>
        <v>#DIV/0!</v>
      </c>
      <c r="M291" t="e">
        <f>AVERAGEIF('Quarterly Data'!$B:$B,'Annual Data'!$A291,'Quarterly Data'!O:O)</f>
        <v>#DIV/0!</v>
      </c>
      <c r="N291" t="e">
        <f>AVERAGEIF('Quarterly Data'!$B:$B,'Annual Data'!$A291,'Quarterly Data'!P:P)</f>
        <v>#DIV/0!</v>
      </c>
      <c r="O291" t="e">
        <f>AVERAGEIF('Quarterly Data'!$B:$B,'Annual Data'!$A291,'Quarterly Data'!Q:Q)</f>
        <v>#DIV/0!</v>
      </c>
      <c r="P291">
        <f>SUMIF('Quarterly Data'!$B:$B,'Annual Data'!$A291,'Quarterly Data'!R:R)</f>
        <v>0</v>
      </c>
      <c r="Q291">
        <f>SUMIF('Quarterly Data'!$B:$B,'Annual Data'!$A291,'Quarterly Data'!S:S)</f>
        <v>0</v>
      </c>
      <c r="R291" t="e">
        <f>AVERAGEIF('Quarterly Data'!$B:$B,'Annual Data'!$A291,'Quarterly Data'!T:T)</f>
        <v>#DIV/0!</v>
      </c>
      <c r="S291">
        <f>SUMIF('Quarterly Data'!$B:$B,'Annual Data'!$A291,'Quarterly Data'!U:U)</f>
        <v>0</v>
      </c>
      <c r="T291">
        <f>SUMIF('Quarterly Data'!$B:$B,'Annual Data'!$A291,'Quarterly Data'!V:V)</f>
        <v>0</v>
      </c>
      <c r="U291">
        <f>SUMIF('Quarterly Data'!$B:$B,'Annual Data'!$A291,'Quarterly Data'!W:W)</f>
        <v>0</v>
      </c>
      <c r="V291">
        <f>SUMIF('Quarterly Data'!$B:$B,'Annual Data'!$A291,'Quarterly Data'!X:X)</f>
        <v>0</v>
      </c>
      <c r="W291">
        <f>SUMIF('Quarterly Data'!$B:$B,'Annual Data'!$A291,'Quarterly Data'!Y:Y)</f>
        <v>0</v>
      </c>
      <c r="X291">
        <f>SUMIF('Quarterly Data'!$B:$B,'Annual Data'!$A291,'Quarterly Data'!Z:Z)</f>
        <v>0</v>
      </c>
      <c r="Y291">
        <f>SUMIF('Quarterly Data'!$B:$B,'Annual Data'!$A291,'Quarterly Data'!AA:AA)</f>
        <v>0</v>
      </c>
      <c r="Z291" t="e">
        <f>AVERAGEIF('Quarterly Data'!$B:$B,'Annual Data'!$A291,'Quarterly Data'!AB:AB)</f>
        <v>#DIV/0!</v>
      </c>
      <c r="AA291" t="e">
        <f>AVERAGEIF('Quarterly Data'!$B:$B,'Annual Data'!$A291,'Quarterly Data'!AC:AC)</f>
        <v>#DIV/0!</v>
      </c>
      <c r="AB291" t="e">
        <f>AVERAGEIF('Quarterly Data'!$B:$B,'Annual Data'!$A291,'Quarterly Data'!AD:AD)</f>
        <v>#DIV/0!</v>
      </c>
      <c r="AC291" t="e">
        <f>AVERAGEIF('Quarterly Data'!$B:$B,'Annual Data'!$A291,'Quarterly Data'!AE:AE)</f>
        <v>#DIV/0!</v>
      </c>
      <c r="AD291" t="e">
        <f>AVERAGEIF('Quarterly Data'!$B:$B,'Annual Data'!$A291,'Quarterly Data'!AF:AF)</f>
        <v>#DIV/0!</v>
      </c>
      <c r="AE291">
        <f>SUMIF('Quarterly Data'!$B:$B,'Annual Data'!$A291,'Quarterly Data'!AG:AG)</f>
        <v>0</v>
      </c>
    </row>
    <row r="292" spans="1:31" x14ac:dyDescent="0.25">
      <c r="A292">
        <v>2258</v>
      </c>
      <c r="B292">
        <f>SUMIF('Quarterly Data'!$B:$B,'Annual Data'!$A292,'Quarterly Data'!D:D)</f>
        <v>0</v>
      </c>
      <c r="C292" t="e">
        <f>AVERAGEIF('Quarterly Data'!$B:$B,'Annual Data'!$A292,'Quarterly Data'!E:E)</f>
        <v>#DIV/0!</v>
      </c>
      <c r="D292">
        <f>SUMIF('Quarterly Data'!$B:$B,'Annual Data'!$A292,'Quarterly Data'!F:F)</f>
        <v>0</v>
      </c>
      <c r="E292">
        <f>SUMIF('Quarterly Data'!$B:$B,'Annual Data'!$A292,'Quarterly Data'!G:G)</f>
        <v>0</v>
      </c>
      <c r="F292">
        <f>SUMIF('Quarterly Data'!$B:$B,'Annual Data'!$A292,'Quarterly Data'!H:H)</f>
        <v>0</v>
      </c>
      <c r="G292">
        <f>SUMIF('Quarterly Data'!$B:$B,'Annual Data'!$A292,'Quarterly Data'!I:I)</f>
        <v>0</v>
      </c>
      <c r="H292">
        <f>SUMIF('Quarterly Data'!$B:$B,'Annual Data'!$A292,'Quarterly Data'!J:J)</f>
        <v>0</v>
      </c>
      <c r="I292">
        <f>SUMIF('Quarterly Data'!$B:$B,'Annual Data'!$A292,'Quarterly Data'!K:K)</f>
        <v>0</v>
      </c>
      <c r="J292">
        <f>SUMIF('Quarterly Data'!$B:$B,'Annual Data'!$A292,'Quarterly Data'!L:L)</f>
        <v>0</v>
      </c>
      <c r="K292" t="e">
        <f>AVERAGEIF('Quarterly Data'!$B:$B,'Annual Data'!$A292,'Quarterly Data'!M:M)</f>
        <v>#DIV/0!</v>
      </c>
      <c r="L292" t="e">
        <f>AVERAGEIF('Quarterly Data'!$B:$B,'Annual Data'!$A292,'Quarterly Data'!N:N)</f>
        <v>#DIV/0!</v>
      </c>
      <c r="M292" t="e">
        <f>AVERAGEIF('Quarterly Data'!$B:$B,'Annual Data'!$A292,'Quarterly Data'!O:O)</f>
        <v>#DIV/0!</v>
      </c>
      <c r="N292" t="e">
        <f>AVERAGEIF('Quarterly Data'!$B:$B,'Annual Data'!$A292,'Quarterly Data'!P:P)</f>
        <v>#DIV/0!</v>
      </c>
      <c r="O292" t="e">
        <f>AVERAGEIF('Quarterly Data'!$B:$B,'Annual Data'!$A292,'Quarterly Data'!Q:Q)</f>
        <v>#DIV/0!</v>
      </c>
      <c r="P292">
        <f>SUMIF('Quarterly Data'!$B:$B,'Annual Data'!$A292,'Quarterly Data'!R:R)</f>
        <v>0</v>
      </c>
      <c r="Q292">
        <f>SUMIF('Quarterly Data'!$B:$B,'Annual Data'!$A292,'Quarterly Data'!S:S)</f>
        <v>0</v>
      </c>
      <c r="R292" t="e">
        <f>AVERAGEIF('Quarterly Data'!$B:$B,'Annual Data'!$A292,'Quarterly Data'!T:T)</f>
        <v>#DIV/0!</v>
      </c>
      <c r="S292">
        <f>SUMIF('Quarterly Data'!$B:$B,'Annual Data'!$A292,'Quarterly Data'!U:U)</f>
        <v>0</v>
      </c>
      <c r="T292">
        <f>SUMIF('Quarterly Data'!$B:$B,'Annual Data'!$A292,'Quarterly Data'!V:V)</f>
        <v>0</v>
      </c>
      <c r="U292">
        <f>SUMIF('Quarterly Data'!$B:$B,'Annual Data'!$A292,'Quarterly Data'!W:W)</f>
        <v>0</v>
      </c>
      <c r="V292">
        <f>SUMIF('Quarterly Data'!$B:$B,'Annual Data'!$A292,'Quarterly Data'!X:X)</f>
        <v>0</v>
      </c>
      <c r="W292">
        <f>SUMIF('Quarterly Data'!$B:$B,'Annual Data'!$A292,'Quarterly Data'!Y:Y)</f>
        <v>0</v>
      </c>
      <c r="X292">
        <f>SUMIF('Quarterly Data'!$B:$B,'Annual Data'!$A292,'Quarterly Data'!Z:Z)</f>
        <v>0</v>
      </c>
      <c r="Y292">
        <f>SUMIF('Quarterly Data'!$B:$B,'Annual Data'!$A292,'Quarterly Data'!AA:AA)</f>
        <v>0</v>
      </c>
      <c r="Z292" t="e">
        <f>AVERAGEIF('Quarterly Data'!$B:$B,'Annual Data'!$A292,'Quarterly Data'!AB:AB)</f>
        <v>#DIV/0!</v>
      </c>
      <c r="AA292" t="e">
        <f>AVERAGEIF('Quarterly Data'!$B:$B,'Annual Data'!$A292,'Quarterly Data'!AC:AC)</f>
        <v>#DIV/0!</v>
      </c>
      <c r="AB292" t="e">
        <f>AVERAGEIF('Quarterly Data'!$B:$B,'Annual Data'!$A292,'Quarterly Data'!AD:AD)</f>
        <v>#DIV/0!</v>
      </c>
      <c r="AC292" t="e">
        <f>AVERAGEIF('Quarterly Data'!$B:$B,'Annual Data'!$A292,'Quarterly Data'!AE:AE)</f>
        <v>#DIV/0!</v>
      </c>
      <c r="AD292" t="e">
        <f>AVERAGEIF('Quarterly Data'!$B:$B,'Annual Data'!$A292,'Quarterly Data'!AF:AF)</f>
        <v>#DIV/0!</v>
      </c>
      <c r="AE292">
        <f>SUMIF('Quarterly Data'!$B:$B,'Annual Data'!$A292,'Quarterly Data'!AG:AG)</f>
        <v>0</v>
      </c>
    </row>
    <row r="293" spans="1:31" x14ac:dyDescent="0.25">
      <c r="A293">
        <v>2259</v>
      </c>
      <c r="B293">
        <f>SUMIF('Quarterly Data'!$B:$B,'Annual Data'!$A293,'Quarterly Data'!D:D)</f>
        <v>0</v>
      </c>
      <c r="C293" t="e">
        <f>AVERAGEIF('Quarterly Data'!$B:$B,'Annual Data'!$A293,'Quarterly Data'!E:E)</f>
        <v>#DIV/0!</v>
      </c>
      <c r="D293">
        <f>SUMIF('Quarterly Data'!$B:$B,'Annual Data'!$A293,'Quarterly Data'!F:F)</f>
        <v>0</v>
      </c>
      <c r="E293">
        <f>SUMIF('Quarterly Data'!$B:$B,'Annual Data'!$A293,'Quarterly Data'!G:G)</f>
        <v>0</v>
      </c>
      <c r="F293">
        <f>SUMIF('Quarterly Data'!$B:$B,'Annual Data'!$A293,'Quarterly Data'!H:H)</f>
        <v>0</v>
      </c>
      <c r="G293">
        <f>SUMIF('Quarterly Data'!$B:$B,'Annual Data'!$A293,'Quarterly Data'!I:I)</f>
        <v>0</v>
      </c>
      <c r="H293">
        <f>SUMIF('Quarterly Data'!$B:$B,'Annual Data'!$A293,'Quarterly Data'!J:J)</f>
        <v>0</v>
      </c>
      <c r="I293">
        <f>SUMIF('Quarterly Data'!$B:$B,'Annual Data'!$A293,'Quarterly Data'!K:K)</f>
        <v>0</v>
      </c>
      <c r="J293">
        <f>SUMIF('Quarterly Data'!$B:$B,'Annual Data'!$A293,'Quarterly Data'!L:L)</f>
        <v>0</v>
      </c>
      <c r="K293" t="e">
        <f>AVERAGEIF('Quarterly Data'!$B:$B,'Annual Data'!$A293,'Quarterly Data'!M:M)</f>
        <v>#DIV/0!</v>
      </c>
      <c r="L293" t="e">
        <f>AVERAGEIF('Quarterly Data'!$B:$B,'Annual Data'!$A293,'Quarterly Data'!N:N)</f>
        <v>#DIV/0!</v>
      </c>
      <c r="M293" t="e">
        <f>AVERAGEIF('Quarterly Data'!$B:$B,'Annual Data'!$A293,'Quarterly Data'!O:O)</f>
        <v>#DIV/0!</v>
      </c>
      <c r="N293" t="e">
        <f>AVERAGEIF('Quarterly Data'!$B:$B,'Annual Data'!$A293,'Quarterly Data'!P:P)</f>
        <v>#DIV/0!</v>
      </c>
      <c r="O293" t="e">
        <f>AVERAGEIF('Quarterly Data'!$B:$B,'Annual Data'!$A293,'Quarterly Data'!Q:Q)</f>
        <v>#DIV/0!</v>
      </c>
      <c r="P293">
        <f>SUMIF('Quarterly Data'!$B:$B,'Annual Data'!$A293,'Quarterly Data'!R:R)</f>
        <v>0</v>
      </c>
      <c r="Q293">
        <f>SUMIF('Quarterly Data'!$B:$B,'Annual Data'!$A293,'Quarterly Data'!S:S)</f>
        <v>0</v>
      </c>
      <c r="R293" t="e">
        <f>AVERAGEIF('Quarterly Data'!$B:$B,'Annual Data'!$A293,'Quarterly Data'!T:T)</f>
        <v>#DIV/0!</v>
      </c>
      <c r="S293">
        <f>SUMIF('Quarterly Data'!$B:$B,'Annual Data'!$A293,'Quarterly Data'!U:U)</f>
        <v>0</v>
      </c>
      <c r="T293">
        <f>SUMIF('Quarterly Data'!$B:$B,'Annual Data'!$A293,'Quarterly Data'!V:V)</f>
        <v>0</v>
      </c>
      <c r="U293">
        <f>SUMIF('Quarterly Data'!$B:$B,'Annual Data'!$A293,'Quarterly Data'!W:W)</f>
        <v>0</v>
      </c>
      <c r="V293">
        <f>SUMIF('Quarterly Data'!$B:$B,'Annual Data'!$A293,'Quarterly Data'!X:X)</f>
        <v>0</v>
      </c>
      <c r="W293">
        <f>SUMIF('Quarterly Data'!$B:$B,'Annual Data'!$A293,'Quarterly Data'!Y:Y)</f>
        <v>0</v>
      </c>
      <c r="X293">
        <f>SUMIF('Quarterly Data'!$B:$B,'Annual Data'!$A293,'Quarterly Data'!Z:Z)</f>
        <v>0</v>
      </c>
      <c r="Y293">
        <f>SUMIF('Quarterly Data'!$B:$B,'Annual Data'!$A293,'Quarterly Data'!AA:AA)</f>
        <v>0</v>
      </c>
      <c r="Z293" t="e">
        <f>AVERAGEIF('Quarterly Data'!$B:$B,'Annual Data'!$A293,'Quarterly Data'!AB:AB)</f>
        <v>#DIV/0!</v>
      </c>
      <c r="AA293" t="e">
        <f>AVERAGEIF('Quarterly Data'!$B:$B,'Annual Data'!$A293,'Quarterly Data'!AC:AC)</f>
        <v>#DIV/0!</v>
      </c>
      <c r="AB293" t="e">
        <f>AVERAGEIF('Quarterly Data'!$B:$B,'Annual Data'!$A293,'Quarterly Data'!AD:AD)</f>
        <v>#DIV/0!</v>
      </c>
      <c r="AC293" t="e">
        <f>AVERAGEIF('Quarterly Data'!$B:$B,'Annual Data'!$A293,'Quarterly Data'!AE:AE)</f>
        <v>#DIV/0!</v>
      </c>
      <c r="AD293" t="e">
        <f>AVERAGEIF('Quarterly Data'!$B:$B,'Annual Data'!$A293,'Quarterly Data'!AF:AF)</f>
        <v>#DIV/0!</v>
      </c>
      <c r="AE293">
        <f>SUMIF('Quarterly Data'!$B:$B,'Annual Data'!$A293,'Quarterly Data'!AG:AG)</f>
        <v>0</v>
      </c>
    </row>
    <row r="294" spans="1:31" x14ac:dyDescent="0.25">
      <c r="A294">
        <v>2260</v>
      </c>
      <c r="B294">
        <f>SUMIF('Quarterly Data'!$B:$B,'Annual Data'!$A294,'Quarterly Data'!D:D)</f>
        <v>0</v>
      </c>
      <c r="C294" t="e">
        <f>AVERAGEIF('Quarterly Data'!$B:$B,'Annual Data'!$A294,'Quarterly Data'!E:E)</f>
        <v>#DIV/0!</v>
      </c>
      <c r="D294">
        <f>SUMIF('Quarterly Data'!$B:$B,'Annual Data'!$A294,'Quarterly Data'!F:F)</f>
        <v>0</v>
      </c>
      <c r="E294">
        <f>SUMIF('Quarterly Data'!$B:$B,'Annual Data'!$A294,'Quarterly Data'!G:G)</f>
        <v>0</v>
      </c>
      <c r="F294">
        <f>SUMIF('Quarterly Data'!$B:$B,'Annual Data'!$A294,'Quarterly Data'!H:H)</f>
        <v>0</v>
      </c>
      <c r="G294">
        <f>SUMIF('Quarterly Data'!$B:$B,'Annual Data'!$A294,'Quarterly Data'!I:I)</f>
        <v>0</v>
      </c>
      <c r="H294">
        <f>SUMIF('Quarterly Data'!$B:$B,'Annual Data'!$A294,'Quarterly Data'!J:J)</f>
        <v>0</v>
      </c>
      <c r="I294">
        <f>SUMIF('Quarterly Data'!$B:$B,'Annual Data'!$A294,'Quarterly Data'!K:K)</f>
        <v>0</v>
      </c>
      <c r="J294">
        <f>SUMIF('Quarterly Data'!$B:$B,'Annual Data'!$A294,'Quarterly Data'!L:L)</f>
        <v>0</v>
      </c>
      <c r="K294" t="e">
        <f>AVERAGEIF('Quarterly Data'!$B:$B,'Annual Data'!$A294,'Quarterly Data'!M:M)</f>
        <v>#DIV/0!</v>
      </c>
      <c r="L294" t="e">
        <f>AVERAGEIF('Quarterly Data'!$B:$B,'Annual Data'!$A294,'Quarterly Data'!N:N)</f>
        <v>#DIV/0!</v>
      </c>
      <c r="M294" t="e">
        <f>AVERAGEIF('Quarterly Data'!$B:$B,'Annual Data'!$A294,'Quarterly Data'!O:O)</f>
        <v>#DIV/0!</v>
      </c>
      <c r="N294" t="e">
        <f>AVERAGEIF('Quarterly Data'!$B:$B,'Annual Data'!$A294,'Quarterly Data'!P:P)</f>
        <v>#DIV/0!</v>
      </c>
      <c r="O294" t="e">
        <f>AVERAGEIF('Quarterly Data'!$B:$B,'Annual Data'!$A294,'Quarterly Data'!Q:Q)</f>
        <v>#DIV/0!</v>
      </c>
      <c r="P294">
        <f>SUMIF('Quarterly Data'!$B:$B,'Annual Data'!$A294,'Quarterly Data'!R:R)</f>
        <v>0</v>
      </c>
      <c r="Q294">
        <f>SUMIF('Quarterly Data'!$B:$B,'Annual Data'!$A294,'Quarterly Data'!S:S)</f>
        <v>0</v>
      </c>
      <c r="R294" t="e">
        <f>AVERAGEIF('Quarterly Data'!$B:$B,'Annual Data'!$A294,'Quarterly Data'!T:T)</f>
        <v>#DIV/0!</v>
      </c>
      <c r="S294">
        <f>SUMIF('Quarterly Data'!$B:$B,'Annual Data'!$A294,'Quarterly Data'!U:U)</f>
        <v>0</v>
      </c>
      <c r="T294">
        <f>SUMIF('Quarterly Data'!$B:$B,'Annual Data'!$A294,'Quarterly Data'!V:V)</f>
        <v>0</v>
      </c>
      <c r="U294">
        <f>SUMIF('Quarterly Data'!$B:$B,'Annual Data'!$A294,'Quarterly Data'!W:W)</f>
        <v>0</v>
      </c>
      <c r="V294">
        <f>SUMIF('Quarterly Data'!$B:$B,'Annual Data'!$A294,'Quarterly Data'!X:X)</f>
        <v>0</v>
      </c>
      <c r="W294">
        <f>SUMIF('Quarterly Data'!$B:$B,'Annual Data'!$A294,'Quarterly Data'!Y:Y)</f>
        <v>0</v>
      </c>
      <c r="X294">
        <f>SUMIF('Quarterly Data'!$B:$B,'Annual Data'!$A294,'Quarterly Data'!Z:Z)</f>
        <v>0</v>
      </c>
      <c r="Y294">
        <f>SUMIF('Quarterly Data'!$B:$B,'Annual Data'!$A294,'Quarterly Data'!AA:AA)</f>
        <v>0</v>
      </c>
      <c r="Z294" t="e">
        <f>AVERAGEIF('Quarterly Data'!$B:$B,'Annual Data'!$A294,'Quarterly Data'!AB:AB)</f>
        <v>#DIV/0!</v>
      </c>
      <c r="AA294" t="e">
        <f>AVERAGEIF('Quarterly Data'!$B:$B,'Annual Data'!$A294,'Quarterly Data'!AC:AC)</f>
        <v>#DIV/0!</v>
      </c>
      <c r="AB294" t="e">
        <f>AVERAGEIF('Quarterly Data'!$B:$B,'Annual Data'!$A294,'Quarterly Data'!AD:AD)</f>
        <v>#DIV/0!</v>
      </c>
      <c r="AC294" t="e">
        <f>AVERAGEIF('Quarterly Data'!$B:$B,'Annual Data'!$A294,'Quarterly Data'!AE:AE)</f>
        <v>#DIV/0!</v>
      </c>
      <c r="AD294" t="e">
        <f>AVERAGEIF('Quarterly Data'!$B:$B,'Annual Data'!$A294,'Quarterly Data'!AF:AF)</f>
        <v>#DIV/0!</v>
      </c>
      <c r="AE294">
        <f>SUMIF('Quarterly Data'!$B:$B,'Annual Data'!$A294,'Quarterly Data'!AG:AG)</f>
        <v>0</v>
      </c>
    </row>
    <row r="295" spans="1:31" x14ac:dyDescent="0.25">
      <c r="A295">
        <v>2261</v>
      </c>
      <c r="B295">
        <f>SUMIF('Quarterly Data'!$B:$B,'Annual Data'!$A295,'Quarterly Data'!D:D)</f>
        <v>0</v>
      </c>
      <c r="C295" t="e">
        <f>AVERAGEIF('Quarterly Data'!$B:$B,'Annual Data'!$A295,'Quarterly Data'!E:E)</f>
        <v>#DIV/0!</v>
      </c>
      <c r="D295">
        <f>SUMIF('Quarterly Data'!$B:$B,'Annual Data'!$A295,'Quarterly Data'!F:F)</f>
        <v>0</v>
      </c>
      <c r="E295">
        <f>SUMIF('Quarterly Data'!$B:$B,'Annual Data'!$A295,'Quarterly Data'!G:G)</f>
        <v>0</v>
      </c>
      <c r="F295">
        <f>SUMIF('Quarterly Data'!$B:$B,'Annual Data'!$A295,'Quarterly Data'!H:H)</f>
        <v>0</v>
      </c>
      <c r="G295">
        <f>SUMIF('Quarterly Data'!$B:$B,'Annual Data'!$A295,'Quarterly Data'!I:I)</f>
        <v>0</v>
      </c>
      <c r="H295">
        <f>SUMIF('Quarterly Data'!$B:$B,'Annual Data'!$A295,'Quarterly Data'!J:J)</f>
        <v>0</v>
      </c>
      <c r="I295">
        <f>SUMIF('Quarterly Data'!$B:$B,'Annual Data'!$A295,'Quarterly Data'!K:K)</f>
        <v>0</v>
      </c>
      <c r="J295">
        <f>SUMIF('Quarterly Data'!$B:$B,'Annual Data'!$A295,'Quarterly Data'!L:L)</f>
        <v>0</v>
      </c>
      <c r="K295" t="e">
        <f>AVERAGEIF('Quarterly Data'!$B:$B,'Annual Data'!$A295,'Quarterly Data'!M:M)</f>
        <v>#DIV/0!</v>
      </c>
      <c r="L295" t="e">
        <f>AVERAGEIF('Quarterly Data'!$B:$B,'Annual Data'!$A295,'Quarterly Data'!N:N)</f>
        <v>#DIV/0!</v>
      </c>
      <c r="M295" t="e">
        <f>AVERAGEIF('Quarterly Data'!$B:$B,'Annual Data'!$A295,'Quarterly Data'!O:O)</f>
        <v>#DIV/0!</v>
      </c>
      <c r="N295" t="e">
        <f>AVERAGEIF('Quarterly Data'!$B:$B,'Annual Data'!$A295,'Quarterly Data'!P:P)</f>
        <v>#DIV/0!</v>
      </c>
      <c r="O295" t="e">
        <f>AVERAGEIF('Quarterly Data'!$B:$B,'Annual Data'!$A295,'Quarterly Data'!Q:Q)</f>
        <v>#DIV/0!</v>
      </c>
      <c r="P295">
        <f>SUMIF('Quarterly Data'!$B:$B,'Annual Data'!$A295,'Quarterly Data'!R:R)</f>
        <v>0</v>
      </c>
      <c r="Q295">
        <f>SUMIF('Quarterly Data'!$B:$B,'Annual Data'!$A295,'Quarterly Data'!S:S)</f>
        <v>0</v>
      </c>
      <c r="R295" t="e">
        <f>AVERAGEIF('Quarterly Data'!$B:$B,'Annual Data'!$A295,'Quarterly Data'!T:T)</f>
        <v>#DIV/0!</v>
      </c>
      <c r="S295">
        <f>SUMIF('Quarterly Data'!$B:$B,'Annual Data'!$A295,'Quarterly Data'!U:U)</f>
        <v>0</v>
      </c>
      <c r="T295">
        <f>SUMIF('Quarterly Data'!$B:$B,'Annual Data'!$A295,'Quarterly Data'!V:V)</f>
        <v>0</v>
      </c>
      <c r="U295">
        <f>SUMIF('Quarterly Data'!$B:$B,'Annual Data'!$A295,'Quarterly Data'!W:W)</f>
        <v>0</v>
      </c>
      <c r="V295">
        <f>SUMIF('Quarterly Data'!$B:$B,'Annual Data'!$A295,'Quarterly Data'!X:X)</f>
        <v>0</v>
      </c>
      <c r="W295">
        <f>SUMIF('Quarterly Data'!$B:$B,'Annual Data'!$A295,'Quarterly Data'!Y:Y)</f>
        <v>0</v>
      </c>
      <c r="X295">
        <f>SUMIF('Quarterly Data'!$B:$B,'Annual Data'!$A295,'Quarterly Data'!Z:Z)</f>
        <v>0</v>
      </c>
      <c r="Y295">
        <f>SUMIF('Quarterly Data'!$B:$B,'Annual Data'!$A295,'Quarterly Data'!AA:AA)</f>
        <v>0</v>
      </c>
      <c r="Z295" t="e">
        <f>AVERAGEIF('Quarterly Data'!$B:$B,'Annual Data'!$A295,'Quarterly Data'!AB:AB)</f>
        <v>#DIV/0!</v>
      </c>
      <c r="AA295" t="e">
        <f>AVERAGEIF('Quarterly Data'!$B:$B,'Annual Data'!$A295,'Quarterly Data'!AC:AC)</f>
        <v>#DIV/0!</v>
      </c>
      <c r="AB295" t="e">
        <f>AVERAGEIF('Quarterly Data'!$B:$B,'Annual Data'!$A295,'Quarterly Data'!AD:AD)</f>
        <v>#DIV/0!</v>
      </c>
      <c r="AC295" t="e">
        <f>AVERAGEIF('Quarterly Data'!$B:$B,'Annual Data'!$A295,'Quarterly Data'!AE:AE)</f>
        <v>#DIV/0!</v>
      </c>
      <c r="AD295" t="e">
        <f>AVERAGEIF('Quarterly Data'!$B:$B,'Annual Data'!$A295,'Quarterly Data'!AF:AF)</f>
        <v>#DIV/0!</v>
      </c>
      <c r="AE295">
        <f>SUMIF('Quarterly Data'!$B:$B,'Annual Data'!$A295,'Quarterly Data'!AG:AG)</f>
        <v>0</v>
      </c>
    </row>
    <row r="296" spans="1:31" x14ac:dyDescent="0.25">
      <c r="A296">
        <v>2262</v>
      </c>
      <c r="B296">
        <f>SUMIF('Quarterly Data'!$B:$B,'Annual Data'!$A296,'Quarterly Data'!D:D)</f>
        <v>0</v>
      </c>
      <c r="C296" t="e">
        <f>AVERAGEIF('Quarterly Data'!$B:$B,'Annual Data'!$A296,'Quarterly Data'!E:E)</f>
        <v>#DIV/0!</v>
      </c>
      <c r="D296">
        <f>SUMIF('Quarterly Data'!$B:$B,'Annual Data'!$A296,'Quarterly Data'!F:F)</f>
        <v>0</v>
      </c>
      <c r="E296">
        <f>SUMIF('Quarterly Data'!$B:$B,'Annual Data'!$A296,'Quarterly Data'!G:G)</f>
        <v>0</v>
      </c>
      <c r="F296">
        <f>SUMIF('Quarterly Data'!$B:$B,'Annual Data'!$A296,'Quarterly Data'!H:H)</f>
        <v>0</v>
      </c>
      <c r="G296">
        <f>SUMIF('Quarterly Data'!$B:$B,'Annual Data'!$A296,'Quarterly Data'!I:I)</f>
        <v>0</v>
      </c>
      <c r="H296">
        <f>SUMIF('Quarterly Data'!$B:$B,'Annual Data'!$A296,'Quarterly Data'!J:J)</f>
        <v>0</v>
      </c>
      <c r="I296">
        <f>SUMIF('Quarterly Data'!$B:$B,'Annual Data'!$A296,'Quarterly Data'!K:K)</f>
        <v>0</v>
      </c>
      <c r="J296">
        <f>SUMIF('Quarterly Data'!$B:$B,'Annual Data'!$A296,'Quarterly Data'!L:L)</f>
        <v>0</v>
      </c>
      <c r="K296" t="e">
        <f>AVERAGEIF('Quarterly Data'!$B:$B,'Annual Data'!$A296,'Quarterly Data'!M:M)</f>
        <v>#DIV/0!</v>
      </c>
      <c r="L296" t="e">
        <f>AVERAGEIF('Quarterly Data'!$B:$B,'Annual Data'!$A296,'Quarterly Data'!N:N)</f>
        <v>#DIV/0!</v>
      </c>
      <c r="M296" t="e">
        <f>AVERAGEIF('Quarterly Data'!$B:$B,'Annual Data'!$A296,'Quarterly Data'!O:O)</f>
        <v>#DIV/0!</v>
      </c>
      <c r="N296" t="e">
        <f>AVERAGEIF('Quarterly Data'!$B:$B,'Annual Data'!$A296,'Quarterly Data'!P:P)</f>
        <v>#DIV/0!</v>
      </c>
      <c r="O296" t="e">
        <f>AVERAGEIF('Quarterly Data'!$B:$B,'Annual Data'!$A296,'Quarterly Data'!Q:Q)</f>
        <v>#DIV/0!</v>
      </c>
      <c r="P296">
        <f>SUMIF('Quarterly Data'!$B:$B,'Annual Data'!$A296,'Quarterly Data'!R:R)</f>
        <v>0</v>
      </c>
      <c r="Q296">
        <f>SUMIF('Quarterly Data'!$B:$B,'Annual Data'!$A296,'Quarterly Data'!S:S)</f>
        <v>0</v>
      </c>
      <c r="R296" t="e">
        <f>AVERAGEIF('Quarterly Data'!$B:$B,'Annual Data'!$A296,'Quarterly Data'!T:T)</f>
        <v>#DIV/0!</v>
      </c>
      <c r="S296">
        <f>SUMIF('Quarterly Data'!$B:$B,'Annual Data'!$A296,'Quarterly Data'!U:U)</f>
        <v>0</v>
      </c>
      <c r="T296">
        <f>SUMIF('Quarterly Data'!$B:$B,'Annual Data'!$A296,'Quarterly Data'!V:V)</f>
        <v>0</v>
      </c>
      <c r="U296">
        <f>SUMIF('Quarterly Data'!$B:$B,'Annual Data'!$A296,'Quarterly Data'!W:W)</f>
        <v>0</v>
      </c>
      <c r="V296">
        <f>SUMIF('Quarterly Data'!$B:$B,'Annual Data'!$A296,'Quarterly Data'!X:X)</f>
        <v>0</v>
      </c>
      <c r="W296">
        <f>SUMIF('Quarterly Data'!$B:$B,'Annual Data'!$A296,'Quarterly Data'!Y:Y)</f>
        <v>0</v>
      </c>
      <c r="X296">
        <f>SUMIF('Quarterly Data'!$B:$B,'Annual Data'!$A296,'Quarterly Data'!Z:Z)</f>
        <v>0</v>
      </c>
      <c r="Y296">
        <f>SUMIF('Quarterly Data'!$B:$B,'Annual Data'!$A296,'Quarterly Data'!AA:AA)</f>
        <v>0</v>
      </c>
      <c r="Z296" t="e">
        <f>AVERAGEIF('Quarterly Data'!$B:$B,'Annual Data'!$A296,'Quarterly Data'!AB:AB)</f>
        <v>#DIV/0!</v>
      </c>
      <c r="AA296" t="e">
        <f>AVERAGEIF('Quarterly Data'!$B:$B,'Annual Data'!$A296,'Quarterly Data'!AC:AC)</f>
        <v>#DIV/0!</v>
      </c>
      <c r="AB296" t="e">
        <f>AVERAGEIF('Quarterly Data'!$B:$B,'Annual Data'!$A296,'Quarterly Data'!AD:AD)</f>
        <v>#DIV/0!</v>
      </c>
      <c r="AC296" t="e">
        <f>AVERAGEIF('Quarterly Data'!$B:$B,'Annual Data'!$A296,'Quarterly Data'!AE:AE)</f>
        <v>#DIV/0!</v>
      </c>
      <c r="AD296" t="e">
        <f>AVERAGEIF('Quarterly Data'!$B:$B,'Annual Data'!$A296,'Quarterly Data'!AF:AF)</f>
        <v>#DIV/0!</v>
      </c>
      <c r="AE296">
        <f>SUMIF('Quarterly Data'!$B:$B,'Annual Data'!$A296,'Quarterly Data'!AG:AG)</f>
        <v>0</v>
      </c>
    </row>
    <row r="297" spans="1:31" x14ac:dyDescent="0.25">
      <c r="A297">
        <v>2263</v>
      </c>
      <c r="B297">
        <f>SUMIF('Quarterly Data'!$B:$B,'Annual Data'!$A297,'Quarterly Data'!D:D)</f>
        <v>0</v>
      </c>
      <c r="C297" t="e">
        <f>AVERAGEIF('Quarterly Data'!$B:$B,'Annual Data'!$A297,'Quarterly Data'!E:E)</f>
        <v>#DIV/0!</v>
      </c>
      <c r="D297">
        <f>SUMIF('Quarterly Data'!$B:$B,'Annual Data'!$A297,'Quarterly Data'!F:F)</f>
        <v>0</v>
      </c>
      <c r="E297">
        <f>SUMIF('Quarterly Data'!$B:$B,'Annual Data'!$A297,'Quarterly Data'!G:G)</f>
        <v>0</v>
      </c>
      <c r="F297">
        <f>SUMIF('Quarterly Data'!$B:$B,'Annual Data'!$A297,'Quarterly Data'!H:H)</f>
        <v>0</v>
      </c>
      <c r="G297">
        <f>SUMIF('Quarterly Data'!$B:$B,'Annual Data'!$A297,'Quarterly Data'!I:I)</f>
        <v>0</v>
      </c>
      <c r="H297">
        <f>SUMIF('Quarterly Data'!$B:$B,'Annual Data'!$A297,'Quarterly Data'!J:J)</f>
        <v>0</v>
      </c>
      <c r="I297">
        <f>SUMIF('Quarterly Data'!$B:$B,'Annual Data'!$A297,'Quarterly Data'!K:K)</f>
        <v>0</v>
      </c>
      <c r="J297">
        <f>SUMIF('Quarterly Data'!$B:$B,'Annual Data'!$A297,'Quarterly Data'!L:L)</f>
        <v>0</v>
      </c>
      <c r="K297" t="e">
        <f>AVERAGEIF('Quarterly Data'!$B:$B,'Annual Data'!$A297,'Quarterly Data'!M:M)</f>
        <v>#DIV/0!</v>
      </c>
      <c r="L297" t="e">
        <f>AVERAGEIF('Quarterly Data'!$B:$B,'Annual Data'!$A297,'Quarterly Data'!N:N)</f>
        <v>#DIV/0!</v>
      </c>
      <c r="M297" t="e">
        <f>AVERAGEIF('Quarterly Data'!$B:$B,'Annual Data'!$A297,'Quarterly Data'!O:O)</f>
        <v>#DIV/0!</v>
      </c>
      <c r="N297" t="e">
        <f>AVERAGEIF('Quarterly Data'!$B:$B,'Annual Data'!$A297,'Quarterly Data'!P:P)</f>
        <v>#DIV/0!</v>
      </c>
      <c r="O297" t="e">
        <f>AVERAGEIF('Quarterly Data'!$B:$B,'Annual Data'!$A297,'Quarterly Data'!Q:Q)</f>
        <v>#DIV/0!</v>
      </c>
      <c r="P297">
        <f>SUMIF('Quarterly Data'!$B:$B,'Annual Data'!$A297,'Quarterly Data'!R:R)</f>
        <v>0</v>
      </c>
      <c r="Q297">
        <f>SUMIF('Quarterly Data'!$B:$B,'Annual Data'!$A297,'Quarterly Data'!S:S)</f>
        <v>0</v>
      </c>
      <c r="R297" t="e">
        <f>AVERAGEIF('Quarterly Data'!$B:$B,'Annual Data'!$A297,'Quarterly Data'!T:T)</f>
        <v>#DIV/0!</v>
      </c>
      <c r="S297">
        <f>SUMIF('Quarterly Data'!$B:$B,'Annual Data'!$A297,'Quarterly Data'!U:U)</f>
        <v>0</v>
      </c>
      <c r="T297">
        <f>SUMIF('Quarterly Data'!$B:$B,'Annual Data'!$A297,'Quarterly Data'!V:V)</f>
        <v>0</v>
      </c>
      <c r="U297">
        <f>SUMIF('Quarterly Data'!$B:$B,'Annual Data'!$A297,'Quarterly Data'!W:W)</f>
        <v>0</v>
      </c>
      <c r="V297">
        <f>SUMIF('Quarterly Data'!$B:$B,'Annual Data'!$A297,'Quarterly Data'!X:X)</f>
        <v>0</v>
      </c>
      <c r="W297">
        <f>SUMIF('Quarterly Data'!$B:$B,'Annual Data'!$A297,'Quarterly Data'!Y:Y)</f>
        <v>0</v>
      </c>
      <c r="X297">
        <f>SUMIF('Quarterly Data'!$B:$B,'Annual Data'!$A297,'Quarterly Data'!Z:Z)</f>
        <v>0</v>
      </c>
      <c r="Y297">
        <f>SUMIF('Quarterly Data'!$B:$B,'Annual Data'!$A297,'Quarterly Data'!AA:AA)</f>
        <v>0</v>
      </c>
      <c r="Z297" t="e">
        <f>AVERAGEIF('Quarterly Data'!$B:$B,'Annual Data'!$A297,'Quarterly Data'!AB:AB)</f>
        <v>#DIV/0!</v>
      </c>
      <c r="AA297" t="e">
        <f>AVERAGEIF('Quarterly Data'!$B:$B,'Annual Data'!$A297,'Quarterly Data'!AC:AC)</f>
        <v>#DIV/0!</v>
      </c>
      <c r="AB297" t="e">
        <f>AVERAGEIF('Quarterly Data'!$B:$B,'Annual Data'!$A297,'Quarterly Data'!AD:AD)</f>
        <v>#DIV/0!</v>
      </c>
      <c r="AC297" t="e">
        <f>AVERAGEIF('Quarterly Data'!$B:$B,'Annual Data'!$A297,'Quarterly Data'!AE:AE)</f>
        <v>#DIV/0!</v>
      </c>
      <c r="AD297" t="e">
        <f>AVERAGEIF('Quarterly Data'!$B:$B,'Annual Data'!$A297,'Quarterly Data'!AF:AF)</f>
        <v>#DIV/0!</v>
      </c>
      <c r="AE297">
        <f>SUMIF('Quarterly Data'!$B:$B,'Annual Data'!$A297,'Quarterly Data'!AG:AG)</f>
        <v>0</v>
      </c>
    </row>
    <row r="298" spans="1:31" x14ac:dyDescent="0.25">
      <c r="A298">
        <v>2264</v>
      </c>
      <c r="B298">
        <f>SUMIF('Quarterly Data'!$B:$B,'Annual Data'!$A298,'Quarterly Data'!D:D)</f>
        <v>0</v>
      </c>
      <c r="C298" t="e">
        <f>AVERAGEIF('Quarterly Data'!$B:$B,'Annual Data'!$A298,'Quarterly Data'!E:E)</f>
        <v>#DIV/0!</v>
      </c>
      <c r="D298">
        <f>SUMIF('Quarterly Data'!$B:$B,'Annual Data'!$A298,'Quarterly Data'!F:F)</f>
        <v>0</v>
      </c>
      <c r="E298">
        <f>SUMIF('Quarterly Data'!$B:$B,'Annual Data'!$A298,'Quarterly Data'!G:G)</f>
        <v>0</v>
      </c>
      <c r="F298">
        <f>SUMIF('Quarterly Data'!$B:$B,'Annual Data'!$A298,'Quarterly Data'!H:H)</f>
        <v>0</v>
      </c>
      <c r="G298">
        <f>SUMIF('Quarterly Data'!$B:$B,'Annual Data'!$A298,'Quarterly Data'!I:I)</f>
        <v>0</v>
      </c>
      <c r="H298">
        <f>SUMIF('Quarterly Data'!$B:$B,'Annual Data'!$A298,'Quarterly Data'!J:J)</f>
        <v>0</v>
      </c>
      <c r="I298">
        <f>SUMIF('Quarterly Data'!$B:$B,'Annual Data'!$A298,'Quarterly Data'!K:K)</f>
        <v>0</v>
      </c>
      <c r="J298">
        <f>SUMIF('Quarterly Data'!$B:$B,'Annual Data'!$A298,'Quarterly Data'!L:L)</f>
        <v>0</v>
      </c>
      <c r="K298" t="e">
        <f>AVERAGEIF('Quarterly Data'!$B:$B,'Annual Data'!$A298,'Quarterly Data'!M:M)</f>
        <v>#DIV/0!</v>
      </c>
      <c r="L298" t="e">
        <f>AVERAGEIF('Quarterly Data'!$B:$B,'Annual Data'!$A298,'Quarterly Data'!N:N)</f>
        <v>#DIV/0!</v>
      </c>
      <c r="M298" t="e">
        <f>AVERAGEIF('Quarterly Data'!$B:$B,'Annual Data'!$A298,'Quarterly Data'!O:O)</f>
        <v>#DIV/0!</v>
      </c>
      <c r="N298" t="e">
        <f>AVERAGEIF('Quarterly Data'!$B:$B,'Annual Data'!$A298,'Quarterly Data'!P:P)</f>
        <v>#DIV/0!</v>
      </c>
      <c r="O298" t="e">
        <f>AVERAGEIF('Quarterly Data'!$B:$B,'Annual Data'!$A298,'Quarterly Data'!Q:Q)</f>
        <v>#DIV/0!</v>
      </c>
      <c r="P298">
        <f>SUMIF('Quarterly Data'!$B:$B,'Annual Data'!$A298,'Quarterly Data'!R:R)</f>
        <v>0</v>
      </c>
      <c r="Q298">
        <f>SUMIF('Quarterly Data'!$B:$B,'Annual Data'!$A298,'Quarterly Data'!S:S)</f>
        <v>0</v>
      </c>
      <c r="R298" t="e">
        <f>AVERAGEIF('Quarterly Data'!$B:$B,'Annual Data'!$A298,'Quarterly Data'!T:T)</f>
        <v>#DIV/0!</v>
      </c>
      <c r="S298">
        <f>SUMIF('Quarterly Data'!$B:$B,'Annual Data'!$A298,'Quarterly Data'!U:U)</f>
        <v>0</v>
      </c>
      <c r="T298">
        <f>SUMIF('Quarterly Data'!$B:$B,'Annual Data'!$A298,'Quarterly Data'!V:V)</f>
        <v>0</v>
      </c>
      <c r="U298">
        <f>SUMIF('Quarterly Data'!$B:$B,'Annual Data'!$A298,'Quarterly Data'!W:W)</f>
        <v>0</v>
      </c>
      <c r="V298">
        <f>SUMIF('Quarterly Data'!$B:$B,'Annual Data'!$A298,'Quarterly Data'!X:X)</f>
        <v>0</v>
      </c>
      <c r="W298">
        <f>SUMIF('Quarterly Data'!$B:$B,'Annual Data'!$A298,'Quarterly Data'!Y:Y)</f>
        <v>0</v>
      </c>
      <c r="X298">
        <f>SUMIF('Quarterly Data'!$B:$B,'Annual Data'!$A298,'Quarterly Data'!Z:Z)</f>
        <v>0</v>
      </c>
      <c r="Y298">
        <f>SUMIF('Quarterly Data'!$B:$B,'Annual Data'!$A298,'Quarterly Data'!AA:AA)</f>
        <v>0</v>
      </c>
      <c r="Z298" t="e">
        <f>AVERAGEIF('Quarterly Data'!$B:$B,'Annual Data'!$A298,'Quarterly Data'!AB:AB)</f>
        <v>#DIV/0!</v>
      </c>
      <c r="AA298" t="e">
        <f>AVERAGEIF('Quarterly Data'!$B:$B,'Annual Data'!$A298,'Quarterly Data'!AC:AC)</f>
        <v>#DIV/0!</v>
      </c>
      <c r="AB298" t="e">
        <f>AVERAGEIF('Quarterly Data'!$B:$B,'Annual Data'!$A298,'Quarterly Data'!AD:AD)</f>
        <v>#DIV/0!</v>
      </c>
      <c r="AC298" t="e">
        <f>AVERAGEIF('Quarterly Data'!$B:$B,'Annual Data'!$A298,'Quarterly Data'!AE:AE)</f>
        <v>#DIV/0!</v>
      </c>
      <c r="AD298" t="e">
        <f>AVERAGEIF('Quarterly Data'!$B:$B,'Annual Data'!$A298,'Quarterly Data'!AF:AF)</f>
        <v>#DIV/0!</v>
      </c>
      <c r="AE298">
        <f>SUMIF('Quarterly Data'!$B:$B,'Annual Data'!$A298,'Quarterly Data'!AG:AG)</f>
        <v>0</v>
      </c>
    </row>
    <row r="299" spans="1:31" x14ac:dyDescent="0.25">
      <c r="A299">
        <v>2265</v>
      </c>
      <c r="B299">
        <f>SUMIF('Quarterly Data'!$B:$B,'Annual Data'!$A299,'Quarterly Data'!D:D)</f>
        <v>0</v>
      </c>
      <c r="C299" t="e">
        <f>AVERAGEIF('Quarterly Data'!$B:$B,'Annual Data'!$A299,'Quarterly Data'!E:E)</f>
        <v>#DIV/0!</v>
      </c>
      <c r="D299">
        <f>SUMIF('Quarterly Data'!$B:$B,'Annual Data'!$A299,'Quarterly Data'!F:F)</f>
        <v>0</v>
      </c>
      <c r="E299">
        <f>SUMIF('Quarterly Data'!$B:$B,'Annual Data'!$A299,'Quarterly Data'!G:G)</f>
        <v>0</v>
      </c>
      <c r="F299">
        <f>SUMIF('Quarterly Data'!$B:$B,'Annual Data'!$A299,'Quarterly Data'!H:H)</f>
        <v>0</v>
      </c>
      <c r="G299">
        <f>SUMIF('Quarterly Data'!$B:$B,'Annual Data'!$A299,'Quarterly Data'!I:I)</f>
        <v>0</v>
      </c>
      <c r="H299">
        <f>SUMIF('Quarterly Data'!$B:$B,'Annual Data'!$A299,'Quarterly Data'!J:J)</f>
        <v>0</v>
      </c>
      <c r="I299">
        <f>SUMIF('Quarterly Data'!$B:$B,'Annual Data'!$A299,'Quarterly Data'!K:K)</f>
        <v>0</v>
      </c>
      <c r="J299">
        <f>SUMIF('Quarterly Data'!$B:$B,'Annual Data'!$A299,'Quarterly Data'!L:L)</f>
        <v>0</v>
      </c>
      <c r="K299" t="e">
        <f>AVERAGEIF('Quarterly Data'!$B:$B,'Annual Data'!$A299,'Quarterly Data'!M:M)</f>
        <v>#DIV/0!</v>
      </c>
      <c r="L299" t="e">
        <f>AVERAGEIF('Quarterly Data'!$B:$B,'Annual Data'!$A299,'Quarterly Data'!N:N)</f>
        <v>#DIV/0!</v>
      </c>
      <c r="M299" t="e">
        <f>AVERAGEIF('Quarterly Data'!$B:$B,'Annual Data'!$A299,'Quarterly Data'!O:O)</f>
        <v>#DIV/0!</v>
      </c>
      <c r="N299" t="e">
        <f>AVERAGEIF('Quarterly Data'!$B:$B,'Annual Data'!$A299,'Quarterly Data'!P:P)</f>
        <v>#DIV/0!</v>
      </c>
      <c r="O299" t="e">
        <f>AVERAGEIF('Quarterly Data'!$B:$B,'Annual Data'!$A299,'Quarterly Data'!Q:Q)</f>
        <v>#DIV/0!</v>
      </c>
      <c r="P299">
        <f>SUMIF('Quarterly Data'!$B:$B,'Annual Data'!$A299,'Quarterly Data'!R:R)</f>
        <v>0</v>
      </c>
      <c r="Q299">
        <f>SUMIF('Quarterly Data'!$B:$B,'Annual Data'!$A299,'Quarterly Data'!S:S)</f>
        <v>0</v>
      </c>
      <c r="R299" t="e">
        <f>AVERAGEIF('Quarterly Data'!$B:$B,'Annual Data'!$A299,'Quarterly Data'!T:T)</f>
        <v>#DIV/0!</v>
      </c>
      <c r="S299">
        <f>SUMIF('Quarterly Data'!$B:$B,'Annual Data'!$A299,'Quarterly Data'!U:U)</f>
        <v>0</v>
      </c>
      <c r="T299">
        <f>SUMIF('Quarterly Data'!$B:$B,'Annual Data'!$A299,'Quarterly Data'!V:V)</f>
        <v>0</v>
      </c>
      <c r="U299">
        <f>SUMIF('Quarterly Data'!$B:$B,'Annual Data'!$A299,'Quarterly Data'!W:W)</f>
        <v>0</v>
      </c>
      <c r="V299">
        <f>SUMIF('Quarterly Data'!$B:$B,'Annual Data'!$A299,'Quarterly Data'!X:X)</f>
        <v>0</v>
      </c>
      <c r="W299">
        <f>SUMIF('Quarterly Data'!$B:$B,'Annual Data'!$A299,'Quarterly Data'!Y:Y)</f>
        <v>0</v>
      </c>
      <c r="X299">
        <f>SUMIF('Quarterly Data'!$B:$B,'Annual Data'!$A299,'Quarterly Data'!Z:Z)</f>
        <v>0</v>
      </c>
      <c r="Y299">
        <f>SUMIF('Quarterly Data'!$B:$B,'Annual Data'!$A299,'Quarterly Data'!AA:AA)</f>
        <v>0</v>
      </c>
      <c r="Z299" t="e">
        <f>AVERAGEIF('Quarterly Data'!$B:$B,'Annual Data'!$A299,'Quarterly Data'!AB:AB)</f>
        <v>#DIV/0!</v>
      </c>
      <c r="AA299" t="e">
        <f>AVERAGEIF('Quarterly Data'!$B:$B,'Annual Data'!$A299,'Quarterly Data'!AC:AC)</f>
        <v>#DIV/0!</v>
      </c>
      <c r="AB299" t="e">
        <f>AVERAGEIF('Quarterly Data'!$B:$B,'Annual Data'!$A299,'Quarterly Data'!AD:AD)</f>
        <v>#DIV/0!</v>
      </c>
      <c r="AC299" t="e">
        <f>AVERAGEIF('Quarterly Data'!$B:$B,'Annual Data'!$A299,'Quarterly Data'!AE:AE)</f>
        <v>#DIV/0!</v>
      </c>
      <c r="AD299" t="e">
        <f>AVERAGEIF('Quarterly Data'!$B:$B,'Annual Data'!$A299,'Quarterly Data'!AF:AF)</f>
        <v>#DIV/0!</v>
      </c>
      <c r="AE299">
        <f>SUMIF('Quarterly Data'!$B:$B,'Annual Data'!$A299,'Quarterly Data'!AG:AG)</f>
        <v>0</v>
      </c>
    </row>
    <row r="300" spans="1:31" x14ac:dyDescent="0.25">
      <c r="A300">
        <v>2266</v>
      </c>
      <c r="B300">
        <f>SUMIF('Quarterly Data'!$B:$B,'Annual Data'!$A300,'Quarterly Data'!D:D)</f>
        <v>0</v>
      </c>
      <c r="C300" t="e">
        <f>AVERAGEIF('Quarterly Data'!$B:$B,'Annual Data'!$A300,'Quarterly Data'!E:E)</f>
        <v>#DIV/0!</v>
      </c>
      <c r="D300">
        <f>SUMIF('Quarterly Data'!$B:$B,'Annual Data'!$A300,'Quarterly Data'!F:F)</f>
        <v>0</v>
      </c>
      <c r="E300">
        <f>SUMIF('Quarterly Data'!$B:$B,'Annual Data'!$A300,'Quarterly Data'!G:G)</f>
        <v>0</v>
      </c>
      <c r="F300">
        <f>SUMIF('Quarterly Data'!$B:$B,'Annual Data'!$A300,'Quarterly Data'!H:H)</f>
        <v>0</v>
      </c>
      <c r="G300">
        <f>SUMIF('Quarterly Data'!$B:$B,'Annual Data'!$A300,'Quarterly Data'!I:I)</f>
        <v>0</v>
      </c>
      <c r="H300">
        <f>SUMIF('Quarterly Data'!$B:$B,'Annual Data'!$A300,'Quarterly Data'!J:J)</f>
        <v>0</v>
      </c>
      <c r="I300">
        <f>SUMIF('Quarterly Data'!$B:$B,'Annual Data'!$A300,'Quarterly Data'!K:K)</f>
        <v>0</v>
      </c>
      <c r="J300">
        <f>SUMIF('Quarterly Data'!$B:$B,'Annual Data'!$A300,'Quarterly Data'!L:L)</f>
        <v>0</v>
      </c>
      <c r="K300" t="e">
        <f>AVERAGEIF('Quarterly Data'!$B:$B,'Annual Data'!$A300,'Quarterly Data'!M:M)</f>
        <v>#DIV/0!</v>
      </c>
      <c r="L300" t="e">
        <f>AVERAGEIF('Quarterly Data'!$B:$B,'Annual Data'!$A300,'Quarterly Data'!N:N)</f>
        <v>#DIV/0!</v>
      </c>
      <c r="M300" t="e">
        <f>AVERAGEIF('Quarterly Data'!$B:$B,'Annual Data'!$A300,'Quarterly Data'!O:O)</f>
        <v>#DIV/0!</v>
      </c>
      <c r="N300" t="e">
        <f>AVERAGEIF('Quarterly Data'!$B:$B,'Annual Data'!$A300,'Quarterly Data'!P:P)</f>
        <v>#DIV/0!</v>
      </c>
      <c r="O300" t="e">
        <f>AVERAGEIF('Quarterly Data'!$B:$B,'Annual Data'!$A300,'Quarterly Data'!Q:Q)</f>
        <v>#DIV/0!</v>
      </c>
      <c r="P300">
        <f>SUMIF('Quarterly Data'!$B:$B,'Annual Data'!$A300,'Quarterly Data'!R:R)</f>
        <v>0</v>
      </c>
      <c r="Q300">
        <f>SUMIF('Quarterly Data'!$B:$B,'Annual Data'!$A300,'Quarterly Data'!S:S)</f>
        <v>0</v>
      </c>
      <c r="R300" t="e">
        <f>AVERAGEIF('Quarterly Data'!$B:$B,'Annual Data'!$A300,'Quarterly Data'!T:T)</f>
        <v>#DIV/0!</v>
      </c>
      <c r="S300">
        <f>SUMIF('Quarterly Data'!$B:$B,'Annual Data'!$A300,'Quarterly Data'!U:U)</f>
        <v>0</v>
      </c>
      <c r="T300">
        <f>SUMIF('Quarterly Data'!$B:$B,'Annual Data'!$A300,'Quarterly Data'!V:V)</f>
        <v>0</v>
      </c>
      <c r="U300">
        <f>SUMIF('Quarterly Data'!$B:$B,'Annual Data'!$A300,'Quarterly Data'!W:W)</f>
        <v>0</v>
      </c>
      <c r="V300">
        <f>SUMIF('Quarterly Data'!$B:$B,'Annual Data'!$A300,'Quarterly Data'!X:X)</f>
        <v>0</v>
      </c>
      <c r="W300">
        <f>SUMIF('Quarterly Data'!$B:$B,'Annual Data'!$A300,'Quarterly Data'!Y:Y)</f>
        <v>0</v>
      </c>
      <c r="X300">
        <f>SUMIF('Quarterly Data'!$B:$B,'Annual Data'!$A300,'Quarterly Data'!Z:Z)</f>
        <v>0</v>
      </c>
      <c r="Y300">
        <f>SUMIF('Quarterly Data'!$B:$B,'Annual Data'!$A300,'Quarterly Data'!AA:AA)</f>
        <v>0</v>
      </c>
      <c r="Z300" t="e">
        <f>AVERAGEIF('Quarterly Data'!$B:$B,'Annual Data'!$A300,'Quarterly Data'!AB:AB)</f>
        <v>#DIV/0!</v>
      </c>
      <c r="AA300" t="e">
        <f>AVERAGEIF('Quarterly Data'!$B:$B,'Annual Data'!$A300,'Quarterly Data'!AC:AC)</f>
        <v>#DIV/0!</v>
      </c>
      <c r="AB300" t="e">
        <f>AVERAGEIF('Quarterly Data'!$B:$B,'Annual Data'!$A300,'Quarterly Data'!AD:AD)</f>
        <v>#DIV/0!</v>
      </c>
      <c r="AC300" t="e">
        <f>AVERAGEIF('Quarterly Data'!$B:$B,'Annual Data'!$A300,'Quarterly Data'!AE:AE)</f>
        <v>#DIV/0!</v>
      </c>
      <c r="AD300" t="e">
        <f>AVERAGEIF('Quarterly Data'!$B:$B,'Annual Data'!$A300,'Quarterly Data'!AF:AF)</f>
        <v>#DIV/0!</v>
      </c>
      <c r="AE300">
        <f>SUMIF('Quarterly Data'!$B:$B,'Annual Data'!$A300,'Quarterly Data'!AG:AG)</f>
        <v>0</v>
      </c>
    </row>
    <row r="301" spans="1:31" x14ac:dyDescent="0.25">
      <c r="A301">
        <v>2267</v>
      </c>
      <c r="B301">
        <f>SUMIF('Quarterly Data'!$B:$B,'Annual Data'!$A301,'Quarterly Data'!D:D)</f>
        <v>0</v>
      </c>
      <c r="C301" t="e">
        <f>AVERAGEIF('Quarterly Data'!$B:$B,'Annual Data'!$A301,'Quarterly Data'!E:E)</f>
        <v>#DIV/0!</v>
      </c>
      <c r="D301">
        <f>SUMIF('Quarterly Data'!$B:$B,'Annual Data'!$A301,'Quarterly Data'!F:F)</f>
        <v>0</v>
      </c>
      <c r="E301">
        <f>SUMIF('Quarterly Data'!$B:$B,'Annual Data'!$A301,'Quarterly Data'!G:G)</f>
        <v>0</v>
      </c>
      <c r="F301">
        <f>SUMIF('Quarterly Data'!$B:$B,'Annual Data'!$A301,'Quarterly Data'!H:H)</f>
        <v>0</v>
      </c>
      <c r="G301">
        <f>SUMIF('Quarterly Data'!$B:$B,'Annual Data'!$A301,'Quarterly Data'!I:I)</f>
        <v>0</v>
      </c>
      <c r="H301">
        <f>SUMIF('Quarterly Data'!$B:$B,'Annual Data'!$A301,'Quarterly Data'!J:J)</f>
        <v>0</v>
      </c>
      <c r="I301">
        <f>SUMIF('Quarterly Data'!$B:$B,'Annual Data'!$A301,'Quarterly Data'!K:K)</f>
        <v>0</v>
      </c>
      <c r="J301">
        <f>SUMIF('Quarterly Data'!$B:$B,'Annual Data'!$A301,'Quarterly Data'!L:L)</f>
        <v>0</v>
      </c>
      <c r="K301" t="e">
        <f>AVERAGEIF('Quarterly Data'!$B:$B,'Annual Data'!$A301,'Quarterly Data'!M:M)</f>
        <v>#DIV/0!</v>
      </c>
      <c r="L301" t="e">
        <f>AVERAGEIF('Quarterly Data'!$B:$B,'Annual Data'!$A301,'Quarterly Data'!N:N)</f>
        <v>#DIV/0!</v>
      </c>
      <c r="M301" t="e">
        <f>AVERAGEIF('Quarterly Data'!$B:$B,'Annual Data'!$A301,'Quarterly Data'!O:O)</f>
        <v>#DIV/0!</v>
      </c>
      <c r="N301" t="e">
        <f>AVERAGEIF('Quarterly Data'!$B:$B,'Annual Data'!$A301,'Quarterly Data'!P:P)</f>
        <v>#DIV/0!</v>
      </c>
      <c r="O301" t="e">
        <f>AVERAGEIF('Quarterly Data'!$B:$B,'Annual Data'!$A301,'Quarterly Data'!Q:Q)</f>
        <v>#DIV/0!</v>
      </c>
      <c r="P301">
        <f>SUMIF('Quarterly Data'!$B:$B,'Annual Data'!$A301,'Quarterly Data'!R:R)</f>
        <v>0</v>
      </c>
      <c r="Q301">
        <f>SUMIF('Quarterly Data'!$B:$B,'Annual Data'!$A301,'Quarterly Data'!S:S)</f>
        <v>0</v>
      </c>
      <c r="R301" t="e">
        <f>AVERAGEIF('Quarterly Data'!$B:$B,'Annual Data'!$A301,'Quarterly Data'!T:T)</f>
        <v>#DIV/0!</v>
      </c>
      <c r="S301">
        <f>SUMIF('Quarterly Data'!$B:$B,'Annual Data'!$A301,'Quarterly Data'!U:U)</f>
        <v>0</v>
      </c>
      <c r="T301">
        <f>SUMIF('Quarterly Data'!$B:$B,'Annual Data'!$A301,'Quarterly Data'!V:V)</f>
        <v>0</v>
      </c>
      <c r="U301">
        <f>SUMIF('Quarterly Data'!$B:$B,'Annual Data'!$A301,'Quarterly Data'!W:W)</f>
        <v>0</v>
      </c>
      <c r="V301">
        <f>SUMIF('Quarterly Data'!$B:$B,'Annual Data'!$A301,'Quarterly Data'!X:X)</f>
        <v>0</v>
      </c>
      <c r="W301">
        <f>SUMIF('Quarterly Data'!$B:$B,'Annual Data'!$A301,'Quarterly Data'!Y:Y)</f>
        <v>0</v>
      </c>
      <c r="X301">
        <f>SUMIF('Quarterly Data'!$B:$B,'Annual Data'!$A301,'Quarterly Data'!Z:Z)</f>
        <v>0</v>
      </c>
      <c r="Y301">
        <f>SUMIF('Quarterly Data'!$B:$B,'Annual Data'!$A301,'Quarterly Data'!AA:AA)</f>
        <v>0</v>
      </c>
      <c r="Z301" t="e">
        <f>AVERAGEIF('Quarterly Data'!$B:$B,'Annual Data'!$A301,'Quarterly Data'!AB:AB)</f>
        <v>#DIV/0!</v>
      </c>
      <c r="AA301" t="e">
        <f>AVERAGEIF('Quarterly Data'!$B:$B,'Annual Data'!$A301,'Quarterly Data'!AC:AC)</f>
        <v>#DIV/0!</v>
      </c>
      <c r="AB301" t="e">
        <f>AVERAGEIF('Quarterly Data'!$B:$B,'Annual Data'!$A301,'Quarterly Data'!AD:AD)</f>
        <v>#DIV/0!</v>
      </c>
      <c r="AC301" t="e">
        <f>AVERAGEIF('Quarterly Data'!$B:$B,'Annual Data'!$A301,'Quarterly Data'!AE:AE)</f>
        <v>#DIV/0!</v>
      </c>
      <c r="AD301" t="e">
        <f>AVERAGEIF('Quarterly Data'!$B:$B,'Annual Data'!$A301,'Quarterly Data'!AF:AF)</f>
        <v>#DIV/0!</v>
      </c>
      <c r="AE301">
        <f>SUMIF('Quarterly Data'!$B:$B,'Annual Data'!$A301,'Quarterly Data'!AG:AG)</f>
        <v>0</v>
      </c>
    </row>
    <row r="302" spans="1:31" x14ac:dyDescent="0.25">
      <c r="A302">
        <v>2268</v>
      </c>
      <c r="B302">
        <f>SUMIF('Quarterly Data'!$B:$B,'Annual Data'!$A302,'Quarterly Data'!D:D)</f>
        <v>0</v>
      </c>
      <c r="C302" t="e">
        <f>AVERAGEIF('Quarterly Data'!$B:$B,'Annual Data'!$A302,'Quarterly Data'!E:E)</f>
        <v>#DIV/0!</v>
      </c>
      <c r="D302">
        <f>SUMIF('Quarterly Data'!$B:$B,'Annual Data'!$A302,'Quarterly Data'!F:F)</f>
        <v>0</v>
      </c>
      <c r="E302">
        <f>SUMIF('Quarterly Data'!$B:$B,'Annual Data'!$A302,'Quarterly Data'!G:G)</f>
        <v>0</v>
      </c>
      <c r="F302">
        <f>SUMIF('Quarterly Data'!$B:$B,'Annual Data'!$A302,'Quarterly Data'!H:H)</f>
        <v>0</v>
      </c>
      <c r="G302">
        <f>SUMIF('Quarterly Data'!$B:$B,'Annual Data'!$A302,'Quarterly Data'!I:I)</f>
        <v>0</v>
      </c>
      <c r="H302">
        <f>SUMIF('Quarterly Data'!$B:$B,'Annual Data'!$A302,'Quarterly Data'!J:J)</f>
        <v>0</v>
      </c>
      <c r="I302">
        <f>SUMIF('Quarterly Data'!$B:$B,'Annual Data'!$A302,'Quarterly Data'!K:K)</f>
        <v>0</v>
      </c>
      <c r="J302">
        <f>SUMIF('Quarterly Data'!$B:$B,'Annual Data'!$A302,'Quarterly Data'!L:L)</f>
        <v>0</v>
      </c>
      <c r="K302" t="e">
        <f>AVERAGEIF('Quarterly Data'!$B:$B,'Annual Data'!$A302,'Quarterly Data'!M:M)</f>
        <v>#DIV/0!</v>
      </c>
      <c r="L302" t="e">
        <f>AVERAGEIF('Quarterly Data'!$B:$B,'Annual Data'!$A302,'Quarterly Data'!N:N)</f>
        <v>#DIV/0!</v>
      </c>
      <c r="M302" t="e">
        <f>AVERAGEIF('Quarterly Data'!$B:$B,'Annual Data'!$A302,'Quarterly Data'!O:O)</f>
        <v>#DIV/0!</v>
      </c>
      <c r="N302" t="e">
        <f>AVERAGEIF('Quarterly Data'!$B:$B,'Annual Data'!$A302,'Quarterly Data'!P:P)</f>
        <v>#DIV/0!</v>
      </c>
      <c r="O302" t="e">
        <f>AVERAGEIF('Quarterly Data'!$B:$B,'Annual Data'!$A302,'Quarterly Data'!Q:Q)</f>
        <v>#DIV/0!</v>
      </c>
      <c r="P302">
        <f>SUMIF('Quarterly Data'!$B:$B,'Annual Data'!$A302,'Quarterly Data'!R:R)</f>
        <v>0</v>
      </c>
      <c r="Q302">
        <f>SUMIF('Quarterly Data'!$B:$B,'Annual Data'!$A302,'Quarterly Data'!S:S)</f>
        <v>0</v>
      </c>
      <c r="R302" t="e">
        <f>AVERAGEIF('Quarterly Data'!$B:$B,'Annual Data'!$A302,'Quarterly Data'!T:T)</f>
        <v>#DIV/0!</v>
      </c>
      <c r="S302">
        <f>SUMIF('Quarterly Data'!$B:$B,'Annual Data'!$A302,'Quarterly Data'!U:U)</f>
        <v>0</v>
      </c>
      <c r="T302">
        <f>SUMIF('Quarterly Data'!$B:$B,'Annual Data'!$A302,'Quarterly Data'!V:V)</f>
        <v>0</v>
      </c>
      <c r="U302">
        <f>SUMIF('Quarterly Data'!$B:$B,'Annual Data'!$A302,'Quarterly Data'!W:W)</f>
        <v>0</v>
      </c>
      <c r="V302">
        <f>SUMIF('Quarterly Data'!$B:$B,'Annual Data'!$A302,'Quarterly Data'!X:X)</f>
        <v>0</v>
      </c>
      <c r="W302">
        <f>SUMIF('Quarterly Data'!$B:$B,'Annual Data'!$A302,'Quarterly Data'!Y:Y)</f>
        <v>0</v>
      </c>
      <c r="X302">
        <f>SUMIF('Quarterly Data'!$B:$B,'Annual Data'!$A302,'Quarterly Data'!Z:Z)</f>
        <v>0</v>
      </c>
      <c r="Y302">
        <f>SUMIF('Quarterly Data'!$B:$B,'Annual Data'!$A302,'Quarterly Data'!AA:AA)</f>
        <v>0</v>
      </c>
      <c r="Z302" t="e">
        <f>AVERAGEIF('Quarterly Data'!$B:$B,'Annual Data'!$A302,'Quarterly Data'!AB:AB)</f>
        <v>#DIV/0!</v>
      </c>
      <c r="AA302" t="e">
        <f>AVERAGEIF('Quarterly Data'!$B:$B,'Annual Data'!$A302,'Quarterly Data'!AC:AC)</f>
        <v>#DIV/0!</v>
      </c>
      <c r="AB302" t="e">
        <f>AVERAGEIF('Quarterly Data'!$B:$B,'Annual Data'!$A302,'Quarterly Data'!AD:AD)</f>
        <v>#DIV/0!</v>
      </c>
      <c r="AC302" t="e">
        <f>AVERAGEIF('Quarterly Data'!$B:$B,'Annual Data'!$A302,'Quarterly Data'!AE:AE)</f>
        <v>#DIV/0!</v>
      </c>
      <c r="AD302" t="e">
        <f>AVERAGEIF('Quarterly Data'!$B:$B,'Annual Data'!$A302,'Quarterly Data'!AF:AF)</f>
        <v>#DIV/0!</v>
      </c>
      <c r="AE302">
        <f>SUMIF('Quarterly Data'!$B:$B,'Annual Data'!$A302,'Quarterly Data'!AG:AG)</f>
        <v>0</v>
      </c>
    </row>
    <row r="303" spans="1:31" x14ac:dyDescent="0.25">
      <c r="A303">
        <v>2269</v>
      </c>
      <c r="B303">
        <f>SUMIF('Quarterly Data'!$B:$B,'Annual Data'!$A303,'Quarterly Data'!D:D)</f>
        <v>0</v>
      </c>
      <c r="C303" t="e">
        <f>AVERAGEIF('Quarterly Data'!$B:$B,'Annual Data'!$A303,'Quarterly Data'!E:E)</f>
        <v>#DIV/0!</v>
      </c>
      <c r="D303">
        <f>SUMIF('Quarterly Data'!$B:$B,'Annual Data'!$A303,'Quarterly Data'!F:F)</f>
        <v>0</v>
      </c>
      <c r="E303">
        <f>SUMIF('Quarterly Data'!$B:$B,'Annual Data'!$A303,'Quarterly Data'!G:G)</f>
        <v>0</v>
      </c>
      <c r="F303">
        <f>SUMIF('Quarterly Data'!$B:$B,'Annual Data'!$A303,'Quarterly Data'!H:H)</f>
        <v>0</v>
      </c>
      <c r="G303">
        <f>SUMIF('Quarterly Data'!$B:$B,'Annual Data'!$A303,'Quarterly Data'!I:I)</f>
        <v>0</v>
      </c>
      <c r="H303">
        <f>SUMIF('Quarterly Data'!$B:$B,'Annual Data'!$A303,'Quarterly Data'!J:J)</f>
        <v>0</v>
      </c>
      <c r="I303">
        <f>SUMIF('Quarterly Data'!$B:$B,'Annual Data'!$A303,'Quarterly Data'!K:K)</f>
        <v>0</v>
      </c>
      <c r="J303">
        <f>SUMIF('Quarterly Data'!$B:$B,'Annual Data'!$A303,'Quarterly Data'!L:L)</f>
        <v>0</v>
      </c>
      <c r="K303" t="e">
        <f>AVERAGEIF('Quarterly Data'!$B:$B,'Annual Data'!$A303,'Quarterly Data'!M:M)</f>
        <v>#DIV/0!</v>
      </c>
      <c r="L303" t="e">
        <f>AVERAGEIF('Quarterly Data'!$B:$B,'Annual Data'!$A303,'Quarterly Data'!N:N)</f>
        <v>#DIV/0!</v>
      </c>
      <c r="M303" t="e">
        <f>AVERAGEIF('Quarterly Data'!$B:$B,'Annual Data'!$A303,'Quarterly Data'!O:O)</f>
        <v>#DIV/0!</v>
      </c>
      <c r="N303" t="e">
        <f>AVERAGEIF('Quarterly Data'!$B:$B,'Annual Data'!$A303,'Quarterly Data'!P:P)</f>
        <v>#DIV/0!</v>
      </c>
      <c r="O303" t="e">
        <f>AVERAGEIF('Quarterly Data'!$B:$B,'Annual Data'!$A303,'Quarterly Data'!Q:Q)</f>
        <v>#DIV/0!</v>
      </c>
      <c r="P303">
        <f>SUMIF('Quarterly Data'!$B:$B,'Annual Data'!$A303,'Quarterly Data'!R:R)</f>
        <v>0</v>
      </c>
      <c r="Q303">
        <f>SUMIF('Quarterly Data'!$B:$B,'Annual Data'!$A303,'Quarterly Data'!S:S)</f>
        <v>0</v>
      </c>
      <c r="R303" t="e">
        <f>AVERAGEIF('Quarterly Data'!$B:$B,'Annual Data'!$A303,'Quarterly Data'!T:T)</f>
        <v>#DIV/0!</v>
      </c>
      <c r="S303">
        <f>SUMIF('Quarterly Data'!$B:$B,'Annual Data'!$A303,'Quarterly Data'!U:U)</f>
        <v>0</v>
      </c>
      <c r="T303">
        <f>SUMIF('Quarterly Data'!$B:$B,'Annual Data'!$A303,'Quarterly Data'!V:V)</f>
        <v>0</v>
      </c>
      <c r="U303">
        <f>SUMIF('Quarterly Data'!$B:$B,'Annual Data'!$A303,'Quarterly Data'!W:W)</f>
        <v>0</v>
      </c>
      <c r="V303">
        <f>SUMIF('Quarterly Data'!$B:$B,'Annual Data'!$A303,'Quarterly Data'!X:X)</f>
        <v>0</v>
      </c>
      <c r="W303">
        <f>SUMIF('Quarterly Data'!$B:$B,'Annual Data'!$A303,'Quarterly Data'!Y:Y)</f>
        <v>0</v>
      </c>
      <c r="X303">
        <f>SUMIF('Quarterly Data'!$B:$B,'Annual Data'!$A303,'Quarterly Data'!Z:Z)</f>
        <v>0</v>
      </c>
      <c r="Y303">
        <f>SUMIF('Quarterly Data'!$B:$B,'Annual Data'!$A303,'Quarterly Data'!AA:AA)</f>
        <v>0</v>
      </c>
      <c r="Z303" t="e">
        <f>AVERAGEIF('Quarterly Data'!$B:$B,'Annual Data'!$A303,'Quarterly Data'!AB:AB)</f>
        <v>#DIV/0!</v>
      </c>
      <c r="AA303" t="e">
        <f>AVERAGEIF('Quarterly Data'!$B:$B,'Annual Data'!$A303,'Quarterly Data'!AC:AC)</f>
        <v>#DIV/0!</v>
      </c>
      <c r="AB303" t="e">
        <f>AVERAGEIF('Quarterly Data'!$B:$B,'Annual Data'!$A303,'Quarterly Data'!AD:AD)</f>
        <v>#DIV/0!</v>
      </c>
      <c r="AC303" t="e">
        <f>AVERAGEIF('Quarterly Data'!$B:$B,'Annual Data'!$A303,'Quarterly Data'!AE:AE)</f>
        <v>#DIV/0!</v>
      </c>
      <c r="AD303" t="e">
        <f>AVERAGEIF('Quarterly Data'!$B:$B,'Annual Data'!$A303,'Quarterly Data'!AF:AF)</f>
        <v>#DIV/0!</v>
      </c>
      <c r="AE303">
        <f>SUMIF('Quarterly Data'!$B:$B,'Annual Data'!$A303,'Quarterly Data'!AG:AG)</f>
        <v>0</v>
      </c>
    </row>
    <row r="304" spans="1:31" x14ac:dyDescent="0.25">
      <c r="A304">
        <v>2270</v>
      </c>
      <c r="B304">
        <f>SUMIF('Quarterly Data'!$B:$B,'Annual Data'!$A304,'Quarterly Data'!D:D)</f>
        <v>0</v>
      </c>
      <c r="C304" t="e">
        <f>AVERAGEIF('Quarterly Data'!$B:$B,'Annual Data'!$A304,'Quarterly Data'!E:E)</f>
        <v>#DIV/0!</v>
      </c>
      <c r="D304">
        <f>SUMIF('Quarterly Data'!$B:$B,'Annual Data'!$A304,'Quarterly Data'!F:F)</f>
        <v>0</v>
      </c>
      <c r="E304">
        <f>SUMIF('Quarterly Data'!$B:$B,'Annual Data'!$A304,'Quarterly Data'!G:G)</f>
        <v>0</v>
      </c>
      <c r="F304">
        <f>SUMIF('Quarterly Data'!$B:$B,'Annual Data'!$A304,'Quarterly Data'!H:H)</f>
        <v>0</v>
      </c>
      <c r="G304">
        <f>SUMIF('Quarterly Data'!$B:$B,'Annual Data'!$A304,'Quarterly Data'!I:I)</f>
        <v>0</v>
      </c>
      <c r="H304">
        <f>SUMIF('Quarterly Data'!$B:$B,'Annual Data'!$A304,'Quarterly Data'!J:J)</f>
        <v>0</v>
      </c>
      <c r="I304">
        <f>SUMIF('Quarterly Data'!$B:$B,'Annual Data'!$A304,'Quarterly Data'!K:K)</f>
        <v>0</v>
      </c>
      <c r="J304">
        <f>SUMIF('Quarterly Data'!$B:$B,'Annual Data'!$A304,'Quarterly Data'!L:L)</f>
        <v>0</v>
      </c>
      <c r="K304" t="e">
        <f>AVERAGEIF('Quarterly Data'!$B:$B,'Annual Data'!$A304,'Quarterly Data'!M:M)</f>
        <v>#DIV/0!</v>
      </c>
      <c r="L304" t="e">
        <f>AVERAGEIF('Quarterly Data'!$B:$B,'Annual Data'!$A304,'Quarterly Data'!N:N)</f>
        <v>#DIV/0!</v>
      </c>
      <c r="M304" t="e">
        <f>AVERAGEIF('Quarterly Data'!$B:$B,'Annual Data'!$A304,'Quarterly Data'!O:O)</f>
        <v>#DIV/0!</v>
      </c>
      <c r="N304" t="e">
        <f>AVERAGEIF('Quarterly Data'!$B:$B,'Annual Data'!$A304,'Quarterly Data'!P:P)</f>
        <v>#DIV/0!</v>
      </c>
      <c r="O304" t="e">
        <f>AVERAGEIF('Quarterly Data'!$B:$B,'Annual Data'!$A304,'Quarterly Data'!Q:Q)</f>
        <v>#DIV/0!</v>
      </c>
      <c r="P304">
        <f>SUMIF('Quarterly Data'!$B:$B,'Annual Data'!$A304,'Quarterly Data'!R:R)</f>
        <v>0</v>
      </c>
      <c r="Q304">
        <f>SUMIF('Quarterly Data'!$B:$B,'Annual Data'!$A304,'Quarterly Data'!S:S)</f>
        <v>0</v>
      </c>
      <c r="R304" t="e">
        <f>AVERAGEIF('Quarterly Data'!$B:$B,'Annual Data'!$A304,'Quarterly Data'!T:T)</f>
        <v>#DIV/0!</v>
      </c>
      <c r="S304">
        <f>SUMIF('Quarterly Data'!$B:$B,'Annual Data'!$A304,'Quarterly Data'!U:U)</f>
        <v>0</v>
      </c>
      <c r="T304">
        <f>SUMIF('Quarterly Data'!$B:$B,'Annual Data'!$A304,'Quarterly Data'!V:V)</f>
        <v>0</v>
      </c>
      <c r="U304">
        <f>SUMIF('Quarterly Data'!$B:$B,'Annual Data'!$A304,'Quarterly Data'!W:W)</f>
        <v>0</v>
      </c>
      <c r="V304">
        <f>SUMIF('Quarterly Data'!$B:$B,'Annual Data'!$A304,'Quarterly Data'!X:X)</f>
        <v>0</v>
      </c>
      <c r="W304">
        <f>SUMIF('Quarterly Data'!$B:$B,'Annual Data'!$A304,'Quarterly Data'!Y:Y)</f>
        <v>0</v>
      </c>
      <c r="X304">
        <f>SUMIF('Quarterly Data'!$B:$B,'Annual Data'!$A304,'Quarterly Data'!Z:Z)</f>
        <v>0</v>
      </c>
      <c r="Y304">
        <f>SUMIF('Quarterly Data'!$B:$B,'Annual Data'!$A304,'Quarterly Data'!AA:AA)</f>
        <v>0</v>
      </c>
      <c r="Z304" t="e">
        <f>AVERAGEIF('Quarterly Data'!$B:$B,'Annual Data'!$A304,'Quarterly Data'!AB:AB)</f>
        <v>#DIV/0!</v>
      </c>
      <c r="AA304" t="e">
        <f>AVERAGEIF('Quarterly Data'!$B:$B,'Annual Data'!$A304,'Quarterly Data'!AC:AC)</f>
        <v>#DIV/0!</v>
      </c>
      <c r="AB304" t="e">
        <f>AVERAGEIF('Quarterly Data'!$B:$B,'Annual Data'!$A304,'Quarterly Data'!AD:AD)</f>
        <v>#DIV/0!</v>
      </c>
      <c r="AC304" t="e">
        <f>AVERAGEIF('Quarterly Data'!$B:$B,'Annual Data'!$A304,'Quarterly Data'!AE:AE)</f>
        <v>#DIV/0!</v>
      </c>
      <c r="AD304" t="e">
        <f>AVERAGEIF('Quarterly Data'!$B:$B,'Annual Data'!$A304,'Quarterly Data'!AF:AF)</f>
        <v>#DIV/0!</v>
      </c>
      <c r="AE304">
        <f>SUMIF('Quarterly Data'!$B:$B,'Annual Data'!$A304,'Quarterly Data'!AG:AG)</f>
        <v>0</v>
      </c>
    </row>
    <row r="305" spans="1:31" x14ac:dyDescent="0.25">
      <c r="A305">
        <v>2271</v>
      </c>
      <c r="B305">
        <f>SUMIF('Quarterly Data'!$B:$B,'Annual Data'!$A305,'Quarterly Data'!D:D)</f>
        <v>0</v>
      </c>
      <c r="C305" t="e">
        <f>AVERAGEIF('Quarterly Data'!$B:$B,'Annual Data'!$A305,'Quarterly Data'!E:E)</f>
        <v>#DIV/0!</v>
      </c>
      <c r="D305">
        <f>SUMIF('Quarterly Data'!$B:$B,'Annual Data'!$A305,'Quarterly Data'!F:F)</f>
        <v>0</v>
      </c>
      <c r="E305">
        <f>SUMIF('Quarterly Data'!$B:$B,'Annual Data'!$A305,'Quarterly Data'!G:G)</f>
        <v>0</v>
      </c>
      <c r="F305">
        <f>SUMIF('Quarterly Data'!$B:$B,'Annual Data'!$A305,'Quarterly Data'!H:H)</f>
        <v>0</v>
      </c>
      <c r="G305">
        <f>SUMIF('Quarterly Data'!$B:$B,'Annual Data'!$A305,'Quarterly Data'!I:I)</f>
        <v>0</v>
      </c>
      <c r="H305">
        <f>SUMIF('Quarterly Data'!$B:$B,'Annual Data'!$A305,'Quarterly Data'!J:J)</f>
        <v>0</v>
      </c>
      <c r="I305">
        <f>SUMIF('Quarterly Data'!$B:$B,'Annual Data'!$A305,'Quarterly Data'!K:K)</f>
        <v>0</v>
      </c>
      <c r="J305">
        <f>SUMIF('Quarterly Data'!$B:$B,'Annual Data'!$A305,'Quarterly Data'!L:L)</f>
        <v>0</v>
      </c>
      <c r="K305" t="e">
        <f>AVERAGEIF('Quarterly Data'!$B:$B,'Annual Data'!$A305,'Quarterly Data'!M:M)</f>
        <v>#DIV/0!</v>
      </c>
      <c r="L305" t="e">
        <f>AVERAGEIF('Quarterly Data'!$B:$B,'Annual Data'!$A305,'Quarterly Data'!N:N)</f>
        <v>#DIV/0!</v>
      </c>
      <c r="M305" t="e">
        <f>AVERAGEIF('Quarterly Data'!$B:$B,'Annual Data'!$A305,'Quarterly Data'!O:O)</f>
        <v>#DIV/0!</v>
      </c>
      <c r="N305" t="e">
        <f>AVERAGEIF('Quarterly Data'!$B:$B,'Annual Data'!$A305,'Quarterly Data'!P:P)</f>
        <v>#DIV/0!</v>
      </c>
      <c r="O305" t="e">
        <f>AVERAGEIF('Quarterly Data'!$B:$B,'Annual Data'!$A305,'Quarterly Data'!Q:Q)</f>
        <v>#DIV/0!</v>
      </c>
      <c r="P305">
        <f>SUMIF('Quarterly Data'!$B:$B,'Annual Data'!$A305,'Quarterly Data'!R:R)</f>
        <v>0</v>
      </c>
      <c r="Q305">
        <f>SUMIF('Quarterly Data'!$B:$B,'Annual Data'!$A305,'Quarterly Data'!S:S)</f>
        <v>0</v>
      </c>
      <c r="R305" t="e">
        <f>AVERAGEIF('Quarterly Data'!$B:$B,'Annual Data'!$A305,'Quarterly Data'!T:T)</f>
        <v>#DIV/0!</v>
      </c>
      <c r="S305">
        <f>SUMIF('Quarterly Data'!$B:$B,'Annual Data'!$A305,'Quarterly Data'!U:U)</f>
        <v>0</v>
      </c>
      <c r="T305">
        <f>SUMIF('Quarterly Data'!$B:$B,'Annual Data'!$A305,'Quarterly Data'!V:V)</f>
        <v>0</v>
      </c>
      <c r="U305">
        <f>SUMIF('Quarterly Data'!$B:$B,'Annual Data'!$A305,'Quarterly Data'!W:W)</f>
        <v>0</v>
      </c>
      <c r="V305">
        <f>SUMIF('Quarterly Data'!$B:$B,'Annual Data'!$A305,'Quarterly Data'!X:X)</f>
        <v>0</v>
      </c>
      <c r="W305">
        <f>SUMIF('Quarterly Data'!$B:$B,'Annual Data'!$A305,'Quarterly Data'!Y:Y)</f>
        <v>0</v>
      </c>
      <c r="X305">
        <f>SUMIF('Quarterly Data'!$B:$B,'Annual Data'!$A305,'Quarterly Data'!Z:Z)</f>
        <v>0</v>
      </c>
      <c r="Y305">
        <f>SUMIF('Quarterly Data'!$B:$B,'Annual Data'!$A305,'Quarterly Data'!AA:AA)</f>
        <v>0</v>
      </c>
      <c r="Z305" t="e">
        <f>AVERAGEIF('Quarterly Data'!$B:$B,'Annual Data'!$A305,'Quarterly Data'!AB:AB)</f>
        <v>#DIV/0!</v>
      </c>
      <c r="AA305" t="e">
        <f>AVERAGEIF('Quarterly Data'!$B:$B,'Annual Data'!$A305,'Quarterly Data'!AC:AC)</f>
        <v>#DIV/0!</v>
      </c>
      <c r="AB305" t="e">
        <f>AVERAGEIF('Quarterly Data'!$B:$B,'Annual Data'!$A305,'Quarterly Data'!AD:AD)</f>
        <v>#DIV/0!</v>
      </c>
      <c r="AC305" t="e">
        <f>AVERAGEIF('Quarterly Data'!$B:$B,'Annual Data'!$A305,'Quarterly Data'!AE:AE)</f>
        <v>#DIV/0!</v>
      </c>
      <c r="AD305" t="e">
        <f>AVERAGEIF('Quarterly Data'!$B:$B,'Annual Data'!$A305,'Quarterly Data'!AF:AF)</f>
        <v>#DIV/0!</v>
      </c>
      <c r="AE305">
        <f>SUMIF('Quarterly Data'!$B:$B,'Annual Data'!$A305,'Quarterly Data'!AG:AG)</f>
        <v>0</v>
      </c>
    </row>
    <row r="306" spans="1:31" x14ac:dyDescent="0.25">
      <c r="A306">
        <v>2272</v>
      </c>
      <c r="B306">
        <f>SUMIF('Quarterly Data'!$B:$B,'Annual Data'!$A306,'Quarterly Data'!D:D)</f>
        <v>0</v>
      </c>
      <c r="C306" t="e">
        <f>AVERAGEIF('Quarterly Data'!$B:$B,'Annual Data'!$A306,'Quarterly Data'!E:E)</f>
        <v>#DIV/0!</v>
      </c>
      <c r="D306">
        <f>SUMIF('Quarterly Data'!$B:$B,'Annual Data'!$A306,'Quarterly Data'!F:F)</f>
        <v>0</v>
      </c>
      <c r="E306">
        <f>SUMIF('Quarterly Data'!$B:$B,'Annual Data'!$A306,'Quarterly Data'!G:G)</f>
        <v>0</v>
      </c>
      <c r="F306">
        <f>SUMIF('Quarterly Data'!$B:$B,'Annual Data'!$A306,'Quarterly Data'!H:H)</f>
        <v>0</v>
      </c>
      <c r="G306">
        <f>SUMIF('Quarterly Data'!$B:$B,'Annual Data'!$A306,'Quarterly Data'!I:I)</f>
        <v>0</v>
      </c>
      <c r="H306">
        <f>SUMIF('Quarterly Data'!$B:$B,'Annual Data'!$A306,'Quarterly Data'!J:J)</f>
        <v>0</v>
      </c>
      <c r="I306">
        <f>SUMIF('Quarterly Data'!$B:$B,'Annual Data'!$A306,'Quarterly Data'!K:K)</f>
        <v>0</v>
      </c>
      <c r="J306">
        <f>SUMIF('Quarterly Data'!$B:$B,'Annual Data'!$A306,'Quarterly Data'!L:L)</f>
        <v>0</v>
      </c>
      <c r="K306" t="e">
        <f>AVERAGEIF('Quarterly Data'!$B:$B,'Annual Data'!$A306,'Quarterly Data'!M:M)</f>
        <v>#DIV/0!</v>
      </c>
      <c r="L306" t="e">
        <f>AVERAGEIF('Quarterly Data'!$B:$B,'Annual Data'!$A306,'Quarterly Data'!N:N)</f>
        <v>#DIV/0!</v>
      </c>
      <c r="M306" t="e">
        <f>AVERAGEIF('Quarterly Data'!$B:$B,'Annual Data'!$A306,'Quarterly Data'!O:O)</f>
        <v>#DIV/0!</v>
      </c>
      <c r="N306" t="e">
        <f>AVERAGEIF('Quarterly Data'!$B:$B,'Annual Data'!$A306,'Quarterly Data'!P:P)</f>
        <v>#DIV/0!</v>
      </c>
      <c r="O306" t="e">
        <f>AVERAGEIF('Quarterly Data'!$B:$B,'Annual Data'!$A306,'Quarterly Data'!Q:Q)</f>
        <v>#DIV/0!</v>
      </c>
      <c r="P306">
        <f>SUMIF('Quarterly Data'!$B:$B,'Annual Data'!$A306,'Quarterly Data'!R:R)</f>
        <v>0</v>
      </c>
      <c r="Q306">
        <f>SUMIF('Quarterly Data'!$B:$B,'Annual Data'!$A306,'Quarterly Data'!S:S)</f>
        <v>0</v>
      </c>
      <c r="R306" t="e">
        <f>AVERAGEIF('Quarterly Data'!$B:$B,'Annual Data'!$A306,'Quarterly Data'!T:T)</f>
        <v>#DIV/0!</v>
      </c>
      <c r="S306">
        <f>SUMIF('Quarterly Data'!$B:$B,'Annual Data'!$A306,'Quarterly Data'!U:U)</f>
        <v>0</v>
      </c>
      <c r="T306">
        <f>SUMIF('Quarterly Data'!$B:$B,'Annual Data'!$A306,'Quarterly Data'!V:V)</f>
        <v>0</v>
      </c>
      <c r="U306">
        <f>SUMIF('Quarterly Data'!$B:$B,'Annual Data'!$A306,'Quarterly Data'!W:W)</f>
        <v>0</v>
      </c>
      <c r="V306">
        <f>SUMIF('Quarterly Data'!$B:$B,'Annual Data'!$A306,'Quarterly Data'!X:X)</f>
        <v>0</v>
      </c>
      <c r="W306">
        <f>SUMIF('Quarterly Data'!$B:$B,'Annual Data'!$A306,'Quarterly Data'!Y:Y)</f>
        <v>0</v>
      </c>
      <c r="X306">
        <f>SUMIF('Quarterly Data'!$B:$B,'Annual Data'!$A306,'Quarterly Data'!Z:Z)</f>
        <v>0</v>
      </c>
      <c r="Y306">
        <f>SUMIF('Quarterly Data'!$B:$B,'Annual Data'!$A306,'Quarterly Data'!AA:AA)</f>
        <v>0</v>
      </c>
      <c r="Z306" t="e">
        <f>AVERAGEIF('Quarterly Data'!$B:$B,'Annual Data'!$A306,'Quarterly Data'!AB:AB)</f>
        <v>#DIV/0!</v>
      </c>
      <c r="AA306" t="e">
        <f>AVERAGEIF('Quarterly Data'!$B:$B,'Annual Data'!$A306,'Quarterly Data'!AC:AC)</f>
        <v>#DIV/0!</v>
      </c>
      <c r="AB306" t="e">
        <f>AVERAGEIF('Quarterly Data'!$B:$B,'Annual Data'!$A306,'Quarterly Data'!AD:AD)</f>
        <v>#DIV/0!</v>
      </c>
      <c r="AC306" t="e">
        <f>AVERAGEIF('Quarterly Data'!$B:$B,'Annual Data'!$A306,'Quarterly Data'!AE:AE)</f>
        <v>#DIV/0!</v>
      </c>
      <c r="AD306" t="e">
        <f>AVERAGEIF('Quarterly Data'!$B:$B,'Annual Data'!$A306,'Quarterly Data'!AF:AF)</f>
        <v>#DIV/0!</v>
      </c>
      <c r="AE306">
        <f>SUMIF('Quarterly Data'!$B:$B,'Annual Data'!$A306,'Quarterly Data'!AG:AG)</f>
        <v>0</v>
      </c>
    </row>
    <row r="307" spans="1:31" x14ac:dyDescent="0.25">
      <c r="A307">
        <v>2273</v>
      </c>
      <c r="B307">
        <f>SUMIF('Quarterly Data'!$B:$B,'Annual Data'!$A307,'Quarterly Data'!D:D)</f>
        <v>0</v>
      </c>
      <c r="C307" t="e">
        <f>AVERAGEIF('Quarterly Data'!$B:$B,'Annual Data'!$A307,'Quarterly Data'!E:E)</f>
        <v>#DIV/0!</v>
      </c>
      <c r="D307">
        <f>SUMIF('Quarterly Data'!$B:$B,'Annual Data'!$A307,'Quarterly Data'!F:F)</f>
        <v>0</v>
      </c>
      <c r="E307">
        <f>SUMIF('Quarterly Data'!$B:$B,'Annual Data'!$A307,'Quarterly Data'!G:G)</f>
        <v>0</v>
      </c>
      <c r="F307">
        <f>SUMIF('Quarterly Data'!$B:$B,'Annual Data'!$A307,'Quarterly Data'!H:H)</f>
        <v>0</v>
      </c>
      <c r="G307">
        <f>SUMIF('Quarterly Data'!$B:$B,'Annual Data'!$A307,'Quarterly Data'!I:I)</f>
        <v>0</v>
      </c>
      <c r="H307">
        <f>SUMIF('Quarterly Data'!$B:$B,'Annual Data'!$A307,'Quarterly Data'!J:J)</f>
        <v>0</v>
      </c>
      <c r="I307">
        <f>SUMIF('Quarterly Data'!$B:$B,'Annual Data'!$A307,'Quarterly Data'!K:K)</f>
        <v>0</v>
      </c>
      <c r="J307">
        <f>SUMIF('Quarterly Data'!$B:$B,'Annual Data'!$A307,'Quarterly Data'!L:L)</f>
        <v>0</v>
      </c>
      <c r="K307" t="e">
        <f>AVERAGEIF('Quarterly Data'!$B:$B,'Annual Data'!$A307,'Quarterly Data'!M:M)</f>
        <v>#DIV/0!</v>
      </c>
      <c r="L307" t="e">
        <f>AVERAGEIF('Quarterly Data'!$B:$B,'Annual Data'!$A307,'Quarterly Data'!N:N)</f>
        <v>#DIV/0!</v>
      </c>
      <c r="M307" t="e">
        <f>AVERAGEIF('Quarterly Data'!$B:$B,'Annual Data'!$A307,'Quarterly Data'!O:O)</f>
        <v>#DIV/0!</v>
      </c>
      <c r="N307" t="e">
        <f>AVERAGEIF('Quarterly Data'!$B:$B,'Annual Data'!$A307,'Quarterly Data'!P:P)</f>
        <v>#DIV/0!</v>
      </c>
      <c r="O307" t="e">
        <f>AVERAGEIF('Quarterly Data'!$B:$B,'Annual Data'!$A307,'Quarterly Data'!Q:Q)</f>
        <v>#DIV/0!</v>
      </c>
      <c r="P307">
        <f>SUMIF('Quarterly Data'!$B:$B,'Annual Data'!$A307,'Quarterly Data'!R:R)</f>
        <v>0</v>
      </c>
      <c r="Q307">
        <f>SUMIF('Quarterly Data'!$B:$B,'Annual Data'!$A307,'Quarterly Data'!S:S)</f>
        <v>0</v>
      </c>
      <c r="R307" t="e">
        <f>AVERAGEIF('Quarterly Data'!$B:$B,'Annual Data'!$A307,'Quarterly Data'!T:T)</f>
        <v>#DIV/0!</v>
      </c>
      <c r="S307">
        <f>SUMIF('Quarterly Data'!$B:$B,'Annual Data'!$A307,'Quarterly Data'!U:U)</f>
        <v>0</v>
      </c>
      <c r="T307">
        <f>SUMIF('Quarterly Data'!$B:$B,'Annual Data'!$A307,'Quarterly Data'!V:V)</f>
        <v>0</v>
      </c>
      <c r="U307">
        <f>SUMIF('Quarterly Data'!$B:$B,'Annual Data'!$A307,'Quarterly Data'!W:W)</f>
        <v>0</v>
      </c>
      <c r="V307">
        <f>SUMIF('Quarterly Data'!$B:$B,'Annual Data'!$A307,'Quarterly Data'!X:X)</f>
        <v>0</v>
      </c>
      <c r="W307">
        <f>SUMIF('Quarterly Data'!$B:$B,'Annual Data'!$A307,'Quarterly Data'!Y:Y)</f>
        <v>0</v>
      </c>
      <c r="X307">
        <f>SUMIF('Quarterly Data'!$B:$B,'Annual Data'!$A307,'Quarterly Data'!Z:Z)</f>
        <v>0</v>
      </c>
      <c r="Y307">
        <f>SUMIF('Quarterly Data'!$B:$B,'Annual Data'!$A307,'Quarterly Data'!AA:AA)</f>
        <v>0</v>
      </c>
      <c r="Z307" t="e">
        <f>AVERAGEIF('Quarterly Data'!$B:$B,'Annual Data'!$A307,'Quarterly Data'!AB:AB)</f>
        <v>#DIV/0!</v>
      </c>
      <c r="AA307" t="e">
        <f>AVERAGEIF('Quarterly Data'!$B:$B,'Annual Data'!$A307,'Quarterly Data'!AC:AC)</f>
        <v>#DIV/0!</v>
      </c>
      <c r="AB307" t="e">
        <f>AVERAGEIF('Quarterly Data'!$B:$B,'Annual Data'!$A307,'Quarterly Data'!AD:AD)</f>
        <v>#DIV/0!</v>
      </c>
      <c r="AC307" t="e">
        <f>AVERAGEIF('Quarterly Data'!$B:$B,'Annual Data'!$A307,'Quarterly Data'!AE:AE)</f>
        <v>#DIV/0!</v>
      </c>
      <c r="AD307" t="e">
        <f>AVERAGEIF('Quarterly Data'!$B:$B,'Annual Data'!$A307,'Quarterly Data'!AF:AF)</f>
        <v>#DIV/0!</v>
      </c>
      <c r="AE307">
        <f>SUMIF('Quarterly Data'!$B:$B,'Annual Data'!$A307,'Quarterly Data'!AG:AG)</f>
        <v>0</v>
      </c>
    </row>
    <row r="308" spans="1:31" x14ac:dyDescent="0.25">
      <c r="A308">
        <v>2274</v>
      </c>
      <c r="B308">
        <f>SUMIF('Quarterly Data'!$B:$B,'Annual Data'!$A308,'Quarterly Data'!D:D)</f>
        <v>0</v>
      </c>
      <c r="C308" t="e">
        <f>AVERAGEIF('Quarterly Data'!$B:$B,'Annual Data'!$A308,'Quarterly Data'!E:E)</f>
        <v>#DIV/0!</v>
      </c>
      <c r="D308">
        <f>SUMIF('Quarterly Data'!$B:$B,'Annual Data'!$A308,'Quarterly Data'!F:F)</f>
        <v>0</v>
      </c>
      <c r="E308">
        <f>SUMIF('Quarterly Data'!$B:$B,'Annual Data'!$A308,'Quarterly Data'!G:G)</f>
        <v>0</v>
      </c>
      <c r="F308">
        <f>SUMIF('Quarterly Data'!$B:$B,'Annual Data'!$A308,'Quarterly Data'!H:H)</f>
        <v>0</v>
      </c>
      <c r="G308">
        <f>SUMIF('Quarterly Data'!$B:$B,'Annual Data'!$A308,'Quarterly Data'!I:I)</f>
        <v>0</v>
      </c>
      <c r="H308">
        <f>SUMIF('Quarterly Data'!$B:$B,'Annual Data'!$A308,'Quarterly Data'!J:J)</f>
        <v>0</v>
      </c>
      <c r="I308">
        <f>SUMIF('Quarterly Data'!$B:$B,'Annual Data'!$A308,'Quarterly Data'!K:K)</f>
        <v>0</v>
      </c>
      <c r="J308">
        <f>SUMIF('Quarterly Data'!$B:$B,'Annual Data'!$A308,'Quarterly Data'!L:L)</f>
        <v>0</v>
      </c>
      <c r="K308" t="e">
        <f>AVERAGEIF('Quarterly Data'!$B:$B,'Annual Data'!$A308,'Quarterly Data'!M:M)</f>
        <v>#DIV/0!</v>
      </c>
      <c r="L308" t="e">
        <f>AVERAGEIF('Quarterly Data'!$B:$B,'Annual Data'!$A308,'Quarterly Data'!N:N)</f>
        <v>#DIV/0!</v>
      </c>
      <c r="M308" t="e">
        <f>AVERAGEIF('Quarterly Data'!$B:$B,'Annual Data'!$A308,'Quarterly Data'!O:O)</f>
        <v>#DIV/0!</v>
      </c>
      <c r="N308" t="e">
        <f>AVERAGEIF('Quarterly Data'!$B:$B,'Annual Data'!$A308,'Quarterly Data'!P:P)</f>
        <v>#DIV/0!</v>
      </c>
      <c r="O308" t="e">
        <f>AVERAGEIF('Quarterly Data'!$B:$B,'Annual Data'!$A308,'Quarterly Data'!Q:Q)</f>
        <v>#DIV/0!</v>
      </c>
      <c r="P308">
        <f>SUMIF('Quarterly Data'!$B:$B,'Annual Data'!$A308,'Quarterly Data'!R:R)</f>
        <v>0</v>
      </c>
      <c r="Q308">
        <f>SUMIF('Quarterly Data'!$B:$B,'Annual Data'!$A308,'Quarterly Data'!S:S)</f>
        <v>0</v>
      </c>
      <c r="R308" t="e">
        <f>AVERAGEIF('Quarterly Data'!$B:$B,'Annual Data'!$A308,'Quarterly Data'!T:T)</f>
        <v>#DIV/0!</v>
      </c>
      <c r="S308">
        <f>SUMIF('Quarterly Data'!$B:$B,'Annual Data'!$A308,'Quarterly Data'!U:U)</f>
        <v>0</v>
      </c>
      <c r="T308">
        <f>SUMIF('Quarterly Data'!$B:$B,'Annual Data'!$A308,'Quarterly Data'!V:V)</f>
        <v>0</v>
      </c>
      <c r="U308">
        <f>SUMIF('Quarterly Data'!$B:$B,'Annual Data'!$A308,'Quarterly Data'!W:W)</f>
        <v>0</v>
      </c>
      <c r="V308">
        <f>SUMIF('Quarterly Data'!$B:$B,'Annual Data'!$A308,'Quarterly Data'!X:X)</f>
        <v>0</v>
      </c>
      <c r="W308">
        <f>SUMIF('Quarterly Data'!$B:$B,'Annual Data'!$A308,'Quarterly Data'!Y:Y)</f>
        <v>0</v>
      </c>
      <c r="X308">
        <f>SUMIF('Quarterly Data'!$B:$B,'Annual Data'!$A308,'Quarterly Data'!Z:Z)</f>
        <v>0</v>
      </c>
      <c r="Y308">
        <f>SUMIF('Quarterly Data'!$B:$B,'Annual Data'!$A308,'Quarterly Data'!AA:AA)</f>
        <v>0</v>
      </c>
      <c r="Z308" t="e">
        <f>AVERAGEIF('Quarterly Data'!$B:$B,'Annual Data'!$A308,'Quarterly Data'!AB:AB)</f>
        <v>#DIV/0!</v>
      </c>
      <c r="AA308" t="e">
        <f>AVERAGEIF('Quarterly Data'!$B:$B,'Annual Data'!$A308,'Quarterly Data'!AC:AC)</f>
        <v>#DIV/0!</v>
      </c>
      <c r="AB308" t="e">
        <f>AVERAGEIF('Quarterly Data'!$B:$B,'Annual Data'!$A308,'Quarterly Data'!AD:AD)</f>
        <v>#DIV/0!</v>
      </c>
      <c r="AC308" t="e">
        <f>AVERAGEIF('Quarterly Data'!$B:$B,'Annual Data'!$A308,'Quarterly Data'!AE:AE)</f>
        <v>#DIV/0!</v>
      </c>
      <c r="AD308" t="e">
        <f>AVERAGEIF('Quarterly Data'!$B:$B,'Annual Data'!$A308,'Quarterly Data'!AF:AF)</f>
        <v>#DIV/0!</v>
      </c>
      <c r="AE308">
        <f>SUMIF('Quarterly Data'!$B:$B,'Annual Data'!$A308,'Quarterly Data'!AG:AG)</f>
        <v>0</v>
      </c>
    </row>
    <row r="309" spans="1:31" x14ac:dyDescent="0.25">
      <c r="A309">
        <v>2275</v>
      </c>
      <c r="B309">
        <f>SUMIF('Quarterly Data'!$B:$B,'Annual Data'!$A309,'Quarterly Data'!D:D)</f>
        <v>0</v>
      </c>
      <c r="C309" t="e">
        <f>AVERAGEIF('Quarterly Data'!$B:$B,'Annual Data'!$A309,'Quarterly Data'!E:E)</f>
        <v>#DIV/0!</v>
      </c>
      <c r="D309">
        <f>SUMIF('Quarterly Data'!$B:$B,'Annual Data'!$A309,'Quarterly Data'!F:F)</f>
        <v>0</v>
      </c>
      <c r="E309">
        <f>SUMIF('Quarterly Data'!$B:$B,'Annual Data'!$A309,'Quarterly Data'!G:G)</f>
        <v>0</v>
      </c>
      <c r="F309">
        <f>SUMIF('Quarterly Data'!$B:$B,'Annual Data'!$A309,'Quarterly Data'!H:H)</f>
        <v>0</v>
      </c>
      <c r="G309">
        <f>SUMIF('Quarterly Data'!$B:$B,'Annual Data'!$A309,'Quarterly Data'!I:I)</f>
        <v>0</v>
      </c>
      <c r="H309">
        <f>SUMIF('Quarterly Data'!$B:$B,'Annual Data'!$A309,'Quarterly Data'!J:J)</f>
        <v>0</v>
      </c>
      <c r="I309">
        <f>SUMIF('Quarterly Data'!$B:$B,'Annual Data'!$A309,'Quarterly Data'!K:K)</f>
        <v>0</v>
      </c>
      <c r="J309">
        <f>SUMIF('Quarterly Data'!$B:$B,'Annual Data'!$A309,'Quarterly Data'!L:L)</f>
        <v>0</v>
      </c>
      <c r="K309" t="e">
        <f>AVERAGEIF('Quarterly Data'!$B:$B,'Annual Data'!$A309,'Quarterly Data'!M:M)</f>
        <v>#DIV/0!</v>
      </c>
      <c r="L309" t="e">
        <f>AVERAGEIF('Quarterly Data'!$B:$B,'Annual Data'!$A309,'Quarterly Data'!N:N)</f>
        <v>#DIV/0!</v>
      </c>
      <c r="M309" t="e">
        <f>AVERAGEIF('Quarterly Data'!$B:$B,'Annual Data'!$A309,'Quarterly Data'!O:O)</f>
        <v>#DIV/0!</v>
      </c>
      <c r="N309" t="e">
        <f>AVERAGEIF('Quarterly Data'!$B:$B,'Annual Data'!$A309,'Quarterly Data'!P:P)</f>
        <v>#DIV/0!</v>
      </c>
      <c r="O309" t="e">
        <f>AVERAGEIF('Quarterly Data'!$B:$B,'Annual Data'!$A309,'Quarterly Data'!Q:Q)</f>
        <v>#DIV/0!</v>
      </c>
      <c r="P309">
        <f>SUMIF('Quarterly Data'!$B:$B,'Annual Data'!$A309,'Quarterly Data'!R:R)</f>
        <v>0</v>
      </c>
      <c r="Q309">
        <f>SUMIF('Quarterly Data'!$B:$B,'Annual Data'!$A309,'Quarterly Data'!S:S)</f>
        <v>0</v>
      </c>
      <c r="R309" t="e">
        <f>AVERAGEIF('Quarterly Data'!$B:$B,'Annual Data'!$A309,'Quarterly Data'!T:T)</f>
        <v>#DIV/0!</v>
      </c>
      <c r="S309">
        <f>SUMIF('Quarterly Data'!$B:$B,'Annual Data'!$A309,'Quarterly Data'!U:U)</f>
        <v>0</v>
      </c>
      <c r="T309">
        <f>SUMIF('Quarterly Data'!$B:$B,'Annual Data'!$A309,'Quarterly Data'!V:V)</f>
        <v>0</v>
      </c>
      <c r="U309">
        <f>SUMIF('Quarterly Data'!$B:$B,'Annual Data'!$A309,'Quarterly Data'!W:W)</f>
        <v>0</v>
      </c>
      <c r="V309">
        <f>SUMIF('Quarterly Data'!$B:$B,'Annual Data'!$A309,'Quarterly Data'!X:X)</f>
        <v>0</v>
      </c>
      <c r="W309">
        <f>SUMIF('Quarterly Data'!$B:$B,'Annual Data'!$A309,'Quarterly Data'!Y:Y)</f>
        <v>0</v>
      </c>
      <c r="X309">
        <f>SUMIF('Quarterly Data'!$B:$B,'Annual Data'!$A309,'Quarterly Data'!Z:Z)</f>
        <v>0</v>
      </c>
      <c r="Y309">
        <f>SUMIF('Quarterly Data'!$B:$B,'Annual Data'!$A309,'Quarterly Data'!AA:AA)</f>
        <v>0</v>
      </c>
      <c r="Z309" t="e">
        <f>AVERAGEIF('Quarterly Data'!$B:$B,'Annual Data'!$A309,'Quarterly Data'!AB:AB)</f>
        <v>#DIV/0!</v>
      </c>
      <c r="AA309" t="e">
        <f>AVERAGEIF('Quarterly Data'!$B:$B,'Annual Data'!$A309,'Quarterly Data'!AC:AC)</f>
        <v>#DIV/0!</v>
      </c>
      <c r="AB309" t="e">
        <f>AVERAGEIF('Quarterly Data'!$B:$B,'Annual Data'!$A309,'Quarterly Data'!AD:AD)</f>
        <v>#DIV/0!</v>
      </c>
      <c r="AC309" t="e">
        <f>AVERAGEIF('Quarterly Data'!$B:$B,'Annual Data'!$A309,'Quarterly Data'!AE:AE)</f>
        <v>#DIV/0!</v>
      </c>
      <c r="AD309" t="e">
        <f>AVERAGEIF('Quarterly Data'!$B:$B,'Annual Data'!$A309,'Quarterly Data'!AF:AF)</f>
        <v>#DIV/0!</v>
      </c>
      <c r="AE309">
        <f>SUMIF('Quarterly Data'!$B:$B,'Annual Data'!$A309,'Quarterly Data'!AG:AG)</f>
        <v>0</v>
      </c>
    </row>
    <row r="310" spans="1:31" x14ac:dyDescent="0.25">
      <c r="A310">
        <v>2276</v>
      </c>
      <c r="B310">
        <f>SUMIF('Quarterly Data'!$B:$B,'Annual Data'!$A310,'Quarterly Data'!D:D)</f>
        <v>0</v>
      </c>
      <c r="C310" t="e">
        <f>AVERAGEIF('Quarterly Data'!$B:$B,'Annual Data'!$A310,'Quarterly Data'!E:E)</f>
        <v>#DIV/0!</v>
      </c>
      <c r="D310">
        <f>SUMIF('Quarterly Data'!$B:$B,'Annual Data'!$A310,'Quarterly Data'!F:F)</f>
        <v>0</v>
      </c>
      <c r="E310">
        <f>SUMIF('Quarterly Data'!$B:$B,'Annual Data'!$A310,'Quarterly Data'!G:G)</f>
        <v>0</v>
      </c>
      <c r="F310">
        <f>SUMIF('Quarterly Data'!$B:$B,'Annual Data'!$A310,'Quarterly Data'!H:H)</f>
        <v>0</v>
      </c>
      <c r="G310">
        <f>SUMIF('Quarterly Data'!$B:$B,'Annual Data'!$A310,'Quarterly Data'!I:I)</f>
        <v>0</v>
      </c>
      <c r="H310">
        <f>SUMIF('Quarterly Data'!$B:$B,'Annual Data'!$A310,'Quarterly Data'!J:J)</f>
        <v>0</v>
      </c>
      <c r="I310">
        <f>SUMIF('Quarterly Data'!$B:$B,'Annual Data'!$A310,'Quarterly Data'!K:K)</f>
        <v>0</v>
      </c>
      <c r="J310">
        <f>SUMIF('Quarterly Data'!$B:$B,'Annual Data'!$A310,'Quarterly Data'!L:L)</f>
        <v>0</v>
      </c>
      <c r="K310" t="e">
        <f>AVERAGEIF('Quarterly Data'!$B:$B,'Annual Data'!$A310,'Quarterly Data'!M:M)</f>
        <v>#DIV/0!</v>
      </c>
      <c r="L310" t="e">
        <f>AVERAGEIF('Quarterly Data'!$B:$B,'Annual Data'!$A310,'Quarterly Data'!N:N)</f>
        <v>#DIV/0!</v>
      </c>
      <c r="M310" t="e">
        <f>AVERAGEIF('Quarterly Data'!$B:$B,'Annual Data'!$A310,'Quarterly Data'!O:O)</f>
        <v>#DIV/0!</v>
      </c>
      <c r="N310" t="e">
        <f>AVERAGEIF('Quarterly Data'!$B:$B,'Annual Data'!$A310,'Quarterly Data'!P:P)</f>
        <v>#DIV/0!</v>
      </c>
      <c r="O310" t="e">
        <f>AVERAGEIF('Quarterly Data'!$B:$B,'Annual Data'!$A310,'Quarterly Data'!Q:Q)</f>
        <v>#DIV/0!</v>
      </c>
      <c r="P310">
        <f>SUMIF('Quarterly Data'!$B:$B,'Annual Data'!$A310,'Quarterly Data'!R:R)</f>
        <v>0</v>
      </c>
      <c r="Q310">
        <f>SUMIF('Quarterly Data'!$B:$B,'Annual Data'!$A310,'Quarterly Data'!S:S)</f>
        <v>0</v>
      </c>
      <c r="R310" t="e">
        <f>AVERAGEIF('Quarterly Data'!$B:$B,'Annual Data'!$A310,'Quarterly Data'!T:T)</f>
        <v>#DIV/0!</v>
      </c>
      <c r="S310">
        <f>SUMIF('Quarterly Data'!$B:$B,'Annual Data'!$A310,'Quarterly Data'!U:U)</f>
        <v>0</v>
      </c>
      <c r="T310">
        <f>SUMIF('Quarterly Data'!$B:$B,'Annual Data'!$A310,'Quarterly Data'!V:V)</f>
        <v>0</v>
      </c>
      <c r="U310">
        <f>SUMIF('Quarterly Data'!$B:$B,'Annual Data'!$A310,'Quarterly Data'!W:W)</f>
        <v>0</v>
      </c>
      <c r="V310">
        <f>SUMIF('Quarterly Data'!$B:$B,'Annual Data'!$A310,'Quarterly Data'!X:X)</f>
        <v>0</v>
      </c>
      <c r="W310">
        <f>SUMIF('Quarterly Data'!$B:$B,'Annual Data'!$A310,'Quarterly Data'!Y:Y)</f>
        <v>0</v>
      </c>
      <c r="X310">
        <f>SUMIF('Quarterly Data'!$B:$B,'Annual Data'!$A310,'Quarterly Data'!Z:Z)</f>
        <v>0</v>
      </c>
      <c r="Y310">
        <f>SUMIF('Quarterly Data'!$B:$B,'Annual Data'!$A310,'Quarterly Data'!AA:AA)</f>
        <v>0</v>
      </c>
      <c r="Z310" t="e">
        <f>AVERAGEIF('Quarterly Data'!$B:$B,'Annual Data'!$A310,'Quarterly Data'!AB:AB)</f>
        <v>#DIV/0!</v>
      </c>
      <c r="AA310" t="e">
        <f>AVERAGEIF('Quarterly Data'!$B:$B,'Annual Data'!$A310,'Quarterly Data'!AC:AC)</f>
        <v>#DIV/0!</v>
      </c>
      <c r="AB310" t="e">
        <f>AVERAGEIF('Quarterly Data'!$B:$B,'Annual Data'!$A310,'Quarterly Data'!AD:AD)</f>
        <v>#DIV/0!</v>
      </c>
      <c r="AC310" t="e">
        <f>AVERAGEIF('Quarterly Data'!$B:$B,'Annual Data'!$A310,'Quarterly Data'!AE:AE)</f>
        <v>#DIV/0!</v>
      </c>
      <c r="AD310" t="e">
        <f>AVERAGEIF('Quarterly Data'!$B:$B,'Annual Data'!$A310,'Quarterly Data'!AF:AF)</f>
        <v>#DIV/0!</v>
      </c>
      <c r="AE310">
        <f>SUMIF('Quarterly Data'!$B:$B,'Annual Data'!$A310,'Quarterly Data'!AG:AG)</f>
        <v>0</v>
      </c>
    </row>
    <row r="311" spans="1:31" x14ac:dyDescent="0.25">
      <c r="A311">
        <v>2277</v>
      </c>
      <c r="B311">
        <f>SUMIF('Quarterly Data'!$B:$B,'Annual Data'!$A311,'Quarterly Data'!D:D)</f>
        <v>0</v>
      </c>
      <c r="C311" t="e">
        <f>AVERAGEIF('Quarterly Data'!$B:$B,'Annual Data'!$A311,'Quarterly Data'!E:E)</f>
        <v>#DIV/0!</v>
      </c>
      <c r="D311">
        <f>SUMIF('Quarterly Data'!$B:$B,'Annual Data'!$A311,'Quarterly Data'!F:F)</f>
        <v>0</v>
      </c>
      <c r="E311">
        <f>SUMIF('Quarterly Data'!$B:$B,'Annual Data'!$A311,'Quarterly Data'!G:G)</f>
        <v>0</v>
      </c>
      <c r="F311">
        <f>SUMIF('Quarterly Data'!$B:$B,'Annual Data'!$A311,'Quarterly Data'!H:H)</f>
        <v>0</v>
      </c>
      <c r="G311">
        <f>SUMIF('Quarterly Data'!$B:$B,'Annual Data'!$A311,'Quarterly Data'!I:I)</f>
        <v>0</v>
      </c>
      <c r="H311">
        <f>SUMIF('Quarterly Data'!$B:$B,'Annual Data'!$A311,'Quarterly Data'!J:J)</f>
        <v>0</v>
      </c>
      <c r="I311">
        <f>SUMIF('Quarterly Data'!$B:$B,'Annual Data'!$A311,'Quarterly Data'!K:K)</f>
        <v>0</v>
      </c>
      <c r="J311">
        <f>SUMIF('Quarterly Data'!$B:$B,'Annual Data'!$A311,'Quarterly Data'!L:L)</f>
        <v>0</v>
      </c>
      <c r="K311" t="e">
        <f>AVERAGEIF('Quarterly Data'!$B:$B,'Annual Data'!$A311,'Quarterly Data'!M:M)</f>
        <v>#DIV/0!</v>
      </c>
      <c r="L311" t="e">
        <f>AVERAGEIF('Quarterly Data'!$B:$B,'Annual Data'!$A311,'Quarterly Data'!N:N)</f>
        <v>#DIV/0!</v>
      </c>
      <c r="M311" t="e">
        <f>AVERAGEIF('Quarterly Data'!$B:$B,'Annual Data'!$A311,'Quarterly Data'!O:O)</f>
        <v>#DIV/0!</v>
      </c>
      <c r="N311" t="e">
        <f>AVERAGEIF('Quarterly Data'!$B:$B,'Annual Data'!$A311,'Quarterly Data'!P:P)</f>
        <v>#DIV/0!</v>
      </c>
      <c r="O311" t="e">
        <f>AVERAGEIF('Quarterly Data'!$B:$B,'Annual Data'!$A311,'Quarterly Data'!Q:Q)</f>
        <v>#DIV/0!</v>
      </c>
      <c r="P311">
        <f>SUMIF('Quarterly Data'!$B:$B,'Annual Data'!$A311,'Quarterly Data'!R:R)</f>
        <v>0</v>
      </c>
      <c r="Q311">
        <f>SUMIF('Quarterly Data'!$B:$B,'Annual Data'!$A311,'Quarterly Data'!S:S)</f>
        <v>0</v>
      </c>
      <c r="R311" t="e">
        <f>AVERAGEIF('Quarterly Data'!$B:$B,'Annual Data'!$A311,'Quarterly Data'!T:T)</f>
        <v>#DIV/0!</v>
      </c>
      <c r="S311">
        <f>SUMIF('Quarterly Data'!$B:$B,'Annual Data'!$A311,'Quarterly Data'!U:U)</f>
        <v>0</v>
      </c>
      <c r="T311">
        <f>SUMIF('Quarterly Data'!$B:$B,'Annual Data'!$A311,'Quarterly Data'!V:V)</f>
        <v>0</v>
      </c>
      <c r="U311">
        <f>SUMIF('Quarterly Data'!$B:$B,'Annual Data'!$A311,'Quarterly Data'!W:W)</f>
        <v>0</v>
      </c>
      <c r="V311">
        <f>SUMIF('Quarterly Data'!$B:$B,'Annual Data'!$A311,'Quarterly Data'!X:X)</f>
        <v>0</v>
      </c>
      <c r="W311">
        <f>SUMIF('Quarterly Data'!$B:$B,'Annual Data'!$A311,'Quarterly Data'!Y:Y)</f>
        <v>0</v>
      </c>
      <c r="X311">
        <f>SUMIF('Quarterly Data'!$B:$B,'Annual Data'!$A311,'Quarterly Data'!Z:Z)</f>
        <v>0</v>
      </c>
      <c r="Y311">
        <f>SUMIF('Quarterly Data'!$B:$B,'Annual Data'!$A311,'Quarterly Data'!AA:AA)</f>
        <v>0</v>
      </c>
      <c r="Z311" t="e">
        <f>AVERAGEIF('Quarterly Data'!$B:$B,'Annual Data'!$A311,'Quarterly Data'!AB:AB)</f>
        <v>#DIV/0!</v>
      </c>
      <c r="AA311" t="e">
        <f>AVERAGEIF('Quarterly Data'!$B:$B,'Annual Data'!$A311,'Quarterly Data'!AC:AC)</f>
        <v>#DIV/0!</v>
      </c>
      <c r="AB311" t="e">
        <f>AVERAGEIF('Quarterly Data'!$B:$B,'Annual Data'!$A311,'Quarterly Data'!AD:AD)</f>
        <v>#DIV/0!</v>
      </c>
      <c r="AC311" t="e">
        <f>AVERAGEIF('Quarterly Data'!$B:$B,'Annual Data'!$A311,'Quarterly Data'!AE:AE)</f>
        <v>#DIV/0!</v>
      </c>
      <c r="AD311" t="e">
        <f>AVERAGEIF('Quarterly Data'!$B:$B,'Annual Data'!$A311,'Quarterly Data'!AF:AF)</f>
        <v>#DIV/0!</v>
      </c>
      <c r="AE311">
        <f>SUMIF('Quarterly Data'!$B:$B,'Annual Data'!$A311,'Quarterly Data'!AG:AG)</f>
        <v>0</v>
      </c>
    </row>
    <row r="312" spans="1:31" x14ac:dyDescent="0.25">
      <c r="A312">
        <v>2278</v>
      </c>
      <c r="B312">
        <f>SUMIF('Quarterly Data'!$B:$B,'Annual Data'!$A312,'Quarterly Data'!D:D)</f>
        <v>0</v>
      </c>
      <c r="C312" t="e">
        <f>AVERAGEIF('Quarterly Data'!$B:$B,'Annual Data'!$A312,'Quarterly Data'!E:E)</f>
        <v>#DIV/0!</v>
      </c>
      <c r="D312">
        <f>SUMIF('Quarterly Data'!$B:$B,'Annual Data'!$A312,'Quarterly Data'!F:F)</f>
        <v>0</v>
      </c>
      <c r="E312">
        <f>SUMIF('Quarterly Data'!$B:$B,'Annual Data'!$A312,'Quarterly Data'!G:G)</f>
        <v>0</v>
      </c>
      <c r="F312">
        <f>SUMIF('Quarterly Data'!$B:$B,'Annual Data'!$A312,'Quarterly Data'!H:H)</f>
        <v>0</v>
      </c>
      <c r="G312">
        <f>SUMIF('Quarterly Data'!$B:$B,'Annual Data'!$A312,'Quarterly Data'!I:I)</f>
        <v>0</v>
      </c>
      <c r="H312">
        <f>SUMIF('Quarterly Data'!$B:$B,'Annual Data'!$A312,'Quarterly Data'!J:J)</f>
        <v>0</v>
      </c>
      <c r="I312">
        <f>SUMIF('Quarterly Data'!$B:$B,'Annual Data'!$A312,'Quarterly Data'!K:K)</f>
        <v>0</v>
      </c>
      <c r="J312">
        <f>SUMIF('Quarterly Data'!$B:$B,'Annual Data'!$A312,'Quarterly Data'!L:L)</f>
        <v>0</v>
      </c>
      <c r="K312" t="e">
        <f>AVERAGEIF('Quarterly Data'!$B:$B,'Annual Data'!$A312,'Quarterly Data'!M:M)</f>
        <v>#DIV/0!</v>
      </c>
      <c r="L312" t="e">
        <f>AVERAGEIF('Quarterly Data'!$B:$B,'Annual Data'!$A312,'Quarterly Data'!N:N)</f>
        <v>#DIV/0!</v>
      </c>
      <c r="M312" t="e">
        <f>AVERAGEIF('Quarterly Data'!$B:$B,'Annual Data'!$A312,'Quarterly Data'!O:O)</f>
        <v>#DIV/0!</v>
      </c>
      <c r="N312" t="e">
        <f>AVERAGEIF('Quarterly Data'!$B:$B,'Annual Data'!$A312,'Quarterly Data'!P:P)</f>
        <v>#DIV/0!</v>
      </c>
      <c r="O312" t="e">
        <f>AVERAGEIF('Quarterly Data'!$B:$B,'Annual Data'!$A312,'Quarterly Data'!Q:Q)</f>
        <v>#DIV/0!</v>
      </c>
      <c r="P312">
        <f>SUMIF('Quarterly Data'!$B:$B,'Annual Data'!$A312,'Quarterly Data'!R:R)</f>
        <v>0</v>
      </c>
      <c r="Q312">
        <f>SUMIF('Quarterly Data'!$B:$B,'Annual Data'!$A312,'Quarterly Data'!S:S)</f>
        <v>0</v>
      </c>
      <c r="R312" t="e">
        <f>AVERAGEIF('Quarterly Data'!$B:$B,'Annual Data'!$A312,'Quarterly Data'!T:T)</f>
        <v>#DIV/0!</v>
      </c>
      <c r="S312">
        <f>SUMIF('Quarterly Data'!$B:$B,'Annual Data'!$A312,'Quarterly Data'!U:U)</f>
        <v>0</v>
      </c>
      <c r="T312">
        <f>SUMIF('Quarterly Data'!$B:$B,'Annual Data'!$A312,'Quarterly Data'!V:V)</f>
        <v>0</v>
      </c>
      <c r="U312">
        <f>SUMIF('Quarterly Data'!$B:$B,'Annual Data'!$A312,'Quarterly Data'!W:W)</f>
        <v>0</v>
      </c>
      <c r="V312">
        <f>SUMIF('Quarterly Data'!$B:$B,'Annual Data'!$A312,'Quarterly Data'!X:X)</f>
        <v>0</v>
      </c>
      <c r="W312">
        <f>SUMIF('Quarterly Data'!$B:$B,'Annual Data'!$A312,'Quarterly Data'!Y:Y)</f>
        <v>0</v>
      </c>
      <c r="X312">
        <f>SUMIF('Quarterly Data'!$B:$B,'Annual Data'!$A312,'Quarterly Data'!Z:Z)</f>
        <v>0</v>
      </c>
      <c r="Y312">
        <f>SUMIF('Quarterly Data'!$B:$B,'Annual Data'!$A312,'Quarterly Data'!AA:AA)</f>
        <v>0</v>
      </c>
      <c r="Z312" t="e">
        <f>AVERAGEIF('Quarterly Data'!$B:$B,'Annual Data'!$A312,'Quarterly Data'!AB:AB)</f>
        <v>#DIV/0!</v>
      </c>
      <c r="AA312" t="e">
        <f>AVERAGEIF('Quarterly Data'!$B:$B,'Annual Data'!$A312,'Quarterly Data'!AC:AC)</f>
        <v>#DIV/0!</v>
      </c>
      <c r="AB312" t="e">
        <f>AVERAGEIF('Quarterly Data'!$B:$B,'Annual Data'!$A312,'Quarterly Data'!AD:AD)</f>
        <v>#DIV/0!</v>
      </c>
      <c r="AC312" t="e">
        <f>AVERAGEIF('Quarterly Data'!$B:$B,'Annual Data'!$A312,'Quarterly Data'!AE:AE)</f>
        <v>#DIV/0!</v>
      </c>
      <c r="AD312" t="e">
        <f>AVERAGEIF('Quarterly Data'!$B:$B,'Annual Data'!$A312,'Quarterly Data'!AF:AF)</f>
        <v>#DIV/0!</v>
      </c>
      <c r="AE312">
        <f>SUMIF('Quarterly Data'!$B:$B,'Annual Data'!$A312,'Quarterly Data'!AG:AG)</f>
        <v>0</v>
      </c>
    </row>
    <row r="313" spans="1:31" x14ac:dyDescent="0.25">
      <c r="A313">
        <v>2279</v>
      </c>
      <c r="B313">
        <f>SUMIF('Quarterly Data'!$B:$B,'Annual Data'!$A313,'Quarterly Data'!D:D)</f>
        <v>0</v>
      </c>
      <c r="C313" t="e">
        <f>AVERAGEIF('Quarterly Data'!$B:$B,'Annual Data'!$A313,'Quarterly Data'!E:E)</f>
        <v>#DIV/0!</v>
      </c>
      <c r="D313">
        <f>SUMIF('Quarterly Data'!$B:$B,'Annual Data'!$A313,'Quarterly Data'!F:F)</f>
        <v>0</v>
      </c>
      <c r="E313">
        <f>SUMIF('Quarterly Data'!$B:$B,'Annual Data'!$A313,'Quarterly Data'!G:G)</f>
        <v>0</v>
      </c>
      <c r="F313">
        <f>SUMIF('Quarterly Data'!$B:$B,'Annual Data'!$A313,'Quarterly Data'!H:H)</f>
        <v>0</v>
      </c>
      <c r="G313">
        <f>SUMIF('Quarterly Data'!$B:$B,'Annual Data'!$A313,'Quarterly Data'!I:I)</f>
        <v>0</v>
      </c>
      <c r="H313">
        <f>SUMIF('Quarterly Data'!$B:$B,'Annual Data'!$A313,'Quarterly Data'!J:J)</f>
        <v>0</v>
      </c>
      <c r="I313">
        <f>SUMIF('Quarterly Data'!$B:$B,'Annual Data'!$A313,'Quarterly Data'!K:K)</f>
        <v>0</v>
      </c>
      <c r="J313">
        <f>SUMIF('Quarterly Data'!$B:$B,'Annual Data'!$A313,'Quarterly Data'!L:L)</f>
        <v>0</v>
      </c>
      <c r="K313" t="e">
        <f>AVERAGEIF('Quarterly Data'!$B:$B,'Annual Data'!$A313,'Quarterly Data'!M:M)</f>
        <v>#DIV/0!</v>
      </c>
      <c r="L313" t="e">
        <f>AVERAGEIF('Quarterly Data'!$B:$B,'Annual Data'!$A313,'Quarterly Data'!N:N)</f>
        <v>#DIV/0!</v>
      </c>
      <c r="M313" t="e">
        <f>AVERAGEIF('Quarterly Data'!$B:$B,'Annual Data'!$A313,'Quarterly Data'!O:O)</f>
        <v>#DIV/0!</v>
      </c>
      <c r="N313" t="e">
        <f>AVERAGEIF('Quarterly Data'!$B:$B,'Annual Data'!$A313,'Quarterly Data'!P:P)</f>
        <v>#DIV/0!</v>
      </c>
      <c r="O313" t="e">
        <f>AVERAGEIF('Quarterly Data'!$B:$B,'Annual Data'!$A313,'Quarterly Data'!Q:Q)</f>
        <v>#DIV/0!</v>
      </c>
      <c r="P313">
        <f>SUMIF('Quarterly Data'!$B:$B,'Annual Data'!$A313,'Quarterly Data'!R:R)</f>
        <v>0</v>
      </c>
      <c r="Q313">
        <f>SUMIF('Quarterly Data'!$B:$B,'Annual Data'!$A313,'Quarterly Data'!S:S)</f>
        <v>0</v>
      </c>
      <c r="R313" t="e">
        <f>AVERAGEIF('Quarterly Data'!$B:$B,'Annual Data'!$A313,'Quarterly Data'!T:T)</f>
        <v>#DIV/0!</v>
      </c>
      <c r="S313">
        <f>SUMIF('Quarterly Data'!$B:$B,'Annual Data'!$A313,'Quarterly Data'!U:U)</f>
        <v>0</v>
      </c>
      <c r="T313">
        <f>SUMIF('Quarterly Data'!$B:$B,'Annual Data'!$A313,'Quarterly Data'!V:V)</f>
        <v>0</v>
      </c>
      <c r="U313">
        <f>SUMIF('Quarterly Data'!$B:$B,'Annual Data'!$A313,'Quarterly Data'!W:W)</f>
        <v>0</v>
      </c>
      <c r="V313">
        <f>SUMIF('Quarterly Data'!$B:$B,'Annual Data'!$A313,'Quarterly Data'!X:X)</f>
        <v>0</v>
      </c>
      <c r="W313">
        <f>SUMIF('Quarterly Data'!$B:$B,'Annual Data'!$A313,'Quarterly Data'!Y:Y)</f>
        <v>0</v>
      </c>
      <c r="X313">
        <f>SUMIF('Quarterly Data'!$B:$B,'Annual Data'!$A313,'Quarterly Data'!Z:Z)</f>
        <v>0</v>
      </c>
      <c r="Y313">
        <f>SUMIF('Quarterly Data'!$B:$B,'Annual Data'!$A313,'Quarterly Data'!AA:AA)</f>
        <v>0</v>
      </c>
      <c r="Z313" t="e">
        <f>AVERAGEIF('Quarterly Data'!$B:$B,'Annual Data'!$A313,'Quarterly Data'!AB:AB)</f>
        <v>#DIV/0!</v>
      </c>
      <c r="AA313" t="e">
        <f>AVERAGEIF('Quarterly Data'!$B:$B,'Annual Data'!$A313,'Quarterly Data'!AC:AC)</f>
        <v>#DIV/0!</v>
      </c>
      <c r="AB313" t="e">
        <f>AVERAGEIF('Quarterly Data'!$B:$B,'Annual Data'!$A313,'Quarterly Data'!AD:AD)</f>
        <v>#DIV/0!</v>
      </c>
      <c r="AC313" t="e">
        <f>AVERAGEIF('Quarterly Data'!$B:$B,'Annual Data'!$A313,'Quarterly Data'!AE:AE)</f>
        <v>#DIV/0!</v>
      </c>
      <c r="AD313" t="e">
        <f>AVERAGEIF('Quarterly Data'!$B:$B,'Annual Data'!$A313,'Quarterly Data'!AF:AF)</f>
        <v>#DIV/0!</v>
      </c>
      <c r="AE313">
        <f>SUMIF('Quarterly Data'!$B:$B,'Annual Data'!$A313,'Quarterly Data'!AG:AG)</f>
        <v>0</v>
      </c>
    </row>
    <row r="314" spans="1:31" x14ac:dyDescent="0.25">
      <c r="A314">
        <v>2280</v>
      </c>
      <c r="B314">
        <f>SUMIF('Quarterly Data'!$B:$B,'Annual Data'!$A314,'Quarterly Data'!D:D)</f>
        <v>0</v>
      </c>
      <c r="C314" t="e">
        <f>AVERAGEIF('Quarterly Data'!$B:$B,'Annual Data'!$A314,'Quarterly Data'!E:E)</f>
        <v>#DIV/0!</v>
      </c>
      <c r="D314">
        <f>SUMIF('Quarterly Data'!$B:$B,'Annual Data'!$A314,'Quarterly Data'!F:F)</f>
        <v>0</v>
      </c>
      <c r="E314">
        <f>SUMIF('Quarterly Data'!$B:$B,'Annual Data'!$A314,'Quarterly Data'!G:G)</f>
        <v>0</v>
      </c>
      <c r="F314">
        <f>SUMIF('Quarterly Data'!$B:$B,'Annual Data'!$A314,'Quarterly Data'!H:H)</f>
        <v>0</v>
      </c>
      <c r="G314">
        <f>SUMIF('Quarterly Data'!$B:$B,'Annual Data'!$A314,'Quarterly Data'!I:I)</f>
        <v>0</v>
      </c>
      <c r="H314">
        <f>SUMIF('Quarterly Data'!$B:$B,'Annual Data'!$A314,'Quarterly Data'!J:J)</f>
        <v>0</v>
      </c>
      <c r="I314">
        <f>SUMIF('Quarterly Data'!$B:$B,'Annual Data'!$A314,'Quarterly Data'!K:K)</f>
        <v>0</v>
      </c>
      <c r="J314">
        <f>SUMIF('Quarterly Data'!$B:$B,'Annual Data'!$A314,'Quarterly Data'!L:L)</f>
        <v>0</v>
      </c>
      <c r="K314" t="e">
        <f>AVERAGEIF('Quarterly Data'!$B:$B,'Annual Data'!$A314,'Quarterly Data'!M:M)</f>
        <v>#DIV/0!</v>
      </c>
      <c r="L314" t="e">
        <f>AVERAGEIF('Quarterly Data'!$B:$B,'Annual Data'!$A314,'Quarterly Data'!N:N)</f>
        <v>#DIV/0!</v>
      </c>
      <c r="M314" t="e">
        <f>AVERAGEIF('Quarterly Data'!$B:$B,'Annual Data'!$A314,'Quarterly Data'!O:O)</f>
        <v>#DIV/0!</v>
      </c>
      <c r="N314" t="e">
        <f>AVERAGEIF('Quarterly Data'!$B:$B,'Annual Data'!$A314,'Quarterly Data'!P:P)</f>
        <v>#DIV/0!</v>
      </c>
      <c r="O314" t="e">
        <f>AVERAGEIF('Quarterly Data'!$B:$B,'Annual Data'!$A314,'Quarterly Data'!Q:Q)</f>
        <v>#DIV/0!</v>
      </c>
      <c r="P314">
        <f>SUMIF('Quarterly Data'!$B:$B,'Annual Data'!$A314,'Quarterly Data'!R:R)</f>
        <v>0</v>
      </c>
      <c r="Q314">
        <f>SUMIF('Quarterly Data'!$B:$B,'Annual Data'!$A314,'Quarterly Data'!S:S)</f>
        <v>0</v>
      </c>
      <c r="R314" t="e">
        <f>AVERAGEIF('Quarterly Data'!$B:$B,'Annual Data'!$A314,'Quarterly Data'!T:T)</f>
        <v>#DIV/0!</v>
      </c>
      <c r="S314">
        <f>SUMIF('Quarterly Data'!$B:$B,'Annual Data'!$A314,'Quarterly Data'!U:U)</f>
        <v>0</v>
      </c>
      <c r="T314">
        <f>SUMIF('Quarterly Data'!$B:$B,'Annual Data'!$A314,'Quarterly Data'!V:V)</f>
        <v>0</v>
      </c>
      <c r="U314">
        <f>SUMIF('Quarterly Data'!$B:$B,'Annual Data'!$A314,'Quarterly Data'!W:W)</f>
        <v>0</v>
      </c>
      <c r="V314">
        <f>SUMIF('Quarterly Data'!$B:$B,'Annual Data'!$A314,'Quarterly Data'!X:X)</f>
        <v>0</v>
      </c>
      <c r="W314">
        <f>SUMIF('Quarterly Data'!$B:$B,'Annual Data'!$A314,'Quarterly Data'!Y:Y)</f>
        <v>0</v>
      </c>
      <c r="X314">
        <f>SUMIF('Quarterly Data'!$B:$B,'Annual Data'!$A314,'Quarterly Data'!Z:Z)</f>
        <v>0</v>
      </c>
      <c r="Y314">
        <f>SUMIF('Quarterly Data'!$B:$B,'Annual Data'!$A314,'Quarterly Data'!AA:AA)</f>
        <v>0</v>
      </c>
      <c r="Z314" t="e">
        <f>AVERAGEIF('Quarterly Data'!$B:$B,'Annual Data'!$A314,'Quarterly Data'!AB:AB)</f>
        <v>#DIV/0!</v>
      </c>
      <c r="AA314" t="e">
        <f>AVERAGEIF('Quarterly Data'!$B:$B,'Annual Data'!$A314,'Quarterly Data'!AC:AC)</f>
        <v>#DIV/0!</v>
      </c>
      <c r="AB314" t="e">
        <f>AVERAGEIF('Quarterly Data'!$B:$B,'Annual Data'!$A314,'Quarterly Data'!AD:AD)</f>
        <v>#DIV/0!</v>
      </c>
      <c r="AC314" t="e">
        <f>AVERAGEIF('Quarterly Data'!$B:$B,'Annual Data'!$A314,'Quarterly Data'!AE:AE)</f>
        <v>#DIV/0!</v>
      </c>
      <c r="AD314" t="e">
        <f>AVERAGEIF('Quarterly Data'!$B:$B,'Annual Data'!$A314,'Quarterly Data'!AF:AF)</f>
        <v>#DIV/0!</v>
      </c>
      <c r="AE314">
        <f>SUMIF('Quarterly Data'!$B:$B,'Annual Data'!$A314,'Quarterly Data'!AG:AG)</f>
        <v>0</v>
      </c>
    </row>
    <row r="315" spans="1:31" x14ac:dyDescent="0.25">
      <c r="A315">
        <v>2281</v>
      </c>
      <c r="B315">
        <f>SUMIF('Quarterly Data'!$B:$B,'Annual Data'!$A315,'Quarterly Data'!D:D)</f>
        <v>0</v>
      </c>
      <c r="C315" t="e">
        <f>AVERAGEIF('Quarterly Data'!$B:$B,'Annual Data'!$A315,'Quarterly Data'!E:E)</f>
        <v>#DIV/0!</v>
      </c>
      <c r="D315">
        <f>SUMIF('Quarterly Data'!$B:$B,'Annual Data'!$A315,'Quarterly Data'!F:F)</f>
        <v>0</v>
      </c>
      <c r="E315">
        <f>SUMIF('Quarterly Data'!$B:$B,'Annual Data'!$A315,'Quarterly Data'!G:G)</f>
        <v>0</v>
      </c>
      <c r="F315">
        <f>SUMIF('Quarterly Data'!$B:$B,'Annual Data'!$A315,'Quarterly Data'!H:H)</f>
        <v>0</v>
      </c>
      <c r="G315">
        <f>SUMIF('Quarterly Data'!$B:$B,'Annual Data'!$A315,'Quarterly Data'!I:I)</f>
        <v>0</v>
      </c>
      <c r="H315">
        <f>SUMIF('Quarterly Data'!$B:$B,'Annual Data'!$A315,'Quarterly Data'!J:J)</f>
        <v>0</v>
      </c>
      <c r="I315">
        <f>SUMIF('Quarterly Data'!$B:$B,'Annual Data'!$A315,'Quarterly Data'!K:K)</f>
        <v>0</v>
      </c>
      <c r="J315">
        <f>SUMIF('Quarterly Data'!$B:$B,'Annual Data'!$A315,'Quarterly Data'!L:L)</f>
        <v>0</v>
      </c>
      <c r="K315" t="e">
        <f>AVERAGEIF('Quarterly Data'!$B:$B,'Annual Data'!$A315,'Quarterly Data'!M:M)</f>
        <v>#DIV/0!</v>
      </c>
      <c r="L315" t="e">
        <f>AVERAGEIF('Quarterly Data'!$B:$B,'Annual Data'!$A315,'Quarterly Data'!N:N)</f>
        <v>#DIV/0!</v>
      </c>
      <c r="M315" t="e">
        <f>AVERAGEIF('Quarterly Data'!$B:$B,'Annual Data'!$A315,'Quarterly Data'!O:O)</f>
        <v>#DIV/0!</v>
      </c>
      <c r="N315" t="e">
        <f>AVERAGEIF('Quarterly Data'!$B:$B,'Annual Data'!$A315,'Quarterly Data'!P:P)</f>
        <v>#DIV/0!</v>
      </c>
      <c r="O315" t="e">
        <f>AVERAGEIF('Quarterly Data'!$B:$B,'Annual Data'!$A315,'Quarterly Data'!Q:Q)</f>
        <v>#DIV/0!</v>
      </c>
      <c r="P315">
        <f>SUMIF('Quarterly Data'!$B:$B,'Annual Data'!$A315,'Quarterly Data'!R:R)</f>
        <v>0</v>
      </c>
      <c r="Q315">
        <f>SUMIF('Quarterly Data'!$B:$B,'Annual Data'!$A315,'Quarterly Data'!S:S)</f>
        <v>0</v>
      </c>
      <c r="R315" t="e">
        <f>AVERAGEIF('Quarterly Data'!$B:$B,'Annual Data'!$A315,'Quarterly Data'!T:T)</f>
        <v>#DIV/0!</v>
      </c>
      <c r="S315">
        <f>SUMIF('Quarterly Data'!$B:$B,'Annual Data'!$A315,'Quarterly Data'!U:U)</f>
        <v>0</v>
      </c>
      <c r="T315">
        <f>SUMIF('Quarterly Data'!$B:$B,'Annual Data'!$A315,'Quarterly Data'!V:V)</f>
        <v>0</v>
      </c>
      <c r="U315">
        <f>SUMIF('Quarterly Data'!$B:$B,'Annual Data'!$A315,'Quarterly Data'!W:W)</f>
        <v>0</v>
      </c>
      <c r="V315">
        <f>SUMIF('Quarterly Data'!$B:$B,'Annual Data'!$A315,'Quarterly Data'!X:X)</f>
        <v>0</v>
      </c>
      <c r="W315">
        <f>SUMIF('Quarterly Data'!$B:$B,'Annual Data'!$A315,'Quarterly Data'!Y:Y)</f>
        <v>0</v>
      </c>
      <c r="X315">
        <f>SUMIF('Quarterly Data'!$B:$B,'Annual Data'!$A315,'Quarterly Data'!Z:Z)</f>
        <v>0</v>
      </c>
      <c r="Y315">
        <f>SUMIF('Quarterly Data'!$B:$B,'Annual Data'!$A315,'Quarterly Data'!AA:AA)</f>
        <v>0</v>
      </c>
      <c r="Z315" t="e">
        <f>AVERAGEIF('Quarterly Data'!$B:$B,'Annual Data'!$A315,'Quarterly Data'!AB:AB)</f>
        <v>#DIV/0!</v>
      </c>
      <c r="AA315" t="e">
        <f>AVERAGEIF('Quarterly Data'!$B:$B,'Annual Data'!$A315,'Quarterly Data'!AC:AC)</f>
        <v>#DIV/0!</v>
      </c>
      <c r="AB315" t="e">
        <f>AVERAGEIF('Quarterly Data'!$B:$B,'Annual Data'!$A315,'Quarterly Data'!AD:AD)</f>
        <v>#DIV/0!</v>
      </c>
      <c r="AC315" t="e">
        <f>AVERAGEIF('Quarterly Data'!$B:$B,'Annual Data'!$A315,'Quarterly Data'!AE:AE)</f>
        <v>#DIV/0!</v>
      </c>
      <c r="AD315" t="e">
        <f>AVERAGEIF('Quarterly Data'!$B:$B,'Annual Data'!$A315,'Quarterly Data'!AF:AF)</f>
        <v>#DIV/0!</v>
      </c>
      <c r="AE315">
        <f>SUMIF('Quarterly Data'!$B:$B,'Annual Data'!$A315,'Quarterly Data'!AG:AG)</f>
        <v>0</v>
      </c>
    </row>
    <row r="316" spans="1:31" x14ac:dyDescent="0.25">
      <c r="A316">
        <v>2282</v>
      </c>
      <c r="B316">
        <f>SUMIF('Quarterly Data'!$B:$B,'Annual Data'!$A316,'Quarterly Data'!D:D)</f>
        <v>0</v>
      </c>
      <c r="C316" t="e">
        <f>AVERAGEIF('Quarterly Data'!$B:$B,'Annual Data'!$A316,'Quarterly Data'!E:E)</f>
        <v>#DIV/0!</v>
      </c>
      <c r="D316">
        <f>SUMIF('Quarterly Data'!$B:$B,'Annual Data'!$A316,'Quarterly Data'!F:F)</f>
        <v>0</v>
      </c>
      <c r="E316">
        <f>SUMIF('Quarterly Data'!$B:$B,'Annual Data'!$A316,'Quarterly Data'!G:G)</f>
        <v>0</v>
      </c>
      <c r="F316">
        <f>SUMIF('Quarterly Data'!$B:$B,'Annual Data'!$A316,'Quarterly Data'!H:H)</f>
        <v>0</v>
      </c>
      <c r="G316">
        <f>SUMIF('Quarterly Data'!$B:$B,'Annual Data'!$A316,'Quarterly Data'!I:I)</f>
        <v>0</v>
      </c>
      <c r="H316">
        <f>SUMIF('Quarterly Data'!$B:$B,'Annual Data'!$A316,'Quarterly Data'!J:J)</f>
        <v>0</v>
      </c>
      <c r="I316">
        <f>SUMIF('Quarterly Data'!$B:$B,'Annual Data'!$A316,'Quarterly Data'!K:K)</f>
        <v>0</v>
      </c>
      <c r="J316">
        <f>SUMIF('Quarterly Data'!$B:$B,'Annual Data'!$A316,'Quarterly Data'!L:L)</f>
        <v>0</v>
      </c>
      <c r="K316" t="e">
        <f>AVERAGEIF('Quarterly Data'!$B:$B,'Annual Data'!$A316,'Quarterly Data'!M:M)</f>
        <v>#DIV/0!</v>
      </c>
      <c r="L316" t="e">
        <f>AVERAGEIF('Quarterly Data'!$B:$B,'Annual Data'!$A316,'Quarterly Data'!N:N)</f>
        <v>#DIV/0!</v>
      </c>
      <c r="M316" t="e">
        <f>AVERAGEIF('Quarterly Data'!$B:$B,'Annual Data'!$A316,'Quarterly Data'!O:O)</f>
        <v>#DIV/0!</v>
      </c>
      <c r="N316" t="e">
        <f>AVERAGEIF('Quarterly Data'!$B:$B,'Annual Data'!$A316,'Quarterly Data'!P:P)</f>
        <v>#DIV/0!</v>
      </c>
      <c r="O316" t="e">
        <f>AVERAGEIF('Quarterly Data'!$B:$B,'Annual Data'!$A316,'Quarterly Data'!Q:Q)</f>
        <v>#DIV/0!</v>
      </c>
      <c r="P316">
        <f>SUMIF('Quarterly Data'!$B:$B,'Annual Data'!$A316,'Quarterly Data'!R:R)</f>
        <v>0</v>
      </c>
      <c r="Q316">
        <f>SUMIF('Quarterly Data'!$B:$B,'Annual Data'!$A316,'Quarterly Data'!S:S)</f>
        <v>0</v>
      </c>
      <c r="R316" t="e">
        <f>AVERAGEIF('Quarterly Data'!$B:$B,'Annual Data'!$A316,'Quarterly Data'!T:T)</f>
        <v>#DIV/0!</v>
      </c>
      <c r="S316">
        <f>SUMIF('Quarterly Data'!$B:$B,'Annual Data'!$A316,'Quarterly Data'!U:U)</f>
        <v>0</v>
      </c>
      <c r="T316">
        <f>SUMIF('Quarterly Data'!$B:$B,'Annual Data'!$A316,'Quarterly Data'!V:V)</f>
        <v>0</v>
      </c>
      <c r="U316">
        <f>SUMIF('Quarterly Data'!$B:$B,'Annual Data'!$A316,'Quarterly Data'!W:W)</f>
        <v>0</v>
      </c>
      <c r="V316">
        <f>SUMIF('Quarterly Data'!$B:$B,'Annual Data'!$A316,'Quarterly Data'!X:X)</f>
        <v>0</v>
      </c>
      <c r="W316">
        <f>SUMIF('Quarterly Data'!$B:$B,'Annual Data'!$A316,'Quarterly Data'!Y:Y)</f>
        <v>0</v>
      </c>
      <c r="X316">
        <f>SUMIF('Quarterly Data'!$B:$B,'Annual Data'!$A316,'Quarterly Data'!Z:Z)</f>
        <v>0</v>
      </c>
      <c r="Y316">
        <f>SUMIF('Quarterly Data'!$B:$B,'Annual Data'!$A316,'Quarterly Data'!AA:AA)</f>
        <v>0</v>
      </c>
      <c r="Z316" t="e">
        <f>AVERAGEIF('Quarterly Data'!$B:$B,'Annual Data'!$A316,'Quarterly Data'!AB:AB)</f>
        <v>#DIV/0!</v>
      </c>
      <c r="AA316" t="e">
        <f>AVERAGEIF('Quarterly Data'!$B:$B,'Annual Data'!$A316,'Quarterly Data'!AC:AC)</f>
        <v>#DIV/0!</v>
      </c>
      <c r="AB316" t="e">
        <f>AVERAGEIF('Quarterly Data'!$B:$B,'Annual Data'!$A316,'Quarterly Data'!AD:AD)</f>
        <v>#DIV/0!</v>
      </c>
      <c r="AC316" t="e">
        <f>AVERAGEIF('Quarterly Data'!$B:$B,'Annual Data'!$A316,'Quarterly Data'!AE:AE)</f>
        <v>#DIV/0!</v>
      </c>
      <c r="AD316" t="e">
        <f>AVERAGEIF('Quarterly Data'!$B:$B,'Annual Data'!$A316,'Quarterly Data'!AF:AF)</f>
        <v>#DIV/0!</v>
      </c>
      <c r="AE316">
        <f>SUMIF('Quarterly Data'!$B:$B,'Annual Data'!$A316,'Quarterly Data'!AG:AG)</f>
        <v>0</v>
      </c>
    </row>
    <row r="317" spans="1:31" x14ac:dyDescent="0.25">
      <c r="A317">
        <v>2283</v>
      </c>
      <c r="B317">
        <f>SUMIF('Quarterly Data'!$B:$B,'Annual Data'!$A317,'Quarterly Data'!D:D)</f>
        <v>0</v>
      </c>
      <c r="C317" t="e">
        <f>AVERAGEIF('Quarterly Data'!$B:$B,'Annual Data'!$A317,'Quarterly Data'!E:E)</f>
        <v>#DIV/0!</v>
      </c>
      <c r="D317">
        <f>SUMIF('Quarterly Data'!$B:$B,'Annual Data'!$A317,'Quarterly Data'!F:F)</f>
        <v>0</v>
      </c>
      <c r="E317">
        <f>SUMIF('Quarterly Data'!$B:$B,'Annual Data'!$A317,'Quarterly Data'!G:G)</f>
        <v>0</v>
      </c>
      <c r="F317">
        <f>SUMIF('Quarterly Data'!$B:$B,'Annual Data'!$A317,'Quarterly Data'!H:H)</f>
        <v>0</v>
      </c>
      <c r="G317">
        <f>SUMIF('Quarterly Data'!$B:$B,'Annual Data'!$A317,'Quarterly Data'!I:I)</f>
        <v>0</v>
      </c>
      <c r="H317">
        <f>SUMIF('Quarterly Data'!$B:$B,'Annual Data'!$A317,'Quarterly Data'!J:J)</f>
        <v>0</v>
      </c>
      <c r="I317">
        <f>SUMIF('Quarterly Data'!$B:$B,'Annual Data'!$A317,'Quarterly Data'!K:K)</f>
        <v>0</v>
      </c>
      <c r="J317">
        <f>SUMIF('Quarterly Data'!$B:$B,'Annual Data'!$A317,'Quarterly Data'!L:L)</f>
        <v>0</v>
      </c>
      <c r="K317" t="e">
        <f>AVERAGEIF('Quarterly Data'!$B:$B,'Annual Data'!$A317,'Quarterly Data'!M:M)</f>
        <v>#DIV/0!</v>
      </c>
      <c r="L317" t="e">
        <f>AVERAGEIF('Quarterly Data'!$B:$B,'Annual Data'!$A317,'Quarterly Data'!N:N)</f>
        <v>#DIV/0!</v>
      </c>
      <c r="M317" t="e">
        <f>AVERAGEIF('Quarterly Data'!$B:$B,'Annual Data'!$A317,'Quarterly Data'!O:O)</f>
        <v>#DIV/0!</v>
      </c>
      <c r="N317" t="e">
        <f>AVERAGEIF('Quarterly Data'!$B:$B,'Annual Data'!$A317,'Quarterly Data'!P:P)</f>
        <v>#DIV/0!</v>
      </c>
      <c r="O317" t="e">
        <f>AVERAGEIF('Quarterly Data'!$B:$B,'Annual Data'!$A317,'Quarterly Data'!Q:Q)</f>
        <v>#DIV/0!</v>
      </c>
      <c r="P317">
        <f>SUMIF('Quarterly Data'!$B:$B,'Annual Data'!$A317,'Quarterly Data'!R:R)</f>
        <v>0</v>
      </c>
      <c r="Q317">
        <f>SUMIF('Quarterly Data'!$B:$B,'Annual Data'!$A317,'Quarterly Data'!S:S)</f>
        <v>0</v>
      </c>
      <c r="R317" t="e">
        <f>AVERAGEIF('Quarterly Data'!$B:$B,'Annual Data'!$A317,'Quarterly Data'!T:T)</f>
        <v>#DIV/0!</v>
      </c>
      <c r="S317">
        <f>SUMIF('Quarterly Data'!$B:$B,'Annual Data'!$A317,'Quarterly Data'!U:U)</f>
        <v>0</v>
      </c>
      <c r="T317">
        <f>SUMIF('Quarterly Data'!$B:$B,'Annual Data'!$A317,'Quarterly Data'!V:V)</f>
        <v>0</v>
      </c>
      <c r="U317">
        <f>SUMIF('Quarterly Data'!$B:$B,'Annual Data'!$A317,'Quarterly Data'!W:W)</f>
        <v>0</v>
      </c>
      <c r="V317">
        <f>SUMIF('Quarterly Data'!$B:$B,'Annual Data'!$A317,'Quarterly Data'!X:X)</f>
        <v>0</v>
      </c>
      <c r="W317">
        <f>SUMIF('Quarterly Data'!$B:$B,'Annual Data'!$A317,'Quarterly Data'!Y:Y)</f>
        <v>0</v>
      </c>
      <c r="X317">
        <f>SUMIF('Quarterly Data'!$B:$B,'Annual Data'!$A317,'Quarterly Data'!Z:Z)</f>
        <v>0</v>
      </c>
      <c r="Y317">
        <f>SUMIF('Quarterly Data'!$B:$B,'Annual Data'!$A317,'Quarterly Data'!AA:AA)</f>
        <v>0</v>
      </c>
      <c r="Z317" t="e">
        <f>AVERAGEIF('Quarterly Data'!$B:$B,'Annual Data'!$A317,'Quarterly Data'!AB:AB)</f>
        <v>#DIV/0!</v>
      </c>
      <c r="AA317" t="e">
        <f>AVERAGEIF('Quarterly Data'!$B:$B,'Annual Data'!$A317,'Quarterly Data'!AC:AC)</f>
        <v>#DIV/0!</v>
      </c>
      <c r="AB317" t="e">
        <f>AVERAGEIF('Quarterly Data'!$B:$B,'Annual Data'!$A317,'Quarterly Data'!AD:AD)</f>
        <v>#DIV/0!</v>
      </c>
      <c r="AC317" t="e">
        <f>AVERAGEIF('Quarterly Data'!$B:$B,'Annual Data'!$A317,'Quarterly Data'!AE:AE)</f>
        <v>#DIV/0!</v>
      </c>
      <c r="AD317" t="e">
        <f>AVERAGEIF('Quarterly Data'!$B:$B,'Annual Data'!$A317,'Quarterly Data'!AF:AF)</f>
        <v>#DIV/0!</v>
      </c>
      <c r="AE317">
        <f>SUMIF('Quarterly Data'!$B:$B,'Annual Data'!$A317,'Quarterly Data'!AG:AG)</f>
        <v>0</v>
      </c>
    </row>
    <row r="318" spans="1:31" x14ac:dyDescent="0.25">
      <c r="A318">
        <v>2284</v>
      </c>
      <c r="B318">
        <f>SUMIF('Quarterly Data'!$B:$B,'Annual Data'!$A318,'Quarterly Data'!D:D)</f>
        <v>0</v>
      </c>
      <c r="C318" t="e">
        <f>AVERAGEIF('Quarterly Data'!$B:$B,'Annual Data'!$A318,'Quarterly Data'!E:E)</f>
        <v>#DIV/0!</v>
      </c>
      <c r="D318">
        <f>SUMIF('Quarterly Data'!$B:$B,'Annual Data'!$A318,'Quarterly Data'!F:F)</f>
        <v>0</v>
      </c>
      <c r="E318">
        <f>SUMIF('Quarterly Data'!$B:$B,'Annual Data'!$A318,'Quarterly Data'!G:G)</f>
        <v>0</v>
      </c>
      <c r="F318">
        <f>SUMIF('Quarterly Data'!$B:$B,'Annual Data'!$A318,'Quarterly Data'!H:H)</f>
        <v>0</v>
      </c>
      <c r="G318">
        <f>SUMIF('Quarterly Data'!$B:$B,'Annual Data'!$A318,'Quarterly Data'!I:I)</f>
        <v>0</v>
      </c>
      <c r="H318">
        <f>SUMIF('Quarterly Data'!$B:$B,'Annual Data'!$A318,'Quarterly Data'!J:J)</f>
        <v>0</v>
      </c>
      <c r="I318">
        <f>SUMIF('Quarterly Data'!$B:$B,'Annual Data'!$A318,'Quarterly Data'!K:K)</f>
        <v>0</v>
      </c>
      <c r="J318">
        <f>SUMIF('Quarterly Data'!$B:$B,'Annual Data'!$A318,'Quarterly Data'!L:L)</f>
        <v>0</v>
      </c>
      <c r="K318" t="e">
        <f>AVERAGEIF('Quarterly Data'!$B:$B,'Annual Data'!$A318,'Quarterly Data'!M:M)</f>
        <v>#DIV/0!</v>
      </c>
      <c r="L318" t="e">
        <f>AVERAGEIF('Quarterly Data'!$B:$B,'Annual Data'!$A318,'Quarterly Data'!N:N)</f>
        <v>#DIV/0!</v>
      </c>
      <c r="M318" t="e">
        <f>AVERAGEIF('Quarterly Data'!$B:$B,'Annual Data'!$A318,'Quarterly Data'!O:O)</f>
        <v>#DIV/0!</v>
      </c>
      <c r="N318" t="e">
        <f>AVERAGEIF('Quarterly Data'!$B:$B,'Annual Data'!$A318,'Quarterly Data'!P:P)</f>
        <v>#DIV/0!</v>
      </c>
      <c r="O318" t="e">
        <f>AVERAGEIF('Quarterly Data'!$B:$B,'Annual Data'!$A318,'Quarterly Data'!Q:Q)</f>
        <v>#DIV/0!</v>
      </c>
      <c r="P318">
        <f>SUMIF('Quarterly Data'!$B:$B,'Annual Data'!$A318,'Quarterly Data'!R:R)</f>
        <v>0</v>
      </c>
      <c r="Q318">
        <f>SUMIF('Quarterly Data'!$B:$B,'Annual Data'!$A318,'Quarterly Data'!S:S)</f>
        <v>0</v>
      </c>
      <c r="R318" t="e">
        <f>AVERAGEIF('Quarterly Data'!$B:$B,'Annual Data'!$A318,'Quarterly Data'!T:T)</f>
        <v>#DIV/0!</v>
      </c>
      <c r="S318">
        <f>SUMIF('Quarterly Data'!$B:$B,'Annual Data'!$A318,'Quarterly Data'!U:U)</f>
        <v>0</v>
      </c>
      <c r="T318">
        <f>SUMIF('Quarterly Data'!$B:$B,'Annual Data'!$A318,'Quarterly Data'!V:V)</f>
        <v>0</v>
      </c>
      <c r="U318">
        <f>SUMIF('Quarterly Data'!$B:$B,'Annual Data'!$A318,'Quarterly Data'!W:W)</f>
        <v>0</v>
      </c>
      <c r="V318">
        <f>SUMIF('Quarterly Data'!$B:$B,'Annual Data'!$A318,'Quarterly Data'!X:X)</f>
        <v>0</v>
      </c>
      <c r="W318">
        <f>SUMIF('Quarterly Data'!$B:$B,'Annual Data'!$A318,'Quarterly Data'!Y:Y)</f>
        <v>0</v>
      </c>
      <c r="X318">
        <f>SUMIF('Quarterly Data'!$B:$B,'Annual Data'!$A318,'Quarterly Data'!Z:Z)</f>
        <v>0</v>
      </c>
      <c r="Y318">
        <f>SUMIF('Quarterly Data'!$B:$B,'Annual Data'!$A318,'Quarterly Data'!AA:AA)</f>
        <v>0</v>
      </c>
      <c r="Z318" t="e">
        <f>AVERAGEIF('Quarterly Data'!$B:$B,'Annual Data'!$A318,'Quarterly Data'!AB:AB)</f>
        <v>#DIV/0!</v>
      </c>
      <c r="AA318" t="e">
        <f>AVERAGEIF('Quarterly Data'!$B:$B,'Annual Data'!$A318,'Quarterly Data'!AC:AC)</f>
        <v>#DIV/0!</v>
      </c>
      <c r="AB318" t="e">
        <f>AVERAGEIF('Quarterly Data'!$B:$B,'Annual Data'!$A318,'Quarterly Data'!AD:AD)</f>
        <v>#DIV/0!</v>
      </c>
      <c r="AC318" t="e">
        <f>AVERAGEIF('Quarterly Data'!$B:$B,'Annual Data'!$A318,'Quarterly Data'!AE:AE)</f>
        <v>#DIV/0!</v>
      </c>
      <c r="AD318" t="e">
        <f>AVERAGEIF('Quarterly Data'!$B:$B,'Annual Data'!$A318,'Quarterly Data'!AF:AF)</f>
        <v>#DIV/0!</v>
      </c>
      <c r="AE318">
        <f>SUMIF('Quarterly Data'!$B:$B,'Annual Data'!$A318,'Quarterly Data'!AG:AG)</f>
        <v>0</v>
      </c>
    </row>
    <row r="319" spans="1:31" x14ac:dyDescent="0.25">
      <c r="A319">
        <v>2285</v>
      </c>
      <c r="B319">
        <f>SUMIF('Quarterly Data'!$B:$B,'Annual Data'!$A319,'Quarterly Data'!D:D)</f>
        <v>0</v>
      </c>
      <c r="C319" t="e">
        <f>AVERAGEIF('Quarterly Data'!$B:$B,'Annual Data'!$A319,'Quarterly Data'!E:E)</f>
        <v>#DIV/0!</v>
      </c>
      <c r="D319">
        <f>SUMIF('Quarterly Data'!$B:$B,'Annual Data'!$A319,'Quarterly Data'!F:F)</f>
        <v>0</v>
      </c>
      <c r="E319">
        <f>SUMIF('Quarterly Data'!$B:$B,'Annual Data'!$A319,'Quarterly Data'!G:G)</f>
        <v>0</v>
      </c>
      <c r="F319">
        <f>SUMIF('Quarterly Data'!$B:$B,'Annual Data'!$A319,'Quarterly Data'!H:H)</f>
        <v>0</v>
      </c>
      <c r="G319">
        <f>SUMIF('Quarterly Data'!$B:$B,'Annual Data'!$A319,'Quarterly Data'!I:I)</f>
        <v>0</v>
      </c>
      <c r="H319">
        <f>SUMIF('Quarterly Data'!$B:$B,'Annual Data'!$A319,'Quarterly Data'!J:J)</f>
        <v>0</v>
      </c>
      <c r="I319">
        <f>SUMIF('Quarterly Data'!$B:$B,'Annual Data'!$A319,'Quarterly Data'!K:K)</f>
        <v>0</v>
      </c>
      <c r="J319">
        <f>SUMIF('Quarterly Data'!$B:$B,'Annual Data'!$A319,'Quarterly Data'!L:L)</f>
        <v>0</v>
      </c>
      <c r="K319" t="e">
        <f>AVERAGEIF('Quarterly Data'!$B:$B,'Annual Data'!$A319,'Quarterly Data'!M:M)</f>
        <v>#DIV/0!</v>
      </c>
      <c r="L319" t="e">
        <f>AVERAGEIF('Quarterly Data'!$B:$B,'Annual Data'!$A319,'Quarterly Data'!N:N)</f>
        <v>#DIV/0!</v>
      </c>
      <c r="M319" t="e">
        <f>AVERAGEIF('Quarterly Data'!$B:$B,'Annual Data'!$A319,'Quarterly Data'!O:O)</f>
        <v>#DIV/0!</v>
      </c>
      <c r="N319" t="e">
        <f>AVERAGEIF('Quarterly Data'!$B:$B,'Annual Data'!$A319,'Quarterly Data'!P:P)</f>
        <v>#DIV/0!</v>
      </c>
      <c r="O319" t="e">
        <f>AVERAGEIF('Quarterly Data'!$B:$B,'Annual Data'!$A319,'Quarterly Data'!Q:Q)</f>
        <v>#DIV/0!</v>
      </c>
      <c r="P319">
        <f>SUMIF('Quarterly Data'!$B:$B,'Annual Data'!$A319,'Quarterly Data'!R:R)</f>
        <v>0</v>
      </c>
      <c r="Q319">
        <f>SUMIF('Quarterly Data'!$B:$B,'Annual Data'!$A319,'Quarterly Data'!S:S)</f>
        <v>0</v>
      </c>
      <c r="R319" t="e">
        <f>AVERAGEIF('Quarterly Data'!$B:$B,'Annual Data'!$A319,'Quarterly Data'!T:T)</f>
        <v>#DIV/0!</v>
      </c>
      <c r="S319">
        <f>SUMIF('Quarterly Data'!$B:$B,'Annual Data'!$A319,'Quarterly Data'!U:U)</f>
        <v>0</v>
      </c>
      <c r="T319">
        <f>SUMIF('Quarterly Data'!$B:$B,'Annual Data'!$A319,'Quarterly Data'!V:V)</f>
        <v>0</v>
      </c>
      <c r="U319">
        <f>SUMIF('Quarterly Data'!$B:$B,'Annual Data'!$A319,'Quarterly Data'!W:W)</f>
        <v>0</v>
      </c>
      <c r="V319">
        <f>SUMIF('Quarterly Data'!$B:$B,'Annual Data'!$A319,'Quarterly Data'!X:X)</f>
        <v>0</v>
      </c>
      <c r="W319">
        <f>SUMIF('Quarterly Data'!$B:$B,'Annual Data'!$A319,'Quarterly Data'!Y:Y)</f>
        <v>0</v>
      </c>
      <c r="X319">
        <f>SUMIF('Quarterly Data'!$B:$B,'Annual Data'!$A319,'Quarterly Data'!Z:Z)</f>
        <v>0</v>
      </c>
      <c r="Y319">
        <f>SUMIF('Quarterly Data'!$B:$B,'Annual Data'!$A319,'Quarterly Data'!AA:AA)</f>
        <v>0</v>
      </c>
      <c r="Z319" t="e">
        <f>AVERAGEIF('Quarterly Data'!$B:$B,'Annual Data'!$A319,'Quarterly Data'!AB:AB)</f>
        <v>#DIV/0!</v>
      </c>
      <c r="AA319" t="e">
        <f>AVERAGEIF('Quarterly Data'!$B:$B,'Annual Data'!$A319,'Quarterly Data'!AC:AC)</f>
        <v>#DIV/0!</v>
      </c>
      <c r="AB319" t="e">
        <f>AVERAGEIF('Quarterly Data'!$B:$B,'Annual Data'!$A319,'Quarterly Data'!AD:AD)</f>
        <v>#DIV/0!</v>
      </c>
      <c r="AC319" t="e">
        <f>AVERAGEIF('Quarterly Data'!$B:$B,'Annual Data'!$A319,'Quarterly Data'!AE:AE)</f>
        <v>#DIV/0!</v>
      </c>
      <c r="AD319" t="e">
        <f>AVERAGEIF('Quarterly Data'!$B:$B,'Annual Data'!$A319,'Quarterly Data'!AF:AF)</f>
        <v>#DIV/0!</v>
      </c>
      <c r="AE319">
        <f>SUMIF('Quarterly Data'!$B:$B,'Annual Data'!$A319,'Quarterly Data'!AG:AG)</f>
        <v>0</v>
      </c>
    </row>
    <row r="320" spans="1:31" x14ac:dyDescent="0.25">
      <c r="A320">
        <v>2286</v>
      </c>
      <c r="B320">
        <f>SUMIF('Quarterly Data'!$B:$B,'Annual Data'!$A320,'Quarterly Data'!D:D)</f>
        <v>0</v>
      </c>
      <c r="C320" t="e">
        <f>AVERAGEIF('Quarterly Data'!$B:$B,'Annual Data'!$A320,'Quarterly Data'!E:E)</f>
        <v>#DIV/0!</v>
      </c>
      <c r="D320">
        <f>SUMIF('Quarterly Data'!$B:$B,'Annual Data'!$A320,'Quarterly Data'!F:F)</f>
        <v>0</v>
      </c>
      <c r="E320">
        <f>SUMIF('Quarterly Data'!$B:$B,'Annual Data'!$A320,'Quarterly Data'!G:G)</f>
        <v>0</v>
      </c>
      <c r="F320">
        <f>SUMIF('Quarterly Data'!$B:$B,'Annual Data'!$A320,'Quarterly Data'!H:H)</f>
        <v>0</v>
      </c>
      <c r="G320">
        <f>SUMIF('Quarterly Data'!$B:$B,'Annual Data'!$A320,'Quarterly Data'!I:I)</f>
        <v>0</v>
      </c>
      <c r="H320">
        <f>SUMIF('Quarterly Data'!$B:$B,'Annual Data'!$A320,'Quarterly Data'!J:J)</f>
        <v>0</v>
      </c>
      <c r="I320">
        <f>SUMIF('Quarterly Data'!$B:$B,'Annual Data'!$A320,'Quarterly Data'!K:K)</f>
        <v>0</v>
      </c>
      <c r="J320">
        <f>SUMIF('Quarterly Data'!$B:$B,'Annual Data'!$A320,'Quarterly Data'!L:L)</f>
        <v>0</v>
      </c>
      <c r="K320" t="e">
        <f>AVERAGEIF('Quarterly Data'!$B:$B,'Annual Data'!$A320,'Quarterly Data'!M:M)</f>
        <v>#DIV/0!</v>
      </c>
      <c r="L320" t="e">
        <f>AVERAGEIF('Quarterly Data'!$B:$B,'Annual Data'!$A320,'Quarterly Data'!N:N)</f>
        <v>#DIV/0!</v>
      </c>
      <c r="M320" t="e">
        <f>AVERAGEIF('Quarterly Data'!$B:$B,'Annual Data'!$A320,'Quarterly Data'!O:O)</f>
        <v>#DIV/0!</v>
      </c>
      <c r="N320" t="e">
        <f>AVERAGEIF('Quarterly Data'!$B:$B,'Annual Data'!$A320,'Quarterly Data'!P:P)</f>
        <v>#DIV/0!</v>
      </c>
      <c r="O320" t="e">
        <f>AVERAGEIF('Quarterly Data'!$B:$B,'Annual Data'!$A320,'Quarterly Data'!Q:Q)</f>
        <v>#DIV/0!</v>
      </c>
      <c r="P320">
        <f>SUMIF('Quarterly Data'!$B:$B,'Annual Data'!$A320,'Quarterly Data'!R:R)</f>
        <v>0</v>
      </c>
      <c r="Q320">
        <f>SUMIF('Quarterly Data'!$B:$B,'Annual Data'!$A320,'Quarterly Data'!S:S)</f>
        <v>0</v>
      </c>
      <c r="R320" t="e">
        <f>AVERAGEIF('Quarterly Data'!$B:$B,'Annual Data'!$A320,'Quarterly Data'!T:T)</f>
        <v>#DIV/0!</v>
      </c>
      <c r="S320">
        <f>SUMIF('Quarterly Data'!$B:$B,'Annual Data'!$A320,'Quarterly Data'!U:U)</f>
        <v>0</v>
      </c>
      <c r="T320">
        <f>SUMIF('Quarterly Data'!$B:$B,'Annual Data'!$A320,'Quarterly Data'!V:V)</f>
        <v>0</v>
      </c>
      <c r="U320">
        <f>SUMIF('Quarterly Data'!$B:$B,'Annual Data'!$A320,'Quarterly Data'!W:W)</f>
        <v>0</v>
      </c>
      <c r="V320">
        <f>SUMIF('Quarterly Data'!$B:$B,'Annual Data'!$A320,'Quarterly Data'!X:X)</f>
        <v>0</v>
      </c>
      <c r="W320">
        <f>SUMIF('Quarterly Data'!$B:$B,'Annual Data'!$A320,'Quarterly Data'!Y:Y)</f>
        <v>0</v>
      </c>
      <c r="X320">
        <f>SUMIF('Quarterly Data'!$B:$B,'Annual Data'!$A320,'Quarterly Data'!Z:Z)</f>
        <v>0</v>
      </c>
      <c r="Y320">
        <f>SUMIF('Quarterly Data'!$B:$B,'Annual Data'!$A320,'Quarterly Data'!AA:AA)</f>
        <v>0</v>
      </c>
      <c r="Z320" t="e">
        <f>AVERAGEIF('Quarterly Data'!$B:$B,'Annual Data'!$A320,'Quarterly Data'!AB:AB)</f>
        <v>#DIV/0!</v>
      </c>
      <c r="AA320" t="e">
        <f>AVERAGEIF('Quarterly Data'!$B:$B,'Annual Data'!$A320,'Quarterly Data'!AC:AC)</f>
        <v>#DIV/0!</v>
      </c>
      <c r="AB320" t="e">
        <f>AVERAGEIF('Quarterly Data'!$B:$B,'Annual Data'!$A320,'Quarterly Data'!AD:AD)</f>
        <v>#DIV/0!</v>
      </c>
      <c r="AC320" t="e">
        <f>AVERAGEIF('Quarterly Data'!$B:$B,'Annual Data'!$A320,'Quarterly Data'!AE:AE)</f>
        <v>#DIV/0!</v>
      </c>
      <c r="AD320" t="e">
        <f>AVERAGEIF('Quarterly Data'!$B:$B,'Annual Data'!$A320,'Quarterly Data'!AF:AF)</f>
        <v>#DIV/0!</v>
      </c>
      <c r="AE320">
        <f>SUMIF('Quarterly Data'!$B:$B,'Annual Data'!$A320,'Quarterly Data'!AG:AG)</f>
        <v>0</v>
      </c>
    </row>
    <row r="321" spans="1:31" x14ac:dyDescent="0.25">
      <c r="A321">
        <v>2287</v>
      </c>
      <c r="B321">
        <f>SUMIF('Quarterly Data'!$B:$B,'Annual Data'!$A321,'Quarterly Data'!D:D)</f>
        <v>0</v>
      </c>
      <c r="C321" t="e">
        <f>AVERAGEIF('Quarterly Data'!$B:$B,'Annual Data'!$A321,'Quarterly Data'!E:E)</f>
        <v>#DIV/0!</v>
      </c>
      <c r="D321">
        <f>SUMIF('Quarterly Data'!$B:$B,'Annual Data'!$A321,'Quarterly Data'!F:F)</f>
        <v>0</v>
      </c>
      <c r="E321">
        <f>SUMIF('Quarterly Data'!$B:$B,'Annual Data'!$A321,'Quarterly Data'!G:G)</f>
        <v>0</v>
      </c>
      <c r="F321">
        <f>SUMIF('Quarterly Data'!$B:$B,'Annual Data'!$A321,'Quarterly Data'!H:H)</f>
        <v>0</v>
      </c>
      <c r="G321">
        <f>SUMIF('Quarterly Data'!$B:$B,'Annual Data'!$A321,'Quarterly Data'!I:I)</f>
        <v>0</v>
      </c>
      <c r="H321">
        <f>SUMIF('Quarterly Data'!$B:$B,'Annual Data'!$A321,'Quarterly Data'!J:J)</f>
        <v>0</v>
      </c>
      <c r="I321">
        <f>SUMIF('Quarterly Data'!$B:$B,'Annual Data'!$A321,'Quarterly Data'!K:K)</f>
        <v>0</v>
      </c>
      <c r="J321">
        <f>SUMIF('Quarterly Data'!$B:$B,'Annual Data'!$A321,'Quarterly Data'!L:L)</f>
        <v>0</v>
      </c>
      <c r="K321" t="e">
        <f>AVERAGEIF('Quarterly Data'!$B:$B,'Annual Data'!$A321,'Quarterly Data'!M:M)</f>
        <v>#DIV/0!</v>
      </c>
      <c r="L321" t="e">
        <f>AVERAGEIF('Quarterly Data'!$B:$B,'Annual Data'!$A321,'Quarterly Data'!N:N)</f>
        <v>#DIV/0!</v>
      </c>
      <c r="M321" t="e">
        <f>AVERAGEIF('Quarterly Data'!$B:$B,'Annual Data'!$A321,'Quarterly Data'!O:O)</f>
        <v>#DIV/0!</v>
      </c>
      <c r="N321" t="e">
        <f>AVERAGEIF('Quarterly Data'!$B:$B,'Annual Data'!$A321,'Quarterly Data'!P:P)</f>
        <v>#DIV/0!</v>
      </c>
      <c r="O321" t="e">
        <f>AVERAGEIF('Quarterly Data'!$B:$B,'Annual Data'!$A321,'Quarterly Data'!Q:Q)</f>
        <v>#DIV/0!</v>
      </c>
      <c r="P321">
        <f>SUMIF('Quarterly Data'!$B:$B,'Annual Data'!$A321,'Quarterly Data'!R:R)</f>
        <v>0</v>
      </c>
      <c r="Q321">
        <f>SUMIF('Quarterly Data'!$B:$B,'Annual Data'!$A321,'Quarterly Data'!S:S)</f>
        <v>0</v>
      </c>
      <c r="R321" t="e">
        <f>AVERAGEIF('Quarterly Data'!$B:$B,'Annual Data'!$A321,'Quarterly Data'!T:T)</f>
        <v>#DIV/0!</v>
      </c>
      <c r="S321">
        <f>SUMIF('Quarterly Data'!$B:$B,'Annual Data'!$A321,'Quarterly Data'!U:U)</f>
        <v>0</v>
      </c>
      <c r="T321">
        <f>SUMIF('Quarterly Data'!$B:$B,'Annual Data'!$A321,'Quarterly Data'!V:V)</f>
        <v>0</v>
      </c>
      <c r="U321">
        <f>SUMIF('Quarterly Data'!$B:$B,'Annual Data'!$A321,'Quarterly Data'!W:W)</f>
        <v>0</v>
      </c>
      <c r="V321">
        <f>SUMIF('Quarterly Data'!$B:$B,'Annual Data'!$A321,'Quarterly Data'!X:X)</f>
        <v>0</v>
      </c>
      <c r="W321">
        <f>SUMIF('Quarterly Data'!$B:$B,'Annual Data'!$A321,'Quarterly Data'!Y:Y)</f>
        <v>0</v>
      </c>
      <c r="X321">
        <f>SUMIF('Quarterly Data'!$B:$B,'Annual Data'!$A321,'Quarterly Data'!Z:Z)</f>
        <v>0</v>
      </c>
      <c r="Y321">
        <f>SUMIF('Quarterly Data'!$B:$B,'Annual Data'!$A321,'Quarterly Data'!AA:AA)</f>
        <v>0</v>
      </c>
      <c r="Z321" t="e">
        <f>AVERAGEIF('Quarterly Data'!$B:$B,'Annual Data'!$A321,'Quarterly Data'!AB:AB)</f>
        <v>#DIV/0!</v>
      </c>
      <c r="AA321" t="e">
        <f>AVERAGEIF('Quarterly Data'!$B:$B,'Annual Data'!$A321,'Quarterly Data'!AC:AC)</f>
        <v>#DIV/0!</v>
      </c>
      <c r="AB321" t="e">
        <f>AVERAGEIF('Quarterly Data'!$B:$B,'Annual Data'!$A321,'Quarterly Data'!AD:AD)</f>
        <v>#DIV/0!</v>
      </c>
      <c r="AC321" t="e">
        <f>AVERAGEIF('Quarterly Data'!$B:$B,'Annual Data'!$A321,'Quarterly Data'!AE:AE)</f>
        <v>#DIV/0!</v>
      </c>
      <c r="AD321" t="e">
        <f>AVERAGEIF('Quarterly Data'!$B:$B,'Annual Data'!$A321,'Quarterly Data'!AF:AF)</f>
        <v>#DIV/0!</v>
      </c>
      <c r="AE321">
        <f>SUMIF('Quarterly Data'!$B:$B,'Annual Data'!$A321,'Quarterly Data'!AG:AG)</f>
        <v>0</v>
      </c>
    </row>
    <row r="322" spans="1:31" x14ac:dyDescent="0.25">
      <c r="A322">
        <v>2288</v>
      </c>
      <c r="B322">
        <f>SUMIF('Quarterly Data'!$B:$B,'Annual Data'!$A322,'Quarterly Data'!D:D)</f>
        <v>0</v>
      </c>
      <c r="C322" t="e">
        <f>AVERAGEIF('Quarterly Data'!$B:$B,'Annual Data'!$A322,'Quarterly Data'!E:E)</f>
        <v>#DIV/0!</v>
      </c>
      <c r="D322">
        <f>SUMIF('Quarterly Data'!$B:$B,'Annual Data'!$A322,'Quarterly Data'!F:F)</f>
        <v>0</v>
      </c>
      <c r="E322">
        <f>SUMIF('Quarterly Data'!$B:$B,'Annual Data'!$A322,'Quarterly Data'!G:G)</f>
        <v>0</v>
      </c>
      <c r="F322">
        <f>SUMIF('Quarterly Data'!$B:$B,'Annual Data'!$A322,'Quarterly Data'!H:H)</f>
        <v>0</v>
      </c>
      <c r="G322">
        <f>SUMIF('Quarterly Data'!$B:$B,'Annual Data'!$A322,'Quarterly Data'!I:I)</f>
        <v>0</v>
      </c>
      <c r="H322">
        <f>SUMIF('Quarterly Data'!$B:$B,'Annual Data'!$A322,'Quarterly Data'!J:J)</f>
        <v>0</v>
      </c>
      <c r="I322">
        <f>SUMIF('Quarterly Data'!$B:$B,'Annual Data'!$A322,'Quarterly Data'!K:K)</f>
        <v>0</v>
      </c>
      <c r="J322">
        <f>SUMIF('Quarterly Data'!$B:$B,'Annual Data'!$A322,'Quarterly Data'!L:L)</f>
        <v>0</v>
      </c>
      <c r="K322" t="e">
        <f>AVERAGEIF('Quarterly Data'!$B:$B,'Annual Data'!$A322,'Quarterly Data'!M:M)</f>
        <v>#DIV/0!</v>
      </c>
      <c r="L322" t="e">
        <f>AVERAGEIF('Quarterly Data'!$B:$B,'Annual Data'!$A322,'Quarterly Data'!N:N)</f>
        <v>#DIV/0!</v>
      </c>
      <c r="M322" t="e">
        <f>AVERAGEIF('Quarterly Data'!$B:$B,'Annual Data'!$A322,'Quarterly Data'!O:O)</f>
        <v>#DIV/0!</v>
      </c>
      <c r="N322" t="e">
        <f>AVERAGEIF('Quarterly Data'!$B:$B,'Annual Data'!$A322,'Quarterly Data'!P:P)</f>
        <v>#DIV/0!</v>
      </c>
      <c r="O322" t="e">
        <f>AVERAGEIF('Quarterly Data'!$B:$B,'Annual Data'!$A322,'Quarterly Data'!Q:Q)</f>
        <v>#DIV/0!</v>
      </c>
      <c r="P322">
        <f>SUMIF('Quarterly Data'!$B:$B,'Annual Data'!$A322,'Quarterly Data'!R:R)</f>
        <v>0</v>
      </c>
      <c r="Q322">
        <f>SUMIF('Quarterly Data'!$B:$B,'Annual Data'!$A322,'Quarterly Data'!S:S)</f>
        <v>0</v>
      </c>
      <c r="R322" t="e">
        <f>AVERAGEIF('Quarterly Data'!$B:$B,'Annual Data'!$A322,'Quarterly Data'!T:T)</f>
        <v>#DIV/0!</v>
      </c>
      <c r="S322">
        <f>SUMIF('Quarterly Data'!$B:$B,'Annual Data'!$A322,'Quarterly Data'!U:U)</f>
        <v>0</v>
      </c>
      <c r="T322">
        <f>SUMIF('Quarterly Data'!$B:$B,'Annual Data'!$A322,'Quarterly Data'!V:V)</f>
        <v>0</v>
      </c>
      <c r="U322">
        <f>SUMIF('Quarterly Data'!$B:$B,'Annual Data'!$A322,'Quarterly Data'!W:W)</f>
        <v>0</v>
      </c>
      <c r="V322">
        <f>SUMIF('Quarterly Data'!$B:$B,'Annual Data'!$A322,'Quarterly Data'!X:X)</f>
        <v>0</v>
      </c>
      <c r="W322">
        <f>SUMIF('Quarterly Data'!$B:$B,'Annual Data'!$A322,'Quarterly Data'!Y:Y)</f>
        <v>0</v>
      </c>
      <c r="X322">
        <f>SUMIF('Quarterly Data'!$B:$B,'Annual Data'!$A322,'Quarterly Data'!Z:Z)</f>
        <v>0</v>
      </c>
      <c r="Y322">
        <f>SUMIF('Quarterly Data'!$B:$B,'Annual Data'!$A322,'Quarterly Data'!AA:AA)</f>
        <v>0</v>
      </c>
      <c r="Z322" t="e">
        <f>AVERAGEIF('Quarterly Data'!$B:$B,'Annual Data'!$A322,'Quarterly Data'!AB:AB)</f>
        <v>#DIV/0!</v>
      </c>
      <c r="AA322" t="e">
        <f>AVERAGEIF('Quarterly Data'!$B:$B,'Annual Data'!$A322,'Quarterly Data'!AC:AC)</f>
        <v>#DIV/0!</v>
      </c>
      <c r="AB322" t="e">
        <f>AVERAGEIF('Quarterly Data'!$B:$B,'Annual Data'!$A322,'Quarterly Data'!AD:AD)</f>
        <v>#DIV/0!</v>
      </c>
      <c r="AC322" t="e">
        <f>AVERAGEIF('Quarterly Data'!$B:$B,'Annual Data'!$A322,'Quarterly Data'!AE:AE)</f>
        <v>#DIV/0!</v>
      </c>
      <c r="AD322" t="e">
        <f>AVERAGEIF('Quarterly Data'!$B:$B,'Annual Data'!$A322,'Quarterly Data'!AF:AF)</f>
        <v>#DIV/0!</v>
      </c>
      <c r="AE322">
        <f>SUMIF('Quarterly Data'!$B:$B,'Annual Data'!$A322,'Quarterly Data'!AG:AG)</f>
        <v>0</v>
      </c>
    </row>
    <row r="323" spans="1:31" x14ac:dyDescent="0.25">
      <c r="A323">
        <v>2289</v>
      </c>
      <c r="B323">
        <f>SUMIF('Quarterly Data'!$B:$B,'Annual Data'!$A323,'Quarterly Data'!D:D)</f>
        <v>0</v>
      </c>
      <c r="C323" t="e">
        <f>AVERAGEIF('Quarterly Data'!$B:$B,'Annual Data'!$A323,'Quarterly Data'!E:E)</f>
        <v>#DIV/0!</v>
      </c>
      <c r="D323">
        <f>SUMIF('Quarterly Data'!$B:$B,'Annual Data'!$A323,'Quarterly Data'!F:F)</f>
        <v>0</v>
      </c>
      <c r="E323">
        <f>SUMIF('Quarterly Data'!$B:$B,'Annual Data'!$A323,'Quarterly Data'!G:G)</f>
        <v>0</v>
      </c>
      <c r="F323">
        <f>SUMIF('Quarterly Data'!$B:$B,'Annual Data'!$A323,'Quarterly Data'!H:H)</f>
        <v>0</v>
      </c>
      <c r="G323">
        <f>SUMIF('Quarterly Data'!$B:$B,'Annual Data'!$A323,'Quarterly Data'!I:I)</f>
        <v>0</v>
      </c>
      <c r="H323">
        <f>SUMIF('Quarterly Data'!$B:$B,'Annual Data'!$A323,'Quarterly Data'!J:J)</f>
        <v>0</v>
      </c>
      <c r="I323">
        <f>SUMIF('Quarterly Data'!$B:$B,'Annual Data'!$A323,'Quarterly Data'!K:K)</f>
        <v>0</v>
      </c>
      <c r="J323">
        <f>SUMIF('Quarterly Data'!$B:$B,'Annual Data'!$A323,'Quarterly Data'!L:L)</f>
        <v>0</v>
      </c>
      <c r="K323" t="e">
        <f>AVERAGEIF('Quarterly Data'!$B:$B,'Annual Data'!$A323,'Quarterly Data'!M:M)</f>
        <v>#DIV/0!</v>
      </c>
      <c r="L323" t="e">
        <f>AVERAGEIF('Quarterly Data'!$B:$B,'Annual Data'!$A323,'Quarterly Data'!N:N)</f>
        <v>#DIV/0!</v>
      </c>
      <c r="M323" t="e">
        <f>AVERAGEIF('Quarterly Data'!$B:$B,'Annual Data'!$A323,'Quarterly Data'!O:O)</f>
        <v>#DIV/0!</v>
      </c>
      <c r="N323" t="e">
        <f>AVERAGEIF('Quarterly Data'!$B:$B,'Annual Data'!$A323,'Quarterly Data'!P:P)</f>
        <v>#DIV/0!</v>
      </c>
      <c r="O323" t="e">
        <f>AVERAGEIF('Quarterly Data'!$B:$B,'Annual Data'!$A323,'Quarterly Data'!Q:Q)</f>
        <v>#DIV/0!</v>
      </c>
      <c r="P323">
        <f>SUMIF('Quarterly Data'!$B:$B,'Annual Data'!$A323,'Quarterly Data'!R:R)</f>
        <v>0</v>
      </c>
      <c r="Q323">
        <f>SUMIF('Quarterly Data'!$B:$B,'Annual Data'!$A323,'Quarterly Data'!S:S)</f>
        <v>0</v>
      </c>
      <c r="R323" t="e">
        <f>AVERAGEIF('Quarterly Data'!$B:$B,'Annual Data'!$A323,'Quarterly Data'!T:T)</f>
        <v>#DIV/0!</v>
      </c>
      <c r="S323">
        <f>SUMIF('Quarterly Data'!$B:$B,'Annual Data'!$A323,'Quarterly Data'!U:U)</f>
        <v>0</v>
      </c>
      <c r="T323">
        <f>SUMIF('Quarterly Data'!$B:$B,'Annual Data'!$A323,'Quarterly Data'!V:V)</f>
        <v>0</v>
      </c>
      <c r="U323">
        <f>SUMIF('Quarterly Data'!$B:$B,'Annual Data'!$A323,'Quarterly Data'!W:W)</f>
        <v>0</v>
      </c>
      <c r="V323">
        <f>SUMIF('Quarterly Data'!$B:$B,'Annual Data'!$A323,'Quarterly Data'!X:X)</f>
        <v>0</v>
      </c>
      <c r="W323">
        <f>SUMIF('Quarterly Data'!$B:$B,'Annual Data'!$A323,'Quarterly Data'!Y:Y)</f>
        <v>0</v>
      </c>
      <c r="X323">
        <f>SUMIF('Quarterly Data'!$B:$B,'Annual Data'!$A323,'Quarterly Data'!Z:Z)</f>
        <v>0</v>
      </c>
      <c r="Y323">
        <f>SUMIF('Quarterly Data'!$B:$B,'Annual Data'!$A323,'Quarterly Data'!AA:AA)</f>
        <v>0</v>
      </c>
      <c r="Z323" t="e">
        <f>AVERAGEIF('Quarterly Data'!$B:$B,'Annual Data'!$A323,'Quarterly Data'!AB:AB)</f>
        <v>#DIV/0!</v>
      </c>
      <c r="AA323" t="e">
        <f>AVERAGEIF('Quarterly Data'!$B:$B,'Annual Data'!$A323,'Quarterly Data'!AC:AC)</f>
        <v>#DIV/0!</v>
      </c>
      <c r="AB323" t="e">
        <f>AVERAGEIF('Quarterly Data'!$B:$B,'Annual Data'!$A323,'Quarterly Data'!AD:AD)</f>
        <v>#DIV/0!</v>
      </c>
      <c r="AC323" t="e">
        <f>AVERAGEIF('Quarterly Data'!$B:$B,'Annual Data'!$A323,'Quarterly Data'!AE:AE)</f>
        <v>#DIV/0!</v>
      </c>
      <c r="AD323" t="e">
        <f>AVERAGEIF('Quarterly Data'!$B:$B,'Annual Data'!$A323,'Quarterly Data'!AF:AF)</f>
        <v>#DIV/0!</v>
      </c>
      <c r="AE323">
        <f>SUMIF('Quarterly Data'!$B:$B,'Annual Data'!$A323,'Quarterly Data'!AG:AG)</f>
        <v>0</v>
      </c>
    </row>
    <row r="324" spans="1:31" x14ac:dyDescent="0.25">
      <c r="A324">
        <v>2290</v>
      </c>
      <c r="B324">
        <f>SUMIF('Quarterly Data'!$B:$B,'Annual Data'!$A324,'Quarterly Data'!D:D)</f>
        <v>0</v>
      </c>
      <c r="C324" t="e">
        <f>AVERAGEIF('Quarterly Data'!$B:$B,'Annual Data'!$A324,'Quarterly Data'!E:E)</f>
        <v>#DIV/0!</v>
      </c>
      <c r="D324">
        <f>SUMIF('Quarterly Data'!$B:$B,'Annual Data'!$A324,'Quarterly Data'!F:F)</f>
        <v>0</v>
      </c>
      <c r="E324">
        <f>SUMIF('Quarterly Data'!$B:$B,'Annual Data'!$A324,'Quarterly Data'!G:G)</f>
        <v>0</v>
      </c>
      <c r="F324">
        <f>SUMIF('Quarterly Data'!$B:$B,'Annual Data'!$A324,'Quarterly Data'!H:H)</f>
        <v>0</v>
      </c>
      <c r="G324">
        <f>SUMIF('Quarterly Data'!$B:$B,'Annual Data'!$A324,'Quarterly Data'!I:I)</f>
        <v>0</v>
      </c>
      <c r="H324">
        <f>SUMIF('Quarterly Data'!$B:$B,'Annual Data'!$A324,'Quarterly Data'!J:J)</f>
        <v>0</v>
      </c>
      <c r="I324">
        <f>SUMIF('Quarterly Data'!$B:$B,'Annual Data'!$A324,'Quarterly Data'!K:K)</f>
        <v>0</v>
      </c>
      <c r="J324">
        <f>SUMIF('Quarterly Data'!$B:$B,'Annual Data'!$A324,'Quarterly Data'!L:L)</f>
        <v>0</v>
      </c>
      <c r="K324" t="e">
        <f>AVERAGEIF('Quarterly Data'!$B:$B,'Annual Data'!$A324,'Quarterly Data'!M:M)</f>
        <v>#DIV/0!</v>
      </c>
      <c r="L324" t="e">
        <f>AVERAGEIF('Quarterly Data'!$B:$B,'Annual Data'!$A324,'Quarterly Data'!N:N)</f>
        <v>#DIV/0!</v>
      </c>
      <c r="M324" t="e">
        <f>AVERAGEIF('Quarterly Data'!$B:$B,'Annual Data'!$A324,'Quarterly Data'!O:O)</f>
        <v>#DIV/0!</v>
      </c>
      <c r="N324" t="e">
        <f>AVERAGEIF('Quarterly Data'!$B:$B,'Annual Data'!$A324,'Quarterly Data'!P:P)</f>
        <v>#DIV/0!</v>
      </c>
      <c r="O324" t="e">
        <f>AVERAGEIF('Quarterly Data'!$B:$B,'Annual Data'!$A324,'Quarterly Data'!Q:Q)</f>
        <v>#DIV/0!</v>
      </c>
      <c r="P324">
        <f>SUMIF('Quarterly Data'!$B:$B,'Annual Data'!$A324,'Quarterly Data'!R:R)</f>
        <v>0</v>
      </c>
      <c r="Q324">
        <f>SUMIF('Quarterly Data'!$B:$B,'Annual Data'!$A324,'Quarterly Data'!S:S)</f>
        <v>0</v>
      </c>
      <c r="R324" t="e">
        <f>AVERAGEIF('Quarterly Data'!$B:$B,'Annual Data'!$A324,'Quarterly Data'!T:T)</f>
        <v>#DIV/0!</v>
      </c>
      <c r="S324">
        <f>SUMIF('Quarterly Data'!$B:$B,'Annual Data'!$A324,'Quarterly Data'!U:U)</f>
        <v>0</v>
      </c>
      <c r="T324">
        <f>SUMIF('Quarterly Data'!$B:$B,'Annual Data'!$A324,'Quarterly Data'!V:V)</f>
        <v>0</v>
      </c>
      <c r="U324">
        <f>SUMIF('Quarterly Data'!$B:$B,'Annual Data'!$A324,'Quarterly Data'!W:W)</f>
        <v>0</v>
      </c>
      <c r="V324">
        <f>SUMIF('Quarterly Data'!$B:$B,'Annual Data'!$A324,'Quarterly Data'!X:X)</f>
        <v>0</v>
      </c>
      <c r="W324">
        <f>SUMIF('Quarterly Data'!$B:$B,'Annual Data'!$A324,'Quarterly Data'!Y:Y)</f>
        <v>0</v>
      </c>
      <c r="X324">
        <f>SUMIF('Quarterly Data'!$B:$B,'Annual Data'!$A324,'Quarterly Data'!Z:Z)</f>
        <v>0</v>
      </c>
      <c r="Y324">
        <f>SUMIF('Quarterly Data'!$B:$B,'Annual Data'!$A324,'Quarterly Data'!AA:AA)</f>
        <v>0</v>
      </c>
      <c r="Z324" t="e">
        <f>AVERAGEIF('Quarterly Data'!$B:$B,'Annual Data'!$A324,'Quarterly Data'!AB:AB)</f>
        <v>#DIV/0!</v>
      </c>
      <c r="AA324" t="e">
        <f>AVERAGEIF('Quarterly Data'!$B:$B,'Annual Data'!$A324,'Quarterly Data'!AC:AC)</f>
        <v>#DIV/0!</v>
      </c>
      <c r="AB324" t="e">
        <f>AVERAGEIF('Quarterly Data'!$B:$B,'Annual Data'!$A324,'Quarterly Data'!AD:AD)</f>
        <v>#DIV/0!</v>
      </c>
      <c r="AC324" t="e">
        <f>AVERAGEIF('Quarterly Data'!$B:$B,'Annual Data'!$A324,'Quarterly Data'!AE:AE)</f>
        <v>#DIV/0!</v>
      </c>
      <c r="AD324" t="e">
        <f>AVERAGEIF('Quarterly Data'!$B:$B,'Annual Data'!$A324,'Quarterly Data'!AF:AF)</f>
        <v>#DIV/0!</v>
      </c>
      <c r="AE324">
        <f>SUMIF('Quarterly Data'!$B:$B,'Annual Data'!$A324,'Quarterly Data'!AG:AG)</f>
        <v>0</v>
      </c>
    </row>
    <row r="325" spans="1:31" x14ac:dyDescent="0.25">
      <c r="A325">
        <v>2291</v>
      </c>
      <c r="B325">
        <f>SUMIF('Quarterly Data'!$B:$B,'Annual Data'!$A325,'Quarterly Data'!D:D)</f>
        <v>0</v>
      </c>
      <c r="C325" t="e">
        <f>AVERAGEIF('Quarterly Data'!$B:$B,'Annual Data'!$A325,'Quarterly Data'!E:E)</f>
        <v>#DIV/0!</v>
      </c>
      <c r="D325">
        <f>SUMIF('Quarterly Data'!$B:$B,'Annual Data'!$A325,'Quarterly Data'!F:F)</f>
        <v>0</v>
      </c>
      <c r="E325">
        <f>SUMIF('Quarterly Data'!$B:$B,'Annual Data'!$A325,'Quarterly Data'!G:G)</f>
        <v>0</v>
      </c>
      <c r="F325">
        <f>SUMIF('Quarterly Data'!$B:$B,'Annual Data'!$A325,'Quarterly Data'!H:H)</f>
        <v>0</v>
      </c>
      <c r="G325">
        <f>SUMIF('Quarterly Data'!$B:$B,'Annual Data'!$A325,'Quarterly Data'!I:I)</f>
        <v>0</v>
      </c>
      <c r="H325">
        <f>SUMIF('Quarterly Data'!$B:$B,'Annual Data'!$A325,'Quarterly Data'!J:J)</f>
        <v>0</v>
      </c>
      <c r="I325">
        <f>SUMIF('Quarterly Data'!$B:$B,'Annual Data'!$A325,'Quarterly Data'!K:K)</f>
        <v>0</v>
      </c>
      <c r="J325">
        <f>SUMIF('Quarterly Data'!$B:$B,'Annual Data'!$A325,'Quarterly Data'!L:L)</f>
        <v>0</v>
      </c>
      <c r="K325" t="e">
        <f>AVERAGEIF('Quarterly Data'!$B:$B,'Annual Data'!$A325,'Quarterly Data'!M:M)</f>
        <v>#DIV/0!</v>
      </c>
      <c r="L325" t="e">
        <f>AVERAGEIF('Quarterly Data'!$B:$B,'Annual Data'!$A325,'Quarterly Data'!N:N)</f>
        <v>#DIV/0!</v>
      </c>
      <c r="M325" t="e">
        <f>AVERAGEIF('Quarterly Data'!$B:$B,'Annual Data'!$A325,'Quarterly Data'!O:O)</f>
        <v>#DIV/0!</v>
      </c>
      <c r="N325" t="e">
        <f>AVERAGEIF('Quarterly Data'!$B:$B,'Annual Data'!$A325,'Quarterly Data'!P:P)</f>
        <v>#DIV/0!</v>
      </c>
      <c r="O325" t="e">
        <f>AVERAGEIF('Quarterly Data'!$B:$B,'Annual Data'!$A325,'Quarterly Data'!Q:Q)</f>
        <v>#DIV/0!</v>
      </c>
      <c r="P325">
        <f>SUMIF('Quarterly Data'!$B:$B,'Annual Data'!$A325,'Quarterly Data'!R:R)</f>
        <v>0</v>
      </c>
      <c r="Q325">
        <f>SUMIF('Quarterly Data'!$B:$B,'Annual Data'!$A325,'Quarterly Data'!S:S)</f>
        <v>0</v>
      </c>
      <c r="R325" t="e">
        <f>AVERAGEIF('Quarterly Data'!$B:$B,'Annual Data'!$A325,'Quarterly Data'!T:T)</f>
        <v>#DIV/0!</v>
      </c>
      <c r="S325">
        <f>SUMIF('Quarterly Data'!$B:$B,'Annual Data'!$A325,'Quarterly Data'!U:U)</f>
        <v>0</v>
      </c>
      <c r="T325">
        <f>SUMIF('Quarterly Data'!$B:$B,'Annual Data'!$A325,'Quarterly Data'!V:V)</f>
        <v>0</v>
      </c>
      <c r="U325">
        <f>SUMIF('Quarterly Data'!$B:$B,'Annual Data'!$A325,'Quarterly Data'!W:W)</f>
        <v>0</v>
      </c>
      <c r="V325">
        <f>SUMIF('Quarterly Data'!$B:$B,'Annual Data'!$A325,'Quarterly Data'!X:X)</f>
        <v>0</v>
      </c>
      <c r="W325">
        <f>SUMIF('Quarterly Data'!$B:$B,'Annual Data'!$A325,'Quarterly Data'!Y:Y)</f>
        <v>0</v>
      </c>
      <c r="X325">
        <f>SUMIF('Quarterly Data'!$B:$B,'Annual Data'!$A325,'Quarterly Data'!Z:Z)</f>
        <v>0</v>
      </c>
      <c r="Y325">
        <f>SUMIF('Quarterly Data'!$B:$B,'Annual Data'!$A325,'Quarterly Data'!AA:AA)</f>
        <v>0</v>
      </c>
      <c r="Z325" t="e">
        <f>AVERAGEIF('Quarterly Data'!$B:$B,'Annual Data'!$A325,'Quarterly Data'!AB:AB)</f>
        <v>#DIV/0!</v>
      </c>
      <c r="AA325" t="e">
        <f>AVERAGEIF('Quarterly Data'!$B:$B,'Annual Data'!$A325,'Quarterly Data'!AC:AC)</f>
        <v>#DIV/0!</v>
      </c>
      <c r="AB325" t="e">
        <f>AVERAGEIF('Quarterly Data'!$B:$B,'Annual Data'!$A325,'Quarterly Data'!AD:AD)</f>
        <v>#DIV/0!</v>
      </c>
      <c r="AC325" t="e">
        <f>AVERAGEIF('Quarterly Data'!$B:$B,'Annual Data'!$A325,'Quarterly Data'!AE:AE)</f>
        <v>#DIV/0!</v>
      </c>
      <c r="AD325" t="e">
        <f>AVERAGEIF('Quarterly Data'!$B:$B,'Annual Data'!$A325,'Quarterly Data'!AF:AF)</f>
        <v>#DIV/0!</v>
      </c>
      <c r="AE325">
        <f>SUMIF('Quarterly Data'!$B:$B,'Annual Data'!$A325,'Quarterly Data'!AG:AG)</f>
        <v>0</v>
      </c>
    </row>
    <row r="326" spans="1:31" x14ac:dyDescent="0.25">
      <c r="A326">
        <v>2292</v>
      </c>
      <c r="B326">
        <f>SUMIF('Quarterly Data'!$B:$B,'Annual Data'!$A326,'Quarterly Data'!D:D)</f>
        <v>0</v>
      </c>
      <c r="C326" t="e">
        <f>AVERAGEIF('Quarterly Data'!$B:$B,'Annual Data'!$A326,'Quarterly Data'!E:E)</f>
        <v>#DIV/0!</v>
      </c>
      <c r="D326">
        <f>SUMIF('Quarterly Data'!$B:$B,'Annual Data'!$A326,'Quarterly Data'!F:F)</f>
        <v>0</v>
      </c>
      <c r="E326">
        <f>SUMIF('Quarterly Data'!$B:$B,'Annual Data'!$A326,'Quarterly Data'!G:G)</f>
        <v>0</v>
      </c>
      <c r="F326">
        <f>SUMIF('Quarterly Data'!$B:$B,'Annual Data'!$A326,'Quarterly Data'!H:H)</f>
        <v>0</v>
      </c>
      <c r="G326">
        <f>SUMIF('Quarterly Data'!$B:$B,'Annual Data'!$A326,'Quarterly Data'!I:I)</f>
        <v>0</v>
      </c>
      <c r="H326">
        <f>SUMIF('Quarterly Data'!$B:$B,'Annual Data'!$A326,'Quarterly Data'!J:J)</f>
        <v>0</v>
      </c>
      <c r="I326">
        <f>SUMIF('Quarterly Data'!$B:$B,'Annual Data'!$A326,'Quarterly Data'!K:K)</f>
        <v>0</v>
      </c>
      <c r="J326">
        <f>SUMIF('Quarterly Data'!$B:$B,'Annual Data'!$A326,'Quarterly Data'!L:L)</f>
        <v>0</v>
      </c>
      <c r="K326" t="e">
        <f>AVERAGEIF('Quarterly Data'!$B:$B,'Annual Data'!$A326,'Quarterly Data'!M:M)</f>
        <v>#DIV/0!</v>
      </c>
      <c r="L326" t="e">
        <f>AVERAGEIF('Quarterly Data'!$B:$B,'Annual Data'!$A326,'Quarterly Data'!N:N)</f>
        <v>#DIV/0!</v>
      </c>
      <c r="M326" t="e">
        <f>AVERAGEIF('Quarterly Data'!$B:$B,'Annual Data'!$A326,'Quarterly Data'!O:O)</f>
        <v>#DIV/0!</v>
      </c>
      <c r="N326" t="e">
        <f>AVERAGEIF('Quarterly Data'!$B:$B,'Annual Data'!$A326,'Quarterly Data'!P:P)</f>
        <v>#DIV/0!</v>
      </c>
      <c r="O326" t="e">
        <f>AVERAGEIF('Quarterly Data'!$B:$B,'Annual Data'!$A326,'Quarterly Data'!Q:Q)</f>
        <v>#DIV/0!</v>
      </c>
      <c r="P326">
        <f>SUMIF('Quarterly Data'!$B:$B,'Annual Data'!$A326,'Quarterly Data'!R:R)</f>
        <v>0</v>
      </c>
      <c r="Q326">
        <f>SUMIF('Quarterly Data'!$B:$B,'Annual Data'!$A326,'Quarterly Data'!S:S)</f>
        <v>0</v>
      </c>
      <c r="R326" t="e">
        <f>AVERAGEIF('Quarterly Data'!$B:$B,'Annual Data'!$A326,'Quarterly Data'!T:T)</f>
        <v>#DIV/0!</v>
      </c>
      <c r="S326">
        <f>SUMIF('Quarterly Data'!$B:$B,'Annual Data'!$A326,'Quarterly Data'!U:U)</f>
        <v>0</v>
      </c>
      <c r="T326">
        <f>SUMIF('Quarterly Data'!$B:$B,'Annual Data'!$A326,'Quarterly Data'!V:V)</f>
        <v>0</v>
      </c>
      <c r="U326">
        <f>SUMIF('Quarterly Data'!$B:$B,'Annual Data'!$A326,'Quarterly Data'!W:W)</f>
        <v>0</v>
      </c>
      <c r="V326">
        <f>SUMIF('Quarterly Data'!$B:$B,'Annual Data'!$A326,'Quarterly Data'!X:X)</f>
        <v>0</v>
      </c>
      <c r="W326">
        <f>SUMIF('Quarterly Data'!$B:$B,'Annual Data'!$A326,'Quarterly Data'!Y:Y)</f>
        <v>0</v>
      </c>
      <c r="X326">
        <f>SUMIF('Quarterly Data'!$B:$B,'Annual Data'!$A326,'Quarterly Data'!Z:Z)</f>
        <v>0</v>
      </c>
      <c r="Y326">
        <f>SUMIF('Quarterly Data'!$B:$B,'Annual Data'!$A326,'Quarterly Data'!AA:AA)</f>
        <v>0</v>
      </c>
      <c r="Z326" t="e">
        <f>AVERAGEIF('Quarterly Data'!$B:$B,'Annual Data'!$A326,'Quarterly Data'!AB:AB)</f>
        <v>#DIV/0!</v>
      </c>
      <c r="AA326" t="e">
        <f>AVERAGEIF('Quarterly Data'!$B:$B,'Annual Data'!$A326,'Quarterly Data'!AC:AC)</f>
        <v>#DIV/0!</v>
      </c>
      <c r="AB326" t="e">
        <f>AVERAGEIF('Quarterly Data'!$B:$B,'Annual Data'!$A326,'Quarterly Data'!AD:AD)</f>
        <v>#DIV/0!</v>
      </c>
      <c r="AC326" t="e">
        <f>AVERAGEIF('Quarterly Data'!$B:$B,'Annual Data'!$A326,'Quarterly Data'!AE:AE)</f>
        <v>#DIV/0!</v>
      </c>
      <c r="AD326" t="e">
        <f>AVERAGEIF('Quarterly Data'!$B:$B,'Annual Data'!$A326,'Quarterly Data'!AF:AF)</f>
        <v>#DIV/0!</v>
      </c>
      <c r="AE326">
        <f>SUMIF('Quarterly Data'!$B:$B,'Annual Data'!$A326,'Quarterly Data'!AG:AG)</f>
        <v>0</v>
      </c>
    </row>
    <row r="327" spans="1:31" x14ac:dyDescent="0.25">
      <c r="A327">
        <v>2293</v>
      </c>
      <c r="B327">
        <f>SUMIF('Quarterly Data'!$B:$B,'Annual Data'!$A327,'Quarterly Data'!D:D)</f>
        <v>0</v>
      </c>
      <c r="C327" t="e">
        <f>AVERAGEIF('Quarterly Data'!$B:$B,'Annual Data'!$A327,'Quarterly Data'!E:E)</f>
        <v>#DIV/0!</v>
      </c>
      <c r="D327">
        <f>SUMIF('Quarterly Data'!$B:$B,'Annual Data'!$A327,'Quarterly Data'!F:F)</f>
        <v>0</v>
      </c>
      <c r="E327">
        <f>SUMIF('Quarterly Data'!$B:$B,'Annual Data'!$A327,'Quarterly Data'!G:G)</f>
        <v>0</v>
      </c>
      <c r="F327">
        <f>SUMIF('Quarterly Data'!$B:$B,'Annual Data'!$A327,'Quarterly Data'!H:H)</f>
        <v>0</v>
      </c>
      <c r="G327">
        <f>SUMIF('Quarterly Data'!$B:$B,'Annual Data'!$A327,'Quarterly Data'!I:I)</f>
        <v>0</v>
      </c>
      <c r="H327">
        <f>SUMIF('Quarterly Data'!$B:$B,'Annual Data'!$A327,'Quarterly Data'!J:J)</f>
        <v>0</v>
      </c>
      <c r="I327">
        <f>SUMIF('Quarterly Data'!$B:$B,'Annual Data'!$A327,'Quarterly Data'!K:K)</f>
        <v>0</v>
      </c>
      <c r="J327">
        <f>SUMIF('Quarterly Data'!$B:$B,'Annual Data'!$A327,'Quarterly Data'!L:L)</f>
        <v>0</v>
      </c>
      <c r="K327" t="e">
        <f>AVERAGEIF('Quarterly Data'!$B:$B,'Annual Data'!$A327,'Quarterly Data'!M:M)</f>
        <v>#DIV/0!</v>
      </c>
      <c r="L327" t="e">
        <f>AVERAGEIF('Quarterly Data'!$B:$B,'Annual Data'!$A327,'Quarterly Data'!N:N)</f>
        <v>#DIV/0!</v>
      </c>
      <c r="M327" t="e">
        <f>AVERAGEIF('Quarterly Data'!$B:$B,'Annual Data'!$A327,'Quarterly Data'!O:O)</f>
        <v>#DIV/0!</v>
      </c>
      <c r="N327" t="e">
        <f>AVERAGEIF('Quarterly Data'!$B:$B,'Annual Data'!$A327,'Quarterly Data'!P:P)</f>
        <v>#DIV/0!</v>
      </c>
      <c r="O327" t="e">
        <f>AVERAGEIF('Quarterly Data'!$B:$B,'Annual Data'!$A327,'Quarterly Data'!Q:Q)</f>
        <v>#DIV/0!</v>
      </c>
      <c r="P327">
        <f>SUMIF('Quarterly Data'!$B:$B,'Annual Data'!$A327,'Quarterly Data'!R:R)</f>
        <v>0</v>
      </c>
      <c r="Q327">
        <f>SUMIF('Quarterly Data'!$B:$B,'Annual Data'!$A327,'Quarterly Data'!S:S)</f>
        <v>0</v>
      </c>
      <c r="R327" t="e">
        <f>AVERAGEIF('Quarterly Data'!$B:$B,'Annual Data'!$A327,'Quarterly Data'!T:T)</f>
        <v>#DIV/0!</v>
      </c>
      <c r="S327">
        <f>SUMIF('Quarterly Data'!$B:$B,'Annual Data'!$A327,'Quarterly Data'!U:U)</f>
        <v>0</v>
      </c>
      <c r="T327">
        <f>SUMIF('Quarterly Data'!$B:$B,'Annual Data'!$A327,'Quarterly Data'!V:V)</f>
        <v>0</v>
      </c>
      <c r="U327">
        <f>SUMIF('Quarterly Data'!$B:$B,'Annual Data'!$A327,'Quarterly Data'!W:W)</f>
        <v>0</v>
      </c>
      <c r="V327">
        <f>SUMIF('Quarterly Data'!$B:$B,'Annual Data'!$A327,'Quarterly Data'!X:X)</f>
        <v>0</v>
      </c>
      <c r="W327">
        <f>SUMIF('Quarterly Data'!$B:$B,'Annual Data'!$A327,'Quarterly Data'!Y:Y)</f>
        <v>0</v>
      </c>
      <c r="X327">
        <f>SUMIF('Quarterly Data'!$B:$B,'Annual Data'!$A327,'Quarterly Data'!Z:Z)</f>
        <v>0</v>
      </c>
      <c r="Y327">
        <f>SUMIF('Quarterly Data'!$B:$B,'Annual Data'!$A327,'Quarterly Data'!AA:AA)</f>
        <v>0</v>
      </c>
      <c r="Z327" t="e">
        <f>AVERAGEIF('Quarterly Data'!$B:$B,'Annual Data'!$A327,'Quarterly Data'!AB:AB)</f>
        <v>#DIV/0!</v>
      </c>
      <c r="AA327" t="e">
        <f>AVERAGEIF('Quarterly Data'!$B:$B,'Annual Data'!$A327,'Quarterly Data'!AC:AC)</f>
        <v>#DIV/0!</v>
      </c>
      <c r="AB327" t="e">
        <f>AVERAGEIF('Quarterly Data'!$B:$B,'Annual Data'!$A327,'Quarterly Data'!AD:AD)</f>
        <v>#DIV/0!</v>
      </c>
      <c r="AC327" t="e">
        <f>AVERAGEIF('Quarterly Data'!$B:$B,'Annual Data'!$A327,'Quarterly Data'!AE:AE)</f>
        <v>#DIV/0!</v>
      </c>
      <c r="AD327" t="e">
        <f>AVERAGEIF('Quarterly Data'!$B:$B,'Annual Data'!$A327,'Quarterly Data'!AF:AF)</f>
        <v>#DIV/0!</v>
      </c>
      <c r="AE327">
        <f>SUMIF('Quarterly Data'!$B:$B,'Annual Data'!$A327,'Quarterly Data'!AG:AG)</f>
        <v>0</v>
      </c>
    </row>
    <row r="328" spans="1:31" x14ac:dyDescent="0.25">
      <c r="A328">
        <v>2294</v>
      </c>
      <c r="B328">
        <f>SUMIF('Quarterly Data'!$B:$B,'Annual Data'!$A328,'Quarterly Data'!D:D)</f>
        <v>0</v>
      </c>
      <c r="C328" t="e">
        <f>AVERAGEIF('Quarterly Data'!$B:$B,'Annual Data'!$A328,'Quarterly Data'!E:E)</f>
        <v>#DIV/0!</v>
      </c>
      <c r="D328">
        <f>SUMIF('Quarterly Data'!$B:$B,'Annual Data'!$A328,'Quarterly Data'!F:F)</f>
        <v>0</v>
      </c>
      <c r="E328">
        <f>SUMIF('Quarterly Data'!$B:$B,'Annual Data'!$A328,'Quarterly Data'!G:G)</f>
        <v>0</v>
      </c>
      <c r="F328">
        <f>SUMIF('Quarterly Data'!$B:$B,'Annual Data'!$A328,'Quarterly Data'!H:H)</f>
        <v>0</v>
      </c>
      <c r="G328">
        <f>SUMIF('Quarterly Data'!$B:$B,'Annual Data'!$A328,'Quarterly Data'!I:I)</f>
        <v>0</v>
      </c>
      <c r="H328">
        <f>SUMIF('Quarterly Data'!$B:$B,'Annual Data'!$A328,'Quarterly Data'!J:J)</f>
        <v>0</v>
      </c>
      <c r="I328">
        <f>SUMIF('Quarterly Data'!$B:$B,'Annual Data'!$A328,'Quarterly Data'!K:K)</f>
        <v>0</v>
      </c>
      <c r="J328">
        <f>SUMIF('Quarterly Data'!$B:$B,'Annual Data'!$A328,'Quarterly Data'!L:L)</f>
        <v>0</v>
      </c>
      <c r="K328" t="e">
        <f>AVERAGEIF('Quarterly Data'!$B:$B,'Annual Data'!$A328,'Quarterly Data'!M:M)</f>
        <v>#DIV/0!</v>
      </c>
      <c r="L328" t="e">
        <f>AVERAGEIF('Quarterly Data'!$B:$B,'Annual Data'!$A328,'Quarterly Data'!N:N)</f>
        <v>#DIV/0!</v>
      </c>
      <c r="M328" t="e">
        <f>AVERAGEIF('Quarterly Data'!$B:$B,'Annual Data'!$A328,'Quarterly Data'!O:O)</f>
        <v>#DIV/0!</v>
      </c>
      <c r="N328" t="e">
        <f>AVERAGEIF('Quarterly Data'!$B:$B,'Annual Data'!$A328,'Quarterly Data'!P:P)</f>
        <v>#DIV/0!</v>
      </c>
      <c r="O328" t="e">
        <f>AVERAGEIF('Quarterly Data'!$B:$B,'Annual Data'!$A328,'Quarterly Data'!Q:Q)</f>
        <v>#DIV/0!</v>
      </c>
      <c r="P328">
        <f>SUMIF('Quarterly Data'!$B:$B,'Annual Data'!$A328,'Quarterly Data'!R:R)</f>
        <v>0</v>
      </c>
      <c r="Q328">
        <f>SUMIF('Quarterly Data'!$B:$B,'Annual Data'!$A328,'Quarterly Data'!S:S)</f>
        <v>0</v>
      </c>
      <c r="R328" t="e">
        <f>AVERAGEIF('Quarterly Data'!$B:$B,'Annual Data'!$A328,'Quarterly Data'!T:T)</f>
        <v>#DIV/0!</v>
      </c>
      <c r="S328">
        <f>SUMIF('Quarterly Data'!$B:$B,'Annual Data'!$A328,'Quarterly Data'!U:U)</f>
        <v>0</v>
      </c>
      <c r="T328">
        <f>SUMIF('Quarterly Data'!$B:$B,'Annual Data'!$A328,'Quarterly Data'!V:V)</f>
        <v>0</v>
      </c>
      <c r="U328">
        <f>SUMIF('Quarterly Data'!$B:$B,'Annual Data'!$A328,'Quarterly Data'!W:W)</f>
        <v>0</v>
      </c>
      <c r="V328">
        <f>SUMIF('Quarterly Data'!$B:$B,'Annual Data'!$A328,'Quarterly Data'!X:X)</f>
        <v>0</v>
      </c>
      <c r="W328">
        <f>SUMIF('Quarterly Data'!$B:$B,'Annual Data'!$A328,'Quarterly Data'!Y:Y)</f>
        <v>0</v>
      </c>
      <c r="X328">
        <f>SUMIF('Quarterly Data'!$B:$B,'Annual Data'!$A328,'Quarterly Data'!Z:Z)</f>
        <v>0</v>
      </c>
      <c r="Y328">
        <f>SUMIF('Quarterly Data'!$B:$B,'Annual Data'!$A328,'Quarterly Data'!AA:AA)</f>
        <v>0</v>
      </c>
      <c r="Z328" t="e">
        <f>AVERAGEIF('Quarterly Data'!$B:$B,'Annual Data'!$A328,'Quarterly Data'!AB:AB)</f>
        <v>#DIV/0!</v>
      </c>
      <c r="AA328" t="e">
        <f>AVERAGEIF('Quarterly Data'!$B:$B,'Annual Data'!$A328,'Quarterly Data'!AC:AC)</f>
        <v>#DIV/0!</v>
      </c>
      <c r="AB328" t="e">
        <f>AVERAGEIF('Quarterly Data'!$B:$B,'Annual Data'!$A328,'Quarterly Data'!AD:AD)</f>
        <v>#DIV/0!</v>
      </c>
      <c r="AC328" t="e">
        <f>AVERAGEIF('Quarterly Data'!$B:$B,'Annual Data'!$A328,'Quarterly Data'!AE:AE)</f>
        <v>#DIV/0!</v>
      </c>
      <c r="AD328" t="e">
        <f>AVERAGEIF('Quarterly Data'!$B:$B,'Annual Data'!$A328,'Quarterly Data'!AF:AF)</f>
        <v>#DIV/0!</v>
      </c>
      <c r="AE328">
        <f>SUMIF('Quarterly Data'!$B:$B,'Annual Data'!$A328,'Quarterly Data'!AG:AG)</f>
        <v>0</v>
      </c>
    </row>
    <row r="329" spans="1:31" x14ac:dyDescent="0.25">
      <c r="A329">
        <v>2295</v>
      </c>
      <c r="B329">
        <f>SUMIF('Quarterly Data'!$B:$B,'Annual Data'!$A329,'Quarterly Data'!D:D)</f>
        <v>0</v>
      </c>
      <c r="C329" t="e">
        <f>AVERAGEIF('Quarterly Data'!$B:$B,'Annual Data'!$A329,'Quarterly Data'!E:E)</f>
        <v>#DIV/0!</v>
      </c>
      <c r="D329">
        <f>SUMIF('Quarterly Data'!$B:$B,'Annual Data'!$A329,'Quarterly Data'!F:F)</f>
        <v>0</v>
      </c>
      <c r="E329">
        <f>SUMIF('Quarterly Data'!$B:$B,'Annual Data'!$A329,'Quarterly Data'!G:G)</f>
        <v>0</v>
      </c>
      <c r="F329">
        <f>SUMIF('Quarterly Data'!$B:$B,'Annual Data'!$A329,'Quarterly Data'!H:H)</f>
        <v>0</v>
      </c>
      <c r="G329">
        <f>SUMIF('Quarterly Data'!$B:$B,'Annual Data'!$A329,'Quarterly Data'!I:I)</f>
        <v>0</v>
      </c>
      <c r="H329">
        <f>SUMIF('Quarterly Data'!$B:$B,'Annual Data'!$A329,'Quarterly Data'!J:J)</f>
        <v>0</v>
      </c>
      <c r="I329">
        <f>SUMIF('Quarterly Data'!$B:$B,'Annual Data'!$A329,'Quarterly Data'!K:K)</f>
        <v>0</v>
      </c>
      <c r="J329">
        <f>SUMIF('Quarterly Data'!$B:$B,'Annual Data'!$A329,'Quarterly Data'!L:L)</f>
        <v>0</v>
      </c>
      <c r="K329" t="e">
        <f>AVERAGEIF('Quarterly Data'!$B:$B,'Annual Data'!$A329,'Quarterly Data'!M:M)</f>
        <v>#DIV/0!</v>
      </c>
      <c r="L329" t="e">
        <f>AVERAGEIF('Quarterly Data'!$B:$B,'Annual Data'!$A329,'Quarterly Data'!N:N)</f>
        <v>#DIV/0!</v>
      </c>
      <c r="M329" t="e">
        <f>AVERAGEIF('Quarterly Data'!$B:$B,'Annual Data'!$A329,'Quarterly Data'!O:O)</f>
        <v>#DIV/0!</v>
      </c>
      <c r="N329" t="e">
        <f>AVERAGEIF('Quarterly Data'!$B:$B,'Annual Data'!$A329,'Quarterly Data'!P:P)</f>
        <v>#DIV/0!</v>
      </c>
      <c r="O329" t="e">
        <f>AVERAGEIF('Quarterly Data'!$B:$B,'Annual Data'!$A329,'Quarterly Data'!Q:Q)</f>
        <v>#DIV/0!</v>
      </c>
      <c r="P329">
        <f>SUMIF('Quarterly Data'!$B:$B,'Annual Data'!$A329,'Quarterly Data'!R:R)</f>
        <v>0</v>
      </c>
      <c r="Q329">
        <f>SUMIF('Quarterly Data'!$B:$B,'Annual Data'!$A329,'Quarterly Data'!S:S)</f>
        <v>0</v>
      </c>
      <c r="R329" t="e">
        <f>AVERAGEIF('Quarterly Data'!$B:$B,'Annual Data'!$A329,'Quarterly Data'!T:T)</f>
        <v>#DIV/0!</v>
      </c>
      <c r="S329">
        <f>SUMIF('Quarterly Data'!$B:$B,'Annual Data'!$A329,'Quarterly Data'!U:U)</f>
        <v>0</v>
      </c>
      <c r="T329">
        <f>SUMIF('Quarterly Data'!$B:$B,'Annual Data'!$A329,'Quarterly Data'!V:V)</f>
        <v>0</v>
      </c>
      <c r="U329">
        <f>SUMIF('Quarterly Data'!$B:$B,'Annual Data'!$A329,'Quarterly Data'!W:W)</f>
        <v>0</v>
      </c>
      <c r="V329">
        <f>SUMIF('Quarterly Data'!$B:$B,'Annual Data'!$A329,'Quarterly Data'!X:X)</f>
        <v>0</v>
      </c>
      <c r="W329">
        <f>SUMIF('Quarterly Data'!$B:$B,'Annual Data'!$A329,'Quarterly Data'!Y:Y)</f>
        <v>0</v>
      </c>
      <c r="X329">
        <f>SUMIF('Quarterly Data'!$B:$B,'Annual Data'!$A329,'Quarterly Data'!Z:Z)</f>
        <v>0</v>
      </c>
      <c r="Y329">
        <f>SUMIF('Quarterly Data'!$B:$B,'Annual Data'!$A329,'Quarterly Data'!AA:AA)</f>
        <v>0</v>
      </c>
      <c r="Z329" t="e">
        <f>AVERAGEIF('Quarterly Data'!$B:$B,'Annual Data'!$A329,'Quarterly Data'!AB:AB)</f>
        <v>#DIV/0!</v>
      </c>
      <c r="AA329" t="e">
        <f>AVERAGEIF('Quarterly Data'!$B:$B,'Annual Data'!$A329,'Quarterly Data'!AC:AC)</f>
        <v>#DIV/0!</v>
      </c>
      <c r="AB329" t="e">
        <f>AVERAGEIF('Quarterly Data'!$B:$B,'Annual Data'!$A329,'Quarterly Data'!AD:AD)</f>
        <v>#DIV/0!</v>
      </c>
      <c r="AC329" t="e">
        <f>AVERAGEIF('Quarterly Data'!$B:$B,'Annual Data'!$A329,'Quarterly Data'!AE:AE)</f>
        <v>#DIV/0!</v>
      </c>
      <c r="AD329" t="e">
        <f>AVERAGEIF('Quarterly Data'!$B:$B,'Annual Data'!$A329,'Quarterly Data'!AF:AF)</f>
        <v>#DIV/0!</v>
      </c>
      <c r="AE329">
        <f>SUMIF('Quarterly Data'!$B:$B,'Annual Data'!$A329,'Quarterly Data'!AG:AG)</f>
        <v>0</v>
      </c>
    </row>
    <row r="330" spans="1:31" x14ac:dyDescent="0.25">
      <c r="A330">
        <v>2296</v>
      </c>
      <c r="B330">
        <f>SUMIF('Quarterly Data'!$B:$B,'Annual Data'!$A330,'Quarterly Data'!D:D)</f>
        <v>0</v>
      </c>
      <c r="C330" t="e">
        <f>AVERAGEIF('Quarterly Data'!$B:$B,'Annual Data'!$A330,'Quarterly Data'!E:E)</f>
        <v>#DIV/0!</v>
      </c>
      <c r="D330">
        <f>SUMIF('Quarterly Data'!$B:$B,'Annual Data'!$A330,'Quarterly Data'!F:F)</f>
        <v>0</v>
      </c>
      <c r="E330">
        <f>SUMIF('Quarterly Data'!$B:$B,'Annual Data'!$A330,'Quarterly Data'!G:G)</f>
        <v>0</v>
      </c>
      <c r="F330">
        <f>SUMIF('Quarterly Data'!$B:$B,'Annual Data'!$A330,'Quarterly Data'!H:H)</f>
        <v>0</v>
      </c>
      <c r="G330">
        <f>SUMIF('Quarterly Data'!$B:$B,'Annual Data'!$A330,'Quarterly Data'!I:I)</f>
        <v>0</v>
      </c>
      <c r="H330">
        <f>SUMIF('Quarterly Data'!$B:$B,'Annual Data'!$A330,'Quarterly Data'!J:J)</f>
        <v>0</v>
      </c>
      <c r="I330">
        <f>SUMIF('Quarterly Data'!$B:$B,'Annual Data'!$A330,'Quarterly Data'!K:K)</f>
        <v>0</v>
      </c>
      <c r="J330">
        <f>SUMIF('Quarterly Data'!$B:$B,'Annual Data'!$A330,'Quarterly Data'!L:L)</f>
        <v>0</v>
      </c>
      <c r="K330" t="e">
        <f>AVERAGEIF('Quarterly Data'!$B:$B,'Annual Data'!$A330,'Quarterly Data'!M:M)</f>
        <v>#DIV/0!</v>
      </c>
      <c r="L330" t="e">
        <f>AVERAGEIF('Quarterly Data'!$B:$B,'Annual Data'!$A330,'Quarterly Data'!N:N)</f>
        <v>#DIV/0!</v>
      </c>
      <c r="M330" t="e">
        <f>AVERAGEIF('Quarterly Data'!$B:$B,'Annual Data'!$A330,'Quarterly Data'!O:O)</f>
        <v>#DIV/0!</v>
      </c>
      <c r="N330" t="e">
        <f>AVERAGEIF('Quarterly Data'!$B:$B,'Annual Data'!$A330,'Quarterly Data'!P:P)</f>
        <v>#DIV/0!</v>
      </c>
      <c r="O330" t="e">
        <f>AVERAGEIF('Quarterly Data'!$B:$B,'Annual Data'!$A330,'Quarterly Data'!Q:Q)</f>
        <v>#DIV/0!</v>
      </c>
      <c r="P330">
        <f>SUMIF('Quarterly Data'!$B:$B,'Annual Data'!$A330,'Quarterly Data'!R:R)</f>
        <v>0</v>
      </c>
      <c r="Q330">
        <f>SUMIF('Quarterly Data'!$B:$B,'Annual Data'!$A330,'Quarterly Data'!S:S)</f>
        <v>0</v>
      </c>
      <c r="R330" t="e">
        <f>AVERAGEIF('Quarterly Data'!$B:$B,'Annual Data'!$A330,'Quarterly Data'!T:T)</f>
        <v>#DIV/0!</v>
      </c>
      <c r="S330">
        <f>SUMIF('Quarterly Data'!$B:$B,'Annual Data'!$A330,'Quarterly Data'!U:U)</f>
        <v>0</v>
      </c>
      <c r="T330">
        <f>SUMIF('Quarterly Data'!$B:$B,'Annual Data'!$A330,'Quarterly Data'!V:V)</f>
        <v>0</v>
      </c>
      <c r="U330">
        <f>SUMIF('Quarterly Data'!$B:$B,'Annual Data'!$A330,'Quarterly Data'!W:W)</f>
        <v>0</v>
      </c>
      <c r="V330">
        <f>SUMIF('Quarterly Data'!$B:$B,'Annual Data'!$A330,'Quarterly Data'!X:X)</f>
        <v>0</v>
      </c>
      <c r="W330">
        <f>SUMIF('Quarterly Data'!$B:$B,'Annual Data'!$A330,'Quarterly Data'!Y:Y)</f>
        <v>0</v>
      </c>
      <c r="X330">
        <f>SUMIF('Quarterly Data'!$B:$B,'Annual Data'!$A330,'Quarterly Data'!Z:Z)</f>
        <v>0</v>
      </c>
      <c r="Y330">
        <f>SUMIF('Quarterly Data'!$B:$B,'Annual Data'!$A330,'Quarterly Data'!AA:AA)</f>
        <v>0</v>
      </c>
      <c r="Z330" t="e">
        <f>AVERAGEIF('Quarterly Data'!$B:$B,'Annual Data'!$A330,'Quarterly Data'!AB:AB)</f>
        <v>#DIV/0!</v>
      </c>
      <c r="AA330" t="e">
        <f>AVERAGEIF('Quarterly Data'!$B:$B,'Annual Data'!$A330,'Quarterly Data'!AC:AC)</f>
        <v>#DIV/0!</v>
      </c>
      <c r="AB330" t="e">
        <f>AVERAGEIF('Quarterly Data'!$B:$B,'Annual Data'!$A330,'Quarterly Data'!AD:AD)</f>
        <v>#DIV/0!</v>
      </c>
      <c r="AC330" t="e">
        <f>AVERAGEIF('Quarterly Data'!$B:$B,'Annual Data'!$A330,'Quarterly Data'!AE:AE)</f>
        <v>#DIV/0!</v>
      </c>
      <c r="AD330" t="e">
        <f>AVERAGEIF('Quarterly Data'!$B:$B,'Annual Data'!$A330,'Quarterly Data'!AF:AF)</f>
        <v>#DIV/0!</v>
      </c>
      <c r="AE330">
        <f>SUMIF('Quarterly Data'!$B:$B,'Annual Data'!$A330,'Quarterly Data'!AG:AG)</f>
        <v>0</v>
      </c>
    </row>
    <row r="331" spans="1:31" x14ac:dyDescent="0.25">
      <c r="A331">
        <v>2297</v>
      </c>
      <c r="B331">
        <f>SUMIF('Quarterly Data'!$B:$B,'Annual Data'!$A331,'Quarterly Data'!D:D)</f>
        <v>0</v>
      </c>
      <c r="C331" t="e">
        <f>AVERAGEIF('Quarterly Data'!$B:$B,'Annual Data'!$A331,'Quarterly Data'!E:E)</f>
        <v>#DIV/0!</v>
      </c>
      <c r="D331">
        <f>SUMIF('Quarterly Data'!$B:$B,'Annual Data'!$A331,'Quarterly Data'!F:F)</f>
        <v>0</v>
      </c>
      <c r="E331">
        <f>SUMIF('Quarterly Data'!$B:$B,'Annual Data'!$A331,'Quarterly Data'!G:G)</f>
        <v>0</v>
      </c>
      <c r="F331">
        <f>SUMIF('Quarterly Data'!$B:$B,'Annual Data'!$A331,'Quarterly Data'!H:H)</f>
        <v>0</v>
      </c>
      <c r="G331">
        <f>SUMIF('Quarterly Data'!$B:$B,'Annual Data'!$A331,'Quarterly Data'!I:I)</f>
        <v>0</v>
      </c>
      <c r="H331">
        <f>SUMIF('Quarterly Data'!$B:$B,'Annual Data'!$A331,'Quarterly Data'!J:J)</f>
        <v>0</v>
      </c>
      <c r="I331">
        <f>SUMIF('Quarterly Data'!$B:$B,'Annual Data'!$A331,'Quarterly Data'!K:K)</f>
        <v>0</v>
      </c>
      <c r="J331">
        <f>SUMIF('Quarterly Data'!$B:$B,'Annual Data'!$A331,'Quarterly Data'!L:L)</f>
        <v>0</v>
      </c>
      <c r="K331" t="e">
        <f>AVERAGEIF('Quarterly Data'!$B:$B,'Annual Data'!$A331,'Quarterly Data'!M:M)</f>
        <v>#DIV/0!</v>
      </c>
      <c r="L331" t="e">
        <f>AVERAGEIF('Quarterly Data'!$B:$B,'Annual Data'!$A331,'Quarterly Data'!N:N)</f>
        <v>#DIV/0!</v>
      </c>
      <c r="M331" t="e">
        <f>AVERAGEIF('Quarterly Data'!$B:$B,'Annual Data'!$A331,'Quarterly Data'!O:O)</f>
        <v>#DIV/0!</v>
      </c>
      <c r="N331" t="e">
        <f>AVERAGEIF('Quarterly Data'!$B:$B,'Annual Data'!$A331,'Quarterly Data'!P:P)</f>
        <v>#DIV/0!</v>
      </c>
      <c r="O331" t="e">
        <f>AVERAGEIF('Quarterly Data'!$B:$B,'Annual Data'!$A331,'Quarterly Data'!Q:Q)</f>
        <v>#DIV/0!</v>
      </c>
      <c r="P331">
        <f>SUMIF('Quarterly Data'!$B:$B,'Annual Data'!$A331,'Quarterly Data'!R:R)</f>
        <v>0</v>
      </c>
      <c r="Q331">
        <f>SUMIF('Quarterly Data'!$B:$B,'Annual Data'!$A331,'Quarterly Data'!S:S)</f>
        <v>0</v>
      </c>
      <c r="R331" t="e">
        <f>AVERAGEIF('Quarterly Data'!$B:$B,'Annual Data'!$A331,'Quarterly Data'!T:T)</f>
        <v>#DIV/0!</v>
      </c>
      <c r="S331">
        <f>SUMIF('Quarterly Data'!$B:$B,'Annual Data'!$A331,'Quarterly Data'!U:U)</f>
        <v>0</v>
      </c>
      <c r="T331">
        <f>SUMIF('Quarterly Data'!$B:$B,'Annual Data'!$A331,'Quarterly Data'!V:V)</f>
        <v>0</v>
      </c>
      <c r="U331">
        <f>SUMIF('Quarterly Data'!$B:$B,'Annual Data'!$A331,'Quarterly Data'!W:W)</f>
        <v>0</v>
      </c>
      <c r="V331">
        <f>SUMIF('Quarterly Data'!$B:$B,'Annual Data'!$A331,'Quarterly Data'!X:X)</f>
        <v>0</v>
      </c>
      <c r="W331">
        <f>SUMIF('Quarterly Data'!$B:$B,'Annual Data'!$A331,'Quarterly Data'!Y:Y)</f>
        <v>0</v>
      </c>
      <c r="X331">
        <f>SUMIF('Quarterly Data'!$B:$B,'Annual Data'!$A331,'Quarterly Data'!Z:Z)</f>
        <v>0</v>
      </c>
      <c r="Y331">
        <f>SUMIF('Quarterly Data'!$B:$B,'Annual Data'!$A331,'Quarterly Data'!AA:AA)</f>
        <v>0</v>
      </c>
      <c r="Z331" t="e">
        <f>AVERAGEIF('Quarterly Data'!$B:$B,'Annual Data'!$A331,'Quarterly Data'!AB:AB)</f>
        <v>#DIV/0!</v>
      </c>
      <c r="AA331" t="e">
        <f>AVERAGEIF('Quarterly Data'!$B:$B,'Annual Data'!$A331,'Quarterly Data'!AC:AC)</f>
        <v>#DIV/0!</v>
      </c>
      <c r="AB331" t="e">
        <f>AVERAGEIF('Quarterly Data'!$B:$B,'Annual Data'!$A331,'Quarterly Data'!AD:AD)</f>
        <v>#DIV/0!</v>
      </c>
      <c r="AC331" t="e">
        <f>AVERAGEIF('Quarterly Data'!$B:$B,'Annual Data'!$A331,'Quarterly Data'!AE:AE)</f>
        <v>#DIV/0!</v>
      </c>
      <c r="AD331" t="e">
        <f>AVERAGEIF('Quarterly Data'!$B:$B,'Annual Data'!$A331,'Quarterly Data'!AF:AF)</f>
        <v>#DIV/0!</v>
      </c>
      <c r="AE331">
        <f>SUMIF('Quarterly Data'!$B:$B,'Annual Data'!$A331,'Quarterly Data'!AG:AG)</f>
        <v>0</v>
      </c>
    </row>
    <row r="332" spans="1:31" x14ac:dyDescent="0.25">
      <c r="A332">
        <v>2298</v>
      </c>
      <c r="B332">
        <f>SUMIF('Quarterly Data'!$B:$B,'Annual Data'!$A332,'Quarterly Data'!D:D)</f>
        <v>0</v>
      </c>
      <c r="C332" t="e">
        <f>AVERAGEIF('Quarterly Data'!$B:$B,'Annual Data'!$A332,'Quarterly Data'!E:E)</f>
        <v>#DIV/0!</v>
      </c>
      <c r="D332">
        <f>SUMIF('Quarterly Data'!$B:$B,'Annual Data'!$A332,'Quarterly Data'!F:F)</f>
        <v>0</v>
      </c>
      <c r="E332">
        <f>SUMIF('Quarterly Data'!$B:$B,'Annual Data'!$A332,'Quarterly Data'!G:G)</f>
        <v>0</v>
      </c>
      <c r="F332">
        <f>SUMIF('Quarterly Data'!$B:$B,'Annual Data'!$A332,'Quarterly Data'!H:H)</f>
        <v>0</v>
      </c>
      <c r="G332">
        <f>SUMIF('Quarterly Data'!$B:$B,'Annual Data'!$A332,'Quarterly Data'!I:I)</f>
        <v>0</v>
      </c>
      <c r="H332">
        <f>SUMIF('Quarterly Data'!$B:$B,'Annual Data'!$A332,'Quarterly Data'!J:J)</f>
        <v>0</v>
      </c>
      <c r="I332">
        <f>SUMIF('Quarterly Data'!$B:$B,'Annual Data'!$A332,'Quarterly Data'!K:K)</f>
        <v>0</v>
      </c>
      <c r="J332">
        <f>SUMIF('Quarterly Data'!$B:$B,'Annual Data'!$A332,'Quarterly Data'!L:L)</f>
        <v>0</v>
      </c>
      <c r="K332" t="e">
        <f>AVERAGEIF('Quarterly Data'!$B:$B,'Annual Data'!$A332,'Quarterly Data'!M:M)</f>
        <v>#DIV/0!</v>
      </c>
      <c r="L332" t="e">
        <f>AVERAGEIF('Quarterly Data'!$B:$B,'Annual Data'!$A332,'Quarterly Data'!N:N)</f>
        <v>#DIV/0!</v>
      </c>
      <c r="M332" t="e">
        <f>AVERAGEIF('Quarterly Data'!$B:$B,'Annual Data'!$A332,'Quarterly Data'!O:O)</f>
        <v>#DIV/0!</v>
      </c>
      <c r="N332" t="e">
        <f>AVERAGEIF('Quarterly Data'!$B:$B,'Annual Data'!$A332,'Quarterly Data'!P:P)</f>
        <v>#DIV/0!</v>
      </c>
      <c r="O332" t="e">
        <f>AVERAGEIF('Quarterly Data'!$B:$B,'Annual Data'!$A332,'Quarterly Data'!Q:Q)</f>
        <v>#DIV/0!</v>
      </c>
      <c r="P332">
        <f>SUMIF('Quarterly Data'!$B:$B,'Annual Data'!$A332,'Quarterly Data'!R:R)</f>
        <v>0</v>
      </c>
      <c r="Q332">
        <f>SUMIF('Quarterly Data'!$B:$B,'Annual Data'!$A332,'Quarterly Data'!S:S)</f>
        <v>0</v>
      </c>
      <c r="R332" t="e">
        <f>AVERAGEIF('Quarterly Data'!$B:$B,'Annual Data'!$A332,'Quarterly Data'!T:T)</f>
        <v>#DIV/0!</v>
      </c>
      <c r="S332">
        <f>SUMIF('Quarterly Data'!$B:$B,'Annual Data'!$A332,'Quarterly Data'!U:U)</f>
        <v>0</v>
      </c>
      <c r="T332">
        <f>SUMIF('Quarterly Data'!$B:$B,'Annual Data'!$A332,'Quarterly Data'!V:V)</f>
        <v>0</v>
      </c>
      <c r="U332">
        <f>SUMIF('Quarterly Data'!$B:$B,'Annual Data'!$A332,'Quarterly Data'!W:W)</f>
        <v>0</v>
      </c>
      <c r="V332">
        <f>SUMIF('Quarterly Data'!$B:$B,'Annual Data'!$A332,'Quarterly Data'!X:X)</f>
        <v>0</v>
      </c>
      <c r="W332">
        <f>SUMIF('Quarterly Data'!$B:$B,'Annual Data'!$A332,'Quarterly Data'!Y:Y)</f>
        <v>0</v>
      </c>
      <c r="X332">
        <f>SUMIF('Quarterly Data'!$B:$B,'Annual Data'!$A332,'Quarterly Data'!Z:Z)</f>
        <v>0</v>
      </c>
      <c r="Y332">
        <f>SUMIF('Quarterly Data'!$B:$B,'Annual Data'!$A332,'Quarterly Data'!AA:AA)</f>
        <v>0</v>
      </c>
      <c r="Z332" t="e">
        <f>AVERAGEIF('Quarterly Data'!$B:$B,'Annual Data'!$A332,'Quarterly Data'!AB:AB)</f>
        <v>#DIV/0!</v>
      </c>
      <c r="AA332" t="e">
        <f>AVERAGEIF('Quarterly Data'!$B:$B,'Annual Data'!$A332,'Quarterly Data'!AC:AC)</f>
        <v>#DIV/0!</v>
      </c>
      <c r="AB332" t="e">
        <f>AVERAGEIF('Quarterly Data'!$B:$B,'Annual Data'!$A332,'Quarterly Data'!AD:AD)</f>
        <v>#DIV/0!</v>
      </c>
      <c r="AC332" t="e">
        <f>AVERAGEIF('Quarterly Data'!$B:$B,'Annual Data'!$A332,'Quarterly Data'!AE:AE)</f>
        <v>#DIV/0!</v>
      </c>
      <c r="AD332" t="e">
        <f>AVERAGEIF('Quarterly Data'!$B:$B,'Annual Data'!$A332,'Quarterly Data'!AF:AF)</f>
        <v>#DIV/0!</v>
      </c>
      <c r="AE332">
        <f>SUMIF('Quarterly Data'!$B:$B,'Annual Data'!$A332,'Quarterly Data'!AG:AG)</f>
        <v>0</v>
      </c>
    </row>
    <row r="333" spans="1:31" x14ac:dyDescent="0.25">
      <c r="A333">
        <v>2299</v>
      </c>
      <c r="B333">
        <f>SUMIF('Quarterly Data'!$B:$B,'Annual Data'!$A333,'Quarterly Data'!D:D)</f>
        <v>0</v>
      </c>
      <c r="C333" t="e">
        <f>AVERAGEIF('Quarterly Data'!$B:$B,'Annual Data'!$A333,'Quarterly Data'!E:E)</f>
        <v>#DIV/0!</v>
      </c>
      <c r="D333">
        <f>SUMIF('Quarterly Data'!$B:$B,'Annual Data'!$A333,'Quarterly Data'!F:F)</f>
        <v>0</v>
      </c>
      <c r="E333">
        <f>SUMIF('Quarterly Data'!$B:$B,'Annual Data'!$A333,'Quarterly Data'!G:G)</f>
        <v>0</v>
      </c>
      <c r="F333">
        <f>SUMIF('Quarterly Data'!$B:$B,'Annual Data'!$A333,'Quarterly Data'!H:H)</f>
        <v>0</v>
      </c>
      <c r="G333">
        <f>SUMIF('Quarterly Data'!$B:$B,'Annual Data'!$A333,'Quarterly Data'!I:I)</f>
        <v>0</v>
      </c>
      <c r="H333">
        <f>SUMIF('Quarterly Data'!$B:$B,'Annual Data'!$A333,'Quarterly Data'!J:J)</f>
        <v>0</v>
      </c>
      <c r="I333">
        <f>SUMIF('Quarterly Data'!$B:$B,'Annual Data'!$A333,'Quarterly Data'!K:K)</f>
        <v>0</v>
      </c>
      <c r="J333">
        <f>SUMIF('Quarterly Data'!$B:$B,'Annual Data'!$A333,'Quarterly Data'!L:L)</f>
        <v>0</v>
      </c>
      <c r="K333" t="e">
        <f>AVERAGEIF('Quarterly Data'!$B:$B,'Annual Data'!$A333,'Quarterly Data'!M:M)</f>
        <v>#DIV/0!</v>
      </c>
      <c r="L333" t="e">
        <f>AVERAGEIF('Quarterly Data'!$B:$B,'Annual Data'!$A333,'Quarterly Data'!N:N)</f>
        <v>#DIV/0!</v>
      </c>
      <c r="M333" t="e">
        <f>AVERAGEIF('Quarterly Data'!$B:$B,'Annual Data'!$A333,'Quarterly Data'!O:O)</f>
        <v>#DIV/0!</v>
      </c>
      <c r="N333" t="e">
        <f>AVERAGEIF('Quarterly Data'!$B:$B,'Annual Data'!$A333,'Quarterly Data'!P:P)</f>
        <v>#DIV/0!</v>
      </c>
      <c r="O333" t="e">
        <f>AVERAGEIF('Quarterly Data'!$B:$B,'Annual Data'!$A333,'Quarterly Data'!Q:Q)</f>
        <v>#DIV/0!</v>
      </c>
      <c r="P333">
        <f>SUMIF('Quarterly Data'!$B:$B,'Annual Data'!$A333,'Quarterly Data'!R:R)</f>
        <v>0</v>
      </c>
      <c r="Q333">
        <f>SUMIF('Quarterly Data'!$B:$B,'Annual Data'!$A333,'Quarterly Data'!S:S)</f>
        <v>0</v>
      </c>
      <c r="R333" t="e">
        <f>AVERAGEIF('Quarterly Data'!$B:$B,'Annual Data'!$A333,'Quarterly Data'!T:T)</f>
        <v>#DIV/0!</v>
      </c>
      <c r="S333">
        <f>SUMIF('Quarterly Data'!$B:$B,'Annual Data'!$A333,'Quarterly Data'!U:U)</f>
        <v>0</v>
      </c>
      <c r="T333">
        <f>SUMIF('Quarterly Data'!$B:$B,'Annual Data'!$A333,'Quarterly Data'!V:V)</f>
        <v>0</v>
      </c>
      <c r="U333">
        <f>SUMIF('Quarterly Data'!$B:$B,'Annual Data'!$A333,'Quarterly Data'!W:W)</f>
        <v>0</v>
      </c>
      <c r="V333">
        <f>SUMIF('Quarterly Data'!$B:$B,'Annual Data'!$A333,'Quarterly Data'!X:X)</f>
        <v>0</v>
      </c>
      <c r="W333">
        <f>SUMIF('Quarterly Data'!$B:$B,'Annual Data'!$A333,'Quarterly Data'!Y:Y)</f>
        <v>0</v>
      </c>
      <c r="X333">
        <f>SUMIF('Quarterly Data'!$B:$B,'Annual Data'!$A333,'Quarterly Data'!Z:Z)</f>
        <v>0</v>
      </c>
      <c r="Y333">
        <f>SUMIF('Quarterly Data'!$B:$B,'Annual Data'!$A333,'Quarterly Data'!AA:AA)</f>
        <v>0</v>
      </c>
      <c r="Z333" t="e">
        <f>AVERAGEIF('Quarterly Data'!$B:$B,'Annual Data'!$A333,'Quarterly Data'!AB:AB)</f>
        <v>#DIV/0!</v>
      </c>
      <c r="AA333" t="e">
        <f>AVERAGEIF('Quarterly Data'!$B:$B,'Annual Data'!$A333,'Quarterly Data'!AC:AC)</f>
        <v>#DIV/0!</v>
      </c>
      <c r="AB333" t="e">
        <f>AVERAGEIF('Quarterly Data'!$B:$B,'Annual Data'!$A333,'Quarterly Data'!AD:AD)</f>
        <v>#DIV/0!</v>
      </c>
      <c r="AC333" t="e">
        <f>AVERAGEIF('Quarterly Data'!$B:$B,'Annual Data'!$A333,'Quarterly Data'!AE:AE)</f>
        <v>#DIV/0!</v>
      </c>
      <c r="AD333" t="e">
        <f>AVERAGEIF('Quarterly Data'!$B:$B,'Annual Data'!$A333,'Quarterly Data'!AF:AF)</f>
        <v>#DIV/0!</v>
      </c>
      <c r="AE333">
        <f>SUMIF('Quarterly Data'!$B:$B,'Annual Data'!$A333,'Quarterly Data'!AG:AG)</f>
        <v>0</v>
      </c>
    </row>
    <row r="334" spans="1:31" x14ac:dyDescent="0.25">
      <c r="A334">
        <v>2300</v>
      </c>
      <c r="B334">
        <f>SUMIF('Quarterly Data'!$B:$B,'Annual Data'!$A334,'Quarterly Data'!D:D)</f>
        <v>0</v>
      </c>
      <c r="C334" t="e">
        <f>AVERAGEIF('Quarterly Data'!$B:$B,'Annual Data'!$A334,'Quarterly Data'!E:E)</f>
        <v>#DIV/0!</v>
      </c>
      <c r="D334">
        <f>SUMIF('Quarterly Data'!$B:$B,'Annual Data'!$A334,'Quarterly Data'!F:F)</f>
        <v>0</v>
      </c>
      <c r="E334">
        <f>SUMIF('Quarterly Data'!$B:$B,'Annual Data'!$A334,'Quarterly Data'!G:G)</f>
        <v>0</v>
      </c>
      <c r="F334">
        <f>SUMIF('Quarterly Data'!$B:$B,'Annual Data'!$A334,'Quarterly Data'!H:H)</f>
        <v>0</v>
      </c>
      <c r="G334">
        <f>SUMIF('Quarterly Data'!$B:$B,'Annual Data'!$A334,'Quarterly Data'!I:I)</f>
        <v>0</v>
      </c>
      <c r="H334">
        <f>SUMIF('Quarterly Data'!$B:$B,'Annual Data'!$A334,'Quarterly Data'!J:J)</f>
        <v>0</v>
      </c>
      <c r="I334">
        <f>SUMIF('Quarterly Data'!$B:$B,'Annual Data'!$A334,'Quarterly Data'!K:K)</f>
        <v>0</v>
      </c>
      <c r="J334">
        <f>SUMIF('Quarterly Data'!$B:$B,'Annual Data'!$A334,'Quarterly Data'!L:L)</f>
        <v>0</v>
      </c>
      <c r="K334" t="e">
        <f>AVERAGEIF('Quarterly Data'!$B:$B,'Annual Data'!$A334,'Quarterly Data'!M:M)</f>
        <v>#DIV/0!</v>
      </c>
      <c r="L334" t="e">
        <f>AVERAGEIF('Quarterly Data'!$B:$B,'Annual Data'!$A334,'Quarterly Data'!N:N)</f>
        <v>#DIV/0!</v>
      </c>
      <c r="M334" t="e">
        <f>AVERAGEIF('Quarterly Data'!$B:$B,'Annual Data'!$A334,'Quarterly Data'!O:O)</f>
        <v>#DIV/0!</v>
      </c>
      <c r="N334" t="e">
        <f>AVERAGEIF('Quarterly Data'!$B:$B,'Annual Data'!$A334,'Quarterly Data'!P:P)</f>
        <v>#DIV/0!</v>
      </c>
      <c r="O334" t="e">
        <f>AVERAGEIF('Quarterly Data'!$B:$B,'Annual Data'!$A334,'Quarterly Data'!Q:Q)</f>
        <v>#DIV/0!</v>
      </c>
      <c r="P334">
        <f>SUMIF('Quarterly Data'!$B:$B,'Annual Data'!$A334,'Quarterly Data'!R:R)</f>
        <v>0</v>
      </c>
      <c r="Q334">
        <f>SUMIF('Quarterly Data'!$B:$B,'Annual Data'!$A334,'Quarterly Data'!S:S)</f>
        <v>0</v>
      </c>
      <c r="R334" t="e">
        <f>AVERAGEIF('Quarterly Data'!$B:$B,'Annual Data'!$A334,'Quarterly Data'!T:T)</f>
        <v>#DIV/0!</v>
      </c>
      <c r="S334">
        <f>SUMIF('Quarterly Data'!$B:$B,'Annual Data'!$A334,'Quarterly Data'!U:U)</f>
        <v>0</v>
      </c>
      <c r="T334">
        <f>SUMIF('Quarterly Data'!$B:$B,'Annual Data'!$A334,'Quarterly Data'!V:V)</f>
        <v>0</v>
      </c>
      <c r="U334">
        <f>SUMIF('Quarterly Data'!$B:$B,'Annual Data'!$A334,'Quarterly Data'!W:W)</f>
        <v>0</v>
      </c>
      <c r="V334">
        <f>SUMIF('Quarterly Data'!$B:$B,'Annual Data'!$A334,'Quarterly Data'!X:X)</f>
        <v>0</v>
      </c>
      <c r="W334">
        <f>SUMIF('Quarterly Data'!$B:$B,'Annual Data'!$A334,'Quarterly Data'!Y:Y)</f>
        <v>0</v>
      </c>
      <c r="X334">
        <f>SUMIF('Quarterly Data'!$B:$B,'Annual Data'!$A334,'Quarterly Data'!Z:Z)</f>
        <v>0</v>
      </c>
      <c r="Y334">
        <f>SUMIF('Quarterly Data'!$B:$B,'Annual Data'!$A334,'Quarterly Data'!AA:AA)</f>
        <v>0</v>
      </c>
      <c r="Z334" t="e">
        <f>AVERAGEIF('Quarterly Data'!$B:$B,'Annual Data'!$A334,'Quarterly Data'!AB:AB)</f>
        <v>#DIV/0!</v>
      </c>
      <c r="AA334" t="e">
        <f>AVERAGEIF('Quarterly Data'!$B:$B,'Annual Data'!$A334,'Quarterly Data'!AC:AC)</f>
        <v>#DIV/0!</v>
      </c>
      <c r="AB334" t="e">
        <f>AVERAGEIF('Quarterly Data'!$B:$B,'Annual Data'!$A334,'Quarterly Data'!AD:AD)</f>
        <v>#DIV/0!</v>
      </c>
      <c r="AC334" t="e">
        <f>AVERAGEIF('Quarterly Data'!$B:$B,'Annual Data'!$A334,'Quarterly Data'!AE:AE)</f>
        <v>#DIV/0!</v>
      </c>
      <c r="AD334" t="e">
        <f>AVERAGEIF('Quarterly Data'!$B:$B,'Annual Data'!$A334,'Quarterly Data'!AF:AF)</f>
        <v>#DIV/0!</v>
      </c>
      <c r="AE334">
        <f>SUMIF('Quarterly Data'!$B:$B,'Annual Data'!$A334,'Quarterly Data'!AG:AG)</f>
        <v>0</v>
      </c>
    </row>
    <row r="335" spans="1:31" x14ac:dyDescent="0.25">
      <c r="A335">
        <v>2301</v>
      </c>
      <c r="B335">
        <f>SUMIF('Quarterly Data'!$B:$B,'Annual Data'!$A335,'Quarterly Data'!D:D)</f>
        <v>0</v>
      </c>
      <c r="C335" t="e">
        <f>AVERAGEIF('Quarterly Data'!$B:$B,'Annual Data'!$A335,'Quarterly Data'!E:E)</f>
        <v>#DIV/0!</v>
      </c>
      <c r="D335">
        <f>SUMIF('Quarterly Data'!$B:$B,'Annual Data'!$A335,'Quarterly Data'!F:F)</f>
        <v>0</v>
      </c>
      <c r="E335">
        <f>SUMIF('Quarterly Data'!$B:$B,'Annual Data'!$A335,'Quarterly Data'!G:G)</f>
        <v>0</v>
      </c>
      <c r="F335">
        <f>SUMIF('Quarterly Data'!$B:$B,'Annual Data'!$A335,'Quarterly Data'!H:H)</f>
        <v>0</v>
      </c>
      <c r="G335">
        <f>SUMIF('Quarterly Data'!$B:$B,'Annual Data'!$A335,'Quarterly Data'!I:I)</f>
        <v>0</v>
      </c>
      <c r="H335">
        <f>SUMIF('Quarterly Data'!$B:$B,'Annual Data'!$A335,'Quarterly Data'!J:J)</f>
        <v>0</v>
      </c>
      <c r="I335">
        <f>SUMIF('Quarterly Data'!$B:$B,'Annual Data'!$A335,'Quarterly Data'!K:K)</f>
        <v>0</v>
      </c>
      <c r="J335">
        <f>SUMIF('Quarterly Data'!$B:$B,'Annual Data'!$A335,'Quarterly Data'!L:L)</f>
        <v>0</v>
      </c>
      <c r="K335" t="e">
        <f>AVERAGEIF('Quarterly Data'!$B:$B,'Annual Data'!$A335,'Quarterly Data'!M:M)</f>
        <v>#DIV/0!</v>
      </c>
      <c r="L335" t="e">
        <f>AVERAGEIF('Quarterly Data'!$B:$B,'Annual Data'!$A335,'Quarterly Data'!N:N)</f>
        <v>#DIV/0!</v>
      </c>
      <c r="M335" t="e">
        <f>AVERAGEIF('Quarterly Data'!$B:$B,'Annual Data'!$A335,'Quarterly Data'!O:O)</f>
        <v>#DIV/0!</v>
      </c>
      <c r="N335" t="e">
        <f>AVERAGEIF('Quarterly Data'!$B:$B,'Annual Data'!$A335,'Quarterly Data'!P:P)</f>
        <v>#DIV/0!</v>
      </c>
      <c r="O335" t="e">
        <f>AVERAGEIF('Quarterly Data'!$B:$B,'Annual Data'!$A335,'Quarterly Data'!Q:Q)</f>
        <v>#DIV/0!</v>
      </c>
      <c r="P335">
        <f>SUMIF('Quarterly Data'!$B:$B,'Annual Data'!$A335,'Quarterly Data'!R:R)</f>
        <v>0</v>
      </c>
      <c r="Q335">
        <f>SUMIF('Quarterly Data'!$B:$B,'Annual Data'!$A335,'Quarterly Data'!S:S)</f>
        <v>0</v>
      </c>
      <c r="R335" t="e">
        <f>AVERAGEIF('Quarterly Data'!$B:$B,'Annual Data'!$A335,'Quarterly Data'!T:T)</f>
        <v>#DIV/0!</v>
      </c>
      <c r="S335">
        <f>SUMIF('Quarterly Data'!$B:$B,'Annual Data'!$A335,'Quarterly Data'!U:U)</f>
        <v>0</v>
      </c>
      <c r="T335">
        <f>SUMIF('Quarterly Data'!$B:$B,'Annual Data'!$A335,'Quarterly Data'!V:V)</f>
        <v>0</v>
      </c>
      <c r="U335">
        <f>SUMIF('Quarterly Data'!$B:$B,'Annual Data'!$A335,'Quarterly Data'!W:W)</f>
        <v>0</v>
      </c>
      <c r="V335">
        <f>SUMIF('Quarterly Data'!$B:$B,'Annual Data'!$A335,'Quarterly Data'!X:X)</f>
        <v>0</v>
      </c>
      <c r="W335">
        <f>SUMIF('Quarterly Data'!$B:$B,'Annual Data'!$A335,'Quarterly Data'!Y:Y)</f>
        <v>0</v>
      </c>
      <c r="X335">
        <f>SUMIF('Quarterly Data'!$B:$B,'Annual Data'!$A335,'Quarterly Data'!Z:Z)</f>
        <v>0</v>
      </c>
      <c r="Y335">
        <f>SUMIF('Quarterly Data'!$B:$B,'Annual Data'!$A335,'Quarterly Data'!AA:AA)</f>
        <v>0</v>
      </c>
      <c r="Z335" t="e">
        <f>AVERAGEIF('Quarterly Data'!$B:$B,'Annual Data'!$A335,'Quarterly Data'!AB:AB)</f>
        <v>#DIV/0!</v>
      </c>
      <c r="AA335" t="e">
        <f>AVERAGEIF('Quarterly Data'!$B:$B,'Annual Data'!$A335,'Quarterly Data'!AC:AC)</f>
        <v>#DIV/0!</v>
      </c>
      <c r="AB335" t="e">
        <f>AVERAGEIF('Quarterly Data'!$B:$B,'Annual Data'!$A335,'Quarterly Data'!AD:AD)</f>
        <v>#DIV/0!</v>
      </c>
      <c r="AC335" t="e">
        <f>AVERAGEIF('Quarterly Data'!$B:$B,'Annual Data'!$A335,'Quarterly Data'!AE:AE)</f>
        <v>#DIV/0!</v>
      </c>
      <c r="AD335" t="e">
        <f>AVERAGEIF('Quarterly Data'!$B:$B,'Annual Data'!$A335,'Quarterly Data'!AF:AF)</f>
        <v>#DIV/0!</v>
      </c>
      <c r="AE335">
        <f>SUMIF('Quarterly Data'!$B:$B,'Annual Data'!$A335,'Quarterly Data'!AG:AG)</f>
        <v>0</v>
      </c>
    </row>
    <row r="336" spans="1:31" x14ac:dyDescent="0.25">
      <c r="A336">
        <v>2302</v>
      </c>
      <c r="B336">
        <f>SUMIF('Quarterly Data'!$B:$B,'Annual Data'!$A336,'Quarterly Data'!D:D)</f>
        <v>0</v>
      </c>
      <c r="C336" t="e">
        <f>AVERAGEIF('Quarterly Data'!$B:$B,'Annual Data'!$A336,'Quarterly Data'!E:E)</f>
        <v>#DIV/0!</v>
      </c>
      <c r="D336">
        <f>SUMIF('Quarterly Data'!$B:$B,'Annual Data'!$A336,'Quarterly Data'!F:F)</f>
        <v>0</v>
      </c>
      <c r="E336">
        <f>SUMIF('Quarterly Data'!$B:$B,'Annual Data'!$A336,'Quarterly Data'!G:G)</f>
        <v>0</v>
      </c>
      <c r="F336">
        <f>SUMIF('Quarterly Data'!$B:$B,'Annual Data'!$A336,'Quarterly Data'!H:H)</f>
        <v>0</v>
      </c>
      <c r="G336">
        <f>SUMIF('Quarterly Data'!$B:$B,'Annual Data'!$A336,'Quarterly Data'!I:I)</f>
        <v>0</v>
      </c>
      <c r="H336">
        <f>SUMIF('Quarterly Data'!$B:$B,'Annual Data'!$A336,'Quarterly Data'!J:J)</f>
        <v>0</v>
      </c>
      <c r="I336">
        <f>SUMIF('Quarterly Data'!$B:$B,'Annual Data'!$A336,'Quarterly Data'!K:K)</f>
        <v>0</v>
      </c>
      <c r="J336">
        <f>SUMIF('Quarterly Data'!$B:$B,'Annual Data'!$A336,'Quarterly Data'!L:L)</f>
        <v>0</v>
      </c>
      <c r="K336" t="e">
        <f>AVERAGEIF('Quarterly Data'!$B:$B,'Annual Data'!$A336,'Quarterly Data'!M:M)</f>
        <v>#DIV/0!</v>
      </c>
      <c r="L336" t="e">
        <f>AVERAGEIF('Quarterly Data'!$B:$B,'Annual Data'!$A336,'Quarterly Data'!N:N)</f>
        <v>#DIV/0!</v>
      </c>
      <c r="M336" t="e">
        <f>AVERAGEIF('Quarterly Data'!$B:$B,'Annual Data'!$A336,'Quarterly Data'!O:O)</f>
        <v>#DIV/0!</v>
      </c>
      <c r="N336" t="e">
        <f>AVERAGEIF('Quarterly Data'!$B:$B,'Annual Data'!$A336,'Quarterly Data'!P:P)</f>
        <v>#DIV/0!</v>
      </c>
      <c r="O336" t="e">
        <f>AVERAGEIF('Quarterly Data'!$B:$B,'Annual Data'!$A336,'Quarterly Data'!Q:Q)</f>
        <v>#DIV/0!</v>
      </c>
      <c r="P336">
        <f>SUMIF('Quarterly Data'!$B:$B,'Annual Data'!$A336,'Quarterly Data'!R:R)</f>
        <v>0</v>
      </c>
      <c r="Q336">
        <f>SUMIF('Quarterly Data'!$B:$B,'Annual Data'!$A336,'Quarterly Data'!S:S)</f>
        <v>0</v>
      </c>
      <c r="R336" t="e">
        <f>AVERAGEIF('Quarterly Data'!$B:$B,'Annual Data'!$A336,'Quarterly Data'!T:T)</f>
        <v>#DIV/0!</v>
      </c>
      <c r="S336">
        <f>SUMIF('Quarterly Data'!$B:$B,'Annual Data'!$A336,'Quarterly Data'!U:U)</f>
        <v>0</v>
      </c>
      <c r="T336">
        <f>SUMIF('Quarterly Data'!$B:$B,'Annual Data'!$A336,'Quarterly Data'!V:V)</f>
        <v>0</v>
      </c>
      <c r="U336">
        <f>SUMIF('Quarterly Data'!$B:$B,'Annual Data'!$A336,'Quarterly Data'!W:W)</f>
        <v>0</v>
      </c>
      <c r="V336">
        <f>SUMIF('Quarterly Data'!$B:$B,'Annual Data'!$A336,'Quarterly Data'!X:X)</f>
        <v>0</v>
      </c>
      <c r="W336">
        <f>SUMIF('Quarterly Data'!$B:$B,'Annual Data'!$A336,'Quarterly Data'!Y:Y)</f>
        <v>0</v>
      </c>
      <c r="X336">
        <f>SUMIF('Quarterly Data'!$B:$B,'Annual Data'!$A336,'Quarterly Data'!Z:Z)</f>
        <v>0</v>
      </c>
      <c r="Y336">
        <f>SUMIF('Quarterly Data'!$B:$B,'Annual Data'!$A336,'Quarterly Data'!AA:AA)</f>
        <v>0</v>
      </c>
      <c r="Z336" t="e">
        <f>AVERAGEIF('Quarterly Data'!$B:$B,'Annual Data'!$A336,'Quarterly Data'!AB:AB)</f>
        <v>#DIV/0!</v>
      </c>
      <c r="AA336" t="e">
        <f>AVERAGEIF('Quarterly Data'!$B:$B,'Annual Data'!$A336,'Quarterly Data'!AC:AC)</f>
        <v>#DIV/0!</v>
      </c>
      <c r="AB336" t="e">
        <f>AVERAGEIF('Quarterly Data'!$B:$B,'Annual Data'!$A336,'Quarterly Data'!AD:AD)</f>
        <v>#DIV/0!</v>
      </c>
      <c r="AC336" t="e">
        <f>AVERAGEIF('Quarterly Data'!$B:$B,'Annual Data'!$A336,'Quarterly Data'!AE:AE)</f>
        <v>#DIV/0!</v>
      </c>
      <c r="AD336" t="e">
        <f>AVERAGEIF('Quarterly Data'!$B:$B,'Annual Data'!$A336,'Quarterly Data'!AF:AF)</f>
        <v>#DIV/0!</v>
      </c>
      <c r="AE336">
        <f>SUMIF('Quarterly Data'!$B:$B,'Annual Data'!$A336,'Quarterly Data'!AG:AG)</f>
        <v>0</v>
      </c>
    </row>
    <row r="337" spans="1:31" x14ac:dyDescent="0.25">
      <c r="A337">
        <v>2303</v>
      </c>
      <c r="B337">
        <f>SUMIF('Quarterly Data'!$B:$B,'Annual Data'!$A337,'Quarterly Data'!D:D)</f>
        <v>0</v>
      </c>
      <c r="C337" t="e">
        <f>AVERAGEIF('Quarterly Data'!$B:$B,'Annual Data'!$A337,'Quarterly Data'!E:E)</f>
        <v>#DIV/0!</v>
      </c>
      <c r="D337">
        <f>SUMIF('Quarterly Data'!$B:$B,'Annual Data'!$A337,'Quarterly Data'!F:F)</f>
        <v>0</v>
      </c>
      <c r="E337">
        <f>SUMIF('Quarterly Data'!$B:$B,'Annual Data'!$A337,'Quarterly Data'!G:G)</f>
        <v>0</v>
      </c>
      <c r="F337">
        <f>SUMIF('Quarterly Data'!$B:$B,'Annual Data'!$A337,'Quarterly Data'!H:H)</f>
        <v>0</v>
      </c>
      <c r="G337">
        <f>SUMIF('Quarterly Data'!$B:$B,'Annual Data'!$A337,'Quarterly Data'!I:I)</f>
        <v>0</v>
      </c>
      <c r="H337">
        <f>SUMIF('Quarterly Data'!$B:$B,'Annual Data'!$A337,'Quarterly Data'!J:J)</f>
        <v>0</v>
      </c>
      <c r="I337">
        <f>SUMIF('Quarterly Data'!$B:$B,'Annual Data'!$A337,'Quarterly Data'!K:K)</f>
        <v>0</v>
      </c>
      <c r="J337">
        <f>SUMIF('Quarterly Data'!$B:$B,'Annual Data'!$A337,'Quarterly Data'!L:L)</f>
        <v>0</v>
      </c>
      <c r="K337" t="e">
        <f>AVERAGEIF('Quarterly Data'!$B:$B,'Annual Data'!$A337,'Quarterly Data'!M:M)</f>
        <v>#DIV/0!</v>
      </c>
      <c r="L337" t="e">
        <f>AVERAGEIF('Quarterly Data'!$B:$B,'Annual Data'!$A337,'Quarterly Data'!N:N)</f>
        <v>#DIV/0!</v>
      </c>
      <c r="M337" t="e">
        <f>AVERAGEIF('Quarterly Data'!$B:$B,'Annual Data'!$A337,'Quarterly Data'!O:O)</f>
        <v>#DIV/0!</v>
      </c>
      <c r="N337" t="e">
        <f>AVERAGEIF('Quarterly Data'!$B:$B,'Annual Data'!$A337,'Quarterly Data'!P:P)</f>
        <v>#DIV/0!</v>
      </c>
      <c r="O337" t="e">
        <f>AVERAGEIF('Quarterly Data'!$B:$B,'Annual Data'!$A337,'Quarterly Data'!Q:Q)</f>
        <v>#DIV/0!</v>
      </c>
      <c r="P337">
        <f>SUMIF('Quarterly Data'!$B:$B,'Annual Data'!$A337,'Quarterly Data'!R:R)</f>
        <v>0</v>
      </c>
      <c r="Q337">
        <f>SUMIF('Quarterly Data'!$B:$B,'Annual Data'!$A337,'Quarterly Data'!S:S)</f>
        <v>0</v>
      </c>
      <c r="R337" t="e">
        <f>AVERAGEIF('Quarterly Data'!$B:$B,'Annual Data'!$A337,'Quarterly Data'!T:T)</f>
        <v>#DIV/0!</v>
      </c>
      <c r="S337">
        <f>SUMIF('Quarterly Data'!$B:$B,'Annual Data'!$A337,'Quarterly Data'!U:U)</f>
        <v>0</v>
      </c>
      <c r="T337">
        <f>SUMIF('Quarterly Data'!$B:$B,'Annual Data'!$A337,'Quarterly Data'!V:V)</f>
        <v>0</v>
      </c>
      <c r="U337">
        <f>SUMIF('Quarterly Data'!$B:$B,'Annual Data'!$A337,'Quarterly Data'!W:W)</f>
        <v>0</v>
      </c>
      <c r="V337">
        <f>SUMIF('Quarterly Data'!$B:$B,'Annual Data'!$A337,'Quarterly Data'!X:X)</f>
        <v>0</v>
      </c>
      <c r="W337">
        <f>SUMIF('Quarterly Data'!$B:$B,'Annual Data'!$A337,'Quarterly Data'!Y:Y)</f>
        <v>0</v>
      </c>
      <c r="X337">
        <f>SUMIF('Quarterly Data'!$B:$B,'Annual Data'!$A337,'Quarterly Data'!Z:Z)</f>
        <v>0</v>
      </c>
      <c r="Y337">
        <f>SUMIF('Quarterly Data'!$B:$B,'Annual Data'!$A337,'Quarterly Data'!AA:AA)</f>
        <v>0</v>
      </c>
      <c r="Z337" t="e">
        <f>AVERAGEIF('Quarterly Data'!$B:$B,'Annual Data'!$A337,'Quarterly Data'!AB:AB)</f>
        <v>#DIV/0!</v>
      </c>
      <c r="AA337" t="e">
        <f>AVERAGEIF('Quarterly Data'!$B:$B,'Annual Data'!$A337,'Quarterly Data'!AC:AC)</f>
        <v>#DIV/0!</v>
      </c>
      <c r="AB337" t="e">
        <f>AVERAGEIF('Quarterly Data'!$B:$B,'Annual Data'!$A337,'Quarterly Data'!AD:AD)</f>
        <v>#DIV/0!</v>
      </c>
      <c r="AC337" t="e">
        <f>AVERAGEIF('Quarterly Data'!$B:$B,'Annual Data'!$A337,'Quarterly Data'!AE:AE)</f>
        <v>#DIV/0!</v>
      </c>
      <c r="AD337" t="e">
        <f>AVERAGEIF('Quarterly Data'!$B:$B,'Annual Data'!$A337,'Quarterly Data'!AF:AF)</f>
        <v>#DIV/0!</v>
      </c>
      <c r="AE337">
        <f>SUMIF('Quarterly Data'!$B:$B,'Annual Data'!$A337,'Quarterly Data'!AG:AG)</f>
        <v>0</v>
      </c>
    </row>
    <row r="338" spans="1:31" x14ac:dyDescent="0.25">
      <c r="A338">
        <v>2304</v>
      </c>
      <c r="B338">
        <f>SUMIF('Quarterly Data'!$B:$B,'Annual Data'!$A338,'Quarterly Data'!D:D)</f>
        <v>0</v>
      </c>
      <c r="C338" t="e">
        <f>AVERAGEIF('Quarterly Data'!$B:$B,'Annual Data'!$A338,'Quarterly Data'!E:E)</f>
        <v>#DIV/0!</v>
      </c>
      <c r="D338">
        <f>SUMIF('Quarterly Data'!$B:$B,'Annual Data'!$A338,'Quarterly Data'!F:F)</f>
        <v>0</v>
      </c>
      <c r="E338">
        <f>SUMIF('Quarterly Data'!$B:$B,'Annual Data'!$A338,'Quarterly Data'!G:G)</f>
        <v>0</v>
      </c>
      <c r="F338">
        <f>SUMIF('Quarterly Data'!$B:$B,'Annual Data'!$A338,'Quarterly Data'!H:H)</f>
        <v>0</v>
      </c>
      <c r="G338">
        <f>SUMIF('Quarterly Data'!$B:$B,'Annual Data'!$A338,'Quarterly Data'!I:I)</f>
        <v>0</v>
      </c>
      <c r="H338">
        <f>SUMIF('Quarterly Data'!$B:$B,'Annual Data'!$A338,'Quarterly Data'!J:J)</f>
        <v>0</v>
      </c>
      <c r="I338">
        <f>SUMIF('Quarterly Data'!$B:$B,'Annual Data'!$A338,'Quarterly Data'!K:K)</f>
        <v>0</v>
      </c>
      <c r="J338">
        <f>SUMIF('Quarterly Data'!$B:$B,'Annual Data'!$A338,'Quarterly Data'!L:L)</f>
        <v>0</v>
      </c>
      <c r="K338" t="e">
        <f>AVERAGEIF('Quarterly Data'!$B:$B,'Annual Data'!$A338,'Quarterly Data'!M:M)</f>
        <v>#DIV/0!</v>
      </c>
      <c r="L338" t="e">
        <f>AVERAGEIF('Quarterly Data'!$B:$B,'Annual Data'!$A338,'Quarterly Data'!N:N)</f>
        <v>#DIV/0!</v>
      </c>
      <c r="M338" t="e">
        <f>AVERAGEIF('Quarterly Data'!$B:$B,'Annual Data'!$A338,'Quarterly Data'!O:O)</f>
        <v>#DIV/0!</v>
      </c>
      <c r="N338" t="e">
        <f>AVERAGEIF('Quarterly Data'!$B:$B,'Annual Data'!$A338,'Quarterly Data'!P:P)</f>
        <v>#DIV/0!</v>
      </c>
      <c r="O338" t="e">
        <f>AVERAGEIF('Quarterly Data'!$B:$B,'Annual Data'!$A338,'Quarterly Data'!Q:Q)</f>
        <v>#DIV/0!</v>
      </c>
      <c r="P338">
        <f>SUMIF('Quarterly Data'!$B:$B,'Annual Data'!$A338,'Quarterly Data'!R:R)</f>
        <v>0</v>
      </c>
      <c r="Q338">
        <f>SUMIF('Quarterly Data'!$B:$B,'Annual Data'!$A338,'Quarterly Data'!S:S)</f>
        <v>0</v>
      </c>
      <c r="R338" t="e">
        <f>AVERAGEIF('Quarterly Data'!$B:$B,'Annual Data'!$A338,'Quarterly Data'!T:T)</f>
        <v>#DIV/0!</v>
      </c>
      <c r="S338">
        <f>SUMIF('Quarterly Data'!$B:$B,'Annual Data'!$A338,'Quarterly Data'!U:U)</f>
        <v>0</v>
      </c>
      <c r="T338">
        <f>SUMIF('Quarterly Data'!$B:$B,'Annual Data'!$A338,'Quarterly Data'!V:V)</f>
        <v>0</v>
      </c>
      <c r="U338">
        <f>SUMIF('Quarterly Data'!$B:$B,'Annual Data'!$A338,'Quarterly Data'!W:W)</f>
        <v>0</v>
      </c>
      <c r="V338">
        <f>SUMIF('Quarterly Data'!$B:$B,'Annual Data'!$A338,'Quarterly Data'!X:X)</f>
        <v>0</v>
      </c>
      <c r="W338">
        <f>SUMIF('Quarterly Data'!$B:$B,'Annual Data'!$A338,'Quarterly Data'!Y:Y)</f>
        <v>0</v>
      </c>
      <c r="X338">
        <f>SUMIF('Quarterly Data'!$B:$B,'Annual Data'!$A338,'Quarterly Data'!Z:Z)</f>
        <v>0</v>
      </c>
      <c r="Y338">
        <f>SUMIF('Quarterly Data'!$B:$B,'Annual Data'!$A338,'Quarterly Data'!AA:AA)</f>
        <v>0</v>
      </c>
      <c r="Z338" t="e">
        <f>AVERAGEIF('Quarterly Data'!$B:$B,'Annual Data'!$A338,'Quarterly Data'!AB:AB)</f>
        <v>#DIV/0!</v>
      </c>
      <c r="AA338" t="e">
        <f>AVERAGEIF('Quarterly Data'!$B:$B,'Annual Data'!$A338,'Quarterly Data'!AC:AC)</f>
        <v>#DIV/0!</v>
      </c>
      <c r="AB338" t="e">
        <f>AVERAGEIF('Quarterly Data'!$B:$B,'Annual Data'!$A338,'Quarterly Data'!AD:AD)</f>
        <v>#DIV/0!</v>
      </c>
      <c r="AC338" t="e">
        <f>AVERAGEIF('Quarterly Data'!$B:$B,'Annual Data'!$A338,'Quarterly Data'!AE:AE)</f>
        <v>#DIV/0!</v>
      </c>
      <c r="AD338" t="e">
        <f>AVERAGEIF('Quarterly Data'!$B:$B,'Annual Data'!$A338,'Quarterly Data'!AF:AF)</f>
        <v>#DIV/0!</v>
      </c>
      <c r="AE338">
        <f>SUMIF('Quarterly Data'!$B:$B,'Annual Data'!$A338,'Quarterly Data'!AG:AG)</f>
        <v>0</v>
      </c>
    </row>
    <row r="339" spans="1:31" x14ac:dyDescent="0.25">
      <c r="A339">
        <v>2305</v>
      </c>
      <c r="B339">
        <f>SUMIF('Quarterly Data'!$B:$B,'Annual Data'!$A339,'Quarterly Data'!D:D)</f>
        <v>0</v>
      </c>
      <c r="C339" t="e">
        <f>AVERAGEIF('Quarterly Data'!$B:$B,'Annual Data'!$A339,'Quarterly Data'!E:E)</f>
        <v>#DIV/0!</v>
      </c>
      <c r="D339">
        <f>SUMIF('Quarterly Data'!$B:$B,'Annual Data'!$A339,'Quarterly Data'!F:F)</f>
        <v>0</v>
      </c>
      <c r="E339">
        <f>SUMIF('Quarterly Data'!$B:$B,'Annual Data'!$A339,'Quarterly Data'!G:G)</f>
        <v>0</v>
      </c>
      <c r="F339">
        <f>SUMIF('Quarterly Data'!$B:$B,'Annual Data'!$A339,'Quarterly Data'!H:H)</f>
        <v>0</v>
      </c>
      <c r="G339">
        <f>SUMIF('Quarterly Data'!$B:$B,'Annual Data'!$A339,'Quarterly Data'!I:I)</f>
        <v>0</v>
      </c>
      <c r="H339">
        <f>SUMIF('Quarterly Data'!$B:$B,'Annual Data'!$A339,'Quarterly Data'!J:J)</f>
        <v>0</v>
      </c>
      <c r="I339">
        <f>SUMIF('Quarterly Data'!$B:$B,'Annual Data'!$A339,'Quarterly Data'!K:K)</f>
        <v>0</v>
      </c>
      <c r="J339">
        <f>SUMIF('Quarterly Data'!$B:$B,'Annual Data'!$A339,'Quarterly Data'!L:L)</f>
        <v>0</v>
      </c>
      <c r="K339" t="e">
        <f>AVERAGEIF('Quarterly Data'!$B:$B,'Annual Data'!$A339,'Quarterly Data'!M:M)</f>
        <v>#DIV/0!</v>
      </c>
      <c r="L339" t="e">
        <f>AVERAGEIF('Quarterly Data'!$B:$B,'Annual Data'!$A339,'Quarterly Data'!N:N)</f>
        <v>#DIV/0!</v>
      </c>
      <c r="M339" t="e">
        <f>AVERAGEIF('Quarterly Data'!$B:$B,'Annual Data'!$A339,'Quarterly Data'!O:O)</f>
        <v>#DIV/0!</v>
      </c>
      <c r="N339" t="e">
        <f>AVERAGEIF('Quarterly Data'!$B:$B,'Annual Data'!$A339,'Quarterly Data'!P:P)</f>
        <v>#DIV/0!</v>
      </c>
      <c r="O339" t="e">
        <f>AVERAGEIF('Quarterly Data'!$B:$B,'Annual Data'!$A339,'Quarterly Data'!Q:Q)</f>
        <v>#DIV/0!</v>
      </c>
      <c r="P339">
        <f>SUMIF('Quarterly Data'!$B:$B,'Annual Data'!$A339,'Quarterly Data'!R:R)</f>
        <v>0</v>
      </c>
      <c r="Q339">
        <f>SUMIF('Quarterly Data'!$B:$B,'Annual Data'!$A339,'Quarterly Data'!S:S)</f>
        <v>0</v>
      </c>
      <c r="R339" t="e">
        <f>AVERAGEIF('Quarterly Data'!$B:$B,'Annual Data'!$A339,'Quarterly Data'!T:T)</f>
        <v>#DIV/0!</v>
      </c>
      <c r="S339">
        <f>SUMIF('Quarterly Data'!$B:$B,'Annual Data'!$A339,'Quarterly Data'!U:U)</f>
        <v>0</v>
      </c>
      <c r="T339">
        <f>SUMIF('Quarterly Data'!$B:$B,'Annual Data'!$A339,'Quarterly Data'!V:V)</f>
        <v>0</v>
      </c>
      <c r="U339">
        <f>SUMIF('Quarterly Data'!$B:$B,'Annual Data'!$A339,'Quarterly Data'!W:W)</f>
        <v>0</v>
      </c>
      <c r="V339">
        <f>SUMIF('Quarterly Data'!$B:$B,'Annual Data'!$A339,'Quarterly Data'!X:X)</f>
        <v>0</v>
      </c>
      <c r="W339">
        <f>SUMIF('Quarterly Data'!$B:$B,'Annual Data'!$A339,'Quarterly Data'!Y:Y)</f>
        <v>0</v>
      </c>
      <c r="X339">
        <f>SUMIF('Quarterly Data'!$B:$B,'Annual Data'!$A339,'Quarterly Data'!Z:Z)</f>
        <v>0</v>
      </c>
      <c r="Y339">
        <f>SUMIF('Quarterly Data'!$B:$B,'Annual Data'!$A339,'Quarterly Data'!AA:AA)</f>
        <v>0</v>
      </c>
      <c r="Z339" t="e">
        <f>AVERAGEIF('Quarterly Data'!$B:$B,'Annual Data'!$A339,'Quarterly Data'!AB:AB)</f>
        <v>#DIV/0!</v>
      </c>
      <c r="AA339" t="e">
        <f>AVERAGEIF('Quarterly Data'!$B:$B,'Annual Data'!$A339,'Quarterly Data'!AC:AC)</f>
        <v>#DIV/0!</v>
      </c>
      <c r="AB339" t="e">
        <f>AVERAGEIF('Quarterly Data'!$B:$B,'Annual Data'!$A339,'Quarterly Data'!AD:AD)</f>
        <v>#DIV/0!</v>
      </c>
      <c r="AC339" t="e">
        <f>AVERAGEIF('Quarterly Data'!$B:$B,'Annual Data'!$A339,'Quarterly Data'!AE:AE)</f>
        <v>#DIV/0!</v>
      </c>
      <c r="AD339" t="e">
        <f>AVERAGEIF('Quarterly Data'!$B:$B,'Annual Data'!$A339,'Quarterly Data'!AF:AF)</f>
        <v>#DIV/0!</v>
      </c>
      <c r="AE339">
        <f>SUMIF('Quarterly Data'!$B:$B,'Annual Data'!$A339,'Quarterly Data'!AG:AG)</f>
        <v>0</v>
      </c>
    </row>
    <row r="340" spans="1:31" x14ac:dyDescent="0.25">
      <c r="A340">
        <v>2306</v>
      </c>
      <c r="B340">
        <f>SUMIF('Quarterly Data'!$B:$B,'Annual Data'!$A340,'Quarterly Data'!D:D)</f>
        <v>0</v>
      </c>
      <c r="C340" t="e">
        <f>AVERAGEIF('Quarterly Data'!$B:$B,'Annual Data'!$A340,'Quarterly Data'!E:E)</f>
        <v>#DIV/0!</v>
      </c>
      <c r="D340">
        <f>SUMIF('Quarterly Data'!$B:$B,'Annual Data'!$A340,'Quarterly Data'!F:F)</f>
        <v>0</v>
      </c>
      <c r="E340">
        <f>SUMIF('Quarterly Data'!$B:$B,'Annual Data'!$A340,'Quarterly Data'!G:G)</f>
        <v>0</v>
      </c>
      <c r="F340">
        <f>SUMIF('Quarterly Data'!$B:$B,'Annual Data'!$A340,'Quarterly Data'!H:H)</f>
        <v>0</v>
      </c>
      <c r="G340">
        <f>SUMIF('Quarterly Data'!$B:$B,'Annual Data'!$A340,'Quarterly Data'!I:I)</f>
        <v>0</v>
      </c>
      <c r="H340">
        <f>SUMIF('Quarterly Data'!$B:$B,'Annual Data'!$A340,'Quarterly Data'!J:J)</f>
        <v>0</v>
      </c>
      <c r="I340">
        <f>SUMIF('Quarterly Data'!$B:$B,'Annual Data'!$A340,'Quarterly Data'!K:K)</f>
        <v>0</v>
      </c>
      <c r="J340">
        <f>SUMIF('Quarterly Data'!$B:$B,'Annual Data'!$A340,'Quarterly Data'!L:L)</f>
        <v>0</v>
      </c>
      <c r="K340" t="e">
        <f>AVERAGEIF('Quarterly Data'!$B:$B,'Annual Data'!$A340,'Quarterly Data'!M:M)</f>
        <v>#DIV/0!</v>
      </c>
      <c r="L340" t="e">
        <f>AVERAGEIF('Quarterly Data'!$B:$B,'Annual Data'!$A340,'Quarterly Data'!N:N)</f>
        <v>#DIV/0!</v>
      </c>
      <c r="M340" t="e">
        <f>AVERAGEIF('Quarterly Data'!$B:$B,'Annual Data'!$A340,'Quarterly Data'!O:O)</f>
        <v>#DIV/0!</v>
      </c>
      <c r="N340" t="e">
        <f>AVERAGEIF('Quarterly Data'!$B:$B,'Annual Data'!$A340,'Quarterly Data'!P:P)</f>
        <v>#DIV/0!</v>
      </c>
      <c r="O340" t="e">
        <f>AVERAGEIF('Quarterly Data'!$B:$B,'Annual Data'!$A340,'Quarterly Data'!Q:Q)</f>
        <v>#DIV/0!</v>
      </c>
      <c r="P340">
        <f>SUMIF('Quarterly Data'!$B:$B,'Annual Data'!$A340,'Quarterly Data'!R:R)</f>
        <v>0</v>
      </c>
      <c r="Q340">
        <f>SUMIF('Quarterly Data'!$B:$B,'Annual Data'!$A340,'Quarterly Data'!S:S)</f>
        <v>0</v>
      </c>
      <c r="R340" t="e">
        <f>AVERAGEIF('Quarterly Data'!$B:$B,'Annual Data'!$A340,'Quarterly Data'!T:T)</f>
        <v>#DIV/0!</v>
      </c>
      <c r="S340">
        <f>SUMIF('Quarterly Data'!$B:$B,'Annual Data'!$A340,'Quarterly Data'!U:U)</f>
        <v>0</v>
      </c>
      <c r="T340">
        <f>SUMIF('Quarterly Data'!$B:$B,'Annual Data'!$A340,'Quarterly Data'!V:V)</f>
        <v>0</v>
      </c>
      <c r="U340">
        <f>SUMIF('Quarterly Data'!$B:$B,'Annual Data'!$A340,'Quarterly Data'!W:W)</f>
        <v>0</v>
      </c>
      <c r="V340">
        <f>SUMIF('Quarterly Data'!$B:$B,'Annual Data'!$A340,'Quarterly Data'!X:X)</f>
        <v>0</v>
      </c>
      <c r="W340">
        <f>SUMIF('Quarterly Data'!$B:$B,'Annual Data'!$A340,'Quarterly Data'!Y:Y)</f>
        <v>0</v>
      </c>
      <c r="X340">
        <f>SUMIF('Quarterly Data'!$B:$B,'Annual Data'!$A340,'Quarterly Data'!Z:Z)</f>
        <v>0</v>
      </c>
      <c r="Y340">
        <f>SUMIF('Quarterly Data'!$B:$B,'Annual Data'!$A340,'Quarterly Data'!AA:AA)</f>
        <v>0</v>
      </c>
      <c r="Z340" t="e">
        <f>AVERAGEIF('Quarterly Data'!$B:$B,'Annual Data'!$A340,'Quarterly Data'!AB:AB)</f>
        <v>#DIV/0!</v>
      </c>
      <c r="AA340" t="e">
        <f>AVERAGEIF('Quarterly Data'!$B:$B,'Annual Data'!$A340,'Quarterly Data'!AC:AC)</f>
        <v>#DIV/0!</v>
      </c>
      <c r="AB340" t="e">
        <f>AVERAGEIF('Quarterly Data'!$B:$B,'Annual Data'!$A340,'Quarterly Data'!AD:AD)</f>
        <v>#DIV/0!</v>
      </c>
      <c r="AC340" t="e">
        <f>AVERAGEIF('Quarterly Data'!$B:$B,'Annual Data'!$A340,'Quarterly Data'!AE:AE)</f>
        <v>#DIV/0!</v>
      </c>
      <c r="AD340" t="e">
        <f>AVERAGEIF('Quarterly Data'!$B:$B,'Annual Data'!$A340,'Quarterly Data'!AF:AF)</f>
        <v>#DIV/0!</v>
      </c>
      <c r="AE340">
        <f>SUMIF('Quarterly Data'!$B:$B,'Annual Data'!$A340,'Quarterly Data'!AG:AG)</f>
        <v>0</v>
      </c>
    </row>
    <row r="341" spans="1:31" x14ac:dyDescent="0.25">
      <c r="A341">
        <v>2307</v>
      </c>
      <c r="B341">
        <f>SUMIF('Quarterly Data'!$B:$B,'Annual Data'!$A341,'Quarterly Data'!D:D)</f>
        <v>0</v>
      </c>
      <c r="C341" t="e">
        <f>AVERAGEIF('Quarterly Data'!$B:$B,'Annual Data'!$A341,'Quarterly Data'!E:E)</f>
        <v>#DIV/0!</v>
      </c>
      <c r="D341">
        <f>SUMIF('Quarterly Data'!$B:$B,'Annual Data'!$A341,'Quarterly Data'!F:F)</f>
        <v>0</v>
      </c>
      <c r="E341">
        <f>SUMIF('Quarterly Data'!$B:$B,'Annual Data'!$A341,'Quarterly Data'!G:G)</f>
        <v>0</v>
      </c>
      <c r="F341">
        <f>SUMIF('Quarterly Data'!$B:$B,'Annual Data'!$A341,'Quarterly Data'!H:H)</f>
        <v>0</v>
      </c>
      <c r="G341">
        <f>SUMIF('Quarterly Data'!$B:$B,'Annual Data'!$A341,'Quarterly Data'!I:I)</f>
        <v>0</v>
      </c>
      <c r="H341">
        <f>SUMIF('Quarterly Data'!$B:$B,'Annual Data'!$A341,'Quarterly Data'!J:J)</f>
        <v>0</v>
      </c>
      <c r="I341">
        <f>SUMIF('Quarterly Data'!$B:$B,'Annual Data'!$A341,'Quarterly Data'!K:K)</f>
        <v>0</v>
      </c>
      <c r="J341">
        <f>SUMIF('Quarterly Data'!$B:$B,'Annual Data'!$A341,'Quarterly Data'!L:L)</f>
        <v>0</v>
      </c>
      <c r="K341" t="e">
        <f>AVERAGEIF('Quarterly Data'!$B:$B,'Annual Data'!$A341,'Quarterly Data'!M:M)</f>
        <v>#DIV/0!</v>
      </c>
      <c r="L341" t="e">
        <f>AVERAGEIF('Quarterly Data'!$B:$B,'Annual Data'!$A341,'Quarterly Data'!N:N)</f>
        <v>#DIV/0!</v>
      </c>
      <c r="M341" t="e">
        <f>AVERAGEIF('Quarterly Data'!$B:$B,'Annual Data'!$A341,'Quarterly Data'!O:O)</f>
        <v>#DIV/0!</v>
      </c>
      <c r="N341" t="e">
        <f>AVERAGEIF('Quarterly Data'!$B:$B,'Annual Data'!$A341,'Quarterly Data'!P:P)</f>
        <v>#DIV/0!</v>
      </c>
      <c r="O341" t="e">
        <f>AVERAGEIF('Quarterly Data'!$B:$B,'Annual Data'!$A341,'Quarterly Data'!Q:Q)</f>
        <v>#DIV/0!</v>
      </c>
      <c r="P341">
        <f>SUMIF('Quarterly Data'!$B:$B,'Annual Data'!$A341,'Quarterly Data'!R:R)</f>
        <v>0</v>
      </c>
      <c r="Q341">
        <f>SUMIF('Quarterly Data'!$B:$B,'Annual Data'!$A341,'Quarterly Data'!S:S)</f>
        <v>0</v>
      </c>
      <c r="R341" t="e">
        <f>AVERAGEIF('Quarterly Data'!$B:$B,'Annual Data'!$A341,'Quarterly Data'!T:T)</f>
        <v>#DIV/0!</v>
      </c>
      <c r="S341">
        <f>SUMIF('Quarterly Data'!$B:$B,'Annual Data'!$A341,'Quarterly Data'!U:U)</f>
        <v>0</v>
      </c>
      <c r="T341">
        <f>SUMIF('Quarterly Data'!$B:$B,'Annual Data'!$A341,'Quarterly Data'!V:V)</f>
        <v>0</v>
      </c>
      <c r="U341">
        <f>SUMIF('Quarterly Data'!$B:$B,'Annual Data'!$A341,'Quarterly Data'!W:W)</f>
        <v>0</v>
      </c>
      <c r="V341">
        <f>SUMIF('Quarterly Data'!$B:$B,'Annual Data'!$A341,'Quarterly Data'!X:X)</f>
        <v>0</v>
      </c>
      <c r="W341">
        <f>SUMIF('Quarterly Data'!$B:$B,'Annual Data'!$A341,'Quarterly Data'!Y:Y)</f>
        <v>0</v>
      </c>
      <c r="X341">
        <f>SUMIF('Quarterly Data'!$B:$B,'Annual Data'!$A341,'Quarterly Data'!Z:Z)</f>
        <v>0</v>
      </c>
      <c r="Y341">
        <f>SUMIF('Quarterly Data'!$B:$B,'Annual Data'!$A341,'Quarterly Data'!AA:AA)</f>
        <v>0</v>
      </c>
      <c r="Z341" t="e">
        <f>AVERAGEIF('Quarterly Data'!$B:$B,'Annual Data'!$A341,'Quarterly Data'!AB:AB)</f>
        <v>#DIV/0!</v>
      </c>
      <c r="AA341" t="e">
        <f>AVERAGEIF('Quarterly Data'!$B:$B,'Annual Data'!$A341,'Quarterly Data'!AC:AC)</f>
        <v>#DIV/0!</v>
      </c>
      <c r="AB341" t="e">
        <f>AVERAGEIF('Quarterly Data'!$B:$B,'Annual Data'!$A341,'Quarterly Data'!AD:AD)</f>
        <v>#DIV/0!</v>
      </c>
      <c r="AC341" t="e">
        <f>AVERAGEIF('Quarterly Data'!$B:$B,'Annual Data'!$A341,'Quarterly Data'!AE:AE)</f>
        <v>#DIV/0!</v>
      </c>
      <c r="AD341" t="e">
        <f>AVERAGEIF('Quarterly Data'!$B:$B,'Annual Data'!$A341,'Quarterly Data'!AF:AF)</f>
        <v>#DIV/0!</v>
      </c>
      <c r="AE341">
        <f>SUMIF('Quarterly Data'!$B:$B,'Annual Data'!$A341,'Quarterly Data'!AG:AG)</f>
        <v>0</v>
      </c>
    </row>
    <row r="342" spans="1:31" x14ac:dyDescent="0.25">
      <c r="A342">
        <v>2308</v>
      </c>
      <c r="B342">
        <f>SUMIF('Quarterly Data'!$B:$B,'Annual Data'!$A342,'Quarterly Data'!D:D)</f>
        <v>0</v>
      </c>
      <c r="C342" t="e">
        <f>AVERAGEIF('Quarterly Data'!$B:$B,'Annual Data'!$A342,'Quarterly Data'!E:E)</f>
        <v>#DIV/0!</v>
      </c>
      <c r="D342">
        <f>SUMIF('Quarterly Data'!$B:$B,'Annual Data'!$A342,'Quarterly Data'!F:F)</f>
        <v>0</v>
      </c>
      <c r="E342">
        <f>SUMIF('Quarterly Data'!$B:$B,'Annual Data'!$A342,'Quarterly Data'!G:G)</f>
        <v>0</v>
      </c>
      <c r="F342">
        <f>SUMIF('Quarterly Data'!$B:$B,'Annual Data'!$A342,'Quarterly Data'!H:H)</f>
        <v>0</v>
      </c>
      <c r="G342">
        <f>SUMIF('Quarterly Data'!$B:$B,'Annual Data'!$A342,'Quarterly Data'!I:I)</f>
        <v>0</v>
      </c>
      <c r="H342">
        <f>SUMIF('Quarterly Data'!$B:$B,'Annual Data'!$A342,'Quarterly Data'!J:J)</f>
        <v>0</v>
      </c>
      <c r="I342">
        <f>SUMIF('Quarterly Data'!$B:$B,'Annual Data'!$A342,'Quarterly Data'!K:K)</f>
        <v>0</v>
      </c>
      <c r="J342">
        <f>SUMIF('Quarterly Data'!$B:$B,'Annual Data'!$A342,'Quarterly Data'!L:L)</f>
        <v>0</v>
      </c>
      <c r="K342" t="e">
        <f>AVERAGEIF('Quarterly Data'!$B:$B,'Annual Data'!$A342,'Quarterly Data'!M:M)</f>
        <v>#DIV/0!</v>
      </c>
      <c r="L342" t="e">
        <f>AVERAGEIF('Quarterly Data'!$B:$B,'Annual Data'!$A342,'Quarterly Data'!N:N)</f>
        <v>#DIV/0!</v>
      </c>
      <c r="M342" t="e">
        <f>AVERAGEIF('Quarterly Data'!$B:$B,'Annual Data'!$A342,'Quarterly Data'!O:O)</f>
        <v>#DIV/0!</v>
      </c>
      <c r="N342" t="e">
        <f>AVERAGEIF('Quarterly Data'!$B:$B,'Annual Data'!$A342,'Quarterly Data'!P:P)</f>
        <v>#DIV/0!</v>
      </c>
      <c r="O342" t="e">
        <f>AVERAGEIF('Quarterly Data'!$B:$B,'Annual Data'!$A342,'Quarterly Data'!Q:Q)</f>
        <v>#DIV/0!</v>
      </c>
      <c r="P342">
        <f>SUMIF('Quarterly Data'!$B:$B,'Annual Data'!$A342,'Quarterly Data'!R:R)</f>
        <v>0</v>
      </c>
      <c r="Q342">
        <f>SUMIF('Quarterly Data'!$B:$B,'Annual Data'!$A342,'Quarterly Data'!S:S)</f>
        <v>0</v>
      </c>
      <c r="R342" t="e">
        <f>AVERAGEIF('Quarterly Data'!$B:$B,'Annual Data'!$A342,'Quarterly Data'!T:T)</f>
        <v>#DIV/0!</v>
      </c>
      <c r="S342">
        <f>SUMIF('Quarterly Data'!$B:$B,'Annual Data'!$A342,'Quarterly Data'!U:U)</f>
        <v>0</v>
      </c>
      <c r="T342">
        <f>SUMIF('Quarterly Data'!$B:$B,'Annual Data'!$A342,'Quarterly Data'!V:V)</f>
        <v>0</v>
      </c>
      <c r="U342">
        <f>SUMIF('Quarterly Data'!$B:$B,'Annual Data'!$A342,'Quarterly Data'!W:W)</f>
        <v>0</v>
      </c>
      <c r="V342">
        <f>SUMIF('Quarterly Data'!$B:$B,'Annual Data'!$A342,'Quarterly Data'!X:X)</f>
        <v>0</v>
      </c>
      <c r="W342">
        <f>SUMIF('Quarterly Data'!$B:$B,'Annual Data'!$A342,'Quarterly Data'!Y:Y)</f>
        <v>0</v>
      </c>
      <c r="X342">
        <f>SUMIF('Quarterly Data'!$B:$B,'Annual Data'!$A342,'Quarterly Data'!Z:Z)</f>
        <v>0</v>
      </c>
      <c r="Y342">
        <f>SUMIF('Quarterly Data'!$B:$B,'Annual Data'!$A342,'Quarterly Data'!AA:AA)</f>
        <v>0</v>
      </c>
      <c r="Z342" t="e">
        <f>AVERAGEIF('Quarterly Data'!$B:$B,'Annual Data'!$A342,'Quarterly Data'!AB:AB)</f>
        <v>#DIV/0!</v>
      </c>
      <c r="AA342" t="e">
        <f>AVERAGEIF('Quarterly Data'!$B:$B,'Annual Data'!$A342,'Quarterly Data'!AC:AC)</f>
        <v>#DIV/0!</v>
      </c>
      <c r="AB342" t="e">
        <f>AVERAGEIF('Quarterly Data'!$B:$B,'Annual Data'!$A342,'Quarterly Data'!AD:AD)</f>
        <v>#DIV/0!</v>
      </c>
      <c r="AC342" t="e">
        <f>AVERAGEIF('Quarterly Data'!$B:$B,'Annual Data'!$A342,'Quarterly Data'!AE:AE)</f>
        <v>#DIV/0!</v>
      </c>
      <c r="AD342" t="e">
        <f>AVERAGEIF('Quarterly Data'!$B:$B,'Annual Data'!$A342,'Quarterly Data'!AF:AF)</f>
        <v>#DIV/0!</v>
      </c>
      <c r="AE342">
        <f>SUMIF('Quarterly Data'!$B:$B,'Annual Data'!$A342,'Quarterly Data'!AG:AG)</f>
        <v>0</v>
      </c>
    </row>
    <row r="343" spans="1:31" x14ac:dyDescent="0.25">
      <c r="A343">
        <v>2309</v>
      </c>
      <c r="B343">
        <f>SUMIF('Quarterly Data'!$B:$B,'Annual Data'!$A343,'Quarterly Data'!D:D)</f>
        <v>0</v>
      </c>
      <c r="C343" t="e">
        <f>AVERAGEIF('Quarterly Data'!$B:$B,'Annual Data'!$A343,'Quarterly Data'!E:E)</f>
        <v>#DIV/0!</v>
      </c>
      <c r="D343">
        <f>SUMIF('Quarterly Data'!$B:$B,'Annual Data'!$A343,'Quarterly Data'!F:F)</f>
        <v>0</v>
      </c>
      <c r="E343">
        <f>SUMIF('Quarterly Data'!$B:$B,'Annual Data'!$A343,'Quarterly Data'!G:G)</f>
        <v>0</v>
      </c>
      <c r="F343">
        <f>SUMIF('Quarterly Data'!$B:$B,'Annual Data'!$A343,'Quarterly Data'!H:H)</f>
        <v>0</v>
      </c>
      <c r="G343">
        <f>SUMIF('Quarterly Data'!$B:$B,'Annual Data'!$A343,'Quarterly Data'!I:I)</f>
        <v>0</v>
      </c>
      <c r="H343">
        <f>SUMIF('Quarterly Data'!$B:$B,'Annual Data'!$A343,'Quarterly Data'!J:J)</f>
        <v>0</v>
      </c>
      <c r="I343">
        <f>SUMIF('Quarterly Data'!$B:$B,'Annual Data'!$A343,'Quarterly Data'!K:K)</f>
        <v>0</v>
      </c>
      <c r="J343">
        <f>SUMIF('Quarterly Data'!$B:$B,'Annual Data'!$A343,'Quarterly Data'!L:L)</f>
        <v>0</v>
      </c>
      <c r="K343" t="e">
        <f>AVERAGEIF('Quarterly Data'!$B:$B,'Annual Data'!$A343,'Quarterly Data'!M:M)</f>
        <v>#DIV/0!</v>
      </c>
      <c r="L343" t="e">
        <f>AVERAGEIF('Quarterly Data'!$B:$B,'Annual Data'!$A343,'Quarterly Data'!N:N)</f>
        <v>#DIV/0!</v>
      </c>
      <c r="M343" t="e">
        <f>AVERAGEIF('Quarterly Data'!$B:$B,'Annual Data'!$A343,'Quarterly Data'!O:O)</f>
        <v>#DIV/0!</v>
      </c>
      <c r="N343" t="e">
        <f>AVERAGEIF('Quarterly Data'!$B:$B,'Annual Data'!$A343,'Quarterly Data'!P:P)</f>
        <v>#DIV/0!</v>
      </c>
      <c r="O343" t="e">
        <f>AVERAGEIF('Quarterly Data'!$B:$B,'Annual Data'!$A343,'Quarterly Data'!Q:Q)</f>
        <v>#DIV/0!</v>
      </c>
      <c r="P343">
        <f>SUMIF('Quarterly Data'!$B:$B,'Annual Data'!$A343,'Quarterly Data'!R:R)</f>
        <v>0</v>
      </c>
      <c r="Q343">
        <f>SUMIF('Quarterly Data'!$B:$B,'Annual Data'!$A343,'Quarterly Data'!S:S)</f>
        <v>0</v>
      </c>
      <c r="R343" t="e">
        <f>AVERAGEIF('Quarterly Data'!$B:$B,'Annual Data'!$A343,'Quarterly Data'!T:T)</f>
        <v>#DIV/0!</v>
      </c>
      <c r="S343">
        <f>SUMIF('Quarterly Data'!$B:$B,'Annual Data'!$A343,'Quarterly Data'!U:U)</f>
        <v>0</v>
      </c>
      <c r="T343">
        <f>SUMIF('Quarterly Data'!$B:$B,'Annual Data'!$A343,'Quarterly Data'!V:V)</f>
        <v>0</v>
      </c>
      <c r="U343">
        <f>SUMIF('Quarterly Data'!$B:$B,'Annual Data'!$A343,'Quarterly Data'!W:W)</f>
        <v>0</v>
      </c>
      <c r="V343">
        <f>SUMIF('Quarterly Data'!$B:$B,'Annual Data'!$A343,'Quarterly Data'!X:X)</f>
        <v>0</v>
      </c>
      <c r="W343">
        <f>SUMIF('Quarterly Data'!$B:$B,'Annual Data'!$A343,'Quarterly Data'!Y:Y)</f>
        <v>0</v>
      </c>
      <c r="X343">
        <f>SUMIF('Quarterly Data'!$B:$B,'Annual Data'!$A343,'Quarterly Data'!Z:Z)</f>
        <v>0</v>
      </c>
      <c r="Y343">
        <f>SUMIF('Quarterly Data'!$B:$B,'Annual Data'!$A343,'Quarterly Data'!AA:AA)</f>
        <v>0</v>
      </c>
      <c r="Z343" t="e">
        <f>AVERAGEIF('Quarterly Data'!$B:$B,'Annual Data'!$A343,'Quarterly Data'!AB:AB)</f>
        <v>#DIV/0!</v>
      </c>
      <c r="AA343" t="e">
        <f>AVERAGEIF('Quarterly Data'!$B:$B,'Annual Data'!$A343,'Quarterly Data'!AC:AC)</f>
        <v>#DIV/0!</v>
      </c>
      <c r="AB343" t="e">
        <f>AVERAGEIF('Quarterly Data'!$B:$B,'Annual Data'!$A343,'Quarterly Data'!AD:AD)</f>
        <v>#DIV/0!</v>
      </c>
      <c r="AC343" t="e">
        <f>AVERAGEIF('Quarterly Data'!$B:$B,'Annual Data'!$A343,'Quarterly Data'!AE:AE)</f>
        <v>#DIV/0!</v>
      </c>
      <c r="AD343" t="e">
        <f>AVERAGEIF('Quarterly Data'!$B:$B,'Annual Data'!$A343,'Quarterly Data'!AF:AF)</f>
        <v>#DIV/0!</v>
      </c>
      <c r="AE343">
        <f>SUMIF('Quarterly Data'!$B:$B,'Annual Data'!$A343,'Quarterly Data'!AG:AG)</f>
        <v>0</v>
      </c>
    </row>
    <row r="344" spans="1:31" x14ac:dyDescent="0.25">
      <c r="A344">
        <v>2310</v>
      </c>
      <c r="B344">
        <f>SUMIF('Quarterly Data'!$B:$B,'Annual Data'!$A344,'Quarterly Data'!D:D)</f>
        <v>0</v>
      </c>
      <c r="C344" t="e">
        <f>AVERAGEIF('Quarterly Data'!$B:$B,'Annual Data'!$A344,'Quarterly Data'!E:E)</f>
        <v>#DIV/0!</v>
      </c>
      <c r="D344">
        <f>SUMIF('Quarterly Data'!$B:$B,'Annual Data'!$A344,'Quarterly Data'!F:F)</f>
        <v>0</v>
      </c>
      <c r="E344">
        <f>SUMIF('Quarterly Data'!$B:$B,'Annual Data'!$A344,'Quarterly Data'!G:G)</f>
        <v>0</v>
      </c>
      <c r="F344">
        <f>SUMIF('Quarterly Data'!$B:$B,'Annual Data'!$A344,'Quarterly Data'!H:H)</f>
        <v>0</v>
      </c>
      <c r="G344">
        <f>SUMIF('Quarterly Data'!$B:$B,'Annual Data'!$A344,'Quarterly Data'!I:I)</f>
        <v>0</v>
      </c>
      <c r="H344">
        <f>SUMIF('Quarterly Data'!$B:$B,'Annual Data'!$A344,'Quarterly Data'!J:J)</f>
        <v>0</v>
      </c>
      <c r="I344">
        <f>SUMIF('Quarterly Data'!$B:$B,'Annual Data'!$A344,'Quarterly Data'!K:K)</f>
        <v>0</v>
      </c>
      <c r="J344">
        <f>SUMIF('Quarterly Data'!$B:$B,'Annual Data'!$A344,'Quarterly Data'!L:L)</f>
        <v>0</v>
      </c>
      <c r="K344" t="e">
        <f>AVERAGEIF('Quarterly Data'!$B:$B,'Annual Data'!$A344,'Quarterly Data'!M:M)</f>
        <v>#DIV/0!</v>
      </c>
      <c r="L344" t="e">
        <f>AVERAGEIF('Quarterly Data'!$B:$B,'Annual Data'!$A344,'Quarterly Data'!N:N)</f>
        <v>#DIV/0!</v>
      </c>
      <c r="M344" t="e">
        <f>AVERAGEIF('Quarterly Data'!$B:$B,'Annual Data'!$A344,'Quarterly Data'!O:O)</f>
        <v>#DIV/0!</v>
      </c>
      <c r="N344" t="e">
        <f>AVERAGEIF('Quarterly Data'!$B:$B,'Annual Data'!$A344,'Quarterly Data'!P:P)</f>
        <v>#DIV/0!</v>
      </c>
      <c r="O344" t="e">
        <f>AVERAGEIF('Quarterly Data'!$B:$B,'Annual Data'!$A344,'Quarterly Data'!Q:Q)</f>
        <v>#DIV/0!</v>
      </c>
      <c r="P344">
        <f>SUMIF('Quarterly Data'!$B:$B,'Annual Data'!$A344,'Quarterly Data'!R:R)</f>
        <v>0</v>
      </c>
      <c r="Q344">
        <f>SUMIF('Quarterly Data'!$B:$B,'Annual Data'!$A344,'Quarterly Data'!S:S)</f>
        <v>0</v>
      </c>
      <c r="R344" t="e">
        <f>AVERAGEIF('Quarterly Data'!$B:$B,'Annual Data'!$A344,'Quarterly Data'!T:T)</f>
        <v>#DIV/0!</v>
      </c>
      <c r="S344">
        <f>SUMIF('Quarterly Data'!$B:$B,'Annual Data'!$A344,'Quarterly Data'!U:U)</f>
        <v>0</v>
      </c>
      <c r="T344">
        <f>SUMIF('Quarterly Data'!$B:$B,'Annual Data'!$A344,'Quarterly Data'!V:V)</f>
        <v>0</v>
      </c>
      <c r="U344">
        <f>SUMIF('Quarterly Data'!$B:$B,'Annual Data'!$A344,'Quarterly Data'!W:W)</f>
        <v>0</v>
      </c>
      <c r="V344">
        <f>SUMIF('Quarterly Data'!$B:$B,'Annual Data'!$A344,'Quarterly Data'!X:X)</f>
        <v>0</v>
      </c>
      <c r="W344">
        <f>SUMIF('Quarterly Data'!$B:$B,'Annual Data'!$A344,'Quarterly Data'!Y:Y)</f>
        <v>0</v>
      </c>
      <c r="X344">
        <f>SUMIF('Quarterly Data'!$B:$B,'Annual Data'!$A344,'Quarterly Data'!Z:Z)</f>
        <v>0</v>
      </c>
      <c r="Y344">
        <f>SUMIF('Quarterly Data'!$B:$B,'Annual Data'!$A344,'Quarterly Data'!AA:AA)</f>
        <v>0</v>
      </c>
      <c r="Z344" t="e">
        <f>AVERAGEIF('Quarterly Data'!$B:$B,'Annual Data'!$A344,'Quarterly Data'!AB:AB)</f>
        <v>#DIV/0!</v>
      </c>
      <c r="AA344" t="e">
        <f>AVERAGEIF('Quarterly Data'!$B:$B,'Annual Data'!$A344,'Quarterly Data'!AC:AC)</f>
        <v>#DIV/0!</v>
      </c>
      <c r="AB344" t="e">
        <f>AVERAGEIF('Quarterly Data'!$B:$B,'Annual Data'!$A344,'Quarterly Data'!AD:AD)</f>
        <v>#DIV/0!</v>
      </c>
      <c r="AC344" t="e">
        <f>AVERAGEIF('Quarterly Data'!$B:$B,'Annual Data'!$A344,'Quarterly Data'!AE:AE)</f>
        <v>#DIV/0!</v>
      </c>
      <c r="AD344" t="e">
        <f>AVERAGEIF('Quarterly Data'!$B:$B,'Annual Data'!$A344,'Quarterly Data'!AF:AF)</f>
        <v>#DIV/0!</v>
      </c>
      <c r="AE344">
        <f>SUMIF('Quarterly Data'!$B:$B,'Annual Data'!$A344,'Quarterly Data'!AG:AG)</f>
        <v>0</v>
      </c>
    </row>
    <row r="345" spans="1:31" x14ac:dyDescent="0.25">
      <c r="A345">
        <v>2311</v>
      </c>
      <c r="B345">
        <f>SUMIF('Quarterly Data'!$B:$B,'Annual Data'!$A345,'Quarterly Data'!D:D)</f>
        <v>0</v>
      </c>
      <c r="C345" t="e">
        <f>AVERAGEIF('Quarterly Data'!$B:$B,'Annual Data'!$A345,'Quarterly Data'!E:E)</f>
        <v>#DIV/0!</v>
      </c>
      <c r="D345">
        <f>SUMIF('Quarterly Data'!$B:$B,'Annual Data'!$A345,'Quarterly Data'!F:F)</f>
        <v>0</v>
      </c>
      <c r="E345">
        <f>SUMIF('Quarterly Data'!$B:$B,'Annual Data'!$A345,'Quarterly Data'!G:G)</f>
        <v>0</v>
      </c>
      <c r="F345">
        <f>SUMIF('Quarterly Data'!$B:$B,'Annual Data'!$A345,'Quarterly Data'!H:H)</f>
        <v>0</v>
      </c>
      <c r="G345">
        <f>SUMIF('Quarterly Data'!$B:$B,'Annual Data'!$A345,'Quarterly Data'!I:I)</f>
        <v>0</v>
      </c>
      <c r="H345">
        <f>SUMIF('Quarterly Data'!$B:$B,'Annual Data'!$A345,'Quarterly Data'!J:J)</f>
        <v>0</v>
      </c>
      <c r="I345">
        <f>SUMIF('Quarterly Data'!$B:$B,'Annual Data'!$A345,'Quarterly Data'!K:K)</f>
        <v>0</v>
      </c>
      <c r="J345">
        <f>SUMIF('Quarterly Data'!$B:$B,'Annual Data'!$A345,'Quarterly Data'!L:L)</f>
        <v>0</v>
      </c>
      <c r="K345" t="e">
        <f>AVERAGEIF('Quarterly Data'!$B:$B,'Annual Data'!$A345,'Quarterly Data'!M:M)</f>
        <v>#DIV/0!</v>
      </c>
      <c r="L345" t="e">
        <f>AVERAGEIF('Quarterly Data'!$B:$B,'Annual Data'!$A345,'Quarterly Data'!N:N)</f>
        <v>#DIV/0!</v>
      </c>
      <c r="M345" t="e">
        <f>AVERAGEIF('Quarterly Data'!$B:$B,'Annual Data'!$A345,'Quarterly Data'!O:O)</f>
        <v>#DIV/0!</v>
      </c>
      <c r="N345" t="e">
        <f>AVERAGEIF('Quarterly Data'!$B:$B,'Annual Data'!$A345,'Quarterly Data'!P:P)</f>
        <v>#DIV/0!</v>
      </c>
      <c r="O345" t="e">
        <f>AVERAGEIF('Quarterly Data'!$B:$B,'Annual Data'!$A345,'Quarterly Data'!Q:Q)</f>
        <v>#DIV/0!</v>
      </c>
      <c r="P345">
        <f>SUMIF('Quarterly Data'!$B:$B,'Annual Data'!$A345,'Quarterly Data'!R:R)</f>
        <v>0</v>
      </c>
      <c r="Q345">
        <f>SUMIF('Quarterly Data'!$B:$B,'Annual Data'!$A345,'Quarterly Data'!S:S)</f>
        <v>0</v>
      </c>
      <c r="R345" t="e">
        <f>AVERAGEIF('Quarterly Data'!$B:$B,'Annual Data'!$A345,'Quarterly Data'!T:T)</f>
        <v>#DIV/0!</v>
      </c>
      <c r="S345">
        <f>SUMIF('Quarterly Data'!$B:$B,'Annual Data'!$A345,'Quarterly Data'!U:U)</f>
        <v>0</v>
      </c>
      <c r="T345">
        <f>SUMIF('Quarterly Data'!$B:$B,'Annual Data'!$A345,'Quarterly Data'!V:V)</f>
        <v>0</v>
      </c>
      <c r="U345">
        <f>SUMIF('Quarterly Data'!$B:$B,'Annual Data'!$A345,'Quarterly Data'!W:W)</f>
        <v>0</v>
      </c>
      <c r="V345">
        <f>SUMIF('Quarterly Data'!$B:$B,'Annual Data'!$A345,'Quarterly Data'!X:X)</f>
        <v>0</v>
      </c>
      <c r="W345">
        <f>SUMIF('Quarterly Data'!$B:$B,'Annual Data'!$A345,'Quarterly Data'!Y:Y)</f>
        <v>0</v>
      </c>
      <c r="X345">
        <f>SUMIF('Quarterly Data'!$B:$B,'Annual Data'!$A345,'Quarterly Data'!Z:Z)</f>
        <v>0</v>
      </c>
      <c r="Y345">
        <f>SUMIF('Quarterly Data'!$B:$B,'Annual Data'!$A345,'Quarterly Data'!AA:AA)</f>
        <v>0</v>
      </c>
      <c r="Z345" t="e">
        <f>AVERAGEIF('Quarterly Data'!$B:$B,'Annual Data'!$A345,'Quarterly Data'!AB:AB)</f>
        <v>#DIV/0!</v>
      </c>
      <c r="AA345" t="e">
        <f>AVERAGEIF('Quarterly Data'!$B:$B,'Annual Data'!$A345,'Quarterly Data'!AC:AC)</f>
        <v>#DIV/0!</v>
      </c>
      <c r="AB345" t="e">
        <f>AVERAGEIF('Quarterly Data'!$B:$B,'Annual Data'!$A345,'Quarterly Data'!AD:AD)</f>
        <v>#DIV/0!</v>
      </c>
      <c r="AC345" t="e">
        <f>AVERAGEIF('Quarterly Data'!$B:$B,'Annual Data'!$A345,'Quarterly Data'!AE:AE)</f>
        <v>#DIV/0!</v>
      </c>
      <c r="AD345" t="e">
        <f>AVERAGEIF('Quarterly Data'!$B:$B,'Annual Data'!$A345,'Quarterly Data'!AF:AF)</f>
        <v>#DIV/0!</v>
      </c>
      <c r="AE345">
        <f>SUMIF('Quarterly Data'!$B:$B,'Annual Data'!$A345,'Quarterly Data'!AG:AG)</f>
        <v>0</v>
      </c>
    </row>
    <row r="346" spans="1:31" x14ac:dyDescent="0.25">
      <c r="A346">
        <v>2312</v>
      </c>
      <c r="B346">
        <f>SUMIF('Quarterly Data'!$B:$B,'Annual Data'!$A346,'Quarterly Data'!D:D)</f>
        <v>0</v>
      </c>
      <c r="C346" t="e">
        <f>AVERAGEIF('Quarterly Data'!$B:$B,'Annual Data'!$A346,'Quarterly Data'!E:E)</f>
        <v>#DIV/0!</v>
      </c>
      <c r="D346">
        <f>SUMIF('Quarterly Data'!$B:$B,'Annual Data'!$A346,'Quarterly Data'!F:F)</f>
        <v>0</v>
      </c>
      <c r="E346">
        <f>SUMIF('Quarterly Data'!$B:$B,'Annual Data'!$A346,'Quarterly Data'!G:G)</f>
        <v>0</v>
      </c>
      <c r="F346">
        <f>SUMIF('Quarterly Data'!$B:$B,'Annual Data'!$A346,'Quarterly Data'!H:H)</f>
        <v>0</v>
      </c>
      <c r="G346">
        <f>SUMIF('Quarterly Data'!$B:$B,'Annual Data'!$A346,'Quarterly Data'!I:I)</f>
        <v>0</v>
      </c>
      <c r="H346">
        <f>SUMIF('Quarterly Data'!$B:$B,'Annual Data'!$A346,'Quarterly Data'!J:J)</f>
        <v>0</v>
      </c>
      <c r="I346">
        <f>SUMIF('Quarterly Data'!$B:$B,'Annual Data'!$A346,'Quarterly Data'!K:K)</f>
        <v>0</v>
      </c>
      <c r="J346">
        <f>SUMIF('Quarterly Data'!$B:$B,'Annual Data'!$A346,'Quarterly Data'!L:L)</f>
        <v>0</v>
      </c>
      <c r="K346" t="e">
        <f>AVERAGEIF('Quarterly Data'!$B:$B,'Annual Data'!$A346,'Quarterly Data'!M:M)</f>
        <v>#DIV/0!</v>
      </c>
      <c r="L346" t="e">
        <f>AVERAGEIF('Quarterly Data'!$B:$B,'Annual Data'!$A346,'Quarterly Data'!N:N)</f>
        <v>#DIV/0!</v>
      </c>
      <c r="M346" t="e">
        <f>AVERAGEIF('Quarterly Data'!$B:$B,'Annual Data'!$A346,'Quarterly Data'!O:O)</f>
        <v>#DIV/0!</v>
      </c>
      <c r="N346" t="e">
        <f>AVERAGEIF('Quarterly Data'!$B:$B,'Annual Data'!$A346,'Quarterly Data'!P:P)</f>
        <v>#DIV/0!</v>
      </c>
      <c r="O346" t="e">
        <f>AVERAGEIF('Quarterly Data'!$B:$B,'Annual Data'!$A346,'Quarterly Data'!Q:Q)</f>
        <v>#DIV/0!</v>
      </c>
      <c r="P346">
        <f>SUMIF('Quarterly Data'!$B:$B,'Annual Data'!$A346,'Quarterly Data'!R:R)</f>
        <v>0</v>
      </c>
      <c r="Q346">
        <f>SUMIF('Quarterly Data'!$B:$B,'Annual Data'!$A346,'Quarterly Data'!S:S)</f>
        <v>0</v>
      </c>
      <c r="R346" t="e">
        <f>AVERAGEIF('Quarterly Data'!$B:$B,'Annual Data'!$A346,'Quarterly Data'!T:T)</f>
        <v>#DIV/0!</v>
      </c>
      <c r="S346">
        <f>SUMIF('Quarterly Data'!$B:$B,'Annual Data'!$A346,'Quarterly Data'!U:U)</f>
        <v>0</v>
      </c>
      <c r="T346">
        <f>SUMIF('Quarterly Data'!$B:$B,'Annual Data'!$A346,'Quarterly Data'!V:V)</f>
        <v>0</v>
      </c>
      <c r="U346">
        <f>SUMIF('Quarterly Data'!$B:$B,'Annual Data'!$A346,'Quarterly Data'!W:W)</f>
        <v>0</v>
      </c>
      <c r="V346">
        <f>SUMIF('Quarterly Data'!$B:$B,'Annual Data'!$A346,'Quarterly Data'!X:X)</f>
        <v>0</v>
      </c>
      <c r="W346">
        <f>SUMIF('Quarterly Data'!$B:$B,'Annual Data'!$A346,'Quarterly Data'!Y:Y)</f>
        <v>0</v>
      </c>
      <c r="X346">
        <f>SUMIF('Quarterly Data'!$B:$B,'Annual Data'!$A346,'Quarterly Data'!Z:Z)</f>
        <v>0</v>
      </c>
      <c r="Y346">
        <f>SUMIF('Quarterly Data'!$B:$B,'Annual Data'!$A346,'Quarterly Data'!AA:AA)</f>
        <v>0</v>
      </c>
      <c r="Z346" t="e">
        <f>AVERAGEIF('Quarterly Data'!$B:$B,'Annual Data'!$A346,'Quarterly Data'!AB:AB)</f>
        <v>#DIV/0!</v>
      </c>
      <c r="AA346" t="e">
        <f>AVERAGEIF('Quarterly Data'!$B:$B,'Annual Data'!$A346,'Quarterly Data'!AC:AC)</f>
        <v>#DIV/0!</v>
      </c>
      <c r="AB346" t="e">
        <f>AVERAGEIF('Quarterly Data'!$B:$B,'Annual Data'!$A346,'Quarterly Data'!AD:AD)</f>
        <v>#DIV/0!</v>
      </c>
      <c r="AC346" t="e">
        <f>AVERAGEIF('Quarterly Data'!$B:$B,'Annual Data'!$A346,'Quarterly Data'!AE:AE)</f>
        <v>#DIV/0!</v>
      </c>
      <c r="AD346" t="e">
        <f>AVERAGEIF('Quarterly Data'!$B:$B,'Annual Data'!$A346,'Quarterly Data'!AF:AF)</f>
        <v>#DIV/0!</v>
      </c>
      <c r="AE346">
        <f>SUMIF('Quarterly Data'!$B:$B,'Annual Data'!$A346,'Quarterly Data'!AG:AG)</f>
        <v>0</v>
      </c>
    </row>
    <row r="347" spans="1:31" x14ac:dyDescent="0.25">
      <c r="A347">
        <v>2313</v>
      </c>
      <c r="B347">
        <f>SUMIF('Quarterly Data'!$B:$B,'Annual Data'!$A347,'Quarterly Data'!D:D)</f>
        <v>0</v>
      </c>
      <c r="C347" t="e">
        <f>AVERAGEIF('Quarterly Data'!$B:$B,'Annual Data'!$A347,'Quarterly Data'!E:E)</f>
        <v>#DIV/0!</v>
      </c>
      <c r="D347">
        <f>SUMIF('Quarterly Data'!$B:$B,'Annual Data'!$A347,'Quarterly Data'!F:F)</f>
        <v>0</v>
      </c>
      <c r="E347">
        <f>SUMIF('Quarterly Data'!$B:$B,'Annual Data'!$A347,'Quarterly Data'!G:G)</f>
        <v>0</v>
      </c>
      <c r="F347">
        <f>SUMIF('Quarterly Data'!$B:$B,'Annual Data'!$A347,'Quarterly Data'!H:H)</f>
        <v>0</v>
      </c>
      <c r="G347">
        <f>SUMIF('Quarterly Data'!$B:$B,'Annual Data'!$A347,'Quarterly Data'!I:I)</f>
        <v>0</v>
      </c>
      <c r="H347">
        <f>SUMIF('Quarterly Data'!$B:$B,'Annual Data'!$A347,'Quarterly Data'!J:J)</f>
        <v>0</v>
      </c>
      <c r="I347">
        <f>SUMIF('Quarterly Data'!$B:$B,'Annual Data'!$A347,'Quarterly Data'!K:K)</f>
        <v>0</v>
      </c>
      <c r="J347">
        <f>SUMIF('Quarterly Data'!$B:$B,'Annual Data'!$A347,'Quarterly Data'!L:L)</f>
        <v>0</v>
      </c>
      <c r="K347" t="e">
        <f>AVERAGEIF('Quarterly Data'!$B:$B,'Annual Data'!$A347,'Quarterly Data'!M:M)</f>
        <v>#DIV/0!</v>
      </c>
      <c r="L347" t="e">
        <f>AVERAGEIF('Quarterly Data'!$B:$B,'Annual Data'!$A347,'Quarterly Data'!N:N)</f>
        <v>#DIV/0!</v>
      </c>
      <c r="M347" t="e">
        <f>AVERAGEIF('Quarterly Data'!$B:$B,'Annual Data'!$A347,'Quarterly Data'!O:O)</f>
        <v>#DIV/0!</v>
      </c>
      <c r="N347" t="e">
        <f>AVERAGEIF('Quarterly Data'!$B:$B,'Annual Data'!$A347,'Quarterly Data'!P:P)</f>
        <v>#DIV/0!</v>
      </c>
      <c r="O347" t="e">
        <f>AVERAGEIF('Quarterly Data'!$B:$B,'Annual Data'!$A347,'Quarterly Data'!Q:Q)</f>
        <v>#DIV/0!</v>
      </c>
      <c r="P347">
        <f>SUMIF('Quarterly Data'!$B:$B,'Annual Data'!$A347,'Quarterly Data'!R:R)</f>
        <v>0</v>
      </c>
      <c r="Q347">
        <f>SUMIF('Quarterly Data'!$B:$B,'Annual Data'!$A347,'Quarterly Data'!S:S)</f>
        <v>0</v>
      </c>
      <c r="R347" t="e">
        <f>AVERAGEIF('Quarterly Data'!$B:$B,'Annual Data'!$A347,'Quarterly Data'!T:T)</f>
        <v>#DIV/0!</v>
      </c>
      <c r="S347">
        <f>SUMIF('Quarterly Data'!$B:$B,'Annual Data'!$A347,'Quarterly Data'!U:U)</f>
        <v>0</v>
      </c>
      <c r="T347">
        <f>SUMIF('Quarterly Data'!$B:$B,'Annual Data'!$A347,'Quarterly Data'!V:V)</f>
        <v>0</v>
      </c>
      <c r="U347">
        <f>SUMIF('Quarterly Data'!$B:$B,'Annual Data'!$A347,'Quarterly Data'!W:W)</f>
        <v>0</v>
      </c>
      <c r="V347">
        <f>SUMIF('Quarterly Data'!$B:$B,'Annual Data'!$A347,'Quarterly Data'!X:X)</f>
        <v>0</v>
      </c>
      <c r="W347">
        <f>SUMIF('Quarterly Data'!$B:$B,'Annual Data'!$A347,'Quarterly Data'!Y:Y)</f>
        <v>0</v>
      </c>
      <c r="X347">
        <f>SUMIF('Quarterly Data'!$B:$B,'Annual Data'!$A347,'Quarterly Data'!Z:Z)</f>
        <v>0</v>
      </c>
      <c r="Y347">
        <f>SUMIF('Quarterly Data'!$B:$B,'Annual Data'!$A347,'Quarterly Data'!AA:AA)</f>
        <v>0</v>
      </c>
      <c r="Z347" t="e">
        <f>AVERAGEIF('Quarterly Data'!$B:$B,'Annual Data'!$A347,'Quarterly Data'!AB:AB)</f>
        <v>#DIV/0!</v>
      </c>
      <c r="AA347" t="e">
        <f>AVERAGEIF('Quarterly Data'!$B:$B,'Annual Data'!$A347,'Quarterly Data'!AC:AC)</f>
        <v>#DIV/0!</v>
      </c>
      <c r="AB347" t="e">
        <f>AVERAGEIF('Quarterly Data'!$B:$B,'Annual Data'!$A347,'Quarterly Data'!AD:AD)</f>
        <v>#DIV/0!</v>
      </c>
      <c r="AC347" t="e">
        <f>AVERAGEIF('Quarterly Data'!$B:$B,'Annual Data'!$A347,'Quarterly Data'!AE:AE)</f>
        <v>#DIV/0!</v>
      </c>
      <c r="AD347" t="e">
        <f>AVERAGEIF('Quarterly Data'!$B:$B,'Annual Data'!$A347,'Quarterly Data'!AF:AF)</f>
        <v>#DIV/0!</v>
      </c>
      <c r="AE347">
        <f>SUMIF('Quarterly Data'!$B:$B,'Annual Data'!$A347,'Quarterly Data'!AG:AG)</f>
        <v>0</v>
      </c>
    </row>
    <row r="348" spans="1:31" x14ac:dyDescent="0.25">
      <c r="A348">
        <v>2314</v>
      </c>
      <c r="B348">
        <f>SUMIF('Quarterly Data'!$B:$B,'Annual Data'!$A348,'Quarterly Data'!D:D)</f>
        <v>0</v>
      </c>
      <c r="C348" t="e">
        <f>AVERAGEIF('Quarterly Data'!$B:$B,'Annual Data'!$A348,'Quarterly Data'!E:E)</f>
        <v>#DIV/0!</v>
      </c>
      <c r="D348">
        <f>SUMIF('Quarterly Data'!$B:$B,'Annual Data'!$A348,'Quarterly Data'!F:F)</f>
        <v>0</v>
      </c>
      <c r="E348">
        <f>SUMIF('Quarterly Data'!$B:$B,'Annual Data'!$A348,'Quarterly Data'!G:G)</f>
        <v>0</v>
      </c>
      <c r="F348">
        <f>SUMIF('Quarterly Data'!$B:$B,'Annual Data'!$A348,'Quarterly Data'!H:H)</f>
        <v>0</v>
      </c>
      <c r="G348">
        <f>SUMIF('Quarterly Data'!$B:$B,'Annual Data'!$A348,'Quarterly Data'!I:I)</f>
        <v>0</v>
      </c>
      <c r="H348">
        <f>SUMIF('Quarterly Data'!$B:$B,'Annual Data'!$A348,'Quarterly Data'!J:J)</f>
        <v>0</v>
      </c>
      <c r="I348">
        <f>SUMIF('Quarterly Data'!$B:$B,'Annual Data'!$A348,'Quarterly Data'!K:K)</f>
        <v>0</v>
      </c>
      <c r="J348">
        <f>SUMIF('Quarterly Data'!$B:$B,'Annual Data'!$A348,'Quarterly Data'!L:L)</f>
        <v>0</v>
      </c>
      <c r="K348" t="e">
        <f>AVERAGEIF('Quarterly Data'!$B:$B,'Annual Data'!$A348,'Quarterly Data'!M:M)</f>
        <v>#DIV/0!</v>
      </c>
      <c r="L348" t="e">
        <f>AVERAGEIF('Quarterly Data'!$B:$B,'Annual Data'!$A348,'Quarterly Data'!N:N)</f>
        <v>#DIV/0!</v>
      </c>
      <c r="M348" t="e">
        <f>AVERAGEIF('Quarterly Data'!$B:$B,'Annual Data'!$A348,'Quarterly Data'!O:O)</f>
        <v>#DIV/0!</v>
      </c>
      <c r="N348" t="e">
        <f>AVERAGEIF('Quarterly Data'!$B:$B,'Annual Data'!$A348,'Quarterly Data'!P:P)</f>
        <v>#DIV/0!</v>
      </c>
      <c r="O348" t="e">
        <f>AVERAGEIF('Quarterly Data'!$B:$B,'Annual Data'!$A348,'Quarterly Data'!Q:Q)</f>
        <v>#DIV/0!</v>
      </c>
      <c r="P348">
        <f>SUMIF('Quarterly Data'!$B:$B,'Annual Data'!$A348,'Quarterly Data'!R:R)</f>
        <v>0</v>
      </c>
      <c r="Q348">
        <f>SUMIF('Quarterly Data'!$B:$B,'Annual Data'!$A348,'Quarterly Data'!S:S)</f>
        <v>0</v>
      </c>
      <c r="R348" t="e">
        <f>AVERAGEIF('Quarterly Data'!$B:$B,'Annual Data'!$A348,'Quarterly Data'!T:T)</f>
        <v>#DIV/0!</v>
      </c>
      <c r="S348">
        <f>SUMIF('Quarterly Data'!$B:$B,'Annual Data'!$A348,'Quarterly Data'!U:U)</f>
        <v>0</v>
      </c>
      <c r="T348">
        <f>SUMIF('Quarterly Data'!$B:$B,'Annual Data'!$A348,'Quarterly Data'!V:V)</f>
        <v>0</v>
      </c>
      <c r="U348">
        <f>SUMIF('Quarterly Data'!$B:$B,'Annual Data'!$A348,'Quarterly Data'!W:W)</f>
        <v>0</v>
      </c>
      <c r="V348">
        <f>SUMIF('Quarterly Data'!$B:$B,'Annual Data'!$A348,'Quarterly Data'!X:X)</f>
        <v>0</v>
      </c>
      <c r="W348">
        <f>SUMIF('Quarterly Data'!$B:$B,'Annual Data'!$A348,'Quarterly Data'!Y:Y)</f>
        <v>0</v>
      </c>
      <c r="X348">
        <f>SUMIF('Quarterly Data'!$B:$B,'Annual Data'!$A348,'Quarterly Data'!Z:Z)</f>
        <v>0</v>
      </c>
      <c r="Y348">
        <f>SUMIF('Quarterly Data'!$B:$B,'Annual Data'!$A348,'Quarterly Data'!AA:AA)</f>
        <v>0</v>
      </c>
      <c r="Z348" t="e">
        <f>AVERAGEIF('Quarterly Data'!$B:$B,'Annual Data'!$A348,'Quarterly Data'!AB:AB)</f>
        <v>#DIV/0!</v>
      </c>
      <c r="AA348" t="e">
        <f>AVERAGEIF('Quarterly Data'!$B:$B,'Annual Data'!$A348,'Quarterly Data'!AC:AC)</f>
        <v>#DIV/0!</v>
      </c>
      <c r="AB348" t="e">
        <f>AVERAGEIF('Quarterly Data'!$B:$B,'Annual Data'!$A348,'Quarterly Data'!AD:AD)</f>
        <v>#DIV/0!</v>
      </c>
      <c r="AC348" t="e">
        <f>AVERAGEIF('Quarterly Data'!$B:$B,'Annual Data'!$A348,'Quarterly Data'!AE:AE)</f>
        <v>#DIV/0!</v>
      </c>
      <c r="AD348" t="e">
        <f>AVERAGEIF('Quarterly Data'!$B:$B,'Annual Data'!$A348,'Quarterly Data'!AF:AF)</f>
        <v>#DIV/0!</v>
      </c>
      <c r="AE348">
        <f>SUMIF('Quarterly Data'!$B:$B,'Annual Data'!$A348,'Quarterly Data'!AG:AG)</f>
        <v>0</v>
      </c>
    </row>
    <row r="349" spans="1:31" x14ac:dyDescent="0.25">
      <c r="A349">
        <v>2315</v>
      </c>
      <c r="B349">
        <f>SUMIF('Quarterly Data'!$B:$B,'Annual Data'!$A349,'Quarterly Data'!D:D)</f>
        <v>0</v>
      </c>
      <c r="C349" t="e">
        <f>AVERAGEIF('Quarterly Data'!$B:$B,'Annual Data'!$A349,'Quarterly Data'!E:E)</f>
        <v>#DIV/0!</v>
      </c>
      <c r="D349">
        <f>SUMIF('Quarterly Data'!$B:$B,'Annual Data'!$A349,'Quarterly Data'!F:F)</f>
        <v>0</v>
      </c>
      <c r="E349">
        <f>SUMIF('Quarterly Data'!$B:$B,'Annual Data'!$A349,'Quarterly Data'!G:G)</f>
        <v>0</v>
      </c>
      <c r="F349">
        <f>SUMIF('Quarterly Data'!$B:$B,'Annual Data'!$A349,'Quarterly Data'!H:H)</f>
        <v>0</v>
      </c>
      <c r="G349">
        <f>SUMIF('Quarterly Data'!$B:$B,'Annual Data'!$A349,'Quarterly Data'!I:I)</f>
        <v>0</v>
      </c>
      <c r="H349">
        <f>SUMIF('Quarterly Data'!$B:$B,'Annual Data'!$A349,'Quarterly Data'!J:J)</f>
        <v>0</v>
      </c>
      <c r="I349">
        <f>SUMIF('Quarterly Data'!$B:$B,'Annual Data'!$A349,'Quarterly Data'!K:K)</f>
        <v>0</v>
      </c>
      <c r="J349">
        <f>SUMIF('Quarterly Data'!$B:$B,'Annual Data'!$A349,'Quarterly Data'!L:L)</f>
        <v>0</v>
      </c>
      <c r="K349" t="e">
        <f>AVERAGEIF('Quarterly Data'!$B:$B,'Annual Data'!$A349,'Quarterly Data'!M:M)</f>
        <v>#DIV/0!</v>
      </c>
      <c r="L349" t="e">
        <f>AVERAGEIF('Quarterly Data'!$B:$B,'Annual Data'!$A349,'Quarterly Data'!N:N)</f>
        <v>#DIV/0!</v>
      </c>
      <c r="M349" t="e">
        <f>AVERAGEIF('Quarterly Data'!$B:$B,'Annual Data'!$A349,'Quarterly Data'!O:O)</f>
        <v>#DIV/0!</v>
      </c>
      <c r="N349" t="e">
        <f>AVERAGEIF('Quarterly Data'!$B:$B,'Annual Data'!$A349,'Quarterly Data'!P:P)</f>
        <v>#DIV/0!</v>
      </c>
      <c r="O349" t="e">
        <f>AVERAGEIF('Quarterly Data'!$B:$B,'Annual Data'!$A349,'Quarterly Data'!Q:Q)</f>
        <v>#DIV/0!</v>
      </c>
      <c r="P349">
        <f>SUMIF('Quarterly Data'!$B:$B,'Annual Data'!$A349,'Quarterly Data'!R:R)</f>
        <v>0</v>
      </c>
      <c r="Q349">
        <f>SUMIF('Quarterly Data'!$B:$B,'Annual Data'!$A349,'Quarterly Data'!S:S)</f>
        <v>0</v>
      </c>
      <c r="R349" t="e">
        <f>AVERAGEIF('Quarterly Data'!$B:$B,'Annual Data'!$A349,'Quarterly Data'!T:T)</f>
        <v>#DIV/0!</v>
      </c>
      <c r="S349">
        <f>SUMIF('Quarterly Data'!$B:$B,'Annual Data'!$A349,'Quarterly Data'!U:U)</f>
        <v>0</v>
      </c>
      <c r="T349">
        <f>SUMIF('Quarterly Data'!$B:$B,'Annual Data'!$A349,'Quarterly Data'!V:V)</f>
        <v>0</v>
      </c>
      <c r="U349">
        <f>SUMIF('Quarterly Data'!$B:$B,'Annual Data'!$A349,'Quarterly Data'!W:W)</f>
        <v>0</v>
      </c>
      <c r="V349">
        <f>SUMIF('Quarterly Data'!$B:$B,'Annual Data'!$A349,'Quarterly Data'!X:X)</f>
        <v>0</v>
      </c>
      <c r="W349">
        <f>SUMIF('Quarterly Data'!$B:$B,'Annual Data'!$A349,'Quarterly Data'!Y:Y)</f>
        <v>0</v>
      </c>
      <c r="X349">
        <f>SUMIF('Quarterly Data'!$B:$B,'Annual Data'!$A349,'Quarterly Data'!Z:Z)</f>
        <v>0</v>
      </c>
      <c r="Y349">
        <f>SUMIF('Quarterly Data'!$B:$B,'Annual Data'!$A349,'Quarterly Data'!AA:AA)</f>
        <v>0</v>
      </c>
      <c r="Z349" t="e">
        <f>AVERAGEIF('Quarterly Data'!$B:$B,'Annual Data'!$A349,'Quarterly Data'!AB:AB)</f>
        <v>#DIV/0!</v>
      </c>
      <c r="AA349" t="e">
        <f>AVERAGEIF('Quarterly Data'!$B:$B,'Annual Data'!$A349,'Quarterly Data'!AC:AC)</f>
        <v>#DIV/0!</v>
      </c>
      <c r="AB349" t="e">
        <f>AVERAGEIF('Quarterly Data'!$B:$B,'Annual Data'!$A349,'Quarterly Data'!AD:AD)</f>
        <v>#DIV/0!</v>
      </c>
      <c r="AC349" t="e">
        <f>AVERAGEIF('Quarterly Data'!$B:$B,'Annual Data'!$A349,'Quarterly Data'!AE:AE)</f>
        <v>#DIV/0!</v>
      </c>
      <c r="AD349" t="e">
        <f>AVERAGEIF('Quarterly Data'!$B:$B,'Annual Data'!$A349,'Quarterly Data'!AF:AF)</f>
        <v>#DIV/0!</v>
      </c>
      <c r="AE349">
        <f>SUMIF('Quarterly Data'!$B:$B,'Annual Data'!$A349,'Quarterly Data'!AG:AG)</f>
        <v>0</v>
      </c>
    </row>
    <row r="350" spans="1:31" x14ac:dyDescent="0.25">
      <c r="A350">
        <v>2316</v>
      </c>
      <c r="B350">
        <f>SUMIF('Quarterly Data'!$B:$B,'Annual Data'!$A350,'Quarterly Data'!D:D)</f>
        <v>0</v>
      </c>
      <c r="C350" t="e">
        <f>AVERAGEIF('Quarterly Data'!$B:$B,'Annual Data'!$A350,'Quarterly Data'!E:E)</f>
        <v>#DIV/0!</v>
      </c>
      <c r="D350">
        <f>SUMIF('Quarterly Data'!$B:$B,'Annual Data'!$A350,'Quarterly Data'!F:F)</f>
        <v>0</v>
      </c>
      <c r="E350">
        <f>SUMIF('Quarterly Data'!$B:$B,'Annual Data'!$A350,'Quarterly Data'!G:G)</f>
        <v>0</v>
      </c>
      <c r="F350">
        <f>SUMIF('Quarterly Data'!$B:$B,'Annual Data'!$A350,'Quarterly Data'!H:H)</f>
        <v>0</v>
      </c>
      <c r="G350">
        <f>SUMIF('Quarterly Data'!$B:$B,'Annual Data'!$A350,'Quarterly Data'!I:I)</f>
        <v>0</v>
      </c>
      <c r="H350">
        <f>SUMIF('Quarterly Data'!$B:$B,'Annual Data'!$A350,'Quarterly Data'!J:J)</f>
        <v>0</v>
      </c>
      <c r="I350">
        <f>SUMIF('Quarterly Data'!$B:$B,'Annual Data'!$A350,'Quarterly Data'!K:K)</f>
        <v>0</v>
      </c>
      <c r="J350">
        <f>SUMIF('Quarterly Data'!$B:$B,'Annual Data'!$A350,'Quarterly Data'!L:L)</f>
        <v>0</v>
      </c>
      <c r="K350" t="e">
        <f>AVERAGEIF('Quarterly Data'!$B:$B,'Annual Data'!$A350,'Quarterly Data'!M:M)</f>
        <v>#DIV/0!</v>
      </c>
      <c r="L350" t="e">
        <f>AVERAGEIF('Quarterly Data'!$B:$B,'Annual Data'!$A350,'Quarterly Data'!N:N)</f>
        <v>#DIV/0!</v>
      </c>
      <c r="M350" t="e">
        <f>AVERAGEIF('Quarterly Data'!$B:$B,'Annual Data'!$A350,'Quarterly Data'!O:O)</f>
        <v>#DIV/0!</v>
      </c>
      <c r="N350" t="e">
        <f>AVERAGEIF('Quarterly Data'!$B:$B,'Annual Data'!$A350,'Quarterly Data'!P:P)</f>
        <v>#DIV/0!</v>
      </c>
      <c r="O350" t="e">
        <f>AVERAGEIF('Quarterly Data'!$B:$B,'Annual Data'!$A350,'Quarterly Data'!Q:Q)</f>
        <v>#DIV/0!</v>
      </c>
      <c r="P350">
        <f>SUMIF('Quarterly Data'!$B:$B,'Annual Data'!$A350,'Quarterly Data'!R:R)</f>
        <v>0</v>
      </c>
      <c r="Q350">
        <f>SUMIF('Quarterly Data'!$B:$B,'Annual Data'!$A350,'Quarterly Data'!S:S)</f>
        <v>0</v>
      </c>
      <c r="R350" t="e">
        <f>AVERAGEIF('Quarterly Data'!$B:$B,'Annual Data'!$A350,'Quarterly Data'!T:T)</f>
        <v>#DIV/0!</v>
      </c>
      <c r="S350">
        <f>SUMIF('Quarterly Data'!$B:$B,'Annual Data'!$A350,'Quarterly Data'!U:U)</f>
        <v>0</v>
      </c>
      <c r="T350">
        <f>SUMIF('Quarterly Data'!$B:$B,'Annual Data'!$A350,'Quarterly Data'!V:V)</f>
        <v>0</v>
      </c>
      <c r="U350">
        <f>SUMIF('Quarterly Data'!$B:$B,'Annual Data'!$A350,'Quarterly Data'!W:W)</f>
        <v>0</v>
      </c>
      <c r="V350">
        <f>SUMIF('Quarterly Data'!$B:$B,'Annual Data'!$A350,'Quarterly Data'!X:X)</f>
        <v>0</v>
      </c>
      <c r="W350">
        <f>SUMIF('Quarterly Data'!$B:$B,'Annual Data'!$A350,'Quarterly Data'!Y:Y)</f>
        <v>0</v>
      </c>
      <c r="X350">
        <f>SUMIF('Quarterly Data'!$B:$B,'Annual Data'!$A350,'Quarterly Data'!Z:Z)</f>
        <v>0</v>
      </c>
      <c r="Y350">
        <f>SUMIF('Quarterly Data'!$B:$B,'Annual Data'!$A350,'Quarterly Data'!AA:AA)</f>
        <v>0</v>
      </c>
      <c r="Z350" t="e">
        <f>AVERAGEIF('Quarterly Data'!$B:$B,'Annual Data'!$A350,'Quarterly Data'!AB:AB)</f>
        <v>#DIV/0!</v>
      </c>
      <c r="AA350" t="e">
        <f>AVERAGEIF('Quarterly Data'!$B:$B,'Annual Data'!$A350,'Quarterly Data'!AC:AC)</f>
        <v>#DIV/0!</v>
      </c>
      <c r="AB350" t="e">
        <f>AVERAGEIF('Quarterly Data'!$B:$B,'Annual Data'!$A350,'Quarterly Data'!AD:AD)</f>
        <v>#DIV/0!</v>
      </c>
      <c r="AC350" t="e">
        <f>AVERAGEIF('Quarterly Data'!$B:$B,'Annual Data'!$A350,'Quarterly Data'!AE:AE)</f>
        <v>#DIV/0!</v>
      </c>
      <c r="AD350" t="e">
        <f>AVERAGEIF('Quarterly Data'!$B:$B,'Annual Data'!$A350,'Quarterly Data'!AF:AF)</f>
        <v>#DIV/0!</v>
      </c>
      <c r="AE350">
        <f>SUMIF('Quarterly Data'!$B:$B,'Annual Data'!$A350,'Quarterly Data'!AG:AG)</f>
        <v>0</v>
      </c>
    </row>
    <row r="351" spans="1:31" x14ac:dyDescent="0.25">
      <c r="A351">
        <v>2317</v>
      </c>
      <c r="B351">
        <f>SUMIF('Quarterly Data'!$B:$B,'Annual Data'!$A351,'Quarterly Data'!D:D)</f>
        <v>0</v>
      </c>
      <c r="C351" t="e">
        <f>AVERAGEIF('Quarterly Data'!$B:$B,'Annual Data'!$A351,'Quarterly Data'!E:E)</f>
        <v>#DIV/0!</v>
      </c>
      <c r="D351">
        <f>SUMIF('Quarterly Data'!$B:$B,'Annual Data'!$A351,'Quarterly Data'!F:F)</f>
        <v>0</v>
      </c>
      <c r="E351">
        <f>SUMIF('Quarterly Data'!$B:$B,'Annual Data'!$A351,'Quarterly Data'!G:G)</f>
        <v>0</v>
      </c>
      <c r="F351">
        <f>SUMIF('Quarterly Data'!$B:$B,'Annual Data'!$A351,'Quarterly Data'!H:H)</f>
        <v>0</v>
      </c>
      <c r="G351">
        <f>SUMIF('Quarterly Data'!$B:$B,'Annual Data'!$A351,'Quarterly Data'!I:I)</f>
        <v>0</v>
      </c>
      <c r="H351">
        <f>SUMIF('Quarterly Data'!$B:$B,'Annual Data'!$A351,'Quarterly Data'!J:J)</f>
        <v>0</v>
      </c>
      <c r="I351">
        <f>SUMIF('Quarterly Data'!$B:$B,'Annual Data'!$A351,'Quarterly Data'!K:K)</f>
        <v>0</v>
      </c>
      <c r="J351">
        <f>SUMIF('Quarterly Data'!$B:$B,'Annual Data'!$A351,'Quarterly Data'!L:L)</f>
        <v>0</v>
      </c>
      <c r="K351" t="e">
        <f>AVERAGEIF('Quarterly Data'!$B:$B,'Annual Data'!$A351,'Quarterly Data'!M:M)</f>
        <v>#DIV/0!</v>
      </c>
      <c r="L351" t="e">
        <f>AVERAGEIF('Quarterly Data'!$B:$B,'Annual Data'!$A351,'Quarterly Data'!N:N)</f>
        <v>#DIV/0!</v>
      </c>
      <c r="M351" t="e">
        <f>AVERAGEIF('Quarterly Data'!$B:$B,'Annual Data'!$A351,'Quarterly Data'!O:O)</f>
        <v>#DIV/0!</v>
      </c>
      <c r="N351" t="e">
        <f>AVERAGEIF('Quarterly Data'!$B:$B,'Annual Data'!$A351,'Quarterly Data'!P:P)</f>
        <v>#DIV/0!</v>
      </c>
      <c r="O351" t="e">
        <f>AVERAGEIF('Quarterly Data'!$B:$B,'Annual Data'!$A351,'Quarterly Data'!Q:Q)</f>
        <v>#DIV/0!</v>
      </c>
      <c r="P351">
        <f>SUMIF('Quarterly Data'!$B:$B,'Annual Data'!$A351,'Quarterly Data'!R:R)</f>
        <v>0</v>
      </c>
      <c r="Q351">
        <f>SUMIF('Quarterly Data'!$B:$B,'Annual Data'!$A351,'Quarterly Data'!S:S)</f>
        <v>0</v>
      </c>
      <c r="R351" t="e">
        <f>AVERAGEIF('Quarterly Data'!$B:$B,'Annual Data'!$A351,'Quarterly Data'!T:T)</f>
        <v>#DIV/0!</v>
      </c>
      <c r="S351">
        <f>SUMIF('Quarterly Data'!$B:$B,'Annual Data'!$A351,'Quarterly Data'!U:U)</f>
        <v>0</v>
      </c>
      <c r="T351">
        <f>SUMIF('Quarterly Data'!$B:$B,'Annual Data'!$A351,'Quarterly Data'!V:V)</f>
        <v>0</v>
      </c>
      <c r="U351">
        <f>SUMIF('Quarterly Data'!$B:$B,'Annual Data'!$A351,'Quarterly Data'!W:W)</f>
        <v>0</v>
      </c>
      <c r="V351">
        <f>SUMIF('Quarterly Data'!$B:$B,'Annual Data'!$A351,'Quarterly Data'!X:X)</f>
        <v>0</v>
      </c>
      <c r="W351">
        <f>SUMIF('Quarterly Data'!$B:$B,'Annual Data'!$A351,'Quarterly Data'!Y:Y)</f>
        <v>0</v>
      </c>
      <c r="X351">
        <f>SUMIF('Quarterly Data'!$B:$B,'Annual Data'!$A351,'Quarterly Data'!Z:Z)</f>
        <v>0</v>
      </c>
      <c r="Y351">
        <f>SUMIF('Quarterly Data'!$B:$B,'Annual Data'!$A351,'Quarterly Data'!AA:AA)</f>
        <v>0</v>
      </c>
      <c r="Z351" t="e">
        <f>AVERAGEIF('Quarterly Data'!$B:$B,'Annual Data'!$A351,'Quarterly Data'!AB:AB)</f>
        <v>#DIV/0!</v>
      </c>
      <c r="AA351" t="e">
        <f>AVERAGEIF('Quarterly Data'!$B:$B,'Annual Data'!$A351,'Quarterly Data'!AC:AC)</f>
        <v>#DIV/0!</v>
      </c>
      <c r="AB351" t="e">
        <f>AVERAGEIF('Quarterly Data'!$B:$B,'Annual Data'!$A351,'Quarterly Data'!AD:AD)</f>
        <v>#DIV/0!</v>
      </c>
      <c r="AC351" t="e">
        <f>AVERAGEIF('Quarterly Data'!$B:$B,'Annual Data'!$A351,'Quarterly Data'!AE:AE)</f>
        <v>#DIV/0!</v>
      </c>
      <c r="AD351" t="e">
        <f>AVERAGEIF('Quarterly Data'!$B:$B,'Annual Data'!$A351,'Quarterly Data'!AF:AF)</f>
        <v>#DIV/0!</v>
      </c>
      <c r="AE351">
        <f>SUMIF('Quarterly Data'!$B:$B,'Annual Data'!$A351,'Quarterly Data'!AG:AG)</f>
        <v>0</v>
      </c>
    </row>
    <row r="352" spans="1:31" x14ac:dyDescent="0.25">
      <c r="A352">
        <v>2318</v>
      </c>
      <c r="B352">
        <f>SUMIF('Quarterly Data'!$B:$B,'Annual Data'!$A352,'Quarterly Data'!D:D)</f>
        <v>0</v>
      </c>
      <c r="C352" t="e">
        <f>AVERAGEIF('Quarterly Data'!$B:$B,'Annual Data'!$A352,'Quarterly Data'!E:E)</f>
        <v>#DIV/0!</v>
      </c>
      <c r="D352">
        <f>SUMIF('Quarterly Data'!$B:$B,'Annual Data'!$A352,'Quarterly Data'!F:F)</f>
        <v>0</v>
      </c>
      <c r="E352">
        <f>SUMIF('Quarterly Data'!$B:$B,'Annual Data'!$A352,'Quarterly Data'!G:G)</f>
        <v>0</v>
      </c>
      <c r="F352">
        <f>SUMIF('Quarterly Data'!$B:$B,'Annual Data'!$A352,'Quarterly Data'!H:H)</f>
        <v>0</v>
      </c>
      <c r="G352">
        <f>SUMIF('Quarterly Data'!$B:$B,'Annual Data'!$A352,'Quarterly Data'!I:I)</f>
        <v>0</v>
      </c>
      <c r="H352">
        <f>SUMIF('Quarterly Data'!$B:$B,'Annual Data'!$A352,'Quarterly Data'!J:J)</f>
        <v>0</v>
      </c>
      <c r="I352">
        <f>SUMIF('Quarterly Data'!$B:$B,'Annual Data'!$A352,'Quarterly Data'!K:K)</f>
        <v>0</v>
      </c>
      <c r="J352">
        <f>SUMIF('Quarterly Data'!$B:$B,'Annual Data'!$A352,'Quarterly Data'!L:L)</f>
        <v>0</v>
      </c>
      <c r="K352" t="e">
        <f>AVERAGEIF('Quarterly Data'!$B:$B,'Annual Data'!$A352,'Quarterly Data'!M:M)</f>
        <v>#DIV/0!</v>
      </c>
      <c r="L352" t="e">
        <f>AVERAGEIF('Quarterly Data'!$B:$B,'Annual Data'!$A352,'Quarterly Data'!N:N)</f>
        <v>#DIV/0!</v>
      </c>
      <c r="M352" t="e">
        <f>AVERAGEIF('Quarterly Data'!$B:$B,'Annual Data'!$A352,'Quarterly Data'!O:O)</f>
        <v>#DIV/0!</v>
      </c>
      <c r="N352" t="e">
        <f>AVERAGEIF('Quarterly Data'!$B:$B,'Annual Data'!$A352,'Quarterly Data'!P:P)</f>
        <v>#DIV/0!</v>
      </c>
      <c r="O352" t="e">
        <f>AVERAGEIF('Quarterly Data'!$B:$B,'Annual Data'!$A352,'Quarterly Data'!Q:Q)</f>
        <v>#DIV/0!</v>
      </c>
      <c r="P352">
        <f>SUMIF('Quarterly Data'!$B:$B,'Annual Data'!$A352,'Quarterly Data'!R:R)</f>
        <v>0</v>
      </c>
      <c r="Q352">
        <f>SUMIF('Quarterly Data'!$B:$B,'Annual Data'!$A352,'Quarterly Data'!S:S)</f>
        <v>0</v>
      </c>
      <c r="R352" t="e">
        <f>AVERAGEIF('Quarterly Data'!$B:$B,'Annual Data'!$A352,'Quarterly Data'!T:T)</f>
        <v>#DIV/0!</v>
      </c>
      <c r="S352">
        <f>SUMIF('Quarterly Data'!$B:$B,'Annual Data'!$A352,'Quarterly Data'!U:U)</f>
        <v>0</v>
      </c>
      <c r="T352">
        <f>SUMIF('Quarterly Data'!$B:$B,'Annual Data'!$A352,'Quarterly Data'!V:V)</f>
        <v>0</v>
      </c>
      <c r="U352">
        <f>SUMIF('Quarterly Data'!$B:$B,'Annual Data'!$A352,'Quarterly Data'!W:W)</f>
        <v>0</v>
      </c>
      <c r="V352">
        <f>SUMIF('Quarterly Data'!$B:$B,'Annual Data'!$A352,'Quarterly Data'!X:X)</f>
        <v>0</v>
      </c>
      <c r="W352">
        <f>SUMIF('Quarterly Data'!$B:$B,'Annual Data'!$A352,'Quarterly Data'!Y:Y)</f>
        <v>0</v>
      </c>
      <c r="X352">
        <f>SUMIF('Quarterly Data'!$B:$B,'Annual Data'!$A352,'Quarterly Data'!Z:Z)</f>
        <v>0</v>
      </c>
      <c r="Y352">
        <f>SUMIF('Quarterly Data'!$B:$B,'Annual Data'!$A352,'Quarterly Data'!AA:AA)</f>
        <v>0</v>
      </c>
      <c r="Z352" t="e">
        <f>AVERAGEIF('Quarterly Data'!$B:$B,'Annual Data'!$A352,'Quarterly Data'!AB:AB)</f>
        <v>#DIV/0!</v>
      </c>
      <c r="AA352" t="e">
        <f>AVERAGEIF('Quarterly Data'!$B:$B,'Annual Data'!$A352,'Quarterly Data'!AC:AC)</f>
        <v>#DIV/0!</v>
      </c>
      <c r="AB352" t="e">
        <f>AVERAGEIF('Quarterly Data'!$B:$B,'Annual Data'!$A352,'Quarterly Data'!AD:AD)</f>
        <v>#DIV/0!</v>
      </c>
      <c r="AC352" t="e">
        <f>AVERAGEIF('Quarterly Data'!$B:$B,'Annual Data'!$A352,'Quarterly Data'!AE:AE)</f>
        <v>#DIV/0!</v>
      </c>
      <c r="AD352" t="e">
        <f>AVERAGEIF('Quarterly Data'!$B:$B,'Annual Data'!$A352,'Quarterly Data'!AF:AF)</f>
        <v>#DIV/0!</v>
      </c>
      <c r="AE352">
        <f>SUMIF('Quarterly Data'!$B:$B,'Annual Data'!$A352,'Quarterly Data'!AG:AG)</f>
        <v>0</v>
      </c>
    </row>
    <row r="353" spans="1:31" x14ac:dyDescent="0.25">
      <c r="A353">
        <v>2319</v>
      </c>
      <c r="B353">
        <f>SUMIF('Quarterly Data'!$B:$B,'Annual Data'!$A353,'Quarterly Data'!D:D)</f>
        <v>0</v>
      </c>
      <c r="C353" t="e">
        <f>AVERAGEIF('Quarterly Data'!$B:$B,'Annual Data'!$A353,'Quarterly Data'!E:E)</f>
        <v>#DIV/0!</v>
      </c>
      <c r="D353">
        <f>SUMIF('Quarterly Data'!$B:$B,'Annual Data'!$A353,'Quarterly Data'!F:F)</f>
        <v>0</v>
      </c>
      <c r="E353">
        <f>SUMIF('Quarterly Data'!$B:$B,'Annual Data'!$A353,'Quarterly Data'!G:G)</f>
        <v>0</v>
      </c>
      <c r="F353">
        <f>SUMIF('Quarterly Data'!$B:$B,'Annual Data'!$A353,'Quarterly Data'!H:H)</f>
        <v>0</v>
      </c>
      <c r="G353">
        <f>SUMIF('Quarterly Data'!$B:$B,'Annual Data'!$A353,'Quarterly Data'!I:I)</f>
        <v>0</v>
      </c>
      <c r="H353">
        <f>SUMIF('Quarterly Data'!$B:$B,'Annual Data'!$A353,'Quarterly Data'!J:J)</f>
        <v>0</v>
      </c>
      <c r="I353">
        <f>SUMIF('Quarterly Data'!$B:$B,'Annual Data'!$A353,'Quarterly Data'!K:K)</f>
        <v>0</v>
      </c>
      <c r="J353">
        <f>SUMIF('Quarterly Data'!$B:$B,'Annual Data'!$A353,'Quarterly Data'!L:L)</f>
        <v>0</v>
      </c>
      <c r="K353" t="e">
        <f>AVERAGEIF('Quarterly Data'!$B:$B,'Annual Data'!$A353,'Quarterly Data'!M:M)</f>
        <v>#DIV/0!</v>
      </c>
      <c r="L353" t="e">
        <f>AVERAGEIF('Quarterly Data'!$B:$B,'Annual Data'!$A353,'Quarterly Data'!N:N)</f>
        <v>#DIV/0!</v>
      </c>
      <c r="M353" t="e">
        <f>AVERAGEIF('Quarterly Data'!$B:$B,'Annual Data'!$A353,'Quarterly Data'!O:O)</f>
        <v>#DIV/0!</v>
      </c>
      <c r="N353" t="e">
        <f>AVERAGEIF('Quarterly Data'!$B:$B,'Annual Data'!$A353,'Quarterly Data'!P:P)</f>
        <v>#DIV/0!</v>
      </c>
      <c r="O353" t="e">
        <f>AVERAGEIF('Quarterly Data'!$B:$B,'Annual Data'!$A353,'Quarterly Data'!Q:Q)</f>
        <v>#DIV/0!</v>
      </c>
      <c r="P353">
        <f>SUMIF('Quarterly Data'!$B:$B,'Annual Data'!$A353,'Quarterly Data'!R:R)</f>
        <v>0</v>
      </c>
      <c r="Q353">
        <f>SUMIF('Quarterly Data'!$B:$B,'Annual Data'!$A353,'Quarterly Data'!S:S)</f>
        <v>0</v>
      </c>
      <c r="R353" t="e">
        <f>AVERAGEIF('Quarterly Data'!$B:$B,'Annual Data'!$A353,'Quarterly Data'!T:T)</f>
        <v>#DIV/0!</v>
      </c>
      <c r="S353">
        <f>SUMIF('Quarterly Data'!$B:$B,'Annual Data'!$A353,'Quarterly Data'!U:U)</f>
        <v>0</v>
      </c>
      <c r="T353">
        <f>SUMIF('Quarterly Data'!$B:$B,'Annual Data'!$A353,'Quarterly Data'!V:V)</f>
        <v>0</v>
      </c>
      <c r="U353">
        <f>SUMIF('Quarterly Data'!$B:$B,'Annual Data'!$A353,'Quarterly Data'!W:W)</f>
        <v>0</v>
      </c>
      <c r="V353">
        <f>SUMIF('Quarterly Data'!$B:$B,'Annual Data'!$A353,'Quarterly Data'!X:X)</f>
        <v>0</v>
      </c>
      <c r="W353">
        <f>SUMIF('Quarterly Data'!$B:$B,'Annual Data'!$A353,'Quarterly Data'!Y:Y)</f>
        <v>0</v>
      </c>
      <c r="X353">
        <f>SUMIF('Quarterly Data'!$B:$B,'Annual Data'!$A353,'Quarterly Data'!Z:Z)</f>
        <v>0</v>
      </c>
      <c r="Y353">
        <f>SUMIF('Quarterly Data'!$B:$B,'Annual Data'!$A353,'Quarterly Data'!AA:AA)</f>
        <v>0</v>
      </c>
      <c r="Z353" t="e">
        <f>AVERAGEIF('Quarterly Data'!$B:$B,'Annual Data'!$A353,'Quarterly Data'!AB:AB)</f>
        <v>#DIV/0!</v>
      </c>
      <c r="AA353" t="e">
        <f>AVERAGEIF('Quarterly Data'!$B:$B,'Annual Data'!$A353,'Quarterly Data'!AC:AC)</f>
        <v>#DIV/0!</v>
      </c>
      <c r="AB353" t="e">
        <f>AVERAGEIF('Quarterly Data'!$B:$B,'Annual Data'!$A353,'Quarterly Data'!AD:AD)</f>
        <v>#DIV/0!</v>
      </c>
      <c r="AC353" t="e">
        <f>AVERAGEIF('Quarterly Data'!$B:$B,'Annual Data'!$A353,'Quarterly Data'!AE:AE)</f>
        <v>#DIV/0!</v>
      </c>
      <c r="AD353" t="e">
        <f>AVERAGEIF('Quarterly Data'!$B:$B,'Annual Data'!$A353,'Quarterly Data'!AF:AF)</f>
        <v>#DIV/0!</v>
      </c>
      <c r="AE353">
        <f>SUMIF('Quarterly Data'!$B:$B,'Annual Data'!$A353,'Quarterly Data'!AG:AG)</f>
        <v>0</v>
      </c>
    </row>
    <row r="354" spans="1:31" x14ac:dyDescent="0.25">
      <c r="A354">
        <v>2320</v>
      </c>
      <c r="B354">
        <f>SUMIF('Quarterly Data'!$B:$B,'Annual Data'!$A354,'Quarterly Data'!D:D)</f>
        <v>0</v>
      </c>
      <c r="C354" t="e">
        <f>AVERAGEIF('Quarterly Data'!$B:$B,'Annual Data'!$A354,'Quarterly Data'!E:E)</f>
        <v>#DIV/0!</v>
      </c>
      <c r="D354">
        <f>SUMIF('Quarterly Data'!$B:$B,'Annual Data'!$A354,'Quarterly Data'!F:F)</f>
        <v>0</v>
      </c>
      <c r="E354">
        <f>SUMIF('Quarterly Data'!$B:$B,'Annual Data'!$A354,'Quarterly Data'!G:G)</f>
        <v>0</v>
      </c>
      <c r="F354">
        <f>SUMIF('Quarterly Data'!$B:$B,'Annual Data'!$A354,'Quarterly Data'!H:H)</f>
        <v>0</v>
      </c>
      <c r="G354">
        <f>SUMIF('Quarterly Data'!$B:$B,'Annual Data'!$A354,'Quarterly Data'!I:I)</f>
        <v>0</v>
      </c>
      <c r="H354">
        <f>SUMIF('Quarterly Data'!$B:$B,'Annual Data'!$A354,'Quarterly Data'!J:J)</f>
        <v>0</v>
      </c>
      <c r="I354">
        <f>SUMIF('Quarterly Data'!$B:$B,'Annual Data'!$A354,'Quarterly Data'!K:K)</f>
        <v>0</v>
      </c>
      <c r="J354">
        <f>SUMIF('Quarterly Data'!$B:$B,'Annual Data'!$A354,'Quarterly Data'!L:L)</f>
        <v>0</v>
      </c>
      <c r="K354" t="e">
        <f>AVERAGEIF('Quarterly Data'!$B:$B,'Annual Data'!$A354,'Quarterly Data'!M:M)</f>
        <v>#DIV/0!</v>
      </c>
      <c r="L354" t="e">
        <f>AVERAGEIF('Quarterly Data'!$B:$B,'Annual Data'!$A354,'Quarterly Data'!N:N)</f>
        <v>#DIV/0!</v>
      </c>
      <c r="M354" t="e">
        <f>AVERAGEIF('Quarterly Data'!$B:$B,'Annual Data'!$A354,'Quarterly Data'!O:O)</f>
        <v>#DIV/0!</v>
      </c>
      <c r="N354" t="e">
        <f>AVERAGEIF('Quarterly Data'!$B:$B,'Annual Data'!$A354,'Quarterly Data'!P:P)</f>
        <v>#DIV/0!</v>
      </c>
      <c r="O354" t="e">
        <f>AVERAGEIF('Quarterly Data'!$B:$B,'Annual Data'!$A354,'Quarterly Data'!Q:Q)</f>
        <v>#DIV/0!</v>
      </c>
      <c r="P354">
        <f>SUMIF('Quarterly Data'!$B:$B,'Annual Data'!$A354,'Quarterly Data'!R:R)</f>
        <v>0</v>
      </c>
      <c r="Q354">
        <f>SUMIF('Quarterly Data'!$B:$B,'Annual Data'!$A354,'Quarterly Data'!S:S)</f>
        <v>0</v>
      </c>
      <c r="R354" t="e">
        <f>AVERAGEIF('Quarterly Data'!$B:$B,'Annual Data'!$A354,'Quarterly Data'!T:T)</f>
        <v>#DIV/0!</v>
      </c>
      <c r="S354">
        <f>SUMIF('Quarterly Data'!$B:$B,'Annual Data'!$A354,'Quarterly Data'!U:U)</f>
        <v>0</v>
      </c>
      <c r="T354">
        <f>SUMIF('Quarterly Data'!$B:$B,'Annual Data'!$A354,'Quarterly Data'!V:V)</f>
        <v>0</v>
      </c>
      <c r="U354">
        <f>SUMIF('Quarterly Data'!$B:$B,'Annual Data'!$A354,'Quarterly Data'!W:W)</f>
        <v>0</v>
      </c>
      <c r="V354">
        <f>SUMIF('Quarterly Data'!$B:$B,'Annual Data'!$A354,'Quarterly Data'!X:X)</f>
        <v>0</v>
      </c>
      <c r="W354">
        <f>SUMIF('Quarterly Data'!$B:$B,'Annual Data'!$A354,'Quarterly Data'!Y:Y)</f>
        <v>0</v>
      </c>
      <c r="X354">
        <f>SUMIF('Quarterly Data'!$B:$B,'Annual Data'!$A354,'Quarterly Data'!Z:Z)</f>
        <v>0</v>
      </c>
      <c r="Y354">
        <f>SUMIF('Quarterly Data'!$B:$B,'Annual Data'!$A354,'Quarterly Data'!AA:AA)</f>
        <v>0</v>
      </c>
      <c r="Z354" t="e">
        <f>AVERAGEIF('Quarterly Data'!$B:$B,'Annual Data'!$A354,'Quarterly Data'!AB:AB)</f>
        <v>#DIV/0!</v>
      </c>
      <c r="AA354" t="e">
        <f>AVERAGEIF('Quarterly Data'!$B:$B,'Annual Data'!$A354,'Quarterly Data'!AC:AC)</f>
        <v>#DIV/0!</v>
      </c>
      <c r="AB354" t="e">
        <f>AVERAGEIF('Quarterly Data'!$B:$B,'Annual Data'!$A354,'Quarterly Data'!AD:AD)</f>
        <v>#DIV/0!</v>
      </c>
      <c r="AC354" t="e">
        <f>AVERAGEIF('Quarterly Data'!$B:$B,'Annual Data'!$A354,'Quarterly Data'!AE:AE)</f>
        <v>#DIV/0!</v>
      </c>
      <c r="AD354" t="e">
        <f>AVERAGEIF('Quarterly Data'!$B:$B,'Annual Data'!$A354,'Quarterly Data'!AF:AF)</f>
        <v>#DIV/0!</v>
      </c>
      <c r="AE354">
        <f>SUMIF('Quarterly Data'!$B:$B,'Annual Data'!$A354,'Quarterly Data'!AG:AG)</f>
        <v>0</v>
      </c>
    </row>
    <row r="355" spans="1:31" x14ac:dyDescent="0.25">
      <c r="A355">
        <v>2321</v>
      </c>
      <c r="B355">
        <f>SUMIF('Quarterly Data'!$B:$B,'Annual Data'!$A355,'Quarterly Data'!D:D)</f>
        <v>0</v>
      </c>
      <c r="C355" t="e">
        <f>AVERAGEIF('Quarterly Data'!$B:$B,'Annual Data'!$A355,'Quarterly Data'!E:E)</f>
        <v>#DIV/0!</v>
      </c>
      <c r="D355">
        <f>SUMIF('Quarterly Data'!$B:$B,'Annual Data'!$A355,'Quarterly Data'!F:F)</f>
        <v>0</v>
      </c>
      <c r="E355">
        <f>SUMIF('Quarterly Data'!$B:$B,'Annual Data'!$A355,'Quarterly Data'!G:G)</f>
        <v>0</v>
      </c>
      <c r="F355">
        <f>SUMIF('Quarterly Data'!$B:$B,'Annual Data'!$A355,'Quarterly Data'!H:H)</f>
        <v>0</v>
      </c>
      <c r="G355">
        <f>SUMIF('Quarterly Data'!$B:$B,'Annual Data'!$A355,'Quarterly Data'!I:I)</f>
        <v>0</v>
      </c>
      <c r="H355">
        <f>SUMIF('Quarterly Data'!$B:$B,'Annual Data'!$A355,'Quarterly Data'!J:J)</f>
        <v>0</v>
      </c>
      <c r="I355">
        <f>SUMIF('Quarterly Data'!$B:$B,'Annual Data'!$A355,'Quarterly Data'!K:K)</f>
        <v>0</v>
      </c>
      <c r="J355">
        <f>SUMIF('Quarterly Data'!$B:$B,'Annual Data'!$A355,'Quarterly Data'!L:L)</f>
        <v>0</v>
      </c>
      <c r="K355" t="e">
        <f>AVERAGEIF('Quarterly Data'!$B:$B,'Annual Data'!$A355,'Quarterly Data'!M:M)</f>
        <v>#DIV/0!</v>
      </c>
      <c r="L355" t="e">
        <f>AVERAGEIF('Quarterly Data'!$B:$B,'Annual Data'!$A355,'Quarterly Data'!N:N)</f>
        <v>#DIV/0!</v>
      </c>
      <c r="M355" t="e">
        <f>AVERAGEIF('Quarterly Data'!$B:$B,'Annual Data'!$A355,'Quarterly Data'!O:O)</f>
        <v>#DIV/0!</v>
      </c>
      <c r="N355" t="e">
        <f>AVERAGEIF('Quarterly Data'!$B:$B,'Annual Data'!$A355,'Quarterly Data'!P:P)</f>
        <v>#DIV/0!</v>
      </c>
      <c r="O355" t="e">
        <f>AVERAGEIF('Quarterly Data'!$B:$B,'Annual Data'!$A355,'Quarterly Data'!Q:Q)</f>
        <v>#DIV/0!</v>
      </c>
      <c r="P355">
        <f>SUMIF('Quarterly Data'!$B:$B,'Annual Data'!$A355,'Quarterly Data'!R:R)</f>
        <v>0</v>
      </c>
      <c r="Q355">
        <f>SUMIF('Quarterly Data'!$B:$B,'Annual Data'!$A355,'Quarterly Data'!S:S)</f>
        <v>0</v>
      </c>
      <c r="R355" t="e">
        <f>AVERAGEIF('Quarterly Data'!$B:$B,'Annual Data'!$A355,'Quarterly Data'!T:T)</f>
        <v>#DIV/0!</v>
      </c>
      <c r="S355">
        <f>SUMIF('Quarterly Data'!$B:$B,'Annual Data'!$A355,'Quarterly Data'!U:U)</f>
        <v>0</v>
      </c>
      <c r="T355">
        <f>SUMIF('Quarterly Data'!$B:$B,'Annual Data'!$A355,'Quarterly Data'!V:V)</f>
        <v>0</v>
      </c>
      <c r="U355">
        <f>SUMIF('Quarterly Data'!$B:$B,'Annual Data'!$A355,'Quarterly Data'!W:W)</f>
        <v>0</v>
      </c>
      <c r="V355">
        <f>SUMIF('Quarterly Data'!$B:$B,'Annual Data'!$A355,'Quarterly Data'!X:X)</f>
        <v>0</v>
      </c>
      <c r="W355">
        <f>SUMIF('Quarterly Data'!$B:$B,'Annual Data'!$A355,'Quarterly Data'!Y:Y)</f>
        <v>0</v>
      </c>
      <c r="X355">
        <f>SUMIF('Quarterly Data'!$B:$B,'Annual Data'!$A355,'Quarterly Data'!Z:Z)</f>
        <v>0</v>
      </c>
      <c r="Y355">
        <f>SUMIF('Quarterly Data'!$B:$B,'Annual Data'!$A355,'Quarterly Data'!AA:AA)</f>
        <v>0</v>
      </c>
      <c r="Z355" t="e">
        <f>AVERAGEIF('Quarterly Data'!$B:$B,'Annual Data'!$A355,'Quarterly Data'!AB:AB)</f>
        <v>#DIV/0!</v>
      </c>
      <c r="AA355" t="e">
        <f>AVERAGEIF('Quarterly Data'!$B:$B,'Annual Data'!$A355,'Quarterly Data'!AC:AC)</f>
        <v>#DIV/0!</v>
      </c>
      <c r="AB355" t="e">
        <f>AVERAGEIF('Quarterly Data'!$B:$B,'Annual Data'!$A355,'Quarterly Data'!AD:AD)</f>
        <v>#DIV/0!</v>
      </c>
      <c r="AC355" t="e">
        <f>AVERAGEIF('Quarterly Data'!$B:$B,'Annual Data'!$A355,'Quarterly Data'!AE:AE)</f>
        <v>#DIV/0!</v>
      </c>
      <c r="AD355" t="e">
        <f>AVERAGEIF('Quarterly Data'!$B:$B,'Annual Data'!$A355,'Quarterly Data'!AF:AF)</f>
        <v>#DIV/0!</v>
      </c>
      <c r="AE355">
        <f>SUMIF('Quarterly Data'!$B:$B,'Annual Data'!$A355,'Quarterly Data'!AG:AG)</f>
        <v>0</v>
      </c>
    </row>
    <row r="356" spans="1:31" x14ac:dyDescent="0.25">
      <c r="A356">
        <v>2322</v>
      </c>
      <c r="B356">
        <f>SUMIF('Quarterly Data'!$B:$B,'Annual Data'!$A356,'Quarterly Data'!D:D)</f>
        <v>0</v>
      </c>
      <c r="C356" t="e">
        <f>AVERAGEIF('Quarterly Data'!$B:$B,'Annual Data'!$A356,'Quarterly Data'!E:E)</f>
        <v>#DIV/0!</v>
      </c>
      <c r="D356">
        <f>SUMIF('Quarterly Data'!$B:$B,'Annual Data'!$A356,'Quarterly Data'!F:F)</f>
        <v>0</v>
      </c>
      <c r="E356">
        <f>SUMIF('Quarterly Data'!$B:$B,'Annual Data'!$A356,'Quarterly Data'!G:G)</f>
        <v>0</v>
      </c>
      <c r="F356">
        <f>SUMIF('Quarterly Data'!$B:$B,'Annual Data'!$A356,'Quarterly Data'!H:H)</f>
        <v>0</v>
      </c>
      <c r="G356">
        <f>SUMIF('Quarterly Data'!$B:$B,'Annual Data'!$A356,'Quarterly Data'!I:I)</f>
        <v>0</v>
      </c>
      <c r="H356">
        <f>SUMIF('Quarterly Data'!$B:$B,'Annual Data'!$A356,'Quarterly Data'!J:J)</f>
        <v>0</v>
      </c>
      <c r="I356">
        <f>SUMIF('Quarterly Data'!$B:$B,'Annual Data'!$A356,'Quarterly Data'!K:K)</f>
        <v>0</v>
      </c>
      <c r="J356">
        <f>SUMIF('Quarterly Data'!$B:$B,'Annual Data'!$A356,'Quarterly Data'!L:L)</f>
        <v>0</v>
      </c>
      <c r="K356" t="e">
        <f>AVERAGEIF('Quarterly Data'!$B:$B,'Annual Data'!$A356,'Quarterly Data'!M:M)</f>
        <v>#DIV/0!</v>
      </c>
      <c r="L356" t="e">
        <f>AVERAGEIF('Quarterly Data'!$B:$B,'Annual Data'!$A356,'Quarterly Data'!N:N)</f>
        <v>#DIV/0!</v>
      </c>
      <c r="M356" t="e">
        <f>AVERAGEIF('Quarterly Data'!$B:$B,'Annual Data'!$A356,'Quarterly Data'!O:O)</f>
        <v>#DIV/0!</v>
      </c>
      <c r="N356" t="e">
        <f>AVERAGEIF('Quarterly Data'!$B:$B,'Annual Data'!$A356,'Quarterly Data'!P:P)</f>
        <v>#DIV/0!</v>
      </c>
      <c r="O356" t="e">
        <f>AVERAGEIF('Quarterly Data'!$B:$B,'Annual Data'!$A356,'Quarterly Data'!Q:Q)</f>
        <v>#DIV/0!</v>
      </c>
      <c r="P356">
        <f>SUMIF('Quarterly Data'!$B:$B,'Annual Data'!$A356,'Quarterly Data'!R:R)</f>
        <v>0</v>
      </c>
      <c r="Q356">
        <f>SUMIF('Quarterly Data'!$B:$B,'Annual Data'!$A356,'Quarterly Data'!S:S)</f>
        <v>0</v>
      </c>
      <c r="R356" t="e">
        <f>AVERAGEIF('Quarterly Data'!$B:$B,'Annual Data'!$A356,'Quarterly Data'!T:T)</f>
        <v>#DIV/0!</v>
      </c>
      <c r="S356">
        <f>SUMIF('Quarterly Data'!$B:$B,'Annual Data'!$A356,'Quarterly Data'!U:U)</f>
        <v>0</v>
      </c>
      <c r="T356">
        <f>SUMIF('Quarterly Data'!$B:$B,'Annual Data'!$A356,'Quarterly Data'!V:V)</f>
        <v>0</v>
      </c>
      <c r="U356">
        <f>SUMIF('Quarterly Data'!$B:$B,'Annual Data'!$A356,'Quarterly Data'!W:W)</f>
        <v>0</v>
      </c>
      <c r="V356">
        <f>SUMIF('Quarterly Data'!$B:$B,'Annual Data'!$A356,'Quarterly Data'!X:X)</f>
        <v>0</v>
      </c>
      <c r="W356">
        <f>SUMIF('Quarterly Data'!$B:$B,'Annual Data'!$A356,'Quarterly Data'!Y:Y)</f>
        <v>0</v>
      </c>
      <c r="X356">
        <f>SUMIF('Quarterly Data'!$B:$B,'Annual Data'!$A356,'Quarterly Data'!Z:Z)</f>
        <v>0</v>
      </c>
      <c r="Y356">
        <f>SUMIF('Quarterly Data'!$B:$B,'Annual Data'!$A356,'Quarterly Data'!AA:AA)</f>
        <v>0</v>
      </c>
      <c r="Z356" t="e">
        <f>AVERAGEIF('Quarterly Data'!$B:$B,'Annual Data'!$A356,'Quarterly Data'!AB:AB)</f>
        <v>#DIV/0!</v>
      </c>
      <c r="AA356" t="e">
        <f>AVERAGEIF('Quarterly Data'!$B:$B,'Annual Data'!$A356,'Quarterly Data'!AC:AC)</f>
        <v>#DIV/0!</v>
      </c>
      <c r="AB356" t="e">
        <f>AVERAGEIF('Quarterly Data'!$B:$B,'Annual Data'!$A356,'Quarterly Data'!AD:AD)</f>
        <v>#DIV/0!</v>
      </c>
      <c r="AC356" t="e">
        <f>AVERAGEIF('Quarterly Data'!$B:$B,'Annual Data'!$A356,'Quarterly Data'!AE:AE)</f>
        <v>#DIV/0!</v>
      </c>
      <c r="AD356" t="e">
        <f>AVERAGEIF('Quarterly Data'!$B:$B,'Annual Data'!$A356,'Quarterly Data'!AF:AF)</f>
        <v>#DIV/0!</v>
      </c>
      <c r="AE356">
        <f>SUMIF('Quarterly Data'!$B:$B,'Annual Data'!$A356,'Quarterly Data'!AG:AG)</f>
        <v>0</v>
      </c>
    </row>
    <row r="357" spans="1:31" x14ac:dyDescent="0.25">
      <c r="A357">
        <v>2323</v>
      </c>
      <c r="B357">
        <f>SUMIF('Quarterly Data'!$B:$B,'Annual Data'!$A357,'Quarterly Data'!D:D)</f>
        <v>0</v>
      </c>
      <c r="C357" t="e">
        <f>AVERAGEIF('Quarterly Data'!$B:$B,'Annual Data'!$A357,'Quarterly Data'!E:E)</f>
        <v>#DIV/0!</v>
      </c>
      <c r="D357">
        <f>SUMIF('Quarterly Data'!$B:$B,'Annual Data'!$A357,'Quarterly Data'!F:F)</f>
        <v>0</v>
      </c>
      <c r="E357">
        <f>SUMIF('Quarterly Data'!$B:$B,'Annual Data'!$A357,'Quarterly Data'!G:G)</f>
        <v>0</v>
      </c>
      <c r="F357">
        <f>SUMIF('Quarterly Data'!$B:$B,'Annual Data'!$A357,'Quarterly Data'!H:H)</f>
        <v>0</v>
      </c>
      <c r="G357">
        <f>SUMIF('Quarterly Data'!$B:$B,'Annual Data'!$A357,'Quarterly Data'!I:I)</f>
        <v>0</v>
      </c>
      <c r="H357">
        <f>SUMIF('Quarterly Data'!$B:$B,'Annual Data'!$A357,'Quarterly Data'!J:J)</f>
        <v>0</v>
      </c>
      <c r="I357">
        <f>SUMIF('Quarterly Data'!$B:$B,'Annual Data'!$A357,'Quarterly Data'!K:K)</f>
        <v>0</v>
      </c>
      <c r="J357">
        <f>SUMIF('Quarterly Data'!$B:$B,'Annual Data'!$A357,'Quarterly Data'!L:L)</f>
        <v>0</v>
      </c>
      <c r="K357" t="e">
        <f>AVERAGEIF('Quarterly Data'!$B:$B,'Annual Data'!$A357,'Quarterly Data'!M:M)</f>
        <v>#DIV/0!</v>
      </c>
      <c r="L357" t="e">
        <f>AVERAGEIF('Quarterly Data'!$B:$B,'Annual Data'!$A357,'Quarterly Data'!N:N)</f>
        <v>#DIV/0!</v>
      </c>
      <c r="M357" t="e">
        <f>AVERAGEIF('Quarterly Data'!$B:$B,'Annual Data'!$A357,'Quarterly Data'!O:O)</f>
        <v>#DIV/0!</v>
      </c>
      <c r="N357" t="e">
        <f>AVERAGEIF('Quarterly Data'!$B:$B,'Annual Data'!$A357,'Quarterly Data'!P:P)</f>
        <v>#DIV/0!</v>
      </c>
      <c r="O357" t="e">
        <f>AVERAGEIF('Quarterly Data'!$B:$B,'Annual Data'!$A357,'Quarterly Data'!Q:Q)</f>
        <v>#DIV/0!</v>
      </c>
      <c r="P357">
        <f>SUMIF('Quarterly Data'!$B:$B,'Annual Data'!$A357,'Quarterly Data'!R:R)</f>
        <v>0</v>
      </c>
      <c r="Q357">
        <f>SUMIF('Quarterly Data'!$B:$B,'Annual Data'!$A357,'Quarterly Data'!S:S)</f>
        <v>0</v>
      </c>
      <c r="R357" t="e">
        <f>AVERAGEIF('Quarterly Data'!$B:$B,'Annual Data'!$A357,'Quarterly Data'!T:T)</f>
        <v>#DIV/0!</v>
      </c>
      <c r="S357">
        <f>SUMIF('Quarterly Data'!$B:$B,'Annual Data'!$A357,'Quarterly Data'!U:U)</f>
        <v>0</v>
      </c>
      <c r="T357">
        <f>SUMIF('Quarterly Data'!$B:$B,'Annual Data'!$A357,'Quarterly Data'!V:V)</f>
        <v>0</v>
      </c>
      <c r="U357">
        <f>SUMIF('Quarterly Data'!$B:$B,'Annual Data'!$A357,'Quarterly Data'!W:W)</f>
        <v>0</v>
      </c>
      <c r="V357">
        <f>SUMIF('Quarterly Data'!$B:$B,'Annual Data'!$A357,'Quarterly Data'!X:X)</f>
        <v>0</v>
      </c>
      <c r="W357">
        <f>SUMIF('Quarterly Data'!$B:$B,'Annual Data'!$A357,'Quarterly Data'!Y:Y)</f>
        <v>0</v>
      </c>
      <c r="X357">
        <f>SUMIF('Quarterly Data'!$B:$B,'Annual Data'!$A357,'Quarterly Data'!Z:Z)</f>
        <v>0</v>
      </c>
      <c r="Y357">
        <f>SUMIF('Quarterly Data'!$B:$B,'Annual Data'!$A357,'Quarterly Data'!AA:AA)</f>
        <v>0</v>
      </c>
      <c r="Z357" t="e">
        <f>AVERAGEIF('Quarterly Data'!$B:$B,'Annual Data'!$A357,'Quarterly Data'!AB:AB)</f>
        <v>#DIV/0!</v>
      </c>
      <c r="AA357" t="e">
        <f>AVERAGEIF('Quarterly Data'!$B:$B,'Annual Data'!$A357,'Quarterly Data'!AC:AC)</f>
        <v>#DIV/0!</v>
      </c>
      <c r="AB357" t="e">
        <f>AVERAGEIF('Quarterly Data'!$B:$B,'Annual Data'!$A357,'Quarterly Data'!AD:AD)</f>
        <v>#DIV/0!</v>
      </c>
      <c r="AC357" t="e">
        <f>AVERAGEIF('Quarterly Data'!$B:$B,'Annual Data'!$A357,'Quarterly Data'!AE:AE)</f>
        <v>#DIV/0!</v>
      </c>
      <c r="AD357" t="e">
        <f>AVERAGEIF('Quarterly Data'!$B:$B,'Annual Data'!$A357,'Quarterly Data'!AF:AF)</f>
        <v>#DIV/0!</v>
      </c>
      <c r="AE357">
        <f>SUMIF('Quarterly Data'!$B:$B,'Annual Data'!$A357,'Quarterly Data'!AG:AG)</f>
        <v>0</v>
      </c>
    </row>
    <row r="358" spans="1:31" x14ac:dyDescent="0.25">
      <c r="A358">
        <v>2324</v>
      </c>
      <c r="B358">
        <f>SUMIF('Quarterly Data'!$B:$B,'Annual Data'!$A358,'Quarterly Data'!D:D)</f>
        <v>0</v>
      </c>
      <c r="C358" t="e">
        <f>AVERAGEIF('Quarterly Data'!$B:$B,'Annual Data'!$A358,'Quarterly Data'!E:E)</f>
        <v>#DIV/0!</v>
      </c>
      <c r="D358">
        <f>SUMIF('Quarterly Data'!$B:$B,'Annual Data'!$A358,'Quarterly Data'!F:F)</f>
        <v>0</v>
      </c>
      <c r="E358">
        <f>SUMIF('Quarterly Data'!$B:$B,'Annual Data'!$A358,'Quarterly Data'!G:G)</f>
        <v>0</v>
      </c>
      <c r="F358">
        <f>SUMIF('Quarterly Data'!$B:$B,'Annual Data'!$A358,'Quarterly Data'!H:H)</f>
        <v>0</v>
      </c>
      <c r="G358">
        <f>SUMIF('Quarterly Data'!$B:$B,'Annual Data'!$A358,'Quarterly Data'!I:I)</f>
        <v>0</v>
      </c>
      <c r="H358">
        <f>SUMIF('Quarterly Data'!$B:$B,'Annual Data'!$A358,'Quarterly Data'!J:J)</f>
        <v>0</v>
      </c>
      <c r="I358">
        <f>SUMIF('Quarterly Data'!$B:$B,'Annual Data'!$A358,'Quarterly Data'!K:K)</f>
        <v>0</v>
      </c>
      <c r="J358">
        <f>SUMIF('Quarterly Data'!$B:$B,'Annual Data'!$A358,'Quarterly Data'!L:L)</f>
        <v>0</v>
      </c>
      <c r="K358" t="e">
        <f>AVERAGEIF('Quarterly Data'!$B:$B,'Annual Data'!$A358,'Quarterly Data'!M:M)</f>
        <v>#DIV/0!</v>
      </c>
      <c r="L358" t="e">
        <f>AVERAGEIF('Quarterly Data'!$B:$B,'Annual Data'!$A358,'Quarterly Data'!N:N)</f>
        <v>#DIV/0!</v>
      </c>
      <c r="M358" t="e">
        <f>AVERAGEIF('Quarterly Data'!$B:$B,'Annual Data'!$A358,'Quarterly Data'!O:O)</f>
        <v>#DIV/0!</v>
      </c>
      <c r="N358" t="e">
        <f>AVERAGEIF('Quarterly Data'!$B:$B,'Annual Data'!$A358,'Quarterly Data'!P:P)</f>
        <v>#DIV/0!</v>
      </c>
      <c r="O358" t="e">
        <f>AVERAGEIF('Quarterly Data'!$B:$B,'Annual Data'!$A358,'Quarterly Data'!Q:Q)</f>
        <v>#DIV/0!</v>
      </c>
      <c r="P358">
        <f>SUMIF('Quarterly Data'!$B:$B,'Annual Data'!$A358,'Quarterly Data'!R:R)</f>
        <v>0</v>
      </c>
      <c r="Q358">
        <f>SUMIF('Quarterly Data'!$B:$B,'Annual Data'!$A358,'Quarterly Data'!S:S)</f>
        <v>0</v>
      </c>
      <c r="R358" t="e">
        <f>AVERAGEIF('Quarterly Data'!$B:$B,'Annual Data'!$A358,'Quarterly Data'!T:T)</f>
        <v>#DIV/0!</v>
      </c>
      <c r="S358">
        <f>SUMIF('Quarterly Data'!$B:$B,'Annual Data'!$A358,'Quarterly Data'!U:U)</f>
        <v>0</v>
      </c>
      <c r="T358">
        <f>SUMIF('Quarterly Data'!$B:$B,'Annual Data'!$A358,'Quarterly Data'!V:V)</f>
        <v>0</v>
      </c>
      <c r="U358">
        <f>SUMIF('Quarterly Data'!$B:$B,'Annual Data'!$A358,'Quarterly Data'!W:W)</f>
        <v>0</v>
      </c>
      <c r="V358">
        <f>SUMIF('Quarterly Data'!$B:$B,'Annual Data'!$A358,'Quarterly Data'!X:X)</f>
        <v>0</v>
      </c>
      <c r="W358">
        <f>SUMIF('Quarterly Data'!$B:$B,'Annual Data'!$A358,'Quarterly Data'!Y:Y)</f>
        <v>0</v>
      </c>
      <c r="X358">
        <f>SUMIF('Quarterly Data'!$B:$B,'Annual Data'!$A358,'Quarterly Data'!Z:Z)</f>
        <v>0</v>
      </c>
      <c r="Y358">
        <f>SUMIF('Quarterly Data'!$B:$B,'Annual Data'!$A358,'Quarterly Data'!AA:AA)</f>
        <v>0</v>
      </c>
      <c r="Z358" t="e">
        <f>AVERAGEIF('Quarterly Data'!$B:$B,'Annual Data'!$A358,'Quarterly Data'!AB:AB)</f>
        <v>#DIV/0!</v>
      </c>
      <c r="AA358" t="e">
        <f>AVERAGEIF('Quarterly Data'!$B:$B,'Annual Data'!$A358,'Quarterly Data'!AC:AC)</f>
        <v>#DIV/0!</v>
      </c>
      <c r="AB358" t="e">
        <f>AVERAGEIF('Quarterly Data'!$B:$B,'Annual Data'!$A358,'Quarterly Data'!AD:AD)</f>
        <v>#DIV/0!</v>
      </c>
      <c r="AC358" t="e">
        <f>AVERAGEIF('Quarterly Data'!$B:$B,'Annual Data'!$A358,'Quarterly Data'!AE:AE)</f>
        <v>#DIV/0!</v>
      </c>
      <c r="AD358" t="e">
        <f>AVERAGEIF('Quarterly Data'!$B:$B,'Annual Data'!$A358,'Quarterly Data'!AF:AF)</f>
        <v>#DIV/0!</v>
      </c>
      <c r="AE358">
        <f>SUMIF('Quarterly Data'!$B:$B,'Annual Data'!$A358,'Quarterly Data'!AG:AG)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2FA4-3D02-4496-AEB2-7839F07747DA}">
  <dimension ref="A1:AV358"/>
  <sheetViews>
    <sheetView workbookViewId="0">
      <pane xSplit="3" ySplit="6" topLeftCell="AE189" activePane="bottomRight" state="frozen"/>
      <selection activeCell="AP9" sqref="AP9"/>
      <selection pane="topRight" activeCell="AP9" sqref="AP9"/>
      <selection pane="bottomLeft" activeCell="AP9" sqref="AP9"/>
      <selection pane="bottomRight" activeCell="AP9" sqref="AP9"/>
    </sheetView>
  </sheetViews>
  <sheetFormatPr defaultColWidth="9.140625" defaultRowHeight="15" x14ac:dyDescent="0.25"/>
  <cols>
    <col min="1" max="1" width="5" style="4" bestFit="1" customWidth="1"/>
    <col min="2" max="2" width="5" style="4" customWidth="1"/>
    <col min="3" max="3" width="9.140625" style="4"/>
    <col min="4" max="48" width="17.5703125" style="4" bestFit="1" customWidth="1"/>
    <col min="49" max="16384" width="9.140625" style="4"/>
  </cols>
  <sheetData>
    <row r="1" spans="1:48" x14ac:dyDescent="0.25">
      <c r="D1" s="5" t="s">
        <v>455</v>
      </c>
      <c r="E1" s="4" t="str">
        <f t="shared" ref="E1:R1" si="0">$D$1</f>
        <v>APR014A.db</v>
      </c>
      <c r="F1" s="4" t="str">
        <f t="shared" si="0"/>
        <v>APR014A.db</v>
      </c>
      <c r="G1" s="4" t="str">
        <f t="shared" si="0"/>
        <v>APR014A.db</v>
      </c>
      <c r="H1" s="4" t="str">
        <f t="shared" si="0"/>
        <v>APR014A.db</v>
      </c>
      <c r="I1" s="4" t="str">
        <f t="shared" si="0"/>
        <v>APR014A.db</v>
      </c>
      <c r="J1" s="4" t="str">
        <f t="shared" si="0"/>
        <v>APR014A.db</v>
      </c>
      <c r="K1" s="4" t="str">
        <f t="shared" si="0"/>
        <v>APR014A.db</v>
      </c>
      <c r="L1" s="4" t="str">
        <f t="shared" si="0"/>
        <v>APR014A.db</v>
      </c>
      <c r="M1" s="4" t="str">
        <f t="shared" si="0"/>
        <v>APR014A.db</v>
      </c>
      <c r="N1" s="4" t="str">
        <f t="shared" si="0"/>
        <v>APR014A.db</v>
      </c>
      <c r="O1" s="4" t="str">
        <f t="shared" si="0"/>
        <v>APR014A.db</v>
      </c>
      <c r="P1" s="4" t="str">
        <f t="shared" si="0"/>
        <v>APR014A.db</v>
      </c>
      <c r="Q1" s="4" t="str">
        <f t="shared" si="0"/>
        <v>APR014A.db</v>
      </c>
      <c r="R1" s="4" t="str">
        <f t="shared" si="0"/>
        <v>APR014A.db</v>
      </c>
      <c r="S1" s="4" t="s">
        <v>526</v>
      </c>
      <c r="T1" s="4" t="str">
        <f t="shared" ref="T1:AG1" si="1">$S$1</f>
        <v>MAR010I.db</v>
      </c>
      <c r="U1" s="4" t="str">
        <f t="shared" si="1"/>
        <v>MAR010I.db</v>
      </c>
      <c r="V1" s="4" t="str">
        <f t="shared" si="1"/>
        <v>MAR010I.db</v>
      </c>
      <c r="W1" s="4" t="str">
        <f t="shared" si="1"/>
        <v>MAR010I.db</v>
      </c>
      <c r="X1" s="4" t="str">
        <f t="shared" si="1"/>
        <v>MAR010I.db</v>
      </c>
      <c r="Y1" s="4" t="str">
        <f t="shared" si="1"/>
        <v>MAR010I.db</v>
      </c>
      <c r="Z1" s="4" t="str">
        <f t="shared" si="1"/>
        <v>MAR010I.db</v>
      </c>
      <c r="AA1" s="4" t="str">
        <f t="shared" si="1"/>
        <v>MAR010I.db</v>
      </c>
      <c r="AB1" s="4" t="str">
        <f t="shared" si="1"/>
        <v>MAR010I.db</v>
      </c>
      <c r="AC1" s="4" t="str">
        <f t="shared" si="1"/>
        <v>MAR010I.db</v>
      </c>
      <c r="AD1" s="4" t="str">
        <f t="shared" si="1"/>
        <v>MAR010I.db</v>
      </c>
      <c r="AE1" s="4" t="str">
        <f t="shared" si="1"/>
        <v>MAR010I.db</v>
      </c>
      <c r="AF1" s="4" t="str">
        <f t="shared" si="1"/>
        <v>MAR010I.db</v>
      </c>
      <c r="AG1" s="4" t="str">
        <f t="shared" si="1"/>
        <v>MAR010I.db</v>
      </c>
      <c r="AH1" s="4" t="s">
        <v>528</v>
      </c>
      <c r="AI1" s="4" t="str">
        <f>$AH$1</f>
        <v>JAN010B.db</v>
      </c>
      <c r="AJ1" s="4" t="str">
        <f t="shared" ref="AJ1:AV1" si="2">$AH$1</f>
        <v>JAN010B.db</v>
      </c>
      <c r="AK1" s="4" t="str">
        <f t="shared" si="2"/>
        <v>JAN010B.db</v>
      </c>
      <c r="AL1" s="4" t="str">
        <f t="shared" si="2"/>
        <v>JAN010B.db</v>
      </c>
      <c r="AM1" s="4" t="str">
        <f t="shared" si="2"/>
        <v>JAN010B.db</v>
      </c>
      <c r="AN1" s="4" t="str">
        <f t="shared" si="2"/>
        <v>JAN010B.db</v>
      </c>
      <c r="AO1" s="4" t="str">
        <f t="shared" si="2"/>
        <v>JAN010B.db</v>
      </c>
      <c r="AP1" s="4" t="str">
        <f t="shared" si="2"/>
        <v>JAN010B.db</v>
      </c>
      <c r="AQ1" s="4" t="str">
        <f t="shared" si="2"/>
        <v>JAN010B.db</v>
      </c>
      <c r="AR1" s="4" t="str">
        <f t="shared" si="2"/>
        <v>JAN010B.db</v>
      </c>
      <c r="AS1" s="4" t="str">
        <f t="shared" si="2"/>
        <v>JAN010B.db</v>
      </c>
      <c r="AT1" s="4" t="str">
        <f t="shared" si="2"/>
        <v>JAN010B.db</v>
      </c>
      <c r="AU1" s="4" t="str">
        <f t="shared" si="2"/>
        <v>JAN010B.db</v>
      </c>
      <c r="AV1" s="4" t="str">
        <f t="shared" si="2"/>
        <v>JAN010B.db</v>
      </c>
    </row>
    <row r="2" spans="1:48" x14ac:dyDescent="0.25">
      <c r="D2" s="4" t="s">
        <v>441</v>
      </c>
      <c r="E2" s="4" t="s">
        <v>441</v>
      </c>
      <c r="F2" s="4" t="s">
        <v>441</v>
      </c>
      <c r="G2" s="4" t="s">
        <v>441</v>
      </c>
      <c r="H2" s="4" t="s">
        <v>441</v>
      </c>
      <c r="I2" s="4" t="s">
        <v>441</v>
      </c>
      <c r="J2" s="4" t="s">
        <v>441</v>
      </c>
      <c r="K2" s="4" t="s">
        <v>441</v>
      </c>
      <c r="L2" s="4" t="s">
        <v>441</v>
      </c>
      <c r="M2" s="4" t="s">
        <v>441</v>
      </c>
      <c r="N2" s="4" t="s">
        <v>441</v>
      </c>
      <c r="O2" s="4" t="s">
        <v>441</v>
      </c>
      <c r="P2" s="4" t="s">
        <v>441</v>
      </c>
      <c r="Q2" s="4" t="s">
        <v>441</v>
      </c>
      <c r="R2" s="4" t="s">
        <v>441</v>
      </c>
      <c r="S2" s="4" t="s">
        <v>441</v>
      </c>
      <c r="T2" s="4" t="s">
        <v>441</v>
      </c>
      <c r="U2" s="4" t="s">
        <v>441</v>
      </c>
      <c r="V2" s="4" t="s">
        <v>441</v>
      </c>
      <c r="W2" s="4" t="s">
        <v>441</v>
      </c>
      <c r="X2" s="4" t="s">
        <v>441</v>
      </c>
      <c r="Y2" s="4" t="s">
        <v>441</v>
      </c>
      <c r="Z2" s="4" t="s">
        <v>441</v>
      </c>
      <c r="AA2" s="4" t="s">
        <v>441</v>
      </c>
      <c r="AB2" s="4" t="s">
        <v>441</v>
      </c>
      <c r="AC2" s="4" t="s">
        <v>441</v>
      </c>
      <c r="AD2" s="4" t="s">
        <v>441</v>
      </c>
      <c r="AE2" s="4" t="s">
        <v>441</v>
      </c>
      <c r="AF2" s="4" t="s">
        <v>441</v>
      </c>
      <c r="AG2" s="4" t="s">
        <v>441</v>
      </c>
      <c r="AH2" s="4" t="s">
        <v>441</v>
      </c>
      <c r="AI2" s="4" t="s">
        <v>441</v>
      </c>
      <c r="AJ2" s="4" t="s">
        <v>441</v>
      </c>
      <c r="AK2" s="4" t="s">
        <v>441</v>
      </c>
      <c r="AL2" s="4" t="s">
        <v>441</v>
      </c>
      <c r="AM2" s="4" t="s">
        <v>441</v>
      </c>
      <c r="AN2" s="4" t="s">
        <v>441</v>
      </c>
      <c r="AO2" s="4" t="s">
        <v>441</v>
      </c>
      <c r="AP2" s="4" t="s">
        <v>441</v>
      </c>
      <c r="AQ2" s="4" t="s">
        <v>441</v>
      </c>
      <c r="AR2" s="4" t="s">
        <v>441</v>
      </c>
      <c r="AS2" s="4" t="s">
        <v>441</v>
      </c>
      <c r="AT2" s="4" t="s">
        <v>441</v>
      </c>
      <c r="AU2" s="4" t="s">
        <v>441</v>
      </c>
      <c r="AV2" s="4" t="s">
        <v>441</v>
      </c>
    </row>
    <row r="3" spans="1:48" x14ac:dyDescent="0.25">
      <c r="D3" s="4" t="s">
        <v>381</v>
      </c>
      <c r="E3" s="4" t="s">
        <v>420</v>
      </c>
      <c r="F3" s="4" t="s">
        <v>399</v>
      </c>
      <c r="G3" s="4" t="s">
        <v>438</v>
      </c>
      <c r="H3" s="4" t="s">
        <v>405</v>
      </c>
      <c r="I3" s="4" t="s">
        <v>412</v>
      </c>
      <c r="J3" s="4" t="s">
        <v>450</v>
      </c>
      <c r="K3" s="4" t="s">
        <v>393</v>
      </c>
      <c r="L3" s="4" t="s">
        <v>459</v>
      </c>
      <c r="M3" s="4" t="s">
        <v>466</v>
      </c>
      <c r="N3" s="4" t="s">
        <v>473</v>
      </c>
      <c r="O3" s="4" t="s">
        <v>480</v>
      </c>
      <c r="P3" s="4" t="s">
        <v>486</v>
      </c>
      <c r="Q3" s="4" t="s">
        <v>493</v>
      </c>
      <c r="R3" s="4" t="s">
        <v>500</v>
      </c>
      <c r="S3" s="4" t="s">
        <v>381</v>
      </c>
      <c r="T3" s="4" t="s">
        <v>420</v>
      </c>
      <c r="U3" s="4" t="s">
        <v>399</v>
      </c>
      <c r="V3" s="4" t="s">
        <v>438</v>
      </c>
      <c r="W3" s="4" t="s">
        <v>405</v>
      </c>
      <c r="X3" s="4" t="s">
        <v>412</v>
      </c>
      <c r="Y3" s="4" t="s">
        <v>450</v>
      </c>
      <c r="Z3" s="4" t="s">
        <v>393</v>
      </c>
      <c r="AA3" s="4" t="s">
        <v>459</v>
      </c>
      <c r="AB3" s="4" t="s">
        <v>466</v>
      </c>
      <c r="AC3" s="4" t="s">
        <v>473</v>
      </c>
      <c r="AD3" s="4" t="s">
        <v>480</v>
      </c>
      <c r="AE3" s="4" t="s">
        <v>486</v>
      </c>
      <c r="AF3" s="4" t="s">
        <v>493</v>
      </c>
      <c r="AG3" s="4" t="s">
        <v>500</v>
      </c>
      <c r="AH3" s="4" t="s">
        <v>381</v>
      </c>
      <c r="AI3" s="4" t="s">
        <v>420</v>
      </c>
      <c r="AJ3" s="4" t="s">
        <v>399</v>
      </c>
      <c r="AK3" s="4" t="s">
        <v>438</v>
      </c>
      <c r="AL3" s="4" t="s">
        <v>405</v>
      </c>
      <c r="AM3" s="4" t="s">
        <v>412</v>
      </c>
      <c r="AN3" s="4" t="s">
        <v>450</v>
      </c>
      <c r="AO3" s="4" t="s">
        <v>393</v>
      </c>
      <c r="AP3" s="4" t="s">
        <v>459</v>
      </c>
      <c r="AQ3" s="4" t="s">
        <v>466</v>
      </c>
      <c r="AR3" s="4" t="s">
        <v>473</v>
      </c>
      <c r="AS3" s="4" t="s">
        <v>480</v>
      </c>
      <c r="AT3" s="4" t="s">
        <v>486</v>
      </c>
      <c r="AU3" s="4" t="s">
        <v>493</v>
      </c>
      <c r="AV3" s="4" t="s">
        <v>500</v>
      </c>
    </row>
    <row r="4" spans="1:48" x14ac:dyDescent="0.25">
      <c r="D4" s="4" t="s">
        <v>380</v>
      </c>
      <c r="E4" s="4" t="s">
        <v>380</v>
      </c>
      <c r="F4" s="4" t="s">
        <v>380</v>
      </c>
      <c r="G4" s="4" t="s">
        <v>380</v>
      </c>
      <c r="H4" s="4" t="s">
        <v>380</v>
      </c>
      <c r="I4" s="4" t="s">
        <v>380</v>
      </c>
      <c r="J4" s="4" t="s">
        <v>380</v>
      </c>
      <c r="K4" s="4" t="s">
        <v>380</v>
      </c>
      <c r="L4" s="4" t="s">
        <v>380</v>
      </c>
      <c r="M4" s="4" t="s">
        <v>380</v>
      </c>
      <c r="N4" s="4" t="s">
        <v>380</v>
      </c>
      <c r="O4" s="4" t="s">
        <v>380</v>
      </c>
      <c r="P4" s="4" t="s">
        <v>380</v>
      </c>
      <c r="Q4" s="4" t="s">
        <v>380</v>
      </c>
      <c r="R4" s="4" t="s">
        <v>380</v>
      </c>
      <c r="S4" s="4" t="s">
        <v>380</v>
      </c>
      <c r="T4" s="4" t="s">
        <v>380</v>
      </c>
      <c r="U4" s="4" t="s">
        <v>380</v>
      </c>
      <c r="V4" s="4" t="s">
        <v>380</v>
      </c>
      <c r="W4" s="4" t="s">
        <v>380</v>
      </c>
      <c r="X4" s="4" t="s">
        <v>380</v>
      </c>
      <c r="Y4" s="4" t="s">
        <v>380</v>
      </c>
      <c r="Z4" s="4" t="s">
        <v>380</v>
      </c>
      <c r="AA4" s="4" t="s">
        <v>380</v>
      </c>
      <c r="AB4" s="4" t="s">
        <v>380</v>
      </c>
      <c r="AC4" s="4" t="s">
        <v>380</v>
      </c>
      <c r="AD4" s="4" t="s">
        <v>380</v>
      </c>
      <c r="AE4" s="4" t="s">
        <v>380</v>
      </c>
      <c r="AF4" s="4" t="s">
        <v>380</v>
      </c>
      <c r="AG4" s="4" t="s">
        <v>380</v>
      </c>
      <c r="AH4" s="4" t="s">
        <v>380</v>
      </c>
      <c r="AI4" s="4" t="s">
        <v>380</v>
      </c>
      <c r="AJ4" s="4" t="s">
        <v>380</v>
      </c>
      <c r="AK4" s="4" t="s">
        <v>380</v>
      </c>
      <c r="AL4" s="4" t="s">
        <v>380</v>
      </c>
      <c r="AM4" s="4" t="s">
        <v>380</v>
      </c>
      <c r="AN4" s="4" t="s">
        <v>380</v>
      </c>
      <c r="AO4" s="4" t="s">
        <v>380</v>
      </c>
      <c r="AP4" s="4" t="s">
        <v>380</v>
      </c>
      <c r="AQ4" s="4" t="s">
        <v>380</v>
      </c>
      <c r="AR4" s="4" t="s">
        <v>380</v>
      </c>
      <c r="AS4" s="4" t="s">
        <v>380</v>
      </c>
      <c r="AT4" s="4" t="s">
        <v>380</v>
      </c>
      <c r="AU4" s="4" t="s">
        <v>380</v>
      </c>
      <c r="AV4" s="4" t="s">
        <v>380</v>
      </c>
    </row>
    <row r="5" spans="1:48" x14ac:dyDescent="0.25">
      <c r="D5" s="4" t="s">
        <v>442</v>
      </c>
      <c r="E5" s="4" t="s">
        <v>442</v>
      </c>
      <c r="F5" s="4" t="s">
        <v>442</v>
      </c>
      <c r="G5" s="4" t="s">
        <v>442</v>
      </c>
      <c r="H5" s="4" t="s">
        <v>442</v>
      </c>
      <c r="I5" s="4" t="s">
        <v>442</v>
      </c>
      <c r="J5" s="4" t="s">
        <v>442</v>
      </c>
      <c r="K5" s="4" t="s">
        <v>442</v>
      </c>
      <c r="L5" s="4" t="s">
        <v>442</v>
      </c>
      <c r="M5" s="4" t="s">
        <v>442</v>
      </c>
      <c r="N5" s="4" t="s">
        <v>442</v>
      </c>
      <c r="O5" s="4" t="s">
        <v>442</v>
      </c>
      <c r="P5" s="4" t="s">
        <v>442</v>
      </c>
      <c r="Q5" s="4" t="s">
        <v>442</v>
      </c>
      <c r="R5" s="4" t="s">
        <v>442</v>
      </c>
      <c r="S5" s="4" t="s">
        <v>442</v>
      </c>
      <c r="T5" s="4" t="s">
        <v>442</v>
      </c>
      <c r="U5" s="4" t="s">
        <v>442</v>
      </c>
      <c r="V5" s="4" t="s">
        <v>442</v>
      </c>
      <c r="W5" s="4" t="s">
        <v>442</v>
      </c>
      <c r="X5" s="4" t="s">
        <v>442</v>
      </c>
      <c r="Y5" s="4" t="s">
        <v>442</v>
      </c>
      <c r="Z5" s="4" t="s">
        <v>442</v>
      </c>
      <c r="AA5" s="4" t="s">
        <v>442</v>
      </c>
      <c r="AB5" s="4" t="s">
        <v>442</v>
      </c>
      <c r="AC5" s="4" t="s">
        <v>442</v>
      </c>
      <c r="AD5" s="4" t="s">
        <v>442</v>
      </c>
      <c r="AE5" s="4" t="s">
        <v>442</v>
      </c>
      <c r="AF5" s="4" t="s">
        <v>442</v>
      </c>
      <c r="AG5" s="4" t="s">
        <v>442</v>
      </c>
      <c r="AH5" s="4" t="s">
        <v>442</v>
      </c>
      <c r="AI5" s="4" t="s">
        <v>442</v>
      </c>
      <c r="AJ5" s="4" t="s">
        <v>442</v>
      </c>
      <c r="AK5" s="4" t="s">
        <v>442</v>
      </c>
      <c r="AL5" s="4" t="s">
        <v>442</v>
      </c>
      <c r="AM5" s="4" t="s">
        <v>442</v>
      </c>
      <c r="AN5" s="4" t="s">
        <v>442</v>
      </c>
      <c r="AO5" s="4" t="s">
        <v>442</v>
      </c>
      <c r="AP5" s="4" t="s">
        <v>442</v>
      </c>
      <c r="AQ5" s="4" t="s">
        <v>442</v>
      </c>
      <c r="AR5" s="4" t="s">
        <v>442</v>
      </c>
      <c r="AS5" s="4" t="s">
        <v>442</v>
      </c>
      <c r="AT5" s="4" t="s">
        <v>442</v>
      </c>
      <c r="AU5" s="4" t="s">
        <v>442</v>
      </c>
      <c r="AV5" s="4" t="s">
        <v>442</v>
      </c>
    </row>
    <row r="6" spans="1:48" x14ac:dyDescent="0.25">
      <c r="C6" s="4">
        <f>C358+5</f>
        <v>2329</v>
      </c>
      <c r="D6" s="6" t="str" cm="1">
        <f t="array" ref="D6">_xlfn.CONCAT(INDEX(GMW!$A$2:$NE$150,MATCH(1,(GMW!$NE$2:$NE$150=D$3)*(GMW!$ND$2:$ND$150=D$4)*(GMW!$NF$2:$NF$150=D$1),0),$C6-1966),"0",(INDEX(GMW!$A$2:$NE$150,MATCH(1,(GMW!$NE$2:$NE$150=D$3)*(GMW!$ND$2:$ND$150=D$4)*(GMW!$NF$2:$NF$150=D$1),0),$C6-1965)))</f>
        <v>202404</v>
      </c>
      <c r="E6" s="6" t="str" cm="1">
        <f t="array" ref="E6">_xlfn.CONCAT(INDEX(GMW!$A$2:$NE$150,MATCH(1,(GMW!$NE$2:$NE$150=E$3)*(GMW!$ND$2:$ND$150=E$4)*(GMW!$NF$2:$NF$150=E$1),0),$C6-1966),"0",(INDEX(GMW!$A$2:$NE$150,MATCH(1,(GMW!$NE$2:$NE$150=E$3)*(GMW!$ND$2:$ND$150=E$4)*(GMW!$NF$2:$NF$150=E$1),0),$C6-1965)))</f>
        <v>202404</v>
      </c>
      <c r="F6" s="6" t="str" cm="1">
        <f t="array" ref="F6">_xlfn.CONCAT(INDEX(GMW!$A$2:$NE$150,MATCH(1,(GMW!$NE$2:$NE$150=F$3)*(GMW!$ND$2:$ND$150=F$4)*(GMW!$NF$2:$NF$150=F$1),0),$C6-1966),"0",(INDEX(GMW!$A$2:$NE$150,MATCH(1,(GMW!$NE$2:$NE$150=F$3)*(GMW!$ND$2:$ND$150=F$4)*(GMW!$NF$2:$NF$150=F$1),0),$C6-1965)))</f>
        <v>202404</v>
      </c>
      <c r="G6" s="6" t="str" cm="1">
        <f t="array" ref="G6">_xlfn.CONCAT(INDEX(GMW!$A$2:$NE$150,MATCH(1,(GMW!$NE$2:$NE$150=G$3)*(GMW!$ND$2:$ND$150=G$4)*(GMW!$NF$2:$NF$150=G$1),0),$C6-1966),"0",(INDEX(GMW!$A$2:$NE$150,MATCH(1,(GMW!$NE$2:$NE$150=G$3)*(GMW!$ND$2:$ND$150=G$4)*(GMW!$NF$2:$NF$150=G$1),0),$C6-1965)))</f>
        <v>202404</v>
      </c>
      <c r="H6" s="6" t="str" cm="1">
        <f t="array" ref="H6">_xlfn.CONCAT(INDEX(GMW!$A$2:$NE$150,MATCH(1,(GMW!$NE$2:$NE$150=H$3)*(GMW!$ND$2:$ND$150=H$4)*(GMW!$NF$2:$NF$150=H$1),0),$C6-1966),"0",(INDEX(GMW!$A$2:$NE$150,MATCH(1,(GMW!$NE$2:$NE$150=H$3)*(GMW!$ND$2:$ND$150=H$4)*(GMW!$NF$2:$NF$150=H$1),0),$C6-1965)))</f>
        <v>202404</v>
      </c>
      <c r="I6" s="6" t="str" cm="1">
        <f t="array" ref="I6">_xlfn.CONCAT(INDEX(GMW!$A$2:$NE$150,MATCH(1,(GMW!$NE$2:$NE$150=I$3)*(GMW!$ND$2:$ND$150=I$4)*(GMW!$NF$2:$NF$150=I$1),0),$C6-1966),"0",(INDEX(GMW!$A$2:$NE$150,MATCH(1,(GMW!$NE$2:$NE$150=I$3)*(GMW!$ND$2:$ND$150=I$4)*(GMW!$NF$2:$NF$150=I$1),0),$C6-1965)))</f>
        <v>202404</v>
      </c>
      <c r="J6" s="6" t="str" cm="1">
        <f t="array" ref="J6">_xlfn.CONCAT(INDEX(GMW!$A$2:$NE$150,MATCH(1,(GMW!$NE$2:$NE$150=J$3)*(GMW!$ND$2:$ND$150=J$4)*(GMW!$NF$2:$NF$150=J$1),0),$C6-1966),"0",(INDEX(GMW!$A$2:$NE$150,MATCH(1,(GMW!$NE$2:$NE$150=J$3)*(GMW!$ND$2:$ND$150=J$4)*(GMW!$NF$2:$NF$150=J$1),0),$C6-1965)))</f>
        <v>202404</v>
      </c>
      <c r="K6" s="6" t="str" cm="1">
        <f t="array" ref="K6">_xlfn.CONCAT(INDEX(GMW!$A$2:$NE$150,MATCH(1,(GMW!$NE$2:$NE$150=K$3)*(GMW!$ND$2:$ND$150=K$4)*(GMW!$NF$2:$NF$150=K$1),0),$C6-1966),"0",(INDEX(GMW!$A$2:$NE$150,MATCH(1,(GMW!$NE$2:$NE$150=K$3)*(GMW!$ND$2:$ND$150=K$4)*(GMW!$NF$2:$NF$150=K$1),0),$C6-1965)))</f>
        <v>202404</v>
      </c>
      <c r="L6" s="6" t="str" cm="1">
        <f t="array" ref="L6">_xlfn.CONCAT(INDEX(GMW!$A$2:$NE$150,MATCH(1,(GMW!$NE$2:$NE$150=L$3)*(GMW!$ND$2:$ND$150=L$4)*(GMW!$NF$2:$NF$150=L$1),0),$C6-1966),"0",(INDEX(GMW!$A$2:$NE$150,MATCH(1,(GMW!$NE$2:$NE$150=L$3)*(GMW!$ND$2:$ND$150=L$4)*(GMW!$NF$2:$NF$150=L$1),0),$C6-1965)))</f>
        <v>202302</v>
      </c>
      <c r="M6" s="6" t="str" cm="1">
        <f t="array" ref="M6">_xlfn.CONCAT(INDEX(GMW!$A$2:$NE$150,MATCH(1,(GMW!$NE$2:$NE$150=M$3)*(GMW!$ND$2:$ND$150=M$4)*(GMW!$NF$2:$NF$150=M$1),0),$C6-1966),"0",(INDEX(GMW!$A$2:$NE$150,MATCH(1,(GMW!$NE$2:$NE$150=M$3)*(GMW!$ND$2:$ND$150=M$4)*(GMW!$NF$2:$NF$150=M$1),0),$C6-1965)))</f>
        <v>202304</v>
      </c>
      <c r="N6" s="6" t="str" cm="1">
        <f t="array" ref="N6">_xlfn.CONCAT(INDEX(GMW!$A$2:$NE$150,MATCH(1,(GMW!$NE$2:$NE$150=N$3)*(GMW!$ND$2:$ND$150=N$4)*(GMW!$NF$2:$NF$150=N$1),0),$C6-1966),"0",(INDEX(GMW!$A$2:$NE$150,MATCH(1,(GMW!$NE$2:$NE$150=N$3)*(GMW!$ND$2:$ND$150=N$4)*(GMW!$NF$2:$NF$150=N$1),0),$C6-1965)))</f>
        <v>202404</v>
      </c>
      <c r="O6" s="6" t="str" cm="1">
        <f t="array" ref="O6">_xlfn.CONCAT(INDEX(GMW!$A$2:$NE$150,MATCH(1,(GMW!$NE$2:$NE$150=O$3)*(GMW!$ND$2:$ND$150=O$4)*(GMW!$NF$2:$NF$150=O$1),0),$C6-1966),"0",(INDEX(GMW!$A$2:$NE$150,MATCH(1,(GMW!$NE$2:$NE$150=O$3)*(GMW!$ND$2:$ND$150=O$4)*(GMW!$NF$2:$NF$150=O$1),0),$C6-1965)))</f>
        <v>201004</v>
      </c>
      <c r="P6" s="6" t="str" cm="1">
        <f t="array" ref="P6">_xlfn.CONCAT(INDEX(GMW!$A$2:$NE$150,MATCH(1,(GMW!$NE$2:$NE$150=P$3)*(GMW!$ND$2:$ND$150=P$4)*(GMW!$NF$2:$NF$150=P$1),0),$C6-1966),"0",(INDEX(GMW!$A$2:$NE$150,MATCH(1,(GMW!$NE$2:$NE$150=P$3)*(GMW!$ND$2:$ND$150=P$4)*(GMW!$NF$2:$NF$150=P$1),0),$C6-1965)))</f>
        <v>202302</v>
      </c>
      <c r="Q6" s="6" t="str" cm="1">
        <f t="array" ref="Q6">_xlfn.CONCAT(INDEX(GMW!$A$2:$NE$150,MATCH(1,(GMW!$NE$2:$NE$150=Q$3)*(GMW!$ND$2:$ND$150=Q$4)*(GMW!$NF$2:$NF$150=Q$1),0),$C6-1966),"0",(INDEX(GMW!$A$2:$NE$150,MATCH(1,(GMW!$NE$2:$NE$150=Q$3)*(GMW!$ND$2:$ND$150=Q$4)*(GMW!$NF$2:$NF$150=Q$1),0),$C6-1965)))</f>
        <v>202304</v>
      </c>
      <c r="R6" s="6" t="str" cm="1">
        <f t="array" ref="R6">_xlfn.CONCAT(INDEX(GMW!$A$2:$NE$150,MATCH(1,(GMW!$NE$2:$NE$150=R$3)*(GMW!$ND$2:$ND$150=R$4)*(GMW!$NF$2:$NF$150=R$1),0),$C6-1966),"0",(INDEX(GMW!$A$2:$NE$150,MATCH(1,(GMW!$NE$2:$NE$150=R$3)*(GMW!$ND$2:$ND$150=R$4)*(GMW!$NF$2:$NF$150=R$1),0),$C6-1965)))</f>
        <v>202302</v>
      </c>
      <c r="S6" s="6" t="str" cm="1">
        <f t="array" ref="S6">_xlfn.CONCAT(INDEX(GMW!$A$2:$NE$150,MATCH(1,(GMW!$NE$2:$NE$150=S$3)*(GMW!$ND$2:$ND$150=S$4)*(GMW!$NF$2:$NF$150=S$1),0),$C6-1966),"0",(INDEX(GMW!$A$2:$NE$150,MATCH(1,(GMW!$NE$2:$NE$150=S$3)*(GMW!$ND$2:$ND$150=S$4)*(GMW!$NF$2:$NF$150=S$1),0),$C6-1965)))</f>
        <v>202404</v>
      </c>
      <c r="T6" s="6" t="str" cm="1">
        <f t="array" ref="T6">_xlfn.CONCAT(INDEX(GMW!$A$2:$NE$150,MATCH(1,(GMW!$NE$2:$NE$150=T$3)*(GMW!$ND$2:$ND$150=T$4)*(GMW!$NF$2:$NF$150=T$1),0),$C6-1966),"0",(INDEX(GMW!$A$2:$NE$150,MATCH(1,(GMW!$NE$2:$NE$150=T$3)*(GMW!$ND$2:$ND$150=T$4)*(GMW!$NF$2:$NF$150=T$1),0),$C6-1965)))</f>
        <v>202404</v>
      </c>
      <c r="U6" s="6" t="str" cm="1">
        <f t="array" ref="U6">_xlfn.CONCAT(INDEX(GMW!$A$2:$NE$150,MATCH(1,(GMW!$NE$2:$NE$150=U$3)*(GMW!$ND$2:$ND$150=U$4)*(GMW!$NF$2:$NF$150=U$1),0),$C6-1966),"0",(INDEX(GMW!$A$2:$NE$150,MATCH(1,(GMW!$NE$2:$NE$150=U$3)*(GMW!$ND$2:$ND$150=U$4)*(GMW!$NF$2:$NF$150=U$1),0),$C6-1965)))</f>
        <v>202404</v>
      </c>
      <c r="V6" s="6" t="str" cm="1">
        <f t="array" ref="V6">_xlfn.CONCAT(INDEX(GMW!$A$2:$NE$150,MATCH(1,(GMW!$NE$2:$NE$150=V$3)*(GMW!$ND$2:$ND$150=V$4)*(GMW!$NF$2:$NF$150=V$1),0),$C6-1966),"0",(INDEX(GMW!$A$2:$NE$150,MATCH(1,(GMW!$NE$2:$NE$150=V$3)*(GMW!$ND$2:$ND$150=V$4)*(GMW!$NF$2:$NF$150=V$1),0),$C6-1965)))</f>
        <v>202404</v>
      </c>
      <c r="W6" s="6" t="str" cm="1">
        <f t="array" ref="W6">_xlfn.CONCAT(INDEX(GMW!$A$2:$NE$150,MATCH(1,(GMW!$NE$2:$NE$150=W$3)*(GMW!$ND$2:$ND$150=W$4)*(GMW!$NF$2:$NF$150=W$1),0),$C6-1966),"0",(INDEX(GMW!$A$2:$NE$150,MATCH(1,(GMW!$NE$2:$NE$150=W$3)*(GMW!$ND$2:$ND$150=W$4)*(GMW!$NF$2:$NF$150=W$1),0),$C6-1965)))</f>
        <v>202404</v>
      </c>
      <c r="X6" s="6" t="str" cm="1">
        <f t="array" ref="X6">_xlfn.CONCAT(INDEX(GMW!$A$2:$NE$150,MATCH(1,(GMW!$NE$2:$NE$150=X$3)*(GMW!$ND$2:$ND$150=X$4)*(GMW!$NF$2:$NF$150=X$1),0),$C6-1966),"0",(INDEX(GMW!$A$2:$NE$150,MATCH(1,(GMW!$NE$2:$NE$150=X$3)*(GMW!$ND$2:$ND$150=X$4)*(GMW!$NF$2:$NF$150=X$1),0),$C6-1965)))</f>
        <v>202404</v>
      </c>
      <c r="Y6" s="6" t="str" cm="1">
        <f t="array" ref="Y6">_xlfn.CONCAT(INDEX(GMW!$A$2:$NE$150,MATCH(1,(GMW!$NE$2:$NE$150=Y$3)*(GMW!$ND$2:$ND$150=Y$4)*(GMW!$NF$2:$NF$150=Y$1),0),$C6-1966),"0",(INDEX(GMW!$A$2:$NE$150,MATCH(1,(GMW!$NE$2:$NE$150=Y$3)*(GMW!$ND$2:$ND$150=Y$4)*(GMW!$NF$2:$NF$150=Y$1),0),$C6-1965)))</f>
        <v>202404</v>
      </c>
      <c r="Z6" s="6" t="str" cm="1">
        <f t="array" ref="Z6">_xlfn.CONCAT(INDEX(GMW!$A$2:$NE$150,MATCH(1,(GMW!$NE$2:$NE$150=Z$3)*(GMW!$ND$2:$ND$150=Z$4)*(GMW!$NF$2:$NF$150=Z$1),0),$C6-1966),"0",(INDEX(GMW!$A$2:$NE$150,MATCH(1,(GMW!$NE$2:$NE$150=Z$3)*(GMW!$ND$2:$ND$150=Z$4)*(GMW!$NF$2:$NF$150=Z$1),0),$C6-1965)))</f>
        <v>202404</v>
      </c>
      <c r="AA6" s="6" t="str" cm="1">
        <f t="array" ref="AA6">_xlfn.CONCAT(INDEX(GMW!$A$2:$NE$150,MATCH(1,(GMW!$NE$2:$NE$150=AA$3)*(GMW!$ND$2:$ND$150=AA$4)*(GMW!$NF$2:$NF$150=AA$1),0),$C6-1966),"0",(INDEX(GMW!$A$2:$NE$150,MATCH(1,(GMW!$NE$2:$NE$150=AA$3)*(GMW!$ND$2:$ND$150=AA$4)*(GMW!$NF$2:$NF$150=AA$1),0),$C6-1965)))</f>
        <v>202302</v>
      </c>
      <c r="AB6" s="6" t="str" cm="1">
        <f t="array" ref="AB6">_xlfn.CONCAT(INDEX(GMW!$A$2:$NE$150,MATCH(1,(GMW!$NE$2:$NE$150=AB$3)*(GMW!$ND$2:$ND$150=AB$4)*(GMW!$NF$2:$NF$150=AB$1),0),$C6-1966),"0",(INDEX(GMW!$A$2:$NE$150,MATCH(1,(GMW!$NE$2:$NE$150=AB$3)*(GMW!$ND$2:$ND$150=AB$4)*(GMW!$NF$2:$NF$150=AB$1),0),$C6-1965)))</f>
        <v>202304</v>
      </c>
      <c r="AC6" s="6" t="str" cm="1">
        <f t="array" ref="AC6">_xlfn.CONCAT(INDEX(GMW!$A$2:$NE$150,MATCH(1,(GMW!$NE$2:$NE$150=AC$3)*(GMW!$ND$2:$ND$150=AC$4)*(GMW!$NF$2:$NF$150=AC$1),0),$C6-1966),"0",(INDEX(GMW!$A$2:$NE$150,MATCH(1,(GMW!$NE$2:$NE$150=AC$3)*(GMW!$ND$2:$ND$150=AC$4)*(GMW!$NF$2:$NF$150=AC$1),0),$C6-1965)))</f>
        <v>202404</v>
      </c>
      <c r="AD6" s="6" t="str" cm="1">
        <f t="array" ref="AD6">_xlfn.CONCAT(INDEX(GMW!$A$2:$NE$150,MATCH(1,(GMW!$NE$2:$NE$150=AD$3)*(GMW!$ND$2:$ND$150=AD$4)*(GMW!$NF$2:$NF$150=AD$1),0),$C6-1966),"0",(INDEX(GMW!$A$2:$NE$150,MATCH(1,(GMW!$NE$2:$NE$150=AD$3)*(GMW!$ND$2:$ND$150=AD$4)*(GMW!$NF$2:$NF$150=AD$1),0),$C6-1965)))</f>
        <v>201004</v>
      </c>
      <c r="AE6" s="6" t="str" cm="1">
        <f t="array" ref="AE6">_xlfn.CONCAT(INDEX(GMW!$A$2:$NE$150,MATCH(1,(GMW!$NE$2:$NE$150=AE$3)*(GMW!$ND$2:$ND$150=AE$4)*(GMW!$NF$2:$NF$150=AE$1),0),$C6-1966),"0",(INDEX(GMW!$A$2:$NE$150,MATCH(1,(GMW!$NE$2:$NE$150=AE$3)*(GMW!$ND$2:$ND$150=AE$4)*(GMW!$NF$2:$NF$150=AE$1),0),$C6-1965)))</f>
        <v>202302</v>
      </c>
      <c r="AF6" s="6" t="str" cm="1">
        <f t="array" ref="AF6">_xlfn.CONCAT(INDEX(GMW!$A$2:$NE$150,MATCH(1,(GMW!$NE$2:$NE$150=AF$3)*(GMW!$ND$2:$ND$150=AF$4)*(GMW!$NF$2:$NF$150=AF$1),0),$C6-1966),"0",(INDEX(GMW!$A$2:$NE$150,MATCH(1,(GMW!$NE$2:$NE$150=AF$3)*(GMW!$ND$2:$ND$150=AF$4)*(GMW!$NF$2:$NF$150=AF$1),0),$C6-1965)))</f>
        <v>202304</v>
      </c>
      <c r="AG6" s="6" t="str" cm="1">
        <f t="array" ref="AG6">_xlfn.CONCAT(INDEX(GMW!$A$2:$NE$150,MATCH(1,(GMW!$NE$2:$NE$150=AG$3)*(GMW!$ND$2:$ND$150=AG$4)*(GMW!$NF$2:$NF$150=AG$1),0),$C6-1966),"0",(INDEX(GMW!$A$2:$NE$150,MATCH(1,(GMW!$NE$2:$NE$150=AG$3)*(GMW!$ND$2:$ND$150=AG$4)*(GMW!$NF$2:$NF$150=AG$1),0),$C6-1965)))</f>
        <v>202302</v>
      </c>
      <c r="AH6" s="6" t="str" cm="1">
        <f t="array" ref="AH6">_xlfn.CONCAT(INDEX(GMW!$A$2:$NE$150,MATCH(1,(GMW!$NE$2:$NE$150=AH$3)*(GMW!$ND$2:$ND$150=AH$4)*(GMW!$NF$2:$NF$150=AH$1),0),$C6-1966),"0",(INDEX(GMW!$A$2:$NE$150,MATCH(1,(GMW!$NE$2:$NE$150=AH$3)*(GMW!$ND$2:$ND$150=AH$4)*(GMW!$NF$2:$NF$150=AH$1),0),$C6-1965)))</f>
        <v>202403</v>
      </c>
      <c r="AI6" s="6" t="str" cm="1">
        <f t="array" ref="AI6">_xlfn.CONCAT(INDEX(GMW!$A$2:$NE$150,MATCH(1,(GMW!$NE$2:$NE$150=AI$3)*(GMW!$ND$2:$ND$150=AI$4)*(GMW!$NF$2:$NF$150=AI$1),0),$C6-1966),"0",(INDEX(GMW!$A$2:$NE$150,MATCH(1,(GMW!$NE$2:$NE$150=AI$3)*(GMW!$ND$2:$ND$150=AI$4)*(GMW!$NF$2:$NF$150=AI$1),0),$C6-1965)))</f>
        <v>202403</v>
      </c>
      <c r="AJ6" s="6" t="str" cm="1">
        <f t="array" ref="AJ6">_xlfn.CONCAT(INDEX(GMW!$A$2:$NE$150,MATCH(1,(GMW!$NE$2:$NE$150=AJ$3)*(GMW!$ND$2:$ND$150=AJ$4)*(GMW!$NF$2:$NF$150=AJ$1),0),$C6-1966),"0",(INDEX(GMW!$A$2:$NE$150,MATCH(1,(GMW!$NE$2:$NE$150=AJ$3)*(GMW!$ND$2:$ND$150=AJ$4)*(GMW!$NF$2:$NF$150=AJ$1),0),$C6-1965)))</f>
        <v>202403</v>
      </c>
      <c r="AK6" s="6" t="str" cm="1">
        <f t="array" ref="AK6">_xlfn.CONCAT(INDEX(GMW!$A$2:$NE$150,MATCH(1,(GMW!$NE$2:$NE$150=AK$3)*(GMW!$ND$2:$ND$150=AK$4)*(GMW!$NF$2:$NF$150=AK$1),0),$C6-1966),"0",(INDEX(GMW!$A$2:$NE$150,MATCH(1,(GMW!$NE$2:$NE$150=AK$3)*(GMW!$ND$2:$ND$150=AK$4)*(GMW!$NF$2:$NF$150=AK$1),0),$C6-1965)))</f>
        <v>202403</v>
      </c>
      <c r="AL6" s="6" t="str" cm="1">
        <f t="array" ref="AL6">_xlfn.CONCAT(INDEX(GMW!$A$2:$NE$150,MATCH(1,(GMW!$NE$2:$NE$150=AL$3)*(GMW!$ND$2:$ND$150=AL$4)*(GMW!$NF$2:$NF$150=AL$1),0),$C6-1966),"0",(INDEX(GMW!$A$2:$NE$150,MATCH(1,(GMW!$NE$2:$NE$150=AL$3)*(GMW!$ND$2:$ND$150=AL$4)*(GMW!$NF$2:$NF$150=AL$1),0),$C6-1965)))</f>
        <v>202403</v>
      </c>
      <c r="AM6" s="6" t="str" cm="1">
        <f t="array" ref="AM6">_xlfn.CONCAT(INDEX(GMW!$A$2:$NE$150,MATCH(1,(GMW!$NE$2:$NE$150=AM$3)*(GMW!$ND$2:$ND$150=AM$4)*(GMW!$NF$2:$NF$150=AM$1),0),$C6-1966),"0",(INDEX(GMW!$A$2:$NE$150,MATCH(1,(GMW!$NE$2:$NE$150=AM$3)*(GMW!$ND$2:$ND$150=AM$4)*(GMW!$NF$2:$NF$150=AM$1),0),$C6-1965)))</f>
        <v>202403</v>
      </c>
      <c r="AN6" s="6" t="str" cm="1">
        <f t="array" ref="AN6">_xlfn.CONCAT(INDEX(GMW!$A$2:$NE$150,MATCH(1,(GMW!$NE$2:$NE$150=AN$3)*(GMW!$ND$2:$ND$150=AN$4)*(GMW!$NF$2:$NF$150=AN$1),0),$C6-1966),"0",(INDEX(GMW!$A$2:$NE$150,MATCH(1,(GMW!$NE$2:$NE$150=AN$3)*(GMW!$ND$2:$ND$150=AN$4)*(GMW!$NF$2:$NF$150=AN$1),0),$C6-1965)))</f>
        <v>202403</v>
      </c>
      <c r="AO6" s="6" t="str" cm="1">
        <f t="array" ref="AO6">_xlfn.CONCAT(INDEX(GMW!$A$2:$NE$150,MATCH(1,(GMW!$NE$2:$NE$150=AO$3)*(GMW!$ND$2:$ND$150=AO$4)*(GMW!$NF$2:$NF$150=AO$1),0),$C6-1966),"0",(INDEX(GMW!$A$2:$NE$150,MATCH(1,(GMW!$NE$2:$NE$150=AO$3)*(GMW!$ND$2:$ND$150=AO$4)*(GMW!$NF$2:$NF$150=AO$1),0),$C6-1965)))</f>
        <v>202403</v>
      </c>
      <c r="AP6" s="6" t="str" cm="1">
        <f t="array" ref="AP6">_xlfn.CONCAT(INDEX(GMW!$A$2:$NE$150,MATCH(1,(GMW!$NE$2:$NE$150=AP$3)*(GMW!$ND$2:$ND$150=AP$4)*(GMW!$NF$2:$NF$150=AP$1),0),$C6-1966),"0",(INDEX(GMW!$A$2:$NE$150,MATCH(1,(GMW!$NE$2:$NE$150=AP$3)*(GMW!$ND$2:$ND$150=AP$4)*(GMW!$NF$2:$NF$150=AP$1),0),$C6-1965)))</f>
        <v>202302</v>
      </c>
      <c r="AQ6" s="6" t="str" cm="1">
        <f t="array" ref="AQ6">_xlfn.CONCAT(INDEX(GMW!$A$2:$NE$150,MATCH(1,(GMW!$NE$2:$NE$150=AQ$3)*(GMW!$ND$2:$ND$150=AQ$4)*(GMW!$NF$2:$NF$150=AQ$1),0),$C6-1966),"0",(INDEX(GMW!$A$2:$NE$150,MATCH(1,(GMW!$NE$2:$NE$150=AQ$3)*(GMW!$ND$2:$ND$150=AQ$4)*(GMW!$NF$2:$NF$150=AQ$1),0),$C6-1965)))</f>
        <v>202304</v>
      </c>
      <c r="AR6" s="6" t="str" cm="1">
        <f t="array" ref="AR6">_xlfn.CONCAT(INDEX(GMW!$A$2:$NE$150,MATCH(1,(GMW!$NE$2:$NE$150=AR$3)*(GMW!$ND$2:$ND$150=AR$4)*(GMW!$NF$2:$NF$150=AR$1),0),$C6-1966),"0",(INDEX(GMW!$A$2:$NE$150,MATCH(1,(GMW!$NE$2:$NE$150=AR$3)*(GMW!$ND$2:$ND$150=AR$4)*(GMW!$NF$2:$NF$150=AR$1),0),$C6-1965)))</f>
        <v>202403</v>
      </c>
      <c r="AS6" s="6" t="str" cm="1">
        <f t="array" ref="AS6">_xlfn.CONCAT(INDEX(GMW!$A$2:$NE$150,MATCH(1,(GMW!$NE$2:$NE$150=AS$3)*(GMW!$ND$2:$ND$150=AS$4)*(GMW!$NF$2:$NF$150=AS$1),0),$C6-1966),"0",(INDEX(GMW!$A$2:$NE$150,MATCH(1,(GMW!$NE$2:$NE$150=AS$3)*(GMW!$ND$2:$ND$150=AS$4)*(GMW!$NF$2:$NF$150=AS$1),0),$C6-1965)))</f>
        <v>201004</v>
      </c>
      <c r="AT6" s="6" t="str" cm="1">
        <f t="array" ref="AT6">_xlfn.CONCAT(INDEX(GMW!$A$2:$NE$150,MATCH(1,(GMW!$NE$2:$NE$150=AT$3)*(GMW!$ND$2:$ND$150=AT$4)*(GMW!$NF$2:$NF$150=AT$1),0),$C6-1966),"0",(INDEX(GMW!$A$2:$NE$150,MATCH(1,(GMW!$NE$2:$NE$150=AT$3)*(GMW!$ND$2:$ND$150=AT$4)*(GMW!$NF$2:$NF$150=AT$1),0),$C6-1965)))</f>
        <v>202302</v>
      </c>
      <c r="AU6" s="6" t="str" cm="1">
        <f t="array" ref="AU6">_xlfn.CONCAT(INDEX(GMW!$A$2:$NE$150,MATCH(1,(GMW!$NE$2:$NE$150=AU$3)*(GMW!$ND$2:$ND$150=AU$4)*(GMW!$NF$2:$NF$150=AU$1),0),$C6-1966),"0",(INDEX(GMW!$A$2:$NE$150,MATCH(1,(GMW!$NE$2:$NE$150=AU$3)*(GMW!$ND$2:$ND$150=AU$4)*(GMW!$NF$2:$NF$150=AU$1),0),$C6-1965)))</f>
        <v>202304</v>
      </c>
      <c r="AV6" s="6" t="str" cm="1">
        <f t="array" ref="AV6">_xlfn.CONCAT(INDEX(GMW!$A$2:$NE$150,MATCH(1,(GMW!$NE$2:$NE$150=AV$3)*(GMW!$ND$2:$ND$150=AV$4)*(GMW!$NF$2:$NF$150=AV$1),0),$C6-1966),"0",(INDEX(GMW!$A$2:$NE$150,MATCH(1,(GMW!$NE$2:$NE$150=AV$3)*(GMW!$ND$2:$ND$150=AV$4)*(GMW!$NF$2:$NF$150=AV$1),0),$C6-1965)))</f>
        <v>202302</v>
      </c>
    </row>
    <row r="7" spans="1:48" x14ac:dyDescent="0.25">
      <c r="A7" s="4">
        <v>1973</v>
      </c>
      <c r="B7" s="4">
        <v>1973</v>
      </c>
      <c r="C7" s="4">
        <v>1973</v>
      </c>
      <c r="D7" s="4" cm="1">
        <f t="array" ref="D7">INDEX(GMW!$A$2:$NF$150,MATCH(1,(GMW!$NE$2:$NE$150=D$3)*(GMW!$ND$2:$ND$150=D$4)*(GMW!$NF$2:$NF$150=D$1),0),$C7-1966)</f>
        <v>247921</v>
      </c>
      <c r="E7" s="4" cm="1">
        <f t="array" ref="E7">INDEX(GMW!$A$2:$NF$150,MATCH(1,(GMW!$NE$2:$NE$150=E$3)*(GMW!$ND$2:$ND$150=E$4)*(GMW!$NF$2:$NF$150=E$1),0),$C7-1966)</f>
        <v>11.88749</v>
      </c>
      <c r="F7" s="4" cm="1">
        <f t="array" ref="F7">INDEX(GMW!$A$2:$NF$150,MATCH(1,(GMW!$NE$2:$NE$150=F$3)*(GMW!$ND$2:$ND$150=F$4)*(GMW!$NF$2:$NF$150=F$1),0),$C7-1966)</f>
        <v>35902</v>
      </c>
      <c r="G7" s="4" cm="1">
        <f t="array" ref="G7">INDEX(GMW!$A$2:$NF$150,MATCH(1,(GMW!$NE$2:$NE$150=G$3)*(GMW!$ND$2:$ND$150=G$4)*(GMW!$NF$2:$NF$150=G$1),0),$C7-1966)</f>
        <v>13911.1</v>
      </c>
      <c r="H7" s="4" cm="1">
        <f t="array" ref="H7">INDEX(GMW!$A$2:$NF$150,MATCH(1,(GMW!$NE$2:$NE$150=H$3)*(GMW!$ND$2:$ND$150=H$4)*(GMW!$NF$2:$NF$150=H$1),0),$C7-1966)</f>
        <v>34501</v>
      </c>
      <c r="I7" s="4" cm="1">
        <f t="array" ref="I7">INDEX(GMW!$A$2:$NF$150,MATCH(1,(GMW!$NE$2:$NE$150=I$3)*(GMW!$ND$2:$ND$150=I$4)*(GMW!$NF$2:$NF$150=I$1),0),$C7-1966)</f>
        <v>-2641.15</v>
      </c>
      <c r="J7" s="4" cm="1">
        <f t="array" ref="J7">INDEX(GMW!$A$2:$NF$150,MATCH(1,(GMW!$NE$2:$NE$150=J$3)*(GMW!$ND$2:$ND$150=J$4)*(GMW!$NF$2:$NF$150=J$1),0),$C7-1966)</f>
        <v>50184</v>
      </c>
      <c r="K7" s="4" cm="1">
        <f t="array" ref="K7">INDEX(GMW!$A$2:$NF$150,MATCH(1,(GMW!$NE$2:$NE$150=K$3)*(GMW!$ND$2:$ND$150=K$4)*(GMW!$NF$2:$NF$150=K$1),0),$C7-1966)</f>
        <v>16141.32</v>
      </c>
      <c r="L7" s="4" cm="1">
        <f t="array" ref="L7">INDEX(GMW!$A$2:$NF$150,MATCH(1,(GMW!$NE$2:$NE$150=L$3)*(GMW!$ND$2:$ND$150=L$4)*(GMW!$NF$2:$NF$150=L$1),0),$C7-1966)</f>
        <v>247921</v>
      </c>
      <c r="M7" s="4" cm="1">
        <f t="array" ref="M7">INDEX(GMW!$A$2:$NF$150,MATCH(1,(GMW!$NE$2:$NE$150=M$3)*(GMW!$ND$2:$ND$150=M$4)*(GMW!$NF$2:$NF$150=M$1),0),$C7-1966)</f>
        <v>24868.799999999999</v>
      </c>
      <c r="N7" s="4" cm="1">
        <f t="array" ref="N7">INDEX(GMW!$A$2:$NF$150,MATCH(1,(GMW!$NE$2:$NE$150=N$3)*(GMW!$ND$2:$ND$150=N$4)*(GMW!$NF$2:$NF$150=N$1),0),$C7-1966)</f>
        <v>1E-3</v>
      </c>
      <c r="O7" s="4" cm="1">
        <f t="array" ref="O7">INDEX(GMW!$A$2:$NF$150,MATCH(1,(GMW!$NE$2:$NE$150=O$3)*(GMW!$ND$2:$ND$150=O$4)*(GMW!$NF$2:$NF$150=O$1),0),$C7-1966)</f>
        <v>284961.7</v>
      </c>
      <c r="P7" s="4" cm="1">
        <f t="array" ref="P7">INDEX(GMW!$A$2:$NF$150,MATCH(1,(GMW!$NE$2:$NE$150=P$3)*(GMW!$ND$2:$ND$150=P$4)*(GMW!$NF$2:$NF$150=P$1),0),$C7-1966)</f>
        <v>35306.44</v>
      </c>
      <c r="Q7" s="4" cm="1">
        <f t="array" ref="Q7">INDEX(GMW!$A$2:$NF$150,MATCH(1,(GMW!$NE$2:$NE$150=Q$3)*(GMW!$ND$2:$ND$150=Q$4)*(GMW!$NF$2:$NF$150=Q$1),0),$C7-1966)</f>
        <v>1059724</v>
      </c>
      <c r="R7" s="4" cm="1">
        <f t="array" ref="R7">INDEX(GMW!$A$2:$NF$150,MATCH(1,(GMW!$NE$2:$NE$150=R$3)*(GMW!$ND$2:$ND$150=R$4)*(GMW!$NF$2:$NF$150=R$1),0),$C7-1966)</f>
        <v>-1.921214</v>
      </c>
      <c r="S7" s="4" cm="1">
        <f t="array" ref="S7">INDEX(GMW!$A$2:$NF$150,MATCH(1,(GMW!$NE$2:$NE$150=S$3)*(GMW!$ND$2:$ND$150=S$4)*(GMW!$NF$2:$NF$150=S$1),0),$C7-1966)</f>
        <v>247921</v>
      </c>
      <c r="T7" s="4" cm="1">
        <f t="array" ref="T7">INDEX(GMW!$A$2:$NF$150,MATCH(1,(GMW!$NE$2:$NE$150=T$3)*(GMW!$ND$2:$ND$150=T$4)*(GMW!$NF$2:$NF$150=T$1),0),$C7-1966)</f>
        <v>11.88749</v>
      </c>
      <c r="U7" s="4" cm="1">
        <f t="array" ref="U7">INDEX(GMW!$A$2:$NF$150,MATCH(1,(GMW!$NE$2:$NE$150=U$3)*(GMW!$ND$2:$ND$150=U$4)*(GMW!$NF$2:$NF$150=U$1),0),$C7-1966)</f>
        <v>35902</v>
      </c>
      <c r="V7" s="4" cm="1">
        <f t="array" ref="V7">INDEX(GMW!$A$2:$NF$150,MATCH(1,(GMW!$NE$2:$NE$150=V$3)*(GMW!$ND$2:$ND$150=V$4)*(GMW!$NF$2:$NF$150=V$1),0),$C7-1966)</f>
        <v>13911.1</v>
      </c>
      <c r="W7" s="4" cm="1">
        <f t="array" ref="W7">INDEX(GMW!$A$2:$NF$150,MATCH(1,(GMW!$NE$2:$NE$150=W$3)*(GMW!$ND$2:$ND$150=W$4)*(GMW!$NF$2:$NF$150=W$1),0),$C7-1966)</f>
        <v>34501</v>
      </c>
      <c r="X7" s="4" cm="1">
        <f t="array" ref="X7">INDEX(GMW!$A$2:$NF$150,MATCH(1,(GMW!$NE$2:$NE$150=X$3)*(GMW!$ND$2:$ND$150=X$4)*(GMW!$NF$2:$NF$150=X$1),0),$C7-1966)</f>
        <v>-2641.15</v>
      </c>
      <c r="Y7" s="4" cm="1">
        <f t="array" ref="Y7">INDEX(GMW!$A$2:$NF$150,MATCH(1,(GMW!$NE$2:$NE$150=Y$3)*(GMW!$ND$2:$ND$150=Y$4)*(GMW!$NF$2:$NF$150=Y$1),0),$C7-1966)</f>
        <v>50184</v>
      </c>
      <c r="Z7" s="4" cm="1">
        <f t="array" ref="Z7">INDEX(GMW!$A$2:$NF$150,MATCH(1,(GMW!$NE$2:$NE$150=Z$3)*(GMW!$ND$2:$ND$150=Z$4)*(GMW!$NF$2:$NF$150=Z$1),0),$C7-1966)</f>
        <v>16141.32</v>
      </c>
      <c r="AA7" s="4" cm="1">
        <f t="array" ref="AA7">INDEX(GMW!$A$2:$NF$150,MATCH(1,(GMW!$NE$2:$NE$150=AA$3)*(GMW!$ND$2:$ND$150=AA$4)*(GMW!$NF$2:$NF$150=AA$1),0),$C7-1966)</f>
        <v>247921</v>
      </c>
      <c r="AB7" s="4" cm="1">
        <f t="array" ref="AB7">INDEX(GMW!$A$2:$NF$150,MATCH(1,(GMW!$NE$2:$NE$150=AB$3)*(GMW!$ND$2:$ND$150=AB$4)*(GMW!$NF$2:$NF$150=AB$1),0),$C7-1966)</f>
        <v>24868.799999999999</v>
      </c>
      <c r="AC7" s="4" cm="1">
        <f t="array" ref="AC7">INDEX(GMW!$A$2:$NF$150,MATCH(1,(GMW!$NE$2:$NE$150=AC$3)*(GMW!$ND$2:$ND$150=AC$4)*(GMW!$NF$2:$NF$150=AC$1),0),$C7-1966)</f>
        <v>1E-3</v>
      </c>
      <c r="AD7" s="4" cm="1">
        <f t="array" ref="AD7">INDEX(GMW!$A$2:$NF$150,MATCH(1,(GMW!$NE$2:$NE$150=AD$3)*(GMW!$ND$2:$ND$150=AD$4)*(GMW!$NF$2:$NF$150=AD$1),0),$C7-1966)</f>
        <v>284961.7</v>
      </c>
      <c r="AE7" s="4" cm="1">
        <f t="array" ref="AE7">INDEX(GMW!$A$2:$NF$150,MATCH(1,(GMW!$NE$2:$NE$150=AE$3)*(GMW!$ND$2:$ND$150=AE$4)*(GMW!$NF$2:$NF$150=AE$1),0),$C7-1966)</f>
        <v>35306.44</v>
      </c>
      <c r="AF7" s="4" cm="1">
        <f t="array" ref="AF7">INDEX(GMW!$A$2:$NF$150,MATCH(1,(GMW!$NE$2:$NE$150=AF$3)*(GMW!$ND$2:$ND$150=AF$4)*(GMW!$NF$2:$NF$150=AF$1),0),$C7-1966)</f>
        <v>1059724</v>
      </c>
      <c r="AG7" s="4" cm="1">
        <f t="array" ref="AG7">INDEX(GMW!$A$2:$NF$150,MATCH(1,(GMW!$NE$2:$NE$150=AG$3)*(GMW!$ND$2:$ND$150=AG$4)*(GMW!$NF$2:$NF$150=AG$1),0),$C7-1966)</f>
        <v>-1.921214</v>
      </c>
      <c r="AH7" s="4" cm="1">
        <f t="array" ref="AH7">INDEX(GMW!$A$2:$NF$150,MATCH(1,(GMW!$NE$2:$NE$150=AH$3)*(GMW!$ND$2:$ND$150=AH$4)*(GMW!$NF$2:$NF$150=AH$1),0),$C7-1966)</f>
        <v>247921</v>
      </c>
      <c r="AI7" s="4" cm="1">
        <f t="array" ref="AI7">INDEX(GMW!$A$2:$NF$150,MATCH(1,(GMW!$NE$2:$NE$150=AI$3)*(GMW!$ND$2:$ND$150=AI$4)*(GMW!$NF$2:$NF$150=AI$1),0),$C7-1966)</f>
        <v>11.88749</v>
      </c>
      <c r="AJ7" s="4" cm="1">
        <f t="array" ref="AJ7">INDEX(GMW!$A$2:$NF$150,MATCH(1,(GMW!$NE$2:$NE$150=AJ$3)*(GMW!$ND$2:$ND$150=AJ$4)*(GMW!$NF$2:$NF$150=AJ$1),0),$C7-1966)</f>
        <v>35902</v>
      </c>
      <c r="AK7" s="4" cm="1">
        <f t="array" ref="AK7">INDEX(GMW!$A$2:$NF$150,MATCH(1,(GMW!$NE$2:$NE$150=AK$3)*(GMW!$ND$2:$ND$150=AK$4)*(GMW!$NF$2:$NF$150=AK$1),0),$C7-1966)</f>
        <v>13911.1</v>
      </c>
      <c r="AL7" s="4" cm="1">
        <f t="array" ref="AL7">INDEX(GMW!$A$2:$NF$150,MATCH(1,(GMW!$NE$2:$NE$150=AL$3)*(GMW!$ND$2:$ND$150=AL$4)*(GMW!$NF$2:$NF$150=AL$1),0),$C7-1966)</f>
        <v>34501</v>
      </c>
      <c r="AM7" s="4" cm="1">
        <f t="array" ref="AM7">INDEX(GMW!$A$2:$NF$150,MATCH(1,(GMW!$NE$2:$NE$150=AM$3)*(GMW!$ND$2:$ND$150=AM$4)*(GMW!$NF$2:$NF$150=AM$1),0),$C7-1966)</f>
        <v>-2641.15</v>
      </c>
      <c r="AN7" s="4" cm="1">
        <f t="array" ref="AN7">INDEX(GMW!$A$2:$NF$150,MATCH(1,(GMW!$NE$2:$NE$150=AN$3)*(GMW!$ND$2:$ND$150=AN$4)*(GMW!$NF$2:$NF$150=AN$1),0),$C7-1966)</f>
        <v>50184</v>
      </c>
      <c r="AO7" s="4" cm="1">
        <f t="array" ref="AO7">INDEX(GMW!$A$2:$NF$150,MATCH(1,(GMW!$NE$2:$NE$150=AO$3)*(GMW!$ND$2:$ND$150=AO$4)*(GMW!$NF$2:$NF$150=AO$1),0),$C7-1966)</f>
        <v>16141.32</v>
      </c>
      <c r="AP7" s="4" cm="1">
        <f t="array" ref="AP7">INDEX(GMW!$A$2:$NF$150,MATCH(1,(GMW!$NE$2:$NE$150=AP$3)*(GMW!$ND$2:$ND$150=AP$4)*(GMW!$NF$2:$NF$150=AP$1),0),$C7-1966)</f>
        <v>247921</v>
      </c>
      <c r="AQ7" s="4" cm="1">
        <f t="array" ref="AQ7">INDEX(GMW!$A$2:$NF$150,MATCH(1,(GMW!$NE$2:$NE$150=AQ$3)*(GMW!$ND$2:$ND$150=AQ$4)*(GMW!$NF$2:$NF$150=AQ$1),0),$C7-1966)</f>
        <v>24868.799999999999</v>
      </c>
      <c r="AR7" s="4" cm="1">
        <f t="array" ref="AR7">INDEX(GMW!$A$2:$NF$150,MATCH(1,(GMW!$NE$2:$NE$150=AR$3)*(GMW!$ND$2:$ND$150=AR$4)*(GMW!$NF$2:$NF$150=AR$1),0),$C7-1966)</f>
        <v>1E-3</v>
      </c>
      <c r="AS7" s="4" cm="1">
        <f t="array" ref="AS7">INDEX(GMW!$A$2:$NF$150,MATCH(1,(GMW!$NE$2:$NE$150=AS$3)*(GMW!$ND$2:$ND$150=AS$4)*(GMW!$NF$2:$NF$150=AS$1),0),$C7-1966)</f>
        <v>284961.7</v>
      </c>
      <c r="AT7" s="4" cm="1">
        <f t="array" ref="AT7">INDEX(GMW!$A$2:$NF$150,MATCH(1,(GMW!$NE$2:$NE$150=AT$3)*(GMW!$ND$2:$ND$150=AT$4)*(GMW!$NF$2:$NF$150=AT$1),0),$C7-1966)</f>
        <v>35306.44</v>
      </c>
      <c r="AU7" s="4" cm="1">
        <f t="array" ref="AU7">INDEX(GMW!$A$2:$NF$150,MATCH(1,(GMW!$NE$2:$NE$150=AU$3)*(GMW!$ND$2:$ND$150=AU$4)*(GMW!$NF$2:$NF$150=AU$1),0),$C7-1966)</f>
        <v>1059724</v>
      </c>
      <c r="AV7" s="4" cm="1">
        <f t="array" ref="AV7">INDEX(GMW!$A$2:$NF$150,MATCH(1,(GMW!$NE$2:$NE$150=AV$3)*(GMW!$ND$2:$ND$150=AV$4)*(GMW!$NF$2:$NF$150=AV$1),0),$C7-1966)</f>
        <v>-1.921214</v>
      </c>
    </row>
    <row r="8" spans="1:48" x14ac:dyDescent="0.25">
      <c r="B8" s="4">
        <v>1973</v>
      </c>
      <c r="C8" s="4">
        <f>+C7+1</f>
        <v>1974</v>
      </c>
      <c r="D8" s="4" cm="1">
        <f t="array" ref="D8">INDEX(GMW!$A$2:$NF$150,MATCH(1,(GMW!$NE$2:$NE$150=D$3)*(GMW!$ND$2:$ND$150=D$4)*(GMW!$NF$2:$NF$150=D$1),0),$C8-1966)</f>
        <v>248384</v>
      </c>
      <c r="E8" s="4" cm="1">
        <f t="array" ref="E8">INDEX(GMW!$A$2:$NF$150,MATCH(1,(GMW!$NE$2:$NE$150=E$3)*(GMW!$ND$2:$ND$150=E$4)*(GMW!$NF$2:$NF$150=E$1),0),$C8-1966)</f>
        <v>12.304600000000001</v>
      </c>
      <c r="F8" s="4" cm="1">
        <f t="array" ref="F8">INDEX(GMW!$A$2:$NF$150,MATCH(1,(GMW!$NE$2:$NE$150=F$3)*(GMW!$ND$2:$ND$150=F$4)*(GMW!$NF$2:$NF$150=F$1),0),$C8-1966)</f>
        <v>36730</v>
      </c>
      <c r="G8" s="4" cm="1">
        <f t="array" ref="G8">INDEX(GMW!$A$2:$NF$150,MATCH(1,(GMW!$NE$2:$NE$150=G$3)*(GMW!$ND$2:$ND$150=G$4)*(GMW!$NF$2:$NF$150=G$1),0),$C8-1966)</f>
        <v>14383.87</v>
      </c>
      <c r="H8" s="4" cm="1">
        <f t="array" ref="H8">INDEX(GMW!$A$2:$NF$150,MATCH(1,(GMW!$NE$2:$NE$150=H$3)*(GMW!$ND$2:$ND$150=H$4)*(GMW!$NF$2:$NF$150=H$1),0),$C8-1966)</f>
        <v>34693</v>
      </c>
      <c r="I8" s="4" cm="1">
        <f t="array" ref="I8">INDEX(GMW!$A$2:$NF$150,MATCH(1,(GMW!$NE$2:$NE$150=I$3)*(GMW!$ND$2:$ND$150=I$4)*(GMW!$NF$2:$NF$150=I$1),0),$C8-1966)</f>
        <v>-4462.875</v>
      </c>
      <c r="J8" s="4" cm="1">
        <f t="array" ref="J8">INDEX(GMW!$A$2:$NF$150,MATCH(1,(GMW!$NE$2:$NE$150=J$3)*(GMW!$ND$2:$ND$150=J$4)*(GMW!$NF$2:$NF$150=J$1),0),$C8-1966)</f>
        <v>48537</v>
      </c>
      <c r="K8" s="4" cm="1">
        <f t="array" ref="K8">INDEX(GMW!$A$2:$NF$150,MATCH(1,(GMW!$NE$2:$NE$150=K$3)*(GMW!$ND$2:$ND$150=K$4)*(GMW!$NF$2:$NF$150=K$1),0),$C8-1966)</f>
        <v>15761.6</v>
      </c>
      <c r="L8" s="4" cm="1">
        <f t="array" ref="L8">INDEX(GMW!$A$2:$NF$150,MATCH(1,(GMW!$NE$2:$NE$150=L$3)*(GMW!$ND$2:$ND$150=L$4)*(GMW!$NF$2:$NF$150=L$1),0),$C8-1966)</f>
        <v>248795.6</v>
      </c>
      <c r="M8" s="4" cm="1">
        <f t="array" ref="M8">INDEX(GMW!$A$2:$NF$150,MATCH(1,(GMW!$NE$2:$NE$150=M$3)*(GMW!$ND$2:$ND$150=M$4)*(GMW!$NF$2:$NF$150=M$1),0),$C8-1966)</f>
        <v>24915.84</v>
      </c>
      <c r="N8" s="4" cm="1">
        <f t="array" ref="N8">INDEX(GMW!$A$2:$NF$150,MATCH(1,(GMW!$NE$2:$NE$150=N$3)*(GMW!$ND$2:$ND$150=N$4)*(GMW!$NF$2:$NF$150=N$1),0),$C8-1966)</f>
        <v>1E-3</v>
      </c>
      <c r="O8" s="4" cm="1">
        <f t="array" ref="O8">INDEX(GMW!$A$2:$NF$150,MATCH(1,(GMW!$NE$2:$NE$150=O$3)*(GMW!$ND$2:$ND$150=O$4)*(GMW!$NF$2:$NF$150=O$1),0),$C8-1966)</f>
        <v>285664.3</v>
      </c>
      <c r="P8" s="4" cm="1">
        <f t="array" ref="P8">INDEX(GMW!$A$2:$NF$150,MATCH(1,(GMW!$NE$2:$NE$150=P$3)*(GMW!$ND$2:$ND$150=P$4)*(GMW!$NF$2:$NF$150=P$1),0),$C8-1966)</f>
        <v>35326.230000000003</v>
      </c>
      <c r="Q8" s="4" cm="1">
        <f t="array" ref="Q8">INDEX(GMW!$A$2:$NF$150,MATCH(1,(GMW!$NE$2:$NE$150=Q$3)*(GMW!$ND$2:$ND$150=Q$4)*(GMW!$NF$2:$NF$150=Q$1),0),$C8-1966)</f>
        <v>1069549</v>
      </c>
      <c r="R8" s="4" cm="1">
        <f t="array" ref="R8">INDEX(GMW!$A$2:$NF$150,MATCH(1,(GMW!$NE$2:$NE$150=R$3)*(GMW!$ND$2:$ND$150=R$4)*(GMW!$NF$2:$NF$150=R$1),0),$C8-1966)</f>
        <v>-1.9221969999999999</v>
      </c>
      <c r="S8" s="4" cm="1">
        <f t="array" ref="S8">INDEX(GMW!$A$2:$NF$150,MATCH(1,(GMW!$NE$2:$NE$150=S$3)*(GMW!$ND$2:$ND$150=S$4)*(GMW!$NF$2:$NF$150=S$1),0),$C8-1966)</f>
        <v>248384</v>
      </c>
      <c r="T8" s="4" cm="1">
        <f t="array" ref="T8">INDEX(GMW!$A$2:$NF$150,MATCH(1,(GMW!$NE$2:$NE$150=T$3)*(GMW!$ND$2:$ND$150=T$4)*(GMW!$NF$2:$NF$150=T$1),0),$C8-1966)</f>
        <v>12.304600000000001</v>
      </c>
      <c r="U8" s="4" cm="1">
        <f t="array" ref="U8">INDEX(GMW!$A$2:$NF$150,MATCH(1,(GMW!$NE$2:$NE$150=U$3)*(GMW!$ND$2:$ND$150=U$4)*(GMW!$NF$2:$NF$150=U$1),0),$C8-1966)</f>
        <v>36730</v>
      </c>
      <c r="V8" s="4" cm="1">
        <f t="array" ref="V8">INDEX(GMW!$A$2:$NF$150,MATCH(1,(GMW!$NE$2:$NE$150=V$3)*(GMW!$ND$2:$ND$150=V$4)*(GMW!$NF$2:$NF$150=V$1),0),$C8-1966)</f>
        <v>14383.87</v>
      </c>
      <c r="W8" s="4" cm="1">
        <f t="array" ref="W8">INDEX(GMW!$A$2:$NF$150,MATCH(1,(GMW!$NE$2:$NE$150=W$3)*(GMW!$ND$2:$ND$150=W$4)*(GMW!$NF$2:$NF$150=W$1),0),$C8-1966)</f>
        <v>34693</v>
      </c>
      <c r="X8" s="4" cm="1">
        <f t="array" ref="X8">INDEX(GMW!$A$2:$NF$150,MATCH(1,(GMW!$NE$2:$NE$150=X$3)*(GMW!$ND$2:$ND$150=X$4)*(GMW!$NF$2:$NF$150=X$1),0),$C8-1966)</f>
        <v>-4462.875</v>
      </c>
      <c r="Y8" s="4" cm="1">
        <f t="array" ref="Y8">INDEX(GMW!$A$2:$NF$150,MATCH(1,(GMW!$NE$2:$NE$150=Y$3)*(GMW!$ND$2:$ND$150=Y$4)*(GMW!$NF$2:$NF$150=Y$1),0),$C8-1966)</f>
        <v>48537</v>
      </c>
      <c r="Z8" s="4" cm="1">
        <f t="array" ref="Z8">INDEX(GMW!$A$2:$NF$150,MATCH(1,(GMW!$NE$2:$NE$150=Z$3)*(GMW!$ND$2:$ND$150=Z$4)*(GMW!$NF$2:$NF$150=Z$1),0),$C8-1966)</f>
        <v>15761.6</v>
      </c>
      <c r="AA8" s="4" cm="1">
        <f t="array" ref="AA8">INDEX(GMW!$A$2:$NF$150,MATCH(1,(GMW!$NE$2:$NE$150=AA$3)*(GMW!$ND$2:$ND$150=AA$4)*(GMW!$NF$2:$NF$150=AA$1),0),$C8-1966)</f>
        <v>248795.6</v>
      </c>
      <c r="AB8" s="4" cm="1">
        <f t="array" ref="AB8">INDEX(GMW!$A$2:$NF$150,MATCH(1,(GMW!$NE$2:$NE$150=AB$3)*(GMW!$ND$2:$ND$150=AB$4)*(GMW!$NF$2:$NF$150=AB$1),0),$C8-1966)</f>
        <v>24915.84</v>
      </c>
      <c r="AC8" s="4" cm="1">
        <f t="array" ref="AC8">INDEX(GMW!$A$2:$NF$150,MATCH(1,(GMW!$NE$2:$NE$150=AC$3)*(GMW!$ND$2:$ND$150=AC$4)*(GMW!$NF$2:$NF$150=AC$1),0),$C8-1966)</f>
        <v>1E-3</v>
      </c>
      <c r="AD8" s="4" cm="1">
        <f t="array" ref="AD8">INDEX(GMW!$A$2:$NF$150,MATCH(1,(GMW!$NE$2:$NE$150=AD$3)*(GMW!$ND$2:$ND$150=AD$4)*(GMW!$NF$2:$NF$150=AD$1),0),$C8-1966)</f>
        <v>285664.3</v>
      </c>
      <c r="AE8" s="4" cm="1">
        <f t="array" ref="AE8">INDEX(GMW!$A$2:$NF$150,MATCH(1,(GMW!$NE$2:$NE$150=AE$3)*(GMW!$ND$2:$ND$150=AE$4)*(GMW!$NF$2:$NF$150=AE$1),0),$C8-1966)</f>
        <v>35326.230000000003</v>
      </c>
      <c r="AF8" s="4" cm="1">
        <f t="array" ref="AF8">INDEX(GMW!$A$2:$NF$150,MATCH(1,(GMW!$NE$2:$NE$150=AF$3)*(GMW!$ND$2:$ND$150=AF$4)*(GMW!$NF$2:$NF$150=AF$1),0),$C8-1966)</f>
        <v>1069549</v>
      </c>
      <c r="AG8" s="4" cm="1">
        <f t="array" ref="AG8">INDEX(GMW!$A$2:$NF$150,MATCH(1,(GMW!$NE$2:$NE$150=AG$3)*(GMW!$ND$2:$ND$150=AG$4)*(GMW!$NF$2:$NF$150=AG$1),0),$C8-1966)</f>
        <v>-1.9221969999999999</v>
      </c>
      <c r="AH8" s="4" cm="1">
        <f t="array" ref="AH8">INDEX(GMW!$A$2:$NF$150,MATCH(1,(GMW!$NE$2:$NE$150=AH$3)*(GMW!$ND$2:$ND$150=AH$4)*(GMW!$NF$2:$NF$150=AH$1),0),$C8-1966)</f>
        <v>248384</v>
      </c>
      <c r="AI8" s="4" cm="1">
        <f t="array" ref="AI8">INDEX(GMW!$A$2:$NF$150,MATCH(1,(GMW!$NE$2:$NE$150=AI$3)*(GMW!$ND$2:$ND$150=AI$4)*(GMW!$NF$2:$NF$150=AI$1),0),$C8-1966)</f>
        <v>12.304600000000001</v>
      </c>
      <c r="AJ8" s="4" cm="1">
        <f t="array" ref="AJ8">INDEX(GMW!$A$2:$NF$150,MATCH(1,(GMW!$NE$2:$NE$150=AJ$3)*(GMW!$ND$2:$ND$150=AJ$4)*(GMW!$NF$2:$NF$150=AJ$1),0),$C8-1966)</f>
        <v>36730</v>
      </c>
      <c r="AK8" s="4" cm="1">
        <f t="array" ref="AK8">INDEX(GMW!$A$2:$NF$150,MATCH(1,(GMW!$NE$2:$NE$150=AK$3)*(GMW!$ND$2:$ND$150=AK$4)*(GMW!$NF$2:$NF$150=AK$1),0),$C8-1966)</f>
        <v>14383.87</v>
      </c>
      <c r="AL8" s="4" cm="1">
        <f t="array" ref="AL8">INDEX(GMW!$A$2:$NF$150,MATCH(1,(GMW!$NE$2:$NE$150=AL$3)*(GMW!$ND$2:$ND$150=AL$4)*(GMW!$NF$2:$NF$150=AL$1),0),$C8-1966)</f>
        <v>34693</v>
      </c>
      <c r="AM8" s="4" cm="1">
        <f t="array" ref="AM8">INDEX(GMW!$A$2:$NF$150,MATCH(1,(GMW!$NE$2:$NE$150=AM$3)*(GMW!$ND$2:$ND$150=AM$4)*(GMW!$NF$2:$NF$150=AM$1),0),$C8-1966)</f>
        <v>-4462.875</v>
      </c>
      <c r="AN8" s="4" cm="1">
        <f t="array" ref="AN8">INDEX(GMW!$A$2:$NF$150,MATCH(1,(GMW!$NE$2:$NE$150=AN$3)*(GMW!$ND$2:$ND$150=AN$4)*(GMW!$NF$2:$NF$150=AN$1),0),$C8-1966)</f>
        <v>48537</v>
      </c>
      <c r="AO8" s="4" cm="1">
        <f t="array" ref="AO8">INDEX(GMW!$A$2:$NF$150,MATCH(1,(GMW!$NE$2:$NE$150=AO$3)*(GMW!$ND$2:$ND$150=AO$4)*(GMW!$NF$2:$NF$150=AO$1),0),$C8-1966)</f>
        <v>15761.6</v>
      </c>
      <c r="AP8" s="4" cm="1">
        <f t="array" ref="AP8">INDEX(GMW!$A$2:$NF$150,MATCH(1,(GMW!$NE$2:$NE$150=AP$3)*(GMW!$ND$2:$ND$150=AP$4)*(GMW!$NF$2:$NF$150=AP$1),0),$C8-1966)</f>
        <v>248795.6</v>
      </c>
      <c r="AQ8" s="4" cm="1">
        <f t="array" ref="AQ8">INDEX(GMW!$A$2:$NF$150,MATCH(1,(GMW!$NE$2:$NE$150=AQ$3)*(GMW!$ND$2:$ND$150=AQ$4)*(GMW!$NF$2:$NF$150=AQ$1),0),$C8-1966)</f>
        <v>24915.84</v>
      </c>
      <c r="AR8" s="4" cm="1">
        <f t="array" ref="AR8">INDEX(GMW!$A$2:$NF$150,MATCH(1,(GMW!$NE$2:$NE$150=AR$3)*(GMW!$ND$2:$ND$150=AR$4)*(GMW!$NF$2:$NF$150=AR$1),0),$C8-1966)</f>
        <v>1E-3</v>
      </c>
      <c r="AS8" s="4" cm="1">
        <f t="array" ref="AS8">INDEX(GMW!$A$2:$NF$150,MATCH(1,(GMW!$NE$2:$NE$150=AS$3)*(GMW!$ND$2:$ND$150=AS$4)*(GMW!$NF$2:$NF$150=AS$1),0),$C8-1966)</f>
        <v>285664.3</v>
      </c>
      <c r="AT8" s="4" cm="1">
        <f t="array" ref="AT8">INDEX(GMW!$A$2:$NF$150,MATCH(1,(GMW!$NE$2:$NE$150=AT$3)*(GMW!$ND$2:$ND$150=AT$4)*(GMW!$NF$2:$NF$150=AT$1),0),$C8-1966)</f>
        <v>35326.230000000003</v>
      </c>
      <c r="AU8" s="4" cm="1">
        <f t="array" ref="AU8">INDEX(GMW!$A$2:$NF$150,MATCH(1,(GMW!$NE$2:$NE$150=AU$3)*(GMW!$ND$2:$ND$150=AU$4)*(GMW!$NF$2:$NF$150=AU$1),0),$C8-1966)</f>
        <v>1069549</v>
      </c>
      <c r="AV8" s="4" cm="1">
        <f t="array" ref="AV8">INDEX(GMW!$A$2:$NF$150,MATCH(1,(GMW!$NE$2:$NE$150=AV$3)*(GMW!$ND$2:$ND$150=AV$4)*(GMW!$NF$2:$NF$150=AV$1),0),$C8-1966)</f>
        <v>-1.9221969999999999</v>
      </c>
    </row>
    <row r="9" spans="1:48" x14ac:dyDescent="0.25">
      <c r="B9" s="4">
        <v>1973</v>
      </c>
      <c r="C9" s="4">
        <f t="shared" ref="C9:C47" si="3">+C8+1</f>
        <v>1975</v>
      </c>
      <c r="D9" s="4" cm="1">
        <f t="array" ref="D9">INDEX(GMW!$A$2:$NF$150,MATCH(1,(GMW!$NE$2:$NE$150=D$3)*(GMW!$ND$2:$ND$150=D$4)*(GMW!$NF$2:$NF$150=D$1),0),$C9-1966)</f>
        <v>246082</v>
      </c>
      <c r="E9" s="4" cm="1">
        <f t="array" ref="E9">INDEX(GMW!$A$2:$NF$150,MATCH(1,(GMW!$NE$2:$NE$150=E$3)*(GMW!$ND$2:$ND$150=E$4)*(GMW!$NF$2:$NF$150=E$1),0),$C9-1966)</f>
        <v>12.51315</v>
      </c>
      <c r="F9" s="4" cm="1">
        <f t="array" ref="F9">INDEX(GMW!$A$2:$NF$150,MATCH(1,(GMW!$NE$2:$NE$150=F$3)*(GMW!$ND$2:$ND$150=F$4)*(GMW!$NF$2:$NF$150=F$1),0),$C9-1966)</f>
        <v>37647</v>
      </c>
      <c r="G9" s="4" cm="1">
        <f t="array" ref="G9">INDEX(GMW!$A$2:$NF$150,MATCH(1,(GMW!$NE$2:$NE$150=G$3)*(GMW!$ND$2:$ND$150=G$4)*(GMW!$NF$2:$NF$150=G$1),0),$C9-1966)</f>
        <v>14134.28</v>
      </c>
      <c r="H9" s="4" cm="1">
        <f t="array" ref="H9">INDEX(GMW!$A$2:$NF$150,MATCH(1,(GMW!$NE$2:$NE$150=H$3)*(GMW!$ND$2:$ND$150=H$4)*(GMW!$NF$2:$NF$150=H$1),0),$C9-1966)</f>
        <v>35714</v>
      </c>
      <c r="I9" s="4" cm="1">
        <f t="array" ref="I9">INDEX(GMW!$A$2:$NF$150,MATCH(1,(GMW!$NE$2:$NE$150=I$3)*(GMW!$ND$2:$ND$150=I$4)*(GMW!$NF$2:$NF$150=I$1),0),$C9-1966)</f>
        <v>-5844.55</v>
      </c>
      <c r="J9" s="4" cm="1">
        <f t="array" ref="J9">INDEX(GMW!$A$2:$NF$150,MATCH(1,(GMW!$NE$2:$NE$150=J$3)*(GMW!$ND$2:$ND$150=J$4)*(GMW!$NF$2:$NF$150=J$1),0),$C9-1966)</f>
        <v>47578</v>
      </c>
      <c r="K9" s="4" cm="1">
        <f t="array" ref="K9">INDEX(GMW!$A$2:$NF$150,MATCH(1,(GMW!$NE$2:$NE$150=K$3)*(GMW!$ND$2:$ND$150=K$4)*(GMW!$NF$2:$NF$150=K$1),0),$C9-1966)</f>
        <v>15887.1</v>
      </c>
      <c r="L9" s="4" cm="1">
        <f t="array" ref="L9">INDEX(GMW!$A$2:$NF$150,MATCH(1,(GMW!$NE$2:$NE$150=L$3)*(GMW!$ND$2:$ND$150=L$4)*(GMW!$NF$2:$NF$150=L$1),0),$C9-1966)</f>
        <v>249192.3</v>
      </c>
      <c r="M9" s="4" cm="1">
        <f t="array" ref="M9">INDEX(GMW!$A$2:$NF$150,MATCH(1,(GMW!$NE$2:$NE$150=M$3)*(GMW!$ND$2:$ND$150=M$4)*(GMW!$NF$2:$NF$150=M$1),0),$C9-1966)</f>
        <v>24863.040000000001</v>
      </c>
      <c r="N9" s="4" cm="1">
        <f t="array" ref="N9">INDEX(GMW!$A$2:$NF$150,MATCH(1,(GMW!$NE$2:$NE$150=N$3)*(GMW!$ND$2:$ND$150=N$4)*(GMW!$NF$2:$NF$150=N$1),0),$C9-1966)</f>
        <v>1E-3</v>
      </c>
      <c r="O9" s="4" cm="1">
        <f t="array" ref="O9">INDEX(GMW!$A$2:$NF$150,MATCH(1,(GMW!$NE$2:$NE$150=O$3)*(GMW!$ND$2:$ND$150=O$4)*(GMW!$NF$2:$NF$150=O$1),0),$C9-1966)</f>
        <v>286372.7</v>
      </c>
      <c r="P9" s="4" cm="1">
        <f t="array" ref="P9">INDEX(GMW!$A$2:$NF$150,MATCH(1,(GMW!$NE$2:$NE$150=P$3)*(GMW!$ND$2:$ND$150=P$4)*(GMW!$NF$2:$NF$150=P$1),0),$C9-1966)</f>
        <v>35328.269999999997</v>
      </c>
      <c r="Q9" s="4" cm="1">
        <f t="array" ref="Q9">INDEX(GMW!$A$2:$NF$150,MATCH(1,(GMW!$NE$2:$NE$150=Q$3)*(GMW!$ND$2:$ND$150=Q$4)*(GMW!$NF$2:$NF$150=Q$1),0),$C9-1966)</f>
        <v>1079374</v>
      </c>
      <c r="R9" s="4" cm="1">
        <f t="array" ref="R9">INDEX(GMW!$A$2:$NF$150,MATCH(1,(GMW!$NE$2:$NE$150=R$3)*(GMW!$ND$2:$ND$150=R$4)*(GMW!$NF$2:$NF$150=R$1),0),$C9-1966)</f>
        <v>-1.9231799999999999</v>
      </c>
      <c r="S9" s="4" cm="1">
        <f t="array" ref="S9">INDEX(GMW!$A$2:$NF$150,MATCH(1,(GMW!$NE$2:$NE$150=S$3)*(GMW!$ND$2:$ND$150=S$4)*(GMW!$NF$2:$NF$150=S$1),0),$C9-1966)</f>
        <v>246082</v>
      </c>
      <c r="T9" s="4" cm="1">
        <f t="array" ref="T9">INDEX(GMW!$A$2:$NF$150,MATCH(1,(GMW!$NE$2:$NE$150=T$3)*(GMW!$ND$2:$ND$150=T$4)*(GMW!$NF$2:$NF$150=T$1),0),$C9-1966)</f>
        <v>12.51315</v>
      </c>
      <c r="U9" s="4" cm="1">
        <f t="array" ref="U9">INDEX(GMW!$A$2:$NF$150,MATCH(1,(GMW!$NE$2:$NE$150=U$3)*(GMW!$ND$2:$ND$150=U$4)*(GMW!$NF$2:$NF$150=U$1),0),$C9-1966)</f>
        <v>37647</v>
      </c>
      <c r="V9" s="4" cm="1">
        <f t="array" ref="V9">INDEX(GMW!$A$2:$NF$150,MATCH(1,(GMW!$NE$2:$NE$150=V$3)*(GMW!$ND$2:$ND$150=V$4)*(GMW!$NF$2:$NF$150=V$1),0),$C9-1966)</f>
        <v>14134.28</v>
      </c>
      <c r="W9" s="4" cm="1">
        <f t="array" ref="W9">INDEX(GMW!$A$2:$NF$150,MATCH(1,(GMW!$NE$2:$NE$150=W$3)*(GMW!$ND$2:$ND$150=W$4)*(GMW!$NF$2:$NF$150=W$1),0),$C9-1966)</f>
        <v>35714</v>
      </c>
      <c r="X9" s="4" cm="1">
        <f t="array" ref="X9">INDEX(GMW!$A$2:$NF$150,MATCH(1,(GMW!$NE$2:$NE$150=X$3)*(GMW!$ND$2:$ND$150=X$4)*(GMW!$NF$2:$NF$150=X$1),0),$C9-1966)</f>
        <v>-5844.55</v>
      </c>
      <c r="Y9" s="4" cm="1">
        <f t="array" ref="Y9">INDEX(GMW!$A$2:$NF$150,MATCH(1,(GMW!$NE$2:$NE$150=Y$3)*(GMW!$ND$2:$ND$150=Y$4)*(GMW!$NF$2:$NF$150=Y$1),0),$C9-1966)</f>
        <v>47578</v>
      </c>
      <c r="Z9" s="4" cm="1">
        <f t="array" ref="Z9">INDEX(GMW!$A$2:$NF$150,MATCH(1,(GMW!$NE$2:$NE$150=Z$3)*(GMW!$ND$2:$ND$150=Z$4)*(GMW!$NF$2:$NF$150=Z$1),0),$C9-1966)</f>
        <v>15887.1</v>
      </c>
      <c r="AA9" s="4" cm="1">
        <f t="array" ref="AA9">INDEX(GMW!$A$2:$NF$150,MATCH(1,(GMW!$NE$2:$NE$150=AA$3)*(GMW!$ND$2:$ND$150=AA$4)*(GMW!$NF$2:$NF$150=AA$1),0),$C9-1966)</f>
        <v>249192.3</v>
      </c>
      <c r="AB9" s="4" cm="1">
        <f t="array" ref="AB9">INDEX(GMW!$A$2:$NF$150,MATCH(1,(GMW!$NE$2:$NE$150=AB$3)*(GMW!$ND$2:$ND$150=AB$4)*(GMW!$NF$2:$NF$150=AB$1),0),$C9-1966)</f>
        <v>24863.040000000001</v>
      </c>
      <c r="AC9" s="4" cm="1">
        <f t="array" ref="AC9">INDEX(GMW!$A$2:$NF$150,MATCH(1,(GMW!$NE$2:$NE$150=AC$3)*(GMW!$ND$2:$ND$150=AC$4)*(GMW!$NF$2:$NF$150=AC$1),0),$C9-1966)</f>
        <v>1E-3</v>
      </c>
      <c r="AD9" s="4" cm="1">
        <f t="array" ref="AD9">INDEX(GMW!$A$2:$NF$150,MATCH(1,(GMW!$NE$2:$NE$150=AD$3)*(GMW!$ND$2:$ND$150=AD$4)*(GMW!$NF$2:$NF$150=AD$1),0),$C9-1966)</f>
        <v>286372.7</v>
      </c>
      <c r="AE9" s="4" cm="1">
        <f t="array" ref="AE9">INDEX(GMW!$A$2:$NF$150,MATCH(1,(GMW!$NE$2:$NE$150=AE$3)*(GMW!$ND$2:$ND$150=AE$4)*(GMW!$NF$2:$NF$150=AE$1),0),$C9-1966)</f>
        <v>35328.269999999997</v>
      </c>
      <c r="AF9" s="4" cm="1">
        <f t="array" ref="AF9">INDEX(GMW!$A$2:$NF$150,MATCH(1,(GMW!$NE$2:$NE$150=AF$3)*(GMW!$ND$2:$ND$150=AF$4)*(GMW!$NF$2:$NF$150=AF$1),0),$C9-1966)</f>
        <v>1079374</v>
      </c>
      <c r="AG9" s="4" cm="1">
        <f t="array" ref="AG9">INDEX(GMW!$A$2:$NF$150,MATCH(1,(GMW!$NE$2:$NE$150=AG$3)*(GMW!$ND$2:$ND$150=AG$4)*(GMW!$NF$2:$NF$150=AG$1),0),$C9-1966)</f>
        <v>-1.9231799999999999</v>
      </c>
      <c r="AH9" s="4" cm="1">
        <f t="array" ref="AH9">INDEX(GMW!$A$2:$NF$150,MATCH(1,(GMW!$NE$2:$NE$150=AH$3)*(GMW!$ND$2:$ND$150=AH$4)*(GMW!$NF$2:$NF$150=AH$1),0),$C9-1966)</f>
        <v>246082</v>
      </c>
      <c r="AI9" s="4" cm="1">
        <f t="array" ref="AI9">INDEX(GMW!$A$2:$NF$150,MATCH(1,(GMW!$NE$2:$NE$150=AI$3)*(GMW!$ND$2:$ND$150=AI$4)*(GMW!$NF$2:$NF$150=AI$1),0),$C9-1966)</f>
        <v>12.51315</v>
      </c>
      <c r="AJ9" s="4" cm="1">
        <f t="array" ref="AJ9">INDEX(GMW!$A$2:$NF$150,MATCH(1,(GMW!$NE$2:$NE$150=AJ$3)*(GMW!$ND$2:$ND$150=AJ$4)*(GMW!$NF$2:$NF$150=AJ$1),0),$C9-1966)</f>
        <v>37647</v>
      </c>
      <c r="AK9" s="4" cm="1">
        <f t="array" ref="AK9">INDEX(GMW!$A$2:$NF$150,MATCH(1,(GMW!$NE$2:$NE$150=AK$3)*(GMW!$ND$2:$ND$150=AK$4)*(GMW!$NF$2:$NF$150=AK$1),0),$C9-1966)</f>
        <v>14134.28</v>
      </c>
      <c r="AL9" s="4" cm="1">
        <f t="array" ref="AL9">INDEX(GMW!$A$2:$NF$150,MATCH(1,(GMW!$NE$2:$NE$150=AL$3)*(GMW!$ND$2:$ND$150=AL$4)*(GMW!$NF$2:$NF$150=AL$1),0),$C9-1966)</f>
        <v>35714</v>
      </c>
      <c r="AM9" s="4" cm="1">
        <f t="array" ref="AM9">INDEX(GMW!$A$2:$NF$150,MATCH(1,(GMW!$NE$2:$NE$150=AM$3)*(GMW!$ND$2:$ND$150=AM$4)*(GMW!$NF$2:$NF$150=AM$1),0),$C9-1966)</f>
        <v>-5844.55</v>
      </c>
      <c r="AN9" s="4" cm="1">
        <f t="array" ref="AN9">INDEX(GMW!$A$2:$NF$150,MATCH(1,(GMW!$NE$2:$NE$150=AN$3)*(GMW!$ND$2:$ND$150=AN$4)*(GMW!$NF$2:$NF$150=AN$1),0),$C9-1966)</f>
        <v>47578</v>
      </c>
      <c r="AO9" s="4" cm="1">
        <f t="array" ref="AO9">INDEX(GMW!$A$2:$NF$150,MATCH(1,(GMW!$NE$2:$NE$150=AO$3)*(GMW!$ND$2:$ND$150=AO$4)*(GMW!$NF$2:$NF$150=AO$1),0),$C9-1966)</f>
        <v>15887.1</v>
      </c>
      <c r="AP9" s="4" cm="1">
        <f t="array" ref="AP9">INDEX(GMW!$A$2:$NF$150,MATCH(1,(GMW!$NE$2:$NE$150=AP$3)*(GMW!$ND$2:$ND$150=AP$4)*(GMW!$NF$2:$NF$150=AP$1),0),$C9-1966)</f>
        <v>249192.3</v>
      </c>
      <c r="AQ9" s="4" cm="1">
        <f t="array" ref="AQ9">INDEX(GMW!$A$2:$NF$150,MATCH(1,(GMW!$NE$2:$NE$150=AQ$3)*(GMW!$ND$2:$ND$150=AQ$4)*(GMW!$NF$2:$NF$150=AQ$1),0),$C9-1966)</f>
        <v>24863.040000000001</v>
      </c>
      <c r="AR9" s="4" cm="1">
        <f t="array" ref="AR9">INDEX(GMW!$A$2:$NF$150,MATCH(1,(GMW!$NE$2:$NE$150=AR$3)*(GMW!$ND$2:$ND$150=AR$4)*(GMW!$NF$2:$NF$150=AR$1),0),$C9-1966)</f>
        <v>1E-3</v>
      </c>
      <c r="AS9" s="4" cm="1">
        <f t="array" ref="AS9">INDEX(GMW!$A$2:$NF$150,MATCH(1,(GMW!$NE$2:$NE$150=AS$3)*(GMW!$ND$2:$ND$150=AS$4)*(GMW!$NF$2:$NF$150=AS$1),0),$C9-1966)</f>
        <v>286372.7</v>
      </c>
      <c r="AT9" s="4" cm="1">
        <f t="array" ref="AT9">INDEX(GMW!$A$2:$NF$150,MATCH(1,(GMW!$NE$2:$NE$150=AT$3)*(GMW!$ND$2:$ND$150=AT$4)*(GMW!$NF$2:$NF$150=AT$1),0),$C9-1966)</f>
        <v>35328.269999999997</v>
      </c>
      <c r="AU9" s="4" cm="1">
        <f t="array" ref="AU9">INDEX(GMW!$A$2:$NF$150,MATCH(1,(GMW!$NE$2:$NE$150=AU$3)*(GMW!$ND$2:$ND$150=AU$4)*(GMW!$NF$2:$NF$150=AU$1),0),$C9-1966)</f>
        <v>1079374</v>
      </c>
      <c r="AV9" s="4" cm="1">
        <f t="array" ref="AV9">INDEX(GMW!$A$2:$NF$150,MATCH(1,(GMW!$NE$2:$NE$150=AV$3)*(GMW!$ND$2:$ND$150=AV$4)*(GMW!$NF$2:$NF$150=AV$1),0),$C9-1966)</f>
        <v>-1.9231799999999999</v>
      </c>
    </row>
    <row r="10" spans="1:48" x14ac:dyDescent="0.25">
      <c r="B10" s="4">
        <v>1973</v>
      </c>
      <c r="C10" s="4">
        <f t="shared" si="3"/>
        <v>1976</v>
      </c>
      <c r="D10" s="4" cm="1">
        <f t="array" ref="D10">INDEX(GMW!$A$2:$NF$150,MATCH(1,(GMW!$NE$2:$NE$150=D$3)*(GMW!$ND$2:$ND$150=D$4)*(GMW!$NF$2:$NF$150=D$1),0),$C10-1966)</f>
        <v>245140</v>
      </c>
      <c r="E10" s="4" cm="1">
        <f t="array" ref="E10">INDEX(GMW!$A$2:$NF$150,MATCH(1,(GMW!$NE$2:$NE$150=E$3)*(GMW!$ND$2:$ND$150=E$4)*(GMW!$NF$2:$NF$150=E$1),0),$C10-1966)</f>
        <v>13.008459999999999</v>
      </c>
      <c r="F10" s="4" cm="1">
        <f t="array" ref="F10">INDEX(GMW!$A$2:$NF$150,MATCH(1,(GMW!$NE$2:$NE$150=F$3)*(GMW!$ND$2:$ND$150=F$4)*(GMW!$NF$2:$NF$150=F$1),0),$C10-1966)</f>
        <v>37940</v>
      </c>
      <c r="G10" s="4" cm="1">
        <f t="array" ref="G10">INDEX(GMW!$A$2:$NF$150,MATCH(1,(GMW!$NE$2:$NE$150=G$3)*(GMW!$ND$2:$ND$150=G$4)*(GMW!$NF$2:$NF$150=G$1),0),$C10-1966)</f>
        <v>14654.81</v>
      </c>
      <c r="H10" s="4" cm="1">
        <f t="array" ref="H10">INDEX(GMW!$A$2:$NF$150,MATCH(1,(GMW!$NE$2:$NE$150=H$3)*(GMW!$ND$2:$ND$150=H$4)*(GMW!$NF$2:$NF$150=H$1),0),$C10-1966)</f>
        <v>36306</v>
      </c>
      <c r="I10" s="4" cm="1">
        <f t="array" ref="I10">INDEX(GMW!$A$2:$NF$150,MATCH(1,(GMW!$NE$2:$NE$150=I$3)*(GMW!$ND$2:$ND$150=I$4)*(GMW!$NF$2:$NF$150=I$1),0),$C10-1966)</f>
        <v>-3867.7750000000001</v>
      </c>
      <c r="J10" s="4" cm="1">
        <f t="array" ref="J10">INDEX(GMW!$A$2:$NF$150,MATCH(1,(GMW!$NE$2:$NE$150=J$3)*(GMW!$ND$2:$ND$150=J$4)*(GMW!$NF$2:$NF$150=J$1),0),$C10-1966)</f>
        <v>47374</v>
      </c>
      <c r="K10" s="4" cm="1">
        <f t="array" ref="K10">INDEX(GMW!$A$2:$NF$150,MATCH(1,(GMW!$NE$2:$NE$150=K$3)*(GMW!$ND$2:$ND$150=K$4)*(GMW!$NF$2:$NF$150=K$1),0),$C10-1966)</f>
        <v>16340.84</v>
      </c>
      <c r="L10" s="4" cm="1">
        <f t="array" ref="L10">INDEX(GMW!$A$2:$NF$150,MATCH(1,(GMW!$NE$2:$NE$150=L$3)*(GMW!$ND$2:$ND$150=L$4)*(GMW!$NF$2:$NF$150=L$1),0),$C10-1966)</f>
        <v>249852.3</v>
      </c>
      <c r="M10" s="4" cm="1">
        <f t="array" ref="M10">INDEX(GMW!$A$2:$NF$150,MATCH(1,(GMW!$NE$2:$NE$150=M$3)*(GMW!$ND$2:$ND$150=M$4)*(GMW!$NF$2:$NF$150=M$1),0),$C10-1966)</f>
        <v>24851.52</v>
      </c>
      <c r="N10" s="4" cm="1">
        <f t="array" ref="N10">INDEX(GMW!$A$2:$NF$150,MATCH(1,(GMW!$NE$2:$NE$150=N$3)*(GMW!$ND$2:$ND$150=N$4)*(GMW!$NF$2:$NF$150=N$1),0),$C10-1966)</f>
        <v>1E-3</v>
      </c>
      <c r="O10" s="4" cm="1">
        <f t="array" ref="O10">INDEX(GMW!$A$2:$NF$150,MATCH(1,(GMW!$NE$2:$NE$150=O$3)*(GMW!$ND$2:$ND$150=O$4)*(GMW!$NF$2:$NF$150=O$1),0),$C10-1966)</f>
        <v>287086.90000000002</v>
      </c>
      <c r="P10" s="4" cm="1">
        <f t="array" ref="P10">INDEX(GMW!$A$2:$NF$150,MATCH(1,(GMW!$NE$2:$NE$150=P$3)*(GMW!$ND$2:$ND$150=P$4)*(GMW!$NF$2:$NF$150=P$1),0),$C10-1966)</f>
        <v>35330.32</v>
      </c>
      <c r="Q10" s="4" cm="1">
        <f t="array" ref="Q10">INDEX(GMW!$A$2:$NF$150,MATCH(1,(GMW!$NE$2:$NE$150=Q$3)*(GMW!$ND$2:$ND$150=Q$4)*(GMW!$NF$2:$NF$150=Q$1),0),$C10-1966)</f>
        <v>1089199</v>
      </c>
      <c r="R10" s="4" cm="1">
        <f t="array" ref="R10">INDEX(GMW!$A$2:$NF$150,MATCH(1,(GMW!$NE$2:$NE$150=R$3)*(GMW!$ND$2:$ND$150=R$4)*(GMW!$NF$2:$NF$150=R$1),0),$C10-1966)</f>
        <v>-1.924164</v>
      </c>
      <c r="S10" s="4" cm="1">
        <f t="array" ref="S10">INDEX(GMW!$A$2:$NF$150,MATCH(1,(GMW!$NE$2:$NE$150=S$3)*(GMW!$ND$2:$ND$150=S$4)*(GMW!$NF$2:$NF$150=S$1),0),$C10-1966)</f>
        <v>245140</v>
      </c>
      <c r="T10" s="4" cm="1">
        <f t="array" ref="T10">INDEX(GMW!$A$2:$NF$150,MATCH(1,(GMW!$NE$2:$NE$150=T$3)*(GMW!$ND$2:$ND$150=T$4)*(GMW!$NF$2:$NF$150=T$1),0),$C10-1966)</f>
        <v>13.008459999999999</v>
      </c>
      <c r="U10" s="4" cm="1">
        <f t="array" ref="U10">INDEX(GMW!$A$2:$NF$150,MATCH(1,(GMW!$NE$2:$NE$150=U$3)*(GMW!$ND$2:$ND$150=U$4)*(GMW!$NF$2:$NF$150=U$1),0),$C10-1966)</f>
        <v>37940</v>
      </c>
      <c r="V10" s="4" cm="1">
        <f t="array" ref="V10">INDEX(GMW!$A$2:$NF$150,MATCH(1,(GMW!$NE$2:$NE$150=V$3)*(GMW!$ND$2:$ND$150=V$4)*(GMW!$NF$2:$NF$150=V$1),0),$C10-1966)</f>
        <v>14654.81</v>
      </c>
      <c r="W10" s="4" cm="1">
        <f t="array" ref="W10">INDEX(GMW!$A$2:$NF$150,MATCH(1,(GMW!$NE$2:$NE$150=W$3)*(GMW!$ND$2:$ND$150=W$4)*(GMW!$NF$2:$NF$150=W$1),0),$C10-1966)</f>
        <v>36306</v>
      </c>
      <c r="X10" s="4" cm="1">
        <f t="array" ref="X10">INDEX(GMW!$A$2:$NF$150,MATCH(1,(GMW!$NE$2:$NE$150=X$3)*(GMW!$ND$2:$ND$150=X$4)*(GMW!$NF$2:$NF$150=X$1),0),$C10-1966)</f>
        <v>-3867.7750000000001</v>
      </c>
      <c r="Y10" s="4" cm="1">
        <f t="array" ref="Y10">INDEX(GMW!$A$2:$NF$150,MATCH(1,(GMW!$NE$2:$NE$150=Y$3)*(GMW!$ND$2:$ND$150=Y$4)*(GMW!$NF$2:$NF$150=Y$1),0),$C10-1966)</f>
        <v>47374</v>
      </c>
      <c r="Z10" s="4" cm="1">
        <f t="array" ref="Z10">INDEX(GMW!$A$2:$NF$150,MATCH(1,(GMW!$NE$2:$NE$150=Z$3)*(GMW!$ND$2:$ND$150=Z$4)*(GMW!$NF$2:$NF$150=Z$1),0),$C10-1966)</f>
        <v>16340.84</v>
      </c>
      <c r="AA10" s="4" cm="1">
        <f t="array" ref="AA10">INDEX(GMW!$A$2:$NF$150,MATCH(1,(GMW!$NE$2:$NE$150=AA$3)*(GMW!$ND$2:$ND$150=AA$4)*(GMW!$NF$2:$NF$150=AA$1),0),$C10-1966)</f>
        <v>249852.3</v>
      </c>
      <c r="AB10" s="4" cm="1">
        <f t="array" ref="AB10">INDEX(GMW!$A$2:$NF$150,MATCH(1,(GMW!$NE$2:$NE$150=AB$3)*(GMW!$ND$2:$ND$150=AB$4)*(GMW!$NF$2:$NF$150=AB$1),0),$C10-1966)</f>
        <v>24851.52</v>
      </c>
      <c r="AC10" s="4" cm="1">
        <f t="array" ref="AC10">INDEX(GMW!$A$2:$NF$150,MATCH(1,(GMW!$NE$2:$NE$150=AC$3)*(GMW!$ND$2:$ND$150=AC$4)*(GMW!$NF$2:$NF$150=AC$1),0),$C10-1966)</f>
        <v>1E-3</v>
      </c>
      <c r="AD10" s="4" cm="1">
        <f t="array" ref="AD10">INDEX(GMW!$A$2:$NF$150,MATCH(1,(GMW!$NE$2:$NE$150=AD$3)*(GMW!$ND$2:$ND$150=AD$4)*(GMW!$NF$2:$NF$150=AD$1),0),$C10-1966)</f>
        <v>287086.90000000002</v>
      </c>
      <c r="AE10" s="4" cm="1">
        <f t="array" ref="AE10">INDEX(GMW!$A$2:$NF$150,MATCH(1,(GMW!$NE$2:$NE$150=AE$3)*(GMW!$ND$2:$ND$150=AE$4)*(GMW!$NF$2:$NF$150=AE$1),0),$C10-1966)</f>
        <v>35330.32</v>
      </c>
      <c r="AF10" s="4" cm="1">
        <f t="array" ref="AF10">INDEX(GMW!$A$2:$NF$150,MATCH(1,(GMW!$NE$2:$NE$150=AF$3)*(GMW!$ND$2:$ND$150=AF$4)*(GMW!$NF$2:$NF$150=AF$1),0),$C10-1966)</f>
        <v>1089199</v>
      </c>
      <c r="AG10" s="4" cm="1">
        <f t="array" ref="AG10">INDEX(GMW!$A$2:$NF$150,MATCH(1,(GMW!$NE$2:$NE$150=AG$3)*(GMW!$ND$2:$ND$150=AG$4)*(GMW!$NF$2:$NF$150=AG$1),0),$C10-1966)</f>
        <v>-1.924164</v>
      </c>
      <c r="AH10" s="4" cm="1">
        <f t="array" ref="AH10">INDEX(GMW!$A$2:$NF$150,MATCH(1,(GMW!$NE$2:$NE$150=AH$3)*(GMW!$ND$2:$ND$150=AH$4)*(GMW!$NF$2:$NF$150=AH$1),0),$C10-1966)</f>
        <v>245140</v>
      </c>
      <c r="AI10" s="4" cm="1">
        <f t="array" ref="AI10">INDEX(GMW!$A$2:$NF$150,MATCH(1,(GMW!$NE$2:$NE$150=AI$3)*(GMW!$ND$2:$ND$150=AI$4)*(GMW!$NF$2:$NF$150=AI$1),0),$C10-1966)</f>
        <v>13.008459999999999</v>
      </c>
      <c r="AJ10" s="4" cm="1">
        <f t="array" ref="AJ10">INDEX(GMW!$A$2:$NF$150,MATCH(1,(GMW!$NE$2:$NE$150=AJ$3)*(GMW!$ND$2:$ND$150=AJ$4)*(GMW!$NF$2:$NF$150=AJ$1),0),$C10-1966)</f>
        <v>37940</v>
      </c>
      <c r="AK10" s="4" cm="1">
        <f t="array" ref="AK10">INDEX(GMW!$A$2:$NF$150,MATCH(1,(GMW!$NE$2:$NE$150=AK$3)*(GMW!$ND$2:$ND$150=AK$4)*(GMW!$NF$2:$NF$150=AK$1),0),$C10-1966)</f>
        <v>14654.81</v>
      </c>
      <c r="AL10" s="4" cm="1">
        <f t="array" ref="AL10">INDEX(GMW!$A$2:$NF$150,MATCH(1,(GMW!$NE$2:$NE$150=AL$3)*(GMW!$ND$2:$ND$150=AL$4)*(GMW!$NF$2:$NF$150=AL$1),0),$C10-1966)</f>
        <v>36306</v>
      </c>
      <c r="AM10" s="4" cm="1">
        <f t="array" ref="AM10">INDEX(GMW!$A$2:$NF$150,MATCH(1,(GMW!$NE$2:$NE$150=AM$3)*(GMW!$ND$2:$ND$150=AM$4)*(GMW!$NF$2:$NF$150=AM$1),0),$C10-1966)</f>
        <v>-3867.7750000000001</v>
      </c>
      <c r="AN10" s="4" cm="1">
        <f t="array" ref="AN10">INDEX(GMW!$A$2:$NF$150,MATCH(1,(GMW!$NE$2:$NE$150=AN$3)*(GMW!$ND$2:$ND$150=AN$4)*(GMW!$NF$2:$NF$150=AN$1),0),$C10-1966)</f>
        <v>47374</v>
      </c>
      <c r="AO10" s="4" cm="1">
        <f t="array" ref="AO10">INDEX(GMW!$A$2:$NF$150,MATCH(1,(GMW!$NE$2:$NE$150=AO$3)*(GMW!$ND$2:$ND$150=AO$4)*(GMW!$NF$2:$NF$150=AO$1),0),$C10-1966)</f>
        <v>16340.84</v>
      </c>
      <c r="AP10" s="4" cm="1">
        <f t="array" ref="AP10">INDEX(GMW!$A$2:$NF$150,MATCH(1,(GMW!$NE$2:$NE$150=AP$3)*(GMW!$ND$2:$ND$150=AP$4)*(GMW!$NF$2:$NF$150=AP$1),0),$C10-1966)</f>
        <v>249852.3</v>
      </c>
      <c r="AQ10" s="4" cm="1">
        <f t="array" ref="AQ10">INDEX(GMW!$A$2:$NF$150,MATCH(1,(GMW!$NE$2:$NE$150=AQ$3)*(GMW!$ND$2:$ND$150=AQ$4)*(GMW!$NF$2:$NF$150=AQ$1),0),$C10-1966)</f>
        <v>24851.52</v>
      </c>
      <c r="AR10" s="4" cm="1">
        <f t="array" ref="AR10">INDEX(GMW!$A$2:$NF$150,MATCH(1,(GMW!$NE$2:$NE$150=AR$3)*(GMW!$ND$2:$ND$150=AR$4)*(GMW!$NF$2:$NF$150=AR$1),0),$C10-1966)</f>
        <v>1E-3</v>
      </c>
      <c r="AS10" s="4" cm="1">
        <f t="array" ref="AS10">INDEX(GMW!$A$2:$NF$150,MATCH(1,(GMW!$NE$2:$NE$150=AS$3)*(GMW!$ND$2:$ND$150=AS$4)*(GMW!$NF$2:$NF$150=AS$1),0),$C10-1966)</f>
        <v>287086.90000000002</v>
      </c>
      <c r="AT10" s="4" cm="1">
        <f t="array" ref="AT10">INDEX(GMW!$A$2:$NF$150,MATCH(1,(GMW!$NE$2:$NE$150=AT$3)*(GMW!$ND$2:$ND$150=AT$4)*(GMW!$NF$2:$NF$150=AT$1),0),$C10-1966)</f>
        <v>35330.32</v>
      </c>
      <c r="AU10" s="4" cm="1">
        <f t="array" ref="AU10">INDEX(GMW!$A$2:$NF$150,MATCH(1,(GMW!$NE$2:$NE$150=AU$3)*(GMW!$ND$2:$ND$150=AU$4)*(GMW!$NF$2:$NF$150=AU$1),0),$C10-1966)</f>
        <v>1089199</v>
      </c>
      <c r="AV10" s="4" cm="1">
        <f t="array" ref="AV10">INDEX(GMW!$A$2:$NF$150,MATCH(1,(GMW!$NE$2:$NE$150=AV$3)*(GMW!$ND$2:$ND$150=AV$4)*(GMW!$NF$2:$NF$150=AV$1),0),$C10-1966)</f>
        <v>-1.924164</v>
      </c>
    </row>
    <row r="11" spans="1:48" x14ac:dyDescent="0.25">
      <c r="A11" s="4">
        <v>1974</v>
      </c>
      <c r="B11" s="4">
        <f>+B7+1</f>
        <v>1974</v>
      </c>
      <c r="C11" s="4">
        <f t="shared" si="3"/>
        <v>1977</v>
      </c>
      <c r="D11" s="4" cm="1">
        <f t="array" ref="D11">INDEX(GMW!$A$2:$NF$150,MATCH(1,(GMW!$NE$2:$NE$150=D$3)*(GMW!$ND$2:$ND$150=D$4)*(GMW!$NF$2:$NF$150=D$1),0),$C11-1966)</f>
        <v>238319</v>
      </c>
      <c r="E11" s="4" cm="1">
        <f t="array" ref="E11">INDEX(GMW!$A$2:$NF$150,MATCH(1,(GMW!$NE$2:$NE$150=E$3)*(GMW!$ND$2:$ND$150=E$4)*(GMW!$NF$2:$NF$150=E$1),0),$C11-1966)</f>
        <v>13.47771</v>
      </c>
      <c r="F11" s="4" cm="1">
        <f t="array" ref="F11">INDEX(GMW!$A$2:$NF$150,MATCH(1,(GMW!$NE$2:$NE$150=F$3)*(GMW!$ND$2:$ND$150=F$4)*(GMW!$NF$2:$NF$150=F$1),0),$C11-1966)</f>
        <v>38873</v>
      </c>
      <c r="G11" s="4" cm="1">
        <f t="array" ref="G11">INDEX(GMW!$A$2:$NF$150,MATCH(1,(GMW!$NE$2:$NE$150=G$3)*(GMW!$ND$2:$ND$150=G$4)*(GMW!$NF$2:$NF$150=G$1),0),$C11-1966)</f>
        <v>16014.87</v>
      </c>
      <c r="H11" s="4" cm="1">
        <f t="array" ref="H11">INDEX(GMW!$A$2:$NF$150,MATCH(1,(GMW!$NE$2:$NE$150=H$3)*(GMW!$ND$2:$ND$150=H$4)*(GMW!$NF$2:$NF$150=H$1),0),$C11-1966)</f>
        <v>35237</v>
      </c>
      <c r="I11" s="4" cm="1">
        <f t="array" ref="I11">INDEX(GMW!$A$2:$NF$150,MATCH(1,(GMW!$NE$2:$NE$150=I$3)*(GMW!$ND$2:$ND$150=I$4)*(GMW!$NF$2:$NF$150=I$1),0),$C11-1966)</f>
        <v>-2134.15</v>
      </c>
      <c r="J11" s="4" cm="1">
        <f t="array" ref="J11">INDEX(GMW!$A$2:$NF$150,MATCH(1,(GMW!$NE$2:$NE$150=J$3)*(GMW!$ND$2:$ND$150=J$4)*(GMW!$NF$2:$NF$150=J$1),0),$C11-1966)</f>
        <v>46939</v>
      </c>
      <c r="K11" s="4" cm="1">
        <f t="array" ref="K11">INDEX(GMW!$A$2:$NF$150,MATCH(1,(GMW!$NE$2:$NE$150=K$3)*(GMW!$ND$2:$ND$150=K$4)*(GMW!$NF$2:$NF$150=K$1),0),$C11-1966)</f>
        <v>16527.48</v>
      </c>
      <c r="L11" s="4" cm="1">
        <f t="array" ref="L11">INDEX(GMW!$A$2:$NF$150,MATCH(1,(GMW!$NE$2:$NE$150=L$3)*(GMW!$ND$2:$ND$150=L$4)*(GMW!$NF$2:$NF$150=L$1),0),$C11-1966)</f>
        <v>250711.6</v>
      </c>
      <c r="M11" s="4" cm="1">
        <f t="array" ref="M11">INDEX(GMW!$A$2:$NF$150,MATCH(1,(GMW!$NE$2:$NE$150=M$3)*(GMW!$ND$2:$ND$150=M$4)*(GMW!$NF$2:$NF$150=M$1),0),$C11-1966)</f>
        <v>24870.720000000001</v>
      </c>
      <c r="N11" s="4" cm="1">
        <f t="array" ref="N11">INDEX(GMW!$A$2:$NF$150,MATCH(1,(GMW!$NE$2:$NE$150=N$3)*(GMW!$ND$2:$ND$150=N$4)*(GMW!$NF$2:$NF$150=N$1),0),$C11-1966)</f>
        <v>1E-3</v>
      </c>
      <c r="O11" s="4" cm="1">
        <f t="array" ref="O11">INDEX(GMW!$A$2:$NF$150,MATCH(1,(GMW!$NE$2:$NE$150=O$3)*(GMW!$ND$2:$ND$150=O$4)*(GMW!$NF$2:$NF$150=O$1),0),$C11-1966)</f>
        <v>287816.59999999998</v>
      </c>
      <c r="P11" s="4" cm="1">
        <f t="array" ref="P11">INDEX(GMW!$A$2:$NF$150,MATCH(1,(GMW!$NE$2:$NE$150=P$3)*(GMW!$ND$2:$ND$150=P$4)*(GMW!$NF$2:$NF$150=P$1),0),$C11-1966)</f>
        <v>35332.36</v>
      </c>
      <c r="Q11" s="4" cm="1">
        <f t="array" ref="Q11">INDEX(GMW!$A$2:$NF$150,MATCH(1,(GMW!$NE$2:$NE$150=Q$3)*(GMW!$ND$2:$ND$150=Q$4)*(GMW!$NF$2:$NF$150=Q$1),0),$C11-1966)</f>
        <v>1096685</v>
      </c>
      <c r="R11" s="4" cm="1">
        <f t="array" ref="R11">INDEX(GMW!$A$2:$NF$150,MATCH(1,(GMW!$NE$2:$NE$150=R$3)*(GMW!$ND$2:$ND$150=R$4)*(GMW!$NF$2:$NF$150=R$1),0),$C11-1966)</f>
        <v>-1.925149</v>
      </c>
      <c r="S11" s="4" cm="1">
        <f t="array" ref="S11">INDEX(GMW!$A$2:$NF$150,MATCH(1,(GMW!$NE$2:$NE$150=S$3)*(GMW!$ND$2:$ND$150=S$4)*(GMW!$NF$2:$NF$150=S$1),0),$C11-1966)</f>
        <v>238319</v>
      </c>
      <c r="T11" s="4" cm="1">
        <f t="array" ref="T11">INDEX(GMW!$A$2:$NF$150,MATCH(1,(GMW!$NE$2:$NE$150=T$3)*(GMW!$ND$2:$ND$150=T$4)*(GMW!$NF$2:$NF$150=T$1),0),$C11-1966)</f>
        <v>13.47771</v>
      </c>
      <c r="U11" s="4" cm="1">
        <f t="array" ref="U11">INDEX(GMW!$A$2:$NF$150,MATCH(1,(GMW!$NE$2:$NE$150=U$3)*(GMW!$ND$2:$ND$150=U$4)*(GMW!$NF$2:$NF$150=U$1),0),$C11-1966)</f>
        <v>38873</v>
      </c>
      <c r="V11" s="4" cm="1">
        <f t="array" ref="V11">INDEX(GMW!$A$2:$NF$150,MATCH(1,(GMW!$NE$2:$NE$150=V$3)*(GMW!$ND$2:$ND$150=V$4)*(GMW!$NF$2:$NF$150=V$1),0),$C11-1966)</f>
        <v>16014.87</v>
      </c>
      <c r="W11" s="4" cm="1">
        <f t="array" ref="W11">INDEX(GMW!$A$2:$NF$150,MATCH(1,(GMW!$NE$2:$NE$150=W$3)*(GMW!$ND$2:$ND$150=W$4)*(GMW!$NF$2:$NF$150=W$1),0),$C11-1966)</f>
        <v>35237</v>
      </c>
      <c r="X11" s="4" cm="1">
        <f t="array" ref="X11">INDEX(GMW!$A$2:$NF$150,MATCH(1,(GMW!$NE$2:$NE$150=X$3)*(GMW!$ND$2:$ND$150=X$4)*(GMW!$NF$2:$NF$150=X$1),0),$C11-1966)</f>
        <v>-2134.15</v>
      </c>
      <c r="Y11" s="4" cm="1">
        <f t="array" ref="Y11">INDEX(GMW!$A$2:$NF$150,MATCH(1,(GMW!$NE$2:$NE$150=Y$3)*(GMW!$ND$2:$ND$150=Y$4)*(GMW!$NF$2:$NF$150=Y$1),0),$C11-1966)</f>
        <v>46939</v>
      </c>
      <c r="Z11" s="4" cm="1">
        <f t="array" ref="Z11">INDEX(GMW!$A$2:$NF$150,MATCH(1,(GMW!$NE$2:$NE$150=Z$3)*(GMW!$ND$2:$ND$150=Z$4)*(GMW!$NF$2:$NF$150=Z$1),0),$C11-1966)</f>
        <v>16527.48</v>
      </c>
      <c r="AA11" s="4" cm="1">
        <f t="array" ref="AA11">INDEX(GMW!$A$2:$NF$150,MATCH(1,(GMW!$NE$2:$NE$150=AA$3)*(GMW!$ND$2:$ND$150=AA$4)*(GMW!$NF$2:$NF$150=AA$1),0),$C11-1966)</f>
        <v>250711.6</v>
      </c>
      <c r="AB11" s="4" cm="1">
        <f t="array" ref="AB11">INDEX(GMW!$A$2:$NF$150,MATCH(1,(GMW!$NE$2:$NE$150=AB$3)*(GMW!$ND$2:$ND$150=AB$4)*(GMW!$NF$2:$NF$150=AB$1),0),$C11-1966)</f>
        <v>24870.720000000001</v>
      </c>
      <c r="AC11" s="4" cm="1">
        <f t="array" ref="AC11">INDEX(GMW!$A$2:$NF$150,MATCH(1,(GMW!$NE$2:$NE$150=AC$3)*(GMW!$ND$2:$ND$150=AC$4)*(GMW!$NF$2:$NF$150=AC$1),0),$C11-1966)</f>
        <v>1E-3</v>
      </c>
      <c r="AD11" s="4" cm="1">
        <f t="array" ref="AD11">INDEX(GMW!$A$2:$NF$150,MATCH(1,(GMW!$NE$2:$NE$150=AD$3)*(GMW!$ND$2:$ND$150=AD$4)*(GMW!$NF$2:$NF$150=AD$1),0),$C11-1966)</f>
        <v>287816.59999999998</v>
      </c>
      <c r="AE11" s="4" cm="1">
        <f t="array" ref="AE11">INDEX(GMW!$A$2:$NF$150,MATCH(1,(GMW!$NE$2:$NE$150=AE$3)*(GMW!$ND$2:$ND$150=AE$4)*(GMW!$NF$2:$NF$150=AE$1),0),$C11-1966)</f>
        <v>35332.36</v>
      </c>
      <c r="AF11" s="4" cm="1">
        <f t="array" ref="AF11">INDEX(GMW!$A$2:$NF$150,MATCH(1,(GMW!$NE$2:$NE$150=AF$3)*(GMW!$ND$2:$ND$150=AF$4)*(GMW!$NF$2:$NF$150=AF$1),0),$C11-1966)</f>
        <v>1096685</v>
      </c>
      <c r="AG11" s="4" cm="1">
        <f t="array" ref="AG11">INDEX(GMW!$A$2:$NF$150,MATCH(1,(GMW!$NE$2:$NE$150=AG$3)*(GMW!$ND$2:$ND$150=AG$4)*(GMW!$NF$2:$NF$150=AG$1),0),$C11-1966)</f>
        <v>-1.925149</v>
      </c>
      <c r="AH11" s="4" cm="1">
        <f t="array" ref="AH11">INDEX(GMW!$A$2:$NF$150,MATCH(1,(GMW!$NE$2:$NE$150=AH$3)*(GMW!$ND$2:$ND$150=AH$4)*(GMW!$NF$2:$NF$150=AH$1),0),$C11-1966)</f>
        <v>238319</v>
      </c>
      <c r="AI11" s="4" cm="1">
        <f t="array" ref="AI11">INDEX(GMW!$A$2:$NF$150,MATCH(1,(GMW!$NE$2:$NE$150=AI$3)*(GMW!$ND$2:$ND$150=AI$4)*(GMW!$NF$2:$NF$150=AI$1),0),$C11-1966)</f>
        <v>13.47771</v>
      </c>
      <c r="AJ11" s="4" cm="1">
        <f t="array" ref="AJ11">INDEX(GMW!$A$2:$NF$150,MATCH(1,(GMW!$NE$2:$NE$150=AJ$3)*(GMW!$ND$2:$ND$150=AJ$4)*(GMW!$NF$2:$NF$150=AJ$1),0),$C11-1966)</f>
        <v>38873</v>
      </c>
      <c r="AK11" s="4" cm="1">
        <f t="array" ref="AK11">INDEX(GMW!$A$2:$NF$150,MATCH(1,(GMW!$NE$2:$NE$150=AK$3)*(GMW!$ND$2:$ND$150=AK$4)*(GMW!$NF$2:$NF$150=AK$1),0),$C11-1966)</f>
        <v>16014.87</v>
      </c>
      <c r="AL11" s="4" cm="1">
        <f t="array" ref="AL11">INDEX(GMW!$A$2:$NF$150,MATCH(1,(GMW!$NE$2:$NE$150=AL$3)*(GMW!$ND$2:$ND$150=AL$4)*(GMW!$NF$2:$NF$150=AL$1),0),$C11-1966)</f>
        <v>35237</v>
      </c>
      <c r="AM11" s="4" cm="1">
        <f t="array" ref="AM11">INDEX(GMW!$A$2:$NF$150,MATCH(1,(GMW!$NE$2:$NE$150=AM$3)*(GMW!$ND$2:$ND$150=AM$4)*(GMW!$NF$2:$NF$150=AM$1),0),$C11-1966)</f>
        <v>-2134.15</v>
      </c>
      <c r="AN11" s="4" cm="1">
        <f t="array" ref="AN11">INDEX(GMW!$A$2:$NF$150,MATCH(1,(GMW!$NE$2:$NE$150=AN$3)*(GMW!$ND$2:$ND$150=AN$4)*(GMW!$NF$2:$NF$150=AN$1),0),$C11-1966)</f>
        <v>46939</v>
      </c>
      <c r="AO11" s="4" cm="1">
        <f t="array" ref="AO11">INDEX(GMW!$A$2:$NF$150,MATCH(1,(GMW!$NE$2:$NE$150=AO$3)*(GMW!$ND$2:$ND$150=AO$4)*(GMW!$NF$2:$NF$150=AO$1),0),$C11-1966)</f>
        <v>16527.48</v>
      </c>
      <c r="AP11" s="4" cm="1">
        <f t="array" ref="AP11">INDEX(GMW!$A$2:$NF$150,MATCH(1,(GMW!$NE$2:$NE$150=AP$3)*(GMW!$ND$2:$ND$150=AP$4)*(GMW!$NF$2:$NF$150=AP$1),0),$C11-1966)</f>
        <v>250711.6</v>
      </c>
      <c r="AQ11" s="4" cm="1">
        <f t="array" ref="AQ11">INDEX(GMW!$A$2:$NF$150,MATCH(1,(GMW!$NE$2:$NE$150=AQ$3)*(GMW!$ND$2:$ND$150=AQ$4)*(GMW!$NF$2:$NF$150=AQ$1),0),$C11-1966)</f>
        <v>24870.720000000001</v>
      </c>
      <c r="AR11" s="4" cm="1">
        <f t="array" ref="AR11">INDEX(GMW!$A$2:$NF$150,MATCH(1,(GMW!$NE$2:$NE$150=AR$3)*(GMW!$ND$2:$ND$150=AR$4)*(GMW!$NF$2:$NF$150=AR$1),0),$C11-1966)</f>
        <v>1E-3</v>
      </c>
      <c r="AS11" s="4" cm="1">
        <f t="array" ref="AS11">INDEX(GMW!$A$2:$NF$150,MATCH(1,(GMW!$NE$2:$NE$150=AS$3)*(GMW!$ND$2:$ND$150=AS$4)*(GMW!$NF$2:$NF$150=AS$1),0),$C11-1966)</f>
        <v>287816.59999999998</v>
      </c>
      <c r="AT11" s="4" cm="1">
        <f t="array" ref="AT11">INDEX(GMW!$A$2:$NF$150,MATCH(1,(GMW!$NE$2:$NE$150=AT$3)*(GMW!$ND$2:$ND$150=AT$4)*(GMW!$NF$2:$NF$150=AT$1),0),$C11-1966)</f>
        <v>35332.36</v>
      </c>
      <c r="AU11" s="4" cm="1">
        <f t="array" ref="AU11">INDEX(GMW!$A$2:$NF$150,MATCH(1,(GMW!$NE$2:$NE$150=AU$3)*(GMW!$ND$2:$ND$150=AU$4)*(GMW!$NF$2:$NF$150=AU$1),0),$C11-1966)</f>
        <v>1096685</v>
      </c>
      <c r="AV11" s="4" cm="1">
        <f t="array" ref="AV11">INDEX(GMW!$A$2:$NF$150,MATCH(1,(GMW!$NE$2:$NE$150=AV$3)*(GMW!$ND$2:$ND$150=AV$4)*(GMW!$NF$2:$NF$150=AV$1),0),$C11-1966)</f>
        <v>-1.925149</v>
      </c>
    </row>
    <row r="12" spans="1:48" x14ac:dyDescent="0.25">
      <c r="B12" s="4">
        <f t="shared" ref="B12:B75" si="4">+B8+1</f>
        <v>1974</v>
      </c>
      <c r="C12" s="4">
        <f t="shared" si="3"/>
        <v>1978</v>
      </c>
      <c r="D12" s="4" cm="1">
        <f t="array" ref="D12">INDEX(GMW!$A$2:$NF$150,MATCH(1,(GMW!$NE$2:$NE$150=D$3)*(GMW!$ND$2:$ND$150=D$4)*(GMW!$NF$2:$NF$150=D$1),0),$C12-1966)</f>
        <v>241752</v>
      </c>
      <c r="E12" s="4" cm="1">
        <f t="array" ref="E12">INDEX(GMW!$A$2:$NF$150,MATCH(1,(GMW!$NE$2:$NE$150=E$3)*(GMW!$ND$2:$ND$150=E$4)*(GMW!$NF$2:$NF$150=E$1),0),$C12-1966)</f>
        <v>14.23371</v>
      </c>
      <c r="F12" s="4" cm="1">
        <f t="array" ref="F12">INDEX(GMW!$A$2:$NF$150,MATCH(1,(GMW!$NE$2:$NE$150=F$3)*(GMW!$ND$2:$ND$150=F$4)*(GMW!$NF$2:$NF$150=F$1),0),$C12-1966)</f>
        <v>40111</v>
      </c>
      <c r="G12" s="4" cm="1">
        <f t="array" ref="G12">INDEX(GMW!$A$2:$NF$150,MATCH(1,(GMW!$NE$2:$NE$150=G$3)*(GMW!$ND$2:$ND$150=G$4)*(GMW!$NF$2:$NF$150=G$1),0),$C12-1966)</f>
        <v>15888.81</v>
      </c>
      <c r="H12" s="4" cm="1">
        <f t="array" ref="H12">INDEX(GMW!$A$2:$NF$150,MATCH(1,(GMW!$NE$2:$NE$150=H$3)*(GMW!$ND$2:$ND$150=H$4)*(GMW!$NF$2:$NF$150=H$1),0),$C12-1966)</f>
        <v>36120</v>
      </c>
      <c r="I12" s="4" cm="1">
        <f t="array" ref="I12">INDEX(GMW!$A$2:$NF$150,MATCH(1,(GMW!$NE$2:$NE$150=I$3)*(GMW!$ND$2:$ND$150=I$4)*(GMW!$NF$2:$NF$150=I$1),0),$C12-1966)</f>
        <v>-2173.0749999999998</v>
      </c>
      <c r="J12" s="4" cm="1">
        <f t="array" ref="J12">INDEX(GMW!$A$2:$NF$150,MATCH(1,(GMW!$NE$2:$NE$150=J$3)*(GMW!$ND$2:$ND$150=J$4)*(GMW!$NF$2:$NF$150=J$1),0),$C12-1966)</f>
        <v>44355</v>
      </c>
      <c r="K12" s="4" cm="1">
        <f t="array" ref="K12">INDEX(GMW!$A$2:$NF$150,MATCH(1,(GMW!$NE$2:$NE$150=K$3)*(GMW!$ND$2:$ND$150=K$4)*(GMW!$NF$2:$NF$150=K$1),0),$C12-1966)</f>
        <v>17109.93</v>
      </c>
      <c r="L12" s="4" cm="1">
        <f t="array" ref="L12">INDEX(GMW!$A$2:$NF$150,MATCH(1,(GMW!$NE$2:$NE$150=L$3)*(GMW!$ND$2:$ND$150=L$4)*(GMW!$NF$2:$NF$150=L$1),0),$C12-1966)</f>
        <v>251453.3</v>
      </c>
      <c r="M12" s="4" cm="1">
        <f t="array" ref="M12">INDEX(GMW!$A$2:$NF$150,MATCH(1,(GMW!$NE$2:$NE$150=M$3)*(GMW!$ND$2:$ND$150=M$4)*(GMW!$NF$2:$NF$150=M$1),0),$C12-1966)</f>
        <v>24901.439999999999</v>
      </c>
      <c r="N12" s="4" cm="1">
        <f t="array" ref="N12">INDEX(GMW!$A$2:$NF$150,MATCH(1,(GMW!$NE$2:$NE$150=N$3)*(GMW!$ND$2:$ND$150=N$4)*(GMW!$NF$2:$NF$150=N$1),0),$C12-1966)</f>
        <v>1E-3</v>
      </c>
      <c r="O12" s="4" cm="1">
        <f t="array" ref="O12">INDEX(GMW!$A$2:$NF$150,MATCH(1,(GMW!$NE$2:$NE$150=O$3)*(GMW!$ND$2:$ND$150=O$4)*(GMW!$NF$2:$NF$150=O$1),0),$C12-1966)</f>
        <v>288543.59999999998</v>
      </c>
      <c r="P12" s="4" cm="1">
        <f t="array" ref="P12">INDEX(GMW!$A$2:$NF$150,MATCH(1,(GMW!$NE$2:$NE$150=P$3)*(GMW!$ND$2:$ND$150=P$4)*(GMW!$NF$2:$NF$150=P$1),0),$C12-1966)</f>
        <v>35334.400000000001</v>
      </c>
      <c r="Q12" s="4" cm="1">
        <f t="array" ref="Q12">INDEX(GMW!$A$2:$NF$150,MATCH(1,(GMW!$NE$2:$NE$150=Q$3)*(GMW!$ND$2:$ND$150=Q$4)*(GMW!$NF$2:$NF$150=Q$1),0),$C12-1966)</f>
        <v>1104171</v>
      </c>
      <c r="R12" s="4" cm="1">
        <f t="array" ref="R12">INDEX(GMW!$A$2:$NF$150,MATCH(1,(GMW!$NE$2:$NE$150=R$3)*(GMW!$ND$2:$ND$150=R$4)*(GMW!$NF$2:$NF$150=R$1),0),$C12-1966)</f>
        <v>-1.926134</v>
      </c>
      <c r="S12" s="4" cm="1">
        <f t="array" ref="S12">INDEX(GMW!$A$2:$NF$150,MATCH(1,(GMW!$NE$2:$NE$150=S$3)*(GMW!$ND$2:$ND$150=S$4)*(GMW!$NF$2:$NF$150=S$1),0),$C12-1966)</f>
        <v>241752</v>
      </c>
      <c r="T12" s="4" cm="1">
        <f t="array" ref="T12">INDEX(GMW!$A$2:$NF$150,MATCH(1,(GMW!$NE$2:$NE$150=T$3)*(GMW!$ND$2:$ND$150=T$4)*(GMW!$NF$2:$NF$150=T$1),0),$C12-1966)</f>
        <v>14.23371</v>
      </c>
      <c r="U12" s="4" cm="1">
        <f t="array" ref="U12">INDEX(GMW!$A$2:$NF$150,MATCH(1,(GMW!$NE$2:$NE$150=U$3)*(GMW!$ND$2:$ND$150=U$4)*(GMW!$NF$2:$NF$150=U$1),0),$C12-1966)</f>
        <v>40111</v>
      </c>
      <c r="V12" s="4" cm="1">
        <f t="array" ref="V12">INDEX(GMW!$A$2:$NF$150,MATCH(1,(GMW!$NE$2:$NE$150=V$3)*(GMW!$ND$2:$ND$150=V$4)*(GMW!$NF$2:$NF$150=V$1),0),$C12-1966)</f>
        <v>15888.81</v>
      </c>
      <c r="W12" s="4" cm="1">
        <f t="array" ref="W12">INDEX(GMW!$A$2:$NF$150,MATCH(1,(GMW!$NE$2:$NE$150=W$3)*(GMW!$ND$2:$ND$150=W$4)*(GMW!$NF$2:$NF$150=W$1),0),$C12-1966)</f>
        <v>36120</v>
      </c>
      <c r="X12" s="4" cm="1">
        <f t="array" ref="X12">INDEX(GMW!$A$2:$NF$150,MATCH(1,(GMW!$NE$2:$NE$150=X$3)*(GMW!$ND$2:$ND$150=X$4)*(GMW!$NF$2:$NF$150=X$1),0),$C12-1966)</f>
        <v>-2173.0749999999998</v>
      </c>
      <c r="Y12" s="4" cm="1">
        <f t="array" ref="Y12">INDEX(GMW!$A$2:$NF$150,MATCH(1,(GMW!$NE$2:$NE$150=Y$3)*(GMW!$ND$2:$ND$150=Y$4)*(GMW!$NF$2:$NF$150=Y$1),0),$C12-1966)</f>
        <v>44355</v>
      </c>
      <c r="Z12" s="4" cm="1">
        <f t="array" ref="Z12">INDEX(GMW!$A$2:$NF$150,MATCH(1,(GMW!$NE$2:$NE$150=Z$3)*(GMW!$ND$2:$ND$150=Z$4)*(GMW!$NF$2:$NF$150=Z$1),0),$C12-1966)</f>
        <v>17109.93</v>
      </c>
      <c r="AA12" s="4" cm="1">
        <f t="array" ref="AA12">INDEX(GMW!$A$2:$NF$150,MATCH(1,(GMW!$NE$2:$NE$150=AA$3)*(GMW!$ND$2:$ND$150=AA$4)*(GMW!$NF$2:$NF$150=AA$1),0),$C12-1966)</f>
        <v>251453.3</v>
      </c>
      <c r="AB12" s="4" cm="1">
        <f t="array" ref="AB12">INDEX(GMW!$A$2:$NF$150,MATCH(1,(GMW!$NE$2:$NE$150=AB$3)*(GMW!$ND$2:$ND$150=AB$4)*(GMW!$NF$2:$NF$150=AB$1),0),$C12-1966)</f>
        <v>24901.439999999999</v>
      </c>
      <c r="AC12" s="4" cm="1">
        <f t="array" ref="AC12">INDEX(GMW!$A$2:$NF$150,MATCH(1,(GMW!$NE$2:$NE$150=AC$3)*(GMW!$ND$2:$ND$150=AC$4)*(GMW!$NF$2:$NF$150=AC$1),0),$C12-1966)</f>
        <v>1E-3</v>
      </c>
      <c r="AD12" s="4" cm="1">
        <f t="array" ref="AD12">INDEX(GMW!$A$2:$NF$150,MATCH(1,(GMW!$NE$2:$NE$150=AD$3)*(GMW!$ND$2:$ND$150=AD$4)*(GMW!$NF$2:$NF$150=AD$1),0),$C12-1966)</f>
        <v>288543.59999999998</v>
      </c>
      <c r="AE12" s="4" cm="1">
        <f t="array" ref="AE12">INDEX(GMW!$A$2:$NF$150,MATCH(1,(GMW!$NE$2:$NE$150=AE$3)*(GMW!$ND$2:$ND$150=AE$4)*(GMW!$NF$2:$NF$150=AE$1),0),$C12-1966)</f>
        <v>35334.400000000001</v>
      </c>
      <c r="AF12" s="4" cm="1">
        <f t="array" ref="AF12">INDEX(GMW!$A$2:$NF$150,MATCH(1,(GMW!$NE$2:$NE$150=AF$3)*(GMW!$ND$2:$ND$150=AF$4)*(GMW!$NF$2:$NF$150=AF$1),0),$C12-1966)</f>
        <v>1104171</v>
      </c>
      <c r="AG12" s="4" cm="1">
        <f t="array" ref="AG12">INDEX(GMW!$A$2:$NF$150,MATCH(1,(GMW!$NE$2:$NE$150=AG$3)*(GMW!$ND$2:$ND$150=AG$4)*(GMW!$NF$2:$NF$150=AG$1),0),$C12-1966)</f>
        <v>-1.926134</v>
      </c>
      <c r="AH12" s="4" cm="1">
        <f t="array" ref="AH12">INDEX(GMW!$A$2:$NF$150,MATCH(1,(GMW!$NE$2:$NE$150=AH$3)*(GMW!$ND$2:$ND$150=AH$4)*(GMW!$NF$2:$NF$150=AH$1),0),$C12-1966)</f>
        <v>241752</v>
      </c>
      <c r="AI12" s="4" cm="1">
        <f t="array" ref="AI12">INDEX(GMW!$A$2:$NF$150,MATCH(1,(GMW!$NE$2:$NE$150=AI$3)*(GMW!$ND$2:$ND$150=AI$4)*(GMW!$NF$2:$NF$150=AI$1),0),$C12-1966)</f>
        <v>14.23371</v>
      </c>
      <c r="AJ12" s="4" cm="1">
        <f t="array" ref="AJ12">INDEX(GMW!$A$2:$NF$150,MATCH(1,(GMW!$NE$2:$NE$150=AJ$3)*(GMW!$ND$2:$ND$150=AJ$4)*(GMW!$NF$2:$NF$150=AJ$1),0),$C12-1966)</f>
        <v>40111</v>
      </c>
      <c r="AK12" s="4" cm="1">
        <f t="array" ref="AK12">INDEX(GMW!$A$2:$NF$150,MATCH(1,(GMW!$NE$2:$NE$150=AK$3)*(GMW!$ND$2:$ND$150=AK$4)*(GMW!$NF$2:$NF$150=AK$1),0),$C12-1966)</f>
        <v>15888.81</v>
      </c>
      <c r="AL12" s="4" cm="1">
        <f t="array" ref="AL12">INDEX(GMW!$A$2:$NF$150,MATCH(1,(GMW!$NE$2:$NE$150=AL$3)*(GMW!$ND$2:$ND$150=AL$4)*(GMW!$NF$2:$NF$150=AL$1),0),$C12-1966)</f>
        <v>36120</v>
      </c>
      <c r="AM12" s="4" cm="1">
        <f t="array" ref="AM12">INDEX(GMW!$A$2:$NF$150,MATCH(1,(GMW!$NE$2:$NE$150=AM$3)*(GMW!$ND$2:$ND$150=AM$4)*(GMW!$NF$2:$NF$150=AM$1),0),$C12-1966)</f>
        <v>-2173.0749999999998</v>
      </c>
      <c r="AN12" s="4" cm="1">
        <f t="array" ref="AN12">INDEX(GMW!$A$2:$NF$150,MATCH(1,(GMW!$NE$2:$NE$150=AN$3)*(GMW!$ND$2:$ND$150=AN$4)*(GMW!$NF$2:$NF$150=AN$1),0),$C12-1966)</f>
        <v>44355</v>
      </c>
      <c r="AO12" s="4" cm="1">
        <f t="array" ref="AO12">INDEX(GMW!$A$2:$NF$150,MATCH(1,(GMW!$NE$2:$NE$150=AO$3)*(GMW!$ND$2:$ND$150=AO$4)*(GMW!$NF$2:$NF$150=AO$1),0),$C12-1966)</f>
        <v>17109.93</v>
      </c>
      <c r="AP12" s="4" cm="1">
        <f t="array" ref="AP12">INDEX(GMW!$A$2:$NF$150,MATCH(1,(GMW!$NE$2:$NE$150=AP$3)*(GMW!$ND$2:$ND$150=AP$4)*(GMW!$NF$2:$NF$150=AP$1),0),$C12-1966)</f>
        <v>251453.3</v>
      </c>
      <c r="AQ12" s="4" cm="1">
        <f t="array" ref="AQ12">INDEX(GMW!$A$2:$NF$150,MATCH(1,(GMW!$NE$2:$NE$150=AQ$3)*(GMW!$ND$2:$ND$150=AQ$4)*(GMW!$NF$2:$NF$150=AQ$1),0),$C12-1966)</f>
        <v>24901.439999999999</v>
      </c>
      <c r="AR12" s="4" cm="1">
        <f t="array" ref="AR12">INDEX(GMW!$A$2:$NF$150,MATCH(1,(GMW!$NE$2:$NE$150=AR$3)*(GMW!$ND$2:$ND$150=AR$4)*(GMW!$NF$2:$NF$150=AR$1),0),$C12-1966)</f>
        <v>1E-3</v>
      </c>
      <c r="AS12" s="4" cm="1">
        <f t="array" ref="AS12">INDEX(GMW!$A$2:$NF$150,MATCH(1,(GMW!$NE$2:$NE$150=AS$3)*(GMW!$ND$2:$ND$150=AS$4)*(GMW!$NF$2:$NF$150=AS$1),0),$C12-1966)</f>
        <v>288543.59999999998</v>
      </c>
      <c r="AT12" s="4" cm="1">
        <f t="array" ref="AT12">INDEX(GMW!$A$2:$NF$150,MATCH(1,(GMW!$NE$2:$NE$150=AT$3)*(GMW!$ND$2:$ND$150=AT$4)*(GMW!$NF$2:$NF$150=AT$1),0),$C12-1966)</f>
        <v>35334.400000000001</v>
      </c>
      <c r="AU12" s="4" cm="1">
        <f t="array" ref="AU12">INDEX(GMW!$A$2:$NF$150,MATCH(1,(GMW!$NE$2:$NE$150=AU$3)*(GMW!$ND$2:$ND$150=AU$4)*(GMW!$NF$2:$NF$150=AU$1),0),$C12-1966)</f>
        <v>1104171</v>
      </c>
      <c r="AV12" s="4" cm="1">
        <f t="array" ref="AV12">INDEX(GMW!$A$2:$NF$150,MATCH(1,(GMW!$NE$2:$NE$150=AV$3)*(GMW!$ND$2:$ND$150=AV$4)*(GMW!$NF$2:$NF$150=AV$1),0),$C12-1966)</f>
        <v>-1.926134</v>
      </c>
    </row>
    <row r="13" spans="1:48" x14ac:dyDescent="0.25">
      <c r="B13" s="4">
        <f t="shared" si="4"/>
        <v>1974</v>
      </c>
      <c r="C13" s="4">
        <f t="shared" si="3"/>
        <v>1979</v>
      </c>
      <c r="D13" s="4" cm="1">
        <f t="array" ref="D13">INDEX(GMW!$A$2:$NF$150,MATCH(1,(GMW!$NE$2:$NE$150=D$3)*(GMW!$ND$2:$ND$150=D$4)*(GMW!$NF$2:$NF$150=D$1),0),$C13-1966)</f>
        <v>243197</v>
      </c>
      <c r="E13" s="4" cm="1">
        <f t="array" ref="E13">INDEX(GMW!$A$2:$NF$150,MATCH(1,(GMW!$NE$2:$NE$150=E$3)*(GMW!$ND$2:$ND$150=E$4)*(GMW!$NF$2:$NF$150=E$1),0),$C13-1966)</f>
        <v>14.572609999999999</v>
      </c>
      <c r="F13" s="4" cm="1">
        <f t="array" ref="F13">INDEX(GMW!$A$2:$NF$150,MATCH(1,(GMW!$NE$2:$NE$150=F$3)*(GMW!$ND$2:$ND$150=F$4)*(GMW!$NF$2:$NF$150=F$1),0),$C13-1966)</f>
        <v>40403</v>
      </c>
      <c r="G13" s="4" cm="1">
        <f t="array" ref="G13">INDEX(GMW!$A$2:$NF$150,MATCH(1,(GMW!$NE$2:$NE$150=G$3)*(GMW!$ND$2:$ND$150=G$4)*(GMW!$NF$2:$NF$150=G$1),0),$C13-1966)</f>
        <v>16274.34</v>
      </c>
      <c r="H13" s="4" cm="1">
        <f t="array" ref="H13">INDEX(GMW!$A$2:$NF$150,MATCH(1,(GMW!$NE$2:$NE$150=H$3)*(GMW!$ND$2:$ND$150=H$4)*(GMW!$NF$2:$NF$150=H$1),0),$C13-1966)</f>
        <v>35827</v>
      </c>
      <c r="I13" s="4" cm="1">
        <f t="array" ref="I13">INDEX(GMW!$A$2:$NF$150,MATCH(1,(GMW!$NE$2:$NE$150=I$3)*(GMW!$ND$2:$ND$150=I$4)*(GMW!$NF$2:$NF$150=I$1),0),$C13-1966)</f>
        <v>-1830.175</v>
      </c>
      <c r="J13" s="4" cm="1">
        <f t="array" ref="J13">INDEX(GMW!$A$2:$NF$150,MATCH(1,(GMW!$NE$2:$NE$150=J$3)*(GMW!$ND$2:$ND$150=J$4)*(GMW!$NF$2:$NF$150=J$1),0),$C13-1966)</f>
        <v>43865</v>
      </c>
      <c r="K13" s="4" cm="1">
        <f t="array" ref="K13">INDEX(GMW!$A$2:$NF$150,MATCH(1,(GMW!$NE$2:$NE$150=K$3)*(GMW!$ND$2:$ND$150=K$4)*(GMW!$NF$2:$NF$150=K$1),0),$C13-1966)</f>
        <v>16784.919999999998</v>
      </c>
      <c r="L13" s="4" cm="1">
        <f t="array" ref="L13">INDEX(GMW!$A$2:$NF$150,MATCH(1,(GMW!$NE$2:$NE$150=L$3)*(GMW!$ND$2:$ND$150=L$4)*(GMW!$NF$2:$NF$150=L$1),0),$C13-1966)</f>
        <v>252524.5</v>
      </c>
      <c r="M13" s="4" cm="1">
        <f t="array" ref="M13">INDEX(GMW!$A$2:$NF$150,MATCH(1,(GMW!$NE$2:$NE$150=M$3)*(GMW!$ND$2:$ND$150=M$4)*(GMW!$NF$2:$NF$150=M$1),0),$C13-1966)</f>
        <v>24983.040000000001</v>
      </c>
      <c r="N13" s="4" cm="1">
        <f t="array" ref="N13">INDEX(GMW!$A$2:$NF$150,MATCH(1,(GMW!$NE$2:$NE$150=N$3)*(GMW!$ND$2:$ND$150=N$4)*(GMW!$NF$2:$NF$150=N$1),0),$C13-1966)</f>
        <v>1E-3</v>
      </c>
      <c r="O13" s="4" cm="1">
        <f t="array" ref="O13">INDEX(GMW!$A$2:$NF$150,MATCH(1,(GMW!$NE$2:$NE$150=O$3)*(GMW!$ND$2:$ND$150=O$4)*(GMW!$NF$2:$NF$150=O$1),0),$C13-1966)</f>
        <v>289232.5</v>
      </c>
      <c r="P13" s="4" cm="1">
        <f t="array" ref="P13">INDEX(GMW!$A$2:$NF$150,MATCH(1,(GMW!$NE$2:$NE$150=P$3)*(GMW!$ND$2:$ND$150=P$4)*(GMW!$NF$2:$NF$150=P$1),0),$C13-1966)</f>
        <v>35332.83</v>
      </c>
      <c r="Q13" s="4" cm="1">
        <f t="array" ref="Q13">INDEX(GMW!$A$2:$NF$150,MATCH(1,(GMW!$NE$2:$NE$150=Q$3)*(GMW!$ND$2:$ND$150=Q$4)*(GMW!$NF$2:$NF$150=Q$1),0),$C13-1966)</f>
        <v>1111657</v>
      </c>
      <c r="R13" s="4" cm="1">
        <f t="array" ref="R13">INDEX(GMW!$A$2:$NF$150,MATCH(1,(GMW!$NE$2:$NE$150=R$3)*(GMW!$ND$2:$ND$150=R$4)*(GMW!$NF$2:$NF$150=R$1),0),$C13-1966)</f>
        <v>-1.927119</v>
      </c>
      <c r="S13" s="4" cm="1">
        <f t="array" ref="S13">INDEX(GMW!$A$2:$NF$150,MATCH(1,(GMW!$NE$2:$NE$150=S$3)*(GMW!$ND$2:$ND$150=S$4)*(GMW!$NF$2:$NF$150=S$1),0),$C13-1966)</f>
        <v>243197</v>
      </c>
      <c r="T13" s="4" cm="1">
        <f t="array" ref="T13">INDEX(GMW!$A$2:$NF$150,MATCH(1,(GMW!$NE$2:$NE$150=T$3)*(GMW!$ND$2:$ND$150=T$4)*(GMW!$NF$2:$NF$150=T$1),0),$C13-1966)</f>
        <v>14.572609999999999</v>
      </c>
      <c r="U13" s="4" cm="1">
        <f t="array" ref="U13">INDEX(GMW!$A$2:$NF$150,MATCH(1,(GMW!$NE$2:$NE$150=U$3)*(GMW!$ND$2:$ND$150=U$4)*(GMW!$NF$2:$NF$150=U$1),0),$C13-1966)</f>
        <v>40403</v>
      </c>
      <c r="V13" s="4" cm="1">
        <f t="array" ref="V13">INDEX(GMW!$A$2:$NF$150,MATCH(1,(GMW!$NE$2:$NE$150=V$3)*(GMW!$ND$2:$ND$150=V$4)*(GMW!$NF$2:$NF$150=V$1),0),$C13-1966)</f>
        <v>16274.34</v>
      </c>
      <c r="W13" s="4" cm="1">
        <f t="array" ref="W13">INDEX(GMW!$A$2:$NF$150,MATCH(1,(GMW!$NE$2:$NE$150=W$3)*(GMW!$ND$2:$ND$150=W$4)*(GMW!$NF$2:$NF$150=W$1),0),$C13-1966)</f>
        <v>35827</v>
      </c>
      <c r="X13" s="4" cm="1">
        <f t="array" ref="X13">INDEX(GMW!$A$2:$NF$150,MATCH(1,(GMW!$NE$2:$NE$150=X$3)*(GMW!$ND$2:$ND$150=X$4)*(GMW!$NF$2:$NF$150=X$1),0),$C13-1966)</f>
        <v>-1830.175</v>
      </c>
      <c r="Y13" s="4" cm="1">
        <f t="array" ref="Y13">INDEX(GMW!$A$2:$NF$150,MATCH(1,(GMW!$NE$2:$NE$150=Y$3)*(GMW!$ND$2:$ND$150=Y$4)*(GMW!$NF$2:$NF$150=Y$1),0),$C13-1966)</f>
        <v>43865</v>
      </c>
      <c r="Z13" s="4" cm="1">
        <f t="array" ref="Z13">INDEX(GMW!$A$2:$NF$150,MATCH(1,(GMW!$NE$2:$NE$150=Z$3)*(GMW!$ND$2:$ND$150=Z$4)*(GMW!$NF$2:$NF$150=Z$1),0),$C13-1966)</f>
        <v>16784.919999999998</v>
      </c>
      <c r="AA13" s="4" cm="1">
        <f t="array" ref="AA13">INDEX(GMW!$A$2:$NF$150,MATCH(1,(GMW!$NE$2:$NE$150=AA$3)*(GMW!$ND$2:$ND$150=AA$4)*(GMW!$NF$2:$NF$150=AA$1),0),$C13-1966)</f>
        <v>252524.5</v>
      </c>
      <c r="AB13" s="4" cm="1">
        <f t="array" ref="AB13">INDEX(GMW!$A$2:$NF$150,MATCH(1,(GMW!$NE$2:$NE$150=AB$3)*(GMW!$ND$2:$ND$150=AB$4)*(GMW!$NF$2:$NF$150=AB$1),0),$C13-1966)</f>
        <v>24983.040000000001</v>
      </c>
      <c r="AC13" s="4" cm="1">
        <f t="array" ref="AC13">INDEX(GMW!$A$2:$NF$150,MATCH(1,(GMW!$NE$2:$NE$150=AC$3)*(GMW!$ND$2:$ND$150=AC$4)*(GMW!$NF$2:$NF$150=AC$1),0),$C13-1966)</f>
        <v>1E-3</v>
      </c>
      <c r="AD13" s="4" cm="1">
        <f t="array" ref="AD13">INDEX(GMW!$A$2:$NF$150,MATCH(1,(GMW!$NE$2:$NE$150=AD$3)*(GMW!$ND$2:$ND$150=AD$4)*(GMW!$NF$2:$NF$150=AD$1),0),$C13-1966)</f>
        <v>289232.5</v>
      </c>
      <c r="AE13" s="4" cm="1">
        <f t="array" ref="AE13">INDEX(GMW!$A$2:$NF$150,MATCH(1,(GMW!$NE$2:$NE$150=AE$3)*(GMW!$ND$2:$ND$150=AE$4)*(GMW!$NF$2:$NF$150=AE$1),0),$C13-1966)</f>
        <v>35332.83</v>
      </c>
      <c r="AF13" s="4" cm="1">
        <f t="array" ref="AF13">INDEX(GMW!$A$2:$NF$150,MATCH(1,(GMW!$NE$2:$NE$150=AF$3)*(GMW!$ND$2:$ND$150=AF$4)*(GMW!$NF$2:$NF$150=AF$1),0),$C13-1966)</f>
        <v>1111657</v>
      </c>
      <c r="AG13" s="4" cm="1">
        <f t="array" ref="AG13">INDEX(GMW!$A$2:$NF$150,MATCH(1,(GMW!$NE$2:$NE$150=AG$3)*(GMW!$ND$2:$ND$150=AG$4)*(GMW!$NF$2:$NF$150=AG$1),0),$C13-1966)</f>
        <v>-1.927119</v>
      </c>
      <c r="AH13" s="4" cm="1">
        <f t="array" ref="AH13">INDEX(GMW!$A$2:$NF$150,MATCH(1,(GMW!$NE$2:$NE$150=AH$3)*(GMW!$ND$2:$ND$150=AH$4)*(GMW!$NF$2:$NF$150=AH$1),0),$C13-1966)</f>
        <v>243197</v>
      </c>
      <c r="AI13" s="4" cm="1">
        <f t="array" ref="AI13">INDEX(GMW!$A$2:$NF$150,MATCH(1,(GMW!$NE$2:$NE$150=AI$3)*(GMW!$ND$2:$ND$150=AI$4)*(GMW!$NF$2:$NF$150=AI$1),0),$C13-1966)</f>
        <v>14.572609999999999</v>
      </c>
      <c r="AJ13" s="4" cm="1">
        <f t="array" ref="AJ13">INDEX(GMW!$A$2:$NF$150,MATCH(1,(GMW!$NE$2:$NE$150=AJ$3)*(GMW!$ND$2:$ND$150=AJ$4)*(GMW!$NF$2:$NF$150=AJ$1),0),$C13-1966)</f>
        <v>40403</v>
      </c>
      <c r="AK13" s="4" cm="1">
        <f t="array" ref="AK13">INDEX(GMW!$A$2:$NF$150,MATCH(1,(GMW!$NE$2:$NE$150=AK$3)*(GMW!$ND$2:$ND$150=AK$4)*(GMW!$NF$2:$NF$150=AK$1),0),$C13-1966)</f>
        <v>16274.34</v>
      </c>
      <c r="AL13" s="4" cm="1">
        <f t="array" ref="AL13">INDEX(GMW!$A$2:$NF$150,MATCH(1,(GMW!$NE$2:$NE$150=AL$3)*(GMW!$ND$2:$ND$150=AL$4)*(GMW!$NF$2:$NF$150=AL$1),0),$C13-1966)</f>
        <v>35827</v>
      </c>
      <c r="AM13" s="4" cm="1">
        <f t="array" ref="AM13">INDEX(GMW!$A$2:$NF$150,MATCH(1,(GMW!$NE$2:$NE$150=AM$3)*(GMW!$ND$2:$ND$150=AM$4)*(GMW!$NF$2:$NF$150=AM$1),0),$C13-1966)</f>
        <v>-1830.175</v>
      </c>
      <c r="AN13" s="4" cm="1">
        <f t="array" ref="AN13">INDEX(GMW!$A$2:$NF$150,MATCH(1,(GMW!$NE$2:$NE$150=AN$3)*(GMW!$ND$2:$ND$150=AN$4)*(GMW!$NF$2:$NF$150=AN$1),0),$C13-1966)</f>
        <v>43865</v>
      </c>
      <c r="AO13" s="4" cm="1">
        <f t="array" ref="AO13">INDEX(GMW!$A$2:$NF$150,MATCH(1,(GMW!$NE$2:$NE$150=AO$3)*(GMW!$ND$2:$ND$150=AO$4)*(GMW!$NF$2:$NF$150=AO$1),0),$C13-1966)</f>
        <v>16784.919999999998</v>
      </c>
      <c r="AP13" s="4" cm="1">
        <f t="array" ref="AP13">INDEX(GMW!$A$2:$NF$150,MATCH(1,(GMW!$NE$2:$NE$150=AP$3)*(GMW!$ND$2:$ND$150=AP$4)*(GMW!$NF$2:$NF$150=AP$1),0),$C13-1966)</f>
        <v>252524.5</v>
      </c>
      <c r="AQ13" s="4" cm="1">
        <f t="array" ref="AQ13">INDEX(GMW!$A$2:$NF$150,MATCH(1,(GMW!$NE$2:$NE$150=AQ$3)*(GMW!$ND$2:$ND$150=AQ$4)*(GMW!$NF$2:$NF$150=AQ$1),0),$C13-1966)</f>
        <v>24983.040000000001</v>
      </c>
      <c r="AR13" s="4" cm="1">
        <f t="array" ref="AR13">INDEX(GMW!$A$2:$NF$150,MATCH(1,(GMW!$NE$2:$NE$150=AR$3)*(GMW!$ND$2:$ND$150=AR$4)*(GMW!$NF$2:$NF$150=AR$1),0),$C13-1966)</f>
        <v>1E-3</v>
      </c>
      <c r="AS13" s="4" cm="1">
        <f t="array" ref="AS13">INDEX(GMW!$A$2:$NF$150,MATCH(1,(GMW!$NE$2:$NE$150=AS$3)*(GMW!$ND$2:$ND$150=AS$4)*(GMW!$NF$2:$NF$150=AS$1),0),$C13-1966)</f>
        <v>289232.5</v>
      </c>
      <c r="AT13" s="4" cm="1">
        <f t="array" ref="AT13">INDEX(GMW!$A$2:$NF$150,MATCH(1,(GMW!$NE$2:$NE$150=AT$3)*(GMW!$ND$2:$ND$150=AT$4)*(GMW!$NF$2:$NF$150=AT$1),0),$C13-1966)</f>
        <v>35332.83</v>
      </c>
      <c r="AU13" s="4" cm="1">
        <f t="array" ref="AU13">INDEX(GMW!$A$2:$NF$150,MATCH(1,(GMW!$NE$2:$NE$150=AU$3)*(GMW!$ND$2:$ND$150=AU$4)*(GMW!$NF$2:$NF$150=AU$1),0),$C13-1966)</f>
        <v>1111657</v>
      </c>
      <c r="AV13" s="4" cm="1">
        <f t="array" ref="AV13">INDEX(GMW!$A$2:$NF$150,MATCH(1,(GMW!$NE$2:$NE$150=AV$3)*(GMW!$ND$2:$ND$150=AV$4)*(GMW!$NF$2:$NF$150=AV$1),0),$C13-1966)</f>
        <v>-1.927119</v>
      </c>
    </row>
    <row r="14" spans="1:48" x14ac:dyDescent="0.25">
      <c r="B14" s="4">
        <f t="shared" si="4"/>
        <v>1974</v>
      </c>
      <c r="C14" s="4">
        <f t="shared" si="3"/>
        <v>1980</v>
      </c>
      <c r="D14" s="4" cm="1">
        <f t="array" ref="D14">INDEX(GMW!$A$2:$NF$150,MATCH(1,(GMW!$NE$2:$NE$150=D$3)*(GMW!$ND$2:$ND$150=D$4)*(GMW!$NF$2:$NF$150=D$1),0),$C14-1966)</f>
        <v>239612</v>
      </c>
      <c r="E14" s="4" cm="1">
        <f t="array" ref="E14">INDEX(GMW!$A$2:$NF$150,MATCH(1,(GMW!$NE$2:$NE$150=E$3)*(GMW!$ND$2:$ND$150=E$4)*(GMW!$NF$2:$NF$150=E$1),0),$C14-1966)</f>
        <v>15.250400000000001</v>
      </c>
      <c r="F14" s="4" cm="1">
        <f t="array" ref="F14">INDEX(GMW!$A$2:$NF$150,MATCH(1,(GMW!$NE$2:$NE$150=F$3)*(GMW!$ND$2:$ND$150=F$4)*(GMW!$NF$2:$NF$150=F$1),0),$C14-1966)</f>
        <v>39579</v>
      </c>
      <c r="G14" s="4" cm="1">
        <f t="array" ref="G14">INDEX(GMW!$A$2:$NF$150,MATCH(1,(GMW!$NE$2:$NE$150=G$3)*(GMW!$ND$2:$ND$150=G$4)*(GMW!$NF$2:$NF$150=G$1),0),$C14-1966)</f>
        <v>15142.34</v>
      </c>
      <c r="H14" s="4" cm="1">
        <f t="array" ref="H14">INDEX(GMW!$A$2:$NF$150,MATCH(1,(GMW!$NE$2:$NE$150=H$3)*(GMW!$ND$2:$ND$150=H$4)*(GMW!$NF$2:$NF$150=H$1),0),$C14-1966)</f>
        <v>35382</v>
      </c>
      <c r="I14" s="4" cm="1">
        <f t="array" ref="I14">INDEX(GMW!$A$2:$NF$150,MATCH(1,(GMW!$NE$2:$NE$150=I$3)*(GMW!$ND$2:$ND$150=I$4)*(GMW!$NF$2:$NF$150=I$1),0),$C14-1966)</f>
        <v>-2998.1</v>
      </c>
      <c r="J14" s="4" cm="1">
        <f t="array" ref="J14">INDEX(GMW!$A$2:$NF$150,MATCH(1,(GMW!$NE$2:$NE$150=J$3)*(GMW!$ND$2:$ND$150=J$4)*(GMW!$NF$2:$NF$150=J$1),0),$C14-1966)</f>
        <v>44059</v>
      </c>
      <c r="K14" s="4" cm="1">
        <f t="array" ref="K14">INDEX(GMW!$A$2:$NF$150,MATCH(1,(GMW!$NE$2:$NE$150=K$3)*(GMW!$ND$2:$ND$150=K$4)*(GMW!$NF$2:$NF$150=K$1),0),$C14-1966)</f>
        <v>17497.7</v>
      </c>
      <c r="L14" s="4" cm="1">
        <f t="array" ref="L14">INDEX(GMW!$A$2:$NF$150,MATCH(1,(GMW!$NE$2:$NE$150=L$3)*(GMW!$ND$2:$ND$150=L$4)*(GMW!$NF$2:$NF$150=L$1),0),$C14-1966)</f>
        <v>253154.3</v>
      </c>
      <c r="M14" s="4" cm="1">
        <f t="array" ref="M14">INDEX(GMW!$A$2:$NF$150,MATCH(1,(GMW!$NE$2:$NE$150=M$3)*(GMW!$ND$2:$ND$150=M$4)*(GMW!$NF$2:$NF$150=M$1),0),$C14-1966)</f>
        <v>24999.360000000001</v>
      </c>
      <c r="N14" s="4" cm="1">
        <f t="array" ref="N14">INDEX(GMW!$A$2:$NF$150,MATCH(1,(GMW!$NE$2:$NE$150=N$3)*(GMW!$ND$2:$ND$150=N$4)*(GMW!$NF$2:$NF$150=N$1),0),$C14-1966)</f>
        <v>1E-3</v>
      </c>
      <c r="O14" s="4" cm="1">
        <f t="array" ref="O14">INDEX(GMW!$A$2:$NF$150,MATCH(1,(GMW!$NE$2:$NE$150=O$3)*(GMW!$ND$2:$ND$150=O$4)*(GMW!$NF$2:$NF$150=O$1),0),$C14-1966)</f>
        <v>289883.3</v>
      </c>
      <c r="P14" s="4" cm="1">
        <f t="array" ref="P14">INDEX(GMW!$A$2:$NF$150,MATCH(1,(GMW!$NE$2:$NE$150=P$3)*(GMW!$ND$2:$ND$150=P$4)*(GMW!$NF$2:$NF$150=P$1),0),$C14-1966)</f>
        <v>35331.26</v>
      </c>
      <c r="Q14" s="4" cm="1">
        <f t="array" ref="Q14">INDEX(GMW!$A$2:$NF$150,MATCH(1,(GMW!$NE$2:$NE$150=Q$3)*(GMW!$ND$2:$ND$150=Q$4)*(GMW!$NF$2:$NF$150=Q$1),0),$C14-1966)</f>
        <v>1119143</v>
      </c>
      <c r="R14" s="4" cm="1">
        <f t="array" ref="R14">INDEX(GMW!$A$2:$NF$150,MATCH(1,(GMW!$NE$2:$NE$150=R$3)*(GMW!$ND$2:$ND$150=R$4)*(GMW!$NF$2:$NF$150=R$1),0),$C14-1966)</f>
        <v>-1.928105</v>
      </c>
      <c r="S14" s="4" cm="1">
        <f t="array" ref="S14">INDEX(GMW!$A$2:$NF$150,MATCH(1,(GMW!$NE$2:$NE$150=S$3)*(GMW!$ND$2:$ND$150=S$4)*(GMW!$NF$2:$NF$150=S$1),0),$C14-1966)</f>
        <v>239612</v>
      </c>
      <c r="T14" s="4" cm="1">
        <f t="array" ref="T14">INDEX(GMW!$A$2:$NF$150,MATCH(1,(GMW!$NE$2:$NE$150=T$3)*(GMW!$ND$2:$ND$150=T$4)*(GMW!$NF$2:$NF$150=T$1),0),$C14-1966)</f>
        <v>15.250400000000001</v>
      </c>
      <c r="U14" s="4" cm="1">
        <f t="array" ref="U14">INDEX(GMW!$A$2:$NF$150,MATCH(1,(GMW!$NE$2:$NE$150=U$3)*(GMW!$ND$2:$ND$150=U$4)*(GMW!$NF$2:$NF$150=U$1),0),$C14-1966)</f>
        <v>39579</v>
      </c>
      <c r="V14" s="4" cm="1">
        <f t="array" ref="V14">INDEX(GMW!$A$2:$NF$150,MATCH(1,(GMW!$NE$2:$NE$150=V$3)*(GMW!$ND$2:$ND$150=V$4)*(GMW!$NF$2:$NF$150=V$1),0),$C14-1966)</f>
        <v>15142.34</v>
      </c>
      <c r="W14" s="4" cm="1">
        <f t="array" ref="W14">INDEX(GMW!$A$2:$NF$150,MATCH(1,(GMW!$NE$2:$NE$150=W$3)*(GMW!$ND$2:$ND$150=W$4)*(GMW!$NF$2:$NF$150=W$1),0),$C14-1966)</f>
        <v>35382</v>
      </c>
      <c r="X14" s="4" cm="1">
        <f t="array" ref="X14">INDEX(GMW!$A$2:$NF$150,MATCH(1,(GMW!$NE$2:$NE$150=X$3)*(GMW!$ND$2:$ND$150=X$4)*(GMW!$NF$2:$NF$150=X$1),0),$C14-1966)</f>
        <v>-2998.1</v>
      </c>
      <c r="Y14" s="4" cm="1">
        <f t="array" ref="Y14">INDEX(GMW!$A$2:$NF$150,MATCH(1,(GMW!$NE$2:$NE$150=Y$3)*(GMW!$ND$2:$ND$150=Y$4)*(GMW!$NF$2:$NF$150=Y$1),0),$C14-1966)</f>
        <v>44059</v>
      </c>
      <c r="Z14" s="4" cm="1">
        <f t="array" ref="Z14">INDEX(GMW!$A$2:$NF$150,MATCH(1,(GMW!$NE$2:$NE$150=Z$3)*(GMW!$ND$2:$ND$150=Z$4)*(GMW!$NF$2:$NF$150=Z$1),0),$C14-1966)</f>
        <v>17497.7</v>
      </c>
      <c r="AA14" s="4" cm="1">
        <f t="array" ref="AA14">INDEX(GMW!$A$2:$NF$150,MATCH(1,(GMW!$NE$2:$NE$150=AA$3)*(GMW!$ND$2:$ND$150=AA$4)*(GMW!$NF$2:$NF$150=AA$1),0),$C14-1966)</f>
        <v>253154.3</v>
      </c>
      <c r="AB14" s="4" cm="1">
        <f t="array" ref="AB14">INDEX(GMW!$A$2:$NF$150,MATCH(1,(GMW!$NE$2:$NE$150=AB$3)*(GMW!$ND$2:$ND$150=AB$4)*(GMW!$NF$2:$NF$150=AB$1),0),$C14-1966)</f>
        <v>24999.360000000001</v>
      </c>
      <c r="AC14" s="4" cm="1">
        <f t="array" ref="AC14">INDEX(GMW!$A$2:$NF$150,MATCH(1,(GMW!$NE$2:$NE$150=AC$3)*(GMW!$ND$2:$ND$150=AC$4)*(GMW!$NF$2:$NF$150=AC$1),0),$C14-1966)</f>
        <v>1E-3</v>
      </c>
      <c r="AD14" s="4" cm="1">
        <f t="array" ref="AD14">INDEX(GMW!$A$2:$NF$150,MATCH(1,(GMW!$NE$2:$NE$150=AD$3)*(GMW!$ND$2:$ND$150=AD$4)*(GMW!$NF$2:$NF$150=AD$1),0),$C14-1966)</f>
        <v>289883.3</v>
      </c>
      <c r="AE14" s="4" cm="1">
        <f t="array" ref="AE14">INDEX(GMW!$A$2:$NF$150,MATCH(1,(GMW!$NE$2:$NE$150=AE$3)*(GMW!$ND$2:$ND$150=AE$4)*(GMW!$NF$2:$NF$150=AE$1),0),$C14-1966)</f>
        <v>35331.26</v>
      </c>
      <c r="AF14" s="4" cm="1">
        <f t="array" ref="AF14">INDEX(GMW!$A$2:$NF$150,MATCH(1,(GMW!$NE$2:$NE$150=AF$3)*(GMW!$ND$2:$ND$150=AF$4)*(GMW!$NF$2:$NF$150=AF$1),0),$C14-1966)</f>
        <v>1119143</v>
      </c>
      <c r="AG14" s="4" cm="1">
        <f t="array" ref="AG14">INDEX(GMW!$A$2:$NF$150,MATCH(1,(GMW!$NE$2:$NE$150=AG$3)*(GMW!$ND$2:$ND$150=AG$4)*(GMW!$NF$2:$NF$150=AG$1),0),$C14-1966)</f>
        <v>-1.928105</v>
      </c>
      <c r="AH14" s="4" cm="1">
        <f t="array" ref="AH14">INDEX(GMW!$A$2:$NF$150,MATCH(1,(GMW!$NE$2:$NE$150=AH$3)*(GMW!$ND$2:$ND$150=AH$4)*(GMW!$NF$2:$NF$150=AH$1),0),$C14-1966)</f>
        <v>239612</v>
      </c>
      <c r="AI14" s="4" cm="1">
        <f t="array" ref="AI14">INDEX(GMW!$A$2:$NF$150,MATCH(1,(GMW!$NE$2:$NE$150=AI$3)*(GMW!$ND$2:$ND$150=AI$4)*(GMW!$NF$2:$NF$150=AI$1),0),$C14-1966)</f>
        <v>15.250400000000001</v>
      </c>
      <c r="AJ14" s="4" cm="1">
        <f t="array" ref="AJ14">INDEX(GMW!$A$2:$NF$150,MATCH(1,(GMW!$NE$2:$NE$150=AJ$3)*(GMW!$ND$2:$ND$150=AJ$4)*(GMW!$NF$2:$NF$150=AJ$1),0),$C14-1966)</f>
        <v>39579</v>
      </c>
      <c r="AK14" s="4" cm="1">
        <f t="array" ref="AK14">INDEX(GMW!$A$2:$NF$150,MATCH(1,(GMW!$NE$2:$NE$150=AK$3)*(GMW!$ND$2:$ND$150=AK$4)*(GMW!$NF$2:$NF$150=AK$1),0),$C14-1966)</f>
        <v>15142.34</v>
      </c>
      <c r="AL14" s="4" cm="1">
        <f t="array" ref="AL14">INDEX(GMW!$A$2:$NF$150,MATCH(1,(GMW!$NE$2:$NE$150=AL$3)*(GMW!$ND$2:$ND$150=AL$4)*(GMW!$NF$2:$NF$150=AL$1),0),$C14-1966)</f>
        <v>35382</v>
      </c>
      <c r="AM14" s="4" cm="1">
        <f t="array" ref="AM14">INDEX(GMW!$A$2:$NF$150,MATCH(1,(GMW!$NE$2:$NE$150=AM$3)*(GMW!$ND$2:$ND$150=AM$4)*(GMW!$NF$2:$NF$150=AM$1),0),$C14-1966)</f>
        <v>-2998.1</v>
      </c>
      <c r="AN14" s="4" cm="1">
        <f t="array" ref="AN14">INDEX(GMW!$A$2:$NF$150,MATCH(1,(GMW!$NE$2:$NE$150=AN$3)*(GMW!$ND$2:$ND$150=AN$4)*(GMW!$NF$2:$NF$150=AN$1),0),$C14-1966)</f>
        <v>44059</v>
      </c>
      <c r="AO14" s="4" cm="1">
        <f t="array" ref="AO14">INDEX(GMW!$A$2:$NF$150,MATCH(1,(GMW!$NE$2:$NE$150=AO$3)*(GMW!$ND$2:$ND$150=AO$4)*(GMW!$NF$2:$NF$150=AO$1),0),$C14-1966)</f>
        <v>17497.7</v>
      </c>
      <c r="AP14" s="4" cm="1">
        <f t="array" ref="AP14">INDEX(GMW!$A$2:$NF$150,MATCH(1,(GMW!$NE$2:$NE$150=AP$3)*(GMW!$ND$2:$ND$150=AP$4)*(GMW!$NF$2:$NF$150=AP$1),0),$C14-1966)</f>
        <v>253154.3</v>
      </c>
      <c r="AQ14" s="4" cm="1">
        <f t="array" ref="AQ14">INDEX(GMW!$A$2:$NF$150,MATCH(1,(GMW!$NE$2:$NE$150=AQ$3)*(GMW!$ND$2:$ND$150=AQ$4)*(GMW!$NF$2:$NF$150=AQ$1),0),$C14-1966)</f>
        <v>24999.360000000001</v>
      </c>
      <c r="AR14" s="4" cm="1">
        <f t="array" ref="AR14">INDEX(GMW!$A$2:$NF$150,MATCH(1,(GMW!$NE$2:$NE$150=AR$3)*(GMW!$ND$2:$ND$150=AR$4)*(GMW!$NF$2:$NF$150=AR$1),0),$C14-1966)</f>
        <v>1E-3</v>
      </c>
      <c r="AS14" s="4" cm="1">
        <f t="array" ref="AS14">INDEX(GMW!$A$2:$NF$150,MATCH(1,(GMW!$NE$2:$NE$150=AS$3)*(GMW!$ND$2:$ND$150=AS$4)*(GMW!$NF$2:$NF$150=AS$1),0),$C14-1966)</f>
        <v>289883.3</v>
      </c>
      <c r="AT14" s="4" cm="1">
        <f t="array" ref="AT14">INDEX(GMW!$A$2:$NF$150,MATCH(1,(GMW!$NE$2:$NE$150=AT$3)*(GMW!$ND$2:$ND$150=AT$4)*(GMW!$NF$2:$NF$150=AT$1),0),$C14-1966)</f>
        <v>35331.26</v>
      </c>
      <c r="AU14" s="4" cm="1">
        <f t="array" ref="AU14">INDEX(GMW!$A$2:$NF$150,MATCH(1,(GMW!$NE$2:$NE$150=AU$3)*(GMW!$ND$2:$ND$150=AU$4)*(GMW!$NF$2:$NF$150=AU$1),0),$C14-1966)</f>
        <v>1119143</v>
      </c>
      <c r="AV14" s="4" cm="1">
        <f t="array" ref="AV14">INDEX(GMW!$A$2:$NF$150,MATCH(1,(GMW!$NE$2:$NE$150=AV$3)*(GMW!$ND$2:$ND$150=AV$4)*(GMW!$NF$2:$NF$150=AV$1),0),$C14-1966)</f>
        <v>-1.928105</v>
      </c>
    </row>
    <row r="15" spans="1:48" x14ac:dyDescent="0.25">
      <c r="A15" s="4">
        <v>1975</v>
      </c>
      <c r="B15" s="4">
        <f t="shared" si="4"/>
        <v>1975</v>
      </c>
      <c r="C15" s="4">
        <f t="shared" si="3"/>
        <v>1981</v>
      </c>
      <c r="D15" s="4" cm="1">
        <f t="array" ref="D15">INDEX(GMW!$A$2:$NF$150,MATCH(1,(GMW!$NE$2:$NE$150=D$3)*(GMW!$ND$2:$ND$150=D$4)*(GMW!$NF$2:$NF$150=D$1),0),$C15-1966)</f>
        <v>239702</v>
      </c>
      <c r="E15" s="4" cm="1">
        <f t="array" ref="E15">INDEX(GMW!$A$2:$NF$150,MATCH(1,(GMW!$NE$2:$NE$150=E$3)*(GMW!$ND$2:$ND$150=E$4)*(GMW!$NF$2:$NF$150=E$1),0),$C15-1966)</f>
        <v>16.058540000000001</v>
      </c>
      <c r="F15" s="4" cm="1">
        <f t="array" ref="F15">INDEX(GMW!$A$2:$NF$150,MATCH(1,(GMW!$NE$2:$NE$150=F$3)*(GMW!$ND$2:$ND$150=F$4)*(GMW!$NF$2:$NF$150=F$1),0),$C15-1966)</f>
        <v>39298</v>
      </c>
      <c r="G15" s="4" cm="1">
        <f t="array" ref="G15">INDEX(GMW!$A$2:$NF$150,MATCH(1,(GMW!$NE$2:$NE$150=G$3)*(GMW!$ND$2:$ND$150=G$4)*(GMW!$NF$2:$NF$150=G$1),0),$C15-1966)</f>
        <v>15222.87</v>
      </c>
      <c r="H15" s="4" cm="1">
        <f t="array" ref="H15">INDEX(GMW!$A$2:$NF$150,MATCH(1,(GMW!$NE$2:$NE$150=H$3)*(GMW!$ND$2:$ND$150=H$4)*(GMW!$NF$2:$NF$150=H$1),0),$C15-1966)</f>
        <v>33882</v>
      </c>
      <c r="I15" s="4" cm="1">
        <f t="array" ref="I15">INDEX(GMW!$A$2:$NF$150,MATCH(1,(GMW!$NE$2:$NE$150=I$3)*(GMW!$ND$2:$ND$150=I$4)*(GMW!$NF$2:$NF$150=I$1),0),$C15-1966)</f>
        <v>75.2</v>
      </c>
      <c r="J15" s="4" cm="1">
        <f t="array" ref="J15">INDEX(GMW!$A$2:$NF$150,MATCH(1,(GMW!$NE$2:$NE$150=J$3)*(GMW!$ND$2:$ND$150=J$4)*(GMW!$NF$2:$NF$150=J$1),0),$C15-1966)</f>
        <v>42893</v>
      </c>
      <c r="K15" s="4" cm="1">
        <f t="array" ref="K15">INDEX(GMW!$A$2:$NF$150,MATCH(1,(GMW!$NE$2:$NE$150=K$3)*(GMW!$ND$2:$ND$150=K$4)*(GMW!$NF$2:$NF$150=K$1),0),$C15-1966)</f>
        <v>16895.939999999999</v>
      </c>
      <c r="L15" s="4" cm="1">
        <f t="array" ref="L15">INDEX(GMW!$A$2:$NF$150,MATCH(1,(GMW!$NE$2:$NE$150=L$3)*(GMW!$ND$2:$ND$150=L$4)*(GMW!$NF$2:$NF$150=L$1),0),$C15-1966)</f>
        <v>253236.2</v>
      </c>
      <c r="M15" s="4" cm="1">
        <f t="array" ref="M15">INDEX(GMW!$A$2:$NF$150,MATCH(1,(GMW!$NE$2:$NE$150=M$3)*(GMW!$ND$2:$ND$150=M$4)*(GMW!$NF$2:$NF$150=M$1),0),$C15-1966)</f>
        <v>24931.95</v>
      </c>
      <c r="N15" s="4" cm="1">
        <f t="array" ref="N15">INDEX(GMW!$A$2:$NF$150,MATCH(1,(GMW!$NE$2:$NE$150=N$3)*(GMW!$ND$2:$ND$150=N$4)*(GMW!$NF$2:$NF$150=N$1),0),$C15-1966)</f>
        <v>1E-3</v>
      </c>
      <c r="O15" s="4" cm="1">
        <f t="array" ref="O15">INDEX(GMW!$A$2:$NF$150,MATCH(1,(GMW!$NE$2:$NE$150=O$3)*(GMW!$ND$2:$ND$150=O$4)*(GMW!$NF$2:$NF$150=O$1),0),$C15-1966)</f>
        <v>290563.3</v>
      </c>
      <c r="P15" s="4" cm="1">
        <f t="array" ref="P15">INDEX(GMW!$A$2:$NF$150,MATCH(1,(GMW!$NE$2:$NE$150=P$3)*(GMW!$ND$2:$ND$150=P$4)*(GMW!$NF$2:$NF$150=P$1),0),$C15-1966)</f>
        <v>35329.69</v>
      </c>
      <c r="Q15" s="4" cm="1">
        <f t="array" ref="Q15">INDEX(GMW!$A$2:$NF$150,MATCH(1,(GMW!$NE$2:$NE$150=Q$3)*(GMW!$ND$2:$ND$150=Q$4)*(GMW!$NF$2:$NF$150=Q$1),0),$C15-1966)</f>
        <v>1126434</v>
      </c>
      <c r="R15" s="4" cm="1">
        <f t="array" ref="R15">INDEX(GMW!$A$2:$NF$150,MATCH(1,(GMW!$NE$2:$NE$150=R$3)*(GMW!$ND$2:$ND$150=R$4)*(GMW!$NF$2:$NF$150=R$1),0),$C15-1966)</f>
        <v>-1.929092</v>
      </c>
      <c r="S15" s="4" cm="1">
        <f t="array" ref="S15">INDEX(GMW!$A$2:$NF$150,MATCH(1,(GMW!$NE$2:$NE$150=S$3)*(GMW!$ND$2:$ND$150=S$4)*(GMW!$NF$2:$NF$150=S$1),0),$C15-1966)</f>
        <v>239702</v>
      </c>
      <c r="T15" s="4" cm="1">
        <f t="array" ref="T15">INDEX(GMW!$A$2:$NF$150,MATCH(1,(GMW!$NE$2:$NE$150=T$3)*(GMW!$ND$2:$ND$150=T$4)*(GMW!$NF$2:$NF$150=T$1),0),$C15-1966)</f>
        <v>16.058540000000001</v>
      </c>
      <c r="U15" s="4" cm="1">
        <f t="array" ref="U15">INDEX(GMW!$A$2:$NF$150,MATCH(1,(GMW!$NE$2:$NE$150=U$3)*(GMW!$ND$2:$ND$150=U$4)*(GMW!$NF$2:$NF$150=U$1),0),$C15-1966)</f>
        <v>39298</v>
      </c>
      <c r="V15" s="4" cm="1">
        <f t="array" ref="V15">INDEX(GMW!$A$2:$NF$150,MATCH(1,(GMW!$NE$2:$NE$150=V$3)*(GMW!$ND$2:$ND$150=V$4)*(GMW!$NF$2:$NF$150=V$1),0),$C15-1966)</f>
        <v>15222.87</v>
      </c>
      <c r="W15" s="4" cm="1">
        <f t="array" ref="W15">INDEX(GMW!$A$2:$NF$150,MATCH(1,(GMW!$NE$2:$NE$150=W$3)*(GMW!$ND$2:$ND$150=W$4)*(GMW!$NF$2:$NF$150=W$1),0),$C15-1966)</f>
        <v>33882</v>
      </c>
      <c r="X15" s="4" cm="1">
        <f t="array" ref="X15">INDEX(GMW!$A$2:$NF$150,MATCH(1,(GMW!$NE$2:$NE$150=X$3)*(GMW!$ND$2:$ND$150=X$4)*(GMW!$NF$2:$NF$150=X$1),0),$C15-1966)</f>
        <v>75.2</v>
      </c>
      <c r="Y15" s="4" cm="1">
        <f t="array" ref="Y15">INDEX(GMW!$A$2:$NF$150,MATCH(1,(GMW!$NE$2:$NE$150=Y$3)*(GMW!$ND$2:$ND$150=Y$4)*(GMW!$NF$2:$NF$150=Y$1),0),$C15-1966)</f>
        <v>42893</v>
      </c>
      <c r="Z15" s="4" cm="1">
        <f t="array" ref="Z15">INDEX(GMW!$A$2:$NF$150,MATCH(1,(GMW!$NE$2:$NE$150=Z$3)*(GMW!$ND$2:$ND$150=Z$4)*(GMW!$NF$2:$NF$150=Z$1),0),$C15-1966)</f>
        <v>16895.939999999999</v>
      </c>
      <c r="AA15" s="4" cm="1">
        <f t="array" ref="AA15">INDEX(GMW!$A$2:$NF$150,MATCH(1,(GMW!$NE$2:$NE$150=AA$3)*(GMW!$ND$2:$ND$150=AA$4)*(GMW!$NF$2:$NF$150=AA$1),0),$C15-1966)</f>
        <v>253236.2</v>
      </c>
      <c r="AB15" s="4" cm="1">
        <f t="array" ref="AB15">INDEX(GMW!$A$2:$NF$150,MATCH(1,(GMW!$NE$2:$NE$150=AB$3)*(GMW!$ND$2:$ND$150=AB$4)*(GMW!$NF$2:$NF$150=AB$1),0),$C15-1966)</f>
        <v>24931.95</v>
      </c>
      <c r="AC15" s="4" cm="1">
        <f t="array" ref="AC15">INDEX(GMW!$A$2:$NF$150,MATCH(1,(GMW!$NE$2:$NE$150=AC$3)*(GMW!$ND$2:$ND$150=AC$4)*(GMW!$NF$2:$NF$150=AC$1),0),$C15-1966)</f>
        <v>1E-3</v>
      </c>
      <c r="AD15" s="4" cm="1">
        <f t="array" ref="AD15">INDEX(GMW!$A$2:$NF$150,MATCH(1,(GMW!$NE$2:$NE$150=AD$3)*(GMW!$ND$2:$ND$150=AD$4)*(GMW!$NF$2:$NF$150=AD$1),0),$C15-1966)</f>
        <v>290563.3</v>
      </c>
      <c r="AE15" s="4" cm="1">
        <f t="array" ref="AE15">INDEX(GMW!$A$2:$NF$150,MATCH(1,(GMW!$NE$2:$NE$150=AE$3)*(GMW!$ND$2:$ND$150=AE$4)*(GMW!$NF$2:$NF$150=AE$1),0),$C15-1966)</f>
        <v>35329.69</v>
      </c>
      <c r="AF15" s="4" cm="1">
        <f t="array" ref="AF15">INDEX(GMW!$A$2:$NF$150,MATCH(1,(GMW!$NE$2:$NE$150=AF$3)*(GMW!$ND$2:$ND$150=AF$4)*(GMW!$NF$2:$NF$150=AF$1),0),$C15-1966)</f>
        <v>1126434</v>
      </c>
      <c r="AG15" s="4" cm="1">
        <f t="array" ref="AG15">INDEX(GMW!$A$2:$NF$150,MATCH(1,(GMW!$NE$2:$NE$150=AG$3)*(GMW!$ND$2:$ND$150=AG$4)*(GMW!$NF$2:$NF$150=AG$1),0),$C15-1966)</f>
        <v>-1.929092</v>
      </c>
      <c r="AH15" s="4" cm="1">
        <f t="array" ref="AH15">INDEX(GMW!$A$2:$NF$150,MATCH(1,(GMW!$NE$2:$NE$150=AH$3)*(GMW!$ND$2:$ND$150=AH$4)*(GMW!$NF$2:$NF$150=AH$1),0),$C15-1966)</f>
        <v>239702</v>
      </c>
      <c r="AI15" s="4" cm="1">
        <f t="array" ref="AI15">INDEX(GMW!$A$2:$NF$150,MATCH(1,(GMW!$NE$2:$NE$150=AI$3)*(GMW!$ND$2:$ND$150=AI$4)*(GMW!$NF$2:$NF$150=AI$1),0),$C15-1966)</f>
        <v>16.058540000000001</v>
      </c>
      <c r="AJ15" s="4" cm="1">
        <f t="array" ref="AJ15">INDEX(GMW!$A$2:$NF$150,MATCH(1,(GMW!$NE$2:$NE$150=AJ$3)*(GMW!$ND$2:$ND$150=AJ$4)*(GMW!$NF$2:$NF$150=AJ$1),0),$C15-1966)</f>
        <v>39298</v>
      </c>
      <c r="AK15" s="4" cm="1">
        <f t="array" ref="AK15">INDEX(GMW!$A$2:$NF$150,MATCH(1,(GMW!$NE$2:$NE$150=AK$3)*(GMW!$ND$2:$ND$150=AK$4)*(GMW!$NF$2:$NF$150=AK$1),0),$C15-1966)</f>
        <v>15222.87</v>
      </c>
      <c r="AL15" s="4" cm="1">
        <f t="array" ref="AL15">INDEX(GMW!$A$2:$NF$150,MATCH(1,(GMW!$NE$2:$NE$150=AL$3)*(GMW!$ND$2:$ND$150=AL$4)*(GMW!$NF$2:$NF$150=AL$1),0),$C15-1966)</f>
        <v>33882</v>
      </c>
      <c r="AM15" s="4" cm="1">
        <f t="array" ref="AM15">INDEX(GMW!$A$2:$NF$150,MATCH(1,(GMW!$NE$2:$NE$150=AM$3)*(GMW!$ND$2:$ND$150=AM$4)*(GMW!$NF$2:$NF$150=AM$1),0),$C15-1966)</f>
        <v>75.2</v>
      </c>
      <c r="AN15" s="4" cm="1">
        <f t="array" ref="AN15">INDEX(GMW!$A$2:$NF$150,MATCH(1,(GMW!$NE$2:$NE$150=AN$3)*(GMW!$ND$2:$ND$150=AN$4)*(GMW!$NF$2:$NF$150=AN$1),0),$C15-1966)</f>
        <v>42893</v>
      </c>
      <c r="AO15" s="4" cm="1">
        <f t="array" ref="AO15">INDEX(GMW!$A$2:$NF$150,MATCH(1,(GMW!$NE$2:$NE$150=AO$3)*(GMW!$ND$2:$ND$150=AO$4)*(GMW!$NF$2:$NF$150=AO$1),0),$C15-1966)</f>
        <v>16895.939999999999</v>
      </c>
      <c r="AP15" s="4" cm="1">
        <f t="array" ref="AP15">INDEX(GMW!$A$2:$NF$150,MATCH(1,(GMW!$NE$2:$NE$150=AP$3)*(GMW!$ND$2:$ND$150=AP$4)*(GMW!$NF$2:$NF$150=AP$1),0),$C15-1966)</f>
        <v>253236.2</v>
      </c>
      <c r="AQ15" s="4" cm="1">
        <f t="array" ref="AQ15">INDEX(GMW!$A$2:$NF$150,MATCH(1,(GMW!$NE$2:$NE$150=AQ$3)*(GMW!$ND$2:$ND$150=AQ$4)*(GMW!$NF$2:$NF$150=AQ$1),0),$C15-1966)</f>
        <v>24931.95</v>
      </c>
      <c r="AR15" s="4" cm="1">
        <f t="array" ref="AR15">INDEX(GMW!$A$2:$NF$150,MATCH(1,(GMW!$NE$2:$NE$150=AR$3)*(GMW!$ND$2:$ND$150=AR$4)*(GMW!$NF$2:$NF$150=AR$1),0),$C15-1966)</f>
        <v>1E-3</v>
      </c>
      <c r="AS15" s="4" cm="1">
        <f t="array" ref="AS15">INDEX(GMW!$A$2:$NF$150,MATCH(1,(GMW!$NE$2:$NE$150=AS$3)*(GMW!$ND$2:$ND$150=AS$4)*(GMW!$NF$2:$NF$150=AS$1),0),$C15-1966)</f>
        <v>290563.3</v>
      </c>
      <c r="AT15" s="4" cm="1">
        <f t="array" ref="AT15">INDEX(GMW!$A$2:$NF$150,MATCH(1,(GMW!$NE$2:$NE$150=AT$3)*(GMW!$ND$2:$ND$150=AT$4)*(GMW!$NF$2:$NF$150=AT$1),0),$C15-1966)</f>
        <v>35329.69</v>
      </c>
      <c r="AU15" s="4" cm="1">
        <f t="array" ref="AU15">INDEX(GMW!$A$2:$NF$150,MATCH(1,(GMW!$NE$2:$NE$150=AU$3)*(GMW!$ND$2:$ND$150=AU$4)*(GMW!$NF$2:$NF$150=AU$1),0),$C15-1966)</f>
        <v>1126434</v>
      </c>
      <c r="AV15" s="4" cm="1">
        <f t="array" ref="AV15">INDEX(GMW!$A$2:$NF$150,MATCH(1,(GMW!$NE$2:$NE$150=AV$3)*(GMW!$ND$2:$ND$150=AV$4)*(GMW!$NF$2:$NF$150=AV$1),0),$C15-1966)</f>
        <v>-1.929092</v>
      </c>
    </row>
    <row r="16" spans="1:48" x14ac:dyDescent="0.25">
      <c r="B16" s="4">
        <f t="shared" si="4"/>
        <v>1975</v>
      </c>
      <c r="C16" s="4">
        <f t="shared" si="3"/>
        <v>1982</v>
      </c>
      <c r="D16" s="4" cm="1">
        <f t="array" ref="D16">INDEX(GMW!$A$2:$NF$150,MATCH(1,(GMW!$NE$2:$NE$150=D$3)*(GMW!$ND$2:$ND$150=D$4)*(GMW!$NF$2:$NF$150=D$1),0),$C16-1966)</f>
        <v>235807</v>
      </c>
      <c r="E16" s="4" cm="1">
        <f t="array" ref="E16">INDEX(GMW!$A$2:$NF$150,MATCH(1,(GMW!$NE$2:$NE$150=E$3)*(GMW!$ND$2:$ND$150=E$4)*(GMW!$NF$2:$NF$150=E$1),0),$C16-1966)</f>
        <v>17.466270000000002</v>
      </c>
      <c r="F16" s="4" cm="1">
        <f t="array" ref="F16">INDEX(GMW!$A$2:$NF$150,MATCH(1,(GMW!$NE$2:$NE$150=F$3)*(GMW!$ND$2:$ND$150=F$4)*(GMW!$NF$2:$NF$150=F$1),0),$C16-1966)</f>
        <v>37742</v>
      </c>
      <c r="G16" s="4" cm="1">
        <f t="array" ref="G16">INDEX(GMW!$A$2:$NF$150,MATCH(1,(GMW!$NE$2:$NE$150=G$3)*(GMW!$ND$2:$ND$150=G$4)*(GMW!$NF$2:$NF$150=G$1),0),$C16-1966)</f>
        <v>15136.16</v>
      </c>
      <c r="H16" s="4" cm="1">
        <f t="array" ref="H16">INDEX(GMW!$A$2:$NF$150,MATCH(1,(GMW!$NE$2:$NE$150=H$3)*(GMW!$ND$2:$ND$150=H$4)*(GMW!$NF$2:$NF$150=H$1),0),$C16-1966)</f>
        <v>32123</v>
      </c>
      <c r="I16" s="4" cm="1">
        <f t="array" ref="I16">INDEX(GMW!$A$2:$NF$150,MATCH(1,(GMW!$NE$2:$NE$150=I$3)*(GMW!$ND$2:$ND$150=I$4)*(GMW!$NF$2:$NF$150=I$1),0),$C16-1966)</f>
        <v>-88.974999999999994</v>
      </c>
      <c r="J16" s="4" cm="1">
        <f t="array" ref="J16">INDEX(GMW!$A$2:$NF$150,MATCH(1,(GMW!$NE$2:$NE$150=J$3)*(GMW!$ND$2:$ND$150=J$4)*(GMW!$NF$2:$NF$150=J$1),0),$C16-1966)</f>
        <v>42698</v>
      </c>
      <c r="K16" s="4" cm="1">
        <f t="array" ref="K16">INDEX(GMW!$A$2:$NF$150,MATCH(1,(GMW!$NE$2:$NE$150=K$3)*(GMW!$ND$2:$ND$150=K$4)*(GMW!$NF$2:$NF$150=K$1),0),$C16-1966)</f>
        <v>16410.02</v>
      </c>
      <c r="L16" s="4" cm="1">
        <f t="array" ref="L16">INDEX(GMW!$A$2:$NF$150,MATCH(1,(GMW!$NE$2:$NE$150=L$3)*(GMW!$ND$2:$ND$150=L$4)*(GMW!$NF$2:$NF$150=L$1),0),$C16-1966)</f>
        <v>253757</v>
      </c>
      <c r="M16" s="4" cm="1">
        <f t="array" ref="M16">INDEX(GMW!$A$2:$NF$150,MATCH(1,(GMW!$NE$2:$NE$150=M$3)*(GMW!$ND$2:$ND$150=M$4)*(GMW!$NF$2:$NF$150=M$1),0),$C16-1966)</f>
        <v>24933.439999999999</v>
      </c>
      <c r="N16" s="4" cm="1">
        <f t="array" ref="N16">INDEX(GMW!$A$2:$NF$150,MATCH(1,(GMW!$NE$2:$NE$150=N$3)*(GMW!$ND$2:$ND$150=N$4)*(GMW!$NF$2:$NF$150=N$1),0),$C16-1966)</f>
        <v>1E-3</v>
      </c>
      <c r="O16" s="4" cm="1">
        <f t="array" ref="O16">INDEX(GMW!$A$2:$NF$150,MATCH(1,(GMW!$NE$2:$NE$150=O$3)*(GMW!$ND$2:$ND$150=O$4)*(GMW!$NF$2:$NF$150=O$1),0),$C16-1966)</f>
        <v>291258.2</v>
      </c>
      <c r="P16" s="4" cm="1">
        <f t="array" ref="P16">INDEX(GMW!$A$2:$NF$150,MATCH(1,(GMW!$NE$2:$NE$150=P$3)*(GMW!$ND$2:$ND$150=P$4)*(GMW!$NF$2:$NF$150=P$1),0),$C16-1966)</f>
        <v>35328.120000000003</v>
      </c>
      <c r="Q16" s="4" cm="1">
        <f t="array" ref="Q16">INDEX(GMW!$A$2:$NF$150,MATCH(1,(GMW!$NE$2:$NE$150=Q$3)*(GMW!$ND$2:$ND$150=Q$4)*(GMW!$NF$2:$NF$150=Q$1),0),$C16-1966)</f>
        <v>1133725</v>
      </c>
      <c r="R16" s="4" cm="1">
        <f t="array" ref="R16">INDEX(GMW!$A$2:$NF$150,MATCH(1,(GMW!$NE$2:$NE$150=R$3)*(GMW!$ND$2:$ND$150=R$4)*(GMW!$NF$2:$NF$150=R$1),0),$C16-1966)</f>
        <v>-1.9300790000000001</v>
      </c>
      <c r="S16" s="4" cm="1">
        <f t="array" ref="S16">INDEX(GMW!$A$2:$NF$150,MATCH(1,(GMW!$NE$2:$NE$150=S$3)*(GMW!$ND$2:$ND$150=S$4)*(GMW!$NF$2:$NF$150=S$1),0),$C16-1966)</f>
        <v>235807</v>
      </c>
      <c r="T16" s="4" cm="1">
        <f t="array" ref="T16">INDEX(GMW!$A$2:$NF$150,MATCH(1,(GMW!$NE$2:$NE$150=T$3)*(GMW!$ND$2:$ND$150=T$4)*(GMW!$NF$2:$NF$150=T$1),0),$C16-1966)</f>
        <v>17.466270000000002</v>
      </c>
      <c r="U16" s="4" cm="1">
        <f t="array" ref="U16">INDEX(GMW!$A$2:$NF$150,MATCH(1,(GMW!$NE$2:$NE$150=U$3)*(GMW!$ND$2:$ND$150=U$4)*(GMW!$NF$2:$NF$150=U$1),0),$C16-1966)</f>
        <v>37742</v>
      </c>
      <c r="V16" s="4" cm="1">
        <f t="array" ref="V16">INDEX(GMW!$A$2:$NF$150,MATCH(1,(GMW!$NE$2:$NE$150=V$3)*(GMW!$ND$2:$ND$150=V$4)*(GMW!$NF$2:$NF$150=V$1),0),$C16-1966)</f>
        <v>15136.16</v>
      </c>
      <c r="W16" s="4" cm="1">
        <f t="array" ref="W16">INDEX(GMW!$A$2:$NF$150,MATCH(1,(GMW!$NE$2:$NE$150=W$3)*(GMW!$ND$2:$ND$150=W$4)*(GMW!$NF$2:$NF$150=W$1),0),$C16-1966)</f>
        <v>32123</v>
      </c>
      <c r="X16" s="4" cm="1">
        <f t="array" ref="X16">INDEX(GMW!$A$2:$NF$150,MATCH(1,(GMW!$NE$2:$NE$150=X$3)*(GMW!$ND$2:$ND$150=X$4)*(GMW!$NF$2:$NF$150=X$1),0),$C16-1966)</f>
        <v>-88.974999999999994</v>
      </c>
      <c r="Y16" s="4" cm="1">
        <f t="array" ref="Y16">INDEX(GMW!$A$2:$NF$150,MATCH(1,(GMW!$NE$2:$NE$150=Y$3)*(GMW!$ND$2:$ND$150=Y$4)*(GMW!$NF$2:$NF$150=Y$1),0),$C16-1966)</f>
        <v>42698</v>
      </c>
      <c r="Z16" s="4" cm="1">
        <f t="array" ref="Z16">INDEX(GMW!$A$2:$NF$150,MATCH(1,(GMW!$NE$2:$NE$150=Z$3)*(GMW!$ND$2:$ND$150=Z$4)*(GMW!$NF$2:$NF$150=Z$1),0),$C16-1966)</f>
        <v>16410.02</v>
      </c>
      <c r="AA16" s="4" cm="1">
        <f t="array" ref="AA16">INDEX(GMW!$A$2:$NF$150,MATCH(1,(GMW!$NE$2:$NE$150=AA$3)*(GMW!$ND$2:$ND$150=AA$4)*(GMW!$NF$2:$NF$150=AA$1),0),$C16-1966)</f>
        <v>253757</v>
      </c>
      <c r="AB16" s="4" cm="1">
        <f t="array" ref="AB16">INDEX(GMW!$A$2:$NF$150,MATCH(1,(GMW!$NE$2:$NE$150=AB$3)*(GMW!$ND$2:$ND$150=AB$4)*(GMW!$NF$2:$NF$150=AB$1),0),$C16-1966)</f>
        <v>24933.439999999999</v>
      </c>
      <c r="AC16" s="4" cm="1">
        <f t="array" ref="AC16">INDEX(GMW!$A$2:$NF$150,MATCH(1,(GMW!$NE$2:$NE$150=AC$3)*(GMW!$ND$2:$ND$150=AC$4)*(GMW!$NF$2:$NF$150=AC$1),0),$C16-1966)</f>
        <v>1E-3</v>
      </c>
      <c r="AD16" s="4" cm="1">
        <f t="array" ref="AD16">INDEX(GMW!$A$2:$NF$150,MATCH(1,(GMW!$NE$2:$NE$150=AD$3)*(GMW!$ND$2:$ND$150=AD$4)*(GMW!$NF$2:$NF$150=AD$1),0),$C16-1966)</f>
        <v>291258.2</v>
      </c>
      <c r="AE16" s="4" cm="1">
        <f t="array" ref="AE16">INDEX(GMW!$A$2:$NF$150,MATCH(1,(GMW!$NE$2:$NE$150=AE$3)*(GMW!$ND$2:$ND$150=AE$4)*(GMW!$NF$2:$NF$150=AE$1),0),$C16-1966)</f>
        <v>35328.120000000003</v>
      </c>
      <c r="AF16" s="4" cm="1">
        <f t="array" ref="AF16">INDEX(GMW!$A$2:$NF$150,MATCH(1,(GMW!$NE$2:$NE$150=AF$3)*(GMW!$ND$2:$ND$150=AF$4)*(GMW!$NF$2:$NF$150=AF$1),0),$C16-1966)</f>
        <v>1133725</v>
      </c>
      <c r="AG16" s="4" cm="1">
        <f t="array" ref="AG16">INDEX(GMW!$A$2:$NF$150,MATCH(1,(GMW!$NE$2:$NE$150=AG$3)*(GMW!$ND$2:$ND$150=AG$4)*(GMW!$NF$2:$NF$150=AG$1),0),$C16-1966)</f>
        <v>-1.9300790000000001</v>
      </c>
      <c r="AH16" s="4" cm="1">
        <f t="array" ref="AH16">INDEX(GMW!$A$2:$NF$150,MATCH(1,(GMW!$NE$2:$NE$150=AH$3)*(GMW!$ND$2:$ND$150=AH$4)*(GMW!$NF$2:$NF$150=AH$1),0),$C16-1966)</f>
        <v>235807</v>
      </c>
      <c r="AI16" s="4" cm="1">
        <f t="array" ref="AI16">INDEX(GMW!$A$2:$NF$150,MATCH(1,(GMW!$NE$2:$NE$150=AI$3)*(GMW!$ND$2:$ND$150=AI$4)*(GMW!$NF$2:$NF$150=AI$1),0),$C16-1966)</f>
        <v>17.466270000000002</v>
      </c>
      <c r="AJ16" s="4" cm="1">
        <f t="array" ref="AJ16">INDEX(GMW!$A$2:$NF$150,MATCH(1,(GMW!$NE$2:$NE$150=AJ$3)*(GMW!$ND$2:$ND$150=AJ$4)*(GMW!$NF$2:$NF$150=AJ$1),0),$C16-1966)</f>
        <v>37742</v>
      </c>
      <c r="AK16" s="4" cm="1">
        <f t="array" ref="AK16">INDEX(GMW!$A$2:$NF$150,MATCH(1,(GMW!$NE$2:$NE$150=AK$3)*(GMW!$ND$2:$ND$150=AK$4)*(GMW!$NF$2:$NF$150=AK$1),0),$C16-1966)</f>
        <v>15136.16</v>
      </c>
      <c r="AL16" s="4" cm="1">
        <f t="array" ref="AL16">INDEX(GMW!$A$2:$NF$150,MATCH(1,(GMW!$NE$2:$NE$150=AL$3)*(GMW!$ND$2:$ND$150=AL$4)*(GMW!$NF$2:$NF$150=AL$1),0),$C16-1966)</f>
        <v>32123</v>
      </c>
      <c r="AM16" s="4" cm="1">
        <f t="array" ref="AM16">INDEX(GMW!$A$2:$NF$150,MATCH(1,(GMW!$NE$2:$NE$150=AM$3)*(GMW!$ND$2:$ND$150=AM$4)*(GMW!$NF$2:$NF$150=AM$1),0),$C16-1966)</f>
        <v>-88.974999999999994</v>
      </c>
      <c r="AN16" s="4" cm="1">
        <f t="array" ref="AN16">INDEX(GMW!$A$2:$NF$150,MATCH(1,(GMW!$NE$2:$NE$150=AN$3)*(GMW!$ND$2:$ND$150=AN$4)*(GMW!$NF$2:$NF$150=AN$1),0),$C16-1966)</f>
        <v>42698</v>
      </c>
      <c r="AO16" s="4" cm="1">
        <f t="array" ref="AO16">INDEX(GMW!$A$2:$NF$150,MATCH(1,(GMW!$NE$2:$NE$150=AO$3)*(GMW!$ND$2:$ND$150=AO$4)*(GMW!$NF$2:$NF$150=AO$1),0),$C16-1966)</f>
        <v>16410.02</v>
      </c>
      <c r="AP16" s="4" cm="1">
        <f t="array" ref="AP16">INDEX(GMW!$A$2:$NF$150,MATCH(1,(GMW!$NE$2:$NE$150=AP$3)*(GMW!$ND$2:$ND$150=AP$4)*(GMW!$NF$2:$NF$150=AP$1),0),$C16-1966)</f>
        <v>253757</v>
      </c>
      <c r="AQ16" s="4" cm="1">
        <f t="array" ref="AQ16">INDEX(GMW!$A$2:$NF$150,MATCH(1,(GMW!$NE$2:$NE$150=AQ$3)*(GMW!$ND$2:$ND$150=AQ$4)*(GMW!$NF$2:$NF$150=AQ$1),0),$C16-1966)</f>
        <v>24933.439999999999</v>
      </c>
      <c r="AR16" s="4" cm="1">
        <f t="array" ref="AR16">INDEX(GMW!$A$2:$NF$150,MATCH(1,(GMW!$NE$2:$NE$150=AR$3)*(GMW!$ND$2:$ND$150=AR$4)*(GMW!$NF$2:$NF$150=AR$1),0),$C16-1966)</f>
        <v>1E-3</v>
      </c>
      <c r="AS16" s="4" cm="1">
        <f t="array" ref="AS16">INDEX(GMW!$A$2:$NF$150,MATCH(1,(GMW!$NE$2:$NE$150=AS$3)*(GMW!$ND$2:$ND$150=AS$4)*(GMW!$NF$2:$NF$150=AS$1),0),$C16-1966)</f>
        <v>291258.2</v>
      </c>
      <c r="AT16" s="4" cm="1">
        <f t="array" ref="AT16">INDEX(GMW!$A$2:$NF$150,MATCH(1,(GMW!$NE$2:$NE$150=AT$3)*(GMW!$ND$2:$ND$150=AT$4)*(GMW!$NF$2:$NF$150=AT$1),0),$C16-1966)</f>
        <v>35328.120000000003</v>
      </c>
      <c r="AU16" s="4" cm="1">
        <f t="array" ref="AU16">INDEX(GMW!$A$2:$NF$150,MATCH(1,(GMW!$NE$2:$NE$150=AU$3)*(GMW!$ND$2:$ND$150=AU$4)*(GMW!$NF$2:$NF$150=AU$1),0),$C16-1966)</f>
        <v>1133725</v>
      </c>
      <c r="AV16" s="4" cm="1">
        <f t="array" ref="AV16">INDEX(GMW!$A$2:$NF$150,MATCH(1,(GMW!$NE$2:$NE$150=AV$3)*(GMW!$ND$2:$ND$150=AV$4)*(GMW!$NF$2:$NF$150=AV$1),0),$C16-1966)</f>
        <v>-1.9300790000000001</v>
      </c>
    </row>
    <row r="17" spans="1:48" x14ac:dyDescent="0.25">
      <c r="B17" s="4">
        <f t="shared" si="4"/>
        <v>1975</v>
      </c>
      <c r="C17" s="4">
        <f t="shared" si="3"/>
        <v>1983</v>
      </c>
      <c r="D17" s="4" cm="1">
        <f t="array" ref="D17">INDEX(GMW!$A$2:$NF$150,MATCH(1,(GMW!$NE$2:$NE$150=D$3)*(GMW!$ND$2:$ND$150=D$4)*(GMW!$NF$2:$NF$150=D$1),0),$C17-1966)</f>
        <v>235105</v>
      </c>
      <c r="E17" s="4" cm="1">
        <f t="array" ref="E17">INDEX(GMW!$A$2:$NF$150,MATCH(1,(GMW!$NE$2:$NE$150=E$3)*(GMW!$ND$2:$ND$150=E$4)*(GMW!$NF$2:$NF$150=E$1),0),$C17-1966)</f>
        <v>18.222280000000001</v>
      </c>
      <c r="F17" s="4" cm="1">
        <f t="array" ref="F17">INDEX(GMW!$A$2:$NF$150,MATCH(1,(GMW!$NE$2:$NE$150=F$3)*(GMW!$ND$2:$ND$150=F$4)*(GMW!$NF$2:$NF$150=F$1),0),$C17-1966)</f>
        <v>37667</v>
      </c>
      <c r="G17" s="4" cm="1">
        <f t="array" ref="G17">INDEX(GMW!$A$2:$NF$150,MATCH(1,(GMW!$NE$2:$NE$150=G$3)*(GMW!$ND$2:$ND$150=G$4)*(GMW!$NF$2:$NF$150=G$1),0),$C17-1966)</f>
        <v>15232.16</v>
      </c>
      <c r="H17" s="4" cm="1">
        <f t="array" ref="H17">INDEX(GMW!$A$2:$NF$150,MATCH(1,(GMW!$NE$2:$NE$150=H$3)*(GMW!$ND$2:$ND$150=H$4)*(GMW!$NF$2:$NF$150=H$1),0),$C17-1966)</f>
        <v>33900</v>
      </c>
      <c r="I17" s="4" cm="1">
        <f t="array" ref="I17">INDEX(GMW!$A$2:$NF$150,MATCH(1,(GMW!$NE$2:$NE$150=I$3)*(GMW!$ND$2:$ND$150=I$4)*(GMW!$NF$2:$NF$150=I$1),0),$C17-1966)</f>
        <v>146.25</v>
      </c>
      <c r="J17" s="4" cm="1">
        <f t="array" ref="J17">INDEX(GMW!$A$2:$NF$150,MATCH(1,(GMW!$NE$2:$NE$150=J$3)*(GMW!$ND$2:$ND$150=J$4)*(GMW!$NF$2:$NF$150=J$1),0),$C17-1966)</f>
        <v>42064</v>
      </c>
      <c r="K17" s="4" cm="1">
        <f t="array" ref="K17">INDEX(GMW!$A$2:$NF$150,MATCH(1,(GMW!$NE$2:$NE$150=K$3)*(GMW!$ND$2:$ND$150=K$4)*(GMW!$NF$2:$NF$150=K$1),0),$C17-1966)</f>
        <v>17291.75</v>
      </c>
      <c r="L17" s="4" cm="1">
        <f t="array" ref="L17">INDEX(GMW!$A$2:$NF$150,MATCH(1,(GMW!$NE$2:$NE$150=L$3)*(GMW!$ND$2:$ND$150=L$4)*(GMW!$NF$2:$NF$150=L$1),0),$C17-1966)</f>
        <v>254266.6</v>
      </c>
      <c r="M17" s="4" cm="1">
        <f t="array" ref="M17">INDEX(GMW!$A$2:$NF$150,MATCH(1,(GMW!$NE$2:$NE$150=M$3)*(GMW!$ND$2:$ND$150=M$4)*(GMW!$NF$2:$NF$150=M$1),0),$C17-1966)</f>
        <v>24936.61</v>
      </c>
      <c r="N17" s="4" cm="1">
        <f t="array" ref="N17">INDEX(GMW!$A$2:$NF$150,MATCH(1,(GMW!$NE$2:$NE$150=N$3)*(GMW!$ND$2:$ND$150=N$4)*(GMW!$NF$2:$NF$150=N$1),0),$C17-1966)</f>
        <v>1E-3</v>
      </c>
      <c r="O17" s="4" cm="1">
        <f t="array" ref="O17">INDEX(GMW!$A$2:$NF$150,MATCH(1,(GMW!$NE$2:$NE$150=O$3)*(GMW!$ND$2:$ND$150=O$4)*(GMW!$NF$2:$NF$150=O$1),0),$C17-1966)</f>
        <v>291879.90000000002</v>
      </c>
      <c r="P17" s="4" cm="1">
        <f t="array" ref="P17">INDEX(GMW!$A$2:$NF$150,MATCH(1,(GMW!$NE$2:$NE$150=P$3)*(GMW!$ND$2:$ND$150=P$4)*(GMW!$NF$2:$NF$150=P$1),0),$C17-1966)</f>
        <v>35326.550000000003</v>
      </c>
      <c r="Q17" s="4" cm="1">
        <f t="array" ref="Q17">INDEX(GMW!$A$2:$NF$150,MATCH(1,(GMW!$NE$2:$NE$150=Q$3)*(GMW!$ND$2:$ND$150=Q$4)*(GMW!$NF$2:$NF$150=Q$1),0),$C17-1966)</f>
        <v>1141016</v>
      </c>
      <c r="R17" s="4" cm="1">
        <f t="array" ref="R17">INDEX(GMW!$A$2:$NF$150,MATCH(1,(GMW!$NE$2:$NE$150=R$3)*(GMW!$ND$2:$ND$150=R$4)*(GMW!$NF$2:$NF$150=R$1),0),$C17-1966)</f>
        <v>-1.9310670000000001</v>
      </c>
      <c r="S17" s="4" cm="1">
        <f t="array" ref="S17">INDEX(GMW!$A$2:$NF$150,MATCH(1,(GMW!$NE$2:$NE$150=S$3)*(GMW!$ND$2:$ND$150=S$4)*(GMW!$NF$2:$NF$150=S$1),0),$C17-1966)</f>
        <v>235105</v>
      </c>
      <c r="T17" s="4" cm="1">
        <f t="array" ref="T17">INDEX(GMW!$A$2:$NF$150,MATCH(1,(GMW!$NE$2:$NE$150=T$3)*(GMW!$ND$2:$ND$150=T$4)*(GMW!$NF$2:$NF$150=T$1),0),$C17-1966)</f>
        <v>18.222280000000001</v>
      </c>
      <c r="U17" s="4" cm="1">
        <f t="array" ref="U17">INDEX(GMW!$A$2:$NF$150,MATCH(1,(GMW!$NE$2:$NE$150=U$3)*(GMW!$ND$2:$ND$150=U$4)*(GMW!$NF$2:$NF$150=U$1),0),$C17-1966)</f>
        <v>37667</v>
      </c>
      <c r="V17" s="4" cm="1">
        <f t="array" ref="V17">INDEX(GMW!$A$2:$NF$150,MATCH(1,(GMW!$NE$2:$NE$150=V$3)*(GMW!$ND$2:$ND$150=V$4)*(GMW!$NF$2:$NF$150=V$1),0),$C17-1966)</f>
        <v>15232.16</v>
      </c>
      <c r="W17" s="4" cm="1">
        <f t="array" ref="W17">INDEX(GMW!$A$2:$NF$150,MATCH(1,(GMW!$NE$2:$NE$150=W$3)*(GMW!$ND$2:$ND$150=W$4)*(GMW!$NF$2:$NF$150=W$1),0),$C17-1966)</f>
        <v>33900</v>
      </c>
      <c r="X17" s="4" cm="1">
        <f t="array" ref="X17">INDEX(GMW!$A$2:$NF$150,MATCH(1,(GMW!$NE$2:$NE$150=X$3)*(GMW!$ND$2:$ND$150=X$4)*(GMW!$NF$2:$NF$150=X$1),0),$C17-1966)</f>
        <v>146.25</v>
      </c>
      <c r="Y17" s="4" cm="1">
        <f t="array" ref="Y17">INDEX(GMW!$A$2:$NF$150,MATCH(1,(GMW!$NE$2:$NE$150=Y$3)*(GMW!$ND$2:$ND$150=Y$4)*(GMW!$NF$2:$NF$150=Y$1),0),$C17-1966)</f>
        <v>42064</v>
      </c>
      <c r="Z17" s="4" cm="1">
        <f t="array" ref="Z17">INDEX(GMW!$A$2:$NF$150,MATCH(1,(GMW!$NE$2:$NE$150=Z$3)*(GMW!$ND$2:$ND$150=Z$4)*(GMW!$NF$2:$NF$150=Z$1),0),$C17-1966)</f>
        <v>17291.75</v>
      </c>
      <c r="AA17" s="4" cm="1">
        <f t="array" ref="AA17">INDEX(GMW!$A$2:$NF$150,MATCH(1,(GMW!$NE$2:$NE$150=AA$3)*(GMW!$ND$2:$ND$150=AA$4)*(GMW!$NF$2:$NF$150=AA$1),0),$C17-1966)</f>
        <v>254266.6</v>
      </c>
      <c r="AB17" s="4" cm="1">
        <f t="array" ref="AB17">INDEX(GMW!$A$2:$NF$150,MATCH(1,(GMW!$NE$2:$NE$150=AB$3)*(GMW!$ND$2:$ND$150=AB$4)*(GMW!$NF$2:$NF$150=AB$1),0),$C17-1966)</f>
        <v>24936.61</v>
      </c>
      <c r="AC17" s="4" cm="1">
        <f t="array" ref="AC17">INDEX(GMW!$A$2:$NF$150,MATCH(1,(GMW!$NE$2:$NE$150=AC$3)*(GMW!$ND$2:$ND$150=AC$4)*(GMW!$NF$2:$NF$150=AC$1),0),$C17-1966)</f>
        <v>1E-3</v>
      </c>
      <c r="AD17" s="4" cm="1">
        <f t="array" ref="AD17">INDEX(GMW!$A$2:$NF$150,MATCH(1,(GMW!$NE$2:$NE$150=AD$3)*(GMW!$ND$2:$ND$150=AD$4)*(GMW!$NF$2:$NF$150=AD$1),0),$C17-1966)</f>
        <v>291879.90000000002</v>
      </c>
      <c r="AE17" s="4" cm="1">
        <f t="array" ref="AE17">INDEX(GMW!$A$2:$NF$150,MATCH(1,(GMW!$NE$2:$NE$150=AE$3)*(GMW!$ND$2:$ND$150=AE$4)*(GMW!$NF$2:$NF$150=AE$1),0),$C17-1966)</f>
        <v>35326.550000000003</v>
      </c>
      <c r="AF17" s="4" cm="1">
        <f t="array" ref="AF17">INDEX(GMW!$A$2:$NF$150,MATCH(1,(GMW!$NE$2:$NE$150=AF$3)*(GMW!$ND$2:$ND$150=AF$4)*(GMW!$NF$2:$NF$150=AF$1),0),$C17-1966)</f>
        <v>1141016</v>
      </c>
      <c r="AG17" s="4" cm="1">
        <f t="array" ref="AG17">INDEX(GMW!$A$2:$NF$150,MATCH(1,(GMW!$NE$2:$NE$150=AG$3)*(GMW!$ND$2:$ND$150=AG$4)*(GMW!$NF$2:$NF$150=AG$1),0),$C17-1966)</f>
        <v>-1.9310670000000001</v>
      </c>
      <c r="AH17" s="4" cm="1">
        <f t="array" ref="AH17">INDEX(GMW!$A$2:$NF$150,MATCH(1,(GMW!$NE$2:$NE$150=AH$3)*(GMW!$ND$2:$ND$150=AH$4)*(GMW!$NF$2:$NF$150=AH$1),0),$C17-1966)</f>
        <v>235105</v>
      </c>
      <c r="AI17" s="4" cm="1">
        <f t="array" ref="AI17">INDEX(GMW!$A$2:$NF$150,MATCH(1,(GMW!$NE$2:$NE$150=AI$3)*(GMW!$ND$2:$ND$150=AI$4)*(GMW!$NF$2:$NF$150=AI$1),0),$C17-1966)</f>
        <v>18.222280000000001</v>
      </c>
      <c r="AJ17" s="4" cm="1">
        <f t="array" ref="AJ17">INDEX(GMW!$A$2:$NF$150,MATCH(1,(GMW!$NE$2:$NE$150=AJ$3)*(GMW!$ND$2:$ND$150=AJ$4)*(GMW!$NF$2:$NF$150=AJ$1),0),$C17-1966)</f>
        <v>37667</v>
      </c>
      <c r="AK17" s="4" cm="1">
        <f t="array" ref="AK17">INDEX(GMW!$A$2:$NF$150,MATCH(1,(GMW!$NE$2:$NE$150=AK$3)*(GMW!$ND$2:$ND$150=AK$4)*(GMW!$NF$2:$NF$150=AK$1),0),$C17-1966)</f>
        <v>15232.16</v>
      </c>
      <c r="AL17" s="4" cm="1">
        <f t="array" ref="AL17">INDEX(GMW!$A$2:$NF$150,MATCH(1,(GMW!$NE$2:$NE$150=AL$3)*(GMW!$ND$2:$ND$150=AL$4)*(GMW!$NF$2:$NF$150=AL$1),0),$C17-1966)</f>
        <v>33900</v>
      </c>
      <c r="AM17" s="4" cm="1">
        <f t="array" ref="AM17">INDEX(GMW!$A$2:$NF$150,MATCH(1,(GMW!$NE$2:$NE$150=AM$3)*(GMW!$ND$2:$ND$150=AM$4)*(GMW!$NF$2:$NF$150=AM$1),0),$C17-1966)</f>
        <v>146.25</v>
      </c>
      <c r="AN17" s="4" cm="1">
        <f t="array" ref="AN17">INDEX(GMW!$A$2:$NF$150,MATCH(1,(GMW!$NE$2:$NE$150=AN$3)*(GMW!$ND$2:$ND$150=AN$4)*(GMW!$NF$2:$NF$150=AN$1),0),$C17-1966)</f>
        <v>42064</v>
      </c>
      <c r="AO17" s="4" cm="1">
        <f t="array" ref="AO17">INDEX(GMW!$A$2:$NF$150,MATCH(1,(GMW!$NE$2:$NE$150=AO$3)*(GMW!$ND$2:$ND$150=AO$4)*(GMW!$NF$2:$NF$150=AO$1),0),$C17-1966)</f>
        <v>17291.75</v>
      </c>
      <c r="AP17" s="4" cm="1">
        <f t="array" ref="AP17">INDEX(GMW!$A$2:$NF$150,MATCH(1,(GMW!$NE$2:$NE$150=AP$3)*(GMW!$ND$2:$ND$150=AP$4)*(GMW!$NF$2:$NF$150=AP$1),0),$C17-1966)</f>
        <v>254266.6</v>
      </c>
      <c r="AQ17" s="4" cm="1">
        <f t="array" ref="AQ17">INDEX(GMW!$A$2:$NF$150,MATCH(1,(GMW!$NE$2:$NE$150=AQ$3)*(GMW!$ND$2:$ND$150=AQ$4)*(GMW!$NF$2:$NF$150=AQ$1),0),$C17-1966)</f>
        <v>24936.61</v>
      </c>
      <c r="AR17" s="4" cm="1">
        <f t="array" ref="AR17">INDEX(GMW!$A$2:$NF$150,MATCH(1,(GMW!$NE$2:$NE$150=AR$3)*(GMW!$ND$2:$ND$150=AR$4)*(GMW!$NF$2:$NF$150=AR$1),0),$C17-1966)</f>
        <v>1E-3</v>
      </c>
      <c r="AS17" s="4" cm="1">
        <f t="array" ref="AS17">INDEX(GMW!$A$2:$NF$150,MATCH(1,(GMW!$NE$2:$NE$150=AS$3)*(GMW!$ND$2:$ND$150=AS$4)*(GMW!$NF$2:$NF$150=AS$1),0),$C17-1966)</f>
        <v>291879.90000000002</v>
      </c>
      <c r="AT17" s="4" cm="1">
        <f t="array" ref="AT17">INDEX(GMW!$A$2:$NF$150,MATCH(1,(GMW!$NE$2:$NE$150=AT$3)*(GMW!$ND$2:$ND$150=AT$4)*(GMW!$NF$2:$NF$150=AT$1),0),$C17-1966)</f>
        <v>35326.550000000003</v>
      </c>
      <c r="AU17" s="4" cm="1">
        <f t="array" ref="AU17">INDEX(GMW!$A$2:$NF$150,MATCH(1,(GMW!$NE$2:$NE$150=AU$3)*(GMW!$ND$2:$ND$150=AU$4)*(GMW!$NF$2:$NF$150=AU$1),0),$C17-1966)</f>
        <v>1141016</v>
      </c>
      <c r="AV17" s="4" cm="1">
        <f t="array" ref="AV17">INDEX(GMW!$A$2:$NF$150,MATCH(1,(GMW!$NE$2:$NE$150=AV$3)*(GMW!$ND$2:$ND$150=AV$4)*(GMW!$NF$2:$NF$150=AV$1),0),$C17-1966)</f>
        <v>-1.9310670000000001</v>
      </c>
    </row>
    <row r="18" spans="1:48" x14ac:dyDescent="0.25">
      <c r="B18" s="4">
        <f t="shared" si="4"/>
        <v>1975</v>
      </c>
      <c r="C18" s="4">
        <f t="shared" si="3"/>
        <v>1984</v>
      </c>
      <c r="D18" s="4" cm="1">
        <f t="array" ref="D18">INDEX(GMW!$A$2:$NF$150,MATCH(1,(GMW!$NE$2:$NE$150=D$3)*(GMW!$ND$2:$ND$150=D$4)*(GMW!$NF$2:$NF$150=D$1),0),$C18-1966)</f>
        <v>237747</v>
      </c>
      <c r="E18" s="4" cm="1">
        <f t="array" ref="E18">INDEX(GMW!$A$2:$NF$150,MATCH(1,(GMW!$NE$2:$NE$150=E$3)*(GMW!$ND$2:$ND$150=E$4)*(GMW!$NF$2:$NF$150=E$1),0),$C18-1966)</f>
        <v>18.847930000000002</v>
      </c>
      <c r="F18" s="4" cm="1">
        <f t="array" ref="F18">INDEX(GMW!$A$2:$NF$150,MATCH(1,(GMW!$NE$2:$NE$150=F$3)*(GMW!$ND$2:$ND$150=F$4)*(GMW!$NF$2:$NF$150=F$1),0),$C18-1966)</f>
        <v>39562</v>
      </c>
      <c r="G18" s="4" cm="1">
        <f t="array" ref="G18">INDEX(GMW!$A$2:$NF$150,MATCH(1,(GMW!$NE$2:$NE$150=G$3)*(GMW!$ND$2:$ND$150=G$4)*(GMW!$NF$2:$NF$150=G$1),0),$C18-1966)</f>
        <v>16077.4</v>
      </c>
      <c r="H18" s="4" cm="1">
        <f t="array" ref="H18">INDEX(GMW!$A$2:$NF$150,MATCH(1,(GMW!$NE$2:$NE$150=H$3)*(GMW!$ND$2:$ND$150=H$4)*(GMW!$NF$2:$NF$150=H$1),0),$C18-1966)</f>
        <v>33217</v>
      </c>
      <c r="I18" s="4" cm="1">
        <f t="array" ref="I18">INDEX(GMW!$A$2:$NF$150,MATCH(1,(GMW!$NE$2:$NE$150=I$3)*(GMW!$ND$2:$ND$150=I$4)*(GMW!$NF$2:$NF$150=I$1),0),$C18-1966)</f>
        <v>58.125</v>
      </c>
      <c r="J18" s="4" cm="1">
        <f t="array" ref="J18">INDEX(GMW!$A$2:$NF$150,MATCH(1,(GMW!$NE$2:$NE$150=J$3)*(GMW!$ND$2:$ND$150=J$4)*(GMW!$NF$2:$NF$150=J$1),0),$C18-1966)</f>
        <v>40849</v>
      </c>
      <c r="K18" s="4" cm="1">
        <f t="array" ref="K18">INDEX(GMW!$A$2:$NF$150,MATCH(1,(GMW!$NE$2:$NE$150=K$3)*(GMW!$ND$2:$ND$150=K$4)*(GMW!$NF$2:$NF$150=K$1),0),$C18-1966)</f>
        <v>16514.61</v>
      </c>
      <c r="L18" s="4" cm="1">
        <f t="array" ref="L18">INDEX(GMW!$A$2:$NF$150,MATCH(1,(GMW!$NE$2:$NE$150=L$3)*(GMW!$ND$2:$ND$150=L$4)*(GMW!$NF$2:$NF$150=L$1),0),$C18-1966)</f>
        <v>254664</v>
      </c>
      <c r="M18" s="4" cm="1">
        <f t="array" ref="M18">INDEX(GMW!$A$2:$NF$150,MATCH(1,(GMW!$NE$2:$NE$150=M$3)*(GMW!$ND$2:$ND$150=M$4)*(GMW!$NF$2:$NF$150=M$1),0),$C18-1966)</f>
        <v>24926.22</v>
      </c>
      <c r="N18" s="4" cm="1">
        <f t="array" ref="N18">INDEX(GMW!$A$2:$NF$150,MATCH(1,(GMW!$NE$2:$NE$150=N$3)*(GMW!$ND$2:$ND$150=N$4)*(GMW!$NF$2:$NF$150=N$1),0),$C18-1966)</f>
        <v>1E-3</v>
      </c>
      <c r="O18" s="4" cm="1">
        <f t="array" ref="O18">INDEX(GMW!$A$2:$NF$150,MATCH(1,(GMW!$NE$2:$NE$150=O$3)*(GMW!$ND$2:$ND$150=O$4)*(GMW!$NF$2:$NF$150=O$1),0),$C18-1966)</f>
        <v>292428.59999999998</v>
      </c>
      <c r="P18" s="4" cm="1">
        <f t="array" ref="P18">INDEX(GMW!$A$2:$NF$150,MATCH(1,(GMW!$NE$2:$NE$150=P$3)*(GMW!$ND$2:$ND$150=P$4)*(GMW!$NF$2:$NF$150=P$1),0),$C18-1966)</f>
        <v>35324.97</v>
      </c>
      <c r="Q18" s="4" cm="1">
        <f t="array" ref="Q18">INDEX(GMW!$A$2:$NF$150,MATCH(1,(GMW!$NE$2:$NE$150=Q$3)*(GMW!$ND$2:$ND$150=Q$4)*(GMW!$NF$2:$NF$150=Q$1),0),$C18-1966)</f>
        <v>1148307</v>
      </c>
      <c r="R18" s="4" cm="1">
        <f t="array" ref="R18">INDEX(GMW!$A$2:$NF$150,MATCH(1,(GMW!$NE$2:$NE$150=R$3)*(GMW!$ND$2:$ND$150=R$4)*(GMW!$NF$2:$NF$150=R$1),0),$C18-1966)</f>
        <v>-1.9320550000000001</v>
      </c>
      <c r="S18" s="4" cm="1">
        <f t="array" ref="S18">INDEX(GMW!$A$2:$NF$150,MATCH(1,(GMW!$NE$2:$NE$150=S$3)*(GMW!$ND$2:$ND$150=S$4)*(GMW!$NF$2:$NF$150=S$1),0),$C18-1966)</f>
        <v>237747</v>
      </c>
      <c r="T18" s="4" cm="1">
        <f t="array" ref="T18">INDEX(GMW!$A$2:$NF$150,MATCH(1,(GMW!$NE$2:$NE$150=T$3)*(GMW!$ND$2:$ND$150=T$4)*(GMW!$NF$2:$NF$150=T$1),0),$C18-1966)</f>
        <v>18.847930000000002</v>
      </c>
      <c r="U18" s="4" cm="1">
        <f t="array" ref="U18">INDEX(GMW!$A$2:$NF$150,MATCH(1,(GMW!$NE$2:$NE$150=U$3)*(GMW!$ND$2:$ND$150=U$4)*(GMW!$NF$2:$NF$150=U$1),0),$C18-1966)</f>
        <v>39562</v>
      </c>
      <c r="V18" s="4" cm="1">
        <f t="array" ref="V18">INDEX(GMW!$A$2:$NF$150,MATCH(1,(GMW!$NE$2:$NE$150=V$3)*(GMW!$ND$2:$ND$150=V$4)*(GMW!$NF$2:$NF$150=V$1),0),$C18-1966)</f>
        <v>16077.4</v>
      </c>
      <c r="W18" s="4" cm="1">
        <f t="array" ref="W18">INDEX(GMW!$A$2:$NF$150,MATCH(1,(GMW!$NE$2:$NE$150=W$3)*(GMW!$ND$2:$ND$150=W$4)*(GMW!$NF$2:$NF$150=W$1),0),$C18-1966)</f>
        <v>33217</v>
      </c>
      <c r="X18" s="4" cm="1">
        <f t="array" ref="X18">INDEX(GMW!$A$2:$NF$150,MATCH(1,(GMW!$NE$2:$NE$150=X$3)*(GMW!$ND$2:$ND$150=X$4)*(GMW!$NF$2:$NF$150=X$1),0),$C18-1966)</f>
        <v>58.125</v>
      </c>
      <c r="Y18" s="4" cm="1">
        <f t="array" ref="Y18">INDEX(GMW!$A$2:$NF$150,MATCH(1,(GMW!$NE$2:$NE$150=Y$3)*(GMW!$ND$2:$ND$150=Y$4)*(GMW!$NF$2:$NF$150=Y$1),0),$C18-1966)</f>
        <v>40849</v>
      </c>
      <c r="Z18" s="4" cm="1">
        <f t="array" ref="Z18">INDEX(GMW!$A$2:$NF$150,MATCH(1,(GMW!$NE$2:$NE$150=Z$3)*(GMW!$ND$2:$ND$150=Z$4)*(GMW!$NF$2:$NF$150=Z$1),0),$C18-1966)</f>
        <v>16514.61</v>
      </c>
      <c r="AA18" s="4" cm="1">
        <f t="array" ref="AA18">INDEX(GMW!$A$2:$NF$150,MATCH(1,(GMW!$NE$2:$NE$150=AA$3)*(GMW!$ND$2:$ND$150=AA$4)*(GMW!$NF$2:$NF$150=AA$1),0),$C18-1966)</f>
        <v>254664</v>
      </c>
      <c r="AB18" s="4" cm="1">
        <f t="array" ref="AB18">INDEX(GMW!$A$2:$NF$150,MATCH(1,(GMW!$NE$2:$NE$150=AB$3)*(GMW!$ND$2:$ND$150=AB$4)*(GMW!$NF$2:$NF$150=AB$1),0),$C18-1966)</f>
        <v>24926.22</v>
      </c>
      <c r="AC18" s="4" cm="1">
        <f t="array" ref="AC18">INDEX(GMW!$A$2:$NF$150,MATCH(1,(GMW!$NE$2:$NE$150=AC$3)*(GMW!$ND$2:$ND$150=AC$4)*(GMW!$NF$2:$NF$150=AC$1),0),$C18-1966)</f>
        <v>1E-3</v>
      </c>
      <c r="AD18" s="4" cm="1">
        <f t="array" ref="AD18">INDEX(GMW!$A$2:$NF$150,MATCH(1,(GMW!$NE$2:$NE$150=AD$3)*(GMW!$ND$2:$ND$150=AD$4)*(GMW!$NF$2:$NF$150=AD$1),0),$C18-1966)</f>
        <v>292428.59999999998</v>
      </c>
      <c r="AE18" s="4" cm="1">
        <f t="array" ref="AE18">INDEX(GMW!$A$2:$NF$150,MATCH(1,(GMW!$NE$2:$NE$150=AE$3)*(GMW!$ND$2:$ND$150=AE$4)*(GMW!$NF$2:$NF$150=AE$1),0),$C18-1966)</f>
        <v>35324.97</v>
      </c>
      <c r="AF18" s="4" cm="1">
        <f t="array" ref="AF18">INDEX(GMW!$A$2:$NF$150,MATCH(1,(GMW!$NE$2:$NE$150=AF$3)*(GMW!$ND$2:$ND$150=AF$4)*(GMW!$NF$2:$NF$150=AF$1),0),$C18-1966)</f>
        <v>1148307</v>
      </c>
      <c r="AG18" s="4" cm="1">
        <f t="array" ref="AG18">INDEX(GMW!$A$2:$NF$150,MATCH(1,(GMW!$NE$2:$NE$150=AG$3)*(GMW!$ND$2:$ND$150=AG$4)*(GMW!$NF$2:$NF$150=AG$1),0),$C18-1966)</f>
        <v>-1.9320550000000001</v>
      </c>
      <c r="AH18" s="4" cm="1">
        <f t="array" ref="AH18">INDEX(GMW!$A$2:$NF$150,MATCH(1,(GMW!$NE$2:$NE$150=AH$3)*(GMW!$ND$2:$ND$150=AH$4)*(GMW!$NF$2:$NF$150=AH$1),0),$C18-1966)</f>
        <v>237747</v>
      </c>
      <c r="AI18" s="4" cm="1">
        <f t="array" ref="AI18">INDEX(GMW!$A$2:$NF$150,MATCH(1,(GMW!$NE$2:$NE$150=AI$3)*(GMW!$ND$2:$ND$150=AI$4)*(GMW!$NF$2:$NF$150=AI$1),0),$C18-1966)</f>
        <v>18.847930000000002</v>
      </c>
      <c r="AJ18" s="4" cm="1">
        <f t="array" ref="AJ18">INDEX(GMW!$A$2:$NF$150,MATCH(1,(GMW!$NE$2:$NE$150=AJ$3)*(GMW!$ND$2:$ND$150=AJ$4)*(GMW!$NF$2:$NF$150=AJ$1),0),$C18-1966)</f>
        <v>39562</v>
      </c>
      <c r="AK18" s="4" cm="1">
        <f t="array" ref="AK18">INDEX(GMW!$A$2:$NF$150,MATCH(1,(GMW!$NE$2:$NE$150=AK$3)*(GMW!$ND$2:$ND$150=AK$4)*(GMW!$NF$2:$NF$150=AK$1),0),$C18-1966)</f>
        <v>16077.4</v>
      </c>
      <c r="AL18" s="4" cm="1">
        <f t="array" ref="AL18">INDEX(GMW!$A$2:$NF$150,MATCH(1,(GMW!$NE$2:$NE$150=AL$3)*(GMW!$ND$2:$ND$150=AL$4)*(GMW!$NF$2:$NF$150=AL$1),0),$C18-1966)</f>
        <v>33217</v>
      </c>
      <c r="AM18" s="4" cm="1">
        <f t="array" ref="AM18">INDEX(GMW!$A$2:$NF$150,MATCH(1,(GMW!$NE$2:$NE$150=AM$3)*(GMW!$ND$2:$ND$150=AM$4)*(GMW!$NF$2:$NF$150=AM$1),0),$C18-1966)</f>
        <v>58.125</v>
      </c>
      <c r="AN18" s="4" cm="1">
        <f t="array" ref="AN18">INDEX(GMW!$A$2:$NF$150,MATCH(1,(GMW!$NE$2:$NE$150=AN$3)*(GMW!$ND$2:$ND$150=AN$4)*(GMW!$NF$2:$NF$150=AN$1),0),$C18-1966)</f>
        <v>40849</v>
      </c>
      <c r="AO18" s="4" cm="1">
        <f t="array" ref="AO18">INDEX(GMW!$A$2:$NF$150,MATCH(1,(GMW!$NE$2:$NE$150=AO$3)*(GMW!$ND$2:$ND$150=AO$4)*(GMW!$NF$2:$NF$150=AO$1),0),$C18-1966)</f>
        <v>16514.61</v>
      </c>
      <c r="AP18" s="4" cm="1">
        <f t="array" ref="AP18">INDEX(GMW!$A$2:$NF$150,MATCH(1,(GMW!$NE$2:$NE$150=AP$3)*(GMW!$ND$2:$ND$150=AP$4)*(GMW!$NF$2:$NF$150=AP$1),0),$C18-1966)</f>
        <v>254664</v>
      </c>
      <c r="AQ18" s="4" cm="1">
        <f t="array" ref="AQ18">INDEX(GMW!$A$2:$NF$150,MATCH(1,(GMW!$NE$2:$NE$150=AQ$3)*(GMW!$ND$2:$ND$150=AQ$4)*(GMW!$NF$2:$NF$150=AQ$1),0),$C18-1966)</f>
        <v>24926.22</v>
      </c>
      <c r="AR18" s="4" cm="1">
        <f t="array" ref="AR18">INDEX(GMW!$A$2:$NF$150,MATCH(1,(GMW!$NE$2:$NE$150=AR$3)*(GMW!$ND$2:$ND$150=AR$4)*(GMW!$NF$2:$NF$150=AR$1),0),$C18-1966)</f>
        <v>1E-3</v>
      </c>
      <c r="AS18" s="4" cm="1">
        <f t="array" ref="AS18">INDEX(GMW!$A$2:$NF$150,MATCH(1,(GMW!$NE$2:$NE$150=AS$3)*(GMW!$ND$2:$ND$150=AS$4)*(GMW!$NF$2:$NF$150=AS$1),0),$C18-1966)</f>
        <v>292428.59999999998</v>
      </c>
      <c r="AT18" s="4" cm="1">
        <f t="array" ref="AT18">INDEX(GMW!$A$2:$NF$150,MATCH(1,(GMW!$NE$2:$NE$150=AT$3)*(GMW!$ND$2:$ND$150=AT$4)*(GMW!$NF$2:$NF$150=AT$1),0),$C18-1966)</f>
        <v>35324.97</v>
      </c>
      <c r="AU18" s="4" cm="1">
        <f t="array" ref="AU18">INDEX(GMW!$A$2:$NF$150,MATCH(1,(GMW!$NE$2:$NE$150=AU$3)*(GMW!$ND$2:$ND$150=AU$4)*(GMW!$NF$2:$NF$150=AU$1),0),$C18-1966)</f>
        <v>1148307</v>
      </c>
      <c r="AV18" s="4" cm="1">
        <f t="array" ref="AV18">INDEX(GMW!$A$2:$NF$150,MATCH(1,(GMW!$NE$2:$NE$150=AV$3)*(GMW!$ND$2:$ND$150=AV$4)*(GMW!$NF$2:$NF$150=AV$1),0),$C18-1966)</f>
        <v>-1.9320550000000001</v>
      </c>
    </row>
    <row r="19" spans="1:48" x14ac:dyDescent="0.25">
      <c r="A19" s="4">
        <v>1976</v>
      </c>
      <c r="B19" s="4">
        <f t="shared" si="4"/>
        <v>1976</v>
      </c>
      <c r="C19" s="4">
        <f t="shared" si="3"/>
        <v>1985</v>
      </c>
      <c r="D19" s="4" cm="1">
        <f t="array" ref="D19">INDEX(GMW!$A$2:$NF$150,MATCH(1,(GMW!$NE$2:$NE$150=D$3)*(GMW!$ND$2:$ND$150=D$4)*(GMW!$NF$2:$NF$150=D$1),0),$C19-1966)</f>
        <v>241709</v>
      </c>
      <c r="E19" s="4" cm="1">
        <f t="array" ref="E19">INDEX(GMW!$A$2:$NF$150,MATCH(1,(GMW!$NE$2:$NE$150=E$3)*(GMW!$ND$2:$ND$150=E$4)*(GMW!$NF$2:$NF$150=E$1),0),$C19-1966)</f>
        <v>19.42145</v>
      </c>
      <c r="F19" s="4" cm="1">
        <f t="array" ref="F19">INDEX(GMW!$A$2:$NF$150,MATCH(1,(GMW!$NE$2:$NE$150=F$3)*(GMW!$ND$2:$ND$150=F$4)*(GMW!$NF$2:$NF$150=F$1),0),$C19-1966)</f>
        <v>40307</v>
      </c>
      <c r="G19" s="4" cm="1">
        <f t="array" ref="G19">INDEX(GMW!$A$2:$NF$150,MATCH(1,(GMW!$NE$2:$NE$150=G$3)*(GMW!$ND$2:$ND$150=G$4)*(GMW!$NF$2:$NF$150=G$1),0),$C19-1966)</f>
        <v>16502.87</v>
      </c>
      <c r="H19" s="4" cm="1">
        <f t="array" ref="H19">INDEX(GMW!$A$2:$NF$150,MATCH(1,(GMW!$NE$2:$NE$150=H$3)*(GMW!$ND$2:$ND$150=H$4)*(GMW!$NF$2:$NF$150=H$1),0),$C19-1966)</f>
        <v>32702</v>
      </c>
      <c r="I19" s="4" cm="1">
        <f t="array" ref="I19">INDEX(GMW!$A$2:$NF$150,MATCH(1,(GMW!$NE$2:$NE$150=I$3)*(GMW!$ND$2:$ND$150=I$4)*(GMW!$NF$2:$NF$150=I$1),0),$C19-1966)</f>
        <v>206.125</v>
      </c>
      <c r="J19" s="4" cm="1">
        <f t="array" ref="J19">INDEX(GMW!$A$2:$NF$150,MATCH(1,(GMW!$NE$2:$NE$150=J$3)*(GMW!$ND$2:$ND$150=J$4)*(GMW!$NF$2:$NF$150=J$1),0),$C19-1966)</f>
        <v>42896</v>
      </c>
      <c r="K19" s="4" cm="1">
        <f t="array" ref="K19">INDEX(GMW!$A$2:$NF$150,MATCH(1,(GMW!$NE$2:$NE$150=K$3)*(GMW!$ND$2:$ND$150=K$4)*(GMW!$NF$2:$NF$150=K$1),0),$C19-1966)</f>
        <v>16797.79</v>
      </c>
      <c r="L19" s="4" cm="1">
        <f t="array" ref="L19">INDEX(GMW!$A$2:$NF$150,MATCH(1,(GMW!$NE$2:$NE$150=L$3)*(GMW!$ND$2:$ND$150=L$4)*(GMW!$NF$2:$NF$150=L$1),0),$C19-1966)</f>
        <v>254816</v>
      </c>
      <c r="M19" s="4" cm="1">
        <f t="array" ref="M19">INDEX(GMW!$A$2:$NF$150,MATCH(1,(GMW!$NE$2:$NE$150=M$3)*(GMW!$ND$2:$ND$150=M$4)*(GMW!$NF$2:$NF$150=M$1),0),$C19-1966)</f>
        <v>24878.6</v>
      </c>
      <c r="N19" s="4" cm="1">
        <f t="array" ref="N19">INDEX(GMW!$A$2:$NF$150,MATCH(1,(GMW!$NE$2:$NE$150=N$3)*(GMW!$ND$2:$ND$150=N$4)*(GMW!$NF$2:$NF$150=N$1),0),$C19-1966)</f>
        <v>1E-3</v>
      </c>
      <c r="O19" s="4" cm="1">
        <f t="array" ref="O19">INDEX(GMW!$A$2:$NF$150,MATCH(1,(GMW!$NE$2:$NE$150=O$3)*(GMW!$ND$2:$ND$150=O$4)*(GMW!$NF$2:$NF$150=O$1),0),$C19-1966)</f>
        <v>292999.90000000002</v>
      </c>
      <c r="P19" s="4" cm="1">
        <f t="array" ref="P19">INDEX(GMW!$A$2:$NF$150,MATCH(1,(GMW!$NE$2:$NE$150=P$3)*(GMW!$ND$2:$ND$150=P$4)*(GMW!$NF$2:$NF$150=P$1),0),$C19-1966)</f>
        <v>35323.4</v>
      </c>
      <c r="Q19" s="4" cm="1">
        <f t="array" ref="Q19">INDEX(GMW!$A$2:$NF$150,MATCH(1,(GMW!$NE$2:$NE$150=Q$3)*(GMW!$ND$2:$ND$150=Q$4)*(GMW!$NF$2:$NF$150=Q$1),0),$C19-1966)</f>
        <v>1155052</v>
      </c>
      <c r="R19" s="4" cm="1">
        <f t="array" ref="R19">INDEX(GMW!$A$2:$NF$150,MATCH(1,(GMW!$NE$2:$NE$150=R$3)*(GMW!$ND$2:$ND$150=R$4)*(GMW!$NF$2:$NF$150=R$1),0),$C19-1966)</f>
        <v>-1.9330430000000001</v>
      </c>
      <c r="S19" s="4" cm="1">
        <f t="array" ref="S19">INDEX(GMW!$A$2:$NF$150,MATCH(1,(GMW!$NE$2:$NE$150=S$3)*(GMW!$ND$2:$ND$150=S$4)*(GMW!$NF$2:$NF$150=S$1),0),$C19-1966)</f>
        <v>241709</v>
      </c>
      <c r="T19" s="4" cm="1">
        <f t="array" ref="T19">INDEX(GMW!$A$2:$NF$150,MATCH(1,(GMW!$NE$2:$NE$150=T$3)*(GMW!$ND$2:$ND$150=T$4)*(GMW!$NF$2:$NF$150=T$1),0),$C19-1966)</f>
        <v>19.42145</v>
      </c>
      <c r="U19" s="4" cm="1">
        <f t="array" ref="U19">INDEX(GMW!$A$2:$NF$150,MATCH(1,(GMW!$NE$2:$NE$150=U$3)*(GMW!$ND$2:$ND$150=U$4)*(GMW!$NF$2:$NF$150=U$1),0),$C19-1966)</f>
        <v>40307</v>
      </c>
      <c r="V19" s="4" cm="1">
        <f t="array" ref="V19">INDEX(GMW!$A$2:$NF$150,MATCH(1,(GMW!$NE$2:$NE$150=V$3)*(GMW!$ND$2:$ND$150=V$4)*(GMW!$NF$2:$NF$150=V$1),0),$C19-1966)</f>
        <v>16502.87</v>
      </c>
      <c r="W19" s="4" cm="1">
        <f t="array" ref="W19">INDEX(GMW!$A$2:$NF$150,MATCH(1,(GMW!$NE$2:$NE$150=W$3)*(GMW!$ND$2:$ND$150=W$4)*(GMW!$NF$2:$NF$150=W$1),0),$C19-1966)</f>
        <v>32702</v>
      </c>
      <c r="X19" s="4" cm="1">
        <f t="array" ref="X19">INDEX(GMW!$A$2:$NF$150,MATCH(1,(GMW!$NE$2:$NE$150=X$3)*(GMW!$ND$2:$ND$150=X$4)*(GMW!$NF$2:$NF$150=X$1),0),$C19-1966)</f>
        <v>206.125</v>
      </c>
      <c r="Y19" s="4" cm="1">
        <f t="array" ref="Y19">INDEX(GMW!$A$2:$NF$150,MATCH(1,(GMW!$NE$2:$NE$150=Y$3)*(GMW!$ND$2:$ND$150=Y$4)*(GMW!$NF$2:$NF$150=Y$1),0),$C19-1966)</f>
        <v>42896</v>
      </c>
      <c r="Z19" s="4" cm="1">
        <f t="array" ref="Z19">INDEX(GMW!$A$2:$NF$150,MATCH(1,(GMW!$NE$2:$NE$150=Z$3)*(GMW!$ND$2:$ND$150=Z$4)*(GMW!$NF$2:$NF$150=Z$1),0),$C19-1966)</f>
        <v>16797.79</v>
      </c>
      <c r="AA19" s="4" cm="1">
        <f t="array" ref="AA19">INDEX(GMW!$A$2:$NF$150,MATCH(1,(GMW!$NE$2:$NE$150=AA$3)*(GMW!$ND$2:$ND$150=AA$4)*(GMW!$NF$2:$NF$150=AA$1),0),$C19-1966)</f>
        <v>254816</v>
      </c>
      <c r="AB19" s="4" cm="1">
        <f t="array" ref="AB19">INDEX(GMW!$A$2:$NF$150,MATCH(1,(GMW!$NE$2:$NE$150=AB$3)*(GMW!$ND$2:$ND$150=AB$4)*(GMW!$NF$2:$NF$150=AB$1),0),$C19-1966)</f>
        <v>24878.6</v>
      </c>
      <c r="AC19" s="4" cm="1">
        <f t="array" ref="AC19">INDEX(GMW!$A$2:$NF$150,MATCH(1,(GMW!$NE$2:$NE$150=AC$3)*(GMW!$ND$2:$ND$150=AC$4)*(GMW!$NF$2:$NF$150=AC$1),0),$C19-1966)</f>
        <v>1E-3</v>
      </c>
      <c r="AD19" s="4" cm="1">
        <f t="array" ref="AD19">INDEX(GMW!$A$2:$NF$150,MATCH(1,(GMW!$NE$2:$NE$150=AD$3)*(GMW!$ND$2:$ND$150=AD$4)*(GMW!$NF$2:$NF$150=AD$1),0),$C19-1966)</f>
        <v>292999.90000000002</v>
      </c>
      <c r="AE19" s="4" cm="1">
        <f t="array" ref="AE19">INDEX(GMW!$A$2:$NF$150,MATCH(1,(GMW!$NE$2:$NE$150=AE$3)*(GMW!$ND$2:$ND$150=AE$4)*(GMW!$NF$2:$NF$150=AE$1),0),$C19-1966)</f>
        <v>35323.4</v>
      </c>
      <c r="AF19" s="4" cm="1">
        <f t="array" ref="AF19">INDEX(GMW!$A$2:$NF$150,MATCH(1,(GMW!$NE$2:$NE$150=AF$3)*(GMW!$ND$2:$ND$150=AF$4)*(GMW!$NF$2:$NF$150=AF$1),0),$C19-1966)</f>
        <v>1155052</v>
      </c>
      <c r="AG19" s="4" cm="1">
        <f t="array" ref="AG19">INDEX(GMW!$A$2:$NF$150,MATCH(1,(GMW!$NE$2:$NE$150=AG$3)*(GMW!$ND$2:$ND$150=AG$4)*(GMW!$NF$2:$NF$150=AG$1),0),$C19-1966)</f>
        <v>-1.9330430000000001</v>
      </c>
      <c r="AH19" s="4" cm="1">
        <f t="array" ref="AH19">INDEX(GMW!$A$2:$NF$150,MATCH(1,(GMW!$NE$2:$NE$150=AH$3)*(GMW!$ND$2:$ND$150=AH$4)*(GMW!$NF$2:$NF$150=AH$1),0),$C19-1966)</f>
        <v>241709</v>
      </c>
      <c r="AI19" s="4" cm="1">
        <f t="array" ref="AI19">INDEX(GMW!$A$2:$NF$150,MATCH(1,(GMW!$NE$2:$NE$150=AI$3)*(GMW!$ND$2:$ND$150=AI$4)*(GMW!$NF$2:$NF$150=AI$1),0),$C19-1966)</f>
        <v>19.42145</v>
      </c>
      <c r="AJ19" s="4" cm="1">
        <f t="array" ref="AJ19">INDEX(GMW!$A$2:$NF$150,MATCH(1,(GMW!$NE$2:$NE$150=AJ$3)*(GMW!$ND$2:$ND$150=AJ$4)*(GMW!$NF$2:$NF$150=AJ$1),0),$C19-1966)</f>
        <v>40307</v>
      </c>
      <c r="AK19" s="4" cm="1">
        <f t="array" ref="AK19">INDEX(GMW!$A$2:$NF$150,MATCH(1,(GMW!$NE$2:$NE$150=AK$3)*(GMW!$ND$2:$ND$150=AK$4)*(GMW!$NF$2:$NF$150=AK$1),0),$C19-1966)</f>
        <v>16502.87</v>
      </c>
      <c r="AL19" s="4" cm="1">
        <f t="array" ref="AL19">INDEX(GMW!$A$2:$NF$150,MATCH(1,(GMW!$NE$2:$NE$150=AL$3)*(GMW!$ND$2:$ND$150=AL$4)*(GMW!$NF$2:$NF$150=AL$1),0),$C19-1966)</f>
        <v>32702</v>
      </c>
      <c r="AM19" s="4" cm="1">
        <f t="array" ref="AM19">INDEX(GMW!$A$2:$NF$150,MATCH(1,(GMW!$NE$2:$NE$150=AM$3)*(GMW!$ND$2:$ND$150=AM$4)*(GMW!$NF$2:$NF$150=AM$1),0),$C19-1966)</f>
        <v>206.125</v>
      </c>
      <c r="AN19" s="4" cm="1">
        <f t="array" ref="AN19">INDEX(GMW!$A$2:$NF$150,MATCH(1,(GMW!$NE$2:$NE$150=AN$3)*(GMW!$ND$2:$ND$150=AN$4)*(GMW!$NF$2:$NF$150=AN$1),0),$C19-1966)</f>
        <v>42896</v>
      </c>
      <c r="AO19" s="4" cm="1">
        <f t="array" ref="AO19">INDEX(GMW!$A$2:$NF$150,MATCH(1,(GMW!$NE$2:$NE$150=AO$3)*(GMW!$ND$2:$ND$150=AO$4)*(GMW!$NF$2:$NF$150=AO$1),0),$C19-1966)</f>
        <v>16797.79</v>
      </c>
      <c r="AP19" s="4" cm="1">
        <f t="array" ref="AP19">INDEX(GMW!$A$2:$NF$150,MATCH(1,(GMW!$NE$2:$NE$150=AP$3)*(GMW!$ND$2:$ND$150=AP$4)*(GMW!$NF$2:$NF$150=AP$1),0),$C19-1966)</f>
        <v>254816</v>
      </c>
      <c r="AQ19" s="4" cm="1">
        <f t="array" ref="AQ19">INDEX(GMW!$A$2:$NF$150,MATCH(1,(GMW!$NE$2:$NE$150=AQ$3)*(GMW!$ND$2:$ND$150=AQ$4)*(GMW!$NF$2:$NF$150=AQ$1),0),$C19-1966)</f>
        <v>24878.6</v>
      </c>
      <c r="AR19" s="4" cm="1">
        <f t="array" ref="AR19">INDEX(GMW!$A$2:$NF$150,MATCH(1,(GMW!$NE$2:$NE$150=AR$3)*(GMW!$ND$2:$ND$150=AR$4)*(GMW!$NF$2:$NF$150=AR$1),0),$C19-1966)</f>
        <v>1E-3</v>
      </c>
      <c r="AS19" s="4" cm="1">
        <f t="array" ref="AS19">INDEX(GMW!$A$2:$NF$150,MATCH(1,(GMW!$NE$2:$NE$150=AS$3)*(GMW!$ND$2:$ND$150=AS$4)*(GMW!$NF$2:$NF$150=AS$1),0),$C19-1966)</f>
        <v>292999.90000000002</v>
      </c>
      <c r="AT19" s="4" cm="1">
        <f t="array" ref="AT19">INDEX(GMW!$A$2:$NF$150,MATCH(1,(GMW!$NE$2:$NE$150=AT$3)*(GMW!$ND$2:$ND$150=AT$4)*(GMW!$NF$2:$NF$150=AT$1),0),$C19-1966)</f>
        <v>35323.4</v>
      </c>
      <c r="AU19" s="4" cm="1">
        <f t="array" ref="AU19">INDEX(GMW!$A$2:$NF$150,MATCH(1,(GMW!$NE$2:$NE$150=AU$3)*(GMW!$ND$2:$ND$150=AU$4)*(GMW!$NF$2:$NF$150=AU$1),0),$C19-1966)</f>
        <v>1155052</v>
      </c>
      <c r="AV19" s="4" cm="1">
        <f t="array" ref="AV19">INDEX(GMW!$A$2:$NF$150,MATCH(1,(GMW!$NE$2:$NE$150=AV$3)*(GMW!$ND$2:$ND$150=AV$4)*(GMW!$NF$2:$NF$150=AV$1),0),$C19-1966)</f>
        <v>-1.9330430000000001</v>
      </c>
    </row>
    <row r="20" spans="1:48" x14ac:dyDescent="0.25">
      <c r="B20" s="4">
        <f t="shared" si="4"/>
        <v>1976</v>
      </c>
      <c r="C20" s="4">
        <f t="shared" si="3"/>
        <v>1986</v>
      </c>
      <c r="D20" s="4" cm="1">
        <f t="array" ref="D20">INDEX(GMW!$A$2:$NF$150,MATCH(1,(GMW!$NE$2:$NE$150=D$3)*(GMW!$ND$2:$ND$150=D$4)*(GMW!$NF$2:$NF$150=D$1),0),$C20-1966)</f>
        <v>241380</v>
      </c>
      <c r="E20" s="4" cm="1">
        <f t="array" ref="E20">INDEX(GMW!$A$2:$NF$150,MATCH(1,(GMW!$NE$2:$NE$150=E$3)*(GMW!$ND$2:$ND$150=E$4)*(GMW!$NF$2:$NF$150=E$1),0),$C20-1966)</f>
        <v>20.125319999999999</v>
      </c>
      <c r="F20" s="4" cm="1">
        <f t="array" ref="F20">INDEX(GMW!$A$2:$NF$150,MATCH(1,(GMW!$NE$2:$NE$150=F$3)*(GMW!$ND$2:$ND$150=F$4)*(GMW!$NF$2:$NF$150=F$1),0),$C20-1966)</f>
        <v>41824</v>
      </c>
      <c r="G20" s="4" cm="1">
        <f t="array" ref="G20">INDEX(GMW!$A$2:$NF$150,MATCH(1,(GMW!$NE$2:$NE$150=G$3)*(GMW!$ND$2:$ND$150=G$4)*(GMW!$NF$2:$NF$150=G$1),0),$C20-1966)</f>
        <v>17543.099999999999</v>
      </c>
      <c r="H20" s="4" cm="1">
        <f t="array" ref="H20">INDEX(GMW!$A$2:$NF$150,MATCH(1,(GMW!$NE$2:$NE$150=H$3)*(GMW!$ND$2:$ND$150=H$4)*(GMW!$NF$2:$NF$150=H$1),0),$C20-1966)</f>
        <v>35374</v>
      </c>
      <c r="I20" s="4" cm="1">
        <f t="array" ref="I20">INDEX(GMW!$A$2:$NF$150,MATCH(1,(GMW!$NE$2:$NE$150=I$3)*(GMW!$ND$2:$ND$150=I$4)*(GMW!$NF$2:$NF$150=I$1),0),$C20-1966)</f>
        <v>1742.2</v>
      </c>
      <c r="J20" s="4" cm="1">
        <f t="array" ref="J20">INDEX(GMW!$A$2:$NF$150,MATCH(1,(GMW!$NE$2:$NE$150=J$3)*(GMW!$ND$2:$ND$150=J$4)*(GMW!$NF$2:$NF$150=J$1),0),$C20-1966)</f>
        <v>42498</v>
      </c>
      <c r="K20" s="4" cm="1">
        <f t="array" ref="K20">INDEX(GMW!$A$2:$NF$150,MATCH(1,(GMW!$NE$2:$NE$150=K$3)*(GMW!$ND$2:$ND$150=K$4)*(GMW!$NF$2:$NF$150=K$1),0),$C20-1966)</f>
        <v>17249.91</v>
      </c>
      <c r="L20" s="4" cm="1">
        <f t="array" ref="L20">INDEX(GMW!$A$2:$NF$150,MATCH(1,(GMW!$NE$2:$NE$150=L$3)*(GMW!$ND$2:$ND$150=L$4)*(GMW!$NF$2:$NF$150=L$1),0),$C20-1966)</f>
        <v>255097.2</v>
      </c>
      <c r="M20" s="4" cm="1">
        <f t="array" ref="M20">INDEX(GMW!$A$2:$NF$150,MATCH(1,(GMW!$NE$2:$NE$150=M$3)*(GMW!$ND$2:$ND$150=M$4)*(GMW!$NF$2:$NF$150=M$1),0),$C20-1966)</f>
        <v>24856.21</v>
      </c>
      <c r="N20" s="4" cm="1">
        <f t="array" ref="N20">INDEX(GMW!$A$2:$NF$150,MATCH(1,(GMW!$NE$2:$NE$150=N$3)*(GMW!$ND$2:$ND$150=N$4)*(GMW!$NF$2:$NF$150=N$1),0),$C20-1966)</f>
        <v>1E-3</v>
      </c>
      <c r="O20" s="4" cm="1">
        <f t="array" ref="O20">INDEX(GMW!$A$2:$NF$150,MATCH(1,(GMW!$NE$2:$NE$150=O$3)*(GMW!$ND$2:$ND$150=O$4)*(GMW!$NF$2:$NF$150=O$1),0),$C20-1966)</f>
        <v>293600.3</v>
      </c>
      <c r="P20" s="4" cm="1">
        <f t="array" ref="P20">INDEX(GMW!$A$2:$NF$150,MATCH(1,(GMW!$NE$2:$NE$150=P$3)*(GMW!$ND$2:$ND$150=P$4)*(GMW!$NF$2:$NF$150=P$1),0),$C20-1966)</f>
        <v>35321.83</v>
      </c>
      <c r="Q20" s="4" cm="1">
        <f t="array" ref="Q20">INDEX(GMW!$A$2:$NF$150,MATCH(1,(GMW!$NE$2:$NE$150=Q$3)*(GMW!$ND$2:$ND$150=Q$4)*(GMW!$NF$2:$NF$150=Q$1),0),$C20-1966)</f>
        <v>1161797</v>
      </c>
      <c r="R20" s="4" cm="1">
        <f t="array" ref="R20">INDEX(GMW!$A$2:$NF$150,MATCH(1,(GMW!$NE$2:$NE$150=R$3)*(GMW!$ND$2:$ND$150=R$4)*(GMW!$NF$2:$NF$150=R$1),0),$C20-1966)</f>
        <v>-1.934032</v>
      </c>
      <c r="S20" s="4" cm="1">
        <f t="array" ref="S20">INDEX(GMW!$A$2:$NF$150,MATCH(1,(GMW!$NE$2:$NE$150=S$3)*(GMW!$ND$2:$ND$150=S$4)*(GMW!$NF$2:$NF$150=S$1),0),$C20-1966)</f>
        <v>241380</v>
      </c>
      <c r="T20" s="4" cm="1">
        <f t="array" ref="T20">INDEX(GMW!$A$2:$NF$150,MATCH(1,(GMW!$NE$2:$NE$150=T$3)*(GMW!$ND$2:$ND$150=T$4)*(GMW!$NF$2:$NF$150=T$1),0),$C20-1966)</f>
        <v>20.125319999999999</v>
      </c>
      <c r="U20" s="4" cm="1">
        <f t="array" ref="U20">INDEX(GMW!$A$2:$NF$150,MATCH(1,(GMW!$NE$2:$NE$150=U$3)*(GMW!$ND$2:$ND$150=U$4)*(GMW!$NF$2:$NF$150=U$1),0),$C20-1966)</f>
        <v>41824</v>
      </c>
      <c r="V20" s="4" cm="1">
        <f t="array" ref="V20">INDEX(GMW!$A$2:$NF$150,MATCH(1,(GMW!$NE$2:$NE$150=V$3)*(GMW!$ND$2:$ND$150=V$4)*(GMW!$NF$2:$NF$150=V$1),0),$C20-1966)</f>
        <v>17543.099999999999</v>
      </c>
      <c r="W20" s="4" cm="1">
        <f t="array" ref="W20">INDEX(GMW!$A$2:$NF$150,MATCH(1,(GMW!$NE$2:$NE$150=W$3)*(GMW!$ND$2:$ND$150=W$4)*(GMW!$NF$2:$NF$150=W$1),0),$C20-1966)</f>
        <v>35374</v>
      </c>
      <c r="X20" s="4" cm="1">
        <f t="array" ref="X20">INDEX(GMW!$A$2:$NF$150,MATCH(1,(GMW!$NE$2:$NE$150=X$3)*(GMW!$ND$2:$ND$150=X$4)*(GMW!$NF$2:$NF$150=X$1),0),$C20-1966)</f>
        <v>1742.2</v>
      </c>
      <c r="Y20" s="4" cm="1">
        <f t="array" ref="Y20">INDEX(GMW!$A$2:$NF$150,MATCH(1,(GMW!$NE$2:$NE$150=Y$3)*(GMW!$ND$2:$ND$150=Y$4)*(GMW!$NF$2:$NF$150=Y$1),0),$C20-1966)</f>
        <v>42498</v>
      </c>
      <c r="Z20" s="4" cm="1">
        <f t="array" ref="Z20">INDEX(GMW!$A$2:$NF$150,MATCH(1,(GMW!$NE$2:$NE$150=Z$3)*(GMW!$ND$2:$ND$150=Z$4)*(GMW!$NF$2:$NF$150=Z$1),0),$C20-1966)</f>
        <v>17249.91</v>
      </c>
      <c r="AA20" s="4" cm="1">
        <f t="array" ref="AA20">INDEX(GMW!$A$2:$NF$150,MATCH(1,(GMW!$NE$2:$NE$150=AA$3)*(GMW!$ND$2:$ND$150=AA$4)*(GMW!$NF$2:$NF$150=AA$1),0),$C20-1966)</f>
        <v>255097.2</v>
      </c>
      <c r="AB20" s="4" cm="1">
        <f t="array" ref="AB20">INDEX(GMW!$A$2:$NF$150,MATCH(1,(GMW!$NE$2:$NE$150=AB$3)*(GMW!$ND$2:$ND$150=AB$4)*(GMW!$NF$2:$NF$150=AB$1),0),$C20-1966)</f>
        <v>24856.21</v>
      </c>
      <c r="AC20" s="4" cm="1">
        <f t="array" ref="AC20">INDEX(GMW!$A$2:$NF$150,MATCH(1,(GMW!$NE$2:$NE$150=AC$3)*(GMW!$ND$2:$ND$150=AC$4)*(GMW!$NF$2:$NF$150=AC$1),0),$C20-1966)</f>
        <v>1E-3</v>
      </c>
      <c r="AD20" s="4" cm="1">
        <f t="array" ref="AD20">INDEX(GMW!$A$2:$NF$150,MATCH(1,(GMW!$NE$2:$NE$150=AD$3)*(GMW!$ND$2:$ND$150=AD$4)*(GMW!$NF$2:$NF$150=AD$1),0),$C20-1966)</f>
        <v>293600.3</v>
      </c>
      <c r="AE20" s="4" cm="1">
        <f t="array" ref="AE20">INDEX(GMW!$A$2:$NF$150,MATCH(1,(GMW!$NE$2:$NE$150=AE$3)*(GMW!$ND$2:$ND$150=AE$4)*(GMW!$NF$2:$NF$150=AE$1),0),$C20-1966)</f>
        <v>35321.83</v>
      </c>
      <c r="AF20" s="4" cm="1">
        <f t="array" ref="AF20">INDEX(GMW!$A$2:$NF$150,MATCH(1,(GMW!$NE$2:$NE$150=AF$3)*(GMW!$ND$2:$ND$150=AF$4)*(GMW!$NF$2:$NF$150=AF$1),0),$C20-1966)</f>
        <v>1161797</v>
      </c>
      <c r="AG20" s="4" cm="1">
        <f t="array" ref="AG20">INDEX(GMW!$A$2:$NF$150,MATCH(1,(GMW!$NE$2:$NE$150=AG$3)*(GMW!$ND$2:$ND$150=AG$4)*(GMW!$NF$2:$NF$150=AG$1),0),$C20-1966)</f>
        <v>-1.934032</v>
      </c>
      <c r="AH20" s="4" cm="1">
        <f t="array" ref="AH20">INDEX(GMW!$A$2:$NF$150,MATCH(1,(GMW!$NE$2:$NE$150=AH$3)*(GMW!$ND$2:$ND$150=AH$4)*(GMW!$NF$2:$NF$150=AH$1),0),$C20-1966)</f>
        <v>241380</v>
      </c>
      <c r="AI20" s="4" cm="1">
        <f t="array" ref="AI20">INDEX(GMW!$A$2:$NF$150,MATCH(1,(GMW!$NE$2:$NE$150=AI$3)*(GMW!$ND$2:$ND$150=AI$4)*(GMW!$NF$2:$NF$150=AI$1),0),$C20-1966)</f>
        <v>20.125319999999999</v>
      </c>
      <c r="AJ20" s="4" cm="1">
        <f t="array" ref="AJ20">INDEX(GMW!$A$2:$NF$150,MATCH(1,(GMW!$NE$2:$NE$150=AJ$3)*(GMW!$ND$2:$ND$150=AJ$4)*(GMW!$NF$2:$NF$150=AJ$1),0),$C20-1966)</f>
        <v>41824</v>
      </c>
      <c r="AK20" s="4" cm="1">
        <f t="array" ref="AK20">INDEX(GMW!$A$2:$NF$150,MATCH(1,(GMW!$NE$2:$NE$150=AK$3)*(GMW!$ND$2:$ND$150=AK$4)*(GMW!$NF$2:$NF$150=AK$1),0),$C20-1966)</f>
        <v>17543.099999999999</v>
      </c>
      <c r="AL20" s="4" cm="1">
        <f t="array" ref="AL20">INDEX(GMW!$A$2:$NF$150,MATCH(1,(GMW!$NE$2:$NE$150=AL$3)*(GMW!$ND$2:$ND$150=AL$4)*(GMW!$NF$2:$NF$150=AL$1),0),$C20-1966)</f>
        <v>35374</v>
      </c>
      <c r="AM20" s="4" cm="1">
        <f t="array" ref="AM20">INDEX(GMW!$A$2:$NF$150,MATCH(1,(GMW!$NE$2:$NE$150=AM$3)*(GMW!$ND$2:$ND$150=AM$4)*(GMW!$NF$2:$NF$150=AM$1),0),$C20-1966)</f>
        <v>1742.2</v>
      </c>
      <c r="AN20" s="4" cm="1">
        <f t="array" ref="AN20">INDEX(GMW!$A$2:$NF$150,MATCH(1,(GMW!$NE$2:$NE$150=AN$3)*(GMW!$ND$2:$ND$150=AN$4)*(GMW!$NF$2:$NF$150=AN$1),0),$C20-1966)</f>
        <v>42498</v>
      </c>
      <c r="AO20" s="4" cm="1">
        <f t="array" ref="AO20">INDEX(GMW!$A$2:$NF$150,MATCH(1,(GMW!$NE$2:$NE$150=AO$3)*(GMW!$ND$2:$ND$150=AO$4)*(GMW!$NF$2:$NF$150=AO$1),0),$C20-1966)</f>
        <v>17249.91</v>
      </c>
      <c r="AP20" s="4" cm="1">
        <f t="array" ref="AP20">INDEX(GMW!$A$2:$NF$150,MATCH(1,(GMW!$NE$2:$NE$150=AP$3)*(GMW!$ND$2:$ND$150=AP$4)*(GMW!$NF$2:$NF$150=AP$1),0),$C20-1966)</f>
        <v>255097.2</v>
      </c>
      <c r="AQ20" s="4" cm="1">
        <f t="array" ref="AQ20">INDEX(GMW!$A$2:$NF$150,MATCH(1,(GMW!$NE$2:$NE$150=AQ$3)*(GMW!$ND$2:$ND$150=AQ$4)*(GMW!$NF$2:$NF$150=AQ$1),0),$C20-1966)</f>
        <v>24856.21</v>
      </c>
      <c r="AR20" s="4" cm="1">
        <f t="array" ref="AR20">INDEX(GMW!$A$2:$NF$150,MATCH(1,(GMW!$NE$2:$NE$150=AR$3)*(GMW!$ND$2:$ND$150=AR$4)*(GMW!$NF$2:$NF$150=AR$1),0),$C20-1966)</f>
        <v>1E-3</v>
      </c>
      <c r="AS20" s="4" cm="1">
        <f t="array" ref="AS20">INDEX(GMW!$A$2:$NF$150,MATCH(1,(GMW!$NE$2:$NE$150=AS$3)*(GMW!$ND$2:$ND$150=AS$4)*(GMW!$NF$2:$NF$150=AS$1),0),$C20-1966)</f>
        <v>293600.3</v>
      </c>
      <c r="AT20" s="4" cm="1">
        <f t="array" ref="AT20">INDEX(GMW!$A$2:$NF$150,MATCH(1,(GMW!$NE$2:$NE$150=AT$3)*(GMW!$ND$2:$ND$150=AT$4)*(GMW!$NF$2:$NF$150=AT$1),0),$C20-1966)</f>
        <v>35321.83</v>
      </c>
      <c r="AU20" s="4" cm="1">
        <f t="array" ref="AU20">INDEX(GMW!$A$2:$NF$150,MATCH(1,(GMW!$NE$2:$NE$150=AU$3)*(GMW!$ND$2:$ND$150=AU$4)*(GMW!$NF$2:$NF$150=AU$1),0),$C20-1966)</f>
        <v>1161797</v>
      </c>
      <c r="AV20" s="4" cm="1">
        <f t="array" ref="AV20">INDEX(GMW!$A$2:$NF$150,MATCH(1,(GMW!$NE$2:$NE$150=AV$3)*(GMW!$ND$2:$ND$150=AV$4)*(GMW!$NF$2:$NF$150=AV$1),0),$C20-1966)</f>
        <v>-1.934032</v>
      </c>
    </row>
    <row r="21" spans="1:48" x14ac:dyDescent="0.25">
      <c r="B21" s="4">
        <f t="shared" si="4"/>
        <v>1976</v>
      </c>
      <c r="C21" s="4">
        <f t="shared" si="3"/>
        <v>1987</v>
      </c>
      <c r="D21" s="4" cm="1">
        <f t="array" ref="D21">INDEX(GMW!$A$2:$NF$150,MATCH(1,(GMW!$NE$2:$NE$150=D$3)*(GMW!$ND$2:$ND$150=D$4)*(GMW!$NF$2:$NF$150=D$1),0),$C21-1966)</f>
        <v>244367</v>
      </c>
      <c r="E21" s="4" cm="1">
        <f t="array" ref="E21">INDEX(GMW!$A$2:$NF$150,MATCH(1,(GMW!$NE$2:$NE$150=E$3)*(GMW!$ND$2:$ND$150=E$4)*(GMW!$NF$2:$NF$150=E$1),0),$C21-1966)</f>
        <v>20.594560000000001</v>
      </c>
      <c r="F21" s="4" cm="1">
        <f t="array" ref="F21">INDEX(GMW!$A$2:$NF$150,MATCH(1,(GMW!$NE$2:$NE$150=F$3)*(GMW!$ND$2:$ND$150=F$4)*(GMW!$NF$2:$NF$150=F$1),0),$C21-1966)</f>
        <v>42139</v>
      </c>
      <c r="G21" s="4" cm="1">
        <f t="array" ref="G21">INDEX(GMW!$A$2:$NF$150,MATCH(1,(GMW!$NE$2:$NE$150=G$3)*(GMW!$ND$2:$ND$150=G$4)*(GMW!$NF$2:$NF$150=G$1),0),$C21-1966)</f>
        <v>16388.57</v>
      </c>
      <c r="H21" s="4" cm="1">
        <f t="array" ref="H21">INDEX(GMW!$A$2:$NF$150,MATCH(1,(GMW!$NE$2:$NE$150=H$3)*(GMW!$ND$2:$ND$150=H$4)*(GMW!$NF$2:$NF$150=H$1),0),$C21-1966)</f>
        <v>35764</v>
      </c>
      <c r="I21" s="4" cm="1">
        <f t="array" ref="I21">INDEX(GMW!$A$2:$NF$150,MATCH(1,(GMW!$NE$2:$NE$150=I$3)*(GMW!$ND$2:$ND$150=I$4)*(GMW!$NF$2:$NF$150=I$1),0),$C21-1966)</f>
        <v>2026.2</v>
      </c>
      <c r="J21" s="4" cm="1">
        <f t="array" ref="J21">INDEX(GMW!$A$2:$NF$150,MATCH(1,(GMW!$NE$2:$NE$150=J$3)*(GMW!$ND$2:$ND$150=J$4)*(GMW!$NF$2:$NF$150=J$1),0),$C21-1966)</f>
        <v>41983</v>
      </c>
      <c r="K21" s="4" cm="1">
        <f t="array" ref="K21">INDEX(GMW!$A$2:$NF$150,MATCH(1,(GMW!$NE$2:$NE$150=K$3)*(GMW!$ND$2:$ND$150=K$4)*(GMW!$NF$2:$NF$150=K$1),0),$C21-1966)</f>
        <v>17314.27</v>
      </c>
      <c r="L21" s="4" cm="1">
        <f t="array" ref="L21">INDEX(GMW!$A$2:$NF$150,MATCH(1,(GMW!$NE$2:$NE$150=L$3)*(GMW!$ND$2:$ND$150=L$4)*(GMW!$NF$2:$NF$150=L$1),0),$C21-1966)</f>
        <v>255283</v>
      </c>
      <c r="M21" s="4" cm="1">
        <f t="array" ref="M21">INDEX(GMW!$A$2:$NF$150,MATCH(1,(GMW!$NE$2:$NE$150=M$3)*(GMW!$ND$2:$ND$150=M$4)*(GMW!$NF$2:$NF$150=M$1),0),$C21-1966)</f>
        <v>24835.7</v>
      </c>
      <c r="N21" s="4" cm="1">
        <f t="array" ref="N21">INDEX(GMW!$A$2:$NF$150,MATCH(1,(GMW!$NE$2:$NE$150=N$3)*(GMW!$ND$2:$ND$150=N$4)*(GMW!$NF$2:$NF$150=N$1),0),$C21-1966)</f>
        <v>1E-3</v>
      </c>
      <c r="O21" s="4" cm="1">
        <f t="array" ref="O21">INDEX(GMW!$A$2:$NF$150,MATCH(1,(GMW!$NE$2:$NE$150=O$3)*(GMW!$ND$2:$ND$150=O$4)*(GMW!$NF$2:$NF$150=O$1),0),$C21-1966)</f>
        <v>294143.09999999998</v>
      </c>
      <c r="P21" s="4" cm="1">
        <f t="array" ref="P21">INDEX(GMW!$A$2:$NF$150,MATCH(1,(GMW!$NE$2:$NE$150=P$3)*(GMW!$ND$2:$ND$150=P$4)*(GMW!$NF$2:$NF$150=P$1),0),$C21-1966)</f>
        <v>35361.64</v>
      </c>
      <c r="Q21" s="4" cm="1">
        <f t="array" ref="Q21">INDEX(GMW!$A$2:$NF$150,MATCH(1,(GMW!$NE$2:$NE$150=Q$3)*(GMW!$ND$2:$ND$150=Q$4)*(GMW!$NF$2:$NF$150=Q$1),0),$C21-1966)</f>
        <v>1168542</v>
      </c>
      <c r="R21" s="4" cm="1">
        <f t="array" ref="R21">INDEX(GMW!$A$2:$NF$150,MATCH(1,(GMW!$NE$2:$NE$150=R$3)*(GMW!$ND$2:$ND$150=R$4)*(GMW!$NF$2:$NF$150=R$1),0),$C21-1966)</f>
        <v>-1.935022</v>
      </c>
      <c r="S21" s="4" cm="1">
        <f t="array" ref="S21">INDEX(GMW!$A$2:$NF$150,MATCH(1,(GMW!$NE$2:$NE$150=S$3)*(GMW!$ND$2:$ND$150=S$4)*(GMW!$NF$2:$NF$150=S$1),0),$C21-1966)</f>
        <v>244367</v>
      </c>
      <c r="T21" s="4" cm="1">
        <f t="array" ref="T21">INDEX(GMW!$A$2:$NF$150,MATCH(1,(GMW!$NE$2:$NE$150=T$3)*(GMW!$ND$2:$ND$150=T$4)*(GMW!$NF$2:$NF$150=T$1),0),$C21-1966)</f>
        <v>20.594560000000001</v>
      </c>
      <c r="U21" s="4" cm="1">
        <f t="array" ref="U21">INDEX(GMW!$A$2:$NF$150,MATCH(1,(GMW!$NE$2:$NE$150=U$3)*(GMW!$ND$2:$ND$150=U$4)*(GMW!$NF$2:$NF$150=U$1),0),$C21-1966)</f>
        <v>42139</v>
      </c>
      <c r="V21" s="4" cm="1">
        <f t="array" ref="V21">INDEX(GMW!$A$2:$NF$150,MATCH(1,(GMW!$NE$2:$NE$150=V$3)*(GMW!$ND$2:$ND$150=V$4)*(GMW!$NF$2:$NF$150=V$1),0),$C21-1966)</f>
        <v>16388.57</v>
      </c>
      <c r="W21" s="4" cm="1">
        <f t="array" ref="W21">INDEX(GMW!$A$2:$NF$150,MATCH(1,(GMW!$NE$2:$NE$150=W$3)*(GMW!$ND$2:$ND$150=W$4)*(GMW!$NF$2:$NF$150=W$1),0),$C21-1966)</f>
        <v>35764</v>
      </c>
      <c r="X21" s="4" cm="1">
        <f t="array" ref="X21">INDEX(GMW!$A$2:$NF$150,MATCH(1,(GMW!$NE$2:$NE$150=X$3)*(GMW!$ND$2:$ND$150=X$4)*(GMW!$NF$2:$NF$150=X$1),0),$C21-1966)</f>
        <v>2026.2</v>
      </c>
      <c r="Y21" s="4" cm="1">
        <f t="array" ref="Y21">INDEX(GMW!$A$2:$NF$150,MATCH(1,(GMW!$NE$2:$NE$150=Y$3)*(GMW!$ND$2:$ND$150=Y$4)*(GMW!$NF$2:$NF$150=Y$1),0),$C21-1966)</f>
        <v>41983</v>
      </c>
      <c r="Z21" s="4" cm="1">
        <f t="array" ref="Z21">INDEX(GMW!$A$2:$NF$150,MATCH(1,(GMW!$NE$2:$NE$150=Z$3)*(GMW!$ND$2:$ND$150=Z$4)*(GMW!$NF$2:$NF$150=Z$1),0),$C21-1966)</f>
        <v>17314.27</v>
      </c>
      <c r="AA21" s="4" cm="1">
        <f t="array" ref="AA21">INDEX(GMW!$A$2:$NF$150,MATCH(1,(GMW!$NE$2:$NE$150=AA$3)*(GMW!$ND$2:$ND$150=AA$4)*(GMW!$NF$2:$NF$150=AA$1),0),$C21-1966)</f>
        <v>255283</v>
      </c>
      <c r="AB21" s="4" cm="1">
        <f t="array" ref="AB21">INDEX(GMW!$A$2:$NF$150,MATCH(1,(GMW!$NE$2:$NE$150=AB$3)*(GMW!$ND$2:$ND$150=AB$4)*(GMW!$NF$2:$NF$150=AB$1),0),$C21-1966)</f>
        <v>24835.7</v>
      </c>
      <c r="AC21" s="4" cm="1">
        <f t="array" ref="AC21">INDEX(GMW!$A$2:$NF$150,MATCH(1,(GMW!$NE$2:$NE$150=AC$3)*(GMW!$ND$2:$ND$150=AC$4)*(GMW!$NF$2:$NF$150=AC$1),0),$C21-1966)</f>
        <v>1E-3</v>
      </c>
      <c r="AD21" s="4" cm="1">
        <f t="array" ref="AD21">INDEX(GMW!$A$2:$NF$150,MATCH(1,(GMW!$NE$2:$NE$150=AD$3)*(GMW!$ND$2:$ND$150=AD$4)*(GMW!$NF$2:$NF$150=AD$1),0),$C21-1966)</f>
        <v>294143.09999999998</v>
      </c>
      <c r="AE21" s="4" cm="1">
        <f t="array" ref="AE21">INDEX(GMW!$A$2:$NF$150,MATCH(1,(GMW!$NE$2:$NE$150=AE$3)*(GMW!$ND$2:$ND$150=AE$4)*(GMW!$NF$2:$NF$150=AE$1),0),$C21-1966)</f>
        <v>35361.64</v>
      </c>
      <c r="AF21" s="4" cm="1">
        <f t="array" ref="AF21">INDEX(GMW!$A$2:$NF$150,MATCH(1,(GMW!$NE$2:$NE$150=AF$3)*(GMW!$ND$2:$ND$150=AF$4)*(GMW!$NF$2:$NF$150=AF$1),0),$C21-1966)</f>
        <v>1168542</v>
      </c>
      <c r="AG21" s="4" cm="1">
        <f t="array" ref="AG21">INDEX(GMW!$A$2:$NF$150,MATCH(1,(GMW!$NE$2:$NE$150=AG$3)*(GMW!$ND$2:$ND$150=AG$4)*(GMW!$NF$2:$NF$150=AG$1),0),$C21-1966)</f>
        <v>-1.935022</v>
      </c>
      <c r="AH21" s="4" cm="1">
        <f t="array" ref="AH21">INDEX(GMW!$A$2:$NF$150,MATCH(1,(GMW!$NE$2:$NE$150=AH$3)*(GMW!$ND$2:$ND$150=AH$4)*(GMW!$NF$2:$NF$150=AH$1),0),$C21-1966)</f>
        <v>244367</v>
      </c>
      <c r="AI21" s="4" cm="1">
        <f t="array" ref="AI21">INDEX(GMW!$A$2:$NF$150,MATCH(1,(GMW!$NE$2:$NE$150=AI$3)*(GMW!$ND$2:$ND$150=AI$4)*(GMW!$NF$2:$NF$150=AI$1),0),$C21-1966)</f>
        <v>20.594560000000001</v>
      </c>
      <c r="AJ21" s="4" cm="1">
        <f t="array" ref="AJ21">INDEX(GMW!$A$2:$NF$150,MATCH(1,(GMW!$NE$2:$NE$150=AJ$3)*(GMW!$ND$2:$ND$150=AJ$4)*(GMW!$NF$2:$NF$150=AJ$1),0),$C21-1966)</f>
        <v>42139</v>
      </c>
      <c r="AK21" s="4" cm="1">
        <f t="array" ref="AK21">INDEX(GMW!$A$2:$NF$150,MATCH(1,(GMW!$NE$2:$NE$150=AK$3)*(GMW!$ND$2:$ND$150=AK$4)*(GMW!$NF$2:$NF$150=AK$1),0),$C21-1966)</f>
        <v>16388.57</v>
      </c>
      <c r="AL21" s="4" cm="1">
        <f t="array" ref="AL21">INDEX(GMW!$A$2:$NF$150,MATCH(1,(GMW!$NE$2:$NE$150=AL$3)*(GMW!$ND$2:$ND$150=AL$4)*(GMW!$NF$2:$NF$150=AL$1),0),$C21-1966)</f>
        <v>35764</v>
      </c>
      <c r="AM21" s="4" cm="1">
        <f t="array" ref="AM21">INDEX(GMW!$A$2:$NF$150,MATCH(1,(GMW!$NE$2:$NE$150=AM$3)*(GMW!$ND$2:$ND$150=AM$4)*(GMW!$NF$2:$NF$150=AM$1),0),$C21-1966)</f>
        <v>2026.2</v>
      </c>
      <c r="AN21" s="4" cm="1">
        <f t="array" ref="AN21">INDEX(GMW!$A$2:$NF$150,MATCH(1,(GMW!$NE$2:$NE$150=AN$3)*(GMW!$ND$2:$ND$150=AN$4)*(GMW!$NF$2:$NF$150=AN$1),0),$C21-1966)</f>
        <v>41983</v>
      </c>
      <c r="AO21" s="4" cm="1">
        <f t="array" ref="AO21">INDEX(GMW!$A$2:$NF$150,MATCH(1,(GMW!$NE$2:$NE$150=AO$3)*(GMW!$ND$2:$ND$150=AO$4)*(GMW!$NF$2:$NF$150=AO$1),0),$C21-1966)</f>
        <v>17314.27</v>
      </c>
      <c r="AP21" s="4" cm="1">
        <f t="array" ref="AP21">INDEX(GMW!$A$2:$NF$150,MATCH(1,(GMW!$NE$2:$NE$150=AP$3)*(GMW!$ND$2:$ND$150=AP$4)*(GMW!$NF$2:$NF$150=AP$1),0),$C21-1966)</f>
        <v>255283</v>
      </c>
      <c r="AQ21" s="4" cm="1">
        <f t="array" ref="AQ21">INDEX(GMW!$A$2:$NF$150,MATCH(1,(GMW!$NE$2:$NE$150=AQ$3)*(GMW!$ND$2:$ND$150=AQ$4)*(GMW!$NF$2:$NF$150=AQ$1),0),$C21-1966)</f>
        <v>24835.7</v>
      </c>
      <c r="AR21" s="4" cm="1">
        <f t="array" ref="AR21">INDEX(GMW!$A$2:$NF$150,MATCH(1,(GMW!$NE$2:$NE$150=AR$3)*(GMW!$ND$2:$ND$150=AR$4)*(GMW!$NF$2:$NF$150=AR$1),0),$C21-1966)</f>
        <v>1E-3</v>
      </c>
      <c r="AS21" s="4" cm="1">
        <f t="array" ref="AS21">INDEX(GMW!$A$2:$NF$150,MATCH(1,(GMW!$NE$2:$NE$150=AS$3)*(GMW!$ND$2:$ND$150=AS$4)*(GMW!$NF$2:$NF$150=AS$1),0),$C21-1966)</f>
        <v>294143.09999999998</v>
      </c>
      <c r="AT21" s="4" cm="1">
        <f t="array" ref="AT21">INDEX(GMW!$A$2:$NF$150,MATCH(1,(GMW!$NE$2:$NE$150=AT$3)*(GMW!$ND$2:$ND$150=AT$4)*(GMW!$NF$2:$NF$150=AT$1),0),$C21-1966)</f>
        <v>35361.64</v>
      </c>
      <c r="AU21" s="4" cm="1">
        <f t="array" ref="AU21">INDEX(GMW!$A$2:$NF$150,MATCH(1,(GMW!$NE$2:$NE$150=AU$3)*(GMW!$ND$2:$ND$150=AU$4)*(GMW!$NF$2:$NF$150=AU$1),0),$C21-1966)</f>
        <v>1168542</v>
      </c>
      <c r="AV21" s="4" cm="1">
        <f t="array" ref="AV21">INDEX(GMW!$A$2:$NF$150,MATCH(1,(GMW!$NE$2:$NE$150=AV$3)*(GMW!$ND$2:$ND$150=AV$4)*(GMW!$NF$2:$NF$150=AV$1),0),$C21-1966)</f>
        <v>-1.935022</v>
      </c>
    </row>
    <row r="22" spans="1:48" x14ac:dyDescent="0.25">
      <c r="B22" s="4">
        <f t="shared" si="4"/>
        <v>1976</v>
      </c>
      <c r="C22" s="4">
        <f t="shared" si="3"/>
        <v>1988</v>
      </c>
      <c r="D22" s="4" cm="1">
        <f t="array" ref="D22">INDEX(GMW!$A$2:$NF$150,MATCH(1,(GMW!$NE$2:$NE$150=D$3)*(GMW!$ND$2:$ND$150=D$4)*(GMW!$NF$2:$NF$150=D$1),0),$C22-1966)</f>
        <v>249511</v>
      </c>
      <c r="E22" s="4" cm="1">
        <f t="array" ref="E22">INDEX(GMW!$A$2:$NF$150,MATCH(1,(GMW!$NE$2:$NE$150=E$3)*(GMW!$ND$2:$ND$150=E$4)*(GMW!$NF$2:$NF$150=E$1),0),$C22-1966)</f>
        <v>21.506979999999999</v>
      </c>
      <c r="F22" s="4" cm="1">
        <f t="array" ref="F22">INDEX(GMW!$A$2:$NF$150,MATCH(1,(GMW!$NE$2:$NE$150=F$3)*(GMW!$ND$2:$ND$150=F$4)*(GMW!$NF$2:$NF$150=F$1),0),$C22-1966)</f>
        <v>43631</v>
      </c>
      <c r="G22" s="4" cm="1">
        <f t="array" ref="G22">INDEX(GMW!$A$2:$NF$150,MATCH(1,(GMW!$NE$2:$NE$150=G$3)*(GMW!$ND$2:$ND$150=G$4)*(GMW!$NF$2:$NF$150=G$1),0),$C22-1966)</f>
        <v>16747.04</v>
      </c>
      <c r="H22" s="4" cm="1">
        <f t="array" ref="H22">INDEX(GMW!$A$2:$NF$150,MATCH(1,(GMW!$NE$2:$NE$150=H$3)*(GMW!$ND$2:$ND$150=H$4)*(GMW!$NF$2:$NF$150=H$1),0),$C22-1966)</f>
        <v>35806</v>
      </c>
      <c r="I22" s="4" cm="1">
        <f t="array" ref="I22">INDEX(GMW!$A$2:$NF$150,MATCH(1,(GMW!$NE$2:$NE$150=I$3)*(GMW!$ND$2:$ND$150=I$4)*(GMW!$NF$2:$NF$150=I$1),0),$C22-1966)</f>
        <v>2946.05</v>
      </c>
      <c r="J22" s="4" cm="1">
        <f t="array" ref="J22">INDEX(GMW!$A$2:$NF$150,MATCH(1,(GMW!$NE$2:$NE$150=J$3)*(GMW!$ND$2:$ND$150=J$4)*(GMW!$NF$2:$NF$150=J$1),0),$C22-1966)</f>
        <v>42271</v>
      </c>
      <c r="K22" s="4" cm="1">
        <f t="array" ref="K22">INDEX(GMW!$A$2:$NF$150,MATCH(1,(GMW!$NE$2:$NE$150=K$3)*(GMW!$ND$2:$ND$150=K$4)*(GMW!$NF$2:$NF$150=K$1),0),$C22-1966)</f>
        <v>17288.53</v>
      </c>
      <c r="L22" s="4" cm="1">
        <f t="array" ref="L22">INDEX(GMW!$A$2:$NF$150,MATCH(1,(GMW!$NE$2:$NE$150=L$3)*(GMW!$ND$2:$ND$150=L$4)*(GMW!$NF$2:$NF$150=L$1),0),$C22-1966)</f>
        <v>255551.9</v>
      </c>
      <c r="M22" s="4" cm="1">
        <f t="array" ref="M22">INDEX(GMW!$A$2:$NF$150,MATCH(1,(GMW!$NE$2:$NE$150=M$3)*(GMW!$ND$2:$ND$150=M$4)*(GMW!$NF$2:$NF$150=M$1),0),$C22-1966)</f>
        <v>24830.34</v>
      </c>
      <c r="N22" s="4" cm="1">
        <f t="array" ref="N22">INDEX(GMW!$A$2:$NF$150,MATCH(1,(GMW!$NE$2:$NE$150=N$3)*(GMW!$ND$2:$ND$150=N$4)*(GMW!$NF$2:$NF$150=N$1),0),$C22-1966)</f>
        <v>1E-3</v>
      </c>
      <c r="O22" s="4" cm="1">
        <f t="array" ref="O22">INDEX(GMW!$A$2:$NF$150,MATCH(1,(GMW!$NE$2:$NE$150=O$3)*(GMW!$ND$2:$ND$150=O$4)*(GMW!$NF$2:$NF$150=O$1),0),$C22-1966)</f>
        <v>294628.40000000002</v>
      </c>
      <c r="P22" s="4" cm="1">
        <f t="array" ref="P22">INDEX(GMW!$A$2:$NF$150,MATCH(1,(GMW!$NE$2:$NE$150=P$3)*(GMW!$ND$2:$ND$150=P$4)*(GMW!$NF$2:$NF$150=P$1),0),$C22-1966)</f>
        <v>35401.440000000002</v>
      </c>
      <c r="Q22" s="4" cm="1">
        <f t="array" ref="Q22">INDEX(GMW!$A$2:$NF$150,MATCH(1,(GMW!$NE$2:$NE$150=Q$3)*(GMW!$ND$2:$ND$150=Q$4)*(GMW!$NF$2:$NF$150=Q$1),0),$C22-1966)</f>
        <v>1175287</v>
      </c>
      <c r="R22" s="4" cm="1">
        <f t="array" ref="R22">INDEX(GMW!$A$2:$NF$150,MATCH(1,(GMW!$NE$2:$NE$150=R$3)*(GMW!$ND$2:$ND$150=R$4)*(GMW!$NF$2:$NF$150=R$1),0),$C22-1966)</f>
        <v>-1.9360120000000001</v>
      </c>
      <c r="S22" s="4" cm="1">
        <f t="array" ref="S22">INDEX(GMW!$A$2:$NF$150,MATCH(1,(GMW!$NE$2:$NE$150=S$3)*(GMW!$ND$2:$ND$150=S$4)*(GMW!$NF$2:$NF$150=S$1),0),$C22-1966)</f>
        <v>249511</v>
      </c>
      <c r="T22" s="4" cm="1">
        <f t="array" ref="T22">INDEX(GMW!$A$2:$NF$150,MATCH(1,(GMW!$NE$2:$NE$150=T$3)*(GMW!$ND$2:$ND$150=T$4)*(GMW!$NF$2:$NF$150=T$1),0),$C22-1966)</f>
        <v>21.506979999999999</v>
      </c>
      <c r="U22" s="4" cm="1">
        <f t="array" ref="U22">INDEX(GMW!$A$2:$NF$150,MATCH(1,(GMW!$NE$2:$NE$150=U$3)*(GMW!$ND$2:$ND$150=U$4)*(GMW!$NF$2:$NF$150=U$1),0),$C22-1966)</f>
        <v>43631</v>
      </c>
      <c r="V22" s="4" cm="1">
        <f t="array" ref="V22">INDEX(GMW!$A$2:$NF$150,MATCH(1,(GMW!$NE$2:$NE$150=V$3)*(GMW!$ND$2:$ND$150=V$4)*(GMW!$NF$2:$NF$150=V$1),0),$C22-1966)</f>
        <v>16747.04</v>
      </c>
      <c r="W22" s="4" cm="1">
        <f t="array" ref="W22">INDEX(GMW!$A$2:$NF$150,MATCH(1,(GMW!$NE$2:$NE$150=W$3)*(GMW!$ND$2:$ND$150=W$4)*(GMW!$NF$2:$NF$150=W$1),0),$C22-1966)</f>
        <v>35806</v>
      </c>
      <c r="X22" s="4" cm="1">
        <f t="array" ref="X22">INDEX(GMW!$A$2:$NF$150,MATCH(1,(GMW!$NE$2:$NE$150=X$3)*(GMW!$ND$2:$ND$150=X$4)*(GMW!$NF$2:$NF$150=X$1),0),$C22-1966)</f>
        <v>2946.05</v>
      </c>
      <c r="Y22" s="4" cm="1">
        <f t="array" ref="Y22">INDEX(GMW!$A$2:$NF$150,MATCH(1,(GMW!$NE$2:$NE$150=Y$3)*(GMW!$ND$2:$ND$150=Y$4)*(GMW!$NF$2:$NF$150=Y$1),0),$C22-1966)</f>
        <v>42271</v>
      </c>
      <c r="Z22" s="4" cm="1">
        <f t="array" ref="Z22">INDEX(GMW!$A$2:$NF$150,MATCH(1,(GMW!$NE$2:$NE$150=Z$3)*(GMW!$ND$2:$ND$150=Z$4)*(GMW!$NF$2:$NF$150=Z$1),0),$C22-1966)</f>
        <v>17288.53</v>
      </c>
      <c r="AA22" s="4" cm="1">
        <f t="array" ref="AA22">INDEX(GMW!$A$2:$NF$150,MATCH(1,(GMW!$NE$2:$NE$150=AA$3)*(GMW!$ND$2:$ND$150=AA$4)*(GMW!$NF$2:$NF$150=AA$1),0),$C22-1966)</f>
        <v>255551.9</v>
      </c>
      <c r="AB22" s="4" cm="1">
        <f t="array" ref="AB22">INDEX(GMW!$A$2:$NF$150,MATCH(1,(GMW!$NE$2:$NE$150=AB$3)*(GMW!$ND$2:$ND$150=AB$4)*(GMW!$NF$2:$NF$150=AB$1),0),$C22-1966)</f>
        <v>24830.34</v>
      </c>
      <c r="AC22" s="4" cm="1">
        <f t="array" ref="AC22">INDEX(GMW!$A$2:$NF$150,MATCH(1,(GMW!$NE$2:$NE$150=AC$3)*(GMW!$ND$2:$ND$150=AC$4)*(GMW!$NF$2:$NF$150=AC$1),0),$C22-1966)</f>
        <v>1E-3</v>
      </c>
      <c r="AD22" s="4" cm="1">
        <f t="array" ref="AD22">INDEX(GMW!$A$2:$NF$150,MATCH(1,(GMW!$NE$2:$NE$150=AD$3)*(GMW!$ND$2:$ND$150=AD$4)*(GMW!$NF$2:$NF$150=AD$1),0),$C22-1966)</f>
        <v>294628.40000000002</v>
      </c>
      <c r="AE22" s="4" cm="1">
        <f t="array" ref="AE22">INDEX(GMW!$A$2:$NF$150,MATCH(1,(GMW!$NE$2:$NE$150=AE$3)*(GMW!$ND$2:$ND$150=AE$4)*(GMW!$NF$2:$NF$150=AE$1),0),$C22-1966)</f>
        <v>35401.440000000002</v>
      </c>
      <c r="AF22" s="4" cm="1">
        <f t="array" ref="AF22">INDEX(GMW!$A$2:$NF$150,MATCH(1,(GMW!$NE$2:$NE$150=AF$3)*(GMW!$ND$2:$ND$150=AF$4)*(GMW!$NF$2:$NF$150=AF$1),0),$C22-1966)</f>
        <v>1175287</v>
      </c>
      <c r="AG22" s="4" cm="1">
        <f t="array" ref="AG22">INDEX(GMW!$A$2:$NF$150,MATCH(1,(GMW!$NE$2:$NE$150=AG$3)*(GMW!$ND$2:$ND$150=AG$4)*(GMW!$NF$2:$NF$150=AG$1),0),$C22-1966)</f>
        <v>-1.9360120000000001</v>
      </c>
      <c r="AH22" s="4" cm="1">
        <f t="array" ref="AH22">INDEX(GMW!$A$2:$NF$150,MATCH(1,(GMW!$NE$2:$NE$150=AH$3)*(GMW!$ND$2:$ND$150=AH$4)*(GMW!$NF$2:$NF$150=AH$1),0),$C22-1966)</f>
        <v>249511</v>
      </c>
      <c r="AI22" s="4" cm="1">
        <f t="array" ref="AI22">INDEX(GMW!$A$2:$NF$150,MATCH(1,(GMW!$NE$2:$NE$150=AI$3)*(GMW!$ND$2:$ND$150=AI$4)*(GMW!$NF$2:$NF$150=AI$1),0),$C22-1966)</f>
        <v>21.506979999999999</v>
      </c>
      <c r="AJ22" s="4" cm="1">
        <f t="array" ref="AJ22">INDEX(GMW!$A$2:$NF$150,MATCH(1,(GMW!$NE$2:$NE$150=AJ$3)*(GMW!$ND$2:$ND$150=AJ$4)*(GMW!$NF$2:$NF$150=AJ$1),0),$C22-1966)</f>
        <v>43631</v>
      </c>
      <c r="AK22" s="4" cm="1">
        <f t="array" ref="AK22">INDEX(GMW!$A$2:$NF$150,MATCH(1,(GMW!$NE$2:$NE$150=AK$3)*(GMW!$ND$2:$ND$150=AK$4)*(GMW!$NF$2:$NF$150=AK$1),0),$C22-1966)</f>
        <v>16747.04</v>
      </c>
      <c r="AL22" s="4" cm="1">
        <f t="array" ref="AL22">INDEX(GMW!$A$2:$NF$150,MATCH(1,(GMW!$NE$2:$NE$150=AL$3)*(GMW!$ND$2:$ND$150=AL$4)*(GMW!$NF$2:$NF$150=AL$1),0),$C22-1966)</f>
        <v>35806</v>
      </c>
      <c r="AM22" s="4" cm="1">
        <f t="array" ref="AM22">INDEX(GMW!$A$2:$NF$150,MATCH(1,(GMW!$NE$2:$NE$150=AM$3)*(GMW!$ND$2:$ND$150=AM$4)*(GMW!$NF$2:$NF$150=AM$1),0),$C22-1966)</f>
        <v>2946.05</v>
      </c>
      <c r="AN22" s="4" cm="1">
        <f t="array" ref="AN22">INDEX(GMW!$A$2:$NF$150,MATCH(1,(GMW!$NE$2:$NE$150=AN$3)*(GMW!$ND$2:$ND$150=AN$4)*(GMW!$NF$2:$NF$150=AN$1),0),$C22-1966)</f>
        <v>42271</v>
      </c>
      <c r="AO22" s="4" cm="1">
        <f t="array" ref="AO22">INDEX(GMW!$A$2:$NF$150,MATCH(1,(GMW!$NE$2:$NE$150=AO$3)*(GMW!$ND$2:$ND$150=AO$4)*(GMW!$NF$2:$NF$150=AO$1),0),$C22-1966)</f>
        <v>17288.53</v>
      </c>
      <c r="AP22" s="4" cm="1">
        <f t="array" ref="AP22">INDEX(GMW!$A$2:$NF$150,MATCH(1,(GMW!$NE$2:$NE$150=AP$3)*(GMW!$ND$2:$ND$150=AP$4)*(GMW!$NF$2:$NF$150=AP$1),0),$C22-1966)</f>
        <v>255551.9</v>
      </c>
      <c r="AQ22" s="4" cm="1">
        <f t="array" ref="AQ22">INDEX(GMW!$A$2:$NF$150,MATCH(1,(GMW!$NE$2:$NE$150=AQ$3)*(GMW!$ND$2:$ND$150=AQ$4)*(GMW!$NF$2:$NF$150=AQ$1),0),$C22-1966)</f>
        <v>24830.34</v>
      </c>
      <c r="AR22" s="4" cm="1">
        <f t="array" ref="AR22">INDEX(GMW!$A$2:$NF$150,MATCH(1,(GMW!$NE$2:$NE$150=AR$3)*(GMW!$ND$2:$ND$150=AR$4)*(GMW!$NF$2:$NF$150=AR$1),0),$C22-1966)</f>
        <v>1E-3</v>
      </c>
      <c r="AS22" s="4" cm="1">
        <f t="array" ref="AS22">INDEX(GMW!$A$2:$NF$150,MATCH(1,(GMW!$NE$2:$NE$150=AS$3)*(GMW!$ND$2:$ND$150=AS$4)*(GMW!$NF$2:$NF$150=AS$1),0),$C22-1966)</f>
        <v>294628.40000000002</v>
      </c>
      <c r="AT22" s="4" cm="1">
        <f t="array" ref="AT22">INDEX(GMW!$A$2:$NF$150,MATCH(1,(GMW!$NE$2:$NE$150=AT$3)*(GMW!$ND$2:$ND$150=AT$4)*(GMW!$NF$2:$NF$150=AT$1),0),$C22-1966)</f>
        <v>35401.440000000002</v>
      </c>
      <c r="AU22" s="4" cm="1">
        <f t="array" ref="AU22">INDEX(GMW!$A$2:$NF$150,MATCH(1,(GMW!$NE$2:$NE$150=AU$3)*(GMW!$ND$2:$ND$150=AU$4)*(GMW!$NF$2:$NF$150=AU$1),0),$C22-1966)</f>
        <v>1175287</v>
      </c>
      <c r="AV22" s="4" cm="1">
        <f t="array" ref="AV22">INDEX(GMW!$A$2:$NF$150,MATCH(1,(GMW!$NE$2:$NE$150=AV$3)*(GMW!$ND$2:$ND$150=AV$4)*(GMW!$NF$2:$NF$150=AV$1),0),$C22-1966)</f>
        <v>-1.9360120000000001</v>
      </c>
    </row>
    <row r="23" spans="1:48" x14ac:dyDescent="0.25">
      <c r="A23" s="4">
        <v>1977</v>
      </c>
      <c r="B23" s="4">
        <f t="shared" si="4"/>
        <v>1977</v>
      </c>
      <c r="C23" s="4">
        <f t="shared" si="3"/>
        <v>1989</v>
      </c>
      <c r="D23" s="4" cm="1">
        <f t="array" ref="D23">INDEX(GMW!$A$2:$NF$150,MATCH(1,(GMW!$NE$2:$NE$150=D$3)*(GMW!$ND$2:$ND$150=D$4)*(GMW!$NF$2:$NF$150=D$1),0),$C23-1966)</f>
        <v>249671</v>
      </c>
      <c r="E23" s="4" cm="1">
        <f t="array" ref="E23">INDEX(GMW!$A$2:$NF$150,MATCH(1,(GMW!$NE$2:$NE$150=E$3)*(GMW!$ND$2:$ND$150=E$4)*(GMW!$NF$2:$NF$150=E$1),0),$C23-1966)</f>
        <v>22.471530000000001</v>
      </c>
      <c r="F23" s="4" cm="1">
        <f t="array" ref="F23">INDEX(GMW!$A$2:$NF$150,MATCH(1,(GMW!$NE$2:$NE$150=F$3)*(GMW!$ND$2:$ND$150=F$4)*(GMW!$NF$2:$NF$150=F$1),0),$C23-1966)</f>
        <v>43666</v>
      </c>
      <c r="G23" s="4" cm="1">
        <f t="array" ref="G23">INDEX(GMW!$A$2:$NF$150,MATCH(1,(GMW!$NE$2:$NE$150=G$3)*(GMW!$ND$2:$ND$150=G$4)*(GMW!$NF$2:$NF$150=G$1),0),$C23-1966)</f>
        <v>17034.98</v>
      </c>
      <c r="H23" s="4" cm="1">
        <f t="array" ref="H23">INDEX(GMW!$A$2:$NF$150,MATCH(1,(GMW!$NE$2:$NE$150=H$3)*(GMW!$ND$2:$ND$150=H$4)*(GMW!$NF$2:$NF$150=H$1),0),$C23-1966)</f>
        <v>35437</v>
      </c>
      <c r="I23" s="4" cm="1">
        <f t="array" ref="I23">INDEX(GMW!$A$2:$NF$150,MATCH(1,(GMW!$NE$2:$NE$150=I$3)*(GMW!$ND$2:$ND$150=I$4)*(GMW!$NF$2:$NF$150=I$1),0),$C23-1966)</f>
        <v>5013.7749999999996</v>
      </c>
      <c r="J23" s="4" cm="1">
        <f t="array" ref="J23">INDEX(GMW!$A$2:$NF$150,MATCH(1,(GMW!$NE$2:$NE$150=J$3)*(GMW!$ND$2:$ND$150=J$4)*(GMW!$NF$2:$NF$150=J$1),0),$C23-1966)</f>
        <v>41191</v>
      </c>
      <c r="K23" s="4" cm="1">
        <f t="array" ref="K23">INDEX(GMW!$A$2:$NF$150,MATCH(1,(GMW!$NE$2:$NE$150=K$3)*(GMW!$ND$2:$ND$150=K$4)*(GMW!$NF$2:$NF$150=K$1),0),$C23-1966)</f>
        <v>16509.78</v>
      </c>
      <c r="L23" s="4" cm="1">
        <f t="array" ref="L23">INDEX(GMW!$A$2:$NF$150,MATCH(1,(GMW!$NE$2:$NE$150=L$3)*(GMW!$ND$2:$ND$150=L$4)*(GMW!$NF$2:$NF$150=L$1),0),$C23-1966)</f>
        <v>255798.9</v>
      </c>
      <c r="M23" s="4" cm="1">
        <f t="array" ref="M23">INDEX(GMW!$A$2:$NF$150,MATCH(1,(GMW!$NE$2:$NE$150=M$3)*(GMW!$ND$2:$ND$150=M$4)*(GMW!$NF$2:$NF$150=M$1),0),$C23-1966)</f>
        <v>24822.09</v>
      </c>
      <c r="N23" s="4" cm="1">
        <f t="array" ref="N23">INDEX(GMW!$A$2:$NF$150,MATCH(1,(GMW!$NE$2:$NE$150=N$3)*(GMW!$ND$2:$ND$150=N$4)*(GMW!$NF$2:$NF$150=N$1),0),$C23-1966)</f>
        <v>1E-3</v>
      </c>
      <c r="O23" s="4" cm="1">
        <f t="array" ref="O23">INDEX(GMW!$A$2:$NF$150,MATCH(1,(GMW!$NE$2:$NE$150=O$3)*(GMW!$ND$2:$ND$150=O$4)*(GMW!$NF$2:$NF$150=O$1),0),$C23-1966)</f>
        <v>295115.2</v>
      </c>
      <c r="P23" s="4" cm="1">
        <f t="array" ref="P23">INDEX(GMW!$A$2:$NF$150,MATCH(1,(GMW!$NE$2:$NE$150=P$3)*(GMW!$ND$2:$ND$150=P$4)*(GMW!$NF$2:$NF$150=P$1),0),$C23-1966)</f>
        <v>35441.24</v>
      </c>
      <c r="Q23" s="4" cm="1">
        <f t="array" ref="Q23">INDEX(GMW!$A$2:$NF$150,MATCH(1,(GMW!$NE$2:$NE$150=Q$3)*(GMW!$ND$2:$ND$150=Q$4)*(GMW!$NF$2:$NF$150=Q$1),0),$C23-1966)</f>
        <v>1181448</v>
      </c>
      <c r="R23" s="4" cm="1">
        <f t="array" ref="R23">INDEX(GMW!$A$2:$NF$150,MATCH(1,(GMW!$NE$2:$NE$150=R$3)*(GMW!$ND$2:$ND$150=R$4)*(GMW!$NF$2:$NF$150=R$1),0),$C23-1966)</f>
        <v>-1.9370019999999999</v>
      </c>
      <c r="S23" s="4" cm="1">
        <f t="array" ref="S23">INDEX(GMW!$A$2:$NF$150,MATCH(1,(GMW!$NE$2:$NE$150=S$3)*(GMW!$ND$2:$ND$150=S$4)*(GMW!$NF$2:$NF$150=S$1),0),$C23-1966)</f>
        <v>249671</v>
      </c>
      <c r="T23" s="4" cm="1">
        <f t="array" ref="T23">INDEX(GMW!$A$2:$NF$150,MATCH(1,(GMW!$NE$2:$NE$150=T$3)*(GMW!$ND$2:$ND$150=T$4)*(GMW!$NF$2:$NF$150=T$1),0),$C23-1966)</f>
        <v>22.471530000000001</v>
      </c>
      <c r="U23" s="4" cm="1">
        <f t="array" ref="U23">INDEX(GMW!$A$2:$NF$150,MATCH(1,(GMW!$NE$2:$NE$150=U$3)*(GMW!$ND$2:$ND$150=U$4)*(GMW!$NF$2:$NF$150=U$1),0),$C23-1966)</f>
        <v>43666</v>
      </c>
      <c r="V23" s="4" cm="1">
        <f t="array" ref="V23">INDEX(GMW!$A$2:$NF$150,MATCH(1,(GMW!$NE$2:$NE$150=V$3)*(GMW!$ND$2:$ND$150=V$4)*(GMW!$NF$2:$NF$150=V$1),0),$C23-1966)</f>
        <v>17034.98</v>
      </c>
      <c r="W23" s="4" cm="1">
        <f t="array" ref="W23">INDEX(GMW!$A$2:$NF$150,MATCH(1,(GMW!$NE$2:$NE$150=W$3)*(GMW!$ND$2:$ND$150=W$4)*(GMW!$NF$2:$NF$150=W$1),0),$C23-1966)</f>
        <v>35437</v>
      </c>
      <c r="X23" s="4" cm="1">
        <f t="array" ref="X23">INDEX(GMW!$A$2:$NF$150,MATCH(1,(GMW!$NE$2:$NE$150=X$3)*(GMW!$ND$2:$ND$150=X$4)*(GMW!$NF$2:$NF$150=X$1),0),$C23-1966)</f>
        <v>5013.7749999999996</v>
      </c>
      <c r="Y23" s="4" cm="1">
        <f t="array" ref="Y23">INDEX(GMW!$A$2:$NF$150,MATCH(1,(GMW!$NE$2:$NE$150=Y$3)*(GMW!$ND$2:$ND$150=Y$4)*(GMW!$NF$2:$NF$150=Y$1),0),$C23-1966)</f>
        <v>41191</v>
      </c>
      <c r="Z23" s="4" cm="1">
        <f t="array" ref="Z23">INDEX(GMW!$A$2:$NF$150,MATCH(1,(GMW!$NE$2:$NE$150=Z$3)*(GMW!$ND$2:$ND$150=Z$4)*(GMW!$NF$2:$NF$150=Z$1),0),$C23-1966)</f>
        <v>16509.78</v>
      </c>
      <c r="AA23" s="4" cm="1">
        <f t="array" ref="AA23">INDEX(GMW!$A$2:$NF$150,MATCH(1,(GMW!$NE$2:$NE$150=AA$3)*(GMW!$ND$2:$ND$150=AA$4)*(GMW!$NF$2:$NF$150=AA$1),0),$C23-1966)</f>
        <v>255798.9</v>
      </c>
      <c r="AB23" s="4" cm="1">
        <f t="array" ref="AB23">INDEX(GMW!$A$2:$NF$150,MATCH(1,(GMW!$NE$2:$NE$150=AB$3)*(GMW!$ND$2:$ND$150=AB$4)*(GMW!$NF$2:$NF$150=AB$1),0),$C23-1966)</f>
        <v>24822.09</v>
      </c>
      <c r="AC23" s="4" cm="1">
        <f t="array" ref="AC23">INDEX(GMW!$A$2:$NF$150,MATCH(1,(GMW!$NE$2:$NE$150=AC$3)*(GMW!$ND$2:$ND$150=AC$4)*(GMW!$NF$2:$NF$150=AC$1),0),$C23-1966)</f>
        <v>1E-3</v>
      </c>
      <c r="AD23" s="4" cm="1">
        <f t="array" ref="AD23">INDEX(GMW!$A$2:$NF$150,MATCH(1,(GMW!$NE$2:$NE$150=AD$3)*(GMW!$ND$2:$ND$150=AD$4)*(GMW!$NF$2:$NF$150=AD$1),0),$C23-1966)</f>
        <v>295115.2</v>
      </c>
      <c r="AE23" s="4" cm="1">
        <f t="array" ref="AE23">INDEX(GMW!$A$2:$NF$150,MATCH(1,(GMW!$NE$2:$NE$150=AE$3)*(GMW!$ND$2:$ND$150=AE$4)*(GMW!$NF$2:$NF$150=AE$1),0),$C23-1966)</f>
        <v>35441.24</v>
      </c>
      <c r="AF23" s="4" cm="1">
        <f t="array" ref="AF23">INDEX(GMW!$A$2:$NF$150,MATCH(1,(GMW!$NE$2:$NE$150=AF$3)*(GMW!$ND$2:$ND$150=AF$4)*(GMW!$NF$2:$NF$150=AF$1),0),$C23-1966)</f>
        <v>1181448</v>
      </c>
      <c r="AG23" s="4" cm="1">
        <f t="array" ref="AG23">INDEX(GMW!$A$2:$NF$150,MATCH(1,(GMW!$NE$2:$NE$150=AG$3)*(GMW!$ND$2:$ND$150=AG$4)*(GMW!$NF$2:$NF$150=AG$1),0),$C23-1966)</f>
        <v>-1.9370019999999999</v>
      </c>
      <c r="AH23" s="4" cm="1">
        <f t="array" ref="AH23">INDEX(GMW!$A$2:$NF$150,MATCH(1,(GMW!$NE$2:$NE$150=AH$3)*(GMW!$ND$2:$ND$150=AH$4)*(GMW!$NF$2:$NF$150=AH$1),0),$C23-1966)</f>
        <v>249671</v>
      </c>
      <c r="AI23" s="4" cm="1">
        <f t="array" ref="AI23">INDEX(GMW!$A$2:$NF$150,MATCH(1,(GMW!$NE$2:$NE$150=AI$3)*(GMW!$ND$2:$ND$150=AI$4)*(GMW!$NF$2:$NF$150=AI$1),0),$C23-1966)</f>
        <v>22.471530000000001</v>
      </c>
      <c r="AJ23" s="4" cm="1">
        <f t="array" ref="AJ23">INDEX(GMW!$A$2:$NF$150,MATCH(1,(GMW!$NE$2:$NE$150=AJ$3)*(GMW!$ND$2:$ND$150=AJ$4)*(GMW!$NF$2:$NF$150=AJ$1),0),$C23-1966)</f>
        <v>43666</v>
      </c>
      <c r="AK23" s="4" cm="1">
        <f t="array" ref="AK23">INDEX(GMW!$A$2:$NF$150,MATCH(1,(GMW!$NE$2:$NE$150=AK$3)*(GMW!$ND$2:$ND$150=AK$4)*(GMW!$NF$2:$NF$150=AK$1),0),$C23-1966)</f>
        <v>17034.98</v>
      </c>
      <c r="AL23" s="4" cm="1">
        <f t="array" ref="AL23">INDEX(GMW!$A$2:$NF$150,MATCH(1,(GMW!$NE$2:$NE$150=AL$3)*(GMW!$ND$2:$ND$150=AL$4)*(GMW!$NF$2:$NF$150=AL$1),0),$C23-1966)</f>
        <v>35437</v>
      </c>
      <c r="AM23" s="4" cm="1">
        <f t="array" ref="AM23">INDEX(GMW!$A$2:$NF$150,MATCH(1,(GMW!$NE$2:$NE$150=AM$3)*(GMW!$ND$2:$ND$150=AM$4)*(GMW!$NF$2:$NF$150=AM$1),0),$C23-1966)</f>
        <v>5013.7749999999996</v>
      </c>
      <c r="AN23" s="4" cm="1">
        <f t="array" ref="AN23">INDEX(GMW!$A$2:$NF$150,MATCH(1,(GMW!$NE$2:$NE$150=AN$3)*(GMW!$ND$2:$ND$150=AN$4)*(GMW!$NF$2:$NF$150=AN$1),0),$C23-1966)</f>
        <v>41191</v>
      </c>
      <c r="AO23" s="4" cm="1">
        <f t="array" ref="AO23">INDEX(GMW!$A$2:$NF$150,MATCH(1,(GMW!$NE$2:$NE$150=AO$3)*(GMW!$ND$2:$ND$150=AO$4)*(GMW!$NF$2:$NF$150=AO$1),0),$C23-1966)</f>
        <v>16509.78</v>
      </c>
      <c r="AP23" s="4" cm="1">
        <f t="array" ref="AP23">INDEX(GMW!$A$2:$NF$150,MATCH(1,(GMW!$NE$2:$NE$150=AP$3)*(GMW!$ND$2:$ND$150=AP$4)*(GMW!$NF$2:$NF$150=AP$1),0),$C23-1966)</f>
        <v>255798.9</v>
      </c>
      <c r="AQ23" s="4" cm="1">
        <f t="array" ref="AQ23">INDEX(GMW!$A$2:$NF$150,MATCH(1,(GMW!$NE$2:$NE$150=AQ$3)*(GMW!$ND$2:$ND$150=AQ$4)*(GMW!$NF$2:$NF$150=AQ$1),0),$C23-1966)</f>
        <v>24822.09</v>
      </c>
      <c r="AR23" s="4" cm="1">
        <f t="array" ref="AR23">INDEX(GMW!$A$2:$NF$150,MATCH(1,(GMW!$NE$2:$NE$150=AR$3)*(GMW!$ND$2:$ND$150=AR$4)*(GMW!$NF$2:$NF$150=AR$1),0),$C23-1966)</f>
        <v>1E-3</v>
      </c>
      <c r="AS23" s="4" cm="1">
        <f t="array" ref="AS23">INDEX(GMW!$A$2:$NF$150,MATCH(1,(GMW!$NE$2:$NE$150=AS$3)*(GMW!$ND$2:$ND$150=AS$4)*(GMW!$NF$2:$NF$150=AS$1),0),$C23-1966)</f>
        <v>295115.2</v>
      </c>
      <c r="AT23" s="4" cm="1">
        <f t="array" ref="AT23">INDEX(GMW!$A$2:$NF$150,MATCH(1,(GMW!$NE$2:$NE$150=AT$3)*(GMW!$ND$2:$ND$150=AT$4)*(GMW!$NF$2:$NF$150=AT$1),0),$C23-1966)</f>
        <v>35441.24</v>
      </c>
      <c r="AU23" s="4" cm="1">
        <f t="array" ref="AU23">INDEX(GMW!$A$2:$NF$150,MATCH(1,(GMW!$NE$2:$NE$150=AU$3)*(GMW!$ND$2:$ND$150=AU$4)*(GMW!$NF$2:$NF$150=AU$1),0),$C23-1966)</f>
        <v>1181448</v>
      </c>
      <c r="AV23" s="4" cm="1">
        <f t="array" ref="AV23">INDEX(GMW!$A$2:$NF$150,MATCH(1,(GMW!$NE$2:$NE$150=AV$3)*(GMW!$ND$2:$ND$150=AV$4)*(GMW!$NF$2:$NF$150=AV$1),0),$C23-1966)</f>
        <v>-1.9370019999999999</v>
      </c>
    </row>
    <row r="24" spans="1:48" x14ac:dyDescent="0.25">
      <c r="B24" s="4">
        <f t="shared" si="4"/>
        <v>1977</v>
      </c>
      <c r="C24" s="4">
        <f t="shared" si="3"/>
        <v>1990</v>
      </c>
      <c r="D24" s="4" cm="1">
        <f t="array" ref="D24">INDEX(GMW!$A$2:$NF$150,MATCH(1,(GMW!$NE$2:$NE$150=D$3)*(GMW!$ND$2:$ND$150=D$4)*(GMW!$NF$2:$NF$150=D$1),0),$C24-1966)</f>
        <v>247936</v>
      </c>
      <c r="E24" s="4" cm="1">
        <f t="array" ref="E24">INDEX(GMW!$A$2:$NF$150,MATCH(1,(GMW!$NE$2:$NE$150=E$3)*(GMW!$ND$2:$ND$150=E$4)*(GMW!$NF$2:$NF$150=E$1),0),$C24-1966)</f>
        <v>23.410019999999999</v>
      </c>
      <c r="F24" s="4" cm="1">
        <f t="array" ref="F24">INDEX(GMW!$A$2:$NF$150,MATCH(1,(GMW!$NE$2:$NE$150=F$3)*(GMW!$ND$2:$ND$150=F$4)*(GMW!$NF$2:$NF$150=F$1),0),$C24-1966)</f>
        <v>44615</v>
      </c>
      <c r="G24" s="4" cm="1">
        <f t="array" ref="G24">INDEX(GMW!$A$2:$NF$150,MATCH(1,(GMW!$NE$2:$NE$150=G$3)*(GMW!$ND$2:$ND$150=G$4)*(GMW!$NF$2:$NF$150=G$1),0),$C24-1966)</f>
        <v>17530.21</v>
      </c>
      <c r="H24" s="4" cm="1">
        <f t="array" ref="H24">INDEX(GMW!$A$2:$NF$150,MATCH(1,(GMW!$NE$2:$NE$150=H$3)*(GMW!$ND$2:$ND$150=H$4)*(GMW!$NF$2:$NF$150=H$1),0),$C24-1966)</f>
        <v>36298</v>
      </c>
      <c r="I24" s="4" cm="1">
        <f t="array" ref="I24">INDEX(GMW!$A$2:$NF$150,MATCH(1,(GMW!$NE$2:$NE$150=I$3)*(GMW!$ND$2:$ND$150=I$4)*(GMW!$NF$2:$NF$150=I$1),0),$C24-1966)</f>
        <v>5804.7749999999996</v>
      </c>
      <c r="J24" s="4" cm="1">
        <f t="array" ref="J24">INDEX(GMW!$A$2:$NF$150,MATCH(1,(GMW!$NE$2:$NE$150=J$3)*(GMW!$ND$2:$ND$150=J$4)*(GMW!$NF$2:$NF$150=J$1),0),$C24-1966)</f>
        <v>43482</v>
      </c>
      <c r="K24" s="4" cm="1">
        <f t="array" ref="K24">INDEX(GMW!$A$2:$NF$150,MATCH(1,(GMW!$NE$2:$NE$150=K$3)*(GMW!$ND$2:$ND$150=K$4)*(GMW!$NF$2:$NF$150=K$1),0),$C24-1966)</f>
        <v>17850.060000000001</v>
      </c>
      <c r="L24" s="4" cm="1">
        <f t="array" ref="L24">INDEX(GMW!$A$2:$NF$150,MATCH(1,(GMW!$NE$2:$NE$150=L$3)*(GMW!$ND$2:$ND$150=L$4)*(GMW!$NF$2:$NF$150=L$1),0),$C24-1966)</f>
        <v>255979.1</v>
      </c>
      <c r="M24" s="4" cm="1">
        <f t="array" ref="M24">INDEX(GMW!$A$2:$NF$150,MATCH(1,(GMW!$NE$2:$NE$150=M$3)*(GMW!$ND$2:$ND$150=M$4)*(GMW!$NF$2:$NF$150=M$1),0),$C24-1966)</f>
        <v>24810.03</v>
      </c>
      <c r="N24" s="4" cm="1">
        <f t="array" ref="N24">INDEX(GMW!$A$2:$NF$150,MATCH(1,(GMW!$NE$2:$NE$150=N$3)*(GMW!$ND$2:$ND$150=N$4)*(GMW!$NF$2:$NF$150=N$1),0),$C24-1966)</f>
        <v>1E-3</v>
      </c>
      <c r="O24" s="4" cm="1">
        <f t="array" ref="O24">INDEX(GMW!$A$2:$NF$150,MATCH(1,(GMW!$NE$2:$NE$150=O$3)*(GMW!$ND$2:$ND$150=O$4)*(GMW!$NF$2:$NF$150=O$1),0),$C24-1966)</f>
        <v>295625.2</v>
      </c>
      <c r="P24" s="4" cm="1">
        <f t="array" ref="P24">INDEX(GMW!$A$2:$NF$150,MATCH(1,(GMW!$NE$2:$NE$150=P$3)*(GMW!$ND$2:$ND$150=P$4)*(GMW!$NF$2:$NF$150=P$1),0),$C24-1966)</f>
        <v>35481.040000000001</v>
      </c>
      <c r="Q24" s="4" cm="1">
        <f t="array" ref="Q24">INDEX(GMW!$A$2:$NF$150,MATCH(1,(GMW!$NE$2:$NE$150=Q$3)*(GMW!$ND$2:$ND$150=Q$4)*(GMW!$NF$2:$NF$150=Q$1),0),$C24-1966)</f>
        <v>1187608</v>
      </c>
      <c r="R24" s="4" cm="1">
        <f t="array" ref="R24">INDEX(GMW!$A$2:$NF$150,MATCH(1,(GMW!$NE$2:$NE$150=R$3)*(GMW!$ND$2:$ND$150=R$4)*(GMW!$NF$2:$NF$150=R$1),0),$C24-1966)</f>
        <v>-1.9379930000000001</v>
      </c>
      <c r="S24" s="4" cm="1">
        <f t="array" ref="S24">INDEX(GMW!$A$2:$NF$150,MATCH(1,(GMW!$NE$2:$NE$150=S$3)*(GMW!$ND$2:$ND$150=S$4)*(GMW!$NF$2:$NF$150=S$1),0),$C24-1966)</f>
        <v>247936</v>
      </c>
      <c r="T24" s="4" cm="1">
        <f t="array" ref="T24">INDEX(GMW!$A$2:$NF$150,MATCH(1,(GMW!$NE$2:$NE$150=T$3)*(GMW!$ND$2:$ND$150=T$4)*(GMW!$NF$2:$NF$150=T$1),0),$C24-1966)</f>
        <v>23.410019999999999</v>
      </c>
      <c r="U24" s="4" cm="1">
        <f t="array" ref="U24">INDEX(GMW!$A$2:$NF$150,MATCH(1,(GMW!$NE$2:$NE$150=U$3)*(GMW!$ND$2:$ND$150=U$4)*(GMW!$NF$2:$NF$150=U$1),0),$C24-1966)</f>
        <v>44615</v>
      </c>
      <c r="V24" s="4" cm="1">
        <f t="array" ref="V24">INDEX(GMW!$A$2:$NF$150,MATCH(1,(GMW!$NE$2:$NE$150=V$3)*(GMW!$ND$2:$ND$150=V$4)*(GMW!$NF$2:$NF$150=V$1),0),$C24-1966)</f>
        <v>17530.21</v>
      </c>
      <c r="W24" s="4" cm="1">
        <f t="array" ref="W24">INDEX(GMW!$A$2:$NF$150,MATCH(1,(GMW!$NE$2:$NE$150=W$3)*(GMW!$ND$2:$ND$150=W$4)*(GMW!$NF$2:$NF$150=W$1),0),$C24-1966)</f>
        <v>36298</v>
      </c>
      <c r="X24" s="4" cm="1">
        <f t="array" ref="X24">INDEX(GMW!$A$2:$NF$150,MATCH(1,(GMW!$NE$2:$NE$150=X$3)*(GMW!$ND$2:$ND$150=X$4)*(GMW!$NF$2:$NF$150=X$1),0),$C24-1966)</f>
        <v>5804.7749999999996</v>
      </c>
      <c r="Y24" s="4" cm="1">
        <f t="array" ref="Y24">INDEX(GMW!$A$2:$NF$150,MATCH(1,(GMW!$NE$2:$NE$150=Y$3)*(GMW!$ND$2:$ND$150=Y$4)*(GMW!$NF$2:$NF$150=Y$1),0),$C24-1966)</f>
        <v>43482</v>
      </c>
      <c r="Z24" s="4" cm="1">
        <f t="array" ref="Z24">INDEX(GMW!$A$2:$NF$150,MATCH(1,(GMW!$NE$2:$NE$150=Z$3)*(GMW!$ND$2:$ND$150=Z$4)*(GMW!$NF$2:$NF$150=Z$1),0),$C24-1966)</f>
        <v>17850.060000000001</v>
      </c>
      <c r="AA24" s="4" cm="1">
        <f t="array" ref="AA24">INDEX(GMW!$A$2:$NF$150,MATCH(1,(GMW!$NE$2:$NE$150=AA$3)*(GMW!$ND$2:$ND$150=AA$4)*(GMW!$NF$2:$NF$150=AA$1),0),$C24-1966)</f>
        <v>255979.1</v>
      </c>
      <c r="AB24" s="4" cm="1">
        <f t="array" ref="AB24">INDEX(GMW!$A$2:$NF$150,MATCH(1,(GMW!$NE$2:$NE$150=AB$3)*(GMW!$ND$2:$ND$150=AB$4)*(GMW!$NF$2:$NF$150=AB$1),0),$C24-1966)</f>
        <v>24810.03</v>
      </c>
      <c r="AC24" s="4" cm="1">
        <f t="array" ref="AC24">INDEX(GMW!$A$2:$NF$150,MATCH(1,(GMW!$NE$2:$NE$150=AC$3)*(GMW!$ND$2:$ND$150=AC$4)*(GMW!$NF$2:$NF$150=AC$1),0),$C24-1966)</f>
        <v>1E-3</v>
      </c>
      <c r="AD24" s="4" cm="1">
        <f t="array" ref="AD24">INDEX(GMW!$A$2:$NF$150,MATCH(1,(GMW!$NE$2:$NE$150=AD$3)*(GMW!$ND$2:$ND$150=AD$4)*(GMW!$NF$2:$NF$150=AD$1),0),$C24-1966)</f>
        <v>295625.2</v>
      </c>
      <c r="AE24" s="4" cm="1">
        <f t="array" ref="AE24">INDEX(GMW!$A$2:$NF$150,MATCH(1,(GMW!$NE$2:$NE$150=AE$3)*(GMW!$ND$2:$ND$150=AE$4)*(GMW!$NF$2:$NF$150=AE$1),0),$C24-1966)</f>
        <v>35481.040000000001</v>
      </c>
      <c r="AF24" s="4" cm="1">
        <f t="array" ref="AF24">INDEX(GMW!$A$2:$NF$150,MATCH(1,(GMW!$NE$2:$NE$150=AF$3)*(GMW!$ND$2:$ND$150=AF$4)*(GMW!$NF$2:$NF$150=AF$1),0),$C24-1966)</f>
        <v>1187608</v>
      </c>
      <c r="AG24" s="4" cm="1">
        <f t="array" ref="AG24">INDEX(GMW!$A$2:$NF$150,MATCH(1,(GMW!$NE$2:$NE$150=AG$3)*(GMW!$ND$2:$ND$150=AG$4)*(GMW!$NF$2:$NF$150=AG$1),0),$C24-1966)</f>
        <v>-1.9379930000000001</v>
      </c>
      <c r="AH24" s="4" cm="1">
        <f t="array" ref="AH24">INDEX(GMW!$A$2:$NF$150,MATCH(1,(GMW!$NE$2:$NE$150=AH$3)*(GMW!$ND$2:$ND$150=AH$4)*(GMW!$NF$2:$NF$150=AH$1),0),$C24-1966)</f>
        <v>247936</v>
      </c>
      <c r="AI24" s="4" cm="1">
        <f t="array" ref="AI24">INDEX(GMW!$A$2:$NF$150,MATCH(1,(GMW!$NE$2:$NE$150=AI$3)*(GMW!$ND$2:$ND$150=AI$4)*(GMW!$NF$2:$NF$150=AI$1),0),$C24-1966)</f>
        <v>23.410019999999999</v>
      </c>
      <c r="AJ24" s="4" cm="1">
        <f t="array" ref="AJ24">INDEX(GMW!$A$2:$NF$150,MATCH(1,(GMW!$NE$2:$NE$150=AJ$3)*(GMW!$ND$2:$ND$150=AJ$4)*(GMW!$NF$2:$NF$150=AJ$1),0),$C24-1966)</f>
        <v>44615</v>
      </c>
      <c r="AK24" s="4" cm="1">
        <f t="array" ref="AK24">INDEX(GMW!$A$2:$NF$150,MATCH(1,(GMW!$NE$2:$NE$150=AK$3)*(GMW!$ND$2:$ND$150=AK$4)*(GMW!$NF$2:$NF$150=AK$1),0),$C24-1966)</f>
        <v>17530.21</v>
      </c>
      <c r="AL24" s="4" cm="1">
        <f t="array" ref="AL24">INDEX(GMW!$A$2:$NF$150,MATCH(1,(GMW!$NE$2:$NE$150=AL$3)*(GMW!$ND$2:$ND$150=AL$4)*(GMW!$NF$2:$NF$150=AL$1),0),$C24-1966)</f>
        <v>36298</v>
      </c>
      <c r="AM24" s="4" cm="1">
        <f t="array" ref="AM24">INDEX(GMW!$A$2:$NF$150,MATCH(1,(GMW!$NE$2:$NE$150=AM$3)*(GMW!$ND$2:$ND$150=AM$4)*(GMW!$NF$2:$NF$150=AM$1),0),$C24-1966)</f>
        <v>5804.7749999999996</v>
      </c>
      <c r="AN24" s="4" cm="1">
        <f t="array" ref="AN24">INDEX(GMW!$A$2:$NF$150,MATCH(1,(GMW!$NE$2:$NE$150=AN$3)*(GMW!$ND$2:$ND$150=AN$4)*(GMW!$NF$2:$NF$150=AN$1),0),$C24-1966)</f>
        <v>43482</v>
      </c>
      <c r="AO24" s="4" cm="1">
        <f t="array" ref="AO24">INDEX(GMW!$A$2:$NF$150,MATCH(1,(GMW!$NE$2:$NE$150=AO$3)*(GMW!$ND$2:$ND$150=AO$4)*(GMW!$NF$2:$NF$150=AO$1),0),$C24-1966)</f>
        <v>17850.060000000001</v>
      </c>
      <c r="AP24" s="4" cm="1">
        <f t="array" ref="AP24">INDEX(GMW!$A$2:$NF$150,MATCH(1,(GMW!$NE$2:$NE$150=AP$3)*(GMW!$ND$2:$ND$150=AP$4)*(GMW!$NF$2:$NF$150=AP$1),0),$C24-1966)</f>
        <v>255979.1</v>
      </c>
      <c r="AQ24" s="4" cm="1">
        <f t="array" ref="AQ24">INDEX(GMW!$A$2:$NF$150,MATCH(1,(GMW!$NE$2:$NE$150=AQ$3)*(GMW!$ND$2:$ND$150=AQ$4)*(GMW!$NF$2:$NF$150=AQ$1),0),$C24-1966)</f>
        <v>24810.03</v>
      </c>
      <c r="AR24" s="4" cm="1">
        <f t="array" ref="AR24">INDEX(GMW!$A$2:$NF$150,MATCH(1,(GMW!$NE$2:$NE$150=AR$3)*(GMW!$ND$2:$ND$150=AR$4)*(GMW!$NF$2:$NF$150=AR$1),0),$C24-1966)</f>
        <v>1E-3</v>
      </c>
      <c r="AS24" s="4" cm="1">
        <f t="array" ref="AS24">INDEX(GMW!$A$2:$NF$150,MATCH(1,(GMW!$NE$2:$NE$150=AS$3)*(GMW!$ND$2:$ND$150=AS$4)*(GMW!$NF$2:$NF$150=AS$1),0),$C24-1966)</f>
        <v>295625.2</v>
      </c>
      <c r="AT24" s="4" cm="1">
        <f t="array" ref="AT24">INDEX(GMW!$A$2:$NF$150,MATCH(1,(GMW!$NE$2:$NE$150=AT$3)*(GMW!$ND$2:$ND$150=AT$4)*(GMW!$NF$2:$NF$150=AT$1),0),$C24-1966)</f>
        <v>35481.040000000001</v>
      </c>
      <c r="AU24" s="4" cm="1">
        <f t="array" ref="AU24">INDEX(GMW!$A$2:$NF$150,MATCH(1,(GMW!$NE$2:$NE$150=AU$3)*(GMW!$ND$2:$ND$150=AU$4)*(GMW!$NF$2:$NF$150=AU$1),0),$C24-1966)</f>
        <v>1187608</v>
      </c>
      <c r="AV24" s="4" cm="1">
        <f t="array" ref="AV24">INDEX(GMW!$A$2:$NF$150,MATCH(1,(GMW!$NE$2:$NE$150=AV$3)*(GMW!$ND$2:$ND$150=AV$4)*(GMW!$NF$2:$NF$150=AV$1),0),$C24-1966)</f>
        <v>-1.9379930000000001</v>
      </c>
    </row>
    <row r="25" spans="1:48" x14ac:dyDescent="0.25">
      <c r="B25" s="4">
        <f t="shared" si="4"/>
        <v>1977</v>
      </c>
      <c r="C25" s="4">
        <f t="shared" si="3"/>
        <v>1991</v>
      </c>
      <c r="D25" s="4" cm="1">
        <f t="array" ref="D25">INDEX(GMW!$A$2:$NF$150,MATCH(1,(GMW!$NE$2:$NE$150=D$3)*(GMW!$ND$2:$ND$150=D$4)*(GMW!$NF$2:$NF$150=D$1),0),$C25-1966)</f>
        <v>249578</v>
      </c>
      <c r="E25" s="4" cm="1">
        <f t="array" ref="E25">INDEX(GMW!$A$2:$NF$150,MATCH(1,(GMW!$NE$2:$NE$150=E$3)*(GMW!$ND$2:$ND$150=E$4)*(GMW!$NF$2:$NF$150=E$1),0),$C25-1966)</f>
        <v>23.82713</v>
      </c>
      <c r="F25" s="4" cm="1">
        <f t="array" ref="F25">INDEX(GMW!$A$2:$NF$150,MATCH(1,(GMW!$NE$2:$NE$150=F$3)*(GMW!$ND$2:$ND$150=F$4)*(GMW!$NF$2:$NF$150=F$1),0),$C25-1966)</f>
        <v>46225</v>
      </c>
      <c r="G25" s="4" cm="1">
        <f t="array" ref="G25">INDEX(GMW!$A$2:$NF$150,MATCH(1,(GMW!$NE$2:$NE$150=G$3)*(GMW!$ND$2:$ND$150=G$4)*(GMW!$NF$2:$NF$150=G$1),0),$C25-1966)</f>
        <v>18027.45</v>
      </c>
      <c r="H25" s="4" cm="1">
        <f t="array" ref="H25">INDEX(GMW!$A$2:$NF$150,MATCH(1,(GMW!$NE$2:$NE$150=H$3)*(GMW!$ND$2:$ND$150=H$4)*(GMW!$NF$2:$NF$150=H$1),0),$C25-1966)</f>
        <v>35391</v>
      </c>
      <c r="I25" s="4" cm="1">
        <f t="array" ref="I25">INDEX(GMW!$A$2:$NF$150,MATCH(1,(GMW!$NE$2:$NE$150=I$3)*(GMW!$ND$2:$ND$150=I$4)*(GMW!$NF$2:$NF$150=I$1),0),$C25-1966)</f>
        <v>5769.5749999999998</v>
      </c>
      <c r="J25" s="4" cm="1">
        <f t="array" ref="J25">INDEX(GMW!$A$2:$NF$150,MATCH(1,(GMW!$NE$2:$NE$150=J$3)*(GMW!$ND$2:$ND$150=J$4)*(GMW!$NF$2:$NF$150=J$1),0),$C25-1966)</f>
        <v>43006</v>
      </c>
      <c r="K25" s="4" cm="1">
        <f t="array" ref="K25">INDEX(GMW!$A$2:$NF$150,MATCH(1,(GMW!$NE$2:$NE$150=K$3)*(GMW!$ND$2:$ND$150=K$4)*(GMW!$NF$2:$NF$150=K$1),0),$C25-1966)</f>
        <v>17277.27</v>
      </c>
      <c r="L25" s="4" cm="1">
        <f t="array" ref="L25">INDEX(GMW!$A$2:$NF$150,MATCH(1,(GMW!$NE$2:$NE$150=L$3)*(GMW!$ND$2:$ND$150=L$4)*(GMW!$NF$2:$NF$150=L$1),0),$C25-1966)</f>
        <v>256187.3</v>
      </c>
      <c r="M25" s="4" cm="1">
        <f t="array" ref="M25">INDEX(GMW!$A$2:$NF$150,MATCH(1,(GMW!$NE$2:$NE$150=M$3)*(GMW!$ND$2:$ND$150=M$4)*(GMW!$NF$2:$NF$150=M$1),0),$C25-1966)</f>
        <v>24802.79</v>
      </c>
      <c r="N25" s="4" cm="1">
        <f t="array" ref="N25">INDEX(GMW!$A$2:$NF$150,MATCH(1,(GMW!$NE$2:$NE$150=N$3)*(GMW!$ND$2:$ND$150=N$4)*(GMW!$NF$2:$NF$150=N$1),0),$C25-1966)</f>
        <v>1E-3</v>
      </c>
      <c r="O25" s="4" cm="1">
        <f t="array" ref="O25">INDEX(GMW!$A$2:$NF$150,MATCH(1,(GMW!$NE$2:$NE$150=O$3)*(GMW!$ND$2:$ND$150=O$4)*(GMW!$NF$2:$NF$150=O$1),0),$C25-1966)</f>
        <v>296130.2</v>
      </c>
      <c r="P25" s="4" cm="1">
        <f t="array" ref="P25">INDEX(GMW!$A$2:$NF$150,MATCH(1,(GMW!$NE$2:$NE$150=P$3)*(GMW!$ND$2:$ND$150=P$4)*(GMW!$NF$2:$NF$150=P$1),0),$C25-1966)</f>
        <v>35520.99</v>
      </c>
      <c r="Q25" s="4" cm="1">
        <f t="array" ref="Q25">INDEX(GMW!$A$2:$NF$150,MATCH(1,(GMW!$NE$2:$NE$150=Q$3)*(GMW!$ND$2:$ND$150=Q$4)*(GMW!$NF$2:$NF$150=Q$1),0),$C25-1966)</f>
        <v>1193768</v>
      </c>
      <c r="R25" s="4" cm="1">
        <f t="array" ref="R25">INDEX(GMW!$A$2:$NF$150,MATCH(1,(GMW!$NE$2:$NE$150=R$3)*(GMW!$ND$2:$ND$150=R$4)*(GMW!$NF$2:$NF$150=R$1),0),$C25-1966)</f>
        <v>-1.938985</v>
      </c>
      <c r="S25" s="4" cm="1">
        <f t="array" ref="S25">INDEX(GMW!$A$2:$NF$150,MATCH(1,(GMW!$NE$2:$NE$150=S$3)*(GMW!$ND$2:$ND$150=S$4)*(GMW!$NF$2:$NF$150=S$1),0),$C25-1966)</f>
        <v>249578</v>
      </c>
      <c r="T25" s="4" cm="1">
        <f t="array" ref="T25">INDEX(GMW!$A$2:$NF$150,MATCH(1,(GMW!$NE$2:$NE$150=T$3)*(GMW!$ND$2:$ND$150=T$4)*(GMW!$NF$2:$NF$150=T$1),0),$C25-1966)</f>
        <v>23.82713</v>
      </c>
      <c r="U25" s="4" cm="1">
        <f t="array" ref="U25">INDEX(GMW!$A$2:$NF$150,MATCH(1,(GMW!$NE$2:$NE$150=U$3)*(GMW!$ND$2:$ND$150=U$4)*(GMW!$NF$2:$NF$150=U$1),0),$C25-1966)</f>
        <v>46225</v>
      </c>
      <c r="V25" s="4" cm="1">
        <f t="array" ref="V25">INDEX(GMW!$A$2:$NF$150,MATCH(1,(GMW!$NE$2:$NE$150=V$3)*(GMW!$ND$2:$ND$150=V$4)*(GMW!$NF$2:$NF$150=V$1),0),$C25-1966)</f>
        <v>18027.45</v>
      </c>
      <c r="W25" s="4" cm="1">
        <f t="array" ref="W25">INDEX(GMW!$A$2:$NF$150,MATCH(1,(GMW!$NE$2:$NE$150=W$3)*(GMW!$ND$2:$ND$150=W$4)*(GMW!$NF$2:$NF$150=W$1),0),$C25-1966)</f>
        <v>35391</v>
      </c>
      <c r="X25" s="4" cm="1">
        <f t="array" ref="X25">INDEX(GMW!$A$2:$NF$150,MATCH(1,(GMW!$NE$2:$NE$150=X$3)*(GMW!$ND$2:$ND$150=X$4)*(GMW!$NF$2:$NF$150=X$1),0),$C25-1966)</f>
        <v>5769.5749999999998</v>
      </c>
      <c r="Y25" s="4" cm="1">
        <f t="array" ref="Y25">INDEX(GMW!$A$2:$NF$150,MATCH(1,(GMW!$NE$2:$NE$150=Y$3)*(GMW!$ND$2:$ND$150=Y$4)*(GMW!$NF$2:$NF$150=Y$1),0),$C25-1966)</f>
        <v>43006</v>
      </c>
      <c r="Z25" s="4" cm="1">
        <f t="array" ref="Z25">INDEX(GMW!$A$2:$NF$150,MATCH(1,(GMW!$NE$2:$NE$150=Z$3)*(GMW!$ND$2:$ND$150=Z$4)*(GMW!$NF$2:$NF$150=Z$1),0),$C25-1966)</f>
        <v>17277.27</v>
      </c>
      <c r="AA25" s="4" cm="1">
        <f t="array" ref="AA25">INDEX(GMW!$A$2:$NF$150,MATCH(1,(GMW!$NE$2:$NE$150=AA$3)*(GMW!$ND$2:$ND$150=AA$4)*(GMW!$NF$2:$NF$150=AA$1),0),$C25-1966)</f>
        <v>256187.3</v>
      </c>
      <c r="AB25" s="4" cm="1">
        <f t="array" ref="AB25">INDEX(GMW!$A$2:$NF$150,MATCH(1,(GMW!$NE$2:$NE$150=AB$3)*(GMW!$ND$2:$ND$150=AB$4)*(GMW!$NF$2:$NF$150=AB$1),0),$C25-1966)</f>
        <v>24802.79</v>
      </c>
      <c r="AC25" s="4" cm="1">
        <f t="array" ref="AC25">INDEX(GMW!$A$2:$NF$150,MATCH(1,(GMW!$NE$2:$NE$150=AC$3)*(GMW!$ND$2:$ND$150=AC$4)*(GMW!$NF$2:$NF$150=AC$1),0),$C25-1966)</f>
        <v>1E-3</v>
      </c>
      <c r="AD25" s="4" cm="1">
        <f t="array" ref="AD25">INDEX(GMW!$A$2:$NF$150,MATCH(1,(GMW!$NE$2:$NE$150=AD$3)*(GMW!$ND$2:$ND$150=AD$4)*(GMW!$NF$2:$NF$150=AD$1),0),$C25-1966)</f>
        <v>296130.2</v>
      </c>
      <c r="AE25" s="4" cm="1">
        <f t="array" ref="AE25">INDEX(GMW!$A$2:$NF$150,MATCH(1,(GMW!$NE$2:$NE$150=AE$3)*(GMW!$ND$2:$ND$150=AE$4)*(GMW!$NF$2:$NF$150=AE$1),0),$C25-1966)</f>
        <v>35520.99</v>
      </c>
      <c r="AF25" s="4" cm="1">
        <f t="array" ref="AF25">INDEX(GMW!$A$2:$NF$150,MATCH(1,(GMW!$NE$2:$NE$150=AF$3)*(GMW!$ND$2:$ND$150=AF$4)*(GMW!$NF$2:$NF$150=AF$1),0),$C25-1966)</f>
        <v>1193768</v>
      </c>
      <c r="AG25" s="4" cm="1">
        <f t="array" ref="AG25">INDEX(GMW!$A$2:$NF$150,MATCH(1,(GMW!$NE$2:$NE$150=AG$3)*(GMW!$ND$2:$ND$150=AG$4)*(GMW!$NF$2:$NF$150=AG$1),0),$C25-1966)</f>
        <v>-1.938985</v>
      </c>
      <c r="AH25" s="4" cm="1">
        <f t="array" ref="AH25">INDEX(GMW!$A$2:$NF$150,MATCH(1,(GMW!$NE$2:$NE$150=AH$3)*(GMW!$ND$2:$ND$150=AH$4)*(GMW!$NF$2:$NF$150=AH$1),0),$C25-1966)</f>
        <v>249578</v>
      </c>
      <c r="AI25" s="4" cm="1">
        <f t="array" ref="AI25">INDEX(GMW!$A$2:$NF$150,MATCH(1,(GMW!$NE$2:$NE$150=AI$3)*(GMW!$ND$2:$ND$150=AI$4)*(GMW!$NF$2:$NF$150=AI$1),0),$C25-1966)</f>
        <v>23.82713</v>
      </c>
      <c r="AJ25" s="4" cm="1">
        <f t="array" ref="AJ25">INDEX(GMW!$A$2:$NF$150,MATCH(1,(GMW!$NE$2:$NE$150=AJ$3)*(GMW!$ND$2:$ND$150=AJ$4)*(GMW!$NF$2:$NF$150=AJ$1),0),$C25-1966)</f>
        <v>46225</v>
      </c>
      <c r="AK25" s="4" cm="1">
        <f t="array" ref="AK25">INDEX(GMW!$A$2:$NF$150,MATCH(1,(GMW!$NE$2:$NE$150=AK$3)*(GMW!$ND$2:$ND$150=AK$4)*(GMW!$NF$2:$NF$150=AK$1),0),$C25-1966)</f>
        <v>18027.45</v>
      </c>
      <c r="AL25" s="4" cm="1">
        <f t="array" ref="AL25">INDEX(GMW!$A$2:$NF$150,MATCH(1,(GMW!$NE$2:$NE$150=AL$3)*(GMW!$ND$2:$ND$150=AL$4)*(GMW!$NF$2:$NF$150=AL$1),0),$C25-1966)</f>
        <v>35391</v>
      </c>
      <c r="AM25" s="4" cm="1">
        <f t="array" ref="AM25">INDEX(GMW!$A$2:$NF$150,MATCH(1,(GMW!$NE$2:$NE$150=AM$3)*(GMW!$ND$2:$ND$150=AM$4)*(GMW!$NF$2:$NF$150=AM$1),0),$C25-1966)</f>
        <v>5769.5749999999998</v>
      </c>
      <c r="AN25" s="4" cm="1">
        <f t="array" ref="AN25">INDEX(GMW!$A$2:$NF$150,MATCH(1,(GMW!$NE$2:$NE$150=AN$3)*(GMW!$ND$2:$ND$150=AN$4)*(GMW!$NF$2:$NF$150=AN$1),0),$C25-1966)</f>
        <v>43006</v>
      </c>
      <c r="AO25" s="4" cm="1">
        <f t="array" ref="AO25">INDEX(GMW!$A$2:$NF$150,MATCH(1,(GMW!$NE$2:$NE$150=AO$3)*(GMW!$ND$2:$ND$150=AO$4)*(GMW!$NF$2:$NF$150=AO$1),0),$C25-1966)</f>
        <v>17277.27</v>
      </c>
      <c r="AP25" s="4" cm="1">
        <f t="array" ref="AP25">INDEX(GMW!$A$2:$NF$150,MATCH(1,(GMW!$NE$2:$NE$150=AP$3)*(GMW!$ND$2:$ND$150=AP$4)*(GMW!$NF$2:$NF$150=AP$1),0),$C25-1966)</f>
        <v>256187.3</v>
      </c>
      <c r="AQ25" s="4" cm="1">
        <f t="array" ref="AQ25">INDEX(GMW!$A$2:$NF$150,MATCH(1,(GMW!$NE$2:$NE$150=AQ$3)*(GMW!$ND$2:$ND$150=AQ$4)*(GMW!$NF$2:$NF$150=AQ$1),0),$C25-1966)</f>
        <v>24802.79</v>
      </c>
      <c r="AR25" s="4" cm="1">
        <f t="array" ref="AR25">INDEX(GMW!$A$2:$NF$150,MATCH(1,(GMW!$NE$2:$NE$150=AR$3)*(GMW!$ND$2:$ND$150=AR$4)*(GMW!$NF$2:$NF$150=AR$1),0),$C25-1966)</f>
        <v>1E-3</v>
      </c>
      <c r="AS25" s="4" cm="1">
        <f t="array" ref="AS25">INDEX(GMW!$A$2:$NF$150,MATCH(1,(GMW!$NE$2:$NE$150=AS$3)*(GMW!$ND$2:$ND$150=AS$4)*(GMW!$NF$2:$NF$150=AS$1),0),$C25-1966)</f>
        <v>296130.2</v>
      </c>
      <c r="AT25" s="4" cm="1">
        <f t="array" ref="AT25">INDEX(GMW!$A$2:$NF$150,MATCH(1,(GMW!$NE$2:$NE$150=AT$3)*(GMW!$ND$2:$ND$150=AT$4)*(GMW!$NF$2:$NF$150=AT$1),0),$C25-1966)</f>
        <v>35520.99</v>
      </c>
      <c r="AU25" s="4" cm="1">
        <f t="array" ref="AU25">INDEX(GMW!$A$2:$NF$150,MATCH(1,(GMW!$NE$2:$NE$150=AU$3)*(GMW!$ND$2:$ND$150=AU$4)*(GMW!$NF$2:$NF$150=AU$1),0),$C25-1966)</f>
        <v>1193768</v>
      </c>
      <c r="AV25" s="4" cm="1">
        <f t="array" ref="AV25">INDEX(GMW!$A$2:$NF$150,MATCH(1,(GMW!$NE$2:$NE$150=AV$3)*(GMW!$ND$2:$ND$150=AV$4)*(GMW!$NF$2:$NF$150=AV$1),0),$C25-1966)</f>
        <v>-1.938985</v>
      </c>
    </row>
    <row r="26" spans="1:48" x14ac:dyDescent="0.25">
      <c r="B26" s="4">
        <f t="shared" si="4"/>
        <v>1977</v>
      </c>
      <c r="C26" s="4">
        <f t="shared" si="3"/>
        <v>1992</v>
      </c>
      <c r="D26" s="4" cm="1">
        <f t="array" ref="D26">INDEX(GMW!$A$2:$NF$150,MATCH(1,(GMW!$NE$2:$NE$150=D$3)*(GMW!$ND$2:$ND$150=D$4)*(GMW!$NF$2:$NF$150=D$1),0),$C26-1966)</f>
        <v>253819</v>
      </c>
      <c r="E26" s="4" cm="1">
        <f t="array" ref="E26">INDEX(GMW!$A$2:$NF$150,MATCH(1,(GMW!$NE$2:$NE$150=E$3)*(GMW!$ND$2:$ND$150=E$4)*(GMW!$NF$2:$NF$150=E$1),0),$C26-1966)</f>
        <v>24.139949999999999</v>
      </c>
      <c r="F26" s="4" cm="1">
        <f t="array" ref="F26">INDEX(GMW!$A$2:$NF$150,MATCH(1,(GMW!$NE$2:$NE$150=F$3)*(GMW!$ND$2:$ND$150=F$4)*(GMW!$NF$2:$NF$150=F$1),0),$C26-1966)</f>
        <v>44466</v>
      </c>
      <c r="G26" s="4" cm="1">
        <f t="array" ref="G26">INDEX(GMW!$A$2:$NF$150,MATCH(1,(GMW!$NE$2:$NE$150=G$3)*(GMW!$ND$2:$ND$150=G$4)*(GMW!$NF$2:$NF$150=G$1),0),$C26-1966)</f>
        <v>17529.04</v>
      </c>
      <c r="H26" s="4" cm="1">
        <f t="array" ref="H26">INDEX(GMW!$A$2:$NF$150,MATCH(1,(GMW!$NE$2:$NE$150=H$3)*(GMW!$ND$2:$ND$150=H$4)*(GMW!$NF$2:$NF$150=H$1),0),$C26-1966)</f>
        <v>34937</v>
      </c>
      <c r="I26" s="4" cm="1">
        <f t="array" ref="I26">INDEX(GMW!$A$2:$NF$150,MATCH(1,(GMW!$NE$2:$NE$150=I$3)*(GMW!$ND$2:$ND$150=I$4)*(GMW!$NF$2:$NF$150=I$1),0),$C26-1966)</f>
        <v>6059.4250000000002</v>
      </c>
      <c r="J26" s="4" cm="1">
        <f t="array" ref="J26">INDEX(GMW!$A$2:$NF$150,MATCH(1,(GMW!$NE$2:$NE$150=J$3)*(GMW!$ND$2:$ND$150=J$4)*(GMW!$NF$2:$NF$150=J$1),0),$C26-1966)</f>
        <v>44597</v>
      </c>
      <c r="K26" s="4" cm="1">
        <f t="array" ref="K26">INDEX(GMW!$A$2:$NF$150,MATCH(1,(GMW!$NE$2:$NE$150=K$3)*(GMW!$ND$2:$ND$150=K$4)*(GMW!$NF$2:$NF$150=K$1),0),$C26-1966)</f>
        <v>17983.61</v>
      </c>
      <c r="L26" s="4" cm="1">
        <f t="array" ref="L26">INDEX(GMW!$A$2:$NF$150,MATCH(1,(GMW!$NE$2:$NE$150=L$3)*(GMW!$ND$2:$ND$150=L$4)*(GMW!$NF$2:$NF$150=L$1),0),$C26-1966)</f>
        <v>256207</v>
      </c>
      <c r="M26" s="4" cm="1">
        <f t="array" ref="M26">INDEX(GMW!$A$2:$NF$150,MATCH(1,(GMW!$NE$2:$NE$150=M$3)*(GMW!$ND$2:$ND$150=M$4)*(GMW!$NF$2:$NF$150=M$1),0),$C26-1966)</f>
        <v>24768.06</v>
      </c>
      <c r="N26" s="4" cm="1">
        <f t="array" ref="N26">INDEX(GMW!$A$2:$NF$150,MATCH(1,(GMW!$NE$2:$NE$150=N$3)*(GMW!$ND$2:$ND$150=N$4)*(GMW!$NF$2:$NF$150=N$1),0),$C26-1966)</f>
        <v>1E-3</v>
      </c>
      <c r="O26" s="4" cm="1">
        <f t="array" ref="O26">INDEX(GMW!$A$2:$NF$150,MATCH(1,(GMW!$NE$2:$NE$150=O$3)*(GMW!$ND$2:$ND$150=O$4)*(GMW!$NF$2:$NF$150=O$1),0),$C26-1966)</f>
        <v>296630.2</v>
      </c>
      <c r="P26" s="4" cm="1">
        <f t="array" ref="P26">INDEX(GMW!$A$2:$NF$150,MATCH(1,(GMW!$NE$2:$NE$150=P$3)*(GMW!$ND$2:$ND$150=P$4)*(GMW!$NF$2:$NF$150=P$1),0),$C26-1966)</f>
        <v>35560.94</v>
      </c>
      <c r="Q26" s="4" cm="1">
        <f t="array" ref="Q26">INDEX(GMW!$A$2:$NF$150,MATCH(1,(GMW!$NE$2:$NE$150=Q$3)*(GMW!$ND$2:$ND$150=Q$4)*(GMW!$NF$2:$NF$150=Q$1),0),$C26-1966)</f>
        <v>1199928</v>
      </c>
      <c r="R26" s="4" cm="1">
        <f t="array" ref="R26">INDEX(GMW!$A$2:$NF$150,MATCH(1,(GMW!$NE$2:$NE$150=R$3)*(GMW!$ND$2:$ND$150=R$4)*(GMW!$NF$2:$NF$150=R$1),0),$C26-1966)</f>
        <v>-1.9399770000000001</v>
      </c>
      <c r="S26" s="4" cm="1">
        <f t="array" ref="S26">INDEX(GMW!$A$2:$NF$150,MATCH(1,(GMW!$NE$2:$NE$150=S$3)*(GMW!$ND$2:$ND$150=S$4)*(GMW!$NF$2:$NF$150=S$1),0),$C26-1966)</f>
        <v>253819</v>
      </c>
      <c r="T26" s="4" cm="1">
        <f t="array" ref="T26">INDEX(GMW!$A$2:$NF$150,MATCH(1,(GMW!$NE$2:$NE$150=T$3)*(GMW!$ND$2:$ND$150=T$4)*(GMW!$NF$2:$NF$150=T$1),0),$C26-1966)</f>
        <v>24.139949999999999</v>
      </c>
      <c r="U26" s="4" cm="1">
        <f t="array" ref="U26">INDEX(GMW!$A$2:$NF$150,MATCH(1,(GMW!$NE$2:$NE$150=U$3)*(GMW!$ND$2:$ND$150=U$4)*(GMW!$NF$2:$NF$150=U$1),0),$C26-1966)</f>
        <v>44466</v>
      </c>
      <c r="V26" s="4" cm="1">
        <f t="array" ref="V26">INDEX(GMW!$A$2:$NF$150,MATCH(1,(GMW!$NE$2:$NE$150=V$3)*(GMW!$ND$2:$ND$150=V$4)*(GMW!$NF$2:$NF$150=V$1),0),$C26-1966)</f>
        <v>17529.04</v>
      </c>
      <c r="W26" s="4" cm="1">
        <f t="array" ref="W26">INDEX(GMW!$A$2:$NF$150,MATCH(1,(GMW!$NE$2:$NE$150=W$3)*(GMW!$ND$2:$ND$150=W$4)*(GMW!$NF$2:$NF$150=W$1),0),$C26-1966)</f>
        <v>34937</v>
      </c>
      <c r="X26" s="4" cm="1">
        <f t="array" ref="X26">INDEX(GMW!$A$2:$NF$150,MATCH(1,(GMW!$NE$2:$NE$150=X$3)*(GMW!$ND$2:$ND$150=X$4)*(GMW!$NF$2:$NF$150=X$1),0),$C26-1966)</f>
        <v>6059.4250000000002</v>
      </c>
      <c r="Y26" s="4" cm="1">
        <f t="array" ref="Y26">INDEX(GMW!$A$2:$NF$150,MATCH(1,(GMW!$NE$2:$NE$150=Y$3)*(GMW!$ND$2:$ND$150=Y$4)*(GMW!$NF$2:$NF$150=Y$1),0),$C26-1966)</f>
        <v>44597</v>
      </c>
      <c r="Z26" s="4" cm="1">
        <f t="array" ref="Z26">INDEX(GMW!$A$2:$NF$150,MATCH(1,(GMW!$NE$2:$NE$150=Z$3)*(GMW!$ND$2:$ND$150=Z$4)*(GMW!$NF$2:$NF$150=Z$1),0),$C26-1966)</f>
        <v>17983.61</v>
      </c>
      <c r="AA26" s="4" cm="1">
        <f t="array" ref="AA26">INDEX(GMW!$A$2:$NF$150,MATCH(1,(GMW!$NE$2:$NE$150=AA$3)*(GMW!$ND$2:$ND$150=AA$4)*(GMW!$NF$2:$NF$150=AA$1),0),$C26-1966)</f>
        <v>256207</v>
      </c>
      <c r="AB26" s="4" cm="1">
        <f t="array" ref="AB26">INDEX(GMW!$A$2:$NF$150,MATCH(1,(GMW!$NE$2:$NE$150=AB$3)*(GMW!$ND$2:$ND$150=AB$4)*(GMW!$NF$2:$NF$150=AB$1),0),$C26-1966)</f>
        <v>24768.06</v>
      </c>
      <c r="AC26" s="4" cm="1">
        <f t="array" ref="AC26">INDEX(GMW!$A$2:$NF$150,MATCH(1,(GMW!$NE$2:$NE$150=AC$3)*(GMW!$ND$2:$ND$150=AC$4)*(GMW!$NF$2:$NF$150=AC$1),0),$C26-1966)</f>
        <v>1E-3</v>
      </c>
      <c r="AD26" s="4" cm="1">
        <f t="array" ref="AD26">INDEX(GMW!$A$2:$NF$150,MATCH(1,(GMW!$NE$2:$NE$150=AD$3)*(GMW!$ND$2:$ND$150=AD$4)*(GMW!$NF$2:$NF$150=AD$1),0),$C26-1966)</f>
        <v>296630.2</v>
      </c>
      <c r="AE26" s="4" cm="1">
        <f t="array" ref="AE26">INDEX(GMW!$A$2:$NF$150,MATCH(1,(GMW!$NE$2:$NE$150=AE$3)*(GMW!$ND$2:$ND$150=AE$4)*(GMW!$NF$2:$NF$150=AE$1),0),$C26-1966)</f>
        <v>35560.94</v>
      </c>
      <c r="AF26" s="4" cm="1">
        <f t="array" ref="AF26">INDEX(GMW!$A$2:$NF$150,MATCH(1,(GMW!$NE$2:$NE$150=AF$3)*(GMW!$ND$2:$ND$150=AF$4)*(GMW!$NF$2:$NF$150=AF$1),0),$C26-1966)</f>
        <v>1199928</v>
      </c>
      <c r="AG26" s="4" cm="1">
        <f t="array" ref="AG26">INDEX(GMW!$A$2:$NF$150,MATCH(1,(GMW!$NE$2:$NE$150=AG$3)*(GMW!$ND$2:$ND$150=AG$4)*(GMW!$NF$2:$NF$150=AG$1),0),$C26-1966)</f>
        <v>-1.9399770000000001</v>
      </c>
      <c r="AH26" s="4" cm="1">
        <f t="array" ref="AH26">INDEX(GMW!$A$2:$NF$150,MATCH(1,(GMW!$NE$2:$NE$150=AH$3)*(GMW!$ND$2:$ND$150=AH$4)*(GMW!$NF$2:$NF$150=AH$1),0),$C26-1966)</f>
        <v>253819</v>
      </c>
      <c r="AI26" s="4" cm="1">
        <f t="array" ref="AI26">INDEX(GMW!$A$2:$NF$150,MATCH(1,(GMW!$NE$2:$NE$150=AI$3)*(GMW!$ND$2:$ND$150=AI$4)*(GMW!$NF$2:$NF$150=AI$1),0),$C26-1966)</f>
        <v>24.139949999999999</v>
      </c>
      <c r="AJ26" s="4" cm="1">
        <f t="array" ref="AJ26">INDEX(GMW!$A$2:$NF$150,MATCH(1,(GMW!$NE$2:$NE$150=AJ$3)*(GMW!$ND$2:$ND$150=AJ$4)*(GMW!$NF$2:$NF$150=AJ$1),0),$C26-1966)</f>
        <v>44466</v>
      </c>
      <c r="AK26" s="4" cm="1">
        <f t="array" ref="AK26">INDEX(GMW!$A$2:$NF$150,MATCH(1,(GMW!$NE$2:$NE$150=AK$3)*(GMW!$ND$2:$ND$150=AK$4)*(GMW!$NF$2:$NF$150=AK$1),0),$C26-1966)</f>
        <v>17529.04</v>
      </c>
      <c r="AL26" s="4" cm="1">
        <f t="array" ref="AL26">INDEX(GMW!$A$2:$NF$150,MATCH(1,(GMW!$NE$2:$NE$150=AL$3)*(GMW!$ND$2:$ND$150=AL$4)*(GMW!$NF$2:$NF$150=AL$1),0),$C26-1966)</f>
        <v>34937</v>
      </c>
      <c r="AM26" s="4" cm="1">
        <f t="array" ref="AM26">INDEX(GMW!$A$2:$NF$150,MATCH(1,(GMW!$NE$2:$NE$150=AM$3)*(GMW!$ND$2:$ND$150=AM$4)*(GMW!$NF$2:$NF$150=AM$1),0),$C26-1966)</f>
        <v>6059.4250000000002</v>
      </c>
      <c r="AN26" s="4" cm="1">
        <f t="array" ref="AN26">INDEX(GMW!$A$2:$NF$150,MATCH(1,(GMW!$NE$2:$NE$150=AN$3)*(GMW!$ND$2:$ND$150=AN$4)*(GMW!$NF$2:$NF$150=AN$1),0),$C26-1966)</f>
        <v>44597</v>
      </c>
      <c r="AO26" s="4" cm="1">
        <f t="array" ref="AO26">INDEX(GMW!$A$2:$NF$150,MATCH(1,(GMW!$NE$2:$NE$150=AO$3)*(GMW!$ND$2:$ND$150=AO$4)*(GMW!$NF$2:$NF$150=AO$1),0),$C26-1966)</f>
        <v>17983.61</v>
      </c>
      <c r="AP26" s="4" cm="1">
        <f t="array" ref="AP26">INDEX(GMW!$A$2:$NF$150,MATCH(1,(GMW!$NE$2:$NE$150=AP$3)*(GMW!$ND$2:$ND$150=AP$4)*(GMW!$NF$2:$NF$150=AP$1),0),$C26-1966)</f>
        <v>256207</v>
      </c>
      <c r="AQ26" s="4" cm="1">
        <f t="array" ref="AQ26">INDEX(GMW!$A$2:$NF$150,MATCH(1,(GMW!$NE$2:$NE$150=AQ$3)*(GMW!$ND$2:$ND$150=AQ$4)*(GMW!$NF$2:$NF$150=AQ$1),0),$C26-1966)</f>
        <v>24768.06</v>
      </c>
      <c r="AR26" s="4" cm="1">
        <f t="array" ref="AR26">INDEX(GMW!$A$2:$NF$150,MATCH(1,(GMW!$NE$2:$NE$150=AR$3)*(GMW!$ND$2:$ND$150=AR$4)*(GMW!$NF$2:$NF$150=AR$1),0),$C26-1966)</f>
        <v>1E-3</v>
      </c>
      <c r="AS26" s="4" cm="1">
        <f t="array" ref="AS26">INDEX(GMW!$A$2:$NF$150,MATCH(1,(GMW!$NE$2:$NE$150=AS$3)*(GMW!$ND$2:$ND$150=AS$4)*(GMW!$NF$2:$NF$150=AS$1),0),$C26-1966)</f>
        <v>296630.2</v>
      </c>
      <c r="AT26" s="4" cm="1">
        <f t="array" ref="AT26">INDEX(GMW!$A$2:$NF$150,MATCH(1,(GMW!$NE$2:$NE$150=AT$3)*(GMW!$ND$2:$ND$150=AT$4)*(GMW!$NF$2:$NF$150=AT$1),0),$C26-1966)</f>
        <v>35560.94</v>
      </c>
      <c r="AU26" s="4" cm="1">
        <f t="array" ref="AU26">INDEX(GMW!$A$2:$NF$150,MATCH(1,(GMW!$NE$2:$NE$150=AU$3)*(GMW!$ND$2:$ND$150=AU$4)*(GMW!$NF$2:$NF$150=AU$1),0),$C26-1966)</f>
        <v>1199928</v>
      </c>
      <c r="AV26" s="4" cm="1">
        <f t="array" ref="AV26">INDEX(GMW!$A$2:$NF$150,MATCH(1,(GMW!$NE$2:$NE$150=AV$3)*(GMW!$ND$2:$ND$150=AV$4)*(GMW!$NF$2:$NF$150=AV$1),0),$C26-1966)</f>
        <v>-1.9399770000000001</v>
      </c>
    </row>
    <row r="27" spans="1:48" x14ac:dyDescent="0.25">
      <c r="A27" s="4">
        <v>1978</v>
      </c>
      <c r="B27" s="4">
        <f t="shared" si="4"/>
        <v>1978</v>
      </c>
      <c r="C27" s="4">
        <f t="shared" si="3"/>
        <v>1993</v>
      </c>
      <c r="D27" s="4" cm="1">
        <f t="array" ref="D27">INDEX(GMW!$A$2:$NF$150,MATCH(1,(GMW!$NE$2:$NE$150=D$3)*(GMW!$ND$2:$ND$150=D$4)*(GMW!$NF$2:$NF$150=D$1),0),$C27-1966)</f>
        <v>256193</v>
      </c>
      <c r="E27" s="4" cm="1">
        <f t="array" ref="E27">INDEX(GMW!$A$2:$NF$150,MATCH(1,(GMW!$NE$2:$NE$150=E$3)*(GMW!$ND$2:$ND$150=E$4)*(GMW!$NF$2:$NF$150=E$1),0),$C27-1966)</f>
        <v>24.452780000000001</v>
      </c>
      <c r="F27" s="4" cm="1">
        <f t="array" ref="F27">INDEX(GMW!$A$2:$NF$150,MATCH(1,(GMW!$NE$2:$NE$150=F$3)*(GMW!$ND$2:$ND$150=F$4)*(GMW!$NF$2:$NF$150=F$1),0),$C27-1966)</f>
        <v>44831</v>
      </c>
      <c r="G27" s="4" cm="1">
        <f t="array" ref="G27">INDEX(GMW!$A$2:$NF$150,MATCH(1,(GMW!$NE$2:$NE$150=G$3)*(GMW!$ND$2:$ND$150=G$4)*(GMW!$NF$2:$NF$150=G$1),0),$C27-1966)</f>
        <v>17137.45</v>
      </c>
      <c r="H27" s="4" cm="1">
        <f t="array" ref="H27">INDEX(GMW!$A$2:$NF$150,MATCH(1,(GMW!$NE$2:$NE$150=H$3)*(GMW!$ND$2:$ND$150=H$4)*(GMW!$NF$2:$NF$150=H$1),0),$C27-1966)</f>
        <v>37167</v>
      </c>
      <c r="I27" s="4" cm="1">
        <f t="array" ref="I27">INDEX(GMW!$A$2:$NF$150,MATCH(1,(GMW!$NE$2:$NE$150=I$3)*(GMW!$ND$2:$ND$150=I$4)*(GMW!$NF$2:$NF$150=I$1),0),$C27-1966)</f>
        <v>7081.6750000000002</v>
      </c>
      <c r="J27" s="4" cm="1">
        <f t="array" ref="J27">INDEX(GMW!$A$2:$NF$150,MATCH(1,(GMW!$NE$2:$NE$150=J$3)*(GMW!$ND$2:$ND$150=J$4)*(GMW!$NF$2:$NF$150=J$1),0),$C27-1966)</f>
        <v>46164</v>
      </c>
      <c r="K27" s="4" cm="1">
        <f t="array" ref="K27">INDEX(GMW!$A$2:$NF$150,MATCH(1,(GMW!$NE$2:$NE$150=K$3)*(GMW!$ND$2:$ND$150=K$4)*(GMW!$NF$2:$NF$150=K$1),0),$C27-1966)</f>
        <v>18171.86</v>
      </c>
      <c r="L27" s="4" cm="1">
        <f t="array" ref="L27">INDEX(GMW!$A$2:$NF$150,MATCH(1,(GMW!$NE$2:$NE$150=L$3)*(GMW!$ND$2:$ND$150=L$4)*(GMW!$NF$2:$NF$150=L$1),0),$C27-1966)</f>
        <v>256193</v>
      </c>
      <c r="M27" s="4" cm="1">
        <f t="array" ref="M27">INDEX(GMW!$A$2:$NF$150,MATCH(1,(GMW!$NE$2:$NE$150=M$3)*(GMW!$ND$2:$ND$150=M$4)*(GMW!$NF$2:$NF$150=M$1),0),$C27-1966)</f>
        <v>24729.5</v>
      </c>
      <c r="N27" s="4" cm="1">
        <f t="array" ref="N27">INDEX(GMW!$A$2:$NF$150,MATCH(1,(GMW!$NE$2:$NE$150=N$3)*(GMW!$ND$2:$ND$150=N$4)*(GMW!$NF$2:$NF$150=N$1),0),$C27-1966)</f>
        <v>1E-3</v>
      </c>
      <c r="O27" s="4" cm="1">
        <f t="array" ref="O27">INDEX(GMW!$A$2:$NF$150,MATCH(1,(GMW!$NE$2:$NE$150=O$3)*(GMW!$ND$2:$ND$150=O$4)*(GMW!$NF$2:$NF$150=O$1),0),$C27-1966)</f>
        <v>297110.90000000002</v>
      </c>
      <c r="P27" s="4" cm="1">
        <f t="array" ref="P27">INDEX(GMW!$A$2:$NF$150,MATCH(1,(GMW!$NE$2:$NE$150=P$3)*(GMW!$ND$2:$ND$150=P$4)*(GMW!$NF$2:$NF$150=P$1),0),$C27-1966)</f>
        <v>35600.879999999997</v>
      </c>
      <c r="Q27" s="4" cm="1">
        <f t="array" ref="Q27">INDEX(GMW!$A$2:$NF$150,MATCH(1,(GMW!$NE$2:$NE$150=Q$3)*(GMW!$ND$2:$ND$150=Q$4)*(GMW!$NF$2:$NF$150=Q$1),0),$C27-1966)</f>
        <v>1207570</v>
      </c>
      <c r="R27" s="4" cm="1">
        <f t="array" ref="R27">INDEX(GMW!$A$2:$NF$150,MATCH(1,(GMW!$NE$2:$NE$150=R$3)*(GMW!$ND$2:$ND$150=R$4)*(GMW!$NF$2:$NF$150=R$1),0),$C27-1966)</f>
        <v>-1.9409700000000001</v>
      </c>
      <c r="S27" s="4" cm="1">
        <f t="array" ref="S27">INDEX(GMW!$A$2:$NF$150,MATCH(1,(GMW!$NE$2:$NE$150=S$3)*(GMW!$ND$2:$ND$150=S$4)*(GMW!$NF$2:$NF$150=S$1),0),$C27-1966)</f>
        <v>256193</v>
      </c>
      <c r="T27" s="4" cm="1">
        <f t="array" ref="T27">INDEX(GMW!$A$2:$NF$150,MATCH(1,(GMW!$NE$2:$NE$150=T$3)*(GMW!$ND$2:$ND$150=T$4)*(GMW!$NF$2:$NF$150=T$1),0),$C27-1966)</f>
        <v>24.452780000000001</v>
      </c>
      <c r="U27" s="4" cm="1">
        <f t="array" ref="U27">INDEX(GMW!$A$2:$NF$150,MATCH(1,(GMW!$NE$2:$NE$150=U$3)*(GMW!$ND$2:$ND$150=U$4)*(GMW!$NF$2:$NF$150=U$1),0),$C27-1966)</f>
        <v>44831</v>
      </c>
      <c r="V27" s="4" cm="1">
        <f t="array" ref="V27">INDEX(GMW!$A$2:$NF$150,MATCH(1,(GMW!$NE$2:$NE$150=V$3)*(GMW!$ND$2:$ND$150=V$4)*(GMW!$NF$2:$NF$150=V$1),0),$C27-1966)</f>
        <v>17137.45</v>
      </c>
      <c r="W27" s="4" cm="1">
        <f t="array" ref="W27">INDEX(GMW!$A$2:$NF$150,MATCH(1,(GMW!$NE$2:$NE$150=W$3)*(GMW!$ND$2:$ND$150=W$4)*(GMW!$NF$2:$NF$150=W$1),0),$C27-1966)</f>
        <v>37167</v>
      </c>
      <c r="X27" s="4" cm="1">
        <f t="array" ref="X27">INDEX(GMW!$A$2:$NF$150,MATCH(1,(GMW!$NE$2:$NE$150=X$3)*(GMW!$ND$2:$ND$150=X$4)*(GMW!$NF$2:$NF$150=X$1),0),$C27-1966)</f>
        <v>7081.6750000000002</v>
      </c>
      <c r="Y27" s="4" cm="1">
        <f t="array" ref="Y27">INDEX(GMW!$A$2:$NF$150,MATCH(1,(GMW!$NE$2:$NE$150=Y$3)*(GMW!$ND$2:$ND$150=Y$4)*(GMW!$NF$2:$NF$150=Y$1),0),$C27-1966)</f>
        <v>46164</v>
      </c>
      <c r="Z27" s="4" cm="1">
        <f t="array" ref="Z27">INDEX(GMW!$A$2:$NF$150,MATCH(1,(GMW!$NE$2:$NE$150=Z$3)*(GMW!$ND$2:$ND$150=Z$4)*(GMW!$NF$2:$NF$150=Z$1),0),$C27-1966)</f>
        <v>18171.86</v>
      </c>
      <c r="AA27" s="4" cm="1">
        <f t="array" ref="AA27">INDEX(GMW!$A$2:$NF$150,MATCH(1,(GMW!$NE$2:$NE$150=AA$3)*(GMW!$ND$2:$ND$150=AA$4)*(GMW!$NF$2:$NF$150=AA$1),0),$C27-1966)</f>
        <v>256193</v>
      </c>
      <c r="AB27" s="4" cm="1">
        <f t="array" ref="AB27">INDEX(GMW!$A$2:$NF$150,MATCH(1,(GMW!$NE$2:$NE$150=AB$3)*(GMW!$ND$2:$ND$150=AB$4)*(GMW!$NF$2:$NF$150=AB$1),0),$C27-1966)</f>
        <v>24729.5</v>
      </c>
      <c r="AC27" s="4" cm="1">
        <f t="array" ref="AC27">INDEX(GMW!$A$2:$NF$150,MATCH(1,(GMW!$NE$2:$NE$150=AC$3)*(GMW!$ND$2:$ND$150=AC$4)*(GMW!$NF$2:$NF$150=AC$1),0),$C27-1966)</f>
        <v>1E-3</v>
      </c>
      <c r="AD27" s="4" cm="1">
        <f t="array" ref="AD27">INDEX(GMW!$A$2:$NF$150,MATCH(1,(GMW!$NE$2:$NE$150=AD$3)*(GMW!$ND$2:$ND$150=AD$4)*(GMW!$NF$2:$NF$150=AD$1),0),$C27-1966)</f>
        <v>297110.90000000002</v>
      </c>
      <c r="AE27" s="4" cm="1">
        <f t="array" ref="AE27">INDEX(GMW!$A$2:$NF$150,MATCH(1,(GMW!$NE$2:$NE$150=AE$3)*(GMW!$ND$2:$ND$150=AE$4)*(GMW!$NF$2:$NF$150=AE$1),0),$C27-1966)</f>
        <v>35600.879999999997</v>
      </c>
      <c r="AF27" s="4" cm="1">
        <f t="array" ref="AF27">INDEX(GMW!$A$2:$NF$150,MATCH(1,(GMW!$NE$2:$NE$150=AF$3)*(GMW!$ND$2:$ND$150=AF$4)*(GMW!$NF$2:$NF$150=AF$1),0),$C27-1966)</f>
        <v>1207570</v>
      </c>
      <c r="AG27" s="4" cm="1">
        <f t="array" ref="AG27">INDEX(GMW!$A$2:$NF$150,MATCH(1,(GMW!$NE$2:$NE$150=AG$3)*(GMW!$ND$2:$ND$150=AG$4)*(GMW!$NF$2:$NF$150=AG$1),0),$C27-1966)</f>
        <v>-1.9409700000000001</v>
      </c>
      <c r="AH27" s="4" cm="1">
        <f t="array" ref="AH27">INDEX(GMW!$A$2:$NF$150,MATCH(1,(GMW!$NE$2:$NE$150=AH$3)*(GMW!$ND$2:$ND$150=AH$4)*(GMW!$NF$2:$NF$150=AH$1),0),$C27-1966)</f>
        <v>256193</v>
      </c>
      <c r="AI27" s="4" cm="1">
        <f t="array" ref="AI27">INDEX(GMW!$A$2:$NF$150,MATCH(1,(GMW!$NE$2:$NE$150=AI$3)*(GMW!$ND$2:$ND$150=AI$4)*(GMW!$NF$2:$NF$150=AI$1),0),$C27-1966)</f>
        <v>24.452780000000001</v>
      </c>
      <c r="AJ27" s="4" cm="1">
        <f t="array" ref="AJ27">INDEX(GMW!$A$2:$NF$150,MATCH(1,(GMW!$NE$2:$NE$150=AJ$3)*(GMW!$ND$2:$ND$150=AJ$4)*(GMW!$NF$2:$NF$150=AJ$1),0),$C27-1966)</f>
        <v>44831</v>
      </c>
      <c r="AK27" s="4" cm="1">
        <f t="array" ref="AK27">INDEX(GMW!$A$2:$NF$150,MATCH(1,(GMW!$NE$2:$NE$150=AK$3)*(GMW!$ND$2:$ND$150=AK$4)*(GMW!$NF$2:$NF$150=AK$1),0),$C27-1966)</f>
        <v>17137.45</v>
      </c>
      <c r="AL27" s="4" cm="1">
        <f t="array" ref="AL27">INDEX(GMW!$A$2:$NF$150,MATCH(1,(GMW!$NE$2:$NE$150=AL$3)*(GMW!$ND$2:$ND$150=AL$4)*(GMW!$NF$2:$NF$150=AL$1),0),$C27-1966)</f>
        <v>37167</v>
      </c>
      <c r="AM27" s="4" cm="1">
        <f t="array" ref="AM27">INDEX(GMW!$A$2:$NF$150,MATCH(1,(GMW!$NE$2:$NE$150=AM$3)*(GMW!$ND$2:$ND$150=AM$4)*(GMW!$NF$2:$NF$150=AM$1),0),$C27-1966)</f>
        <v>7081.6750000000002</v>
      </c>
      <c r="AN27" s="4" cm="1">
        <f t="array" ref="AN27">INDEX(GMW!$A$2:$NF$150,MATCH(1,(GMW!$NE$2:$NE$150=AN$3)*(GMW!$ND$2:$ND$150=AN$4)*(GMW!$NF$2:$NF$150=AN$1),0),$C27-1966)</f>
        <v>46164</v>
      </c>
      <c r="AO27" s="4" cm="1">
        <f t="array" ref="AO27">INDEX(GMW!$A$2:$NF$150,MATCH(1,(GMW!$NE$2:$NE$150=AO$3)*(GMW!$ND$2:$ND$150=AO$4)*(GMW!$NF$2:$NF$150=AO$1),0),$C27-1966)</f>
        <v>18171.86</v>
      </c>
      <c r="AP27" s="4" cm="1">
        <f t="array" ref="AP27">INDEX(GMW!$A$2:$NF$150,MATCH(1,(GMW!$NE$2:$NE$150=AP$3)*(GMW!$ND$2:$ND$150=AP$4)*(GMW!$NF$2:$NF$150=AP$1),0),$C27-1966)</f>
        <v>256193</v>
      </c>
      <c r="AQ27" s="4" cm="1">
        <f t="array" ref="AQ27">INDEX(GMW!$A$2:$NF$150,MATCH(1,(GMW!$NE$2:$NE$150=AQ$3)*(GMW!$ND$2:$ND$150=AQ$4)*(GMW!$NF$2:$NF$150=AQ$1),0),$C27-1966)</f>
        <v>24729.5</v>
      </c>
      <c r="AR27" s="4" cm="1">
        <f t="array" ref="AR27">INDEX(GMW!$A$2:$NF$150,MATCH(1,(GMW!$NE$2:$NE$150=AR$3)*(GMW!$ND$2:$ND$150=AR$4)*(GMW!$NF$2:$NF$150=AR$1),0),$C27-1966)</f>
        <v>1E-3</v>
      </c>
      <c r="AS27" s="4" cm="1">
        <f t="array" ref="AS27">INDEX(GMW!$A$2:$NF$150,MATCH(1,(GMW!$NE$2:$NE$150=AS$3)*(GMW!$ND$2:$ND$150=AS$4)*(GMW!$NF$2:$NF$150=AS$1),0),$C27-1966)</f>
        <v>297110.90000000002</v>
      </c>
      <c r="AT27" s="4" cm="1">
        <f t="array" ref="AT27">INDEX(GMW!$A$2:$NF$150,MATCH(1,(GMW!$NE$2:$NE$150=AT$3)*(GMW!$ND$2:$ND$150=AT$4)*(GMW!$NF$2:$NF$150=AT$1),0),$C27-1966)</f>
        <v>35600.879999999997</v>
      </c>
      <c r="AU27" s="4" cm="1">
        <f t="array" ref="AU27">INDEX(GMW!$A$2:$NF$150,MATCH(1,(GMW!$NE$2:$NE$150=AU$3)*(GMW!$ND$2:$ND$150=AU$4)*(GMW!$NF$2:$NF$150=AU$1),0),$C27-1966)</f>
        <v>1207570</v>
      </c>
      <c r="AV27" s="4" cm="1">
        <f t="array" ref="AV27">INDEX(GMW!$A$2:$NF$150,MATCH(1,(GMW!$NE$2:$NE$150=AV$3)*(GMW!$ND$2:$ND$150=AV$4)*(GMW!$NF$2:$NF$150=AV$1),0),$C27-1966)</f>
        <v>-1.9409700000000001</v>
      </c>
    </row>
    <row r="28" spans="1:48" x14ac:dyDescent="0.25">
      <c r="B28" s="4">
        <f t="shared" si="4"/>
        <v>1978</v>
      </c>
      <c r="C28" s="4">
        <f t="shared" si="3"/>
        <v>1994</v>
      </c>
      <c r="D28" s="4" cm="1">
        <f t="array" ref="D28">INDEX(GMW!$A$2:$NF$150,MATCH(1,(GMW!$NE$2:$NE$150=D$3)*(GMW!$ND$2:$ND$150=D$4)*(GMW!$NF$2:$NF$150=D$1),0),$C28-1966)</f>
        <v>259127</v>
      </c>
      <c r="E28" s="4" cm="1">
        <f t="array" ref="E28">INDEX(GMW!$A$2:$NF$150,MATCH(1,(GMW!$NE$2:$NE$150=E$3)*(GMW!$ND$2:$ND$150=E$4)*(GMW!$NF$2:$NF$150=E$1),0),$C28-1966)</f>
        <v>25.078440000000001</v>
      </c>
      <c r="F28" s="4" cm="1">
        <f t="array" ref="F28">INDEX(GMW!$A$2:$NF$150,MATCH(1,(GMW!$NE$2:$NE$150=F$3)*(GMW!$ND$2:$ND$150=F$4)*(GMW!$NF$2:$NF$150=F$1),0),$C28-1966)</f>
        <v>45606</v>
      </c>
      <c r="G28" s="4" cm="1">
        <f t="array" ref="G28">INDEX(GMW!$A$2:$NF$150,MATCH(1,(GMW!$NE$2:$NE$150=G$3)*(GMW!$ND$2:$ND$150=G$4)*(GMW!$NF$2:$NF$150=G$1),0),$C28-1966)</f>
        <v>18068.150000000001</v>
      </c>
      <c r="H28" s="4" cm="1">
        <f t="array" ref="H28">INDEX(GMW!$A$2:$NF$150,MATCH(1,(GMW!$NE$2:$NE$150=H$3)*(GMW!$ND$2:$ND$150=H$4)*(GMW!$NF$2:$NF$150=H$1),0),$C28-1966)</f>
        <v>37390</v>
      </c>
      <c r="I28" s="4" cm="1">
        <f t="array" ref="I28">INDEX(GMW!$A$2:$NF$150,MATCH(1,(GMW!$NE$2:$NE$150=I$3)*(GMW!$ND$2:$ND$150=I$4)*(GMW!$NF$2:$NF$150=I$1),0),$C28-1966)</f>
        <v>9653.2999999999993</v>
      </c>
      <c r="J28" s="4" cm="1">
        <f t="array" ref="J28">INDEX(GMW!$A$2:$NF$150,MATCH(1,(GMW!$NE$2:$NE$150=J$3)*(GMW!$ND$2:$ND$150=J$4)*(GMW!$NF$2:$NF$150=J$1),0),$C28-1966)</f>
        <v>46246</v>
      </c>
      <c r="K28" s="4" cm="1">
        <f t="array" ref="K28">INDEX(GMW!$A$2:$NF$150,MATCH(1,(GMW!$NE$2:$NE$150=K$3)*(GMW!$ND$2:$ND$150=K$4)*(GMW!$NF$2:$NF$150=K$1),0),$C28-1966)</f>
        <v>18430.91</v>
      </c>
      <c r="L28" s="4" cm="1">
        <f t="array" ref="L28">INDEX(GMW!$A$2:$NF$150,MATCH(1,(GMW!$NE$2:$NE$150=L$3)*(GMW!$ND$2:$ND$150=L$4)*(GMW!$NF$2:$NF$150=L$1),0),$C28-1966)</f>
        <v>257406</v>
      </c>
      <c r="M28" s="4" cm="1">
        <f t="array" ref="M28">INDEX(GMW!$A$2:$NF$150,MATCH(1,(GMW!$NE$2:$NE$150=M$3)*(GMW!$ND$2:$ND$150=M$4)*(GMW!$NF$2:$NF$150=M$1),0),$C28-1966)</f>
        <v>24699.32</v>
      </c>
      <c r="N28" s="4" cm="1">
        <f t="array" ref="N28">INDEX(GMW!$A$2:$NF$150,MATCH(1,(GMW!$NE$2:$NE$150=N$3)*(GMW!$ND$2:$ND$150=N$4)*(GMW!$NF$2:$NF$150=N$1),0),$C28-1966)</f>
        <v>1E-3</v>
      </c>
      <c r="O28" s="4" cm="1">
        <f t="array" ref="O28">INDEX(GMW!$A$2:$NF$150,MATCH(1,(GMW!$NE$2:$NE$150=O$3)*(GMW!$ND$2:$ND$150=O$4)*(GMW!$NF$2:$NF$150=O$1),0),$C28-1966)</f>
        <v>297594.09999999998</v>
      </c>
      <c r="P28" s="4" cm="1">
        <f t="array" ref="P28">INDEX(GMW!$A$2:$NF$150,MATCH(1,(GMW!$NE$2:$NE$150=P$3)*(GMW!$ND$2:$ND$150=P$4)*(GMW!$NF$2:$NF$150=P$1),0),$C28-1966)</f>
        <v>35640.83</v>
      </c>
      <c r="Q28" s="4" cm="1">
        <f t="array" ref="Q28">INDEX(GMW!$A$2:$NF$150,MATCH(1,(GMW!$NE$2:$NE$150=Q$3)*(GMW!$ND$2:$ND$150=Q$4)*(GMW!$NF$2:$NF$150=Q$1),0),$C28-1966)</f>
        <v>1215212</v>
      </c>
      <c r="R28" s="4" cm="1">
        <f t="array" ref="R28">INDEX(GMW!$A$2:$NF$150,MATCH(1,(GMW!$NE$2:$NE$150=R$3)*(GMW!$ND$2:$ND$150=R$4)*(GMW!$NF$2:$NF$150=R$1),0),$C28-1966)</f>
        <v>-1.9378249999999999</v>
      </c>
      <c r="S28" s="4" cm="1">
        <f t="array" ref="S28">INDEX(GMW!$A$2:$NF$150,MATCH(1,(GMW!$NE$2:$NE$150=S$3)*(GMW!$ND$2:$ND$150=S$4)*(GMW!$NF$2:$NF$150=S$1),0),$C28-1966)</f>
        <v>259127</v>
      </c>
      <c r="T28" s="4" cm="1">
        <f t="array" ref="T28">INDEX(GMW!$A$2:$NF$150,MATCH(1,(GMW!$NE$2:$NE$150=T$3)*(GMW!$ND$2:$ND$150=T$4)*(GMW!$NF$2:$NF$150=T$1),0),$C28-1966)</f>
        <v>25.078440000000001</v>
      </c>
      <c r="U28" s="4" cm="1">
        <f t="array" ref="U28">INDEX(GMW!$A$2:$NF$150,MATCH(1,(GMW!$NE$2:$NE$150=U$3)*(GMW!$ND$2:$ND$150=U$4)*(GMW!$NF$2:$NF$150=U$1),0),$C28-1966)</f>
        <v>45606</v>
      </c>
      <c r="V28" s="4" cm="1">
        <f t="array" ref="V28">INDEX(GMW!$A$2:$NF$150,MATCH(1,(GMW!$NE$2:$NE$150=V$3)*(GMW!$ND$2:$ND$150=V$4)*(GMW!$NF$2:$NF$150=V$1),0),$C28-1966)</f>
        <v>18068.150000000001</v>
      </c>
      <c r="W28" s="4" cm="1">
        <f t="array" ref="W28">INDEX(GMW!$A$2:$NF$150,MATCH(1,(GMW!$NE$2:$NE$150=W$3)*(GMW!$ND$2:$ND$150=W$4)*(GMW!$NF$2:$NF$150=W$1),0),$C28-1966)</f>
        <v>37390</v>
      </c>
      <c r="X28" s="4" cm="1">
        <f t="array" ref="X28">INDEX(GMW!$A$2:$NF$150,MATCH(1,(GMW!$NE$2:$NE$150=X$3)*(GMW!$ND$2:$ND$150=X$4)*(GMW!$NF$2:$NF$150=X$1),0),$C28-1966)</f>
        <v>9653.2999999999993</v>
      </c>
      <c r="Y28" s="4" cm="1">
        <f t="array" ref="Y28">INDEX(GMW!$A$2:$NF$150,MATCH(1,(GMW!$NE$2:$NE$150=Y$3)*(GMW!$ND$2:$ND$150=Y$4)*(GMW!$NF$2:$NF$150=Y$1),0),$C28-1966)</f>
        <v>46246</v>
      </c>
      <c r="Z28" s="4" cm="1">
        <f t="array" ref="Z28">INDEX(GMW!$A$2:$NF$150,MATCH(1,(GMW!$NE$2:$NE$150=Z$3)*(GMW!$ND$2:$ND$150=Z$4)*(GMW!$NF$2:$NF$150=Z$1),0),$C28-1966)</f>
        <v>18430.91</v>
      </c>
      <c r="AA28" s="4" cm="1">
        <f t="array" ref="AA28">INDEX(GMW!$A$2:$NF$150,MATCH(1,(GMW!$NE$2:$NE$150=AA$3)*(GMW!$ND$2:$ND$150=AA$4)*(GMW!$NF$2:$NF$150=AA$1),0),$C28-1966)</f>
        <v>257406</v>
      </c>
      <c r="AB28" s="4" cm="1">
        <f t="array" ref="AB28">INDEX(GMW!$A$2:$NF$150,MATCH(1,(GMW!$NE$2:$NE$150=AB$3)*(GMW!$ND$2:$ND$150=AB$4)*(GMW!$NF$2:$NF$150=AB$1),0),$C28-1966)</f>
        <v>24699.32</v>
      </c>
      <c r="AC28" s="4" cm="1">
        <f t="array" ref="AC28">INDEX(GMW!$A$2:$NF$150,MATCH(1,(GMW!$NE$2:$NE$150=AC$3)*(GMW!$ND$2:$ND$150=AC$4)*(GMW!$NF$2:$NF$150=AC$1),0),$C28-1966)</f>
        <v>1E-3</v>
      </c>
      <c r="AD28" s="4" cm="1">
        <f t="array" ref="AD28">INDEX(GMW!$A$2:$NF$150,MATCH(1,(GMW!$NE$2:$NE$150=AD$3)*(GMW!$ND$2:$ND$150=AD$4)*(GMW!$NF$2:$NF$150=AD$1),0),$C28-1966)</f>
        <v>297594.09999999998</v>
      </c>
      <c r="AE28" s="4" cm="1">
        <f t="array" ref="AE28">INDEX(GMW!$A$2:$NF$150,MATCH(1,(GMW!$NE$2:$NE$150=AE$3)*(GMW!$ND$2:$ND$150=AE$4)*(GMW!$NF$2:$NF$150=AE$1),0),$C28-1966)</f>
        <v>35640.83</v>
      </c>
      <c r="AF28" s="4" cm="1">
        <f t="array" ref="AF28">INDEX(GMW!$A$2:$NF$150,MATCH(1,(GMW!$NE$2:$NE$150=AF$3)*(GMW!$ND$2:$ND$150=AF$4)*(GMW!$NF$2:$NF$150=AF$1),0),$C28-1966)</f>
        <v>1215212</v>
      </c>
      <c r="AG28" s="4" cm="1">
        <f t="array" ref="AG28">INDEX(GMW!$A$2:$NF$150,MATCH(1,(GMW!$NE$2:$NE$150=AG$3)*(GMW!$ND$2:$ND$150=AG$4)*(GMW!$NF$2:$NF$150=AG$1),0),$C28-1966)</f>
        <v>-1.9378249999999999</v>
      </c>
      <c r="AH28" s="4" cm="1">
        <f t="array" ref="AH28">INDEX(GMW!$A$2:$NF$150,MATCH(1,(GMW!$NE$2:$NE$150=AH$3)*(GMW!$ND$2:$ND$150=AH$4)*(GMW!$NF$2:$NF$150=AH$1),0),$C28-1966)</f>
        <v>259127</v>
      </c>
      <c r="AI28" s="4" cm="1">
        <f t="array" ref="AI28">INDEX(GMW!$A$2:$NF$150,MATCH(1,(GMW!$NE$2:$NE$150=AI$3)*(GMW!$ND$2:$ND$150=AI$4)*(GMW!$NF$2:$NF$150=AI$1),0),$C28-1966)</f>
        <v>25.078440000000001</v>
      </c>
      <c r="AJ28" s="4" cm="1">
        <f t="array" ref="AJ28">INDEX(GMW!$A$2:$NF$150,MATCH(1,(GMW!$NE$2:$NE$150=AJ$3)*(GMW!$ND$2:$ND$150=AJ$4)*(GMW!$NF$2:$NF$150=AJ$1),0),$C28-1966)</f>
        <v>45606</v>
      </c>
      <c r="AK28" s="4" cm="1">
        <f t="array" ref="AK28">INDEX(GMW!$A$2:$NF$150,MATCH(1,(GMW!$NE$2:$NE$150=AK$3)*(GMW!$ND$2:$ND$150=AK$4)*(GMW!$NF$2:$NF$150=AK$1),0),$C28-1966)</f>
        <v>18068.150000000001</v>
      </c>
      <c r="AL28" s="4" cm="1">
        <f t="array" ref="AL28">INDEX(GMW!$A$2:$NF$150,MATCH(1,(GMW!$NE$2:$NE$150=AL$3)*(GMW!$ND$2:$ND$150=AL$4)*(GMW!$NF$2:$NF$150=AL$1),0),$C28-1966)</f>
        <v>37390</v>
      </c>
      <c r="AM28" s="4" cm="1">
        <f t="array" ref="AM28">INDEX(GMW!$A$2:$NF$150,MATCH(1,(GMW!$NE$2:$NE$150=AM$3)*(GMW!$ND$2:$ND$150=AM$4)*(GMW!$NF$2:$NF$150=AM$1),0),$C28-1966)</f>
        <v>9653.2999999999993</v>
      </c>
      <c r="AN28" s="4" cm="1">
        <f t="array" ref="AN28">INDEX(GMW!$A$2:$NF$150,MATCH(1,(GMW!$NE$2:$NE$150=AN$3)*(GMW!$ND$2:$ND$150=AN$4)*(GMW!$NF$2:$NF$150=AN$1),0),$C28-1966)</f>
        <v>46246</v>
      </c>
      <c r="AO28" s="4" cm="1">
        <f t="array" ref="AO28">INDEX(GMW!$A$2:$NF$150,MATCH(1,(GMW!$NE$2:$NE$150=AO$3)*(GMW!$ND$2:$ND$150=AO$4)*(GMW!$NF$2:$NF$150=AO$1),0),$C28-1966)</f>
        <v>18430.91</v>
      </c>
      <c r="AP28" s="4" cm="1">
        <f t="array" ref="AP28">INDEX(GMW!$A$2:$NF$150,MATCH(1,(GMW!$NE$2:$NE$150=AP$3)*(GMW!$ND$2:$ND$150=AP$4)*(GMW!$NF$2:$NF$150=AP$1),0),$C28-1966)</f>
        <v>257406</v>
      </c>
      <c r="AQ28" s="4" cm="1">
        <f t="array" ref="AQ28">INDEX(GMW!$A$2:$NF$150,MATCH(1,(GMW!$NE$2:$NE$150=AQ$3)*(GMW!$ND$2:$ND$150=AQ$4)*(GMW!$NF$2:$NF$150=AQ$1),0),$C28-1966)</f>
        <v>24699.32</v>
      </c>
      <c r="AR28" s="4" cm="1">
        <f t="array" ref="AR28">INDEX(GMW!$A$2:$NF$150,MATCH(1,(GMW!$NE$2:$NE$150=AR$3)*(GMW!$ND$2:$ND$150=AR$4)*(GMW!$NF$2:$NF$150=AR$1),0),$C28-1966)</f>
        <v>1E-3</v>
      </c>
      <c r="AS28" s="4" cm="1">
        <f t="array" ref="AS28">INDEX(GMW!$A$2:$NF$150,MATCH(1,(GMW!$NE$2:$NE$150=AS$3)*(GMW!$ND$2:$ND$150=AS$4)*(GMW!$NF$2:$NF$150=AS$1),0),$C28-1966)</f>
        <v>297594.09999999998</v>
      </c>
      <c r="AT28" s="4" cm="1">
        <f t="array" ref="AT28">INDEX(GMW!$A$2:$NF$150,MATCH(1,(GMW!$NE$2:$NE$150=AT$3)*(GMW!$ND$2:$ND$150=AT$4)*(GMW!$NF$2:$NF$150=AT$1),0),$C28-1966)</f>
        <v>35640.83</v>
      </c>
      <c r="AU28" s="4" cm="1">
        <f t="array" ref="AU28">INDEX(GMW!$A$2:$NF$150,MATCH(1,(GMW!$NE$2:$NE$150=AU$3)*(GMW!$ND$2:$ND$150=AU$4)*(GMW!$NF$2:$NF$150=AU$1),0),$C28-1966)</f>
        <v>1215212</v>
      </c>
      <c r="AV28" s="4" cm="1">
        <f t="array" ref="AV28">INDEX(GMW!$A$2:$NF$150,MATCH(1,(GMW!$NE$2:$NE$150=AV$3)*(GMW!$ND$2:$ND$150=AV$4)*(GMW!$NF$2:$NF$150=AV$1),0),$C28-1966)</f>
        <v>-1.9378249999999999</v>
      </c>
    </row>
    <row r="29" spans="1:48" x14ac:dyDescent="0.25">
      <c r="B29" s="4">
        <f t="shared" si="4"/>
        <v>1978</v>
      </c>
      <c r="C29" s="4">
        <f t="shared" si="3"/>
        <v>1995</v>
      </c>
      <c r="D29" s="4" cm="1">
        <f t="array" ref="D29">INDEX(GMW!$A$2:$NF$150,MATCH(1,(GMW!$NE$2:$NE$150=D$3)*(GMW!$ND$2:$ND$150=D$4)*(GMW!$NF$2:$NF$150=D$1),0),$C29-1966)</f>
        <v>262661</v>
      </c>
      <c r="E29" s="4" cm="1">
        <f t="array" ref="E29">INDEX(GMW!$A$2:$NF$150,MATCH(1,(GMW!$NE$2:$NE$150=E$3)*(GMW!$ND$2:$ND$150=E$4)*(GMW!$NF$2:$NF$150=E$1),0),$C29-1966)</f>
        <v>25.469480000000001</v>
      </c>
      <c r="F29" s="4" cm="1">
        <f t="array" ref="F29">INDEX(GMW!$A$2:$NF$150,MATCH(1,(GMW!$NE$2:$NE$150=F$3)*(GMW!$ND$2:$ND$150=F$4)*(GMW!$NF$2:$NF$150=F$1),0),$C29-1966)</f>
        <v>45784</v>
      </c>
      <c r="G29" s="4" cm="1">
        <f t="array" ref="G29">INDEX(GMW!$A$2:$NF$150,MATCH(1,(GMW!$NE$2:$NE$150=G$3)*(GMW!$ND$2:$ND$150=G$4)*(GMW!$NF$2:$NF$150=G$1),0),$C29-1966)</f>
        <v>16110.09</v>
      </c>
      <c r="H29" s="4" cm="1">
        <f t="array" ref="H29">INDEX(GMW!$A$2:$NF$150,MATCH(1,(GMW!$NE$2:$NE$150=H$3)*(GMW!$ND$2:$ND$150=H$4)*(GMW!$NF$2:$NF$150=H$1),0),$C29-1966)</f>
        <v>37335</v>
      </c>
      <c r="I29" s="4" cm="1">
        <f t="array" ref="I29">INDEX(GMW!$A$2:$NF$150,MATCH(1,(GMW!$NE$2:$NE$150=I$3)*(GMW!$ND$2:$ND$150=I$4)*(GMW!$NF$2:$NF$150=I$1),0),$C29-1966)</f>
        <v>7523.625</v>
      </c>
      <c r="J29" s="4" cm="1">
        <f t="array" ref="J29">INDEX(GMW!$A$2:$NF$150,MATCH(1,(GMW!$NE$2:$NE$150=J$3)*(GMW!$ND$2:$ND$150=J$4)*(GMW!$NF$2:$NF$150=J$1),0),$C29-1966)</f>
        <v>46206</v>
      </c>
      <c r="K29" s="4" cm="1">
        <f t="array" ref="K29">INDEX(GMW!$A$2:$NF$150,MATCH(1,(GMW!$NE$2:$NE$150=K$3)*(GMW!$ND$2:$ND$150=K$4)*(GMW!$NF$2:$NF$150=K$1),0),$C29-1966)</f>
        <v>17861.330000000002</v>
      </c>
      <c r="L29" s="4" cm="1">
        <f t="array" ref="L29">INDEX(GMW!$A$2:$NF$150,MATCH(1,(GMW!$NE$2:$NE$150=L$3)*(GMW!$ND$2:$ND$150=L$4)*(GMW!$NF$2:$NF$150=L$1),0),$C29-1966)</f>
        <v>258678.39999999999</v>
      </c>
      <c r="M29" s="4" cm="1">
        <f t="array" ref="M29">INDEX(GMW!$A$2:$NF$150,MATCH(1,(GMW!$NE$2:$NE$150=M$3)*(GMW!$ND$2:$ND$150=M$4)*(GMW!$NF$2:$NF$150=M$1),0),$C29-1966)</f>
        <v>24680.26</v>
      </c>
      <c r="N29" s="4" cm="1">
        <f t="array" ref="N29">INDEX(GMW!$A$2:$NF$150,MATCH(1,(GMW!$NE$2:$NE$150=N$3)*(GMW!$ND$2:$ND$150=N$4)*(GMW!$NF$2:$NF$150=N$1),0),$C29-1966)</f>
        <v>1E-3</v>
      </c>
      <c r="O29" s="4" cm="1">
        <f t="array" ref="O29">INDEX(GMW!$A$2:$NF$150,MATCH(1,(GMW!$NE$2:$NE$150=O$3)*(GMW!$ND$2:$ND$150=O$4)*(GMW!$NF$2:$NF$150=O$1),0),$C29-1966)</f>
        <v>298124.7</v>
      </c>
      <c r="P29" s="4" cm="1">
        <f t="array" ref="P29">INDEX(GMW!$A$2:$NF$150,MATCH(1,(GMW!$NE$2:$NE$150=P$3)*(GMW!$ND$2:$ND$150=P$4)*(GMW!$NF$2:$NF$150=P$1),0),$C29-1966)</f>
        <v>35694.160000000003</v>
      </c>
      <c r="Q29" s="4" cm="1">
        <f t="array" ref="Q29">INDEX(GMW!$A$2:$NF$150,MATCH(1,(GMW!$NE$2:$NE$150=Q$3)*(GMW!$ND$2:$ND$150=Q$4)*(GMW!$NF$2:$NF$150=Q$1),0),$C29-1966)</f>
        <v>1222854</v>
      </c>
      <c r="R29" s="4" cm="1">
        <f t="array" ref="R29">INDEX(GMW!$A$2:$NF$150,MATCH(1,(GMW!$NE$2:$NE$150=R$3)*(GMW!$ND$2:$ND$150=R$4)*(GMW!$NF$2:$NF$150=R$1),0),$C29-1966)</f>
        <v>-1.9346859999999999</v>
      </c>
      <c r="S29" s="4" cm="1">
        <f t="array" ref="S29">INDEX(GMW!$A$2:$NF$150,MATCH(1,(GMW!$NE$2:$NE$150=S$3)*(GMW!$ND$2:$ND$150=S$4)*(GMW!$NF$2:$NF$150=S$1),0),$C29-1966)</f>
        <v>262661</v>
      </c>
      <c r="T29" s="4" cm="1">
        <f t="array" ref="T29">INDEX(GMW!$A$2:$NF$150,MATCH(1,(GMW!$NE$2:$NE$150=T$3)*(GMW!$ND$2:$ND$150=T$4)*(GMW!$NF$2:$NF$150=T$1),0),$C29-1966)</f>
        <v>25.469480000000001</v>
      </c>
      <c r="U29" s="4" cm="1">
        <f t="array" ref="U29">INDEX(GMW!$A$2:$NF$150,MATCH(1,(GMW!$NE$2:$NE$150=U$3)*(GMW!$ND$2:$ND$150=U$4)*(GMW!$NF$2:$NF$150=U$1),0),$C29-1966)</f>
        <v>45784</v>
      </c>
      <c r="V29" s="4" cm="1">
        <f t="array" ref="V29">INDEX(GMW!$A$2:$NF$150,MATCH(1,(GMW!$NE$2:$NE$150=V$3)*(GMW!$ND$2:$ND$150=V$4)*(GMW!$NF$2:$NF$150=V$1),0),$C29-1966)</f>
        <v>16110.09</v>
      </c>
      <c r="W29" s="4" cm="1">
        <f t="array" ref="W29">INDEX(GMW!$A$2:$NF$150,MATCH(1,(GMW!$NE$2:$NE$150=W$3)*(GMW!$ND$2:$ND$150=W$4)*(GMW!$NF$2:$NF$150=W$1),0),$C29-1966)</f>
        <v>37335</v>
      </c>
      <c r="X29" s="4" cm="1">
        <f t="array" ref="X29">INDEX(GMW!$A$2:$NF$150,MATCH(1,(GMW!$NE$2:$NE$150=X$3)*(GMW!$ND$2:$ND$150=X$4)*(GMW!$NF$2:$NF$150=X$1),0),$C29-1966)</f>
        <v>7523.625</v>
      </c>
      <c r="Y29" s="4" cm="1">
        <f t="array" ref="Y29">INDEX(GMW!$A$2:$NF$150,MATCH(1,(GMW!$NE$2:$NE$150=Y$3)*(GMW!$ND$2:$ND$150=Y$4)*(GMW!$NF$2:$NF$150=Y$1),0),$C29-1966)</f>
        <v>46206</v>
      </c>
      <c r="Z29" s="4" cm="1">
        <f t="array" ref="Z29">INDEX(GMW!$A$2:$NF$150,MATCH(1,(GMW!$NE$2:$NE$150=Z$3)*(GMW!$ND$2:$ND$150=Z$4)*(GMW!$NF$2:$NF$150=Z$1),0),$C29-1966)</f>
        <v>17861.330000000002</v>
      </c>
      <c r="AA29" s="4" cm="1">
        <f t="array" ref="AA29">INDEX(GMW!$A$2:$NF$150,MATCH(1,(GMW!$NE$2:$NE$150=AA$3)*(GMW!$ND$2:$ND$150=AA$4)*(GMW!$NF$2:$NF$150=AA$1),0),$C29-1966)</f>
        <v>258678.39999999999</v>
      </c>
      <c r="AB29" s="4" cm="1">
        <f t="array" ref="AB29">INDEX(GMW!$A$2:$NF$150,MATCH(1,(GMW!$NE$2:$NE$150=AB$3)*(GMW!$ND$2:$ND$150=AB$4)*(GMW!$NF$2:$NF$150=AB$1),0),$C29-1966)</f>
        <v>24680.26</v>
      </c>
      <c r="AC29" s="4" cm="1">
        <f t="array" ref="AC29">INDEX(GMW!$A$2:$NF$150,MATCH(1,(GMW!$NE$2:$NE$150=AC$3)*(GMW!$ND$2:$ND$150=AC$4)*(GMW!$NF$2:$NF$150=AC$1),0),$C29-1966)</f>
        <v>1E-3</v>
      </c>
      <c r="AD29" s="4" cm="1">
        <f t="array" ref="AD29">INDEX(GMW!$A$2:$NF$150,MATCH(1,(GMW!$NE$2:$NE$150=AD$3)*(GMW!$ND$2:$ND$150=AD$4)*(GMW!$NF$2:$NF$150=AD$1),0),$C29-1966)</f>
        <v>298124.7</v>
      </c>
      <c r="AE29" s="4" cm="1">
        <f t="array" ref="AE29">INDEX(GMW!$A$2:$NF$150,MATCH(1,(GMW!$NE$2:$NE$150=AE$3)*(GMW!$ND$2:$ND$150=AE$4)*(GMW!$NF$2:$NF$150=AE$1),0),$C29-1966)</f>
        <v>35694.160000000003</v>
      </c>
      <c r="AF29" s="4" cm="1">
        <f t="array" ref="AF29">INDEX(GMW!$A$2:$NF$150,MATCH(1,(GMW!$NE$2:$NE$150=AF$3)*(GMW!$ND$2:$ND$150=AF$4)*(GMW!$NF$2:$NF$150=AF$1),0),$C29-1966)</f>
        <v>1222854</v>
      </c>
      <c r="AG29" s="4" cm="1">
        <f t="array" ref="AG29">INDEX(GMW!$A$2:$NF$150,MATCH(1,(GMW!$NE$2:$NE$150=AG$3)*(GMW!$ND$2:$ND$150=AG$4)*(GMW!$NF$2:$NF$150=AG$1),0),$C29-1966)</f>
        <v>-1.9346859999999999</v>
      </c>
      <c r="AH29" s="4" cm="1">
        <f t="array" ref="AH29">INDEX(GMW!$A$2:$NF$150,MATCH(1,(GMW!$NE$2:$NE$150=AH$3)*(GMW!$ND$2:$ND$150=AH$4)*(GMW!$NF$2:$NF$150=AH$1),0),$C29-1966)</f>
        <v>262661</v>
      </c>
      <c r="AI29" s="4" cm="1">
        <f t="array" ref="AI29">INDEX(GMW!$A$2:$NF$150,MATCH(1,(GMW!$NE$2:$NE$150=AI$3)*(GMW!$ND$2:$ND$150=AI$4)*(GMW!$NF$2:$NF$150=AI$1),0),$C29-1966)</f>
        <v>25.469480000000001</v>
      </c>
      <c r="AJ29" s="4" cm="1">
        <f t="array" ref="AJ29">INDEX(GMW!$A$2:$NF$150,MATCH(1,(GMW!$NE$2:$NE$150=AJ$3)*(GMW!$ND$2:$ND$150=AJ$4)*(GMW!$NF$2:$NF$150=AJ$1),0),$C29-1966)</f>
        <v>45784</v>
      </c>
      <c r="AK29" s="4" cm="1">
        <f t="array" ref="AK29">INDEX(GMW!$A$2:$NF$150,MATCH(1,(GMW!$NE$2:$NE$150=AK$3)*(GMW!$ND$2:$ND$150=AK$4)*(GMW!$NF$2:$NF$150=AK$1),0),$C29-1966)</f>
        <v>16110.09</v>
      </c>
      <c r="AL29" s="4" cm="1">
        <f t="array" ref="AL29">INDEX(GMW!$A$2:$NF$150,MATCH(1,(GMW!$NE$2:$NE$150=AL$3)*(GMW!$ND$2:$ND$150=AL$4)*(GMW!$NF$2:$NF$150=AL$1),0),$C29-1966)</f>
        <v>37335</v>
      </c>
      <c r="AM29" s="4" cm="1">
        <f t="array" ref="AM29">INDEX(GMW!$A$2:$NF$150,MATCH(1,(GMW!$NE$2:$NE$150=AM$3)*(GMW!$ND$2:$ND$150=AM$4)*(GMW!$NF$2:$NF$150=AM$1),0),$C29-1966)</f>
        <v>7523.625</v>
      </c>
      <c r="AN29" s="4" cm="1">
        <f t="array" ref="AN29">INDEX(GMW!$A$2:$NF$150,MATCH(1,(GMW!$NE$2:$NE$150=AN$3)*(GMW!$ND$2:$ND$150=AN$4)*(GMW!$NF$2:$NF$150=AN$1),0),$C29-1966)</f>
        <v>46206</v>
      </c>
      <c r="AO29" s="4" cm="1">
        <f t="array" ref="AO29">INDEX(GMW!$A$2:$NF$150,MATCH(1,(GMW!$NE$2:$NE$150=AO$3)*(GMW!$ND$2:$ND$150=AO$4)*(GMW!$NF$2:$NF$150=AO$1),0),$C29-1966)</f>
        <v>17861.330000000002</v>
      </c>
      <c r="AP29" s="4" cm="1">
        <f t="array" ref="AP29">INDEX(GMW!$A$2:$NF$150,MATCH(1,(GMW!$NE$2:$NE$150=AP$3)*(GMW!$ND$2:$ND$150=AP$4)*(GMW!$NF$2:$NF$150=AP$1),0),$C29-1966)</f>
        <v>258678.39999999999</v>
      </c>
      <c r="AQ29" s="4" cm="1">
        <f t="array" ref="AQ29">INDEX(GMW!$A$2:$NF$150,MATCH(1,(GMW!$NE$2:$NE$150=AQ$3)*(GMW!$ND$2:$ND$150=AQ$4)*(GMW!$NF$2:$NF$150=AQ$1),0),$C29-1966)</f>
        <v>24680.26</v>
      </c>
      <c r="AR29" s="4" cm="1">
        <f t="array" ref="AR29">INDEX(GMW!$A$2:$NF$150,MATCH(1,(GMW!$NE$2:$NE$150=AR$3)*(GMW!$ND$2:$ND$150=AR$4)*(GMW!$NF$2:$NF$150=AR$1),0),$C29-1966)</f>
        <v>1E-3</v>
      </c>
      <c r="AS29" s="4" cm="1">
        <f t="array" ref="AS29">INDEX(GMW!$A$2:$NF$150,MATCH(1,(GMW!$NE$2:$NE$150=AS$3)*(GMW!$ND$2:$ND$150=AS$4)*(GMW!$NF$2:$NF$150=AS$1),0),$C29-1966)</f>
        <v>298124.7</v>
      </c>
      <c r="AT29" s="4" cm="1">
        <f t="array" ref="AT29">INDEX(GMW!$A$2:$NF$150,MATCH(1,(GMW!$NE$2:$NE$150=AT$3)*(GMW!$ND$2:$ND$150=AT$4)*(GMW!$NF$2:$NF$150=AT$1),0),$C29-1966)</f>
        <v>35694.160000000003</v>
      </c>
      <c r="AU29" s="4" cm="1">
        <f t="array" ref="AU29">INDEX(GMW!$A$2:$NF$150,MATCH(1,(GMW!$NE$2:$NE$150=AU$3)*(GMW!$ND$2:$ND$150=AU$4)*(GMW!$NF$2:$NF$150=AU$1),0),$C29-1966)</f>
        <v>1222854</v>
      </c>
      <c r="AV29" s="4" cm="1">
        <f t="array" ref="AV29">INDEX(GMW!$A$2:$NF$150,MATCH(1,(GMW!$NE$2:$NE$150=AV$3)*(GMW!$ND$2:$ND$150=AV$4)*(GMW!$NF$2:$NF$150=AV$1),0),$C29-1966)</f>
        <v>-1.9346859999999999</v>
      </c>
    </row>
    <row r="30" spans="1:48" x14ac:dyDescent="0.25">
      <c r="B30" s="4">
        <f t="shared" si="4"/>
        <v>1978</v>
      </c>
      <c r="C30" s="4">
        <f t="shared" si="3"/>
        <v>1996</v>
      </c>
      <c r="D30" s="4" cm="1">
        <f t="array" ref="D30">INDEX(GMW!$A$2:$NF$150,MATCH(1,(GMW!$NE$2:$NE$150=D$3)*(GMW!$ND$2:$ND$150=D$4)*(GMW!$NF$2:$NF$150=D$1),0),$C30-1966)</f>
        <v>264972</v>
      </c>
      <c r="E30" s="4" cm="1">
        <f t="array" ref="E30">INDEX(GMW!$A$2:$NF$150,MATCH(1,(GMW!$NE$2:$NE$150=E$3)*(GMW!$ND$2:$ND$150=E$4)*(GMW!$NF$2:$NF$150=E$1),0),$C30-1966)</f>
        <v>25.860510000000001</v>
      </c>
      <c r="F30" s="4" cm="1">
        <f t="array" ref="F30">INDEX(GMW!$A$2:$NF$150,MATCH(1,(GMW!$NE$2:$NE$150=F$3)*(GMW!$ND$2:$ND$150=F$4)*(GMW!$NF$2:$NF$150=F$1),0),$C30-1966)</f>
        <v>45705</v>
      </c>
      <c r="G30" s="4" cm="1">
        <f t="array" ref="G30">INDEX(GMW!$A$2:$NF$150,MATCH(1,(GMW!$NE$2:$NE$150=G$3)*(GMW!$ND$2:$ND$150=G$4)*(GMW!$NF$2:$NF$150=G$1),0),$C30-1966)</f>
        <v>16562.86</v>
      </c>
      <c r="H30" s="4" cm="1">
        <f t="array" ref="H30">INDEX(GMW!$A$2:$NF$150,MATCH(1,(GMW!$NE$2:$NE$150=H$3)*(GMW!$ND$2:$ND$150=H$4)*(GMW!$NF$2:$NF$150=H$1),0),$C30-1966)</f>
        <v>35142</v>
      </c>
      <c r="I30" s="4" cm="1">
        <f t="array" ref="I30">INDEX(GMW!$A$2:$NF$150,MATCH(1,(GMW!$NE$2:$NE$150=I$3)*(GMW!$ND$2:$ND$150=I$4)*(GMW!$NF$2:$NF$150=I$1),0),$C30-1966)</f>
        <v>6482.5</v>
      </c>
      <c r="J30" s="4" cm="1">
        <f t="array" ref="J30">INDEX(GMW!$A$2:$NF$150,MATCH(1,(GMW!$NE$2:$NE$150=J$3)*(GMW!$ND$2:$ND$150=J$4)*(GMW!$NF$2:$NF$150=J$1),0),$C30-1966)</f>
        <v>46354</v>
      </c>
      <c r="K30" s="4" cm="1">
        <f t="array" ref="K30">INDEX(GMW!$A$2:$NF$150,MATCH(1,(GMW!$NE$2:$NE$150=K$3)*(GMW!$ND$2:$ND$150=K$4)*(GMW!$NF$2:$NF$150=K$1),0),$C30-1966)</f>
        <v>17591.02</v>
      </c>
      <c r="L30" s="4" cm="1">
        <f t="array" ref="L30">INDEX(GMW!$A$2:$NF$150,MATCH(1,(GMW!$NE$2:$NE$150=L$3)*(GMW!$ND$2:$ND$150=L$4)*(GMW!$NF$2:$NF$150=L$1),0),$C30-1966)</f>
        <v>260270.3</v>
      </c>
      <c r="M30" s="4" cm="1">
        <f t="array" ref="M30">INDEX(GMW!$A$2:$NF$150,MATCH(1,(GMW!$NE$2:$NE$150=M$3)*(GMW!$ND$2:$ND$150=M$4)*(GMW!$NF$2:$NF$150=M$1),0),$C30-1966)</f>
        <v>24705.84</v>
      </c>
      <c r="N30" s="4" cm="1">
        <f t="array" ref="N30">INDEX(GMW!$A$2:$NF$150,MATCH(1,(GMW!$NE$2:$NE$150=N$3)*(GMW!$ND$2:$ND$150=N$4)*(GMW!$NF$2:$NF$150=N$1),0),$C30-1966)</f>
        <v>1E-3</v>
      </c>
      <c r="O30" s="4" cm="1">
        <f t="array" ref="O30">INDEX(GMW!$A$2:$NF$150,MATCH(1,(GMW!$NE$2:$NE$150=O$3)*(GMW!$ND$2:$ND$150=O$4)*(GMW!$NF$2:$NF$150=O$1),0),$C30-1966)</f>
        <v>298702.8</v>
      </c>
      <c r="P30" s="4" cm="1">
        <f t="array" ref="P30">INDEX(GMW!$A$2:$NF$150,MATCH(1,(GMW!$NE$2:$NE$150=P$3)*(GMW!$ND$2:$ND$150=P$4)*(GMW!$NF$2:$NF$150=P$1),0),$C30-1966)</f>
        <v>35747.49</v>
      </c>
      <c r="Q30" s="4" cm="1">
        <f t="array" ref="Q30">INDEX(GMW!$A$2:$NF$150,MATCH(1,(GMW!$NE$2:$NE$150=Q$3)*(GMW!$ND$2:$ND$150=Q$4)*(GMW!$NF$2:$NF$150=Q$1),0),$C30-1966)</f>
        <v>1230496</v>
      </c>
      <c r="R30" s="4" cm="1">
        <f t="array" ref="R30">INDEX(GMW!$A$2:$NF$150,MATCH(1,(GMW!$NE$2:$NE$150=R$3)*(GMW!$ND$2:$ND$150=R$4)*(GMW!$NF$2:$NF$150=R$1),0),$C30-1966)</f>
        <v>-1.9315519999999999</v>
      </c>
      <c r="S30" s="4" cm="1">
        <f t="array" ref="S30">INDEX(GMW!$A$2:$NF$150,MATCH(1,(GMW!$NE$2:$NE$150=S$3)*(GMW!$ND$2:$ND$150=S$4)*(GMW!$NF$2:$NF$150=S$1),0),$C30-1966)</f>
        <v>264972</v>
      </c>
      <c r="T30" s="4" cm="1">
        <f t="array" ref="T30">INDEX(GMW!$A$2:$NF$150,MATCH(1,(GMW!$NE$2:$NE$150=T$3)*(GMW!$ND$2:$ND$150=T$4)*(GMW!$NF$2:$NF$150=T$1),0),$C30-1966)</f>
        <v>25.860510000000001</v>
      </c>
      <c r="U30" s="4" cm="1">
        <f t="array" ref="U30">INDEX(GMW!$A$2:$NF$150,MATCH(1,(GMW!$NE$2:$NE$150=U$3)*(GMW!$ND$2:$ND$150=U$4)*(GMW!$NF$2:$NF$150=U$1),0),$C30-1966)</f>
        <v>45705</v>
      </c>
      <c r="V30" s="4" cm="1">
        <f t="array" ref="V30">INDEX(GMW!$A$2:$NF$150,MATCH(1,(GMW!$NE$2:$NE$150=V$3)*(GMW!$ND$2:$ND$150=V$4)*(GMW!$NF$2:$NF$150=V$1),0),$C30-1966)</f>
        <v>16562.86</v>
      </c>
      <c r="W30" s="4" cm="1">
        <f t="array" ref="W30">INDEX(GMW!$A$2:$NF$150,MATCH(1,(GMW!$NE$2:$NE$150=W$3)*(GMW!$ND$2:$ND$150=W$4)*(GMW!$NF$2:$NF$150=W$1),0),$C30-1966)</f>
        <v>35142</v>
      </c>
      <c r="X30" s="4" cm="1">
        <f t="array" ref="X30">INDEX(GMW!$A$2:$NF$150,MATCH(1,(GMW!$NE$2:$NE$150=X$3)*(GMW!$ND$2:$ND$150=X$4)*(GMW!$NF$2:$NF$150=X$1),0),$C30-1966)</f>
        <v>6482.5</v>
      </c>
      <c r="Y30" s="4" cm="1">
        <f t="array" ref="Y30">INDEX(GMW!$A$2:$NF$150,MATCH(1,(GMW!$NE$2:$NE$150=Y$3)*(GMW!$ND$2:$ND$150=Y$4)*(GMW!$NF$2:$NF$150=Y$1),0),$C30-1966)</f>
        <v>46354</v>
      </c>
      <c r="Z30" s="4" cm="1">
        <f t="array" ref="Z30">INDEX(GMW!$A$2:$NF$150,MATCH(1,(GMW!$NE$2:$NE$150=Z$3)*(GMW!$ND$2:$ND$150=Z$4)*(GMW!$NF$2:$NF$150=Z$1),0),$C30-1966)</f>
        <v>17591.02</v>
      </c>
      <c r="AA30" s="4" cm="1">
        <f t="array" ref="AA30">INDEX(GMW!$A$2:$NF$150,MATCH(1,(GMW!$NE$2:$NE$150=AA$3)*(GMW!$ND$2:$ND$150=AA$4)*(GMW!$NF$2:$NF$150=AA$1),0),$C30-1966)</f>
        <v>260270.3</v>
      </c>
      <c r="AB30" s="4" cm="1">
        <f t="array" ref="AB30">INDEX(GMW!$A$2:$NF$150,MATCH(1,(GMW!$NE$2:$NE$150=AB$3)*(GMW!$ND$2:$ND$150=AB$4)*(GMW!$NF$2:$NF$150=AB$1),0),$C30-1966)</f>
        <v>24705.84</v>
      </c>
      <c r="AC30" s="4" cm="1">
        <f t="array" ref="AC30">INDEX(GMW!$A$2:$NF$150,MATCH(1,(GMW!$NE$2:$NE$150=AC$3)*(GMW!$ND$2:$ND$150=AC$4)*(GMW!$NF$2:$NF$150=AC$1),0),$C30-1966)</f>
        <v>1E-3</v>
      </c>
      <c r="AD30" s="4" cm="1">
        <f t="array" ref="AD30">INDEX(GMW!$A$2:$NF$150,MATCH(1,(GMW!$NE$2:$NE$150=AD$3)*(GMW!$ND$2:$ND$150=AD$4)*(GMW!$NF$2:$NF$150=AD$1),0),$C30-1966)</f>
        <v>298702.8</v>
      </c>
      <c r="AE30" s="4" cm="1">
        <f t="array" ref="AE30">INDEX(GMW!$A$2:$NF$150,MATCH(1,(GMW!$NE$2:$NE$150=AE$3)*(GMW!$ND$2:$ND$150=AE$4)*(GMW!$NF$2:$NF$150=AE$1),0),$C30-1966)</f>
        <v>35747.49</v>
      </c>
      <c r="AF30" s="4" cm="1">
        <f t="array" ref="AF30">INDEX(GMW!$A$2:$NF$150,MATCH(1,(GMW!$NE$2:$NE$150=AF$3)*(GMW!$ND$2:$ND$150=AF$4)*(GMW!$NF$2:$NF$150=AF$1),0),$C30-1966)</f>
        <v>1230496</v>
      </c>
      <c r="AG30" s="4" cm="1">
        <f t="array" ref="AG30">INDEX(GMW!$A$2:$NF$150,MATCH(1,(GMW!$NE$2:$NE$150=AG$3)*(GMW!$ND$2:$ND$150=AG$4)*(GMW!$NF$2:$NF$150=AG$1),0),$C30-1966)</f>
        <v>-1.9315519999999999</v>
      </c>
      <c r="AH30" s="4" cm="1">
        <f t="array" ref="AH30">INDEX(GMW!$A$2:$NF$150,MATCH(1,(GMW!$NE$2:$NE$150=AH$3)*(GMW!$ND$2:$ND$150=AH$4)*(GMW!$NF$2:$NF$150=AH$1),0),$C30-1966)</f>
        <v>264972</v>
      </c>
      <c r="AI30" s="4" cm="1">
        <f t="array" ref="AI30">INDEX(GMW!$A$2:$NF$150,MATCH(1,(GMW!$NE$2:$NE$150=AI$3)*(GMW!$ND$2:$ND$150=AI$4)*(GMW!$NF$2:$NF$150=AI$1),0),$C30-1966)</f>
        <v>25.860510000000001</v>
      </c>
      <c r="AJ30" s="4" cm="1">
        <f t="array" ref="AJ30">INDEX(GMW!$A$2:$NF$150,MATCH(1,(GMW!$NE$2:$NE$150=AJ$3)*(GMW!$ND$2:$ND$150=AJ$4)*(GMW!$NF$2:$NF$150=AJ$1),0),$C30-1966)</f>
        <v>45705</v>
      </c>
      <c r="AK30" s="4" cm="1">
        <f t="array" ref="AK30">INDEX(GMW!$A$2:$NF$150,MATCH(1,(GMW!$NE$2:$NE$150=AK$3)*(GMW!$ND$2:$ND$150=AK$4)*(GMW!$NF$2:$NF$150=AK$1),0),$C30-1966)</f>
        <v>16562.86</v>
      </c>
      <c r="AL30" s="4" cm="1">
        <f t="array" ref="AL30">INDEX(GMW!$A$2:$NF$150,MATCH(1,(GMW!$NE$2:$NE$150=AL$3)*(GMW!$ND$2:$ND$150=AL$4)*(GMW!$NF$2:$NF$150=AL$1),0),$C30-1966)</f>
        <v>35142</v>
      </c>
      <c r="AM30" s="4" cm="1">
        <f t="array" ref="AM30">INDEX(GMW!$A$2:$NF$150,MATCH(1,(GMW!$NE$2:$NE$150=AM$3)*(GMW!$ND$2:$ND$150=AM$4)*(GMW!$NF$2:$NF$150=AM$1),0),$C30-1966)</f>
        <v>6482.5</v>
      </c>
      <c r="AN30" s="4" cm="1">
        <f t="array" ref="AN30">INDEX(GMW!$A$2:$NF$150,MATCH(1,(GMW!$NE$2:$NE$150=AN$3)*(GMW!$ND$2:$ND$150=AN$4)*(GMW!$NF$2:$NF$150=AN$1),0),$C30-1966)</f>
        <v>46354</v>
      </c>
      <c r="AO30" s="4" cm="1">
        <f t="array" ref="AO30">INDEX(GMW!$A$2:$NF$150,MATCH(1,(GMW!$NE$2:$NE$150=AO$3)*(GMW!$ND$2:$ND$150=AO$4)*(GMW!$NF$2:$NF$150=AO$1),0),$C30-1966)</f>
        <v>17591.02</v>
      </c>
      <c r="AP30" s="4" cm="1">
        <f t="array" ref="AP30">INDEX(GMW!$A$2:$NF$150,MATCH(1,(GMW!$NE$2:$NE$150=AP$3)*(GMW!$ND$2:$ND$150=AP$4)*(GMW!$NF$2:$NF$150=AP$1),0),$C30-1966)</f>
        <v>260270.3</v>
      </c>
      <c r="AQ30" s="4" cm="1">
        <f t="array" ref="AQ30">INDEX(GMW!$A$2:$NF$150,MATCH(1,(GMW!$NE$2:$NE$150=AQ$3)*(GMW!$ND$2:$ND$150=AQ$4)*(GMW!$NF$2:$NF$150=AQ$1),0),$C30-1966)</f>
        <v>24705.84</v>
      </c>
      <c r="AR30" s="4" cm="1">
        <f t="array" ref="AR30">INDEX(GMW!$A$2:$NF$150,MATCH(1,(GMW!$NE$2:$NE$150=AR$3)*(GMW!$ND$2:$ND$150=AR$4)*(GMW!$NF$2:$NF$150=AR$1),0),$C30-1966)</f>
        <v>1E-3</v>
      </c>
      <c r="AS30" s="4" cm="1">
        <f t="array" ref="AS30">INDEX(GMW!$A$2:$NF$150,MATCH(1,(GMW!$NE$2:$NE$150=AS$3)*(GMW!$ND$2:$ND$150=AS$4)*(GMW!$NF$2:$NF$150=AS$1),0),$C30-1966)</f>
        <v>298702.8</v>
      </c>
      <c r="AT30" s="4" cm="1">
        <f t="array" ref="AT30">INDEX(GMW!$A$2:$NF$150,MATCH(1,(GMW!$NE$2:$NE$150=AT$3)*(GMW!$ND$2:$ND$150=AT$4)*(GMW!$NF$2:$NF$150=AT$1),0),$C30-1966)</f>
        <v>35747.49</v>
      </c>
      <c r="AU30" s="4" cm="1">
        <f t="array" ref="AU30">INDEX(GMW!$A$2:$NF$150,MATCH(1,(GMW!$NE$2:$NE$150=AU$3)*(GMW!$ND$2:$ND$150=AU$4)*(GMW!$NF$2:$NF$150=AU$1),0),$C30-1966)</f>
        <v>1230496</v>
      </c>
      <c r="AV30" s="4" cm="1">
        <f t="array" ref="AV30">INDEX(GMW!$A$2:$NF$150,MATCH(1,(GMW!$NE$2:$NE$150=AV$3)*(GMW!$ND$2:$ND$150=AV$4)*(GMW!$NF$2:$NF$150=AV$1),0),$C30-1966)</f>
        <v>-1.9315519999999999</v>
      </c>
    </row>
    <row r="31" spans="1:48" x14ac:dyDescent="0.25">
      <c r="A31" s="4">
        <v>1979</v>
      </c>
      <c r="B31" s="4">
        <f t="shared" si="4"/>
        <v>1979</v>
      </c>
      <c r="C31" s="4">
        <f t="shared" si="3"/>
        <v>1997</v>
      </c>
      <c r="D31" s="4" cm="1">
        <f t="array" ref="D31">INDEX(GMW!$A$2:$NF$150,MATCH(1,(GMW!$NE$2:$NE$150=D$3)*(GMW!$ND$2:$ND$150=D$4)*(GMW!$NF$2:$NF$150=D$1),0),$C31-1966)</f>
        <v>264185</v>
      </c>
      <c r="E31" s="4" cm="1">
        <f t="array" ref="E31">INDEX(GMW!$A$2:$NF$150,MATCH(1,(GMW!$NE$2:$NE$150=E$3)*(GMW!$ND$2:$ND$150=E$4)*(GMW!$NF$2:$NF$150=E$1),0),$C31-1966)</f>
        <v>26.43403</v>
      </c>
      <c r="F31" s="4" cm="1">
        <f t="array" ref="F31">INDEX(GMW!$A$2:$NF$150,MATCH(1,(GMW!$NE$2:$NE$150=F$3)*(GMW!$ND$2:$ND$150=F$4)*(GMW!$NF$2:$NF$150=F$1),0),$C31-1966)</f>
        <v>42206</v>
      </c>
      <c r="G31" s="4" cm="1">
        <f t="array" ref="G31">INDEX(GMW!$A$2:$NF$150,MATCH(1,(GMW!$NE$2:$NE$150=G$3)*(GMW!$ND$2:$ND$150=G$4)*(GMW!$NF$2:$NF$150=G$1),0),$C31-1966)</f>
        <v>12034.5</v>
      </c>
      <c r="H31" s="4" cm="1">
        <f t="array" ref="H31">INDEX(GMW!$A$2:$NF$150,MATCH(1,(GMW!$NE$2:$NE$150=H$3)*(GMW!$ND$2:$ND$150=H$4)*(GMW!$NF$2:$NF$150=H$1),0),$C31-1966)</f>
        <v>37420</v>
      </c>
      <c r="I31" s="4" cm="1">
        <f t="array" ref="I31">INDEX(GMW!$A$2:$NF$150,MATCH(1,(GMW!$NE$2:$NE$150=I$3)*(GMW!$ND$2:$ND$150=I$4)*(GMW!$NF$2:$NF$150=I$1),0),$C31-1966)</f>
        <v>8583.4249999999993</v>
      </c>
      <c r="J31" s="4" cm="1">
        <f t="array" ref="J31">INDEX(GMW!$A$2:$NF$150,MATCH(1,(GMW!$NE$2:$NE$150=J$3)*(GMW!$ND$2:$ND$150=J$4)*(GMW!$NF$2:$NF$150=J$1),0),$C31-1966)</f>
        <v>48743</v>
      </c>
      <c r="K31" s="4" cm="1">
        <f t="array" ref="K31">INDEX(GMW!$A$2:$NF$150,MATCH(1,(GMW!$NE$2:$NE$150=K$3)*(GMW!$ND$2:$ND$150=K$4)*(GMW!$NF$2:$NF$150=K$1),0),$C31-1966)</f>
        <v>18372.98</v>
      </c>
      <c r="L31" s="4" cm="1">
        <f t="array" ref="L31">INDEX(GMW!$A$2:$NF$150,MATCH(1,(GMW!$NE$2:$NE$150=L$3)*(GMW!$ND$2:$ND$150=L$4)*(GMW!$NF$2:$NF$150=L$1),0),$C31-1966)</f>
        <v>261655.1</v>
      </c>
      <c r="M31" s="4" cm="1">
        <f t="array" ref="M31">INDEX(GMW!$A$2:$NF$150,MATCH(1,(GMW!$NE$2:$NE$150=M$3)*(GMW!$ND$2:$ND$150=M$4)*(GMW!$NF$2:$NF$150=M$1),0),$C31-1966)</f>
        <v>24702.22</v>
      </c>
      <c r="N31" s="4" cm="1">
        <f t="array" ref="N31">INDEX(GMW!$A$2:$NF$150,MATCH(1,(GMW!$NE$2:$NE$150=N$3)*(GMW!$ND$2:$ND$150=N$4)*(GMW!$NF$2:$NF$150=N$1),0),$C31-1966)</f>
        <v>1E-3</v>
      </c>
      <c r="O31" s="4" cm="1">
        <f t="array" ref="O31">INDEX(GMW!$A$2:$NF$150,MATCH(1,(GMW!$NE$2:$NE$150=O$3)*(GMW!$ND$2:$ND$150=O$4)*(GMW!$NF$2:$NF$150=O$1),0),$C31-1966)</f>
        <v>299240.8</v>
      </c>
      <c r="P31" s="4" cm="1">
        <f t="array" ref="P31">INDEX(GMW!$A$2:$NF$150,MATCH(1,(GMW!$NE$2:$NE$150=P$3)*(GMW!$ND$2:$ND$150=P$4)*(GMW!$NF$2:$NF$150=P$1),0),$C31-1966)</f>
        <v>35800.82</v>
      </c>
      <c r="Q31" s="4" cm="1">
        <f t="array" ref="Q31">INDEX(GMW!$A$2:$NF$150,MATCH(1,(GMW!$NE$2:$NE$150=Q$3)*(GMW!$ND$2:$ND$150=Q$4)*(GMW!$NF$2:$NF$150=Q$1),0),$C31-1966)</f>
        <v>1236422</v>
      </c>
      <c r="R31" s="4" cm="1">
        <f t="array" ref="R31">INDEX(GMW!$A$2:$NF$150,MATCH(1,(GMW!$NE$2:$NE$150=R$3)*(GMW!$ND$2:$ND$150=R$4)*(GMW!$NF$2:$NF$150=R$1),0),$C31-1966)</f>
        <v>-1.928423</v>
      </c>
      <c r="S31" s="4" cm="1">
        <f t="array" ref="S31">INDEX(GMW!$A$2:$NF$150,MATCH(1,(GMW!$NE$2:$NE$150=S$3)*(GMW!$ND$2:$ND$150=S$4)*(GMW!$NF$2:$NF$150=S$1),0),$C31-1966)</f>
        <v>264185</v>
      </c>
      <c r="T31" s="4" cm="1">
        <f t="array" ref="T31">INDEX(GMW!$A$2:$NF$150,MATCH(1,(GMW!$NE$2:$NE$150=T$3)*(GMW!$ND$2:$ND$150=T$4)*(GMW!$NF$2:$NF$150=T$1),0),$C31-1966)</f>
        <v>26.43403</v>
      </c>
      <c r="U31" s="4" cm="1">
        <f t="array" ref="U31">INDEX(GMW!$A$2:$NF$150,MATCH(1,(GMW!$NE$2:$NE$150=U$3)*(GMW!$ND$2:$ND$150=U$4)*(GMW!$NF$2:$NF$150=U$1),0),$C31-1966)</f>
        <v>42206</v>
      </c>
      <c r="V31" s="4" cm="1">
        <f t="array" ref="V31">INDEX(GMW!$A$2:$NF$150,MATCH(1,(GMW!$NE$2:$NE$150=V$3)*(GMW!$ND$2:$ND$150=V$4)*(GMW!$NF$2:$NF$150=V$1),0),$C31-1966)</f>
        <v>12034.5</v>
      </c>
      <c r="W31" s="4" cm="1">
        <f t="array" ref="W31">INDEX(GMW!$A$2:$NF$150,MATCH(1,(GMW!$NE$2:$NE$150=W$3)*(GMW!$ND$2:$ND$150=W$4)*(GMW!$NF$2:$NF$150=W$1),0),$C31-1966)</f>
        <v>37420</v>
      </c>
      <c r="X31" s="4" cm="1">
        <f t="array" ref="X31">INDEX(GMW!$A$2:$NF$150,MATCH(1,(GMW!$NE$2:$NE$150=X$3)*(GMW!$ND$2:$ND$150=X$4)*(GMW!$NF$2:$NF$150=X$1),0),$C31-1966)</f>
        <v>8583.4249999999993</v>
      </c>
      <c r="Y31" s="4" cm="1">
        <f t="array" ref="Y31">INDEX(GMW!$A$2:$NF$150,MATCH(1,(GMW!$NE$2:$NE$150=Y$3)*(GMW!$ND$2:$ND$150=Y$4)*(GMW!$NF$2:$NF$150=Y$1),0),$C31-1966)</f>
        <v>48743</v>
      </c>
      <c r="Z31" s="4" cm="1">
        <f t="array" ref="Z31">INDEX(GMW!$A$2:$NF$150,MATCH(1,(GMW!$NE$2:$NE$150=Z$3)*(GMW!$ND$2:$ND$150=Z$4)*(GMW!$NF$2:$NF$150=Z$1),0),$C31-1966)</f>
        <v>18372.98</v>
      </c>
      <c r="AA31" s="4" cm="1">
        <f t="array" ref="AA31">INDEX(GMW!$A$2:$NF$150,MATCH(1,(GMW!$NE$2:$NE$150=AA$3)*(GMW!$ND$2:$ND$150=AA$4)*(GMW!$NF$2:$NF$150=AA$1),0),$C31-1966)</f>
        <v>261655.1</v>
      </c>
      <c r="AB31" s="4" cm="1">
        <f t="array" ref="AB31">INDEX(GMW!$A$2:$NF$150,MATCH(1,(GMW!$NE$2:$NE$150=AB$3)*(GMW!$ND$2:$ND$150=AB$4)*(GMW!$NF$2:$NF$150=AB$1),0),$C31-1966)</f>
        <v>24702.22</v>
      </c>
      <c r="AC31" s="4" cm="1">
        <f t="array" ref="AC31">INDEX(GMW!$A$2:$NF$150,MATCH(1,(GMW!$NE$2:$NE$150=AC$3)*(GMW!$ND$2:$ND$150=AC$4)*(GMW!$NF$2:$NF$150=AC$1),0),$C31-1966)</f>
        <v>1E-3</v>
      </c>
      <c r="AD31" s="4" cm="1">
        <f t="array" ref="AD31">INDEX(GMW!$A$2:$NF$150,MATCH(1,(GMW!$NE$2:$NE$150=AD$3)*(GMW!$ND$2:$ND$150=AD$4)*(GMW!$NF$2:$NF$150=AD$1),0),$C31-1966)</f>
        <v>299240.8</v>
      </c>
      <c r="AE31" s="4" cm="1">
        <f t="array" ref="AE31">INDEX(GMW!$A$2:$NF$150,MATCH(1,(GMW!$NE$2:$NE$150=AE$3)*(GMW!$ND$2:$ND$150=AE$4)*(GMW!$NF$2:$NF$150=AE$1),0),$C31-1966)</f>
        <v>35800.82</v>
      </c>
      <c r="AF31" s="4" cm="1">
        <f t="array" ref="AF31">INDEX(GMW!$A$2:$NF$150,MATCH(1,(GMW!$NE$2:$NE$150=AF$3)*(GMW!$ND$2:$ND$150=AF$4)*(GMW!$NF$2:$NF$150=AF$1),0),$C31-1966)</f>
        <v>1236422</v>
      </c>
      <c r="AG31" s="4" cm="1">
        <f t="array" ref="AG31">INDEX(GMW!$A$2:$NF$150,MATCH(1,(GMW!$NE$2:$NE$150=AG$3)*(GMW!$ND$2:$ND$150=AG$4)*(GMW!$NF$2:$NF$150=AG$1),0),$C31-1966)</f>
        <v>-1.928423</v>
      </c>
      <c r="AH31" s="4" cm="1">
        <f t="array" ref="AH31">INDEX(GMW!$A$2:$NF$150,MATCH(1,(GMW!$NE$2:$NE$150=AH$3)*(GMW!$ND$2:$ND$150=AH$4)*(GMW!$NF$2:$NF$150=AH$1),0),$C31-1966)</f>
        <v>264185</v>
      </c>
      <c r="AI31" s="4" cm="1">
        <f t="array" ref="AI31">INDEX(GMW!$A$2:$NF$150,MATCH(1,(GMW!$NE$2:$NE$150=AI$3)*(GMW!$ND$2:$ND$150=AI$4)*(GMW!$NF$2:$NF$150=AI$1),0),$C31-1966)</f>
        <v>26.43403</v>
      </c>
      <c r="AJ31" s="4" cm="1">
        <f t="array" ref="AJ31">INDEX(GMW!$A$2:$NF$150,MATCH(1,(GMW!$NE$2:$NE$150=AJ$3)*(GMW!$ND$2:$ND$150=AJ$4)*(GMW!$NF$2:$NF$150=AJ$1),0),$C31-1966)</f>
        <v>42206</v>
      </c>
      <c r="AK31" s="4" cm="1">
        <f t="array" ref="AK31">INDEX(GMW!$A$2:$NF$150,MATCH(1,(GMW!$NE$2:$NE$150=AK$3)*(GMW!$ND$2:$ND$150=AK$4)*(GMW!$NF$2:$NF$150=AK$1),0),$C31-1966)</f>
        <v>12034.5</v>
      </c>
      <c r="AL31" s="4" cm="1">
        <f t="array" ref="AL31">INDEX(GMW!$A$2:$NF$150,MATCH(1,(GMW!$NE$2:$NE$150=AL$3)*(GMW!$ND$2:$ND$150=AL$4)*(GMW!$NF$2:$NF$150=AL$1),0),$C31-1966)</f>
        <v>37420</v>
      </c>
      <c r="AM31" s="4" cm="1">
        <f t="array" ref="AM31">INDEX(GMW!$A$2:$NF$150,MATCH(1,(GMW!$NE$2:$NE$150=AM$3)*(GMW!$ND$2:$ND$150=AM$4)*(GMW!$NF$2:$NF$150=AM$1),0),$C31-1966)</f>
        <v>8583.4249999999993</v>
      </c>
      <c r="AN31" s="4" cm="1">
        <f t="array" ref="AN31">INDEX(GMW!$A$2:$NF$150,MATCH(1,(GMW!$NE$2:$NE$150=AN$3)*(GMW!$ND$2:$ND$150=AN$4)*(GMW!$NF$2:$NF$150=AN$1),0),$C31-1966)</f>
        <v>48743</v>
      </c>
      <c r="AO31" s="4" cm="1">
        <f t="array" ref="AO31">INDEX(GMW!$A$2:$NF$150,MATCH(1,(GMW!$NE$2:$NE$150=AO$3)*(GMW!$ND$2:$ND$150=AO$4)*(GMW!$NF$2:$NF$150=AO$1),0),$C31-1966)</f>
        <v>18372.98</v>
      </c>
      <c r="AP31" s="4" cm="1">
        <f t="array" ref="AP31">INDEX(GMW!$A$2:$NF$150,MATCH(1,(GMW!$NE$2:$NE$150=AP$3)*(GMW!$ND$2:$ND$150=AP$4)*(GMW!$NF$2:$NF$150=AP$1),0),$C31-1966)</f>
        <v>261655.1</v>
      </c>
      <c r="AQ31" s="4" cm="1">
        <f t="array" ref="AQ31">INDEX(GMW!$A$2:$NF$150,MATCH(1,(GMW!$NE$2:$NE$150=AQ$3)*(GMW!$ND$2:$ND$150=AQ$4)*(GMW!$NF$2:$NF$150=AQ$1),0),$C31-1966)</f>
        <v>24702.22</v>
      </c>
      <c r="AR31" s="4" cm="1">
        <f t="array" ref="AR31">INDEX(GMW!$A$2:$NF$150,MATCH(1,(GMW!$NE$2:$NE$150=AR$3)*(GMW!$ND$2:$ND$150=AR$4)*(GMW!$NF$2:$NF$150=AR$1),0),$C31-1966)</f>
        <v>1E-3</v>
      </c>
      <c r="AS31" s="4" cm="1">
        <f t="array" ref="AS31">INDEX(GMW!$A$2:$NF$150,MATCH(1,(GMW!$NE$2:$NE$150=AS$3)*(GMW!$ND$2:$ND$150=AS$4)*(GMW!$NF$2:$NF$150=AS$1),0),$C31-1966)</f>
        <v>299240.8</v>
      </c>
      <c r="AT31" s="4" cm="1">
        <f t="array" ref="AT31">INDEX(GMW!$A$2:$NF$150,MATCH(1,(GMW!$NE$2:$NE$150=AT$3)*(GMW!$ND$2:$ND$150=AT$4)*(GMW!$NF$2:$NF$150=AT$1),0),$C31-1966)</f>
        <v>35800.82</v>
      </c>
      <c r="AU31" s="4" cm="1">
        <f t="array" ref="AU31">INDEX(GMW!$A$2:$NF$150,MATCH(1,(GMW!$NE$2:$NE$150=AU$3)*(GMW!$ND$2:$ND$150=AU$4)*(GMW!$NF$2:$NF$150=AU$1),0),$C31-1966)</f>
        <v>1236422</v>
      </c>
      <c r="AV31" s="4" cm="1">
        <f t="array" ref="AV31">INDEX(GMW!$A$2:$NF$150,MATCH(1,(GMW!$NE$2:$NE$150=AV$3)*(GMW!$ND$2:$ND$150=AV$4)*(GMW!$NF$2:$NF$150=AV$1),0),$C31-1966)</f>
        <v>-1.928423</v>
      </c>
    </row>
    <row r="32" spans="1:48" x14ac:dyDescent="0.25">
      <c r="B32" s="4">
        <f t="shared" si="4"/>
        <v>1979</v>
      </c>
      <c r="C32" s="4">
        <f t="shared" si="3"/>
        <v>1998</v>
      </c>
      <c r="D32" s="4" cm="1">
        <f t="array" ref="D32">INDEX(GMW!$A$2:$NF$150,MATCH(1,(GMW!$NE$2:$NE$150=D$3)*(GMW!$ND$2:$ND$150=D$4)*(GMW!$NF$2:$NF$150=D$1),0),$C32-1966)</f>
        <v>275695</v>
      </c>
      <c r="E32" s="4" cm="1">
        <f t="array" ref="E32">INDEX(GMW!$A$2:$NF$150,MATCH(1,(GMW!$NE$2:$NE$150=E$3)*(GMW!$ND$2:$ND$150=E$4)*(GMW!$NF$2:$NF$150=E$1),0),$C32-1966)</f>
        <v>27.268239999999999</v>
      </c>
      <c r="F32" s="4" cm="1">
        <f t="array" ref="F32">INDEX(GMW!$A$2:$NF$150,MATCH(1,(GMW!$NE$2:$NE$150=F$3)*(GMW!$ND$2:$ND$150=F$4)*(GMW!$NF$2:$NF$150=F$1),0),$C32-1966)</f>
        <v>49782</v>
      </c>
      <c r="G32" s="4" cm="1">
        <f t="array" ref="G32">INDEX(GMW!$A$2:$NF$150,MATCH(1,(GMW!$NE$2:$NE$150=G$3)*(GMW!$ND$2:$ND$150=G$4)*(GMW!$NF$2:$NF$150=G$1),0),$C32-1966)</f>
        <v>17701.14</v>
      </c>
      <c r="H32" s="4" cm="1">
        <f t="array" ref="H32">INDEX(GMW!$A$2:$NF$150,MATCH(1,(GMW!$NE$2:$NE$150=H$3)*(GMW!$ND$2:$ND$150=H$4)*(GMW!$NF$2:$NF$150=H$1),0),$C32-1966)</f>
        <v>40615</v>
      </c>
      <c r="I32" s="4" cm="1">
        <f t="array" ref="I32">INDEX(GMW!$A$2:$NF$150,MATCH(1,(GMW!$NE$2:$NE$150=I$3)*(GMW!$ND$2:$ND$150=I$4)*(GMW!$NF$2:$NF$150=I$1),0),$C32-1966)</f>
        <v>10011.58</v>
      </c>
      <c r="J32" s="4" cm="1">
        <f t="array" ref="J32">INDEX(GMW!$A$2:$NF$150,MATCH(1,(GMW!$NE$2:$NE$150=J$3)*(GMW!$ND$2:$ND$150=J$4)*(GMW!$NF$2:$NF$150=J$1),0),$C32-1966)</f>
        <v>49861</v>
      </c>
      <c r="K32" s="4" cm="1">
        <f t="array" ref="K32">INDEX(GMW!$A$2:$NF$150,MATCH(1,(GMW!$NE$2:$NE$150=K$3)*(GMW!$ND$2:$ND$150=K$4)*(GMW!$NF$2:$NF$150=K$1),0),$C32-1966)</f>
        <v>18646.509999999998</v>
      </c>
      <c r="L32" s="4" cm="1">
        <f t="array" ref="L32">INDEX(GMW!$A$2:$NF$150,MATCH(1,(GMW!$NE$2:$NE$150=L$3)*(GMW!$ND$2:$ND$150=L$4)*(GMW!$NF$2:$NF$150=L$1),0),$C32-1966)</f>
        <v>262767.09999999998</v>
      </c>
      <c r="M32" s="4" cm="1">
        <f t="array" ref="M32">INDEX(GMW!$A$2:$NF$150,MATCH(1,(GMW!$NE$2:$NE$150=M$3)*(GMW!$ND$2:$ND$150=M$4)*(GMW!$NF$2:$NF$150=M$1),0),$C32-1966)</f>
        <v>24677.96</v>
      </c>
      <c r="N32" s="4" cm="1">
        <f t="array" ref="N32">INDEX(GMW!$A$2:$NF$150,MATCH(1,(GMW!$NE$2:$NE$150=N$3)*(GMW!$ND$2:$ND$150=N$4)*(GMW!$NF$2:$NF$150=N$1),0),$C32-1966)</f>
        <v>1E-3</v>
      </c>
      <c r="O32" s="4" cm="1">
        <f t="array" ref="O32">INDEX(GMW!$A$2:$NF$150,MATCH(1,(GMW!$NE$2:$NE$150=O$3)*(GMW!$ND$2:$ND$150=O$4)*(GMW!$NF$2:$NF$150=O$1),0),$C32-1966)</f>
        <v>299760.5</v>
      </c>
      <c r="P32" s="4" cm="1">
        <f t="array" ref="P32">INDEX(GMW!$A$2:$NF$150,MATCH(1,(GMW!$NE$2:$NE$150=P$3)*(GMW!$ND$2:$ND$150=P$4)*(GMW!$NF$2:$NF$150=P$1),0),$C32-1966)</f>
        <v>35854.15</v>
      </c>
      <c r="Q32" s="4" cm="1">
        <f t="array" ref="Q32">INDEX(GMW!$A$2:$NF$150,MATCH(1,(GMW!$NE$2:$NE$150=Q$3)*(GMW!$ND$2:$ND$150=Q$4)*(GMW!$NF$2:$NF$150=Q$1),0),$C32-1966)</f>
        <v>1242348</v>
      </c>
      <c r="R32" s="4" cm="1">
        <f t="array" ref="R32">INDEX(GMW!$A$2:$NF$150,MATCH(1,(GMW!$NE$2:$NE$150=R$3)*(GMW!$ND$2:$ND$150=R$4)*(GMW!$NF$2:$NF$150=R$1),0),$C32-1966)</f>
        <v>-1.9252990000000001</v>
      </c>
      <c r="S32" s="4" cm="1">
        <f t="array" ref="S32">INDEX(GMW!$A$2:$NF$150,MATCH(1,(GMW!$NE$2:$NE$150=S$3)*(GMW!$ND$2:$ND$150=S$4)*(GMW!$NF$2:$NF$150=S$1),0),$C32-1966)</f>
        <v>275695</v>
      </c>
      <c r="T32" s="4" cm="1">
        <f t="array" ref="T32">INDEX(GMW!$A$2:$NF$150,MATCH(1,(GMW!$NE$2:$NE$150=T$3)*(GMW!$ND$2:$ND$150=T$4)*(GMW!$NF$2:$NF$150=T$1),0),$C32-1966)</f>
        <v>27.268239999999999</v>
      </c>
      <c r="U32" s="4" cm="1">
        <f t="array" ref="U32">INDEX(GMW!$A$2:$NF$150,MATCH(1,(GMW!$NE$2:$NE$150=U$3)*(GMW!$ND$2:$ND$150=U$4)*(GMW!$NF$2:$NF$150=U$1),0),$C32-1966)</f>
        <v>49782</v>
      </c>
      <c r="V32" s="4" cm="1">
        <f t="array" ref="V32">INDEX(GMW!$A$2:$NF$150,MATCH(1,(GMW!$NE$2:$NE$150=V$3)*(GMW!$ND$2:$ND$150=V$4)*(GMW!$NF$2:$NF$150=V$1),0),$C32-1966)</f>
        <v>17701.14</v>
      </c>
      <c r="W32" s="4" cm="1">
        <f t="array" ref="W32">INDEX(GMW!$A$2:$NF$150,MATCH(1,(GMW!$NE$2:$NE$150=W$3)*(GMW!$ND$2:$ND$150=W$4)*(GMW!$NF$2:$NF$150=W$1),0),$C32-1966)</f>
        <v>40615</v>
      </c>
      <c r="X32" s="4" cm="1">
        <f t="array" ref="X32">INDEX(GMW!$A$2:$NF$150,MATCH(1,(GMW!$NE$2:$NE$150=X$3)*(GMW!$ND$2:$ND$150=X$4)*(GMW!$NF$2:$NF$150=X$1),0),$C32-1966)</f>
        <v>10011.58</v>
      </c>
      <c r="Y32" s="4" cm="1">
        <f t="array" ref="Y32">INDEX(GMW!$A$2:$NF$150,MATCH(1,(GMW!$NE$2:$NE$150=Y$3)*(GMW!$ND$2:$ND$150=Y$4)*(GMW!$NF$2:$NF$150=Y$1),0),$C32-1966)</f>
        <v>49861</v>
      </c>
      <c r="Z32" s="4" cm="1">
        <f t="array" ref="Z32">INDEX(GMW!$A$2:$NF$150,MATCH(1,(GMW!$NE$2:$NE$150=Z$3)*(GMW!$ND$2:$ND$150=Z$4)*(GMW!$NF$2:$NF$150=Z$1),0),$C32-1966)</f>
        <v>18646.509999999998</v>
      </c>
      <c r="AA32" s="4" cm="1">
        <f t="array" ref="AA32">INDEX(GMW!$A$2:$NF$150,MATCH(1,(GMW!$NE$2:$NE$150=AA$3)*(GMW!$ND$2:$ND$150=AA$4)*(GMW!$NF$2:$NF$150=AA$1),0),$C32-1966)</f>
        <v>262767.09999999998</v>
      </c>
      <c r="AB32" s="4" cm="1">
        <f t="array" ref="AB32">INDEX(GMW!$A$2:$NF$150,MATCH(1,(GMW!$NE$2:$NE$150=AB$3)*(GMW!$ND$2:$ND$150=AB$4)*(GMW!$NF$2:$NF$150=AB$1),0),$C32-1966)</f>
        <v>24677.96</v>
      </c>
      <c r="AC32" s="4" cm="1">
        <f t="array" ref="AC32">INDEX(GMW!$A$2:$NF$150,MATCH(1,(GMW!$NE$2:$NE$150=AC$3)*(GMW!$ND$2:$ND$150=AC$4)*(GMW!$NF$2:$NF$150=AC$1),0),$C32-1966)</f>
        <v>1E-3</v>
      </c>
      <c r="AD32" s="4" cm="1">
        <f t="array" ref="AD32">INDEX(GMW!$A$2:$NF$150,MATCH(1,(GMW!$NE$2:$NE$150=AD$3)*(GMW!$ND$2:$ND$150=AD$4)*(GMW!$NF$2:$NF$150=AD$1),0),$C32-1966)</f>
        <v>299760.5</v>
      </c>
      <c r="AE32" s="4" cm="1">
        <f t="array" ref="AE32">INDEX(GMW!$A$2:$NF$150,MATCH(1,(GMW!$NE$2:$NE$150=AE$3)*(GMW!$ND$2:$ND$150=AE$4)*(GMW!$NF$2:$NF$150=AE$1),0),$C32-1966)</f>
        <v>35854.15</v>
      </c>
      <c r="AF32" s="4" cm="1">
        <f t="array" ref="AF32">INDEX(GMW!$A$2:$NF$150,MATCH(1,(GMW!$NE$2:$NE$150=AF$3)*(GMW!$ND$2:$ND$150=AF$4)*(GMW!$NF$2:$NF$150=AF$1),0),$C32-1966)</f>
        <v>1242348</v>
      </c>
      <c r="AG32" s="4" cm="1">
        <f t="array" ref="AG32">INDEX(GMW!$A$2:$NF$150,MATCH(1,(GMW!$NE$2:$NE$150=AG$3)*(GMW!$ND$2:$ND$150=AG$4)*(GMW!$NF$2:$NF$150=AG$1),0),$C32-1966)</f>
        <v>-1.9252990000000001</v>
      </c>
      <c r="AH32" s="4" cm="1">
        <f t="array" ref="AH32">INDEX(GMW!$A$2:$NF$150,MATCH(1,(GMW!$NE$2:$NE$150=AH$3)*(GMW!$ND$2:$ND$150=AH$4)*(GMW!$NF$2:$NF$150=AH$1),0),$C32-1966)</f>
        <v>275695</v>
      </c>
      <c r="AI32" s="4" cm="1">
        <f t="array" ref="AI32">INDEX(GMW!$A$2:$NF$150,MATCH(1,(GMW!$NE$2:$NE$150=AI$3)*(GMW!$ND$2:$ND$150=AI$4)*(GMW!$NF$2:$NF$150=AI$1),0),$C32-1966)</f>
        <v>27.268239999999999</v>
      </c>
      <c r="AJ32" s="4" cm="1">
        <f t="array" ref="AJ32">INDEX(GMW!$A$2:$NF$150,MATCH(1,(GMW!$NE$2:$NE$150=AJ$3)*(GMW!$ND$2:$ND$150=AJ$4)*(GMW!$NF$2:$NF$150=AJ$1),0),$C32-1966)</f>
        <v>49782</v>
      </c>
      <c r="AK32" s="4" cm="1">
        <f t="array" ref="AK32">INDEX(GMW!$A$2:$NF$150,MATCH(1,(GMW!$NE$2:$NE$150=AK$3)*(GMW!$ND$2:$ND$150=AK$4)*(GMW!$NF$2:$NF$150=AK$1),0),$C32-1966)</f>
        <v>17701.14</v>
      </c>
      <c r="AL32" s="4" cm="1">
        <f t="array" ref="AL32">INDEX(GMW!$A$2:$NF$150,MATCH(1,(GMW!$NE$2:$NE$150=AL$3)*(GMW!$ND$2:$ND$150=AL$4)*(GMW!$NF$2:$NF$150=AL$1),0),$C32-1966)</f>
        <v>40615</v>
      </c>
      <c r="AM32" s="4" cm="1">
        <f t="array" ref="AM32">INDEX(GMW!$A$2:$NF$150,MATCH(1,(GMW!$NE$2:$NE$150=AM$3)*(GMW!$ND$2:$ND$150=AM$4)*(GMW!$NF$2:$NF$150=AM$1),0),$C32-1966)</f>
        <v>10011.58</v>
      </c>
      <c r="AN32" s="4" cm="1">
        <f t="array" ref="AN32">INDEX(GMW!$A$2:$NF$150,MATCH(1,(GMW!$NE$2:$NE$150=AN$3)*(GMW!$ND$2:$ND$150=AN$4)*(GMW!$NF$2:$NF$150=AN$1),0),$C32-1966)</f>
        <v>49861</v>
      </c>
      <c r="AO32" s="4" cm="1">
        <f t="array" ref="AO32">INDEX(GMW!$A$2:$NF$150,MATCH(1,(GMW!$NE$2:$NE$150=AO$3)*(GMW!$ND$2:$ND$150=AO$4)*(GMW!$NF$2:$NF$150=AO$1),0),$C32-1966)</f>
        <v>18646.509999999998</v>
      </c>
      <c r="AP32" s="4" cm="1">
        <f t="array" ref="AP32">INDEX(GMW!$A$2:$NF$150,MATCH(1,(GMW!$NE$2:$NE$150=AP$3)*(GMW!$ND$2:$ND$150=AP$4)*(GMW!$NF$2:$NF$150=AP$1),0),$C32-1966)</f>
        <v>262767.09999999998</v>
      </c>
      <c r="AQ32" s="4" cm="1">
        <f t="array" ref="AQ32">INDEX(GMW!$A$2:$NF$150,MATCH(1,(GMW!$NE$2:$NE$150=AQ$3)*(GMW!$ND$2:$ND$150=AQ$4)*(GMW!$NF$2:$NF$150=AQ$1),0),$C32-1966)</f>
        <v>24677.96</v>
      </c>
      <c r="AR32" s="4" cm="1">
        <f t="array" ref="AR32">INDEX(GMW!$A$2:$NF$150,MATCH(1,(GMW!$NE$2:$NE$150=AR$3)*(GMW!$ND$2:$ND$150=AR$4)*(GMW!$NF$2:$NF$150=AR$1),0),$C32-1966)</f>
        <v>1E-3</v>
      </c>
      <c r="AS32" s="4" cm="1">
        <f t="array" ref="AS32">INDEX(GMW!$A$2:$NF$150,MATCH(1,(GMW!$NE$2:$NE$150=AS$3)*(GMW!$ND$2:$ND$150=AS$4)*(GMW!$NF$2:$NF$150=AS$1),0),$C32-1966)</f>
        <v>299760.5</v>
      </c>
      <c r="AT32" s="4" cm="1">
        <f t="array" ref="AT32">INDEX(GMW!$A$2:$NF$150,MATCH(1,(GMW!$NE$2:$NE$150=AT$3)*(GMW!$ND$2:$ND$150=AT$4)*(GMW!$NF$2:$NF$150=AT$1),0),$C32-1966)</f>
        <v>35854.15</v>
      </c>
      <c r="AU32" s="4" cm="1">
        <f t="array" ref="AU32">INDEX(GMW!$A$2:$NF$150,MATCH(1,(GMW!$NE$2:$NE$150=AU$3)*(GMW!$ND$2:$ND$150=AU$4)*(GMW!$NF$2:$NF$150=AU$1),0),$C32-1966)</f>
        <v>1242348</v>
      </c>
      <c r="AV32" s="4" cm="1">
        <f t="array" ref="AV32">INDEX(GMW!$A$2:$NF$150,MATCH(1,(GMW!$NE$2:$NE$150=AV$3)*(GMW!$ND$2:$ND$150=AV$4)*(GMW!$NF$2:$NF$150=AV$1),0),$C32-1966)</f>
        <v>-1.9252990000000001</v>
      </c>
    </row>
    <row r="33" spans="1:48" x14ac:dyDescent="0.25">
      <c r="B33" s="4">
        <f t="shared" si="4"/>
        <v>1979</v>
      </c>
      <c r="C33" s="4">
        <f t="shared" si="3"/>
        <v>1999</v>
      </c>
      <c r="D33" s="4" cm="1">
        <f t="array" ref="D33">INDEX(GMW!$A$2:$NF$150,MATCH(1,(GMW!$NE$2:$NE$150=D$3)*(GMW!$ND$2:$ND$150=D$4)*(GMW!$NF$2:$NF$150=D$1),0),$C33-1966)</f>
        <v>269599</v>
      </c>
      <c r="E33" s="4" cm="1">
        <f t="array" ref="E33">INDEX(GMW!$A$2:$NF$150,MATCH(1,(GMW!$NE$2:$NE$150=E$3)*(GMW!$ND$2:$ND$150=E$4)*(GMW!$NF$2:$NF$150=E$1),0),$C33-1966)</f>
        <v>28.910589999999999</v>
      </c>
      <c r="F33" s="4" cm="1">
        <f t="array" ref="F33">INDEX(GMW!$A$2:$NF$150,MATCH(1,(GMW!$NE$2:$NE$150=F$3)*(GMW!$ND$2:$ND$150=F$4)*(GMW!$NF$2:$NF$150=F$1),0),$C33-1966)</f>
        <v>48026</v>
      </c>
      <c r="G33" s="4" cm="1">
        <f t="array" ref="G33">INDEX(GMW!$A$2:$NF$150,MATCH(1,(GMW!$NE$2:$NE$150=G$3)*(GMW!$ND$2:$ND$150=G$4)*(GMW!$NF$2:$NF$150=G$1),0),$C33-1966)</f>
        <v>14802.85</v>
      </c>
      <c r="H33" s="4" cm="1">
        <f t="array" ref="H33">INDEX(GMW!$A$2:$NF$150,MATCH(1,(GMW!$NE$2:$NE$150=H$3)*(GMW!$ND$2:$ND$150=H$4)*(GMW!$NF$2:$NF$150=H$1),0),$C33-1966)</f>
        <v>41427</v>
      </c>
      <c r="I33" s="4" cm="1">
        <f t="array" ref="I33">INDEX(GMW!$A$2:$NF$150,MATCH(1,(GMW!$NE$2:$NE$150=I$3)*(GMW!$ND$2:$ND$150=I$4)*(GMW!$NF$2:$NF$150=I$1),0),$C33-1966)</f>
        <v>11078.58</v>
      </c>
      <c r="J33" s="4" cm="1">
        <f t="array" ref="J33">INDEX(GMW!$A$2:$NF$150,MATCH(1,(GMW!$NE$2:$NE$150=J$3)*(GMW!$ND$2:$ND$150=J$4)*(GMW!$NF$2:$NF$150=J$1),0),$C33-1966)</f>
        <v>50787</v>
      </c>
      <c r="K33" s="4" cm="1">
        <f t="array" ref="K33">INDEX(GMW!$A$2:$NF$150,MATCH(1,(GMW!$NE$2:$NE$150=K$3)*(GMW!$ND$2:$ND$150=K$4)*(GMW!$NF$2:$NF$150=K$1),0),$C33-1966)</f>
        <v>18905.560000000001</v>
      </c>
      <c r="L33" s="4" cm="1">
        <f t="array" ref="L33">INDEX(GMW!$A$2:$NF$150,MATCH(1,(GMW!$NE$2:$NE$150=L$3)*(GMW!$ND$2:$ND$150=L$4)*(GMW!$NF$2:$NF$150=L$1),0),$C33-1966)</f>
        <v>264311.90000000002</v>
      </c>
      <c r="M33" s="4" cm="1">
        <f t="array" ref="M33">INDEX(GMW!$A$2:$NF$150,MATCH(1,(GMW!$NE$2:$NE$150=M$3)*(GMW!$ND$2:$ND$150=M$4)*(GMW!$NF$2:$NF$150=M$1),0),$C33-1966)</f>
        <v>24712.89</v>
      </c>
      <c r="N33" s="4" cm="1">
        <f t="array" ref="N33">INDEX(GMW!$A$2:$NF$150,MATCH(1,(GMW!$NE$2:$NE$150=N$3)*(GMW!$ND$2:$ND$150=N$4)*(GMW!$NF$2:$NF$150=N$1),0),$C33-1966)</f>
        <v>1E-3</v>
      </c>
      <c r="O33" s="4" cm="1">
        <f t="array" ref="O33">INDEX(GMW!$A$2:$NF$150,MATCH(1,(GMW!$NE$2:$NE$150=O$3)*(GMW!$ND$2:$ND$150=O$4)*(GMW!$NF$2:$NF$150=O$1),0),$C33-1966)</f>
        <v>300380.2</v>
      </c>
      <c r="P33" s="4" cm="1">
        <f t="array" ref="P33">INDEX(GMW!$A$2:$NF$150,MATCH(1,(GMW!$NE$2:$NE$150=P$3)*(GMW!$ND$2:$ND$150=P$4)*(GMW!$NF$2:$NF$150=P$1),0),$C33-1966)</f>
        <v>35910.339999999997</v>
      </c>
      <c r="Q33" s="4" cm="1">
        <f t="array" ref="Q33">INDEX(GMW!$A$2:$NF$150,MATCH(1,(GMW!$NE$2:$NE$150=Q$3)*(GMW!$ND$2:$ND$150=Q$4)*(GMW!$NF$2:$NF$150=Q$1),0),$C33-1966)</f>
        <v>1248275</v>
      </c>
      <c r="R33" s="4" cm="1">
        <f t="array" ref="R33">INDEX(GMW!$A$2:$NF$150,MATCH(1,(GMW!$NE$2:$NE$150=R$3)*(GMW!$ND$2:$ND$150=R$4)*(GMW!$NF$2:$NF$150=R$1),0),$C33-1966)</f>
        <v>-1.92218</v>
      </c>
      <c r="S33" s="4" cm="1">
        <f t="array" ref="S33">INDEX(GMW!$A$2:$NF$150,MATCH(1,(GMW!$NE$2:$NE$150=S$3)*(GMW!$ND$2:$ND$150=S$4)*(GMW!$NF$2:$NF$150=S$1),0),$C33-1966)</f>
        <v>269599</v>
      </c>
      <c r="T33" s="4" cm="1">
        <f t="array" ref="T33">INDEX(GMW!$A$2:$NF$150,MATCH(1,(GMW!$NE$2:$NE$150=T$3)*(GMW!$ND$2:$ND$150=T$4)*(GMW!$NF$2:$NF$150=T$1),0),$C33-1966)</f>
        <v>28.910589999999999</v>
      </c>
      <c r="U33" s="4" cm="1">
        <f t="array" ref="U33">INDEX(GMW!$A$2:$NF$150,MATCH(1,(GMW!$NE$2:$NE$150=U$3)*(GMW!$ND$2:$ND$150=U$4)*(GMW!$NF$2:$NF$150=U$1),0),$C33-1966)</f>
        <v>48026</v>
      </c>
      <c r="V33" s="4" cm="1">
        <f t="array" ref="V33">INDEX(GMW!$A$2:$NF$150,MATCH(1,(GMW!$NE$2:$NE$150=V$3)*(GMW!$ND$2:$ND$150=V$4)*(GMW!$NF$2:$NF$150=V$1),0),$C33-1966)</f>
        <v>14802.85</v>
      </c>
      <c r="W33" s="4" cm="1">
        <f t="array" ref="W33">INDEX(GMW!$A$2:$NF$150,MATCH(1,(GMW!$NE$2:$NE$150=W$3)*(GMW!$ND$2:$ND$150=W$4)*(GMW!$NF$2:$NF$150=W$1),0),$C33-1966)</f>
        <v>41427</v>
      </c>
      <c r="X33" s="4" cm="1">
        <f t="array" ref="X33">INDEX(GMW!$A$2:$NF$150,MATCH(1,(GMW!$NE$2:$NE$150=X$3)*(GMW!$ND$2:$ND$150=X$4)*(GMW!$NF$2:$NF$150=X$1),0),$C33-1966)</f>
        <v>11078.58</v>
      </c>
      <c r="Y33" s="4" cm="1">
        <f t="array" ref="Y33">INDEX(GMW!$A$2:$NF$150,MATCH(1,(GMW!$NE$2:$NE$150=Y$3)*(GMW!$ND$2:$ND$150=Y$4)*(GMW!$NF$2:$NF$150=Y$1),0),$C33-1966)</f>
        <v>50787</v>
      </c>
      <c r="Z33" s="4" cm="1">
        <f t="array" ref="Z33">INDEX(GMW!$A$2:$NF$150,MATCH(1,(GMW!$NE$2:$NE$150=Z$3)*(GMW!$ND$2:$ND$150=Z$4)*(GMW!$NF$2:$NF$150=Z$1),0),$C33-1966)</f>
        <v>18905.560000000001</v>
      </c>
      <c r="AA33" s="4" cm="1">
        <f t="array" ref="AA33">INDEX(GMW!$A$2:$NF$150,MATCH(1,(GMW!$NE$2:$NE$150=AA$3)*(GMW!$ND$2:$ND$150=AA$4)*(GMW!$NF$2:$NF$150=AA$1),0),$C33-1966)</f>
        <v>264311.90000000002</v>
      </c>
      <c r="AB33" s="4" cm="1">
        <f t="array" ref="AB33">INDEX(GMW!$A$2:$NF$150,MATCH(1,(GMW!$NE$2:$NE$150=AB$3)*(GMW!$ND$2:$ND$150=AB$4)*(GMW!$NF$2:$NF$150=AB$1),0),$C33-1966)</f>
        <v>24712.89</v>
      </c>
      <c r="AC33" s="4" cm="1">
        <f t="array" ref="AC33">INDEX(GMW!$A$2:$NF$150,MATCH(1,(GMW!$NE$2:$NE$150=AC$3)*(GMW!$ND$2:$ND$150=AC$4)*(GMW!$NF$2:$NF$150=AC$1),0),$C33-1966)</f>
        <v>1E-3</v>
      </c>
      <c r="AD33" s="4" cm="1">
        <f t="array" ref="AD33">INDEX(GMW!$A$2:$NF$150,MATCH(1,(GMW!$NE$2:$NE$150=AD$3)*(GMW!$ND$2:$ND$150=AD$4)*(GMW!$NF$2:$NF$150=AD$1),0),$C33-1966)</f>
        <v>300380.2</v>
      </c>
      <c r="AE33" s="4" cm="1">
        <f t="array" ref="AE33">INDEX(GMW!$A$2:$NF$150,MATCH(1,(GMW!$NE$2:$NE$150=AE$3)*(GMW!$ND$2:$ND$150=AE$4)*(GMW!$NF$2:$NF$150=AE$1),0),$C33-1966)</f>
        <v>35910.339999999997</v>
      </c>
      <c r="AF33" s="4" cm="1">
        <f t="array" ref="AF33">INDEX(GMW!$A$2:$NF$150,MATCH(1,(GMW!$NE$2:$NE$150=AF$3)*(GMW!$ND$2:$ND$150=AF$4)*(GMW!$NF$2:$NF$150=AF$1),0),$C33-1966)</f>
        <v>1248275</v>
      </c>
      <c r="AG33" s="4" cm="1">
        <f t="array" ref="AG33">INDEX(GMW!$A$2:$NF$150,MATCH(1,(GMW!$NE$2:$NE$150=AG$3)*(GMW!$ND$2:$ND$150=AG$4)*(GMW!$NF$2:$NF$150=AG$1),0),$C33-1966)</f>
        <v>-1.92218</v>
      </c>
      <c r="AH33" s="4" cm="1">
        <f t="array" ref="AH33">INDEX(GMW!$A$2:$NF$150,MATCH(1,(GMW!$NE$2:$NE$150=AH$3)*(GMW!$ND$2:$ND$150=AH$4)*(GMW!$NF$2:$NF$150=AH$1),0),$C33-1966)</f>
        <v>269599</v>
      </c>
      <c r="AI33" s="4" cm="1">
        <f t="array" ref="AI33">INDEX(GMW!$A$2:$NF$150,MATCH(1,(GMW!$NE$2:$NE$150=AI$3)*(GMW!$ND$2:$ND$150=AI$4)*(GMW!$NF$2:$NF$150=AI$1),0),$C33-1966)</f>
        <v>28.910589999999999</v>
      </c>
      <c r="AJ33" s="4" cm="1">
        <f t="array" ref="AJ33">INDEX(GMW!$A$2:$NF$150,MATCH(1,(GMW!$NE$2:$NE$150=AJ$3)*(GMW!$ND$2:$ND$150=AJ$4)*(GMW!$NF$2:$NF$150=AJ$1),0),$C33-1966)</f>
        <v>48026</v>
      </c>
      <c r="AK33" s="4" cm="1">
        <f t="array" ref="AK33">INDEX(GMW!$A$2:$NF$150,MATCH(1,(GMW!$NE$2:$NE$150=AK$3)*(GMW!$ND$2:$ND$150=AK$4)*(GMW!$NF$2:$NF$150=AK$1),0),$C33-1966)</f>
        <v>14802.85</v>
      </c>
      <c r="AL33" s="4" cm="1">
        <f t="array" ref="AL33">INDEX(GMW!$A$2:$NF$150,MATCH(1,(GMW!$NE$2:$NE$150=AL$3)*(GMW!$ND$2:$ND$150=AL$4)*(GMW!$NF$2:$NF$150=AL$1),0),$C33-1966)</f>
        <v>41427</v>
      </c>
      <c r="AM33" s="4" cm="1">
        <f t="array" ref="AM33">INDEX(GMW!$A$2:$NF$150,MATCH(1,(GMW!$NE$2:$NE$150=AM$3)*(GMW!$ND$2:$ND$150=AM$4)*(GMW!$NF$2:$NF$150=AM$1),0),$C33-1966)</f>
        <v>11078.58</v>
      </c>
      <c r="AN33" s="4" cm="1">
        <f t="array" ref="AN33">INDEX(GMW!$A$2:$NF$150,MATCH(1,(GMW!$NE$2:$NE$150=AN$3)*(GMW!$ND$2:$ND$150=AN$4)*(GMW!$NF$2:$NF$150=AN$1),0),$C33-1966)</f>
        <v>50787</v>
      </c>
      <c r="AO33" s="4" cm="1">
        <f t="array" ref="AO33">INDEX(GMW!$A$2:$NF$150,MATCH(1,(GMW!$NE$2:$NE$150=AO$3)*(GMW!$ND$2:$ND$150=AO$4)*(GMW!$NF$2:$NF$150=AO$1),0),$C33-1966)</f>
        <v>18905.560000000001</v>
      </c>
      <c r="AP33" s="4" cm="1">
        <f t="array" ref="AP33">INDEX(GMW!$A$2:$NF$150,MATCH(1,(GMW!$NE$2:$NE$150=AP$3)*(GMW!$ND$2:$ND$150=AP$4)*(GMW!$NF$2:$NF$150=AP$1),0),$C33-1966)</f>
        <v>264311.90000000002</v>
      </c>
      <c r="AQ33" s="4" cm="1">
        <f t="array" ref="AQ33">INDEX(GMW!$A$2:$NF$150,MATCH(1,(GMW!$NE$2:$NE$150=AQ$3)*(GMW!$ND$2:$ND$150=AQ$4)*(GMW!$NF$2:$NF$150=AQ$1),0),$C33-1966)</f>
        <v>24712.89</v>
      </c>
      <c r="AR33" s="4" cm="1">
        <f t="array" ref="AR33">INDEX(GMW!$A$2:$NF$150,MATCH(1,(GMW!$NE$2:$NE$150=AR$3)*(GMW!$ND$2:$ND$150=AR$4)*(GMW!$NF$2:$NF$150=AR$1),0),$C33-1966)</f>
        <v>1E-3</v>
      </c>
      <c r="AS33" s="4" cm="1">
        <f t="array" ref="AS33">INDEX(GMW!$A$2:$NF$150,MATCH(1,(GMW!$NE$2:$NE$150=AS$3)*(GMW!$ND$2:$ND$150=AS$4)*(GMW!$NF$2:$NF$150=AS$1),0),$C33-1966)</f>
        <v>300380.2</v>
      </c>
      <c r="AT33" s="4" cm="1">
        <f t="array" ref="AT33">INDEX(GMW!$A$2:$NF$150,MATCH(1,(GMW!$NE$2:$NE$150=AT$3)*(GMW!$ND$2:$ND$150=AT$4)*(GMW!$NF$2:$NF$150=AT$1),0),$C33-1966)</f>
        <v>35910.339999999997</v>
      </c>
      <c r="AU33" s="4" cm="1">
        <f t="array" ref="AU33">INDEX(GMW!$A$2:$NF$150,MATCH(1,(GMW!$NE$2:$NE$150=AU$3)*(GMW!$ND$2:$ND$150=AU$4)*(GMW!$NF$2:$NF$150=AU$1),0),$C33-1966)</f>
        <v>1248275</v>
      </c>
      <c r="AV33" s="4" cm="1">
        <f t="array" ref="AV33">INDEX(GMW!$A$2:$NF$150,MATCH(1,(GMW!$NE$2:$NE$150=AV$3)*(GMW!$ND$2:$ND$150=AV$4)*(GMW!$NF$2:$NF$150=AV$1),0),$C33-1966)</f>
        <v>-1.92218</v>
      </c>
    </row>
    <row r="34" spans="1:48" x14ac:dyDescent="0.25">
      <c r="B34" s="4">
        <f t="shared" si="4"/>
        <v>1979</v>
      </c>
      <c r="C34" s="4">
        <f t="shared" si="3"/>
        <v>2000</v>
      </c>
      <c r="D34" s="4" cm="1">
        <f t="array" ref="D34">INDEX(GMW!$A$2:$NF$150,MATCH(1,(GMW!$NE$2:$NE$150=D$3)*(GMW!$ND$2:$ND$150=D$4)*(GMW!$NF$2:$NF$150=D$1),0),$C34-1966)</f>
        <v>272359</v>
      </c>
      <c r="E34" s="4" cm="1">
        <f t="array" ref="E34">INDEX(GMW!$A$2:$NF$150,MATCH(1,(GMW!$NE$2:$NE$150=E$3)*(GMW!$ND$2:$ND$150=E$4)*(GMW!$NF$2:$NF$150=E$1),0),$C34-1966)</f>
        <v>29.718730000000001</v>
      </c>
      <c r="F34" s="4" cm="1">
        <f t="array" ref="F34">INDEX(GMW!$A$2:$NF$150,MATCH(1,(GMW!$NE$2:$NE$150=F$3)*(GMW!$ND$2:$ND$150=F$4)*(GMW!$NF$2:$NF$150=F$1),0),$C34-1966)</f>
        <v>48391</v>
      </c>
      <c r="G34" s="4" cm="1">
        <f t="array" ref="G34">INDEX(GMW!$A$2:$NF$150,MATCH(1,(GMW!$NE$2:$NE$150=G$3)*(GMW!$ND$2:$ND$150=G$4)*(GMW!$NF$2:$NF$150=G$1),0),$C34-1966)</f>
        <v>16132.91</v>
      </c>
      <c r="H34" s="4" cm="1">
        <f t="array" ref="H34">INDEX(GMW!$A$2:$NF$150,MATCH(1,(GMW!$NE$2:$NE$150=H$3)*(GMW!$ND$2:$ND$150=H$4)*(GMW!$NF$2:$NF$150=H$1),0),$C34-1966)</f>
        <v>41252</v>
      </c>
      <c r="I34" s="4" cm="1">
        <f t="array" ref="I34">INDEX(GMW!$A$2:$NF$150,MATCH(1,(GMW!$NE$2:$NE$150=I$3)*(GMW!$ND$2:$ND$150=I$4)*(GMW!$NF$2:$NF$150=I$1),0),$C34-1966)</f>
        <v>11307.47</v>
      </c>
      <c r="J34" s="4" cm="1">
        <f t="array" ref="J34">INDEX(GMW!$A$2:$NF$150,MATCH(1,(GMW!$NE$2:$NE$150=J$3)*(GMW!$ND$2:$ND$150=J$4)*(GMW!$NF$2:$NF$150=J$1),0),$C34-1966)</f>
        <v>51496</v>
      </c>
      <c r="K34" s="4" cm="1">
        <f t="array" ref="K34">INDEX(GMW!$A$2:$NF$150,MATCH(1,(GMW!$NE$2:$NE$150=K$3)*(GMW!$ND$2:$ND$150=K$4)*(GMW!$NF$2:$NF$150=K$1),0),$C34-1966)</f>
        <v>18569.28</v>
      </c>
      <c r="L34" s="4" cm="1">
        <f t="array" ref="L34">INDEX(GMW!$A$2:$NF$150,MATCH(1,(GMW!$NE$2:$NE$150=L$3)*(GMW!$ND$2:$ND$150=L$4)*(GMW!$NF$2:$NF$150=L$1),0),$C34-1966)</f>
        <v>265866.3</v>
      </c>
      <c r="M34" s="4" cm="1">
        <f t="array" ref="M34">INDEX(GMW!$A$2:$NF$150,MATCH(1,(GMW!$NE$2:$NE$150=M$3)*(GMW!$ND$2:$ND$150=M$4)*(GMW!$NF$2:$NF$150=M$1),0),$C34-1966)</f>
        <v>24744.68</v>
      </c>
      <c r="N34" s="4" cm="1">
        <f t="array" ref="N34">INDEX(GMW!$A$2:$NF$150,MATCH(1,(GMW!$NE$2:$NE$150=N$3)*(GMW!$ND$2:$ND$150=N$4)*(GMW!$NF$2:$NF$150=N$1),0),$C34-1966)</f>
        <v>1E-3</v>
      </c>
      <c r="O34" s="4" cm="1">
        <f t="array" ref="O34">INDEX(GMW!$A$2:$NF$150,MATCH(1,(GMW!$NE$2:$NE$150=O$3)*(GMW!$ND$2:$ND$150=O$4)*(GMW!$NF$2:$NF$150=O$1),0),$C34-1966)</f>
        <v>301099.8</v>
      </c>
      <c r="P34" s="4" cm="1">
        <f t="array" ref="P34">INDEX(GMW!$A$2:$NF$150,MATCH(1,(GMW!$NE$2:$NE$150=P$3)*(GMW!$ND$2:$ND$150=P$4)*(GMW!$NF$2:$NF$150=P$1),0),$C34-1966)</f>
        <v>35966.53</v>
      </c>
      <c r="Q34" s="4" cm="1">
        <f t="array" ref="Q34">INDEX(GMW!$A$2:$NF$150,MATCH(1,(GMW!$NE$2:$NE$150=Q$3)*(GMW!$ND$2:$ND$150=Q$4)*(GMW!$NF$2:$NF$150=Q$1),0),$C34-1966)</f>
        <v>1254201</v>
      </c>
      <c r="R34" s="4" cm="1">
        <f t="array" ref="R34">INDEX(GMW!$A$2:$NF$150,MATCH(1,(GMW!$NE$2:$NE$150=R$3)*(GMW!$ND$2:$ND$150=R$4)*(GMW!$NF$2:$NF$150=R$1),0),$C34-1966)</f>
        <v>-1.9190659999999999</v>
      </c>
      <c r="S34" s="4" cm="1">
        <f t="array" ref="S34">INDEX(GMW!$A$2:$NF$150,MATCH(1,(GMW!$NE$2:$NE$150=S$3)*(GMW!$ND$2:$ND$150=S$4)*(GMW!$NF$2:$NF$150=S$1),0),$C34-1966)</f>
        <v>272359</v>
      </c>
      <c r="T34" s="4" cm="1">
        <f t="array" ref="T34">INDEX(GMW!$A$2:$NF$150,MATCH(1,(GMW!$NE$2:$NE$150=T$3)*(GMW!$ND$2:$ND$150=T$4)*(GMW!$NF$2:$NF$150=T$1),0),$C34-1966)</f>
        <v>29.718730000000001</v>
      </c>
      <c r="U34" s="4" cm="1">
        <f t="array" ref="U34">INDEX(GMW!$A$2:$NF$150,MATCH(1,(GMW!$NE$2:$NE$150=U$3)*(GMW!$ND$2:$ND$150=U$4)*(GMW!$NF$2:$NF$150=U$1),0),$C34-1966)</f>
        <v>48391</v>
      </c>
      <c r="V34" s="4" cm="1">
        <f t="array" ref="V34">INDEX(GMW!$A$2:$NF$150,MATCH(1,(GMW!$NE$2:$NE$150=V$3)*(GMW!$ND$2:$ND$150=V$4)*(GMW!$NF$2:$NF$150=V$1),0),$C34-1966)</f>
        <v>16132.91</v>
      </c>
      <c r="W34" s="4" cm="1">
        <f t="array" ref="W34">INDEX(GMW!$A$2:$NF$150,MATCH(1,(GMW!$NE$2:$NE$150=W$3)*(GMW!$ND$2:$ND$150=W$4)*(GMW!$NF$2:$NF$150=W$1),0),$C34-1966)</f>
        <v>41252</v>
      </c>
      <c r="X34" s="4" cm="1">
        <f t="array" ref="X34">INDEX(GMW!$A$2:$NF$150,MATCH(1,(GMW!$NE$2:$NE$150=X$3)*(GMW!$ND$2:$ND$150=X$4)*(GMW!$NF$2:$NF$150=X$1),0),$C34-1966)</f>
        <v>11307.47</v>
      </c>
      <c r="Y34" s="4" cm="1">
        <f t="array" ref="Y34">INDEX(GMW!$A$2:$NF$150,MATCH(1,(GMW!$NE$2:$NE$150=Y$3)*(GMW!$ND$2:$ND$150=Y$4)*(GMW!$NF$2:$NF$150=Y$1),0),$C34-1966)</f>
        <v>51496</v>
      </c>
      <c r="Z34" s="4" cm="1">
        <f t="array" ref="Z34">INDEX(GMW!$A$2:$NF$150,MATCH(1,(GMW!$NE$2:$NE$150=Z$3)*(GMW!$ND$2:$ND$150=Z$4)*(GMW!$NF$2:$NF$150=Z$1),0),$C34-1966)</f>
        <v>18569.28</v>
      </c>
      <c r="AA34" s="4" cm="1">
        <f t="array" ref="AA34">INDEX(GMW!$A$2:$NF$150,MATCH(1,(GMW!$NE$2:$NE$150=AA$3)*(GMW!$ND$2:$ND$150=AA$4)*(GMW!$NF$2:$NF$150=AA$1),0),$C34-1966)</f>
        <v>265866.3</v>
      </c>
      <c r="AB34" s="4" cm="1">
        <f t="array" ref="AB34">INDEX(GMW!$A$2:$NF$150,MATCH(1,(GMW!$NE$2:$NE$150=AB$3)*(GMW!$ND$2:$ND$150=AB$4)*(GMW!$NF$2:$NF$150=AB$1),0),$C34-1966)</f>
        <v>24744.68</v>
      </c>
      <c r="AC34" s="4" cm="1">
        <f t="array" ref="AC34">INDEX(GMW!$A$2:$NF$150,MATCH(1,(GMW!$NE$2:$NE$150=AC$3)*(GMW!$ND$2:$ND$150=AC$4)*(GMW!$NF$2:$NF$150=AC$1),0),$C34-1966)</f>
        <v>1E-3</v>
      </c>
      <c r="AD34" s="4" cm="1">
        <f t="array" ref="AD34">INDEX(GMW!$A$2:$NF$150,MATCH(1,(GMW!$NE$2:$NE$150=AD$3)*(GMW!$ND$2:$ND$150=AD$4)*(GMW!$NF$2:$NF$150=AD$1),0),$C34-1966)</f>
        <v>301099.8</v>
      </c>
      <c r="AE34" s="4" cm="1">
        <f t="array" ref="AE34">INDEX(GMW!$A$2:$NF$150,MATCH(1,(GMW!$NE$2:$NE$150=AE$3)*(GMW!$ND$2:$ND$150=AE$4)*(GMW!$NF$2:$NF$150=AE$1),0),$C34-1966)</f>
        <v>35966.53</v>
      </c>
      <c r="AF34" s="4" cm="1">
        <f t="array" ref="AF34">INDEX(GMW!$A$2:$NF$150,MATCH(1,(GMW!$NE$2:$NE$150=AF$3)*(GMW!$ND$2:$ND$150=AF$4)*(GMW!$NF$2:$NF$150=AF$1),0),$C34-1966)</f>
        <v>1254201</v>
      </c>
      <c r="AG34" s="4" cm="1">
        <f t="array" ref="AG34">INDEX(GMW!$A$2:$NF$150,MATCH(1,(GMW!$NE$2:$NE$150=AG$3)*(GMW!$ND$2:$ND$150=AG$4)*(GMW!$NF$2:$NF$150=AG$1),0),$C34-1966)</f>
        <v>-1.9190659999999999</v>
      </c>
      <c r="AH34" s="4" cm="1">
        <f t="array" ref="AH34">INDEX(GMW!$A$2:$NF$150,MATCH(1,(GMW!$NE$2:$NE$150=AH$3)*(GMW!$ND$2:$ND$150=AH$4)*(GMW!$NF$2:$NF$150=AH$1),0),$C34-1966)</f>
        <v>272359</v>
      </c>
      <c r="AI34" s="4" cm="1">
        <f t="array" ref="AI34">INDEX(GMW!$A$2:$NF$150,MATCH(1,(GMW!$NE$2:$NE$150=AI$3)*(GMW!$ND$2:$ND$150=AI$4)*(GMW!$NF$2:$NF$150=AI$1),0),$C34-1966)</f>
        <v>29.718730000000001</v>
      </c>
      <c r="AJ34" s="4" cm="1">
        <f t="array" ref="AJ34">INDEX(GMW!$A$2:$NF$150,MATCH(1,(GMW!$NE$2:$NE$150=AJ$3)*(GMW!$ND$2:$ND$150=AJ$4)*(GMW!$NF$2:$NF$150=AJ$1),0),$C34-1966)</f>
        <v>48391</v>
      </c>
      <c r="AK34" s="4" cm="1">
        <f t="array" ref="AK34">INDEX(GMW!$A$2:$NF$150,MATCH(1,(GMW!$NE$2:$NE$150=AK$3)*(GMW!$ND$2:$ND$150=AK$4)*(GMW!$NF$2:$NF$150=AK$1),0),$C34-1966)</f>
        <v>16132.91</v>
      </c>
      <c r="AL34" s="4" cm="1">
        <f t="array" ref="AL34">INDEX(GMW!$A$2:$NF$150,MATCH(1,(GMW!$NE$2:$NE$150=AL$3)*(GMW!$ND$2:$ND$150=AL$4)*(GMW!$NF$2:$NF$150=AL$1),0),$C34-1966)</f>
        <v>41252</v>
      </c>
      <c r="AM34" s="4" cm="1">
        <f t="array" ref="AM34">INDEX(GMW!$A$2:$NF$150,MATCH(1,(GMW!$NE$2:$NE$150=AM$3)*(GMW!$ND$2:$ND$150=AM$4)*(GMW!$NF$2:$NF$150=AM$1),0),$C34-1966)</f>
        <v>11307.47</v>
      </c>
      <c r="AN34" s="4" cm="1">
        <f t="array" ref="AN34">INDEX(GMW!$A$2:$NF$150,MATCH(1,(GMW!$NE$2:$NE$150=AN$3)*(GMW!$ND$2:$ND$150=AN$4)*(GMW!$NF$2:$NF$150=AN$1),0),$C34-1966)</f>
        <v>51496</v>
      </c>
      <c r="AO34" s="4" cm="1">
        <f t="array" ref="AO34">INDEX(GMW!$A$2:$NF$150,MATCH(1,(GMW!$NE$2:$NE$150=AO$3)*(GMW!$ND$2:$ND$150=AO$4)*(GMW!$NF$2:$NF$150=AO$1),0),$C34-1966)</f>
        <v>18569.28</v>
      </c>
      <c r="AP34" s="4" cm="1">
        <f t="array" ref="AP34">INDEX(GMW!$A$2:$NF$150,MATCH(1,(GMW!$NE$2:$NE$150=AP$3)*(GMW!$ND$2:$ND$150=AP$4)*(GMW!$NF$2:$NF$150=AP$1),0),$C34-1966)</f>
        <v>265866.3</v>
      </c>
      <c r="AQ34" s="4" cm="1">
        <f t="array" ref="AQ34">INDEX(GMW!$A$2:$NF$150,MATCH(1,(GMW!$NE$2:$NE$150=AQ$3)*(GMW!$ND$2:$ND$150=AQ$4)*(GMW!$NF$2:$NF$150=AQ$1),0),$C34-1966)</f>
        <v>24744.68</v>
      </c>
      <c r="AR34" s="4" cm="1">
        <f t="array" ref="AR34">INDEX(GMW!$A$2:$NF$150,MATCH(1,(GMW!$NE$2:$NE$150=AR$3)*(GMW!$ND$2:$ND$150=AR$4)*(GMW!$NF$2:$NF$150=AR$1),0),$C34-1966)</f>
        <v>1E-3</v>
      </c>
      <c r="AS34" s="4" cm="1">
        <f t="array" ref="AS34">INDEX(GMW!$A$2:$NF$150,MATCH(1,(GMW!$NE$2:$NE$150=AS$3)*(GMW!$ND$2:$ND$150=AS$4)*(GMW!$NF$2:$NF$150=AS$1),0),$C34-1966)</f>
        <v>301099.8</v>
      </c>
      <c r="AT34" s="4" cm="1">
        <f t="array" ref="AT34">INDEX(GMW!$A$2:$NF$150,MATCH(1,(GMW!$NE$2:$NE$150=AT$3)*(GMW!$ND$2:$ND$150=AT$4)*(GMW!$NF$2:$NF$150=AT$1),0),$C34-1966)</f>
        <v>35966.53</v>
      </c>
      <c r="AU34" s="4" cm="1">
        <f t="array" ref="AU34">INDEX(GMW!$A$2:$NF$150,MATCH(1,(GMW!$NE$2:$NE$150=AU$3)*(GMW!$ND$2:$ND$150=AU$4)*(GMW!$NF$2:$NF$150=AU$1),0),$C34-1966)</f>
        <v>1254201</v>
      </c>
      <c r="AV34" s="4" cm="1">
        <f t="array" ref="AV34">INDEX(GMW!$A$2:$NF$150,MATCH(1,(GMW!$NE$2:$NE$150=AV$3)*(GMW!$ND$2:$ND$150=AV$4)*(GMW!$NF$2:$NF$150=AV$1),0),$C34-1966)</f>
        <v>-1.9190659999999999</v>
      </c>
    </row>
    <row r="35" spans="1:48" x14ac:dyDescent="0.25">
      <c r="A35" s="4">
        <v>1980</v>
      </c>
      <c r="B35" s="4">
        <f t="shared" si="4"/>
        <v>1980</v>
      </c>
      <c r="C35" s="4">
        <f t="shared" si="3"/>
        <v>2001</v>
      </c>
      <c r="D35" s="4" cm="1">
        <f t="array" ref="D35">INDEX(GMW!$A$2:$NF$150,MATCH(1,(GMW!$NE$2:$NE$150=D$3)*(GMW!$ND$2:$ND$150=D$4)*(GMW!$NF$2:$NF$150=D$1),0),$C35-1966)</f>
        <v>269776</v>
      </c>
      <c r="E35" s="4" cm="1">
        <f t="array" ref="E35">INDEX(GMW!$A$2:$NF$150,MATCH(1,(GMW!$NE$2:$NE$150=E$3)*(GMW!$ND$2:$ND$150=E$4)*(GMW!$NF$2:$NF$150=E$1),0),$C35-1966)</f>
        <v>30.605080000000001</v>
      </c>
      <c r="F35" s="4" cm="1">
        <f t="array" ref="F35">INDEX(GMW!$A$2:$NF$150,MATCH(1,(GMW!$NE$2:$NE$150=F$3)*(GMW!$ND$2:$ND$150=F$4)*(GMW!$NF$2:$NF$150=F$1),0),$C35-1966)</f>
        <v>49049</v>
      </c>
      <c r="G35" s="4" cm="1">
        <f t="array" ref="G35">INDEX(GMW!$A$2:$NF$150,MATCH(1,(GMW!$NE$2:$NE$150=G$3)*(GMW!$ND$2:$ND$150=G$4)*(GMW!$NF$2:$NF$150=G$1),0),$C35-1966)</f>
        <v>17320.91</v>
      </c>
      <c r="H35" s="4" cm="1">
        <f t="array" ref="H35">INDEX(GMW!$A$2:$NF$150,MATCH(1,(GMW!$NE$2:$NE$150=H$3)*(GMW!$ND$2:$ND$150=H$4)*(GMW!$NF$2:$NF$150=H$1),0),$C35-1966)</f>
        <v>41769</v>
      </c>
      <c r="I35" s="4" cm="1">
        <f t="array" ref="I35">INDEX(GMW!$A$2:$NF$150,MATCH(1,(GMW!$NE$2:$NE$150=I$3)*(GMW!$ND$2:$ND$150=I$4)*(GMW!$NF$2:$NF$150=I$1),0),$C35-1966)</f>
        <v>11899.42</v>
      </c>
      <c r="J35" s="4" cm="1">
        <f t="array" ref="J35">INDEX(GMW!$A$2:$NF$150,MATCH(1,(GMW!$NE$2:$NE$150=J$3)*(GMW!$ND$2:$ND$150=J$4)*(GMW!$NF$2:$NF$150=J$1),0),$C35-1966)</f>
        <v>49012</v>
      </c>
      <c r="K35" s="4" cm="1">
        <f t="array" ref="K35">INDEX(GMW!$A$2:$NF$150,MATCH(1,(GMW!$NE$2:$NE$150=K$3)*(GMW!$ND$2:$ND$150=K$4)*(GMW!$NF$2:$NF$150=K$1),0),$C35-1966)</f>
        <v>18319.89</v>
      </c>
      <c r="L35" s="4" cm="1">
        <f t="array" ref="L35">INDEX(GMW!$A$2:$NF$150,MATCH(1,(GMW!$NE$2:$NE$150=L$3)*(GMW!$ND$2:$ND$150=L$4)*(GMW!$NF$2:$NF$150=L$1),0),$C35-1966)</f>
        <v>268225.3</v>
      </c>
      <c r="M35" s="4" cm="1">
        <f t="array" ref="M35">INDEX(GMW!$A$2:$NF$150,MATCH(1,(GMW!$NE$2:$NE$150=M$3)*(GMW!$ND$2:$ND$150=M$4)*(GMW!$NF$2:$NF$150=M$1),0),$C35-1966)</f>
        <v>24743.78</v>
      </c>
      <c r="N35" s="4" cm="1">
        <f t="array" ref="N35">INDEX(GMW!$A$2:$NF$150,MATCH(1,(GMW!$NE$2:$NE$150=N$3)*(GMW!$ND$2:$ND$150=N$4)*(GMW!$NF$2:$NF$150=N$1),0),$C35-1966)</f>
        <v>1E-3</v>
      </c>
      <c r="O35" s="4" cm="1">
        <f t="array" ref="O35">INDEX(GMW!$A$2:$NF$150,MATCH(1,(GMW!$NE$2:$NE$150=O$3)*(GMW!$ND$2:$ND$150=O$4)*(GMW!$NF$2:$NF$150=O$1),0),$C35-1966)</f>
        <v>305710.09999999998</v>
      </c>
      <c r="P35" s="4" cm="1">
        <f t="array" ref="P35">INDEX(GMW!$A$2:$NF$150,MATCH(1,(GMW!$NE$2:$NE$150=P$3)*(GMW!$ND$2:$ND$150=P$4)*(GMW!$NF$2:$NF$150=P$1),0),$C35-1966)</f>
        <v>36022.71</v>
      </c>
      <c r="Q35" s="4" cm="1">
        <f t="array" ref="Q35">INDEX(GMW!$A$2:$NF$150,MATCH(1,(GMW!$NE$2:$NE$150=Q$3)*(GMW!$ND$2:$ND$150=Q$4)*(GMW!$NF$2:$NF$150=Q$1),0),$C35-1966)</f>
        <v>1258841</v>
      </c>
      <c r="R35" s="4" cm="1">
        <f t="array" ref="R35">INDEX(GMW!$A$2:$NF$150,MATCH(1,(GMW!$NE$2:$NE$150=R$3)*(GMW!$ND$2:$ND$150=R$4)*(GMW!$NF$2:$NF$150=R$1),0),$C35-1966)</f>
        <v>-1.915958</v>
      </c>
      <c r="S35" s="4" cm="1">
        <f t="array" ref="S35">INDEX(GMW!$A$2:$NF$150,MATCH(1,(GMW!$NE$2:$NE$150=S$3)*(GMW!$ND$2:$ND$150=S$4)*(GMW!$NF$2:$NF$150=S$1),0),$C35-1966)</f>
        <v>269776</v>
      </c>
      <c r="T35" s="4" cm="1">
        <f t="array" ref="T35">INDEX(GMW!$A$2:$NF$150,MATCH(1,(GMW!$NE$2:$NE$150=T$3)*(GMW!$ND$2:$ND$150=T$4)*(GMW!$NF$2:$NF$150=T$1),0),$C35-1966)</f>
        <v>30.605080000000001</v>
      </c>
      <c r="U35" s="4" cm="1">
        <f t="array" ref="U35">INDEX(GMW!$A$2:$NF$150,MATCH(1,(GMW!$NE$2:$NE$150=U$3)*(GMW!$ND$2:$ND$150=U$4)*(GMW!$NF$2:$NF$150=U$1),0),$C35-1966)</f>
        <v>49049</v>
      </c>
      <c r="V35" s="4" cm="1">
        <f t="array" ref="V35">INDEX(GMW!$A$2:$NF$150,MATCH(1,(GMW!$NE$2:$NE$150=V$3)*(GMW!$ND$2:$ND$150=V$4)*(GMW!$NF$2:$NF$150=V$1),0),$C35-1966)</f>
        <v>17320.91</v>
      </c>
      <c r="W35" s="4" cm="1">
        <f t="array" ref="W35">INDEX(GMW!$A$2:$NF$150,MATCH(1,(GMW!$NE$2:$NE$150=W$3)*(GMW!$ND$2:$ND$150=W$4)*(GMW!$NF$2:$NF$150=W$1),0),$C35-1966)</f>
        <v>41769</v>
      </c>
      <c r="X35" s="4" cm="1">
        <f t="array" ref="X35">INDEX(GMW!$A$2:$NF$150,MATCH(1,(GMW!$NE$2:$NE$150=X$3)*(GMW!$ND$2:$ND$150=X$4)*(GMW!$NF$2:$NF$150=X$1),0),$C35-1966)</f>
        <v>11899.42</v>
      </c>
      <c r="Y35" s="4" cm="1">
        <f t="array" ref="Y35">INDEX(GMW!$A$2:$NF$150,MATCH(1,(GMW!$NE$2:$NE$150=Y$3)*(GMW!$ND$2:$ND$150=Y$4)*(GMW!$NF$2:$NF$150=Y$1),0),$C35-1966)</f>
        <v>49012</v>
      </c>
      <c r="Z35" s="4" cm="1">
        <f t="array" ref="Z35">INDEX(GMW!$A$2:$NF$150,MATCH(1,(GMW!$NE$2:$NE$150=Z$3)*(GMW!$ND$2:$ND$150=Z$4)*(GMW!$NF$2:$NF$150=Z$1),0),$C35-1966)</f>
        <v>18319.89</v>
      </c>
      <c r="AA35" s="4" cm="1">
        <f t="array" ref="AA35">INDEX(GMW!$A$2:$NF$150,MATCH(1,(GMW!$NE$2:$NE$150=AA$3)*(GMW!$ND$2:$ND$150=AA$4)*(GMW!$NF$2:$NF$150=AA$1),0),$C35-1966)</f>
        <v>268225.3</v>
      </c>
      <c r="AB35" s="4" cm="1">
        <f t="array" ref="AB35">INDEX(GMW!$A$2:$NF$150,MATCH(1,(GMW!$NE$2:$NE$150=AB$3)*(GMW!$ND$2:$ND$150=AB$4)*(GMW!$NF$2:$NF$150=AB$1),0),$C35-1966)</f>
        <v>24743.78</v>
      </c>
      <c r="AC35" s="4" cm="1">
        <f t="array" ref="AC35">INDEX(GMW!$A$2:$NF$150,MATCH(1,(GMW!$NE$2:$NE$150=AC$3)*(GMW!$ND$2:$ND$150=AC$4)*(GMW!$NF$2:$NF$150=AC$1),0),$C35-1966)</f>
        <v>1E-3</v>
      </c>
      <c r="AD35" s="4" cm="1">
        <f t="array" ref="AD35">INDEX(GMW!$A$2:$NF$150,MATCH(1,(GMW!$NE$2:$NE$150=AD$3)*(GMW!$ND$2:$ND$150=AD$4)*(GMW!$NF$2:$NF$150=AD$1),0),$C35-1966)</f>
        <v>305710.09999999998</v>
      </c>
      <c r="AE35" s="4" cm="1">
        <f t="array" ref="AE35">INDEX(GMW!$A$2:$NF$150,MATCH(1,(GMW!$NE$2:$NE$150=AE$3)*(GMW!$ND$2:$ND$150=AE$4)*(GMW!$NF$2:$NF$150=AE$1),0),$C35-1966)</f>
        <v>36022.71</v>
      </c>
      <c r="AF35" s="4" cm="1">
        <f t="array" ref="AF35">INDEX(GMW!$A$2:$NF$150,MATCH(1,(GMW!$NE$2:$NE$150=AF$3)*(GMW!$ND$2:$ND$150=AF$4)*(GMW!$NF$2:$NF$150=AF$1),0),$C35-1966)</f>
        <v>1258841</v>
      </c>
      <c r="AG35" s="4" cm="1">
        <f t="array" ref="AG35">INDEX(GMW!$A$2:$NF$150,MATCH(1,(GMW!$NE$2:$NE$150=AG$3)*(GMW!$ND$2:$ND$150=AG$4)*(GMW!$NF$2:$NF$150=AG$1),0),$C35-1966)</f>
        <v>-1.915958</v>
      </c>
      <c r="AH35" s="4" cm="1">
        <f t="array" ref="AH35">INDEX(GMW!$A$2:$NF$150,MATCH(1,(GMW!$NE$2:$NE$150=AH$3)*(GMW!$ND$2:$ND$150=AH$4)*(GMW!$NF$2:$NF$150=AH$1),0),$C35-1966)</f>
        <v>269776</v>
      </c>
      <c r="AI35" s="4" cm="1">
        <f t="array" ref="AI35">INDEX(GMW!$A$2:$NF$150,MATCH(1,(GMW!$NE$2:$NE$150=AI$3)*(GMW!$ND$2:$ND$150=AI$4)*(GMW!$NF$2:$NF$150=AI$1),0),$C35-1966)</f>
        <v>30.605080000000001</v>
      </c>
      <c r="AJ35" s="4" cm="1">
        <f t="array" ref="AJ35">INDEX(GMW!$A$2:$NF$150,MATCH(1,(GMW!$NE$2:$NE$150=AJ$3)*(GMW!$ND$2:$ND$150=AJ$4)*(GMW!$NF$2:$NF$150=AJ$1),0),$C35-1966)</f>
        <v>49049</v>
      </c>
      <c r="AK35" s="4" cm="1">
        <f t="array" ref="AK35">INDEX(GMW!$A$2:$NF$150,MATCH(1,(GMW!$NE$2:$NE$150=AK$3)*(GMW!$ND$2:$ND$150=AK$4)*(GMW!$NF$2:$NF$150=AK$1),0),$C35-1966)</f>
        <v>17320.91</v>
      </c>
      <c r="AL35" s="4" cm="1">
        <f t="array" ref="AL35">INDEX(GMW!$A$2:$NF$150,MATCH(1,(GMW!$NE$2:$NE$150=AL$3)*(GMW!$ND$2:$ND$150=AL$4)*(GMW!$NF$2:$NF$150=AL$1),0),$C35-1966)</f>
        <v>41769</v>
      </c>
      <c r="AM35" s="4" cm="1">
        <f t="array" ref="AM35">INDEX(GMW!$A$2:$NF$150,MATCH(1,(GMW!$NE$2:$NE$150=AM$3)*(GMW!$ND$2:$ND$150=AM$4)*(GMW!$NF$2:$NF$150=AM$1),0),$C35-1966)</f>
        <v>11899.42</v>
      </c>
      <c r="AN35" s="4" cm="1">
        <f t="array" ref="AN35">INDEX(GMW!$A$2:$NF$150,MATCH(1,(GMW!$NE$2:$NE$150=AN$3)*(GMW!$ND$2:$ND$150=AN$4)*(GMW!$NF$2:$NF$150=AN$1),0),$C35-1966)</f>
        <v>49012</v>
      </c>
      <c r="AO35" s="4" cm="1">
        <f t="array" ref="AO35">INDEX(GMW!$A$2:$NF$150,MATCH(1,(GMW!$NE$2:$NE$150=AO$3)*(GMW!$ND$2:$ND$150=AO$4)*(GMW!$NF$2:$NF$150=AO$1),0),$C35-1966)</f>
        <v>18319.89</v>
      </c>
      <c r="AP35" s="4" cm="1">
        <f t="array" ref="AP35">INDEX(GMW!$A$2:$NF$150,MATCH(1,(GMW!$NE$2:$NE$150=AP$3)*(GMW!$ND$2:$ND$150=AP$4)*(GMW!$NF$2:$NF$150=AP$1),0),$C35-1966)</f>
        <v>268225.3</v>
      </c>
      <c r="AQ35" s="4" cm="1">
        <f t="array" ref="AQ35">INDEX(GMW!$A$2:$NF$150,MATCH(1,(GMW!$NE$2:$NE$150=AQ$3)*(GMW!$ND$2:$ND$150=AQ$4)*(GMW!$NF$2:$NF$150=AQ$1),0),$C35-1966)</f>
        <v>24743.78</v>
      </c>
      <c r="AR35" s="4" cm="1">
        <f t="array" ref="AR35">INDEX(GMW!$A$2:$NF$150,MATCH(1,(GMW!$NE$2:$NE$150=AR$3)*(GMW!$ND$2:$ND$150=AR$4)*(GMW!$NF$2:$NF$150=AR$1),0),$C35-1966)</f>
        <v>1E-3</v>
      </c>
      <c r="AS35" s="4" cm="1">
        <f t="array" ref="AS35">INDEX(GMW!$A$2:$NF$150,MATCH(1,(GMW!$NE$2:$NE$150=AS$3)*(GMW!$ND$2:$ND$150=AS$4)*(GMW!$NF$2:$NF$150=AS$1),0),$C35-1966)</f>
        <v>305710.09999999998</v>
      </c>
      <c r="AT35" s="4" cm="1">
        <f t="array" ref="AT35">INDEX(GMW!$A$2:$NF$150,MATCH(1,(GMW!$NE$2:$NE$150=AT$3)*(GMW!$ND$2:$ND$150=AT$4)*(GMW!$NF$2:$NF$150=AT$1),0),$C35-1966)</f>
        <v>36022.71</v>
      </c>
      <c r="AU35" s="4" cm="1">
        <f t="array" ref="AU35">INDEX(GMW!$A$2:$NF$150,MATCH(1,(GMW!$NE$2:$NE$150=AU$3)*(GMW!$ND$2:$ND$150=AU$4)*(GMW!$NF$2:$NF$150=AU$1),0),$C35-1966)</f>
        <v>1258841</v>
      </c>
      <c r="AV35" s="4" cm="1">
        <f t="array" ref="AV35">INDEX(GMW!$A$2:$NF$150,MATCH(1,(GMW!$NE$2:$NE$150=AV$3)*(GMW!$ND$2:$ND$150=AV$4)*(GMW!$NF$2:$NF$150=AV$1),0),$C35-1966)</f>
        <v>-1.915958</v>
      </c>
    </row>
    <row r="36" spans="1:48" x14ac:dyDescent="0.25">
      <c r="B36" s="4">
        <f t="shared" si="4"/>
        <v>1980</v>
      </c>
      <c r="C36" s="4">
        <f t="shared" si="3"/>
        <v>2002</v>
      </c>
      <c r="D36" s="4" cm="1">
        <f t="array" ref="D36">INDEX(GMW!$A$2:$NF$150,MATCH(1,(GMW!$NE$2:$NE$150=D$3)*(GMW!$ND$2:$ND$150=D$4)*(GMW!$NF$2:$NF$150=D$1),0),$C36-1966)</f>
        <v>264448</v>
      </c>
      <c r="E36" s="4" cm="1">
        <f t="array" ref="E36">INDEX(GMW!$A$2:$NF$150,MATCH(1,(GMW!$NE$2:$NE$150=E$3)*(GMW!$ND$2:$ND$150=E$4)*(GMW!$NF$2:$NF$150=E$1),0),$C36-1966)</f>
        <v>32.247430000000001</v>
      </c>
      <c r="F36" s="4" cm="1">
        <f t="array" ref="F36">INDEX(GMW!$A$2:$NF$150,MATCH(1,(GMW!$NE$2:$NE$150=F$3)*(GMW!$ND$2:$ND$150=F$4)*(GMW!$NF$2:$NF$150=F$1),0),$C36-1966)</f>
        <v>47032</v>
      </c>
      <c r="G36" s="4" cm="1">
        <f t="array" ref="G36">INDEX(GMW!$A$2:$NF$150,MATCH(1,(GMW!$NE$2:$NE$150=G$3)*(GMW!$ND$2:$ND$150=G$4)*(GMW!$NF$2:$NF$150=G$1),0),$C36-1966)</f>
        <v>16153.44</v>
      </c>
      <c r="H36" s="4" cm="1">
        <f t="array" ref="H36">INDEX(GMW!$A$2:$NF$150,MATCH(1,(GMW!$NE$2:$NE$150=H$3)*(GMW!$ND$2:$ND$150=H$4)*(GMW!$NF$2:$NF$150=H$1),0),$C36-1966)</f>
        <v>40270</v>
      </c>
      <c r="I36" s="4" cm="1">
        <f t="array" ref="I36">INDEX(GMW!$A$2:$NF$150,MATCH(1,(GMW!$NE$2:$NE$150=I$3)*(GMW!$ND$2:$ND$150=I$4)*(GMW!$NF$2:$NF$150=I$1),0),$C36-1966)</f>
        <v>11463.22</v>
      </c>
      <c r="J36" s="4" cm="1">
        <f t="array" ref="J36">INDEX(GMW!$A$2:$NF$150,MATCH(1,(GMW!$NE$2:$NE$150=J$3)*(GMW!$ND$2:$ND$150=J$4)*(GMW!$NF$2:$NF$150=J$1),0),$C36-1966)</f>
        <v>47095</v>
      </c>
      <c r="K36" s="4" cm="1">
        <f t="array" ref="K36">INDEX(GMW!$A$2:$NF$150,MATCH(1,(GMW!$NE$2:$NE$150=K$3)*(GMW!$ND$2:$ND$150=K$4)*(GMW!$NF$2:$NF$150=K$1),0),$C36-1966)</f>
        <v>18007.75</v>
      </c>
      <c r="L36" s="4" cm="1">
        <f t="array" ref="L36">INDEX(GMW!$A$2:$NF$150,MATCH(1,(GMW!$NE$2:$NE$150=L$3)*(GMW!$ND$2:$ND$150=L$4)*(GMW!$NF$2:$NF$150=L$1),0),$C36-1966)</f>
        <v>269618.2</v>
      </c>
      <c r="M36" s="4" cm="1">
        <f t="array" ref="M36">INDEX(GMW!$A$2:$NF$150,MATCH(1,(GMW!$NE$2:$NE$150=M$3)*(GMW!$ND$2:$ND$150=M$4)*(GMW!$NF$2:$NF$150=M$1),0),$C36-1966)</f>
        <v>24765.69</v>
      </c>
      <c r="N36" s="4" cm="1">
        <f t="array" ref="N36">INDEX(GMW!$A$2:$NF$150,MATCH(1,(GMW!$NE$2:$NE$150=N$3)*(GMW!$ND$2:$ND$150=N$4)*(GMW!$NF$2:$NF$150=N$1),0),$C36-1966)</f>
        <v>1E-3</v>
      </c>
      <c r="O36" s="4" cm="1">
        <f t="array" ref="O36">INDEX(GMW!$A$2:$NF$150,MATCH(1,(GMW!$NE$2:$NE$150=O$3)*(GMW!$ND$2:$ND$150=O$4)*(GMW!$NF$2:$NF$150=O$1),0),$C36-1966)</f>
        <v>306399.5</v>
      </c>
      <c r="P36" s="4" cm="1">
        <f t="array" ref="P36">INDEX(GMW!$A$2:$NF$150,MATCH(1,(GMW!$NE$2:$NE$150=P$3)*(GMW!$ND$2:$ND$150=P$4)*(GMW!$NF$2:$NF$150=P$1),0),$C36-1966)</f>
        <v>36078.9</v>
      </c>
      <c r="Q36" s="4" cm="1">
        <f t="array" ref="Q36">INDEX(GMW!$A$2:$NF$150,MATCH(1,(GMW!$NE$2:$NE$150=Q$3)*(GMW!$ND$2:$ND$150=Q$4)*(GMW!$NF$2:$NF$150=Q$1),0),$C36-1966)</f>
        <v>1263481</v>
      </c>
      <c r="R36" s="4" cm="1">
        <f t="array" ref="R36">INDEX(GMW!$A$2:$NF$150,MATCH(1,(GMW!$NE$2:$NE$150=R$3)*(GMW!$ND$2:$ND$150=R$4)*(GMW!$NF$2:$NF$150=R$1),0),$C36-1966)</f>
        <v>-1.9128540000000001</v>
      </c>
      <c r="S36" s="4" cm="1">
        <f t="array" ref="S36">INDEX(GMW!$A$2:$NF$150,MATCH(1,(GMW!$NE$2:$NE$150=S$3)*(GMW!$ND$2:$ND$150=S$4)*(GMW!$NF$2:$NF$150=S$1),0),$C36-1966)</f>
        <v>264448</v>
      </c>
      <c r="T36" s="4" cm="1">
        <f t="array" ref="T36">INDEX(GMW!$A$2:$NF$150,MATCH(1,(GMW!$NE$2:$NE$150=T$3)*(GMW!$ND$2:$ND$150=T$4)*(GMW!$NF$2:$NF$150=T$1),0),$C36-1966)</f>
        <v>32.247430000000001</v>
      </c>
      <c r="U36" s="4" cm="1">
        <f t="array" ref="U36">INDEX(GMW!$A$2:$NF$150,MATCH(1,(GMW!$NE$2:$NE$150=U$3)*(GMW!$ND$2:$ND$150=U$4)*(GMW!$NF$2:$NF$150=U$1),0),$C36-1966)</f>
        <v>47032</v>
      </c>
      <c r="V36" s="4" cm="1">
        <f t="array" ref="V36">INDEX(GMW!$A$2:$NF$150,MATCH(1,(GMW!$NE$2:$NE$150=V$3)*(GMW!$ND$2:$ND$150=V$4)*(GMW!$NF$2:$NF$150=V$1),0),$C36-1966)</f>
        <v>16153.44</v>
      </c>
      <c r="W36" s="4" cm="1">
        <f t="array" ref="W36">INDEX(GMW!$A$2:$NF$150,MATCH(1,(GMW!$NE$2:$NE$150=W$3)*(GMW!$ND$2:$ND$150=W$4)*(GMW!$NF$2:$NF$150=W$1),0),$C36-1966)</f>
        <v>40270</v>
      </c>
      <c r="X36" s="4" cm="1">
        <f t="array" ref="X36">INDEX(GMW!$A$2:$NF$150,MATCH(1,(GMW!$NE$2:$NE$150=X$3)*(GMW!$ND$2:$ND$150=X$4)*(GMW!$NF$2:$NF$150=X$1),0),$C36-1966)</f>
        <v>11463.22</v>
      </c>
      <c r="Y36" s="4" cm="1">
        <f t="array" ref="Y36">INDEX(GMW!$A$2:$NF$150,MATCH(1,(GMW!$NE$2:$NE$150=Y$3)*(GMW!$ND$2:$ND$150=Y$4)*(GMW!$NF$2:$NF$150=Y$1),0),$C36-1966)</f>
        <v>47095</v>
      </c>
      <c r="Z36" s="4" cm="1">
        <f t="array" ref="Z36">INDEX(GMW!$A$2:$NF$150,MATCH(1,(GMW!$NE$2:$NE$150=Z$3)*(GMW!$ND$2:$ND$150=Z$4)*(GMW!$NF$2:$NF$150=Z$1),0),$C36-1966)</f>
        <v>18007.75</v>
      </c>
      <c r="AA36" s="4" cm="1">
        <f t="array" ref="AA36">INDEX(GMW!$A$2:$NF$150,MATCH(1,(GMW!$NE$2:$NE$150=AA$3)*(GMW!$ND$2:$ND$150=AA$4)*(GMW!$NF$2:$NF$150=AA$1),0),$C36-1966)</f>
        <v>269618.2</v>
      </c>
      <c r="AB36" s="4" cm="1">
        <f t="array" ref="AB36">INDEX(GMW!$A$2:$NF$150,MATCH(1,(GMW!$NE$2:$NE$150=AB$3)*(GMW!$ND$2:$ND$150=AB$4)*(GMW!$NF$2:$NF$150=AB$1),0),$C36-1966)</f>
        <v>24765.69</v>
      </c>
      <c r="AC36" s="4" cm="1">
        <f t="array" ref="AC36">INDEX(GMW!$A$2:$NF$150,MATCH(1,(GMW!$NE$2:$NE$150=AC$3)*(GMW!$ND$2:$ND$150=AC$4)*(GMW!$NF$2:$NF$150=AC$1),0),$C36-1966)</f>
        <v>1E-3</v>
      </c>
      <c r="AD36" s="4" cm="1">
        <f t="array" ref="AD36">INDEX(GMW!$A$2:$NF$150,MATCH(1,(GMW!$NE$2:$NE$150=AD$3)*(GMW!$ND$2:$ND$150=AD$4)*(GMW!$NF$2:$NF$150=AD$1),0),$C36-1966)</f>
        <v>306399.5</v>
      </c>
      <c r="AE36" s="4" cm="1">
        <f t="array" ref="AE36">INDEX(GMW!$A$2:$NF$150,MATCH(1,(GMW!$NE$2:$NE$150=AE$3)*(GMW!$ND$2:$ND$150=AE$4)*(GMW!$NF$2:$NF$150=AE$1),0),$C36-1966)</f>
        <v>36078.9</v>
      </c>
      <c r="AF36" s="4" cm="1">
        <f t="array" ref="AF36">INDEX(GMW!$A$2:$NF$150,MATCH(1,(GMW!$NE$2:$NE$150=AF$3)*(GMW!$ND$2:$ND$150=AF$4)*(GMW!$NF$2:$NF$150=AF$1),0),$C36-1966)</f>
        <v>1263481</v>
      </c>
      <c r="AG36" s="4" cm="1">
        <f t="array" ref="AG36">INDEX(GMW!$A$2:$NF$150,MATCH(1,(GMW!$NE$2:$NE$150=AG$3)*(GMW!$ND$2:$ND$150=AG$4)*(GMW!$NF$2:$NF$150=AG$1),0),$C36-1966)</f>
        <v>-1.9128540000000001</v>
      </c>
      <c r="AH36" s="4" cm="1">
        <f t="array" ref="AH36">INDEX(GMW!$A$2:$NF$150,MATCH(1,(GMW!$NE$2:$NE$150=AH$3)*(GMW!$ND$2:$ND$150=AH$4)*(GMW!$NF$2:$NF$150=AH$1),0),$C36-1966)</f>
        <v>264448</v>
      </c>
      <c r="AI36" s="4" cm="1">
        <f t="array" ref="AI36">INDEX(GMW!$A$2:$NF$150,MATCH(1,(GMW!$NE$2:$NE$150=AI$3)*(GMW!$ND$2:$ND$150=AI$4)*(GMW!$NF$2:$NF$150=AI$1),0),$C36-1966)</f>
        <v>32.247430000000001</v>
      </c>
      <c r="AJ36" s="4" cm="1">
        <f t="array" ref="AJ36">INDEX(GMW!$A$2:$NF$150,MATCH(1,(GMW!$NE$2:$NE$150=AJ$3)*(GMW!$ND$2:$ND$150=AJ$4)*(GMW!$NF$2:$NF$150=AJ$1),0),$C36-1966)</f>
        <v>47032</v>
      </c>
      <c r="AK36" s="4" cm="1">
        <f t="array" ref="AK36">INDEX(GMW!$A$2:$NF$150,MATCH(1,(GMW!$NE$2:$NE$150=AK$3)*(GMW!$ND$2:$ND$150=AK$4)*(GMW!$NF$2:$NF$150=AK$1),0),$C36-1966)</f>
        <v>16153.44</v>
      </c>
      <c r="AL36" s="4" cm="1">
        <f t="array" ref="AL36">INDEX(GMW!$A$2:$NF$150,MATCH(1,(GMW!$NE$2:$NE$150=AL$3)*(GMW!$ND$2:$ND$150=AL$4)*(GMW!$NF$2:$NF$150=AL$1),0),$C36-1966)</f>
        <v>40270</v>
      </c>
      <c r="AM36" s="4" cm="1">
        <f t="array" ref="AM36">INDEX(GMW!$A$2:$NF$150,MATCH(1,(GMW!$NE$2:$NE$150=AM$3)*(GMW!$ND$2:$ND$150=AM$4)*(GMW!$NF$2:$NF$150=AM$1),0),$C36-1966)</f>
        <v>11463.22</v>
      </c>
      <c r="AN36" s="4" cm="1">
        <f t="array" ref="AN36">INDEX(GMW!$A$2:$NF$150,MATCH(1,(GMW!$NE$2:$NE$150=AN$3)*(GMW!$ND$2:$ND$150=AN$4)*(GMW!$NF$2:$NF$150=AN$1),0),$C36-1966)</f>
        <v>47095</v>
      </c>
      <c r="AO36" s="4" cm="1">
        <f t="array" ref="AO36">INDEX(GMW!$A$2:$NF$150,MATCH(1,(GMW!$NE$2:$NE$150=AO$3)*(GMW!$ND$2:$ND$150=AO$4)*(GMW!$NF$2:$NF$150=AO$1),0),$C36-1966)</f>
        <v>18007.75</v>
      </c>
      <c r="AP36" s="4" cm="1">
        <f t="array" ref="AP36">INDEX(GMW!$A$2:$NF$150,MATCH(1,(GMW!$NE$2:$NE$150=AP$3)*(GMW!$ND$2:$ND$150=AP$4)*(GMW!$NF$2:$NF$150=AP$1),0),$C36-1966)</f>
        <v>269618.2</v>
      </c>
      <c r="AQ36" s="4" cm="1">
        <f t="array" ref="AQ36">INDEX(GMW!$A$2:$NF$150,MATCH(1,(GMW!$NE$2:$NE$150=AQ$3)*(GMW!$ND$2:$ND$150=AQ$4)*(GMW!$NF$2:$NF$150=AQ$1),0),$C36-1966)</f>
        <v>24765.69</v>
      </c>
      <c r="AR36" s="4" cm="1">
        <f t="array" ref="AR36">INDEX(GMW!$A$2:$NF$150,MATCH(1,(GMW!$NE$2:$NE$150=AR$3)*(GMW!$ND$2:$ND$150=AR$4)*(GMW!$NF$2:$NF$150=AR$1),0),$C36-1966)</f>
        <v>1E-3</v>
      </c>
      <c r="AS36" s="4" cm="1">
        <f t="array" ref="AS36">INDEX(GMW!$A$2:$NF$150,MATCH(1,(GMW!$NE$2:$NE$150=AS$3)*(GMW!$ND$2:$ND$150=AS$4)*(GMW!$NF$2:$NF$150=AS$1),0),$C36-1966)</f>
        <v>306399.5</v>
      </c>
      <c r="AT36" s="4" cm="1">
        <f t="array" ref="AT36">INDEX(GMW!$A$2:$NF$150,MATCH(1,(GMW!$NE$2:$NE$150=AT$3)*(GMW!$ND$2:$ND$150=AT$4)*(GMW!$NF$2:$NF$150=AT$1),0),$C36-1966)</f>
        <v>36078.9</v>
      </c>
      <c r="AU36" s="4" cm="1">
        <f t="array" ref="AU36">INDEX(GMW!$A$2:$NF$150,MATCH(1,(GMW!$NE$2:$NE$150=AU$3)*(GMW!$ND$2:$ND$150=AU$4)*(GMW!$NF$2:$NF$150=AU$1),0),$C36-1966)</f>
        <v>1263481</v>
      </c>
      <c r="AV36" s="4" cm="1">
        <f t="array" ref="AV36">INDEX(GMW!$A$2:$NF$150,MATCH(1,(GMW!$NE$2:$NE$150=AV$3)*(GMW!$ND$2:$ND$150=AV$4)*(GMW!$NF$2:$NF$150=AV$1),0),$C36-1966)</f>
        <v>-1.9128540000000001</v>
      </c>
    </row>
    <row r="37" spans="1:48" x14ac:dyDescent="0.25">
      <c r="B37" s="4">
        <f t="shared" si="4"/>
        <v>1980</v>
      </c>
      <c r="C37" s="4">
        <f t="shared" si="3"/>
        <v>2003</v>
      </c>
      <c r="D37" s="4" cm="1">
        <f t="array" ref="D37">INDEX(GMW!$A$2:$NF$150,MATCH(1,(GMW!$NE$2:$NE$150=D$3)*(GMW!$ND$2:$ND$150=D$4)*(GMW!$NF$2:$NF$150=D$1),0),$C37-1966)</f>
        <v>264139</v>
      </c>
      <c r="E37" s="4" cm="1">
        <f t="array" ref="E37">INDEX(GMW!$A$2:$NF$150,MATCH(1,(GMW!$NE$2:$NE$150=E$3)*(GMW!$ND$2:$ND$150=E$4)*(GMW!$NF$2:$NF$150=E$1),0),$C37-1966)</f>
        <v>32.951300000000003</v>
      </c>
      <c r="F37" s="4" cm="1">
        <f t="array" ref="F37">INDEX(GMW!$A$2:$NF$150,MATCH(1,(GMW!$NE$2:$NE$150=F$3)*(GMW!$ND$2:$ND$150=F$4)*(GMW!$NF$2:$NF$150=F$1),0),$C37-1966)</f>
        <v>45832</v>
      </c>
      <c r="G37" s="4" cm="1">
        <f t="array" ref="G37">INDEX(GMW!$A$2:$NF$150,MATCH(1,(GMW!$NE$2:$NE$150=G$3)*(GMW!$ND$2:$ND$150=G$4)*(GMW!$NF$2:$NF$150=G$1),0),$C37-1966)</f>
        <v>15567.97</v>
      </c>
      <c r="H37" s="4" cm="1">
        <f t="array" ref="H37">INDEX(GMW!$A$2:$NF$150,MATCH(1,(GMW!$NE$2:$NE$150=H$3)*(GMW!$ND$2:$ND$150=H$4)*(GMW!$NF$2:$NF$150=H$1),0),$C37-1966)</f>
        <v>36904</v>
      </c>
      <c r="I37" s="4" cm="1">
        <f t="array" ref="I37">INDEX(GMW!$A$2:$NF$150,MATCH(1,(GMW!$NE$2:$NE$150=I$3)*(GMW!$ND$2:$ND$150=I$4)*(GMW!$NF$2:$NF$150=I$1),0),$C37-1966)</f>
        <v>10143</v>
      </c>
      <c r="J37" s="4" cm="1">
        <f t="array" ref="J37">INDEX(GMW!$A$2:$NF$150,MATCH(1,(GMW!$NE$2:$NE$150=J$3)*(GMW!$ND$2:$ND$150=J$4)*(GMW!$NF$2:$NF$150=J$1),0),$C37-1966)</f>
        <v>46257</v>
      </c>
      <c r="K37" s="4" cm="1">
        <f t="array" ref="K37">INDEX(GMW!$A$2:$NF$150,MATCH(1,(GMW!$NE$2:$NE$150=K$3)*(GMW!$ND$2:$ND$150=K$4)*(GMW!$NF$2:$NF$150=K$1),0),$C37-1966)</f>
        <v>17697.21</v>
      </c>
      <c r="L37" s="4" cm="1">
        <f t="array" ref="L37">INDEX(GMW!$A$2:$NF$150,MATCH(1,(GMW!$NE$2:$NE$150=L$3)*(GMW!$ND$2:$ND$150=L$4)*(GMW!$NF$2:$NF$150=L$1),0),$C37-1966)</f>
        <v>270906.90000000002</v>
      </c>
      <c r="M37" s="4" cm="1">
        <f t="array" ref="M37">INDEX(GMW!$A$2:$NF$150,MATCH(1,(GMW!$NE$2:$NE$150=M$3)*(GMW!$ND$2:$ND$150=M$4)*(GMW!$NF$2:$NF$150=M$1),0),$C37-1966)</f>
        <v>24771.64</v>
      </c>
      <c r="N37" s="4" cm="1">
        <f t="array" ref="N37">INDEX(GMW!$A$2:$NF$150,MATCH(1,(GMW!$NE$2:$NE$150=N$3)*(GMW!$ND$2:$ND$150=N$4)*(GMW!$NF$2:$NF$150=N$1),0),$C37-1966)</f>
        <v>1E-3</v>
      </c>
      <c r="O37" s="4" cm="1">
        <f t="array" ref="O37">INDEX(GMW!$A$2:$NF$150,MATCH(1,(GMW!$NE$2:$NE$150=O$3)*(GMW!$ND$2:$ND$150=O$4)*(GMW!$NF$2:$NF$150=O$1),0),$C37-1966)</f>
        <v>307054.90000000002</v>
      </c>
      <c r="P37" s="4" cm="1">
        <f t="array" ref="P37">INDEX(GMW!$A$2:$NF$150,MATCH(1,(GMW!$NE$2:$NE$150=P$3)*(GMW!$ND$2:$ND$150=P$4)*(GMW!$NF$2:$NF$150=P$1),0),$C37-1966)</f>
        <v>36128.85</v>
      </c>
      <c r="Q37" s="4" cm="1">
        <f t="array" ref="Q37">INDEX(GMW!$A$2:$NF$150,MATCH(1,(GMW!$NE$2:$NE$150=Q$3)*(GMW!$ND$2:$ND$150=Q$4)*(GMW!$NF$2:$NF$150=Q$1),0),$C37-1966)</f>
        <v>1268120</v>
      </c>
      <c r="R37" s="4" cm="1">
        <f t="array" ref="R37">INDEX(GMW!$A$2:$NF$150,MATCH(1,(GMW!$NE$2:$NE$150=R$3)*(GMW!$ND$2:$ND$150=R$4)*(GMW!$NF$2:$NF$150=R$1),0),$C37-1966)</f>
        <v>-1.9097550000000001</v>
      </c>
      <c r="S37" s="4" cm="1">
        <f t="array" ref="S37">INDEX(GMW!$A$2:$NF$150,MATCH(1,(GMW!$NE$2:$NE$150=S$3)*(GMW!$ND$2:$ND$150=S$4)*(GMW!$NF$2:$NF$150=S$1),0),$C37-1966)</f>
        <v>264139</v>
      </c>
      <c r="T37" s="4" cm="1">
        <f t="array" ref="T37">INDEX(GMW!$A$2:$NF$150,MATCH(1,(GMW!$NE$2:$NE$150=T$3)*(GMW!$ND$2:$ND$150=T$4)*(GMW!$NF$2:$NF$150=T$1),0),$C37-1966)</f>
        <v>32.951300000000003</v>
      </c>
      <c r="U37" s="4" cm="1">
        <f t="array" ref="U37">INDEX(GMW!$A$2:$NF$150,MATCH(1,(GMW!$NE$2:$NE$150=U$3)*(GMW!$ND$2:$ND$150=U$4)*(GMW!$NF$2:$NF$150=U$1),0),$C37-1966)</f>
        <v>45832</v>
      </c>
      <c r="V37" s="4" cm="1">
        <f t="array" ref="V37">INDEX(GMW!$A$2:$NF$150,MATCH(1,(GMW!$NE$2:$NE$150=V$3)*(GMW!$ND$2:$ND$150=V$4)*(GMW!$NF$2:$NF$150=V$1),0),$C37-1966)</f>
        <v>15567.97</v>
      </c>
      <c r="W37" s="4" cm="1">
        <f t="array" ref="W37">INDEX(GMW!$A$2:$NF$150,MATCH(1,(GMW!$NE$2:$NE$150=W$3)*(GMW!$ND$2:$ND$150=W$4)*(GMW!$NF$2:$NF$150=W$1),0),$C37-1966)</f>
        <v>36904</v>
      </c>
      <c r="X37" s="4" cm="1">
        <f t="array" ref="X37">INDEX(GMW!$A$2:$NF$150,MATCH(1,(GMW!$NE$2:$NE$150=X$3)*(GMW!$ND$2:$ND$150=X$4)*(GMW!$NF$2:$NF$150=X$1),0),$C37-1966)</f>
        <v>10143</v>
      </c>
      <c r="Y37" s="4" cm="1">
        <f t="array" ref="Y37">INDEX(GMW!$A$2:$NF$150,MATCH(1,(GMW!$NE$2:$NE$150=Y$3)*(GMW!$ND$2:$ND$150=Y$4)*(GMW!$NF$2:$NF$150=Y$1),0),$C37-1966)</f>
        <v>46257</v>
      </c>
      <c r="Z37" s="4" cm="1">
        <f t="array" ref="Z37">INDEX(GMW!$A$2:$NF$150,MATCH(1,(GMW!$NE$2:$NE$150=Z$3)*(GMW!$ND$2:$ND$150=Z$4)*(GMW!$NF$2:$NF$150=Z$1),0),$C37-1966)</f>
        <v>17697.21</v>
      </c>
      <c r="AA37" s="4" cm="1">
        <f t="array" ref="AA37">INDEX(GMW!$A$2:$NF$150,MATCH(1,(GMW!$NE$2:$NE$150=AA$3)*(GMW!$ND$2:$ND$150=AA$4)*(GMW!$NF$2:$NF$150=AA$1),0),$C37-1966)</f>
        <v>270906.90000000002</v>
      </c>
      <c r="AB37" s="4" cm="1">
        <f t="array" ref="AB37">INDEX(GMW!$A$2:$NF$150,MATCH(1,(GMW!$NE$2:$NE$150=AB$3)*(GMW!$ND$2:$ND$150=AB$4)*(GMW!$NF$2:$NF$150=AB$1),0),$C37-1966)</f>
        <v>24771.64</v>
      </c>
      <c r="AC37" s="4" cm="1">
        <f t="array" ref="AC37">INDEX(GMW!$A$2:$NF$150,MATCH(1,(GMW!$NE$2:$NE$150=AC$3)*(GMW!$ND$2:$ND$150=AC$4)*(GMW!$NF$2:$NF$150=AC$1),0),$C37-1966)</f>
        <v>1E-3</v>
      </c>
      <c r="AD37" s="4" cm="1">
        <f t="array" ref="AD37">INDEX(GMW!$A$2:$NF$150,MATCH(1,(GMW!$NE$2:$NE$150=AD$3)*(GMW!$ND$2:$ND$150=AD$4)*(GMW!$NF$2:$NF$150=AD$1),0),$C37-1966)</f>
        <v>307054.90000000002</v>
      </c>
      <c r="AE37" s="4" cm="1">
        <f t="array" ref="AE37">INDEX(GMW!$A$2:$NF$150,MATCH(1,(GMW!$NE$2:$NE$150=AE$3)*(GMW!$ND$2:$ND$150=AE$4)*(GMW!$NF$2:$NF$150=AE$1),0),$C37-1966)</f>
        <v>36128.85</v>
      </c>
      <c r="AF37" s="4" cm="1">
        <f t="array" ref="AF37">INDEX(GMW!$A$2:$NF$150,MATCH(1,(GMW!$NE$2:$NE$150=AF$3)*(GMW!$ND$2:$ND$150=AF$4)*(GMW!$NF$2:$NF$150=AF$1),0),$C37-1966)</f>
        <v>1268120</v>
      </c>
      <c r="AG37" s="4" cm="1">
        <f t="array" ref="AG37">INDEX(GMW!$A$2:$NF$150,MATCH(1,(GMW!$NE$2:$NE$150=AG$3)*(GMW!$ND$2:$ND$150=AG$4)*(GMW!$NF$2:$NF$150=AG$1),0),$C37-1966)</f>
        <v>-1.9097550000000001</v>
      </c>
      <c r="AH37" s="4" cm="1">
        <f t="array" ref="AH37">INDEX(GMW!$A$2:$NF$150,MATCH(1,(GMW!$NE$2:$NE$150=AH$3)*(GMW!$ND$2:$ND$150=AH$4)*(GMW!$NF$2:$NF$150=AH$1),0),$C37-1966)</f>
        <v>264139</v>
      </c>
      <c r="AI37" s="4" cm="1">
        <f t="array" ref="AI37">INDEX(GMW!$A$2:$NF$150,MATCH(1,(GMW!$NE$2:$NE$150=AI$3)*(GMW!$ND$2:$ND$150=AI$4)*(GMW!$NF$2:$NF$150=AI$1),0),$C37-1966)</f>
        <v>32.951300000000003</v>
      </c>
      <c r="AJ37" s="4" cm="1">
        <f t="array" ref="AJ37">INDEX(GMW!$A$2:$NF$150,MATCH(1,(GMW!$NE$2:$NE$150=AJ$3)*(GMW!$ND$2:$ND$150=AJ$4)*(GMW!$NF$2:$NF$150=AJ$1),0),$C37-1966)</f>
        <v>45832</v>
      </c>
      <c r="AK37" s="4" cm="1">
        <f t="array" ref="AK37">INDEX(GMW!$A$2:$NF$150,MATCH(1,(GMW!$NE$2:$NE$150=AK$3)*(GMW!$ND$2:$ND$150=AK$4)*(GMW!$NF$2:$NF$150=AK$1),0),$C37-1966)</f>
        <v>15567.97</v>
      </c>
      <c r="AL37" s="4" cm="1">
        <f t="array" ref="AL37">INDEX(GMW!$A$2:$NF$150,MATCH(1,(GMW!$NE$2:$NE$150=AL$3)*(GMW!$ND$2:$ND$150=AL$4)*(GMW!$NF$2:$NF$150=AL$1),0),$C37-1966)</f>
        <v>36904</v>
      </c>
      <c r="AM37" s="4" cm="1">
        <f t="array" ref="AM37">INDEX(GMW!$A$2:$NF$150,MATCH(1,(GMW!$NE$2:$NE$150=AM$3)*(GMW!$ND$2:$ND$150=AM$4)*(GMW!$NF$2:$NF$150=AM$1),0),$C37-1966)</f>
        <v>10143</v>
      </c>
      <c r="AN37" s="4" cm="1">
        <f t="array" ref="AN37">INDEX(GMW!$A$2:$NF$150,MATCH(1,(GMW!$NE$2:$NE$150=AN$3)*(GMW!$ND$2:$ND$150=AN$4)*(GMW!$NF$2:$NF$150=AN$1),0),$C37-1966)</f>
        <v>46257</v>
      </c>
      <c r="AO37" s="4" cm="1">
        <f t="array" ref="AO37">INDEX(GMW!$A$2:$NF$150,MATCH(1,(GMW!$NE$2:$NE$150=AO$3)*(GMW!$ND$2:$ND$150=AO$4)*(GMW!$NF$2:$NF$150=AO$1),0),$C37-1966)</f>
        <v>17697.21</v>
      </c>
      <c r="AP37" s="4" cm="1">
        <f t="array" ref="AP37">INDEX(GMW!$A$2:$NF$150,MATCH(1,(GMW!$NE$2:$NE$150=AP$3)*(GMW!$ND$2:$ND$150=AP$4)*(GMW!$NF$2:$NF$150=AP$1),0),$C37-1966)</f>
        <v>270906.90000000002</v>
      </c>
      <c r="AQ37" s="4" cm="1">
        <f t="array" ref="AQ37">INDEX(GMW!$A$2:$NF$150,MATCH(1,(GMW!$NE$2:$NE$150=AQ$3)*(GMW!$ND$2:$ND$150=AQ$4)*(GMW!$NF$2:$NF$150=AQ$1),0),$C37-1966)</f>
        <v>24771.64</v>
      </c>
      <c r="AR37" s="4" cm="1">
        <f t="array" ref="AR37">INDEX(GMW!$A$2:$NF$150,MATCH(1,(GMW!$NE$2:$NE$150=AR$3)*(GMW!$ND$2:$ND$150=AR$4)*(GMW!$NF$2:$NF$150=AR$1),0),$C37-1966)</f>
        <v>1E-3</v>
      </c>
      <c r="AS37" s="4" cm="1">
        <f t="array" ref="AS37">INDEX(GMW!$A$2:$NF$150,MATCH(1,(GMW!$NE$2:$NE$150=AS$3)*(GMW!$ND$2:$ND$150=AS$4)*(GMW!$NF$2:$NF$150=AS$1),0),$C37-1966)</f>
        <v>307054.90000000002</v>
      </c>
      <c r="AT37" s="4" cm="1">
        <f t="array" ref="AT37">INDEX(GMW!$A$2:$NF$150,MATCH(1,(GMW!$NE$2:$NE$150=AT$3)*(GMW!$ND$2:$ND$150=AT$4)*(GMW!$NF$2:$NF$150=AT$1),0),$C37-1966)</f>
        <v>36128.85</v>
      </c>
      <c r="AU37" s="4" cm="1">
        <f t="array" ref="AU37">INDEX(GMW!$A$2:$NF$150,MATCH(1,(GMW!$NE$2:$NE$150=AU$3)*(GMW!$ND$2:$ND$150=AU$4)*(GMW!$NF$2:$NF$150=AU$1),0),$C37-1966)</f>
        <v>1268120</v>
      </c>
      <c r="AV37" s="4" cm="1">
        <f t="array" ref="AV37">INDEX(GMW!$A$2:$NF$150,MATCH(1,(GMW!$NE$2:$NE$150=AV$3)*(GMW!$ND$2:$ND$150=AV$4)*(GMW!$NF$2:$NF$150=AV$1),0),$C37-1966)</f>
        <v>-1.9097550000000001</v>
      </c>
    </row>
    <row r="38" spans="1:48" x14ac:dyDescent="0.25">
      <c r="B38" s="4">
        <f t="shared" si="4"/>
        <v>1980</v>
      </c>
      <c r="C38" s="4">
        <f t="shared" si="3"/>
        <v>2004</v>
      </c>
      <c r="D38" s="4" cm="1">
        <f t="array" ref="D38">INDEX(GMW!$A$2:$NF$150,MATCH(1,(GMW!$NE$2:$NE$150=D$3)*(GMW!$ND$2:$ND$150=D$4)*(GMW!$NF$2:$NF$150=D$1),0),$C38-1966)</f>
        <v>261297</v>
      </c>
      <c r="E38" s="4" cm="1">
        <f t="array" ref="E38">INDEX(GMW!$A$2:$NF$150,MATCH(1,(GMW!$NE$2:$NE$150=E$3)*(GMW!$ND$2:$ND$150=E$4)*(GMW!$NF$2:$NF$150=E$1),0),$C38-1966)</f>
        <v>33.550879999999999</v>
      </c>
      <c r="F38" s="4" cm="1">
        <f t="array" ref="F38">INDEX(GMW!$A$2:$NF$150,MATCH(1,(GMW!$NE$2:$NE$150=F$3)*(GMW!$ND$2:$ND$150=F$4)*(GMW!$NF$2:$NF$150=F$1),0),$C38-1966)</f>
        <v>45526</v>
      </c>
      <c r="G38" s="4" cm="1">
        <f t="array" ref="G38">INDEX(GMW!$A$2:$NF$150,MATCH(1,(GMW!$NE$2:$NE$150=G$3)*(GMW!$ND$2:$ND$150=G$4)*(GMW!$NF$2:$NF$150=G$1),0),$C38-1966)</f>
        <v>15568.44</v>
      </c>
      <c r="H38" s="4" cm="1">
        <f t="array" ref="H38">INDEX(GMW!$A$2:$NF$150,MATCH(1,(GMW!$NE$2:$NE$150=H$3)*(GMW!$ND$2:$ND$150=H$4)*(GMW!$NF$2:$NF$150=H$1),0),$C38-1966)</f>
        <v>36054</v>
      </c>
      <c r="I38" s="4" cm="1">
        <f t="array" ref="I38">INDEX(GMW!$A$2:$NF$150,MATCH(1,(GMW!$NE$2:$NE$150=I$3)*(GMW!$ND$2:$ND$150=I$4)*(GMW!$NF$2:$NF$150=I$1),0),$C38-1966)</f>
        <v>9975.9</v>
      </c>
      <c r="J38" s="4" cm="1">
        <f t="array" ref="J38">INDEX(GMW!$A$2:$NF$150,MATCH(1,(GMW!$NE$2:$NE$150=J$3)*(GMW!$ND$2:$ND$150=J$4)*(GMW!$NF$2:$NF$150=J$1),0),$C38-1966)</f>
        <v>45597</v>
      </c>
      <c r="K38" s="4" cm="1">
        <f t="array" ref="K38">INDEX(GMW!$A$2:$NF$150,MATCH(1,(GMW!$NE$2:$NE$150=K$3)*(GMW!$ND$2:$ND$150=K$4)*(GMW!$NF$2:$NF$150=K$1),0),$C38-1966)</f>
        <v>17259.57</v>
      </c>
      <c r="L38" s="4" cm="1">
        <f t="array" ref="L38">INDEX(GMW!$A$2:$NF$150,MATCH(1,(GMW!$NE$2:$NE$150=L$3)*(GMW!$ND$2:$ND$150=L$4)*(GMW!$NF$2:$NF$150=L$1),0),$C38-1966)</f>
        <v>272236.7</v>
      </c>
      <c r="M38" s="4" cm="1">
        <f t="array" ref="M38">INDEX(GMW!$A$2:$NF$150,MATCH(1,(GMW!$NE$2:$NE$150=M$3)*(GMW!$ND$2:$ND$150=M$4)*(GMW!$NF$2:$NF$150=M$1),0),$C38-1966)</f>
        <v>24781.01</v>
      </c>
      <c r="N38" s="4" cm="1">
        <f t="array" ref="N38">INDEX(GMW!$A$2:$NF$150,MATCH(1,(GMW!$NE$2:$NE$150=N$3)*(GMW!$ND$2:$ND$150=N$4)*(GMW!$NF$2:$NF$150=N$1),0),$C38-1966)</f>
        <v>1E-3</v>
      </c>
      <c r="O38" s="4" cm="1">
        <f t="array" ref="O38">INDEX(GMW!$A$2:$NF$150,MATCH(1,(GMW!$NE$2:$NE$150=O$3)*(GMW!$ND$2:$ND$150=O$4)*(GMW!$NF$2:$NF$150=O$1),0),$C38-1966)</f>
        <v>307760.8</v>
      </c>
      <c r="P38" s="4" cm="1">
        <f t="array" ref="P38">INDEX(GMW!$A$2:$NF$150,MATCH(1,(GMW!$NE$2:$NE$150=P$3)*(GMW!$ND$2:$ND$150=P$4)*(GMW!$NF$2:$NF$150=P$1),0),$C38-1966)</f>
        <v>36178.800000000003</v>
      </c>
      <c r="Q38" s="4" cm="1">
        <f t="array" ref="Q38">INDEX(GMW!$A$2:$NF$150,MATCH(1,(GMW!$NE$2:$NE$150=Q$3)*(GMW!$ND$2:$ND$150=Q$4)*(GMW!$NF$2:$NF$150=Q$1),0),$C38-1966)</f>
        <v>1272760</v>
      </c>
      <c r="R38" s="4" cm="1">
        <f t="array" ref="R38">INDEX(GMW!$A$2:$NF$150,MATCH(1,(GMW!$NE$2:$NE$150=R$3)*(GMW!$ND$2:$ND$150=R$4)*(GMW!$NF$2:$NF$150=R$1),0),$C38-1966)</f>
        <v>-1.9066609999999999</v>
      </c>
      <c r="S38" s="4" cm="1">
        <f t="array" ref="S38">INDEX(GMW!$A$2:$NF$150,MATCH(1,(GMW!$NE$2:$NE$150=S$3)*(GMW!$ND$2:$ND$150=S$4)*(GMW!$NF$2:$NF$150=S$1),0),$C38-1966)</f>
        <v>261297</v>
      </c>
      <c r="T38" s="4" cm="1">
        <f t="array" ref="T38">INDEX(GMW!$A$2:$NF$150,MATCH(1,(GMW!$NE$2:$NE$150=T$3)*(GMW!$ND$2:$ND$150=T$4)*(GMW!$NF$2:$NF$150=T$1),0),$C38-1966)</f>
        <v>33.550879999999999</v>
      </c>
      <c r="U38" s="4" cm="1">
        <f t="array" ref="U38">INDEX(GMW!$A$2:$NF$150,MATCH(1,(GMW!$NE$2:$NE$150=U$3)*(GMW!$ND$2:$ND$150=U$4)*(GMW!$NF$2:$NF$150=U$1),0),$C38-1966)</f>
        <v>45526</v>
      </c>
      <c r="V38" s="4" cm="1">
        <f t="array" ref="V38">INDEX(GMW!$A$2:$NF$150,MATCH(1,(GMW!$NE$2:$NE$150=V$3)*(GMW!$ND$2:$ND$150=V$4)*(GMW!$NF$2:$NF$150=V$1),0),$C38-1966)</f>
        <v>15568.44</v>
      </c>
      <c r="W38" s="4" cm="1">
        <f t="array" ref="W38">INDEX(GMW!$A$2:$NF$150,MATCH(1,(GMW!$NE$2:$NE$150=W$3)*(GMW!$ND$2:$ND$150=W$4)*(GMW!$NF$2:$NF$150=W$1),0),$C38-1966)</f>
        <v>36054</v>
      </c>
      <c r="X38" s="4" cm="1">
        <f t="array" ref="X38">INDEX(GMW!$A$2:$NF$150,MATCH(1,(GMW!$NE$2:$NE$150=X$3)*(GMW!$ND$2:$ND$150=X$4)*(GMW!$NF$2:$NF$150=X$1),0),$C38-1966)</f>
        <v>9975.9</v>
      </c>
      <c r="Y38" s="4" cm="1">
        <f t="array" ref="Y38">INDEX(GMW!$A$2:$NF$150,MATCH(1,(GMW!$NE$2:$NE$150=Y$3)*(GMW!$ND$2:$ND$150=Y$4)*(GMW!$NF$2:$NF$150=Y$1),0),$C38-1966)</f>
        <v>45597</v>
      </c>
      <c r="Z38" s="4" cm="1">
        <f t="array" ref="Z38">INDEX(GMW!$A$2:$NF$150,MATCH(1,(GMW!$NE$2:$NE$150=Z$3)*(GMW!$ND$2:$ND$150=Z$4)*(GMW!$NF$2:$NF$150=Z$1),0),$C38-1966)</f>
        <v>17259.57</v>
      </c>
      <c r="AA38" s="4" cm="1">
        <f t="array" ref="AA38">INDEX(GMW!$A$2:$NF$150,MATCH(1,(GMW!$NE$2:$NE$150=AA$3)*(GMW!$ND$2:$ND$150=AA$4)*(GMW!$NF$2:$NF$150=AA$1),0),$C38-1966)</f>
        <v>272236.7</v>
      </c>
      <c r="AB38" s="4" cm="1">
        <f t="array" ref="AB38">INDEX(GMW!$A$2:$NF$150,MATCH(1,(GMW!$NE$2:$NE$150=AB$3)*(GMW!$ND$2:$ND$150=AB$4)*(GMW!$NF$2:$NF$150=AB$1),0),$C38-1966)</f>
        <v>24781.01</v>
      </c>
      <c r="AC38" s="4" cm="1">
        <f t="array" ref="AC38">INDEX(GMW!$A$2:$NF$150,MATCH(1,(GMW!$NE$2:$NE$150=AC$3)*(GMW!$ND$2:$ND$150=AC$4)*(GMW!$NF$2:$NF$150=AC$1),0),$C38-1966)</f>
        <v>1E-3</v>
      </c>
      <c r="AD38" s="4" cm="1">
        <f t="array" ref="AD38">INDEX(GMW!$A$2:$NF$150,MATCH(1,(GMW!$NE$2:$NE$150=AD$3)*(GMW!$ND$2:$ND$150=AD$4)*(GMW!$NF$2:$NF$150=AD$1),0),$C38-1966)</f>
        <v>307760.8</v>
      </c>
      <c r="AE38" s="4" cm="1">
        <f t="array" ref="AE38">INDEX(GMW!$A$2:$NF$150,MATCH(1,(GMW!$NE$2:$NE$150=AE$3)*(GMW!$ND$2:$ND$150=AE$4)*(GMW!$NF$2:$NF$150=AE$1),0),$C38-1966)</f>
        <v>36178.800000000003</v>
      </c>
      <c r="AF38" s="4" cm="1">
        <f t="array" ref="AF38">INDEX(GMW!$A$2:$NF$150,MATCH(1,(GMW!$NE$2:$NE$150=AF$3)*(GMW!$ND$2:$ND$150=AF$4)*(GMW!$NF$2:$NF$150=AF$1),0),$C38-1966)</f>
        <v>1272760</v>
      </c>
      <c r="AG38" s="4" cm="1">
        <f t="array" ref="AG38">INDEX(GMW!$A$2:$NF$150,MATCH(1,(GMW!$NE$2:$NE$150=AG$3)*(GMW!$ND$2:$ND$150=AG$4)*(GMW!$NF$2:$NF$150=AG$1),0),$C38-1966)</f>
        <v>-1.9066609999999999</v>
      </c>
      <c r="AH38" s="4" cm="1">
        <f t="array" ref="AH38">INDEX(GMW!$A$2:$NF$150,MATCH(1,(GMW!$NE$2:$NE$150=AH$3)*(GMW!$ND$2:$ND$150=AH$4)*(GMW!$NF$2:$NF$150=AH$1),0),$C38-1966)</f>
        <v>261297</v>
      </c>
      <c r="AI38" s="4" cm="1">
        <f t="array" ref="AI38">INDEX(GMW!$A$2:$NF$150,MATCH(1,(GMW!$NE$2:$NE$150=AI$3)*(GMW!$ND$2:$ND$150=AI$4)*(GMW!$NF$2:$NF$150=AI$1),0),$C38-1966)</f>
        <v>33.550879999999999</v>
      </c>
      <c r="AJ38" s="4" cm="1">
        <f t="array" ref="AJ38">INDEX(GMW!$A$2:$NF$150,MATCH(1,(GMW!$NE$2:$NE$150=AJ$3)*(GMW!$ND$2:$ND$150=AJ$4)*(GMW!$NF$2:$NF$150=AJ$1),0),$C38-1966)</f>
        <v>45526</v>
      </c>
      <c r="AK38" s="4" cm="1">
        <f t="array" ref="AK38">INDEX(GMW!$A$2:$NF$150,MATCH(1,(GMW!$NE$2:$NE$150=AK$3)*(GMW!$ND$2:$ND$150=AK$4)*(GMW!$NF$2:$NF$150=AK$1),0),$C38-1966)</f>
        <v>15568.44</v>
      </c>
      <c r="AL38" s="4" cm="1">
        <f t="array" ref="AL38">INDEX(GMW!$A$2:$NF$150,MATCH(1,(GMW!$NE$2:$NE$150=AL$3)*(GMW!$ND$2:$ND$150=AL$4)*(GMW!$NF$2:$NF$150=AL$1),0),$C38-1966)</f>
        <v>36054</v>
      </c>
      <c r="AM38" s="4" cm="1">
        <f t="array" ref="AM38">INDEX(GMW!$A$2:$NF$150,MATCH(1,(GMW!$NE$2:$NE$150=AM$3)*(GMW!$ND$2:$ND$150=AM$4)*(GMW!$NF$2:$NF$150=AM$1),0),$C38-1966)</f>
        <v>9975.9</v>
      </c>
      <c r="AN38" s="4" cm="1">
        <f t="array" ref="AN38">INDEX(GMW!$A$2:$NF$150,MATCH(1,(GMW!$NE$2:$NE$150=AN$3)*(GMW!$ND$2:$ND$150=AN$4)*(GMW!$NF$2:$NF$150=AN$1),0),$C38-1966)</f>
        <v>45597</v>
      </c>
      <c r="AO38" s="4" cm="1">
        <f t="array" ref="AO38">INDEX(GMW!$A$2:$NF$150,MATCH(1,(GMW!$NE$2:$NE$150=AO$3)*(GMW!$ND$2:$ND$150=AO$4)*(GMW!$NF$2:$NF$150=AO$1),0),$C38-1966)</f>
        <v>17259.57</v>
      </c>
      <c r="AP38" s="4" cm="1">
        <f t="array" ref="AP38">INDEX(GMW!$A$2:$NF$150,MATCH(1,(GMW!$NE$2:$NE$150=AP$3)*(GMW!$ND$2:$ND$150=AP$4)*(GMW!$NF$2:$NF$150=AP$1),0),$C38-1966)</f>
        <v>272236.7</v>
      </c>
      <c r="AQ38" s="4" cm="1">
        <f t="array" ref="AQ38">INDEX(GMW!$A$2:$NF$150,MATCH(1,(GMW!$NE$2:$NE$150=AQ$3)*(GMW!$ND$2:$ND$150=AQ$4)*(GMW!$NF$2:$NF$150=AQ$1),0),$C38-1966)</f>
        <v>24781.01</v>
      </c>
      <c r="AR38" s="4" cm="1">
        <f t="array" ref="AR38">INDEX(GMW!$A$2:$NF$150,MATCH(1,(GMW!$NE$2:$NE$150=AR$3)*(GMW!$ND$2:$ND$150=AR$4)*(GMW!$NF$2:$NF$150=AR$1),0),$C38-1966)</f>
        <v>1E-3</v>
      </c>
      <c r="AS38" s="4" cm="1">
        <f t="array" ref="AS38">INDEX(GMW!$A$2:$NF$150,MATCH(1,(GMW!$NE$2:$NE$150=AS$3)*(GMW!$ND$2:$ND$150=AS$4)*(GMW!$NF$2:$NF$150=AS$1),0),$C38-1966)</f>
        <v>307760.8</v>
      </c>
      <c r="AT38" s="4" cm="1">
        <f t="array" ref="AT38">INDEX(GMW!$A$2:$NF$150,MATCH(1,(GMW!$NE$2:$NE$150=AT$3)*(GMW!$ND$2:$ND$150=AT$4)*(GMW!$NF$2:$NF$150=AT$1),0),$C38-1966)</f>
        <v>36178.800000000003</v>
      </c>
      <c r="AU38" s="4" cm="1">
        <f t="array" ref="AU38">INDEX(GMW!$A$2:$NF$150,MATCH(1,(GMW!$NE$2:$NE$150=AU$3)*(GMW!$ND$2:$ND$150=AU$4)*(GMW!$NF$2:$NF$150=AU$1),0),$C38-1966)</f>
        <v>1272760</v>
      </c>
      <c r="AV38" s="4" cm="1">
        <f t="array" ref="AV38">INDEX(GMW!$A$2:$NF$150,MATCH(1,(GMW!$NE$2:$NE$150=AV$3)*(GMW!$ND$2:$ND$150=AV$4)*(GMW!$NF$2:$NF$150=AV$1),0),$C38-1966)</f>
        <v>-1.9066609999999999</v>
      </c>
    </row>
    <row r="39" spans="1:48" x14ac:dyDescent="0.25">
      <c r="A39" s="4">
        <v>1981</v>
      </c>
      <c r="B39" s="4">
        <f t="shared" si="4"/>
        <v>1981</v>
      </c>
      <c r="C39" s="4">
        <f t="shared" si="3"/>
        <v>2005</v>
      </c>
      <c r="D39" s="4" cm="1">
        <f t="array" ref="D39">INDEX(GMW!$A$2:$NF$150,MATCH(1,(GMW!$NE$2:$NE$150=D$3)*(GMW!$ND$2:$ND$150=D$4)*(GMW!$NF$2:$NF$150=D$1),0),$C39-1966)</f>
        <v>261131</v>
      </c>
      <c r="E39" s="4" cm="1">
        <f t="array" ref="E39">INDEX(GMW!$A$2:$NF$150,MATCH(1,(GMW!$NE$2:$NE$150=E$3)*(GMW!$ND$2:$ND$150=E$4)*(GMW!$NF$2:$NF$150=E$1),0),$C39-1966)</f>
        <v>34.385100000000001</v>
      </c>
      <c r="F39" s="4" cm="1">
        <f t="array" ref="F39">INDEX(GMW!$A$2:$NF$150,MATCH(1,(GMW!$NE$2:$NE$150=F$3)*(GMW!$ND$2:$ND$150=F$4)*(GMW!$NF$2:$NF$150=F$1),0),$C39-1966)</f>
        <v>45162</v>
      </c>
      <c r="G39" s="4" cm="1">
        <f t="array" ref="G39">INDEX(GMW!$A$2:$NF$150,MATCH(1,(GMW!$NE$2:$NE$150=G$3)*(GMW!$ND$2:$ND$150=G$4)*(GMW!$NF$2:$NF$150=G$1),0),$C39-1966)</f>
        <v>12698.02</v>
      </c>
      <c r="H39" s="4" cm="1">
        <f t="array" ref="H39">INDEX(GMW!$A$2:$NF$150,MATCH(1,(GMW!$NE$2:$NE$150=H$3)*(GMW!$ND$2:$ND$150=H$4)*(GMW!$NF$2:$NF$150=H$1),0),$C39-1966)</f>
        <v>34504</v>
      </c>
      <c r="I39" s="4" cm="1">
        <f t="array" ref="I39">INDEX(GMW!$A$2:$NF$150,MATCH(1,(GMW!$NE$2:$NE$150=I$3)*(GMW!$ND$2:$ND$150=I$4)*(GMW!$NF$2:$NF$150=I$1),0),$C39-1966)</f>
        <v>9966.7250000000004</v>
      </c>
      <c r="J39" s="4" cm="1">
        <f t="array" ref="J39">INDEX(GMW!$A$2:$NF$150,MATCH(1,(GMW!$NE$2:$NE$150=J$3)*(GMW!$ND$2:$ND$150=J$4)*(GMW!$NF$2:$NF$150=J$1),0),$C39-1966)</f>
        <v>43073</v>
      </c>
      <c r="K39" s="4" cm="1">
        <f t="array" ref="K39">INDEX(GMW!$A$2:$NF$150,MATCH(1,(GMW!$NE$2:$NE$150=K$3)*(GMW!$ND$2:$ND$150=K$4)*(GMW!$NF$2:$NF$150=K$1),0),$C39-1966)</f>
        <v>16474.38</v>
      </c>
      <c r="L39" s="4" cm="1">
        <f t="array" ref="L39">INDEX(GMW!$A$2:$NF$150,MATCH(1,(GMW!$NE$2:$NE$150=L$3)*(GMW!$ND$2:$ND$150=L$4)*(GMW!$NF$2:$NF$150=L$1),0),$C39-1966)</f>
        <v>273376.7</v>
      </c>
      <c r="M39" s="4" cm="1">
        <f t="array" ref="M39">INDEX(GMW!$A$2:$NF$150,MATCH(1,(GMW!$NE$2:$NE$150=M$3)*(GMW!$ND$2:$ND$150=M$4)*(GMW!$NF$2:$NF$150=M$1),0),$C39-1966)</f>
        <v>24763.56</v>
      </c>
      <c r="N39" s="4" cm="1">
        <f t="array" ref="N39">INDEX(GMW!$A$2:$NF$150,MATCH(1,(GMW!$NE$2:$NE$150=N$3)*(GMW!$ND$2:$ND$150=N$4)*(GMW!$NF$2:$NF$150=N$1),0),$C39-1966)</f>
        <v>1E-3</v>
      </c>
      <c r="O39" s="4" cm="1">
        <f t="array" ref="O39">INDEX(GMW!$A$2:$NF$150,MATCH(1,(GMW!$NE$2:$NE$150=O$3)*(GMW!$ND$2:$ND$150=O$4)*(GMW!$NF$2:$NF$150=O$1),0),$C39-1966)</f>
        <v>308462.7</v>
      </c>
      <c r="P39" s="4" cm="1">
        <f t="array" ref="P39">INDEX(GMW!$A$2:$NF$150,MATCH(1,(GMW!$NE$2:$NE$150=P$3)*(GMW!$ND$2:$ND$150=P$4)*(GMW!$NF$2:$NF$150=P$1),0),$C39-1966)</f>
        <v>36228.74</v>
      </c>
      <c r="Q39" s="4" cm="1">
        <f t="array" ref="Q39">INDEX(GMW!$A$2:$NF$150,MATCH(1,(GMW!$NE$2:$NE$150=Q$3)*(GMW!$ND$2:$ND$150=Q$4)*(GMW!$NF$2:$NF$150=Q$1),0),$C39-1966)</f>
        <v>1274943</v>
      </c>
      <c r="R39" s="4" cm="1">
        <f t="array" ref="R39">INDEX(GMW!$A$2:$NF$150,MATCH(1,(GMW!$NE$2:$NE$150=R$3)*(GMW!$ND$2:$ND$150=R$4)*(GMW!$NF$2:$NF$150=R$1),0),$C39-1966)</f>
        <v>-1.903573</v>
      </c>
      <c r="S39" s="4" cm="1">
        <f t="array" ref="S39">INDEX(GMW!$A$2:$NF$150,MATCH(1,(GMW!$NE$2:$NE$150=S$3)*(GMW!$ND$2:$ND$150=S$4)*(GMW!$NF$2:$NF$150=S$1),0),$C39-1966)</f>
        <v>261131</v>
      </c>
      <c r="T39" s="4" cm="1">
        <f t="array" ref="T39">INDEX(GMW!$A$2:$NF$150,MATCH(1,(GMW!$NE$2:$NE$150=T$3)*(GMW!$ND$2:$ND$150=T$4)*(GMW!$NF$2:$NF$150=T$1),0),$C39-1966)</f>
        <v>34.385100000000001</v>
      </c>
      <c r="U39" s="4" cm="1">
        <f t="array" ref="U39">INDEX(GMW!$A$2:$NF$150,MATCH(1,(GMW!$NE$2:$NE$150=U$3)*(GMW!$ND$2:$ND$150=U$4)*(GMW!$NF$2:$NF$150=U$1),0),$C39-1966)</f>
        <v>45162</v>
      </c>
      <c r="V39" s="4" cm="1">
        <f t="array" ref="V39">INDEX(GMW!$A$2:$NF$150,MATCH(1,(GMW!$NE$2:$NE$150=V$3)*(GMW!$ND$2:$ND$150=V$4)*(GMW!$NF$2:$NF$150=V$1),0),$C39-1966)</f>
        <v>12698.02</v>
      </c>
      <c r="W39" s="4" cm="1">
        <f t="array" ref="W39">INDEX(GMW!$A$2:$NF$150,MATCH(1,(GMW!$NE$2:$NE$150=W$3)*(GMW!$ND$2:$ND$150=W$4)*(GMW!$NF$2:$NF$150=W$1),0),$C39-1966)</f>
        <v>34504</v>
      </c>
      <c r="X39" s="4" cm="1">
        <f t="array" ref="X39">INDEX(GMW!$A$2:$NF$150,MATCH(1,(GMW!$NE$2:$NE$150=X$3)*(GMW!$ND$2:$ND$150=X$4)*(GMW!$NF$2:$NF$150=X$1),0),$C39-1966)</f>
        <v>9966.7250000000004</v>
      </c>
      <c r="Y39" s="4" cm="1">
        <f t="array" ref="Y39">INDEX(GMW!$A$2:$NF$150,MATCH(1,(GMW!$NE$2:$NE$150=Y$3)*(GMW!$ND$2:$ND$150=Y$4)*(GMW!$NF$2:$NF$150=Y$1),0),$C39-1966)</f>
        <v>43073</v>
      </c>
      <c r="Z39" s="4" cm="1">
        <f t="array" ref="Z39">INDEX(GMW!$A$2:$NF$150,MATCH(1,(GMW!$NE$2:$NE$150=Z$3)*(GMW!$ND$2:$ND$150=Z$4)*(GMW!$NF$2:$NF$150=Z$1),0),$C39-1966)</f>
        <v>16474.38</v>
      </c>
      <c r="AA39" s="4" cm="1">
        <f t="array" ref="AA39">INDEX(GMW!$A$2:$NF$150,MATCH(1,(GMW!$NE$2:$NE$150=AA$3)*(GMW!$ND$2:$ND$150=AA$4)*(GMW!$NF$2:$NF$150=AA$1),0),$C39-1966)</f>
        <v>273376.7</v>
      </c>
      <c r="AB39" s="4" cm="1">
        <f t="array" ref="AB39">INDEX(GMW!$A$2:$NF$150,MATCH(1,(GMW!$NE$2:$NE$150=AB$3)*(GMW!$ND$2:$ND$150=AB$4)*(GMW!$NF$2:$NF$150=AB$1),0),$C39-1966)</f>
        <v>24763.56</v>
      </c>
      <c r="AC39" s="4" cm="1">
        <f t="array" ref="AC39">INDEX(GMW!$A$2:$NF$150,MATCH(1,(GMW!$NE$2:$NE$150=AC$3)*(GMW!$ND$2:$ND$150=AC$4)*(GMW!$NF$2:$NF$150=AC$1),0),$C39-1966)</f>
        <v>1E-3</v>
      </c>
      <c r="AD39" s="4" cm="1">
        <f t="array" ref="AD39">INDEX(GMW!$A$2:$NF$150,MATCH(1,(GMW!$NE$2:$NE$150=AD$3)*(GMW!$ND$2:$ND$150=AD$4)*(GMW!$NF$2:$NF$150=AD$1),0),$C39-1966)</f>
        <v>308462.7</v>
      </c>
      <c r="AE39" s="4" cm="1">
        <f t="array" ref="AE39">INDEX(GMW!$A$2:$NF$150,MATCH(1,(GMW!$NE$2:$NE$150=AE$3)*(GMW!$ND$2:$ND$150=AE$4)*(GMW!$NF$2:$NF$150=AE$1),0),$C39-1966)</f>
        <v>36228.74</v>
      </c>
      <c r="AF39" s="4" cm="1">
        <f t="array" ref="AF39">INDEX(GMW!$A$2:$NF$150,MATCH(1,(GMW!$NE$2:$NE$150=AF$3)*(GMW!$ND$2:$ND$150=AF$4)*(GMW!$NF$2:$NF$150=AF$1),0),$C39-1966)</f>
        <v>1274943</v>
      </c>
      <c r="AG39" s="4" cm="1">
        <f t="array" ref="AG39">INDEX(GMW!$A$2:$NF$150,MATCH(1,(GMW!$NE$2:$NE$150=AG$3)*(GMW!$ND$2:$ND$150=AG$4)*(GMW!$NF$2:$NF$150=AG$1),0),$C39-1966)</f>
        <v>-1.903573</v>
      </c>
      <c r="AH39" s="4" cm="1">
        <f t="array" ref="AH39">INDEX(GMW!$A$2:$NF$150,MATCH(1,(GMW!$NE$2:$NE$150=AH$3)*(GMW!$ND$2:$ND$150=AH$4)*(GMW!$NF$2:$NF$150=AH$1),0),$C39-1966)</f>
        <v>261131</v>
      </c>
      <c r="AI39" s="4" cm="1">
        <f t="array" ref="AI39">INDEX(GMW!$A$2:$NF$150,MATCH(1,(GMW!$NE$2:$NE$150=AI$3)*(GMW!$ND$2:$ND$150=AI$4)*(GMW!$NF$2:$NF$150=AI$1),0),$C39-1966)</f>
        <v>34.385100000000001</v>
      </c>
      <c r="AJ39" s="4" cm="1">
        <f t="array" ref="AJ39">INDEX(GMW!$A$2:$NF$150,MATCH(1,(GMW!$NE$2:$NE$150=AJ$3)*(GMW!$ND$2:$ND$150=AJ$4)*(GMW!$NF$2:$NF$150=AJ$1),0),$C39-1966)</f>
        <v>45162</v>
      </c>
      <c r="AK39" s="4" cm="1">
        <f t="array" ref="AK39">INDEX(GMW!$A$2:$NF$150,MATCH(1,(GMW!$NE$2:$NE$150=AK$3)*(GMW!$ND$2:$ND$150=AK$4)*(GMW!$NF$2:$NF$150=AK$1),0),$C39-1966)</f>
        <v>12698.02</v>
      </c>
      <c r="AL39" s="4" cm="1">
        <f t="array" ref="AL39">INDEX(GMW!$A$2:$NF$150,MATCH(1,(GMW!$NE$2:$NE$150=AL$3)*(GMW!$ND$2:$ND$150=AL$4)*(GMW!$NF$2:$NF$150=AL$1),0),$C39-1966)</f>
        <v>34504</v>
      </c>
      <c r="AM39" s="4" cm="1">
        <f t="array" ref="AM39">INDEX(GMW!$A$2:$NF$150,MATCH(1,(GMW!$NE$2:$NE$150=AM$3)*(GMW!$ND$2:$ND$150=AM$4)*(GMW!$NF$2:$NF$150=AM$1),0),$C39-1966)</f>
        <v>9966.7250000000004</v>
      </c>
      <c r="AN39" s="4" cm="1">
        <f t="array" ref="AN39">INDEX(GMW!$A$2:$NF$150,MATCH(1,(GMW!$NE$2:$NE$150=AN$3)*(GMW!$ND$2:$ND$150=AN$4)*(GMW!$NF$2:$NF$150=AN$1),0),$C39-1966)</f>
        <v>43073</v>
      </c>
      <c r="AO39" s="4" cm="1">
        <f t="array" ref="AO39">INDEX(GMW!$A$2:$NF$150,MATCH(1,(GMW!$NE$2:$NE$150=AO$3)*(GMW!$ND$2:$ND$150=AO$4)*(GMW!$NF$2:$NF$150=AO$1),0),$C39-1966)</f>
        <v>16474.38</v>
      </c>
      <c r="AP39" s="4" cm="1">
        <f t="array" ref="AP39">INDEX(GMW!$A$2:$NF$150,MATCH(1,(GMW!$NE$2:$NE$150=AP$3)*(GMW!$ND$2:$ND$150=AP$4)*(GMW!$NF$2:$NF$150=AP$1),0),$C39-1966)</f>
        <v>273376.7</v>
      </c>
      <c r="AQ39" s="4" cm="1">
        <f t="array" ref="AQ39">INDEX(GMW!$A$2:$NF$150,MATCH(1,(GMW!$NE$2:$NE$150=AQ$3)*(GMW!$ND$2:$ND$150=AQ$4)*(GMW!$NF$2:$NF$150=AQ$1),0),$C39-1966)</f>
        <v>24763.56</v>
      </c>
      <c r="AR39" s="4" cm="1">
        <f t="array" ref="AR39">INDEX(GMW!$A$2:$NF$150,MATCH(1,(GMW!$NE$2:$NE$150=AR$3)*(GMW!$ND$2:$ND$150=AR$4)*(GMW!$NF$2:$NF$150=AR$1),0),$C39-1966)</f>
        <v>1E-3</v>
      </c>
      <c r="AS39" s="4" cm="1">
        <f t="array" ref="AS39">INDEX(GMW!$A$2:$NF$150,MATCH(1,(GMW!$NE$2:$NE$150=AS$3)*(GMW!$ND$2:$ND$150=AS$4)*(GMW!$NF$2:$NF$150=AS$1),0),$C39-1966)</f>
        <v>308462.7</v>
      </c>
      <c r="AT39" s="4" cm="1">
        <f t="array" ref="AT39">INDEX(GMW!$A$2:$NF$150,MATCH(1,(GMW!$NE$2:$NE$150=AT$3)*(GMW!$ND$2:$ND$150=AT$4)*(GMW!$NF$2:$NF$150=AT$1),0),$C39-1966)</f>
        <v>36228.74</v>
      </c>
      <c r="AU39" s="4" cm="1">
        <f t="array" ref="AU39">INDEX(GMW!$A$2:$NF$150,MATCH(1,(GMW!$NE$2:$NE$150=AU$3)*(GMW!$ND$2:$ND$150=AU$4)*(GMW!$NF$2:$NF$150=AU$1),0),$C39-1966)</f>
        <v>1274943</v>
      </c>
      <c r="AV39" s="4" cm="1">
        <f t="array" ref="AV39">INDEX(GMW!$A$2:$NF$150,MATCH(1,(GMW!$NE$2:$NE$150=AV$3)*(GMW!$ND$2:$ND$150=AV$4)*(GMW!$NF$2:$NF$150=AV$1),0),$C39-1966)</f>
        <v>-1.903573</v>
      </c>
    </row>
    <row r="40" spans="1:48" x14ac:dyDescent="0.25">
      <c r="B40" s="4">
        <f t="shared" si="4"/>
        <v>1981</v>
      </c>
      <c r="C40" s="4">
        <f t="shared" si="3"/>
        <v>2006</v>
      </c>
      <c r="D40" s="4" cm="1">
        <f t="array" ref="D40">INDEX(GMW!$A$2:$NF$150,MATCH(1,(GMW!$NE$2:$NE$150=D$3)*(GMW!$ND$2:$ND$150=D$4)*(GMW!$NF$2:$NF$150=D$1),0),$C40-1966)</f>
        <v>261739</v>
      </c>
      <c r="E40" s="4" cm="1">
        <f t="array" ref="E40">INDEX(GMW!$A$2:$NF$150,MATCH(1,(GMW!$NE$2:$NE$150=E$3)*(GMW!$ND$2:$ND$150=E$4)*(GMW!$NF$2:$NF$150=E$1),0),$C40-1966)</f>
        <v>36.079590000000003</v>
      </c>
      <c r="F40" s="4" cm="1">
        <f t="array" ref="F40">INDEX(GMW!$A$2:$NF$150,MATCH(1,(GMW!$NE$2:$NE$150=F$3)*(GMW!$ND$2:$ND$150=F$4)*(GMW!$NF$2:$NF$150=F$1),0),$C40-1966)</f>
        <v>45719</v>
      </c>
      <c r="G40" s="4" cm="1">
        <f t="array" ref="G40">INDEX(GMW!$A$2:$NF$150,MATCH(1,(GMW!$NE$2:$NE$150=G$3)*(GMW!$ND$2:$ND$150=G$4)*(GMW!$NF$2:$NF$150=G$1),0),$C40-1966)</f>
        <v>13291.79</v>
      </c>
      <c r="H40" s="4" cm="1">
        <f t="array" ref="H40">INDEX(GMW!$A$2:$NF$150,MATCH(1,(GMW!$NE$2:$NE$150=H$3)*(GMW!$ND$2:$ND$150=H$4)*(GMW!$NF$2:$NF$150=H$1),0),$C40-1966)</f>
        <v>36432</v>
      </c>
      <c r="I40" s="4" cm="1">
        <f t="array" ref="I40">INDEX(GMW!$A$2:$NF$150,MATCH(1,(GMW!$NE$2:$NE$150=I$3)*(GMW!$ND$2:$ND$150=I$4)*(GMW!$NF$2:$NF$150=I$1),0),$C40-1966)</f>
        <v>11496.63</v>
      </c>
      <c r="J40" s="4" cm="1">
        <f t="array" ref="J40">INDEX(GMW!$A$2:$NF$150,MATCH(1,(GMW!$NE$2:$NE$150=J$3)*(GMW!$ND$2:$ND$150=J$4)*(GMW!$NF$2:$NF$150=J$1),0),$C40-1966)</f>
        <v>44079</v>
      </c>
      <c r="K40" s="4" cm="1">
        <f t="array" ref="K40">INDEX(GMW!$A$2:$NF$150,MATCH(1,(GMW!$NE$2:$NE$150=K$3)*(GMW!$ND$2:$ND$150=K$4)*(GMW!$NF$2:$NF$150=K$1),0),$C40-1966)</f>
        <v>16442.2</v>
      </c>
      <c r="L40" s="4" cm="1">
        <f t="array" ref="L40">INDEX(GMW!$A$2:$NF$150,MATCH(1,(GMW!$NE$2:$NE$150=L$3)*(GMW!$ND$2:$ND$150=L$4)*(GMW!$NF$2:$NF$150=L$1),0),$C40-1966)</f>
        <v>274189.09999999998</v>
      </c>
      <c r="M40" s="4" cm="1">
        <f t="array" ref="M40">INDEX(GMW!$A$2:$NF$150,MATCH(1,(GMW!$NE$2:$NE$150=M$3)*(GMW!$ND$2:$ND$150=M$4)*(GMW!$NF$2:$NF$150=M$1),0),$C40-1966)</f>
        <v>24726.78</v>
      </c>
      <c r="N40" s="4" cm="1">
        <f t="array" ref="N40">INDEX(GMW!$A$2:$NF$150,MATCH(1,(GMW!$NE$2:$NE$150=N$3)*(GMW!$ND$2:$ND$150=N$4)*(GMW!$NF$2:$NF$150=N$1),0),$C40-1966)</f>
        <v>1E-3</v>
      </c>
      <c r="O40" s="4" cm="1">
        <f t="array" ref="O40">INDEX(GMW!$A$2:$NF$150,MATCH(1,(GMW!$NE$2:$NE$150=O$3)*(GMW!$ND$2:$ND$150=O$4)*(GMW!$NF$2:$NF$150=O$1),0),$C40-1966)</f>
        <v>309145.40000000002</v>
      </c>
      <c r="P40" s="4" cm="1">
        <f t="array" ref="P40">INDEX(GMW!$A$2:$NF$150,MATCH(1,(GMW!$NE$2:$NE$150=P$3)*(GMW!$ND$2:$ND$150=P$4)*(GMW!$NF$2:$NF$150=P$1),0),$C40-1966)</f>
        <v>36278.69</v>
      </c>
      <c r="Q40" s="4" cm="1">
        <f t="array" ref="Q40">INDEX(GMW!$A$2:$NF$150,MATCH(1,(GMW!$NE$2:$NE$150=Q$3)*(GMW!$ND$2:$ND$150=Q$4)*(GMW!$NF$2:$NF$150=Q$1),0),$C40-1966)</f>
        <v>1277127</v>
      </c>
      <c r="R40" s="4" cm="1">
        <f t="array" ref="R40">INDEX(GMW!$A$2:$NF$150,MATCH(1,(GMW!$NE$2:$NE$150=R$3)*(GMW!$ND$2:$ND$150=R$4)*(GMW!$NF$2:$NF$150=R$1),0),$C40-1966)</f>
        <v>-1.9004890000000001</v>
      </c>
      <c r="S40" s="4" cm="1">
        <f t="array" ref="S40">INDEX(GMW!$A$2:$NF$150,MATCH(1,(GMW!$NE$2:$NE$150=S$3)*(GMW!$ND$2:$ND$150=S$4)*(GMW!$NF$2:$NF$150=S$1),0),$C40-1966)</f>
        <v>261739</v>
      </c>
      <c r="T40" s="4" cm="1">
        <f t="array" ref="T40">INDEX(GMW!$A$2:$NF$150,MATCH(1,(GMW!$NE$2:$NE$150=T$3)*(GMW!$ND$2:$ND$150=T$4)*(GMW!$NF$2:$NF$150=T$1),0),$C40-1966)</f>
        <v>36.079590000000003</v>
      </c>
      <c r="U40" s="4" cm="1">
        <f t="array" ref="U40">INDEX(GMW!$A$2:$NF$150,MATCH(1,(GMW!$NE$2:$NE$150=U$3)*(GMW!$ND$2:$ND$150=U$4)*(GMW!$NF$2:$NF$150=U$1),0),$C40-1966)</f>
        <v>45719</v>
      </c>
      <c r="V40" s="4" cm="1">
        <f t="array" ref="V40">INDEX(GMW!$A$2:$NF$150,MATCH(1,(GMW!$NE$2:$NE$150=V$3)*(GMW!$ND$2:$ND$150=V$4)*(GMW!$NF$2:$NF$150=V$1),0),$C40-1966)</f>
        <v>13291.79</v>
      </c>
      <c r="W40" s="4" cm="1">
        <f t="array" ref="W40">INDEX(GMW!$A$2:$NF$150,MATCH(1,(GMW!$NE$2:$NE$150=W$3)*(GMW!$ND$2:$ND$150=W$4)*(GMW!$NF$2:$NF$150=W$1),0),$C40-1966)</f>
        <v>36432</v>
      </c>
      <c r="X40" s="4" cm="1">
        <f t="array" ref="X40">INDEX(GMW!$A$2:$NF$150,MATCH(1,(GMW!$NE$2:$NE$150=X$3)*(GMW!$ND$2:$ND$150=X$4)*(GMW!$NF$2:$NF$150=X$1),0),$C40-1966)</f>
        <v>11496.63</v>
      </c>
      <c r="Y40" s="4" cm="1">
        <f t="array" ref="Y40">INDEX(GMW!$A$2:$NF$150,MATCH(1,(GMW!$NE$2:$NE$150=Y$3)*(GMW!$ND$2:$ND$150=Y$4)*(GMW!$NF$2:$NF$150=Y$1),0),$C40-1966)</f>
        <v>44079</v>
      </c>
      <c r="Z40" s="4" cm="1">
        <f t="array" ref="Z40">INDEX(GMW!$A$2:$NF$150,MATCH(1,(GMW!$NE$2:$NE$150=Z$3)*(GMW!$ND$2:$ND$150=Z$4)*(GMW!$NF$2:$NF$150=Z$1),0),$C40-1966)</f>
        <v>16442.2</v>
      </c>
      <c r="AA40" s="4" cm="1">
        <f t="array" ref="AA40">INDEX(GMW!$A$2:$NF$150,MATCH(1,(GMW!$NE$2:$NE$150=AA$3)*(GMW!$ND$2:$ND$150=AA$4)*(GMW!$NF$2:$NF$150=AA$1),0),$C40-1966)</f>
        <v>274189.09999999998</v>
      </c>
      <c r="AB40" s="4" cm="1">
        <f t="array" ref="AB40">INDEX(GMW!$A$2:$NF$150,MATCH(1,(GMW!$NE$2:$NE$150=AB$3)*(GMW!$ND$2:$ND$150=AB$4)*(GMW!$NF$2:$NF$150=AB$1),0),$C40-1966)</f>
        <v>24726.78</v>
      </c>
      <c r="AC40" s="4" cm="1">
        <f t="array" ref="AC40">INDEX(GMW!$A$2:$NF$150,MATCH(1,(GMW!$NE$2:$NE$150=AC$3)*(GMW!$ND$2:$ND$150=AC$4)*(GMW!$NF$2:$NF$150=AC$1),0),$C40-1966)</f>
        <v>1E-3</v>
      </c>
      <c r="AD40" s="4" cm="1">
        <f t="array" ref="AD40">INDEX(GMW!$A$2:$NF$150,MATCH(1,(GMW!$NE$2:$NE$150=AD$3)*(GMW!$ND$2:$ND$150=AD$4)*(GMW!$NF$2:$NF$150=AD$1),0),$C40-1966)</f>
        <v>309145.40000000002</v>
      </c>
      <c r="AE40" s="4" cm="1">
        <f t="array" ref="AE40">INDEX(GMW!$A$2:$NF$150,MATCH(1,(GMW!$NE$2:$NE$150=AE$3)*(GMW!$ND$2:$ND$150=AE$4)*(GMW!$NF$2:$NF$150=AE$1),0),$C40-1966)</f>
        <v>36278.69</v>
      </c>
      <c r="AF40" s="4" cm="1">
        <f t="array" ref="AF40">INDEX(GMW!$A$2:$NF$150,MATCH(1,(GMW!$NE$2:$NE$150=AF$3)*(GMW!$ND$2:$ND$150=AF$4)*(GMW!$NF$2:$NF$150=AF$1),0),$C40-1966)</f>
        <v>1277127</v>
      </c>
      <c r="AG40" s="4" cm="1">
        <f t="array" ref="AG40">INDEX(GMW!$A$2:$NF$150,MATCH(1,(GMW!$NE$2:$NE$150=AG$3)*(GMW!$ND$2:$ND$150=AG$4)*(GMW!$NF$2:$NF$150=AG$1),0),$C40-1966)</f>
        <v>-1.9004890000000001</v>
      </c>
      <c r="AH40" s="4" cm="1">
        <f t="array" ref="AH40">INDEX(GMW!$A$2:$NF$150,MATCH(1,(GMW!$NE$2:$NE$150=AH$3)*(GMW!$ND$2:$ND$150=AH$4)*(GMW!$NF$2:$NF$150=AH$1),0),$C40-1966)</f>
        <v>261739</v>
      </c>
      <c r="AI40" s="4" cm="1">
        <f t="array" ref="AI40">INDEX(GMW!$A$2:$NF$150,MATCH(1,(GMW!$NE$2:$NE$150=AI$3)*(GMW!$ND$2:$ND$150=AI$4)*(GMW!$NF$2:$NF$150=AI$1),0),$C40-1966)</f>
        <v>36.079590000000003</v>
      </c>
      <c r="AJ40" s="4" cm="1">
        <f t="array" ref="AJ40">INDEX(GMW!$A$2:$NF$150,MATCH(1,(GMW!$NE$2:$NE$150=AJ$3)*(GMW!$ND$2:$ND$150=AJ$4)*(GMW!$NF$2:$NF$150=AJ$1),0),$C40-1966)</f>
        <v>45719</v>
      </c>
      <c r="AK40" s="4" cm="1">
        <f t="array" ref="AK40">INDEX(GMW!$A$2:$NF$150,MATCH(1,(GMW!$NE$2:$NE$150=AK$3)*(GMW!$ND$2:$ND$150=AK$4)*(GMW!$NF$2:$NF$150=AK$1),0),$C40-1966)</f>
        <v>13291.79</v>
      </c>
      <c r="AL40" s="4" cm="1">
        <f t="array" ref="AL40">INDEX(GMW!$A$2:$NF$150,MATCH(1,(GMW!$NE$2:$NE$150=AL$3)*(GMW!$ND$2:$ND$150=AL$4)*(GMW!$NF$2:$NF$150=AL$1),0),$C40-1966)</f>
        <v>36432</v>
      </c>
      <c r="AM40" s="4" cm="1">
        <f t="array" ref="AM40">INDEX(GMW!$A$2:$NF$150,MATCH(1,(GMW!$NE$2:$NE$150=AM$3)*(GMW!$ND$2:$ND$150=AM$4)*(GMW!$NF$2:$NF$150=AM$1),0),$C40-1966)</f>
        <v>11496.63</v>
      </c>
      <c r="AN40" s="4" cm="1">
        <f t="array" ref="AN40">INDEX(GMW!$A$2:$NF$150,MATCH(1,(GMW!$NE$2:$NE$150=AN$3)*(GMW!$ND$2:$ND$150=AN$4)*(GMW!$NF$2:$NF$150=AN$1),0),$C40-1966)</f>
        <v>44079</v>
      </c>
      <c r="AO40" s="4" cm="1">
        <f t="array" ref="AO40">INDEX(GMW!$A$2:$NF$150,MATCH(1,(GMW!$NE$2:$NE$150=AO$3)*(GMW!$ND$2:$ND$150=AO$4)*(GMW!$NF$2:$NF$150=AO$1),0),$C40-1966)</f>
        <v>16442.2</v>
      </c>
      <c r="AP40" s="4" cm="1">
        <f t="array" ref="AP40">INDEX(GMW!$A$2:$NF$150,MATCH(1,(GMW!$NE$2:$NE$150=AP$3)*(GMW!$ND$2:$ND$150=AP$4)*(GMW!$NF$2:$NF$150=AP$1),0),$C40-1966)</f>
        <v>274189.09999999998</v>
      </c>
      <c r="AQ40" s="4" cm="1">
        <f t="array" ref="AQ40">INDEX(GMW!$A$2:$NF$150,MATCH(1,(GMW!$NE$2:$NE$150=AQ$3)*(GMW!$ND$2:$ND$150=AQ$4)*(GMW!$NF$2:$NF$150=AQ$1),0),$C40-1966)</f>
        <v>24726.78</v>
      </c>
      <c r="AR40" s="4" cm="1">
        <f t="array" ref="AR40">INDEX(GMW!$A$2:$NF$150,MATCH(1,(GMW!$NE$2:$NE$150=AR$3)*(GMW!$ND$2:$ND$150=AR$4)*(GMW!$NF$2:$NF$150=AR$1),0),$C40-1966)</f>
        <v>1E-3</v>
      </c>
      <c r="AS40" s="4" cm="1">
        <f t="array" ref="AS40">INDEX(GMW!$A$2:$NF$150,MATCH(1,(GMW!$NE$2:$NE$150=AS$3)*(GMW!$ND$2:$ND$150=AS$4)*(GMW!$NF$2:$NF$150=AS$1),0),$C40-1966)</f>
        <v>309145.40000000002</v>
      </c>
      <c r="AT40" s="4" cm="1">
        <f t="array" ref="AT40">INDEX(GMW!$A$2:$NF$150,MATCH(1,(GMW!$NE$2:$NE$150=AT$3)*(GMW!$ND$2:$ND$150=AT$4)*(GMW!$NF$2:$NF$150=AT$1),0),$C40-1966)</f>
        <v>36278.69</v>
      </c>
      <c r="AU40" s="4" cm="1">
        <f t="array" ref="AU40">INDEX(GMW!$A$2:$NF$150,MATCH(1,(GMW!$NE$2:$NE$150=AU$3)*(GMW!$ND$2:$ND$150=AU$4)*(GMW!$NF$2:$NF$150=AU$1),0),$C40-1966)</f>
        <v>1277127</v>
      </c>
      <c r="AV40" s="4" cm="1">
        <f t="array" ref="AV40">INDEX(GMW!$A$2:$NF$150,MATCH(1,(GMW!$NE$2:$NE$150=AV$3)*(GMW!$ND$2:$ND$150=AV$4)*(GMW!$NF$2:$NF$150=AV$1),0),$C40-1966)</f>
        <v>-1.9004890000000001</v>
      </c>
    </row>
    <row r="41" spans="1:48" x14ac:dyDescent="0.25">
      <c r="B41" s="4">
        <f t="shared" si="4"/>
        <v>1981</v>
      </c>
      <c r="C41" s="4">
        <f t="shared" si="3"/>
        <v>2007</v>
      </c>
      <c r="D41" s="4" cm="1">
        <f t="array" ref="D41">INDEX(GMW!$A$2:$NF$150,MATCH(1,(GMW!$NE$2:$NE$150=D$3)*(GMW!$ND$2:$ND$150=D$4)*(GMW!$NF$2:$NF$150=D$1),0),$C41-1966)</f>
        <v>264602</v>
      </c>
      <c r="E41" s="4" cm="1">
        <f t="array" ref="E41">INDEX(GMW!$A$2:$NF$150,MATCH(1,(GMW!$NE$2:$NE$150=E$3)*(GMW!$ND$2:$ND$150=E$4)*(GMW!$NF$2:$NF$150=E$1),0),$C41-1966)</f>
        <v>36.731310000000001</v>
      </c>
      <c r="F41" s="4" cm="1">
        <f t="array" ref="F41">INDEX(GMW!$A$2:$NF$150,MATCH(1,(GMW!$NE$2:$NE$150=F$3)*(GMW!$ND$2:$ND$150=F$4)*(GMW!$NF$2:$NF$150=F$1),0),$C41-1966)</f>
        <v>47827</v>
      </c>
      <c r="G41" s="4" cm="1">
        <f t="array" ref="G41">INDEX(GMW!$A$2:$NF$150,MATCH(1,(GMW!$NE$2:$NE$150=G$3)*(GMW!$ND$2:$ND$150=G$4)*(GMW!$NF$2:$NF$150=G$1),0),$C41-1966)</f>
        <v>13837.25</v>
      </c>
      <c r="H41" s="4" cm="1">
        <f t="array" ref="H41">INDEX(GMW!$A$2:$NF$150,MATCH(1,(GMW!$NE$2:$NE$150=H$3)*(GMW!$ND$2:$ND$150=H$4)*(GMW!$NF$2:$NF$150=H$1),0),$C41-1966)</f>
        <v>40446</v>
      </c>
      <c r="I41" s="4" cm="1">
        <f t="array" ref="I41">INDEX(GMW!$A$2:$NF$150,MATCH(1,(GMW!$NE$2:$NE$150=I$3)*(GMW!$ND$2:$ND$150=I$4)*(GMW!$NF$2:$NF$150=I$1),0),$C41-1966)</f>
        <v>14028.85</v>
      </c>
      <c r="J41" s="4" cm="1">
        <f t="array" ref="J41">INDEX(GMW!$A$2:$NF$150,MATCH(1,(GMW!$NE$2:$NE$150=J$3)*(GMW!$ND$2:$ND$150=J$4)*(GMW!$NF$2:$NF$150=J$1),0),$C41-1966)</f>
        <v>44442</v>
      </c>
      <c r="K41" s="4" cm="1">
        <f t="array" ref="K41">INDEX(GMW!$A$2:$NF$150,MATCH(1,(GMW!$NE$2:$NE$150=K$3)*(GMW!$ND$2:$ND$150=K$4)*(GMW!$NF$2:$NF$150=K$1),0),$C41-1966)</f>
        <v>16635.28</v>
      </c>
      <c r="L41" s="4" cm="1">
        <f t="array" ref="L41">INDEX(GMW!$A$2:$NF$150,MATCH(1,(GMW!$NE$2:$NE$150=L$3)*(GMW!$ND$2:$ND$150=L$4)*(GMW!$NF$2:$NF$150=L$1),0),$C41-1966)</f>
        <v>274557.90000000002</v>
      </c>
      <c r="M41" s="4" cm="1">
        <f t="array" ref="M41">INDEX(GMW!$A$2:$NF$150,MATCH(1,(GMW!$NE$2:$NE$150=M$3)*(GMW!$ND$2:$ND$150=M$4)*(GMW!$NF$2:$NF$150=M$1),0),$C41-1966)</f>
        <v>24632.53</v>
      </c>
      <c r="N41" s="4" cm="1">
        <f t="array" ref="N41">INDEX(GMW!$A$2:$NF$150,MATCH(1,(GMW!$NE$2:$NE$150=N$3)*(GMW!$ND$2:$ND$150=N$4)*(GMW!$NF$2:$NF$150=N$1),0),$C41-1966)</f>
        <v>1E-3</v>
      </c>
      <c r="O41" s="4" cm="1">
        <f t="array" ref="O41">INDEX(GMW!$A$2:$NF$150,MATCH(1,(GMW!$NE$2:$NE$150=O$3)*(GMW!$ND$2:$ND$150=O$4)*(GMW!$NF$2:$NF$150=O$1),0),$C41-1966)</f>
        <v>309685.09999999998</v>
      </c>
      <c r="P41" s="4" cm="1">
        <f t="array" ref="P41">INDEX(GMW!$A$2:$NF$150,MATCH(1,(GMW!$NE$2:$NE$150=P$3)*(GMW!$ND$2:$ND$150=P$4)*(GMW!$NF$2:$NF$150=P$1),0),$C41-1966)</f>
        <v>36323.99</v>
      </c>
      <c r="Q41" s="4" cm="1">
        <f t="array" ref="Q41">INDEX(GMW!$A$2:$NF$150,MATCH(1,(GMW!$NE$2:$NE$150=Q$3)*(GMW!$ND$2:$ND$150=Q$4)*(GMW!$NF$2:$NF$150=Q$1),0),$C41-1966)</f>
        <v>1279310</v>
      </c>
      <c r="R41" s="4" cm="1">
        <f t="array" ref="R41">INDEX(GMW!$A$2:$NF$150,MATCH(1,(GMW!$NE$2:$NE$150=R$3)*(GMW!$ND$2:$ND$150=R$4)*(GMW!$NF$2:$NF$150=R$1),0),$C41-1966)</f>
        <v>-1.89741</v>
      </c>
      <c r="S41" s="4" cm="1">
        <f t="array" ref="S41">INDEX(GMW!$A$2:$NF$150,MATCH(1,(GMW!$NE$2:$NE$150=S$3)*(GMW!$ND$2:$ND$150=S$4)*(GMW!$NF$2:$NF$150=S$1),0),$C41-1966)</f>
        <v>264602</v>
      </c>
      <c r="T41" s="4" cm="1">
        <f t="array" ref="T41">INDEX(GMW!$A$2:$NF$150,MATCH(1,(GMW!$NE$2:$NE$150=T$3)*(GMW!$ND$2:$ND$150=T$4)*(GMW!$NF$2:$NF$150=T$1),0),$C41-1966)</f>
        <v>36.731310000000001</v>
      </c>
      <c r="U41" s="4" cm="1">
        <f t="array" ref="U41">INDEX(GMW!$A$2:$NF$150,MATCH(1,(GMW!$NE$2:$NE$150=U$3)*(GMW!$ND$2:$ND$150=U$4)*(GMW!$NF$2:$NF$150=U$1),0),$C41-1966)</f>
        <v>47827</v>
      </c>
      <c r="V41" s="4" cm="1">
        <f t="array" ref="V41">INDEX(GMW!$A$2:$NF$150,MATCH(1,(GMW!$NE$2:$NE$150=V$3)*(GMW!$ND$2:$ND$150=V$4)*(GMW!$NF$2:$NF$150=V$1),0),$C41-1966)</f>
        <v>13837.25</v>
      </c>
      <c r="W41" s="4" cm="1">
        <f t="array" ref="W41">INDEX(GMW!$A$2:$NF$150,MATCH(1,(GMW!$NE$2:$NE$150=W$3)*(GMW!$ND$2:$ND$150=W$4)*(GMW!$NF$2:$NF$150=W$1),0),$C41-1966)</f>
        <v>40446</v>
      </c>
      <c r="X41" s="4" cm="1">
        <f t="array" ref="X41">INDEX(GMW!$A$2:$NF$150,MATCH(1,(GMW!$NE$2:$NE$150=X$3)*(GMW!$ND$2:$ND$150=X$4)*(GMW!$NF$2:$NF$150=X$1),0),$C41-1966)</f>
        <v>14028.85</v>
      </c>
      <c r="Y41" s="4" cm="1">
        <f t="array" ref="Y41">INDEX(GMW!$A$2:$NF$150,MATCH(1,(GMW!$NE$2:$NE$150=Y$3)*(GMW!$ND$2:$ND$150=Y$4)*(GMW!$NF$2:$NF$150=Y$1),0),$C41-1966)</f>
        <v>44442</v>
      </c>
      <c r="Z41" s="4" cm="1">
        <f t="array" ref="Z41">INDEX(GMW!$A$2:$NF$150,MATCH(1,(GMW!$NE$2:$NE$150=Z$3)*(GMW!$ND$2:$ND$150=Z$4)*(GMW!$NF$2:$NF$150=Z$1),0),$C41-1966)</f>
        <v>16635.28</v>
      </c>
      <c r="AA41" s="4" cm="1">
        <f t="array" ref="AA41">INDEX(GMW!$A$2:$NF$150,MATCH(1,(GMW!$NE$2:$NE$150=AA$3)*(GMW!$ND$2:$ND$150=AA$4)*(GMW!$NF$2:$NF$150=AA$1),0),$C41-1966)</f>
        <v>274557.90000000002</v>
      </c>
      <c r="AB41" s="4" cm="1">
        <f t="array" ref="AB41">INDEX(GMW!$A$2:$NF$150,MATCH(1,(GMW!$NE$2:$NE$150=AB$3)*(GMW!$ND$2:$ND$150=AB$4)*(GMW!$NF$2:$NF$150=AB$1),0),$C41-1966)</f>
        <v>24632.53</v>
      </c>
      <c r="AC41" s="4" cm="1">
        <f t="array" ref="AC41">INDEX(GMW!$A$2:$NF$150,MATCH(1,(GMW!$NE$2:$NE$150=AC$3)*(GMW!$ND$2:$ND$150=AC$4)*(GMW!$NF$2:$NF$150=AC$1),0),$C41-1966)</f>
        <v>1E-3</v>
      </c>
      <c r="AD41" s="4" cm="1">
        <f t="array" ref="AD41">INDEX(GMW!$A$2:$NF$150,MATCH(1,(GMW!$NE$2:$NE$150=AD$3)*(GMW!$ND$2:$ND$150=AD$4)*(GMW!$NF$2:$NF$150=AD$1),0),$C41-1966)</f>
        <v>309685.09999999998</v>
      </c>
      <c r="AE41" s="4" cm="1">
        <f t="array" ref="AE41">INDEX(GMW!$A$2:$NF$150,MATCH(1,(GMW!$NE$2:$NE$150=AE$3)*(GMW!$ND$2:$ND$150=AE$4)*(GMW!$NF$2:$NF$150=AE$1),0),$C41-1966)</f>
        <v>36323.99</v>
      </c>
      <c r="AF41" s="4" cm="1">
        <f t="array" ref="AF41">INDEX(GMW!$A$2:$NF$150,MATCH(1,(GMW!$NE$2:$NE$150=AF$3)*(GMW!$ND$2:$ND$150=AF$4)*(GMW!$NF$2:$NF$150=AF$1),0),$C41-1966)</f>
        <v>1279310</v>
      </c>
      <c r="AG41" s="4" cm="1">
        <f t="array" ref="AG41">INDEX(GMW!$A$2:$NF$150,MATCH(1,(GMW!$NE$2:$NE$150=AG$3)*(GMW!$ND$2:$ND$150=AG$4)*(GMW!$NF$2:$NF$150=AG$1),0),$C41-1966)</f>
        <v>-1.89741</v>
      </c>
      <c r="AH41" s="4" cm="1">
        <f t="array" ref="AH41">INDEX(GMW!$A$2:$NF$150,MATCH(1,(GMW!$NE$2:$NE$150=AH$3)*(GMW!$ND$2:$ND$150=AH$4)*(GMW!$NF$2:$NF$150=AH$1),0),$C41-1966)</f>
        <v>264602</v>
      </c>
      <c r="AI41" s="4" cm="1">
        <f t="array" ref="AI41">INDEX(GMW!$A$2:$NF$150,MATCH(1,(GMW!$NE$2:$NE$150=AI$3)*(GMW!$ND$2:$ND$150=AI$4)*(GMW!$NF$2:$NF$150=AI$1),0),$C41-1966)</f>
        <v>36.731310000000001</v>
      </c>
      <c r="AJ41" s="4" cm="1">
        <f t="array" ref="AJ41">INDEX(GMW!$A$2:$NF$150,MATCH(1,(GMW!$NE$2:$NE$150=AJ$3)*(GMW!$ND$2:$ND$150=AJ$4)*(GMW!$NF$2:$NF$150=AJ$1),0),$C41-1966)</f>
        <v>47827</v>
      </c>
      <c r="AK41" s="4" cm="1">
        <f t="array" ref="AK41">INDEX(GMW!$A$2:$NF$150,MATCH(1,(GMW!$NE$2:$NE$150=AK$3)*(GMW!$ND$2:$ND$150=AK$4)*(GMW!$NF$2:$NF$150=AK$1),0),$C41-1966)</f>
        <v>13837.25</v>
      </c>
      <c r="AL41" s="4" cm="1">
        <f t="array" ref="AL41">INDEX(GMW!$A$2:$NF$150,MATCH(1,(GMW!$NE$2:$NE$150=AL$3)*(GMW!$ND$2:$ND$150=AL$4)*(GMW!$NF$2:$NF$150=AL$1),0),$C41-1966)</f>
        <v>40446</v>
      </c>
      <c r="AM41" s="4" cm="1">
        <f t="array" ref="AM41">INDEX(GMW!$A$2:$NF$150,MATCH(1,(GMW!$NE$2:$NE$150=AM$3)*(GMW!$ND$2:$ND$150=AM$4)*(GMW!$NF$2:$NF$150=AM$1),0),$C41-1966)</f>
        <v>14028.85</v>
      </c>
      <c r="AN41" s="4" cm="1">
        <f t="array" ref="AN41">INDEX(GMW!$A$2:$NF$150,MATCH(1,(GMW!$NE$2:$NE$150=AN$3)*(GMW!$ND$2:$ND$150=AN$4)*(GMW!$NF$2:$NF$150=AN$1),0),$C41-1966)</f>
        <v>44442</v>
      </c>
      <c r="AO41" s="4" cm="1">
        <f t="array" ref="AO41">INDEX(GMW!$A$2:$NF$150,MATCH(1,(GMW!$NE$2:$NE$150=AO$3)*(GMW!$ND$2:$ND$150=AO$4)*(GMW!$NF$2:$NF$150=AO$1),0),$C41-1966)</f>
        <v>16635.28</v>
      </c>
      <c r="AP41" s="4" cm="1">
        <f t="array" ref="AP41">INDEX(GMW!$A$2:$NF$150,MATCH(1,(GMW!$NE$2:$NE$150=AP$3)*(GMW!$ND$2:$ND$150=AP$4)*(GMW!$NF$2:$NF$150=AP$1),0),$C41-1966)</f>
        <v>274557.90000000002</v>
      </c>
      <c r="AQ41" s="4" cm="1">
        <f t="array" ref="AQ41">INDEX(GMW!$A$2:$NF$150,MATCH(1,(GMW!$NE$2:$NE$150=AQ$3)*(GMW!$ND$2:$ND$150=AQ$4)*(GMW!$NF$2:$NF$150=AQ$1),0),$C41-1966)</f>
        <v>24632.53</v>
      </c>
      <c r="AR41" s="4" cm="1">
        <f t="array" ref="AR41">INDEX(GMW!$A$2:$NF$150,MATCH(1,(GMW!$NE$2:$NE$150=AR$3)*(GMW!$ND$2:$ND$150=AR$4)*(GMW!$NF$2:$NF$150=AR$1),0),$C41-1966)</f>
        <v>1E-3</v>
      </c>
      <c r="AS41" s="4" cm="1">
        <f t="array" ref="AS41">INDEX(GMW!$A$2:$NF$150,MATCH(1,(GMW!$NE$2:$NE$150=AS$3)*(GMW!$ND$2:$ND$150=AS$4)*(GMW!$NF$2:$NF$150=AS$1),0),$C41-1966)</f>
        <v>309685.09999999998</v>
      </c>
      <c r="AT41" s="4" cm="1">
        <f t="array" ref="AT41">INDEX(GMW!$A$2:$NF$150,MATCH(1,(GMW!$NE$2:$NE$150=AT$3)*(GMW!$ND$2:$ND$150=AT$4)*(GMW!$NF$2:$NF$150=AT$1),0),$C41-1966)</f>
        <v>36323.99</v>
      </c>
      <c r="AU41" s="4" cm="1">
        <f t="array" ref="AU41">INDEX(GMW!$A$2:$NF$150,MATCH(1,(GMW!$NE$2:$NE$150=AU$3)*(GMW!$ND$2:$ND$150=AU$4)*(GMW!$NF$2:$NF$150=AU$1),0),$C41-1966)</f>
        <v>1279310</v>
      </c>
      <c r="AV41" s="4" cm="1">
        <f t="array" ref="AV41">INDEX(GMW!$A$2:$NF$150,MATCH(1,(GMW!$NE$2:$NE$150=AV$3)*(GMW!$ND$2:$ND$150=AV$4)*(GMW!$NF$2:$NF$150=AV$1),0),$C41-1966)</f>
        <v>-1.89741</v>
      </c>
    </row>
    <row r="42" spans="1:48" x14ac:dyDescent="0.25">
      <c r="B42" s="4">
        <f t="shared" si="4"/>
        <v>1981</v>
      </c>
      <c r="C42" s="4">
        <f t="shared" si="3"/>
        <v>2008</v>
      </c>
      <c r="D42" s="4" cm="1">
        <f t="array" ref="D42">INDEX(GMW!$A$2:$NF$150,MATCH(1,(GMW!$NE$2:$NE$150=D$3)*(GMW!$ND$2:$ND$150=D$4)*(GMW!$NF$2:$NF$150=D$1),0),$C42-1966)</f>
        <v>264902</v>
      </c>
      <c r="E42" s="4" cm="1">
        <f t="array" ref="E42">INDEX(GMW!$A$2:$NF$150,MATCH(1,(GMW!$NE$2:$NE$150=E$3)*(GMW!$ND$2:$ND$150=E$4)*(GMW!$NF$2:$NF$150=E$1),0),$C42-1966)</f>
        <v>37.435180000000003</v>
      </c>
      <c r="F42" s="4" cm="1">
        <f t="array" ref="F42">INDEX(GMW!$A$2:$NF$150,MATCH(1,(GMW!$NE$2:$NE$150=F$3)*(GMW!$ND$2:$ND$150=F$4)*(GMW!$NF$2:$NF$150=F$1),0),$C42-1966)</f>
        <v>47597</v>
      </c>
      <c r="G42" s="4" cm="1">
        <f t="array" ref="G42">INDEX(GMW!$A$2:$NF$150,MATCH(1,(GMW!$NE$2:$NE$150=G$3)*(GMW!$ND$2:$ND$150=G$4)*(GMW!$NF$2:$NF$150=G$1),0),$C42-1966)</f>
        <v>14265.79</v>
      </c>
      <c r="H42" s="4" cm="1">
        <f t="array" ref="H42">INDEX(GMW!$A$2:$NF$150,MATCH(1,(GMW!$NE$2:$NE$150=H$3)*(GMW!$ND$2:$ND$150=H$4)*(GMW!$NF$2:$NF$150=H$1),0),$C42-1966)</f>
        <v>39200</v>
      </c>
      <c r="I42" s="4" cm="1">
        <f t="array" ref="I42">INDEX(GMW!$A$2:$NF$150,MATCH(1,(GMW!$NE$2:$NE$150=I$3)*(GMW!$ND$2:$ND$150=I$4)*(GMW!$NF$2:$NF$150=I$1),0),$C42-1966)</f>
        <v>13017.85</v>
      </c>
      <c r="J42" s="4" cm="1">
        <f t="array" ref="J42">INDEX(GMW!$A$2:$NF$150,MATCH(1,(GMW!$NE$2:$NE$150=J$3)*(GMW!$ND$2:$ND$150=J$4)*(GMW!$NF$2:$NF$150=J$1),0),$C42-1966)</f>
        <v>43901</v>
      </c>
      <c r="K42" s="4" cm="1">
        <f t="array" ref="K42">INDEX(GMW!$A$2:$NF$150,MATCH(1,(GMW!$NE$2:$NE$150=K$3)*(GMW!$ND$2:$ND$150=K$4)*(GMW!$NF$2:$NF$150=K$1),0),$C42-1966)</f>
        <v>16595.060000000001</v>
      </c>
      <c r="L42" s="4" cm="1">
        <f t="array" ref="L42">INDEX(GMW!$A$2:$NF$150,MATCH(1,(GMW!$NE$2:$NE$150=L$3)*(GMW!$ND$2:$ND$150=L$4)*(GMW!$NF$2:$NF$150=L$1),0),$C42-1966)</f>
        <v>274762</v>
      </c>
      <c r="M42" s="4" cm="1">
        <f t="array" ref="M42">INDEX(GMW!$A$2:$NF$150,MATCH(1,(GMW!$NE$2:$NE$150=M$3)*(GMW!$ND$2:$ND$150=M$4)*(GMW!$NF$2:$NF$150=M$1),0),$C42-1966)</f>
        <v>24515.73</v>
      </c>
      <c r="N42" s="4" cm="1">
        <f t="array" ref="N42">INDEX(GMW!$A$2:$NF$150,MATCH(1,(GMW!$NE$2:$NE$150=N$3)*(GMW!$ND$2:$ND$150=N$4)*(GMW!$NF$2:$NF$150=N$1),0),$C42-1966)</f>
        <v>1E-3</v>
      </c>
      <c r="O42" s="4" cm="1">
        <f t="array" ref="O42">INDEX(GMW!$A$2:$NF$150,MATCH(1,(GMW!$NE$2:$NE$150=O$3)*(GMW!$ND$2:$ND$150=O$4)*(GMW!$NF$2:$NF$150=O$1),0),$C42-1966)</f>
        <v>310237.59999999998</v>
      </c>
      <c r="P42" s="4" cm="1">
        <f t="array" ref="P42">INDEX(GMW!$A$2:$NF$150,MATCH(1,(GMW!$NE$2:$NE$150=P$3)*(GMW!$ND$2:$ND$150=P$4)*(GMW!$NF$2:$NF$150=P$1),0),$C42-1966)</f>
        <v>36369.29</v>
      </c>
      <c r="Q42" s="4" cm="1">
        <f t="array" ref="Q42">INDEX(GMW!$A$2:$NF$150,MATCH(1,(GMW!$NE$2:$NE$150=Q$3)*(GMW!$ND$2:$ND$150=Q$4)*(GMW!$NF$2:$NF$150=Q$1),0),$C42-1966)</f>
        <v>1281494</v>
      </c>
      <c r="R42" s="4" cm="1">
        <f t="array" ref="R42">INDEX(GMW!$A$2:$NF$150,MATCH(1,(GMW!$NE$2:$NE$150=R$3)*(GMW!$ND$2:$ND$150=R$4)*(GMW!$NF$2:$NF$150=R$1),0),$C42-1966)</f>
        <v>-1.8943369999999999</v>
      </c>
      <c r="S42" s="4" cm="1">
        <f t="array" ref="S42">INDEX(GMW!$A$2:$NF$150,MATCH(1,(GMW!$NE$2:$NE$150=S$3)*(GMW!$ND$2:$ND$150=S$4)*(GMW!$NF$2:$NF$150=S$1),0),$C42-1966)</f>
        <v>264902</v>
      </c>
      <c r="T42" s="4" cm="1">
        <f t="array" ref="T42">INDEX(GMW!$A$2:$NF$150,MATCH(1,(GMW!$NE$2:$NE$150=T$3)*(GMW!$ND$2:$ND$150=T$4)*(GMW!$NF$2:$NF$150=T$1),0),$C42-1966)</f>
        <v>37.435180000000003</v>
      </c>
      <c r="U42" s="4" cm="1">
        <f t="array" ref="U42">INDEX(GMW!$A$2:$NF$150,MATCH(1,(GMW!$NE$2:$NE$150=U$3)*(GMW!$ND$2:$ND$150=U$4)*(GMW!$NF$2:$NF$150=U$1),0),$C42-1966)</f>
        <v>47597</v>
      </c>
      <c r="V42" s="4" cm="1">
        <f t="array" ref="V42">INDEX(GMW!$A$2:$NF$150,MATCH(1,(GMW!$NE$2:$NE$150=V$3)*(GMW!$ND$2:$ND$150=V$4)*(GMW!$NF$2:$NF$150=V$1),0),$C42-1966)</f>
        <v>14265.79</v>
      </c>
      <c r="W42" s="4" cm="1">
        <f t="array" ref="W42">INDEX(GMW!$A$2:$NF$150,MATCH(1,(GMW!$NE$2:$NE$150=W$3)*(GMW!$ND$2:$ND$150=W$4)*(GMW!$NF$2:$NF$150=W$1),0),$C42-1966)</f>
        <v>39200</v>
      </c>
      <c r="X42" s="4" cm="1">
        <f t="array" ref="X42">INDEX(GMW!$A$2:$NF$150,MATCH(1,(GMW!$NE$2:$NE$150=X$3)*(GMW!$ND$2:$ND$150=X$4)*(GMW!$NF$2:$NF$150=X$1),0),$C42-1966)</f>
        <v>13017.85</v>
      </c>
      <c r="Y42" s="4" cm="1">
        <f t="array" ref="Y42">INDEX(GMW!$A$2:$NF$150,MATCH(1,(GMW!$NE$2:$NE$150=Y$3)*(GMW!$ND$2:$ND$150=Y$4)*(GMW!$NF$2:$NF$150=Y$1),0),$C42-1966)</f>
        <v>43901</v>
      </c>
      <c r="Z42" s="4" cm="1">
        <f t="array" ref="Z42">INDEX(GMW!$A$2:$NF$150,MATCH(1,(GMW!$NE$2:$NE$150=Z$3)*(GMW!$ND$2:$ND$150=Z$4)*(GMW!$NF$2:$NF$150=Z$1),0),$C42-1966)</f>
        <v>16595.060000000001</v>
      </c>
      <c r="AA42" s="4" cm="1">
        <f t="array" ref="AA42">INDEX(GMW!$A$2:$NF$150,MATCH(1,(GMW!$NE$2:$NE$150=AA$3)*(GMW!$ND$2:$ND$150=AA$4)*(GMW!$NF$2:$NF$150=AA$1),0),$C42-1966)</f>
        <v>274762</v>
      </c>
      <c r="AB42" s="4" cm="1">
        <f t="array" ref="AB42">INDEX(GMW!$A$2:$NF$150,MATCH(1,(GMW!$NE$2:$NE$150=AB$3)*(GMW!$ND$2:$ND$150=AB$4)*(GMW!$NF$2:$NF$150=AB$1),0),$C42-1966)</f>
        <v>24515.73</v>
      </c>
      <c r="AC42" s="4" cm="1">
        <f t="array" ref="AC42">INDEX(GMW!$A$2:$NF$150,MATCH(1,(GMW!$NE$2:$NE$150=AC$3)*(GMW!$ND$2:$ND$150=AC$4)*(GMW!$NF$2:$NF$150=AC$1),0),$C42-1966)</f>
        <v>1E-3</v>
      </c>
      <c r="AD42" s="4" cm="1">
        <f t="array" ref="AD42">INDEX(GMW!$A$2:$NF$150,MATCH(1,(GMW!$NE$2:$NE$150=AD$3)*(GMW!$ND$2:$ND$150=AD$4)*(GMW!$NF$2:$NF$150=AD$1),0),$C42-1966)</f>
        <v>310237.59999999998</v>
      </c>
      <c r="AE42" s="4" cm="1">
        <f t="array" ref="AE42">INDEX(GMW!$A$2:$NF$150,MATCH(1,(GMW!$NE$2:$NE$150=AE$3)*(GMW!$ND$2:$ND$150=AE$4)*(GMW!$NF$2:$NF$150=AE$1),0),$C42-1966)</f>
        <v>36369.29</v>
      </c>
      <c r="AF42" s="4" cm="1">
        <f t="array" ref="AF42">INDEX(GMW!$A$2:$NF$150,MATCH(1,(GMW!$NE$2:$NE$150=AF$3)*(GMW!$ND$2:$ND$150=AF$4)*(GMW!$NF$2:$NF$150=AF$1),0),$C42-1966)</f>
        <v>1281494</v>
      </c>
      <c r="AG42" s="4" cm="1">
        <f t="array" ref="AG42">INDEX(GMW!$A$2:$NF$150,MATCH(1,(GMW!$NE$2:$NE$150=AG$3)*(GMW!$ND$2:$ND$150=AG$4)*(GMW!$NF$2:$NF$150=AG$1),0),$C42-1966)</f>
        <v>-1.8943369999999999</v>
      </c>
      <c r="AH42" s="4" cm="1">
        <f t="array" ref="AH42">INDEX(GMW!$A$2:$NF$150,MATCH(1,(GMW!$NE$2:$NE$150=AH$3)*(GMW!$ND$2:$ND$150=AH$4)*(GMW!$NF$2:$NF$150=AH$1),0),$C42-1966)</f>
        <v>264902</v>
      </c>
      <c r="AI42" s="4" cm="1">
        <f t="array" ref="AI42">INDEX(GMW!$A$2:$NF$150,MATCH(1,(GMW!$NE$2:$NE$150=AI$3)*(GMW!$ND$2:$ND$150=AI$4)*(GMW!$NF$2:$NF$150=AI$1),0),$C42-1966)</f>
        <v>37.435180000000003</v>
      </c>
      <c r="AJ42" s="4" cm="1">
        <f t="array" ref="AJ42">INDEX(GMW!$A$2:$NF$150,MATCH(1,(GMW!$NE$2:$NE$150=AJ$3)*(GMW!$ND$2:$ND$150=AJ$4)*(GMW!$NF$2:$NF$150=AJ$1),0),$C42-1966)</f>
        <v>47597</v>
      </c>
      <c r="AK42" s="4" cm="1">
        <f t="array" ref="AK42">INDEX(GMW!$A$2:$NF$150,MATCH(1,(GMW!$NE$2:$NE$150=AK$3)*(GMW!$ND$2:$ND$150=AK$4)*(GMW!$NF$2:$NF$150=AK$1),0),$C42-1966)</f>
        <v>14265.79</v>
      </c>
      <c r="AL42" s="4" cm="1">
        <f t="array" ref="AL42">INDEX(GMW!$A$2:$NF$150,MATCH(1,(GMW!$NE$2:$NE$150=AL$3)*(GMW!$ND$2:$ND$150=AL$4)*(GMW!$NF$2:$NF$150=AL$1),0),$C42-1966)</f>
        <v>39200</v>
      </c>
      <c r="AM42" s="4" cm="1">
        <f t="array" ref="AM42">INDEX(GMW!$A$2:$NF$150,MATCH(1,(GMW!$NE$2:$NE$150=AM$3)*(GMW!$ND$2:$ND$150=AM$4)*(GMW!$NF$2:$NF$150=AM$1),0),$C42-1966)</f>
        <v>13017.85</v>
      </c>
      <c r="AN42" s="4" cm="1">
        <f t="array" ref="AN42">INDEX(GMW!$A$2:$NF$150,MATCH(1,(GMW!$NE$2:$NE$150=AN$3)*(GMW!$ND$2:$ND$150=AN$4)*(GMW!$NF$2:$NF$150=AN$1),0),$C42-1966)</f>
        <v>43901</v>
      </c>
      <c r="AO42" s="4" cm="1">
        <f t="array" ref="AO42">INDEX(GMW!$A$2:$NF$150,MATCH(1,(GMW!$NE$2:$NE$150=AO$3)*(GMW!$ND$2:$ND$150=AO$4)*(GMW!$NF$2:$NF$150=AO$1),0),$C42-1966)</f>
        <v>16595.060000000001</v>
      </c>
      <c r="AP42" s="4" cm="1">
        <f t="array" ref="AP42">INDEX(GMW!$A$2:$NF$150,MATCH(1,(GMW!$NE$2:$NE$150=AP$3)*(GMW!$ND$2:$ND$150=AP$4)*(GMW!$NF$2:$NF$150=AP$1),0),$C42-1966)</f>
        <v>274762</v>
      </c>
      <c r="AQ42" s="4" cm="1">
        <f t="array" ref="AQ42">INDEX(GMW!$A$2:$NF$150,MATCH(1,(GMW!$NE$2:$NE$150=AQ$3)*(GMW!$ND$2:$ND$150=AQ$4)*(GMW!$NF$2:$NF$150=AQ$1),0),$C42-1966)</f>
        <v>24515.73</v>
      </c>
      <c r="AR42" s="4" cm="1">
        <f t="array" ref="AR42">INDEX(GMW!$A$2:$NF$150,MATCH(1,(GMW!$NE$2:$NE$150=AR$3)*(GMW!$ND$2:$ND$150=AR$4)*(GMW!$NF$2:$NF$150=AR$1),0),$C42-1966)</f>
        <v>1E-3</v>
      </c>
      <c r="AS42" s="4" cm="1">
        <f t="array" ref="AS42">INDEX(GMW!$A$2:$NF$150,MATCH(1,(GMW!$NE$2:$NE$150=AS$3)*(GMW!$ND$2:$ND$150=AS$4)*(GMW!$NF$2:$NF$150=AS$1),0),$C42-1966)</f>
        <v>310237.59999999998</v>
      </c>
      <c r="AT42" s="4" cm="1">
        <f t="array" ref="AT42">INDEX(GMW!$A$2:$NF$150,MATCH(1,(GMW!$NE$2:$NE$150=AT$3)*(GMW!$ND$2:$ND$150=AT$4)*(GMW!$NF$2:$NF$150=AT$1),0),$C42-1966)</f>
        <v>36369.29</v>
      </c>
      <c r="AU42" s="4" cm="1">
        <f t="array" ref="AU42">INDEX(GMW!$A$2:$NF$150,MATCH(1,(GMW!$NE$2:$NE$150=AU$3)*(GMW!$ND$2:$ND$150=AU$4)*(GMW!$NF$2:$NF$150=AU$1),0),$C42-1966)</f>
        <v>1281494</v>
      </c>
      <c r="AV42" s="4" cm="1">
        <f t="array" ref="AV42">INDEX(GMW!$A$2:$NF$150,MATCH(1,(GMW!$NE$2:$NE$150=AV$3)*(GMW!$ND$2:$ND$150=AV$4)*(GMW!$NF$2:$NF$150=AV$1),0),$C42-1966)</f>
        <v>-1.8943369999999999</v>
      </c>
    </row>
    <row r="43" spans="1:48" x14ac:dyDescent="0.25">
      <c r="A43" s="4">
        <v>1982</v>
      </c>
      <c r="B43" s="4">
        <f t="shared" si="4"/>
        <v>1982</v>
      </c>
      <c r="C43" s="4">
        <f t="shared" si="3"/>
        <v>2009</v>
      </c>
      <c r="D43" s="4" cm="1">
        <f t="array" ref="D43">INDEX(GMW!$A$2:$NF$150,MATCH(1,(GMW!$NE$2:$NE$150=D$3)*(GMW!$ND$2:$ND$150=D$4)*(GMW!$NF$2:$NF$150=D$1),0),$C43-1966)</f>
        <v>265408</v>
      </c>
      <c r="E43" s="4" cm="1">
        <f t="array" ref="E43">INDEX(GMW!$A$2:$NF$150,MATCH(1,(GMW!$NE$2:$NE$150=E$3)*(GMW!$ND$2:$ND$150=E$4)*(GMW!$NF$2:$NF$150=E$1),0),$C43-1966)</f>
        <v>37.878349999999998</v>
      </c>
      <c r="F43" s="4" cm="1">
        <f t="array" ref="F43">INDEX(GMW!$A$2:$NF$150,MATCH(1,(GMW!$NE$2:$NE$150=F$3)*(GMW!$ND$2:$ND$150=F$4)*(GMW!$NF$2:$NF$150=F$1),0),$C43-1966)</f>
        <v>46524</v>
      </c>
      <c r="G43" s="4" cm="1">
        <f t="array" ref="G43">INDEX(GMW!$A$2:$NF$150,MATCH(1,(GMW!$NE$2:$NE$150=G$3)*(GMW!$ND$2:$ND$150=G$4)*(GMW!$NF$2:$NF$150=G$1),0),$C43-1966)</f>
        <v>14239.55</v>
      </c>
      <c r="H43" s="4" cm="1">
        <f t="array" ref="H43">INDEX(GMW!$A$2:$NF$150,MATCH(1,(GMW!$NE$2:$NE$150=H$3)*(GMW!$ND$2:$ND$150=H$4)*(GMW!$NF$2:$NF$150=H$1),0),$C43-1966)</f>
        <v>38853</v>
      </c>
      <c r="I43" s="4" cm="1">
        <f t="array" ref="I43">INDEX(GMW!$A$2:$NF$150,MATCH(1,(GMW!$NE$2:$NE$150=I$3)*(GMW!$ND$2:$ND$150=I$4)*(GMW!$NF$2:$NF$150=I$1),0),$C43-1966)</f>
        <v>13541.75</v>
      </c>
      <c r="J43" s="4" cm="1">
        <f t="array" ref="J43">INDEX(GMW!$A$2:$NF$150,MATCH(1,(GMW!$NE$2:$NE$150=J$3)*(GMW!$ND$2:$ND$150=J$4)*(GMW!$NF$2:$NF$150=J$1),0),$C43-1966)</f>
        <v>43821</v>
      </c>
      <c r="K43" s="4" cm="1">
        <f t="array" ref="K43">INDEX(GMW!$A$2:$NF$150,MATCH(1,(GMW!$NE$2:$NE$150=K$3)*(GMW!$ND$2:$ND$150=K$4)*(GMW!$NF$2:$NF$150=K$1),0),$C43-1966)</f>
        <v>16825.14</v>
      </c>
      <c r="L43" s="4" cm="1">
        <f t="array" ref="L43">INDEX(GMW!$A$2:$NF$150,MATCH(1,(GMW!$NE$2:$NE$150=L$3)*(GMW!$ND$2:$ND$150=L$4)*(GMW!$NF$2:$NF$150=L$1),0),$C43-1966)</f>
        <v>275104</v>
      </c>
      <c r="M43" s="4" cm="1">
        <f t="array" ref="M43">INDEX(GMW!$A$2:$NF$150,MATCH(1,(GMW!$NE$2:$NE$150=M$3)*(GMW!$ND$2:$ND$150=M$4)*(GMW!$NF$2:$NF$150=M$1),0),$C43-1966)</f>
        <v>24419.16</v>
      </c>
      <c r="N43" s="4" cm="1">
        <f t="array" ref="N43">INDEX(GMW!$A$2:$NF$150,MATCH(1,(GMW!$NE$2:$NE$150=N$3)*(GMW!$ND$2:$ND$150=N$4)*(GMW!$NF$2:$NF$150=N$1),0),$C43-1966)</f>
        <v>1E-3</v>
      </c>
      <c r="O43" s="4" cm="1">
        <f t="array" ref="O43">INDEX(GMW!$A$2:$NF$150,MATCH(1,(GMW!$NE$2:$NE$150=O$3)*(GMW!$ND$2:$ND$150=O$4)*(GMW!$NF$2:$NF$150=O$1),0),$C43-1966)</f>
        <v>310773</v>
      </c>
      <c r="P43" s="4" cm="1">
        <f t="array" ref="P43">INDEX(GMW!$A$2:$NF$150,MATCH(1,(GMW!$NE$2:$NE$150=P$3)*(GMW!$ND$2:$ND$150=P$4)*(GMW!$NF$2:$NF$150=P$1),0),$C43-1966)</f>
        <v>36414.58</v>
      </c>
      <c r="Q43" s="4" cm="1">
        <f t="array" ref="Q43">INDEX(GMW!$A$2:$NF$150,MATCH(1,(GMW!$NE$2:$NE$150=Q$3)*(GMW!$ND$2:$ND$150=Q$4)*(GMW!$NF$2:$NF$150=Q$1),0),$C43-1966)</f>
        <v>1284379</v>
      </c>
      <c r="R43" s="4" cm="1">
        <f t="array" ref="R43">INDEX(GMW!$A$2:$NF$150,MATCH(1,(GMW!$NE$2:$NE$150=R$3)*(GMW!$ND$2:$ND$150=R$4)*(GMW!$NF$2:$NF$150=R$1),0),$C43-1966)</f>
        <v>-1.8912679999999999</v>
      </c>
      <c r="S43" s="4" cm="1">
        <f t="array" ref="S43">INDEX(GMW!$A$2:$NF$150,MATCH(1,(GMW!$NE$2:$NE$150=S$3)*(GMW!$ND$2:$ND$150=S$4)*(GMW!$NF$2:$NF$150=S$1),0),$C43-1966)</f>
        <v>265408</v>
      </c>
      <c r="T43" s="4" cm="1">
        <f t="array" ref="T43">INDEX(GMW!$A$2:$NF$150,MATCH(1,(GMW!$NE$2:$NE$150=T$3)*(GMW!$ND$2:$ND$150=T$4)*(GMW!$NF$2:$NF$150=T$1),0),$C43-1966)</f>
        <v>37.878349999999998</v>
      </c>
      <c r="U43" s="4" cm="1">
        <f t="array" ref="U43">INDEX(GMW!$A$2:$NF$150,MATCH(1,(GMW!$NE$2:$NE$150=U$3)*(GMW!$ND$2:$ND$150=U$4)*(GMW!$NF$2:$NF$150=U$1),0),$C43-1966)</f>
        <v>46524</v>
      </c>
      <c r="V43" s="4" cm="1">
        <f t="array" ref="V43">INDEX(GMW!$A$2:$NF$150,MATCH(1,(GMW!$NE$2:$NE$150=V$3)*(GMW!$ND$2:$ND$150=V$4)*(GMW!$NF$2:$NF$150=V$1),0),$C43-1966)</f>
        <v>14239.55</v>
      </c>
      <c r="W43" s="4" cm="1">
        <f t="array" ref="W43">INDEX(GMW!$A$2:$NF$150,MATCH(1,(GMW!$NE$2:$NE$150=W$3)*(GMW!$ND$2:$ND$150=W$4)*(GMW!$NF$2:$NF$150=W$1),0),$C43-1966)</f>
        <v>38853</v>
      </c>
      <c r="X43" s="4" cm="1">
        <f t="array" ref="X43">INDEX(GMW!$A$2:$NF$150,MATCH(1,(GMW!$NE$2:$NE$150=X$3)*(GMW!$ND$2:$ND$150=X$4)*(GMW!$NF$2:$NF$150=X$1),0),$C43-1966)</f>
        <v>13541.75</v>
      </c>
      <c r="Y43" s="4" cm="1">
        <f t="array" ref="Y43">INDEX(GMW!$A$2:$NF$150,MATCH(1,(GMW!$NE$2:$NE$150=Y$3)*(GMW!$ND$2:$ND$150=Y$4)*(GMW!$NF$2:$NF$150=Y$1),0),$C43-1966)</f>
        <v>43821</v>
      </c>
      <c r="Z43" s="4" cm="1">
        <f t="array" ref="Z43">INDEX(GMW!$A$2:$NF$150,MATCH(1,(GMW!$NE$2:$NE$150=Z$3)*(GMW!$ND$2:$ND$150=Z$4)*(GMW!$NF$2:$NF$150=Z$1),0),$C43-1966)</f>
        <v>16825.14</v>
      </c>
      <c r="AA43" s="4" cm="1">
        <f t="array" ref="AA43">INDEX(GMW!$A$2:$NF$150,MATCH(1,(GMW!$NE$2:$NE$150=AA$3)*(GMW!$ND$2:$ND$150=AA$4)*(GMW!$NF$2:$NF$150=AA$1),0),$C43-1966)</f>
        <v>275104</v>
      </c>
      <c r="AB43" s="4" cm="1">
        <f t="array" ref="AB43">INDEX(GMW!$A$2:$NF$150,MATCH(1,(GMW!$NE$2:$NE$150=AB$3)*(GMW!$ND$2:$ND$150=AB$4)*(GMW!$NF$2:$NF$150=AB$1),0),$C43-1966)</f>
        <v>24419.16</v>
      </c>
      <c r="AC43" s="4" cm="1">
        <f t="array" ref="AC43">INDEX(GMW!$A$2:$NF$150,MATCH(1,(GMW!$NE$2:$NE$150=AC$3)*(GMW!$ND$2:$ND$150=AC$4)*(GMW!$NF$2:$NF$150=AC$1),0),$C43-1966)</f>
        <v>1E-3</v>
      </c>
      <c r="AD43" s="4" cm="1">
        <f t="array" ref="AD43">INDEX(GMW!$A$2:$NF$150,MATCH(1,(GMW!$NE$2:$NE$150=AD$3)*(GMW!$ND$2:$ND$150=AD$4)*(GMW!$NF$2:$NF$150=AD$1),0),$C43-1966)</f>
        <v>310773</v>
      </c>
      <c r="AE43" s="4" cm="1">
        <f t="array" ref="AE43">INDEX(GMW!$A$2:$NF$150,MATCH(1,(GMW!$NE$2:$NE$150=AE$3)*(GMW!$ND$2:$ND$150=AE$4)*(GMW!$NF$2:$NF$150=AE$1),0),$C43-1966)</f>
        <v>36414.58</v>
      </c>
      <c r="AF43" s="4" cm="1">
        <f t="array" ref="AF43">INDEX(GMW!$A$2:$NF$150,MATCH(1,(GMW!$NE$2:$NE$150=AF$3)*(GMW!$ND$2:$ND$150=AF$4)*(GMW!$NF$2:$NF$150=AF$1),0),$C43-1966)</f>
        <v>1284379</v>
      </c>
      <c r="AG43" s="4" cm="1">
        <f t="array" ref="AG43">INDEX(GMW!$A$2:$NF$150,MATCH(1,(GMW!$NE$2:$NE$150=AG$3)*(GMW!$ND$2:$ND$150=AG$4)*(GMW!$NF$2:$NF$150=AG$1),0),$C43-1966)</f>
        <v>-1.8912679999999999</v>
      </c>
      <c r="AH43" s="4" cm="1">
        <f t="array" ref="AH43">INDEX(GMW!$A$2:$NF$150,MATCH(1,(GMW!$NE$2:$NE$150=AH$3)*(GMW!$ND$2:$ND$150=AH$4)*(GMW!$NF$2:$NF$150=AH$1),0),$C43-1966)</f>
        <v>265408</v>
      </c>
      <c r="AI43" s="4" cm="1">
        <f t="array" ref="AI43">INDEX(GMW!$A$2:$NF$150,MATCH(1,(GMW!$NE$2:$NE$150=AI$3)*(GMW!$ND$2:$ND$150=AI$4)*(GMW!$NF$2:$NF$150=AI$1),0),$C43-1966)</f>
        <v>37.878349999999998</v>
      </c>
      <c r="AJ43" s="4" cm="1">
        <f t="array" ref="AJ43">INDEX(GMW!$A$2:$NF$150,MATCH(1,(GMW!$NE$2:$NE$150=AJ$3)*(GMW!$ND$2:$ND$150=AJ$4)*(GMW!$NF$2:$NF$150=AJ$1),0),$C43-1966)</f>
        <v>46524</v>
      </c>
      <c r="AK43" s="4" cm="1">
        <f t="array" ref="AK43">INDEX(GMW!$A$2:$NF$150,MATCH(1,(GMW!$NE$2:$NE$150=AK$3)*(GMW!$ND$2:$ND$150=AK$4)*(GMW!$NF$2:$NF$150=AK$1),0),$C43-1966)</f>
        <v>14239.55</v>
      </c>
      <c r="AL43" s="4" cm="1">
        <f t="array" ref="AL43">INDEX(GMW!$A$2:$NF$150,MATCH(1,(GMW!$NE$2:$NE$150=AL$3)*(GMW!$ND$2:$ND$150=AL$4)*(GMW!$NF$2:$NF$150=AL$1),0),$C43-1966)</f>
        <v>38853</v>
      </c>
      <c r="AM43" s="4" cm="1">
        <f t="array" ref="AM43">INDEX(GMW!$A$2:$NF$150,MATCH(1,(GMW!$NE$2:$NE$150=AM$3)*(GMW!$ND$2:$ND$150=AM$4)*(GMW!$NF$2:$NF$150=AM$1),0),$C43-1966)</f>
        <v>13541.75</v>
      </c>
      <c r="AN43" s="4" cm="1">
        <f t="array" ref="AN43">INDEX(GMW!$A$2:$NF$150,MATCH(1,(GMW!$NE$2:$NE$150=AN$3)*(GMW!$ND$2:$ND$150=AN$4)*(GMW!$NF$2:$NF$150=AN$1),0),$C43-1966)</f>
        <v>43821</v>
      </c>
      <c r="AO43" s="4" cm="1">
        <f t="array" ref="AO43">INDEX(GMW!$A$2:$NF$150,MATCH(1,(GMW!$NE$2:$NE$150=AO$3)*(GMW!$ND$2:$ND$150=AO$4)*(GMW!$NF$2:$NF$150=AO$1),0),$C43-1966)</f>
        <v>16825.14</v>
      </c>
      <c r="AP43" s="4" cm="1">
        <f t="array" ref="AP43">INDEX(GMW!$A$2:$NF$150,MATCH(1,(GMW!$NE$2:$NE$150=AP$3)*(GMW!$ND$2:$ND$150=AP$4)*(GMW!$NF$2:$NF$150=AP$1),0),$C43-1966)</f>
        <v>275104</v>
      </c>
      <c r="AQ43" s="4" cm="1">
        <f t="array" ref="AQ43">INDEX(GMW!$A$2:$NF$150,MATCH(1,(GMW!$NE$2:$NE$150=AQ$3)*(GMW!$ND$2:$ND$150=AQ$4)*(GMW!$NF$2:$NF$150=AQ$1),0),$C43-1966)</f>
        <v>24419.16</v>
      </c>
      <c r="AR43" s="4" cm="1">
        <f t="array" ref="AR43">INDEX(GMW!$A$2:$NF$150,MATCH(1,(GMW!$NE$2:$NE$150=AR$3)*(GMW!$ND$2:$ND$150=AR$4)*(GMW!$NF$2:$NF$150=AR$1),0),$C43-1966)</f>
        <v>1E-3</v>
      </c>
      <c r="AS43" s="4" cm="1">
        <f t="array" ref="AS43">INDEX(GMW!$A$2:$NF$150,MATCH(1,(GMW!$NE$2:$NE$150=AS$3)*(GMW!$ND$2:$ND$150=AS$4)*(GMW!$NF$2:$NF$150=AS$1),0),$C43-1966)</f>
        <v>310773</v>
      </c>
      <c r="AT43" s="4" cm="1">
        <f t="array" ref="AT43">INDEX(GMW!$A$2:$NF$150,MATCH(1,(GMW!$NE$2:$NE$150=AT$3)*(GMW!$ND$2:$ND$150=AT$4)*(GMW!$NF$2:$NF$150=AT$1),0),$C43-1966)</f>
        <v>36414.58</v>
      </c>
      <c r="AU43" s="4" cm="1">
        <f t="array" ref="AU43">INDEX(GMW!$A$2:$NF$150,MATCH(1,(GMW!$NE$2:$NE$150=AU$3)*(GMW!$ND$2:$ND$150=AU$4)*(GMW!$NF$2:$NF$150=AU$1),0),$C43-1966)</f>
        <v>1284379</v>
      </c>
      <c r="AV43" s="4" cm="1">
        <f t="array" ref="AV43">INDEX(GMW!$A$2:$NF$150,MATCH(1,(GMW!$NE$2:$NE$150=AV$3)*(GMW!$ND$2:$ND$150=AV$4)*(GMW!$NF$2:$NF$150=AV$1),0),$C43-1966)</f>
        <v>-1.8912679999999999</v>
      </c>
    </row>
    <row r="44" spans="1:48" x14ac:dyDescent="0.25">
      <c r="B44" s="4">
        <f t="shared" si="4"/>
        <v>1982</v>
      </c>
      <c r="C44" s="4">
        <f t="shared" si="3"/>
        <v>2010</v>
      </c>
      <c r="D44" s="4" cm="1">
        <f t="array" ref="D44">INDEX(GMW!$A$2:$NF$150,MATCH(1,(GMW!$NE$2:$NE$150=D$3)*(GMW!$ND$2:$ND$150=D$4)*(GMW!$NF$2:$NF$150=D$1),0),$C44-1966)</f>
        <v>268196</v>
      </c>
      <c r="E44" s="4" cm="1">
        <f t="array" ref="E44">INDEX(GMW!$A$2:$NF$150,MATCH(1,(GMW!$NE$2:$NE$150=E$3)*(GMW!$ND$2:$ND$150=E$4)*(GMW!$NF$2:$NF$150=E$1),0),$C44-1966)</f>
        <v>39.181800000000003</v>
      </c>
      <c r="F44" s="4" cm="1">
        <f t="array" ref="F44">INDEX(GMW!$A$2:$NF$150,MATCH(1,(GMW!$NE$2:$NE$150=F$3)*(GMW!$ND$2:$ND$150=F$4)*(GMW!$NF$2:$NF$150=F$1),0),$C44-1966)</f>
        <v>47505</v>
      </c>
      <c r="G44" s="4" cm="1">
        <f t="array" ref="G44">INDEX(GMW!$A$2:$NF$150,MATCH(1,(GMW!$NE$2:$NE$150=G$3)*(GMW!$ND$2:$ND$150=G$4)*(GMW!$NF$2:$NF$150=G$1),0),$C44-1966)</f>
        <v>14329.72</v>
      </c>
      <c r="H44" s="4" cm="1">
        <f t="array" ref="H44">INDEX(GMW!$A$2:$NF$150,MATCH(1,(GMW!$NE$2:$NE$150=H$3)*(GMW!$ND$2:$ND$150=H$4)*(GMW!$NF$2:$NF$150=H$1),0),$C44-1966)</f>
        <v>40506</v>
      </c>
      <c r="I44" s="4" cm="1">
        <f t="array" ref="I44">INDEX(GMW!$A$2:$NF$150,MATCH(1,(GMW!$NE$2:$NE$150=I$3)*(GMW!$ND$2:$ND$150=I$4)*(GMW!$NF$2:$NF$150=I$1),0),$C44-1966)</f>
        <v>14790.67</v>
      </c>
      <c r="J44" s="4" cm="1">
        <f t="array" ref="J44">INDEX(GMW!$A$2:$NF$150,MATCH(1,(GMW!$NE$2:$NE$150=J$3)*(GMW!$ND$2:$ND$150=J$4)*(GMW!$NF$2:$NF$150=J$1),0),$C44-1966)</f>
        <v>45825</v>
      </c>
      <c r="K44" s="4" cm="1">
        <f t="array" ref="K44">INDEX(GMW!$A$2:$NF$150,MATCH(1,(GMW!$NE$2:$NE$150=K$3)*(GMW!$ND$2:$ND$150=K$4)*(GMW!$NF$2:$NF$150=K$1),0),$C44-1966)</f>
        <v>16926.509999999998</v>
      </c>
      <c r="L44" s="4" cm="1">
        <f t="array" ref="L44">INDEX(GMW!$A$2:$NF$150,MATCH(1,(GMW!$NE$2:$NE$150=L$3)*(GMW!$ND$2:$ND$150=L$4)*(GMW!$NF$2:$NF$150=L$1),0),$C44-1966)</f>
        <v>275639.3</v>
      </c>
      <c r="M44" s="4" cm="1">
        <f t="array" ref="M44">INDEX(GMW!$A$2:$NF$150,MATCH(1,(GMW!$NE$2:$NE$150=M$3)*(GMW!$ND$2:$ND$150=M$4)*(GMW!$NF$2:$NF$150=M$1),0),$C44-1966)</f>
        <v>24342.41</v>
      </c>
      <c r="N44" s="4" cm="1">
        <f t="array" ref="N44">INDEX(GMW!$A$2:$NF$150,MATCH(1,(GMW!$NE$2:$NE$150=N$3)*(GMW!$ND$2:$ND$150=N$4)*(GMW!$NF$2:$NF$150=N$1),0),$C44-1966)</f>
        <v>1E-3</v>
      </c>
      <c r="O44" s="4" cm="1">
        <f t="array" ref="O44">INDEX(GMW!$A$2:$NF$150,MATCH(1,(GMW!$NE$2:$NE$150=O$3)*(GMW!$ND$2:$ND$150=O$4)*(GMW!$NF$2:$NF$150=O$1),0),$C44-1966)</f>
        <v>311304.09999999998</v>
      </c>
      <c r="P44" s="4" cm="1">
        <f t="array" ref="P44">INDEX(GMW!$A$2:$NF$150,MATCH(1,(GMW!$NE$2:$NE$150=P$3)*(GMW!$ND$2:$ND$150=P$4)*(GMW!$NF$2:$NF$150=P$1),0),$C44-1966)</f>
        <v>36459.879999999997</v>
      </c>
      <c r="Q44" s="4" cm="1">
        <f t="array" ref="Q44">INDEX(GMW!$A$2:$NF$150,MATCH(1,(GMW!$NE$2:$NE$150=Q$3)*(GMW!$ND$2:$ND$150=Q$4)*(GMW!$NF$2:$NF$150=Q$1),0),$C44-1966)</f>
        <v>1287264</v>
      </c>
      <c r="R44" s="4" cm="1">
        <f t="array" ref="R44">INDEX(GMW!$A$2:$NF$150,MATCH(1,(GMW!$NE$2:$NE$150=R$3)*(GMW!$ND$2:$ND$150=R$4)*(GMW!$NF$2:$NF$150=R$1),0),$C44-1966)</f>
        <v>-1.888204</v>
      </c>
      <c r="S44" s="4" cm="1">
        <f t="array" ref="S44">INDEX(GMW!$A$2:$NF$150,MATCH(1,(GMW!$NE$2:$NE$150=S$3)*(GMW!$ND$2:$ND$150=S$4)*(GMW!$NF$2:$NF$150=S$1),0),$C44-1966)</f>
        <v>268196</v>
      </c>
      <c r="T44" s="4" cm="1">
        <f t="array" ref="T44">INDEX(GMW!$A$2:$NF$150,MATCH(1,(GMW!$NE$2:$NE$150=T$3)*(GMW!$ND$2:$ND$150=T$4)*(GMW!$NF$2:$NF$150=T$1),0),$C44-1966)</f>
        <v>39.181800000000003</v>
      </c>
      <c r="U44" s="4" cm="1">
        <f t="array" ref="U44">INDEX(GMW!$A$2:$NF$150,MATCH(1,(GMW!$NE$2:$NE$150=U$3)*(GMW!$ND$2:$ND$150=U$4)*(GMW!$NF$2:$NF$150=U$1),0),$C44-1966)</f>
        <v>47505</v>
      </c>
      <c r="V44" s="4" cm="1">
        <f t="array" ref="V44">INDEX(GMW!$A$2:$NF$150,MATCH(1,(GMW!$NE$2:$NE$150=V$3)*(GMW!$ND$2:$ND$150=V$4)*(GMW!$NF$2:$NF$150=V$1),0),$C44-1966)</f>
        <v>14329.72</v>
      </c>
      <c r="W44" s="4" cm="1">
        <f t="array" ref="W44">INDEX(GMW!$A$2:$NF$150,MATCH(1,(GMW!$NE$2:$NE$150=W$3)*(GMW!$ND$2:$ND$150=W$4)*(GMW!$NF$2:$NF$150=W$1),0),$C44-1966)</f>
        <v>40506</v>
      </c>
      <c r="X44" s="4" cm="1">
        <f t="array" ref="X44">INDEX(GMW!$A$2:$NF$150,MATCH(1,(GMW!$NE$2:$NE$150=X$3)*(GMW!$ND$2:$ND$150=X$4)*(GMW!$NF$2:$NF$150=X$1),0),$C44-1966)</f>
        <v>14790.67</v>
      </c>
      <c r="Y44" s="4" cm="1">
        <f t="array" ref="Y44">INDEX(GMW!$A$2:$NF$150,MATCH(1,(GMW!$NE$2:$NE$150=Y$3)*(GMW!$ND$2:$ND$150=Y$4)*(GMW!$NF$2:$NF$150=Y$1),0),$C44-1966)</f>
        <v>45825</v>
      </c>
      <c r="Z44" s="4" cm="1">
        <f t="array" ref="Z44">INDEX(GMW!$A$2:$NF$150,MATCH(1,(GMW!$NE$2:$NE$150=Z$3)*(GMW!$ND$2:$ND$150=Z$4)*(GMW!$NF$2:$NF$150=Z$1),0),$C44-1966)</f>
        <v>16926.509999999998</v>
      </c>
      <c r="AA44" s="4" cm="1">
        <f t="array" ref="AA44">INDEX(GMW!$A$2:$NF$150,MATCH(1,(GMW!$NE$2:$NE$150=AA$3)*(GMW!$ND$2:$ND$150=AA$4)*(GMW!$NF$2:$NF$150=AA$1),0),$C44-1966)</f>
        <v>275639.3</v>
      </c>
      <c r="AB44" s="4" cm="1">
        <f t="array" ref="AB44">INDEX(GMW!$A$2:$NF$150,MATCH(1,(GMW!$NE$2:$NE$150=AB$3)*(GMW!$ND$2:$ND$150=AB$4)*(GMW!$NF$2:$NF$150=AB$1),0),$C44-1966)</f>
        <v>24342.41</v>
      </c>
      <c r="AC44" s="4" cm="1">
        <f t="array" ref="AC44">INDEX(GMW!$A$2:$NF$150,MATCH(1,(GMW!$NE$2:$NE$150=AC$3)*(GMW!$ND$2:$ND$150=AC$4)*(GMW!$NF$2:$NF$150=AC$1),0),$C44-1966)</f>
        <v>1E-3</v>
      </c>
      <c r="AD44" s="4" cm="1">
        <f t="array" ref="AD44">INDEX(GMW!$A$2:$NF$150,MATCH(1,(GMW!$NE$2:$NE$150=AD$3)*(GMW!$ND$2:$ND$150=AD$4)*(GMW!$NF$2:$NF$150=AD$1),0),$C44-1966)</f>
        <v>311304.09999999998</v>
      </c>
      <c r="AE44" s="4" cm="1">
        <f t="array" ref="AE44">INDEX(GMW!$A$2:$NF$150,MATCH(1,(GMW!$NE$2:$NE$150=AE$3)*(GMW!$ND$2:$ND$150=AE$4)*(GMW!$NF$2:$NF$150=AE$1),0),$C44-1966)</f>
        <v>36459.879999999997</v>
      </c>
      <c r="AF44" s="4" cm="1">
        <f t="array" ref="AF44">INDEX(GMW!$A$2:$NF$150,MATCH(1,(GMW!$NE$2:$NE$150=AF$3)*(GMW!$ND$2:$ND$150=AF$4)*(GMW!$NF$2:$NF$150=AF$1),0),$C44-1966)</f>
        <v>1287264</v>
      </c>
      <c r="AG44" s="4" cm="1">
        <f t="array" ref="AG44">INDEX(GMW!$A$2:$NF$150,MATCH(1,(GMW!$NE$2:$NE$150=AG$3)*(GMW!$ND$2:$ND$150=AG$4)*(GMW!$NF$2:$NF$150=AG$1),0),$C44-1966)</f>
        <v>-1.888204</v>
      </c>
      <c r="AH44" s="4" cm="1">
        <f t="array" ref="AH44">INDEX(GMW!$A$2:$NF$150,MATCH(1,(GMW!$NE$2:$NE$150=AH$3)*(GMW!$ND$2:$ND$150=AH$4)*(GMW!$NF$2:$NF$150=AH$1),0),$C44-1966)</f>
        <v>268196</v>
      </c>
      <c r="AI44" s="4" cm="1">
        <f t="array" ref="AI44">INDEX(GMW!$A$2:$NF$150,MATCH(1,(GMW!$NE$2:$NE$150=AI$3)*(GMW!$ND$2:$ND$150=AI$4)*(GMW!$NF$2:$NF$150=AI$1),0),$C44-1966)</f>
        <v>39.181800000000003</v>
      </c>
      <c r="AJ44" s="4" cm="1">
        <f t="array" ref="AJ44">INDEX(GMW!$A$2:$NF$150,MATCH(1,(GMW!$NE$2:$NE$150=AJ$3)*(GMW!$ND$2:$ND$150=AJ$4)*(GMW!$NF$2:$NF$150=AJ$1),0),$C44-1966)</f>
        <v>47505</v>
      </c>
      <c r="AK44" s="4" cm="1">
        <f t="array" ref="AK44">INDEX(GMW!$A$2:$NF$150,MATCH(1,(GMW!$NE$2:$NE$150=AK$3)*(GMW!$ND$2:$ND$150=AK$4)*(GMW!$NF$2:$NF$150=AK$1),0),$C44-1966)</f>
        <v>14329.72</v>
      </c>
      <c r="AL44" s="4" cm="1">
        <f t="array" ref="AL44">INDEX(GMW!$A$2:$NF$150,MATCH(1,(GMW!$NE$2:$NE$150=AL$3)*(GMW!$ND$2:$ND$150=AL$4)*(GMW!$NF$2:$NF$150=AL$1),0),$C44-1966)</f>
        <v>40506</v>
      </c>
      <c r="AM44" s="4" cm="1">
        <f t="array" ref="AM44">INDEX(GMW!$A$2:$NF$150,MATCH(1,(GMW!$NE$2:$NE$150=AM$3)*(GMW!$ND$2:$ND$150=AM$4)*(GMW!$NF$2:$NF$150=AM$1),0),$C44-1966)</f>
        <v>14790.67</v>
      </c>
      <c r="AN44" s="4" cm="1">
        <f t="array" ref="AN44">INDEX(GMW!$A$2:$NF$150,MATCH(1,(GMW!$NE$2:$NE$150=AN$3)*(GMW!$ND$2:$ND$150=AN$4)*(GMW!$NF$2:$NF$150=AN$1),0),$C44-1966)</f>
        <v>45825</v>
      </c>
      <c r="AO44" s="4" cm="1">
        <f t="array" ref="AO44">INDEX(GMW!$A$2:$NF$150,MATCH(1,(GMW!$NE$2:$NE$150=AO$3)*(GMW!$ND$2:$ND$150=AO$4)*(GMW!$NF$2:$NF$150=AO$1),0),$C44-1966)</f>
        <v>16926.509999999998</v>
      </c>
      <c r="AP44" s="4" cm="1">
        <f t="array" ref="AP44">INDEX(GMW!$A$2:$NF$150,MATCH(1,(GMW!$NE$2:$NE$150=AP$3)*(GMW!$ND$2:$ND$150=AP$4)*(GMW!$NF$2:$NF$150=AP$1),0),$C44-1966)</f>
        <v>275639.3</v>
      </c>
      <c r="AQ44" s="4" cm="1">
        <f t="array" ref="AQ44">INDEX(GMW!$A$2:$NF$150,MATCH(1,(GMW!$NE$2:$NE$150=AQ$3)*(GMW!$ND$2:$ND$150=AQ$4)*(GMW!$NF$2:$NF$150=AQ$1),0),$C44-1966)</f>
        <v>24342.41</v>
      </c>
      <c r="AR44" s="4" cm="1">
        <f t="array" ref="AR44">INDEX(GMW!$A$2:$NF$150,MATCH(1,(GMW!$NE$2:$NE$150=AR$3)*(GMW!$ND$2:$ND$150=AR$4)*(GMW!$NF$2:$NF$150=AR$1),0),$C44-1966)</f>
        <v>1E-3</v>
      </c>
      <c r="AS44" s="4" cm="1">
        <f t="array" ref="AS44">INDEX(GMW!$A$2:$NF$150,MATCH(1,(GMW!$NE$2:$NE$150=AS$3)*(GMW!$ND$2:$ND$150=AS$4)*(GMW!$NF$2:$NF$150=AS$1),0),$C44-1966)</f>
        <v>311304.09999999998</v>
      </c>
      <c r="AT44" s="4" cm="1">
        <f t="array" ref="AT44">INDEX(GMW!$A$2:$NF$150,MATCH(1,(GMW!$NE$2:$NE$150=AT$3)*(GMW!$ND$2:$ND$150=AT$4)*(GMW!$NF$2:$NF$150=AT$1),0),$C44-1966)</f>
        <v>36459.879999999997</v>
      </c>
      <c r="AU44" s="4" cm="1">
        <f t="array" ref="AU44">INDEX(GMW!$A$2:$NF$150,MATCH(1,(GMW!$NE$2:$NE$150=AU$3)*(GMW!$ND$2:$ND$150=AU$4)*(GMW!$NF$2:$NF$150=AU$1),0),$C44-1966)</f>
        <v>1287264</v>
      </c>
      <c r="AV44" s="4" cm="1">
        <f t="array" ref="AV44">INDEX(GMW!$A$2:$NF$150,MATCH(1,(GMW!$NE$2:$NE$150=AV$3)*(GMW!$ND$2:$ND$150=AV$4)*(GMW!$NF$2:$NF$150=AV$1),0),$C44-1966)</f>
        <v>-1.888204</v>
      </c>
    </row>
    <row r="45" spans="1:48" x14ac:dyDescent="0.25">
      <c r="B45" s="4">
        <f t="shared" si="4"/>
        <v>1982</v>
      </c>
      <c r="C45" s="4">
        <f t="shared" si="3"/>
        <v>2011</v>
      </c>
      <c r="D45" s="4" cm="1">
        <f t="array" ref="D45">INDEX(GMW!$A$2:$NF$150,MATCH(1,(GMW!$NE$2:$NE$150=D$3)*(GMW!$ND$2:$ND$150=D$4)*(GMW!$NF$2:$NF$150=D$1),0),$C45-1966)</f>
        <v>268798</v>
      </c>
      <c r="E45" s="4" cm="1">
        <f t="array" ref="E45">INDEX(GMW!$A$2:$NF$150,MATCH(1,(GMW!$NE$2:$NE$150=E$3)*(GMW!$ND$2:$ND$150=E$4)*(GMW!$NF$2:$NF$150=E$1),0),$C45-1966)</f>
        <v>39.416420000000002</v>
      </c>
      <c r="F45" s="4" cm="1">
        <f t="array" ref="F45">INDEX(GMW!$A$2:$NF$150,MATCH(1,(GMW!$NE$2:$NE$150=F$3)*(GMW!$ND$2:$ND$150=F$4)*(GMW!$NF$2:$NF$150=F$1),0),$C45-1966)</f>
        <v>46534</v>
      </c>
      <c r="G45" s="4" cm="1">
        <f t="array" ref="G45">INDEX(GMW!$A$2:$NF$150,MATCH(1,(GMW!$NE$2:$NE$150=G$3)*(GMW!$ND$2:$ND$150=G$4)*(GMW!$NF$2:$NF$150=G$1),0),$C45-1966)</f>
        <v>12844.9</v>
      </c>
      <c r="H45" s="4" cm="1">
        <f t="array" ref="H45">INDEX(GMW!$A$2:$NF$150,MATCH(1,(GMW!$NE$2:$NE$150=H$3)*(GMW!$ND$2:$ND$150=H$4)*(GMW!$NF$2:$NF$150=H$1),0),$C45-1966)</f>
        <v>39271</v>
      </c>
      <c r="I45" s="4" cm="1">
        <f t="array" ref="I45">INDEX(GMW!$A$2:$NF$150,MATCH(1,(GMW!$NE$2:$NE$150=I$3)*(GMW!$ND$2:$ND$150=I$4)*(GMW!$NF$2:$NF$150=I$1),0),$C45-1966)</f>
        <v>14659.58</v>
      </c>
      <c r="J45" s="4" cm="1">
        <f t="array" ref="J45">INDEX(GMW!$A$2:$NF$150,MATCH(1,(GMW!$NE$2:$NE$150=J$3)*(GMW!$ND$2:$ND$150=J$4)*(GMW!$NF$2:$NF$150=J$1),0),$C45-1966)</f>
        <v>47163</v>
      </c>
      <c r="K45" s="4" cm="1">
        <f t="array" ref="K45">INDEX(GMW!$A$2:$NF$150,MATCH(1,(GMW!$NE$2:$NE$150=K$3)*(GMW!$ND$2:$ND$150=K$4)*(GMW!$NF$2:$NF$150=K$1),0),$C45-1966)</f>
        <v>17586.189999999999</v>
      </c>
      <c r="L45" s="4" cm="1">
        <f t="array" ref="L45">INDEX(GMW!$A$2:$NF$150,MATCH(1,(GMW!$NE$2:$NE$150=L$3)*(GMW!$ND$2:$ND$150=L$4)*(GMW!$NF$2:$NF$150=L$1),0),$C45-1966)</f>
        <v>276062.8</v>
      </c>
      <c r="M45" s="4" cm="1">
        <f t="array" ref="M45">INDEX(GMW!$A$2:$NF$150,MATCH(1,(GMW!$NE$2:$NE$150=M$3)*(GMW!$ND$2:$ND$150=M$4)*(GMW!$NF$2:$NF$150=M$1),0),$C45-1966)</f>
        <v>24252.19</v>
      </c>
      <c r="N45" s="4" cm="1">
        <f t="array" ref="N45">INDEX(GMW!$A$2:$NF$150,MATCH(1,(GMW!$NE$2:$NE$150=N$3)*(GMW!$ND$2:$ND$150=N$4)*(GMW!$NF$2:$NF$150=N$1),0),$C45-1966)</f>
        <v>1E-3</v>
      </c>
      <c r="O45" s="4" cm="1">
        <f t="array" ref="O45">INDEX(GMW!$A$2:$NF$150,MATCH(1,(GMW!$NE$2:$NE$150=O$3)*(GMW!$ND$2:$ND$150=O$4)*(GMW!$NF$2:$NF$150=O$1),0),$C45-1966)</f>
        <v>312006</v>
      </c>
      <c r="P45" s="4" cm="1">
        <f t="array" ref="P45">INDEX(GMW!$A$2:$NF$150,MATCH(1,(GMW!$NE$2:$NE$150=P$3)*(GMW!$ND$2:$ND$150=P$4)*(GMW!$NF$2:$NF$150=P$1),0),$C45-1966)</f>
        <v>36529.379999999997</v>
      </c>
      <c r="Q45" s="4" cm="1">
        <f t="array" ref="Q45">INDEX(GMW!$A$2:$NF$150,MATCH(1,(GMW!$NE$2:$NE$150=Q$3)*(GMW!$ND$2:$ND$150=Q$4)*(GMW!$NF$2:$NF$150=Q$1),0),$C45-1966)</f>
        <v>1290149</v>
      </c>
      <c r="R45" s="4" cm="1">
        <f t="array" ref="R45">INDEX(GMW!$A$2:$NF$150,MATCH(1,(GMW!$NE$2:$NE$150=R$3)*(GMW!$ND$2:$ND$150=R$4)*(GMW!$NF$2:$NF$150=R$1),0),$C45-1966)</f>
        <v>-1.8851450000000001</v>
      </c>
      <c r="S45" s="4" cm="1">
        <f t="array" ref="S45">INDEX(GMW!$A$2:$NF$150,MATCH(1,(GMW!$NE$2:$NE$150=S$3)*(GMW!$ND$2:$ND$150=S$4)*(GMW!$NF$2:$NF$150=S$1),0),$C45-1966)</f>
        <v>268798</v>
      </c>
      <c r="T45" s="4" cm="1">
        <f t="array" ref="T45">INDEX(GMW!$A$2:$NF$150,MATCH(1,(GMW!$NE$2:$NE$150=T$3)*(GMW!$ND$2:$ND$150=T$4)*(GMW!$NF$2:$NF$150=T$1),0),$C45-1966)</f>
        <v>39.416420000000002</v>
      </c>
      <c r="U45" s="4" cm="1">
        <f t="array" ref="U45">INDEX(GMW!$A$2:$NF$150,MATCH(1,(GMW!$NE$2:$NE$150=U$3)*(GMW!$ND$2:$ND$150=U$4)*(GMW!$NF$2:$NF$150=U$1),0),$C45-1966)</f>
        <v>46534</v>
      </c>
      <c r="V45" s="4" cm="1">
        <f t="array" ref="V45">INDEX(GMW!$A$2:$NF$150,MATCH(1,(GMW!$NE$2:$NE$150=V$3)*(GMW!$ND$2:$ND$150=V$4)*(GMW!$NF$2:$NF$150=V$1),0),$C45-1966)</f>
        <v>12844.9</v>
      </c>
      <c r="W45" s="4" cm="1">
        <f t="array" ref="W45">INDEX(GMW!$A$2:$NF$150,MATCH(1,(GMW!$NE$2:$NE$150=W$3)*(GMW!$ND$2:$ND$150=W$4)*(GMW!$NF$2:$NF$150=W$1),0),$C45-1966)</f>
        <v>39271</v>
      </c>
      <c r="X45" s="4" cm="1">
        <f t="array" ref="X45">INDEX(GMW!$A$2:$NF$150,MATCH(1,(GMW!$NE$2:$NE$150=X$3)*(GMW!$ND$2:$ND$150=X$4)*(GMW!$NF$2:$NF$150=X$1),0),$C45-1966)</f>
        <v>14659.58</v>
      </c>
      <c r="Y45" s="4" cm="1">
        <f t="array" ref="Y45">INDEX(GMW!$A$2:$NF$150,MATCH(1,(GMW!$NE$2:$NE$150=Y$3)*(GMW!$ND$2:$ND$150=Y$4)*(GMW!$NF$2:$NF$150=Y$1),0),$C45-1966)</f>
        <v>47163</v>
      </c>
      <c r="Z45" s="4" cm="1">
        <f t="array" ref="Z45">INDEX(GMW!$A$2:$NF$150,MATCH(1,(GMW!$NE$2:$NE$150=Z$3)*(GMW!$ND$2:$ND$150=Z$4)*(GMW!$NF$2:$NF$150=Z$1),0),$C45-1966)</f>
        <v>17586.189999999999</v>
      </c>
      <c r="AA45" s="4" cm="1">
        <f t="array" ref="AA45">INDEX(GMW!$A$2:$NF$150,MATCH(1,(GMW!$NE$2:$NE$150=AA$3)*(GMW!$ND$2:$ND$150=AA$4)*(GMW!$NF$2:$NF$150=AA$1),0),$C45-1966)</f>
        <v>276062.8</v>
      </c>
      <c r="AB45" s="4" cm="1">
        <f t="array" ref="AB45">INDEX(GMW!$A$2:$NF$150,MATCH(1,(GMW!$NE$2:$NE$150=AB$3)*(GMW!$ND$2:$ND$150=AB$4)*(GMW!$NF$2:$NF$150=AB$1),0),$C45-1966)</f>
        <v>24252.19</v>
      </c>
      <c r="AC45" s="4" cm="1">
        <f t="array" ref="AC45">INDEX(GMW!$A$2:$NF$150,MATCH(1,(GMW!$NE$2:$NE$150=AC$3)*(GMW!$ND$2:$ND$150=AC$4)*(GMW!$NF$2:$NF$150=AC$1),0),$C45-1966)</f>
        <v>1E-3</v>
      </c>
      <c r="AD45" s="4" cm="1">
        <f t="array" ref="AD45">INDEX(GMW!$A$2:$NF$150,MATCH(1,(GMW!$NE$2:$NE$150=AD$3)*(GMW!$ND$2:$ND$150=AD$4)*(GMW!$NF$2:$NF$150=AD$1),0),$C45-1966)</f>
        <v>312006</v>
      </c>
      <c r="AE45" s="4" cm="1">
        <f t="array" ref="AE45">INDEX(GMW!$A$2:$NF$150,MATCH(1,(GMW!$NE$2:$NE$150=AE$3)*(GMW!$ND$2:$ND$150=AE$4)*(GMW!$NF$2:$NF$150=AE$1),0),$C45-1966)</f>
        <v>36529.379999999997</v>
      </c>
      <c r="AF45" s="4" cm="1">
        <f t="array" ref="AF45">INDEX(GMW!$A$2:$NF$150,MATCH(1,(GMW!$NE$2:$NE$150=AF$3)*(GMW!$ND$2:$ND$150=AF$4)*(GMW!$NF$2:$NF$150=AF$1),0),$C45-1966)</f>
        <v>1290149</v>
      </c>
      <c r="AG45" s="4" cm="1">
        <f t="array" ref="AG45">INDEX(GMW!$A$2:$NF$150,MATCH(1,(GMW!$NE$2:$NE$150=AG$3)*(GMW!$ND$2:$ND$150=AG$4)*(GMW!$NF$2:$NF$150=AG$1),0),$C45-1966)</f>
        <v>-1.8851450000000001</v>
      </c>
      <c r="AH45" s="4" cm="1">
        <f t="array" ref="AH45">INDEX(GMW!$A$2:$NF$150,MATCH(1,(GMW!$NE$2:$NE$150=AH$3)*(GMW!$ND$2:$ND$150=AH$4)*(GMW!$NF$2:$NF$150=AH$1),0),$C45-1966)</f>
        <v>268798</v>
      </c>
      <c r="AI45" s="4" cm="1">
        <f t="array" ref="AI45">INDEX(GMW!$A$2:$NF$150,MATCH(1,(GMW!$NE$2:$NE$150=AI$3)*(GMW!$ND$2:$ND$150=AI$4)*(GMW!$NF$2:$NF$150=AI$1),0),$C45-1966)</f>
        <v>39.416420000000002</v>
      </c>
      <c r="AJ45" s="4" cm="1">
        <f t="array" ref="AJ45">INDEX(GMW!$A$2:$NF$150,MATCH(1,(GMW!$NE$2:$NE$150=AJ$3)*(GMW!$ND$2:$ND$150=AJ$4)*(GMW!$NF$2:$NF$150=AJ$1),0),$C45-1966)</f>
        <v>46534</v>
      </c>
      <c r="AK45" s="4" cm="1">
        <f t="array" ref="AK45">INDEX(GMW!$A$2:$NF$150,MATCH(1,(GMW!$NE$2:$NE$150=AK$3)*(GMW!$ND$2:$ND$150=AK$4)*(GMW!$NF$2:$NF$150=AK$1),0),$C45-1966)</f>
        <v>12844.9</v>
      </c>
      <c r="AL45" s="4" cm="1">
        <f t="array" ref="AL45">INDEX(GMW!$A$2:$NF$150,MATCH(1,(GMW!$NE$2:$NE$150=AL$3)*(GMW!$ND$2:$ND$150=AL$4)*(GMW!$NF$2:$NF$150=AL$1),0),$C45-1966)</f>
        <v>39271</v>
      </c>
      <c r="AM45" s="4" cm="1">
        <f t="array" ref="AM45">INDEX(GMW!$A$2:$NF$150,MATCH(1,(GMW!$NE$2:$NE$150=AM$3)*(GMW!$ND$2:$ND$150=AM$4)*(GMW!$NF$2:$NF$150=AM$1),0),$C45-1966)</f>
        <v>14659.58</v>
      </c>
      <c r="AN45" s="4" cm="1">
        <f t="array" ref="AN45">INDEX(GMW!$A$2:$NF$150,MATCH(1,(GMW!$NE$2:$NE$150=AN$3)*(GMW!$ND$2:$ND$150=AN$4)*(GMW!$NF$2:$NF$150=AN$1),0),$C45-1966)</f>
        <v>47163</v>
      </c>
      <c r="AO45" s="4" cm="1">
        <f t="array" ref="AO45">INDEX(GMW!$A$2:$NF$150,MATCH(1,(GMW!$NE$2:$NE$150=AO$3)*(GMW!$ND$2:$ND$150=AO$4)*(GMW!$NF$2:$NF$150=AO$1),0),$C45-1966)</f>
        <v>17586.189999999999</v>
      </c>
      <c r="AP45" s="4" cm="1">
        <f t="array" ref="AP45">INDEX(GMW!$A$2:$NF$150,MATCH(1,(GMW!$NE$2:$NE$150=AP$3)*(GMW!$ND$2:$ND$150=AP$4)*(GMW!$NF$2:$NF$150=AP$1),0),$C45-1966)</f>
        <v>276062.8</v>
      </c>
      <c r="AQ45" s="4" cm="1">
        <f t="array" ref="AQ45">INDEX(GMW!$A$2:$NF$150,MATCH(1,(GMW!$NE$2:$NE$150=AQ$3)*(GMW!$ND$2:$ND$150=AQ$4)*(GMW!$NF$2:$NF$150=AQ$1),0),$C45-1966)</f>
        <v>24252.19</v>
      </c>
      <c r="AR45" s="4" cm="1">
        <f t="array" ref="AR45">INDEX(GMW!$A$2:$NF$150,MATCH(1,(GMW!$NE$2:$NE$150=AR$3)*(GMW!$ND$2:$ND$150=AR$4)*(GMW!$NF$2:$NF$150=AR$1),0),$C45-1966)</f>
        <v>1E-3</v>
      </c>
      <c r="AS45" s="4" cm="1">
        <f t="array" ref="AS45">INDEX(GMW!$A$2:$NF$150,MATCH(1,(GMW!$NE$2:$NE$150=AS$3)*(GMW!$ND$2:$ND$150=AS$4)*(GMW!$NF$2:$NF$150=AS$1),0),$C45-1966)</f>
        <v>312006</v>
      </c>
      <c r="AT45" s="4" cm="1">
        <f t="array" ref="AT45">INDEX(GMW!$A$2:$NF$150,MATCH(1,(GMW!$NE$2:$NE$150=AT$3)*(GMW!$ND$2:$ND$150=AT$4)*(GMW!$NF$2:$NF$150=AT$1),0),$C45-1966)</f>
        <v>36529.379999999997</v>
      </c>
      <c r="AU45" s="4" cm="1">
        <f t="array" ref="AU45">INDEX(GMW!$A$2:$NF$150,MATCH(1,(GMW!$NE$2:$NE$150=AU$3)*(GMW!$ND$2:$ND$150=AU$4)*(GMW!$NF$2:$NF$150=AU$1),0),$C45-1966)</f>
        <v>1290149</v>
      </c>
      <c r="AV45" s="4" cm="1">
        <f t="array" ref="AV45">INDEX(GMW!$A$2:$NF$150,MATCH(1,(GMW!$NE$2:$NE$150=AV$3)*(GMW!$ND$2:$ND$150=AV$4)*(GMW!$NF$2:$NF$150=AV$1),0),$C45-1966)</f>
        <v>-1.8851450000000001</v>
      </c>
    </row>
    <row r="46" spans="1:48" x14ac:dyDescent="0.25">
      <c r="B46" s="4">
        <f t="shared" si="4"/>
        <v>1982</v>
      </c>
      <c r="C46" s="4">
        <f t="shared" si="3"/>
        <v>2012</v>
      </c>
      <c r="D46" s="4" cm="1">
        <f t="array" ref="D46">INDEX(GMW!$A$2:$NF$150,MATCH(1,(GMW!$NE$2:$NE$150=D$3)*(GMW!$ND$2:$ND$150=D$4)*(GMW!$NF$2:$NF$150=D$1),0),$C46-1966)</f>
        <v>270653</v>
      </c>
      <c r="E46" s="4" cm="1">
        <f t="array" ref="E46">INDEX(GMW!$A$2:$NF$150,MATCH(1,(GMW!$NE$2:$NE$150=E$3)*(GMW!$ND$2:$ND$150=E$4)*(GMW!$NF$2:$NF$150=E$1),0),$C46-1966)</f>
        <v>39.885669999999998</v>
      </c>
      <c r="F46" s="4" cm="1">
        <f t="array" ref="F46">INDEX(GMW!$A$2:$NF$150,MATCH(1,(GMW!$NE$2:$NE$150=F$3)*(GMW!$ND$2:$ND$150=F$4)*(GMW!$NF$2:$NF$150=F$1),0),$C46-1966)</f>
        <v>47361</v>
      </c>
      <c r="G46" s="4" cm="1">
        <f t="array" ref="G46">INDEX(GMW!$A$2:$NF$150,MATCH(1,(GMW!$NE$2:$NE$150=G$3)*(GMW!$ND$2:$ND$150=G$4)*(GMW!$NF$2:$NF$150=G$1),0),$C46-1966)</f>
        <v>13139.37</v>
      </c>
      <c r="H46" s="4" cm="1">
        <f t="array" ref="H46">INDEX(GMW!$A$2:$NF$150,MATCH(1,(GMW!$NE$2:$NE$150=H$3)*(GMW!$ND$2:$ND$150=H$4)*(GMW!$NF$2:$NF$150=H$1),0),$C46-1966)</f>
        <v>38776</v>
      </c>
      <c r="I46" s="4" cm="1">
        <f t="array" ref="I46">INDEX(GMW!$A$2:$NF$150,MATCH(1,(GMW!$NE$2:$NE$150=I$3)*(GMW!$ND$2:$ND$150=I$4)*(GMW!$NF$2:$NF$150=I$1),0),$C46-1966)</f>
        <v>16134.38</v>
      </c>
      <c r="J46" s="4" cm="1">
        <f t="array" ref="J46">INDEX(GMW!$A$2:$NF$150,MATCH(1,(GMW!$NE$2:$NE$150=J$3)*(GMW!$ND$2:$ND$150=J$4)*(GMW!$NF$2:$NF$150=J$1),0),$C46-1966)</f>
        <v>47683</v>
      </c>
      <c r="K46" s="4" cm="1">
        <f t="array" ref="K46">INDEX(GMW!$A$2:$NF$150,MATCH(1,(GMW!$NE$2:$NE$150=K$3)*(GMW!$ND$2:$ND$150=K$4)*(GMW!$NF$2:$NF$150=K$1),0),$C46-1966)</f>
        <v>17439.77</v>
      </c>
      <c r="L46" s="4" cm="1">
        <f t="array" ref="L46">INDEX(GMW!$A$2:$NF$150,MATCH(1,(GMW!$NE$2:$NE$150=L$3)*(GMW!$ND$2:$ND$150=L$4)*(GMW!$NF$2:$NF$150=L$1),0),$C46-1966)</f>
        <v>276606.5</v>
      </c>
      <c r="M46" s="4" cm="1">
        <f t="array" ref="M46">INDEX(GMW!$A$2:$NF$150,MATCH(1,(GMW!$NE$2:$NE$150=M$3)*(GMW!$ND$2:$ND$150=M$4)*(GMW!$NF$2:$NF$150=M$1),0),$C46-1966)</f>
        <v>24177.07</v>
      </c>
      <c r="N46" s="4" cm="1">
        <f t="array" ref="N46">INDEX(GMW!$A$2:$NF$150,MATCH(1,(GMW!$NE$2:$NE$150=N$3)*(GMW!$ND$2:$ND$150=N$4)*(GMW!$NF$2:$NF$150=N$1),0),$C46-1966)</f>
        <v>1E-3</v>
      </c>
      <c r="O46" s="4" cm="1">
        <f t="array" ref="O46">INDEX(GMW!$A$2:$NF$150,MATCH(1,(GMW!$NE$2:$NE$150=O$3)*(GMW!$ND$2:$ND$150=O$4)*(GMW!$NF$2:$NF$150=O$1),0),$C46-1966)</f>
        <v>312752.59999999998</v>
      </c>
      <c r="P46" s="4" cm="1">
        <f t="array" ref="P46">INDEX(GMW!$A$2:$NF$150,MATCH(1,(GMW!$NE$2:$NE$150=P$3)*(GMW!$ND$2:$ND$150=P$4)*(GMW!$NF$2:$NF$150=P$1),0),$C46-1966)</f>
        <v>36598.879999999997</v>
      </c>
      <c r="Q46" s="4" cm="1">
        <f t="array" ref="Q46">INDEX(GMW!$A$2:$NF$150,MATCH(1,(GMW!$NE$2:$NE$150=Q$3)*(GMW!$ND$2:$ND$150=Q$4)*(GMW!$NF$2:$NF$150=Q$1),0),$C46-1966)</f>
        <v>1293034</v>
      </c>
      <c r="R46" s="4" cm="1">
        <f t="array" ref="R46">INDEX(GMW!$A$2:$NF$150,MATCH(1,(GMW!$NE$2:$NE$150=R$3)*(GMW!$ND$2:$ND$150=R$4)*(GMW!$NF$2:$NF$150=R$1),0),$C46-1966)</f>
        <v>-1.882091</v>
      </c>
      <c r="S46" s="4" cm="1">
        <f t="array" ref="S46">INDEX(GMW!$A$2:$NF$150,MATCH(1,(GMW!$NE$2:$NE$150=S$3)*(GMW!$ND$2:$ND$150=S$4)*(GMW!$NF$2:$NF$150=S$1),0),$C46-1966)</f>
        <v>270653</v>
      </c>
      <c r="T46" s="4" cm="1">
        <f t="array" ref="T46">INDEX(GMW!$A$2:$NF$150,MATCH(1,(GMW!$NE$2:$NE$150=T$3)*(GMW!$ND$2:$ND$150=T$4)*(GMW!$NF$2:$NF$150=T$1),0),$C46-1966)</f>
        <v>39.885669999999998</v>
      </c>
      <c r="U46" s="4" cm="1">
        <f t="array" ref="U46">INDEX(GMW!$A$2:$NF$150,MATCH(1,(GMW!$NE$2:$NE$150=U$3)*(GMW!$ND$2:$ND$150=U$4)*(GMW!$NF$2:$NF$150=U$1),0),$C46-1966)</f>
        <v>47361</v>
      </c>
      <c r="V46" s="4" cm="1">
        <f t="array" ref="V46">INDEX(GMW!$A$2:$NF$150,MATCH(1,(GMW!$NE$2:$NE$150=V$3)*(GMW!$ND$2:$ND$150=V$4)*(GMW!$NF$2:$NF$150=V$1),0),$C46-1966)</f>
        <v>13139.37</v>
      </c>
      <c r="W46" s="4" cm="1">
        <f t="array" ref="W46">INDEX(GMW!$A$2:$NF$150,MATCH(1,(GMW!$NE$2:$NE$150=W$3)*(GMW!$ND$2:$ND$150=W$4)*(GMW!$NF$2:$NF$150=W$1),0),$C46-1966)</f>
        <v>38776</v>
      </c>
      <c r="X46" s="4" cm="1">
        <f t="array" ref="X46">INDEX(GMW!$A$2:$NF$150,MATCH(1,(GMW!$NE$2:$NE$150=X$3)*(GMW!$ND$2:$ND$150=X$4)*(GMW!$NF$2:$NF$150=X$1),0),$C46-1966)</f>
        <v>16134.38</v>
      </c>
      <c r="Y46" s="4" cm="1">
        <f t="array" ref="Y46">INDEX(GMW!$A$2:$NF$150,MATCH(1,(GMW!$NE$2:$NE$150=Y$3)*(GMW!$ND$2:$ND$150=Y$4)*(GMW!$NF$2:$NF$150=Y$1),0),$C46-1966)</f>
        <v>47683</v>
      </c>
      <c r="Z46" s="4" cm="1">
        <f t="array" ref="Z46">INDEX(GMW!$A$2:$NF$150,MATCH(1,(GMW!$NE$2:$NE$150=Z$3)*(GMW!$ND$2:$ND$150=Z$4)*(GMW!$NF$2:$NF$150=Z$1),0),$C46-1966)</f>
        <v>17439.77</v>
      </c>
      <c r="AA46" s="4" cm="1">
        <f t="array" ref="AA46">INDEX(GMW!$A$2:$NF$150,MATCH(1,(GMW!$NE$2:$NE$150=AA$3)*(GMW!$ND$2:$ND$150=AA$4)*(GMW!$NF$2:$NF$150=AA$1),0),$C46-1966)</f>
        <v>276606.5</v>
      </c>
      <c r="AB46" s="4" cm="1">
        <f t="array" ref="AB46">INDEX(GMW!$A$2:$NF$150,MATCH(1,(GMW!$NE$2:$NE$150=AB$3)*(GMW!$ND$2:$ND$150=AB$4)*(GMW!$NF$2:$NF$150=AB$1),0),$C46-1966)</f>
        <v>24177.07</v>
      </c>
      <c r="AC46" s="4" cm="1">
        <f t="array" ref="AC46">INDEX(GMW!$A$2:$NF$150,MATCH(1,(GMW!$NE$2:$NE$150=AC$3)*(GMW!$ND$2:$ND$150=AC$4)*(GMW!$NF$2:$NF$150=AC$1),0),$C46-1966)</f>
        <v>1E-3</v>
      </c>
      <c r="AD46" s="4" cm="1">
        <f t="array" ref="AD46">INDEX(GMW!$A$2:$NF$150,MATCH(1,(GMW!$NE$2:$NE$150=AD$3)*(GMW!$ND$2:$ND$150=AD$4)*(GMW!$NF$2:$NF$150=AD$1),0),$C46-1966)</f>
        <v>312752.59999999998</v>
      </c>
      <c r="AE46" s="4" cm="1">
        <f t="array" ref="AE46">INDEX(GMW!$A$2:$NF$150,MATCH(1,(GMW!$NE$2:$NE$150=AE$3)*(GMW!$ND$2:$ND$150=AE$4)*(GMW!$NF$2:$NF$150=AE$1),0),$C46-1966)</f>
        <v>36598.879999999997</v>
      </c>
      <c r="AF46" s="4" cm="1">
        <f t="array" ref="AF46">INDEX(GMW!$A$2:$NF$150,MATCH(1,(GMW!$NE$2:$NE$150=AF$3)*(GMW!$ND$2:$ND$150=AF$4)*(GMW!$NF$2:$NF$150=AF$1),0),$C46-1966)</f>
        <v>1293034</v>
      </c>
      <c r="AG46" s="4" cm="1">
        <f t="array" ref="AG46">INDEX(GMW!$A$2:$NF$150,MATCH(1,(GMW!$NE$2:$NE$150=AG$3)*(GMW!$ND$2:$ND$150=AG$4)*(GMW!$NF$2:$NF$150=AG$1),0),$C46-1966)</f>
        <v>-1.882091</v>
      </c>
      <c r="AH46" s="4" cm="1">
        <f t="array" ref="AH46">INDEX(GMW!$A$2:$NF$150,MATCH(1,(GMW!$NE$2:$NE$150=AH$3)*(GMW!$ND$2:$ND$150=AH$4)*(GMW!$NF$2:$NF$150=AH$1),0),$C46-1966)</f>
        <v>270653</v>
      </c>
      <c r="AI46" s="4" cm="1">
        <f t="array" ref="AI46">INDEX(GMW!$A$2:$NF$150,MATCH(1,(GMW!$NE$2:$NE$150=AI$3)*(GMW!$ND$2:$ND$150=AI$4)*(GMW!$NF$2:$NF$150=AI$1),0),$C46-1966)</f>
        <v>39.885669999999998</v>
      </c>
      <c r="AJ46" s="4" cm="1">
        <f t="array" ref="AJ46">INDEX(GMW!$A$2:$NF$150,MATCH(1,(GMW!$NE$2:$NE$150=AJ$3)*(GMW!$ND$2:$ND$150=AJ$4)*(GMW!$NF$2:$NF$150=AJ$1),0),$C46-1966)</f>
        <v>47361</v>
      </c>
      <c r="AK46" s="4" cm="1">
        <f t="array" ref="AK46">INDEX(GMW!$A$2:$NF$150,MATCH(1,(GMW!$NE$2:$NE$150=AK$3)*(GMW!$ND$2:$ND$150=AK$4)*(GMW!$NF$2:$NF$150=AK$1),0),$C46-1966)</f>
        <v>13139.37</v>
      </c>
      <c r="AL46" s="4" cm="1">
        <f t="array" ref="AL46">INDEX(GMW!$A$2:$NF$150,MATCH(1,(GMW!$NE$2:$NE$150=AL$3)*(GMW!$ND$2:$ND$150=AL$4)*(GMW!$NF$2:$NF$150=AL$1),0),$C46-1966)</f>
        <v>38776</v>
      </c>
      <c r="AM46" s="4" cm="1">
        <f t="array" ref="AM46">INDEX(GMW!$A$2:$NF$150,MATCH(1,(GMW!$NE$2:$NE$150=AM$3)*(GMW!$ND$2:$ND$150=AM$4)*(GMW!$NF$2:$NF$150=AM$1),0),$C46-1966)</f>
        <v>16134.38</v>
      </c>
      <c r="AN46" s="4" cm="1">
        <f t="array" ref="AN46">INDEX(GMW!$A$2:$NF$150,MATCH(1,(GMW!$NE$2:$NE$150=AN$3)*(GMW!$ND$2:$ND$150=AN$4)*(GMW!$NF$2:$NF$150=AN$1),0),$C46-1966)</f>
        <v>47683</v>
      </c>
      <c r="AO46" s="4" cm="1">
        <f t="array" ref="AO46">INDEX(GMW!$A$2:$NF$150,MATCH(1,(GMW!$NE$2:$NE$150=AO$3)*(GMW!$ND$2:$ND$150=AO$4)*(GMW!$NF$2:$NF$150=AO$1),0),$C46-1966)</f>
        <v>17439.77</v>
      </c>
      <c r="AP46" s="4" cm="1">
        <f t="array" ref="AP46">INDEX(GMW!$A$2:$NF$150,MATCH(1,(GMW!$NE$2:$NE$150=AP$3)*(GMW!$ND$2:$ND$150=AP$4)*(GMW!$NF$2:$NF$150=AP$1),0),$C46-1966)</f>
        <v>276606.5</v>
      </c>
      <c r="AQ46" s="4" cm="1">
        <f t="array" ref="AQ46">INDEX(GMW!$A$2:$NF$150,MATCH(1,(GMW!$NE$2:$NE$150=AQ$3)*(GMW!$ND$2:$ND$150=AQ$4)*(GMW!$NF$2:$NF$150=AQ$1),0),$C46-1966)</f>
        <v>24177.07</v>
      </c>
      <c r="AR46" s="4" cm="1">
        <f t="array" ref="AR46">INDEX(GMW!$A$2:$NF$150,MATCH(1,(GMW!$NE$2:$NE$150=AR$3)*(GMW!$ND$2:$ND$150=AR$4)*(GMW!$NF$2:$NF$150=AR$1),0),$C46-1966)</f>
        <v>1E-3</v>
      </c>
      <c r="AS46" s="4" cm="1">
        <f t="array" ref="AS46">INDEX(GMW!$A$2:$NF$150,MATCH(1,(GMW!$NE$2:$NE$150=AS$3)*(GMW!$ND$2:$ND$150=AS$4)*(GMW!$NF$2:$NF$150=AS$1),0),$C46-1966)</f>
        <v>312752.59999999998</v>
      </c>
      <c r="AT46" s="4" cm="1">
        <f t="array" ref="AT46">INDEX(GMW!$A$2:$NF$150,MATCH(1,(GMW!$NE$2:$NE$150=AT$3)*(GMW!$ND$2:$ND$150=AT$4)*(GMW!$NF$2:$NF$150=AT$1),0),$C46-1966)</f>
        <v>36598.879999999997</v>
      </c>
      <c r="AU46" s="4" cm="1">
        <f t="array" ref="AU46">INDEX(GMW!$A$2:$NF$150,MATCH(1,(GMW!$NE$2:$NE$150=AU$3)*(GMW!$ND$2:$ND$150=AU$4)*(GMW!$NF$2:$NF$150=AU$1),0),$C46-1966)</f>
        <v>1293034</v>
      </c>
      <c r="AV46" s="4" cm="1">
        <f t="array" ref="AV46">INDEX(GMW!$A$2:$NF$150,MATCH(1,(GMW!$NE$2:$NE$150=AV$3)*(GMW!$ND$2:$ND$150=AV$4)*(GMW!$NF$2:$NF$150=AV$1),0),$C46-1966)</f>
        <v>-1.882091</v>
      </c>
    </row>
    <row r="47" spans="1:48" x14ac:dyDescent="0.25">
      <c r="A47" s="4">
        <v>1983</v>
      </c>
      <c r="B47" s="4">
        <f t="shared" si="4"/>
        <v>1983</v>
      </c>
      <c r="C47" s="4">
        <f t="shared" si="3"/>
        <v>2013</v>
      </c>
      <c r="D47" s="4" cm="1">
        <f t="array" ref="D47">INDEX(GMW!$A$2:$NF$150,MATCH(1,(GMW!$NE$2:$NE$150=D$3)*(GMW!$ND$2:$ND$150=D$4)*(GMW!$NF$2:$NF$150=D$1),0),$C47-1966)</f>
        <v>275877</v>
      </c>
      <c r="E47" s="4" cm="1">
        <f t="array" ref="E47">INDEX(GMW!$A$2:$NF$150,MATCH(1,(GMW!$NE$2:$NE$150=E$3)*(GMW!$ND$2:$ND$150=E$4)*(GMW!$NF$2:$NF$150=E$1),0),$C47-1966)</f>
        <v>40.172429999999999</v>
      </c>
      <c r="F47" s="4" cm="1">
        <f t="array" ref="F47">INDEX(GMW!$A$2:$NF$150,MATCH(1,(GMW!$NE$2:$NE$150=F$3)*(GMW!$ND$2:$ND$150=F$4)*(GMW!$NF$2:$NF$150=F$1),0),$C47-1966)</f>
        <v>47208</v>
      </c>
      <c r="G47" s="4" cm="1">
        <f t="array" ref="G47">INDEX(GMW!$A$2:$NF$150,MATCH(1,(GMW!$NE$2:$NE$150=G$3)*(GMW!$ND$2:$ND$150=G$4)*(GMW!$NF$2:$NF$150=G$1),0),$C47-1966)</f>
        <v>13361.43</v>
      </c>
      <c r="H47" s="4" cm="1">
        <f t="array" ref="H47">INDEX(GMW!$A$2:$NF$150,MATCH(1,(GMW!$NE$2:$NE$150=H$3)*(GMW!$ND$2:$ND$150=H$4)*(GMW!$NF$2:$NF$150=H$1),0),$C47-1966)</f>
        <v>40491</v>
      </c>
      <c r="I47" s="4" cm="1">
        <f t="array" ref="I47">INDEX(GMW!$A$2:$NF$150,MATCH(1,(GMW!$NE$2:$NE$150=I$3)*(GMW!$ND$2:$ND$150=I$4)*(GMW!$NF$2:$NF$150=I$1),0),$C47-1966)</f>
        <v>18293.38</v>
      </c>
      <c r="J47" s="4" cm="1">
        <f t="array" ref="J47">INDEX(GMW!$A$2:$NF$150,MATCH(1,(GMW!$NE$2:$NE$150=J$3)*(GMW!$ND$2:$ND$150=J$4)*(GMW!$NF$2:$NF$150=J$1),0),$C47-1966)</f>
        <v>49100</v>
      </c>
      <c r="K47" s="4" cm="1">
        <f t="array" ref="K47">INDEX(GMW!$A$2:$NF$150,MATCH(1,(GMW!$NE$2:$NE$150=K$3)*(GMW!$ND$2:$ND$150=K$4)*(GMW!$NF$2:$NF$150=K$1),0),$C47-1966)</f>
        <v>17069.71</v>
      </c>
      <c r="L47" s="4" cm="1">
        <f t="array" ref="L47">INDEX(GMW!$A$2:$NF$150,MATCH(1,(GMW!$NE$2:$NE$150=L$3)*(GMW!$ND$2:$ND$150=L$4)*(GMW!$NF$2:$NF$150=L$1),0),$C47-1966)</f>
        <v>277254.8</v>
      </c>
      <c r="M47" s="4" cm="1">
        <f t="array" ref="M47">INDEX(GMW!$A$2:$NF$150,MATCH(1,(GMW!$NE$2:$NE$150=M$3)*(GMW!$ND$2:$ND$150=M$4)*(GMW!$NF$2:$NF$150=M$1),0),$C47-1966)</f>
        <v>24117.35</v>
      </c>
      <c r="N47" s="4" cm="1">
        <f t="array" ref="N47">INDEX(GMW!$A$2:$NF$150,MATCH(1,(GMW!$NE$2:$NE$150=N$3)*(GMW!$ND$2:$ND$150=N$4)*(GMW!$NF$2:$NF$150=N$1),0),$C47-1966)</f>
        <v>1E-3</v>
      </c>
      <c r="O47" s="4" cm="1">
        <f t="array" ref="O47">INDEX(GMW!$A$2:$NF$150,MATCH(1,(GMW!$NE$2:$NE$150=O$3)*(GMW!$ND$2:$ND$150=O$4)*(GMW!$NF$2:$NF$150=O$1),0),$C47-1966)</f>
        <v>313469.8</v>
      </c>
      <c r="P47" s="4" cm="1">
        <f t="array" ref="P47">INDEX(GMW!$A$2:$NF$150,MATCH(1,(GMW!$NE$2:$NE$150=P$3)*(GMW!$ND$2:$ND$150=P$4)*(GMW!$NF$2:$NF$150=P$1),0),$C47-1966)</f>
        <v>36668.379999999997</v>
      </c>
      <c r="Q47" s="4" cm="1">
        <f t="array" ref="Q47">INDEX(GMW!$A$2:$NF$150,MATCH(1,(GMW!$NE$2:$NE$150=Q$3)*(GMW!$ND$2:$ND$150=Q$4)*(GMW!$NF$2:$NF$150=Q$1),0),$C47-1966)</f>
        <v>1296465</v>
      </c>
      <c r="R47" s="4" cm="1">
        <f t="array" ref="R47">INDEX(GMW!$A$2:$NF$150,MATCH(1,(GMW!$NE$2:$NE$150=R$3)*(GMW!$ND$2:$ND$150=R$4)*(GMW!$NF$2:$NF$150=R$1),0),$C47-1966)</f>
        <v>-1.879043</v>
      </c>
      <c r="S47" s="4" cm="1">
        <f t="array" ref="S47">INDEX(GMW!$A$2:$NF$150,MATCH(1,(GMW!$NE$2:$NE$150=S$3)*(GMW!$ND$2:$ND$150=S$4)*(GMW!$NF$2:$NF$150=S$1),0),$C47-1966)</f>
        <v>275877</v>
      </c>
      <c r="T47" s="4" cm="1">
        <f t="array" ref="T47">INDEX(GMW!$A$2:$NF$150,MATCH(1,(GMW!$NE$2:$NE$150=T$3)*(GMW!$ND$2:$ND$150=T$4)*(GMW!$NF$2:$NF$150=T$1),0),$C47-1966)</f>
        <v>40.172429999999999</v>
      </c>
      <c r="U47" s="4" cm="1">
        <f t="array" ref="U47">INDEX(GMW!$A$2:$NF$150,MATCH(1,(GMW!$NE$2:$NE$150=U$3)*(GMW!$ND$2:$ND$150=U$4)*(GMW!$NF$2:$NF$150=U$1),0),$C47-1966)</f>
        <v>47208</v>
      </c>
      <c r="V47" s="4" cm="1">
        <f t="array" ref="V47">INDEX(GMW!$A$2:$NF$150,MATCH(1,(GMW!$NE$2:$NE$150=V$3)*(GMW!$ND$2:$ND$150=V$4)*(GMW!$NF$2:$NF$150=V$1),0),$C47-1966)</f>
        <v>13361.43</v>
      </c>
      <c r="W47" s="4" cm="1">
        <f t="array" ref="W47">INDEX(GMW!$A$2:$NF$150,MATCH(1,(GMW!$NE$2:$NE$150=W$3)*(GMW!$ND$2:$ND$150=W$4)*(GMW!$NF$2:$NF$150=W$1),0),$C47-1966)</f>
        <v>40491</v>
      </c>
      <c r="X47" s="4" cm="1">
        <f t="array" ref="X47">INDEX(GMW!$A$2:$NF$150,MATCH(1,(GMW!$NE$2:$NE$150=X$3)*(GMW!$ND$2:$ND$150=X$4)*(GMW!$NF$2:$NF$150=X$1),0),$C47-1966)</f>
        <v>18293.38</v>
      </c>
      <c r="Y47" s="4" cm="1">
        <f t="array" ref="Y47">INDEX(GMW!$A$2:$NF$150,MATCH(1,(GMW!$NE$2:$NE$150=Y$3)*(GMW!$ND$2:$ND$150=Y$4)*(GMW!$NF$2:$NF$150=Y$1),0),$C47-1966)</f>
        <v>49100</v>
      </c>
      <c r="Z47" s="4" cm="1">
        <f t="array" ref="Z47">INDEX(GMW!$A$2:$NF$150,MATCH(1,(GMW!$NE$2:$NE$150=Z$3)*(GMW!$ND$2:$ND$150=Z$4)*(GMW!$NF$2:$NF$150=Z$1),0),$C47-1966)</f>
        <v>17069.71</v>
      </c>
      <c r="AA47" s="4" cm="1">
        <f t="array" ref="AA47">INDEX(GMW!$A$2:$NF$150,MATCH(1,(GMW!$NE$2:$NE$150=AA$3)*(GMW!$ND$2:$ND$150=AA$4)*(GMW!$NF$2:$NF$150=AA$1),0),$C47-1966)</f>
        <v>277254.8</v>
      </c>
      <c r="AB47" s="4" cm="1">
        <f t="array" ref="AB47">INDEX(GMW!$A$2:$NF$150,MATCH(1,(GMW!$NE$2:$NE$150=AB$3)*(GMW!$ND$2:$ND$150=AB$4)*(GMW!$NF$2:$NF$150=AB$1),0),$C47-1966)</f>
        <v>24117.35</v>
      </c>
      <c r="AC47" s="4" cm="1">
        <f t="array" ref="AC47">INDEX(GMW!$A$2:$NF$150,MATCH(1,(GMW!$NE$2:$NE$150=AC$3)*(GMW!$ND$2:$ND$150=AC$4)*(GMW!$NF$2:$NF$150=AC$1),0),$C47-1966)</f>
        <v>1E-3</v>
      </c>
      <c r="AD47" s="4" cm="1">
        <f t="array" ref="AD47">INDEX(GMW!$A$2:$NF$150,MATCH(1,(GMW!$NE$2:$NE$150=AD$3)*(GMW!$ND$2:$ND$150=AD$4)*(GMW!$NF$2:$NF$150=AD$1),0),$C47-1966)</f>
        <v>313469.8</v>
      </c>
      <c r="AE47" s="4" cm="1">
        <f t="array" ref="AE47">INDEX(GMW!$A$2:$NF$150,MATCH(1,(GMW!$NE$2:$NE$150=AE$3)*(GMW!$ND$2:$ND$150=AE$4)*(GMW!$NF$2:$NF$150=AE$1),0),$C47-1966)</f>
        <v>36668.379999999997</v>
      </c>
      <c r="AF47" s="4" cm="1">
        <f t="array" ref="AF47">INDEX(GMW!$A$2:$NF$150,MATCH(1,(GMW!$NE$2:$NE$150=AF$3)*(GMW!$ND$2:$ND$150=AF$4)*(GMW!$NF$2:$NF$150=AF$1),0),$C47-1966)</f>
        <v>1296465</v>
      </c>
      <c r="AG47" s="4" cm="1">
        <f t="array" ref="AG47">INDEX(GMW!$A$2:$NF$150,MATCH(1,(GMW!$NE$2:$NE$150=AG$3)*(GMW!$ND$2:$ND$150=AG$4)*(GMW!$NF$2:$NF$150=AG$1),0),$C47-1966)</f>
        <v>-1.879043</v>
      </c>
      <c r="AH47" s="4" cm="1">
        <f t="array" ref="AH47">INDEX(GMW!$A$2:$NF$150,MATCH(1,(GMW!$NE$2:$NE$150=AH$3)*(GMW!$ND$2:$ND$150=AH$4)*(GMW!$NF$2:$NF$150=AH$1),0),$C47-1966)</f>
        <v>275877</v>
      </c>
      <c r="AI47" s="4" cm="1">
        <f t="array" ref="AI47">INDEX(GMW!$A$2:$NF$150,MATCH(1,(GMW!$NE$2:$NE$150=AI$3)*(GMW!$ND$2:$ND$150=AI$4)*(GMW!$NF$2:$NF$150=AI$1),0),$C47-1966)</f>
        <v>40.172429999999999</v>
      </c>
      <c r="AJ47" s="4" cm="1">
        <f t="array" ref="AJ47">INDEX(GMW!$A$2:$NF$150,MATCH(1,(GMW!$NE$2:$NE$150=AJ$3)*(GMW!$ND$2:$ND$150=AJ$4)*(GMW!$NF$2:$NF$150=AJ$1),0),$C47-1966)</f>
        <v>47208</v>
      </c>
      <c r="AK47" s="4" cm="1">
        <f t="array" ref="AK47">INDEX(GMW!$A$2:$NF$150,MATCH(1,(GMW!$NE$2:$NE$150=AK$3)*(GMW!$ND$2:$ND$150=AK$4)*(GMW!$NF$2:$NF$150=AK$1),0),$C47-1966)</f>
        <v>13361.43</v>
      </c>
      <c r="AL47" s="4" cm="1">
        <f t="array" ref="AL47">INDEX(GMW!$A$2:$NF$150,MATCH(1,(GMW!$NE$2:$NE$150=AL$3)*(GMW!$ND$2:$ND$150=AL$4)*(GMW!$NF$2:$NF$150=AL$1),0),$C47-1966)</f>
        <v>40491</v>
      </c>
      <c r="AM47" s="4" cm="1">
        <f t="array" ref="AM47">INDEX(GMW!$A$2:$NF$150,MATCH(1,(GMW!$NE$2:$NE$150=AM$3)*(GMW!$ND$2:$ND$150=AM$4)*(GMW!$NF$2:$NF$150=AM$1),0),$C47-1966)</f>
        <v>18293.38</v>
      </c>
      <c r="AN47" s="4" cm="1">
        <f t="array" ref="AN47">INDEX(GMW!$A$2:$NF$150,MATCH(1,(GMW!$NE$2:$NE$150=AN$3)*(GMW!$ND$2:$ND$150=AN$4)*(GMW!$NF$2:$NF$150=AN$1),0),$C47-1966)</f>
        <v>49100</v>
      </c>
      <c r="AO47" s="4" cm="1">
        <f t="array" ref="AO47">INDEX(GMW!$A$2:$NF$150,MATCH(1,(GMW!$NE$2:$NE$150=AO$3)*(GMW!$ND$2:$ND$150=AO$4)*(GMW!$NF$2:$NF$150=AO$1),0),$C47-1966)</f>
        <v>17069.71</v>
      </c>
      <c r="AP47" s="4" cm="1">
        <f t="array" ref="AP47">INDEX(GMW!$A$2:$NF$150,MATCH(1,(GMW!$NE$2:$NE$150=AP$3)*(GMW!$ND$2:$ND$150=AP$4)*(GMW!$NF$2:$NF$150=AP$1),0),$C47-1966)</f>
        <v>277254.8</v>
      </c>
      <c r="AQ47" s="4" cm="1">
        <f t="array" ref="AQ47">INDEX(GMW!$A$2:$NF$150,MATCH(1,(GMW!$NE$2:$NE$150=AQ$3)*(GMW!$ND$2:$ND$150=AQ$4)*(GMW!$NF$2:$NF$150=AQ$1),0),$C47-1966)</f>
        <v>24117.35</v>
      </c>
      <c r="AR47" s="4" cm="1">
        <f t="array" ref="AR47">INDEX(GMW!$A$2:$NF$150,MATCH(1,(GMW!$NE$2:$NE$150=AR$3)*(GMW!$ND$2:$ND$150=AR$4)*(GMW!$NF$2:$NF$150=AR$1),0),$C47-1966)</f>
        <v>1E-3</v>
      </c>
      <c r="AS47" s="4" cm="1">
        <f t="array" ref="AS47">INDEX(GMW!$A$2:$NF$150,MATCH(1,(GMW!$NE$2:$NE$150=AS$3)*(GMW!$ND$2:$ND$150=AS$4)*(GMW!$NF$2:$NF$150=AS$1),0),$C47-1966)</f>
        <v>313469.8</v>
      </c>
      <c r="AT47" s="4" cm="1">
        <f t="array" ref="AT47">INDEX(GMW!$A$2:$NF$150,MATCH(1,(GMW!$NE$2:$NE$150=AT$3)*(GMW!$ND$2:$ND$150=AT$4)*(GMW!$NF$2:$NF$150=AT$1),0),$C47-1966)</f>
        <v>36668.379999999997</v>
      </c>
      <c r="AU47" s="4" cm="1">
        <f t="array" ref="AU47">INDEX(GMW!$A$2:$NF$150,MATCH(1,(GMW!$NE$2:$NE$150=AU$3)*(GMW!$ND$2:$ND$150=AU$4)*(GMW!$NF$2:$NF$150=AU$1),0),$C47-1966)</f>
        <v>1296465</v>
      </c>
      <c r="AV47" s="4" cm="1">
        <f t="array" ref="AV47">INDEX(GMW!$A$2:$NF$150,MATCH(1,(GMW!$NE$2:$NE$150=AV$3)*(GMW!$ND$2:$ND$150=AV$4)*(GMW!$NF$2:$NF$150=AV$1),0),$C47-1966)</f>
        <v>-1.879043</v>
      </c>
    </row>
    <row r="48" spans="1:48" x14ac:dyDescent="0.25">
      <c r="B48" s="4">
        <f t="shared" si="4"/>
        <v>1983</v>
      </c>
      <c r="C48" s="4">
        <f>+C47+1</f>
        <v>2014</v>
      </c>
      <c r="D48" s="4" cm="1">
        <f t="array" ref="D48">INDEX(GMW!$A$2:$NF$150,MATCH(1,(GMW!$NE$2:$NE$150=D$3)*(GMW!$ND$2:$ND$150=D$4)*(GMW!$NF$2:$NF$150=D$1),0),$C48-1966)</f>
        <v>277790</v>
      </c>
      <c r="E48" s="4" cm="1">
        <f t="array" ref="E48">INDEX(GMW!$A$2:$NF$150,MATCH(1,(GMW!$NE$2:$NE$150=E$3)*(GMW!$ND$2:$ND$150=E$4)*(GMW!$NF$2:$NF$150=E$1),0),$C48-1966)</f>
        <v>40.85022</v>
      </c>
      <c r="F48" s="4" cm="1">
        <f t="array" ref="F48">INDEX(GMW!$A$2:$NF$150,MATCH(1,(GMW!$NE$2:$NE$150=F$3)*(GMW!$ND$2:$ND$150=F$4)*(GMW!$NF$2:$NF$150=F$1),0),$C48-1966)</f>
        <v>47152</v>
      </c>
      <c r="G48" s="4" cm="1">
        <f t="array" ref="G48">INDEX(GMW!$A$2:$NF$150,MATCH(1,(GMW!$NE$2:$NE$150=G$3)*(GMW!$ND$2:$ND$150=G$4)*(GMW!$NF$2:$NF$150=G$1),0),$C48-1966)</f>
        <v>12684.37</v>
      </c>
      <c r="H48" s="4" cm="1">
        <f t="array" ref="H48">INDEX(GMW!$A$2:$NF$150,MATCH(1,(GMW!$NE$2:$NE$150=H$3)*(GMW!$ND$2:$ND$150=H$4)*(GMW!$NF$2:$NF$150=H$1),0),$C48-1966)</f>
        <v>41549</v>
      </c>
      <c r="I48" s="4" cm="1">
        <f t="array" ref="I48">INDEX(GMW!$A$2:$NF$150,MATCH(1,(GMW!$NE$2:$NE$150=I$3)*(GMW!$ND$2:$ND$150=I$4)*(GMW!$NF$2:$NF$150=I$1),0),$C48-1966)</f>
        <v>17976.5</v>
      </c>
      <c r="J48" s="4" cm="1">
        <f t="array" ref="J48">INDEX(GMW!$A$2:$NF$150,MATCH(1,(GMW!$NE$2:$NE$150=J$3)*(GMW!$ND$2:$ND$150=J$4)*(GMW!$NF$2:$NF$150=J$1),0),$C48-1966)</f>
        <v>48513</v>
      </c>
      <c r="K48" s="4" cm="1">
        <f t="array" ref="K48">INDEX(GMW!$A$2:$NF$150,MATCH(1,(GMW!$NE$2:$NE$150=K$3)*(GMW!$ND$2:$ND$150=K$4)*(GMW!$NF$2:$NF$150=K$1),0),$C48-1966)</f>
        <v>17183.95</v>
      </c>
      <c r="L48" s="4" cm="1">
        <f t="array" ref="L48">INDEX(GMW!$A$2:$NF$150,MATCH(1,(GMW!$NE$2:$NE$150=L$3)*(GMW!$ND$2:$ND$150=L$4)*(GMW!$NF$2:$NF$150=L$1),0),$C48-1966)</f>
        <v>278705.59999999998</v>
      </c>
      <c r="M48" s="4" cm="1">
        <f t="array" ref="M48">INDEX(GMW!$A$2:$NF$150,MATCH(1,(GMW!$NE$2:$NE$150=M$3)*(GMW!$ND$2:$ND$150=M$4)*(GMW!$NF$2:$NF$150=M$1),0),$C48-1966)</f>
        <v>24159.88</v>
      </c>
      <c r="N48" s="4" cm="1">
        <f t="array" ref="N48">INDEX(GMW!$A$2:$NF$150,MATCH(1,(GMW!$NE$2:$NE$150=N$3)*(GMW!$ND$2:$ND$150=N$4)*(GMW!$NF$2:$NF$150=N$1),0),$C48-1966)</f>
        <v>1E-3</v>
      </c>
      <c r="O48" s="4" cm="1">
        <f t="array" ref="O48">INDEX(GMW!$A$2:$NF$150,MATCH(1,(GMW!$NE$2:$NE$150=O$3)*(GMW!$ND$2:$ND$150=O$4)*(GMW!$NF$2:$NF$150=O$1),0),$C48-1966)</f>
        <v>314170.8</v>
      </c>
      <c r="P48" s="4" cm="1">
        <f t="array" ref="P48">INDEX(GMW!$A$2:$NF$150,MATCH(1,(GMW!$NE$2:$NE$150=P$3)*(GMW!$ND$2:$ND$150=P$4)*(GMW!$NF$2:$NF$150=P$1),0),$C48-1966)</f>
        <v>36737.879999999997</v>
      </c>
      <c r="Q48" s="4" cm="1">
        <f t="array" ref="Q48">INDEX(GMW!$A$2:$NF$150,MATCH(1,(GMW!$NE$2:$NE$150=Q$3)*(GMW!$ND$2:$ND$150=Q$4)*(GMW!$NF$2:$NF$150=Q$1),0),$C48-1966)</f>
        <v>1299896</v>
      </c>
      <c r="R48" s="4" cm="1">
        <f t="array" ref="R48">INDEX(GMW!$A$2:$NF$150,MATCH(1,(GMW!$NE$2:$NE$150=R$3)*(GMW!$ND$2:$ND$150=R$4)*(GMW!$NF$2:$NF$150=R$1),0),$C48-1966)</f>
        <v>-1.8759980000000001</v>
      </c>
      <c r="S48" s="4" cm="1">
        <f t="array" ref="S48">INDEX(GMW!$A$2:$NF$150,MATCH(1,(GMW!$NE$2:$NE$150=S$3)*(GMW!$ND$2:$ND$150=S$4)*(GMW!$NF$2:$NF$150=S$1),0),$C48-1966)</f>
        <v>277790</v>
      </c>
      <c r="T48" s="4" cm="1">
        <f t="array" ref="T48">INDEX(GMW!$A$2:$NF$150,MATCH(1,(GMW!$NE$2:$NE$150=T$3)*(GMW!$ND$2:$ND$150=T$4)*(GMW!$NF$2:$NF$150=T$1),0),$C48-1966)</f>
        <v>40.85022</v>
      </c>
      <c r="U48" s="4" cm="1">
        <f t="array" ref="U48">INDEX(GMW!$A$2:$NF$150,MATCH(1,(GMW!$NE$2:$NE$150=U$3)*(GMW!$ND$2:$ND$150=U$4)*(GMW!$NF$2:$NF$150=U$1),0),$C48-1966)</f>
        <v>47152</v>
      </c>
      <c r="V48" s="4" cm="1">
        <f t="array" ref="V48">INDEX(GMW!$A$2:$NF$150,MATCH(1,(GMW!$NE$2:$NE$150=V$3)*(GMW!$ND$2:$ND$150=V$4)*(GMW!$NF$2:$NF$150=V$1),0),$C48-1966)</f>
        <v>12684.37</v>
      </c>
      <c r="W48" s="4" cm="1">
        <f t="array" ref="W48">INDEX(GMW!$A$2:$NF$150,MATCH(1,(GMW!$NE$2:$NE$150=W$3)*(GMW!$ND$2:$ND$150=W$4)*(GMW!$NF$2:$NF$150=W$1),0),$C48-1966)</f>
        <v>41549</v>
      </c>
      <c r="X48" s="4" cm="1">
        <f t="array" ref="X48">INDEX(GMW!$A$2:$NF$150,MATCH(1,(GMW!$NE$2:$NE$150=X$3)*(GMW!$ND$2:$ND$150=X$4)*(GMW!$NF$2:$NF$150=X$1),0),$C48-1966)</f>
        <v>17976.5</v>
      </c>
      <c r="Y48" s="4" cm="1">
        <f t="array" ref="Y48">INDEX(GMW!$A$2:$NF$150,MATCH(1,(GMW!$NE$2:$NE$150=Y$3)*(GMW!$ND$2:$ND$150=Y$4)*(GMW!$NF$2:$NF$150=Y$1),0),$C48-1966)</f>
        <v>48513</v>
      </c>
      <c r="Z48" s="4" cm="1">
        <f t="array" ref="Z48">INDEX(GMW!$A$2:$NF$150,MATCH(1,(GMW!$NE$2:$NE$150=Z$3)*(GMW!$ND$2:$ND$150=Z$4)*(GMW!$NF$2:$NF$150=Z$1),0),$C48-1966)</f>
        <v>17183.95</v>
      </c>
      <c r="AA48" s="4" cm="1">
        <f t="array" ref="AA48">INDEX(GMW!$A$2:$NF$150,MATCH(1,(GMW!$NE$2:$NE$150=AA$3)*(GMW!$ND$2:$ND$150=AA$4)*(GMW!$NF$2:$NF$150=AA$1),0),$C48-1966)</f>
        <v>278705.59999999998</v>
      </c>
      <c r="AB48" s="4" cm="1">
        <f t="array" ref="AB48">INDEX(GMW!$A$2:$NF$150,MATCH(1,(GMW!$NE$2:$NE$150=AB$3)*(GMW!$ND$2:$ND$150=AB$4)*(GMW!$NF$2:$NF$150=AB$1),0),$C48-1966)</f>
        <v>24159.88</v>
      </c>
      <c r="AC48" s="4" cm="1">
        <f t="array" ref="AC48">INDEX(GMW!$A$2:$NF$150,MATCH(1,(GMW!$NE$2:$NE$150=AC$3)*(GMW!$ND$2:$ND$150=AC$4)*(GMW!$NF$2:$NF$150=AC$1),0),$C48-1966)</f>
        <v>1E-3</v>
      </c>
      <c r="AD48" s="4" cm="1">
        <f t="array" ref="AD48">INDEX(GMW!$A$2:$NF$150,MATCH(1,(GMW!$NE$2:$NE$150=AD$3)*(GMW!$ND$2:$ND$150=AD$4)*(GMW!$NF$2:$NF$150=AD$1),0),$C48-1966)</f>
        <v>314170.8</v>
      </c>
      <c r="AE48" s="4" cm="1">
        <f t="array" ref="AE48">INDEX(GMW!$A$2:$NF$150,MATCH(1,(GMW!$NE$2:$NE$150=AE$3)*(GMW!$ND$2:$ND$150=AE$4)*(GMW!$NF$2:$NF$150=AE$1),0),$C48-1966)</f>
        <v>36737.879999999997</v>
      </c>
      <c r="AF48" s="4" cm="1">
        <f t="array" ref="AF48">INDEX(GMW!$A$2:$NF$150,MATCH(1,(GMW!$NE$2:$NE$150=AF$3)*(GMW!$ND$2:$ND$150=AF$4)*(GMW!$NF$2:$NF$150=AF$1),0),$C48-1966)</f>
        <v>1299896</v>
      </c>
      <c r="AG48" s="4" cm="1">
        <f t="array" ref="AG48">INDEX(GMW!$A$2:$NF$150,MATCH(1,(GMW!$NE$2:$NE$150=AG$3)*(GMW!$ND$2:$ND$150=AG$4)*(GMW!$NF$2:$NF$150=AG$1),0),$C48-1966)</f>
        <v>-1.8759980000000001</v>
      </c>
      <c r="AH48" s="4" cm="1">
        <f t="array" ref="AH48">INDEX(GMW!$A$2:$NF$150,MATCH(1,(GMW!$NE$2:$NE$150=AH$3)*(GMW!$ND$2:$ND$150=AH$4)*(GMW!$NF$2:$NF$150=AH$1),0),$C48-1966)</f>
        <v>277790</v>
      </c>
      <c r="AI48" s="4" cm="1">
        <f t="array" ref="AI48">INDEX(GMW!$A$2:$NF$150,MATCH(1,(GMW!$NE$2:$NE$150=AI$3)*(GMW!$ND$2:$ND$150=AI$4)*(GMW!$NF$2:$NF$150=AI$1),0),$C48-1966)</f>
        <v>40.85022</v>
      </c>
      <c r="AJ48" s="4" cm="1">
        <f t="array" ref="AJ48">INDEX(GMW!$A$2:$NF$150,MATCH(1,(GMW!$NE$2:$NE$150=AJ$3)*(GMW!$ND$2:$ND$150=AJ$4)*(GMW!$NF$2:$NF$150=AJ$1),0),$C48-1966)</f>
        <v>47152</v>
      </c>
      <c r="AK48" s="4" cm="1">
        <f t="array" ref="AK48">INDEX(GMW!$A$2:$NF$150,MATCH(1,(GMW!$NE$2:$NE$150=AK$3)*(GMW!$ND$2:$ND$150=AK$4)*(GMW!$NF$2:$NF$150=AK$1),0),$C48-1966)</f>
        <v>12684.37</v>
      </c>
      <c r="AL48" s="4" cm="1">
        <f t="array" ref="AL48">INDEX(GMW!$A$2:$NF$150,MATCH(1,(GMW!$NE$2:$NE$150=AL$3)*(GMW!$ND$2:$ND$150=AL$4)*(GMW!$NF$2:$NF$150=AL$1),0),$C48-1966)</f>
        <v>41549</v>
      </c>
      <c r="AM48" s="4" cm="1">
        <f t="array" ref="AM48">INDEX(GMW!$A$2:$NF$150,MATCH(1,(GMW!$NE$2:$NE$150=AM$3)*(GMW!$ND$2:$ND$150=AM$4)*(GMW!$NF$2:$NF$150=AM$1),0),$C48-1966)</f>
        <v>17976.5</v>
      </c>
      <c r="AN48" s="4" cm="1">
        <f t="array" ref="AN48">INDEX(GMW!$A$2:$NF$150,MATCH(1,(GMW!$NE$2:$NE$150=AN$3)*(GMW!$ND$2:$ND$150=AN$4)*(GMW!$NF$2:$NF$150=AN$1),0),$C48-1966)</f>
        <v>48513</v>
      </c>
      <c r="AO48" s="4" cm="1">
        <f t="array" ref="AO48">INDEX(GMW!$A$2:$NF$150,MATCH(1,(GMW!$NE$2:$NE$150=AO$3)*(GMW!$ND$2:$ND$150=AO$4)*(GMW!$NF$2:$NF$150=AO$1),0),$C48-1966)</f>
        <v>17183.95</v>
      </c>
      <c r="AP48" s="4" cm="1">
        <f t="array" ref="AP48">INDEX(GMW!$A$2:$NF$150,MATCH(1,(GMW!$NE$2:$NE$150=AP$3)*(GMW!$ND$2:$ND$150=AP$4)*(GMW!$NF$2:$NF$150=AP$1),0),$C48-1966)</f>
        <v>278705.59999999998</v>
      </c>
      <c r="AQ48" s="4" cm="1">
        <f t="array" ref="AQ48">INDEX(GMW!$A$2:$NF$150,MATCH(1,(GMW!$NE$2:$NE$150=AQ$3)*(GMW!$ND$2:$ND$150=AQ$4)*(GMW!$NF$2:$NF$150=AQ$1),0),$C48-1966)</f>
        <v>24159.88</v>
      </c>
      <c r="AR48" s="4" cm="1">
        <f t="array" ref="AR48">INDEX(GMW!$A$2:$NF$150,MATCH(1,(GMW!$NE$2:$NE$150=AR$3)*(GMW!$ND$2:$ND$150=AR$4)*(GMW!$NF$2:$NF$150=AR$1),0),$C48-1966)</f>
        <v>1E-3</v>
      </c>
      <c r="AS48" s="4" cm="1">
        <f t="array" ref="AS48">INDEX(GMW!$A$2:$NF$150,MATCH(1,(GMW!$NE$2:$NE$150=AS$3)*(GMW!$ND$2:$ND$150=AS$4)*(GMW!$NF$2:$NF$150=AS$1),0),$C48-1966)</f>
        <v>314170.8</v>
      </c>
      <c r="AT48" s="4" cm="1">
        <f t="array" ref="AT48">INDEX(GMW!$A$2:$NF$150,MATCH(1,(GMW!$NE$2:$NE$150=AT$3)*(GMW!$ND$2:$ND$150=AT$4)*(GMW!$NF$2:$NF$150=AT$1),0),$C48-1966)</f>
        <v>36737.879999999997</v>
      </c>
      <c r="AU48" s="4" cm="1">
        <f t="array" ref="AU48">INDEX(GMW!$A$2:$NF$150,MATCH(1,(GMW!$NE$2:$NE$150=AU$3)*(GMW!$ND$2:$ND$150=AU$4)*(GMW!$NF$2:$NF$150=AU$1),0),$C48-1966)</f>
        <v>1299896</v>
      </c>
      <c r="AV48" s="4" cm="1">
        <f t="array" ref="AV48">INDEX(GMW!$A$2:$NF$150,MATCH(1,(GMW!$NE$2:$NE$150=AV$3)*(GMW!$ND$2:$ND$150=AV$4)*(GMW!$NF$2:$NF$150=AV$1),0),$C48-1966)</f>
        <v>-1.8759980000000001</v>
      </c>
    </row>
    <row r="49" spans="1:48" x14ac:dyDescent="0.25">
      <c r="B49" s="4">
        <f t="shared" si="4"/>
        <v>1983</v>
      </c>
      <c r="C49" s="4">
        <f t="shared" ref="C49:C112" si="5">+C48+1</f>
        <v>2015</v>
      </c>
      <c r="D49" s="4" cm="1">
        <f t="array" ref="D49">INDEX(GMW!$A$2:$NF$150,MATCH(1,(GMW!$NE$2:$NE$150=D$3)*(GMW!$ND$2:$ND$150=D$4)*(GMW!$NF$2:$NF$150=D$1),0),$C49-1966)</f>
        <v>280996</v>
      </c>
      <c r="E49" s="4" cm="1">
        <f t="array" ref="E49">INDEX(GMW!$A$2:$NF$150,MATCH(1,(GMW!$NE$2:$NE$150=E$3)*(GMW!$ND$2:$ND$150=E$4)*(GMW!$NF$2:$NF$150=E$1),0),$C49-1966)</f>
        <v>41.293399999999998</v>
      </c>
      <c r="F49" s="4" cm="1">
        <f t="array" ref="F49">INDEX(GMW!$A$2:$NF$150,MATCH(1,(GMW!$NE$2:$NE$150=F$3)*(GMW!$ND$2:$ND$150=F$4)*(GMW!$NF$2:$NF$150=F$1),0),$C49-1966)</f>
        <v>48076</v>
      </c>
      <c r="G49" s="4" cm="1">
        <f t="array" ref="G49">INDEX(GMW!$A$2:$NF$150,MATCH(1,(GMW!$NE$2:$NE$150=G$3)*(GMW!$ND$2:$ND$150=G$4)*(GMW!$NF$2:$NF$150=G$1),0),$C49-1966)</f>
        <v>13444.37</v>
      </c>
      <c r="H49" s="4" cm="1">
        <f t="array" ref="H49">INDEX(GMW!$A$2:$NF$150,MATCH(1,(GMW!$NE$2:$NE$150=H$3)*(GMW!$ND$2:$ND$150=H$4)*(GMW!$NF$2:$NF$150=H$1),0),$C49-1966)</f>
        <v>41802</v>
      </c>
      <c r="I49" s="4" cm="1">
        <f t="array" ref="I49">INDEX(GMW!$A$2:$NF$150,MATCH(1,(GMW!$NE$2:$NE$150=I$3)*(GMW!$ND$2:$ND$150=I$4)*(GMW!$NF$2:$NF$150=I$1),0),$C49-1966)</f>
        <v>18257.5</v>
      </c>
      <c r="J49" s="4" cm="1">
        <f t="array" ref="J49">INDEX(GMW!$A$2:$NF$150,MATCH(1,(GMW!$NE$2:$NE$150=J$3)*(GMW!$ND$2:$ND$150=J$4)*(GMW!$NF$2:$NF$150=J$1),0),$C49-1966)</f>
        <v>48978</v>
      </c>
      <c r="K49" s="4" cm="1">
        <f t="array" ref="K49">INDEX(GMW!$A$2:$NF$150,MATCH(1,(GMW!$NE$2:$NE$150=K$3)*(GMW!$ND$2:$ND$150=K$4)*(GMW!$NF$2:$NF$150=K$1),0),$C49-1966)</f>
        <v>17130.849999999999</v>
      </c>
      <c r="L49" s="4" cm="1">
        <f t="array" ref="L49">INDEX(GMW!$A$2:$NF$150,MATCH(1,(GMW!$NE$2:$NE$150=L$3)*(GMW!$ND$2:$ND$150=L$4)*(GMW!$NF$2:$NF$150=L$1),0),$C49-1966)</f>
        <v>281386.40000000002</v>
      </c>
      <c r="M49" s="4" cm="1">
        <f t="array" ref="M49">INDEX(GMW!$A$2:$NF$150,MATCH(1,(GMW!$NE$2:$NE$150=M$3)*(GMW!$ND$2:$ND$150=M$4)*(GMW!$NF$2:$NF$150=M$1),0),$C49-1966)</f>
        <v>24360.79</v>
      </c>
      <c r="N49" s="4" cm="1">
        <f t="array" ref="N49">INDEX(GMW!$A$2:$NF$150,MATCH(1,(GMW!$NE$2:$NE$150=N$3)*(GMW!$ND$2:$ND$150=N$4)*(GMW!$NF$2:$NF$150=N$1),0),$C49-1966)</f>
        <v>1E-3</v>
      </c>
      <c r="O49" s="4" cm="1">
        <f t="array" ref="O49">INDEX(GMW!$A$2:$NF$150,MATCH(1,(GMW!$NE$2:$NE$150=O$3)*(GMW!$ND$2:$ND$150=O$4)*(GMW!$NF$2:$NF$150=O$1),0),$C49-1966)</f>
        <v>315042.90000000002</v>
      </c>
      <c r="P49" s="4" cm="1">
        <f t="array" ref="P49">INDEX(GMW!$A$2:$NF$150,MATCH(1,(GMW!$NE$2:$NE$150=P$3)*(GMW!$ND$2:$ND$150=P$4)*(GMW!$NF$2:$NF$150=P$1),0),$C49-1966)</f>
        <v>36812.129999999997</v>
      </c>
      <c r="Q49" s="4" cm="1">
        <f t="array" ref="Q49">INDEX(GMW!$A$2:$NF$150,MATCH(1,(GMW!$NE$2:$NE$150=Q$3)*(GMW!$ND$2:$ND$150=Q$4)*(GMW!$NF$2:$NF$150=Q$1),0),$C49-1966)</f>
        <v>1303327</v>
      </c>
      <c r="R49" s="4" cm="1">
        <f t="array" ref="R49">INDEX(GMW!$A$2:$NF$150,MATCH(1,(GMW!$NE$2:$NE$150=R$3)*(GMW!$ND$2:$ND$150=R$4)*(GMW!$NF$2:$NF$150=R$1),0),$C49-1966)</f>
        <v>-1.872959</v>
      </c>
      <c r="S49" s="4" cm="1">
        <f t="array" ref="S49">INDEX(GMW!$A$2:$NF$150,MATCH(1,(GMW!$NE$2:$NE$150=S$3)*(GMW!$ND$2:$ND$150=S$4)*(GMW!$NF$2:$NF$150=S$1),0),$C49-1966)</f>
        <v>280996</v>
      </c>
      <c r="T49" s="4" cm="1">
        <f t="array" ref="T49">INDEX(GMW!$A$2:$NF$150,MATCH(1,(GMW!$NE$2:$NE$150=T$3)*(GMW!$ND$2:$ND$150=T$4)*(GMW!$NF$2:$NF$150=T$1),0),$C49-1966)</f>
        <v>41.293399999999998</v>
      </c>
      <c r="U49" s="4" cm="1">
        <f t="array" ref="U49">INDEX(GMW!$A$2:$NF$150,MATCH(1,(GMW!$NE$2:$NE$150=U$3)*(GMW!$ND$2:$ND$150=U$4)*(GMW!$NF$2:$NF$150=U$1),0),$C49-1966)</f>
        <v>48076</v>
      </c>
      <c r="V49" s="4" cm="1">
        <f t="array" ref="V49">INDEX(GMW!$A$2:$NF$150,MATCH(1,(GMW!$NE$2:$NE$150=V$3)*(GMW!$ND$2:$ND$150=V$4)*(GMW!$NF$2:$NF$150=V$1),0),$C49-1966)</f>
        <v>13444.37</v>
      </c>
      <c r="W49" s="4" cm="1">
        <f t="array" ref="W49">INDEX(GMW!$A$2:$NF$150,MATCH(1,(GMW!$NE$2:$NE$150=W$3)*(GMW!$ND$2:$ND$150=W$4)*(GMW!$NF$2:$NF$150=W$1),0),$C49-1966)</f>
        <v>41802</v>
      </c>
      <c r="X49" s="4" cm="1">
        <f t="array" ref="X49">INDEX(GMW!$A$2:$NF$150,MATCH(1,(GMW!$NE$2:$NE$150=X$3)*(GMW!$ND$2:$ND$150=X$4)*(GMW!$NF$2:$NF$150=X$1),0),$C49-1966)</f>
        <v>18257.5</v>
      </c>
      <c r="Y49" s="4" cm="1">
        <f t="array" ref="Y49">INDEX(GMW!$A$2:$NF$150,MATCH(1,(GMW!$NE$2:$NE$150=Y$3)*(GMW!$ND$2:$ND$150=Y$4)*(GMW!$NF$2:$NF$150=Y$1),0),$C49-1966)</f>
        <v>48978</v>
      </c>
      <c r="Z49" s="4" cm="1">
        <f t="array" ref="Z49">INDEX(GMW!$A$2:$NF$150,MATCH(1,(GMW!$NE$2:$NE$150=Z$3)*(GMW!$ND$2:$ND$150=Z$4)*(GMW!$NF$2:$NF$150=Z$1),0),$C49-1966)</f>
        <v>17130.849999999999</v>
      </c>
      <c r="AA49" s="4" cm="1">
        <f t="array" ref="AA49">INDEX(GMW!$A$2:$NF$150,MATCH(1,(GMW!$NE$2:$NE$150=AA$3)*(GMW!$ND$2:$ND$150=AA$4)*(GMW!$NF$2:$NF$150=AA$1),0),$C49-1966)</f>
        <v>281386.40000000002</v>
      </c>
      <c r="AB49" s="4" cm="1">
        <f t="array" ref="AB49">INDEX(GMW!$A$2:$NF$150,MATCH(1,(GMW!$NE$2:$NE$150=AB$3)*(GMW!$ND$2:$ND$150=AB$4)*(GMW!$NF$2:$NF$150=AB$1),0),$C49-1966)</f>
        <v>24360.79</v>
      </c>
      <c r="AC49" s="4" cm="1">
        <f t="array" ref="AC49">INDEX(GMW!$A$2:$NF$150,MATCH(1,(GMW!$NE$2:$NE$150=AC$3)*(GMW!$ND$2:$ND$150=AC$4)*(GMW!$NF$2:$NF$150=AC$1),0),$C49-1966)</f>
        <v>1E-3</v>
      </c>
      <c r="AD49" s="4" cm="1">
        <f t="array" ref="AD49">INDEX(GMW!$A$2:$NF$150,MATCH(1,(GMW!$NE$2:$NE$150=AD$3)*(GMW!$ND$2:$ND$150=AD$4)*(GMW!$NF$2:$NF$150=AD$1),0),$C49-1966)</f>
        <v>315042.90000000002</v>
      </c>
      <c r="AE49" s="4" cm="1">
        <f t="array" ref="AE49">INDEX(GMW!$A$2:$NF$150,MATCH(1,(GMW!$NE$2:$NE$150=AE$3)*(GMW!$ND$2:$ND$150=AE$4)*(GMW!$NF$2:$NF$150=AE$1),0),$C49-1966)</f>
        <v>36812.129999999997</v>
      </c>
      <c r="AF49" s="4" cm="1">
        <f t="array" ref="AF49">INDEX(GMW!$A$2:$NF$150,MATCH(1,(GMW!$NE$2:$NE$150=AF$3)*(GMW!$ND$2:$ND$150=AF$4)*(GMW!$NF$2:$NF$150=AF$1),0),$C49-1966)</f>
        <v>1303327</v>
      </c>
      <c r="AG49" s="4" cm="1">
        <f t="array" ref="AG49">INDEX(GMW!$A$2:$NF$150,MATCH(1,(GMW!$NE$2:$NE$150=AG$3)*(GMW!$ND$2:$ND$150=AG$4)*(GMW!$NF$2:$NF$150=AG$1),0),$C49-1966)</f>
        <v>-1.872959</v>
      </c>
      <c r="AH49" s="4" cm="1">
        <f t="array" ref="AH49">INDEX(GMW!$A$2:$NF$150,MATCH(1,(GMW!$NE$2:$NE$150=AH$3)*(GMW!$ND$2:$ND$150=AH$4)*(GMW!$NF$2:$NF$150=AH$1),0),$C49-1966)</f>
        <v>280996</v>
      </c>
      <c r="AI49" s="4" cm="1">
        <f t="array" ref="AI49">INDEX(GMW!$A$2:$NF$150,MATCH(1,(GMW!$NE$2:$NE$150=AI$3)*(GMW!$ND$2:$ND$150=AI$4)*(GMW!$NF$2:$NF$150=AI$1),0),$C49-1966)</f>
        <v>41.293399999999998</v>
      </c>
      <c r="AJ49" s="4" cm="1">
        <f t="array" ref="AJ49">INDEX(GMW!$A$2:$NF$150,MATCH(1,(GMW!$NE$2:$NE$150=AJ$3)*(GMW!$ND$2:$ND$150=AJ$4)*(GMW!$NF$2:$NF$150=AJ$1),0),$C49-1966)</f>
        <v>48076</v>
      </c>
      <c r="AK49" s="4" cm="1">
        <f t="array" ref="AK49">INDEX(GMW!$A$2:$NF$150,MATCH(1,(GMW!$NE$2:$NE$150=AK$3)*(GMW!$ND$2:$ND$150=AK$4)*(GMW!$NF$2:$NF$150=AK$1),0),$C49-1966)</f>
        <v>13444.37</v>
      </c>
      <c r="AL49" s="4" cm="1">
        <f t="array" ref="AL49">INDEX(GMW!$A$2:$NF$150,MATCH(1,(GMW!$NE$2:$NE$150=AL$3)*(GMW!$ND$2:$ND$150=AL$4)*(GMW!$NF$2:$NF$150=AL$1),0),$C49-1966)</f>
        <v>41802</v>
      </c>
      <c r="AM49" s="4" cm="1">
        <f t="array" ref="AM49">INDEX(GMW!$A$2:$NF$150,MATCH(1,(GMW!$NE$2:$NE$150=AM$3)*(GMW!$ND$2:$ND$150=AM$4)*(GMW!$NF$2:$NF$150=AM$1),0),$C49-1966)</f>
        <v>18257.5</v>
      </c>
      <c r="AN49" s="4" cm="1">
        <f t="array" ref="AN49">INDEX(GMW!$A$2:$NF$150,MATCH(1,(GMW!$NE$2:$NE$150=AN$3)*(GMW!$ND$2:$ND$150=AN$4)*(GMW!$NF$2:$NF$150=AN$1),0),$C49-1966)</f>
        <v>48978</v>
      </c>
      <c r="AO49" s="4" cm="1">
        <f t="array" ref="AO49">INDEX(GMW!$A$2:$NF$150,MATCH(1,(GMW!$NE$2:$NE$150=AO$3)*(GMW!$ND$2:$ND$150=AO$4)*(GMW!$NF$2:$NF$150=AO$1),0),$C49-1966)</f>
        <v>17130.849999999999</v>
      </c>
      <c r="AP49" s="4" cm="1">
        <f t="array" ref="AP49">INDEX(GMW!$A$2:$NF$150,MATCH(1,(GMW!$NE$2:$NE$150=AP$3)*(GMW!$ND$2:$ND$150=AP$4)*(GMW!$NF$2:$NF$150=AP$1),0),$C49-1966)</f>
        <v>281386.40000000002</v>
      </c>
      <c r="AQ49" s="4" cm="1">
        <f t="array" ref="AQ49">INDEX(GMW!$A$2:$NF$150,MATCH(1,(GMW!$NE$2:$NE$150=AQ$3)*(GMW!$ND$2:$ND$150=AQ$4)*(GMW!$NF$2:$NF$150=AQ$1),0),$C49-1966)</f>
        <v>24360.79</v>
      </c>
      <c r="AR49" s="4" cm="1">
        <f t="array" ref="AR49">INDEX(GMW!$A$2:$NF$150,MATCH(1,(GMW!$NE$2:$NE$150=AR$3)*(GMW!$ND$2:$ND$150=AR$4)*(GMW!$NF$2:$NF$150=AR$1),0),$C49-1966)</f>
        <v>1E-3</v>
      </c>
      <c r="AS49" s="4" cm="1">
        <f t="array" ref="AS49">INDEX(GMW!$A$2:$NF$150,MATCH(1,(GMW!$NE$2:$NE$150=AS$3)*(GMW!$ND$2:$ND$150=AS$4)*(GMW!$NF$2:$NF$150=AS$1),0),$C49-1966)</f>
        <v>315042.90000000002</v>
      </c>
      <c r="AT49" s="4" cm="1">
        <f t="array" ref="AT49">INDEX(GMW!$A$2:$NF$150,MATCH(1,(GMW!$NE$2:$NE$150=AT$3)*(GMW!$ND$2:$ND$150=AT$4)*(GMW!$NF$2:$NF$150=AT$1),0),$C49-1966)</f>
        <v>36812.129999999997</v>
      </c>
      <c r="AU49" s="4" cm="1">
        <f t="array" ref="AU49">INDEX(GMW!$A$2:$NF$150,MATCH(1,(GMW!$NE$2:$NE$150=AU$3)*(GMW!$ND$2:$ND$150=AU$4)*(GMW!$NF$2:$NF$150=AU$1),0),$C49-1966)</f>
        <v>1303327</v>
      </c>
      <c r="AV49" s="4" cm="1">
        <f t="array" ref="AV49">INDEX(GMW!$A$2:$NF$150,MATCH(1,(GMW!$NE$2:$NE$150=AV$3)*(GMW!$ND$2:$ND$150=AV$4)*(GMW!$NF$2:$NF$150=AV$1),0),$C49-1966)</f>
        <v>-1.872959</v>
      </c>
    </row>
    <row r="50" spans="1:48" x14ac:dyDescent="0.25">
      <c r="B50" s="4">
        <f t="shared" si="4"/>
        <v>1983</v>
      </c>
      <c r="C50" s="4">
        <f t="shared" si="5"/>
        <v>2016</v>
      </c>
      <c r="D50" s="4" cm="1">
        <f t="array" ref="D50">INDEX(GMW!$A$2:$NF$150,MATCH(1,(GMW!$NE$2:$NE$150=D$3)*(GMW!$ND$2:$ND$150=D$4)*(GMW!$NF$2:$NF$150=D$1),0),$C50-1966)</f>
        <v>283096</v>
      </c>
      <c r="E50" s="4" cm="1">
        <f t="array" ref="E50">INDEX(GMW!$A$2:$NF$150,MATCH(1,(GMW!$NE$2:$NE$150=E$3)*(GMW!$ND$2:$ND$150=E$4)*(GMW!$NF$2:$NF$150=E$1),0),$C50-1966)</f>
        <v>41.762639999999998</v>
      </c>
      <c r="F50" s="4" cm="1">
        <f t="array" ref="F50">INDEX(GMW!$A$2:$NF$150,MATCH(1,(GMW!$NE$2:$NE$150=F$3)*(GMW!$ND$2:$ND$150=F$4)*(GMW!$NF$2:$NF$150=F$1),0),$C50-1966)</f>
        <v>48814</v>
      </c>
      <c r="G50" s="4" cm="1">
        <f t="array" ref="G50">INDEX(GMW!$A$2:$NF$150,MATCH(1,(GMW!$NE$2:$NE$150=G$3)*(GMW!$ND$2:$ND$150=G$4)*(GMW!$NF$2:$NF$150=G$1),0),$C50-1966)</f>
        <v>12600.25</v>
      </c>
      <c r="H50" s="4" cm="1">
        <f t="array" ref="H50">INDEX(GMW!$A$2:$NF$150,MATCH(1,(GMW!$NE$2:$NE$150=H$3)*(GMW!$ND$2:$ND$150=H$4)*(GMW!$NF$2:$NF$150=H$1),0),$C50-1966)</f>
        <v>43271</v>
      </c>
      <c r="I50" s="4" cm="1">
        <f t="array" ref="I50">INDEX(GMW!$A$2:$NF$150,MATCH(1,(GMW!$NE$2:$NE$150=I$3)*(GMW!$ND$2:$ND$150=I$4)*(GMW!$NF$2:$NF$150=I$1),0),$C50-1966)</f>
        <v>19691.45</v>
      </c>
      <c r="J50" s="4" cm="1">
        <f t="array" ref="J50">INDEX(GMW!$A$2:$NF$150,MATCH(1,(GMW!$NE$2:$NE$150=J$3)*(GMW!$ND$2:$ND$150=J$4)*(GMW!$NF$2:$NF$150=J$1),0),$C50-1966)</f>
        <v>51258</v>
      </c>
      <c r="K50" s="4" cm="1">
        <f t="array" ref="K50">INDEX(GMW!$A$2:$NF$150,MATCH(1,(GMW!$NE$2:$NE$150=K$3)*(GMW!$ND$2:$ND$150=K$4)*(GMW!$NF$2:$NF$150=K$1),0),$C50-1966)</f>
        <v>18360.11</v>
      </c>
      <c r="L50" s="4" cm="1">
        <f t="array" ref="L50">INDEX(GMW!$A$2:$NF$150,MATCH(1,(GMW!$NE$2:$NE$150=L$3)*(GMW!$ND$2:$ND$150=L$4)*(GMW!$NF$2:$NF$150=L$1),0),$C50-1966)</f>
        <v>284241.7</v>
      </c>
      <c r="M50" s="4" cm="1">
        <f t="array" ref="M50">INDEX(GMW!$A$2:$NF$150,MATCH(1,(GMW!$NE$2:$NE$150=M$3)*(GMW!$ND$2:$ND$150=M$4)*(GMW!$NF$2:$NF$150=M$1),0),$C50-1966)</f>
        <v>24580.71</v>
      </c>
      <c r="N50" s="4" cm="1">
        <f t="array" ref="N50">INDEX(GMW!$A$2:$NF$150,MATCH(1,(GMW!$NE$2:$NE$150=N$3)*(GMW!$ND$2:$ND$150=N$4)*(GMW!$NF$2:$NF$150=N$1),0),$C50-1966)</f>
        <v>1E-3</v>
      </c>
      <c r="O50" s="4" cm="1">
        <f t="array" ref="O50">INDEX(GMW!$A$2:$NF$150,MATCH(1,(GMW!$NE$2:$NE$150=O$3)*(GMW!$ND$2:$ND$150=O$4)*(GMW!$NF$2:$NF$150=O$1),0),$C50-1966)</f>
        <v>315991.8</v>
      </c>
      <c r="P50" s="4" cm="1">
        <f t="array" ref="P50">INDEX(GMW!$A$2:$NF$150,MATCH(1,(GMW!$NE$2:$NE$150=P$3)*(GMW!$ND$2:$ND$150=P$4)*(GMW!$NF$2:$NF$150=P$1),0),$C50-1966)</f>
        <v>36886.379999999997</v>
      </c>
      <c r="Q50" s="4" cm="1">
        <f t="array" ref="Q50">INDEX(GMW!$A$2:$NF$150,MATCH(1,(GMW!$NE$2:$NE$150=Q$3)*(GMW!$ND$2:$ND$150=Q$4)*(GMW!$NF$2:$NF$150=Q$1),0),$C50-1966)</f>
        <v>1306758</v>
      </c>
      <c r="R50" s="4" cm="1">
        <f t="array" ref="R50">INDEX(GMW!$A$2:$NF$150,MATCH(1,(GMW!$NE$2:$NE$150=R$3)*(GMW!$ND$2:$ND$150=R$4)*(GMW!$NF$2:$NF$150=R$1),0),$C50-1966)</f>
        <v>-1.8699250000000001</v>
      </c>
      <c r="S50" s="4" cm="1">
        <f t="array" ref="S50">INDEX(GMW!$A$2:$NF$150,MATCH(1,(GMW!$NE$2:$NE$150=S$3)*(GMW!$ND$2:$ND$150=S$4)*(GMW!$NF$2:$NF$150=S$1),0),$C50-1966)</f>
        <v>283096</v>
      </c>
      <c r="T50" s="4" cm="1">
        <f t="array" ref="T50">INDEX(GMW!$A$2:$NF$150,MATCH(1,(GMW!$NE$2:$NE$150=T$3)*(GMW!$ND$2:$ND$150=T$4)*(GMW!$NF$2:$NF$150=T$1),0),$C50-1966)</f>
        <v>41.762639999999998</v>
      </c>
      <c r="U50" s="4" cm="1">
        <f t="array" ref="U50">INDEX(GMW!$A$2:$NF$150,MATCH(1,(GMW!$NE$2:$NE$150=U$3)*(GMW!$ND$2:$ND$150=U$4)*(GMW!$NF$2:$NF$150=U$1),0),$C50-1966)</f>
        <v>48814</v>
      </c>
      <c r="V50" s="4" cm="1">
        <f t="array" ref="V50">INDEX(GMW!$A$2:$NF$150,MATCH(1,(GMW!$NE$2:$NE$150=V$3)*(GMW!$ND$2:$ND$150=V$4)*(GMW!$NF$2:$NF$150=V$1),0),$C50-1966)</f>
        <v>12600.25</v>
      </c>
      <c r="W50" s="4" cm="1">
        <f t="array" ref="W50">INDEX(GMW!$A$2:$NF$150,MATCH(1,(GMW!$NE$2:$NE$150=W$3)*(GMW!$ND$2:$ND$150=W$4)*(GMW!$NF$2:$NF$150=W$1),0),$C50-1966)</f>
        <v>43271</v>
      </c>
      <c r="X50" s="4" cm="1">
        <f t="array" ref="X50">INDEX(GMW!$A$2:$NF$150,MATCH(1,(GMW!$NE$2:$NE$150=X$3)*(GMW!$ND$2:$ND$150=X$4)*(GMW!$NF$2:$NF$150=X$1),0),$C50-1966)</f>
        <v>19691.45</v>
      </c>
      <c r="Y50" s="4" cm="1">
        <f t="array" ref="Y50">INDEX(GMW!$A$2:$NF$150,MATCH(1,(GMW!$NE$2:$NE$150=Y$3)*(GMW!$ND$2:$ND$150=Y$4)*(GMW!$NF$2:$NF$150=Y$1),0),$C50-1966)</f>
        <v>51258</v>
      </c>
      <c r="Z50" s="4" cm="1">
        <f t="array" ref="Z50">INDEX(GMW!$A$2:$NF$150,MATCH(1,(GMW!$NE$2:$NE$150=Z$3)*(GMW!$ND$2:$ND$150=Z$4)*(GMW!$NF$2:$NF$150=Z$1),0),$C50-1966)</f>
        <v>18360.11</v>
      </c>
      <c r="AA50" s="4" cm="1">
        <f t="array" ref="AA50">INDEX(GMW!$A$2:$NF$150,MATCH(1,(GMW!$NE$2:$NE$150=AA$3)*(GMW!$ND$2:$ND$150=AA$4)*(GMW!$NF$2:$NF$150=AA$1),0),$C50-1966)</f>
        <v>284241.7</v>
      </c>
      <c r="AB50" s="4" cm="1">
        <f t="array" ref="AB50">INDEX(GMW!$A$2:$NF$150,MATCH(1,(GMW!$NE$2:$NE$150=AB$3)*(GMW!$ND$2:$ND$150=AB$4)*(GMW!$NF$2:$NF$150=AB$1),0),$C50-1966)</f>
        <v>24580.71</v>
      </c>
      <c r="AC50" s="4" cm="1">
        <f t="array" ref="AC50">INDEX(GMW!$A$2:$NF$150,MATCH(1,(GMW!$NE$2:$NE$150=AC$3)*(GMW!$ND$2:$ND$150=AC$4)*(GMW!$NF$2:$NF$150=AC$1),0),$C50-1966)</f>
        <v>1E-3</v>
      </c>
      <c r="AD50" s="4" cm="1">
        <f t="array" ref="AD50">INDEX(GMW!$A$2:$NF$150,MATCH(1,(GMW!$NE$2:$NE$150=AD$3)*(GMW!$ND$2:$ND$150=AD$4)*(GMW!$NF$2:$NF$150=AD$1),0),$C50-1966)</f>
        <v>315991.8</v>
      </c>
      <c r="AE50" s="4" cm="1">
        <f t="array" ref="AE50">INDEX(GMW!$A$2:$NF$150,MATCH(1,(GMW!$NE$2:$NE$150=AE$3)*(GMW!$ND$2:$ND$150=AE$4)*(GMW!$NF$2:$NF$150=AE$1),0),$C50-1966)</f>
        <v>36886.379999999997</v>
      </c>
      <c r="AF50" s="4" cm="1">
        <f t="array" ref="AF50">INDEX(GMW!$A$2:$NF$150,MATCH(1,(GMW!$NE$2:$NE$150=AF$3)*(GMW!$ND$2:$ND$150=AF$4)*(GMW!$NF$2:$NF$150=AF$1),0),$C50-1966)</f>
        <v>1306758</v>
      </c>
      <c r="AG50" s="4" cm="1">
        <f t="array" ref="AG50">INDEX(GMW!$A$2:$NF$150,MATCH(1,(GMW!$NE$2:$NE$150=AG$3)*(GMW!$ND$2:$ND$150=AG$4)*(GMW!$NF$2:$NF$150=AG$1),0),$C50-1966)</f>
        <v>-1.8699250000000001</v>
      </c>
      <c r="AH50" s="4" cm="1">
        <f t="array" ref="AH50">INDEX(GMW!$A$2:$NF$150,MATCH(1,(GMW!$NE$2:$NE$150=AH$3)*(GMW!$ND$2:$ND$150=AH$4)*(GMW!$NF$2:$NF$150=AH$1),0),$C50-1966)</f>
        <v>283096</v>
      </c>
      <c r="AI50" s="4" cm="1">
        <f t="array" ref="AI50">INDEX(GMW!$A$2:$NF$150,MATCH(1,(GMW!$NE$2:$NE$150=AI$3)*(GMW!$ND$2:$ND$150=AI$4)*(GMW!$NF$2:$NF$150=AI$1),0),$C50-1966)</f>
        <v>41.762639999999998</v>
      </c>
      <c r="AJ50" s="4" cm="1">
        <f t="array" ref="AJ50">INDEX(GMW!$A$2:$NF$150,MATCH(1,(GMW!$NE$2:$NE$150=AJ$3)*(GMW!$ND$2:$ND$150=AJ$4)*(GMW!$NF$2:$NF$150=AJ$1),0),$C50-1966)</f>
        <v>48814</v>
      </c>
      <c r="AK50" s="4" cm="1">
        <f t="array" ref="AK50">INDEX(GMW!$A$2:$NF$150,MATCH(1,(GMW!$NE$2:$NE$150=AK$3)*(GMW!$ND$2:$ND$150=AK$4)*(GMW!$NF$2:$NF$150=AK$1),0),$C50-1966)</f>
        <v>12600.25</v>
      </c>
      <c r="AL50" s="4" cm="1">
        <f t="array" ref="AL50">INDEX(GMW!$A$2:$NF$150,MATCH(1,(GMW!$NE$2:$NE$150=AL$3)*(GMW!$ND$2:$ND$150=AL$4)*(GMW!$NF$2:$NF$150=AL$1),0),$C50-1966)</f>
        <v>43271</v>
      </c>
      <c r="AM50" s="4" cm="1">
        <f t="array" ref="AM50">INDEX(GMW!$A$2:$NF$150,MATCH(1,(GMW!$NE$2:$NE$150=AM$3)*(GMW!$ND$2:$ND$150=AM$4)*(GMW!$NF$2:$NF$150=AM$1),0),$C50-1966)</f>
        <v>19691.45</v>
      </c>
      <c r="AN50" s="4" cm="1">
        <f t="array" ref="AN50">INDEX(GMW!$A$2:$NF$150,MATCH(1,(GMW!$NE$2:$NE$150=AN$3)*(GMW!$ND$2:$ND$150=AN$4)*(GMW!$NF$2:$NF$150=AN$1),0),$C50-1966)</f>
        <v>51258</v>
      </c>
      <c r="AO50" s="4" cm="1">
        <f t="array" ref="AO50">INDEX(GMW!$A$2:$NF$150,MATCH(1,(GMW!$NE$2:$NE$150=AO$3)*(GMW!$ND$2:$ND$150=AO$4)*(GMW!$NF$2:$NF$150=AO$1),0),$C50-1966)</f>
        <v>18360.11</v>
      </c>
      <c r="AP50" s="4" cm="1">
        <f t="array" ref="AP50">INDEX(GMW!$A$2:$NF$150,MATCH(1,(GMW!$NE$2:$NE$150=AP$3)*(GMW!$ND$2:$ND$150=AP$4)*(GMW!$NF$2:$NF$150=AP$1),0),$C50-1966)</f>
        <v>284241.7</v>
      </c>
      <c r="AQ50" s="4" cm="1">
        <f t="array" ref="AQ50">INDEX(GMW!$A$2:$NF$150,MATCH(1,(GMW!$NE$2:$NE$150=AQ$3)*(GMW!$ND$2:$ND$150=AQ$4)*(GMW!$NF$2:$NF$150=AQ$1),0),$C50-1966)</f>
        <v>24580.71</v>
      </c>
      <c r="AR50" s="4" cm="1">
        <f t="array" ref="AR50">INDEX(GMW!$A$2:$NF$150,MATCH(1,(GMW!$NE$2:$NE$150=AR$3)*(GMW!$ND$2:$ND$150=AR$4)*(GMW!$NF$2:$NF$150=AR$1),0),$C50-1966)</f>
        <v>1E-3</v>
      </c>
      <c r="AS50" s="4" cm="1">
        <f t="array" ref="AS50">INDEX(GMW!$A$2:$NF$150,MATCH(1,(GMW!$NE$2:$NE$150=AS$3)*(GMW!$ND$2:$ND$150=AS$4)*(GMW!$NF$2:$NF$150=AS$1),0),$C50-1966)</f>
        <v>315991.8</v>
      </c>
      <c r="AT50" s="4" cm="1">
        <f t="array" ref="AT50">INDEX(GMW!$A$2:$NF$150,MATCH(1,(GMW!$NE$2:$NE$150=AT$3)*(GMW!$ND$2:$ND$150=AT$4)*(GMW!$NF$2:$NF$150=AT$1),0),$C50-1966)</f>
        <v>36886.379999999997</v>
      </c>
      <c r="AU50" s="4" cm="1">
        <f t="array" ref="AU50">INDEX(GMW!$A$2:$NF$150,MATCH(1,(GMW!$NE$2:$NE$150=AU$3)*(GMW!$ND$2:$ND$150=AU$4)*(GMW!$NF$2:$NF$150=AU$1),0),$C50-1966)</f>
        <v>1306758</v>
      </c>
      <c r="AV50" s="4" cm="1">
        <f t="array" ref="AV50">INDEX(GMW!$A$2:$NF$150,MATCH(1,(GMW!$NE$2:$NE$150=AV$3)*(GMW!$ND$2:$ND$150=AV$4)*(GMW!$NF$2:$NF$150=AV$1),0),$C50-1966)</f>
        <v>-1.8699250000000001</v>
      </c>
    </row>
    <row r="51" spans="1:48" x14ac:dyDescent="0.25">
      <c r="A51" s="4">
        <v>1984</v>
      </c>
      <c r="B51" s="4">
        <f t="shared" si="4"/>
        <v>1984</v>
      </c>
      <c r="C51" s="4">
        <f t="shared" si="5"/>
        <v>2017</v>
      </c>
      <c r="D51" s="4" cm="1">
        <f t="array" ref="D51">INDEX(GMW!$A$2:$NF$150,MATCH(1,(GMW!$NE$2:$NE$150=D$3)*(GMW!$ND$2:$ND$150=D$4)*(GMW!$NF$2:$NF$150=D$1),0),$C51-1966)</f>
        <v>285469</v>
      </c>
      <c r="E51" s="4" cm="1">
        <f t="array" ref="E51">INDEX(GMW!$A$2:$NF$150,MATCH(1,(GMW!$NE$2:$NE$150=E$3)*(GMW!$ND$2:$ND$150=E$4)*(GMW!$NF$2:$NF$150=E$1),0),$C51-1966)</f>
        <v>41.86692</v>
      </c>
      <c r="F51" s="4" cm="1">
        <f t="array" ref="F51">INDEX(GMW!$A$2:$NF$150,MATCH(1,(GMW!$NE$2:$NE$150=F$3)*(GMW!$ND$2:$ND$150=F$4)*(GMW!$NF$2:$NF$150=F$1),0),$C51-1966)</f>
        <v>49935</v>
      </c>
      <c r="G51" s="4" cm="1">
        <f t="array" ref="G51">INDEX(GMW!$A$2:$NF$150,MATCH(1,(GMW!$NE$2:$NE$150=G$3)*(GMW!$ND$2:$ND$150=G$4)*(GMW!$NF$2:$NF$150=G$1),0),$C51-1966)</f>
        <v>14020.54</v>
      </c>
      <c r="H51" s="4" cm="1">
        <f t="array" ref="H51">INDEX(GMW!$A$2:$NF$150,MATCH(1,(GMW!$NE$2:$NE$150=H$3)*(GMW!$ND$2:$ND$150=H$4)*(GMW!$NF$2:$NF$150=H$1),0),$C51-1966)</f>
        <v>43672</v>
      </c>
      <c r="I51" s="4" cm="1">
        <f t="array" ref="I51">INDEX(GMW!$A$2:$NF$150,MATCH(1,(GMW!$NE$2:$NE$150=I$3)*(GMW!$ND$2:$ND$150=I$4)*(GMW!$NF$2:$NF$150=I$1),0),$C51-1966)</f>
        <v>20075.45</v>
      </c>
      <c r="J51" s="4" cm="1">
        <f t="array" ref="J51">INDEX(GMW!$A$2:$NF$150,MATCH(1,(GMW!$NE$2:$NE$150=J$3)*(GMW!$ND$2:$ND$150=J$4)*(GMW!$NF$2:$NF$150=J$1),0),$C51-1966)</f>
        <v>52357</v>
      </c>
      <c r="K51" s="4" cm="1">
        <f t="array" ref="K51">INDEX(GMW!$A$2:$NF$150,MATCH(1,(GMW!$NE$2:$NE$150=K$3)*(GMW!$ND$2:$ND$150=K$4)*(GMW!$NF$2:$NF$150=K$1),0),$C51-1966)</f>
        <v>18355.29</v>
      </c>
      <c r="L51" s="4" cm="1">
        <f t="array" ref="L51">INDEX(GMW!$A$2:$NF$150,MATCH(1,(GMW!$NE$2:$NE$150=L$3)*(GMW!$ND$2:$ND$150=L$4)*(GMW!$NF$2:$NF$150=L$1),0),$C51-1966)</f>
        <v>286851.90000000002</v>
      </c>
      <c r="M51" s="4" cm="1">
        <f t="array" ref="M51">INDEX(GMW!$A$2:$NF$150,MATCH(1,(GMW!$NE$2:$NE$150=M$3)*(GMW!$ND$2:$ND$150=M$4)*(GMW!$NF$2:$NF$150=M$1),0),$C51-1966)</f>
        <v>24768.04</v>
      </c>
      <c r="N51" s="4" cm="1">
        <f t="array" ref="N51">INDEX(GMW!$A$2:$NF$150,MATCH(1,(GMW!$NE$2:$NE$150=N$3)*(GMW!$ND$2:$ND$150=N$4)*(GMW!$NF$2:$NF$150=N$1),0),$C51-1966)</f>
        <v>1E-3</v>
      </c>
      <c r="O51" s="4" cm="1">
        <f t="array" ref="O51">INDEX(GMW!$A$2:$NF$150,MATCH(1,(GMW!$NE$2:$NE$150=O$3)*(GMW!$ND$2:$ND$150=O$4)*(GMW!$NF$2:$NF$150=O$1),0),$C51-1966)</f>
        <v>316899.40000000002</v>
      </c>
      <c r="P51" s="4" cm="1">
        <f t="array" ref="P51">INDEX(GMW!$A$2:$NF$150,MATCH(1,(GMW!$NE$2:$NE$150=P$3)*(GMW!$ND$2:$ND$150=P$4)*(GMW!$NF$2:$NF$150=P$1),0),$C51-1966)</f>
        <v>36960.639999999999</v>
      </c>
      <c r="Q51" s="4" cm="1">
        <f t="array" ref="Q51">INDEX(GMW!$A$2:$NF$150,MATCH(1,(GMW!$NE$2:$NE$150=Q$3)*(GMW!$ND$2:$ND$150=Q$4)*(GMW!$NF$2:$NF$150=Q$1),0),$C51-1966)</f>
        <v>1312997</v>
      </c>
      <c r="R51" s="4" cm="1">
        <f t="array" ref="R51">INDEX(GMW!$A$2:$NF$150,MATCH(1,(GMW!$NE$2:$NE$150=R$3)*(GMW!$ND$2:$ND$150=R$4)*(GMW!$NF$2:$NF$150=R$1),0),$C51-1966)</f>
        <v>-1.8668960000000001</v>
      </c>
      <c r="S51" s="4" cm="1">
        <f t="array" ref="S51">INDEX(GMW!$A$2:$NF$150,MATCH(1,(GMW!$NE$2:$NE$150=S$3)*(GMW!$ND$2:$ND$150=S$4)*(GMW!$NF$2:$NF$150=S$1),0),$C51-1966)</f>
        <v>285469</v>
      </c>
      <c r="T51" s="4" cm="1">
        <f t="array" ref="T51">INDEX(GMW!$A$2:$NF$150,MATCH(1,(GMW!$NE$2:$NE$150=T$3)*(GMW!$ND$2:$ND$150=T$4)*(GMW!$NF$2:$NF$150=T$1),0),$C51-1966)</f>
        <v>41.86692</v>
      </c>
      <c r="U51" s="4" cm="1">
        <f t="array" ref="U51">INDEX(GMW!$A$2:$NF$150,MATCH(1,(GMW!$NE$2:$NE$150=U$3)*(GMW!$ND$2:$ND$150=U$4)*(GMW!$NF$2:$NF$150=U$1),0),$C51-1966)</f>
        <v>49935</v>
      </c>
      <c r="V51" s="4" cm="1">
        <f t="array" ref="V51">INDEX(GMW!$A$2:$NF$150,MATCH(1,(GMW!$NE$2:$NE$150=V$3)*(GMW!$ND$2:$ND$150=V$4)*(GMW!$NF$2:$NF$150=V$1),0),$C51-1966)</f>
        <v>14020.54</v>
      </c>
      <c r="W51" s="4" cm="1">
        <f t="array" ref="W51">INDEX(GMW!$A$2:$NF$150,MATCH(1,(GMW!$NE$2:$NE$150=W$3)*(GMW!$ND$2:$ND$150=W$4)*(GMW!$NF$2:$NF$150=W$1),0),$C51-1966)</f>
        <v>43672</v>
      </c>
      <c r="X51" s="4" cm="1">
        <f t="array" ref="X51">INDEX(GMW!$A$2:$NF$150,MATCH(1,(GMW!$NE$2:$NE$150=X$3)*(GMW!$ND$2:$ND$150=X$4)*(GMW!$NF$2:$NF$150=X$1),0),$C51-1966)</f>
        <v>20075.45</v>
      </c>
      <c r="Y51" s="4" cm="1">
        <f t="array" ref="Y51">INDEX(GMW!$A$2:$NF$150,MATCH(1,(GMW!$NE$2:$NE$150=Y$3)*(GMW!$ND$2:$ND$150=Y$4)*(GMW!$NF$2:$NF$150=Y$1),0),$C51-1966)</f>
        <v>52357</v>
      </c>
      <c r="Z51" s="4" cm="1">
        <f t="array" ref="Z51">INDEX(GMW!$A$2:$NF$150,MATCH(1,(GMW!$NE$2:$NE$150=Z$3)*(GMW!$ND$2:$ND$150=Z$4)*(GMW!$NF$2:$NF$150=Z$1),0),$C51-1966)</f>
        <v>18355.29</v>
      </c>
      <c r="AA51" s="4" cm="1">
        <f t="array" ref="AA51">INDEX(GMW!$A$2:$NF$150,MATCH(1,(GMW!$NE$2:$NE$150=AA$3)*(GMW!$ND$2:$ND$150=AA$4)*(GMW!$NF$2:$NF$150=AA$1),0),$C51-1966)</f>
        <v>286851.90000000002</v>
      </c>
      <c r="AB51" s="4" cm="1">
        <f t="array" ref="AB51">INDEX(GMW!$A$2:$NF$150,MATCH(1,(GMW!$NE$2:$NE$150=AB$3)*(GMW!$ND$2:$ND$150=AB$4)*(GMW!$NF$2:$NF$150=AB$1),0),$C51-1966)</f>
        <v>24768.04</v>
      </c>
      <c r="AC51" s="4" cm="1">
        <f t="array" ref="AC51">INDEX(GMW!$A$2:$NF$150,MATCH(1,(GMW!$NE$2:$NE$150=AC$3)*(GMW!$ND$2:$ND$150=AC$4)*(GMW!$NF$2:$NF$150=AC$1),0),$C51-1966)</f>
        <v>1E-3</v>
      </c>
      <c r="AD51" s="4" cm="1">
        <f t="array" ref="AD51">INDEX(GMW!$A$2:$NF$150,MATCH(1,(GMW!$NE$2:$NE$150=AD$3)*(GMW!$ND$2:$ND$150=AD$4)*(GMW!$NF$2:$NF$150=AD$1),0),$C51-1966)</f>
        <v>316899.40000000002</v>
      </c>
      <c r="AE51" s="4" cm="1">
        <f t="array" ref="AE51">INDEX(GMW!$A$2:$NF$150,MATCH(1,(GMW!$NE$2:$NE$150=AE$3)*(GMW!$ND$2:$ND$150=AE$4)*(GMW!$NF$2:$NF$150=AE$1),0),$C51-1966)</f>
        <v>36960.639999999999</v>
      </c>
      <c r="AF51" s="4" cm="1">
        <f t="array" ref="AF51">INDEX(GMW!$A$2:$NF$150,MATCH(1,(GMW!$NE$2:$NE$150=AF$3)*(GMW!$ND$2:$ND$150=AF$4)*(GMW!$NF$2:$NF$150=AF$1),0),$C51-1966)</f>
        <v>1312997</v>
      </c>
      <c r="AG51" s="4" cm="1">
        <f t="array" ref="AG51">INDEX(GMW!$A$2:$NF$150,MATCH(1,(GMW!$NE$2:$NE$150=AG$3)*(GMW!$ND$2:$ND$150=AG$4)*(GMW!$NF$2:$NF$150=AG$1),0),$C51-1966)</f>
        <v>-1.8668960000000001</v>
      </c>
      <c r="AH51" s="4" cm="1">
        <f t="array" ref="AH51">INDEX(GMW!$A$2:$NF$150,MATCH(1,(GMW!$NE$2:$NE$150=AH$3)*(GMW!$ND$2:$ND$150=AH$4)*(GMW!$NF$2:$NF$150=AH$1),0),$C51-1966)</f>
        <v>285469</v>
      </c>
      <c r="AI51" s="4" cm="1">
        <f t="array" ref="AI51">INDEX(GMW!$A$2:$NF$150,MATCH(1,(GMW!$NE$2:$NE$150=AI$3)*(GMW!$ND$2:$ND$150=AI$4)*(GMW!$NF$2:$NF$150=AI$1),0),$C51-1966)</f>
        <v>41.86692</v>
      </c>
      <c r="AJ51" s="4" cm="1">
        <f t="array" ref="AJ51">INDEX(GMW!$A$2:$NF$150,MATCH(1,(GMW!$NE$2:$NE$150=AJ$3)*(GMW!$ND$2:$ND$150=AJ$4)*(GMW!$NF$2:$NF$150=AJ$1),0),$C51-1966)</f>
        <v>49935</v>
      </c>
      <c r="AK51" s="4" cm="1">
        <f t="array" ref="AK51">INDEX(GMW!$A$2:$NF$150,MATCH(1,(GMW!$NE$2:$NE$150=AK$3)*(GMW!$ND$2:$ND$150=AK$4)*(GMW!$NF$2:$NF$150=AK$1),0),$C51-1966)</f>
        <v>14020.54</v>
      </c>
      <c r="AL51" s="4" cm="1">
        <f t="array" ref="AL51">INDEX(GMW!$A$2:$NF$150,MATCH(1,(GMW!$NE$2:$NE$150=AL$3)*(GMW!$ND$2:$ND$150=AL$4)*(GMW!$NF$2:$NF$150=AL$1),0),$C51-1966)</f>
        <v>43672</v>
      </c>
      <c r="AM51" s="4" cm="1">
        <f t="array" ref="AM51">INDEX(GMW!$A$2:$NF$150,MATCH(1,(GMW!$NE$2:$NE$150=AM$3)*(GMW!$ND$2:$ND$150=AM$4)*(GMW!$NF$2:$NF$150=AM$1),0),$C51-1966)</f>
        <v>20075.45</v>
      </c>
      <c r="AN51" s="4" cm="1">
        <f t="array" ref="AN51">INDEX(GMW!$A$2:$NF$150,MATCH(1,(GMW!$NE$2:$NE$150=AN$3)*(GMW!$ND$2:$ND$150=AN$4)*(GMW!$NF$2:$NF$150=AN$1),0),$C51-1966)</f>
        <v>52357</v>
      </c>
      <c r="AO51" s="4" cm="1">
        <f t="array" ref="AO51">INDEX(GMW!$A$2:$NF$150,MATCH(1,(GMW!$NE$2:$NE$150=AO$3)*(GMW!$ND$2:$ND$150=AO$4)*(GMW!$NF$2:$NF$150=AO$1),0),$C51-1966)</f>
        <v>18355.29</v>
      </c>
      <c r="AP51" s="4" cm="1">
        <f t="array" ref="AP51">INDEX(GMW!$A$2:$NF$150,MATCH(1,(GMW!$NE$2:$NE$150=AP$3)*(GMW!$ND$2:$ND$150=AP$4)*(GMW!$NF$2:$NF$150=AP$1),0),$C51-1966)</f>
        <v>286851.90000000002</v>
      </c>
      <c r="AQ51" s="4" cm="1">
        <f t="array" ref="AQ51">INDEX(GMW!$A$2:$NF$150,MATCH(1,(GMW!$NE$2:$NE$150=AQ$3)*(GMW!$ND$2:$ND$150=AQ$4)*(GMW!$NF$2:$NF$150=AQ$1),0),$C51-1966)</f>
        <v>24768.04</v>
      </c>
      <c r="AR51" s="4" cm="1">
        <f t="array" ref="AR51">INDEX(GMW!$A$2:$NF$150,MATCH(1,(GMW!$NE$2:$NE$150=AR$3)*(GMW!$ND$2:$ND$150=AR$4)*(GMW!$NF$2:$NF$150=AR$1),0),$C51-1966)</f>
        <v>1E-3</v>
      </c>
      <c r="AS51" s="4" cm="1">
        <f t="array" ref="AS51">INDEX(GMW!$A$2:$NF$150,MATCH(1,(GMW!$NE$2:$NE$150=AS$3)*(GMW!$ND$2:$ND$150=AS$4)*(GMW!$NF$2:$NF$150=AS$1),0),$C51-1966)</f>
        <v>316899.40000000002</v>
      </c>
      <c r="AT51" s="4" cm="1">
        <f t="array" ref="AT51">INDEX(GMW!$A$2:$NF$150,MATCH(1,(GMW!$NE$2:$NE$150=AT$3)*(GMW!$ND$2:$ND$150=AT$4)*(GMW!$NF$2:$NF$150=AT$1),0),$C51-1966)</f>
        <v>36960.639999999999</v>
      </c>
      <c r="AU51" s="4" cm="1">
        <f t="array" ref="AU51">INDEX(GMW!$A$2:$NF$150,MATCH(1,(GMW!$NE$2:$NE$150=AU$3)*(GMW!$ND$2:$ND$150=AU$4)*(GMW!$NF$2:$NF$150=AU$1),0),$C51-1966)</f>
        <v>1312997</v>
      </c>
      <c r="AV51" s="4" cm="1">
        <f t="array" ref="AV51">INDEX(GMW!$A$2:$NF$150,MATCH(1,(GMW!$NE$2:$NE$150=AV$3)*(GMW!$ND$2:$ND$150=AV$4)*(GMW!$NF$2:$NF$150=AV$1),0),$C51-1966)</f>
        <v>-1.8668960000000001</v>
      </c>
    </row>
    <row r="52" spans="1:48" x14ac:dyDescent="0.25">
      <c r="B52" s="4">
        <f t="shared" si="4"/>
        <v>1984</v>
      </c>
      <c r="C52" s="4">
        <f t="shared" si="5"/>
        <v>2018</v>
      </c>
      <c r="D52" s="4" cm="1">
        <f t="array" ref="D52">INDEX(GMW!$A$2:$NF$150,MATCH(1,(GMW!$NE$2:$NE$150=D$3)*(GMW!$ND$2:$ND$150=D$4)*(GMW!$NF$2:$NF$150=D$1),0),$C52-1966)</f>
        <v>282605</v>
      </c>
      <c r="E52" s="4" cm="1">
        <f t="array" ref="E52">INDEX(GMW!$A$2:$NF$150,MATCH(1,(GMW!$NE$2:$NE$150=E$3)*(GMW!$ND$2:$ND$150=E$4)*(GMW!$NF$2:$NF$150=E$1),0),$C52-1966)</f>
        <v>42.779339999999998</v>
      </c>
      <c r="F52" s="4" cm="1">
        <f t="array" ref="F52">INDEX(GMW!$A$2:$NF$150,MATCH(1,(GMW!$NE$2:$NE$150=F$3)*(GMW!$ND$2:$ND$150=F$4)*(GMW!$NF$2:$NF$150=F$1),0),$C52-1966)</f>
        <v>49818</v>
      </c>
      <c r="G52" s="4" cm="1">
        <f t="array" ref="G52">INDEX(GMW!$A$2:$NF$150,MATCH(1,(GMW!$NE$2:$NE$150=G$3)*(GMW!$ND$2:$ND$150=G$4)*(GMW!$NF$2:$NF$150=G$1),0),$C52-1966)</f>
        <v>14567.07</v>
      </c>
      <c r="H52" s="4" cm="1">
        <f t="array" ref="H52">INDEX(GMW!$A$2:$NF$150,MATCH(1,(GMW!$NE$2:$NE$150=H$3)*(GMW!$ND$2:$ND$150=H$4)*(GMW!$NF$2:$NF$150=H$1),0),$C52-1966)</f>
        <v>45571</v>
      </c>
      <c r="I52" s="4" cm="1">
        <f t="array" ref="I52">INDEX(GMW!$A$2:$NF$150,MATCH(1,(GMW!$NE$2:$NE$150=I$3)*(GMW!$ND$2:$ND$150=I$4)*(GMW!$NF$2:$NF$150=I$1),0),$C52-1966)</f>
        <v>19098.849999999999</v>
      </c>
      <c r="J52" s="4" cm="1">
        <f t="array" ref="J52">INDEX(GMW!$A$2:$NF$150,MATCH(1,(GMW!$NE$2:$NE$150=J$3)*(GMW!$ND$2:$ND$150=J$4)*(GMW!$NF$2:$NF$150=J$1),0),$C52-1966)</f>
        <v>52558</v>
      </c>
      <c r="K52" s="4" cm="1">
        <f t="array" ref="K52">INDEX(GMW!$A$2:$NF$150,MATCH(1,(GMW!$NE$2:$NE$150=K$3)*(GMW!$ND$2:$ND$150=K$4)*(GMW!$NF$2:$NF$150=K$1),0),$C52-1966)</f>
        <v>19235.400000000001</v>
      </c>
      <c r="L52" s="4" cm="1">
        <f t="array" ref="L52">INDEX(GMW!$A$2:$NF$150,MATCH(1,(GMW!$NE$2:$NE$150=L$3)*(GMW!$ND$2:$ND$150=L$4)*(GMW!$NF$2:$NF$150=L$1),0),$C52-1966)</f>
        <v>289238.09999999998</v>
      </c>
      <c r="M52" s="4" cm="1">
        <f t="array" ref="M52">INDEX(GMW!$A$2:$NF$150,MATCH(1,(GMW!$NE$2:$NE$150=M$3)*(GMW!$ND$2:$ND$150=M$4)*(GMW!$NF$2:$NF$150=M$1),0),$C52-1966)</f>
        <v>24896.55</v>
      </c>
      <c r="N52" s="4" cm="1">
        <f t="array" ref="N52">INDEX(GMW!$A$2:$NF$150,MATCH(1,(GMW!$NE$2:$NE$150=N$3)*(GMW!$ND$2:$ND$150=N$4)*(GMW!$NF$2:$NF$150=N$1),0),$C52-1966)</f>
        <v>1E-3</v>
      </c>
      <c r="O52" s="4" cm="1">
        <f t="array" ref="O52">INDEX(GMW!$A$2:$NF$150,MATCH(1,(GMW!$NE$2:$NE$150=O$3)*(GMW!$ND$2:$ND$150=O$4)*(GMW!$NF$2:$NF$150=O$1),0),$C52-1966)</f>
        <v>317778.5</v>
      </c>
      <c r="P52" s="4" cm="1">
        <f t="array" ref="P52">INDEX(GMW!$A$2:$NF$150,MATCH(1,(GMW!$NE$2:$NE$150=P$3)*(GMW!$ND$2:$ND$150=P$4)*(GMW!$NF$2:$NF$150=P$1),0),$C52-1966)</f>
        <v>37034.89</v>
      </c>
      <c r="Q52" s="4" cm="1">
        <f t="array" ref="Q52">INDEX(GMW!$A$2:$NF$150,MATCH(1,(GMW!$NE$2:$NE$150=Q$3)*(GMW!$ND$2:$ND$150=Q$4)*(GMW!$NF$2:$NF$150=Q$1),0),$C52-1966)</f>
        <v>1319235</v>
      </c>
      <c r="R52" s="4" cm="1">
        <f t="array" ref="R52">INDEX(GMW!$A$2:$NF$150,MATCH(1,(GMW!$NE$2:$NE$150=R$3)*(GMW!$ND$2:$ND$150=R$4)*(GMW!$NF$2:$NF$150=R$1),0),$C52-1966)</f>
        <v>-1.863872</v>
      </c>
      <c r="S52" s="4" cm="1">
        <f t="array" ref="S52">INDEX(GMW!$A$2:$NF$150,MATCH(1,(GMW!$NE$2:$NE$150=S$3)*(GMW!$ND$2:$ND$150=S$4)*(GMW!$NF$2:$NF$150=S$1),0),$C52-1966)</f>
        <v>282605</v>
      </c>
      <c r="T52" s="4" cm="1">
        <f t="array" ref="T52">INDEX(GMW!$A$2:$NF$150,MATCH(1,(GMW!$NE$2:$NE$150=T$3)*(GMW!$ND$2:$ND$150=T$4)*(GMW!$NF$2:$NF$150=T$1),0),$C52-1966)</f>
        <v>42.779339999999998</v>
      </c>
      <c r="U52" s="4" cm="1">
        <f t="array" ref="U52">INDEX(GMW!$A$2:$NF$150,MATCH(1,(GMW!$NE$2:$NE$150=U$3)*(GMW!$ND$2:$ND$150=U$4)*(GMW!$NF$2:$NF$150=U$1),0),$C52-1966)</f>
        <v>49818</v>
      </c>
      <c r="V52" s="4" cm="1">
        <f t="array" ref="V52">INDEX(GMW!$A$2:$NF$150,MATCH(1,(GMW!$NE$2:$NE$150=V$3)*(GMW!$ND$2:$ND$150=V$4)*(GMW!$NF$2:$NF$150=V$1),0),$C52-1966)</f>
        <v>14567.07</v>
      </c>
      <c r="W52" s="4" cm="1">
        <f t="array" ref="W52">INDEX(GMW!$A$2:$NF$150,MATCH(1,(GMW!$NE$2:$NE$150=W$3)*(GMW!$ND$2:$ND$150=W$4)*(GMW!$NF$2:$NF$150=W$1),0),$C52-1966)</f>
        <v>45571</v>
      </c>
      <c r="X52" s="4" cm="1">
        <f t="array" ref="X52">INDEX(GMW!$A$2:$NF$150,MATCH(1,(GMW!$NE$2:$NE$150=X$3)*(GMW!$ND$2:$ND$150=X$4)*(GMW!$NF$2:$NF$150=X$1),0),$C52-1966)</f>
        <v>19098.849999999999</v>
      </c>
      <c r="Y52" s="4" cm="1">
        <f t="array" ref="Y52">INDEX(GMW!$A$2:$NF$150,MATCH(1,(GMW!$NE$2:$NE$150=Y$3)*(GMW!$ND$2:$ND$150=Y$4)*(GMW!$NF$2:$NF$150=Y$1),0),$C52-1966)</f>
        <v>52558</v>
      </c>
      <c r="Z52" s="4" cm="1">
        <f t="array" ref="Z52">INDEX(GMW!$A$2:$NF$150,MATCH(1,(GMW!$NE$2:$NE$150=Z$3)*(GMW!$ND$2:$ND$150=Z$4)*(GMW!$NF$2:$NF$150=Z$1),0),$C52-1966)</f>
        <v>19235.400000000001</v>
      </c>
      <c r="AA52" s="4" cm="1">
        <f t="array" ref="AA52">INDEX(GMW!$A$2:$NF$150,MATCH(1,(GMW!$NE$2:$NE$150=AA$3)*(GMW!$ND$2:$ND$150=AA$4)*(GMW!$NF$2:$NF$150=AA$1),0),$C52-1966)</f>
        <v>289238.09999999998</v>
      </c>
      <c r="AB52" s="4" cm="1">
        <f t="array" ref="AB52">INDEX(GMW!$A$2:$NF$150,MATCH(1,(GMW!$NE$2:$NE$150=AB$3)*(GMW!$ND$2:$ND$150=AB$4)*(GMW!$NF$2:$NF$150=AB$1),0),$C52-1966)</f>
        <v>24896.55</v>
      </c>
      <c r="AC52" s="4" cm="1">
        <f t="array" ref="AC52">INDEX(GMW!$A$2:$NF$150,MATCH(1,(GMW!$NE$2:$NE$150=AC$3)*(GMW!$ND$2:$ND$150=AC$4)*(GMW!$NF$2:$NF$150=AC$1),0),$C52-1966)</f>
        <v>1E-3</v>
      </c>
      <c r="AD52" s="4" cm="1">
        <f t="array" ref="AD52">INDEX(GMW!$A$2:$NF$150,MATCH(1,(GMW!$NE$2:$NE$150=AD$3)*(GMW!$ND$2:$ND$150=AD$4)*(GMW!$NF$2:$NF$150=AD$1),0),$C52-1966)</f>
        <v>317778.5</v>
      </c>
      <c r="AE52" s="4" cm="1">
        <f t="array" ref="AE52">INDEX(GMW!$A$2:$NF$150,MATCH(1,(GMW!$NE$2:$NE$150=AE$3)*(GMW!$ND$2:$ND$150=AE$4)*(GMW!$NF$2:$NF$150=AE$1),0),$C52-1966)</f>
        <v>37034.89</v>
      </c>
      <c r="AF52" s="4" cm="1">
        <f t="array" ref="AF52">INDEX(GMW!$A$2:$NF$150,MATCH(1,(GMW!$NE$2:$NE$150=AF$3)*(GMW!$ND$2:$ND$150=AF$4)*(GMW!$NF$2:$NF$150=AF$1),0),$C52-1966)</f>
        <v>1319235</v>
      </c>
      <c r="AG52" s="4" cm="1">
        <f t="array" ref="AG52">INDEX(GMW!$A$2:$NF$150,MATCH(1,(GMW!$NE$2:$NE$150=AG$3)*(GMW!$ND$2:$ND$150=AG$4)*(GMW!$NF$2:$NF$150=AG$1),0),$C52-1966)</f>
        <v>-1.863872</v>
      </c>
      <c r="AH52" s="4" cm="1">
        <f t="array" ref="AH52">INDEX(GMW!$A$2:$NF$150,MATCH(1,(GMW!$NE$2:$NE$150=AH$3)*(GMW!$ND$2:$ND$150=AH$4)*(GMW!$NF$2:$NF$150=AH$1),0),$C52-1966)</f>
        <v>282605</v>
      </c>
      <c r="AI52" s="4" cm="1">
        <f t="array" ref="AI52">INDEX(GMW!$A$2:$NF$150,MATCH(1,(GMW!$NE$2:$NE$150=AI$3)*(GMW!$ND$2:$ND$150=AI$4)*(GMW!$NF$2:$NF$150=AI$1),0),$C52-1966)</f>
        <v>42.779339999999998</v>
      </c>
      <c r="AJ52" s="4" cm="1">
        <f t="array" ref="AJ52">INDEX(GMW!$A$2:$NF$150,MATCH(1,(GMW!$NE$2:$NE$150=AJ$3)*(GMW!$ND$2:$ND$150=AJ$4)*(GMW!$NF$2:$NF$150=AJ$1),0),$C52-1966)</f>
        <v>49818</v>
      </c>
      <c r="AK52" s="4" cm="1">
        <f t="array" ref="AK52">INDEX(GMW!$A$2:$NF$150,MATCH(1,(GMW!$NE$2:$NE$150=AK$3)*(GMW!$ND$2:$ND$150=AK$4)*(GMW!$NF$2:$NF$150=AK$1),0),$C52-1966)</f>
        <v>14567.07</v>
      </c>
      <c r="AL52" s="4" cm="1">
        <f t="array" ref="AL52">INDEX(GMW!$A$2:$NF$150,MATCH(1,(GMW!$NE$2:$NE$150=AL$3)*(GMW!$ND$2:$ND$150=AL$4)*(GMW!$NF$2:$NF$150=AL$1),0),$C52-1966)</f>
        <v>45571</v>
      </c>
      <c r="AM52" s="4" cm="1">
        <f t="array" ref="AM52">INDEX(GMW!$A$2:$NF$150,MATCH(1,(GMW!$NE$2:$NE$150=AM$3)*(GMW!$ND$2:$ND$150=AM$4)*(GMW!$NF$2:$NF$150=AM$1),0),$C52-1966)</f>
        <v>19098.849999999999</v>
      </c>
      <c r="AN52" s="4" cm="1">
        <f t="array" ref="AN52">INDEX(GMW!$A$2:$NF$150,MATCH(1,(GMW!$NE$2:$NE$150=AN$3)*(GMW!$ND$2:$ND$150=AN$4)*(GMW!$NF$2:$NF$150=AN$1),0),$C52-1966)</f>
        <v>52558</v>
      </c>
      <c r="AO52" s="4" cm="1">
        <f t="array" ref="AO52">INDEX(GMW!$A$2:$NF$150,MATCH(1,(GMW!$NE$2:$NE$150=AO$3)*(GMW!$ND$2:$ND$150=AO$4)*(GMW!$NF$2:$NF$150=AO$1),0),$C52-1966)</f>
        <v>19235.400000000001</v>
      </c>
      <c r="AP52" s="4" cm="1">
        <f t="array" ref="AP52">INDEX(GMW!$A$2:$NF$150,MATCH(1,(GMW!$NE$2:$NE$150=AP$3)*(GMW!$ND$2:$ND$150=AP$4)*(GMW!$NF$2:$NF$150=AP$1),0),$C52-1966)</f>
        <v>289238.09999999998</v>
      </c>
      <c r="AQ52" s="4" cm="1">
        <f t="array" ref="AQ52">INDEX(GMW!$A$2:$NF$150,MATCH(1,(GMW!$NE$2:$NE$150=AQ$3)*(GMW!$ND$2:$ND$150=AQ$4)*(GMW!$NF$2:$NF$150=AQ$1),0),$C52-1966)</f>
        <v>24896.55</v>
      </c>
      <c r="AR52" s="4" cm="1">
        <f t="array" ref="AR52">INDEX(GMW!$A$2:$NF$150,MATCH(1,(GMW!$NE$2:$NE$150=AR$3)*(GMW!$ND$2:$ND$150=AR$4)*(GMW!$NF$2:$NF$150=AR$1),0),$C52-1966)</f>
        <v>1E-3</v>
      </c>
      <c r="AS52" s="4" cm="1">
        <f t="array" ref="AS52">INDEX(GMW!$A$2:$NF$150,MATCH(1,(GMW!$NE$2:$NE$150=AS$3)*(GMW!$ND$2:$ND$150=AS$4)*(GMW!$NF$2:$NF$150=AS$1),0),$C52-1966)</f>
        <v>317778.5</v>
      </c>
      <c r="AT52" s="4" cm="1">
        <f t="array" ref="AT52">INDEX(GMW!$A$2:$NF$150,MATCH(1,(GMW!$NE$2:$NE$150=AT$3)*(GMW!$ND$2:$ND$150=AT$4)*(GMW!$NF$2:$NF$150=AT$1),0),$C52-1966)</f>
        <v>37034.89</v>
      </c>
      <c r="AU52" s="4" cm="1">
        <f t="array" ref="AU52">INDEX(GMW!$A$2:$NF$150,MATCH(1,(GMW!$NE$2:$NE$150=AU$3)*(GMW!$ND$2:$ND$150=AU$4)*(GMW!$NF$2:$NF$150=AU$1),0),$C52-1966)</f>
        <v>1319235</v>
      </c>
      <c r="AV52" s="4" cm="1">
        <f t="array" ref="AV52">INDEX(GMW!$A$2:$NF$150,MATCH(1,(GMW!$NE$2:$NE$150=AV$3)*(GMW!$ND$2:$ND$150=AV$4)*(GMW!$NF$2:$NF$150=AV$1),0),$C52-1966)</f>
        <v>-1.863872</v>
      </c>
    </row>
    <row r="53" spans="1:48" x14ac:dyDescent="0.25">
      <c r="B53" s="4">
        <f t="shared" si="4"/>
        <v>1984</v>
      </c>
      <c r="C53" s="4">
        <f t="shared" si="5"/>
        <v>2019</v>
      </c>
      <c r="D53" s="4" cm="1">
        <f t="array" ref="D53">INDEX(GMW!$A$2:$NF$150,MATCH(1,(GMW!$NE$2:$NE$150=D$3)*(GMW!$ND$2:$ND$150=D$4)*(GMW!$NF$2:$NF$150=D$1),0),$C53-1966)</f>
        <v>284676</v>
      </c>
      <c r="E53" s="4" cm="1">
        <f t="array" ref="E53">INDEX(GMW!$A$2:$NF$150,MATCH(1,(GMW!$NE$2:$NE$150=E$3)*(GMW!$ND$2:$ND$150=E$4)*(GMW!$NF$2:$NF$150=E$1),0),$C53-1966)</f>
        <v>42.98789</v>
      </c>
      <c r="F53" s="4" cm="1">
        <f t="array" ref="F53">INDEX(GMW!$A$2:$NF$150,MATCH(1,(GMW!$NE$2:$NE$150=F$3)*(GMW!$ND$2:$ND$150=F$4)*(GMW!$NF$2:$NF$150=F$1),0),$C53-1966)</f>
        <v>51338</v>
      </c>
      <c r="G53" s="4" cm="1">
        <f t="array" ref="G53">INDEX(GMW!$A$2:$NF$150,MATCH(1,(GMW!$NE$2:$NE$150=G$3)*(GMW!$ND$2:$ND$150=G$4)*(GMW!$NF$2:$NF$150=G$1),0),$C53-1966)</f>
        <v>13787.42</v>
      </c>
      <c r="H53" s="4" cm="1">
        <f t="array" ref="H53">INDEX(GMW!$A$2:$NF$150,MATCH(1,(GMW!$NE$2:$NE$150=H$3)*(GMW!$ND$2:$ND$150=H$4)*(GMW!$NF$2:$NF$150=H$1),0),$C53-1966)</f>
        <v>45901</v>
      </c>
      <c r="I53" s="4" cm="1">
        <f t="array" ref="I53">INDEX(GMW!$A$2:$NF$150,MATCH(1,(GMW!$NE$2:$NE$150=I$3)*(GMW!$ND$2:$ND$150=I$4)*(GMW!$NF$2:$NF$150=I$1),0),$C53-1966)</f>
        <v>19652.900000000001</v>
      </c>
      <c r="J53" s="4" cm="1">
        <f t="array" ref="J53">INDEX(GMW!$A$2:$NF$150,MATCH(1,(GMW!$NE$2:$NE$150=J$3)*(GMW!$ND$2:$ND$150=J$4)*(GMW!$NF$2:$NF$150=J$1),0),$C53-1966)</f>
        <v>52636</v>
      </c>
      <c r="K53" s="4" cm="1">
        <f t="array" ref="K53">INDEX(GMW!$A$2:$NF$150,MATCH(1,(GMW!$NE$2:$NE$150=K$3)*(GMW!$ND$2:$ND$150=K$4)*(GMW!$NF$2:$NF$150=K$1),0),$C53-1966)</f>
        <v>19655.34</v>
      </c>
      <c r="L53" s="4" cm="1">
        <f t="array" ref="L53">INDEX(GMW!$A$2:$NF$150,MATCH(1,(GMW!$NE$2:$NE$150=L$3)*(GMW!$ND$2:$ND$150=L$4)*(GMW!$NF$2:$NF$150=L$1),0),$C53-1966)</f>
        <v>291277.90000000002</v>
      </c>
      <c r="M53" s="4" cm="1">
        <f t="array" ref="M53">INDEX(GMW!$A$2:$NF$150,MATCH(1,(GMW!$NE$2:$NE$150=M$3)*(GMW!$ND$2:$ND$150=M$4)*(GMW!$NF$2:$NF$150=M$1),0),$C53-1966)</f>
        <v>24953.56</v>
      </c>
      <c r="N53" s="4" cm="1">
        <f t="array" ref="N53">INDEX(GMW!$A$2:$NF$150,MATCH(1,(GMW!$NE$2:$NE$150=N$3)*(GMW!$ND$2:$ND$150=N$4)*(GMW!$NF$2:$NF$150=N$1),0),$C53-1966)</f>
        <v>1E-3</v>
      </c>
      <c r="O53" s="4" cm="1">
        <f t="array" ref="O53">INDEX(GMW!$A$2:$NF$150,MATCH(1,(GMW!$NE$2:$NE$150=O$3)*(GMW!$ND$2:$ND$150=O$4)*(GMW!$NF$2:$NF$150=O$1),0),$C53-1966)</f>
        <v>318840.40000000002</v>
      </c>
      <c r="P53" s="4" cm="1">
        <f t="array" ref="P53">INDEX(GMW!$A$2:$NF$150,MATCH(1,(GMW!$NE$2:$NE$150=P$3)*(GMW!$ND$2:$ND$150=P$4)*(GMW!$NF$2:$NF$150=P$1),0),$C53-1966)</f>
        <v>37051.96</v>
      </c>
      <c r="Q53" s="4" cm="1">
        <f t="array" ref="Q53">INDEX(GMW!$A$2:$NF$150,MATCH(1,(GMW!$NE$2:$NE$150=Q$3)*(GMW!$ND$2:$ND$150=Q$4)*(GMW!$NF$2:$NF$150=Q$1),0),$C53-1966)</f>
        <v>1325473</v>
      </c>
      <c r="R53" s="4" cm="1">
        <f t="array" ref="R53">INDEX(GMW!$A$2:$NF$150,MATCH(1,(GMW!$NE$2:$NE$150=R$3)*(GMW!$ND$2:$ND$150=R$4)*(GMW!$NF$2:$NF$150=R$1),0),$C53-1966)</f>
        <v>-1.860852</v>
      </c>
      <c r="S53" s="4" cm="1">
        <f t="array" ref="S53">INDEX(GMW!$A$2:$NF$150,MATCH(1,(GMW!$NE$2:$NE$150=S$3)*(GMW!$ND$2:$ND$150=S$4)*(GMW!$NF$2:$NF$150=S$1),0),$C53-1966)</f>
        <v>284676</v>
      </c>
      <c r="T53" s="4" cm="1">
        <f t="array" ref="T53">INDEX(GMW!$A$2:$NF$150,MATCH(1,(GMW!$NE$2:$NE$150=T$3)*(GMW!$ND$2:$ND$150=T$4)*(GMW!$NF$2:$NF$150=T$1),0),$C53-1966)</f>
        <v>42.98789</v>
      </c>
      <c r="U53" s="4" cm="1">
        <f t="array" ref="U53">INDEX(GMW!$A$2:$NF$150,MATCH(1,(GMW!$NE$2:$NE$150=U$3)*(GMW!$ND$2:$ND$150=U$4)*(GMW!$NF$2:$NF$150=U$1),0),$C53-1966)</f>
        <v>51338</v>
      </c>
      <c r="V53" s="4" cm="1">
        <f t="array" ref="V53">INDEX(GMW!$A$2:$NF$150,MATCH(1,(GMW!$NE$2:$NE$150=V$3)*(GMW!$ND$2:$ND$150=V$4)*(GMW!$NF$2:$NF$150=V$1),0),$C53-1966)</f>
        <v>13787.42</v>
      </c>
      <c r="W53" s="4" cm="1">
        <f t="array" ref="W53">INDEX(GMW!$A$2:$NF$150,MATCH(1,(GMW!$NE$2:$NE$150=W$3)*(GMW!$ND$2:$ND$150=W$4)*(GMW!$NF$2:$NF$150=W$1),0),$C53-1966)</f>
        <v>45901</v>
      </c>
      <c r="X53" s="4" cm="1">
        <f t="array" ref="X53">INDEX(GMW!$A$2:$NF$150,MATCH(1,(GMW!$NE$2:$NE$150=X$3)*(GMW!$ND$2:$ND$150=X$4)*(GMW!$NF$2:$NF$150=X$1),0),$C53-1966)</f>
        <v>19652.900000000001</v>
      </c>
      <c r="Y53" s="4" cm="1">
        <f t="array" ref="Y53">INDEX(GMW!$A$2:$NF$150,MATCH(1,(GMW!$NE$2:$NE$150=Y$3)*(GMW!$ND$2:$ND$150=Y$4)*(GMW!$NF$2:$NF$150=Y$1),0),$C53-1966)</f>
        <v>52636</v>
      </c>
      <c r="Z53" s="4" cm="1">
        <f t="array" ref="Z53">INDEX(GMW!$A$2:$NF$150,MATCH(1,(GMW!$NE$2:$NE$150=Z$3)*(GMW!$ND$2:$ND$150=Z$4)*(GMW!$NF$2:$NF$150=Z$1),0),$C53-1966)</f>
        <v>19655.34</v>
      </c>
      <c r="AA53" s="4" cm="1">
        <f t="array" ref="AA53">INDEX(GMW!$A$2:$NF$150,MATCH(1,(GMW!$NE$2:$NE$150=AA$3)*(GMW!$ND$2:$ND$150=AA$4)*(GMW!$NF$2:$NF$150=AA$1),0),$C53-1966)</f>
        <v>291277.90000000002</v>
      </c>
      <c r="AB53" s="4" cm="1">
        <f t="array" ref="AB53">INDEX(GMW!$A$2:$NF$150,MATCH(1,(GMW!$NE$2:$NE$150=AB$3)*(GMW!$ND$2:$ND$150=AB$4)*(GMW!$NF$2:$NF$150=AB$1),0),$C53-1966)</f>
        <v>24953.56</v>
      </c>
      <c r="AC53" s="4" cm="1">
        <f t="array" ref="AC53">INDEX(GMW!$A$2:$NF$150,MATCH(1,(GMW!$NE$2:$NE$150=AC$3)*(GMW!$ND$2:$ND$150=AC$4)*(GMW!$NF$2:$NF$150=AC$1),0),$C53-1966)</f>
        <v>1E-3</v>
      </c>
      <c r="AD53" s="4" cm="1">
        <f t="array" ref="AD53">INDEX(GMW!$A$2:$NF$150,MATCH(1,(GMW!$NE$2:$NE$150=AD$3)*(GMW!$ND$2:$ND$150=AD$4)*(GMW!$NF$2:$NF$150=AD$1),0),$C53-1966)</f>
        <v>318840.40000000002</v>
      </c>
      <c r="AE53" s="4" cm="1">
        <f t="array" ref="AE53">INDEX(GMW!$A$2:$NF$150,MATCH(1,(GMW!$NE$2:$NE$150=AE$3)*(GMW!$ND$2:$ND$150=AE$4)*(GMW!$NF$2:$NF$150=AE$1),0),$C53-1966)</f>
        <v>37051.96</v>
      </c>
      <c r="AF53" s="4" cm="1">
        <f t="array" ref="AF53">INDEX(GMW!$A$2:$NF$150,MATCH(1,(GMW!$NE$2:$NE$150=AF$3)*(GMW!$ND$2:$ND$150=AF$4)*(GMW!$NF$2:$NF$150=AF$1),0),$C53-1966)</f>
        <v>1325473</v>
      </c>
      <c r="AG53" s="4" cm="1">
        <f t="array" ref="AG53">INDEX(GMW!$A$2:$NF$150,MATCH(1,(GMW!$NE$2:$NE$150=AG$3)*(GMW!$ND$2:$ND$150=AG$4)*(GMW!$NF$2:$NF$150=AG$1),0),$C53-1966)</f>
        <v>-1.860852</v>
      </c>
      <c r="AH53" s="4" cm="1">
        <f t="array" ref="AH53">INDEX(GMW!$A$2:$NF$150,MATCH(1,(GMW!$NE$2:$NE$150=AH$3)*(GMW!$ND$2:$ND$150=AH$4)*(GMW!$NF$2:$NF$150=AH$1),0),$C53-1966)</f>
        <v>284676</v>
      </c>
      <c r="AI53" s="4" cm="1">
        <f t="array" ref="AI53">INDEX(GMW!$A$2:$NF$150,MATCH(1,(GMW!$NE$2:$NE$150=AI$3)*(GMW!$ND$2:$ND$150=AI$4)*(GMW!$NF$2:$NF$150=AI$1),0),$C53-1966)</f>
        <v>42.98789</v>
      </c>
      <c r="AJ53" s="4" cm="1">
        <f t="array" ref="AJ53">INDEX(GMW!$A$2:$NF$150,MATCH(1,(GMW!$NE$2:$NE$150=AJ$3)*(GMW!$ND$2:$ND$150=AJ$4)*(GMW!$NF$2:$NF$150=AJ$1),0),$C53-1966)</f>
        <v>51338</v>
      </c>
      <c r="AK53" s="4" cm="1">
        <f t="array" ref="AK53">INDEX(GMW!$A$2:$NF$150,MATCH(1,(GMW!$NE$2:$NE$150=AK$3)*(GMW!$ND$2:$ND$150=AK$4)*(GMW!$NF$2:$NF$150=AK$1),0),$C53-1966)</f>
        <v>13787.42</v>
      </c>
      <c r="AL53" s="4" cm="1">
        <f t="array" ref="AL53">INDEX(GMW!$A$2:$NF$150,MATCH(1,(GMW!$NE$2:$NE$150=AL$3)*(GMW!$ND$2:$ND$150=AL$4)*(GMW!$NF$2:$NF$150=AL$1),0),$C53-1966)</f>
        <v>45901</v>
      </c>
      <c r="AM53" s="4" cm="1">
        <f t="array" ref="AM53">INDEX(GMW!$A$2:$NF$150,MATCH(1,(GMW!$NE$2:$NE$150=AM$3)*(GMW!$ND$2:$ND$150=AM$4)*(GMW!$NF$2:$NF$150=AM$1),0),$C53-1966)</f>
        <v>19652.900000000001</v>
      </c>
      <c r="AN53" s="4" cm="1">
        <f t="array" ref="AN53">INDEX(GMW!$A$2:$NF$150,MATCH(1,(GMW!$NE$2:$NE$150=AN$3)*(GMW!$ND$2:$ND$150=AN$4)*(GMW!$NF$2:$NF$150=AN$1),0),$C53-1966)</f>
        <v>52636</v>
      </c>
      <c r="AO53" s="4" cm="1">
        <f t="array" ref="AO53">INDEX(GMW!$A$2:$NF$150,MATCH(1,(GMW!$NE$2:$NE$150=AO$3)*(GMW!$ND$2:$ND$150=AO$4)*(GMW!$NF$2:$NF$150=AO$1),0),$C53-1966)</f>
        <v>19655.34</v>
      </c>
      <c r="AP53" s="4" cm="1">
        <f t="array" ref="AP53">INDEX(GMW!$A$2:$NF$150,MATCH(1,(GMW!$NE$2:$NE$150=AP$3)*(GMW!$ND$2:$ND$150=AP$4)*(GMW!$NF$2:$NF$150=AP$1),0),$C53-1966)</f>
        <v>291277.90000000002</v>
      </c>
      <c r="AQ53" s="4" cm="1">
        <f t="array" ref="AQ53">INDEX(GMW!$A$2:$NF$150,MATCH(1,(GMW!$NE$2:$NE$150=AQ$3)*(GMW!$ND$2:$ND$150=AQ$4)*(GMW!$NF$2:$NF$150=AQ$1),0),$C53-1966)</f>
        <v>24953.56</v>
      </c>
      <c r="AR53" s="4" cm="1">
        <f t="array" ref="AR53">INDEX(GMW!$A$2:$NF$150,MATCH(1,(GMW!$NE$2:$NE$150=AR$3)*(GMW!$ND$2:$ND$150=AR$4)*(GMW!$NF$2:$NF$150=AR$1),0),$C53-1966)</f>
        <v>1E-3</v>
      </c>
      <c r="AS53" s="4" cm="1">
        <f t="array" ref="AS53">INDEX(GMW!$A$2:$NF$150,MATCH(1,(GMW!$NE$2:$NE$150=AS$3)*(GMW!$ND$2:$ND$150=AS$4)*(GMW!$NF$2:$NF$150=AS$1),0),$C53-1966)</f>
        <v>318840.40000000002</v>
      </c>
      <c r="AT53" s="4" cm="1">
        <f t="array" ref="AT53">INDEX(GMW!$A$2:$NF$150,MATCH(1,(GMW!$NE$2:$NE$150=AT$3)*(GMW!$ND$2:$ND$150=AT$4)*(GMW!$NF$2:$NF$150=AT$1),0),$C53-1966)</f>
        <v>37051.96</v>
      </c>
      <c r="AU53" s="4" cm="1">
        <f t="array" ref="AU53">INDEX(GMW!$A$2:$NF$150,MATCH(1,(GMW!$NE$2:$NE$150=AU$3)*(GMW!$ND$2:$ND$150=AU$4)*(GMW!$NF$2:$NF$150=AU$1),0),$C53-1966)</f>
        <v>1325473</v>
      </c>
      <c r="AV53" s="4" cm="1">
        <f t="array" ref="AV53">INDEX(GMW!$A$2:$NF$150,MATCH(1,(GMW!$NE$2:$NE$150=AV$3)*(GMW!$ND$2:$ND$150=AV$4)*(GMW!$NF$2:$NF$150=AV$1),0),$C53-1966)</f>
        <v>-1.860852</v>
      </c>
    </row>
    <row r="54" spans="1:48" x14ac:dyDescent="0.25">
      <c r="B54" s="4">
        <f t="shared" si="4"/>
        <v>1984</v>
      </c>
      <c r="C54" s="4">
        <f t="shared" si="5"/>
        <v>2020</v>
      </c>
      <c r="D54" s="4" cm="1">
        <f t="array" ref="D54">INDEX(GMW!$A$2:$NF$150,MATCH(1,(GMW!$NE$2:$NE$150=D$3)*(GMW!$ND$2:$ND$150=D$4)*(GMW!$NF$2:$NF$150=D$1),0),$C54-1966)</f>
        <v>289829</v>
      </c>
      <c r="E54" s="4" cm="1">
        <f t="array" ref="E54">INDEX(GMW!$A$2:$NF$150,MATCH(1,(GMW!$NE$2:$NE$150=E$3)*(GMW!$ND$2:$ND$150=E$4)*(GMW!$NF$2:$NF$150=E$1),0),$C54-1966)</f>
        <v>43.431060000000002</v>
      </c>
      <c r="F54" s="4" cm="1">
        <f t="array" ref="F54">INDEX(GMW!$A$2:$NF$150,MATCH(1,(GMW!$NE$2:$NE$150=F$3)*(GMW!$ND$2:$ND$150=F$4)*(GMW!$NF$2:$NF$150=F$1),0),$C54-1966)</f>
        <v>52470</v>
      </c>
      <c r="G54" s="4" cm="1">
        <f t="array" ref="G54">INDEX(GMW!$A$2:$NF$150,MATCH(1,(GMW!$NE$2:$NE$150=G$3)*(GMW!$ND$2:$ND$150=G$4)*(GMW!$NF$2:$NF$150=G$1),0),$C54-1966)</f>
        <v>15603.78</v>
      </c>
      <c r="H54" s="4" cm="1">
        <f t="array" ref="H54">INDEX(GMW!$A$2:$NF$150,MATCH(1,(GMW!$NE$2:$NE$150=H$3)*(GMW!$ND$2:$ND$150=H$4)*(GMW!$NF$2:$NF$150=H$1),0),$C54-1966)</f>
        <v>47773</v>
      </c>
      <c r="I54" s="4" cm="1">
        <f t="array" ref="I54">INDEX(GMW!$A$2:$NF$150,MATCH(1,(GMW!$NE$2:$NE$150=I$3)*(GMW!$ND$2:$ND$150=I$4)*(GMW!$NF$2:$NF$150=I$1),0),$C54-1966)</f>
        <v>19128.2</v>
      </c>
      <c r="J54" s="4" cm="1">
        <f t="array" ref="J54">INDEX(GMW!$A$2:$NF$150,MATCH(1,(GMW!$NE$2:$NE$150=J$3)*(GMW!$ND$2:$ND$150=J$4)*(GMW!$NF$2:$NF$150=J$1),0),$C54-1966)</f>
        <v>53026</v>
      </c>
      <c r="K54" s="4" cm="1">
        <f t="array" ref="K54">INDEX(GMW!$A$2:$NF$150,MATCH(1,(GMW!$NE$2:$NE$150=K$3)*(GMW!$ND$2:$ND$150=K$4)*(GMW!$NF$2:$NF$150=K$1),0),$C54-1966)</f>
        <v>20369.73</v>
      </c>
      <c r="L54" s="4" cm="1">
        <f t="array" ref="L54">INDEX(GMW!$A$2:$NF$150,MATCH(1,(GMW!$NE$2:$NE$150=L$3)*(GMW!$ND$2:$ND$150=L$4)*(GMW!$NF$2:$NF$150=L$1),0),$C54-1966)</f>
        <v>293467</v>
      </c>
      <c r="M54" s="4" cm="1">
        <f t="array" ref="M54">INDEX(GMW!$A$2:$NF$150,MATCH(1,(GMW!$NE$2:$NE$150=M$3)*(GMW!$ND$2:$ND$150=M$4)*(GMW!$NF$2:$NF$150=M$1),0),$C54-1966)</f>
        <v>25025.06</v>
      </c>
      <c r="N54" s="4" cm="1">
        <f t="array" ref="N54">INDEX(GMW!$A$2:$NF$150,MATCH(1,(GMW!$NE$2:$NE$150=N$3)*(GMW!$ND$2:$ND$150=N$4)*(GMW!$NF$2:$NF$150=N$1),0),$C54-1966)</f>
        <v>1E-3</v>
      </c>
      <c r="O54" s="4" cm="1">
        <f t="array" ref="O54">INDEX(GMW!$A$2:$NF$150,MATCH(1,(GMW!$NE$2:$NE$150=O$3)*(GMW!$ND$2:$ND$150=O$4)*(GMW!$NF$2:$NF$150=O$1),0),$C54-1966)</f>
        <v>320011.8</v>
      </c>
      <c r="P54" s="4" cm="1">
        <f t="array" ref="P54">INDEX(GMW!$A$2:$NF$150,MATCH(1,(GMW!$NE$2:$NE$150=P$3)*(GMW!$ND$2:$ND$150=P$4)*(GMW!$NF$2:$NF$150=P$1),0),$C54-1966)</f>
        <v>37069.040000000001</v>
      </c>
      <c r="Q54" s="4" cm="1">
        <f t="array" ref="Q54">INDEX(GMW!$A$2:$NF$150,MATCH(1,(GMW!$NE$2:$NE$150=Q$3)*(GMW!$ND$2:$ND$150=Q$4)*(GMW!$NF$2:$NF$150=Q$1),0),$C54-1966)</f>
        <v>1331712</v>
      </c>
      <c r="R54" s="4" cm="1">
        <f t="array" ref="R54">INDEX(GMW!$A$2:$NF$150,MATCH(1,(GMW!$NE$2:$NE$150=R$3)*(GMW!$ND$2:$ND$150=R$4)*(GMW!$NF$2:$NF$150=R$1),0),$C54-1966)</f>
        <v>-1.8578380000000001</v>
      </c>
      <c r="S54" s="4" cm="1">
        <f t="array" ref="S54">INDEX(GMW!$A$2:$NF$150,MATCH(1,(GMW!$NE$2:$NE$150=S$3)*(GMW!$ND$2:$ND$150=S$4)*(GMW!$NF$2:$NF$150=S$1),0),$C54-1966)</f>
        <v>289829</v>
      </c>
      <c r="T54" s="4" cm="1">
        <f t="array" ref="T54">INDEX(GMW!$A$2:$NF$150,MATCH(1,(GMW!$NE$2:$NE$150=T$3)*(GMW!$ND$2:$ND$150=T$4)*(GMW!$NF$2:$NF$150=T$1),0),$C54-1966)</f>
        <v>43.431060000000002</v>
      </c>
      <c r="U54" s="4" cm="1">
        <f t="array" ref="U54">INDEX(GMW!$A$2:$NF$150,MATCH(1,(GMW!$NE$2:$NE$150=U$3)*(GMW!$ND$2:$ND$150=U$4)*(GMW!$NF$2:$NF$150=U$1),0),$C54-1966)</f>
        <v>52470</v>
      </c>
      <c r="V54" s="4" cm="1">
        <f t="array" ref="V54">INDEX(GMW!$A$2:$NF$150,MATCH(1,(GMW!$NE$2:$NE$150=V$3)*(GMW!$ND$2:$ND$150=V$4)*(GMW!$NF$2:$NF$150=V$1),0),$C54-1966)</f>
        <v>15603.78</v>
      </c>
      <c r="W54" s="4" cm="1">
        <f t="array" ref="W54">INDEX(GMW!$A$2:$NF$150,MATCH(1,(GMW!$NE$2:$NE$150=W$3)*(GMW!$ND$2:$ND$150=W$4)*(GMW!$NF$2:$NF$150=W$1),0),$C54-1966)</f>
        <v>47773</v>
      </c>
      <c r="X54" s="4" cm="1">
        <f t="array" ref="X54">INDEX(GMW!$A$2:$NF$150,MATCH(1,(GMW!$NE$2:$NE$150=X$3)*(GMW!$ND$2:$ND$150=X$4)*(GMW!$NF$2:$NF$150=X$1),0),$C54-1966)</f>
        <v>19128.2</v>
      </c>
      <c r="Y54" s="4" cm="1">
        <f t="array" ref="Y54">INDEX(GMW!$A$2:$NF$150,MATCH(1,(GMW!$NE$2:$NE$150=Y$3)*(GMW!$ND$2:$ND$150=Y$4)*(GMW!$NF$2:$NF$150=Y$1),0),$C54-1966)</f>
        <v>53026</v>
      </c>
      <c r="Z54" s="4" cm="1">
        <f t="array" ref="Z54">INDEX(GMW!$A$2:$NF$150,MATCH(1,(GMW!$NE$2:$NE$150=Z$3)*(GMW!$ND$2:$ND$150=Z$4)*(GMW!$NF$2:$NF$150=Z$1),0),$C54-1966)</f>
        <v>20369.73</v>
      </c>
      <c r="AA54" s="4" cm="1">
        <f t="array" ref="AA54">INDEX(GMW!$A$2:$NF$150,MATCH(1,(GMW!$NE$2:$NE$150=AA$3)*(GMW!$ND$2:$ND$150=AA$4)*(GMW!$NF$2:$NF$150=AA$1),0),$C54-1966)</f>
        <v>293467</v>
      </c>
      <c r="AB54" s="4" cm="1">
        <f t="array" ref="AB54">INDEX(GMW!$A$2:$NF$150,MATCH(1,(GMW!$NE$2:$NE$150=AB$3)*(GMW!$ND$2:$ND$150=AB$4)*(GMW!$NF$2:$NF$150=AB$1),0),$C54-1966)</f>
        <v>25025.06</v>
      </c>
      <c r="AC54" s="4" cm="1">
        <f t="array" ref="AC54">INDEX(GMW!$A$2:$NF$150,MATCH(1,(GMW!$NE$2:$NE$150=AC$3)*(GMW!$ND$2:$ND$150=AC$4)*(GMW!$NF$2:$NF$150=AC$1),0),$C54-1966)</f>
        <v>1E-3</v>
      </c>
      <c r="AD54" s="4" cm="1">
        <f t="array" ref="AD54">INDEX(GMW!$A$2:$NF$150,MATCH(1,(GMW!$NE$2:$NE$150=AD$3)*(GMW!$ND$2:$ND$150=AD$4)*(GMW!$NF$2:$NF$150=AD$1),0),$C54-1966)</f>
        <v>320011.8</v>
      </c>
      <c r="AE54" s="4" cm="1">
        <f t="array" ref="AE54">INDEX(GMW!$A$2:$NF$150,MATCH(1,(GMW!$NE$2:$NE$150=AE$3)*(GMW!$ND$2:$ND$150=AE$4)*(GMW!$NF$2:$NF$150=AE$1),0),$C54-1966)</f>
        <v>37069.040000000001</v>
      </c>
      <c r="AF54" s="4" cm="1">
        <f t="array" ref="AF54">INDEX(GMW!$A$2:$NF$150,MATCH(1,(GMW!$NE$2:$NE$150=AF$3)*(GMW!$ND$2:$ND$150=AF$4)*(GMW!$NF$2:$NF$150=AF$1),0),$C54-1966)</f>
        <v>1331712</v>
      </c>
      <c r="AG54" s="4" cm="1">
        <f t="array" ref="AG54">INDEX(GMW!$A$2:$NF$150,MATCH(1,(GMW!$NE$2:$NE$150=AG$3)*(GMW!$ND$2:$ND$150=AG$4)*(GMW!$NF$2:$NF$150=AG$1),0),$C54-1966)</f>
        <v>-1.8578380000000001</v>
      </c>
      <c r="AH54" s="4" cm="1">
        <f t="array" ref="AH54">INDEX(GMW!$A$2:$NF$150,MATCH(1,(GMW!$NE$2:$NE$150=AH$3)*(GMW!$ND$2:$ND$150=AH$4)*(GMW!$NF$2:$NF$150=AH$1),0),$C54-1966)</f>
        <v>289829</v>
      </c>
      <c r="AI54" s="4" cm="1">
        <f t="array" ref="AI54">INDEX(GMW!$A$2:$NF$150,MATCH(1,(GMW!$NE$2:$NE$150=AI$3)*(GMW!$ND$2:$ND$150=AI$4)*(GMW!$NF$2:$NF$150=AI$1),0),$C54-1966)</f>
        <v>43.431060000000002</v>
      </c>
      <c r="AJ54" s="4" cm="1">
        <f t="array" ref="AJ54">INDEX(GMW!$A$2:$NF$150,MATCH(1,(GMW!$NE$2:$NE$150=AJ$3)*(GMW!$ND$2:$ND$150=AJ$4)*(GMW!$NF$2:$NF$150=AJ$1),0),$C54-1966)</f>
        <v>52470</v>
      </c>
      <c r="AK54" s="4" cm="1">
        <f t="array" ref="AK54">INDEX(GMW!$A$2:$NF$150,MATCH(1,(GMW!$NE$2:$NE$150=AK$3)*(GMW!$ND$2:$ND$150=AK$4)*(GMW!$NF$2:$NF$150=AK$1),0),$C54-1966)</f>
        <v>15603.78</v>
      </c>
      <c r="AL54" s="4" cm="1">
        <f t="array" ref="AL54">INDEX(GMW!$A$2:$NF$150,MATCH(1,(GMW!$NE$2:$NE$150=AL$3)*(GMW!$ND$2:$ND$150=AL$4)*(GMW!$NF$2:$NF$150=AL$1),0),$C54-1966)</f>
        <v>47773</v>
      </c>
      <c r="AM54" s="4" cm="1">
        <f t="array" ref="AM54">INDEX(GMW!$A$2:$NF$150,MATCH(1,(GMW!$NE$2:$NE$150=AM$3)*(GMW!$ND$2:$ND$150=AM$4)*(GMW!$NF$2:$NF$150=AM$1),0),$C54-1966)</f>
        <v>19128.2</v>
      </c>
      <c r="AN54" s="4" cm="1">
        <f t="array" ref="AN54">INDEX(GMW!$A$2:$NF$150,MATCH(1,(GMW!$NE$2:$NE$150=AN$3)*(GMW!$ND$2:$ND$150=AN$4)*(GMW!$NF$2:$NF$150=AN$1),0),$C54-1966)</f>
        <v>53026</v>
      </c>
      <c r="AO54" s="4" cm="1">
        <f t="array" ref="AO54">INDEX(GMW!$A$2:$NF$150,MATCH(1,(GMW!$NE$2:$NE$150=AO$3)*(GMW!$ND$2:$ND$150=AO$4)*(GMW!$NF$2:$NF$150=AO$1),0),$C54-1966)</f>
        <v>20369.73</v>
      </c>
      <c r="AP54" s="4" cm="1">
        <f t="array" ref="AP54">INDEX(GMW!$A$2:$NF$150,MATCH(1,(GMW!$NE$2:$NE$150=AP$3)*(GMW!$ND$2:$ND$150=AP$4)*(GMW!$NF$2:$NF$150=AP$1),0),$C54-1966)</f>
        <v>293467</v>
      </c>
      <c r="AQ54" s="4" cm="1">
        <f t="array" ref="AQ54">INDEX(GMW!$A$2:$NF$150,MATCH(1,(GMW!$NE$2:$NE$150=AQ$3)*(GMW!$ND$2:$ND$150=AQ$4)*(GMW!$NF$2:$NF$150=AQ$1),0),$C54-1966)</f>
        <v>25025.06</v>
      </c>
      <c r="AR54" s="4" cm="1">
        <f t="array" ref="AR54">INDEX(GMW!$A$2:$NF$150,MATCH(1,(GMW!$NE$2:$NE$150=AR$3)*(GMW!$ND$2:$ND$150=AR$4)*(GMW!$NF$2:$NF$150=AR$1),0),$C54-1966)</f>
        <v>1E-3</v>
      </c>
      <c r="AS54" s="4" cm="1">
        <f t="array" ref="AS54">INDEX(GMW!$A$2:$NF$150,MATCH(1,(GMW!$NE$2:$NE$150=AS$3)*(GMW!$ND$2:$ND$150=AS$4)*(GMW!$NF$2:$NF$150=AS$1),0),$C54-1966)</f>
        <v>320011.8</v>
      </c>
      <c r="AT54" s="4" cm="1">
        <f t="array" ref="AT54">INDEX(GMW!$A$2:$NF$150,MATCH(1,(GMW!$NE$2:$NE$150=AT$3)*(GMW!$ND$2:$ND$150=AT$4)*(GMW!$NF$2:$NF$150=AT$1),0),$C54-1966)</f>
        <v>37069.040000000001</v>
      </c>
      <c r="AU54" s="4" cm="1">
        <f t="array" ref="AU54">INDEX(GMW!$A$2:$NF$150,MATCH(1,(GMW!$NE$2:$NE$150=AU$3)*(GMW!$ND$2:$ND$150=AU$4)*(GMW!$NF$2:$NF$150=AU$1),0),$C54-1966)</f>
        <v>1331712</v>
      </c>
      <c r="AV54" s="4" cm="1">
        <f t="array" ref="AV54">INDEX(GMW!$A$2:$NF$150,MATCH(1,(GMW!$NE$2:$NE$150=AV$3)*(GMW!$ND$2:$ND$150=AV$4)*(GMW!$NF$2:$NF$150=AV$1),0),$C54-1966)</f>
        <v>-1.8578380000000001</v>
      </c>
    </row>
    <row r="55" spans="1:48" x14ac:dyDescent="0.25">
      <c r="A55" s="4">
        <v>1985</v>
      </c>
      <c r="B55" s="4">
        <f t="shared" si="4"/>
        <v>1985</v>
      </c>
      <c r="C55" s="4">
        <f t="shared" si="5"/>
        <v>2021</v>
      </c>
      <c r="D55" s="4" cm="1">
        <f t="array" ref="D55">INDEX(GMW!$A$2:$NF$150,MATCH(1,(GMW!$NE$2:$NE$150=D$3)*(GMW!$ND$2:$ND$150=D$4)*(GMW!$NF$2:$NF$150=D$1),0),$C55-1966)</f>
        <v>292612</v>
      </c>
      <c r="E55" s="4" cm="1">
        <f t="array" ref="E55">INDEX(GMW!$A$2:$NF$150,MATCH(1,(GMW!$NE$2:$NE$150=E$3)*(GMW!$ND$2:$ND$150=E$4)*(GMW!$NF$2:$NF$150=E$1),0),$C55-1966)</f>
        <v>43.874229999999997</v>
      </c>
      <c r="F55" s="4" cm="1">
        <f t="array" ref="F55">INDEX(GMW!$A$2:$NF$150,MATCH(1,(GMW!$NE$2:$NE$150=F$3)*(GMW!$ND$2:$ND$150=F$4)*(GMW!$NF$2:$NF$150=F$1),0),$C55-1966)</f>
        <v>52943</v>
      </c>
      <c r="G55" s="4" cm="1">
        <f t="array" ref="G55">INDEX(GMW!$A$2:$NF$150,MATCH(1,(GMW!$NE$2:$NE$150=G$3)*(GMW!$ND$2:$ND$150=G$4)*(GMW!$NF$2:$NF$150=G$1),0),$C55-1966)</f>
        <v>14844.18</v>
      </c>
      <c r="H55" s="4" cm="1">
        <f t="array" ref="H55">INDEX(GMW!$A$2:$NF$150,MATCH(1,(GMW!$NE$2:$NE$150=H$3)*(GMW!$ND$2:$ND$150=H$4)*(GMW!$NF$2:$NF$150=H$1),0),$C55-1966)</f>
        <v>47820</v>
      </c>
      <c r="I55" s="4" cm="1">
        <f t="array" ref="I55">INDEX(GMW!$A$2:$NF$150,MATCH(1,(GMW!$NE$2:$NE$150=I$3)*(GMW!$ND$2:$ND$150=I$4)*(GMW!$NF$2:$NF$150=I$1),0),$C55-1966)</f>
        <v>19211.25</v>
      </c>
      <c r="J55" s="4" cm="1">
        <f t="array" ref="J55">INDEX(GMW!$A$2:$NF$150,MATCH(1,(GMW!$NE$2:$NE$150=J$3)*(GMW!$ND$2:$ND$150=J$4)*(GMW!$NF$2:$NF$150=J$1),0),$C55-1966)</f>
        <v>57010</v>
      </c>
      <c r="K55" s="4" cm="1">
        <f t="array" ref="K55">INDEX(GMW!$A$2:$NF$150,MATCH(1,(GMW!$NE$2:$NE$150=K$3)*(GMW!$ND$2:$ND$150=K$4)*(GMW!$NF$2:$NF$150=K$1),0),$C55-1966)</f>
        <v>22601.39</v>
      </c>
      <c r="L55" s="4" cm="1">
        <f t="array" ref="L55">INDEX(GMW!$A$2:$NF$150,MATCH(1,(GMW!$NE$2:$NE$150=L$3)*(GMW!$ND$2:$ND$150=L$4)*(GMW!$NF$2:$NF$150=L$1),0),$C55-1966)</f>
        <v>295399.5</v>
      </c>
      <c r="M55" s="4" cm="1">
        <f t="array" ref="M55">INDEX(GMW!$A$2:$NF$150,MATCH(1,(GMW!$NE$2:$NE$150=M$3)*(GMW!$ND$2:$ND$150=M$4)*(GMW!$NF$2:$NF$150=M$1),0),$C55-1966)</f>
        <v>25063.97</v>
      </c>
      <c r="N55" s="4" cm="1">
        <f t="array" ref="N55">INDEX(GMW!$A$2:$NF$150,MATCH(1,(GMW!$NE$2:$NE$150=N$3)*(GMW!$ND$2:$ND$150=N$4)*(GMW!$NF$2:$NF$150=N$1),0),$C55-1966)</f>
        <v>1E-3</v>
      </c>
      <c r="O55" s="4" cm="1">
        <f t="array" ref="O55">INDEX(GMW!$A$2:$NF$150,MATCH(1,(GMW!$NE$2:$NE$150=O$3)*(GMW!$ND$2:$ND$150=O$4)*(GMW!$NF$2:$NF$150=O$1),0),$C55-1966)</f>
        <v>321121.7</v>
      </c>
      <c r="P55" s="4" cm="1">
        <f t="array" ref="P55">INDEX(GMW!$A$2:$NF$150,MATCH(1,(GMW!$NE$2:$NE$150=P$3)*(GMW!$ND$2:$ND$150=P$4)*(GMW!$NF$2:$NF$150=P$1),0),$C55-1966)</f>
        <v>37086.11</v>
      </c>
      <c r="Q55" s="4" cm="1">
        <f t="array" ref="Q55">INDEX(GMW!$A$2:$NF$150,MATCH(1,(GMW!$NE$2:$NE$150=Q$3)*(GMW!$ND$2:$ND$150=Q$4)*(GMW!$NF$2:$NF$150=Q$1),0),$C55-1966)</f>
        <v>1338418</v>
      </c>
      <c r="R55" s="4" cm="1">
        <f t="array" ref="R55">INDEX(GMW!$A$2:$NF$150,MATCH(1,(GMW!$NE$2:$NE$150=R$3)*(GMW!$ND$2:$ND$150=R$4)*(GMW!$NF$2:$NF$150=R$1),0),$C55-1966)</f>
        <v>-1.8548279999999999</v>
      </c>
      <c r="S55" s="4" cm="1">
        <f t="array" ref="S55">INDEX(GMW!$A$2:$NF$150,MATCH(1,(GMW!$NE$2:$NE$150=S$3)*(GMW!$ND$2:$ND$150=S$4)*(GMW!$NF$2:$NF$150=S$1),0),$C55-1966)</f>
        <v>292612</v>
      </c>
      <c r="T55" s="4" cm="1">
        <f t="array" ref="T55">INDEX(GMW!$A$2:$NF$150,MATCH(1,(GMW!$NE$2:$NE$150=T$3)*(GMW!$ND$2:$ND$150=T$4)*(GMW!$NF$2:$NF$150=T$1),0),$C55-1966)</f>
        <v>43.874229999999997</v>
      </c>
      <c r="U55" s="4" cm="1">
        <f t="array" ref="U55">INDEX(GMW!$A$2:$NF$150,MATCH(1,(GMW!$NE$2:$NE$150=U$3)*(GMW!$ND$2:$ND$150=U$4)*(GMW!$NF$2:$NF$150=U$1),0),$C55-1966)</f>
        <v>52943</v>
      </c>
      <c r="V55" s="4" cm="1">
        <f t="array" ref="V55">INDEX(GMW!$A$2:$NF$150,MATCH(1,(GMW!$NE$2:$NE$150=V$3)*(GMW!$ND$2:$ND$150=V$4)*(GMW!$NF$2:$NF$150=V$1),0),$C55-1966)</f>
        <v>14844.18</v>
      </c>
      <c r="W55" s="4" cm="1">
        <f t="array" ref="W55">INDEX(GMW!$A$2:$NF$150,MATCH(1,(GMW!$NE$2:$NE$150=W$3)*(GMW!$ND$2:$ND$150=W$4)*(GMW!$NF$2:$NF$150=W$1),0),$C55-1966)</f>
        <v>47820</v>
      </c>
      <c r="X55" s="4" cm="1">
        <f t="array" ref="X55">INDEX(GMW!$A$2:$NF$150,MATCH(1,(GMW!$NE$2:$NE$150=X$3)*(GMW!$ND$2:$ND$150=X$4)*(GMW!$NF$2:$NF$150=X$1),0),$C55-1966)</f>
        <v>19211.25</v>
      </c>
      <c r="Y55" s="4" cm="1">
        <f t="array" ref="Y55">INDEX(GMW!$A$2:$NF$150,MATCH(1,(GMW!$NE$2:$NE$150=Y$3)*(GMW!$ND$2:$ND$150=Y$4)*(GMW!$NF$2:$NF$150=Y$1),0),$C55-1966)</f>
        <v>57010</v>
      </c>
      <c r="Z55" s="4" cm="1">
        <f t="array" ref="Z55">INDEX(GMW!$A$2:$NF$150,MATCH(1,(GMW!$NE$2:$NE$150=Z$3)*(GMW!$ND$2:$ND$150=Z$4)*(GMW!$NF$2:$NF$150=Z$1),0),$C55-1966)</f>
        <v>22601.39</v>
      </c>
      <c r="AA55" s="4" cm="1">
        <f t="array" ref="AA55">INDEX(GMW!$A$2:$NF$150,MATCH(1,(GMW!$NE$2:$NE$150=AA$3)*(GMW!$ND$2:$ND$150=AA$4)*(GMW!$NF$2:$NF$150=AA$1),0),$C55-1966)</f>
        <v>295399.5</v>
      </c>
      <c r="AB55" s="4" cm="1">
        <f t="array" ref="AB55">INDEX(GMW!$A$2:$NF$150,MATCH(1,(GMW!$NE$2:$NE$150=AB$3)*(GMW!$ND$2:$ND$150=AB$4)*(GMW!$NF$2:$NF$150=AB$1),0),$C55-1966)</f>
        <v>25063.97</v>
      </c>
      <c r="AC55" s="4" cm="1">
        <f t="array" ref="AC55">INDEX(GMW!$A$2:$NF$150,MATCH(1,(GMW!$NE$2:$NE$150=AC$3)*(GMW!$ND$2:$ND$150=AC$4)*(GMW!$NF$2:$NF$150=AC$1),0),$C55-1966)</f>
        <v>1E-3</v>
      </c>
      <c r="AD55" s="4" cm="1">
        <f t="array" ref="AD55">INDEX(GMW!$A$2:$NF$150,MATCH(1,(GMW!$NE$2:$NE$150=AD$3)*(GMW!$ND$2:$ND$150=AD$4)*(GMW!$NF$2:$NF$150=AD$1),0),$C55-1966)</f>
        <v>321121.7</v>
      </c>
      <c r="AE55" s="4" cm="1">
        <f t="array" ref="AE55">INDEX(GMW!$A$2:$NF$150,MATCH(1,(GMW!$NE$2:$NE$150=AE$3)*(GMW!$ND$2:$ND$150=AE$4)*(GMW!$NF$2:$NF$150=AE$1),0),$C55-1966)</f>
        <v>37086.11</v>
      </c>
      <c r="AF55" s="4" cm="1">
        <f t="array" ref="AF55">INDEX(GMW!$A$2:$NF$150,MATCH(1,(GMW!$NE$2:$NE$150=AF$3)*(GMW!$ND$2:$ND$150=AF$4)*(GMW!$NF$2:$NF$150=AF$1),0),$C55-1966)</f>
        <v>1338418</v>
      </c>
      <c r="AG55" s="4" cm="1">
        <f t="array" ref="AG55">INDEX(GMW!$A$2:$NF$150,MATCH(1,(GMW!$NE$2:$NE$150=AG$3)*(GMW!$ND$2:$ND$150=AG$4)*(GMW!$NF$2:$NF$150=AG$1),0),$C55-1966)</f>
        <v>-1.8548279999999999</v>
      </c>
      <c r="AH55" s="4" cm="1">
        <f t="array" ref="AH55">INDEX(GMW!$A$2:$NF$150,MATCH(1,(GMW!$NE$2:$NE$150=AH$3)*(GMW!$ND$2:$ND$150=AH$4)*(GMW!$NF$2:$NF$150=AH$1),0),$C55-1966)</f>
        <v>292612</v>
      </c>
      <c r="AI55" s="4" cm="1">
        <f t="array" ref="AI55">INDEX(GMW!$A$2:$NF$150,MATCH(1,(GMW!$NE$2:$NE$150=AI$3)*(GMW!$ND$2:$ND$150=AI$4)*(GMW!$NF$2:$NF$150=AI$1),0),$C55-1966)</f>
        <v>43.874229999999997</v>
      </c>
      <c r="AJ55" s="4" cm="1">
        <f t="array" ref="AJ55">INDEX(GMW!$A$2:$NF$150,MATCH(1,(GMW!$NE$2:$NE$150=AJ$3)*(GMW!$ND$2:$ND$150=AJ$4)*(GMW!$NF$2:$NF$150=AJ$1),0),$C55-1966)</f>
        <v>52943</v>
      </c>
      <c r="AK55" s="4" cm="1">
        <f t="array" ref="AK55">INDEX(GMW!$A$2:$NF$150,MATCH(1,(GMW!$NE$2:$NE$150=AK$3)*(GMW!$ND$2:$ND$150=AK$4)*(GMW!$NF$2:$NF$150=AK$1),0),$C55-1966)</f>
        <v>14844.18</v>
      </c>
      <c r="AL55" s="4" cm="1">
        <f t="array" ref="AL55">INDEX(GMW!$A$2:$NF$150,MATCH(1,(GMW!$NE$2:$NE$150=AL$3)*(GMW!$ND$2:$ND$150=AL$4)*(GMW!$NF$2:$NF$150=AL$1),0),$C55-1966)</f>
        <v>47820</v>
      </c>
      <c r="AM55" s="4" cm="1">
        <f t="array" ref="AM55">INDEX(GMW!$A$2:$NF$150,MATCH(1,(GMW!$NE$2:$NE$150=AM$3)*(GMW!$ND$2:$ND$150=AM$4)*(GMW!$NF$2:$NF$150=AM$1),0),$C55-1966)</f>
        <v>19211.25</v>
      </c>
      <c r="AN55" s="4" cm="1">
        <f t="array" ref="AN55">INDEX(GMW!$A$2:$NF$150,MATCH(1,(GMW!$NE$2:$NE$150=AN$3)*(GMW!$ND$2:$ND$150=AN$4)*(GMW!$NF$2:$NF$150=AN$1),0),$C55-1966)</f>
        <v>57010</v>
      </c>
      <c r="AO55" s="4" cm="1">
        <f t="array" ref="AO55">INDEX(GMW!$A$2:$NF$150,MATCH(1,(GMW!$NE$2:$NE$150=AO$3)*(GMW!$ND$2:$ND$150=AO$4)*(GMW!$NF$2:$NF$150=AO$1),0),$C55-1966)</f>
        <v>22601.39</v>
      </c>
      <c r="AP55" s="4" cm="1">
        <f t="array" ref="AP55">INDEX(GMW!$A$2:$NF$150,MATCH(1,(GMW!$NE$2:$NE$150=AP$3)*(GMW!$ND$2:$ND$150=AP$4)*(GMW!$NF$2:$NF$150=AP$1),0),$C55-1966)</f>
        <v>295399.5</v>
      </c>
      <c r="AQ55" s="4" cm="1">
        <f t="array" ref="AQ55">INDEX(GMW!$A$2:$NF$150,MATCH(1,(GMW!$NE$2:$NE$150=AQ$3)*(GMW!$ND$2:$ND$150=AQ$4)*(GMW!$NF$2:$NF$150=AQ$1),0),$C55-1966)</f>
        <v>25063.97</v>
      </c>
      <c r="AR55" s="4" cm="1">
        <f t="array" ref="AR55">INDEX(GMW!$A$2:$NF$150,MATCH(1,(GMW!$NE$2:$NE$150=AR$3)*(GMW!$ND$2:$ND$150=AR$4)*(GMW!$NF$2:$NF$150=AR$1),0),$C55-1966)</f>
        <v>1E-3</v>
      </c>
      <c r="AS55" s="4" cm="1">
        <f t="array" ref="AS55">INDEX(GMW!$A$2:$NF$150,MATCH(1,(GMW!$NE$2:$NE$150=AS$3)*(GMW!$ND$2:$ND$150=AS$4)*(GMW!$NF$2:$NF$150=AS$1),0),$C55-1966)</f>
        <v>321121.7</v>
      </c>
      <c r="AT55" s="4" cm="1">
        <f t="array" ref="AT55">INDEX(GMW!$A$2:$NF$150,MATCH(1,(GMW!$NE$2:$NE$150=AT$3)*(GMW!$ND$2:$ND$150=AT$4)*(GMW!$NF$2:$NF$150=AT$1),0),$C55-1966)</f>
        <v>37086.11</v>
      </c>
      <c r="AU55" s="4" cm="1">
        <f t="array" ref="AU55">INDEX(GMW!$A$2:$NF$150,MATCH(1,(GMW!$NE$2:$NE$150=AU$3)*(GMW!$ND$2:$ND$150=AU$4)*(GMW!$NF$2:$NF$150=AU$1),0),$C55-1966)</f>
        <v>1338418</v>
      </c>
      <c r="AV55" s="4" cm="1">
        <f t="array" ref="AV55">INDEX(GMW!$A$2:$NF$150,MATCH(1,(GMW!$NE$2:$NE$150=AV$3)*(GMW!$ND$2:$ND$150=AV$4)*(GMW!$NF$2:$NF$150=AV$1),0),$C55-1966)</f>
        <v>-1.8548279999999999</v>
      </c>
    </row>
    <row r="56" spans="1:48" x14ac:dyDescent="0.25">
      <c r="B56" s="4">
        <f t="shared" si="4"/>
        <v>1985</v>
      </c>
      <c r="C56" s="4">
        <f t="shared" si="5"/>
        <v>2022</v>
      </c>
      <c r="D56" s="4" cm="1">
        <f t="array" ref="D56">INDEX(GMW!$A$2:$NF$150,MATCH(1,(GMW!$NE$2:$NE$150=D$3)*(GMW!$ND$2:$ND$150=D$4)*(GMW!$NF$2:$NF$150=D$1),0),$C56-1966)</f>
        <v>298873</v>
      </c>
      <c r="E56" s="4" cm="1">
        <f t="array" ref="E56">INDEX(GMW!$A$2:$NF$150,MATCH(1,(GMW!$NE$2:$NE$150=E$3)*(GMW!$ND$2:$ND$150=E$4)*(GMW!$NF$2:$NF$150=E$1),0),$C56-1966)</f>
        <v>44.995199999999997</v>
      </c>
      <c r="F56" s="4" cm="1">
        <f t="array" ref="F56">INDEX(GMW!$A$2:$NF$150,MATCH(1,(GMW!$NE$2:$NE$150=F$3)*(GMW!$ND$2:$ND$150=F$4)*(GMW!$NF$2:$NF$150=F$1),0),$C56-1966)</f>
        <v>54969</v>
      </c>
      <c r="G56" s="4" cm="1">
        <f t="array" ref="G56">INDEX(GMW!$A$2:$NF$150,MATCH(1,(GMW!$NE$2:$NE$150=G$3)*(GMW!$ND$2:$ND$150=G$4)*(GMW!$NF$2:$NF$150=G$1),0),$C56-1966)</f>
        <v>15294.36</v>
      </c>
      <c r="H56" s="4" cm="1">
        <f t="array" ref="H56">INDEX(GMW!$A$2:$NF$150,MATCH(1,(GMW!$NE$2:$NE$150=H$3)*(GMW!$ND$2:$ND$150=H$4)*(GMW!$NF$2:$NF$150=H$1),0),$C56-1966)</f>
        <v>46572</v>
      </c>
      <c r="I56" s="4" cm="1">
        <f t="array" ref="I56">INDEX(GMW!$A$2:$NF$150,MATCH(1,(GMW!$NE$2:$NE$150=I$3)*(GMW!$ND$2:$ND$150=I$4)*(GMW!$NF$2:$NF$150=I$1),0),$C56-1966)</f>
        <v>21573.72</v>
      </c>
      <c r="J56" s="4" cm="1">
        <f t="array" ref="J56">INDEX(GMW!$A$2:$NF$150,MATCH(1,(GMW!$NE$2:$NE$150=J$3)*(GMW!$ND$2:$ND$150=J$4)*(GMW!$NF$2:$NF$150=J$1),0),$C56-1966)</f>
        <v>52362</v>
      </c>
      <c r="K56" s="4" cm="1">
        <f t="array" ref="K56">INDEX(GMW!$A$2:$NF$150,MATCH(1,(GMW!$NE$2:$NE$150=K$3)*(GMW!$ND$2:$ND$150=K$4)*(GMW!$NF$2:$NF$150=K$1),0),$C56-1966)</f>
        <v>20033.46</v>
      </c>
      <c r="L56" s="4" cm="1">
        <f t="array" ref="L56">INDEX(GMW!$A$2:$NF$150,MATCH(1,(GMW!$NE$2:$NE$150=L$3)*(GMW!$ND$2:$ND$150=L$4)*(GMW!$NF$2:$NF$150=L$1),0),$C56-1966)</f>
        <v>297253.2</v>
      </c>
      <c r="M56" s="4" cm="1">
        <f t="array" ref="M56">INDEX(GMW!$A$2:$NF$150,MATCH(1,(GMW!$NE$2:$NE$150=M$3)*(GMW!$ND$2:$ND$150=M$4)*(GMW!$NF$2:$NF$150=M$1),0),$C56-1966)</f>
        <v>25088.41</v>
      </c>
      <c r="N56" s="4" cm="1">
        <f t="array" ref="N56">INDEX(GMW!$A$2:$NF$150,MATCH(1,(GMW!$NE$2:$NE$150=N$3)*(GMW!$ND$2:$ND$150=N$4)*(GMW!$NF$2:$NF$150=N$1),0),$C56-1966)</f>
        <v>1E-3</v>
      </c>
      <c r="O56" s="4" cm="1">
        <f t="array" ref="O56">INDEX(GMW!$A$2:$NF$150,MATCH(1,(GMW!$NE$2:$NE$150=O$3)*(GMW!$ND$2:$ND$150=O$4)*(GMW!$NF$2:$NF$150=O$1),0),$C56-1966)</f>
        <v>322191.09999999998</v>
      </c>
      <c r="P56" s="4" cm="1">
        <f t="array" ref="P56">INDEX(GMW!$A$2:$NF$150,MATCH(1,(GMW!$NE$2:$NE$150=P$3)*(GMW!$ND$2:$ND$150=P$4)*(GMW!$NF$2:$NF$150=P$1),0),$C56-1966)</f>
        <v>37103.18</v>
      </c>
      <c r="Q56" s="4" cm="1">
        <f t="array" ref="Q56">INDEX(GMW!$A$2:$NF$150,MATCH(1,(GMW!$NE$2:$NE$150=Q$3)*(GMW!$ND$2:$ND$150=Q$4)*(GMW!$NF$2:$NF$150=Q$1),0),$C56-1966)</f>
        <v>1345124</v>
      </c>
      <c r="R56" s="4" cm="1">
        <f t="array" ref="R56">INDEX(GMW!$A$2:$NF$150,MATCH(1,(GMW!$NE$2:$NE$150=R$3)*(GMW!$ND$2:$ND$150=R$4)*(GMW!$NF$2:$NF$150=R$1),0),$C56-1966)</f>
        <v>-1.8518239999999999</v>
      </c>
      <c r="S56" s="4" cm="1">
        <f t="array" ref="S56">INDEX(GMW!$A$2:$NF$150,MATCH(1,(GMW!$NE$2:$NE$150=S$3)*(GMW!$ND$2:$ND$150=S$4)*(GMW!$NF$2:$NF$150=S$1),0),$C56-1966)</f>
        <v>298873</v>
      </c>
      <c r="T56" s="4" cm="1">
        <f t="array" ref="T56">INDEX(GMW!$A$2:$NF$150,MATCH(1,(GMW!$NE$2:$NE$150=T$3)*(GMW!$ND$2:$ND$150=T$4)*(GMW!$NF$2:$NF$150=T$1),0),$C56-1966)</f>
        <v>44.995199999999997</v>
      </c>
      <c r="U56" s="4" cm="1">
        <f t="array" ref="U56">INDEX(GMW!$A$2:$NF$150,MATCH(1,(GMW!$NE$2:$NE$150=U$3)*(GMW!$ND$2:$ND$150=U$4)*(GMW!$NF$2:$NF$150=U$1),0),$C56-1966)</f>
        <v>54969</v>
      </c>
      <c r="V56" s="4" cm="1">
        <f t="array" ref="V56">INDEX(GMW!$A$2:$NF$150,MATCH(1,(GMW!$NE$2:$NE$150=V$3)*(GMW!$ND$2:$ND$150=V$4)*(GMW!$NF$2:$NF$150=V$1),0),$C56-1966)</f>
        <v>15294.36</v>
      </c>
      <c r="W56" s="4" cm="1">
        <f t="array" ref="W56">INDEX(GMW!$A$2:$NF$150,MATCH(1,(GMW!$NE$2:$NE$150=W$3)*(GMW!$ND$2:$ND$150=W$4)*(GMW!$NF$2:$NF$150=W$1),0),$C56-1966)</f>
        <v>46572</v>
      </c>
      <c r="X56" s="4" cm="1">
        <f t="array" ref="X56">INDEX(GMW!$A$2:$NF$150,MATCH(1,(GMW!$NE$2:$NE$150=X$3)*(GMW!$ND$2:$ND$150=X$4)*(GMW!$NF$2:$NF$150=X$1),0),$C56-1966)</f>
        <v>21573.72</v>
      </c>
      <c r="Y56" s="4" cm="1">
        <f t="array" ref="Y56">INDEX(GMW!$A$2:$NF$150,MATCH(1,(GMW!$NE$2:$NE$150=Y$3)*(GMW!$ND$2:$ND$150=Y$4)*(GMW!$NF$2:$NF$150=Y$1),0),$C56-1966)</f>
        <v>52362</v>
      </c>
      <c r="Z56" s="4" cm="1">
        <f t="array" ref="Z56">INDEX(GMW!$A$2:$NF$150,MATCH(1,(GMW!$NE$2:$NE$150=Z$3)*(GMW!$ND$2:$ND$150=Z$4)*(GMW!$NF$2:$NF$150=Z$1),0),$C56-1966)</f>
        <v>20033.46</v>
      </c>
      <c r="AA56" s="4" cm="1">
        <f t="array" ref="AA56">INDEX(GMW!$A$2:$NF$150,MATCH(1,(GMW!$NE$2:$NE$150=AA$3)*(GMW!$ND$2:$ND$150=AA$4)*(GMW!$NF$2:$NF$150=AA$1),0),$C56-1966)</f>
        <v>297253.2</v>
      </c>
      <c r="AB56" s="4" cm="1">
        <f t="array" ref="AB56">INDEX(GMW!$A$2:$NF$150,MATCH(1,(GMW!$NE$2:$NE$150=AB$3)*(GMW!$ND$2:$ND$150=AB$4)*(GMW!$NF$2:$NF$150=AB$1),0),$C56-1966)</f>
        <v>25088.41</v>
      </c>
      <c r="AC56" s="4" cm="1">
        <f t="array" ref="AC56">INDEX(GMW!$A$2:$NF$150,MATCH(1,(GMW!$NE$2:$NE$150=AC$3)*(GMW!$ND$2:$ND$150=AC$4)*(GMW!$NF$2:$NF$150=AC$1),0),$C56-1966)</f>
        <v>1E-3</v>
      </c>
      <c r="AD56" s="4" cm="1">
        <f t="array" ref="AD56">INDEX(GMW!$A$2:$NF$150,MATCH(1,(GMW!$NE$2:$NE$150=AD$3)*(GMW!$ND$2:$ND$150=AD$4)*(GMW!$NF$2:$NF$150=AD$1),0),$C56-1966)</f>
        <v>322191.09999999998</v>
      </c>
      <c r="AE56" s="4" cm="1">
        <f t="array" ref="AE56">INDEX(GMW!$A$2:$NF$150,MATCH(1,(GMW!$NE$2:$NE$150=AE$3)*(GMW!$ND$2:$ND$150=AE$4)*(GMW!$NF$2:$NF$150=AE$1),0),$C56-1966)</f>
        <v>37103.18</v>
      </c>
      <c r="AF56" s="4" cm="1">
        <f t="array" ref="AF56">INDEX(GMW!$A$2:$NF$150,MATCH(1,(GMW!$NE$2:$NE$150=AF$3)*(GMW!$ND$2:$ND$150=AF$4)*(GMW!$NF$2:$NF$150=AF$1),0),$C56-1966)</f>
        <v>1345124</v>
      </c>
      <c r="AG56" s="4" cm="1">
        <f t="array" ref="AG56">INDEX(GMW!$A$2:$NF$150,MATCH(1,(GMW!$NE$2:$NE$150=AG$3)*(GMW!$ND$2:$ND$150=AG$4)*(GMW!$NF$2:$NF$150=AG$1),0),$C56-1966)</f>
        <v>-1.8518239999999999</v>
      </c>
      <c r="AH56" s="4" cm="1">
        <f t="array" ref="AH56">INDEX(GMW!$A$2:$NF$150,MATCH(1,(GMW!$NE$2:$NE$150=AH$3)*(GMW!$ND$2:$ND$150=AH$4)*(GMW!$NF$2:$NF$150=AH$1),0),$C56-1966)</f>
        <v>298873</v>
      </c>
      <c r="AI56" s="4" cm="1">
        <f t="array" ref="AI56">INDEX(GMW!$A$2:$NF$150,MATCH(1,(GMW!$NE$2:$NE$150=AI$3)*(GMW!$ND$2:$ND$150=AI$4)*(GMW!$NF$2:$NF$150=AI$1),0),$C56-1966)</f>
        <v>44.995199999999997</v>
      </c>
      <c r="AJ56" s="4" cm="1">
        <f t="array" ref="AJ56">INDEX(GMW!$A$2:$NF$150,MATCH(1,(GMW!$NE$2:$NE$150=AJ$3)*(GMW!$ND$2:$ND$150=AJ$4)*(GMW!$NF$2:$NF$150=AJ$1),0),$C56-1966)</f>
        <v>54969</v>
      </c>
      <c r="AK56" s="4" cm="1">
        <f t="array" ref="AK56">INDEX(GMW!$A$2:$NF$150,MATCH(1,(GMW!$NE$2:$NE$150=AK$3)*(GMW!$ND$2:$ND$150=AK$4)*(GMW!$NF$2:$NF$150=AK$1),0),$C56-1966)</f>
        <v>15294.36</v>
      </c>
      <c r="AL56" s="4" cm="1">
        <f t="array" ref="AL56">INDEX(GMW!$A$2:$NF$150,MATCH(1,(GMW!$NE$2:$NE$150=AL$3)*(GMW!$ND$2:$ND$150=AL$4)*(GMW!$NF$2:$NF$150=AL$1),0),$C56-1966)</f>
        <v>46572</v>
      </c>
      <c r="AM56" s="4" cm="1">
        <f t="array" ref="AM56">INDEX(GMW!$A$2:$NF$150,MATCH(1,(GMW!$NE$2:$NE$150=AM$3)*(GMW!$ND$2:$ND$150=AM$4)*(GMW!$NF$2:$NF$150=AM$1),0),$C56-1966)</f>
        <v>21573.72</v>
      </c>
      <c r="AN56" s="4" cm="1">
        <f t="array" ref="AN56">INDEX(GMW!$A$2:$NF$150,MATCH(1,(GMW!$NE$2:$NE$150=AN$3)*(GMW!$ND$2:$ND$150=AN$4)*(GMW!$NF$2:$NF$150=AN$1),0),$C56-1966)</f>
        <v>52362</v>
      </c>
      <c r="AO56" s="4" cm="1">
        <f t="array" ref="AO56">INDEX(GMW!$A$2:$NF$150,MATCH(1,(GMW!$NE$2:$NE$150=AO$3)*(GMW!$ND$2:$ND$150=AO$4)*(GMW!$NF$2:$NF$150=AO$1),0),$C56-1966)</f>
        <v>20033.46</v>
      </c>
      <c r="AP56" s="4" cm="1">
        <f t="array" ref="AP56">INDEX(GMW!$A$2:$NF$150,MATCH(1,(GMW!$NE$2:$NE$150=AP$3)*(GMW!$ND$2:$ND$150=AP$4)*(GMW!$NF$2:$NF$150=AP$1),0),$C56-1966)</f>
        <v>297253.2</v>
      </c>
      <c r="AQ56" s="4" cm="1">
        <f t="array" ref="AQ56">INDEX(GMW!$A$2:$NF$150,MATCH(1,(GMW!$NE$2:$NE$150=AQ$3)*(GMW!$ND$2:$ND$150=AQ$4)*(GMW!$NF$2:$NF$150=AQ$1),0),$C56-1966)</f>
        <v>25088.41</v>
      </c>
      <c r="AR56" s="4" cm="1">
        <f t="array" ref="AR56">INDEX(GMW!$A$2:$NF$150,MATCH(1,(GMW!$NE$2:$NE$150=AR$3)*(GMW!$ND$2:$ND$150=AR$4)*(GMW!$NF$2:$NF$150=AR$1),0),$C56-1966)</f>
        <v>1E-3</v>
      </c>
      <c r="AS56" s="4" cm="1">
        <f t="array" ref="AS56">INDEX(GMW!$A$2:$NF$150,MATCH(1,(GMW!$NE$2:$NE$150=AS$3)*(GMW!$ND$2:$ND$150=AS$4)*(GMW!$NF$2:$NF$150=AS$1),0),$C56-1966)</f>
        <v>322191.09999999998</v>
      </c>
      <c r="AT56" s="4" cm="1">
        <f t="array" ref="AT56">INDEX(GMW!$A$2:$NF$150,MATCH(1,(GMW!$NE$2:$NE$150=AT$3)*(GMW!$ND$2:$ND$150=AT$4)*(GMW!$NF$2:$NF$150=AT$1),0),$C56-1966)</f>
        <v>37103.18</v>
      </c>
      <c r="AU56" s="4" cm="1">
        <f t="array" ref="AU56">INDEX(GMW!$A$2:$NF$150,MATCH(1,(GMW!$NE$2:$NE$150=AU$3)*(GMW!$ND$2:$ND$150=AU$4)*(GMW!$NF$2:$NF$150=AU$1),0),$C56-1966)</f>
        <v>1345124</v>
      </c>
      <c r="AV56" s="4" cm="1">
        <f t="array" ref="AV56">INDEX(GMW!$A$2:$NF$150,MATCH(1,(GMW!$NE$2:$NE$150=AV$3)*(GMW!$ND$2:$ND$150=AV$4)*(GMW!$NF$2:$NF$150=AV$1),0),$C56-1966)</f>
        <v>-1.8518239999999999</v>
      </c>
    </row>
    <row r="57" spans="1:48" x14ac:dyDescent="0.25">
      <c r="B57" s="4">
        <f t="shared" si="4"/>
        <v>1985</v>
      </c>
      <c r="C57" s="4">
        <f t="shared" si="5"/>
        <v>2023</v>
      </c>
      <c r="D57" s="4" cm="1">
        <f t="array" ref="D57">INDEX(GMW!$A$2:$NF$150,MATCH(1,(GMW!$NE$2:$NE$150=D$3)*(GMW!$ND$2:$ND$150=D$4)*(GMW!$NF$2:$NF$150=D$1),0),$C57-1966)</f>
        <v>298814</v>
      </c>
      <c r="E57" s="4" cm="1">
        <f t="array" ref="E57">INDEX(GMW!$A$2:$NF$150,MATCH(1,(GMW!$NE$2:$NE$150=E$3)*(GMW!$ND$2:$ND$150=E$4)*(GMW!$NF$2:$NF$150=E$1),0),$C57-1966)</f>
        <v>45.125549999999997</v>
      </c>
      <c r="F57" s="4" cm="1">
        <f t="array" ref="F57">INDEX(GMW!$A$2:$NF$150,MATCH(1,(GMW!$NE$2:$NE$150=F$3)*(GMW!$ND$2:$ND$150=F$4)*(GMW!$NF$2:$NF$150=F$1),0),$C57-1966)</f>
        <v>53412</v>
      </c>
      <c r="G57" s="4" cm="1">
        <f t="array" ref="G57">INDEX(GMW!$A$2:$NF$150,MATCH(1,(GMW!$NE$2:$NE$150=G$3)*(GMW!$ND$2:$ND$150=G$4)*(GMW!$NF$2:$NF$150=G$1),0),$C57-1966)</f>
        <v>15276.48</v>
      </c>
      <c r="H57" s="4" cm="1">
        <f t="array" ref="H57">INDEX(GMW!$A$2:$NF$150,MATCH(1,(GMW!$NE$2:$NE$150=H$3)*(GMW!$ND$2:$ND$150=H$4)*(GMW!$NF$2:$NF$150=H$1),0),$C57-1966)</f>
        <v>45666</v>
      </c>
      <c r="I57" s="4" cm="1">
        <f t="array" ref="I57">INDEX(GMW!$A$2:$NF$150,MATCH(1,(GMW!$NE$2:$NE$150=I$3)*(GMW!$ND$2:$ND$150=I$4)*(GMW!$NF$2:$NF$150=I$1),0),$C57-1966)</f>
        <v>21823.57</v>
      </c>
      <c r="J57" s="4" cm="1">
        <f t="array" ref="J57">INDEX(GMW!$A$2:$NF$150,MATCH(1,(GMW!$NE$2:$NE$150=J$3)*(GMW!$ND$2:$ND$150=J$4)*(GMW!$NF$2:$NF$150=J$1),0),$C57-1966)</f>
        <v>52813</v>
      </c>
      <c r="K57" s="4" cm="1">
        <f t="array" ref="K57">INDEX(GMW!$A$2:$NF$150,MATCH(1,(GMW!$NE$2:$NE$150=K$3)*(GMW!$ND$2:$ND$150=K$4)*(GMW!$NF$2:$NF$150=K$1),0),$C57-1966)</f>
        <v>20541.89</v>
      </c>
      <c r="L57" s="4" cm="1">
        <f t="array" ref="L57">INDEX(GMW!$A$2:$NF$150,MATCH(1,(GMW!$NE$2:$NE$150=L$3)*(GMW!$ND$2:$ND$150=L$4)*(GMW!$NF$2:$NF$150=L$1),0),$C57-1966)</f>
        <v>299226.5</v>
      </c>
      <c r="M57" s="4" cm="1">
        <f t="array" ref="M57">INDEX(GMW!$A$2:$NF$150,MATCH(1,(GMW!$NE$2:$NE$150=M$3)*(GMW!$ND$2:$ND$150=M$4)*(GMW!$NF$2:$NF$150=M$1),0),$C57-1966)</f>
        <v>25124.61</v>
      </c>
      <c r="N57" s="4" cm="1">
        <f t="array" ref="N57">INDEX(GMW!$A$2:$NF$150,MATCH(1,(GMW!$NE$2:$NE$150=N$3)*(GMW!$ND$2:$ND$150=N$4)*(GMW!$NF$2:$NF$150=N$1),0),$C57-1966)</f>
        <v>1E-3</v>
      </c>
      <c r="O57" s="4" cm="1">
        <f t="array" ref="O57">INDEX(GMW!$A$2:$NF$150,MATCH(1,(GMW!$NE$2:$NE$150=O$3)*(GMW!$ND$2:$ND$150=O$4)*(GMW!$NF$2:$NF$150=O$1),0),$C57-1966)</f>
        <v>323401.40000000002</v>
      </c>
      <c r="P57" s="4" cm="1">
        <f t="array" ref="P57">INDEX(GMW!$A$2:$NF$150,MATCH(1,(GMW!$NE$2:$NE$150=P$3)*(GMW!$ND$2:$ND$150=P$4)*(GMW!$NF$2:$NF$150=P$1),0),$C57-1966)</f>
        <v>37127.25</v>
      </c>
      <c r="Q57" s="4" cm="1">
        <f t="array" ref="Q57">INDEX(GMW!$A$2:$NF$150,MATCH(1,(GMW!$NE$2:$NE$150=Q$3)*(GMW!$ND$2:$ND$150=Q$4)*(GMW!$NF$2:$NF$150=Q$1),0),$C57-1966)</f>
        <v>1351830</v>
      </c>
      <c r="R57" s="4" cm="1">
        <f t="array" ref="R57">INDEX(GMW!$A$2:$NF$150,MATCH(1,(GMW!$NE$2:$NE$150=R$3)*(GMW!$ND$2:$ND$150=R$4)*(GMW!$NF$2:$NF$150=R$1),0),$C57-1966)</f>
        <v>-1.848824</v>
      </c>
      <c r="S57" s="4" cm="1">
        <f t="array" ref="S57">INDEX(GMW!$A$2:$NF$150,MATCH(1,(GMW!$NE$2:$NE$150=S$3)*(GMW!$ND$2:$ND$150=S$4)*(GMW!$NF$2:$NF$150=S$1),0),$C57-1966)</f>
        <v>298814</v>
      </c>
      <c r="T57" s="4" cm="1">
        <f t="array" ref="T57">INDEX(GMW!$A$2:$NF$150,MATCH(1,(GMW!$NE$2:$NE$150=T$3)*(GMW!$ND$2:$ND$150=T$4)*(GMW!$NF$2:$NF$150=T$1),0),$C57-1966)</f>
        <v>45.125549999999997</v>
      </c>
      <c r="U57" s="4" cm="1">
        <f t="array" ref="U57">INDEX(GMW!$A$2:$NF$150,MATCH(1,(GMW!$NE$2:$NE$150=U$3)*(GMW!$ND$2:$ND$150=U$4)*(GMW!$NF$2:$NF$150=U$1),0),$C57-1966)</f>
        <v>53412</v>
      </c>
      <c r="V57" s="4" cm="1">
        <f t="array" ref="V57">INDEX(GMW!$A$2:$NF$150,MATCH(1,(GMW!$NE$2:$NE$150=V$3)*(GMW!$ND$2:$ND$150=V$4)*(GMW!$NF$2:$NF$150=V$1),0),$C57-1966)</f>
        <v>15276.48</v>
      </c>
      <c r="W57" s="4" cm="1">
        <f t="array" ref="W57">INDEX(GMW!$A$2:$NF$150,MATCH(1,(GMW!$NE$2:$NE$150=W$3)*(GMW!$ND$2:$ND$150=W$4)*(GMW!$NF$2:$NF$150=W$1),0),$C57-1966)</f>
        <v>45666</v>
      </c>
      <c r="X57" s="4" cm="1">
        <f t="array" ref="X57">INDEX(GMW!$A$2:$NF$150,MATCH(1,(GMW!$NE$2:$NE$150=X$3)*(GMW!$ND$2:$ND$150=X$4)*(GMW!$NF$2:$NF$150=X$1),0),$C57-1966)</f>
        <v>21823.57</v>
      </c>
      <c r="Y57" s="4" cm="1">
        <f t="array" ref="Y57">INDEX(GMW!$A$2:$NF$150,MATCH(1,(GMW!$NE$2:$NE$150=Y$3)*(GMW!$ND$2:$ND$150=Y$4)*(GMW!$NF$2:$NF$150=Y$1),0),$C57-1966)</f>
        <v>52813</v>
      </c>
      <c r="Z57" s="4" cm="1">
        <f t="array" ref="Z57">INDEX(GMW!$A$2:$NF$150,MATCH(1,(GMW!$NE$2:$NE$150=Z$3)*(GMW!$ND$2:$ND$150=Z$4)*(GMW!$NF$2:$NF$150=Z$1),0),$C57-1966)</f>
        <v>20541.89</v>
      </c>
      <c r="AA57" s="4" cm="1">
        <f t="array" ref="AA57">INDEX(GMW!$A$2:$NF$150,MATCH(1,(GMW!$NE$2:$NE$150=AA$3)*(GMW!$ND$2:$ND$150=AA$4)*(GMW!$NF$2:$NF$150=AA$1),0),$C57-1966)</f>
        <v>299226.5</v>
      </c>
      <c r="AB57" s="4" cm="1">
        <f t="array" ref="AB57">INDEX(GMW!$A$2:$NF$150,MATCH(1,(GMW!$NE$2:$NE$150=AB$3)*(GMW!$ND$2:$ND$150=AB$4)*(GMW!$NF$2:$NF$150=AB$1),0),$C57-1966)</f>
        <v>25124.61</v>
      </c>
      <c r="AC57" s="4" cm="1">
        <f t="array" ref="AC57">INDEX(GMW!$A$2:$NF$150,MATCH(1,(GMW!$NE$2:$NE$150=AC$3)*(GMW!$ND$2:$ND$150=AC$4)*(GMW!$NF$2:$NF$150=AC$1),0),$C57-1966)</f>
        <v>1E-3</v>
      </c>
      <c r="AD57" s="4" cm="1">
        <f t="array" ref="AD57">INDEX(GMW!$A$2:$NF$150,MATCH(1,(GMW!$NE$2:$NE$150=AD$3)*(GMW!$ND$2:$ND$150=AD$4)*(GMW!$NF$2:$NF$150=AD$1),0),$C57-1966)</f>
        <v>323401.40000000002</v>
      </c>
      <c r="AE57" s="4" cm="1">
        <f t="array" ref="AE57">INDEX(GMW!$A$2:$NF$150,MATCH(1,(GMW!$NE$2:$NE$150=AE$3)*(GMW!$ND$2:$ND$150=AE$4)*(GMW!$NF$2:$NF$150=AE$1),0),$C57-1966)</f>
        <v>37127.25</v>
      </c>
      <c r="AF57" s="4" cm="1">
        <f t="array" ref="AF57">INDEX(GMW!$A$2:$NF$150,MATCH(1,(GMW!$NE$2:$NE$150=AF$3)*(GMW!$ND$2:$ND$150=AF$4)*(GMW!$NF$2:$NF$150=AF$1),0),$C57-1966)</f>
        <v>1351830</v>
      </c>
      <c r="AG57" s="4" cm="1">
        <f t="array" ref="AG57">INDEX(GMW!$A$2:$NF$150,MATCH(1,(GMW!$NE$2:$NE$150=AG$3)*(GMW!$ND$2:$ND$150=AG$4)*(GMW!$NF$2:$NF$150=AG$1),0),$C57-1966)</f>
        <v>-1.848824</v>
      </c>
      <c r="AH57" s="4" cm="1">
        <f t="array" ref="AH57">INDEX(GMW!$A$2:$NF$150,MATCH(1,(GMW!$NE$2:$NE$150=AH$3)*(GMW!$ND$2:$ND$150=AH$4)*(GMW!$NF$2:$NF$150=AH$1),0),$C57-1966)</f>
        <v>298814</v>
      </c>
      <c r="AI57" s="4" cm="1">
        <f t="array" ref="AI57">INDEX(GMW!$A$2:$NF$150,MATCH(1,(GMW!$NE$2:$NE$150=AI$3)*(GMW!$ND$2:$ND$150=AI$4)*(GMW!$NF$2:$NF$150=AI$1),0),$C57-1966)</f>
        <v>45.125549999999997</v>
      </c>
      <c r="AJ57" s="4" cm="1">
        <f t="array" ref="AJ57">INDEX(GMW!$A$2:$NF$150,MATCH(1,(GMW!$NE$2:$NE$150=AJ$3)*(GMW!$ND$2:$ND$150=AJ$4)*(GMW!$NF$2:$NF$150=AJ$1),0),$C57-1966)</f>
        <v>53412</v>
      </c>
      <c r="AK57" s="4" cm="1">
        <f t="array" ref="AK57">INDEX(GMW!$A$2:$NF$150,MATCH(1,(GMW!$NE$2:$NE$150=AK$3)*(GMW!$ND$2:$ND$150=AK$4)*(GMW!$NF$2:$NF$150=AK$1),0),$C57-1966)</f>
        <v>15276.48</v>
      </c>
      <c r="AL57" s="4" cm="1">
        <f t="array" ref="AL57">INDEX(GMW!$A$2:$NF$150,MATCH(1,(GMW!$NE$2:$NE$150=AL$3)*(GMW!$ND$2:$ND$150=AL$4)*(GMW!$NF$2:$NF$150=AL$1),0),$C57-1966)</f>
        <v>45666</v>
      </c>
      <c r="AM57" s="4" cm="1">
        <f t="array" ref="AM57">INDEX(GMW!$A$2:$NF$150,MATCH(1,(GMW!$NE$2:$NE$150=AM$3)*(GMW!$ND$2:$ND$150=AM$4)*(GMW!$NF$2:$NF$150=AM$1),0),$C57-1966)</f>
        <v>21823.57</v>
      </c>
      <c r="AN57" s="4" cm="1">
        <f t="array" ref="AN57">INDEX(GMW!$A$2:$NF$150,MATCH(1,(GMW!$NE$2:$NE$150=AN$3)*(GMW!$ND$2:$ND$150=AN$4)*(GMW!$NF$2:$NF$150=AN$1),0),$C57-1966)</f>
        <v>52813</v>
      </c>
      <c r="AO57" s="4" cm="1">
        <f t="array" ref="AO57">INDEX(GMW!$A$2:$NF$150,MATCH(1,(GMW!$NE$2:$NE$150=AO$3)*(GMW!$ND$2:$ND$150=AO$4)*(GMW!$NF$2:$NF$150=AO$1),0),$C57-1966)</f>
        <v>20541.89</v>
      </c>
      <c r="AP57" s="4" cm="1">
        <f t="array" ref="AP57">INDEX(GMW!$A$2:$NF$150,MATCH(1,(GMW!$NE$2:$NE$150=AP$3)*(GMW!$ND$2:$ND$150=AP$4)*(GMW!$NF$2:$NF$150=AP$1),0),$C57-1966)</f>
        <v>299226.5</v>
      </c>
      <c r="AQ57" s="4" cm="1">
        <f t="array" ref="AQ57">INDEX(GMW!$A$2:$NF$150,MATCH(1,(GMW!$NE$2:$NE$150=AQ$3)*(GMW!$ND$2:$ND$150=AQ$4)*(GMW!$NF$2:$NF$150=AQ$1),0),$C57-1966)</f>
        <v>25124.61</v>
      </c>
      <c r="AR57" s="4" cm="1">
        <f t="array" ref="AR57">INDEX(GMW!$A$2:$NF$150,MATCH(1,(GMW!$NE$2:$NE$150=AR$3)*(GMW!$ND$2:$ND$150=AR$4)*(GMW!$NF$2:$NF$150=AR$1),0),$C57-1966)</f>
        <v>1E-3</v>
      </c>
      <c r="AS57" s="4" cm="1">
        <f t="array" ref="AS57">INDEX(GMW!$A$2:$NF$150,MATCH(1,(GMW!$NE$2:$NE$150=AS$3)*(GMW!$ND$2:$ND$150=AS$4)*(GMW!$NF$2:$NF$150=AS$1),0),$C57-1966)</f>
        <v>323401.40000000002</v>
      </c>
      <c r="AT57" s="4" cm="1">
        <f t="array" ref="AT57">INDEX(GMW!$A$2:$NF$150,MATCH(1,(GMW!$NE$2:$NE$150=AT$3)*(GMW!$ND$2:$ND$150=AT$4)*(GMW!$NF$2:$NF$150=AT$1),0),$C57-1966)</f>
        <v>37127.25</v>
      </c>
      <c r="AU57" s="4" cm="1">
        <f t="array" ref="AU57">INDEX(GMW!$A$2:$NF$150,MATCH(1,(GMW!$NE$2:$NE$150=AU$3)*(GMW!$ND$2:$ND$150=AU$4)*(GMW!$NF$2:$NF$150=AU$1),0),$C57-1966)</f>
        <v>1351830</v>
      </c>
      <c r="AV57" s="4" cm="1">
        <f t="array" ref="AV57">INDEX(GMW!$A$2:$NF$150,MATCH(1,(GMW!$NE$2:$NE$150=AV$3)*(GMW!$ND$2:$ND$150=AV$4)*(GMW!$NF$2:$NF$150=AV$1),0),$C57-1966)</f>
        <v>-1.848824</v>
      </c>
    </row>
    <row r="58" spans="1:48" x14ac:dyDescent="0.25">
      <c r="B58" s="4">
        <f t="shared" si="4"/>
        <v>1985</v>
      </c>
      <c r="C58" s="4">
        <f t="shared" si="5"/>
        <v>2024</v>
      </c>
      <c r="D58" s="4" cm="1">
        <f t="array" ref="D58">INDEX(GMW!$A$2:$NF$150,MATCH(1,(GMW!$NE$2:$NE$150=D$3)*(GMW!$ND$2:$ND$150=D$4)*(GMW!$NF$2:$NF$150=D$1),0),$C58-1966)</f>
        <v>298979</v>
      </c>
      <c r="E58" s="4" cm="1">
        <f t="array" ref="E58">INDEX(GMW!$A$2:$NF$150,MATCH(1,(GMW!$NE$2:$NE$150=E$3)*(GMW!$ND$2:$ND$150=E$4)*(GMW!$NF$2:$NF$150=E$1),0),$C58-1966)</f>
        <v>45.490519999999997</v>
      </c>
      <c r="F58" s="4" cm="1">
        <f t="array" ref="F58">INDEX(GMW!$A$2:$NF$150,MATCH(1,(GMW!$NE$2:$NE$150=F$3)*(GMW!$ND$2:$ND$150=F$4)*(GMW!$NF$2:$NF$150=F$1),0),$C58-1966)</f>
        <v>53746</v>
      </c>
      <c r="G58" s="4" cm="1">
        <f t="array" ref="G58">INDEX(GMW!$A$2:$NF$150,MATCH(1,(GMW!$NE$2:$NE$150=G$3)*(GMW!$ND$2:$ND$150=G$4)*(GMW!$NF$2:$NF$150=G$1),0),$C58-1966)</f>
        <v>14510.18</v>
      </c>
      <c r="H58" s="4" cm="1">
        <f t="array" ref="H58">INDEX(GMW!$A$2:$NF$150,MATCH(1,(GMW!$NE$2:$NE$150=H$3)*(GMW!$ND$2:$ND$150=H$4)*(GMW!$NF$2:$NF$150=H$1),0),$C58-1966)</f>
        <v>47146</v>
      </c>
      <c r="I58" s="4" cm="1">
        <f t="array" ref="I58">INDEX(GMW!$A$2:$NF$150,MATCH(1,(GMW!$NE$2:$NE$150=I$3)*(GMW!$ND$2:$ND$150=I$4)*(GMW!$NF$2:$NF$150=I$1),0),$C58-1966)</f>
        <v>21130.7</v>
      </c>
      <c r="J58" s="4" cm="1">
        <f t="array" ref="J58">INDEX(GMW!$A$2:$NF$150,MATCH(1,(GMW!$NE$2:$NE$150=J$3)*(GMW!$ND$2:$ND$150=J$4)*(GMW!$NF$2:$NF$150=J$1),0),$C58-1966)</f>
        <v>52603</v>
      </c>
      <c r="K58" s="4" cm="1">
        <f t="array" ref="K58">INDEX(GMW!$A$2:$NF$150,MATCH(1,(GMW!$NE$2:$NE$150=K$3)*(GMW!$ND$2:$ND$150=K$4)*(GMW!$NF$2:$NF$150=K$1),0),$C58-1966)</f>
        <v>20672.22</v>
      </c>
      <c r="L58" s="4" cm="1">
        <f t="array" ref="L58">INDEX(GMW!$A$2:$NF$150,MATCH(1,(GMW!$NE$2:$NE$150=L$3)*(GMW!$ND$2:$ND$150=L$4)*(GMW!$NF$2:$NF$150=L$1),0),$C58-1966)</f>
        <v>301203.09999999998</v>
      </c>
      <c r="M58" s="4" cm="1">
        <f t="array" ref="M58">INDEX(GMW!$A$2:$NF$150,MATCH(1,(GMW!$NE$2:$NE$150=M$3)*(GMW!$ND$2:$ND$150=M$4)*(GMW!$NF$2:$NF$150=M$1),0),$C58-1966)</f>
        <v>25154.47</v>
      </c>
      <c r="N58" s="4" cm="1">
        <f t="array" ref="N58">INDEX(GMW!$A$2:$NF$150,MATCH(1,(GMW!$NE$2:$NE$150=N$3)*(GMW!$ND$2:$ND$150=N$4)*(GMW!$NF$2:$NF$150=N$1),0),$C58-1966)</f>
        <v>1E-3</v>
      </c>
      <c r="O58" s="4" cm="1">
        <f t="array" ref="O58">INDEX(GMW!$A$2:$NF$150,MATCH(1,(GMW!$NE$2:$NE$150=O$3)*(GMW!$ND$2:$ND$150=O$4)*(GMW!$NF$2:$NF$150=O$1),0),$C58-1966)</f>
        <v>324774</v>
      </c>
      <c r="P58" s="4" cm="1">
        <f t="array" ref="P58">INDEX(GMW!$A$2:$NF$150,MATCH(1,(GMW!$NE$2:$NE$150=P$3)*(GMW!$ND$2:$ND$150=P$4)*(GMW!$NF$2:$NF$150=P$1),0),$C58-1966)</f>
        <v>37151.31</v>
      </c>
      <c r="Q58" s="4" cm="1">
        <f t="array" ref="Q58">INDEX(GMW!$A$2:$NF$150,MATCH(1,(GMW!$NE$2:$NE$150=Q$3)*(GMW!$ND$2:$ND$150=Q$4)*(GMW!$NF$2:$NF$150=Q$1),0),$C58-1966)</f>
        <v>1358536</v>
      </c>
      <c r="R58" s="4" cm="1">
        <f t="array" ref="R58">INDEX(GMW!$A$2:$NF$150,MATCH(1,(GMW!$NE$2:$NE$150=R$3)*(GMW!$ND$2:$ND$150=R$4)*(GMW!$NF$2:$NF$150=R$1),0),$C58-1966)</f>
        <v>-1.8458289999999999</v>
      </c>
      <c r="S58" s="4" cm="1">
        <f t="array" ref="S58">INDEX(GMW!$A$2:$NF$150,MATCH(1,(GMW!$NE$2:$NE$150=S$3)*(GMW!$ND$2:$ND$150=S$4)*(GMW!$NF$2:$NF$150=S$1),0),$C58-1966)</f>
        <v>298979</v>
      </c>
      <c r="T58" s="4" cm="1">
        <f t="array" ref="T58">INDEX(GMW!$A$2:$NF$150,MATCH(1,(GMW!$NE$2:$NE$150=T$3)*(GMW!$ND$2:$ND$150=T$4)*(GMW!$NF$2:$NF$150=T$1),0),$C58-1966)</f>
        <v>45.490519999999997</v>
      </c>
      <c r="U58" s="4" cm="1">
        <f t="array" ref="U58">INDEX(GMW!$A$2:$NF$150,MATCH(1,(GMW!$NE$2:$NE$150=U$3)*(GMW!$ND$2:$ND$150=U$4)*(GMW!$NF$2:$NF$150=U$1),0),$C58-1966)</f>
        <v>53746</v>
      </c>
      <c r="V58" s="4" cm="1">
        <f t="array" ref="V58">INDEX(GMW!$A$2:$NF$150,MATCH(1,(GMW!$NE$2:$NE$150=V$3)*(GMW!$ND$2:$ND$150=V$4)*(GMW!$NF$2:$NF$150=V$1),0),$C58-1966)</f>
        <v>14510.18</v>
      </c>
      <c r="W58" s="4" cm="1">
        <f t="array" ref="W58">INDEX(GMW!$A$2:$NF$150,MATCH(1,(GMW!$NE$2:$NE$150=W$3)*(GMW!$ND$2:$ND$150=W$4)*(GMW!$NF$2:$NF$150=W$1),0),$C58-1966)</f>
        <v>47146</v>
      </c>
      <c r="X58" s="4" cm="1">
        <f t="array" ref="X58">INDEX(GMW!$A$2:$NF$150,MATCH(1,(GMW!$NE$2:$NE$150=X$3)*(GMW!$ND$2:$ND$150=X$4)*(GMW!$NF$2:$NF$150=X$1),0),$C58-1966)</f>
        <v>21130.7</v>
      </c>
      <c r="Y58" s="4" cm="1">
        <f t="array" ref="Y58">INDEX(GMW!$A$2:$NF$150,MATCH(1,(GMW!$NE$2:$NE$150=Y$3)*(GMW!$ND$2:$ND$150=Y$4)*(GMW!$NF$2:$NF$150=Y$1),0),$C58-1966)</f>
        <v>52603</v>
      </c>
      <c r="Z58" s="4" cm="1">
        <f t="array" ref="Z58">INDEX(GMW!$A$2:$NF$150,MATCH(1,(GMW!$NE$2:$NE$150=Z$3)*(GMW!$ND$2:$ND$150=Z$4)*(GMW!$NF$2:$NF$150=Z$1),0),$C58-1966)</f>
        <v>20672.22</v>
      </c>
      <c r="AA58" s="4" cm="1">
        <f t="array" ref="AA58">INDEX(GMW!$A$2:$NF$150,MATCH(1,(GMW!$NE$2:$NE$150=AA$3)*(GMW!$ND$2:$ND$150=AA$4)*(GMW!$NF$2:$NF$150=AA$1),0),$C58-1966)</f>
        <v>301203.09999999998</v>
      </c>
      <c r="AB58" s="4" cm="1">
        <f t="array" ref="AB58">INDEX(GMW!$A$2:$NF$150,MATCH(1,(GMW!$NE$2:$NE$150=AB$3)*(GMW!$ND$2:$ND$150=AB$4)*(GMW!$NF$2:$NF$150=AB$1),0),$C58-1966)</f>
        <v>25154.47</v>
      </c>
      <c r="AC58" s="4" cm="1">
        <f t="array" ref="AC58">INDEX(GMW!$A$2:$NF$150,MATCH(1,(GMW!$NE$2:$NE$150=AC$3)*(GMW!$ND$2:$ND$150=AC$4)*(GMW!$NF$2:$NF$150=AC$1),0),$C58-1966)</f>
        <v>1E-3</v>
      </c>
      <c r="AD58" s="4" cm="1">
        <f t="array" ref="AD58">INDEX(GMW!$A$2:$NF$150,MATCH(1,(GMW!$NE$2:$NE$150=AD$3)*(GMW!$ND$2:$ND$150=AD$4)*(GMW!$NF$2:$NF$150=AD$1),0),$C58-1966)</f>
        <v>324774</v>
      </c>
      <c r="AE58" s="4" cm="1">
        <f t="array" ref="AE58">INDEX(GMW!$A$2:$NF$150,MATCH(1,(GMW!$NE$2:$NE$150=AE$3)*(GMW!$ND$2:$ND$150=AE$4)*(GMW!$NF$2:$NF$150=AE$1),0),$C58-1966)</f>
        <v>37151.31</v>
      </c>
      <c r="AF58" s="4" cm="1">
        <f t="array" ref="AF58">INDEX(GMW!$A$2:$NF$150,MATCH(1,(GMW!$NE$2:$NE$150=AF$3)*(GMW!$ND$2:$ND$150=AF$4)*(GMW!$NF$2:$NF$150=AF$1),0),$C58-1966)</f>
        <v>1358536</v>
      </c>
      <c r="AG58" s="4" cm="1">
        <f t="array" ref="AG58">INDEX(GMW!$A$2:$NF$150,MATCH(1,(GMW!$NE$2:$NE$150=AG$3)*(GMW!$ND$2:$ND$150=AG$4)*(GMW!$NF$2:$NF$150=AG$1),0),$C58-1966)</f>
        <v>-1.8458289999999999</v>
      </c>
      <c r="AH58" s="4" cm="1">
        <f t="array" ref="AH58">INDEX(GMW!$A$2:$NF$150,MATCH(1,(GMW!$NE$2:$NE$150=AH$3)*(GMW!$ND$2:$ND$150=AH$4)*(GMW!$NF$2:$NF$150=AH$1),0),$C58-1966)</f>
        <v>298979</v>
      </c>
      <c r="AI58" s="4" cm="1">
        <f t="array" ref="AI58">INDEX(GMW!$A$2:$NF$150,MATCH(1,(GMW!$NE$2:$NE$150=AI$3)*(GMW!$ND$2:$ND$150=AI$4)*(GMW!$NF$2:$NF$150=AI$1),0),$C58-1966)</f>
        <v>45.490519999999997</v>
      </c>
      <c r="AJ58" s="4" cm="1">
        <f t="array" ref="AJ58">INDEX(GMW!$A$2:$NF$150,MATCH(1,(GMW!$NE$2:$NE$150=AJ$3)*(GMW!$ND$2:$ND$150=AJ$4)*(GMW!$NF$2:$NF$150=AJ$1),0),$C58-1966)</f>
        <v>53746</v>
      </c>
      <c r="AK58" s="4" cm="1">
        <f t="array" ref="AK58">INDEX(GMW!$A$2:$NF$150,MATCH(1,(GMW!$NE$2:$NE$150=AK$3)*(GMW!$ND$2:$ND$150=AK$4)*(GMW!$NF$2:$NF$150=AK$1),0),$C58-1966)</f>
        <v>14510.18</v>
      </c>
      <c r="AL58" s="4" cm="1">
        <f t="array" ref="AL58">INDEX(GMW!$A$2:$NF$150,MATCH(1,(GMW!$NE$2:$NE$150=AL$3)*(GMW!$ND$2:$ND$150=AL$4)*(GMW!$NF$2:$NF$150=AL$1),0),$C58-1966)</f>
        <v>47146</v>
      </c>
      <c r="AM58" s="4" cm="1">
        <f t="array" ref="AM58">INDEX(GMW!$A$2:$NF$150,MATCH(1,(GMW!$NE$2:$NE$150=AM$3)*(GMW!$ND$2:$ND$150=AM$4)*(GMW!$NF$2:$NF$150=AM$1),0),$C58-1966)</f>
        <v>21130.7</v>
      </c>
      <c r="AN58" s="4" cm="1">
        <f t="array" ref="AN58">INDEX(GMW!$A$2:$NF$150,MATCH(1,(GMW!$NE$2:$NE$150=AN$3)*(GMW!$ND$2:$ND$150=AN$4)*(GMW!$NF$2:$NF$150=AN$1),0),$C58-1966)</f>
        <v>52603</v>
      </c>
      <c r="AO58" s="4" cm="1">
        <f t="array" ref="AO58">INDEX(GMW!$A$2:$NF$150,MATCH(1,(GMW!$NE$2:$NE$150=AO$3)*(GMW!$ND$2:$ND$150=AO$4)*(GMW!$NF$2:$NF$150=AO$1),0),$C58-1966)</f>
        <v>20672.22</v>
      </c>
      <c r="AP58" s="4" cm="1">
        <f t="array" ref="AP58">INDEX(GMW!$A$2:$NF$150,MATCH(1,(GMW!$NE$2:$NE$150=AP$3)*(GMW!$ND$2:$ND$150=AP$4)*(GMW!$NF$2:$NF$150=AP$1),0),$C58-1966)</f>
        <v>301203.09999999998</v>
      </c>
      <c r="AQ58" s="4" cm="1">
        <f t="array" ref="AQ58">INDEX(GMW!$A$2:$NF$150,MATCH(1,(GMW!$NE$2:$NE$150=AQ$3)*(GMW!$ND$2:$ND$150=AQ$4)*(GMW!$NF$2:$NF$150=AQ$1),0),$C58-1966)</f>
        <v>25154.47</v>
      </c>
      <c r="AR58" s="4" cm="1">
        <f t="array" ref="AR58">INDEX(GMW!$A$2:$NF$150,MATCH(1,(GMW!$NE$2:$NE$150=AR$3)*(GMW!$ND$2:$ND$150=AR$4)*(GMW!$NF$2:$NF$150=AR$1),0),$C58-1966)</f>
        <v>1E-3</v>
      </c>
      <c r="AS58" s="4" cm="1">
        <f t="array" ref="AS58">INDEX(GMW!$A$2:$NF$150,MATCH(1,(GMW!$NE$2:$NE$150=AS$3)*(GMW!$ND$2:$ND$150=AS$4)*(GMW!$NF$2:$NF$150=AS$1),0),$C58-1966)</f>
        <v>324774</v>
      </c>
      <c r="AT58" s="4" cm="1">
        <f t="array" ref="AT58">INDEX(GMW!$A$2:$NF$150,MATCH(1,(GMW!$NE$2:$NE$150=AT$3)*(GMW!$ND$2:$ND$150=AT$4)*(GMW!$NF$2:$NF$150=AT$1),0),$C58-1966)</f>
        <v>37151.31</v>
      </c>
      <c r="AU58" s="4" cm="1">
        <f t="array" ref="AU58">INDEX(GMW!$A$2:$NF$150,MATCH(1,(GMW!$NE$2:$NE$150=AU$3)*(GMW!$ND$2:$ND$150=AU$4)*(GMW!$NF$2:$NF$150=AU$1),0),$C58-1966)</f>
        <v>1358536</v>
      </c>
      <c r="AV58" s="4" cm="1">
        <f t="array" ref="AV58">INDEX(GMW!$A$2:$NF$150,MATCH(1,(GMW!$NE$2:$NE$150=AV$3)*(GMW!$ND$2:$ND$150=AV$4)*(GMW!$NF$2:$NF$150=AV$1),0),$C58-1966)</f>
        <v>-1.8458289999999999</v>
      </c>
    </row>
    <row r="59" spans="1:48" x14ac:dyDescent="0.25">
      <c r="A59" s="4">
        <v>1986</v>
      </c>
      <c r="B59" s="4">
        <f t="shared" si="4"/>
        <v>1986</v>
      </c>
      <c r="C59" s="4">
        <f t="shared" si="5"/>
        <v>2025</v>
      </c>
      <c r="D59" s="4" cm="1">
        <f t="array" ref="D59">INDEX(GMW!$A$2:$NF$150,MATCH(1,(GMW!$NE$2:$NE$150=D$3)*(GMW!$ND$2:$ND$150=D$4)*(GMW!$NF$2:$NF$150=D$1),0),$C59-1966)</f>
        <v>302117</v>
      </c>
      <c r="E59" s="4" cm="1">
        <f t="array" ref="E59">INDEX(GMW!$A$2:$NF$150,MATCH(1,(GMW!$NE$2:$NE$150=E$3)*(GMW!$ND$2:$ND$150=E$4)*(GMW!$NF$2:$NF$150=E$1),0),$C59-1966)</f>
        <v>45.646929999999998</v>
      </c>
      <c r="F59" s="4" cm="1">
        <f t="array" ref="F59">INDEX(GMW!$A$2:$NF$150,MATCH(1,(GMW!$NE$2:$NE$150=F$3)*(GMW!$ND$2:$ND$150=F$4)*(GMW!$NF$2:$NF$150=F$1),0),$C59-1966)</f>
        <v>54907</v>
      </c>
      <c r="G59" s="4" cm="1">
        <f t="array" ref="G59">INDEX(GMW!$A$2:$NF$150,MATCH(1,(GMW!$NE$2:$NE$150=G$3)*(GMW!$ND$2:$ND$150=G$4)*(GMW!$NF$2:$NF$150=G$1),0),$C59-1966)</f>
        <v>14486.36</v>
      </c>
      <c r="H59" s="4" cm="1">
        <f t="array" ref="H59">INDEX(GMW!$A$2:$NF$150,MATCH(1,(GMW!$NE$2:$NE$150=H$3)*(GMW!$ND$2:$ND$150=H$4)*(GMW!$NF$2:$NF$150=H$1),0),$C59-1966)</f>
        <v>48298</v>
      </c>
      <c r="I59" s="4" cm="1">
        <f t="array" ref="I59">INDEX(GMW!$A$2:$NF$150,MATCH(1,(GMW!$NE$2:$NE$150=I$3)*(GMW!$ND$2:$ND$150=I$4)*(GMW!$NF$2:$NF$150=I$1),0),$C59-1966)</f>
        <v>22871.68</v>
      </c>
      <c r="J59" s="4" cm="1">
        <f t="array" ref="J59">INDEX(GMW!$A$2:$NF$150,MATCH(1,(GMW!$NE$2:$NE$150=J$3)*(GMW!$ND$2:$ND$150=J$4)*(GMW!$NF$2:$NF$150=J$1),0),$C59-1966)</f>
        <v>52036</v>
      </c>
      <c r="K59" s="4" cm="1">
        <f t="array" ref="K59">INDEX(GMW!$A$2:$NF$150,MATCH(1,(GMW!$NE$2:$NE$150=K$3)*(GMW!$ND$2:$ND$150=K$4)*(GMW!$NF$2:$NF$150=K$1),0),$C59-1966)</f>
        <v>20701.18</v>
      </c>
      <c r="L59" s="4" cm="1">
        <f t="array" ref="L59">INDEX(GMW!$A$2:$NF$150,MATCH(1,(GMW!$NE$2:$NE$150=L$3)*(GMW!$ND$2:$ND$150=L$4)*(GMW!$NF$2:$NF$150=L$1),0),$C59-1966)</f>
        <v>303115.59999999998</v>
      </c>
      <c r="M59" s="4" cm="1">
        <f t="array" ref="M59">INDEX(GMW!$A$2:$NF$150,MATCH(1,(GMW!$NE$2:$NE$150=M$3)*(GMW!$ND$2:$ND$150=M$4)*(GMW!$NF$2:$NF$150=M$1),0),$C59-1966)</f>
        <v>25177.1</v>
      </c>
      <c r="N59" s="4" cm="1">
        <f t="array" ref="N59">INDEX(GMW!$A$2:$NF$150,MATCH(1,(GMW!$NE$2:$NE$150=N$3)*(GMW!$ND$2:$ND$150=N$4)*(GMW!$NF$2:$NF$150=N$1),0),$C59-1966)</f>
        <v>33.56044</v>
      </c>
      <c r="O59" s="4" cm="1">
        <f t="array" ref="O59">INDEX(GMW!$A$2:$NF$150,MATCH(1,(GMW!$NE$2:$NE$150=O$3)*(GMW!$ND$2:$ND$150=O$4)*(GMW!$NF$2:$NF$150=O$1),0),$C59-1966)</f>
        <v>326094.3</v>
      </c>
      <c r="P59" s="4" cm="1">
        <f t="array" ref="P59">INDEX(GMW!$A$2:$NF$150,MATCH(1,(GMW!$NE$2:$NE$150=P$3)*(GMW!$ND$2:$ND$150=P$4)*(GMW!$NF$2:$NF$150=P$1),0),$C59-1966)</f>
        <v>37175.379999999997</v>
      </c>
      <c r="Q59" s="4" cm="1">
        <f t="array" ref="Q59">INDEX(GMW!$A$2:$NF$150,MATCH(1,(GMW!$NE$2:$NE$150=Q$3)*(GMW!$ND$2:$ND$150=Q$4)*(GMW!$NF$2:$NF$150=Q$1),0),$C59-1966)</f>
        <v>1363956</v>
      </c>
      <c r="R59" s="4" cm="1">
        <f t="array" ref="R59">INDEX(GMW!$A$2:$NF$150,MATCH(1,(GMW!$NE$2:$NE$150=R$3)*(GMW!$ND$2:$ND$150=R$4)*(GMW!$NF$2:$NF$150=R$1),0),$C59-1966)</f>
        <v>-1.8428389999999999</v>
      </c>
      <c r="S59" s="4" cm="1">
        <f t="array" ref="S59">INDEX(GMW!$A$2:$NF$150,MATCH(1,(GMW!$NE$2:$NE$150=S$3)*(GMW!$ND$2:$ND$150=S$4)*(GMW!$NF$2:$NF$150=S$1),0),$C59-1966)</f>
        <v>302117</v>
      </c>
      <c r="T59" s="4" cm="1">
        <f t="array" ref="T59">INDEX(GMW!$A$2:$NF$150,MATCH(1,(GMW!$NE$2:$NE$150=T$3)*(GMW!$ND$2:$ND$150=T$4)*(GMW!$NF$2:$NF$150=T$1),0),$C59-1966)</f>
        <v>45.646929999999998</v>
      </c>
      <c r="U59" s="4" cm="1">
        <f t="array" ref="U59">INDEX(GMW!$A$2:$NF$150,MATCH(1,(GMW!$NE$2:$NE$150=U$3)*(GMW!$ND$2:$ND$150=U$4)*(GMW!$NF$2:$NF$150=U$1),0),$C59-1966)</f>
        <v>54907</v>
      </c>
      <c r="V59" s="4" cm="1">
        <f t="array" ref="V59">INDEX(GMW!$A$2:$NF$150,MATCH(1,(GMW!$NE$2:$NE$150=V$3)*(GMW!$ND$2:$ND$150=V$4)*(GMW!$NF$2:$NF$150=V$1),0),$C59-1966)</f>
        <v>14486.36</v>
      </c>
      <c r="W59" s="4" cm="1">
        <f t="array" ref="W59">INDEX(GMW!$A$2:$NF$150,MATCH(1,(GMW!$NE$2:$NE$150=W$3)*(GMW!$ND$2:$ND$150=W$4)*(GMW!$NF$2:$NF$150=W$1),0),$C59-1966)</f>
        <v>48298</v>
      </c>
      <c r="X59" s="4" cm="1">
        <f t="array" ref="X59">INDEX(GMW!$A$2:$NF$150,MATCH(1,(GMW!$NE$2:$NE$150=X$3)*(GMW!$ND$2:$ND$150=X$4)*(GMW!$NF$2:$NF$150=X$1),0),$C59-1966)</f>
        <v>22871.68</v>
      </c>
      <c r="Y59" s="4" cm="1">
        <f t="array" ref="Y59">INDEX(GMW!$A$2:$NF$150,MATCH(1,(GMW!$NE$2:$NE$150=Y$3)*(GMW!$ND$2:$ND$150=Y$4)*(GMW!$NF$2:$NF$150=Y$1),0),$C59-1966)</f>
        <v>52036</v>
      </c>
      <c r="Z59" s="4" cm="1">
        <f t="array" ref="Z59">INDEX(GMW!$A$2:$NF$150,MATCH(1,(GMW!$NE$2:$NE$150=Z$3)*(GMW!$ND$2:$ND$150=Z$4)*(GMW!$NF$2:$NF$150=Z$1),0),$C59-1966)</f>
        <v>20701.18</v>
      </c>
      <c r="AA59" s="4" cm="1">
        <f t="array" ref="AA59">INDEX(GMW!$A$2:$NF$150,MATCH(1,(GMW!$NE$2:$NE$150=AA$3)*(GMW!$ND$2:$ND$150=AA$4)*(GMW!$NF$2:$NF$150=AA$1),0),$C59-1966)</f>
        <v>303115.59999999998</v>
      </c>
      <c r="AB59" s="4" cm="1">
        <f t="array" ref="AB59">INDEX(GMW!$A$2:$NF$150,MATCH(1,(GMW!$NE$2:$NE$150=AB$3)*(GMW!$ND$2:$ND$150=AB$4)*(GMW!$NF$2:$NF$150=AB$1),0),$C59-1966)</f>
        <v>25177.1</v>
      </c>
      <c r="AC59" s="4" cm="1">
        <f t="array" ref="AC59">INDEX(GMW!$A$2:$NF$150,MATCH(1,(GMW!$NE$2:$NE$150=AC$3)*(GMW!$ND$2:$ND$150=AC$4)*(GMW!$NF$2:$NF$150=AC$1),0),$C59-1966)</f>
        <v>33.56044</v>
      </c>
      <c r="AD59" s="4" cm="1">
        <f t="array" ref="AD59">INDEX(GMW!$A$2:$NF$150,MATCH(1,(GMW!$NE$2:$NE$150=AD$3)*(GMW!$ND$2:$ND$150=AD$4)*(GMW!$NF$2:$NF$150=AD$1),0),$C59-1966)</f>
        <v>326094.3</v>
      </c>
      <c r="AE59" s="4" cm="1">
        <f t="array" ref="AE59">INDEX(GMW!$A$2:$NF$150,MATCH(1,(GMW!$NE$2:$NE$150=AE$3)*(GMW!$ND$2:$ND$150=AE$4)*(GMW!$NF$2:$NF$150=AE$1),0),$C59-1966)</f>
        <v>37175.379999999997</v>
      </c>
      <c r="AF59" s="4" cm="1">
        <f t="array" ref="AF59">INDEX(GMW!$A$2:$NF$150,MATCH(1,(GMW!$NE$2:$NE$150=AF$3)*(GMW!$ND$2:$ND$150=AF$4)*(GMW!$NF$2:$NF$150=AF$1),0),$C59-1966)</f>
        <v>1363956</v>
      </c>
      <c r="AG59" s="4" cm="1">
        <f t="array" ref="AG59">INDEX(GMW!$A$2:$NF$150,MATCH(1,(GMW!$NE$2:$NE$150=AG$3)*(GMW!$ND$2:$ND$150=AG$4)*(GMW!$NF$2:$NF$150=AG$1),0),$C59-1966)</f>
        <v>-1.8428389999999999</v>
      </c>
      <c r="AH59" s="4" cm="1">
        <f t="array" ref="AH59">INDEX(GMW!$A$2:$NF$150,MATCH(1,(GMW!$NE$2:$NE$150=AH$3)*(GMW!$ND$2:$ND$150=AH$4)*(GMW!$NF$2:$NF$150=AH$1),0),$C59-1966)</f>
        <v>302117</v>
      </c>
      <c r="AI59" s="4" cm="1">
        <f t="array" ref="AI59">INDEX(GMW!$A$2:$NF$150,MATCH(1,(GMW!$NE$2:$NE$150=AI$3)*(GMW!$ND$2:$ND$150=AI$4)*(GMW!$NF$2:$NF$150=AI$1),0),$C59-1966)</f>
        <v>45.646929999999998</v>
      </c>
      <c r="AJ59" s="4" cm="1">
        <f t="array" ref="AJ59">INDEX(GMW!$A$2:$NF$150,MATCH(1,(GMW!$NE$2:$NE$150=AJ$3)*(GMW!$ND$2:$ND$150=AJ$4)*(GMW!$NF$2:$NF$150=AJ$1),0),$C59-1966)</f>
        <v>54907</v>
      </c>
      <c r="AK59" s="4" cm="1">
        <f t="array" ref="AK59">INDEX(GMW!$A$2:$NF$150,MATCH(1,(GMW!$NE$2:$NE$150=AK$3)*(GMW!$ND$2:$ND$150=AK$4)*(GMW!$NF$2:$NF$150=AK$1),0),$C59-1966)</f>
        <v>14486.36</v>
      </c>
      <c r="AL59" s="4" cm="1">
        <f t="array" ref="AL59">INDEX(GMW!$A$2:$NF$150,MATCH(1,(GMW!$NE$2:$NE$150=AL$3)*(GMW!$ND$2:$ND$150=AL$4)*(GMW!$NF$2:$NF$150=AL$1),0),$C59-1966)</f>
        <v>48298</v>
      </c>
      <c r="AM59" s="4" cm="1">
        <f t="array" ref="AM59">INDEX(GMW!$A$2:$NF$150,MATCH(1,(GMW!$NE$2:$NE$150=AM$3)*(GMW!$ND$2:$ND$150=AM$4)*(GMW!$NF$2:$NF$150=AM$1),0),$C59-1966)</f>
        <v>22871.68</v>
      </c>
      <c r="AN59" s="4" cm="1">
        <f t="array" ref="AN59">INDEX(GMW!$A$2:$NF$150,MATCH(1,(GMW!$NE$2:$NE$150=AN$3)*(GMW!$ND$2:$ND$150=AN$4)*(GMW!$NF$2:$NF$150=AN$1),0),$C59-1966)</f>
        <v>52036</v>
      </c>
      <c r="AO59" s="4" cm="1">
        <f t="array" ref="AO59">INDEX(GMW!$A$2:$NF$150,MATCH(1,(GMW!$NE$2:$NE$150=AO$3)*(GMW!$ND$2:$ND$150=AO$4)*(GMW!$NF$2:$NF$150=AO$1),0),$C59-1966)</f>
        <v>20701.18</v>
      </c>
      <c r="AP59" s="4" cm="1">
        <f t="array" ref="AP59">INDEX(GMW!$A$2:$NF$150,MATCH(1,(GMW!$NE$2:$NE$150=AP$3)*(GMW!$ND$2:$ND$150=AP$4)*(GMW!$NF$2:$NF$150=AP$1),0),$C59-1966)</f>
        <v>303115.59999999998</v>
      </c>
      <c r="AQ59" s="4" cm="1">
        <f t="array" ref="AQ59">INDEX(GMW!$A$2:$NF$150,MATCH(1,(GMW!$NE$2:$NE$150=AQ$3)*(GMW!$ND$2:$ND$150=AQ$4)*(GMW!$NF$2:$NF$150=AQ$1),0),$C59-1966)</f>
        <v>25177.1</v>
      </c>
      <c r="AR59" s="4" cm="1">
        <f t="array" ref="AR59">INDEX(GMW!$A$2:$NF$150,MATCH(1,(GMW!$NE$2:$NE$150=AR$3)*(GMW!$ND$2:$ND$150=AR$4)*(GMW!$NF$2:$NF$150=AR$1),0),$C59-1966)</f>
        <v>33.56044</v>
      </c>
      <c r="AS59" s="4" cm="1">
        <f t="array" ref="AS59">INDEX(GMW!$A$2:$NF$150,MATCH(1,(GMW!$NE$2:$NE$150=AS$3)*(GMW!$ND$2:$ND$150=AS$4)*(GMW!$NF$2:$NF$150=AS$1),0),$C59-1966)</f>
        <v>326094.3</v>
      </c>
      <c r="AT59" s="4" cm="1">
        <f t="array" ref="AT59">INDEX(GMW!$A$2:$NF$150,MATCH(1,(GMW!$NE$2:$NE$150=AT$3)*(GMW!$ND$2:$ND$150=AT$4)*(GMW!$NF$2:$NF$150=AT$1),0),$C59-1966)</f>
        <v>37175.379999999997</v>
      </c>
      <c r="AU59" s="4" cm="1">
        <f t="array" ref="AU59">INDEX(GMW!$A$2:$NF$150,MATCH(1,(GMW!$NE$2:$NE$150=AU$3)*(GMW!$ND$2:$ND$150=AU$4)*(GMW!$NF$2:$NF$150=AU$1),0),$C59-1966)</f>
        <v>1363956</v>
      </c>
      <c r="AV59" s="4" cm="1">
        <f t="array" ref="AV59">INDEX(GMW!$A$2:$NF$150,MATCH(1,(GMW!$NE$2:$NE$150=AV$3)*(GMW!$ND$2:$ND$150=AV$4)*(GMW!$NF$2:$NF$150=AV$1),0),$C59-1966)</f>
        <v>-1.8428389999999999</v>
      </c>
    </row>
    <row r="60" spans="1:48" x14ac:dyDescent="0.25">
      <c r="B60" s="4">
        <f t="shared" si="4"/>
        <v>1986</v>
      </c>
      <c r="C60" s="4">
        <f t="shared" si="5"/>
        <v>2026</v>
      </c>
      <c r="D60" s="4" cm="1">
        <f t="array" ref="D60">INDEX(GMW!$A$2:$NF$150,MATCH(1,(GMW!$NE$2:$NE$150=D$3)*(GMW!$ND$2:$ND$150=D$4)*(GMW!$NF$2:$NF$150=D$1),0),$C60-1966)</f>
        <v>304797</v>
      </c>
      <c r="E60" s="4" cm="1">
        <f t="array" ref="E60">INDEX(GMW!$A$2:$NF$150,MATCH(1,(GMW!$NE$2:$NE$150=E$3)*(GMW!$ND$2:$ND$150=E$4)*(GMW!$NF$2:$NF$150=E$1),0),$C60-1966)</f>
        <v>46.3508</v>
      </c>
      <c r="F60" s="4" cm="1">
        <f t="array" ref="F60">INDEX(GMW!$A$2:$NF$150,MATCH(1,(GMW!$NE$2:$NE$150=F$3)*(GMW!$ND$2:$ND$150=F$4)*(GMW!$NF$2:$NF$150=F$1),0),$C60-1966)</f>
        <v>55692</v>
      </c>
      <c r="G60" s="4" cm="1">
        <f t="array" ref="G60">INDEX(GMW!$A$2:$NF$150,MATCH(1,(GMW!$NE$2:$NE$150=G$3)*(GMW!$ND$2:$ND$150=G$4)*(GMW!$NF$2:$NF$150=G$1),0),$C60-1966)</f>
        <v>15815.12</v>
      </c>
      <c r="H60" s="4" cm="1">
        <f t="array" ref="H60">INDEX(GMW!$A$2:$NF$150,MATCH(1,(GMW!$NE$2:$NE$150=H$3)*(GMW!$ND$2:$ND$150=H$4)*(GMW!$NF$2:$NF$150=H$1),0),$C60-1966)</f>
        <v>49988</v>
      </c>
      <c r="I60" s="4" cm="1">
        <f t="array" ref="I60">INDEX(GMW!$A$2:$NF$150,MATCH(1,(GMW!$NE$2:$NE$150=I$3)*(GMW!$ND$2:$ND$150=I$4)*(GMW!$NF$2:$NF$150=I$1),0),$C60-1966)</f>
        <v>22973.88</v>
      </c>
      <c r="J60" s="4" cm="1">
        <f t="array" ref="J60">INDEX(GMW!$A$2:$NF$150,MATCH(1,(GMW!$NE$2:$NE$150=J$3)*(GMW!$ND$2:$ND$150=J$4)*(GMW!$NF$2:$NF$150=J$1),0),$C60-1966)</f>
        <v>50598</v>
      </c>
      <c r="K60" s="4" cm="1">
        <f t="array" ref="K60">INDEX(GMW!$A$2:$NF$150,MATCH(1,(GMW!$NE$2:$NE$150=K$3)*(GMW!$ND$2:$ND$150=K$4)*(GMW!$NF$2:$NF$150=K$1),0),$C60-1966)</f>
        <v>19684.310000000001</v>
      </c>
      <c r="L60" s="4" cm="1">
        <f t="array" ref="L60">INDEX(GMW!$A$2:$NF$150,MATCH(1,(GMW!$NE$2:$NE$150=L$3)*(GMW!$ND$2:$ND$150=L$4)*(GMW!$NF$2:$NF$150=L$1),0),$C60-1966)</f>
        <v>304797</v>
      </c>
      <c r="M60" s="4" cm="1">
        <f t="array" ref="M60">INDEX(GMW!$A$2:$NF$150,MATCH(1,(GMW!$NE$2:$NE$150=M$3)*(GMW!$ND$2:$ND$150=M$4)*(GMW!$NF$2:$NF$150=M$1),0),$C60-1966)</f>
        <v>25207.87</v>
      </c>
      <c r="N60" s="4" cm="1">
        <f t="array" ref="N60">INDEX(GMW!$A$2:$NF$150,MATCH(1,(GMW!$NE$2:$NE$150=N$3)*(GMW!$ND$2:$ND$150=N$4)*(GMW!$NF$2:$NF$150=N$1),0),$C60-1966)</f>
        <v>33.529319999999998</v>
      </c>
      <c r="O60" s="4" cm="1">
        <f t="array" ref="O60">INDEX(GMW!$A$2:$NF$150,MATCH(1,(GMW!$NE$2:$NE$150=O$3)*(GMW!$ND$2:$ND$150=O$4)*(GMW!$NF$2:$NF$150=O$1),0),$C60-1966)</f>
        <v>327353.40000000002</v>
      </c>
      <c r="P60" s="4" cm="1">
        <f t="array" ref="P60">INDEX(GMW!$A$2:$NF$150,MATCH(1,(GMW!$NE$2:$NE$150=P$3)*(GMW!$ND$2:$ND$150=P$4)*(GMW!$NF$2:$NF$150=P$1),0),$C60-1966)</f>
        <v>37199.440000000002</v>
      </c>
      <c r="Q60" s="4" cm="1">
        <f t="array" ref="Q60">INDEX(GMW!$A$2:$NF$150,MATCH(1,(GMW!$NE$2:$NE$150=Q$3)*(GMW!$ND$2:$ND$150=Q$4)*(GMW!$NF$2:$NF$150=Q$1),0),$C60-1966)</f>
        <v>1369375</v>
      </c>
      <c r="R60" s="4" cm="1">
        <f t="array" ref="R60">INDEX(GMW!$A$2:$NF$150,MATCH(1,(GMW!$NE$2:$NE$150=R$3)*(GMW!$ND$2:$ND$150=R$4)*(GMW!$NF$2:$NF$150=R$1),0),$C60-1966)</f>
        <v>-1.839853</v>
      </c>
      <c r="S60" s="4" cm="1">
        <f t="array" ref="S60">INDEX(GMW!$A$2:$NF$150,MATCH(1,(GMW!$NE$2:$NE$150=S$3)*(GMW!$ND$2:$ND$150=S$4)*(GMW!$NF$2:$NF$150=S$1),0),$C60-1966)</f>
        <v>304797</v>
      </c>
      <c r="T60" s="4" cm="1">
        <f t="array" ref="T60">INDEX(GMW!$A$2:$NF$150,MATCH(1,(GMW!$NE$2:$NE$150=T$3)*(GMW!$ND$2:$ND$150=T$4)*(GMW!$NF$2:$NF$150=T$1),0),$C60-1966)</f>
        <v>46.3508</v>
      </c>
      <c r="U60" s="4" cm="1">
        <f t="array" ref="U60">INDEX(GMW!$A$2:$NF$150,MATCH(1,(GMW!$NE$2:$NE$150=U$3)*(GMW!$ND$2:$ND$150=U$4)*(GMW!$NF$2:$NF$150=U$1),0),$C60-1966)</f>
        <v>55692</v>
      </c>
      <c r="V60" s="4" cm="1">
        <f t="array" ref="V60">INDEX(GMW!$A$2:$NF$150,MATCH(1,(GMW!$NE$2:$NE$150=V$3)*(GMW!$ND$2:$ND$150=V$4)*(GMW!$NF$2:$NF$150=V$1),0),$C60-1966)</f>
        <v>15815.12</v>
      </c>
      <c r="W60" s="4" cm="1">
        <f t="array" ref="W60">INDEX(GMW!$A$2:$NF$150,MATCH(1,(GMW!$NE$2:$NE$150=W$3)*(GMW!$ND$2:$ND$150=W$4)*(GMW!$NF$2:$NF$150=W$1),0),$C60-1966)</f>
        <v>49988</v>
      </c>
      <c r="X60" s="4" cm="1">
        <f t="array" ref="X60">INDEX(GMW!$A$2:$NF$150,MATCH(1,(GMW!$NE$2:$NE$150=X$3)*(GMW!$ND$2:$ND$150=X$4)*(GMW!$NF$2:$NF$150=X$1),0),$C60-1966)</f>
        <v>22973.88</v>
      </c>
      <c r="Y60" s="4" cm="1">
        <f t="array" ref="Y60">INDEX(GMW!$A$2:$NF$150,MATCH(1,(GMW!$NE$2:$NE$150=Y$3)*(GMW!$ND$2:$ND$150=Y$4)*(GMW!$NF$2:$NF$150=Y$1),0),$C60-1966)</f>
        <v>50598</v>
      </c>
      <c r="Z60" s="4" cm="1">
        <f t="array" ref="Z60">INDEX(GMW!$A$2:$NF$150,MATCH(1,(GMW!$NE$2:$NE$150=Z$3)*(GMW!$ND$2:$ND$150=Z$4)*(GMW!$NF$2:$NF$150=Z$1),0),$C60-1966)</f>
        <v>19684.310000000001</v>
      </c>
      <c r="AA60" s="4" cm="1">
        <f t="array" ref="AA60">INDEX(GMW!$A$2:$NF$150,MATCH(1,(GMW!$NE$2:$NE$150=AA$3)*(GMW!$ND$2:$ND$150=AA$4)*(GMW!$NF$2:$NF$150=AA$1),0),$C60-1966)</f>
        <v>304797</v>
      </c>
      <c r="AB60" s="4" cm="1">
        <f t="array" ref="AB60">INDEX(GMW!$A$2:$NF$150,MATCH(1,(GMW!$NE$2:$NE$150=AB$3)*(GMW!$ND$2:$ND$150=AB$4)*(GMW!$NF$2:$NF$150=AB$1),0),$C60-1966)</f>
        <v>25207.87</v>
      </c>
      <c r="AC60" s="4" cm="1">
        <f t="array" ref="AC60">INDEX(GMW!$A$2:$NF$150,MATCH(1,(GMW!$NE$2:$NE$150=AC$3)*(GMW!$ND$2:$ND$150=AC$4)*(GMW!$NF$2:$NF$150=AC$1),0),$C60-1966)</f>
        <v>33.529319999999998</v>
      </c>
      <c r="AD60" s="4" cm="1">
        <f t="array" ref="AD60">INDEX(GMW!$A$2:$NF$150,MATCH(1,(GMW!$NE$2:$NE$150=AD$3)*(GMW!$ND$2:$ND$150=AD$4)*(GMW!$NF$2:$NF$150=AD$1),0),$C60-1966)</f>
        <v>327353.40000000002</v>
      </c>
      <c r="AE60" s="4" cm="1">
        <f t="array" ref="AE60">INDEX(GMW!$A$2:$NF$150,MATCH(1,(GMW!$NE$2:$NE$150=AE$3)*(GMW!$ND$2:$ND$150=AE$4)*(GMW!$NF$2:$NF$150=AE$1),0),$C60-1966)</f>
        <v>37199.440000000002</v>
      </c>
      <c r="AF60" s="4" cm="1">
        <f t="array" ref="AF60">INDEX(GMW!$A$2:$NF$150,MATCH(1,(GMW!$NE$2:$NE$150=AF$3)*(GMW!$ND$2:$ND$150=AF$4)*(GMW!$NF$2:$NF$150=AF$1),0),$C60-1966)</f>
        <v>1369375</v>
      </c>
      <c r="AG60" s="4" cm="1">
        <f t="array" ref="AG60">INDEX(GMW!$A$2:$NF$150,MATCH(1,(GMW!$NE$2:$NE$150=AG$3)*(GMW!$ND$2:$ND$150=AG$4)*(GMW!$NF$2:$NF$150=AG$1),0),$C60-1966)</f>
        <v>-1.839853</v>
      </c>
      <c r="AH60" s="4" cm="1">
        <f t="array" ref="AH60">INDEX(GMW!$A$2:$NF$150,MATCH(1,(GMW!$NE$2:$NE$150=AH$3)*(GMW!$ND$2:$ND$150=AH$4)*(GMW!$NF$2:$NF$150=AH$1),0),$C60-1966)</f>
        <v>304797</v>
      </c>
      <c r="AI60" s="4" cm="1">
        <f t="array" ref="AI60">INDEX(GMW!$A$2:$NF$150,MATCH(1,(GMW!$NE$2:$NE$150=AI$3)*(GMW!$ND$2:$ND$150=AI$4)*(GMW!$NF$2:$NF$150=AI$1),0),$C60-1966)</f>
        <v>46.3508</v>
      </c>
      <c r="AJ60" s="4" cm="1">
        <f t="array" ref="AJ60">INDEX(GMW!$A$2:$NF$150,MATCH(1,(GMW!$NE$2:$NE$150=AJ$3)*(GMW!$ND$2:$ND$150=AJ$4)*(GMW!$NF$2:$NF$150=AJ$1),0),$C60-1966)</f>
        <v>55692</v>
      </c>
      <c r="AK60" s="4" cm="1">
        <f t="array" ref="AK60">INDEX(GMW!$A$2:$NF$150,MATCH(1,(GMW!$NE$2:$NE$150=AK$3)*(GMW!$ND$2:$ND$150=AK$4)*(GMW!$NF$2:$NF$150=AK$1),0),$C60-1966)</f>
        <v>15815.12</v>
      </c>
      <c r="AL60" s="4" cm="1">
        <f t="array" ref="AL60">INDEX(GMW!$A$2:$NF$150,MATCH(1,(GMW!$NE$2:$NE$150=AL$3)*(GMW!$ND$2:$ND$150=AL$4)*(GMW!$NF$2:$NF$150=AL$1),0),$C60-1966)</f>
        <v>49988</v>
      </c>
      <c r="AM60" s="4" cm="1">
        <f t="array" ref="AM60">INDEX(GMW!$A$2:$NF$150,MATCH(1,(GMW!$NE$2:$NE$150=AM$3)*(GMW!$ND$2:$ND$150=AM$4)*(GMW!$NF$2:$NF$150=AM$1),0),$C60-1966)</f>
        <v>22973.88</v>
      </c>
      <c r="AN60" s="4" cm="1">
        <f t="array" ref="AN60">INDEX(GMW!$A$2:$NF$150,MATCH(1,(GMW!$NE$2:$NE$150=AN$3)*(GMW!$ND$2:$ND$150=AN$4)*(GMW!$NF$2:$NF$150=AN$1),0),$C60-1966)</f>
        <v>50598</v>
      </c>
      <c r="AO60" s="4" cm="1">
        <f t="array" ref="AO60">INDEX(GMW!$A$2:$NF$150,MATCH(1,(GMW!$NE$2:$NE$150=AO$3)*(GMW!$ND$2:$ND$150=AO$4)*(GMW!$NF$2:$NF$150=AO$1),0),$C60-1966)</f>
        <v>19684.310000000001</v>
      </c>
      <c r="AP60" s="4" cm="1">
        <f t="array" ref="AP60">INDEX(GMW!$A$2:$NF$150,MATCH(1,(GMW!$NE$2:$NE$150=AP$3)*(GMW!$ND$2:$ND$150=AP$4)*(GMW!$NF$2:$NF$150=AP$1),0),$C60-1966)</f>
        <v>304797</v>
      </c>
      <c r="AQ60" s="4" cm="1">
        <f t="array" ref="AQ60">INDEX(GMW!$A$2:$NF$150,MATCH(1,(GMW!$NE$2:$NE$150=AQ$3)*(GMW!$ND$2:$ND$150=AQ$4)*(GMW!$NF$2:$NF$150=AQ$1),0),$C60-1966)</f>
        <v>25207.87</v>
      </c>
      <c r="AR60" s="4" cm="1">
        <f t="array" ref="AR60">INDEX(GMW!$A$2:$NF$150,MATCH(1,(GMW!$NE$2:$NE$150=AR$3)*(GMW!$ND$2:$ND$150=AR$4)*(GMW!$NF$2:$NF$150=AR$1),0),$C60-1966)</f>
        <v>33.529319999999998</v>
      </c>
      <c r="AS60" s="4" cm="1">
        <f t="array" ref="AS60">INDEX(GMW!$A$2:$NF$150,MATCH(1,(GMW!$NE$2:$NE$150=AS$3)*(GMW!$ND$2:$ND$150=AS$4)*(GMW!$NF$2:$NF$150=AS$1),0),$C60-1966)</f>
        <v>327353.40000000002</v>
      </c>
      <c r="AT60" s="4" cm="1">
        <f t="array" ref="AT60">INDEX(GMW!$A$2:$NF$150,MATCH(1,(GMW!$NE$2:$NE$150=AT$3)*(GMW!$ND$2:$ND$150=AT$4)*(GMW!$NF$2:$NF$150=AT$1),0),$C60-1966)</f>
        <v>37199.440000000002</v>
      </c>
      <c r="AU60" s="4" cm="1">
        <f t="array" ref="AU60">INDEX(GMW!$A$2:$NF$150,MATCH(1,(GMW!$NE$2:$NE$150=AU$3)*(GMW!$ND$2:$ND$150=AU$4)*(GMW!$NF$2:$NF$150=AU$1),0),$C60-1966)</f>
        <v>1369375</v>
      </c>
      <c r="AV60" s="4" cm="1">
        <f t="array" ref="AV60">INDEX(GMW!$A$2:$NF$150,MATCH(1,(GMW!$NE$2:$NE$150=AV$3)*(GMW!$ND$2:$ND$150=AV$4)*(GMW!$NF$2:$NF$150=AV$1),0),$C60-1966)</f>
        <v>-1.839853</v>
      </c>
    </row>
    <row r="61" spans="1:48" x14ac:dyDescent="0.25">
      <c r="B61" s="4">
        <f t="shared" si="4"/>
        <v>1986</v>
      </c>
      <c r="C61" s="4">
        <f t="shared" si="5"/>
        <v>2027</v>
      </c>
      <c r="D61" s="4" cm="1">
        <f t="array" ref="D61">INDEX(GMW!$A$2:$NF$150,MATCH(1,(GMW!$NE$2:$NE$150=D$3)*(GMW!$ND$2:$ND$150=D$4)*(GMW!$NF$2:$NF$150=D$1),0),$C61-1966)</f>
        <v>306708</v>
      </c>
      <c r="E61" s="4" cm="1">
        <f t="array" ref="E61">INDEX(GMW!$A$2:$NF$150,MATCH(1,(GMW!$NE$2:$NE$150=E$3)*(GMW!$ND$2:$ND$150=E$4)*(GMW!$NF$2:$NF$150=E$1),0),$C61-1966)</f>
        <v>46.533279999999998</v>
      </c>
      <c r="F61" s="4" cm="1">
        <f t="array" ref="F61">INDEX(GMW!$A$2:$NF$150,MATCH(1,(GMW!$NE$2:$NE$150=F$3)*(GMW!$ND$2:$ND$150=F$4)*(GMW!$NF$2:$NF$150=F$1),0),$C61-1966)</f>
        <v>55751</v>
      </c>
      <c r="G61" s="4" cm="1">
        <f t="array" ref="G61">INDEX(GMW!$A$2:$NF$150,MATCH(1,(GMW!$NE$2:$NE$150=G$3)*(GMW!$ND$2:$ND$150=G$4)*(GMW!$NF$2:$NF$150=G$1),0),$C61-1966)</f>
        <v>15054.83</v>
      </c>
      <c r="H61" s="4" cm="1">
        <f t="array" ref="H61">INDEX(GMW!$A$2:$NF$150,MATCH(1,(GMW!$NE$2:$NE$150=H$3)*(GMW!$ND$2:$ND$150=H$4)*(GMW!$NF$2:$NF$150=H$1),0),$C61-1966)</f>
        <v>50344</v>
      </c>
      <c r="I61" s="4" cm="1">
        <f t="array" ref="I61">INDEX(GMW!$A$2:$NF$150,MATCH(1,(GMW!$NE$2:$NE$150=I$3)*(GMW!$ND$2:$ND$150=I$4)*(GMW!$NF$2:$NF$150=I$1),0),$C61-1966)</f>
        <v>21676.2</v>
      </c>
      <c r="J61" s="4" cm="1">
        <f t="array" ref="J61">INDEX(GMW!$A$2:$NF$150,MATCH(1,(GMW!$NE$2:$NE$150=J$3)*(GMW!$ND$2:$ND$150=J$4)*(GMW!$NF$2:$NF$150=J$1),0),$C61-1966)</f>
        <v>53431</v>
      </c>
      <c r="K61" s="4" cm="1">
        <f t="array" ref="K61">INDEX(GMW!$A$2:$NF$150,MATCH(1,(GMW!$NE$2:$NE$150=K$3)*(GMW!$ND$2:$ND$150=K$4)*(GMW!$NF$2:$NF$150=K$1),0),$C61-1966)</f>
        <v>20858.86</v>
      </c>
      <c r="L61" s="4" cm="1">
        <f t="array" ref="L61">INDEX(GMW!$A$2:$NF$150,MATCH(1,(GMW!$NE$2:$NE$150=L$3)*(GMW!$ND$2:$ND$150=L$4)*(GMW!$NF$2:$NF$150=L$1),0),$C61-1966)</f>
        <v>306863.7</v>
      </c>
      <c r="M61" s="4" cm="1">
        <f t="array" ref="M61">INDEX(GMW!$A$2:$NF$150,MATCH(1,(GMW!$NE$2:$NE$150=M$3)*(GMW!$ND$2:$ND$150=M$4)*(GMW!$NF$2:$NF$150=M$1),0),$C61-1966)</f>
        <v>25292.04</v>
      </c>
      <c r="N61" s="4" cm="1">
        <f t="array" ref="N61">INDEX(GMW!$A$2:$NF$150,MATCH(1,(GMW!$NE$2:$NE$150=N$3)*(GMW!$ND$2:$ND$150=N$4)*(GMW!$NF$2:$NF$150=N$1),0),$C61-1966)</f>
        <v>33.508580000000002</v>
      </c>
      <c r="O61" s="4" cm="1">
        <f t="array" ref="O61">INDEX(GMW!$A$2:$NF$150,MATCH(1,(GMW!$NE$2:$NE$150=O$3)*(GMW!$ND$2:$ND$150=O$4)*(GMW!$NF$2:$NF$150=O$1),0),$C61-1966)</f>
        <v>328357.09999999998</v>
      </c>
      <c r="P61" s="4" cm="1">
        <f t="array" ref="P61">INDEX(GMW!$A$2:$NF$150,MATCH(1,(GMW!$NE$2:$NE$150=P$3)*(GMW!$ND$2:$ND$150=P$4)*(GMW!$NF$2:$NF$150=P$1),0),$C61-1966)</f>
        <v>37215.519999999997</v>
      </c>
      <c r="Q61" s="4" cm="1">
        <f t="array" ref="Q61">INDEX(GMW!$A$2:$NF$150,MATCH(1,(GMW!$NE$2:$NE$150=Q$3)*(GMW!$ND$2:$ND$150=Q$4)*(GMW!$NF$2:$NF$150=Q$1),0),$C61-1966)</f>
        <v>1374794</v>
      </c>
      <c r="R61" s="4" cm="1">
        <f t="array" ref="R61">INDEX(GMW!$A$2:$NF$150,MATCH(1,(GMW!$NE$2:$NE$150=R$3)*(GMW!$ND$2:$ND$150=R$4)*(GMW!$NF$2:$NF$150=R$1),0),$C61-1966)</f>
        <v>-1.837037</v>
      </c>
      <c r="S61" s="4" cm="1">
        <f t="array" ref="S61">INDEX(GMW!$A$2:$NF$150,MATCH(1,(GMW!$NE$2:$NE$150=S$3)*(GMW!$ND$2:$ND$150=S$4)*(GMW!$NF$2:$NF$150=S$1),0),$C61-1966)</f>
        <v>306708</v>
      </c>
      <c r="T61" s="4" cm="1">
        <f t="array" ref="T61">INDEX(GMW!$A$2:$NF$150,MATCH(1,(GMW!$NE$2:$NE$150=T$3)*(GMW!$ND$2:$ND$150=T$4)*(GMW!$NF$2:$NF$150=T$1),0),$C61-1966)</f>
        <v>46.533279999999998</v>
      </c>
      <c r="U61" s="4" cm="1">
        <f t="array" ref="U61">INDEX(GMW!$A$2:$NF$150,MATCH(1,(GMW!$NE$2:$NE$150=U$3)*(GMW!$ND$2:$ND$150=U$4)*(GMW!$NF$2:$NF$150=U$1),0),$C61-1966)</f>
        <v>55751</v>
      </c>
      <c r="V61" s="4" cm="1">
        <f t="array" ref="V61">INDEX(GMW!$A$2:$NF$150,MATCH(1,(GMW!$NE$2:$NE$150=V$3)*(GMW!$ND$2:$ND$150=V$4)*(GMW!$NF$2:$NF$150=V$1),0),$C61-1966)</f>
        <v>15054.83</v>
      </c>
      <c r="W61" s="4" cm="1">
        <f t="array" ref="W61">INDEX(GMW!$A$2:$NF$150,MATCH(1,(GMW!$NE$2:$NE$150=W$3)*(GMW!$ND$2:$ND$150=W$4)*(GMW!$NF$2:$NF$150=W$1),0),$C61-1966)</f>
        <v>50344</v>
      </c>
      <c r="X61" s="4" cm="1">
        <f t="array" ref="X61">INDEX(GMW!$A$2:$NF$150,MATCH(1,(GMW!$NE$2:$NE$150=X$3)*(GMW!$ND$2:$ND$150=X$4)*(GMW!$NF$2:$NF$150=X$1),0),$C61-1966)</f>
        <v>21676.2</v>
      </c>
      <c r="Y61" s="4" cm="1">
        <f t="array" ref="Y61">INDEX(GMW!$A$2:$NF$150,MATCH(1,(GMW!$NE$2:$NE$150=Y$3)*(GMW!$ND$2:$ND$150=Y$4)*(GMW!$NF$2:$NF$150=Y$1),0),$C61-1966)</f>
        <v>53431</v>
      </c>
      <c r="Z61" s="4" cm="1">
        <f t="array" ref="Z61">INDEX(GMW!$A$2:$NF$150,MATCH(1,(GMW!$NE$2:$NE$150=Z$3)*(GMW!$ND$2:$ND$150=Z$4)*(GMW!$NF$2:$NF$150=Z$1),0),$C61-1966)</f>
        <v>20858.86</v>
      </c>
      <c r="AA61" s="4" cm="1">
        <f t="array" ref="AA61">INDEX(GMW!$A$2:$NF$150,MATCH(1,(GMW!$NE$2:$NE$150=AA$3)*(GMW!$ND$2:$ND$150=AA$4)*(GMW!$NF$2:$NF$150=AA$1),0),$C61-1966)</f>
        <v>306863.7</v>
      </c>
      <c r="AB61" s="4" cm="1">
        <f t="array" ref="AB61">INDEX(GMW!$A$2:$NF$150,MATCH(1,(GMW!$NE$2:$NE$150=AB$3)*(GMW!$ND$2:$ND$150=AB$4)*(GMW!$NF$2:$NF$150=AB$1),0),$C61-1966)</f>
        <v>25292.04</v>
      </c>
      <c r="AC61" s="4" cm="1">
        <f t="array" ref="AC61">INDEX(GMW!$A$2:$NF$150,MATCH(1,(GMW!$NE$2:$NE$150=AC$3)*(GMW!$ND$2:$ND$150=AC$4)*(GMW!$NF$2:$NF$150=AC$1),0),$C61-1966)</f>
        <v>33.508580000000002</v>
      </c>
      <c r="AD61" s="4" cm="1">
        <f t="array" ref="AD61">INDEX(GMW!$A$2:$NF$150,MATCH(1,(GMW!$NE$2:$NE$150=AD$3)*(GMW!$ND$2:$ND$150=AD$4)*(GMW!$NF$2:$NF$150=AD$1),0),$C61-1966)</f>
        <v>328357.09999999998</v>
      </c>
      <c r="AE61" s="4" cm="1">
        <f t="array" ref="AE61">INDEX(GMW!$A$2:$NF$150,MATCH(1,(GMW!$NE$2:$NE$150=AE$3)*(GMW!$ND$2:$ND$150=AE$4)*(GMW!$NF$2:$NF$150=AE$1),0),$C61-1966)</f>
        <v>37215.519999999997</v>
      </c>
      <c r="AF61" s="4" cm="1">
        <f t="array" ref="AF61">INDEX(GMW!$A$2:$NF$150,MATCH(1,(GMW!$NE$2:$NE$150=AF$3)*(GMW!$ND$2:$ND$150=AF$4)*(GMW!$NF$2:$NF$150=AF$1),0),$C61-1966)</f>
        <v>1374794</v>
      </c>
      <c r="AG61" s="4" cm="1">
        <f t="array" ref="AG61">INDEX(GMW!$A$2:$NF$150,MATCH(1,(GMW!$NE$2:$NE$150=AG$3)*(GMW!$ND$2:$ND$150=AG$4)*(GMW!$NF$2:$NF$150=AG$1),0),$C61-1966)</f>
        <v>-1.837037</v>
      </c>
      <c r="AH61" s="4" cm="1">
        <f t="array" ref="AH61">INDEX(GMW!$A$2:$NF$150,MATCH(1,(GMW!$NE$2:$NE$150=AH$3)*(GMW!$ND$2:$ND$150=AH$4)*(GMW!$NF$2:$NF$150=AH$1),0),$C61-1966)</f>
        <v>306708</v>
      </c>
      <c r="AI61" s="4" cm="1">
        <f t="array" ref="AI61">INDEX(GMW!$A$2:$NF$150,MATCH(1,(GMW!$NE$2:$NE$150=AI$3)*(GMW!$ND$2:$ND$150=AI$4)*(GMW!$NF$2:$NF$150=AI$1),0),$C61-1966)</f>
        <v>46.533279999999998</v>
      </c>
      <c r="AJ61" s="4" cm="1">
        <f t="array" ref="AJ61">INDEX(GMW!$A$2:$NF$150,MATCH(1,(GMW!$NE$2:$NE$150=AJ$3)*(GMW!$ND$2:$ND$150=AJ$4)*(GMW!$NF$2:$NF$150=AJ$1),0),$C61-1966)</f>
        <v>55751</v>
      </c>
      <c r="AK61" s="4" cm="1">
        <f t="array" ref="AK61">INDEX(GMW!$A$2:$NF$150,MATCH(1,(GMW!$NE$2:$NE$150=AK$3)*(GMW!$ND$2:$ND$150=AK$4)*(GMW!$NF$2:$NF$150=AK$1),0),$C61-1966)</f>
        <v>15054.83</v>
      </c>
      <c r="AL61" s="4" cm="1">
        <f t="array" ref="AL61">INDEX(GMW!$A$2:$NF$150,MATCH(1,(GMW!$NE$2:$NE$150=AL$3)*(GMW!$ND$2:$ND$150=AL$4)*(GMW!$NF$2:$NF$150=AL$1),0),$C61-1966)</f>
        <v>50344</v>
      </c>
      <c r="AM61" s="4" cm="1">
        <f t="array" ref="AM61">INDEX(GMW!$A$2:$NF$150,MATCH(1,(GMW!$NE$2:$NE$150=AM$3)*(GMW!$ND$2:$ND$150=AM$4)*(GMW!$NF$2:$NF$150=AM$1),0),$C61-1966)</f>
        <v>21676.2</v>
      </c>
      <c r="AN61" s="4" cm="1">
        <f t="array" ref="AN61">INDEX(GMW!$A$2:$NF$150,MATCH(1,(GMW!$NE$2:$NE$150=AN$3)*(GMW!$ND$2:$ND$150=AN$4)*(GMW!$NF$2:$NF$150=AN$1),0),$C61-1966)</f>
        <v>53431</v>
      </c>
      <c r="AO61" s="4" cm="1">
        <f t="array" ref="AO61">INDEX(GMW!$A$2:$NF$150,MATCH(1,(GMW!$NE$2:$NE$150=AO$3)*(GMW!$ND$2:$ND$150=AO$4)*(GMW!$NF$2:$NF$150=AO$1),0),$C61-1966)</f>
        <v>20858.86</v>
      </c>
      <c r="AP61" s="4" cm="1">
        <f t="array" ref="AP61">INDEX(GMW!$A$2:$NF$150,MATCH(1,(GMW!$NE$2:$NE$150=AP$3)*(GMW!$ND$2:$ND$150=AP$4)*(GMW!$NF$2:$NF$150=AP$1),0),$C61-1966)</f>
        <v>306863.7</v>
      </c>
      <c r="AQ61" s="4" cm="1">
        <f t="array" ref="AQ61">INDEX(GMW!$A$2:$NF$150,MATCH(1,(GMW!$NE$2:$NE$150=AQ$3)*(GMW!$ND$2:$ND$150=AQ$4)*(GMW!$NF$2:$NF$150=AQ$1),0),$C61-1966)</f>
        <v>25292.04</v>
      </c>
      <c r="AR61" s="4" cm="1">
        <f t="array" ref="AR61">INDEX(GMW!$A$2:$NF$150,MATCH(1,(GMW!$NE$2:$NE$150=AR$3)*(GMW!$ND$2:$ND$150=AR$4)*(GMW!$NF$2:$NF$150=AR$1),0),$C61-1966)</f>
        <v>33.508580000000002</v>
      </c>
      <c r="AS61" s="4" cm="1">
        <f t="array" ref="AS61">INDEX(GMW!$A$2:$NF$150,MATCH(1,(GMW!$NE$2:$NE$150=AS$3)*(GMW!$ND$2:$ND$150=AS$4)*(GMW!$NF$2:$NF$150=AS$1),0),$C61-1966)</f>
        <v>328357.09999999998</v>
      </c>
      <c r="AT61" s="4" cm="1">
        <f t="array" ref="AT61">INDEX(GMW!$A$2:$NF$150,MATCH(1,(GMW!$NE$2:$NE$150=AT$3)*(GMW!$ND$2:$ND$150=AT$4)*(GMW!$NF$2:$NF$150=AT$1),0),$C61-1966)</f>
        <v>37215.519999999997</v>
      </c>
      <c r="AU61" s="4" cm="1">
        <f t="array" ref="AU61">INDEX(GMW!$A$2:$NF$150,MATCH(1,(GMW!$NE$2:$NE$150=AU$3)*(GMW!$ND$2:$ND$150=AU$4)*(GMW!$NF$2:$NF$150=AU$1),0),$C61-1966)</f>
        <v>1374794</v>
      </c>
      <c r="AV61" s="4" cm="1">
        <f t="array" ref="AV61">INDEX(GMW!$A$2:$NF$150,MATCH(1,(GMW!$NE$2:$NE$150=AV$3)*(GMW!$ND$2:$ND$150=AV$4)*(GMW!$NF$2:$NF$150=AV$1),0),$C61-1966)</f>
        <v>-1.837037</v>
      </c>
    </row>
    <row r="62" spans="1:48" x14ac:dyDescent="0.25">
      <c r="B62" s="4">
        <f t="shared" si="4"/>
        <v>1986</v>
      </c>
      <c r="C62" s="4">
        <f t="shared" si="5"/>
        <v>2028</v>
      </c>
      <c r="D62" s="4" cm="1">
        <f t="array" ref="D62">INDEX(GMW!$A$2:$NF$150,MATCH(1,(GMW!$NE$2:$NE$150=D$3)*(GMW!$ND$2:$ND$150=D$4)*(GMW!$NF$2:$NF$150=D$1),0),$C62-1966)</f>
        <v>312615</v>
      </c>
      <c r="E62" s="4" cm="1">
        <f t="array" ref="E62">INDEX(GMW!$A$2:$NF$150,MATCH(1,(GMW!$NE$2:$NE$150=E$3)*(GMW!$ND$2:$ND$150=E$4)*(GMW!$NF$2:$NF$150=E$1),0),$C62-1966)</f>
        <v>46.924320000000002</v>
      </c>
      <c r="F62" s="4" cm="1">
        <f t="array" ref="F62">INDEX(GMW!$A$2:$NF$150,MATCH(1,(GMW!$NE$2:$NE$150=F$3)*(GMW!$ND$2:$ND$150=F$4)*(GMW!$NF$2:$NF$150=F$1),0),$C62-1966)</f>
        <v>57267</v>
      </c>
      <c r="G62" s="4" cm="1">
        <f t="array" ref="G62">INDEX(GMW!$A$2:$NF$150,MATCH(1,(GMW!$NE$2:$NE$150=G$3)*(GMW!$ND$2:$ND$150=G$4)*(GMW!$NF$2:$NF$150=G$1),0),$C62-1966)</f>
        <v>16708.36</v>
      </c>
      <c r="H62" s="4" cm="1">
        <f t="array" ref="H62">INDEX(GMW!$A$2:$NF$150,MATCH(1,(GMW!$NE$2:$NE$150=H$3)*(GMW!$ND$2:$ND$150=H$4)*(GMW!$NF$2:$NF$150=H$1),0),$C62-1966)</f>
        <v>51050</v>
      </c>
      <c r="I62" s="4" cm="1">
        <f t="array" ref="I62">INDEX(GMW!$A$2:$NF$150,MATCH(1,(GMW!$NE$2:$NE$150=I$3)*(GMW!$ND$2:$ND$150=I$4)*(GMW!$NF$2:$NF$150=I$1),0),$C62-1966)</f>
        <v>22789.1</v>
      </c>
      <c r="J62" s="4" cm="1">
        <f t="array" ref="J62">INDEX(GMW!$A$2:$NF$150,MATCH(1,(GMW!$NE$2:$NE$150=J$3)*(GMW!$ND$2:$ND$150=J$4)*(GMW!$NF$2:$NF$150=J$1),0),$C62-1966)</f>
        <v>56019</v>
      </c>
      <c r="K62" s="4" cm="1">
        <f t="array" ref="K62">INDEX(GMW!$A$2:$NF$150,MATCH(1,(GMW!$NE$2:$NE$150=K$3)*(GMW!$ND$2:$ND$150=K$4)*(GMW!$NF$2:$NF$150=K$1),0),$C62-1966)</f>
        <v>21504.07</v>
      </c>
      <c r="L62" s="4" cm="1">
        <f t="array" ref="L62">INDEX(GMW!$A$2:$NF$150,MATCH(1,(GMW!$NE$2:$NE$150=L$3)*(GMW!$ND$2:$ND$150=L$4)*(GMW!$NF$2:$NF$150=L$1),0),$C62-1966)</f>
        <v>308796.2</v>
      </c>
      <c r="M62" s="4" cm="1">
        <f t="array" ref="M62">INDEX(GMW!$A$2:$NF$150,MATCH(1,(GMW!$NE$2:$NE$150=M$3)*(GMW!$ND$2:$ND$150=M$4)*(GMW!$NF$2:$NF$150=M$1),0),$C62-1966)</f>
        <v>25345.43</v>
      </c>
      <c r="N62" s="4" cm="1">
        <f t="array" ref="N62">INDEX(GMW!$A$2:$NF$150,MATCH(1,(GMW!$NE$2:$NE$150=N$3)*(GMW!$ND$2:$ND$150=N$4)*(GMW!$NF$2:$NF$150=N$1),0),$C62-1966)</f>
        <v>33.49821</v>
      </c>
      <c r="O62" s="4" cm="1">
        <f t="array" ref="O62">INDEX(GMW!$A$2:$NF$150,MATCH(1,(GMW!$NE$2:$NE$150=O$3)*(GMW!$ND$2:$ND$150=O$4)*(GMW!$NF$2:$NF$150=O$1),0),$C62-1966)</f>
        <v>329500.79999999999</v>
      </c>
      <c r="P62" s="4" cm="1">
        <f t="array" ref="P62">INDEX(GMW!$A$2:$NF$150,MATCH(1,(GMW!$NE$2:$NE$150=P$3)*(GMW!$ND$2:$ND$150=P$4)*(GMW!$NF$2:$NF$150=P$1),0),$C62-1966)</f>
        <v>37231.589999999997</v>
      </c>
      <c r="Q62" s="4" cm="1">
        <f t="array" ref="Q62">INDEX(GMW!$A$2:$NF$150,MATCH(1,(GMW!$NE$2:$NE$150=Q$3)*(GMW!$ND$2:$ND$150=Q$4)*(GMW!$NF$2:$NF$150=Q$1),0),$C62-1966)</f>
        <v>1380214</v>
      </c>
      <c r="R62" s="4" cm="1">
        <f t="array" ref="R62">INDEX(GMW!$A$2:$NF$150,MATCH(1,(GMW!$NE$2:$NE$150=R$3)*(GMW!$ND$2:$ND$150=R$4)*(GMW!$NF$2:$NF$150=R$1),0),$C62-1966)</f>
        <v>-1.8342240000000001</v>
      </c>
      <c r="S62" s="4" cm="1">
        <f t="array" ref="S62">INDEX(GMW!$A$2:$NF$150,MATCH(1,(GMW!$NE$2:$NE$150=S$3)*(GMW!$ND$2:$ND$150=S$4)*(GMW!$NF$2:$NF$150=S$1),0),$C62-1966)</f>
        <v>312615</v>
      </c>
      <c r="T62" s="4" cm="1">
        <f t="array" ref="T62">INDEX(GMW!$A$2:$NF$150,MATCH(1,(GMW!$NE$2:$NE$150=T$3)*(GMW!$ND$2:$ND$150=T$4)*(GMW!$NF$2:$NF$150=T$1),0),$C62-1966)</f>
        <v>46.924320000000002</v>
      </c>
      <c r="U62" s="4" cm="1">
        <f t="array" ref="U62">INDEX(GMW!$A$2:$NF$150,MATCH(1,(GMW!$NE$2:$NE$150=U$3)*(GMW!$ND$2:$ND$150=U$4)*(GMW!$NF$2:$NF$150=U$1),0),$C62-1966)</f>
        <v>57267</v>
      </c>
      <c r="V62" s="4" cm="1">
        <f t="array" ref="V62">INDEX(GMW!$A$2:$NF$150,MATCH(1,(GMW!$NE$2:$NE$150=V$3)*(GMW!$ND$2:$ND$150=V$4)*(GMW!$NF$2:$NF$150=V$1),0),$C62-1966)</f>
        <v>16708.36</v>
      </c>
      <c r="W62" s="4" cm="1">
        <f t="array" ref="W62">INDEX(GMW!$A$2:$NF$150,MATCH(1,(GMW!$NE$2:$NE$150=W$3)*(GMW!$ND$2:$ND$150=W$4)*(GMW!$NF$2:$NF$150=W$1),0),$C62-1966)</f>
        <v>51050</v>
      </c>
      <c r="X62" s="4" cm="1">
        <f t="array" ref="X62">INDEX(GMW!$A$2:$NF$150,MATCH(1,(GMW!$NE$2:$NE$150=X$3)*(GMW!$ND$2:$ND$150=X$4)*(GMW!$NF$2:$NF$150=X$1),0),$C62-1966)</f>
        <v>22789.1</v>
      </c>
      <c r="Y62" s="4" cm="1">
        <f t="array" ref="Y62">INDEX(GMW!$A$2:$NF$150,MATCH(1,(GMW!$NE$2:$NE$150=Y$3)*(GMW!$ND$2:$ND$150=Y$4)*(GMW!$NF$2:$NF$150=Y$1),0),$C62-1966)</f>
        <v>56019</v>
      </c>
      <c r="Z62" s="4" cm="1">
        <f t="array" ref="Z62">INDEX(GMW!$A$2:$NF$150,MATCH(1,(GMW!$NE$2:$NE$150=Z$3)*(GMW!$ND$2:$ND$150=Z$4)*(GMW!$NF$2:$NF$150=Z$1),0),$C62-1966)</f>
        <v>21504.07</v>
      </c>
      <c r="AA62" s="4" cm="1">
        <f t="array" ref="AA62">INDEX(GMW!$A$2:$NF$150,MATCH(1,(GMW!$NE$2:$NE$150=AA$3)*(GMW!$ND$2:$ND$150=AA$4)*(GMW!$NF$2:$NF$150=AA$1),0),$C62-1966)</f>
        <v>308796.2</v>
      </c>
      <c r="AB62" s="4" cm="1">
        <f t="array" ref="AB62">INDEX(GMW!$A$2:$NF$150,MATCH(1,(GMW!$NE$2:$NE$150=AB$3)*(GMW!$ND$2:$ND$150=AB$4)*(GMW!$NF$2:$NF$150=AB$1),0),$C62-1966)</f>
        <v>25345.43</v>
      </c>
      <c r="AC62" s="4" cm="1">
        <f t="array" ref="AC62">INDEX(GMW!$A$2:$NF$150,MATCH(1,(GMW!$NE$2:$NE$150=AC$3)*(GMW!$ND$2:$ND$150=AC$4)*(GMW!$NF$2:$NF$150=AC$1),0),$C62-1966)</f>
        <v>33.49821</v>
      </c>
      <c r="AD62" s="4" cm="1">
        <f t="array" ref="AD62">INDEX(GMW!$A$2:$NF$150,MATCH(1,(GMW!$NE$2:$NE$150=AD$3)*(GMW!$ND$2:$ND$150=AD$4)*(GMW!$NF$2:$NF$150=AD$1),0),$C62-1966)</f>
        <v>329500.79999999999</v>
      </c>
      <c r="AE62" s="4" cm="1">
        <f t="array" ref="AE62">INDEX(GMW!$A$2:$NF$150,MATCH(1,(GMW!$NE$2:$NE$150=AE$3)*(GMW!$ND$2:$ND$150=AE$4)*(GMW!$NF$2:$NF$150=AE$1),0),$C62-1966)</f>
        <v>37231.589999999997</v>
      </c>
      <c r="AF62" s="4" cm="1">
        <f t="array" ref="AF62">INDEX(GMW!$A$2:$NF$150,MATCH(1,(GMW!$NE$2:$NE$150=AF$3)*(GMW!$ND$2:$ND$150=AF$4)*(GMW!$NF$2:$NF$150=AF$1),0),$C62-1966)</f>
        <v>1380214</v>
      </c>
      <c r="AG62" s="4" cm="1">
        <f t="array" ref="AG62">INDEX(GMW!$A$2:$NF$150,MATCH(1,(GMW!$NE$2:$NE$150=AG$3)*(GMW!$ND$2:$ND$150=AG$4)*(GMW!$NF$2:$NF$150=AG$1),0),$C62-1966)</f>
        <v>-1.8342240000000001</v>
      </c>
      <c r="AH62" s="4" cm="1">
        <f t="array" ref="AH62">INDEX(GMW!$A$2:$NF$150,MATCH(1,(GMW!$NE$2:$NE$150=AH$3)*(GMW!$ND$2:$ND$150=AH$4)*(GMW!$NF$2:$NF$150=AH$1),0),$C62-1966)</f>
        <v>312615</v>
      </c>
      <c r="AI62" s="4" cm="1">
        <f t="array" ref="AI62">INDEX(GMW!$A$2:$NF$150,MATCH(1,(GMW!$NE$2:$NE$150=AI$3)*(GMW!$ND$2:$ND$150=AI$4)*(GMW!$NF$2:$NF$150=AI$1),0),$C62-1966)</f>
        <v>46.924320000000002</v>
      </c>
      <c r="AJ62" s="4" cm="1">
        <f t="array" ref="AJ62">INDEX(GMW!$A$2:$NF$150,MATCH(1,(GMW!$NE$2:$NE$150=AJ$3)*(GMW!$ND$2:$ND$150=AJ$4)*(GMW!$NF$2:$NF$150=AJ$1),0),$C62-1966)</f>
        <v>57267</v>
      </c>
      <c r="AK62" s="4" cm="1">
        <f t="array" ref="AK62">INDEX(GMW!$A$2:$NF$150,MATCH(1,(GMW!$NE$2:$NE$150=AK$3)*(GMW!$ND$2:$ND$150=AK$4)*(GMW!$NF$2:$NF$150=AK$1),0),$C62-1966)</f>
        <v>16708.36</v>
      </c>
      <c r="AL62" s="4" cm="1">
        <f t="array" ref="AL62">INDEX(GMW!$A$2:$NF$150,MATCH(1,(GMW!$NE$2:$NE$150=AL$3)*(GMW!$ND$2:$ND$150=AL$4)*(GMW!$NF$2:$NF$150=AL$1),0),$C62-1966)</f>
        <v>51050</v>
      </c>
      <c r="AM62" s="4" cm="1">
        <f t="array" ref="AM62">INDEX(GMW!$A$2:$NF$150,MATCH(1,(GMW!$NE$2:$NE$150=AM$3)*(GMW!$ND$2:$ND$150=AM$4)*(GMW!$NF$2:$NF$150=AM$1),0),$C62-1966)</f>
        <v>22789.1</v>
      </c>
      <c r="AN62" s="4" cm="1">
        <f t="array" ref="AN62">INDEX(GMW!$A$2:$NF$150,MATCH(1,(GMW!$NE$2:$NE$150=AN$3)*(GMW!$ND$2:$ND$150=AN$4)*(GMW!$NF$2:$NF$150=AN$1),0),$C62-1966)</f>
        <v>56019</v>
      </c>
      <c r="AO62" s="4" cm="1">
        <f t="array" ref="AO62">INDEX(GMW!$A$2:$NF$150,MATCH(1,(GMW!$NE$2:$NE$150=AO$3)*(GMW!$ND$2:$ND$150=AO$4)*(GMW!$NF$2:$NF$150=AO$1),0),$C62-1966)</f>
        <v>21504.07</v>
      </c>
      <c r="AP62" s="4" cm="1">
        <f t="array" ref="AP62">INDEX(GMW!$A$2:$NF$150,MATCH(1,(GMW!$NE$2:$NE$150=AP$3)*(GMW!$ND$2:$ND$150=AP$4)*(GMW!$NF$2:$NF$150=AP$1),0),$C62-1966)</f>
        <v>308796.2</v>
      </c>
      <c r="AQ62" s="4" cm="1">
        <f t="array" ref="AQ62">INDEX(GMW!$A$2:$NF$150,MATCH(1,(GMW!$NE$2:$NE$150=AQ$3)*(GMW!$ND$2:$ND$150=AQ$4)*(GMW!$NF$2:$NF$150=AQ$1),0),$C62-1966)</f>
        <v>25345.43</v>
      </c>
      <c r="AR62" s="4" cm="1">
        <f t="array" ref="AR62">INDEX(GMW!$A$2:$NF$150,MATCH(1,(GMW!$NE$2:$NE$150=AR$3)*(GMW!$ND$2:$ND$150=AR$4)*(GMW!$NF$2:$NF$150=AR$1),0),$C62-1966)</f>
        <v>33.49821</v>
      </c>
      <c r="AS62" s="4" cm="1">
        <f t="array" ref="AS62">INDEX(GMW!$A$2:$NF$150,MATCH(1,(GMW!$NE$2:$NE$150=AS$3)*(GMW!$ND$2:$ND$150=AS$4)*(GMW!$NF$2:$NF$150=AS$1),0),$C62-1966)</f>
        <v>329500.79999999999</v>
      </c>
      <c r="AT62" s="4" cm="1">
        <f t="array" ref="AT62">INDEX(GMW!$A$2:$NF$150,MATCH(1,(GMW!$NE$2:$NE$150=AT$3)*(GMW!$ND$2:$ND$150=AT$4)*(GMW!$NF$2:$NF$150=AT$1),0),$C62-1966)</f>
        <v>37231.589999999997</v>
      </c>
      <c r="AU62" s="4" cm="1">
        <f t="array" ref="AU62">INDEX(GMW!$A$2:$NF$150,MATCH(1,(GMW!$NE$2:$NE$150=AU$3)*(GMW!$ND$2:$ND$150=AU$4)*(GMW!$NF$2:$NF$150=AU$1),0),$C62-1966)</f>
        <v>1380214</v>
      </c>
      <c r="AV62" s="4" cm="1">
        <f t="array" ref="AV62">INDEX(GMW!$A$2:$NF$150,MATCH(1,(GMW!$NE$2:$NE$150=AV$3)*(GMW!$ND$2:$ND$150=AV$4)*(GMW!$NF$2:$NF$150=AV$1),0),$C62-1966)</f>
        <v>-1.8342240000000001</v>
      </c>
    </row>
    <row r="63" spans="1:48" x14ac:dyDescent="0.25">
      <c r="A63" s="4">
        <v>1987</v>
      </c>
      <c r="B63" s="4">
        <f t="shared" si="4"/>
        <v>1987</v>
      </c>
      <c r="C63" s="4">
        <f t="shared" si="5"/>
        <v>2029</v>
      </c>
      <c r="D63" s="4" cm="1">
        <f t="array" ref="D63">INDEX(GMW!$A$2:$NF$150,MATCH(1,(GMW!$NE$2:$NE$150=D$3)*(GMW!$ND$2:$ND$150=D$4)*(GMW!$NF$2:$NF$150=D$1),0),$C63-1966)</f>
        <v>314804</v>
      </c>
      <c r="E63" s="4" cm="1">
        <f t="array" ref="E63">INDEX(GMW!$A$2:$NF$150,MATCH(1,(GMW!$NE$2:$NE$150=E$3)*(GMW!$ND$2:$ND$150=E$4)*(GMW!$NF$2:$NF$150=E$1),0),$C63-1966)</f>
        <v>47.237139999999997</v>
      </c>
      <c r="F63" s="4" cm="1">
        <f t="array" ref="F63">INDEX(GMW!$A$2:$NF$150,MATCH(1,(GMW!$NE$2:$NE$150=F$3)*(GMW!$ND$2:$ND$150=F$4)*(GMW!$NF$2:$NF$150=F$1),0),$C63-1966)</f>
        <v>58816</v>
      </c>
      <c r="G63" s="4" cm="1">
        <f t="array" ref="G63">INDEX(GMW!$A$2:$NF$150,MATCH(1,(GMW!$NE$2:$NE$150=G$3)*(GMW!$ND$2:$ND$150=G$4)*(GMW!$NF$2:$NF$150=G$1),0),$C63-1966)</f>
        <v>18528.419999999998</v>
      </c>
      <c r="H63" s="4" cm="1">
        <f t="array" ref="H63">INDEX(GMW!$A$2:$NF$150,MATCH(1,(GMW!$NE$2:$NE$150=H$3)*(GMW!$ND$2:$ND$150=H$4)*(GMW!$NF$2:$NF$150=H$1),0),$C63-1966)</f>
        <v>50423</v>
      </c>
      <c r="I63" s="4" cm="1">
        <f t="array" ref="I63">INDEX(GMW!$A$2:$NF$150,MATCH(1,(GMW!$NE$2:$NE$150=I$3)*(GMW!$ND$2:$ND$150=I$4)*(GMW!$NF$2:$NF$150=I$1),0),$C63-1966)</f>
        <v>23610.880000000001</v>
      </c>
      <c r="J63" s="4" cm="1">
        <f t="array" ref="J63">INDEX(GMW!$A$2:$NF$150,MATCH(1,(GMW!$NE$2:$NE$150=J$3)*(GMW!$ND$2:$ND$150=J$4)*(GMW!$NF$2:$NF$150=J$1),0),$C63-1966)</f>
        <v>54611</v>
      </c>
      <c r="K63" s="4" cm="1">
        <f t="array" ref="K63">INDEX(GMW!$A$2:$NF$150,MATCH(1,(GMW!$NE$2:$NE$150=K$3)*(GMW!$ND$2:$ND$150=K$4)*(GMW!$NF$2:$NF$150=K$1),0),$C63-1966)</f>
        <v>20059.2</v>
      </c>
      <c r="L63" s="4" cm="1">
        <f t="array" ref="L63">INDEX(GMW!$A$2:$NF$150,MATCH(1,(GMW!$NE$2:$NE$150=L$3)*(GMW!$ND$2:$ND$150=L$4)*(GMW!$NF$2:$NF$150=L$1),0),$C63-1966)</f>
        <v>310597.5</v>
      </c>
      <c r="M63" s="4" cm="1">
        <f t="array" ref="M63">INDEX(GMW!$A$2:$NF$150,MATCH(1,(GMW!$NE$2:$NE$150=M$3)*(GMW!$ND$2:$ND$150=M$4)*(GMW!$NF$2:$NF$150=M$1),0),$C63-1966)</f>
        <v>25374.39</v>
      </c>
      <c r="N63" s="4" cm="1">
        <f t="array" ref="N63">INDEX(GMW!$A$2:$NF$150,MATCH(1,(GMW!$NE$2:$NE$150=N$3)*(GMW!$ND$2:$ND$150=N$4)*(GMW!$NF$2:$NF$150=N$1),0),$C63-1966)</f>
        <v>33.49821</v>
      </c>
      <c r="O63" s="4" cm="1">
        <f t="array" ref="O63">INDEX(GMW!$A$2:$NF$150,MATCH(1,(GMW!$NE$2:$NE$150=O$3)*(GMW!$ND$2:$ND$150=O$4)*(GMW!$NF$2:$NF$150=O$1),0),$C63-1966)</f>
        <v>330621.3</v>
      </c>
      <c r="P63" s="4" cm="1">
        <f t="array" ref="P63">INDEX(GMW!$A$2:$NF$150,MATCH(1,(GMW!$NE$2:$NE$150=P$3)*(GMW!$ND$2:$ND$150=P$4)*(GMW!$NF$2:$NF$150=P$1),0),$C63-1966)</f>
        <v>37247.67</v>
      </c>
      <c r="Q63" s="4" cm="1">
        <f t="array" ref="Q63">INDEX(GMW!$A$2:$NF$150,MATCH(1,(GMW!$NE$2:$NE$150=Q$3)*(GMW!$ND$2:$ND$150=Q$4)*(GMW!$NF$2:$NF$150=Q$1),0),$C63-1966)</f>
        <v>1387973</v>
      </c>
      <c r="R63" s="4" cm="1">
        <f t="array" ref="R63">INDEX(GMW!$A$2:$NF$150,MATCH(1,(GMW!$NE$2:$NE$150=R$3)*(GMW!$ND$2:$ND$150=R$4)*(GMW!$NF$2:$NF$150=R$1),0),$C63-1966)</f>
        <v>-1.8314159999999999</v>
      </c>
      <c r="S63" s="4" cm="1">
        <f t="array" ref="S63">INDEX(GMW!$A$2:$NF$150,MATCH(1,(GMW!$NE$2:$NE$150=S$3)*(GMW!$ND$2:$ND$150=S$4)*(GMW!$NF$2:$NF$150=S$1),0),$C63-1966)</f>
        <v>314804</v>
      </c>
      <c r="T63" s="4" cm="1">
        <f t="array" ref="T63">INDEX(GMW!$A$2:$NF$150,MATCH(1,(GMW!$NE$2:$NE$150=T$3)*(GMW!$ND$2:$ND$150=T$4)*(GMW!$NF$2:$NF$150=T$1),0),$C63-1966)</f>
        <v>47.237139999999997</v>
      </c>
      <c r="U63" s="4" cm="1">
        <f t="array" ref="U63">INDEX(GMW!$A$2:$NF$150,MATCH(1,(GMW!$NE$2:$NE$150=U$3)*(GMW!$ND$2:$ND$150=U$4)*(GMW!$NF$2:$NF$150=U$1),0),$C63-1966)</f>
        <v>58816</v>
      </c>
      <c r="V63" s="4" cm="1">
        <f t="array" ref="V63">INDEX(GMW!$A$2:$NF$150,MATCH(1,(GMW!$NE$2:$NE$150=V$3)*(GMW!$ND$2:$ND$150=V$4)*(GMW!$NF$2:$NF$150=V$1),0),$C63-1966)</f>
        <v>18528.419999999998</v>
      </c>
      <c r="W63" s="4" cm="1">
        <f t="array" ref="W63">INDEX(GMW!$A$2:$NF$150,MATCH(1,(GMW!$NE$2:$NE$150=W$3)*(GMW!$ND$2:$ND$150=W$4)*(GMW!$NF$2:$NF$150=W$1),0),$C63-1966)</f>
        <v>50423</v>
      </c>
      <c r="X63" s="4" cm="1">
        <f t="array" ref="X63">INDEX(GMW!$A$2:$NF$150,MATCH(1,(GMW!$NE$2:$NE$150=X$3)*(GMW!$ND$2:$ND$150=X$4)*(GMW!$NF$2:$NF$150=X$1),0),$C63-1966)</f>
        <v>23610.880000000001</v>
      </c>
      <c r="Y63" s="4" cm="1">
        <f t="array" ref="Y63">INDEX(GMW!$A$2:$NF$150,MATCH(1,(GMW!$NE$2:$NE$150=Y$3)*(GMW!$ND$2:$ND$150=Y$4)*(GMW!$NF$2:$NF$150=Y$1),0),$C63-1966)</f>
        <v>54611</v>
      </c>
      <c r="Z63" s="4" cm="1">
        <f t="array" ref="Z63">INDEX(GMW!$A$2:$NF$150,MATCH(1,(GMW!$NE$2:$NE$150=Z$3)*(GMW!$ND$2:$ND$150=Z$4)*(GMW!$NF$2:$NF$150=Z$1),0),$C63-1966)</f>
        <v>20059.2</v>
      </c>
      <c r="AA63" s="4" cm="1">
        <f t="array" ref="AA63">INDEX(GMW!$A$2:$NF$150,MATCH(1,(GMW!$NE$2:$NE$150=AA$3)*(GMW!$ND$2:$ND$150=AA$4)*(GMW!$NF$2:$NF$150=AA$1),0),$C63-1966)</f>
        <v>310597.5</v>
      </c>
      <c r="AB63" s="4" cm="1">
        <f t="array" ref="AB63">INDEX(GMW!$A$2:$NF$150,MATCH(1,(GMW!$NE$2:$NE$150=AB$3)*(GMW!$ND$2:$ND$150=AB$4)*(GMW!$NF$2:$NF$150=AB$1),0),$C63-1966)</f>
        <v>25374.39</v>
      </c>
      <c r="AC63" s="4" cm="1">
        <f t="array" ref="AC63">INDEX(GMW!$A$2:$NF$150,MATCH(1,(GMW!$NE$2:$NE$150=AC$3)*(GMW!$ND$2:$ND$150=AC$4)*(GMW!$NF$2:$NF$150=AC$1),0),$C63-1966)</f>
        <v>33.49821</v>
      </c>
      <c r="AD63" s="4" cm="1">
        <f t="array" ref="AD63">INDEX(GMW!$A$2:$NF$150,MATCH(1,(GMW!$NE$2:$NE$150=AD$3)*(GMW!$ND$2:$ND$150=AD$4)*(GMW!$NF$2:$NF$150=AD$1),0),$C63-1966)</f>
        <v>330621.3</v>
      </c>
      <c r="AE63" s="4" cm="1">
        <f t="array" ref="AE63">INDEX(GMW!$A$2:$NF$150,MATCH(1,(GMW!$NE$2:$NE$150=AE$3)*(GMW!$ND$2:$ND$150=AE$4)*(GMW!$NF$2:$NF$150=AE$1),0),$C63-1966)</f>
        <v>37247.67</v>
      </c>
      <c r="AF63" s="4" cm="1">
        <f t="array" ref="AF63">INDEX(GMW!$A$2:$NF$150,MATCH(1,(GMW!$NE$2:$NE$150=AF$3)*(GMW!$ND$2:$ND$150=AF$4)*(GMW!$NF$2:$NF$150=AF$1),0),$C63-1966)</f>
        <v>1387973</v>
      </c>
      <c r="AG63" s="4" cm="1">
        <f t="array" ref="AG63">INDEX(GMW!$A$2:$NF$150,MATCH(1,(GMW!$NE$2:$NE$150=AG$3)*(GMW!$ND$2:$ND$150=AG$4)*(GMW!$NF$2:$NF$150=AG$1),0),$C63-1966)</f>
        <v>-1.8314159999999999</v>
      </c>
      <c r="AH63" s="4" cm="1">
        <f t="array" ref="AH63">INDEX(GMW!$A$2:$NF$150,MATCH(1,(GMW!$NE$2:$NE$150=AH$3)*(GMW!$ND$2:$ND$150=AH$4)*(GMW!$NF$2:$NF$150=AH$1),0),$C63-1966)</f>
        <v>314804</v>
      </c>
      <c r="AI63" s="4" cm="1">
        <f t="array" ref="AI63">INDEX(GMW!$A$2:$NF$150,MATCH(1,(GMW!$NE$2:$NE$150=AI$3)*(GMW!$ND$2:$ND$150=AI$4)*(GMW!$NF$2:$NF$150=AI$1),0),$C63-1966)</f>
        <v>47.237139999999997</v>
      </c>
      <c r="AJ63" s="4" cm="1">
        <f t="array" ref="AJ63">INDEX(GMW!$A$2:$NF$150,MATCH(1,(GMW!$NE$2:$NE$150=AJ$3)*(GMW!$ND$2:$ND$150=AJ$4)*(GMW!$NF$2:$NF$150=AJ$1),0),$C63-1966)</f>
        <v>58816</v>
      </c>
      <c r="AK63" s="4" cm="1">
        <f t="array" ref="AK63">INDEX(GMW!$A$2:$NF$150,MATCH(1,(GMW!$NE$2:$NE$150=AK$3)*(GMW!$ND$2:$ND$150=AK$4)*(GMW!$NF$2:$NF$150=AK$1),0),$C63-1966)</f>
        <v>18528.419999999998</v>
      </c>
      <c r="AL63" s="4" cm="1">
        <f t="array" ref="AL63">INDEX(GMW!$A$2:$NF$150,MATCH(1,(GMW!$NE$2:$NE$150=AL$3)*(GMW!$ND$2:$ND$150=AL$4)*(GMW!$NF$2:$NF$150=AL$1),0),$C63-1966)</f>
        <v>50423</v>
      </c>
      <c r="AM63" s="4" cm="1">
        <f t="array" ref="AM63">INDEX(GMW!$A$2:$NF$150,MATCH(1,(GMW!$NE$2:$NE$150=AM$3)*(GMW!$ND$2:$ND$150=AM$4)*(GMW!$NF$2:$NF$150=AM$1),0),$C63-1966)</f>
        <v>23610.880000000001</v>
      </c>
      <c r="AN63" s="4" cm="1">
        <f t="array" ref="AN63">INDEX(GMW!$A$2:$NF$150,MATCH(1,(GMW!$NE$2:$NE$150=AN$3)*(GMW!$ND$2:$ND$150=AN$4)*(GMW!$NF$2:$NF$150=AN$1),0),$C63-1966)</f>
        <v>54611</v>
      </c>
      <c r="AO63" s="4" cm="1">
        <f t="array" ref="AO63">INDEX(GMW!$A$2:$NF$150,MATCH(1,(GMW!$NE$2:$NE$150=AO$3)*(GMW!$ND$2:$ND$150=AO$4)*(GMW!$NF$2:$NF$150=AO$1),0),$C63-1966)</f>
        <v>20059.2</v>
      </c>
      <c r="AP63" s="4" cm="1">
        <f t="array" ref="AP63">INDEX(GMW!$A$2:$NF$150,MATCH(1,(GMW!$NE$2:$NE$150=AP$3)*(GMW!$ND$2:$ND$150=AP$4)*(GMW!$NF$2:$NF$150=AP$1),0),$C63-1966)</f>
        <v>310597.5</v>
      </c>
      <c r="AQ63" s="4" cm="1">
        <f t="array" ref="AQ63">INDEX(GMW!$A$2:$NF$150,MATCH(1,(GMW!$NE$2:$NE$150=AQ$3)*(GMW!$ND$2:$ND$150=AQ$4)*(GMW!$NF$2:$NF$150=AQ$1),0),$C63-1966)</f>
        <v>25374.39</v>
      </c>
      <c r="AR63" s="4" cm="1">
        <f t="array" ref="AR63">INDEX(GMW!$A$2:$NF$150,MATCH(1,(GMW!$NE$2:$NE$150=AR$3)*(GMW!$ND$2:$ND$150=AR$4)*(GMW!$NF$2:$NF$150=AR$1),0),$C63-1966)</f>
        <v>33.49821</v>
      </c>
      <c r="AS63" s="4" cm="1">
        <f t="array" ref="AS63">INDEX(GMW!$A$2:$NF$150,MATCH(1,(GMW!$NE$2:$NE$150=AS$3)*(GMW!$ND$2:$ND$150=AS$4)*(GMW!$NF$2:$NF$150=AS$1),0),$C63-1966)</f>
        <v>330621.3</v>
      </c>
      <c r="AT63" s="4" cm="1">
        <f t="array" ref="AT63">INDEX(GMW!$A$2:$NF$150,MATCH(1,(GMW!$NE$2:$NE$150=AT$3)*(GMW!$ND$2:$ND$150=AT$4)*(GMW!$NF$2:$NF$150=AT$1),0),$C63-1966)</f>
        <v>37247.67</v>
      </c>
      <c r="AU63" s="4" cm="1">
        <f t="array" ref="AU63">INDEX(GMW!$A$2:$NF$150,MATCH(1,(GMW!$NE$2:$NE$150=AU$3)*(GMW!$ND$2:$ND$150=AU$4)*(GMW!$NF$2:$NF$150=AU$1),0),$C63-1966)</f>
        <v>1387973</v>
      </c>
      <c r="AV63" s="4" cm="1">
        <f t="array" ref="AV63">INDEX(GMW!$A$2:$NF$150,MATCH(1,(GMW!$NE$2:$NE$150=AV$3)*(GMW!$ND$2:$ND$150=AV$4)*(GMW!$NF$2:$NF$150=AV$1),0),$C63-1966)</f>
        <v>-1.8314159999999999</v>
      </c>
    </row>
    <row r="64" spans="1:48" x14ac:dyDescent="0.25">
      <c r="B64" s="4">
        <f t="shared" si="4"/>
        <v>1987</v>
      </c>
      <c r="C64" s="4">
        <f t="shared" si="5"/>
        <v>2030</v>
      </c>
      <c r="D64" s="4" cm="1">
        <f t="array" ref="D64">INDEX(GMW!$A$2:$NF$150,MATCH(1,(GMW!$NE$2:$NE$150=D$3)*(GMW!$ND$2:$ND$150=D$4)*(GMW!$NF$2:$NF$150=D$1),0),$C64-1966)</f>
        <v>319478</v>
      </c>
      <c r="E64" s="4" cm="1">
        <f t="array" ref="E64">INDEX(GMW!$A$2:$NF$150,MATCH(1,(GMW!$NE$2:$NE$150=E$3)*(GMW!$ND$2:$ND$150=E$4)*(GMW!$NF$2:$NF$150=E$1),0),$C64-1966)</f>
        <v>47.836730000000003</v>
      </c>
      <c r="F64" s="4" cm="1">
        <f t="array" ref="F64">INDEX(GMW!$A$2:$NF$150,MATCH(1,(GMW!$NE$2:$NE$150=F$3)*(GMW!$ND$2:$ND$150=F$4)*(GMW!$NF$2:$NF$150=F$1),0),$C64-1966)</f>
        <v>58324</v>
      </c>
      <c r="G64" s="4" cm="1">
        <f t="array" ref="G64">INDEX(GMW!$A$2:$NF$150,MATCH(1,(GMW!$NE$2:$NE$150=G$3)*(GMW!$ND$2:$ND$150=G$4)*(GMW!$NF$2:$NF$150=G$1),0),$C64-1966)</f>
        <v>17568.18</v>
      </c>
      <c r="H64" s="4" cm="1">
        <f t="array" ref="H64">INDEX(GMW!$A$2:$NF$150,MATCH(1,(GMW!$NE$2:$NE$150=H$3)*(GMW!$ND$2:$ND$150=H$4)*(GMW!$NF$2:$NF$150=H$1),0),$C64-1966)</f>
        <v>52940</v>
      </c>
      <c r="I64" s="4" cm="1">
        <f t="array" ref="I64">INDEX(GMW!$A$2:$NF$150,MATCH(1,(GMW!$NE$2:$NE$150=I$3)*(GMW!$ND$2:$ND$150=I$4)*(GMW!$NF$2:$NF$150=I$1),0),$C64-1966)</f>
        <v>25227.9</v>
      </c>
      <c r="J64" s="4" cm="1">
        <f t="array" ref="J64">INDEX(GMW!$A$2:$NF$150,MATCH(1,(GMW!$NE$2:$NE$150=J$3)*(GMW!$ND$2:$ND$150=J$4)*(GMW!$NF$2:$NF$150=J$1),0),$C64-1966)</f>
        <v>57244</v>
      </c>
      <c r="K64" s="4" cm="1">
        <f t="array" ref="K64">INDEX(GMW!$A$2:$NF$150,MATCH(1,(GMW!$NE$2:$NE$150=K$3)*(GMW!$ND$2:$ND$150=K$4)*(GMW!$NF$2:$NF$150=K$1),0),$C64-1966)</f>
        <v>20730.150000000001</v>
      </c>
      <c r="L64" s="4" cm="1">
        <f t="array" ref="L64">INDEX(GMW!$A$2:$NF$150,MATCH(1,(GMW!$NE$2:$NE$150=L$3)*(GMW!$ND$2:$ND$150=L$4)*(GMW!$NF$2:$NF$150=L$1),0),$C64-1966)</f>
        <v>313078.09999999998</v>
      </c>
      <c r="M64" s="4" cm="1">
        <f t="array" ref="M64">INDEX(GMW!$A$2:$NF$150,MATCH(1,(GMW!$NE$2:$NE$150=M$3)*(GMW!$ND$2:$ND$150=M$4)*(GMW!$NF$2:$NF$150=M$1),0),$C64-1966)</f>
        <v>25458.55</v>
      </c>
      <c r="N64" s="4" cm="1">
        <f t="array" ref="N64">INDEX(GMW!$A$2:$NF$150,MATCH(1,(GMW!$NE$2:$NE$150=N$3)*(GMW!$ND$2:$ND$150=N$4)*(GMW!$NF$2:$NF$150=N$1),0),$C64-1966)</f>
        <v>33.508580000000002</v>
      </c>
      <c r="O64" s="4" cm="1">
        <f t="array" ref="O64">INDEX(GMW!$A$2:$NF$150,MATCH(1,(GMW!$NE$2:$NE$150=O$3)*(GMW!$ND$2:$ND$150=O$4)*(GMW!$NF$2:$NF$150=O$1),0),$C64-1966)</f>
        <v>331686.3</v>
      </c>
      <c r="P64" s="4" cm="1">
        <f t="array" ref="P64">INDEX(GMW!$A$2:$NF$150,MATCH(1,(GMW!$NE$2:$NE$150=P$3)*(GMW!$ND$2:$ND$150=P$4)*(GMW!$NF$2:$NF$150=P$1),0),$C64-1966)</f>
        <v>37263.75</v>
      </c>
      <c r="Q64" s="4" cm="1">
        <f t="array" ref="Q64">INDEX(GMW!$A$2:$NF$150,MATCH(1,(GMW!$NE$2:$NE$150=Q$3)*(GMW!$ND$2:$ND$150=Q$4)*(GMW!$NF$2:$NF$150=Q$1),0),$C64-1966)</f>
        <v>1395732</v>
      </c>
      <c r="R64" s="4" cm="1">
        <f t="array" ref="R64">INDEX(GMW!$A$2:$NF$150,MATCH(1,(GMW!$NE$2:$NE$150=R$3)*(GMW!$ND$2:$ND$150=R$4)*(GMW!$NF$2:$NF$150=R$1),0),$C64-1966)</f>
        <v>-1.8286119999999999</v>
      </c>
      <c r="S64" s="4" cm="1">
        <f t="array" ref="S64">INDEX(GMW!$A$2:$NF$150,MATCH(1,(GMW!$NE$2:$NE$150=S$3)*(GMW!$ND$2:$ND$150=S$4)*(GMW!$NF$2:$NF$150=S$1),0),$C64-1966)</f>
        <v>319478</v>
      </c>
      <c r="T64" s="4" cm="1">
        <f t="array" ref="T64">INDEX(GMW!$A$2:$NF$150,MATCH(1,(GMW!$NE$2:$NE$150=T$3)*(GMW!$ND$2:$ND$150=T$4)*(GMW!$NF$2:$NF$150=T$1),0),$C64-1966)</f>
        <v>47.836730000000003</v>
      </c>
      <c r="U64" s="4" cm="1">
        <f t="array" ref="U64">INDEX(GMW!$A$2:$NF$150,MATCH(1,(GMW!$NE$2:$NE$150=U$3)*(GMW!$ND$2:$ND$150=U$4)*(GMW!$NF$2:$NF$150=U$1),0),$C64-1966)</f>
        <v>58324</v>
      </c>
      <c r="V64" s="4" cm="1">
        <f t="array" ref="V64">INDEX(GMW!$A$2:$NF$150,MATCH(1,(GMW!$NE$2:$NE$150=V$3)*(GMW!$ND$2:$ND$150=V$4)*(GMW!$NF$2:$NF$150=V$1),0),$C64-1966)</f>
        <v>17568.18</v>
      </c>
      <c r="W64" s="4" cm="1">
        <f t="array" ref="W64">INDEX(GMW!$A$2:$NF$150,MATCH(1,(GMW!$NE$2:$NE$150=W$3)*(GMW!$ND$2:$ND$150=W$4)*(GMW!$NF$2:$NF$150=W$1),0),$C64-1966)</f>
        <v>52940</v>
      </c>
      <c r="X64" s="4" cm="1">
        <f t="array" ref="X64">INDEX(GMW!$A$2:$NF$150,MATCH(1,(GMW!$NE$2:$NE$150=X$3)*(GMW!$ND$2:$ND$150=X$4)*(GMW!$NF$2:$NF$150=X$1),0),$C64-1966)</f>
        <v>25227.9</v>
      </c>
      <c r="Y64" s="4" cm="1">
        <f t="array" ref="Y64">INDEX(GMW!$A$2:$NF$150,MATCH(1,(GMW!$NE$2:$NE$150=Y$3)*(GMW!$ND$2:$ND$150=Y$4)*(GMW!$NF$2:$NF$150=Y$1),0),$C64-1966)</f>
        <v>57244</v>
      </c>
      <c r="Z64" s="4" cm="1">
        <f t="array" ref="Z64">INDEX(GMW!$A$2:$NF$150,MATCH(1,(GMW!$NE$2:$NE$150=Z$3)*(GMW!$ND$2:$ND$150=Z$4)*(GMW!$NF$2:$NF$150=Z$1),0),$C64-1966)</f>
        <v>20730.150000000001</v>
      </c>
      <c r="AA64" s="4" cm="1">
        <f t="array" ref="AA64">INDEX(GMW!$A$2:$NF$150,MATCH(1,(GMW!$NE$2:$NE$150=AA$3)*(GMW!$ND$2:$ND$150=AA$4)*(GMW!$NF$2:$NF$150=AA$1),0),$C64-1966)</f>
        <v>313078.09999999998</v>
      </c>
      <c r="AB64" s="4" cm="1">
        <f t="array" ref="AB64">INDEX(GMW!$A$2:$NF$150,MATCH(1,(GMW!$NE$2:$NE$150=AB$3)*(GMW!$ND$2:$ND$150=AB$4)*(GMW!$NF$2:$NF$150=AB$1),0),$C64-1966)</f>
        <v>25458.55</v>
      </c>
      <c r="AC64" s="4" cm="1">
        <f t="array" ref="AC64">INDEX(GMW!$A$2:$NF$150,MATCH(1,(GMW!$NE$2:$NE$150=AC$3)*(GMW!$ND$2:$ND$150=AC$4)*(GMW!$NF$2:$NF$150=AC$1),0),$C64-1966)</f>
        <v>33.508580000000002</v>
      </c>
      <c r="AD64" s="4" cm="1">
        <f t="array" ref="AD64">INDEX(GMW!$A$2:$NF$150,MATCH(1,(GMW!$NE$2:$NE$150=AD$3)*(GMW!$ND$2:$ND$150=AD$4)*(GMW!$NF$2:$NF$150=AD$1),0),$C64-1966)</f>
        <v>331686.3</v>
      </c>
      <c r="AE64" s="4" cm="1">
        <f t="array" ref="AE64">INDEX(GMW!$A$2:$NF$150,MATCH(1,(GMW!$NE$2:$NE$150=AE$3)*(GMW!$ND$2:$ND$150=AE$4)*(GMW!$NF$2:$NF$150=AE$1),0),$C64-1966)</f>
        <v>37263.75</v>
      </c>
      <c r="AF64" s="4" cm="1">
        <f t="array" ref="AF64">INDEX(GMW!$A$2:$NF$150,MATCH(1,(GMW!$NE$2:$NE$150=AF$3)*(GMW!$ND$2:$ND$150=AF$4)*(GMW!$NF$2:$NF$150=AF$1),0),$C64-1966)</f>
        <v>1395732</v>
      </c>
      <c r="AG64" s="4" cm="1">
        <f t="array" ref="AG64">INDEX(GMW!$A$2:$NF$150,MATCH(1,(GMW!$NE$2:$NE$150=AG$3)*(GMW!$ND$2:$ND$150=AG$4)*(GMW!$NF$2:$NF$150=AG$1),0),$C64-1966)</f>
        <v>-1.8286119999999999</v>
      </c>
      <c r="AH64" s="4" cm="1">
        <f t="array" ref="AH64">INDEX(GMW!$A$2:$NF$150,MATCH(1,(GMW!$NE$2:$NE$150=AH$3)*(GMW!$ND$2:$ND$150=AH$4)*(GMW!$NF$2:$NF$150=AH$1),0),$C64-1966)</f>
        <v>319478</v>
      </c>
      <c r="AI64" s="4" cm="1">
        <f t="array" ref="AI64">INDEX(GMW!$A$2:$NF$150,MATCH(1,(GMW!$NE$2:$NE$150=AI$3)*(GMW!$ND$2:$ND$150=AI$4)*(GMW!$NF$2:$NF$150=AI$1),0),$C64-1966)</f>
        <v>47.836730000000003</v>
      </c>
      <c r="AJ64" s="4" cm="1">
        <f t="array" ref="AJ64">INDEX(GMW!$A$2:$NF$150,MATCH(1,(GMW!$NE$2:$NE$150=AJ$3)*(GMW!$ND$2:$ND$150=AJ$4)*(GMW!$NF$2:$NF$150=AJ$1),0),$C64-1966)</f>
        <v>58324</v>
      </c>
      <c r="AK64" s="4" cm="1">
        <f t="array" ref="AK64">INDEX(GMW!$A$2:$NF$150,MATCH(1,(GMW!$NE$2:$NE$150=AK$3)*(GMW!$ND$2:$ND$150=AK$4)*(GMW!$NF$2:$NF$150=AK$1),0),$C64-1966)</f>
        <v>17568.18</v>
      </c>
      <c r="AL64" s="4" cm="1">
        <f t="array" ref="AL64">INDEX(GMW!$A$2:$NF$150,MATCH(1,(GMW!$NE$2:$NE$150=AL$3)*(GMW!$ND$2:$ND$150=AL$4)*(GMW!$NF$2:$NF$150=AL$1),0),$C64-1966)</f>
        <v>52940</v>
      </c>
      <c r="AM64" s="4" cm="1">
        <f t="array" ref="AM64">INDEX(GMW!$A$2:$NF$150,MATCH(1,(GMW!$NE$2:$NE$150=AM$3)*(GMW!$ND$2:$ND$150=AM$4)*(GMW!$NF$2:$NF$150=AM$1),0),$C64-1966)</f>
        <v>25227.9</v>
      </c>
      <c r="AN64" s="4" cm="1">
        <f t="array" ref="AN64">INDEX(GMW!$A$2:$NF$150,MATCH(1,(GMW!$NE$2:$NE$150=AN$3)*(GMW!$ND$2:$ND$150=AN$4)*(GMW!$NF$2:$NF$150=AN$1),0),$C64-1966)</f>
        <v>57244</v>
      </c>
      <c r="AO64" s="4" cm="1">
        <f t="array" ref="AO64">INDEX(GMW!$A$2:$NF$150,MATCH(1,(GMW!$NE$2:$NE$150=AO$3)*(GMW!$ND$2:$ND$150=AO$4)*(GMW!$NF$2:$NF$150=AO$1),0),$C64-1966)</f>
        <v>20730.150000000001</v>
      </c>
      <c r="AP64" s="4" cm="1">
        <f t="array" ref="AP64">INDEX(GMW!$A$2:$NF$150,MATCH(1,(GMW!$NE$2:$NE$150=AP$3)*(GMW!$ND$2:$ND$150=AP$4)*(GMW!$NF$2:$NF$150=AP$1),0),$C64-1966)</f>
        <v>313078.09999999998</v>
      </c>
      <c r="AQ64" s="4" cm="1">
        <f t="array" ref="AQ64">INDEX(GMW!$A$2:$NF$150,MATCH(1,(GMW!$NE$2:$NE$150=AQ$3)*(GMW!$ND$2:$ND$150=AQ$4)*(GMW!$NF$2:$NF$150=AQ$1),0),$C64-1966)</f>
        <v>25458.55</v>
      </c>
      <c r="AR64" s="4" cm="1">
        <f t="array" ref="AR64">INDEX(GMW!$A$2:$NF$150,MATCH(1,(GMW!$NE$2:$NE$150=AR$3)*(GMW!$ND$2:$ND$150=AR$4)*(GMW!$NF$2:$NF$150=AR$1),0),$C64-1966)</f>
        <v>33.508580000000002</v>
      </c>
      <c r="AS64" s="4" cm="1">
        <f t="array" ref="AS64">INDEX(GMW!$A$2:$NF$150,MATCH(1,(GMW!$NE$2:$NE$150=AS$3)*(GMW!$ND$2:$ND$150=AS$4)*(GMW!$NF$2:$NF$150=AS$1),0),$C64-1966)</f>
        <v>331686.3</v>
      </c>
      <c r="AT64" s="4" cm="1">
        <f t="array" ref="AT64">INDEX(GMW!$A$2:$NF$150,MATCH(1,(GMW!$NE$2:$NE$150=AT$3)*(GMW!$ND$2:$ND$150=AT$4)*(GMW!$NF$2:$NF$150=AT$1),0),$C64-1966)</f>
        <v>37263.75</v>
      </c>
      <c r="AU64" s="4" cm="1">
        <f t="array" ref="AU64">INDEX(GMW!$A$2:$NF$150,MATCH(1,(GMW!$NE$2:$NE$150=AU$3)*(GMW!$ND$2:$ND$150=AU$4)*(GMW!$NF$2:$NF$150=AU$1),0),$C64-1966)</f>
        <v>1395732</v>
      </c>
      <c r="AV64" s="4" cm="1">
        <f t="array" ref="AV64">INDEX(GMW!$A$2:$NF$150,MATCH(1,(GMW!$NE$2:$NE$150=AV$3)*(GMW!$ND$2:$ND$150=AV$4)*(GMW!$NF$2:$NF$150=AV$1),0),$C64-1966)</f>
        <v>-1.8286119999999999</v>
      </c>
    </row>
    <row r="65" spans="1:48" x14ac:dyDescent="0.25">
      <c r="B65" s="4">
        <f t="shared" si="4"/>
        <v>1987</v>
      </c>
      <c r="C65" s="4">
        <f t="shared" si="5"/>
        <v>2031</v>
      </c>
      <c r="D65" s="4" cm="1">
        <f t="array" ref="D65">INDEX(GMW!$A$2:$NF$150,MATCH(1,(GMW!$NE$2:$NE$150=D$3)*(GMW!$ND$2:$ND$150=D$4)*(GMW!$NF$2:$NF$150=D$1),0),$C65-1966)</f>
        <v>327346</v>
      </c>
      <c r="E65" s="4" cm="1">
        <f t="array" ref="E65">INDEX(GMW!$A$2:$NF$150,MATCH(1,(GMW!$NE$2:$NE$150=E$3)*(GMW!$ND$2:$ND$150=E$4)*(GMW!$NF$2:$NF$150=E$1),0),$C65-1966)</f>
        <v>47.888869999999997</v>
      </c>
      <c r="F65" s="4" cm="1">
        <f t="array" ref="F65">INDEX(GMW!$A$2:$NF$150,MATCH(1,(GMW!$NE$2:$NE$150=F$3)*(GMW!$ND$2:$ND$150=F$4)*(GMW!$NF$2:$NF$150=F$1),0),$C65-1966)</f>
        <v>60470</v>
      </c>
      <c r="G65" s="4" cm="1">
        <f t="array" ref="G65">INDEX(GMW!$A$2:$NF$150,MATCH(1,(GMW!$NE$2:$NE$150=G$3)*(GMW!$ND$2:$ND$150=G$4)*(GMW!$NF$2:$NF$150=G$1),0),$C65-1966)</f>
        <v>18760.650000000001</v>
      </c>
      <c r="H65" s="4" cm="1">
        <f t="array" ref="H65">INDEX(GMW!$A$2:$NF$150,MATCH(1,(GMW!$NE$2:$NE$150=H$3)*(GMW!$ND$2:$ND$150=H$4)*(GMW!$NF$2:$NF$150=H$1),0),$C65-1966)</f>
        <v>55384</v>
      </c>
      <c r="I65" s="4" cm="1">
        <f t="array" ref="I65">INDEX(GMW!$A$2:$NF$150,MATCH(1,(GMW!$NE$2:$NE$150=I$3)*(GMW!$ND$2:$ND$150=I$4)*(GMW!$NF$2:$NF$150=I$1),0),$C65-1966)</f>
        <v>26315</v>
      </c>
      <c r="J65" s="4" cm="1">
        <f t="array" ref="J65">INDEX(GMW!$A$2:$NF$150,MATCH(1,(GMW!$NE$2:$NE$150=J$3)*(GMW!$ND$2:$ND$150=J$4)*(GMW!$NF$2:$NF$150=J$1),0),$C65-1966)</f>
        <v>62518</v>
      </c>
      <c r="K65" s="4" cm="1">
        <f t="array" ref="K65">INDEX(GMW!$A$2:$NF$150,MATCH(1,(GMW!$NE$2:$NE$150=K$3)*(GMW!$ND$2:$ND$150=K$4)*(GMW!$NF$2:$NF$150=K$1),0),$C65-1966)</f>
        <v>22463.02</v>
      </c>
      <c r="L65" s="4" cm="1">
        <f t="array" ref="L65">INDEX(GMW!$A$2:$NF$150,MATCH(1,(GMW!$NE$2:$NE$150=L$3)*(GMW!$ND$2:$ND$150=L$4)*(GMW!$NF$2:$NF$150=L$1),0),$C65-1966)</f>
        <v>315712.2</v>
      </c>
      <c r="M65" s="4" cm="1">
        <f t="array" ref="M65">INDEX(GMW!$A$2:$NF$150,MATCH(1,(GMW!$NE$2:$NE$150=M$3)*(GMW!$ND$2:$ND$150=M$4)*(GMW!$NF$2:$NF$150=M$1),0),$C65-1966)</f>
        <v>25548.15</v>
      </c>
      <c r="N65" s="4" cm="1">
        <f t="array" ref="N65">INDEX(GMW!$A$2:$NF$150,MATCH(1,(GMW!$NE$2:$NE$150=N$3)*(GMW!$ND$2:$ND$150=N$4)*(GMW!$NF$2:$NF$150=N$1),0),$C65-1966)</f>
        <v>33.529319999999998</v>
      </c>
      <c r="O65" s="4" cm="1">
        <f t="array" ref="O65">INDEX(GMW!$A$2:$NF$150,MATCH(1,(GMW!$NE$2:$NE$150=O$3)*(GMW!$ND$2:$ND$150=O$4)*(GMW!$NF$2:$NF$150=O$1),0),$C65-1966)</f>
        <v>332802</v>
      </c>
      <c r="P65" s="4" cm="1">
        <f t="array" ref="P65">INDEX(GMW!$A$2:$NF$150,MATCH(1,(GMW!$NE$2:$NE$150=P$3)*(GMW!$ND$2:$ND$150=P$4)*(GMW!$NF$2:$NF$150=P$1),0),$C65-1966)</f>
        <v>37271.879999999997</v>
      </c>
      <c r="Q65" s="4" cm="1">
        <f t="array" ref="Q65">INDEX(GMW!$A$2:$NF$150,MATCH(1,(GMW!$NE$2:$NE$150=Q$3)*(GMW!$ND$2:$ND$150=Q$4)*(GMW!$NF$2:$NF$150=Q$1),0),$C65-1966)</f>
        <v>1403490</v>
      </c>
      <c r="R65" s="4" cm="1">
        <f t="array" ref="R65">INDEX(GMW!$A$2:$NF$150,MATCH(1,(GMW!$NE$2:$NE$150=R$3)*(GMW!$ND$2:$ND$150=R$4)*(GMW!$NF$2:$NF$150=R$1),0),$C65-1966)</f>
        <v>-1.8258129999999999</v>
      </c>
      <c r="S65" s="4" cm="1">
        <f t="array" ref="S65">INDEX(GMW!$A$2:$NF$150,MATCH(1,(GMW!$NE$2:$NE$150=S$3)*(GMW!$ND$2:$ND$150=S$4)*(GMW!$NF$2:$NF$150=S$1),0),$C65-1966)</f>
        <v>327346</v>
      </c>
      <c r="T65" s="4" cm="1">
        <f t="array" ref="T65">INDEX(GMW!$A$2:$NF$150,MATCH(1,(GMW!$NE$2:$NE$150=T$3)*(GMW!$ND$2:$ND$150=T$4)*(GMW!$NF$2:$NF$150=T$1),0),$C65-1966)</f>
        <v>47.888869999999997</v>
      </c>
      <c r="U65" s="4" cm="1">
        <f t="array" ref="U65">INDEX(GMW!$A$2:$NF$150,MATCH(1,(GMW!$NE$2:$NE$150=U$3)*(GMW!$ND$2:$ND$150=U$4)*(GMW!$NF$2:$NF$150=U$1),0),$C65-1966)</f>
        <v>60470</v>
      </c>
      <c r="V65" s="4" cm="1">
        <f t="array" ref="V65">INDEX(GMW!$A$2:$NF$150,MATCH(1,(GMW!$NE$2:$NE$150=V$3)*(GMW!$ND$2:$ND$150=V$4)*(GMW!$NF$2:$NF$150=V$1),0),$C65-1966)</f>
        <v>18760.650000000001</v>
      </c>
      <c r="W65" s="4" cm="1">
        <f t="array" ref="W65">INDEX(GMW!$A$2:$NF$150,MATCH(1,(GMW!$NE$2:$NE$150=W$3)*(GMW!$ND$2:$ND$150=W$4)*(GMW!$NF$2:$NF$150=W$1),0),$C65-1966)</f>
        <v>55384</v>
      </c>
      <c r="X65" s="4" cm="1">
        <f t="array" ref="X65">INDEX(GMW!$A$2:$NF$150,MATCH(1,(GMW!$NE$2:$NE$150=X$3)*(GMW!$ND$2:$ND$150=X$4)*(GMW!$NF$2:$NF$150=X$1),0),$C65-1966)</f>
        <v>26315</v>
      </c>
      <c r="Y65" s="4" cm="1">
        <f t="array" ref="Y65">INDEX(GMW!$A$2:$NF$150,MATCH(1,(GMW!$NE$2:$NE$150=Y$3)*(GMW!$ND$2:$ND$150=Y$4)*(GMW!$NF$2:$NF$150=Y$1),0),$C65-1966)</f>
        <v>62518</v>
      </c>
      <c r="Z65" s="4" cm="1">
        <f t="array" ref="Z65">INDEX(GMW!$A$2:$NF$150,MATCH(1,(GMW!$NE$2:$NE$150=Z$3)*(GMW!$ND$2:$ND$150=Z$4)*(GMW!$NF$2:$NF$150=Z$1),0),$C65-1966)</f>
        <v>22463.02</v>
      </c>
      <c r="AA65" s="4" cm="1">
        <f t="array" ref="AA65">INDEX(GMW!$A$2:$NF$150,MATCH(1,(GMW!$NE$2:$NE$150=AA$3)*(GMW!$ND$2:$ND$150=AA$4)*(GMW!$NF$2:$NF$150=AA$1),0),$C65-1966)</f>
        <v>315712.2</v>
      </c>
      <c r="AB65" s="4" cm="1">
        <f t="array" ref="AB65">INDEX(GMW!$A$2:$NF$150,MATCH(1,(GMW!$NE$2:$NE$150=AB$3)*(GMW!$ND$2:$ND$150=AB$4)*(GMW!$NF$2:$NF$150=AB$1),0),$C65-1966)</f>
        <v>25548.15</v>
      </c>
      <c r="AC65" s="4" cm="1">
        <f t="array" ref="AC65">INDEX(GMW!$A$2:$NF$150,MATCH(1,(GMW!$NE$2:$NE$150=AC$3)*(GMW!$ND$2:$ND$150=AC$4)*(GMW!$NF$2:$NF$150=AC$1),0),$C65-1966)</f>
        <v>33.529319999999998</v>
      </c>
      <c r="AD65" s="4" cm="1">
        <f t="array" ref="AD65">INDEX(GMW!$A$2:$NF$150,MATCH(1,(GMW!$NE$2:$NE$150=AD$3)*(GMW!$ND$2:$ND$150=AD$4)*(GMW!$NF$2:$NF$150=AD$1),0),$C65-1966)</f>
        <v>332802</v>
      </c>
      <c r="AE65" s="4" cm="1">
        <f t="array" ref="AE65">INDEX(GMW!$A$2:$NF$150,MATCH(1,(GMW!$NE$2:$NE$150=AE$3)*(GMW!$ND$2:$ND$150=AE$4)*(GMW!$NF$2:$NF$150=AE$1),0),$C65-1966)</f>
        <v>37271.879999999997</v>
      </c>
      <c r="AF65" s="4" cm="1">
        <f t="array" ref="AF65">INDEX(GMW!$A$2:$NF$150,MATCH(1,(GMW!$NE$2:$NE$150=AF$3)*(GMW!$ND$2:$ND$150=AF$4)*(GMW!$NF$2:$NF$150=AF$1),0),$C65-1966)</f>
        <v>1403490</v>
      </c>
      <c r="AG65" s="4" cm="1">
        <f t="array" ref="AG65">INDEX(GMW!$A$2:$NF$150,MATCH(1,(GMW!$NE$2:$NE$150=AG$3)*(GMW!$ND$2:$ND$150=AG$4)*(GMW!$NF$2:$NF$150=AG$1),0),$C65-1966)</f>
        <v>-1.8258129999999999</v>
      </c>
      <c r="AH65" s="4" cm="1">
        <f t="array" ref="AH65">INDEX(GMW!$A$2:$NF$150,MATCH(1,(GMW!$NE$2:$NE$150=AH$3)*(GMW!$ND$2:$ND$150=AH$4)*(GMW!$NF$2:$NF$150=AH$1),0),$C65-1966)</f>
        <v>327346</v>
      </c>
      <c r="AI65" s="4" cm="1">
        <f t="array" ref="AI65">INDEX(GMW!$A$2:$NF$150,MATCH(1,(GMW!$NE$2:$NE$150=AI$3)*(GMW!$ND$2:$ND$150=AI$4)*(GMW!$NF$2:$NF$150=AI$1),0),$C65-1966)</f>
        <v>47.888869999999997</v>
      </c>
      <c r="AJ65" s="4" cm="1">
        <f t="array" ref="AJ65">INDEX(GMW!$A$2:$NF$150,MATCH(1,(GMW!$NE$2:$NE$150=AJ$3)*(GMW!$ND$2:$ND$150=AJ$4)*(GMW!$NF$2:$NF$150=AJ$1),0),$C65-1966)</f>
        <v>60470</v>
      </c>
      <c r="AK65" s="4" cm="1">
        <f t="array" ref="AK65">INDEX(GMW!$A$2:$NF$150,MATCH(1,(GMW!$NE$2:$NE$150=AK$3)*(GMW!$ND$2:$ND$150=AK$4)*(GMW!$NF$2:$NF$150=AK$1),0),$C65-1966)</f>
        <v>18760.650000000001</v>
      </c>
      <c r="AL65" s="4" cm="1">
        <f t="array" ref="AL65">INDEX(GMW!$A$2:$NF$150,MATCH(1,(GMW!$NE$2:$NE$150=AL$3)*(GMW!$ND$2:$ND$150=AL$4)*(GMW!$NF$2:$NF$150=AL$1),0),$C65-1966)</f>
        <v>55384</v>
      </c>
      <c r="AM65" s="4" cm="1">
        <f t="array" ref="AM65">INDEX(GMW!$A$2:$NF$150,MATCH(1,(GMW!$NE$2:$NE$150=AM$3)*(GMW!$ND$2:$ND$150=AM$4)*(GMW!$NF$2:$NF$150=AM$1),0),$C65-1966)</f>
        <v>26315</v>
      </c>
      <c r="AN65" s="4" cm="1">
        <f t="array" ref="AN65">INDEX(GMW!$A$2:$NF$150,MATCH(1,(GMW!$NE$2:$NE$150=AN$3)*(GMW!$ND$2:$ND$150=AN$4)*(GMW!$NF$2:$NF$150=AN$1),0),$C65-1966)</f>
        <v>62518</v>
      </c>
      <c r="AO65" s="4" cm="1">
        <f t="array" ref="AO65">INDEX(GMW!$A$2:$NF$150,MATCH(1,(GMW!$NE$2:$NE$150=AO$3)*(GMW!$ND$2:$ND$150=AO$4)*(GMW!$NF$2:$NF$150=AO$1),0),$C65-1966)</f>
        <v>22463.02</v>
      </c>
      <c r="AP65" s="4" cm="1">
        <f t="array" ref="AP65">INDEX(GMW!$A$2:$NF$150,MATCH(1,(GMW!$NE$2:$NE$150=AP$3)*(GMW!$ND$2:$ND$150=AP$4)*(GMW!$NF$2:$NF$150=AP$1),0),$C65-1966)</f>
        <v>315712.2</v>
      </c>
      <c r="AQ65" s="4" cm="1">
        <f t="array" ref="AQ65">INDEX(GMW!$A$2:$NF$150,MATCH(1,(GMW!$NE$2:$NE$150=AQ$3)*(GMW!$ND$2:$ND$150=AQ$4)*(GMW!$NF$2:$NF$150=AQ$1),0),$C65-1966)</f>
        <v>25548.15</v>
      </c>
      <c r="AR65" s="4" cm="1">
        <f t="array" ref="AR65">INDEX(GMW!$A$2:$NF$150,MATCH(1,(GMW!$NE$2:$NE$150=AR$3)*(GMW!$ND$2:$ND$150=AR$4)*(GMW!$NF$2:$NF$150=AR$1),0),$C65-1966)</f>
        <v>33.529319999999998</v>
      </c>
      <c r="AS65" s="4" cm="1">
        <f t="array" ref="AS65">INDEX(GMW!$A$2:$NF$150,MATCH(1,(GMW!$NE$2:$NE$150=AS$3)*(GMW!$ND$2:$ND$150=AS$4)*(GMW!$NF$2:$NF$150=AS$1),0),$C65-1966)</f>
        <v>332802</v>
      </c>
      <c r="AT65" s="4" cm="1">
        <f t="array" ref="AT65">INDEX(GMW!$A$2:$NF$150,MATCH(1,(GMW!$NE$2:$NE$150=AT$3)*(GMW!$ND$2:$ND$150=AT$4)*(GMW!$NF$2:$NF$150=AT$1),0),$C65-1966)</f>
        <v>37271.879999999997</v>
      </c>
      <c r="AU65" s="4" cm="1">
        <f t="array" ref="AU65">INDEX(GMW!$A$2:$NF$150,MATCH(1,(GMW!$NE$2:$NE$150=AU$3)*(GMW!$ND$2:$ND$150=AU$4)*(GMW!$NF$2:$NF$150=AU$1),0),$C65-1966)</f>
        <v>1403490</v>
      </c>
      <c r="AV65" s="4" cm="1">
        <f t="array" ref="AV65">INDEX(GMW!$A$2:$NF$150,MATCH(1,(GMW!$NE$2:$NE$150=AV$3)*(GMW!$ND$2:$ND$150=AV$4)*(GMW!$NF$2:$NF$150=AV$1),0),$C65-1966)</f>
        <v>-1.8258129999999999</v>
      </c>
    </row>
    <row r="66" spans="1:48" x14ac:dyDescent="0.25">
      <c r="B66" s="4">
        <f t="shared" si="4"/>
        <v>1987</v>
      </c>
      <c r="C66" s="4">
        <f t="shared" si="5"/>
        <v>2032</v>
      </c>
      <c r="D66" s="4" cm="1">
        <f t="array" ref="D66">INDEX(GMW!$A$2:$NF$150,MATCH(1,(GMW!$NE$2:$NE$150=D$3)*(GMW!$ND$2:$ND$150=D$4)*(GMW!$NF$2:$NF$150=D$1),0),$C66-1966)</f>
        <v>331075</v>
      </c>
      <c r="E66" s="4" cm="1">
        <f t="array" ref="E66">INDEX(GMW!$A$2:$NF$150,MATCH(1,(GMW!$NE$2:$NE$150=E$3)*(GMW!$ND$2:$ND$150=E$4)*(GMW!$NF$2:$NF$150=E$1),0),$C66-1966)</f>
        <v>48.436320000000002</v>
      </c>
      <c r="F66" s="4" cm="1">
        <f t="array" ref="F66">INDEX(GMW!$A$2:$NF$150,MATCH(1,(GMW!$NE$2:$NE$150=F$3)*(GMW!$ND$2:$ND$150=F$4)*(GMW!$NF$2:$NF$150=F$1),0),$C66-1966)</f>
        <v>60226</v>
      </c>
      <c r="G66" s="4" cm="1">
        <f t="array" ref="G66">INDEX(GMW!$A$2:$NF$150,MATCH(1,(GMW!$NE$2:$NE$150=G$3)*(GMW!$ND$2:$ND$150=G$4)*(GMW!$NF$2:$NF$150=G$1),0),$C66-1966)</f>
        <v>18302.36</v>
      </c>
      <c r="H66" s="4" cm="1">
        <f t="array" ref="H66">INDEX(GMW!$A$2:$NF$150,MATCH(1,(GMW!$NE$2:$NE$150=H$3)*(GMW!$ND$2:$ND$150=H$4)*(GMW!$NF$2:$NF$150=H$1),0),$C66-1966)</f>
        <v>56457</v>
      </c>
      <c r="I66" s="4" cm="1">
        <f t="array" ref="I66">INDEX(GMW!$A$2:$NF$150,MATCH(1,(GMW!$NE$2:$NE$150=I$3)*(GMW!$ND$2:$ND$150=I$4)*(GMW!$NF$2:$NF$150=I$1),0),$C66-1966)</f>
        <v>26475.05</v>
      </c>
      <c r="J66" s="4" cm="1">
        <f t="array" ref="J66">INDEX(GMW!$A$2:$NF$150,MATCH(1,(GMW!$NE$2:$NE$150=J$3)*(GMW!$ND$2:$ND$150=J$4)*(GMW!$NF$2:$NF$150=J$1),0),$C66-1966)</f>
        <v>64025</v>
      </c>
      <c r="K66" s="4" cm="1">
        <f t="array" ref="K66">INDEX(GMW!$A$2:$NF$150,MATCH(1,(GMW!$NE$2:$NE$150=K$3)*(GMW!$ND$2:$ND$150=K$4)*(GMW!$NF$2:$NF$150=K$1),0),$C66-1966)</f>
        <v>23907.89</v>
      </c>
      <c r="L66" s="4" cm="1">
        <f t="array" ref="L66">INDEX(GMW!$A$2:$NF$150,MATCH(1,(GMW!$NE$2:$NE$150=L$3)*(GMW!$ND$2:$ND$150=L$4)*(GMW!$NF$2:$NF$150=L$1),0),$C66-1966)</f>
        <v>318346.7</v>
      </c>
      <c r="M66" s="4" cm="1">
        <f t="array" ref="M66">INDEX(GMW!$A$2:$NF$150,MATCH(1,(GMW!$NE$2:$NE$150=M$3)*(GMW!$ND$2:$ND$150=M$4)*(GMW!$NF$2:$NF$150=M$1),0),$C66-1966)</f>
        <v>25625.98</v>
      </c>
      <c r="N66" s="4" cm="1">
        <f t="array" ref="N66">INDEX(GMW!$A$2:$NF$150,MATCH(1,(GMW!$NE$2:$NE$150=N$3)*(GMW!$ND$2:$ND$150=N$4)*(GMW!$NF$2:$NF$150=N$1),0),$C66-1966)</f>
        <v>33.56044</v>
      </c>
      <c r="O66" s="4" cm="1">
        <f t="array" ref="O66">INDEX(GMW!$A$2:$NF$150,MATCH(1,(GMW!$NE$2:$NE$150=O$3)*(GMW!$ND$2:$ND$150=O$4)*(GMW!$NF$2:$NF$150=O$1),0),$C66-1966)</f>
        <v>333979.8</v>
      </c>
      <c r="P66" s="4" cm="1">
        <f t="array" ref="P66">INDEX(GMW!$A$2:$NF$150,MATCH(1,(GMW!$NE$2:$NE$150=P$3)*(GMW!$ND$2:$ND$150=P$4)*(GMW!$NF$2:$NF$150=P$1),0),$C66-1966)</f>
        <v>37280.01</v>
      </c>
      <c r="Q66" s="4" cm="1">
        <f t="array" ref="Q66">INDEX(GMW!$A$2:$NF$150,MATCH(1,(GMW!$NE$2:$NE$150=Q$3)*(GMW!$ND$2:$ND$150=Q$4)*(GMW!$NF$2:$NF$150=Q$1),0),$C66-1966)</f>
        <v>1411249</v>
      </c>
      <c r="R66" s="4" cm="1">
        <f t="array" ref="R66">INDEX(GMW!$A$2:$NF$150,MATCH(1,(GMW!$NE$2:$NE$150=R$3)*(GMW!$ND$2:$ND$150=R$4)*(GMW!$NF$2:$NF$150=R$1),0),$C66-1966)</f>
        <v>-1.823018</v>
      </c>
      <c r="S66" s="4" cm="1">
        <f t="array" ref="S66">INDEX(GMW!$A$2:$NF$150,MATCH(1,(GMW!$NE$2:$NE$150=S$3)*(GMW!$ND$2:$ND$150=S$4)*(GMW!$NF$2:$NF$150=S$1),0),$C66-1966)</f>
        <v>331075</v>
      </c>
      <c r="T66" s="4" cm="1">
        <f t="array" ref="T66">INDEX(GMW!$A$2:$NF$150,MATCH(1,(GMW!$NE$2:$NE$150=T$3)*(GMW!$ND$2:$ND$150=T$4)*(GMW!$NF$2:$NF$150=T$1),0),$C66-1966)</f>
        <v>48.436320000000002</v>
      </c>
      <c r="U66" s="4" cm="1">
        <f t="array" ref="U66">INDEX(GMW!$A$2:$NF$150,MATCH(1,(GMW!$NE$2:$NE$150=U$3)*(GMW!$ND$2:$ND$150=U$4)*(GMW!$NF$2:$NF$150=U$1),0),$C66-1966)</f>
        <v>60226</v>
      </c>
      <c r="V66" s="4" cm="1">
        <f t="array" ref="V66">INDEX(GMW!$A$2:$NF$150,MATCH(1,(GMW!$NE$2:$NE$150=V$3)*(GMW!$ND$2:$ND$150=V$4)*(GMW!$NF$2:$NF$150=V$1),0),$C66-1966)</f>
        <v>18302.36</v>
      </c>
      <c r="W66" s="4" cm="1">
        <f t="array" ref="W66">INDEX(GMW!$A$2:$NF$150,MATCH(1,(GMW!$NE$2:$NE$150=W$3)*(GMW!$ND$2:$ND$150=W$4)*(GMW!$NF$2:$NF$150=W$1),0),$C66-1966)</f>
        <v>56457</v>
      </c>
      <c r="X66" s="4" cm="1">
        <f t="array" ref="X66">INDEX(GMW!$A$2:$NF$150,MATCH(1,(GMW!$NE$2:$NE$150=X$3)*(GMW!$ND$2:$ND$150=X$4)*(GMW!$NF$2:$NF$150=X$1),0),$C66-1966)</f>
        <v>26475.05</v>
      </c>
      <c r="Y66" s="4" cm="1">
        <f t="array" ref="Y66">INDEX(GMW!$A$2:$NF$150,MATCH(1,(GMW!$NE$2:$NE$150=Y$3)*(GMW!$ND$2:$ND$150=Y$4)*(GMW!$NF$2:$NF$150=Y$1),0),$C66-1966)</f>
        <v>64025</v>
      </c>
      <c r="Z66" s="4" cm="1">
        <f t="array" ref="Z66">INDEX(GMW!$A$2:$NF$150,MATCH(1,(GMW!$NE$2:$NE$150=Z$3)*(GMW!$ND$2:$ND$150=Z$4)*(GMW!$NF$2:$NF$150=Z$1),0),$C66-1966)</f>
        <v>23907.89</v>
      </c>
      <c r="AA66" s="4" cm="1">
        <f t="array" ref="AA66">INDEX(GMW!$A$2:$NF$150,MATCH(1,(GMW!$NE$2:$NE$150=AA$3)*(GMW!$ND$2:$ND$150=AA$4)*(GMW!$NF$2:$NF$150=AA$1),0),$C66-1966)</f>
        <v>318346.7</v>
      </c>
      <c r="AB66" s="4" cm="1">
        <f t="array" ref="AB66">INDEX(GMW!$A$2:$NF$150,MATCH(1,(GMW!$NE$2:$NE$150=AB$3)*(GMW!$ND$2:$ND$150=AB$4)*(GMW!$NF$2:$NF$150=AB$1),0),$C66-1966)</f>
        <v>25625.98</v>
      </c>
      <c r="AC66" s="4" cm="1">
        <f t="array" ref="AC66">INDEX(GMW!$A$2:$NF$150,MATCH(1,(GMW!$NE$2:$NE$150=AC$3)*(GMW!$ND$2:$ND$150=AC$4)*(GMW!$NF$2:$NF$150=AC$1),0),$C66-1966)</f>
        <v>33.56044</v>
      </c>
      <c r="AD66" s="4" cm="1">
        <f t="array" ref="AD66">INDEX(GMW!$A$2:$NF$150,MATCH(1,(GMW!$NE$2:$NE$150=AD$3)*(GMW!$ND$2:$ND$150=AD$4)*(GMW!$NF$2:$NF$150=AD$1),0),$C66-1966)</f>
        <v>333979.8</v>
      </c>
      <c r="AE66" s="4" cm="1">
        <f t="array" ref="AE66">INDEX(GMW!$A$2:$NF$150,MATCH(1,(GMW!$NE$2:$NE$150=AE$3)*(GMW!$ND$2:$ND$150=AE$4)*(GMW!$NF$2:$NF$150=AE$1),0),$C66-1966)</f>
        <v>37280.01</v>
      </c>
      <c r="AF66" s="4" cm="1">
        <f t="array" ref="AF66">INDEX(GMW!$A$2:$NF$150,MATCH(1,(GMW!$NE$2:$NE$150=AF$3)*(GMW!$ND$2:$ND$150=AF$4)*(GMW!$NF$2:$NF$150=AF$1),0),$C66-1966)</f>
        <v>1411249</v>
      </c>
      <c r="AG66" s="4" cm="1">
        <f t="array" ref="AG66">INDEX(GMW!$A$2:$NF$150,MATCH(1,(GMW!$NE$2:$NE$150=AG$3)*(GMW!$ND$2:$ND$150=AG$4)*(GMW!$NF$2:$NF$150=AG$1),0),$C66-1966)</f>
        <v>-1.823018</v>
      </c>
      <c r="AH66" s="4" cm="1">
        <f t="array" ref="AH66">INDEX(GMW!$A$2:$NF$150,MATCH(1,(GMW!$NE$2:$NE$150=AH$3)*(GMW!$ND$2:$ND$150=AH$4)*(GMW!$NF$2:$NF$150=AH$1),0),$C66-1966)</f>
        <v>331075</v>
      </c>
      <c r="AI66" s="4" cm="1">
        <f t="array" ref="AI66">INDEX(GMW!$A$2:$NF$150,MATCH(1,(GMW!$NE$2:$NE$150=AI$3)*(GMW!$ND$2:$ND$150=AI$4)*(GMW!$NF$2:$NF$150=AI$1),0),$C66-1966)</f>
        <v>48.436320000000002</v>
      </c>
      <c r="AJ66" s="4" cm="1">
        <f t="array" ref="AJ66">INDEX(GMW!$A$2:$NF$150,MATCH(1,(GMW!$NE$2:$NE$150=AJ$3)*(GMW!$ND$2:$ND$150=AJ$4)*(GMW!$NF$2:$NF$150=AJ$1),0),$C66-1966)</f>
        <v>60226</v>
      </c>
      <c r="AK66" s="4" cm="1">
        <f t="array" ref="AK66">INDEX(GMW!$A$2:$NF$150,MATCH(1,(GMW!$NE$2:$NE$150=AK$3)*(GMW!$ND$2:$ND$150=AK$4)*(GMW!$NF$2:$NF$150=AK$1),0),$C66-1966)</f>
        <v>18302.36</v>
      </c>
      <c r="AL66" s="4" cm="1">
        <f t="array" ref="AL66">INDEX(GMW!$A$2:$NF$150,MATCH(1,(GMW!$NE$2:$NE$150=AL$3)*(GMW!$ND$2:$ND$150=AL$4)*(GMW!$NF$2:$NF$150=AL$1),0),$C66-1966)</f>
        <v>56457</v>
      </c>
      <c r="AM66" s="4" cm="1">
        <f t="array" ref="AM66">INDEX(GMW!$A$2:$NF$150,MATCH(1,(GMW!$NE$2:$NE$150=AM$3)*(GMW!$ND$2:$ND$150=AM$4)*(GMW!$NF$2:$NF$150=AM$1),0),$C66-1966)</f>
        <v>26475.05</v>
      </c>
      <c r="AN66" s="4" cm="1">
        <f t="array" ref="AN66">INDEX(GMW!$A$2:$NF$150,MATCH(1,(GMW!$NE$2:$NE$150=AN$3)*(GMW!$ND$2:$ND$150=AN$4)*(GMW!$NF$2:$NF$150=AN$1),0),$C66-1966)</f>
        <v>64025</v>
      </c>
      <c r="AO66" s="4" cm="1">
        <f t="array" ref="AO66">INDEX(GMW!$A$2:$NF$150,MATCH(1,(GMW!$NE$2:$NE$150=AO$3)*(GMW!$ND$2:$ND$150=AO$4)*(GMW!$NF$2:$NF$150=AO$1),0),$C66-1966)</f>
        <v>23907.89</v>
      </c>
      <c r="AP66" s="4" cm="1">
        <f t="array" ref="AP66">INDEX(GMW!$A$2:$NF$150,MATCH(1,(GMW!$NE$2:$NE$150=AP$3)*(GMW!$ND$2:$ND$150=AP$4)*(GMW!$NF$2:$NF$150=AP$1),0),$C66-1966)</f>
        <v>318346.7</v>
      </c>
      <c r="AQ66" s="4" cm="1">
        <f t="array" ref="AQ66">INDEX(GMW!$A$2:$NF$150,MATCH(1,(GMW!$NE$2:$NE$150=AQ$3)*(GMW!$ND$2:$ND$150=AQ$4)*(GMW!$NF$2:$NF$150=AQ$1),0),$C66-1966)</f>
        <v>25625.98</v>
      </c>
      <c r="AR66" s="4" cm="1">
        <f t="array" ref="AR66">INDEX(GMW!$A$2:$NF$150,MATCH(1,(GMW!$NE$2:$NE$150=AR$3)*(GMW!$ND$2:$ND$150=AR$4)*(GMW!$NF$2:$NF$150=AR$1),0),$C66-1966)</f>
        <v>33.56044</v>
      </c>
      <c r="AS66" s="4" cm="1">
        <f t="array" ref="AS66">INDEX(GMW!$A$2:$NF$150,MATCH(1,(GMW!$NE$2:$NE$150=AS$3)*(GMW!$ND$2:$ND$150=AS$4)*(GMW!$NF$2:$NF$150=AS$1),0),$C66-1966)</f>
        <v>333979.8</v>
      </c>
      <c r="AT66" s="4" cm="1">
        <f t="array" ref="AT66">INDEX(GMW!$A$2:$NF$150,MATCH(1,(GMW!$NE$2:$NE$150=AT$3)*(GMW!$ND$2:$ND$150=AT$4)*(GMW!$NF$2:$NF$150=AT$1),0),$C66-1966)</f>
        <v>37280.01</v>
      </c>
      <c r="AU66" s="4" cm="1">
        <f t="array" ref="AU66">INDEX(GMW!$A$2:$NF$150,MATCH(1,(GMW!$NE$2:$NE$150=AU$3)*(GMW!$ND$2:$ND$150=AU$4)*(GMW!$NF$2:$NF$150=AU$1),0),$C66-1966)</f>
        <v>1411249</v>
      </c>
      <c r="AV66" s="4" cm="1">
        <f t="array" ref="AV66">INDEX(GMW!$A$2:$NF$150,MATCH(1,(GMW!$NE$2:$NE$150=AV$3)*(GMW!$ND$2:$ND$150=AV$4)*(GMW!$NF$2:$NF$150=AV$1),0),$C66-1966)</f>
        <v>-1.823018</v>
      </c>
    </row>
    <row r="67" spans="1:48" x14ac:dyDescent="0.25">
      <c r="A67" s="4">
        <v>1988</v>
      </c>
      <c r="B67" s="4">
        <f t="shared" si="4"/>
        <v>1988</v>
      </c>
      <c r="C67" s="4">
        <f t="shared" si="5"/>
        <v>2033</v>
      </c>
      <c r="D67" s="4" cm="1">
        <f t="array" ref="D67">INDEX(GMW!$A$2:$NF$150,MATCH(1,(GMW!$NE$2:$NE$150=D$3)*(GMW!$ND$2:$ND$150=D$4)*(GMW!$NF$2:$NF$150=D$1),0),$C67-1966)</f>
        <v>336442</v>
      </c>
      <c r="E67" s="4" cm="1">
        <f t="array" ref="E67">INDEX(GMW!$A$2:$NF$150,MATCH(1,(GMW!$NE$2:$NE$150=E$3)*(GMW!$ND$2:$ND$150=E$4)*(GMW!$NF$2:$NF$150=E$1),0),$C67-1966)</f>
        <v>48.566670000000002</v>
      </c>
      <c r="F67" s="4" cm="1">
        <f t="array" ref="F67">INDEX(GMW!$A$2:$NF$150,MATCH(1,(GMW!$NE$2:$NE$150=F$3)*(GMW!$ND$2:$ND$150=F$4)*(GMW!$NF$2:$NF$150=F$1),0),$C67-1966)</f>
        <v>59215</v>
      </c>
      <c r="G67" s="4" cm="1">
        <f t="array" ref="G67">INDEX(GMW!$A$2:$NF$150,MATCH(1,(GMW!$NE$2:$NE$150=G$3)*(GMW!$ND$2:$ND$150=G$4)*(GMW!$NF$2:$NF$150=G$1),0),$C67-1966)</f>
        <v>18628.419999999998</v>
      </c>
      <c r="H67" s="4" cm="1">
        <f t="array" ref="H67">INDEX(GMW!$A$2:$NF$150,MATCH(1,(GMW!$NE$2:$NE$150=H$3)*(GMW!$ND$2:$ND$150=H$4)*(GMW!$NF$2:$NF$150=H$1),0),$C67-1966)</f>
        <v>57025</v>
      </c>
      <c r="I67" s="4" cm="1">
        <f t="array" ref="I67">INDEX(GMW!$A$2:$NF$150,MATCH(1,(GMW!$NE$2:$NE$150=I$3)*(GMW!$ND$2:$ND$150=I$4)*(GMW!$NF$2:$NF$150=I$1),0),$C67-1966)</f>
        <v>28135.82</v>
      </c>
      <c r="J67" s="4" cm="1">
        <f t="array" ref="J67">INDEX(GMW!$A$2:$NF$150,MATCH(1,(GMW!$NE$2:$NE$150=J$3)*(GMW!$ND$2:$ND$150=J$4)*(GMW!$NF$2:$NF$150=J$1),0),$C67-1966)</f>
        <v>67204</v>
      </c>
      <c r="K67" s="4" cm="1">
        <f t="array" ref="K67">INDEX(GMW!$A$2:$NF$150,MATCH(1,(GMW!$NE$2:$NE$150=K$3)*(GMW!$ND$2:$ND$150=K$4)*(GMW!$NF$2:$NF$150=K$1),0),$C67-1966)</f>
        <v>24942.46</v>
      </c>
      <c r="L67" s="4" cm="1">
        <f t="array" ref="L67">INDEX(GMW!$A$2:$NF$150,MATCH(1,(GMW!$NE$2:$NE$150=L$3)*(GMW!$ND$2:$ND$150=L$4)*(GMW!$NF$2:$NF$150=L$1),0),$C67-1966)</f>
        <v>321347.3</v>
      </c>
      <c r="M67" s="4" cm="1">
        <f t="array" ref="M67">INDEX(GMW!$A$2:$NF$150,MATCH(1,(GMW!$NE$2:$NE$150=M$3)*(GMW!$ND$2:$ND$150=M$4)*(GMW!$NF$2:$NF$150=M$1),0),$C67-1966)</f>
        <v>25709.24</v>
      </c>
      <c r="N67" s="4" cm="1">
        <f t="array" ref="N67">INDEX(GMW!$A$2:$NF$150,MATCH(1,(GMW!$NE$2:$NE$150=N$3)*(GMW!$ND$2:$ND$150=N$4)*(GMW!$NF$2:$NF$150=N$1),0),$C67-1966)</f>
        <v>33.640830000000001</v>
      </c>
      <c r="O67" s="4" cm="1">
        <f t="array" ref="O67">INDEX(GMW!$A$2:$NF$150,MATCH(1,(GMW!$NE$2:$NE$150=O$3)*(GMW!$ND$2:$ND$150=O$4)*(GMW!$NF$2:$NF$150=O$1),0),$C67-1966)</f>
        <v>335165.2</v>
      </c>
      <c r="P67" s="4" cm="1">
        <f t="array" ref="P67">INDEX(GMW!$A$2:$NF$150,MATCH(1,(GMW!$NE$2:$NE$150=P$3)*(GMW!$ND$2:$ND$150=P$4)*(GMW!$NF$2:$NF$150=P$1),0),$C67-1966)</f>
        <v>37288.14</v>
      </c>
      <c r="Q67" s="4" cm="1">
        <f t="array" ref="Q67">INDEX(GMW!$A$2:$NF$150,MATCH(1,(GMW!$NE$2:$NE$150=Q$3)*(GMW!$ND$2:$ND$150=Q$4)*(GMW!$NF$2:$NF$150=Q$1),0),$C67-1966)</f>
        <v>1422400</v>
      </c>
      <c r="R67" s="4" cm="1">
        <f t="array" ref="R67">INDEX(GMW!$A$2:$NF$150,MATCH(1,(GMW!$NE$2:$NE$150=R$3)*(GMW!$ND$2:$ND$150=R$4)*(GMW!$NF$2:$NF$150=R$1),0),$C67-1966)</f>
        <v>-1.820227</v>
      </c>
      <c r="S67" s="4" cm="1">
        <f t="array" ref="S67">INDEX(GMW!$A$2:$NF$150,MATCH(1,(GMW!$NE$2:$NE$150=S$3)*(GMW!$ND$2:$ND$150=S$4)*(GMW!$NF$2:$NF$150=S$1),0),$C67-1966)</f>
        <v>336442</v>
      </c>
      <c r="T67" s="4" cm="1">
        <f t="array" ref="T67">INDEX(GMW!$A$2:$NF$150,MATCH(1,(GMW!$NE$2:$NE$150=T$3)*(GMW!$ND$2:$ND$150=T$4)*(GMW!$NF$2:$NF$150=T$1),0),$C67-1966)</f>
        <v>48.566670000000002</v>
      </c>
      <c r="U67" s="4" cm="1">
        <f t="array" ref="U67">INDEX(GMW!$A$2:$NF$150,MATCH(1,(GMW!$NE$2:$NE$150=U$3)*(GMW!$ND$2:$ND$150=U$4)*(GMW!$NF$2:$NF$150=U$1),0),$C67-1966)</f>
        <v>59215</v>
      </c>
      <c r="V67" s="4" cm="1">
        <f t="array" ref="V67">INDEX(GMW!$A$2:$NF$150,MATCH(1,(GMW!$NE$2:$NE$150=V$3)*(GMW!$ND$2:$ND$150=V$4)*(GMW!$NF$2:$NF$150=V$1),0),$C67-1966)</f>
        <v>18628.419999999998</v>
      </c>
      <c r="W67" s="4" cm="1">
        <f t="array" ref="W67">INDEX(GMW!$A$2:$NF$150,MATCH(1,(GMW!$NE$2:$NE$150=W$3)*(GMW!$ND$2:$ND$150=W$4)*(GMW!$NF$2:$NF$150=W$1),0),$C67-1966)</f>
        <v>57025</v>
      </c>
      <c r="X67" s="4" cm="1">
        <f t="array" ref="X67">INDEX(GMW!$A$2:$NF$150,MATCH(1,(GMW!$NE$2:$NE$150=X$3)*(GMW!$ND$2:$ND$150=X$4)*(GMW!$NF$2:$NF$150=X$1),0),$C67-1966)</f>
        <v>28135.82</v>
      </c>
      <c r="Y67" s="4" cm="1">
        <f t="array" ref="Y67">INDEX(GMW!$A$2:$NF$150,MATCH(1,(GMW!$NE$2:$NE$150=Y$3)*(GMW!$ND$2:$ND$150=Y$4)*(GMW!$NF$2:$NF$150=Y$1),0),$C67-1966)</f>
        <v>67204</v>
      </c>
      <c r="Z67" s="4" cm="1">
        <f t="array" ref="Z67">INDEX(GMW!$A$2:$NF$150,MATCH(1,(GMW!$NE$2:$NE$150=Z$3)*(GMW!$ND$2:$ND$150=Z$4)*(GMW!$NF$2:$NF$150=Z$1),0),$C67-1966)</f>
        <v>24942.46</v>
      </c>
      <c r="AA67" s="4" cm="1">
        <f t="array" ref="AA67">INDEX(GMW!$A$2:$NF$150,MATCH(1,(GMW!$NE$2:$NE$150=AA$3)*(GMW!$ND$2:$ND$150=AA$4)*(GMW!$NF$2:$NF$150=AA$1),0),$C67-1966)</f>
        <v>321347.3</v>
      </c>
      <c r="AB67" s="4" cm="1">
        <f t="array" ref="AB67">INDEX(GMW!$A$2:$NF$150,MATCH(1,(GMW!$NE$2:$NE$150=AB$3)*(GMW!$ND$2:$ND$150=AB$4)*(GMW!$NF$2:$NF$150=AB$1),0),$C67-1966)</f>
        <v>25709.24</v>
      </c>
      <c r="AC67" s="4" cm="1">
        <f t="array" ref="AC67">INDEX(GMW!$A$2:$NF$150,MATCH(1,(GMW!$NE$2:$NE$150=AC$3)*(GMW!$ND$2:$ND$150=AC$4)*(GMW!$NF$2:$NF$150=AC$1),0),$C67-1966)</f>
        <v>33.640830000000001</v>
      </c>
      <c r="AD67" s="4" cm="1">
        <f t="array" ref="AD67">INDEX(GMW!$A$2:$NF$150,MATCH(1,(GMW!$NE$2:$NE$150=AD$3)*(GMW!$ND$2:$ND$150=AD$4)*(GMW!$NF$2:$NF$150=AD$1),0),$C67-1966)</f>
        <v>335165.2</v>
      </c>
      <c r="AE67" s="4" cm="1">
        <f t="array" ref="AE67">INDEX(GMW!$A$2:$NF$150,MATCH(1,(GMW!$NE$2:$NE$150=AE$3)*(GMW!$ND$2:$ND$150=AE$4)*(GMW!$NF$2:$NF$150=AE$1),0),$C67-1966)</f>
        <v>37288.14</v>
      </c>
      <c r="AF67" s="4" cm="1">
        <f t="array" ref="AF67">INDEX(GMW!$A$2:$NF$150,MATCH(1,(GMW!$NE$2:$NE$150=AF$3)*(GMW!$ND$2:$ND$150=AF$4)*(GMW!$NF$2:$NF$150=AF$1),0),$C67-1966)</f>
        <v>1422400</v>
      </c>
      <c r="AG67" s="4" cm="1">
        <f t="array" ref="AG67">INDEX(GMW!$A$2:$NF$150,MATCH(1,(GMW!$NE$2:$NE$150=AG$3)*(GMW!$ND$2:$ND$150=AG$4)*(GMW!$NF$2:$NF$150=AG$1),0),$C67-1966)</f>
        <v>-1.820227</v>
      </c>
      <c r="AH67" s="4" cm="1">
        <f t="array" ref="AH67">INDEX(GMW!$A$2:$NF$150,MATCH(1,(GMW!$NE$2:$NE$150=AH$3)*(GMW!$ND$2:$ND$150=AH$4)*(GMW!$NF$2:$NF$150=AH$1),0),$C67-1966)</f>
        <v>336442</v>
      </c>
      <c r="AI67" s="4" cm="1">
        <f t="array" ref="AI67">INDEX(GMW!$A$2:$NF$150,MATCH(1,(GMW!$NE$2:$NE$150=AI$3)*(GMW!$ND$2:$ND$150=AI$4)*(GMW!$NF$2:$NF$150=AI$1),0),$C67-1966)</f>
        <v>48.566670000000002</v>
      </c>
      <c r="AJ67" s="4" cm="1">
        <f t="array" ref="AJ67">INDEX(GMW!$A$2:$NF$150,MATCH(1,(GMW!$NE$2:$NE$150=AJ$3)*(GMW!$ND$2:$ND$150=AJ$4)*(GMW!$NF$2:$NF$150=AJ$1),0),$C67-1966)</f>
        <v>59215</v>
      </c>
      <c r="AK67" s="4" cm="1">
        <f t="array" ref="AK67">INDEX(GMW!$A$2:$NF$150,MATCH(1,(GMW!$NE$2:$NE$150=AK$3)*(GMW!$ND$2:$ND$150=AK$4)*(GMW!$NF$2:$NF$150=AK$1),0),$C67-1966)</f>
        <v>18628.419999999998</v>
      </c>
      <c r="AL67" s="4" cm="1">
        <f t="array" ref="AL67">INDEX(GMW!$A$2:$NF$150,MATCH(1,(GMW!$NE$2:$NE$150=AL$3)*(GMW!$ND$2:$ND$150=AL$4)*(GMW!$NF$2:$NF$150=AL$1),0),$C67-1966)</f>
        <v>57025</v>
      </c>
      <c r="AM67" s="4" cm="1">
        <f t="array" ref="AM67">INDEX(GMW!$A$2:$NF$150,MATCH(1,(GMW!$NE$2:$NE$150=AM$3)*(GMW!$ND$2:$ND$150=AM$4)*(GMW!$NF$2:$NF$150=AM$1),0),$C67-1966)</f>
        <v>28135.82</v>
      </c>
      <c r="AN67" s="4" cm="1">
        <f t="array" ref="AN67">INDEX(GMW!$A$2:$NF$150,MATCH(1,(GMW!$NE$2:$NE$150=AN$3)*(GMW!$ND$2:$ND$150=AN$4)*(GMW!$NF$2:$NF$150=AN$1),0),$C67-1966)</f>
        <v>67204</v>
      </c>
      <c r="AO67" s="4" cm="1">
        <f t="array" ref="AO67">INDEX(GMW!$A$2:$NF$150,MATCH(1,(GMW!$NE$2:$NE$150=AO$3)*(GMW!$ND$2:$ND$150=AO$4)*(GMW!$NF$2:$NF$150=AO$1),0),$C67-1966)</f>
        <v>24942.46</v>
      </c>
      <c r="AP67" s="4" cm="1">
        <f t="array" ref="AP67">INDEX(GMW!$A$2:$NF$150,MATCH(1,(GMW!$NE$2:$NE$150=AP$3)*(GMW!$ND$2:$ND$150=AP$4)*(GMW!$NF$2:$NF$150=AP$1),0),$C67-1966)</f>
        <v>321347.3</v>
      </c>
      <c r="AQ67" s="4" cm="1">
        <f t="array" ref="AQ67">INDEX(GMW!$A$2:$NF$150,MATCH(1,(GMW!$NE$2:$NE$150=AQ$3)*(GMW!$ND$2:$ND$150=AQ$4)*(GMW!$NF$2:$NF$150=AQ$1),0),$C67-1966)</f>
        <v>25709.24</v>
      </c>
      <c r="AR67" s="4" cm="1">
        <f t="array" ref="AR67">INDEX(GMW!$A$2:$NF$150,MATCH(1,(GMW!$NE$2:$NE$150=AR$3)*(GMW!$ND$2:$ND$150=AR$4)*(GMW!$NF$2:$NF$150=AR$1),0),$C67-1966)</f>
        <v>33.640830000000001</v>
      </c>
      <c r="AS67" s="4" cm="1">
        <f t="array" ref="AS67">INDEX(GMW!$A$2:$NF$150,MATCH(1,(GMW!$NE$2:$NE$150=AS$3)*(GMW!$ND$2:$ND$150=AS$4)*(GMW!$NF$2:$NF$150=AS$1),0),$C67-1966)</f>
        <v>335165.2</v>
      </c>
      <c r="AT67" s="4" cm="1">
        <f t="array" ref="AT67">INDEX(GMW!$A$2:$NF$150,MATCH(1,(GMW!$NE$2:$NE$150=AT$3)*(GMW!$ND$2:$ND$150=AT$4)*(GMW!$NF$2:$NF$150=AT$1),0),$C67-1966)</f>
        <v>37288.14</v>
      </c>
      <c r="AU67" s="4" cm="1">
        <f t="array" ref="AU67">INDEX(GMW!$A$2:$NF$150,MATCH(1,(GMW!$NE$2:$NE$150=AU$3)*(GMW!$ND$2:$ND$150=AU$4)*(GMW!$NF$2:$NF$150=AU$1),0),$C67-1966)</f>
        <v>1422400</v>
      </c>
      <c r="AV67" s="4" cm="1">
        <f t="array" ref="AV67">INDEX(GMW!$A$2:$NF$150,MATCH(1,(GMW!$NE$2:$NE$150=AV$3)*(GMW!$ND$2:$ND$150=AV$4)*(GMW!$NF$2:$NF$150=AV$1),0),$C67-1966)</f>
        <v>-1.820227</v>
      </c>
    </row>
    <row r="68" spans="1:48" x14ac:dyDescent="0.25">
      <c r="B68" s="4">
        <f t="shared" si="4"/>
        <v>1988</v>
      </c>
      <c r="C68" s="4">
        <f t="shared" si="5"/>
        <v>2034</v>
      </c>
      <c r="D68" s="4" cm="1">
        <f t="array" ref="D68">INDEX(GMW!$A$2:$NF$150,MATCH(1,(GMW!$NE$2:$NE$150=D$3)*(GMW!$ND$2:$ND$150=D$4)*(GMW!$NF$2:$NF$150=D$1),0),$C68-1966)</f>
        <v>338186</v>
      </c>
      <c r="E68" s="4" cm="1">
        <f t="array" ref="E68">INDEX(GMW!$A$2:$NF$150,MATCH(1,(GMW!$NE$2:$NE$150=E$3)*(GMW!$ND$2:$ND$150=E$4)*(GMW!$NF$2:$NF$150=E$1),0),$C68-1966)</f>
        <v>49.5</v>
      </c>
      <c r="F68" s="4" cm="1">
        <f t="array" ref="F68">INDEX(GMW!$A$2:$NF$150,MATCH(1,(GMW!$NE$2:$NE$150=F$3)*(GMW!$ND$2:$ND$150=F$4)*(GMW!$NF$2:$NF$150=F$1),0),$C68-1966)</f>
        <v>60427</v>
      </c>
      <c r="G68" s="4" cm="1">
        <f t="array" ref="G68">INDEX(GMW!$A$2:$NF$150,MATCH(1,(GMW!$NE$2:$NE$150=G$3)*(GMW!$ND$2:$ND$150=G$4)*(GMW!$NF$2:$NF$150=G$1),0),$C68-1966)</f>
        <v>19847.419999999998</v>
      </c>
      <c r="H68" s="4" cm="1">
        <f t="array" ref="H68">INDEX(GMW!$A$2:$NF$150,MATCH(1,(GMW!$NE$2:$NE$150=H$3)*(GMW!$ND$2:$ND$150=H$4)*(GMW!$NF$2:$NF$150=H$1),0),$C68-1966)</f>
        <v>59388</v>
      </c>
      <c r="I68" s="4" cm="1">
        <f t="array" ref="I68">INDEX(GMW!$A$2:$NF$150,MATCH(1,(GMW!$NE$2:$NE$150=I$3)*(GMW!$ND$2:$ND$150=I$4)*(GMW!$NF$2:$NF$150=I$1),0),$C68-1966)</f>
        <v>30195.9</v>
      </c>
      <c r="J68" s="4" cm="1">
        <f t="array" ref="J68">INDEX(GMW!$A$2:$NF$150,MATCH(1,(GMW!$NE$2:$NE$150=J$3)*(GMW!$ND$2:$ND$150=J$4)*(GMW!$NF$2:$NF$150=J$1),0),$C68-1966)</f>
        <v>68999</v>
      </c>
      <c r="K68" s="4" cm="1">
        <f t="array" ref="K68">INDEX(GMW!$A$2:$NF$150,MATCH(1,(GMW!$NE$2:$NE$150=K$3)*(GMW!$ND$2:$ND$150=K$4)*(GMW!$NF$2:$NF$150=K$1),0),$C68-1966)</f>
        <v>26202.3</v>
      </c>
      <c r="L68" s="4" cm="1">
        <f t="array" ref="L68">INDEX(GMW!$A$2:$NF$150,MATCH(1,(GMW!$NE$2:$NE$150=L$3)*(GMW!$ND$2:$ND$150=L$4)*(GMW!$NF$2:$NF$150=L$1),0),$C68-1966)</f>
        <v>324058.90000000002</v>
      </c>
      <c r="M68" s="4" cm="1">
        <f t="array" ref="M68">INDEX(GMW!$A$2:$NF$150,MATCH(1,(GMW!$NE$2:$NE$150=M$3)*(GMW!$ND$2:$ND$150=M$4)*(GMW!$NF$2:$NF$150=M$1),0),$C68-1966)</f>
        <v>25756.3</v>
      </c>
      <c r="N68" s="4" cm="1">
        <f t="array" ref="N68">INDEX(GMW!$A$2:$NF$150,MATCH(1,(GMW!$NE$2:$NE$150=N$3)*(GMW!$ND$2:$ND$150=N$4)*(GMW!$NF$2:$NF$150=N$1),0),$C68-1966)</f>
        <v>33.677129999999998</v>
      </c>
      <c r="O68" s="4" cm="1">
        <f t="array" ref="O68">INDEX(GMW!$A$2:$NF$150,MATCH(1,(GMW!$NE$2:$NE$150=O$3)*(GMW!$ND$2:$ND$150=O$4)*(GMW!$NF$2:$NF$150=O$1),0),$C68-1966)</f>
        <v>336326.1</v>
      </c>
      <c r="P68" s="4" cm="1">
        <f t="array" ref="P68">INDEX(GMW!$A$2:$NF$150,MATCH(1,(GMW!$NE$2:$NE$150=P$3)*(GMW!$ND$2:$ND$150=P$4)*(GMW!$NF$2:$NF$150=P$1),0),$C68-1966)</f>
        <v>37296.269999999997</v>
      </c>
      <c r="Q68" s="4" cm="1">
        <f t="array" ref="Q68">INDEX(GMW!$A$2:$NF$150,MATCH(1,(GMW!$NE$2:$NE$150=Q$3)*(GMW!$ND$2:$ND$150=Q$4)*(GMW!$NF$2:$NF$150=Q$1),0),$C68-1966)</f>
        <v>1433551</v>
      </c>
      <c r="R68" s="4" cm="1">
        <f t="array" ref="R68">INDEX(GMW!$A$2:$NF$150,MATCH(1,(GMW!$NE$2:$NE$150=R$3)*(GMW!$ND$2:$ND$150=R$4)*(GMW!$NF$2:$NF$150=R$1),0),$C68-1966)</f>
        <v>-1.8174399999999999</v>
      </c>
      <c r="S68" s="4" cm="1">
        <f t="array" ref="S68">INDEX(GMW!$A$2:$NF$150,MATCH(1,(GMW!$NE$2:$NE$150=S$3)*(GMW!$ND$2:$ND$150=S$4)*(GMW!$NF$2:$NF$150=S$1),0),$C68-1966)</f>
        <v>338186</v>
      </c>
      <c r="T68" s="4" cm="1">
        <f t="array" ref="T68">INDEX(GMW!$A$2:$NF$150,MATCH(1,(GMW!$NE$2:$NE$150=T$3)*(GMW!$ND$2:$ND$150=T$4)*(GMW!$NF$2:$NF$150=T$1),0),$C68-1966)</f>
        <v>49.5</v>
      </c>
      <c r="U68" s="4" cm="1">
        <f t="array" ref="U68">INDEX(GMW!$A$2:$NF$150,MATCH(1,(GMW!$NE$2:$NE$150=U$3)*(GMW!$ND$2:$ND$150=U$4)*(GMW!$NF$2:$NF$150=U$1),0),$C68-1966)</f>
        <v>60427</v>
      </c>
      <c r="V68" s="4" cm="1">
        <f t="array" ref="V68">INDEX(GMW!$A$2:$NF$150,MATCH(1,(GMW!$NE$2:$NE$150=V$3)*(GMW!$ND$2:$ND$150=V$4)*(GMW!$NF$2:$NF$150=V$1),0),$C68-1966)</f>
        <v>19847.419999999998</v>
      </c>
      <c r="W68" s="4" cm="1">
        <f t="array" ref="W68">INDEX(GMW!$A$2:$NF$150,MATCH(1,(GMW!$NE$2:$NE$150=W$3)*(GMW!$ND$2:$ND$150=W$4)*(GMW!$NF$2:$NF$150=W$1),0),$C68-1966)</f>
        <v>59388</v>
      </c>
      <c r="X68" s="4" cm="1">
        <f t="array" ref="X68">INDEX(GMW!$A$2:$NF$150,MATCH(1,(GMW!$NE$2:$NE$150=X$3)*(GMW!$ND$2:$ND$150=X$4)*(GMW!$NF$2:$NF$150=X$1),0),$C68-1966)</f>
        <v>30195.9</v>
      </c>
      <c r="Y68" s="4" cm="1">
        <f t="array" ref="Y68">INDEX(GMW!$A$2:$NF$150,MATCH(1,(GMW!$NE$2:$NE$150=Y$3)*(GMW!$ND$2:$ND$150=Y$4)*(GMW!$NF$2:$NF$150=Y$1),0),$C68-1966)</f>
        <v>68999</v>
      </c>
      <c r="Z68" s="4" cm="1">
        <f t="array" ref="Z68">INDEX(GMW!$A$2:$NF$150,MATCH(1,(GMW!$NE$2:$NE$150=Z$3)*(GMW!$ND$2:$ND$150=Z$4)*(GMW!$NF$2:$NF$150=Z$1),0),$C68-1966)</f>
        <v>26202.3</v>
      </c>
      <c r="AA68" s="4" cm="1">
        <f t="array" ref="AA68">INDEX(GMW!$A$2:$NF$150,MATCH(1,(GMW!$NE$2:$NE$150=AA$3)*(GMW!$ND$2:$ND$150=AA$4)*(GMW!$NF$2:$NF$150=AA$1),0),$C68-1966)</f>
        <v>324058.90000000002</v>
      </c>
      <c r="AB68" s="4" cm="1">
        <f t="array" ref="AB68">INDEX(GMW!$A$2:$NF$150,MATCH(1,(GMW!$NE$2:$NE$150=AB$3)*(GMW!$ND$2:$ND$150=AB$4)*(GMW!$NF$2:$NF$150=AB$1),0),$C68-1966)</f>
        <v>25756.3</v>
      </c>
      <c r="AC68" s="4" cm="1">
        <f t="array" ref="AC68">INDEX(GMW!$A$2:$NF$150,MATCH(1,(GMW!$NE$2:$NE$150=AC$3)*(GMW!$ND$2:$ND$150=AC$4)*(GMW!$NF$2:$NF$150=AC$1),0),$C68-1966)</f>
        <v>33.677129999999998</v>
      </c>
      <c r="AD68" s="4" cm="1">
        <f t="array" ref="AD68">INDEX(GMW!$A$2:$NF$150,MATCH(1,(GMW!$NE$2:$NE$150=AD$3)*(GMW!$ND$2:$ND$150=AD$4)*(GMW!$NF$2:$NF$150=AD$1),0),$C68-1966)</f>
        <v>336326.1</v>
      </c>
      <c r="AE68" s="4" cm="1">
        <f t="array" ref="AE68">INDEX(GMW!$A$2:$NF$150,MATCH(1,(GMW!$NE$2:$NE$150=AE$3)*(GMW!$ND$2:$ND$150=AE$4)*(GMW!$NF$2:$NF$150=AE$1),0),$C68-1966)</f>
        <v>37296.269999999997</v>
      </c>
      <c r="AF68" s="4" cm="1">
        <f t="array" ref="AF68">INDEX(GMW!$A$2:$NF$150,MATCH(1,(GMW!$NE$2:$NE$150=AF$3)*(GMW!$ND$2:$ND$150=AF$4)*(GMW!$NF$2:$NF$150=AF$1),0),$C68-1966)</f>
        <v>1433551</v>
      </c>
      <c r="AG68" s="4" cm="1">
        <f t="array" ref="AG68">INDEX(GMW!$A$2:$NF$150,MATCH(1,(GMW!$NE$2:$NE$150=AG$3)*(GMW!$ND$2:$ND$150=AG$4)*(GMW!$NF$2:$NF$150=AG$1),0),$C68-1966)</f>
        <v>-1.8174399999999999</v>
      </c>
      <c r="AH68" s="4" cm="1">
        <f t="array" ref="AH68">INDEX(GMW!$A$2:$NF$150,MATCH(1,(GMW!$NE$2:$NE$150=AH$3)*(GMW!$ND$2:$ND$150=AH$4)*(GMW!$NF$2:$NF$150=AH$1),0),$C68-1966)</f>
        <v>338186</v>
      </c>
      <c r="AI68" s="4" cm="1">
        <f t="array" ref="AI68">INDEX(GMW!$A$2:$NF$150,MATCH(1,(GMW!$NE$2:$NE$150=AI$3)*(GMW!$ND$2:$ND$150=AI$4)*(GMW!$NF$2:$NF$150=AI$1),0),$C68-1966)</f>
        <v>49.5</v>
      </c>
      <c r="AJ68" s="4" cm="1">
        <f t="array" ref="AJ68">INDEX(GMW!$A$2:$NF$150,MATCH(1,(GMW!$NE$2:$NE$150=AJ$3)*(GMW!$ND$2:$ND$150=AJ$4)*(GMW!$NF$2:$NF$150=AJ$1),0),$C68-1966)</f>
        <v>60427</v>
      </c>
      <c r="AK68" s="4" cm="1">
        <f t="array" ref="AK68">INDEX(GMW!$A$2:$NF$150,MATCH(1,(GMW!$NE$2:$NE$150=AK$3)*(GMW!$ND$2:$ND$150=AK$4)*(GMW!$NF$2:$NF$150=AK$1),0),$C68-1966)</f>
        <v>19847.419999999998</v>
      </c>
      <c r="AL68" s="4" cm="1">
        <f t="array" ref="AL68">INDEX(GMW!$A$2:$NF$150,MATCH(1,(GMW!$NE$2:$NE$150=AL$3)*(GMW!$ND$2:$ND$150=AL$4)*(GMW!$NF$2:$NF$150=AL$1),0),$C68-1966)</f>
        <v>59388</v>
      </c>
      <c r="AM68" s="4" cm="1">
        <f t="array" ref="AM68">INDEX(GMW!$A$2:$NF$150,MATCH(1,(GMW!$NE$2:$NE$150=AM$3)*(GMW!$ND$2:$ND$150=AM$4)*(GMW!$NF$2:$NF$150=AM$1),0),$C68-1966)</f>
        <v>30195.9</v>
      </c>
      <c r="AN68" s="4" cm="1">
        <f t="array" ref="AN68">INDEX(GMW!$A$2:$NF$150,MATCH(1,(GMW!$NE$2:$NE$150=AN$3)*(GMW!$ND$2:$ND$150=AN$4)*(GMW!$NF$2:$NF$150=AN$1),0),$C68-1966)</f>
        <v>68999</v>
      </c>
      <c r="AO68" s="4" cm="1">
        <f t="array" ref="AO68">INDEX(GMW!$A$2:$NF$150,MATCH(1,(GMW!$NE$2:$NE$150=AO$3)*(GMW!$ND$2:$ND$150=AO$4)*(GMW!$NF$2:$NF$150=AO$1),0),$C68-1966)</f>
        <v>26202.3</v>
      </c>
      <c r="AP68" s="4" cm="1">
        <f t="array" ref="AP68">INDEX(GMW!$A$2:$NF$150,MATCH(1,(GMW!$NE$2:$NE$150=AP$3)*(GMW!$ND$2:$ND$150=AP$4)*(GMW!$NF$2:$NF$150=AP$1),0),$C68-1966)</f>
        <v>324058.90000000002</v>
      </c>
      <c r="AQ68" s="4" cm="1">
        <f t="array" ref="AQ68">INDEX(GMW!$A$2:$NF$150,MATCH(1,(GMW!$NE$2:$NE$150=AQ$3)*(GMW!$ND$2:$ND$150=AQ$4)*(GMW!$NF$2:$NF$150=AQ$1),0),$C68-1966)</f>
        <v>25756.3</v>
      </c>
      <c r="AR68" s="4" cm="1">
        <f t="array" ref="AR68">INDEX(GMW!$A$2:$NF$150,MATCH(1,(GMW!$NE$2:$NE$150=AR$3)*(GMW!$ND$2:$ND$150=AR$4)*(GMW!$NF$2:$NF$150=AR$1),0),$C68-1966)</f>
        <v>33.677129999999998</v>
      </c>
      <c r="AS68" s="4" cm="1">
        <f t="array" ref="AS68">INDEX(GMW!$A$2:$NF$150,MATCH(1,(GMW!$NE$2:$NE$150=AS$3)*(GMW!$ND$2:$ND$150=AS$4)*(GMW!$NF$2:$NF$150=AS$1),0),$C68-1966)</f>
        <v>336326.1</v>
      </c>
      <c r="AT68" s="4" cm="1">
        <f t="array" ref="AT68">INDEX(GMW!$A$2:$NF$150,MATCH(1,(GMW!$NE$2:$NE$150=AT$3)*(GMW!$ND$2:$ND$150=AT$4)*(GMW!$NF$2:$NF$150=AT$1),0),$C68-1966)</f>
        <v>37296.269999999997</v>
      </c>
      <c r="AU68" s="4" cm="1">
        <f t="array" ref="AU68">INDEX(GMW!$A$2:$NF$150,MATCH(1,(GMW!$NE$2:$NE$150=AU$3)*(GMW!$ND$2:$ND$150=AU$4)*(GMW!$NF$2:$NF$150=AU$1),0),$C68-1966)</f>
        <v>1433551</v>
      </c>
      <c r="AV68" s="4" cm="1">
        <f t="array" ref="AV68">INDEX(GMW!$A$2:$NF$150,MATCH(1,(GMW!$NE$2:$NE$150=AV$3)*(GMW!$ND$2:$ND$150=AV$4)*(GMW!$NF$2:$NF$150=AV$1),0),$C68-1966)</f>
        <v>-1.8174399999999999</v>
      </c>
    </row>
    <row r="69" spans="1:48" x14ac:dyDescent="0.25">
      <c r="B69" s="4">
        <f t="shared" si="4"/>
        <v>1988</v>
      </c>
      <c r="C69" s="4">
        <f t="shared" si="5"/>
        <v>2035</v>
      </c>
      <c r="D69" s="4" cm="1">
        <f t="array" ref="D69">INDEX(GMW!$A$2:$NF$150,MATCH(1,(GMW!$NE$2:$NE$150=D$3)*(GMW!$ND$2:$ND$150=D$4)*(GMW!$NF$2:$NF$150=D$1),0),$C69-1966)</f>
        <v>342414</v>
      </c>
      <c r="E69" s="4" cm="1">
        <f t="array" ref="E69">INDEX(GMW!$A$2:$NF$150,MATCH(1,(GMW!$NE$2:$NE$150=E$3)*(GMW!$ND$2:$ND$150=E$4)*(GMW!$NF$2:$NF$150=E$1),0),$C69-1966)</f>
        <v>49.9</v>
      </c>
      <c r="F69" s="4" cm="1">
        <f t="array" ref="F69">INDEX(GMW!$A$2:$NF$150,MATCH(1,(GMW!$NE$2:$NE$150=F$3)*(GMW!$ND$2:$ND$150=F$4)*(GMW!$NF$2:$NF$150=F$1),0),$C69-1966)</f>
        <v>60771</v>
      </c>
      <c r="G69" s="4" cm="1">
        <f t="array" ref="G69">INDEX(GMW!$A$2:$NF$150,MATCH(1,(GMW!$NE$2:$NE$150=G$3)*(GMW!$ND$2:$ND$150=G$4)*(GMW!$NF$2:$NF$150=G$1),0),$C69-1966)</f>
        <v>21800.78</v>
      </c>
      <c r="H69" s="4" cm="1">
        <f t="array" ref="H69">INDEX(GMW!$A$2:$NF$150,MATCH(1,(GMW!$NE$2:$NE$150=H$3)*(GMW!$ND$2:$ND$150=H$4)*(GMW!$NF$2:$NF$150=H$1),0),$C69-1966)</f>
        <v>60945</v>
      </c>
      <c r="I69" s="4" cm="1">
        <f t="array" ref="I69">INDEX(GMW!$A$2:$NF$150,MATCH(1,(GMW!$NE$2:$NE$150=I$3)*(GMW!$ND$2:$ND$150=I$4)*(GMW!$NF$2:$NF$150=I$1),0),$C69-1966)</f>
        <v>31354.05</v>
      </c>
      <c r="J69" s="4" cm="1">
        <f t="array" ref="J69">INDEX(GMW!$A$2:$NF$150,MATCH(1,(GMW!$NE$2:$NE$150=J$3)*(GMW!$ND$2:$ND$150=J$4)*(GMW!$NF$2:$NF$150=J$1),0),$C69-1966)</f>
        <v>69601</v>
      </c>
      <c r="K69" s="4" cm="1">
        <f t="array" ref="K69">INDEX(GMW!$A$2:$NF$150,MATCH(1,(GMW!$NE$2:$NE$150=K$3)*(GMW!$ND$2:$ND$150=K$4)*(GMW!$NF$2:$NF$150=K$1),0),$C69-1966)</f>
        <v>27618.21</v>
      </c>
      <c r="L69" s="4" cm="1">
        <f t="array" ref="L69">INDEX(GMW!$A$2:$NF$150,MATCH(1,(GMW!$NE$2:$NE$150=L$3)*(GMW!$ND$2:$ND$150=L$4)*(GMW!$NF$2:$NF$150=L$1),0),$C69-1966)</f>
        <v>327016.59999999998</v>
      </c>
      <c r="M69" s="4" cm="1">
        <f t="array" ref="M69">INDEX(GMW!$A$2:$NF$150,MATCH(1,(GMW!$NE$2:$NE$150=M$3)*(GMW!$ND$2:$ND$150=M$4)*(GMW!$NF$2:$NF$150=M$1),0),$C69-1966)</f>
        <v>25833.22</v>
      </c>
      <c r="N69" s="4" cm="1">
        <f t="array" ref="N69">INDEX(GMW!$A$2:$NF$150,MATCH(1,(GMW!$NE$2:$NE$150=N$3)*(GMW!$ND$2:$ND$150=N$4)*(GMW!$NF$2:$NF$150=N$1),0),$C69-1966)</f>
        <v>33.708260000000003</v>
      </c>
      <c r="O69" s="4" cm="1">
        <f t="array" ref="O69">INDEX(GMW!$A$2:$NF$150,MATCH(1,(GMW!$NE$2:$NE$150=O$3)*(GMW!$ND$2:$ND$150=O$4)*(GMW!$NF$2:$NF$150=O$1),0),$C69-1966)</f>
        <v>337543.9</v>
      </c>
      <c r="P69" s="4" cm="1">
        <f t="array" ref="P69">INDEX(GMW!$A$2:$NF$150,MATCH(1,(GMW!$NE$2:$NE$150=P$3)*(GMW!$ND$2:$ND$150=P$4)*(GMW!$NF$2:$NF$150=P$1),0),$C69-1966)</f>
        <v>37302.879999999997</v>
      </c>
      <c r="Q69" s="4" cm="1">
        <f t="array" ref="Q69">INDEX(GMW!$A$2:$NF$150,MATCH(1,(GMW!$NE$2:$NE$150=Q$3)*(GMW!$ND$2:$ND$150=Q$4)*(GMW!$NF$2:$NF$150=Q$1),0),$C69-1966)</f>
        <v>1444702</v>
      </c>
      <c r="R69" s="4" cm="1">
        <f t="array" ref="R69">INDEX(GMW!$A$2:$NF$150,MATCH(1,(GMW!$NE$2:$NE$150=R$3)*(GMW!$ND$2:$ND$150=R$4)*(GMW!$NF$2:$NF$150=R$1),0),$C69-1966)</f>
        <v>-1.8146580000000001</v>
      </c>
      <c r="S69" s="4" cm="1">
        <f t="array" ref="S69">INDEX(GMW!$A$2:$NF$150,MATCH(1,(GMW!$NE$2:$NE$150=S$3)*(GMW!$ND$2:$ND$150=S$4)*(GMW!$NF$2:$NF$150=S$1),0),$C69-1966)</f>
        <v>342414</v>
      </c>
      <c r="T69" s="4" cm="1">
        <f t="array" ref="T69">INDEX(GMW!$A$2:$NF$150,MATCH(1,(GMW!$NE$2:$NE$150=T$3)*(GMW!$ND$2:$ND$150=T$4)*(GMW!$NF$2:$NF$150=T$1),0),$C69-1966)</f>
        <v>49.9</v>
      </c>
      <c r="U69" s="4" cm="1">
        <f t="array" ref="U69">INDEX(GMW!$A$2:$NF$150,MATCH(1,(GMW!$NE$2:$NE$150=U$3)*(GMW!$ND$2:$ND$150=U$4)*(GMW!$NF$2:$NF$150=U$1),0),$C69-1966)</f>
        <v>60771</v>
      </c>
      <c r="V69" s="4" cm="1">
        <f t="array" ref="V69">INDEX(GMW!$A$2:$NF$150,MATCH(1,(GMW!$NE$2:$NE$150=V$3)*(GMW!$ND$2:$ND$150=V$4)*(GMW!$NF$2:$NF$150=V$1),0),$C69-1966)</f>
        <v>21800.78</v>
      </c>
      <c r="W69" s="4" cm="1">
        <f t="array" ref="W69">INDEX(GMW!$A$2:$NF$150,MATCH(1,(GMW!$NE$2:$NE$150=W$3)*(GMW!$ND$2:$ND$150=W$4)*(GMW!$NF$2:$NF$150=W$1),0),$C69-1966)</f>
        <v>60945</v>
      </c>
      <c r="X69" s="4" cm="1">
        <f t="array" ref="X69">INDEX(GMW!$A$2:$NF$150,MATCH(1,(GMW!$NE$2:$NE$150=X$3)*(GMW!$ND$2:$ND$150=X$4)*(GMW!$NF$2:$NF$150=X$1),0),$C69-1966)</f>
        <v>31354.05</v>
      </c>
      <c r="Y69" s="4" cm="1">
        <f t="array" ref="Y69">INDEX(GMW!$A$2:$NF$150,MATCH(1,(GMW!$NE$2:$NE$150=Y$3)*(GMW!$ND$2:$ND$150=Y$4)*(GMW!$NF$2:$NF$150=Y$1),0),$C69-1966)</f>
        <v>69601</v>
      </c>
      <c r="Z69" s="4" cm="1">
        <f t="array" ref="Z69">INDEX(GMW!$A$2:$NF$150,MATCH(1,(GMW!$NE$2:$NE$150=Z$3)*(GMW!$ND$2:$ND$150=Z$4)*(GMW!$NF$2:$NF$150=Z$1),0),$C69-1966)</f>
        <v>27618.21</v>
      </c>
      <c r="AA69" s="4" cm="1">
        <f t="array" ref="AA69">INDEX(GMW!$A$2:$NF$150,MATCH(1,(GMW!$NE$2:$NE$150=AA$3)*(GMW!$ND$2:$ND$150=AA$4)*(GMW!$NF$2:$NF$150=AA$1),0),$C69-1966)</f>
        <v>327016.59999999998</v>
      </c>
      <c r="AB69" s="4" cm="1">
        <f t="array" ref="AB69">INDEX(GMW!$A$2:$NF$150,MATCH(1,(GMW!$NE$2:$NE$150=AB$3)*(GMW!$ND$2:$ND$150=AB$4)*(GMW!$NF$2:$NF$150=AB$1),0),$C69-1966)</f>
        <v>25833.22</v>
      </c>
      <c r="AC69" s="4" cm="1">
        <f t="array" ref="AC69">INDEX(GMW!$A$2:$NF$150,MATCH(1,(GMW!$NE$2:$NE$150=AC$3)*(GMW!$ND$2:$ND$150=AC$4)*(GMW!$NF$2:$NF$150=AC$1),0),$C69-1966)</f>
        <v>33.708260000000003</v>
      </c>
      <c r="AD69" s="4" cm="1">
        <f t="array" ref="AD69">INDEX(GMW!$A$2:$NF$150,MATCH(1,(GMW!$NE$2:$NE$150=AD$3)*(GMW!$ND$2:$ND$150=AD$4)*(GMW!$NF$2:$NF$150=AD$1),0),$C69-1966)</f>
        <v>337543.9</v>
      </c>
      <c r="AE69" s="4" cm="1">
        <f t="array" ref="AE69">INDEX(GMW!$A$2:$NF$150,MATCH(1,(GMW!$NE$2:$NE$150=AE$3)*(GMW!$ND$2:$ND$150=AE$4)*(GMW!$NF$2:$NF$150=AE$1),0),$C69-1966)</f>
        <v>37302.879999999997</v>
      </c>
      <c r="AF69" s="4" cm="1">
        <f t="array" ref="AF69">INDEX(GMW!$A$2:$NF$150,MATCH(1,(GMW!$NE$2:$NE$150=AF$3)*(GMW!$ND$2:$ND$150=AF$4)*(GMW!$NF$2:$NF$150=AF$1),0),$C69-1966)</f>
        <v>1444702</v>
      </c>
      <c r="AG69" s="4" cm="1">
        <f t="array" ref="AG69">INDEX(GMW!$A$2:$NF$150,MATCH(1,(GMW!$NE$2:$NE$150=AG$3)*(GMW!$ND$2:$ND$150=AG$4)*(GMW!$NF$2:$NF$150=AG$1),0),$C69-1966)</f>
        <v>-1.8146580000000001</v>
      </c>
      <c r="AH69" s="4" cm="1">
        <f t="array" ref="AH69">INDEX(GMW!$A$2:$NF$150,MATCH(1,(GMW!$NE$2:$NE$150=AH$3)*(GMW!$ND$2:$ND$150=AH$4)*(GMW!$NF$2:$NF$150=AH$1),0),$C69-1966)</f>
        <v>342414</v>
      </c>
      <c r="AI69" s="4" cm="1">
        <f t="array" ref="AI69">INDEX(GMW!$A$2:$NF$150,MATCH(1,(GMW!$NE$2:$NE$150=AI$3)*(GMW!$ND$2:$ND$150=AI$4)*(GMW!$NF$2:$NF$150=AI$1),0),$C69-1966)</f>
        <v>49.9</v>
      </c>
      <c r="AJ69" s="4" cm="1">
        <f t="array" ref="AJ69">INDEX(GMW!$A$2:$NF$150,MATCH(1,(GMW!$NE$2:$NE$150=AJ$3)*(GMW!$ND$2:$ND$150=AJ$4)*(GMW!$NF$2:$NF$150=AJ$1),0),$C69-1966)</f>
        <v>60771</v>
      </c>
      <c r="AK69" s="4" cm="1">
        <f t="array" ref="AK69">INDEX(GMW!$A$2:$NF$150,MATCH(1,(GMW!$NE$2:$NE$150=AK$3)*(GMW!$ND$2:$ND$150=AK$4)*(GMW!$NF$2:$NF$150=AK$1),0),$C69-1966)</f>
        <v>21800.78</v>
      </c>
      <c r="AL69" s="4" cm="1">
        <f t="array" ref="AL69">INDEX(GMW!$A$2:$NF$150,MATCH(1,(GMW!$NE$2:$NE$150=AL$3)*(GMW!$ND$2:$ND$150=AL$4)*(GMW!$NF$2:$NF$150=AL$1),0),$C69-1966)</f>
        <v>60945</v>
      </c>
      <c r="AM69" s="4" cm="1">
        <f t="array" ref="AM69">INDEX(GMW!$A$2:$NF$150,MATCH(1,(GMW!$NE$2:$NE$150=AM$3)*(GMW!$ND$2:$ND$150=AM$4)*(GMW!$NF$2:$NF$150=AM$1),0),$C69-1966)</f>
        <v>31354.05</v>
      </c>
      <c r="AN69" s="4" cm="1">
        <f t="array" ref="AN69">INDEX(GMW!$A$2:$NF$150,MATCH(1,(GMW!$NE$2:$NE$150=AN$3)*(GMW!$ND$2:$ND$150=AN$4)*(GMW!$NF$2:$NF$150=AN$1),0),$C69-1966)</f>
        <v>69601</v>
      </c>
      <c r="AO69" s="4" cm="1">
        <f t="array" ref="AO69">INDEX(GMW!$A$2:$NF$150,MATCH(1,(GMW!$NE$2:$NE$150=AO$3)*(GMW!$ND$2:$ND$150=AO$4)*(GMW!$NF$2:$NF$150=AO$1),0),$C69-1966)</f>
        <v>27618.21</v>
      </c>
      <c r="AP69" s="4" cm="1">
        <f t="array" ref="AP69">INDEX(GMW!$A$2:$NF$150,MATCH(1,(GMW!$NE$2:$NE$150=AP$3)*(GMW!$ND$2:$ND$150=AP$4)*(GMW!$NF$2:$NF$150=AP$1),0),$C69-1966)</f>
        <v>327016.59999999998</v>
      </c>
      <c r="AQ69" s="4" cm="1">
        <f t="array" ref="AQ69">INDEX(GMW!$A$2:$NF$150,MATCH(1,(GMW!$NE$2:$NE$150=AQ$3)*(GMW!$ND$2:$ND$150=AQ$4)*(GMW!$NF$2:$NF$150=AQ$1),0),$C69-1966)</f>
        <v>25833.22</v>
      </c>
      <c r="AR69" s="4" cm="1">
        <f t="array" ref="AR69">INDEX(GMW!$A$2:$NF$150,MATCH(1,(GMW!$NE$2:$NE$150=AR$3)*(GMW!$ND$2:$ND$150=AR$4)*(GMW!$NF$2:$NF$150=AR$1),0),$C69-1966)</f>
        <v>33.708260000000003</v>
      </c>
      <c r="AS69" s="4" cm="1">
        <f t="array" ref="AS69">INDEX(GMW!$A$2:$NF$150,MATCH(1,(GMW!$NE$2:$NE$150=AS$3)*(GMW!$ND$2:$ND$150=AS$4)*(GMW!$NF$2:$NF$150=AS$1),0),$C69-1966)</f>
        <v>337543.9</v>
      </c>
      <c r="AT69" s="4" cm="1">
        <f t="array" ref="AT69">INDEX(GMW!$A$2:$NF$150,MATCH(1,(GMW!$NE$2:$NE$150=AT$3)*(GMW!$ND$2:$ND$150=AT$4)*(GMW!$NF$2:$NF$150=AT$1),0),$C69-1966)</f>
        <v>37302.879999999997</v>
      </c>
      <c r="AU69" s="4" cm="1">
        <f t="array" ref="AU69">INDEX(GMW!$A$2:$NF$150,MATCH(1,(GMW!$NE$2:$NE$150=AU$3)*(GMW!$ND$2:$ND$150=AU$4)*(GMW!$NF$2:$NF$150=AU$1),0),$C69-1966)</f>
        <v>1444702</v>
      </c>
      <c r="AV69" s="4" cm="1">
        <f t="array" ref="AV69">INDEX(GMW!$A$2:$NF$150,MATCH(1,(GMW!$NE$2:$NE$150=AV$3)*(GMW!$ND$2:$ND$150=AV$4)*(GMW!$NF$2:$NF$150=AV$1),0),$C69-1966)</f>
        <v>-1.8146580000000001</v>
      </c>
    </row>
    <row r="70" spans="1:48" x14ac:dyDescent="0.25">
      <c r="B70" s="4">
        <f t="shared" si="4"/>
        <v>1988</v>
      </c>
      <c r="C70" s="4">
        <f t="shared" si="5"/>
        <v>2036</v>
      </c>
      <c r="D70" s="4" cm="1">
        <f t="array" ref="D70">INDEX(GMW!$A$2:$NF$150,MATCH(1,(GMW!$NE$2:$NE$150=D$3)*(GMW!$ND$2:$ND$150=D$4)*(GMW!$NF$2:$NF$150=D$1),0),$C70-1966)</f>
        <v>345162</v>
      </c>
      <c r="E70" s="4" cm="1">
        <f t="array" ref="E70">INDEX(GMW!$A$2:$NF$150,MATCH(1,(GMW!$NE$2:$NE$150=E$3)*(GMW!$ND$2:$ND$150=E$4)*(GMW!$NF$2:$NF$150=E$1),0),$C70-1966)</f>
        <v>50.466670000000001</v>
      </c>
      <c r="F70" s="4" cm="1">
        <f t="array" ref="F70">INDEX(GMW!$A$2:$NF$150,MATCH(1,(GMW!$NE$2:$NE$150=F$3)*(GMW!$ND$2:$ND$150=F$4)*(GMW!$NF$2:$NF$150=F$1),0),$C70-1966)</f>
        <v>59544</v>
      </c>
      <c r="G70" s="4" cm="1">
        <f t="array" ref="G70">INDEX(GMW!$A$2:$NF$150,MATCH(1,(GMW!$NE$2:$NE$150=G$3)*(GMW!$ND$2:$ND$150=G$4)*(GMW!$NF$2:$NF$150=G$1),0),$C70-1966)</f>
        <v>22991.19</v>
      </c>
      <c r="H70" s="4" cm="1">
        <f t="array" ref="H70">INDEX(GMW!$A$2:$NF$150,MATCH(1,(GMW!$NE$2:$NE$150=H$3)*(GMW!$ND$2:$ND$150=H$4)*(GMW!$NF$2:$NF$150=H$1),0),$C70-1966)</f>
        <v>64442</v>
      </c>
      <c r="I70" s="4" cm="1">
        <f t="array" ref="I70">INDEX(GMW!$A$2:$NF$150,MATCH(1,(GMW!$NE$2:$NE$150=I$3)*(GMW!$ND$2:$ND$150=I$4)*(GMW!$NF$2:$NF$150=I$1),0),$C70-1966)</f>
        <v>32341.200000000001</v>
      </c>
      <c r="J70" s="4" cm="1">
        <f t="array" ref="J70">INDEX(GMW!$A$2:$NF$150,MATCH(1,(GMW!$NE$2:$NE$150=J$3)*(GMW!$ND$2:$ND$150=J$4)*(GMW!$NF$2:$NF$150=J$1),0),$C70-1966)</f>
        <v>69526</v>
      </c>
      <c r="K70" s="4" cm="1">
        <f t="array" ref="K70">INDEX(GMW!$A$2:$NF$150,MATCH(1,(GMW!$NE$2:$NE$150=K$3)*(GMW!$ND$2:$ND$150=K$4)*(GMW!$NF$2:$NF$150=K$1),0),$C70-1966)</f>
        <v>28400.17</v>
      </c>
      <c r="L70" s="4" cm="1">
        <f t="array" ref="L70">INDEX(GMW!$A$2:$NF$150,MATCH(1,(GMW!$NE$2:$NE$150=L$3)*(GMW!$ND$2:$ND$150=L$4)*(GMW!$NF$2:$NF$150=L$1),0),$C70-1966)</f>
        <v>330086.90000000002</v>
      </c>
      <c r="M70" s="4" cm="1">
        <f t="array" ref="M70">INDEX(GMW!$A$2:$NF$150,MATCH(1,(GMW!$NE$2:$NE$150=M$3)*(GMW!$ND$2:$ND$150=M$4)*(GMW!$NF$2:$NF$150=M$1),0),$C70-1966)</f>
        <v>25926.44</v>
      </c>
      <c r="N70" s="4" cm="1">
        <f t="array" ref="N70">INDEX(GMW!$A$2:$NF$150,MATCH(1,(GMW!$NE$2:$NE$150=N$3)*(GMW!$ND$2:$ND$150=N$4)*(GMW!$NF$2:$NF$150=N$1),0),$C70-1966)</f>
        <v>33.734189999999998</v>
      </c>
      <c r="O70" s="4" cm="1">
        <f t="array" ref="O70">INDEX(GMW!$A$2:$NF$150,MATCH(1,(GMW!$NE$2:$NE$150=O$3)*(GMW!$ND$2:$ND$150=O$4)*(GMW!$NF$2:$NF$150=O$1),0),$C70-1966)</f>
        <v>338746.7</v>
      </c>
      <c r="P70" s="4" cm="1">
        <f t="array" ref="P70">INDEX(GMW!$A$2:$NF$150,MATCH(1,(GMW!$NE$2:$NE$150=P$3)*(GMW!$ND$2:$ND$150=P$4)*(GMW!$NF$2:$NF$150=P$1),0),$C70-1966)</f>
        <v>37309.5</v>
      </c>
      <c r="Q70" s="4" cm="1">
        <f t="array" ref="Q70">INDEX(GMW!$A$2:$NF$150,MATCH(1,(GMW!$NE$2:$NE$150=Q$3)*(GMW!$ND$2:$ND$150=Q$4)*(GMW!$NF$2:$NF$150=Q$1),0),$C70-1966)</f>
        <v>1455853</v>
      </c>
      <c r="R70" s="4" cm="1">
        <f t="array" ref="R70">INDEX(GMW!$A$2:$NF$150,MATCH(1,(GMW!$NE$2:$NE$150=R$3)*(GMW!$ND$2:$ND$150=R$4)*(GMW!$NF$2:$NF$150=R$1),0),$C70-1966)</f>
        <v>-1.8118799999999999</v>
      </c>
      <c r="S70" s="4" cm="1">
        <f t="array" ref="S70">INDEX(GMW!$A$2:$NF$150,MATCH(1,(GMW!$NE$2:$NE$150=S$3)*(GMW!$ND$2:$ND$150=S$4)*(GMW!$NF$2:$NF$150=S$1),0),$C70-1966)</f>
        <v>345162</v>
      </c>
      <c r="T70" s="4" cm="1">
        <f t="array" ref="T70">INDEX(GMW!$A$2:$NF$150,MATCH(1,(GMW!$NE$2:$NE$150=T$3)*(GMW!$ND$2:$ND$150=T$4)*(GMW!$NF$2:$NF$150=T$1),0),$C70-1966)</f>
        <v>50.466670000000001</v>
      </c>
      <c r="U70" s="4" cm="1">
        <f t="array" ref="U70">INDEX(GMW!$A$2:$NF$150,MATCH(1,(GMW!$NE$2:$NE$150=U$3)*(GMW!$ND$2:$ND$150=U$4)*(GMW!$NF$2:$NF$150=U$1),0),$C70-1966)</f>
        <v>59544</v>
      </c>
      <c r="V70" s="4" cm="1">
        <f t="array" ref="V70">INDEX(GMW!$A$2:$NF$150,MATCH(1,(GMW!$NE$2:$NE$150=V$3)*(GMW!$ND$2:$ND$150=V$4)*(GMW!$NF$2:$NF$150=V$1),0),$C70-1966)</f>
        <v>22991.19</v>
      </c>
      <c r="W70" s="4" cm="1">
        <f t="array" ref="W70">INDEX(GMW!$A$2:$NF$150,MATCH(1,(GMW!$NE$2:$NE$150=W$3)*(GMW!$ND$2:$ND$150=W$4)*(GMW!$NF$2:$NF$150=W$1),0),$C70-1966)</f>
        <v>64442</v>
      </c>
      <c r="X70" s="4" cm="1">
        <f t="array" ref="X70">INDEX(GMW!$A$2:$NF$150,MATCH(1,(GMW!$NE$2:$NE$150=X$3)*(GMW!$ND$2:$ND$150=X$4)*(GMW!$NF$2:$NF$150=X$1),0),$C70-1966)</f>
        <v>32341.200000000001</v>
      </c>
      <c r="Y70" s="4" cm="1">
        <f t="array" ref="Y70">INDEX(GMW!$A$2:$NF$150,MATCH(1,(GMW!$NE$2:$NE$150=Y$3)*(GMW!$ND$2:$ND$150=Y$4)*(GMW!$NF$2:$NF$150=Y$1),0),$C70-1966)</f>
        <v>69526</v>
      </c>
      <c r="Z70" s="4" cm="1">
        <f t="array" ref="Z70">INDEX(GMW!$A$2:$NF$150,MATCH(1,(GMW!$NE$2:$NE$150=Z$3)*(GMW!$ND$2:$ND$150=Z$4)*(GMW!$NF$2:$NF$150=Z$1),0),$C70-1966)</f>
        <v>28400.17</v>
      </c>
      <c r="AA70" s="4" cm="1">
        <f t="array" ref="AA70">INDEX(GMW!$A$2:$NF$150,MATCH(1,(GMW!$NE$2:$NE$150=AA$3)*(GMW!$ND$2:$ND$150=AA$4)*(GMW!$NF$2:$NF$150=AA$1),0),$C70-1966)</f>
        <v>330086.90000000002</v>
      </c>
      <c r="AB70" s="4" cm="1">
        <f t="array" ref="AB70">INDEX(GMW!$A$2:$NF$150,MATCH(1,(GMW!$NE$2:$NE$150=AB$3)*(GMW!$ND$2:$ND$150=AB$4)*(GMW!$NF$2:$NF$150=AB$1),0),$C70-1966)</f>
        <v>25926.44</v>
      </c>
      <c r="AC70" s="4" cm="1">
        <f t="array" ref="AC70">INDEX(GMW!$A$2:$NF$150,MATCH(1,(GMW!$NE$2:$NE$150=AC$3)*(GMW!$ND$2:$ND$150=AC$4)*(GMW!$NF$2:$NF$150=AC$1),0),$C70-1966)</f>
        <v>33.734189999999998</v>
      </c>
      <c r="AD70" s="4" cm="1">
        <f t="array" ref="AD70">INDEX(GMW!$A$2:$NF$150,MATCH(1,(GMW!$NE$2:$NE$150=AD$3)*(GMW!$ND$2:$ND$150=AD$4)*(GMW!$NF$2:$NF$150=AD$1),0),$C70-1966)</f>
        <v>338746.7</v>
      </c>
      <c r="AE70" s="4" cm="1">
        <f t="array" ref="AE70">INDEX(GMW!$A$2:$NF$150,MATCH(1,(GMW!$NE$2:$NE$150=AE$3)*(GMW!$ND$2:$ND$150=AE$4)*(GMW!$NF$2:$NF$150=AE$1),0),$C70-1966)</f>
        <v>37309.5</v>
      </c>
      <c r="AF70" s="4" cm="1">
        <f t="array" ref="AF70">INDEX(GMW!$A$2:$NF$150,MATCH(1,(GMW!$NE$2:$NE$150=AF$3)*(GMW!$ND$2:$ND$150=AF$4)*(GMW!$NF$2:$NF$150=AF$1),0),$C70-1966)</f>
        <v>1455853</v>
      </c>
      <c r="AG70" s="4" cm="1">
        <f t="array" ref="AG70">INDEX(GMW!$A$2:$NF$150,MATCH(1,(GMW!$NE$2:$NE$150=AG$3)*(GMW!$ND$2:$ND$150=AG$4)*(GMW!$NF$2:$NF$150=AG$1),0),$C70-1966)</f>
        <v>-1.8118799999999999</v>
      </c>
      <c r="AH70" s="4" cm="1">
        <f t="array" ref="AH70">INDEX(GMW!$A$2:$NF$150,MATCH(1,(GMW!$NE$2:$NE$150=AH$3)*(GMW!$ND$2:$ND$150=AH$4)*(GMW!$NF$2:$NF$150=AH$1),0),$C70-1966)</f>
        <v>345162</v>
      </c>
      <c r="AI70" s="4" cm="1">
        <f t="array" ref="AI70">INDEX(GMW!$A$2:$NF$150,MATCH(1,(GMW!$NE$2:$NE$150=AI$3)*(GMW!$ND$2:$ND$150=AI$4)*(GMW!$NF$2:$NF$150=AI$1),0),$C70-1966)</f>
        <v>50.466670000000001</v>
      </c>
      <c r="AJ70" s="4" cm="1">
        <f t="array" ref="AJ70">INDEX(GMW!$A$2:$NF$150,MATCH(1,(GMW!$NE$2:$NE$150=AJ$3)*(GMW!$ND$2:$ND$150=AJ$4)*(GMW!$NF$2:$NF$150=AJ$1),0),$C70-1966)</f>
        <v>59544</v>
      </c>
      <c r="AK70" s="4" cm="1">
        <f t="array" ref="AK70">INDEX(GMW!$A$2:$NF$150,MATCH(1,(GMW!$NE$2:$NE$150=AK$3)*(GMW!$ND$2:$ND$150=AK$4)*(GMW!$NF$2:$NF$150=AK$1),0),$C70-1966)</f>
        <v>22991.19</v>
      </c>
      <c r="AL70" s="4" cm="1">
        <f t="array" ref="AL70">INDEX(GMW!$A$2:$NF$150,MATCH(1,(GMW!$NE$2:$NE$150=AL$3)*(GMW!$ND$2:$ND$150=AL$4)*(GMW!$NF$2:$NF$150=AL$1),0),$C70-1966)</f>
        <v>64442</v>
      </c>
      <c r="AM70" s="4" cm="1">
        <f t="array" ref="AM70">INDEX(GMW!$A$2:$NF$150,MATCH(1,(GMW!$NE$2:$NE$150=AM$3)*(GMW!$ND$2:$ND$150=AM$4)*(GMW!$NF$2:$NF$150=AM$1),0),$C70-1966)</f>
        <v>32341.200000000001</v>
      </c>
      <c r="AN70" s="4" cm="1">
        <f t="array" ref="AN70">INDEX(GMW!$A$2:$NF$150,MATCH(1,(GMW!$NE$2:$NE$150=AN$3)*(GMW!$ND$2:$ND$150=AN$4)*(GMW!$NF$2:$NF$150=AN$1),0),$C70-1966)</f>
        <v>69526</v>
      </c>
      <c r="AO70" s="4" cm="1">
        <f t="array" ref="AO70">INDEX(GMW!$A$2:$NF$150,MATCH(1,(GMW!$NE$2:$NE$150=AO$3)*(GMW!$ND$2:$ND$150=AO$4)*(GMW!$NF$2:$NF$150=AO$1),0),$C70-1966)</f>
        <v>28400.17</v>
      </c>
      <c r="AP70" s="4" cm="1">
        <f t="array" ref="AP70">INDEX(GMW!$A$2:$NF$150,MATCH(1,(GMW!$NE$2:$NE$150=AP$3)*(GMW!$ND$2:$ND$150=AP$4)*(GMW!$NF$2:$NF$150=AP$1),0),$C70-1966)</f>
        <v>330086.90000000002</v>
      </c>
      <c r="AQ70" s="4" cm="1">
        <f t="array" ref="AQ70">INDEX(GMW!$A$2:$NF$150,MATCH(1,(GMW!$NE$2:$NE$150=AQ$3)*(GMW!$ND$2:$ND$150=AQ$4)*(GMW!$NF$2:$NF$150=AQ$1),0),$C70-1966)</f>
        <v>25926.44</v>
      </c>
      <c r="AR70" s="4" cm="1">
        <f t="array" ref="AR70">INDEX(GMW!$A$2:$NF$150,MATCH(1,(GMW!$NE$2:$NE$150=AR$3)*(GMW!$ND$2:$ND$150=AR$4)*(GMW!$NF$2:$NF$150=AR$1),0),$C70-1966)</f>
        <v>33.734189999999998</v>
      </c>
      <c r="AS70" s="4" cm="1">
        <f t="array" ref="AS70">INDEX(GMW!$A$2:$NF$150,MATCH(1,(GMW!$NE$2:$NE$150=AS$3)*(GMW!$ND$2:$ND$150=AS$4)*(GMW!$NF$2:$NF$150=AS$1),0),$C70-1966)</f>
        <v>338746.7</v>
      </c>
      <c r="AT70" s="4" cm="1">
        <f t="array" ref="AT70">INDEX(GMW!$A$2:$NF$150,MATCH(1,(GMW!$NE$2:$NE$150=AT$3)*(GMW!$ND$2:$ND$150=AT$4)*(GMW!$NF$2:$NF$150=AT$1),0),$C70-1966)</f>
        <v>37309.5</v>
      </c>
      <c r="AU70" s="4" cm="1">
        <f t="array" ref="AU70">INDEX(GMW!$A$2:$NF$150,MATCH(1,(GMW!$NE$2:$NE$150=AU$3)*(GMW!$ND$2:$ND$150=AU$4)*(GMW!$NF$2:$NF$150=AU$1),0),$C70-1966)</f>
        <v>1455853</v>
      </c>
      <c r="AV70" s="4" cm="1">
        <f t="array" ref="AV70">INDEX(GMW!$A$2:$NF$150,MATCH(1,(GMW!$NE$2:$NE$150=AV$3)*(GMW!$ND$2:$ND$150=AV$4)*(GMW!$NF$2:$NF$150=AV$1),0),$C70-1966)</f>
        <v>-1.8118799999999999</v>
      </c>
    </row>
    <row r="71" spans="1:48" x14ac:dyDescent="0.25">
      <c r="A71" s="4">
        <v>1989</v>
      </c>
      <c r="B71" s="4">
        <f t="shared" si="4"/>
        <v>1989</v>
      </c>
      <c r="C71" s="4">
        <f t="shared" si="5"/>
        <v>2037</v>
      </c>
      <c r="D71" s="4" cm="1">
        <f t="array" ref="D71">INDEX(GMW!$A$2:$NF$150,MATCH(1,(GMW!$NE$2:$NE$150=D$3)*(GMW!$ND$2:$ND$150=D$4)*(GMW!$NF$2:$NF$150=D$1),0),$C71-1966)</f>
        <v>346836</v>
      </c>
      <c r="E71" s="4" cm="1">
        <f t="array" ref="E71">INDEX(GMW!$A$2:$NF$150,MATCH(1,(GMW!$NE$2:$NE$150=E$3)*(GMW!$ND$2:$ND$150=E$4)*(GMW!$NF$2:$NF$150=E$1),0),$C71-1966)</f>
        <v>51</v>
      </c>
      <c r="F71" s="4" cm="1">
        <f t="array" ref="F71">INDEX(GMW!$A$2:$NF$150,MATCH(1,(GMW!$NE$2:$NE$150=F$3)*(GMW!$ND$2:$ND$150=F$4)*(GMW!$NF$2:$NF$150=F$1),0),$C71-1966)</f>
        <v>62278</v>
      </c>
      <c r="G71" s="4" cm="1">
        <f t="array" ref="G71">INDEX(GMW!$A$2:$NF$150,MATCH(1,(GMW!$NE$2:$NE$150=G$3)*(GMW!$ND$2:$ND$150=G$4)*(GMW!$NF$2:$NF$150=G$1),0),$C71-1966)</f>
        <v>26502.79</v>
      </c>
      <c r="H71" s="4" cm="1">
        <f t="array" ref="H71">INDEX(GMW!$A$2:$NF$150,MATCH(1,(GMW!$NE$2:$NE$150=H$3)*(GMW!$ND$2:$ND$150=H$4)*(GMW!$NF$2:$NF$150=H$1),0),$C71-1966)</f>
        <v>65266</v>
      </c>
      <c r="I71" s="4" cm="1">
        <f t="array" ref="I71">INDEX(GMW!$A$2:$NF$150,MATCH(1,(GMW!$NE$2:$NE$150=I$3)*(GMW!$ND$2:$ND$150=I$4)*(GMW!$NF$2:$NF$150=I$1),0),$C71-1966)</f>
        <v>33410.1</v>
      </c>
      <c r="J71" s="4" cm="1">
        <f t="array" ref="J71">INDEX(GMW!$A$2:$NF$150,MATCH(1,(GMW!$NE$2:$NE$150=J$3)*(GMW!$ND$2:$ND$150=J$4)*(GMW!$NF$2:$NF$150=J$1),0),$C71-1966)</f>
        <v>73235</v>
      </c>
      <c r="K71" s="4" cm="1">
        <f t="array" ref="K71">INDEX(GMW!$A$2:$NF$150,MATCH(1,(GMW!$NE$2:$NE$150=K$3)*(GMW!$ND$2:$ND$150=K$4)*(GMW!$NF$2:$NF$150=K$1),0),$C71-1966)</f>
        <v>29542.55</v>
      </c>
      <c r="L71" s="4" cm="1">
        <f t="array" ref="L71">INDEX(GMW!$A$2:$NF$150,MATCH(1,(GMW!$NE$2:$NE$150=L$3)*(GMW!$ND$2:$ND$150=L$4)*(GMW!$NF$2:$NF$150=L$1),0),$C71-1966)</f>
        <v>333453.59999999998</v>
      </c>
      <c r="M71" s="4" cm="1">
        <f t="array" ref="M71">INDEX(GMW!$A$2:$NF$150,MATCH(1,(GMW!$NE$2:$NE$150=M$3)*(GMW!$ND$2:$ND$150=M$4)*(GMW!$NF$2:$NF$150=M$1),0),$C71-1966)</f>
        <v>26035.95</v>
      </c>
      <c r="N71" s="4" cm="1">
        <f t="array" ref="N71">INDEX(GMW!$A$2:$NF$150,MATCH(1,(GMW!$NE$2:$NE$150=N$3)*(GMW!$ND$2:$ND$150=N$4)*(GMW!$NF$2:$NF$150=N$1),0),$C71-1966)</f>
        <v>33.780859999999997</v>
      </c>
      <c r="O71" s="4" cm="1">
        <f t="array" ref="O71">INDEX(GMW!$A$2:$NF$150,MATCH(1,(GMW!$NE$2:$NE$150=O$3)*(GMW!$ND$2:$ND$150=O$4)*(GMW!$NF$2:$NF$150=O$1),0),$C71-1966)</f>
        <v>339988.5</v>
      </c>
      <c r="P71" s="4" cm="1">
        <f t="array" ref="P71">INDEX(GMW!$A$2:$NF$150,MATCH(1,(GMW!$NE$2:$NE$150=P$3)*(GMW!$ND$2:$ND$150=P$4)*(GMW!$NF$2:$NF$150=P$1),0),$C71-1966)</f>
        <v>37316.11</v>
      </c>
      <c r="Q71" s="4" cm="1">
        <f t="array" ref="Q71">INDEX(GMW!$A$2:$NF$150,MATCH(1,(GMW!$NE$2:$NE$150=Q$3)*(GMW!$ND$2:$ND$150=Q$4)*(GMW!$NF$2:$NF$150=Q$1),0),$C71-1966)</f>
        <v>1469148</v>
      </c>
      <c r="R71" s="4" cm="1">
        <f t="array" ref="R71">INDEX(GMW!$A$2:$NF$150,MATCH(1,(GMW!$NE$2:$NE$150=R$3)*(GMW!$ND$2:$ND$150=R$4)*(GMW!$NF$2:$NF$150=R$1),0),$C71-1966)</f>
        <v>-1.8091060000000001</v>
      </c>
      <c r="S71" s="4" cm="1">
        <f t="array" ref="S71">INDEX(GMW!$A$2:$NF$150,MATCH(1,(GMW!$NE$2:$NE$150=S$3)*(GMW!$ND$2:$ND$150=S$4)*(GMW!$NF$2:$NF$150=S$1),0),$C71-1966)</f>
        <v>346836</v>
      </c>
      <c r="T71" s="4" cm="1">
        <f t="array" ref="T71">INDEX(GMW!$A$2:$NF$150,MATCH(1,(GMW!$NE$2:$NE$150=T$3)*(GMW!$ND$2:$ND$150=T$4)*(GMW!$NF$2:$NF$150=T$1),0),$C71-1966)</f>
        <v>51</v>
      </c>
      <c r="U71" s="4" cm="1">
        <f t="array" ref="U71">INDEX(GMW!$A$2:$NF$150,MATCH(1,(GMW!$NE$2:$NE$150=U$3)*(GMW!$ND$2:$ND$150=U$4)*(GMW!$NF$2:$NF$150=U$1),0),$C71-1966)</f>
        <v>62278</v>
      </c>
      <c r="V71" s="4" cm="1">
        <f t="array" ref="V71">INDEX(GMW!$A$2:$NF$150,MATCH(1,(GMW!$NE$2:$NE$150=V$3)*(GMW!$ND$2:$ND$150=V$4)*(GMW!$NF$2:$NF$150=V$1),0),$C71-1966)</f>
        <v>26502.79</v>
      </c>
      <c r="W71" s="4" cm="1">
        <f t="array" ref="W71">INDEX(GMW!$A$2:$NF$150,MATCH(1,(GMW!$NE$2:$NE$150=W$3)*(GMW!$ND$2:$ND$150=W$4)*(GMW!$NF$2:$NF$150=W$1),0),$C71-1966)</f>
        <v>65266</v>
      </c>
      <c r="X71" s="4" cm="1">
        <f t="array" ref="X71">INDEX(GMW!$A$2:$NF$150,MATCH(1,(GMW!$NE$2:$NE$150=X$3)*(GMW!$ND$2:$ND$150=X$4)*(GMW!$NF$2:$NF$150=X$1),0),$C71-1966)</f>
        <v>33410.1</v>
      </c>
      <c r="Y71" s="4" cm="1">
        <f t="array" ref="Y71">INDEX(GMW!$A$2:$NF$150,MATCH(1,(GMW!$NE$2:$NE$150=Y$3)*(GMW!$ND$2:$ND$150=Y$4)*(GMW!$NF$2:$NF$150=Y$1),0),$C71-1966)</f>
        <v>73235</v>
      </c>
      <c r="Z71" s="4" cm="1">
        <f t="array" ref="Z71">INDEX(GMW!$A$2:$NF$150,MATCH(1,(GMW!$NE$2:$NE$150=Z$3)*(GMW!$ND$2:$ND$150=Z$4)*(GMW!$NF$2:$NF$150=Z$1),0),$C71-1966)</f>
        <v>29542.55</v>
      </c>
      <c r="AA71" s="4" cm="1">
        <f t="array" ref="AA71">INDEX(GMW!$A$2:$NF$150,MATCH(1,(GMW!$NE$2:$NE$150=AA$3)*(GMW!$ND$2:$ND$150=AA$4)*(GMW!$NF$2:$NF$150=AA$1),0),$C71-1966)</f>
        <v>333453.59999999998</v>
      </c>
      <c r="AB71" s="4" cm="1">
        <f t="array" ref="AB71">INDEX(GMW!$A$2:$NF$150,MATCH(1,(GMW!$NE$2:$NE$150=AB$3)*(GMW!$ND$2:$ND$150=AB$4)*(GMW!$NF$2:$NF$150=AB$1),0),$C71-1966)</f>
        <v>26035.95</v>
      </c>
      <c r="AC71" s="4" cm="1">
        <f t="array" ref="AC71">INDEX(GMW!$A$2:$NF$150,MATCH(1,(GMW!$NE$2:$NE$150=AC$3)*(GMW!$ND$2:$ND$150=AC$4)*(GMW!$NF$2:$NF$150=AC$1),0),$C71-1966)</f>
        <v>33.780859999999997</v>
      </c>
      <c r="AD71" s="4" cm="1">
        <f t="array" ref="AD71">INDEX(GMW!$A$2:$NF$150,MATCH(1,(GMW!$NE$2:$NE$150=AD$3)*(GMW!$ND$2:$ND$150=AD$4)*(GMW!$NF$2:$NF$150=AD$1),0),$C71-1966)</f>
        <v>339988.5</v>
      </c>
      <c r="AE71" s="4" cm="1">
        <f t="array" ref="AE71">INDEX(GMW!$A$2:$NF$150,MATCH(1,(GMW!$NE$2:$NE$150=AE$3)*(GMW!$ND$2:$ND$150=AE$4)*(GMW!$NF$2:$NF$150=AE$1),0),$C71-1966)</f>
        <v>37316.11</v>
      </c>
      <c r="AF71" s="4" cm="1">
        <f t="array" ref="AF71">INDEX(GMW!$A$2:$NF$150,MATCH(1,(GMW!$NE$2:$NE$150=AF$3)*(GMW!$ND$2:$ND$150=AF$4)*(GMW!$NF$2:$NF$150=AF$1),0),$C71-1966)</f>
        <v>1469148</v>
      </c>
      <c r="AG71" s="4" cm="1">
        <f t="array" ref="AG71">INDEX(GMW!$A$2:$NF$150,MATCH(1,(GMW!$NE$2:$NE$150=AG$3)*(GMW!$ND$2:$ND$150=AG$4)*(GMW!$NF$2:$NF$150=AG$1),0),$C71-1966)</f>
        <v>-1.8091060000000001</v>
      </c>
      <c r="AH71" s="4" cm="1">
        <f t="array" ref="AH71">INDEX(GMW!$A$2:$NF$150,MATCH(1,(GMW!$NE$2:$NE$150=AH$3)*(GMW!$ND$2:$ND$150=AH$4)*(GMW!$NF$2:$NF$150=AH$1),0),$C71-1966)</f>
        <v>346836</v>
      </c>
      <c r="AI71" s="4" cm="1">
        <f t="array" ref="AI71">INDEX(GMW!$A$2:$NF$150,MATCH(1,(GMW!$NE$2:$NE$150=AI$3)*(GMW!$ND$2:$ND$150=AI$4)*(GMW!$NF$2:$NF$150=AI$1),0),$C71-1966)</f>
        <v>51</v>
      </c>
      <c r="AJ71" s="4" cm="1">
        <f t="array" ref="AJ71">INDEX(GMW!$A$2:$NF$150,MATCH(1,(GMW!$NE$2:$NE$150=AJ$3)*(GMW!$ND$2:$ND$150=AJ$4)*(GMW!$NF$2:$NF$150=AJ$1),0),$C71-1966)</f>
        <v>62278</v>
      </c>
      <c r="AK71" s="4" cm="1">
        <f t="array" ref="AK71">INDEX(GMW!$A$2:$NF$150,MATCH(1,(GMW!$NE$2:$NE$150=AK$3)*(GMW!$ND$2:$ND$150=AK$4)*(GMW!$NF$2:$NF$150=AK$1),0),$C71-1966)</f>
        <v>26502.79</v>
      </c>
      <c r="AL71" s="4" cm="1">
        <f t="array" ref="AL71">INDEX(GMW!$A$2:$NF$150,MATCH(1,(GMW!$NE$2:$NE$150=AL$3)*(GMW!$ND$2:$ND$150=AL$4)*(GMW!$NF$2:$NF$150=AL$1),0),$C71-1966)</f>
        <v>65266</v>
      </c>
      <c r="AM71" s="4" cm="1">
        <f t="array" ref="AM71">INDEX(GMW!$A$2:$NF$150,MATCH(1,(GMW!$NE$2:$NE$150=AM$3)*(GMW!$ND$2:$ND$150=AM$4)*(GMW!$NF$2:$NF$150=AM$1),0),$C71-1966)</f>
        <v>33410.1</v>
      </c>
      <c r="AN71" s="4" cm="1">
        <f t="array" ref="AN71">INDEX(GMW!$A$2:$NF$150,MATCH(1,(GMW!$NE$2:$NE$150=AN$3)*(GMW!$ND$2:$ND$150=AN$4)*(GMW!$NF$2:$NF$150=AN$1),0),$C71-1966)</f>
        <v>73235</v>
      </c>
      <c r="AO71" s="4" cm="1">
        <f t="array" ref="AO71">INDEX(GMW!$A$2:$NF$150,MATCH(1,(GMW!$NE$2:$NE$150=AO$3)*(GMW!$ND$2:$ND$150=AO$4)*(GMW!$NF$2:$NF$150=AO$1),0),$C71-1966)</f>
        <v>29542.55</v>
      </c>
      <c r="AP71" s="4" cm="1">
        <f t="array" ref="AP71">INDEX(GMW!$A$2:$NF$150,MATCH(1,(GMW!$NE$2:$NE$150=AP$3)*(GMW!$ND$2:$ND$150=AP$4)*(GMW!$NF$2:$NF$150=AP$1),0),$C71-1966)</f>
        <v>333453.59999999998</v>
      </c>
      <c r="AQ71" s="4" cm="1">
        <f t="array" ref="AQ71">INDEX(GMW!$A$2:$NF$150,MATCH(1,(GMW!$NE$2:$NE$150=AQ$3)*(GMW!$ND$2:$ND$150=AQ$4)*(GMW!$NF$2:$NF$150=AQ$1),0),$C71-1966)</f>
        <v>26035.95</v>
      </c>
      <c r="AR71" s="4" cm="1">
        <f t="array" ref="AR71">INDEX(GMW!$A$2:$NF$150,MATCH(1,(GMW!$NE$2:$NE$150=AR$3)*(GMW!$ND$2:$ND$150=AR$4)*(GMW!$NF$2:$NF$150=AR$1),0),$C71-1966)</f>
        <v>33.780859999999997</v>
      </c>
      <c r="AS71" s="4" cm="1">
        <f t="array" ref="AS71">INDEX(GMW!$A$2:$NF$150,MATCH(1,(GMW!$NE$2:$NE$150=AS$3)*(GMW!$ND$2:$ND$150=AS$4)*(GMW!$NF$2:$NF$150=AS$1),0),$C71-1966)</f>
        <v>339988.5</v>
      </c>
      <c r="AT71" s="4" cm="1">
        <f t="array" ref="AT71">INDEX(GMW!$A$2:$NF$150,MATCH(1,(GMW!$NE$2:$NE$150=AT$3)*(GMW!$ND$2:$ND$150=AT$4)*(GMW!$NF$2:$NF$150=AT$1),0),$C71-1966)</f>
        <v>37316.11</v>
      </c>
      <c r="AU71" s="4" cm="1">
        <f t="array" ref="AU71">INDEX(GMW!$A$2:$NF$150,MATCH(1,(GMW!$NE$2:$NE$150=AU$3)*(GMW!$ND$2:$ND$150=AU$4)*(GMW!$NF$2:$NF$150=AU$1),0),$C71-1966)</f>
        <v>1469148</v>
      </c>
      <c r="AV71" s="4" cm="1">
        <f t="array" ref="AV71">INDEX(GMW!$A$2:$NF$150,MATCH(1,(GMW!$NE$2:$NE$150=AV$3)*(GMW!$ND$2:$ND$150=AV$4)*(GMW!$NF$2:$NF$150=AV$1),0),$C71-1966)</f>
        <v>-1.8091060000000001</v>
      </c>
    </row>
    <row r="72" spans="1:48" x14ac:dyDescent="0.25">
      <c r="B72" s="4">
        <f t="shared" si="4"/>
        <v>1989</v>
      </c>
      <c r="C72" s="4">
        <f t="shared" si="5"/>
        <v>2038</v>
      </c>
      <c r="D72" s="4" cm="1">
        <f t="array" ref="D72">INDEX(GMW!$A$2:$NF$150,MATCH(1,(GMW!$NE$2:$NE$150=D$3)*(GMW!$ND$2:$ND$150=D$4)*(GMW!$NF$2:$NF$150=D$1),0),$C72-1966)</f>
        <v>348997</v>
      </c>
      <c r="E72" s="4" cm="1">
        <f t="array" ref="E72">INDEX(GMW!$A$2:$NF$150,MATCH(1,(GMW!$NE$2:$NE$150=E$3)*(GMW!$ND$2:$ND$150=E$4)*(GMW!$NF$2:$NF$150=E$1),0),$C72-1966)</f>
        <v>52.133339999999997</v>
      </c>
      <c r="F72" s="4" cm="1">
        <f t="array" ref="F72">INDEX(GMW!$A$2:$NF$150,MATCH(1,(GMW!$NE$2:$NE$150=F$3)*(GMW!$ND$2:$ND$150=F$4)*(GMW!$NF$2:$NF$150=F$1),0),$C72-1966)</f>
        <v>61292</v>
      </c>
      <c r="G72" s="4" cm="1">
        <f t="array" ref="G72">INDEX(GMW!$A$2:$NF$150,MATCH(1,(GMW!$NE$2:$NE$150=G$3)*(GMW!$ND$2:$ND$150=G$4)*(GMW!$NF$2:$NF$150=G$1),0),$C72-1966)</f>
        <v>25986.32</v>
      </c>
      <c r="H72" s="4" cm="1">
        <f t="array" ref="H72">INDEX(GMW!$A$2:$NF$150,MATCH(1,(GMW!$NE$2:$NE$150=H$3)*(GMW!$ND$2:$ND$150=H$4)*(GMW!$NF$2:$NF$150=H$1),0),$C72-1966)</f>
        <v>63935</v>
      </c>
      <c r="I72" s="4" cm="1">
        <f t="array" ref="I72">INDEX(GMW!$A$2:$NF$150,MATCH(1,(GMW!$NE$2:$NE$150=I$3)*(GMW!$ND$2:$ND$150=I$4)*(GMW!$NF$2:$NF$150=I$1),0),$C72-1966)</f>
        <v>32296.22</v>
      </c>
      <c r="J72" s="4" cm="1">
        <f t="array" ref="J72">INDEX(GMW!$A$2:$NF$150,MATCH(1,(GMW!$NE$2:$NE$150=J$3)*(GMW!$ND$2:$ND$150=J$4)*(GMW!$NF$2:$NF$150=J$1),0),$C72-1966)</f>
        <v>71794</v>
      </c>
      <c r="K72" s="4" cm="1">
        <f t="array" ref="K72">INDEX(GMW!$A$2:$NF$150,MATCH(1,(GMW!$NE$2:$NE$150=K$3)*(GMW!$ND$2:$ND$150=K$4)*(GMW!$NF$2:$NF$150=K$1),0),$C72-1966)</f>
        <v>29964.1</v>
      </c>
      <c r="L72" s="4" cm="1">
        <f t="array" ref="L72">INDEX(GMW!$A$2:$NF$150,MATCH(1,(GMW!$NE$2:$NE$150=L$3)*(GMW!$ND$2:$ND$150=L$4)*(GMW!$NF$2:$NF$150=L$1),0),$C72-1966)</f>
        <v>336162.5</v>
      </c>
      <c r="M72" s="4" cm="1">
        <f t="array" ref="M72">INDEX(GMW!$A$2:$NF$150,MATCH(1,(GMW!$NE$2:$NE$150=M$3)*(GMW!$ND$2:$ND$150=M$4)*(GMW!$NF$2:$NF$150=M$1),0),$C72-1966)</f>
        <v>26075.77</v>
      </c>
      <c r="N72" s="4" cm="1">
        <f t="array" ref="N72">INDEX(GMW!$A$2:$NF$150,MATCH(1,(GMW!$NE$2:$NE$150=N$3)*(GMW!$ND$2:$ND$150=N$4)*(GMW!$NF$2:$NF$150=N$1),0),$C72-1966)</f>
        <v>33.786050000000003</v>
      </c>
      <c r="O72" s="4" cm="1">
        <f t="array" ref="O72">INDEX(GMW!$A$2:$NF$150,MATCH(1,(GMW!$NE$2:$NE$150=O$3)*(GMW!$ND$2:$ND$150=O$4)*(GMW!$NF$2:$NF$150=O$1),0),$C72-1966)</f>
        <v>341236.8</v>
      </c>
      <c r="P72" s="4" cm="1">
        <f t="array" ref="P72">INDEX(GMW!$A$2:$NF$150,MATCH(1,(GMW!$NE$2:$NE$150=P$3)*(GMW!$ND$2:$ND$150=P$4)*(GMW!$NF$2:$NF$150=P$1),0),$C72-1966)</f>
        <v>37322.720000000001</v>
      </c>
      <c r="Q72" s="4" cm="1">
        <f t="array" ref="Q72">INDEX(GMW!$A$2:$NF$150,MATCH(1,(GMW!$NE$2:$NE$150=Q$3)*(GMW!$ND$2:$ND$150=Q$4)*(GMW!$NF$2:$NF$150=Q$1),0),$C72-1966)</f>
        <v>1482443</v>
      </c>
      <c r="R72" s="4" cm="1">
        <f t="array" ref="R72">INDEX(GMW!$A$2:$NF$150,MATCH(1,(GMW!$NE$2:$NE$150=R$3)*(GMW!$ND$2:$ND$150=R$4)*(GMW!$NF$2:$NF$150=R$1),0),$C72-1966)</f>
        <v>-1.8063359999999999</v>
      </c>
      <c r="S72" s="4" cm="1">
        <f t="array" ref="S72">INDEX(GMW!$A$2:$NF$150,MATCH(1,(GMW!$NE$2:$NE$150=S$3)*(GMW!$ND$2:$ND$150=S$4)*(GMW!$NF$2:$NF$150=S$1),0),$C72-1966)</f>
        <v>348997</v>
      </c>
      <c r="T72" s="4" cm="1">
        <f t="array" ref="T72">INDEX(GMW!$A$2:$NF$150,MATCH(1,(GMW!$NE$2:$NE$150=T$3)*(GMW!$ND$2:$ND$150=T$4)*(GMW!$NF$2:$NF$150=T$1),0),$C72-1966)</f>
        <v>52.133339999999997</v>
      </c>
      <c r="U72" s="4" cm="1">
        <f t="array" ref="U72">INDEX(GMW!$A$2:$NF$150,MATCH(1,(GMW!$NE$2:$NE$150=U$3)*(GMW!$ND$2:$ND$150=U$4)*(GMW!$NF$2:$NF$150=U$1),0),$C72-1966)</f>
        <v>61292</v>
      </c>
      <c r="V72" s="4" cm="1">
        <f t="array" ref="V72">INDEX(GMW!$A$2:$NF$150,MATCH(1,(GMW!$NE$2:$NE$150=V$3)*(GMW!$ND$2:$ND$150=V$4)*(GMW!$NF$2:$NF$150=V$1),0),$C72-1966)</f>
        <v>25986.32</v>
      </c>
      <c r="W72" s="4" cm="1">
        <f t="array" ref="W72">INDEX(GMW!$A$2:$NF$150,MATCH(1,(GMW!$NE$2:$NE$150=W$3)*(GMW!$ND$2:$ND$150=W$4)*(GMW!$NF$2:$NF$150=W$1),0),$C72-1966)</f>
        <v>63935</v>
      </c>
      <c r="X72" s="4" cm="1">
        <f t="array" ref="X72">INDEX(GMW!$A$2:$NF$150,MATCH(1,(GMW!$NE$2:$NE$150=X$3)*(GMW!$ND$2:$ND$150=X$4)*(GMW!$NF$2:$NF$150=X$1),0),$C72-1966)</f>
        <v>32296.22</v>
      </c>
      <c r="Y72" s="4" cm="1">
        <f t="array" ref="Y72">INDEX(GMW!$A$2:$NF$150,MATCH(1,(GMW!$NE$2:$NE$150=Y$3)*(GMW!$ND$2:$ND$150=Y$4)*(GMW!$NF$2:$NF$150=Y$1),0),$C72-1966)</f>
        <v>71794</v>
      </c>
      <c r="Z72" s="4" cm="1">
        <f t="array" ref="Z72">INDEX(GMW!$A$2:$NF$150,MATCH(1,(GMW!$NE$2:$NE$150=Z$3)*(GMW!$ND$2:$ND$150=Z$4)*(GMW!$NF$2:$NF$150=Z$1),0),$C72-1966)</f>
        <v>29964.1</v>
      </c>
      <c r="AA72" s="4" cm="1">
        <f t="array" ref="AA72">INDEX(GMW!$A$2:$NF$150,MATCH(1,(GMW!$NE$2:$NE$150=AA$3)*(GMW!$ND$2:$ND$150=AA$4)*(GMW!$NF$2:$NF$150=AA$1),0),$C72-1966)</f>
        <v>336162.5</v>
      </c>
      <c r="AB72" s="4" cm="1">
        <f t="array" ref="AB72">INDEX(GMW!$A$2:$NF$150,MATCH(1,(GMW!$NE$2:$NE$150=AB$3)*(GMW!$ND$2:$ND$150=AB$4)*(GMW!$NF$2:$NF$150=AB$1),0),$C72-1966)</f>
        <v>26075.77</v>
      </c>
      <c r="AC72" s="4" cm="1">
        <f t="array" ref="AC72">INDEX(GMW!$A$2:$NF$150,MATCH(1,(GMW!$NE$2:$NE$150=AC$3)*(GMW!$ND$2:$ND$150=AC$4)*(GMW!$NF$2:$NF$150=AC$1),0),$C72-1966)</f>
        <v>33.786050000000003</v>
      </c>
      <c r="AD72" s="4" cm="1">
        <f t="array" ref="AD72">INDEX(GMW!$A$2:$NF$150,MATCH(1,(GMW!$NE$2:$NE$150=AD$3)*(GMW!$ND$2:$ND$150=AD$4)*(GMW!$NF$2:$NF$150=AD$1),0),$C72-1966)</f>
        <v>341236.8</v>
      </c>
      <c r="AE72" s="4" cm="1">
        <f t="array" ref="AE72">INDEX(GMW!$A$2:$NF$150,MATCH(1,(GMW!$NE$2:$NE$150=AE$3)*(GMW!$ND$2:$ND$150=AE$4)*(GMW!$NF$2:$NF$150=AE$1),0),$C72-1966)</f>
        <v>37322.720000000001</v>
      </c>
      <c r="AF72" s="4" cm="1">
        <f t="array" ref="AF72">INDEX(GMW!$A$2:$NF$150,MATCH(1,(GMW!$NE$2:$NE$150=AF$3)*(GMW!$ND$2:$ND$150=AF$4)*(GMW!$NF$2:$NF$150=AF$1),0),$C72-1966)</f>
        <v>1482443</v>
      </c>
      <c r="AG72" s="4" cm="1">
        <f t="array" ref="AG72">INDEX(GMW!$A$2:$NF$150,MATCH(1,(GMW!$NE$2:$NE$150=AG$3)*(GMW!$ND$2:$ND$150=AG$4)*(GMW!$NF$2:$NF$150=AG$1),0),$C72-1966)</f>
        <v>-1.8063359999999999</v>
      </c>
      <c r="AH72" s="4" cm="1">
        <f t="array" ref="AH72">INDEX(GMW!$A$2:$NF$150,MATCH(1,(GMW!$NE$2:$NE$150=AH$3)*(GMW!$ND$2:$ND$150=AH$4)*(GMW!$NF$2:$NF$150=AH$1),0),$C72-1966)</f>
        <v>348997</v>
      </c>
      <c r="AI72" s="4" cm="1">
        <f t="array" ref="AI72">INDEX(GMW!$A$2:$NF$150,MATCH(1,(GMW!$NE$2:$NE$150=AI$3)*(GMW!$ND$2:$ND$150=AI$4)*(GMW!$NF$2:$NF$150=AI$1),0),$C72-1966)</f>
        <v>52.133339999999997</v>
      </c>
      <c r="AJ72" s="4" cm="1">
        <f t="array" ref="AJ72">INDEX(GMW!$A$2:$NF$150,MATCH(1,(GMW!$NE$2:$NE$150=AJ$3)*(GMW!$ND$2:$ND$150=AJ$4)*(GMW!$NF$2:$NF$150=AJ$1),0),$C72-1966)</f>
        <v>61292</v>
      </c>
      <c r="AK72" s="4" cm="1">
        <f t="array" ref="AK72">INDEX(GMW!$A$2:$NF$150,MATCH(1,(GMW!$NE$2:$NE$150=AK$3)*(GMW!$ND$2:$ND$150=AK$4)*(GMW!$NF$2:$NF$150=AK$1),0),$C72-1966)</f>
        <v>25986.32</v>
      </c>
      <c r="AL72" s="4" cm="1">
        <f t="array" ref="AL72">INDEX(GMW!$A$2:$NF$150,MATCH(1,(GMW!$NE$2:$NE$150=AL$3)*(GMW!$ND$2:$ND$150=AL$4)*(GMW!$NF$2:$NF$150=AL$1),0),$C72-1966)</f>
        <v>63935</v>
      </c>
      <c r="AM72" s="4" cm="1">
        <f t="array" ref="AM72">INDEX(GMW!$A$2:$NF$150,MATCH(1,(GMW!$NE$2:$NE$150=AM$3)*(GMW!$ND$2:$ND$150=AM$4)*(GMW!$NF$2:$NF$150=AM$1),0),$C72-1966)</f>
        <v>32296.22</v>
      </c>
      <c r="AN72" s="4" cm="1">
        <f t="array" ref="AN72">INDEX(GMW!$A$2:$NF$150,MATCH(1,(GMW!$NE$2:$NE$150=AN$3)*(GMW!$ND$2:$ND$150=AN$4)*(GMW!$NF$2:$NF$150=AN$1),0),$C72-1966)</f>
        <v>71794</v>
      </c>
      <c r="AO72" s="4" cm="1">
        <f t="array" ref="AO72">INDEX(GMW!$A$2:$NF$150,MATCH(1,(GMW!$NE$2:$NE$150=AO$3)*(GMW!$ND$2:$ND$150=AO$4)*(GMW!$NF$2:$NF$150=AO$1),0),$C72-1966)</f>
        <v>29964.1</v>
      </c>
      <c r="AP72" s="4" cm="1">
        <f t="array" ref="AP72">INDEX(GMW!$A$2:$NF$150,MATCH(1,(GMW!$NE$2:$NE$150=AP$3)*(GMW!$ND$2:$ND$150=AP$4)*(GMW!$NF$2:$NF$150=AP$1),0),$C72-1966)</f>
        <v>336162.5</v>
      </c>
      <c r="AQ72" s="4" cm="1">
        <f t="array" ref="AQ72">INDEX(GMW!$A$2:$NF$150,MATCH(1,(GMW!$NE$2:$NE$150=AQ$3)*(GMW!$ND$2:$ND$150=AQ$4)*(GMW!$NF$2:$NF$150=AQ$1),0),$C72-1966)</f>
        <v>26075.77</v>
      </c>
      <c r="AR72" s="4" cm="1">
        <f t="array" ref="AR72">INDEX(GMW!$A$2:$NF$150,MATCH(1,(GMW!$NE$2:$NE$150=AR$3)*(GMW!$ND$2:$ND$150=AR$4)*(GMW!$NF$2:$NF$150=AR$1),0),$C72-1966)</f>
        <v>33.786050000000003</v>
      </c>
      <c r="AS72" s="4" cm="1">
        <f t="array" ref="AS72">INDEX(GMW!$A$2:$NF$150,MATCH(1,(GMW!$NE$2:$NE$150=AS$3)*(GMW!$ND$2:$ND$150=AS$4)*(GMW!$NF$2:$NF$150=AS$1),0),$C72-1966)</f>
        <v>341236.8</v>
      </c>
      <c r="AT72" s="4" cm="1">
        <f t="array" ref="AT72">INDEX(GMW!$A$2:$NF$150,MATCH(1,(GMW!$NE$2:$NE$150=AT$3)*(GMW!$ND$2:$ND$150=AT$4)*(GMW!$NF$2:$NF$150=AT$1),0),$C72-1966)</f>
        <v>37322.720000000001</v>
      </c>
      <c r="AU72" s="4" cm="1">
        <f t="array" ref="AU72">INDEX(GMW!$A$2:$NF$150,MATCH(1,(GMW!$NE$2:$NE$150=AU$3)*(GMW!$ND$2:$ND$150=AU$4)*(GMW!$NF$2:$NF$150=AU$1),0),$C72-1966)</f>
        <v>1482443</v>
      </c>
      <c r="AV72" s="4" cm="1">
        <f t="array" ref="AV72">INDEX(GMW!$A$2:$NF$150,MATCH(1,(GMW!$NE$2:$NE$150=AV$3)*(GMW!$ND$2:$ND$150=AV$4)*(GMW!$NF$2:$NF$150=AV$1),0),$C72-1966)</f>
        <v>-1.8063359999999999</v>
      </c>
    </row>
    <row r="73" spans="1:48" x14ac:dyDescent="0.25">
      <c r="B73" s="4">
        <f t="shared" si="4"/>
        <v>1989</v>
      </c>
      <c r="C73" s="4">
        <f t="shared" si="5"/>
        <v>2039</v>
      </c>
      <c r="D73" s="4" cm="1">
        <f t="array" ref="D73">INDEX(GMW!$A$2:$NF$150,MATCH(1,(GMW!$NE$2:$NE$150=D$3)*(GMW!$ND$2:$ND$150=D$4)*(GMW!$NF$2:$NF$150=D$1),0),$C73-1966)</f>
        <v>349572</v>
      </c>
      <c r="E73" s="4" cm="1">
        <f t="array" ref="E73">INDEX(GMW!$A$2:$NF$150,MATCH(1,(GMW!$NE$2:$NE$150=E$3)*(GMW!$ND$2:$ND$150=E$4)*(GMW!$NF$2:$NF$150=E$1),0),$C73-1966)</f>
        <v>52.466670000000001</v>
      </c>
      <c r="F73" s="4" cm="1">
        <f t="array" ref="F73">INDEX(GMW!$A$2:$NF$150,MATCH(1,(GMW!$NE$2:$NE$150=F$3)*(GMW!$ND$2:$ND$150=F$4)*(GMW!$NF$2:$NF$150=F$1),0),$C73-1966)</f>
        <v>62836</v>
      </c>
      <c r="G73" s="4" cm="1">
        <f t="array" ref="G73">INDEX(GMW!$A$2:$NF$150,MATCH(1,(GMW!$NE$2:$NE$150=G$3)*(GMW!$ND$2:$ND$150=G$4)*(GMW!$NF$2:$NF$150=G$1),0),$C73-1966)</f>
        <v>25721.19</v>
      </c>
      <c r="H73" s="4" cm="1">
        <f t="array" ref="H73">INDEX(GMW!$A$2:$NF$150,MATCH(1,(GMW!$NE$2:$NE$150=H$3)*(GMW!$ND$2:$ND$150=H$4)*(GMW!$NF$2:$NF$150=H$1),0),$C73-1966)</f>
        <v>65429</v>
      </c>
      <c r="I73" s="4" cm="1">
        <f t="array" ref="I73">INDEX(GMW!$A$2:$NF$150,MATCH(1,(GMW!$NE$2:$NE$150=I$3)*(GMW!$ND$2:$ND$150=I$4)*(GMW!$NF$2:$NF$150=I$1),0),$C73-1966)</f>
        <v>34148.129999999997</v>
      </c>
      <c r="J73" s="4" cm="1">
        <f t="array" ref="J73">INDEX(GMW!$A$2:$NF$150,MATCH(1,(GMW!$NE$2:$NE$150=J$3)*(GMW!$ND$2:$ND$150=J$4)*(GMW!$NF$2:$NF$150=J$1),0),$C73-1966)</f>
        <v>72584</v>
      </c>
      <c r="K73" s="4" cm="1">
        <f t="array" ref="K73">INDEX(GMW!$A$2:$NF$150,MATCH(1,(GMW!$NE$2:$NE$150=K$3)*(GMW!$ND$2:$ND$150=K$4)*(GMW!$NF$2:$NF$150=K$1),0),$C73-1966)</f>
        <v>30734.81</v>
      </c>
      <c r="L73" s="4" cm="1">
        <f t="array" ref="L73">INDEX(GMW!$A$2:$NF$150,MATCH(1,(GMW!$NE$2:$NE$150=L$3)*(GMW!$ND$2:$ND$150=L$4)*(GMW!$NF$2:$NF$150=L$1),0),$C73-1966)</f>
        <v>338615.3</v>
      </c>
      <c r="M73" s="4" cm="1">
        <f t="array" ref="M73">INDEX(GMW!$A$2:$NF$150,MATCH(1,(GMW!$NE$2:$NE$150=M$3)*(GMW!$ND$2:$ND$150=M$4)*(GMW!$NF$2:$NF$150=M$1),0),$C73-1966)</f>
        <v>26100.2</v>
      </c>
      <c r="N73" s="4" cm="1">
        <f t="array" ref="N73">INDEX(GMW!$A$2:$NF$150,MATCH(1,(GMW!$NE$2:$NE$150=N$3)*(GMW!$ND$2:$ND$150=N$4)*(GMW!$NF$2:$NF$150=N$1),0),$C73-1966)</f>
        <v>33.775669999999998</v>
      </c>
      <c r="O73" s="4" cm="1">
        <f t="array" ref="O73">INDEX(GMW!$A$2:$NF$150,MATCH(1,(GMW!$NE$2:$NE$150=O$3)*(GMW!$ND$2:$ND$150=O$4)*(GMW!$NF$2:$NF$150=O$1),0),$C73-1966)</f>
        <v>342391.9</v>
      </c>
      <c r="P73" s="4" cm="1">
        <f t="array" ref="P73">INDEX(GMW!$A$2:$NF$150,MATCH(1,(GMW!$NE$2:$NE$150=P$3)*(GMW!$ND$2:$ND$150=P$4)*(GMW!$NF$2:$NF$150=P$1),0),$C73-1966)</f>
        <v>37331.61</v>
      </c>
      <c r="Q73" s="4" cm="1">
        <f t="array" ref="Q73">INDEX(GMW!$A$2:$NF$150,MATCH(1,(GMW!$NE$2:$NE$150=Q$3)*(GMW!$ND$2:$ND$150=Q$4)*(GMW!$NF$2:$NF$150=Q$1),0),$C73-1966)</f>
        <v>1495739</v>
      </c>
      <c r="R73" s="4" cm="1">
        <f t="array" ref="R73">INDEX(GMW!$A$2:$NF$150,MATCH(1,(GMW!$NE$2:$NE$150=R$3)*(GMW!$ND$2:$ND$150=R$4)*(GMW!$NF$2:$NF$150=R$1),0),$C73-1966)</f>
        <v>-1.803571</v>
      </c>
      <c r="S73" s="4" cm="1">
        <f t="array" ref="S73">INDEX(GMW!$A$2:$NF$150,MATCH(1,(GMW!$NE$2:$NE$150=S$3)*(GMW!$ND$2:$ND$150=S$4)*(GMW!$NF$2:$NF$150=S$1),0),$C73-1966)</f>
        <v>349572</v>
      </c>
      <c r="T73" s="4" cm="1">
        <f t="array" ref="T73">INDEX(GMW!$A$2:$NF$150,MATCH(1,(GMW!$NE$2:$NE$150=T$3)*(GMW!$ND$2:$ND$150=T$4)*(GMW!$NF$2:$NF$150=T$1),0),$C73-1966)</f>
        <v>52.466670000000001</v>
      </c>
      <c r="U73" s="4" cm="1">
        <f t="array" ref="U73">INDEX(GMW!$A$2:$NF$150,MATCH(1,(GMW!$NE$2:$NE$150=U$3)*(GMW!$ND$2:$ND$150=U$4)*(GMW!$NF$2:$NF$150=U$1),0),$C73-1966)</f>
        <v>62836</v>
      </c>
      <c r="V73" s="4" cm="1">
        <f t="array" ref="V73">INDEX(GMW!$A$2:$NF$150,MATCH(1,(GMW!$NE$2:$NE$150=V$3)*(GMW!$ND$2:$ND$150=V$4)*(GMW!$NF$2:$NF$150=V$1),0),$C73-1966)</f>
        <v>25721.19</v>
      </c>
      <c r="W73" s="4" cm="1">
        <f t="array" ref="W73">INDEX(GMW!$A$2:$NF$150,MATCH(1,(GMW!$NE$2:$NE$150=W$3)*(GMW!$ND$2:$ND$150=W$4)*(GMW!$NF$2:$NF$150=W$1),0),$C73-1966)</f>
        <v>65429</v>
      </c>
      <c r="X73" s="4" cm="1">
        <f t="array" ref="X73">INDEX(GMW!$A$2:$NF$150,MATCH(1,(GMW!$NE$2:$NE$150=X$3)*(GMW!$ND$2:$ND$150=X$4)*(GMW!$NF$2:$NF$150=X$1),0),$C73-1966)</f>
        <v>34148.129999999997</v>
      </c>
      <c r="Y73" s="4" cm="1">
        <f t="array" ref="Y73">INDEX(GMW!$A$2:$NF$150,MATCH(1,(GMW!$NE$2:$NE$150=Y$3)*(GMW!$ND$2:$ND$150=Y$4)*(GMW!$NF$2:$NF$150=Y$1),0),$C73-1966)</f>
        <v>72584</v>
      </c>
      <c r="Z73" s="4" cm="1">
        <f t="array" ref="Z73">INDEX(GMW!$A$2:$NF$150,MATCH(1,(GMW!$NE$2:$NE$150=Z$3)*(GMW!$ND$2:$ND$150=Z$4)*(GMW!$NF$2:$NF$150=Z$1),0),$C73-1966)</f>
        <v>30734.81</v>
      </c>
      <c r="AA73" s="4" cm="1">
        <f t="array" ref="AA73">INDEX(GMW!$A$2:$NF$150,MATCH(1,(GMW!$NE$2:$NE$150=AA$3)*(GMW!$ND$2:$ND$150=AA$4)*(GMW!$NF$2:$NF$150=AA$1),0),$C73-1966)</f>
        <v>338615.3</v>
      </c>
      <c r="AB73" s="4" cm="1">
        <f t="array" ref="AB73">INDEX(GMW!$A$2:$NF$150,MATCH(1,(GMW!$NE$2:$NE$150=AB$3)*(GMW!$ND$2:$ND$150=AB$4)*(GMW!$NF$2:$NF$150=AB$1),0),$C73-1966)</f>
        <v>26100.2</v>
      </c>
      <c r="AC73" s="4" cm="1">
        <f t="array" ref="AC73">INDEX(GMW!$A$2:$NF$150,MATCH(1,(GMW!$NE$2:$NE$150=AC$3)*(GMW!$ND$2:$ND$150=AC$4)*(GMW!$NF$2:$NF$150=AC$1),0),$C73-1966)</f>
        <v>33.775669999999998</v>
      </c>
      <c r="AD73" s="4" cm="1">
        <f t="array" ref="AD73">INDEX(GMW!$A$2:$NF$150,MATCH(1,(GMW!$NE$2:$NE$150=AD$3)*(GMW!$ND$2:$ND$150=AD$4)*(GMW!$NF$2:$NF$150=AD$1),0),$C73-1966)</f>
        <v>342391.9</v>
      </c>
      <c r="AE73" s="4" cm="1">
        <f t="array" ref="AE73">INDEX(GMW!$A$2:$NF$150,MATCH(1,(GMW!$NE$2:$NE$150=AE$3)*(GMW!$ND$2:$ND$150=AE$4)*(GMW!$NF$2:$NF$150=AE$1),0),$C73-1966)</f>
        <v>37331.61</v>
      </c>
      <c r="AF73" s="4" cm="1">
        <f t="array" ref="AF73">INDEX(GMW!$A$2:$NF$150,MATCH(1,(GMW!$NE$2:$NE$150=AF$3)*(GMW!$ND$2:$ND$150=AF$4)*(GMW!$NF$2:$NF$150=AF$1),0),$C73-1966)</f>
        <v>1495739</v>
      </c>
      <c r="AG73" s="4" cm="1">
        <f t="array" ref="AG73">INDEX(GMW!$A$2:$NF$150,MATCH(1,(GMW!$NE$2:$NE$150=AG$3)*(GMW!$ND$2:$ND$150=AG$4)*(GMW!$NF$2:$NF$150=AG$1),0),$C73-1966)</f>
        <v>-1.803571</v>
      </c>
      <c r="AH73" s="4" cm="1">
        <f t="array" ref="AH73">INDEX(GMW!$A$2:$NF$150,MATCH(1,(GMW!$NE$2:$NE$150=AH$3)*(GMW!$ND$2:$ND$150=AH$4)*(GMW!$NF$2:$NF$150=AH$1),0),$C73-1966)</f>
        <v>349572</v>
      </c>
      <c r="AI73" s="4" cm="1">
        <f t="array" ref="AI73">INDEX(GMW!$A$2:$NF$150,MATCH(1,(GMW!$NE$2:$NE$150=AI$3)*(GMW!$ND$2:$ND$150=AI$4)*(GMW!$NF$2:$NF$150=AI$1),0),$C73-1966)</f>
        <v>52.466670000000001</v>
      </c>
      <c r="AJ73" s="4" cm="1">
        <f t="array" ref="AJ73">INDEX(GMW!$A$2:$NF$150,MATCH(1,(GMW!$NE$2:$NE$150=AJ$3)*(GMW!$ND$2:$ND$150=AJ$4)*(GMW!$NF$2:$NF$150=AJ$1),0),$C73-1966)</f>
        <v>62836</v>
      </c>
      <c r="AK73" s="4" cm="1">
        <f t="array" ref="AK73">INDEX(GMW!$A$2:$NF$150,MATCH(1,(GMW!$NE$2:$NE$150=AK$3)*(GMW!$ND$2:$ND$150=AK$4)*(GMW!$NF$2:$NF$150=AK$1),0),$C73-1966)</f>
        <v>25721.19</v>
      </c>
      <c r="AL73" s="4" cm="1">
        <f t="array" ref="AL73">INDEX(GMW!$A$2:$NF$150,MATCH(1,(GMW!$NE$2:$NE$150=AL$3)*(GMW!$ND$2:$ND$150=AL$4)*(GMW!$NF$2:$NF$150=AL$1),0),$C73-1966)</f>
        <v>65429</v>
      </c>
      <c r="AM73" s="4" cm="1">
        <f t="array" ref="AM73">INDEX(GMW!$A$2:$NF$150,MATCH(1,(GMW!$NE$2:$NE$150=AM$3)*(GMW!$ND$2:$ND$150=AM$4)*(GMW!$NF$2:$NF$150=AM$1),0),$C73-1966)</f>
        <v>34148.129999999997</v>
      </c>
      <c r="AN73" s="4" cm="1">
        <f t="array" ref="AN73">INDEX(GMW!$A$2:$NF$150,MATCH(1,(GMW!$NE$2:$NE$150=AN$3)*(GMW!$ND$2:$ND$150=AN$4)*(GMW!$NF$2:$NF$150=AN$1),0),$C73-1966)</f>
        <v>72584</v>
      </c>
      <c r="AO73" s="4" cm="1">
        <f t="array" ref="AO73">INDEX(GMW!$A$2:$NF$150,MATCH(1,(GMW!$NE$2:$NE$150=AO$3)*(GMW!$ND$2:$ND$150=AO$4)*(GMW!$NF$2:$NF$150=AO$1),0),$C73-1966)</f>
        <v>30734.81</v>
      </c>
      <c r="AP73" s="4" cm="1">
        <f t="array" ref="AP73">INDEX(GMW!$A$2:$NF$150,MATCH(1,(GMW!$NE$2:$NE$150=AP$3)*(GMW!$ND$2:$ND$150=AP$4)*(GMW!$NF$2:$NF$150=AP$1),0),$C73-1966)</f>
        <v>338615.3</v>
      </c>
      <c r="AQ73" s="4" cm="1">
        <f t="array" ref="AQ73">INDEX(GMW!$A$2:$NF$150,MATCH(1,(GMW!$NE$2:$NE$150=AQ$3)*(GMW!$ND$2:$ND$150=AQ$4)*(GMW!$NF$2:$NF$150=AQ$1),0),$C73-1966)</f>
        <v>26100.2</v>
      </c>
      <c r="AR73" s="4" cm="1">
        <f t="array" ref="AR73">INDEX(GMW!$A$2:$NF$150,MATCH(1,(GMW!$NE$2:$NE$150=AR$3)*(GMW!$ND$2:$ND$150=AR$4)*(GMW!$NF$2:$NF$150=AR$1),0),$C73-1966)</f>
        <v>33.775669999999998</v>
      </c>
      <c r="AS73" s="4" cm="1">
        <f t="array" ref="AS73">INDEX(GMW!$A$2:$NF$150,MATCH(1,(GMW!$NE$2:$NE$150=AS$3)*(GMW!$ND$2:$ND$150=AS$4)*(GMW!$NF$2:$NF$150=AS$1),0),$C73-1966)</f>
        <v>342391.9</v>
      </c>
      <c r="AT73" s="4" cm="1">
        <f t="array" ref="AT73">INDEX(GMW!$A$2:$NF$150,MATCH(1,(GMW!$NE$2:$NE$150=AT$3)*(GMW!$ND$2:$ND$150=AT$4)*(GMW!$NF$2:$NF$150=AT$1),0),$C73-1966)</f>
        <v>37331.61</v>
      </c>
      <c r="AU73" s="4" cm="1">
        <f t="array" ref="AU73">INDEX(GMW!$A$2:$NF$150,MATCH(1,(GMW!$NE$2:$NE$150=AU$3)*(GMW!$ND$2:$ND$150=AU$4)*(GMW!$NF$2:$NF$150=AU$1),0),$C73-1966)</f>
        <v>1495739</v>
      </c>
      <c r="AV73" s="4" cm="1">
        <f t="array" ref="AV73">INDEX(GMW!$A$2:$NF$150,MATCH(1,(GMW!$NE$2:$NE$150=AV$3)*(GMW!$ND$2:$ND$150=AV$4)*(GMW!$NF$2:$NF$150=AV$1),0),$C73-1966)</f>
        <v>-1.803571</v>
      </c>
    </row>
    <row r="74" spans="1:48" x14ac:dyDescent="0.25">
      <c r="B74" s="4">
        <f t="shared" si="4"/>
        <v>1989</v>
      </c>
      <c r="C74" s="4">
        <f t="shared" si="5"/>
        <v>2040</v>
      </c>
      <c r="D74" s="4" cm="1">
        <f t="array" ref="D74">INDEX(GMW!$A$2:$NF$150,MATCH(1,(GMW!$NE$2:$NE$150=D$3)*(GMW!$ND$2:$ND$150=D$4)*(GMW!$NF$2:$NF$150=D$1),0),$C74-1966)</f>
        <v>349523</v>
      </c>
      <c r="E74" s="4" cm="1">
        <f t="array" ref="E74">INDEX(GMW!$A$2:$NF$150,MATCH(1,(GMW!$NE$2:$NE$150=E$3)*(GMW!$ND$2:$ND$150=E$4)*(GMW!$NF$2:$NF$150=E$1),0),$C74-1966)</f>
        <v>53.266669999999998</v>
      </c>
      <c r="F74" s="4" cm="1">
        <f t="array" ref="F74">INDEX(GMW!$A$2:$NF$150,MATCH(1,(GMW!$NE$2:$NE$150=F$3)*(GMW!$ND$2:$ND$150=F$4)*(GMW!$NF$2:$NF$150=F$1),0),$C74-1966)</f>
        <v>64551</v>
      </c>
      <c r="G74" s="4" cm="1">
        <f t="array" ref="G74">INDEX(GMW!$A$2:$NF$150,MATCH(1,(GMW!$NE$2:$NE$150=G$3)*(GMW!$ND$2:$ND$150=G$4)*(GMW!$NF$2:$NF$150=G$1),0),$C74-1966)</f>
        <v>26584.37</v>
      </c>
      <c r="H74" s="4" cm="1">
        <f t="array" ref="H74">INDEX(GMW!$A$2:$NF$150,MATCH(1,(GMW!$NE$2:$NE$150=H$3)*(GMW!$ND$2:$ND$150=H$4)*(GMW!$NF$2:$NF$150=H$1),0),$C74-1966)</f>
        <v>64379</v>
      </c>
      <c r="I74" s="4" cm="1">
        <f t="array" ref="I74">INDEX(GMW!$A$2:$NF$150,MATCH(1,(GMW!$NE$2:$NE$150=I$3)*(GMW!$ND$2:$ND$150=I$4)*(GMW!$NF$2:$NF$150=I$1),0),$C74-1966)</f>
        <v>32768.230000000003</v>
      </c>
      <c r="J74" s="4" cm="1">
        <f t="array" ref="J74">INDEX(GMW!$A$2:$NF$150,MATCH(1,(GMW!$NE$2:$NE$150=J$3)*(GMW!$ND$2:$ND$150=J$4)*(GMW!$NF$2:$NF$150=J$1),0),$C74-1966)</f>
        <v>71156</v>
      </c>
      <c r="K74" s="4" cm="1">
        <f t="array" ref="K74">INDEX(GMW!$A$2:$NF$150,MATCH(1,(GMW!$NE$2:$NE$150=K$3)*(GMW!$ND$2:$ND$150=K$4)*(GMW!$NF$2:$NF$150=K$1),0),$C74-1966)</f>
        <v>29954.45</v>
      </c>
      <c r="L74" s="4" cm="1">
        <f t="array" ref="L74">INDEX(GMW!$A$2:$NF$150,MATCH(1,(GMW!$NE$2:$NE$150=L$3)*(GMW!$ND$2:$ND$150=L$4)*(GMW!$NF$2:$NF$150=L$1),0),$C74-1966)</f>
        <v>341204.8</v>
      </c>
      <c r="M74" s="4" cm="1">
        <f t="array" ref="M74">INDEX(GMW!$A$2:$NF$150,MATCH(1,(GMW!$NE$2:$NE$150=M$3)*(GMW!$ND$2:$ND$150=M$4)*(GMW!$NF$2:$NF$150=M$1),0),$C74-1966)</f>
        <v>26155.4</v>
      </c>
      <c r="N74" s="4" cm="1">
        <f t="array" ref="N74">INDEX(GMW!$A$2:$NF$150,MATCH(1,(GMW!$NE$2:$NE$150=N$3)*(GMW!$ND$2:$ND$150=N$4)*(GMW!$NF$2:$NF$150=N$1),0),$C74-1966)</f>
        <v>33.749740000000003</v>
      </c>
      <c r="O74" s="4" cm="1">
        <f t="array" ref="O74">INDEX(GMW!$A$2:$NF$150,MATCH(1,(GMW!$NE$2:$NE$150=O$3)*(GMW!$ND$2:$ND$150=O$4)*(GMW!$NF$2:$NF$150=O$1),0),$C74-1966)</f>
        <v>343453.9</v>
      </c>
      <c r="P74" s="4" cm="1">
        <f t="array" ref="P74">INDEX(GMW!$A$2:$NF$150,MATCH(1,(GMW!$NE$2:$NE$150=P$3)*(GMW!$ND$2:$ND$150=P$4)*(GMW!$NF$2:$NF$150=P$1),0),$C74-1966)</f>
        <v>37340.49</v>
      </c>
      <c r="Q74" s="4" cm="1">
        <f t="array" ref="Q74">INDEX(GMW!$A$2:$NF$150,MATCH(1,(GMW!$NE$2:$NE$150=Q$3)*(GMW!$ND$2:$ND$150=Q$4)*(GMW!$NF$2:$NF$150=Q$1),0),$C74-1966)</f>
        <v>1509034</v>
      </c>
      <c r="R74" s="4" cm="1">
        <f t="array" ref="R74">INDEX(GMW!$A$2:$NF$150,MATCH(1,(GMW!$NE$2:$NE$150=R$3)*(GMW!$ND$2:$ND$150=R$4)*(GMW!$NF$2:$NF$150=R$1),0),$C74-1966)</f>
        <v>-1.80081</v>
      </c>
      <c r="S74" s="4" cm="1">
        <f t="array" ref="S74">INDEX(GMW!$A$2:$NF$150,MATCH(1,(GMW!$NE$2:$NE$150=S$3)*(GMW!$ND$2:$ND$150=S$4)*(GMW!$NF$2:$NF$150=S$1),0),$C74-1966)</f>
        <v>349523</v>
      </c>
      <c r="T74" s="4" cm="1">
        <f t="array" ref="T74">INDEX(GMW!$A$2:$NF$150,MATCH(1,(GMW!$NE$2:$NE$150=T$3)*(GMW!$ND$2:$ND$150=T$4)*(GMW!$NF$2:$NF$150=T$1),0),$C74-1966)</f>
        <v>53.266669999999998</v>
      </c>
      <c r="U74" s="4" cm="1">
        <f t="array" ref="U74">INDEX(GMW!$A$2:$NF$150,MATCH(1,(GMW!$NE$2:$NE$150=U$3)*(GMW!$ND$2:$ND$150=U$4)*(GMW!$NF$2:$NF$150=U$1),0),$C74-1966)</f>
        <v>64551</v>
      </c>
      <c r="V74" s="4" cm="1">
        <f t="array" ref="V74">INDEX(GMW!$A$2:$NF$150,MATCH(1,(GMW!$NE$2:$NE$150=V$3)*(GMW!$ND$2:$ND$150=V$4)*(GMW!$NF$2:$NF$150=V$1),0),$C74-1966)</f>
        <v>26584.37</v>
      </c>
      <c r="W74" s="4" cm="1">
        <f t="array" ref="W74">INDEX(GMW!$A$2:$NF$150,MATCH(1,(GMW!$NE$2:$NE$150=W$3)*(GMW!$ND$2:$ND$150=W$4)*(GMW!$NF$2:$NF$150=W$1),0),$C74-1966)</f>
        <v>64379</v>
      </c>
      <c r="X74" s="4" cm="1">
        <f t="array" ref="X74">INDEX(GMW!$A$2:$NF$150,MATCH(1,(GMW!$NE$2:$NE$150=X$3)*(GMW!$ND$2:$ND$150=X$4)*(GMW!$NF$2:$NF$150=X$1),0),$C74-1966)</f>
        <v>32768.230000000003</v>
      </c>
      <c r="Y74" s="4" cm="1">
        <f t="array" ref="Y74">INDEX(GMW!$A$2:$NF$150,MATCH(1,(GMW!$NE$2:$NE$150=Y$3)*(GMW!$ND$2:$ND$150=Y$4)*(GMW!$NF$2:$NF$150=Y$1),0),$C74-1966)</f>
        <v>71156</v>
      </c>
      <c r="Z74" s="4" cm="1">
        <f t="array" ref="Z74">INDEX(GMW!$A$2:$NF$150,MATCH(1,(GMW!$NE$2:$NE$150=Z$3)*(GMW!$ND$2:$ND$150=Z$4)*(GMW!$NF$2:$NF$150=Z$1),0),$C74-1966)</f>
        <v>29954.45</v>
      </c>
      <c r="AA74" s="4" cm="1">
        <f t="array" ref="AA74">INDEX(GMW!$A$2:$NF$150,MATCH(1,(GMW!$NE$2:$NE$150=AA$3)*(GMW!$ND$2:$ND$150=AA$4)*(GMW!$NF$2:$NF$150=AA$1),0),$C74-1966)</f>
        <v>341204.8</v>
      </c>
      <c r="AB74" s="4" cm="1">
        <f t="array" ref="AB74">INDEX(GMW!$A$2:$NF$150,MATCH(1,(GMW!$NE$2:$NE$150=AB$3)*(GMW!$ND$2:$ND$150=AB$4)*(GMW!$NF$2:$NF$150=AB$1),0),$C74-1966)</f>
        <v>26155.4</v>
      </c>
      <c r="AC74" s="4" cm="1">
        <f t="array" ref="AC74">INDEX(GMW!$A$2:$NF$150,MATCH(1,(GMW!$NE$2:$NE$150=AC$3)*(GMW!$ND$2:$ND$150=AC$4)*(GMW!$NF$2:$NF$150=AC$1),0),$C74-1966)</f>
        <v>33.749740000000003</v>
      </c>
      <c r="AD74" s="4" cm="1">
        <f t="array" ref="AD74">INDEX(GMW!$A$2:$NF$150,MATCH(1,(GMW!$NE$2:$NE$150=AD$3)*(GMW!$ND$2:$ND$150=AD$4)*(GMW!$NF$2:$NF$150=AD$1),0),$C74-1966)</f>
        <v>343453.9</v>
      </c>
      <c r="AE74" s="4" cm="1">
        <f t="array" ref="AE74">INDEX(GMW!$A$2:$NF$150,MATCH(1,(GMW!$NE$2:$NE$150=AE$3)*(GMW!$ND$2:$ND$150=AE$4)*(GMW!$NF$2:$NF$150=AE$1),0),$C74-1966)</f>
        <v>37340.49</v>
      </c>
      <c r="AF74" s="4" cm="1">
        <f t="array" ref="AF74">INDEX(GMW!$A$2:$NF$150,MATCH(1,(GMW!$NE$2:$NE$150=AF$3)*(GMW!$ND$2:$ND$150=AF$4)*(GMW!$NF$2:$NF$150=AF$1),0),$C74-1966)</f>
        <v>1509034</v>
      </c>
      <c r="AG74" s="4" cm="1">
        <f t="array" ref="AG74">INDEX(GMW!$A$2:$NF$150,MATCH(1,(GMW!$NE$2:$NE$150=AG$3)*(GMW!$ND$2:$ND$150=AG$4)*(GMW!$NF$2:$NF$150=AG$1),0),$C74-1966)</f>
        <v>-1.80081</v>
      </c>
      <c r="AH74" s="4" cm="1">
        <f t="array" ref="AH74">INDEX(GMW!$A$2:$NF$150,MATCH(1,(GMW!$NE$2:$NE$150=AH$3)*(GMW!$ND$2:$ND$150=AH$4)*(GMW!$NF$2:$NF$150=AH$1),0),$C74-1966)</f>
        <v>349523</v>
      </c>
      <c r="AI74" s="4" cm="1">
        <f t="array" ref="AI74">INDEX(GMW!$A$2:$NF$150,MATCH(1,(GMW!$NE$2:$NE$150=AI$3)*(GMW!$ND$2:$ND$150=AI$4)*(GMW!$NF$2:$NF$150=AI$1),0),$C74-1966)</f>
        <v>53.266669999999998</v>
      </c>
      <c r="AJ74" s="4" cm="1">
        <f t="array" ref="AJ74">INDEX(GMW!$A$2:$NF$150,MATCH(1,(GMW!$NE$2:$NE$150=AJ$3)*(GMW!$ND$2:$ND$150=AJ$4)*(GMW!$NF$2:$NF$150=AJ$1),0),$C74-1966)</f>
        <v>64551</v>
      </c>
      <c r="AK74" s="4" cm="1">
        <f t="array" ref="AK74">INDEX(GMW!$A$2:$NF$150,MATCH(1,(GMW!$NE$2:$NE$150=AK$3)*(GMW!$ND$2:$ND$150=AK$4)*(GMW!$NF$2:$NF$150=AK$1),0),$C74-1966)</f>
        <v>26584.37</v>
      </c>
      <c r="AL74" s="4" cm="1">
        <f t="array" ref="AL74">INDEX(GMW!$A$2:$NF$150,MATCH(1,(GMW!$NE$2:$NE$150=AL$3)*(GMW!$ND$2:$ND$150=AL$4)*(GMW!$NF$2:$NF$150=AL$1),0),$C74-1966)</f>
        <v>64379</v>
      </c>
      <c r="AM74" s="4" cm="1">
        <f t="array" ref="AM74">INDEX(GMW!$A$2:$NF$150,MATCH(1,(GMW!$NE$2:$NE$150=AM$3)*(GMW!$ND$2:$ND$150=AM$4)*(GMW!$NF$2:$NF$150=AM$1),0),$C74-1966)</f>
        <v>32768.230000000003</v>
      </c>
      <c r="AN74" s="4" cm="1">
        <f t="array" ref="AN74">INDEX(GMW!$A$2:$NF$150,MATCH(1,(GMW!$NE$2:$NE$150=AN$3)*(GMW!$ND$2:$ND$150=AN$4)*(GMW!$NF$2:$NF$150=AN$1),0),$C74-1966)</f>
        <v>71156</v>
      </c>
      <c r="AO74" s="4" cm="1">
        <f t="array" ref="AO74">INDEX(GMW!$A$2:$NF$150,MATCH(1,(GMW!$NE$2:$NE$150=AO$3)*(GMW!$ND$2:$ND$150=AO$4)*(GMW!$NF$2:$NF$150=AO$1),0),$C74-1966)</f>
        <v>29954.45</v>
      </c>
      <c r="AP74" s="4" cm="1">
        <f t="array" ref="AP74">INDEX(GMW!$A$2:$NF$150,MATCH(1,(GMW!$NE$2:$NE$150=AP$3)*(GMW!$ND$2:$ND$150=AP$4)*(GMW!$NF$2:$NF$150=AP$1),0),$C74-1966)</f>
        <v>341204.8</v>
      </c>
      <c r="AQ74" s="4" cm="1">
        <f t="array" ref="AQ74">INDEX(GMW!$A$2:$NF$150,MATCH(1,(GMW!$NE$2:$NE$150=AQ$3)*(GMW!$ND$2:$ND$150=AQ$4)*(GMW!$NF$2:$NF$150=AQ$1),0),$C74-1966)</f>
        <v>26155.4</v>
      </c>
      <c r="AR74" s="4" cm="1">
        <f t="array" ref="AR74">INDEX(GMW!$A$2:$NF$150,MATCH(1,(GMW!$NE$2:$NE$150=AR$3)*(GMW!$ND$2:$ND$150=AR$4)*(GMW!$NF$2:$NF$150=AR$1),0),$C74-1966)</f>
        <v>33.749740000000003</v>
      </c>
      <c r="AS74" s="4" cm="1">
        <f t="array" ref="AS74">INDEX(GMW!$A$2:$NF$150,MATCH(1,(GMW!$NE$2:$NE$150=AS$3)*(GMW!$ND$2:$ND$150=AS$4)*(GMW!$NF$2:$NF$150=AS$1),0),$C74-1966)</f>
        <v>343453.9</v>
      </c>
      <c r="AT74" s="4" cm="1">
        <f t="array" ref="AT74">INDEX(GMW!$A$2:$NF$150,MATCH(1,(GMW!$NE$2:$NE$150=AT$3)*(GMW!$ND$2:$ND$150=AT$4)*(GMW!$NF$2:$NF$150=AT$1),0),$C74-1966)</f>
        <v>37340.49</v>
      </c>
      <c r="AU74" s="4" cm="1">
        <f t="array" ref="AU74">INDEX(GMW!$A$2:$NF$150,MATCH(1,(GMW!$NE$2:$NE$150=AU$3)*(GMW!$ND$2:$ND$150=AU$4)*(GMW!$NF$2:$NF$150=AU$1),0),$C74-1966)</f>
        <v>1509034</v>
      </c>
      <c r="AV74" s="4" cm="1">
        <f t="array" ref="AV74">INDEX(GMW!$A$2:$NF$150,MATCH(1,(GMW!$NE$2:$NE$150=AV$3)*(GMW!$ND$2:$ND$150=AV$4)*(GMW!$NF$2:$NF$150=AV$1),0),$C74-1966)</f>
        <v>-1.80081</v>
      </c>
    </row>
    <row r="75" spans="1:48" x14ac:dyDescent="0.25">
      <c r="A75" s="4">
        <v>1990</v>
      </c>
      <c r="B75" s="4">
        <f t="shared" si="4"/>
        <v>1990</v>
      </c>
      <c r="C75" s="4">
        <f t="shared" si="5"/>
        <v>2041</v>
      </c>
      <c r="D75" s="4" cm="1">
        <f t="array" ref="D75">INDEX(GMW!$A$2:$NF$150,MATCH(1,(GMW!$NE$2:$NE$150=D$3)*(GMW!$ND$2:$ND$150=D$4)*(GMW!$NF$2:$NF$150=D$1),0),$C75-1966)</f>
        <v>351299</v>
      </c>
      <c r="E75" s="4" cm="1">
        <f t="array" ref="E75">INDEX(GMW!$A$2:$NF$150,MATCH(1,(GMW!$NE$2:$NE$150=E$3)*(GMW!$ND$2:$ND$150=E$4)*(GMW!$NF$2:$NF$150=E$1),0),$C75-1966)</f>
        <v>53.933329999999998</v>
      </c>
      <c r="F75" s="4" cm="1">
        <f t="array" ref="F75">INDEX(GMW!$A$2:$NF$150,MATCH(1,(GMW!$NE$2:$NE$150=F$3)*(GMW!$ND$2:$ND$150=F$4)*(GMW!$NF$2:$NF$150=F$1),0),$C75-1966)</f>
        <v>65996</v>
      </c>
      <c r="G75" s="4" cm="1">
        <f t="array" ref="G75">INDEX(GMW!$A$2:$NF$150,MATCH(1,(GMW!$NE$2:$NE$150=G$3)*(GMW!$ND$2:$ND$150=G$4)*(GMW!$NF$2:$NF$150=G$1),0),$C75-1966)</f>
        <v>26486.07</v>
      </c>
      <c r="H75" s="4" cm="1">
        <f t="array" ref="H75">INDEX(GMW!$A$2:$NF$150,MATCH(1,(GMW!$NE$2:$NE$150=H$3)*(GMW!$ND$2:$ND$150=H$4)*(GMW!$NF$2:$NF$150=H$1),0),$C75-1966)</f>
        <v>65982</v>
      </c>
      <c r="I75" s="4" cm="1">
        <f t="array" ref="I75">INDEX(GMW!$A$2:$NF$150,MATCH(1,(GMW!$NE$2:$NE$150=I$3)*(GMW!$ND$2:$ND$150=I$4)*(GMW!$NF$2:$NF$150=I$1),0),$C75-1966)</f>
        <v>32999.379999999997</v>
      </c>
      <c r="J75" s="4" cm="1">
        <f t="array" ref="J75">INDEX(GMW!$A$2:$NF$150,MATCH(1,(GMW!$NE$2:$NE$150=J$3)*(GMW!$ND$2:$ND$150=J$4)*(GMW!$NF$2:$NF$150=J$1),0),$C75-1966)</f>
        <v>71617</v>
      </c>
      <c r="K75" s="4" cm="1">
        <f t="array" ref="K75">INDEX(GMW!$A$2:$NF$150,MATCH(1,(GMW!$NE$2:$NE$150=K$3)*(GMW!$ND$2:$ND$150=K$4)*(GMW!$NF$2:$NF$150=K$1),0),$C75-1966)</f>
        <v>30036.51</v>
      </c>
      <c r="L75" s="4" cm="1">
        <f t="array" ref="L75">INDEX(GMW!$A$2:$NF$150,MATCH(1,(GMW!$NE$2:$NE$150=L$3)*(GMW!$ND$2:$ND$150=L$4)*(GMW!$NF$2:$NF$150=L$1),0),$C75-1966)</f>
        <v>343262.3</v>
      </c>
      <c r="M75" s="4" cm="1">
        <f t="array" ref="M75">INDEX(GMW!$A$2:$NF$150,MATCH(1,(GMW!$NE$2:$NE$150=M$3)*(GMW!$ND$2:$ND$150=M$4)*(GMW!$NF$2:$NF$150=M$1),0),$C75-1966)</f>
        <v>26158.12</v>
      </c>
      <c r="N75" s="4" cm="1">
        <f t="array" ref="N75">INDEX(GMW!$A$2:$NF$150,MATCH(1,(GMW!$NE$2:$NE$150=N$3)*(GMW!$ND$2:$ND$150=N$4)*(GMW!$NF$2:$NF$150=N$1),0),$C75-1966)</f>
        <v>33.708260000000003</v>
      </c>
      <c r="O75" s="4" cm="1">
        <f t="array" ref="O75">INDEX(GMW!$A$2:$NF$150,MATCH(1,(GMW!$NE$2:$NE$150=O$3)*(GMW!$ND$2:$ND$150=O$4)*(GMW!$NF$2:$NF$150=O$1),0),$C75-1966)</f>
        <v>344556.3</v>
      </c>
      <c r="P75" s="4" cm="1">
        <f t="array" ref="P75">INDEX(GMW!$A$2:$NF$150,MATCH(1,(GMW!$NE$2:$NE$150=P$3)*(GMW!$ND$2:$ND$150=P$4)*(GMW!$NF$2:$NF$150=P$1),0),$C75-1966)</f>
        <v>37349.370000000003</v>
      </c>
      <c r="Q75" s="4" cm="1">
        <f t="array" ref="Q75">INDEX(GMW!$A$2:$NF$150,MATCH(1,(GMW!$NE$2:$NE$150=Q$3)*(GMW!$ND$2:$ND$150=Q$4)*(GMW!$NF$2:$NF$150=Q$1),0),$C75-1966)</f>
        <v>1523928</v>
      </c>
      <c r="R75" s="4" cm="1">
        <f t="array" ref="R75">INDEX(GMW!$A$2:$NF$150,MATCH(1,(GMW!$NE$2:$NE$150=R$3)*(GMW!$ND$2:$ND$150=R$4)*(GMW!$NF$2:$NF$150=R$1),0),$C75-1966)</f>
        <v>-1.7980529999999999</v>
      </c>
      <c r="S75" s="4" cm="1">
        <f t="array" ref="S75">INDEX(GMW!$A$2:$NF$150,MATCH(1,(GMW!$NE$2:$NE$150=S$3)*(GMW!$ND$2:$ND$150=S$4)*(GMW!$NF$2:$NF$150=S$1),0),$C75-1966)</f>
        <v>351299</v>
      </c>
      <c r="T75" s="4" cm="1">
        <f t="array" ref="T75">INDEX(GMW!$A$2:$NF$150,MATCH(1,(GMW!$NE$2:$NE$150=T$3)*(GMW!$ND$2:$ND$150=T$4)*(GMW!$NF$2:$NF$150=T$1),0),$C75-1966)</f>
        <v>53.933329999999998</v>
      </c>
      <c r="U75" s="4" cm="1">
        <f t="array" ref="U75">INDEX(GMW!$A$2:$NF$150,MATCH(1,(GMW!$NE$2:$NE$150=U$3)*(GMW!$ND$2:$ND$150=U$4)*(GMW!$NF$2:$NF$150=U$1),0),$C75-1966)</f>
        <v>65996</v>
      </c>
      <c r="V75" s="4" cm="1">
        <f t="array" ref="V75">INDEX(GMW!$A$2:$NF$150,MATCH(1,(GMW!$NE$2:$NE$150=V$3)*(GMW!$ND$2:$ND$150=V$4)*(GMW!$NF$2:$NF$150=V$1),0),$C75-1966)</f>
        <v>26486.07</v>
      </c>
      <c r="W75" s="4" cm="1">
        <f t="array" ref="W75">INDEX(GMW!$A$2:$NF$150,MATCH(1,(GMW!$NE$2:$NE$150=W$3)*(GMW!$ND$2:$ND$150=W$4)*(GMW!$NF$2:$NF$150=W$1),0),$C75-1966)</f>
        <v>65982</v>
      </c>
      <c r="X75" s="4" cm="1">
        <f t="array" ref="X75">INDEX(GMW!$A$2:$NF$150,MATCH(1,(GMW!$NE$2:$NE$150=X$3)*(GMW!$ND$2:$ND$150=X$4)*(GMW!$NF$2:$NF$150=X$1),0),$C75-1966)</f>
        <v>32999.379999999997</v>
      </c>
      <c r="Y75" s="4" cm="1">
        <f t="array" ref="Y75">INDEX(GMW!$A$2:$NF$150,MATCH(1,(GMW!$NE$2:$NE$150=Y$3)*(GMW!$ND$2:$ND$150=Y$4)*(GMW!$NF$2:$NF$150=Y$1),0),$C75-1966)</f>
        <v>71617</v>
      </c>
      <c r="Z75" s="4" cm="1">
        <f t="array" ref="Z75">INDEX(GMW!$A$2:$NF$150,MATCH(1,(GMW!$NE$2:$NE$150=Z$3)*(GMW!$ND$2:$ND$150=Z$4)*(GMW!$NF$2:$NF$150=Z$1),0),$C75-1966)</f>
        <v>30036.51</v>
      </c>
      <c r="AA75" s="4" cm="1">
        <f t="array" ref="AA75">INDEX(GMW!$A$2:$NF$150,MATCH(1,(GMW!$NE$2:$NE$150=AA$3)*(GMW!$ND$2:$ND$150=AA$4)*(GMW!$NF$2:$NF$150=AA$1),0),$C75-1966)</f>
        <v>343262.3</v>
      </c>
      <c r="AB75" s="4" cm="1">
        <f t="array" ref="AB75">INDEX(GMW!$A$2:$NF$150,MATCH(1,(GMW!$NE$2:$NE$150=AB$3)*(GMW!$ND$2:$ND$150=AB$4)*(GMW!$NF$2:$NF$150=AB$1),0),$C75-1966)</f>
        <v>26158.12</v>
      </c>
      <c r="AC75" s="4" cm="1">
        <f t="array" ref="AC75">INDEX(GMW!$A$2:$NF$150,MATCH(1,(GMW!$NE$2:$NE$150=AC$3)*(GMW!$ND$2:$ND$150=AC$4)*(GMW!$NF$2:$NF$150=AC$1),0),$C75-1966)</f>
        <v>33.708260000000003</v>
      </c>
      <c r="AD75" s="4" cm="1">
        <f t="array" ref="AD75">INDEX(GMW!$A$2:$NF$150,MATCH(1,(GMW!$NE$2:$NE$150=AD$3)*(GMW!$ND$2:$ND$150=AD$4)*(GMW!$NF$2:$NF$150=AD$1),0),$C75-1966)</f>
        <v>344556.3</v>
      </c>
      <c r="AE75" s="4" cm="1">
        <f t="array" ref="AE75">INDEX(GMW!$A$2:$NF$150,MATCH(1,(GMW!$NE$2:$NE$150=AE$3)*(GMW!$ND$2:$ND$150=AE$4)*(GMW!$NF$2:$NF$150=AE$1),0),$C75-1966)</f>
        <v>37349.370000000003</v>
      </c>
      <c r="AF75" s="4" cm="1">
        <f t="array" ref="AF75">INDEX(GMW!$A$2:$NF$150,MATCH(1,(GMW!$NE$2:$NE$150=AF$3)*(GMW!$ND$2:$ND$150=AF$4)*(GMW!$NF$2:$NF$150=AF$1),0),$C75-1966)</f>
        <v>1523928</v>
      </c>
      <c r="AG75" s="4" cm="1">
        <f t="array" ref="AG75">INDEX(GMW!$A$2:$NF$150,MATCH(1,(GMW!$NE$2:$NE$150=AG$3)*(GMW!$ND$2:$ND$150=AG$4)*(GMW!$NF$2:$NF$150=AG$1),0),$C75-1966)</f>
        <v>-1.7980529999999999</v>
      </c>
      <c r="AH75" s="4" cm="1">
        <f t="array" ref="AH75">INDEX(GMW!$A$2:$NF$150,MATCH(1,(GMW!$NE$2:$NE$150=AH$3)*(GMW!$ND$2:$ND$150=AH$4)*(GMW!$NF$2:$NF$150=AH$1),0),$C75-1966)</f>
        <v>351299</v>
      </c>
      <c r="AI75" s="4" cm="1">
        <f t="array" ref="AI75">INDEX(GMW!$A$2:$NF$150,MATCH(1,(GMW!$NE$2:$NE$150=AI$3)*(GMW!$ND$2:$ND$150=AI$4)*(GMW!$NF$2:$NF$150=AI$1),0),$C75-1966)</f>
        <v>53.933329999999998</v>
      </c>
      <c r="AJ75" s="4" cm="1">
        <f t="array" ref="AJ75">INDEX(GMW!$A$2:$NF$150,MATCH(1,(GMW!$NE$2:$NE$150=AJ$3)*(GMW!$ND$2:$ND$150=AJ$4)*(GMW!$NF$2:$NF$150=AJ$1),0),$C75-1966)</f>
        <v>65996</v>
      </c>
      <c r="AK75" s="4" cm="1">
        <f t="array" ref="AK75">INDEX(GMW!$A$2:$NF$150,MATCH(1,(GMW!$NE$2:$NE$150=AK$3)*(GMW!$ND$2:$ND$150=AK$4)*(GMW!$NF$2:$NF$150=AK$1),0),$C75-1966)</f>
        <v>26486.07</v>
      </c>
      <c r="AL75" s="4" cm="1">
        <f t="array" ref="AL75">INDEX(GMW!$A$2:$NF$150,MATCH(1,(GMW!$NE$2:$NE$150=AL$3)*(GMW!$ND$2:$ND$150=AL$4)*(GMW!$NF$2:$NF$150=AL$1),0),$C75-1966)</f>
        <v>65982</v>
      </c>
      <c r="AM75" s="4" cm="1">
        <f t="array" ref="AM75">INDEX(GMW!$A$2:$NF$150,MATCH(1,(GMW!$NE$2:$NE$150=AM$3)*(GMW!$ND$2:$ND$150=AM$4)*(GMW!$NF$2:$NF$150=AM$1),0),$C75-1966)</f>
        <v>32999.379999999997</v>
      </c>
      <c r="AN75" s="4" cm="1">
        <f t="array" ref="AN75">INDEX(GMW!$A$2:$NF$150,MATCH(1,(GMW!$NE$2:$NE$150=AN$3)*(GMW!$ND$2:$ND$150=AN$4)*(GMW!$NF$2:$NF$150=AN$1),0),$C75-1966)</f>
        <v>71617</v>
      </c>
      <c r="AO75" s="4" cm="1">
        <f t="array" ref="AO75">INDEX(GMW!$A$2:$NF$150,MATCH(1,(GMW!$NE$2:$NE$150=AO$3)*(GMW!$ND$2:$ND$150=AO$4)*(GMW!$NF$2:$NF$150=AO$1),0),$C75-1966)</f>
        <v>30036.51</v>
      </c>
      <c r="AP75" s="4" cm="1">
        <f t="array" ref="AP75">INDEX(GMW!$A$2:$NF$150,MATCH(1,(GMW!$NE$2:$NE$150=AP$3)*(GMW!$ND$2:$ND$150=AP$4)*(GMW!$NF$2:$NF$150=AP$1),0),$C75-1966)</f>
        <v>343262.3</v>
      </c>
      <c r="AQ75" s="4" cm="1">
        <f t="array" ref="AQ75">INDEX(GMW!$A$2:$NF$150,MATCH(1,(GMW!$NE$2:$NE$150=AQ$3)*(GMW!$ND$2:$ND$150=AQ$4)*(GMW!$NF$2:$NF$150=AQ$1),0),$C75-1966)</f>
        <v>26158.12</v>
      </c>
      <c r="AR75" s="4" cm="1">
        <f t="array" ref="AR75">INDEX(GMW!$A$2:$NF$150,MATCH(1,(GMW!$NE$2:$NE$150=AR$3)*(GMW!$ND$2:$ND$150=AR$4)*(GMW!$NF$2:$NF$150=AR$1),0),$C75-1966)</f>
        <v>33.708260000000003</v>
      </c>
      <c r="AS75" s="4" cm="1">
        <f t="array" ref="AS75">INDEX(GMW!$A$2:$NF$150,MATCH(1,(GMW!$NE$2:$NE$150=AS$3)*(GMW!$ND$2:$ND$150=AS$4)*(GMW!$NF$2:$NF$150=AS$1),0),$C75-1966)</f>
        <v>344556.3</v>
      </c>
      <c r="AT75" s="4" cm="1">
        <f t="array" ref="AT75">INDEX(GMW!$A$2:$NF$150,MATCH(1,(GMW!$NE$2:$NE$150=AT$3)*(GMW!$ND$2:$ND$150=AT$4)*(GMW!$NF$2:$NF$150=AT$1),0),$C75-1966)</f>
        <v>37349.370000000003</v>
      </c>
      <c r="AU75" s="4" cm="1">
        <f t="array" ref="AU75">INDEX(GMW!$A$2:$NF$150,MATCH(1,(GMW!$NE$2:$NE$150=AU$3)*(GMW!$ND$2:$ND$150=AU$4)*(GMW!$NF$2:$NF$150=AU$1),0),$C75-1966)</f>
        <v>1523928</v>
      </c>
      <c r="AV75" s="4" cm="1">
        <f t="array" ref="AV75">INDEX(GMW!$A$2:$NF$150,MATCH(1,(GMW!$NE$2:$NE$150=AV$3)*(GMW!$ND$2:$ND$150=AV$4)*(GMW!$NF$2:$NF$150=AV$1),0),$C75-1966)</f>
        <v>-1.7980529999999999</v>
      </c>
    </row>
    <row r="76" spans="1:48" x14ac:dyDescent="0.25">
      <c r="B76" s="4">
        <f t="shared" ref="B76:B139" si="6">+B72+1</f>
        <v>1990</v>
      </c>
      <c r="C76" s="4">
        <f t="shared" si="5"/>
        <v>2042</v>
      </c>
      <c r="D76" s="4" cm="1">
        <f t="array" ref="D76">INDEX(GMW!$A$2:$NF$150,MATCH(1,(GMW!$NE$2:$NE$150=D$3)*(GMW!$ND$2:$ND$150=D$4)*(GMW!$NF$2:$NF$150=D$1),0),$C76-1966)</f>
        <v>353663</v>
      </c>
      <c r="E76" s="4" cm="1">
        <f t="array" ref="E76">INDEX(GMW!$A$2:$NF$150,MATCH(1,(GMW!$NE$2:$NE$150=E$3)*(GMW!$ND$2:$ND$150=E$4)*(GMW!$NF$2:$NF$150=E$1),0),$C76-1966)</f>
        <v>55.6</v>
      </c>
      <c r="F76" s="4" cm="1">
        <f t="array" ref="F76">INDEX(GMW!$A$2:$NF$150,MATCH(1,(GMW!$NE$2:$NE$150=F$3)*(GMW!$ND$2:$ND$150=F$4)*(GMW!$NF$2:$NF$150=F$1),0),$C76-1966)</f>
        <v>65850</v>
      </c>
      <c r="G76" s="4" cm="1">
        <f t="array" ref="G76">INDEX(GMW!$A$2:$NF$150,MATCH(1,(GMW!$NE$2:$NE$150=G$3)*(GMW!$ND$2:$ND$150=G$4)*(GMW!$NF$2:$NF$150=G$1),0),$C76-1966)</f>
        <v>27016.07</v>
      </c>
      <c r="H76" s="4" cm="1">
        <f t="array" ref="H76">INDEX(GMW!$A$2:$NF$150,MATCH(1,(GMW!$NE$2:$NE$150=H$3)*(GMW!$ND$2:$ND$150=H$4)*(GMW!$NF$2:$NF$150=H$1),0),$C76-1966)</f>
        <v>65805</v>
      </c>
      <c r="I76" s="4" cm="1">
        <f t="array" ref="I76">INDEX(GMW!$A$2:$NF$150,MATCH(1,(GMW!$NE$2:$NE$150=I$3)*(GMW!$ND$2:$ND$150=I$4)*(GMW!$NF$2:$NF$150=I$1),0),$C76-1966)</f>
        <v>32710.38</v>
      </c>
      <c r="J76" s="4" cm="1">
        <f t="array" ref="J76">INDEX(GMW!$A$2:$NF$150,MATCH(1,(GMW!$NE$2:$NE$150=J$3)*(GMW!$ND$2:$ND$150=J$4)*(GMW!$NF$2:$NF$150=J$1),0),$C76-1966)</f>
        <v>70596</v>
      </c>
      <c r="K76" s="4" cm="1">
        <f t="array" ref="K76">INDEX(GMW!$A$2:$NF$150,MATCH(1,(GMW!$NE$2:$NE$150=K$3)*(GMW!$ND$2:$ND$150=K$4)*(GMW!$NF$2:$NF$150=K$1),0),$C76-1966)</f>
        <v>30549.77</v>
      </c>
      <c r="L76" s="4" cm="1">
        <f t="array" ref="L76">INDEX(GMW!$A$2:$NF$150,MATCH(1,(GMW!$NE$2:$NE$150=L$3)*(GMW!$ND$2:$ND$150=L$4)*(GMW!$NF$2:$NF$150=L$1),0),$C76-1966)</f>
        <v>345587.5</v>
      </c>
      <c r="M76" s="4" cm="1">
        <f t="array" ref="M76">INDEX(GMW!$A$2:$NF$150,MATCH(1,(GMW!$NE$2:$NE$150=M$3)*(GMW!$ND$2:$ND$150=M$4)*(GMW!$NF$2:$NF$150=M$1),0),$C76-1966)</f>
        <v>26187.98</v>
      </c>
      <c r="N76" s="4" cm="1">
        <f t="array" ref="N76">INDEX(GMW!$A$2:$NF$150,MATCH(1,(GMW!$NE$2:$NE$150=N$3)*(GMW!$ND$2:$ND$150=N$4)*(GMW!$NF$2:$NF$150=N$1),0),$C76-1966)</f>
        <v>33.651200000000003</v>
      </c>
      <c r="O76" s="4" cm="1">
        <f t="array" ref="O76">INDEX(GMW!$A$2:$NF$150,MATCH(1,(GMW!$NE$2:$NE$150=O$3)*(GMW!$ND$2:$ND$150=O$4)*(GMW!$NF$2:$NF$150=O$1),0),$C76-1966)</f>
        <v>345697</v>
      </c>
      <c r="P76" s="4" cm="1">
        <f t="array" ref="P76">INDEX(GMW!$A$2:$NF$150,MATCH(1,(GMW!$NE$2:$NE$150=P$3)*(GMW!$ND$2:$ND$150=P$4)*(GMW!$NF$2:$NF$150=P$1),0),$C76-1966)</f>
        <v>37358.25</v>
      </c>
      <c r="Q76" s="4" cm="1">
        <f t="array" ref="Q76">INDEX(GMW!$A$2:$NF$150,MATCH(1,(GMW!$NE$2:$NE$150=Q$3)*(GMW!$ND$2:$ND$150=Q$4)*(GMW!$NF$2:$NF$150=Q$1),0),$C76-1966)</f>
        <v>1538822</v>
      </c>
      <c r="R76" s="4" cm="1">
        <f t="array" ref="R76">INDEX(GMW!$A$2:$NF$150,MATCH(1,(GMW!$NE$2:$NE$150=R$3)*(GMW!$ND$2:$ND$150=R$4)*(GMW!$NF$2:$NF$150=R$1),0),$C76-1966)</f>
        <v>-1.7952999999999999</v>
      </c>
      <c r="S76" s="4" cm="1">
        <f t="array" ref="S76">INDEX(GMW!$A$2:$NF$150,MATCH(1,(GMW!$NE$2:$NE$150=S$3)*(GMW!$ND$2:$ND$150=S$4)*(GMW!$NF$2:$NF$150=S$1),0),$C76-1966)</f>
        <v>353663</v>
      </c>
      <c r="T76" s="4" cm="1">
        <f t="array" ref="T76">INDEX(GMW!$A$2:$NF$150,MATCH(1,(GMW!$NE$2:$NE$150=T$3)*(GMW!$ND$2:$ND$150=T$4)*(GMW!$NF$2:$NF$150=T$1),0),$C76-1966)</f>
        <v>55.6</v>
      </c>
      <c r="U76" s="4" cm="1">
        <f t="array" ref="U76">INDEX(GMW!$A$2:$NF$150,MATCH(1,(GMW!$NE$2:$NE$150=U$3)*(GMW!$ND$2:$ND$150=U$4)*(GMW!$NF$2:$NF$150=U$1),0),$C76-1966)</f>
        <v>65850</v>
      </c>
      <c r="V76" s="4" cm="1">
        <f t="array" ref="V76">INDEX(GMW!$A$2:$NF$150,MATCH(1,(GMW!$NE$2:$NE$150=V$3)*(GMW!$ND$2:$ND$150=V$4)*(GMW!$NF$2:$NF$150=V$1),0),$C76-1966)</f>
        <v>27016.07</v>
      </c>
      <c r="W76" s="4" cm="1">
        <f t="array" ref="W76">INDEX(GMW!$A$2:$NF$150,MATCH(1,(GMW!$NE$2:$NE$150=W$3)*(GMW!$ND$2:$ND$150=W$4)*(GMW!$NF$2:$NF$150=W$1),0),$C76-1966)</f>
        <v>65805</v>
      </c>
      <c r="X76" s="4" cm="1">
        <f t="array" ref="X76">INDEX(GMW!$A$2:$NF$150,MATCH(1,(GMW!$NE$2:$NE$150=X$3)*(GMW!$ND$2:$ND$150=X$4)*(GMW!$NF$2:$NF$150=X$1),0),$C76-1966)</f>
        <v>32710.38</v>
      </c>
      <c r="Y76" s="4" cm="1">
        <f t="array" ref="Y76">INDEX(GMW!$A$2:$NF$150,MATCH(1,(GMW!$NE$2:$NE$150=Y$3)*(GMW!$ND$2:$ND$150=Y$4)*(GMW!$NF$2:$NF$150=Y$1),0),$C76-1966)</f>
        <v>70596</v>
      </c>
      <c r="Z76" s="4" cm="1">
        <f t="array" ref="Z76">INDEX(GMW!$A$2:$NF$150,MATCH(1,(GMW!$NE$2:$NE$150=Z$3)*(GMW!$ND$2:$ND$150=Z$4)*(GMW!$NF$2:$NF$150=Z$1),0),$C76-1966)</f>
        <v>30549.77</v>
      </c>
      <c r="AA76" s="4" cm="1">
        <f t="array" ref="AA76">INDEX(GMW!$A$2:$NF$150,MATCH(1,(GMW!$NE$2:$NE$150=AA$3)*(GMW!$ND$2:$ND$150=AA$4)*(GMW!$NF$2:$NF$150=AA$1),0),$C76-1966)</f>
        <v>345587.5</v>
      </c>
      <c r="AB76" s="4" cm="1">
        <f t="array" ref="AB76">INDEX(GMW!$A$2:$NF$150,MATCH(1,(GMW!$NE$2:$NE$150=AB$3)*(GMW!$ND$2:$ND$150=AB$4)*(GMW!$NF$2:$NF$150=AB$1),0),$C76-1966)</f>
        <v>26187.98</v>
      </c>
      <c r="AC76" s="4" cm="1">
        <f t="array" ref="AC76">INDEX(GMW!$A$2:$NF$150,MATCH(1,(GMW!$NE$2:$NE$150=AC$3)*(GMW!$ND$2:$ND$150=AC$4)*(GMW!$NF$2:$NF$150=AC$1),0),$C76-1966)</f>
        <v>33.651200000000003</v>
      </c>
      <c r="AD76" s="4" cm="1">
        <f t="array" ref="AD76">INDEX(GMW!$A$2:$NF$150,MATCH(1,(GMW!$NE$2:$NE$150=AD$3)*(GMW!$ND$2:$ND$150=AD$4)*(GMW!$NF$2:$NF$150=AD$1),0),$C76-1966)</f>
        <v>345697</v>
      </c>
      <c r="AE76" s="4" cm="1">
        <f t="array" ref="AE76">INDEX(GMW!$A$2:$NF$150,MATCH(1,(GMW!$NE$2:$NE$150=AE$3)*(GMW!$ND$2:$ND$150=AE$4)*(GMW!$NF$2:$NF$150=AE$1),0),$C76-1966)</f>
        <v>37358.25</v>
      </c>
      <c r="AF76" s="4" cm="1">
        <f t="array" ref="AF76">INDEX(GMW!$A$2:$NF$150,MATCH(1,(GMW!$NE$2:$NE$150=AF$3)*(GMW!$ND$2:$ND$150=AF$4)*(GMW!$NF$2:$NF$150=AF$1),0),$C76-1966)</f>
        <v>1538822</v>
      </c>
      <c r="AG76" s="4" cm="1">
        <f t="array" ref="AG76">INDEX(GMW!$A$2:$NF$150,MATCH(1,(GMW!$NE$2:$NE$150=AG$3)*(GMW!$ND$2:$ND$150=AG$4)*(GMW!$NF$2:$NF$150=AG$1),0),$C76-1966)</f>
        <v>-1.7952999999999999</v>
      </c>
      <c r="AH76" s="4" cm="1">
        <f t="array" ref="AH76">INDEX(GMW!$A$2:$NF$150,MATCH(1,(GMW!$NE$2:$NE$150=AH$3)*(GMW!$ND$2:$ND$150=AH$4)*(GMW!$NF$2:$NF$150=AH$1),0),$C76-1966)</f>
        <v>353663</v>
      </c>
      <c r="AI76" s="4" cm="1">
        <f t="array" ref="AI76">INDEX(GMW!$A$2:$NF$150,MATCH(1,(GMW!$NE$2:$NE$150=AI$3)*(GMW!$ND$2:$ND$150=AI$4)*(GMW!$NF$2:$NF$150=AI$1),0),$C76-1966)</f>
        <v>55.6</v>
      </c>
      <c r="AJ76" s="4" cm="1">
        <f t="array" ref="AJ76">INDEX(GMW!$A$2:$NF$150,MATCH(1,(GMW!$NE$2:$NE$150=AJ$3)*(GMW!$ND$2:$ND$150=AJ$4)*(GMW!$NF$2:$NF$150=AJ$1),0),$C76-1966)</f>
        <v>65850</v>
      </c>
      <c r="AK76" s="4" cm="1">
        <f t="array" ref="AK76">INDEX(GMW!$A$2:$NF$150,MATCH(1,(GMW!$NE$2:$NE$150=AK$3)*(GMW!$ND$2:$ND$150=AK$4)*(GMW!$NF$2:$NF$150=AK$1),0),$C76-1966)</f>
        <v>27016.07</v>
      </c>
      <c r="AL76" s="4" cm="1">
        <f t="array" ref="AL76">INDEX(GMW!$A$2:$NF$150,MATCH(1,(GMW!$NE$2:$NE$150=AL$3)*(GMW!$ND$2:$ND$150=AL$4)*(GMW!$NF$2:$NF$150=AL$1),0),$C76-1966)</f>
        <v>65805</v>
      </c>
      <c r="AM76" s="4" cm="1">
        <f t="array" ref="AM76">INDEX(GMW!$A$2:$NF$150,MATCH(1,(GMW!$NE$2:$NE$150=AM$3)*(GMW!$ND$2:$ND$150=AM$4)*(GMW!$NF$2:$NF$150=AM$1),0),$C76-1966)</f>
        <v>32710.38</v>
      </c>
      <c r="AN76" s="4" cm="1">
        <f t="array" ref="AN76">INDEX(GMW!$A$2:$NF$150,MATCH(1,(GMW!$NE$2:$NE$150=AN$3)*(GMW!$ND$2:$ND$150=AN$4)*(GMW!$NF$2:$NF$150=AN$1),0),$C76-1966)</f>
        <v>70596</v>
      </c>
      <c r="AO76" s="4" cm="1">
        <f t="array" ref="AO76">INDEX(GMW!$A$2:$NF$150,MATCH(1,(GMW!$NE$2:$NE$150=AO$3)*(GMW!$ND$2:$ND$150=AO$4)*(GMW!$NF$2:$NF$150=AO$1),0),$C76-1966)</f>
        <v>30549.77</v>
      </c>
      <c r="AP76" s="4" cm="1">
        <f t="array" ref="AP76">INDEX(GMW!$A$2:$NF$150,MATCH(1,(GMW!$NE$2:$NE$150=AP$3)*(GMW!$ND$2:$ND$150=AP$4)*(GMW!$NF$2:$NF$150=AP$1),0),$C76-1966)</f>
        <v>345587.5</v>
      </c>
      <c r="AQ76" s="4" cm="1">
        <f t="array" ref="AQ76">INDEX(GMW!$A$2:$NF$150,MATCH(1,(GMW!$NE$2:$NE$150=AQ$3)*(GMW!$ND$2:$ND$150=AQ$4)*(GMW!$NF$2:$NF$150=AQ$1),0),$C76-1966)</f>
        <v>26187.98</v>
      </c>
      <c r="AR76" s="4" cm="1">
        <f t="array" ref="AR76">INDEX(GMW!$A$2:$NF$150,MATCH(1,(GMW!$NE$2:$NE$150=AR$3)*(GMW!$ND$2:$ND$150=AR$4)*(GMW!$NF$2:$NF$150=AR$1),0),$C76-1966)</f>
        <v>33.651200000000003</v>
      </c>
      <c r="AS76" s="4" cm="1">
        <f t="array" ref="AS76">INDEX(GMW!$A$2:$NF$150,MATCH(1,(GMW!$NE$2:$NE$150=AS$3)*(GMW!$ND$2:$ND$150=AS$4)*(GMW!$NF$2:$NF$150=AS$1),0),$C76-1966)</f>
        <v>345697</v>
      </c>
      <c r="AT76" s="4" cm="1">
        <f t="array" ref="AT76">INDEX(GMW!$A$2:$NF$150,MATCH(1,(GMW!$NE$2:$NE$150=AT$3)*(GMW!$ND$2:$ND$150=AT$4)*(GMW!$NF$2:$NF$150=AT$1),0),$C76-1966)</f>
        <v>37358.25</v>
      </c>
      <c r="AU76" s="4" cm="1">
        <f t="array" ref="AU76">INDEX(GMW!$A$2:$NF$150,MATCH(1,(GMW!$NE$2:$NE$150=AU$3)*(GMW!$ND$2:$ND$150=AU$4)*(GMW!$NF$2:$NF$150=AU$1),0),$C76-1966)</f>
        <v>1538822</v>
      </c>
      <c r="AV76" s="4" cm="1">
        <f t="array" ref="AV76">INDEX(GMW!$A$2:$NF$150,MATCH(1,(GMW!$NE$2:$NE$150=AV$3)*(GMW!$ND$2:$ND$150=AV$4)*(GMW!$NF$2:$NF$150=AV$1),0),$C76-1966)</f>
        <v>-1.7952999999999999</v>
      </c>
    </row>
    <row r="77" spans="1:48" x14ac:dyDescent="0.25">
      <c r="B77" s="4">
        <f t="shared" si="6"/>
        <v>1990</v>
      </c>
      <c r="C77" s="4">
        <f t="shared" si="5"/>
        <v>2043</v>
      </c>
      <c r="D77" s="4" cm="1">
        <f t="array" ref="D77">INDEX(GMW!$A$2:$NF$150,MATCH(1,(GMW!$NE$2:$NE$150=D$3)*(GMW!$ND$2:$ND$150=D$4)*(GMW!$NF$2:$NF$150=D$1),0),$C77-1966)</f>
        <v>349780</v>
      </c>
      <c r="E77" s="4" cm="1">
        <f t="array" ref="E77">INDEX(GMW!$A$2:$NF$150,MATCH(1,(GMW!$NE$2:$NE$150=E$3)*(GMW!$ND$2:$ND$150=E$4)*(GMW!$NF$2:$NF$150=E$1),0),$C77-1966)</f>
        <v>56.4</v>
      </c>
      <c r="F77" s="4" cm="1">
        <f t="array" ref="F77">INDEX(GMW!$A$2:$NF$150,MATCH(1,(GMW!$NE$2:$NE$150=F$3)*(GMW!$ND$2:$ND$150=F$4)*(GMW!$NF$2:$NF$150=F$1),0),$C77-1966)</f>
        <v>65770</v>
      </c>
      <c r="G77" s="4" cm="1">
        <f t="array" ref="G77">INDEX(GMW!$A$2:$NF$150,MATCH(1,(GMW!$NE$2:$NE$150=G$3)*(GMW!$ND$2:$ND$150=G$4)*(GMW!$NF$2:$NF$150=G$1),0),$C77-1966)</f>
        <v>28534.959999999999</v>
      </c>
      <c r="H77" s="4" cm="1">
        <f t="array" ref="H77">INDEX(GMW!$A$2:$NF$150,MATCH(1,(GMW!$NE$2:$NE$150=H$3)*(GMW!$ND$2:$ND$150=H$4)*(GMW!$NF$2:$NF$150=H$1),0),$C77-1966)</f>
        <v>64692</v>
      </c>
      <c r="I77" s="4" cm="1">
        <f t="array" ref="I77">INDEX(GMW!$A$2:$NF$150,MATCH(1,(GMW!$NE$2:$NE$150=I$3)*(GMW!$ND$2:$ND$150=I$4)*(GMW!$NF$2:$NF$150=I$1),0),$C77-1966)</f>
        <v>31575.32</v>
      </c>
      <c r="J77" s="4" cm="1">
        <f t="array" ref="J77">INDEX(GMW!$A$2:$NF$150,MATCH(1,(GMW!$NE$2:$NE$150=J$3)*(GMW!$ND$2:$ND$150=J$4)*(GMW!$NF$2:$NF$150=J$1),0),$C77-1966)</f>
        <v>69949</v>
      </c>
      <c r="K77" s="4" cm="1">
        <f t="array" ref="K77">INDEX(GMW!$A$2:$NF$150,MATCH(1,(GMW!$NE$2:$NE$150=K$3)*(GMW!$ND$2:$ND$150=K$4)*(GMW!$NF$2:$NF$150=K$1),0),$C77-1966)</f>
        <v>29954.45</v>
      </c>
      <c r="L77" s="4" cm="1">
        <f t="array" ref="L77">INDEX(GMW!$A$2:$NF$150,MATCH(1,(GMW!$NE$2:$NE$150=L$3)*(GMW!$ND$2:$ND$150=L$4)*(GMW!$NF$2:$NF$150=L$1),0),$C77-1966)</f>
        <v>347648.4</v>
      </c>
      <c r="M77" s="4" cm="1">
        <f t="array" ref="M77">INDEX(GMW!$A$2:$NF$150,MATCH(1,(GMW!$NE$2:$NE$150=M$3)*(GMW!$ND$2:$ND$150=M$4)*(GMW!$NF$2:$NF$150=M$1),0),$C77-1966)</f>
        <v>26198.85</v>
      </c>
      <c r="N77" s="4" cm="1">
        <f t="array" ref="N77">INDEX(GMW!$A$2:$NF$150,MATCH(1,(GMW!$NE$2:$NE$150=N$3)*(GMW!$ND$2:$ND$150=N$4)*(GMW!$NF$2:$NF$150=N$1),0),$C77-1966)</f>
        <v>33.578600000000002</v>
      </c>
      <c r="O77" s="4" cm="1">
        <f t="array" ref="O77">INDEX(GMW!$A$2:$NF$150,MATCH(1,(GMW!$NE$2:$NE$150=O$3)*(GMW!$ND$2:$ND$150=O$4)*(GMW!$NF$2:$NF$150=O$1),0),$C77-1966)</f>
        <v>346798.8</v>
      </c>
      <c r="P77" s="4" cm="1">
        <f t="array" ref="P77">INDEX(GMW!$A$2:$NF$150,MATCH(1,(GMW!$NE$2:$NE$150=P$3)*(GMW!$ND$2:$ND$150=P$4)*(GMW!$NF$2:$NF$150=P$1),0),$C77-1966)</f>
        <v>37361.620000000003</v>
      </c>
      <c r="Q77" s="4" cm="1">
        <f t="array" ref="Q77">INDEX(GMW!$A$2:$NF$150,MATCH(1,(GMW!$NE$2:$NE$150=Q$3)*(GMW!$ND$2:$ND$150=Q$4)*(GMW!$NF$2:$NF$150=Q$1),0),$C77-1966)</f>
        <v>1553715</v>
      </c>
      <c r="R77" s="4" cm="1">
        <f t="array" ref="R77">INDEX(GMW!$A$2:$NF$150,MATCH(1,(GMW!$NE$2:$NE$150=R$3)*(GMW!$ND$2:$ND$150=R$4)*(GMW!$NF$2:$NF$150=R$1),0),$C77-1966)</f>
        <v>-1.7925519999999999</v>
      </c>
      <c r="S77" s="4" cm="1">
        <f t="array" ref="S77">INDEX(GMW!$A$2:$NF$150,MATCH(1,(GMW!$NE$2:$NE$150=S$3)*(GMW!$ND$2:$ND$150=S$4)*(GMW!$NF$2:$NF$150=S$1),0),$C77-1966)</f>
        <v>349780</v>
      </c>
      <c r="T77" s="4" cm="1">
        <f t="array" ref="T77">INDEX(GMW!$A$2:$NF$150,MATCH(1,(GMW!$NE$2:$NE$150=T$3)*(GMW!$ND$2:$ND$150=T$4)*(GMW!$NF$2:$NF$150=T$1),0),$C77-1966)</f>
        <v>56.4</v>
      </c>
      <c r="U77" s="4" cm="1">
        <f t="array" ref="U77">INDEX(GMW!$A$2:$NF$150,MATCH(1,(GMW!$NE$2:$NE$150=U$3)*(GMW!$ND$2:$ND$150=U$4)*(GMW!$NF$2:$NF$150=U$1),0),$C77-1966)</f>
        <v>65770</v>
      </c>
      <c r="V77" s="4" cm="1">
        <f t="array" ref="V77">INDEX(GMW!$A$2:$NF$150,MATCH(1,(GMW!$NE$2:$NE$150=V$3)*(GMW!$ND$2:$ND$150=V$4)*(GMW!$NF$2:$NF$150=V$1),0),$C77-1966)</f>
        <v>28534.959999999999</v>
      </c>
      <c r="W77" s="4" cm="1">
        <f t="array" ref="W77">INDEX(GMW!$A$2:$NF$150,MATCH(1,(GMW!$NE$2:$NE$150=W$3)*(GMW!$ND$2:$ND$150=W$4)*(GMW!$NF$2:$NF$150=W$1),0),$C77-1966)</f>
        <v>64692</v>
      </c>
      <c r="X77" s="4" cm="1">
        <f t="array" ref="X77">INDEX(GMW!$A$2:$NF$150,MATCH(1,(GMW!$NE$2:$NE$150=X$3)*(GMW!$ND$2:$ND$150=X$4)*(GMW!$NF$2:$NF$150=X$1),0),$C77-1966)</f>
        <v>31575.32</v>
      </c>
      <c r="Y77" s="4" cm="1">
        <f t="array" ref="Y77">INDEX(GMW!$A$2:$NF$150,MATCH(1,(GMW!$NE$2:$NE$150=Y$3)*(GMW!$ND$2:$ND$150=Y$4)*(GMW!$NF$2:$NF$150=Y$1),0),$C77-1966)</f>
        <v>69949</v>
      </c>
      <c r="Z77" s="4" cm="1">
        <f t="array" ref="Z77">INDEX(GMW!$A$2:$NF$150,MATCH(1,(GMW!$NE$2:$NE$150=Z$3)*(GMW!$ND$2:$ND$150=Z$4)*(GMW!$NF$2:$NF$150=Z$1),0),$C77-1966)</f>
        <v>29954.45</v>
      </c>
      <c r="AA77" s="4" cm="1">
        <f t="array" ref="AA77">INDEX(GMW!$A$2:$NF$150,MATCH(1,(GMW!$NE$2:$NE$150=AA$3)*(GMW!$ND$2:$ND$150=AA$4)*(GMW!$NF$2:$NF$150=AA$1),0),$C77-1966)</f>
        <v>347648.4</v>
      </c>
      <c r="AB77" s="4" cm="1">
        <f t="array" ref="AB77">INDEX(GMW!$A$2:$NF$150,MATCH(1,(GMW!$NE$2:$NE$150=AB$3)*(GMW!$ND$2:$ND$150=AB$4)*(GMW!$NF$2:$NF$150=AB$1),0),$C77-1966)</f>
        <v>26198.85</v>
      </c>
      <c r="AC77" s="4" cm="1">
        <f t="array" ref="AC77">INDEX(GMW!$A$2:$NF$150,MATCH(1,(GMW!$NE$2:$NE$150=AC$3)*(GMW!$ND$2:$ND$150=AC$4)*(GMW!$NF$2:$NF$150=AC$1),0),$C77-1966)</f>
        <v>33.578600000000002</v>
      </c>
      <c r="AD77" s="4" cm="1">
        <f t="array" ref="AD77">INDEX(GMW!$A$2:$NF$150,MATCH(1,(GMW!$NE$2:$NE$150=AD$3)*(GMW!$ND$2:$ND$150=AD$4)*(GMW!$NF$2:$NF$150=AD$1),0),$C77-1966)</f>
        <v>346798.8</v>
      </c>
      <c r="AE77" s="4" cm="1">
        <f t="array" ref="AE77">INDEX(GMW!$A$2:$NF$150,MATCH(1,(GMW!$NE$2:$NE$150=AE$3)*(GMW!$ND$2:$ND$150=AE$4)*(GMW!$NF$2:$NF$150=AE$1),0),$C77-1966)</f>
        <v>37361.620000000003</v>
      </c>
      <c r="AF77" s="4" cm="1">
        <f t="array" ref="AF77">INDEX(GMW!$A$2:$NF$150,MATCH(1,(GMW!$NE$2:$NE$150=AF$3)*(GMW!$ND$2:$ND$150=AF$4)*(GMW!$NF$2:$NF$150=AF$1),0),$C77-1966)</f>
        <v>1553715</v>
      </c>
      <c r="AG77" s="4" cm="1">
        <f t="array" ref="AG77">INDEX(GMW!$A$2:$NF$150,MATCH(1,(GMW!$NE$2:$NE$150=AG$3)*(GMW!$ND$2:$ND$150=AG$4)*(GMW!$NF$2:$NF$150=AG$1),0),$C77-1966)</f>
        <v>-1.7925519999999999</v>
      </c>
      <c r="AH77" s="4" cm="1">
        <f t="array" ref="AH77">INDEX(GMW!$A$2:$NF$150,MATCH(1,(GMW!$NE$2:$NE$150=AH$3)*(GMW!$ND$2:$ND$150=AH$4)*(GMW!$NF$2:$NF$150=AH$1),0),$C77-1966)</f>
        <v>349780</v>
      </c>
      <c r="AI77" s="4" cm="1">
        <f t="array" ref="AI77">INDEX(GMW!$A$2:$NF$150,MATCH(1,(GMW!$NE$2:$NE$150=AI$3)*(GMW!$ND$2:$ND$150=AI$4)*(GMW!$NF$2:$NF$150=AI$1),0),$C77-1966)</f>
        <v>56.4</v>
      </c>
      <c r="AJ77" s="4" cm="1">
        <f t="array" ref="AJ77">INDEX(GMW!$A$2:$NF$150,MATCH(1,(GMW!$NE$2:$NE$150=AJ$3)*(GMW!$ND$2:$ND$150=AJ$4)*(GMW!$NF$2:$NF$150=AJ$1),0),$C77-1966)</f>
        <v>65770</v>
      </c>
      <c r="AK77" s="4" cm="1">
        <f t="array" ref="AK77">INDEX(GMW!$A$2:$NF$150,MATCH(1,(GMW!$NE$2:$NE$150=AK$3)*(GMW!$ND$2:$ND$150=AK$4)*(GMW!$NF$2:$NF$150=AK$1),0),$C77-1966)</f>
        <v>28534.959999999999</v>
      </c>
      <c r="AL77" s="4" cm="1">
        <f t="array" ref="AL77">INDEX(GMW!$A$2:$NF$150,MATCH(1,(GMW!$NE$2:$NE$150=AL$3)*(GMW!$ND$2:$ND$150=AL$4)*(GMW!$NF$2:$NF$150=AL$1),0),$C77-1966)</f>
        <v>64692</v>
      </c>
      <c r="AM77" s="4" cm="1">
        <f t="array" ref="AM77">INDEX(GMW!$A$2:$NF$150,MATCH(1,(GMW!$NE$2:$NE$150=AM$3)*(GMW!$ND$2:$ND$150=AM$4)*(GMW!$NF$2:$NF$150=AM$1),0),$C77-1966)</f>
        <v>31575.32</v>
      </c>
      <c r="AN77" s="4" cm="1">
        <f t="array" ref="AN77">INDEX(GMW!$A$2:$NF$150,MATCH(1,(GMW!$NE$2:$NE$150=AN$3)*(GMW!$ND$2:$ND$150=AN$4)*(GMW!$NF$2:$NF$150=AN$1),0),$C77-1966)</f>
        <v>69949</v>
      </c>
      <c r="AO77" s="4" cm="1">
        <f t="array" ref="AO77">INDEX(GMW!$A$2:$NF$150,MATCH(1,(GMW!$NE$2:$NE$150=AO$3)*(GMW!$ND$2:$ND$150=AO$4)*(GMW!$NF$2:$NF$150=AO$1),0),$C77-1966)</f>
        <v>29954.45</v>
      </c>
      <c r="AP77" s="4" cm="1">
        <f t="array" ref="AP77">INDEX(GMW!$A$2:$NF$150,MATCH(1,(GMW!$NE$2:$NE$150=AP$3)*(GMW!$ND$2:$ND$150=AP$4)*(GMW!$NF$2:$NF$150=AP$1),0),$C77-1966)</f>
        <v>347648.4</v>
      </c>
      <c r="AQ77" s="4" cm="1">
        <f t="array" ref="AQ77">INDEX(GMW!$A$2:$NF$150,MATCH(1,(GMW!$NE$2:$NE$150=AQ$3)*(GMW!$ND$2:$ND$150=AQ$4)*(GMW!$NF$2:$NF$150=AQ$1),0),$C77-1966)</f>
        <v>26198.85</v>
      </c>
      <c r="AR77" s="4" cm="1">
        <f t="array" ref="AR77">INDEX(GMW!$A$2:$NF$150,MATCH(1,(GMW!$NE$2:$NE$150=AR$3)*(GMW!$ND$2:$ND$150=AR$4)*(GMW!$NF$2:$NF$150=AR$1),0),$C77-1966)</f>
        <v>33.578600000000002</v>
      </c>
      <c r="AS77" s="4" cm="1">
        <f t="array" ref="AS77">INDEX(GMW!$A$2:$NF$150,MATCH(1,(GMW!$NE$2:$NE$150=AS$3)*(GMW!$ND$2:$ND$150=AS$4)*(GMW!$NF$2:$NF$150=AS$1),0),$C77-1966)</f>
        <v>346798.8</v>
      </c>
      <c r="AT77" s="4" cm="1">
        <f t="array" ref="AT77">INDEX(GMW!$A$2:$NF$150,MATCH(1,(GMW!$NE$2:$NE$150=AT$3)*(GMW!$ND$2:$ND$150=AT$4)*(GMW!$NF$2:$NF$150=AT$1),0),$C77-1966)</f>
        <v>37361.620000000003</v>
      </c>
      <c r="AU77" s="4" cm="1">
        <f t="array" ref="AU77">INDEX(GMW!$A$2:$NF$150,MATCH(1,(GMW!$NE$2:$NE$150=AU$3)*(GMW!$ND$2:$ND$150=AU$4)*(GMW!$NF$2:$NF$150=AU$1),0),$C77-1966)</f>
        <v>1553715</v>
      </c>
      <c r="AV77" s="4" cm="1">
        <f t="array" ref="AV77">INDEX(GMW!$A$2:$NF$150,MATCH(1,(GMW!$NE$2:$NE$150=AV$3)*(GMW!$ND$2:$ND$150=AV$4)*(GMW!$NF$2:$NF$150=AV$1),0),$C77-1966)</f>
        <v>-1.7925519999999999</v>
      </c>
    </row>
    <row r="78" spans="1:48" x14ac:dyDescent="0.25">
      <c r="B78" s="4">
        <f t="shared" si="6"/>
        <v>1990</v>
      </c>
      <c r="C78" s="4">
        <f t="shared" si="5"/>
        <v>2044</v>
      </c>
      <c r="D78" s="4" cm="1">
        <f t="array" ref="D78">INDEX(GMW!$A$2:$NF$150,MATCH(1,(GMW!$NE$2:$NE$150=D$3)*(GMW!$ND$2:$ND$150=D$4)*(GMW!$NF$2:$NF$150=D$1),0),$C78-1966)</f>
        <v>348006</v>
      </c>
      <c r="E78" s="4" cm="1">
        <f t="array" ref="E78">INDEX(GMW!$A$2:$NF$150,MATCH(1,(GMW!$NE$2:$NE$150=E$3)*(GMW!$ND$2:$ND$150=E$4)*(GMW!$NF$2:$NF$150=E$1),0),$C78-1966)</f>
        <v>57.466670000000001</v>
      </c>
      <c r="F78" s="4" cm="1">
        <f t="array" ref="F78">INDEX(GMW!$A$2:$NF$150,MATCH(1,(GMW!$NE$2:$NE$150=F$3)*(GMW!$ND$2:$ND$150=F$4)*(GMW!$NF$2:$NF$150=F$1),0),$C78-1966)</f>
        <v>66306</v>
      </c>
      <c r="G78" s="4" cm="1">
        <f t="array" ref="G78">INDEX(GMW!$A$2:$NF$150,MATCH(1,(GMW!$NE$2:$NE$150=G$3)*(GMW!$ND$2:$ND$150=G$4)*(GMW!$NF$2:$NF$150=G$1),0),$C78-1966)</f>
        <v>28512.19</v>
      </c>
      <c r="H78" s="4" cm="1">
        <f t="array" ref="H78">INDEX(GMW!$A$2:$NF$150,MATCH(1,(GMW!$NE$2:$NE$150=H$3)*(GMW!$ND$2:$ND$150=H$4)*(GMW!$NF$2:$NF$150=H$1),0),$C78-1966)</f>
        <v>63581</v>
      </c>
      <c r="I78" s="4" cm="1">
        <f t="array" ref="I78">INDEX(GMW!$A$2:$NF$150,MATCH(1,(GMW!$NE$2:$NE$150=I$3)*(GMW!$ND$2:$ND$150=I$4)*(GMW!$NF$2:$NF$150=I$1),0),$C78-1966)</f>
        <v>30069.38</v>
      </c>
      <c r="J78" s="4" cm="1">
        <f t="array" ref="J78">INDEX(GMW!$A$2:$NF$150,MATCH(1,(GMW!$NE$2:$NE$150=J$3)*(GMW!$ND$2:$ND$150=J$4)*(GMW!$NF$2:$NF$150=J$1),0),$C78-1966)</f>
        <v>69172</v>
      </c>
      <c r="K78" s="4" cm="1">
        <f t="array" ref="K78">INDEX(GMW!$A$2:$NF$150,MATCH(1,(GMW!$NE$2:$NE$150=K$3)*(GMW!$ND$2:$ND$150=K$4)*(GMW!$NF$2:$NF$150=K$1),0),$C78-1966)</f>
        <v>29571.51</v>
      </c>
      <c r="L78" s="4" cm="1">
        <f t="array" ref="L78">INDEX(GMW!$A$2:$NF$150,MATCH(1,(GMW!$NE$2:$NE$150=L$3)*(GMW!$ND$2:$ND$150=L$4)*(GMW!$NF$2:$NF$150=L$1),0),$C78-1966)</f>
        <v>349155.1</v>
      </c>
      <c r="M78" s="4" cm="1">
        <f t="array" ref="M78">INDEX(GMW!$A$2:$NF$150,MATCH(1,(GMW!$NE$2:$NE$150=M$3)*(GMW!$ND$2:$ND$150=M$4)*(GMW!$NF$2:$NF$150=M$1),0),$C78-1966)</f>
        <v>26161.74</v>
      </c>
      <c r="N78" s="4" cm="1">
        <f t="array" ref="N78">INDEX(GMW!$A$2:$NF$150,MATCH(1,(GMW!$NE$2:$NE$150=N$3)*(GMW!$ND$2:$ND$150=N$4)*(GMW!$NF$2:$NF$150=N$1),0),$C78-1966)</f>
        <v>33.490430000000003</v>
      </c>
      <c r="O78" s="4" cm="1">
        <f t="array" ref="O78">INDEX(GMW!$A$2:$NF$150,MATCH(1,(GMW!$NE$2:$NE$150=O$3)*(GMW!$ND$2:$ND$150=O$4)*(GMW!$NF$2:$NF$150=O$1),0),$C78-1966)</f>
        <v>347801.59999999998</v>
      </c>
      <c r="P78" s="4" cm="1">
        <f t="array" ref="P78">INDEX(GMW!$A$2:$NF$150,MATCH(1,(GMW!$NE$2:$NE$150=P$3)*(GMW!$ND$2:$ND$150=P$4)*(GMW!$NF$2:$NF$150=P$1),0),$C78-1966)</f>
        <v>37364.980000000003</v>
      </c>
      <c r="Q78" s="4" cm="1">
        <f t="array" ref="Q78">INDEX(GMW!$A$2:$NF$150,MATCH(1,(GMW!$NE$2:$NE$150=Q$3)*(GMW!$ND$2:$ND$150=Q$4)*(GMW!$NF$2:$NF$150=Q$1),0),$C78-1966)</f>
        <v>1568609</v>
      </c>
      <c r="R78" s="4" cm="1">
        <f t="array" ref="R78">INDEX(GMW!$A$2:$NF$150,MATCH(1,(GMW!$NE$2:$NE$150=R$3)*(GMW!$ND$2:$ND$150=R$4)*(GMW!$NF$2:$NF$150=R$1),0),$C78-1966)</f>
        <v>-1.7898069999999999</v>
      </c>
      <c r="S78" s="4" cm="1">
        <f t="array" ref="S78">INDEX(GMW!$A$2:$NF$150,MATCH(1,(GMW!$NE$2:$NE$150=S$3)*(GMW!$ND$2:$ND$150=S$4)*(GMW!$NF$2:$NF$150=S$1),0),$C78-1966)</f>
        <v>348006</v>
      </c>
      <c r="T78" s="4" cm="1">
        <f t="array" ref="T78">INDEX(GMW!$A$2:$NF$150,MATCH(1,(GMW!$NE$2:$NE$150=T$3)*(GMW!$ND$2:$ND$150=T$4)*(GMW!$NF$2:$NF$150=T$1),0),$C78-1966)</f>
        <v>57.466670000000001</v>
      </c>
      <c r="U78" s="4" cm="1">
        <f t="array" ref="U78">INDEX(GMW!$A$2:$NF$150,MATCH(1,(GMW!$NE$2:$NE$150=U$3)*(GMW!$ND$2:$ND$150=U$4)*(GMW!$NF$2:$NF$150=U$1),0),$C78-1966)</f>
        <v>66306</v>
      </c>
      <c r="V78" s="4" cm="1">
        <f t="array" ref="V78">INDEX(GMW!$A$2:$NF$150,MATCH(1,(GMW!$NE$2:$NE$150=V$3)*(GMW!$ND$2:$ND$150=V$4)*(GMW!$NF$2:$NF$150=V$1),0),$C78-1966)</f>
        <v>28512.19</v>
      </c>
      <c r="W78" s="4" cm="1">
        <f t="array" ref="W78">INDEX(GMW!$A$2:$NF$150,MATCH(1,(GMW!$NE$2:$NE$150=W$3)*(GMW!$ND$2:$ND$150=W$4)*(GMW!$NF$2:$NF$150=W$1),0),$C78-1966)</f>
        <v>63581</v>
      </c>
      <c r="X78" s="4" cm="1">
        <f t="array" ref="X78">INDEX(GMW!$A$2:$NF$150,MATCH(1,(GMW!$NE$2:$NE$150=X$3)*(GMW!$ND$2:$ND$150=X$4)*(GMW!$NF$2:$NF$150=X$1),0),$C78-1966)</f>
        <v>30069.38</v>
      </c>
      <c r="Y78" s="4" cm="1">
        <f t="array" ref="Y78">INDEX(GMW!$A$2:$NF$150,MATCH(1,(GMW!$NE$2:$NE$150=Y$3)*(GMW!$ND$2:$ND$150=Y$4)*(GMW!$NF$2:$NF$150=Y$1),0),$C78-1966)</f>
        <v>69172</v>
      </c>
      <c r="Z78" s="4" cm="1">
        <f t="array" ref="Z78">INDEX(GMW!$A$2:$NF$150,MATCH(1,(GMW!$NE$2:$NE$150=Z$3)*(GMW!$ND$2:$ND$150=Z$4)*(GMW!$NF$2:$NF$150=Z$1),0),$C78-1966)</f>
        <v>29571.51</v>
      </c>
      <c r="AA78" s="4" cm="1">
        <f t="array" ref="AA78">INDEX(GMW!$A$2:$NF$150,MATCH(1,(GMW!$NE$2:$NE$150=AA$3)*(GMW!$ND$2:$ND$150=AA$4)*(GMW!$NF$2:$NF$150=AA$1),0),$C78-1966)</f>
        <v>349155.1</v>
      </c>
      <c r="AB78" s="4" cm="1">
        <f t="array" ref="AB78">INDEX(GMW!$A$2:$NF$150,MATCH(1,(GMW!$NE$2:$NE$150=AB$3)*(GMW!$ND$2:$ND$150=AB$4)*(GMW!$NF$2:$NF$150=AB$1),0),$C78-1966)</f>
        <v>26161.74</v>
      </c>
      <c r="AC78" s="4" cm="1">
        <f t="array" ref="AC78">INDEX(GMW!$A$2:$NF$150,MATCH(1,(GMW!$NE$2:$NE$150=AC$3)*(GMW!$ND$2:$ND$150=AC$4)*(GMW!$NF$2:$NF$150=AC$1),0),$C78-1966)</f>
        <v>33.490430000000003</v>
      </c>
      <c r="AD78" s="4" cm="1">
        <f t="array" ref="AD78">INDEX(GMW!$A$2:$NF$150,MATCH(1,(GMW!$NE$2:$NE$150=AD$3)*(GMW!$ND$2:$ND$150=AD$4)*(GMW!$NF$2:$NF$150=AD$1),0),$C78-1966)</f>
        <v>347801.59999999998</v>
      </c>
      <c r="AE78" s="4" cm="1">
        <f t="array" ref="AE78">INDEX(GMW!$A$2:$NF$150,MATCH(1,(GMW!$NE$2:$NE$150=AE$3)*(GMW!$ND$2:$ND$150=AE$4)*(GMW!$NF$2:$NF$150=AE$1),0),$C78-1966)</f>
        <v>37364.980000000003</v>
      </c>
      <c r="AF78" s="4" cm="1">
        <f t="array" ref="AF78">INDEX(GMW!$A$2:$NF$150,MATCH(1,(GMW!$NE$2:$NE$150=AF$3)*(GMW!$ND$2:$ND$150=AF$4)*(GMW!$NF$2:$NF$150=AF$1),0),$C78-1966)</f>
        <v>1568609</v>
      </c>
      <c r="AG78" s="4" cm="1">
        <f t="array" ref="AG78">INDEX(GMW!$A$2:$NF$150,MATCH(1,(GMW!$NE$2:$NE$150=AG$3)*(GMW!$ND$2:$ND$150=AG$4)*(GMW!$NF$2:$NF$150=AG$1),0),$C78-1966)</f>
        <v>-1.7898069999999999</v>
      </c>
      <c r="AH78" s="4" cm="1">
        <f t="array" ref="AH78">INDEX(GMW!$A$2:$NF$150,MATCH(1,(GMW!$NE$2:$NE$150=AH$3)*(GMW!$ND$2:$ND$150=AH$4)*(GMW!$NF$2:$NF$150=AH$1),0),$C78-1966)</f>
        <v>348006</v>
      </c>
      <c r="AI78" s="4" cm="1">
        <f t="array" ref="AI78">INDEX(GMW!$A$2:$NF$150,MATCH(1,(GMW!$NE$2:$NE$150=AI$3)*(GMW!$ND$2:$ND$150=AI$4)*(GMW!$NF$2:$NF$150=AI$1),0),$C78-1966)</f>
        <v>57.466670000000001</v>
      </c>
      <c r="AJ78" s="4" cm="1">
        <f t="array" ref="AJ78">INDEX(GMW!$A$2:$NF$150,MATCH(1,(GMW!$NE$2:$NE$150=AJ$3)*(GMW!$ND$2:$ND$150=AJ$4)*(GMW!$NF$2:$NF$150=AJ$1),0),$C78-1966)</f>
        <v>66306</v>
      </c>
      <c r="AK78" s="4" cm="1">
        <f t="array" ref="AK78">INDEX(GMW!$A$2:$NF$150,MATCH(1,(GMW!$NE$2:$NE$150=AK$3)*(GMW!$ND$2:$ND$150=AK$4)*(GMW!$NF$2:$NF$150=AK$1),0),$C78-1966)</f>
        <v>28512.19</v>
      </c>
      <c r="AL78" s="4" cm="1">
        <f t="array" ref="AL78">INDEX(GMW!$A$2:$NF$150,MATCH(1,(GMW!$NE$2:$NE$150=AL$3)*(GMW!$ND$2:$ND$150=AL$4)*(GMW!$NF$2:$NF$150=AL$1),0),$C78-1966)</f>
        <v>63581</v>
      </c>
      <c r="AM78" s="4" cm="1">
        <f t="array" ref="AM78">INDEX(GMW!$A$2:$NF$150,MATCH(1,(GMW!$NE$2:$NE$150=AM$3)*(GMW!$ND$2:$ND$150=AM$4)*(GMW!$NF$2:$NF$150=AM$1),0),$C78-1966)</f>
        <v>30069.38</v>
      </c>
      <c r="AN78" s="4" cm="1">
        <f t="array" ref="AN78">INDEX(GMW!$A$2:$NF$150,MATCH(1,(GMW!$NE$2:$NE$150=AN$3)*(GMW!$ND$2:$ND$150=AN$4)*(GMW!$NF$2:$NF$150=AN$1),0),$C78-1966)</f>
        <v>69172</v>
      </c>
      <c r="AO78" s="4" cm="1">
        <f t="array" ref="AO78">INDEX(GMW!$A$2:$NF$150,MATCH(1,(GMW!$NE$2:$NE$150=AO$3)*(GMW!$ND$2:$ND$150=AO$4)*(GMW!$NF$2:$NF$150=AO$1),0),$C78-1966)</f>
        <v>29571.51</v>
      </c>
      <c r="AP78" s="4" cm="1">
        <f t="array" ref="AP78">INDEX(GMW!$A$2:$NF$150,MATCH(1,(GMW!$NE$2:$NE$150=AP$3)*(GMW!$ND$2:$ND$150=AP$4)*(GMW!$NF$2:$NF$150=AP$1),0),$C78-1966)</f>
        <v>349155.1</v>
      </c>
      <c r="AQ78" s="4" cm="1">
        <f t="array" ref="AQ78">INDEX(GMW!$A$2:$NF$150,MATCH(1,(GMW!$NE$2:$NE$150=AQ$3)*(GMW!$ND$2:$ND$150=AQ$4)*(GMW!$NF$2:$NF$150=AQ$1),0),$C78-1966)</f>
        <v>26161.74</v>
      </c>
      <c r="AR78" s="4" cm="1">
        <f t="array" ref="AR78">INDEX(GMW!$A$2:$NF$150,MATCH(1,(GMW!$NE$2:$NE$150=AR$3)*(GMW!$ND$2:$ND$150=AR$4)*(GMW!$NF$2:$NF$150=AR$1),0),$C78-1966)</f>
        <v>33.490430000000003</v>
      </c>
      <c r="AS78" s="4" cm="1">
        <f t="array" ref="AS78">INDEX(GMW!$A$2:$NF$150,MATCH(1,(GMW!$NE$2:$NE$150=AS$3)*(GMW!$ND$2:$ND$150=AS$4)*(GMW!$NF$2:$NF$150=AS$1),0),$C78-1966)</f>
        <v>347801.59999999998</v>
      </c>
      <c r="AT78" s="4" cm="1">
        <f t="array" ref="AT78">INDEX(GMW!$A$2:$NF$150,MATCH(1,(GMW!$NE$2:$NE$150=AT$3)*(GMW!$ND$2:$ND$150=AT$4)*(GMW!$NF$2:$NF$150=AT$1),0),$C78-1966)</f>
        <v>37364.980000000003</v>
      </c>
      <c r="AU78" s="4" cm="1">
        <f t="array" ref="AU78">INDEX(GMW!$A$2:$NF$150,MATCH(1,(GMW!$NE$2:$NE$150=AU$3)*(GMW!$ND$2:$ND$150=AU$4)*(GMW!$NF$2:$NF$150=AU$1),0),$C78-1966)</f>
        <v>1568609</v>
      </c>
      <c r="AV78" s="4" cm="1">
        <f t="array" ref="AV78">INDEX(GMW!$A$2:$NF$150,MATCH(1,(GMW!$NE$2:$NE$150=AV$3)*(GMW!$ND$2:$ND$150=AV$4)*(GMW!$NF$2:$NF$150=AV$1),0),$C78-1966)</f>
        <v>-1.7898069999999999</v>
      </c>
    </row>
    <row r="79" spans="1:48" x14ac:dyDescent="0.25">
      <c r="A79" s="4">
        <v>1991</v>
      </c>
      <c r="B79" s="4">
        <f t="shared" si="6"/>
        <v>1991</v>
      </c>
      <c r="C79" s="4">
        <f t="shared" si="5"/>
        <v>2045</v>
      </c>
      <c r="D79" s="4" cm="1">
        <f t="array" ref="D79">INDEX(GMW!$A$2:$NF$150,MATCH(1,(GMW!$NE$2:$NE$150=D$3)*(GMW!$ND$2:$ND$150=D$4)*(GMW!$NF$2:$NF$150=D$1),0),$C79-1966)</f>
        <v>346292</v>
      </c>
      <c r="E79" s="4" cm="1">
        <f t="array" ref="E79">INDEX(GMW!$A$2:$NF$150,MATCH(1,(GMW!$NE$2:$NE$150=E$3)*(GMW!$ND$2:$ND$150=E$4)*(GMW!$NF$2:$NF$150=E$1),0),$C79-1966)</f>
        <v>57.666670000000003</v>
      </c>
      <c r="F79" s="4" cm="1">
        <f t="array" ref="F79">INDEX(GMW!$A$2:$NF$150,MATCH(1,(GMW!$NE$2:$NE$150=F$3)*(GMW!$ND$2:$ND$150=F$4)*(GMW!$NF$2:$NF$150=F$1),0),$C79-1966)</f>
        <v>63795</v>
      </c>
      <c r="G79" s="4" cm="1">
        <f t="array" ref="G79">INDEX(GMW!$A$2:$NF$150,MATCH(1,(GMW!$NE$2:$NE$150=G$3)*(GMW!$ND$2:$ND$150=G$4)*(GMW!$NF$2:$NF$150=G$1),0),$C79-1966)</f>
        <v>28390.49</v>
      </c>
      <c r="H79" s="4" cm="1">
        <f t="array" ref="H79">INDEX(GMW!$A$2:$NF$150,MATCH(1,(GMW!$NE$2:$NE$150=H$3)*(GMW!$ND$2:$ND$150=H$4)*(GMW!$NF$2:$NF$150=H$1),0),$C79-1966)</f>
        <v>61468</v>
      </c>
      <c r="I79" s="4" cm="1">
        <f t="array" ref="I79">INDEX(GMW!$A$2:$NF$150,MATCH(1,(GMW!$NE$2:$NE$150=I$3)*(GMW!$ND$2:$ND$150=I$4)*(GMW!$NF$2:$NF$150=I$1),0),$C79-1966)</f>
        <v>29387.32</v>
      </c>
      <c r="J79" s="4" cm="1">
        <f t="array" ref="J79">INDEX(GMW!$A$2:$NF$150,MATCH(1,(GMW!$NE$2:$NE$150=J$3)*(GMW!$ND$2:$ND$150=J$4)*(GMW!$NF$2:$NF$150=J$1),0),$C79-1966)</f>
        <v>66021</v>
      </c>
      <c r="K79" s="4" cm="1">
        <f t="array" ref="K79">INDEX(GMW!$A$2:$NF$150,MATCH(1,(GMW!$NE$2:$NE$150=K$3)*(GMW!$ND$2:$ND$150=K$4)*(GMW!$NF$2:$NF$150=K$1),0),$C79-1966)</f>
        <v>29000.32</v>
      </c>
      <c r="L79" s="4" cm="1">
        <f t="array" ref="L79">INDEX(GMW!$A$2:$NF$150,MATCH(1,(GMW!$NE$2:$NE$150=L$3)*(GMW!$ND$2:$ND$150=L$4)*(GMW!$NF$2:$NF$150=L$1),0),$C79-1966)</f>
        <v>349599.8</v>
      </c>
      <c r="M79" s="4" cm="1">
        <f t="array" ref="M79">INDEX(GMW!$A$2:$NF$150,MATCH(1,(GMW!$NE$2:$NE$150=M$3)*(GMW!$ND$2:$ND$150=M$4)*(GMW!$NF$2:$NF$150=M$1),0),$C79-1966)</f>
        <v>26096.58</v>
      </c>
      <c r="N79" s="4" cm="1">
        <f t="array" ref="N79">INDEX(GMW!$A$2:$NF$150,MATCH(1,(GMW!$NE$2:$NE$150=N$3)*(GMW!$ND$2:$ND$150=N$4)*(GMW!$NF$2:$NF$150=N$1),0),$C79-1966)</f>
        <v>33.282980000000002</v>
      </c>
      <c r="O79" s="4" cm="1">
        <f t="array" ref="O79">INDEX(GMW!$A$2:$NF$150,MATCH(1,(GMW!$NE$2:$NE$150=O$3)*(GMW!$ND$2:$ND$150=O$4)*(GMW!$NF$2:$NF$150=O$1),0),$C79-1966)</f>
        <v>348823.9</v>
      </c>
      <c r="P79" s="4" cm="1">
        <f t="array" ref="P79">INDEX(GMW!$A$2:$NF$150,MATCH(1,(GMW!$NE$2:$NE$150=P$3)*(GMW!$ND$2:$ND$150=P$4)*(GMW!$NF$2:$NF$150=P$1),0),$C79-1966)</f>
        <v>37368.35</v>
      </c>
      <c r="Q79" s="4" cm="1">
        <f t="array" ref="Q79">INDEX(GMW!$A$2:$NF$150,MATCH(1,(GMW!$NE$2:$NE$150=Q$3)*(GMW!$ND$2:$ND$150=Q$4)*(GMW!$NF$2:$NF$150=Q$1),0),$C79-1966)</f>
        <v>1581320</v>
      </c>
      <c r="R79" s="4" cm="1">
        <f t="array" ref="R79">INDEX(GMW!$A$2:$NF$150,MATCH(1,(GMW!$NE$2:$NE$150=R$3)*(GMW!$ND$2:$ND$150=R$4)*(GMW!$NF$2:$NF$150=R$1),0),$C79-1966)</f>
        <v>-1.787067</v>
      </c>
      <c r="S79" s="4" cm="1">
        <f t="array" ref="S79">INDEX(GMW!$A$2:$NF$150,MATCH(1,(GMW!$NE$2:$NE$150=S$3)*(GMW!$ND$2:$ND$150=S$4)*(GMW!$NF$2:$NF$150=S$1),0),$C79-1966)</f>
        <v>346292</v>
      </c>
      <c r="T79" s="4" cm="1">
        <f t="array" ref="T79">INDEX(GMW!$A$2:$NF$150,MATCH(1,(GMW!$NE$2:$NE$150=T$3)*(GMW!$ND$2:$ND$150=T$4)*(GMW!$NF$2:$NF$150=T$1),0),$C79-1966)</f>
        <v>57.666670000000003</v>
      </c>
      <c r="U79" s="4" cm="1">
        <f t="array" ref="U79">INDEX(GMW!$A$2:$NF$150,MATCH(1,(GMW!$NE$2:$NE$150=U$3)*(GMW!$ND$2:$ND$150=U$4)*(GMW!$NF$2:$NF$150=U$1),0),$C79-1966)</f>
        <v>63795</v>
      </c>
      <c r="V79" s="4" cm="1">
        <f t="array" ref="V79">INDEX(GMW!$A$2:$NF$150,MATCH(1,(GMW!$NE$2:$NE$150=V$3)*(GMW!$ND$2:$ND$150=V$4)*(GMW!$NF$2:$NF$150=V$1),0),$C79-1966)</f>
        <v>28390.49</v>
      </c>
      <c r="W79" s="4" cm="1">
        <f t="array" ref="W79">INDEX(GMW!$A$2:$NF$150,MATCH(1,(GMW!$NE$2:$NE$150=W$3)*(GMW!$ND$2:$ND$150=W$4)*(GMW!$NF$2:$NF$150=W$1),0),$C79-1966)</f>
        <v>61468</v>
      </c>
      <c r="X79" s="4" cm="1">
        <f t="array" ref="X79">INDEX(GMW!$A$2:$NF$150,MATCH(1,(GMW!$NE$2:$NE$150=X$3)*(GMW!$ND$2:$ND$150=X$4)*(GMW!$NF$2:$NF$150=X$1),0),$C79-1966)</f>
        <v>29387.32</v>
      </c>
      <c r="Y79" s="4" cm="1">
        <f t="array" ref="Y79">INDEX(GMW!$A$2:$NF$150,MATCH(1,(GMW!$NE$2:$NE$150=Y$3)*(GMW!$ND$2:$ND$150=Y$4)*(GMW!$NF$2:$NF$150=Y$1),0),$C79-1966)</f>
        <v>66021</v>
      </c>
      <c r="Z79" s="4" cm="1">
        <f t="array" ref="Z79">INDEX(GMW!$A$2:$NF$150,MATCH(1,(GMW!$NE$2:$NE$150=Z$3)*(GMW!$ND$2:$ND$150=Z$4)*(GMW!$NF$2:$NF$150=Z$1),0),$C79-1966)</f>
        <v>29000.32</v>
      </c>
      <c r="AA79" s="4" cm="1">
        <f t="array" ref="AA79">INDEX(GMW!$A$2:$NF$150,MATCH(1,(GMW!$NE$2:$NE$150=AA$3)*(GMW!$ND$2:$ND$150=AA$4)*(GMW!$NF$2:$NF$150=AA$1),0),$C79-1966)</f>
        <v>349599.8</v>
      </c>
      <c r="AB79" s="4" cm="1">
        <f t="array" ref="AB79">INDEX(GMW!$A$2:$NF$150,MATCH(1,(GMW!$NE$2:$NE$150=AB$3)*(GMW!$ND$2:$ND$150=AB$4)*(GMW!$NF$2:$NF$150=AB$1),0),$C79-1966)</f>
        <v>26096.58</v>
      </c>
      <c r="AC79" s="4" cm="1">
        <f t="array" ref="AC79">INDEX(GMW!$A$2:$NF$150,MATCH(1,(GMW!$NE$2:$NE$150=AC$3)*(GMW!$ND$2:$ND$150=AC$4)*(GMW!$NF$2:$NF$150=AC$1),0),$C79-1966)</f>
        <v>33.282980000000002</v>
      </c>
      <c r="AD79" s="4" cm="1">
        <f t="array" ref="AD79">INDEX(GMW!$A$2:$NF$150,MATCH(1,(GMW!$NE$2:$NE$150=AD$3)*(GMW!$ND$2:$ND$150=AD$4)*(GMW!$NF$2:$NF$150=AD$1),0),$C79-1966)</f>
        <v>348823.9</v>
      </c>
      <c r="AE79" s="4" cm="1">
        <f t="array" ref="AE79">INDEX(GMW!$A$2:$NF$150,MATCH(1,(GMW!$NE$2:$NE$150=AE$3)*(GMW!$ND$2:$ND$150=AE$4)*(GMW!$NF$2:$NF$150=AE$1),0),$C79-1966)</f>
        <v>37368.35</v>
      </c>
      <c r="AF79" s="4" cm="1">
        <f t="array" ref="AF79">INDEX(GMW!$A$2:$NF$150,MATCH(1,(GMW!$NE$2:$NE$150=AF$3)*(GMW!$ND$2:$ND$150=AF$4)*(GMW!$NF$2:$NF$150=AF$1),0),$C79-1966)</f>
        <v>1581320</v>
      </c>
      <c r="AG79" s="4" cm="1">
        <f t="array" ref="AG79">INDEX(GMW!$A$2:$NF$150,MATCH(1,(GMW!$NE$2:$NE$150=AG$3)*(GMW!$ND$2:$ND$150=AG$4)*(GMW!$NF$2:$NF$150=AG$1),0),$C79-1966)</f>
        <v>-1.787067</v>
      </c>
      <c r="AH79" s="4" cm="1">
        <f t="array" ref="AH79">INDEX(GMW!$A$2:$NF$150,MATCH(1,(GMW!$NE$2:$NE$150=AH$3)*(GMW!$ND$2:$ND$150=AH$4)*(GMW!$NF$2:$NF$150=AH$1),0),$C79-1966)</f>
        <v>346292</v>
      </c>
      <c r="AI79" s="4" cm="1">
        <f t="array" ref="AI79">INDEX(GMW!$A$2:$NF$150,MATCH(1,(GMW!$NE$2:$NE$150=AI$3)*(GMW!$ND$2:$ND$150=AI$4)*(GMW!$NF$2:$NF$150=AI$1),0),$C79-1966)</f>
        <v>57.666670000000003</v>
      </c>
      <c r="AJ79" s="4" cm="1">
        <f t="array" ref="AJ79">INDEX(GMW!$A$2:$NF$150,MATCH(1,(GMW!$NE$2:$NE$150=AJ$3)*(GMW!$ND$2:$ND$150=AJ$4)*(GMW!$NF$2:$NF$150=AJ$1),0),$C79-1966)</f>
        <v>63795</v>
      </c>
      <c r="AK79" s="4" cm="1">
        <f t="array" ref="AK79">INDEX(GMW!$A$2:$NF$150,MATCH(1,(GMW!$NE$2:$NE$150=AK$3)*(GMW!$ND$2:$ND$150=AK$4)*(GMW!$NF$2:$NF$150=AK$1),0),$C79-1966)</f>
        <v>28390.49</v>
      </c>
      <c r="AL79" s="4" cm="1">
        <f t="array" ref="AL79">INDEX(GMW!$A$2:$NF$150,MATCH(1,(GMW!$NE$2:$NE$150=AL$3)*(GMW!$ND$2:$ND$150=AL$4)*(GMW!$NF$2:$NF$150=AL$1),0),$C79-1966)</f>
        <v>61468</v>
      </c>
      <c r="AM79" s="4" cm="1">
        <f t="array" ref="AM79">INDEX(GMW!$A$2:$NF$150,MATCH(1,(GMW!$NE$2:$NE$150=AM$3)*(GMW!$ND$2:$ND$150=AM$4)*(GMW!$NF$2:$NF$150=AM$1),0),$C79-1966)</f>
        <v>29387.32</v>
      </c>
      <c r="AN79" s="4" cm="1">
        <f t="array" ref="AN79">INDEX(GMW!$A$2:$NF$150,MATCH(1,(GMW!$NE$2:$NE$150=AN$3)*(GMW!$ND$2:$ND$150=AN$4)*(GMW!$NF$2:$NF$150=AN$1),0),$C79-1966)</f>
        <v>66021</v>
      </c>
      <c r="AO79" s="4" cm="1">
        <f t="array" ref="AO79">INDEX(GMW!$A$2:$NF$150,MATCH(1,(GMW!$NE$2:$NE$150=AO$3)*(GMW!$ND$2:$ND$150=AO$4)*(GMW!$NF$2:$NF$150=AO$1),0),$C79-1966)</f>
        <v>29000.32</v>
      </c>
      <c r="AP79" s="4" cm="1">
        <f t="array" ref="AP79">INDEX(GMW!$A$2:$NF$150,MATCH(1,(GMW!$NE$2:$NE$150=AP$3)*(GMW!$ND$2:$ND$150=AP$4)*(GMW!$NF$2:$NF$150=AP$1),0),$C79-1966)</f>
        <v>349599.8</v>
      </c>
      <c r="AQ79" s="4" cm="1">
        <f t="array" ref="AQ79">INDEX(GMW!$A$2:$NF$150,MATCH(1,(GMW!$NE$2:$NE$150=AQ$3)*(GMW!$ND$2:$ND$150=AQ$4)*(GMW!$NF$2:$NF$150=AQ$1),0),$C79-1966)</f>
        <v>26096.58</v>
      </c>
      <c r="AR79" s="4" cm="1">
        <f t="array" ref="AR79">INDEX(GMW!$A$2:$NF$150,MATCH(1,(GMW!$NE$2:$NE$150=AR$3)*(GMW!$ND$2:$ND$150=AR$4)*(GMW!$NF$2:$NF$150=AR$1),0),$C79-1966)</f>
        <v>33.282980000000002</v>
      </c>
      <c r="AS79" s="4" cm="1">
        <f t="array" ref="AS79">INDEX(GMW!$A$2:$NF$150,MATCH(1,(GMW!$NE$2:$NE$150=AS$3)*(GMW!$ND$2:$ND$150=AS$4)*(GMW!$NF$2:$NF$150=AS$1),0),$C79-1966)</f>
        <v>348823.9</v>
      </c>
      <c r="AT79" s="4" cm="1">
        <f t="array" ref="AT79">INDEX(GMW!$A$2:$NF$150,MATCH(1,(GMW!$NE$2:$NE$150=AT$3)*(GMW!$ND$2:$ND$150=AT$4)*(GMW!$NF$2:$NF$150=AT$1),0),$C79-1966)</f>
        <v>37368.35</v>
      </c>
      <c r="AU79" s="4" cm="1">
        <f t="array" ref="AU79">INDEX(GMW!$A$2:$NF$150,MATCH(1,(GMW!$NE$2:$NE$150=AU$3)*(GMW!$ND$2:$ND$150=AU$4)*(GMW!$NF$2:$NF$150=AU$1),0),$C79-1966)</f>
        <v>1581320</v>
      </c>
      <c r="AV79" s="4" cm="1">
        <f t="array" ref="AV79">INDEX(GMW!$A$2:$NF$150,MATCH(1,(GMW!$NE$2:$NE$150=AV$3)*(GMW!$ND$2:$ND$150=AV$4)*(GMW!$NF$2:$NF$150=AV$1),0),$C79-1966)</f>
        <v>-1.787067</v>
      </c>
    </row>
    <row r="80" spans="1:48" x14ac:dyDescent="0.25">
      <c r="B80" s="4">
        <f t="shared" si="6"/>
        <v>1991</v>
      </c>
      <c r="C80" s="4">
        <f t="shared" si="5"/>
        <v>2046</v>
      </c>
      <c r="D80" s="4" cm="1">
        <f t="array" ref="D80">INDEX(GMW!$A$2:$NF$150,MATCH(1,(GMW!$NE$2:$NE$150=D$3)*(GMW!$ND$2:$ND$150=D$4)*(GMW!$NF$2:$NF$150=D$1),0),$C80-1966)</f>
        <v>345892</v>
      </c>
      <c r="E80" s="4" cm="1">
        <f t="array" ref="E80">INDEX(GMW!$A$2:$NF$150,MATCH(1,(GMW!$NE$2:$NE$150=E$3)*(GMW!$ND$2:$ND$150=E$4)*(GMW!$NF$2:$NF$150=E$1),0),$C80-1966)</f>
        <v>60.266669999999998</v>
      </c>
      <c r="F80" s="4" cm="1">
        <f t="array" ref="F80">INDEX(GMW!$A$2:$NF$150,MATCH(1,(GMW!$NE$2:$NE$150=F$3)*(GMW!$ND$2:$ND$150=F$4)*(GMW!$NF$2:$NF$150=F$1),0),$C80-1966)</f>
        <v>65908</v>
      </c>
      <c r="G80" s="4" cm="1">
        <f t="array" ref="G80">INDEX(GMW!$A$2:$NF$150,MATCH(1,(GMW!$NE$2:$NE$150=G$3)*(GMW!$ND$2:$ND$150=G$4)*(GMW!$NF$2:$NF$150=G$1),0),$C80-1966)</f>
        <v>29084.43</v>
      </c>
      <c r="H80" s="4" cm="1">
        <f t="array" ref="H80">INDEX(GMW!$A$2:$NF$150,MATCH(1,(GMW!$NE$2:$NE$150=H$3)*(GMW!$ND$2:$ND$150=H$4)*(GMW!$NF$2:$NF$150=H$1),0),$C80-1966)</f>
        <v>61739</v>
      </c>
      <c r="I80" s="4" cm="1">
        <f t="array" ref="I80">INDEX(GMW!$A$2:$NF$150,MATCH(1,(GMW!$NE$2:$NE$150=I$3)*(GMW!$ND$2:$ND$150=I$4)*(GMW!$NF$2:$NF$150=I$1),0),$C80-1966)</f>
        <v>28073.43</v>
      </c>
      <c r="J80" s="4" cm="1">
        <f t="array" ref="J80">INDEX(GMW!$A$2:$NF$150,MATCH(1,(GMW!$NE$2:$NE$150=J$3)*(GMW!$ND$2:$ND$150=J$4)*(GMW!$NF$2:$NF$150=J$1),0),$C80-1966)</f>
        <v>65035</v>
      </c>
      <c r="K80" s="4" cm="1">
        <f t="array" ref="K80">INDEX(GMW!$A$2:$NF$150,MATCH(1,(GMW!$NE$2:$NE$150=K$3)*(GMW!$ND$2:$ND$150=K$4)*(GMW!$NF$2:$NF$150=K$1),0),$C80-1966)</f>
        <v>27787.15</v>
      </c>
      <c r="L80" s="4" cm="1">
        <f t="array" ref="L80">INDEX(GMW!$A$2:$NF$150,MATCH(1,(GMW!$NE$2:$NE$150=L$3)*(GMW!$ND$2:$ND$150=L$4)*(GMW!$NF$2:$NF$150=L$1),0),$C80-1966)</f>
        <v>350779.4</v>
      </c>
      <c r="M80" s="4" cm="1">
        <f t="array" ref="M80">INDEX(GMW!$A$2:$NF$150,MATCH(1,(GMW!$NE$2:$NE$150=M$3)*(GMW!$ND$2:$ND$150=M$4)*(GMW!$NF$2:$NF$150=M$1),0),$C80-1966)</f>
        <v>26034.13</v>
      </c>
      <c r="N80" s="4" cm="1">
        <f t="array" ref="N80">INDEX(GMW!$A$2:$NF$150,MATCH(1,(GMW!$NE$2:$NE$150=N$3)*(GMW!$ND$2:$ND$150=N$4)*(GMW!$NF$2:$NF$150=N$1),0),$C80-1966)</f>
        <v>33.205179999999999</v>
      </c>
      <c r="O80" s="4" cm="1">
        <f t="array" ref="O80">INDEX(GMW!$A$2:$NF$150,MATCH(1,(GMW!$NE$2:$NE$150=O$3)*(GMW!$ND$2:$ND$150=O$4)*(GMW!$NF$2:$NF$150=O$1),0),$C80-1966)</f>
        <v>349887.5</v>
      </c>
      <c r="P80" s="4" cm="1">
        <f t="array" ref="P80">INDEX(GMW!$A$2:$NF$150,MATCH(1,(GMW!$NE$2:$NE$150=P$3)*(GMW!$ND$2:$ND$150=P$4)*(GMW!$NF$2:$NF$150=P$1),0),$C80-1966)</f>
        <v>37371.71</v>
      </c>
      <c r="Q80" s="4" cm="1">
        <f t="array" ref="Q80">INDEX(GMW!$A$2:$NF$150,MATCH(1,(GMW!$NE$2:$NE$150=Q$3)*(GMW!$ND$2:$ND$150=Q$4)*(GMW!$NF$2:$NF$150=Q$1),0),$C80-1966)</f>
        <v>1594030</v>
      </c>
      <c r="R80" s="4" cm="1">
        <f t="array" ref="R80">INDEX(GMW!$A$2:$NF$150,MATCH(1,(GMW!$NE$2:$NE$150=R$3)*(GMW!$ND$2:$ND$150=R$4)*(GMW!$NF$2:$NF$150=R$1),0),$C80-1966)</f>
        <v>-1.7843309999999999</v>
      </c>
      <c r="S80" s="4" cm="1">
        <f t="array" ref="S80">INDEX(GMW!$A$2:$NF$150,MATCH(1,(GMW!$NE$2:$NE$150=S$3)*(GMW!$ND$2:$ND$150=S$4)*(GMW!$NF$2:$NF$150=S$1),0),$C80-1966)</f>
        <v>345892</v>
      </c>
      <c r="T80" s="4" cm="1">
        <f t="array" ref="T80">INDEX(GMW!$A$2:$NF$150,MATCH(1,(GMW!$NE$2:$NE$150=T$3)*(GMW!$ND$2:$ND$150=T$4)*(GMW!$NF$2:$NF$150=T$1),0),$C80-1966)</f>
        <v>60.266669999999998</v>
      </c>
      <c r="U80" s="4" cm="1">
        <f t="array" ref="U80">INDEX(GMW!$A$2:$NF$150,MATCH(1,(GMW!$NE$2:$NE$150=U$3)*(GMW!$ND$2:$ND$150=U$4)*(GMW!$NF$2:$NF$150=U$1),0),$C80-1966)</f>
        <v>65908</v>
      </c>
      <c r="V80" s="4" cm="1">
        <f t="array" ref="V80">INDEX(GMW!$A$2:$NF$150,MATCH(1,(GMW!$NE$2:$NE$150=V$3)*(GMW!$ND$2:$ND$150=V$4)*(GMW!$NF$2:$NF$150=V$1),0),$C80-1966)</f>
        <v>29084.43</v>
      </c>
      <c r="W80" s="4" cm="1">
        <f t="array" ref="W80">INDEX(GMW!$A$2:$NF$150,MATCH(1,(GMW!$NE$2:$NE$150=W$3)*(GMW!$ND$2:$ND$150=W$4)*(GMW!$NF$2:$NF$150=W$1),0),$C80-1966)</f>
        <v>61739</v>
      </c>
      <c r="X80" s="4" cm="1">
        <f t="array" ref="X80">INDEX(GMW!$A$2:$NF$150,MATCH(1,(GMW!$NE$2:$NE$150=X$3)*(GMW!$ND$2:$ND$150=X$4)*(GMW!$NF$2:$NF$150=X$1),0),$C80-1966)</f>
        <v>28073.43</v>
      </c>
      <c r="Y80" s="4" cm="1">
        <f t="array" ref="Y80">INDEX(GMW!$A$2:$NF$150,MATCH(1,(GMW!$NE$2:$NE$150=Y$3)*(GMW!$ND$2:$ND$150=Y$4)*(GMW!$NF$2:$NF$150=Y$1),0),$C80-1966)</f>
        <v>65035</v>
      </c>
      <c r="Z80" s="4" cm="1">
        <f t="array" ref="Z80">INDEX(GMW!$A$2:$NF$150,MATCH(1,(GMW!$NE$2:$NE$150=Z$3)*(GMW!$ND$2:$ND$150=Z$4)*(GMW!$NF$2:$NF$150=Z$1),0),$C80-1966)</f>
        <v>27787.15</v>
      </c>
      <c r="AA80" s="4" cm="1">
        <f t="array" ref="AA80">INDEX(GMW!$A$2:$NF$150,MATCH(1,(GMW!$NE$2:$NE$150=AA$3)*(GMW!$ND$2:$ND$150=AA$4)*(GMW!$NF$2:$NF$150=AA$1),0),$C80-1966)</f>
        <v>350779.4</v>
      </c>
      <c r="AB80" s="4" cm="1">
        <f t="array" ref="AB80">INDEX(GMW!$A$2:$NF$150,MATCH(1,(GMW!$NE$2:$NE$150=AB$3)*(GMW!$ND$2:$ND$150=AB$4)*(GMW!$NF$2:$NF$150=AB$1),0),$C80-1966)</f>
        <v>26034.13</v>
      </c>
      <c r="AC80" s="4" cm="1">
        <f t="array" ref="AC80">INDEX(GMW!$A$2:$NF$150,MATCH(1,(GMW!$NE$2:$NE$150=AC$3)*(GMW!$ND$2:$ND$150=AC$4)*(GMW!$NF$2:$NF$150=AC$1),0),$C80-1966)</f>
        <v>33.205179999999999</v>
      </c>
      <c r="AD80" s="4" cm="1">
        <f t="array" ref="AD80">INDEX(GMW!$A$2:$NF$150,MATCH(1,(GMW!$NE$2:$NE$150=AD$3)*(GMW!$ND$2:$ND$150=AD$4)*(GMW!$NF$2:$NF$150=AD$1),0),$C80-1966)</f>
        <v>349887.5</v>
      </c>
      <c r="AE80" s="4" cm="1">
        <f t="array" ref="AE80">INDEX(GMW!$A$2:$NF$150,MATCH(1,(GMW!$NE$2:$NE$150=AE$3)*(GMW!$ND$2:$ND$150=AE$4)*(GMW!$NF$2:$NF$150=AE$1),0),$C80-1966)</f>
        <v>37371.71</v>
      </c>
      <c r="AF80" s="4" cm="1">
        <f t="array" ref="AF80">INDEX(GMW!$A$2:$NF$150,MATCH(1,(GMW!$NE$2:$NE$150=AF$3)*(GMW!$ND$2:$ND$150=AF$4)*(GMW!$NF$2:$NF$150=AF$1),0),$C80-1966)</f>
        <v>1594030</v>
      </c>
      <c r="AG80" s="4" cm="1">
        <f t="array" ref="AG80">INDEX(GMW!$A$2:$NF$150,MATCH(1,(GMW!$NE$2:$NE$150=AG$3)*(GMW!$ND$2:$ND$150=AG$4)*(GMW!$NF$2:$NF$150=AG$1),0),$C80-1966)</f>
        <v>-1.7843309999999999</v>
      </c>
      <c r="AH80" s="4" cm="1">
        <f t="array" ref="AH80">INDEX(GMW!$A$2:$NF$150,MATCH(1,(GMW!$NE$2:$NE$150=AH$3)*(GMW!$ND$2:$ND$150=AH$4)*(GMW!$NF$2:$NF$150=AH$1),0),$C80-1966)</f>
        <v>345892</v>
      </c>
      <c r="AI80" s="4" cm="1">
        <f t="array" ref="AI80">INDEX(GMW!$A$2:$NF$150,MATCH(1,(GMW!$NE$2:$NE$150=AI$3)*(GMW!$ND$2:$ND$150=AI$4)*(GMW!$NF$2:$NF$150=AI$1),0),$C80-1966)</f>
        <v>60.266669999999998</v>
      </c>
      <c r="AJ80" s="4" cm="1">
        <f t="array" ref="AJ80">INDEX(GMW!$A$2:$NF$150,MATCH(1,(GMW!$NE$2:$NE$150=AJ$3)*(GMW!$ND$2:$ND$150=AJ$4)*(GMW!$NF$2:$NF$150=AJ$1),0),$C80-1966)</f>
        <v>65908</v>
      </c>
      <c r="AK80" s="4" cm="1">
        <f t="array" ref="AK80">INDEX(GMW!$A$2:$NF$150,MATCH(1,(GMW!$NE$2:$NE$150=AK$3)*(GMW!$ND$2:$ND$150=AK$4)*(GMW!$NF$2:$NF$150=AK$1),0),$C80-1966)</f>
        <v>29084.43</v>
      </c>
      <c r="AL80" s="4" cm="1">
        <f t="array" ref="AL80">INDEX(GMW!$A$2:$NF$150,MATCH(1,(GMW!$NE$2:$NE$150=AL$3)*(GMW!$ND$2:$ND$150=AL$4)*(GMW!$NF$2:$NF$150=AL$1),0),$C80-1966)</f>
        <v>61739</v>
      </c>
      <c r="AM80" s="4" cm="1">
        <f t="array" ref="AM80">INDEX(GMW!$A$2:$NF$150,MATCH(1,(GMW!$NE$2:$NE$150=AM$3)*(GMW!$ND$2:$ND$150=AM$4)*(GMW!$NF$2:$NF$150=AM$1),0),$C80-1966)</f>
        <v>28073.43</v>
      </c>
      <c r="AN80" s="4" cm="1">
        <f t="array" ref="AN80">INDEX(GMW!$A$2:$NF$150,MATCH(1,(GMW!$NE$2:$NE$150=AN$3)*(GMW!$ND$2:$ND$150=AN$4)*(GMW!$NF$2:$NF$150=AN$1),0),$C80-1966)</f>
        <v>65035</v>
      </c>
      <c r="AO80" s="4" cm="1">
        <f t="array" ref="AO80">INDEX(GMW!$A$2:$NF$150,MATCH(1,(GMW!$NE$2:$NE$150=AO$3)*(GMW!$ND$2:$ND$150=AO$4)*(GMW!$NF$2:$NF$150=AO$1),0),$C80-1966)</f>
        <v>27787.15</v>
      </c>
      <c r="AP80" s="4" cm="1">
        <f t="array" ref="AP80">INDEX(GMW!$A$2:$NF$150,MATCH(1,(GMW!$NE$2:$NE$150=AP$3)*(GMW!$ND$2:$ND$150=AP$4)*(GMW!$NF$2:$NF$150=AP$1),0),$C80-1966)</f>
        <v>350779.4</v>
      </c>
      <c r="AQ80" s="4" cm="1">
        <f t="array" ref="AQ80">INDEX(GMW!$A$2:$NF$150,MATCH(1,(GMW!$NE$2:$NE$150=AQ$3)*(GMW!$ND$2:$ND$150=AQ$4)*(GMW!$NF$2:$NF$150=AQ$1),0),$C80-1966)</f>
        <v>26034.13</v>
      </c>
      <c r="AR80" s="4" cm="1">
        <f t="array" ref="AR80">INDEX(GMW!$A$2:$NF$150,MATCH(1,(GMW!$NE$2:$NE$150=AR$3)*(GMW!$ND$2:$ND$150=AR$4)*(GMW!$NF$2:$NF$150=AR$1),0),$C80-1966)</f>
        <v>33.205179999999999</v>
      </c>
      <c r="AS80" s="4" cm="1">
        <f t="array" ref="AS80">INDEX(GMW!$A$2:$NF$150,MATCH(1,(GMW!$NE$2:$NE$150=AS$3)*(GMW!$ND$2:$ND$150=AS$4)*(GMW!$NF$2:$NF$150=AS$1),0),$C80-1966)</f>
        <v>349887.5</v>
      </c>
      <c r="AT80" s="4" cm="1">
        <f t="array" ref="AT80">INDEX(GMW!$A$2:$NF$150,MATCH(1,(GMW!$NE$2:$NE$150=AT$3)*(GMW!$ND$2:$ND$150=AT$4)*(GMW!$NF$2:$NF$150=AT$1),0),$C80-1966)</f>
        <v>37371.71</v>
      </c>
      <c r="AU80" s="4" cm="1">
        <f t="array" ref="AU80">INDEX(GMW!$A$2:$NF$150,MATCH(1,(GMW!$NE$2:$NE$150=AU$3)*(GMW!$ND$2:$ND$150=AU$4)*(GMW!$NF$2:$NF$150=AU$1),0),$C80-1966)</f>
        <v>1594030</v>
      </c>
      <c r="AV80" s="4" cm="1">
        <f t="array" ref="AV80">INDEX(GMW!$A$2:$NF$150,MATCH(1,(GMW!$NE$2:$NE$150=AV$3)*(GMW!$ND$2:$ND$150=AV$4)*(GMW!$NF$2:$NF$150=AV$1),0),$C80-1966)</f>
        <v>-1.7843309999999999</v>
      </c>
    </row>
    <row r="81" spans="1:48" x14ac:dyDescent="0.25">
      <c r="B81" s="4">
        <f t="shared" si="6"/>
        <v>1991</v>
      </c>
      <c r="C81" s="4">
        <f t="shared" si="5"/>
        <v>2047</v>
      </c>
      <c r="D81" s="4" cm="1">
        <f t="array" ref="D81">INDEX(GMW!$A$2:$NF$150,MATCH(1,(GMW!$NE$2:$NE$150=D$3)*(GMW!$ND$2:$ND$150=D$4)*(GMW!$NF$2:$NF$150=D$1),0),$C81-1966)</f>
        <v>345216</v>
      </c>
      <c r="E81" s="4" cm="1">
        <f t="array" ref="E81">INDEX(GMW!$A$2:$NF$150,MATCH(1,(GMW!$NE$2:$NE$150=E$3)*(GMW!$ND$2:$ND$150=E$4)*(GMW!$NF$2:$NF$150=E$1),0),$C81-1966)</f>
        <v>60.833329999999997</v>
      </c>
      <c r="F81" s="4" cm="1">
        <f t="array" ref="F81">INDEX(GMW!$A$2:$NF$150,MATCH(1,(GMW!$NE$2:$NE$150=F$3)*(GMW!$ND$2:$ND$150=F$4)*(GMW!$NF$2:$NF$150=F$1),0),$C81-1966)</f>
        <v>66928</v>
      </c>
      <c r="G81" s="4" cm="1">
        <f t="array" ref="G81">INDEX(GMW!$A$2:$NF$150,MATCH(1,(GMW!$NE$2:$NE$150=G$3)*(GMW!$ND$2:$ND$150=G$4)*(GMW!$NF$2:$NF$150=G$1),0),$C81-1966)</f>
        <v>28134.07</v>
      </c>
      <c r="H81" s="4" cm="1">
        <f t="array" ref="H81">INDEX(GMW!$A$2:$NF$150,MATCH(1,(GMW!$NE$2:$NE$150=H$3)*(GMW!$ND$2:$ND$150=H$4)*(GMW!$NF$2:$NF$150=H$1),0),$C81-1966)</f>
        <v>62111</v>
      </c>
      <c r="I81" s="4" cm="1">
        <f t="array" ref="I81">INDEX(GMW!$A$2:$NF$150,MATCH(1,(GMW!$NE$2:$NE$150=I$3)*(GMW!$ND$2:$ND$150=I$4)*(GMW!$NF$2:$NF$150=I$1),0),$C81-1966)</f>
        <v>28178.53</v>
      </c>
      <c r="J81" s="4" cm="1">
        <f t="array" ref="J81">INDEX(GMW!$A$2:$NF$150,MATCH(1,(GMW!$NE$2:$NE$150=J$3)*(GMW!$ND$2:$ND$150=J$4)*(GMW!$NF$2:$NF$150=J$1),0),$C81-1966)</f>
        <v>63852</v>
      </c>
      <c r="K81" s="4" cm="1">
        <f t="array" ref="K81">INDEX(GMW!$A$2:$NF$150,MATCH(1,(GMW!$NE$2:$NE$150=K$3)*(GMW!$ND$2:$ND$150=K$4)*(GMW!$NF$2:$NF$150=K$1),0),$C81-1966)</f>
        <v>26511.22</v>
      </c>
      <c r="L81" s="4" cm="1">
        <f t="array" ref="L81">INDEX(GMW!$A$2:$NF$150,MATCH(1,(GMW!$NE$2:$NE$150=L$3)*(GMW!$ND$2:$ND$150=L$4)*(GMW!$NF$2:$NF$150=L$1),0),$C81-1966)</f>
        <v>351731.6</v>
      </c>
      <c r="M81" s="4" cm="1">
        <f t="array" ref="M81">INDEX(GMW!$A$2:$NF$150,MATCH(1,(GMW!$NE$2:$NE$150=M$3)*(GMW!$ND$2:$ND$150=M$4)*(GMW!$NF$2:$NF$150=M$1),0),$C81-1966)</f>
        <v>25927.35</v>
      </c>
      <c r="N81" s="4" cm="1">
        <f t="array" ref="N81">INDEX(GMW!$A$2:$NF$150,MATCH(1,(GMW!$NE$2:$NE$150=N$3)*(GMW!$ND$2:$ND$150=N$4)*(GMW!$NF$2:$NF$150=N$1),0),$C81-1966)</f>
        <v>33.153320000000001</v>
      </c>
      <c r="O81" s="4" cm="1">
        <f t="array" ref="O81">INDEX(GMW!$A$2:$NF$150,MATCH(1,(GMW!$NE$2:$NE$150=O$3)*(GMW!$ND$2:$ND$150=O$4)*(GMW!$NF$2:$NF$150=O$1),0),$C81-1966)</f>
        <v>350817.9</v>
      </c>
      <c r="P81" s="4" cm="1">
        <f t="array" ref="P81">INDEX(GMW!$A$2:$NF$150,MATCH(1,(GMW!$NE$2:$NE$150=P$3)*(GMW!$ND$2:$ND$150=P$4)*(GMW!$NF$2:$NF$150=P$1),0),$C81-1966)</f>
        <v>37363.21</v>
      </c>
      <c r="Q81" s="4" cm="1">
        <f t="array" ref="Q81">INDEX(GMW!$A$2:$NF$150,MATCH(1,(GMW!$NE$2:$NE$150=Q$3)*(GMW!$ND$2:$ND$150=Q$4)*(GMW!$NF$2:$NF$150=Q$1),0),$C81-1966)</f>
        <v>1606740</v>
      </c>
      <c r="R81" s="4" cm="1">
        <f t="array" ref="R81">INDEX(GMW!$A$2:$NF$150,MATCH(1,(GMW!$NE$2:$NE$150=R$3)*(GMW!$ND$2:$ND$150=R$4)*(GMW!$NF$2:$NF$150=R$1),0),$C81-1966)</f>
        <v>-1.7816000000000001</v>
      </c>
      <c r="S81" s="4" cm="1">
        <f t="array" ref="S81">INDEX(GMW!$A$2:$NF$150,MATCH(1,(GMW!$NE$2:$NE$150=S$3)*(GMW!$ND$2:$ND$150=S$4)*(GMW!$NF$2:$NF$150=S$1),0),$C81-1966)</f>
        <v>345216</v>
      </c>
      <c r="T81" s="4" cm="1">
        <f t="array" ref="T81">INDEX(GMW!$A$2:$NF$150,MATCH(1,(GMW!$NE$2:$NE$150=T$3)*(GMW!$ND$2:$ND$150=T$4)*(GMW!$NF$2:$NF$150=T$1),0),$C81-1966)</f>
        <v>60.833329999999997</v>
      </c>
      <c r="U81" s="4" cm="1">
        <f t="array" ref="U81">INDEX(GMW!$A$2:$NF$150,MATCH(1,(GMW!$NE$2:$NE$150=U$3)*(GMW!$ND$2:$ND$150=U$4)*(GMW!$NF$2:$NF$150=U$1),0),$C81-1966)</f>
        <v>66928</v>
      </c>
      <c r="V81" s="4" cm="1">
        <f t="array" ref="V81">INDEX(GMW!$A$2:$NF$150,MATCH(1,(GMW!$NE$2:$NE$150=V$3)*(GMW!$ND$2:$ND$150=V$4)*(GMW!$NF$2:$NF$150=V$1),0),$C81-1966)</f>
        <v>28134.07</v>
      </c>
      <c r="W81" s="4" cm="1">
        <f t="array" ref="W81">INDEX(GMW!$A$2:$NF$150,MATCH(1,(GMW!$NE$2:$NE$150=W$3)*(GMW!$ND$2:$ND$150=W$4)*(GMW!$NF$2:$NF$150=W$1),0),$C81-1966)</f>
        <v>62111</v>
      </c>
      <c r="X81" s="4" cm="1">
        <f t="array" ref="X81">INDEX(GMW!$A$2:$NF$150,MATCH(1,(GMW!$NE$2:$NE$150=X$3)*(GMW!$ND$2:$ND$150=X$4)*(GMW!$NF$2:$NF$150=X$1),0),$C81-1966)</f>
        <v>28178.53</v>
      </c>
      <c r="Y81" s="4" cm="1">
        <f t="array" ref="Y81">INDEX(GMW!$A$2:$NF$150,MATCH(1,(GMW!$NE$2:$NE$150=Y$3)*(GMW!$ND$2:$ND$150=Y$4)*(GMW!$NF$2:$NF$150=Y$1),0),$C81-1966)</f>
        <v>63852</v>
      </c>
      <c r="Z81" s="4" cm="1">
        <f t="array" ref="Z81">INDEX(GMW!$A$2:$NF$150,MATCH(1,(GMW!$NE$2:$NE$150=Z$3)*(GMW!$ND$2:$ND$150=Z$4)*(GMW!$NF$2:$NF$150=Z$1),0),$C81-1966)</f>
        <v>26511.22</v>
      </c>
      <c r="AA81" s="4" cm="1">
        <f t="array" ref="AA81">INDEX(GMW!$A$2:$NF$150,MATCH(1,(GMW!$NE$2:$NE$150=AA$3)*(GMW!$ND$2:$ND$150=AA$4)*(GMW!$NF$2:$NF$150=AA$1),0),$C81-1966)</f>
        <v>351731.6</v>
      </c>
      <c r="AB81" s="4" cm="1">
        <f t="array" ref="AB81">INDEX(GMW!$A$2:$NF$150,MATCH(1,(GMW!$NE$2:$NE$150=AB$3)*(GMW!$ND$2:$ND$150=AB$4)*(GMW!$NF$2:$NF$150=AB$1),0),$C81-1966)</f>
        <v>25927.35</v>
      </c>
      <c r="AC81" s="4" cm="1">
        <f t="array" ref="AC81">INDEX(GMW!$A$2:$NF$150,MATCH(1,(GMW!$NE$2:$NE$150=AC$3)*(GMW!$ND$2:$ND$150=AC$4)*(GMW!$NF$2:$NF$150=AC$1),0),$C81-1966)</f>
        <v>33.153320000000001</v>
      </c>
      <c r="AD81" s="4" cm="1">
        <f t="array" ref="AD81">INDEX(GMW!$A$2:$NF$150,MATCH(1,(GMW!$NE$2:$NE$150=AD$3)*(GMW!$ND$2:$ND$150=AD$4)*(GMW!$NF$2:$NF$150=AD$1),0),$C81-1966)</f>
        <v>350817.9</v>
      </c>
      <c r="AE81" s="4" cm="1">
        <f t="array" ref="AE81">INDEX(GMW!$A$2:$NF$150,MATCH(1,(GMW!$NE$2:$NE$150=AE$3)*(GMW!$ND$2:$ND$150=AE$4)*(GMW!$NF$2:$NF$150=AE$1),0),$C81-1966)</f>
        <v>37363.21</v>
      </c>
      <c r="AF81" s="4" cm="1">
        <f t="array" ref="AF81">INDEX(GMW!$A$2:$NF$150,MATCH(1,(GMW!$NE$2:$NE$150=AF$3)*(GMW!$ND$2:$ND$150=AF$4)*(GMW!$NF$2:$NF$150=AF$1),0),$C81-1966)</f>
        <v>1606740</v>
      </c>
      <c r="AG81" s="4" cm="1">
        <f t="array" ref="AG81">INDEX(GMW!$A$2:$NF$150,MATCH(1,(GMW!$NE$2:$NE$150=AG$3)*(GMW!$ND$2:$ND$150=AG$4)*(GMW!$NF$2:$NF$150=AG$1),0),$C81-1966)</f>
        <v>-1.7816000000000001</v>
      </c>
      <c r="AH81" s="4" cm="1">
        <f t="array" ref="AH81">INDEX(GMW!$A$2:$NF$150,MATCH(1,(GMW!$NE$2:$NE$150=AH$3)*(GMW!$ND$2:$ND$150=AH$4)*(GMW!$NF$2:$NF$150=AH$1),0),$C81-1966)</f>
        <v>345216</v>
      </c>
      <c r="AI81" s="4" cm="1">
        <f t="array" ref="AI81">INDEX(GMW!$A$2:$NF$150,MATCH(1,(GMW!$NE$2:$NE$150=AI$3)*(GMW!$ND$2:$ND$150=AI$4)*(GMW!$NF$2:$NF$150=AI$1),0),$C81-1966)</f>
        <v>60.833329999999997</v>
      </c>
      <c r="AJ81" s="4" cm="1">
        <f t="array" ref="AJ81">INDEX(GMW!$A$2:$NF$150,MATCH(1,(GMW!$NE$2:$NE$150=AJ$3)*(GMW!$ND$2:$ND$150=AJ$4)*(GMW!$NF$2:$NF$150=AJ$1),0),$C81-1966)</f>
        <v>66928</v>
      </c>
      <c r="AK81" s="4" cm="1">
        <f t="array" ref="AK81">INDEX(GMW!$A$2:$NF$150,MATCH(1,(GMW!$NE$2:$NE$150=AK$3)*(GMW!$ND$2:$ND$150=AK$4)*(GMW!$NF$2:$NF$150=AK$1),0),$C81-1966)</f>
        <v>28134.07</v>
      </c>
      <c r="AL81" s="4" cm="1">
        <f t="array" ref="AL81">INDEX(GMW!$A$2:$NF$150,MATCH(1,(GMW!$NE$2:$NE$150=AL$3)*(GMW!$ND$2:$ND$150=AL$4)*(GMW!$NF$2:$NF$150=AL$1),0),$C81-1966)</f>
        <v>62111</v>
      </c>
      <c r="AM81" s="4" cm="1">
        <f t="array" ref="AM81">INDEX(GMW!$A$2:$NF$150,MATCH(1,(GMW!$NE$2:$NE$150=AM$3)*(GMW!$ND$2:$ND$150=AM$4)*(GMW!$NF$2:$NF$150=AM$1),0),$C81-1966)</f>
        <v>28178.53</v>
      </c>
      <c r="AN81" s="4" cm="1">
        <f t="array" ref="AN81">INDEX(GMW!$A$2:$NF$150,MATCH(1,(GMW!$NE$2:$NE$150=AN$3)*(GMW!$ND$2:$ND$150=AN$4)*(GMW!$NF$2:$NF$150=AN$1),0),$C81-1966)</f>
        <v>63852</v>
      </c>
      <c r="AO81" s="4" cm="1">
        <f t="array" ref="AO81">INDEX(GMW!$A$2:$NF$150,MATCH(1,(GMW!$NE$2:$NE$150=AO$3)*(GMW!$ND$2:$ND$150=AO$4)*(GMW!$NF$2:$NF$150=AO$1),0),$C81-1966)</f>
        <v>26511.22</v>
      </c>
      <c r="AP81" s="4" cm="1">
        <f t="array" ref="AP81">INDEX(GMW!$A$2:$NF$150,MATCH(1,(GMW!$NE$2:$NE$150=AP$3)*(GMW!$ND$2:$ND$150=AP$4)*(GMW!$NF$2:$NF$150=AP$1),0),$C81-1966)</f>
        <v>351731.6</v>
      </c>
      <c r="AQ81" s="4" cm="1">
        <f t="array" ref="AQ81">INDEX(GMW!$A$2:$NF$150,MATCH(1,(GMW!$NE$2:$NE$150=AQ$3)*(GMW!$ND$2:$ND$150=AQ$4)*(GMW!$NF$2:$NF$150=AQ$1),0),$C81-1966)</f>
        <v>25927.35</v>
      </c>
      <c r="AR81" s="4" cm="1">
        <f t="array" ref="AR81">INDEX(GMW!$A$2:$NF$150,MATCH(1,(GMW!$NE$2:$NE$150=AR$3)*(GMW!$ND$2:$ND$150=AR$4)*(GMW!$NF$2:$NF$150=AR$1),0),$C81-1966)</f>
        <v>33.153320000000001</v>
      </c>
      <c r="AS81" s="4" cm="1">
        <f t="array" ref="AS81">INDEX(GMW!$A$2:$NF$150,MATCH(1,(GMW!$NE$2:$NE$150=AS$3)*(GMW!$ND$2:$ND$150=AS$4)*(GMW!$NF$2:$NF$150=AS$1),0),$C81-1966)</f>
        <v>350817.9</v>
      </c>
      <c r="AT81" s="4" cm="1">
        <f t="array" ref="AT81">INDEX(GMW!$A$2:$NF$150,MATCH(1,(GMW!$NE$2:$NE$150=AT$3)*(GMW!$ND$2:$ND$150=AT$4)*(GMW!$NF$2:$NF$150=AT$1),0),$C81-1966)</f>
        <v>37363.21</v>
      </c>
      <c r="AU81" s="4" cm="1">
        <f t="array" ref="AU81">INDEX(GMW!$A$2:$NF$150,MATCH(1,(GMW!$NE$2:$NE$150=AU$3)*(GMW!$ND$2:$ND$150=AU$4)*(GMW!$NF$2:$NF$150=AU$1),0),$C81-1966)</f>
        <v>1606740</v>
      </c>
      <c r="AV81" s="4" cm="1">
        <f t="array" ref="AV81">INDEX(GMW!$A$2:$NF$150,MATCH(1,(GMW!$NE$2:$NE$150=AV$3)*(GMW!$ND$2:$ND$150=AV$4)*(GMW!$NF$2:$NF$150=AV$1),0),$C81-1966)</f>
        <v>-1.7816000000000001</v>
      </c>
    </row>
    <row r="82" spans="1:48" x14ac:dyDescent="0.25">
      <c r="B82" s="4">
        <f t="shared" si="6"/>
        <v>1991</v>
      </c>
      <c r="C82" s="4">
        <f t="shared" si="5"/>
        <v>2048</v>
      </c>
      <c r="D82" s="4" cm="1">
        <f t="array" ref="D82">INDEX(GMW!$A$2:$NF$150,MATCH(1,(GMW!$NE$2:$NE$150=D$3)*(GMW!$ND$2:$ND$150=D$4)*(GMW!$NF$2:$NF$150=D$1),0),$C82-1966)</f>
        <v>345643</v>
      </c>
      <c r="E82" s="4" cm="1">
        <f t="array" ref="E82">INDEX(GMW!$A$2:$NF$150,MATCH(1,(GMW!$NE$2:$NE$150=E$3)*(GMW!$ND$2:$ND$150=E$4)*(GMW!$NF$2:$NF$150=E$1),0),$C82-1966)</f>
        <v>61.466670000000001</v>
      </c>
      <c r="F82" s="4" cm="1">
        <f t="array" ref="F82">INDEX(GMW!$A$2:$NF$150,MATCH(1,(GMW!$NE$2:$NE$150=F$3)*(GMW!$ND$2:$ND$150=F$4)*(GMW!$NF$2:$NF$150=F$1),0),$C82-1966)</f>
        <v>66730</v>
      </c>
      <c r="G82" s="4" cm="1">
        <f t="array" ref="G82">INDEX(GMW!$A$2:$NF$150,MATCH(1,(GMW!$NE$2:$NE$150=G$3)*(GMW!$ND$2:$ND$150=G$4)*(GMW!$NF$2:$NF$150=G$1),0),$C82-1966)</f>
        <v>27742.07</v>
      </c>
      <c r="H82" s="4" cm="1">
        <f t="array" ref="H82">INDEX(GMW!$A$2:$NF$150,MATCH(1,(GMW!$NE$2:$NE$150=H$3)*(GMW!$ND$2:$ND$150=H$4)*(GMW!$NF$2:$NF$150=H$1),0),$C82-1966)</f>
        <v>63016</v>
      </c>
      <c r="I82" s="4" cm="1">
        <f t="array" ref="I82">INDEX(GMW!$A$2:$NF$150,MATCH(1,(GMW!$NE$2:$NE$150=I$3)*(GMW!$ND$2:$ND$150=I$4)*(GMW!$NF$2:$NF$150=I$1),0),$C82-1966)</f>
        <v>29591.4</v>
      </c>
      <c r="J82" s="4" cm="1">
        <f t="array" ref="J82">INDEX(GMW!$A$2:$NF$150,MATCH(1,(GMW!$NE$2:$NE$150=J$3)*(GMW!$ND$2:$ND$150=J$4)*(GMW!$NF$2:$NF$150=J$1),0),$C82-1966)</f>
        <v>64085</v>
      </c>
      <c r="K82" s="4" cm="1">
        <f t="array" ref="K82">INDEX(GMW!$A$2:$NF$150,MATCH(1,(GMW!$NE$2:$NE$150=K$3)*(GMW!$ND$2:$ND$150=K$4)*(GMW!$NF$2:$NF$150=K$1),0),$C82-1966)</f>
        <v>27193.43</v>
      </c>
      <c r="L82" s="4" cm="1">
        <f t="array" ref="L82">INDEX(GMW!$A$2:$NF$150,MATCH(1,(GMW!$NE$2:$NE$150=L$3)*(GMW!$ND$2:$ND$150=L$4)*(GMW!$NF$2:$NF$150=L$1),0),$C82-1966)</f>
        <v>352724.7</v>
      </c>
      <c r="M82" s="4" cm="1">
        <f t="array" ref="M82">INDEX(GMW!$A$2:$NF$150,MATCH(1,(GMW!$NE$2:$NE$150=M$3)*(GMW!$ND$2:$ND$150=M$4)*(GMW!$NF$2:$NF$150=M$1),0),$C82-1966)</f>
        <v>25807.88</v>
      </c>
      <c r="N82" s="4" cm="1">
        <f t="array" ref="N82">INDEX(GMW!$A$2:$NF$150,MATCH(1,(GMW!$NE$2:$NE$150=N$3)*(GMW!$ND$2:$ND$150=N$4)*(GMW!$NF$2:$NF$150=N$1),0),$C82-1966)</f>
        <v>33.127389999999998</v>
      </c>
      <c r="O82" s="4" cm="1">
        <f t="array" ref="O82">INDEX(GMW!$A$2:$NF$150,MATCH(1,(GMW!$NE$2:$NE$150=O$3)*(GMW!$ND$2:$ND$150=O$4)*(GMW!$NF$2:$NF$150=O$1),0),$C82-1966)</f>
        <v>351700.9</v>
      </c>
      <c r="P82" s="4" cm="1">
        <f t="array" ref="P82">INDEX(GMW!$A$2:$NF$150,MATCH(1,(GMW!$NE$2:$NE$150=P$3)*(GMW!$ND$2:$ND$150=P$4)*(GMW!$NF$2:$NF$150=P$1),0),$C82-1966)</f>
        <v>37354.699999999997</v>
      </c>
      <c r="Q82" s="4" cm="1">
        <f t="array" ref="Q82">INDEX(GMW!$A$2:$NF$150,MATCH(1,(GMW!$NE$2:$NE$150=Q$3)*(GMW!$ND$2:$ND$150=Q$4)*(GMW!$NF$2:$NF$150=Q$1),0),$C82-1966)</f>
        <v>1619451</v>
      </c>
      <c r="R82" s="4" cm="1">
        <f t="array" ref="R82">INDEX(GMW!$A$2:$NF$150,MATCH(1,(GMW!$NE$2:$NE$150=R$3)*(GMW!$ND$2:$ND$150=R$4)*(GMW!$NF$2:$NF$150=R$1),0),$C82-1966)</f>
        <v>-1.778872</v>
      </c>
      <c r="S82" s="4" cm="1">
        <f t="array" ref="S82">INDEX(GMW!$A$2:$NF$150,MATCH(1,(GMW!$NE$2:$NE$150=S$3)*(GMW!$ND$2:$ND$150=S$4)*(GMW!$NF$2:$NF$150=S$1),0),$C82-1966)</f>
        <v>345643</v>
      </c>
      <c r="T82" s="4" cm="1">
        <f t="array" ref="T82">INDEX(GMW!$A$2:$NF$150,MATCH(1,(GMW!$NE$2:$NE$150=T$3)*(GMW!$ND$2:$ND$150=T$4)*(GMW!$NF$2:$NF$150=T$1),0),$C82-1966)</f>
        <v>61.466670000000001</v>
      </c>
      <c r="U82" s="4" cm="1">
        <f t="array" ref="U82">INDEX(GMW!$A$2:$NF$150,MATCH(1,(GMW!$NE$2:$NE$150=U$3)*(GMW!$ND$2:$ND$150=U$4)*(GMW!$NF$2:$NF$150=U$1),0),$C82-1966)</f>
        <v>66730</v>
      </c>
      <c r="V82" s="4" cm="1">
        <f t="array" ref="V82">INDEX(GMW!$A$2:$NF$150,MATCH(1,(GMW!$NE$2:$NE$150=V$3)*(GMW!$ND$2:$ND$150=V$4)*(GMW!$NF$2:$NF$150=V$1),0),$C82-1966)</f>
        <v>27742.07</v>
      </c>
      <c r="W82" s="4" cm="1">
        <f t="array" ref="W82">INDEX(GMW!$A$2:$NF$150,MATCH(1,(GMW!$NE$2:$NE$150=W$3)*(GMW!$ND$2:$ND$150=W$4)*(GMW!$NF$2:$NF$150=W$1),0),$C82-1966)</f>
        <v>63016</v>
      </c>
      <c r="X82" s="4" cm="1">
        <f t="array" ref="X82">INDEX(GMW!$A$2:$NF$150,MATCH(1,(GMW!$NE$2:$NE$150=X$3)*(GMW!$ND$2:$ND$150=X$4)*(GMW!$NF$2:$NF$150=X$1),0),$C82-1966)</f>
        <v>29591.4</v>
      </c>
      <c r="Y82" s="4" cm="1">
        <f t="array" ref="Y82">INDEX(GMW!$A$2:$NF$150,MATCH(1,(GMW!$NE$2:$NE$150=Y$3)*(GMW!$ND$2:$ND$150=Y$4)*(GMW!$NF$2:$NF$150=Y$1),0),$C82-1966)</f>
        <v>64085</v>
      </c>
      <c r="Z82" s="4" cm="1">
        <f t="array" ref="Z82">INDEX(GMW!$A$2:$NF$150,MATCH(1,(GMW!$NE$2:$NE$150=Z$3)*(GMW!$ND$2:$ND$150=Z$4)*(GMW!$NF$2:$NF$150=Z$1),0),$C82-1966)</f>
        <v>27193.43</v>
      </c>
      <c r="AA82" s="4" cm="1">
        <f t="array" ref="AA82">INDEX(GMW!$A$2:$NF$150,MATCH(1,(GMW!$NE$2:$NE$150=AA$3)*(GMW!$ND$2:$ND$150=AA$4)*(GMW!$NF$2:$NF$150=AA$1),0),$C82-1966)</f>
        <v>352724.7</v>
      </c>
      <c r="AB82" s="4" cm="1">
        <f t="array" ref="AB82">INDEX(GMW!$A$2:$NF$150,MATCH(1,(GMW!$NE$2:$NE$150=AB$3)*(GMW!$ND$2:$ND$150=AB$4)*(GMW!$NF$2:$NF$150=AB$1),0),$C82-1966)</f>
        <v>25807.88</v>
      </c>
      <c r="AC82" s="4" cm="1">
        <f t="array" ref="AC82">INDEX(GMW!$A$2:$NF$150,MATCH(1,(GMW!$NE$2:$NE$150=AC$3)*(GMW!$ND$2:$ND$150=AC$4)*(GMW!$NF$2:$NF$150=AC$1),0),$C82-1966)</f>
        <v>33.127389999999998</v>
      </c>
      <c r="AD82" s="4" cm="1">
        <f t="array" ref="AD82">INDEX(GMW!$A$2:$NF$150,MATCH(1,(GMW!$NE$2:$NE$150=AD$3)*(GMW!$ND$2:$ND$150=AD$4)*(GMW!$NF$2:$NF$150=AD$1),0),$C82-1966)</f>
        <v>351700.9</v>
      </c>
      <c r="AE82" s="4" cm="1">
        <f t="array" ref="AE82">INDEX(GMW!$A$2:$NF$150,MATCH(1,(GMW!$NE$2:$NE$150=AE$3)*(GMW!$ND$2:$ND$150=AE$4)*(GMW!$NF$2:$NF$150=AE$1),0),$C82-1966)</f>
        <v>37354.699999999997</v>
      </c>
      <c r="AF82" s="4" cm="1">
        <f t="array" ref="AF82">INDEX(GMW!$A$2:$NF$150,MATCH(1,(GMW!$NE$2:$NE$150=AF$3)*(GMW!$ND$2:$ND$150=AF$4)*(GMW!$NF$2:$NF$150=AF$1),0),$C82-1966)</f>
        <v>1619451</v>
      </c>
      <c r="AG82" s="4" cm="1">
        <f t="array" ref="AG82">INDEX(GMW!$A$2:$NF$150,MATCH(1,(GMW!$NE$2:$NE$150=AG$3)*(GMW!$ND$2:$ND$150=AG$4)*(GMW!$NF$2:$NF$150=AG$1),0),$C82-1966)</f>
        <v>-1.778872</v>
      </c>
      <c r="AH82" s="4" cm="1">
        <f t="array" ref="AH82">INDEX(GMW!$A$2:$NF$150,MATCH(1,(GMW!$NE$2:$NE$150=AH$3)*(GMW!$ND$2:$ND$150=AH$4)*(GMW!$NF$2:$NF$150=AH$1),0),$C82-1966)</f>
        <v>345643</v>
      </c>
      <c r="AI82" s="4" cm="1">
        <f t="array" ref="AI82">INDEX(GMW!$A$2:$NF$150,MATCH(1,(GMW!$NE$2:$NE$150=AI$3)*(GMW!$ND$2:$ND$150=AI$4)*(GMW!$NF$2:$NF$150=AI$1),0),$C82-1966)</f>
        <v>61.466670000000001</v>
      </c>
      <c r="AJ82" s="4" cm="1">
        <f t="array" ref="AJ82">INDEX(GMW!$A$2:$NF$150,MATCH(1,(GMW!$NE$2:$NE$150=AJ$3)*(GMW!$ND$2:$ND$150=AJ$4)*(GMW!$NF$2:$NF$150=AJ$1),0),$C82-1966)</f>
        <v>66730</v>
      </c>
      <c r="AK82" s="4" cm="1">
        <f t="array" ref="AK82">INDEX(GMW!$A$2:$NF$150,MATCH(1,(GMW!$NE$2:$NE$150=AK$3)*(GMW!$ND$2:$ND$150=AK$4)*(GMW!$NF$2:$NF$150=AK$1),0),$C82-1966)</f>
        <v>27742.07</v>
      </c>
      <c r="AL82" s="4" cm="1">
        <f t="array" ref="AL82">INDEX(GMW!$A$2:$NF$150,MATCH(1,(GMW!$NE$2:$NE$150=AL$3)*(GMW!$ND$2:$ND$150=AL$4)*(GMW!$NF$2:$NF$150=AL$1),0),$C82-1966)</f>
        <v>63016</v>
      </c>
      <c r="AM82" s="4" cm="1">
        <f t="array" ref="AM82">INDEX(GMW!$A$2:$NF$150,MATCH(1,(GMW!$NE$2:$NE$150=AM$3)*(GMW!$ND$2:$ND$150=AM$4)*(GMW!$NF$2:$NF$150=AM$1),0),$C82-1966)</f>
        <v>29591.4</v>
      </c>
      <c r="AN82" s="4" cm="1">
        <f t="array" ref="AN82">INDEX(GMW!$A$2:$NF$150,MATCH(1,(GMW!$NE$2:$NE$150=AN$3)*(GMW!$ND$2:$ND$150=AN$4)*(GMW!$NF$2:$NF$150=AN$1),0),$C82-1966)</f>
        <v>64085</v>
      </c>
      <c r="AO82" s="4" cm="1">
        <f t="array" ref="AO82">INDEX(GMW!$A$2:$NF$150,MATCH(1,(GMW!$NE$2:$NE$150=AO$3)*(GMW!$ND$2:$ND$150=AO$4)*(GMW!$NF$2:$NF$150=AO$1),0),$C82-1966)</f>
        <v>27193.43</v>
      </c>
      <c r="AP82" s="4" cm="1">
        <f t="array" ref="AP82">INDEX(GMW!$A$2:$NF$150,MATCH(1,(GMW!$NE$2:$NE$150=AP$3)*(GMW!$ND$2:$ND$150=AP$4)*(GMW!$NF$2:$NF$150=AP$1),0),$C82-1966)</f>
        <v>352724.7</v>
      </c>
      <c r="AQ82" s="4" cm="1">
        <f t="array" ref="AQ82">INDEX(GMW!$A$2:$NF$150,MATCH(1,(GMW!$NE$2:$NE$150=AQ$3)*(GMW!$ND$2:$ND$150=AQ$4)*(GMW!$NF$2:$NF$150=AQ$1),0),$C82-1966)</f>
        <v>25807.88</v>
      </c>
      <c r="AR82" s="4" cm="1">
        <f t="array" ref="AR82">INDEX(GMW!$A$2:$NF$150,MATCH(1,(GMW!$NE$2:$NE$150=AR$3)*(GMW!$ND$2:$ND$150=AR$4)*(GMW!$NF$2:$NF$150=AR$1),0),$C82-1966)</f>
        <v>33.127389999999998</v>
      </c>
      <c r="AS82" s="4" cm="1">
        <f t="array" ref="AS82">INDEX(GMW!$A$2:$NF$150,MATCH(1,(GMW!$NE$2:$NE$150=AS$3)*(GMW!$ND$2:$ND$150=AS$4)*(GMW!$NF$2:$NF$150=AS$1),0),$C82-1966)</f>
        <v>351700.9</v>
      </c>
      <c r="AT82" s="4" cm="1">
        <f t="array" ref="AT82">INDEX(GMW!$A$2:$NF$150,MATCH(1,(GMW!$NE$2:$NE$150=AT$3)*(GMW!$ND$2:$ND$150=AT$4)*(GMW!$NF$2:$NF$150=AT$1),0),$C82-1966)</f>
        <v>37354.699999999997</v>
      </c>
      <c r="AU82" s="4" cm="1">
        <f t="array" ref="AU82">INDEX(GMW!$A$2:$NF$150,MATCH(1,(GMW!$NE$2:$NE$150=AU$3)*(GMW!$ND$2:$ND$150=AU$4)*(GMW!$NF$2:$NF$150=AU$1),0),$C82-1966)</f>
        <v>1619451</v>
      </c>
      <c r="AV82" s="4" cm="1">
        <f t="array" ref="AV82">INDEX(GMW!$A$2:$NF$150,MATCH(1,(GMW!$NE$2:$NE$150=AV$3)*(GMW!$ND$2:$ND$150=AV$4)*(GMW!$NF$2:$NF$150=AV$1),0),$C82-1966)</f>
        <v>-1.778872</v>
      </c>
    </row>
    <row r="83" spans="1:48" x14ac:dyDescent="0.25">
      <c r="A83" s="4">
        <v>1992</v>
      </c>
      <c r="B83" s="4">
        <f t="shared" si="6"/>
        <v>1992</v>
      </c>
      <c r="C83" s="4">
        <f t="shared" si="5"/>
        <v>2049</v>
      </c>
      <c r="D83" s="4" cm="1">
        <f t="array" ref="D83">INDEX(GMW!$A$2:$NF$150,MATCH(1,(GMW!$NE$2:$NE$150=D$3)*(GMW!$ND$2:$ND$150=D$4)*(GMW!$NF$2:$NF$150=D$1),0),$C83-1966)</f>
        <v>345523</v>
      </c>
      <c r="E83" s="4" cm="1">
        <f t="array" ref="E83">INDEX(GMW!$A$2:$NF$150,MATCH(1,(GMW!$NE$2:$NE$150=E$3)*(GMW!$ND$2:$ND$150=E$4)*(GMW!$NF$2:$NF$150=E$1),0),$C83-1966)</f>
        <v>61.7</v>
      </c>
      <c r="F83" s="4" cm="1">
        <f t="array" ref="F83">INDEX(GMW!$A$2:$NF$150,MATCH(1,(GMW!$NE$2:$NE$150=F$3)*(GMW!$ND$2:$ND$150=F$4)*(GMW!$NF$2:$NF$150=F$1),0),$C83-1966)</f>
        <v>67452</v>
      </c>
      <c r="G83" s="4" cm="1">
        <f t="array" ref="G83">INDEX(GMW!$A$2:$NF$150,MATCH(1,(GMW!$NE$2:$NE$150=G$3)*(GMW!$ND$2:$ND$150=G$4)*(GMW!$NF$2:$NF$150=G$1),0),$C83-1966)</f>
        <v>29177.19</v>
      </c>
      <c r="H83" s="4" cm="1">
        <f t="array" ref="H83">INDEX(GMW!$A$2:$NF$150,MATCH(1,(GMW!$NE$2:$NE$150=H$3)*(GMW!$ND$2:$ND$150=H$4)*(GMW!$NF$2:$NF$150=H$1),0),$C83-1966)</f>
        <v>64113</v>
      </c>
      <c r="I83" s="4" cm="1">
        <f t="array" ref="I83">INDEX(GMW!$A$2:$NF$150,MATCH(1,(GMW!$NE$2:$NE$150=I$3)*(GMW!$ND$2:$ND$150=I$4)*(GMW!$NF$2:$NF$150=I$1),0),$C83-1966)</f>
        <v>30605.3</v>
      </c>
      <c r="J83" s="4" cm="1">
        <f t="array" ref="J83">INDEX(GMW!$A$2:$NF$150,MATCH(1,(GMW!$NE$2:$NE$150=J$3)*(GMW!$ND$2:$ND$150=J$4)*(GMW!$NF$2:$NF$150=J$1),0),$C83-1966)</f>
        <v>64254</v>
      </c>
      <c r="K83" s="4" cm="1">
        <f t="array" ref="K83">INDEX(GMW!$A$2:$NF$150,MATCH(1,(GMW!$NE$2:$NE$150=K$3)*(GMW!$ND$2:$ND$150=K$4)*(GMW!$NF$2:$NF$150=K$1),0),$C83-1966)</f>
        <v>27336.63</v>
      </c>
      <c r="L83" s="4" cm="1">
        <f t="array" ref="L83">INDEX(GMW!$A$2:$NF$150,MATCH(1,(GMW!$NE$2:$NE$150=L$3)*(GMW!$ND$2:$ND$150=L$4)*(GMW!$NF$2:$NF$150=L$1),0),$C83-1966)</f>
        <v>355136.2</v>
      </c>
      <c r="M83" s="4" cm="1">
        <f t="array" ref="M83">INDEX(GMW!$A$2:$NF$150,MATCH(1,(GMW!$NE$2:$NE$150=M$3)*(GMW!$ND$2:$ND$150=M$4)*(GMW!$NF$2:$NF$150=M$1),0),$C83-1966)</f>
        <v>25767.16</v>
      </c>
      <c r="N83" s="4" cm="1">
        <f t="array" ref="N83">INDEX(GMW!$A$2:$NF$150,MATCH(1,(GMW!$NE$2:$NE$150=N$3)*(GMW!$ND$2:$ND$150=N$4)*(GMW!$NF$2:$NF$150=N$1),0),$C83-1966)</f>
        <v>33.205179999999999</v>
      </c>
      <c r="O83" s="4" cm="1">
        <f t="array" ref="O83">INDEX(GMW!$A$2:$NF$150,MATCH(1,(GMW!$NE$2:$NE$150=O$3)*(GMW!$ND$2:$ND$150=O$4)*(GMW!$NF$2:$NF$150=O$1),0),$C83-1966)</f>
        <v>352599.9</v>
      </c>
      <c r="P83" s="4" cm="1">
        <f t="array" ref="P83">INDEX(GMW!$A$2:$NF$150,MATCH(1,(GMW!$NE$2:$NE$150=P$3)*(GMW!$ND$2:$ND$150=P$4)*(GMW!$NF$2:$NF$150=P$1),0),$C83-1966)</f>
        <v>37346.19</v>
      </c>
      <c r="Q83" s="4" cm="1">
        <f t="array" ref="Q83">INDEX(GMW!$A$2:$NF$150,MATCH(1,(GMW!$NE$2:$NE$150=Q$3)*(GMW!$ND$2:$ND$150=Q$4)*(GMW!$NF$2:$NF$150=Q$1),0),$C83-1966)</f>
        <v>1627093</v>
      </c>
      <c r="R83" s="4" cm="1">
        <f t="array" ref="R83">INDEX(GMW!$A$2:$NF$150,MATCH(1,(GMW!$NE$2:$NE$150=R$3)*(GMW!$ND$2:$ND$150=R$4)*(GMW!$NF$2:$NF$150=R$1),0),$C83-1966)</f>
        <v>-1.776149</v>
      </c>
      <c r="S83" s="4" cm="1">
        <f t="array" ref="S83">INDEX(GMW!$A$2:$NF$150,MATCH(1,(GMW!$NE$2:$NE$150=S$3)*(GMW!$ND$2:$ND$150=S$4)*(GMW!$NF$2:$NF$150=S$1),0),$C83-1966)</f>
        <v>345523</v>
      </c>
      <c r="T83" s="4" cm="1">
        <f t="array" ref="T83">INDEX(GMW!$A$2:$NF$150,MATCH(1,(GMW!$NE$2:$NE$150=T$3)*(GMW!$ND$2:$ND$150=T$4)*(GMW!$NF$2:$NF$150=T$1),0),$C83-1966)</f>
        <v>61.7</v>
      </c>
      <c r="U83" s="4" cm="1">
        <f t="array" ref="U83">INDEX(GMW!$A$2:$NF$150,MATCH(1,(GMW!$NE$2:$NE$150=U$3)*(GMW!$ND$2:$ND$150=U$4)*(GMW!$NF$2:$NF$150=U$1),0),$C83-1966)</f>
        <v>67452</v>
      </c>
      <c r="V83" s="4" cm="1">
        <f t="array" ref="V83">INDEX(GMW!$A$2:$NF$150,MATCH(1,(GMW!$NE$2:$NE$150=V$3)*(GMW!$ND$2:$ND$150=V$4)*(GMW!$NF$2:$NF$150=V$1),0),$C83-1966)</f>
        <v>29177.19</v>
      </c>
      <c r="W83" s="4" cm="1">
        <f t="array" ref="W83">INDEX(GMW!$A$2:$NF$150,MATCH(1,(GMW!$NE$2:$NE$150=W$3)*(GMW!$ND$2:$ND$150=W$4)*(GMW!$NF$2:$NF$150=W$1),0),$C83-1966)</f>
        <v>64113</v>
      </c>
      <c r="X83" s="4" cm="1">
        <f t="array" ref="X83">INDEX(GMW!$A$2:$NF$150,MATCH(1,(GMW!$NE$2:$NE$150=X$3)*(GMW!$ND$2:$ND$150=X$4)*(GMW!$NF$2:$NF$150=X$1),0),$C83-1966)</f>
        <v>30605.3</v>
      </c>
      <c r="Y83" s="4" cm="1">
        <f t="array" ref="Y83">INDEX(GMW!$A$2:$NF$150,MATCH(1,(GMW!$NE$2:$NE$150=Y$3)*(GMW!$ND$2:$ND$150=Y$4)*(GMW!$NF$2:$NF$150=Y$1),0),$C83-1966)</f>
        <v>64254</v>
      </c>
      <c r="Z83" s="4" cm="1">
        <f t="array" ref="Z83">INDEX(GMW!$A$2:$NF$150,MATCH(1,(GMW!$NE$2:$NE$150=Z$3)*(GMW!$ND$2:$ND$150=Z$4)*(GMW!$NF$2:$NF$150=Z$1),0),$C83-1966)</f>
        <v>27336.63</v>
      </c>
      <c r="AA83" s="4" cm="1">
        <f t="array" ref="AA83">INDEX(GMW!$A$2:$NF$150,MATCH(1,(GMW!$NE$2:$NE$150=AA$3)*(GMW!$ND$2:$ND$150=AA$4)*(GMW!$NF$2:$NF$150=AA$1),0),$C83-1966)</f>
        <v>355136.2</v>
      </c>
      <c r="AB83" s="4" cm="1">
        <f t="array" ref="AB83">INDEX(GMW!$A$2:$NF$150,MATCH(1,(GMW!$NE$2:$NE$150=AB$3)*(GMW!$ND$2:$ND$150=AB$4)*(GMW!$NF$2:$NF$150=AB$1),0),$C83-1966)</f>
        <v>25767.16</v>
      </c>
      <c r="AC83" s="4" cm="1">
        <f t="array" ref="AC83">INDEX(GMW!$A$2:$NF$150,MATCH(1,(GMW!$NE$2:$NE$150=AC$3)*(GMW!$ND$2:$ND$150=AC$4)*(GMW!$NF$2:$NF$150=AC$1),0),$C83-1966)</f>
        <v>33.205179999999999</v>
      </c>
      <c r="AD83" s="4" cm="1">
        <f t="array" ref="AD83">INDEX(GMW!$A$2:$NF$150,MATCH(1,(GMW!$NE$2:$NE$150=AD$3)*(GMW!$ND$2:$ND$150=AD$4)*(GMW!$NF$2:$NF$150=AD$1),0),$C83-1966)</f>
        <v>352599.9</v>
      </c>
      <c r="AE83" s="4" cm="1">
        <f t="array" ref="AE83">INDEX(GMW!$A$2:$NF$150,MATCH(1,(GMW!$NE$2:$NE$150=AE$3)*(GMW!$ND$2:$ND$150=AE$4)*(GMW!$NF$2:$NF$150=AE$1),0),$C83-1966)</f>
        <v>37346.19</v>
      </c>
      <c r="AF83" s="4" cm="1">
        <f t="array" ref="AF83">INDEX(GMW!$A$2:$NF$150,MATCH(1,(GMW!$NE$2:$NE$150=AF$3)*(GMW!$ND$2:$ND$150=AF$4)*(GMW!$NF$2:$NF$150=AF$1),0),$C83-1966)</f>
        <v>1627093</v>
      </c>
      <c r="AG83" s="4" cm="1">
        <f t="array" ref="AG83">INDEX(GMW!$A$2:$NF$150,MATCH(1,(GMW!$NE$2:$NE$150=AG$3)*(GMW!$ND$2:$ND$150=AG$4)*(GMW!$NF$2:$NF$150=AG$1),0),$C83-1966)</f>
        <v>-1.776149</v>
      </c>
      <c r="AH83" s="4" cm="1">
        <f t="array" ref="AH83">INDEX(GMW!$A$2:$NF$150,MATCH(1,(GMW!$NE$2:$NE$150=AH$3)*(GMW!$ND$2:$ND$150=AH$4)*(GMW!$NF$2:$NF$150=AH$1),0),$C83-1966)</f>
        <v>345523</v>
      </c>
      <c r="AI83" s="4" cm="1">
        <f t="array" ref="AI83">INDEX(GMW!$A$2:$NF$150,MATCH(1,(GMW!$NE$2:$NE$150=AI$3)*(GMW!$ND$2:$ND$150=AI$4)*(GMW!$NF$2:$NF$150=AI$1),0),$C83-1966)</f>
        <v>61.7</v>
      </c>
      <c r="AJ83" s="4" cm="1">
        <f t="array" ref="AJ83">INDEX(GMW!$A$2:$NF$150,MATCH(1,(GMW!$NE$2:$NE$150=AJ$3)*(GMW!$ND$2:$ND$150=AJ$4)*(GMW!$NF$2:$NF$150=AJ$1),0),$C83-1966)</f>
        <v>67452</v>
      </c>
      <c r="AK83" s="4" cm="1">
        <f t="array" ref="AK83">INDEX(GMW!$A$2:$NF$150,MATCH(1,(GMW!$NE$2:$NE$150=AK$3)*(GMW!$ND$2:$ND$150=AK$4)*(GMW!$NF$2:$NF$150=AK$1),0),$C83-1966)</f>
        <v>29177.19</v>
      </c>
      <c r="AL83" s="4" cm="1">
        <f t="array" ref="AL83">INDEX(GMW!$A$2:$NF$150,MATCH(1,(GMW!$NE$2:$NE$150=AL$3)*(GMW!$ND$2:$ND$150=AL$4)*(GMW!$NF$2:$NF$150=AL$1),0),$C83-1966)</f>
        <v>64113</v>
      </c>
      <c r="AM83" s="4" cm="1">
        <f t="array" ref="AM83">INDEX(GMW!$A$2:$NF$150,MATCH(1,(GMW!$NE$2:$NE$150=AM$3)*(GMW!$ND$2:$ND$150=AM$4)*(GMW!$NF$2:$NF$150=AM$1),0),$C83-1966)</f>
        <v>30605.3</v>
      </c>
      <c r="AN83" s="4" cm="1">
        <f t="array" ref="AN83">INDEX(GMW!$A$2:$NF$150,MATCH(1,(GMW!$NE$2:$NE$150=AN$3)*(GMW!$ND$2:$ND$150=AN$4)*(GMW!$NF$2:$NF$150=AN$1),0),$C83-1966)</f>
        <v>64254</v>
      </c>
      <c r="AO83" s="4" cm="1">
        <f t="array" ref="AO83">INDEX(GMW!$A$2:$NF$150,MATCH(1,(GMW!$NE$2:$NE$150=AO$3)*(GMW!$ND$2:$ND$150=AO$4)*(GMW!$NF$2:$NF$150=AO$1),0),$C83-1966)</f>
        <v>27336.63</v>
      </c>
      <c r="AP83" s="4" cm="1">
        <f t="array" ref="AP83">INDEX(GMW!$A$2:$NF$150,MATCH(1,(GMW!$NE$2:$NE$150=AP$3)*(GMW!$ND$2:$ND$150=AP$4)*(GMW!$NF$2:$NF$150=AP$1),0),$C83-1966)</f>
        <v>355136.2</v>
      </c>
      <c r="AQ83" s="4" cm="1">
        <f t="array" ref="AQ83">INDEX(GMW!$A$2:$NF$150,MATCH(1,(GMW!$NE$2:$NE$150=AQ$3)*(GMW!$ND$2:$ND$150=AQ$4)*(GMW!$NF$2:$NF$150=AQ$1),0),$C83-1966)</f>
        <v>25767.16</v>
      </c>
      <c r="AR83" s="4" cm="1">
        <f t="array" ref="AR83">INDEX(GMW!$A$2:$NF$150,MATCH(1,(GMW!$NE$2:$NE$150=AR$3)*(GMW!$ND$2:$ND$150=AR$4)*(GMW!$NF$2:$NF$150=AR$1),0),$C83-1966)</f>
        <v>33.205179999999999</v>
      </c>
      <c r="AS83" s="4" cm="1">
        <f t="array" ref="AS83">INDEX(GMW!$A$2:$NF$150,MATCH(1,(GMW!$NE$2:$NE$150=AS$3)*(GMW!$ND$2:$ND$150=AS$4)*(GMW!$NF$2:$NF$150=AS$1),0),$C83-1966)</f>
        <v>352599.9</v>
      </c>
      <c r="AT83" s="4" cm="1">
        <f t="array" ref="AT83">INDEX(GMW!$A$2:$NF$150,MATCH(1,(GMW!$NE$2:$NE$150=AT$3)*(GMW!$ND$2:$ND$150=AT$4)*(GMW!$NF$2:$NF$150=AT$1),0),$C83-1966)</f>
        <v>37346.19</v>
      </c>
      <c r="AU83" s="4" cm="1">
        <f t="array" ref="AU83">INDEX(GMW!$A$2:$NF$150,MATCH(1,(GMW!$NE$2:$NE$150=AU$3)*(GMW!$ND$2:$ND$150=AU$4)*(GMW!$NF$2:$NF$150=AU$1),0),$C83-1966)</f>
        <v>1627093</v>
      </c>
      <c r="AV83" s="4" cm="1">
        <f t="array" ref="AV83">INDEX(GMW!$A$2:$NF$150,MATCH(1,(GMW!$NE$2:$NE$150=AV$3)*(GMW!$ND$2:$ND$150=AV$4)*(GMW!$NF$2:$NF$150=AV$1),0),$C83-1966)</f>
        <v>-1.776149</v>
      </c>
    </row>
    <row r="84" spans="1:48" x14ac:dyDescent="0.25">
      <c r="B84" s="4">
        <f t="shared" si="6"/>
        <v>1992</v>
      </c>
      <c r="C84" s="4">
        <f t="shared" si="5"/>
        <v>2050</v>
      </c>
      <c r="D84" s="4" cm="1">
        <f t="array" ref="D84">INDEX(GMW!$A$2:$NF$150,MATCH(1,(GMW!$NE$2:$NE$150=D$3)*(GMW!$ND$2:$ND$150=D$4)*(GMW!$NF$2:$NF$150=D$1),0),$C84-1966)</f>
        <v>344987</v>
      </c>
      <c r="E84" s="4" cm="1">
        <f t="array" ref="E84">INDEX(GMW!$A$2:$NF$150,MATCH(1,(GMW!$NE$2:$NE$150=E$3)*(GMW!$ND$2:$ND$150=E$4)*(GMW!$NF$2:$NF$150=E$1),0),$C84-1966)</f>
        <v>62.833329999999997</v>
      </c>
      <c r="F84" s="4" cm="1">
        <f t="array" ref="F84">INDEX(GMW!$A$2:$NF$150,MATCH(1,(GMW!$NE$2:$NE$150=F$3)*(GMW!$ND$2:$ND$150=F$4)*(GMW!$NF$2:$NF$150=F$1),0),$C84-1966)</f>
        <v>69112</v>
      </c>
      <c r="G84" s="4" cm="1">
        <f t="array" ref="G84">INDEX(GMW!$A$2:$NF$150,MATCH(1,(GMW!$NE$2:$NE$150=G$3)*(GMW!$ND$2:$ND$150=G$4)*(GMW!$NF$2:$NF$150=G$1),0),$C84-1966)</f>
        <v>28744.6</v>
      </c>
      <c r="H84" s="4" cm="1">
        <f t="array" ref="H84">INDEX(GMW!$A$2:$NF$150,MATCH(1,(GMW!$NE$2:$NE$150=H$3)*(GMW!$ND$2:$ND$150=H$4)*(GMW!$NF$2:$NF$150=H$1),0),$C84-1966)</f>
        <v>67044</v>
      </c>
      <c r="I84" s="4" cm="1">
        <f t="array" ref="I84">INDEX(GMW!$A$2:$NF$150,MATCH(1,(GMW!$NE$2:$NE$150=I$3)*(GMW!$ND$2:$ND$150=I$4)*(GMW!$NF$2:$NF$150=I$1),0),$C84-1966)</f>
        <v>31482.47</v>
      </c>
      <c r="J84" s="4" cm="1">
        <f t="array" ref="J84">INDEX(GMW!$A$2:$NF$150,MATCH(1,(GMW!$NE$2:$NE$150=J$3)*(GMW!$ND$2:$ND$150=J$4)*(GMW!$NF$2:$NF$150=J$1),0),$C84-1966)</f>
        <v>63871</v>
      </c>
      <c r="K84" s="4" cm="1">
        <f t="array" ref="K84">INDEX(GMW!$A$2:$NF$150,MATCH(1,(GMW!$NE$2:$NE$150=K$3)*(GMW!$ND$2:$ND$150=K$4)*(GMW!$NF$2:$NF$150=K$1),0),$C84-1966)</f>
        <v>26749.35</v>
      </c>
      <c r="L84" s="4" cm="1">
        <f t="array" ref="L84">INDEX(GMW!$A$2:$NF$150,MATCH(1,(GMW!$NE$2:$NE$150=L$3)*(GMW!$ND$2:$ND$150=L$4)*(GMW!$NF$2:$NF$150=L$1),0),$C84-1966)</f>
        <v>356223.3</v>
      </c>
      <c r="M84" s="4" cm="1">
        <f t="array" ref="M84">INDEX(GMW!$A$2:$NF$150,MATCH(1,(GMW!$NE$2:$NE$150=M$3)*(GMW!$ND$2:$ND$150=M$4)*(GMW!$NF$2:$NF$150=M$1),0),$C84-1966)</f>
        <v>25685.71</v>
      </c>
      <c r="N84" s="4" cm="1">
        <f t="array" ref="N84">INDEX(GMW!$A$2:$NF$150,MATCH(1,(GMW!$NE$2:$NE$150=N$3)*(GMW!$ND$2:$ND$150=N$4)*(GMW!$NF$2:$NF$150=N$1),0),$C84-1966)</f>
        <v>33.200000000000003</v>
      </c>
      <c r="O84" s="4" cm="1">
        <f t="array" ref="O84">INDEX(GMW!$A$2:$NF$150,MATCH(1,(GMW!$NE$2:$NE$150=O$3)*(GMW!$ND$2:$ND$150=O$4)*(GMW!$NF$2:$NF$150=O$1),0),$C84-1966)</f>
        <v>353518.7</v>
      </c>
      <c r="P84" s="4" cm="1">
        <f t="array" ref="P84">INDEX(GMW!$A$2:$NF$150,MATCH(1,(GMW!$NE$2:$NE$150=P$3)*(GMW!$ND$2:$ND$150=P$4)*(GMW!$NF$2:$NF$150=P$1),0),$C84-1966)</f>
        <v>37337.68</v>
      </c>
      <c r="Q84" s="4" cm="1">
        <f t="array" ref="Q84">INDEX(GMW!$A$2:$NF$150,MATCH(1,(GMW!$NE$2:$NE$150=Q$3)*(GMW!$ND$2:$ND$150=Q$4)*(GMW!$NF$2:$NF$150=Q$1),0),$C84-1966)</f>
        <v>1634735</v>
      </c>
      <c r="R84" s="4" cm="1">
        <f t="array" ref="R84">INDEX(GMW!$A$2:$NF$150,MATCH(1,(GMW!$NE$2:$NE$150=R$3)*(GMW!$ND$2:$ND$150=R$4)*(GMW!$NF$2:$NF$150=R$1),0),$C84-1966)</f>
        <v>-1.7734300000000001</v>
      </c>
      <c r="S84" s="4" cm="1">
        <f t="array" ref="S84">INDEX(GMW!$A$2:$NF$150,MATCH(1,(GMW!$NE$2:$NE$150=S$3)*(GMW!$ND$2:$ND$150=S$4)*(GMW!$NF$2:$NF$150=S$1),0),$C84-1966)</f>
        <v>344987</v>
      </c>
      <c r="T84" s="4" cm="1">
        <f t="array" ref="T84">INDEX(GMW!$A$2:$NF$150,MATCH(1,(GMW!$NE$2:$NE$150=T$3)*(GMW!$ND$2:$ND$150=T$4)*(GMW!$NF$2:$NF$150=T$1),0),$C84-1966)</f>
        <v>62.833329999999997</v>
      </c>
      <c r="U84" s="4" cm="1">
        <f t="array" ref="U84">INDEX(GMW!$A$2:$NF$150,MATCH(1,(GMW!$NE$2:$NE$150=U$3)*(GMW!$ND$2:$ND$150=U$4)*(GMW!$NF$2:$NF$150=U$1),0),$C84-1966)</f>
        <v>69112</v>
      </c>
      <c r="V84" s="4" cm="1">
        <f t="array" ref="V84">INDEX(GMW!$A$2:$NF$150,MATCH(1,(GMW!$NE$2:$NE$150=V$3)*(GMW!$ND$2:$ND$150=V$4)*(GMW!$NF$2:$NF$150=V$1),0),$C84-1966)</f>
        <v>28744.6</v>
      </c>
      <c r="W84" s="4" cm="1">
        <f t="array" ref="W84">INDEX(GMW!$A$2:$NF$150,MATCH(1,(GMW!$NE$2:$NE$150=W$3)*(GMW!$ND$2:$ND$150=W$4)*(GMW!$NF$2:$NF$150=W$1),0),$C84-1966)</f>
        <v>67044</v>
      </c>
      <c r="X84" s="4" cm="1">
        <f t="array" ref="X84">INDEX(GMW!$A$2:$NF$150,MATCH(1,(GMW!$NE$2:$NE$150=X$3)*(GMW!$ND$2:$ND$150=X$4)*(GMW!$NF$2:$NF$150=X$1),0),$C84-1966)</f>
        <v>31482.47</v>
      </c>
      <c r="Y84" s="4" cm="1">
        <f t="array" ref="Y84">INDEX(GMW!$A$2:$NF$150,MATCH(1,(GMW!$NE$2:$NE$150=Y$3)*(GMW!$ND$2:$ND$150=Y$4)*(GMW!$NF$2:$NF$150=Y$1),0),$C84-1966)</f>
        <v>63871</v>
      </c>
      <c r="Z84" s="4" cm="1">
        <f t="array" ref="Z84">INDEX(GMW!$A$2:$NF$150,MATCH(1,(GMW!$NE$2:$NE$150=Z$3)*(GMW!$ND$2:$ND$150=Z$4)*(GMW!$NF$2:$NF$150=Z$1),0),$C84-1966)</f>
        <v>26749.35</v>
      </c>
      <c r="AA84" s="4" cm="1">
        <f t="array" ref="AA84">INDEX(GMW!$A$2:$NF$150,MATCH(1,(GMW!$NE$2:$NE$150=AA$3)*(GMW!$ND$2:$ND$150=AA$4)*(GMW!$NF$2:$NF$150=AA$1),0),$C84-1966)</f>
        <v>356223.3</v>
      </c>
      <c r="AB84" s="4" cm="1">
        <f t="array" ref="AB84">INDEX(GMW!$A$2:$NF$150,MATCH(1,(GMW!$NE$2:$NE$150=AB$3)*(GMW!$ND$2:$ND$150=AB$4)*(GMW!$NF$2:$NF$150=AB$1),0),$C84-1966)</f>
        <v>25685.71</v>
      </c>
      <c r="AC84" s="4" cm="1">
        <f t="array" ref="AC84">INDEX(GMW!$A$2:$NF$150,MATCH(1,(GMW!$NE$2:$NE$150=AC$3)*(GMW!$ND$2:$ND$150=AC$4)*(GMW!$NF$2:$NF$150=AC$1),0),$C84-1966)</f>
        <v>33.200000000000003</v>
      </c>
      <c r="AD84" s="4" cm="1">
        <f t="array" ref="AD84">INDEX(GMW!$A$2:$NF$150,MATCH(1,(GMW!$NE$2:$NE$150=AD$3)*(GMW!$ND$2:$ND$150=AD$4)*(GMW!$NF$2:$NF$150=AD$1),0),$C84-1966)</f>
        <v>353518.7</v>
      </c>
      <c r="AE84" s="4" cm="1">
        <f t="array" ref="AE84">INDEX(GMW!$A$2:$NF$150,MATCH(1,(GMW!$NE$2:$NE$150=AE$3)*(GMW!$ND$2:$ND$150=AE$4)*(GMW!$NF$2:$NF$150=AE$1),0),$C84-1966)</f>
        <v>37337.68</v>
      </c>
      <c r="AF84" s="4" cm="1">
        <f t="array" ref="AF84">INDEX(GMW!$A$2:$NF$150,MATCH(1,(GMW!$NE$2:$NE$150=AF$3)*(GMW!$ND$2:$ND$150=AF$4)*(GMW!$NF$2:$NF$150=AF$1),0),$C84-1966)</f>
        <v>1634735</v>
      </c>
      <c r="AG84" s="4" cm="1">
        <f t="array" ref="AG84">INDEX(GMW!$A$2:$NF$150,MATCH(1,(GMW!$NE$2:$NE$150=AG$3)*(GMW!$ND$2:$ND$150=AG$4)*(GMW!$NF$2:$NF$150=AG$1),0),$C84-1966)</f>
        <v>-1.7734300000000001</v>
      </c>
      <c r="AH84" s="4" cm="1">
        <f t="array" ref="AH84">INDEX(GMW!$A$2:$NF$150,MATCH(1,(GMW!$NE$2:$NE$150=AH$3)*(GMW!$ND$2:$ND$150=AH$4)*(GMW!$NF$2:$NF$150=AH$1),0),$C84-1966)</f>
        <v>344987</v>
      </c>
      <c r="AI84" s="4" cm="1">
        <f t="array" ref="AI84">INDEX(GMW!$A$2:$NF$150,MATCH(1,(GMW!$NE$2:$NE$150=AI$3)*(GMW!$ND$2:$ND$150=AI$4)*(GMW!$NF$2:$NF$150=AI$1),0),$C84-1966)</f>
        <v>62.833329999999997</v>
      </c>
      <c r="AJ84" s="4" cm="1">
        <f t="array" ref="AJ84">INDEX(GMW!$A$2:$NF$150,MATCH(1,(GMW!$NE$2:$NE$150=AJ$3)*(GMW!$ND$2:$ND$150=AJ$4)*(GMW!$NF$2:$NF$150=AJ$1),0),$C84-1966)</f>
        <v>69112</v>
      </c>
      <c r="AK84" s="4" cm="1">
        <f t="array" ref="AK84">INDEX(GMW!$A$2:$NF$150,MATCH(1,(GMW!$NE$2:$NE$150=AK$3)*(GMW!$ND$2:$ND$150=AK$4)*(GMW!$NF$2:$NF$150=AK$1),0),$C84-1966)</f>
        <v>28744.6</v>
      </c>
      <c r="AL84" s="4" cm="1">
        <f t="array" ref="AL84">INDEX(GMW!$A$2:$NF$150,MATCH(1,(GMW!$NE$2:$NE$150=AL$3)*(GMW!$ND$2:$ND$150=AL$4)*(GMW!$NF$2:$NF$150=AL$1),0),$C84-1966)</f>
        <v>67044</v>
      </c>
      <c r="AM84" s="4" cm="1">
        <f t="array" ref="AM84">INDEX(GMW!$A$2:$NF$150,MATCH(1,(GMW!$NE$2:$NE$150=AM$3)*(GMW!$ND$2:$ND$150=AM$4)*(GMW!$NF$2:$NF$150=AM$1),0),$C84-1966)</f>
        <v>31482.47</v>
      </c>
      <c r="AN84" s="4" cm="1">
        <f t="array" ref="AN84">INDEX(GMW!$A$2:$NF$150,MATCH(1,(GMW!$NE$2:$NE$150=AN$3)*(GMW!$ND$2:$ND$150=AN$4)*(GMW!$NF$2:$NF$150=AN$1),0),$C84-1966)</f>
        <v>63871</v>
      </c>
      <c r="AO84" s="4" cm="1">
        <f t="array" ref="AO84">INDEX(GMW!$A$2:$NF$150,MATCH(1,(GMW!$NE$2:$NE$150=AO$3)*(GMW!$ND$2:$ND$150=AO$4)*(GMW!$NF$2:$NF$150=AO$1),0),$C84-1966)</f>
        <v>26749.35</v>
      </c>
      <c r="AP84" s="4" cm="1">
        <f t="array" ref="AP84">INDEX(GMW!$A$2:$NF$150,MATCH(1,(GMW!$NE$2:$NE$150=AP$3)*(GMW!$ND$2:$ND$150=AP$4)*(GMW!$NF$2:$NF$150=AP$1),0),$C84-1966)</f>
        <v>356223.3</v>
      </c>
      <c r="AQ84" s="4" cm="1">
        <f t="array" ref="AQ84">INDEX(GMW!$A$2:$NF$150,MATCH(1,(GMW!$NE$2:$NE$150=AQ$3)*(GMW!$ND$2:$ND$150=AQ$4)*(GMW!$NF$2:$NF$150=AQ$1),0),$C84-1966)</f>
        <v>25685.71</v>
      </c>
      <c r="AR84" s="4" cm="1">
        <f t="array" ref="AR84">INDEX(GMW!$A$2:$NF$150,MATCH(1,(GMW!$NE$2:$NE$150=AR$3)*(GMW!$ND$2:$ND$150=AR$4)*(GMW!$NF$2:$NF$150=AR$1),0),$C84-1966)</f>
        <v>33.200000000000003</v>
      </c>
      <c r="AS84" s="4" cm="1">
        <f t="array" ref="AS84">INDEX(GMW!$A$2:$NF$150,MATCH(1,(GMW!$NE$2:$NE$150=AS$3)*(GMW!$ND$2:$ND$150=AS$4)*(GMW!$NF$2:$NF$150=AS$1),0),$C84-1966)</f>
        <v>353518.7</v>
      </c>
      <c r="AT84" s="4" cm="1">
        <f t="array" ref="AT84">INDEX(GMW!$A$2:$NF$150,MATCH(1,(GMW!$NE$2:$NE$150=AT$3)*(GMW!$ND$2:$ND$150=AT$4)*(GMW!$NF$2:$NF$150=AT$1),0),$C84-1966)</f>
        <v>37337.68</v>
      </c>
      <c r="AU84" s="4" cm="1">
        <f t="array" ref="AU84">INDEX(GMW!$A$2:$NF$150,MATCH(1,(GMW!$NE$2:$NE$150=AU$3)*(GMW!$ND$2:$ND$150=AU$4)*(GMW!$NF$2:$NF$150=AU$1),0),$C84-1966)</f>
        <v>1634735</v>
      </c>
      <c r="AV84" s="4" cm="1">
        <f t="array" ref="AV84">INDEX(GMW!$A$2:$NF$150,MATCH(1,(GMW!$NE$2:$NE$150=AV$3)*(GMW!$ND$2:$ND$150=AV$4)*(GMW!$NF$2:$NF$150=AV$1),0),$C84-1966)</f>
        <v>-1.7734300000000001</v>
      </c>
    </row>
    <row r="85" spans="1:48" x14ac:dyDescent="0.25">
      <c r="B85" s="4">
        <f t="shared" si="6"/>
        <v>1992</v>
      </c>
      <c r="C85" s="4">
        <f t="shared" si="5"/>
        <v>2051</v>
      </c>
      <c r="D85" s="4" cm="1">
        <f t="array" ref="D85">INDEX(GMW!$A$2:$NF$150,MATCH(1,(GMW!$NE$2:$NE$150=D$3)*(GMW!$ND$2:$ND$150=D$4)*(GMW!$NF$2:$NF$150=D$1),0),$C85-1966)</f>
        <v>346628</v>
      </c>
      <c r="E85" s="4" cm="1">
        <f t="array" ref="E85">INDEX(GMW!$A$2:$NF$150,MATCH(1,(GMW!$NE$2:$NE$150=E$3)*(GMW!$ND$2:$ND$150=E$4)*(GMW!$NF$2:$NF$150=E$1),0),$C85-1966)</f>
        <v>62.733330000000002</v>
      </c>
      <c r="F85" s="4" cm="1">
        <f t="array" ref="F85">INDEX(GMW!$A$2:$NF$150,MATCH(1,(GMW!$NE$2:$NE$150=F$3)*(GMW!$ND$2:$ND$150=F$4)*(GMW!$NF$2:$NF$150=F$1),0),$C85-1966)</f>
        <v>67730</v>
      </c>
      <c r="G85" s="4" cm="1">
        <f t="array" ref="G85">INDEX(GMW!$A$2:$NF$150,MATCH(1,(GMW!$NE$2:$NE$150=G$3)*(GMW!$ND$2:$ND$150=G$4)*(GMW!$NF$2:$NF$150=G$1),0),$C85-1966)</f>
        <v>27811.31</v>
      </c>
      <c r="H85" s="4" cm="1">
        <f t="array" ref="H85">INDEX(GMW!$A$2:$NF$150,MATCH(1,(GMW!$NE$2:$NE$150=H$3)*(GMW!$ND$2:$ND$150=H$4)*(GMW!$NF$2:$NF$150=H$1),0),$C85-1966)</f>
        <v>66329</v>
      </c>
      <c r="I85" s="4" cm="1">
        <f t="array" ref="I85">INDEX(GMW!$A$2:$NF$150,MATCH(1,(GMW!$NE$2:$NE$150=I$3)*(GMW!$ND$2:$ND$150=I$4)*(GMW!$NF$2:$NF$150=I$1),0),$C85-1966)</f>
        <v>31584.53</v>
      </c>
      <c r="J85" s="4" cm="1">
        <f t="array" ref="J85">INDEX(GMW!$A$2:$NF$150,MATCH(1,(GMW!$NE$2:$NE$150=J$3)*(GMW!$ND$2:$ND$150=J$4)*(GMW!$NF$2:$NF$150=J$1),0),$C85-1966)</f>
        <v>64122</v>
      </c>
      <c r="K85" s="4" cm="1">
        <f t="array" ref="K85">INDEX(GMW!$A$2:$NF$150,MATCH(1,(GMW!$NE$2:$NE$150=K$3)*(GMW!$ND$2:$ND$150=K$4)*(GMW!$NF$2:$NF$150=K$1),0),$C85-1966)</f>
        <v>26705.91</v>
      </c>
      <c r="L85" s="4" cm="1">
        <f t="array" ref="L85">INDEX(GMW!$A$2:$NF$150,MATCH(1,(GMW!$NE$2:$NE$150=L$3)*(GMW!$ND$2:$ND$150=L$4)*(GMW!$NF$2:$NF$150=L$1),0),$C85-1966)</f>
        <v>356162.6</v>
      </c>
      <c r="M85" s="4" cm="1">
        <f t="array" ref="M85">INDEX(GMW!$A$2:$NF$150,MATCH(1,(GMW!$NE$2:$NE$150=M$3)*(GMW!$ND$2:$ND$150=M$4)*(GMW!$NF$2:$NF$150=M$1),0),$C85-1966)</f>
        <v>25633.22</v>
      </c>
      <c r="N85" s="4" cm="1">
        <f t="array" ref="N85">INDEX(GMW!$A$2:$NF$150,MATCH(1,(GMW!$NE$2:$NE$150=N$3)*(GMW!$ND$2:$ND$150=N$4)*(GMW!$NF$2:$NF$150=N$1),0),$C85-1966)</f>
        <v>33</v>
      </c>
      <c r="O85" s="4" cm="1">
        <f t="array" ref="O85">INDEX(GMW!$A$2:$NF$150,MATCH(1,(GMW!$NE$2:$NE$150=O$3)*(GMW!$ND$2:$ND$150=O$4)*(GMW!$NF$2:$NF$150=O$1),0),$C85-1966)</f>
        <v>354372.5</v>
      </c>
      <c r="P85" s="4" cm="1">
        <f t="array" ref="P85">INDEX(GMW!$A$2:$NF$150,MATCH(1,(GMW!$NE$2:$NE$150=P$3)*(GMW!$ND$2:$ND$150=P$4)*(GMW!$NF$2:$NF$150=P$1),0),$C85-1966)</f>
        <v>37336.699999999997</v>
      </c>
      <c r="Q85" s="4" cm="1">
        <f t="array" ref="Q85">INDEX(GMW!$A$2:$NF$150,MATCH(1,(GMW!$NE$2:$NE$150=Q$3)*(GMW!$ND$2:$ND$150=Q$4)*(GMW!$NF$2:$NF$150=Q$1),0),$C85-1966)</f>
        <v>1642377</v>
      </c>
      <c r="R85" s="4" cm="1">
        <f t="array" ref="R85">INDEX(GMW!$A$2:$NF$150,MATCH(1,(GMW!$NE$2:$NE$150=R$3)*(GMW!$ND$2:$ND$150=R$4)*(GMW!$NF$2:$NF$150=R$1),0),$C85-1966)</f>
        <v>-1.770715</v>
      </c>
      <c r="S85" s="4" cm="1">
        <f t="array" ref="S85">INDEX(GMW!$A$2:$NF$150,MATCH(1,(GMW!$NE$2:$NE$150=S$3)*(GMW!$ND$2:$ND$150=S$4)*(GMW!$NF$2:$NF$150=S$1),0),$C85-1966)</f>
        <v>346628</v>
      </c>
      <c r="T85" s="4" cm="1">
        <f t="array" ref="T85">INDEX(GMW!$A$2:$NF$150,MATCH(1,(GMW!$NE$2:$NE$150=T$3)*(GMW!$ND$2:$ND$150=T$4)*(GMW!$NF$2:$NF$150=T$1),0),$C85-1966)</f>
        <v>62.733330000000002</v>
      </c>
      <c r="U85" s="4" cm="1">
        <f t="array" ref="U85">INDEX(GMW!$A$2:$NF$150,MATCH(1,(GMW!$NE$2:$NE$150=U$3)*(GMW!$ND$2:$ND$150=U$4)*(GMW!$NF$2:$NF$150=U$1),0),$C85-1966)</f>
        <v>67730</v>
      </c>
      <c r="V85" s="4" cm="1">
        <f t="array" ref="V85">INDEX(GMW!$A$2:$NF$150,MATCH(1,(GMW!$NE$2:$NE$150=V$3)*(GMW!$ND$2:$ND$150=V$4)*(GMW!$NF$2:$NF$150=V$1),0),$C85-1966)</f>
        <v>27811.31</v>
      </c>
      <c r="W85" s="4" cm="1">
        <f t="array" ref="W85">INDEX(GMW!$A$2:$NF$150,MATCH(1,(GMW!$NE$2:$NE$150=W$3)*(GMW!$ND$2:$ND$150=W$4)*(GMW!$NF$2:$NF$150=W$1),0),$C85-1966)</f>
        <v>66329</v>
      </c>
      <c r="X85" s="4" cm="1">
        <f t="array" ref="X85">INDEX(GMW!$A$2:$NF$150,MATCH(1,(GMW!$NE$2:$NE$150=X$3)*(GMW!$ND$2:$ND$150=X$4)*(GMW!$NF$2:$NF$150=X$1),0),$C85-1966)</f>
        <v>31584.53</v>
      </c>
      <c r="Y85" s="4" cm="1">
        <f t="array" ref="Y85">INDEX(GMW!$A$2:$NF$150,MATCH(1,(GMW!$NE$2:$NE$150=Y$3)*(GMW!$ND$2:$ND$150=Y$4)*(GMW!$NF$2:$NF$150=Y$1),0),$C85-1966)</f>
        <v>64122</v>
      </c>
      <c r="Z85" s="4" cm="1">
        <f t="array" ref="Z85">INDEX(GMW!$A$2:$NF$150,MATCH(1,(GMW!$NE$2:$NE$150=Z$3)*(GMW!$ND$2:$ND$150=Z$4)*(GMW!$NF$2:$NF$150=Z$1),0),$C85-1966)</f>
        <v>26705.91</v>
      </c>
      <c r="AA85" s="4" cm="1">
        <f t="array" ref="AA85">INDEX(GMW!$A$2:$NF$150,MATCH(1,(GMW!$NE$2:$NE$150=AA$3)*(GMW!$ND$2:$ND$150=AA$4)*(GMW!$NF$2:$NF$150=AA$1),0),$C85-1966)</f>
        <v>356162.6</v>
      </c>
      <c r="AB85" s="4" cm="1">
        <f t="array" ref="AB85">INDEX(GMW!$A$2:$NF$150,MATCH(1,(GMW!$NE$2:$NE$150=AB$3)*(GMW!$ND$2:$ND$150=AB$4)*(GMW!$NF$2:$NF$150=AB$1),0),$C85-1966)</f>
        <v>25633.22</v>
      </c>
      <c r="AC85" s="4" cm="1">
        <f t="array" ref="AC85">INDEX(GMW!$A$2:$NF$150,MATCH(1,(GMW!$NE$2:$NE$150=AC$3)*(GMW!$ND$2:$ND$150=AC$4)*(GMW!$NF$2:$NF$150=AC$1),0),$C85-1966)</f>
        <v>33</v>
      </c>
      <c r="AD85" s="4" cm="1">
        <f t="array" ref="AD85">INDEX(GMW!$A$2:$NF$150,MATCH(1,(GMW!$NE$2:$NE$150=AD$3)*(GMW!$ND$2:$ND$150=AD$4)*(GMW!$NF$2:$NF$150=AD$1),0),$C85-1966)</f>
        <v>354372.5</v>
      </c>
      <c r="AE85" s="4" cm="1">
        <f t="array" ref="AE85">INDEX(GMW!$A$2:$NF$150,MATCH(1,(GMW!$NE$2:$NE$150=AE$3)*(GMW!$ND$2:$ND$150=AE$4)*(GMW!$NF$2:$NF$150=AE$1),0),$C85-1966)</f>
        <v>37336.699999999997</v>
      </c>
      <c r="AF85" s="4" cm="1">
        <f t="array" ref="AF85">INDEX(GMW!$A$2:$NF$150,MATCH(1,(GMW!$NE$2:$NE$150=AF$3)*(GMW!$ND$2:$ND$150=AF$4)*(GMW!$NF$2:$NF$150=AF$1),0),$C85-1966)</f>
        <v>1642377</v>
      </c>
      <c r="AG85" s="4" cm="1">
        <f t="array" ref="AG85">INDEX(GMW!$A$2:$NF$150,MATCH(1,(GMW!$NE$2:$NE$150=AG$3)*(GMW!$ND$2:$ND$150=AG$4)*(GMW!$NF$2:$NF$150=AG$1),0),$C85-1966)</f>
        <v>-1.770715</v>
      </c>
      <c r="AH85" s="4" cm="1">
        <f t="array" ref="AH85">INDEX(GMW!$A$2:$NF$150,MATCH(1,(GMW!$NE$2:$NE$150=AH$3)*(GMW!$ND$2:$ND$150=AH$4)*(GMW!$NF$2:$NF$150=AH$1),0),$C85-1966)</f>
        <v>346628</v>
      </c>
      <c r="AI85" s="4" cm="1">
        <f t="array" ref="AI85">INDEX(GMW!$A$2:$NF$150,MATCH(1,(GMW!$NE$2:$NE$150=AI$3)*(GMW!$ND$2:$ND$150=AI$4)*(GMW!$NF$2:$NF$150=AI$1),0),$C85-1966)</f>
        <v>62.733330000000002</v>
      </c>
      <c r="AJ85" s="4" cm="1">
        <f t="array" ref="AJ85">INDEX(GMW!$A$2:$NF$150,MATCH(1,(GMW!$NE$2:$NE$150=AJ$3)*(GMW!$ND$2:$ND$150=AJ$4)*(GMW!$NF$2:$NF$150=AJ$1),0),$C85-1966)</f>
        <v>67730</v>
      </c>
      <c r="AK85" s="4" cm="1">
        <f t="array" ref="AK85">INDEX(GMW!$A$2:$NF$150,MATCH(1,(GMW!$NE$2:$NE$150=AK$3)*(GMW!$ND$2:$ND$150=AK$4)*(GMW!$NF$2:$NF$150=AK$1),0),$C85-1966)</f>
        <v>27811.31</v>
      </c>
      <c r="AL85" s="4" cm="1">
        <f t="array" ref="AL85">INDEX(GMW!$A$2:$NF$150,MATCH(1,(GMW!$NE$2:$NE$150=AL$3)*(GMW!$ND$2:$ND$150=AL$4)*(GMW!$NF$2:$NF$150=AL$1),0),$C85-1966)</f>
        <v>66329</v>
      </c>
      <c r="AM85" s="4" cm="1">
        <f t="array" ref="AM85">INDEX(GMW!$A$2:$NF$150,MATCH(1,(GMW!$NE$2:$NE$150=AM$3)*(GMW!$ND$2:$ND$150=AM$4)*(GMW!$NF$2:$NF$150=AM$1),0),$C85-1966)</f>
        <v>31584.53</v>
      </c>
      <c r="AN85" s="4" cm="1">
        <f t="array" ref="AN85">INDEX(GMW!$A$2:$NF$150,MATCH(1,(GMW!$NE$2:$NE$150=AN$3)*(GMW!$ND$2:$ND$150=AN$4)*(GMW!$NF$2:$NF$150=AN$1),0),$C85-1966)</f>
        <v>64122</v>
      </c>
      <c r="AO85" s="4" cm="1">
        <f t="array" ref="AO85">INDEX(GMW!$A$2:$NF$150,MATCH(1,(GMW!$NE$2:$NE$150=AO$3)*(GMW!$ND$2:$ND$150=AO$4)*(GMW!$NF$2:$NF$150=AO$1),0),$C85-1966)</f>
        <v>26705.91</v>
      </c>
      <c r="AP85" s="4" cm="1">
        <f t="array" ref="AP85">INDEX(GMW!$A$2:$NF$150,MATCH(1,(GMW!$NE$2:$NE$150=AP$3)*(GMW!$ND$2:$ND$150=AP$4)*(GMW!$NF$2:$NF$150=AP$1),0),$C85-1966)</f>
        <v>356162.6</v>
      </c>
      <c r="AQ85" s="4" cm="1">
        <f t="array" ref="AQ85">INDEX(GMW!$A$2:$NF$150,MATCH(1,(GMW!$NE$2:$NE$150=AQ$3)*(GMW!$ND$2:$ND$150=AQ$4)*(GMW!$NF$2:$NF$150=AQ$1),0),$C85-1966)</f>
        <v>25633.22</v>
      </c>
      <c r="AR85" s="4" cm="1">
        <f t="array" ref="AR85">INDEX(GMW!$A$2:$NF$150,MATCH(1,(GMW!$NE$2:$NE$150=AR$3)*(GMW!$ND$2:$ND$150=AR$4)*(GMW!$NF$2:$NF$150=AR$1),0),$C85-1966)</f>
        <v>33</v>
      </c>
      <c r="AS85" s="4" cm="1">
        <f t="array" ref="AS85">INDEX(GMW!$A$2:$NF$150,MATCH(1,(GMW!$NE$2:$NE$150=AS$3)*(GMW!$ND$2:$ND$150=AS$4)*(GMW!$NF$2:$NF$150=AS$1),0),$C85-1966)</f>
        <v>354372.5</v>
      </c>
      <c r="AT85" s="4" cm="1">
        <f t="array" ref="AT85">INDEX(GMW!$A$2:$NF$150,MATCH(1,(GMW!$NE$2:$NE$150=AT$3)*(GMW!$ND$2:$ND$150=AT$4)*(GMW!$NF$2:$NF$150=AT$1),0),$C85-1966)</f>
        <v>37336.699999999997</v>
      </c>
      <c r="AU85" s="4" cm="1">
        <f t="array" ref="AU85">INDEX(GMW!$A$2:$NF$150,MATCH(1,(GMW!$NE$2:$NE$150=AU$3)*(GMW!$ND$2:$ND$150=AU$4)*(GMW!$NF$2:$NF$150=AU$1),0),$C85-1966)</f>
        <v>1642377</v>
      </c>
      <c r="AV85" s="4" cm="1">
        <f t="array" ref="AV85">INDEX(GMW!$A$2:$NF$150,MATCH(1,(GMW!$NE$2:$NE$150=AV$3)*(GMW!$ND$2:$ND$150=AV$4)*(GMW!$NF$2:$NF$150=AV$1),0),$C85-1966)</f>
        <v>-1.770715</v>
      </c>
    </row>
    <row r="86" spans="1:48" x14ac:dyDescent="0.25">
      <c r="B86" s="4">
        <f t="shared" si="6"/>
        <v>1992</v>
      </c>
      <c r="C86" s="4">
        <f t="shared" si="5"/>
        <v>2052</v>
      </c>
      <c r="D86" s="4" cm="1">
        <f t="array" ref="D86">INDEX(GMW!$A$2:$NF$150,MATCH(1,(GMW!$NE$2:$NE$150=D$3)*(GMW!$ND$2:$ND$150=D$4)*(GMW!$NF$2:$NF$150=D$1),0),$C86-1966)</f>
        <v>349299</v>
      </c>
      <c r="E86" s="4" cm="1">
        <f t="array" ref="E86">INDEX(GMW!$A$2:$NF$150,MATCH(1,(GMW!$NE$2:$NE$150=E$3)*(GMW!$ND$2:$ND$150=E$4)*(GMW!$NF$2:$NF$150=E$1),0),$C86-1966)</f>
        <v>63.133339999999997</v>
      </c>
      <c r="F86" s="4" cm="1">
        <f t="array" ref="F86">INDEX(GMW!$A$2:$NF$150,MATCH(1,(GMW!$NE$2:$NE$150=F$3)*(GMW!$ND$2:$ND$150=F$4)*(GMW!$NF$2:$NF$150=F$1),0),$C86-1966)</f>
        <v>70437</v>
      </c>
      <c r="G86" s="4" cm="1">
        <f t="array" ref="G86">INDEX(GMW!$A$2:$NF$150,MATCH(1,(GMW!$NE$2:$NE$150=G$3)*(GMW!$ND$2:$ND$150=G$4)*(GMW!$NF$2:$NF$150=G$1),0),$C86-1966)</f>
        <v>28771.54</v>
      </c>
      <c r="H86" s="4" cm="1">
        <f t="array" ref="H86">INDEX(GMW!$A$2:$NF$150,MATCH(1,(GMW!$NE$2:$NE$150=H$3)*(GMW!$ND$2:$ND$150=H$4)*(GMW!$NF$2:$NF$150=H$1),0),$C86-1966)</f>
        <v>67108</v>
      </c>
      <c r="I86" s="4" cm="1">
        <f t="array" ref="I86">INDEX(GMW!$A$2:$NF$150,MATCH(1,(GMW!$NE$2:$NE$150=I$3)*(GMW!$ND$2:$ND$150=I$4)*(GMW!$NF$2:$NF$150=I$1),0),$C86-1966)</f>
        <v>33977.300000000003</v>
      </c>
      <c r="J86" s="4" cm="1">
        <f t="array" ref="J86">INDEX(GMW!$A$2:$NF$150,MATCH(1,(GMW!$NE$2:$NE$150=J$3)*(GMW!$ND$2:$ND$150=J$4)*(GMW!$NF$2:$NF$150=J$1),0),$C86-1966)</f>
        <v>62577</v>
      </c>
      <c r="K86" s="4" cm="1">
        <f t="array" ref="K86">INDEX(GMW!$A$2:$NF$150,MATCH(1,(GMW!$NE$2:$NE$150=K$3)*(GMW!$ND$2:$ND$150=K$4)*(GMW!$NF$2:$NF$150=K$1),0),$C86-1966)</f>
        <v>25526.53</v>
      </c>
      <c r="L86" s="4" cm="1">
        <f t="array" ref="L86">INDEX(GMW!$A$2:$NF$150,MATCH(1,(GMW!$NE$2:$NE$150=L$3)*(GMW!$ND$2:$ND$150=L$4)*(GMW!$NF$2:$NF$150=L$1),0),$C86-1966)</f>
        <v>356797.5</v>
      </c>
      <c r="M86" s="4" cm="1">
        <f t="array" ref="M86">INDEX(GMW!$A$2:$NF$150,MATCH(1,(GMW!$NE$2:$NE$150=M$3)*(GMW!$ND$2:$ND$150=M$4)*(GMW!$NF$2:$NF$150=M$1),0),$C86-1966)</f>
        <v>25582.54</v>
      </c>
      <c r="N86" s="4" cm="1">
        <f t="array" ref="N86">INDEX(GMW!$A$2:$NF$150,MATCH(1,(GMW!$NE$2:$NE$150=N$3)*(GMW!$ND$2:$ND$150=N$4)*(GMW!$NF$2:$NF$150=N$1),0),$C86-1966)</f>
        <v>32.9</v>
      </c>
      <c r="O86" s="4" cm="1">
        <f t="array" ref="O86">INDEX(GMW!$A$2:$NF$150,MATCH(1,(GMW!$NE$2:$NE$150=O$3)*(GMW!$ND$2:$ND$150=O$4)*(GMW!$NF$2:$NF$150=O$1),0),$C86-1966)</f>
        <v>355187.5</v>
      </c>
      <c r="P86" s="4" cm="1">
        <f t="array" ref="P86">INDEX(GMW!$A$2:$NF$150,MATCH(1,(GMW!$NE$2:$NE$150=P$3)*(GMW!$ND$2:$ND$150=P$4)*(GMW!$NF$2:$NF$150=P$1),0),$C86-1966)</f>
        <v>37335.71</v>
      </c>
      <c r="Q86" s="4" cm="1">
        <f t="array" ref="Q86">INDEX(GMW!$A$2:$NF$150,MATCH(1,(GMW!$NE$2:$NE$150=Q$3)*(GMW!$ND$2:$ND$150=Q$4)*(GMW!$NF$2:$NF$150=Q$1),0),$C86-1966)</f>
        <v>1650018</v>
      </c>
      <c r="R86" s="4" cm="1">
        <f t="array" ref="R86">INDEX(GMW!$A$2:$NF$150,MATCH(1,(GMW!$NE$2:$NE$150=R$3)*(GMW!$ND$2:$ND$150=R$4)*(GMW!$NF$2:$NF$150=R$1),0),$C86-1966)</f>
        <v>-1.7680039999999999</v>
      </c>
      <c r="S86" s="4" cm="1">
        <f t="array" ref="S86">INDEX(GMW!$A$2:$NF$150,MATCH(1,(GMW!$NE$2:$NE$150=S$3)*(GMW!$ND$2:$ND$150=S$4)*(GMW!$NF$2:$NF$150=S$1),0),$C86-1966)</f>
        <v>349299</v>
      </c>
      <c r="T86" s="4" cm="1">
        <f t="array" ref="T86">INDEX(GMW!$A$2:$NF$150,MATCH(1,(GMW!$NE$2:$NE$150=T$3)*(GMW!$ND$2:$ND$150=T$4)*(GMW!$NF$2:$NF$150=T$1),0),$C86-1966)</f>
        <v>63.133339999999997</v>
      </c>
      <c r="U86" s="4" cm="1">
        <f t="array" ref="U86">INDEX(GMW!$A$2:$NF$150,MATCH(1,(GMW!$NE$2:$NE$150=U$3)*(GMW!$ND$2:$ND$150=U$4)*(GMW!$NF$2:$NF$150=U$1),0),$C86-1966)</f>
        <v>70437</v>
      </c>
      <c r="V86" s="4" cm="1">
        <f t="array" ref="V86">INDEX(GMW!$A$2:$NF$150,MATCH(1,(GMW!$NE$2:$NE$150=V$3)*(GMW!$ND$2:$ND$150=V$4)*(GMW!$NF$2:$NF$150=V$1),0),$C86-1966)</f>
        <v>28771.54</v>
      </c>
      <c r="W86" s="4" cm="1">
        <f t="array" ref="W86">INDEX(GMW!$A$2:$NF$150,MATCH(1,(GMW!$NE$2:$NE$150=W$3)*(GMW!$ND$2:$ND$150=W$4)*(GMW!$NF$2:$NF$150=W$1),0),$C86-1966)</f>
        <v>67108</v>
      </c>
      <c r="X86" s="4" cm="1">
        <f t="array" ref="X86">INDEX(GMW!$A$2:$NF$150,MATCH(1,(GMW!$NE$2:$NE$150=X$3)*(GMW!$ND$2:$ND$150=X$4)*(GMW!$NF$2:$NF$150=X$1),0),$C86-1966)</f>
        <v>33977.300000000003</v>
      </c>
      <c r="Y86" s="4" cm="1">
        <f t="array" ref="Y86">INDEX(GMW!$A$2:$NF$150,MATCH(1,(GMW!$NE$2:$NE$150=Y$3)*(GMW!$ND$2:$ND$150=Y$4)*(GMW!$NF$2:$NF$150=Y$1),0),$C86-1966)</f>
        <v>62577</v>
      </c>
      <c r="Z86" s="4" cm="1">
        <f t="array" ref="Z86">INDEX(GMW!$A$2:$NF$150,MATCH(1,(GMW!$NE$2:$NE$150=Z$3)*(GMW!$ND$2:$ND$150=Z$4)*(GMW!$NF$2:$NF$150=Z$1),0),$C86-1966)</f>
        <v>25526.53</v>
      </c>
      <c r="AA86" s="4" cm="1">
        <f t="array" ref="AA86">INDEX(GMW!$A$2:$NF$150,MATCH(1,(GMW!$NE$2:$NE$150=AA$3)*(GMW!$ND$2:$ND$150=AA$4)*(GMW!$NF$2:$NF$150=AA$1),0),$C86-1966)</f>
        <v>356797.5</v>
      </c>
      <c r="AB86" s="4" cm="1">
        <f t="array" ref="AB86">INDEX(GMW!$A$2:$NF$150,MATCH(1,(GMW!$NE$2:$NE$150=AB$3)*(GMW!$ND$2:$ND$150=AB$4)*(GMW!$NF$2:$NF$150=AB$1),0),$C86-1966)</f>
        <v>25582.54</v>
      </c>
      <c r="AC86" s="4" cm="1">
        <f t="array" ref="AC86">INDEX(GMW!$A$2:$NF$150,MATCH(1,(GMW!$NE$2:$NE$150=AC$3)*(GMW!$ND$2:$ND$150=AC$4)*(GMW!$NF$2:$NF$150=AC$1),0),$C86-1966)</f>
        <v>32.9</v>
      </c>
      <c r="AD86" s="4" cm="1">
        <f t="array" ref="AD86">INDEX(GMW!$A$2:$NF$150,MATCH(1,(GMW!$NE$2:$NE$150=AD$3)*(GMW!$ND$2:$ND$150=AD$4)*(GMW!$NF$2:$NF$150=AD$1),0),$C86-1966)</f>
        <v>355187.5</v>
      </c>
      <c r="AE86" s="4" cm="1">
        <f t="array" ref="AE86">INDEX(GMW!$A$2:$NF$150,MATCH(1,(GMW!$NE$2:$NE$150=AE$3)*(GMW!$ND$2:$ND$150=AE$4)*(GMW!$NF$2:$NF$150=AE$1),0),$C86-1966)</f>
        <v>37335.71</v>
      </c>
      <c r="AF86" s="4" cm="1">
        <f t="array" ref="AF86">INDEX(GMW!$A$2:$NF$150,MATCH(1,(GMW!$NE$2:$NE$150=AF$3)*(GMW!$ND$2:$ND$150=AF$4)*(GMW!$NF$2:$NF$150=AF$1),0),$C86-1966)</f>
        <v>1650018</v>
      </c>
      <c r="AG86" s="4" cm="1">
        <f t="array" ref="AG86">INDEX(GMW!$A$2:$NF$150,MATCH(1,(GMW!$NE$2:$NE$150=AG$3)*(GMW!$ND$2:$ND$150=AG$4)*(GMW!$NF$2:$NF$150=AG$1),0),$C86-1966)</f>
        <v>-1.7680039999999999</v>
      </c>
      <c r="AH86" s="4" cm="1">
        <f t="array" ref="AH86">INDEX(GMW!$A$2:$NF$150,MATCH(1,(GMW!$NE$2:$NE$150=AH$3)*(GMW!$ND$2:$ND$150=AH$4)*(GMW!$NF$2:$NF$150=AH$1),0),$C86-1966)</f>
        <v>349299</v>
      </c>
      <c r="AI86" s="4" cm="1">
        <f t="array" ref="AI86">INDEX(GMW!$A$2:$NF$150,MATCH(1,(GMW!$NE$2:$NE$150=AI$3)*(GMW!$ND$2:$ND$150=AI$4)*(GMW!$NF$2:$NF$150=AI$1),0),$C86-1966)</f>
        <v>63.133339999999997</v>
      </c>
      <c r="AJ86" s="4" cm="1">
        <f t="array" ref="AJ86">INDEX(GMW!$A$2:$NF$150,MATCH(1,(GMW!$NE$2:$NE$150=AJ$3)*(GMW!$ND$2:$ND$150=AJ$4)*(GMW!$NF$2:$NF$150=AJ$1),0),$C86-1966)</f>
        <v>70437</v>
      </c>
      <c r="AK86" s="4" cm="1">
        <f t="array" ref="AK86">INDEX(GMW!$A$2:$NF$150,MATCH(1,(GMW!$NE$2:$NE$150=AK$3)*(GMW!$ND$2:$ND$150=AK$4)*(GMW!$NF$2:$NF$150=AK$1),0),$C86-1966)</f>
        <v>28771.54</v>
      </c>
      <c r="AL86" s="4" cm="1">
        <f t="array" ref="AL86">INDEX(GMW!$A$2:$NF$150,MATCH(1,(GMW!$NE$2:$NE$150=AL$3)*(GMW!$ND$2:$ND$150=AL$4)*(GMW!$NF$2:$NF$150=AL$1),0),$C86-1966)</f>
        <v>67108</v>
      </c>
      <c r="AM86" s="4" cm="1">
        <f t="array" ref="AM86">INDEX(GMW!$A$2:$NF$150,MATCH(1,(GMW!$NE$2:$NE$150=AM$3)*(GMW!$ND$2:$ND$150=AM$4)*(GMW!$NF$2:$NF$150=AM$1),0),$C86-1966)</f>
        <v>33977.300000000003</v>
      </c>
      <c r="AN86" s="4" cm="1">
        <f t="array" ref="AN86">INDEX(GMW!$A$2:$NF$150,MATCH(1,(GMW!$NE$2:$NE$150=AN$3)*(GMW!$ND$2:$ND$150=AN$4)*(GMW!$NF$2:$NF$150=AN$1),0),$C86-1966)</f>
        <v>62577</v>
      </c>
      <c r="AO86" s="4" cm="1">
        <f t="array" ref="AO86">INDEX(GMW!$A$2:$NF$150,MATCH(1,(GMW!$NE$2:$NE$150=AO$3)*(GMW!$ND$2:$ND$150=AO$4)*(GMW!$NF$2:$NF$150=AO$1),0),$C86-1966)</f>
        <v>25526.53</v>
      </c>
      <c r="AP86" s="4" cm="1">
        <f t="array" ref="AP86">INDEX(GMW!$A$2:$NF$150,MATCH(1,(GMW!$NE$2:$NE$150=AP$3)*(GMW!$ND$2:$ND$150=AP$4)*(GMW!$NF$2:$NF$150=AP$1),0),$C86-1966)</f>
        <v>356797.5</v>
      </c>
      <c r="AQ86" s="4" cm="1">
        <f t="array" ref="AQ86">INDEX(GMW!$A$2:$NF$150,MATCH(1,(GMW!$NE$2:$NE$150=AQ$3)*(GMW!$ND$2:$ND$150=AQ$4)*(GMW!$NF$2:$NF$150=AQ$1),0),$C86-1966)</f>
        <v>25582.54</v>
      </c>
      <c r="AR86" s="4" cm="1">
        <f t="array" ref="AR86">INDEX(GMW!$A$2:$NF$150,MATCH(1,(GMW!$NE$2:$NE$150=AR$3)*(GMW!$ND$2:$ND$150=AR$4)*(GMW!$NF$2:$NF$150=AR$1),0),$C86-1966)</f>
        <v>32.9</v>
      </c>
      <c r="AS86" s="4" cm="1">
        <f t="array" ref="AS86">INDEX(GMW!$A$2:$NF$150,MATCH(1,(GMW!$NE$2:$NE$150=AS$3)*(GMW!$ND$2:$ND$150=AS$4)*(GMW!$NF$2:$NF$150=AS$1),0),$C86-1966)</f>
        <v>355187.5</v>
      </c>
      <c r="AT86" s="4" cm="1">
        <f t="array" ref="AT86">INDEX(GMW!$A$2:$NF$150,MATCH(1,(GMW!$NE$2:$NE$150=AT$3)*(GMW!$ND$2:$ND$150=AT$4)*(GMW!$NF$2:$NF$150=AT$1),0),$C86-1966)</f>
        <v>37335.71</v>
      </c>
      <c r="AU86" s="4" cm="1">
        <f t="array" ref="AU86">INDEX(GMW!$A$2:$NF$150,MATCH(1,(GMW!$NE$2:$NE$150=AU$3)*(GMW!$ND$2:$ND$150=AU$4)*(GMW!$NF$2:$NF$150=AU$1),0),$C86-1966)</f>
        <v>1650018</v>
      </c>
      <c r="AV86" s="4" cm="1">
        <f t="array" ref="AV86">INDEX(GMW!$A$2:$NF$150,MATCH(1,(GMW!$NE$2:$NE$150=AV$3)*(GMW!$ND$2:$ND$150=AV$4)*(GMW!$NF$2:$NF$150=AV$1),0),$C86-1966)</f>
        <v>-1.7680039999999999</v>
      </c>
    </row>
    <row r="87" spans="1:48" x14ac:dyDescent="0.25">
      <c r="A87" s="4">
        <v>1993</v>
      </c>
      <c r="B87" s="4">
        <f t="shared" si="6"/>
        <v>1993</v>
      </c>
      <c r="C87" s="4">
        <f t="shared" si="5"/>
        <v>2053</v>
      </c>
      <c r="D87" s="4" cm="1">
        <f t="array" ref="D87">INDEX(GMW!$A$2:$NF$150,MATCH(1,(GMW!$NE$2:$NE$150=D$3)*(GMW!$ND$2:$ND$150=D$4)*(GMW!$NF$2:$NF$150=D$1),0),$C87-1966)</f>
        <v>351046</v>
      </c>
      <c r="E87" s="4" cm="1">
        <f t="array" ref="E87">INDEX(GMW!$A$2:$NF$150,MATCH(1,(GMW!$NE$2:$NE$150=E$3)*(GMW!$ND$2:$ND$150=E$4)*(GMW!$NF$2:$NF$150=E$1),0),$C87-1966)</f>
        <v>63.2</v>
      </c>
      <c r="F87" s="4" cm="1">
        <f t="array" ref="F87">INDEX(GMW!$A$2:$NF$150,MATCH(1,(GMW!$NE$2:$NE$150=F$3)*(GMW!$ND$2:$ND$150=F$4)*(GMW!$NF$2:$NF$150=F$1),0),$C87-1966)</f>
        <v>71260</v>
      </c>
      <c r="G87" s="4" cm="1">
        <f t="array" ref="G87">INDEX(GMW!$A$2:$NF$150,MATCH(1,(GMW!$NE$2:$NE$150=G$3)*(GMW!$ND$2:$ND$150=G$4)*(GMW!$NF$2:$NF$150=G$1),0),$C87-1966)</f>
        <v>29509.31</v>
      </c>
      <c r="H87" s="4" cm="1">
        <f t="array" ref="H87">INDEX(GMW!$A$2:$NF$150,MATCH(1,(GMW!$NE$2:$NE$150=H$3)*(GMW!$ND$2:$ND$150=H$4)*(GMW!$NF$2:$NF$150=H$1),0),$C87-1966)</f>
        <v>67657</v>
      </c>
      <c r="I87" s="4" cm="1">
        <f t="array" ref="I87">INDEX(GMW!$A$2:$NF$150,MATCH(1,(GMW!$NE$2:$NE$150=I$3)*(GMW!$ND$2:$ND$150=I$4)*(GMW!$NF$2:$NF$150=I$1),0),$C87-1966)</f>
        <v>34355.379999999997</v>
      </c>
      <c r="J87" s="4" cm="1">
        <f t="array" ref="J87">INDEX(GMW!$A$2:$NF$150,MATCH(1,(GMW!$NE$2:$NE$150=J$3)*(GMW!$ND$2:$ND$150=J$4)*(GMW!$NF$2:$NF$150=J$1),0),$C87-1966)</f>
        <v>64089</v>
      </c>
      <c r="K87" s="4" cm="1">
        <f t="array" ref="K87">INDEX(GMW!$A$2:$NF$150,MATCH(1,(GMW!$NE$2:$NE$150=K$3)*(GMW!$ND$2:$ND$150=K$4)*(GMW!$NF$2:$NF$150=K$1),0),$C87-1966)</f>
        <v>26155.64</v>
      </c>
      <c r="L87" s="4" cm="1">
        <f t="array" ref="L87">INDEX(GMW!$A$2:$NF$150,MATCH(1,(GMW!$NE$2:$NE$150=L$3)*(GMW!$ND$2:$ND$150=L$4)*(GMW!$NF$2:$NF$150=L$1),0),$C87-1966)</f>
        <v>359456.2</v>
      </c>
      <c r="M87" s="4" cm="1">
        <f t="array" ref="M87">INDEX(GMW!$A$2:$NF$150,MATCH(1,(GMW!$NE$2:$NE$150=M$3)*(GMW!$ND$2:$ND$150=M$4)*(GMW!$NF$2:$NF$150=M$1),0),$C87-1966)</f>
        <v>25598.83</v>
      </c>
      <c r="N87" s="4" cm="1">
        <f t="array" ref="N87">INDEX(GMW!$A$2:$NF$150,MATCH(1,(GMW!$NE$2:$NE$150=N$3)*(GMW!$ND$2:$ND$150=N$4)*(GMW!$NF$2:$NF$150=N$1),0),$C87-1966)</f>
        <v>33</v>
      </c>
      <c r="O87" s="4" cm="1">
        <f t="array" ref="O87">INDEX(GMW!$A$2:$NF$150,MATCH(1,(GMW!$NE$2:$NE$150=O$3)*(GMW!$ND$2:$ND$150=O$4)*(GMW!$NF$2:$NF$150=O$1),0),$C87-1966)</f>
        <v>356014.8</v>
      </c>
      <c r="P87" s="4" cm="1">
        <f t="array" ref="P87">INDEX(GMW!$A$2:$NF$150,MATCH(1,(GMW!$NE$2:$NE$150=P$3)*(GMW!$ND$2:$ND$150=P$4)*(GMW!$NF$2:$NF$150=P$1),0),$C87-1966)</f>
        <v>37334.730000000003</v>
      </c>
      <c r="Q87" s="4" cm="1">
        <f t="array" ref="Q87">INDEX(GMW!$A$2:$NF$150,MATCH(1,(GMW!$NE$2:$NE$150=Q$3)*(GMW!$ND$2:$ND$150=Q$4)*(GMW!$NF$2:$NF$150=Q$1),0),$C87-1966)</f>
        <v>1657777</v>
      </c>
      <c r="R87" s="4" cm="1">
        <f t="array" ref="R87">INDEX(GMW!$A$2:$NF$150,MATCH(1,(GMW!$NE$2:$NE$150=R$3)*(GMW!$ND$2:$ND$150=R$4)*(GMW!$NF$2:$NF$150=R$1),0),$C87-1966)</f>
        <v>-1.7652969999999999</v>
      </c>
      <c r="S87" s="4" cm="1">
        <f t="array" ref="S87">INDEX(GMW!$A$2:$NF$150,MATCH(1,(GMW!$NE$2:$NE$150=S$3)*(GMW!$ND$2:$ND$150=S$4)*(GMW!$NF$2:$NF$150=S$1),0),$C87-1966)</f>
        <v>351046</v>
      </c>
      <c r="T87" s="4" cm="1">
        <f t="array" ref="T87">INDEX(GMW!$A$2:$NF$150,MATCH(1,(GMW!$NE$2:$NE$150=T$3)*(GMW!$ND$2:$ND$150=T$4)*(GMW!$NF$2:$NF$150=T$1),0),$C87-1966)</f>
        <v>63.2</v>
      </c>
      <c r="U87" s="4" cm="1">
        <f t="array" ref="U87">INDEX(GMW!$A$2:$NF$150,MATCH(1,(GMW!$NE$2:$NE$150=U$3)*(GMW!$ND$2:$ND$150=U$4)*(GMW!$NF$2:$NF$150=U$1),0),$C87-1966)</f>
        <v>71260</v>
      </c>
      <c r="V87" s="4" cm="1">
        <f t="array" ref="V87">INDEX(GMW!$A$2:$NF$150,MATCH(1,(GMW!$NE$2:$NE$150=V$3)*(GMW!$ND$2:$ND$150=V$4)*(GMW!$NF$2:$NF$150=V$1),0),$C87-1966)</f>
        <v>29509.31</v>
      </c>
      <c r="W87" s="4" cm="1">
        <f t="array" ref="W87">INDEX(GMW!$A$2:$NF$150,MATCH(1,(GMW!$NE$2:$NE$150=W$3)*(GMW!$ND$2:$ND$150=W$4)*(GMW!$NF$2:$NF$150=W$1),0),$C87-1966)</f>
        <v>67657</v>
      </c>
      <c r="X87" s="4" cm="1">
        <f t="array" ref="X87">INDEX(GMW!$A$2:$NF$150,MATCH(1,(GMW!$NE$2:$NE$150=X$3)*(GMW!$ND$2:$ND$150=X$4)*(GMW!$NF$2:$NF$150=X$1),0),$C87-1966)</f>
        <v>34355.379999999997</v>
      </c>
      <c r="Y87" s="4" cm="1">
        <f t="array" ref="Y87">INDEX(GMW!$A$2:$NF$150,MATCH(1,(GMW!$NE$2:$NE$150=Y$3)*(GMW!$ND$2:$ND$150=Y$4)*(GMW!$NF$2:$NF$150=Y$1),0),$C87-1966)</f>
        <v>64089</v>
      </c>
      <c r="Z87" s="4" cm="1">
        <f t="array" ref="Z87">INDEX(GMW!$A$2:$NF$150,MATCH(1,(GMW!$NE$2:$NE$150=Z$3)*(GMW!$ND$2:$ND$150=Z$4)*(GMW!$NF$2:$NF$150=Z$1),0),$C87-1966)</f>
        <v>26155.64</v>
      </c>
      <c r="AA87" s="4" cm="1">
        <f t="array" ref="AA87">INDEX(GMW!$A$2:$NF$150,MATCH(1,(GMW!$NE$2:$NE$150=AA$3)*(GMW!$ND$2:$ND$150=AA$4)*(GMW!$NF$2:$NF$150=AA$1),0),$C87-1966)</f>
        <v>359456.2</v>
      </c>
      <c r="AB87" s="4" cm="1">
        <f t="array" ref="AB87">INDEX(GMW!$A$2:$NF$150,MATCH(1,(GMW!$NE$2:$NE$150=AB$3)*(GMW!$ND$2:$ND$150=AB$4)*(GMW!$NF$2:$NF$150=AB$1),0),$C87-1966)</f>
        <v>25598.83</v>
      </c>
      <c r="AC87" s="4" cm="1">
        <f t="array" ref="AC87">INDEX(GMW!$A$2:$NF$150,MATCH(1,(GMW!$NE$2:$NE$150=AC$3)*(GMW!$ND$2:$ND$150=AC$4)*(GMW!$NF$2:$NF$150=AC$1),0),$C87-1966)</f>
        <v>33</v>
      </c>
      <c r="AD87" s="4" cm="1">
        <f t="array" ref="AD87">INDEX(GMW!$A$2:$NF$150,MATCH(1,(GMW!$NE$2:$NE$150=AD$3)*(GMW!$ND$2:$ND$150=AD$4)*(GMW!$NF$2:$NF$150=AD$1),0),$C87-1966)</f>
        <v>356014.8</v>
      </c>
      <c r="AE87" s="4" cm="1">
        <f t="array" ref="AE87">INDEX(GMW!$A$2:$NF$150,MATCH(1,(GMW!$NE$2:$NE$150=AE$3)*(GMW!$ND$2:$ND$150=AE$4)*(GMW!$NF$2:$NF$150=AE$1),0),$C87-1966)</f>
        <v>37334.730000000003</v>
      </c>
      <c r="AF87" s="4" cm="1">
        <f t="array" ref="AF87">INDEX(GMW!$A$2:$NF$150,MATCH(1,(GMW!$NE$2:$NE$150=AF$3)*(GMW!$ND$2:$ND$150=AF$4)*(GMW!$NF$2:$NF$150=AF$1),0),$C87-1966)</f>
        <v>1657777</v>
      </c>
      <c r="AG87" s="4" cm="1">
        <f t="array" ref="AG87">INDEX(GMW!$A$2:$NF$150,MATCH(1,(GMW!$NE$2:$NE$150=AG$3)*(GMW!$ND$2:$ND$150=AG$4)*(GMW!$NF$2:$NF$150=AG$1),0),$C87-1966)</f>
        <v>-1.7652969999999999</v>
      </c>
      <c r="AH87" s="4" cm="1">
        <f t="array" ref="AH87">INDEX(GMW!$A$2:$NF$150,MATCH(1,(GMW!$NE$2:$NE$150=AH$3)*(GMW!$ND$2:$ND$150=AH$4)*(GMW!$NF$2:$NF$150=AH$1),0),$C87-1966)</f>
        <v>351046</v>
      </c>
      <c r="AI87" s="4" cm="1">
        <f t="array" ref="AI87">INDEX(GMW!$A$2:$NF$150,MATCH(1,(GMW!$NE$2:$NE$150=AI$3)*(GMW!$ND$2:$ND$150=AI$4)*(GMW!$NF$2:$NF$150=AI$1),0),$C87-1966)</f>
        <v>63.2</v>
      </c>
      <c r="AJ87" s="4" cm="1">
        <f t="array" ref="AJ87">INDEX(GMW!$A$2:$NF$150,MATCH(1,(GMW!$NE$2:$NE$150=AJ$3)*(GMW!$ND$2:$ND$150=AJ$4)*(GMW!$NF$2:$NF$150=AJ$1),0),$C87-1966)</f>
        <v>71260</v>
      </c>
      <c r="AK87" s="4" cm="1">
        <f t="array" ref="AK87">INDEX(GMW!$A$2:$NF$150,MATCH(1,(GMW!$NE$2:$NE$150=AK$3)*(GMW!$ND$2:$ND$150=AK$4)*(GMW!$NF$2:$NF$150=AK$1),0),$C87-1966)</f>
        <v>29509.31</v>
      </c>
      <c r="AL87" s="4" cm="1">
        <f t="array" ref="AL87">INDEX(GMW!$A$2:$NF$150,MATCH(1,(GMW!$NE$2:$NE$150=AL$3)*(GMW!$ND$2:$ND$150=AL$4)*(GMW!$NF$2:$NF$150=AL$1),0),$C87-1966)</f>
        <v>67657</v>
      </c>
      <c r="AM87" s="4" cm="1">
        <f t="array" ref="AM87">INDEX(GMW!$A$2:$NF$150,MATCH(1,(GMW!$NE$2:$NE$150=AM$3)*(GMW!$ND$2:$ND$150=AM$4)*(GMW!$NF$2:$NF$150=AM$1),0),$C87-1966)</f>
        <v>34355.379999999997</v>
      </c>
      <c r="AN87" s="4" cm="1">
        <f t="array" ref="AN87">INDEX(GMW!$A$2:$NF$150,MATCH(1,(GMW!$NE$2:$NE$150=AN$3)*(GMW!$ND$2:$ND$150=AN$4)*(GMW!$NF$2:$NF$150=AN$1),0),$C87-1966)</f>
        <v>64089</v>
      </c>
      <c r="AO87" s="4" cm="1">
        <f t="array" ref="AO87">INDEX(GMW!$A$2:$NF$150,MATCH(1,(GMW!$NE$2:$NE$150=AO$3)*(GMW!$ND$2:$ND$150=AO$4)*(GMW!$NF$2:$NF$150=AO$1),0),$C87-1966)</f>
        <v>26155.64</v>
      </c>
      <c r="AP87" s="4" cm="1">
        <f t="array" ref="AP87">INDEX(GMW!$A$2:$NF$150,MATCH(1,(GMW!$NE$2:$NE$150=AP$3)*(GMW!$ND$2:$ND$150=AP$4)*(GMW!$NF$2:$NF$150=AP$1),0),$C87-1966)</f>
        <v>359456.2</v>
      </c>
      <c r="AQ87" s="4" cm="1">
        <f t="array" ref="AQ87">INDEX(GMW!$A$2:$NF$150,MATCH(1,(GMW!$NE$2:$NE$150=AQ$3)*(GMW!$ND$2:$ND$150=AQ$4)*(GMW!$NF$2:$NF$150=AQ$1),0),$C87-1966)</f>
        <v>25598.83</v>
      </c>
      <c r="AR87" s="4" cm="1">
        <f t="array" ref="AR87">INDEX(GMW!$A$2:$NF$150,MATCH(1,(GMW!$NE$2:$NE$150=AR$3)*(GMW!$ND$2:$ND$150=AR$4)*(GMW!$NF$2:$NF$150=AR$1),0),$C87-1966)</f>
        <v>33</v>
      </c>
      <c r="AS87" s="4" cm="1">
        <f t="array" ref="AS87">INDEX(GMW!$A$2:$NF$150,MATCH(1,(GMW!$NE$2:$NE$150=AS$3)*(GMW!$ND$2:$ND$150=AS$4)*(GMW!$NF$2:$NF$150=AS$1),0),$C87-1966)</f>
        <v>356014.8</v>
      </c>
      <c r="AT87" s="4" cm="1">
        <f t="array" ref="AT87">INDEX(GMW!$A$2:$NF$150,MATCH(1,(GMW!$NE$2:$NE$150=AT$3)*(GMW!$ND$2:$ND$150=AT$4)*(GMW!$NF$2:$NF$150=AT$1),0),$C87-1966)</f>
        <v>37334.730000000003</v>
      </c>
      <c r="AU87" s="4" cm="1">
        <f t="array" ref="AU87">INDEX(GMW!$A$2:$NF$150,MATCH(1,(GMW!$NE$2:$NE$150=AU$3)*(GMW!$ND$2:$ND$150=AU$4)*(GMW!$NF$2:$NF$150=AU$1),0),$C87-1966)</f>
        <v>1657777</v>
      </c>
      <c r="AV87" s="4" cm="1">
        <f t="array" ref="AV87">INDEX(GMW!$A$2:$NF$150,MATCH(1,(GMW!$NE$2:$NE$150=AV$3)*(GMW!$ND$2:$ND$150=AV$4)*(GMW!$NF$2:$NF$150=AV$1),0),$C87-1966)</f>
        <v>-1.7652969999999999</v>
      </c>
    </row>
    <row r="88" spans="1:48" x14ac:dyDescent="0.25">
      <c r="B88" s="4">
        <f t="shared" si="6"/>
        <v>1993</v>
      </c>
      <c r="C88" s="4">
        <f t="shared" si="5"/>
        <v>2054</v>
      </c>
      <c r="D88" s="4" cm="1">
        <f t="array" ref="D88">INDEX(GMW!$A$2:$NF$150,MATCH(1,(GMW!$NE$2:$NE$150=D$3)*(GMW!$ND$2:$ND$150=D$4)*(GMW!$NF$2:$NF$150=D$1),0),$C88-1966)</f>
        <v>352612</v>
      </c>
      <c r="E88" s="4" cm="1">
        <f t="array" ref="E88">INDEX(GMW!$A$2:$NF$150,MATCH(1,(GMW!$NE$2:$NE$150=E$3)*(GMW!$ND$2:$ND$150=E$4)*(GMW!$NF$2:$NF$150=E$1),0),$C88-1966)</f>
        <v>64.433329999999998</v>
      </c>
      <c r="F88" s="4" cm="1">
        <f t="array" ref="F88">INDEX(GMW!$A$2:$NF$150,MATCH(1,(GMW!$NE$2:$NE$150=F$3)*(GMW!$ND$2:$ND$150=F$4)*(GMW!$NF$2:$NF$150=F$1),0),$C88-1966)</f>
        <v>70281</v>
      </c>
      <c r="G88" s="4" cm="1">
        <f t="array" ref="G88">INDEX(GMW!$A$2:$NF$150,MATCH(1,(GMW!$NE$2:$NE$150=G$3)*(GMW!$ND$2:$ND$150=G$4)*(GMW!$NF$2:$NF$150=G$1),0),$C88-1966)</f>
        <v>29054.54</v>
      </c>
      <c r="H88" s="4" cm="1">
        <f t="array" ref="H88">INDEX(GMW!$A$2:$NF$150,MATCH(1,(GMW!$NE$2:$NE$150=H$3)*(GMW!$ND$2:$ND$150=H$4)*(GMW!$NF$2:$NF$150=H$1),0),$C88-1966)</f>
        <v>67128</v>
      </c>
      <c r="I88" s="4" cm="1">
        <f t="array" ref="I88">INDEX(GMW!$A$2:$NF$150,MATCH(1,(GMW!$NE$2:$NE$150=I$3)*(GMW!$ND$2:$ND$150=I$4)*(GMW!$NF$2:$NF$150=I$1),0),$C88-1966)</f>
        <v>32568.43</v>
      </c>
      <c r="J88" s="4" cm="1">
        <f t="array" ref="J88">INDEX(GMW!$A$2:$NF$150,MATCH(1,(GMW!$NE$2:$NE$150=J$3)*(GMW!$ND$2:$ND$150=J$4)*(GMW!$NF$2:$NF$150=J$1),0),$C88-1966)</f>
        <v>63733</v>
      </c>
      <c r="K88" s="4" cm="1">
        <f t="array" ref="K88">INDEX(GMW!$A$2:$NF$150,MATCH(1,(GMW!$NE$2:$NE$150=K$3)*(GMW!$ND$2:$ND$150=K$4)*(GMW!$NF$2:$NF$150=K$1),0),$C88-1966)</f>
        <v>25249.78</v>
      </c>
      <c r="L88" s="4" cm="1">
        <f t="array" ref="L88">INDEX(GMW!$A$2:$NF$150,MATCH(1,(GMW!$NE$2:$NE$150=L$3)*(GMW!$ND$2:$ND$150=L$4)*(GMW!$NF$2:$NF$150=L$1),0),$C88-1966)</f>
        <v>360765.6</v>
      </c>
      <c r="M88" s="4" cm="1">
        <f t="array" ref="M88">INDEX(GMW!$A$2:$NF$150,MATCH(1,(GMW!$NE$2:$NE$150=M$3)*(GMW!$ND$2:$ND$150=M$4)*(GMW!$NF$2:$NF$150=M$1),0),$C88-1966)</f>
        <v>25542.720000000001</v>
      </c>
      <c r="N88" s="4" cm="1">
        <f t="array" ref="N88">INDEX(GMW!$A$2:$NF$150,MATCH(1,(GMW!$NE$2:$NE$150=N$3)*(GMW!$ND$2:$ND$150=N$4)*(GMW!$NF$2:$NF$150=N$1),0),$C88-1966)</f>
        <v>33</v>
      </c>
      <c r="O88" s="4" cm="1">
        <f t="array" ref="O88">INDEX(GMW!$A$2:$NF$150,MATCH(1,(GMW!$NE$2:$NE$150=O$3)*(GMW!$ND$2:$ND$150=O$4)*(GMW!$NF$2:$NF$150=O$1),0),$C88-1966)</f>
        <v>356858.4</v>
      </c>
      <c r="P88" s="4" cm="1">
        <f t="array" ref="P88">INDEX(GMW!$A$2:$NF$150,MATCH(1,(GMW!$NE$2:$NE$150=P$3)*(GMW!$ND$2:$ND$150=P$4)*(GMW!$NF$2:$NF$150=P$1),0),$C88-1966)</f>
        <v>37333.75</v>
      </c>
      <c r="Q88" s="4" cm="1">
        <f t="array" ref="Q88">INDEX(GMW!$A$2:$NF$150,MATCH(1,(GMW!$NE$2:$NE$150=Q$3)*(GMW!$ND$2:$ND$150=Q$4)*(GMW!$NF$2:$NF$150=Q$1),0),$C88-1966)</f>
        <v>1665536</v>
      </c>
      <c r="R88" s="4" cm="1">
        <f t="array" ref="R88">INDEX(GMW!$A$2:$NF$150,MATCH(1,(GMW!$NE$2:$NE$150=R$3)*(GMW!$ND$2:$ND$150=R$4)*(GMW!$NF$2:$NF$150=R$1),0),$C88-1966)</f>
        <v>-1.7625949999999999</v>
      </c>
      <c r="S88" s="4" cm="1">
        <f t="array" ref="S88">INDEX(GMW!$A$2:$NF$150,MATCH(1,(GMW!$NE$2:$NE$150=S$3)*(GMW!$ND$2:$ND$150=S$4)*(GMW!$NF$2:$NF$150=S$1),0),$C88-1966)</f>
        <v>352612</v>
      </c>
      <c r="T88" s="4" cm="1">
        <f t="array" ref="T88">INDEX(GMW!$A$2:$NF$150,MATCH(1,(GMW!$NE$2:$NE$150=T$3)*(GMW!$ND$2:$ND$150=T$4)*(GMW!$NF$2:$NF$150=T$1),0),$C88-1966)</f>
        <v>64.433329999999998</v>
      </c>
      <c r="U88" s="4" cm="1">
        <f t="array" ref="U88">INDEX(GMW!$A$2:$NF$150,MATCH(1,(GMW!$NE$2:$NE$150=U$3)*(GMW!$ND$2:$ND$150=U$4)*(GMW!$NF$2:$NF$150=U$1),0),$C88-1966)</f>
        <v>70281</v>
      </c>
      <c r="V88" s="4" cm="1">
        <f t="array" ref="V88">INDEX(GMW!$A$2:$NF$150,MATCH(1,(GMW!$NE$2:$NE$150=V$3)*(GMW!$ND$2:$ND$150=V$4)*(GMW!$NF$2:$NF$150=V$1),0),$C88-1966)</f>
        <v>29054.54</v>
      </c>
      <c r="W88" s="4" cm="1">
        <f t="array" ref="W88">INDEX(GMW!$A$2:$NF$150,MATCH(1,(GMW!$NE$2:$NE$150=W$3)*(GMW!$ND$2:$ND$150=W$4)*(GMW!$NF$2:$NF$150=W$1),0),$C88-1966)</f>
        <v>67128</v>
      </c>
      <c r="X88" s="4" cm="1">
        <f t="array" ref="X88">INDEX(GMW!$A$2:$NF$150,MATCH(1,(GMW!$NE$2:$NE$150=X$3)*(GMW!$ND$2:$ND$150=X$4)*(GMW!$NF$2:$NF$150=X$1),0),$C88-1966)</f>
        <v>32568.43</v>
      </c>
      <c r="Y88" s="4" cm="1">
        <f t="array" ref="Y88">INDEX(GMW!$A$2:$NF$150,MATCH(1,(GMW!$NE$2:$NE$150=Y$3)*(GMW!$ND$2:$ND$150=Y$4)*(GMW!$NF$2:$NF$150=Y$1),0),$C88-1966)</f>
        <v>63733</v>
      </c>
      <c r="Z88" s="4" cm="1">
        <f t="array" ref="Z88">INDEX(GMW!$A$2:$NF$150,MATCH(1,(GMW!$NE$2:$NE$150=Z$3)*(GMW!$ND$2:$ND$150=Z$4)*(GMW!$NF$2:$NF$150=Z$1),0),$C88-1966)</f>
        <v>25249.78</v>
      </c>
      <c r="AA88" s="4" cm="1">
        <f t="array" ref="AA88">INDEX(GMW!$A$2:$NF$150,MATCH(1,(GMW!$NE$2:$NE$150=AA$3)*(GMW!$ND$2:$ND$150=AA$4)*(GMW!$NF$2:$NF$150=AA$1),0),$C88-1966)</f>
        <v>360765.6</v>
      </c>
      <c r="AB88" s="4" cm="1">
        <f t="array" ref="AB88">INDEX(GMW!$A$2:$NF$150,MATCH(1,(GMW!$NE$2:$NE$150=AB$3)*(GMW!$ND$2:$ND$150=AB$4)*(GMW!$NF$2:$NF$150=AB$1),0),$C88-1966)</f>
        <v>25542.720000000001</v>
      </c>
      <c r="AC88" s="4" cm="1">
        <f t="array" ref="AC88">INDEX(GMW!$A$2:$NF$150,MATCH(1,(GMW!$NE$2:$NE$150=AC$3)*(GMW!$ND$2:$ND$150=AC$4)*(GMW!$NF$2:$NF$150=AC$1),0),$C88-1966)</f>
        <v>33</v>
      </c>
      <c r="AD88" s="4" cm="1">
        <f t="array" ref="AD88">INDEX(GMW!$A$2:$NF$150,MATCH(1,(GMW!$NE$2:$NE$150=AD$3)*(GMW!$ND$2:$ND$150=AD$4)*(GMW!$NF$2:$NF$150=AD$1),0),$C88-1966)</f>
        <v>356858.4</v>
      </c>
      <c r="AE88" s="4" cm="1">
        <f t="array" ref="AE88">INDEX(GMW!$A$2:$NF$150,MATCH(1,(GMW!$NE$2:$NE$150=AE$3)*(GMW!$ND$2:$ND$150=AE$4)*(GMW!$NF$2:$NF$150=AE$1),0),$C88-1966)</f>
        <v>37333.75</v>
      </c>
      <c r="AF88" s="4" cm="1">
        <f t="array" ref="AF88">INDEX(GMW!$A$2:$NF$150,MATCH(1,(GMW!$NE$2:$NE$150=AF$3)*(GMW!$ND$2:$ND$150=AF$4)*(GMW!$NF$2:$NF$150=AF$1),0),$C88-1966)</f>
        <v>1665536</v>
      </c>
      <c r="AG88" s="4" cm="1">
        <f t="array" ref="AG88">INDEX(GMW!$A$2:$NF$150,MATCH(1,(GMW!$NE$2:$NE$150=AG$3)*(GMW!$ND$2:$ND$150=AG$4)*(GMW!$NF$2:$NF$150=AG$1),0),$C88-1966)</f>
        <v>-1.7625949999999999</v>
      </c>
      <c r="AH88" s="4" cm="1">
        <f t="array" ref="AH88">INDEX(GMW!$A$2:$NF$150,MATCH(1,(GMW!$NE$2:$NE$150=AH$3)*(GMW!$ND$2:$ND$150=AH$4)*(GMW!$NF$2:$NF$150=AH$1),0),$C88-1966)</f>
        <v>352612</v>
      </c>
      <c r="AI88" s="4" cm="1">
        <f t="array" ref="AI88">INDEX(GMW!$A$2:$NF$150,MATCH(1,(GMW!$NE$2:$NE$150=AI$3)*(GMW!$ND$2:$ND$150=AI$4)*(GMW!$NF$2:$NF$150=AI$1),0),$C88-1966)</f>
        <v>64.433329999999998</v>
      </c>
      <c r="AJ88" s="4" cm="1">
        <f t="array" ref="AJ88">INDEX(GMW!$A$2:$NF$150,MATCH(1,(GMW!$NE$2:$NE$150=AJ$3)*(GMW!$ND$2:$ND$150=AJ$4)*(GMW!$NF$2:$NF$150=AJ$1),0),$C88-1966)</f>
        <v>70281</v>
      </c>
      <c r="AK88" s="4" cm="1">
        <f t="array" ref="AK88">INDEX(GMW!$A$2:$NF$150,MATCH(1,(GMW!$NE$2:$NE$150=AK$3)*(GMW!$ND$2:$ND$150=AK$4)*(GMW!$NF$2:$NF$150=AK$1),0),$C88-1966)</f>
        <v>29054.54</v>
      </c>
      <c r="AL88" s="4" cm="1">
        <f t="array" ref="AL88">INDEX(GMW!$A$2:$NF$150,MATCH(1,(GMW!$NE$2:$NE$150=AL$3)*(GMW!$ND$2:$ND$150=AL$4)*(GMW!$NF$2:$NF$150=AL$1),0),$C88-1966)</f>
        <v>67128</v>
      </c>
      <c r="AM88" s="4" cm="1">
        <f t="array" ref="AM88">INDEX(GMW!$A$2:$NF$150,MATCH(1,(GMW!$NE$2:$NE$150=AM$3)*(GMW!$ND$2:$ND$150=AM$4)*(GMW!$NF$2:$NF$150=AM$1),0),$C88-1966)</f>
        <v>32568.43</v>
      </c>
      <c r="AN88" s="4" cm="1">
        <f t="array" ref="AN88">INDEX(GMW!$A$2:$NF$150,MATCH(1,(GMW!$NE$2:$NE$150=AN$3)*(GMW!$ND$2:$ND$150=AN$4)*(GMW!$NF$2:$NF$150=AN$1),0),$C88-1966)</f>
        <v>63733</v>
      </c>
      <c r="AO88" s="4" cm="1">
        <f t="array" ref="AO88">INDEX(GMW!$A$2:$NF$150,MATCH(1,(GMW!$NE$2:$NE$150=AO$3)*(GMW!$ND$2:$ND$150=AO$4)*(GMW!$NF$2:$NF$150=AO$1),0),$C88-1966)</f>
        <v>25249.78</v>
      </c>
      <c r="AP88" s="4" cm="1">
        <f t="array" ref="AP88">INDEX(GMW!$A$2:$NF$150,MATCH(1,(GMW!$NE$2:$NE$150=AP$3)*(GMW!$ND$2:$ND$150=AP$4)*(GMW!$NF$2:$NF$150=AP$1),0),$C88-1966)</f>
        <v>360765.6</v>
      </c>
      <c r="AQ88" s="4" cm="1">
        <f t="array" ref="AQ88">INDEX(GMW!$A$2:$NF$150,MATCH(1,(GMW!$NE$2:$NE$150=AQ$3)*(GMW!$ND$2:$ND$150=AQ$4)*(GMW!$NF$2:$NF$150=AQ$1),0),$C88-1966)</f>
        <v>25542.720000000001</v>
      </c>
      <c r="AR88" s="4" cm="1">
        <f t="array" ref="AR88">INDEX(GMW!$A$2:$NF$150,MATCH(1,(GMW!$NE$2:$NE$150=AR$3)*(GMW!$ND$2:$ND$150=AR$4)*(GMW!$NF$2:$NF$150=AR$1),0),$C88-1966)</f>
        <v>33</v>
      </c>
      <c r="AS88" s="4" cm="1">
        <f t="array" ref="AS88">INDEX(GMW!$A$2:$NF$150,MATCH(1,(GMW!$NE$2:$NE$150=AS$3)*(GMW!$ND$2:$ND$150=AS$4)*(GMW!$NF$2:$NF$150=AS$1),0),$C88-1966)</f>
        <v>356858.4</v>
      </c>
      <c r="AT88" s="4" cm="1">
        <f t="array" ref="AT88">INDEX(GMW!$A$2:$NF$150,MATCH(1,(GMW!$NE$2:$NE$150=AT$3)*(GMW!$ND$2:$ND$150=AT$4)*(GMW!$NF$2:$NF$150=AT$1),0),$C88-1966)</f>
        <v>37333.75</v>
      </c>
      <c r="AU88" s="4" cm="1">
        <f t="array" ref="AU88">INDEX(GMW!$A$2:$NF$150,MATCH(1,(GMW!$NE$2:$NE$150=AU$3)*(GMW!$ND$2:$ND$150=AU$4)*(GMW!$NF$2:$NF$150=AU$1),0),$C88-1966)</f>
        <v>1665536</v>
      </c>
      <c r="AV88" s="4" cm="1">
        <f t="array" ref="AV88">INDEX(GMW!$A$2:$NF$150,MATCH(1,(GMW!$NE$2:$NE$150=AV$3)*(GMW!$ND$2:$ND$150=AV$4)*(GMW!$NF$2:$NF$150=AV$1),0),$C88-1966)</f>
        <v>-1.7625949999999999</v>
      </c>
    </row>
    <row r="89" spans="1:48" x14ac:dyDescent="0.25">
      <c r="B89" s="4">
        <f t="shared" si="6"/>
        <v>1993</v>
      </c>
      <c r="C89" s="4">
        <f t="shared" si="5"/>
        <v>2055</v>
      </c>
      <c r="D89" s="4" cm="1">
        <f t="array" ref="D89">INDEX(GMW!$A$2:$NF$150,MATCH(1,(GMW!$NE$2:$NE$150=D$3)*(GMW!$ND$2:$ND$150=D$4)*(GMW!$NF$2:$NF$150=D$1),0),$C89-1966)</f>
        <v>355841</v>
      </c>
      <c r="E89" s="4" cm="1">
        <f t="array" ref="E89">INDEX(GMW!$A$2:$NF$150,MATCH(1,(GMW!$NE$2:$NE$150=E$3)*(GMW!$ND$2:$ND$150=E$4)*(GMW!$NF$2:$NF$150=E$1),0),$C89-1966)</f>
        <v>64.5</v>
      </c>
      <c r="F89" s="4" cm="1">
        <f t="array" ref="F89">INDEX(GMW!$A$2:$NF$150,MATCH(1,(GMW!$NE$2:$NE$150=F$3)*(GMW!$ND$2:$ND$150=F$4)*(GMW!$NF$2:$NF$150=F$1),0),$C89-1966)</f>
        <v>71508</v>
      </c>
      <c r="G89" s="4" cm="1">
        <f t="array" ref="G89">INDEX(GMW!$A$2:$NF$150,MATCH(1,(GMW!$NE$2:$NE$150=G$3)*(GMW!$ND$2:$ND$150=G$4)*(GMW!$NF$2:$NF$150=G$1),0),$C89-1966)</f>
        <v>26145.06</v>
      </c>
      <c r="H89" s="4" cm="1">
        <f t="array" ref="H89">INDEX(GMW!$A$2:$NF$150,MATCH(1,(GMW!$NE$2:$NE$150=H$3)*(GMW!$ND$2:$ND$150=H$4)*(GMW!$NF$2:$NF$150=H$1),0),$C89-1966)</f>
        <v>68591</v>
      </c>
      <c r="I89" s="4" cm="1">
        <f t="array" ref="I89">INDEX(GMW!$A$2:$NF$150,MATCH(1,(GMW!$NE$2:$NE$150=I$3)*(GMW!$ND$2:$ND$150=I$4)*(GMW!$NF$2:$NF$150=I$1),0),$C89-1966)</f>
        <v>33693.4</v>
      </c>
      <c r="J89" s="4" cm="1">
        <f t="array" ref="J89">INDEX(GMW!$A$2:$NF$150,MATCH(1,(GMW!$NE$2:$NE$150=J$3)*(GMW!$ND$2:$ND$150=J$4)*(GMW!$NF$2:$NF$150=J$1),0),$C89-1966)</f>
        <v>63810</v>
      </c>
      <c r="K89" s="4" cm="1">
        <f t="array" ref="K89">INDEX(GMW!$A$2:$NF$150,MATCH(1,(GMW!$NE$2:$NE$150=K$3)*(GMW!$ND$2:$ND$150=K$4)*(GMW!$NF$2:$NF$150=K$1),0),$C89-1966)</f>
        <v>25272.31</v>
      </c>
      <c r="L89" s="4" cm="1">
        <f t="array" ref="L89">INDEX(GMW!$A$2:$NF$150,MATCH(1,(GMW!$NE$2:$NE$150=L$3)*(GMW!$ND$2:$ND$150=L$4)*(GMW!$NF$2:$NF$150=L$1),0),$C89-1966)</f>
        <v>362638.6</v>
      </c>
      <c r="M89" s="4" cm="1">
        <f t="array" ref="M89">INDEX(GMW!$A$2:$NF$150,MATCH(1,(GMW!$NE$2:$NE$150=M$3)*(GMW!$ND$2:$ND$150=M$4)*(GMW!$NF$2:$NF$150=M$1),0),$C89-1966)</f>
        <v>25554.639999999999</v>
      </c>
      <c r="N89" s="4" cm="1">
        <f t="array" ref="N89">INDEX(GMW!$A$2:$NF$150,MATCH(1,(GMW!$NE$2:$NE$150=N$3)*(GMW!$ND$2:$ND$150=N$4)*(GMW!$NF$2:$NF$150=N$1),0),$C89-1966)</f>
        <v>33</v>
      </c>
      <c r="O89" s="4" cm="1">
        <f t="array" ref="O89">INDEX(GMW!$A$2:$NF$150,MATCH(1,(GMW!$NE$2:$NE$150=O$3)*(GMW!$ND$2:$ND$150=O$4)*(GMW!$NF$2:$NF$150=O$1),0),$C89-1966)</f>
        <v>357701.2</v>
      </c>
      <c r="P89" s="4" cm="1">
        <f t="array" ref="P89">INDEX(GMW!$A$2:$NF$150,MATCH(1,(GMW!$NE$2:$NE$150=P$3)*(GMW!$ND$2:$ND$150=P$4)*(GMW!$NF$2:$NF$150=P$1),0),$C89-1966)</f>
        <v>37354.300000000003</v>
      </c>
      <c r="Q89" s="4" cm="1">
        <f t="array" ref="Q89">INDEX(GMW!$A$2:$NF$150,MATCH(1,(GMW!$NE$2:$NE$150=Q$3)*(GMW!$ND$2:$ND$150=Q$4)*(GMW!$NF$2:$NF$150=Q$1),0),$C89-1966)</f>
        <v>1673295</v>
      </c>
      <c r="R89" s="4" cm="1">
        <f t="array" ref="R89">INDEX(GMW!$A$2:$NF$150,MATCH(1,(GMW!$NE$2:$NE$150=R$3)*(GMW!$ND$2:$ND$150=R$4)*(GMW!$NF$2:$NF$150=R$1),0),$C89-1966)</f>
        <v>-1.7598959999999999</v>
      </c>
      <c r="S89" s="4" cm="1">
        <f t="array" ref="S89">INDEX(GMW!$A$2:$NF$150,MATCH(1,(GMW!$NE$2:$NE$150=S$3)*(GMW!$ND$2:$ND$150=S$4)*(GMW!$NF$2:$NF$150=S$1),0),$C89-1966)</f>
        <v>355841</v>
      </c>
      <c r="T89" s="4" cm="1">
        <f t="array" ref="T89">INDEX(GMW!$A$2:$NF$150,MATCH(1,(GMW!$NE$2:$NE$150=T$3)*(GMW!$ND$2:$ND$150=T$4)*(GMW!$NF$2:$NF$150=T$1),0),$C89-1966)</f>
        <v>64.5</v>
      </c>
      <c r="U89" s="4" cm="1">
        <f t="array" ref="U89">INDEX(GMW!$A$2:$NF$150,MATCH(1,(GMW!$NE$2:$NE$150=U$3)*(GMW!$ND$2:$ND$150=U$4)*(GMW!$NF$2:$NF$150=U$1),0),$C89-1966)</f>
        <v>71508</v>
      </c>
      <c r="V89" s="4" cm="1">
        <f t="array" ref="V89">INDEX(GMW!$A$2:$NF$150,MATCH(1,(GMW!$NE$2:$NE$150=V$3)*(GMW!$ND$2:$ND$150=V$4)*(GMW!$NF$2:$NF$150=V$1),0),$C89-1966)</f>
        <v>26145.06</v>
      </c>
      <c r="W89" s="4" cm="1">
        <f t="array" ref="W89">INDEX(GMW!$A$2:$NF$150,MATCH(1,(GMW!$NE$2:$NE$150=W$3)*(GMW!$ND$2:$ND$150=W$4)*(GMW!$NF$2:$NF$150=W$1),0),$C89-1966)</f>
        <v>68591</v>
      </c>
      <c r="X89" s="4" cm="1">
        <f t="array" ref="X89">INDEX(GMW!$A$2:$NF$150,MATCH(1,(GMW!$NE$2:$NE$150=X$3)*(GMW!$ND$2:$ND$150=X$4)*(GMW!$NF$2:$NF$150=X$1),0),$C89-1966)</f>
        <v>33693.4</v>
      </c>
      <c r="Y89" s="4" cm="1">
        <f t="array" ref="Y89">INDEX(GMW!$A$2:$NF$150,MATCH(1,(GMW!$NE$2:$NE$150=Y$3)*(GMW!$ND$2:$ND$150=Y$4)*(GMW!$NF$2:$NF$150=Y$1),0),$C89-1966)</f>
        <v>63810</v>
      </c>
      <c r="Z89" s="4" cm="1">
        <f t="array" ref="Z89">INDEX(GMW!$A$2:$NF$150,MATCH(1,(GMW!$NE$2:$NE$150=Z$3)*(GMW!$ND$2:$ND$150=Z$4)*(GMW!$NF$2:$NF$150=Z$1),0),$C89-1966)</f>
        <v>25272.31</v>
      </c>
      <c r="AA89" s="4" cm="1">
        <f t="array" ref="AA89">INDEX(GMW!$A$2:$NF$150,MATCH(1,(GMW!$NE$2:$NE$150=AA$3)*(GMW!$ND$2:$ND$150=AA$4)*(GMW!$NF$2:$NF$150=AA$1),0),$C89-1966)</f>
        <v>362638.6</v>
      </c>
      <c r="AB89" s="4" cm="1">
        <f t="array" ref="AB89">INDEX(GMW!$A$2:$NF$150,MATCH(1,(GMW!$NE$2:$NE$150=AB$3)*(GMW!$ND$2:$ND$150=AB$4)*(GMW!$NF$2:$NF$150=AB$1),0),$C89-1966)</f>
        <v>25554.639999999999</v>
      </c>
      <c r="AC89" s="4" cm="1">
        <f t="array" ref="AC89">INDEX(GMW!$A$2:$NF$150,MATCH(1,(GMW!$NE$2:$NE$150=AC$3)*(GMW!$ND$2:$ND$150=AC$4)*(GMW!$NF$2:$NF$150=AC$1),0),$C89-1966)</f>
        <v>33</v>
      </c>
      <c r="AD89" s="4" cm="1">
        <f t="array" ref="AD89">INDEX(GMW!$A$2:$NF$150,MATCH(1,(GMW!$NE$2:$NE$150=AD$3)*(GMW!$ND$2:$ND$150=AD$4)*(GMW!$NF$2:$NF$150=AD$1),0),$C89-1966)</f>
        <v>357701.2</v>
      </c>
      <c r="AE89" s="4" cm="1">
        <f t="array" ref="AE89">INDEX(GMW!$A$2:$NF$150,MATCH(1,(GMW!$NE$2:$NE$150=AE$3)*(GMW!$ND$2:$ND$150=AE$4)*(GMW!$NF$2:$NF$150=AE$1),0),$C89-1966)</f>
        <v>37354.300000000003</v>
      </c>
      <c r="AF89" s="4" cm="1">
        <f t="array" ref="AF89">INDEX(GMW!$A$2:$NF$150,MATCH(1,(GMW!$NE$2:$NE$150=AF$3)*(GMW!$ND$2:$ND$150=AF$4)*(GMW!$NF$2:$NF$150=AF$1),0),$C89-1966)</f>
        <v>1673295</v>
      </c>
      <c r="AG89" s="4" cm="1">
        <f t="array" ref="AG89">INDEX(GMW!$A$2:$NF$150,MATCH(1,(GMW!$NE$2:$NE$150=AG$3)*(GMW!$ND$2:$ND$150=AG$4)*(GMW!$NF$2:$NF$150=AG$1),0),$C89-1966)</f>
        <v>-1.7598959999999999</v>
      </c>
      <c r="AH89" s="4" cm="1">
        <f t="array" ref="AH89">INDEX(GMW!$A$2:$NF$150,MATCH(1,(GMW!$NE$2:$NE$150=AH$3)*(GMW!$ND$2:$ND$150=AH$4)*(GMW!$NF$2:$NF$150=AH$1),0),$C89-1966)</f>
        <v>355841</v>
      </c>
      <c r="AI89" s="4" cm="1">
        <f t="array" ref="AI89">INDEX(GMW!$A$2:$NF$150,MATCH(1,(GMW!$NE$2:$NE$150=AI$3)*(GMW!$ND$2:$ND$150=AI$4)*(GMW!$NF$2:$NF$150=AI$1),0),$C89-1966)</f>
        <v>64.5</v>
      </c>
      <c r="AJ89" s="4" cm="1">
        <f t="array" ref="AJ89">INDEX(GMW!$A$2:$NF$150,MATCH(1,(GMW!$NE$2:$NE$150=AJ$3)*(GMW!$ND$2:$ND$150=AJ$4)*(GMW!$NF$2:$NF$150=AJ$1),0),$C89-1966)</f>
        <v>71508</v>
      </c>
      <c r="AK89" s="4" cm="1">
        <f t="array" ref="AK89">INDEX(GMW!$A$2:$NF$150,MATCH(1,(GMW!$NE$2:$NE$150=AK$3)*(GMW!$ND$2:$ND$150=AK$4)*(GMW!$NF$2:$NF$150=AK$1),0),$C89-1966)</f>
        <v>26145.06</v>
      </c>
      <c r="AL89" s="4" cm="1">
        <f t="array" ref="AL89">INDEX(GMW!$A$2:$NF$150,MATCH(1,(GMW!$NE$2:$NE$150=AL$3)*(GMW!$ND$2:$ND$150=AL$4)*(GMW!$NF$2:$NF$150=AL$1),0),$C89-1966)</f>
        <v>68591</v>
      </c>
      <c r="AM89" s="4" cm="1">
        <f t="array" ref="AM89">INDEX(GMW!$A$2:$NF$150,MATCH(1,(GMW!$NE$2:$NE$150=AM$3)*(GMW!$ND$2:$ND$150=AM$4)*(GMW!$NF$2:$NF$150=AM$1),0),$C89-1966)</f>
        <v>33693.4</v>
      </c>
      <c r="AN89" s="4" cm="1">
        <f t="array" ref="AN89">INDEX(GMW!$A$2:$NF$150,MATCH(1,(GMW!$NE$2:$NE$150=AN$3)*(GMW!$ND$2:$ND$150=AN$4)*(GMW!$NF$2:$NF$150=AN$1),0),$C89-1966)</f>
        <v>63810</v>
      </c>
      <c r="AO89" s="4" cm="1">
        <f t="array" ref="AO89">INDEX(GMW!$A$2:$NF$150,MATCH(1,(GMW!$NE$2:$NE$150=AO$3)*(GMW!$ND$2:$ND$150=AO$4)*(GMW!$NF$2:$NF$150=AO$1),0),$C89-1966)</f>
        <v>25272.31</v>
      </c>
      <c r="AP89" s="4" cm="1">
        <f t="array" ref="AP89">INDEX(GMW!$A$2:$NF$150,MATCH(1,(GMW!$NE$2:$NE$150=AP$3)*(GMW!$ND$2:$ND$150=AP$4)*(GMW!$NF$2:$NF$150=AP$1),0),$C89-1966)</f>
        <v>362638.6</v>
      </c>
      <c r="AQ89" s="4" cm="1">
        <f t="array" ref="AQ89">INDEX(GMW!$A$2:$NF$150,MATCH(1,(GMW!$NE$2:$NE$150=AQ$3)*(GMW!$ND$2:$ND$150=AQ$4)*(GMW!$NF$2:$NF$150=AQ$1),0),$C89-1966)</f>
        <v>25554.639999999999</v>
      </c>
      <c r="AR89" s="4" cm="1">
        <f t="array" ref="AR89">INDEX(GMW!$A$2:$NF$150,MATCH(1,(GMW!$NE$2:$NE$150=AR$3)*(GMW!$ND$2:$ND$150=AR$4)*(GMW!$NF$2:$NF$150=AR$1),0),$C89-1966)</f>
        <v>33</v>
      </c>
      <c r="AS89" s="4" cm="1">
        <f t="array" ref="AS89">INDEX(GMW!$A$2:$NF$150,MATCH(1,(GMW!$NE$2:$NE$150=AS$3)*(GMW!$ND$2:$ND$150=AS$4)*(GMW!$NF$2:$NF$150=AS$1),0),$C89-1966)</f>
        <v>357701.2</v>
      </c>
      <c r="AT89" s="4" cm="1">
        <f t="array" ref="AT89">INDEX(GMW!$A$2:$NF$150,MATCH(1,(GMW!$NE$2:$NE$150=AT$3)*(GMW!$ND$2:$ND$150=AT$4)*(GMW!$NF$2:$NF$150=AT$1),0),$C89-1966)</f>
        <v>37354.300000000003</v>
      </c>
      <c r="AU89" s="4" cm="1">
        <f t="array" ref="AU89">INDEX(GMW!$A$2:$NF$150,MATCH(1,(GMW!$NE$2:$NE$150=AU$3)*(GMW!$ND$2:$ND$150=AU$4)*(GMW!$NF$2:$NF$150=AU$1),0),$C89-1966)</f>
        <v>1673295</v>
      </c>
      <c r="AV89" s="4" cm="1">
        <f t="array" ref="AV89">INDEX(GMW!$A$2:$NF$150,MATCH(1,(GMW!$NE$2:$NE$150=AV$3)*(GMW!$ND$2:$ND$150=AV$4)*(GMW!$NF$2:$NF$150=AV$1),0),$C89-1966)</f>
        <v>-1.7598959999999999</v>
      </c>
    </row>
    <row r="90" spans="1:48" x14ac:dyDescent="0.25">
      <c r="B90" s="4">
        <f t="shared" si="6"/>
        <v>1993</v>
      </c>
      <c r="C90" s="4">
        <f t="shared" si="5"/>
        <v>2056</v>
      </c>
      <c r="D90" s="4" cm="1">
        <f t="array" ref="D90">INDEX(GMW!$A$2:$NF$150,MATCH(1,(GMW!$NE$2:$NE$150=D$3)*(GMW!$ND$2:$ND$150=D$4)*(GMW!$NF$2:$NF$150=D$1),0),$C90-1966)</f>
        <v>358264</v>
      </c>
      <c r="E90" s="4" cm="1">
        <f t="array" ref="E90">INDEX(GMW!$A$2:$NF$150,MATCH(1,(GMW!$NE$2:$NE$150=E$3)*(GMW!$ND$2:$ND$150=E$4)*(GMW!$NF$2:$NF$150=E$1),0),$C90-1966)</f>
        <v>64.666659999999993</v>
      </c>
      <c r="F90" s="4" cm="1">
        <f t="array" ref="F90">INDEX(GMW!$A$2:$NF$150,MATCH(1,(GMW!$NE$2:$NE$150=F$3)*(GMW!$ND$2:$ND$150=F$4)*(GMW!$NF$2:$NF$150=F$1),0),$C90-1966)</f>
        <v>73485</v>
      </c>
      <c r="G90" s="4" cm="1">
        <f t="array" ref="G90">INDEX(GMW!$A$2:$NF$150,MATCH(1,(GMW!$NE$2:$NE$150=G$3)*(GMW!$ND$2:$ND$150=G$4)*(GMW!$NF$2:$NF$150=G$1),0),$C90-1966)</f>
        <v>26150</v>
      </c>
      <c r="H90" s="4" cm="1">
        <f t="array" ref="H90">INDEX(GMW!$A$2:$NF$150,MATCH(1,(GMW!$NE$2:$NE$150=H$3)*(GMW!$ND$2:$ND$150=H$4)*(GMW!$NF$2:$NF$150=H$1),0),$C90-1966)</f>
        <v>69458</v>
      </c>
      <c r="I90" s="4" cm="1">
        <f t="array" ref="I90">INDEX(GMW!$A$2:$NF$150,MATCH(1,(GMW!$NE$2:$NE$150=I$3)*(GMW!$ND$2:$ND$150=I$4)*(GMW!$NF$2:$NF$150=I$1),0),$C90-1966)</f>
        <v>34200.480000000003</v>
      </c>
      <c r="J90" s="4" cm="1">
        <f t="array" ref="J90">INDEX(GMW!$A$2:$NF$150,MATCH(1,(GMW!$NE$2:$NE$150=J$3)*(GMW!$ND$2:$ND$150=J$4)*(GMW!$NF$2:$NF$150=J$1),0),$C90-1966)</f>
        <v>65142</v>
      </c>
      <c r="K90" s="4" cm="1">
        <f t="array" ref="K90">INDEX(GMW!$A$2:$NF$150,MATCH(1,(GMW!$NE$2:$NE$150=K$3)*(GMW!$ND$2:$ND$150=K$4)*(GMW!$NF$2:$NF$150=K$1),0),$C90-1966)</f>
        <v>25779.14</v>
      </c>
      <c r="L90" s="4" cm="1">
        <f t="array" ref="L90">INDEX(GMW!$A$2:$NF$150,MATCH(1,(GMW!$NE$2:$NE$150=L$3)*(GMW!$ND$2:$ND$150=L$4)*(GMW!$NF$2:$NF$150=L$1),0),$C90-1966)</f>
        <v>364708.6</v>
      </c>
      <c r="M90" s="4" cm="1">
        <f t="array" ref="M90">INDEX(GMW!$A$2:$NF$150,MATCH(1,(GMW!$NE$2:$NE$150=M$3)*(GMW!$ND$2:$ND$150=M$4)*(GMW!$NF$2:$NF$150=M$1),0),$C90-1966)</f>
        <v>25588.28</v>
      </c>
      <c r="N90" s="4" cm="1">
        <f t="array" ref="N90">INDEX(GMW!$A$2:$NF$150,MATCH(1,(GMW!$NE$2:$NE$150=N$3)*(GMW!$ND$2:$ND$150=N$4)*(GMW!$NF$2:$NF$150=N$1),0),$C90-1966)</f>
        <v>33</v>
      </c>
      <c r="O90" s="4" cm="1">
        <f t="array" ref="O90">INDEX(GMW!$A$2:$NF$150,MATCH(1,(GMW!$NE$2:$NE$150=O$3)*(GMW!$ND$2:$ND$150=O$4)*(GMW!$NF$2:$NF$150=O$1),0),$C90-1966)</f>
        <v>358513.9</v>
      </c>
      <c r="P90" s="4" cm="1">
        <f t="array" ref="P90">INDEX(GMW!$A$2:$NF$150,MATCH(1,(GMW!$NE$2:$NE$150=P$3)*(GMW!$ND$2:$ND$150=P$4)*(GMW!$NF$2:$NF$150=P$1),0),$C90-1966)</f>
        <v>37374.86</v>
      </c>
      <c r="Q90" s="4" cm="1">
        <f t="array" ref="Q90">INDEX(GMW!$A$2:$NF$150,MATCH(1,(GMW!$NE$2:$NE$150=Q$3)*(GMW!$ND$2:$ND$150=Q$4)*(GMW!$NF$2:$NF$150=Q$1),0),$C90-1966)</f>
        <v>1681054</v>
      </c>
      <c r="R90" s="4" cm="1">
        <f t="array" ref="R90">INDEX(GMW!$A$2:$NF$150,MATCH(1,(GMW!$NE$2:$NE$150=R$3)*(GMW!$ND$2:$ND$150=R$4)*(GMW!$NF$2:$NF$150=R$1),0),$C90-1966)</f>
        <v>-1.7572019999999999</v>
      </c>
      <c r="S90" s="4" cm="1">
        <f t="array" ref="S90">INDEX(GMW!$A$2:$NF$150,MATCH(1,(GMW!$NE$2:$NE$150=S$3)*(GMW!$ND$2:$ND$150=S$4)*(GMW!$NF$2:$NF$150=S$1),0),$C90-1966)</f>
        <v>358264</v>
      </c>
      <c r="T90" s="4" cm="1">
        <f t="array" ref="T90">INDEX(GMW!$A$2:$NF$150,MATCH(1,(GMW!$NE$2:$NE$150=T$3)*(GMW!$ND$2:$ND$150=T$4)*(GMW!$NF$2:$NF$150=T$1),0),$C90-1966)</f>
        <v>64.666659999999993</v>
      </c>
      <c r="U90" s="4" cm="1">
        <f t="array" ref="U90">INDEX(GMW!$A$2:$NF$150,MATCH(1,(GMW!$NE$2:$NE$150=U$3)*(GMW!$ND$2:$ND$150=U$4)*(GMW!$NF$2:$NF$150=U$1),0),$C90-1966)</f>
        <v>73485</v>
      </c>
      <c r="V90" s="4" cm="1">
        <f t="array" ref="V90">INDEX(GMW!$A$2:$NF$150,MATCH(1,(GMW!$NE$2:$NE$150=V$3)*(GMW!$ND$2:$ND$150=V$4)*(GMW!$NF$2:$NF$150=V$1),0),$C90-1966)</f>
        <v>26150</v>
      </c>
      <c r="W90" s="4" cm="1">
        <f t="array" ref="W90">INDEX(GMW!$A$2:$NF$150,MATCH(1,(GMW!$NE$2:$NE$150=W$3)*(GMW!$ND$2:$ND$150=W$4)*(GMW!$NF$2:$NF$150=W$1),0),$C90-1966)</f>
        <v>69458</v>
      </c>
      <c r="X90" s="4" cm="1">
        <f t="array" ref="X90">INDEX(GMW!$A$2:$NF$150,MATCH(1,(GMW!$NE$2:$NE$150=X$3)*(GMW!$ND$2:$ND$150=X$4)*(GMW!$NF$2:$NF$150=X$1),0),$C90-1966)</f>
        <v>34200.480000000003</v>
      </c>
      <c r="Y90" s="4" cm="1">
        <f t="array" ref="Y90">INDEX(GMW!$A$2:$NF$150,MATCH(1,(GMW!$NE$2:$NE$150=Y$3)*(GMW!$ND$2:$ND$150=Y$4)*(GMW!$NF$2:$NF$150=Y$1),0),$C90-1966)</f>
        <v>65142</v>
      </c>
      <c r="Z90" s="4" cm="1">
        <f t="array" ref="Z90">INDEX(GMW!$A$2:$NF$150,MATCH(1,(GMW!$NE$2:$NE$150=Z$3)*(GMW!$ND$2:$ND$150=Z$4)*(GMW!$NF$2:$NF$150=Z$1),0),$C90-1966)</f>
        <v>25779.14</v>
      </c>
      <c r="AA90" s="4" cm="1">
        <f t="array" ref="AA90">INDEX(GMW!$A$2:$NF$150,MATCH(1,(GMW!$NE$2:$NE$150=AA$3)*(GMW!$ND$2:$ND$150=AA$4)*(GMW!$NF$2:$NF$150=AA$1),0),$C90-1966)</f>
        <v>364708.6</v>
      </c>
      <c r="AB90" s="4" cm="1">
        <f t="array" ref="AB90">INDEX(GMW!$A$2:$NF$150,MATCH(1,(GMW!$NE$2:$NE$150=AB$3)*(GMW!$ND$2:$ND$150=AB$4)*(GMW!$NF$2:$NF$150=AB$1),0),$C90-1966)</f>
        <v>25588.28</v>
      </c>
      <c r="AC90" s="4" cm="1">
        <f t="array" ref="AC90">INDEX(GMW!$A$2:$NF$150,MATCH(1,(GMW!$NE$2:$NE$150=AC$3)*(GMW!$ND$2:$ND$150=AC$4)*(GMW!$NF$2:$NF$150=AC$1),0),$C90-1966)</f>
        <v>33</v>
      </c>
      <c r="AD90" s="4" cm="1">
        <f t="array" ref="AD90">INDEX(GMW!$A$2:$NF$150,MATCH(1,(GMW!$NE$2:$NE$150=AD$3)*(GMW!$ND$2:$ND$150=AD$4)*(GMW!$NF$2:$NF$150=AD$1),0),$C90-1966)</f>
        <v>358513.9</v>
      </c>
      <c r="AE90" s="4" cm="1">
        <f t="array" ref="AE90">INDEX(GMW!$A$2:$NF$150,MATCH(1,(GMW!$NE$2:$NE$150=AE$3)*(GMW!$ND$2:$ND$150=AE$4)*(GMW!$NF$2:$NF$150=AE$1),0),$C90-1966)</f>
        <v>37374.86</v>
      </c>
      <c r="AF90" s="4" cm="1">
        <f t="array" ref="AF90">INDEX(GMW!$A$2:$NF$150,MATCH(1,(GMW!$NE$2:$NE$150=AF$3)*(GMW!$ND$2:$ND$150=AF$4)*(GMW!$NF$2:$NF$150=AF$1),0),$C90-1966)</f>
        <v>1681054</v>
      </c>
      <c r="AG90" s="4" cm="1">
        <f t="array" ref="AG90">INDEX(GMW!$A$2:$NF$150,MATCH(1,(GMW!$NE$2:$NE$150=AG$3)*(GMW!$ND$2:$ND$150=AG$4)*(GMW!$NF$2:$NF$150=AG$1),0),$C90-1966)</f>
        <v>-1.7572019999999999</v>
      </c>
      <c r="AH90" s="4" cm="1">
        <f t="array" ref="AH90">INDEX(GMW!$A$2:$NF$150,MATCH(1,(GMW!$NE$2:$NE$150=AH$3)*(GMW!$ND$2:$ND$150=AH$4)*(GMW!$NF$2:$NF$150=AH$1),0),$C90-1966)</f>
        <v>358264</v>
      </c>
      <c r="AI90" s="4" cm="1">
        <f t="array" ref="AI90">INDEX(GMW!$A$2:$NF$150,MATCH(1,(GMW!$NE$2:$NE$150=AI$3)*(GMW!$ND$2:$ND$150=AI$4)*(GMW!$NF$2:$NF$150=AI$1),0),$C90-1966)</f>
        <v>64.666659999999993</v>
      </c>
      <c r="AJ90" s="4" cm="1">
        <f t="array" ref="AJ90">INDEX(GMW!$A$2:$NF$150,MATCH(1,(GMW!$NE$2:$NE$150=AJ$3)*(GMW!$ND$2:$ND$150=AJ$4)*(GMW!$NF$2:$NF$150=AJ$1),0),$C90-1966)</f>
        <v>73485</v>
      </c>
      <c r="AK90" s="4" cm="1">
        <f t="array" ref="AK90">INDEX(GMW!$A$2:$NF$150,MATCH(1,(GMW!$NE$2:$NE$150=AK$3)*(GMW!$ND$2:$ND$150=AK$4)*(GMW!$NF$2:$NF$150=AK$1),0),$C90-1966)</f>
        <v>26150</v>
      </c>
      <c r="AL90" s="4" cm="1">
        <f t="array" ref="AL90">INDEX(GMW!$A$2:$NF$150,MATCH(1,(GMW!$NE$2:$NE$150=AL$3)*(GMW!$ND$2:$ND$150=AL$4)*(GMW!$NF$2:$NF$150=AL$1),0),$C90-1966)</f>
        <v>69458</v>
      </c>
      <c r="AM90" s="4" cm="1">
        <f t="array" ref="AM90">INDEX(GMW!$A$2:$NF$150,MATCH(1,(GMW!$NE$2:$NE$150=AM$3)*(GMW!$ND$2:$ND$150=AM$4)*(GMW!$NF$2:$NF$150=AM$1),0),$C90-1966)</f>
        <v>34200.480000000003</v>
      </c>
      <c r="AN90" s="4" cm="1">
        <f t="array" ref="AN90">INDEX(GMW!$A$2:$NF$150,MATCH(1,(GMW!$NE$2:$NE$150=AN$3)*(GMW!$ND$2:$ND$150=AN$4)*(GMW!$NF$2:$NF$150=AN$1),0),$C90-1966)</f>
        <v>65142</v>
      </c>
      <c r="AO90" s="4" cm="1">
        <f t="array" ref="AO90">INDEX(GMW!$A$2:$NF$150,MATCH(1,(GMW!$NE$2:$NE$150=AO$3)*(GMW!$ND$2:$ND$150=AO$4)*(GMW!$NF$2:$NF$150=AO$1),0),$C90-1966)</f>
        <v>25779.14</v>
      </c>
      <c r="AP90" s="4" cm="1">
        <f t="array" ref="AP90">INDEX(GMW!$A$2:$NF$150,MATCH(1,(GMW!$NE$2:$NE$150=AP$3)*(GMW!$ND$2:$ND$150=AP$4)*(GMW!$NF$2:$NF$150=AP$1),0),$C90-1966)</f>
        <v>364708.6</v>
      </c>
      <c r="AQ90" s="4" cm="1">
        <f t="array" ref="AQ90">INDEX(GMW!$A$2:$NF$150,MATCH(1,(GMW!$NE$2:$NE$150=AQ$3)*(GMW!$ND$2:$ND$150=AQ$4)*(GMW!$NF$2:$NF$150=AQ$1),0),$C90-1966)</f>
        <v>25588.28</v>
      </c>
      <c r="AR90" s="4" cm="1">
        <f t="array" ref="AR90">INDEX(GMW!$A$2:$NF$150,MATCH(1,(GMW!$NE$2:$NE$150=AR$3)*(GMW!$ND$2:$ND$150=AR$4)*(GMW!$NF$2:$NF$150=AR$1),0),$C90-1966)</f>
        <v>33</v>
      </c>
      <c r="AS90" s="4" cm="1">
        <f t="array" ref="AS90">INDEX(GMW!$A$2:$NF$150,MATCH(1,(GMW!$NE$2:$NE$150=AS$3)*(GMW!$ND$2:$ND$150=AS$4)*(GMW!$NF$2:$NF$150=AS$1),0),$C90-1966)</f>
        <v>358513.9</v>
      </c>
      <c r="AT90" s="4" cm="1">
        <f t="array" ref="AT90">INDEX(GMW!$A$2:$NF$150,MATCH(1,(GMW!$NE$2:$NE$150=AT$3)*(GMW!$ND$2:$ND$150=AT$4)*(GMW!$NF$2:$NF$150=AT$1),0),$C90-1966)</f>
        <v>37374.86</v>
      </c>
      <c r="AU90" s="4" cm="1">
        <f t="array" ref="AU90">INDEX(GMW!$A$2:$NF$150,MATCH(1,(GMW!$NE$2:$NE$150=AU$3)*(GMW!$ND$2:$ND$150=AU$4)*(GMW!$NF$2:$NF$150=AU$1),0),$C90-1966)</f>
        <v>1681054</v>
      </c>
      <c r="AV90" s="4" cm="1">
        <f t="array" ref="AV90">INDEX(GMW!$A$2:$NF$150,MATCH(1,(GMW!$NE$2:$NE$150=AV$3)*(GMW!$ND$2:$ND$150=AV$4)*(GMW!$NF$2:$NF$150=AV$1),0),$C90-1966)</f>
        <v>-1.7572019999999999</v>
      </c>
    </row>
    <row r="91" spans="1:48" x14ac:dyDescent="0.25">
      <c r="A91" s="4">
        <v>1994</v>
      </c>
      <c r="B91" s="4">
        <f t="shared" si="6"/>
        <v>1994</v>
      </c>
      <c r="C91" s="4">
        <f t="shared" si="5"/>
        <v>2057</v>
      </c>
      <c r="D91" s="4" cm="1">
        <f t="array" ref="D91">INDEX(GMW!$A$2:$NF$150,MATCH(1,(GMW!$NE$2:$NE$150=D$3)*(GMW!$ND$2:$ND$150=D$4)*(GMW!$NF$2:$NF$150=D$1),0),$C91-1966)</f>
        <v>361793</v>
      </c>
      <c r="E91" s="4" cm="1">
        <f t="array" ref="E91">INDEX(GMW!$A$2:$NF$150,MATCH(1,(GMW!$NE$2:$NE$150=E$3)*(GMW!$ND$2:$ND$150=E$4)*(GMW!$NF$2:$NF$150=E$1),0),$C91-1966)</f>
        <v>64.766670000000005</v>
      </c>
      <c r="F91" s="4" cm="1">
        <f t="array" ref="F91">INDEX(GMW!$A$2:$NF$150,MATCH(1,(GMW!$NE$2:$NE$150=F$3)*(GMW!$ND$2:$ND$150=F$4)*(GMW!$NF$2:$NF$150=F$1),0),$C91-1966)</f>
        <v>76223</v>
      </c>
      <c r="G91" s="4" cm="1">
        <f t="array" ref="G91">INDEX(GMW!$A$2:$NF$150,MATCH(1,(GMW!$NE$2:$NE$150=G$3)*(GMW!$ND$2:$ND$150=G$4)*(GMW!$NF$2:$NF$150=G$1),0),$C91-1966)</f>
        <v>28757.77</v>
      </c>
      <c r="H91" s="4" cm="1">
        <f t="array" ref="H91">INDEX(GMW!$A$2:$NF$150,MATCH(1,(GMW!$NE$2:$NE$150=H$3)*(GMW!$ND$2:$ND$150=H$4)*(GMW!$NF$2:$NF$150=H$1),0),$C91-1966)</f>
        <v>71093</v>
      </c>
      <c r="I91" s="4" cm="1">
        <f t="array" ref="I91">INDEX(GMW!$A$2:$NF$150,MATCH(1,(GMW!$NE$2:$NE$150=I$3)*(GMW!$ND$2:$ND$150=I$4)*(GMW!$NF$2:$NF$150=I$1),0),$C91-1966)</f>
        <v>37147.129999999997</v>
      </c>
      <c r="J91" s="4" cm="1">
        <f t="array" ref="J91">INDEX(GMW!$A$2:$NF$150,MATCH(1,(GMW!$NE$2:$NE$150=J$3)*(GMW!$ND$2:$ND$150=J$4)*(GMW!$NF$2:$NF$150=J$1),0),$C91-1966)</f>
        <v>65927</v>
      </c>
      <c r="K91" s="4" cm="1">
        <f t="array" ref="K91">INDEX(GMW!$A$2:$NF$150,MATCH(1,(GMW!$NE$2:$NE$150=K$3)*(GMW!$ND$2:$ND$150=K$4)*(GMW!$NF$2:$NF$150=K$1),0),$C91-1966)</f>
        <v>26289.18</v>
      </c>
      <c r="L91" s="4" cm="1">
        <f t="array" ref="L91">INDEX(GMW!$A$2:$NF$150,MATCH(1,(GMW!$NE$2:$NE$150=L$3)*(GMW!$ND$2:$ND$150=L$4)*(GMW!$NF$2:$NF$150=L$1),0),$C91-1966)</f>
        <v>367476.4</v>
      </c>
      <c r="M91" s="4" cm="1">
        <f t="array" ref="M91">INDEX(GMW!$A$2:$NF$150,MATCH(1,(GMW!$NE$2:$NE$150=M$3)*(GMW!$ND$2:$ND$150=M$4)*(GMW!$NF$2:$NF$150=M$1),0),$C91-1966)</f>
        <v>25618.31</v>
      </c>
      <c r="N91" s="4" cm="1">
        <f t="array" ref="N91">INDEX(GMW!$A$2:$NF$150,MATCH(1,(GMW!$NE$2:$NE$150=N$3)*(GMW!$ND$2:$ND$150=N$4)*(GMW!$NF$2:$NF$150=N$1),0),$C91-1966)</f>
        <v>33.1</v>
      </c>
      <c r="O91" s="4" cm="1">
        <f t="array" ref="O91">INDEX(GMW!$A$2:$NF$150,MATCH(1,(GMW!$NE$2:$NE$150=O$3)*(GMW!$ND$2:$ND$150=O$4)*(GMW!$NF$2:$NF$150=O$1),0),$C91-1966)</f>
        <v>359335.7</v>
      </c>
      <c r="P91" s="4" cm="1">
        <f t="array" ref="P91">INDEX(GMW!$A$2:$NF$150,MATCH(1,(GMW!$NE$2:$NE$150=P$3)*(GMW!$ND$2:$ND$150=P$4)*(GMW!$NF$2:$NF$150=P$1),0),$C91-1966)</f>
        <v>37395.42</v>
      </c>
      <c r="Q91" s="4" cm="1">
        <f t="array" ref="Q91">INDEX(GMW!$A$2:$NF$150,MATCH(1,(GMW!$NE$2:$NE$150=Q$3)*(GMW!$ND$2:$ND$150=Q$4)*(GMW!$NF$2:$NF$150=Q$1),0),$C91-1966)</f>
        <v>1690294</v>
      </c>
      <c r="R91" s="4" cm="1">
        <f t="array" ref="R91">INDEX(GMW!$A$2:$NF$150,MATCH(1,(GMW!$NE$2:$NE$150=R$3)*(GMW!$ND$2:$ND$150=R$4)*(GMW!$NF$2:$NF$150=R$1),0),$C91-1966)</f>
        <v>-1.7545120000000001</v>
      </c>
      <c r="S91" s="4" cm="1">
        <f t="array" ref="S91">INDEX(GMW!$A$2:$NF$150,MATCH(1,(GMW!$NE$2:$NE$150=S$3)*(GMW!$ND$2:$ND$150=S$4)*(GMW!$NF$2:$NF$150=S$1),0),$C91-1966)</f>
        <v>361793</v>
      </c>
      <c r="T91" s="4" cm="1">
        <f t="array" ref="T91">INDEX(GMW!$A$2:$NF$150,MATCH(1,(GMW!$NE$2:$NE$150=T$3)*(GMW!$ND$2:$ND$150=T$4)*(GMW!$NF$2:$NF$150=T$1),0),$C91-1966)</f>
        <v>64.766670000000005</v>
      </c>
      <c r="U91" s="4" cm="1">
        <f t="array" ref="U91">INDEX(GMW!$A$2:$NF$150,MATCH(1,(GMW!$NE$2:$NE$150=U$3)*(GMW!$ND$2:$ND$150=U$4)*(GMW!$NF$2:$NF$150=U$1),0),$C91-1966)</f>
        <v>76223</v>
      </c>
      <c r="V91" s="4" cm="1">
        <f t="array" ref="V91">INDEX(GMW!$A$2:$NF$150,MATCH(1,(GMW!$NE$2:$NE$150=V$3)*(GMW!$ND$2:$ND$150=V$4)*(GMW!$NF$2:$NF$150=V$1),0),$C91-1966)</f>
        <v>28757.77</v>
      </c>
      <c r="W91" s="4" cm="1">
        <f t="array" ref="W91">INDEX(GMW!$A$2:$NF$150,MATCH(1,(GMW!$NE$2:$NE$150=W$3)*(GMW!$ND$2:$ND$150=W$4)*(GMW!$NF$2:$NF$150=W$1),0),$C91-1966)</f>
        <v>71093</v>
      </c>
      <c r="X91" s="4" cm="1">
        <f t="array" ref="X91">INDEX(GMW!$A$2:$NF$150,MATCH(1,(GMW!$NE$2:$NE$150=X$3)*(GMW!$ND$2:$ND$150=X$4)*(GMW!$NF$2:$NF$150=X$1),0),$C91-1966)</f>
        <v>37147.129999999997</v>
      </c>
      <c r="Y91" s="4" cm="1">
        <f t="array" ref="Y91">INDEX(GMW!$A$2:$NF$150,MATCH(1,(GMW!$NE$2:$NE$150=Y$3)*(GMW!$ND$2:$ND$150=Y$4)*(GMW!$NF$2:$NF$150=Y$1),0),$C91-1966)</f>
        <v>65927</v>
      </c>
      <c r="Z91" s="4" cm="1">
        <f t="array" ref="Z91">INDEX(GMW!$A$2:$NF$150,MATCH(1,(GMW!$NE$2:$NE$150=Z$3)*(GMW!$ND$2:$ND$150=Z$4)*(GMW!$NF$2:$NF$150=Z$1),0),$C91-1966)</f>
        <v>26289.18</v>
      </c>
      <c r="AA91" s="4" cm="1">
        <f t="array" ref="AA91">INDEX(GMW!$A$2:$NF$150,MATCH(1,(GMW!$NE$2:$NE$150=AA$3)*(GMW!$ND$2:$ND$150=AA$4)*(GMW!$NF$2:$NF$150=AA$1),0),$C91-1966)</f>
        <v>367476.4</v>
      </c>
      <c r="AB91" s="4" cm="1">
        <f t="array" ref="AB91">INDEX(GMW!$A$2:$NF$150,MATCH(1,(GMW!$NE$2:$NE$150=AB$3)*(GMW!$ND$2:$ND$150=AB$4)*(GMW!$NF$2:$NF$150=AB$1),0),$C91-1966)</f>
        <v>25618.31</v>
      </c>
      <c r="AC91" s="4" cm="1">
        <f t="array" ref="AC91">INDEX(GMW!$A$2:$NF$150,MATCH(1,(GMW!$NE$2:$NE$150=AC$3)*(GMW!$ND$2:$ND$150=AC$4)*(GMW!$NF$2:$NF$150=AC$1),0),$C91-1966)</f>
        <v>33.1</v>
      </c>
      <c r="AD91" s="4" cm="1">
        <f t="array" ref="AD91">INDEX(GMW!$A$2:$NF$150,MATCH(1,(GMW!$NE$2:$NE$150=AD$3)*(GMW!$ND$2:$ND$150=AD$4)*(GMW!$NF$2:$NF$150=AD$1),0),$C91-1966)</f>
        <v>359335.7</v>
      </c>
      <c r="AE91" s="4" cm="1">
        <f t="array" ref="AE91">INDEX(GMW!$A$2:$NF$150,MATCH(1,(GMW!$NE$2:$NE$150=AE$3)*(GMW!$ND$2:$ND$150=AE$4)*(GMW!$NF$2:$NF$150=AE$1),0),$C91-1966)</f>
        <v>37395.42</v>
      </c>
      <c r="AF91" s="4" cm="1">
        <f t="array" ref="AF91">INDEX(GMW!$A$2:$NF$150,MATCH(1,(GMW!$NE$2:$NE$150=AF$3)*(GMW!$ND$2:$ND$150=AF$4)*(GMW!$NF$2:$NF$150=AF$1),0),$C91-1966)</f>
        <v>1690294</v>
      </c>
      <c r="AG91" s="4" cm="1">
        <f t="array" ref="AG91">INDEX(GMW!$A$2:$NF$150,MATCH(1,(GMW!$NE$2:$NE$150=AG$3)*(GMW!$ND$2:$ND$150=AG$4)*(GMW!$NF$2:$NF$150=AG$1),0),$C91-1966)</f>
        <v>-1.7545120000000001</v>
      </c>
      <c r="AH91" s="4" cm="1">
        <f t="array" ref="AH91">INDEX(GMW!$A$2:$NF$150,MATCH(1,(GMW!$NE$2:$NE$150=AH$3)*(GMW!$ND$2:$ND$150=AH$4)*(GMW!$NF$2:$NF$150=AH$1),0),$C91-1966)</f>
        <v>361793</v>
      </c>
      <c r="AI91" s="4" cm="1">
        <f t="array" ref="AI91">INDEX(GMW!$A$2:$NF$150,MATCH(1,(GMW!$NE$2:$NE$150=AI$3)*(GMW!$ND$2:$ND$150=AI$4)*(GMW!$NF$2:$NF$150=AI$1),0),$C91-1966)</f>
        <v>64.766670000000005</v>
      </c>
      <c r="AJ91" s="4" cm="1">
        <f t="array" ref="AJ91">INDEX(GMW!$A$2:$NF$150,MATCH(1,(GMW!$NE$2:$NE$150=AJ$3)*(GMW!$ND$2:$ND$150=AJ$4)*(GMW!$NF$2:$NF$150=AJ$1),0),$C91-1966)</f>
        <v>76223</v>
      </c>
      <c r="AK91" s="4" cm="1">
        <f t="array" ref="AK91">INDEX(GMW!$A$2:$NF$150,MATCH(1,(GMW!$NE$2:$NE$150=AK$3)*(GMW!$ND$2:$ND$150=AK$4)*(GMW!$NF$2:$NF$150=AK$1),0),$C91-1966)</f>
        <v>28757.77</v>
      </c>
      <c r="AL91" s="4" cm="1">
        <f t="array" ref="AL91">INDEX(GMW!$A$2:$NF$150,MATCH(1,(GMW!$NE$2:$NE$150=AL$3)*(GMW!$ND$2:$ND$150=AL$4)*(GMW!$NF$2:$NF$150=AL$1),0),$C91-1966)</f>
        <v>71093</v>
      </c>
      <c r="AM91" s="4" cm="1">
        <f t="array" ref="AM91">INDEX(GMW!$A$2:$NF$150,MATCH(1,(GMW!$NE$2:$NE$150=AM$3)*(GMW!$ND$2:$ND$150=AM$4)*(GMW!$NF$2:$NF$150=AM$1),0),$C91-1966)</f>
        <v>37147.129999999997</v>
      </c>
      <c r="AN91" s="4" cm="1">
        <f t="array" ref="AN91">INDEX(GMW!$A$2:$NF$150,MATCH(1,(GMW!$NE$2:$NE$150=AN$3)*(GMW!$ND$2:$ND$150=AN$4)*(GMW!$NF$2:$NF$150=AN$1),0),$C91-1966)</f>
        <v>65927</v>
      </c>
      <c r="AO91" s="4" cm="1">
        <f t="array" ref="AO91">INDEX(GMW!$A$2:$NF$150,MATCH(1,(GMW!$NE$2:$NE$150=AO$3)*(GMW!$ND$2:$ND$150=AO$4)*(GMW!$NF$2:$NF$150=AO$1),0),$C91-1966)</f>
        <v>26289.18</v>
      </c>
      <c r="AP91" s="4" cm="1">
        <f t="array" ref="AP91">INDEX(GMW!$A$2:$NF$150,MATCH(1,(GMW!$NE$2:$NE$150=AP$3)*(GMW!$ND$2:$ND$150=AP$4)*(GMW!$NF$2:$NF$150=AP$1),0),$C91-1966)</f>
        <v>367476.4</v>
      </c>
      <c r="AQ91" s="4" cm="1">
        <f t="array" ref="AQ91">INDEX(GMW!$A$2:$NF$150,MATCH(1,(GMW!$NE$2:$NE$150=AQ$3)*(GMW!$ND$2:$ND$150=AQ$4)*(GMW!$NF$2:$NF$150=AQ$1),0),$C91-1966)</f>
        <v>25618.31</v>
      </c>
      <c r="AR91" s="4" cm="1">
        <f t="array" ref="AR91">INDEX(GMW!$A$2:$NF$150,MATCH(1,(GMW!$NE$2:$NE$150=AR$3)*(GMW!$ND$2:$ND$150=AR$4)*(GMW!$NF$2:$NF$150=AR$1),0),$C91-1966)</f>
        <v>33.1</v>
      </c>
      <c r="AS91" s="4" cm="1">
        <f t="array" ref="AS91">INDEX(GMW!$A$2:$NF$150,MATCH(1,(GMW!$NE$2:$NE$150=AS$3)*(GMW!$ND$2:$ND$150=AS$4)*(GMW!$NF$2:$NF$150=AS$1),0),$C91-1966)</f>
        <v>359335.7</v>
      </c>
      <c r="AT91" s="4" cm="1">
        <f t="array" ref="AT91">INDEX(GMW!$A$2:$NF$150,MATCH(1,(GMW!$NE$2:$NE$150=AT$3)*(GMW!$ND$2:$ND$150=AT$4)*(GMW!$NF$2:$NF$150=AT$1),0),$C91-1966)</f>
        <v>37395.42</v>
      </c>
      <c r="AU91" s="4" cm="1">
        <f t="array" ref="AU91">INDEX(GMW!$A$2:$NF$150,MATCH(1,(GMW!$NE$2:$NE$150=AU$3)*(GMW!$ND$2:$ND$150=AU$4)*(GMW!$NF$2:$NF$150=AU$1),0),$C91-1966)</f>
        <v>1690294</v>
      </c>
      <c r="AV91" s="4" cm="1">
        <f t="array" ref="AV91">INDEX(GMW!$A$2:$NF$150,MATCH(1,(GMW!$NE$2:$NE$150=AV$3)*(GMW!$ND$2:$ND$150=AV$4)*(GMW!$NF$2:$NF$150=AV$1),0),$C91-1966)</f>
        <v>-1.7545120000000001</v>
      </c>
    </row>
    <row r="92" spans="1:48" x14ac:dyDescent="0.25">
      <c r="B92" s="4">
        <f t="shared" si="6"/>
        <v>1994</v>
      </c>
      <c r="C92" s="4">
        <f t="shared" si="5"/>
        <v>2058</v>
      </c>
      <c r="D92" s="4" cm="1">
        <f t="array" ref="D92">INDEX(GMW!$A$2:$NF$150,MATCH(1,(GMW!$NE$2:$NE$150=D$3)*(GMW!$ND$2:$ND$150=D$4)*(GMW!$NF$2:$NF$150=D$1),0),$C92-1966)</f>
        <v>365109</v>
      </c>
      <c r="E92" s="4" cm="1">
        <f t="array" ref="E92">INDEX(GMW!$A$2:$NF$150,MATCH(1,(GMW!$NE$2:$NE$150=E$3)*(GMW!$ND$2:$ND$150=E$4)*(GMW!$NF$2:$NF$150=E$1),0),$C92-1966)</f>
        <v>65.7</v>
      </c>
      <c r="F92" s="4" cm="1">
        <f t="array" ref="F92">INDEX(GMW!$A$2:$NF$150,MATCH(1,(GMW!$NE$2:$NE$150=F$3)*(GMW!$ND$2:$ND$150=F$4)*(GMW!$NF$2:$NF$150=F$1),0),$C92-1966)</f>
        <v>76462</v>
      </c>
      <c r="G92" s="4" cm="1">
        <f t="array" ref="G92">INDEX(GMW!$A$2:$NF$150,MATCH(1,(GMW!$NE$2:$NE$150=G$3)*(GMW!$ND$2:$ND$150=G$4)*(GMW!$NF$2:$NF$150=G$1),0),$C92-1966)</f>
        <v>28745.7</v>
      </c>
      <c r="H92" s="4" cm="1">
        <f t="array" ref="H92">INDEX(GMW!$A$2:$NF$150,MATCH(1,(GMW!$NE$2:$NE$150=H$3)*(GMW!$ND$2:$ND$150=H$4)*(GMW!$NF$2:$NF$150=H$1),0),$C92-1966)</f>
        <v>71729</v>
      </c>
      <c r="I92" s="4" cm="1">
        <f t="array" ref="I92">INDEX(GMW!$A$2:$NF$150,MATCH(1,(GMW!$NE$2:$NE$150=I$3)*(GMW!$ND$2:$ND$150=I$4)*(GMW!$NF$2:$NF$150=I$1),0),$C92-1966)</f>
        <v>37454.129999999997</v>
      </c>
      <c r="J92" s="4" cm="1">
        <f t="array" ref="J92">INDEX(GMW!$A$2:$NF$150,MATCH(1,(GMW!$NE$2:$NE$150=J$3)*(GMW!$ND$2:$ND$150=J$4)*(GMW!$NF$2:$NF$150=J$1),0),$C92-1966)</f>
        <v>64605</v>
      </c>
      <c r="K92" s="4" cm="1">
        <f t="array" ref="K92">INDEX(GMW!$A$2:$NF$150,MATCH(1,(GMW!$NE$2:$NE$150=K$3)*(GMW!$ND$2:$ND$150=K$4)*(GMW!$NF$2:$NF$150=K$1),0),$C92-1966)</f>
        <v>26165.29</v>
      </c>
      <c r="L92" s="4" cm="1">
        <f t="array" ref="L92">INDEX(GMW!$A$2:$NF$150,MATCH(1,(GMW!$NE$2:$NE$150=L$3)*(GMW!$ND$2:$ND$150=L$4)*(GMW!$NF$2:$NF$150=L$1),0),$C92-1966)</f>
        <v>369402.9</v>
      </c>
      <c r="M92" s="4" cm="1">
        <f t="array" ref="M92">INDEX(GMW!$A$2:$NF$150,MATCH(1,(GMW!$NE$2:$NE$150=M$3)*(GMW!$ND$2:$ND$150=M$4)*(GMW!$NF$2:$NF$150=M$1),0),$C92-1966)</f>
        <v>25621.98</v>
      </c>
      <c r="N92" s="4" cm="1">
        <f t="array" ref="N92">INDEX(GMW!$A$2:$NF$150,MATCH(1,(GMW!$NE$2:$NE$150=N$3)*(GMW!$ND$2:$ND$150=N$4)*(GMW!$NF$2:$NF$150=N$1),0),$C92-1966)</f>
        <v>33.1</v>
      </c>
      <c r="O92" s="4" cm="1">
        <f t="array" ref="O92">INDEX(GMW!$A$2:$NF$150,MATCH(1,(GMW!$NE$2:$NE$150=O$3)*(GMW!$ND$2:$ND$150=O$4)*(GMW!$NF$2:$NF$150=O$1),0),$C92-1966)</f>
        <v>360170.3</v>
      </c>
      <c r="P92" s="4" cm="1">
        <f t="array" ref="P92">INDEX(GMW!$A$2:$NF$150,MATCH(1,(GMW!$NE$2:$NE$150=P$3)*(GMW!$ND$2:$ND$150=P$4)*(GMW!$NF$2:$NF$150=P$1),0),$C92-1966)</f>
        <v>37415.980000000003</v>
      </c>
      <c r="Q92" s="4" cm="1">
        <f t="array" ref="Q92">INDEX(GMW!$A$2:$NF$150,MATCH(1,(GMW!$NE$2:$NE$150=Q$3)*(GMW!$ND$2:$ND$150=Q$4)*(GMW!$NF$2:$NF$150=Q$1),0),$C92-1966)</f>
        <v>1699535</v>
      </c>
      <c r="R92" s="4" cm="1">
        <f t="array" ref="R92">INDEX(GMW!$A$2:$NF$150,MATCH(1,(GMW!$NE$2:$NE$150=R$3)*(GMW!$ND$2:$ND$150=R$4)*(GMW!$NF$2:$NF$150=R$1),0),$C92-1966)</f>
        <v>-1.7518260000000001</v>
      </c>
      <c r="S92" s="4" cm="1">
        <f t="array" ref="S92">INDEX(GMW!$A$2:$NF$150,MATCH(1,(GMW!$NE$2:$NE$150=S$3)*(GMW!$ND$2:$ND$150=S$4)*(GMW!$NF$2:$NF$150=S$1),0),$C92-1966)</f>
        <v>365109</v>
      </c>
      <c r="T92" s="4" cm="1">
        <f t="array" ref="T92">INDEX(GMW!$A$2:$NF$150,MATCH(1,(GMW!$NE$2:$NE$150=T$3)*(GMW!$ND$2:$ND$150=T$4)*(GMW!$NF$2:$NF$150=T$1),0),$C92-1966)</f>
        <v>65.7</v>
      </c>
      <c r="U92" s="4" cm="1">
        <f t="array" ref="U92">INDEX(GMW!$A$2:$NF$150,MATCH(1,(GMW!$NE$2:$NE$150=U$3)*(GMW!$ND$2:$ND$150=U$4)*(GMW!$NF$2:$NF$150=U$1),0),$C92-1966)</f>
        <v>76462</v>
      </c>
      <c r="V92" s="4" cm="1">
        <f t="array" ref="V92">INDEX(GMW!$A$2:$NF$150,MATCH(1,(GMW!$NE$2:$NE$150=V$3)*(GMW!$ND$2:$ND$150=V$4)*(GMW!$NF$2:$NF$150=V$1),0),$C92-1966)</f>
        <v>28745.7</v>
      </c>
      <c r="W92" s="4" cm="1">
        <f t="array" ref="W92">INDEX(GMW!$A$2:$NF$150,MATCH(1,(GMW!$NE$2:$NE$150=W$3)*(GMW!$ND$2:$ND$150=W$4)*(GMW!$NF$2:$NF$150=W$1),0),$C92-1966)</f>
        <v>71729</v>
      </c>
      <c r="X92" s="4" cm="1">
        <f t="array" ref="X92">INDEX(GMW!$A$2:$NF$150,MATCH(1,(GMW!$NE$2:$NE$150=X$3)*(GMW!$ND$2:$ND$150=X$4)*(GMW!$NF$2:$NF$150=X$1),0),$C92-1966)</f>
        <v>37454.129999999997</v>
      </c>
      <c r="Y92" s="4" cm="1">
        <f t="array" ref="Y92">INDEX(GMW!$A$2:$NF$150,MATCH(1,(GMW!$NE$2:$NE$150=Y$3)*(GMW!$ND$2:$ND$150=Y$4)*(GMW!$NF$2:$NF$150=Y$1),0),$C92-1966)</f>
        <v>64605</v>
      </c>
      <c r="Z92" s="4" cm="1">
        <f t="array" ref="Z92">INDEX(GMW!$A$2:$NF$150,MATCH(1,(GMW!$NE$2:$NE$150=Z$3)*(GMW!$ND$2:$ND$150=Z$4)*(GMW!$NF$2:$NF$150=Z$1),0),$C92-1966)</f>
        <v>26165.29</v>
      </c>
      <c r="AA92" s="4" cm="1">
        <f t="array" ref="AA92">INDEX(GMW!$A$2:$NF$150,MATCH(1,(GMW!$NE$2:$NE$150=AA$3)*(GMW!$ND$2:$ND$150=AA$4)*(GMW!$NF$2:$NF$150=AA$1),0),$C92-1966)</f>
        <v>369402.9</v>
      </c>
      <c r="AB92" s="4" cm="1">
        <f t="array" ref="AB92">INDEX(GMW!$A$2:$NF$150,MATCH(1,(GMW!$NE$2:$NE$150=AB$3)*(GMW!$ND$2:$ND$150=AB$4)*(GMW!$NF$2:$NF$150=AB$1),0),$C92-1966)</f>
        <v>25621.98</v>
      </c>
      <c r="AC92" s="4" cm="1">
        <f t="array" ref="AC92">INDEX(GMW!$A$2:$NF$150,MATCH(1,(GMW!$NE$2:$NE$150=AC$3)*(GMW!$ND$2:$ND$150=AC$4)*(GMW!$NF$2:$NF$150=AC$1),0),$C92-1966)</f>
        <v>33.1</v>
      </c>
      <c r="AD92" s="4" cm="1">
        <f t="array" ref="AD92">INDEX(GMW!$A$2:$NF$150,MATCH(1,(GMW!$NE$2:$NE$150=AD$3)*(GMW!$ND$2:$ND$150=AD$4)*(GMW!$NF$2:$NF$150=AD$1),0),$C92-1966)</f>
        <v>360170.3</v>
      </c>
      <c r="AE92" s="4" cm="1">
        <f t="array" ref="AE92">INDEX(GMW!$A$2:$NF$150,MATCH(1,(GMW!$NE$2:$NE$150=AE$3)*(GMW!$ND$2:$ND$150=AE$4)*(GMW!$NF$2:$NF$150=AE$1),0),$C92-1966)</f>
        <v>37415.980000000003</v>
      </c>
      <c r="AF92" s="4" cm="1">
        <f t="array" ref="AF92">INDEX(GMW!$A$2:$NF$150,MATCH(1,(GMW!$NE$2:$NE$150=AF$3)*(GMW!$ND$2:$ND$150=AF$4)*(GMW!$NF$2:$NF$150=AF$1),0),$C92-1966)</f>
        <v>1699535</v>
      </c>
      <c r="AG92" s="4" cm="1">
        <f t="array" ref="AG92">INDEX(GMW!$A$2:$NF$150,MATCH(1,(GMW!$NE$2:$NE$150=AG$3)*(GMW!$ND$2:$ND$150=AG$4)*(GMW!$NF$2:$NF$150=AG$1),0),$C92-1966)</f>
        <v>-1.7518260000000001</v>
      </c>
      <c r="AH92" s="4" cm="1">
        <f t="array" ref="AH92">INDEX(GMW!$A$2:$NF$150,MATCH(1,(GMW!$NE$2:$NE$150=AH$3)*(GMW!$ND$2:$ND$150=AH$4)*(GMW!$NF$2:$NF$150=AH$1),0),$C92-1966)</f>
        <v>365109</v>
      </c>
      <c r="AI92" s="4" cm="1">
        <f t="array" ref="AI92">INDEX(GMW!$A$2:$NF$150,MATCH(1,(GMW!$NE$2:$NE$150=AI$3)*(GMW!$ND$2:$ND$150=AI$4)*(GMW!$NF$2:$NF$150=AI$1),0),$C92-1966)</f>
        <v>65.7</v>
      </c>
      <c r="AJ92" s="4" cm="1">
        <f t="array" ref="AJ92">INDEX(GMW!$A$2:$NF$150,MATCH(1,(GMW!$NE$2:$NE$150=AJ$3)*(GMW!$ND$2:$ND$150=AJ$4)*(GMW!$NF$2:$NF$150=AJ$1),0),$C92-1966)</f>
        <v>76462</v>
      </c>
      <c r="AK92" s="4" cm="1">
        <f t="array" ref="AK92">INDEX(GMW!$A$2:$NF$150,MATCH(1,(GMW!$NE$2:$NE$150=AK$3)*(GMW!$ND$2:$ND$150=AK$4)*(GMW!$NF$2:$NF$150=AK$1),0),$C92-1966)</f>
        <v>28745.7</v>
      </c>
      <c r="AL92" s="4" cm="1">
        <f t="array" ref="AL92">INDEX(GMW!$A$2:$NF$150,MATCH(1,(GMW!$NE$2:$NE$150=AL$3)*(GMW!$ND$2:$ND$150=AL$4)*(GMW!$NF$2:$NF$150=AL$1),0),$C92-1966)</f>
        <v>71729</v>
      </c>
      <c r="AM92" s="4" cm="1">
        <f t="array" ref="AM92">INDEX(GMW!$A$2:$NF$150,MATCH(1,(GMW!$NE$2:$NE$150=AM$3)*(GMW!$ND$2:$ND$150=AM$4)*(GMW!$NF$2:$NF$150=AM$1),0),$C92-1966)</f>
        <v>37454.129999999997</v>
      </c>
      <c r="AN92" s="4" cm="1">
        <f t="array" ref="AN92">INDEX(GMW!$A$2:$NF$150,MATCH(1,(GMW!$NE$2:$NE$150=AN$3)*(GMW!$ND$2:$ND$150=AN$4)*(GMW!$NF$2:$NF$150=AN$1),0),$C92-1966)</f>
        <v>64605</v>
      </c>
      <c r="AO92" s="4" cm="1">
        <f t="array" ref="AO92">INDEX(GMW!$A$2:$NF$150,MATCH(1,(GMW!$NE$2:$NE$150=AO$3)*(GMW!$ND$2:$ND$150=AO$4)*(GMW!$NF$2:$NF$150=AO$1),0),$C92-1966)</f>
        <v>26165.29</v>
      </c>
      <c r="AP92" s="4" cm="1">
        <f t="array" ref="AP92">INDEX(GMW!$A$2:$NF$150,MATCH(1,(GMW!$NE$2:$NE$150=AP$3)*(GMW!$ND$2:$ND$150=AP$4)*(GMW!$NF$2:$NF$150=AP$1),0),$C92-1966)</f>
        <v>369402.9</v>
      </c>
      <c r="AQ92" s="4" cm="1">
        <f t="array" ref="AQ92">INDEX(GMW!$A$2:$NF$150,MATCH(1,(GMW!$NE$2:$NE$150=AQ$3)*(GMW!$ND$2:$ND$150=AQ$4)*(GMW!$NF$2:$NF$150=AQ$1),0),$C92-1966)</f>
        <v>25621.98</v>
      </c>
      <c r="AR92" s="4" cm="1">
        <f t="array" ref="AR92">INDEX(GMW!$A$2:$NF$150,MATCH(1,(GMW!$NE$2:$NE$150=AR$3)*(GMW!$ND$2:$ND$150=AR$4)*(GMW!$NF$2:$NF$150=AR$1),0),$C92-1966)</f>
        <v>33.1</v>
      </c>
      <c r="AS92" s="4" cm="1">
        <f t="array" ref="AS92">INDEX(GMW!$A$2:$NF$150,MATCH(1,(GMW!$NE$2:$NE$150=AS$3)*(GMW!$ND$2:$ND$150=AS$4)*(GMW!$NF$2:$NF$150=AS$1),0),$C92-1966)</f>
        <v>360170.3</v>
      </c>
      <c r="AT92" s="4" cm="1">
        <f t="array" ref="AT92">INDEX(GMW!$A$2:$NF$150,MATCH(1,(GMW!$NE$2:$NE$150=AT$3)*(GMW!$ND$2:$ND$150=AT$4)*(GMW!$NF$2:$NF$150=AT$1),0),$C92-1966)</f>
        <v>37415.980000000003</v>
      </c>
      <c r="AU92" s="4" cm="1">
        <f t="array" ref="AU92">INDEX(GMW!$A$2:$NF$150,MATCH(1,(GMW!$NE$2:$NE$150=AU$3)*(GMW!$ND$2:$ND$150=AU$4)*(GMW!$NF$2:$NF$150=AU$1),0),$C92-1966)</f>
        <v>1699535</v>
      </c>
      <c r="AV92" s="4" cm="1">
        <f t="array" ref="AV92">INDEX(GMW!$A$2:$NF$150,MATCH(1,(GMW!$NE$2:$NE$150=AV$3)*(GMW!$ND$2:$ND$150=AV$4)*(GMW!$NF$2:$NF$150=AV$1),0),$C92-1966)</f>
        <v>-1.7518260000000001</v>
      </c>
    </row>
    <row r="93" spans="1:48" x14ac:dyDescent="0.25">
      <c r="B93" s="4">
        <f t="shared" si="6"/>
        <v>1994</v>
      </c>
      <c r="C93" s="4">
        <f t="shared" si="5"/>
        <v>2059</v>
      </c>
      <c r="D93" s="4" cm="1">
        <f t="array" ref="D93">INDEX(GMW!$A$2:$NF$150,MATCH(1,(GMW!$NE$2:$NE$150=D$3)*(GMW!$ND$2:$ND$150=D$4)*(GMW!$NF$2:$NF$150=D$1),0),$C93-1966)</f>
        <v>368798</v>
      </c>
      <c r="E93" s="4" cm="1">
        <f t="array" ref="E93">INDEX(GMW!$A$2:$NF$150,MATCH(1,(GMW!$NE$2:$NE$150=E$3)*(GMW!$ND$2:$ND$150=E$4)*(GMW!$NF$2:$NF$150=E$1),0),$C93-1966)</f>
        <v>65.633330000000001</v>
      </c>
      <c r="F93" s="4" cm="1">
        <f t="array" ref="F93">INDEX(GMW!$A$2:$NF$150,MATCH(1,(GMW!$NE$2:$NE$150=F$3)*(GMW!$ND$2:$ND$150=F$4)*(GMW!$NF$2:$NF$150=F$1),0),$C93-1966)</f>
        <v>78722</v>
      </c>
      <c r="G93" s="4" cm="1">
        <f t="array" ref="G93">INDEX(GMW!$A$2:$NF$150,MATCH(1,(GMW!$NE$2:$NE$150=G$3)*(GMW!$ND$2:$ND$150=G$4)*(GMW!$NF$2:$NF$150=G$1),0),$C93-1966)</f>
        <v>29943.23</v>
      </c>
      <c r="H93" s="4" cm="1">
        <f t="array" ref="H93">INDEX(GMW!$A$2:$NF$150,MATCH(1,(GMW!$NE$2:$NE$150=H$3)*(GMW!$ND$2:$ND$150=H$4)*(GMW!$NF$2:$NF$150=H$1),0),$C93-1966)</f>
        <v>71371</v>
      </c>
      <c r="I93" s="4" cm="1">
        <f t="array" ref="I93">INDEX(GMW!$A$2:$NF$150,MATCH(1,(GMW!$NE$2:$NE$150=I$3)*(GMW!$ND$2:$ND$150=I$4)*(GMW!$NF$2:$NF$150=I$1),0),$C93-1966)</f>
        <v>37628.019999999997</v>
      </c>
      <c r="J93" s="4" cm="1">
        <f t="array" ref="J93">INDEX(GMW!$A$2:$NF$150,MATCH(1,(GMW!$NE$2:$NE$150=J$3)*(GMW!$ND$2:$ND$150=J$4)*(GMW!$NF$2:$NF$150=J$1),0),$C93-1966)</f>
        <v>65040</v>
      </c>
      <c r="K93" s="4" cm="1">
        <f t="array" ref="K93">INDEX(GMW!$A$2:$NF$150,MATCH(1,(GMW!$NE$2:$NE$150=K$3)*(GMW!$ND$2:$ND$150=K$4)*(GMW!$NF$2:$NF$150=K$1),0),$C93-1966)</f>
        <v>27072.76</v>
      </c>
      <c r="L93" s="4" cm="1">
        <f t="array" ref="L93">INDEX(GMW!$A$2:$NF$150,MATCH(1,(GMW!$NE$2:$NE$150=L$3)*(GMW!$ND$2:$ND$150=L$4)*(GMW!$NF$2:$NF$150=L$1),0),$C93-1966)</f>
        <v>372359.1</v>
      </c>
      <c r="M93" s="4" cm="1">
        <f t="array" ref="M93">INDEX(GMW!$A$2:$NF$150,MATCH(1,(GMW!$NE$2:$NE$150=M$3)*(GMW!$ND$2:$ND$150=M$4)*(GMW!$NF$2:$NF$150=M$1),0),$C93-1966)</f>
        <v>25660.18</v>
      </c>
      <c r="N93" s="4" cm="1">
        <f t="array" ref="N93">INDEX(GMW!$A$2:$NF$150,MATCH(1,(GMW!$NE$2:$NE$150=N$3)*(GMW!$ND$2:$ND$150=N$4)*(GMW!$NF$2:$NF$150=N$1),0),$C93-1966)</f>
        <v>33.200000000000003</v>
      </c>
      <c r="O93" s="4" cm="1">
        <f t="array" ref="O93">INDEX(GMW!$A$2:$NF$150,MATCH(1,(GMW!$NE$2:$NE$150=O$3)*(GMW!$ND$2:$ND$150=O$4)*(GMW!$NF$2:$NF$150=O$1),0),$C93-1966)</f>
        <v>361006.9</v>
      </c>
      <c r="P93" s="4" cm="1">
        <f t="array" ref="P93">INDEX(GMW!$A$2:$NF$150,MATCH(1,(GMW!$NE$2:$NE$150=P$3)*(GMW!$ND$2:$ND$150=P$4)*(GMW!$NF$2:$NF$150=P$1),0),$C93-1966)</f>
        <v>37446.46</v>
      </c>
      <c r="Q93" s="4" cm="1">
        <f t="array" ref="Q93">INDEX(GMW!$A$2:$NF$150,MATCH(1,(GMW!$NE$2:$NE$150=Q$3)*(GMW!$ND$2:$ND$150=Q$4)*(GMW!$NF$2:$NF$150=Q$1),0),$C93-1966)</f>
        <v>1708775</v>
      </c>
      <c r="R93" s="4" cm="1">
        <f t="array" ref="R93">INDEX(GMW!$A$2:$NF$150,MATCH(1,(GMW!$NE$2:$NE$150=R$3)*(GMW!$ND$2:$ND$150=R$4)*(GMW!$NF$2:$NF$150=R$1),0),$C93-1966)</f>
        <v>-1.749144</v>
      </c>
      <c r="S93" s="4" cm="1">
        <f t="array" ref="S93">INDEX(GMW!$A$2:$NF$150,MATCH(1,(GMW!$NE$2:$NE$150=S$3)*(GMW!$ND$2:$ND$150=S$4)*(GMW!$NF$2:$NF$150=S$1),0),$C93-1966)</f>
        <v>368798</v>
      </c>
      <c r="T93" s="4" cm="1">
        <f t="array" ref="T93">INDEX(GMW!$A$2:$NF$150,MATCH(1,(GMW!$NE$2:$NE$150=T$3)*(GMW!$ND$2:$ND$150=T$4)*(GMW!$NF$2:$NF$150=T$1),0),$C93-1966)</f>
        <v>65.633330000000001</v>
      </c>
      <c r="U93" s="4" cm="1">
        <f t="array" ref="U93">INDEX(GMW!$A$2:$NF$150,MATCH(1,(GMW!$NE$2:$NE$150=U$3)*(GMW!$ND$2:$ND$150=U$4)*(GMW!$NF$2:$NF$150=U$1),0),$C93-1966)</f>
        <v>78722</v>
      </c>
      <c r="V93" s="4" cm="1">
        <f t="array" ref="V93">INDEX(GMW!$A$2:$NF$150,MATCH(1,(GMW!$NE$2:$NE$150=V$3)*(GMW!$ND$2:$ND$150=V$4)*(GMW!$NF$2:$NF$150=V$1),0),$C93-1966)</f>
        <v>29943.23</v>
      </c>
      <c r="W93" s="4" cm="1">
        <f t="array" ref="W93">INDEX(GMW!$A$2:$NF$150,MATCH(1,(GMW!$NE$2:$NE$150=W$3)*(GMW!$ND$2:$ND$150=W$4)*(GMW!$NF$2:$NF$150=W$1),0),$C93-1966)</f>
        <v>71371</v>
      </c>
      <c r="X93" s="4" cm="1">
        <f t="array" ref="X93">INDEX(GMW!$A$2:$NF$150,MATCH(1,(GMW!$NE$2:$NE$150=X$3)*(GMW!$ND$2:$ND$150=X$4)*(GMW!$NF$2:$NF$150=X$1),0),$C93-1966)</f>
        <v>37628.019999999997</v>
      </c>
      <c r="Y93" s="4" cm="1">
        <f t="array" ref="Y93">INDEX(GMW!$A$2:$NF$150,MATCH(1,(GMW!$NE$2:$NE$150=Y$3)*(GMW!$ND$2:$ND$150=Y$4)*(GMW!$NF$2:$NF$150=Y$1),0),$C93-1966)</f>
        <v>65040</v>
      </c>
      <c r="Z93" s="4" cm="1">
        <f t="array" ref="Z93">INDEX(GMW!$A$2:$NF$150,MATCH(1,(GMW!$NE$2:$NE$150=Z$3)*(GMW!$ND$2:$ND$150=Z$4)*(GMW!$NF$2:$NF$150=Z$1),0),$C93-1966)</f>
        <v>27072.76</v>
      </c>
      <c r="AA93" s="4" cm="1">
        <f t="array" ref="AA93">INDEX(GMW!$A$2:$NF$150,MATCH(1,(GMW!$NE$2:$NE$150=AA$3)*(GMW!$ND$2:$ND$150=AA$4)*(GMW!$NF$2:$NF$150=AA$1),0),$C93-1966)</f>
        <v>372359.1</v>
      </c>
      <c r="AB93" s="4" cm="1">
        <f t="array" ref="AB93">INDEX(GMW!$A$2:$NF$150,MATCH(1,(GMW!$NE$2:$NE$150=AB$3)*(GMW!$ND$2:$ND$150=AB$4)*(GMW!$NF$2:$NF$150=AB$1),0),$C93-1966)</f>
        <v>25660.18</v>
      </c>
      <c r="AC93" s="4" cm="1">
        <f t="array" ref="AC93">INDEX(GMW!$A$2:$NF$150,MATCH(1,(GMW!$NE$2:$NE$150=AC$3)*(GMW!$ND$2:$ND$150=AC$4)*(GMW!$NF$2:$NF$150=AC$1),0),$C93-1966)</f>
        <v>33.200000000000003</v>
      </c>
      <c r="AD93" s="4" cm="1">
        <f t="array" ref="AD93">INDEX(GMW!$A$2:$NF$150,MATCH(1,(GMW!$NE$2:$NE$150=AD$3)*(GMW!$ND$2:$ND$150=AD$4)*(GMW!$NF$2:$NF$150=AD$1),0),$C93-1966)</f>
        <v>361006.9</v>
      </c>
      <c r="AE93" s="4" cm="1">
        <f t="array" ref="AE93">INDEX(GMW!$A$2:$NF$150,MATCH(1,(GMW!$NE$2:$NE$150=AE$3)*(GMW!$ND$2:$ND$150=AE$4)*(GMW!$NF$2:$NF$150=AE$1),0),$C93-1966)</f>
        <v>37446.46</v>
      </c>
      <c r="AF93" s="4" cm="1">
        <f t="array" ref="AF93">INDEX(GMW!$A$2:$NF$150,MATCH(1,(GMW!$NE$2:$NE$150=AF$3)*(GMW!$ND$2:$ND$150=AF$4)*(GMW!$NF$2:$NF$150=AF$1),0),$C93-1966)</f>
        <v>1708775</v>
      </c>
      <c r="AG93" s="4" cm="1">
        <f t="array" ref="AG93">INDEX(GMW!$A$2:$NF$150,MATCH(1,(GMW!$NE$2:$NE$150=AG$3)*(GMW!$ND$2:$ND$150=AG$4)*(GMW!$NF$2:$NF$150=AG$1),0),$C93-1966)</f>
        <v>-1.749144</v>
      </c>
      <c r="AH93" s="4" cm="1">
        <f t="array" ref="AH93">INDEX(GMW!$A$2:$NF$150,MATCH(1,(GMW!$NE$2:$NE$150=AH$3)*(GMW!$ND$2:$ND$150=AH$4)*(GMW!$NF$2:$NF$150=AH$1),0),$C93-1966)</f>
        <v>368798</v>
      </c>
      <c r="AI93" s="4" cm="1">
        <f t="array" ref="AI93">INDEX(GMW!$A$2:$NF$150,MATCH(1,(GMW!$NE$2:$NE$150=AI$3)*(GMW!$ND$2:$ND$150=AI$4)*(GMW!$NF$2:$NF$150=AI$1),0),$C93-1966)</f>
        <v>65.633330000000001</v>
      </c>
      <c r="AJ93" s="4" cm="1">
        <f t="array" ref="AJ93">INDEX(GMW!$A$2:$NF$150,MATCH(1,(GMW!$NE$2:$NE$150=AJ$3)*(GMW!$ND$2:$ND$150=AJ$4)*(GMW!$NF$2:$NF$150=AJ$1),0),$C93-1966)</f>
        <v>78722</v>
      </c>
      <c r="AK93" s="4" cm="1">
        <f t="array" ref="AK93">INDEX(GMW!$A$2:$NF$150,MATCH(1,(GMW!$NE$2:$NE$150=AK$3)*(GMW!$ND$2:$ND$150=AK$4)*(GMW!$NF$2:$NF$150=AK$1),0),$C93-1966)</f>
        <v>29943.23</v>
      </c>
      <c r="AL93" s="4" cm="1">
        <f t="array" ref="AL93">INDEX(GMW!$A$2:$NF$150,MATCH(1,(GMW!$NE$2:$NE$150=AL$3)*(GMW!$ND$2:$ND$150=AL$4)*(GMW!$NF$2:$NF$150=AL$1),0),$C93-1966)</f>
        <v>71371</v>
      </c>
      <c r="AM93" s="4" cm="1">
        <f t="array" ref="AM93">INDEX(GMW!$A$2:$NF$150,MATCH(1,(GMW!$NE$2:$NE$150=AM$3)*(GMW!$ND$2:$ND$150=AM$4)*(GMW!$NF$2:$NF$150=AM$1),0),$C93-1966)</f>
        <v>37628.019999999997</v>
      </c>
      <c r="AN93" s="4" cm="1">
        <f t="array" ref="AN93">INDEX(GMW!$A$2:$NF$150,MATCH(1,(GMW!$NE$2:$NE$150=AN$3)*(GMW!$ND$2:$ND$150=AN$4)*(GMW!$NF$2:$NF$150=AN$1),0),$C93-1966)</f>
        <v>65040</v>
      </c>
      <c r="AO93" s="4" cm="1">
        <f t="array" ref="AO93">INDEX(GMW!$A$2:$NF$150,MATCH(1,(GMW!$NE$2:$NE$150=AO$3)*(GMW!$ND$2:$ND$150=AO$4)*(GMW!$NF$2:$NF$150=AO$1),0),$C93-1966)</f>
        <v>27072.76</v>
      </c>
      <c r="AP93" s="4" cm="1">
        <f t="array" ref="AP93">INDEX(GMW!$A$2:$NF$150,MATCH(1,(GMW!$NE$2:$NE$150=AP$3)*(GMW!$ND$2:$ND$150=AP$4)*(GMW!$NF$2:$NF$150=AP$1),0),$C93-1966)</f>
        <v>372359.1</v>
      </c>
      <c r="AQ93" s="4" cm="1">
        <f t="array" ref="AQ93">INDEX(GMW!$A$2:$NF$150,MATCH(1,(GMW!$NE$2:$NE$150=AQ$3)*(GMW!$ND$2:$ND$150=AQ$4)*(GMW!$NF$2:$NF$150=AQ$1),0),$C93-1966)</f>
        <v>25660.18</v>
      </c>
      <c r="AR93" s="4" cm="1">
        <f t="array" ref="AR93">INDEX(GMW!$A$2:$NF$150,MATCH(1,(GMW!$NE$2:$NE$150=AR$3)*(GMW!$ND$2:$ND$150=AR$4)*(GMW!$NF$2:$NF$150=AR$1),0),$C93-1966)</f>
        <v>33.200000000000003</v>
      </c>
      <c r="AS93" s="4" cm="1">
        <f t="array" ref="AS93">INDEX(GMW!$A$2:$NF$150,MATCH(1,(GMW!$NE$2:$NE$150=AS$3)*(GMW!$ND$2:$ND$150=AS$4)*(GMW!$NF$2:$NF$150=AS$1),0),$C93-1966)</f>
        <v>361006.9</v>
      </c>
      <c r="AT93" s="4" cm="1">
        <f t="array" ref="AT93">INDEX(GMW!$A$2:$NF$150,MATCH(1,(GMW!$NE$2:$NE$150=AT$3)*(GMW!$ND$2:$ND$150=AT$4)*(GMW!$NF$2:$NF$150=AT$1),0),$C93-1966)</f>
        <v>37446.46</v>
      </c>
      <c r="AU93" s="4" cm="1">
        <f t="array" ref="AU93">INDEX(GMW!$A$2:$NF$150,MATCH(1,(GMW!$NE$2:$NE$150=AU$3)*(GMW!$ND$2:$ND$150=AU$4)*(GMW!$NF$2:$NF$150=AU$1),0),$C93-1966)</f>
        <v>1708775</v>
      </c>
      <c r="AV93" s="4" cm="1">
        <f t="array" ref="AV93">INDEX(GMW!$A$2:$NF$150,MATCH(1,(GMW!$NE$2:$NE$150=AV$3)*(GMW!$ND$2:$ND$150=AV$4)*(GMW!$NF$2:$NF$150=AV$1),0),$C93-1966)</f>
        <v>-1.749144</v>
      </c>
    </row>
    <row r="94" spans="1:48" x14ac:dyDescent="0.25">
      <c r="B94" s="4">
        <f t="shared" si="6"/>
        <v>1994</v>
      </c>
      <c r="C94" s="4">
        <f t="shared" si="5"/>
        <v>2060</v>
      </c>
      <c r="D94" s="4" cm="1">
        <f t="array" ref="D94">INDEX(GMW!$A$2:$NF$150,MATCH(1,(GMW!$NE$2:$NE$150=D$3)*(GMW!$ND$2:$ND$150=D$4)*(GMW!$NF$2:$NF$150=D$1),0),$C94-1966)</f>
        <v>370401</v>
      </c>
      <c r="E94" s="4" cm="1">
        <f t="array" ref="E94">INDEX(GMW!$A$2:$NF$150,MATCH(1,(GMW!$NE$2:$NE$150=E$3)*(GMW!$ND$2:$ND$150=E$4)*(GMW!$NF$2:$NF$150=E$1),0),$C94-1966)</f>
        <v>65.8</v>
      </c>
      <c r="F94" s="4" cm="1">
        <f t="array" ref="F94">INDEX(GMW!$A$2:$NF$150,MATCH(1,(GMW!$NE$2:$NE$150=F$3)*(GMW!$ND$2:$ND$150=F$4)*(GMW!$NF$2:$NF$150=F$1),0),$C94-1966)</f>
        <v>80741</v>
      </c>
      <c r="G94" s="4" cm="1">
        <f t="array" ref="G94">INDEX(GMW!$A$2:$NF$150,MATCH(1,(GMW!$NE$2:$NE$150=G$3)*(GMW!$ND$2:$ND$150=G$4)*(GMW!$NF$2:$NF$150=G$1),0),$C94-1966)</f>
        <v>31436.17</v>
      </c>
      <c r="H94" s="4" cm="1">
        <f t="array" ref="H94">INDEX(GMW!$A$2:$NF$150,MATCH(1,(GMW!$NE$2:$NE$150=H$3)*(GMW!$ND$2:$ND$150=H$4)*(GMW!$NF$2:$NF$150=H$1),0),$C94-1966)</f>
        <v>74297</v>
      </c>
      <c r="I94" s="4" cm="1">
        <f t="array" ref="I94">INDEX(GMW!$A$2:$NF$150,MATCH(1,(GMW!$NE$2:$NE$150=I$3)*(GMW!$ND$2:$ND$150=I$4)*(GMW!$NF$2:$NF$150=I$1),0),$C94-1966)</f>
        <v>39375.129999999997</v>
      </c>
      <c r="J94" s="4" cm="1">
        <f t="array" ref="J94">INDEX(GMW!$A$2:$NF$150,MATCH(1,(GMW!$NE$2:$NE$150=J$3)*(GMW!$ND$2:$ND$150=J$4)*(GMW!$NF$2:$NF$150=J$1),0),$C94-1966)</f>
        <v>65399</v>
      </c>
      <c r="K94" s="4" cm="1">
        <f t="array" ref="K94">INDEX(GMW!$A$2:$NF$150,MATCH(1,(GMW!$NE$2:$NE$150=K$3)*(GMW!$ND$2:$ND$150=K$4)*(GMW!$NF$2:$NF$150=K$1),0),$C94-1966)</f>
        <v>27940</v>
      </c>
      <c r="L94" s="4" cm="1">
        <f t="array" ref="L94">INDEX(GMW!$A$2:$NF$150,MATCH(1,(GMW!$NE$2:$NE$150=L$3)*(GMW!$ND$2:$ND$150=L$4)*(GMW!$NF$2:$NF$150=L$1),0),$C94-1966)</f>
        <v>376023.1</v>
      </c>
      <c r="M94" s="4" cm="1">
        <f t="array" ref="M94">INDEX(GMW!$A$2:$NF$150,MATCH(1,(GMW!$NE$2:$NE$150=M$3)*(GMW!$ND$2:$ND$150=M$4)*(GMW!$NF$2:$NF$150=M$1),0),$C94-1966)</f>
        <v>25618.23</v>
      </c>
      <c r="N94" s="4" cm="1">
        <f t="array" ref="N94">INDEX(GMW!$A$2:$NF$150,MATCH(1,(GMW!$NE$2:$NE$150=N$3)*(GMW!$ND$2:$ND$150=N$4)*(GMW!$NF$2:$NF$150=N$1),0),$C94-1966)</f>
        <v>33.5</v>
      </c>
      <c r="O94" s="4" cm="1">
        <f t="array" ref="O94">INDEX(GMW!$A$2:$NF$150,MATCH(1,(GMW!$NE$2:$NE$150=O$3)*(GMW!$ND$2:$ND$150=O$4)*(GMW!$NF$2:$NF$150=O$1),0),$C94-1966)</f>
        <v>361822.1</v>
      </c>
      <c r="P94" s="4" cm="1">
        <f t="array" ref="P94">INDEX(GMW!$A$2:$NF$150,MATCH(1,(GMW!$NE$2:$NE$150=P$3)*(GMW!$ND$2:$ND$150=P$4)*(GMW!$NF$2:$NF$150=P$1),0),$C94-1966)</f>
        <v>37476.949999999997</v>
      </c>
      <c r="Q94" s="4" cm="1">
        <f t="array" ref="Q94">INDEX(GMW!$A$2:$NF$150,MATCH(1,(GMW!$NE$2:$NE$150=Q$3)*(GMW!$ND$2:$ND$150=Q$4)*(GMW!$NF$2:$NF$150=Q$1),0),$C94-1966)</f>
        <v>1718015</v>
      </c>
      <c r="R94" s="4" cm="1">
        <f t="array" ref="R94">INDEX(GMW!$A$2:$NF$150,MATCH(1,(GMW!$NE$2:$NE$150=R$3)*(GMW!$ND$2:$ND$150=R$4)*(GMW!$NF$2:$NF$150=R$1),0),$C94-1966)</f>
        <v>-1.7464660000000001</v>
      </c>
      <c r="S94" s="4" cm="1">
        <f t="array" ref="S94">INDEX(GMW!$A$2:$NF$150,MATCH(1,(GMW!$NE$2:$NE$150=S$3)*(GMW!$ND$2:$ND$150=S$4)*(GMW!$NF$2:$NF$150=S$1),0),$C94-1966)</f>
        <v>370401</v>
      </c>
      <c r="T94" s="4" cm="1">
        <f t="array" ref="T94">INDEX(GMW!$A$2:$NF$150,MATCH(1,(GMW!$NE$2:$NE$150=T$3)*(GMW!$ND$2:$ND$150=T$4)*(GMW!$NF$2:$NF$150=T$1),0),$C94-1966)</f>
        <v>65.8</v>
      </c>
      <c r="U94" s="4" cm="1">
        <f t="array" ref="U94">INDEX(GMW!$A$2:$NF$150,MATCH(1,(GMW!$NE$2:$NE$150=U$3)*(GMW!$ND$2:$ND$150=U$4)*(GMW!$NF$2:$NF$150=U$1),0),$C94-1966)</f>
        <v>80741</v>
      </c>
      <c r="V94" s="4" cm="1">
        <f t="array" ref="V94">INDEX(GMW!$A$2:$NF$150,MATCH(1,(GMW!$NE$2:$NE$150=V$3)*(GMW!$ND$2:$ND$150=V$4)*(GMW!$NF$2:$NF$150=V$1),0),$C94-1966)</f>
        <v>31436.17</v>
      </c>
      <c r="W94" s="4" cm="1">
        <f t="array" ref="W94">INDEX(GMW!$A$2:$NF$150,MATCH(1,(GMW!$NE$2:$NE$150=W$3)*(GMW!$ND$2:$ND$150=W$4)*(GMW!$NF$2:$NF$150=W$1),0),$C94-1966)</f>
        <v>74297</v>
      </c>
      <c r="X94" s="4" cm="1">
        <f t="array" ref="X94">INDEX(GMW!$A$2:$NF$150,MATCH(1,(GMW!$NE$2:$NE$150=X$3)*(GMW!$ND$2:$ND$150=X$4)*(GMW!$NF$2:$NF$150=X$1),0),$C94-1966)</f>
        <v>39375.129999999997</v>
      </c>
      <c r="Y94" s="4" cm="1">
        <f t="array" ref="Y94">INDEX(GMW!$A$2:$NF$150,MATCH(1,(GMW!$NE$2:$NE$150=Y$3)*(GMW!$ND$2:$ND$150=Y$4)*(GMW!$NF$2:$NF$150=Y$1),0),$C94-1966)</f>
        <v>65399</v>
      </c>
      <c r="Z94" s="4" cm="1">
        <f t="array" ref="Z94">INDEX(GMW!$A$2:$NF$150,MATCH(1,(GMW!$NE$2:$NE$150=Z$3)*(GMW!$ND$2:$ND$150=Z$4)*(GMW!$NF$2:$NF$150=Z$1),0),$C94-1966)</f>
        <v>27940</v>
      </c>
      <c r="AA94" s="4" cm="1">
        <f t="array" ref="AA94">INDEX(GMW!$A$2:$NF$150,MATCH(1,(GMW!$NE$2:$NE$150=AA$3)*(GMW!$ND$2:$ND$150=AA$4)*(GMW!$NF$2:$NF$150=AA$1),0),$C94-1966)</f>
        <v>376023.1</v>
      </c>
      <c r="AB94" s="4" cm="1">
        <f t="array" ref="AB94">INDEX(GMW!$A$2:$NF$150,MATCH(1,(GMW!$NE$2:$NE$150=AB$3)*(GMW!$ND$2:$ND$150=AB$4)*(GMW!$NF$2:$NF$150=AB$1),0),$C94-1966)</f>
        <v>25618.23</v>
      </c>
      <c r="AC94" s="4" cm="1">
        <f t="array" ref="AC94">INDEX(GMW!$A$2:$NF$150,MATCH(1,(GMW!$NE$2:$NE$150=AC$3)*(GMW!$ND$2:$ND$150=AC$4)*(GMW!$NF$2:$NF$150=AC$1),0),$C94-1966)</f>
        <v>33.5</v>
      </c>
      <c r="AD94" s="4" cm="1">
        <f t="array" ref="AD94">INDEX(GMW!$A$2:$NF$150,MATCH(1,(GMW!$NE$2:$NE$150=AD$3)*(GMW!$ND$2:$ND$150=AD$4)*(GMW!$NF$2:$NF$150=AD$1),0),$C94-1966)</f>
        <v>361822.1</v>
      </c>
      <c r="AE94" s="4" cm="1">
        <f t="array" ref="AE94">INDEX(GMW!$A$2:$NF$150,MATCH(1,(GMW!$NE$2:$NE$150=AE$3)*(GMW!$ND$2:$ND$150=AE$4)*(GMW!$NF$2:$NF$150=AE$1),0),$C94-1966)</f>
        <v>37476.949999999997</v>
      </c>
      <c r="AF94" s="4" cm="1">
        <f t="array" ref="AF94">INDEX(GMW!$A$2:$NF$150,MATCH(1,(GMW!$NE$2:$NE$150=AF$3)*(GMW!$ND$2:$ND$150=AF$4)*(GMW!$NF$2:$NF$150=AF$1),0),$C94-1966)</f>
        <v>1718015</v>
      </c>
      <c r="AG94" s="4" cm="1">
        <f t="array" ref="AG94">INDEX(GMW!$A$2:$NF$150,MATCH(1,(GMW!$NE$2:$NE$150=AG$3)*(GMW!$ND$2:$ND$150=AG$4)*(GMW!$NF$2:$NF$150=AG$1),0),$C94-1966)</f>
        <v>-1.7464660000000001</v>
      </c>
      <c r="AH94" s="4" cm="1">
        <f t="array" ref="AH94">INDEX(GMW!$A$2:$NF$150,MATCH(1,(GMW!$NE$2:$NE$150=AH$3)*(GMW!$ND$2:$ND$150=AH$4)*(GMW!$NF$2:$NF$150=AH$1),0),$C94-1966)</f>
        <v>370401</v>
      </c>
      <c r="AI94" s="4" cm="1">
        <f t="array" ref="AI94">INDEX(GMW!$A$2:$NF$150,MATCH(1,(GMW!$NE$2:$NE$150=AI$3)*(GMW!$ND$2:$ND$150=AI$4)*(GMW!$NF$2:$NF$150=AI$1),0),$C94-1966)</f>
        <v>65.8</v>
      </c>
      <c r="AJ94" s="4" cm="1">
        <f t="array" ref="AJ94">INDEX(GMW!$A$2:$NF$150,MATCH(1,(GMW!$NE$2:$NE$150=AJ$3)*(GMW!$ND$2:$ND$150=AJ$4)*(GMW!$NF$2:$NF$150=AJ$1),0),$C94-1966)</f>
        <v>80741</v>
      </c>
      <c r="AK94" s="4" cm="1">
        <f t="array" ref="AK94">INDEX(GMW!$A$2:$NF$150,MATCH(1,(GMW!$NE$2:$NE$150=AK$3)*(GMW!$ND$2:$ND$150=AK$4)*(GMW!$NF$2:$NF$150=AK$1),0),$C94-1966)</f>
        <v>31436.17</v>
      </c>
      <c r="AL94" s="4" cm="1">
        <f t="array" ref="AL94">INDEX(GMW!$A$2:$NF$150,MATCH(1,(GMW!$NE$2:$NE$150=AL$3)*(GMW!$ND$2:$ND$150=AL$4)*(GMW!$NF$2:$NF$150=AL$1),0),$C94-1966)</f>
        <v>74297</v>
      </c>
      <c r="AM94" s="4" cm="1">
        <f t="array" ref="AM94">INDEX(GMW!$A$2:$NF$150,MATCH(1,(GMW!$NE$2:$NE$150=AM$3)*(GMW!$ND$2:$ND$150=AM$4)*(GMW!$NF$2:$NF$150=AM$1),0),$C94-1966)</f>
        <v>39375.129999999997</v>
      </c>
      <c r="AN94" s="4" cm="1">
        <f t="array" ref="AN94">INDEX(GMW!$A$2:$NF$150,MATCH(1,(GMW!$NE$2:$NE$150=AN$3)*(GMW!$ND$2:$ND$150=AN$4)*(GMW!$NF$2:$NF$150=AN$1),0),$C94-1966)</f>
        <v>65399</v>
      </c>
      <c r="AO94" s="4" cm="1">
        <f t="array" ref="AO94">INDEX(GMW!$A$2:$NF$150,MATCH(1,(GMW!$NE$2:$NE$150=AO$3)*(GMW!$ND$2:$ND$150=AO$4)*(GMW!$NF$2:$NF$150=AO$1),0),$C94-1966)</f>
        <v>27940</v>
      </c>
      <c r="AP94" s="4" cm="1">
        <f t="array" ref="AP94">INDEX(GMW!$A$2:$NF$150,MATCH(1,(GMW!$NE$2:$NE$150=AP$3)*(GMW!$ND$2:$ND$150=AP$4)*(GMW!$NF$2:$NF$150=AP$1),0),$C94-1966)</f>
        <v>376023.1</v>
      </c>
      <c r="AQ94" s="4" cm="1">
        <f t="array" ref="AQ94">INDEX(GMW!$A$2:$NF$150,MATCH(1,(GMW!$NE$2:$NE$150=AQ$3)*(GMW!$ND$2:$ND$150=AQ$4)*(GMW!$NF$2:$NF$150=AQ$1),0),$C94-1966)</f>
        <v>25618.23</v>
      </c>
      <c r="AR94" s="4" cm="1">
        <f t="array" ref="AR94">INDEX(GMW!$A$2:$NF$150,MATCH(1,(GMW!$NE$2:$NE$150=AR$3)*(GMW!$ND$2:$ND$150=AR$4)*(GMW!$NF$2:$NF$150=AR$1),0),$C94-1966)</f>
        <v>33.5</v>
      </c>
      <c r="AS94" s="4" cm="1">
        <f t="array" ref="AS94">INDEX(GMW!$A$2:$NF$150,MATCH(1,(GMW!$NE$2:$NE$150=AS$3)*(GMW!$ND$2:$ND$150=AS$4)*(GMW!$NF$2:$NF$150=AS$1),0),$C94-1966)</f>
        <v>361822.1</v>
      </c>
      <c r="AT94" s="4" cm="1">
        <f t="array" ref="AT94">INDEX(GMW!$A$2:$NF$150,MATCH(1,(GMW!$NE$2:$NE$150=AT$3)*(GMW!$ND$2:$ND$150=AT$4)*(GMW!$NF$2:$NF$150=AT$1),0),$C94-1966)</f>
        <v>37476.949999999997</v>
      </c>
      <c r="AU94" s="4" cm="1">
        <f t="array" ref="AU94">INDEX(GMW!$A$2:$NF$150,MATCH(1,(GMW!$NE$2:$NE$150=AU$3)*(GMW!$ND$2:$ND$150=AU$4)*(GMW!$NF$2:$NF$150=AU$1),0),$C94-1966)</f>
        <v>1718015</v>
      </c>
      <c r="AV94" s="4" cm="1">
        <f t="array" ref="AV94">INDEX(GMW!$A$2:$NF$150,MATCH(1,(GMW!$NE$2:$NE$150=AV$3)*(GMW!$ND$2:$ND$150=AV$4)*(GMW!$NF$2:$NF$150=AV$1),0),$C94-1966)</f>
        <v>-1.7464660000000001</v>
      </c>
    </row>
    <row r="95" spans="1:48" x14ac:dyDescent="0.25">
      <c r="A95" s="4">
        <v>1995</v>
      </c>
      <c r="B95" s="4">
        <f t="shared" si="6"/>
        <v>1995</v>
      </c>
      <c r="C95" s="4">
        <f t="shared" si="5"/>
        <v>2061</v>
      </c>
      <c r="D95" s="4" cm="1">
        <f t="array" ref="D95">INDEX(GMW!$A$2:$NF$150,MATCH(1,(GMW!$NE$2:$NE$150=D$3)*(GMW!$ND$2:$ND$150=D$4)*(GMW!$NF$2:$NF$150=D$1),0),$C95-1966)</f>
        <v>372307</v>
      </c>
      <c r="E95" s="4" cm="1">
        <f t="array" ref="E95">INDEX(GMW!$A$2:$NF$150,MATCH(1,(GMW!$NE$2:$NE$150=E$3)*(GMW!$ND$2:$ND$150=E$4)*(GMW!$NF$2:$NF$150=E$1),0),$C95-1966)</f>
        <v>66.333340000000007</v>
      </c>
      <c r="F95" s="4" cm="1">
        <f t="array" ref="F95">INDEX(GMW!$A$2:$NF$150,MATCH(1,(GMW!$NE$2:$NE$150=F$3)*(GMW!$ND$2:$ND$150=F$4)*(GMW!$NF$2:$NF$150=F$1),0),$C95-1966)</f>
        <v>84205</v>
      </c>
      <c r="G95" s="4" cm="1">
        <f t="array" ref="G95">INDEX(GMW!$A$2:$NF$150,MATCH(1,(GMW!$NE$2:$NE$150=G$3)*(GMW!$ND$2:$ND$150=G$4)*(GMW!$NF$2:$NF$150=G$1),0),$C95-1966)</f>
        <v>33597.47</v>
      </c>
      <c r="H95" s="4" cm="1">
        <f t="array" ref="H95">INDEX(GMW!$A$2:$NF$150,MATCH(1,(GMW!$NE$2:$NE$150=H$3)*(GMW!$ND$2:$ND$150=H$4)*(GMW!$NF$2:$NF$150=H$1),0),$C95-1966)</f>
        <v>73011</v>
      </c>
      <c r="I95" s="4" cm="1">
        <f t="array" ref="I95">INDEX(GMW!$A$2:$NF$150,MATCH(1,(GMW!$NE$2:$NE$150=I$3)*(GMW!$ND$2:$ND$150=I$4)*(GMW!$NF$2:$NF$150=I$1),0),$C95-1966)</f>
        <v>39671</v>
      </c>
      <c r="J95" s="4" cm="1">
        <f t="array" ref="J95">INDEX(GMW!$A$2:$NF$150,MATCH(1,(GMW!$NE$2:$NE$150=J$3)*(GMW!$ND$2:$ND$150=J$4)*(GMW!$NF$2:$NF$150=J$1),0),$C95-1966)</f>
        <v>64532</v>
      </c>
      <c r="K95" s="4" cm="1">
        <f t="array" ref="K95">INDEX(GMW!$A$2:$NF$150,MATCH(1,(GMW!$NE$2:$NE$150=K$3)*(GMW!$ND$2:$ND$150=K$4)*(GMW!$NF$2:$NF$150=K$1),0),$C95-1966)</f>
        <v>27405.82</v>
      </c>
      <c r="L95" s="4" cm="1">
        <f t="array" ref="L95">INDEX(GMW!$A$2:$NF$150,MATCH(1,(GMW!$NE$2:$NE$150=L$3)*(GMW!$ND$2:$ND$150=L$4)*(GMW!$NF$2:$NF$150=L$1),0),$C95-1966)</f>
        <v>377130.7</v>
      </c>
      <c r="M95" s="4" cm="1">
        <f t="array" ref="M95">INDEX(GMW!$A$2:$NF$150,MATCH(1,(GMW!$NE$2:$NE$150=M$3)*(GMW!$ND$2:$ND$150=M$4)*(GMW!$NF$2:$NF$150=M$1),0),$C95-1966)</f>
        <v>25688.3</v>
      </c>
      <c r="N95" s="4" cm="1">
        <f t="array" ref="N95">INDEX(GMW!$A$2:$NF$150,MATCH(1,(GMW!$NE$2:$NE$150=N$3)*(GMW!$ND$2:$ND$150=N$4)*(GMW!$NF$2:$NF$150=N$1),0),$C95-1966)</f>
        <v>33.299999999999997</v>
      </c>
      <c r="O95" s="4" cm="1">
        <f t="array" ref="O95">INDEX(GMW!$A$2:$NF$150,MATCH(1,(GMW!$NE$2:$NE$150=O$3)*(GMW!$ND$2:$ND$150=O$4)*(GMW!$NF$2:$NF$150=O$1),0),$C95-1966)</f>
        <v>362716.5</v>
      </c>
      <c r="P95" s="4" cm="1">
        <f t="array" ref="P95">INDEX(GMW!$A$2:$NF$150,MATCH(1,(GMW!$NE$2:$NE$150=P$3)*(GMW!$ND$2:$ND$150=P$4)*(GMW!$NF$2:$NF$150=P$1),0),$C95-1966)</f>
        <v>37507.440000000002</v>
      </c>
      <c r="Q95" s="4" cm="1">
        <f t="array" ref="Q95">INDEX(GMW!$A$2:$NF$150,MATCH(1,(GMW!$NE$2:$NE$150=Q$3)*(GMW!$ND$2:$ND$150=Q$4)*(GMW!$NF$2:$NF$150=Q$1),0),$C95-1966)</f>
        <v>1728542</v>
      </c>
      <c r="R95" s="4" cm="1">
        <f t="array" ref="R95">INDEX(GMW!$A$2:$NF$150,MATCH(1,(GMW!$NE$2:$NE$150=R$3)*(GMW!$ND$2:$ND$150=R$4)*(GMW!$NF$2:$NF$150=R$1),0),$C95-1966)</f>
        <v>-1.743792</v>
      </c>
      <c r="S95" s="4" cm="1">
        <f t="array" ref="S95">INDEX(GMW!$A$2:$NF$150,MATCH(1,(GMW!$NE$2:$NE$150=S$3)*(GMW!$ND$2:$ND$150=S$4)*(GMW!$NF$2:$NF$150=S$1),0),$C95-1966)</f>
        <v>372307</v>
      </c>
      <c r="T95" s="4" cm="1">
        <f t="array" ref="T95">INDEX(GMW!$A$2:$NF$150,MATCH(1,(GMW!$NE$2:$NE$150=T$3)*(GMW!$ND$2:$ND$150=T$4)*(GMW!$NF$2:$NF$150=T$1),0),$C95-1966)</f>
        <v>66.333340000000007</v>
      </c>
      <c r="U95" s="4" cm="1">
        <f t="array" ref="U95">INDEX(GMW!$A$2:$NF$150,MATCH(1,(GMW!$NE$2:$NE$150=U$3)*(GMW!$ND$2:$ND$150=U$4)*(GMW!$NF$2:$NF$150=U$1),0),$C95-1966)</f>
        <v>84205</v>
      </c>
      <c r="V95" s="4" cm="1">
        <f t="array" ref="V95">INDEX(GMW!$A$2:$NF$150,MATCH(1,(GMW!$NE$2:$NE$150=V$3)*(GMW!$ND$2:$ND$150=V$4)*(GMW!$NF$2:$NF$150=V$1),0),$C95-1966)</f>
        <v>33597.47</v>
      </c>
      <c r="W95" s="4" cm="1">
        <f t="array" ref="W95">INDEX(GMW!$A$2:$NF$150,MATCH(1,(GMW!$NE$2:$NE$150=W$3)*(GMW!$ND$2:$ND$150=W$4)*(GMW!$NF$2:$NF$150=W$1),0),$C95-1966)</f>
        <v>73011</v>
      </c>
      <c r="X95" s="4" cm="1">
        <f t="array" ref="X95">INDEX(GMW!$A$2:$NF$150,MATCH(1,(GMW!$NE$2:$NE$150=X$3)*(GMW!$ND$2:$ND$150=X$4)*(GMW!$NF$2:$NF$150=X$1),0),$C95-1966)</f>
        <v>39671</v>
      </c>
      <c r="Y95" s="4" cm="1">
        <f t="array" ref="Y95">INDEX(GMW!$A$2:$NF$150,MATCH(1,(GMW!$NE$2:$NE$150=Y$3)*(GMW!$ND$2:$ND$150=Y$4)*(GMW!$NF$2:$NF$150=Y$1),0),$C95-1966)</f>
        <v>64532</v>
      </c>
      <c r="Z95" s="4" cm="1">
        <f t="array" ref="Z95">INDEX(GMW!$A$2:$NF$150,MATCH(1,(GMW!$NE$2:$NE$150=Z$3)*(GMW!$ND$2:$ND$150=Z$4)*(GMW!$NF$2:$NF$150=Z$1),0),$C95-1966)</f>
        <v>27405.82</v>
      </c>
      <c r="AA95" s="4" cm="1">
        <f t="array" ref="AA95">INDEX(GMW!$A$2:$NF$150,MATCH(1,(GMW!$NE$2:$NE$150=AA$3)*(GMW!$ND$2:$ND$150=AA$4)*(GMW!$NF$2:$NF$150=AA$1),0),$C95-1966)</f>
        <v>377130.7</v>
      </c>
      <c r="AB95" s="4" cm="1">
        <f t="array" ref="AB95">INDEX(GMW!$A$2:$NF$150,MATCH(1,(GMW!$NE$2:$NE$150=AB$3)*(GMW!$ND$2:$ND$150=AB$4)*(GMW!$NF$2:$NF$150=AB$1),0),$C95-1966)</f>
        <v>25688.3</v>
      </c>
      <c r="AC95" s="4" cm="1">
        <f t="array" ref="AC95">INDEX(GMW!$A$2:$NF$150,MATCH(1,(GMW!$NE$2:$NE$150=AC$3)*(GMW!$ND$2:$ND$150=AC$4)*(GMW!$NF$2:$NF$150=AC$1),0),$C95-1966)</f>
        <v>33.299999999999997</v>
      </c>
      <c r="AD95" s="4" cm="1">
        <f t="array" ref="AD95">INDEX(GMW!$A$2:$NF$150,MATCH(1,(GMW!$NE$2:$NE$150=AD$3)*(GMW!$ND$2:$ND$150=AD$4)*(GMW!$NF$2:$NF$150=AD$1),0),$C95-1966)</f>
        <v>362716.5</v>
      </c>
      <c r="AE95" s="4" cm="1">
        <f t="array" ref="AE95">INDEX(GMW!$A$2:$NF$150,MATCH(1,(GMW!$NE$2:$NE$150=AE$3)*(GMW!$ND$2:$ND$150=AE$4)*(GMW!$NF$2:$NF$150=AE$1),0),$C95-1966)</f>
        <v>37507.440000000002</v>
      </c>
      <c r="AF95" s="4" cm="1">
        <f t="array" ref="AF95">INDEX(GMW!$A$2:$NF$150,MATCH(1,(GMW!$NE$2:$NE$150=AF$3)*(GMW!$ND$2:$ND$150=AF$4)*(GMW!$NF$2:$NF$150=AF$1),0),$C95-1966)</f>
        <v>1728542</v>
      </c>
      <c r="AG95" s="4" cm="1">
        <f t="array" ref="AG95">INDEX(GMW!$A$2:$NF$150,MATCH(1,(GMW!$NE$2:$NE$150=AG$3)*(GMW!$ND$2:$ND$150=AG$4)*(GMW!$NF$2:$NF$150=AG$1),0),$C95-1966)</f>
        <v>-1.743792</v>
      </c>
      <c r="AH95" s="4" cm="1">
        <f t="array" ref="AH95">INDEX(GMW!$A$2:$NF$150,MATCH(1,(GMW!$NE$2:$NE$150=AH$3)*(GMW!$ND$2:$ND$150=AH$4)*(GMW!$NF$2:$NF$150=AH$1),0),$C95-1966)</f>
        <v>372307</v>
      </c>
      <c r="AI95" s="4" cm="1">
        <f t="array" ref="AI95">INDEX(GMW!$A$2:$NF$150,MATCH(1,(GMW!$NE$2:$NE$150=AI$3)*(GMW!$ND$2:$ND$150=AI$4)*(GMW!$NF$2:$NF$150=AI$1),0),$C95-1966)</f>
        <v>66.333340000000007</v>
      </c>
      <c r="AJ95" s="4" cm="1">
        <f t="array" ref="AJ95">INDEX(GMW!$A$2:$NF$150,MATCH(1,(GMW!$NE$2:$NE$150=AJ$3)*(GMW!$ND$2:$ND$150=AJ$4)*(GMW!$NF$2:$NF$150=AJ$1),0),$C95-1966)</f>
        <v>84205</v>
      </c>
      <c r="AK95" s="4" cm="1">
        <f t="array" ref="AK95">INDEX(GMW!$A$2:$NF$150,MATCH(1,(GMW!$NE$2:$NE$150=AK$3)*(GMW!$ND$2:$ND$150=AK$4)*(GMW!$NF$2:$NF$150=AK$1),0),$C95-1966)</f>
        <v>33597.47</v>
      </c>
      <c r="AL95" s="4" cm="1">
        <f t="array" ref="AL95">INDEX(GMW!$A$2:$NF$150,MATCH(1,(GMW!$NE$2:$NE$150=AL$3)*(GMW!$ND$2:$ND$150=AL$4)*(GMW!$NF$2:$NF$150=AL$1),0),$C95-1966)</f>
        <v>73011</v>
      </c>
      <c r="AM95" s="4" cm="1">
        <f t="array" ref="AM95">INDEX(GMW!$A$2:$NF$150,MATCH(1,(GMW!$NE$2:$NE$150=AM$3)*(GMW!$ND$2:$ND$150=AM$4)*(GMW!$NF$2:$NF$150=AM$1),0),$C95-1966)</f>
        <v>39671</v>
      </c>
      <c r="AN95" s="4" cm="1">
        <f t="array" ref="AN95">INDEX(GMW!$A$2:$NF$150,MATCH(1,(GMW!$NE$2:$NE$150=AN$3)*(GMW!$ND$2:$ND$150=AN$4)*(GMW!$NF$2:$NF$150=AN$1),0),$C95-1966)</f>
        <v>64532</v>
      </c>
      <c r="AO95" s="4" cm="1">
        <f t="array" ref="AO95">INDEX(GMW!$A$2:$NF$150,MATCH(1,(GMW!$NE$2:$NE$150=AO$3)*(GMW!$ND$2:$ND$150=AO$4)*(GMW!$NF$2:$NF$150=AO$1),0),$C95-1966)</f>
        <v>27405.82</v>
      </c>
      <c r="AP95" s="4" cm="1">
        <f t="array" ref="AP95">INDEX(GMW!$A$2:$NF$150,MATCH(1,(GMW!$NE$2:$NE$150=AP$3)*(GMW!$ND$2:$ND$150=AP$4)*(GMW!$NF$2:$NF$150=AP$1),0),$C95-1966)</f>
        <v>377130.7</v>
      </c>
      <c r="AQ95" s="4" cm="1">
        <f t="array" ref="AQ95">INDEX(GMW!$A$2:$NF$150,MATCH(1,(GMW!$NE$2:$NE$150=AQ$3)*(GMW!$ND$2:$ND$150=AQ$4)*(GMW!$NF$2:$NF$150=AQ$1),0),$C95-1966)</f>
        <v>25688.3</v>
      </c>
      <c r="AR95" s="4" cm="1">
        <f t="array" ref="AR95">INDEX(GMW!$A$2:$NF$150,MATCH(1,(GMW!$NE$2:$NE$150=AR$3)*(GMW!$ND$2:$ND$150=AR$4)*(GMW!$NF$2:$NF$150=AR$1),0),$C95-1966)</f>
        <v>33.299999999999997</v>
      </c>
      <c r="AS95" s="4" cm="1">
        <f t="array" ref="AS95">INDEX(GMW!$A$2:$NF$150,MATCH(1,(GMW!$NE$2:$NE$150=AS$3)*(GMW!$ND$2:$ND$150=AS$4)*(GMW!$NF$2:$NF$150=AS$1),0),$C95-1966)</f>
        <v>362716.5</v>
      </c>
      <c r="AT95" s="4" cm="1">
        <f t="array" ref="AT95">INDEX(GMW!$A$2:$NF$150,MATCH(1,(GMW!$NE$2:$NE$150=AT$3)*(GMW!$ND$2:$ND$150=AT$4)*(GMW!$NF$2:$NF$150=AT$1),0),$C95-1966)</f>
        <v>37507.440000000002</v>
      </c>
      <c r="AU95" s="4" cm="1">
        <f t="array" ref="AU95">INDEX(GMW!$A$2:$NF$150,MATCH(1,(GMW!$NE$2:$NE$150=AU$3)*(GMW!$ND$2:$ND$150=AU$4)*(GMW!$NF$2:$NF$150=AU$1),0),$C95-1966)</f>
        <v>1728542</v>
      </c>
      <c r="AV95" s="4" cm="1">
        <f t="array" ref="AV95">INDEX(GMW!$A$2:$NF$150,MATCH(1,(GMW!$NE$2:$NE$150=AV$3)*(GMW!$ND$2:$ND$150=AV$4)*(GMW!$NF$2:$NF$150=AV$1),0),$C95-1966)</f>
        <v>-1.743792</v>
      </c>
    </row>
    <row r="96" spans="1:48" x14ac:dyDescent="0.25">
      <c r="B96" s="4">
        <f t="shared" si="6"/>
        <v>1995</v>
      </c>
      <c r="C96" s="4">
        <f t="shared" si="5"/>
        <v>2062</v>
      </c>
      <c r="D96" s="4" cm="1">
        <f t="array" ref="D96">INDEX(GMW!$A$2:$NF$150,MATCH(1,(GMW!$NE$2:$NE$150=D$3)*(GMW!$ND$2:$ND$150=D$4)*(GMW!$NF$2:$NF$150=D$1),0),$C96-1966)</f>
        <v>373090</v>
      </c>
      <c r="E96" s="4" cm="1">
        <f t="array" ref="E96">INDEX(GMW!$A$2:$NF$150,MATCH(1,(GMW!$NE$2:$NE$150=E$3)*(GMW!$ND$2:$ND$150=E$4)*(GMW!$NF$2:$NF$150=E$1),0),$C96-1966)</f>
        <v>67.266670000000005</v>
      </c>
      <c r="F96" s="4" cm="1">
        <f t="array" ref="F96">INDEX(GMW!$A$2:$NF$150,MATCH(1,(GMW!$NE$2:$NE$150=F$3)*(GMW!$ND$2:$ND$150=F$4)*(GMW!$NF$2:$NF$150=F$1),0),$C96-1966)</f>
        <v>83113</v>
      </c>
      <c r="G96" s="4" cm="1">
        <f t="array" ref="G96">INDEX(GMW!$A$2:$NF$150,MATCH(1,(GMW!$NE$2:$NE$150=G$3)*(GMW!$ND$2:$ND$150=G$4)*(GMW!$NF$2:$NF$150=G$1),0),$C96-1966)</f>
        <v>35269.360000000001</v>
      </c>
      <c r="H96" s="4" cm="1">
        <f t="array" ref="H96">INDEX(GMW!$A$2:$NF$150,MATCH(1,(GMW!$NE$2:$NE$150=H$3)*(GMW!$ND$2:$ND$150=H$4)*(GMW!$NF$2:$NF$150=H$1),0),$C96-1966)</f>
        <v>75654</v>
      </c>
      <c r="I96" s="4" cm="1">
        <f t="array" ref="I96">INDEX(GMW!$A$2:$NF$150,MATCH(1,(GMW!$NE$2:$NE$150=I$3)*(GMW!$ND$2:$ND$150=I$4)*(GMW!$NF$2:$NF$150=I$1),0),$C96-1966)</f>
        <v>42270.879999999997</v>
      </c>
      <c r="J96" s="4" cm="1">
        <f t="array" ref="J96">INDEX(GMW!$A$2:$NF$150,MATCH(1,(GMW!$NE$2:$NE$150=J$3)*(GMW!$ND$2:$ND$150=J$4)*(GMW!$NF$2:$NF$150=J$1),0),$C96-1966)</f>
        <v>64647</v>
      </c>
      <c r="K96" s="4" cm="1">
        <f t="array" ref="K96">INDEX(GMW!$A$2:$NF$150,MATCH(1,(GMW!$NE$2:$NE$150=K$3)*(GMW!$ND$2:$ND$150=K$4)*(GMW!$NF$2:$NF$150=K$1),0),$C96-1966)</f>
        <v>28374.43</v>
      </c>
      <c r="L96" s="4" cm="1">
        <f t="array" ref="L96">INDEX(GMW!$A$2:$NF$150,MATCH(1,(GMW!$NE$2:$NE$150=L$3)*(GMW!$ND$2:$ND$150=L$4)*(GMW!$NF$2:$NF$150=L$1),0),$C96-1966)</f>
        <v>379828.6</v>
      </c>
      <c r="M96" s="4" cm="1">
        <f t="array" ref="M96">INDEX(GMW!$A$2:$NF$150,MATCH(1,(GMW!$NE$2:$NE$150=M$3)*(GMW!$ND$2:$ND$150=M$4)*(GMW!$NF$2:$NF$150=M$1),0),$C96-1966)</f>
        <v>25760.29</v>
      </c>
      <c r="N96" s="4" cm="1">
        <f t="array" ref="N96">INDEX(GMW!$A$2:$NF$150,MATCH(1,(GMW!$NE$2:$NE$150=N$3)*(GMW!$ND$2:$ND$150=N$4)*(GMW!$NF$2:$NF$150=N$1),0),$C96-1966)</f>
        <v>33.299999999999997</v>
      </c>
      <c r="O96" s="4" cm="1">
        <f t="array" ref="O96">INDEX(GMW!$A$2:$NF$150,MATCH(1,(GMW!$NE$2:$NE$150=O$3)*(GMW!$ND$2:$ND$150=O$4)*(GMW!$NF$2:$NF$150=O$1),0),$C96-1966)</f>
        <v>363618.8</v>
      </c>
      <c r="P96" s="4" cm="1">
        <f t="array" ref="P96">INDEX(GMW!$A$2:$NF$150,MATCH(1,(GMW!$NE$2:$NE$150=P$3)*(GMW!$ND$2:$ND$150=P$4)*(GMW!$NF$2:$NF$150=P$1),0),$C96-1966)</f>
        <v>37537.93</v>
      </c>
      <c r="Q96" s="4" cm="1">
        <f t="array" ref="Q96">INDEX(GMW!$A$2:$NF$150,MATCH(1,(GMW!$NE$2:$NE$150=Q$3)*(GMW!$ND$2:$ND$150=Q$4)*(GMW!$NF$2:$NF$150=Q$1),0),$C96-1966)</f>
        <v>1739070</v>
      </c>
      <c r="R96" s="4" cm="1">
        <f t="array" ref="R96">INDEX(GMW!$A$2:$NF$150,MATCH(1,(GMW!$NE$2:$NE$150=R$3)*(GMW!$ND$2:$ND$150=R$4)*(GMW!$NF$2:$NF$150=R$1),0),$C96-1966)</f>
        <v>-1.741123</v>
      </c>
      <c r="S96" s="4" cm="1">
        <f t="array" ref="S96">INDEX(GMW!$A$2:$NF$150,MATCH(1,(GMW!$NE$2:$NE$150=S$3)*(GMW!$ND$2:$ND$150=S$4)*(GMW!$NF$2:$NF$150=S$1),0),$C96-1966)</f>
        <v>373090</v>
      </c>
      <c r="T96" s="4" cm="1">
        <f t="array" ref="T96">INDEX(GMW!$A$2:$NF$150,MATCH(1,(GMW!$NE$2:$NE$150=T$3)*(GMW!$ND$2:$ND$150=T$4)*(GMW!$NF$2:$NF$150=T$1),0),$C96-1966)</f>
        <v>67.266670000000005</v>
      </c>
      <c r="U96" s="4" cm="1">
        <f t="array" ref="U96">INDEX(GMW!$A$2:$NF$150,MATCH(1,(GMW!$NE$2:$NE$150=U$3)*(GMW!$ND$2:$ND$150=U$4)*(GMW!$NF$2:$NF$150=U$1),0),$C96-1966)</f>
        <v>83113</v>
      </c>
      <c r="V96" s="4" cm="1">
        <f t="array" ref="V96">INDEX(GMW!$A$2:$NF$150,MATCH(1,(GMW!$NE$2:$NE$150=V$3)*(GMW!$ND$2:$ND$150=V$4)*(GMW!$NF$2:$NF$150=V$1),0),$C96-1966)</f>
        <v>35269.360000000001</v>
      </c>
      <c r="W96" s="4" cm="1">
        <f t="array" ref="W96">INDEX(GMW!$A$2:$NF$150,MATCH(1,(GMW!$NE$2:$NE$150=W$3)*(GMW!$ND$2:$ND$150=W$4)*(GMW!$NF$2:$NF$150=W$1),0),$C96-1966)</f>
        <v>75654</v>
      </c>
      <c r="X96" s="4" cm="1">
        <f t="array" ref="X96">INDEX(GMW!$A$2:$NF$150,MATCH(1,(GMW!$NE$2:$NE$150=X$3)*(GMW!$ND$2:$ND$150=X$4)*(GMW!$NF$2:$NF$150=X$1),0),$C96-1966)</f>
        <v>42270.879999999997</v>
      </c>
      <c r="Y96" s="4" cm="1">
        <f t="array" ref="Y96">INDEX(GMW!$A$2:$NF$150,MATCH(1,(GMW!$NE$2:$NE$150=Y$3)*(GMW!$ND$2:$ND$150=Y$4)*(GMW!$NF$2:$NF$150=Y$1),0),$C96-1966)</f>
        <v>64647</v>
      </c>
      <c r="Z96" s="4" cm="1">
        <f t="array" ref="Z96">INDEX(GMW!$A$2:$NF$150,MATCH(1,(GMW!$NE$2:$NE$150=Z$3)*(GMW!$ND$2:$ND$150=Z$4)*(GMW!$NF$2:$NF$150=Z$1),0),$C96-1966)</f>
        <v>28374.43</v>
      </c>
      <c r="AA96" s="4" cm="1">
        <f t="array" ref="AA96">INDEX(GMW!$A$2:$NF$150,MATCH(1,(GMW!$NE$2:$NE$150=AA$3)*(GMW!$ND$2:$ND$150=AA$4)*(GMW!$NF$2:$NF$150=AA$1),0),$C96-1966)</f>
        <v>379828.6</v>
      </c>
      <c r="AB96" s="4" cm="1">
        <f t="array" ref="AB96">INDEX(GMW!$A$2:$NF$150,MATCH(1,(GMW!$NE$2:$NE$150=AB$3)*(GMW!$ND$2:$ND$150=AB$4)*(GMW!$NF$2:$NF$150=AB$1),0),$C96-1966)</f>
        <v>25760.29</v>
      </c>
      <c r="AC96" s="4" cm="1">
        <f t="array" ref="AC96">INDEX(GMW!$A$2:$NF$150,MATCH(1,(GMW!$NE$2:$NE$150=AC$3)*(GMW!$ND$2:$ND$150=AC$4)*(GMW!$NF$2:$NF$150=AC$1),0),$C96-1966)</f>
        <v>33.299999999999997</v>
      </c>
      <c r="AD96" s="4" cm="1">
        <f t="array" ref="AD96">INDEX(GMW!$A$2:$NF$150,MATCH(1,(GMW!$NE$2:$NE$150=AD$3)*(GMW!$ND$2:$ND$150=AD$4)*(GMW!$NF$2:$NF$150=AD$1),0),$C96-1966)</f>
        <v>363618.8</v>
      </c>
      <c r="AE96" s="4" cm="1">
        <f t="array" ref="AE96">INDEX(GMW!$A$2:$NF$150,MATCH(1,(GMW!$NE$2:$NE$150=AE$3)*(GMW!$ND$2:$ND$150=AE$4)*(GMW!$NF$2:$NF$150=AE$1),0),$C96-1966)</f>
        <v>37537.93</v>
      </c>
      <c r="AF96" s="4" cm="1">
        <f t="array" ref="AF96">INDEX(GMW!$A$2:$NF$150,MATCH(1,(GMW!$NE$2:$NE$150=AF$3)*(GMW!$ND$2:$ND$150=AF$4)*(GMW!$NF$2:$NF$150=AF$1),0),$C96-1966)</f>
        <v>1739070</v>
      </c>
      <c r="AG96" s="4" cm="1">
        <f t="array" ref="AG96">INDEX(GMW!$A$2:$NF$150,MATCH(1,(GMW!$NE$2:$NE$150=AG$3)*(GMW!$ND$2:$ND$150=AG$4)*(GMW!$NF$2:$NF$150=AG$1),0),$C96-1966)</f>
        <v>-1.741123</v>
      </c>
      <c r="AH96" s="4" cm="1">
        <f t="array" ref="AH96">INDEX(GMW!$A$2:$NF$150,MATCH(1,(GMW!$NE$2:$NE$150=AH$3)*(GMW!$ND$2:$ND$150=AH$4)*(GMW!$NF$2:$NF$150=AH$1),0),$C96-1966)</f>
        <v>373090</v>
      </c>
      <c r="AI96" s="4" cm="1">
        <f t="array" ref="AI96">INDEX(GMW!$A$2:$NF$150,MATCH(1,(GMW!$NE$2:$NE$150=AI$3)*(GMW!$ND$2:$ND$150=AI$4)*(GMW!$NF$2:$NF$150=AI$1),0),$C96-1966)</f>
        <v>67.266670000000005</v>
      </c>
      <c r="AJ96" s="4" cm="1">
        <f t="array" ref="AJ96">INDEX(GMW!$A$2:$NF$150,MATCH(1,(GMW!$NE$2:$NE$150=AJ$3)*(GMW!$ND$2:$ND$150=AJ$4)*(GMW!$NF$2:$NF$150=AJ$1),0),$C96-1966)</f>
        <v>83113</v>
      </c>
      <c r="AK96" s="4" cm="1">
        <f t="array" ref="AK96">INDEX(GMW!$A$2:$NF$150,MATCH(1,(GMW!$NE$2:$NE$150=AK$3)*(GMW!$ND$2:$ND$150=AK$4)*(GMW!$NF$2:$NF$150=AK$1),0),$C96-1966)</f>
        <v>35269.360000000001</v>
      </c>
      <c r="AL96" s="4" cm="1">
        <f t="array" ref="AL96">INDEX(GMW!$A$2:$NF$150,MATCH(1,(GMW!$NE$2:$NE$150=AL$3)*(GMW!$ND$2:$ND$150=AL$4)*(GMW!$NF$2:$NF$150=AL$1),0),$C96-1966)</f>
        <v>75654</v>
      </c>
      <c r="AM96" s="4" cm="1">
        <f t="array" ref="AM96">INDEX(GMW!$A$2:$NF$150,MATCH(1,(GMW!$NE$2:$NE$150=AM$3)*(GMW!$ND$2:$ND$150=AM$4)*(GMW!$NF$2:$NF$150=AM$1),0),$C96-1966)</f>
        <v>42270.879999999997</v>
      </c>
      <c r="AN96" s="4" cm="1">
        <f t="array" ref="AN96">INDEX(GMW!$A$2:$NF$150,MATCH(1,(GMW!$NE$2:$NE$150=AN$3)*(GMW!$ND$2:$ND$150=AN$4)*(GMW!$NF$2:$NF$150=AN$1),0),$C96-1966)</f>
        <v>64647</v>
      </c>
      <c r="AO96" s="4" cm="1">
        <f t="array" ref="AO96">INDEX(GMW!$A$2:$NF$150,MATCH(1,(GMW!$NE$2:$NE$150=AO$3)*(GMW!$ND$2:$ND$150=AO$4)*(GMW!$NF$2:$NF$150=AO$1),0),$C96-1966)</f>
        <v>28374.43</v>
      </c>
      <c r="AP96" s="4" cm="1">
        <f t="array" ref="AP96">INDEX(GMW!$A$2:$NF$150,MATCH(1,(GMW!$NE$2:$NE$150=AP$3)*(GMW!$ND$2:$ND$150=AP$4)*(GMW!$NF$2:$NF$150=AP$1),0),$C96-1966)</f>
        <v>379828.6</v>
      </c>
      <c r="AQ96" s="4" cm="1">
        <f t="array" ref="AQ96">INDEX(GMW!$A$2:$NF$150,MATCH(1,(GMW!$NE$2:$NE$150=AQ$3)*(GMW!$ND$2:$ND$150=AQ$4)*(GMW!$NF$2:$NF$150=AQ$1),0),$C96-1966)</f>
        <v>25760.29</v>
      </c>
      <c r="AR96" s="4" cm="1">
        <f t="array" ref="AR96">INDEX(GMW!$A$2:$NF$150,MATCH(1,(GMW!$NE$2:$NE$150=AR$3)*(GMW!$ND$2:$ND$150=AR$4)*(GMW!$NF$2:$NF$150=AR$1),0),$C96-1966)</f>
        <v>33.299999999999997</v>
      </c>
      <c r="AS96" s="4" cm="1">
        <f t="array" ref="AS96">INDEX(GMW!$A$2:$NF$150,MATCH(1,(GMW!$NE$2:$NE$150=AS$3)*(GMW!$ND$2:$ND$150=AS$4)*(GMW!$NF$2:$NF$150=AS$1),0),$C96-1966)</f>
        <v>363618.8</v>
      </c>
      <c r="AT96" s="4" cm="1">
        <f t="array" ref="AT96">INDEX(GMW!$A$2:$NF$150,MATCH(1,(GMW!$NE$2:$NE$150=AT$3)*(GMW!$ND$2:$ND$150=AT$4)*(GMW!$NF$2:$NF$150=AT$1),0),$C96-1966)</f>
        <v>37537.93</v>
      </c>
      <c r="AU96" s="4" cm="1">
        <f t="array" ref="AU96">INDEX(GMW!$A$2:$NF$150,MATCH(1,(GMW!$NE$2:$NE$150=AU$3)*(GMW!$ND$2:$ND$150=AU$4)*(GMW!$NF$2:$NF$150=AU$1),0),$C96-1966)</f>
        <v>1739070</v>
      </c>
      <c r="AV96" s="4" cm="1">
        <f t="array" ref="AV96">INDEX(GMW!$A$2:$NF$150,MATCH(1,(GMW!$NE$2:$NE$150=AV$3)*(GMW!$ND$2:$ND$150=AV$4)*(GMW!$NF$2:$NF$150=AV$1),0),$C96-1966)</f>
        <v>-1.741123</v>
      </c>
    </row>
    <row r="97" spans="1:48" x14ac:dyDescent="0.25">
      <c r="B97" s="4">
        <f t="shared" si="6"/>
        <v>1995</v>
      </c>
      <c r="C97" s="4">
        <f t="shared" si="5"/>
        <v>2063</v>
      </c>
      <c r="D97" s="4" cm="1">
        <f t="array" ref="D97">INDEX(GMW!$A$2:$NF$150,MATCH(1,(GMW!$NE$2:$NE$150=D$3)*(GMW!$ND$2:$ND$150=D$4)*(GMW!$NF$2:$NF$150=D$1),0),$C97-1966)</f>
        <v>377249</v>
      </c>
      <c r="E97" s="4" cm="1">
        <f t="array" ref="E97">INDEX(GMW!$A$2:$NF$150,MATCH(1,(GMW!$NE$2:$NE$150=E$3)*(GMW!$ND$2:$ND$150=E$4)*(GMW!$NF$2:$NF$150=E$1),0),$C97-1966)</f>
        <v>67.400000000000006</v>
      </c>
      <c r="F97" s="4" cm="1">
        <f t="array" ref="F97">INDEX(GMW!$A$2:$NF$150,MATCH(1,(GMW!$NE$2:$NE$150=F$3)*(GMW!$ND$2:$ND$150=F$4)*(GMW!$NF$2:$NF$150=F$1),0),$C97-1966)</f>
        <v>85876</v>
      </c>
      <c r="G97" s="4" cm="1">
        <f t="array" ref="G97">INDEX(GMW!$A$2:$NF$150,MATCH(1,(GMW!$NE$2:$NE$150=G$3)*(GMW!$ND$2:$ND$150=G$4)*(GMW!$NF$2:$NF$150=G$1),0),$C97-1966)</f>
        <v>37229.83</v>
      </c>
      <c r="H97" s="4" cm="1">
        <f t="array" ref="H97">INDEX(GMW!$A$2:$NF$150,MATCH(1,(GMW!$NE$2:$NE$150=H$3)*(GMW!$ND$2:$ND$150=H$4)*(GMW!$NF$2:$NF$150=H$1),0),$C97-1966)</f>
        <v>77304</v>
      </c>
      <c r="I97" s="4" cm="1">
        <f t="array" ref="I97">INDEX(GMW!$A$2:$NF$150,MATCH(1,(GMW!$NE$2:$NE$150=I$3)*(GMW!$ND$2:$ND$150=I$4)*(GMW!$NF$2:$NF$150=I$1),0),$C97-1966)</f>
        <v>42334.07</v>
      </c>
      <c r="J97" s="4" cm="1">
        <f t="array" ref="J97">INDEX(GMW!$A$2:$NF$150,MATCH(1,(GMW!$NE$2:$NE$150=J$3)*(GMW!$ND$2:$ND$150=J$4)*(GMW!$NF$2:$NF$150=J$1),0),$C97-1966)</f>
        <v>65098</v>
      </c>
      <c r="K97" s="4" cm="1">
        <f t="array" ref="K97">INDEX(GMW!$A$2:$NF$150,MATCH(1,(GMW!$NE$2:$NE$150=K$3)*(GMW!$ND$2:$ND$150=K$4)*(GMW!$NF$2:$NF$150=K$1),0),$C97-1966)</f>
        <v>29775.85</v>
      </c>
      <c r="L97" s="4" cm="1">
        <f t="array" ref="L97">INDEX(GMW!$A$2:$NF$150,MATCH(1,(GMW!$NE$2:$NE$150=L$3)*(GMW!$ND$2:$ND$150=L$4)*(GMW!$NF$2:$NF$150=L$1),0),$C97-1966)</f>
        <v>382034.4</v>
      </c>
      <c r="M97" s="4" cm="1">
        <f t="array" ref="M97">INDEX(GMW!$A$2:$NF$150,MATCH(1,(GMW!$NE$2:$NE$150=M$3)*(GMW!$ND$2:$ND$150=M$4)*(GMW!$NF$2:$NF$150=M$1),0),$C97-1966)</f>
        <v>25865.29</v>
      </c>
      <c r="N97" s="4" cm="1">
        <f t="array" ref="N97">INDEX(GMW!$A$2:$NF$150,MATCH(1,(GMW!$NE$2:$NE$150=N$3)*(GMW!$ND$2:$ND$150=N$4)*(GMW!$NF$2:$NF$150=N$1),0),$C97-1966)</f>
        <v>33.200000000000003</v>
      </c>
      <c r="O97" s="4" cm="1">
        <f t="array" ref="O97">INDEX(GMW!$A$2:$NF$150,MATCH(1,(GMW!$NE$2:$NE$150=O$3)*(GMW!$ND$2:$ND$150=O$4)*(GMW!$NF$2:$NF$150=O$1),0),$C97-1966)</f>
        <v>364289.3</v>
      </c>
      <c r="P97" s="4" cm="1">
        <f t="array" ref="P97">INDEX(GMW!$A$2:$NF$150,MATCH(1,(GMW!$NE$2:$NE$150=P$3)*(GMW!$ND$2:$ND$150=P$4)*(GMW!$NF$2:$NF$150=P$1),0),$C97-1966)</f>
        <v>37568.18</v>
      </c>
      <c r="Q97" s="4" cm="1">
        <f t="array" ref="Q97">INDEX(GMW!$A$2:$NF$150,MATCH(1,(GMW!$NE$2:$NE$150=Q$3)*(GMW!$ND$2:$ND$150=Q$4)*(GMW!$NF$2:$NF$150=Q$1),0),$C97-1966)</f>
        <v>1749597</v>
      </c>
      <c r="R97" s="4" cm="1">
        <f t="array" ref="R97">INDEX(GMW!$A$2:$NF$150,MATCH(1,(GMW!$NE$2:$NE$150=R$3)*(GMW!$ND$2:$ND$150=R$4)*(GMW!$NF$2:$NF$150=R$1),0),$C97-1966)</f>
        <v>-1.7384569999999999</v>
      </c>
      <c r="S97" s="4" cm="1">
        <f t="array" ref="S97">INDEX(GMW!$A$2:$NF$150,MATCH(1,(GMW!$NE$2:$NE$150=S$3)*(GMW!$ND$2:$ND$150=S$4)*(GMW!$NF$2:$NF$150=S$1),0),$C97-1966)</f>
        <v>377249</v>
      </c>
      <c r="T97" s="4" cm="1">
        <f t="array" ref="T97">INDEX(GMW!$A$2:$NF$150,MATCH(1,(GMW!$NE$2:$NE$150=T$3)*(GMW!$ND$2:$ND$150=T$4)*(GMW!$NF$2:$NF$150=T$1),0),$C97-1966)</f>
        <v>67.400000000000006</v>
      </c>
      <c r="U97" s="4" cm="1">
        <f t="array" ref="U97">INDEX(GMW!$A$2:$NF$150,MATCH(1,(GMW!$NE$2:$NE$150=U$3)*(GMW!$ND$2:$ND$150=U$4)*(GMW!$NF$2:$NF$150=U$1),0),$C97-1966)</f>
        <v>85876</v>
      </c>
      <c r="V97" s="4" cm="1">
        <f t="array" ref="V97">INDEX(GMW!$A$2:$NF$150,MATCH(1,(GMW!$NE$2:$NE$150=V$3)*(GMW!$ND$2:$ND$150=V$4)*(GMW!$NF$2:$NF$150=V$1),0),$C97-1966)</f>
        <v>37229.83</v>
      </c>
      <c r="W97" s="4" cm="1">
        <f t="array" ref="W97">INDEX(GMW!$A$2:$NF$150,MATCH(1,(GMW!$NE$2:$NE$150=W$3)*(GMW!$ND$2:$ND$150=W$4)*(GMW!$NF$2:$NF$150=W$1),0),$C97-1966)</f>
        <v>77304</v>
      </c>
      <c r="X97" s="4" cm="1">
        <f t="array" ref="X97">INDEX(GMW!$A$2:$NF$150,MATCH(1,(GMW!$NE$2:$NE$150=X$3)*(GMW!$ND$2:$ND$150=X$4)*(GMW!$NF$2:$NF$150=X$1),0),$C97-1966)</f>
        <v>42334.07</v>
      </c>
      <c r="Y97" s="4" cm="1">
        <f t="array" ref="Y97">INDEX(GMW!$A$2:$NF$150,MATCH(1,(GMW!$NE$2:$NE$150=Y$3)*(GMW!$ND$2:$ND$150=Y$4)*(GMW!$NF$2:$NF$150=Y$1),0),$C97-1966)</f>
        <v>65098</v>
      </c>
      <c r="Z97" s="4" cm="1">
        <f t="array" ref="Z97">INDEX(GMW!$A$2:$NF$150,MATCH(1,(GMW!$NE$2:$NE$150=Z$3)*(GMW!$ND$2:$ND$150=Z$4)*(GMW!$NF$2:$NF$150=Z$1),0),$C97-1966)</f>
        <v>29775.85</v>
      </c>
      <c r="AA97" s="4" cm="1">
        <f t="array" ref="AA97">INDEX(GMW!$A$2:$NF$150,MATCH(1,(GMW!$NE$2:$NE$150=AA$3)*(GMW!$ND$2:$ND$150=AA$4)*(GMW!$NF$2:$NF$150=AA$1),0),$C97-1966)</f>
        <v>382034.4</v>
      </c>
      <c r="AB97" s="4" cm="1">
        <f t="array" ref="AB97">INDEX(GMW!$A$2:$NF$150,MATCH(1,(GMW!$NE$2:$NE$150=AB$3)*(GMW!$ND$2:$ND$150=AB$4)*(GMW!$NF$2:$NF$150=AB$1),0),$C97-1966)</f>
        <v>25865.29</v>
      </c>
      <c r="AC97" s="4" cm="1">
        <f t="array" ref="AC97">INDEX(GMW!$A$2:$NF$150,MATCH(1,(GMW!$NE$2:$NE$150=AC$3)*(GMW!$ND$2:$ND$150=AC$4)*(GMW!$NF$2:$NF$150=AC$1),0),$C97-1966)</f>
        <v>33.200000000000003</v>
      </c>
      <c r="AD97" s="4" cm="1">
        <f t="array" ref="AD97">INDEX(GMW!$A$2:$NF$150,MATCH(1,(GMW!$NE$2:$NE$150=AD$3)*(GMW!$ND$2:$ND$150=AD$4)*(GMW!$NF$2:$NF$150=AD$1),0),$C97-1966)</f>
        <v>364289.3</v>
      </c>
      <c r="AE97" s="4" cm="1">
        <f t="array" ref="AE97">INDEX(GMW!$A$2:$NF$150,MATCH(1,(GMW!$NE$2:$NE$150=AE$3)*(GMW!$ND$2:$ND$150=AE$4)*(GMW!$NF$2:$NF$150=AE$1),0),$C97-1966)</f>
        <v>37568.18</v>
      </c>
      <c r="AF97" s="4" cm="1">
        <f t="array" ref="AF97">INDEX(GMW!$A$2:$NF$150,MATCH(1,(GMW!$NE$2:$NE$150=AF$3)*(GMW!$ND$2:$ND$150=AF$4)*(GMW!$NF$2:$NF$150=AF$1),0),$C97-1966)</f>
        <v>1749597</v>
      </c>
      <c r="AG97" s="4" cm="1">
        <f t="array" ref="AG97">INDEX(GMW!$A$2:$NF$150,MATCH(1,(GMW!$NE$2:$NE$150=AG$3)*(GMW!$ND$2:$ND$150=AG$4)*(GMW!$NF$2:$NF$150=AG$1),0),$C97-1966)</f>
        <v>-1.7384569999999999</v>
      </c>
      <c r="AH97" s="4" cm="1">
        <f t="array" ref="AH97">INDEX(GMW!$A$2:$NF$150,MATCH(1,(GMW!$NE$2:$NE$150=AH$3)*(GMW!$ND$2:$ND$150=AH$4)*(GMW!$NF$2:$NF$150=AH$1),0),$C97-1966)</f>
        <v>377249</v>
      </c>
      <c r="AI97" s="4" cm="1">
        <f t="array" ref="AI97">INDEX(GMW!$A$2:$NF$150,MATCH(1,(GMW!$NE$2:$NE$150=AI$3)*(GMW!$ND$2:$ND$150=AI$4)*(GMW!$NF$2:$NF$150=AI$1),0),$C97-1966)</f>
        <v>67.400000000000006</v>
      </c>
      <c r="AJ97" s="4" cm="1">
        <f t="array" ref="AJ97">INDEX(GMW!$A$2:$NF$150,MATCH(1,(GMW!$NE$2:$NE$150=AJ$3)*(GMW!$ND$2:$ND$150=AJ$4)*(GMW!$NF$2:$NF$150=AJ$1),0),$C97-1966)</f>
        <v>85876</v>
      </c>
      <c r="AK97" s="4" cm="1">
        <f t="array" ref="AK97">INDEX(GMW!$A$2:$NF$150,MATCH(1,(GMW!$NE$2:$NE$150=AK$3)*(GMW!$ND$2:$ND$150=AK$4)*(GMW!$NF$2:$NF$150=AK$1),0),$C97-1966)</f>
        <v>37229.83</v>
      </c>
      <c r="AL97" s="4" cm="1">
        <f t="array" ref="AL97">INDEX(GMW!$A$2:$NF$150,MATCH(1,(GMW!$NE$2:$NE$150=AL$3)*(GMW!$ND$2:$ND$150=AL$4)*(GMW!$NF$2:$NF$150=AL$1),0),$C97-1966)</f>
        <v>77304</v>
      </c>
      <c r="AM97" s="4" cm="1">
        <f t="array" ref="AM97">INDEX(GMW!$A$2:$NF$150,MATCH(1,(GMW!$NE$2:$NE$150=AM$3)*(GMW!$ND$2:$ND$150=AM$4)*(GMW!$NF$2:$NF$150=AM$1),0),$C97-1966)</f>
        <v>42334.07</v>
      </c>
      <c r="AN97" s="4" cm="1">
        <f t="array" ref="AN97">INDEX(GMW!$A$2:$NF$150,MATCH(1,(GMW!$NE$2:$NE$150=AN$3)*(GMW!$ND$2:$ND$150=AN$4)*(GMW!$NF$2:$NF$150=AN$1),0),$C97-1966)</f>
        <v>65098</v>
      </c>
      <c r="AO97" s="4" cm="1">
        <f t="array" ref="AO97">INDEX(GMW!$A$2:$NF$150,MATCH(1,(GMW!$NE$2:$NE$150=AO$3)*(GMW!$ND$2:$ND$150=AO$4)*(GMW!$NF$2:$NF$150=AO$1),0),$C97-1966)</f>
        <v>29775.85</v>
      </c>
      <c r="AP97" s="4" cm="1">
        <f t="array" ref="AP97">INDEX(GMW!$A$2:$NF$150,MATCH(1,(GMW!$NE$2:$NE$150=AP$3)*(GMW!$ND$2:$ND$150=AP$4)*(GMW!$NF$2:$NF$150=AP$1),0),$C97-1966)</f>
        <v>382034.4</v>
      </c>
      <c r="AQ97" s="4" cm="1">
        <f t="array" ref="AQ97">INDEX(GMW!$A$2:$NF$150,MATCH(1,(GMW!$NE$2:$NE$150=AQ$3)*(GMW!$ND$2:$ND$150=AQ$4)*(GMW!$NF$2:$NF$150=AQ$1),0),$C97-1966)</f>
        <v>25865.29</v>
      </c>
      <c r="AR97" s="4" cm="1">
        <f t="array" ref="AR97">INDEX(GMW!$A$2:$NF$150,MATCH(1,(GMW!$NE$2:$NE$150=AR$3)*(GMW!$ND$2:$ND$150=AR$4)*(GMW!$NF$2:$NF$150=AR$1),0),$C97-1966)</f>
        <v>33.200000000000003</v>
      </c>
      <c r="AS97" s="4" cm="1">
        <f t="array" ref="AS97">INDEX(GMW!$A$2:$NF$150,MATCH(1,(GMW!$NE$2:$NE$150=AS$3)*(GMW!$ND$2:$ND$150=AS$4)*(GMW!$NF$2:$NF$150=AS$1),0),$C97-1966)</f>
        <v>364289.3</v>
      </c>
      <c r="AT97" s="4" cm="1">
        <f t="array" ref="AT97">INDEX(GMW!$A$2:$NF$150,MATCH(1,(GMW!$NE$2:$NE$150=AT$3)*(GMW!$ND$2:$ND$150=AT$4)*(GMW!$NF$2:$NF$150=AT$1),0),$C97-1966)</f>
        <v>37568.18</v>
      </c>
      <c r="AU97" s="4" cm="1">
        <f t="array" ref="AU97">INDEX(GMW!$A$2:$NF$150,MATCH(1,(GMW!$NE$2:$NE$150=AU$3)*(GMW!$ND$2:$ND$150=AU$4)*(GMW!$NF$2:$NF$150=AU$1),0),$C97-1966)</f>
        <v>1749597</v>
      </c>
      <c r="AV97" s="4" cm="1">
        <f t="array" ref="AV97">INDEX(GMW!$A$2:$NF$150,MATCH(1,(GMW!$NE$2:$NE$150=AV$3)*(GMW!$ND$2:$ND$150=AV$4)*(GMW!$NF$2:$NF$150=AV$1),0),$C97-1966)</f>
        <v>-1.7384569999999999</v>
      </c>
    </row>
    <row r="98" spans="1:48" x14ac:dyDescent="0.25">
      <c r="B98" s="4">
        <f t="shared" si="6"/>
        <v>1995</v>
      </c>
      <c r="C98" s="4">
        <f t="shared" si="5"/>
        <v>2064</v>
      </c>
      <c r="D98" s="4" cm="1">
        <f t="array" ref="D98">INDEX(GMW!$A$2:$NF$150,MATCH(1,(GMW!$NE$2:$NE$150=D$3)*(GMW!$ND$2:$ND$150=D$4)*(GMW!$NF$2:$NF$150=D$1),0),$C98-1966)</f>
        <v>378442</v>
      </c>
      <c r="E98" s="4" cm="1">
        <f t="array" ref="E98">INDEX(GMW!$A$2:$NF$150,MATCH(1,(GMW!$NE$2:$NE$150=E$3)*(GMW!$ND$2:$ND$150=E$4)*(GMW!$NF$2:$NF$150=E$1),0),$C98-1966)</f>
        <v>67.733329999999995</v>
      </c>
      <c r="F98" s="4" cm="1">
        <f t="array" ref="F98">INDEX(GMW!$A$2:$NF$150,MATCH(1,(GMW!$NE$2:$NE$150=F$3)*(GMW!$ND$2:$ND$150=F$4)*(GMW!$NF$2:$NF$150=F$1),0),$C98-1966)</f>
        <v>87077</v>
      </c>
      <c r="G98" s="4" cm="1">
        <f t="array" ref="G98">INDEX(GMW!$A$2:$NF$150,MATCH(1,(GMW!$NE$2:$NE$150=G$3)*(GMW!$ND$2:$ND$150=G$4)*(GMW!$NF$2:$NF$150=G$1),0),$C98-1966)</f>
        <v>36407.699999999997</v>
      </c>
      <c r="H98" s="4" cm="1">
        <f t="array" ref="H98">INDEX(GMW!$A$2:$NF$150,MATCH(1,(GMW!$NE$2:$NE$150=H$3)*(GMW!$ND$2:$ND$150=H$4)*(GMW!$NF$2:$NF$150=H$1),0),$C98-1966)</f>
        <v>77893</v>
      </c>
      <c r="I98" s="4" cm="1">
        <f t="array" ref="I98">INDEX(GMW!$A$2:$NF$150,MATCH(1,(GMW!$NE$2:$NE$150=I$3)*(GMW!$ND$2:$ND$150=I$4)*(GMW!$NF$2:$NF$150=I$1),0),$C98-1966)</f>
        <v>44506.879999999997</v>
      </c>
      <c r="J98" s="4" cm="1">
        <f t="array" ref="J98">INDEX(GMW!$A$2:$NF$150,MATCH(1,(GMW!$NE$2:$NE$150=J$3)*(GMW!$ND$2:$ND$150=J$4)*(GMW!$NF$2:$NF$150=J$1),0),$C98-1966)</f>
        <v>65410</v>
      </c>
      <c r="K98" s="4" cm="1">
        <f t="array" ref="K98">INDEX(GMW!$A$2:$NF$150,MATCH(1,(GMW!$NE$2:$NE$150=K$3)*(GMW!$ND$2:$ND$150=K$4)*(GMW!$NF$2:$NF$150=K$1),0),$C98-1966)</f>
        <v>30244.07</v>
      </c>
      <c r="L98" s="4" cm="1">
        <f t="array" ref="L98">INDEX(GMW!$A$2:$NF$150,MATCH(1,(GMW!$NE$2:$NE$150=L$3)*(GMW!$ND$2:$ND$150=L$4)*(GMW!$NF$2:$NF$150=L$1),0),$C98-1966)</f>
        <v>384510.9</v>
      </c>
      <c r="M98" s="4" cm="1">
        <f t="array" ref="M98">INDEX(GMW!$A$2:$NF$150,MATCH(1,(GMW!$NE$2:$NE$150=M$3)*(GMW!$ND$2:$ND$150=M$4)*(GMW!$NF$2:$NF$150=M$1),0),$C98-1966)</f>
        <v>25926.53</v>
      </c>
      <c r="N98" s="4" cm="1">
        <f t="array" ref="N98">INDEX(GMW!$A$2:$NF$150,MATCH(1,(GMW!$NE$2:$NE$150=N$3)*(GMW!$ND$2:$ND$150=N$4)*(GMW!$NF$2:$NF$150=N$1),0),$C98-1966)</f>
        <v>33.200000000000003</v>
      </c>
      <c r="O98" s="4" cm="1">
        <f t="array" ref="O98">INDEX(GMW!$A$2:$NF$150,MATCH(1,(GMW!$NE$2:$NE$150=O$3)*(GMW!$ND$2:$ND$150=O$4)*(GMW!$NF$2:$NF$150=O$1),0),$C98-1966)</f>
        <v>364765.5</v>
      </c>
      <c r="P98" s="4" cm="1">
        <f t="array" ref="P98">INDEX(GMW!$A$2:$NF$150,MATCH(1,(GMW!$NE$2:$NE$150=P$3)*(GMW!$ND$2:$ND$150=P$4)*(GMW!$NF$2:$NF$150=P$1),0),$C98-1966)</f>
        <v>37598.43</v>
      </c>
      <c r="Q98" s="4" cm="1">
        <f t="array" ref="Q98">INDEX(GMW!$A$2:$NF$150,MATCH(1,(GMW!$NE$2:$NE$150=Q$3)*(GMW!$ND$2:$ND$150=Q$4)*(GMW!$NF$2:$NF$150=Q$1),0),$C98-1966)</f>
        <v>1760124</v>
      </c>
      <c r="R98" s="4" cm="1">
        <f t="array" ref="R98">INDEX(GMW!$A$2:$NF$150,MATCH(1,(GMW!$NE$2:$NE$150=R$3)*(GMW!$ND$2:$ND$150=R$4)*(GMW!$NF$2:$NF$150=R$1),0),$C98-1966)</f>
        <v>-1.735795</v>
      </c>
      <c r="S98" s="4" cm="1">
        <f t="array" ref="S98">INDEX(GMW!$A$2:$NF$150,MATCH(1,(GMW!$NE$2:$NE$150=S$3)*(GMW!$ND$2:$ND$150=S$4)*(GMW!$NF$2:$NF$150=S$1),0),$C98-1966)</f>
        <v>378442</v>
      </c>
      <c r="T98" s="4" cm="1">
        <f t="array" ref="T98">INDEX(GMW!$A$2:$NF$150,MATCH(1,(GMW!$NE$2:$NE$150=T$3)*(GMW!$ND$2:$ND$150=T$4)*(GMW!$NF$2:$NF$150=T$1),0),$C98-1966)</f>
        <v>67.733329999999995</v>
      </c>
      <c r="U98" s="4" cm="1">
        <f t="array" ref="U98">INDEX(GMW!$A$2:$NF$150,MATCH(1,(GMW!$NE$2:$NE$150=U$3)*(GMW!$ND$2:$ND$150=U$4)*(GMW!$NF$2:$NF$150=U$1),0),$C98-1966)</f>
        <v>87077</v>
      </c>
      <c r="V98" s="4" cm="1">
        <f t="array" ref="V98">INDEX(GMW!$A$2:$NF$150,MATCH(1,(GMW!$NE$2:$NE$150=V$3)*(GMW!$ND$2:$ND$150=V$4)*(GMW!$NF$2:$NF$150=V$1),0),$C98-1966)</f>
        <v>36407.699999999997</v>
      </c>
      <c r="W98" s="4" cm="1">
        <f t="array" ref="W98">INDEX(GMW!$A$2:$NF$150,MATCH(1,(GMW!$NE$2:$NE$150=W$3)*(GMW!$ND$2:$ND$150=W$4)*(GMW!$NF$2:$NF$150=W$1),0),$C98-1966)</f>
        <v>77893</v>
      </c>
      <c r="X98" s="4" cm="1">
        <f t="array" ref="X98">INDEX(GMW!$A$2:$NF$150,MATCH(1,(GMW!$NE$2:$NE$150=X$3)*(GMW!$ND$2:$ND$150=X$4)*(GMW!$NF$2:$NF$150=X$1),0),$C98-1966)</f>
        <v>44506.879999999997</v>
      </c>
      <c r="Y98" s="4" cm="1">
        <f t="array" ref="Y98">INDEX(GMW!$A$2:$NF$150,MATCH(1,(GMW!$NE$2:$NE$150=Y$3)*(GMW!$ND$2:$ND$150=Y$4)*(GMW!$NF$2:$NF$150=Y$1),0),$C98-1966)</f>
        <v>65410</v>
      </c>
      <c r="Z98" s="4" cm="1">
        <f t="array" ref="Z98">INDEX(GMW!$A$2:$NF$150,MATCH(1,(GMW!$NE$2:$NE$150=Z$3)*(GMW!$ND$2:$ND$150=Z$4)*(GMW!$NF$2:$NF$150=Z$1),0),$C98-1966)</f>
        <v>30244.07</v>
      </c>
      <c r="AA98" s="4" cm="1">
        <f t="array" ref="AA98">INDEX(GMW!$A$2:$NF$150,MATCH(1,(GMW!$NE$2:$NE$150=AA$3)*(GMW!$ND$2:$ND$150=AA$4)*(GMW!$NF$2:$NF$150=AA$1),0),$C98-1966)</f>
        <v>384510.9</v>
      </c>
      <c r="AB98" s="4" cm="1">
        <f t="array" ref="AB98">INDEX(GMW!$A$2:$NF$150,MATCH(1,(GMW!$NE$2:$NE$150=AB$3)*(GMW!$ND$2:$ND$150=AB$4)*(GMW!$NF$2:$NF$150=AB$1),0),$C98-1966)</f>
        <v>25926.53</v>
      </c>
      <c r="AC98" s="4" cm="1">
        <f t="array" ref="AC98">INDEX(GMW!$A$2:$NF$150,MATCH(1,(GMW!$NE$2:$NE$150=AC$3)*(GMW!$ND$2:$ND$150=AC$4)*(GMW!$NF$2:$NF$150=AC$1),0),$C98-1966)</f>
        <v>33.200000000000003</v>
      </c>
      <c r="AD98" s="4" cm="1">
        <f t="array" ref="AD98">INDEX(GMW!$A$2:$NF$150,MATCH(1,(GMW!$NE$2:$NE$150=AD$3)*(GMW!$ND$2:$ND$150=AD$4)*(GMW!$NF$2:$NF$150=AD$1),0),$C98-1966)</f>
        <v>364765.5</v>
      </c>
      <c r="AE98" s="4" cm="1">
        <f t="array" ref="AE98">INDEX(GMW!$A$2:$NF$150,MATCH(1,(GMW!$NE$2:$NE$150=AE$3)*(GMW!$ND$2:$ND$150=AE$4)*(GMW!$NF$2:$NF$150=AE$1),0),$C98-1966)</f>
        <v>37598.43</v>
      </c>
      <c r="AF98" s="4" cm="1">
        <f t="array" ref="AF98">INDEX(GMW!$A$2:$NF$150,MATCH(1,(GMW!$NE$2:$NE$150=AF$3)*(GMW!$ND$2:$ND$150=AF$4)*(GMW!$NF$2:$NF$150=AF$1),0),$C98-1966)</f>
        <v>1760124</v>
      </c>
      <c r="AG98" s="4" cm="1">
        <f t="array" ref="AG98">INDEX(GMW!$A$2:$NF$150,MATCH(1,(GMW!$NE$2:$NE$150=AG$3)*(GMW!$ND$2:$ND$150=AG$4)*(GMW!$NF$2:$NF$150=AG$1),0),$C98-1966)</f>
        <v>-1.735795</v>
      </c>
      <c r="AH98" s="4" cm="1">
        <f t="array" ref="AH98">INDEX(GMW!$A$2:$NF$150,MATCH(1,(GMW!$NE$2:$NE$150=AH$3)*(GMW!$ND$2:$ND$150=AH$4)*(GMW!$NF$2:$NF$150=AH$1),0),$C98-1966)</f>
        <v>378442</v>
      </c>
      <c r="AI98" s="4" cm="1">
        <f t="array" ref="AI98">INDEX(GMW!$A$2:$NF$150,MATCH(1,(GMW!$NE$2:$NE$150=AI$3)*(GMW!$ND$2:$ND$150=AI$4)*(GMW!$NF$2:$NF$150=AI$1),0),$C98-1966)</f>
        <v>67.733329999999995</v>
      </c>
      <c r="AJ98" s="4" cm="1">
        <f t="array" ref="AJ98">INDEX(GMW!$A$2:$NF$150,MATCH(1,(GMW!$NE$2:$NE$150=AJ$3)*(GMW!$ND$2:$ND$150=AJ$4)*(GMW!$NF$2:$NF$150=AJ$1),0),$C98-1966)</f>
        <v>87077</v>
      </c>
      <c r="AK98" s="4" cm="1">
        <f t="array" ref="AK98">INDEX(GMW!$A$2:$NF$150,MATCH(1,(GMW!$NE$2:$NE$150=AK$3)*(GMW!$ND$2:$ND$150=AK$4)*(GMW!$NF$2:$NF$150=AK$1),0),$C98-1966)</f>
        <v>36407.699999999997</v>
      </c>
      <c r="AL98" s="4" cm="1">
        <f t="array" ref="AL98">INDEX(GMW!$A$2:$NF$150,MATCH(1,(GMW!$NE$2:$NE$150=AL$3)*(GMW!$ND$2:$ND$150=AL$4)*(GMW!$NF$2:$NF$150=AL$1),0),$C98-1966)</f>
        <v>77893</v>
      </c>
      <c r="AM98" s="4" cm="1">
        <f t="array" ref="AM98">INDEX(GMW!$A$2:$NF$150,MATCH(1,(GMW!$NE$2:$NE$150=AM$3)*(GMW!$ND$2:$ND$150=AM$4)*(GMW!$NF$2:$NF$150=AM$1),0),$C98-1966)</f>
        <v>44506.879999999997</v>
      </c>
      <c r="AN98" s="4" cm="1">
        <f t="array" ref="AN98">INDEX(GMW!$A$2:$NF$150,MATCH(1,(GMW!$NE$2:$NE$150=AN$3)*(GMW!$ND$2:$ND$150=AN$4)*(GMW!$NF$2:$NF$150=AN$1),0),$C98-1966)</f>
        <v>65410</v>
      </c>
      <c r="AO98" s="4" cm="1">
        <f t="array" ref="AO98">INDEX(GMW!$A$2:$NF$150,MATCH(1,(GMW!$NE$2:$NE$150=AO$3)*(GMW!$ND$2:$ND$150=AO$4)*(GMW!$NF$2:$NF$150=AO$1),0),$C98-1966)</f>
        <v>30244.07</v>
      </c>
      <c r="AP98" s="4" cm="1">
        <f t="array" ref="AP98">INDEX(GMW!$A$2:$NF$150,MATCH(1,(GMW!$NE$2:$NE$150=AP$3)*(GMW!$ND$2:$ND$150=AP$4)*(GMW!$NF$2:$NF$150=AP$1),0),$C98-1966)</f>
        <v>384510.9</v>
      </c>
      <c r="AQ98" s="4" cm="1">
        <f t="array" ref="AQ98">INDEX(GMW!$A$2:$NF$150,MATCH(1,(GMW!$NE$2:$NE$150=AQ$3)*(GMW!$ND$2:$ND$150=AQ$4)*(GMW!$NF$2:$NF$150=AQ$1),0),$C98-1966)</f>
        <v>25926.53</v>
      </c>
      <c r="AR98" s="4" cm="1">
        <f t="array" ref="AR98">INDEX(GMW!$A$2:$NF$150,MATCH(1,(GMW!$NE$2:$NE$150=AR$3)*(GMW!$ND$2:$ND$150=AR$4)*(GMW!$NF$2:$NF$150=AR$1),0),$C98-1966)</f>
        <v>33.200000000000003</v>
      </c>
      <c r="AS98" s="4" cm="1">
        <f t="array" ref="AS98">INDEX(GMW!$A$2:$NF$150,MATCH(1,(GMW!$NE$2:$NE$150=AS$3)*(GMW!$ND$2:$ND$150=AS$4)*(GMW!$NF$2:$NF$150=AS$1),0),$C98-1966)</f>
        <v>364765.5</v>
      </c>
      <c r="AT98" s="4" cm="1">
        <f t="array" ref="AT98">INDEX(GMW!$A$2:$NF$150,MATCH(1,(GMW!$NE$2:$NE$150=AT$3)*(GMW!$ND$2:$ND$150=AT$4)*(GMW!$NF$2:$NF$150=AT$1),0),$C98-1966)</f>
        <v>37598.43</v>
      </c>
      <c r="AU98" s="4" cm="1">
        <f t="array" ref="AU98">INDEX(GMW!$A$2:$NF$150,MATCH(1,(GMW!$NE$2:$NE$150=AU$3)*(GMW!$ND$2:$ND$150=AU$4)*(GMW!$NF$2:$NF$150=AU$1),0),$C98-1966)</f>
        <v>1760124</v>
      </c>
      <c r="AV98" s="4" cm="1">
        <f t="array" ref="AV98">INDEX(GMW!$A$2:$NF$150,MATCH(1,(GMW!$NE$2:$NE$150=AV$3)*(GMW!$ND$2:$ND$150=AV$4)*(GMW!$NF$2:$NF$150=AV$1),0),$C98-1966)</f>
        <v>-1.735795</v>
      </c>
    </row>
    <row r="99" spans="1:48" x14ac:dyDescent="0.25">
      <c r="A99" s="4">
        <v>1996</v>
      </c>
      <c r="B99" s="4">
        <f t="shared" si="6"/>
        <v>1996</v>
      </c>
      <c r="C99" s="4">
        <f t="shared" si="5"/>
        <v>2065</v>
      </c>
      <c r="D99" s="4" cm="1">
        <f t="array" ref="D99">INDEX(GMW!$A$2:$NF$150,MATCH(1,(GMW!$NE$2:$NE$150=D$3)*(GMW!$ND$2:$ND$150=D$4)*(GMW!$NF$2:$NF$150=D$1),0),$C99-1966)</f>
        <v>380976</v>
      </c>
      <c r="E99" s="4" cm="1">
        <f t="array" ref="E99">INDEX(GMW!$A$2:$NF$150,MATCH(1,(GMW!$NE$2:$NE$150=E$3)*(GMW!$ND$2:$ND$150=E$4)*(GMW!$NF$2:$NF$150=E$1),0),$C99-1966)</f>
        <v>68.099999999999994</v>
      </c>
      <c r="F99" s="4" cm="1">
        <f t="array" ref="F99">INDEX(GMW!$A$2:$NF$150,MATCH(1,(GMW!$NE$2:$NE$150=F$3)*(GMW!$ND$2:$ND$150=F$4)*(GMW!$NF$2:$NF$150=F$1),0),$C99-1966)</f>
        <v>88955</v>
      </c>
      <c r="G99" s="4" cm="1">
        <f t="array" ref="G99">INDEX(GMW!$A$2:$NF$150,MATCH(1,(GMW!$NE$2:$NE$150=G$3)*(GMW!$ND$2:$ND$150=G$4)*(GMW!$NF$2:$NF$150=G$1),0),$C99-1966)</f>
        <v>38859.06</v>
      </c>
      <c r="H99" s="4" cm="1">
        <f t="array" ref="H99">INDEX(GMW!$A$2:$NF$150,MATCH(1,(GMW!$NE$2:$NE$150=H$3)*(GMW!$ND$2:$ND$150=H$4)*(GMW!$NF$2:$NF$150=H$1),0),$C99-1966)</f>
        <v>80910</v>
      </c>
      <c r="I99" s="4" cm="1">
        <f t="array" ref="I99">INDEX(GMW!$A$2:$NF$150,MATCH(1,(GMW!$NE$2:$NE$150=I$3)*(GMW!$ND$2:$ND$150=I$4)*(GMW!$NF$2:$NF$150=I$1),0),$C99-1966)</f>
        <v>46582.93</v>
      </c>
      <c r="J99" s="4" cm="1">
        <f t="array" ref="J99">INDEX(GMW!$A$2:$NF$150,MATCH(1,(GMW!$NE$2:$NE$150=J$3)*(GMW!$ND$2:$ND$150=J$4)*(GMW!$NF$2:$NF$150=J$1),0),$C99-1966)</f>
        <v>67091</v>
      </c>
      <c r="K99" s="4" cm="1">
        <f t="array" ref="K99">INDEX(GMW!$A$2:$NF$150,MATCH(1,(GMW!$NE$2:$NE$150=K$3)*(GMW!$ND$2:$ND$150=K$4)*(GMW!$NF$2:$NF$150=K$1),0),$C99-1966)</f>
        <v>31153.14</v>
      </c>
      <c r="L99" s="4" cm="1">
        <f t="array" ref="L99">INDEX(GMW!$A$2:$NF$150,MATCH(1,(GMW!$NE$2:$NE$150=L$3)*(GMW!$ND$2:$ND$150=L$4)*(GMW!$NF$2:$NF$150=L$1),0),$C99-1966)</f>
        <v>386665.7</v>
      </c>
      <c r="M99" s="4" cm="1">
        <f t="array" ref="M99">INDEX(GMW!$A$2:$NF$150,MATCH(1,(GMW!$NE$2:$NE$150=M$3)*(GMW!$ND$2:$ND$150=M$4)*(GMW!$NF$2:$NF$150=M$1),0),$C99-1966)</f>
        <v>25951.1</v>
      </c>
      <c r="N99" s="4" cm="1">
        <f t="array" ref="N99">INDEX(GMW!$A$2:$NF$150,MATCH(1,(GMW!$NE$2:$NE$150=N$3)*(GMW!$ND$2:$ND$150=N$4)*(GMW!$NF$2:$NF$150=N$1),0),$C99-1966)</f>
        <v>33.200000000000003</v>
      </c>
      <c r="O99" s="4" cm="1">
        <f t="array" ref="O99">INDEX(GMW!$A$2:$NF$150,MATCH(1,(GMW!$NE$2:$NE$150=O$3)*(GMW!$ND$2:$ND$150=O$4)*(GMW!$NF$2:$NF$150=O$1),0),$C99-1966)</f>
        <v>365321.5</v>
      </c>
      <c r="P99" s="4" cm="1">
        <f t="array" ref="P99">INDEX(GMW!$A$2:$NF$150,MATCH(1,(GMW!$NE$2:$NE$150=P$3)*(GMW!$ND$2:$ND$150=P$4)*(GMW!$NF$2:$NF$150=P$1),0),$C99-1966)</f>
        <v>37628.68</v>
      </c>
      <c r="Q99" s="4" cm="1">
        <f t="array" ref="Q99">INDEX(GMW!$A$2:$NF$150,MATCH(1,(GMW!$NE$2:$NE$150=Q$3)*(GMW!$ND$2:$ND$150=Q$4)*(GMW!$NF$2:$NF$150=Q$1),0),$C99-1966)</f>
        <v>1770924</v>
      </c>
      <c r="R99" s="4" cm="1">
        <f t="array" ref="R99">INDEX(GMW!$A$2:$NF$150,MATCH(1,(GMW!$NE$2:$NE$150=R$3)*(GMW!$ND$2:$ND$150=R$4)*(GMW!$NF$2:$NF$150=R$1),0),$C99-1966)</f>
        <v>-1.7331380000000001</v>
      </c>
      <c r="S99" s="4" cm="1">
        <f t="array" ref="S99">INDEX(GMW!$A$2:$NF$150,MATCH(1,(GMW!$NE$2:$NE$150=S$3)*(GMW!$ND$2:$ND$150=S$4)*(GMW!$NF$2:$NF$150=S$1),0),$C99-1966)</f>
        <v>380976</v>
      </c>
      <c r="T99" s="4" cm="1">
        <f t="array" ref="T99">INDEX(GMW!$A$2:$NF$150,MATCH(1,(GMW!$NE$2:$NE$150=T$3)*(GMW!$ND$2:$ND$150=T$4)*(GMW!$NF$2:$NF$150=T$1),0),$C99-1966)</f>
        <v>68.099999999999994</v>
      </c>
      <c r="U99" s="4" cm="1">
        <f t="array" ref="U99">INDEX(GMW!$A$2:$NF$150,MATCH(1,(GMW!$NE$2:$NE$150=U$3)*(GMW!$ND$2:$ND$150=U$4)*(GMW!$NF$2:$NF$150=U$1),0),$C99-1966)</f>
        <v>88955</v>
      </c>
      <c r="V99" s="4" cm="1">
        <f t="array" ref="V99">INDEX(GMW!$A$2:$NF$150,MATCH(1,(GMW!$NE$2:$NE$150=V$3)*(GMW!$ND$2:$ND$150=V$4)*(GMW!$NF$2:$NF$150=V$1),0),$C99-1966)</f>
        <v>38859.06</v>
      </c>
      <c r="W99" s="4" cm="1">
        <f t="array" ref="W99">INDEX(GMW!$A$2:$NF$150,MATCH(1,(GMW!$NE$2:$NE$150=W$3)*(GMW!$ND$2:$ND$150=W$4)*(GMW!$NF$2:$NF$150=W$1),0),$C99-1966)</f>
        <v>80910</v>
      </c>
      <c r="X99" s="4" cm="1">
        <f t="array" ref="X99">INDEX(GMW!$A$2:$NF$150,MATCH(1,(GMW!$NE$2:$NE$150=X$3)*(GMW!$ND$2:$ND$150=X$4)*(GMW!$NF$2:$NF$150=X$1),0),$C99-1966)</f>
        <v>46582.93</v>
      </c>
      <c r="Y99" s="4" cm="1">
        <f t="array" ref="Y99">INDEX(GMW!$A$2:$NF$150,MATCH(1,(GMW!$NE$2:$NE$150=Y$3)*(GMW!$ND$2:$ND$150=Y$4)*(GMW!$NF$2:$NF$150=Y$1),0),$C99-1966)</f>
        <v>67091</v>
      </c>
      <c r="Z99" s="4" cm="1">
        <f t="array" ref="Z99">INDEX(GMW!$A$2:$NF$150,MATCH(1,(GMW!$NE$2:$NE$150=Z$3)*(GMW!$ND$2:$ND$150=Z$4)*(GMW!$NF$2:$NF$150=Z$1),0),$C99-1966)</f>
        <v>31153.14</v>
      </c>
      <c r="AA99" s="4" cm="1">
        <f t="array" ref="AA99">INDEX(GMW!$A$2:$NF$150,MATCH(1,(GMW!$NE$2:$NE$150=AA$3)*(GMW!$ND$2:$ND$150=AA$4)*(GMW!$NF$2:$NF$150=AA$1),0),$C99-1966)</f>
        <v>386665.7</v>
      </c>
      <c r="AB99" s="4" cm="1">
        <f t="array" ref="AB99">INDEX(GMW!$A$2:$NF$150,MATCH(1,(GMW!$NE$2:$NE$150=AB$3)*(GMW!$ND$2:$ND$150=AB$4)*(GMW!$NF$2:$NF$150=AB$1),0),$C99-1966)</f>
        <v>25951.1</v>
      </c>
      <c r="AC99" s="4" cm="1">
        <f t="array" ref="AC99">INDEX(GMW!$A$2:$NF$150,MATCH(1,(GMW!$NE$2:$NE$150=AC$3)*(GMW!$ND$2:$ND$150=AC$4)*(GMW!$NF$2:$NF$150=AC$1),0),$C99-1966)</f>
        <v>33.200000000000003</v>
      </c>
      <c r="AD99" s="4" cm="1">
        <f t="array" ref="AD99">INDEX(GMW!$A$2:$NF$150,MATCH(1,(GMW!$NE$2:$NE$150=AD$3)*(GMW!$ND$2:$ND$150=AD$4)*(GMW!$NF$2:$NF$150=AD$1),0),$C99-1966)</f>
        <v>365321.5</v>
      </c>
      <c r="AE99" s="4" cm="1">
        <f t="array" ref="AE99">INDEX(GMW!$A$2:$NF$150,MATCH(1,(GMW!$NE$2:$NE$150=AE$3)*(GMW!$ND$2:$ND$150=AE$4)*(GMW!$NF$2:$NF$150=AE$1),0),$C99-1966)</f>
        <v>37628.68</v>
      </c>
      <c r="AF99" s="4" cm="1">
        <f t="array" ref="AF99">INDEX(GMW!$A$2:$NF$150,MATCH(1,(GMW!$NE$2:$NE$150=AF$3)*(GMW!$ND$2:$ND$150=AF$4)*(GMW!$NF$2:$NF$150=AF$1),0),$C99-1966)</f>
        <v>1770924</v>
      </c>
      <c r="AG99" s="4" cm="1">
        <f t="array" ref="AG99">INDEX(GMW!$A$2:$NF$150,MATCH(1,(GMW!$NE$2:$NE$150=AG$3)*(GMW!$ND$2:$ND$150=AG$4)*(GMW!$NF$2:$NF$150=AG$1),0),$C99-1966)</f>
        <v>-1.7331380000000001</v>
      </c>
      <c r="AH99" s="4" cm="1">
        <f t="array" ref="AH99">INDEX(GMW!$A$2:$NF$150,MATCH(1,(GMW!$NE$2:$NE$150=AH$3)*(GMW!$ND$2:$ND$150=AH$4)*(GMW!$NF$2:$NF$150=AH$1),0),$C99-1966)</f>
        <v>380976</v>
      </c>
      <c r="AI99" s="4" cm="1">
        <f t="array" ref="AI99">INDEX(GMW!$A$2:$NF$150,MATCH(1,(GMW!$NE$2:$NE$150=AI$3)*(GMW!$ND$2:$ND$150=AI$4)*(GMW!$NF$2:$NF$150=AI$1),0),$C99-1966)</f>
        <v>68.099999999999994</v>
      </c>
      <c r="AJ99" s="4" cm="1">
        <f t="array" ref="AJ99">INDEX(GMW!$A$2:$NF$150,MATCH(1,(GMW!$NE$2:$NE$150=AJ$3)*(GMW!$ND$2:$ND$150=AJ$4)*(GMW!$NF$2:$NF$150=AJ$1),0),$C99-1966)</f>
        <v>88955</v>
      </c>
      <c r="AK99" s="4" cm="1">
        <f t="array" ref="AK99">INDEX(GMW!$A$2:$NF$150,MATCH(1,(GMW!$NE$2:$NE$150=AK$3)*(GMW!$ND$2:$ND$150=AK$4)*(GMW!$NF$2:$NF$150=AK$1),0),$C99-1966)</f>
        <v>38859.06</v>
      </c>
      <c r="AL99" s="4" cm="1">
        <f t="array" ref="AL99">INDEX(GMW!$A$2:$NF$150,MATCH(1,(GMW!$NE$2:$NE$150=AL$3)*(GMW!$ND$2:$ND$150=AL$4)*(GMW!$NF$2:$NF$150=AL$1),0),$C99-1966)</f>
        <v>80910</v>
      </c>
      <c r="AM99" s="4" cm="1">
        <f t="array" ref="AM99">INDEX(GMW!$A$2:$NF$150,MATCH(1,(GMW!$NE$2:$NE$150=AM$3)*(GMW!$ND$2:$ND$150=AM$4)*(GMW!$NF$2:$NF$150=AM$1),0),$C99-1966)</f>
        <v>46582.93</v>
      </c>
      <c r="AN99" s="4" cm="1">
        <f t="array" ref="AN99">INDEX(GMW!$A$2:$NF$150,MATCH(1,(GMW!$NE$2:$NE$150=AN$3)*(GMW!$ND$2:$ND$150=AN$4)*(GMW!$NF$2:$NF$150=AN$1),0),$C99-1966)</f>
        <v>67091</v>
      </c>
      <c r="AO99" s="4" cm="1">
        <f t="array" ref="AO99">INDEX(GMW!$A$2:$NF$150,MATCH(1,(GMW!$NE$2:$NE$150=AO$3)*(GMW!$ND$2:$ND$150=AO$4)*(GMW!$NF$2:$NF$150=AO$1),0),$C99-1966)</f>
        <v>31153.14</v>
      </c>
      <c r="AP99" s="4" cm="1">
        <f t="array" ref="AP99">INDEX(GMW!$A$2:$NF$150,MATCH(1,(GMW!$NE$2:$NE$150=AP$3)*(GMW!$ND$2:$ND$150=AP$4)*(GMW!$NF$2:$NF$150=AP$1),0),$C99-1966)</f>
        <v>386665.7</v>
      </c>
      <c r="AQ99" s="4" cm="1">
        <f t="array" ref="AQ99">INDEX(GMW!$A$2:$NF$150,MATCH(1,(GMW!$NE$2:$NE$150=AQ$3)*(GMW!$ND$2:$ND$150=AQ$4)*(GMW!$NF$2:$NF$150=AQ$1),0),$C99-1966)</f>
        <v>25951.1</v>
      </c>
      <c r="AR99" s="4" cm="1">
        <f t="array" ref="AR99">INDEX(GMW!$A$2:$NF$150,MATCH(1,(GMW!$NE$2:$NE$150=AR$3)*(GMW!$ND$2:$ND$150=AR$4)*(GMW!$NF$2:$NF$150=AR$1),0),$C99-1966)</f>
        <v>33.200000000000003</v>
      </c>
      <c r="AS99" s="4" cm="1">
        <f t="array" ref="AS99">INDEX(GMW!$A$2:$NF$150,MATCH(1,(GMW!$NE$2:$NE$150=AS$3)*(GMW!$ND$2:$ND$150=AS$4)*(GMW!$NF$2:$NF$150=AS$1),0),$C99-1966)</f>
        <v>365321.5</v>
      </c>
      <c r="AT99" s="4" cm="1">
        <f t="array" ref="AT99">INDEX(GMW!$A$2:$NF$150,MATCH(1,(GMW!$NE$2:$NE$150=AT$3)*(GMW!$ND$2:$ND$150=AT$4)*(GMW!$NF$2:$NF$150=AT$1),0),$C99-1966)</f>
        <v>37628.68</v>
      </c>
      <c r="AU99" s="4" cm="1">
        <f t="array" ref="AU99">INDEX(GMW!$A$2:$NF$150,MATCH(1,(GMW!$NE$2:$NE$150=AU$3)*(GMW!$ND$2:$ND$150=AU$4)*(GMW!$NF$2:$NF$150=AU$1),0),$C99-1966)</f>
        <v>1770924</v>
      </c>
      <c r="AV99" s="4" cm="1">
        <f t="array" ref="AV99">INDEX(GMW!$A$2:$NF$150,MATCH(1,(GMW!$NE$2:$NE$150=AV$3)*(GMW!$ND$2:$ND$150=AV$4)*(GMW!$NF$2:$NF$150=AV$1),0),$C99-1966)</f>
        <v>-1.7331380000000001</v>
      </c>
    </row>
    <row r="100" spans="1:48" x14ac:dyDescent="0.25">
      <c r="B100" s="4">
        <f t="shared" si="6"/>
        <v>1996</v>
      </c>
      <c r="C100" s="4">
        <f t="shared" si="5"/>
        <v>2066</v>
      </c>
      <c r="D100" s="4" cm="1">
        <f t="array" ref="D100">INDEX(GMW!$A$2:$NF$150,MATCH(1,(GMW!$NE$2:$NE$150=D$3)*(GMW!$ND$2:$ND$150=D$4)*(GMW!$NF$2:$NF$150=D$1),0),$C100-1966)</f>
        <v>382146</v>
      </c>
      <c r="E100" s="4" cm="1">
        <f t="array" ref="E100">INDEX(GMW!$A$2:$NF$150,MATCH(1,(GMW!$NE$2:$NE$150=E$3)*(GMW!$ND$2:$ND$150=E$4)*(GMW!$NF$2:$NF$150=E$1),0),$C100-1966)</f>
        <v>68.866669999999999</v>
      </c>
      <c r="F100" s="4" cm="1">
        <f t="array" ref="F100">INDEX(GMW!$A$2:$NF$150,MATCH(1,(GMW!$NE$2:$NE$150=F$3)*(GMW!$ND$2:$ND$150=F$4)*(GMW!$NF$2:$NF$150=F$1),0),$C100-1966)</f>
        <v>90326</v>
      </c>
      <c r="G100" s="4" cm="1">
        <f t="array" ref="G100">INDEX(GMW!$A$2:$NF$150,MATCH(1,(GMW!$NE$2:$NE$150=G$3)*(GMW!$ND$2:$ND$150=G$4)*(GMW!$NF$2:$NF$150=G$1),0),$C100-1966)</f>
        <v>40237.589999999997</v>
      </c>
      <c r="H100" s="4" cm="1">
        <f t="array" ref="H100">INDEX(GMW!$A$2:$NF$150,MATCH(1,(GMW!$NE$2:$NE$150=H$3)*(GMW!$ND$2:$ND$150=H$4)*(GMW!$NF$2:$NF$150=H$1),0),$C100-1966)</f>
        <v>81887</v>
      </c>
      <c r="I100" s="4" cm="1">
        <f t="array" ref="I100">INDEX(GMW!$A$2:$NF$150,MATCH(1,(GMW!$NE$2:$NE$150=I$3)*(GMW!$ND$2:$ND$150=I$4)*(GMW!$NF$2:$NF$150=I$1),0),$C100-1966)</f>
        <v>45830.1</v>
      </c>
      <c r="J100" s="4" cm="1">
        <f t="array" ref="J100">INDEX(GMW!$A$2:$NF$150,MATCH(1,(GMW!$NE$2:$NE$150=J$3)*(GMW!$ND$2:$ND$150=J$4)*(GMW!$NF$2:$NF$150=J$1),0),$C100-1966)</f>
        <v>69362</v>
      </c>
      <c r="K100" s="4" cm="1">
        <f t="array" ref="K100">INDEX(GMW!$A$2:$NF$150,MATCH(1,(GMW!$NE$2:$NE$150=K$3)*(GMW!$ND$2:$ND$150=K$4)*(GMW!$NF$2:$NF$150=K$1),0),$C100-1966)</f>
        <v>32063.83</v>
      </c>
      <c r="L100" s="4" cm="1">
        <f t="array" ref="L100">INDEX(GMW!$A$2:$NF$150,MATCH(1,(GMW!$NE$2:$NE$150=L$3)*(GMW!$ND$2:$ND$150=L$4)*(GMW!$NF$2:$NF$150=L$1),0),$C100-1966)</f>
        <v>390383.3</v>
      </c>
      <c r="M100" s="4" cm="1">
        <f t="array" ref="M100">INDEX(GMW!$A$2:$NF$150,MATCH(1,(GMW!$NE$2:$NE$150=M$3)*(GMW!$ND$2:$ND$150=M$4)*(GMW!$NF$2:$NF$150=M$1),0),$C100-1966)</f>
        <v>26052.73</v>
      </c>
      <c r="N100" s="4" cm="1">
        <f t="array" ref="N100">INDEX(GMW!$A$2:$NF$150,MATCH(1,(GMW!$NE$2:$NE$150=N$3)*(GMW!$ND$2:$ND$150=N$4)*(GMW!$NF$2:$NF$150=N$1),0),$C100-1966)</f>
        <v>33.299999999999997</v>
      </c>
      <c r="O100" s="4" cm="1">
        <f t="array" ref="O100">INDEX(GMW!$A$2:$NF$150,MATCH(1,(GMW!$NE$2:$NE$150=O$3)*(GMW!$ND$2:$ND$150=O$4)*(GMW!$NF$2:$NF$150=O$1),0),$C100-1966)</f>
        <v>365954.9</v>
      </c>
      <c r="P100" s="4" cm="1">
        <f t="array" ref="P100">INDEX(GMW!$A$2:$NF$150,MATCH(1,(GMW!$NE$2:$NE$150=P$3)*(GMW!$ND$2:$ND$150=P$4)*(GMW!$NF$2:$NF$150=P$1),0),$C100-1966)</f>
        <v>37658.92</v>
      </c>
      <c r="Q100" s="4" cm="1">
        <f t="array" ref="Q100">INDEX(GMW!$A$2:$NF$150,MATCH(1,(GMW!$NE$2:$NE$150=Q$3)*(GMW!$ND$2:$ND$150=Q$4)*(GMW!$NF$2:$NF$150=Q$1),0),$C100-1966)</f>
        <v>1781724</v>
      </c>
      <c r="R100" s="4" cm="1">
        <f t="array" ref="R100">INDEX(GMW!$A$2:$NF$150,MATCH(1,(GMW!$NE$2:$NE$150=R$3)*(GMW!$ND$2:$ND$150=R$4)*(GMW!$NF$2:$NF$150=R$1),0),$C100-1966)</f>
        <v>-1.7304850000000001</v>
      </c>
      <c r="S100" s="4" cm="1">
        <f t="array" ref="S100">INDEX(GMW!$A$2:$NF$150,MATCH(1,(GMW!$NE$2:$NE$150=S$3)*(GMW!$ND$2:$ND$150=S$4)*(GMW!$NF$2:$NF$150=S$1),0),$C100-1966)</f>
        <v>382146</v>
      </c>
      <c r="T100" s="4" cm="1">
        <f t="array" ref="T100">INDEX(GMW!$A$2:$NF$150,MATCH(1,(GMW!$NE$2:$NE$150=T$3)*(GMW!$ND$2:$ND$150=T$4)*(GMW!$NF$2:$NF$150=T$1),0),$C100-1966)</f>
        <v>68.866669999999999</v>
      </c>
      <c r="U100" s="4" cm="1">
        <f t="array" ref="U100">INDEX(GMW!$A$2:$NF$150,MATCH(1,(GMW!$NE$2:$NE$150=U$3)*(GMW!$ND$2:$ND$150=U$4)*(GMW!$NF$2:$NF$150=U$1),0),$C100-1966)</f>
        <v>90326</v>
      </c>
      <c r="V100" s="4" cm="1">
        <f t="array" ref="V100">INDEX(GMW!$A$2:$NF$150,MATCH(1,(GMW!$NE$2:$NE$150=V$3)*(GMW!$ND$2:$ND$150=V$4)*(GMW!$NF$2:$NF$150=V$1),0),$C100-1966)</f>
        <v>40237.589999999997</v>
      </c>
      <c r="W100" s="4" cm="1">
        <f t="array" ref="W100">INDEX(GMW!$A$2:$NF$150,MATCH(1,(GMW!$NE$2:$NE$150=W$3)*(GMW!$ND$2:$ND$150=W$4)*(GMW!$NF$2:$NF$150=W$1),0),$C100-1966)</f>
        <v>81887</v>
      </c>
      <c r="X100" s="4" cm="1">
        <f t="array" ref="X100">INDEX(GMW!$A$2:$NF$150,MATCH(1,(GMW!$NE$2:$NE$150=X$3)*(GMW!$ND$2:$ND$150=X$4)*(GMW!$NF$2:$NF$150=X$1),0),$C100-1966)</f>
        <v>45830.1</v>
      </c>
      <c r="Y100" s="4" cm="1">
        <f t="array" ref="Y100">INDEX(GMW!$A$2:$NF$150,MATCH(1,(GMW!$NE$2:$NE$150=Y$3)*(GMW!$ND$2:$ND$150=Y$4)*(GMW!$NF$2:$NF$150=Y$1),0),$C100-1966)</f>
        <v>69362</v>
      </c>
      <c r="Z100" s="4" cm="1">
        <f t="array" ref="Z100">INDEX(GMW!$A$2:$NF$150,MATCH(1,(GMW!$NE$2:$NE$150=Z$3)*(GMW!$ND$2:$ND$150=Z$4)*(GMW!$NF$2:$NF$150=Z$1),0),$C100-1966)</f>
        <v>32063.83</v>
      </c>
      <c r="AA100" s="4" cm="1">
        <f t="array" ref="AA100">INDEX(GMW!$A$2:$NF$150,MATCH(1,(GMW!$NE$2:$NE$150=AA$3)*(GMW!$ND$2:$ND$150=AA$4)*(GMW!$NF$2:$NF$150=AA$1),0),$C100-1966)</f>
        <v>390383.3</v>
      </c>
      <c r="AB100" s="4" cm="1">
        <f t="array" ref="AB100">INDEX(GMW!$A$2:$NF$150,MATCH(1,(GMW!$NE$2:$NE$150=AB$3)*(GMW!$ND$2:$ND$150=AB$4)*(GMW!$NF$2:$NF$150=AB$1),0),$C100-1966)</f>
        <v>26052.73</v>
      </c>
      <c r="AC100" s="4" cm="1">
        <f t="array" ref="AC100">INDEX(GMW!$A$2:$NF$150,MATCH(1,(GMW!$NE$2:$NE$150=AC$3)*(GMW!$ND$2:$ND$150=AC$4)*(GMW!$NF$2:$NF$150=AC$1),0),$C100-1966)</f>
        <v>33.299999999999997</v>
      </c>
      <c r="AD100" s="4" cm="1">
        <f t="array" ref="AD100">INDEX(GMW!$A$2:$NF$150,MATCH(1,(GMW!$NE$2:$NE$150=AD$3)*(GMW!$ND$2:$ND$150=AD$4)*(GMW!$NF$2:$NF$150=AD$1),0),$C100-1966)</f>
        <v>365954.9</v>
      </c>
      <c r="AE100" s="4" cm="1">
        <f t="array" ref="AE100">INDEX(GMW!$A$2:$NF$150,MATCH(1,(GMW!$NE$2:$NE$150=AE$3)*(GMW!$ND$2:$ND$150=AE$4)*(GMW!$NF$2:$NF$150=AE$1),0),$C100-1966)</f>
        <v>37658.92</v>
      </c>
      <c r="AF100" s="4" cm="1">
        <f t="array" ref="AF100">INDEX(GMW!$A$2:$NF$150,MATCH(1,(GMW!$NE$2:$NE$150=AF$3)*(GMW!$ND$2:$ND$150=AF$4)*(GMW!$NF$2:$NF$150=AF$1),0),$C100-1966)</f>
        <v>1781724</v>
      </c>
      <c r="AG100" s="4" cm="1">
        <f t="array" ref="AG100">INDEX(GMW!$A$2:$NF$150,MATCH(1,(GMW!$NE$2:$NE$150=AG$3)*(GMW!$ND$2:$ND$150=AG$4)*(GMW!$NF$2:$NF$150=AG$1),0),$C100-1966)</f>
        <v>-1.7304850000000001</v>
      </c>
      <c r="AH100" s="4" cm="1">
        <f t="array" ref="AH100">INDEX(GMW!$A$2:$NF$150,MATCH(1,(GMW!$NE$2:$NE$150=AH$3)*(GMW!$ND$2:$ND$150=AH$4)*(GMW!$NF$2:$NF$150=AH$1),0),$C100-1966)</f>
        <v>382146</v>
      </c>
      <c r="AI100" s="4" cm="1">
        <f t="array" ref="AI100">INDEX(GMW!$A$2:$NF$150,MATCH(1,(GMW!$NE$2:$NE$150=AI$3)*(GMW!$ND$2:$ND$150=AI$4)*(GMW!$NF$2:$NF$150=AI$1),0),$C100-1966)</f>
        <v>68.866669999999999</v>
      </c>
      <c r="AJ100" s="4" cm="1">
        <f t="array" ref="AJ100">INDEX(GMW!$A$2:$NF$150,MATCH(1,(GMW!$NE$2:$NE$150=AJ$3)*(GMW!$ND$2:$ND$150=AJ$4)*(GMW!$NF$2:$NF$150=AJ$1),0),$C100-1966)</f>
        <v>90326</v>
      </c>
      <c r="AK100" s="4" cm="1">
        <f t="array" ref="AK100">INDEX(GMW!$A$2:$NF$150,MATCH(1,(GMW!$NE$2:$NE$150=AK$3)*(GMW!$ND$2:$ND$150=AK$4)*(GMW!$NF$2:$NF$150=AK$1),0),$C100-1966)</f>
        <v>40237.589999999997</v>
      </c>
      <c r="AL100" s="4" cm="1">
        <f t="array" ref="AL100">INDEX(GMW!$A$2:$NF$150,MATCH(1,(GMW!$NE$2:$NE$150=AL$3)*(GMW!$ND$2:$ND$150=AL$4)*(GMW!$NF$2:$NF$150=AL$1),0),$C100-1966)</f>
        <v>81887</v>
      </c>
      <c r="AM100" s="4" cm="1">
        <f t="array" ref="AM100">INDEX(GMW!$A$2:$NF$150,MATCH(1,(GMW!$NE$2:$NE$150=AM$3)*(GMW!$ND$2:$ND$150=AM$4)*(GMW!$NF$2:$NF$150=AM$1),0),$C100-1966)</f>
        <v>45830.1</v>
      </c>
      <c r="AN100" s="4" cm="1">
        <f t="array" ref="AN100">INDEX(GMW!$A$2:$NF$150,MATCH(1,(GMW!$NE$2:$NE$150=AN$3)*(GMW!$ND$2:$ND$150=AN$4)*(GMW!$NF$2:$NF$150=AN$1),0),$C100-1966)</f>
        <v>69362</v>
      </c>
      <c r="AO100" s="4" cm="1">
        <f t="array" ref="AO100">INDEX(GMW!$A$2:$NF$150,MATCH(1,(GMW!$NE$2:$NE$150=AO$3)*(GMW!$ND$2:$ND$150=AO$4)*(GMW!$NF$2:$NF$150=AO$1),0),$C100-1966)</f>
        <v>32063.83</v>
      </c>
      <c r="AP100" s="4" cm="1">
        <f t="array" ref="AP100">INDEX(GMW!$A$2:$NF$150,MATCH(1,(GMW!$NE$2:$NE$150=AP$3)*(GMW!$ND$2:$ND$150=AP$4)*(GMW!$NF$2:$NF$150=AP$1),0),$C100-1966)</f>
        <v>390383.3</v>
      </c>
      <c r="AQ100" s="4" cm="1">
        <f t="array" ref="AQ100">INDEX(GMW!$A$2:$NF$150,MATCH(1,(GMW!$NE$2:$NE$150=AQ$3)*(GMW!$ND$2:$ND$150=AQ$4)*(GMW!$NF$2:$NF$150=AQ$1),0),$C100-1966)</f>
        <v>26052.73</v>
      </c>
      <c r="AR100" s="4" cm="1">
        <f t="array" ref="AR100">INDEX(GMW!$A$2:$NF$150,MATCH(1,(GMW!$NE$2:$NE$150=AR$3)*(GMW!$ND$2:$ND$150=AR$4)*(GMW!$NF$2:$NF$150=AR$1),0),$C100-1966)</f>
        <v>33.299999999999997</v>
      </c>
      <c r="AS100" s="4" cm="1">
        <f t="array" ref="AS100">INDEX(GMW!$A$2:$NF$150,MATCH(1,(GMW!$NE$2:$NE$150=AS$3)*(GMW!$ND$2:$ND$150=AS$4)*(GMW!$NF$2:$NF$150=AS$1),0),$C100-1966)</f>
        <v>365954.9</v>
      </c>
      <c r="AT100" s="4" cm="1">
        <f t="array" ref="AT100">INDEX(GMW!$A$2:$NF$150,MATCH(1,(GMW!$NE$2:$NE$150=AT$3)*(GMW!$ND$2:$ND$150=AT$4)*(GMW!$NF$2:$NF$150=AT$1),0),$C100-1966)</f>
        <v>37658.92</v>
      </c>
      <c r="AU100" s="4" cm="1">
        <f t="array" ref="AU100">INDEX(GMW!$A$2:$NF$150,MATCH(1,(GMW!$NE$2:$NE$150=AU$3)*(GMW!$ND$2:$ND$150=AU$4)*(GMW!$NF$2:$NF$150=AU$1),0),$C100-1966)</f>
        <v>1781724</v>
      </c>
      <c r="AV100" s="4" cm="1">
        <f t="array" ref="AV100">INDEX(GMW!$A$2:$NF$150,MATCH(1,(GMW!$NE$2:$NE$150=AV$3)*(GMW!$ND$2:$ND$150=AV$4)*(GMW!$NF$2:$NF$150=AV$1),0),$C100-1966)</f>
        <v>-1.7304850000000001</v>
      </c>
    </row>
    <row r="101" spans="1:48" x14ac:dyDescent="0.25">
      <c r="B101" s="4">
        <f t="shared" si="6"/>
        <v>1996</v>
      </c>
      <c r="C101" s="4">
        <f t="shared" si="5"/>
        <v>2067</v>
      </c>
      <c r="D101" s="4" cm="1">
        <f t="array" ref="D101">INDEX(GMW!$A$2:$NF$150,MATCH(1,(GMW!$NE$2:$NE$150=D$3)*(GMW!$ND$2:$ND$150=D$4)*(GMW!$NF$2:$NF$150=D$1),0),$C101-1966)</f>
        <v>385671</v>
      </c>
      <c r="E101" s="4" cm="1">
        <f t="array" ref="E101">INDEX(GMW!$A$2:$NF$150,MATCH(1,(GMW!$NE$2:$NE$150=E$3)*(GMW!$ND$2:$ND$150=E$4)*(GMW!$NF$2:$NF$150=E$1),0),$C101-1966)</f>
        <v>68.933329999999998</v>
      </c>
      <c r="F101" s="4" cm="1">
        <f t="array" ref="F101">INDEX(GMW!$A$2:$NF$150,MATCH(1,(GMW!$NE$2:$NE$150=F$3)*(GMW!$ND$2:$ND$150=F$4)*(GMW!$NF$2:$NF$150=F$1),0),$C101-1966)</f>
        <v>91405</v>
      </c>
      <c r="G101" s="4" cm="1">
        <f t="array" ref="G101">INDEX(GMW!$A$2:$NF$150,MATCH(1,(GMW!$NE$2:$NE$150=G$3)*(GMW!$ND$2:$ND$150=G$4)*(GMW!$NF$2:$NF$150=G$1),0),$C101-1966)</f>
        <v>41370.83</v>
      </c>
      <c r="H101" s="4" cm="1">
        <f t="array" ref="H101">INDEX(GMW!$A$2:$NF$150,MATCH(1,(GMW!$NE$2:$NE$150=H$3)*(GMW!$ND$2:$ND$150=H$4)*(GMW!$NF$2:$NF$150=H$1),0),$C101-1966)</f>
        <v>83534</v>
      </c>
      <c r="I101" s="4" cm="1">
        <f t="array" ref="I101">INDEX(GMW!$A$2:$NF$150,MATCH(1,(GMW!$NE$2:$NE$150=I$3)*(GMW!$ND$2:$ND$150=I$4)*(GMW!$NF$2:$NF$150=I$1),0),$C101-1966)</f>
        <v>48422.93</v>
      </c>
      <c r="J101" s="4" cm="1">
        <f t="array" ref="J101">INDEX(GMW!$A$2:$NF$150,MATCH(1,(GMW!$NE$2:$NE$150=J$3)*(GMW!$ND$2:$ND$150=J$4)*(GMW!$NF$2:$NF$150=J$1),0),$C101-1966)</f>
        <v>68834</v>
      </c>
      <c r="K101" s="4" cm="1">
        <f t="array" ref="K101">INDEX(GMW!$A$2:$NF$150,MATCH(1,(GMW!$NE$2:$NE$150=K$3)*(GMW!$ND$2:$ND$150=K$4)*(GMW!$NF$2:$NF$150=K$1),0),$C101-1966)</f>
        <v>32398.49</v>
      </c>
      <c r="L101" s="4" cm="1">
        <f t="array" ref="L101">INDEX(GMW!$A$2:$NF$150,MATCH(1,(GMW!$NE$2:$NE$150=L$3)*(GMW!$ND$2:$ND$150=L$4)*(GMW!$NF$2:$NF$150=L$1),0),$C101-1966)</f>
        <v>392124.9</v>
      </c>
      <c r="M101" s="4" cm="1">
        <f t="array" ref="M101">INDEX(GMW!$A$2:$NF$150,MATCH(1,(GMW!$NE$2:$NE$150=M$3)*(GMW!$ND$2:$ND$150=M$4)*(GMW!$NF$2:$NF$150=M$1),0),$C101-1966)</f>
        <v>26107.59</v>
      </c>
      <c r="N101" s="4" cm="1">
        <f t="array" ref="N101">INDEX(GMW!$A$2:$NF$150,MATCH(1,(GMW!$NE$2:$NE$150=N$3)*(GMW!$ND$2:$ND$150=N$4)*(GMW!$NF$2:$NF$150=N$1),0),$C101-1966)</f>
        <v>33.200000000000003</v>
      </c>
      <c r="O101" s="4" cm="1">
        <f t="array" ref="O101">INDEX(GMW!$A$2:$NF$150,MATCH(1,(GMW!$NE$2:$NE$150=O$3)*(GMW!$ND$2:$ND$150=O$4)*(GMW!$NF$2:$NF$150=O$1),0),$C101-1966)</f>
        <v>366558.6</v>
      </c>
      <c r="P101" s="4" cm="1">
        <f t="array" ref="P101">INDEX(GMW!$A$2:$NF$150,MATCH(1,(GMW!$NE$2:$NE$150=P$3)*(GMW!$ND$2:$ND$150=P$4)*(GMW!$NF$2:$NF$150=P$1),0),$C101-1966)</f>
        <v>37688.15</v>
      </c>
      <c r="Q101" s="4" cm="1">
        <f t="array" ref="Q101">INDEX(GMW!$A$2:$NF$150,MATCH(1,(GMW!$NE$2:$NE$150=Q$3)*(GMW!$ND$2:$ND$150=Q$4)*(GMW!$NF$2:$NF$150=Q$1),0),$C101-1966)</f>
        <v>1792524</v>
      </c>
      <c r="R101" s="4" cm="1">
        <f t="array" ref="R101">INDEX(GMW!$A$2:$NF$150,MATCH(1,(GMW!$NE$2:$NE$150=R$3)*(GMW!$ND$2:$ND$150=R$4)*(GMW!$NF$2:$NF$150=R$1),0),$C101-1966)</f>
        <v>-1.7278359999999999</v>
      </c>
      <c r="S101" s="4" cm="1">
        <f t="array" ref="S101">INDEX(GMW!$A$2:$NF$150,MATCH(1,(GMW!$NE$2:$NE$150=S$3)*(GMW!$ND$2:$ND$150=S$4)*(GMW!$NF$2:$NF$150=S$1),0),$C101-1966)</f>
        <v>385671</v>
      </c>
      <c r="T101" s="4" cm="1">
        <f t="array" ref="T101">INDEX(GMW!$A$2:$NF$150,MATCH(1,(GMW!$NE$2:$NE$150=T$3)*(GMW!$ND$2:$ND$150=T$4)*(GMW!$NF$2:$NF$150=T$1),0),$C101-1966)</f>
        <v>68.933329999999998</v>
      </c>
      <c r="U101" s="4" cm="1">
        <f t="array" ref="U101">INDEX(GMW!$A$2:$NF$150,MATCH(1,(GMW!$NE$2:$NE$150=U$3)*(GMW!$ND$2:$ND$150=U$4)*(GMW!$NF$2:$NF$150=U$1),0),$C101-1966)</f>
        <v>91405</v>
      </c>
      <c r="V101" s="4" cm="1">
        <f t="array" ref="V101">INDEX(GMW!$A$2:$NF$150,MATCH(1,(GMW!$NE$2:$NE$150=V$3)*(GMW!$ND$2:$ND$150=V$4)*(GMW!$NF$2:$NF$150=V$1),0),$C101-1966)</f>
        <v>41370.83</v>
      </c>
      <c r="W101" s="4" cm="1">
        <f t="array" ref="W101">INDEX(GMW!$A$2:$NF$150,MATCH(1,(GMW!$NE$2:$NE$150=W$3)*(GMW!$ND$2:$ND$150=W$4)*(GMW!$NF$2:$NF$150=W$1),0),$C101-1966)</f>
        <v>83534</v>
      </c>
      <c r="X101" s="4" cm="1">
        <f t="array" ref="X101">INDEX(GMW!$A$2:$NF$150,MATCH(1,(GMW!$NE$2:$NE$150=X$3)*(GMW!$ND$2:$ND$150=X$4)*(GMW!$NF$2:$NF$150=X$1),0),$C101-1966)</f>
        <v>48422.93</v>
      </c>
      <c r="Y101" s="4" cm="1">
        <f t="array" ref="Y101">INDEX(GMW!$A$2:$NF$150,MATCH(1,(GMW!$NE$2:$NE$150=Y$3)*(GMW!$ND$2:$ND$150=Y$4)*(GMW!$NF$2:$NF$150=Y$1),0),$C101-1966)</f>
        <v>68834</v>
      </c>
      <c r="Z101" s="4" cm="1">
        <f t="array" ref="Z101">INDEX(GMW!$A$2:$NF$150,MATCH(1,(GMW!$NE$2:$NE$150=Z$3)*(GMW!$ND$2:$ND$150=Z$4)*(GMW!$NF$2:$NF$150=Z$1),0),$C101-1966)</f>
        <v>32398.49</v>
      </c>
      <c r="AA101" s="4" cm="1">
        <f t="array" ref="AA101">INDEX(GMW!$A$2:$NF$150,MATCH(1,(GMW!$NE$2:$NE$150=AA$3)*(GMW!$ND$2:$ND$150=AA$4)*(GMW!$NF$2:$NF$150=AA$1),0),$C101-1966)</f>
        <v>392124.9</v>
      </c>
      <c r="AB101" s="4" cm="1">
        <f t="array" ref="AB101">INDEX(GMW!$A$2:$NF$150,MATCH(1,(GMW!$NE$2:$NE$150=AB$3)*(GMW!$ND$2:$ND$150=AB$4)*(GMW!$NF$2:$NF$150=AB$1),0),$C101-1966)</f>
        <v>26107.59</v>
      </c>
      <c r="AC101" s="4" cm="1">
        <f t="array" ref="AC101">INDEX(GMW!$A$2:$NF$150,MATCH(1,(GMW!$NE$2:$NE$150=AC$3)*(GMW!$ND$2:$ND$150=AC$4)*(GMW!$NF$2:$NF$150=AC$1),0),$C101-1966)</f>
        <v>33.200000000000003</v>
      </c>
      <c r="AD101" s="4" cm="1">
        <f t="array" ref="AD101">INDEX(GMW!$A$2:$NF$150,MATCH(1,(GMW!$NE$2:$NE$150=AD$3)*(GMW!$ND$2:$ND$150=AD$4)*(GMW!$NF$2:$NF$150=AD$1),0),$C101-1966)</f>
        <v>366558.6</v>
      </c>
      <c r="AE101" s="4" cm="1">
        <f t="array" ref="AE101">INDEX(GMW!$A$2:$NF$150,MATCH(1,(GMW!$NE$2:$NE$150=AE$3)*(GMW!$ND$2:$ND$150=AE$4)*(GMW!$NF$2:$NF$150=AE$1),0),$C101-1966)</f>
        <v>37688.15</v>
      </c>
      <c r="AF101" s="4" cm="1">
        <f t="array" ref="AF101">INDEX(GMW!$A$2:$NF$150,MATCH(1,(GMW!$NE$2:$NE$150=AF$3)*(GMW!$ND$2:$ND$150=AF$4)*(GMW!$NF$2:$NF$150=AF$1),0),$C101-1966)</f>
        <v>1792524</v>
      </c>
      <c r="AG101" s="4" cm="1">
        <f t="array" ref="AG101">INDEX(GMW!$A$2:$NF$150,MATCH(1,(GMW!$NE$2:$NE$150=AG$3)*(GMW!$ND$2:$ND$150=AG$4)*(GMW!$NF$2:$NF$150=AG$1),0),$C101-1966)</f>
        <v>-1.7278359999999999</v>
      </c>
      <c r="AH101" s="4" cm="1">
        <f t="array" ref="AH101">INDEX(GMW!$A$2:$NF$150,MATCH(1,(GMW!$NE$2:$NE$150=AH$3)*(GMW!$ND$2:$ND$150=AH$4)*(GMW!$NF$2:$NF$150=AH$1),0),$C101-1966)</f>
        <v>385671</v>
      </c>
      <c r="AI101" s="4" cm="1">
        <f t="array" ref="AI101">INDEX(GMW!$A$2:$NF$150,MATCH(1,(GMW!$NE$2:$NE$150=AI$3)*(GMW!$ND$2:$ND$150=AI$4)*(GMW!$NF$2:$NF$150=AI$1),0),$C101-1966)</f>
        <v>68.933329999999998</v>
      </c>
      <c r="AJ101" s="4" cm="1">
        <f t="array" ref="AJ101">INDEX(GMW!$A$2:$NF$150,MATCH(1,(GMW!$NE$2:$NE$150=AJ$3)*(GMW!$ND$2:$ND$150=AJ$4)*(GMW!$NF$2:$NF$150=AJ$1),0),$C101-1966)</f>
        <v>91405</v>
      </c>
      <c r="AK101" s="4" cm="1">
        <f t="array" ref="AK101">INDEX(GMW!$A$2:$NF$150,MATCH(1,(GMW!$NE$2:$NE$150=AK$3)*(GMW!$ND$2:$ND$150=AK$4)*(GMW!$NF$2:$NF$150=AK$1),0),$C101-1966)</f>
        <v>41370.83</v>
      </c>
      <c r="AL101" s="4" cm="1">
        <f t="array" ref="AL101">INDEX(GMW!$A$2:$NF$150,MATCH(1,(GMW!$NE$2:$NE$150=AL$3)*(GMW!$ND$2:$ND$150=AL$4)*(GMW!$NF$2:$NF$150=AL$1),0),$C101-1966)</f>
        <v>83534</v>
      </c>
      <c r="AM101" s="4" cm="1">
        <f t="array" ref="AM101">INDEX(GMW!$A$2:$NF$150,MATCH(1,(GMW!$NE$2:$NE$150=AM$3)*(GMW!$ND$2:$ND$150=AM$4)*(GMW!$NF$2:$NF$150=AM$1),0),$C101-1966)</f>
        <v>48422.93</v>
      </c>
      <c r="AN101" s="4" cm="1">
        <f t="array" ref="AN101">INDEX(GMW!$A$2:$NF$150,MATCH(1,(GMW!$NE$2:$NE$150=AN$3)*(GMW!$ND$2:$ND$150=AN$4)*(GMW!$NF$2:$NF$150=AN$1),0),$C101-1966)</f>
        <v>68834</v>
      </c>
      <c r="AO101" s="4" cm="1">
        <f t="array" ref="AO101">INDEX(GMW!$A$2:$NF$150,MATCH(1,(GMW!$NE$2:$NE$150=AO$3)*(GMW!$ND$2:$ND$150=AO$4)*(GMW!$NF$2:$NF$150=AO$1),0),$C101-1966)</f>
        <v>32398.49</v>
      </c>
      <c r="AP101" s="4" cm="1">
        <f t="array" ref="AP101">INDEX(GMW!$A$2:$NF$150,MATCH(1,(GMW!$NE$2:$NE$150=AP$3)*(GMW!$ND$2:$ND$150=AP$4)*(GMW!$NF$2:$NF$150=AP$1),0),$C101-1966)</f>
        <v>392124.9</v>
      </c>
      <c r="AQ101" s="4" cm="1">
        <f t="array" ref="AQ101">INDEX(GMW!$A$2:$NF$150,MATCH(1,(GMW!$NE$2:$NE$150=AQ$3)*(GMW!$ND$2:$ND$150=AQ$4)*(GMW!$NF$2:$NF$150=AQ$1),0),$C101-1966)</f>
        <v>26107.59</v>
      </c>
      <c r="AR101" s="4" cm="1">
        <f t="array" ref="AR101">INDEX(GMW!$A$2:$NF$150,MATCH(1,(GMW!$NE$2:$NE$150=AR$3)*(GMW!$ND$2:$ND$150=AR$4)*(GMW!$NF$2:$NF$150=AR$1),0),$C101-1966)</f>
        <v>33.200000000000003</v>
      </c>
      <c r="AS101" s="4" cm="1">
        <f t="array" ref="AS101">INDEX(GMW!$A$2:$NF$150,MATCH(1,(GMW!$NE$2:$NE$150=AS$3)*(GMW!$ND$2:$ND$150=AS$4)*(GMW!$NF$2:$NF$150=AS$1),0),$C101-1966)</f>
        <v>366558.6</v>
      </c>
      <c r="AT101" s="4" cm="1">
        <f t="array" ref="AT101">INDEX(GMW!$A$2:$NF$150,MATCH(1,(GMW!$NE$2:$NE$150=AT$3)*(GMW!$ND$2:$ND$150=AT$4)*(GMW!$NF$2:$NF$150=AT$1),0),$C101-1966)</f>
        <v>37688.15</v>
      </c>
      <c r="AU101" s="4" cm="1">
        <f t="array" ref="AU101">INDEX(GMW!$A$2:$NF$150,MATCH(1,(GMW!$NE$2:$NE$150=AU$3)*(GMW!$ND$2:$ND$150=AU$4)*(GMW!$NF$2:$NF$150=AU$1),0),$C101-1966)</f>
        <v>1792524</v>
      </c>
      <c r="AV101" s="4" cm="1">
        <f t="array" ref="AV101">INDEX(GMW!$A$2:$NF$150,MATCH(1,(GMW!$NE$2:$NE$150=AV$3)*(GMW!$ND$2:$ND$150=AV$4)*(GMW!$NF$2:$NF$150=AV$1),0),$C101-1966)</f>
        <v>-1.7278359999999999</v>
      </c>
    </row>
    <row r="102" spans="1:48" x14ac:dyDescent="0.25">
      <c r="B102" s="4">
        <f t="shared" si="6"/>
        <v>1996</v>
      </c>
      <c r="C102" s="4">
        <f t="shared" si="5"/>
        <v>2068</v>
      </c>
      <c r="D102" s="4" cm="1">
        <f t="array" ref="D102">INDEX(GMW!$A$2:$NF$150,MATCH(1,(GMW!$NE$2:$NE$150=D$3)*(GMW!$ND$2:$ND$150=D$4)*(GMW!$NF$2:$NF$150=D$1),0),$C102-1966)</f>
        <v>391053</v>
      </c>
      <c r="E102" s="4" cm="1">
        <f t="array" ref="E102">INDEX(GMW!$A$2:$NF$150,MATCH(1,(GMW!$NE$2:$NE$150=E$3)*(GMW!$ND$2:$ND$150=E$4)*(GMW!$NF$2:$NF$150=E$1),0),$C102-1966)</f>
        <v>69.366669999999999</v>
      </c>
      <c r="F102" s="4" cm="1">
        <f t="array" ref="F102">INDEX(GMW!$A$2:$NF$150,MATCH(1,(GMW!$NE$2:$NE$150=F$3)*(GMW!$ND$2:$ND$150=F$4)*(GMW!$NF$2:$NF$150=F$1),0),$C102-1966)</f>
        <v>93750</v>
      </c>
      <c r="G102" s="4" cm="1">
        <f t="array" ref="G102">INDEX(GMW!$A$2:$NF$150,MATCH(1,(GMW!$NE$2:$NE$150=G$3)*(GMW!$ND$2:$ND$150=G$4)*(GMW!$NF$2:$NF$150=G$1),0),$C102-1966)</f>
        <v>41113</v>
      </c>
      <c r="H102" s="4" cm="1">
        <f t="array" ref="H102">INDEX(GMW!$A$2:$NF$150,MATCH(1,(GMW!$NE$2:$NE$150=H$3)*(GMW!$ND$2:$ND$150=H$4)*(GMW!$NF$2:$NF$150=H$1),0),$C102-1966)</f>
        <v>85481</v>
      </c>
      <c r="I102" s="4" cm="1">
        <f t="array" ref="I102">INDEX(GMW!$A$2:$NF$150,MATCH(1,(GMW!$NE$2:$NE$150=I$3)*(GMW!$ND$2:$ND$150=I$4)*(GMW!$NF$2:$NF$150=I$1),0),$C102-1966)</f>
        <v>48077.02</v>
      </c>
      <c r="J102" s="4" cm="1">
        <f t="array" ref="J102">INDEX(GMW!$A$2:$NF$150,MATCH(1,(GMW!$NE$2:$NE$150=J$3)*(GMW!$ND$2:$ND$150=J$4)*(GMW!$NF$2:$NF$150=J$1),0),$C102-1966)</f>
        <v>66518</v>
      </c>
      <c r="K102" s="4" cm="1">
        <f t="array" ref="K102">INDEX(GMW!$A$2:$NF$150,MATCH(1,(GMW!$NE$2:$NE$150=K$3)*(GMW!$ND$2:$ND$150=K$4)*(GMW!$NF$2:$NF$150=K$1),0),$C102-1966)</f>
        <v>32279.43</v>
      </c>
      <c r="L102" s="4" cm="1">
        <f t="array" ref="L102">INDEX(GMW!$A$2:$NF$150,MATCH(1,(GMW!$NE$2:$NE$150=L$3)*(GMW!$ND$2:$ND$150=L$4)*(GMW!$NF$2:$NF$150=L$1),0),$C102-1966)</f>
        <v>395313.7</v>
      </c>
      <c r="M102" s="4" cm="1">
        <f t="array" ref="M102">INDEX(GMW!$A$2:$NF$150,MATCH(1,(GMW!$NE$2:$NE$150=M$3)*(GMW!$ND$2:$ND$150=M$4)*(GMW!$NF$2:$NF$150=M$1),0),$C102-1966)</f>
        <v>26238.12</v>
      </c>
      <c r="N102" s="4" cm="1">
        <f t="array" ref="N102">INDEX(GMW!$A$2:$NF$150,MATCH(1,(GMW!$NE$2:$NE$150=N$3)*(GMW!$ND$2:$ND$150=N$4)*(GMW!$NF$2:$NF$150=N$1),0),$C102-1966)</f>
        <v>33.200000000000003</v>
      </c>
      <c r="O102" s="4" cm="1">
        <f t="array" ref="O102">INDEX(GMW!$A$2:$NF$150,MATCH(1,(GMW!$NE$2:$NE$150=O$3)*(GMW!$ND$2:$ND$150=O$4)*(GMW!$NF$2:$NF$150=O$1),0),$C102-1966)</f>
        <v>366961.8</v>
      </c>
      <c r="P102" s="4" cm="1">
        <f t="array" ref="P102">INDEX(GMW!$A$2:$NF$150,MATCH(1,(GMW!$NE$2:$NE$150=P$3)*(GMW!$ND$2:$ND$150=P$4)*(GMW!$NF$2:$NF$150=P$1),0),$C102-1966)</f>
        <v>37717.370000000003</v>
      </c>
      <c r="Q102" s="4" cm="1">
        <f t="array" ref="Q102">INDEX(GMW!$A$2:$NF$150,MATCH(1,(GMW!$NE$2:$NE$150=Q$3)*(GMW!$ND$2:$ND$150=Q$4)*(GMW!$NF$2:$NF$150=Q$1),0),$C102-1966)</f>
        <v>1803324</v>
      </c>
      <c r="R102" s="4" cm="1">
        <f t="array" ref="R102">INDEX(GMW!$A$2:$NF$150,MATCH(1,(GMW!$NE$2:$NE$150=R$3)*(GMW!$ND$2:$ND$150=R$4)*(GMW!$NF$2:$NF$150=R$1),0),$C102-1966)</f>
        <v>-1.72519</v>
      </c>
      <c r="S102" s="4" cm="1">
        <f t="array" ref="S102">INDEX(GMW!$A$2:$NF$150,MATCH(1,(GMW!$NE$2:$NE$150=S$3)*(GMW!$ND$2:$ND$150=S$4)*(GMW!$NF$2:$NF$150=S$1),0),$C102-1966)</f>
        <v>391053</v>
      </c>
      <c r="T102" s="4" cm="1">
        <f t="array" ref="T102">INDEX(GMW!$A$2:$NF$150,MATCH(1,(GMW!$NE$2:$NE$150=T$3)*(GMW!$ND$2:$ND$150=T$4)*(GMW!$NF$2:$NF$150=T$1),0),$C102-1966)</f>
        <v>69.366669999999999</v>
      </c>
      <c r="U102" s="4" cm="1">
        <f t="array" ref="U102">INDEX(GMW!$A$2:$NF$150,MATCH(1,(GMW!$NE$2:$NE$150=U$3)*(GMW!$ND$2:$ND$150=U$4)*(GMW!$NF$2:$NF$150=U$1),0),$C102-1966)</f>
        <v>93750</v>
      </c>
      <c r="V102" s="4" cm="1">
        <f t="array" ref="V102">INDEX(GMW!$A$2:$NF$150,MATCH(1,(GMW!$NE$2:$NE$150=V$3)*(GMW!$ND$2:$ND$150=V$4)*(GMW!$NF$2:$NF$150=V$1),0),$C102-1966)</f>
        <v>41113</v>
      </c>
      <c r="W102" s="4" cm="1">
        <f t="array" ref="W102">INDEX(GMW!$A$2:$NF$150,MATCH(1,(GMW!$NE$2:$NE$150=W$3)*(GMW!$ND$2:$ND$150=W$4)*(GMW!$NF$2:$NF$150=W$1),0),$C102-1966)</f>
        <v>85481</v>
      </c>
      <c r="X102" s="4" cm="1">
        <f t="array" ref="X102">INDEX(GMW!$A$2:$NF$150,MATCH(1,(GMW!$NE$2:$NE$150=X$3)*(GMW!$ND$2:$ND$150=X$4)*(GMW!$NF$2:$NF$150=X$1),0),$C102-1966)</f>
        <v>48077.02</v>
      </c>
      <c r="Y102" s="4" cm="1">
        <f t="array" ref="Y102">INDEX(GMW!$A$2:$NF$150,MATCH(1,(GMW!$NE$2:$NE$150=Y$3)*(GMW!$ND$2:$ND$150=Y$4)*(GMW!$NF$2:$NF$150=Y$1),0),$C102-1966)</f>
        <v>66518</v>
      </c>
      <c r="Z102" s="4" cm="1">
        <f t="array" ref="Z102">INDEX(GMW!$A$2:$NF$150,MATCH(1,(GMW!$NE$2:$NE$150=Z$3)*(GMW!$ND$2:$ND$150=Z$4)*(GMW!$NF$2:$NF$150=Z$1),0),$C102-1966)</f>
        <v>32279.43</v>
      </c>
      <c r="AA102" s="4" cm="1">
        <f t="array" ref="AA102">INDEX(GMW!$A$2:$NF$150,MATCH(1,(GMW!$NE$2:$NE$150=AA$3)*(GMW!$ND$2:$ND$150=AA$4)*(GMW!$NF$2:$NF$150=AA$1),0),$C102-1966)</f>
        <v>395313.7</v>
      </c>
      <c r="AB102" s="4" cm="1">
        <f t="array" ref="AB102">INDEX(GMW!$A$2:$NF$150,MATCH(1,(GMW!$NE$2:$NE$150=AB$3)*(GMW!$ND$2:$ND$150=AB$4)*(GMW!$NF$2:$NF$150=AB$1),0),$C102-1966)</f>
        <v>26238.12</v>
      </c>
      <c r="AC102" s="4" cm="1">
        <f t="array" ref="AC102">INDEX(GMW!$A$2:$NF$150,MATCH(1,(GMW!$NE$2:$NE$150=AC$3)*(GMW!$ND$2:$ND$150=AC$4)*(GMW!$NF$2:$NF$150=AC$1),0),$C102-1966)</f>
        <v>33.200000000000003</v>
      </c>
      <c r="AD102" s="4" cm="1">
        <f t="array" ref="AD102">INDEX(GMW!$A$2:$NF$150,MATCH(1,(GMW!$NE$2:$NE$150=AD$3)*(GMW!$ND$2:$ND$150=AD$4)*(GMW!$NF$2:$NF$150=AD$1),0),$C102-1966)</f>
        <v>366961.8</v>
      </c>
      <c r="AE102" s="4" cm="1">
        <f t="array" ref="AE102">INDEX(GMW!$A$2:$NF$150,MATCH(1,(GMW!$NE$2:$NE$150=AE$3)*(GMW!$ND$2:$ND$150=AE$4)*(GMW!$NF$2:$NF$150=AE$1),0),$C102-1966)</f>
        <v>37717.370000000003</v>
      </c>
      <c r="AF102" s="4" cm="1">
        <f t="array" ref="AF102">INDEX(GMW!$A$2:$NF$150,MATCH(1,(GMW!$NE$2:$NE$150=AF$3)*(GMW!$ND$2:$ND$150=AF$4)*(GMW!$NF$2:$NF$150=AF$1),0),$C102-1966)</f>
        <v>1803324</v>
      </c>
      <c r="AG102" s="4" cm="1">
        <f t="array" ref="AG102">INDEX(GMW!$A$2:$NF$150,MATCH(1,(GMW!$NE$2:$NE$150=AG$3)*(GMW!$ND$2:$ND$150=AG$4)*(GMW!$NF$2:$NF$150=AG$1),0),$C102-1966)</f>
        <v>-1.72519</v>
      </c>
      <c r="AH102" s="4" cm="1">
        <f t="array" ref="AH102">INDEX(GMW!$A$2:$NF$150,MATCH(1,(GMW!$NE$2:$NE$150=AH$3)*(GMW!$ND$2:$ND$150=AH$4)*(GMW!$NF$2:$NF$150=AH$1),0),$C102-1966)</f>
        <v>391053</v>
      </c>
      <c r="AI102" s="4" cm="1">
        <f t="array" ref="AI102">INDEX(GMW!$A$2:$NF$150,MATCH(1,(GMW!$NE$2:$NE$150=AI$3)*(GMW!$ND$2:$ND$150=AI$4)*(GMW!$NF$2:$NF$150=AI$1),0),$C102-1966)</f>
        <v>69.366669999999999</v>
      </c>
      <c r="AJ102" s="4" cm="1">
        <f t="array" ref="AJ102">INDEX(GMW!$A$2:$NF$150,MATCH(1,(GMW!$NE$2:$NE$150=AJ$3)*(GMW!$ND$2:$ND$150=AJ$4)*(GMW!$NF$2:$NF$150=AJ$1),0),$C102-1966)</f>
        <v>93750</v>
      </c>
      <c r="AK102" s="4" cm="1">
        <f t="array" ref="AK102">INDEX(GMW!$A$2:$NF$150,MATCH(1,(GMW!$NE$2:$NE$150=AK$3)*(GMW!$ND$2:$ND$150=AK$4)*(GMW!$NF$2:$NF$150=AK$1),0),$C102-1966)</f>
        <v>41113</v>
      </c>
      <c r="AL102" s="4" cm="1">
        <f t="array" ref="AL102">INDEX(GMW!$A$2:$NF$150,MATCH(1,(GMW!$NE$2:$NE$150=AL$3)*(GMW!$ND$2:$ND$150=AL$4)*(GMW!$NF$2:$NF$150=AL$1),0),$C102-1966)</f>
        <v>85481</v>
      </c>
      <c r="AM102" s="4" cm="1">
        <f t="array" ref="AM102">INDEX(GMW!$A$2:$NF$150,MATCH(1,(GMW!$NE$2:$NE$150=AM$3)*(GMW!$ND$2:$ND$150=AM$4)*(GMW!$NF$2:$NF$150=AM$1),0),$C102-1966)</f>
        <v>48077.02</v>
      </c>
      <c r="AN102" s="4" cm="1">
        <f t="array" ref="AN102">INDEX(GMW!$A$2:$NF$150,MATCH(1,(GMW!$NE$2:$NE$150=AN$3)*(GMW!$ND$2:$ND$150=AN$4)*(GMW!$NF$2:$NF$150=AN$1),0),$C102-1966)</f>
        <v>66518</v>
      </c>
      <c r="AO102" s="4" cm="1">
        <f t="array" ref="AO102">INDEX(GMW!$A$2:$NF$150,MATCH(1,(GMW!$NE$2:$NE$150=AO$3)*(GMW!$ND$2:$ND$150=AO$4)*(GMW!$NF$2:$NF$150=AO$1),0),$C102-1966)</f>
        <v>32279.43</v>
      </c>
      <c r="AP102" s="4" cm="1">
        <f t="array" ref="AP102">INDEX(GMW!$A$2:$NF$150,MATCH(1,(GMW!$NE$2:$NE$150=AP$3)*(GMW!$ND$2:$ND$150=AP$4)*(GMW!$NF$2:$NF$150=AP$1),0),$C102-1966)</f>
        <v>395313.7</v>
      </c>
      <c r="AQ102" s="4" cm="1">
        <f t="array" ref="AQ102">INDEX(GMW!$A$2:$NF$150,MATCH(1,(GMW!$NE$2:$NE$150=AQ$3)*(GMW!$ND$2:$ND$150=AQ$4)*(GMW!$NF$2:$NF$150=AQ$1),0),$C102-1966)</f>
        <v>26238.12</v>
      </c>
      <c r="AR102" s="4" cm="1">
        <f t="array" ref="AR102">INDEX(GMW!$A$2:$NF$150,MATCH(1,(GMW!$NE$2:$NE$150=AR$3)*(GMW!$ND$2:$ND$150=AR$4)*(GMW!$NF$2:$NF$150=AR$1),0),$C102-1966)</f>
        <v>33.200000000000003</v>
      </c>
      <c r="AS102" s="4" cm="1">
        <f t="array" ref="AS102">INDEX(GMW!$A$2:$NF$150,MATCH(1,(GMW!$NE$2:$NE$150=AS$3)*(GMW!$ND$2:$ND$150=AS$4)*(GMW!$NF$2:$NF$150=AS$1),0),$C102-1966)</f>
        <v>366961.8</v>
      </c>
      <c r="AT102" s="4" cm="1">
        <f t="array" ref="AT102">INDEX(GMW!$A$2:$NF$150,MATCH(1,(GMW!$NE$2:$NE$150=AT$3)*(GMW!$ND$2:$ND$150=AT$4)*(GMW!$NF$2:$NF$150=AT$1),0),$C102-1966)</f>
        <v>37717.370000000003</v>
      </c>
      <c r="AU102" s="4" cm="1">
        <f t="array" ref="AU102">INDEX(GMW!$A$2:$NF$150,MATCH(1,(GMW!$NE$2:$NE$150=AU$3)*(GMW!$ND$2:$ND$150=AU$4)*(GMW!$NF$2:$NF$150=AU$1),0),$C102-1966)</f>
        <v>1803324</v>
      </c>
      <c r="AV102" s="4" cm="1">
        <f t="array" ref="AV102">INDEX(GMW!$A$2:$NF$150,MATCH(1,(GMW!$NE$2:$NE$150=AV$3)*(GMW!$ND$2:$ND$150=AV$4)*(GMW!$NF$2:$NF$150=AV$1),0),$C102-1966)</f>
        <v>-1.72519</v>
      </c>
    </row>
    <row r="103" spans="1:48" x14ac:dyDescent="0.25">
      <c r="A103" s="4">
        <v>1997</v>
      </c>
      <c r="B103" s="4">
        <f t="shared" si="6"/>
        <v>1997</v>
      </c>
      <c r="C103" s="4">
        <f t="shared" si="5"/>
        <v>2069</v>
      </c>
      <c r="D103" s="4" cm="1">
        <f t="array" ref="D103">INDEX(GMW!$A$2:$NF$150,MATCH(1,(GMW!$NE$2:$NE$150=D$3)*(GMW!$ND$2:$ND$150=D$4)*(GMW!$NF$2:$NF$150=D$1),0),$C103-1966)</f>
        <v>397303</v>
      </c>
      <c r="E103" s="4" cm="1">
        <f t="array" ref="E103">INDEX(GMW!$A$2:$NF$150,MATCH(1,(GMW!$NE$2:$NE$150=E$3)*(GMW!$ND$2:$ND$150=E$4)*(GMW!$NF$2:$NF$150=E$1),0),$C103-1966)</f>
        <v>69.366669999999999</v>
      </c>
      <c r="F103" s="4" cm="1">
        <f t="array" ref="F103">INDEX(GMW!$A$2:$NF$150,MATCH(1,(GMW!$NE$2:$NE$150=F$3)*(GMW!$ND$2:$ND$150=F$4)*(GMW!$NF$2:$NF$150=F$1),0),$C103-1966)</f>
        <v>100801</v>
      </c>
      <c r="G103" s="4" cm="1">
        <f t="array" ref="G103">INDEX(GMW!$A$2:$NF$150,MATCH(1,(GMW!$NE$2:$NE$150=G$3)*(GMW!$ND$2:$ND$150=G$4)*(GMW!$NF$2:$NF$150=G$1),0),$C103-1966)</f>
        <v>47312</v>
      </c>
      <c r="H103" s="4" cm="1">
        <f t="array" ref="H103">INDEX(GMW!$A$2:$NF$150,MATCH(1,(GMW!$NE$2:$NE$150=H$3)*(GMW!$ND$2:$ND$150=H$4)*(GMW!$NF$2:$NF$150=H$1),0),$C103-1966)</f>
        <v>87548</v>
      </c>
      <c r="I103" s="4" cm="1">
        <f t="array" ref="I103">INDEX(GMW!$A$2:$NF$150,MATCH(1,(GMW!$NE$2:$NE$150=I$3)*(GMW!$ND$2:$ND$150=I$4)*(GMW!$NF$2:$NF$150=I$1),0),$C103-1966)</f>
        <v>50256</v>
      </c>
      <c r="J103" s="4" cm="1">
        <f t="array" ref="J103">INDEX(GMW!$A$2:$NF$150,MATCH(1,(GMW!$NE$2:$NE$150=J$3)*(GMW!$ND$2:$ND$150=J$4)*(GMW!$NF$2:$NF$150=J$1),0),$C103-1966)</f>
        <v>64163</v>
      </c>
      <c r="K103" s="4" cm="1">
        <f t="array" ref="K103">INDEX(GMW!$A$2:$NF$150,MATCH(1,(GMW!$NE$2:$NE$150=K$3)*(GMW!$ND$2:$ND$150=K$4)*(GMW!$NF$2:$NF$150=K$1),0),$C103-1966)</f>
        <v>35462</v>
      </c>
      <c r="L103" s="4" cm="1">
        <f t="array" ref="L103">INDEX(GMW!$A$2:$NF$150,MATCH(1,(GMW!$NE$2:$NE$150=L$3)*(GMW!$ND$2:$ND$150=L$4)*(GMW!$NF$2:$NF$150=L$1),0),$C103-1966)</f>
        <v>398137.5</v>
      </c>
      <c r="M103" s="4" cm="1">
        <f t="array" ref="M103">INDEX(GMW!$A$2:$NF$150,MATCH(1,(GMW!$NE$2:$NE$150=M$3)*(GMW!$ND$2:$ND$150=M$4)*(GMW!$NF$2:$NF$150=M$1),0),$C103-1966)</f>
        <v>26331.05</v>
      </c>
      <c r="N103" s="4" cm="1">
        <f t="array" ref="N103">INDEX(GMW!$A$2:$NF$150,MATCH(1,(GMW!$NE$2:$NE$150=N$3)*(GMW!$ND$2:$ND$150=N$4)*(GMW!$NF$2:$NF$150=N$1),0),$C103-1966)</f>
        <v>33.200000000000003</v>
      </c>
      <c r="O103" s="4" cm="1">
        <f t="array" ref="O103">INDEX(GMW!$A$2:$NF$150,MATCH(1,(GMW!$NE$2:$NE$150=O$3)*(GMW!$ND$2:$ND$150=O$4)*(GMW!$NF$2:$NF$150=O$1),0),$C103-1966)</f>
        <v>367339.3</v>
      </c>
      <c r="P103" s="4" cm="1">
        <f t="array" ref="P103">INDEX(GMW!$A$2:$NF$150,MATCH(1,(GMW!$NE$2:$NE$150=P$3)*(GMW!$ND$2:$ND$150=P$4)*(GMW!$NF$2:$NF$150=P$1),0),$C103-1966)</f>
        <v>37746.6</v>
      </c>
      <c r="Q103" s="4" cm="1">
        <f t="array" ref="Q103">INDEX(GMW!$A$2:$NF$150,MATCH(1,(GMW!$NE$2:$NE$150=Q$3)*(GMW!$ND$2:$ND$150=Q$4)*(GMW!$NF$2:$NF$150=Q$1),0),$C103-1966)</f>
        <v>1817243</v>
      </c>
      <c r="R103" s="4" cm="1">
        <f t="array" ref="R103">INDEX(GMW!$A$2:$NF$150,MATCH(1,(GMW!$NE$2:$NE$150=R$3)*(GMW!$ND$2:$ND$150=R$4)*(GMW!$NF$2:$NF$150=R$1),0),$C103-1966)</f>
        <v>-1.7225490000000001</v>
      </c>
      <c r="S103" s="4" cm="1">
        <f t="array" ref="S103">INDEX(GMW!$A$2:$NF$150,MATCH(1,(GMW!$NE$2:$NE$150=S$3)*(GMW!$ND$2:$ND$150=S$4)*(GMW!$NF$2:$NF$150=S$1),0),$C103-1966)</f>
        <v>397303</v>
      </c>
      <c r="T103" s="4" cm="1">
        <f t="array" ref="T103">INDEX(GMW!$A$2:$NF$150,MATCH(1,(GMW!$NE$2:$NE$150=T$3)*(GMW!$ND$2:$ND$150=T$4)*(GMW!$NF$2:$NF$150=T$1),0),$C103-1966)</f>
        <v>69.366669999999999</v>
      </c>
      <c r="U103" s="4" cm="1">
        <f t="array" ref="U103">INDEX(GMW!$A$2:$NF$150,MATCH(1,(GMW!$NE$2:$NE$150=U$3)*(GMW!$ND$2:$ND$150=U$4)*(GMW!$NF$2:$NF$150=U$1),0),$C103-1966)</f>
        <v>100801</v>
      </c>
      <c r="V103" s="4" cm="1">
        <f t="array" ref="V103">INDEX(GMW!$A$2:$NF$150,MATCH(1,(GMW!$NE$2:$NE$150=V$3)*(GMW!$ND$2:$ND$150=V$4)*(GMW!$NF$2:$NF$150=V$1),0),$C103-1966)</f>
        <v>47312</v>
      </c>
      <c r="W103" s="4" cm="1">
        <f t="array" ref="W103">INDEX(GMW!$A$2:$NF$150,MATCH(1,(GMW!$NE$2:$NE$150=W$3)*(GMW!$ND$2:$ND$150=W$4)*(GMW!$NF$2:$NF$150=W$1),0),$C103-1966)</f>
        <v>87548</v>
      </c>
      <c r="X103" s="4" cm="1">
        <f t="array" ref="X103">INDEX(GMW!$A$2:$NF$150,MATCH(1,(GMW!$NE$2:$NE$150=X$3)*(GMW!$ND$2:$ND$150=X$4)*(GMW!$NF$2:$NF$150=X$1),0),$C103-1966)</f>
        <v>50256</v>
      </c>
      <c r="Y103" s="4" cm="1">
        <f t="array" ref="Y103">INDEX(GMW!$A$2:$NF$150,MATCH(1,(GMW!$NE$2:$NE$150=Y$3)*(GMW!$ND$2:$ND$150=Y$4)*(GMW!$NF$2:$NF$150=Y$1),0),$C103-1966)</f>
        <v>64163</v>
      </c>
      <c r="Z103" s="4" cm="1">
        <f t="array" ref="Z103">INDEX(GMW!$A$2:$NF$150,MATCH(1,(GMW!$NE$2:$NE$150=Z$3)*(GMW!$ND$2:$ND$150=Z$4)*(GMW!$NF$2:$NF$150=Z$1),0),$C103-1966)</f>
        <v>35462</v>
      </c>
      <c r="AA103" s="4" cm="1">
        <f t="array" ref="AA103">INDEX(GMW!$A$2:$NF$150,MATCH(1,(GMW!$NE$2:$NE$150=AA$3)*(GMW!$ND$2:$ND$150=AA$4)*(GMW!$NF$2:$NF$150=AA$1),0),$C103-1966)</f>
        <v>398137.5</v>
      </c>
      <c r="AB103" s="4" cm="1">
        <f t="array" ref="AB103">INDEX(GMW!$A$2:$NF$150,MATCH(1,(GMW!$NE$2:$NE$150=AB$3)*(GMW!$ND$2:$ND$150=AB$4)*(GMW!$NF$2:$NF$150=AB$1),0),$C103-1966)</f>
        <v>26331.05</v>
      </c>
      <c r="AC103" s="4" cm="1">
        <f t="array" ref="AC103">INDEX(GMW!$A$2:$NF$150,MATCH(1,(GMW!$NE$2:$NE$150=AC$3)*(GMW!$ND$2:$ND$150=AC$4)*(GMW!$NF$2:$NF$150=AC$1),0),$C103-1966)</f>
        <v>33.200000000000003</v>
      </c>
      <c r="AD103" s="4" cm="1">
        <f t="array" ref="AD103">INDEX(GMW!$A$2:$NF$150,MATCH(1,(GMW!$NE$2:$NE$150=AD$3)*(GMW!$ND$2:$ND$150=AD$4)*(GMW!$NF$2:$NF$150=AD$1),0),$C103-1966)</f>
        <v>367339.3</v>
      </c>
      <c r="AE103" s="4" cm="1">
        <f t="array" ref="AE103">INDEX(GMW!$A$2:$NF$150,MATCH(1,(GMW!$NE$2:$NE$150=AE$3)*(GMW!$ND$2:$ND$150=AE$4)*(GMW!$NF$2:$NF$150=AE$1),0),$C103-1966)</f>
        <v>37746.6</v>
      </c>
      <c r="AF103" s="4" cm="1">
        <f t="array" ref="AF103">INDEX(GMW!$A$2:$NF$150,MATCH(1,(GMW!$NE$2:$NE$150=AF$3)*(GMW!$ND$2:$ND$150=AF$4)*(GMW!$NF$2:$NF$150=AF$1),0),$C103-1966)</f>
        <v>1817243</v>
      </c>
      <c r="AG103" s="4" cm="1">
        <f t="array" ref="AG103">INDEX(GMW!$A$2:$NF$150,MATCH(1,(GMW!$NE$2:$NE$150=AG$3)*(GMW!$ND$2:$ND$150=AG$4)*(GMW!$NF$2:$NF$150=AG$1),0),$C103-1966)</f>
        <v>-1.7225490000000001</v>
      </c>
      <c r="AH103" s="4" cm="1">
        <f t="array" ref="AH103">INDEX(GMW!$A$2:$NF$150,MATCH(1,(GMW!$NE$2:$NE$150=AH$3)*(GMW!$ND$2:$ND$150=AH$4)*(GMW!$NF$2:$NF$150=AH$1),0),$C103-1966)</f>
        <v>397303</v>
      </c>
      <c r="AI103" s="4" cm="1">
        <f t="array" ref="AI103">INDEX(GMW!$A$2:$NF$150,MATCH(1,(GMW!$NE$2:$NE$150=AI$3)*(GMW!$ND$2:$ND$150=AI$4)*(GMW!$NF$2:$NF$150=AI$1),0),$C103-1966)</f>
        <v>69.366669999999999</v>
      </c>
      <c r="AJ103" s="4" cm="1">
        <f t="array" ref="AJ103">INDEX(GMW!$A$2:$NF$150,MATCH(1,(GMW!$NE$2:$NE$150=AJ$3)*(GMW!$ND$2:$ND$150=AJ$4)*(GMW!$NF$2:$NF$150=AJ$1),0),$C103-1966)</f>
        <v>100801</v>
      </c>
      <c r="AK103" s="4" cm="1">
        <f t="array" ref="AK103">INDEX(GMW!$A$2:$NF$150,MATCH(1,(GMW!$NE$2:$NE$150=AK$3)*(GMW!$ND$2:$ND$150=AK$4)*(GMW!$NF$2:$NF$150=AK$1),0),$C103-1966)</f>
        <v>47312</v>
      </c>
      <c r="AL103" s="4" cm="1">
        <f t="array" ref="AL103">INDEX(GMW!$A$2:$NF$150,MATCH(1,(GMW!$NE$2:$NE$150=AL$3)*(GMW!$ND$2:$ND$150=AL$4)*(GMW!$NF$2:$NF$150=AL$1),0),$C103-1966)</f>
        <v>87548</v>
      </c>
      <c r="AM103" s="4" cm="1">
        <f t="array" ref="AM103">INDEX(GMW!$A$2:$NF$150,MATCH(1,(GMW!$NE$2:$NE$150=AM$3)*(GMW!$ND$2:$ND$150=AM$4)*(GMW!$NF$2:$NF$150=AM$1),0),$C103-1966)</f>
        <v>50256</v>
      </c>
      <c r="AN103" s="4" cm="1">
        <f t="array" ref="AN103">INDEX(GMW!$A$2:$NF$150,MATCH(1,(GMW!$NE$2:$NE$150=AN$3)*(GMW!$ND$2:$ND$150=AN$4)*(GMW!$NF$2:$NF$150=AN$1),0),$C103-1966)</f>
        <v>64163</v>
      </c>
      <c r="AO103" s="4" cm="1">
        <f t="array" ref="AO103">INDEX(GMW!$A$2:$NF$150,MATCH(1,(GMW!$NE$2:$NE$150=AO$3)*(GMW!$ND$2:$ND$150=AO$4)*(GMW!$NF$2:$NF$150=AO$1),0),$C103-1966)</f>
        <v>35462</v>
      </c>
      <c r="AP103" s="4" cm="1">
        <f t="array" ref="AP103">INDEX(GMW!$A$2:$NF$150,MATCH(1,(GMW!$NE$2:$NE$150=AP$3)*(GMW!$ND$2:$ND$150=AP$4)*(GMW!$NF$2:$NF$150=AP$1),0),$C103-1966)</f>
        <v>398137.5</v>
      </c>
      <c r="AQ103" s="4" cm="1">
        <f t="array" ref="AQ103">INDEX(GMW!$A$2:$NF$150,MATCH(1,(GMW!$NE$2:$NE$150=AQ$3)*(GMW!$ND$2:$ND$150=AQ$4)*(GMW!$NF$2:$NF$150=AQ$1),0),$C103-1966)</f>
        <v>26331.05</v>
      </c>
      <c r="AR103" s="4" cm="1">
        <f t="array" ref="AR103">INDEX(GMW!$A$2:$NF$150,MATCH(1,(GMW!$NE$2:$NE$150=AR$3)*(GMW!$ND$2:$ND$150=AR$4)*(GMW!$NF$2:$NF$150=AR$1),0),$C103-1966)</f>
        <v>33.200000000000003</v>
      </c>
      <c r="AS103" s="4" cm="1">
        <f t="array" ref="AS103">INDEX(GMW!$A$2:$NF$150,MATCH(1,(GMW!$NE$2:$NE$150=AS$3)*(GMW!$ND$2:$ND$150=AS$4)*(GMW!$NF$2:$NF$150=AS$1),0),$C103-1966)</f>
        <v>367339.3</v>
      </c>
      <c r="AT103" s="4" cm="1">
        <f t="array" ref="AT103">INDEX(GMW!$A$2:$NF$150,MATCH(1,(GMW!$NE$2:$NE$150=AT$3)*(GMW!$ND$2:$ND$150=AT$4)*(GMW!$NF$2:$NF$150=AT$1),0),$C103-1966)</f>
        <v>37746.6</v>
      </c>
      <c r="AU103" s="4" cm="1">
        <f t="array" ref="AU103">INDEX(GMW!$A$2:$NF$150,MATCH(1,(GMW!$NE$2:$NE$150=AU$3)*(GMW!$ND$2:$ND$150=AU$4)*(GMW!$NF$2:$NF$150=AU$1),0),$C103-1966)</f>
        <v>1817243</v>
      </c>
      <c r="AV103" s="4" cm="1">
        <f t="array" ref="AV103">INDEX(GMW!$A$2:$NF$150,MATCH(1,(GMW!$NE$2:$NE$150=AV$3)*(GMW!$ND$2:$ND$150=AV$4)*(GMW!$NF$2:$NF$150=AV$1),0),$C103-1966)</f>
        <v>-1.7225490000000001</v>
      </c>
    </row>
    <row r="104" spans="1:48" x14ac:dyDescent="0.25">
      <c r="B104" s="4">
        <f t="shared" si="6"/>
        <v>1997</v>
      </c>
      <c r="C104" s="4">
        <f t="shared" si="5"/>
        <v>2070</v>
      </c>
      <c r="D104" s="4" cm="1">
        <f t="array" ref="D104">INDEX(GMW!$A$2:$NF$150,MATCH(1,(GMW!$NE$2:$NE$150=D$3)*(GMW!$ND$2:$ND$150=D$4)*(GMW!$NF$2:$NF$150=D$1),0),$C104-1966)</f>
        <v>401790</v>
      </c>
      <c r="E104" s="4" cm="1">
        <f t="array" ref="E104">INDEX(GMW!$A$2:$NF$150,MATCH(1,(GMW!$NE$2:$NE$150=E$3)*(GMW!$ND$2:$ND$150=E$4)*(GMW!$NF$2:$NF$150=E$1),0),$C104-1966)</f>
        <v>70</v>
      </c>
      <c r="F104" s="4" cm="1">
        <f t="array" ref="F104">INDEX(GMW!$A$2:$NF$150,MATCH(1,(GMW!$NE$2:$NE$150=F$3)*(GMW!$ND$2:$ND$150=F$4)*(GMW!$NF$2:$NF$150=F$1),0),$C104-1966)</f>
        <v>102215</v>
      </c>
      <c r="G104" s="4" cm="1">
        <f t="array" ref="G104">INDEX(GMW!$A$2:$NF$150,MATCH(1,(GMW!$NE$2:$NE$150=G$3)*(GMW!$ND$2:$ND$150=G$4)*(GMW!$NF$2:$NF$150=G$1),0),$C104-1966)</f>
        <v>49077</v>
      </c>
      <c r="H104" s="4" cm="1">
        <f t="array" ref="H104">INDEX(GMW!$A$2:$NF$150,MATCH(1,(GMW!$NE$2:$NE$150=H$3)*(GMW!$ND$2:$ND$150=H$4)*(GMW!$NF$2:$NF$150=H$1),0),$C104-1966)</f>
        <v>92186</v>
      </c>
      <c r="I104" s="4" cm="1">
        <f t="array" ref="I104">INDEX(GMW!$A$2:$NF$150,MATCH(1,(GMW!$NE$2:$NE$150=I$3)*(GMW!$ND$2:$ND$150=I$4)*(GMW!$NF$2:$NF$150=I$1),0),$C104-1966)</f>
        <v>51441</v>
      </c>
      <c r="J104" s="4" cm="1">
        <f t="array" ref="J104">INDEX(GMW!$A$2:$NF$150,MATCH(1,(GMW!$NE$2:$NE$150=J$3)*(GMW!$ND$2:$ND$150=J$4)*(GMW!$NF$2:$NF$150=J$1),0),$C104-1966)</f>
        <v>64841</v>
      </c>
      <c r="K104" s="4" cm="1">
        <f t="array" ref="K104">INDEX(GMW!$A$2:$NF$150,MATCH(1,(GMW!$NE$2:$NE$150=K$3)*(GMW!$ND$2:$ND$150=K$4)*(GMW!$NF$2:$NF$150=K$1),0),$C104-1966)</f>
        <v>37021</v>
      </c>
      <c r="L104" s="4" cm="1">
        <f t="array" ref="L104">INDEX(GMW!$A$2:$NF$150,MATCH(1,(GMW!$NE$2:$NE$150=L$3)*(GMW!$ND$2:$ND$150=L$4)*(GMW!$NF$2:$NF$150=L$1),0),$C104-1966)</f>
        <v>401790</v>
      </c>
      <c r="M104" s="4" cm="1">
        <f t="array" ref="M104">INDEX(GMW!$A$2:$NF$150,MATCH(1,(GMW!$NE$2:$NE$150=M$3)*(GMW!$ND$2:$ND$150=M$4)*(GMW!$NF$2:$NF$150=M$1),0),$C104-1966)</f>
        <v>26479.759999999998</v>
      </c>
      <c r="N104" s="4" cm="1">
        <f t="array" ref="N104">INDEX(GMW!$A$2:$NF$150,MATCH(1,(GMW!$NE$2:$NE$150=N$3)*(GMW!$ND$2:$ND$150=N$4)*(GMW!$NF$2:$NF$150=N$1),0),$C104-1966)</f>
        <v>33.200000000000003</v>
      </c>
      <c r="O104" s="4" cm="1">
        <f t="array" ref="O104">INDEX(GMW!$A$2:$NF$150,MATCH(1,(GMW!$NE$2:$NE$150=O$3)*(GMW!$ND$2:$ND$150=O$4)*(GMW!$NF$2:$NF$150=O$1),0),$C104-1966)</f>
        <v>367799.4</v>
      </c>
      <c r="P104" s="4" cm="1">
        <f t="array" ref="P104">INDEX(GMW!$A$2:$NF$150,MATCH(1,(GMW!$NE$2:$NE$150=P$3)*(GMW!$ND$2:$ND$150=P$4)*(GMW!$NF$2:$NF$150=P$1),0),$C104-1966)</f>
        <v>37775.82</v>
      </c>
      <c r="Q104" s="4" cm="1">
        <f t="array" ref="Q104">INDEX(GMW!$A$2:$NF$150,MATCH(1,(GMW!$NE$2:$NE$150=Q$3)*(GMW!$ND$2:$ND$150=Q$4)*(GMW!$NF$2:$NF$150=Q$1),0),$C104-1966)</f>
        <v>1831162</v>
      </c>
      <c r="R104" s="4" cm="1">
        <f t="array" ref="R104">INDEX(GMW!$A$2:$NF$150,MATCH(1,(GMW!$NE$2:$NE$150=R$3)*(GMW!$ND$2:$ND$150=R$4)*(GMW!$NF$2:$NF$150=R$1),0),$C104-1966)</f>
        <v>-1.7199120000000001</v>
      </c>
      <c r="S104" s="4" cm="1">
        <f t="array" ref="S104">INDEX(GMW!$A$2:$NF$150,MATCH(1,(GMW!$NE$2:$NE$150=S$3)*(GMW!$ND$2:$ND$150=S$4)*(GMW!$NF$2:$NF$150=S$1),0),$C104-1966)</f>
        <v>401790</v>
      </c>
      <c r="T104" s="4" cm="1">
        <f t="array" ref="T104">INDEX(GMW!$A$2:$NF$150,MATCH(1,(GMW!$NE$2:$NE$150=T$3)*(GMW!$ND$2:$ND$150=T$4)*(GMW!$NF$2:$NF$150=T$1),0),$C104-1966)</f>
        <v>70</v>
      </c>
      <c r="U104" s="4" cm="1">
        <f t="array" ref="U104">INDEX(GMW!$A$2:$NF$150,MATCH(1,(GMW!$NE$2:$NE$150=U$3)*(GMW!$ND$2:$ND$150=U$4)*(GMW!$NF$2:$NF$150=U$1),0),$C104-1966)</f>
        <v>102215</v>
      </c>
      <c r="V104" s="4" cm="1">
        <f t="array" ref="V104">INDEX(GMW!$A$2:$NF$150,MATCH(1,(GMW!$NE$2:$NE$150=V$3)*(GMW!$ND$2:$ND$150=V$4)*(GMW!$NF$2:$NF$150=V$1),0),$C104-1966)</f>
        <v>49077</v>
      </c>
      <c r="W104" s="4" cm="1">
        <f t="array" ref="W104">INDEX(GMW!$A$2:$NF$150,MATCH(1,(GMW!$NE$2:$NE$150=W$3)*(GMW!$ND$2:$ND$150=W$4)*(GMW!$NF$2:$NF$150=W$1),0),$C104-1966)</f>
        <v>92186</v>
      </c>
      <c r="X104" s="4" cm="1">
        <f t="array" ref="X104">INDEX(GMW!$A$2:$NF$150,MATCH(1,(GMW!$NE$2:$NE$150=X$3)*(GMW!$ND$2:$ND$150=X$4)*(GMW!$NF$2:$NF$150=X$1),0),$C104-1966)</f>
        <v>51441</v>
      </c>
      <c r="Y104" s="4" cm="1">
        <f t="array" ref="Y104">INDEX(GMW!$A$2:$NF$150,MATCH(1,(GMW!$NE$2:$NE$150=Y$3)*(GMW!$ND$2:$ND$150=Y$4)*(GMW!$NF$2:$NF$150=Y$1),0),$C104-1966)</f>
        <v>64841</v>
      </c>
      <c r="Z104" s="4" cm="1">
        <f t="array" ref="Z104">INDEX(GMW!$A$2:$NF$150,MATCH(1,(GMW!$NE$2:$NE$150=Z$3)*(GMW!$ND$2:$ND$150=Z$4)*(GMW!$NF$2:$NF$150=Z$1),0),$C104-1966)</f>
        <v>37021</v>
      </c>
      <c r="AA104" s="4" cm="1">
        <f t="array" ref="AA104">INDEX(GMW!$A$2:$NF$150,MATCH(1,(GMW!$NE$2:$NE$150=AA$3)*(GMW!$ND$2:$ND$150=AA$4)*(GMW!$NF$2:$NF$150=AA$1),0),$C104-1966)</f>
        <v>401790</v>
      </c>
      <c r="AB104" s="4" cm="1">
        <f t="array" ref="AB104">INDEX(GMW!$A$2:$NF$150,MATCH(1,(GMW!$NE$2:$NE$150=AB$3)*(GMW!$ND$2:$ND$150=AB$4)*(GMW!$NF$2:$NF$150=AB$1),0),$C104-1966)</f>
        <v>26479.759999999998</v>
      </c>
      <c r="AC104" s="4" cm="1">
        <f t="array" ref="AC104">INDEX(GMW!$A$2:$NF$150,MATCH(1,(GMW!$NE$2:$NE$150=AC$3)*(GMW!$ND$2:$ND$150=AC$4)*(GMW!$NF$2:$NF$150=AC$1),0),$C104-1966)</f>
        <v>33.200000000000003</v>
      </c>
      <c r="AD104" s="4" cm="1">
        <f t="array" ref="AD104">INDEX(GMW!$A$2:$NF$150,MATCH(1,(GMW!$NE$2:$NE$150=AD$3)*(GMW!$ND$2:$ND$150=AD$4)*(GMW!$NF$2:$NF$150=AD$1),0),$C104-1966)</f>
        <v>367799.4</v>
      </c>
      <c r="AE104" s="4" cm="1">
        <f t="array" ref="AE104">INDEX(GMW!$A$2:$NF$150,MATCH(1,(GMW!$NE$2:$NE$150=AE$3)*(GMW!$ND$2:$ND$150=AE$4)*(GMW!$NF$2:$NF$150=AE$1),0),$C104-1966)</f>
        <v>37775.82</v>
      </c>
      <c r="AF104" s="4" cm="1">
        <f t="array" ref="AF104">INDEX(GMW!$A$2:$NF$150,MATCH(1,(GMW!$NE$2:$NE$150=AF$3)*(GMW!$ND$2:$ND$150=AF$4)*(GMW!$NF$2:$NF$150=AF$1),0),$C104-1966)</f>
        <v>1831162</v>
      </c>
      <c r="AG104" s="4" cm="1">
        <f t="array" ref="AG104">INDEX(GMW!$A$2:$NF$150,MATCH(1,(GMW!$NE$2:$NE$150=AG$3)*(GMW!$ND$2:$ND$150=AG$4)*(GMW!$NF$2:$NF$150=AG$1),0),$C104-1966)</f>
        <v>-1.7199120000000001</v>
      </c>
      <c r="AH104" s="4" cm="1">
        <f t="array" ref="AH104">INDEX(GMW!$A$2:$NF$150,MATCH(1,(GMW!$NE$2:$NE$150=AH$3)*(GMW!$ND$2:$ND$150=AH$4)*(GMW!$NF$2:$NF$150=AH$1),0),$C104-1966)</f>
        <v>401790</v>
      </c>
      <c r="AI104" s="4" cm="1">
        <f t="array" ref="AI104">INDEX(GMW!$A$2:$NF$150,MATCH(1,(GMW!$NE$2:$NE$150=AI$3)*(GMW!$ND$2:$ND$150=AI$4)*(GMW!$NF$2:$NF$150=AI$1),0),$C104-1966)</f>
        <v>70</v>
      </c>
      <c r="AJ104" s="4" cm="1">
        <f t="array" ref="AJ104">INDEX(GMW!$A$2:$NF$150,MATCH(1,(GMW!$NE$2:$NE$150=AJ$3)*(GMW!$ND$2:$ND$150=AJ$4)*(GMW!$NF$2:$NF$150=AJ$1),0),$C104-1966)</f>
        <v>102215</v>
      </c>
      <c r="AK104" s="4" cm="1">
        <f t="array" ref="AK104">INDEX(GMW!$A$2:$NF$150,MATCH(1,(GMW!$NE$2:$NE$150=AK$3)*(GMW!$ND$2:$ND$150=AK$4)*(GMW!$NF$2:$NF$150=AK$1),0),$C104-1966)</f>
        <v>49077</v>
      </c>
      <c r="AL104" s="4" cm="1">
        <f t="array" ref="AL104">INDEX(GMW!$A$2:$NF$150,MATCH(1,(GMW!$NE$2:$NE$150=AL$3)*(GMW!$ND$2:$ND$150=AL$4)*(GMW!$NF$2:$NF$150=AL$1),0),$C104-1966)</f>
        <v>92186</v>
      </c>
      <c r="AM104" s="4" cm="1">
        <f t="array" ref="AM104">INDEX(GMW!$A$2:$NF$150,MATCH(1,(GMW!$NE$2:$NE$150=AM$3)*(GMW!$ND$2:$ND$150=AM$4)*(GMW!$NF$2:$NF$150=AM$1),0),$C104-1966)</f>
        <v>51441</v>
      </c>
      <c r="AN104" s="4" cm="1">
        <f t="array" ref="AN104">INDEX(GMW!$A$2:$NF$150,MATCH(1,(GMW!$NE$2:$NE$150=AN$3)*(GMW!$ND$2:$ND$150=AN$4)*(GMW!$NF$2:$NF$150=AN$1),0),$C104-1966)</f>
        <v>64841</v>
      </c>
      <c r="AO104" s="4" cm="1">
        <f t="array" ref="AO104">INDEX(GMW!$A$2:$NF$150,MATCH(1,(GMW!$NE$2:$NE$150=AO$3)*(GMW!$ND$2:$ND$150=AO$4)*(GMW!$NF$2:$NF$150=AO$1),0),$C104-1966)</f>
        <v>37021</v>
      </c>
      <c r="AP104" s="4" cm="1">
        <f t="array" ref="AP104">INDEX(GMW!$A$2:$NF$150,MATCH(1,(GMW!$NE$2:$NE$150=AP$3)*(GMW!$ND$2:$ND$150=AP$4)*(GMW!$NF$2:$NF$150=AP$1),0),$C104-1966)</f>
        <v>401790</v>
      </c>
      <c r="AQ104" s="4" cm="1">
        <f t="array" ref="AQ104">INDEX(GMW!$A$2:$NF$150,MATCH(1,(GMW!$NE$2:$NE$150=AQ$3)*(GMW!$ND$2:$ND$150=AQ$4)*(GMW!$NF$2:$NF$150=AQ$1),0),$C104-1966)</f>
        <v>26479.759999999998</v>
      </c>
      <c r="AR104" s="4" cm="1">
        <f t="array" ref="AR104">INDEX(GMW!$A$2:$NF$150,MATCH(1,(GMW!$NE$2:$NE$150=AR$3)*(GMW!$ND$2:$ND$150=AR$4)*(GMW!$NF$2:$NF$150=AR$1),0),$C104-1966)</f>
        <v>33.200000000000003</v>
      </c>
      <c r="AS104" s="4" cm="1">
        <f t="array" ref="AS104">INDEX(GMW!$A$2:$NF$150,MATCH(1,(GMW!$NE$2:$NE$150=AS$3)*(GMW!$ND$2:$ND$150=AS$4)*(GMW!$NF$2:$NF$150=AS$1),0),$C104-1966)</f>
        <v>367799.4</v>
      </c>
      <c r="AT104" s="4" cm="1">
        <f t="array" ref="AT104">INDEX(GMW!$A$2:$NF$150,MATCH(1,(GMW!$NE$2:$NE$150=AT$3)*(GMW!$ND$2:$ND$150=AT$4)*(GMW!$NF$2:$NF$150=AT$1),0),$C104-1966)</f>
        <v>37775.82</v>
      </c>
      <c r="AU104" s="4" cm="1">
        <f t="array" ref="AU104">INDEX(GMW!$A$2:$NF$150,MATCH(1,(GMW!$NE$2:$NE$150=AU$3)*(GMW!$ND$2:$ND$150=AU$4)*(GMW!$NF$2:$NF$150=AU$1),0),$C104-1966)</f>
        <v>1831162</v>
      </c>
      <c r="AV104" s="4" cm="1">
        <f t="array" ref="AV104">INDEX(GMW!$A$2:$NF$150,MATCH(1,(GMW!$NE$2:$NE$150=AV$3)*(GMW!$ND$2:$ND$150=AV$4)*(GMW!$NF$2:$NF$150=AV$1),0),$C104-1966)</f>
        <v>-1.7199120000000001</v>
      </c>
    </row>
    <row r="105" spans="1:48" x14ac:dyDescent="0.25">
      <c r="B105" s="4">
        <f t="shared" si="6"/>
        <v>1997</v>
      </c>
      <c r="C105" s="4">
        <f t="shared" si="5"/>
        <v>2071</v>
      </c>
      <c r="D105" s="4" cm="1">
        <f t="array" ref="D105">INDEX(GMW!$A$2:$NF$150,MATCH(1,(GMW!$NE$2:$NE$150=D$3)*(GMW!$ND$2:$ND$150=D$4)*(GMW!$NF$2:$NF$150=D$1),0),$C105-1966)</f>
        <v>405233</v>
      </c>
      <c r="E105" s="4" cm="1">
        <f t="array" ref="E105">INDEX(GMW!$A$2:$NF$150,MATCH(1,(GMW!$NE$2:$NE$150=E$3)*(GMW!$ND$2:$ND$150=E$4)*(GMW!$NF$2:$NF$150=E$1),0),$C105-1966)</f>
        <v>70.266670000000005</v>
      </c>
      <c r="F105" s="4" cm="1">
        <f t="array" ref="F105">INDEX(GMW!$A$2:$NF$150,MATCH(1,(GMW!$NE$2:$NE$150=F$3)*(GMW!$ND$2:$ND$150=F$4)*(GMW!$NF$2:$NF$150=F$1),0),$C105-1966)</f>
        <v>101393</v>
      </c>
      <c r="G105" s="4" cm="1">
        <f t="array" ref="G105">INDEX(GMW!$A$2:$NF$150,MATCH(1,(GMW!$NE$2:$NE$150=G$3)*(GMW!$ND$2:$ND$150=G$4)*(GMW!$NF$2:$NF$150=G$1),0),$C105-1966)</f>
        <v>46468</v>
      </c>
      <c r="H105" s="4" cm="1">
        <f t="array" ref="H105">INDEX(GMW!$A$2:$NF$150,MATCH(1,(GMW!$NE$2:$NE$150=H$3)*(GMW!$ND$2:$ND$150=H$4)*(GMW!$NF$2:$NF$150=H$1),0),$C105-1966)</f>
        <v>91282</v>
      </c>
      <c r="I105" s="4" cm="1">
        <f t="array" ref="I105">INDEX(GMW!$A$2:$NF$150,MATCH(1,(GMW!$NE$2:$NE$150=I$3)*(GMW!$ND$2:$ND$150=I$4)*(GMW!$NF$2:$NF$150=I$1),0),$C105-1966)</f>
        <v>50566</v>
      </c>
      <c r="J105" s="4" cm="1">
        <f t="array" ref="J105">INDEX(GMW!$A$2:$NF$150,MATCH(1,(GMW!$NE$2:$NE$150=J$3)*(GMW!$ND$2:$ND$150=J$4)*(GMW!$NF$2:$NF$150=J$1),0),$C105-1966)</f>
        <v>68586</v>
      </c>
      <c r="K105" s="4" cm="1">
        <f t="array" ref="K105">INDEX(GMW!$A$2:$NF$150,MATCH(1,(GMW!$NE$2:$NE$150=K$3)*(GMW!$ND$2:$ND$150=K$4)*(GMW!$NF$2:$NF$150=K$1),0),$C105-1966)</f>
        <v>39279</v>
      </c>
      <c r="L105" s="4" cm="1">
        <f t="array" ref="L105">INDEX(GMW!$A$2:$NF$150,MATCH(1,(GMW!$NE$2:$NE$150=L$3)*(GMW!$ND$2:$ND$150=L$4)*(GMW!$NF$2:$NF$150=L$1),0),$C105-1966)</f>
        <v>403525.4</v>
      </c>
      <c r="M105" s="4" cm="1">
        <f t="array" ref="M105">INDEX(GMW!$A$2:$NF$150,MATCH(1,(GMW!$NE$2:$NE$150=M$3)*(GMW!$ND$2:$ND$150=M$4)*(GMW!$NF$2:$NF$150=M$1),0),$C105-1966)</f>
        <v>26497.87</v>
      </c>
      <c r="N105" s="4" cm="1">
        <f t="array" ref="N105">INDEX(GMW!$A$2:$NF$150,MATCH(1,(GMW!$NE$2:$NE$150=N$3)*(GMW!$ND$2:$ND$150=N$4)*(GMW!$NF$2:$NF$150=N$1),0),$C105-1966)</f>
        <v>33.200000000000003</v>
      </c>
      <c r="O105" s="4" cm="1">
        <f t="array" ref="O105">INDEX(GMW!$A$2:$NF$150,MATCH(1,(GMW!$NE$2:$NE$150=O$3)*(GMW!$ND$2:$ND$150=O$4)*(GMW!$NF$2:$NF$150=O$1),0),$C105-1966)</f>
        <v>368335.6</v>
      </c>
      <c r="P105" s="4" cm="1">
        <f t="array" ref="P105">INDEX(GMW!$A$2:$NF$150,MATCH(1,(GMW!$NE$2:$NE$150=P$3)*(GMW!$ND$2:$ND$150=P$4)*(GMW!$NF$2:$NF$150=P$1),0),$C105-1966)</f>
        <v>37810.339999999997</v>
      </c>
      <c r="Q105" s="4" cm="1">
        <f t="array" ref="Q105">INDEX(GMW!$A$2:$NF$150,MATCH(1,(GMW!$NE$2:$NE$150=Q$3)*(GMW!$ND$2:$ND$150=Q$4)*(GMW!$NF$2:$NF$150=Q$1),0),$C105-1966)</f>
        <v>1845081</v>
      </c>
      <c r="R105" s="4" cm="1">
        <f t="array" ref="R105">INDEX(GMW!$A$2:$NF$150,MATCH(1,(GMW!$NE$2:$NE$150=R$3)*(GMW!$ND$2:$ND$150=R$4)*(GMW!$NF$2:$NF$150=R$1),0),$C105-1966)</f>
        <v>-1.71888</v>
      </c>
      <c r="S105" s="4" cm="1">
        <f t="array" ref="S105">INDEX(GMW!$A$2:$NF$150,MATCH(1,(GMW!$NE$2:$NE$150=S$3)*(GMW!$ND$2:$ND$150=S$4)*(GMW!$NF$2:$NF$150=S$1),0),$C105-1966)</f>
        <v>405233</v>
      </c>
      <c r="T105" s="4" cm="1">
        <f t="array" ref="T105">INDEX(GMW!$A$2:$NF$150,MATCH(1,(GMW!$NE$2:$NE$150=T$3)*(GMW!$ND$2:$ND$150=T$4)*(GMW!$NF$2:$NF$150=T$1),0),$C105-1966)</f>
        <v>70.266670000000005</v>
      </c>
      <c r="U105" s="4" cm="1">
        <f t="array" ref="U105">INDEX(GMW!$A$2:$NF$150,MATCH(1,(GMW!$NE$2:$NE$150=U$3)*(GMW!$ND$2:$ND$150=U$4)*(GMW!$NF$2:$NF$150=U$1),0),$C105-1966)</f>
        <v>101393</v>
      </c>
      <c r="V105" s="4" cm="1">
        <f t="array" ref="V105">INDEX(GMW!$A$2:$NF$150,MATCH(1,(GMW!$NE$2:$NE$150=V$3)*(GMW!$ND$2:$ND$150=V$4)*(GMW!$NF$2:$NF$150=V$1),0),$C105-1966)</f>
        <v>46468</v>
      </c>
      <c r="W105" s="4" cm="1">
        <f t="array" ref="W105">INDEX(GMW!$A$2:$NF$150,MATCH(1,(GMW!$NE$2:$NE$150=W$3)*(GMW!$ND$2:$ND$150=W$4)*(GMW!$NF$2:$NF$150=W$1),0),$C105-1966)</f>
        <v>91282</v>
      </c>
      <c r="X105" s="4" cm="1">
        <f t="array" ref="X105">INDEX(GMW!$A$2:$NF$150,MATCH(1,(GMW!$NE$2:$NE$150=X$3)*(GMW!$ND$2:$ND$150=X$4)*(GMW!$NF$2:$NF$150=X$1),0),$C105-1966)</f>
        <v>50566</v>
      </c>
      <c r="Y105" s="4" cm="1">
        <f t="array" ref="Y105">INDEX(GMW!$A$2:$NF$150,MATCH(1,(GMW!$NE$2:$NE$150=Y$3)*(GMW!$ND$2:$ND$150=Y$4)*(GMW!$NF$2:$NF$150=Y$1),0),$C105-1966)</f>
        <v>68586</v>
      </c>
      <c r="Z105" s="4" cm="1">
        <f t="array" ref="Z105">INDEX(GMW!$A$2:$NF$150,MATCH(1,(GMW!$NE$2:$NE$150=Z$3)*(GMW!$ND$2:$ND$150=Z$4)*(GMW!$NF$2:$NF$150=Z$1),0),$C105-1966)</f>
        <v>39279</v>
      </c>
      <c r="AA105" s="4" cm="1">
        <f t="array" ref="AA105">INDEX(GMW!$A$2:$NF$150,MATCH(1,(GMW!$NE$2:$NE$150=AA$3)*(GMW!$ND$2:$ND$150=AA$4)*(GMW!$NF$2:$NF$150=AA$1),0),$C105-1966)</f>
        <v>403525.4</v>
      </c>
      <c r="AB105" s="4" cm="1">
        <f t="array" ref="AB105">INDEX(GMW!$A$2:$NF$150,MATCH(1,(GMW!$NE$2:$NE$150=AB$3)*(GMW!$ND$2:$ND$150=AB$4)*(GMW!$NF$2:$NF$150=AB$1),0),$C105-1966)</f>
        <v>26497.87</v>
      </c>
      <c r="AC105" s="4" cm="1">
        <f t="array" ref="AC105">INDEX(GMW!$A$2:$NF$150,MATCH(1,(GMW!$NE$2:$NE$150=AC$3)*(GMW!$ND$2:$ND$150=AC$4)*(GMW!$NF$2:$NF$150=AC$1),0),$C105-1966)</f>
        <v>33.200000000000003</v>
      </c>
      <c r="AD105" s="4" cm="1">
        <f t="array" ref="AD105">INDEX(GMW!$A$2:$NF$150,MATCH(1,(GMW!$NE$2:$NE$150=AD$3)*(GMW!$ND$2:$ND$150=AD$4)*(GMW!$NF$2:$NF$150=AD$1),0),$C105-1966)</f>
        <v>368335.6</v>
      </c>
      <c r="AE105" s="4" cm="1">
        <f t="array" ref="AE105">INDEX(GMW!$A$2:$NF$150,MATCH(1,(GMW!$NE$2:$NE$150=AE$3)*(GMW!$ND$2:$ND$150=AE$4)*(GMW!$NF$2:$NF$150=AE$1),0),$C105-1966)</f>
        <v>37810.339999999997</v>
      </c>
      <c r="AF105" s="4" cm="1">
        <f t="array" ref="AF105">INDEX(GMW!$A$2:$NF$150,MATCH(1,(GMW!$NE$2:$NE$150=AF$3)*(GMW!$ND$2:$ND$150=AF$4)*(GMW!$NF$2:$NF$150=AF$1),0),$C105-1966)</f>
        <v>1845081</v>
      </c>
      <c r="AG105" s="4" cm="1">
        <f t="array" ref="AG105">INDEX(GMW!$A$2:$NF$150,MATCH(1,(GMW!$NE$2:$NE$150=AG$3)*(GMW!$ND$2:$ND$150=AG$4)*(GMW!$NF$2:$NF$150=AG$1),0),$C105-1966)</f>
        <v>-1.71888</v>
      </c>
      <c r="AH105" s="4" cm="1">
        <f t="array" ref="AH105">INDEX(GMW!$A$2:$NF$150,MATCH(1,(GMW!$NE$2:$NE$150=AH$3)*(GMW!$ND$2:$ND$150=AH$4)*(GMW!$NF$2:$NF$150=AH$1),0),$C105-1966)</f>
        <v>405233</v>
      </c>
      <c r="AI105" s="4" cm="1">
        <f t="array" ref="AI105">INDEX(GMW!$A$2:$NF$150,MATCH(1,(GMW!$NE$2:$NE$150=AI$3)*(GMW!$ND$2:$ND$150=AI$4)*(GMW!$NF$2:$NF$150=AI$1),0),$C105-1966)</f>
        <v>70.266670000000005</v>
      </c>
      <c r="AJ105" s="4" cm="1">
        <f t="array" ref="AJ105">INDEX(GMW!$A$2:$NF$150,MATCH(1,(GMW!$NE$2:$NE$150=AJ$3)*(GMW!$ND$2:$ND$150=AJ$4)*(GMW!$NF$2:$NF$150=AJ$1),0),$C105-1966)</f>
        <v>101393</v>
      </c>
      <c r="AK105" s="4" cm="1">
        <f t="array" ref="AK105">INDEX(GMW!$A$2:$NF$150,MATCH(1,(GMW!$NE$2:$NE$150=AK$3)*(GMW!$ND$2:$ND$150=AK$4)*(GMW!$NF$2:$NF$150=AK$1),0),$C105-1966)</f>
        <v>46468</v>
      </c>
      <c r="AL105" s="4" cm="1">
        <f t="array" ref="AL105">INDEX(GMW!$A$2:$NF$150,MATCH(1,(GMW!$NE$2:$NE$150=AL$3)*(GMW!$ND$2:$ND$150=AL$4)*(GMW!$NF$2:$NF$150=AL$1),0),$C105-1966)</f>
        <v>91282</v>
      </c>
      <c r="AM105" s="4" cm="1">
        <f t="array" ref="AM105">INDEX(GMW!$A$2:$NF$150,MATCH(1,(GMW!$NE$2:$NE$150=AM$3)*(GMW!$ND$2:$ND$150=AM$4)*(GMW!$NF$2:$NF$150=AM$1),0),$C105-1966)</f>
        <v>50566</v>
      </c>
      <c r="AN105" s="4" cm="1">
        <f t="array" ref="AN105">INDEX(GMW!$A$2:$NF$150,MATCH(1,(GMW!$NE$2:$NE$150=AN$3)*(GMW!$ND$2:$ND$150=AN$4)*(GMW!$NF$2:$NF$150=AN$1),0),$C105-1966)</f>
        <v>68586</v>
      </c>
      <c r="AO105" s="4" cm="1">
        <f t="array" ref="AO105">INDEX(GMW!$A$2:$NF$150,MATCH(1,(GMW!$NE$2:$NE$150=AO$3)*(GMW!$ND$2:$ND$150=AO$4)*(GMW!$NF$2:$NF$150=AO$1),0),$C105-1966)</f>
        <v>39279</v>
      </c>
      <c r="AP105" s="4" cm="1">
        <f t="array" ref="AP105">INDEX(GMW!$A$2:$NF$150,MATCH(1,(GMW!$NE$2:$NE$150=AP$3)*(GMW!$ND$2:$ND$150=AP$4)*(GMW!$NF$2:$NF$150=AP$1),0),$C105-1966)</f>
        <v>403525.4</v>
      </c>
      <c r="AQ105" s="4" cm="1">
        <f t="array" ref="AQ105">INDEX(GMW!$A$2:$NF$150,MATCH(1,(GMW!$NE$2:$NE$150=AQ$3)*(GMW!$ND$2:$ND$150=AQ$4)*(GMW!$NF$2:$NF$150=AQ$1),0),$C105-1966)</f>
        <v>26497.87</v>
      </c>
      <c r="AR105" s="4" cm="1">
        <f t="array" ref="AR105">INDEX(GMW!$A$2:$NF$150,MATCH(1,(GMW!$NE$2:$NE$150=AR$3)*(GMW!$ND$2:$ND$150=AR$4)*(GMW!$NF$2:$NF$150=AR$1),0),$C105-1966)</f>
        <v>33.200000000000003</v>
      </c>
      <c r="AS105" s="4" cm="1">
        <f t="array" ref="AS105">INDEX(GMW!$A$2:$NF$150,MATCH(1,(GMW!$NE$2:$NE$150=AS$3)*(GMW!$ND$2:$ND$150=AS$4)*(GMW!$NF$2:$NF$150=AS$1),0),$C105-1966)</f>
        <v>368335.6</v>
      </c>
      <c r="AT105" s="4" cm="1">
        <f t="array" ref="AT105">INDEX(GMW!$A$2:$NF$150,MATCH(1,(GMW!$NE$2:$NE$150=AT$3)*(GMW!$ND$2:$ND$150=AT$4)*(GMW!$NF$2:$NF$150=AT$1),0),$C105-1966)</f>
        <v>37810.339999999997</v>
      </c>
      <c r="AU105" s="4" cm="1">
        <f t="array" ref="AU105">INDEX(GMW!$A$2:$NF$150,MATCH(1,(GMW!$NE$2:$NE$150=AU$3)*(GMW!$ND$2:$ND$150=AU$4)*(GMW!$NF$2:$NF$150=AU$1),0),$C105-1966)</f>
        <v>1845081</v>
      </c>
      <c r="AV105" s="4" cm="1">
        <f t="array" ref="AV105">INDEX(GMW!$A$2:$NF$150,MATCH(1,(GMW!$NE$2:$NE$150=AV$3)*(GMW!$ND$2:$ND$150=AV$4)*(GMW!$NF$2:$NF$150=AV$1),0),$C105-1966)</f>
        <v>-1.71888</v>
      </c>
    </row>
    <row r="106" spans="1:48" x14ac:dyDescent="0.25">
      <c r="B106" s="4">
        <f t="shared" si="6"/>
        <v>1997</v>
      </c>
      <c r="C106" s="4">
        <f t="shared" si="5"/>
        <v>2072</v>
      </c>
      <c r="D106" s="4" cm="1">
        <f t="array" ref="D106">INDEX(GMW!$A$2:$NF$150,MATCH(1,(GMW!$NE$2:$NE$150=D$3)*(GMW!$ND$2:$ND$150=D$4)*(GMW!$NF$2:$NF$150=D$1),0),$C106-1966)</f>
        <v>411352</v>
      </c>
      <c r="E106" s="4" cm="1">
        <f t="array" ref="E106">INDEX(GMW!$A$2:$NF$150,MATCH(1,(GMW!$NE$2:$NE$150=E$3)*(GMW!$ND$2:$ND$150=E$4)*(GMW!$NF$2:$NF$150=E$1),0),$C106-1966)</f>
        <v>70.633330000000001</v>
      </c>
      <c r="F106" s="4" cm="1">
        <f t="array" ref="F106">INDEX(GMW!$A$2:$NF$150,MATCH(1,(GMW!$NE$2:$NE$150=F$3)*(GMW!$ND$2:$ND$150=F$4)*(GMW!$NF$2:$NF$150=F$1),0),$C106-1966)</f>
        <v>104896</v>
      </c>
      <c r="G106" s="4" cm="1">
        <f t="array" ref="G106">INDEX(GMW!$A$2:$NF$150,MATCH(1,(GMW!$NE$2:$NE$150=G$3)*(GMW!$ND$2:$ND$150=G$4)*(GMW!$NF$2:$NF$150=G$1),0),$C106-1966)</f>
        <v>49699</v>
      </c>
      <c r="H106" s="4" cm="1">
        <f t="array" ref="H106">INDEX(GMW!$A$2:$NF$150,MATCH(1,(GMW!$NE$2:$NE$150=H$3)*(GMW!$ND$2:$ND$150=H$4)*(GMW!$NF$2:$NF$150=H$1),0),$C106-1966)</f>
        <v>93433</v>
      </c>
      <c r="I106" s="4" cm="1">
        <f t="array" ref="I106">INDEX(GMW!$A$2:$NF$150,MATCH(1,(GMW!$NE$2:$NE$150=I$3)*(GMW!$ND$2:$ND$150=I$4)*(GMW!$NF$2:$NF$150=I$1),0),$C106-1966)</f>
        <v>52786</v>
      </c>
      <c r="J106" s="4" cm="1">
        <f t="array" ref="J106">INDEX(GMW!$A$2:$NF$150,MATCH(1,(GMW!$NE$2:$NE$150=J$3)*(GMW!$ND$2:$ND$150=J$4)*(GMW!$NF$2:$NF$150=J$1),0),$C106-1966)</f>
        <v>70207</v>
      </c>
      <c r="K106" s="4" cm="1">
        <f t="array" ref="K106">INDEX(GMW!$A$2:$NF$150,MATCH(1,(GMW!$NE$2:$NE$150=K$3)*(GMW!$ND$2:$ND$150=K$4)*(GMW!$NF$2:$NF$150=K$1),0),$C106-1966)</f>
        <v>40300</v>
      </c>
      <c r="L106" s="4" cm="1">
        <f t="array" ref="L106">INDEX(GMW!$A$2:$NF$150,MATCH(1,(GMW!$NE$2:$NE$150=L$3)*(GMW!$ND$2:$ND$150=L$4)*(GMW!$NF$2:$NF$150=L$1),0),$C106-1966)</f>
        <v>404659</v>
      </c>
      <c r="M106" s="4" cm="1">
        <f t="array" ref="M106">INDEX(GMW!$A$2:$NF$150,MATCH(1,(GMW!$NE$2:$NE$150=M$3)*(GMW!$ND$2:$ND$150=M$4)*(GMW!$NF$2:$NF$150=M$1),0),$C106-1966)</f>
        <v>26533.5</v>
      </c>
      <c r="N106" s="4" cm="1">
        <f t="array" ref="N106">INDEX(GMW!$A$2:$NF$150,MATCH(1,(GMW!$NE$2:$NE$150=N$3)*(GMW!$ND$2:$ND$150=N$4)*(GMW!$NF$2:$NF$150=N$1),0),$C106-1966)</f>
        <v>33.1</v>
      </c>
      <c r="O106" s="4" cm="1">
        <f t="array" ref="O106">INDEX(GMW!$A$2:$NF$150,MATCH(1,(GMW!$NE$2:$NE$150=O$3)*(GMW!$ND$2:$ND$150=O$4)*(GMW!$NF$2:$NF$150=O$1),0),$C106-1966)</f>
        <v>368931.3</v>
      </c>
      <c r="P106" s="4" cm="1">
        <f t="array" ref="P106">INDEX(GMW!$A$2:$NF$150,MATCH(1,(GMW!$NE$2:$NE$150=P$3)*(GMW!$ND$2:$ND$150=P$4)*(GMW!$NF$2:$NF$150=P$1),0),$C106-1966)</f>
        <v>37844.86</v>
      </c>
      <c r="Q106" s="4" cm="1">
        <f t="array" ref="Q106">INDEX(GMW!$A$2:$NF$150,MATCH(1,(GMW!$NE$2:$NE$150=Q$3)*(GMW!$ND$2:$ND$150=Q$4)*(GMW!$NF$2:$NF$150=Q$1),0),$C106-1966)</f>
        <v>1859000</v>
      </c>
      <c r="R106" s="4" cm="1">
        <f t="array" ref="R106">INDEX(GMW!$A$2:$NF$150,MATCH(1,(GMW!$NE$2:$NE$150=R$3)*(GMW!$ND$2:$ND$150=R$4)*(GMW!$NF$2:$NF$150=R$1),0),$C106-1966)</f>
        <v>-1.717849</v>
      </c>
      <c r="S106" s="4" cm="1">
        <f t="array" ref="S106">INDEX(GMW!$A$2:$NF$150,MATCH(1,(GMW!$NE$2:$NE$150=S$3)*(GMW!$ND$2:$ND$150=S$4)*(GMW!$NF$2:$NF$150=S$1),0),$C106-1966)</f>
        <v>411352</v>
      </c>
      <c r="T106" s="4" cm="1">
        <f t="array" ref="T106">INDEX(GMW!$A$2:$NF$150,MATCH(1,(GMW!$NE$2:$NE$150=T$3)*(GMW!$ND$2:$ND$150=T$4)*(GMW!$NF$2:$NF$150=T$1),0),$C106-1966)</f>
        <v>70.633330000000001</v>
      </c>
      <c r="U106" s="4" cm="1">
        <f t="array" ref="U106">INDEX(GMW!$A$2:$NF$150,MATCH(1,(GMW!$NE$2:$NE$150=U$3)*(GMW!$ND$2:$ND$150=U$4)*(GMW!$NF$2:$NF$150=U$1),0),$C106-1966)</f>
        <v>104896</v>
      </c>
      <c r="V106" s="4" cm="1">
        <f t="array" ref="V106">INDEX(GMW!$A$2:$NF$150,MATCH(1,(GMW!$NE$2:$NE$150=V$3)*(GMW!$ND$2:$ND$150=V$4)*(GMW!$NF$2:$NF$150=V$1),0),$C106-1966)</f>
        <v>49699</v>
      </c>
      <c r="W106" s="4" cm="1">
        <f t="array" ref="W106">INDEX(GMW!$A$2:$NF$150,MATCH(1,(GMW!$NE$2:$NE$150=W$3)*(GMW!$ND$2:$ND$150=W$4)*(GMW!$NF$2:$NF$150=W$1),0),$C106-1966)</f>
        <v>93433</v>
      </c>
      <c r="X106" s="4" cm="1">
        <f t="array" ref="X106">INDEX(GMW!$A$2:$NF$150,MATCH(1,(GMW!$NE$2:$NE$150=X$3)*(GMW!$ND$2:$ND$150=X$4)*(GMW!$NF$2:$NF$150=X$1),0),$C106-1966)</f>
        <v>52786</v>
      </c>
      <c r="Y106" s="4" cm="1">
        <f t="array" ref="Y106">INDEX(GMW!$A$2:$NF$150,MATCH(1,(GMW!$NE$2:$NE$150=Y$3)*(GMW!$ND$2:$ND$150=Y$4)*(GMW!$NF$2:$NF$150=Y$1),0),$C106-1966)</f>
        <v>70207</v>
      </c>
      <c r="Z106" s="4" cm="1">
        <f t="array" ref="Z106">INDEX(GMW!$A$2:$NF$150,MATCH(1,(GMW!$NE$2:$NE$150=Z$3)*(GMW!$ND$2:$ND$150=Z$4)*(GMW!$NF$2:$NF$150=Z$1),0),$C106-1966)</f>
        <v>40300</v>
      </c>
      <c r="AA106" s="4" cm="1">
        <f t="array" ref="AA106">INDEX(GMW!$A$2:$NF$150,MATCH(1,(GMW!$NE$2:$NE$150=AA$3)*(GMW!$ND$2:$ND$150=AA$4)*(GMW!$NF$2:$NF$150=AA$1),0),$C106-1966)</f>
        <v>404659</v>
      </c>
      <c r="AB106" s="4" cm="1">
        <f t="array" ref="AB106">INDEX(GMW!$A$2:$NF$150,MATCH(1,(GMW!$NE$2:$NE$150=AB$3)*(GMW!$ND$2:$ND$150=AB$4)*(GMW!$NF$2:$NF$150=AB$1),0),$C106-1966)</f>
        <v>26533.5</v>
      </c>
      <c r="AC106" s="4" cm="1">
        <f t="array" ref="AC106">INDEX(GMW!$A$2:$NF$150,MATCH(1,(GMW!$NE$2:$NE$150=AC$3)*(GMW!$ND$2:$ND$150=AC$4)*(GMW!$NF$2:$NF$150=AC$1),0),$C106-1966)</f>
        <v>33.1</v>
      </c>
      <c r="AD106" s="4" cm="1">
        <f t="array" ref="AD106">INDEX(GMW!$A$2:$NF$150,MATCH(1,(GMW!$NE$2:$NE$150=AD$3)*(GMW!$ND$2:$ND$150=AD$4)*(GMW!$NF$2:$NF$150=AD$1),0),$C106-1966)</f>
        <v>368931.3</v>
      </c>
      <c r="AE106" s="4" cm="1">
        <f t="array" ref="AE106">INDEX(GMW!$A$2:$NF$150,MATCH(1,(GMW!$NE$2:$NE$150=AE$3)*(GMW!$ND$2:$ND$150=AE$4)*(GMW!$NF$2:$NF$150=AE$1),0),$C106-1966)</f>
        <v>37844.86</v>
      </c>
      <c r="AF106" s="4" cm="1">
        <f t="array" ref="AF106">INDEX(GMW!$A$2:$NF$150,MATCH(1,(GMW!$NE$2:$NE$150=AF$3)*(GMW!$ND$2:$ND$150=AF$4)*(GMW!$NF$2:$NF$150=AF$1),0),$C106-1966)</f>
        <v>1859000</v>
      </c>
      <c r="AG106" s="4" cm="1">
        <f t="array" ref="AG106">INDEX(GMW!$A$2:$NF$150,MATCH(1,(GMW!$NE$2:$NE$150=AG$3)*(GMW!$ND$2:$ND$150=AG$4)*(GMW!$NF$2:$NF$150=AG$1),0),$C106-1966)</f>
        <v>-1.717849</v>
      </c>
      <c r="AH106" s="4" cm="1">
        <f t="array" ref="AH106">INDEX(GMW!$A$2:$NF$150,MATCH(1,(GMW!$NE$2:$NE$150=AH$3)*(GMW!$ND$2:$ND$150=AH$4)*(GMW!$NF$2:$NF$150=AH$1),0),$C106-1966)</f>
        <v>411352</v>
      </c>
      <c r="AI106" s="4" cm="1">
        <f t="array" ref="AI106">INDEX(GMW!$A$2:$NF$150,MATCH(1,(GMW!$NE$2:$NE$150=AI$3)*(GMW!$ND$2:$ND$150=AI$4)*(GMW!$NF$2:$NF$150=AI$1),0),$C106-1966)</f>
        <v>70.633330000000001</v>
      </c>
      <c r="AJ106" s="4" cm="1">
        <f t="array" ref="AJ106">INDEX(GMW!$A$2:$NF$150,MATCH(1,(GMW!$NE$2:$NE$150=AJ$3)*(GMW!$ND$2:$ND$150=AJ$4)*(GMW!$NF$2:$NF$150=AJ$1),0),$C106-1966)</f>
        <v>104896</v>
      </c>
      <c r="AK106" s="4" cm="1">
        <f t="array" ref="AK106">INDEX(GMW!$A$2:$NF$150,MATCH(1,(GMW!$NE$2:$NE$150=AK$3)*(GMW!$ND$2:$ND$150=AK$4)*(GMW!$NF$2:$NF$150=AK$1),0),$C106-1966)</f>
        <v>49699</v>
      </c>
      <c r="AL106" s="4" cm="1">
        <f t="array" ref="AL106">INDEX(GMW!$A$2:$NF$150,MATCH(1,(GMW!$NE$2:$NE$150=AL$3)*(GMW!$ND$2:$ND$150=AL$4)*(GMW!$NF$2:$NF$150=AL$1),0),$C106-1966)</f>
        <v>93433</v>
      </c>
      <c r="AM106" s="4" cm="1">
        <f t="array" ref="AM106">INDEX(GMW!$A$2:$NF$150,MATCH(1,(GMW!$NE$2:$NE$150=AM$3)*(GMW!$ND$2:$ND$150=AM$4)*(GMW!$NF$2:$NF$150=AM$1),0),$C106-1966)</f>
        <v>52786</v>
      </c>
      <c r="AN106" s="4" cm="1">
        <f t="array" ref="AN106">INDEX(GMW!$A$2:$NF$150,MATCH(1,(GMW!$NE$2:$NE$150=AN$3)*(GMW!$ND$2:$ND$150=AN$4)*(GMW!$NF$2:$NF$150=AN$1),0),$C106-1966)</f>
        <v>70207</v>
      </c>
      <c r="AO106" s="4" cm="1">
        <f t="array" ref="AO106">INDEX(GMW!$A$2:$NF$150,MATCH(1,(GMW!$NE$2:$NE$150=AO$3)*(GMW!$ND$2:$ND$150=AO$4)*(GMW!$NF$2:$NF$150=AO$1),0),$C106-1966)</f>
        <v>40300</v>
      </c>
      <c r="AP106" s="4" cm="1">
        <f t="array" ref="AP106">INDEX(GMW!$A$2:$NF$150,MATCH(1,(GMW!$NE$2:$NE$150=AP$3)*(GMW!$ND$2:$ND$150=AP$4)*(GMW!$NF$2:$NF$150=AP$1),0),$C106-1966)</f>
        <v>404659</v>
      </c>
      <c r="AQ106" s="4" cm="1">
        <f t="array" ref="AQ106">INDEX(GMW!$A$2:$NF$150,MATCH(1,(GMW!$NE$2:$NE$150=AQ$3)*(GMW!$ND$2:$ND$150=AQ$4)*(GMW!$NF$2:$NF$150=AQ$1),0),$C106-1966)</f>
        <v>26533.5</v>
      </c>
      <c r="AR106" s="4" cm="1">
        <f t="array" ref="AR106">INDEX(GMW!$A$2:$NF$150,MATCH(1,(GMW!$NE$2:$NE$150=AR$3)*(GMW!$ND$2:$ND$150=AR$4)*(GMW!$NF$2:$NF$150=AR$1),0),$C106-1966)</f>
        <v>33.1</v>
      </c>
      <c r="AS106" s="4" cm="1">
        <f t="array" ref="AS106">INDEX(GMW!$A$2:$NF$150,MATCH(1,(GMW!$NE$2:$NE$150=AS$3)*(GMW!$ND$2:$ND$150=AS$4)*(GMW!$NF$2:$NF$150=AS$1),0),$C106-1966)</f>
        <v>368931.3</v>
      </c>
      <c r="AT106" s="4" cm="1">
        <f t="array" ref="AT106">INDEX(GMW!$A$2:$NF$150,MATCH(1,(GMW!$NE$2:$NE$150=AT$3)*(GMW!$ND$2:$ND$150=AT$4)*(GMW!$NF$2:$NF$150=AT$1),0),$C106-1966)</f>
        <v>37844.86</v>
      </c>
      <c r="AU106" s="4" cm="1">
        <f t="array" ref="AU106">INDEX(GMW!$A$2:$NF$150,MATCH(1,(GMW!$NE$2:$NE$150=AU$3)*(GMW!$ND$2:$ND$150=AU$4)*(GMW!$NF$2:$NF$150=AU$1),0),$C106-1966)</f>
        <v>1859000</v>
      </c>
      <c r="AV106" s="4" cm="1">
        <f t="array" ref="AV106">INDEX(GMW!$A$2:$NF$150,MATCH(1,(GMW!$NE$2:$NE$150=AV$3)*(GMW!$ND$2:$ND$150=AV$4)*(GMW!$NF$2:$NF$150=AV$1),0),$C106-1966)</f>
        <v>-1.717849</v>
      </c>
    </row>
    <row r="107" spans="1:48" x14ac:dyDescent="0.25">
      <c r="A107" s="4">
        <v>1998</v>
      </c>
      <c r="B107" s="4">
        <f t="shared" si="6"/>
        <v>1998</v>
      </c>
      <c r="C107" s="4">
        <f t="shared" si="5"/>
        <v>2073</v>
      </c>
      <c r="D107" s="4" cm="1">
        <f t="array" ref="D107">INDEX(GMW!$A$2:$NF$150,MATCH(1,(GMW!$NE$2:$NE$150=D$3)*(GMW!$ND$2:$ND$150=D$4)*(GMW!$NF$2:$NF$150=D$1),0),$C107-1966)</f>
        <v>414377</v>
      </c>
      <c r="E107" s="4" cm="1">
        <f t="array" ref="E107">INDEX(GMW!$A$2:$NF$150,MATCH(1,(GMW!$NE$2:$NE$150=E$3)*(GMW!$ND$2:$ND$150=E$4)*(GMW!$NF$2:$NF$150=E$1),0),$C107-1966)</f>
        <v>70.5</v>
      </c>
      <c r="F107" s="4" cm="1">
        <f t="array" ref="F107">INDEX(GMW!$A$2:$NF$150,MATCH(1,(GMW!$NE$2:$NE$150=F$3)*(GMW!$ND$2:$ND$150=F$4)*(GMW!$NF$2:$NF$150=F$1),0),$C107-1966)</f>
        <v>105551</v>
      </c>
      <c r="G107" s="4" cm="1">
        <f t="array" ref="G107">INDEX(GMW!$A$2:$NF$150,MATCH(1,(GMW!$NE$2:$NE$150=G$3)*(GMW!$ND$2:$ND$150=G$4)*(GMW!$NF$2:$NF$150=G$1),0),$C107-1966)</f>
        <v>49018</v>
      </c>
      <c r="H107" s="4" cm="1">
        <f t="array" ref="H107">INDEX(GMW!$A$2:$NF$150,MATCH(1,(GMW!$NE$2:$NE$150=H$3)*(GMW!$ND$2:$ND$150=H$4)*(GMW!$NF$2:$NF$150=H$1),0),$C107-1966)</f>
        <v>95868</v>
      </c>
      <c r="I107" s="4" cm="1">
        <f t="array" ref="I107">INDEX(GMW!$A$2:$NF$150,MATCH(1,(GMW!$NE$2:$NE$150=I$3)*(GMW!$ND$2:$ND$150=I$4)*(GMW!$NF$2:$NF$150=I$1),0),$C107-1966)</f>
        <v>53658</v>
      </c>
      <c r="J107" s="4" cm="1">
        <f t="array" ref="J107">INDEX(GMW!$A$2:$NF$150,MATCH(1,(GMW!$NE$2:$NE$150=J$3)*(GMW!$ND$2:$ND$150=J$4)*(GMW!$NF$2:$NF$150=J$1),0),$C107-1966)</f>
        <v>70769</v>
      </c>
      <c r="K107" s="4" cm="1">
        <f t="array" ref="K107">INDEX(GMW!$A$2:$NF$150,MATCH(1,(GMW!$NE$2:$NE$150=K$3)*(GMW!$ND$2:$ND$150=K$4)*(GMW!$NF$2:$NF$150=K$1),0),$C107-1966)</f>
        <v>40946</v>
      </c>
      <c r="L107" s="4" cm="1">
        <f t="array" ref="L107">INDEX(GMW!$A$2:$NF$150,MATCH(1,(GMW!$NE$2:$NE$150=L$3)*(GMW!$ND$2:$ND$150=L$4)*(GMW!$NF$2:$NF$150=L$1),0),$C107-1966)</f>
        <v>407458.6</v>
      </c>
      <c r="M107" s="4" cm="1">
        <f t="array" ref="M107">INDEX(GMW!$A$2:$NF$150,MATCH(1,(GMW!$NE$2:$NE$150=M$3)*(GMW!$ND$2:$ND$150=M$4)*(GMW!$NF$2:$NF$150=M$1),0),$C107-1966)</f>
        <v>26581.17</v>
      </c>
      <c r="N107" s="4" cm="1">
        <f t="array" ref="N107">INDEX(GMW!$A$2:$NF$150,MATCH(1,(GMW!$NE$2:$NE$150=N$3)*(GMW!$ND$2:$ND$150=N$4)*(GMW!$NF$2:$NF$150=N$1),0),$C107-1966)</f>
        <v>33.200000000000003</v>
      </c>
      <c r="O107" s="4" cm="1">
        <f t="array" ref="O107">INDEX(GMW!$A$2:$NF$150,MATCH(1,(GMW!$NE$2:$NE$150=O$3)*(GMW!$ND$2:$ND$150=O$4)*(GMW!$NF$2:$NF$150=O$1),0),$C107-1966)</f>
        <v>369398.2</v>
      </c>
      <c r="P107" s="4" cm="1">
        <f t="array" ref="P107">INDEX(GMW!$A$2:$NF$150,MATCH(1,(GMW!$NE$2:$NE$150=P$3)*(GMW!$ND$2:$ND$150=P$4)*(GMW!$NF$2:$NF$150=P$1),0),$C107-1966)</f>
        <v>37879.370000000003</v>
      </c>
      <c r="Q107" s="4" cm="1">
        <f t="array" ref="Q107">INDEX(GMW!$A$2:$NF$150,MATCH(1,(GMW!$NE$2:$NE$150=Q$3)*(GMW!$ND$2:$ND$150=Q$4)*(GMW!$NF$2:$NF$150=Q$1),0),$C107-1966)</f>
        <v>1878500</v>
      </c>
      <c r="R107" s="4" cm="1">
        <f t="array" ref="R107">INDEX(GMW!$A$2:$NF$150,MATCH(1,(GMW!$NE$2:$NE$150=R$3)*(GMW!$ND$2:$ND$150=R$4)*(GMW!$NF$2:$NF$150=R$1),0),$C107-1966)</f>
        <v>-1.716818</v>
      </c>
      <c r="S107" s="4" cm="1">
        <f t="array" ref="S107">INDEX(GMW!$A$2:$NF$150,MATCH(1,(GMW!$NE$2:$NE$150=S$3)*(GMW!$ND$2:$ND$150=S$4)*(GMW!$NF$2:$NF$150=S$1),0),$C107-1966)</f>
        <v>414377</v>
      </c>
      <c r="T107" s="4" cm="1">
        <f t="array" ref="T107">INDEX(GMW!$A$2:$NF$150,MATCH(1,(GMW!$NE$2:$NE$150=T$3)*(GMW!$ND$2:$ND$150=T$4)*(GMW!$NF$2:$NF$150=T$1),0),$C107-1966)</f>
        <v>70.5</v>
      </c>
      <c r="U107" s="4" cm="1">
        <f t="array" ref="U107">INDEX(GMW!$A$2:$NF$150,MATCH(1,(GMW!$NE$2:$NE$150=U$3)*(GMW!$ND$2:$ND$150=U$4)*(GMW!$NF$2:$NF$150=U$1),0),$C107-1966)</f>
        <v>105551</v>
      </c>
      <c r="V107" s="4" cm="1">
        <f t="array" ref="V107">INDEX(GMW!$A$2:$NF$150,MATCH(1,(GMW!$NE$2:$NE$150=V$3)*(GMW!$ND$2:$ND$150=V$4)*(GMW!$NF$2:$NF$150=V$1),0),$C107-1966)</f>
        <v>49018</v>
      </c>
      <c r="W107" s="4" cm="1">
        <f t="array" ref="W107">INDEX(GMW!$A$2:$NF$150,MATCH(1,(GMW!$NE$2:$NE$150=W$3)*(GMW!$ND$2:$ND$150=W$4)*(GMW!$NF$2:$NF$150=W$1),0),$C107-1966)</f>
        <v>95868</v>
      </c>
      <c r="X107" s="4" cm="1">
        <f t="array" ref="X107">INDEX(GMW!$A$2:$NF$150,MATCH(1,(GMW!$NE$2:$NE$150=X$3)*(GMW!$ND$2:$ND$150=X$4)*(GMW!$NF$2:$NF$150=X$1),0),$C107-1966)</f>
        <v>53658</v>
      </c>
      <c r="Y107" s="4" cm="1">
        <f t="array" ref="Y107">INDEX(GMW!$A$2:$NF$150,MATCH(1,(GMW!$NE$2:$NE$150=Y$3)*(GMW!$ND$2:$ND$150=Y$4)*(GMW!$NF$2:$NF$150=Y$1),0),$C107-1966)</f>
        <v>70769</v>
      </c>
      <c r="Z107" s="4" cm="1">
        <f t="array" ref="Z107">INDEX(GMW!$A$2:$NF$150,MATCH(1,(GMW!$NE$2:$NE$150=Z$3)*(GMW!$ND$2:$ND$150=Z$4)*(GMW!$NF$2:$NF$150=Z$1),0),$C107-1966)</f>
        <v>40946</v>
      </c>
      <c r="AA107" s="4" cm="1">
        <f t="array" ref="AA107">INDEX(GMW!$A$2:$NF$150,MATCH(1,(GMW!$NE$2:$NE$150=AA$3)*(GMW!$ND$2:$ND$150=AA$4)*(GMW!$NF$2:$NF$150=AA$1),0),$C107-1966)</f>
        <v>407458.6</v>
      </c>
      <c r="AB107" s="4" cm="1">
        <f t="array" ref="AB107">INDEX(GMW!$A$2:$NF$150,MATCH(1,(GMW!$NE$2:$NE$150=AB$3)*(GMW!$ND$2:$ND$150=AB$4)*(GMW!$NF$2:$NF$150=AB$1),0),$C107-1966)</f>
        <v>26581.17</v>
      </c>
      <c r="AC107" s="4" cm="1">
        <f t="array" ref="AC107">INDEX(GMW!$A$2:$NF$150,MATCH(1,(GMW!$NE$2:$NE$150=AC$3)*(GMW!$ND$2:$ND$150=AC$4)*(GMW!$NF$2:$NF$150=AC$1),0),$C107-1966)</f>
        <v>33.200000000000003</v>
      </c>
      <c r="AD107" s="4" cm="1">
        <f t="array" ref="AD107">INDEX(GMW!$A$2:$NF$150,MATCH(1,(GMW!$NE$2:$NE$150=AD$3)*(GMW!$ND$2:$ND$150=AD$4)*(GMW!$NF$2:$NF$150=AD$1),0),$C107-1966)</f>
        <v>369398.2</v>
      </c>
      <c r="AE107" s="4" cm="1">
        <f t="array" ref="AE107">INDEX(GMW!$A$2:$NF$150,MATCH(1,(GMW!$NE$2:$NE$150=AE$3)*(GMW!$ND$2:$ND$150=AE$4)*(GMW!$NF$2:$NF$150=AE$1),0),$C107-1966)</f>
        <v>37879.370000000003</v>
      </c>
      <c r="AF107" s="4" cm="1">
        <f t="array" ref="AF107">INDEX(GMW!$A$2:$NF$150,MATCH(1,(GMW!$NE$2:$NE$150=AF$3)*(GMW!$ND$2:$ND$150=AF$4)*(GMW!$NF$2:$NF$150=AF$1),0),$C107-1966)</f>
        <v>1878500</v>
      </c>
      <c r="AG107" s="4" cm="1">
        <f t="array" ref="AG107">INDEX(GMW!$A$2:$NF$150,MATCH(1,(GMW!$NE$2:$NE$150=AG$3)*(GMW!$ND$2:$ND$150=AG$4)*(GMW!$NF$2:$NF$150=AG$1),0),$C107-1966)</f>
        <v>-1.716818</v>
      </c>
      <c r="AH107" s="4" cm="1">
        <f t="array" ref="AH107">INDEX(GMW!$A$2:$NF$150,MATCH(1,(GMW!$NE$2:$NE$150=AH$3)*(GMW!$ND$2:$ND$150=AH$4)*(GMW!$NF$2:$NF$150=AH$1),0),$C107-1966)</f>
        <v>414377</v>
      </c>
      <c r="AI107" s="4" cm="1">
        <f t="array" ref="AI107">INDEX(GMW!$A$2:$NF$150,MATCH(1,(GMW!$NE$2:$NE$150=AI$3)*(GMW!$ND$2:$ND$150=AI$4)*(GMW!$NF$2:$NF$150=AI$1),0),$C107-1966)</f>
        <v>70.5</v>
      </c>
      <c r="AJ107" s="4" cm="1">
        <f t="array" ref="AJ107">INDEX(GMW!$A$2:$NF$150,MATCH(1,(GMW!$NE$2:$NE$150=AJ$3)*(GMW!$ND$2:$ND$150=AJ$4)*(GMW!$NF$2:$NF$150=AJ$1),0),$C107-1966)</f>
        <v>105551</v>
      </c>
      <c r="AK107" s="4" cm="1">
        <f t="array" ref="AK107">INDEX(GMW!$A$2:$NF$150,MATCH(1,(GMW!$NE$2:$NE$150=AK$3)*(GMW!$ND$2:$ND$150=AK$4)*(GMW!$NF$2:$NF$150=AK$1),0),$C107-1966)</f>
        <v>49018</v>
      </c>
      <c r="AL107" s="4" cm="1">
        <f t="array" ref="AL107">INDEX(GMW!$A$2:$NF$150,MATCH(1,(GMW!$NE$2:$NE$150=AL$3)*(GMW!$ND$2:$ND$150=AL$4)*(GMW!$NF$2:$NF$150=AL$1),0),$C107-1966)</f>
        <v>95868</v>
      </c>
      <c r="AM107" s="4" cm="1">
        <f t="array" ref="AM107">INDEX(GMW!$A$2:$NF$150,MATCH(1,(GMW!$NE$2:$NE$150=AM$3)*(GMW!$ND$2:$ND$150=AM$4)*(GMW!$NF$2:$NF$150=AM$1),0),$C107-1966)</f>
        <v>53658</v>
      </c>
      <c r="AN107" s="4" cm="1">
        <f t="array" ref="AN107">INDEX(GMW!$A$2:$NF$150,MATCH(1,(GMW!$NE$2:$NE$150=AN$3)*(GMW!$ND$2:$ND$150=AN$4)*(GMW!$NF$2:$NF$150=AN$1),0),$C107-1966)</f>
        <v>70769</v>
      </c>
      <c r="AO107" s="4" cm="1">
        <f t="array" ref="AO107">INDEX(GMW!$A$2:$NF$150,MATCH(1,(GMW!$NE$2:$NE$150=AO$3)*(GMW!$ND$2:$ND$150=AO$4)*(GMW!$NF$2:$NF$150=AO$1),0),$C107-1966)</f>
        <v>40946</v>
      </c>
      <c r="AP107" s="4" cm="1">
        <f t="array" ref="AP107">INDEX(GMW!$A$2:$NF$150,MATCH(1,(GMW!$NE$2:$NE$150=AP$3)*(GMW!$ND$2:$ND$150=AP$4)*(GMW!$NF$2:$NF$150=AP$1),0),$C107-1966)</f>
        <v>407458.6</v>
      </c>
      <c r="AQ107" s="4" cm="1">
        <f t="array" ref="AQ107">INDEX(GMW!$A$2:$NF$150,MATCH(1,(GMW!$NE$2:$NE$150=AQ$3)*(GMW!$ND$2:$ND$150=AQ$4)*(GMW!$NF$2:$NF$150=AQ$1),0),$C107-1966)</f>
        <v>26581.17</v>
      </c>
      <c r="AR107" s="4" cm="1">
        <f t="array" ref="AR107">INDEX(GMW!$A$2:$NF$150,MATCH(1,(GMW!$NE$2:$NE$150=AR$3)*(GMW!$ND$2:$ND$150=AR$4)*(GMW!$NF$2:$NF$150=AR$1),0),$C107-1966)</f>
        <v>33.200000000000003</v>
      </c>
      <c r="AS107" s="4" cm="1">
        <f t="array" ref="AS107">INDEX(GMW!$A$2:$NF$150,MATCH(1,(GMW!$NE$2:$NE$150=AS$3)*(GMW!$ND$2:$ND$150=AS$4)*(GMW!$NF$2:$NF$150=AS$1),0),$C107-1966)</f>
        <v>369398.2</v>
      </c>
      <c r="AT107" s="4" cm="1">
        <f t="array" ref="AT107">INDEX(GMW!$A$2:$NF$150,MATCH(1,(GMW!$NE$2:$NE$150=AT$3)*(GMW!$ND$2:$ND$150=AT$4)*(GMW!$NF$2:$NF$150=AT$1),0),$C107-1966)</f>
        <v>37879.370000000003</v>
      </c>
      <c r="AU107" s="4" cm="1">
        <f t="array" ref="AU107">INDEX(GMW!$A$2:$NF$150,MATCH(1,(GMW!$NE$2:$NE$150=AU$3)*(GMW!$ND$2:$ND$150=AU$4)*(GMW!$NF$2:$NF$150=AU$1),0),$C107-1966)</f>
        <v>1878500</v>
      </c>
      <c r="AV107" s="4" cm="1">
        <f t="array" ref="AV107">INDEX(GMW!$A$2:$NF$150,MATCH(1,(GMW!$NE$2:$NE$150=AV$3)*(GMW!$ND$2:$ND$150=AV$4)*(GMW!$NF$2:$NF$150=AV$1),0),$C107-1966)</f>
        <v>-1.716818</v>
      </c>
    </row>
    <row r="108" spans="1:48" x14ac:dyDescent="0.25">
      <c r="B108" s="4">
        <f t="shared" si="6"/>
        <v>1998</v>
      </c>
      <c r="C108" s="4">
        <f t="shared" si="5"/>
        <v>2074</v>
      </c>
      <c r="D108" s="4" cm="1">
        <f t="array" ref="D108">INDEX(GMW!$A$2:$NF$150,MATCH(1,(GMW!$NE$2:$NE$150=D$3)*(GMW!$ND$2:$ND$150=D$4)*(GMW!$NF$2:$NF$150=D$1),0),$C108-1966)</f>
        <v>416909</v>
      </c>
      <c r="E108" s="4" cm="1">
        <f t="array" ref="E108">INDEX(GMW!$A$2:$NF$150,MATCH(1,(GMW!$NE$2:$NE$150=E$3)*(GMW!$ND$2:$ND$150=E$4)*(GMW!$NF$2:$NF$150=E$1),0),$C108-1966)</f>
        <v>71.266670000000005</v>
      </c>
      <c r="F108" s="4" cm="1">
        <f t="array" ref="F108">INDEX(GMW!$A$2:$NF$150,MATCH(1,(GMW!$NE$2:$NE$150=F$3)*(GMW!$ND$2:$ND$150=F$4)*(GMW!$NF$2:$NF$150=F$1),0),$C108-1966)</f>
        <v>105685</v>
      </c>
      <c r="G108" s="4" cm="1">
        <f t="array" ref="G108">INDEX(GMW!$A$2:$NF$150,MATCH(1,(GMW!$NE$2:$NE$150=G$3)*(GMW!$ND$2:$ND$150=G$4)*(GMW!$NF$2:$NF$150=G$1),0),$C108-1966)</f>
        <v>48801</v>
      </c>
      <c r="H108" s="4" cm="1">
        <f t="array" ref="H108">INDEX(GMW!$A$2:$NF$150,MATCH(1,(GMW!$NE$2:$NE$150=H$3)*(GMW!$ND$2:$ND$150=H$4)*(GMW!$NF$2:$NF$150=H$1),0),$C108-1966)</f>
        <v>98132</v>
      </c>
      <c r="I108" s="4" cm="1">
        <f t="array" ref="I108">INDEX(GMW!$A$2:$NF$150,MATCH(1,(GMW!$NE$2:$NE$150=I$3)*(GMW!$ND$2:$ND$150=I$4)*(GMW!$NF$2:$NF$150=I$1),0),$C108-1966)</f>
        <v>54959</v>
      </c>
      <c r="J108" s="4" cm="1">
        <f t="array" ref="J108">INDEX(GMW!$A$2:$NF$150,MATCH(1,(GMW!$NE$2:$NE$150=J$3)*(GMW!$ND$2:$ND$150=J$4)*(GMW!$NF$2:$NF$150=J$1),0),$C108-1966)</f>
        <v>70728</v>
      </c>
      <c r="K108" s="4" cm="1">
        <f t="array" ref="K108">INDEX(GMW!$A$2:$NF$150,MATCH(1,(GMW!$NE$2:$NE$150=K$3)*(GMW!$ND$2:$ND$150=K$4)*(GMW!$NF$2:$NF$150=K$1),0),$C108-1966)</f>
        <v>40781</v>
      </c>
      <c r="L108" s="4" cm="1">
        <f t="array" ref="L108">INDEX(GMW!$A$2:$NF$150,MATCH(1,(GMW!$NE$2:$NE$150=L$3)*(GMW!$ND$2:$ND$150=L$4)*(GMW!$NF$2:$NF$150=L$1),0),$C108-1966)</f>
        <v>410117.8</v>
      </c>
      <c r="M108" s="4" cm="1">
        <f t="array" ref="M108">INDEX(GMW!$A$2:$NF$150,MATCH(1,(GMW!$NE$2:$NE$150=M$3)*(GMW!$ND$2:$ND$150=M$4)*(GMW!$NF$2:$NF$150=M$1),0),$C108-1966)</f>
        <v>26652.18</v>
      </c>
      <c r="N108" s="4" cm="1">
        <f t="array" ref="N108">INDEX(GMW!$A$2:$NF$150,MATCH(1,(GMW!$NE$2:$NE$150=N$3)*(GMW!$ND$2:$ND$150=N$4)*(GMW!$NF$2:$NF$150=N$1),0),$C108-1966)</f>
        <v>33.200000000000003</v>
      </c>
      <c r="O108" s="4" cm="1">
        <f t="array" ref="O108">INDEX(GMW!$A$2:$NF$150,MATCH(1,(GMW!$NE$2:$NE$150=O$3)*(GMW!$ND$2:$ND$150=O$4)*(GMW!$NF$2:$NF$150=O$1),0),$C108-1966)</f>
        <v>369844.5</v>
      </c>
      <c r="P108" s="4" cm="1">
        <f t="array" ref="P108">INDEX(GMW!$A$2:$NF$150,MATCH(1,(GMW!$NE$2:$NE$150=P$3)*(GMW!$ND$2:$ND$150=P$4)*(GMW!$NF$2:$NF$150=P$1),0),$C108-1966)</f>
        <v>37913.89</v>
      </c>
      <c r="Q108" s="4" cm="1">
        <f t="array" ref="Q108">INDEX(GMW!$A$2:$NF$150,MATCH(1,(GMW!$NE$2:$NE$150=Q$3)*(GMW!$ND$2:$ND$150=Q$4)*(GMW!$NF$2:$NF$150=Q$1),0),$C108-1966)</f>
        <v>1898000</v>
      </c>
      <c r="R108" s="4" cm="1">
        <f t="array" ref="R108">INDEX(GMW!$A$2:$NF$150,MATCH(1,(GMW!$NE$2:$NE$150=R$3)*(GMW!$ND$2:$ND$150=R$4)*(GMW!$NF$2:$NF$150=R$1),0),$C108-1966)</f>
        <v>-1.7157880000000001</v>
      </c>
      <c r="S108" s="4" cm="1">
        <f t="array" ref="S108">INDEX(GMW!$A$2:$NF$150,MATCH(1,(GMW!$NE$2:$NE$150=S$3)*(GMW!$ND$2:$ND$150=S$4)*(GMW!$NF$2:$NF$150=S$1),0),$C108-1966)</f>
        <v>416909</v>
      </c>
      <c r="T108" s="4" cm="1">
        <f t="array" ref="T108">INDEX(GMW!$A$2:$NF$150,MATCH(1,(GMW!$NE$2:$NE$150=T$3)*(GMW!$ND$2:$ND$150=T$4)*(GMW!$NF$2:$NF$150=T$1),0),$C108-1966)</f>
        <v>71.266670000000005</v>
      </c>
      <c r="U108" s="4" cm="1">
        <f t="array" ref="U108">INDEX(GMW!$A$2:$NF$150,MATCH(1,(GMW!$NE$2:$NE$150=U$3)*(GMW!$ND$2:$ND$150=U$4)*(GMW!$NF$2:$NF$150=U$1),0),$C108-1966)</f>
        <v>105685</v>
      </c>
      <c r="V108" s="4" cm="1">
        <f t="array" ref="V108">INDEX(GMW!$A$2:$NF$150,MATCH(1,(GMW!$NE$2:$NE$150=V$3)*(GMW!$ND$2:$ND$150=V$4)*(GMW!$NF$2:$NF$150=V$1),0),$C108-1966)</f>
        <v>48801</v>
      </c>
      <c r="W108" s="4" cm="1">
        <f t="array" ref="W108">INDEX(GMW!$A$2:$NF$150,MATCH(1,(GMW!$NE$2:$NE$150=W$3)*(GMW!$ND$2:$ND$150=W$4)*(GMW!$NF$2:$NF$150=W$1),0),$C108-1966)</f>
        <v>98132</v>
      </c>
      <c r="X108" s="4" cm="1">
        <f t="array" ref="X108">INDEX(GMW!$A$2:$NF$150,MATCH(1,(GMW!$NE$2:$NE$150=X$3)*(GMW!$ND$2:$ND$150=X$4)*(GMW!$NF$2:$NF$150=X$1),0),$C108-1966)</f>
        <v>54959</v>
      </c>
      <c r="Y108" s="4" cm="1">
        <f t="array" ref="Y108">INDEX(GMW!$A$2:$NF$150,MATCH(1,(GMW!$NE$2:$NE$150=Y$3)*(GMW!$ND$2:$ND$150=Y$4)*(GMW!$NF$2:$NF$150=Y$1),0),$C108-1966)</f>
        <v>70728</v>
      </c>
      <c r="Z108" s="4" cm="1">
        <f t="array" ref="Z108">INDEX(GMW!$A$2:$NF$150,MATCH(1,(GMW!$NE$2:$NE$150=Z$3)*(GMW!$ND$2:$ND$150=Z$4)*(GMW!$NF$2:$NF$150=Z$1),0),$C108-1966)</f>
        <v>40781</v>
      </c>
      <c r="AA108" s="4" cm="1">
        <f t="array" ref="AA108">INDEX(GMW!$A$2:$NF$150,MATCH(1,(GMW!$NE$2:$NE$150=AA$3)*(GMW!$ND$2:$ND$150=AA$4)*(GMW!$NF$2:$NF$150=AA$1),0),$C108-1966)</f>
        <v>410117.8</v>
      </c>
      <c r="AB108" s="4" cm="1">
        <f t="array" ref="AB108">INDEX(GMW!$A$2:$NF$150,MATCH(1,(GMW!$NE$2:$NE$150=AB$3)*(GMW!$ND$2:$ND$150=AB$4)*(GMW!$NF$2:$NF$150=AB$1),0),$C108-1966)</f>
        <v>26652.18</v>
      </c>
      <c r="AC108" s="4" cm="1">
        <f t="array" ref="AC108">INDEX(GMW!$A$2:$NF$150,MATCH(1,(GMW!$NE$2:$NE$150=AC$3)*(GMW!$ND$2:$ND$150=AC$4)*(GMW!$NF$2:$NF$150=AC$1),0),$C108-1966)</f>
        <v>33.200000000000003</v>
      </c>
      <c r="AD108" s="4" cm="1">
        <f t="array" ref="AD108">INDEX(GMW!$A$2:$NF$150,MATCH(1,(GMW!$NE$2:$NE$150=AD$3)*(GMW!$ND$2:$ND$150=AD$4)*(GMW!$NF$2:$NF$150=AD$1),0),$C108-1966)</f>
        <v>369844.5</v>
      </c>
      <c r="AE108" s="4" cm="1">
        <f t="array" ref="AE108">INDEX(GMW!$A$2:$NF$150,MATCH(1,(GMW!$NE$2:$NE$150=AE$3)*(GMW!$ND$2:$ND$150=AE$4)*(GMW!$NF$2:$NF$150=AE$1),0),$C108-1966)</f>
        <v>37913.89</v>
      </c>
      <c r="AF108" s="4" cm="1">
        <f t="array" ref="AF108">INDEX(GMW!$A$2:$NF$150,MATCH(1,(GMW!$NE$2:$NE$150=AF$3)*(GMW!$ND$2:$ND$150=AF$4)*(GMW!$NF$2:$NF$150=AF$1),0),$C108-1966)</f>
        <v>1898000</v>
      </c>
      <c r="AG108" s="4" cm="1">
        <f t="array" ref="AG108">INDEX(GMW!$A$2:$NF$150,MATCH(1,(GMW!$NE$2:$NE$150=AG$3)*(GMW!$ND$2:$ND$150=AG$4)*(GMW!$NF$2:$NF$150=AG$1),0),$C108-1966)</f>
        <v>-1.7157880000000001</v>
      </c>
      <c r="AH108" s="4" cm="1">
        <f t="array" ref="AH108">INDEX(GMW!$A$2:$NF$150,MATCH(1,(GMW!$NE$2:$NE$150=AH$3)*(GMW!$ND$2:$ND$150=AH$4)*(GMW!$NF$2:$NF$150=AH$1),0),$C108-1966)</f>
        <v>416909</v>
      </c>
      <c r="AI108" s="4" cm="1">
        <f t="array" ref="AI108">INDEX(GMW!$A$2:$NF$150,MATCH(1,(GMW!$NE$2:$NE$150=AI$3)*(GMW!$ND$2:$ND$150=AI$4)*(GMW!$NF$2:$NF$150=AI$1),0),$C108-1966)</f>
        <v>71.266670000000005</v>
      </c>
      <c r="AJ108" s="4" cm="1">
        <f t="array" ref="AJ108">INDEX(GMW!$A$2:$NF$150,MATCH(1,(GMW!$NE$2:$NE$150=AJ$3)*(GMW!$ND$2:$ND$150=AJ$4)*(GMW!$NF$2:$NF$150=AJ$1),0),$C108-1966)</f>
        <v>105685</v>
      </c>
      <c r="AK108" s="4" cm="1">
        <f t="array" ref="AK108">INDEX(GMW!$A$2:$NF$150,MATCH(1,(GMW!$NE$2:$NE$150=AK$3)*(GMW!$ND$2:$ND$150=AK$4)*(GMW!$NF$2:$NF$150=AK$1),0),$C108-1966)</f>
        <v>48801</v>
      </c>
      <c r="AL108" s="4" cm="1">
        <f t="array" ref="AL108">INDEX(GMW!$A$2:$NF$150,MATCH(1,(GMW!$NE$2:$NE$150=AL$3)*(GMW!$ND$2:$ND$150=AL$4)*(GMW!$NF$2:$NF$150=AL$1),0),$C108-1966)</f>
        <v>98132</v>
      </c>
      <c r="AM108" s="4" cm="1">
        <f t="array" ref="AM108">INDEX(GMW!$A$2:$NF$150,MATCH(1,(GMW!$NE$2:$NE$150=AM$3)*(GMW!$ND$2:$ND$150=AM$4)*(GMW!$NF$2:$NF$150=AM$1),0),$C108-1966)</f>
        <v>54959</v>
      </c>
      <c r="AN108" s="4" cm="1">
        <f t="array" ref="AN108">INDEX(GMW!$A$2:$NF$150,MATCH(1,(GMW!$NE$2:$NE$150=AN$3)*(GMW!$ND$2:$ND$150=AN$4)*(GMW!$NF$2:$NF$150=AN$1),0),$C108-1966)</f>
        <v>70728</v>
      </c>
      <c r="AO108" s="4" cm="1">
        <f t="array" ref="AO108">INDEX(GMW!$A$2:$NF$150,MATCH(1,(GMW!$NE$2:$NE$150=AO$3)*(GMW!$ND$2:$ND$150=AO$4)*(GMW!$NF$2:$NF$150=AO$1),0),$C108-1966)</f>
        <v>40781</v>
      </c>
      <c r="AP108" s="4" cm="1">
        <f t="array" ref="AP108">INDEX(GMW!$A$2:$NF$150,MATCH(1,(GMW!$NE$2:$NE$150=AP$3)*(GMW!$ND$2:$ND$150=AP$4)*(GMW!$NF$2:$NF$150=AP$1),0),$C108-1966)</f>
        <v>410117.8</v>
      </c>
      <c r="AQ108" s="4" cm="1">
        <f t="array" ref="AQ108">INDEX(GMW!$A$2:$NF$150,MATCH(1,(GMW!$NE$2:$NE$150=AQ$3)*(GMW!$ND$2:$ND$150=AQ$4)*(GMW!$NF$2:$NF$150=AQ$1),0),$C108-1966)</f>
        <v>26652.18</v>
      </c>
      <c r="AR108" s="4" cm="1">
        <f t="array" ref="AR108">INDEX(GMW!$A$2:$NF$150,MATCH(1,(GMW!$NE$2:$NE$150=AR$3)*(GMW!$ND$2:$ND$150=AR$4)*(GMW!$NF$2:$NF$150=AR$1),0),$C108-1966)</f>
        <v>33.200000000000003</v>
      </c>
      <c r="AS108" s="4" cm="1">
        <f t="array" ref="AS108">INDEX(GMW!$A$2:$NF$150,MATCH(1,(GMW!$NE$2:$NE$150=AS$3)*(GMW!$ND$2:$ND$150=AS$4)*(GMW!$NF$2:$NF$150=AS$1),0),$C108-1966)</f>
        <v>369844.5</v>
      </c>
      <c r="AT108" s="4" cm="1">
        <f t="array" ref="AT108">INDEX(GMW!$A$2:$NF$150,MATCH(1,(GMW!$NE$2:$NE$150=AT$3)*(GMW!$ND$2:$ND$150=AT$4)*(GMW!$NF$2:$NF$150=AT$1),0),$C108-1966)</f>
        <v>37913.89</v>
      </c>
      <c r="AU108" s="4" cm="1">
        <f t="array" ref="AU108">INDEX(GMW!$A$2:$NF$150,MATCH(1,(GMW!$NE$2:$NE$150=AU$3)*(GMW!$ND$2:$ND$150=AU$4)*(GMW!$NF$2:$NF$150=AU$1),0),$C108-1966)</f>
        <v>1898000</v>
      </c>
      <c r="AV108" s="4" cm="1">
        <f t="array" ref="AV108">INDEX(GMW!$A$2:$NF$150,MATCH(1,(GMW!$NE$2:$NE$150=AV$3)*(GMW!$ND$2:$ND$150=AV$4)*(GMW!$NF$2:$NF$150=AV$1),0),$C108-1966)</f>
        <v>-1.7157880000000001</v>
      </c>
    </row>
    <row r="109" spans="1:48" x14ac:dyDescent="0.25">
      <c r="B109" s="4">
        <f t="shared" si="6"/>
        <v>1998</v>
      </c>
      <c r="C109" s="4">
        <f t="shared" si="5"/>
        <v>2075</v>
      </c>
      <c r="D109" s="4" cm="1">
        <f t="array" ref="D109">INDEX(GMW!$A$2:$NF$150,MATCH(1,(GMW!$NE$2:$NE$150=D$3)*(GMW!$ND$2:$ND$150=D$4)*(GMW!$NF$2:$NF$150=D$1),0),$C109-1966)</f>
        <v>418294</v>
      </c>
      <c r="E109" s="4" cm="1">
        <f t="array" ref="E109">INDEX(GMW!$A$2:$NF$150,MATCH(1,(GMW!$NE$2:$NE$150=E$3)*(GMW!$ND$2:$ND$150=E$4)*(GMW!$NF$2:$NF$150=E$1),0),$C109-1966)</f>
        <v>71.233329999999995</v>
      </c>
      <c r="F109" s="4" cm="1">
        <f t="array" ref="F109">INDEX(GMW!$A$2:$NF$150,MATCH(1,(GMW!$NE$2:$NE$150=F$3)*(GMW!$ND$2:$ND$150=F$4)*(GMW!$NF$2:$NF$150=F$1),0),$C109-1966)</f>
        <v>105377</v>
      </c>
      <c r="G109" s="4" cm="1">
        <f t="array" ref="G109">INDEX(GMW!$A$2:$NF$150,MATCH(1,(GMW!$NE$2:$NE$150=G$3)*(GMW!$ND$2:$ND$150=G$4)*(GMW!$NF$2:$NF$150=G$1),0),$C109-1966)</f>
        <v>49164</v>
      </c>
      <c r="H109" s="4" cm="1">
        <f t="array" ref="H109">INDEX(GMW!$A$2:$NF$150,MATCH(1,(GMW!$NE$2:$NE$150=H$3)*(GMW!$ND$2:$ND$150=H$4)*(GMW!$NF$2:$NF$150=H$1),0),$C109-1966)</f>
        <v>98822</v>
      </c>
      <c r="I109" s="4" cm="1">
        <f t="array" ref="I109">INDEX(GMW!$A$2:$NF$150,MATCH(1,(GMW!$NE$2:$NE$150=I$3)*(GMW!$ND$2:$ND$150=I$4)*(GMW!$NF$2:$NF$150=I$1),0),$C109-1966)</f>
        <v>58149</v>
      </c>
      <c r="J109" s="4" cm="1">
        <f t="array" ref="J109">INDEX(GMW!$A$2:$NF$150,MATCH(1,(GMW!$NE$2:$NE$150=J$3)*(GMW!$ND$2:$ND$150=J$4)*(GMW!$NF$2:$NF$150=J$1),0),$C109-1966)</f>
        <v>70125</v>
      </c>
      <c r="K109" s="4" cm="1">
        <f t="array" ref="K109">INDEX(GMW!$A$2:$NF$150,MATCH(1,(GMW!$NE$2:$NE$150=K$3)*(GMW!$ND$2:$ND$150=K$4)*(GMW!$NF$2:$NF$150=K$1),0),$C109-1966)</f>
        <v>40414</v>
      </c>
      <c r="L109" s="4" cm="1">
        <f t="array" ref="L109">INDEX(GMW!$A$2:$NF$150,MATCH(1,(GMW!$NE$2:$NE$150=L$3)*(GMW!$ND$2:$ND$150=L$4)*(GMW!$NF$2:$NF$150=L$1),0),$C109-1966)</f>
        <v>413020.8</v>
      </c>
      <c r="M109" s="4" cm="1">
        <f t="array" ref="M109">INDEX(GMW!$A$2:$NF$150,MATCH(1,(GMW!$NE$2:$NE$150=M$3)*(GMW!$ND$2:$ND$150=M$4)*(GMW!$NF$2:$NF$150=M$1),0),$C109-1966)</f>
        <v>26816.94</v>
      </c>
      <c r="N109" s="4" cm="1">
        <f t="array" ref="N109">INDEX(GMW!$A$2:$NF$150,MATCH(1,(GMW!$NE$2:$NE$150=N$3)*(GMW!$ND$2:$ND$150=N$4)*(GMW!$NF$2:$NF$150=N$1),0),$C109-1966)</f>
        <v>33.1</v>
      </c>
      <c r="O109" s="4" cm="1">
        <f t="array" ref="O109">INDEX(GMW!$A$2:$NF$150,MATCH(1,(GMW!$NE$2:$NE$150=O$3)*(GMW!$ND$2:$ND$150=O$4)*(GMW!$NF$2:$NF$150=O$1),0),$C109-1966)</f>
        <v>370802</v>
      </c>
      <c r="P109" s="4" cm="1">
        <f t="array" ref="P109">INDEX(GMW!$A$2:$NF$150,MATCH(1,(GMW!$NE$2:$NE$150=P$3)*(GMW!$ND$2:$ND$150=P$4)*(GMW!$NF$2:$NF$150=P$1),0),$C109-1966)</f>
        <v>37965.89</v>
      </c>
      <c r="Q109" s="4" cm="1">
        <f t="array" ref="Q109">INDEX(GMW!$A$2:$NF$150,MATCH(1,(GMW!$NE$2:$NE$150=Q$3)*(GMW!$ND$2:$ND$150=Q$4)*(GMW!$NF$2:$NF$150=Q$1),0),$C109-1966)</f>
        <v>1917500</v>
      </c>
      <c r="R109" s="4" cm="1">
        <f t="array" ref="R109">INDEX(GMW!$A$2:$NF$150,MATCH(1,(GMW!$NE$2:$NE$150=R$3)*(GMW!$ND$2:$ND$150=R$4)*(GMW!$NF$2:$NF$150=R$1),0),$C109-1966)</f>
        <v>-1.7147589999999999</v>
      </c>
      <c r="S109" s="4" cm="1">
        <f t="array" ref="S109">INDEX(GMW!$A$2:$NF$150,MATCH(1,(GMW!$NE$2:$NE$150=S$3)*(GMW!$ND$2:$ND$150=S$4)*(GMW!$NF$2:$NF$150=S$1),0),$C109-1966)</f>
        <v>418294</v>
      </c>
      <c r="T109" s="4" cm="1">
        <f t="array" ref="T109">INDEX(GMW!$A$2:$NF$150,MATCH(1,(GMW!$NE$2:$NE$150=T$3)*(GMW!$ND$2:$ND$150=T$4)*(GMW!$NF$2:$NF$150=T$1),0),$C109-1966)</f>
        <v>71.233329999999995</v>
      </c>
      <c r="U109" s="4" cm="1">
        <f t="array" ref="U109">INDEX(GMW!$A$2:$NF$150,MATCH(1,(GMW!$NE$2:$NE$150=U$3)*(GMW!$ND$2:$ND$150=U$4)*(GMW!$NF$2:$NF$150=U$1),0),$C109-1966)</f>
        <v>105377</v>
      </c>
      <c r="V109" s="4" cm="1">
        <f t="array" ref="V109">INDEX(GMW!$A$2:$NF$150,MATCH(1,(GMW!$NE$2:$NE$150=V$3)*(GMW!$ND$2:$ND$150=V$4)*(GMW!$NF$2:$NF$150=V$1),0),$C109-1966)</f>
        <v>49164</v>
      </c>
      <c r="W109" s="4" cm="1">
        <f t="array" ref="W109">INDEX(GMW!$A$2:$NF$150,MATCH(1,(GMW!$NE$2:$NE$150=W$3)*(GMW!$ND$2:$ND$150=W$4)*(GMW!$NF$2:$NF$150=W$1),0),$C109-1966)</f>
        <v>98822</v>
      </c>
      <c r="X109" s="4" cm="1">
        <f t="array" ref="X109">INDEX(GMW!$A$2:$NF$150,MATCH(1,(GMW!$NE$2:$NE$150=X$3)*(GMW!$ND$2:$ND$150=X$4)*(GMW!$NF$2:$NF$150=X$1),0),$C109-1966)</f>
        <v>58149</v>
      </c>
      <c r="Y109" s="4" cm="1">
        <f t="array" ref="Y109">INDEX(GMW!$A$2:$NF$150,MATCH(1,(GMW!$NE$2:$NE$150=Y$3)*(GMW!$ND$2:$ND$150=Y$4)*(GMW!$NF$2:$NF$150=Y$1),0),$C109-1966)</f>
        <v>70125</v>
      </c>
      <c r="Z109" s="4" cm="1">
        <f t="array" ref="Z109">INDEX(GMW!$A$2:$NF$150,MATCH(1,(GMW!$NE$2:$NE$150=Z$3)*(GMW!$ND$2:$ND$150=Z$4)*(GMW!$NF$2:$NF$150=Z$1),0),$C109-1966)</f>
        <v>40414</v>
      </c>
      <c r="AA109" s="4" cm="1">
        <f t="array" ref="AA109">INDEX(GMW!$A$2:$NF$150,MATCH(1,(GMW!$NE$2:$NE$150=AA$3)*(GMW!$ND$2:$ND$150=AA$4)*(GMW!$NF$2:$NF$150=AA$1),0),$C109-1966)</f>
        <v>413020.8</v>
      </c>
      <c r="AB109" s="4" cm="1">
        <f t="array" ref="AB109">INDEX(GMW!$A$2:$NF$150,MATCH(1,(GMW!$NE$2:$NE$150=AB$3)*(GMW!$ND$2:$ND$150=AB$4)*(GMW!$NF$2:$NF$150=AB$1),0),$C109-1966)</f>
        <v>26816.94</v>
      </c>
      <c r="AC109" s="4" cm="1">
        <f t="array" ref="AC109">INDEX(GMW!$A$2:$NF$150,MATCH(1,(GMW!$NE$2:$NE$150=AC$3)*(GMW!$ND$2:$ND$150=AC$4)*(GMW!$NF$2:$NF$150=AC$1),0),$C109-1966)</f>
        <v>33.1</v>
      </c>
      <c r="AD109" s="4" cm="1">
        <f t="array" ref="AD109">INDEX(GMW!$A$2:$NF$150,MATCH(1,(GMW!$NE$2:$NE$150=AD$3)*(GMW!$ND$2:$ND$150=AD$4)*(GMW!$NF$2:$NF$150=AD$1),0),$C109-1966)</f>
        <v>370802</v>
      </c>
      <c r="AE109" s="4" cm="1">
        <f t="array" ref="AE109">INDEX(GMW!$A$2:$NF$150,MATCH(1,(GMW!$NE$2:$NE$150=AE$3)*(GMW!$ND$2:$ND$150=AE$4)*(GMW!$NF$2:$NF$150=AE$1),0),$C109-1966)</f>
        <v>37965.89</v>
      </c>
      <c r="AF109" s="4" cm="1">
        <f t="array" ref="AF109">INDEX(GMW!$A$2:$NF$150,MATCH(1,(GMW!$NE$2:$NE$150=AF$3)*(GMW!$ND$2:$ND$150=AF$4)*(GMW!$NF$2:$NF$150=AF$1),0),$C109-1966)</f>
        <v>1917500</v>
      </c>
      <c r="AG109" s="4" cm="1">
        <f t="array" ref="AG109">INDEX(GMW!$A$2:$NF$150,MATCH(1,(GMW!$NE$2:$NE$150=AG$3)*(GMW!$ND$2:$ND$150=AG$4)*(GMW!$NF$2:$NF$150=AG$1),0),$C109-1966)</f>
        <v>-1.7147589999999999</v>
      </c>
      <c r="AH109" s="4" cm="1">
        <f t="array" ref="AH109">INDEX(GMW!$A$2:$NF$150,MATCH(1,(GMW!$NE$2:$NE$150=AH$3)*(GMW!$ND$2:$ND$150=AH$4)*(GMW!$NF$2:$NF$150=AH$1),0),$C109-1966)</f>
        <v>418294</v>
      </c>
      <c r="AI109" s="4" cm="1">
        <f t="array" ref="AI109">INDEX(GMW!$A$2:$NF$150,MATCH(1,(GMW!$NE$2:$NE$150=AI$3)*(GMW!$ND$2:$ND$150=AI$4)*(GMW!$NF$2:$NF$150=AI$1),0),$C109-1966)</f>
        <v>71.233329999999995</v>
      </c>
      <c r="AJ109" s="4" cm="1">
        <f t="array" ref="AJ109">INDEX(GMW!$A$2:$NF$150,MATCH(1,(GMW!$NE$2:$NE$150=AJ$3)*(GMW!$ND$2:$ND$150=AJ$4)*(GMW!$NF$2:$NF$150=AJ$1),0),$C109-1966)</f>
        <v>105377</v>
      </c>
      <c r="AK109" s="4" cm="1">
        <f t="array" ref="AK109">INDEX(GMW!$A$2:$NF$150,MATCH(1,(GMW!$NE$2:$NE$150=AK$3)*(GMW!$ND$2:$ND$150=AK$4)*(GMW!$NF$2:$NF$150=AK$1),0),$C109-1966)</f>
        <v>49164</v>
      </c>
      <c r="AL109" s="4" cm="1">
        <f t="array" ref="AL109">INDEX(GMW!$A$2:$NF$150,MATCH(1,(GMW!$NE$2:$NE$150=AL$3)*(GMW!$ND$2:$ND$150=AL$4)*(GMW!$NF$2:$NF$150=AL$1),0),$C109-1966)</f>
        <v>98822</v>
      </c>
      <c r="AM109" s="4" cm="1">
        <f t="array" ref="AM109">INDEX(GMW!$A$2:$NF$150,MATCH(1,(GMW!$NE$2:$NE$150=AM$3)*(GMW!$ND$2:$ND$150=AM$4)*(GMW!$NF$2:$NF$150=AM$1),0),$C109-1966)</f>
        <v>58149</v>
      </c>
      <c r="AN109" s="4" cm="1">
        <f t="array" ref="AN109">INDEX(GMW!$A$2:$NF$150,MATCH(1,(GMW!$NE$2:$NE$150=AN$3)*(GMW!$ND$2:$ND$150=AN$4)*(GMW!$NF$2:$NF$150=AN$1),0),$C109-1966)</f>
        <v>70125</v>
      </c>
      <c r="AO109" s="4" cm="1">
        <f t="array" ref="AO109">INDEX(GMW!$A$2:$NF$150,MATCH(1,(GMW!$NE$2:$NE$150=AO$3)*(GMW!$ND$2:$ND$150=AO$4)*(GMW!$NF$2:$NF$150=AO$1),0),$C109-1966)</f>
        <v>40414</v>
      </c>
      <c r="AP109" s="4" cm="1">
        <f t="array" ref="AP109">INDEX(GMW!$A$2:$NF$150,MATCH(1,(GMW!$NE$2:$NE$150=AP$3)*(GMW!$ND$2:$ND$150=AP$4)*(GMW!$NF$2:$NF$150=AP$1),0),$C109-1966)</f>
        <v>413020.8</v>
      </c>
      <c r="AQ109" s="4" cm="1">
        <f t="array" ref="AQ109">INDEX(GMW!$A$2:$NF$150,MATCH(1,(GMW!$NE$2:$NE$150=AQ$3)*(GMW!$ND$2:$ND$150=AQ$4)*(GMW!$NF$2:$NF$150=AQ$1),0),$C109-1966)</f>
        <v>26816.94</v>
      </c>
      <c r="AR109" s="4" cm="1">
        <f t="array" ref="AR109">INDEX(GMW!$A$2:$NF$150,MATCH(1,(GMW!$NE$2:$NE$150=AR$3)*(GMW!$ND$2:$ND$150=AR$4)*(GMW!$NF$2:$NF$150=AR$1),0),$C109-1966)</f>
        <v>33.1</v>
      </c>
      <c r="AS109" s="4" cm="1">
        <f t="array" ref="AS109">INDEX(GMW!$A$2:$NF$150,MATCH(1,(GMW!$NE$2:$NE$150=AS$3)*(GMW!$ND$2:$ND$150=AS$4)*(GMW!$NF$2:$NF$150=AS$1),0),$C109-1966)</f>
        <v>370802</v>
      </c>
      <c r="AT109" s="4" cm="1">
        <f t="array" ref="AT109">INDEX(GMW!$A$2:$NF$150,MATCH(1,(GMW!$NE$2:$NE$150=AT$3)*(GMW!$ND$2:$ND$150=AT$4)*(GMW!$NF$2:$NF$150=AT$1),0),$C109-1966)</f>
        <v>37965.89</v>
      </c>
      <c r="AU109" s="4" cm="1">
        <f t="array" ref="AU109">INDEX(GMW!$A$2:$NF$150,MATCH(1,(GMW!$NE$2:$NE$150=AU$3)*(GMW!$ND$2:$ND$150=AU$4)*(GMW!$NF$2:$NF$150=AU$1),0),$C109-1966)</f>
        <v>1917500</v>
      </c>
      <c r="AV109" s="4" cm="1">
        <f t="array" ref="AV109">INDEX(GMW!$A$2:$NF$150,MATCH(1,(GMW!$NE$2:$NE$150=AV$3)*(GMW!$ND$2:$ND$150=AV$4)*(GMW!$NF$2:$NF$150=AV$1),0),$C109-1966)</f>
        <v>-1.7147589999999999</v>
      </c>
    </row>
    <row r="110" spans="1:48" x14ac:dyDescent="0.25">
      <c r="B110" s="4">
        <f t="shared" si="6"/>
        <v>1998</v>
      </c>
      <c r="C110" s="4">
        <f t="shared" si="5"/>
        <v>2076</v>
      </c>
      <c r="D110" s="4" cm="1">
        <f t="array" ref="D110">INDEX(GMW!$A$2:$NF$150,MATCH(1,(GMW!$NE$2:$NE$150=D$3)*(GMW!$ND$2:$ND$150=D$4)*(GMW!$NF$2:$NF$150=D$1),0),$C110-1966)</f>
        <v>421074</v>
      </c>
      <c r="E110" s="4" cm="1">
        <f t="array" ref="E110">INDEX(GMW!$A$2:$NF$150,MATCH(1,(GMW!$NE$2:$NE$150=E$3)*(GMW!$ND$2:$ND$150=E$4)*(GMW!$NF$2:$NF$150=E$1),0),$C110-1966)</f>
        <v>71.633330000000001</v>
      </c>
      <c r="F110" s="4" cm="1">
        <f t="array" ref="F110">INDEX(GMW!$A$2:$NF$150,MATCH(1,(GMW!$NE$2:$NE$150=F$3)*(GMW!$ND$2:$ND$150=F$4)*(GMW!$NF$2:$NF$150=F$1),0),$C110-1966)</f>
        <v>105093</v>
      </c>
      <c r="G110" s="4" cm="1">
        <f t="array" ref="G110">INDEX(GMW!$A$2:$NF$150,MATCH(1,(GMW!$NE$2:$NE$150=G$3)*(GMW!$ND$2:$ND$150=G$4)*(GMW!$NF$2:$NF$150=G$1),0),$C110-1966)</f>
        <v>48941</v>
      </c>
      <c r="H110" s="4" cm="1">
        <f t="array" ref="H110">INDEX(GMW!$A$2:$NF$150,MATCH(1,(GMW!$NE$2:$NE$150=H$3)*(GMW!$ND$2:$ND$150=H$4)*(GMW!$NF$2:$NF$150=H$1),0),$C110-1966)</f>
        <v>98825</v>
      </c>
      <c r="I110" s="4" cm="1">
        <f t="array" ref="I110">INDEX(GMW!$A$2:$NF$150,MATCH(1,(GMW!$NE$2:$NE$150=I$3)*(GMW!$ND$2:$ND$150=I$4)*(GMW!$NF$2:$NF$150=I$1),0),$C110-1966)</f>
        <v>57208</v>
      </c>
      <c r="J110" s="4" cm="1">
        <f t="array" ref="J110">INDEX(GMW!$A$2:$NF$150,MATCH(1,(GMW!$NE$2:$NE$150=J$3)*(GMW!$ND$2:$ND$150=J$4)*(GMW!$NF$2:$NF$150=J$1),0),$C110-1966)</f>
        <v>71589</v>
      </c>
      <c r="K110" s="4" cm="1">
        <f t="array" ref="K110">INDEX(GMW!$A$2:$NF$150,MATCH(1,(GMW!$NE$2:$NE$150=K$3)*(GMW!$ND$2:$ND$150=K$4)*(GMW!$NF$2:$NF$150=K$1),0),$C110-1966)</f>
        <v>41424</v>
      </c>
      <c r="L110" s="4" cm="1">
        <f t="array" ref="L110">INDEX(GMW!$A$2:$NF$150,MATCH(1,(GMW!$NE$2:$NE$150=L$3)*(GMW!$ND$2:$ND$150=L$4)*(GMW!$NF$2:$NF$150=L$1),0),$C110-1966)</f>
        <v>414237.5</v>
      </c>
      <c r="M110" s="4" cm="1">
        <f t="array" ref="M110">INDEX(GMW!$A$2:$NF$150,MATCH(1,(GMW!$NE$2:$NE$150=M$3)*(GMW!$ND$2:$ND$150=M$4)*(GMW!$NF$2:$NF$150=M$1),0),$C110-1966)</f>
        <v>26967.14</v>
      </c>
      <c r="N110" s="4" cm="1">
        <f t="array" ref="N110">INDEX(GMW!$A$2:$NF$150,MATCH(1,(GMW!$NE$2:$NE$150=N$3)*(GMW!$ND$2:$ND$150=N$4)*(GMW!$NF$2:$NF$150=N$1),0),$C110-1966)</f>
        <v>32.799999999999997</v>
      </c>
      <c r="O110" s="4" cm="1">
        <f t="array" ref="O110">INDEX(GMW!$A$2:$NF$150,MATCH(1,(GMW!$NE$2:$NE$150=O$3)*(GMW!$ND$2:$ND$150=O$4)*(GMW!$NF$2:$NF$150=O$1),0),$C110-1966)</f>
        <v>372081.5</v>
      </c>
      <c r="P110" s="4" cm="1">
        <f t="array" ref="P110">INDEX(GMW!$A$2:$NF$150,MATCH(1,(GMW!$NE$2:$NE$150=P$3)*(GMW!$ND$2:$ND$150=P$4)*(GMW!$NF$2:$NF$150=P$1),0),$C110-1966)</f>
        <v>38017.89</v>
      </c>
      <c r="Q110" s="4" cm="1">
        <f t="array" ref="Q110">INDEX(GMW!$A$2:$NF$150,MATCH(1,(GMW!$NE$2:$NE$150=Q$3)*(GMW!$ND$2:$ND$150=Q$4)*(GMW!$NF$2:$NF$150=Q$1),0),$C110-1966)</f>
        <v>1937000</v>
      </c>
      <c r="R110" s="4" cm="1">
        <f t="array" ref="R110">INDEX(GMW!$A$2:$NF$150,MATCH(1,(GMW!$NE$2:$NE$150=R$3)*(GMW!$ND$2:$ND$150=R$4)*(GMW!$NF$2:$NF$150=R$1),0),$C110-1966)</f>
        <v>-1.71373</v>
      </c>
      <c r="S110" s="4" cm="1">
        <f t="array" ref="S110">INDEX(GMW!$A$2:$NF$150,MATCH(1,(GMW!$NE$2:$NE$150=S$3)*(GMW!$ND$2:$ND$150=S$4)*(GMW!$NF$2:$NF$150=S$1),0),$C110-1966)</f>
        <v>421074</v>
      </c>
      <c r="T110" s="4" cm="1">
        <f t="array" ref="T110">INDEX(GMW!$A$2:$NF$150,MATCH(1,(GMW!$NE$2:$NE$150=T$3)*(GMW!$ND$2:$ND$150=T$4)*(GMW!$NF$2:$NF$150=T$1),0),$C110-1966)</f>
        <v>71.633330000000001</v>
      </c>
      <c r="U110" s="4" cm="1">
        <f t="array" ref="U110">INDEX(GMW!$A$2:$NF$150,MATCH(1,(GMW!$NE$2:$NE$150=U$3)*(GMW!$ND$2:$ND$150=U$4)*(GMW!$NF$2:$NF$150=U$1),0),$C110-1966)</f>
        <v>105093</v>
      </c>
      <c r="V110" s="4" cm="1">
        <f t="array" ref="V110">INDEX(GMW!$A$2:$NF$150,MATCH(1,(GMW!$NE$2:$NE$150=V$3)*(GMW!$ND$2:$ND$150=V$4)*(GMW!$NF$2:$NF$150=V$1),0),$C110-1966)</f>
        <v>48941</v>
      </c>
      <c r="W110" s="4" cm="1">
        <f t="array" ref="W110">INDEX(GMW!$A$2:$NF$150,MATCH(1,(GMW!$NE$2:$NE$150=W$3)*(GMW!$ND$2:$ND$150=W$4)*(GMW!$NF$2:$NF$150=W$1),0),$C110-1966)</f>
        <v>98825</v>
      </c>
      <c r="X110" s="4" cm="1">
        <f t="array" ref="X110">INDEX(GMW!$A$2:$NF$150,MATCH(1,(GMW!$NE$2:$NE$150=X$3)*(GMW!$ND$2:$ND$150=X$4)*(GMW!$NF$2:$NF$150=X$1),0),$C110-1966)</f>
        <v>57208</v>
      </c>
      <c r="Y110" s="4" cm="1">
        <f t="array" ref="Y110">INDEX(GMW!$A$2:$NF$150,MATCH(1,(GMW!$NE$2:$NE$150=Y$3)*(GMW!$ND$2:$ND$150=Y$4)*(GMW!$NF$2:$NF$150=Y$1),0),$C110-1966)</f>
        <v>71589</v>
      </c>
      <c r="Z110" s="4" cm="1">
        <f t="array" ref="Z110">INDEX(GMW!$A$2:$NF$150,MATCH(1,(GMW!$NE$2:$NE$150=Z$3)*(GMW!$ND$2:$ND$150=Z$4)*(GMW!$NF$2:$NF$150=Z$1),0),$C110-1966)</f>
        <v>41424</v>
      </c>
      <c r="AA110" s="4" cm="1">
        <f t="array" ref="AA110">INDEX(GMW!$A$2:$NF$150,MATCH(1,(GMW!$NE$2:$NE$150=AA$3)*(GMW!$ND$2:$ND$150=AA$4)*(GMW!$NF$2:$NF$150=AA$1),0),$C110-1966)</f>
        <v>414237.5</v>
      </c>
      <c r="AB110" s="4" cm="1">
        <f t="array" ref="AB110">INDEX(GMW!$A$2:$NF$150,MATCH(1,(GMW!$NE$2:$NE$150=AB$3)*(GMW!$ND$2:$ND$150=AB$4)*(GMW!$NF$2:$NF$150=AB$1),0),$C110-1966)</f>
        <v>26967.14</v>
      </c>
      <c r="AC110" s="4" cm="1">
        <f t="array" ref="AC110">INDEX(GMW!$A$2:$NF$150,MATCH(1,(GMW!$NE$2:$NE$150=AC$3)*(GMW!$ND$2:$ND$150=AC$4)*(GMW!$NF$2:$NF$150=AC$1),0),$C110-1966)</f>
        <v>32.799999999999997</v>
      </c>
      <c r="AD110" s="4" cm="1">
        <f t="array" ref="AD110">INDEX(GMW!$A$2:$NF$150,MATCH(1,(GMW!$NE$2:$NE$150=AD$3)*(GMW!$ND$2:$ND$150=AD$4)*(GMW!$NF$2:$NF$150=AD$1),0),$C110-1966)</f>
        <v>372081.5</v>
      </c>
      <c r="AE110" s="4" cm="1">
        <f t="array" ref="AE110">INDEX(GMW!$A$2:$NF$150,MATCH(1,(GMW!$NE$2:$NE$150=AE$3)*(GMW!$ND$2:$ND$150=AE$4)*(GMW!$NF$2:$NF$150=AE$1),0),$C110-1966)</f>
        <v>38017.89</v>
      </c>
      <c r="AF110" s="4" cm="1">
        <f t="array" ref="AF110">INDEX(GMW!$A$2:$NF$150,MATCH(1,(GMW!$NE$2:$NE$150=AF$3)*(GMW!$ND$2:$ND$150=AF$4)*(GMW!$NF$2:$NF$150=AF$1),0),$C110-1966)</f>
        <v>1937000</v>
      </c>
      <c r="AG110" s="4" cm="1">
        <f t="array" ref="AG110">INDEX(GMW!$A$2:$NF$150,MATCH(1,(GMW!$NE$2:$NE$150=AG$3)*(GMW!$ND$2:$ND$150=AG$4)*(GMW!$NF$2:$NF$150=AG$1),0),$C110-1966)</f>
        <v>-1.71373</v>
      </c>
      <c r="AH110" s="4" cm="1">
        <f t="array" ref="AH110">INDEX(GMW!$A$2:$NF$150,MATCH(1,(GMW!$NE$2:$NE$150=AH$3)*(GMW!$ND$2:$ND$150=AH$4)*(GMW!$NF$2:$NF$150=AH$1),0),$C110-1966)</f>
        <v>421074</v>
      </c>
      <c r="AI110" s="4" cm="1">
        <f t="array" ref="AI110">INDEX(GMW!$A$2:$NF$150,MATCH(1,(GMW!$NE$2:$NE$150=AI$3)*(GMW!$ND$2:$ND$150=AI$4)*(GMW!$NF$2:$NF$150=AI$1),0),$C110-1966)</f>
        <v>71.633330000000001</v>
      </c>
      <c r="AJ110" s="4" cm="1">
        <f t="array" ref="AJ110">INDEX(GMW!$A$2:$NF$150,MATCH(1,(GMW!$NE$2:$NE$150=AJ$3)*(GMW!$ND$2:$ND$150=AJ$4)*(GMW!$NF$2:$NF$150=AJ$1),0),$C110-1966)</f>
        <v>105093</v>
      </c>
      <c r="AK110" s="4" cm="1">
        <f t="array" ref="AK110">INDEX(GMW!$A$2:$NF$150,MATCH(1,(GMW!$NE$2:$NE$150=AK$3)*(GMW!$ND$2:$ND$150=AK$4)*(GMW!$NF$2:$NF$150=AK$1),0),$C110-1966)</f>
        <v>48941</v>
      </c>
      <c r="AL110" s="4" cm="1">
        <f t="array" ref="AL110">INDEX(GMW!$A$2:$NF$150,MATCH(1,(GMW!$NE$2:$NE$150=AL$3)*(GMW!$ND$2:$ND$150=AL$4)*(GMW!$NF$2:$NF$150=AL$1),0),$C110-1966)</f>
        <v>98825</v>
      </c>
      <c r="AM110" s="4" cm="1">
        <f t="array" ref="AM110">INDEX(GMW!$A$2:$NF$150,MATCH(1,(GMW!$NE$2:$NE$150=AM$3)*(GMW!$ND$2:$ND$150=AM$4)*(GMW!$NF$2:$NF$150=AM$1),0),$C110-1966)</f>
        <v>57208</v>
      </c>
      <c r="AN110" s="4" cm="1">
        <f t="array" ref="AN110">INDEX(GMW!$A$2:$NF$150,MATCH(1,(GMW!$NE$2:$NE$150=AN$3)*(GMW!$ND$2:$ND$150=AN$4)*(GMW!$NF$2:$NF$150=AN$1),0),$C110-1966)</f>
        <v>71589</v>
      </c>
      <c r="AO110" s="4" cm="1">
        <f t="array" ref="AO110">INDEX(GMW!$A$2:$NF$150,MATCH(1,(GMW!$NE$2:$NE$150=AO$3)*(GMW!$ND$2:$ND$150=AO$4)*(GMW!$NF$2:$NF$150=AO$1),0),$C110-1966)</f>
        <v>41424</v>
      </c>
      <c r="AP110" s="4" cm="1">
        <f t="array" ref="AP110">INDEX(GMW!$A$2:$NF$150,MATCH(1,(GMW!$NE$2:$NE$150=AP$3)*(GMW!$ND$2:$ND$150=AP$4)*(GMW!$NF$2:$NF$150=AP$1),0),$C110-1966)</f>
        <v>414237.5</v>
      </c>
      <c r="AQ110" s="4" cm="1">
        <f t="array" ref="AQ110">INDEX(GMW!$A$2:$NF$150,MATCH(1,(GMW!$NE$2:$NE$150=AQ$3)*(GMW!$ND$2:$ND$150=AQ$4)*(GMW!$NF$2:$NF$150=AQ$1),0),$C110-1966)</f>
        <v>26967.14</v>
      </c>
      <c r="AR110" s="4" cm="1">
        <f t="array" ref="AR110">INDEX(GMW!$A$2:$NF$150,MATCH(1,(GMW!$NE$2:$NE$150=AR$3)*(GMW!$ND$2:$ND$150=AR$4)*(GMW!$NF$2:$NF$150=AR$1),0),$C110-1966)</f>
        <v>32.799999999999997</v>
      </c>
      <c r="AS110" s="4" cm="1">
        <f t="array" ref="AS110">INDEX(GMW!$A$2:$NF$150,MATCH(1,(GMW!$NE$2:$NE$150=AS$3)*(GMW!$ND$2:$ND$150=AS$4)*(GMW!$NF$2:$NF$150=AS$1),0),$C110-1966)</f>
        <v>372081.5</v>
      </c>
      <c r="AT110" s="4" cm="1">
        <f t="array" ref="AT110">INDEX(GMW!$A$2:$NF$150,MATCH(1,(GMW!$NE$2:$NE$150=AT$3)*(GMW!$ND$2:$ND$150=AT$4)*(GMW!$NF$2:$NF$150=AT$1),0),$C110-1966)</f>
        <v>38017.89</v>
      </c>
      <c r="AU110" s="4" cm="1">
        <f t="array" ref="AU110">INDEX(GMW!$A$2:$NF$150,MATCH(1,(GMW!$NE$2:$NE$150=AU$3)*(GMW!$ND$2:$ND$150=AU$4)*(GMW!$NF$2:$NF$150=AU$1),0),$C110-1966)</f>
        <v>1937000</v>
      </c>
      <c r="AV110" s="4" cm="1">
        <f t="array" ref="AV110">INDEX(GMW!$A$2:$NF$150,MATCH(1,(GMW!$NE$2:$NE$150=AV$3)*(GMW!$ND$2:$ND$150=AV$4)*(GMW!$NF$2:$NF$150=AV$1),0),$C110-1966)</f>
        <v>-1.71373</v>
      </c>
    </row>
    <row r="111" spans="1:48" x14ac:dyDescent="0.25">
      <c r="A111" s="4">
        <v>1999</v>
      </c>
      <c r="B111" s="4">
        <f t="shared" si="6"/>
        <v>1999</v>
      </c>
      <c r="C111" s="4">
        <f t="shared" si="5"/>
        <v>2077</v>
      </c>
      <c r="D111" s="4" cm="1">
        <f t="array" ref="D111">INDEX(GMW!$A$2:$NF$150,MATCH(1,(GMW!$NE$2:$NE$150=D$3)*(GMW!$ND$2:$ND$150=D$4)*(GMW!$NF$2:$NF$150=D$1),0),$C111-1966)</f>
        <v>423875</v>
      </c>
      <c r="E111" s="4" cm="1">
        <f t="array" ref="E111">INDEX(GMW!$A$2:$NF$150,MATCH(1,(GMW!$NE$2:$NE$150=E$3)*(GMW!$ND$2:$ND$150=E$4)*(GMW!$NF$2:$NF$150=E$1),0),$C111-1966)</f>
        <v>71.599999999999994</v>
      </c>
      <c r="F111" s="4" cm="1">
        <f t="array" ref="F111">INDEX(GMW!$A$2:$NF$150,MATCH(1,(GMW!$NE$2:$NE$150=F$3)*(GMW!$ND$2:$ND$150=F$4)*(GMW!$NF$2:$NF$150=F$1),0),$C111-1966)</f>
        <v>105270</v>
      </c>
      <c r="G111" s="4" cm="1">
        <f t="array" ref="G111">INDEX(GMW!$A$2:$NF$150,MATCH(1,(GMW!$NE$2:$NE$150=G$3)*(GMW!$ND$2:$ND$150=G$4)*(GMW!$NF$2:$NF$150=G$1),0),$C111-1966)</f>
        <v>48191</v>
      </c>
      <c r="H111" s="4" cm="1">
        <f t="array" ref="H111">INDEX(GMW!$A$2:$NF$150,MATCH(1,(GMW!$NE$2:$NE$150=H$3)*(GMW!$ND$2:$ND$150=H$4)*(GMW!$NF$2:$NF$150=H$1),0),$C111-1966)</f>
        <v>101888</v>
      </c>
      <c r="I111" s="4" cm="1">
        <f t="array" ref="I111">INDEX(GMW!$A$2:$NF$150,MATCH(1,(GMW!$NE$2:$NE$150=I$3)*(GMW!$ND$2:$ND$150=I$4)*(GMW!$NF$2:$NF$150=I$1),0),$C111-1966)</f>
        <v>58048</v>
      </c>
      <c r="J111" s="4" cm="1">
        <f t="array" ref="J111">INDEX(GMW!$A$2:$NF$150,MATCH(1,(GMW!$NE$2:$NE$150=J$3)*(GMW!$ND$2:$ND$150=J$4)*(GMW!$NF$2:$NF$150=J$1),0),$C111-1966)</f>
        <v>71553</v>
      </c>
      <c r="K111" s="4" cm="1">
        <f t="array" ref="K111">INDEX(GMW!$A$2:$NF$150,MATCH(1,(GMW!$NE$2:$NE$150=K$3)*(GMW!$ND$2:$ND$150=K$4)*(GMW!$NF$2:$NF$150=K$1),0),$C111-1966)</f>
        <v>41135</v>
      </c>
      <c r="L111" s="4" cm="1">
        <f t="array" ref="L111">INDEX(GMW!$A$2:$NF$150,MATCH(1,(GMW!$NE$2:$NE$150=L$3)*(GMW!$ND$2:$ND$150=L$4)*(GMW!$NF$2:$NF$150=L$1),0),$C111-1966)</f>
        <v>418633.6</v>
      </c>
      <c r="M111" s="4" cm="1">
        <f t="array" ref="M111">INDEX(GMW!$A$2:$NF$150,MATCH(1,(GMW!$NE$2:$NE$150=M$3)*(GMW!$ND$2:$ND$150=M$4)*(GMW!$NF$2:$NF$150=M$1),0),$C111-1966)</f>
        <v>27115.86</v>
      </c>
      <c r="N111" s="4" cm="1">
        <f t="array" ref="N111">INDEX(GMW!$A$2:$NF$150,MATCH(1,(GMW!$NE$2:$NE$150=N$3)*(GMW!$ND$2:$ND$150=N$4)*(GMW!$NF$2:$NF$150=N$1),0),$C111-1966)</f>
        <v>32.9</v>
      </c>
      <c r="O111" s="4" cm="1">
        <f t="array" ref="O111">INDEX(GMW!$A$2:$NF$150,MATCH(1,(GMW!$NE$2:$NE$150=O$3)*(GMW!$ND$2:$ND$150=O$4)*(GMW!$NF$2:$NF$150=O$1),0),$C111-1966)</f>
        <v>373129.6</v>
      </c>
      <c r="P111" s="4" cm="1">
        <f t="array" ref="P111">INDEX(GMW!$A$2:$NF$150,MATCH(1,(GMW!$NE$2:$NE$150=P$3)*(GMW!$ND$2:$ND$150=P$4)*(GMW!$NF$2:$NF$150=P$1),0),$C111-1966)</f>
        <v>38069.9</v>
      </c>
      <c r="Q111" s="4" cm="1">
        <f t="array" ref="Q111">INDEX(GMW!$A$2:$NF$150,MATCH(1,(GMW!$NE$2:$NE$150=Q$3)*(GMW!$ND$2:$ND$150=Q$4)*(GMW!$NF$2:$NF$150=Q$1),0),$C111-1966)</f>
        <v>1955250</v>
      </c>
      <c r="R111" s="4" cm="1">
        <f t="array" ref="R111">INDEX(GMW!$A$2:$NF$150,MATCH(1,(GMW!$NE$2:$NE$150=R$3)*(GMW!$ND$2:$ND$150=R$4)*(GMW!$NF$2:$NF$150=R$1),0),$C111-1966)</f>
        <v>-1.7127019999999999</v>
      </c>
      <c r="S111" s="4" cm="1">
        <f t="array" ref="S111">INDEX(GMW!$A$2:$NF$150,MATCH(1,(GMW!$NE$2:$NE$150=S$3)*(GMW!$ND$2:$ND$150=S$4)*(GMW!$NF$2:$NF$150=S$1),0),$C111-1966)</f>
        <v>423875</v>
      </c>
      <c r="T111" s="4" cm="1">
        <f t="array" ref="T111">INDEX(GMW!$A$2:$NF$150,MATCH(1,(GMW!$NE$2:$NE$150=T$3)*(GMW!$ND$2:$ND$150=T$4)*(GMW!$NF$2:$NF$150=T$1),0),$C111-1966)</f>
        <v>71.599999999999994</v>
      </c>
      <c r="U111" s="4" cm="1">
        <f t="array" ref="U111">INDEX(GMW!$A$2:$NF$150,MATCH(1,(GMW!$NE$2:$NE$150=U$3)*(GMW!$ND$2:$ND$150=U$4)*(GMW!$NF$2:$NF$150=U$1),0),$C111-1966)</f>
        <v>105270</v>
      </c>
      <c r="V111" s="4" cm="1">
        <f t="array" ref="V111">INDEX(GMW!$A$2:$NF$150,MATCH(1,(GMW!$NE$2:$NE$150=V$3)*(GMW!$ND$2:$ND$150=V$4)*(GMW!$NF$2:$NF$150=V$1),0),$C111-1966)</f>
        <v>48191</v>
      </c>
      <c r="W111" s="4" cm="1">
        <f t="array" ref="W111">INDEX(GMW!$A$2:$NF$150,MATCH(1,(GMW!$NE$2:$NE$150=W$3)*(GMW!$ND$2:$ND$150=W$4)*(GMW!$NF$2:$NF$150=W$1),0),$C111-1966)</f>
        <v>101888</v>
      </c>
      <c r="X111" s="4" cm="1">
        <f t="array" ref="X111">INDEX(GMW!$A$2:$NF$150,MATCH(1,(GMW!$NE$2:$NE$150=X$3)*(GMW!$ND$2:$ND$150=X$4)*(GMW!$NF$2:$NF$150=X$1),0),$C111-1966)</f>
        <v>58048</v>
      </c>
      <c r="Y111" s="4" cm="1">
        <f t="array" ref="Y111">INDEX(GMW!$A$2:$NF$150,MATCH(1,(GMW!$NE$2:$NE$150=Y$3)*(GMW!$ND$2:$ND$150=Y$4)*(GMW!$NF$2:$NF$150=Y$1),0),$C111-1966)</f>
        <v>71553</v>
      </c>
      <c r="Z111" s="4" cm="1">
        <f t="array" ref="Z111">INDEX(GMW!$A$2:$NF$150,MATCH(1,(GMW!$NE$2:$NE$150=Z$3)*(GMW!$ND$2:$ND$150=Z$4)*(GMW!$NF$2:$NF$150=Z$1),0),$C111-1966)</f>
        <v>41135</v>
      </c>
      <c r="AA111" s="4" cm="1">
        <f t="array" ref="AA111">INDEX(GMW!$A$2:$NF$150,MATCH(1,(GMW!$NE$2:$NE$150=AA$3)*(GMW!$ND$2:$ND$150=AA$4)*(GMW!$NF$2:$NF$150=AA$1),0),$C111-1966)</f>
        <v>418633.6</v>
      </c>
      <c r="AB111" s="4" cm="1">
        <f t="array" ref="AB111">INDEX(GMW!$A$2:$NF$150,MATCH(1,(GMW!$NE$2:$NE$150=AB$3)*(GMW!$ND$2:$ND$150=AB$4)*(GMW!$NF$2:$NF$150=AB$1),0),$C111-1966)</f>
        <v>27115.86</v>
      </c>
      <c r="AC111" s="4" cm="1">
        <f t="array" ref="AC111">INDEX(GMW!$A$2:$NF$150,MATCH(1,(GMW!$NE$2:$NE$150=AC$3)*(GMW!$ND$2:$ND$150=AC$4)*(GMW!$NF$2:$NF$150=AC$1),0),$C111-1966)</f>
        <v>32.9</v>
      </c>
      <c r="AD111" s="4" cm="1">
        <f t="array" ref="AD111">INDEX(GMW!$A$2:$NF$150,MATCH(1,(GMW!$NE$2:$NE$150=AD$3)*(GMW!$ND$2:$ND$150=AD$4)*(GMW!$NF$2:$NF$150=AD$1),0),$C111-1966)</f>
        <v>373129.6</v>
      </c>
      <c r="AE111" s="4" cm="1">
        <f t="array" ref="AE111">INDEX(GMW!$A$2:$NF$150,MATCH(1,(GMW!$NE$2:$NE$150=AE$3)*(GMW!$ND$2:$ND$150=AE$4)*(GMW!$NF$2:$NF$150=AE$1),0),$C111-1966)</f>
        <v>38069.9</v>
      </c>
      <c r="AF111" s="4" cm="1">
        <f t="array" ref="AF111">INDEX(GMW!$A$2:$NF$150,MATCH(1,(GMW!$NE$2:$NE$150=AF$3)*(GMW!$ND$2:$ND$150=AF$4)*(GMW!$NF$2:$NF$150=AF$1),0),$C111-1966)</f>
        <v>1955250</v>
      </c>
      <c r="AG111" s="4" cm="1">
        <f t="array" ref="AG111">INDEX(GMW!$A$2:$NF$150,MATCH(1,(GMW!$NE$2:$NE$150=AG$3)*(GMW!$ND$2:$ND$150=AG$4)*(GMW!$NF$2:$NF$150=AG$1),0),$C111-1966)</f>
        <v>-1.7127019999999999</v>
      </c>
      <c r="AH111" s="4" cm="1">
        <f t="array" ref="AH111">INDEX(GMW!$A$2:$NF$150,MATCH(1,(GMW!$NE$2:$NE$150=AH$3)*(GMW!$ND$2:$ND$150=AH$4)*(GMW!$NF$2:$NF$150=AH$1),0),$C111-1966)</f>
        <v>423875</v>
      </c>
      <c r="AI111" s="4" cm="1">
        <f t="array" ref="AI111">INDEX(GMW!$A$2:$NF$150,MATCH(1,(GMW!$NE$2:$NE$150=AI$3)*(GMW!$ND$2:$ND$150=AI$4)*(GMW!$NF$2:$NF$150=AI$1),0),$C111-1966)</f>
        <v>71.599999999999994</v>
      </c>
      <c r="AJ111" s="4" cm="1">
        <f t="array" ref="AJ111">INDEX(GMW!$A$2:$NF$150,MATCH(1,(GMW!$NE$2:$NE$150=AJ$3)*(GMW!$ND$2:$ND$150=AJ$4)*(GMW!$NF$2:$NF$150=AJ$1),0),$C111-1966)</f>
        <v>105270</v>
      </c>
      <c r="AK111" s="4" cm="1">
        <f t="array" ref="AK111">INDEX(GMW!$A$2:$NF$150,MATCH(1,(GMW!$NE$2:$NE$150=AK$3)*(GMW!$ND$2:$ND$150=AK$4)*(GMW!$NF$2:$NF$150=AK$1),0),$C111-1966)</f>
        <v>48191</v>
      </c>
      <c r="AL111" s="4" cm="1">
        <f t="array" ref="AL111">INDEX(GMW!$A$2:$NF$150,MATCH(1,(GMW!$NE$2:$NE$150=AL$3)*(GMW!$ND$2:$ND$150=AL$4)*(GMW!$NF$2:$NF$150=AL$1),0),$C111-1966)</f>
        <v>101888</v>
      </c>
      <c r="AM111" s="4" cm="1">
        <f t="array" ref="AM111">INDEX(GMW!$A$2:$NF$150,MATCH(1,(GMW!$NE$2:$NE$150=AM$3)*(GMW!$ND$2:$ND$150=AM$4)*(GMW!$NF$2:$NF$150=AM$1),0),$C111-1966)</f>
        <v>58048</v>
      </c>
      <c r="AN111" s="4" cm="1">
        <f t="array" ref="AN111">INDEX(GMW!$A$2:$NF$150,MATCH(1,(GMW!$NE$2:$NE$150=AN$3)*(GMW!$ND$2:$ND$150=AN$4)*(GMW!$NF$2:$NF$150=AN$1),0),$C111-1966)</f>
        <v>71553</v>
      </c>
      <c r="AO111" s="4" cm="1">
        <f t="array" ref="AO111">INDEX(GMW!$A$2:$NF$150,MATCH(1,(GMW!$NE$2:$NE$150=AO$3)*(GMW!$ND$2:$ND$150=AO$4)*(GMW!$NF$2:$NF$150=AO$1),0),$C111-1966)</f>
        <v>41135</v>
      </c>
      <c r="AP111" s="4" cm="1">
        <f t="array" ref="AP111">INDEX(GMW!$A$2:$NF$150,MATCH(1,(GMW!$NE$2:$NE$150=AP$3)*(GMW!$ND$2:$ND$150=AP$4)*(GMW!$NF$2:$NF$150=AP$1),0),$C111-1966)</f>
        <v>418633.6</v>
      </c>
      <c r="AQ111" s="4" cm="1">
        <f t="array" ref="AQ111">INDEX(GMW!$A$2:$NF$150,MATCH(1,(GMW!$NE$2:$NE$150=AQ$3)*(GMW!$ND$2:$ND$150=AQ$4)*(GMW!$NF$2:$NF$150=AQ$1),0),$C111-1966)</f>
        <v>27115.86</v>
      </c>
      <c r="AR111" s="4" cm="1">
        <f t="array" ref="AR111">INDEX(GMW!$A$2:$NF$150,MATCH(1,(GMW!$NE$2:$NE$150=AR$3)*(GMW!$ND$2:$ND$150=AR$4)*(GMW!$NF$2:$NF$150=AR$1),0),$C111-1966)</f>
        <v>32.9</v>
      </c>
      <c r="AS111" s="4" cm="1">
        <f t="array" ref="AS111">INDEX(GMW!$A$2:$NF$150,MATCH(1,(GMW!$NE$2:$NE$150=AS$3)*(GMW!$ND$2:$ND$150=AS$4)*(GMW!$NF$2:$NF$150=AS$1),0),$C111-1966)</f>
        <v>373129.6</v>
      </c>
      <c r="AT111" s="4" cm="1">
        <f t="array" ref="AT111">INDEX(GMW!$A$2:$NF$150,MATCH(1,(GMW!$NE$2:$NE$150=AT$3)*(GMW!$ND$2:$ND$150=AT$4)*(GMW!$NF$2:$NF$150=AT$1),0),$C111-1966)</f>
        <v>38069.9</v>
      </c>
      <c r="AU111" s="4" cm="1">
        <f t="array" ref="AU111">INDEX(GMW!$A$2:$NF$150,MATCH(1,(GMW!$NE$2:$NE$150=AU$3)*(GMW!$ND$2:$ND$150=AU$4)*(GMW!$NF$2:$NF$150=AU$1),0),$C111-1966)</f>
        <v>1955250</v>
      </c>
      <c r="AV111" s="4" cm="1">
        <f t="array" ref="AV111">INDEX(GMW!$A$2:$NF$150,MATCH(1,(GMW!$NE$2:$NE$150=AV$3)*(GMW!$ND$2:$ND$150=AV$4)*(GMW!$NF$2:$NF$150=AV$1),0),$C111-1966)</f>
        <v>-1.7127019999999999</v>
      </c>
    </row>
    <row r="112" spans="1:48" x14ac:dyDescent="0.25">
      <c r="B112" s="4">
        <f t="shared" si="6"/>
        <v>1999</v>
      </c>
      <c r="C112" s="4">
        <f t="shared" si="5"/>
        <v>2078</v>
      </c>
      <c r="D112" s="4" cm="1">
        <f t="array" ref="D112">INDEX(GMW!$A$2:$NF$150,MATCH(1,(GMW!$NE$2:$NE$150=D$3)*(GMW!$ND$2:$ND$150=D$4)*(GMW!$NF$2:$NF$150=D$1),0),$C112-1966)</f>
        <v>425920</v>
      </c>
      <c r="E112" s="4" cm="1">
        <f t="array" ref="E112">INDEX(GMW!$A$2:$NF$150,MATCH(1,(GMW!$NE$2:$NE$150=E$3)*(GMW!$ND$2:$ND$150=E$4)*(GMW!$NF$2:$NF$150=E$1),0),$C112-1966)</f>
        <v>72.3</v>
      </c>
      <c r="F112" s="4" cm="1">
        <f t="array" ref="F112">INDEX(GMW!$A$2:$NF$150,MATCH(1,(GMW!$NE$2:$NE$150=F$3)*(GMW!$ND$2:$ND$150=F$4)*(GMW!$NF$2:$NF$150=F$1),0),$C112-1966)</f>
        <v>105502</v>
      </c>
      <c r="G112" s="4" cm="1">
        <f t="array" ref="G112">INDEX(GMW!$A$2:$NF$150,MATCH(1,(GMW!$NE$2:$NE$150=G$3)*(GMW!$ND$2:$ND$150=G$4)*(GMW!$NF$2:$NF$150=G$1),0),$C112-1966)</f>
        <v>50236</v>
      </c>
      <c r="H112" s="4" cm="1">
        <f t="array" ref="H112">INDEX(GMW!$A$2:$NF$150,MATCH(1,(GMW!$NE$2:$NE$150=H$3)*(GMW!$ND$2:$ND$150=H$4)*(GMW!$NF$2:$NF$150=H$1),0),$C112-1966)</f>
        <v>103093</v>
      </c>
      <c r="I112" s="4" cm="1">
        <f t="array" ref="I112">INDEX(GMW!$A$2:$NF$150,MATCH(1,(GMW!$NE$2:$NE$150=I$3)*(GMW!$ND$2:$ND$150=I$4)*(GMW!$NF$2:$NF$150=I$1),0),$C112-1966)</f>
        <v>59611</v>
      </c>
      <c r="J112" s="4" cm="1">
        <f t="array" ref="J112">INDEX(GMW!$A$2:$NF$150,MATCH(1,(GMW!$NE$2:$NE$150=J$3)*(GMW!$ND$2:$ND$150=J$4)*(GMW!$NF$2:$NF$150=J$1),0),$C112-1966)</f>
        <v>71631</v>
      </c>
      <c r="K112" s="4" cm="1">
        <f t="array" ref="K112">INDEX(GMW!$A$2:$NF$150,MATCH(1,(GMW!$NE$2:$NE$150=K$3)*(GMW!$ND$2:$ND$150=K$4)*(GMW!$NF$2:$NF$150=K$1),0),$C112-1966)</f>
        <v>41175</v>
      </c>
      <c r="L112" s="4" cm="1">
        <f t="array" ref="L112">INDEX(GMW!$A$2:$NF$150,MATCH(1,(GMW!$NE$2:$NE$150=L$3)*(GMW!$ND$2:$ND$150=L$4)*(GMW!$NF$2:$NF$150=L$1),0),$C112-1966)</f>
        <v>421081</v>
      </c>
      <c r="M112" s="4" cm="1">
        <f t="array" ref="M112">INDEX(GMW!$A$2:$NF$150,MATCH(1,(GMW!$NE$2:$NE$150=M$3)*(GMW!$ND$2:$ND$150=M$4)*(GMW!$NF$2:$NF$150=M$1),0),$C112-1966)</f>
        <v>27165.4</v>
      </c>
      <c r="N112" s="4" cm="1">
        <f t="array" ref="N112">INDEX(GMW!$A$2:$NF$150,MATCH(1,(GMW!$NE$2:$NE$150=N$3)*(GMW!$ND$2:$ND$150=N$4)*(GMW!$NF$2:$NF$150=N$1),0),$C112-1966)</f>
        <v>32.9</v>
      </c>
      <c r="O112" s="4" cm="1">
        <f t="array" ref="O112">INDEX(GMW!$A$2:$NF$150,MATCH(1,(GMW!$NE$2:$NE$150=O$3)*(GMW!$ND$2:$ND$150=O$4)*(GMW!$NF$2:$NF$150=O$1),0),$C112-1966)</f>
        <v>374054.2</v>
      </c>
      <c r="P112" s="4" cm="1">
        <f t="array" ref="P112">INDEX(GMW!$A$2:$NF$150,MATCH(1,(GMW!$NE$2:$NE$150=P$3)*(GMW!$ND$2:$ND$150=P$4)*(GMW!$NF$2:$NF$150=P$1),0),$C112-1966)</f>
        <v>38121.9</v>
      </c>
      <c r="Q112" s="4" cm="1">
        <f t="array" ref="Q112">INDEX(GMW!$A$2:$NF$150,MATCH(1,(GMW!$NE$2:$NE$150=Q$3)*(GMW!$ND$2:$ND$150=Q$4)*(GMW!$NF$2:$NF$150=Q$1),0),$C112-1966)</f>
        <v>1973500</v>
      </c>
      <c r="R112" s="4" cm="1">
        <f t="array" ref="R112">INDEX(GMW!$A$2:$NF$150,MATCH(1,(GMW!$NE$2:$NE$150=R$3)*(GMW!$ND$2:$ND$150=R$4)*(GMW!$NF$2:$NF$150=R$1),0),$C112-1966)</f>
        <v>-1.7116750000000001</v>
      </c>
      <c r="S112" s="4" cm="1">
        <f t="array" ref="S112">INDEX(GMW!$A$2:$NF$150,MATCH(1,(GMW!$NE$2:$NE$150=S$3)*(GMW!$ND$2:$ND$150=S$4)*(GMW!$NF$2:$NF$150=S$1),0),$C112-1966)</f>
        <v>425920</v>
      </c>
      <c r="T112" s="4" cm="1">
        <f t="array" ref="T112">INDEX(GMW!$A$2:$NF$150,MATCH(1,(GMW!$NE$2:$NE$150=T$3)*(GMW!$ND$2:$ND$150=T$4)*(GMW!$NF$2:$NF$150=T$1),0),$C112-1966)</f>
        <v>72.3</v>
      </c>
      <c r="U112" s="4" cm="1">
        <f t="array" ref="U112">INDEX(GMW!$A$2:$NF$150,MATCH(1,(GMW!$NE$2:$NE$150=U$3)*(GMW!$ND$2:$ND$150=U$4)*(GMW!$NF$2:$NF$150=U$1),0),$C112-1966)</f>
        <v>105502</v>
      </c>
      <c r="V112" s="4" cm="1">
        <f t="array" ref="V112">INDEX(GMW!$A$2:$NF$150,MATCH(1,(GMW!$NE$2:$NE$150=V$3)*(GMW!$ND$2:$ND$150=V$4)*(GMW!$NF$2:$NF$150=V$1),0),$C112-1966)</f>
        <v>50236</v>
      </c>
      <c r="W112" s="4" cm="1">
        <f t="array" ref="W112">INDEX(GMW!$A$2:$NF$150,MATCH(1,(GMW!$NE$2:$NE$150=W$3)*(GMW!$ND$2:$ND$150=W$4)*(GMW!$NF$2:$NF$150=W$1),0),$C112-1966)</f>
        <v>103093</v>
      </c>
      <c r="X112" s="4" cm="1">
        <f t="array" ref="X112">INDEX(GMW!$A$2:$NF$150,MATCH(1,(GMW!$NE$2:$NE$150=X$3)*(GMW!$ND$2:$ND$150=X$4)*(GMW!$NF$2:$NF$150=X$1),0),$C112-1966)</f>
        <v>59611</v>
      </c>
      <c r="Y112" s="4" cm="1">
        <f t="array" ref="Y112">INDEX(GMW!$A$2:$NF$150,MATCH(1,(GMW!$NE$2:$NE$150=Y$3)*(GMW!$ND$2:$ND$150=Y$4)*(GMW!$NF$2:$NF$150=Y$1),0),$C112-1966)</f>
        <v>71631</v>
      </c>
      <c r="Z112" s="4" cm="1">
        <f t="array" ref="Z112">INDEX(GMW!$A$2:$NF$150,MATCH(1,(GMW!$NE$2:$NE$150=Z$3)*(GMW!$ND$2:$ND$150=Z$4)*(GMW!$NF$2:$NF$150=Z$1),0),$C112-1966)</f>
        <v>41175</v>
      </c>
      <c r="AA112" s="4" cm="1">
        <f t="array" ref="AA112">INDEX(GMW!$A$2:$NF$150,MATCH(1,(GMW!$NE$2:$NE$150=AA$3)*(GMW!$ND$2:$ND$150=AA$4)*(GMW!$NF$2:$NF$150=AA$1),0),$C112-1966)</f>
        <v>421081</v>
      </c>
      <c r="AB112" s="4" cm="1">
        <f t="array" ref="AB112">INDEX(GMW!$A$2:$NF$150,MATCH(1,(GMW!$NE$2:$NE$150=AB$3)*(GMW!$ND$2:$ND$150=AB$4)*(GMW!$NF$2:$NF$150=AB$1),0),$C112-1966)</f>
        <v>27165.4</v>
      </c>
      <c r="AC112" s="4" cm="1">
        <f t="array" ref="AC112">INDEX(GMW!$A$2:$NF$150,MATCH(1,(GMW!$NE$2:$NE$150=AC$3)*(GMW!$ND$2:$ND$150=AC$4)*(GMW!$NF$2:$NF$150=AC$1),0),$C112-1966)</f>
        <v>32.9</v>
      </c>
      <c r="AD112" s="4" cm="1">
        <f t="array" ref="AD112">INDEX(GMW!$A$2:$NF$150,MATCH(1,(GMW!$NE$2:$NE$150=AD$3)*(GMW!$ND$2:$ND$150=AD$4)*(GMW!$NF$2:$NF$150=AD$1),0),$C112-1966)</f>
        <v>374054.2</v>
      </c>
      <c r="AE112" s="4" cm="1">
        <f t="array" ref="AE112">INDEX(GMW!$A$2:$NF$150,MATCH(1,(GMW!$NE$2:$NE$150=AE$3)*(GMW!$ND$2:$ND$150=AE$4)*(GMW!$NF$2:$NF$150=AE$1),0),$C112-1966)</f>
        <v>38121.9</v>
      </c>
      <c r="AF112" s="4" cm="1">
        <f t="array" ref="AF112">INDEX(GMW!$A$2:$NF$150,MATCH(1,(GMW!$NE$2:$NE$150=AF$3)*(GMW!$ND$2:$ND$150=AF$4)*(GMW!$NF$2:$NF$150=AF$1),0),$C112-1966)</f>
        <v>1973500</v>
      </c>
      <c r="AG112" s="4" cm="1">
        <f t="array" ref="AG112">INDEX(GMW!$A$2:$NF$150,MATCH(1,(GMW!$NE$2:$NE$150=AG$3)*(GMW!$ND$2:$ND$150=AG$4)*(GMW!$NF$2:$NF$150=AG$1),0),$C112-1966)</f>
        <v>-1.7116750000000001</v>
      </c>
      <c r="AH112" s="4" cm="1">
        <f t="array" ref="AH112">INDEX(GMW!$A$2:$NF$150,MATCH(1,(GMW!$NE$2:$NE$150=AH$3)*(GMW!$ND$2:$ND$150=AH$4)*(GMW!$NF$2:$NF$150=AH$1),0),$C112-1966)</f>
        <v>425920</v>
      </c>
      <c r="AI112" s="4" cm="1">
        <f t="array" ref="AI112">INDEX(GMW!$A$2:$NF$150,MATCH(1,(GMW!$NE$2:$NE$150=AI$3)*(GMW!$ND$2:$ND$150=AI$4)*(GMW!$NF$2:$NF$150=AI$1),0),$C112-1966)</f>
        <v>72.3</v>
      </c>
      <c r="AJ112" s="4" cm="1">
        <f t="array" ref="AJ112">INDEX(GMW!$A$2:$NF$150,MATCH(1,(GMW!$NE$2:$NE$150=AJ$3)*(GMW!$ND$2:$ND$150=AJ$4)*(GMW!$NF$2:$NF$150=AJ$1),0),$C112-1966)</f>
        <v>105502</v>
      </c>
      <c r="AK112" s="4" cm="1">
        <f t="array" ref="AK112">INDEX(GMW!$A$2:$NF$150,MATCH(1,(GMW!$NE$2:$NE$150=AK$3)*(GMW!$ND$2:$ND$150=AK$4)*(GMW!$NF$2:$NF$150=AK$1),0),$C112-1966)</f>
        <v>50236</v>
      </c>
      <c r="AL112" s="4" cm="1">
        <f t="array" ref="AL112">INDEX(GMW!$A$2:$NF$150,MATCH(1,(GMW!$NE$2:$NE$150=AL$3)*(GMW!$ND$2:$ND$150=AL$4)*(GMW!$NF$2:$NF$150=AL$1),0),$C112-1966)</f>
        <v>103093</v>
      </c>
      <c r="AM112" s="4" cm="1">
        <f t="array" ref="AM112">INDEX(GMW!$A$2:$NF$150,MATCH(1,(GMW!$NE$2:$NE$150=AM$3)*(GMW!$ND$2:$ND$150=AM$4)*(GMW!$NF$2:$NF$150=AM$1),0),$C112-1966)</f>
        <v>59611</v>
      </c>
      <c r="AN112" s="4" cm="1">
        <f t="array" ref="AN112">INDEX(GMW!$A$2:$NF$150,MATCH(1,(GMW!$NE$2:$NE$150=AN$3)*(GMW!$ND$2:$ND$150=AN$4)*(GMW!$NF$2:$NF$150=AN$1),0),$C112-1966)</f>
        <v>71631</v>
      </c>
      <c r="AO112" s="4" cm="1">
        <f t="array" ref="AO112">INDEX(GMW!$A$2:$NF$150,MATCH(1,(GMW!$NE$2:$NE$150=AO$3)*(GMW!$ND$2:$ND$150=AO$4)*(GMW!$NF$2:$NF$150=AO$1),0),$C112-1966)</f>
        <v>41175</v>
      </c>
      <c r="AP112" s="4" cm="1">
        <f t="array" ref="AP112">INDEX(GMW!$A$2:$NF$150,MATCH(1,(GMW!$NE$2:$NE$150=AP$3)*(GMW!$ND$2:$ND$150=AP$4)*(GMW!$NF$2:$NF$150=AP$1),0),$C112-1966)</f>
        <v>421081</v>
      </c>
      <c r="AQ112" s="4" cm="1">
        <f t="array" ref="AQ112">INDEX(GMW!$A$2:$NF$150,MATCH(1,(GMW!$NE$2:$NE$150=AQ$3)*(GMW!$ND$2:$ND$150=AQ$4)*(GMW!$NF$2:$NF$150=AQ$1),0),$C112-1966)</f>
        <v>27165.4</v>
      </c>
      <c r="AR112" s="4" cm="1">
        <f t="array" ref="AR112">INDEX(GMW!$A$2:$NF$150,MATCH(1,(GMW!$NE$2:$NE$150=AR$3)*(GMW!$ND$2:$ND$150=AR$4)*(GMW!$NF$2:$NF$150=AR$1),0),$C112-1966)</f>
        <v>32.9</v>
      </c>
      <c r="AS112" s="4" cm="1">
        <f t="array" ref="AS112">INDEX(GMW!$A$2:$NF$150,MATCH(1,(GMW!$NE$2:$NE$150=AS$3)*(GMW!$ND$2:$ND$150=AS$4)*(GMW!$NF$2:$NF$150=AS$1),0),$C112-1966)</f>
        <v>374054.2</v>
      </c>
      <c r="AT112" s="4" cm="1">
        <f t="array" ref="AT112">INDEX(GMW!$A$2:$NF$150,MATCH(1,(GMW!$NE$2:$NE$150=AT$3)*(GMW!$ND$2:$ND$150=AT$4)*(GMW!$NF$2:$NF$150=AT$1),0),$C112-1966)</f>
        <v>38121.9</v>
      </c>
      <c r="AU112" s="4" cm="1">
        <f t="array" ref="AU112">INDEX(GMW!$A$2:$NF$150,MATCH(1,(GMW!$NE$2:$NE$150=AU$3)*(GMW!$ND$2:$ND$150=AU$4)*(GMW!$NF$2:$NF$150=AU$1),0),$C112-1966)</f>
        <v>1973500</v>
      </c>
      <c r="AV112" s="4" cm="1">
        <f t="array" ref="AV112">INDEX(GMW!$A$2:$NF$150,MATCH(1,(GMW!$NE$2:$NE$150=AV$3)*(GMW!$ND$2:$ND$150=AV$4)*(GMW!$NF$2:$NF$150=AV$1),0),$C112-1966)</f>
        <v>-1.7116750000000001</v>
      </c>
    </row>
    <row r="113" spans="1:48" x14ac:dyDescent="0.25">
      <c r="B113" s="4">
        <f t="shared" si="6"/>
        <v>1999</v>
      </c>
      <c r="C113" s="4">
        <f t="shared" ref="C113:C176" si="7">+C112+1</f>
        <v>2079</v>
      </c>
      <c r="D113" s="4" cm="1">
        <f t="array" ref="D113">INDEX(GMW!$A$2:$NF$150,MATCH(1,(GMW!$NE$2:$NE$150=D$3)*(GMW!$ND$2:$ND$150=D$4)*(GMW!$NF$2:$NF$150=D$1),0),$C113-1966)</f>
        <v>432860</v>
      </c>
      <c r="E113" s="4" cm="1">
        <f t="array" ref="E113">INDEX(GMW!$A$2:$NF$150,MATCH(1,(GMW!$NE$2:$NE$150=E$3)*(GMW!$ND$2:$ND$150=E$4)*(GMW!$NF$2:$NF$150=E$1),0),$C113-1966)</f>
        <v>72.133330000000001</v>
      </c>
      <c r="F113" s="4" cm="1">
        <f t="array" ref="F113">INDEX(GMW!$A$2:$NF$150,MATCH(1,(GMW!$NE$2:$NE$150=F$3)*(GMW!$ND$2:$ND$150=F$4)*(GMW!$NF$2:$NF$150=F$1),0),$C113-1966)</f>
        <v>111906</v>
      </c>
      <c r="G113" s="4" cm="1">
        <f t="array" ref="G113">INDEX(GMW!$A$2:$NF$150,MATCH(1,(GMW!$NE$2:$NE$150=G$3)*(GMW!$ND$2:$ND$150=G$4)*(GMW!$NF$2:$NF$150=G$1),0),$C113-1966)</f>
        <v>53818</v>
      </c>
      <c r="H113" s="4" cm="1">
        <f t="array" ref="H113">INDEX(GMW!$A$2:$NF$150,MATCH(1,(GMW!$NE$2:$NE$150=H$3)*(GMW!$ND$2:$ND$150=H$4)*(GMW!$NF$2:$NF$150=H$1),0),$C113-1966)</f>
        <v>106806</v>
      </c>
      <c r="I113" s="4" cm="1">
        <f t="array" ref="I113">INDEX(GMW!$A$2:$NF$150,MATCH(1,(GMW!$NE$2:$NE$150=I$3)*(GMW!$ND$2:$ND$150=I$4)*(GMW!$NF$2:$NF$150=I$1),0),$C113-1966)</f>
        <v>65111</v>
      </c>
      <c r="J113" s="4" cm="1">
        <f t="array" ref="J113">INDEX(GMW!$A$2:$NF$150,MATCH(1,(GMW!$NE$2:$NE$150=J$3)*(GMW!$ND$2:$ND$150=J$4)*(GMW!$NF$2:$NF$150=J$1),0),$C113-1966)</f>
        <v>72785</v>
      </c>
      <c r="K113" s="4" cm="1">
        <f t="array" ref="K113">INDEX(GMW!$A$2:$NF$150,MATCH(1,(GMW!$NE$2:$NE$150=K$3)*(GMW!$ND$2:$ND$150=K$4)*(GMW!$NF$2:$NF$150=K$1),0),$C113-1966)</f>
        <v>42369</v>
      </c>
      <c r="L113" s="4" cm="1">
        <f t="array" ref="L113">INDEX(GMW!$A$2:$NF$150,MATCH(1,(GMW!$NE$2:$NE$150=L$3)*(GMW!$ND$2:$ND$150=L$4)*(GMW!$NF$2:$NF$150=L$1),0),$C113-1966)</f>
        <v>424298.3</v>
      </c>
      <c r="M113" s="4" cm="1">
        <f t="array" ref="M113">INDEX(GMW!$A$2:$NF$150,MATCH(1,(GMW!$NE$2:$NE$150=M$3)*(GMW!$ND$2:$ND$150=M$4)*(GMW!$NF$2:$NF$150=M$1),0),$C113-1966)</f>
        <v>27271.56</v>
      </c>
      <c r="N113" s="4" cm="1">
        <f t="array" ref="N113">INDEX(GMW!$A$2:$NF$150,MATCH(1,(GMW!$NE$2:$NE$150=N$3)*(GMW!$ND$2:$ND$150=N$4)*(GMW!$NF$2:$NF$150=N$1),0),$C113-1966)</f>
        <v>32.9</v>
      </c>
      <c r="O113" s="4" cm="1">
        <f t="array" ref="O113">INDEX(GMW!$A$2:$NF$150,MATCH(1,(GMW!$NE$2:$NE$150=O$3)*(GMW!$ND$2:$ND$150=O$4)*(GMW!$NF$2:$NF$150=O$1),0),$C113-1966)</f>
        <v>375671.4</v>
      </c>
      <c r="P113" s="4" cm="1">
        <f t="array" ref="P113">INDEX(GMW!$A$2:$NF$150,MATCH(1,(GMW!$NE$2:$NE$150=P$3)*(GMW!$ND$2:$ND$150=P$4)*(GMW!$NF$2:$NF$150=P$1),0),$C113-1966)</f>
        <v>38185.07</v>
      </c>
      <c r="Q113" s="4" cm="1">
        <f t="array" ref="Q113">INDEX(GMW!$A$2:$NF$150,MATCH(1,(GMW!$NE$2:$NE$150=Q$3)*(GMW!$ND$2:$ND$150=Q$4)*(GMW!$NF$2:$NF$150=Q$1),0),$C113-1966)</f>
        <v>1991750</v>
      </c>
      <c r="R113" s="4" cm="1">
        <f t="array" ref="R113">INDEX(GMW!$A$2:$NF$150,MATCH(1,(GMW!$NE$2:$NE$150=R$3)*(GMW!$ND$2:$ND$150=R$4)*(GMW!$NF$2:$NF$150=R$1),0),$C113-1966)</f>
        <v>-1.7106479999999999</v>
      </c>
      <c r="S113" s="4" cm="1">
        <f t="array" ref="S113">INDEX(GMW!$A$2:$NF$150,MATCH(1,(GMW!$NE$2:$NE$150=S$3)*(GMW!$ND$2:$ND$150=S$4)*(GMW!$NF$2:$NF$150=S$1),0),$C113-1966)</f>
        <v>432860</v>
      </c>
      <c r="T113" s="4" cm="1">
        <f t="array" ref="T113">INDEX(GMW!$A$2:$NF$150,MATCH(1,(GMW!$NE$2:$NE$150=T$3)*(GMW!$ND$2:$ND$150=T$4)*(GMW!$NF$2:$NF$150=T$1),0),$C113-1966)</f>
        <v>72.133330000000001</v>
      </c>
      <c r="U113" s="4" cm="1">
        <f t="array" ref="U113">INDEX(GMW!$A$2:$NF$150,MATCH(1,(GMW!$NE$2:$NE$150=U$3)*(GMW!$ND$2:$ND$150=U$4)*(GMW!$NF$2:$NF$150=U$1),0),$C113-1966)</f>
        <v>111906</v>
      </c>
      <c r="V113" s="4" cm="1">
        <f t="array" ref="V113">INDEX(GMW!$A$2:$NF$150,MATCH(1,(GMW!$NE$2:$NE$150=V$3)*(GMW!$ND$2:$ND$150=V$4)*(GMW!$NF$2:$NF$150=V$1),0),$C113-1966)</f>
        <v>53818</v>
      </c>
      <c r="W113" s="4" cm="1">
        <f t="array" ref="W113">INDEX(GMW!$A$2:$NF$150,MATCH(1,(GMW!$NE$2:$NE$150=W$3)*(GMW!$ND$2:$ND$150=W$4)*(GMW!$NF$2:$NF$150=W$1),0),$C113-1966)</f>
        <v>106806</v>
      </c>
      <c r="X113" s="4" cm="1">
        <f t="array" ref="X113">INDEX(GMW!$A$2:$NF$150,MATCH(1,(GMW!$NE$2:$NE$150=X$3)*(GMW!$ND$2:$ND$150=X$4)*(GMW!$NF$2:$NF$150=X$1),0),$C113-1966)</f>
        <v>65111</v>
      </c>
      <c r="Y113" s="4" cm="1">
        <f t="array" ref="Y113">INDEX(GMW!$A$2:$NF$150,MATCH(1,(GMW!$NE$2:$NE$150=Y$3)*(GMW!$ND$2:$ND$150=Y$4)*(GMW!$NF$2:$NF$150=Y$1),0),$C113-1966)</f>
        <v>72785</v>
      </c>
      <c r="Z113" s="4" cm="1">
        <f t="array" ref="Z113">INDEX(GMW!$A$2:$NF$150,MATCH(1,(GMW!$NE$2:$NE$150=Z$3)*(GMW!$ND$2:$ND$150=Z$4)*(GMW!$NF$2:$NF$150=Z$1),0),$C113-1966)</f>
        <v>42369</v>
      </c>
      <c r="AA113" s="4" cm="1">
        <f t="array" ref="AA113">INDEX(GMW!$A$2:$NF$150,MATCH(1,(GMW!$NE$2:$NE$150=AA$3)*(GMW!$ND$2:$ND$150=AA$4)*(GMW!$NF$2:$NF$150=AA$1),0),$C113-1966)</f>
        <v>424298.3</v>
      </c>
      <c r="AB113" s="4" cm="1">
        <f t="array" ref="AB113">INDEX(GMW!$A$2:$NF$150,MATCH(1,(GMW!$NE$2:$NE$150=AB$3)*(GMW!$ND$2:$ND$150=AB$4)*(GMW!$NF$2:$NF$150=AB$1),0),$C113-1966)</f>
        <v>27271.56</v>
      </c>
      <c r="AC113" s="4" cm="1">
        <f t="array" ref="AC113">INDEX(GMW!$A$2:$NF$150,MATCH(1,(GMW!$NE$2:$NE$150=AC$3)*(GMW!$ND$2:$ND$150=AC$4)*(GMW!$NF$2:$NF$150=AC$1),0),$C113-1966)</f>
        <v>32.9</v>
      </c>
      <c r="AD113" s="4" cm="1">
        <f t="array" ref="AD113">INDEX(GMW!$A$2:$NF$150,MATCH(1,(GMW!$NE$2:$NE$150=AD$3)*(GMW!$ND$2:$ND$150=AD$4)*(GMW!$NF$2:$NF$150=AD$1),0),$C113-1966)</f>
        <v>375671.4</v>
      </c>
      <c r="AE113" s="4" cm="1">
        <f t="array" ref="AE113">INDEX(GMW!$A$2:$NF$150,MATCH(1,(GMW!$NE$2:$NE$150=AE$3)*(GMW!$ND$2:$ND$150=AE$4)*(GMW!$NF$2:$NF$150=AE$1),0),$C113-1966)</f>
        <v>38185.07</v>
      </c>
      <c r="AF113" s="4" cm="1">
        <f t="array" ref="AF113">INDEX(GMW!$A$2:$NF$150,MATCH(1,(GMW!$NE$2:$NE$150=AF$3)*(GMW!$ND$2:$ND$150=AF$4)*(GMW!$NF$2:$NF$150=AF$1),0),$C113-1966)</f>
        <v>1991750</v>
      </c>
      <c r="AG113" s="4" cm="1">
        <f t="array" ref="AG113">INDEX(GMW!$A$2:$NF$150,MATCH(1,(GMW!$NE$2:$NE$150=AG$3)*(GMW!$ND$2:$ND$150=AG$4)*(GMW!$NF$2:$NF$150=AG$1),0),$C113-1966)</f>
        <v>-1.7106479999999999</v>
      </c>
      <c r="AH113" s="4" cm="1">
        <f t="array" ref="AH113">INDEX(GMW!$A$2:$NF$150,MATCH(1,(GMW!$NE$2:$NE$150=AH$3)*(GMW!$ND$2:$ND$150=AH$4)*(GMW!$NF$2:$NF$150=AH$1),0),$C113-1966)</f>
        <v>432860</v>
      </c>
      <c r="AI113" s="4" cm="1">
        <f t="array" ref="AI113">INDEX(GMW!$A$2:$NF$150,MATCH(1,(GMW!$NE$2:$NE$150=AI$3)*(GMW!$ND$2:$ND$150=AI$4)*(GMW!$NF$2:$NF$150=AI$1),0),$C113-1966)</f>
        <v>72.133330000000001</v>
      </c>
      <c r="AJ113" s="4" cm="1">
        <f t="array" ref="AJ113">INDEX(GMW!$A$2:$NF$150,MATCH(1,(GMW!$NE$2:$NE$150=AJ$3)*(GMW!$ND$2:$ND$150=AJ$4)*(GMW!$NF$2:$NF$150=AJ$1),0),$C113-1966)</f>
        <v>111906</v>
      </c>
      <c r="AK113" s="4" cm="1">
        <f t="array" ref="AK113">INDEX(GMW!$A$2:$NF$150,MATCH(1,(GMW!$NE$2:$NE$150=AK$3)*(GMW!$ND$2:$ND$150=AK$4)*(GMW!$NF$2:$NF$150=AK$1),0),$C113-1966)</f>
        <v>53818</v>
      </c>
      <c r="AL113" s="4" cm="1">
        <f t="array" ref="AL113">INDEX(GMW!$A$2:$NF$150,MATCH(1,(GMW!$NE$2:$NE$150=AL$3)*(GMW!$ND$2:$ND$150=AL$4)*(GMW!$NF$2:$NF$150=AL$1),0),$C113-1966)</f>
        <v>106806</v>
      </c>
      <c r="AM113" s="4" cm="1">
        <f t="array" ref="AM113">INDEX(GMW!$A$2:$NF$150,MATCH(1,(GMW!$NE$2:$NE$150=AM$3)*(GMW!$ND$2:$ND$150=AM$4)*(GMW!$NF$2:$NF$150=AM$1),0),$C113-1966)</f>
        <v>65111</v>
      </c>
      <c r="AN113" s="4" cm="1">
        <f t="array" ref="AN113">INDEX(GMW!$A$2:$NF$150,MATCH(1,(GMW!$NE$2:$NE$150=AN$3)*(GMW!$ND$2:$ND$150=AN$4)*(GMW!$NF$2:$NF$150=AN$1),0),$C113-1966)</f>
        <v>72785</v>
      </c>
      <c r="AO113" s="4" cm="1">
        <f t="array" ref="AO113">INDEX(GMW!$A$2:$NF$150,MATCH(1,(GMW!$NE$2:$NE$150=AO$3)*(GMW!$ND$2:$ND$150=AO$4)*(GMW!$NF$2:$NF$150=AO$1),0),$C113-1966)</f>
        <v>42369</v>
      </c>
      <c r="AP113" s="4" cm="1">
        <f t="array" ref="AP113">INDEX(GMW!$A$2:$NF$150,MATCH(1,(GMW!$NE$2:$NE$150=AP$3)*(GMW!$ND$2:$ND$150=AP$4)*(GMW!$NF$2:$NF$150=AP$1),0),$C113-1966)</f>
        <v>424298.3</v>
      </c>
      <c r="AQ113" s="4" cm="1">
        <f t="array" ref="AQ113">INDEX(GMW!$A$2:$NF$150,MATCH(1,(GMW!$NE$2:$NE$150=AQ$3)*(GMW!$ND$2:$ND$150=AQ$4)*(GMW!$NF$2:$NF$150=AQ$1),0),$C113-1966)</f>
        <v>27271.56</v>
      </c>
      <c r="AR113" s="4" cm="1">
        <f t="array" ref="AR113">INDEX(GMW!$A$2:$NF$150,MATCH(1,(GMW!$NE$2:$NE$150=AR$3)*(GMW!$ND$2:$ND$150=AR$4)*(GMW!$NF$2:$NF$150=AR$1),0),$C113-1966)</f>
        <v>32.9</v>
      </c>
      <c r="AS113" s="4" cm="1">
        <f t="array" ref="AS113">INDEX(GMW!$A$2:$NF$150,MATCH(1,(GMW!$NE$2:$NE$150=AS$3)*(GMW!$ND$2:$ND$150=AS$4)*(GMW!$NF$2:$NF$150=AS$1),0),$C113-1966)</f>
        <v>375671.4</v>
      </c>
      <c r="AT113" s="4" cm="1">
        <f t="array" ref="AT113">INDEX(GMW!$A$2:$NF$150,MATCH(1,(GMW!$NE$2:$NE$150=AT$3)*(GMW!$ND$2:$ND$150=AT$4)*(GMW!$NF$2:$NF$150=AT$1),0),$C113-1966)</f>
        <v>38185.07</v>
      </c>
      <c r="AU113" s="4" cm="1">
        <f t="array" ref="AU113">INDEX(GMW!$A$2:$NF$150,MATCH(1,(GMW!$NE$2:$NE$150=AU$3)*(GMW!$ND$2:$ND$150=AU$4)*(GMW!$NF$2:$NF$150=AU$1),0),$C113-1966)</f>
        <v>1991750</v>
      </c>
      <c r="AV113" s="4" cm="1">
        <f t="array" ref="AV113">INDEX(GMW!$A$2:$NF$150,MATCH(1,(GMW!$NE$2:$NE$150=AV$3)*(GMW!$ND$2:$ND$150=AV$4)*(GMW!$NF$2:$NF$150=AV$1),0),$C113-1966)</f>
        <v>-1.7106479999999999</v>
      </c>
    </row>
    <row r="114" spans="1:48" x14ac:dyDescent="0.25">
      <c r="B114" s="4">
        <f t="shared" si="6"/>
        <v>1999</v>
      </c>
      <c r="C114" s="4">
        <f t="shared" si="7"/>
        <v>2080</v>
      </c>
      <c r="D114" s="4" cm="1">
        <f t="array" ref="D114">INDEX(GMW!$A$2:$NF$150,MATCH(1,(GMW!$NE$2:$NE$150=D$3)*(GMW!$ND$2:$ND$150=D$4)*(GMW!$NF$2:$NF$150=D$1),0),$C114-1966)</f>
        <v>439093</v>
      </c>
      <c r="E114" s="4" cm="1">
        <f t="array" ref="E114">INDEX(GMW!$A$2:$NF$150,MATCH(1,(GMW!$NE$2:$NE$150=E$3)*(GMW!$ND$2:$ND$150=E$4)*(GMW!$NF$2:$NF$150=E$1),0),$C114-1966)</f>
        <v>72.433329999999998</v>
      </c>
      <c r="F114" s="4" cm="1">
        <f t="array" ref="F114">INDEX(GMW!$A$2:$NF$150,MATCH(1,(GMW!$NE$2:$NE$150=F$3)*(GMW!$ND$2:$ND$150=F$4)*(GMW!$NF$2:$NF$150=F$1),0),$C114-1966)</f>
        <v>113832</v>
      </c>
      <c r="G114" s="4" cm="1">
        <f t="array" ref="G114">INDEX(GMW!$A$2:$NF$150,MATCH(1,(GMW!$NE$2:$NE$150=G$3)*(GMW!$ND$2:$ND$150=G$4)*(GMW!$NF$2:$NF$150=G$1),0),$C114-1966)</f>
        <v>53036</v>
      </c>
      <c r="H114" s="4" cm="1">
        <f t="array" ref="H114">INDEX(GMW!$A$2:$NF$150,MATCH(1,(GMW!$NE$2:$NE$150=H$3)*(GMW!$ND$2:$ND$150=H$4)*(GMW!$NF$2:$NF$150=H$1),0),$C114-1966)</f>
        <v>108843</v>
      </c>
      <c r="I114" s="4" cm="1">
        <f t="array" ref="I114">INDEX(GMW!$A$2:$NF$150,MATCH(1,(GMW!$NE$2:$NE$150=I$3)*(GMW!$ND$2:$ND$150=I$4)*(GMW!$NF$2:$NF$150=I$1),0),$C114-1966)</f>
        <v>66052</v>
      </c>
      <c r="J114" s="4" cm="1">
        <f t="array" ref="J114">INDEX(GMW!$A$2:$NF$150,MATCH(1,(GMW!$NE$2:$NE$150=J$3)*(GMW!$ND$2:$ND$150=J$4)*(GMW!$NF$2:$NF$150=J$1),0),$C114-1966)</f>
        <v>72122</v>
      </c>
      <c r="K114" s="4" cm="1">
        <f t="array" ref="K114">INDEX(GMW!$A$2:$NF$150,MATCH(1,(GMW!$NE$2:$NE$150=K$3)*(GMW!$ND$2:$ND$150=K$4)*(GMW!$NF$2:$NF$150=K$1),0),$C114-1966)</f>
        <v>41945</v>
      </c>
      <c r="L114" s="4" cm="1">
        <f t="array" ref="L114">INDEX(GMW!$A$2:$NF$150,MATCH(1,(GMW!$NE$2:$NE$150=L$3)*(GMW!$ND$2:$ND$150=L$4)*(GMW!$NF$2:$NF$150=L$1),0),$C114-1966)</f>
        <v>427761.1</v>
      </c>
      <c r="M114" s="4" cm="1">
        <f t="array" ref="M114">INDEX(GMW!$A$2:$NF$150,MATCH(1,(GMW!$NE$2:$NE$150=M$3)*(GMW!$ND$2:$ND$150=M$4)*(GMW!$NF$2:$NF$150=M$1),0),$C114-1966)</f>
        <v>27381.66</v>
      </c>
      <c r="N114" s="4" cm="1">
        <f t="array" ref="N114">INDEX(GMW!$A$2:$NF$150,MATCH(1,(GMW!$NE$2:$NE$150=N$3)*(GMW!$ND$2:$ND$150=N$4)*(GMW!$NF$2:$NF$150=N$1),0),$C114-1966)</f>
        <v>32.9</v>
      </c>
      <c r="O114" s="4" cm="1">
        <f t="array" ref="O114">INDEX(GMW!$A$2:$NF$150,MATCH(1,(GMW!$NE$2:$NE$150=O$3)*(GMW!$ND$2:$ND$150=O$4)*(GMW!$NF$2:$NF$150=O$1),0),$C114-1966)</f>
        <v>377878.1</v>
      </c>
      <c r="P114" s="4" cm="1">
        <f t="array" ref="P114">INDEX(GMW!$A$2:$NF$150,MATCH(1,(GMW!$NE$2:$NE$150=P$3)*(GMW!$ND$2:$ND$150=P$4)*(GMW!$NF$2:$NF$150=P$1),0),$C114-1966)</f>
        <v>38248.25</v>
      </c>
      <c r="Q114" s="4" cm="1">
        <f t="array" ref="Q114">INDEX(GMW!$A$2:$NF$150,MATCH(1,(GMW!$NE$2:$NE$150=Q$3)*(GMW!$ND$2:$ND$150=Q$4)*(GMW!$NF$2:$NF$150=Q$1),0),$C114-1966)</f>
        <v>2010000</v>
      </c>
      <c r="R114" s="4" cm="1">
        <f t="array" ref="R114">INDEX(GMW!$A$2:$NF$150,MATCH(1,(GMW!$NE$2:$NE$150=R$3)*(GMW!$ND$2:$ND$150=R$4)*(GMW!$NF$2:$NF$150=R$1),0),$C114-1966)</f>
        <v>-1.709622</v>
      </c>
      <c r="S114" s="4" cm="1">
        <f t="array" ref="S114">INDEX(GMW!$A$2:$NF$150,MATCH(1,(GMW!$NE$2:$NE$150=S$3)*(GMW!$ND$2:$ND$150=S$4)*(GMW!$NF$2:$NF$150=S$1),0),$C114-1966)</f>
        <v>439093</v>
      </c>
      <c r="T114" s="4" cm="1">
        <f t="array" ref="T114">INDEX(GMW!$A$2:$NF$150,MATCH(1,(GMW!$NE$2:$NE$150=T$3)*(GMW!$ND$2:$ND$150=T$4)*(GMW!$NF$2:$NF$150=T$1),0),$C114-1966)</f>
        <v>72.433329999999998</v>
      </c>
      <c r="U114" s="4" cm="1">
        <f t="array" ref="U114">INDEX(GMW!$A$2:$NF$150,MATCH(1,(GMW!$NE$2:$NE$150=U$3)*(GMW!$ND$2:$ND$150=U$4)*(GMW!$NF$2:$NF$150=U$1),0),$C114-1966)</f>
        <v>113832</v>
      </c>
      <c r="V114" s="4" cm="1">
        <f t="array" ref="V114">INDEX(GMW!$A$2:$NF$150,MATCH(1,(GMW!$NE$2:$NE$150=V$3)*(GMW!$ND$2:$ND$150=V$4)*(GMW!$NF$2:$NF$150=V$1),0),$C114-1966)</f>
        <v>53036</v>
      </c>
      <c r="W114" s="4" cm="1">
        <f t="array" ref="W114">INDEX(GMW!$A$2:$NF$150,MATCH(1,(GMW!$NE$2:$NE$150=W$3)*(GMW!$ND$2:$ND$150=W$4)*(GMW!$NF$2:$NF$150=W$1),0),$C114-1966)</f>
        <v>108843</v>
      </c>
      <c r="X114" s="4" cm="1">
        <f t="array" ref="X114">INDEX(GMW!$A$2:$NF$150,MATCH(1,(GMW!$NE$2:$NE$150=X$3)*(GMW!$ND$2:$ND$150=X$4)*(GMW!$NF$2:$NF$150=X$1),0),$C114-1966)</f>
        <v>66052</v>
      </c>
      <c r="Y114" s="4" cm="1">
        <f t="array" ref="Y114">INDEX(GMW!$A$2:$NF$150,MATCH(1,(GMW!$NE$2:$NE$150=Y$3)*(GMW!$ND$2:$ND$150=Y$4)*(GMW!$NF$2:$NF$150=Y$1),0),$C114-1966)</f>
        <v>72122</v>
      </c>
      <c r="Z114" s="4" cm="1">
        <f t="array" ref="Z114">INDEX(GMW!$A$2:$NF$150,MATCH(1,(GMW!$NE$2:$NE$150=Z$3)*(GMW!$ND$2:$ND$150=Z$4)*(GMW!$NF$2:$NF$150=Z$1),0),$C114-1966)</f>
        <v>41945</v>
      </c>
      <c r="AA114" s="4" cm="1">
        <f t="array" ref="AA114">INDEX(GMW!$A$2:$NF$150,MATCH(1,(GMW!$NE$2:$NE$150=AA$3)*(GMW!$ND$2:$ND$150=AA$4)*(GMW!$NF$2:$NF$150=AA$1),0),$C114-1966)</f>
        <v>427761.1</v>
      </c>
      <c r="AB114" s="4" cm="1">
        <f t="array" ref="AB114">INDEX(GMW!$A$2:$NF$150,MATCH(1,(GMW!$NE$2:$NE$150=AB$3)*(GMW!$ND$2:$ND$150=AB$4)*(GMW!$NF$2:$NF$150=AB$1),0),$C114-1966)</f>
        <v>27381.66</v>
      </c>
      <c r="AC114" s="4" cm="1">
        <f t="array" ref="AC114">INDEX(GMW!$A$2:$NF$150,MATCH(1,(GMW!$NE$2:$NE$150=AC$3)*(GMW!$ND$2:$ND$150=AC$4)*(GMW!$NF$2:$NF$150=AC$1),0),$C114-1966)</f>
        <v>32.9</v>
      </c>
      <c r="AD114" s="4" cm="1">
        <f t="array" ref="AD114">INDEX(GMW!$A$2:$NF$150,MATCH(1,(GMW!$NE$2:$NE$150=AD$3)*(GMW!$ND$2:$ND$150=AD$4)*(GMW!$NF$2:$NF$150=AD$1),0),$C114-1966)</f>
        <v>377878.1</v>
      </c>
      <c r="AE114" s="4" cm="1">
        <f t="array" ref="AE114">INDEX(GMW!$A$2:$NF$150,MATCH(1,(GMW!$NE$2:$NE$150=AE$3)*(GMW!$ND$2:$ND$150=AE$4)*(GMW!$NF$2:$NF$150=AE$1),0),$C114-1966)</f>
        <v>38248.25</v>
      </c>
      <c r="AF114" s="4" cm="1">
        <f t="array" ref="AF114">INDEX(GMW!$A$2:$NF$150,MATCH(1,(GMW!$NE$2:$NE$150=AF$3)*(GMW!$ND$2:$ND$150=AF$4)*(GMW!$NF$2:$NF$150=AF$1),0),$C114-1966)</f>
        <v>2010000</v>
      </c>
      <c r="AG114" s="4" cm="1">
        <f t="array" ref="AG114">INDEX(GMW!$A$2:$NF$150,MATCH(1,(GMW!$NE$2:$NE$150=AG$3)*(GMW!$ND$2:$ND$150=AG$4)*(GMW!$NF$2:$NF$150=AG$1),0),$C114-1966)</f>
        <v>-1.709622</v>
      </c>
      <c r="AH114" s="4" cm="1">
        <f t="array" ref="AH114">INDEX(GMW!$A$2:$NF$150,MATCH(1,(GMW!$NE$2:$NE$150=AH$3)*(GMW!$ND$2:$ND$150=AH$4)*(GMW!$NF$2:$NF$150=AH$1),0),$C114-1966)</f>
        <v>439093</v>
      </c>
      <c r="AI114" s="4" cm="1">
        <f t="array" ref="AI114">INDEX(GMW!$A$2:$NF$150,MATCH(1,(GMW!$NE$2:$NE$150=AI$3)*(GMW!$ND$2:$ND$150=AI$4)*(GMW!$NF$2:$NF$150=AI$1),0),$C114-1966)</f>
        <v>72.433329999999998</v>
      </c>
      <c r="AJ114" s="4" cm="1">
        <f t="array" ref="AJ114">INDEX(GMW!$A$2:$NF$150,MATCH(1,(GMW!$NE$2:$NE$150=AJ$3)*(GMW!$ND$2:$ND$150=AJ$4)*(GMW!$NF$2:$NF$150=AJ$1),0),$C114-1966)</f>
        <v>113832</v>
      </c>
      <c r="AK114" s="4" cm="1">
        <f t="array" ref="AK114">INDEX(GMW!$A$2:$NF$150,MATCH(1,(GMW!$NE$2:$NE$150=AK$3)*(GMW!$ND$2:$ND$150=AK$4)*(GMW!$NF$2:$NF$150=AK$1),0),$C114-1966)</f>
        <v>53036</v>
      </c>
      <c r="AL114" s="4" cm="1">
        <f t="array" ref="AL114">INDEX(GMW!$A$2:$NF$150,MATCH(1,(GMW!$NE$2:$NE$150=AL$3)*(GMW!$ND$2:$ND$150=AL$4)*(GMW!$NF$2:$NF$150=AL$1),0),$C114-1966)</f>
        <v>108843</v>
      </c>
      <c r="AM114" s="4" cm="1">
        <f t="array" ref="AM114">INDEX(GMW!$A$2:$NF$150,MATCH(1,(GMW!$NE$2:$NE$150=AM$3)*(GMW!$ND$2:$ND$150=AM$4)*(GMW!$NF$2:$NF$150=AM$1),0),$C114-1966)</f>
        <v>66052</v>
      </c>
      <c r="AN114" s="4" cm="1">
        <f t="array" ref="AN114">INDEX(GMW!$A$2:$NF$150,MATCH(1,(GMW!$NE$2:$NE$150=AN$3)*(GMW!$ND$2:$ND$150=AN$4)*(GMW!$NF$2:$NF$150=AN$1),0),$C114-1966)</f>
        <v>72122</v>
      </c>
      <c r="AO114" s="4" cm="1">
        <f t="array" ref="AO114">INDEX(GMW!$A$2:$NF$150,MATCH(1,(GMW!$NE$2:$NE$150=AO$3)*(GMW!$ND$2:$ND$150=AO$4)*(GMW!$NF$2:$NF$150=AO$1),0),$C114-1966)</f>
        <v>41945</v>
      </c>
      <c r="AP114" s="4" cm="1">
        <f t="array" ref="AP114">INDEX(GMW!$A$2:$NF$150,MATCH(1,(GMW!$NE$2:$NE$150=AP$3)*(GMW!$ND$2:$ND$150=AP$4)*(GMW!$NF$2:$NF$150=AP$1),0),$C114-1966)</f>
        <v>427761.1</v>
      </c>
      <c r="AQ114" s="4" cm="1">
        <f t="array" ref="AQ114">INDEX(GMW!$A$2:$NF$150,MATCH(1,(GMW!$NE$2:$NE$150=AQ$3)*(GMW!$ND$2:$ND$150=AQ$4)*(GMW!$NF$2:$NF$150=AQ$1),0),$C114-1966)</f>
        <v>27381.66</v>
      </c>
      <c r="AR114" s="4" cm="1">
        <f t="array" ref="AR114">INDEX(GMW!$A$2:$NF$150,MATCH(1,(GMW!$NE$2:$NE$150=AR$3)*(GMW!$ND$2:$ND$150=AR$4)*(GMW!$NF$2:$NF$150=AR$1),0),$C114-1966)</f>
        <v>32.9</v>
      </c>
      <c r="AS114" s="4" cm="1">
        <f t="array" ref="AS114">INDEX(GMW!$A$2:$NF$150,MATCH(1,(GMW!$NE$2:$NE$150=AS$3)*(GMW!$ND$2:$ND$150=AS$4)*(GMW!$NF$2:$NF$150=AS$1),0),$C114-1966)</f>
        <v>377878.1</v>
      </c>
      <c r="AT114" s="4" cm="1">
        <f t="array" ref="AT114">INDEX(GMW!$A$2:$NF$150,MATCH(1,(GMW!$NE$2:$NE$150=AT$3)*(GMW!$ND$2:$ND$150=AT$4)*(GMW!$NF$2:$NF$150=AT$1),0),$C114-1966)</f>
        <v>38248.25</v>
      </c>
      <c r="AU114" s="4" cm="1">
        <f t="array" ref="AU114">INDEX(GMW!$A$2:$NF$150,MATCH(1,(GMW!$NE$2:$NE$150=AU$3)*(GMW!$ND$2:$ND$150=AU$4)*(GMW!$NF$2:$NF$150=AU$1),0),$C114-1966)</f>
        <v>2010000</v>
      </c>
      <c r="AV114" s="4" cm="1">
        <f t="array" ref="AV114">INDEX(GMW!$A$2:$NF$150,MATCH(1,(GMW!$NE$2:$NE$150=AV$3)*(GMW!$ND$2:$ND$150=AV$4)*(GMW!$NF$2:$NF$150=AV$1),0),$C114-1966)</f>
        <v>-1.709622</v>
      </c>
    </row>
    <row r="115" spans="1:48" x14ac:dyDescent="0.25">
      <c r="A115" s="4">
        <v>2000</v>
      </c>
      <c r="B115" s="4">
        <f t="shared" si="6"/>
        <v>2000</v>
      </c>
      <c r="C115" s="4">
        <f t="shared" si="7"/>
        <v>2081</v>
      </c>
      <c r="D115" s="4" cm="1">
        <f t="array" ref="D115">INDEX(GMW!$A$2:$NF$150,MATCH(1,(GMW!$NE$2:$NE$150=D$3)*(GMW!$ND$2:$ND$150=D$4)*(GMW!$NF$2:$NF$150=D$1),0),$C115-1966)</f>
        <v>444540</v>
      </c>
      <c r="E115" s="4" cm="1">
        <f t="array" ref="E115">INDEX(GMW!$A$2:$NF$150,MATCH(1,(GMW!$NE$2:$NE$150=E$3)*(GMW!$ND$2:$ND$150=E$4)*(GMW!$NF$2:$NF$150=E$1),0),$C115-1966)</f>
        <v>72.133330000000001</v>
      </c>
      <c r="F115" s="4" cm="1">
        <f t="array" ref="F115">INDEX(GMW!$A$2:$NF$150,MATCH(1,(GMW!$NE$2:$NE$150=F$3)*(GMW!$ND$2:$ND$150=F$4)*(GMW!$NF$2:$NF$150=F$1),0),$C115-1966)</f>
        <v>115740</v>
      </c>
      <c r="G115" s="4" cm="1">
        <f t="array" ref="G115">INDEX(GMW!$A$2:$NF$150,MATCH(1,(GMW!$NE$2:$NE$150=G$3)*(GMW!$ND$2:$ND$150=G$4)*(GMW!$NF$2:$NF$150=G$1),0),$C115-1966)</f>
        <v>55236</v>
      </c>
      <c r="H115" s="4" cm="1">
        <f t="array" ref="H115">INDEX(GMW!$A$2:$NF$150,MATCH(1,(GMW!$NE$2:$NE$150=H$3)*(GMW!$ND$2:$ND$150=H$4)*(GMW!$NF$2:$NF$150=H$1),0),$C115-1966)</f>
        <v>110301</v>
      </c>
      <c r="I115" s="4" cm="1">
        <f t="array" ref="I115">INDEX(GMW!$A$2:$NF$150,MATCH(1,(GMW!$NE$2:$NE$150=I$3)*(GMW!$ND$2:$ND$150=I$4)*(GMW!$NF$2:$NF$150=I$1),0),$C115-1966)</f>
        <v>65553</v>
      </c>
      <c r="J115" s="4" cm="1">
        <f t="array" ref="J115">INDEX(GMW!$A$2:$NF$150,MATCH(1,(GMW!$NE$2:$NE$150=J$3)*(GMW!$ND$2:$ND$150=J$4)*(GMW!$NF$2:$NF$150=J$1),0),$C115-1966)</f>
        <v>75099</v>
      </c>
      <c r="K115" s="4" cm="1">
        <f t="array" ref="K115">INDEX(GMW!$A$2:$NF$150,MATCH(1,(GMW!$NE$2:$NE$150=K$3)*(GMW!$ND$2:$ND$150=K$4)*(GMW!$NF$2:$NF$150=K$1),0),$C115-1966)</f>
        <v>43624</v>
      </c>
      <c r="L115" s="4" cm="1">
        <f t="array" ref="L115">INDEX(GMW!$A$2:$NF$150,MATCH(1,(GMW!$NE$2:$NE$150=L$3)*(GMW!$ND$2:$ND$150=L$4)*(GMW!$NF$2:$NF$150=L$1),0),$C115-1966)</f>
        <v>426391.7</v>
      </c>
      <c r="M115" s="4" cm="1">
        <f t="array" ref="M115">INDEX(GMW!$A$2:$NF$150,MATCH(1,(GMW!$NE$2:$NE$150=M$3)*(GMW!$ND$2:$ND$150=M$4)*(GMW!$NF$2:$NF$150=M$1),0),$C115-1966)</f>
        <v>27446.58</v>
      </c>
      <c r="N115" s="4" cm="1">
        <f t="array" ref="N115">INDEX(GMW!$A$2:$NF$150,MATCH(1,(GMW!$NE$2:$NE$150=N$3)*(GMW!$ND$2:$ND$150=N$4)*(GMW!$NF$2:$NF$150=N$1),0),$C115-1966)</f>
        <v>32.4</v>
      </c>
      <c r="O115" s="4" cm="1">
        <f t="array" ref="O115">INDEX(GMW!$A$2:$NF$150,MATCH(1,(GMW!$NE$2:$NE$150=O$3)*(GMW!$ND$2:$ND$150=O$4)*(GMW!$NF$2:$NF$150=O$1),0),$C115-1966)</f>
        <v>379754.3</v>
      </c>
      <c r="P115" s="4" cm="1">
        <f t="array" ref="P115">INDEX(GMW!$A$2:$NF$150,MATCH(1,(GMW!$NE$2:$NE$150=P$3)*(GMW!$ND$2:$ND$150=P$4)*(GMW!$NF$2:$NF$150=P$1),0),$C115-1966)</f>
        <v>38311.42</v>
      </c>
      <c r="Q115" s="4" cm="1">
        <f t="array" ref="Q115">INDEX(GMW!$A$2:$NF$150,MATCH(1,(GMW!$NE$2:$NE$150=Q$3)*(GMW!$ND$2:$ND$150=Q$4)*(GMW!$NF$2:$NF$150=Q$1),0),$C115-1966)</f>
        <v>2031000</v>
      </c>
      <c r="R115" s="4" cm="1">
        <f t="array" ref="R115">INDEX(GMW!$A$2:$NF$150,MATCH(1,(GMW!$NE$2:$NE$150=R$3)*(GMW!$ND$2:$ND$150=R$4)*(GMW!$NF$2:$NF$150=R$1),0),$C115-1966)</f>
        <v>-1.708596</v>
      </c>
      <c r="S115" s="4" cm="1">
        <f t="array" ref="S115">INDEX(GMW!$A$2:$NF$150,MATCH(1,(GMW!$NE$2:$NE$150=S$3)*(GMW!$ND$2:$ND$150=S$4)*(GMW!$NF$2:$NF$150=S$1),0),$C115-1966)</f>
        <v>444540</v>
      </c>
      <c r="T115" s="4" cm="1">
        <f t="array" ref="T115">INDEX(GMW!$A$2:$NF$150,MATCH(1,(GMW!$NE$2:$NE$150=T$3)*(GMW!$ND$2:$ND$150=T$4)*(GMW!$NF$2:$NF$150=T$1),0),$C115-1966)</f>
        <v>72.133330000000001</v>
      </c>
      <c r="U115" s="4" cm="1">
        <f t="array" ref="U115">INDEX(GMW!$A$2:$NF$150,MATCH(1,(GMW!$NE$2:$NE$150=U$3)*(GMW!$ND$2:$ND$150=U$4)*(GMW!$NF$2:$NF$150=U$1),0),$C115-1966)</f>
        <v>115740</v>
      </c>
      <c r="V115" s="4" cm="1">
        <f t="array" ref="V115">INDEX(GMW!$A$2:$NF$150,MATCH(1,(GMW!$NE$2:$NE$150=V$3)*(GMW!$ND$2:$ND$150=V$4)*(GMW!$NF$2:$NF$150=V$1),0),$C115-1966)</f>
        <v>55236</v>
      </c>
      <c r="W115" s="4" cm="1">
        <f t="array" ref="W115">INDEX(GMW!$A$2:$NF$150,MATCH(1,(GMW!$NE$2:$NE$150=W$3)*(GMW!$ND$2:$ND$150=W$4)*(GMW!$NF$2:$NF$150=W$1),0),$C115-1966)</f>
        <v>110301</v>
      </c>
      <c r="X115" s="4" cm="1">
        <f t="array" ref="X115">INDEX(GMW!$A$2:$NF$150,MATCH(1,(GMW!$NE$2:$NE$150=X$3)*(GMW!$ND$2:$ND$150=X$4)*(GMW!$NF$2:$NF$150=X$1),0),$C115-1966)</f>
        <v>65553</v>
      </c>
      <c r="Y115" s="4" cm="1">
        <f t="array" ref="Y115">INDEX(GMW!$A$2:$NF$150,MATCH(1,(GMW!$NE$2:$NE$150=Y$3)*(GMW!$ND$2:$ND$150=Y$4)*(GMW!$NF$2:$NF$150=Y$1),0),$C115-1966)</f>
        <v>75099</v>
      </c>
      <c r="Z115" s="4" cm="1">
        <f t="array" ref="Z115">INDEX(GMW!$A$2:$NF$150,MATCH(1,(GMW!$NE$2:$NE$150=Z$3)*(GMW!$ND$2:$ND$150=Z$4)*(GMW!$NF$2:$NF$150=Z$1),0),$C115-1966)</f>
        <v>43624</v>
      </c>
      <c r="AA115" s="4" cm="1">
        <f t="array" ref="AA115">INDEX(GMW!$A$2:$NF$150,MATCH(1,(GMW!$NE$2:$NE$150=AA$3)*(GMW!$ND$2:$ND$150=AA$4)*(GMW!$NF$2:$NF$150=AA$1),0),$C115-1966)</f>
        <v>426391.7</v>
      </c>
      <c r="AB115" s="4" cm="1">
        <f t="array" ref="AB115">INDEX(GMW!$A$2:$NF$150,MATCH(1,(GMW!$NE$2:$NE$150=AB$3)*(GMW!$ND$2:$ND$150=AB$4)*(GMW!$NF$2:$NF$150=AB$1),0),$C115-1966)</f>
        <v>27446.58</v>
      </c>
      <c r="AC115" s="4" cm="1">
        <f t="array" ref="AC115">INDEX(GMW!$A$2:$NF$150,MATCH(1,(GMW!$NE$2:$NE$150=AC$3)*(GMW!$ND$2:$ND$150=AC$4)*(GMW!$NF$2:$NF$150=AC$1),0),$C115-1966)</f>
        <v>32.4</v>
      </c>
      <c r="AD115" s="4" cm="1">
        <f t="array" ref="AD115">INDEX(GMW!$A$2:$NF$150,MATCH(1,(GMW!$NE$2:$NE$150=AD$3)*(GMW!$ND$2:$ND$150=AD$4)*(GMW!$NF$2:$NF$150=AD$1),0),$C115-1966)</f>
        <v>379754.3</v>
      </c>
      <c r="AE115" s="4" cm="1">
        <f t="array" ref="AE115">INDEX(GMW!$A$2:$NF$150,MATCH(1,(GMW!$NE$2:$NE$150=AE$3)*(GMW!$ND$2:$ND$150=AE$4)*(GMW!$NF$2:$NF$150=AE$1),0),$C115-1966)</f>
        <v>38311.42</v>
      </c>
      <c r="AF115" s="4" cm="1">
        <f t="array" ref="AF115">INDEX(GMW!$A$2:$NF$150,MATCH(1,(GMW!$NE$2:$NE$150=AF$3)*(GMW!$ND$2:$ND$150=AF$4)*(GMW!$NF$2:$NF$150=AF$1),0),$C115-1966)</f>
        <v>2031000</v>
      </c>
      <c r="AG115" s="4" cm="1">
        <f t="array" ref="AG115">INDEX(GMW!$A$2:$NF$150,MATCH(1,(GMW!$NE$2:$NE$150=AG$3)*(GMW!$ND$2:$ND$150=AG$4)*(GMW!$NF$2:$NF$150=AG$1),0),$C115-1966)</f>
        <v>-1.708596</v>
      </c>
      <c r="AH115" s="4" cm="1">
        <f t="array" ref="AH115">INDEX(GMW!$A$2:$NF$150,MATCH(1,(GMW!$NE$2:$NE$150=AH$3)*(GMW!$ND$2:$ND$150=AH$4)*(GMW!$NF$2:$NF$150=AH$1),0),$C115-1966)</f>
        <v>444540</v>
      </c>
      <c r="AI115" s="4" cm="1">
        <f t="array" ref="AI115">INDEX(GMW!$A$2:$NF$150,MATCH(1,(GMW!$NE$2:$NE$150=AI$3)*(GMW!$ND$2:$ND$150=AI$4)*(GMW!$NF$2:$NF$150=AI$1),0),$C115-1966)</f>
        <v>72.133330000000001</v>
      </c>
      <c r="AJ115" s="4" cm="1">
        <f t="array" ref="AJ115">INDEX(GMW!$A$2:$NF$150,MATCH(1,(GMW!$NE$2:$NE$150=AJ$3)*(GMW!$ND$2:$ND$150=AJ$4)*(GMW!$NF$2:$NF$150=AJ$1),0),$C115-1966)</f>
        <v>115740</v>
      </c>
      <c r="AK115" s="4" cm="1">
        <f t="array" ref="AK115">INDEX(GMW!$A$2:$NF$150,MATCH(1,(GMW!$NE$2:$NE$150=AK$3)*(GMW!$ND$2:$ND$150=AK$4)*(GMW!$NF$2:$NF$150=AK$1),0),$C115-1966)</f>
        <v>55236</v>
      </c>
      <c r="AL115" s="4" cm="1">
        <f t="array" ref="AL115">INDEX(GMW!$A$2:$NF$150,MATCH(1,(GMW!$NE$2:$NE$150=AL$3)*(GMW!$ND$2:$ND$150=AL$4)*(GMW!$NF$2:$NF$150=AL$1),0),$C115-1966)</f>
        <v>110301</v>
      </c>
      <c r="AM115" s="4" cm="1">
        <f t="array" ref="AM115">INDEX(GMW!$A$2:$NF$150,MATCH(1,(GMW!$NE$2:$NE$150=AM$3)*(GMW!$ND$2:$ND$150=AM$4)*(GMW!$NF$2:$NF$150=AM$1),0),$C115-1966)</f>
        <v>65553</v>
      </c>
      <c r="AN115" s="4" cm="1">
        <f t="array" ref="AN115">INDEX(GMW!$A$2:$NF$150,MATCH(1,(GMW!$NE$2:$NE$150=AN$3)*(GMW!$ND$2:$ND$150=AN$4)*(GMW!$NF$2:$NF$150=AN$1),0),$C115-1966)</f>
        <v>75099</v>
      </c>
      <c r="AO115" s="4" cm="1">
        <f t="array" ref="AO115">INDEX(GMW!$A$2:$NF$150,MATCH(1,(GMW!$NE$2:$NE$150=AO$3)*(GMW!$ND$2:$ND$150=AO$4)*(GMW!$NF$2:$NF$150=AO$1),0),$C115-1966)</f>
        <v>43624</v>
      </c>
      <c r="AP115" s="4" cm="1">
        <f t="array" ref="AP115">INDEX(GMW!$A$2:$NF$150,MATCH(1,(GMW!$NE$2:$NE$150=AP$3)*(GMW!$ND$2:$ND$150=AP$4)*(GMW!$NF$2:$NF$150=AP$1),0),$C115-1966)</f>
        <v>426391.7</v>
      </c>
      <c r="AQ115" s="4" cm="1">
        <f t="array" ref="AQ115">INDEX(GMW!$A$2:$NF$150,MATCH(1,(GMW!$NE$2:$NE$150=AQ$3)*(GMW!$ND$2:$ND$150=AQ$4)*(GMW!$NF$2:$NF$150=AQ$1),0),$C115-1966)</f>
        <v>27446.58</v>
      </c>
      <c r="AR115" s="4" cm="1">
        <f t="array" ref="AR115">INDEX(GMW!$A$2:$NF$150,MATCH(1,(GMW!$NE$2:$NE$150=AR$3)*(GMW!$ND$2:$ND$150=AR$4)*(GMW!$NF$2:$NF$150=AR$1),0),$C115-1966)</f>
        <v>32.4</v>
      </c>
      <c r="AS115" s="4" cm="1">
        <f t="array" ref="AS115">INDEX(GMW!$A$2:$NF$150,MATCH(1,(GMW!$NE$2:$NE$150=AS$3)*(GMW!$ND$2:$ND$150=AS$4)*(GMW!$NF$2:$NF$150=AS$1),0),$C115-1966)</f>
        <v>379754.3</v>
      </c>
      <c r="AT115" s="4" cm="1">
        <f t="array" ref="AT115">INDEX(GMW!$A$2:$NF$150,MATCH(1,(GMW!$NE$2:$NE$150=AT$3)*(GMW!$ND$2:$ND$150=AT$4)*(GMW!$NF$2:$NF$150=AT$1),0),$C115-1966)</f>
        <v>38311.42</v>
      </c>
      <c r="AU115" s="4" cm="1">
        <f t="array" ref="AU115">INDEX(GMW!$A$2:$NF$150,MATCH(1,(GMW!$NE$2:$NE$150=AU$3)*(GMW!$ND$2:$ND$150=AU$4)*(GMW!$NF$2:$NF$150=AU$1),0),$C115-1966)</f>
        <v>2031000</v>
      </c>
      <c r="AV115" s="4" cm="1">
        <f t="array" ref="AV115">INDEX(GMW!$A$2:$NF$150,MATCH(1,(GMW!$NE$2:$NE$150=AV$3)*(GMW!$ND$2:$ND$150=AV$4)*(GMW!$NF$2:$NF$150=AV$1),0),$C115-1966)</f>
        <v>-1.708596</v>
      </c>
    </row>
    <row r="116" spans="1:48" x14ac:dyDescent="0.25">
      <c r="B116" s="4">
        <f t="shared" si="6"/>
        <v>2000</v>
      </c>
      <c r="C116" s="4">
        <f t="shared" si="7"/>
        <v>2082</v>
      </c>
      <c r="D116" s="4" cm="1">
        <f t="array" ref="D116">INDEX(GMW!$A$2:$NF$150,MATCH(1,(GMW!$NE$2:$NE$150=D$3)*(GMW!$ND$2:$ND$150=D$4)*(GMW!$NF$2:$NF$150=D$1),0),$C116-1966)</f>
        <v>447825</v>
      </c>
      <c r="E116" s="4" cm="1">
        <f t="array" ref="E116">INDEX(GMW!$A$2:$NF$150,MATCH(1,(GMW!$NE$2:$NE$150=E$3)*(GMW!$ND$2:$ND$150=E$4)*(GMW!$NF$2:$NF$150=E$1),0),$C116-1966)</f>
        <v>72.766670000000005</v>
      </c>
      <c r="F116" s="4" cm="1">
        <f t="array" ref="F116">INDEX(GMW!$A$2:$NF$150,MATCH(1,(GMW!$NE$2:$NE$150=F$3)*(GMW!$ND$2:$ND$150=F$4)*(GMW!$NF$2:$NF$150=F$1),0),$C116-1966)</f>
        <v>119664</v>
      </c>
      <c r="G116" s="4" cm="1">
        <f t="array" ref="G116">INDEX(GMW!$A$2:$NF$150,MATCH(1,(GMW!$NE$2:$NE$150=G$3)*(GMW!$ND$2:$ND$150=G$4)*(GMW!$NF$2:$NF$150=G$1),0),$C116-1966)</f>
        <v>56441</v>
      </c>
      <c r="H116" s="4" cm="1">
        <f t="array" ref="H116">INDEX(GMW!$A$2:$NF$150,MATCH(1,(GMW!$NE$2:$NE$150=H$3)*(GMW!$ND$2:$ND$150=H$4)*(GMW!$NF$2:$NF$150=H$1),0),$C116-1966)</f>
        <v>113789</v>
      </c>
      <c r="I116" s="4" cm="1">
        <f t="array" ref="I116">INDEX(GMW!$A$2:$NF$150,MATCH(1,(GMW!$NE$2:$NE$150=I$3)*(GMW!$ND$2:$ND$150=I$4)*(GMW!$NF$2:$NF$150=I$1),0),$C116-1966)</f>
        <v>66895</v>
      </c>
      <c r="J116" s="4" cm="1">
        <f t="array" ref="J116">INDEX(GMW!$A$2:$NF$150,MATCH(1,(GMW!$NE$2:$NE$150=J$3)*(GMW!$ND$2:$ND$150=J$4)*(GMW!$NF$2:$NF$150=J$1),0),$C116-1966)</f>
        <v>79401</v>
      </c>
      <c r="K116" s="4" cm="1">
        <f t="array" ref="K116">INDEX(GMW!$A$2:$NF$150,MATCH(1,(GMW!$NE$2:$NE$150=K$3)*(GMW!$ND$2:$ND$150=K$4)*(GMW!$NF$2:$NF$150=K$1),0),$C116-1966)</f>
        <v>46153</v>
      </c>
      <c r="L116" s="4" cm="1">
        <f t="array" ref="L116">INDEX(GMW!$A$2:$NF$150,MATCH(1,(GMW!$NE$2:$NE$150=L$3)*(GMW!$ND$2:$ND$150=L$4)*(GMW!$NF$2:$NF$150=L$1),0),$C116-1966)</f>
        <v>430966.1</v>
      </c>
      <c r="M116" s="4" cm="1">
        <f t="array" ref="M116">INDEX(GMW!$A$2:$NF$150,MATCH(1,(GMW!$NE$2:$NE$150=M$3)*(GMW!$ND$2:$ND$150=M$4)*(GMW!$NF$2:$NF$150=M$1),0),$C116-1966)</f>
        <v>27497.38</v>
      </c>
      <c r="N116" s="4" cm="1">
        <f t="array" ref="N116">INDEX(GMW!$A$2:$NF$150,MATCH(1,(GMW!$NE$2:$NE$150=N$3)*(GMW!$ND$2:$ND$150=N$4)*(GMW!$NF$2:$NF$150=N$1),0),$C116-1966)</f>
        <v>32.6</v>
      </c>
      <c r="O116" s="4" cm="1">
        <f t="array" ref="O116">INDEX(GMW!$A$2:$NF$150,MATCH(1,(GMW!$NE$2:$NE$150=O$3)*(GMW!$ND$2:$ND$150=O$4)*(GMW!$NF$2:$NF$150=O$1),0),$C116-1966)</f>
        <v>381403.9</v>
      </c>
      <c r="P116" s="4" cm="1">
        <f t="array" ref="P116">INDEX(GMW!$A$2:$NF$150,MATCH(1,(GMW!$NE$2:$NE$150=P$3)*(GMW!$ND$2:$ND$150=P$4)*(GMW!$NF$2:$NF$150=P$1),0),$C116-1966)</f>
        <v>38374.589999999997</v>
      </c>
      <c r="Q116" s="4" cm="1">
        <f t="array" ref="Q116">INDEX(GMW!$A$2:$NF$150,MATCH(1,(GMW!$NE$2:$NE$150=Q$3)*(GMW!$ND$2:$ND$150=Q$4)*(GMW!$NF$2:$NF$150=Q$1),0),$C116-1966)</f>
        <v>2052000</v>
      </c>
      <c r="R116" s="4" cm="1">
        <f t="array" ref="R116">INDEX(GMW!$A$2:$NF$150,MATCH(1,(GMW!$NE$2:$NE$150=R$3)*(GMW!$ND$2:$ND$150=R$4)*(GMW!$NF$2:$NF$150=R$1),0),$C116-1966)</f>
        <v>-1.7075709999999999</v>
      </c>
      <c r="S116" s="4" cm="1">
        <f t="array" ref="S116">INDEX(GMW!$A$2:$NF$150,MATCH(1,(GMW!$NE$2:$NE$150=S$3)*(GMW!$ND$2:$ND$150=S$4)*(GMW!$NF$2:$NF$150=S$1),0),$C116-1966)</f>
        <v>447825</v>
      </c>
      <c r="T116" s="4" cm="1">
        <f t="array" ref="T116">INDEX(GMW!$A$2:$NF$150,MATCH(1,(GMW!$NE$2:$NE$150=T$3)*(GMW!$ND$2:$ND$150=T$4)*(GMW!$NF$2:$NF$150=T$1),0),$C116-1966)</f>
        <v>72.766670000000005</v>
      </c>
      <c r="U116" s="4" cm="1">
        <f t="array" ref="U116">INDEX(GMW!$A$2:$NF$150,MATCH(1,(GMW!$NE$2:$NE$150=U$3)*(GMW!$ND$2:$ND$150=U$4)*(GMW!$NF$2:$NF$150=U$1),0),$C116-1966)</f>
        <v>119664</v>
      </c>
      <c r="V116" s="4" cm="1">
        <f t="array" ref="V116">INDEX(GMW!$A$2:$NF$150,MATCH(1,(GMW!$NE$2:$NE$150=V$3)*(GMW!$ND$2:$ND$150=V$4)*(GMW!$NF$2:$NF$150=V$1),0),$C116-1966)</f>
        <v>56441</v>
      </c>
      <c r="W116" s="4" cm="1">
        <f t="array" ref="W116">INDEX(GMW!$A$2:$NF$150,MATCH(1,(GMW!$NE$2:$NE$150=W$3)*(GMW!$ND$2:$ND$150=W$4)*(GMW!$NF$2:$NF$150=W$1),0),$C116-1966)</f>
        <v>113789</v>
      </c>
      <c r="X116" s="4" cm="1">
        <f t="array" ref="X116">INDEX(GMW!$A$2:$NF$150,MATCH(1,(GMW!$NE$2:$NE$150=X$3)*(GMW!$ND$2:$ND$150=X$4)*(GMW!$NF$2:$NF$150=X$1),0),$C116-1966)</f>
        <v>66895</v>
      </c>
      <c r="Y116" s="4" cm="1">
        <f t="array" ref="Y116">INDEX(GMW!$A$2:$NF$150,MATCH(1,(GMW!$NE$2:$NE$150=Y$3)*(GMW!$ND$2:$ND$150=Y$4)*(GMW!$NF$2:$NF$150=Y$1),0),$C116-1966)</f>
        <v>79401</v>
      </c>
      <c r="Z116" s="4" cm="1">
        <f t="array" ref="Z116">INDEX(GMW!$A$2:$NF$150,MATCH(1,(GMW!$NE$2:$NE$150=Z$3)*(GMW!$ND$2:$ND$150=Z$4)*(GMW!$NF$2:$NF$150=Z$1),0),$C116-1966)</f>
        <v>46153</v>
      </c>
      <c r="AA116" s="4" cm="1">
        <f t="array" ref="AA116">INDEX(GMW!$A$2:$NF$150,MATCH(1,(GMW!$NE$2:$NE$150=AA$3)*(GMW!$ND$2:$ND$150=AA$4)*(GMW!$NF$2:$NF$150=AA$1),0),$C116-1966)</f>
        <v>430966.1</v>
      </c>
      <c r="AB116" s="4" cm="1">
        <f t="array" ref="AB116">INDEX(GMW!$A$2:$NF$150,MATCH(1,(GMW!$NE$2:$NE$150=AB$3)*(GMW!$ND$2:$ND$150=AB$4)*(GMW!$NF$2:$NF$150=AB$1),0),$C116-1966)</f>
        <v>27497.38</v>
      </c>
      <c r="AC116" s="4" cm="1">
        <f t="array" ref="AC116">INDEX(GMW!$A$2:$NF$150,MATCH(1,(GMW!$NE$2:$NE$150=AC$3)*(GMW!$ND$2:$ND$150=AC$4)*(GMW!$NF$2:$NF$150=AC$1),0),$C116-1966)</f>
        <v>32.6</v>
      </c>
      <c r="AD116" s="4" cm="1">
        <f t="array" ref="AD116">INDEX(GMW!$A$2:$NF$150,MATCH(1,(GMW!$NE$2:$NE$150=AD$3)*(GMW!$ND$2:$ND$150=AD$4)*(GMW!$NF$2:$NF$150=AD$1),0),$C116-1966)</f>
        <v>381403.9</v>
      </c>
      <c r="AE116" s="4" cm="1">
        <f t="array" ref="AE116">INDEX(GMW!$A$2:$NF$150,MATCH(1,(GMW!$NE$2:$NE$150=AE$3)*(GMW!$ND$2:$ND$150=AE$4)*(GMW!$NF$2:$NF$150=AE$1),0),$C116-1966)</f>
        <v>38374.589999999997</v>
      </c>
      <c r="AF116" s="4" cm="1">
        <f t="array" ref="AF116">INDEX(GMW!$A$2:$NF$150,MATCH(1,(GMW!$NE$2:$NE$150=AF$3)*(GMW!$ND$2:$ND$150=AF$4)*(GMW!$NF$2:$NF$150=AF$1),0),$C116-1966)</f>
        <v>2052000</v>
      </c>
      <c r="AG116" s="4" cm="1">
        <f t="array" ref="AG116">INDEX(GMW!$A$2:$NF$150,MATCH(1,(GMW!$NE$2:$NE$150=AG$3)*(GMW!$ND$2:$ND$150=AG$4)*(GMW!$NF$2:$NF$150=AG$1),0),$C116-1966)</f>
        <v>-1.7075709999999999</v>
      </c>
      <c r="AH116" s="4" cm="1">
        <f t="array" ref="AH116">INDEX(GMW!$A$2:$NF$150,MATCH(1,(GMW!$NE$2:$NE$150=AH$3)*(GMW!$ND$2:$ND$150=AH$4)*(GMW!$NF$2:$NF$150=AH$1),0),$C116-1966)</f>
        <v>447825</v>
      </c>
      <c r="AI116" s="4" cm="1">
        <f t="array" ref="AI116">INDEX(GMW!$A$2:$NF$150,MATCH(1,(GMW!$NE$2:$NE$150=AI$3)*(GMW!$ND$2:$ND$150=AI$4)*(GMW!$NF$2:$NF$150=AI$1),0),$C116-1966)</f>
        <v>72.766670000000005</v>
      </c>
      <c r="AJ116" s="4" cm="1">
        <f t="array" ref="AJ116">INDEX(GMW!$A$2:$NF$150,MATCH(1,(GMW!$NE$2:$NE$150=AJ$3)*(GMW!$ND$2:$ND$150=AJ$4)*(GMW!$NF$2:$NF$150=AJ$1),0),$C116-1966)</f>
        <v>119664</v>
      </c>
      <c r="AK116" s="4" cm="1">
        <f t="array" ref="AK116">INDEX(GMW!$A$2:$NF$150,MATCH(1,(GMW!$NE$2:$NE$150=AK$3)*(GMW!$ND$2:$ND$150=AK$4)*(GMW!$NF$2:$NF$150=AK$1),0),$C116-1966)</f>
        <v>56441</v>
      </c>
      <c r="AL116" s="4" cm="1">
        <f t="array" ref="AL116">INDEX(GMW!$A$2:$NF$150,MATCH(1,(GMW!$NE$2:$NE$150=AL$3)*(GMW!$ND$2:$ND$150=AL$4)*(GMW!$NF$2:$NF$150=AL$1),0),$C116-1966)</f>
        <v>113789</v>
      </c>
      <c r="AM116" s="4" cm="1">
        <f t="array" ref="AM116">INDEX(GMW!$A$2:$NF$150,MATCH(1,(GMW!$NE$2:$NE$150=AM$3)*(GMW!$ND$2:$ND$150=AM$4)*(GMW!$NF$2:$NF$150=AM$1),0),$C116-1966)</f>
        <v>66895</v>
      </c>
      <c r="AN116" s="4" cm="1">
        <f t="array" ref="AN116">INDEX(GMW!$A$2:$NF$150,MATCH(1,(GMW!$NE$2:$NE$150=AN$3)*(GMW!$ND$2:$ND$150=AN$4)*(GMW!$NF$2:$NF$150=AN$1),0),$C116-1966)</f>
        <v>79401</v>
      </c>
      <c r="AO116" s="4" cm="1">
        <f t="array" ref="AO116">INDEX(GMW!$A$2:$NF$150,MATCH(1,(GMW!$NE$2:$NE$150=AO$3)*(GMW!$ND$2:$ND$150=AO$4)*(GMW!$NF$2:$NF$150=AO$1),0),$C116-1966)</f>
        <v>46153</v>
      </c>
      <c r="AP116" s="4" cm="1">
        <f t="array" ref="AP116">INDEX(GMW!$A$2:$NF$150,MATCH(1,(GMW!$NE$2:$NE$150=AP$3)*(GMW!$ND$2:$ND$150=AP$4)*(GMW!$NF$2:$NF$150=AP$1),0),$C116-1966)</f>
        <v>430966.1</v>
      </c>
      <c r="AQ116" s="4" cm="1">
        <f t="array" ref="AQ116">INDEX(GMW!$A$2:$NF$150,MATCH(1,(GMW!$NE$2:$NE$150=AQ$3)*(GMW!$ND$2:$ND$150=AQ$4)*(GMW!$NF$2:$NF$150=AQ$1),0),$C116-1966)</f>
        <v>27497.38</v>
      </c>
      <c r="AR116" s="4" cm="1">
        <f t="array" ref="AR116">INDEX(GMW!$A$2:$NF$150,MATCH(1,(GMW!$NE$2:$NE$150=AR$3)*(GMW!$ND$2:$ND$150=AR$4)*(GMW!$NF$2:$NF$150=AR$1),0),$C116-1966)</f>
        <v>32.6</v>
      </c>
      <c r="AS116" s="4" cm="1">
        <f t="array" ref="AS116">INDEX(GMW!$A$2:$NF$150,MATCH(1,(GMW!$NE$2:$NE$150=AS$3)*(GMW!$ND$2:$ND$150=AS$4)*(GMW!$NF$2:$NF$150=AS$1),0),$C116-1966)</f>
        <v>381403.9</v>
      </c>
      <c r="AT116" s="4" cm="1">
        <f t="array" ref="AT116">INDEX(GMW!$A$2:$NF$150,MATCH(1,(GMW!$NE$2:$NE$150=AT$3)*(GMW!$ND$2:$ND$150=AT$4)*(GMW!$NF$2:$NF$150=AT$1),0),$C116-1966)</f>
        <v>38374.589999999997</v>
      </c>
      <c r="AU116" s="4" cm="1">
        <f t="array" ref="AU116">INDEX(GMW!$A$2:$NF$150,MATCH(1,(GMW!$NE$2:$NE$150=AU$3)*(GMW!$ND$2:$ND$150=AU$4)*(GMW!$NF$2:$NF$150=AU$1),0),$C116-1966)</f>
        <v>2052000</v>
      </c>
      <c r="AV116" s="4" cm="1">
        <f t="array" ref="AV116">INDEX(GMW!$A$2:$NF$150,MATCH(1,(GMW!$NE$2:$NE$150=AV$3)*(GMW!$ND$2:$ND$150=AV$4)*(GMW!$NF$2:$NF$150=AV$1),0),$C116-1966)</f>
        <v>-1.7075709999999999</v>
      </c>
    </row>
    <row r="117" spans="1:48" x14ac:dyDescent="0.25">
      <c r="B117" s="4">
        <f t="shared" si="6"/>
        <v>2000</v>
      </c>
      <c r="C117" s="4">
        <f t="shared" si="7"/>
        <v>2083</v>
      </c>
      <c r="D117" s="4" cm="1">
        <f t="array" ref="D117">INDEX(GMW!$A$2:$NF$150,MATCH(1,(GMW!$NE$2:$NE$150=D$3)*(GMW!$ND$2:$ND$150=D$4)*(GMW!$NF$2:$NF$150=D$1),0),$C117-1966)</f>
        <v>450688</v>
      </c>
      <c r="E117" s="4" cm="1">
        <f t="array" ref="E117">INDEX(GMW!$A$2:$NF$150,MATCH(1,(GMW!$NE$2:$NE$150=E$3)*(GMW!$ND$2:$ND$150=E$4)*(GMW!$NF$2:$NF$150=E$1),0),$C117-1966)</f>
        <v>72.7</v>
      </c>
      <c r="F117" s="4" cm="1">
        <f t="array" ref="F117">INDEX(GMW!$A$2:$NF$150,MATCH(1,(GMW!$NE$2:$NE$150=F$3)*(GMW!$ND$2:$ND$150=F$4)*(GMW!$NF$2:$NF$150=F$1),0),$C117-1966)</f>
        <v>120347</v>
      </c>
      <c r="G117" s="4" cm="1">
        <f t="array" ref="G117">INDEX(GMW!$A$2:$NF$150,MATCH(1,(GMW!$NE$2:$NE$150=G$3)*(GMW!$ND$2:$ND$150=G$4)*(GMW!$NF$2:$NF$150=G$1),0),$C117-1966)</f>
        <v>57547</v>
      </c>
      <c r="H117" s="4" cm="1">
        <f t="array" ref="H117">INDEX(GMW!$A$2:$NF$150,MATCH(1,(GMW!$NE$2:$NE$150=H$3)*(GMW!$ND$2:$ND$150=H$4)*(GMW!$NF$2:$NF$150=H$1),0),$C117-1966)</f>
        <v>116055</v>
      </c>
      <c r="I117" s="4" cm="1">
        <f t="array" ref="I117">INDEX(GMW!$A$2:$NF$150,MATCH(1,(GMW!$NE$2:$NE$150=I$3)*(GMW!$ND$2:$ND$150=I$4)*(GMW!$NF$2:$NF$150=I$1),0),$C117-1966)</f>
        <v>70427</v>
      </c>
      <c r="J117" s="4" cm="1">
        <f t="array" ref="J117">INDEX(GMW!$A$2:$NF$150,MATCH(1,(GMW!$NE$2:$NE$150=J$3)*(GMW!$ND$2:$ND$150=J$4)*(GMW!$NF$2:$NF$150=J$1),0),$C117-1966)</f>
        <v>73900</v>
      </c>
      <c r="K117" s="4" cm="1">
        <f t="array" ref="K117">INDEX(GMW!$A$2:$NF$150,MATCH(1,(GMW!$NE$2:$NE$150=K$3)*(GMW!$ND$2:$ND$150=K$4)*(GMW!$NF$2:$NF$150=K$1),0),$C117-1966)</f>
        <v>43061</v>
      </c>
      <c r="L117" s="4" cm="1">
        <f t="array" ref="L117">INDEX(GMW!$A$2:$NF$150,MATCH(1,(GMW!$NE$2:$NE$150=L$3)*(GMW!$ND$2:$ND$150=L$4)*(GMW!$NF$2:$NF$150=L$1),0),$C117-1966)</f>
        <v>434245.8</v>
      </c>
      <c r="M117" s="4" cm="1">
        <f t="array" ref="M117">INDEX(GMW!$A$2:$NF$150,MATCH(1,(GMW!$NE$2:$NE$150=M$3)*(GMW!$ND$2:$ND$150=M$4)*(GMW!$NF$2:$NF$150=M$1),0),$C117-1966)</f>
        <v>27560.54</v>
      </c>
      <c r="N117" s="4" cm="1">
        <f t="array" ref="N117">INDEX(GMW!$A$2:$NF$150,MATCH(1,(GMW!$NE$2:$NE$150=N$3)*(GMW!$ND$2:$ND$150=N$4)*(GMW!$NF$2:$NF$150=N$1),0),$C117-1966)</f>
        <v>32.6</v>
      </c>
      <c r="O117" s="4" cm="1">
        <f t="array" ref="O117">INDEX(GMW!$A$2:$NF$150,MATCH(1,(GMW!$NE$2:$NE$150=O$3)*(GMW!$ND$2:$ND$150=O$4)*(GMW!$NF$2:$NF$150=O$1),0),$C117-1966)</f>
        <v>383917.8</v>
      </c>
      <c r="P117" s="4" cm="1">
        <f t="array" ref="P117">INDEX(GMW!$A$2:$NF$150,MATCH(1,(GMW!$NE$2:$NE$150=P$3)*(GMW!$ND$2:$ND$150=P$4)*(GMW!$NF$2:$NF$150=P$1),0),$C117-1966)</f>
        <v>38439.32</v>
      </c>
      <c r="Q117" s="4" cm="1">
        <f t="array" ref="Q117">INDEX(GMW!$A$2:$NF$150,MATCH(1,(GMW!$NE$2:$NE$150=Q$3)*(GMW!$ND$2:$ND$150=Q$4)*(GMW!$NF$2:$NF$150=Q$1),0),$C117-1966)</f>
        <v>2073000</v>
      </c>
      <c r="R117" s="4" cm="1">
        <f t="array" ref="R117">INDEX(GMW!$A$2:$NF$150,MATCH(1,(GMW!$NE$2:$NE$150=R$3)*(GMW!$ND$2:$ND$150=R$4)*(GMW!$NF$2:$NF$150=R$1),0),$C117-1966)</f>
        <v>-1.7065459999999999</v>
      </c>
      <c r="S117" s="4" cm="1">
        <f t="array" ref="S117">INDEX(GMW!$A$2:$NF$150,MATCH(1,(GMW!$NE$2:$NE$150=S$3)*(GMW!$ND$2:$ND$150=S$4)*(GMW!$NF$2:$NF$150=S$1),0),$C117-1966)</f>
        <v>450688</v>
      </c>
      <c r="T117" s="4" cm="1">
        <f t="array" ref="T117">INDEX(GMW!$A$2:$NF$150,MATCH(1,(GMW!$NE$2:$NE$150=T$3)*(GMW!$ND$2:$ND$150=T$4)*(GMW!$NF$2:$NF$150=T$1),0),$C117-1966)</f>
        <v>72.7</v>
      </c>
      <c r="U117" s="4" cm="1">
        <f t="array" ref="U117">INDEX(GMW!$A$2:$NF$150,MATCH(1,(GMW!$NE$2:$NE$150=U$3)*(GMW!$ND$2:$ND$150=U$4)*(GMW!$NF$2:$NF$150=U$1),0),$C117-1966)</f>
        <v>120347</v>
      </c>
      <c r="V117" s="4" cm="1">
        <f t="array" ref="V117">INDEX(GMW!$A$2:$NF$150,MATCH(1,(GMW!$NE$2:$NE$150=V$3)*(GMW!$ND$2:$ND$150=V$4)*(GMW!$NF$2:$NF$150=V$1),0),$C117-1966)</f>
        <v>57547</v>
      </c>
      <c r="W117" s="4" cm="1">
        <f t="array" ref="W117">INDEX(GMW!$A$2:$NF$150,MATCH(1,(GMW!$NE$2:$NE$150=W$3)*(GMW!$ND$2:$ND$150=W$4)*(GMW!$NF$2:$NF$150=W$1),0),$C117-1966)</f>
        <v>116055</v>
      </c>
      <c r="X117" s="4" cm="1">
        <f t="array" ref="X117">INDEX(GMW!$A$2:$NF$150,MATCH(1,(GMW!$NE$2:$NE$150=X$3)*(GMW!$ND$2:$ND$150=X$4)*(GMW!$NF$2:$NF$150=X$1),0),$C117-1966)</f>
        <v>70427</v>
      </c>
      <c r="Y117" s="4" cm="1">
        <f t="array" ref="Y117">INDEX(GMW!$A$2:$NF$150,MATCH(1,(GMW!$NE$2:$NE$150=Y$3)*(GMW!$ND$2:$ND$150=Y$4)*(GMW!$NF$2:$NF$150=Y$1),0),$C117-1966)</f>
        <v>73900</v>
      </c>
      <c r="Z117" s="4" cm="1">
        <f t="array" ref="Z117">INDEX(GMW!$A$2:$NF$150,MATCH(1,(GMW!$NE$2:$NE$150=Z$3)*(GMW!$ND$2:$ND$150=Z$4)*(GMW!$NF$2:$NF$150=Z$1),0),$C117-1966)</f>
        <v>43061</v>
      </c>
      <c r="AA117" s="4" cm="1">
        <f t="array" ref="AA117">INDEX(GMW!$A$2:$NF$150,MATCH(1,(GMW!$NE$2:$NE$150=AA$3)*(GMW!$ND$2:$ND$150=AA$4)*(GMW!$NF$2:$NF$150=AA$1),0),$C117-1966)</f>
        <v>434245.8</v>
      </c>
      <c r="AB117" s="4" cm="1">
        <f t="array" ref="AB117">INDEX(GMW!$A$2:$NF$150,MATCH(1,(GMW!$NE$2:$NE$150=AB$3)*(GMW!$ND$2:$ND$150=AB$4)*(GMW!$NF$2:$NF$150=AB$1),0),$C117-1966)</f>
        <v>27560.54</v>
      </c>
      <c r="AC117" s="4" cm="1">
        <f t="array" ref="AC117">INDEX(GMW!$A$2:$NF$150,MATCH(1,(GMW!$NE$2:$NE$150=AC$3)*(GMW!$ND$2:$ND$150=AC$4)*(GMW!$NF$2:$NF$150=AC$1),0),$C117-1966)</f>
        <v>32.6</v>
      </c>
      <c r="AD117" s="4" cm="1">
        <f t="array" ref="AD117">INDEX(GMW!$A$2:$NF$150,MATCH(1,(GMW!$NE$2:$NE$150=AD$3)*(GMW!$ND$2:$ND$150=AD$4)*(GMW!$NF$2:$NF$150=AD$1),0),$C117-1966)</f>
        <v>383917.8</v>
      </c>
      <c r="AE117" s="4" cm="1">
        <f t="array" ref="AE117">INDEX(GMW!$A$2:$NF$150,MATCH(1,(GMW!$NE$2:$NE$150=AE$3)*(GMW!$ND$2:$ND$150=AE$4)*(GMW!$NF$2:$NF$150=AE$1),0),$C117-1966)</f>
        <v>38439.32</v>
      </c>
      <c r="AF117" s="4" cm="1">
        <f t="array" ref="AF117">INDEX(GMW!$A$2:$NF$150,MATCH(1,(GMW!$NE$2:$NE$150=AF$3)*(GMW!$ND$2:$ND$150=AF$4)*(GMW!$NF$2:$NF$150=AF$1),0),$C117-1966)</f>
        <v>2073000</v>
      </c>
      <c r="AG117" s="4" cm="1">
        <f t="array" ref="AG117">INDEX(GMW!$A$2:$NF$150,MATCH(1,(GMW!$NE$2:$NE$150=AG$3)*(GMW!$ND$2:$ND$150=AG$4)*(GMW!$NF$2:$NF$150=AG$1),0),$C117-1966)</f>
        <v>-1.7065459999999999</v>
      </c>
      <c r="AH117" s="4" cm="1">
        <f t="array" ref="AH117">INDEX(GMW!$A$2:$NF$150,MATCH(1,(GMW!$NE$2:$NE$150=AH$3)*(GMW!$ND$2:$ND$150=AH$4)*(GMW!$NF$2:$NF$150=AH$1),0),$C117-1966)</f>
        <v>450688</v>
      </c>
      <c r="AI117" s="4" cm="1">
        <f t="array" ref="AI117">INDEX(GMW!$A$2:$NF$150,MATCH(1,(GMW!$NE$2:$NE$150=AI$3)*(GMW!$ND$2:$ND$150=AI$4)*(GMW!$NF$2:$NF$150=AI$1),0),$C117-1966)</f>
        <v>72.7</v>
      </c>
      <c r="AJ117" s="4" cm="1">
        <f t="array" ref="AJ117">INDEX(GMW!$A$2:$NF$150,MATCH(1,(GMW!$NE$2:$NE$150=AJ$3)*(GMW!$ND$2:$ND$150=AJ$4)*(GMW!$NF$2:$NF$150=AJ$1),0),$C117-1966)</f>
        <v>120347</v>
      </c>
      <c r="AK117" s="4" cm="1">
        <f t="array" ref="AK117">INDEX(GMW!$A$2:$NF$150,MATCH(1,(GMW!$NE$2:$NE$150=AK$3)*(GMW!$ND$2:$ND$150=AK$4)*(GMW!$NF$2:$NF$150=AK$1),0),$C117-1966)</f>
        <v>57547</v>
      </c>
      <c r="AL117" s="4" cm="1">
        <f t="array" ref="AL117">INDEX(GMW!$A$2:$NF$150,MATCH(1,(GMW!$NE$2:$NE$150=AL$3)*(GMW!$ND$2:$ND$150=AL$4)*(GMW!$NF$2:$NF$150=AL$1),0),$C117-1966)</f>
        <v>116055</v>
      </c>
      <c r="AM117" s="4" cm="1">
        <f t="array" ref="AM117">INDEX(GMW!$A$2:$NF$150,MATCH(1,(GMW!$NE$2:$NE$150=AM$3)*(GMW!$ND$2:$ND$150=AM$4)*(GMW!$NF$2:$NF$150=AM$1),0),$C117-1966)</f>
        <v>70427</v>
      </c>
      <c r="AN117" s="4" cm="1">
        <f t="array" ref="AN117">INDEX(GMW!$A$2:$NF$150,MATCH(1,(GMW!$NE$2:$NE$150=AN$3)*(GMW!$ND$2:$ND$150=AN$4)*(GMW!$NF$2:$NF$150=AN$1),0),$C117-1966)</f>
        <v>73900</v>
      </c>
      <c r="AO117" s="4" cm="1">
        <f t="array" ref="AO117">INDEX(GMW!$A$2:$NF$150,MATCH(1,(GMW!$NE$2:$NE$150=AO$3)*(GMW!$ND$2:$ND$150=AO$4)*(GMW!$NF$2:$NF$150=AO$1),0),$C117-1966)</f>
        <v>43061</v>
      </c>
      <c r="AP117" s="4" cm="1">
        <f t="array" ref="AP117">INDEX(GMW!$A$2:$NF$150,MATCH(1,(GMW!$NE$2:$NE$150=AP$3)*(GMW!$ND$2:$ND$150=AP$4)*(GMW!$NF$2:$NF$150=AP$1),0),$C117-1966)</f>
        <v>434245.8</v>
      </c>
      <c r="AQ117" s="4" cm="1">
        <f t="array" ref="AQ117">INDEX(GMW!$A$2:$NF$150,MATCH(1,(GMW!$NE$2:$NE$150=AQ$3)*(GMW!$ND$2:$ND$150=AQ$4)*(GMW!$NF$2:$NF$150=AQ$1),0),$C117-1966)</f>
        <v>27560.54</v>
      </c>
      <c r="AR117" s="4" cm="1">
        <f t="array" ref="AR117">INDEX(GMW!$A$2:$NF$150,MATCH(1,(GMW!$NE$2:$NE$150=AR$3)*(GMW!$ND$2:$ND$150=AR$4)*(GMW!$NF$2:$NF$150=AR$1),0),$C117-1966)</f>
        <v>32.6</v>
      </c>
      <c r="AS117" s="4" cm="1">
        <f t="array" ref="AS117">INDEX(GMW!$A$2:$NF$150,MATCH(1,(GMW!$NE$2:$NE$150=AS$3)*(GMW!$ND$2:$ND$150=AS$4)*(GMW!$NF$2:$NF$150=AS$1),0),$C117-1966)</f>
        <v>383917.8</v>
      </c>
      <c r="AT117" s="4" cm="1">
        <f t="array" ref="AT117">INDEX(GMW!$A$2:$NF$150,MATCH(1,(GMW!$NE$2:$NE$150=AT$3)*(GMW!$ND$2:$ND$150=AT$4)*(GMW!$NF$2:$NF$150=AT$1),0),$C117-1966)</f>
        <v>38439.32</v>
      </c>
      <c r="AU117" s="4" cm="1">
        <f t="array" ref="AU117">INDEX(GMW!$A$2:$NF$150,MATCH(1,(GMW!$NE$2:$NE$150=AU$3)*(GMW!$ND$2:$ND$150=AU$4)*(GMW!$NF$2:$NF$150=AU$1),0),$C117-1966)</f>
        <v>2073000</v>
      </c>
      <c r="AV117" s="4" cm="1">
        <f t="array" ref="AV117">INDEX(GMW!$A$2:$NF$150,MATCH(1,(GMW!$NE$2:$NE$150=AV$3)*(GMW!$ND$2:$ND$150=AV$4)*(GMW!$NF$2:$NF$150=AV$1),0),$C117-1966)</f>
        <v>-1.7065459999999999</v>
      </c>
    </row>
    <row r="118" spans="1:48" x14ac:dyDescent="0.25">
      <c r="B118" s="4">
        <f t="shared" si="6"/>
        <v>2000</v>
      </c>
      <c r="C118" s="4">
        <f t="shared" si="7"/>
        <v>2084</v>
      </c>
      <c r="D118" s="4" cm="1">
        <f t="array" ref="D118">INDEX(GMW!$A$2:$NF$150,MATCH(1,(GMW!$NE$2:$NE$150=D$3)*(GMW!$ND$2:$ND$150=D$4)*(GMW!$NF$2:$NF$150=D$1),0),$C118-1966)</f>
        <v>453447</v>
      </c>
      <c r="E118" s="4" cm="1">
        <f t="array" ref="E118">INDEX(GMW!$A$2:$NF$150,MATCH(1,(GMW!$NE$2:$NE$150=E$3)*(GMW!$ND$2:$ND$150=E$4)*(GMW!$NF$2:$NF$150=E$1),0),$C118-1966)</f>
        <v>73.166659999999993</v>
      </c>
      <c r="F118" s="4" cm="1">
        <f t="array" ref="F118">INDEX(GMW!$A$2:$NF$150,MATCH(1,(GMW!$NE$2:$NE$150=F$3)*(GMW!$ND$2:$ND$150=F$4)*(GMW!$NF$2:$NF$150=F$1),0),$C118-1966)</f>
        <v>123350</v>
      </c>
      <c r="G118" s="4" cm="1">
        <f t="array" ref="G118">INDEX(GMW!$A$2:$NF$150,MATCH(1,(GMW!$NE$2:$NE$150=G$3)*(GMW!$ND$2:$ND$150=G$4)*(GMW!$NF$2:$NF$150=G$1),0),$C118-1966)</f>
        <v>61784</v>
      </c>
      <c r="H118" s="4" cm="1">
        <f t="array" ref="H118">INDEX(GMW!$A$2:$NF$150,MATCH(1,(GMW!$NE$2:$NE$150=H$3)*(GMW!$ND$2:$ND$150=H$4)*(GMW!$NF$2:$NF$150=H$1),0),$C118-1966)</f>
        <v>120091</v>
      </c>
      <c r="I118" s="4" cm="1">
        <f t="array" ref="I118">INDEX(GMW!$A$2:$NF$150,MATCH(1,(GMW!$NE$2:$NE$150=I$3)*(GMW!$ND$2:$ND$150=I$4)*(GMW!$NF$2:$NF$150=I$1),0),$C118-1966)</f>
        <v>72056</v>
      </c>
      <c r="J118" s="4" cm="1">
        <f t="array" ref="J118">INDEX(GMW!$A$2:$NF$150,MATCH(1,(GMW!$NE$2:$NE$150=J$3)*(GMW!$ND$2:$ND$150=J$4)*(GMW!$NF$2:$NF$150=J$1),0),$C118-1966)</f>
        <v>76186</v>
      </c>
      <c r="K118" s="4" cm="1">
        <f t="array" ref="K118">INDEX(GMW!$A$2:$NF$150,MATCH(1,(GMW!$NE$2:$NE$150=K$3)*(GMW!$ND$2:$ND$150=K$4)*(GMW!$NF$2:$NF$150=K$1),0),$C118-1966)</f>
        <v>44611</v>
      </c>
      <c r="L118" s="4" cm="1">
        <f t="array" ref="L118">INDEX(GMW!$A$2:$NF$150,MATCH(1,(GMW!$NE$2:$NE$150=L$3)*(GMW!$ND$2:$ND$150=L$4)*(GMW!$NF$2:$NF$150=L$1),0),$C118-1966)</f>
        <v>438874.7</v>
      </c>
      <c r="M118" s="4" cm="1">
        <f t="array" ref="M118">INDEX(GMW!$A$2:$NF$150,MATCH(1,(GMW!$NE$2:$NE$150=M$3)*(GMW!$ND$2:$ND$150=M$4)*(GMW!$NF$2:$NF$150=M$1),0),$C118-1966)</f>
        <v>27557.41</v>
      </c>
      <c r="N118" s="4" cm="1">
        <f t="array" ref="N118">INDEX(GMW!$A$2:$NF$150,MATCH(1,(GMW!$NE$2:$NE$150=N$3)*(GMW!$ND$2:$ND$150=N$4)*(GMW!$NF$2:$NF$150=N$1),0),$C118-1966)</f>
        <v>32.799999999999997</v>
      </c>
      <c r="O118" s="4" cm="1">
        <f t="array" ref="O118">INDEX(GMW!$A$2:$NF$150,MATCH(1,(GMW!$NE$2:$NE$150=O$3)*(GMW!$ND$2:$ND$150=O$4)*(GMW!$NF$2:$NF$150=O$1),0),$C118-1966)</f>
        <v>387283.8</v>
      </c>
      <c r="P118" s="4" cm="1">
        <f t="array" ref="P118">INDEX(GMW!$A$2:$NF$150,MATCH(1,(GMW!$NE$2:$NE$150=P$3)*(GMW!$ND$2:$ND$150=P$4)*(GMW!$NF$2:$NF$150=P$1),0),$C118-1966)</f>
        <v>38504.06</v>
      </c>
      <c r="Q118" s="4" cm="1">
        <f t="array" ref="Q118">INDEX(GMW!$A$2:$NF$150,MATCH(1,(GMW!$NE$2:$NE$150=Q$3)*(GMW!$ND$2:$ND$150=Q$4)*(GMW!$NF$2:$NF$150=Q$1),0),$C118-1966)</f>
        <v>2094000</v>
      </c>
      <c r="R118" s="4" cm="1">
        <f t="array" ref="R118">INDEX(GMW!$A$2:$NF$150,MATCH(1,(GMW!$NE$2:$NE$150=R$3)*(GMW!$ND$2:$ND$150=R$4)*(GMW!$NF$2:$NF$150=R$1),0),$C118-1966)</f>
        <v>-1.7055229999999999</v>
      </c>
      <c r="S118" s="4" cm="1">
        <f t="array" ref="S118">INDEX(GMW!$A$2:$NF$150,MATCH(1,(GMW!$NE$2:$NE$150=S$3)*(GMW!$ND$2:$ND$150=S$4)*(GMW!$NF$2:$NF$150=S$1),0),$C118-1966)</f>
        <v>453447</v>
      </c>
      <c r="T118" s="4" cm="1">
        <f t="array" ref="T118">INDEX(GMW!$A$2:$NF$150,MATCH(1,(GMW!$NE$2:$NE$150=T$3)*(GMW!$ND$2:$ND$150=T$4)*(GMW!$NF$2:$NF$150=T$1),0),$C118-1966)</f>
        <v>73.166659999999993</v>
      </c>
      <c r="U118" s="4" cm="1">
        <f t="array" ref="U118">INDEX(GMW!$A$2:$NF$150,MATCH(1,(GMW!$NE$2:$NE$150=U$3)*(GMW!$ND$2:$ND$150=U$4)*(GMW!$NF$2:$NF$150=U$1),0),$C118-1966)</f>
        <v>123350</v>
      </c>
      <c r="V118" s="4" cm="1">
        <f t="array" ref="V118">INDEX(GMW!$A$2:$NF$150,MATCH(1,(GMW!$NE$2:$NE$150=V$3)*(GMW!$ND$2:$ND$150=V$4)*(GMW!$NF$2:$NF$150=V$1),0),$C118-1966)</f>
        <v>61784</v>
      </c>
      <c r="W118" s="4" cm="1">
        <f t="array" ref="W118">INDEX(GMW!$A$2:$NF$150,MATCH(1,(GMW!$NE$2:$NE$150=W$3)*(GMW!$ND$2:$ND$150=W$4)*(GMW!$NF$2:$NF$150=W$1),0),$C118-1966)</f>
        <v>120091</v>
      </c>
      <c r="X118" s="4" cm="1">
        <f t="array" ref="X118">INDEX(GMW!$A$2:$NF$150,MATCH(1,(GMW!$NE$2:$NE$150=X$3)*(GMW!$ND$2:$ND$150=X$4)*(GMW!$NF$2:$NF$150=X$1),0),$C118-1966)</f>
        <v>72056</v>
      </c>
      <c r="Y118" s="4" cm="1">
        <f t="array" ref="Y118">INDEX(GMW!$A$2:$NF$150,MATCH(1,(GMW!$NE$2:$NE$150=Y$3)*(GMW!$ND$2:$ND$150=Y$4)*(GMW!$NF$2:$NF$150=Y$1),0),$C118-1966)</f>
        <v>76186</v>
      </c>
      <c r="Z118" s="4" cm="1">
        <f t="array" ref="Z118">INDEX(GMW!$A$2:$NF$150,MATCH(1,(GMW!$NE$2:$NE$150=Z$3)*(GMW!$ND$2:$ND$150=Z$4)*(GMW!$NF$2:$NF$150=Z$1),0),$C118-1966)</f>
        <v>44611</v>
      </c>
      <c r="AA118" s="4" cm="1">
        <f t="array" ref="AA118">INDEX(GMW!$A$2:$NF$150,MATCH(1,(GMW!$NE$2:$NE$150=AA$3)*(GMW!$ND$2:$ND$150=AA$4)*(GMW!$NF$2:$NF$150=AA$1),0),$C118-1966)</f>
        <v>438874.7</v>
      </c>
      <c r="AB118" s="4" cm="1">
        <f t="array" ref="AB118">INDEX(GMW!$A$2:$NF$150,MATCH(1,(GMW!$NE$2:$NE$150=AB$3)*(GMW!$ND$2:$ND$150=AB$4)*(GMW!$NF$2:$NF$150=AB$1),0),$C118-1966)</f>
        <v>27557.41</v>
      </c>
      <c r="AC118" s="4" cm="1">
        <f t="array" ref="AC118">INDEX(GMW!$A$2:$NF$150,MATCH(1,(GMW!$NE$2:$NE$150=AC$3)*(GMW!$ND$2:$ND$150=AC$4)*(GMW!$NF$2:$NF$150=AC$1),0),$C118-1966)</f>
        <v>32.799999999999997</v>
      </c>
      <c r="AD118" s="4" cm="1">
        <f t="array" ref="AD118">INDEX(GMW!$A$2:$NF$150,MATCH(1,(GMW!$NE$2:$NE$150=AD$3)*(GMW!$ND$2:$ND$150=AD$4)*(GMW!$NF$2:$NF$150=AD$1),0),$C118-1966)</f>
        <v>387283.8</v>
      </c>
      <c r="AE118" s="4" cm="1">
        <f t="array" ref="AE118">INDEX(GMW!$A$2:$NF$150,MATCH(1,(GMW!$NE$2:$NE$150=AE$3)*(GMW!$ND$2:$ND$150=AE$4)*(GMW!$NF$2:$NF$150=AE$1),0),$C118-1966)</f>
        <v>38504.06</v>
      </c>
      <c r="AF118" s="4" cm="1">
        <f t="array" ref="AF118">INDEX(GMW!$A$2:$NF$150,MATCH(1,(GMW!$NE$2:$NE$150=AF$3)*(GMW!$ND$2:$ND$150=AF$4)*(GMW!$NF$2:$NF$150=AF$1),0),$C118-1966)</f>
        <v>2094000</v>
      </c>
      <c r="AG118" s="4" cm="1">
        <f t="array" ref="AG118">INDEX(GMW!$A$2:$NF$150,MATCH(1,(GMW!$NE$2:$NE$150=AG$3)*(GMW!$ND$2:$ND$150=AG$4)*(GMW!$NF$2:$NF$150=AG$1),0),$C118-1966)</f>
        <v>-1.7055229999999999</v>
      </c>
      <c r="AH118" s="4" cm="1">
        <f t="array" ref="AH118">INDEX(GMW!$A$2:$NF$150,MATCH(1,(GMW!$NE$2:$NE$150=AH$3)*(GMW!$ND$2:$ND$150=AH$4)*(GMW!$NF$2:$NF$150=AH$1),0),$C118-1966)</f>
        <v>453447</v>
      </c>
      <c r="AI118" s="4" cm="1">
        <f t="array" ref="AI118">INDEX(GMW!$A$2:$NF$150,MATCH(1,(GMW!$NE$2:$NE$150=AI$3)*(GMW!$ND$2:$ND$150=AI$4)*(GMW!$NF$2:$NF$150=AI$1),0),$C118-1966)</f>
        <v>73.166659999999993</v>
      </c>
      <c r="AJ118" s="4" cm="1">
        <f t="array" ref="AJ118">INDEX(GMW!$A$2:$NF$150,MATCH(1,(GMW!$NE$2:$NE$150=AJ$3)*(GMW!$ND$2:$ND$150=AJ$4)*(GMW!$NF$2:$NF$150=AJ$1),0),$C118-1966)</f>
        <v>123350</v>
      </c>
      <c r="AK118" s="4" cm="1">
        <f t="array" ref="AK118">INDEX(GMW!$A$2:$NF$150,MATCH(1,(GMW!$NE$2:$NE$150=AK$3)*(GMW!$ND$2:$ND$150=AK$4)*(GMW!$NF$2:$NF$150=AK$1),0),$C118-1966)</f>
        <v>61784</v>
      </c>
      <c r="AL118" s="4" cm="1">
        <f t="array" ref="AL118">INDEX(GMW!$A$2:$NF$150,MATCH(1,(GMW!$NE$2:$NE$150=AL$3)*(GMW!$ND$2:$ND$150=AL$4)*(GMW!$NF$2:$NF$150=AL$1),0),$C118-1966)</f>
        <v>120091</v>
      </c>
      <c r="AM118" s="4" cm="1">
        <f t="array" ref="AM118">INDEX(GMW!$A$2:$NF$150,MATCH(1,(GMW!$NE$2:$NE$150=AM$3)*(GMW!$ND$2:$ND$150=AM$4)*(GMW!$NF$2:$NF$150=AM$1),0),$C118-1966)</f>
        <v>72056</v>
      </c>
      <c r="AN118" s="4" cm="1">
        <f t="array" ref="AN118">INDEX(GMW!$A$2:$NF$150,MATCH(1,(GMW!$NE$2:$NE$150=AN$3)*(GMW!$ND$2:$ND$150=AN$4)*(GMW!$NF$2:$NF$150=AN$1),0),$C118-1966)</f>
        <v>76186</v>
      </c>
      <c r="AO118" s="4" cm="1">
        <f t="array" ref="AO118">INDEX(GMW!$A$2:$NF$150,MATCH(1,(GMW!$NE$2:$NE$150=AO$3)*(GMW!$ND$2:$ND$150=AO$4)*(GMW!$NF$2:$NF$150=AO$1),0),$C118-1966)</f>
        <v>44611</v>
      </c>
      <c r="AP118" s="4" cm="1">
        <f t="array" ref="AP118">INDEX(GMW!$A$2:$NF$150,MATCH(1,(GMW!$NE$2:$NE$150=AP$3)*(GMW!$ND$2:$ND$150=AP$4)*(GMW!$NF$2:$NF$150=AP$1),0),$C118-1966)</f>
        <v>438874.7</v>
      </c>
      <c r="AQ118" s="4" cm="1">
        <f t="array" ref="AQ118">INDEX(GMW!$A$2:$NF$150,MATCH(1,(GMW!$NE$2:$NE$150=AQ$3)*(GMW!$ND$2:$ND$150=AQ$4)*(GMW!$NF$2:$NF$150=AQ$1),0),$C118-1966)</f>
        <v>27557.41</v>
      </c>
      <c r="AR118" s="4" cm="1">
        <f t="array" ref="AR118">INDEX(GMW!$A$2:$NF$150,MATCH(1,(GMW!$NE$2:$NE$150=AR$3)*(GMW!$ND$2:$ND$150=AR$4)*(GMW!$NF$2:$NF$150=AR$1),0),$C118-1966)</f>
        <v>32.799999999999997</v>
      </c>
      <c r="AS118" s="4" cm="1">
        <f t="array" ref="AS118">INDEX(GMW!$A$2:$NF$150,MATCH(1,(GMW!$NE$2:$NE$150=AS$3)*(GMW!$ND$2:$ND$150=AS$4)*(GMW!$NF$2:$NF$150=AS$1),0),$C118-1966)</f>
        <v>387283.8</v>
      </c>
      <c r="AT118" s="4" cm="1">
        <f t="array" ref="AT118">INDEX(GMW!$A$2:$NF$150,MATCH(1,(GMW!$NE$2:$NE$150=AT$3)*(GMW!$ND$2:$ND$150=AT$4)*(GMW!$NF$2:$NF$150=AT$1),0),$C118-1966)</f>
        <v>38504.06</v>
      </c>
      <c r="AU118" s="4" cm="1">
        <f t="array" ref="AU118">INDEX(GMW!$A$2:$NF$150,MATCH(1,(GMW!$NE$2:$NE$150=AU$3)*(GMW!$ND$2:$ND$150=AU$4)*(GMW!$NF$2:$NF$150=AU$1),0),$C118-1966)</f>
        <v>2094000</v>
      </c>
      <c r="AV118" s="4" cm="1">
        <f t="array" ref="AV118">INDEX(GMW!$A$2:$NF$150,MATCH(1,(GMW!$NE$2:$NE$150=AV$3)*(GMW!$ND$2:$ND$150=AV$4)*(GMW!$NF$2:$NF$150=AV$1),0),$C118-1966)</f>
        <v>-1.7055229999999999</v>
      </c>
    </row>
    <row r="119" spans="1:48" x14ac:dyDescent="0.25">
      <c r="A119" s="4">
        <v>2001</v>
      </c>
      <c r="B119" s="4">
        <f t="shared" si="6"/>
        <v>2001</v>
      </c>
      <c r="C119" s="4">
        <f t="shared" si="7"/>
        <v>2085</v>
      </c>
      <c r="D119" s="4" cm="1">
        <f t="array" ref="D119">INDEX(GMW!$A$2:$NF$150,MATCH(1,(GMW!$NE$2:$NE$150=D$3)*(GMW!$ND$2:$ND$150=D$4)*(GMW!$NF$2:$NF$150=D$1),0),$C119-1966)</f>
        <v>457680</v>
      </c>
      <c r="E119" s="4" cm="1">
        <f t="array" ref="E119">INDEX(GMW!$A$2:$NF$150,MATCH(1,(GMW!$NE$2:$NE$150=E$3)*(GMW!$ND$2:$ND$150=E$4)*(GMW!$NF$2:$NF$150=E$1),0),$C119-1966)</f>
        <v>72.766670000000005</v>
      </c>
      <c r="F119" s="4" cm="1">
        <f t="array" ref="F119">INDEX(GMW!$A$2:$NF$150,MATCH(1,(GMW!$NE$2:$NE$150=F$3)*(GMW!$ND$2:$ND$150=F$4)*(GMW!$NF$2:$NF$150=F$1),0),$C119-1966)</f>
        <v>128331</v>
      </c>
      <c r="G119" s="4" cm="1">
        <f t="array" ref="G119">INDEX(GMW!$A$2:$NF$150,MATCH(1,(GMW!$NE$2:$NE$150=G$3)*(GMW!$ND$2:$ND$150=G$4)*(GMW!$NF$2:$NF$150=G$1),0),$C119-1966)</f>
        <v>62604</v>
      </c>
      <c r="H119" s="4" cm="1">
        <f t="array" ref="H119">INDEX(GMW!$A$2:$NF$150,MATCH(1,(GMW!$NE$2:$NE$150=H$3)*(GMW!$ND$2:$ND$150=H$4)*(GMW!$NF$2:$NF$150=H$1),0),$C119-1966)</f>
        <v>122754</v>
      </c>
      <c r="I119" s="4" cm="1">
        <f t="array" ref="I119">INDEX(GMW!$A$2:$NF$150,MATCH(1,(GMW!$NE$2:$NE$150=I$3)*(GMW!$ND$2:$ND$150=I$4)*(GMW!$NF$2:$NF$150=I$1),0),$C119-1966)</f>
        <v>74487</v>
      </c>
      <c r="J119" s="4" cm="1">
        <f t="array" ref="J119">INDEX(GMW!$A$2:$NF$150,MATCH(1,(GMW!$NE$2:$NE$150=J$3)*(GMW!$ND$2:$ND$150=J$4)*(GMW!$NF$2:$NF$150=J$1),0),$C119-1966)</f>
        <v>76262</v>
      </c>
      <c r="K119" s="4" cm="1">
        <f t="array" ref="K119">INDEX(GMW!$A$2:$NF$150,MATCH(1,(GMW!$NE$2:$NE$150=K$3)*(GMW!$ND$2:$ND$150=K$4)*(GMW!$NF$2:$NF$150=K$1),0),$C119-1966)</f>
        <v>44343</v>
      </c>
      <c r="L119" s="4" cm="1">
        <f t="array" ref="L119">INDEX(GMW!$A$2:$NF$150,MATCH(1,(GMW!$NE$2:$NE$150=L$3)*(GMW!$ND$2:$ND$150=L$4)*(GMW!$NF$2:$NF$150=L$1),0),$C119-1966)</f>
        <v>441485</v>
      </c>
      <c r="M119" s="4" cm="1">
        <f t="array" ref="M119">INDEX(GMW!$A$2:$NF$150,MATCH(1,(GMW!$NE$2:$NE$150=M$3)*(GMW!$ND$2:$ND$150=M$4)*(GMW!$NF$2:$NF$150=M$1),0),$C119-1966)</f>
        <v>27619.7</v>
      </c>
      <c r="N119" s="4" cm="1">
        <f t="array" ref="N119">INDEX(GMW!$A$2:$NF$150,MATCH(1,(GMW!$NE$2:$NE$150=N$3)*(GMW!$ND$2:$ND$150=N$4)*(GMW!$NF$2:$NF$150=N$1),0),$C119-1966)</f>
        <v>32.700000000000003</v>
      </c>
      <c r="O119" s="4" cm="1">
        <f t="array" ref="O119">INDEX(GMW!$A$2:$NF$150,MATCH(1,(GMW!$NE$2:$NE$150=O$3)*(GMW!$ND$2:$ND$150=O$4)*(GMW!$NF$2:$NF$150=O$1),0),$C119-1966)</f>
        <v>390395</v>
      </c>
      <c r="P119" s="4" cm="1">
        <f t="array" ref="P119">INDEX(GMW!$A$2:$NF$150,MATCH(1,(GMW!$NE$2:$NE$150=P$3)*(GMW!$ND$2:$ND$150=P$4)*(GMW!$NF$2:$NF$150=P$1),0),$C119-1966)</f>
        <v>38568.79</v>
      </c>
      <c r="Q119" s="4" cm="1">
        <f t="array" ref="Q119">INDEX(GMW!$A$2:$NF$150,MATCH(1,(GMW!$NE$2:$NE$150=Q$3)*(GMW!$ND$2:$ND$150=Q$4)*(GMW!$NF$2:$NF$150=Q$1),0),$C119-1966)</f>
        <v>2112500</v>
      </c>
      <c r="R119" s="4" cm="1">
        <f t="array" ref="R119">INDEX(GMW!$A$2:$NF$150,MATCH(1,(GMW!$NE$2:$NE$150=R$3)*(GMW!$ND$2:$ND$150=R$4)*(GMW!$NF$2:$NF$150=R$1),0),$C119-1966)</f>
        <v>-1.704499</v>
      </c>
      <c r="S119" s="4" cm="1">
        <f t="array" ref="S119">INDEX(GMW!$A$2:$NF$150,MATCH(1,(GMW!$NE$2:$NE$150=S$3)*(GMW!$ND$2:$ND$150=S$4)*(GMW!$NF$2:$NF$150=S$1),0),$C119-1966)</f>
        <v>457680</v>
      </c>
      <c r="T119" s="4" cm="1">
        <f t="array" ref="T119">INDEX(GMW!$A$2:$NF$150,MATCH(1,(GMW!$NE$2:$NE$150=T$3)*(GMW!$ND$2:$ND$150=T$4)*(GMW!$NF$2:$NF$150=T$1),0),$C119-1966)</f>
        <v>72.766670000000005</v>
      </c>
      <c r="U119" s="4" cm="1">
        <f t="array" ref="U119">INDEX(GMW!$A$2:$NF$150,MATCH(1,(GMW!$NE$2:$NE$150=U$3)*(GMW!$ND$2:$ND$150=U$4)*(GMW!$NF$2:$NF$150=U$1),0),$C119-1966)</f>
        <v>128331</v>
      </c>
      <c r="V119" s="4" cm="1">
        <f t="array" ref="V119">INDEX(GMW!$A$2:$NF$150,MATCH(1,(GMW!$NE$2:$NE$150=V$3)*(GMW!$ND$2:$ND$150=V$4)*(GMW!$NF$2:$NF$150=V$1),0),$C119-1966)</f>
        <v>62604</v>
      </c>
      <c r="W119" s="4" cm="1">
        <f t="array" ref="W119">INDEX(GMW!$A$2:$NF$150,MATCH(1,(GMW!$NE$2:$NE$150=W$3)*(GMW!$ND$2:$ND$150=W$4)*(GMW!$NF$2:$NF$150=W$1),0),$C119-1966)</f>
        <v>122754</v>
      </c>
      <c r="X119" s="4" cm="1">
        <f t="array" ref="X119">INDEX(GMW!$A$2:$NF$150,MATCH(1,(GMW!$NE$2:$NE$150=X$3)*(GMW!$ND$2:$ND$150=X$4)*(GMW!$NF$2:$NF$150=X$1),0),$C119-1966)</f>
        <v>74487</v>
      </c>
      <c r="Y119" s="4" cm="1">
        <f t="array" ref="Y119">INDEX(GMW!$A$2:$NF$150,MATCH(1,(GMW!$NE$2:$NE$150=Y$3)*(GMW!$ND$2:$ND$150=Y$4)*(GMW!$NF$2:$NF$150=Y$1),0),$C119-1966)</f>
        <v>76262</v>
      </c>
      <c r="Z119" s="4" cm="1">
        <f t="array" ref="Z119">INDEX(GMW!$A$2:$NF$150,MATCH(1,(GMW!$NE$2:$NE$150=Z$3)*(GMW!$ND$2:$ND$150=Z$4)*(GMW!$NF$2:$NF$150=Z$1),0),$C119-1966)</f>
        <v>44343</v>
      </c>
      <c r="AA119" s="4" cm="1">
        <f t="array" ref="AA119">INDEX(GMW!$A$2:$NF$150,MATCH(1,(GMW!$NE$2:$NE$150=AA$3)*(GMW!$ND$2:$ND$150=AA$4)*(GMW!$NF$2:$NF$150=AA$1),0),$C119-1966)</f>
        <v>441485</v>
      </c>
      <c r="AB119" s="4" cm="1">
        <f t="array" ref="AB119">INDEX(GMW!$A$2:$NF$150,MATCH(1,(GMW!$NE$2:$NE$150=AB$3)*(GMW!$ND$2:$ND$150=AB$4)*(GMW!$NF$2:$NF$150=AB$1),0),$C119-1966)</f>
        <v>27619.7</v>
      </c>
      <c r="AC119" s="4" cm="1">
        <f t="array" ref="AC119">INDEX(GMW!$A$2:$NF$150,MATCH(1,(GMW!$NE$2:$NE$150=AC$3)*(GMW!$ND$2:$ND$150=AC$4)*(GMW!$NF$2:$NF$150=AC$1),0),$C119-1966)</f>
        <v>32.700000000000003</v>
      </c>
      <c r="AD119" s="4" cm="1">
        <f t="array" ref="AD119">INDEX(GMW!$A$2:$NF$150,MATCH(1,(GMW!$NE$2:$NE$150=AD$3)*(GMW!$ND$2:$ND$150=AD$4)*(GMW!$NF$2:$NF$150=AD$1),0),$C119-1966)</f>
        <v>390395</v>
      </c>
      <c r="AE119" s="4" cm="1">
        <f t="array" ref="AE119">INDEX(GMW!$A$2:$NF$150,MATCH(1,(GMW!$NE$2:$NE$150=AE$3)*(GMW!$ND$2:$ND$150=AE$4)*(GMW!$NF$2:$NF$150=AE$1),0),$C119-1966)</f>
        <v>38568.79</v>
      </c>
      <c r="AF119" s="4" cm="1">
        <f t="array" ref="AF119">INDEX(GMW!$A$2:$NF$150,MATCH(1,(GMW!$NE$2:$NE$150=AF$3)*(GMW!$ND$2:$ND$150=AF$4)*(GMW!$NF$2:$NF$150=AF$1),0),$C119-1966)</f>
        <v>2112500</v>
      </c>
      <c r="AG119" s="4" cm="1">
        <f t="array" ref="AG119">INDEX(GMW!$A$2:$NF$150,MATCH(1,(GMW!$NE$2:$NE$150=AG$3)*(GMW!$ND$2:$ND$150=AG$4)*(GMW!$NF$2:$NF$150=AG$1),0),$C119-1966)</f>
        <v>-1.704499</v>
      </c>
      <c r="AH119" s="4" cm="1">
        <f t="array" ref="AH119">INDEX(GMW!$A$2:$NF$150,MATCH(1,(GMW!$NE$2:$NE$150=AH$3)*(GMW!$ND$2:$ND$150=AH$4)*(GMW!$NF$2:$NF$150=AH$1),0),$C119-1966)</f>
        <v>457680</v>
      </c>
      <c r="AI119" s="4" cm="1">
        <f t="array" ref="AI119">INDEX(GMW!$A$2:$NF$150,MATCH(1,(GMW!$NE$2:$NE$150=AI$3)*(GMW!$ND$2:$ND$150=AI$4)*(GMW!$NF$2:$NF$150=AI$1),0),$C119-1966)</f>
        <v>72.766670000000005</v>
      </c>
      <c r="AJ119" s="4" cm="1">
        <f t="array" ref="AJ119">INDEX(GMW!$A$2:$NF$150,MATCH(1,(GMW!$NE$2:$NE$150=AJ$3)*(GMW!$ND$2:$ND$150=AJ$4)*(GMW!$NF$2:$NF$150=AJ$1),0),$C119-1966)</f>
        <v>128331</v>
      </c>
      <c r="AK119" s="4" cm="1">
        <f t="array" ref="AK119">INDEX(GMW!$A$2:$NF$150,MATCH(1,(GMW!$NE$2:$NE$150=AK$3)*(GMW!$ND$2:$ND$150=AK$4)*(GMW!$NF$2:$NF$150=AK$1),0),$C119-1966)</f>
        <v>62604</v>
      </c>
      <c r="AL119" s="4" cm="1">
        <f t="array" ref="AL119">INDEX(GMW!$A$2:$NF$150,MATCH(1,(GMW!$NE$2:$NE$150=AL$3)*(GMW!$ND$2:$ND$150=AL$4)*(GMW!$NF$2:$NF$150=AL$1),0),$C119-1966)</f>
        <v>122754</v>
      </c>
      <c r="AM119" s="4" cm="1">
        <f t="array" ref="AM119">INDEX(GMW!$A$2:$NF$150,MATCH(1,(GMW!$NE$2:$NE$150=AM$3)*(GMW!$ND$2:$ND$150=AM$4)*(GMW!$NF$2:$NF$150=AM$1),0),$C119-1966)</f>
        <v>74487</v>
      </c>
      <c r="AN119" s="4" cm="1">
        <f t="array" ref="AN119">INDEX(GMW!$A$2:$NF$150,MATCH(1,(GMW!$NE$2:$NE$150=AN$3)*(GMW!$ND$2:$ND$150=AN$4)*(GMW!$NF$2:$NF$150=AN$1),0),$C119-1966)</f>
        <v>76262</v>
      </c>
      <c r="AO119" s="4" cm="1">
        <f t="array" ref="AO119">INDEX(GMW!$A$2:$NF$150,MATCH(1,(GMW!$NE$2:$NE$150=AO$3)*(GMW!$ND$2:$ND$150=AO$4)*(GMW!$NF$2:$NF$150=AO$1),0),$C119-1966)</f>
        <v>44343</v>
      </c>
      <c r="AP119" s="4" cm="1">
        <f t="array" ref="AP119">INDEX(GMW!$A$2:$NF$150,MATCH(1,(GMW!$NE$2:$NE$150=AP$3)*(GMW!$ND$2:$ND$150=AP$4)*(GMW!$NF$2:$NF$150=AP$1),0),$C119-1966)</f>
        <v>441485</v>
      </c>
      <c r="AQ119" s="4" cm="1">
        <f t="array" ref="AQ119">INDEX(GMW!$A$2:$NF$150,MATCH(1,(GMW!$NE$2:$NE$150=AQ$3)*(GMW!$ND$2:$ND$150=AQ$4)*(GMW!$NF$2:$NF$150=AQ$1),0),$C119-1966)</f>
        <v>27619.7</v>
      </c>
      <c r="AR119" s="4" cm="1">
        <f t="array" ref="AR119">INDEX(GMW!$A$2:$NF$150,MATCH(1,(GMW!$NE$2:$NE$150=AR$3)*(GMW!$ND$2:$ND$150=AR$4)*(GMW!$NF$2:$NF$150=AR$1),0),$C119-1966)</f>
        <v>32.700000000000003</v>
      </c>
      <c r="AS119" s="4" cm="1">
        <f t="array" ref="AS119">INDEX(GMW!$A$2:$NF$150,MATCH(1,(GMW!$NE$2:$NE$150=AS$3)*(GMW!$ND$2:$ND$150=AS$4)*(GMW!$NF$2:$NF$150=AS$1),0),$C119-1966)</f>
        <v>390395</v>
      </c>
      <c r="AT119" s="4" cm="1">
        <f t="array" ref="AT119">INDEX(GMW!$A$2:$NF$150,MATCH(1,(GMW!$NE$2:$NE$150=AT$3)*(GMW!$ND$2:$ND$150=AT$4)*(GMW!$NF$2:$NF$150=AT$1),0),$C119-1966)</f>
        <v>38568.79</v>
      </c>
      <c r="AU119" s="4" cm="1">
        <f t="array" ref="AU119">INDEX(GMW!$A$2:$NF$150,MATCH(1,(GMW!$NE$2:$NE$150=AU$3)*(GMW!$ND$2:$ND$150=AU$4)*(GMW!$NF$2:$NF$150=AU$1),0),$C119-1966)</f>
        <v>2112500</v>
      </c>
      <c r="AV119" s="4" cm="1">
        <f t="array" ref="AV119">INDEX(GMW!$A$2:$NF$150,MATCH(1,(GMW!$NE$2:$NE$150=AV$3)*(GMW!$ND$2:$ND$150=AV$4)*(GMW!$NF$2:$NF$150=AV$1),0),$C119-1966)</f>
        <v>-1.704499</v>
      </c>
    </row>
    <row r="120" spans="1:48" x14ac:dyDescent="0.25">
      <c r="B120" s="4">
        <f t="shared" si="6"/>
        <v>2001</v>
      </c>
      <c r="C120" s="4">
        <f t="shared" si="7"/>
        <v>2086</v>
      </c>
      <c r="D120" s="4" cm="1">
        <f t="array" ref="D120">INDEX(GMW!$A$2:$NF$150,MATCH(1,(GMW!$NE$2:$NE$150=D$3)*(GMW!$ND$2:$ND$150=D$4)*(GMW!$NF$2:$NF$150=D$1),0),$C120-1966)</f>
        <v>459620</v>
      </c>
      <c r="E120" s="4" cm="1">
        <f t="array" ref="E120">INDEX(GMW!$A$2:$NF$150,MATCH(1,(GMW!$NE$2:$NE$150=E$3)*(GMW!$ND$2:$ND$150=E$4)*(GMW!$NF$2:$NF$150=E$1),0),$C120-1966)</f>
        <v>73.833340000000007</v>
      </c>
      <c r="F120" s="4" cm="1">
        <f t="array" ref="F120">INDEX(GMW!$A$2:$NF$150,MATCH(1,(GMW!$NE$2:$NE$150=F$3)*(GMW!$ND$2:$ND$150=F$4)*(GMW!$NF$2:$NF$150=F$1),0),$C120-1966)</f>
        <v>122946</v>
      </c>
      <c r="G120" s="4" cm="1">
        <f t="array" ref="G120">INDEX(GMW!$A$2:$NF$150,MATCH(1,(GMW!$NE$2:$NE$150=G$3)*(GMW!$ND$2:$ND$150=G$4)*(GMW!$NF$2:$NF$150=G$1),0),$C120-1966)</f>
        <v>60790</v>
      </c>
      <c r="H120" s="4" cm="1">
        <f t="array" ref="H120">INDEX(GMW!$A$2:$NF$150,MATCH(1,(GMW!$NE$2:$NE$150=H$3)*(GMW!$ND$2:$ND$150=H$4)*(GMW!$NF$2:$NF$150=H$1),0),$C120-1966)</f>
        <v>123401</v>
      </c>
      <c r="I120" s="4" cm="1">
        <f t="array" ref="I120">INDEX(GMW!$A$2:$NF$150,MATCH(1,(GMW!$NE$2:$NE$150=I$3)*(GMW!$ND$2:$ND$150=I$4)*(GMW!$NF$2:$NF$150=I$1),0),$C120-1966)</f>
        <v>73505</v>
      </c>
      <c r="J120" s="4" cm="1">
        <f t="array" ref="J120">INDEX(GMW!$A$2:$NF$150,MATCH(1,(GMW!$NE$2:$NE$150=J$3)*(GMW!$ND$2:$ND$150=J$4)*(GMW!$NF$2:$NF$150=J$1),0),$C120-1966)</f>
        <v>79060</v>
      </c>
      <c r="K120" s="4" cm="1">
        <f t="array" ref="K120">INDEX(GMW!$A$2:$NF$150,MATCH(1,(GMW!$NE$2:$NE$150=K$3)*(GMW!$ND$2:$ND$150=K$4)*(GMW!$NF$2:$NF$150=K$1),0),$C120-1966)</f>
        <v>44742</v>
      </c>
      <c r="L120" s="4" cm="1">
        <f t="array" ref="L120">INDEX(GMW!$A$2:$NF$150,MATCH(1,(GMW!$NE$2:$NE$150=L$3)*(GMW!$ND$2:$ND$150=L$4)*(GMW!$NF$2:$NF$150=L$1),0),$C120-1966)</f>
        <v>445913.7</v>
      </c>
      <c r="M120" s="4" cm="1">
        <f t="array" ref="M120">INDEX(GMW!$A$2:$NF$150,MATCH(1,(GMW!$NE$2:$NE$150=M$3)*(GMW!$ND$2:$ND$150=M$4)*(GMW!$NF$2:$NF$150=M$1),0),$C120-1966)</f>
        <v>27716.25</v>
      </c>
      <c r="N120" s="4" cm="1">
        <f t="array" ref="N120">INDEX(GMW!$A$2:$NF$150,MATCH(1,(GMW!$NE$2:$NE$150=N$3)*(GMW!$ND$2:$ND$150=N$4)*(GMW!$NF$2:$NF$150=N$1),0),$C120-1966)</f>
        <v>32.799999999999997</v>
      </c>
      <c r="O120" s="4" cm="1">
        <f t="array" ref="O120">INDEX(GMW!$A$2:$NF$150,MATCH(1,(GMW!$NE$2:$NE$150=O$3)*(GMW!$ND$2:$ND$150=O$4)*(GMW!$NF$2:$NF$150=O$1),0),$C120-1966)</f>
        <v>393176.9</v>
      </c>
      <c r="P120" s="4" cm="1">
        <f t="array" ref="P120">INDEX(GMW!$A$2:$NF$150,MATCH(1,(GMW!$NE$2:$NE$150=P$3)*(GMW!$ND$2:$ND$150=P$4)*(GMW!$NF$2:$NF$150=P$1),0),$C120-1966)</f>
        <v>38633.53</v>
      </c>
      <c r="Q120" s="4" cm="1">
        <f t="array" ref="Q120">INDEX(GMW!$A$2:$NF$150,MATCH(1,(GMW!$NE$2:$NE$150=Q$3)*(GMW!$ND$2:$ND$150=Q$4)*(GMW!$NF$2:$NF$150=Q$1),0),$C120-1966)</f>
        <v>2131000</v>
      </c>
      <c r="R120" s="4" cm="1">
        <f t="array" ref="R120">INDEX(GMW!$A$2:$NF$150,MATCH(1,(GMW!$NE$2:$NE$150=R$3)*(GMW!$ND$2:$ND$150=R$4)*(GMW!$NF$2:$NF$150=R$1),0),$C120-1966)</f>
        <v>-1.7034769999999999</v>
      </c>
      <c r="S120" s="4" cm="1">
        <f t="array" ref="S120">INDEX(GMW!$A$2:$NF$150,MATCH(1,(GMW!$NE$2:$NE$150=S$3)*(GMW!$ND$2:$ND$150=S$4)*(GMW!$NF$2:$NF$150=S$1),0),$C120-1966)</f>
        <v>459620</v>
      </c>
      <c r="T120" s="4" cm="1">
        <f t="array" ref="T120">INDEX(GMW!$A$2:$NF$150,MATCH(1,(GMW!$NE$2:$NE$150=T$3)*(GMW!$ND$2:$ND$150=T$4)*(GMW!$NF$2:$NF$150=T$1),0),$C120-1966)</f>
        <v>73.833340000000007</v>
      </c>
      <c r="U120" s="4" cm="1">
        <f t="array" ref="U120">INDEX(GMW!$A$2:$NF$150,MATCH(1,(GMW!$NE$2:$NE$150=U$3)*(GMW!$ND$2:$ND$150=U$4)*(GMW!$NF$2:$NF$150=U$1),0),$C120-1966)</f>
        <v>122946</v>
      </c>
      <c r="V120" s="4" cm="1">
        <f t="array" ref="V120">INDEX(GMW!$A$2:$NF$150,MATCH(1,(GMW!$NE$2:$NE$150=V$3)*(GMW!$ND$2:$ND$150=V$4)*(GMW!$NF$2:$NF$150=V$1),0),$C120-1966)</f>
        <v>60790</v>
      </c>
      <c r="W120" s="4" cm="1">
        <f t="array" ref="W120">INDEX(GMW!$A$2:$NF$150,MATCH(1,(GMW!$NE$2:$NE$150=W$3)*(GMW!$ND$2:$ND$150=W$4)*(GMW!$NF$2:$NF$150=W$1),0),$C120-1966)</f>
        <v>123401</v>
      </c>
      <c r="X120" s="4" cm="1">
        <f t="array" ref="X120">INDEX(GMW!$A$2:$NF$150,MATCH(1,(GMW!$NE$2:$NE$150=X$3)*(GMW!$ND$2:$ND$150=X$4)*(GMW!$NF$2:$NF$150=X$1),0),$C120-1966)</f>
        <v>73505</v>
      </c>
      <c r="Y120" s="4" cm="1">
        <f t="array" ref="Y120">INDEX(GMW!$A$2:$NF$150,MATCH(1,(GMW!$NE$2:$NE$150=Y$3)*(GMW!$ND$2:$ND$150=Y$4)*(GMW!$NF$2:$NF$150=Y$1),0),$C120-1966)</f>
        <v>79060</v>
      </c>
      <c r="Z120" s="4" cm="1">
        <f t="array" ref="Z120">INDEX(GMW!$A$2:$NF$150,MATCH(1,(GMW!$NE$2:$NE$150=Z$3)*(GMW!$ND$2:$ND$150=Z$4)*(GMW!$NF$2:$NF$150=Z$1),0),$C120-1966)</f>
        <v>44742</v>
      </c>
      <c r="AA120" s="4" cm="1">
        <f t="array" ref="AA120">INDEX(GMW!$A$2:$NF$150,MATCH(1,(GMW!$NE$2:$NE$150=AA$3)*(GMW!$ND$2:$ND$150=AA$4)*(GMW!$NF$2:$NF$150=AA$1),0),$C120-1966)</f>
        <v>445913.7</v>
      </c>
      <c r="AB120" s="4" cm="1">
        <f t="array" ref="AB120">INDEX(GMW!$A$2:$NF$150,MATCH(1,(GMW!$NE$2:$NE$150=AB$3)*(GMW!$ND$2:$ND$150=AB$4)*(GMW!$NF$2:$NF$150=AB$1),0),$C120-1966)</f>
        <v>27716.25</v>
      </c>
      <c r="AC120" s="4" cm="1">
        <f t="array" ref="AC120">INDEX(GMW!$A$2:$NF$150,MATCH(1,(GMW!$NE$2:$NE$150=AC$3)*(GMW!$ND$2:$ND$150=AC$4)*(GMW!$NF$2:$NF$150=AC$1),0),$C120-1966)</f>
        <v>32.799999999999997</v>
      </c>
      <c r="AD120" s="4" cm="1">
        <f t="array" ref="AD120">INDEX(GMW!$A$2:$NF$150,MATCH(1,(GMW!$NE$2:$NE$150=AD$3)*(GMW!$ND$2:$ND$150=AD$4)*(GMW!$NF$2:$NF$150=AD$1),0),$C120-1966)</f>
        <v>393176.9</v>
      </c>
      <c r="AE120" s="4" cm="1">
        <f t="array" ref="AE120">INDEX(GMW!$A$2:$NF$150,MATCH(1,(GMW!$NE$2:$NE$150=AE$3)*(GMW!$ND$2:$ND$150=AE$4)*(GMW!$NF$2:$NF$150=AE$1),0),$C120-1966)</f>
        <v>38633.53</v>
      </c>
      <c r="AF120" s="4" cm="1">
        <f t="array" ref="AF120">INDEX(GMW!$A$2:$NF$150,MATCH(1,(GMW!$NE$2:$NE$150=AF$3)*(GMW!$ND$2:$ND$150=AF$4)*(GMW!$NF$2:$NF$150=AF$1),0),$C120-1966)</f>
        <v>2131000</v>
      </c>
      <c r="AG120" s="4" cm="1">
        <f t="array" ref="AG120">INDEX(GMW!$A$2:$NF$150,MATCH(1,(GMW!$NE$2:$NE$150=AG$3)*(GMW!$ND$2:$ND$150=AG$4)*(GMW!$NF$2:$NF$150=AG$1),0),$C120-1966)</f>
        <v>-1.7034769999999999</v>
      </c>
      <c r="AH120" s="4" cm="1">
        <f t="array" ref="AH120">INDEX(GMW!$A$2:$NF$150,MATCH(1,(GMW!$NE$2:$NE$150=AH$3)*(GMW!$ND$2:$ND$150=AH$4)*(GMW!$NF$2:$NF$150=AH$1),0),$C120-1966)</f>
        <v>459620</v>
      </c>
      <c r="AI120" s="4" cm="1">
        <f t="array" ref="AI120">INDEX(GMW!$A$2:$NF$150,MATCH(1,(GMW!$NE$2:$NE$150=AI$3)*(GMW!$ND$2:$ND$150=AI$4)*(GMW!$NF$2:$NF$150=AI$1),0),$C120-1966)</f>
        <v>73.833340000000007</v>
      </c>
      <c r="AJ120" s="4" cm="1">
        <f t="array" ref="AJ120">INDEX(GMW!$A$2:$NF$150,MATCH(1,(GMW!$NE$2:$NE$150=AJ$3)*(GMW!$ND$2:$ND$150=AJ$4)*(GMW!$NF$2:$NF$150=AJ$1),0),$C120-1966)</f>
        <v>122946</v>
      </c>
      <c r="AK120" s="4" cm="1">
        <f t="array" ref="AK120">INDEX(GMW!$A$2:$NF$150,MATCH(1,(GMW!$NE$2:$NE$150=AK$3)*(GMW!$ND$2:$ND$150=AK$4)*(GMW!$NF$2:$NF$150=AK$1),0),$C120-1966)</f>
        <v>60790</v>
      </c>
      <c r="AL120" s="4" cm="1">
        <f t="array" ref="AL120">INDEX(GMW!$A$2:$NF$150,MATCH(1,(GMW!$NE$2:$NE$150=AL$3)*(GMW!$ND$2:$ND$150=AL$4)*(GMW!$NF$2:$NF$150=AL$1),0),$C120-1966)</f>
        <v>123401</v>
      </c>
      <c r="AM120" s="4" cm="1">
        <f t="array" ref="AM120">INDEX(GMW!$A$2:$NF$150,MATCH(1,(GMW!$NE$2:$NE$150=AM$3)*(GMW!$ND$2:$ND$150=AM$4)*(GMW!$NF$2:$NF$150=AM$1),0),$C120-1966)</f>
        <v>73505</v>
      </c>
      <c r="AN120" s="4" cm="1">
        <f t="array" ref="AN120">INDEX(GMW!$A$2:$NF$150,MATCH(1,(GMW!$NE$2:$NE$150=AN$3)*(GMW!$ND$2:$ND$150=AN$4)*(GMW!$NF$2:$NF$150=AN$1),0),$C120-1966)</f>
        <v>79060</v>
      </c>
      <c r="AO120" s="4" cm="1">
        <f t="array" ref="AO120">INDEX(GMW!$A$2:$NF$150,MATCH(1,(GMW!$NE$2:$NE$150=AO$3)*(GMW!$ND$2:$ND$150=AO$4)*(GMW!$NF$2:$NF$150=AO$1),0),$C120-1966)</f>
        <v>44742</v>
      </c>
      <c r="AP120" s="4" cm="1">
        <f t="array" ref="AP120">INDEX(GMW!$A$2:$NF$150,MATCH(1,(GMW!$NE$2:$NE$150=AP$3)*(GMW!$ND$2:$ND$150=AP$4)*(GMW!$NF$2:$NF$150=AP$1),0),$C120-1966)</f>
        <v>445913.7</v>
      </c>
      <c r="AQ120" s="4" cm="1">
        <f t="array" ref="AQ120">INDEX(GMW!$A$2:$NF$150,MATCH(1,(GMW!$NE$2:$NE$150=AQ$3)*(GMW!$ND$2:$ND$150=AQ$4)*(GMW!$NF$2:$NF$150=AQ$1),0),$C120-1966)</f>
        <v>27716.25</v>
      </c>
      <c r="AR120" s="4" cm="1">
        <f t="array" ref="AR120">INDEX(GMW!$A$2:$NF$150,MATCH(1,(GMW!$NE$2:$NE$150=AR$3)*(GMW!$ND$2:$ND$150=AR$4)*(GMW!$NF$2:$NF$150=AR$1),0),$C120-1966)</f>
        <v>32.799999999999997</v>
      </c>
      <c r="AS120" s="4" cm="1">
        <f t="array" ref="AS120">INDEX(GMW!$A$2:$NF$150,MATCH(1,(GMW!$NE$2:$NE$150=AS$3)*(GMW!$ND$2:$ND$150=AS$4)*(GMW!$NF$2:$NF$150=AS$1),0),$C120-1966)</f>
        <v>393176.9</v>
      </c>
      <c r="AT120" s="4" cm="1">
        <f t="array" ref="AT120">INDEX(GMW!$A$2:$NF$150,MATCH(1,(GMW!$NE$2:$NE$150=AT$3)*(GMW!$ND$2:$ND$150=AT$4)*(GMW!$NF$2:$NF$150=AT$1),0),$C120-1966)</f>
        <v>38633.53</v>
      </c>
      <c r="AU120" s="4" cm="1">
        <f t="array" ref="AU120">INDEX(GMW!$A$2:$NF$150,MATCH(1,(GMW!$NE$2:$NE$150=AU$3)*(GMW!$ND$2:$ND$150=AU$4)*(GMW!$NF$2:$NF$150=AU$1),0),$C120-1966)</f>
        <v>2131000</v>
      </c>
      <c r="AV120" s="4" cm="1">
        <f t="array" ref="AV120">INDEX(GMW!$A$2:$NF$150,MATCH(1,(GMW!$NE$2:$NE$150=AV$3)*(GMW!$ND$2:$ND$150=AV$4)*(GMW!$NF$2:$NF$150=AV$1),0),$C120-1966)</f>
        <v>-1.7034769999999999</v>
      </c>
    </row>
    <row r="121" spans="1:48" x14ac:dyDescent="0.25">
      <c r="B121" s="4">
        <f t="shared" si="6"/>
        <v>2001</v>
      </c>
      <c r="C121" s="4">
        <f t="shared" si="7"/>
        <v>2087</v>
      </c>
      <c r="D121" s="4" cm="1">
        <f t="array" ref="D121">INDEX(GMW!$A$2:$NF$150,MATCH(1,(GMW!$NE$2:$NE$150=D$3)*(GMW!$ND$2:$ND$150=D$4)*(GMW!$NF$2:$NF$150=D$1),0),$C121-1966)</f>
        <v>462016</v>
      </c>
      <c r="E121" s="4" cm="1">
        <f t="array" ref="E121">INDEX(GMW!$A$2:$NF$150,MATCH(1,(GMW!$NE$2:$NE$150=E$3)*(GMW!$ND$2:$ND$150=E$4)*(GMW!$NF$2:$NF$150=E$1),0),$C121-1966)</f>
        <v>73.866669999999999</v>
      </c>
      <c r="F121" s="4" cm="1">
        <f t="array" ref="F121">INDEX(GMW!$A$2:$NF$150,MATCH(1,(GMW!$NE$2:$NE$150=F$3)*(GMW!$ND$2:$ND$150=F$4)*(GMW!$NF$2:$NF$150=F$1),0),$C121-1966)</f>
        <v>120189</v>
      </c>
      <c r="G121" s="4" cm="1">
        <f t="array" ref="G121">INDEX(GMW!$A$2:$NF$150,MATCH(1,(GMW!$NE$2:$NE$150=G$3)*(GMW!$ND$2:$ND$150=G$4)*(GMW!$NF$2:$NF$150=G$1),0),$C121-1966)</f>
        <v>56263</v>
      </c>
      <c r="H121" s="4" cm="1">
        <f t="array" ref="H121">INDEX(GMW!$A$2:$NF$150,MATCH(1,(GMW!$NE$2:$NE$150=H$3)*(GMW!$ND$2:$ND$150=H$4)*(GMW!$NF$2:$NF$150=H$1),0),$C121-1966)</f>
        <v>121607</v>
      </c>
      <c r="I121" s="4" cm="1">
        <f t="array" ref="I121">INDEX(GMW!$A$2:$NF$150,MATCH(1,(GMW!$NE$2:$NE$150=I$3)*(GMW!$ND$2:$ND$150=I$4)*(GMW!$NF$2:$NF$150=I$1),0),$C121-1966)</f>
        <v>74535</v>
      </c>
      <c r="J121" s="4" cm="1">
        <f t="array" ref="J121">INDEX(GMW!$A$2:$NF$150,MATCH(1,(GMW!$NE$2:$NE$150=J$3)*(GMW!$ND$2:$ND$150=J$4)*(GMW!$NF$2:$NF$150=J$1),0),$C121-1966)</f>
        <v>78994</v>
      </c>
      <c r="K121" s="4" cm="1">
        <f t="array" ref="K121">INDEX(GMW!$A$2:$NF$150,MATCH(1,(GMW!$NE$2:$NE$150=K$3)*(GMW!$ND$2:$ND$150=K$4)*(GMW!$NF$2:$NF$150=K$1),0),$C121-1966)</f>
        <v>44742</v>
      </c>
      <c r="L121" s="4" cm="1">
        <f t="array" ref="L121">INDEX(GMW!$A$2:$NF$150,MATCH(1,(GMW!$NE$2:$NE$150=L$3)*(GMW!$ND$2:$ND$150=L$4)*(GMW!$NF$2:$NF$150=L$1),0),$C121-1966)</f>
        <v>448067</v>
      </c>
      <c r="M121" s="4" cm="1">
        <f t="array" ref="M121">INDEX(GMW!$A$2:$NF$150,MATCH(1,(GMW!$NE$2:$NE$150=M$3)*(GMW!$ND$2:$ND$150=M$4)*(GMW!$NF$2:$NF$150=M$1),0),$C121-1966)</f>
        <v>27741.9</v>
      </c>
      <c r="N121" s="4" cm="1">
        <f t="array" ref="N121">INDEX(GMW!$A$2:$NF$150,MATCH(1,(GMW!$NE$2:$NE$150=N$3)*(GMW!$ND$2:$ND$150=N$4)*(GMW!$NF$2:$NF$150=N$1),0),$C121-1966)</f>
        <v>32.700000000000003</v>
      </c>
      <c r="O121" s="4" cm="1">
        <f t="array" ref="O121">INDEX(GMW!$A$2:$NF$150,MATCH(1,(GMW!$NE$2:$NE$150=O$3)*(GMW!$ND$2:$ND$150=O$4)*(GMW!$NF$2:$NF$150=O$1),0),$C121-1966)</f>
        <v>396657.2</v>
      </c>
      <c r="P121" s="4" cm="1">
        <f t="array" ref="P121">INDEX(GMW!$A$2:$NF$150,MATCH(1,(GMW!$NE$2:$NE$150=P$3)*(GMW!$ND$2:$ND$150=P$4)*(GMW!$NF$2:$NF$150=P$1),0),$C121-1966)</f>
        <v>38700.120000000003</v>
      </c>
      <c r="Q121" s="4" cm="1">
        <f t="array" ref="Q121">INDEX(GMW!$A$2:$NF$150,MATCH(1,(GMW!$NE$2:$NE$150=Q$3)*(GMW!$ND$2:$ND$150=Q$4)*(GMW!$NF$2:$NF$150=Q$1),0),$C121-1966)</f>
        <v>2149500</v>
      </c>
      <c r="R121" s="4" cm="1">
        <f t="array" ref="R121">INDEX(GMW!$A$2:$NF$150,MATCH(1,(GMW!$NE$2:$NE$150=R$3)*(GMW!$ND$2:$ND$150=R$4)*(GMW!$NF$2:$NF$150=R$1),0),$C121-1966)</f>
        <v>-1.7024550000000001</v>
      </c>
      <c r="S121" s="4" cm="1">
        <f t="array" ref="S121">INDEX(GMW!$A$2:$NF$150,MATCH(1,(GMW!$NE$2:$NE$150=S$3)*(GMW!$ND$2:$ND$150=S$4)*(GMW!$NF$2:$NF$150=S$1),0),$C121-1966)</f>
        <v>462016</v>
      </c>
      <c r="T121" s="4" cm="1">
        <f t="array" ref="T121">INDEX(GMW!$A$2:$NF$150,MATCH(1,(GMW!$NE$2:$NE$150=T$3)*(GMW!$ND$2:$ND$150=T$4)*(GMW!$NF$2:$NF$150=T$1),0),$C121-1966)</f>
        <v>73.866669999999999</v>
      </c>
      <c r="U121" s="4" cm="1">
        <f t="array" ref="U121">INDEX(GMW!$A$2:$NF$150,MATCH(1,(GMW!$NE$2:$NE$150=U$3)*(GMW!$ND$2:$ND$150=U$4)*(GMW!$NF$2:$NF$150=U$1),0),$C121-1966)</f>
        <v>120189</v>
      </c>
      <c r="V121" s="4" cm="1">
        <f t="array" ref="V121">INDEX(GMW!$A$2:$NF$150,MATCH(1,(GMW!$NE$2:$NE$150=V$3)*(GMW!$ND$2:$ND$150=V$4)*(GMW!$NF$2:$NF$150=V$1),0),$C121-1966)</f>
        <v>56263</v>
      </c>
      <c r="W121" s="4" cm="1">
        <f t="array" ref="W121">INDEX(GMW!$A$2:$NF$150,MATCH(1,(GMW!$NE$2:$NE$150=W$3)*(GMW!$ND$2:$ND$150=W$4)*(GMW!$NF$2:$NF$150=W$1),0),$C121-1966)</f>
        <v>121607</v>
      </c>
      <c r="X121" s="4" cm="1">
        <f t="array" ref="X121">INDEX(GMW!$A$2:$NF$150,MATCH(1,(GMW!$NE$2:$NE$150=X$3)*(GMW!$ND$2:$ND$150=X$4)*(GMW!$NF$2:$NF$150=X$1),0),$C121-1966)</f>
        <v>74535</v>
      </c>
      <c r="Y121" s="4" cm="1">
        <f t="array" ref="Y121">INDEX(GMW!$A$2:$NF$150,MATCH(1,(GMW!$NE$2:$NE$150=Y$3)*(GMW!$ND$2:$ND$150=Y$4)*(GMW!$NF$2:$NF$150=Y$1),0),$C121-1966)</f>
        <v>78994</v>
      </c>
      <c r="Z121" s="4" cm="1">
        <f t="array" ref="Z121">INDEX(GMW!$A$2:$NF$150,MATCH(1,(GMW!$NE$2:$NE$150=Z$3)*(GMW!$ND$2:$ND$150=Z$4)*(GMW!$NF$2:$NF$150=Z$1),0),$C121-1966)</f>
        <v>44742</v>
      </c>
      <c r="AA121" s="4" cm="1">
        <f t="array" ref="AA121">INDEX(GMW!$A$2:$NF$150,MATCH(1,(GMW!$NE$2:$NE$150=AA$3)*(GMW!$ND$2:$ND$150=AA$4)*(GMW!$NF$2:$NF$150=AA$1),0),$C121-1966)</f>
        <v>448067</v>
      </c>
      <c r="AB121" s="4" cm="1">
        <f t="array" ref="AB121">INDEX(GMW!$A$2:$NF$150,MATCH(1,(GMW!$NE$2:$NE$150=AB$3)*(GMW!$ND$2:$ND$150=AB$4)*(GMW!$NF$2:$NF$150=AB$1),0),$C121-1966)</f>
        <v>27741.9</v>
      </c>
      <c r="AC121" s="4" cm="1">
        <f t="array" ref="AC121">INDEX(GMW!$A$2:$NF$150,MATCH(1,(GMW!$NE$2:$NE$150=AC$3)*(GMW!$ND$2:$ND$150=AC$4)*(GMW!$NF$2:$NF$150=AC$1),0),$C121-1966)</f>
        <v>32.700000000000003</v>
      </c>
      <c r="AD121" s="4" cm="1">
        <f t="array" ref="AD121">INDEX(GMW!$A$2:$NF$150,MATCH(1,(GMW!$NE$2:$NE$150=AD$3)*(GMW!$ND$2:$ND$150=AD$4)*(GMW!$NF$2:$NF$150=AD$1),0),$C121-1966)</f>
        <v>396657.2</v>
      </c>
      <c r="AE121" s="4" cm="1">
        <f t="array" ref="AE121">INDEX(GMW!$A$2:$NF$150,MATCH(1,(GMW!$NE$2:$NE$150=AE$3)*(GMW!$ND$2:$ND$150=AE$4)*(GMW!$NF$2:$NF$150=AE$1),0),$C121-1966)</f>
        <v>38700.120000000003</v>
      </c>
      <c r="AF121" s="4" cm="1">
        <f t="array" ref="AF121">INDEX(GMW!$A$2:$NF$150,MATCH(1,(GMW!$NE$2:$NE$150=AF$3)*(GMW!$ND$2:$ND$150=AF$4)*(GMW!$NF$2:$NF$150=AF$1),0),$C121-1966)</f>
        <v>2149500</v>
      </c>
      <c r="AG121" s="4" cm="1">
        <f t="array" ref="AG121">INDEX(GMW!$A$2:$NF$150,MATCH(1,(GMW!$NE$2:$NE$150=AG$3)*(GMW!$ND$2:$ND$150=AG$4)*(GMW!$NF$2:$NF$150=AG$1),0),$C121-1966)</f>
        <v>-1.7024550000000001</v>
      </c>
      <c r="AH121" s="4" cm="1">
        <f t="array" ref="AH121">INDEX(GMW!$A$2:$NF$150,MATCH(1,(GMW!$NE$2:$NE$150=AH$3)*(GMW!$ND$2:$ND$150=AH$4)*(GMW!$NF$2:$NF$150=AH$1),0),$C121-1966)</f>
        <v>462016</v>
      </c>
      <c r="AI121" s="4" cm="1">
        <f t="array" ref="AI121">INDEX(GMW!$A$2:$NF$150,MATCH(1,(GMW!$NE$2:$NE$150=AI$3)*(GMW!$ND$2:$ND$150=AI$4)*(GMW!$NF$2:$NF$150=AI$1),0),$C121-1966)</f>
        <v>73.866669999999999</v>
      </c>
      <c r="AJ121" s="4" cm="1">
        <f t="array" ref="AJ121">INDEX(GMW!$A$2:$NF$150,MATCH(1,(GMW!$NE$2:$NE$150=AJ$3)*(GMW!$ND$2:$ND$150=AJ$4)*(GMW!$NF$2:$NF$150=AJ$1),0),$C121-1966)</f>
        <v>120189</v>
      </c>
      <c r="AK121" s="4" cm="1">
        <f t="array" ref="AK121">INDEX(GMW!$A$2:$NF$150,MATCH(1,(GMW!$NE$2:$NE$150=AK$3)*(GMW!$ND$2:$ND$150=AK$4)*(GMW!$NF$2:$NF$150=AK$1),0),$C121-1966)</f>
        <v>56263</v>
      </c>
      <c r="AL121" s="4" cm="1">
        <f t="array" ref="AL121">INDEX(GMW!$A$2:$NF$150,MATCH(1,(GMW!$NE$2:$NE$150=AL$3)*(GMW!$ND$2:$ND$150=AL$4)*(GMW!$NF$2:$NF$150=AL$1),0),$C121-1966)</f>
        <v>121607</v>
      </c>
      <c r="AM121" s="4" cm="1">
        <f t="array" ref="AM121">INDEX(GMW!$A$2:$NF$150,MATCH(1,(GMW!$NE$2:$NE$150=AM$3)*(GMW!$ND$2:$ND$150=AM$4)*(GMW!$NF$2:$NF$150=AM$1),0),$C121-1966)</f>
        <v>74535</v>
      </c>
      <c r="AN121" s="4" cm="1">
        <f t="array" ref="AN121">INDEX(GMW!$A$2:$NF$150,MATCH(1,(GMW!$NE$2:$NE$150=AN$3)*(GMW!$ND$2:$ND$150=AN$4)*(GMW!$NF$2:$NF$150=AN$1),0),$C121-1966)</f>
        <v>78994</v>
      </c>
      <c r="AO121" s="4" cm="1">
        <f t="array" ref="AO121">INDEX(GMW!$A$2:$NF$150,MATCH(1,(GMW!$NE$2:$NE$150=AO$3)*(GMW!$ND$2:$ND$150=AO$4)*(GMW!$NF$2:$NF$150=AO$1),0),$C121-1966)</f>
        <v>44742</v>
      </c>
      <c r="AP121" s="4" cm="1">
        <f t="array" ref="AP121">INDEX(GMW!$A$2:$NF$150,MATCH(1,(GMW!$NE$2:$NE$150=AP$3)*(GMW!$ND$2:$ND$150=AP$4)*(GMW!$NF$2:$NF$150=AP$1),0),$C121-1966)</f>
        <v>448067</v>
      </c>
      <c r="AQ121" s="4" cm="1">
        <f t="array" ref="AQ121">INDEX(GMW!$A$2:$NF$150,MATCH(1,(GMW!$NE$2:$NE$150=AQ$3)*(GMW!$ND$2:$ND$150=AQ$4)*(GMW!$NF$2:$NF$150=AQ$1),0),$C121-1966)</f>
        <v>27741.9</v>
      </c>
      <c r="AR121" s="4" cm="1">
        <f t="array" ref="AR121">INDEX(GMW!$A$2:$NF$150,MATCH(1,(GMW!$NE$2:$NE$150=AR$3)*(GMW!$ND$2:$ND$150=AR$4)*(GMW!$NF$2:$NF$150=AR$1),0),$C121-1966)</f>
        <v>32.700000000000003</v>
      </c>
      <c r="AS121" s="4" cm="1">
        <f t="array" ref="AS121">INDEX(GMW!$A$2:$NF$150,MATCH(1,(GMW!$NE$2:$NE$150=AS$3)*(GMW!$ND$2:$ND$150=AS$4)*(GMW!$NF$2:$NF$150=AS$1),0),$C121-1966)</f>
        <v>396657.2</v>
      </c>
      <c r="AT121" s="4" cm="1">
        <f t="array" ref="AT121">INDEX(GMW!$A$2:$NF$150,MATCH(1,(GMW!$NE$2:$NE$150=AT$3)*(GMW!$ND$2:$ND$150=AT$4)*(GMW!$NF$2:$NF$150=AT$1),0),$C121-1966)</f>
        <v>38700.120000000003</v>
      </c>
      <c r="AU121" s="4" cm="1">
        <f t="array" ref="AU121">INDEX(GMW!$A$2:$NF$150,MATCH(1,(GMW!$NE$2:$NE$150=AU$3)*(GMW!$ND$2:$ND$150=AU$4)*(GMW!$NF$2:$NF$150=AU$1),0),$C121-1966)</f>
        <v>2149500</v>
      </c>
      <c r="AV121" s="4" cm="1">
        <f t="array" ref="AV121">INDEX(GMW!$A$2:$NF$150,MATCH(1,(GMW!$NE$2:$NE$150=AV$3)*(GMW!$ND$2:$ND$150=AV$4)*(GMW!$NF$2:$NF$150=AV$1),0),$C121-1966)</f>
        <v>-1.7024550000000001</v>
      </c>
    </row>
    <row r="122" spans="1:48" x14ac:dyDescent="0.25">
      <c r="B122" s="4">
        <f t="shared" si="6"/>
        <v>2001</v>
      </c>
      <c r="C122" s="4">
        <f t="shared" si="7"/>
        <v>2088</v>
      </c>
      <c r="D122" s="4" cm="1">
        <f t="array" ref="D122">INDEX(GMW!$A$2:$NF$150,MATCH(1,(GMW!$NE$2:$NE$150=D$3)*(GMW!$ND$2:$ND$150=D$4)*(GMW!$NF$2:$NF$150=D$1),0),$C122-1966)</f>
        <v>463404</v>
      </c>
      <c r="E122" s="4" cm="1">
        <f t="array" ref="E122">INDEX(GMW!$A$2:$NF$150,MATCH(1,(GMW!$NE$2:$NE$150=E$3)*(GMW!$ND$2:$ND$150=E$4)*(GMW!$NF$2:$NF$150=E$1),0),$C122-1966)</f>
        <v>73.900000000000006</v>
      </c>
      <c r="F122" s="4" cm="1">
        <f t="array" ref="F122">INDEX(GMW!$A$2:$NF$150,MATCH(1,(GMW!$NE$2:$NE$150=F$3)*(GMW!$ND$2:$ND$150=F$4)*(GMW!$NF$2:$NF$150=F$1),0),$C122-1966)</f>
        <v>121471</v>
      </c>
      <c r="G122" s="4" cm="1">
        <f t="array" ref="G122">INDEX(GMW!$A$2:$NF$150,MATCH(1,(GMW!$NE$2:$NE$150=G$3)*(GMW!$ND$2:$ND$150=G$4)*(GMW!$NF$2:$NF$150=G$1),0),$C122-1966)</f>
        <v>54782</v>
      </c>
      <c r="H122" s="4" cm="1">
        <f t="array" ref="H122">INDEX(GMW!$A$2:$NF$150,MATCH(1,(GMW!$NE$2:$NE$150=H$3)*(GMW!$ND$2:$ND$150=H$4)*(GMW!$NF$2:$NF$150=H$1),0),$C122-1966)</f>
        <v>120993</v>
      </c>
      <c r="I122" s="4" cm="1">
        <f t="array" ref="I122">INDEX(GMW!$A$2:$NF$150,MATCH(1,(GMW!$NE$2:$NE$150=I$3)*(GMW!$ND$2:$ND$150=I$4)*(GMW!$NF$2:$NF$150=I$1),0),$C122-1966)</f>
        <v>69343</v>
      </c>
      <c r="J122" s="4" cm="1">
        <f t="array" ref="J122">INDEX(GMW!$A$2:$NF$150,MATCH(1,(GMW!$NE$2:$NE$150=J$3)*(GMW!$ND$2:$ND$150=J$4)*(GMW!$NF$2:$NF$150=J$1),0),$C122-1966)</f>
        <v>76321</v>
      </c>
      <c r="K122" s="4" cm="1">
        <f t="array" ref="K122">INDEX(GMW!$A$2:$NF$150,MATCH(1,(GMW!$NE$2:$NE$150=K$3)*(GMW!$ND$2:$ND$150=K$4)*(GMW!$NF$2:$NF$150=K$1),0),$C122-1966)</f>
        <v>42863</v>
      </c>
      <c r="L122" s="4" cm="1">
        <f t="array" ref="L122">INDEX(GMW!$A$2:$NF$150,MATCH(1,(GMW!$NE$2:$NE$150=L$3)*(GMW!$ND$2:$ND$150=L$4)*(GMW!$NF$2:$NF$150=L$1),0),$C122-1966)</f>
        <v>450476.7</v>
      </c>
      <c r="M122" s="4" cm="1">
        <f t="array" ref="M122">INDEX(GMW!$A$2:$NF$150,MATCH(1,(GMW!$NE$2:$NE$150=M$3)*(GMW!$ND$2:$ND$150=M$4)*(GMW!$NF$2:$NF$150=M$1),0),$C122-1966)</f>
        <v>27856.85</v>
      </c>
      <c r="N122" s="4" cm="1">
        <f t="array" ref="N122">INDEX(GMW!$A$2:$NF$150,MATCH(1,(GMW!$NE$2:$NE$150=N$3)*(GMW!$ND$2:$ND$150=N$4)*(GMW!$NF$2:$NF$150=N$1),0),$C122-1966)</f>
        <v>32.5</v>
      </c>
      <c r="O122" s="4" cm="1">
        <f t="array" ref="O122">INDEX(GMW!$A$2:$NF$150,MATCH(1,(GMW!$NE$2:$NE$150=O$3)*(GMW!$ND$2:$ND$150=O$4)*(GMW!$NF$2:$NF$150=O$1),0),$C122-1966)</f>
        <v>400820.9</v>
      </c>
      <c r="P122" s="4" cm="1">
        <f t="array" ref="P122">INDEX(GMW!$A$2:$NF$150,MATCH(1,(GMW!$NE$2:$NE$150=P$3)*(GMW!$ND$2:$ND$150=P$4)*(GMW!$NF$2:$NF$150=P$1),0),$C122-1966)</f>
        <v>38766.71</v>
      </c>
      <c r="Q122" s="4" cm="1">
        <f t="array" ref="Q122">INDEX(GMW!$A$2:$NF$150,MATCH(1,(GMW!$NE$2:$NE$150=Q$3)*(GMW!$ND$2:$ND$150=Q$4)*(GMW!$NF$2:$NF$150=Q$1),0),$C122-1966)</f>
        <v>2168000</v>
      </c>
      <c r="R122" s="4" cm="1">
        <f t="array" ref="R122">INDEX(GMW!$A$2:$NF$150,MATCH(1,(GMW!$NE$2:$NE$150=R$3)*(GMW!$ND$2:$ND$150=R$4)*(GMW!$NF$2:$NF$150=R$1),0),$C122-1966)</f>
        <v>-1.7014339999999999</v>
      </c>
      <c r="S122" s="4" cm="1">
        <f t="array" ref="S122">INDEX(GMW!$A$2:$NF$150,MATCH(1,(GMW!$NE$2:$NE$150=S$3)*(GMW!$ND$2:$ND$150=S$4)*(GMW!$NF$2:$NF$150=S$1),0),$C122-1966)</f>
        <v>463404</v>
      </c>
      <c r="T122" s="4" cm="1">
        <f t="array" ref="T122">INDEX(GMW!$A$2:$NF$150,MATCH(1,(GMW!$NE$2:$NE$150=T$3)*(GMW!$ND$2:$ND$150=T$4)*(GMW!$NF$2:$NF$150=T$1),0),$C122-1966)</f>
        <v>73.900000000000006</v>
      </c>
      <c r="U122" s="4" cm="1">
        <f t="array" ref="U122">INDEX(GMW!$A$2:$NF$150,MATCH(1,(GMW!$NE$2:$NE$150=U$3)*(GMW!$ND$2:$ND$150=U$4)*(GMW!$NF$2:$NF$150=U$1),0),$C122-1966)</f>
        <v>121471</v>
      </c>
      <c r="V122" s="4" cm="1">
        <f t="array" ref="V122">INDEX(GMW!$A$2:$NF$150,MATCH(1,(GMW!$NE$2:$NE$150=V$3)*(GMW!$ND$2:$ND$150=V$4)*(GMW!$NF$2:$NF$150=V$1),0),$C122-1966)</f>
        <v>54782</v>
      </c>
      <c r="W122" s="4" cm="1">
        <f t="array" ref="W122">INDEX(GMW!$A$2:$NF$150,MATCH(1,(GMW!$NE$2:$NE$150=W$3)*(GMW!$ND$2:$ND$150=W$4)*(GMW!$NF$2:$NF$150=W$1),0),$C122-1966)</f>
        <v>120993</v>
      </c>
      <c r="X122" s="4" cm="1">
        <f t="array" ref="X122">INDEX(GMW!$A$2:$NF$150,MATCH(1,(GMW!$NE$2:$NE$150=X$3)*(GMW!$ND$2:$ND$150=X$4)*(GMW!$NF$2:$NF$150=X$1),0),$C122-1966)</f>
        <v>69343</v>
      </c>
      <c r="Y122" s="4" cm="1">
        <f t="array" ref="Y122">INDEX(GMW!$A$2:$NF$150,MATCH(1,(GMW!$NE$2:$NE$150=Y$3)*(GMW!$ND$2:$ND$150=Y$4)*(GMW!$NF$2:$NF$150=Y$1),0),$C122-1966)</f>
        <v>76321</v>
      </c>
      <c r="Z122" s="4" cm="1">
        <f t="array" ref="Z122">INDEX(GMW!$A$2:$NF$150,MATCH(1,(GMW!$NE$2:$NE$150=Z$3)*(GMW!$ND$2:$ND$150=Z$4)*(GMW!$NF$2:$NF$150=Z$1),0),$C122-1966)</f>
        <v>42863</v>
      </c>
      <c r="AA122" s="4" cm="1">
        <f t="array" ref="AA122">INDEX(GMW!$A$2:$NF$150,MATCH(1,(GMW!$NE$2:$NE$150=AA$3)*(GMW!$ND$2:$ND$150=AA$4)*(GMW!$NF$2:$NF$150=AA$1),0),$C122-1966)</f>
        <v>450476.7</v>
      </c>
      <c r="AB122" s="4" cm="1">
        <f t="array" ref="AB122">INDEX(GMW!$A$2:$NF$150,MATCH(1,(GMW!$NE$2:$NE$150=AB$3)*(GMW!$ND$2:$ND$150=AB$4)*(GMW!$NF$2:$NF$150=AB$1),0),$C122-1966)</f>
        <v>27856.85</v>
      </c>
      <c r="AC122" s="4" cm="1">
        <f t="array" ref="AC122">INDEX(GMW!$A$2:$NF$150,MATCH(1,(GMW!$NE$2:$NE$150=AC$3)*(GMW!$ND$2:$ND$150=AC$4)*(GMW!$NF$2:$NF$150=AC$1),0),$C122-1966)</f>
        <v>32.5</v>
      </c>
      <c r="AD122" s="4" cm="1">
        <f t="array" ref="AD122">INDEX(GMW!$A$2:$NF$150,MATCH(1,(GMW!$NE$2:$NE$150=AD$3)*(GMW!$ND$2:$ND$150=AD$4)*(GMW!$NF$2:$NF$150=AD$1),0),$C122-1966)</f>
        <v>400820.9</v>
      </c>
      <c r="AE122" s="4" cm="1">
        <f t="array" ref="AE122">INDEX(GMW!$A$2:$NF$150,MATCH(1,(GMW!$NE$2:$NE$150=AE$3)*(GMW!$ND$2:$ND$150=AE$4)*(GMW!$NF$2:$NF$150=AE$1),0),$C122-1966)</f>
        <v>38766.71</v>
      </c>
      <c r="AF122" s="4" cm="1">
        <f t="array" ref="AF122">INDEX(GMW!$A$2:$NF$150,MATCH(1,(GMW!$NE$2:$NE$150=AF$3)*(GMW!$ND$2:$ND$150=AF$4)*(GMW!$NF$2:$NF$150=AF$1),0),$C122-1966)</f>
        <v>2168000</v>
      </c>
      <c r="AG122" s="4" cm="1">
        <f t="array" ref="AG122">INDEX(GMW!$A$2:$NF$150,MATCH(1,(GMW!$NE$2:$NE$150=AG$3)*(GMW!$ND$2:$ND$150=AG$4)*(GMW!$NF$2:$NF$150=AG$1),0),$C122-1966)</f>
        <v>-1.7014339999999999</v>
      </c>
      <c r="AH122" s="4" cm="1">
        <f t="array" ref="AH122">INDEX(GMW!$A$2:$NF$150,MATCH(1,(GMW!$NE$2:$NE$150=AH$3)*(GMW!$ND$2:$ND$150=AH$4)*(GMW!$NF$2:$NF$150=AH$1),0),$C122-1966)</f>
        <v>463404</v>
      </c>
      <c r="AI122" s="4" cm="1">
        <f t="array" ref="AI122">INDEX(GMW!$A$2:$NF$150,MATCH(1,(GMW!$NE$2:$NE$150=AI$3)*(GMW!$ND$2:$ND$150=AI$4)*(GMW!$NF$2:$NF$150=AI$1),0),$C122-1966)</f>
        <v>73.900000000000006</v>
      </c>
      <c r="AJ122" s="4" cm="1">
        <f t="array" ref="AJ122">INDEX(GMW!$A$2:$NF$150,MATCH(1,(GMW!$NE$2:$NE$150=AJ$3)*(GMW!$ND$2:$ND$150=AJ$4)*(GMW!$NF$2:$NF$150=AJ$1),0),$C122-1966)</f>
        <v>121471</v>
      </c>
      <c r="AK122" s="4" cm="1">
        <f t="array" ref="AK122">INDEX(GMW!$A$2:$NF$150,MATCH(1,(GMW!$NE$2:$NE$150=AK$3)*(GMW!$ND$2:$ND$150=AK$4)*(GMW!$NF$2:$NF$150=AK$1),0),$C122-1966)</f>
        <v>54782</v>
      </c>
      <c r="AL122" s="4" cm="1">
        <f t="array" ref="AL122">INDEX(GMW!$A$2:$NF$150,MATCH(1,(GMW!$NE$2:$NE$150=AL$3)*(GMW!$ND$2:$ND$150=AL$4)*(GMW!$NF$2:$NF$150=AL$1),0),$C122-1966)</f>
        <v>120993</v>
      </c>
      <c r="AM122" s="4" cm="1">
        <f t="array" ref="AM122">INDEX(GMW!$A$2:$NF$150,MATCH(1,(GMW!$NE$2:$NE$150=AM$3)*(GMW!$ND$2:$ND$150=AM$4)*(GMW!$NF$2:$NF$150=AM$1),0),$C122-1966)</f>
        <v>69343</v>
      </c>
      <c r="AN122" s="4" cm="1">
        <f t="array" ref="AN122">INDEX(GMW!$A$2:$NF$150,MATCH(1,(GMW!$NE$2:$NE$150=AN$3)*(GMW!$ND$2:$ND$150=AN$4)*(GMW!$NF$2:$NF$150=AN$1),0),$C122-1966)</f>
        <v>76321</v>
      </c>
      <c r="AO122" s="4" cm="1">
        <f t="array" ref="AO122">INDEX(GMW!$A$2:$NF$150,MATCH(1,(GMW!$NE$2:$NE$150=AO$3)*(GMW!$ND$2:$ND$150=AO$4)*(GMW!$NF$2:$NF$150=AO$1),0),$C122-1966)</f>
        <v>42863</v>
      </c>
      <c r="AP122" s="4" cm="1">
        <f t="array" ref="AP122">INDEX(GMW!$A$2:$NF$150,MATCH(1,(GMW!$NE$2:$NE$150=AP$3)*(GMW!$ND$2:$ND$150=AP$4)*(GMW!$NF$2:$NF$150=AP$1),0),$C122-1966)</f>
        <v>450476.7</v>
      </c>
      <c r="AQ122" s="4" cm="1">
        <f t="array" ref="AQ122">INDEX(GMW!$A$2:$NF$150,MATCH(1,(GMW!$NE$2:$NE$150=AQ$3)*(GMW!$ND$2:$ND$150=AQ$4)*(GMW!$NF$2:$NF$150=AQ$1),0),$C122-1966)</f>
        <v>27856.85</v>
      </c>
      <c r="AR122" s="4" cm="1">
        <f t="array" ref="AR122">INDEX(GMW!$A$2:$NF$150,MATCH(1,(GMW!$NE$2:$NE$150=AR$3)*(GMW!$ND$2:$ND$150=AR$4)*(GMW!$NF$2:$NF$150=AR$1),0),$C122-1966)</f>
        <v>32.5</v>
      </c>
      <c r="AS122" s="4" cm="1">
        <f t="array" ref="AS122">INDEX(GMW!$A$2:$NF$150,MATCH(1,(GMW!$NE$2:$NE$150=AS$3)*(GMW!$ND$2:$ND$150=AS$4)*(GMW!$NF$2:$NF$150=AS$1),0),$C122-1966)</f>
        <v>400820.9</v>
      </c>
      <c r="AT122" s="4" cm="1">
        <f t="array" ref="AT122">INDEX(GMW!$A$2:$NF$150,MATCH(1,(GMW!$NE$2:$NE$150=AT$3)*(GMW!$ND$2:$ND$150=AT$4)*(GMW!$NF$2:$NF$150=AT$1),0),$C122-1966)</f>
        <v>38766.71</v>
      </c>
      <c r="AU122" s="4" cm="1">
        <f t="array" ref="AU122">INDEX(GMW!$A$2:$NF$150,MATCH(1,(GMW!$NE$2:$NE$150=AU$3)*(GMW!$ND$2:$ND$150=AU$4)*(GMW!$NF$2:$NF$150=AU$1),0),$C122-1966)</f>
        <v>2168000</v>
      </c>
      <c r="AV122" s="4" cm="1">
        <f t="array" ref="AV122">INDEX(GMW!$A$2:$NF$150,MATCH(1,(GMW!$NE$2:$NE$150=AV$3)*(GMW!$ND$2:$ND$150=AV$4)*(GMW!$NF$2:$NF$150=AV$1),0),$C122-1966)</f>
        <v>-1.7014339999999999</v>
      </c>
    </row>
    <row r="123" spans="1:48" x14ac:dyDescent="0.25">
      <c r="A123" s="4">
        <v>2002</v>
      </c>
      <c r="B123" s="4">
        <f t="shared" si="6"/>
        <v>2002</v>
      </c>
      <c r="C123" s="4">
        <f t="shared" si="7"/>
        <v>2089</v>
      </c>
      <c r="D123" s="4" cm="1">
        <f t="array" ref="D123">INDEX(GMW!$A$2:$NF$150,MATCH(1,(GMW!$NE$2:$NE$150=D$3)*(GMW!$ND$2:$ND$150=D$4)*(GMW!$NF$2:$NF$150=D$1),0),$C123-1966)</f>
        <v>464698</v>
      </c>
      <c r="E123" s="4" cm="1">
        <f t="array" ref="E123">INDEX(GMW!$A$2:$NF$150,MATCH(1,(GMW!$NE$2:$NE$150=E$3)*(GMW!$ND$2:$ND$150=E$4)*(GMW!$NF$2:$NF$150=E$1),0),$C123-1966)</f>
        <v>73.866669999999999</v>
      </c>
      <c r="F123" s="4" cm="1">
        <f t="array" ref="F123">INDEX(GMW!$A$2:$NF$150,MATCH(1,(GMW!$NE$2:$NE$150=F$3)*(GMW!$ND$2:$ND$150=F$4)*(GMW!$NF$2:$NF$150=F$1),0),$C123-1966)</f>
        <v>123243</v>
      </c>
      <c r="G123" s="4" cm="1">
        <f t="array" ref="G123">INDEX(GMW!$A$2:$NF$150,MATCH(1,(GMW!$NE$2:$NE$150=G$3)*(GMW!$ND$2:$ND$150=G$4)*(GMW!$NF$2:$NF$150=G$1),0),$C123-1966)</f>
        <v>58201</v>
      </c>
      <c r="H123" s="4" cm="1">
        <f t="array" ref="H123">INDEX(GMW!$A$2:$NF$150,MATCH(1,(GMW!$NE$2:$NE$150=H$3)*(GMW!$ND$2:$ND$150=H$4)*(GMW!$NF$2:$NF$150=H$1),0),$C123-1966)</f>
        <v>125120</v>
      </c>
      <c r="I123" s="4" cm="1">
        <f t="array" ref="I123">INDEX(GMW!$A$2:$NF$150,MATCH(1,(GMW!$NE$2:$NE$150=I$3)*(GMW!$ND$2:$ND$150=I$4)*(GMW!$NF$2:$NF$150=I$1),0),$C123-1966)</f>
        <v>74228</v>
      </c>
      <c r="J123" s="4" cm="1">
        <f t="array" ref="J123">INDEX(GMW!$A$2:$NF$150,MATCH(1,(GMW!$NE$2:$NE$150=J$3)*(GMW!$ND$2:$ND$150=J$4)*(GMW!$NF$2:$NF$150=J$1),0),$C123-1966)</f>
        <v>76228</v>
      </c>
      <c r="K123" s="4" cm="1">
        <f t="array" ref="K123">INDEX(GMW!$A$2:$NF$150,MATCH(1,(GMW!$NE$2:$NE$150=K$3)*(GMW!$ND$2:$ND$150=K$4)*(GMW!$NF$2:$NF$150=K$1),0),$C123-1966)</f>
        <v>42091</v>
      </c>
      <c r="L123" s="4" cm="1">
        <f t="array" ref="L123">INDEX(GMW!$A$2:$NF$150,MATCH(1,(GMW!$NE$2:$NE$150=L$3)*(GMW!$ND$2:$ND$150=L$4)*(GMW!$NF$2:$NF$150=L$1),0),$C123-1966)</f>
        <v>453318.6</v>
      </c>
      <c r="M123" s="4" cm="1">
        <f t="array" ref="M123">INDEX(GMW!$A$2:$NF$150,MATCH(1,(GMW!$NE$2:$NE$150=M$3)*(GMW!$ND$2:$ND$150=M$4)*(GMW!$NF$2:$NF$150=M$1),0),$C123-1966)</f>
        <v>27846.400000000001</v>
      </c>
      <c r="N123" s="4" cm="1">
        <f t="array" ref="N123">INDEX(GMW!$A$2:$NF$150,MATCH(1,(GMW!$NE$2:$NE$150=N$3)*(GMW!$ND$2:$ND$150=N$4)*(GMW!$NF$2:$NF$150=N$1),0),$C123-1966)</f>
        <v>32.5</v>
      </c>
      <c r="O123" s="4" cm="1">
        <f t="array" ref="O123">INDEX(GMW!$A$2:$NF$150,MATCH(1,(GMW!$NE$2:$NE$150=O$3)*(GMW!$ND$2:$ND$150=O$4)*(GMW!$NF$2:$NF$150=O$1),0),$C123-1966)</f>
        <v>404886</v>
      </c>
      <c r="P123" s="4" cm="1">
        <f t="array" ref="P123">INDEX(GMW!$A$2:$NF$150,MATCH(1,(GMW!$NE$2:$NE$150=P$3)*(GMW!$ND$2:$ND$150=P$4)*(GMW!$NF$2:$NF$150=P$1),0),$C123-1966)</f>
        <v>38833.300000000003</v>
      </c>
      <c r="Q123" s="4" cm="1">
        <f t="array" ref="Q123">INDEX(GMW!$A$2:$NF$150,MATCH(1,(GMW!$NE$2:$NE$150=Q$3)*(GMW!$ND$2:$ND$150=Q$4)*(GMW!$NF$2:$NF$150=Q$1),0),$C123-1966)</f>
        <v>2183500</v>
      </c>
      <c r="R123" s="4" cm="1">
        <f t="array" ref="R123">INDEX(GMW!$A$2:$NF$150,MATCH(1,(GMW!$NE$2:$NE$150=R$3)*(GMW!$ND$2:$ND$150=R$4)*(GMW!$NF$2:$NF$150=R$1),0),$C123-1966)</f>
        <v>-1.700413</v>
      </c>
      <c r="S123" s="4" cm="1">
        <f t="array" ref="S123">INDEX(GMW!$A$2:$NF$150,MATCH(1,(GMW!$NE$2:$NE$150=S$3)*(GMW!$ND$2:$ND$150=S$4)*(GMW!$NF$2:$NF$150=S$1),0),$C123-1966)</f>
        <v>464698</v>
      </c>
      <c r="T123" s="4" cm="1">
        <f t="array" ref="T123">INDEX(GMW!$A$2:$NF$150,MATCH(1,(GMW!$NE$2:$NE$150=T$3)*(GMW!$ND$2:$ND$150=T$4)*(GMW!$NF$2:$NF$150=T$1),0),$C123-1966)</f>
        <v>73.866669999999999</v>
      </c>
      <c r="U123" s="4" cm="1">
        <f t="array" ref="U123">INDEX(GMW!$A$2:$NF$150,MATCH(1,(GMW!$NE$2:$NE$150=U$3)*(GMW!$ND$2:$ND$150=U$4)*(GMW!$NF$2:$NF$150=U$1),0),$C123-1966)</f>
        <v>123243</v>
      </c>
      <c r="V123" s="4" cm="1">
        <f t="array" ref="V123">INDEX(GMW!$A$2:$NF$150,MATCH(1,(GMW!$NE$2:$NE$150=V$3)*(GMW!$ND$2:$ND$150=V$4)*(GMW!$NF$2:$NF$150=V$1),0),$C123-1966)</f>
        <v>58201</v>
      </c>
      <c r="W123" s="4" cm="1">
        <f t="array" ref="W123">INDEX(GMW!$A$2:$NF$150,MATCH(1,(GMW!$NE$2:$NE$150=W$3)*(GMW!$ND$2:$ND$150=W$4)*(GMW!$NF$2:$NF$150=W$1),0),$C123-1966)</f>
        <v>125120</v>
      </c>
      <c r="X123" s="4" cm="1">
        <f t="array" ref="X123">INDEX(GMW!$A$2:$NF$150,MATCH(1,(GMW!$NE$2:$NE$150=X$3)*(GMW!$ND$2:$ND$150=X$4)*(GMW!$NF$2:$NF$150=X$1),0),$C123-1966)</f>
        <v>74228</v>
      </c>
      <c r="Y123" s="4" cm="1">
        <f t="array" ref="Y123">INDEX(GMW!$A$2:$NF$150,MATCH(1,(GMW!$NE$2:$NE$150=Y$3)*(GMW!$ND$2:$ND$150=Y$4)*(GMW!$NF$2:$NF$150=Y$1),0),$C123-1966)</f>
        <v>76228</v>
      </c>
      <c r="Z123" s="4" cm="1">
        <f t="array" ref="Z123">INDEX(GMW!$A$2:$NF$150,MATCH(1,(GMW!$NE$2:$NE$150=Z$3)*(GMW!$ND$2:$ND$150=Z$4)*(GMW!$NF$2:$NF$150=Z$1),0),$C123-1966)</f>
        <v>42091</v>
      </c>
      <c r="AA123" s="4" cm="1">
        <f t="array" ref="AA123">INDEX(GMW!$A$2:$NF$150,MATCH(1,(GMW!$NE$2:$NE$150=AA$3)*(GMW!$ND$2:$ND$150=AA$4)*(GMW!$NF$2:$NF$150=AA$1),0),$C123-1966)</f>
        <v>453318.6</v>
      </c>
      <c r="AB123" s="4" cm="1">
        <f t="array" ref="AB123">INDEX(GMW!$A$2:$NF$150,MATCH(1,(GMW!$NE$2:$NE$150=AB$3)*(GMW!$ND$2:$ND$150=AB$4)*(GMW!$NF$2:$NF$150=AB$1),0),$C123-1966)</f>
        <v>27846.400000000001</v>
      </c>
      <c r="AC123" s="4" cm="1">
        <f t="array" ref="AC123">INDEX(GMW!$A$2:$NF$150,MATCH(1,(GMW!$NE$2:$NE$150=AC$3)*(GMW!$ND$2:$ND$150=AC$4)*(GMW!$NF$2:$NF$150=AC$1),0),$C123-1966)</f>
        <v>32.5</v>
      </c>
      <c r="AD123" s="4" cm="1">
        <f t="array" ref="AD123">INDEX(GMW!$A$2:$NF$150,MATCH(1,(GMW!$NE$2:$NE$150=AD$3)*(GMW!$ND$2:$ND$150=AD$4)*(GMW!$NF$2:$NF$150=AD$1),0),$C123-1966)</f>
        <v>404886</v>
      </c>
      <c r="AE123" s="4" cm="1">
        <f t="array" ref="AE123">INDEX(GMW!$A$2:$NF$150,MATCH(1,(GMW!$NE$2:$NE$150=AE$3)*(GMW!$ND$2:$ND$150=AE$4)*(GMW!$NF$2:$NF$150=AE$1),0),$C123-1966)</f>
        <v>38833.300000000003</v>
      </c>
      <c r="AF123" s="4" cm="1">
        <f t="array" ref="AF123">INDEX(GMW!$A$2:$NF$150,MATCH(1,(GMW!$NE$2:$NE$150=AF$3)*(GMW!$ND$2:$ND$150=AF$4)*(GMW!$NF$2:$NF$150=AF$1),0),$C123-1966)</f>
        <v>2183500</v>
      </c>
      <c r="AG123" s="4" cm="1">
        <f t="array" ref="AG123">INDEX(GMW!$A$2:$NF$150,MATCH(1,(GMW!$NE$2:$NE$150=AG$3)*(GMW!$ND$2:$ND$150=AG$4)*(GMW!$NF$2:$NF$150=AG$1),0),$C123-1966)</f>
        <v>-1.700413</v>
      </c>
      <c r="AH123" s="4" cm="1">
        <f t="array" ref="AH123">INDEX(GMW!$A$2:$NF$150,MATCH(1,(GMW!$NE$2:$NE$150=AH$3)*(GMW!$ND$2:$ND$150=AH$4)*(GMW!$NF$2:$NF$150=AH$1),0),$C123-1966)</f>
        <v>464698</v>
      </c>
      <c r="AI123" s="4" cm="1">
        <f t="array" ref="AI123">INDEX(GMW!$A$2:$NF$150,MATCH(1,(GMW!$NE$2:$NE$150=AI$3)*(GMW!$ND$2:$ND$150=AI$4)*(GMW!$NF$2:$NF$150=AI$1),0),$C123-1966)</f>
        <v>73.866669999999999</v>
      </c>
      <c r="AJ123" s="4" cm="1">
        <f t="array" ref="AJ123">INDEX(GMW!$A$2:$NF$150,MATCH(1,(GMW!$NE$2:$NE$150=AJ$3)*(GMW!$ND$2:$ND$150=AJ$4)*(GMW!$NF$2:$NF$150=AJ$1),0),$C123-1966)</f>
        <v>123243</v>
      </c>
      <c r="AK123" s="4" cm="1">
        <f t="array" ref="AK123">INDEX(GMW!$A$2:$NF$150,MATCH(1,(GMW!$NE$2:$NE$150=AK$3)*(GMW!$ND$2:$ND$150=AK$4)*(GMW!$NF$2:$NF$150=AK$1),0),$C123-1966)</f>
        <v>58201</v>
      </c>
      <c r="AL123" s="4" cm="1">
        <f t="array" ref="AL123">INDEX(GMW!$A$2:$NF$150,MATCH(1,(GMW!$NE$2:$NE$150=AL$3)*(GMW!$ND$2:$ND$150=AL$4)*(GMW!$NF$2:$NF$150=AL$1),0),$C123-1966)</f>
        <v>125120</v>
      </c>
      <c r="AM123" s="4" cm="1">
        <f t="array" ref="AM123">INDEX(GMW!$A$2:$NF$150,MATCH(1,(GMW!$NE$2:$NE$150=AM$3)*(GMW!$ND$2:$ND$150=AM$4)*(GMW!$NF$2:$NF$150=AM$1),0),$C123-1966)</f>
        <v>74228</v>
      </c>
      <c r="AN123" s="4" cm="1">
        <f t="array" ref="AN123">INDEX(GMW!$A$2:$NF$150,MATCH(1,(GMW!$NE$2:$NE$150=AN$3)*(GMW!$ND$2:$ND$150=AN$4)*(GMW!$NF$2:$NF$150=AN$1),0),$C123-1966)</f>
        <v>76228</v>
      </c>
      <c r="AO123" s="4" cm="1">
        <f t="array" ref="AO123">INDEX(GMW!$A$2:$NF$150,MATCH(1,(GMW!$NE$2:$NE$150=AO$3)*(GMW!$ND$2:$ND$150=AO$4)*(GMW!$NF$2:$NF$150=AO$1),0),$C123-1966)</f>
        <v>42091</v>
      </c>
      <c r="AP123" s="4" cm="1">
        <f t="array" ref="AP123">INDEX(GMW!$A$2:$NF$150,MATCH(1,(GMW!$NE$2:$NE$150=AP$3)*(GMW!$ND$2:$ND$150=AP$4)*(GMW!$NF$2:$NF$150=AP$1),0),$C123-1966)</f>
        <v>453318.6</v>
      </c>
      <c r="AQ123" s="4" cm="1">
        <f t="array" ref="AQ123">INDEX(GMW!$A$2:$NF$150,MATCH(1,(GMW!$NE$2:$NE$150=AQ$3)*(GMW!$ND$2:$ND$150=AQ$4)*(GMW!$NF$2:$NF$150=AQ$1),0),$C123-1966)</f>
        <v>27846.400000000001</v>
      </c>
      <c r="AR123" s="4" cm="1">
        <f t="array" ref="AR123">INDEX(GMW!$A$2:$NF$150,MATCH(1,(GMW!$NE$2:$NE$150=AR$3)*(GMW!$ND$2:$ND$150=AR$4)*(GMW!$NF$2:$NF$150=AR$1),0),$C123-1966)</f>
        <v>32.5</v>
      </c>
      <c r="AS123" s="4" cm="1">
        <f t="array" ref="AS123">INDEX(GMW!$A$2:$NF$150,MATCH(1,(GMW!$NE$2:$NE$150=AS$3)*(GMW!$ND$2:$ND$150=AS$4)*(GMW!$NF$2:$NF$150=AS$1),0),$C123-1966)</f>
        <v>404886</v>
      </c>
      <c r="AT123" s="4" cm="1">
        <f t="array" ref="AT123">INDEX(GMW!$A$2:$NF$150,MATCH(1,(GMW!$NE$2:$NE$150=AT$3)*(GMW!$ND$2:$ND$150=AT$4)*(GMW!$NF$2:$NF$150=AT$1),0),$C123-1966)</f>
        <v>38833.300000000003</v>
      </c>
      <c r="AU123" s="4" cm="1">
        <f t="array" ref="AU123">INDEX(GMW!$A$2:$NF$150,MATCH(1,(GMW!$NE$2:$NE$150=AU$3)*(GMW!$ND$2:$ND$150=AU$4)*(GMW!$NF$2:$NF$150=AU$1),0),$C123-1966)</f>
        <v>2183500</v>
      </c>
      <c r="AV123" s="4" cm="1">
        <f t="array" ref="AV123">INDEX(GMW!$A$2:$NF$150,MATCH(1,(GMW!$NE$2:$NE$150=AV$3)*(GMW!$ND$2:$ND$150=AV$4)*(GMW!$NF$2:$NF$150=AV$1),0),$C123-1966)</f>
        <v>-1.700413</v>
      </c>
    </row>
    <row r="124" spans="1:48" x14ac:dyDescent="0.25">
      <c r="B124" s="4">
        <f t="shared" si="6"/>
        <v>2002</v>
      </c>
      <c r="C124" s="4">
        <f t="shared" si="7"/>
        <v>2090</v>
      </c>
      <c r="D124" s="4" cm="1">
        <f t="array" ref="D124">INDEX(GMW!$A$2:$NF$150,MATCH(1,(GMW!$NE$2:$NE$150=D$3)*(GMW!$ND$2:$ND$150=D$4)*(GMW!$NF$2:$NF$150=D$1),0),$C124-1966)</f>
        <v>466935</v>
      </c>
      <c r="E124" s="4" cm="1">
        <f t="array" ref="E124">INDEX(GMW!$A$2:$NF$150,MATCH(1,(GMW!$NE$2:$NE$150=E$3)*(GMW!$ND$2:$ND$150=E$4)*(GMW!$NF$2:$NF$150=E$1),0),$C124-1966)</f>
        <v>74.533330000000007</v>
      </c>
      <c r="F124" s="4" cm="1">
        <f t="array" ref="F124">INDEX(GMW!$A$2:$NF$150,MATCH(1,(GMW!$NE$2:$NE$150=F$3)*(GMW!$ND$2:$ND$150=F$4)*(GMW!$NF$2:$NF$150=F$1),0),$C124-1966)</f>
        <v>126845</v>
      </c>
      <c r="G124" s="4" cm="1">
        <f t="array" ref="G124">INDEX(GMW!$A$2:$NF$150,MATCH(1,(GMW!$NE$2:$NE$150=G$3)*(GMW!$ND$2:$ND$150=G$4)*(GMW!$NF$2:$NF$150=G$1),0),$C124-1966)</f>
        <v>61012</v>
      </c>
      <c r="H124" s="4" cm="1">
        <f t="array" ref="H124">INDEX(GMW!$A$2:$NF$150,MATCH(1,(GMW!$NE$2:$NE$150=H$3)*(GMW!$ND$2:$ND$150=H$4)*(GMW!$NF$2:$NF$150=H$1),0),$C124-1966)</f>
        <v>130137</v>
      </c>
      <c r="I124" s="4" cm="1">
        <f t="array" ref="I124">INDEX(GMW!$A$2:$NF$150,MATCH(1,(GMW!$NE$2:$NE$150=I$3)*(GMW!$ND$2:$ND$150=I$4)*(GMW!$NF$2:$NF$150=I$1),0),$C124-1966)</f>
        <v>79161</v>
      </c>
      <c r="J124" s="4" cm="1">
        <f t="array" ref="J124">INDEX(GMW!$A$2:$NF$150,MATCH(1,(GMW!$NE$2:$NE$150=J$3)*(GMW!$ND$2:$ND$150=J$4)*(GMW!$NF$2:$NF$150=J$1),0),$C124-1966)</f>
        <v>76226</v>
      </c>
      <c r="K124" s="4" cm="1">
        <f t="array" ref="K124">INDEX(GMW!$A$2:$NF$150,MATCH(1,(GMW!$NE$2:$NE$150=K$3)*(GMW!$ND$2:$ND$150=K$4)*(GMW!$NF$2:$NF$150=K$1),0),$C124-1966)</f>
        <v>41670</v>
      </c>
      <c r="L124" s="4" cm="1">
        <f t="array" ref="L124">INDEX(GMW!$A$2:$NF$150,MATCH(1,(GMW!$NE$2:$NE$150=L$3)*(GMW!$ND$2:$ND$150=L$4)*(GMW!$NF$2:$NF$150=L$1),0),$C124-1966)</f>
        <v>454633.9</v>
      </c>
      <c r="M124" s="4" cm="1">
        <f t="array" ref="M124">INDEX(GMW!$A$2:$NF$150,MATCH(1,(GMW!$NE$2:$NE$150=M$3)*(GMW!$ND$2:$ND$150=M$4)*(GMW!$NF$2:$NF$150=M$1),0),$C124-1966)</f>
        <v>27980.35</v>
      </c>
      <c r="N124" s="4" cm="1">
        <f t="array" ref="N124">INDEX(GMW!$A$2:$NF$150,MATCH(1,(GMW!$NE$2:$NE$150=N$3)*(GMW!$ND$2:$ND$150=N$4)*(GMW!$NF$2:$NF$150=N$1),0),$C124-1966)</f>
        <v>32.200000000000003</v>
      </c>
      <c r="O124" s="4" cm="1">
        <f t="array" ref="O124">INDEX(GMW!$A$2:$NF$150,MATCH(1,(GMW!$NE$2:$NE$150=O$3)*(GMW!$ND$2:$ND$150=O$4)*(GMW!$NF$2:$NF$150=O$1),0),$C124-1966)</f>
        <v>408691.4</v>
      </c>
      <c r="P124" s="4" cm="1">
        <f t="array" ref="P124">INDEX(GMW!$A$2:$NF$150,MATCH(1,(GMW!$NE$2:$NE$150=P$3)*(GMW!$ND$2:$ND$150=P$4)*(GMW!$NF$2:$NF$150=P$1),0),$C124-1966)</f>
        <v>38899.89</v>
      </c>
      <c r="Q124" s="4" cm="1">
        <f t="array" ref="Q124">INDEX(GMW!$A$2:$NF$150,MATCH(1,(GMW!$NE$2:$NE$150=Q$3)*(GMW!$ND$2:$ND$150=Q$4)*(GMW!$NF$2:$NF$150=Q$1),0),$C124-1966)</f>
        <v>2199000</v>
      </c>
      <c r="R124" s="4" cm="1">
        <f t="array" ref="R124">INDEX(GMW!$A$2:$NF$150,MATCH(1,(GMW!$NE$2:$NE$150=R$3)*(GMW!$ND$2:$ND$150=R$4)*(GMW!$NF$2:$NF$150=R$1),0),$C124-1966)</f>
        <v>-1.6993929999999999</v>
      </c>
      <c r="S124" s="4" cm="1">
        <f t="array" ref="S124">INDEX(GMW!$A$2:$NF$150,MATCH(1,(GMW!$NE$2:$NE$150=S$3)*(GMW!$ND$2:$ND$150=S$4)*(GMW!$NF$2:$NF$150=S$1),0),$C124-1966)</f>
        <v>466935</v>
      </c>
      <c r="T124" s="4" cm="1">
        <f t="array" ref="T124">INDEX(GMW!$A$2:$NF$150,MATCH(1,(GMW!$NE$2:$NE$150=T$3)*(GMW!$ND$2:$ND$150=T$4)*(GMW!$NF$2:$NF$150=T$1),0),$C124-1966)</f>
        <v>74.533330000000007</v>
      </c>
      <c r="U124" s="4" cm="1">
        <f t="array" ref="U124">INDEX(GMW!$A$2:$NF$150,MATCH(1,(GMW!$NE$2:$NE$150=U$3)*(GMW!$ND$2:$ND$150=U$4)*(GMW!$NF$2:$NF$150=U$1),0),$C124-1966)</f>
        <v>126845</v>
      </c>
      <c r="V124" s="4" cm="1">
        <f t="array" ref="V124">INDEX(GMW!$A$2:$NF$150,MATCH(1,(GMW!$NE$2:$NE$150=V$3)*(GMW!$ND$2:$ND$150=V$4)*(GMW!$NF$2:$NF$150=V$1),0),$C124-1966)</f>
        <v>61012</v>
      </c>
      <c r="W124" s="4" cm="1">
        <f t="array" ref="W124">INDEX(GMW!$A$2:$NF$150,MATCH(1,(GMW!$NE$2:$NE$150=W$3)*(GMW!$ND$2:$ND$150=W$4)*(GMW!$NF$2:$NF$150=W$1),0),$C124-1966)</f>
        <v>130137</v>
      </c>
      <c r="X124" s="4" cm="1">
        <f t="array" ref="X124">INDEX(GMW!$A$2:$NF$150,MATCH(1,(GMW!$NE$2:$NE$150=X$3)*(GMW!$ND$2:$ND$150=X$4)*(GMW!$NF$2:$NF$150=X$1),0),$C124-1966)</f>
        <v>79161</v>
      </c>
      <c r="Y124" s="4" cm="1">
        <f t="array" ref="Y124">INDEX(GMW!$A$2:$NF$150,MATCH(1,(GMW!$NE$2:$NE$150=Y$3)*(GMW!$ND$2:$ND$150=Y$4)*(GMW!$NF$2:$NF$150=Y$1),0),$C124-1966)</f>
        <v>76226</v>
      </c>
      <c r="Z124" s="4" cm="1">
        <f t="array" ref="Z124">INDEX(GMW!$A$2:$NF$150,MATCH(1,(GMW!$NE$2:$NE$150=Z$3)*(GMW!$ND$2:$ND$150=Z$4)*(GMW!$NF$2:$NF$150=Z$1),0),$C124-1966)</f>
        <v>41670</v>
      </c>
      <c r="AA124" s="4" cm="1">
        <f t="array" ref="AA124">INDEX(GMW!$A$2:$NF$150,MATCH(1,(GMW!$NE$2:$NE$150=AA$3)*(GMW!$ND$2:$ND$150=AA$4)*(GMW!$NF$2:$NF$150=AA$1),0),$C124-1966)</f>
        <v>454633.9</v>
      </c>
      <c r="AB124" s="4" cm="1">
        <f t="array" ref="AB124">INDEX(GMW!$A$2:$NF$150,MATCH(1,(GMW!$NE$2:$NE$150=AB$3)*(GMW!$ND$2:$ND$150=AB$4)*(GMW!$NF$2:$NF$150=AB$1),0),$C124-1966)</f>
        <v>27980.35</v>
      </c>
      <c r="AC124" s="4" cm="1">
        <f t="array" ref="AC124">INDEX(GMW!$A$2:$NF$150,MATCH(1,(GMW!$NE$2:$NE$150=AC$3)*(GMW!$ND$2:$ND$150=AC$4)*(GMW!$NF$2:$NF$150=AC$1),0),$C124-1966)</f>
        <v>32.200000000000003</v>
      </c>
      <c r="AD124" s="4" cm="1">
        <f t="array" ref="AD124">INDEX(GMW!$A$2:$NF$150,MATCH(1,(GMW!$NE$2:$NE$150=AD$3)*(GMW!$ND$2:$ND$150=AD$4)*(GMW!$NF$2:$NF$150=AD$1),0),$C124-1966)</f>
        <v>408691.4</v>
      </c>
      <c r="AE124" s="4" cm="1">
        <f t="array" ref="AE124">INDEX(GMW!$A$2:$NF$150,MATCH(1,(GMW!$NE$2:$NE$150=AE$3)*(GMW!$ND$2:$ND$150=AE$4)*(GMW!$NF$2:$NF$150=AE$1),0),$C124-1966)</f>
        <v>38899.89</v>
      </c>
      <c r="AF124" s="4" cm="1">
        <f t="array" ref="AF124">INDEX(GMW!$A$2:$NF$150,MATCH(1,(GMW!$NE$2:$NE$150=AF$3)*(GMW!$ND$2:$ND$150=AF$4)*(GMW!$NF$2:$NF$150=AF$1),0),$C124-1966)</f>
        <v>2199000</v>
      </c>
      <c r="AG124" s="4" cm="1">
        <f t="array" ref="AG124">INDEX(GMW!$A$2:$NF$150,MATCH(1,(GMW!$NE$2:$NE$150=AG$3)*(GMW!$ND$2:$ND$150=AG$4)*(GMW!$NF$2:$NF$150=AG$1),0),$C124-1966)</f>
        <v>-1.6993929999999999</v>
      </c>
      <c r="AH124" s="4" cm="1">
        <f t="array" ref="AH124">INDEX(GMW!$A$2:$NF$150,MATCH(1,(GMW!$NE$2:$NE$150=AH$3)*(GMW!$ND$2:$ND$150=AH$4)*(GMW!$NF$2:$NF$150=AH$1),0),$C124-1966)</f>
        <v>466935</v>
      </c>
      <c r="AI124" s="4" cm="1">
        <f t="array" ref="AI124">INDEX(GMW!$A$2:$NF$150,MATCH(1,(GMW!$NE$2:$NE$150=AI$3)*(GMW!$ND$2:$ND$150=AI$4)*(GMW!$NF$2:$NF$150=AI$1),0),$C124-1966)</f>
        <v>74.533330000000007</v>
      </c>
      <c r="AJ124" s="4" cm="1">
        <f t="array" ref="AJ124">INDEX(GMW!$A$2:$NF$150,MATCH(1,(GMW!$NE$2:$NE$150=AJ$3)*(GMW!$ND$2:$ND$150=AJ$4)*(GMW!$NF$2:$NF$150=AJ$1),0),$C124-1966)</f>
        <v>126845</v>
      </c>
      <c r="AK124" s="4" cm="1">
        <f t="array" ref="AK124">INDEX(GMW!$A$2:$NF$150,MATCH(1,(GMW!$NE$2:$NE$150=AK$3)*(GMW!$ND$2:$ND$150=AK$4)*(GMW!$NF$2:$NF$150=AK$1),0),$C124-1966)</f>
        <v>61012</v>
      </c>
      <c r="AL124" s="4" cm="1">
        <f t="array" ref="AL124">INDEX(GMW!$A$2:$NF$150,MATCH(1,(GMW!$NE$2:$NE$150=AL$3)*(GMW!$ND$2:$ND$150=AL$4)*(GMW!$NF$2:$NF$150=AL$1),0),$C124-1966)</f>
        <v>130137</v>
      </c>
      <c r="AM124" s="4" cm="1">
        <f t="array" ref="AM124">INDEX(GMW!$A$2:$NF$150,MATCH(1,(GMW!$NE$2:$NE$150=AM$3)*(GMW!$ND$2:$ND$150=AM$4)*(GMW!$NF$2:$NF$150=AM$1),0),$C124-1966)</f>
        <v>79161</v>
      </c>
      <c r="AN124" s="4" cm="1">
        <f t="array" ref="AN124">INDEX(GMW!$A$2:$NF$150,MATCH(1,(GMW!$NE$2:$NE$150=AN$3)*(GMW!$ND$2:$ND$150=AN$4)*(GMW!$NF$2:$NF$150=AN$1),0),$C124-1966)</f>
        <v>76226</v>
      </c>
      <c r="AO124" s="4" cm="1">
        <f t="array" ref="AO124">INDEX(GMW!$A$2:$NF$150,MATCH(1,(GMW!$NE$2:$NE$150=AO$3)*(GMW!$ND$2:$ND$150=AO$4)*(GMW!$NF$2:$NF$150=AO$1),0),$C124-1966)</f>
        <v>41670</v>
      </c>
      <c r="AP124" s="4" cm="1">
        <f t="array" ref="AP124">INDEX(GMW!$A$2:$NF$150,MATCH(1,(GMW!$NE$2:$NE$150=AP$3)*(GMW!$ND$2:$ND$150=AP$4)*(GMW!$NF$2:$NF$150=AP$1),0),$C124-1966)</f>
        <v>454633.9</v>
      </c>
      <c r="AQ124" s="4" cm="1">
        <f t="array" ref="AQ124">INDEX(GMW!$A$2:$NF$150,MATCH(1,(GMW!$NE$2:$NE$150=AQ$3)*(GMW!$ND$2:$ND$150=AQ$4)*(GMW!$NF$2:$NF$150=AQ$1),0),$C124-1966)</f>
        <v>27980.35</v>
      </c>
      <c r="AR124" s="4" cm="1">
        <f t="array" ref="AR124">INDEX(GMW!$A$2:$NF$150,MATCH(1,(GMW!$NE$2:$NE$150=AR$3)*(GMW!$ND$2:$ND$150=AR$4)*(GMW!$NF$2:$NF$150=AR$1),0),$C124-1966)</f>
        <v>32.200000000000003</v>
      </c>
      <c r="AS124" s="4" cm="1">
        <f t="array" ref="AS124">INDEX(GMW!$A$2:$NF$150,MATCH(1,(GMW!$NE$2:$NE$150=AS$3)*(GMW!$ND$2:$ND$150=AS$4)*(GMW!$NF$2:$NF$150=AS$1),0),$C124-1966)</f>
        <v>408691.4</v>
      </c>
      <c r="AT124" s="4" cm="1">
        <f t="array" ref="AT124">INDEX(GMW!$A$2:$NF$150,MATCH(1,(GMW!$NE$2:$NE$150=AT$3)*(GMW!$ND$2:$ND$150=AT$4)*(GMW!$NF$2:$NF$150=AT$1),0),$C124-1966)</f>
        <v>38899.89</v>
      </c>
      <c r="AU124" s="4" cm="1">
        <f t="array" ref="AU124">INDEX(GMW!$A$2:$NF$150,MATCH(1,(GMW!$NE$2:$NE$150=AU$3)*(GMW!$ND$2:$ND$150=AU$4)*(GMW!$NF$2:$NF$150=AU$1),0),$C124-1966)</f>
        <v>2199000</v>
      </c>
      <c r="AV124" s="4" cm="1">
        <f t="array" ref="AV124">INDEX(GMW!$A$2:$NF$150,MATCH(1,(GMW!$NE$2:$NE$150=AV$3)*(GMW!$ND$2:$ND$150=AV$4)*(GMW!$NF$2:$NF$150=AV$1),0),$C124-1966)</f>
        <v>-1.6993929999999999</v>
      </c>
    </row>
    <row r="125" spans="1:48" x14ac:dyDescent="0.25">
      <c r="B125" s="4">
        <f t="shared" si="6"/>
        <v>2002</v>
      </c>
      <c r="C125" s="4">
        <f t="shared" si="7"/>
        <v>2091</v>
      </c>
      <c r="D125" s="4" cm="1">
        <f t="array" ref="D125">INDEX(GMW!$A$2:$NF$150,MATCH(1,(GMW!$NE$2:$NE$150=D$3)*(GMW!$ND$2:$ND$150=D$4)*(GMW!$NF$2:$NF$150=D$1),0),$C125-1966)</f>
        <v>470277</v>
      </c>
      <c r="E125" s="4" cm="1">
        <f t="array" ref="E125">INDEX(GMW!$A$2:$NF$150,MATCH(1,(GMW!$NE$2:$NE$150=E$3)*(GMW!$ND$2:$ND$150=E$4)*(GMW!$NF$2:$NF$150=E$1),0),$C125-1966)</f>
        <v>74.599999999999994</v>
      </c>
      <c r="F125" s="4" cm="1">
        <f t="array" ref="F125">INDEX(GMW!$A$2:$NF$150,MATCH(1,(GMW!$NE$2:$NE$150=F$3)*(GMW!$ND$2:$ND$150=F$4)*(GMW!$NF$2:$NF$150=F$1),0),$C125-1966)</f>
        <v>125921</v>
      </c>
      <c r="G125" s="4" cm="1">
        <f t="array" ref="G125">INDEX(GMW!$A$2:$NF$150,MATCH(1,(GMW!$NE$2:$NE$150=G$3)*(GMW!$ND$2:$ND$150=G$4)*(GMW!$NF$2:$NF$150=G$1),0),$C125-1966)</f>
        <v>60535</v>
      </c>
      <c r="H125" s="4" cm="1">
        <f t="array" ref="H125">INDEX(GMW!$A$2:$NF$150,MATCH(1,(GMW!$NE$2:$NE$150=H$3)*(GMW!$ND$2:$ND$150=H$4)*(GMW!$NF$2:$NF$150=H$1),0),$C125-1966)</f>
        <v>128297</v>
      </c>
      <c r="I125" s="4" cm="1">
        <f t="array" ref="I125">INDEX(GMW!$A$2:$NF$150,MATCH(1,(GMW!$NE$2:$NE$150=I$3)*(GMW!$ND$2:$ND$150=I$4)*(GMW!$NF$2:$NF$150=I$1),0),$C125-1966)</f>
        <v>77493</v>
      </c>
      <c r="J125" s="4" cm="1">
        <f t="array" ref="J125">INDEX(GMW!$A$2:$NF$150,MATCH(1,(GMW!$NE$2:$NE$150=J$3)*(GMW!$ND$2:$ND$150=J$4)*(GMW!$NF$2:$NF$150=J$1),0),$C125-1966)</f>
        <v>80253</v>
      </c>
      <c r="K125" s="4" cm="1">
        <f t="array" ref="K125">INDEX(GMW!$A$2:$NF$150,MATCH(1,(GMW!$NE$2:$NE$150=K$3)*(GMW!$ND$2:$ND$150=K$4)*(GMW!$NF$2:$NF$150=K$1),0),$C125-1966)</f>
        <v>43962</v>
      </c>
      <c r="L125" s="4" cm="1">
        <f t="array" ref="L125">INDEX(GMW!$A$2:$NF$150,MATCH(1,(GMW!$NE$2:$NE$150=L$3)*(GMW!$ND$2:$ND$150=L$4)*(GMW!$NF$2:$NF$150=L$1),0),$C125-1966)</f>
        <v>459691.7</v>
      </c>
      <c r="M125" s="4" cm="1">
        <f t="array" ref="M125">INDEX(GMW!$A$2:$NF$150,MATCH(1,(GMW!$NE$2:$NE$150=M$3)*(GMW!$ND$2:$ND$150=M$4)*(GMW!$NF$2:$NF$150=M$1),0),$C125-1966)</f>
        <v>28025.95</v>
      </c>
      <c r="N125" s="4" cm="1">
        <f t="array" ref="N125">INDEX(GMW!$A$2:$NF$150,MATCH(1,(GMW!$NE$2:$NE$150=N$3)*(GMW!$ND$2:$ND$150=N$4)*(GMW!$NF$2:$NF$150=N$1),0),$C125-1966)</f>
        <v>32.4</v>
      </c>
      <c r="O125" s="4" cm="1">
        <f t="array" ref="O125">INDEX(GMW!$A$2:$NF$150,MATCH(1,(GMW!$NE$2:$NE$150=O$3)*(GMW!$ND$2:$ND$150=O$4)*(GMW!$NF$2:$NF$150=O$1),0),$C125-1966)</f>
        <v>412809</v>
      </c>
      <c r="P125" s="4" cm="1">
        <f t="array" ref="P125">INDEX(GMW!$A$2:$NF$150,MATCH(1,(GMW!$NE$2:$NE$150=P$3)*(GMW!$ND$2:$ND$150=P$4)*(GMW!$NF$2:$NF$150=P$1),0),$C125-1966)</f>
        <v>38967.660000000003</v>
      </c>
      <c r="Q125" s="4" cm="1">
        <f t="array" ref="Q125">INDEX(GMW!$A$2:$NF$150,MATCH(1,(GMW!$NE$2:$NE$150=Q$3)*(GMW!$ND$2:$ND$150=Q$4)*(GMW!$NF$2:$NF$150=Q$1),0),$C125-1966)</f>
        <v>2214500</v>
      </c>
      <c r="R125" s="4" cm="1">
        <f t="array" ref="R125">INDEX(GMW!$A$2:$NF$150,MATCH(1,(GMW!$NE$2:$NE$150=R$3)*(GMW!$ND$2:$ND$150=R$4)*(GMW!$NF$2:$NF$150=R$1),0),$C125-1966)</f>
        <v>-1.6983729999999999</v>
      </c>
      <c r="S125" s="4" cm="1">
        <f t="array" ref="S125">INDEX(GMW!$A$2:$NF$150,MATCH(1,(GMW!$NE$2:$NE$150=S$3)*(GMW!$ND$2:$ND$150=S$4)*(GMW!$NF$2:$NF$150=S$1),0),$C125-1966)</f>
        <v>470277</v>
      </c>
      <c r="T125" s="4" cm="1">
        <f t="array" ref="T125">INDEX(GMW!$A$2:$NF$150,MATCH(1,(GMW!$NE$2:$NE$150=T$3)*(GMW!$ND$2:$ND$150=T$4)*(GMW!$NF$2:$NF$150=T$1),0),$C125-1966)</f>
        <v>74.599999999999994</v>
      </c>
      <c r="U125" s="4" cm="1">
        <f t="array" ref="U125">INDEX(GMW!$A$2:$NF$150,MATCH(1,(GMW!$NE$2:$NE$150=U$3)*(GMW!$ND$2:$ND$150=U$4)*(GMW!$NF$2:$NF$150=U$1),0),$C125-1966)</f>
        <v>125921</v>
      </c>
      <c r="V125" s="4" cm="1">
        <f t="array" ref="V125">INDEX(GMW!$A$2:$NF$150,MATCH(1,(GMW!$NE$2:$NE$150=V$3)*(GMW!$ND$2:$ND$150=V$4)*(GMW!$NF$2:$NF$150=V$1),0),$C125-1966)</f>
        <v>60535</v>
      </c>
      <c r="W125" s="4" cm="1">
        <f t="array" ref="W125">INDEX(GMW!$A$2:$NF$150,MATCH(1,(GMW!$NE$2:$NE$150=W$3)*(GMW!$ND$2:$ND$150=W$4)*(GMW!$NF$2:$NF$150=W$1),0),$C125-1966)</f>
        <v>128297</v>
      </c>
      <c r="X125" s="4" cm="1">
        <f t="array" ref="X125">INDEX(GMW!$A$2:$NF$150,MATCH(1,(GMW!$NE$2:$NE$150=X$3)*(GMW!$ND$2:$ND$150=X$4)*(GMW!$NF$2:$NF$150=X$1),0),$C125-1966)</f>
        <v>77493</v>
      </c>
      <c r="Y125" s="4" cm="1">
        <f t="array" ref="Y125">INDEX(GMW!$A$2:$NF$150,MATCH(1,(GMW!$NE$2:$NE$150=Y$3)*(GMW!$ND$2:$ND$150=Y$4)*(GMW!$NF$2:$NF$150=Y$1),0),$C125-1966)</f>
        <v>80253</v>
      </c>
      <c r="Z125" s="4" cm="1">
        <f t="array" ref="Z125">INDEX(GMW!$A$2:$NF$150,MATCH(1,(GMW!$NE$2:$NE$150=Z$3)*(GMW!$ND$2:$ND$150=Z$4)*(GMW!$NF$2:$NF$150=Z$1),0),$C125-1966)</f>
        <v>43962</v>
      </c>
      <c r="AA125" s="4" cm="1">
        <f t="array" ref="AA125">INDEX(GMW!$A$2:$NF$150,MATCH(1,(GMW!$NE$2:$NE$150=AA$3)*(GMW!$ND$2:$ND$150=AA$4)*(GMW!$NF$2:$NF$150=AA$1),0),$C125-1966)</f>
        <v>459691.7</v>
      </c>
      <c r="AB125" s="4" cm="1">
        <f t="array" ref="AB125">INDEX(GMW!$A$2:$NF$150,MATCH(1,(GMW!$NE$2:$NE$150=AB$3)*(GMW!$ND$2:$ND$150=AB$4)*(GMW!$NF$2:$NF$150=AB$1),0),$C125-1966)</f>
        <v>28025.95</v>
      </c>
      <c r="AC125" s="4" cm="1">
        <f t="array" ref="AC125">INDEX(GMW!$A$2:$NF$150,MATCH(1,(GMW!$NE$2:$NE$150=AC$3)*(GMW!$ND$2:$ND$150=AC$4)*(GMW!$NF$2:$NF$150=AC$1),0),$C125-1966)</f>
        <v>32.4</v>
      </c>
      <c r="AD125" s="4" cm="1">
        <f t="array" ref="AD125">INDEX(GMW!$A$2:$NF$150,MATCH(1,(GMW!$NE$2:$NE$150=AD$3)*(GMW!$ND$2:$ND$150=AD$4)*(GMW!$NF$2:$NF$150=AD$1),0),$C125-1966)</f>
        <v>412809</v>
      </c>
      <c r="AE125" s="4" cm="1">
        <f t="array" ref="AE125">INDEX(GMW!$A$2:$NF$150,MATCH(1,(GMW!$NE$2:$NE$150=AE$3)*(GMW!$ND$2:$ND$150=AE$4)*(GMW!$NF$2:$NF$150=AE$1),0),$C125-1966)</f>
        <v>38967.660000000003</v>
      </c>
      <c r="AF125" s="4" cm="1">
        <f t="array" ref="AF125">INDEX(GMW!$A$2:$NF$150,MATCH(1,(GMW!$NE$2:$NE$150=AF$3)*(GMW!$ND$2:$ND$150=AF$4)*(GMW!$NF$2:$NF$150=AF$1),0),$C125-1966)</f>
        <v>2214500</v>
      </c>
      <c r="AG125" s="4" cm="1">
        <f t="array" ref="AG125">INDEX(GMW!$A$2:$NF$150,MATCH(1,(GMW!$NE$2:$NE$150=AG$3)*(GMW!$ND$2:$ND$150=AG$4)*(GMW!$NF$2:$NF$150=AG$1),0),$C125-1966)</f>
        <v>-1.6983729999999999</v>
      </c>
      <c r="AH125" s="4" cm="1">
        <f t="array" ref="AH125">INDEX(GMW!$A$2:$NF$150,MATCH(1,(GMW!$NE$2:$NE$150=AH$3)*(GMW!$ND$2:$ND$150=AH$4)*(GMW!$NF$2:$NF$150=AH$1),0),$C125-1966)</f>
        <v>470277</v>
      </c>
      <c r="AI125" s="4" cm="1">
        <f t="array" ref="AI125">INDEX(GMW!$A$2:$NF$150,MATCH(1,(GMW!$NE$2:$NE$150=AI$3)*(GMW!$ND$2:$ND$150=AI$4)*(GMW!$NF$2:$NF$150=AI$1),0),$C125-1966)</f>
        <v>74.599999999999994</v>
      </c>
      <c r="AJ125" s="4" cm="1">
        <f t="array" ref="AJ125">INDEX(GMW!$A$2:$NF$150,MATCH(1,(GMW!$NE$2:$NE$150=AJ$3)*(GMW!$ND$2:$ND$150=AJ$4)*(GMW!$NF$2:$NF$150=AJ$1),0),$C125-1966)</f>
        <v>125921</v>
      </c>
      <c r="AK125" s="4" cm="1">
        <f t="array" ref="AK125">INDEX(GMW!$A$2:$NF$150,MATCH(1,(GMW!$NE$2:$NE$150=AK$3)*(GMW!$ND$2:$ND$150=AK$4)*(GMW!$NF$2:$NF$150=AK$1),0),$C125-1966)</f>
        <v>60535</v>
      </c>
      <c r="AL125" s="4" cm="1">
        <f t="array" ref="AL125">INDEX(GMW!$A$2:$NF$150,MATCH(1,(GMW!$NE$2:$NE$150=AL$3)*(GMW!$ND$2:$ND$150=AL$4)*(GMW!$NF$2:$NF$150=AL$1),0),$C125-1966)</f>
        <v>128297</v>
      </c>
      <c r="AM125" s="4" cm="1">
        <f t="array" ref="AM125">INDEX(GMW!$A$2:$NF$150,MATCH(1,(GMW!$NE$2:$NE$150=AM$3)*(GMW!$ND$2:$ND$150=AM$4)*(GMW!$NF$2:$NF$150=AM$1),0),$C125-1966)</f>
        <v>77493</v>
      </c>
      <c r="AN125" s="4" cm="1">
        <f t="array" ref="AN125">INDEX(GMW!$A$2:$NF$150,MATCH(1,(GMW!$NE$2:$NE$150=AN$3)*(GMW!$ND$2:$ND$150=AN$4)*(GMW!$NF$2:$NF$150=AN$1),0),$C125-1966)</f>
        <v>80253</v>
      </c>
      <c r="AO125" s="4" cm="1">
        <f t="array" ref="AO125">INDEX(GMW!$A$2:$NF$150,MATCH(1,(GMW!$NE$2:$NE$150=AO$3)*(GMW!$ND$2:$ND$150=AO$4)*(GMW!$NF$2:$NF$150=AO$1),0),$C125-1966)</f>
        <v>43962</v>
      </c>
      <c r="AP125" s="4" cm="1">
        <f t="array" ref="AP125">INDEX(GMW!$A$2:$NF$150,MATCH(1,(GMW!$NE$2:$NE$150=AP$3)*(GMW!$ND$2:$ND$150=AP$4)*(GMW!$NF$2:$NF$150=AP$1),0),$C125-1966)</f>
        <v>459691.7</v>
      </c>
      <c r="AQ125" s="4" cm="1">
        <f t="array" ref="AQ125">INDEX(GMW!$A$2:$NF$150,MATCH(1,(GMW!$NE$2:$NE$150=AQ$3)*(GMW!$ND$2:$ND$150=AQ$4)*(GMW!$NF$2:$NF$150=AQ$1),0),$C125-1966)</f>
        <v>28025.95</v>
      </c>
      <c r="AR125" s="4" cm="1">
        <f t="array" ref="AR125">INDEX(GMW!$A$2:$NF$150,MATCH(1,(GMW!$NE$2:$NE$150=AR$3)*(GMW!$ND$2:$ND$150=AR$4)*(GMW!$NF$2:$NF$150=AR$1),0),$C125-1966)</f>
        <v>32.4</v>
      </c>
      <c r="AS125" s="4" cm="1">
        <f t="array" ref="AS125">INDEX(GMW!$A$2:$NF$150,MATCH(1,(GMW!$NE$2:$NE$150=AS$3)*(GMW!$ND$2:$ND$150=AS$4)*(GMW!$NF$2:$NF$150=AS$1),0),$C125-1966)</f>
        <v>412809</v>
      </c>
      <c r="AT125" s="4" cm="1">
        <f t="array" ref="AT125">INDEX(GMW!$A$2:$NF$150,MATCH(1,(GMW!$NE$2:$NE$150=AT$3)*(GMW!$ND$2:$ND$150=AT$4)*(GMW!$NF$2:$NF$150=AT$1),0),$C125-1966)</f>
        <v>38967.660000000003</v>
      </c>
      <c r="AU125" s="4" cm="1">
        <f t="array" ref="AU125">INDEX(GMW!$A$2:$NF$150,MATCH(1,(GMW!$NE$2:$NE$150=AU$3)*(GMW!$ND$2:$ND$150=AU$4)*(GMW!$NF$2:$NF$150=AU$1),0),$C125-1966)</f>
        <v>2214500</v>
      </c>
      <c r="AV125" s="4" cm="1">
        <f t="array" ref="AV125">INDEX(GMW!$A$2:$NF$150,MATCH(1,(GMW!$NE$2:$NE$150=AV$3)*(GMW!$ND$2:$ND$150=AV$4)*(GMW!$NF$2:$NF$150=AV$1),0),$C125-1966)</f>
        <v>-1.6983729999999999</v>
      </c>
    </row>
    <row r="126" spans="1:48" x14ac:dyDescent="0.25">
      <c r="B126" s="4">
        <f t="shared" si="6"/>
        <v>2002</v>
      </c>
      <c r="C126" s="4">
        <f t="shared" si="7"/>
        <v>2092</v>
      </c>
      <c r="D126" s="4" cm="1">
        <f t="array" ref="D126">INDEX(GMW!$A$2:$NF$150,MATCH(1,(GMW!$NE$2:$NE$150=D$3)*(GMW!$ND$2:$ND$150=D$4)*(GMW!$NF$2:$NF$150=D$1),0),$C126-1966)</f>
        <v>473899</v>
      </c>
      <c r="E126" s="4" cm="1">
        <f t="array" ref="E126">INDEX(GMW!$A$2:$NF$150,MATCH(1,(GMW!$NE$2:$NE$150=E$3)*(GMW!$ND$2:$ND$150=E$4)*(GMW!$NF$2:$NF$150=E$1),0),$C126-1966)</f>
        <v>75</v>
      </c>
      <c r="F126" s="4" cm="1">
        <f t="array" ref="F126">INDEX(GMW!$A$2:$NF$150,MATCH(1,(GMW!$NE$2:$NE$150=F$3)*(GMW!$ND$2:$ND$150=F$4)*(GMW!$NF$2:$NF$150=F$1),0),$C126-1966)</f>
        <v>121583</v>
      </c>
      <c r="G126" s="4" cm="1">
        <f t="array" ref="G126">INDEX(GMW!$A$2:$NF$150,MATCH(1,(GMW!$NE$2:$NE$150=G$3)*(GMW!$ND$2:$ND$150=G$4)*(GMW!$NF$2:$NF$150=G$1),0),$C126-1966)</f>
        <v>55055</v>
      </c>
      <c r="H126" s="4" cm="1">
        <f t="array" ref="H126">INDEX(GMW!$A$2:$NF$150,MATCH(1,(GMW!$NE$2:$NE$150=H$3)*(GMW!$ND$2:$ND$150=H$4)*(GMW!$NF$2:$NF$150=H$1),0),$C126-1966)</f>
        <v>128358</v>
      </c>
      <c r="I126" s="4" cm="1">
        <f t="array" ref="I126">INDEX(GMW!$A$2:$NF$150,MATCH(1,(GMW!$NE$2:$NE$150=I$3)*(GMW!$ND$2:$ND$150=I$4)*(GMW!$NF$2:$NF$150=I$1),0),$C126-1966)</f>
        <v>76969</v>
      </c>
      <c r="J126" s="4" cm="1">
        <f t="array" ref="J126">INDEX(GMW!$A$2:$NF$150,MATCH(1,(GMW!$NE$2:$NE$150=J$3)*(GMW!$ND$2:$ND$150=J$4)*(GMW!$NF$2:$NF$150=J$1),0),$C126-1966)</f>
        <v>84228</v>
      </c>
      <c r="K126" s="4" cm="1">
        <f t="array" ref="K126">INDEX(GMW!$A$2:$NF$150,MATCH(1,(GMW!$NE$2:$NE$150=K$3)*(GMW!$ND$2:$ND$150=K$4)*(GMW!$NF$2:$NF$150=K$1),0),$C126-1966)</f>
        <v>45720</v>
      </c>
      <c r="L126" s="4" cm="1">
        <f t="array" ref="L126">INDEX(GMW!$A$2:$NF$150,MATCH(1,(GMW!$NE$2:$NE$150=L$3)*(GMW!$ND$2:$ND$150=L$4)*(GMW!$NF$2:$NF$150=L$1),0),$C126-1966)</f>
        <v>461937.7</v>
      </c>
      <c r="M126" s="4" cm="1">
        <f t="array" ref="M126">INDEX(GMW!$A$2:$NF$150,MATCH(1,(GMW!$NE$2:$NE$150=M$3)*(GMW!$ND$2:$ND$150=M$4)*(GMW!$NF$2:$NF$150=M$1),0),$C126-1966)</f>
        <v>28144.7</v>
      </c>
      <c r="N126" s="4" cm="1">
        <f t="array" ref="N126">INDEX(GMW!$A$2:$NF$150,MATCH(1,(GMW!$NE$2:$NE$150=N$3)*(GMW!$ND$2:$ND$150=N$4)*(GMW!$NF$2:$NF$150=N$1),0),$C126-1966)</f>
        <v>32.200000000000003</v>
      </c>
      <c r="O126" s="4" cm="1">
        <f t="array" ref="O126">INDEX(GMW!$A$2:$NF$150,MATCH(1,(GMW!$NE$2:$NE$150=O$3)*(GMW!$ND$2:$ND$150=O$4)*(GMW!$NF$2:$NF$150=O$1),0),$C126-1966)</f>
        <v>417228.1</v>
      </c>
      <c r="P126" s="4" cm="1">
        <f t="array" ref="P126">INDEX(GMW!$A$2:$NF$150,MATCH(1,(GMW!$NE$2:$NE$150=P$3)*(GMW!$ND$2:$ND$150=P$4)*(GMW!$NF$2:$NF$150=P$1),0),$C126-1966)</f>
        <v>39035.449999999997</v>
      </c>
      <c r="Q126" s="4" cm="1">
        <f t="array" ref="Q126">INDEX(GMW!$A$2:$NF$150,MATCH(1,(GMW!$NE$2:$NE$150=Q$3)*(GMW!$ND$2:$ND$150=Q$4)*(GMW!$NF$2:$NF$150=Q$1),0),$C126-1966)</f>
        <v>2230000</v>
      </c>
      <c r="R126" s="4" cm="1">
        <f t="array" ref="R126">INDEX(GMW!$A$2:$NF$150,MATCH(1,(GMW!$NE$2:$NE$150=R$3)*(GMW!$ND$2:$ND$150=R$4)*(GMW!$NF$2:$NF$150=R$1),0),$C126-1966)</f>
        <v>-1.697354</v>
      </c>
      <c r="S126" s="4" cm="1">
        <f t="array" ref="S126">INDEX(GMW!$A$2:$NF$150,MATCH(1,(GMW!$NE$2:$NE$150=S$3)*(GMW!$ND$2:$ND$150=S$4)*(GMW!$NF$2:$NF$150=S$1),0),$C126-1966)</f>
        <v>473899</v>
      </c>
      <c r="T126" s="4" cm="1">
        <f t="array" ref="T126">INDEX(GMW!$A$2:$NF$150,MATCH(1,(GMW!$NE$2:$NE$150=T$3)*(GMW!$ND$2:$ND$150=T$4)*(GMW!$NF$2:$NF$150=T$1),0),$C126-1966)</f>
        <v>75</v>
      </c>
      <c r="U126" s="4" cm="1">
        <f t="array" ref="U126">INDEX(GMW!$A$2:$NF$150,MATCH(1,(GMW!$NE$2:$NE$150=U$3)*(GMW!$ND$2:$ND$150=U$4)*(GMW!$NF$2:$NF$150=U$1),0),$C126-1966)</f>
        <v>121583</v>
      </c>
      <c r="V126" s="4" cm="1">
        <f t="array" ref="V126">INDEX(GMW!$A$2:$NF$150,MATCH(1,(GMW!$NE$2:$NE$150=V$3)*(GMW!$ND$2:$ND$150=V$4)*(GMW!$NF$2:$NF$150=V$1),0),$C126-1966)</f>
        <v>55055</v>
      </c>
      <c r="W126" s="4" cm="1">
        <f t="array" ref="W126">INDEX(GMW!$A$2:$NF$150,MATCH(1,(GMW!$NE$2:$NE$150=W$3)*(GMW!$ND$2:$ND$150=W$4)*(GMW!$NF$2:$NF$150=W$1),0),$C126-1966)</f>
        <v>128358</v>
      </c>
      <c r="X126" s="4" cm="1">
        <f t="array" ref="X126">INDEX(GMW!$A$2:$NF$150,MATCH(1,(GMW!$NE$2:$NE$150=X$3)*(GMW!$ND$2:$ND$150=X$4)*(GMW!$NF$2:$NF$150=X$1),0),$C126-1966)</f>
        <v>76969</v>
      </c>
      <c r="Y126" s="4" cm="1">
        <f t="array" ref="Y126">INDEX(GMW!$A$2:$NF$150,MATCH(1,(GMW!$NE$2:$NE$150=Y$3)*(GMW!$ND$2:$ND$150=Y$4)*(GMW!$NF$2:$NF$150=Y$1),0),$C126-1966)</f>
        <v>84228</v>
      </c>
      <c r="Z126" s="4" cm="1">
        <f t="array" ref="Z126">INDEX(GMW!$A$2:$NF$150,MATCH(1,(GMW!$NE$2:$NE$150=Z$3)*(GMW!$ND$2:$ND$150=Z$4)*(GMW!$NF$2:$NF$150=Z$1),0),$C126-1966)</f>
        <v>45720</v>
      </c>
      <c r="AA126" s="4" cm="1">
        <f t="array" ref="AA126">INDEX(GMW!$A$2:$NF$150,MATCH(1,(GMW!$NE$2:$NE$150=AA$3)*(GMW!$ND$2:$ND$150=AA$4)*(GMW!$NF$2:$NF$150=AA$1),0),$C126-1966)</f>
        <v>461937.7</v>
      </c>
      <c r="AB126" s="4" cm="1">
        <f t="array" ref="AB126">INDEX(GMW!$A$2:$NF$150,MATCH(1,(GMW!$NE$2:$NE$150=AB$3)*(GMW!$ND$2:$ND$150=AB$4)*(GMW!$NF$2:$NF$150=AB$1),0),$C126-1966)</f>
        <v>28144.7</v>
      </c>
      <c r="AC126" s="4" cm="1">
        <f t="array" ref="AC126">INDEX(GMW!$A$2:$NF$150,MATCH(1,(GMW!$NE$2:$NE$150=AC$3)*(GMW!$ND$2:$ND$150=AC$4)*(GMW!$NF$2:$NF$150=AC$1),0),$C126-1966)</f>
        <v>32.200000000000003</v>
      </c>
      <c r="AD126" s="4" cm="1">
        <f t="array" ref="AD126">INDEX(GMW!$A$2:$NF$150,MATCH(1,(GMW!$NE$2:$NE$150=AD$3)*(GMW!$ND$2:$ND$150=AD$4)*(GMW!$NF$2:$NF$150=AD$1),0),$C126-1966)</f>
        <v>417228.1</v>
      </c>
      <c r="AE126" s="4" cm="1">
        <f t="array" ref="AE126">INDEX(GMW!$A$2:$NF$150,MATCH(1,(GMW!$NE$2:$NE$150=AE$3)*(GMW!$ND$2:$ND$150=AE$4)*(GMW!$NF$2:$NF$150=AE$1),0),$C126-1966)</f>
        <v>39035.449999999997</v>
      </c>
      <c r="AF126" s="4" cm="1">
        <f t="array" ref="AF126">INDEX(GMW!$A$2:$NF$150,MATCH(1,(GMW!$NE$2:$NE$150=AF$3)*(GMW!$ND$2:$ND$150=AF$4)*(GMW!$NF$2:$NF$150=AF$1),0),$C126-1966)</f>
        <v>2230000</v>
      </c>
      <c r="AG126" s="4" cm="1">
        <f t="array" ref="AG126">INDEX(GMW!$A$2:$NF$150,MATCH(1,(GMW!$NE$2:$NE$150=AG$3)*(GMW!$ND$2:$ND$150=AG$4)*(GMW!$NF$2:$NF$150=AG$1),0),$C126-1966)</f>
        <v>-1.697354</v>
      </c>
      <c r="AH126" s="4" cm="1">
        <f t="array" ref="AH126">INDEX(GMW!$A$2:$NF$150,MATCH(1,(GMW!$NE$2:$NE$150=AH$3)*(GMW!$ND$2:$ND$150=AH$4)*(GMW!$NF$2:$NF$150=AH$1),0),$C126-1966)</f>
        <v>473899</v>
      </c>
      <c r="AI126" s="4" cm="1">
        <f t="array" ref="AI126">INDEX(GMW!$A$2:$NF$150,MATCH(1,(GMW!$NE$2:$NE$150=AI$3)*(GMW!$ND$2:$ND$150=AI$4)*(GMW!$NF$2:$NF$150=AI$1),0),$C126-1966)</f>
        <v>75</v>
      </c>
      <c r="AJ126" s="4" cm="1">
        <f t="array" ref="AJ126">INDEX(GMW!$A$2:$NF$150,MATCH(1,(GMW!$NE$2:$NE$150=AJ$3)*(GMW!$ND$2:$ND$150=AJ$4)*(GMW!$NF$2:$NF$150=AJ$1),0),$C126-1966)</f>
        <v>121583</v>
      </c>
      <c r="AK126" s="4" cm="1">
        <f t="array" ref="AK126">INDEX(GMW!$A$2:$NF$150,MATCH(1,(GMW!$NE$2:$NE$150=AK$3)*(GMW!$ND$2:$ND$150=AK$4)*(GMW!$NF$2:$NF$150=AK$1),0),$C126-1966)</f>
        <v>55055</v>
      </c>
      <c r="AL126" s="4" cm="1">
        <f t="array" ref="AL126">INDEX(GMW!$A$2:$NF$150,MATCH(1,(GMW!$NE$2:$NE$150=AL$3)*(GMW!$ND$2:$ND$150=AL$4)*(GMW!$NF$2:$NF$150=AL$1),0),$C126-1966)</f>
        <v>128358</v>
      </c>
      <c r="AM126" s="4" cm="1">
        <f t="array" ref="AM126">INDEX(GMW!$A$2:$NF$150,MATCH(1,(GMW!$NE$2:$NE$150=AM$3)*(GMW!$ND$2:$ND$150=AM$4)*(GMW!$NF$2:$NF$150=AM$1),0),$C126-1966)</f>
        <v>76969</v>
      </c>
      <c r="AN126" s="4" cm="1">
        <f t="array" ref="AN126">INDEX(GMW!$A$2:$NF$150,MATCH(1,(GMW!$NE$2:$NE$150=AN$3)*(GMW!$ND$2:$ND$150=AN$4)*(GMW!$NF$2:$NF$150=AN$1),0),$C126-1966)</f>
        <v>84228</v>
      </c>
      <c r="AO126" s="4" cm="1">
        <f t="array" ref="AO126">INDEX(GMW!$A$2:$NF$150,MATCH(1,(GMW!$NE$2:$NE$150=AO$3)*(GMW!$ND$2:$ND$150=AO$4)*(GMW!$NF$2:$NF$150=AO$1),0),$C126-1966)</f>
        <v>45720</v>
      </c>
      <c r="AP126" s="4" cm="1">
        <f t="array" ref="AP126">INDEX(GMW!$A$2:$NF$150,MATCH(1,(GMW!$NE$2:$NE$150=AP$3)*(GMW!$ND$2:$ND$150=AP$4)*(GMW!$NF$2:$NF$150=AP$1),0),$C126-1966)</f>
        <v>461937.7</v>
      </c>
      <c r="AQ126" s="4" cm="1">
        <f t="array" ref="AQ126">INDEX(GMW!$A$2:$NF$150,MATCH(1,(GMW!$NE$2:$NE$150=AQ$3)*(GMW!$ND$2:$ND$150=AQ$4)*(GMW!$NF$2:$NF$150=AQ$1),0),$C126-1966)</f>
        <v>28144.7</v>
      </c>
      <c r="AR126" s="4" cm="1">
        <f t="array" ref="AR126">INDEX(GMW!$A$2:$NF$150,MATCH(1,(GMW!$NE$2:$NE$150=AR$3)*(GMW!$ND$2:$ND$150=AR$4)*(GMW!$NF$2:$NF$150=AR$1),0),$C126-1966)</f>
        <v>32.200000000000003</v>
      </c>
      <c r="AS126" s="4" cm="1">
        <f t="array" ref="AS126">INDEX(GMW!$A$2:$NF$150,MATCH(1,(GMW!$NE$2:$NE$150=AS$3)*(GMW!$ND$2:$ND$150=AS$4)*(GMW!$NF$2:$NF$150=AS$1),0),$C126-1966)</f>
        <v>417228.1</v>
      </c>
      <c r="AT126" s="4" cm="1">
        <f t="array" ref="AT126">INDEX(GMW!$A$2:$NF$150,MATCH(1,(GMW!$NE$2:$NE$150=AT$3)*(GMW!$ND$2:$ND$150=AT$4)*(GMW!$NF$2:$NF$150=AT$1),0),$C126-1966)</f>
        <v>39035.449999999997</v>
      </c>
      <c r="AU126" s="4" cm="1">
        <f t="array" ref="AU126">INDEX(GMW!$A$2:$NF$150,MATCH(1,(GMW!$NE$2:$NE$150=AU$3)*(GMW!$ND$2:$ND$150=AU$4)*(GMW!$NF$2:$NF$150=AU$1),0),$C126-1966)</f>
        <v>2230000</v>
      </c>
      <c r="AV126" s="4" cm="1">
        <f t="array" ref="AV126">INDEX(GMW!$A$2:$NF$150,MATCH(1,(GMW!$NE$2:$NE$150=AV$3)*(GMW!$ND$2:$ND$150=AV$4)*(GMW!$NF$2:$NF$150=AV$1),0),$C126-1966)</f>
        <v>-1.697354</v>
      </c>
    </row>
    <row r="127" spans="1:48" x14ac:dyDescent="0.25">
      <c r="A127" s="4">
        <v>2003</v>
      </c>
      <c r="B127" s="4">
        <f t="shared" si="6"/>
        <v>2003</v>
      </c>
      <c r="C127" s="4">
        <f t="shared" si="7"/>
        <v>2093</v>
      </c>
      <c r="D127" s="4" cm="1">
        <f t="array" ref="D127">INDEX(GMW!$A$2:$NF$150,MATCH(1,(GMW!$NE$2:$NE$150=D$3)*(GMW!$ND$2:$ND$150=D$4)*(GMW!$NF$2:$NF$150=D$1),0),$C127-1966)</f>
        <v>477357</v>
      </c>
      <c r="E127" s="4" cm="1">
        <f t="array" ref="E127">INDEX(GMW!$A$2:$NF$150,MATCH(1,(GMW!$NE$2:$NE$150=E$3)*(GMW!$ND$2:$ND$150=E$4)*(GMW!$NF$2:$NF$150=E$1),0),$C127-1966)</f>
        <v>75</v>
      </c>
      <c r="F127" s="4" cm="1">
        <f t="array" ref="F127">INDEX(GMW!$A$2:$NF$150,MATCH(1,(GMW!$NE$2:$NE$150=F$3)*(GMW!$ND$2:$ND$150=F$4)*(GMW!$NF$2:$NF$150=F$1),0),$C127-1966)</f>
        <v>127354</v>
      </c>
      <c r="G127" s="4" cm="1">
        <f t="array" ref="G127">INDEX(GMW!$A$2:$NF$150,MATCH(1,(GMW!$NE$2:$NE$150=G$3)*(GMW!$ND$2:$ND$150=G$4)*(GMW!$NF$2:$NF$150=G$1),0),$C127-1966)</f>
        <v>60127</v>
      </c>
      <c r="H127" s="4" cm="1">
        <f t="array" ref="H127">INDEX(GMW!$A$2:$NF$150,MATCH(1,(GMW!$NE$2:$NE$150=H$3)*(GMW!$ND$2:$ND$150=H$4)*(GMW!$NF$2:$NF$150=H$1),0),$C127-1966)</f>
        <v>129063</v>
      </c>
      <c r="I127" s="4" cm="1">
        <f t="array" ref="I127">INDEX(GMW!$A$2:$NF$150,MATCH(1,(GMW!$NE$2:$NE$150=I$3)*(GMW!$ND$2:$ND$150=I$4)*(GMW!$NF$2:$NF$150=I$1),0),$C127-1966)</f>
        <v>78703</v>
      </c>
      <c r="J127" s="4" cm="1">
        <f t="array" ref="J127">INDEX(GMW!$A$2:$NF$150,MATCH(1,(GMW!$NE$2:$NE$150=J$3)*(GMW!$ND$2:$ND$150=J$4)*(GMW!$NF$2:$NF$150=J$1),0),$C127-1966)</f>
        <v>84514</v>
      </c>
      <c r="K127" s="4" cm="1">
        <f t="array" ref="K127">INDEX(GMW!$A$2:$NF$150,MATCH(1,(GMW!$NE$2:$NE$150=K$3)*(GMW!$ND$2:$ND$150=K$4)*(GMW!$NF$2:$NF$150=K$1),0),$C127-1966)</f>
        <v>45673</v>
      </c>
      <c r="L127" s="4" cm="1">
        <f t="array" ref="L127">INDEX(GMW!$A$2:$NF$150,MATCH(1,(GMW!$NE$2:$NE$150=L$3)*(GMW!$ND$2:$ND$150=L$4)*(GMW!$NF$2:$NF$150=L$1),0),$C127-1966)</f>
        <v>464823.3</v>
      </c>
      <c r="M127" s="4" cm="1">
        <f t="array" ref="M127">INDEX(GMW!$A$2:$NF$150,MATCH(1,(GMW!$NE$2:$NE$150=M$3)*(GMW!$ND$2:$ND$150=M$4)*(GMW!$NF$2:$NF$150=M$1),0),$C127-1966)</f>
        <v>28148.5</v>
      </c>
      <c r="N127" s="4" cm="1">
        <f t="array" ref="N127">INDEX(GMW!$A$2:$NF$150,MATCH(1,(GMW!$NE$2:$NE$150=N$3)*(GMW!$ND$2:$ND$150=N$4)*(GMW!$NF$2:$NF$150=N$1),0),$C127-1966)</f>
        <v>32.200000000000003</v>
      </c>
      <c r="O127" s="4" cm="1">
        <f t="array" ref="O127">INDEX(GMW!$A$2:$NF$150,MATCH(1,(GMW!$NE$2:$NE$150=O$3)*(GMW!$ND$2:$ND$150=O$4)*(GMW!$NF$2:$NF$150=O$1),0),$C127-1966)</f>
        <v>421703</v>
      </c>
      <c r="P127" s="4" cm="1">
        <f t="array" ref="P127">INDEX(GMW!$A$2:$NF$150,MATCH(1,(GMW!$NE$2:$NE$150=P$3)*(GMW!$ND$2:$ND$150=P$4)*(GMW!$NF$2:$NF$150=P$1),0),$C127-1966)</f>
        <v>39103.230000000003</v>
      </c>
      <c r="Q127" s="4" cm="1">
        <f t="array" ref="Q127">INDEX(GMW!$A$2:$NF$150,MATCH(1,(GMW!$NE$2:$NE$150=Q$3)*(GMW!$ND$2:$ND$150=Q$4)*(GMW!$NF$2:$NF$150=Q$1),0),$C127-1966)</f>
        <v>2243250</v>
      </c>
      <c r="R127" s="4" cm="1">
        <f t="array" ref="R127">INDEX(GMW!$A$2:$NF$150,MATCH(1,(GMW!$NE$2:$NE$150=R$3)*(GMW!$ND$2:$ND$150=R$4)*(GMW!$NF$2:$NF$150=R$1),0),$C127-1966)</f>
        <v>-1.6963360000000001</v>
      </c>
      <c r="S127" s="4" cm="1">
        <f t="array" ref="S127">INDEX(GMW!$A$2:$NF$150,MATCH(1,(GMW!$NE$2:$NE$150=S$3)*(GMW!$ND$2:$ND$150=S$4)*(GMW!$NF$2:$NF$150=S$1),0),$C127-1966)</f>
        <v>477357</v>
      </c>
      <c r="T127" s="4" cm="1">
        <f t="array" ref="T127">INDEX(GMW!$A$2:$NF$150,MATCH(1,(GMW!$NE$2:$NE$150=T$3)*(GMW!$ND$2:$ND$150=T$4)*(GMW!$NF$2:$NF$150=T$1),0),$C127-1966)</f>
        <v>75</v>
      </c>
      <c r="U127" s="4" cm="1">
        <f t="array" ref="U127">INDEX(GMW!$A$2:$NF$150,MATCH(1,(GMW!$NE$2:$NE$150=U$3)*(GMW!$ND$2:$ND$150=U$4)*(GMW!$NF$2:$NF$150=U$1),0),$C127-1966)</f>
        <v>127354</v>
      </c>
      <c r="V127" s="4" cm="1">
        <f t="array" ref="V127">INDEX(GMW!$A$2:$NF$150,MATCH(1,(GMW!$NE$2:$NE$150=V$3)*(GMW!$ND$2:$ND$150=V$4)*(GMW!$NF$2:$NF$150=V$1),0),$C127-1966)</f>
        <v>60127</v>
      </c>
      <c r="W127" s="4" cm="1">
        <f t="array" ref="W127">INDEX(GMW!$A$2:$NF$150,MATCH(1,(GMW!$NE$2:$NE$150=W$3)*(GMW!$ND$2:$ND$150=W$4)*(GMW!$NF$2:$NF$150=W$1),0),$C127-1966)</f>
        <v>129063</v>
      </c>
      <c r="X127" s="4" cm="1">
        <f t="array" ref="X127">INDEX(GMW!$A$2:$NF$150,MATCH(1,(GMW!$NE$2:$NE$150=X$3)*(GMW!$ND$2:$ND$150=X$4)*(GMW!$NF$2:$NF$150=X$1),0),$C127-1966)</f>
        <v>78703</v>
      </c>
      <c r="Y127" s="4" cm="1">
        <f t="array" ref="Y127">INDEX(GMW!$A$2:$NF$150,MATCH(1,(GMW!$NE$2:$NE$150=Y$3)*(GMW!$ND$2:$ND$150=Y$4)*(GMW!$NF$2:$NF$150=Y$1),0),$C127-1966)</f>
        <v>84514</v>
      </c>
      <c r="Z127" s="4" cm="1">
        <f t="array" ref="Z127">INDEX(GMW!$A$2:$NF$150,MATCH(1,(GMW!$NE$2:$NE$150=Z$3)*(GMW!$ND$2:$ND$150=Z$4)*(GMW!$NF$2:$NF$150=Z$1),0),$C127-1966)</f>
        <v>45673</v>
      </c>
      <c r="AA127" s="4" cm="1">
        <f t="array" ref="AA127">INDEX(GMW!$A$2:$NF$150,MATCH(1,(GMW!$NE$2:$NE$150=AA$3)*(GMW!$ND$2:$ND$150=AA$4)*(GMW!$NF$2:$NF$150=AA$1),0),$C127-1966)</f>
        <v>464823.3</v>
      </c>
      <c r="AB127" s="4" cm="1">
        <f t="array" ref="AB127">INDEX(GMW!$A$2:$NF$150,MATCH(1,(GMW!$NE$2:$NE$150=AB$3)*(GMW!$ND$2:$ND$150=AB$4)*(GMW!$NF$2:$NF$150=AB$1),0),$C127-1966)</f>
        <v>28148.5</v>
      </c>
      <c r="AC127" s="4" cm="1">
        <f t="array" ref="AC127">INDEX(GMW!$A$2:$NF$150,MATCH(1,(GMW!$NE$2:$NE$150=AC$3)*(GMW!$ND$2:$ND$150=AC$4)*(GMW!$NF$2:$NF$150=AC$1),0),$C127-1966)</f>
        <v>32.200000000000003</v>
      </c>
      <c r="AD127" s="4" cm="1">
        <f t="array" ref="AD127">INDEX(GMW!$A$2:$NF$150,MATCH(1,(GMW!$NE$2:$NE$150=AD$3)*(GMW!$ND$2:$ND$150=AD$4)*(GMW!$NF$2:$NF$150=AD$1),0),$C127-1966)</f>
        <v>421703</v>
      </c>
      <c r="AE127" s="4" cm="1">
        <f t="array" ref="AE127">INDEX(GMW!$A$2:$NF$150,MATCH(1,(GMW!$NE$2:$NE$150=AE$3)*(GMW!$ND$2:$ND$150=AE$4)*(GMW!$NF$2:$NF$150=AE$1),0),$C127-1966)</f>
        <v>39103.230000000003</v>
      </c>
      <c r="AF127" s="4" cm="1">
        <f t="array" ref="AF127">INDEX(GMW!$A$2:$NF$150,MATCH(1,(GMW!$NE$2:$NE$150=AF$3)*(GMW!$ND$2:$ND$150=AF$4)*(GMW!$NF$2:$NF$150=AF$1),0),$C127-1966)</f>
        <v>2243250</v>
      </c>
      <c r="AG127" s="4" cm="1">
        <f t="array" ref="AG127">INDEX(GMW!$A$2:$NF$150,MATCH(1,(GMW!$NE$2:$NE$150=AG$3)*(GMW!$ND$2:$ND$150=AG$4)*(GMW!$NF$2:$NF$150=AG$1),0),$C127-1966)</f>
        <v>-1.6963360000000001</v>
      </c>
      <c r="AH127" s="4" cm="1">
        <f t="array" ref="AH127">INDEX(GMW!$A$2:$NF$150,MATCH(1,(GMW!$NE$2:$NE$150=AH$3)*(GMW!$ND$2:$ND$150=AH$4)*(GMW!$NF$2:$NF$150=AH$1),0),$C127-1966)</f>
        <v>477357</v>
      </c>
      <c r="AI127" s="4" cm="1">
        <f t="array" ref="AI127">INDEX(GMW!$A$2:$NF$150,MATCH(1,(GMW!$NE$2:$NE$150=AI$3)*(GMW!$ND$2:$ND$150=AI$4)*(GMW!$NF$2:$NF$150=AI$1),0),$C127-1966)</f>
        <v>75</v>
      </c>
      <c r="AJ127" s="4" cm="1">
        <f t="array" ref="AJ127">INDEX(GMW!$A$2:$NF$150,MATCH(1,(GMW!$NE$2:$NE$150=AJ$3)*(GMW!$ND$2:$ND$150=AJ$4)*(GMW!$NF$2:$NF$150=AJ$1),0),$C127-1966)</f>
        <v>127354</v>
      </c>
      <c r="AK127" s="4" cm="1">
        <f t="array" ref="AK127">INDEX(GMW!$A$2:$NF$150,MATCH(1,(GMW!$NE$2:$NE$150=AK$3)*(GMW!$ND$2:$ND$150=AK$4)*(GMW!$NF$2:$NF$150=AK$1),0),$C127-1966)</f>
        <v>60127</v>
      </c>
      <c r="AL127" s="4" cm="1">
        <f t="array" ref="AL127">INDEX(GMW!$A$2:$NF$150,MATCH(1,(GMW!$NE$2:$NE$150=AL$3)*(GMW!$ND$2:$ND$150=AL$4)*(GMW!$NF$2:$NF$150=AL$1),0),$C127-1966)</f>
        <v>129063</v>
      </c>
      <c r="AM127" s="4" cm="1">
        <f t="array" ref="AM127">INDEX(GMW!$A$2:$NF$150,MATCH(1,(GMW!$NE$2:$NE$150=AM$3)*(GMW!$ND$2:$ND$150=AM$4)*(GMW!$NF$2:$NF$150=AM$1),0),$C127-1966)</f>
        <v>78703</v>
      </c>
      <c r="AN127" s="4" cm="1">
        <f t="array" ref="AN127">INDEX(GMW!$A$2:$NF$150,MATCH(1,(GMW!$NE$2:$NE$150=AN$3)*(GMW!$ND$2:$ND$150=AN$4)*(GMW!$NF$2:$NF$150=AN$1),0),$C127-1966)</f>
        <v>84514</v>
      </c>
      <c r="AO127" s="4" cm="1">
        <f t="array" ref="AO127">INDEX(GMW!$A$2:$NF$150,MATCH(1,(GMW!$NE$2:$NE$150=AO$3)*(GMW!$ND$2:$ND$150=AO$4)*(GMW!$NF$2:$NF$150=AO$1),0),$C127-1966)</f>
        <v>45673</v>
      </c>
      <c r="AP127" s="4" cm="1">
        <f t="array" ref="AP127">INDEX(GMW!$A$2:$NF$150,MATCH(1,(GMW!$NE$2:$NE$150=AP$3)*(GMW!$ND$2:$ND$150=AP$4)*(GMW!$NF$2:$NF$150=AP$1),0),$C127-1966)</f>
        <v>464823.3</v>
      </c>
      <c r="AQ127" s="4" cm="1">
        <f t="array" ref="AQ127">INDEX(GMW!$A$2:$NF$150,MATCH(1,(GMW!$NE$2:$NE$150=AQ$3)*(GMW!$ND$2:$ND$150=AQ$4)*(GMW!$NF$2:$NF$150=AQ$1),0),$C127-1966)</f>
        <v>28148.5</v>
      </c>
      <c r="AR127" s="4" cm="1">
        <f t="array" ref="AR127">INDEX(GMW!$A$2:$NF$150,MATCH(1,(GMW!$NE$2:$NE$150=AR$3)*(GMW!$ND$2:$ND$150=AR$4)*(GMW!$NF$2:$NF$150=AR$1),0),$C127-1966)</f>
        <v>32.200000000000003</v>
      </c>
      <c r="AS127" s="4" cm="1">
        <f t="array" ref="AS127">INDEX(GMW!$A$2:$NF$150,MATCH(1,(GMW!$NE$2:$NE$150=AS$3)*(GMW!$ND$2:$ND$150=AS$4)*(GMW!$NF$2:$NF$150=AS$1),0),$C127-1966)</f>
        <v>421703</v>
      </c>
      <c r="AT127" s="4" cm="1">
        <f t="array" ref="AT127">INDEX(GMW!$A$2:$NF$150,MATCH(1,(GMW!$NE$2:$NE$150=AT$3)*(GMW!$ND$2:$ND$150=AT$4)*(GMW!$NF$2:$NF$150=AT$1),0),$C127-1966)</f>
        <v>39103.230000000003</v>
      </c>
      <c r="AU127" s="4" cm="1">
        <f t="array" ref="AU127">INDEX(GMW!$A$2:$NF$150,MATCH(1,(GMW!$NE$2:$NE$150=AU$3)*(GMW!$ND$2:$ND$150=AU$4)*(GMW!$NF$2:$NF$150=AU$1),0),$C127-1966)</f>
        <v>2243250</v>
      </c>
      <c r="AV127" s="4" cm="1">
        <f t="array" ref="AV127">INDEX(GMW!$A$2:$NF$150,MATCH(1,(GMW!$NE$2:$NE$150=AV$3)*(GMW!$ND$2:$ND$150=AV$4)*(GMW!$NF$2:$NF$150=AV$1),0),$C127-1966)</f>
        <v>-1.6963360000000001</v>
      </c>
    </row>
    <row r="128" spans="1:48" x14ac:dyDescent="0.25">
      <c r="B128" s="4">
        <f t="shared" si="6"/>
        <v>2003</v>
      </c>
      <c r="C128" s="4">
        <f t="shared" si="7"/>
        <v>2094</v>
      </c>
      <c r="D128" s="4" cm="1">
        <f t="array" ref="D128">INDEX(GMW!$A$2:$NF$150,MATCH(1,(GMW!$NE$2:$NE$150=D$3)*(GMW!$ND$2:$ND$150=D$4)*(GMW!$NF$2:$NF$150=D$1),0),$C128-1966)</f>
        <v>481552</v>
      </c>
      <c r="E128" s="4" cm="1">
        <f t="array" ref="E128">INDEX(GMW!$A$2:$NF$150,MATCH(1,(GMW!$NE$2:$NE$150=E$3)*(GMW!$ND$2:$ND$150=E$4)*(GMW!$NF$2:$NF$150=E$1),0),$C128-1966)</f>
        <v>75.466669999999993</v>
      </c>
      <c r="F128" s="4" cm="1">
        <f t="array" ref="F128">INDEX(GMW!$A$2:$NF$150,MATCH(1,(GMW!$NE$2:$NE$150=F$3)*(GMW!$ND$2:$ND$150=F$4)*(GMW!$NF$2:$NF$150=F$1),0),$C128-1966)</f>
        <v>125080</v>
      </c>
      <c r="G128" s="4" cm="1">
        <f t="array" ref="G128">INDEX(GMW!$A$2:$NF$150,MATCH(1,(GMW!$NE$2:$NE$150=G$3)*(GMW!$ND$2:$ND$150=G$4)*(GMW!$NF$2:$NF$150=G$1),0),$C128-1966)</f>
        <v>57243</v>
      </c>
      <c r="H128" s="4" cm="1">
        <f t="array" ref="H128">INDEX(GMW!$A$2:$NF$150,MATCH(1,(GMW!$NE$2:$NE$150=H$3)*(GMW!$ND$2:$ND$150=H$4)*(GMW!$NF$2:$NF$150=H$1),0),$C128-1966)</f>
        <v>128433</v>
      </c>
      <c r="I128" s="4" cm="1">
        <f t="array" ref="I128">INDEX(GMW!$A$2:$NF$150,MATCH(1,(GMW!$NE$2:$NE$150=I$3)*(GMW!$ND$2:$ND$150=I$4)*(GMW!$NF$2:$NF$150=I$1),0),$C128-1966)</f>
        <v>75192</v>
      </c>
      <c r="J128" s="4" cm="1">
        <f t="array" ref="J128">INDEX(GMW!$A$2:$NF$150,MATCH(1,(GMW!$NE$2:$NE$150=J$3)*(GMW!$ND$2:$ND$150=J$4)*(GMW!$NF$2:$NF$150=J$1),0),$C128-1966)</f>
        <v>79269</v>
      </c>
      <c r="K128" s="4" cm="1">
        <f t="array" ref="K128">INDEX(GMW!$A$2:$NF$150,MATCH(1,(GMW!$NE$2:$NE$150=K$3)*(GMW!$ND$2:$ND$150=K$4)*(GMW!$NF$2:$NF$150=K$1),0),$C128-1966)</f>
        <v>41335</v>
      </c>
      <c r="L128" s="4" cm="1">
        <f t="array" ref="L128">INDEX(GMW!$A$2:$NF$150,MATCH(1,(GMW!$NE$2:$NE$150=L$3)*(GMW!$ND$2:$ND$150=L$4)*(GMW!$NF$2:$NF$150=L$1),0),$C128-1966)</f>
        <v>468109.3</v>
      </c>
      <c r="M128" s="4" cm="1">
        <f t="array" ref="M128">INDEX(GMW!$A$2:$NF$150,MATCH(1,(GMW!$NE$2:$NE$150=M$3)*(GMW!$ND$2:$ND$150=M$4)*(GMW!$NF$2:$NF$150=M$1),0),$C128-1966)</f>
        <v>28208.35</v>
      </c>
      <c r="N128" s="4" cm="1">
        <f t="array" ref="N128">INDEX(GMW!$A$2:$NF$150,MATCH(1,(GMW!$NE$2:$NE$150=N$3)*(GMW!$ND$2:$ND$150=N$4)*(GMW!$NF$2:$NF$150=N$1),0),$C128-1966)</f>
        <v>32.200000000000003</v>
      </c>
      <c r="O128" s="4" cm="1">
        <f t="array" ref="O128">INDEX(GMW!$A$2:$NF$150,MATCH(1,(GMW!$NE$2:$NE$150=O$3)*(GMW!$ND$2:$ND$150=O$4)*(GMW!$NF$2:$NF$150=O$1),0),$C128-1966)</f>
        <v>426072.3</v>
      </c>
      <c r="P128" s="4" cm="1">
        <f t="array" ref="P128">INDEX(GMW!$A$2:$NF$150,MATCH(1,(GMW!$NE$2:$NE$150=P$3)*(GMW!$ND$2:$ND$150=P$4)*(GMW!$NF$2:$NF$150=P$1),0),$C128-1966)</f>
        <v>39171</v>
      </c>
      <c r="Q128" s="4" cm="1">
        <f t="array" ref="Q128">INDEX(GMW!$A$2:$NF$150,MATCH(1,(GMW!$NE$2:$NE$150=Q$3)*(GMW!$ND$2:$ND$150=Q$4)*(GMW!$NF$2:$NF$150=Q$1),0),$C128-1966)</f>
        <v>2256500</v>
      </c>
      <c r="R128" s="4" cm="1">
        <f t="array" ref="R128">INDEX(GMW!$A$2:$NF$150,MATCH(1,(GMW!$NE$2:$NE$150=R$3)*(GMW!$ND$2:$ND$150=R$4)*(GMW!$NF$2:$NF$150=R$1),0),$C128-1966)</f>
        <v>-1.6953180000000001</v>
      </c>
      <c r="S128" s="4" cm="1">
        <f t="array" ref="S128">INDEX(GMW!$A$2:$NF$150,MATCH(1,(GMW!$NE$2:$NE$150=S$3)*(GMW!$ND$2:$ND$150=S$4)*(GMW!$NF$2:$NF$150=S$1),0),$C128-1966)</f>
        <v>481552</v>
      </c>
      <c r="T128" s="4" cm="1">
        <f t="array" ref="T128">INDEX(GMW!$A$2:$NF$150,MATCH(1,(GMW!$NE$2:$NE$150=T$3)*(GMW!$ND$2:$ND$150=T$4)*(GMW!$NF$2:$NF$150=T$1),0),$C128-1966)</f>
        <v>75.466669999999993</v>
      </c>
      <c r="U128" s="4" cm="1">
        <f t="array" ref="U128">INDEX(GMW!$A$2:$NF$150,MATCH(1,(GMW!$NE$2:$NE$150=U$3)*(GMW!$ND$2:$ND$150=U$4)*(GMW!$NF$2:$NF$150=U$1),0),$C128-1966)</f>
        <v>125080</v>
      </c>
      <c r="V128" s="4" cm="1">
        <f t="array" ref="V128">INDEX(GMW!$A$2:$NF$150,MATCH(1,(GMW!$NE$2:$NE$150=V$3)*(GMW!$ND$2:$ND$150=V$4)*(GMW!$NF$2:$NF$150=V$1),0),$C128-1966)</f>
        <v>57243</v>
      </c>
      <c r="W128" s="4" cm="1">
        <f t="array" ref="W128">INDEX(GMW!$A$2:$NF$150,MATCH(1,(GMW!$NE$2:$NE$150=W$3)*(GMW!$ND$2:$ND$150=W$4)*(GMW!$NF$2:$NF$150=W$1),0),$C128-1966)</f>
        <v>128433</v>
      </c>
      <c r="X128" s="4" cm="1">
        <f t="array" ref="X128">INDEX(GMW!$A$2:$NF$150,MATCH(1,(GMW!$NE$2:$NE$150=X$3)*(GMW!$ND$2:$ND$150=X$4)*(GMW!$NF$2:$NF$150=X$1),0),$C128-1966)</f>
        <v>75192</v>
      </c>
      <c r="Y128" s="4" cm="1">
        <f t="array" ref="Y128">INDEX(GMW!$A$2:$NF$150,MATCH(1,(GMW!$NE$2:$NE$150=Y$3)*(GMW!$ND$2:$ND$150=Y$4)*(GMW!$NF$2:$NF$150=Y$1),0),$C128-1966)</f>
        <v>79269</v>
      </c>
      <c r="Z128" s="4" cm="1">
        <f t="array" ref="Z128">INDEX(GMW!$A$2:$NF$150,MATCH(1,(GMW!$NE$2:$NE$150=Z$3)*(GMW!$ND$2:$ND$150=Z$4)*(GMW!$NF$2:$NF$150=Z$1),0),$C128-1966)</f>
        <v>41335</v>
      </c>
      <c r="AA128" s="4" cm="1">
        <f t="array" ref="AA128">INDEX(GMW!$A$2:$NF$150,MATCH(1,(GMW!$NE$2:$NE$150=AA$3)*(GMW!$ND$2:$ND$150=AA$4)*(GMW!$NF$2:$NF$150=AA$1),0),$C128-1966)</f>
        <v>468109.3</v>
      </c>
      <c r="AB128" s="4" cm="1">
        <f t="array" ref="AB128">INDEX(GMW!$A$2:$NF$150,MATCH(1,(GMW!$NE$2:$NE$150=AB$3)*(GMW!$ND$2:$ND$150=AB$4)*(GMW!$NF$2:$NF$150=AB$1),0),$C128-1966)</f>
        <v>28208.35</v>
      </c>
      <c r="AC128" s="4" cm="1">
        <f t="array" ref="AC128">INDEX(GMW!$A$2:$NF$150,MATCH(1,(GMW!$NE$2:$NE$150=AC$3)*(GMW!$ND$2:$ND$150=AC$4)*(GMW!$NF$2:$NF$150=AC$1),0),$C128-1966)</f>
        <v>32.200000000000003</v>
      </c>
      <c r="AD128" s="4" cm="1">
        <f t="array" ref="AD128">INDEX(GMW!$A$2:$NF$150,MATCH(1,(GMW!$NE$2:$NE$150=AD$3)*(GMW!$ND$2:$ND$150=AD$4)*(GMW!$NF$2:$NF$150=AD$1),0),$C128-1966)</f>
        <v>426072.3</v>
      </c>
      <c r="AE128" s="4" cm="1">
        <f t="array" ref="AE128">INDEX(GMW!$A$2:$NF$150,MATCH(1,(GMW!$NE$2:$NE$150=AE$3)*(GMW!$ND$2:$ND$150=AE$4)*(GMW!$NF$2:$NF$150=AE$1),0),$C128-1966)</f>
        <v>39171</v>
      </c>
      <c r="AF128" s="4" cm="1">
        <f t="array" ref="AF128">INDEX(GMW!$A$2:$NF$150,MATCH(1,(GMW!$NE$2:$NE$150=AF$3)*(GMW!$ND$2:$ND$150=AF$4)*(GMW!$NF$2:$NF$150=AF$1),0),$C128-1966)</f>
        <v>2256500</v>
      </c>
      <c r="AG128" s="4" cm="1">
        <f t="array" ref="AG128">INDEX(GMW!$A$2:$NF$150,MATCH(1,(GMW!$NE$2:$NE$150=AG$3)*(GMW!$ND$2:$ND$150=AG$4)*(GMW!$NF$2:$NF$150=AG$1),0),$C128-1966)</f>
        <v>-1.6953180000000001</v>
      </c>
      <c r="AH128" s="4" cm="1">
        <f t="array" ref="AH128">INDEX(GMW!$A$2:$NF$150,MATCH(1,(GMW!$NE$2:$NE$150=AH$3)*(GMW!$ND$2:$ND$150=AH$4)*(GMW!$NF$2:$NF$150=AH$1),0),$C128-1966)</f>
        <v>481552</v>
      </c>
      <c r="AI128" s="4" cm="1">
        <f t="array" ref="AI128">INDEX(GMW!$A$2:$NF$150,MATCH(1,(GMW!$NE$2:$NE$150=AI$3)*(GMW!$ND$2:$ND$150=AI$4)*(GMW!$NF$2:$NF$150=AI$1),0),$C128-1966)</f>
        <v>75.466669999999993</v>
      </c>
      <c r="AJ128" s="4" cm="1">
        <f t="array" ref="AJ128">INDEX(GMW!$A$2:$NF$150,MATCH(1,(GMW!$NE$2:$NE$150=AJ$3)*(GMW!$ND$2:$ND$150=AJ$4)*(GMW!$NF$2:$NF$150=AJ$1),0),$C128-1966)</f>
        <v>125080</v>
      </c>
      <c r="AK128" s="4" cm="1">
        <f t="array" ref="AK128">INDEX(GMW!$A$2:$NF$150,MATCH(1,(GMW!$NE$2:$NE$150=AK$3)*(GMW!$ND$2:$ND$150=AK$4)*(GMW!$NF$2:$NF$150=AK$1),0),$C128-1966)</f>
        <v>57243</v>
      </c>
      <c r="AL128" s="4" cm="1">
        <f t="array" ref="AL128">INDEX(GMW!$A$2:$NF$150,MATCH(1,(GMW!$NE$2:$NE$150=AL$3)*(GMW!$ND$2:$ND$150=AL$4)*(GMW!$NF$2:$NF$150=AL$1),0),$C128-1966)</f>
        <v>128433</v>
      </c>
      <c r="AM128" s="4" cm="1">
        <f t="array" ref="AM128">INDEX(GMW!$A$2:$NF$150,MATCH(1,(GMW!$NE$2:$NE$150=AM$3)*(GMW!$ND$2:$ND$150=AM$4)*(GMW!$NF$2:$NF$150=AM$1),0),$C128-1966)</f>
        <v>75192</v>
      </c>
      <c r="AN128" s="4" cm="1">
        <f t="array" ref="AN128">INDEX(GMW!$A$2:$NF$150,MATCH(1,(GMW!$NE$2:$NE$150=AN$3)*(GMW!$ND$2:$ND$150=AN$4)*(GMW!$NF$2:$NF$150=AN$1),0),$C128-1966)</f>
        <v>79269</v>
      </c>
      <c r="AO128" s="4" cm="1">
        <f t="array" ref="AO128">INDEX(GMW!$A$2:$NF$150,MATCH(1,(GMW!$NE$2:$NE$150=AO$3)*(GMW!$ND$2:$ND$150=AO$4)*(GMW!$NF$2:$NF$150=AO$1),0),$C128-1966)</f>
        <v>41335</v>
      </c>
      <c r="AP128" s="4" cm="1">
        <f t="array" ref="AP128">INDEX(GMW!$A$2:$NF$150,MATCH(1,(GMW!$NE$2:$NE$150=AP$3)*(GMW!$ND$2:$ND$150=AP$4)*(GMW!$NF$2:$NF$150=AP$1),0),$C128-1966)</f>
        <v>468109.3</v>
      </c>
      <c r="AQ128" s="4" cm="1">
        <f t="array" ref="AQ128">INDEX(GMW!$A$2:$NF$150,MATCH(1,(GMW!$NE$2:$NE$150=AQ$3)*(GMW!$ND$2:$ND$150=AQ$4)*(GMW!$NF$2:$NF$150=AQ$1),0),$C128-1966)</f>
        <v>28208.35</v>
      </c>
      <c r="AR128" s="4" cm="1">
        <f t="array" ref="AR128">INDEX(GMW!$A$2:$NF$150,MATCH(1,(GMW!$NE$2:$NE$150=AR$3)*(GMW!$ND$2:$ND$150=AR$4)*(GMW!$NF$2:$NF$150=AR$1),0),$C128-1966)</f>
        <v>32.200000000000003</v>
      </c>
      <c r="AS128" s="4" cm="1">
        <f t="array" ref="AS128">INDEX(GMW!$A$2:$NF$150,MATCH(1,(GMW!$NE$2:$NE$150=AS$3)*(GMW!$ND$2:$ND$150=AS$4)*(GMW!$NF$2:$NF$150=AS$1),0),$C128-1966)</f>
        <v>426072.3</v>
      </c>
      <c r="AT128" s="4" cm="1">
        <f t="array" ref="AT128">INDEX(GMW!$A$2:$NF$150,MATCH(1,(GMW!$NE$2:$NE$150=AT$3)*(GMW!$ND$2:$ND$150=AT$4)*(GMW!$NF$2:$NF$150=AT$1),0),$C128-1966)</f>
        <v>39171</v>
      </c>
      <c r="AU128" s="4" cm="1">
        <f t="array" ref="AU128">INDEX(GMW!$A$2:$NF$150,MATCH(1,(GMW!$NE$2:$NE$150=AU$3)*(GMW!$ND$2:$ND$150=AU$4)*(GMW!$NF$2:$NF$150=AU$1),0),$C128-1966)</f>
        <v>2256500</v>
      </c>
      <c r="AV128" s="4" cm="1">
        <f t="array" ref="AV128">INDEX(GMW!$A$2:$NF$150,MATCH(1,(GMW!$NE$2:$NE$150=AV$3)*(GMW!$ND$2:$ND$150=AV$4)*(GMW!$NF$2:$NF$150=AV$1),0),$C128-1966)</f>
        <v>-1.6953180000000001</v>
      </c>
    </row>
    <row r="129" spans="1:48" x14ac:dyDescent="0.25">
      <c r="B129" s="4">
        <f t="shared" si="6"/>
        <v>2003</v>
      </c>
      <c r="C129" s="4">
        <f t="shared" si="7"/>
        <v>2095</v>
      </c>
      <c r="D129" s="4" cm="1">
        <f t="array" ref="D129">INDEX(GMW!$A$2:$NF$150,MATCH(1,(GMW!$NE$2:$NE$150=D$3)*(GMW!$ND$2:$ND$150=D$4)*(GMW!$NF$2:$NF$150=D$1),0),$C129-1966)</f>
        <v>485973</v>
      </c>
      <c r="E129" s="4" cm="1">
        <f t="array" ref="E129">INDEX(GMW!$A$2:$NF$150,MATCH(1,(GMW!$NE$2:$NE$150=E$3)*(GMW!$ND$2:$ND$150=E$4)*(GMW!$NF$2:$NF$150=E$1),0),$C129-1966)</f>
        <v>75.599999999999994</v>
      </c>
      <c r="F129" s="4" cm="1">
        <f t="array" ref="F129">INDEX(GMW!$A$2:$NF$150,MATCH(1,(GMW!$NE$2:$NE$150=F$3)*(GMW!$ND$2:$ND$150=F$4)*(GMW!$NF$2:$NF$150=F$1),0),$C129-1966)</f>
        <v>125141</v>
      </c>
      <c r="G129" s="4" cm="1">
        <f t="array" ref="G129">INDEX(GMW!$A$2:$NF$150,MATCH(1,(GMW!$NE$2:$NE$150=G$3)*(GMW!$ND$2:$ND$150=G$4)*(GMW!$NF$2:$NF$150=G$1),0),$C129-1966)</f>
        <v>57598</v>
      </c>
      <c r="H129" s="4" cm="1">
        <f t="array" ref="H129">INDEX(GMW!$A$2:$NF$150,MATCH(1,(GMW!$NE$2:$NE$150=H$3)*(GMW!$ND$2:$ND$150=H$4)*(GMW!$NF$2:$NF$150=H$1),0),$C129-1966)</f>
        <v>129523</v>
      </c>
      <c r="I129" s="4" cm="1">
        <f t="array" ref="I129">INDEX(GMW!$A$2:$NF$150,MATCH(1,(GMW!$NE$2:$NE$150=I$3)*(GMW!$ND$2:$ND$150=I$4)*(GMW!$NF$2:$NF$150=I$1),0),$C129-1966)</f>
        <v>74904</v>
      </c>
      <c r="J129" s="4" cm="1">
        <f t="array" ref="J129">INDEX(GMW!$A$2:$NF$150,MATCH(1,(GMW!$NE$2:$NE$150=J$3)*(GMW!$ND$2:$ND$150=J$4)*(GMW!$NF$2:$NF$150=J$1),0),$C129-1966)</f>
        <v>80422</v>
      </c>
      <c r="K129" s="4" cm="1">
        <f t="array" ref="K129">INDEX(GMW!$A$2:$NF$150,MATCH(1,(GMW!$NE$2:$NE$150=K$3)*(GMW!$ND$2:$ND$150=K$4)*(GMW!$NF$2:$NF$150=K$1),0),$C129-1966)</f>
        <v>42368</v>
      </c>
      <c r="L129" s="4" cm="1">
        <f t="array" ref="L129">INDEX(GMW!$A$2:$NF$150,MATCH(1,(GMW!$NE$2:$NE$150=L$3)*(GMW!$ND$2:$ND$150=L$4)*(GMW!$NF$2:$NF$150=L$1),0),$C129-1966)</f>
        <v>471388.4</v>
      </c>
      <c r="M129" s="4" cm="1">
        <f t="array" ref="M129">INDEX(GMW!$A$2:$NF$150,MATCH(1,(GMW!$NE$2:$NE$150=M$3)*(GMW!$ND$2:$ND$150=M$4)*(GMW!$NF$2:$NF$150=M$1),0),$C129-1966)</f>
        <v>28270.1</v>
      </c>
      <c r="N129" s="4" cm="1">
        <f t="array" ref="N129">INDEX(GMW!$A$2:$NF$150,MATCH(1,(GMW!$NE$2:$NE$150=N$3)*(GMW!$ND$2:$ND$150=N$4)*(GMW!$NF$2:$NF$150=N$1),0),$C129-1966)</f>
        <v>32.200000000000003</v>
      </c>
      <c r="O129" s="4" cm="1">
        <f t="array" ref="O129">INDEX(GMW!$A$2:$NF$150,MATCH(1,(GMW!$NE$2:$NE$150=O$3)*(GMW!$ND$2:$ND$150=O$4)*(GMW!$NF$2:$NF$150=O$1),0),$C129-1966)</f>
        <v>430408.7</v>
      </c>
      <c r="P129" s="4" cm="1">
        <f t="array" ref="P129">INDEX(GMW!$A$2:$NF$150,MATCH(1,(GMW!$NE$2:$NE$150=P$3)*(GMW!$ND$2:$ND$150=P$4)*(GMW!$NF$2:$NF$150=P$1),0),$C129-1966)</f>
        <v>39243.78</v>
      </c>
      <c r="Q129" s="4" cm="1">
        <f t="array" ref="Q129">INDEX(GMW!$A$2:$NF$150,MATCH(1,(GMW!$NE$2:$NE$150=Q$3)*(GMW!$ND$2:$ND$150=Q$4)*(GMW!$NF$2:$NF$150=Q$1),0),$C129-1966)</f>
        <v>2269750</v>
      </c>
      <c r="R129" s="4" cm="1">
        <f t="array" ref="R129">INDEX(GMW!$A$2:$NF$150,MATCH(1,(GMW!$NE$2:$NE$150=R$3)*(GMW!$ND$2:$ND$150=R$4)*(GMW!$NF$2:$NF$150=R$1),0),$C129-1966)</f>
        <v>-1.6943010000000001</v>
      </c>
      <c r="S129" s="4" cm="1">
        <f t="array" ref="S129">INDEX(GMW!$A$2:$NF$150,MATCH(1,(GMW!$NE$2:$NE$150=S$3)*(GMW!$ND$2:$ND$150=S$4)*(GMW!$NF$2:$NF$150=S$1),0),$C129-1966)</f>
        <v>485973</v>
      </c>
      <c r="T129" s="4" cm="1">
        <f t="array" ref="T129">INDEX(GMW!$A$2:$NF$150,MATCH(1,(GMW!$NE$2:$NE$150=T$3)*(GMW!$ND$2:$ND$150=T$4)*(GMW!$NF$2:$NF$150=T$1),0),$C129-1966)</f>
        <v>75.599999999999994</v>
      </c>
      <c r="U129" s="4" cm="1">
        <f t="array" ref="U129">INDEX(GMW!$A$2:$NF$150,MATCH(1,(GMW!$NE$2:$NE$150=U$3)*(GMW!$ND$2:$ND$150=U$4)*(GMW!$NF$2:$NF$150=U$1),0),$C129-1966)</f>
        <v>125141</v>
      </c>
      <c r="V129" s="4" cm="1">
        <f t="array" ref="V129">INDEX(GMW!$A$2:$NF$150,MATCH(1,(GMW!$NE$2:$NE$150=V$3)*(GMW!$ND$2:$ND$150=V$4)*(GMW!$NF$2:$NF$150=V$1),0),$C129-1966)</f>
        <v>57598</v>
      </c>
      <c r="W129" s="4" cm="1">
        <f t="array" ref="W129">INDEX(GMW!$A$2:$NF$150,MATCH(1,(GMW!$NE$2:$NE$150=W$3)*(GMW!$ND$2:$ND$150=W$4)*(GMW!$NF$2:$NF$150=W$1),0),$C129-1966)</f>
        <v>129523</v>
      </c>
      <c r="X129" s="4" cm="1">
        <f t="array" ref="X129">INDEX(GMW!$A$2:$NF$150,MATCH(1,(GMW!$NE$2:$NE$150=X$3)*(GMW!$ND$2:$ND$150=X$4)*(GMW!$NF$2:$NF$150=X$1),0),$C129-1966)</f>
        <v>74904</v>
      </c>
      <c r="Y129" s="4" cm="1">
        <f t="array" ref="Y129">INDEX(GMW!$A$2:$NF$150,MATCH(1,(GMW!$NE$2:$NE$150=Y$3)*(GMW!$ND$2:$ND$150=Y$4)*(GMW!$NF$2:$NF$150=Y$1),0),$C129-1966)</f>
        <v>80422</v>
      </c>
      <c r="Z129" s="4" cm="1">
        <f t="array" ref="Z129">INDEX(GMW!$A$2:$NF$150,MATCH(1,(GMW!$NE$2:$NE$150=Z$3)*(GMW!$ND$2:$ND$150=Z$4)*(GMW!$NF$2:$NF$150=Z$1),0),$C129-1966)</f>
        <v>42368</v>
      </c>
      <c r="AA129" s="4" cm="1">
        <f t="array" ref="AA129">INDEX(GMW!$A$2:$NF$150,MATCH(1,(GMW!$NE$2:$NE$150=AA$3)*(GMW!$ND$2:$ND$150=AA$4)*(GMW!$NF$2:$NF$150=AA$1),0),$C129-1966)</f>
        <v>471388.4</v>
      </c>
      <c r="AB129" s="4" cm="1">
        <f t="array" ref="AB129">INDEX(GMW!$A$2:$NF$150,MATCH(1,(GMW!$NE$2:$NE$150=AB$3)*(GMW!$ND$2:$ND$150=AB$4)*(GMW!$NF$2:$NF$150=AB$1),0),$C129-1966)</f>
        <v>28270.1</v>
      </c>
      <c r="AC129" s="4" cm="1">
        <f t="array" ref="AC129">INDEX(GMW!$A$2:$NF$150,MATCH(1,(GMW!$NE$2:$NE$150=AC$3)*(GMW!$ND$2:$ND$150=AC$4)*(GMW!$NF$2:$NF$150=AC$1),0),$C129-1966)</f>
        <v>32.200000000000003</v>
      </c>
      <c r="AD129" s="4" cm="1">
        <f t="array" ref="AD129">INDEX(GMW!$A$2:$NF$150,MATCH(1,(GMW!$NE$2:$NE$150=AD$3)*(GMW!$ND$2:$ND$150=AD$4)*(GMW!$NF$2:$NF$150=AD$1),0),$C129-1966)</f>
        <v>430408.7</v>
      </c>
      <c r="AE129" s="4" cm="1">
        <f t="array" ref="AE129">INDEX(GMW!$A$2:$NF$150,MATCH(1,(GMW!$NE$2:$NE$150=AE$3)*(GMW!$ND$2:$ND$150=AE$4)*(GMW!$NF$2:$NF$150=AE$1),0),$C129-1966)</f>
        <v>39243.78</v>
      </c>
      <c r="AF129" s="4" cm="1">
        <f t="array" ref="AF129">INDEX(GMW!$A$2:$NF$150,MATCH(1,(GMW!$NE$2:$NE$150=AF$3)*(GMW!$ND$2:$ND$150=AF$4)*(GMW!$NF$2:$NF$150=AF$1),0),$C129-1966)</f>
        <v>2269750</v>
      </c>
      <c r="AG129" s="4" cm="1">
        <f t="array" ref="AG129">INDEX(GMW!$A$2:$NF$150,MATCH(1,(GMW!$NE$2:$NE$150=AG$3)*(GMW!$ND$2:$ND$150=AG$4)*(GMW!$NF$2:$NF$150=AG$1),0),$C129-1966)</f>
        <v>-1.6943010000000001</v>
      </c>
      <c r="AH129" s="4" cm="1">
        <f t="array" ref="AH129">INDEX(GMW!$A$2:$NF$150,MATCH(1,(GMW!$NE$2:$NE$150=AH$3)*(GMW!$ND$2:$ND$150=AH$4)*(GMW!$NF$2:$NF$150=AH$1),0),$C129-1966)</f>
        <v>485973</v>
      </c>
      <c r="AI129" s="4" cm="1">
        <f t="array" ref="AI129">INDEX(GMW!$A$2:$NF$150,MATCH(1,(GMW!$NE$2:$NE$150=AI$3)*(GMW!$ND$2:$ND$150=AI$4)*(GMW!$NF$2:$NF$150=AI$1),0),$C129-1966)</f>
        <v>75.599999999999994</v>
      </c>
      <c r="AJ129" s="4" cm="1">
        <f t="array" ref="AJ129">INDEX(GMW!$A$2:$NF$150,MATCH(1,(GMW!$NE$2:$NE$150=AJ$3)*(GMW!$ND$2:$ND$150=AJ$4)*(GMW!$NF$2:$NF$150=AJ$1),0),$C129-1966)</f>
        <v>125141</v>
      </c>
      <c r="AK129" s="4" cm="1">
        <f t="array" ref="AK129">INDEX(GMW!$A$2:$NF$150,MATCH(1,(GMW!$NE$2:$NE$150=AK$3)*(GMW!$ND$2:$ND$150=AK$4)*(GMW!$NF$2:$NF$150=AK$1),0),$C129-1966)</f>
        <v>57598</v>
      </c>
      <c r="AL129" s="4" cm="1">
        <f t="array" ref="AL129">INDEX(GMW!$A$2:$NF$150,MATCH(1,(GMW!$NE$2:$NE$150=AL$3)*(GMW!$ND$2:$ND$150=AL$4)*(GMW!$NF$2:$NF$150=AL$1),0),$C129-1966)</f>
        <v>129523</v>
      </c>
      <c r="AM129" s="4" cm="1">
        <f t="array" ref="AM129">INDEX(GMW!$A$2:$NF$150,MATCH(1,(GMW!$NE$2:$NE$150=AM$3)*(GMW!$ND$2:$ND$150=AM$4)*(GMW!$NF$2:$NF$150=AM$1),0),$C129-1966)</f>
        <v>74904</v>
      </c>
      <c r="AN129" s="4" cm="1">
        <f t="array" ref="AN129">INDEX(GMW!$A$2:$NF$150,MATCH(1,(GMW!$NE$2:$NE$150=AN$3)*(GMW!$ND$2:$ND$150=AN$4)*(GMW!$NF$2:$NF$150=AN$1),0),$C129-1966)</f>
        <v>80422</v>
      </c>
      <c r="AO129" s="4" cm="1">
        <f t="array" ref="AO129">INDEX(GMW!$A$2:$NF$150,MATCH(1,(GMW!$NE$2:$NE$150=AO$3)*(GMW!$ND$2:$ND$150=AO$4)*(GMW!$NF$2:$NF$150=AO$1),0),$C129-1966)</f>
        <v>42368</v>
      </c>
      <c r="AP129" s="4" cm="1">
        <f t="array" ref="AP129">INDEX(GMW!$A$2:$NF$150,MATCH(1,(GMW!$NE$2:$NE$150=AP$3)*(GMW!$ND$2:$ND$150=AP$4)*(GMW!$NF$2:$NF$150=AP$1),0),$C129-1966)</f>
        <v>471388.4</v>
      </c>
      <c r="AQ129" s="4" cm="1">
        <f t="array" ref="AQ129">INDEX(GMW!$A$2:$NF$150,MATCH(1,(GMW!$NE$2:$NE$150=AQ$3)*(GMW!$ND$2:$ND$150=AQ$4)*(GMW!$NF$2:$NF$150=AQ$1),0),$C129-1966)</f>
        <v>28270.1</v>
      </c>
      <c r="AR129" s="4" cm="1">
        <f t="array" ref="AR129">INDEX(GMW!$A$2:$NF$150,MATCH(1,(GMW!$NE$2:$NE$150=AR$3)*(GMW!$ND$2:$ND$150=AR$4)*(GMW!$NF$2:$NF$150=AR$1),0),$C129-1966)</f>
        <v>32.200000000000003</v>
      </c>
      <c r="AS129" s="4" cm="1">
        <f t="array" ref="AS129">INDEX(GMW!$A$2:$NF$150,MATCH(1,(GMW!$NE$2:$NE$150=AS$3)*(GMW!$ND$2:$ND$150=AS$4)*(GMW!$NF$2:$NF$150=AS$1),0),$C129-1966)</f>
        <v>430408.7</v>
      </c>
      <c r="AT129" s="4" cm="1">
        <f t="array" ref="AT129">INDEX(GMW!$A$2:$NF$150,MATCH(1,(GMW!$NE$2:$NE$150=AT$3)*(GMW!$ND$2:$ND$150=AT$4)*(GMW!$NF$2:$NF$150=AT$1),0),$C129-1966)</f>
        <v>39243.78</v>
      </c>
      <c r="AU129" s="4" cm="1">
        <f t="array" ref="AU129">INDEX(GMW!$A$2:$NF$150,MATCH(1,(GMW!$NE$2:$NE$150=AU$3)*(GMW!$ND$2:$ND$150=AU$4)*(GMW!$NF$2:$NF$150=AU$1),0),$C129-1966)</f>
        <v>2269750</v>
      </c>
      <c r="AV129" s="4" cm="1">
        <f t="array" ref="AV129">INDEX(GMW!$A$2:$NF$150,MATCH(1,(GMW!$NE$2:$NE$150=AV$3)*(GMW!$ND$2:$ND$150=AV$4)*(GMW!$NF$2:$NF$150=AV$1),0),$C129-1966)</f>
        <v>-1.6943010000000001</v>
      </c>
    </row>
    <row r="130" spans="1:48" x14ac:dyDescent="0.25">
      <c r="B130" s="4">
        <f t="shared" si="6"/>
        <v>2003</v>
      </c>
      <c r="C130" s="4">
        <f t="shared" si="7"/>
        <v>2096</v>
      </c>
      <c r="D130" s="4" cm="1">
        <f t="array" ref="D130">INDEX(GMW!$A$2:$NF$150,MATCH(1,(GMW!$NE$2:$NE$150=D$3)*(GMW!$ND$2:$ND$150=D$4)*(GMW!$NF$2:$NF$150=D$1),0),$C130-1966)</f>
        <v>490059</v>
      </c>
      <c r="E130" s="4" cm="1">
        <f t="array" ref="E130">INDEX(GMW!$A$2:$NF$150,MATCH(1,(GMW!$NE$2:$NE$150=E$3)*(GMW!$ND$2:$ND$150=E$4)*(GMW!$NF$2:$NF$150=E$1),0),$C130-1966)</f>
        <v>76.033330000000007</v>
      </c>
      <c r="F130" s="4" cm="1">
        <f t="array" ref="F130">INDEX(GMW!$A$2:$NF$150,MATCH(1,(GMW!$NE$2:$NE$150=F$3)*(GMW!$ND$2:$ND$150=F$4)*(GMW!$NF$2:$NF$150=F$1),0),$C130-1966)</f>
        <v>128517</v>
      </c>
      <c r="G130" s="4" cm="1">
        <f t="array" ref="G130">INDEX(GMW!$A$2:$NF$150,MATCH(1,(GMW!$NE$2:$NE$150=G$3)*(GMW!$ND$2:$ND$150=G$4)*(GMW!$NF$2:$NF$150=G$1),0),$C130-1966)</f>
        <v>60770</v>
      </c>
      <c r="H130" s="4" cm="1">
        <f t="array" ref="H130">INDEX(GMW!$A$2:$NF$150,MATCH(1,(GMW!$NE$2:$NE$150=H$3)*(GMW!$ND$2:$ND$150=H$4)*(GMW!$NF$2:$NF$150=H$1),0),$C130-1966)</f>
        <v>133300</v>
      </c>
      <c r="I130" s="4" cm="1">
        <f t="array" ref="I130">INDEX(GMW!$A$2:$NF$150,MATCH(1,(GMW!$NE$2:$NE$150=I$3)*(GMW!$ND$2:$ND$150=I$4)*(GMW!$NF$2:$NF$150=I$1),0),$C130-1966)</f>
        <v>79338</v>
      </c>
      <c r="J130" s="4" cm="1">
        <f t="array" ref="J130">INDEX(GMW!$A$2:$NF$150,MATCH(1,(GMW!$NE$2:$NE$150=J$3)*(GMW!$ND$2:$ND$150=J$4)*(GMW!$NF$2:$NF$150=J$1),0),$C130-1966)</f>
        <v>80600</v>
      </c>
      <c r="K130" s="4" cm="1">
        <f t="array" ref="K130">INDEX(GMW!$A$2:$NF$150,MATCH(1,(GMW!$NE$2:$NE$150=K$3)*(GMW!$ND$2:$ND$150=K$4)*(GMW!$NF$2:$NF$150=K$1),0),$C130-1966)</f>
        <v>42114</v>
      </c>
      <c r="L130" s="4" cm="1">
        <f t="array" ref="L130">INDEX(GMW!$A$2:$NF$150,MATCH(1,(GMW!$NE$2:$NE$150=L$3)*(GMW!$ND$2:$ND$150=L$4)*(GMW!$NF$2:$NF$150=L$1),0),$C130-1966)</f>
        <v>472083.4</v>
      </c>
      <c r="M130" s="4" cm="1">
        <f t="array" ref="M130">INDEX(GMW!$A$2:$NF$150,MATCH(1,(GMW!$NE$2:$NE$150=M$3)*(GMW!$ND$2:$ND$150=M$4)*(GMW!$NF$2:$NF$150=M$1),0),$C130-1966)</f>
        <v>28272.95</v>
      </c>
      <c r="N130" s="4" cm="1">
        <f t="array" ref="N130">INDEX(GMW!$A$2:$NF$150,MATCH(1,(GMW!$NE$2:$NE$150=N$3)*(GMW!$ND$2:$ND$150=N$4)*(GMW!$NF$2:$NF$150=N$1),0),$C130-1966)</f>
        <v>32</v>
      </c>
      <c r="O130" s="4" cm="1">
        <f t="array" ref="O130">INDEX(GMW!$A$2:$NF$150,MATCH(1,(GMW!$NE$2:$NE$150=O$3)*(GMW!$ND$2:$ND$150=O$4)*(GMW!$NF$2:$NF$150=O$1),0),$C130-1966)</f>
        <v>434658.5</v>
      </c>
      <c r="P130" s="4" cm="1">
        <f t="array" ref="P130">INDEX(GMW!$A$2:$NF$150,MATCH(1,(GMW!$NE$2:$NE$150=P$3)*(GMW!$ND$2:$ND$150=P$4)*(GMW!$NF$2:$NF$150=P$1),0),$C130-1966)</f>
        <v>39316.550000000003</v>
      </c>
      <c r="Q130" s="4" cm="1">
        <f t="array" ref="Q130">INDEX(GMW!$A$2:$NF$150,MATCH(1,(GMW!$NE$2:$NE$150=Q$3)*(GMW!$ND$2:$ND$150=Q$4)*(GMW!$NF$2:$NF$150=Q$1),0),$C130-1966)</f>
        <v>2283000</v>
      </c>
      <c r="R130" s="4" cm="1">
        <f t="array" ref="R130">INDEX(GMW!$A$2:$NF$150,MATCH(1,(GMW!$NE$2:$NE$150=R$3)*(GMW!$ND$2:$ND$150=R$4)*(GMW!$NF$2:$NF$150=R$1),0),$C130-1966)</f>
        <v>-1.6932849999999999</v>
      </c>
      <c r="S130" s="4" cm="1">
        <f t="array" ref="S130">INDEX(GMW!$A$2:$NF$150,MATCH(1,(GMW!$NE$2:$NE$150=S$3)*(GMW!$ND$2:$ND$150=S$4)*(GMW!$NF$2:$NF$150=S$1),0),$C130-1966)</f>
        <v>490059</v>
      </c>
      <c r="T130" s="4" cm="1">
        <f t="array" ref="T130">INDEX(GMW!$A$2:$NF$150,MATCH(1,(GMW!$NE$2:$NE$150=T$3)*(GMW!$ND$2:$ND$150=T$4)*(GMW!$NF$2:$NF$150=T$1),0),$C130-1966)</f>
        <v>76.033330000000007</v>
      </c>
      <c r="U130" s="4" cm="1">
        <f t="array" ref="U130">INDEX(GMW!$A$2:$NF$150,MATCH(1,(GMW!$NE$2:$NE$150=U$3)*(GMW!$ND$2:$ND$150=U$4)*(GMW!$NF$2:$NF$150=U$1),0),$C130-1966)</f>
        <v>128517</v>
      </c>
      <c r="V130" s="4" cm="1">
        <f t="array" ref="V130">INDEX(GMW!$A$2:$NF$150,MATCH(1,(GMW!$NE$2:$NE$150=V$3)*(GMW!$ND$2:$ND$150=V$4)*(GMW!$NF$2:$NF$150=V$1),0),$C130-1966)</f>
        <v>60770</v>
      </c>
      <c r="W130" s="4" cm="1">
        <f t="array" ref="W130">INDEX(GMW!$A$2:$NF$150,MATCH(1,(GMW!$NE$2:$NE$150=W$3)*(GMW!$ND$2:$ND$150=W$4)*(GMW!$NF$2:$NF$150=W$1),0),$C130-1966)</f>
        <v>133300</v>
      </c>
      <c r="X130" s="4" cm="1">
        <f t="array" ref="X130">INDEX(GMW!$A$2:$NF$150,MATCH(1,(GMW!$NE$2:$NE$150=X$3)*(GMW!$ND$2:$ND$150=X$4)*(GMW!$NF$2:$NF$150=X$1),0),$C130-1966)</f>
        <v>79338</v>
      </c>
      <c r="Y130" s="4" cm="1">
        <f t="array" ref="Y130">INDEX(GMW!$A$2:$NF$150,MATCH(1,(GMW!$NE$2:$NE$150=Y$3)*(GMW!$ND$2:$ND$150=Y$4)*(GMW!$NF$2:$NF$150=Y$1),0),$C130-1966)</f>
        <v>80600</v>
      </c>
      <c r="Z130" s="4" cm="1">
        <f t="array" ref="Z130">INDEX(GMW!$A$2:$NF$150,MATCH(1,(GMW!$NE$2:$NE$150=Z$3)*(GMW!$ND$2:$ND$150=Z$4)*(GMW!$NF$2:$NF$150=Z$1),0),$C130-1966)</f>
        <v>42114</v>
      </c>
      <c r="AA130" s="4" cm="1">
        <f t="array" ref="AA130">INDEX(GMW!$A$2:$NF$150,MATCH(1,(GMW!$NE$2:$NE$150=AA$3)*(GMW!$ND$2:$ND$150=AA$4)*(GMW!$NF$2:$NF$150=AA$1),0),$C130-1966)</f>
        <v>472083.4</v>
      </c>
      <c r="AB130" s="4" cm="1">
        <f t="array" ref="AB130">INDEX(GMW!$A$2:$NF$150,MATCH(1,(GMW!$NE$2:$NE$150=AB$3)*(GMW!$ND$2:$ND$150=AB$4)*(GMW!$NF$2:$NF$150=AB$1),0),$C130-1966)</f>
        <v>28272.95</v>
      </c>
      <c r="AC130" s="4" cm="1">
        <f t="array" ref="AC130">INDEX(GMW!$A$2:$NF$150,MATCH(1,(GMW!$NE$2:$NE$150=AC$3)*(GMW!$ND$2:$ND$150=AC$4)*(GMW!$NF$2:$NF$150=AC$1),0),$C130-1966)</f>
        <v>32</v>
      </c>
      <c r="AD130" s="4" cm="1">
        <f t="array" ref="AD130">INDEX(GMW!$A$2:$NF$150,MATCH(1,(GMW!$NE$2:$NE$150=AD$3)*(GMW!$ND$2:$ND$150=AD$4)*(GMW!$NF$2:$NF$150=AD$1),0),$C130-1966)</f>
        <v>434658.5</v>
      </c>
      <c r="AE130" s="4" cm="1">
        <f t="array" ref="AE130">INDEX(GMW!$A$2:$NF$150,MATCH(1,(GMW!$NE$2:$NE$150=AE$3)*(GMW!$ND$2:$ND$150=AE$4)*(GMW!$NF$2:$NF$150=AE$1),0),$C130-1966)</f>
        <v>39316.550000000003</v>
      </c>
      <c r="AF130" s="4" cm="1">
        <f t="array" ref="AF130">INDEX(GMW!$A$2:$NF$150,MATCH(1,(GMW!$NE$2:$NE$150=AF$3)*(GMW!$ND$2:$ND$150=AF$4)*(GMW!$NF$2:$NF$150=AF$1),0),$C130-1966)</f>
        <v>2283000</v>
      </c>
      <c r="AG130" s="4" cm="1">
        <f t="array" ref="AG130">INDEX(GMW!$A$2:$NF$150,MATCH(1,(GMW!$NE$2:$NE$150=AG$3)*(GMW!$ND$2:$ND$150=AG$4)*(GMW!$NF$2:$NF$150=AG$1),0),$C130-1966)</f>
        <v>-1.6932849999999999</v>
      </c>
      <c r="AH130" s="4" cm="1">
        <f t="array" ref="AH130">INDEX(GMW!$A$2:$NF$150,MATCH(1,(GMW!$NE$2:$NE$150=AH$3)*(GMW!$ND$2:$ND$150=AH$4)*(GMW!$NF$2:$NF$150=AH$1),0),$C130-1966)</f>
        <v>490059</v>
      </c>
      <c r="AI130" s="4" cm="1">
        <f t="array" ref="AI130">INDEX(GMW!$A$2:$NF$150,MATCH(1,(GMW!$NE$2:$NE$150=AI$3)*(GMW!$ND$2:$ND$150=AI$4)*(GMW!$NF$2:$NF$150=AI$1),0),$C130-1966)</f>
        <v>76.033330000000007</v>
      </c>
      <c r="AJ130" s="4" cm="1">
        <f t="array" ref="AJ130">INDEX(GMW!$A$2:$NF$150,MATCH(1,(GMW!$NE$2:$NE$150=AJ$3)*(GMW!$ND$2:$ND$150=AJ$4)*(GMW!$NF$2:$NF$150=AJ$1),0),$C130-1966)</f>
        <v>128517</v>
      </c>
      <c r="AK130" s="4" cm="1">
        <f t="array" ref="AK130">INDEX(GMW!$A$2:$NF$150,MATCH(1,(GMW!$NE$2:$NE$150=AK$3)*(GMW!$ND$2:$ND$150=AK$4)*(GMW!$NF$2:$NF$150=AK$1),0),$C130-1966)</f>
        <v>60770</v>
      </c>
      <c r="AL130" s="4" cm="1">
        <f t="array" ref="AL130">INDEX(GMW!$A$2:$NF$150,MATCH(1,(GMW!$NE$2:$NE$150=AL$3)*(GMW!$ND$2:$ND$150=AL$4)*(GMW!$NF$2:$NF$150=AL$1),0),$C130-1966)</f>
        <v>133300</v>
      </c>
      <c r="AM130" s="4" cm="1">
        <f t="array" ref="AM130">INDEX(GMW!$A$2:$NF$150,MATCH(1,(GMW!$NE$2:$NE$150=AM$3)*(GMW!$ND$2:$ND$150=AM$4)*(GMW!$NF$2:$NF$150=AM$1),0),$C130-1966)</f>
        <v>79338</v>
      </c>
      <c r="AN130" s="4" cm="1">
        <f t="array" ref="AN130">INDEX(GMW!$A$2:$NF$150,MATCH(1,(GMW!$NE$2:$NE$150=AN$3)*(GMW!$ND$2:$ND$150=AN$4)*(GMW!$NF$2:$NF$150=AN$1),0),$C130-1966)</f>
        <v>80600</v>
      </c>
      <c r="AO130" s="4" cm="1">
        <f t="array" ref="AO130">INDEX(GMW!$A$2:$NF$150,MATCH(1,(GMW!$NE$2:$NE$150=AO$3)*(GMW!$ND$2:$ND$150=AO$4)*(GMW!$NF$2:$NF$150=AO$1),0),$C130-1966)</f>
        <v>42114</v>
      </c>
      <c r="AP130" s="4" cm="1">
        <f t="array" ref="AP130">INDEX(GMW!$A$2:$NF$150,MATCH(1,(GMW!$NE$2:$NE$150=AP$3)*(GMW!$ND$2:$ND$150=AP$4)*(GMW!$NF$2:$NF$150=AP$1),0),$C130-1966)</f>
        <v>472083.4</v>
      </c>
      <c r="AQ130" s="4" cm="1">
        <f t="array" ref="AQ130">INDEX(GMW!$A$2:$NF$150,MATCH(1,(GMW!$NE$2:$NE$150=AQ$3)*(GMW!$ND$2:$ND$150=AQ$4)*(GMW!$NF$2:$NF$150=AQ$1),0),$C130-1966)</f>
        <v>28272.95</v>
      </c>
      <c r="AR130" s="4" cm="1">
        <f t="array" ref="AR130">INDEX(GMW!$A$2:$NF$150,MATCH(1,(GMW!$NE$2:$NE$150=AR$3)*(GMW!$ND$2:$ND$150=AR$4)*(GMW!$NF$2:$NF$150=AR$1),0),$C130-1966)</f>
        <v>32</v>
      </c>
      <c r="AS130" s="4" cm="1">
        <f t="array" ref="AS130">INDEX(GMW!$A$2:$NF$150,MATCH(1,(GMW!$NE$2:$NE$150=AS$3)*(GMW!$ND$2:$ND$150=AS$4)*(GMW!$NF$2:$NF$150=AS$1),0),$C130-1966)</f>
        <v>434658.5</v>
      </c>
      <c r="AT130" s="4" cm="1">
        <f t="array" ref="AT130">INDEX(GMW!$A$2:$NF$150,MATCH(1,(GMW!$NE$2:$NE$150=AT$3)*(GMW!$ND$2:$ND$150=AT$4)*(GMW!$NF$2:$NF$150=AT$1),0),$C130-1966)</f>
        <v>39316.550000000003</v>
      </c>
      <c r="AU130" s="4" cm="1">
        <f t="array" ref="AU130">INDEX(GMW!$A$2:$NF$150,MATCH(1,(GMW!$NE$2:$NE$150=AU$3)*(GMW!$ND$2:$ND$150=AU$4)*(GMW!$NF$2:$NF$150=AU$1),0),$C130-1966)</f>
        <v>2283000</v>
      </c>
      <c r="AV130" s="4" cm="1">
        <f t="array" ref="AV130">INDEX(GMW!$A$2:$NF$150,MATCH(1,(GMW!$NE$2:$NE$150=AV$3)*(GMW!$ND$2:$ND$150=AV$4)*(GMW!$NF$2:$NF$150=AV$1),0),$C130-1966)</f>
        <v>-1.6932849999999999</v>
      </c>
    </row>
    <row r="131" spans="1:48" x14ac:dyDescent="0.25">
      <c r="A131" s="4">
        <v>2004</v>
      </c>
      <c r="B131" s="4">
        <f t="shared" si="6"/>
        <v>2004</v>
      </c>
      <c r="C131" s="4">
        <f t="shared" si="7"/>
        <v>2097</v>
      </c>
      <c r="D131" s="4" cm="1">
        <f t="array" ref="D131">INDEX(GMW!$A$2:$NF$150,MATCH(1,(GMW!$NE$2:$NE$150=D$3)*(GMW!$ND$2:$ND$150=D$4)*(GMW!$NF$2:$NF$150=D$1),0),$C131-1966)</f>
        <v>492014</v>
      </c>
      <c r="E131" s="4" cm="1">
        <f t="array" ref="E131">INDEX(GMW!$A$2:$NF$150,MATCH(1,(GMW!$NE$2:$NE$150=E$3)*(GMW!$ND$2:$ND$150=E$4)*(GMW!$NF$2:$NF$150=E$1),0),$C131-1966)</f>
        <v>75.966669999999993</v>
      </c>
      <c r="F131" s="4" cm="1">
        <f t="array" ref="F131">INDEX(GMW!$A$2:$NF$150,MATCH(1,(GMW!$NE$2:$NE$150=F$3)*(GMW!$ND$2:$ND$150=F$4)*(GMW!$NF$2:$NF$150=F$1),0),$C131-1966)</f>
        <v>129631</v>
      </c>
      <c r="G131" s="4" cm="1">
        <f t="array" ref="G131">INDEX(GMW!$A$2:$NF$150,MATCH(1,(GMW!$NE$2:$NE$150=G$3)*(GMW!$ND$2:$ND$150=G$4)*(GMW!$NF$2:$NF$150=G$1),0),$C131-1966)</f>
        <v>58977</v>
      </c>
      <c r="H131" s="4" cm="1">
        <f t="array" ref="H131">INDEX(GMW!$A$2:$NF$150,MATCH(1,(GMW!$NE$2:$NE$150=H$3)*(GMW!$ND$2:$ND$150=H$4)*(GMW!$NF$2:$NF$150=H$1),0),$C131-1966)</f>
        <v>133996</v>
      </c>
      <c r="I131" s="4" cm="1">
        <f t="array" ref="I131">INDEX(GMW!$A$2:$NF$150,MATCH(1,(GMW!$NE$2:$NE$150=I$3)*(GMW!$ND$2:$ND$150=I$4)*(GMW!$NF$2:$NF$150=I$1),0),$C131-1966)</f>
        <v>77941</v>
      </c>
      <c r="J131" s="4" cm="1">
        <f t="array" ref="J131">INDEX(GMW!$A$2:$NF$150,MATCH(1,(GMW!$NE$2:$NE$150=J$3)*(GMW!$ND$2:$ND$150=J$4)*(GMW!$NF$2:$NF$150=J$1),0),$C131-1966)</f>
        <v>82986</v>
      </c>
      <c r="K131" s="4" cm="1">
        <f t="array" ref="K131">INDEX(GMW!$A$2:$NF$150,MATCH(1,(GMW!$NE$2:$NE$150=K$3)*(GMW!$ND$2:$ND$150=K$4)*(GMW!$NF$2:$NF$150=K$1),0),$C131-1966)</f>
        <v>42450</v>
      </c>
      <c r="L131" s="4" cm="1">
        <f t="array" ref="L131">INDEX(GMW!$A$2:$NF$150,MATCH(1,(GMW!$NE$2:$NE$150=L$3)*(GMW!$ND$2:$ND$150=L$4)*(GMW!$NF$2:$NF$150=L$1),0),$C131-1966)</f>
        <v>477050.3</v>
      </c>
      <c r="M131" s="4" cm="1">
        <f t="array" ref="M131">INDEX(GMW!$A$2:$NF$150,MATCH(1,(GMW!$NE$2:$NE$150=M$3)*(GMW!$ND$2:$ND$150=M$4)*(GMW!$NF$2:$NF$150=M$1),0),$C131-1966)</f>
        <v>28398.35</v>
      </c>
      <c r="N131" s="4" cm="1">
        <f t="array" ref="N131">INDEX(GMW!$A$2:$NF$150,MATCH(1,(GMW!$NE$2:$NE$150=N$3)*(GMW!$ND$2:$ND$150=N$4)*(GMW!$NF$2:$NF$150=N$1),0),$C131-1966)</f>
        <v>32.1</v>
      </c>
      <c r="O131" s="4" cm="1">
        <f t="array" ref="O131">INDEX(GMW!$A$2:$NF$150,MATCH(1,(GMW!$NE$2:$NE$150=O$3)*(GMW!$ND$2:$ND$150=O$4)*(GMW!$NF$2:$NF$150=O$1),0),$C131-1966)</f>
        <v>439119.6</v>
      </c>
      <c r="P131" s="4" cm="1">
        <f t="array" ref="P131">INDEX(GMW!$A$2:$NF$150,MATCH(1,(GMW!$NE$2:$NE$150=P$3)*(GMW!$ND$2:$ND$150=P$4)*(GMW!$NF$2:$NF$150=P$1),0),$C131-1966)</f>
        <v>39389.32</v>
      </c>
      <c r="Q131" s="4" cm="1">
        <f t="array" ref="Q131">INDEX(GMW!$A$2:$NF$150,MATCH(1,(GMW!$NE$2:$NE$150=Q$3)*(GMW!$ND$2:$ND$150=Q$4)*(GMW!$NF$2:$NF$150=Q$1),0),$C131-1966)</f>
        <v>2297000</v>
      </c>
      <c r="R131" s="4" cm="1">
        <f t="array" ref="R131">INDEX(GMW!$A$2:$NF$150,MATCH(1,(GMW!$NE$2:$NE$150=R$3)*(GMW!$ND$2:$ND$150=R$4)*(GMW!$NF$2:$NF$150=R$1),0),$C131-1966)</f>
        <v>-1.692269</v>
      </c>
      <c r="S131" s="4" cm="1">
        <f t="array" ref="S131">INDEX(GMW!$A$2:$NF$150,MATCH(1,(GMW!$NE$2:$NE$150=S$3)*(GMW!$ND$2:$ND$150=S$4)*(GMW!$NF$2:$NF$150=S$1),0),$C131-1966)</f>
        <v>492014</v>
      </c>
      <c r="T131" s="4" cm="1">
        <f t="array" ref="T131">INDEX(GMW!$A$2:$NF$150,MATCH(1,(GMW!$NE$2:$NE$150=T$3)*(GMW!$ND$2:$ND$150=T$4)*(GMW!$NF$2:$NF$150=T$1),0),$C131-1966)</f>
        <v>75.966669999999993</v>
      </c>
      <c r="U131" s="4" cm="1">
        <f t="array" ref="U131">INDEX(GMW!$A$2:$NF$150,MATCH(1,(GMW!$NE$2:$NE$150=U$3)*(GMW!$ND$2:$ND$150=U$4)*(GMW!$NF$2:$NF$150=U$1),0),$C131-1966)</f>
        <v>129631</v>
      </c>
      <c r="V131" s="4" cm="1">
        <f t="array" ref="V131">INDEX(GMW!$A$2:$NF$150,MATCH(1,(GMW!$NE$2:$NE$150=V$3)*(GMW!$ND$2:$ND$150=V$4)*(GMW!$NF$2:$NF$150=V$1),0),$C131-1966)</f>
        <v>58977</v>
      </c>
      <c r="W131" s="4" cm="1">
        <f t="array" ref="W131">INDEX(GMW!$A$2:$NF$150,MATCH(1,(GMW!$NE$2:$NE$150=W$3)*(GMW!$ND$2:$ND$150=W$4)*(GMW!$NF$2:$NF$150=W$1),0),$C131-1966)</f>
        <v>133996</v>
      </c>
      <c r="X131" s="4" cm="1">
        <f t="array" ref="X131">INDEX(GMW!$A$2:$NF$150,MATCH(1,(GMW!$NE$2:$NE$150=X$3)*(GMW!$ND$2:$ND$150=X$4)*(GMW!$NF$2:$NF$150=X$1),0),$C131-1966)</f>
        <v>77941</v>
      </c>
      <c r="Y131" s="4" cm="1">
        <f t="array" ref="Y131">INDEX(GMW!$A$2:$NF$150,MATCH(1,(GMW!$NE$2:$NE$150=Y$3)*(GMW!$ND$2:$ND$150=Y$4)*(GMW!$NF$2:$NF$150=Y$1),0),$C131-1966)</f>
        <v>82986</v>
      </c>
      <c r="Z131" s="4" cm="1">
        <f t="array" ref="Z131">INDEX(GMW!$A$2:$NF$150,MATCH(1,(GMW!$NE$2:$NE$150=Z$3)*(GMW!$ND$2:$ND$150=Z$4)*(GMW!$NF$2:$NF$150=Z$1),0),$C131-1966)</f>
        <v>42450</v>
      </c>
      <c r="AA131" s="4" cm="1">
        <f t="array" ref="AA131">INDEX(GMW!$A$2:$NF$150,MATCH(1,(GMW!$NE$2:$NE$150=AA$3)*(GMW!$ND$2:$ND$150=AA$4)*(GMW!$NF$2:$NF$150=AA$1),0),$C131-1966)</f>
        <v>477050.3</v>
      </c>
      <c r="AB131" s="4" cm="1">
        <f t="array" ref="AB131">INDEX(GMW!$A$2:$NF$150,MATCH(1,(GMW!$NE$2:$NE$150=AB$3)*(GMW!$ND$2:$ND$150=AB$4)*(GMW!$NF$2:$NF$150=AB$1),0),$C131-1966)</f>
        <v>28398.35</v>
      </c>
      <c r="AC131" s="4" cm="1">
        <f t="array" ref="AC131">INDEX(GMW!$A$2:$NF$150,MATCH(1,(GMW!$NE$2:$NE$150=AC$3)*(GMW!$ND$2:$ND$150=AC$4)*(GMW!$NF$2:$NF$150=AC$1),0),$C131-1966)</f>
        <v>32.1</v>
      </c>
      <c r="AD131" s="4" cm="1">
        <f t="array" ref="AD131">INDEX(GMW!$A$2:$NF$150,MATCH(1,(GMW!$NE$2:$NE$150=AD$3)*(GMW!$ND$2:$ND$150=AD$4)*(GMW!$NF$2:$NF$150=AD$1),0),$C131-1966)</f>
        <v>439119.6</v>
      </c>
      <c r="AE131" s="4" cm="1">
        <f t="array" ref="AE131">INDEX(GMW!$A$2:$NF$150,MATCH(1,(GMW!$NE$2:$NE$150=AE$3)*(GMW!$ND$2:$ND$150=AE$4)*(GMW!$NF$2:$NF$150=AE$1),0),$C131-1966)</f>
        <v>39389.32</v>
      </c>
      <c r="AF131" s="4" cm="1">
        <f t="array" ref="AF131">INDEX(GMW!$A$2:$NF$150,MATCH(1,(GMW!$NE$2:$NE$150=AF$3)*(GMW!$ND$2:$ND$150=AF$4)*(GMW!$NF$2:$NF$150=AF$1),0),$C131-1966)</f>
        <v>2297000</v>
      </c>
      <c r="AG131" s="4" cm="1">
        <f t="array" ref="AG131">INDEX(GMW!$A$2:$NF$150,MATCH(1,(GMW!$NE$2:$NE$150=AG$3)*(GMW!$ND$2:$ND$150=AG$4)*(GMW!$NF$2:$NF$150=AG$1),0),$C131-1966)</f>
        <v>-1.692269</v>
      </c>
      <c r="AH131" s="4" cm="1">
        <f t="array" ref="AH131">INDEX(GMW!$A$2:$NF$150,MATCH(1,(GMW!$NE$2:$NE$150=AH$3)*(GMW!$ND$2:$ND$150=AH$4)*(GMW!$NF$2:$NF$150=AH$1),0),$C131-1966)</f>
        <v>492014</v>
      </c>
      <c r="AI131" s="4" cm="1">
        <f t="array" ref="AI131">INDEX(GMW!$A$2:$NF$150,MATCH(1,(GMW!$NE$2:$NE$150=AI$3)*(GMW!$ND$2:$ND$150=AI$4)*(GMW!$NF$2:$NF$150=AI$1),0),$C131-1966)</f>
        <v>75.966669999999993</v>
      </c>
      <c r="AJ131" s="4" cm="1">
        <f t="array" ref="AJ131">INDEX(GMW!$A$2:$NF$150,MATCH(1,(GMW!$NE$2:$NE$150=AJ$3)*(GMW!$ND$2:$ND$150=AJ$4)*(GMW!$NF$2:$NF$150=AJ$1),0),$C131-1966)</f>
        <v>129631</v>
      </c>
      <c r="AK131" s="4" cm="1">
        <f t="array" ref="AK131">INDEX(GMW!$A$2:$NF$150,MATCH(1,(GMW!$NE$2:$NE$150=AK$3)*(GMW!$ND$2:$ND$150=AK$4)*(GMW!$NF$2:$NF$150=AK$1),0),$C131-1966)</f>
        <v>58977</v>
      </c>
      <c r="AL131" s="4" cm="1">
        <f t="array" ref="AL131">INDEX(GMW!$A$2:$NF$150,MATCH(1,(GMW!$NE$2:$NE$150=AL$3)*(GMW!$ND$2:$ND$150=AL$4)*(GMW!$NF$2:$NF$150=AL$1),0),$C131-1966)</f>
        <v>133996</v>
      </c>
      <c r="AM131" s="4" cm="1">
        <f t="array" ref="AM131">INDEX(GMW!$A$2:$NF$150,MATCH(1,(GMW!$NE$2:$NE$150=AM$3)*(GMW!$ND$2:$ND$150=AM$4)*(GMW!$NF$2:$NF$150=AM$1),0),$C131-1966)</f>
        <v>77941</v>
      </c>
      <c r="AN131" s="4" cm="1">
        <f t="array" ref="AN131">INDEX(GMW!$A$2:$NF$150,MATCH(1,(GMW!$NE$2:$NE$150=AN$3)*(GMW!$ND$2:$ND$150=AN$4)*(GMW!$NF$2:$NF$150=AN$1),0),$C131-1966)</f>
        <v>82986</v>
      </c>
      <c r="AO131" s="4" cm="1">
        <f t="array" ref="AO131">INDEX(GMW!$A$2:$NF$150,MATCH(1,(GMW!$NE$2:$NE$150=AO$3)*(GMW!$ND$2:$ND$150=AO$4)*(GMW!$NF$2:$NF$150=AO$1),0),$C131-1966)</f>
        <v>42450</v>
      </c>
      <c r="AP131" s="4" cm="1">
        <f t="array" ref="AP131">INDEX(GMW!$A$2:$NF$150,MATCH(1,(GMW!$NE$2:$NE$150=AP$3)*(GMW!$ND$2:$ND$150=AP$4)*(GMW!$NF$2:$NF$150=AP$1),0),$C131-1966)</f>
        <v>477050.3</v>
      </c>
      <c r="AQ131" s="4" cm="1">
        <f t="array" ref="AQ131">INDEX(GMW!$A$2:$NF$150,MATCH(1,(GMW!$NE$2:$NE$150=AQ$3)*(GMW!$ND$2:$ND$150=AQ$4)*(GMW!$NF$2:$NF$150=AQ$1),0),$C131-1966)</f>
        <v>28398.35</v>
      </c>
      <c r="AR131" s="4" cm="1">
        <f t="array" ref="AR131">INDEX(GMW!$A$2:$NF$150,MATCH(1,(GMW!$NE$2:$NE$150=AR$3)*(GMW!$ND$2:$ND$150=AR$4)*(GMW!$NF$2:$NF$150=AR$1),0),$C131-1966)</f>
        <v>32.1</v>
      </c>
      <c r="AS131" s="4" cm="1">
        <f t="array" ref="AS131">INDEX(GMW!$A$2:$NF$150,MATCH(1,(GMW!$NE$2:$NE$150=AS$3)*(GMW!$ND$2:$ND$150=AS$4)*(GMW!$NF$2:$NF$150=AS$1),0),$C131-1966)</f>
        <v>439119.6</v>
      </c>
      <c r="AT131" s="4" cm="1">
        <f t="array" ref="AT131">INDEX(GMW!$A$2:$NF$150,MATCH(1,(GMW!$NE$2:$NE$150=AT$3)*(GMW!$ND$2:$ND$150=AT$4)*(GMW!$NF$2:$NF$150=AT$1),0),$C131-1966)</f>
        <v>39389.32</v>
      </c>
      <c r="AU131" s="4" cm="1">
        <f t="array" ref="AU131">INDEX(GMW!$A$2:$NF$150,MATCH(1,(GMW!$NE$2:$NE$150=AU$3)*(GMW!$ND$2:$ND$150=AU$4)*(GMW!$NF$2:$NF$150=AU$1),0),$C131-1966)</f>
        <v>2297000</v>
      </c>
      <c r="AV131" s="4" cm="1">
        <f t="array" ref="AV131">INDEX(GMW!$A$2:$NF$150,MATCH(1,(GMW!$NE$2:$NE$150=AV$3)*(GMW!$ND$2:$ND$150=AV$4)*(GMW!$NF$2:$NF$150=AV$1),0),$C131-1966)</f>
        <v>-1.692269</v>
      </c>
    </row>
    <row r="132" spans="1:48" x14ac:dyDescent="0.25">
      <c r="B132" s="4">
        <f t="shared" si="6"/>
        <v>2004</v>
      </c>
      <c r="C132" s="4">
        <f t="shared" si="7"/>
        <v>2098</v>
      </c>
      <c r="D132" s="4" cm="1">
        <f t="array" ref="D132">INDEX(GMW!$A$2:$NF$150,MATCH(1,(GMW!$NE$2:$NE$150=D$3)*(GMW!$ND$2:$ND$150=D$4)*(GMW!$NF$2:$NF$150=D$1),0),$C132-1966)</f>
        <v>494824</v>
      </c>
      <c r="E132" s="4" cm="1">
        <f t="array" ref="E132">INDEX(GMW!$A$2:$NF$150,MATCH(1,(GMW!$NE$2:$NE$150=E$3)*(GMW!$ND$2:$ND$150=E$4)*(GMW!$NF$2:$NF$150=E$1),0),$C132-1966)</f>
        <v>76.533330000000007</v>
      </c>
      <c r="F132" s="4" cm="1">
        <f t="array" ref="F132">INDEX(GMW!$A$2:$NF$150,MATCH(1,(GMW!$NE$2:$NE$150=F$3)*(GMW!$ND$2:$ND$150=F$4)*(GMW!$NF$2:$NF$150=F$1),0),$C132-1966)</f>
        <v>131555</v>
      </c>
      <c r="G132" s="4" cm="1">
        <f t="array" ref="G132">INDEX(GMW!$A$2:$NF$150,MATCH(1,(GMW!$NE$2:$NE$150=G$3)*(GMW!$ND$2:$ND$150=G$4)*(GMW!$NF$2:$NF$150=G$1),0),$C132-1966)</f>
        <v>61445</v>
      </c>
      <c r="H132" s="4" cm="1">
        <f t="array" ref="H132">INDEX(GMW!$A$2:$NF$150,MATCH(1,(GMW!$NE$2:$NE$150=H$3)*(GMW!$ND$2:$ND$150=H$4)*(GMW!$NF$2:$NF$150=H$1),0),$C132-1966)</f>
        <v>137259</v>
      </c>
      <c r="I132" s="4" cm="1">
        <f t="array" ref="I132">INDEX(GMW!$A$2:$NF$150,MATCH(1,(GMW!$NE$2:$NE$150=I$3)*(GMW!$ND$2:$ND$150=I$4)*(GMW!$NF$2:$NF$150=I$1),0),$C132-1966)</f>
        <v>77887</v>
      </c>
      <c r="J132" s="4" cm="1">
        <f t="array" ref="J132">INDEX(GMW!$A$2:$NF$150,MATCH(1,(GMW!$NE$2:$NE$150=J$3)*(GMW!$ND$2:$ND$150=J$4)*(GMW!$NF$2:$NF$150=J$1),0),$C132-1966)</f>
        <v>82454</v>
      </c>
      <c r="K132" s="4" cm="1">
        <f t="array" ref="K132">INDEX(GMW!$A$2:$NF$150,MATCH(1,(GMW!$NE$2:$NE$150=K$3)*(GMW!$ND$2:$ND$150=K$4)*(GMW!$NF$2:$NF$150=K$1),0),$C132-1966)</f>
        <v>39055</v>
      </c>
      <c r="L132" s="4" cm="1">
        <f t="array" ref="L132">INDEX(GMW!$A$2:$NF$150,MATCH(1,(GMW!$NE$2:$NE$150=L$3)*(GMW!$ND$2:$ND$150=L$4)*(GMW!$NF$2:$NF$150=L$1),0),$C132-1966)</f>
        <v>478935.3</v>
      </c>
      <c r="M132" s="4" cm="1">
        <f t="array" ref="M132">INDEX(GMW!$A$2:$NF$150,MATCH(1,(GMW!$NE$2:$NE$150=M$3)*(GMW!$ND$2:$ND$150=M$4)*(GMW!$NF$2:$NF$150=M$1),0),$C132-1966)</f>
        <v>28411.65</v>
      </c>
      <c r="N132" s="4" cm="1">
        <f t="array" ref="N132">INDEX(GMW!$A$2:$NF$150,MATCH(1,(GMW!$NE$2:$NE$150=N$3)*(GMW!$ND$2:$ND$150=N$4)*(GMW!$NF$2:$NF$150=N$1),0),$C132-1966)</f>
        <v>32</v>
      </c>
      <c r="O132" s="4" cm="1">
        <f t="array" ref="O132">INDEX(GMW!$A$2:$NF$150,MATCH(1,(GMW!$NE$2:$NE$150=O$3)*(GMW!$ND$2:$ND$150=O$4)*(GMW!$NF$2:$NF$150=O$1),0),$C132-1966)</f>
        <v>443630.4</v>
      </c>
      <c r="P132" s="4" cm="1">
        <f t="array" ref="P132">INDEX(GMW!$A$2:$NF$150,MATCH(1,(GMW!$NE$2:$NE$150=P$3)*(GMW!$ND$2:$ND$150=P$4)*(GMW!$NF$2:$NF$150=P$1),0),$C132-1966)</f>
        <v>39462.089999999997</v>
      </c>
      <c r="Q132" s="4" cm="1">
        <f t="array" ref="Q132">INDEX(GMW!$A$2:$NF$150,MATCH(1,(GMW!$NE$2:$NE$150=Q$3)*(GMW!$ND$2:$ND$150=Q$4)*(GMW!$NF$2:$NF$150=Q$1),0),$C132-1966)</f>
        <v>2311000</v>
      </c>
      <c r="R132" s="4" cm="1">
        <f t="array" ref="R132">INDEX(GMW!$A$2:$NF$150,MATCH(1,(GMW!$NE$2:$NE$150=R$3)*(GMW!$ND$2:$ND$150=R$4)*(GMW!$NF$2:$NF$150=R$1),0),$C132-1966)</f>
        <v>-1.691254</v>
      </c>
      <c r="S132" s="4" cm="1">
        <f t="array" ref="S132">INDEX(GMW!$A$2:$NF$150,MATCH(1,(GMW!$NE$2:$NE$150=S$3)*(GMW!$ND$2:$ND$150=S$4)*(GMW!$NF$2:$NF$150=S$1),0),$C132-1966)</f>
        <v>494824</v>
      </c>
      <c r="T132" s="4" cm="1">
        <f t="array" ref="T132">INDEX(GMW!$A$2:$NF$150,MATCH(1,(GMW!$NE$2:$NE$150=T$3)*(GMW!$ND$2:$ND$150=T$4)*(GMW!$NF$2:$NF$150=T$1),0),$C132-1966)</f>
        <v>76.533330000000007</v>
      </c>
      <c r="U132" s="4" cm="1">
        <f t="array" ref="U132">INDEX(GMW!$A$2:$NF$150,MATCH(1,(GMW!$NE$2:$NE$150=U$3)*(GMW!$ND$2:$ND$150=U$4)*(GMW!$NF$2:$NF$150=U$1),0),$C132-1966)</f>
        <v>131555</v>
      </c>
      <c r="V132" s="4" cm="1">
        <f t="array" ref="V132">INDEX(GMW!$A$2:$NF$150,MATCH(1,(GMW!$NE$2:$NE$150=V$3)*(GMW!$ND$2:$ND$150=V$4)*(GMW!$NF$2:$NF$150=V$1),0),$C132-1966)</f>
        <v>61445</v>
      </c>
      <c r="W132" s="4" cm="1">
        <f t="array" ref="W132">INDEX(GMW!$A$2:$NF$150,MATCH(1,(GMW!$NE$2:$NE$150=W$3)*(GMW!$ND$2:$ND$150=W$4)*(GMW!$NF$2:$NF$150=W$1),0),$C132-1966)</f>
        <v>137259</v>
      </c>
      <c r="X132" s="4" cm="1">
        <f t="array" ref="X132">INDEX(GMW!$A$2:$NF$150,MATCH(1,(GMW!$NE$2:$NE$150=X$3)*(GMW!$ND$2:$ND$150=X$4)*(GMW!$NF$2:$NF$150=X$1),0),$C132-1966)</f>
        <v>77887</v>
      </c>
      <c r="Y132" s="4" cm="1">
        <f t="array" ref="Y132">INDEX(GMW!$A$2:$NF$150,MATCH(1,(GMW!$NE$2:$NE$150=Y$3)*(GMW!$ND$2:$ND$150=Y$4)*(GMW!$NF$2:$NF$150=Y$1),0),$C132-1966)</f>
        <v>82454</v>
      </c>
      <c r="Z132" s="4" cm="1">
        <f t="array" ref="Z132">INDEX(GMW!$A$2:$NF$150,MATCH(1,(GMW!$NE$2:$NE$150=Z$3)*(GMW!$ND$2:$ND$150=Z$4)*(GMW!$NF$2:$NF$150=Z$1),0),$C132-1966)</f>
        <v>39055</v>
      </c>
      <c r="AA132" s="4" cm="1">
        <f t="array" ref="AA132">INDEX(GMW!$A$2:$NF$150,MATCH(1,(GMW!$NE$2:$NE$150=AA$3)*(GMW!$ND$2:$ND$150=AA$4)*(GMW!$NF$2:$NF$150=AA$1),0),$C132-1966)</f>
        <v>478935.3</v>
      </c>
      <c r="AB132" s="4" cm="1">
        <f t="array" ref="AB132">INDEX(GMW!$A$2:$NF$150,MATCH(1,(GMW!$NE$2:$NE$150=AB$3)*(GMW!$ND$2:$ND$150=AB$4)*(GMW!$NF$2:$NF$150=AB$1),0),$C132-1966)</f>
        <v>28411.65</v>
      </c>
      <c r="AC132" s="4" cm="1">
        <f t="array" ref="AC132">INDEX(GMW!$A$2:$NF$150,MATCH(1,(GMW!$NE$2:$NE$150=AC$3)*(GMW!$ND$2:$ND$150=AC$4)*(GMW!$NF$2:$NF$150=AC$1),0),$C132-1966)</f>
        <v>32</v>
      </c>
      <c r="AD132" s="4" cm="1">
        <f t="array" ref="AD132">INDEX(GMW!$A$2:$NF$150,MATCH(1,(GMW!$NE$2:$NE$150=AD$3)*(GMW!$ND$2:$ND$150=AD$4)*(GMW!$NF$2:$NF$150=AD$1),0),$C132-1966)</f>
        <v>443630.4</v>
      </c>
      <c r="AE132" s="4" cm="1">
        <f t="array" ref="AE132">INDEX(GMW!$A$2:$NF$150,MATCH(1,(GMW!$NE$2:$NE$150=AE$3)*(GMW!$ND$2:$ND$150=AE$4)*(GMW!$NF$2:$NF$150=AE$1),0),$C132-1966)</f>
        <v>39462.089999999997</v>
      </c>
      <c r="AF132" s="4" cm="1">
        <f t="array" ref="AF132">INDEX(GMW!$A$2:$NF$150,MATCH(1,(GMW!$NE$2:$NE$150=AF$3)*(GMW!$ND$2:$ND$150=AF$4)*(GMW!$NF$2:$NF$150=AF$1),0),$C132-1966)</f>
        <v>2311000</v>
      </c>
      <c r="AG132" s="4" cm="1">
        <f t="array" ref="AG132">INDEX(GMW!$A$2:$NF$150,MATCH(1,(GMW!$NE$2:$NE$150=AG$3)*(GMW!$ND$2:$ND$150=AG$4)*(GMW!$NF$2:$NF$150=AG$1),0),$C132-1966)</f>
        <v>-1.691254</v>
      </c>
      <c r="AH132" s="4" cm="1">
        <f t="array" ref="AH132">INDEX(GMW!$A$2:$NF$150,MATCH(1,(GMW!$NE$2:$NE$150=AH$3)*(GMW!$ND$2:$ND$150=AH$4)*(GMW!$NF$2:$NF$150=AH$1),0),$C132-1966)</f>
        <v>494824</v>
      </c>
      <c r="AI132" s="4" cm="1">
        <f t="array" ref="AI132">INDEX(GMW!$A$2:$NF$150,MATCH(1,(GMW!$NE$2:$NE$150=AI$3)*(GMW!$ND$2:$ND$150=AI$4)*(GMW!$NF$2:$NF$150=AI$1),0),$C132-1966)</f>
        <v>76.533330000000007</v>
      </c>
      <c r="AJ132" s="4" cm="1">
        <f t="array" ref="AJ132">INDEX(GMW!$A$2:$NF$150,MATCH(1,(GMW!$NE$2:$NE$150=AJ$3)*(GMW!$ND$2:$ND$150=AJ$4)*(GMW!$NF$2:$NF$150=AJ$1),0),$C132-1966)</f>
        <v>131555</v>
      </c>
      <c r="AK132" s="4" cm="1">
        <f t="array" ref="AK132">INDEX(GMW!$A$2:$NF$150,MATCH(1,(GMW!$NE$2:$NE$150=AK$3)*(GMW!$ND$2:$ND$150=AK$4)*(GMW!$NF$2:$NF$150=AK$1),0),$C132-1966)</f>
        <v>61445</v>
      </c>
      <c r="AL132" s="4" cm="1">
        <f t="array" ref="AL132">INDEX(GMW!$A$2:$NF$150,MATCH(1,(GMW!$NE$2:$NE$150=AL$3)*(GMW!$ND$2:$ND$150=AL$4)*(GMW!$NF$2:$NF$150=AL$1),0),$C132-1966)</f>
        <v>137259</v>
      </c>
      <c r="AM132" s="4" cm="1">
        <f t="array" ref="AM132">INDEX(GMW!$A$2:$NF$150,MATCH(1,(GMW!$NE$2:$NE$150=AM$3)*(GMW!$ND$2:$ND$150=AM$4)*(GMW!$NF$2:$NF$150=AM$1),0),$C132-1966)</f>
        <v>77887</v>
      </c>
      <c r="AN132" s="4" cm="1">
        <f t="array" ref="AN132">INDEX(GMW!$A$2:$NF$150,MATCH(1,(GMW!$NE$2:$NE$150=AN$3)*(GMW!$ND$2:$ND$150=AN$4)*(GMW!$NF$2:$NF$150=AN$1),0),$C132-1966)</f>
        <v>82454</v>
      </c>
      <c r="AO132" s="4" cm="1">
        <f t="array" ref="AO132">INDEX(GMW!$A$2:$NF$150,MATCH(1,(GMW!$NE$2:$NE$150=AO$3)*(GMW!$ND$2:$ND$150=AO$4)*(GMW!$NF$2:$NF$150=AO$1),0),$C132-1966)</f>
        <v>39055</v>
      </c>
      <c r="AP132" s="4" cm="1">
        <f t="array" ref="AP132">INDEX(GMW!$A$2:$NF$150,MATCH(1,(GMW!$NE$2:$NE$150=AP$3)*(GMW!$ND$2:$ND$150=AP$4)*(GMW!$NF$2:$NF$150=AP$1),0),$C132-1966)</f>
        <v>478935.3</v>
      </c>
      <c r="AQ132" s="4" cm="1">
        <f t="array" ref="AQ132">INDEX(GMW!$A$2:$NF$150,MATCH(1,(GMW!$NE$2:$NE$150=AQ$3)*(GMW!$ND$2:$ND$150=AQ$4)*(GMW!$NF$2:$NF$150=AQ$1),0),$C132-1966)</f>
        <v>28411.65</v>
      </c>
      <c r="AR132" s="4" cm="1">
        <f t="array" ref="AR132">INDEX(GMW!$A$2:$NF$150,MATCH(1,(GMW!$NE$2:$NE$150=AR$3)*(GMW!$ND$2:$ND$150=AR$4)*(GMW!$NF$2:$NF$150=AR$1),0),$C132-1966)</f>
        <v>32</v>
      </c>
      <c r="AS132" s="4" cm="1">
        <f t="array" ref="AS132">INDEX(GMW!$A$2:$NF$150,MATCH(1,(GMW!$NE$2:$NE$150=AS$3)*(GMW!$ND$2:$ND$150=AS$4)*(GMW!$NF$2:$NF$150=AS$1),0),$C132-1966)</f>
        <v>443630.4</v>
      </c>
      <c r="AT132" s="4" cm="1">
        <f t="array" ref="AT132">INDEX(GMW!$A$2:$NF$150,MATCH(1,(GMW!$NE$2:$NE$150=AT$3)*(GMW!$ND$2:$ND$150=AT$4)*(GMW!$NF$2:$NF$150=AT$1),0),$C132-1966)</f>
        <v>39462.089999999997</v>
      </c>
      <c r="AU132" s="4" cm="1">
        <f t="array" ref="AU132">INDEX(GMW!$A$2:$NF$150,MATCH(1,(GMW!$NE$2:$NE$150=AU$3)*(GMW!$ND$2:$ND$150=AU$4)*(GMW!$NF$2:$NF$150=AU$1),0),$C132-1966)</f>
        <v>2311000</v>
      </c>
      <c r="AV132" s="4" cm="1">
        <f t="array" ref="AV132">INDEX(GMW!$A$2:$NF$150,MATCH(1,(GMW!$NE$2:$NE$150=AV$3)*(GMW!$ND$2:$ND$150=AV$4)*(GMW!$NF$2:$NF$150=AV$1),0),$C132-1966)</f>
        <v>-1.691254</v>
      </c>
    </row>
    <row r="133" spans="1:48" x14ac:dyDescent="0.25">
      <c r="B133" s="4">
        <f t="shared" si="6"/>
        <v>2004</v>
      </c>
      <c r="C133" s="4">
        <f t="shared" si="7"/>
        <v>2099</v>
      </c>
      <c r="D133" s="4" cm="1">
        <f t="array" ref="D133">INDEX(GMW!$A$2:$NF$150,MATCH(1,(GMW!$NE$2:$NE$150=D$3)*(GMW!$ND$2:$ND$150=D$4)*(GMW!$NF$2:$NF$150=D$1),0),$C133-1966)</f>
        <v>496642</v>
      </c>
      <c r="E133" s="4" cm="1">
        <f t="array" ref="E133">INDEX(GMW!$A$2:$NF$150,MATCH(1,(GMW!$NE$2:$NE$150=E$3)*(GMW!$ND$2:$ND$150=E$4)*(GMW!$NF$2:$NF$150=E$1),0),$C133-1966)</f>
        <v>76.566670000000002</v>
      </c>
      <c r="F133" s="4" cm="1">
        <f t="array" ref="F133">INDEX(GMW!$A$2:$NF$150,MATCH(1,(GMW!$NE$2:$NE$150=F$3)*(GMW!$ND$2:$ND$150=F$4)*(GMW!$NF$2:$NF$150=F$1),0),$C133-1966)</f>
        <v>133247</v>
      </c>
      <c r="G133" s="4" cm="1">
        <f t="array" ref="G133">INDEX(GMW!$A$2:$NF$150,MATCH(1,(GMW!$NE$2:$NE$150=G$3)*(GMW!$ND$2:$ND$150=G$4)*(GMW!$NF$2:$NF$150=G$1),0),$C133-1966)</f>
        <v>63187</v>
      </c>
      <c r="H133" s="4" cm="1">
        <f t="array" ref="H133">INDEX(GMW!$A$2:$NF$150,MATCH(1,(GMW!$NE$2:$NE$150=H$3)*(GMW!$ND$2:$ND$150=H$4)*(GMW!$NF$2:$NF$150=H$1),0),$C133-1966)</f>
        <v>141008</v>
      </c>
      <c r="I133" s="4" cm="1">
        <f t="array" ref="I133">INDEX(GMW!$A$2:$NF$150,MATCH(1,(GMW!$NE$2:$NE$150=I$3)*(GMW!$ND$2:$ND$150=I$4)*(GMW!$NF$2:$NF$150=I$1),0),$C133-1966)</f>
        <v>79148</v>
      </c>
      <c r="J133" s="4" cm="1">
        <f t="array" ref="J133">INDEX(GMW!$A$2:$NF$150,MATCH(1,(GMW!$NE$2:$NE$150=J$3)*(GMW!$ND$2:$ND$150=J$4)*(GMW!$NF$2:$NF$150=J$1),0),$C133-1966)</f>
        <v>83913</v>
      </c>
      <c r="K133" s="4" cm="1">
        <f t="array" ref="K133">INDEX(GMW!$A$2:$NF$150,MATCH(1,(GMW!$NE$2:$NE$150=K$3)*(GMW!$ND$2:$ND$150=K$4)*(GMW!$NF$2:$NF$150=K$1),0),$C133-1966)</f>
        <v>41359</v>
      </c>
      <c r="L133" s="4" cm="1">
        <f t="array" ref="L133">INDEX(GMW!$A$2:$NF$150,MATCH(1,(GMW!$NE$2:$NE$150=L$3)*(GMW!$ND$2:$ND$150=L$4)*(GMW!$NF$2:$NF$150=L$1),0),$C133-1966)</f>
        <v>481606.7</v>
      </c>
      <c r="M133" s="4" cm="1">
        <f t="array" ref="M133">INDEX(GMW!$A$2:$NF$150,MATCH(1,(GMW!$NE$2:$NE$150=M$3)*(GMW!$ND$2:$ND$150=M$4)*(GMW!$NF$2:$NF$150=M$1),0),$C133-1966)</f>
        <v>28423.05</v>
      </c>
      <c r="N133" s="4" cm="1">
        <f t="array" ref="N133">INDEX(GMW!$A$2:$NF$150,MATCH(1,(GMW!$NE$2:$NE$150=N$3)*(GMW!$ND$2:$ND$150=N$4)*(GMW!$NF$2:$NF$150=N$1),0),$C133-1966)</f>
        <v>32</v>
      </c>
      <c r="O133" s="4" cm="1">
        <f t="array" ref="O133">INDEX(GMW!$A$2:$NF$150,MATCH(1,(GMW!$NE$2:$NE$150=O$3)*(GMW!$ND$2:$ND$150=O$4)*(GMW!$NF$2:$NF$150=O$1),0),$C133-1966)</f>
        <v>448052.4</v>
      </c>
      <c r="P133" s="4" cm="1">
        <f t="array" ref="P133">INDEX(GMW!$A$2:$NF$150,MATCH(1,(GMW!$NE$2:$NE$150=P$3)*(GMW!$ND$2:$ND$150=P$4)*(GMW!$NF$2:$NF$150=P$1),0),$C133-1966)</f>
        <v>39569.49</v>
      </c>
      <c r="Q133" s="4" cm="1">
        <f t="array" ref="Q133">INDEX(GMW!$A$2:$NF$150,MATCH(1,(GMW!$NE$2:$NE$150=Q$3)*(GMW!$ND$2:$ND$150=Q$4)*(GMW!$NF$2:$NF$150=Q$1),0),$C133-1966)</f>
        <v>2325000</v>
      </c>
      <c r="R133" s="4" cm="1">
        <f t="array" ref="R133">INDEX(GMW!$A$2:$NF$150,MATCH(1,(GMW!$NE$2:$NE$150=R$3)*(GMW!$ND$2:$ND$150=R$4)*(GMW!$NF$2:$NF$150=R$1),0),$C133-1966)</f>
        <v>-1.690239</v>
      </c>
      <c r="S133" s="4" cm="1">
        <f t="array" ref="S133">INDEX(GMW!$A$2:$NF$150,MATCH(1,(GMW!$NE$2:$NE$150=S$3)*(GMW!$ND$2:$ND$150=S$4)*(GMW!$NF$2:$NF$150=S$1),0),$C133-1966)</f>
        <v>496642</v>
      </c>
      <c r="T133" s="4" cm="1">
        <f t="array" ref="T133">INDEX(GMW!$A$2:$NF$150,MATCH(1,(GMW!$NE$2:$NE$150=T$3)*(GMW!$ND$2:$ND$150=T$4)*(GMW!$NF$2:$NF$150=T$1),0),$C133-1966)</f>
        <v>76.566670000000002</v>
      </c>
      <c r="U133" s="4" cm="1">
        <f t="array" ref="U133">INDEX(GMW!$A$2:$NF$150,MATCH(1,(GMW!$NE$2:$NE$150=U$3)*(GMW!$ND$2:$ND$150=U$4)*(GMW!$NF$2:$NF$150=U$1),0),$C133-1966)</f>
        <v>133247</v>
      </c>
      <c r="V133" s="4" cm="1">
        <f t="array" ref="V133">INDEX(GMW!$A$2:$NF$150,MATCH(1,(GMW!$NE$2:$NE$150=V$3)*(GMW!$ND$2:$ND$150=V$4)*(GMW!$NF$2:$NF$150=V$1),0),$C133-1966)</f>
        <v>63187</v>
      </c>
      <c r="W133" s="4" cm="1">
        <f t="array" ref="W133">INDEX(GMW!$A$2:$NF$150,MATCH(1,(GMW!$NE$2:$NE$150=W$3)*(GMW!$ND$2:$ND$150=W$4)*(GMW!$NF$2:$NF$150=W$1),0),$C133-1966)</f>
        <v>141008</v>
      </c>
      <c r="X133" s="4" cm="1">
        <f t="array" ref="X133">INDEX(GMW!$A$2:$NF$150,MATCH(1,(GMW!$NE$2:$NE$150=X$3)*(GMW!$ND$2:$ND$150=X$4)*(GMW!$NF$2:$NF$150=X$1),0),$C133-1966)</f>
        <v>79148</v>
      </c>
      <c r="Y133" s="4" cm="1">
        <f t="array" ref="Y133">INDEX(GMW!$A$2:$NF$150,MATCH(1,(GMW!$NE$2:$NE$150=Y$3)*(GMW!$ND$2:$ND$150=Y$4)*(GMW!$NF$2:$NF$150=Y$1),0),$C133-1966)</f>
        <v>83913</v>
      </c>
      <c r="Z133" s="4" cm="1">
        <f t="array" ref="Z133">INDEX(GMW!$A$2:$NF$150,MATCH(1,(GMW!$NE$2:$NE$150=Z$3)*(GMW!$ND$2:$ND$150=Z$4)*(GMW!$NF$2:$NF$150=Z$1),0),$C133-1966)</f>
        <v>41359</v>
      </c>
      <c r="AA133" s="4" cm="1">
        <f t="array" ref="AA133">INDEX(GMW!$A$2:$NF$150,MATCH(1,(GMW!$NE$2:$NE$150=AA$3)*(GMW!$ND$2:$ND$150=AA$4)*(GMW!$NF$2:$NF$150=AA$1),0),$C133-1966)</f>
        <v>481606.7</v>
      </c>
      <c r="AB133" s="4" cm="1">
        <f t="array" ref="AB133">INDEX(GMW!$A$2:$NF$150,MATCH(1,(GMW!$NE$2:$NE$150=AB$3)*(GMW!$ND$2:$ND$150=AB$4)*(GMW!$NF$2:$NF$150=AB$1),0),$C133-1966)</f>
        <v>28423.05</v>
      </c>
      <c r="AC133" s="4" cm="1">
        <f t="array" ref="AC133">INDEX(GMW!$A$2:$NF$150,MATCH(1,(GMW!$NE$2:$NE$150=AC$3)*(GMW!$ND$2:$ND$150=AC$4)*(GMW!$NF$2:$NF$150=AC$1),0),$C133-1966)</f>
        <v>32</v>
      </c>
      <c r="AD133" s="4" cm="1">
        <f t="array" ref="AD133">INDEX(GMW!$A$2:$NF$150,MATCH(1,(GMW!$NE$2:$NE$150=AD$3)*(GMW!$ND$2:$ND$150=AD$4)*(GMW!$NF$2:$NF$150=AD$1),0),$C133-1966)</f>
        <v>448052.4</v>
      </c>
      <c r="AE133" s="4" cm="1">
        <f t="array" ref="AE133">INDEX(GMW!$A$2:$NF$150,MATCH(1,(GMW!$NE$2:$NE$150=AE$3)*(GMW!$ND$2:$ND$150=AE$4)*(GMW!$NF$2:$NF$150=AE$1),0),$C133-1966)</f>
        <v>39569.49</v>
      </c>
      <c r="AF133" s="4" cm="1">
        <f t="array" ref="AF133">INDEX(GMW!$A$2:$NF$150,MATCH(1,(GMW!$NE$2:$NE$150=AF$3)*(GMW!$ND$2:$ND$150=AF$4)*(GMW!$NF$2:$NF$150=AF$1),0),$C133-1966)</f>
        <v>2325000</v>
      </c>
      <c r="AG133" s="4" cm="1">
        <f t="array" ref="AG133">INDEX(GMW!$A$2:$NF$150,MATCH(1,(GMW!$NE$2:$NE$150=AG$3)*(GMW!$ND$2:$ND$150=AG$4)*(GMW!$NF$2:$NF$150=AG$1),0),$C133-1966)</f>
        <v>-1.690239</v>
      </c>
      <c r="AH133" s="4" cm="1">
        <f t="array" ref="AH133">INDEX(GMW!$A$2:$NF$150,MATCH(1,(GMW!$NE$2:$NE$150=AH$3)*(GMW!$ND$2:$ND$150=AH$4)*(GMW!$NF$2:$NF$150=AH$1),0),$C133-1966)</f>
        <v>496642</v>
      </c>
      <c r="AI133" s="4" cm="1">
        <f t="array" ref="AI133">INDEX(GMW!$A$2:$NF$150,MATCH(1,(GMW!$NE$2:$NE$150=AI$3)*(GMW!$ND$2:$ND$150=AI$4)*(GMW!$NF$2:$NF$150=AI$1),0),$C133-1966)</f>
        <v>76.566670000000002</v>
      </c>
      <c r="AJ133" s="4" cm="1">
        <f t="array" ref="AJ133">INDEX(GMW!$A$2:$NF$150,MATCH(1,(GMW!$NE$2:$NE$150=AJ$3)*(GMW!$ND$2:$ND$150=AJ$4)*(GMW!$NF$2:$NF$150=AJ$1),0),$C133-1966)</f>
        <v>133247</v>
      </c>
      <c r="AK133" s="4" cm="1">
        <f t="array" ref="AK133">INDEX(GMW!$A$2:$NF$150,MATCH(1,(GMW!$NE$2:$NE$150=AK$3)*(GMW!$ND$2:$ND$150=AK$4)*(GMW!$NF$2:$NF$150=AK$1),0),$C133-1966)</f>
        <v>63187</v>
      </c>
      <c r="AL133" s="4" cm="1">
        <f t="array" ref="AL133">INDEX(GMW!$A$2:$NF$150,MATCH(1,(GMW!$NE$2:$NE$150=AL$3)*(GMW!$ND$2:$ND$150=AL$4)*(GMW!$NF$2:$NF$150=AL$1),0),$C133-1966)</f>
        <v>141008</v>
      </c>
      <c r="AM133" s="4" cm="1">
        <f t="array" ref="AM133">INDEX(GMW!$A$2:$NF$150,MATCH(1,(GMW!$NE$2:$NE$150=AM$3)*(GMW!$ND$2:$ND$150=AM$4)*(GMW!$NF$2:$NF$150=AM$1),0),$C133-1966)</f>
        <v>79148</v>
      </c>
      <c r="AN133" s="4" cm="1">
        <f t="array" ref="AN133">INDEX(GMW!$A$2:$NF$150,MATCH(1,(GMW!$NE$2:$NE$150=AN$3)*(GMW!$ND$2:$ND$150=AN$4)*(GMW!$NF$2:$NF$150=AN$1),0),$C133-1966)</f>
        <v>83913</v>
      </c>
      <c r="AO133" s="4" cm="1">
        <f t="array" ref="AO133">INDEX(GMW!$A$2:$NF$150,MATCH(1,(GMW!$NE$2:$NE$150=AO$3)*(GMW!$ND$2:$ND$150=AO$4)*(GMW!$NF$2:$NF$150=AO$1),0),$C133-1966)</f>
        <v>41359</v>
      </c>
      <c r="AP133" s="4" cm="1">
        <f t="array" ref="AP133">INDEX(GMW!$A$2:$NF$150,MATCH(1,(GMW!$NE$2:$NE$150=AP$3)*(GMW!$ND$2:$ND$150=AP$4)*(GMW!$NF$2:$NF$150=AP$1),0),$C133-1966)</f>
        <v>481606.7</v>
      </c>
      <c r="AQ133" s="4" cm="1">
        <f t="array" ref="AQ133">INDEX(GMW!$A$2:$NF$150,MATCH(1,(GMW!$NE$2:$NE$150=AQ$3)*(GMW!$ND$2:$ND$150=AQ$4)*(GMW!$NF$2:$NF$150=AQ$1),0),$C133-1966)</f>
        <v>28423.05</v>
      </c>
      <c r="AR133" s="4" cm="1">
        <f t="array" ref="AR133">INDEX(GMW!$A$2:$NF$150,MATCH(1,(GMW!$NE$2:$NE$150=AR$3)*(GMW!$ND$2:$ND$150=AR$4)*(GMW!$NF$2:$NF$150=AR$1),0),$C133-1966)</f>
        <v>32</v>
      </c>
      <c r="AS133" s="4" cm="1">
        <f t="array" ref="AS133">INDEX(GMW!$A$2:$NF$150,MATCH(1,(GMW!$NE$2:$NE$150=AS$3)*(GMW!$ND$2:$ND$150=AS$4)*(GMW!$NF$2:$NF$150=AS$1),0),$C133-1966)</f>
        <v>448052.4</v>
      </c>
      <c r="AT133" s="4" cm="1">
        <f t="array" ref="AT133">INDEX(GMW!$A$2:$NF$150,MATCH(1,(GMW!$NE$2:$NE$150=AT$3)*(GMW!$ND$2:$ND$150=AT$4)*(GMW!$NF$2:$NF$150=AT$1),0),$C133-1966)</f>
        <v>39569.49</v>
      </c>
      <c r="AU133" s="4" cm="1">
        <f t="array" ref="AU133">INDEX(GMW!$A$2:$NF$150,MATCH(1,(GMW!$NE$2:$NE$150=AU$3)*(GMW!$ND$2:$ND$150=AU$4)*(GMW!$NF$2:$NF$150=AU$1),0),$C133-1966)</f>
        <v>2325000</v>
      </c>
      <c r="AV133" s="4" cm="1">
        <f t="array" ref="AV133">INDEX(GMW!$A$2:$NF$150,MATCH(1,(GMW!$NE$2:$NE$150=AV$3)*(GMW!$ND$2:$ND$150=AV$4)*(GMW!$NF$2:$NF$150=AV$1),0),$C133-1966)</f>
        <v>-1.690239</v>
      </c>
    </row>
    <row r="134" spans="1:48" x14ac:dyDescent="0.25">
      <c r="B134" s="4">
        <f t="shared" si="6"/>
        <v>2004</v>
      </c>
      <c r="C134" s="4">
        <f t="shared" si="7"/>
        <v>2100</v>
      </c>
      <c r="D134" s="4" cm="1">
        <f t="array" ref="D134">INDEX(GMW!$A$2:$NF$150,MATCH(1,(GMW!$NE$2:$NE$150=D$3)*(GMW!$ND$2:$ND$150=D$4)*(GMW!$NF$2:$NF$150=D$1),0),$C134-1966)</f>
        <v>499020</v>
      </c>
      <c r="E134" s="4" cm="1">
        <f t="array" ref="E134">INDEX(GMW!$A$2:$NF$150,MATCH(1,(GMW!$NE$2:$NE$150=E$3)*(GMW!$ND$2:$ND$150=E$4)*(GMW!$NF$2:$NF$150=E$1),0),$C134-1966)</f>
        <v>77.099999999999994</v>
      </c>
      <c r="F134" s="4" cm="1">
        <f t="array" ref="F134">INDEX(GMW!$A$2:$NF$150,MATCH(1,(GMW!$NE$2:$NE$150=F$3)*(GMW!$ND$2:$ND$150=F$4)*(GMW!$NF$2:$NF$150=F$1),0),$C134-1966)</f>
        <v>137509</v>
      </c>
      <c r="G134" s="4" cm="1">
        <f t="array" ref="G134">INDEX(GMW!$A$2:$NF$150,MATCH(1,(GMW!$NE$2:$NE$150=G$3)*(GMW!$ND$2:$ND$150=G$4)*(GMW!$NF$2:$NF$150=G$1),0),$C134-1966)</f>
        <v>63597</v>
      </c>
      <c r="H134" s="4" cm="1">
        <f t="array" ref="H134">INDEX(GMW!$A$2:$NF$150,MATCH(1,(GMW!$NE$2:$NE$150=H$3)*(GMW!$ND$2:$ND$150=H$4)*(GMW!$NF$2:$NF$150=H$1),0),$C134-1966)</f>
        <v>143089</v>
      </c>
      <c r="I134" s="4" cm="1">
        <f t="array" ref="I134">INDEX(GMW!$A$2:$NF$150,MATCH(1,(GMW!$NE$2:$NE$150=I$3)*(GMW!$ND$2:$ND$150=I$4)*(GMW!$NF$2:$NF$150=I$1),0),$C134-1966)</f>
        <v>81734</v>
      </c>
      <c r="J134" s="4" cm="1">
        <f t="array" ref="J134">INDEX(GMW!$A$2:$NF$150,MATCH(1,(GMW!$NE$2:$NE$150=J$3)*(GMW!$ND$2:$ND$150=J$4)*(GMW!$NF$2:$NF$150=J$1),0),$C134-1966)</f>
        <v>84243</v>
      </c>
      <c r="K134" s="4" cm="1">
        <f t="array" ref="K134">INDEX(GMW!$A$2:$NF$150,MATCH(1,(GMW!$NE$2:$NE$150=K$3)*(GMW!$ND$2:$ND$150=K$4)*(GMW!$NF$2:$NF$150=K$1),0),$C134-1966)</f>
        <v>42269</v>
      </c>
      <c r="L134" s="4" cm="1">
        <f t="array" ref="L134">INDEX(GMW!$A$2:$NF$150,MATCH(1,(GMW!$NE$2:$NE$150=L$3)*(GMW!$ND$2:$ND$150=L$4)*(GMW!$NF$2:$NF$150=L$1),0),$C134-1966)</f>
        <v>487824.2</v>
      </c>
      <c r="M134" s="4" cm="1">
        <f t="array" ref="M134">INDEX(GMW!$A$2:$NF$150,MATCH(1,(GMW!$NE$2:$NE$150=M$3)*(GMW!$ND$2:$ND$150=M$4)*(GMW!$NF$2:$NF$150=M$1),0),$C134-1966)</f>
        <v>28591.200000000001</v>
      </c>
      <c r="N134" s="4" cm="1">
        <f t="array" ref="N134">INDEX(GMW!$A$2:$NF$150,MATCH(1,(GMW!$NE$2:$NE$150=N$3)*(GMW!$ND$2:$ND$150=N$4)*(GMW!$NF$2:$NF$150=N$1),0),$C134-1966)</f>
        <v>32.200000000000003</v>
      </c>
      <c r="O134" s="4" cm="1">
        <f t="array" ref="O134">INDEX(GMW!$A$2:$NF$150,MATCH(1,(GMW!$NE$2:$NE$150=O$3)*(GMW!$ND$2:$ND$150=O$4)*(GMW!$NF$2:$NF$150=O$1),0),$C134-1966)</f>
        <v>451995.5</v>
      </c>
      <c r="P134" s="4" cm="1">
        <f t="array" ref="P134">INDEX(GMW!$A$2:$NF$150,MATCH(1,(GMW!$NE$2:$NE$150=P$3)*(GMW!$ND$2:$ND$150=P$4)*(GMW!$NF$2:$NF$150=P$1),0),$C134-1966)</f>
        <v>39676.89</v>
      </c>
      <c r="Q134" s="4" cm="1">
        <f t="array" ref="Q134">INDEX(GMW!$A$2:$NF$150,MATCH(1,(GMW!$NE$2:$NE$150=Q$3)*(GMW!$ND$2:$ND$150=Q$4)*(GMW!$NF$2:$NF$150=Q$1),0),$C134-1966)</f>
        <v>2339000</v>
      </c>
      <c r="R134" s="4" cm="1">
        <f t="array" ref="R134">INDEX(GMW!$A$2:$NF$150,MATCH(1,(GMW!$NE$2:$NE$150=R$3)*(GMW!$ND$2:$ND$150=R$4)*(GMW!$NF$2:$NF$150=R$1),0),$C134-1966)</f>
        <v>-1.689225</v>
      </c>
      <c r="S134" s="4" cm="1">
        <f t="array" ref="S134">INDEX(GMW!$A$2:$NF$150,MATCH(1,(GMW!$NE$2:$NE$150=S$3)*(GMW!$ND$2:$ND$150=S$4)*(GMW!$NF$2:$NF$150=S$1),0),$C134-1966)</f>
        <v>499020</v>
      </c>
      <c r="T134" s="4" cm="1">
        <f t="array" ref="T134">INDEX(GMW!$A$2:$NF$150,MATCH(1,(GMW!$NE$2:$NE$150=T$3)*(GMW!$ND$2:$ND$150=T$4)*(GMW!$NF$2:$NF$150=T$1),0),$C134-1966)</f>
        <v>77.099999999999994</v>
      </c>
      <c r="U134" s="4" cm="1">
        <f t="array" ref="U134">INDEX(GMW!$A$2:$NF$150,MATCH(1,(GMW!$NE$2:$NE$150=U$3)*(GMW!$ND$2:$ND$150=U$4)*(GMW!$NF$2:$NF$150=U$1),0),$C134-1966)</f>
        <v>137509</v>
      </c>
      <c r="V134" s="4" cm="1">
        <f t="array" ref="V134">INDEX(GMW!$A$2:$NF$150,MATCH(1,(GMW!$NE$2:$NE$150=V$3)*(GMW!$ND$2:$ND$150=V$4)*(GMW!$NF$2:$NF$150=V$1),0),$C134-1966)</f>
        <v>63597</v>
      </c>
      <c r="W134" s="4" cm="1">
        <f t="array" ref="W134">INDEX(GMW!$A$2:$NF$150,MATCH(1,(GMW!$NE$2:$NE$150=W$3)*(GMW!$ND$2:$ND$150=W$4)*(GMW!$NF$2:$NF$150=W$1),0),$C134-1966)</f>
        <v>143089</v>
      </c>
      <c r="X134" s="4" cm="1">
        <f t="array" ref="X134">INDEX(GMW!$A$2:$NF$150,MATCH(1,(GMW!$NE$2:$NE$150=X$3)*(GMW!$ND$2:$ND$150=X$4)*(GMW!$NF$2:$NF$150=X$1),0),$C134-1966)</f>
        <v>81734</v>
      </c>
      <c r="Y134" s="4" cm="1">
        <f t="array" ref="Y134">INDEX(GMW!$A$2:$NF$150,MATCH(1,(GMW!$NE$2:$NE$150=Y$3)*(GMW!$ND$2:$ND$150=Y$4)*(GMW!$NF$2:$NF$150=Y$1),0),$C134-1966)</f>
        <v>84243</v>
      </c>
      <c r="Z134" s="4" cm="1">
        <f t="array" ref="Z134">INDEX(GMW!$A$2:$NF$150,MATCH(1,(GMW!$NE$2:$NE$150=Z$3)*(GMW!$ND$2:$ND$150=Z$4)*(GMW!$NF$2:$NF$150=Z$1),0),$C134-1966)</f>
        <v>42269</v>
      </c>
      <c r="AA134" s="4" cm="1">
        <f t="array" ref="AA134">INDEX(GMW!$A$2:$NF$150,MATCH(1,(GMW!$NE$2:$NE$150=AA$3)*(GMW!$ND$2:$ND$150=AA$4)*(GMW!$NF$2:$NF$150=AA$1),0),$C134-1966)</f>
        <v>487824.2</v>
      </c>
      <c r="AB134" s="4" cm="1">
        <f t="array" ref="AB134">INDEX(GMW!$A$2:$NF$150,MATCH(1,(GMW!$NE$2:$NE$150=AB$3)*(GMW!$ND$2:$ND$150=AB$4)*(GMW!$NF$2:$NF$150=AB$1),0),$C134-1966)</f>
        <v>28591.200000000001</v>
      </c>
      <c r="AC134" s="4" cm="1">
        <f t="array" ref="AC134">INDEX(GMW!$A$2:$NF$150,MATCH(1,(GMW!$NE$2:$NE$150=AC$3)*(GMW!$ND$2:$ND$150=AC$4)*(GMW!$NF$2:$NF$150=AC$1),0),$C134-1966)</f>
        <v>32.200000000000003</v>
      </c>
      <c r="AD134" s="4" cm="1">
        <f t="array" ref="AD134">INDEX(GMW!$A$2:$NF$150,MATCH(1,(GMW!$NE$2:$NE$150=AD$3)*(GMW!$ND$2:$ND$150=AD$4)*(GMW!$NF$2:$NF$150=AD$1),0),$C134-1966)</f>
        <v>451995.5</v>
      </c>
      <c r="AE134" s="4" cm="1">
        <f t="array" ref="AE134">INDEX(GMW!$A$2:$NF$150,MATCH(1,(GMW!$NE$2:$NE$150=AE$3)*(GMW!$ND$2:$ND$150=AE$4)*(GMW!$NF$2:$NF$150=AE$1),0),$C134-1966)</f>
        <v>39676.89</v>
      </c>
      <c r="AF134" s="4" cm="1">
        <f t="array" ref="AF134">INDEX(GMW!$A$2:$NF$150,MATCH(1,(GMW!$NE$2:$NE$150=AF$3)*(GMW!$ND$2:$ND$150=AF$4)*(GMW!$NF$2:$NF$150=AF$1),0),$C134-1966)</f>
        <v>2339000</v>
      </c>
      <c r="AG134" s="4" cm="1">
        <f t="array" ref="AG134">INDEX(GMW!$A$2:$NF$150,MATCH(1,(GMW!$NE$2:$NE$150=AG$3)*(GMW!$ND$2:$ND$150=AG$4)*(GMW!$NF$2:$NF$150=AG$1),0),$C134-1966)</f>
        <v>-1.689225</v>
      </c>
      <c r="AH134" s="4" cm="1">
        <f t="array" ref="AH134">INDEX(GMW!$A$2:$NF$150,MATCH(1,(GMW!$NE$2:$NE$150=AH$3)*(GMW!$ND$2:$ND$150=AH$4)*(GMW!$NF$2:$NF$150=AH$1),0),$C134-1966)</f>
        <v>499020</v>
      </c>
      <c r="AI134" s="4" cm="1">
        <f t="array" ref="AI134">INDEX(GMW!$A$2:$NF$150,MATCH(1,(GMW!$NE$2:$NE$150=AI$3)*(GMW!$ND$2:$ND$150=AI$4)*(GMW!$NF$2:$NF$150=AI$1),0),$C134-1966)</f>
        <v>77.099999999999994</v>
      </c>
      <c r="AJ134" s="4" cm="1">
        <f t="array" ref="AJ134">INDEX(GMW!$A$2:$NF$150,MATCH(1,(GMW!$NE$2:$NE$150=AJ$3)*(GMW!$ND$2:$ND$150=AJ$4)*(GMW!$NF$2:$NF$150=AJ$1),0),$C134-1966)</f>
        <v>137509</v>
      </c>
      <c r="AK134" s="4" cm="1">
        <f t="array" ref="AK134">INDEX(GMW!$A$2:$NF$150,MATCH(1,(GMW!$NE$2:$NE$150=AK$3)*(GMW!$ND$2:$ND$150=AK$4)*(GMW!$NF$2:$NF$150=AK$1),0),$C134-1966)</f>
        <v>63597</v>
      </c>
      <c r="AL134" s="4" cm="1">
        <f t="array" ref="AL134">INDEX(GMW!$A$2:$NF$150,MATCH(1,(GMW!$NE$2:$NE$150=AL$3)*(GMW!$ND$2:$ND$150=AL$4)*(GMW!$NF$2:$NF$150=AL$1),0),$C134-1966)</f>
        <v>143089</v>
      </c>
      <c r="AM134" s="4" cm="1">
        <f t="array" ref="AM134">INDEX(GMW!$A$2:$NF$150,MATCH(1,(GMW!$NE$2:$NE$150=AM$3)*(GMW!$ND$2:$ND$150=AM$4)*(GMW!$NF$2:$NF$150=AM$1),0),$C134-1966)</f>
        <v>81734</v>
      </c>
      <c r="AN134" s="4" cm="1">
        <f t="array" ref="AN134">INDEX(GMW!$A$2:$NF$150,MATCH(1,(GMW!$NE$2:$NE$150=AN$3)*(GMW!$ND$2:$ND$150=AN$4)*(GMW!$NF$2:$NF$150=AN$1),0),$C134-1966)</f>
        <v>84243</v>
      </c>
      <c r="AO134" s="4" cm="1">
        <f t="array" ref="AO134">INDEX(GMW!$A$2:$NF$150,MATCH(1,(GMW!$NE$2:$NE$150=AO$3)*(GMW!$ND$2:$ND$150=AO$4)*(GMW!$NF$2:$NF$150=AO$1),0),$C134-1966)</f>
        <v>42269</v>
      </c>
      <c r="AP134" s="4" cm="1">
        <f t="array" ref="AP134">INDEX(GMW!$A$2:$NF$150,MATCH(1,(GMW!$NE$2:$NE$150=AP$3)*(GMW!$ND$2:$ND$150=AP$4)*(GMW!$NF$2:$NF$150=AP$1),0),$C134-1966)</f>
        <v>487824.2</v>
      </c>
      <c r="AQ134" s="4" cm="1">
        <f t="array" ref="AQ134">INDEX(GMW!$A$2:$NF$150,MATCH(1,(GMW!$NE$2:$NE$150=AQ$3)*(GMW!$ND$2:$ND$150=AQ$4)*(GMW!$NF$2:$NF$150=AQ$1),0),$C134-1966)</f>
        <v>28591.200000000001</v>
      </c>
      <c r="AR134" s="4" cm="1">
        <f t="array" ref="AR134">INDEX(GMW!$A$2:$NF$150,MATCH(1,(GMW!$NE$2:$NE$150=AR$3)*(GMW!$ND$2:$ND$150=AR$4)*(GMW!$NF$2:$NF$150=AR$1),0),$C134-1966)</f>
        <v>32.200000000000003</v>
      </c>
      <c r="AS134" s="4" cm="1">
        <f t="array" ref="AS134">INDEX(GMW!$A$2:$NF$150,MATCH(1,(GMW!$NE$2:$NE$150=AS$3)*(GMW!$ND$2:$ND$150=AS$4)*(GMW!$NF$2:$NF$150=AS$1),0),$C134-1966)</f>
        <v>451995.5</v>
      </c>
      <c r="AT134" s="4" cm="1">
        <f t="array" ref="AT134">INDEX(GMW!$A$2:$NF$150,MATCH(1,(GMW!$NE$2:$NE$150=AT$3)*(GMW!$ND$2:$ND$150=AT$4)*(GMW!$NF$2:$NF$150=AT$1),0),$C134-1966)</f>
        <v>39676.89</v>
      </c>
      <c r="AU134" s="4" cm="1">
        <f t="array" ref="AU134">INDEX(GMW!$A$2:$NF$150,MATCH(1,(GMW!$NE$2:$NE$150=AU$3)*(GMW!$ND$2:$ND$150=AU$4)*(GMW!$NF$2:$NF$150=AU$1),0),$C134-1966)</f>
        <v>2339000</v>
      </c>
      <c r="AV134" s="4" cm="1">
        <f t="array" ref="AV134">INDEX(GMW!$A$2:$NF$150,MATCH(1,(GMW!$NE$2:$NE$150=AV$3)*(GMW!$ND$2:$ND$150=AV$4)*(GMW!$NF$2:$NF$150=AV$1),0),$C134-1966)</f>
        <v>-1.689225</v>
      </c>
    </row>
    <row r="135" spans="1:48" x14ac:dyDescent="0.25">
      <c r="A135" s="4">
        <v>2005</v>
      </c>
      <c r="B135" s="4">
        <f t="shared" si="6"/>
        <v>2005</v>
      </c>
      <c r="C135" s="4">
        <f t="shared" si="7"/>
        <v>2101</v>
      </c>
      <c r="D135" s="4" cm="1">
        <f t="array" ref="D135">INDEX(GMW!$A$2:$NF$150,MATCH(1,(GMW!$NE$2:$NE$150=D$3)*(GMW!$ND$2:$ND$150=D$4)*(GMW!$NF$2:$NF$150=D$1),0),$C135-1966)</f>
        <v>502702</v>
      </c>
      <c r="E135" s="4" cm="1">
        <f t="array" ref="E135">INDEX(GMW!$A$2:$NF$150,MATCH(1,(GMW!$NE$2:$NE$150=E$3)*(GMW!$ND$2:$ND$150=E$4)*(GMW!$NF$2:$NF$150=E$1),0),$C135-1966)</f>
        <v>77.233329999999995</v>
      </c>
      <c r="F135" s="4" cm="1">
        <f t="array" ref="F135">INDEX(GMW!$A$2:$NF$150,MATCH(1,(GMW!$NE$2:$NE$150=F$3)*(GMW!$ND$2:$ND$150=F$4)*(GMW!$NF$2:$NF$150=F$1),0),$C135-1966)</f>
        <v>134823</v>
      </c>
      <c r="G135" s="4" cm="1">
        <f t="array" ref="G135">INDEX(GMW!$A$2:$NF$150,MATCH(1,(GMW!$NE$2:$NE$150=G$3)*(GMW!$ND$2:$ND$150=G$4)*(GMW!$NF$2:$NF$150=G$1),0),$C135-1966)</f>
        <v>62404</v>
      </c>
      <c r="H135" s="4" cm="1">
        <f t="array" ref="H135">INDEX(GMW!$A$2:$NF$150,MATCH(1,(GMW!$NE$2:$NE$150=H$3)*(GMW!$ND$2:$ND$150=H$4)*(GMW!$NF$2:$NF$150=H$1),0),$C135-1966)</f>
        <v>142425</v>
      </c>
      <c r="I135" s="4" cm="1">
        <f t="array" ref="I135">INDEX(GMW!$A$2:$NF$150,MATCH(1,(GMW!$NE$2:$NE$150=I$3)*(GMW!$ND$2:$ND$150=I$4)*(GMW!$NF$2:$NF$150=I$1),0),$C135-1966)</f>
        <v>82790</v>
      </c>
      <c r="J135" s="4" cm="1">
        <f t="array" ref="J135">INDEX(GMW!$A$2:$NF$150,MATCH(1,(GMW!$NE$2:$NE$150=J$3)*(GMW!$ND$2:$ND$150=J$4)*(GMW!$NF$2:$NF$150=J$1),0),$C135-1966)</f>
        <v>85883</v>
      </c>
      <c r="K135" s="4" cm="1">
        <f t="array" ref="K135">INDEX(GMW!$A$2:$NF$150,MATCH(1,(GMW!$NE$2:$NE$150=K$3)*(GMW!$ND$2:$ND$150=K$4)*(GMW!$NF$2:$NF$150=K$1),0),$C135-1966)</f>
        <v>42057</v>
      </c>
      <c r="L135" s="4" cm="1">
        <f t="array" ref="L135">INDEX(GMW!$A$2:$NF$150,MATCH(1,(GMW!$NE$2:$NE$150=L$3)*(GMW!$ND$2:$ND$150=L$4)*(GMW!$NF$2:$NF$150=L$1),0),$C135-1966)</f>
        <v>491443.7</v>
      </c>
      <c r="M135" s="4" cm="1">
        <f t="array" ref="M135">INDEX(GMW!$A$2:$NF$150,MATCH(1,(GMW!$NE$2:$NE$150=M$3)*(GMW!$ND$2:$ND$150=M$4)*(GMW!$NF$2:$NF$150=M$1),0),$C135-1966)</f>
        <v>28694.75</v>
      </c>
      <c r="N135" s="4" cm="1">
        <f t="array" ref="N135">INDEX(GMW!$A$2:$NF$150,MATCH(1,(GMW!$NE$2:$NE$150=N$3)*(GMW!$ND$2:$ND$150=N$4)*(GMW!$NF$2:$NF$150=N$1),0),$C135-1966)</f>
        <v>32.200000000000003</v>
      </c>
      <c r="O135" s="4" cm="1">
        <f t="array" ref="O135">INDEX(GMW!$A$2:$NF$150,MATCH(1,(GMW!$NE$2:$NE$150=O$3)*(GMW!$ND$2:$ND$150=O$4)*(GMW!$NF$2:$NF$150=O$1),0),$C135-1966)</f>
        <v>456140.6</v>
      </c>
      <c r="P135" s="4" cm="1">
        <f t="array" ref="P135">INDEX(GMW!$A$2:$NF$150,MATCH(1,(GMW!$NE$2:$NE$150=P$3)*(GMW!$ND$2:$ND$150=P$4)*(GMW!$NF$2:$NF$150=P$1),0),$C135-1966)</f>
        <v>39784.29</v>
      </c>
      <c r="Q135" s="4" cm="1">
        <f t="array" ref="Q135">INDEX(GMW!$A$2:$NF$150,MATCH(1,(GMW!$NE$2:$NE$150=Q$3)*(GMW!$ND$2:$ND$150=Q$4)*(GMW!$NF$2:$NF$150=Q$1),0),$C135-1966)</f>
        <v>2354500</v>
      </c>
      <c r="R135" s="4" cm="1">
        <f t="array" ref="R135">INDEX(GMW!$A$2:$NF$150,MATCH(1,(GMW!$NE$2:$NE$150=R$3)*(GMW!$ND$2:$ND$150=R$4)*(GMW!$NF$2:$NF$150=R$1),0),$C135-1966)</f>
        <v>-1.6882109999999999</v>
      </c>
      <c r="S135" s="4" cm="1">
        <f t="array" ref="S135">INDEX(GMW!$A$2:$NF$150,MATCH(1,(GMW!$NE$2:$NE$150=S$3)*(GMW!$ND$2:$ND$150=S$4)*(GMW!$NF$2:$NF$150=S$1),0),$C135-1966)</f>
        <v>502702</v>
      </c>
      <c r="T135" s="4" cm="1">
        <f t="array" ref="T135">INDEX(GMW!$A$2:$NF$150,MATCH(1,(GMW!$NE$2:$NE$150=T$3)*(GMW!$ND$2:$ND$150=T$4)*(GMW!$NF$2:$NF$150=T$1),0),$C135-1966)</f>
        <v>77.233329999999995</v>
      </c>
      <c r="U135" s="4" cm="1">
        <f t="array" ref="U135">INDEX(GMW!$A$2:$NF$150,MATCH(1,(GMW!$NE$2:$NE$150=U$3)*(GMW!$ND$2:$ND$150=U$4)*(GMW!$NF$2:$NF$150=U$1),0),$C135-1966)</f>
        <v>134823</v>
      </c>
      <c r="V135" s="4" cm="1">
        <f t="array" ref="V135">INDEX(GMW!$A$2:$NF$150,MATCH(1,(GMW!$NE$2:$NE$150=V$3)*(GMW!$ND$2:$ND$150=V$4)*(GMW!$NF$2:$NF$150=V$1),0),$C135-1966)</f>
        <v>62404</v>
      </c>
      <c r="W135" s="4" cm="1">
        <f t="array" ref="W135">INDEX(GMW!$A$2:$NF$150,MATCH(1,(GMW!$NE$2:$NE$150=W$3)*(GMW!$ND$2:$ND$150=W$4)*(GMW!$NF$2:$NF$150=W$1),0),$C135-1966)</f>
        <v>142425</v>
      </c>
      <c r="X135" s="4" cm="1">
        <f t="array" ref="X135">INDEX(GMW!$A$2:$NF$150,MATCH(1,(GMW!$NE$2:$NE$150=X$3)*(GMW!$ND$2:$ND$150=X$4)*(GMW!$NF$2:$NF$150=X$1),0),$C135-1966)</f>
        <v>82790</v>
      </c>
      <c r="Y135" s="4" cm="1">
        <f t="array" ref="Y135">INDEX(GMW!$A$2:$NF$150,MATCH(1,(GMW!$NE$2:$NE$150=Y$3)*(GMW!$ND$2:$ND$150=Y$4)*(GMW!$NF$2:$NF$150=Y$1),0),$C135-1966)</f>
        <v>85883</v>
      </c>
      <c r="Z135" s="4" cm="1">
        <f t="array" ref="Z135">INDEX(GMW!$A$2:$NF$150,MATCH(1,(GMW!$NE$2:$NE$150=Z$3)*(GMW!$ND$2:$ND$150=Z$4)*(GMW!$NF$2:$NF$150=Z$1),0),$C135-1966)</f>
        <v>42057</v>
      </c>
      <c r="AA135" s="4" cm="1">
        <f t="array" ref="AA135">INDEX(GMW!$A$2:$NF$150,MATCH(1,(GMW!$NE$2:$NE$150=AA$3)*(GMW!$ND$2:$ND$150=AA$4)*(GMW!$NF$2:$NF$150=AA$1),0),$C135-1966)</f>
        <v>491443.7</v>
      </c>
      <c r="AB135" s="4" cm="1">
        <f t="array" ref="AB135">INDEX(GMW!$A$2:$NF$150,MATCH(1,(GMW!$NE$2:$NE$150=AB$3)*(GMW!$ND$2:$ND$150=AB$4)*(GMW!$NF$2:$NF$150=AB$1),0),$C135-1966)</f>
        <v>28694.75</v>
      </c>
      <c r="AC135" s="4" cm="1">
        <f t="array" ref="AC135">INDEX(GMW!$A$2:$NF$150,MATCH(1,(GMW!$NE$2:$NE$150=AC$3)*(GMW!$ND$2:$ND$150=AC$4)*(GMW!$NF$2:$NF$150=AC$1),0),$C135-1966)</f>
        <v>32.200000000000003</v>
      </c>
      <c r="AD135" s="4" cm="1">
        <f t="array" ref="AD135">INDEX(GMW!$A$2:$NF$150,MATCH(1,(GMW!$NE$2:$NE$150=AD$3)*(GMW!$ND$2:$ND$150=AD$4)*(GMW!$NF$2:$NF$150=AD$1),0),$C135-1966)</f>
        <v>456140.6</v>
      </c>
      <c r="AE135" s="4" cm="1">
        <f t="array" ref="AE135">INDEX(GMW!$A$2:$NF$150,MATCH(1,(GMW!$NE$2:$NE$150=AE$3)*(GMW!$ND$2:$ND$150=AE$4)*(GMW!$NF$2:$NF$150=AE$1),0),$C135-1966)</f>
        <v>39784.29</v>
      </c>
      <c r="AF135" s="4" cm="1">
        <f t="array" ref="AF135">INDEX(GMW!$A$2:$NF$150,MATCH(1,(GMW!$NE$2:$NE$150=AF$3)*(GMW!$ND$2:$ND$150=AF$4)*(GMW!$NF$2:$NF$150=AF$1),0),$C135-1966)</f>
        <v>2354500</v>
      </c>
      <c r="AG135" s="4" cm="1">
        <f t="array" ref="AG135">INDEX(GMW!$A$2:$NF$150,MATCH(1,(GMW!$NE$2:$NE$150=AG$3)*(GMW!$ND$2:$ND$150=AG$4)*(GMW!$NF$2:$NF$150=AG$1),0),$C135-1966)</f>
        <v>-1.6882109999999999</v>
      </c>
      <c r="AH135" s="4" cm="1">
        <f t="array" ref="AH135">INDEX(GMW!$A$2:$NF$150,MATCH(1,(GMW!$NE$2:$NE$150=AH$3)*(GMW!$ND$2:$ND$150=AH$4)*(GMW!$NF$2:$NF$150=AH$1),0),$C135-1966)</f>
        <v>502702</v>
      </c>
      <c r="AI135" s="4" cm="1">
        <f t="array" ref="AI135">INDEX(GMW!$A$2:$NF$150,MATCH(1,(GMW!$NE$2:$NE$150=AI$3)*(GMW!$ND$2:$ND$150=AI$4)*(GMW!$NF$2:$NF$150=AI$1),0),$C135-1966)</f>
        <v>77.233329999999995</v>
      </c>
      <c r="AJ135" s="4" cm="1">
        <f t="array" ref="AJ135">INDEX(GMW!$A$2:$NF$150,MATCH(1,(GMW!$NE$2:$NE$150=AJ$3)*(GMW!$ND$2:$ND$150=AJ$4)*(GMW!$NF$2:$NF$150=AJ$1),0),$C135-1966)</f>
        <v>134823</v>
      </c>
      <c r="AK135" s="4" cm="1">
        <f t="array" ref="AK135">INDEX(GMW!$A$2:$NF$150,MATCH(1,(GMW!$NE$2:$NE$150=AK$3)*(GMW!$ND$2:$ND$150=AK$4)*(GMW!$NF$2:$NF$150=AK$1),0),$C135-1966)</f>
        <v>62404</v>
      </c>
      <c r="AL135" s="4" cm="1">
        <f t="array" ref="AL135">INDEX(GMW!$A$2:$NF$150,MATCH(1,(GMW!$NE$2:$NE$150=AL$3)*(GMW!$ND$2:$ND$150=AL$4)*(GMW!$NF$2:$NF$150=AL$1),0),$C135-1966)</f>
        <v>142425</v>
      </c>
      <c r="AM135" s="4" cm="1">
        <f t="array" ref="AM135">INDEX(GMW!$A$2:$NF$150,MATCH(1,(GMW!$NE$2:$NE$150=AM$3)*(GMW!$ND$2:$ND$150=AM$4)*(GMW!$NF$2:$NF$150=AM$1),0),$C135-1966)</f>
        <v>82790</v>
      </c>
      <c r="AN135" s="4" cm="1">
        <f t="array" ref="AN135">INDEX(GMW!$A$2:$NF$150,MATCH(1,(GMW!$NE$2:$NE$150=AN$3)*(GMW!$ND$2:$ND$150=AN$4)*(GMW!$NF$2:$NF$150=AN$1),0),$C135-1966)</f>
        <v>85883</v>
      </c>
      <c r="AO135" s="4" cm="1">
        <f t="array" ref="AO135">INDEX(GMW!$A$2:$NF$150,MATCH(1,(GMW!$NE$2:$NE$150=AO$3)*(GMW!$ND$2:$ND$150=AO$4)*(GMW!$NF$2:$NF$150=AO$1),0),$C135-1966)</f>
        <v>42057</v>
      </c>
      <c r="AP135" s="4" cm="1">
        <f t="array" ref="AP135">INDEX(GMW!$A$2:$NF$150,MATCH(1,(GMW!$NE$2:$NE$150=AP$3)*(GMW!$ND$2:$ND$150=AP$4)*(GMW!$NF$2:$NF$150=AP$1),0),$C135-1966)</f>
        <v>491443.7</v>
      </c>
      <c r="AQ135" s="4" cm="1">
        <f t="array" ref="AQ135">INDEX(GMW!$A$2:$NF$150,MATCH(1,(GMW!$NE$2:$NE$150=AQ$3)*(GMW!$ND$2:$ND$150=AQ$4)*(GMW!$NF$2:$NF$150=AQ$1),0),$C135-1966)</f>
        <v>28694.75</v>
      </c>
      <c r="AR135" s="4" cm="1">
        <f t="array" ref="AR135">INDEX(GMW!$A$2:$NF$150,MATCH(1,(GMW!$NE$2:$NE$150=AR$3)*(GMW!$ND$2:$ND$150=AR$4)*(GMW!$NF$2:$NF$150=AR$1),0),$C135-1966)</f>
        <v>32.200000000000003</v>
      </c>
      <c r="AS135" s="4" cm="1">
        <f t="array" ref="AS135">INDEX(GMW!$A$2:$NF$150,MATCH(1,(GMW!$NE$2:$NE$150=AS$3)*(GMW!$ND$2:$ND$150=AS$4)*(GMW!$NF$2:$NF$150=AS$1),0),$C135-1966)</f>
        <v>456140.6</v>
      </c>
      <c r="AT135" s="4" cm="1">
        <f t="array" ref="AT135">INDEX(GMW!$A$2:$NF$150,MATCH(1,(GMW!$NE$2:$NE$150=AT$3)*(GMW!$ND$2:$ND$150=AT$4)*(GMW!$NF$2:$NF$150=AT$1),0),$C135-1966)</f>
        <v>39784.29</v>
      </c>
      <c r="AU135" s="4" cm="1">
        <f t="array" ref="AU135">INDEX(GMW!$A$2:$NF$150,MATCH(1,(GMW!$NE$2:$NE$150=AU$3)*(GMW!$ND$2:$ND$150=AU$4)*(GMW!$NF$2:$NF$150=AU$1),0),$C135-1966)</f>
        <v>2354500</v>
      </c>
      <c r="AV135" s="4" cm="1">
        <f t="array" ref="AV135">INDEX(GMW!$A$2:$NF$150,MATCH(1,(GMW!$NE$2:$NE$150=AV$3)*(GMW!$ND$2:$ND$150=AV$4)*(GMW!$NF$2:$NF$150=AV$1),0),$C135-1966)</f>
        <v>-1.6882109999999999</v>
      </c>
    </row>
    <row r="136" spans="1:48" x14ac:dyDescent="0.25">
      <c r="B136" s="4">
        <f t="shared" si="6"/>
        <v>2005</v>
      </c>
      <c r="C136" s="4">
        <f t="shared" si="7"/>
        <v>2102</v>
      </c>
      <c r="D136" s="4" cm="1">
        <f t="array" ref="D136">INDEX(GMW!$A$2:$NF$150,MATCH(1,(GMW!$NE$2:$NE$150=D$3)*(GMW!$ND$2:$ND$150=D$4)*(GMW!$NF$2:$NF$150=D$1),0),$C136-1966)</f>
        <v>506906</v>
      </c>
      <c r="E136" s="4" cm="1">
        <f t="array" ref="E136">INDEX(GMW!$A$2:$NF$150,MATCH(1,(GMW!$NE$2:$NE$150=E$3)*(GMW!$ND$2:$ND$150=E$4)*(GMW!$NF$2:$NF$150=E$1),0),$C136-1966)</f>
        <v>78</v>
      </c>
      <c r="F136" s="4" cm="1">
        <f t="array" ref="F136">INDEX(GMW!$A$2:$NF$150,MATCH(1,(GMW!$NE$2:$NE$150=F$3)*(GMW!$ND$2:$ND$150=F$4)*(GMW!$NF$2:$NF$150=F$1),0),$C136-1966)</f>
        <v>142803</v>
      </c>
      <c r="G136" s="4" cm="1">
        <f t="array" ref="G136">INDEX(GMW!$A$2:$NF$150,MATCH(1,(GMW!$NE$2:$NE$150=G$3)*(GMW!$ND$2:$ND$150=G$4)*(GMW!$NF$2:$NF$150=G$1),0),$C136-1966)</f>
        <v>69622</v>
      </c>
      <c r="H136" s="4" cm="1">
        <f t="array" ref="H136">INDEX(GMW!$A$2:$NF$150,MATCH(1,(GMW!$NE$2:$NE$150=H$3)*(GMW!$ND$2:$ND$150=H$4)*(GMW!$NF$2:$NF$150=H$1),0),$C136-1966)</f>
        <v>148309</v>
      </c>
      <c r="I136" s="4" cm="1">
        <f t="array" ref="I136">INDEX(GMW!$A$2:$NF$150,MATCH(1,(GMW!$NE$2:$NE$150=I$3)*(GMW!$ND$2:$ND$150=I$4)*(GMW!$NF$2:$NF$150=I$1),0),$C136-1966)</f>
        <v>86229</v>
      </c>
      <c r="J136" s="4" cm="1">
        <f t="array" ref="J136">INDEX(GMW!$A$2:$NF$150,MATCH(1,(GMW!$NE$2:$NE$150=J$3)*(GMW!$ND$2:$ND$150=J$4)*(GMW!$NF$2:$NF$150=J$1),0),$C136-1966)</f>
        <v>87907</v>
      </c>
      <c r="K136" s="4" cm="1">
        <f t="array" ref="K136">INDEX(GMW!$A$2:$NF$150,MATCH(1,(GMW!$NE$2:$NE$150=K$3)*(GMW!$ND$2:$ND$150=K$4)*(GMW!$NF$2:$NF$150=K$1),0),$C136-1966)</f>
        <v>43213.5</v>
      </c>
      <c r="L136" s="4" cm="1">
        <f t="array" ref="L136">INDEX(GMW!$A$2:$NF$150,MATCH(1,(GMW!$NE$2:$NE$150=L$3)*(GMW!$ND$2:$ND$150=L$4)*(GMW!$NF$2:$NF$150=L$1),0),$C136-1966)</f>
        <v>493452.2</v>
      </c>
      <c r="M136" s="4" cm="1">
        <f t="array" ref="M136">INDEX(GMW!$A$2:$NF$150,MATCH(1,(GMW!$NE$2:$NE$150=M$3)*(GMW!$ND$2:$ND$150=M$4)*(GMW!$NF$2:$NF$150=M$1),0),$C136-1966)</f>
        <v>28727.05</v>
      </c>
      <c r="N136" s="4" cm="1">
        <f t="array" ref="N136">INDEX(GMW!$A$2:$NF$150,MATCH(1,(GMW!$NE$2:$NE$150=N$3)*(GMW!$ND$2:$ND$150=N$4)*(GMW!$NF$2:$NF$150=N$1),0),$C136-1966)</f>
        <v>32.1</v>
      </c>
      <c r="O136" s="4" cm="1">
        <f t="array" ref="O136">INDEX(GMW!$A$2:$NF$150,MATCH(1,(GMW!$NE$2:$NE$150=O$3)*(GMW!$ND$2:$ND$150=O$4)*(GMW!$NF$2:$NF$150=O$1),0),$C136-1966)</f>
        <v>460499.9</v>
      </c>
      <c r="P136" s="4" cm="1">
        <f t="array" ref="P136">INDEX(GMW!$A$2:$NF$150,MATCH(1,(GMW!$NE$2:$NE$150=P$3)*(GMW!$ND$2:$ND$150=P$4)*(GMW!$NF$2:$NF$150=P$1),0),$C136-1966)</f>
        <v>39891.69</v>
      </c>
      <c r="Q136" s="4" cm="1">
        <f t="array" ref="Q136">INDEX(GMW!$A$2:$NF$150,MATCH(1,(GMW!$NE$2:$NE$150=Q$3)*(GMW!$ND$2:$ND$150=Q$4)*(GMW!$NF$2:$NF$150=Q$1),0),$C136-1966)</f>
        <v>2370000</v>
      </c>
      <c r="R136" s="4" cm="1">
        <f t="array" ref="R136">INDEX(GMW!$A$2:$NF$150,MATCH(1,(GMW!$NE$2:$NE$150=R$3)*(GMW!$ND$2:$ND$150=R$4)*(GMW!$NF$2:$NF$150=R$1),0),$C136-1966)</f>
        <v>-1.6871989999999999</v>
      </c>
      <c r="S136" s="4" cm="1">
        <f t="array" ref="S136">INDEX(GMW!$A$2:$NF$150,MATCH(1,(GMW!$NE$2:$NE$150=S$3)*(GMW!$ND$2:$ND$150=S$4)*(GMW!$NF$2:$NF$150=S$1),0),$C136-1966)</f>
        <v>506906</v>
      </c>
      <c r="T136" s="4" cm="1">
        <f t="array" ref="T136">INDEX(GMW!$A$2:$NF$150,MATCH(1,(GMW!$NE$2:$NE$150=T$3)*(GMW!$ND$2:$ND$150=T$4)*(GMW!$NF$2:$NF$150=T$1),0),$C136-1966)</f>
        <v>78</v>
      </c>
      <c r="U136" s="4" cm="1">
        <f t="array" ref="U136">INDEX(GMW!$A$2:$NF$150,MATCH(1,(GMW!$NE$2:$NE$150=U$3)*(GMW!$ND$2:$ND$150=U$4)*(GMW!$NF$2:$NF$150=U$1),0),$C136-1966)</f>
        <v>142803</v>
      </c>
      <c r="V136" s="4" cm="1">
        <f t="array" ref="V136">INDEX(GMW!$A$2:$NF$150,MATCH(1,(GMW!$NE$2:$NE$150=V$3)*(GMW!$ND$2:$ND$150=V$4)*(GMW!$NF$2:$NF$150=V$1),0),$C136-1966)</f>
        <v>69622</v>
      </c>
      <c r="W136" s="4" cm="1">
        <f t="array" ref="W136">INDEX(GMW!$A$2:$NF$150,MATCH(1,(GMW!$NE$2:$NE$150=W$3)*(GMW!$ND$2:$ND$150=W$4)*(GMW!$NF$2:$NF$150=W$1),0),$C136-1966)</f>
        <v>148309</v>
      </c>
      <c r="X136" s="4" cm="1">
        <f t="array" ref="X136">INDEX(GMW!$A$2:$NF$150,MATCH(1,(GMW!$NE$2:$NE$150=X$3)*(GMW!$ND$2:$ND$150=X$4)*(GMW!$NF$2:$NF$150=X$1),0),$C136-1966)</f>
        <v>86229</v>
      </c>
      <c r="Y136" s="4" cm="1">
        <f t="array" ref="Y136">INDEX(GMW!$A$2:$NF$150,MATCH(1,(GMW!$NE$2:$NE$150=Y$3)*(GMW!$ND$2:$ND$150=Y$4)*(GMW!$NF$2:$NF$150=Y$1),0),$C136-1966)</f>
        <v>87907</v>
      </c>
      <c r="Z136" s="4" cm="1">
        <f t="array" ref="Z136">INDEX(GMW!$A$2:$NF$150,MATCH(1,(GMW!$NE$2:$NE$150=Z$3)*(GMW!$ND$2:$ND$150=Z$4)*(GMW!$NF$2:$NF$150=Z$1),0),$C136-1966)</f>
        <v>43213.5</v>
      </c>
      <c r="AA136" s="4" cm="1">
        <f t="array" ref="AA136">INDEX(GMW!$A$2:$NF$150,MATCH(1,(GMW!$NE$2:$NE$150=AA$3)*(GMW!$ND$2:$ND$150=AA$4)*(GMW!$NF$2:$NF$150=AA$1),0),$C136-1966)</f>
        <v>493452.2</v>
      </c>
      <c r="AB136" s="4" cm="1">
        <f t="array" ref="AB136">INDEX(GMW!$A$2:$NF$150,MATCH(1,(GMW!$NE$2:$NE$150=AB$3)*(GMW!$ND$2:$ND$150=AB$4)*(GMW!$NF$2:$NF$150=AB$1),0),$C136-1966)</f>
        <v>28727.05</v>
      </c>
      <c r="AC136" s="4" cm="1">
        <f t="array" ref="AC136">INDEX(GMW!$A$2:$NF$150,MATCH(1,(GMW!$NE$2:$NE$150=AC$3)*(GMW!$ND$2:$ND$150=AC$4)*(GMW!$NF$2:$NF$150=AC$1),0),$C136-1966)</f>
        <v>32.1</v>
      </c>
      <c r="AD136" s="4" cm="1">
        <f t="array" ref="AD136">INDEX(GMW!$A$2:$NF$150,MATCH(1,(GMW!$NE$2:$NE$150=AD$3)*(GMW!$ND$2:$ND$150=AD$4)*(GMW!$NF$2:$NF$150=AD$1),0),$C136-1966)</f>
        <v>460499.9</v>
      </c>
      <c r="AE136" s="4" cm="1">
        <f t="array" ref="AE136">INDEX(GMW!$A$2:$NF$150,MATCH(1,(GMW!$NE$2:$NE$150=AE$3)*(GMW!$ND$2:$ND$150=AE$4)*(GMW!$NF$2:$NF$150=AE$1),0),$C136-1966)</f>
        <v>39891.69</v>
      </c>
      <c r="AF136" s="4" cm="1">
        <f t="array" ref="AF136">INDEX(GMW!$A$2:$NF$150,MATCH(1,(GMW!$NE$2:$NE$150=AF$3)*(GMW!$ND$2:$ND$150=AF$4)*(GMW!$NF$2:$NF$150=AF$1),0),$C136-1966)</f>
        <v>2370000</v>
      </c>
      <c r="AG136" s="4" cm="1">
        <f t="array" ref="AG136">INDEX(GMW!$A$2:$NF$150,MATCH(1,(GMW!$NE$2:$NE$150=AG$3)*(GMW!$ND$2:$ND$150=AG$4)*(GMW!$NF$2:$NF$150=AG$1),0),$C136-1966)</f>
        <v>-1.6871989999999999</v>
      </c>
      <c r="AH136" s="4" cm="1">
        <f t="array" ref="AH136">INDEX(GMW!$A$2:$NF$150,MATCH(1,(GMW!$NE$2:$NE$150=AH$3)*(GMW!$ND$2:$ND$150=AH$4)*(GMW!$NF$2:$NF$150=AH$1),0),$C136-1966)</f>
        <v>506906</v>
      </c>
      <c r="AI136" s="4" cm="1">
        <f t="array" ref="AI136">INDEX(GMW!$A$2:$NF$150,MATCH(1,(GMW!$NE$2:$NE$150=AI$3)*(GMW!$ND$2:$ND$150=AI$4)*(GMW!$NF$2:$NF$150=AI$1),0),$C136-1966)</f>
        <v>78</v>
      </c>
      <c r="AJ136" s="4" cm="1">
        <f t="array" ref="AJ136">INDEX(GMW!$A$2:$NF$150,MATCH(1,(GMW!$NE$2:$NE$150=AJ$3)*(GMW!$ND$2:$ND$150=AJ$4)*(GMW!$NF$2:$NF$150=AJ$1),0),$C136-1966)</f>
        <v>142803</v>
      </c>
      <c r="AK136" s="4" cm="1">
        <f t="array" ref="AK136">INDEX(GMW!$A$2:$NF$150,MATCH(1,(GMW!$NE$2:$NE$150=AK$3)*(GMW!$ND$2:$ND$150=AK$4)*(GMW!$NF$2:$NF$150=AK$1),0),$C136-1966)</f>
        <v>69622</v>
      </c>
      <c r="AL136" s="4" cm="1">
        <f t="array" ref="AL136">INDEX(GMW!$A$2:$NF$150,MATCH(1,(GMW!$NE$2:$NE$150=AL$3)*(GMW!$ND$2:$ND$150=AL$4)*(GMW!$NF$2:$NF$150=AL$1),0),$C136-1966)</f>
        <v>148309</v>
      </c>
      <c r="AM136" s="4" cm="1">
        <f t="array" ref="AM136">INDEX(GMW!$A$2:$NF$150,MATCH(1,(GMW!$NE$2:$NE$150=AM$3)*(GMW!$ND$2:$ND$150=AM$4)*(GMW!$NF$2:$NF$150=AM$1),0),$C136-1966)</f>
        <v>86229</v>
      </c>
      <c r="AN136" s="4" cm="1">
        <f t="array" ref="AN136">INDEX(GMW!$A$2:$NF$150,MATCH(1,(GMW!$NE$2:$NE$150=AN$3)*(GMW!$ND$2:$ND$150=AN$4)*(GMW!$NF$2:$NF$150=AN$1),0),$C136-1966)</f>
        <v>87907</v>
      </c>
      <c r="AO136" s="4" cm="1">
        <f t="array" ref="AO136">INDEX(GMW!$A$2:$NF$150,MATCH(1,(GMW!$NE$2:$NE$150=AO$3)*(GMW!$ND$2:$ND$150=AO$4)*(GMW!$NF$2:$NF$150=AO$1),0),$C136-1966)</f>
        <v>43213.5</v>
      </c>
      <c r="AP136" s="4" cm="1">
        <f t="array" ref="AP136">INDEX(GMW!$A$2:$NF$150,MATCH(1,(GMW!$NE$2:$NE$150=AP$3)*(GMW!$ND$2:$ND$150=AP$4)*(GMW!$NF$2:$NF$150=AP$1),0),$C136-1966)</f>
        <v>493452.2</v>
      </c>
      <c r="AQ136" s="4" cm="1">
        <f t="array" ref="AQ136">INDEX(GMW!$A$2:$NF$150,MATCH(1,(GMW!$NE$2:$NE$150=AQ$3)*(GMW!$ND$2:$ND$150=AQ$4)*(GMW!$NF$2:$NF$150=AQ$1),0),$C136-1966)</f>
        <v>28727.05</v>
      </c>
      <c r="AR136" s="4" cm="1">
        <f t="array" ref="AR136">INDEX(GMW!$A$2:$NF$150,MATCH(1,(GMW!$NE$2:$NE$150=AR$3)*(GMW!$ND$2:$ND$150=AR$4)*(GMW!$NF$2:$NF$150=AR$1),0),$C136-1966)</f>
        <v>32.1</v>
      </c>
      <c r="AS136" s="4" cm="1">
        <f t="array" ref="AS136">INDEX(GMW!$A$2:$NF$150,MATCH(1,(GMW!$NE$2:$NE$150=AS$3)*(GMW!$ND$2:$ND$150=AS$4)*(GMW!$NF$2:$NF$150=AS$1),0),$C136-1966)</f>
        <v>460499.9</v>
      </c>
      <c r="AT136" s="4" cm="1">
        <f t="array" ref="AT136">INDEX(GMW!$A$2:$NF$150,MATCH(1,(GMW!$NE$2:$NE$150=AT$3)*(GMW!$ND$2:$ND$150=AT$4)*(GMW!$NF$2:$NF$150=AT$1),0),$C136-1966)</f>
        <v>39891.69</v>
      </c>
      <c r="AU136" s="4" cm="1">
        <f t="array" ref="AU136">INDEX(GMW!$A$2:$NF$150,MATCH(1,(GMW!$NE$2:$NE$150=AU$3)*(GMW!$ND$2:$ND$150=AU$4)*(GMW!$NF$2:$NF$150=AU$1),0),$C136-1966)</f>
        <v>2370000</v>
      </c>
      <c r="AV136" s="4" cm="1">
        <f t="array" ref="AV136">INDEX(GMW!$A$2:$NF$150,MATCH(1,(GMW!$NE$2:$NE$150=AV$3)*(GMW!$ND$2:$ND$150=AV$4)*(GMW!$NF$2:$NF$150=AV$1),0),$C136-1966)</f>
        <v>-1.6871989999999999</v>
      </c>
    </row>
    <row r="137" spans="1:48" x14ac:dyDescent="0.25">
      <c r="B137" s="4">
        <f t="shared" si="6"/>
        <v>2005</v>
      </c>
      <c r="C137" s="4">
        <f t="shared" si="7"/>
        <v>2103</v>
      </c>
      <c r="D137" s="4" cm="1">
        <f t="array" ref="D137">INDEX(GMW!$A$2:$NF$150,MATCH(1,(GMW!$NE$2:$NE$150=D$3)*(GMW!$ND$2:$ND$150=D$4)*(GMW!$NF$2:$NF$150=D$1),0),$C137-1966)</f>
        <v>511132</v>
      </c>
      <c r="E137" s="4" cm="1">
        <f t="array" ref="E137">INDEX(GMW!$A$2:$NF$150,MATCH(1,(GMW!$NE$2:$NE$150=E$3)*(GMW!$ND$2:$ND$150=E$4)*(GMW!$NF$2:$NF$150=E$1),0),$C137-1966)</f>
        <v>78.400000000000006</v>
      </c>
      <c r="F137" s="4" cm="1">
        <f t="array" ref="F137">INDEX(GMW!$A$2:$NF$150,MATCH(1,(GMW!$NE$2:$NE$150=F$3)*(GMW!$ND$2:$ND$150=F$4)*(GMW!$NF$2:$NF$150=F$1),0),$C137-1966)</f>
        <v>144425</v>
      </c>
      <c r="G137" s="4" cm="1">
        <f t="array" ref="G137">INDEX(GMW!$A$2:$NF$150,MATCH(1,(GMW!$NE$2:$NE$150=G$3)*(GMW!$ND$2:$ND$150=G$4)*(GMW!$NF$2:$NF$150=G$1),0),$C137-1966)</f>
        <v>74283</v>
      </c>
      <c r="H137" s="4" cm="1">
        <f t="array" ref="H137">INDEX(GMW!$A$2:$NF$150,MATCH(1,(GMW!$NE$2:$NE$150=H$3)*(GMW!$ND$2:$ND$150=H$4)*(GMW!$NF$2:$NF$150=H$1),0),$C137-1966)</f>
        <v>149958</v>
      </c>
      <c r="I137" s="4" cm="1">
        <f t="array" ref="I137">INDEX(GMW!$A$2:$NF$150,MATCH(1,(GMW!$NE$2:$NE$150=I$3)*(GMW!$ND$2:$ND$150=I$4)*(GMW!$NF$2:$NF$150=I$1),0),$C137-1966)</f>
        <v>88825</v>
      </c>
      <c r="J137" s="4" cm="1">
        <f t="array" ref="J137">INDEX(GMW!$A$2:$NF$150,MATCH(1,(GMW!$NE$2:$NE$150=J$3)*(GMW!$ND$2:$ND$150=J$4)*(GMW!$NF$2:$NF$150=J$1),0),$C137-1966)</f>
        <v>87059</v>
      </c>
      <c r="K137" s="4" cm="1">
        <f t="array" ref="K137">INDEX(GMW!$A$2:$NF$150,MATCH(1,(GMW!$NE$2:$NE$150=K$3)*(GMW!$ND$2:$ND$150=K$4)*(GMW!$NF$2:$NF$150=K$1),0),$C137-1966)</f>
        <v>44370</v>
      </c>
      <c r="L137" s="4" cm="1">
        <f t="array" ref="L137">INDEX(GMW!$A$2:$NF$150,MATCH(1,(GMW!$NE$2:$NE$150=L$3)*(GMW!$ND$2:$ND$150=L$4)*(GMW!$NF$2:$NF$150=L$1),0),$C137-1966)</f>
        <v>498290.1</v>
      </c>
      <c r="M137" s="4" cm="1">
        <f t="array" ref="M137">INDEX(GMW!$A$2:$NF$150,MATCH(1,(GMW!$NE$2:$NE$150=M$3)*(GMW!$ND$2:$ND$150=M$4)*(GMW!$NF$2:$NF$150=M$1),0),$C137-1966)</f>
        <v>28846.75</v>
      </c>
      <c r="N137" s="4" cm="1">
        <f t="array" ref="N137">INDEX(GMW!$A$2:$NF$150,MATCH(1,(GMW!$NE$2:$NE$150=N$3)*(GMW!$ND$2:$ND$150=N$4)*(GMW!$NF$2:$NF$150=N$1),0),$C137-1966)</f>
        <v>32.200000000000003</v>
      </c>
      <c r="O137" s="4" cm="1">
        <f t="array" ref="O137">INDEX(GMW!$A$2:$NF$150,MATCH(1,(GMW!$NE$2:$NE$150=O$3)*(GMW!$ND$2:$ND$150=O$4)*(GMW!$NF$2:$NF$150=O$1),0),$C137-1966)</f>
        <v>464348.4</v>
      </c>
      <c r="P137" s="4" cm="1">
        <f t="array" ref="P137">INDEX(GMW!$A$2:$NF$150,MATCH(1,(GMW!$NE$2:$NE$150=P$3)*(GMW!$ND$2:$ND$150=P$4)*(GMW!$NF$2:$NF$150=P$1),0),$C137-1966)</f>
        <v>39994.71</v>
      </c>
      <c r="Q137" s="4" cm="1">
        <f t="array" ref="Q137">INDEX(GMW!$A$2:$NF$150,MATCH(1,(GMW!$NE$2:$NE$150=Q$3)*(GMW!$ND$2:$ND$150=Q$4)*(GMW!$NF$2:$NF$150=Q$1),0),$C137-1966)</f>
        <v>2385500</v>
      </c>
      <c r="R137" s="4" cm="1">
        <f t="array" ref="R137">INDEX(GMW!$A$2:$NF$150,MATCH(1,(GMW!$NE$2:$NE$150=R$3)*(GMW!$ND$2:$ND$150=R$4)*(GMW!$NF$2:$NF$150=R$1),0),$C137-1966)</f>
        <v>-1.686186</v>
      </c>
      <c r="S137" s="4" cm="1">
        <f t="array" ref="S137">INDEX(GMW!$A$2:$NF$150,MATCH(1,(GMW!$NE$2:$NE$150=S$3)*(GMW!$ND$2:$ND$150=S$4)*(GMW!$NF$2:$NF$150=S$1),0),$C137-1966)</f>
        <v>511132</v>
      </c>
      <c r="T137" s="4" cm="1">
        <f t="array" ref="T137">INDEX(GMW!$A$2:$NF$150,MATCH(1,(GMW!$NE$2:$NE$150=T$3)*(GMW!$ND$2:$ND$150=T$4)*(GMW!$NF$2:$NF$150=T$1),0),$C137-1966)</f>
        <v>78.400000000000006</v>
      </c>
      <c r="U137" s="4" cm="1">
        <f t="array" ref="U137">INDEX(GMW!$A$2:$NF$150,MATCH(1,(GMW!$NE$2:$NE$150=U$3)*(GMW!$ND$2:$ND$150=U$4)*(GMW!$NF$2:$NF$150=U$1),0),$C137-1966)</f>
        <v>144425</v>
      </c>
      <c r="V137" s="4" cm="1">
        <f t="array" ref="V137">INDEX(GMW!$A$2:$NF$150,MATCH(1,(GMW!$NE$2:$NE$150=V$3)*(GMW!$ND$2:$ND$150=V$4)*(GMW!$NF$2:$NF$150=V$1),0),$C137-1966)</f>
        <v>74283</v>
      </c>
      <c r="W137" s="4" cm="1">
        <f t="array" ref="W137">INDEX(GMW!$A$2:$NF$150,MATCH(1,(GMW!$NE$2:$NE$150=W$3)*(GMW!$ND$2:$ND$150=W$4)*(GMW!$NF$2:$NF$150=W$1),0),$C137-1966)</f>
        <v>149958</v>
      </c>
      <c r="X137" s="4" cm="1">
        <f t="array" ref="X137">INDEX(GMW!$A$2:$NF$150,MATCH(1,(GMW!$NE$2:$NE$150=X$3)*(GMW!$ND$2:$ND$150=X$4)*(GMW!$NF$2:$NF$150=X$1),0),$C137-1966)</f>
        <v>88825</v>
      </c>
      <c r="Y137" s="4" cm="1">
        <f t="array" ref="Y137">INDEX(GMW!$A$2:$NF$150,MATCH(1,(GMW!$NE$2:$NE$150=Y$3)*(GMW!$ND$2:$ND$150=Y$4)*(GMW!$NF$2:$NF$150=Y$1),0),$C137-1966)</f>
        <v>87059</v>
      </c>
      <c r="Z137" s="4" cm="1">
        <f t="array" ref="Z137">INDEX(GMW!$A$2:$NF$150,MATCH(1,(GMW!$NE$2:$NE$150=Z$3)*(GMW!$ND$2:$ND$150=Z$4)*(GMW!$NF$2:$NF$150=Z$1),0),$C137-1966)</f>
        <v>44370</v>
      </c>
      <c r="AA137" s="4" cm="1">
        <f t="array" ref="AA137">INDEX(GMW!$A$2:$NF$150,MATCH(1,(GMW!$NE$2:$NE$150=AA$3)*(GMW!$ND$2:$ND$150=AA$4)*(GMW!$NF$2:$NF$150=AA$1),0),$C137-1966)</f>
        <v>498290.1</v>
      </c>
      <c r="AB137" s="4" cm="1">
        <f t="array" ref="AB137">INDEX(GMW!$A$2:$NF$150,MATCH(1,(GMW!$NE$2:$NE$150=AB$3)*(GMW!$ND$2:$ND$150=AB$4)*(GMW!$NF$2:$NF$150=AB$1),0),$C137-1966)</f>
        <v>28846.75</v>
      </c>
      <c r="AC137" s="4" cm="1">
        <f t="array" ref="AC137">INDEX(GMW!$A$2:$NF$150,MATCH(1,(GMW!$NE$2:$NE$150=AC$3)*(GMW!$ND$2:$ND$150=AC$4)*(GMW!$NF$2:$NF$150=AC$1),0),$C137-1966)</f>
        <v>32.200000000000003</v>
      </c>
      <c r="AD137" s="4" cm="1">
        <f t="array" ref="AD137">INDEX(GMW!$A$2:$NF$150,MATCH(1,(GMW!$NE$2:$NE$150=AD$3)*(GMW!$ND$2:$ND$150=AD$4)*(GMW!$NF$2:$NF$150=AD$1),0),$C137-1966)</f>
        <v>464348.4</v>
      </c>
      <c r="AE137" s="4" cm="1">
        <f t="array" ref="AE137">INDEX(GMW!$A$2:$NF$150,MATCH(1,(GMW!$NE$2:$NE$150=AE$3)*(GMW!$ND$2:$ND$150=AE$4)*(GMW!$NF$2:$NF$150=AE$1),0),$C137-1966)</f>
        <v>39994.71</v>
      </c>
      <c r="AF137" s="4" cm="1">
        <f t="array" ref="AF137">INDEX(GMW!$A$2:$NF$150,MATCH(1,(GMW!$NE$2:$NE$150=AF$3)*(GMW!$ND$2:$ND$150=AF$4)*(GMW!$NF$2:$NF$150=AF$1),0),$C137-1966)</f>
        <v>2385500</v>
      </c>
      <c r="AG137" s="4" cm="1">
        <f t="array" ref="AG137">INDEX(GMW!$A$2:$NF$150,MATCH(1,(GMW!$NE$2:$NE$150=AG$3)*(GMW!$ND$2:$ND$150=AG$4)*(GMW!$NF$2:$NF$150=AG$1),0),$C137-1966)</f>
        <v>-1.686186</v>
      </c>
      <c r="AH137" s="4" cm="1">
        <f t="array" ref="AH137">INDEX(GMW!$A$2:$NF$150,MATCH(1,(GMW!$NE$2:$NE$150=AH$3)*(GMW!$ND$2:$ND$150=AH$4)*(GMW!$NF$2:$NF$150=AH$1),0),$C137-1966)</f>
        <v>511132</v>
      </c>
      <c r="AI137" s="4" cm="1">
        <f t="array" ref="AI137">INDEX(GMW!$A$2:$NF$150,MATCH(1,(GMW!$NE$2:$NE$150=AI$3)*(GMW!$ND$2:$ND$150=AI$4)*(GMW!$NF$2:$NF$150=AI$1),0),$C137-1966)</f>
        <v>78.400000000000006</v>
      </c>
      <c r="AJ137" s="4" cm="1">
        <f t="array" ref="AJ137">INDEX(GMW!$A$2:$NF$150,MATCH(1,(GMW!$NE$2:$NE$150=AJ$3)*(GMW!$ND$2:$ND$150=AJ$4)*(GMW!$NF$2:$NF$150=AJ$1),0),$C137-1966)</f>
        <v>144425</v>
      </c>
      <c r="AK137" s="4" cm="1">
        <f t="array" ref="AK137">INDEX(GMW!$A$2:$NF$150,MATCH(1,(GMW!$NE$2:$NE$150=AK$3)*(GMW!$ND$2:$ND$150=AK$4)*(GMW!$NF$2:$NF$150=AK$1),0),$C137-1966)</f>
        <v>74283</v>
      </c>
      <c r="AL137" s="4" cm="1">
        <f t="array" ref="AL137">INDEX(GMW!$A$2:$NF$150,MATCH(1,(GMW!$NE$2:$NE$150=AL$3)*(GMW!$ND$2:$ND$150=AL$4)*(GMW!$NF$2:$NF$150=AL$1),0),$C137-1966)</f>
        <v>149958</v>
      </c>
      <c r="AM137" s="4" cm="1">
        <f t="array" ref="AM137">INDEX(GMW!$A$2:$NF$150,MATCH(1,(GMW!$NE$2:$NE$150=AM$3)*(GMW!$ND$2:$ND$150=AM$4)*(GMW!$NF$2:$NF$150=AM$1),0),$C137-1966)</f>
        <v>88825</v>
      </c>
      <c r="AN137" s="4" cm="1">
        <f t="array" ref="AN137">INDEX(GMW!$A$2:$NF$150,MATCH(1,(GMW!$NE$2:$NE$150=AN$3)*(GMW!$ND$2:$ND$150=AN$4)*(GMW!$NF$2:$NF$150=AN$1),0),$C137-1966)</f>
        <v>87059</v>
      </c>
      <c r="AO137" s="4" cm="1">
        <f t="array" ref="AO137">INDEX(GMW!$A$2:$NF$150,MATCH(1,(GMW!$NE$2:$NE$150=AO$3)*(GMW!$ND$2:$ND$150=AO$4)*(GMW!$NF$2:$NF$150=AO$1),0),$C137-1966)</f>
        <v>44370</v>
      </c>
      <c r="AP137" s="4" cm="1">
        <f t="array" ref="AP137">INDEX(GMW!$A$2:$NF$150,MATCH(1,(GMW!$NE$2:$NE$150=AP$3)*(GMW!$ND$2:$ND$150=AP$4)*(GMW!$NF$2:$NF$150=AP$1),0),$C137-1966)</f>
        <v>498290.1</v>
      </c>
      <c r="AQ137" s="4" cm="1">
        <f t="array" ref="AQ137">INDEX(GMW!$A$2:$NF$150,MATCH(1,(GMW!$NE$2:$NE$150=AQ$3)*(GMW!$ND$2:$ND$150=AQ$4)*(GMW!$NF$2:$NF$150=AQ$1),0),$C137-1966)</f>
        <v>28846.75</v>
      </c>
      <c r="AR137" s="4" cm="1">
        <f t="array" ref="AR137">INDEX(GMW!$A$2:$NF$150,MATCH(1,(GMW!$NE$2:$NE$150=AR$3)*(GMW!$ND$2:$ND$150=AR$4)*(GMW!$NF$2:$NF$150=AR$1),0),$C137-1966)</f>
        <v>32.200000000000003</v>
      </c>
      <c r="AS137" s="4" cm="1">
        <f t="array" ref="AS137">INDEX(GMW!$A$2:$NF$150,MATCH(1,(GMW!$NE$2:$NE$150=AS$3)*(GMW!$ND$2:$ND$150=AS$4)*(GMW!$NF$2:$NF$150=AS$1),0),$C137-1966)</f>
        <v>464348.4</v>
      </c>
      <c r="AT137" s="4" cm="1">
        <f t="array" ref="AT137">INDEX(GMW!$A$2:$NF$150,MATCH(1,(GMW!$NE$2:$NE$150=AT$3)*(GMW!$ND$2:$ND$150=AT$4)*(GMW!$NF$2:$NF$150=AT$1),0),$C137-1966)</f>
        <v>39994.71</v>
      </c>
      <c r="AU137" s="4" cm="1">
        <f t="array" ref="AU137">INDEX(GMW!$A$2:$NF$150,MATCH(1,(GMW!$NE$2:$NE$150=AU$3)*(GMW!$ND$2:$ND$150=AU$4)*(GMW!$NF$2:$NF$150=AU$1),0),$C137-1966)</f>
        <v>2385500</v>
      </c>
      <c r="AV137" s="4" cm="1">
        <f t="array" ref="AV137">INDEX(GMW!$A$2:$NF$150,MATCH(1,(GMW!$NE$2:$NE$150=AV$3)*(GMW!$ND$2:$ND$150=AV$4)*(GMW!$NF$2:$NF$150=AV$1),0),$C137-1966)</f>
        <v>-1.686186</v>
      </c>
    </row>
    <row r="138" spans="1:48" x14ac:dyDescent="0.25">
      <c r="B138" s="4">
        <f t="shared" si="6"/>
        <v>2005</v>
      </c>
      <c r="C138" s="4">
        <f t="shared" si="7"/>
        <v>2104</v>
      </c>
      <c r="D138" s="4" cm="1">
        <f t="array" ref="D138">INDEX(GMW!$A$2:$NF$150,MATCH(1,(GMW!$NE$2:$NE$150=D$3)*(GMW!$ND$2:$ND$150=D$4)*(GMW!$NF$2:$NF$150=D$1),0),$C138-1966)</f>
        <v>515935</v>
      </c>
      <c r="E138" s="4" cm="1">
        <f t="array" ref="E138">INDEX(GMW!$A$2:$NF$150,MATCH(1,(GMW!$NE$2:$NE$150=E$3)*(GMW!$ND$2:$ND$150=E$4)*(GMW!$NF$2:$NF$150=E$1),0),$C138-1966)</f>
        <v>78.766670000000005</v>
      </c>
      <c r="F138" s="4" cm="1">
        <f t="array" ref="F138">INDEX(GMW!$A$2:$NF$150,MATCH(1,(GMW!$NE$2:$NE$150=F$3)*(GMW!$ND$2:$ND$150=F$4)*(GMW!$NF$2:$NF$150=F$1),0),$C138-1966)</f>
        <v>150107</v>
      </c>
      <c r="G138" s="4" cm="1">
        <f t="array" ref="G138">INDEX(GMW!$A$2:$NF$150,MATCH(1,(GMW!$NE$2:$NE$150=G$3)*(GMW!$ND$2:$ND$150=G$4)*(GMW!$NF$2:$NF$150=G$1),0),$C138-1966)</f>
        <v>76075</v>
      </c>
      <c r="H138" s="4" cm="1">
        <f t="array" ref="H138">INDEX(GMW!$A$2:$NF$150,MATCH(1,(GMW!$NE$2:$NE$150=H$3)*(GMW!$ND$2:$ND$150=H$4)*(GMW!$NF$2:$NF$150=H$1),0),$C138-1966)</f>
        <v>153800</v>
      </c>
      <c r="I138" s="4" cm="1">
        <f t="array" ref="I138">INDEX(GMW!$A$2:$NF$150,MATCH(1,(GMW!$NE$2:$NE$150=I$3)*(GMW!$ND$2:$ND$150=I$4)*(GMW!$NF$2:$NF$150=I$1),0),$C138-1966)</f>
        <v>91515</v>
      </c>
      <c r="J138" s="4" cm="1">
        <f t="array" ref="J138">INDEX(GMW!$A$2:$NF$150,MATCH(1,(GMW!$NE$2:$NE$150=J$3)*(GMW!$ND$2:$ND$150=J$4)*(GMW!$NF$2:$NF$150=J$1),0),$C138-1966)</f>
        <v>86618</v>
      </c>
      <c r="K138" s="4" cm="1">
        <f t="array" ref="K138">INDEX(GMW!$A$2:$NF$150,MATCH(1,(GMW!$NE$2:$NE$150=K$3)*(GMW!$ND$2:$ND$150=K$4)*(GMW!$NF$2:$NF$150=K$1),0),$C138-1966)</f>
        <v>44148</v>
      </c>
      <c r="L138" s="4" cm="1">
        <f t="array" ref="L138">INDEX(GMW!$A$2:$NF$150,MATCH(1,(GMW!$NE$2:$NE$150=L$3)*(GMW!$ND$2:$ND$150=L$4)*(GMW!$NF$2:$NF$150=L$1),0),$C138-1966)</f>
        <v>501515.9</v>
      </c>
      <c r="M138" s="4" cm="1">
        <f t="array" ref="M138">INDEX(GMW!$A$2:$NF$150,MATCH(1,(GMW!$NE$2:$NE$150=M$3)*(GMW!$ND$2:$ND$150=M$4)*(GMW!$NF$2:$NF$150=M$1),0),$C138-1966)</f>
        <v>28924.65</v>
      </c>
      <c r="N138" s="4" cm="1">
        <f t="array" ref="N138">INDEX(GMW!$A$2:$NF$150,MATCH(1,(GMW!$NE$2:$NE$150=N$3)*(GMW!$ND$2:$ND$150=N$4)*(GMW!$NF$2:$NF$150=N$1),0),$C138-1966)</f>
        <v>32.200000000000003</v>
      </c>
      <c r="O138" s="4" cm="1">
        <f t="array" ref="O138">INDEX(GMW!$A$2:$NF$150,MATCH(1,(GMW!$NE$2:$NE$150=O$3)*(GMW!$ND$2:$ND$150=O$4)*(GMW!$NF$2:$NF$150=O$1),0),$C138-1966)</f>
        <v>467732.7</v>
      </c>
      <c r="P138" s="4" cm="1">
        <f t="array" ref="P138">INDEX(GMW!$A$2:$NF$150,MATCH(1,(GMW!$NE$2:$NE$150=P$3)*(GMW!$ND$2:$ND$150=P$4)*(GMW!$NF$2:$NF$150=P$1),0),$C138-1966)</f>
        <v>40097.72</v>
      </c>
      <c r="Q138" s="4" cm="1">
        <f t="array" ref="Q138">INDEX(GMW!$A$2:$NF$150,MATCH(1,(GMW!$NE$2:$NE$150=Q$3)*(GMW!$ND$2:$ND$150=Q$4)*(GMW!$NF$2:$NF$150=Q$1),0),$C138-1966)</f>
        <v>2401000</v>
      </c>
      <c r="R138" s="4" cm="1">
        <f t="array" ref="R138">INDEX(GMW!$A$2:$NF$150,MATCH(1,(GMW!$NE$2:$NE$150=R$3)*(GMW!$ND$2:$ND$150=R$4)*(GMW!$NF$2:$NF$150=R$1),0),$C138-1966)</f>
        <v>-1.6851750000000001</v>
      </c>
      <c r="S138" s="4" cm="1">
        <f t="array" ref="S138">INDEX(GMW!$A$2:$NF$150,MATCH(1,(GMW!$NE$2:$NE$150=S$3)*(GMW!$ND$2:$ND$150=S$4)*(GMW!$NF$2:$NF$150=S$1),0),$C138-1966)</f>
        <v>515935</v>
      </c>
      <c r="T138" s="4" cm="1">
        <f t="array" ref="T138">INDEX(GMW!$A$2:$NF$150,MATCH(1,(GMW!$NE$2:$NE$150=T$3)*(GMW!$ND$2:$ND$150=T$4)*(GMW!$NF$2:$NF$150=T$1),0),$C138-1966)</f>
        <v>78.766670000000005</v>
      </c>
      <c r="U138" s="4" cm="1">
        <f t="array" ref="U138">INDEX(GMW!$A$2:$NF$150,MATCH(1,(GMW!$NE$2:$NE$150=U$3)*(GMW!$ND$2:$ND$150=U$4)*(GMW!$NF$2:$NF$150=U$1),0),$C138-1966)</f>
        <v>150107</v>
      </c>
      <c r="V138" s="4" cm="1">
        <f t="array" ref="V138">INDEX(GMW!$A$2:$NF$150,MATCH(1,(GMW!$NE$2:$NE$150=V$3)*(GMW!$ND$2:$ND$150=V$4)*(GMW!$NF$2:$NF$150=V$1),0),$C138-1966)</f>
        <v>76075</v>
      </c>
      <c r="W138" s="4" cm="1">
        <f t="array" ref="W138">INDEX(GMW!$A$2:$NF$150,MATCH(1,(GMW!$NE$2:$NE$150=W$3)*(GMW!$ND$2:$ND$150=W$4)*(GMW!$NF$2:$NF$150=W$1),0),$C138-1966)</f>
        <v>153800</v>
      </c>
      <c r="X138" s="4" cm="1">
        <f t="array" ref="X138">INDEX(GMW!$A$2:$NF$150,MATCH(1,(GMW!$NE$2:$NE$150=X$3)*(GMW!$ND$2:$ND$150=X$4)*(GMW!$NF$2:$NF$150=X$1),0),$C138-1966)</f>
        <v>91515</v>
      </c>
      <c r="Y138" s="4" cm="1">
        <f t="array" ref="Y138">INDEX(GMW!$A$2:$NF$150,MATCH(1,(GMW!$NE$2:$NE$150=Y$3)*(GMW!$ND$2:$ND$150=Y$4)*(GMW!$NF$2:$NF$150=Y$1),0),$C138-1966)</f>
        <v>86618</v>
      </c>
      <c r="Z138" s="4" cm="1">
        <f t="array" ref="Z138">INDEX(GMW!$A$2:$NF$150,MATCH(1,(GMW!$NE$2:$NE$150=Z$3)*(GMW!$ND$2:$ND$150=Z$4)*(GMW!$NF$2:$NF$150=Z$1),0),$C138-1966)</f>
        <v>44148</v>
      </c>
      <c r="AA138" s="4" cm="1">
        <f t="array" ref="AA138">INDEX(GMW!$A$2:$NF$150,MATCH(1,(GMW!$NE$2:$NE$150=AA$3)*(GMW!$ND$2:$ND$150=AA$4)*(GMW!$NF$2:$NF$150=AA$1),0),$C138-1966)</f>
        <v>501515.9</v>
      </c>
      <c r="AB138" s="4" cm="1">
        <f t="array" ref="AB138">INDEX(GMW!$A$2:$NF$150,MATCH(1,(GMW!$NE$2:$NE$150=AB$3)*(GMW!$ND$2:$ND$150=AB$4)*(GMW!$NF$2:$NF$150=AB$1),0),$C138-1966)</f>
        <v>28924.65</v>
      </c>
      <c r="AC138" s="4" cm="1">
        <f t="array" ref="AC138">INDEX(GMW!$A$2:$NF$150,MATCH(1,(GMW!$NE$2:$NE$150=AC$3)*(GMW!$ND$2:$ND$150=AC$4)*(GMW!$NF$2:$NF$150=AC$1),0),$C138-1966)</f>
        <v>32.200000000000003</v>
      </c>
      <c r="AD138" s="4" cm="1">
        <f t="array" ref="AD138">INDEX(GMW!$A$2:$NF$150,MATCH(1,(GMW!$NE$2:$NE$150=AD$3)*(GMW!$ND$2:$ND$150=AD$4)*(GMW!$NF$2:$NF$150=AD$1),0),$C138-1966)</f>
        <v>467732.7</v>
      </c>
      <c r="AE138" s="4" cm="1">
        <f t="array" ref="AE138">INDEX(GMW!$A$2:$NF$150,MATCH(1,(GMW!$NE$2:$NE$150=AE$3)*(GMW!$ND$2:$ND$150=AE$4)*(GMW!$NF$2:$NF$150=AE$1),0),$C138-1966)</f>
        <v>40097.72</v>
      </c>
      <c r="AF138" s="4" cm="1">
        <f t="array" ref="AF138">INDEX(GMW!$A$2:$NF$150,MATCH(1,(GMW!$NE$2:$NE$150=AF$3)*(GMW!$ND$2:$ND$150=AF$4)*(GMW!$NF$2:$NF$150=AF$1),0),$C138-1966)</f>
        <v>2401000</v>
      </c>
      <c r="AG138" s="4" cm="1">
        <f t="array" ref="AG138">INDEX(GMW!$A$2:$NF$150,MATCH(1,(GMW!$NE$2:$NE$150=AG$3)*(GMW!$ND$2:$ND$150=AG$4)*(GMW!$NF$2:$NF$150=AG$1),0),$C138-1966)</f>
        <v>-1.6851750000000001</v>
      </c>
      <c r="AH138" s="4" cm="1">
        <f t="array" ref="AH138">INDEX(GMW!$A$2:$NF$150,MATCH(1,(GMW!$NE$2:$NE$150=AH$3)*(GMW!$ND$2:$ND$150=AH$4)*(GMW!$NF$2:$NF$150=AH$1),0),$C138-1966)</f>
        <v>515935</v>
      </c>
      <c r="AI138" s="4" cm="1">
        <f t="array" ref="AI138">INDEX(GMW!$A$2:$NF$150,MATCH(1,(GMW!$NE$2:$NE$150=AI$3)*(GMW!$ND$2:$ND$150=AI$4)*(GMW!$NF$2:$NF$150=AI$1),0),$C138-1966)</f>
        <v>78.766670000000005</v>
      </c>
      <c r="AJ138" s="4" cm="1">
        <f t="array" ref="AJ138">INDEX(GMW!$A$2:$NF$150,MATCH(1,(GMW!$NE$2:$NE$150=AJ$3)*(GMW!$ND$2:$ND$150=AJ$4)*(GMW!$NF$2:$NF$150=AJ$1),0),$C138-1966)</f>
        <v>150107</v>
      </c>
      <c r="AK138" s="4" cm="1">
        <f t="array" ref="AK138">INDEX(GMW!$A$2:$NF$150,MATCH(1,(GMW!$NE$2:$NE$150=AK$3)*(GMW!$ND$2:$ND$150=AK$4)*(GMW!$NF$2:$NF$150=AK$1),0),$C138-1966)</f>
        <v>76075</v>
      </c>
      <c r="AL138" s="4" cm="1">
        <f t="array" ref="AL138">INDEX(GMW!$A$2:$NF$150,MATCH(1,(GMW!$NE$2:$NE$150=AL$3)*(GMW!$ND$2:$ND$150=AL$4)*(GMW!$NF$2:$NF$150=AL$1),0),$C138-1966)</f>
        <v>153800</v>
      </c>
      <c r="AM138" s="4" cm="1">
        <f t="array" ref="AM138">INDEX(GMW!$A$2:$NF$150,MATCH(1,(GMW!$NE$2:$NE$150=AM$3)*(GMW!$ND$2:$ND$150=AM$4)*(GMW!$NF$2:$NF$150=AM$1),0),$C138-1966)</f>
        <v>91515</v>
      </c>
      <c r="AN138" s="4" cm="1">
        <f t="array" ref="AN138">INDEX(GMW!$A$2:$NF$150,MATCH(1,(GMW!$NE$2:$NE$150=AN$3)*(GMW!$ND$2:$ND$150=AN$4)*(GMW!$NF$2:$NF$150=AN$1),0),$C138-1966)</f>
        <v>86618</v>
      </c>
      <c r="AO138" s="4" cm="1">
        <f t="array" ref="AO138">INDEX(GMW!$A$2:$NF$150,MATCH(1,(GMW!$NE$2:$NE$150=AO$3)*(GMW!$ND$2:$ND$150=AO$4)*(GMW!$NF$2:$NF$150=AO$1),0),$C138-1966)</f>
        <v>44148</v>
      </c>
      <c r="AP138" s="4" cm="1">
        <f t="array" ref="AP138">INDEX(GMW!$A$2:$NF$150,MATCH(1,(GMW!$NE$2:$NE$150=AP$3)*(GMW!$ND$2:$ND$150=AP$4)*(GMW!$NF$2:$NF$150=AP$1),0),$C138-1966)</f>
        <v>501515.9</v>
      </c>
      <c r="AQ138" s="4" cm="1">
        <f t="array" ref="AQ138">INDEX(GMW!$A$2:$NF$150,MATCH(1,(GMW!$NE$2:$NE$150=AQ$3)*(GMW!$ND$2:$ND$150=AQ$4)*(GMW!$NF$2:$NF$150=AQ$1),0),$C138-1966)</f>
        <v>28924.65</v>
      </c>
      <c r="AR138" s="4" cm="1">
        <f t="array" ref="AR138">INDEX(GMW!$A$2:$NF$150,MATCH(1,(GMW!$NE$2:$NE$150=AR$3)*(GMW!$ND$2:$ND$150=AR$4)*(GMW!$NF$2:$NF$150=AR$1),0),$C138-1966)</f>
        <v>32.200000000000003</v>
      </c>
      <c r="AS138" s="4" cm="1">
        <f t="array" ref="AS138">INDEX(GMW!$A$2:$NF$150,MATCH(1,(GMW!$NE$2:$NE$150=AS$3)*(GMW!$ND$2:$ND$150=AS$4)*(GMW!$NF$2:$NF$150=AS$1),0),$C138-1966)</f>
        <v>467732.7</v>
      </c>
      <c r="AT138" s="4" cm="1">
        <f t="array" ref="AT138">INDEX(GMW!$A$2:$NF$150,MATCH(1,(GMW!$NE$2:$NE$150=AT$3)*(GMW!$ND$2:$ND$150=AT$4)*(GMW!$NF$2:$NF$150=AT$1),0),$C138-1966)</f>
        <v>40097.72</v>
      </c>
      <c r="AU138" s="4" cm="1">
        <f t="array" ref="AU138">INDEX(GMW!$A$2:$NF$150,MATCH(1,(GMW!$NE$2:$NE$150=AU$3)*(GMW!$ND$2:$ND$150=AU$4)*(GMW!$NF$2:$NF$150=AU$1),0),$C138-1966)</f>
        <v>2401000</v>
      </c>
      <c r="AV138" s="4" cm="1">
        <f t="array" ref="AV138">INDEX(GMW!$A$2:$NF$150,MATCH(1,(GMW!$NE$2:$NE$150=AV$3)*(GMW!$ND$2:$ND$150=AV$4)*(GMW!$NF$2:$NF$150=AV$1),0),$C138-1966)</f>
        <v>-1.6851750000000001</v>
      </c>
    </row>
    <row r="139" spans="1:48" x14ac:dyDescent="0.25">
      <c r="A139" s="4">
        <v>2006</v>
      </c>
      <c r="B139" s="4">
        <f t="shared" si="6"/>
        <v>2006</v>
      </c>
      <c r="C139" s="4">
        <f t="shared" si="7"/>
        <v>2105</v>
      </c>
      <c r="D139" s="4" cm="1">
        <f t="array" ref="D139">INDEX(GMW!$A$2:$NF$150,MATCH(1,(GMW!$NE$2:$NE$150=D$3)*(GMW!$ND$2:$ND$150=D$4)*(GMW!$NF$2:$NF$150=D$1),0),$C139-1966)</f>
        <v>518495</v>
      </c>
      <c r="E139" s="4" cm="1">
        <f t="array" ref="E139">INDEX(GMW!$A$2:$NF$150,MATCH(1,(GMW!$NE$2:$NE$150=E$3)*(GMW!$ND$2:$ND$150=E$4)*(GMW!$NF$2:$NF$150=E$1),0),$C139-1966)</f>
        <v>78.733329999999995</v>
      </c>
      <c r="F139" s="4" cm="1">
        <f t="array" ref="F139">INDEX(GMW!$A$2:$NF$150,MATCH(1,(GMW!$NE$2:$NE$150=F$3)*(GMW!$ND$2:$ND$150=F$4)*(GMW!$NF$2:$NF$150=F$1),0),$C139-1966)</f>
        <v>167747</v>
      </c>
      <c r="G139" s="4" cm="1">
        <f t="array" ref="G139">INDEX(GMW!$A$2:$NF$150,MATCH(1,(GMW!$NE$2:$NE$150=G$3)*(GMW!$ND$2:$ND$150=G$4)*(GMW!$NF$2:$NF$150=G$1),0),$C139-1966)</f>
        <v>90963</v>
      </c>
      <c r="H139" s="4" cm="1">
        <f t="array" ref="H139">INDEX(GMW!$A$2:$NF$150,MATCH(1,(GMW!$NE$2:$NE$150=H$3)*(GMW!$ND$2:$ND$150=H$4)*(GMW!$NF$2:$NF$150=H$1),0),$C139-1966)</f>
        <v>170751</v>
      </c>
      <c r="I139" s="4" cm="1">
        <f t="array" ref="I139">INDEX(GMW!$A$2:$NF$150,MATCH(1,(GMW!$NE$2:$NE$150=I$3)*(GMW!$ND$2:$ND$150=I$4)*(GMW!$NF$2:$NF$150=I$1),0),$C139-1966)</f>
        <v>105809</v>
      </c>
      <c r="J139" s="4" cm="1">
        <f t="array" ref="J139">INDEX(GMW!$A$2:$NF$150,MATCH(1,(GMW!$NE$2:$NE$150=J$3)*(GMW!$ND$2:$ND$150=J$4)*(GMW!$NF$2:$NF$150=J$1),0),$C139-1966)</f>
        <v>87611</v>
      </c>
      <c r="K139" s="4" cm="1">
        <f t="array" ref="K139">INDEX(GMW!$A$2:$NF$150,MATCH(1,(GMW!$NE$2:$NE$150=K$3)*(GMW!$ND$2:$ND$150=K$4)*(GMW!$NF$2:$NF$150=K$1),0),$C139-1966)</f>
        <v>46400</v>
      </c>
      <c r="L139" s="4" cm="1">
        <f t="array" ref="L139">INDEX(GMW!$A$2:$NF$150,MATCH(1,(GMW!$NE$2:$NE$150=L$3)*(GMW!$ND$2:$ND$150=L$4)*(GMW!$NF$2:$NF$150=L$1),0),$C139-1966)</f>
        <v>505074.1</v>
      </c>
      <c r="M139" s="4" cm="1">
        <f t="array" ref="M139">INDEX(GMW!$A$2:$NF$150,MATCH(1,(GMW!$NE$2:$NE$150=M$3)*(GMW!$ND$2:$ND$150=M$4)*(GMW!$NF$2:$NF$150=M$1),0),$C139-1966)</f>
        <v>29119.4</v>
      </c>
      <c r="N139" s="4" cm="1">
        <f t="array" ref="N139">INDEX(GMW!$A$2:$NF$150,MATCH(1,(GMW!$NE$2:$NE$150=N$3)*(GMW!$ND$2:$ND$150=N$4)*(GMW!$NF$2:$NF$150=N$1),0),$C139-1966)</f>
        <v>32.1</v>
      </c>
      <c r="O139" s="4" cm="1">
        <f t="array" ref="O139">INDEX(GMW!$A$2:$NF$150,MATCH(1,(GMW!$NE$2:$NE$150=O$3)*(GMW!$ND$2:$ND$150=O$4)*(GMW!$NF$2:$NF$150=O$1),0),$C139-1966)</f>
        <v>471209.7</v>
      </c>
      <c r="P139" s="4" cm="1">
        <f t="array" ref="P139">INDEX(GMW!$A$2:$NF$150,MATCH(1,(GMW!$NE$2:$NE$150=P$3)*(GMW!$ND$2:$ND$150=P$4)*(GMW!$NF$2:$NF$150=P$1),0),$C139-1966)</f>
        <v>40200.74</v>
      </c>
      <c r="Q139" s="4" cm="1">
        <f t="array" ref="Q139">INDEX(GMW!$A$2:$NF$150,MATCH(1,(GMW!$NE$2:$NE$150=Q$3)*(GMW!$ND$2:$ND$150=Q$4)*(GMW!$NF$2:$NF$150=Q$1),0),$C139-1966)</f>
        <v>2418000</v>
      </c>
      <c r="R139" s="4" cm="1">
        <f t="array" ref="R139">INDEX(GMW!$A$2:$NF$150,MATCH(1,(GMW!$NE$2:$NE$150=R$3)*(GMW!$ND$2:$ND$150=R$4)*(GMW!$NF$2:$NF$150=R$1),0),$C139-1966)</f>
        <v>-1.684164</v>
      </c>
      <c r="S139" s="4" cm="1">
        <f t="array" ref="S139">INDEX(GMW!$A$2:$NF$150,MATCH(1,(GMW!$NE$2:$NE$150=S$3)*(GMW!$ND$2:$ND$150=S$4)*(GMW!$NF$2:$NF$150=S$1),0),$C139-1966)</f>
        <v>518495</v>
      </c>
      <c r="T139" s="4" cm="1">
        <f t="array" ref="T139">INDEX(GMW!$A$2:$NF$150,MATCH(1,(GMW!$NE$2:$NE$150=T$3)*(GMW!$ND$2:$ND$150=T$4)*(GMW!$NF$2:$NF$150=T$1),0),$C139-1966)</f>
        <v>78.733329999999995</v>
      </c>
      <c r="U139" s="4" cm="1">
        <f t="array" ref="U139">INDEX(GMW!$A$2:$NF$150,MATCH(1,(GMW!$NE$2:$NE$150=U$3)*(GMW!$ND$2:$ND$150=U$4)*(GMW!$NF$2:$NF$150=U$1),0),$C139-1966)</f>
        <v>167747</v>
      </c>
      <c r="V139" s="4" cm="1">
        <f t="array" ref="V139">INDEX(GMW!$A$2:$NF$150,MATCH(1,(GMW!$NE$2:$NE$150=V$3)*(GMW!$ND$2:$ND$150=V$4)*(GMW!$NF$2:$NF$150=V$1),0),$C139-1966)</f>
        <v>90963</v>
      </c>
      <c r="W139" s="4" cm="1">
        <f t="array" ref="W139">INDEX(GMW!$A$2:$NF$150,MATCH(1,(GMW!$NE$2:$NE$150=W$3)*(GMW!$ND$2:$ND$150=W$4)*(GMW!$NF$2:$NF$150=W$1),0),$C139-1966)</f>
        <v>170751</v>
      </c>
      <c r="X139" s="4" cm="1">
        <f t="array" ref="X139">INDEX(GMW!$A$2:$NF$150,MATCH(1,(GMW!$NE$2:$NE$150=X$3)*(GMW!$ND$2:$ND$150=X$4)*(GMW!$NF$2:$NF$150=X$1),0),$C139-1966)</f>
        <v>105809</v>
      </c>
      <c r="Y139" s="4" cm="1">
        <f t="array" ref="Y139">INDEX(GMW!$A$2:$NF$150,MATCH(1,(GMW!$NE$2:$NE$150=Y$3)*(GMW!$ND$2:$ND$150=Y$4)*(GMW!$NF$2:$NF$150=Y$1),0),$C139-1966)</f>
        <v>87611</v>
      </c>
      <c r="Z139" s="4" cm="1">
        <f t="array" ref="Z139">INDEX(GMW!$A$2:$NF$150,MATCH(1,(GMW!$NE$2:$NE$150=Z$3)*(GMW!$ND$2:$ND$150=Z$4)*(GMW!$NF$2:$NF$150=Z$1),0),$C139-1966)</f>
        <v>46400</v>
      </c>
      <c r="AA139" s="4" cm="1">
        <f t="array" ref="AA139">INDEX(GMW!$A$2:$NF$150,MATCH(1,(GMW!$NE$2:$NE$150=AA$3)*(GMW!$ND$2:$ND$150=AA$4)*(GMW!$NF$2:$NF$150=AA$1),0),$C139-1966)</f>
        <v>505074.1</v>
      </c>
      <c r="AB139" s="4" cm="1">
        <f t="array" ref="AB139">INDEX(GMW!$A$2:$NF$150,MATCH(1,(GMW!$NE$2:$NE$150=AB$3)*(GMW!$ND$2:$ND$150=AB$4)*(GMW!$NF$2:$NF$150=AB$1),0),$C139-1966)</f>
        <v>29119.4</v>
      </c>
      <c r="AC139" s="4" cm="1">
        <f t="array" ref="AC139">INDEX(GMW!$A$2:$NF$150,MATCH(1,(GMW!$NE$2:$NE$150=AC$3)*(GMW!$ND$2:$ND$150=AC$4)*(GMW!$NF$2:$NF$150=AC$1),0),$C139-1966)</f>
        <v>32.1</v>
      </c>
      <c r="AD139" s="4" cm="1">
        <f t="array" ref="AD139">INDEX(GMW!$A$2:$NF$150,MATCH(1,(GMW!$NE$2:$NE$150=AD$3)*(GMW!$ND$2:$ND$150=AD$4)*(GMW!$NF$2:$NF$150=AD$1),0),$C139-1966)</f>
        <v>471209.7</v>
      </c>
      <c r="AE139" s="4" cm="1">
        <f t="array" ref="AE139">INDEX(GMW!$A$2:$NF$150,MATCH(1,(GMW!$NE$2:$NE$150=AE$3)*(GMW!$ND$2:$ND$150=AE$4)*(GMW!$NF$2:$NF$150=AE$1),0),$C139-1966)</f>
        <v>40200.74</v>
      </c>
      <c r="AF139" s="4" cm="1">
        <f t="array" ref="AF139">INDEX(GMW!$A$2:$NF$150,MATCH(1,(GMW!$NE$2:$NE$150=AF$3)*(GMW!$ND$2:$ND$150=AF$4)*(GMW!$NF$2:$NF$150=AF$1),0),$C139-1966)</f>
        <v>2418000</v>
      </c>
      <c r="AG139" s="4" cm="1">
        <f t="array" ref="AG139">INDEX(GMW!$A$2:$NF$150,MATCH(1,(GMW!$NE$2:$NE$150=AG$3)*(GMW!$ND$2:$ND$150=AG$4)*(GMW!$NF$2:$NF$150=AG$1),0),$C139-1966)</f>
        <v>-1.684164</v>
      </c>
      <c r="AH139" s="4" cm="1">
        <f t="array" ref="AH139">INDEX(GMW!$A$2:$NF$150,MATCH(1,(GMW!$NE$2:$NE$150=AH$3)*(GMW!$ND$2:$ND$150=AH$4)*(GMW!$NF$2:$NF$150=AH$1),0),$C139-1966)</f>
        <v>518495</v>
      </c>
      <c r="AI139" s="4" cm="1">
        <f t="array" ref="AI139">INDEX(GMW!$A$2:$NF$150,MATCH(1,(GMW!$NE$2:$NE$150=AI$3)*(GMW!$ND$2:$ND$150=AI$4)*(GMW!$NF$2:$NF$150=AI$1),0),$C139-1966)</f>
        <v>78.733329999999995</v>
      </c>
      <c r="AJ139" s="4" cm="1">
        <f t="array" ref="AJ139">INDEX(GMW!$A$2:$NF$150,MATCH(1,(GMW!$NE$2:$NE$150=AJ$3)*(GMW!$ND$2:$ND$150=AJ$4)*(GMW!$NF$2:$NF$150=AJ$1),0),$C139-1966)</f>
        <v>167747</v>
      </c>
      <c r="AK139" s="4" cm="1">
        <f t="array" ref="AK139">INDEX(GMW!$A$2:$NF$150,MATCH(1,(GMW!$NE$2:$NE$150=AK$3)*(GMW!$ND$2:$ND$150=AK$4)*(GMW!$NF$2:$NF$150=AK$1),0),$C139-1966)</f>
        <v>90963</v>
      </c>
      <c r="AL139" s="4" cm="1">
        <f t="array" ref="AL139">INDEX(GMW!$A$2:$NF$150,MATCH(1,(GMW!$NE$2:$NE$150=AL$3)*(GMW!$ND$2:$ND$150=AL$4)*(GMW!$NF$2:$NF$150=AL$1),0),$C139-1966)</f>
        <v>170751</v>
      </c>
      <c r="AM139" s="4" cm="1">
        <f t="array" ref="AM139">INDEX(GMW!$A$2:$NF$150,MATCH(1,(GMW!$NE$2:$NE$150=AM$3)*(GMW!$ND$2:$ND$150=AM$4)*(GMW!$NF$2:$NF$150=AM$1),0),$C139-1966)</f>
        <v>105809</v>
      </c>
      <c r="AN139" s="4" cm="1">
        <f t="array" ref="AN139">INDEX(GMW!$A$2:$NF$150,MATCH(1,(GMW!$NE$2:$NE$150=AN$3)*(GMW!$ND$2:$ND$150=AN$4)*(GMW!$NF$2:$NF$150=AN$1),0),$C139-1966)</f>
        <v>87611</v>
      </c>
      <c r="AO139" s="4" cm="1">
        <f t="array" ref="AO139">INDEX(GMW!$A$2:$NF$150,MATCH(1,(GMW!$NE$2:$NE$150=AO$3)*(GMW!$ND$2:$ND$150=AO$4)*(GMW!$NF$2:$NF$150=AO$1),0),$C139-1966)</f>
        <v>46400</v>
      </c>
      <c r="AP139" s="4" cm="1">
        <f t="array" ref="AP139">INDEX(GMW!$A$2:$NF$150,MATCH(1,(GMW!$NE$2:$NE$150=AP$3)*(GMW!$ND$2:$ND$150=AP$4)*(GMW!$NF$2:$NF$150=AP$1),0),$C139-1966)</f>
        <v>505074.1</v>
      </c>
      <c r="AQ139" s="4" cm="1">
        <f t="array" ref="AQ139">INDEX(GMW!$A$2:$NF$150,MATCH(1,(GMW!$NE$2:$NE$150=AQ$3)*(GMW!$ND$2:$ND$150=AQ$4)*(GMW!$NF$2:$NF$150=AQ$1),0),$C139-1966)</f>
        <v>29119.4</v>
      </c>
      <c r="AR139" s="4" cm="1">
        <f t="array" ref="AR139">INDEX(GMW!$A$2:$NF$150,MATCH(1,(GMW!$NE$2:$NE$150=AR$3)*(GMW!$ND$2:$ND$150=AR$4)*(GMW!$NF$2:$NF$150=AR$1),0),$C139-1966)</f>
        <v>32.1</v>
      </c>
      <c r="AS139" s="4" cm="1">
        <f t="array" ref="AS139">INDEX(GMW!$A$2:$NF$150,MATCH(1,(GMW!$NE$2:$NE$150=AS$3)*(GMW!$ND$2:$ND$150=AS$4)*(GMW!$NF$2:$NF$150=AS$1),0),$C139-1966)</f>
        <v>471209.7</v>
      </c>
      <c r="AT139" s="4" cm="1">
        <f t="array" ref="AT139">INDEX(GMW!$A$2:$NF$150,MATCH(1,(GMW!$NE$2:$NE$150=AT$3)*(GMW!$ND$2:$ND$150=AT$4)*(GMW!$NF$2:$NF$150=AT$1),0),$C139-1966)</f>
        <v>40200.74</v>
      </c>
      <c r="AU139" s="4" cm="1">
        <f t="array" ref="AU139">INDEX(GMW!$A$2:$NF$150,MATCH(1,(GMW!$NE$2:$NE$150=AU$3)*(GMW!$ND$2:$ND$150=AU$4)*(GMW!$NF$2:$NF$150=AU$1),0),$C139-1966)</f>
        <v>2418000</v>
      </c>
      <c r="AV139" s="4" cm="1">
        <f t="array" ref="AV139">INDEX(GMW!$A$2:$NF$150,MATCH(1,(GMW!$NE$2:$NE$150=AV$3)*(GMW!$ND$2:$ND$150=AV$4)*(GMW!$NF$2:$NF$150=AV$1),0),$C139-1966)</f>
        <v>-1.684164</v>
      </c>
    </row>
    <row r="140" spans="1:48" x14ac:dyDescent="0.25">
      <c r="B140" s="4">
        <f t="shared" ref="B140:B203" si="8">+B136+1</f>
        <v>2006</v>
      </c>
      <c r="C140" s="4">
        <f t="shared" si="7"/>
        <v>2106</v>
      </c>
      <c r="D140" s="4" cm="1">
        <f t="array" ref="D140">INDEX(GMW!$A$2:$NF$150,MATCH(1,(GMW!$NE$2:$NE$150=D$3)*(GMW!$ND$2:$ND$150=D$4)*(GMW!$NF$2:$NF$150=D$1),0),$C140-1966)</f>
        <v>520318</v>
      </c>
      <c r="E140" s="4" cm="1">
        <f t="array" ref="E140">INDEX(GMW!$A$2:$NF$150,MATCH(1,(GMW!$NE$2:$NE$150=E$3)*(GMW!$ND$2:$ND$150=E$4)*(GMW!$NF$2:$NF$150=E$1),0),$C140-1966)</f>
        <v>79.8</v>
      </c>
      <c r="F140" s="4" cm="1">
        <f t="array" ref="F140">INDEX(GMW!$A$2:$NF$150,MATCH(1,(GMW!$NE$2:$NE$150=F$3)*(GMW!$ND$2:$ND$150=F$4)*(GMW!$NF$2:$NF$150=F$1),0),$C140-1966)</f>
        <v>172981</v>
      </c>
      <c r="G140" s="4" cm="1">
        <f t="array" ref="G140">INDEX(GMW!$A$2:$NF$150,MATCH(1,(GMW!$NE$2:$NE$150=G$3)*(GMW!$ND$2:$ND$150=G$4)*(GMW!$NF$2:$NF$150=G$1),0),$C140-1966)</f>
        <v>96110</v>
      </c>
      <c r="H140" s="4" cm="1">
        <f t="array" ref="H140">INDEX(GMW!$A$2:$NF$150,MATCH(1,(GMW!$NE$2:$NE$150=H$3)*(GMW!$ND$2:$ND$150=H$4)*(GMW!$NF$2:$NF$150=H$1),0),$C140-1966)</f>
        <v>174542</v>
      </c>
      <c r="I140" s="4" cm="1">
        <f t="array" ref="I140">INDEX(GMW!$A$2:$NF$150,MATCH(1,(GMW!$NE$2:$NE$150=I$3)*(GMW!$ND$2:$ND$150=I$4)*(GMW!$NF$2:$NF$150=I$1),0),$C140-1966)</f>
        <v>111157</v>
      </c>
      <c r="J140" s="4" cm="1">
        <f t="array" ref="J140">INDEX(GMW!$A$2:$NF$150,MATCH(1,(GMW!$NE$2:$NE$150=J$3)*(GMW!$ND$2:$ND$150=J$4)*(GMW!$NF$2:$NF$150=J$1),0),$C140-1966)</f>
        <v>87987</v>
      </c>
      <c r="K140" s="4" cm="1">
        <f t="array" ref="K140">INDEX(GMW!$A$2:$NF$150,MATCH(1,(GMW!$NE$2:$NE$150=K$3)*(GMW!$ND$2:$ND$150=K$4)*(GMW!$NF$2:$NF$150=K$1),0),$C140-1966)</f>
        <v>44590</v>
      </c>
      <c r="L140" s="4" cm="1">
        <f t="array" ref="L140">INDEX(GMW!$A$2:$NF$150,MATCH(1,(GMW!$NE$2:$NE$150=L$3)*(GMW!$ND$2:$ND$150=L$4)*(GMW!$NF$2:$NF$150=L$1),0),$C140-1966)</f>
        <v>508093.1</v>
      </c>
      <c r="M140" s="4" cm="1">
        <f t="array" ref="M140">INDEX(GMW!$A$2:$NF$150,MATCH(1,(GMW!$NE$2:$NE$150=M$3)*(GMW!$ND$2:$ND$150=M$4)*(GMW!$NF$2:$NF$150=M$1),0),$C140-1966)</f>
        <v>29251.45</v>
      </c>
      <c r="N140" s="4" cm="1">
        <f t="array" ref="N140">INDEX(GMW!$A$2:$NF$150,MATCH(1,(GMW!$NE$2:$NE$150=N$3)*(GMW!$ND$2:$ND$150=N$4)*(GMW!$NF$2:$NF$150=N$1),0),$C140-1966)</f>
        <v>32</v>
      </c>
      <c r="O140" s="4" cm="1">
        <f t="array" ref="O140">INDEX(GMW!$A$2:$NF$150,MATCH(1,(GMW!$NE$2:$NE$150=O$3)*(GMW!$ND$2:$ND$150=O$4)*(GMW!$NF$2:$NF$150=O$1),0),$C140-1966)</f>
        <v>474891.1</v>
      </c>
      <c r="P140" s="4" cm="1">
        <f t="array" ref="P140">INDEX(GMW!$A$2:$NF$150,MATCH(1,(GMW!$NE$2:$NE$150=P$3)*(GMW!$ND$2:$ND$150=P$4)*(GMW!$NF$2:$NF$150=P$1),0),$C140-1966)</f>
        <v>40303.760000000002</v>
      </c>
      <c r="Q140" s="4" cm="1">
        <f t="array" ref="Q140">INDEX(GMW!$A$2:$NF$150,MATCH(1,(GMW!$NE$2:$NE$150=Q$3)*(GMW!$ND$2:$ND$150=Q$4)*(GMW!$NF$2:$NF$150=Q$1),0),$C140-1966)</f>
        <v>2435000</v>
      </c>
      <c r="R140" s="4" cm="1">
        <f t="array" ref="R140">INDEX(GMW!$A$2:$NF$150,MATCH(1,(GMW!$NE$2:$NE$150=R$3)*(GMW!$ND$2:$ND$150=R$4)*(GMW!$NF$2:$NF$150=R$1),0),$C140-1966)</f>
        <v>-1.6831529999999999</v>
      </c>
      <c r="S140" s="4" cm="1">
        <f t="array" ref="S140">INDEX(GMW!$A$2:$NF$150,MATCH(1,(GMW!$NE$2:$NE$150=S$3)*(GMW!$ND$2:$ND$150=S$4)*(GMW!$NF$2:$NF$150=S$1),0),$C140-1966)</f>
        <v>520318</v>
      </c>
      <c r="T140" s="4" cm="1">
        <f t="array" ref="T140">INDEX(GMW!$A$2:$NF$150,MATCH(1,(GMW!$NE$2:$NE$150=T$3)*(GMW!$ND$2:$ND$150=T$4)*(GMW!$NF$2:$NF$150=T$1),0),$C140-1966)</f>
        <v>79.8</v>
      </c>
      <c r="U140" s="4" cm="1">
        <f t="array" ref="U140">INDEX(GMW!$A$2:$NF$150,MATCH(1,(GMW!$NE$2:$NE$150=U$3)*(GMW!$ND$2:$ND$150=U$4)*(GMW!$NF$2:$NF$150=U$1),0),$C140-1966)</f>
        <v>172981</v>
      </c>
      <c r="V140" s="4" cm="1">
        <f t="array" ref="V140">INDEX(GMW!$A$2:$NF$150,MATCH(1,(GMW!$NE$2:$NE$150=V$3)*(GMW!$ND$2:$ND$150=V$4)*(GMW!$NF$2:$NF$150=V$1),0),$C140-1966)</f>
        <v>96110</v>
      </c>
      <c r="W140" s="4" cm="1">
        <f t="array" ref="W140">INDEX(GMW!$A$2:$NF$150,MATCH(1,(GMW!$NE$2:$NE$150=W$3)*(GMW!$ND$2:$ND$150=W$4)*(GMW!$NF$2:$NF$150=W$1),0),$C140-1966)</f>
        <v>174542</v>
      </c>
      <c r="X140" s="4" cm="1">
        <f t="array" ref="X140">INDEX(GMW!$A$2:$NF$150,MATCH(1,(GMW!$NE$2:$NE$150=X$3)*(GMW!$ND$2:$ND$150=X$4)*(GMW!$NF$2:$NF$150=X$1),0),$C140-1966)</f>
        <v>111157</v>
      </c>
      <c r="Y140" s="4" cm="1">
        <f t="array" ref="Y140">INDEX(GMW!$A$2:$NF$150,MATCH(1,(GMW!$NE$2:$NE$150=Y$3)*(GMW!$ND$2:$ND$150=Y$4)*(GMW!$NF$2:$NF$150=Y$1),0),$C140-1966)</f>
        <v>87987</v>
      </c>
      <c r="Z140" s="4" cm="1">
        <f t="array" ref="Z140">INDEX(GMW!$A$2:$NF$150,MATCH(1,(GMW!$NE$2:$NE$150=Z$3)*(GMW!$ND$2:$ND$150=Z$4)*(GMW!$NF$2:$NF$150=Z$1),0),$C140-1966)</f>
        <v>44590</v>
      </c>
      <c r="AA140" s="4" cm="1">
        <f t="array" ref="AA140">INDEX(GMW!$A$2:$NF$150,MATCH(1,(GMW!$NE$2:$NE$150=AA$3)*(GMW!$ND$2:$ND$150=AA$4)*(GMW!$NF$2:$NF$150=AA$1),0),$C140-1966)</f>
        <v>508093.1</v>
      </c>
      <c r="AB140" s="4" cm="1">
        <f t="array" ref="AB140">INDEX(GMW!$A$2:$NF$150,MATCH(1,(GMW!$NE$2:$NE$150=AB$3)*(GMW!$ND$2:$ND$150=AB$4)*(GMW!$NF$2:$NF$150=AB$1),0),$C140-1966)</f>
        <v>29251.45</v>
      </c>
      <c r="AC140" s="4" cm="1">
        <f t="array" ref="AC140">INDEX(GMW!$A$2:$NF$150,MATCH(1,(GMW!$NE$2:$NE$150=AC$3)*(GMW!$ND$2:$ND$150=AC$4)*(GMW!$NF$2:$NF$150=AC$1),0),$C140-1966)</f>
        <v>32</v>
      </c>
      <c r="AD140" s="4" cm="1">
        <f t="array" ref="AD140">INDEX(GMW!$A$2:$NF$150,MATCH(1,(GMW!$NE$2:$NE$150=AD$3)*(GMW!$ND$2:$ND$150=AD$4)*(GMW!$NF$2:$NF$150=AD$1),0),$C140-1966)</f>
        <v>474891.1</v>
      </c>
      <c r="AE140" s="4" cm="1">
        <f t="array" ref="AE140">INDEX(GMW!$A$2:$NF$150,MATCH(1,(GMW!$NE$2:$NE$150=AE$3)*(GMW!$ND$2:$ND$150=AE$4)*(GMW!$NF$2:$NF$150=AE$1),0),$C140-1966)</f>
        <v>40303.760000000002</v>
      </c>
      <c r="AF140" s="4" cm="1">
        <f t="array" ref="AF140">INDEX(GMW!$A$2:$NF$150,MATCH(1,(GMW!$NE$2:$NE$150=AF$3)*(GMW!$ND$2:$ND$150=AF$4)*(GMW!$NF$2:$NF$150=AF$1),0),$C140-1966)</f>
        <v>2435000</v>
      </c>
      <c r="AG140" s="4" cm="1">
        <f t="array" ref="AG140">INDEX(GMW!$A$2:$NF$150,MATCH(1,(GMW!$NE$2:$NE$150=AG$3)*(GMW!$ND$2:$ND$150=AG$4)*(GMW!$NF$2:$NF$150=AG$1),0),$C140-1966)</f>
        <v>-1.6831529999999999</v>
      </c>
      <c r="AH140" s="4" cm="1">
        <f t="array" ref="AH140">INDEX(GMW!$A$2:$NF$150,MATCH(1,(GMW!$NE$2:$NE$150=AH$3)*(GMW!$ND$2:$ND$150=AH$4)*(GMW!$NF$2:$NF$150=AH$1),0),$C140-1966)</f>
        <v>520318</v>
      </c>
      <c r="AI140" s="4" cm="1">
        <f t="array" ref="AI140">INDEX(GMW!$A$2:$NF$150,MATCH(1,(GMW!$NE$2:$NE$150=AI$3)*(GMW!$ND$2:$ND$150=AI$4)*(GMW!$NF$2:$NF$150=AI$1),0),$C140-1966)</f>
        <v>79.8</v>
      </c>
      <c r="AJ140" s="4" cm="1">
        <f t="array" ref="AJ140">INDEX(GMW!$A$2:$NF$150,MATCH(1,(GMW!$NE$2:$NE$150=AJ$3)*(GMW!$ND$2:$ND$150=AJ$4)*(GMW!$NF$2:$NF$150=AJ$1),0),$C140-1966)</f>
        <v>172981</v>
      </c>
      <c r="AK140" s="4" cm="1">
        <f t="array" ref="AK140">INDEX(GMW!$A$2:$NF$150,MATCH(1,(GMW!$NE$2:$NE$150=AK$3)*(GMW!$ND$2:$ND$150=AK$4)*(GMW!$NF$2:$NF$150=AK$1),0),$C140-1966)</f>
        <v>96110</v>
      </c>
      <c r="AL140" s="4" cm="1">
        <f t="array" ref="AL140">INDEX(GMW!$A$2:$NF$150,MATCH(1,(GMW!$NE$2:$NE$150=AL$3)*(GMW!$ND$2:$ND$150=AL$4)*(GMW!$NF$2:$NF$150=AL$1),0),$C140-1966)</f>
        <v>174542</v>
      </c>
      <c r="AM140" s="4" cm="1">
        <f t="array" ref="AM140">INDEX(GMW!$A$2:$NF$150,MATCH(1,(GMW!$NE$2:$NE$150=AM$3)*(GMW!$ND$2:$ND$150=AM$4)*(GMW!$NF$2:$NF$150=AM$1),0),$C140-1966)</f>
        <v>111157</v>
      </c>
      <c r="AN140" s="4" cm="1">
        <f t="array" ref="AN140">INDEX(GMW!$A$2:$NF$150,MATCH(1,(GMW!$NE$2:$NE$150=AN$3)*(GMW!$ND$2:$ND$150=AN$4)*(GMW!$NF$2:$NF$150=AN$1),0),$C140-1966)</f>
        <v>87987</v>
      </c>
      <c r="AO140" s="4" cm="1">
        <f t="array" ref="AO140">INDEX(GMW!$A$2:$NF$150,MATCH(1,(GMW!$NE$2:$NE$150=AO$3)*(GMW!$ND$2:$ND$150=AO$4)*(GMW!$NF$2:$NF$150=AO$1),0),$C140-1966)</f>
        <v>44590</v>
      </c>
      <c r="AP140" s="4" cm="1">
        <f t="array" ref="AP140">INDEX(GMW!$A$2:$NF$150,MATCH(1,(GMW!$NE$2:$NE$150=AP$3)*(GMW!$ND$2:$ND$150=AP$4)*(GMW!$NF$2:$NF$150=AP$1),0),$C140-1966)</f>
        <v>508093.1</v>
      </c>
      <c r="AQ140" s="4" cm="1">
        <f t="array" ref="AQ140">INDEX(GMW!$A$2:$NF$150,MATCH(1,(GMW!$NE$2:$NE$150=AQ$3)*(GMW!$ND$2:$ND$150=AQ$4)*(GMW!$NF$2:$NF$150=AQ$1),0),$C140-1966)</f>
        <v>29251.45</v>
      </c>
      <c r="AR140" s="4" cm="1">
        <f t="array" ref="AR140">INDEX(GMW!$A$2:$NF$150,MATCH(1,(GMW!$NE$2:$NE$150=AR$3)*(GMW!$ND$2:$ND$150=AR$4)*(GMW!$NF$2:$NF$150=AR$1),0),$C140-1966)</f>
        <v>32</v>
      </c>
      <c r="AS140" s="4" cm="1">
        <f t="array" ref="AS140">INDEX(GMW!$A$2:$NF$150,MATCH(1,(GMW!$NE$2:$NE$150=AS$3)*(GMW!$ND$2:$ND$150=AS$4)*(GMW!$NF$2:$NF$150=AS$1),0),$C140-1966)</f>
        <v>474891.1</v>
      </c>
      <c r="AT140" s="4" cm="1">
        <f t="array" ref="AT140">INDEX(GMW!$A$2:$NF$150,MATCH(1,(GMW!$NE$2:$NE$150=AT$3)*(GMW!$ND$2:$ND$150=AT$4)*(GMW!$NF$2:$NF$150=AT$1),0),$C140-1966)</f>
        <v>40303.760000000002</v>
      </c>
      <c r="AU140" s="4" cm="1">
        <f t="array" ref="AU140">INDEX(GMW!$A$2:$NF$150,MATCH(1,(GMW!$NE$2:$NE$150=AU$3)*(GMW!$ND$2:$ND$150=AU$4)*(GMW!$NF$2:$NF$150=AU$1),0),$C140-1966)</f>
        <v>2435000</v>
      </c>
      <c r="AV140" s="4" cm="1">
        <f t="array" ref="AV140">INDEX(GMW!$A$2:$NF$150,MATCH(1,(GMW!$NE$2:$NE$150=AV$3)*(GMW!$ND$2:$ND$150=AV$4)*(GMW!$NF$2:$NF$150=AV$1),0),$C140-1966)</f>
        <v>-1.6831529999999999</v>
      </c>
    </row>
    <row r="141" spans="1:48" x14ac:dyDescent="0.25">
      <c r="B141" s="4">
        <f t="shared" si="8"/>
        <v>2006</v>
      </c>
      <c r="C141" s="4">
        <f t="shared" si="7"/>
        <v>2107</v>
      </c>
      <c r="D141" s="4" cm="1">
        <f t="array" ref="D141">INDEX(GMW!$A$2:$NF$150,MATCH(1,(GMW!$NE$2:$NE$150=D$3)*(GMW!$ND$2:$ND$150=D$4)*(GMW!$NF$2:$NF$150=D$1),0),$C141-1966)</f>
        <v>521780</v>
      </c>
      <c r="E141" s="4" cm="1">
        <f t="array" ref="E141">INDEX(GMW!$A$2:$NF$150,MATCH(1,(GMW!$NE$2:$NE$150=E$3)*(GMW!$ND$2:$ND$150=E$4)*(GMW!$NF$2:$NF$150=E$1),0),$C141-1966)</f>
        <v>80.3</v>
      </c>
      <c r="F141" s="4" cm="1">
        <f t="array" ref="F141">INDEX(GMW!$A$2:$NF$150,MATCH(1,(GMW!$NE$2:$NE$150=F$3)*(GMW!$ND$2:$ND$150=F$4)*(GMW!$NF$2:$NF$150=F$1),0),$C141-1966)</f>
        <v>152518</v>
      </c>
      <c r="G141" s="4" cm="1">
        <f t="array" ref="G141">INDEX(GMW!$A$2:$NF$150,MATCH(1,(GMW!$NE$2:$NE$150=G$3)*(GMW!$ND$2:$ND$150=G$4)*(GMW!$NF$2:$NF$150=G$1),0),$C141-1966)</f>
        <v>72582</v>
      </c>
      <c r="H141" s="4" cm="1">
        <f t="array" ref="H141">INDEX(GMW!$A$2:$NF$150,MATCH(1,(GMW!$NE$2:$NE$150=H$3)*(GMW!$ND$2:$ND$150=H$4)*(GMW!$NF$2:$NF$150=H$1),0),$C141-1966)</f>
        <v>156126</v>
      </c>
      <c r="I141" s="4" cm="1">
        <f t="array" ref="I141">INDEX(GMW!$A$2:$NF$150,MATCH(1,(GMW!$NE$2:$NE$150=I$3)*(GMW!$ND$2:$ND$150=I$4)*(GMW!$NF$2:$NF$150=I$1),0),$C141-1966)</f>
        <v>91230</v>
      </c>
      <c r="J141" s="4" cm="1">
        <f t="array" ref="J141">INDEX(GMW!$A$2:$NF$150,MATCH(1,(GMW!$NE$2:$NE$150=J$3)*(GMW!$ND$2:$ND$150=J$4)*(GMW!$NF$2:$NF$150=J$1),0),$C141-1966)</f>
        <v>91024</v>
      </c>
      <c r="K141" s="4" cm="1">
        <f t="array" ref="K141">INDEX(GMW!$A$2:$NF$150,MATCH(1,(GMW!$NE$2:$NE$150=K$3)*(GMW!$ND$2:$ND$150=K$4)*(GMW!$NF$2:$NF$150=K$1),0),$C141-1966)</f>
        <v>48023</v>
      </c>
      <c r="L141" s="4" cm="1">
        <f t="array" ref="L141">INDEX(GMW!$A$2:$NF$150,MATCH(1,(GMW!$NE$2:$NE$150=L$3)*(GMW!$ND$2:$ND$150=L$4)*(GMW!$NF$2:$NF$150=L$1),0),$C141-1966)</f>
        <v>511498</v>
      </c>
      <c r="M141" s="4" cm="1">
        <f t="array" ref="M141">INDEX(GMW!$A$2:$NF$150,MATCH(1,(GMW!$NE$2:$NE$150=M$3)*(GMW!$ND$2:$ND$150=M$4)*(GMW!$NF$2:$NF$150=M$1),0),$C141-1966)</f>
        <v>29332.2</v>
      </c>
      <c r="N141" s="4" cm="1">
        <f t="array" ref="N141">INDEX(GMW!$A$2:$NF$150,MATCH(1,(GMW!$NE$2:$NE$150=N$3)*(GMW!$ND$2:$ND$150=N$4)*(GMW!$NF$2:$NF$150=N$1),0),$C141-1966)</f>
        <v>32</v>
      </c>
      <c r="O141" s="4" cm="1">
        <f t="array" ref="O141">INDEX(GMW!$A$2:$NF$150,MATCH(1,(GMW!$NE$2:$NE$150=O$3)*(GMW!$ND$2:$ND$150=O$4)*(GMW!$NF$2:$NF$150=O$1),0),$C141-1966)</f>
        <v>478299.1</v>
      </c>
      <c r="P141" s="4" cm="1">
        <f t="array" ref="P141">INDEX(GMW!$A$2:$NF$150,MATCH(1,(GMW!$NE$2:$NE$150=P$3)*(GMW!$ND$2:$ND$150=P$4)*(GMW!$NF$2:$NF$150=P$1),0),$C141-1966)</f>
        <v>40400.61</v>
      </c>
      <c r="Q141" s="4" cm="1">
        <f t="array" ref="Q141">INDEX(GMW!$A$2:$NF$150,MATCH(1,(GMW!$NE$2:$NE$150=Q$3)*(GMW!$ND$2:$ND$150=Q$4)*(GMW!$NF$2:$NF$150=Q$1),0),$C141-1966)</f>
        <v>2452000</v>
      </c>
      <c r="R141" s="4" cm="1">
        <f t="array" ref="R141">INDEX(GMW!$A$2:$NF$150,MATCH(1,(GMW!$NE$2:$NE$150=R$3)*(GMW!$ND$2:$ND$150=R$4)*(GMW!$NF$2:$NF$150=R$1),0),$C141-1966)</f>
        <v>-1.6821440000000001</v>
      </c>
      <c r="S141" s="4" cm="1">
        <f t="array" ref="S141">INDEX(GMW!$A$2:$NF$150,MATCH(1,(GMW!$NE$2:$NE$150=S$3)*(GMW!$ND$2:$ND$150=S$4)*(GMW!$NF$2:$NF$150=S$1),0),$C141-1966)</f>
        <v>521780</v>
      </c>
      <c r="T141" s="4" cm="1">
        <f t="array" ref="T141">INDEX(GMW!$A$2:$NF$150,MATCH(1,(GMW!$NE$2:$NE$150=T$3)*(GMW!$ND$2:$ND$150=T$4)*(GMW!$NF$2:$NF$150=T$1),0),$C141-1966)</f>
        <v>80.3</v>
      </c>
      <c r="U141" s="4" cm="1">
        <f t="array" ref="U141">INDEX(GMW!$A$2:$NF$150,MATCH(1,(GMW!$NE$2:$NE$150=U$3)*(GMW!$ND$2:$ND$150=U$4)*(GMW!$NF$2:$NF$150=U$1),0),$C141-1966)</f>
        <v>152518</v>
      </c>
      <c r="V141" s="4" cm="1">
        <f t="array" ref="V141">INDEX(GMW!$A$2:$NF$150,MATCH(1,(GMW!$NE$2:$NE$150=V$3)*(GMW!$ND$2:$ND$150=V$4)*(GMW!$NF$2:$NF$150=V$1),0),$C141-1966)</f>
        <v>72582</v>
      </c>
      <c r="W141" s="4" cm="1">
        <f t="array" ref="W141">INDEX(GMW!$A$2:$NF$150,MATCH(1,(GMW!$NE$2:$NE$150=W$3)*(GMW!$ND$2:$ND$150=W$4)*(GMW!$NF$2:$NF$150=W$1),0),$C141-1966)</f>
        <v>156126</v>
      </c>
      <c r="X141" s="4" cm="1">
        <f t="array" ref="X141">INDEX(GMW!$A$2:$NF$150,MATCH(1,(GMW!$NE$2:$NE$150=X$3)*(GMW!$ND$2:$ND$150=X$4)*(GMW!$NF$2:$NF$150=X$1),0),$C141-1966)</f>
        <v>91230</v>
      </c>
      <c r="Y141" s="4" cm="1">
        <f t="array" ref="Y141">INDEX(GMW!$A$2:$NF$150,MATCH(1,(GMW!$NE$2:$NE$150=Y$3)*(GMW!$ND$2:$ND$150=Y$4)*(GMW!$NF$2:$NF$150=Y$1),0),$C141-1966)</f>
        <v>91024</v>
      </c>
      <c r="Z141" s="4" cm="1">
        <f t="array" ref="Z141">INDEX(GMW!$A$2:$NF$150,MATCH(1,(GMW!$NE$2:$NE$150=Z$3)*(GMW!$ND$2:$ND$150=Z$4)*(GMW!$NF$2:$NF$150=Z$1),0),$C141-1966)</f>
        <v>48023</v>
      </c>
      <c r="AA141" s="4" cm="1">
        <f t="array" ref="AA141">INDEX(GMW!$A$2:$NF$150,MATCH(1,(GMW!$NE$2:$NE$150=AA$3)*(GMW!$ND$2:$ND$150=AA$4)*(GMW!$NF$2:$NF$150=AA$1),0),$C141-1966)</f>
        <v>511498</v>
      </c>
      <c r="AB141" s="4" cm="1">
        <f t="array" ref="AB141">INDEX(GMW!$A$2:$NF$150,MATCH(1,(GMW!$NE$2:$NE$150=AB$3)*(GMW!$ND$2:$ND$150=AB$4)*(GMW!$NF$2:$NF$150=AB$1),0),$C141-1966)</f>
        <v>29332.2</v>
      </c>
      <c r="AC141" s="4" cm="1">
        <f t="array" ref="AC141">INDEX(GMW!$A$2:$NF$150,MATCH(1,(GMW!$NE$2:$NE$150=AC$3)*(GMW!$ND$2:$ND$150=AC$4)*(GMW!$NF$2:$NF$150=AC$1),0),$C141-1966)</f>
        <v>32</v>
      </c>
      <c r="AD141" s="4" cm="1">
        <f t="array" ref="AD141">INDEX(GMW!$A$2:$NF$150,MATCH(1,(GMW!$NE$2:$NE$150=AD$3)*(GMW!$ND$2:$ND$150=AD$4)*(GMW!$NF$2:$NF$150=AD$1),0),$C141-1966)</f>
        <v>478299.1</v>
      </c>
      <c r="AE141" s="4" cm="1">
        <f t="array" ref="AE141">INDEX(GMW!$A$2:$NF$150,MATCH(1,(GMW!$NE$2:$NE$150=AE$3)*(GMW!$ND$2:$ND$150=AE$4)*(GMW!$NF$2:$NF$150=AE$1),0),$C141-1966)</f>
        <v>40400.61</v>
      </c>
      <c r="AF141" s="4" cm="1">
        <f t="array" ref="AF141">INDEX(GMW!$A$2:$NF$150,MATCH(1,(GMW!$NE$2:$NE$150=AF$3)*(GMW!$ND$2:$ND$150=AF$4)*(GMW!$NF$2:$NF$150=AF$1),0),$C141-1966)</f>
        <v>2452000</v>
      </c>
      <c r="AG141" s="4" cm="1">
        <f t="array" ref="AG141">INDEX(GMW!$A$2:$NF$150,MATCH(1,(GMW!$NE$2:$NE$150=AG$3)*(GMW!$ND$2:$ND$150=AG$4)*(GMW!$NF$2:$NF$150=AG$1),0),$C141-1966)</f>
        <v>-1.6821440000000001</v>
      </c>
      <c r="AH141" s="4" cm="1">
        <f t="array" ref="AH141">INDEX(GMW!$A$2:$NF$150,MATCH(1,(GMW!$NE$2:$NE$150=AH$3)*(GMW!$ND$2:$ND$150=AH$4)*(GMW!$NF$2:$NF$150=AH$1),0),$C141-1966)</f>
        <v>521780</v>
      </c>
      <c r="AI141" s="4" cm="1">
        <f t="array" ref="AI141">INDEX(GMW!$A$2:$NF$150,MATCH(1,(GMW!$NE$2:$NE$150=AI$3)*(GMW!$ND$2:$ND$150=AI$4)*(GMW!$NF$2:$NF$150=AI$1),0),$C141-1966)</f>
        <v>80.3</v>
      </c>
      <c r="AJ141" s="4" cm="1">
        <f t="array" ref="AJ141">INDEX(GMW!$A$2:$NF$150,MATCH(1,(GMW!$NE$2:$NE$150=AJ$3)*(GMW!$ND$2:$ND$150=AJ$4)*(GMW!$NF$2:$NF$150=AJ$1),0),$C141-1966)</f>
        <v>152518</v>
      </c>
      <c r="AK141" s="4" cm="1">
        <f t="array" ref="AK141">INDEX(GMW!$A$2:$NF$150,MATCH(1,(GMW!$NE$2:$NE$150=AK$3)*(GMW!$ND$2:$ND$150=AK$4)*(GMW!$NF$2:$NF$150=AK$1),0),$C141-1966)</f>
        <v>72582</v>
      </c>
      <c r="AL141" s="4" cm="1">
        <f t="array" ref="AL141">INDEX(GMW!$A$2:$NF$150,MATCH(1,(GMW!$NE$2:$NE$150=AL$3)*(GMW!$ND$2:$ND$150=AL$4)*(GMW!$NF$2:$NF$150=AL$1),0),$C141-1966)</f>
        <v>156126</v>
      </c>
      <c r="AM141" s="4" cm="1">
        <f t="array" ref="AM141">INDEX(GMW!$A$2:$NF$150,MATCH(1,(GMW!$NE$2:$NE$150=AM$3)*(GMW!$ND$2:$ND$150=AM$4)*(GMW!$NF$2:$NF$150=AM$1),0),$C141-1966)</f>
        <v>91230</v>
      </c>
      <c r="AN141" s="4" cm="1">
        <f t="array" ref="AN141">INDEX(GMW!$A$2:$NF$150,MATCH(1,(GMW!$NE$2:$NE$150=AN$3)*(GMW!$ND$2:$ND$150=AN$4)*(GMW!$NF$2:$NF$150=AN$1),0),$C141-1966)</f>
        <v>91024</v>
      </c>
      <c r="AO141" s="4" cm="1">
        <f t="array" ref="AO141">INDEX(GMW!$A$2:$NF$150,MATCH(1,(GMW!$NE$2:$NE$150=AO$3)*(GMW!$ND$2:$ND$150=AO$4)*(GMW!$NF$2:$NF$150=AO$1),0),$C141-1966)</f>
        <v>48023</v>
      </c>
      <c r="AP141" s="4" cm="1">
        <f t="array" ref="AP141">INDEX(GMW!$A$2:$NF$150,MATCH(1,(GMW!$NE$2:$NE$150=AP$3)*(GMW!$ND$2:$ND$150=AP$4)*(GMW!$NF$2:$NF$150=AP$1),0),$C141-1966)</f>
        <v>511498</v>
      </c>
      <c r="AQ141" s="4" cm="1">
        <f t="array" ref="AQ141">INDEX(GMW!$A$2:$NF$150,MATCH(1,(GMW!$NE$2:$NE$150=AQ$3)*(GMW!$ND$2:$ND$150=AQ$4)*(GMW!$NF$2:$NF$150=AQ$1),0),$C141-1966)</f>
        <v>29332.2</v>
      </c>
      <c r="AR141" s="4" cm="1">
        <f t="array" ref="AR141">INDEX(GMW!$A$2:$NF$150,MATCH(1,(GMW!$NE$2:$NE$150=AR$3)*(GMW!$ND$2:$ND$150=AR$4)*(GMW!$NF$2:$NF$150=AR$1),0),$C141-1966)</f>
        <v>32</v>
      </c>
      <c r="AS141" s="4" cm="1">
        <f t="array" ref="AS141">INDEX(GMW!$A$2:$NF$150,MATCH(1,(GMW!$NE$2:$NE$150=AS$3)*(GMW!$ND$2:$ND$150=AS$4)*(GMW!$NF$2:$NF$150=AS$1),0),$C141-1966)</f>
        <v>478299.1</v>
      </c>
      <c r="AT141" s="4" cm="1">
        <f t="array" ref="AT141">INDEX(GMW!$A$2:$NF$150,MATCH(1,(GMW!$NE$2:$NE$150=AT$3)*(GMW!$ND$2:$ND$150=AT$4)*(GMW!$NF$2:$NF$150=AT$1),0),$C141-1966)</f>
        <v>40400.61</v>
      </c>
      <c r="AU141" s="4" cm="1">
        <f t="array" ref="AU141">INDEX(GMW!$A$2:$NF$150,MATCH(1,(GMW!$NE$2:$NE$150=AU$3)*(GMW!$ND$2:$ND$150=AU$4)*(GMW!$NF$2:$NF$150=AU$1),0),$C141-1966)</f>
        <v>2452000</v>
      </c>
      <c r="AV141" s="4" cm="1">
        <f t="array" ref="AV141">INDEX(GMW!$A$2:$NF$150,MATCH(1,(GMW!$NE$2:$NE$150=AV$3)*(GMW!$ND$2:$ND$150=AV$4)*(GMW!$NF$2:$NF$150=AV$1),0),$C141-1966)</f>
        <v>-1.6821440000000001</v>
      </c>
    </row>
    <row r="142" spans="1:48" x14ac:dyDescent="0.25">
      <c r="B142" s="4">
        <f t="shared" si="8"/>
        <v>2006</v>
      </c>
      <c r="C142" s="4">
        <f t="shared" si="7"/>
        <v>2108</v>
      </c>
      <c r="D142" s="4" cm="1">
        <f t="array" ref="D142">INDEX(GMW!$A$2:$NF$150,MATCH(1,(GMW!$NE$2:$NE$150=D$3)*(GMW!$ND$2:$ND$150=D$4)*(GMW!$NF$2:$NF$150=D$1),0),$C142-1966)</f>
        <v>524569</v>
      </c>
      <c r="E142" s="4" cm="1">
        <f t="array" ref="E142">INDEX(GMW!$A$2:$NF$150,MATCH(1,(GMW!$NE$2:$NE$150=E$3)*(GMW!$ND$2:$ND$150=E$4)*(GMW!$NF$2:$NF$150=E$1),0),$C142-1966)</f>
        <v>80.900000000000006</v>
      </c>
      <c r="F142" s="4" cm="1">
        <f t="array" ref="F142">INDEX(GMW!$A$2:$NF$150,MATCH(1,(GMW!$NE$2:$NE$150=F$3)*(GMW!$ND$2:$ND$150=F$4)*(GMW!$NF$2:$NF$150=F$1),0),$C142-1966)</f>
        <v>151637</v>
      </c>
      <c r="G142" s="4" cm="1">
        <f t="array" ref="G142">INDEX(GMW!$A$2:$NF$150,MATCH(1,(GMW!$NE$2:$NE$150=G$3)*(GMW!$ND$2:$ND$150=G$4)*(GMW!$NF$2:$NF$150=G$1),0),$C142-1966)</f>
        <v>72635</v>
      </c>
      <c r="H142" s="4" cm="1">
        <f t="array" ref="H142">INDEX(GMW!$A$2:$NF$150,MATCH(1,(GMW!$NE$2:$NE$150=H$3)*(GMW!$ND$2:$ND$150=H$4)*(GMW!$NF$2:$NF$150=H$1),0),$C142-1966)</f>
        <v>155938</v>
      </c>
      <c r="I142" s="4" cm="1">
        <f t="array" ref="I142">INDEX(GMW!$A$2:$NF$150,MATCH(1,(GMW!$NE$2:$NE$150=I$3)*(GMW!$ND$2:$ND$150=I$4)*(GMW!$NF$2:$NF$150=I$1),0),$C142-1966)</f>
        <v>92435</v>
      </c>
      <c r="J142" s="4" cm="1">
        <f t="array" ref="J142">INDEX(GMW!$A$2:$NF$150,MATCH(1,(GMW!$NE$2:$NE$150=J$3)*(GMW!$ND$2:$ND$150=J$4)*(GMW!$NF$2:$NF$150=J$1),0),$C142-1966)</f>
        <v>90688</v>
      </c>
      <c r="K142" s="4" cm="1">
        <f t="array" ref="K142">INDEX(GMW!$A$2:$NF$150,MATCH(1,(GMW!$NE$2:$NE$150=K$3)*(GMW!$ND$2:$ND$150=K$4)*(GMW!$NF$2:$NF$150=K$1),0),$C142-1966)</f>
        <v>48119</v>
      </c>
      <c r="L142" s="4" cm="1">
        <f t="array" ref="L142">INDEX(GMW!$A$2:$NF$150,MATCH(1,(GMW!$NE$2:$NE$150=L$3)*(GMW!$ND$2:$ND$150=L$4)*(GMW!$NF$2:$NF$150=L$1),0),$C142-1966)</f>
        <v>515389</v>
      </c>
      <c r="M142" s="4" cm="1">
        <f t="array" ref="M142">INDEX(GMW!$A$2:$NF$150,MATCH(1,(GMW!$NE$2:$NE$150=M$3)*(GMW!$ND$2:$ND$150=M$4)*(GMW!$NF$2:$NF$150=M$1),0),$C142-1966)</f>
        <v>29369.25</v>
      </c>
      <c r="N142" s="4" cm="1">
        <f t="array" ref="N142">INDEX(GMW!$A$2:$NF$150,MATCH(1,(GMW!$NE$2:$NE$150=N$3)*(GMW!$ND$2:$ND$150=N$4)*(GMW!$NF$2:$NF$150=N$1),0),$C142-1966)</f>
        <v>32.1</v>
      </c>
      <c r="O142" s="4" cm="1">
        <f t="array" ref="O142">INDEX(GMW!$A$2:$NF$150,MATCH(1,(GMW!$NE$2:$NE$150=O$3)*(GMW!$ND$2:$ND$150=O$4)*(GMW!$NF$2:$NF$150=O$1),0),$C142-1966)</f>
        <v>481504.5</v>
      </c>
      <c r="P142" s="4" cm="1">
        <f t="array" ref="P142">INDEX(GMW!$A$2:$NF$150,MATCH(1,(GMW!$NE$2:$NE$150=P$3)*(GMW!$ND$2:$ND$150=P$4)*(GMW!$NF$2:$NF$150=P$1),0),$C142-1966)</f>
        <v>40497.449999999997</v>
      </c>
      <c r="Q142" s="4" cm="1">
        <f t="array" ref="Q142">INDEX(GMW!$A$2:$NF$150,MATCH(1,(GMW!$NE$2:$NE$150=Q$3)*(GMW!$ND$2:$ND$150=Q$4)*(GMW!$NF$2:$NF$150=Q$1),0),$C142-1966)</f>
        <v>2469000</v>
      </c>
      <c r="R142" s="4" cm="1">
        <f t="array" ref="R142">INDEX(GMW!$A$2:$NF$150,MATCH(1,(GMW!$NE$2:$NE$150=R$3)*(GMW!$ND$2:$ND$150=R$4)*(GMW!$NF$2:$NF$150=R$1),0),$C142-1966)</f>
        <v>-1.6811339999999999</v>
      </c>
      <c r="S142" s="4" cm="1">
        <f t="array" ref="S142">INDEX(GMW!$A$2:$NF$150,MATCH(1,(GMW!$NE$2:$NE$150=S$3)*(GMW!$ND$2:$ND$150=S$4)*(GMW!$NF$2:$NF$150=S$1),0),$C142-1966)</f>
        <v>524569</v>
      </c>
      <c r="T142" s="4" cm="1">
        <f t="array" ref="T142">INDEX(GMW!$A$2:$NF$150,MATCH(1,(GMW!$NE$2:$NE$150=T$3)*(GMW!$ND$2:$ND$150=T$4)*(GMW!$NF$2:$NF$150=T$1),0),$C142-1966)</f>
        <v>80.900000000000006</v>
      </c>
      <c r="U142" s="4" cm="1">
        <f t="array" ref="U142">INDEX(GMW!$A$2:$NF$150,MATCH(1,(GMW!$NE$2:$NE$150=U$3)*(GMW!$ND$2:$ND$150=U$4)*(GMW!$NF$2:$NF$150=U$1),0),$C142-1966)</f>
        <v>151637</v>
      </c>
      <c r="V142" s="4" cm="1">
        <f t="array" ref="V142">INDEX(GMW!$A$2:$NF$150,MATCH(1,(GMW!$NE$2:$NE$150=V$3)*(GMW!$ND$2:$ND$150=V$4)*(GMW!$NF$2:$NF$150=V$1),0),$C142-1966)</f>
        <v>72635</v>
      </c>
      <c r="W142" s="4" cm="1">
        <f t="array" ref="W142">INDEX(GMW!$A$2:$NF$150,MATCH(1,(GMW!$NE$2:$NE$150=W$3)*(GMW!$ND$2:$ND$150=W$4)*(GMW!$NF$2:$NF$150=W$1),0),$C142-1966)</f>
        <v>155938</v>
      </c>
      <c r="X142" s="4" cm="1">
        <f t="array" ref="X142">INDEX(GMW!$A$2:$NF$150,MATCH(1,(GMW!$NE$2:$NE$150=X$3)*(GMW!$ND$2:$ND$150=X$4)*(GMW!$NF$2:$NF$150=X$1),0),$C142-1966)</f>
        <v>92435</v>
      </c>
      <c r="Y142" s="4" cm="1">
        <f t="array" ref="Y142">INDEX(GMW!$A$2:$NF$150,MATCH(1,(GMW!$NE$2:$NE$150=Y$3)*(GMW!$ND$2:$ND$150=Y$4)*(GMW!$NF$2:$NF$150=Y$1),0),$C142-1966)</f>
        <v>90688</v>
      </c>
      <c r="Z142" s="4" cm="1">
        <f t="array" ref="Z142">INDEX(GMW!$A$2:$NF$150,MATCH(1,(GMW!$NE$2:$NE$150=Z$3)*(GMW!$ND$2:$ND$150=Z$4)*(GMW!$NF$2:$NF$150=Z$1),0),$C142-1966)</f>
        <v>48119</v>
      </c>
      <c r="AA142" s="4" cm="1">
        <f t="array" ref="AA142">INDEX(GMW!$A$2:$NF$150,MATCH(1,(GMW!$NE$2:$NE$150=AA$3)*(GMW!$ND$2:$ND$150=AA$4)*(GMW!$NF$2:$NF$150=AA$1),0),$C142-1966)</f>
        <v>515389</v>
      </c>
      <c r="AB142" s="4" cm="1">
        <f t="array" ref="AB142">INDEX(GMW!$A$2:$NF$150,MATCH(1,(GMW!$NE$2:$NE$150=AB$3)*(GMW!$ND$2:$ND$150=AB$4)*(GMW!$NF$2:$NF$150=AB$1),0),$C142-1966)</f>
        <v>29369.25</v>
      </c>
      <c r="AC142" s="4" cm="1">
        <f t="array" ref="AC142">INDEX(GMW!$A$2:$NF$150,MATCH(1,(GMW!$NE$2:$NE$150=AC$3)*(GMW!$ND$2:$ND$150=AC$4)*(GMW!$NF$2:$NF$150=AC$1),0),$C142-1966)</f>
        <v>32.1</v>
      </c>
      <c r="AD142" s="4" cm="1">
        <f t="array" ref="AD142">INDEX(GMW!$A$2:$NF$150,MATCH(1,(GMW!$NE$2:$NE$150=AD$3)*(GMW!$ND$2:$ND$150=AD$4)*(GMW!$NF$2:$NF$150=AD$1),0),$C142-1966)</f>
        <v>481504.5</v>
      </c>
      <c r="AE142" s="4" cm="1">
        <f t="array" ref="AE142">INDEX(GMW!$A$2:$NF$150,MATCH(1,(GMW!$NE$2:$NE$150=AE$3)*(GMW!$ND$2:$ND$150=AE$4)*(GMW!$NF$2:$NF$150=AE$1),0),$C142-1966)</f>
        <v>40497.449999999997</v>
      </c>
      <c r="AF142" s="4" cm="1">
        <f t="array" ref="AF142">INDEX(GMW!$A$2:$NF$150,MATCH(1,(GMW!$NE$2:$NE$150=AF$3)*(GMW!$ND$2:$ND$150=AF$4)*(GMW!$NF$2:$NF$150=AF$1),0),$C142-1966)</f>
        <v>2469000</v>
      </c>
      <c r="AG142" s="4" cm="1">
        <f t="array" ref="AG142">INDEX(GMW!$A$2:$NF$150,MATCH(1,(GMW!$NE$2:$NE$150=AG$3)*(GMW!$ND$2:$ND$150=AG$4)*(GMW!$NF$2:$NF$150=AG$1),0),$C142-1966)</f>
        <v>-1.6811339999999999</v>
      </c>
      <c r="AH142" s="4" cm="1">
        <f t="array" ref="AH142">INDEX(GMW!$A$2:$NF$150,MATCH(1,(GMW!$NE$2:$NE$150=AH$3)*(GMW!$ND$2:$ND$150=AH$4)*(GMW!$NF$2:$NF$150=AH$1),0),$C142-1966)</f>
        <v>524569</v>
      </c>
      <c r="AI142" s="4" cm="1">
        <f t="array" ref="AI142">INDEX(GMW!$A$2:$NF$150,MATCH(1,(GMW!$NE$2:$NE$150=AI$3)*(GMW!$ND$2:$ND$150=AI$4)*(GMW!$NF$2:$NF$150=AI$1),0),$C142-1966)</f>
        <v>80.900000000000006</v>
      </c>
      <c r="AJ142" s="4" cm="1">
        <f t="array" ref="AJ142">INDEX(GMW!$A$2:$NF$150,MATCH(1,(GMW!$NE$2:$NE$150=AJ$3)*(GMW!$ND$2:$ND$150=AJ$4)*(GMW!$NF$2:$NF$150=AJ$1),0),$C142-1966)</f>
        <v>151637</v>
      </c>
      <c r="AK142" s="4" cm="1">
        <f t="array" ref="AK142">INDEX(GMW!$A$2:$NF$150,MATCH(1,(GMW!$NE$2:$NE$150=AK$3)*(GMW!$ND$2:$ND$150=AK$4)*(GMW!$NF$2:$NF$150=AK$1),0),$C142-1966)</f>
        <v>72635</v>
      </c>
      <c r="AL142" s="4" cm="1">
        <f t="array" ref="AL142">INDEX(GMW!$A$2:$NF$150,MATCH(1,(GMW!$NE$2:$NE$150=AL$3)*(GMW!$ND$2:$ND$150=AL$4)*(GMW!$NF$2:$NF$150=AL$1),0),$C142-1966)</f>
        <v>155938</v>
      </c>
      <c r="AM142" s="4" cm="1">
        <f t="array" ref="AM142">INDEX(GMW!$A$2:$NF$150,MATCH(1,(GMW!$NE$2:$NE$150=AM$3)*(GMW!$ND$2:$ND$150=AM$4)*(GMW!$NF$2:$NF$150=AM$1),0),$C142-1966)</f>
        <v>92435</v>
      </c>
      <c r="AN142" s="4" cm="1">
        <f t="array" ref="AN142">INDEX(GMW!$A$2:$NF$150,MATCH(1,(GMW!$NE$2:$NE$150=AN$3)*(GMW!$ND$2:$ND$150=AN$4)*(GMW!$NF$2:$NF$150=AN$1),0),$C142-1966)</f>
        <v>90688</v>
      </c>
      <c r="AO142" s="4" cm="1">
        <f t="array" ref="AO142">INDEX(GMW!$A$2:$NF$150,MATCH(1,(GMW!$NE$2:$NE$150=AO$3)*(GMW!$ND$2:$ND$150=AO$4)*(GMW!$NF$2:$NF$150=AO$1),0),$C142-1966)</f>
        <v>48119</v>
      </c>
      <c r="AP142" s="4" cm="1">
        <f t="array" ref="AP142">INDEX(GMW!$A$2:$NF$150,MATCH(1,(GMW!$NE$2:$NE$150=AP$3)*(GMW!$ND$2:$ND$150=AP$4)*(GMW!$NF$2:$NF$150=AP$1),0),$C142-1966)</f>
        <v>515389</v>
      </c>
      <c r="AQ142" s="4" cm="1">
        <f t="array" ref="AQ142">INDEX(GMW!$A$2:$NF$150,MATCH(1,(GMW!$NE$2:$NE$150=AQ$3)*(GMW!$ND$2:$ND$150=AQ$4)*(GMW!$NF$2:$NF$150=AQ$1),0),$C142-1966)</f>
        <v>29369.25</v>
      </c>
      <c r="AR142" s="4" cm="1">
        <f t="array" ref="AR142">INDEX(GMW!$A$2:$NF$150,MATCH(1,(GMW!$NE$2:$NE$150=AR$3)*(GMW!$ND$2:$ND$150=AR$4)*(GMW!$NF$2:$NF$150=AR$1),0),$C142-1966)</f>
        <v>32.1</v>
      </c>
      <c r="AS142" s="4" cm="1">
        <f t="array" ref="AS142">INDEX(GMW!$A$2:$NF$150,MATCH(1,(GMW!$NE$2:$NE$150=AS$3)*(GMW!$ND$2:$ND$150=AS$4)*(GMW!$NF$2:$NF$150=AS$1),0),$C142-1966)</f>
        <v>481504.5</v>
      </c>
      <c r="AT142" s="4" cm="1">
        <f t="array" ref="AT142">INDEX(GMW!$A$2:$NF$150,MATCH(1,(GMW!$NE$2:$NE$150=AT$3)*(GMW!$ND$2:$ND$150=AT$4)*(GMW!$NF$2:$NF$150=AT$1),0),$C142-1966)</f>
        <v>40497.449999999997</v>
      </c>
      <c r="AU142" s="4" cm="1">
        <f t="array" ref="AU142">INDEX(GMW!$A$2:$NF$150,MATCH(1,(GMW!$NE$2:$NE$150=AU$3)*(GMW!$ND$2:$ND$150=AU$4)*(GMW!$NF$2:$NF$150=AU$1),0),$C142-1966)</f>
        <v>2469000</v>
      </c>
      <c r="AV142" s="4" cm="1">
        <f t="array" ref="AV142">INDEX(GMW!$A$2:$NF$150,MATCH(1,(GMW!$NE$2:$NE$150=AV$3)*(GMW!$ND$2:$ND$150=AV$4)*(GMW!$NF$2:$NF$150=AV$1),0),$C142-1966)</f>
        <v>-1.6811339999999999</v>
      </c>
    </row>
    <row r="143" spans="1:48" x14ac:dyDescent="0.25">
      <c r="A143" s="4">
        <v>2007</v>
      </c>
      <c r="B143" s="4">
        <f t="shared" si="8"/>
        <v>2007</v>
      </c>
      <c r="C143" s="4">
        <f t="shared" si="7"/>
        <v>2109</v>
      </c>
      <c r="D143" s="4" cm="1">
        <f t="array" ref="D143">INDEX(GMW!$A$2:$NF$150,MATCH(1,(GMW!$NE$2:$NE$150=D$3)*(GMW!$ND$2:$ND$150=D$4)*(GMW!$NF$2:$NF$150=D$1),0),$C143-1966)</f>
        <v>529398</v>
      </c>
      <c r="E143" s="4" cm="1">
        <f t="array" ref="E143">INDEX(GMW!$A$2:$NF$150,MATCH(1,(GMW!$NE$2:$NE$150=E$3)*(GMW!$ND$2:$ND$150=E$4)*(GMW!$NF$2:$NF$150=E$1),0),$C143-1966)</f>
        <v>81</v>
      </c>
      <c r="F143" s="4" cm="1">
        <f t="array" ref="F143">INDEX(GMW!$A$2:$NF$150,MATCH(1,(GMW!$NE$2:$NE$150=F$3)*(GMW!$ND$2:$ND$150=F$4)*(GMW!$NF$2:$NF$150=F$1),0),$C143-1966)</f>
        <v>152960</v>
      </c>
      <c r="G143" s="4" cm="1">
        <f t="array" ref="G143">INDEX(GMW!$A$2:$NF$150,MATCH(1,(GMW!$NE$2:$NE$150=G$3)*(GMW!$ND$2:$ND$150=G$4)*(GMW!$NF$2:$NF$150=G$1),0),$C143-1966)</f>
        <v>72659</v>
      </c>
      <c r="H143" s="4" cm="1">
        <f t="array" ref="H143">INDEX(GMW!$A$2:$NF$150,MATCH(1,(GMW!$NE$2:$NE$150=H$3)*(GMW!$ND$2:$ND$150=H$4)*(GMW!$NF$2:$NF$150=H$1),0),$C143-1966)</f>
        <v>160014</v>
      </c>
      <c r="I143" s="4" cm="1">
        <f t="array" ref="I143">INDEX(GMW!$A$2:$NF$150,MATCH(1,(GMW!$NE$2:$NE$150=I$3)*(GMW!$ND$2:$ND$150=I$4)*(GMW!$NF$2:$NF$150=I$1),0),$C143-1966)</f>
        <v>95543</v>
      </c>
      <c r="J143" s="4" cm="1">
        <f t="array" ref="J143">INDEX(GMW!$A$2:$NF$150,MATCH(1,(GMW!$NE$2:$NE$150=J$3)*(GMW!$ND$2:$ND$150=J$4)*(GMW!$NF$2:$NF$150=J$1),0),$C143-1966)</f>
        <v>91825</v>
      </c>
      <c r="K143" s="4" cm="1">
        <f t="array" ref="K143">INDEX(GMW!$A$2:$NF$150,MATCH(1,(GMW!$NE$2:$NE$150=K$3)*(GMW!$ND$2:$ND$150=K$4)*(GMW!$NF$2:$NF$150=K$1),0),$C143-1966)</f>
        <v>50429</v>
      </c>
      <c r="L143" s="4" cm="1">
        <f t="array" ref="L143">INDEX(GMW!$A$2:$NF$150,MATCH(1,(GMW!$NE$2:$NE$150=L$3)*(GMW!$ND$2:$ND$150=L$4)*(GMW!$NF$2:$NF$150=L$1),0),$C143-1966)</f>
        <v>517232.5</v>
      </c>
      <c r="M143" s="4" cm="1">
        <f t="array" ref="M143">INDEX(GMW!$A$2:$NF$150,MATCH(1,(GMW!$NE$2:$NE$150=M$3)*(GMW!$ND$2:$ND$150=M$4)*(GMW!$NF$2:$NF$150=M$1),0),$C143-1966)</f>
        <v>29353.1</v>
      </c>
      <c r="N143" s="4" cm="1">
        <f t="array" ref="N143">INDEX(GMW!$A$2:$NF$150,MATCH(1,(GMW!$NE$2:$NE$150=N$3)*(GMW!$ND$2:$ND$150=N$4)*(GMW!$NF$2:$NF$150=N$1),0),$C143-1966)</f>
        <v>32.1</v>
      </c>
      <c r="O143" s="4" cm="1">
        <f t="array" ref="O143">INDEX(GMW!$A$2:$NF$150,MATCH(1,(GMW!$NE$2:$NE$150=O$3)*(GMW!$ND$2:$ND$150=O$4)*(GMW!$NF$2:$NF$150=O$1),0),$C143-1966)</f>
        <v>484819.3</v>
      </c>
      <c r="P143" s="4" cm="1">
        <f t="array" ref="P143">INDEX(GMW!$A$2:$NF$150,MATCH(1,(GMW!$NE$2:$NE$150=P$3)*(GMW!$ND$2:$ND$150=P$4)*(GMW!$NF$2:$NF$150=P$1),0),$C143-1966)</f>
        <v>40594.300000000003</v>
      </c>
      <c r="Q143" s="4" cm="1">
        <f t="array" ref="Q143">INDEX(GMW!$A$2:$NF$150,MATCH(1,(GMW!$NE$2:$NE$150=Q$3)*(GMW!$ND$2:$ND$150=Q$4)*(GMW!$NF$2:$NF$150=Q$1),0),$C143-1966)</f>
        <v>2490000</v>
      </c>
      <c r="R143" s="4" cm="1">
        <f t="array" ref="R143">INDEX(GMW!$A$2:$NF$150,MATCH(1,(GMW!$NE$2:$NE$150=R$3)*(GMW!$ND$2:$ND$150=R$4)*(GMW!$NF$2:$NF$150=R$1),0),$C143-1966)</f>
        <v>-1.680966</v>
      </c>
      <c r="S143" s="4" cm="1">
        <f t="array" ref="S143">INDEX(GMW!$A$2:$NF$150,MATCH(1,(GMW!$NE$2:$NE$150=S$3)*(GMW!$ND$2:$ND$150=S$4)*(GMW!$NF$2:$NF$150=S$1),0),$C143-1966)</f>
        <v>529398</v>
      </c>
      <c r="T143" s="4" cm="1">
        <f t="array" ref="T143">INDEX(GMW!$A$2:$NF$150,MATCH(1,(GMW!$NE$2:$NE$150=T$3)*(GMW!$ND$2:$ND$150=T$4)*(GMW!$NF$2:$NF$150=T$1),0),$C143-1966)</f>
        <v>81</v>
      </c>
      <c r="U143" s="4" cm="1">
        <f t="array" ref="U143">INDEX(GMW!$A$2:$NF$150,MATCH(1,(GMW!$NE$2:$NE$150=U$3)*(GMW!$ND$2:$ND$150=U$4)*(GMW!$NF$2:$NF$150=U$1),0),$C143-1966)</f>
        <v>152960</v>
      </c>
      <c r="V143" s="4" cm="1">
        <f t="array" ref="V143">INDEX(GMW!$A$2:$NF$150,MATCH(1,(GMW!$NE$2:$NE$150=V$3)*(GMW!$ND$2:$ND$150=V$4)*(GMW!$NF$2:$NF$150=V$1),0),$C143-1966)</f>
        <v>72659</v>
      </c>
      <c r="W143" s="4" cm="1">
        <f t="array" ref="W143">INDEX(GMW!$A$2:$NF$150,MATCH(1,(GMW!$NE$2:$NE$150=W$3)*(GMW!$ND$2:$ND$150=W$4)*(GMW!$NF$2:$NF$150=W$1),0),$C143-1966)</f>
        <v>160014</v>
      </c>
      <c r="X143" s="4" cm="1">
        <f t="array" ref="X143">INDEX(GMW!$A$2:$NF$150,MATCH(1,(GMW!$NE$2:$NE$150=X$3)*(GMW!$ND$2:$ND$150=X$4)*(GMW!$NF$2:$NF$150=X$1),0),$C143-1966)</f>
        <v>95543</v>
      </c>
      <c r="Y143" s="4" cm="1">
        <f t="array" ref="Y143">INDEX(GMW!$A$2:$NF$150,MATCH(1,(GMW!$NE$2:$NE$150=Y$3)*(GMW!$ND$2:$ND$150=Y$4)*(GMW!$NF$2:$NF$150=Y$1),0),$C143-1966)</f>
        <v>91825</v>
      </c>
      <c r="Z143" s="4" cm="1">
        <f t="array" ref="Z143">INDEX(GMW!$A$2:$NF$150,MATCH(1,(GMW!$NE$2:$NE$150=Z$3)*(GMW!$ND$2:$ND$150=Z$4)*(GMW!$NF$2:$NF$150=Z$1),0),$C143-1966)</f>
        <v>50429</v>
      </c>
      <c r="AA143" s="4" cm="1">
        <f t="array" ref="AA143">INDEX(GMW!$A$2:$NF$150,MATCH(1,(GMW!$NE$2:$NE$150=AA$3)*(GMW!$ND$2:$ND$150=AA$4)*(GMW!$NF$2:$NF$150=AA$1),0),$C143-1966)</f>
        <v>517232.5</v>
      </c>
      <c r="AB143" s="4" cm="1">
        <f t="array" ref="AB143">INDEX(GMW!$A$2:$NF$150,MATCH(1,(GMW!$NE$2:$NE$150=AB$3)*(GMW!$ND$2:$ND$150=AB$4)*(GMW!$NF$2:$NF$150=AB$1),0),$C143-1966)</f>
        <v>29353.1</v>
      </c>
      <c r="AC143" s="4" cm="1">
        <f t="array" ref="AC143">INDEX(GMW!$A$2:$NF$150,MATCH(1,(GMW!$NE$2:$NE$150=AC$3)*(GMW!$ND$2:$ND$150=AC$4)*(GMW!$NF$2:$NF$150=AC$1),0),$C143-1966)</f>
        <v>32.1</v>
      </c>
      <c r="AD143" s="4" cm="1">
        <f t="array" ref="AD143">INDEX(GMW!$A$2:$NF$150,MATCH(1,(GMW!$NE$2:$NE$150=AD$3)*(GMW!$ND$2:$ND$150=AD$4)*(GMW!$NF$2:$NF$150=AD$1),0),$C143-1966)</f>
        <v>484819.3</v>
      </c>
      <c r="AE143" s="4" cm="1">
        <f t="array" ref="AE143">INDEX(GMW!$A$2:$NF$150,MATCH(1,(GMW!$NE$2:$NE$150=AE$3)*(GMW!$ND$2:$ND$150=AE$4)*(GMW!$NF$2:$NF$150=AE$1),0),$C143-1966)</f>
        <v>40594.300000000003</v>
      </c>
      <c r="AF143" s="4" cm="1">
        <f t="array" ref="AF143">INDEX(GMW!$A$2:$NF$150,MATCH(1,(GMW!$NE$2:$NE$150=AF$3)*(GMW!$ND$2:$ND$150=AF$4)*(GMW!$NF$2:$NF$150=AF$1),0),$C143-1966)</f>
        <v>2490000</v>
      </c>
      <c r="AG143" s="4" cm="1">
        <f t="array" ref="AG143">INDEX(GMW!$A$2:$NF$150,MATCH(1,(GMW!$NE$2:$NE$150=AG$3)*(GMW!$ND$2:$ND$150=AG$4)*(GMW!$NF$2:$NF$150=AG$1),0),$C143-1966)</f>
        <v>-1.680966</v>
      </c>
      <c r="AH143" s="4" cm="1">
        <f t="array" ref="AH143">INDEX(GMW!$A$2:$NF$150,MATCH(1,(GMW!$NE$2:$NE$150=AH$3)*(GMW!$ND$2:$ND$150=AH$4)*(GMW!$NF$2:$NF$150=AH$1),0),$C143-1966)</f>
        <v>529398</v>
      </c>
      <c r="AI143" s="4" cm="1">
        <f t="array" ref="AI143">INDEX(GMW!$A$2:$NF$150,MATCH(1,(GMW!$NE$2:$NE$150=AI$3)*(GMW!$ND$2:$ND$150=AI$4)*(GMW!$NF$2:$NF$150=AI$1),0),$C143-1966)</f>
        <v>81</v>
      </c>
      <c r="AJ143" s="4" cm="1">
        <f t="array" ref="AJ143">INDEX(GMW!$A$2:$NF$150,MATCH(1,(GMW!$NE$2:$NE$150=AJ$3)*(GMW!$ND$2:$ND$150=AJ$4)*(GMW!$NF$2:$NF$150=AJ$1),0),$C143-1966)</f>
        <v>152960</v>
      </c>
      <c r="AK143" s="4" cm="1">
        <f t="array" ref="AK143">INDEX(GMW!$A$2:$NF$150,MATCH(1,(GMW!$NE$2:$NE$150=AK$3)*(GMW!$ND$2:$ND$150=AK$4)*(GMW!$NF$2:$NF$150=AK$1),0),$C143-1966)</f>
        <v>72659</v>
      </c>
      <c r="AL143" s="4" cm="1">
        <f t="array" ref="AL143">INDEX(GMW!$A$2:$NF$150,MATCH(1,(GMW!$NE$2:$NE$150=AL$3)*(GMW!$ND$2:$ND$150=AL$4)*(GMW!$NF$2:$NF$150=AL$1),0),$C143-1966)</f>
        <v>160014</v>
      </c>
      <c r="AM143" s="4" cm="1">
        <f t="array" ref="AM143">INDEX(GMW!$A$2:$NF$150,MATCH(1,(GMW!$NE$2:$NE$150=AM$3)*(GMW!$ND$2:$ND$150=AM$4)*(GMW!$NF$2:$NF$150=AM$1),0),$C143-1966)</f>
        <v>95543</v>
      </c>
      <c r="AN143" s="4" cm="1">
        <f t="array" ref="AN143">INDEX(GMW!$A$2:$NF$150,MATCH(1,(GMW!$NE$2:$NE$150=AN$3)*(GMW!$ND$2:$ND$150=AN$4)*(GMW!$NF$2:$NF$150=AN$1),0),$C143-1966)</f>
        <v>91825</v>
      </c>
      <c r="AO143" s="4" cm="1">
        <f t="array" ref="AO143">INDEX(GMW!$A$2:$NF$150,MATCH(1,(GMW!$NE$2:$NE$150=AO$3)*(GMW!$ND$2:$ND$150=AO$4)*(GMW!$NF$2:$NF$150=AO$1),0),$C143-1966)</f>
        <v>50429</v>
      </c>
      <c r="AP143" s="4" cm="1">
        <f t="array" ref="AP143">INDEX(GMW!$A$2:$NF$150,MATCH(1,(GMW!$NE$2:$NE$150=AP$3)*(GMW!$ND$2:$ND$150=AP$4)*(GMW!$NF$2:$NF$150=AP$1),0),$C143-1966)</f>
        <v>517232.5</v>
      </c>
      <c r="AQ143" s="4" cm="1">
        <f t="array" ref="AQ143">INDEX(GMW!$A$2:$NF$150,MATCH(1,(GMW!$NE$2:$NE$150=AQ$3)*(GMW!$ND$2:$ND$150=AQ$4)*(GMW!$NF$2:$NF$150=AQ$1),0),$C143-1966)</f>
        <v>29353.1</v>
      </c>
      <c r="AR143" s="4" cm="1">
        <f t="array" ref="AR143">INDEX(GMW!$A$2:$NF$150,MATCH(1,(GMW!$NE$2:$NE$150=AR$3)*(GMW!$ND$2:$ND$150=AR$4)*(GMW!$NF$2:$NF$150=AR$1),0),$C143-1966)</f>
        <v>32.1</v>
      </c>
      <c r="AS143" s="4" cm="1">
        <f t="array" ref="AS143">INDEX(GMW!$A$2:$NF$150,MATCH(1,(GMW!$NE$2:$NE$150=AS$3)*(GMW!$ND$2:$ND$150=AS$4)*(GMW!$NF$2:$NF$150=AS$1),0),$C143-1966)</f>
        <v>484819.3</v>
      </c>
      <c r="AT143" s="4" cm="1">
        <f t="array" ref="AT143">INDEX(GMW!$A$2:$NF$150,MATCH(1,(GMW!$NE$2:$NE$150=AT$3)*(GMW!$ND$2:$ND$150=AT$4)*(GMW!$NF$2:$NF$150=AT$1),0),$C143-1966)</f>
        <v>40594.300000000003</v>
      </c>
      <c r="AU143" s="4" cm="1">
        <f t="array" ref="AU143">INDEX(GMW!$A$2:$NF$150,MATCH(1,(GMW!$NE$2:$NE$150=AU$3)*(GMW!$ND$2:$ND$150=AU$4)*(GMW!$NF$2:$NF$150=AU$1),0),$C143-1966)</f>
        <v>2490000</v>
      </c>
      <c r="AV143" s="4" cm="1">
        <f t="array" ref="AV143">INDEX(GMW!$A$2:$NF$150,MATCH(1,(GMW!$NE$2:$NE$150=AV$3)*(GMW!$ND$2:$ND$150=AV$4)*(GMW!$NF$2:$NF$150=AV$1),0),$C143-1966)</f>
        <v>-1.680966</v>
      </c>
    </row>
    <row r="144" spans="1:48" x14ac:dyDescent="0.25">
      <c r="B144" s="4">
        <f t="shared" si="8"/>
        <v>2007</v>
      </c>
      <c r="C144" s="4">
        <f t="shared" si="7"/>
        <v>2110</v>
      </c>
      <c r="D144" s="4" cm="1">
        <f t="array" ref="D144">INDEX(GMW!$A$2:$NF$150,MATCH(1,(GMW!$NE$2:$NE$150=D$3)*(GMW!$ND$2:$ND$150=D$4)*(GMW!$NF$2:$NF$150=D$1),0),$C144-1966)</f>
        <v>533187</v>
      </c>
      <c r="E144" s="4" cm="1">
        <f t="array" ref="E144">INDEX(GMW!$A$2:$NF$150,MATCH(1,(GMW!$NE$2:$NE$150=E$3)*(GMW!$ND$2:$ND$150=E$4)*(GMW!$NF$2:$NF$150=E$1),0),$C144-1966)</f>
        <v>81.8</v>
      </c>
      <c r="F144" s="4" cm="1">
        <f t="array" ref="F144">INDEX(GMW!$A$2:$NF$150,MATCH(1,(GMW!$NE$2:$NE$150=F$3)*(GMW!$ND$2:$ND$150=F$4)*(GMW!$NF$2:$NF$150=F$1),0),$C144-1966)</f>
        <v>158494</v>
      </c>
      <c r="G144" s="4" cm="1">
        <f t="array" ref="G144">INDEX(GMW!$A$2:$NF$150,MATCH(1,(GMW!$NE$2:$NE$150=G$3)*(GMW!$ND$2:$ND$150=G$4)*(GMW!$NF$2:$NF$150=G$1),0),$C144-1966)</f>
        <v>75457</v>
      </c>
      <c r="H144" s="4" cm="1">
        <f t="array" ref="H144">INDEX(GMW!$A$2:$NF$150,MATCH(1,(GMW!$NE$2:$NE$150=H$3)*(GMW!$ND$2:$ND$150=H$4)*(GMW!$NF$2:$NF$150=H$1),0),$C144-1966)</f>
        <v>159398</v>
      </c>
      <c r="I144" s="4" cm="1">
        <f t="array" ref="I144">INDEX(GMW!$A$2:$NF$150,MATCH(1,(GMW!$NE$2:$NE$150=I$3)*(GMW!$ND$2:$ND$150=I$4)*(GMW!$NF$2:$NF$150=I$1),0),$C144-1966)</f>
        <v>95581</v>
      </c>
      <c r="J144" s="4" cm="1">
        <f t="array" ref="J144">INDEX(GMW!$A$2:$NF$150,MATCH(1,(GMW!$NE$2:$NE$150=J$3)*(GMW!$ND$2:$ND$150=J$4)*(GMW!$NF$2:$NF$150=J$1),0),$C144-1966)</f>
        <v>94089</v>
      </c>
      <c r="K144" s="4" cm="1">
        <f t="array" ref="K144">INDEX(GMW!$A$2:$NF$150,MATCH(1,(GMW!$NE$2:$NE$150=K$3)*(GMW!$ND$2:$ND$150=K$4)*(GMW!$NF$2:$NF$150=K$1),0),$C144-1966)</f>
        <v>51135</v>
      </c>
      <c r="L144" s="4" cm="1">
        <f t="array" ref="L144">INDEX(GMW!$A$2:$NF$150,MATCH(1,(GMW!$NE$2:$NE$150=L$3)*(GMW!$ND$2:$ND$150=L$4)*(GMW!$NF$2:$NF$150=L$1),0),$C144-1966)</f>
        <v>521524.9</v>
      </c>
      <c r="M144" s="4" cm="1">
        <f t="array" ref="M144">INDEX(GMW!$A$2:$NF$150,MATCH(1,(GMW!$NE$2:$NE$150=M$3)*(GMW!$ND$2:$ND$150=M$4)*(GMW!$NF$2:$NF$150=M$1),0),$C144-1966)</f>
        <v>29431</v>
      </c>
      <c r="N144" s="4" cm="1">
        <f t="array" ref="N144">INDEX(GMW!$A$2:$NF$150,MATCH(1,(GMW!$NE$2:$NE$150=N$3)*(GMW!$ND$2:$ND$150=N$4)*(GMW!$NF$2:$NF$150=N$1),0),$C144-1966)</f>
        <v>32.200000000000003</v>
      </c>
      <c r="O144" s="4" cm="1">
        <f t="array" ref="O144">INDEX(GMW!$A$2:$NF$150,MATCH(1,(GMW!$NE$2:$NE$150=O$3)*(GMW!$ND$2:$ND$150=O$4)*(GMW!$NF$2:$NF$150=O$1),0),$C144-1966)</f>
        <v>488229</v>
      </c>
      <c r="P144" s="4" cm="1">
        <f t="array" ref="P144">INDEX(GMW!$A$2:$NF$150,MATCH(1,(GMW!$NE$2:$NE$150=P$3)*(GMW!$ND$2:$ND$150=P$4)*(GMW!$NF$2:$NF$150=P$1),0),$C144-1966)</f>
        <v>40691.14</v>
      </c>
      <c r="Q144" s="4" cm="1">
        <f t="array" ref="Q144">INDEX(GMW!$A$2:$NF$150,MATCH(1,(GMW!$NE$2:$NE$150=Q$3)*(GMW!$ND$2:$ND$150=Q$4)*(GMW!$NF$2:$NF$150=Q$1),0),$C144-1966)</f>
        <v>2511000</v>
      </c>
      <c r="R144" s="4" cm="1">
        <f t="array" ref="R144">INDEX(GMW!$A$2:$NF$150,MATCH(1,(GMW!$NE$2:$NE$150=R$3)*(GMW!$ND$2:$ND$150=R$4)*(GMW!$NF$2:$NF$150=R$1),0),$C144-1966)</f>
        <v>-1.680798</v>
      </c>
      <c r="S144" s="4" cm="1">
        <f t="array" ref="S144">INDEX(GMW!$A$2:$NF$150,MATCH(1,(GMW!$NE$2:$NE$150=S$3)*(GMW!$ND$2:$ND$150=S$4)*(GMW!$NF$2:$NF$150=S$1),0),$C144-1966)</f>
        <v>533187</v>
      </c>
      <c r="T144" s="4" cm="1">
        <f t="array" ref="T144">INDEX(GMW!$A$2:$NF$150,MATCH(1,(GMW!$NE$2:$NE$150=T$3)*(GMW!$ND$2:$ND$150=T$4)*(GMW!$NF$2:$NF$150=T$1),0),$C144-1966)</f>
        <v>81.8</v>
      </c>
      <c r="U144" s="4" cm="1">
        <f t="array" ref="U144">INDEX(GMW!$A$2:$NF$150,MATCH(1,(GMW!$NE$2:$NE$150=U$3)*(GMW!$ND$2:$ND$150=U$4)*(GMW!$NF$2:$NF$150=U$1),0),$C144-1966)</f>
        <v>158494</v>
      </c>
      <c r="V144" s="4" cm="1">
        <f t="array" ref="V144">INDEX(GMW!$A$2:$NF$150,MATCH(1,(GMW!$NE$2:$NE$150=V$3)*(GMW!$ND$2:$ND$150=V$4)*(GMW!$NF$2:$NF$150=V$1),0),$C144-1966)</f>
        <v>75457</v>
      </c>
      <c r="W144" s="4" cm="1">
        <f t="array" ref="W144">INDEX(GMW!$A$2:$NF$150,MATCH(1,(GMW!$NE$2:$NE$150=W$3)*(GMW!$ND$2:$ND$150=W$4)*(GMW!$NF$2:$NF$150=W$1),0),$C144-1966)</f>
        <v>159398</v>
      </c>
      <c r="X144" s="4" cm="1">
        <f t="array" ref="X144">INDEX(GMW!$A$2:$NF$150,MATCH(1,(GMW!$NE$2:$NE$150=X$3)*(GMW!$ND$2:$ND$150=X$4)*(GMW!$NF$2:$NF$150=X$1),0),$C144-1966)</f>
        <v>95581</v>
      </c>
      <c r="Y144" s="4" cm="1">
        <f t="array" ref="Y144">INDEX(GMW!$A$2:$NF$150,MATCH(1,(GMW!$NE$2:$NE$150=Y$3)*(GMW!$ND$2:$ND$150=Y$4)*(GMW!$NF$2:$NF$150=Y$1),0),$C144-1966)</f>
        <v>94089</v>
      </c>
      <c r="Z144" s="4" cm="1">
        <f t="array" ref="Z144">INDEX(GMW!$A$2:$NF$150,MATCH(1,(GMW!$NE$2:$NE$150=Z$3)*(GMW!$ND$2:$ND$150=Z$4)*(GMW!$NF$2:$NF$150=Z$1),0),$C144-1966)</f>
        <v>51135</v>
      </c>
      <c r="AA144" s="4" cm="1">
        <f t="array" ref="AA144">INDEX(GMW!$A$2:$NF$150,MATCH(1,(GMW!$NE$2:$NE$150=AA$3)*(GMW!$ND$2:$ND$150=AA$4)*(GMW!$NF$2:$NF$150=AA$1),0),$C144-1966)</f>
        <v>521524.9</v>
      </c>
      <c r="AB144" s="4" cm="1">
        <f t="array" ref="AB144">INDEX(GMW!$A$2:$NF$150,MATCH(1,(GMW!$NE$2:$NE$150=AB$3)*(GMW!$ND$2:$ND$150=AB$4)*(GMW!$NF$2:$NF$150=AB$1),0),$C144-1966)</f>
        <v>29431</v>
      </c>
      <c r="AC144" s="4" cm="1">
        <f t="array" ref="AC144">INDEX(GMW!$A$2:$NF$150,MATCH(1,(GMW!$NE$2:$NE$150=AC$3)*(GMW!$ND$2:$ND$150=AC$4)*(GMW!$NF$2:$NF$150=AC$1),0),$C144-1966)</f>
        <v>32.200000000000003</v>
      </c>
      <c r="AD144" s="4" cm="1">
        <f t="array" ref="AD144">INDEX(GMW!$A$2:$NF$150,MATCH(1,(GMW!$NE$2:$NE$150=AD$3)*(GMW!$ND$2:$ND$150=AD$4)*(GMW!$NF$2:$NF$150=AD$1),0),$C144-1966)</f>
        <v>488229</v>
      </c>
      <c r="AE144" s="4" cm="1">
        <f t="array" ref="AE144">INDEX(GMW!$A$2:$NF$150,MATCH(1,(GMW!$NE$2:$NE$150=AE$3)*(GMW!$ND$2:$ND$150=AE$4)*(GMW!$NF$2:$NF$150=AE$1),0),$C144-1966)</f>
        <v>40691.14</v>
      </c>
      <c r="AF144" s="4" cm="1">
        <f t="array" ref="AF144">INDEX(GMW!$A$2:$NF$150,MATCH(1,(GMW!$NE$2:$NE$150=AF$3)*(GMW!$ND$2:$ND$150=AF$4)*(GMW!$NF$2:$NF$150=AF$1),0),$C144-1966)</f>
        <v>2511000</v>
      </c>
      <c r="AG144" s="4" cm="1">
        <f t="array" ref="AG144">INDEX(GMW!$A$2:$NF$150,MATCH(1,(GMW!$NE$2:$NE$150=AG$3)*(GMW!$ND$2:$ND$150=AG$4)*(GMW!$NF$2:$NF$150=AG$1),0),$C144-1966)</f>
        <v>-1.680798</v>
      </c>
      <c r="AH144" s="4" cm="1">
        <f t="array" ref="AH144">INDEX(GMW!$A$2:$NF$150,MATCH(1,(GMW!$NE$2:$NE$150=AH$3)*(GMW!$ND$2:$ND$150=AH$4)*(GMW!$NF$2:$NF$150=AH$1),0),$C144-1966)</f>
        <v>533187</v>
      </c>
      <c r="AI144" s="4" cm="1">
        <f t="array" ref="AI144">INDEX(GMW!$A$2:$NF$150,MATCH(1,(GMW!$NE$2:$NE$150=AI$3)*(GMW!$ND$2:$ND$150=AI$4)*(GMW!$NF$2:$NF$150=AI$1),0),$C144-1966)</f>
        <v>81.8</v>
      </c>
      <c r="AJ144" s="4" cm="1">
        <f t="array" ref="AJ144">INDEX(GMW!$A$2:$NF$150,MATCH(1,(GMW!$NE$2:$NE$150=AJ$3)*(GMW!$ND$2:$ND$150=AJ$4)*(GMW!$NF$2:$NF$150=AJ$1),0),$C144-1966)</f>
        <v>158494</v>
      </c>
      <c r="AK144" s="4" cm="1">
        <f t="array" ref="AK144">INDEX(GMW!$A$2:$NF$150,MATCH(1,(GMW!$NE$2:$NE$150=AK$3)*(GMW!$ND$2:$ND$150=AK$4)*(GMW!$NF$2:$NF$150=AK$1),0),$C144-1966)</f>
        <v>75457</v>
      </c>
      <c r="AL144" s="4" cm="1">
        <f t="array" ref="AL144">INDEX(GMW!$A$2:$NF$150,MATCH(1,(GMW!$NE$2:$NE$150=AL$3)*(GMW!$ND$2:$ND$150=AL$4)*(GMW!$NF$2:$NF$150=AL$1),0),$C144-1966)</f>
        <v>159398</v>
      </c>
      <c r="AM144" s="4" cm="1">
        <f t="array" ref="AM144">INDEX(GMW!$A$2:$NF$150,MATCH(1,(GMW!$NE$2:$NE$150=AM$3)*(GMW!$ND$2:$ND$150=AM$4)*(GMW!$NF$2:$NF$150=AM$1),0),$C144-1966)</f>
        <v>95581</v>
      </c>
      <c r="AN144" s="4" cm="1">
        <f t="array" ref="AN144">INDEX(GMW!$A$2:$NF$150,MATCH(1,(GMW!$NE$2:$NE$150=AN$3)*(GMW!$ND$2:$ND$150=AN$4)*(GMW!$NF$2:$NF$150=AN$1),0),$C144-1966)</f>
        <v>94089</v>
      </c>
      <c r="AO144" s="4" cm="1">
        <f t="array" ref="AO144">INDEX(GMW!$A$2:$NF$150,MATCH(1,(GMW!$NE$2:$NE$150=AO$3)*(GMW!$ND$2:$ND$150=AO$4)*(GMW!$NF$2:$NF$150=AO$1),0),$C144-1966)</f>
        <v>51135</v>
      </c>
      <c r="AP144" s="4" cm="1">
        <f t="array" ref="AP144">INDEX(GMW!$A$2:$NF$150,MATCH(1,(GMW!$NE$2:$NE$150=AP$3)*(GMW!$ND$2:$ND$150=AP$4)*(GMW!$NF$2:$NF$150=AP$1),0),$C144-1966)</f>
        <v>521524.9</v>
      </c>
      <c r="AQ144" s="4" cm="1">
        <f t="array" ref="AQ144">INDEX(GMW!$A$2:$NF$150,MATCH(1,(GMW!$NE$2:$NE$150=AQ$3)*(GMW!$ND$2:$ND$150=AQ$4)*(GMW!$NF$2:$NF$150=AQ$1),0),$C144-1966)</f>
        <v>29431</v>
      </c>
      <c r="AR144" s="4" cm="1">
        <f t="array" ref="AR144">INDEX(GMW!$A$2:$NF$150,MATCH(1,(GMW!$NE$2:$NE$150=AR$3)*(GMW!$ND$2:$ND$150=AR$4)*(GMW!$NF$2:$NF$150=AR$1),0),$C144-1966)</f>
        <v>32.200000000000003</v>
      </c>
      <c r="AS144" s="4" cm="1">
        <f t="array" ref="AS144">INDEX(GMW!$A$2:$NF$150,MATCH(1,(GMW!$NE$2:$NE$150=AS$3)*(GMW!$ND$2:$ND$150=AS$4)*(GMW!$NF$2:$NF$150=AS$1),0),$C144-1966)</f>
        <v>488229</v>
      </c>
      <c r="AT144" s="4" cm="1">
        <f t="array" ref="AT144">INDEX(GMW!$A$2:$NF$150,MATCH(1,(GMW!$NE$2:$NE$150=AT$3)*(GMW!$ND$2:$ND$150=AT$4)*(GMW!$NF$2:$NF$150=AT$1),0),$C144-1966)</f>
        <v>40691.14</v>
      </c>
      <c r="AU144" s="4" cm="1">
        <f t="array" ref="AU144">INDEX(GMW!$A$2:$NF$150,MATCH(1,(GMW!$NE$2:$NE$150=AU$3)*(GMW!$ND$2:$ND$150=AU$4)*(GMW!$NF$2:$NF$150=AU$1),0),$C144-1966)</f>
        <v>2511000</v>
      </c>
      <c r="AV144" s="4" cm="1">
        <f t="array" ref="AV144">INDEX(GMW!$A$2:$NF$150,MATCH(1,(GMW!$NE$2:$NE$150=AV$3)*(GMW!$ND$2:$ND$150=AV$4)*(GMW!$NF$2:$NF$150=AV$1),0),$C144-1966)</f>
        <v>-1.680798</v>
      </c>
    </row>
    <row r="145" spans="1:48" x14ac:dyDescent="0.25">
      <c r="B145" s="4">
        <f t="shared" si="8"/>
        <v>2007</v>
      </c>
      <c r="C145" s="4">
        <f t="shared" si="7"/>
        <v>2111</v>
      </c>
      <c r="D145" s="4" cm="1">
        <f t="array" ref="D145">INDEX(GMW!$A$2:$NF$150,MATCH(1,(GMW!$NE$2:$NE$150=D$3)*(GMW!$ND$2:$ND$150=D$4)*(GMW!$NF$2:$NF$150=D$1),0),$C145-1966)</f>
        <v>537052</v>
      </c>
      <c r="E145" s="4" cm="1">
        <f t="array" ref="E145">INDEX(GMW!$A$2:$NF$150,MATCH(1,(GMW!$NE$2:$NE$150=E$3)*(GMW!$ND$2:$ND$150=E$4)*(GMW!$NF$2:$NF$150=E$1),0),$C145-1966)</f>
        <v>81.733329999999995</v>
      </c>
      <c r="F145" s="4" cm="1">
        <f t="array" ref="F145">INDEX(GMW!$A$2:$NF$150,MATCH(1,(GMW!$NE$2:$NE$150=F$3)*(GMW!$ND$2:$ND$150=F$4)*(GMW!$NF$2:$NF$150=F$1),0),$C145-1966)</f>
        <v>158973</v>
      </c>
      <c r="G145" s="4" cm="1">
        <f t="array" ref="G145">INDEX(GMW!$A$2:$NF$150,MATCH(1,(GMW!$NE$2:$NE$150=G$3)*(GMW!$ND$2:$ND$150=G$4)*(GMW!$NF$2:$NF$150=G$1),0),$C145-1966)</f>
        <v>75142</v>
      </c>
      <c r="H145" s="4" cm="1">
        <f t="array" ref="H145">INDEX(GMW!$A$2:$NF$150,MATCH(1,(GMW!$NE$2:$NE$150=H$3)*(GMW!$ND$2:$ND$150=H$4)*(GMW!$NF$2:$NF$150=H$1),0),$C145-1966)</f>
        <v>164710</v>
      </c>
      <c r="I145" s="4" cm="1">
        <f t="array" ref="I145">INDEX(GMW!$A$2:$NF$150,MATCH(1,(GMW!$NE$2:$NE$150=I$3)*(GMW!$ND$2:$ND$150=I$4)*(GMW!$NF$2:$NF$150=I$1),0),$C145-1966)</f>
        <v>98433</v>
      </c>
      <c r="J145" s="4" cm="1">
        <f t="array" ref="J145">INDEX(GMW!$A$2:$NF$150,MATCH(1,(GMW!$NE$2:$NE$150=J$3)*(GMW!$ND$2:$ND$150=J$4)*(GMW!$NF$2:$NF$150=J$1),0),$C145-1966)</f>
        <v>90344</v>
      </c>
      <c r="K145" s="4" cm="1">
        <f t="array" ref="K145">INDEX(GMW!$A$2:$NF$150,MATCH(1,(GMW!$NE$2:$NE$150=K$3)*(GMW!$ND$2:$ND$150=K$4)*(GMW!$NF$2:$NF$150=K$1),0),$C145-1966)</f>
        <v>48885</v>
      </c>
      <c r="L145" s="4" cm="1">
        <f t="array" ref="L145">INDEX(GMW!$A$2:$NF$150,MATCH(1,(GMW!$NE$2:$NE$150=L$3)*(GMW!$ND$2:$ND$150=L$4)*(GMW!$NF$2:$NF$150=L$1),0),$C145-1966)</f>
        <v>523719.4</v>
      </c>
      <c r="M145" s="4" cm="1">
        <f t="array" ref="M145">INDEX(GMW!$A$2:$NF$150,MATCH(1,(GMW!$NE$2:$NE$150=M$3)*(GMW!$ND$2:$ND$150=M$4)*(GMW!$NF$2:$NF$150=M$1),0),$C145-1966)</f>
        <v>29516.5</v>
      </c>
      <c r="N145" s="4" cm="1">
        <f t="array" ref="N145">INDEX(GMW!$A$2:$NF$150,MATCH(1,(GMW!$NE$2:$NE$150=N$3)*(GMW!$ND$2:$ND$150=N$4)*(GMW!$NF$2:$NF$150=N$1),0),$C145-1966)</f>
        <v>32.1</v>
      </c>
      <c r="O145" s="4" cm="1">
        <f t="array" ref="O145">INDEX(GMW!$A$2:$NF$150,MATCH(1,(GMW!$NE$2:$NE$150=O$3)*(GMW!$ND$2:$ND$150=O$4)*(GMW!$NF$2:$NF$150=O$1),0),$C145-1966)</f>
        <v>491140.7</v>
      </c>
      <c r="P145" s="4" cm="1">
        <f t="array" ref="P145">INDEX(GMW!$A$2:$NF$150,MATCH(1,(GMW!$NE$2:$NE$150=P$3)*(GMW!$ND$2:$ND$150=P$4)*(GMW!$NF$2:$NF$150=P$1),0),$C145-1966)</f>
        <v>40766.639999999999</v>
      </c>
      <c r="Q145" s="4" cm="1">
        <f t="array" ref="Q145">INDEX(GMW!$A$2:$NF$150,MATCH(1,(GMW!$NE$2:$NE$150=Q$3)*(GMW!$ND$2:$ND$150=Q$4)*(GMW!$NF$2:$NF$150=Q$1),0),$C145-1966)</f>
        <v>2532000</v>
      </c>
      <c r="R145" s="4" cm="1">
        <f t="array" ref="R145">INDEX(GMW!$A$2:$NF$150,MATCH(1,(GMW!$NE$2:$NE$150=R$3)*(GMW!$ND$2:$ND$150=R$4)*(GMW!$NF$2:$NF$150=R$1),0),$C145-1966)</f>
        <v>-1.6806300000000001</v>
      </c>
      <c r="S145" s="4" cm="1">
        <f t="array" ref="S145">INDEX(GMW!$A$2:$NF$150,MATCH(1,(GMW!$NE$2:$NE$150=S$3)*(GMW!$ND$2:$ND$150=S$4)*(GMW!$NF$2:$NF$150=S$1),0),$C145-1966)</f>
        <v>537052</v>
      </c>
      <c r="T145" s="4" cm="1">
        <f t="array" ref="T145">INDEX(GMW!$A$2:$NF$150,MATCH(1,(GMW!$NE$2:$NE$150=T$3)*(GMW!$ND$2:$ND$150=T$4)*(GMW!$NF$2:$NF$150=T$1),0),$C145-1966)</f>
        <v>81.733329999999995</v>
      </c>
      <c r="U145" s="4" cm="1">
        <f t="array" ref="U145">INDEX(GMW!$A$2:$NF$150,MATCH(1,(GMW!$NE$2:$NE$150=U$3)*(GMW!$ND$2:$ND$150=U$4)*(GMW!$NF$2:$NF$150=U$1),0),$C145-1966)</f>
        <v>158973</v>
      </c>
      <c r="V145" s="4" cm="1">
        <f t="array" ref="V145">INDEX(GMW!$A$2:$NF$150,MATCH(1,(GMW!$NE$2:$NE$150=V$3)*(GMW!$ND$2:$ND$150=V$4)*(GMW!$NF$2:$NF$150=V$1),0),$C145-1966)</f>
        <v>75142</v>
      </c>
      <c r="W145" s="4" cm="1">
        <f t="array" ref="W145">INDEX(GMW!$A$2:$NF$150,MATCH(1,(GMW!$NE$2:$NE$150=W$3)*(GMW!$ND$2:$ND$150=W$4)*(GMW!$NF$2:$NF$150=W$1),0),$C145-1966)</f>
        <v>164710</v>
      </c>
      <c r="X145" s="4" cm="1">
        <f t="array" ref="X145">INDEX(GMW!$A$2:$NF$150,MATCH(1,(GMW!$NE$2:$NE$150=X$3)*(GMW!$ND$2:$ND$150=X$4)*(GMW!$NF$2:$NF$150=X$1),0),$C145-1966)</f>
        <v>98433</v>
      </c>
      <c r="Y145" s="4" cm="1">
        <f t="array" ref="Y145">INDEX(GMW!$A$2:$NF$150,MATCH(1,(GMW!$NE$2:$NE$150=Y$3)*(GMW!$ND$2:$ND$150=Y$4)*(GMW!$NF$2:$NF$150=Y$1),0),$C145-1966)</f>
        <v>90344</v>
      </c>
      <c r="Z145" s="4" cm="1">
        <f t="array" ref="Z145">INDEX(GMW!$A$2:$NF$150,MATCH(1,(GMW!$NE$2:$NE$150=Z$3)*(GMW!$ND$2:$ND$150=Z$4)*(GMW!$NF$2:$NF$150=Z$1),0),$C145-1966)</f>
        <v>48885</v>
      </c>
      <c r="AA145" s="4" cm="1">
        <f t="array" ref="AA145">INDEX(GMW!$A$2:$NF$150,MATCH(1,(GMW!$NE$2:$NE$150=AA$3)*(GMW!$ND$2:$ND$150=AA$4)*(GMW!$NF$2:$NF$150=AA$1),0),$C145-1966)</f>
        <v>523719.4</v>
      </c>
      <c r="AB145" s="4" cm="1">
        <f t="array" ref="AB145">INDEX(GMW!$A$2:$NF$150,MATCH(1,(GMW!$NE$2:$NE$150=AB$3)*(GMW!$ND$2:$ND$150=AB$4)*(GMW!$NF$2:$NF$150=AB$1),0),$C145-1966)</f>
        <v>29516.5</v>
      </c>
      <c r="AC145" s="4" cm="1">
        <f t="array" ref="AC145">INDEX(GMW!$A$2:$NF$150,MATCH(1,(GMW!$NE$2:$NE$150=AC$3)*(GMW!$ND$2:$ND$150=AC$4)*(GMW!$NF$2:$NF$150=AC$1),0),$C145-1966)</f>
        <v>32.1</v>
      </c>
      <c r="AD145" s="4" cm="1">
        <f t="array" ref="AD145">INDEX(GMW!$A$2:$NF$150,MATCH(1,(GMW!$NE$2:$NE$150=AD$3)*(GMW!$ND$2:$ND$150=AD$4)*(GMW!$NF$2:$NF$150=AD$1),0),$C145-1966)</f>
        <v>491140.7</v>
      </c>
      <c r="AE145" s="4" cm="1">
        <f t="array" ref="AE145">INDEX(GMW!$A$2:$NF$150,MATCH(1,(GMW!$NE$2:$NE$150=AE$3)*(GMW!$ND$2:$ND$150=AE$4)*(GMW!$NF$2:$NF$150=AE$1),0),$C145-1966)</f>
        <v>40766.639999999999</v>
      </c>
      <c r="AF145" s="4" cm="1">
        <f t="array" ref="AF145">INDEX(GMW!$A$2:$NF$150,MATCH(1,(GMW!$NE$2:$NE$150=AF$3)*(GMW!$ND$2:$ND$150=AF$4)*(GMW!$NF$2:$NF$150=AF$1),0),$C145-1966)</f>
        <v>2532000</v>
      </c>
      <c r="AG145" s="4" cm="1">
        <f t="array" ref="AG145">INDEX(GMW!$A$2:$NF$150,MATCH(1,(GMW!$NE$2:$NE$150=AG$3)*(GMW!$ND$2:$ND$150=AG$4)*(GMW!$NF$2:$NF$150=AG$1),0),$C145-1966)</f>
        <v>-1.6806300000000001</v>
      </c>
      <c r="AH145" s="4" cm="1">
        <f t="array" ref="AH145">INDEX(GMW!$A$2:$NF$150,MATCH(1,(GMW!$NE$2:$NE$150=AH$3)*(GMW!$ND$2:$ND$150=AH$4)*(GMW!$NF$2:$NF$150=AH$1),0),$C145-1966)</f>
        <v>537052</v>
      </c>
      <c r="AI145" s="4" cm="1">
        <f t="array" ref="AI145">INDEX(GMW!$A$2:$NF$150,MATCH(1,(GMW!$NE$2:$NE$150=AI$3)*(GMW!$ND$2:$ND$150=AI$4)*(GMW!$NF$2:$NF$150=AI$1),0),$C145-1966)</f>
        <v>81.733329999999995</v>
      </c>
      <c r="AJ145" s="4" cm="1">
        <f t="array" ref="AJ145">INDEX(GMW!$A$2:$NF$150,MATCH(1,(GMW!$NE$2:$NE$150=AJ$3)*(GMW!$ND$2:$ND$150=AJ$4)*(GMW!$NF$2:$NF$150=AJ$1),0),$C145-1966)</f>
        <v>158973</v>
      </c>
      <c r="AK145" s="4" cm="1">
        <f t="array" ref="AK145">INDEX(GMW!$A$2:$NF$150,MATCH(1,(GMW!$NE$2:$NE$150=AK$3)*(GMW!$ND$2:$ND$150=AK$4)*(GMW!$NF$2:$NF$150=AK$1),0),$C145-1966)</f>
        <v>75142</v>
      </c>
      <c r="AL145" s="4" cm="1">
        <f t="array" ref="AL145">INDEX(GMW!$A$2:$NF$150,MATCH(1,(GMW!$NE$2:$NE$150=AL$3)*(GMW!$ND$2:$ND$150=AL$4)*(GMW!$NF$2:$NF$150=AL$1),0),$C145-1966)</f>
        <v>164710</v>
      </c>
      <c r="AM145" s="4" cm="1">
        <f t="array" ref="AM145">INDEX(GMW!$A$2:$NF$150,MATCH(1,(GMW!$NE$2:$NE$150=AM$3)*(GMW!$ND$2:$ND$150=AM$4)*(GMW!$NF$2:$NF$150=AM$1),0),$C145-1966)</f>
        <v>98433</v>
      </c>
      <c r="AN145" s="4" cm="1">
        <f t="array" ref="AN145">INDEX(GMW!$A$2:$NF$150,MATCH(1,(GMW!$NE$2:$NE$150=AN$3)*(GMW!$ND$2:$ND$150=AN$4)*(GMW!$NF$2:$NF$150=AN$1),0),$C145-1966)</f>
        <v>90344</v>
      </c>
      <c r="AO145" s="4" cm="1">
        <f t="array" ref="AO145">INDEX(GMW!$A$2:$NF$150,MATCH(1,(GMW!$NE$2:$NE$150=AO$3)*(GMW!$ND$2:$ND$150=AO$4)*(GMW!$NF$2:$NF$150=AO$1),0),$C145-1966)</f>
        <v>48885</v>
      </c>
      <c r="AP145" s="4" cm="1">
        <f t="array" ref="AP145">INDEX(GMW!$A$2:$NF$150,MATCH(1,(GMW!$NE$2:$NE$150=AP$3)*(GMW!$ND$2:$ND$150=AP$4)*(GMW!$NF$2:$NF$150=AP$1),0),$C145-1966)</f>
        <v>523719.4</v>
      </c>
      <c r="AQ145" s="4" cm="1">
        <f t="array" ref="AQ145">INDEX(GMW!$A$2:$NF$150,MATCH(1,(GMW!$NE$2:$NE$150=AQ$3)*(GMW!$ND$2:$ND$150=AQ$4)*(GMW!$NF$2:$NF$150=AQ$1),0),$C145-1966)</f>
        <v>29516.5</v>
      </c>
      <c r="AR145" s="4" cm="1">
        <f t="array" ref="AR145">INDEX(GMW!$A$2:$NF$150,MATCH(1,(GMW!$NE$2:$NE$150=AR$3)*(GMW!$ND$2:$ND$150=AR$4)*(GMW!$NF$2:$NF$150=AR$1),0),$C145-1966)</f>
        <v>32.1</v>
      </c>
      <c r="AS145" s="4" cm="1">
        <f t="array" ref="AS145">INDEX(GMW!$A$2:$NF$150,MATCH(1,(GMW!$NE$2:$NE$150=AS$3)*(GMW!$ND$2:$ND$150=AS$4)*(GMW!$NF$2:$NF$150=AS$1),0),$C145-1966)</f>
        <v>491140.7</v>
      </c>
      <c r="AT145" s="4" cm="1">
        <f t="array" ref="AT145">INDEX(GMW!$A$2:$NF$150,MATCH(1,(GMW!$NE$2:$NE$150=AT$3)*(GMW!$ND$2:$ND$150=AT$4)*(GMW!$NF$2:$NF$150=AT$1),0),$C145-1966)</f>
        <v>40766.639999999999</v>
      </c>
      <c r="AU145" s="4" cm="1">
        <f t="array" ref="AU145">INDEX(GMW!$A$2:$NF$150,MATCH(1,(GMW!$NE$2:$NE$150=AU$3)*(GMW!$ND$2:$ND$150=AU$4)*(GMW!$NF$2:$NF$150=AU$1),0),$C145-1966)</f>
        <v>2532000</v>
      </c>
      <c r="AV145" s="4" cm="1">
        <f t="array" ref="AV145">INDEX(GMW!$A$2:$NF$150,MATCH(1,(GMW!$NE$2:$NE$150=AV$3)*(GMW!$ND$2:$ND$150=AV$4)*(GMW!$NF$2:$NF$150=AV$1),0),$C145-1966)</f>
        <v>-1.6806300000000001</v>
      </c>
    </row>
    <row r="146" spans="1:48" x14ac:dyDescent="0.25">
      <c r="B146" s="4">
        <f t="shared" si="8"/>
        <v>2007</v>
      </c>
      <c r="C146" s="4">
        <f t="shared" si="7"/>
        <v>2112</v>
      </c>
      <c r="D146" s="4" cm="1">
        <f t="array" ref="D146">INDEX(GMW!$A$2:$NF$150,MATCH(1,(GMW!$NE$2:$NE$150=D$3)*(GMW!$ND$2:$ND$150=D$4)*(GMW!$NF$2:$NF$150=D$1),0),$C146-1966)</f>
        <v>540258</v>
      </c>
      <c r="E146" s="4" cm="1">
        <f t="array" ref="E146">INDEX(GMW!$A$2:$NF$150,MATCH(1,(GMW!$NE$2:$NE$150=E$3)*(GMW!$ND$2:$ND$150=E$4)*(GMW!$NF$2:$NF$150=E$1),0),$C146-1966)</f>
        <v>82.6</v>
      </c>
      <c r="F146" s="4" cm="1">
        <f t="array" ref="F146">INDEX(GMW!$A$2:$NF$150,MATCH(1,(GMW!$NE$2:$NE$150=F$3)*(GMW!$ND$2:$ND$150=F$4)*(GMW!$NF$2:$NF$150=F$1),0),$C146-1966)</f>
        <v>164392</v>
      </c>
      <c r="G146" s="4" cm="1">
        <f t="array" ref="G146">INDEX(GMW!$A$2:$NF$150,MATCH(1,(GMW!$NE$2:$NE$150=G$3)*(GMW!$ND$2:$ND$150=G$4)*(GMW!$NF$2:$NF$150=G$1),0),$C146-1966)</f>
        <v>75960</v>
      </c>
      <c r="H146" s="4" cm="1">
        <f t="array" ref="H146">INDEX(GMW!$A$2:$NF$150,MATCH(1,(GMW!$NE$2:$NE$150=H$3)*(GMW!$ND$2:$ND$150=H$4)*(GMW!$NF$2:$NF$150=H$1),0),$C146-1966)</f>
        <v>164064</v>
      </c>
      <c r="I146" s="4" cm="1">
        <f t="array" ref="I146">INDEX(GMW!$A$2:$NF$150,MATCH(1,(GMW!$NE$2:$NE$150=I$3)*(GMW!$ND$2:$ND$150=I$4)*(GMW!$NF$2:$NF$150=I$1),0),$C146-1966)</f>
        <v>96673</v>
      </c>
      <c r="J146" s="4" cm="1">
        <f t="array" ref="J146">INDEX(GMW!$A$2:$NF$150,MATCH(1,(GMW!$NE$2:$NE$150=J$3)*(GMW!$ND$2:$ND$150=J$4)*(GMW!$NF$2:$NF$150=J$1),0),$C146-1966)</f>
        <v>96774</v>
      </c>
      <c r="K146" s="4" cm="1">
        <f t="array" ref="K146">INDEX(GMW!$A$2:$NF$150,MATCH(1,(GMW!$NE$2:$NE$150=K$3)*(GMW!$ND$2:$ND$150=K$4)*(GMW!$NF$2:$NF$150=K$1),0),$C146-1966)</f>
        <v>52991</v>
      </c>
      <c r="L146" s="4" cm="1">
        <f t="array" ref="L146">INDEX(GMW!$A$2:$NF$150,MATCH(1,(GMW!$NE$2:$NE$150=L$3)*(GMW!$ND$2:$ND$150=L$4)*(GMW!$NF$2:$NF$150=L$1),0),$C146-1966)</f>
        <v>525015.1</v>
      </c>
      <c r="M146" s="4" cm="1">
        <f t="array" ref="M146">INDEX(GMW!$A$2:$NF$150,MATCH(1,(GMW!$NE$2:$NE$150=M$3)*(GMW!$ND$2:$ND$150=M$4)*(GMW!$NF$2:$NF$150=M$1),0),$C146-1966)</f>
        <v>29624.799999999999</v>
      </c>
      <c r="N146" s="4" cm="1">
        <f t="array" ref="N146">INDEX(GMW!$A$2:$NF$150,MATCH(1,(GMW!$NE$2:$NE$150=N$3)*(GMW!$ND$2:$ND$150=N$4)*(GMW!$NF$2:$NF$150=N$1),0),$C146-1966)</f>
        <v>31.9</v>
      </c>
      <c r="O146" s="4" cm="1">
        <f t="array" ref="O146">INDEX(GMW!$A$2:$NF$150,MATCH(1,(GMW!$NE$2:$NE$150=O$3)*(GMW!$ND$2:$ND$150=O$4)*(GMW!$NF$2:$NF$150=O$1),0),$C146-1966)</f>
        <v>493808</v>
      </c>
      <c r="P146" s="4" cm="1">
        <f t="array" ref="P146">INDEX(GMW!$A$2:$NF$150,MATCH(1,(GMW!$NE$2:$NE$150=P$3)*(GMW!$ND$2:$ND$150=P$4)*(GMW!$NF$2:$NF$150=P$1),0),$C146-1966)</f>
        <v>40842.14</v>
      </c>
      <c r="Q146" s="4" cm="1">
        <f t="array" ref="Q146">INDEX(GMW!$A$2:$NF$150,MATCH(1,(GMW!$NE$2:$NE$150=Q$3)*(GMW!$ND$2:$ND$150=Q$4)*(GMW!$NF$2:$NF$150=Q$1),0),$C146-1966)</f>
        <v>2553000</v>
      </c>
      <c r="R146" s="4" cm="1">
        <f t="array" ref="R146">INDEX(GMW!$A$2:$NF$150,MATCH(1,(GMW!$NE$2:$NE$150=R$3)*(GMW!$ND$2:$ND$150=R$4)*(GMW!$NF$2:$NF$150=R$1),0),$C146-1966)</f>
        <v>-1.6804619999999999</v>
      </c>
      <c r="S146" s="4" cm="1">
        <f t="array" ref="S146">INDEX(GMW!$A$2:$NF$150,MATCH(1,(GMW!$NE$2:$NE$150=S$3)*(GMW!$ND$2:$ND$150=S$4)*(GMW!$NF$2:$NF$150=S$1),0),$C146-1966)</f>
        <v>540258</v>
      </c>
      <c r="T146" s="4" cm="1">
        <f t="array" ref="T146">INDEX(GMW!$A$2:$NF$150,MATCH(1,(GMW!$NE$2:$NE$150=T$3)*(GMW!$ND$2:$ND$150=T$4)*(GMW!$NF$2:$NF$150=T$1),0),$C146-1966)</f>
        <v>82.6</v>
      </c>
      <c r="U146" s="4" cm="1">
        <f t="array" ref="U146">INDEX(GMW!$A$2:$NF$150,MATCH(1,(GMW!$NE$2:$NE$150=U$3)*(GMW!$ND$2:$ND$150=U$4)*(GMW!$NF$2:$NF$150=U$1),0),$C146-1966)</f>
        <v>164392</v>
      </c>
      <c r="V146" s="4" cm="1">
        <f t="array" ref="V146">INDEX(GMW!$A$2:$NF$150,MATCH(1,(GMW!$NE$2:$NE$150=V$3)*(GMW!$ND$2:$ND$150=V$4)*(GMW!$NF$2:$NF$150=V$1),0),$C146-1966)</f>
        <v>75960</v>
      </c>
      <c r="W146" s="4" cm="1">
        <f t="array" ref="W146">INDEX(GMW!$A$2:$NF$150,MATCH(1,(GMW!$NE$2:$NE$150=W$3)*(GMW!$ND$2:$ND$150=W$4)*(GMW!$NF$2:$NF$150=W$1),0),$C146-1966)</f>
        <v>164064</v>
      </c>
      <c r="X146" s="4" cm="1">
        <f t="array" ref="X146">INDEX(GMW!$A$2:$NF$150,MATCH(1,(GMW!$NE$2:$NE$150=X$3)*(GMW!$ND$2:$ND$150=X$4)*(GMW!$NF$2:$NF$150=X$1),0),$C146-1966)</f>
        <v>96673</v>
      </c>
      <c r="Y146" s="4" cm="1">
        <f t="array" ref="Y146">INDEX(GMW!$A$2:$NF$150,MATCH(1,(GMW!$NE$2:$NE$150=Y$3)*(GMW!$ND$2:$ND$150=Y$4)*(GMW!$NF$2:$NF$150=Y$1),0),$C146-1966)</f>
        <v>96774</v>
      </c>
      <c r="Z146" s="4" cm="1">
        <f t="array" ref="Z146">INDEX(GMW!$A$2:$NF$150,MATCH(1,(GMW!$NE$2:$NE$150=Z$3)*(GMW!$ND$2:$ND$150=Z$4)*(GMW!$NF$2:$NF$150=Z$1),0),$C146-1966)</f>
        <v>52991</v>
      </c>
      <c r="AA146" s="4" cm="1">
        <f t="array" ref="AA146">INDEX(GMW!$A$2:$NF$150,MATCH(1,(GMW!$NE$2:$NE$150=AA$3)*(GMW!$ND$2:$ND$150=AA$4)*(GMW!$NF$2:$NF$150=AA$1),0),$C146-1966)</f>
        <v>525015.1</v>
      </c>
      <c r="AB146" s="4" cm="1">
        <f t="array" ref="AB146">INDEX(GMW!$A$2:$NF$150,MATCH(1,(GMW!$NE$2:$NE$150=AB$3)*(GMW!$ND$2:$ND$150=AB$4)*(GMW!$NF$2:$NF$150=AB$1),0),$C146-1966)</f>
        <v>29624.799999999999</v>
      </c>
      <c r="AC146" s="4" cm="1">
        <f t="array" ref="AC146">INDEX(GMW!$A$2:$NF$150,MATCH(1,(GMW!$NE$2:$NE$150=AC$3)*(GMW!$ND$2:$ND$150=AC$4)*(GMW!$NF$2:$NF$150=AC$1),0),$C146-1966)</f>
        <v>31.9</v>
      </c>
      <c r="AD146" s="4" cm="1">
        <f t="array" ref="AD146">INDEX(GMW!$A$2:$NF$150,MATCH(1,(GMW!$NE$2:$NE$150=AD$3)*(GMW!$ND$2:$ND$150=AD$4)*(GMW!$NF$2:$NF$150=AD$1),0),$C146-1966)</f>
        <v>493808</v>
      </c>
      <c r="AE146" s="4" cm="1">
        <f t="array" ref="AE146">INDEX(GMW!$A$2:$NF$150,MATCH(1,(GMW!$NE$2:$NE$150=AE$3)*(GMW!$ND$2:$ND$150=AE$4)*(GMW!$NF$2:$NF$150=AE$1),0),$C146-1966)</f>
        <v>40842.14</v>
      </c>
      <c r="AF146" s="4" cm="1">
        <f t="array" ref="AF146">INDEX(GMW!$A$2:$NF$150,MATCH(1,(GMW!$NE$2:$NE$150=AF$3)*(GMW!$ND$2:$ND$150=AF$4)*(GMW!$NF$2:$NF$150=AF$1),0),$C146-1966)</f>
        <v>2553000</v>
      </c>
      <c r="AG146" s="4" cm="1">
        <f t="array" ref="AG146">INDEX(GMW!$A$2:$NF$150,MATCH(1,(GMW!$NE$2:$NE$150=AG$3)*(GMW!$ND$2:$ND$150=AG$4)*(GMW!$NF$2:$NF$150=AG$1),0),$C146-1966)</f>
        <v>-1.6804619999999999</v>
      </c>
      <c r="AH146" s="4" cm="1">
        <f t="array" ref="AH146">INDEX(GMW!$A$2:$NF$150,MATCH(1,(GMW!$NE$2:$NE$150=AH$3)*(GMW!$ND$2:$ND$150=AH$4)*(GMW!$NF$2:$NF$150=AH$1),0),$C146-1966)</f>
        <v>540258</v>
      </c>
      <c r="AI146" s="4" cm="1">
        <f t="array" ref="AI146">INDEX(GMW!$A$2:$NF$150,MATCH(1,(GMW!$NE$2:$NE$150=AI$3)*(GMW!$ND$2:$ND$150=AI$4)*(GMW!$NF$2:$NF$150=AI$1),0),$C146-1966)</f>
        <v>82.6</v>
      </c>
      <c r="AJ146" s="4" cm="1">
        <f t="array" ref="AJ146">INDEX(GMW!$A$2:$NF$150,MATCH(1,(GMW!$NE$2:$NE$150=AJ$3)*(GMW!$ND$2:$ND$150=AJ$4)*(GMW!$NF$2:$NF$150=AJ$1),0),$C146-1966)</f>
        <v>164392</v>
      </c>
      <c r="AK146" s="4" cm="1">
        <f t="array" ref="AK146">INDEX(GMW!$A$2:$NF$150,MATCH(1,(GMW!$NE$2:$NE$150=AK$3)*(GMW!$ND$2:$ND$150=AK$4)*(GMW!$NF$2:$NF$150=AK$1),0),$C146-1966)</f>
        <v>75960</v>
      </c>
      <c r="AL146" s="4" cm="1">
        <f t="array" ref="AL146">INDEX(GMW!$A$2:$NF$150,MATCH(1,(GMW!$NE$2:$NE$150=AL$3)*(GMW!$ND$2:$ND$150=AL$4)*(GMW!$NF$2:$NF$150=AL$1),0),$C146-1966)</f>
        <v>164064</v>
      </c>
      <c r="AM146" s="4" cm="1">
        <f t="array" ref="AM146">INDEX(GMW!$A$2:$NF$150,MATCH(1,(GMW!$NE$2:$NE$150=AM$3)*(GMW!$ND$2:$ND$150=AM$4)*(GMW!$NF$2:$NF$150=AM$1),0),$C146-1966)</f>
        <v>96673</v>
      </c>
      <c r="AN146" s="4" cm="1">
        <f t="array" ref="AN146">INDEX(GMW!$A$2:$NF$150,MATCH(1,(GMW!$NE$2:$NE$150=AN$3)*(GMW!$ND$2:$ND$150=AN$4)*(GMW!$NF$2:$NF$150=AN$1),0),$C146-1966)</f>
        <v>96774</v>
      </c>
      <c r="AO146" s="4" cm="1">
        <f t="array" ref="AO146">INDEX(GMW!$A$2:$NF$150,MATCH(1,(GMW!$NE$2:$NE$150=AO$3)*(GMW!$ND$2:$ND$150=AO$4)*(GMW!$NF$2:$NF$150=AO$1),0),$C146-1966)</f>
        <v>52991</v>
      </c>
      <c r="AP146" s="4" cm="1">
        <f t="array" ref="AP146">INDEX(GMW!$A$2:$NF$150,MATCH(1,(GMW!$NE$2:$NE$150=AP$3)*(GMW!$ND$2:$ND$150=AP$4)*(GMW!$NF$2:$NF$150=AP$1),0),$C146-1966)</f>
        <v>525015.1</v>
      </c>
      <c r="AQ146" s="4" cm="1">
        <f t="array" ref="AQ146">INDEX(GMW!$A$2:$NF$150,MATCH(1,(GMW!$NE$2:$NE$150=AQ$3)*(GMW!$ND$2:$ND$150=AQ$4)*(GMW!$NF$2:$NF$150=AQ$1),0),$C146-1966)</f>
        <v>29624.799999999999</v>
      </c>
      <c r="AR146" s="4" cm="1">
        <f t="array" ref="AR146">INDEX(GMW!$A$2:$NF$150,MATCH(1,(GMW!$NE$2:$NE$150=AR$3)*(GMW!$ND$2:$ND$150=AR$4)*(GMW!$NF$2:$NF$150=AR$1),0),$C146-1966)</f>
        <v>31.9</v>
      </c>
      <c r="AS146" s="4" cm="1">
        <f t="array" ref="AS146">INDEX(GMW!$A$2:$NF$150,MATCH(1,(GMW!$NE$2:$NE$150=AS$3)*(GMW!$ND$2:$ND$150=AS$4)*(GMW!$NF$2:$NF$150=AS$1),0),$C146-1966)</f>
        <v>493808</v>
      </c>
      <c r="AT146" s="4" cm="1">
        <f t="array" ref="AT146">INDEX(GMW!$A$2:$NF$150,MATCH(1,(GMW!$NE$2:$NE$150=AT$3)*(GMW!$ND$2:$ND$150=AT$4)*(GMW!$NF$2:$NF$150=AT$1),0),$C146-1966)</f>
        <v>40842.14</v>
      </c>
      <c r="AU146" s="4" cm="1">
        <f t="array" ref="AU146">INDEX(GMW!$A$2:$NF$150,MATCH(1,(GMW!$NE$2:$NE$150=AU$3)*(GMW!$ND$2:$ND$150=AU$4)*(GMW!$NF$2:$NF$150=AU$1),0),$C146-1966)</f>
        <v>2553000</v>
      </c>
      <c r="AV146" s="4" cm="1">
        <f t="array" ref="AV146">INDEX(GMW!$A$2:$NF$150,MATCH(1,(GMW!$NE$2:$NE$150=AV$3)*(GMW!$ND$2:$ND$150=AV$4)*(GMW!$NF$2:$NF$150=AV$1),0),$C146-1966)</f>
        <v>-1.6804619999999999</v>
      </c>
    </row>
    <row r="147" spans="1:48" x14ac:dyDescent="0.25">
      <c r="A147" s="4">
        <v>2008</v>
      </c>
      <c r="B147" s="4">
        <f t="shared" si="8"/>
        <v>2008</v>
      </c>
      <c r="C147" s="4">
        <f t="shared" si="7"/>
        <v>2113</v>
      </c>
      <c r="D147" s="4" cm="1">
        <f t="array" ref="D147">INDEX(GMW!$A$2:$NF$150,MATCH(1,(GMW!$NE$2:$NE$150=D$3)*(GMW!$ND$2:$ND$150=D$4)*(GMW!$NF$2:$NF$150=D$1),0),$C147-1966)</f>
        <v>542804</v>
      </c>
      <c r="E147" s="4" cm="1">
        <f t="array" ref="E147">INDEX(GMW!$A$2:$NF$150,MATCH(1,(GMW!$NE$2:$NE$150=E$3)*(GMW!$ND$2:$ND$150=E$4)*(GMW!$NF$2:$NF$150=E$1),0),$C147-1966)</f>
        <v>82.933329999999998</v>
      </c>
      <c r="F147" s="4" cm="1">
        <f t="array" ref="F147">INDEX(GMW!$A$2:$NF$150,MATCH(1,(GMW!$NE$2:$NE$150=F$3)*(GMW!$ND$2:$ND$150=F$4)*(GMW!$NF$2:$NF$150=F$1),0),$C147-1966)</f>
        <v>164284</v>
      </c>
      <c r="G147" s="4" cm="1">
        <f t="array" ref="G147">INDEX(GMW!$A$2:$NF$150,MATCH(1,(GMW!$NE$2:$NE$150=G$3)*(GMW!$ND$2:$ND$150=G$4)*(GMW!$NF$2:$NF$150=G$1),0),$C147-1966)</f>
        <v>76125</v>
      </c>
      <c r="H147" s="4" cm="1">
        <f t="array" ref="H147">INDEX(GMW!$A$2:$NF$150,MATCH(1,(GMW!$NE$2:$NE$150=H$3)*(GMW!$ND$2:$ND$150=H$4)*(GMW!$NF$2:$NF$150=H$1),0),$C147-1966)</f>
        <v>164791</v>
      </c>
      <c r="I147" s="4" cm="1">
        <f t="array" ref="I147">INDEX(GMW!$A$2:$NF$150,MATCH(1,(GMW!$NE$2:$NE$150=I$3)*(GMW!$ND$2:$ND$150=I$4)*(GMW!$NF$2:$NF$150=I$1),0),$C147-1966)</f>
        <v>97977</v>
      </c>
      <c r="J147" s="4" cm="1">
        <f t="array" ref="J147">INDEX(GMW!$A$2:$NF$150,MATCH(1,(GMW!$NE$2:$NE$150=J$3)*(GMW!$ND$2:$ND$150=J$4)*(GMW!$NF$2:$NF$150=J$1),0),$C147-1966)</f>
        <v>92244</v>
      </c>
      <c r="K147" s="4" cm="1">
        <f t="array" ref="K147">INDEX(GMW!$A$2:$NF$150,MATCH(1,(GMW!$NE$2:$NE$150=K$3)*(GMW!$ND$2:$ND$150=K$4)*(GMW!$NF$2:$NF$150=K$1),0),$C147-1966)</f>
        <v>49124</v>
      </c>
      <c r="L147" s="4" cm="1">
        <f t="array" ref="L147">INDEX(GMW!$A$2:$NF$150,MATCH(1,(GMW!$NE$2:$NE$150=L$3)*(GMW!$ND$2:$ND$150=L$4)*(GMW!$NF$2:$NF$150=L$1),0),$C147-1966)</f>
        <v>531697.80000000005</v>
      </c>
      <c r="M147" s="4" cm="1">
        <f t="array" ref="M147">INDEX(GMW!$A$2:$NF$150,MATCH(1,(GMW!$NE$2:$NE$150=M$3)*(GMW!$ND$2:$ND$150=M$4)*(GMW!$NF$2:$NF$150=M$1),0),$C147-1966)</f>
        <v>29740.7</v>
      </c>
      <c r="N147" s="4" cm="1">
        <f t="array" ref="N147">INDEX(GMW!$A$2:$NF$150,MATCH(1,(GMW!$NE$2:$NE$150=N$3)*(GMW!$ND$2:$ND$150=N$4)*(GMW!$NF$2:$NF$150=N$1),0),$C147-1966)</f>
        <v>32.200000000000003</v>
      </c>
      <c r="O147" s="4" cm="1">
        <f t="array" ref="O147">INDEX(GMW!$A$2:$NF$150,MATCH(1,(GMW!$NE$2:$NE$150=O$3)*(GMW!$ND$2:$ND$150=O$4)*(GMW!$NF$2:$NF$150=O$1),0),$C147-1966)</f>
        <v>496596.4</v>
      </c>
      <c r="P147" s="4" cm="1">
        <f t="array" ref="P147">INDEX(GMW!$A$2:$NF$150,MATCH(1,(GMW!$NE$2:$NE$150=P$3)*(GMW!$ND$2:$ND$150=P$4)*(GMW!$NF$2:$NF$150=P$1),0),$C147-1966)</f>
        <v>40917.64</v>
      </c>
      <c r="Q147" s="4" cm="1">
        <f t="array" ref="Q147">INDEX(GMW!$A$2:$NF$150,MATCH(1,(GMW!$NE$2:$NE$150=Q$3)*(GMW!$ND$2:$ND$150=Q$4)*(GMW!$NF$2:$NF$150=Q$1),0),$C147-1966)</f>
        <v>2570000</v>
      </c>
      <c r="R147" s="4" cm="1">
        <f t="array" ref="R147">INDEX(GMW!$A$2:$NF$150,MATCH(1,(GMW!$NE$2:$NE$150=R$3)*(GMW!$ND$2:$ND$150=R$4)*(GMW!$NF$2:$NF$150=R$1),0),$C147-1966)</f>
        <v>-1.6804619999999999</v>
      </c>
      <c r="S147" s="4" cm="1">
        <f t="array" ref="S147">INDEX(GMW!$A$2:$NF$150,MATCH(1,(GMW!$NE$2:$NE$150=S$3)*(GMW!$ND$2:$ND$150=S$4)*(GMW!$NF$2:$NF$150=S$1),0),$C147-1966)</f>
        <v>542804</v>
      </c>
      <c r="T147" s="4" cm="1">
        <f t="array" ref="T147">INDEX(GMW!$A$2:$NF$150,MATCH(1,(GMW!$NE$2:$NE$150=T$3)*(GMW!$ND$2:$ND$150=T$4)*(GMW!$NF$2:$NF$150=T$1),0),$C147-1966)</f>
        <v>82.933329999999998</v>
      </c>
      <c r="U147" s="4" cm="1">
        <f t="array" ref="U147">INDEX(GMW!$A$2:$NF$150,MATCH(1,(GMW!$NE$2:$NE$150=U$3)*(GMW!$ND$2:$ND$150=U$4)*(GMW!$NF$2:$NF$150=U$1),0),$C147-1966)</f>
        <v>164284</v>
      </c>
      <c r="V147" s="4" cm="1">
        <f t="array" ref="V147">INDEX(GMW!$A$2:$NF$150,MATCH(1,(GMW!$NE$2:$NE$150=V$3)*(GMW!$ND$2:$ND$150=V$4)*(GMW!$NF$2:$NF$150=V$1),0),$C147-1966)</f>
        <v>76125</v>
      </c>
      <c r="W147" s="4" cm="1">
        <f t="array" ref="W147">INDEX(GMW!$A$2:$NF$150,MATCH(1,(GMW!$NE$2:$NE$150=W$3)*(GMW!$ND$2:$ND$150=W$4)*(GMW!$NF$2:$NF$150=W$1),0),$C147-1966)</f>
        <v>164791</v>
      </c>
      <c r="X147" s="4" cm="1">
        <f t="array" ref="X147">INDEX(GMW!$A$2:$NF$150,MATCH(1,(GMW!$NE$2:$NE$150=X$3)*(GMW!$ND$2:$ND$150=X$4)*(GMW!$NF$2:$NF$150=X$1),0),$C147-1966)</f>
        <v>97977</v>
      </c>
      <c r="Y147" s="4" cm="1">
        <f t="array" ref="Y147">INDEX(GMW!$A$2:$NF$150,MATCH(1,(GMW!$NE$2:$NE$150=Y$3)*(GMW!$ND$2:$ND$150=Y$4)*(GMW!$NF$2:$NF$150=Y$1),0),$C147-1966)</f>
        <v>92244</v>
      </c>
      <c r="Z147" s="4" cm="1">
        <f t="array" ref="Z147">INDEX(GMW!$A$2:$NF$150,MATCH(1,(GMW!$NE$2:$NE$150=Z$3)*(GMW!$ND$2:$ND$150=Z$4)*(GMW!$NF$2:$NF$150=Z$1),0),$C147-1966)</f>
        <v>49124</v>
      </c>
      <c r="AA147" s="4" cm="1">
        <f t="array" ref="AA147">INDEX(GMW!$A$2:$NF$150,MATCH(1,(GMW!$NE$2:$NE$150=AA$3)*(GMW!$ND$2:$ND$150=AA$4)*(GMW!$NF$2:$NF$150=AA$1),0),$C147-1966)</f>
        <v>531697.80000000005</v>
      </c>
      <c r="AB147" s="4" cm="1">
        <f t="array" ref="AB147">INDEX(GMW!$A$2:$NF$150,MATCH(1,(GMW!$NE$2:$NE$150=AB$3)*(GMW!$ND$2:$ND$150=AB$4)*(GMW!$NF$2:$NF$150=AB$1),0),$C147-1966)</f>
        <v>29740.7</v>
      </c>
      <c r="AC147" s="4" cm="1">
        <f t="array" ref="AC147">INDEX(GMW!$A$2:$NF$150,MATCH(1,(GMW!$NE$2:$NE$150=AC$3)*(GMW!$ND$2:$ND$150=AC$4)*(GMW!$NF$2:$NF$150=AC$1),0),$C147-1966)</f>
        <v>32.200000000000003</v>
      </c>
      <c r="AD147" s="4" cm="1">
        <f t="array" ref="AD147">INDEX(GMW!$A$2:$NF$150,MATCH(1,(GMW!$NE$2:$NE$150=AD$3)*(GMW!$ND$2:$ND$150=AD$4)*(GMW!$NF$2:$NF$150=AD$1),0),$C147-1966)</f>
        <v>496596.4</v>
      </c>
      <c r="AE147" s="4" cm="1">
        <f t="array" ref="AE147">INDEX(GMW!$A$2:$NF$150,MATCH(1,(GMW!$NE$2:$NE$150=AE$3)*(GMW!$ND$2:$ND$150=AE$4)*(GMW!$NF$2:$NF$150=AE$1),0),$C147-1966)</f>
        <v>40917.64</v>
      </c>
      <c r="AF147" s="4" cm="1">
        <f t="array" ref="AF147">INDEX(GMW!$A$2:$NF$150,MATCH(1,(GMW!$NE$2:$NE$150=AF$3)*(GMW!$ND$2:$ND$150=AF$4)*(GMW!$NF$2:$NF$150=AF$1),0),$C147-1966)</f>
        <v>2570000</v>
      </c>
      <c r="AG147" s="4" cm="1">
        <f t="array" ref="AG147">INDEX(GMW!$A$2:$NF$150,MATCH(1,(GMW!$NE$2:$NE$150=AG$3)*(GMW!$ND$2:$ND$150=AG$4)*(GMW!$NF$2:$NF$150=AG$1),0),$C147-1966)</f>
        <v>-1.6804619999999999</v>
      </c>
      <c r="AH147" s="4" cm="1">
        <f t="array" ref="AH147">INDEX(GMW!$A$2:$NF$150,MATCH(1,(GMW!$NE$2:$NE$150=AH$3)*(GMW!$ND$2:$ND$150=AH$4)*(GMW!$NF$2:$NF$150=AH$1),0),$C147-1966)</f>
        <v>542804</v>
      </c>
      <c r="AI147" s="4" cm="1">
        <f t="array" ref="AI147">INDEX(GMW!$A$2:$NF$150,MATCH(1,(GMW!$NE$2:$NE$150=AI$3)*(GMW!$ND$2:$ND$150=AI$4)*(GMW!$NF$2:$NF$150=AI$1),0),$C147-1966)</f>
        <v>82.933329999999998</v>
      </c>
      <c r="AJ147" s="4" cm="1">
        <f t="array" ref="AJ147">INDEX(GMW!$A$2:$NF$150,MATCH(1,(GMW!$NE$2:$NE$150=AJ$3)*(GMW!$ND$2:$ND$150=AJ$4)*(GMW!$NF$2:$NF$150=AJ$1),0),$C147-1966)</f>
        <v>164284</v>
      </c>
      <c r="AK147" s="4" cm="1">
        <f t="array" ref="AK147">INDEX(GMW!$A$2:$NF$150,MATCH(1,(GMW!$NE$2:$NE$150=AK$3)*(GMW!$ND$2:$ND$150=AK$4)*(GMW!$NF$2:$NF$150=AK$1),0),$C147-1966)</f>
        <v>76125</v>
      </c>
      <c r="AL147" s="4" cm="1">
        <f t="array" ref="AL147">INDEX(GMW!$A$2:$NF$150,MATCH(1,(GMW!$NE$2:$NE$150=AL$3)*(GMW!$ND$2:$ND$150=AL$4)*(GMW!$NF$2:$NF$150=AL$1),0),$C147-1966)</f>
        <v>164791</v>
      </c>
      <c r="AM147" s="4" cm="1">
        <f t="array" ref="AM147">INDEX(GMW!$A$2:$NF$150,MATCH(1,(GMW!$NE$2:$NE$150=AM$3)*(GMW!$ND$2:$ND$150=AM$4)*(GMW!$NF$2:$NF$150=AM$1),0),$C147-1966)</f>
        <v>97977</v>
      </c>
      <c r="AN147" s="4" cm="1">
        <f t="array" ref="AN147">INDEX(GMW!$A$2:$NF$150,MATCH(1,(GMW!$NE$2:$NE$150=AN$3)*(GMW!$ND$2:$ND$150=AN$4)*(GMW!$NF$2:$NF$150=AN$1),0),$C147-1966)</f>
        <v>92244</v>
      </c>
      <c r="AO147" s="4" cm="1">
        <f t="array" ref="AO147">INDEX(GMW!$A$2:$NF$150,MATCH(1,(GMW!$NE$2:$NE$150=AO$3)*(GMW!$ND$2:$ND$150=AO$4)*(GMW!$NF$2:$NF$150=AO$1),0),$C147-1966)</f>
        <v>49124</v>
      </c>
      <c r="AP147" s="4" cm="1">
        <f t="array" ref="AP147">INDEX(GMW!$A$2:$NF$150,MATCH(1,(GMW!$NE$2:$NE$150=AP$3)*(GMW!$ND$2:$ND$150=AP$4)*(GMW!$NF$2:$NF$150=AP$1),0),$C147-1966)</f>
        <v>531697.80000000005</v>
      </c>
      <c r="AQ147" s="4" cm="1">
        <f t="array" ref="AQ147">INDEX(GMW!$A$2:$NF$150,MATCH(1,(GMW!$NE$2:$NE$150=AQ$3)*(GMW!$ND$2:$ND$150=AQ$4)*(GMW!$NF$2:$NF$150=AQ$1),0),$C147-1966)</f>
        <v>29740.7</v>
      </c>
      <c r="AR147" s="4" cm="1">
        <f t="array" ref="AR147">INDEX(GMW!$A$2:$NF$150,MATCH(1,(GMW!$NE$2:$NE$150=AR$3)*(GMW!$ND$2:$ND$150=AR$4)*(GMW!$NF$2:$NF$150=AR$1),0),$C147-1966)</f>
        <v>32.200000000000003</v>
      </c>
      <c r="AS147" s="4" cm="1">
        <f t="array" ref="AS147">INDEX(GMW!$A$2:$NF$150,MATCH(1,(GMW!$NE$2:$NE$150=AS$3)*(GMW!$ND$2:$ND$150=AS$4)*(GMW!$NF$2:$NF$150=AS$1),0),$C147-1966)</f>
        <v>496596.4</v>
      </c>
      <c r="AT147" s="4" cm="1">
        <f t="array" ref="AT147">INDEX(GMW!$A$2:$NF$150,MATCH(1,(GMW!$NE$2:$NE$150=AT$3)*(GMW!$ND$2:$ND$150=AT$4)*(GMW!$NF$2:$NF$150=AT$1),0),$C147-1966)</f>
        <v>40917.64</v>
      </c>
      <c r="AU147" s="4" cm="1">
        <f t="array" ref="AU147">INDEX(GMW!$A$2:$NF$150,MATCH(1,(GMW!$NE$2:$NE$150=AU$3)*(GMW!$ND$2:$ND$150=AU$4)*(GMW!$NF$2:$NF$150=AU$1),0),$C147-1966)</f>
        <v>2570000</v>
      </c>
      <c r="AV147" s="4" cm="1">
        <f t="array" ref="AV147">INDEX(GMW!$A$2:$NF$150,MATCH(1,(GMW!$NE$2:$NE$150=AV$3)*(GMW!$ND$2:$ND$150=AV$4)*(GMW!$NF$2:$NF$150=AV$1),0),$C147-1966)</f>
        <v>-1.6804619999999999</v>
      </c>
    </row>
    <row r="148" spans="1:48" x14ac:dyDescent="0.25">
      <c r="B148" s="4">
        <f t="shared" si="8"/>
        <v>2008</v>
      </c>
      <c r="C148" s="4">
        <f t="shared" si="7"/>
        <v>2114</v>
      </c>
      <c r="D148" s="4" cm="1">
        <f t="array" ref="D148">INDEX(GMW!$A$2:$NF$150,MATCH(1,(GMW!$NE$2:$NE$150=D$3)*(GMW!$ND$2:$ND$150=D$4)*(GMW!$NF$2:$NF$150=D$1),0),$C148-1966)</f>
        <v>539918</v>
      </c>
      <c r="E148" s="4" cm="1">
        <f t="array" ref="E148">INDEX(GMW!$A$2:$NF$150,MATCH(1,(GMW!$NE$2:$NE$150=E$3)*(GMW!$ND$2:$ND$150=E$4)*(GMW!$NF$2:$NF$150=E$1),0),$C148-1966)</f>
        <v>84.6</v>
      </c>
      <c r="F148" s="4" cm="1">
        <f t="array" ref="F148">INDEX(GMW!$A$2:$NF$150,MATCH(1,(GMW!$NE$2:$NE$150=F$3)*(GMW!$ND$2:$ND$150=F$4)*(GMW!$NF$2:$NF$150=F$1),0),$C148-1966)</f>
        <v>164307</v>
      </c>
      <c r="G148" s="4" cm="1">
        <f t="array" ref="G148">INDEX(GMW!$A$2:$NF$150,MATCH(1,(GMW!$NE$2:$NE$150=G$3)*(GMW!$ND$2:$ND$150=G$4)*(GMW!$NF$2:$NF$150=G$1),0),$C148-1966)</f>
        <v>78115</v>
      </c>
      <c r="H148" s="4" cm="1">
        <f t="array" ref="H148">INDEX(GMW!$A$2:$NF$150,MATCH(1,(GMW!$NE$2:$NE$150=H$3)*(GMW!$ND$2:$ND$150=H$4)*(GMW!$NF$2:$NF$150=H$1),0),$C148-1966)</f>
        <v>163780</v>
      </c>
      <c r="I148" s="4" cm="1">
        <f t="array" ref="I148">INDEX(GMW!$A$2:$NF$150,MATCH(1,(GMW!$NE$2:$NE$150=I$3)*(GMW!$ND$2:$ND$150=I$4)*(GMW!$NF$2:$NF$150=I$1),0),$C148-1966)</f>
        <v>97795</v>
      </c>
      <c r="J148" s="4" cm="1">
        <f t="array" ref="J148">INDEX(GMW!$A$2:$NF$150,MATCH(1,(GMW!$NE$2:$NE$150=J$3)*(GMW!$ND$2:$ND$150=J$4)*(GMW!$NF$2:$NF$150=J$1),0),$C148-1966)</f>
        <v>93278</v>
      </c>
      <c r="K148" s="4" cm="1">
        <f t="array" ref="K148">INDEX(GMW!$A$2:$NF$150,MATCH(1,(GMW!$NE$2:$NE$150=K$3)*(GMW!$ND$2:$ND$150=K$4)*(GMW!$NF$2:$NF$150=K$1),0),$C148-1966)</f>
        <v>50990</v>
      </c>
      <c r="L148" s="4" cm="1">
        <f t="array" ref="L148">INDEX(GMW!$A$2:$NF$150,MATCH(1,(GMW!$NE$2:$NE$150=L$3)*(GMW!$ND$2:$ND$150=L$4)*(GMW!$NF$2:$NF$150=L$1),0),$C148-1966)</f>
        <v>530216.80000000005</v>
      </c>
      <c r="M148" s="4" cm="1">
        <f t="array" ref="M148">INDEX(GMW!$A$2:$NF$150,MATCH(1,(GMW!$NE$2:$NE$150=M$3)*(GMW!$ND$2:$ND$150=M$4)*(GMW!$NF$2:$NF$150=M$1),0),$C148-1966)</f>
        <v>29831.9</v>
      </c>
      <c r="N148" s="4" cm="1">
        <f t="array" ref="N148">INDEX(GMW!$A$2:$NF$150,MATCH(1,(GMW!$NE$2:$NE$150=N$3)*(GMW!$ND$2:$ND$150=N$4)*(GMW!$NF$2:$NF$150=N$1),0),$C148-1966)</f>
        <v>31.8</v>
      </c>
      <c r="O148" s="4" cm="1">
        <f t="array" ref="O148">INDEX(GMW!$A$2:$NF$150,MATCH(1,(GMW!$NE$2:$NE$150=O$3)*(GMW!$ND$2:$ND$150=O$4)*(GMW!$NF$2:$NF$150=O$1),0),$C148-1966)</f>
        <v>499491.3</v>
      </c>
      <c r="P148" s="4" cm="1">
        <f t="array" ref="P148">INDEX(GMW!$A$2:$NF$150,MATCH(1,(GMW!$NE$2:$NE$150=P$3)*(GMW!$ND$2:$ND$150=P$4)*(GMW!$NF$2:$NF$150=P$1),0),$C148-1966)</f>
        <v>40993.14</v>
      </c>
      <c r="Q148" s="4" cm="1">
        <f t="array" ref="Q148">INDEX(GMW!$A$2:$NF$150,MATCH(1,(GMW!$NE$2:$NE$150=Q$3)*(GMW!$ND$2:$ND$150=Q$4)*(GMW!$NF$2:$NF$150=Q$1),0),$C148-1966)</f>
        <v>2587000</v>
      </c>
      <c r="R148" s="4" cm="1">
        <f t="array" ref="R148">INDEX(GMW!$A$2:$NF$150,MATCH(1,(GMW!$NE$2:$NE$150=R$3)*(GMW!$ND$2:$ND$150=R$4)*(GMW!$NF$2:$NF$150=R$1),0),$C148-1966)</f>
        <v>-1.6806300000000001</v>
      </c>
      <c r="S148" s="4" cm="1">
        <f t="array" ref="S148">INDEX(GMW!$A$2:$NF$150,MATCH(1,(GMW!$NE$2:$NE$150=S$3)*(GMW!$ND$2:$ND$150=S$4)*(GMW!$NF$2:$NF$150=S$1),0),$C148-1966)</f>
        <v>539918</v>
      </c>
      <c r="T148" s="4" cm="1">
        <f t="array" ref="T148">INDEX(GMW!$A$2:$NF$150,MATCH(1,(GMW!$NE$2:$NE$150=T$3)*(GMW!$ND$2:$ND$150=T$4)*(GMW!$NF$2:$NF$150=T$1),0),$C148-1966)</f>
        <v>84.6</v>
      </c>
      <c r="U148" s="4" cm="1">
        <f t="array" ref="U148">INDEX(GMW!$A$2:$NF$150,MATCH(1,(GMW!$NE$2:$NE$150=U$3)*(GMW!$ND$2:$ND$150=U$4)*(GMW!$NF$2:$NF$150=U$1),0),$C148-1966)</f>
        <v>164307</v>
      </c>
      <c r="V148" s="4" cm="1">
        <f t="array" ref="V148">INDEX(GMW!$A$2:$NF$150,MATCH(1,(GMW!$NE$2:$NE$150=V$3)*(GMW!$ND$2:$ND$150=V$4)*(GMW!$NF$2:$NF$150=V$1),0),$C148-1966)</f>
        <v>78115</v>
      </c>
      <c r="W148" s="4" cm="1">
        <f t="array" ref="W148">INDEX(GMW!$A$2:$NF$150,MATCH(1,(GMW!$NE$2:$NE$150=W$3)*(GMW!$ND$2:$ND$150=W$4)*(GMW!$NF$2:$NF$150=W$1),0),$C148-1966)</f>
        <v>163780</v>
      </c>
      <c r="X148" s="4" cm="1">
        <f t="array" ref="X148">INDEX(GMW!$A$2:$NF$150,MATCH(1,(GMW!$NE$2:$NE$150=X$3)*(GMW!$ND$2:$ND$150=X$4)*(GMW!$NF$2:$NF$150=X$1),0),$C148-1966)</f>
        <v>97795</v>
      </c>
      <c r="Y148" s="4" cm="1">
        <f t="array" ref="Y148">INDEX(GMW!$A$2:$NF$150,MATCH(1,(GMW!$NE$2:$NE$150=Y$3)*(GMW!$ND$2:$ND$150=Y$4)*(GMW!$NF$2:$NF$150=Y$1),0),$C148-1966)</f>
        <v>93278</v>
      </c>
      <c r="Z148" s="4" cm="1">
        <f t="array" ref="Z148">INDEX(GMW!$A$2:$NF$150,MATCH(1,(GMW!$NE$2:$NE$150=Z$3)*(GMW!$ND$2:$ND$150=Z$4)*(GMW!$NF$2:$NF$150=Z$1),0),$C148-1966)</f>
        <v>50990</v>
      </c>
      <c r="AA148" s="4" cm="1">
        <f t="array" ref="AA148">INDEX(GMW!$A$2:$NF$150,MATCH(1,(GMW!$NE$2:$NE$150=AA$3)*(GMW!$ND$2:$ND$150=AA$4)*(GMW!$NF$2:$NF$150=AA$1),0),$C148-1966)</f>
        <v>530216.80000000005</v>
      </c>
      <c r="AB148" s="4" cm="1">
        <f t="array" ref="AB148">INDEX(GMW!$A$2:$NF$150,MATCH(1,(GMW!$NE$2:$NE$150=AB$3)*(GMW!$ND$2:$ND$150=AB$4)*(GMW!$NF$2:$NF$150=AB$1),0),$C148-1966)</f>
        <v>29831.9</v>
      </c>
      <c r="AC148" s="4" cm="1">
        <f t="array" ref="AC148">INDEX(GMW!$A$2:$NF$150,MATCH(1,(GMW!$NE$2:$NE$150=AC$3)*(GMW!$ND$2:$ND$150=AC$4)*(GMW!$NF$2:$NF$150=AC$1),0),$C148-1966)</f>
        <v>31.8</v>
      </c>
      <c r="AD148" s="4" cm="1">
        <f t="array" ref="AD148">INDEX(GMW!$A$2:$NF$150,MATCH(1,(GMW!$NE$2:$NE$150=AD$3)*(GMW!$ND$2:$ND$150=AD$4)*(GMW!$NF$2:$NF$150=AD$1),0),$C148-1966)</f>
        <v>499491.3</v>
      </c>
      <c r="AE148" s="4" cm="1">
        <f t="array" ref="AE148">INDEX(GMW!$A$2:$NF$150,MATCH(1,(GMW!$NE$2:$NE$150=AE$3)*(GMW!$ND$2:$ND$150=AE$4)*(GMW!$NF$2:$NF$150=AE$1),0),$C148-1966)</f>
        <v>40993.14</v>
      </c>
      <c r="AF148" s="4" cm="1">
        <f t="array" ref="AF148">INDEX(GMW!$A$2:$NF$150,MATCH(1,(GMW!$NE$2:$NE$150=AF$3)*(GMW!$ND$2:$ND$150=AF$4)*(GMW!$NF$2:$NF$150=AF$1),0),$C148-1966)</f>
        <v>2587000</v>
      </c>
      <c r="AG148" s="4" cm="1">
        <f t="array" ref="AG148">INDEX(GMW!$A$2:$NF$150,MATCH(1,(GMW!$NE$2:$NE$150=AG$3)*(GMW!$ND$2:$ND$150=AG$4)*(GMW!$NF$2:$NF$150=AG$1),0),$C148-1966)</f>
        <v>-1.6806300000000001</v>
      </c>
      <c r="AH148" s="4" cm="1">
        <f t="array" ref="AH148">INDEX(GMW!$A$2:$NF$150,MATCH(1,(GMW!$NE$2:$NE$150=AH$3)*(GMW!$ND$2:$ND$150=AH$4)*(GMW!$NF$2:$NF$150=AH$1),0),$C148-1966)</f>
        <v>539918</v>
      </c>
      <c r="AI148" s="4" cm="1">
        <f t="array" ref="AI148">INDEX(GMW!$A$2:$NF$150,MATCH(1,(GMW!$NE$2:$NE$150=AI$3)*(GMW!$ND$2:$ND$150=AI$4)*(GMW!$NF$2:$NF$150=AI$1),0),$C148-1966)</f>
        <v>84.6</v>
      </c>
      <c r="AJ148" s="4" cm="1">
        <f t="array" ref="AJ148">INDEX(GMW!$A$2:$NF$150,MATCH(1,(GMW!$NE$2:$NE$150=AJ$3)*(GMW!$ND$2:$ND$150=AJ$4)*(GMW!$NF$2:$NF$150=AJ$1),0),$C148-1966)</f>
        <v>164307</v>
      </c>
      <c r="AK148" s="4" cm="1">
        <f t="array" ref="AK148">INDEX(GMW!$A$2:$NF$150,MATCH(1,(GMW!$NE$2:$NE$150=AK$3)*(GMW!$ND$2:$ND$150=AK$4)*(GMW!$NF$2:$NF$150=AK$1),0),$C148-1966)</f>
        <v>78115</v>
      </c>
      <c r="AL148" s="4" cm="1">
        <f t="array" ref="AL148">INDEX(GMW!$A$2:$NF$150,MATCH(1,(GMW!$NE$2:$NE$150=AL$3)*(GMW!$ND$2:$ND$150=AL$4)*(GMW!$NF$2:$NF$150=AL$1),0),$C148-1966)</f>
        <v>163780</v>
      </c>
      <c r="AM148" s="4" cm="1">
        <f t="array" ref="AM148">INDEX(GMW!$A$2:$NF$150,MATCH(1,(GMW!$NE$2:$NE$150=AM$3)*(GMW!$ND$2:$ND$150=AM$4)*(GMW!$NF$2:$NF$150=AM$1),0),$C148-1966)</f>
        <v>97795</v>
      </c>
      <c r="AN148" s="4" cm="1">
        <f t="array" ref="AN148">INDEX(GMW!$A$2:$NF$150,MATCH(1,(GMW!$NE$2:$NE$150=AN$3)*(GMW!$ND$2:$ND$150=AN$4)*(GMW!$NF$2:$NF$150=AN$1),0),$C148-1966)</f>
        <v>93278</v>
      </c>
      <c r="AO148" s="4" cm="1">
        <f t="array" ref="AO148">INDEX(GMW!$A$2:$NF$150,MATCH(1,(GMW!$NE$2:$NE$150=AO$3)*(GMW!$ND$2:$ND$150=AO$4)*(GMW!$NF$2:$NF$150=AO$1),0),$C148-1966)</f>
        <v>50990</v>
      </c>
      <c r="AP148" s="4" cm="1">
        <f t="array" ref="AP148">INDEX(GMW!$A$2:$NF$150,MATCH(1,(GMW!$NE$2:$NE$150=AP$3)*(GMW!$ND$2:$ND$150=AP$4)*(GMW!$NF$2:$NF$150=AP$1),0),$C148-1966)</f>
        <v>530216.80000000005</v>
      </c>
      <c r="AQ148" s="4" cm="1">
        <f t="array" ref="AQ148">INDEX(GMW!$A$2:$NF$150,MATCH(1,(GMW!$NE$2:$NE$150=AQ$3)*(GMW!$ND$2:$ND$150=AQ$4)*(GMW!$NF$2:$NF$150=AQ$1),0),$C148-1966)</f>
        <v>29831.9</v>
      </c>
      <c r="AR148" s="4" cm="1">
        <f t="array" ref="AR148">INDEX(GMW!$A$2:$NF$150,MATCH(1,(GMW!$NE$2:$NE$150=AR$3)*(GMW!$ND$2:$ND$150=AR$4)*(GMW!$NF$2:$NF$150=AR$1),0),$C148-1966)</f>
        <v>31.8</v>
      </c>
      <c r="AS148" s="4" cm="1">
        <f t="array" ref="AS148">INDEX(GMW!$A$2:$NF$150,MATCH(1,(GMW!$NE$2:$NE$150=AS$3)*(GMW!$ND$2:$ND$150=AS$4)*(GMW!$NF$2:$NF$150=AS$1),0),$C148-1966)</f>
        <v>499491.3</v>
      </c>
      <c r="AT148" s="4" cm="1">
        <f t="array" ref="AT148">INDEX(GMW!$A$2:$NF$150,MATCH(1,(GMW!$NE$2:$NE$150=AT$3)*(GMW!$ND$2:$ND$150=AT$4)*(GMW!$NF$2:$NF$150=AT$1),0),$C148-1966)</f>
        <v>40993.14</v>
      </c>
      <c r="AU148" s="4" cm="1">
        <f t="array" ref="AU148">INDEX(GMW!$A$2:$NF$150,MATCH(1,(GMW!$NE$2:$NE$150=AU$3)*(GMW!$ND$2:$ND$150=AU$4)*(GMW!$NF$2:$NF$150=AU$1),0),$C148-1966)</f>
        <v>2587000</v>
      </c>
      <c r="AV148" s="4" cm="1">
        <f t="array" ref="AV148">INDEX(GMW!$A$2:$NF$150,MATCH(1,(GMW!$NE$2:$NE$150=AV$3)*(GMW!$ND$2:$ND$150=AV$4)*(GMW!$NF$2:$NF$150=AV$1),0),$C148-1966)</f>
        <v>-1.6806300000000001</v>
      </c>
    </row>
    <row r="149" spans="1:48" x14ac:dyDescent="0.25">
      <c r="B149" s="4">
        <f t="shared" si="8"/>
        <v>2008</v>
      </c>
      <c r="C149" s="4">
        <f t="shared" si="7"/>
        <v>2115</v>
      </c>
      <c r="D149" s="4" cm="1">
        <f t="array" ref="D149">INDEX(GMW!$A$2:$NF$150,MATCH(1,(GMW!$NE$2:$NE$150=D$3)*(GMW!$ND$2:$ND$150=D$4)*(GMW!$NF$2:$NF$150=D$1),0),$C149-1966)</f>
        <v>531619</v>
      </c>
      <c r="E149" s="4" cm="1">
        <f t="array" ref="E149">INDEX(GMW!$A$2:$NF$150,MATCH(1,(GMW!$NE$2:$NE$150=E$3)*(GMW!$ND$2:$ND$150=E$4)*(GMW!$NF$2:$NF$150=E$1),0),$C149-1966)</f>
        <v>85.633330000000001</v>
      </c>
      <c r="F149" s="4" cm="1">
        <f t="array" ref="F149">INDEX(GMW!$A$2:$NF$150,MATCH(1,(GMW!$NE$2:$NE$150=F$3)*(GMW!$ND$2:$ND$150=F$4)*(GMW!$NF$2:$NF$150=F$1),0),$C149-1966)</f>
        <v>164942</v>
      </c>
      <c r="G149" s="4" cm="1">
        <f t="array" ref="G149">INDEX(GMW!$A$2:$NF$150,MATCH(1,(GMW!$NE$2:$NE$150=G$3)*(GMW!$ND$2:$ND$150=G$4)*(GMW!$NF$2:$NF$150=G$1),0),$C149-1966)</f>
        <v>77283</v>
      </c>
      <c r="H149" s="4" cm="1">
        <f t="array" ref="H149">INDEX(GMW!$A$2:$NF$150,MATCH(1,(GMW!$NE$2:$NE$150=H$3)*(GMW!$ND$2:$ND$150=H$4)*(GMW!$NF$2:$NF$150=H$1),0),$C149-1966)</f>
        <v>160848</v>
      </c>
      <c r="I149" s="4" cm="1">
        <f t="array" ref="I149">INDEX(GMW!$A$2:$NF$150,MATCH(1,(GMW!$NE$2:$NE$150=I$3)*(GMW!$ND$2:$ND$150=I$4)*(GMW!$NF$2:$NF$150=I$1),0),$C149-1966)</f>
        <v>95161</v>
      </c>
      <c r="J149" s="4" cm="1">
        <f t="array" ref="J149">INDEX(GMW!$A$2:$NF$150,MATCH(1,(GMW!$NE$2:$NE$150=J$3)*(GMW!$ND$2:$ND$150=J$4)*(GMW!$NF$2:$NF$150=J$1),0),$C149-1966)</f>
        <v>88414</v>
      </c>
      <c r="K149" s="4" cm="1">
        <f t="array" ref="K149">INDEX(GMW!$A$2:$NF$150,MATCH(1,(GMW!$NE$2:$NE$150=K$3)*(GMW!$ND$2:$ND$150=K$4)*(GMW!$NF$2:$NF$150=K$1),0),$C149-1966)</f>
        <v>49052</v>
      </c>
      <c r="L149" s="4" cm="1">
        <f t="array" ref="L149">INDEX(GMW!$A$2:$NF$150,MATCH(1,(GMW!$NE$2:$NE$150=L$3)*(GMW!$ND$2:$ND$150=L$4)*(GMW!$NF$2:$NF$150=L$1),0),$C149-1966)</f>
        <v>534172.1</v>
      </c>
      <c r="M149" s="4" cm="1">
        <f t="array" ref="M149">INDEX(GMW!$A$2:$NF$150,MATCH(1,(GMW!$NE$2:$NE$150=M$3)*(GMW!$ND$2:$ND$150=M$4)*(GMW!$NF$2:$NF$150=M$1),0),$C149-1966)</f>
        <v>29849</v>
      </c>
      <c r="N149" s="4" cm="1">
        <f t="array" ref="N149">INDEX(GMW!$A$2:$NF$150,MATCH(1,(GMW!$NE$2:$NE$150=N$3)*(GMW!$ND$2:$ND$150=N$4)*(GMW!$NF$2:$NF$150=N$1),0),$C149-1966)</f>
        <v>32</v>
      </c>
      <c r="O149" s="4" cm="1">
        <f t="array" ref="O149">INDEX(GMW!$A$2:$NF$150,MATCH(1,(GMW!$NE$2:$NE$150=O$3)*(GMW!$ND$2:$ND$150=O$4)*(GMW!$NF$2:$NF$150=O$1),0),$C149-1966)</f>
        <v>501833.9</v>
      </c>
      <c r="P149" s="4" cm="1">
        <f t="array" ref="P149">INDEX(GMW!$A$2:$NF$150,MATCH(1,(GMW!$NE$2:$NE$150=P$3)*(GMW!$ND$2:$ND$150=P$4)*(GMW!$NF$2:$NF$150=P$1),0),$C149-1966)</f>
        <v>41046.550000000003</v>
      </c>
      <c r="Q149" s="4" cm="1">
        <f t="array" ref="Q149">INDEX(GMW!$A$2:$NF$150,MATCH(1,(GMW!$NE$2:$NE$150=Q$3)*(GMW!$ND$2:$ND$150=Q$4)*(GMW!$NF$2:$NF$150=Q$1),0),$C149-1966)</f>
        <v>2604000</v>
      </c>
      <c r="R149" s="4" cm="1">
        <f t="array" ref="R149">INDEX(GMW!$A$2:$NF$150,MATCH(1,(GMW!$NE$2:$NE$150=R$3)*(GMW!$ND$2:$ND$150=R$4)*(GMW!$NF$2:$NF$150=R$1),0),$C149-1966)</f>
        <v>-1.680966</v>
      </c>
      <c r="S149" s="4" cm="1">
        <f t="array" ref="S149">INDEX(GMW!$A$2:$NF$150,MATCH(1,(GMW!$NE$2:$NE$150=S$3)*(GMW!$ND$2:$ND$150=S$4)*(GMW!$NF$2:$NF$150=S$1),0),$C149-1966)</f>
        <v>531619</v>
      </c>
      <c r="T149" s="4" cm="1">
        <f t="array" ref="T149">INDEX(GMW!$A$2:$NF$150,MATCH(1,(GMW!$NE$2:$NE$150=T$3)*(GMW!$ND$2:$ND$150=T$4)*(GMW!$NF$2:$NF$150=T$1),0),$C149-1966)</f>
        <v>85.633330000000001</v>
      </c>
      <c r="U149" s="4" cm="1">
        <f t="array" ref="U149">INDEX(GMW!$A$2:$NF$150,MATCH(1,(GMW!$NE$2:$NE$150=U$3)*(GMW!$ND$2:$ND$150=U$4)*(GMW!$NF$2:$NF$150=U$1),0),$C149-1966)</f>
        <v>164942</v>
      </c>
      <c r="V149" s="4" cm="1">
        <f t="array" ref="V149">INDEX(GMW!$A$2:$NF$150,MATCH(1,(GMW!$NE$2:$NE$150=V$3)*(GMW!$ND$2:$ND$150=V$4)*(GMW!$NF$2:$NF$150=V$1),0),$C149-1966)</f>
        <v>77283</v>
      </c>
      <c r="W149" s="4" cm="1">
        <f t="array" ref="W149">INDEX(GMW!$A$2:$NF$150,MATCH(1,(GMW!$NE$2:$NE$150=W$3)*(GMW!$ND$2:$ND$150=W$4)*(GMW!$NF$2:$NF$150=W$1),0),$C149-1966)</f>
        <v>160848</v>
      </c>
      <c r="X149" s="4" cm="1">
        <f t="array" ref="X149">INDEX(GMW!$A$2:$NF$150,MATCH(1,(GMW!$NE$2:$NE$150=X$3)*(GMW!$ND$2:$ND$150=X$4)*(GMW!$NF$2:$NF$150=X$1),0),$C149-1966)</f>
        <v>95161</v>
      </c>
      <c r="Y149" s="4" cm="1">
        <f t="array" ref="Y149">INDEX(GMW!$A$2:$NF$150,MATCH(1,(GMW!$NE$2:$NE$150=Y$3)*(GMW!$ND$2:$ND$150=Y$4)*(GMW!$NF$2:$NF$150=Y$1),0),$C149-1966)</f>
        <v>88414</v>
      </c>
      <c r="Z149" s="4" cm="1">
        <f t="array" ref="Z149">INDEX(GMW!$A$2:$NF$150,MATCH(1,(GMW!$NE$2:$NE$150=Z$3)*(GMW!$ND$2:$ND$150=Z$4)*(GMW!$NF$2:$NF$150=Z$1),0),$C149-1966)</f>
        <v>49052</v>
      </c>
      <c r="AA149" s="4" cm="1">
        <f t="array" ref="AA149">INDEX(GMW!$A$2:$NF$150,MATCH(1,(GMW!$NE$2:$NE$150=AA$3)*(GMW!$ND$2:$ND$150=AA$4)*(GMW!$NF$2:$NF$150=AA$1),0),$C149-1966)</f>
        <v>534172.1</v>
      </c>
      <c r="AB149" s="4" cm="1">
        <f t="array" ref="AB149">INDEX(GMW!$A$2:$NF$150,MATCH(1,(GMW!$NE$2:$NE$150=AB$3)*(GMW!$ND$2:$ND$150=AB$4)*(GMW!$NF$2:$NF$150=AB$1),0),$C149-1966)</f>
        <v>29849</v>
      </c>
      <c r="AC149" s="4" cm="1">
        <f t="array" ref="AC149">INDEX(GMW!$A$2:$NF$150,MATCH(1,(GMW!$NE$2:$NE$150=AC$3)*(GMW!$ND$2:$ND$150=AC$4)*(GMW!$NF$2:$NF$150=AC$1),0),$C149-1966)</f>
        <v>32</v>
      </c>
      <c r="AD149" s="4" cm="1">
        <f t="array" ref="AD149">INDEX(GMW!$A$2:$NF$150,MATCH(1,(GMW!$NE$2:$NE$150=AD$3)*(GMW!$ND$2:$ND$150=AD$4)*(GMW!$NF$2:$NF$150=AD$1),0),$C149-1966)</f>
        <v>501833.9</v>
      </c>
      <c r="AE149" s="4" cm="1">
        <f t="array" ref="AE149">INDEX(GMW!$A$2:$NF$150,MATCH(1,(GMW!$NE$2:$NE$150=AE$3)*(GMW!$ND$2:$ND$150=AE$4)*(GMW!$NF$2:$NF$150=AE$1),0),$C149-1966)</f>
        <v>41046.550000000003</v>
      </c>
      <c r="AF149" s="4" cm="1">
        <f t="array" ref="AF149">INDEX(GMW!$A$2:$NF$150,MATCH(1,(GMW!$NE$2:$NE$150=AF$3)*(GMW!$ND$2:$ND$150=AF$4)*(GMW!$NF$2:$NF$150=AF$1),0),$C149-1966)</f>
        <v>2604000</v>
      </c>
      <c r="AG149" s="4" cm="1">
        <f t="array" ref="AG149">INDEX(GMW!$A$2:$NF$150,MATCH(1,(GMW!$NE$2:$NE$150=AG$3)*(GMW!$ND$2:$ND$150=AG$4)*(GMW!$NF$2:$NF$150=AG$1),0),$C149-1966)</f>
        <v>-1.680966</v>
      </c>
      <c r="AH149" s="4" cm="1">
        <f t="array" ref="AH149">INDEX(GMW!$A$2:$NF$150,MATCH(1,(GMW!$NE$2:$NE$150=AH$3)*(GMW!$ND$2:$ND$150=AH$4)*(GMW!$NF$2:$NF$150=AH$1),0),$C149-1966)</f>
        <v>531619</v>
      </c>
      <c r="AI149" s="4" cm="1">
        <f t="array" ref="AI149">INDEX(GMW!$A$2:$NF$150,MATCH(1,(GMW!$NE$2:$NE$150=AI$3)*(GMW!$ND$2:$ND$150=AI$4)*(GMW!$NF$2:$NF$150=AI$1),0),$C149-1966)</f>
        <v>85.633330000000001</v>
      </c>
      <c r="AJ149" s="4" cm="1">
        <f t="array" ref="AJ149">INDEX(GMW!$A$2:$NF$150,MATCH(1,(GMW!$NE$2:$NE$150=AJ$3)*(GMW!$ND$2:$ND$150=AJ$4)*(GMW!$NF$2:$NF$150=AJ$1),0),$C149-1966)</f>
        <v>164942</v>
      </c>
      <c r="AK149" s="4" cm="1">
        <f t="array" ref="AK149">INDEX(GMW!$A$2:$NF$150,MATCH(1,(GMW!$NE$2:$NE$150=AK$3)*(GMW!$ND$2:$ND$150=AK$4)*(GMW!$NF$2:$NF$150=AK$1),0),$C149-1966)</f>
        <v>77283</v>
      </c>
      <c r="AL149" s="4" cm="1">
        <f t="array" ref="AL149">INDEX(GMW!$A$2:$NF$150,MATCH(1,(GMW!$NE$2:$NE$150=AL$3)*(GMW!$ND$2:$ND$150=AL$4)*(GMW!$NF$2:$NF$150=AL$1),0),$C149-1966)</f>
        <v>160848</v>
      </c>
      <c r="AM149" s="4" cm="1">
        <f t="array" ref="AM149">INDEX(GMW!$A$2:$NF$150,MATCH(1,(GMW!$NE$2:$NE$150=AM$3)*(GMW!$ND$2:$ND$150=AM$4)*(GMW!$NF$2:$NF$150=AM$1),0),$C149-1966)</f>
        <v>95161</v>
      </c>
      <c r="AN149" s="4" cm="1">
        <f t="array" ref="AN149">INDEX(GMW!$A$2:$NF$150,MATCH(1,(GMW!$NE$2:$NE$150=AN$3)*(GMW!$ND$2:$ND$150=AN$4)*(GMW!$NF$2:$NF$150=AN$1),0),$C149-1966)</f>
        <v>88414</v>
      </c>
      <c r="AO149" s="4" cm="1">
        <f t="array" ref="AO149">INDEX(GMW!$A$2:$NF$150,MATCH(1,(GMW!$NE$2:$NE$150=AO$3)*(GMW!$ND$2:$ND$150=AO$4)*(GMW!$NF$2:$NF$150=AO$1),0),$C149-1966)</f>
        <v>49052</v>
      </c>
      <c r="AP149" s="4" cm="1">
        <f t="array" ref="AP149">INDEX(GMW!$A$2:$NF$150,MATCH(1,(GMW!$NE$2:$NE$150=AP$3)*(GMW!$ND$2:$ND$150=AP$4)*(GMW!$NF$2:$NF$150=AP$1),0),$C149-1966)</f>
        <v>534172.1</v>
      </c>
      <c r="AQ149" s="4" cm="1">
        <f t="array" ref="AQ149">INDEX(GMW!$A$2:$NF$150,MATCH(1,(GMW!$NE$2:$NE$150=AQ$3)*(GMW!$ND$2:$ND$150=AQ$4)*(GMW!$NF$2:$NF$150=AQ$1),0),$C149-1966)</f>
        <v>29849</v>
      </c>
      <c r="AR149" s="4" cm="1">
        <f t="array" ref="AR149">INDEX(GMW!$A$2:$NF$150,MATCH(1,(GMW!$NE$2:$NE$150=AR$3)*(GMW!$ND$2:$ND$150=AR$4)*(GMW!$NF$2:$NF$150=AR$1),0),$C149-1966)</f>
        <v>32</v>
      </c>
      <c r="AS149" s="4" cm="1">
        <f t="array" ref="AS149">INDEX(GMW!$A$2:$NF$150,MATCH(1,(GMW!$NE$2:$NE$150=AS$3)*(GMW!$ND$2:$ND$150=AS$4)*(GMW!$NF$2:$NF$150=AS$1),0),$C149-1966)</f>
        <v>501833.9</v>
      </c>
      <c r="AT149" s="4" cm="1">
        <f t="array" ref="AT149">INDEX(GMW!$A$2:$NF$150,MATCH(1,(GMW!$NE$2:$NE$150=AT$3)*(GMW!$ND$2:$ND$150=AT$4)*(GMW!$NF$2:$NF$150=AT$1),0),$C149-1966)</f>
        <v>41046.550000000003</v>
      </c>
      <c r="AU149" s="4" cm="1">
        <f t="array" ref="AU149">INDEX(GMW!$A$2:$NF$150,MATCH(1,(GMW!$NE$2:$NE$150=AU$3)*(GMW!$ND$2:$ND$150=AU$4)*(GMW!$NF$2:$NF$150=AU$1),0),$C149-1966)</f>
        <v>2604000</v>
      </c>
      <c r="AV149" s="4" cm="1">
        <f t="array" ref="AV149">INDEX(GMW!$A$2:$NF$150,MATCH(1,(GMW!$NE$2:$NE$150=AV$3)*(GMW!$ND$2:$ND$150=AV$4)*(GMW!$NF$2:$NF$150=AV$1),0),$C149-1966)</f>
        <v>-1.680966</v>
      </c>
    </row>
    <row r="150" spans="1:48" x14ac:dyDescent="0.25">
      <c r="B150" s="4">
        <f t="shared" si="8"/>
        <v>2008</v>
      </c>
      <c r="C150" s="4">
        <f t="shared" si="7"/>
        <v>2116</v>
      </c>
      <c r="D150" s="4" cm="1">
        <f t="array" ref="D150">INDEX(GMW!$A$2:$NF$150,MATCH(1,(GMW!$NE$2:$NE$150=D$3)*(GMW!$ND$2:$ND$150=D$4)*(GMW!$NF$2:$NF$150=D$1),0),$C150-1966)</f>
        <v>520230</v>
      </c>
      <c r="E150" s="4" cm="1">
        <f t="array" ref="E150">INDEX(GMW!$A$2:$NF$150,MATCH(1,(GMW!$NE$2:$NE$150=E$3)*(GMW!$ND$2:$ND$150=E$4)*(GMW!$NF$2:$NF$150=E$1),0),$C150-1966)</f>
        <v>85.733329999999995</v>
      </c>
      <c r="F150" s="4" cm="1">
        <f t="array" ref="F150">INDEX(GMW!$A$2:$NF$150,MATCH(1,(GMW!$NE$2:$NE$150=F$3)*(GMW!$ND$2:$ND$150=F$4)*(GMW!$NF$2:$NF$150=F$1),0),$C150-1966)</f>
        <v>158580</v>
      </c>
      <c r="G150" s="4" cm="1">
        <f t="array" ref="G150">INDEX(GMW!$A$2:$NF$150,MATCH(1,(GMW!$NE$2:$NE$150=G$3)*(GMW!$ND$2:$ND$150=G$4)*(GMW!$NF$2:$NF$150=G$1),0),$C150-1966)</f>
        <v>66295</v>
      </c>
      <c r="H150" s="4" cm="1">
        <f t="array" ref="H150">INDEX(GMW!$A$2:$NF$150,MATCH(1,(GMW!$NE$2:$NE$150=H$3)*(GMW!$ND$2:$ND$150=H$4)*(GMW!$NF$2:$NF$150=H$1),0),$C150-1966)</f>
        <v>152350</v>
      </c>
      <c r="I150" s="4" cm="1">
        <f t="array" ref="I150">INDEX(GMW!$A$2:$NF$150,MATCH(1,(GMW!$NE$2:$NE$150=I$3)*(GMW!$ND$2:$ND$150=I$4)*(GMW!$NF$2:$NF$150=I$1),0),$C150-1966)</f>
        <v>84918</v>
      </c>
      <c r="J150" s="4" cm="1">
        <f t="array" ref="J150">INDEX(GMW!$A$2:$NF$150,MATCH(1,(GMW!$NE$2:$NE$150=J$3)*(GMW!$ND$2:$ND$150=J$4)*(GMW!$NF$2:$NF$150=J$1),0),$C150-1966)</f>
        <v>86953</v>
      </c>
      <c r="K150" s="4" cm="1">
        <f t="array" ref="K150">INDEX(GMW!$A$2:$NF$150,MATCH(1,(GMW!$NE$2:$NE$150=K$3)*(GMW!$ND$2:$ND$150=K$4)*(GMW!$NF$2:$NF$150=K$1),0),$C150-1966)</f>
        <v>47384</v>
      </c>
      <c r="L150" s="4" cm="1">
        <f t="array" ref="L150">INDEX(GMW!$A$2:$NF$150,MATCH(1,(GMW!$NE$2:$NE$150=L$3)*(GMW!$ND$2:$ND$150=L$4)*(GMW!$NF$2:$NF$150=L$1),0),$C150-1966)</f>
        <v>535804.5</v>
      </c>
      <c r="M150" s="4" cm="1">
        <f t="array" ref="M150">INDEX(GMW!$A$2:$NF$150,MATCH(1,(GMW!$NE$2:$NE$150=M$3)*(GMW!$ND$2:$ND$150=M$4)*(GMW!$NF$2:$NF$150=M$1),0),$C150-1966)</f>
        <v>29954.45</v>
      </c>
      <c r="N150" s="4" cm="1">
        <f t="array" ref="N150">INDEX(GMW!$A$2:$NF$150,MATCH(1,(GMW!$NE$2:$NE$150=N$3)*(GMW!$ND$2:$ND$150=N$4)*(GMW!$NF$2:$NF$150=N$1),0),$C150-1966)</f>
        <v>31.9</v>
      </c>
      <c r="O150" s="4" cm="1">
        <f t="array" ref="O150">INDEX(GMW!$A$2:$NF$150,MATCH(1,(GMW!$NE$2:$NE$150=O$3)*(GMW!$ND$2:$ND$150=O$4)*(GMW!$NF$2:$NF$150=O$1),0),$C150-1966)</f>
        <v>503890.9</v>
      </c>
      <c r="P150" s="4" cm="1">
        <f t="array" ref="P150">INDEX(GMW!$A$2:$NF$150,MATCH(1,(GMW!$NE$2:$NE$150=P$3)*(GMW!$ND$2:$ND$150=P$4)*(GMW!$NF$2:$NF$150=P$1),0),$C150-1966)</f>
        <v>41099.949999999997</v>
      </c>
      <c r="Q150" s="4" cm="1">
        <f t="array" ref="Q150">INDEX(GMW!$A$2:$NF$150,MATCH(1,(GMW!$NE$2:$NE$150=Q$3)*(GMW!$ND$2:$ND$150=Q$4)*(GMW!$NF$2:$NF$150=Q$1),0),$C150-1966)</f>
        <v>2621000</v>
      </c>
      <c r="R150" s="4" cm="1">
        <f t="array" ref="R150">INDEX(GMW!$A$2:$NF$150,MATCH(1,(GMW!$NE$2:$NE$150=R$3)*(GMW!$ND$2:$ND$150=R$4)*(GMW!$NF$2:$NF$150=R$1),0),$C150-1966)</f>
        <v>-1.6813020000000001</v>
      </c>
      <c r="S150" s="4" cm="1">
        <f t="array" ref="S150">INDEX(GMW!$A$2:$NF$150,MATCH(1,(GMW!$NE$2:$NE$150=S$3)*(GMW!$ND$2:$ND$150=S$4)*(GMW!$NF$2:$NF$150=S$1),0),$C150-1966)</f>
        <v>520230</v>
      </c>
      <c r="T150" s="4" cm="1">
        <f t="array" ref="T150">INDEX(GMW!$A$2:$NF$150,MATCH(1,(GMW!$NE$2:$NE$150=T$3)*(GMW!$ND$2:$ND$150=T$4)*(GMW!$NF$2:$NF$150=T$1),0),$C150-1966)</f>
        <v>85.733329999999995</v>
      </c>
      <c r="U150" s="4" cm="1">
        <f t="array" ref="U150">INDEX(GMW!$A$2:$NF$150,MATCH(1,(GMW!$NE$2:$NE$150=U$3)*(GMW!$ND$2:$ND$150=U$4)*(GMW!$NF$2:$NF$150=U$1),0),$C150-1966)</f>
        <v>158580</v>
      </c>
      <c r="V150" s="4" cm="1">
        <f t="array" ref="V150">INDEX(GMW!$A$2:$NF$150,MATCH(1,(GMW!$NE$2:$NE$150=V$3)*(GMW!$ND$2:$ND$150=V$4)*(GMW!$NF$2:$NF$150=V$1),0),$C150-1966)</f>
        <v>66295</v>
      </c>
      <c r="W150" s="4" cm="1">
        <f t="array" ref="W150">INDEX(GMW!$A$2:$NF$150,MATCH(1,(GMW!$NE$2:$NE$150=W$3)*(GMW!$ND$2:$ND$150=W$4)*(GMW!$NF$2:$NF$150=W$1),0),$C150-1966)</f>
        <v>152350</v>
      </c>
      <c r="X150" s="4" cm="1">
        <f t="array" ref="X150">INDEX(GMW!$A$2:$NF$150,MATCH(1,(GMW!$NE$2:$NE$150=X$3)*(GMW!$ND$2:$ND$150=X$4)*(GMW!$NF$2:$NF$150=X$1),0),$C150-1966)</f>
        <v>84918</v>
      </c>
      <c r="Y150" s="4" cm="1">
        <f t="array" ref="Y150">INDEX(GMW!$A$2:$NF$150,MATCH(1,(GMW!$NE$2:$NE$150=Y$3)*(GMW!$ND$2:$ND$150=Y$4)*(GMW!$NF$2:$NF$150=Y$1),0),$C150-1966)</f>
        <v>86953</v>
      </c>
      <c r="Z150" s="4" cm="1">
        <f t="array" ref="Z150">INDEX(GMW!$A$2:$NF$150,MATCH(1,(GMW!$NE$2:$NE$150=Z$3)*(GMW!$ND$2:$ND$150=Z$4)*(GMW!$NF$2:$NF$150=Z$1),0),$C150-1966)</f>
        <v>47384</v>
      </c>
      <c r="AA150" s="4" cm="1">
        <f t="array" ref="AA150">INDEX(GMW!$A$2:$NF$150,MATCH(1,(GMW!$NE$2:$NE$150=AA$3)*(GMW!$ND$2:$ND$150=AA$4)*(GMW!$NF$2:$NF$150=AA$1),0),$C150-1966)</f>
        <v>535804.5</v>
      </c>
      <c r="AB150" s="4" cm="1">
        <f t="array" ref="AB150">INDEX(GMW!$A$2:$NF$150,MATCH(1,(GMW!$NE$2:$NE$150=AB$3)*(GMW!$ND$2:$ND$150=AB$4)*(GMW!$NF$2:$NF$150=AB$1),0),$C150-1966)</f>
        <v>29954.45</v>
      </c>
      <c r="AC150" s="4" cm="1">
        <f t="array" ref="AC150">INDEX(GMW!$A$2:$NF$150,MATCH(1,(GMW!$NE$2:$NE$150=AC$3)*(GMW!$ND$2:$ND$150=AC$4)*(GMW!$NF$2:$NF$150=AC$1),0),$C150-1966)</f>
        <v>31.9</v>
      </c>
      <c r="AD150" s="4" cm="1">
        <f t="array" ref="AD150">INDEX(GMW!$A$2:$NF$150,MATCH(1,(GMW!$NE$2:$NE$150=AD$3)*(GMW!$ND$2:$ND$150=AD$4)*(GMW!$NF$2:$NF$150=AD$1),0),$C150-1966)</f>
        <v>503890.9</v>
      </c>
      <c r="AE150" s="4" cm="1">
        <f t="array" ref="AE150">INDEX(GMW!$A$2:$NF$150,MATCH(1,(GMW!$NE$2:$NE$150=AE$3)*(GMW!$ND$2:$ND$150=AE$4)*(GMW!$NF$2:$NF$150=AE$1),0),$C150-1966)</f>
        <v>41099.949999999997</v>
      </c>
      <c r="AF150" s="4" cm="1">
        <f t="array" ref="AF150">INDEX(GMW!$A$2:$NF$150,MATCH(1,(GMW!$NE$2:$NE$150=AF$3)*(GMW!$ND$2:$ND$150=AF$4)*(GMW!$NF$2:$NF$150=AF$1),0),$C150-1966)</f>
        <v>2621000</v>
      </c>
      <c r="AG150" s="4" cm="1">
        <f t="array" ref="AG150">INDEX(GMW!$A$2:$NF$150,MATCH(1,(GMW!$NE$2:$NE$150=AG$3)*(GMW!$ND$2:$ND$150=AG$4)*(GMW!$NF$2:$NF$150=AG$1),0),$C150-1966)</f>
        <v>-1.6813020000000001</v>
      </c>
      <c r="AH150" s="4" cm="1">
        <f t="array" ref="AH150">INDEX(GMW!$A$2:$NF$150,MATCH(1,(GMW!$NE$2:$NE$150=AH$3)*(GMW!$ND$2:$ND$150=AH$4)*(GMW!$NF$2:$NF$150=AH$1),0),$C150-1966)</f>
        <v>520230</v>
      </c>
      <c r="AI150" s="4" cm="1">
        <f t="array" ref="AI150">INDEX(GMW!$A$2:$NF$150,MATCH(1,(GMW!$NE$2:$NE$150=AI$3)*(GMW!$ND$2:$ND$150=AI$4)*(GMW!$NF$2:$NF$150=AI$1),0),$C150-1966)</f>
        <v>85.733329999999995</v>
      </c>
      <c r="AJ150" s="4" cm="1">
        <f t="array" ref="AJ150">INDEX(GMW!$A$2:$NF$150,MATCH(1,(GMW!$NE$2:$NE$150=AJ$3)*(GMW!$ND$2:$ND$150=AJ$4)*(GMW!$NF$2:$NF$150=AJ$1),0),$C150-1966)</f>
        <v>158580</v>
      </c>
      <c r="AK150" s="4" cm="1">
        <f t="array" ref="AK150">INDEX(GMW!$A$2:$NF$150,MATCH(1,(GMW!$NE$2:$NE$150=AK$3)*(GMW!$ND$2:$ND$150=AK$4)*(GMW!$NF$2:$NF$150=AK$1),0),$C150-1966)</f>
        <v>66295</v>
      </c>
      <c r="AL150" s="4" cm="1">
        <f t="array" ref="AL150">INDEX(GMW!$A$2:$NF$150,MATCH(1,(GMW!$NE$2:$NE$150=AL$3)*(GMW!$ND$2:$ND$150=AL$4)*(GMW!$NF$2:$NF$150=AL$1),0),$C150-1966)</f>
        <v>152350</v>
      </c>
      <c r="AM150" s="4" cm="1">
        <f t="array" ref="AM150">INDEX(GMW!$A$2:$NF$150,MATCH(1,(GMW!$NE$2:$NE$150=AM$3)*(GMW!$ND$2:$ND$150=AM$4)*(GMW!$NF$2:$NF$150=AM$1),0),$C150-1966)</f>
        <v>84918</v>
      </c>
      <c r="AN150" s="4" cm="1">
        <f t="array" ref="AN150">INDEX(GMW!$A$2:$NF$150,MATCH(1,(GMW!$NE$2:$NE$150=AN$3)*(GMW!$ND$2:$ND$150=AN$4)*(GMW!$NF$2:$NF$150=AN$1),0),$C150-1966)</f>
        <v>86953</v>
      </c>
      <c r="AO150" s="4" cm="1">
        <f t="array" ref="AO150">INDEX(GMW!$A$2:$NF$150,MATCH(1,(GMW!$NE$2:$NE$150=AO$3)*(GMW!$ND$2:$ND$150=AO$4)*(GMW!$NF$2:$NF$150=AO$1),0),$C150-1966)</f>
        <v>47384</v>
      </c>
      <c r="AP150" s="4" cm="1">
        <f t="array" ref="AP150">INDEX(GMW!$A$2:$NF$150,MATCH(1,(GMW!$NE$2:$NE$150=AP$3)*(GMW!$ND$2:$ND$150=AP$4)*(GMW!$NF$2:$NF$150=AP$1),0),$C150-1966)</f>
        <v>535804.5</v>
      </c>
      <c r="AQ150" s="4" cm="1">
        <f t="array" ref="AQ150">INDEX(GMW!$A$2:$NF$150,MATCH(1,(GMW!$NE$2:$NE$150=AQ$3)*(GMW!$ND$2:$ND$150=AQ$4)*(GMW!$NF$2:$NF$150=AQ$1),0),$C150-1966)</f>
        <v>29954.45</v>
      </c>
      <c r="AR150" s="4" cm="1">
        <f t="array" ref="AR150">INDEX(GMW!$A$2:$NF$150,MATCH(1,(GMW!$NE$2:$NE$150=AR$3)*(GMW!$ND$2:$ND$150=AR$4)*(GMW!$NF$2:$NF$150=AR$1),0),$C150-1966)</f>
        <v>31.9</v>
      </c>
      <c r="AS150" s="4" cm="1">
        <f t="array" ref="AS150">INDEX(GMW!$A$2:$NF$150,MATCH(1,(GMW!$NE$2:$NE$150=AS$3)*(GMW!$ND$2:$ND$150=AS$4)*(GMW!$NF$2:$NF$150=AS$1),0),$C150-1966)</f>
        <v>503890.9</v>
      </c>
      <c r="AT150" s="4" cm="1">
        <f t="array" ref="AT150">INDEX(GMW!$A$2:$NF$150,MATCH(1,(GMW!$NE$2:$NE$150=AT$3)*(GMW!$ND$2:$ND$150=AT$4)*(GMW!$NF$2:$NF$150=AT$1),0),$C150-1966)</f>
        <v>41099.949999999997</v>
      </c>
      <c r="AU150" s="4" cm="1">
        <f t="array" ref="AU150">INDEX(GMW!$A$2:$NF$150,MATCH(1,(GMW!$NE$2:$NE$150=AU$3)*(GMW!$ND$2:$ND$150=AU$4)*(GMW!$NF$2:$NF$150=AU$1),0),$C150-1966)</f>
        <v>2621000</v>
      </c>
      <c r="AV150" s="4" cm="1">
        <f t="array" ref="AV150">INDEX(GMW!$A$2:$NF$150,MATCH(1,(GMW!$NE$2:$NE$150=AV$3)*(GMW!$ND$2:$ND$150=AV$4)*(GMW!$NF$2:$NF$150=AV$1),0),$C150-1966)</f>
        <v>-1.6813020000000001</v>
      </c>
    </row>
    <row r="151" spans="1:48" x14ac:dyDescent="0.25">
      <c r="A151" s="4">
        <v>2009</v>
      </c>
      <c r="B151" s="4">
        <f t="shared" si="8"/>
        <v>2009</v>
      </c>
      <c r="C151" s="4">
        <f t="shared" si="7"/>
        <v>2117</v>
      </c>
      <c r="D151" s="4" cm="1">
        <f t="array" ref="D151">INDEX(GMW!$A$2:$NF$150,MATCH(1,(GMW!$NE$2:$NE$150=D$3)*(GMW!$ND$2:$ND$150=D$4)*(GMW!$NF$2:$NF$150=D$1),0),$C151-1966)</f>
        <v>509646</v>
      </c>
      <c r="E151" s="4" cm="1">
        <f t="array" ref="E151">INDEX(GMW!$A$2:$NF$150,MATCH(1,(GMW!$NE$2:$NE$150=E$3)*(GMW!$ND$2:$ND$150=E$4)*(GMW!$NF$2:$NF$150=E$1),0),$C151-1966)</f>
        <v>85.433329999999998</v>
      </c>
      <c r="F151" s="4" cm="1">
        <f t="array" ref="F151">INDEX(GMW!$A$2:$NF$150,MATCH(1,(GMW!$NE$2:$NE$150=F$3)*(GMW!$ND$2:$ND$150=F$4)*(GMW!$NF$2:$NF$150=F$1),0),$C151-1966)</f>
        <v>148383</v>
      </c>
      <c r="G151" s="4" cm="1">
        <f t="array" ref="G151">INDEX(GMW!$A$2:$NF$150,MATCH(1,(GMW!$NE$2:$NE$150=G$3)*(GMW!$ND$2:$ND$150=G$4)*(GMW!$NF$2:$NF$150=G$1),0),$C151-1966)</f>
        <v>61223</v>
      </c>
      <c r="H151" s="4" cm="1">
        <f t="array" ref="H151">INDEX(GMW!$A$2:$NF$150,MATCH(1,(GMW!$NE$2:$NE$150=H$3)*(GMW!$ND$2:$ND$150=H$4)*(GMW!$NF$2:$NF$150=H$1),0),$C151-1966)</f>
        <v>146327</v>
      </c>
      <c r="I151" s="4" cm="1">
        <f t="array" ref="I151">INDEX(GMW!$A$2:$NF$150,MATCH(1,(GMW!$NE$2:$NE$150=I$3)*(GMW!$ND$2:$ND$150=I$4)*(GMW!$NF$2:$NF$150=I$1),0),$C151-1966)</f>
        <v>81533</v>
      </c>
      <c r="J151" s="4" cm="1">
        <f t="array" ref="J151">INDEX(GMW!$A$2:$NF$150,MATCH(1,(GMW!$NE$2:$NE$150=J$3)*(GMW!$ND$2:$ND$150=J$4)*(GMW!$NF$2:$NF$150=J$1),0),$C151-1966)</f>
        <v>81803</v>
      </c>
      <c r="K151" s="4" cm="1">
        <f t="array" ref="K151">INDEX(GMW!$A$2:$NF$150,MATCH(1,(GMW!$NE$2:$NE$150=K$3)*(GMW!$ND$2:$ND$150=K$4)*(GMW!$NF$2:$NF$150=K$1),0),$C151-1966)</f>
        <v>43119</v>
      </c>
      <c r="L151" s="4" cm="1">
        <f t="array" ref="L151">INDEX(GMW!$A$2:$NF$150,MATCH(1,(GMW!$NE$2:$NE$150=L$3)*(GMW!$ND$2:$ND$150=L$4)*(GMW!$NF$2:$NF$150=L$1),0),$C151-1966)</f>
        <v>533759.80000000005</v>
      </c>
      <c r="M151" s="4" cm="1">
        <f t="array" ref="M151">INDEX(GMW!$A$2:$NF$150,MATCH(1,(GMW!$NE$2:$NE$150=M$3)*(GMW!$ND$2:$ND$150=M$4)*(GMW!$NF$2:$NF$150=M$1),0),$C151-1966)</f>
        <v>30020.95</v>
      </c>
      <c r="N151" s="4" cm="1">
        <f t="array" ref="N151">INDEX(GMW!$A$2:$NF$150,MATCH(1,(GMW!$NE$2:$NE$150=N$3)*(GMW!$ND$2:$ND$150=N$4)*(GMW!$NF$2:$NF$150=N$1),0),$C151-1966)</f>
        <v>31.5</v>
      </c>
      <c r="O151" s="4" cm="1">
        <f t="array" ref="O151">INDEX(GMW!$A$2:$NF$150,MATCH(1,(GMW!$NE$2:$NE$150=O$3)*(GMW!$ND$2:$ND$150=O$4)*(GMW!$NF$2:$NF$150=O$1),0),$C151-1966)</f>
        <v>506081.4</v>
      </c>
      <c r="P151" s="4" cm="1">
        <f t="array" ref="P151">INDEX(GMW!$A$2:$NF$150,MATCH(1,(GMW!$NE$2:$NE$150=P$3)*(GMW!$ND$2:$ND$150=P$4)*(GMW!$NF$2:$NF$150=P$1),0),$C151-1966)</f>
        <v>41153.360000000001</v>
      </c>
      <c r="Q151" s="4" cm="1">
        <f t="array" ref="Q151">INDEX(GMW!$A$2:$NF$150,MATCH(1,(GMW!$NE$2:$NE$150=Q$3)*(GMW!$ND$2:$ND$150=Q$4)*(GMW!$NF$2:$NF$150=Q$1),0),$C151-1966)</f>
        <v>2627250</v>
      </c>
      <c r="R151" s="4" cm="1">
        <f t="array" ref="R151">INDEX(GMW!$A$2:$NF$150,MATCH(1,(GMW!$NE$2:$NE$150=R$3)*(GMW!$ND$2:$ND$150=R$4)*(GMW!$NF$2:$NF$150=R$1),0),$C151-1966)</f>
        <v>-1.6815549999999999</v>
      </c>
      <c r="S151" s="4" cm="1">
        <f t="array" ref="S151">INDEX(GMW!$A$2:$NF$150,MATCH(1,(GMW!$NE$2:$NE$150=S$3)*(GMW!$ND$2:$ND$150=S$4)*(GMW!$NF$2:$NF$150=S$1),0),$C151-1966)</f>
        <v>509646</v>
      </c>
      <c r="T151" s="4" cm="1">
        <f t="array" ref="T151">INDEX(GMW!$A$2:$NF$150,MATCH(1,(GMW!$NE$2:$NE$150=T$3)*(GMW!$ND$2:$ND$150=T$4)*(GMW!$NF$2:$NF$150=T$1),0),$C151-1966)</f>
        <v>85.433329999999998</v>
      </c>
      <c r="U151" s="4" cm="1">
        <f t="array" ref="U151">INDEX(GMW!$A$2:$NF$150,MATCH(1,(GMW!$NE$2:$NE$150=U$3)*(GMW!$ND$2:$ND$150=U$4)*(GMW!$NF$2:$NF$150=U$1),0),$C151-1966)</f>
        <v>148383</v>
      </c>
      <c r="V151" s="4" cm="1">
        <f t="array" ref="V151">INDEX(GMW!$A$2:$NF$150,MATCH(1,(GMW!$NE$2:$NE$150=V$3)*(GMW!$ND$2:$ND$150=V$4)*(GMW!$NF$2:$NF$150=V$1),0),$C151-1966)</f>
        <v>61223</v>
      </c>
      <c r="W151" s="4" cm="1">
        <f t="array" ref="W151">INDEX(GMW!$A$2:$NF$150,MATCH(1,(GMW!$NE$2:$NE$150=W$3)*(GMW!$ND$2:$ND$150=W$4)*(GMW!$NF$2:$NF$150=W$1),0),$C151-1966)</f>
        <v>146327</v>
      </c>
      <c r="X151" s="4" cm="1">
        <f t="array" ref="X151">INDEX(GMW!$A$2:$NF$150,MATCH(1,(GMW!$NE$2:$NE$150=X$3)*(GMW!$ND$2:$ND$150=X$4)*(GMW!$NF$2:$NF$150=X$1),0),$C151-1966)</f>
        <v>81533</v>
      </c>
      <c r="Y151" s="4" cm="1">
        <f t="array" ref="Y151">INDEX(GMW!$A$2:$NF$150,MATCH(1,(GMW!$NE$2:$NE$150=Y$3)*(GMW!$ND$2:$ND$150=Y$4)*(GMW!$NF$2:$NF$150=Y$1),0),$C151-1966)</f>
        <v>81803</v>
      </c>
      <c r="Z151" s="4" cm="1">
        <f t="array" ref="Z151">INDEX(GMW!$A$2:$NF$150,MATCH(1,(GMW!$NE$2:$NE$150=Z$3)*(GMW!$ND$2:$ND$150=Z$4)*(GMW!$NF$2:$NF$150=Z$1),0),$C151-1966)</f>
        <v>43119</v>
      </c>
      <c r="AA151" s="4" cm="1">
        <f t="array" ref="AA151">INDEX(GMW!$A$2:$NF$150,MATCH(1,(GMW!$NE$2:$NE$150=AA$3)*(GMW!$ND$2:$ND$150=AA$4)*(GMW!$NF$2:$NF$150=AA$1),0),$C151-1966)</f>
        <v>533759.80000000005</v>
      </c>
      <c r="AB151" s="4" cm="1">
        <f t="array" ref="AB151">INDEX(GMW!$A$2:$NF$150,MATCH(1,(GMW!$NE$2:$NE$150=AB$3)*(GMW!$ND$2:$ND$150=AB$4)*(GMW!$NF$2:$NF$150=AB$1),0),$C151-1966)</f>
        <v>30020.95</v>
      </c>
      <c r="AC151" s="4" cm="1">
        <f t="array" ref="AC151">INDEX(GMW!$A$2:$NF$150,MATCH(1,(GMW!$NE$2:$NE$150=AC$3)*(GMW!$ND$2:$ND$150=AC$4)*(GMW!$NF$2:$NF$150=AC$1),0),$C151-1966)</f>
        <v>31.5</v>
      </c>
      <c r="AD151" s="4" cm="1">
        <f t="array" ref="AD151">INDEX(GMW!$A$2:$NF$150,MATCH(1,(GMW!$NE$2:$NE$150=AD$3)*(GMW!$ND$2:$ND$150=AD$4)*(GMW!$NF$2:$NF$150=AD$1),0),$C151-1966)</f>
        <v>506081.4</v>
      </c>
      <c r="AE151" s="4" cm="1">
        <f t="array" ref="AE151">INDEX(GMW!$A$2:$NF$150,MATCH(1,(GMW!$NE$2:$NE$150=AE$3)*(GMW!$ND$2:$ND$150=AE$4)*(GMW!$NF$2:$NF$150=AE$1),0),$C151-1966)</f>
        <v>41153.360000000001</v>
      </c>
      <c r="AF151" s="4" cm="1">
        <f t="array" ref="AF151">INDEX(GMW!$A$2:$NF$150,MATCH(1,(GMW!$NE$2:$NE$150=AF$3)*(GMW!$ND$2:$ND$150=AF$4)*(GMW!$NF$2:$NF$150=AF$1),0),$C151-1966)</f>
        <v>2627250</v>
      </c>
      <c r="AG151" s="4" cm="1">
        <f t="array" ref="AG151">INDEX(GMW!$A$2:$NF$150,MATCH(1,(GMW!$NE$2:$NE$150=AG$3)*(GMW!$ND$2:$ND$150=AG$4)*(GMW!$NF$2:$NF$150=AG$1),0),$C151-1966)</f>
        <v>-1.6815549999999999</v>
      </c>
      <c r="AH151" s="4" cm="1">
        <f t="array" ref="AH151">INDEX(GMW!$A$2:$NF$150,MATCH(1,(GMW!$NE$2:$NE$150=AH$3)*(GMW!$ND$2:$ND$150=AH$4)*(GMW!$NF$2:$NF$150=AH$1),0),$C151-1966)</f>
        <v>509646</v>
      </c>
      <c r="AI151" s="4" cm="1">
        <f t="array" ref="AI151">INDEX(GMW!$A$2:$NF$150,MATCH(1,(GMW!$NE$2:$NE$150=AI$3)*(GMW!$ND$2:$ND$150=AI$4)*(GMW!$NF$2:$NF$150=AI$1),0),$C151-1966)</f>
        <v>85.433329999999998</v>
      </c>
      <c r="AJ151" s="4" cm="1">
        <f t="array" ref="AJ151">INDEX(GMW!$A$2:$NF$150,MATCH(1,(GMW!$NE$2:$NE$150=AJ$3)*(GMW!$ND$2:$ND$150=AJ$4)*(GMW!$NF$2:$NF$150=AJ$1),0),$C151-1966)</f>
        <v>148383</v>
      </c>
      <c r="AK151" s="4" cm="1">
        <f t="array" ref="AK151">INDEX(GMW!$A$2:$NF$150,MATCH(1,(GMW!$NE$2:$NE$150=AK$3)*(GMW!$ND$2:$ND$150=AK$4)*(GMW!$NF$2:$NF$150=AK$1),0),$C151-1966)</f>
        <v>61223</v>
      </c>
      <c r="AL151" s="4" cm="1">
        <f t="array" ref="AL151">INDEX(GMW!$A$2:$NF$150,MATCH(1,(GMW!$NE$2:$NE$150=AL$3)*(GMW!$ND$2:$ND$150=AL$4)*(GMW!$NF$2:$NF$150=AL$1),0),$C151-1966)</f>
        <v>146327</v>
      </c>
      <c r="AM151" s="4" cm="1">
        <f t="array" ref="AM151">INDEX(GMW!$A$2:$NF$150,MATCH(1,(GMW!$NE$2:$NE$150=AM$3)*(GMW!$ND$2:$ND$150=AM$4)*(GMW!$NF$2:$NF$150=AM$1),0),$C151-1966)</f>
        <v>81533</v>
      </c>
      <c r="AN151" s="4" cm="1">
        <f t="array" ref="AN151">INDEX(GMW!$A$2:$NF$150,MATCH(1,(GMW!$NE$2:$NE$150=AN$3)*(GMW!$ND$2:$ND$150=AN$4)*(GMW!$NF$2:$NF$150=AN$1),0),$C151-1966)</f>
        <v>81803</v>
      </c>
      <c r="AO151" s="4" cm="1">
        <f t="array" ref="AO151">INDEX(GMW!$A$2:$NF$150,MATCH(1,(GMW!$NE$2:$NE$150=AO$3)*(GMW!$ND$2:$ND$150=AO$4)*(GMW!$NF$2:$NF$150=AO$1),0),$C151-1966)</f>
        <v>43119</v>
      </c>
      <c r="AP151" s="4" cm="1">
        <f t="array" ref="AP151">INDEX(GMW!$A$2:$NF$150,MATCH(1,(GMW!$NE$2:$NE$150=AP$3)*(GMW!$ND$2:$ND$150=AP$4)*(GMW!$NF$2:$NF$150=AP$1),0),$C151-1966)</f>
        <v>533759.80000000005</v>
      </c>
      <c r="AQ151" s="4" cm="1">
        <f t="array" ref="AQ151">INDEX(GMW!$A$2:$NF$150,MATCH(1,(GMW!$NE$2:$NE$150=AQ$3)*(GMW!$ND$2:$ND$150=AQ$4)*(GMW!$NF$2:$NF$150=AQ$1),0),$C151-1966)</f>
        <v>30020.95</v>
      </c>
      <c r="AR151" s="4" cm="1">
        <f t="array" ref="AR151">INDEX(GMW!$A$2:$NF$150,MATCH(1,(GMW!$NE$2:$NE$150=AR$3)*(GMW!$ND$2:$ND$150=AR$4)*(GMW!$NF$2:$NF$150=AR$1),0),$C151-1966)</f>
        <v>31.5</v>
      </c>
      <c r="AS151" s="4" cm="1">
        <f t="array" ref="AS151">INDEX(GMW!$A$2:$NF$150,MATCH(1,(GMW!$NE$2:$NE$150=AS$3)*(GMW!$ND$2:$ND$150=AS$4)*(GMW!$NF$2:$NF$150=AS$1),0),$C151-1966)</f>
        <v>506081.4</v>
      </c>
      <c r="AT151" s="4" cm="1">
        <f t="array" ref="AT151">INDEX(GMW!$A$2:$NF$150,MATCH(1,(GMW!$NE$2:$NE$150=AT$3)*(GMW!$ND$2:$ND$150=AT$4)*(GMW!$NF$2:$NF$150=AT$1),0),$C151-1966)</f>
        <v>41153.360000000001</v>
      </c>
      <c r="AU151" s="4" cm="1">
        <f t="array" ref="AU151">INDEX(GMW!$A$2:$NF$150,MATCH(1,(GMW!$NE$2:$NE$150=AU$3)*(GMW!$ND$2:$ND$150=AU$4)*(GMW!$NF$2:$NF$150=AU$1),0),$C151-1966)</f>
        <v>2627250</v>
      </c>
      <c r="AV151" s="4" cm="1">
        <f t="array" ref="AV151">INDEX(GMW!$A$2:$NF$150,MATCH(1,(GMW!$NE$2:$NE$150=AV$3)*(GMW!$ND$2:$ND$150=AV$4)*(GMW!$NF$2:$NF$150=AV$1),0),$C151-1966)</f>
        <v>-1.6815549999999999</v>
      </c>
    </row>
    <row r="152" spans="1:48" x14ac:dyDescent="0.25">
      <c r="B152" s="4">
        <f t="shared" si="8"/>
        <v>2009</v>
      </c>
      <c r="C152" s="4">
        <f t="shared" si="7"/>
        <v>2118</v>
      </c>
      <c r="D152" s="4" cm="1">
        <f t="array" ref="D152">INDEX(GMW!$A$2:$NF$150,MATCH(1,(GMW!$NE$2:$NE$150=D$3)*(GMW!$ND$2:$ND$150=D$4)*(GMW!$NF$2:$NF$150=D$1),0),$C152-1966)</f>
        <v>508009</v>
      </c>
      <c r="E152" s="4" cm="1">
        <f t="array" ref="E152">INDEX(GMW!$A$2:$NF$150,MATCH(1,(GMW!$NE$2:$NE$150=E$3)*(GMW!$ND$2:$ND$150=E$4)*(GMW!$NF$2:$NF$150=E$1),0),$C152-1966)</f>
        <v>86.366669999999999</v>
      </c>
      <c r="F152" s="4" cm="1">
        <f t="array" ref="F152">INDEX(GMW!$A$2:$NF$150,MATCH(1,(GMW!$NE$2:$NE$150=F$3)*(GMW!$ND$2:$ND$150=F$4)*(GMW!$NF$2:$NF$150=F$1),0),$C152-1966)</f>
        <v>146862</v>
      </c>
      <c r="G152" s="4" cm="1">
        <f t="array" ref="G152">INDEX(GMW!$A$2:$NF$150,MATCH(1,(GMW!$NE$2:$NE$150=G$3)*(GMW!$ND$2:$ND$150=G$4)*(GMW!$NF$2:$NF$150=G$1),0),$C152-1966)</f>
        <v>63530</v>
      </c>
      <c r="H152" s="4" cm="1">
        <f t="array" ref="H152">INDEX(GMW!$A$2:$NF$150,MATCH(1,(GMW!$NE$2:$NE$150=H$3)*(GMW!$ND$2:$ND$150=H$4)*(GMW!$NF$2:$NF$150=H$1),0),$C152-1966)</f>
        <v>146677</v>
      </c>
      <c r="I152" s="4" cm="1">
        <f t="array" ref="I152">INDEX(GMW!$A$2:$NF$150,MATCH(1,(GMW!$NE$2:$NE$150=I$3)*(GMW!$ND$2:$ND$150=I$4)*(GMW!$NF$2:$NF$150=I$1),0),$C152-1966)</f>
        <v>85394</v>
      </c>
      <c r="J152" s="4" cm="1">
        <f t="array" ref="J152">INDEX(GMW!$A$2:$NF$150,MATCH(1,(GMW!$NE$2:$NE$150=J$3)*(GMW!$ND$2:$ND$150=J$4)*(GMW!$NF$2:$NF$150=J$1),0),$C152-1966)</f>
        <v>78328</v>
      </c>
      <c r="K152" s="4" cm="1">
        <f t="array" ref="K152">INDEX(GMW!$A$2:$NF$150,MATCH(1,(GMW!$NE$2:$NE$150=K$3)*(GMW!$ND$2:$ND$150=K$4)*(GMW!$NF$2:$NF$150=K$1),0),$C152-1966)</f>
        <v>40877</v>
      </c>
      <c r="L152" s="4" cm="1">
        <f t="array" ref="L152">INDEX(GMW!$A$2:$NF$150,MATCH(1,(GMW!$NE$2:$NE$150=L$3)*(GMW!$ND$2:$ND$150=L$4)*(GMW!$NF$2:$NF$150=L$1),0),$C152-1966)</f>
        <v>536113.80000000005</v>
      </c>
      <c r="M152" s="4" cm="1">
        <f t="array" ref="M152">INDEX(GMW!$A$2:$NF$150,MATCH(1,(GMW!$NE$2:$NE$150=M$3)*(GMW!$ND$2:$ND$150=M$4)*(GMW!$NF$2:$NF$150=M$1),0),$C152-1966)</f>
        <v>29958.25</v>
      </c>
      <c r="N152" s="4" cm="1">
        <f t="array" ref="N152">INDEX(GMW!$A$2:$NF$150,MATCH(1,(GMW!$NE$2:$NE$150=N$3)*(GMW!$ND$2:$ND$150=N$4)*(GMW!$NF$2:$NF$150=N$1),0),$C152-1966)</f>
        <v>31.7</v>
      </c>
      <c r="O152" s="4" cm="1">
        <f t="array" ref="O152">INDEX(GMW!$A$2:$NF$150,MATCH(1,(GMW!$NE$2:$NE$150=O$3)*(GMW!$ND$2:$ND$150=O$4)*(GMW!$NF$2:$NF$150=O$1),0),$C152-1966)</f>
        <v>508390.9</v>
      </c>
      <c r="P152" s="4" cm="1">
        <f t="array" ref="P152">INDEX(GMW!$A$2:$NF$150,MATCH(1,(GMW!$NE$2:$NE$150=P$3)*(GMW!$ND$2:$ND$150=P$4)*(GMW!$NF$2:$NF$150=P$1),0),$C152-1966)</f>
        <v>41206.769999999997</v>
      </c>
      <c r="Q152" s="4" cm="1">
        <f t="array" ref="Q152">INDEX(GMW!$A$2:$NF$150,MATCH(1,(GMW!$NE$2:$NE$150=Q$3)*(GMW!$ND$2:$ND$150=Q$4)*(GMW!$NF$2:$NF$150=Q$1),0),$C152-1966)</f>
        <v>2633500</v>
      </c>
      <c r="R152" s="4" cm="1">
        <f t="array" ref="R152">INDEX(GMW!$A$2:$NF$150,MATCH(1,(GMW!$NE$2:$NE$150=R$3)*(GMW!$ND$2:$ND$150=R$4)*(GMW!$NF$2:$NF$150=R$1),0),$C152-1966)</f>
        <v>-1.681719</v>
      </c>
      <c r="S152" s="4" cm="1">
        <f t="array" ref="S152">INDEX(GMW!$A$2:$NF$150,MATCH(1,(GMW!$NE$2:$NE$150=S$3)*(GMW!$ND$2:$ND$150=S$4)*(GMW!$NF$2:$NF$150=S$1),0),$C152-1966)</f>
        <v>508009</v>
      </c>
      <c r="T152" s="4" cm="1">
        <f t="array" ref="T152">INDEX(GMW!$A$2:$NF$150,MATCH(1,(GMW!$NE$2:$NE$150=T$3)*(GMW!$ND$2:$ND$150=T$4)*(GMW!$NF$2:$NF$150=T$1),0),$C152-1966)</f>
        <v>86.366669999999999</v>
      </c>
      <c r="U152" s="4" cm="1">
        <f t="array" ref="U152">INDEX(GMW!$A$2:$NF$150,MATCH(1,(GMW!$NE$2:$NE$150=U$3)*(GMW!$ND$2:$ND$150=U$4)*(GMW!$NF$2:$NF$150=U$1),0),$C152-1966)</f>
        <v>146862</v>
      </c>
      <c r="V152" s="4" cm="1">
        <f t="array" ref="V152">INDEX(GMW!$A$2:$NF$150,MATCH(1,(GMW!$NE$2:$NE$150=V$3)*(GMW!$ND$2:$ND$150=V$4)*(GMW!$NF$2:$NF$150=V$1),0),$C152-1966)</f>
        <v>63530</v>
      </c>
      <c r="W152" s="4" cm="1">
        <f t="array" ref="W152">INDEX(GMW!$A$2:$NF$150,MATCH(1,(GMW!$NE$2:$NE$150=W$3)*(GMW!$ND$2:$ND$150=W$4)*(GMW!$NF$2:$NF$150=W$1),0),$C152-1966)</f>
        <v>146677</v>
      </c>
      <c r="X152" s="4" cm="1">
        <f t="array" ref="X152">INDEX(GMW!$A$2:$NF$150,MATCH(1,(GMW!$NE$2:$NE$150=X$3)*(GMW!$ND$2:$ND$150=X$4)*(GMW!$NF$2:$NF$150=X$1),0),$C152-1966)</f>
        <v>85394</v>
      </c>
      <c r="Y152" s="4" cm="1">
        <f t="array" ref="Y152">INDEX(GMW!$A$2:$NF$150,MATCH(1,(GMW!$NE$2:$NE$150=Y$3)*(GMW!$ND$2:$ND$150=Y$4)*(GMW!$NF$2:$NF$150=Y$1),0),$C152-1966)</f>
        <v>78328</v>
      </c>
      <c r="Z152" s="4" cm="1">
        <f t="array" ref="Z152">INDEX(GMW!$A$2:$NF$150,MATCH(1,(GMW!$NE$2:$NE$150=Z$3)*(GMW!$ND$2:$ND$150=Z$4)*(GMW!$NF$2:$NF$150=Z$1),0),$C152-1966)</f>
        <v>40877</v>
      </c>
      <c r="AA152" s="4" cm="1">
        <f t="array" ref="AA152">INDEX(GMW!$A$2:$NF$150,MATCH(1,(GMW!$NE$2:$NE$150=AA$3)*(GMW!$ND$2:$ND$150=AA$4)*(GMW!$NF$2:$NF$150=AA$1),0),$C152-1966)</f>
        <v>536113.80000000005</v>
      </c>
      <c r="AB152" s="4" cm="1">
        <f t="array" ref="AB152">INDEX(GMW!$A$2:$NF$150,MATCH(1,(GMW!$NE$2:$NE$150=AB$3)*(GMW!$ND$2:$ND$150=AB$4)*(GMW!$NF$2:$NF$150=AB$1),0),$C152-1966)</f>
        <v>29958.25</v>
      </c>
      <c r="AC152" s="4" cm="1">
        <f t="array" ref="AC152">INDEX(GMW!$A$2:$NF$150,MATCH(1,(GMW!$NE$2:$NE$150=AC$3)*(GMW!$ND$2:$ND$150=AC$4)*(GMW!$NF$2:$NF$150=AC$1),0),$C152-1966)</f>
        <v>31.7</v>
      </c>
      <c r="AD152" s="4" cm="1">
        <f t="array" ref="AD152">INDEX(GMW!$A$2:$NF$150,MATCH(1,(GMW!$NE$2:$NE$150=AD$3)*(GMW!$ND$2:$ND$150=AD$4)*(GMW!$NF$2:$NF$150=AD$1),0),$C152-1966)</f>
        <v>508390.9</v>
      </c>
      <c r="AE152" s="4" cm="1">
        <f t="array" ref="AE152">INDEX(GMW!$A$2:$NF$150,MATCH(1,(GMW!$NE$2:$NE$150=AE$3)*(GMW!$ND$2:$ND$150=AE$4)*(GMW!$NF$2:$NF$150=AE$1),0),$C152-1966)</f>
        <v>41206.769999999997</v>
      </c>
      <c r="AF152" s="4" cm="1">
        <f t="array" ref="AF152">INDEX(GMW!$A$2:$NF$150,MATCH(1,(GMW!$NE$2:$NE$150=AF$3)*(GMW!$ND$2:$ND$150=AF$4)*(GMW!$NF$2:$NF$150=AF$1),0),$C152-1966)</f>
        <v>2633500</v>
      </c>
      <c r="AG152" s="4" cm="1">
        <f t="array" ref="AG152">INDEX(GMW!$A$2:$NF$150,MATCH(1,(GMW!$NE$2:$NE$150=AG$3)*(GMW!$ND$2:$ND$150=AG$4)*(GMW!$NF$2:$NF$150=AG$1),0),$C152-1966)</f>
        <v>-1.681719</v>
      </c>
      <c r="AH152" s="4" cm="1">
        <f t="array" ref="AH152">INDEX(GMW!$A$2:$NF$150,MATCH(1,(GMW!$NE$2:$NE$150=AH$3)*(GMW!$ND$2:$ND$150=AH$4)*(GMW!$NF$2:$NF$150=AH$1),0),$C152-1966)</f>
        <v>508009</v>
      </c>
      <c r="AI152" s="4" cm="1">
        <f t="array" ref="AI152">INDEX(GMW!$A$2:$NF$150,MATCH(1,(GMW!$NE$2:$NE$150=AI$3)*(GMW!$ND$2:$ND$150=AI$4)*(GMW!$NF$2:$NF$150=AI$1),0),$C152-1966)</f>
        <v>86.366669999999999</v>
      </c>
      <c r="AJ152" s="4" cm="1">
        <f t="array" ref="AJ152">INDEX(GMW!$A$2:$NF$150,MATCH(1,(GMW!$NE$2:$NE$150=AJ$3)*(GMW!$ND$2:$ND$150=AJ$4)*(GMW!$NF$2:$NF$150=AJ$1),0),$C152-1966)</f>
        <v>146862</v>
      </c>
      <c r="AK152" s="4" cm="1">
        <f t="array" ref="AK152">INDEX(GMW!$A$2:$NF$150,MATCH(1,(GMW!$NE$2:$NE$150=AK$3)*(GMW!$ND$2:$ND$150=AK$4)*(GMW!$NF$2:$NF$150=AK$1),0),$C152-1966)</f>
        <v>63530</v>
      </c>
      <c r="AL152" s="4" cm="1">
        <f t="array" ref="AL152">INDEX(GMW!$A$2:$NF$150,MATCH(1,(GMW!$NE$2:$NE$150=AL$3)*(GMW!$ND$2:$ND$150=AL$4)*(GMW!$NF$2:$NF$150=AL$1),0),$C152-1966)</f>
        <v>146677</v>
      </c>
      <c r="AM152" s="4" cm="1">
        <f t="array" ref="AM152">INDEX(GMW!$A$2:$NF$150,MATCH(1,(GMW!$NE$2:$NE$150=AM$3)*(GMW!$ND$2:$ND$150=AM$4)*(GMW!$NF$2:$NF$150=AM$1),0),$C152-1966)</f>
        <v>85394</v>
      </c>
      <c r="AN152" s="4" cm="1">
        <f t="array" ref="AN152">INDEX(GMW!$A$2:$NF$150,MATCH(1,(GMW!$NE$2:$NE$150=AN$3)*(GMW!$ND$2:$ND$150=AN$4)*(GMW!$NF$2:$NF$150=AN$1),0),$C152-1966)</f>
        <v>78328</v>
      </c>
      <c r="AO152" s="4" cm="1">
        <f t="array" ref="AO152">INDEX(GMW!$A$2:$NF$150,MATCH(1,(GMW!$NE$2:$NE$150=AO$3)*(GMW!$ND$2:$ND$150=AO$4)*(GMW!$NF$2:$NF$150=AO$1),0),$C152-1966)</f>
        <v>40877</v>
      </c>
      <c r="AP152" s="4" cm="1">
        <f t="array" ref="AP152">INDEX(GMW!$A$2:$NF$150,MATCH(1,(GMW!$NE$2:$NE$150=AP$3)*(GMW!$ND$2:$ND$150=AP$4)*(GMW!$NF$2:$NF$150=AP$1),0),$C152-1966)</f>
        <v>536113.80000000005</v>
      </c>
      <c r="AQ152" s="4" cm="1">
        <f t="array" ref="AQ152">INDEX(GMW!$A$2:$NF$150,MATCH(1,(GMW!$NE$2:$NE$150=AQ$3)*(GMW!$ND$2:$ND$150=AQ$4)*(GMW!$NF$2:$NF$150=AQ$1),0),$C152-1966)</f>
        <v>29958.25</v>
      </c>
      <c r="AR152" s="4" cm="1">
        <f t="array" ref="AR152">INDEX(GMW!$A$2:$NF$150,MATCH(1,(GMW!$NE$2:$NE$150=AR$3)*(GMW!$ND$2:$ND$150=AR$4)*(GMW!$NF$2:$NF$150=AR$1),0),$C152-1966)</f>
        <v>31.7</v>
      </c>
      <c r="AS152" s="4" cm="1">
        <f t="array" ref="AS152">INDEX(GMW!$A$2:$NF$150,MATCH(1,(GMW!$NE$2:$NE$150=AS$3)*(GMW!$ND$2:$ND$150=AS$4)*(GMW!$NF$2:$NF$150=AS$1),0),$C152-1966)</f>
        <v>508390.9</v>
      </c>
      <c r="AT152" s="4" cm="1">
        <f t="array" ref="AT152">INDEX(GMW!$A$2:$NF$150,MATCH(1,(GMW!$NE$2:$NE$150=AT$3)*(GMW!$ND$2:$ND$150=AT$4)*(GMW!$NF$2:$NF$150=AT$1),0),$C152-1966)</f>
        <v>41206.769999999997</v>
      </c>
      <c r="AU152" s="4" cm="1">
        <f t="array" ref="AU152">INDEX(GMW!$A$2:$NF$150,MATCH(1,(GMW!$NE$2:$NE$150=AU$3)*(GMW!$ND$2:$ND$150=AU$4)*(GMW!$NF$2:$NF$150=AU$1),0),$C152-1966)</f>
        <v>2633500</v>
      </c>
      <c r="AV152" s="4" cm="1">
        <f t="array" ref="AV152">INDEX(GMW!$A$2:$NF$150,MATCH(1,(GMW!$NE$2:$NE$150=AV$3)*(GMW!$ND$2:$ND$150=AV$4)*(GMW!$NF$2:$NF$150=AV$1),0),$C152-1966)</f>
        <v>-1.681719</v>
      </c>
    </row>
    <row r="153" spans="1:48" x14ac:dyDescent="0.25">
      <c r="B153" s="4">
        <f t="shared" si="8"/>
        <v>2009</v>
      </c>
      <c r="C153" s="4">
        <f t="shared" si="7"/>
        <v>2119</v>
      </c>
      <c r="D153" s="4" cm="1">
        <f t="array" ref="D153">INDEX(GMW!$A$2:$NF$150,MATCH(1,(GMW!$NE$2:$NE$150=D$3)*(GMW!$ND$2:$ND$150=D$4)*(GMW!$NF$2:$NF$150=D$1),0),$C153-1966)</f>
        <v>508398</v>
      </c>
      <c r="E153" s="4" cm="1">
        <f t="array" ref="E153">INDEX(GMW!$A$2:$NF$150,MATCH(1,(GMW!$NE$2:$NE$150=E$3)*(GMW!$ND$2:$ND$150=E$4)*(GMW!$NF$2:$NF$150=E$1),0),$C153-1966)</f>
        <v>86.933329999999998</v>
      </c>
      <c r="F153" s="4" cm="1">
        <f t="array" ref="F153">INDEX(GMW!$A$2:$NF$150,MATCH(1,(GMW!$NE$2:$NE$150=F$3)*(GMW!$ND$2:$ND$150=F$4)*(GMW!$NF$2:$NF$150=F$1),0),$C153-1966)</f>
        <v>146171</v>
      </c>
      <c r="G153" s="4" cm="1">
        <f t="array" ref="G153">INDEX(GMW!$A$2:$NF$150,MATCH(1,(GMW!$NE$2:$NE$150=G$3)*(GMW!$ND$2:$ND$150=G$4)*(GMW!$NF$2:$NF$150=G$1),0),$C153-1966)</f>
        <v>66740</v>
      </c>
      <c r="H153" s="4" cm="1">
        <f t="array" ref="H153">INDEX(GMW!$A$2:$NF$150,MATCH(1,(GMW!$NE$2:$NE$150=H$3)*(GMW!$ND$2:$ND$150=H$4)*(GMW!$NF$2:$NF$150=H$1),0),$C153-1966)</f>
        <v>150636</v>
      </c>
      <c r="I153" s="4" cm="1">
        <f t="array" ref="I153">INDEX(GMW!$A$2:$NF$150,MATCH(1,(GMW!$NE$2:$NE$150=I$3)*(GMW!$ND$2:$ND$150=I$4)*(GMW!$NF$2:$NF$150=I$1),0),$C153-1966)</f>
        <v>88112</v>
      </c>
      <c r="J153" s="4" cm="1">
        <f t="array" ref="J153">INDEX(GMW!$A$2:$NF$150,MATCH(1,(GMW!$NE$2:$NE$150=J$3)*(GMW!$ND$2:$ND$150=J$4)*(GMW!$NF$2:$NF$150=J$1),0),$C153-1966)</f>
        <v>78858</v>
      </c>
      <c r="K153" s="4" cm="1">
        <f t="array" ref="K153">INDEX(GMW!$A$2:$NF$150,MATCH(1,(GMW!$NE$2:$NE$150=K$3)*(GMW!$ND$2:$ND$150=K$4)*(GMW!$NF$2:$NF$150=K$1),0),$C153-1966)</f>
        <v>39978</v>
      </c>
      <c r="L153" s="4" cm="1">
        <f t="array" ref="L153">INDEX(GMW!$A$2:$NF$150,MATCH(1,(GMW!$NE$2:$NE$150=L$3)*(GMW!$ND$2:$ND$150=L$4)*(GMW!$NF$2:$NF$150=L$1),0),$C153-1966)</f>
        <v>534851.30000000005</v>
      </c>
      <c r="M153" s="4" cm="1">
        <f t="array" ref="M153">INDEX(GMW!$A$2:$NF$150,MATCH(1,(GMW!$NE$2:$NE$150=M$3)*(GMW!$ND$2:$ND$150=M$4)*(GMW!$NF$2:$NF$150=M$1),0),$C153-1966)</f>
        <v>29966.799999999999</v>
      </c>
      <c r="N153" s="4" cm="1">
        <f t="array" ref="N153">INDEX(GMW!$A$2:$NF$150,MATCH(1,(GMW!$NE$2:$NE$150=N$3)*(GMW!$ND$2:$ND$150=N$4)*(GMW!$NF$2:$NF$150=N$1),0),$C153-1966)</f>
        <v>31.5</v>
      </c>
      <c r="O153" s="4" cm="1">
        <f t="array" ref="O153">INDEX(GMW!$A$2:$NF$150,MATCH(1,(GMW!$NE$2:$NE$150=O$3)*(GMW!$ND$2:$ND$150=O$4)*(GMW!$NF$2:$NF$150=O$1),0),$C153-1966)</f>
        <v>510449.5</v>
      </c>
      <c r="P153" s="4" cm="1">
        <f t="array" ref="P153">INDEX(GMW!$A$2:$NF$150,MATCH(1,(GMW!$NE$2:$NE$150=P$3)*(GMW!$ND$2:$ND$150=P$4)*(GMW!$NF$2:$NF$150=P$1),0),$C153-1966)</f>
        <v>41266.04</v>
      </c>
      <c r="Q153" s="4" cm="1">
        <f t="array" ref="Q153">INDEX(GMW!$A$2:$NF$150,MATCH(1,(GMW!$NE$2:$NE$150=Q$3)*(GMW!$ND$2:$ND$150=Q$4)*(GMW!$NF$2:$NF$150=Q$1),0),$C153-1966)</f>
        <v>2639750</v>
      </c>
      <c r="R153" s="4" cm="1">
        <f t="array" ref="R153">INDEX(GMW!$A$2:$NF$150,MATCH(1,(GMW!$NE$2:$NE$150=R$3)*(GMW!$ND$2:$ND$150=R$4)*(GMW!$NF$2:$NF$150=R$1),0),$C153-1966)</f>
        <v>-1.681762</v>
      </c>
      <c r="S153" s="4" cm="1">
        <f t="array" ref="S153">INDEX(GMW!$A$2:$NF$150,MATCH(1,(GMW!$NE$2:$NE$150=S$3)*(GMW!$ND$2:$ND$150=S$4)*(GMW!$NF$2:$NF$150=S$1),0),$C153-1966)</f>
        <v>508398</v>
      </c>
      <c r="T153" s="4" cm="1">
        <f t="array" ref="T153">INDEX(GMW!$A$2:$NF$150,MATCH(1,(GMW!$NE$2:$NE$150=T$3)*(GMW!$ND$2:$ND$150=T$4)*(GMW!$NF$2:$NF$150=T$1),0),$C153-1966)</f>
        <v>86.933329999999998</v>
      </c>
      <c r="U153" s="4" cm="1">
        <f t="array" ref="U153">INDEX(GMW!$A$2:$NF$150,MATCH(1,(GMW!$NE$2:$NE$150=U$3)*(GMW!$ND$2:$ND$150=U$4)*(GMW!$NF$2:$NF$150=U$1),0),$C153-1966)</f>
        <v>146171</v>
      </c>
      <c r="V153" s="4" cm="1">
        <f t="array" ref="V153">INDEX(GMW!$A$2:$NF$150,MATCH(1,(GMW!$NE$2:$NE$150=V$3)*(GMW!$ND$2:$ND$150=V$4)*(GMW!$NF$2:$NF$150=V$1),0),$C153-1966)</f>
        <v>66740</v>
      </c>
      <c r="W153" s="4" cm="1">
        <f t="array" ref="W153">INDEX(GMW!$A$2:$NF$150,MATCH(1,(GMW!$NE$2:$NE$150=W$3)*(GMW!$ND$2:$ND$150=W$4)*(GMW!$NF$2:$NF$150=W$1),0),$C153-1966)</f>
        <v>150636</v>
      </c>
      <c r="X153" s="4" cm="1">
        <f t="array" ref="X153">INDEX(GMW!$A$2:$NF$150,MATCH(1,(GMW!$NE$2:$NE$150=X$3)*(GMW!$ND$2:$ND$150=X$4)*(GMW!$NF$2:$NF$150=X$1),0),$C153-1966)</f>
        <v>88112</v>
      </c>
      <c r="Y153" s="4" cm="1">
        <f t="array" ref="Y153">INDEX(GMW!$A$2:$NF$150,MATCH(1,(GMW!$NE$2:$NE$150=Y$3)*(GMW!$ND$2:$ND$150=Y$4)*(GMW!$NF$2:$NF$150=Y$1),0),$C153-1966)</f>
        <v>78858</v>
      </c>
      <c r="Z153" s="4" cm="1">
        <f t="array" ref="Z153">INDEX(GMW!$A$2:$NF$150,MATCH(1,(GMW!$NE$2:$NE$150=Z$3)*(GMW!$ND$2:$ND$150=Z$4)*(GMW!$NF$2:$NF$150=Z$1),0),$C153-1966)</f>
        <v>39978</v>
      </c>
      <c r="AA153" s="4" cm="1">
        <f t="array" ref="AA153">INDEX(GMW!$A$2:$NF$150,MATCH(1,(GMW!$NE$2:$NE$150=AA$3)*(GMW!$ND$2:$ND$150=AA$4)*(GMW!$NF$2:$NF$150=AA$1),0),$C153-1966)</f>
        <v>534851.30000000005</v>
      </c>
      <c r="AB153" s="4" cm="1">
        <f t="array" ref="AB153">INDEX(GMW!$A$2:$NF$150,MATCH(1,(GMW!$NE$2:$NE$150=AB$3)*(GMW!$ND$2:$ND$150=AB$4)*(GMW!$NF$2:$NF$150=AB$1),0),$C153-1966)</f>
        <v>29966.799999999999</v>
      </c>
      <c r="AC153" s="4" cm="1">
        <f t="array" ref="AC153">INDEX(GMW!$A$2:$NF$150,MATCH(1,(GMW!$NE$2:$NE$150=AC$3)*(GMW!$ND$2:$ND$150=AC$4)*(GMW!$NF$2:$NF$150=AC$1),0),$C153-1966)</f>
        <v>31.5</v>
      </c>
      <c r="AD153" s="4" cm="1">
        <f t="array" ref="AD153">INDEX(GMW!$A$2:$NF$150,MATCH(1,(GMW!$NE$2:$NE$150=AD$3)*(GMW!$ND$2:$ND$150=AD$4)*(GMW!$NF$2:$NF$150=AD$1),0),$C153-1966)</f>
        <v>510449.5</v>
      </c>
      <c r="AE153" s="4" cm="1">
        <f t="array" ref="AE153">INDEX(GMW!$A$2:$NF$150,MATCH(1,(GMW!$NE$2:$NE$150=AE$3)*(GMW!$ND$2:$ND$150=AE$4)*(GMW!$NF$2:$NF$150=AE$1),0),$C153-1966)</f>
        <v>41266.04</v>
      </c>
      <c r="AF153" s="4" cm="1">
        <f t="array" ref="AF153">INDEX(GMW!$A$2:$NF$150,MATCH(1,(GMW!$NE$2:$NE$150=AF$3)*(GMW!$ND$2:$ND$150=AF$4)*(GMW!$NF$2:$NF$150=AF$1),0),$C153-1966)</f>
        <v>2639750</v>
      </c>
      <c r="AG153" s="4" cm="1">
        <f t="array" ref="AG153">INDEX(GMW!$A$2:$NF$150,MATCH(1,(GMW!$NE$2:$NE$150=AG$3)*(GMW!$ND$2:$ND$150=AG$4)*(GMW!$NF$2:$NF$150=AG$1),0),$C153-1966)</f>
        <v>-1.681762</v>
      </c>
      <c r="AH153" s="4" cm="1">
        <f t="array" ref="AH153">INDEX(GMW!$A$2:$NF$150,MATCH(1,(GMW!$NE$2:$NE$150=AH$3)*(GMW!$ND$2:$ND$150=AH$4)*(GMW!$NF$2:$NF$150=AH$1),0),$C153-1966)</f>
        <v>508398</v>
      </c>
      <c r="AI153" s="4" cm="1">
        <f t="array" ref="AI153">INDEX(GMW!$A$2:$NF$150,MATCH(1,(GMW!$NE$2:$NE$150=AI$3)*(GMW!$ND$2:$ND$150=AI$4)*(GMW!$NF$2:$NF$150=AI$1),0),$C153-1966)</f>
        <v>86.933329999999998</v>
      </c>
      <c r="AJ153" s="4" cm="1">
        <f t="array" ref="AJ153">INDEX(GMW!$A$2:$NF$150,MATCH(1,(GMW!$NE$2:$NE$150=AJ$3)*(GMW!$ND$2:$ND$150=AJ$4)*(GMW!$NF$2:$NF$150=AJ$1),0),$C153-1966)</f>
        <v>146171</v>
      </c>
      <c r="AK153" s="4" cm="1">
        <f t="array" ref="AK153">INDEX(GMW!$A$2:$NF$150,MATCH(1,(GMW!$NE$2:$NE$150=AK$3)*(GMW!$ND$2:$ND$150=AK$4)*(GMW!$NF$2:$NF$150=AK$1),0),$C153-1966)</f>
        <v>66740</v>
      </c>
      <c r="AL153" s="4" cm="1">
        <f t="array" ref="AL153">INDEX(GMW!$A$2:$NF$150,MATCH(1,(GMW!$NE$2:$NE$150=AL$3)*(GMW!$ND$2:$ND$150=AL$4)*(GMW!$NF$2:$NF$150=AL$1),0),$C153-1966)</f>
        <v>150636</v>
      </c>
      <c r="AM153" s="4" cm="1">
        <f t="array" ref="AM153">INDEX(GMW!$A$2:$NF$150,MATCH(1,(GMW!$NE$2:$NE$150=AM$3)*(GMW!$ND$2:$ND$150=AM$4)*(GMW!$NF$2:$NF$150=AM$1),0),$C153-1966)</f>
        <v>88112</v>
      </c>
      <c r="AN153" s="4" cm="1">
        <f t="array" ref="AN153">INDEX(GMW!$A$2:$NF$150,MATCH(1,(GMW!$NE$2:$NE$150=AN$3)*(GMW!$ND$2:$ND$150=AN$4)*(GMW!$NF$2:$NF$150=AN$1),0),$C153-1966)</f>
        <v>78858</v>
      </c>
      <c r="AO153" s="4" cm="1">
        <f t="array" ref="AO153">INDEX(GMW!$A$2:$NF$150,MATCH(1,(GMW!$NE$2:$NE$150=AO$3)*(GMW!$ND$2:$ND$150=AO$4)*(GMW!$NF$2:$NF$150=AO$1),0),$C153-1966)</f>
        <v>39978</v>
      </c>
      <c r="AP153" s="4" cm="1">
        <f t="array" ref="AP153">INDEX(GMW!$A$2:$NF$150,MATCH(1,(GMW!$NE$2:$NE$150=AP$3)*(GMW!$ND$2:$ND$150=AP$4)*(GMW!$NF$2:$NF$150=AP$1),0),$C153-1966)</f>
        <v>534851.30000000005</v>
      </c>
      <c r="AQ153" s="4" cm="1">
        <f t="array" ref="AQ153">INDEX(GMW!$A$2:$NF$150,MATCH(1,(GMW!$NE$2:$NE$150=AQ$3)*(GMW!$ND$2:$ND$150=AQ$4)*(GMW!$NF$2:$NF$150=AQ$1),0),$C153-1966)</f>
        <v>29966.799999999999</v>
      </c>
      <c r="AR153" s="4" cm="1">
        <f t="array" ref="AR153">INDEX(GMW!$A$2:$NF$150,MATCH(1,(GMW!$NE$2:$NE$150=AR$3)*(GMW!$ND$2:$ND$150=AR$4)*(GMW!$NF$2:$NF$150=AR$1),0),$C153-1966)</f>
        <v>31.5</v>
      </c>
      <c r="AS153" s="4" cm="1">
        <f t="array" ref="AS153">INDEX(GMW!$A$2:$NF$150,MATCH(1,(GMW!$NE$2:$NE$150=AS$3)*(GMW!$ND$2:$ND$150=AS$4)*(GMW!$NF$2:$NF$150=AS$1),0),$C153-1966)</f>
        <v>510449.5</v>
      </c>
      <c r="AT153" s="4" cm="1">
        <f t="array" ref="AT153">INDEX(GMW!$A$2:$NF$150,MATCH(1,(GMW!$NE$2:$NE$150=AT$3)*(GMW!$ND$2:$ND$150=AT$4)*(GMW!$NF$2:$NF$150=AT$1),0),$C153-1966)</f>
        <v>41266.04</v>
      </c>
      <c r="AU153" s="4" cm="1">
        <f t="array" ref="AU153">INDEX(GMW!$A$2:$NF$150,MATCH(1,(GMW!$NE$2:$NE$150=AU$3)*(GMW!$ND$2:$ND$150=AU$4)*(GMW!$NF$2:$NF$150=AU$1),0),$C153-1966)</f>
        <v>2639750</v>
      </c>
      <c r="AV153" s="4" cm="1">
        <f t="array" ref="AV153">INDEX(GMW!$A$2:$NF$150,MATCH(1,(GMW!$NE$2:$NE$150=AV$3)*(GMW!$ND$2:$ND$150=AV$4)*(GMW!$NF$2:$NF$150=AV$1),0),$C153-1966)</f>
        <v>-1.681762</v>
      </c>
    </row>
    <row r="154" spans="1:48" x14ac:dyDescent="0.25">
      <c r="B154" s="4">
        <f t="shared" si="8"/>
        <v>2009</v>
      </c>
      <c r="C154" s="4">
        <f t="shared" si="7"/>
        <v>2120</v>
      </c>
      <c r="D154" s="4" cm="1">
        <f t="array" ref="D154">INDEX(GMW!$A$2:$NF$150,MATCH(1,(GMW!$NE$2:$NE$150=D$3)*(GMW!$ND$2:$ND$150=D$4)*(GMW!$NF$2:$NF$150=D$1),0),$C154-1966)</f>
        <v>509889</v>
      </c>
      <c r="E154" s="4" cm="1">
        <f t="array" ref="E154">INDEX(GMW!$A$2:$NF$150,MATCH(1,(GMW!$NE$2:$NE$150=E$3)*(GMW!$ND$2:$ND$150=E$4)*(GMW!$NF$2:$NF$150=E$1),0),$C154-1966)</f>
        <v>87.566670000000002</v>
      </c>
      <c r="F154" s="4" cm="1">
        <f t="array" ref="F154">INDEX(GMW!$A$2:$NF$150,MATCH(1,(GMW!$NE$2:$NE$150=F$3)*(GMW!$ND$2:$ND$150=F$4)*(GMW!$NF$2:$NF$150=F$1),0),$C154-1966)</f>
        <v>152995</v>
      </c>
      <c r="G154" s="4" cm="1">
        <f t="array" ref="G154">INDEX(GMW!$A$2:$NF$150,MATCH(1,(GMW!$NE$2:$NE$150=G$3)*(GMW!$ND$2:$ND$150=G$4)*(GMW!$NF$2:$NF$150=G$1),0),$C154-1966)</f>
        <v>69559</v>
      </c>
      <c r="H154" s="4" cm="1">
        <f t="array" ref="H154">INDEX(GMW!$A$2:$NF$150,MATCH(1,(GMW!$NE$2:$NE$150=H$3)*(GMW!$ND$2:$ND$150=H$4)*(GMW!$NF$2:$NF$150=H$1),0),$C154-1966)</f>
        <v>153109</v>
      </c>
      <c r="I154" s="4" cm="1">
        <f t="array" ref="I154">INDEX(GMW!$A$2:$NF$150,MATCH(1,(GMW!$NE$2:$NE$150=I$3)*(GMW!$ND$2:$ND$150=I$4)*(GMW!$NF$2:$NF$150=I$1),0),$C154-1966)</f>
        <v>90863</v>
      </c>
      <c r="J154" s="4" cm="1">
        <f t="array" ref="J154">INDEX(GMW!$A$2:$NF$150,MATCH(1,(GMW!$NE$2:$NE$150=J$3)*(GMW!$ND$2:$ND$150=J$4)*(GMW!$NF$2:$NF$150=J$1),0),$C154-1966)</f>
        <v>77537</v>
      </c>
      <c r="K154" s="4" cm="1">
        <f t="array" ref="K154">INDEX(GMW!$A$2:$NF$150,MATCH(1,(GMW!$NE$2:$NE$150=K$3)*(GMW!$ND$2:$ND$150=K$4)*(GMW!$NF$2:$NF$150=K$1),0),$C154-1966)</f>
        <v>39618</v>
      </c>
      <c r="L154" s="4" cm="1">
        <f t="array" ref="L154">INDEX(GMW!$A$2:$NF$150,MATCH(1,(GMW!$NE$2:$NE$150=L$3)*(GMW!$ND$2:$ND$150=L$4)*(GMW!$NF$2:$NF$150=L$1),0),$C154-1966)</f>
        <v>535730.69999999995</v>
      </c>
      <c r="M154" s="4" cm="1">
        <f t="array" ref="M154">INDEX(GMW!$A$2:$NF$150,MATCH(1,(GMW!$NE$2:$NE$150=M$3)*(GMW!$ND$2:$ND$150=M$4)*(GMW!$NF$2:$NF$150=M$1),0),$C154-1966)</f>
        <v>29977.25</v>
      </c>
      <c r="N154" s="4" cm="1">
        <f t="array" ref="N154">INDEX(GMW!$A$2:$NF$150,MATCH(1,(GMW!$NE$2:$NE$150=N$3)*(GMW!$ND$2:$ND$150=N$4)*(GMW!$NF$2:$NF$150=N$1),0),$C154-1966)</f>
        <v>31.5</v>
      </c>
      <c r="O154" s="4" cm="1">
        <f t="array" ref="O154">INDEX(GMW!$A$2:$NF$150,MATCH(1,(GMW!$NE$2:$NE$150=O$3)*(GMW!$ND$2:$ND$150=O$4)*(GMW!$NF$2:$NF$150=O$1),0),$C154-1966)</f>
        <v>512183.3</v>
      </c>
      <c r="P154" s="4" cm="1">
        <f t="array" ref="P154">INDEX(GMW!$A$2:$NF$150,MATCH(1,(GMW!$NE$2:$NE$150=P$3)*(GMW!$ND$2:$ND$150=P$4)*(GMW!$NF$2:$NF$150=P$1),0),$C154-1966)</f>
        <v>41325.32</v>
      </c>
      <c r="Q154" s="4" cm="1">
        <f t="array" ref="Q154">INDEX(GMW!$A$2:$NF$150,MATCH(1,(GMW!$NE$2:$NE$150=Q$3)*(GMW!$ND$2:$ND$150=Q$4)*(GMW!$NF$2:$NF$150=Q$1),0),$C154-1966)</f>
        <v>2646000</v>
      </c>
      <c r="R154" s="4" cm="1">
        <f t="array" ref="R154">INDEX(GMW!$A$2:$NF$150,MATCH(1,(GMW!$NE$2:$NE$150=R$3)*(GMW!$ND$2:$ND$150=R$4)*(GMW!$NF$2:$NF$150=R$1),0),$C154-1966)</f>
        <v>-1.681762</v>
      </c>
      <c r="S154" s="4" cm="1">
        <f t="array" ref="S154">INDEX(GMW!$A$2:$NF$150,MATCH(1,(GMW!$NE$2:$NE$150=S$3)*(GMW!$ND$2:$ND$150=S$4)*(GMW!$NF$2:$NF$150=S$1),0),$C154-1966)</f>
        <v>509889</v>
      </c>
      <c r="T154" s="4" cm="1">
        <f t="array" ref="T154">INDEX(GMW!$A$2:$NF$150,MATCH(1,(GMW!$NE$2:$NE$150=T$3)*(GMW!$ND$2:$ND$150=T$4)*(GMW!$NF$2:$NF$150=T$1),0),$C154-1966)</f>
        <v>87.566670000000002</v>
      </c>
      <c r="U154" s="4" cm="1">
        <f t="array" ref="U154">INDEX(GMW!$A$2:$NF$150,MATCH(1,(GMW!$NE$2:$NE$150=U$3)*(GMW!$ND$2:$ND$150=U$4)*(GMW!$NF$2:$NF$150=U$1),0),$C154-1966)</f>
        <v>152995</v>
      </c>
      <c r="V154" s="4" cm="1">
        <f t="array" ref="V154">INDEX(GMW!$A$2:$NF$150,MATCH(1,(GMW!$NE$2:$NE$150=V$3)*(GMW!$ND$2:$ND$150=V$4)*(GMW!$NF$2:$NF$150=V$1),0),$C154-1966)</f>
        <v>69559</v>
      </c>
      <c r="W154" s="4" cm="1">
        <f t="array" ref="W154">INDEX(GMW!$A$2:$NF$150,MATCH(1,(GMW!$NE$2:$NE$150=W$3)*(GMW!$ND$2:$ND$150=W$4)*(GMW!$NF$2:$NF$150=W$1),0),$C154-1966)</f>
        <v>153109</v>
      </c>
      <c r="X154" s="4" cm="1">
        <f t="array" ref="X154">INDEX(GMW!$A$2:$NF$150,MATCH(1,(GMW!$NE$2:$NE$150=X$3)*(GMW!$ND$2:$ND$150=X$4)*(GMW!$NF$2:$NF$150=X$1),0),$C154-1966)</f>
        <v>90863</v>
      </c>
      <c r="Y154" s="4" cm="1">
        <f t="array" ref="Y154">INDEX(GMW!$A$2:$NF$150,MATCH(1,(GMW!$NE$2:$NE$150=Y$3)*(GMW!$ND$2:$ND$150=Y$4)*(GMW!$NF$2:$NF$150=Y$1),0),$C154-1966)</f>
        <v>77537</v>
      </c>
      <c r="Z154" s="4" cm="1">
        <f t="array" ref="Z154">INDEX(GMW!$A$2:$NF$150,MATCH(1,(GMW!$NE$2:$NE$150=Z$3)*(GMW!$ND$2:$ND$150=Z$4)*(GMW!$NF$2:$NF$150=Z$1),0),$C154-1966)</f>
        <v>39618</v>
      </c>
      <c r="AA154" s="4" cm="1">
        <f t="array" ref="AA154">INDEX(GMW!$A$2:$NF$150,MATCH(1,(GMW!$NE$2:$NE$150=AA$3)*(GMW!$ND$2:$ND$150=AA$4)*(GMW!$NF$2:$NF$150=AA$1),0),$C154-1966)</f>
        <v>535730.69999999995</v>
      </c>
      <c r="AB154" s="4" cm="1">
        <f t="array" ref="AB154">INDEX(GMW!$A$2:$NF$150,MATCH(1,(GMW!$NE$2:$NE$150=AB$3)*(GMW!$ND$2:$ND$150=AB$4)*(GMW!$NF$2:$NF$150=AB$1),0),$C154-1966)</f>
        <v>29977.25</v>
      </c>
      <c r="AC154" s="4" cm="1">
        <f t="array" ref="AC154">INDEX(GMW!$A$2:$NF$150,MATCH(1,(GMW!$NE$2:$NE$150=AC$3)*(GMW!$ND$2:$ND$150=AC$4)*(GMW!$NF$2:$NF$150=AC$1),0),$C154-1966)</f>
        <v>31.5</v>
      </c>
      <c r="AD154" s="4" cm="1">
        <f t="array" ref="AD154">INDEX(GMW!$A$2:$NF$150,MATCH(1,(GMW!$NE$2:$NE$150=AD$3)*(GMW!$ND$2:$ND$150=AD$4)*(GMW!$NF$2:$NF$150=AD$1),0),$C154-1966)</f>
        <v>512183.3</v>
      </c>
      <c r="AE154" s="4" cm="1">
        <f t="array" ref="AE154">INDEX(GMW!$A$2:$NF$150,MATCH(1,(GMW!$NE$2:$NE$150=AE$3)*(GMW!$ND$2:$ND$150=AE$4)*(GMW!$NF$2:$NF$150=AE$1),0),$C154-1966)</f>
        <v>41325.32</v>
      </c>
      <c r="AF154" s="4" cm="1">
        <f t="array" ref="AF154">INDEX(GMW!$A$2:$NF$150,MATCH(1,(GMW!$NE$2:$NE$150=AF$3)*(GMW!$ND$2:$ND$150=AF$4)*(GMW!$NF$2:$NF$150=AF$1),0),$C154-1966)</f>
        <v>2646000</v>
      </c>
      <c r="AG154" s="4" cm="1">
        <f t="array" ref="AG154">INDEX(GMW!$A$2:$NF$150,MATCH(1,(GMW!$NE$2:$NE$150=AG$3)*(GMW!$ND$2:$ND$150=AG$4)*(GMW!$NF$2:$NF$150=AG$1),0),$C154-1966)</f>
        <v>-1.681762</v>
      </c>
      <c r="AH154" s="4" cm="1">
        <f t="array" ref="AH154">INDEX(GMW!$A$2:$NF$150,MATCH(1,(GMW!$NE$2:$NE$150=AH$3)*(GMW!$ND$2:$ND$150=AH$4)*(GMW!$NF$2:$NF$150=AH$1),0),$C154-1966)</f>
        <v>509889</v>
      </c>
      <c r="AI154" s="4" cm="1">
        <f t="array" ref="AI154">INDEX(GMW!$A$2:$NF$150,MATCH(1,(GMW!$NE$2:$NE$150=AI$3)*(GMW!$ND$2:$ND$150=AI$4)*(GMW!$NF$2:$NF$150=AI$1),0),$C154-1966)</f>
        <v>87.566670000000002</v>
      </c>
      <c r="AJ154" s="4" cm="1">
        <f t="array" ref="AJ154">INDEX(GMW!$A$2:$NF$150,MATCH(1,(GMW!$NE$2:$NE$150=AJ$3)*(GMW!$ND$2:$ND$150=AJ$4)*(GMW!$NF$2:$NF$150=AJ$1),0),$C154-1966)</f>
        <v>152995</v>
      </c>
      <c r="AK154" s="4" cm="1">
        <f t="array" ref="AK154">INDEX(GMW!$A$2:$NF$150,MATCH(1,(GMW!$NE$2:$NE$150=AK$3)*(GMW!$ND$2:$ND$150=AK$4)*(GMW!$NF$2:$NF$150=AK$1),0),$C154-1966)</f>
        <v>69559</v>
      </c>
      <c r="AL154" s="4" cm="1">
        <f t="array" ref="AL154">INDEX(GMW!$A$2:$NF$150,MATCH(1,(GMW!$NE$2:$NE$150=AL$3)*(GMW!$ND$2:$ND$150=AL$4)*(GMW!$NF$2:$NF$150=AL$1),0),$C154-1966)</f>
        <v>153109</v>
      </c>
      <c r="AM154" s="4" cm="1">
        <f t="array" ref="AM154">INDEX(GMW!$A$2:$NF$150,MATCH(1,(GMW!$NE$2:$NE$150=AM$3)*(GMW!$ND$2:$ND$150=AM$4)*(GMW!$NF$2:$NF$150=AM$1),0),$C154-1966)</f>
        <v>90863</v>
      </c>
      <c r="AN154" s="4" cm="1">
        <f t="array" ref="AN154">INDEX(GMW!$A$2:$NF$150,MATCH(1,(GMW!$NE$2:$NE$150=AN$3)*(GMW!$ND$2:$ND$150=AN$4)*(GMW!$NF$2:$NF$150=AN$1),0),$C154-1966)</f>
        <v>77537</v>
      </c>
      <c r="AO154" s="4" cm="1">
        <f t="array" ref="AO154">INDEX(GMW!$A$2:$NF$150,MATCH(1,(GMW!$NE$2:$NE$150=AO$3)*(GMW!$ND$2:$ND$150=AO$4)*(GMW!$NF$2:$NF$150=AO$1),0),$C154-1966)</f>
        <v>39618</v>
      </c>
      <c r="AP154" s="4" cm="1">
        <f t="array" ref="AP154">INDEX(GMW!$A$2:$NF$150,MATCH(1,(GMW!$NE$2:$NE$150=AP$3)*(GMW!$ND$2:$ND$150=AP$4)*(GMW!$NF$2:$NF$150=AP$1),0),$C154-1966)</f>
        <v>535730.69999999995</v>
      </c>
      <c r="AQ154" s="4" cm="1">
        <f t="array" ref="AQ154">INDEX(GMW!$A$2:$NF$150,MATCH(1,(GMW!$NE$2:$NE$150=AQ$3)*(GMW!$ND$2:$ND$150=AQ$4)*(GMW!$NF$2:$NF$150=AQ$1),0),$C154-1966)</f>
        <v>29977.25</v>
      </c>
      <c r="AR154" s="4" cm="1">
        <f t="array" ref="AR154">INDEX(GMW!$A$2:$NF$150,MATCH(1,(GMW!$NE$2:$NE$150=AR$3)*(GMW!$ND$2:$ND$150=AR$4)*(GMW!$NF$2:$NF$150=AR$1),0),$C154-1966)</f>
        <v>31.5</v>
      </c>
      <c r="AS154" s="4" cm="1">
        <f t="array" ref="AS154">INDEX(GMW!$A$2:$NF$150,MATCH(1,(GMW!$NE$2:$NE$150=AS$3)*(GMW!$ND$2:$ND$150=AS$4)*(GMW!$NF$2:$NF$150=AS$1),0),$C154-1966)</f>
        <v>512183.3</v>
      </c>
      <c r="AT154" s="4" cm="1">
        <f t="array" ref="AT154">INDEX(GMW!$A$2:$NF$150,MATCH(1,(GMW!$NE$2:$NE$150=AT$3)*(GMW!$ND$2:$ND$150=AT$4)*(GMW!$NF$2:$NF$150=AT$1),0),$C154-1966)</f>
        <v>41325.32</v>
      </c>
      <c r="AU154" s="4" cm="1">
        <f t="array" ref="AU154">INDEX(GMW!$A$2:$NF$150,MATCH(1,(GMW!$NE$2:$NE$150=AU$3)*(GMW!$ND$2:$ND$150=AU$4)*(GMW!$NF$2:$NF$150=AU$1),0),$C154-1966)</f>
        <v>2646000</v>
      </c>
      <c r="AV154" s="4" cm="1">
        <f t="array" ref="AV154">INDEX(GMW!$A$2:$NF$150,MATCH(1,(GMW!$NE$2:$NE$150=AV$3)*(GMW!$ND$2:$ND$150=AV$4)*(GMW!$NF$2:$NF$150=AV$1),0),$C154-1966)</f>
        <v>-1.681762</v>
      </c>
    </row>
    <row r="155" spans="1:48" x14ac:dyDescent="0.25">
      <c r="A155" s="4">
        <v>2010</v>
      </c>
      <c r="B155" s="4">
        <f t="shared" si="8"/>
        <v>2010</v>
      </c>
      <c r="C155" s="4">
        <f t="shared" si="7"/>
        <v>2121</v>
      </c>
      <c r="D155" s="4" cm="1">
        <f t="array" ref="D155">INDEX(GMW!$A$2:$NF$150,MATCH(1,(GMW!$NE$2:$NE$150=D$3)*(GMW!$ND$2:$ND$150=D$4)*(GMW!$NF$2:$NF$150=D$1),0),$C155-1966)</f>
        <v>514595</v>
      </c>
      <c r="E155" s="4" cm="1">
        <f t="array" ref="E155">INDEX(GMW!$A$2:$NF$150,MATCH(1,(GMW!$NE$2:$NE$150=E$3)*(GMW!$ND$2:$ND$150=E$4)*(GMW!$NF$2:$NF$150=E$1),0),$C155-1966)</f>
        <v>88.233329999999995</v>
      </c>
      <c r="F155" s="4" cm="1">
        <f t="array" ref="F155">INDEX(GMW!$A$2:$NF$150,MATCH(1,(GMW!$NE$2:$NE$150=F$3)*(GMW!$ND$2:$ND$150=F$4)*(GMW!$NF$2:$NF$150=F$1),0),$C155-1966)</f>
        <v>152875</v>
      </c>
      <c r="G155" s="4" cm="1">
        <f t="array" ref="G155">INDEX(GMW!$A$2:$NF$150,MATCH(1,(GMW!$NE$2:$NE$150=G$3)*(GMW!$ND$2:$ND$150=G$4)*(GMW!$NF$2:$NF$150=G$1),0),$C155-1966)</f>
        <v>68793</v>
      </c>
      <c r="H155" s="4" cm="1">
        <f t="array" ref="H155">INDEX(GMW!$A$2:$NF$150,MATCH(1,(GMW!$NE$2:$NE$150=H$3)*(GMW!$ND$2:$ND$150=H$4)*(GMW!$NF$2:$NF$150=H$1),0),$C155-1966)</f>
        <v>155913</v>
      </c>
      <c r="I155" s="4" cm="1">
        <f t="array" ref="I155">INDEX(GMW!$A$2:$NF$150,MATCH(1,(GMW!$NE$2:$NE$150=I$3)*(GMW!$ND$2:$ND$150=I$4)*(GMW!$NF$2:$NF$150=I$1),0),$C155-1966)</f>
        <v>93414</v>
      </c>
      <c r="J155" s="4" cm="1">
        <f t="array" ref="J155">INDEX(GMW!$A$2:$NF$150,MATCH(1,(GMW!$NE$2:$NE$150=J$3)*(GMW!$ND$2:$ND$150=J$4)*(GMW!$NF$2:$NF$150=J$1),0),$C155-1966)</f>
        <v>81644</v>
      </c>
      <c r="K155" s="4" cm="1">
        <f t="array" ref="K155">INDEX(GMW!$A$2:$NF$150,MATCH(1,(GMW!$NE$2:$NE$150=K$3)*(GMW!$ND$2:$ND$150=K$4)*(GMW!$NF$2:$NF$150=K$1),0),$C155-1966)</f>
        <v>41479</v>
      </c>
      <c r="L155" s="4" cm="1">
        <f t="array" ref="L155">INDEX(GMW!$A$2:$NF$150,MATCH(1,(GMW!$NE$2:$NE$150=L$3)*(GMW!$ND$2:$ND$150=L$4)*(GMW!$NF$2:$NF$150=L$1),0),$C155-1966)</f>
        <v>537208.69999999995</v>
      </c>
      <c r="M155" s="4" cm="1">
        <f t="array" ref="M155">INDEX(GMW!$A$2:$NF$150,MATCH(1,(GMW!$NE$2:$NE$150=M$3)*(GMW!$ND$2:$ND$150=M$4)*(GMW!$NF$2:$NF$150=M$1),0),$C155-1966)</f>
        <v>29946.28</v>
      </c>
      <c r="N155" s="4" cm="1">
        <f t="array" ref="N155">INDEX(GMW!$A$2:$NF$150,MATCH(1,(GMW!$NE$2:$NE$150=N$3)*(GMW!$ND$2:$ND$150=N$4)*(GMW!$NF$2:$NF$150=N$1),0),$C155-1966)</f>
        <v>31.6</v>
      </c>
      <c r="O155" s="4" cm="1">
        <f t="array" ref="O155">INDEX(GMW!$A$2:$NF$150,MATCH(1,(GMW!$NE$2:$NE$150=O$3)*(GMW!$ND$2:$ND$150=O$4)*(GMW!$NF$2:$NF$150=O$1),0),$C155-1966)</f>
        <v>513913.4</v>
      </c>
      <c r="P155" s="4" cm="1">
        <f t="array" ref="P155">INDEX(GMW!$A$2:$NF$150,MATCH(1,(GMW!$NE$2:$NE$150=P$3)*(GMW!$ND$2:$ND$150=P$4)*(GMW!$NF$2:$NF$150=P$1),0),$C155-1966)</f>
        <v>41384.6</v>
      </c>
      <c r="Q155" s="4" cm="1">
        <f t="array" ref="Q155">INDEX(GMW!$A$2:$NF$150,MATCH(1,(GMW!$NE$2:$NE$150=Q$3)*(GMW!$ND$2:$ND$150=Q$4)*(GMW!$NF$2:$NF$150=Q$1),0),$C155-1966)</f>
        <v>2654000</v>
      </c>
      <c r="R155" s="4" cm="1">
        <f t="array" ref="R155">INDEX(GMW!$A$2:$NF$150,MATCH(1,(GMW!$NE$2:$NE$150=R$3)*(GMW!$ND$2:$ND$150=R$4)*(GMW!$NF$2:$NF$150=R$1),0),$C155-1966)</f>
        <v>-1.6818040000000001</v>
      </c>
      <c r="S155" s="4" cm="1">
        <f t="array" ref="S155">INDEX(GMW!$A$2:$NF$150,MATCH(1,(GMW!$NE$2:$NE$150=S$3)*(GMW!$ND$2:$ND$150=S$4)*(GMW!$NF$2:$NF$150=S$1),0),$C155-1966)</f>
        <v>514595</v>
      </c>
      <c r="T155" s="4" cm="1">
        <f t="array" ref="T155">INDEX(GMW!$A$2:$NF$150,MATCH(1,(GMW!$NE$2:$NE$150=T$3)*(GMW!$ND$2:$ND$150=T$4)*(GMW!$NF$2:$NF$150=T$1),0),$C155-1966)</f>
        <v>88.233329999999995</v>
      </c>
      <c r="U155" s="4" cm="1">
        <f t="array" ref="U155">INDEX(GMW!$A$2:$NF$150,MATCH(1,(GMW!$NE$2:$NE$150=U$3)*(GMW!$ND$2:$ND$150=U$4)*(GMW!$NF$2:$NF$150=U$1),0),$C155-1966)</f>
        <v>152875</v>
      </c>
      <c r="V155" s="4" cm="1">
        <f t="array" ref="V155">INDEX(GMW!$A$2:$NF$150,MATCH(1,(GMW!$NE$2:$NE$150=V$3)*(GMW!$ND$2:$ND$150=V$4)*(GMW!$NF$2:$NF$150=V$1),0),$C155-1966)</f>
        <v>68793</v>
      </c>
      <c r="W155" s="4" cm="1">
        <f t="array" ref="W155">INDEX(GMW!$A$2:$NF$150,MATCH(1,(GMW!$NE$2:$NE$150=W$3)*(GMW!$ND$2:$ND$150=W$4)*(GMW!$NF$2:$NF$150=W$1),0),$C155-1966)</f>
        <v>155913</v>
      </c>
      <c r="X155" s="4" cm="1">
        <f t="array" ref="X155">INDEX(GMW!$A$2:$NF$150,MATCH(1,(GMW!$NE$2:$NE$150=X$3)*(GMW!$ND$2:$ND$150=X$4)*(GMW!$NF$2:$NF$150=X$1),0),$C155-1966)</f>
        <v>93414</v>
      </c>
      <c r="Y155" s="4" cm="1">
        <f t="array" ref="Y155">INDEX(GMW!$A$2:$NF$150,MATCH(1,(GMW!$NE$2:$NE$150=Y$3)*(GMW!$ND$2:$ND$150=Y$4)*(GMW!$NF$2:$NF$150=Y$1),0),$C155-1966)</f>
        <v>81644</v>
      </c>
      <c r="Z155" s="4" cm="1">
        <f t="array" ref="Z155">INDEX(GMW!$A$2:$NF$150,MATCH(1,(GMW!$NE$2:$NE$150=Z$3)*(GMW!$ND$2:$ND$150=Z$4)*(GMW!$NF$2:$NF$150=Z$1),0),$C155-1966)</f>
        <v>41479</v>
      </c>
      <c r="AA155" s="4" cm="1">
        <f t="array" ref="AA155">INDEX(GMW!$A$2:$NF$150,MATCH(1,(GMW!$NE$2:$NE$150=AA$3)*(GMW!$ND$2:$ND$150=AA$4)*(GMW!$NF$2:$NF$150=AA$1),0),$C155-1966)</f>
        <v>537208.69999999995</v>
      </c>
      <c r="AB155" s="4" cm="1">
        <f t="array" ref="AB155">INDEX(GMW!$A$2:$NF$150,MATCH(1,(GMW!$NE$2:$NE$150=AB$3)*(GMW!$ND$2:$ND$150=AB$4)*(GMW!$NF$2:$NF$150=AB$1),0),$C155-1966)</f>
        <v>29946.28</v>
      </c>
      <c r="AC155" s="4" cm="1">
        <f t="array" ref="AC155">INDEX(GMW!$A$2:$NF$150,MATCH(1,(GMW!$NE$2:$NE$150=AC$3)*(GMW!$ND$2:$ND$150=AC$4)*(GMW!$NF$2:$NF$150=AC$1),0),$C155-1966)</f>
        <v>31.6</v>
      </c>
      <c r="AD155" s="4" cm="1">
        <f t="array" ref="AD155">INDEX(GMW!$A$2:$NF$150,MATCH(1,(GMW!$NE$2:$NE$150=AD$3)*(GMW!$ND$2:$ND$150=AD$4)*(GMW!$NF$2:$NF$150=AD$1),0),$C155-1966)</f>
        <v>513913.4</v>
      </c>
      <c r="AE155" s="4" cm="1">
        <f t="array" ref="AE155">INDEX(GMW!$A$2:$NF$150,MATCH(1,(GMW!$NE$2:$NE$150=AE$3)*(GMW!$ND$2:$ND$150=AE$4)*(GMW!$NF$2:$NF$150=AE$1),0),$C155-1966)</f>
        <v>41384.6</v>
      </c>
      <c r="AF155" s="4" cm="1">
        <f t="array" ref="AF155">INDEX(GMW!$A$2:$NF$150,MATCH(1,(GMW!$NE$2:$NE$150=AF$3)*(GMW!$ND$2:$ND$150=AF$4)*(GMW!$NF$2:$NF$150=AF$1),0),$C155-1966)</f>
        <v>2654000</v>
      </c>
      <c r="AG155" s="4" cm="1">
        <f t="array" ref="AG155">INDEX(GMW!$A$2:$NF$150,MATCH(1,(GMW!$NE$2:$NE$150=AG$3)*(GMW!$ND$2:$ND$150=AG$4)*(GMW!$NF$2:$NF$150=AG$1),0),$C155-1966)</f>
        <v>-1.6818040000000001</v>
      </c>
      <c r="AH155" s="4" cm="1">
        <f t="array" ref="AH155">INDEX(GMW!$A$2:$NF$150,MATCH(1,(GMW!$NE$2:$NE$150=AH$3)*(GMW!$ND$2:$ND$150=AH$4)*(GMW!$NF$2:$NF$150=AH$1),0),$C155-1966)</f>
        <v>514595</v>
      </c>
      <c r="AI155" s="4" cm="1">
        <f t="array" ref="AI155">INDEX(GMW!$A$2:$NF$150,MATCH(1,(GMW!$NE$2:$NE$150=AI$3)*(GMW!$ND$2:$ND$150=AI$4)*(GMW!$NF$2:$NF$150=AI$1),0),$C155-1966)</f>
        <v>88.233329999999995</v>
      </c>
      <c r="AJ155" s="4" cm="1">
        <f t="array" ref="AJ155">INDEX(GMW!$A$2:$NF$150,MATCH(1,(GMW!$NE$2:$NE$150=AJ$3)*(GMW!$ND$2:$ND$150=AJ$4)*(GMW!$NF$2:$NF$150=AJ$1),0),$C155-1966)</f>
        <v>152875</v>
      </c>
      <c r="AK155" s="4" cm="1">
        <f t="array" ref="AK155">INDEX(GMW!$A$2:$NF$150,MATCH(1,(GMW!$NE$2:$NE$150=AK$3)*(GMW!$ND$2:$ND$150=AK$4)*(GMW!$NF$2:$NF$150=AK$1),0),$C155-1966)</f>
        <v>68793</v>
      </c>
      <c r="AL155" s="4" cm="1">
        <f t="array" ref="AL155">INDEX(GMW!$A$2:$NF$150,MATCH(1,(GMW!$NE$2:$NE$150=AL$3)*(GMW!$ND$2:$ND$150=AL$4)*(GMW!$NF$2:$NF$150=AL$1),0),$C155-1966)</f>
        <v>155913</v>
      </c>
      <c r="AM155" s="4" cm="1">
        <f t="array" ref="AM155">INDEX(GMW!$A$2:$NF$150,MATCH(1,(GMW!$NE$2:$NE$150=AM$3)*(GMW!$ND$2:$ND$150=AM$4)*(GMW!$NF$2:$NF$150=AM$1),0),$C155-1966)</f>
        <v>93414</v>
      </c>
      <c r="AN155" s="4" cm="1">
        <f t="array" ref="AN155">INDEX(GMW!$A$2:$NF$150,MATCH(1,(GMW!$NE$2:$NE$150=AN$3)*(GMW!$ND$2:$ND$150=AN$4)*(GMW!$NF$2:$NF$150=AN$1),0),$C155-1966)</f>
        <v>81644</v>
      </c>
      <c r="AO155" s="4" cm="1">
        <f t="array" ref="AO155">INDEX(GMW!$A$2:$NF$150,MATCH(1,(GMW!$NE$2:$NE$150=AO$3)*(GMW!$ND$2:$ND$150=AO$4)*(GMW!$NF$2:$NF$150=AO$1),0),$C155-1966)</f>
        <v>41479</v>
      </c>
      <c r="AP155" s="4" cm="1">
        <f t="array" ref="AP155">INDEX(GMW!$A$2:$NF$150,MATCH(1,(GMW!$NE$2:$NE$150=AP$3)*(GMW!$ND$2:$ND$150=AP$4)*(GMW!$NF$2:$NF$150=AP$1),0),$C155-1966)</f>
        <v>537208.69999999995</v>
      </c>
      <c r="AQ155" s="4" cm="1">
        <f t="array" ref="AQ155">INDEX(GMW!$A$2:$NF$150,MATCH(1,(GMW!$NE$2:$NE$150=AQ$3)*(GMW!$ND$2:$ND$150=AQ$4)*(GMW!$NF$2:$NF$150=AQ$1),0),$C155-1966)</f>
        <v>29946.28</v>
      </c>
      <c r="AR155" s="4" cm="1">
        <f t="array" ref="AR155">INDEX(GMW!$A$2:$NF$150,MATCH(1,(GMW!$NE$2:$NE$150=AR$3)*(GMW!$ND$2:$ND$150=AR$4)*(GMW!$NF$2:$NF$150=AR$1),0),$C155-1966)</f>
        <v>31.6</v>
      </c>
      <c r="AS155" s="4" cm="1">
        <f t="array" ref="AS155">INDEX(GMW!$A$2:$NF$150,MATCH(1,(GMW!$NE$2:$NE$150=AS$3)*(GMW!$ND$2:$ND$150=AS$4)*(GMW!$NF$2:$NF$150=AS$1),0),$C155-1966)</f>
        <v>513913.4</v>
      </c>
      <c r="AT155" s="4" cm="1">
        <f t="array" ref="AT155">INDEX(GMW!$A$2:$NF$150,MATCH(1,(GMW!$NE$2:$NE$150=AT$3)*(GMW!$ND$2:$ND$150=AT$4)*(GMW!$NF$2:$NF$150=AT$1),0),$C155-1966)</f>
        <v>41384.6</v>
      </c>
      <c r="AU155" s="4" cm="1">
        <f t="array" ref="AU155">INDEX(GMW!$A$2:$NF$150,MATCH(1,(GMW!$NE$2:$NE$150=AU$3)*(GMW!$ND$2:$ND$150=AU$4)*(GMW!$NF$2:$NF$150=AU$1),0),$C155-1966)</f>
        <v>2654000</v>
      </c>
      <c r="AV155" s="4" cm="1">
        <f t="array" ref="AV155">INDEX(GMW!$A$2:$NF$150,MATCH(1,(GMW!$NE$2:$NE$150=AV$3)*(GMW!$ND$2:$ND$150=AV$4)*(GMW!$NF$2:$NF$150=AV$1),0),$C155-1966)</f>
        <v>-1.6818040000000001</v>
      </c>
    </row>
    <row r="156" spans="1:48" x14ac:dyDescent="0.25">
      <c r="B156" s="4">
        <f t="shared" si="8"/>
        <v>2010</v>
      </c>
      <c r="C156" s="4">
        <f t="shared" si="7"/>
        <v>2122</v>
      </c>
      <c r="D156" s="4" cm="1">
        <f t="array" ref="D156">INDEX(GMW!$A$2:$NF$150,MATCH(1,(GMW!$NE$2:$NE$150=D$3)*(GMW!$ND$2:$ND$150=D$4)*(GMW!$NF$2:$NF$150=D$1),0),$C156-1966)</f>
        <v>520128</v>
      </c>
      <c r="E156" s="4" cm="1">
        <f t="array" ref="E156">INDEX(GMW!$A$2:$NF$150,MATCH(1,(GMW!$NE$2:$NE$150=E$3)*(GMW!$ND$2:$ND$150=E$4)*(GMW!$NF$2:$NF$150=E$1),0),$C156-1966)</f>
        <v>89.366669999999999</v>
      </c>
      <c r="F156" s="4" cm="1">
        <f t="array" ref="F156">INDEX(GMW!$A$2:$NF$150,MATCH(1,(GMW!$NE$2:$NE$150=F$3)*(GMW!$ND$2:$ND$150=F$4)*(GMW!$NF$2:$NF$150=F$1),0),$C156-1966)</f>
        <v>157927</v>
      </c>
      <c r="G156" s="4" cm="1">
        <f t="array" ref="G156">INDEX(GMW!$A$2:$NF$150,MATCH(1,(GMW!$NE$2:$NE$150=G$3)*(GMW!$ND$2:$ND$150=G$4)*(GMW!$NF$2:$NF$150=G$1),0),$C156-1966)</f>
        <v>73351</v>
      </c>
      <c r="H156" s="4" cm="1">
        <f t="array" ref="H156">INDEX(GMW!$A$2:$NF$150,MATCH(1,(GMW!$NE$2:$NE$150=H$3)*(GMW!$ND$2:$ND$150=H$4)*(GMW!$NF$2:$NF$150=H$1),0),$C156-1966)</f>
        <v>160853</v>
      </c>
      <c r="I156" s="4" cm="1">
        <f t="array" ref="I156">INDEX(GMW!$A$2:$NF$150,MATCH(1,(GMW!$NE$2:$NE$150=I$3)*(GMW!$ND$2:$ND$150=I$4)*(GMW!$NF$2:$NF$150=I$1),0),$C156-1966)</f>
        <v>96050</v>
      </c>
      <c r="J156" s="4" cm="1">
        <f t="array" ref="J156">INDEX(GMW!$A$2:$NF$150,MATCH(1,(GMW!$NE$2:$NE$150=J$3)*(GMW!$ND$2:$ND$150=J$4)*(GMW!$NF$2:$NF$150=J$1),0),$C156-1966)</f>
        <v>80431</v>
      </c>
      <c r="K156" s="4" cm="1">
        <f t="array" ref="K156">INDEX(GMW!$A$2:$NF$150,MATCH(1,(GMW!$NE$2:$NE$150=K$3)*(GMW!$ND$2:$ND$150=K$4)*(GMW!$NF$2:$NF$150=K$1),0),$C156-1966)</f>
        <v>40858</v>
      </c>
      <c r="L156" s="4" cm="1">
        <f t="array" ref="L156">INDEX(GMW!$A$2:$NF$150,MATCH(1,(GMW!$NE$2:$NE$150=L$3)*(GMW!$ND$2:$ND$150=L$4)*(GMW!$NF$2:$NF$150=L$1),0),$C156-1966)</f>
        <v>539485.5</v>
      </c>
      <c r="M156" s="4" cm="1">
        <f t="array" ref="M156">INDEX(GMW!$A$2:$NF$150,MATCH(1,(GMW!$NE$2:$NE$150=M$3)*(GMW!$ND$2:$ND$150=M$4)*(GMW!$NF$2:$NF$150=M$1),0),$C156-1966)</f>
        <v>30064.32</v>
      </c>
      <c r="N156" s="4" cm="1">
        <f t="array" ref="N156">INDEX(GMW!$A$2:$NF$150,MATCH(1,(GMW!$NE$2:$NE$150=N$3)*(GMW!$ND$2:$ND$150=N$4)*(GMW!$NF$2:$NF$150=N$1),0),$C156-1966)</f>
        <v>31.6</v>
      </c>
      <c r="O156" s="4" cm="1">
        <f t="array" ref="O156">INDEX(GMW!$A$2:$NF$150,MATCH(1,(GMW!$NE$2:$NE$150=O$3)*(GMW!$ND$2:$ND$150=O$4)*(GMW!$NF$2:$NF$150=O$1),0),$C156-1966)</f>
        <v>515780.1</v>
      </c>
      <c r="P156" s="4" cm="1">
        <f t="array" ref="P156">INDEX(GMW!$A$2:$NF$150,MATCH(1,(GMW!$NE$2:$NE$150=P$3)*(GMW!$ND$2:$ND$150=P$4)*(GMW!$NF$2:$NF$150=P$1),0),$C156-1966)</f>
        <v>41443.879999999997</v>
      </c>
      <c r="Q156" s="4" cm="1">
        <f t="array" ref="Q156">INDEX(GMW!$A$2:$NF$150,MATCH(1,(GMW!$NE$2:$NE$150=Q$3)*(GMW!$ND$2:$ND$150=Q$4)*(GMW!$NF$2:$NF$150=Q$1),0),$C156-1966)</f>
        <v>2662000</v>
      </c>
      <c r="R156" s="4" cm="1">
        <f t="array" ref="R156">INDEX(GMW!$A$2:$NF$150,MATCH(1,(GMW!$NE$2:$NE$150=R$3)*(GMW!$ND$2:$ND$150=R$4)*(GMW!$NF$2:$NF$150=R$1),0),$C156-1966)</f>
        <v>-1.6818470000000001</v>
      </c>
      <c r="S156" s="4" cm="1">
        <f t="array" ref="S156">INDEX(GMW!$A$2:$NF$150,MATCH(1,(GMW!$NE$2:$NE$150=S$3)*(GMW!$ND$2:$ND$150=S$4)*(GMW!$NF$2:$NF$150=S$1),0),$C156-1966)</f>
        <v>520128</v>
      </c>
      <c r="T156" s="4" cm="1">
        <f t="array" ref="T156">INDEX(GMW!$A$2:$NF$150,MATCH(1,(GMW!$NE$2:$NE$150=T$3)*(GMW!$ND$2:$ND$150=T$4)*(GMW!$NF$2:$NF$150=T$1),0),$C156-1966)</f>
        <v>89.366669999999999</v>
      </c>
      <c r="U156" s="4" cm="1">
        <f t="array" ref="U156">INDEX(GMW!$A$2:$NF$150,MATCH(1,(GMW!$NE$2:$NE$150=U$3)*(GMW!$ND$2:$ND$150=U$4)*(GMW!$NF$2:$NF$150=U$1),0),$C156-1966)</f>
        <v>157927</v>
      </c>
      <c r="V156" s="4" cm="1">
        <f t="array" ref="V156">INDEX(GMW!$A$2:$NF$150,MATCH(1,(GMW!$NE$2:$NE$150=V$3)*(GMW!$ND$2:$ND$150=V$4)*(GMW!$NF$2:$NF$150=V$1),0),$C156-1966)</f>
        <v>73351</v>
      </c>
      <c r="W156" s="4" cm="1">
        <f t="array" ref="W156">INDEX(GMW!$A$2:$NF$150,MATCH(1,(GMW!$NE$2:$NE$150=W$3)*(GMW!$ND$2:$ND$150=W$4)*(GMW!$NF$2:$NF$150=W$1),0),$C156-1966)</f>
        <v>160853</v>
      </c>
      <c r="X156" s="4" cm="1">
        <f t="array" ref="X156">INDEX(GMW!$A$2:$NF$150,MATCH(1,(GMW!$NE$2:$NE$150=X$3)*(GMW!$ND$2:$ND$150=X$4)*(GMW!$NF$2:$NF$150=X$1),0),$C156-1966)</f>
        <v>96050</v>
      </c>
      <c r="Y156" s="4" cm="1">
        <f t="array" ref="Y156">INDEX(GMW!$A$2:$NF$150,MATCH(1,(GMW!$NE$2:$NE$150=Y$3)*(GMW!$ND$2:$ND$150=Y$4)*(GMW!$NF$2:$NF$150=Y$1),0),$C156-1966)</f>
        <v>80431</v>
      </c>
      <c r="Z156" s="4" cm="1">
        <f t="array" ref="Z156">INDEX(GMW!$A$2:$NF$150,MATCH(1,(GMW!$NE$2:$NE$150=Z$3)*(GMW!$ND$2:$ND$150=Z$4)*(GMW!$NF$2:$NF$150=Z$1),0),$C156-1966)</f>
        <v>40858</v>
      </c>
      <c r="AA156" s="4" cm="1">
        <f t="array" ref="AA156">INDEX(GMW!$A$2:$NF$150,MATCH(1,(GMW!$NE$2:$NE$150=AA$3)*(GMW!$ND$2:$ND$150=AA$4)*(GMW!$NF$2:$NF$150=AA$1),0),$C156-1966)</f>
        <v>539485.5</v>
      </c>
      <c r="AB156" s="4" cm="1">
        <f t="array" ref="AB156">INDEX(GMW!$A$2:$NF$150,MATCH(1,(GMW!$NE$2:$NE$150=AB$3)*(GMW!$ND$2:$ND$150=AB$4)*(GMW!$NF$2:$NF$150=AB$1),0),$C156-1966)</f>
        <v>30064.32</v>
      </c>
      <c r="AC156" s="4" cm="1">
        <f t="array" ref="AC156">INDEX(GMW!$A$2:$NF$150,MATCH(1,(GMW!$NE$2:$NE$150=AC$3)*(GMW!$ND$2:$ND$150=AC$4)*(GMW!$NF$2:$NF$150=AC$1),0),$C156-1966)</f>
        <v>31.6</v>
      </c>
      <c r="AD156" s="4" cm="1">
        <f t="array" ref="AD156">INDEX(GMW!$A$2:$NF$150,MATCH(1,(GMW!$NE$2:$NE$150=AD$3)*(GMW!$ND$2:$ND$150=AD$4)*(GMW!$NF$2:$NF$150=AD$1),0),$C156-1966)</f>
        <v>515780.1</v>
      </c>
      <c r="AE156" s="4" cm="1">
        <f t="array" ref="AE156">INDEX(GMW!$A$2:$NF$150,MATCH(1,(GMW!$NE$2:$NE$150=AE$3)*(GMW!$ND$2:$ND$150=AE$4)*(GMW!$NF$2:$NF$150=AE$1),0),$C156-1966)</f>
        <v>41443.879999999997</v>
      </c>
      <c r="AF156" s="4" cm="1">
        <f t="array" ref="AF156">INDEX(GMW!$A$2:$NF$150,MATCH(1,(GMW!$NE$2:$NE$150=AF$3)*(GMW!$ND$2:$ND$150=AF$4)*(GMW!$NF$2:$NF$150=AF$1),0),$C156-1966)</f>
        <v>2662000</v>
      </c>
      <c r="AG156" s="4" cm="1">
        <f t="array" ref="AG156">INDEX(GMW!$A$2:$NF$150,MATCH(1,(GMW!$NE$2:$NE$150=AG$3)*(GMW!$ND$2:$ND$150=AG$4)*(GMW!$NF$2:$NF$150=AG$1),0),$C156-1966)</f>
        <v>-1.6818470000000001</v>
      </c>
      <c r="AH156" s="4" cm="1">
        <f t="array" ref="AH156">INDEX(GMW!$A$2:$NF$150,MATCH(1,(GMW!$NE$2:$NE$150=AH$3)*(GMW!$ND$2:$ND$150=AH$4)*(GMW!$NF$2:$NF$150=AH$1),0),$C156-1966)</f>
        <v>520128</v>
      </c>
      <c r="AI156" s="4" cm="1">
        <f t="array" ref="AI156">INDEX(GMW!$A$2:$NF$150,MATCH(1,(GMW!$NE$2:$NE$150=AI$3)*(GMW!$ND$2:$ND$150=AI$4)*(GMW!$NF$2:$NF$150=AI$1),0),$C156-1966)</f>
        <v>89.366669999999999</v>
      </c>
      <c r="AJ156" s="4" cm="1">
        <f t="array" ref="AJ156">INDEX(GMW!$A$2:$NF$150,MATCH(1,(GMW!$NE$2:$NE$150=AJ$3)*(GMW!$ND$2:$ND$150=AJ$4)*(GMW!$NF$2:$NF$150=AJ$1),0),$C156-1966)</f>
        <v>157927</v>
      </c>
      <c r="AK156" s="4" cm="1">
        <f t="array" ref="AK156">INDEX(GMW!$A$2:$NF$150,MATCH(1,(GMW!$NE$2:$NE$150=AK$3)*(GMW!$ND$2:$ND$150=AK$4)*(GMW!$NF$2:$NF$150=AK$1),0),$C156-1966)</f>
        <v>73351</v>
      </c>
      <c r="AL156" s="4" cm="1">
        <f t="array" ref="AL156">INDEX(GMW!$A$2:$NF$150,MATCH(1,(GMW!$NE$2:$NE$150=AL$3)*(GMW!$ND$2:$ND$150=AL$4)*(GMW!$NF$2:$NF$150=AL$1),0),$C156-1966)</f>
        <v>160853</v>
      </c>
      <c r="AM156" s="4" cm="1">
        <f t="array" ref="AM156">INDEX(GMW!$A$2:$NF$150,MATCH(1,(GMW!$NE$2:$NE$150=AM$3)*(GMW!$ND$2:$ND$150=AM$4)*(GMW!$NF$2:$NF$150=AM$1),0),$C156-1966)</f>
        <v>96050</v>
      </c>
      <c r="AN156" s="4" cm="1">
        <f t="array" ref="AN156">INDEX(GMW!$A$2:$NF$150,MATCH(1,(GMW!$NE$2:$NE$150=AN$3)*(GMW!$ND$2:$ND$150=AN$4)*(GMW!$NF$2:$NF$150=AN$1),0),$C156-1966)</f>
        <v>80431</v>
      </c>
      <c r="AO156" s="4" cm="1">
        <f t="array" ref="AO156">INDEX(GMW!$A$2:$NF$150,MATCH(1,(GMW!$NE$2:$NE$150=AO$3)*(GMW!$ND$2:$ND$150=AO$4)*(GMW!$NF$2:$NF$150=AO$1),0),$C156-1966)</f>
        <v>40858</v>
      </c>
      <c r="AP156" s="4" cm="1">
        <f t="array" ref="AP156">INDEX(GMW!$A$2:$NF$150,MATCH(1,(GMW!$NE$2:$NE$150=AP$3)*(GMW!$ND$2:$ND$150=AP$4)*(GMW!$NF$2:$NF$150=AP$1),0),$C156-1966)</f>
        <v>539485.5</v>
      </c>
      <c r="AQ156" s="4" cm="1">
        <f t="array" ref="AQ156">INDEX(GMW!$A$2:$NF$150,MATCH(1,(GMW!$NE$2:$NE$150=AQ$3)*(GMW!$ND$2:$ND$150=AQ$4)*(GMW!$NF$2:$NF$150=AQ$1),0),$C156-1966)</f>
        <v>30064.32</v>
      </c>
      <c r="AR156" s="4" cm="1">
        <f t="array" ref="AR156">INDEX(GMW!$A$2:$NF$150,MATCH(1,(GMW!$NE$2:$NE$150=AR$3)*(GMW!$ND$2:$ND$150=AR$4)*(GMW!$NF$2:$NF$150=AR$1),0),$C156-1966)</f>
        <v>31.6</v>
      </c>
      <c r="AS156" s="4" cm="1">
        <f t="array" ref="AS156">INDEX(GMW!$A$2:$NF$150,MATCH(1,(GMW!$NE$2:$NE$150=AS$3)*(GMW!$ND$2:$ND$150=AS$4)*(GMW!$NF$2:$NF$150=AS$1),0),$C156-1966)</f>
        <v>515780.1</v>
      </c>
      <c r="AT156" s="4" cm="1">
        <f t="array" ref="AT156">INDEX(GMW!$A$2:$NF$150,MATCH(1,(GMW!$NE$2:$NE$150=AT$3)*(GMW!$ND$2:$ND$150=AT$4)*(GMW!$NF$2:$NF$150=AT$1),0),$C156-1966)</f>
        <v>41443.879999999997</v>
      </c>
      <c r="AU156" s="4" cm="1">
        <f t="array" ref="AU156">INDEX(GMW!$A$2:$NF$150,MATCH(1,(GMW!$NE$2:$NE$150=AU$3)*(GMW!$ND$2:$ND$150=AU$4)*(GMW!$NF$2:$NF$150=AU$1),0),$C156-1966)</f>
        <v>2662000</v>
      </c>
      <c r="AV156" s="4" cm="1">
        <f t="array" ref="AV156">INDEX(GMW!$A$2:$NF$150,MATCH(1,(GMW!$NE$2:$NE$150=AV$3)*(GMW!$ND$2:$ND$150=AV$4)*(GMW!$NF$2:$NF$150=AV$1),0),$C156-1966)</f>
        <v>-1.6818470000000001</v>
      </c>
    </row>
    <row r="157" spans="1:48" x14ac:dyDescent="0.25">
      <c r="B157" s="4">
        <f t="shared" si="8"/>
        <v>2010</v>
      </c>
      <c r="C157" s="4">
        <f t="shared" si="7"/>
        <v>2123</v>
      </c>
      <c r="D157" s="4" cm="1">
        <f t="array" ref="D157">INDEX(GMW!$A$2:$NF$150,MATCH(1,(GMW!$NE$2:$NE$150=D$3)*(GMW!$ND$2:$ND$150=D$4)*(GMW!$NF$2:$NF$150=D$1),0),$C157-1966)</f>
        <v>523173</v>
      </c>
      <c r="E157" s="4" cm="1">
        <f t="array" ref="E157">INDEX(GMW!$A$2:$NF$150,MATCH(1,(GMW!$NE$2:$NE$150=E$3)*(GMW!$ND$2:$ND$150=E$4)*(GMW!$NF$2:$NF$150=E$1),0),$C157-1966)</f>
        <v>89.633330000000001</v>
      </c>
      <c r="F157" s="4" cm="1">
        <f t="array" ref="F157">INDEX(GMW!$A$2:$NF$150,MATCH(1,(GMW!$NE$2:$NE$150=F$3)*(GMW!$ND$2:$ND$150=F$4)*(GMW!$NF$2:$NF$150=F$1),0),$C157-1966)</f>
        <v>159590</v>
      </c>
      <c r="G157" s="4" cm="1">
        <f t="array" ref="G157">INDEX(GMW!$A$2:$NF$150,MATCH(1,(GMW!$NE$2:$NE$150=G$3)*(GMW!$ND$2:$ND$150=G$4)*(GMW!$NF$2:$NF$150=G$1),0),$C157-1966)</f>
        <v>75631</v>
      </c>
      <c r="H157" s="4" cm="1">
        <f t="array" ref="H157">INDEX(GMW!$A$2:$NF$150,MATCH(1,(GMW!$NE$2:$NE$150=H$3)*(GMW!$ND$2:$ND$150=H$4)*(GMW!$NF$2:$NF$150=H$1),0),$C157-1966)</f>
        <v>166050</v>
      </c>
      <c r="I157" s="4" cm="1">
        <f t="array" ref="I157">INDEX(GMW!$A$2:$NF$150,MATCH(1,(GMW!$NE$2:$NE$150=I$3)*(GMW!$ND$2:$ND$150=I$4)*(GMW!$NF$2:$NF$150=I$1),0),$C157-1966)</f>
        <v>97316</v>
      </c>
      <c r="J157" s="4" cm="1">
        <f t="array" ref="J157">INDEX(GMW!$A$2:$NF$150,MATCH(1,(GMW!$NE$2:$NE$150=J$3)*(GMW!$ND$2:$ND$150=J$4)*(GMW!$NF$2:$NF$150=J$1),0),$C157-1966)</f>
        <v>83557</v>
      </c>
      <c r="K157" s="4" cm="1">
        <f t="array" ref="K157">INDEX(GMW!$A$2:$NF$150,MATCH(1,(GMW!$NE$2:$NE$150=K$3)*(GMW!$ND$2:$ND$150=K$4)*(GMW!$NF$2:$NF$150=K$1),0),$C157-1966)</f>
        <v>42697</v>
      </c>
      <c r="L157" s="4" cm="1">
        <f t="array" ref="L157">INDEX(GMW!$A$2:$NF$150,MATCH(1,(GMW!$NE$2:$NE$150=L$3)*(GMW!$ND$2:$ND$150=L$4)*(GMW!$NF$2:$NF$150=L$1),0),$C157-1966)</f>
        <v>542141.19999999995</v>
      </c>
      <c r="M157" s="4" cm="1">
        <f t="array" ref="M157">INDEX(GMW!$A$2:$NF$150,MATCH(1,(GMW!$NE$2:$NE$150=M$3)*(GMW!$ND$2:$ND$150=M$4)*(GMW!$NF$2:$NF$150=M$1),0),$C157-1966)</f>
        <v>30214.47</v>
      </c>
      <c r="N157" s="4" cm="1">
        <f t="array" ref="N157">INDEX(GMW!$A$2:$NF$150,MATCH(1,(GMW!$NE$2:$NE$150=N$3)*(GMW!$ND$2:$ND$150=N$4)*(GMW!$NF$2:$NF$150=N$1),0),$C157-1966)</f>
        <v>31.6</v>
      </c>
      <c r="O157" s="4" cm="1">
        <f t="array" ref="O157">INDEX(GMW!$A$2:$NF$150,MATCH(1,(GMW!$NE$2:$NE$150=O$3)*(GMW!$ND$2:$ND$150=O$4)*(GMW!$NF$2:$NF$150=O$1),0),$C157-1966)</f>
        <v>517750.8</v>
      </c>
      <c r="P157" s="4" cm="1">
        <f t="array" ref="P157">INDEX(GMW!$A$2:$NF$150,MATCH(1,(GMW!$NE$2:$NE$150=P$3)*(GMW!$ND$2:$ND$150=P$4)*(GMW!$NF$2:$NF$150=P$1),0),$C157-1966)</f>
        <v>41510.57</v>
      </c>
      <c r="Q157" s="4" cm="1">
        <f t="array" ref="Q157">INDEX(GMW!$A$2:$NF$150,MATCH(1,(GMW!$NE$2:$NE$150=Q$3)*(GMW!$ND$2:$ND$150=Q$4)*(GMW!$NF$2:$NF$150=Q$1),0),$C157-1966)</f>
        <v>2670000</v>
      </c>
      <c r="R157" s="4" cm="1">
        <f t="array" ref="R157">INDEX(GMW!$A$2:$NF$150,MATCH(1,(GMW!$NE$2:$NE$150=R$3)*(GMW!$ND$2:$ND$150=R$4)*(GMW!$NF$2:$NF$150=R$1),0),$C157-1966)</f>
        <v>-1.6818900000000001</v>
      </c>
      <c r="S157" s="4" cm="1">
        <f t="array" ref="S157">INDEX(GMW!$A$2:$NF$150,MATCH(1,(GMW!$NE$2:$NE$150=S$3)*(GMW!$ND$2:$ND$150=S$4)*(GMW!$NF$2:$NF$150=S$1),0),$C157-1966)</f>
        <v>523173</v>
      </c>
      <c r="T157" s="4" cm="1">
        <f t="array" ref="T157">INDEX(GMW!$A$2:$NF$150,MATCH(1,(GMW!$NE$2:$NE$150=T$3)*(GMW!$ND$2:$ND$150=T$4)*(GMW!$NF$2:$NF$150=T$1),0),$C157-1966)</f>
        <v>89.633330000000001</v>
      </c>
      <c r="U157" s="4" cm="1">
        <f t="array" ref="U157">INDEX(GMW!$A$2:$NF$150,MATCH(1,(GMW!$NE$2:$NE$150=U$3)*(GMW!$ND$2:$ND$150=U$4)*(GMW!$NF$2:$NF$150=U$1),0),$C157-1966)</f>
        <v>159590</v>
      </c>
      <c r="V157" s="4" cm="1">
        <f t="array" ref="V157">INDEX(GMW!$A$2:$NF$150,MATCH(1,(GMW!$NE$2:$NE$150=V$3)*(GMW!$ND$2:$ND$150=V$4)*(GMW!$NF$2:$NF$150=V$1),0),$C157-1966)</f>
        <v>75631</v>
      </c>
      <c r="W157" s="4" cm="1">
        <f t="array" ref="W157">INDEX(GMW!$A$2:$NF$150,MATCH(1,(GMW!$NE$2:$NE$150=W$3)*(GMW!$ND$2:$ND$150=W$4)*(GMW!$NF$2:$NF$150=W$1),0),$C157-1966)</f>
        <v>166050</v>
      </c>
      <c r="X157" s="4" cm="1">
        <f t="array" ref="X157">INDEX(GMW!$A$2:$NF$150,MATCH(1,(GMW!$NE$2:$NE$150=X$3)*(GMW!$ND$2:$ND$150=X$4)*(GMW!$NF$2:$NF$150=X$1),0),$C157-1966)</f>
        <v>97316</v>
      </c>
      <c r="Y157" s="4" cm="1">
        <f t="array" ref="Y157">INDEX(GMW!$A$2:$NF$150,MATCH(1,(GMW!$NE$2:$NE$150=Y$3)*(GMW!$ND$2:$ND$150=Y$4)*(GMW!$NF$2:$NF$150=Y$1),0),$C157-1966)</f>
        <v>83557</v>
      </c>
      <c r="Z157" s="4" cm="1">
        <f t="array" ref="Z157">INDEX(GMW!$A$2:$NF$150,MATCH(1,(GMW!$NE$2:$NE$150=Z$3)*(GMW!$ND$2:$ND$150=Z$4)*(GMW!$NF$2:$NF$150=Z$1),0),$C157-1966)</f>
        <v>42697</v>
      </c>
      <c r="AA157" s="4" cm="1">
        <f t="array" ref="AA157">INDEX(GMW!$A$2:$NF$150,MATCH(1,(GMW!$NE$2:$NE$150=AA$3)*(GMW!$ND$2:$ND$150=AA$4)*(GMW!$NF$2:$NF$150=AA$1),0),$C157-1966)</f>
        <v>542141.19999999995</v>
      </c>
      <c r="AB157" s="4" cm="1">
        <f t="array" ref="AB157">INDEX(GMW!$A$2:$NF$150,MATCH(1,(GMW!$NE$2:$NE$150=AB$3)*(GMW!$ND$2:$ND$150=AB$4)*(GMW!$NF$2:$NF$150=AB$1),0),$C157-1966)</f>
        <v>30214.47</v>
      </c>
      <c r="AC157" s="4" cm="1">
        <f t="array" ref="AC157">INDEX(GMW!$A$2:$NF$150,MATCH(1,(GMW!$NE$2:$NE$150=AC$3)*(GMW!$ND$2:$ND$150=AC$4)*(GMW!$NF$2:$NF$150=AC$1),0),$C157-1966)</f>
        <v>31.6</v>
      </c>
      <c r="AD157" s="4" cm="1">
        <f t="array" ref="AD157">INDEX(GMW!$A$2:$NF$150,MATCH(1,(GMW!$NE$2:$NE$150=AD$3)*(GMW!$ND$2:$ND$150=AD$4)*(GMW!$NF$2:$NF$150=AD$1),0),$C157-1966)</f>
        <v>517750.8</v>
      </c>
      <c r="AE157" s="4" cm="1">
        <f t="array" ref="AE157">INDEX(GMW!$A$2:$NF$150,MATCH(1,(GMW!$NE$2:$NE$150=AE$3)*(GMW!$ND$2:$ND$150=AE$4)*(GMW!$NF$2:$NF$150=AE$1),0),$C157-1966)</f>
        <v>41510.57</v>
      </c>
      <c r="AF157" s="4" cm="1">
        <f t="array" ref="AF157">INDEX(GMW!$A$2:$NF$150,MATCH(1,(GMW!$NE$2:$NE$150=AF$3)*(GMW!$ND$2:$ND$150=AF$4)*(GMW!$NF$2:$NF$150=AF$1),0),$C157-1966)</f>
        <v>2670000</v>
      </c>
      <c r="AG157" s="4" cm="1">
        <f t="array" ref="AG157">INDEX(GMW!$A$2:$NF$150,MATCH(1,(GMW!$NE$2:$NE$150=AG$3)*(GMW!$ND$2:$ND$150=AG$4)*(GMW!$NF$2:$NF$150=AG$1),0),$C157-1966)</f>
        <v>-1.6818900000000001</v>
      </c>
      <c r="AH157" s="4" cm="1">
        <f t="array" ref="AH157">INDEX(GMW!$A$2:$NF$150,MATCH(1,(GMW!$NE$2:$NE$150=AH$3)*(GMW!$ND$2:$ND$150=AH$4)*(GMW!$NF$2:$NF$150=AH$1),0),$C157-1966)</f>
        <v>523173</v>
      </c>
      <c r="AI157" s="4" cm="1">
        <f t="array" ref="AI157">INDEX(GMW!$A$2:$NF$150,MATCH(1,(GMW!$NE$2:$NE$150=AI$3)*(GMW!$ND$2:$ND$150=AI$4)*(GMW!$NF$2:$NF$150=AI$1),0),$C157-1966)</f>
        <v>89.633330000000001</v>
      </c>
      <c r="AJ157" s="4" cm="1">
        <f t="array" ref="AJ157">INDEX(GMW!$A$2:$NF$150,MATCH(1,(GMW!$NE$2:$NE$150=AJ$3)*(GMW!$ND$2:$ND$150=AJ$4)*(GMW!$NF$2:$NF$150=AJ$1),0),$C157-1966)</f>
        <v>159590</v>
      </c>
      <c r="AK157" s="4" cm="1">
        <f t="array" ref="AK157">INDEX(GMW!$A$2:$NF$150,MATCH(1,(GMW!$NE$2:$NE$150=AK$3)*(GMW!$ND$2:$ND$150=AK$4)*(GMW!$NF$2:$NF$150=AK$1),0),$C157-1966)</f>
        <v>75631</v>
      </c>
      <c r="AL157" s="4" cm="1">
        <f t="array" ref="AL157">INDEX(GMW!$A$2:$NF$150,MATCH(1,(GMW!$NE$2:$NE$150=AL$3)*(GMW!$ND$2:$ND$150=AL$4)*(GMW!$NF$2:$NF$150=AL$1),0),$C157-1966)</f>
        <v>166050</v>
      </c>
      <c r="AM157" s="4" cm="1">
        <f t="array" ref="AM157">INDEX(GMW!$A$2:$NF$150,MATCH(1,(GMW!$NE$2:$NE$150=AM$3)*(GMW!$ND$2:$ND$150=AM$4)*(GMW!$NF$2:$NF$150=AM$1),0),$C157-1966)</f>
        <v>97316</v>
      </c>
      <c r="AN157" s="4" cm="1">
        <f t="array" ref="AN157">INDEX(GMW!$A$2:$NF$150,MATCH(1,(GMW!$NE$2:$NE$150=AN$3)*(GMW!$ND$2:$ND$150=AN$4)*(GMW!$NF$2:$NF$150=AN$1),0),$C157-1966)</f>
        <v>83557</v>
      </c>
      <c r="AO157" s="4" cm="1">
        <f t="array" ref="AO157">INDEX(GMW!$A$2:$NF$150,MATCH(1,(GMW!$NE$2:$NE$150=AO$3)*(GMW!$ND$2:$ND$150=AO$4)*(GMW!$NF$2:$NF$150=AO$1),0),$C157-1966)</f>
        <v>42697</v>
      </c>
      <c r="AP157" s="4" cm="1">
        <f t="array" ref="AP157">INDEX(GMW!$A$2:$NF$150,MATCH(1,(GMW!$NE$2:$NE$150=AP$3)*(GMW!$ND$2:$ND$150=AP$4)*(GMW!$NF$2:$NF$150=AP$1),0),$C157-1966)</f>
        <v>542141.19999999995</v>
      </c>
      <c r="AQ157" s="4" cm="1">
        <f t="array" ref="AQ157">INDEX(GMW!$A$2:$NF$150,MATCH(1,(GMW!$NE$2:$NE$150=AQ$3)*(GMW!$ND$2:$ND$150=AQ$4)*(GMW!$NF$2:$NF$150=AQ$1),0),$C157-1966)</f>
        <v>30214.47</v>
      </c>
      <c r="AR157" s="4" cm="1">
        <f t="array" ref="AR157">INDEX(GMW!$A$2:$NF$150,MATCH(1,(GMW!$NE$2:$NE$150=AR$3)*(GMW!$ND$2:$ND$150=AR$4)*(GMW!$NF$2:$NF$150=AR$1),0),$C157-1966)</f>
        <v>31.6</v>
      </c>
      <c r="AS157" s="4" cm="1">
        <f t="array" ref="AS157">INDEX(GMW!$A$2:$NF$150,MATCH(1,(GMW!$NE$2:$NE$150=AS$3)*(GMW!$ND$2:$ND$150=AS$4)*(GMW!$NF$2:$NF$150=AS$1),0),$C157-1966)</f>
        <v>517750.8</v>
      </c>
      <c r="AT157" s="4" cm="1">
        <f t="array" ref="AT157">INDEX(GMW!$A$2:$NF$150,MATCH(1,(GMW!$NE$2:$NE$150=AT$3)*(GMW!$ND$2:$ND$150=AT$4)*(GMW!$NF$2:$NF$150=AT$1),0),$C157-1966)</f>
        <v>41510.57</v>
      </c>
      <c r="AU157" s="4" cm="1">
        <f t="array" ref="AU157">INDEX(GMW!$A$2:$NF$150,MATCH(1,(GMW!$NE$2:$NE$150=AU$3)*(GMW!$ND$2:$ND$150=AU$4)*(GMW!$NF$2:$NF$150=AU$1),0),$C157-1966)</f>
        <v>2670000</v>
      </c>
      <c r="AV157" s="4" cm="1">
        <f t="array" ref="AV157">INDEX(GMW!$A$2:$NF$150,MATCH(1,(GMW!$NE$2:$NE$150=AV$3)*(GMW!$ND$2:$ND$150=AV$4)*(GMW!$NF$2:$NF$150=AV$1),0),$C157-1966)</f>
        <v>-1.6818900000000001</v>
      </c>
    </row>
    <row r="158" spans="1:48" x14ac:dyDescent="0.25">
      <c r="B158" s="4">
        <f t="shared" si="8"/>
        <v>2010</v>
      </c>
      <c r="C158" s="4">
        <f t="shared" si="7"/>
        <v>2124</v>
      </c>
      <c r="D158" s="4" cm="1">
        <f t="array" ref="D158">INDEX(GMW!$A$2:$NF$150,MATCH(1,(GMW!$NE$2:$NE$150=D$3)*(GMW!$ND$2:$ND$150=D$4)*(GMW!$NF$2:$NF$150=D$1),0),$C158-1966)</f>
        <v>523515</v>
      </c>
      <c r="E158" s="4" cm="1">
        <f t="array" ref="E158">INDEX(GMW!$A$2:$NF$150,MATCH(1,(GMW!$NE$2:$NE$150=E$3)*(GMW!$ND$2:$ND$150=E$4)*(GMW!$NF$2:$NF$150=E$1),0),$C158-1966)</f>
        <v>90.5</v>
      </c>
      <c r="F158" s="4" cm="1">
        <f t="array" ref="F158">INDEX(GMW!$A$2:$NF$150,MATCH(1,(GMW!$NE$2:$NE$150=F$3)*(GMW!$ND$2:$ND$150=F$4)*(GMW!$NF$2:$NF$150=F$1),0),$C158-1966)</f>
        <v>162838</v>
      </c>
      <c r="G158" s="4" cm="1">
        <f t="array" ref="G158">INDEX(GMW!$A$2:$NF$150,MATCH(1,(GMW!$NE$2:$NE$150=G$3)*(GMW!$ND$2:$ND$150=G$4)*(GMW!$NF$2:$NF$150=G$1),0),$C158-1966)</f>
        <v>75516</v>
      </c>
      <c r="H158" s="4" cm="1">
        <f t="array" ref="H158">INDEX(GMW!$A$2:$NF$150,MATCH(1,(GMW!$NE$2:$NE$150=H$3)*(GMW!$ND$2:$ND$150=H$4)*(GMW!$NF$2:$NF$150=H$1),0),$C158-1966)</f>
        <v>167478</v>
      </c>
      <c r="I158" s="4" cm="1">
        <f t="array" ref="I158">INDEX(GMW!$A$2:$NF$150,MATCH(1,(GMW!$NE$2:$NE$150=I$3)*(GMW!$ND$2:$ND$150=I$4)*(GMW!$NF$2:$NF$150=I$1),0),$C158-1966)</f>
        <v>100101</v>
      </c>
      <c r="J158" s="4" cm="1">
        <f t="array" ref="J158">INDEX(GMW!$A$2:$NF$150,MATCH(1,(GMW!$NE$2:$NE$150=J$3)*(GMW!$ND$2:$ND$150=J$4)*(GMW!$NF$2:$NF$150=J$1),0),$C158-1966)</f>
        <v>85811</v>
      </c>
      <c r="K158" s="4" cm="1">
        <f t="array" ref="K158">INDEX(GMW!$A$2:$NF$150,MATCH(1,(GMW!$NE$2:$NE$150=K$3)*(GMW!$ND$2:$ND$150=K$4)*(GMW!$NF$2:$NF$150=K$1),0),$C158-1966)</f>
        <v>45515</v>
      </c>
      <c r="L158" s="4" cm="1">
        <f t="array" ref="L158">INDEX(GMW!$A$2:$NF$150,MATCH(1,(GMW!$NE$2:$NE$150=L$3)*(GMW!$ND$2:$ND$150=L$4)*(GMW!$NF$2:$NF$150=L$1),0),$C158-1966)</f>
        <v>544782</v>
      </c>
      <c r="M158" s="4" cm="1">
        <f t="array" ref="M158">INDEX(GMW!$A$2:$NF$150,MATCH(1,(GMW!$NE$2:$NE$150=M$3)*(GMW!$ND$2:$ND$150=M$4)*(GMW!$NF$2:$NF$150=M$1),0),$C158-1966)</f>
        <v>30172</v>
      </c>
      <c r="N158" s="4" cm="1">
        <f t="array" ref="N158">INDEX(GMW!$A$2:$NF$150,MATCH(1,(GMW!$NE$2:$NE$150=N$3)*(GMW!$ND$2:$ND$150=N$4)*(GMW!$NF$2:$NF$150=N$1),0),$C158-1966)</f>
        <v>31.8</v>
      </c>
      <c r="O158" s="4" cm="1">
        <f t="array" ref="O158">INDEX(GMW!$A$2:$NF$150,MATCH(1,(GMW!$NE$2:$NE$150=O$3)*(GMW!$ND$2:$ND$150=O$4)*(GMW!$NF$2:$NF$150=O$1),0),$C158-1966)</f>
        <v>519733.6</v>
      </c>
      <c r="P158" s="4" cm="1">
        <f t="array" ref="P158">INDEX(GMW!$A$2:$NF$150,MATCH(1,(GMW!$NE$2:$NE$150=P$3)*(GMW!$ND$2:$ND$150=P$4)*(GMW!$NF$2:$NF$150=P$1),0),$C158-1966)</f>
        <v>41577.269999999997</v>
      </c>
      <c r="Q158" s="4" cm="1">
        <f t="array" ref="Q158">INDEX(GMW!$A$2:$NF$150,MATCH(1,(GMW!$NE$2:$NE$150=Q$3)*(GMW!$ND$2:$ND$150=Q$4)*(GMW!$NF$2:$NF$150=Q$1),0),$C158-1966)</f>
        <v>2678000</v>
      </c>
      <c r="R158" s="4" cm="1">
        <f t="array" ref="R158">INDEX(GMW!$A$2:$NF$150,MATCH(1,(GMW!$NE$2:$NE$150=R$3)*(GMW!$ND$2:$ND$150=R$4)*(GMW!$NF$2:$NF$150=R$1),0),$C158-1966)</f>
        <v>-1.681932</v>
      </c>
      <c r="S158" s="4" cm="1">
        <f t="array" ref="S158">INDEX(GMW!$A$2:$NF$150,MATCH(1,(GMW!$NE$2:$NE$150=S$3)*(GMW!$ND$2:$ND$150=S$4)*(GMW!$NF$2:$NF$150=S$1),0),$C158-1966)</f>
        <v>523515</v>
      </c>
      <c r="T158" s="4" cm="1">
        <f t="array" ref="T158">INDEX(GMW!$A$2:$NF$150,MATCH(1,(GMW!$NE$2:$NE$150=T$3)*(GMW!$ND$2:$ND$150=T$4)*(GMW!$NF$2:$NF$150=T$1),0),$C158-1966)</f>
        <v>90.5</v>
      </c>
      <c r="U158" s="4" cm="1">
        <f t="array" ref="U158">INDEX(GMW!$A$2:$NF$150,MATCH(1,(GMW!$NE$2:$NE$150=U$3)*(GMW!$ND$2:$ND$150=U$4)*(GMW!$NF$2:$NF$150=U$1),0),$C158-1966)</f>
        <v>162838</v>
      </c>
      <c r="V158" s="4" cm="1">
        <f t="array" ref="V158">INDEX(GMW!$A$2:$NF$150,MATCH(1,(GMW!$NE$2:$NE$150=V$3)*(GMW!$ND$2:$ND$150=V$4)*(GMW!$NF$2:$NF$150=V$1),0),$C158-1966)</f>
        <v>75516</v>
      </c>
      <c r="W158" s="4" cm="1">
        <f t="array" ref="W158">INDEX(GMW!$A$2:$NF$150,MATCH(1,(GMW!$NE$2:$NE$150=W$3)*(GMW!$ND$2:$ND$150=W$4)*(GMW!$NF$2:$NF$150=W$1),0),$C158-1966)</f>
        <v>167478</v>
      </c>
      <c r="X158" s="4" cm="1">
        <f t="array" ref="X158">INDEX(GMW!$A$2:$NF$150,MATCH(1,(GMW!$NE$2:$NE$150=X$3)*(GMW!$ND$2:$ND$150=X$4)*(GMW!$NF$2:$NF$150=X$1),0),$C158-1966)</f>
        <v>100101</v>
      </c>
      <c r="Y158" s="4" cm="1">
        <f t="array" ref="Y158">INDEX(GMW!$A$2:$NF$150,MATCH(1,(GMW!$NE$2:$NE$150=Y$3)*(GMW!$ND$2:$ND$150=Y$4)*(GMW!$NF$2:$NF$150=Y$1),0),$C158-1966)</f>
        <v>85811</v>
      </c>
      <c r="Z158" s="4" cm="1">
        <f t="array" ref="Z158">INDEX(GMW!$A$2:$NF$150,MATCH(1,(GMW!$NE$2:$NE$150=Z$3)*(GMW!$ND$2:$ND$150=Z$4)*(GMW!$NF$2:$NF$150=Z$1),0),$C158-1966)</f>
        <v>45515</v>
      </c>
      <c r="AA158" s="4" cm="1">
        <f t="array" ref="AA158">INDEX(GMW!$A$2:$NF$150,MATCH(1,(GMW!$NE$2:$NE$150=AA$3)*(GMW!$ND$2:$ND$150=AA$4)*(GMW!$NF$2:$NF$150=AA$1),0),$C158-1966)</f>
        <v>544782</v>
      </c>
      <c r="AB158" s="4" cm="1">
        <f t="array" ref="AB158">INDEX(GMW!$A$2:$NF$150,MATCH(1,(GMW!$NE$2:$NE$150=AB$3)*(GMW!$ND$2:$ND$150=AB$4)*(GMW!$NF$2:$NF$150=AB$1),0),$C158-1966)</f>
        <v>30172</v>
      </c>
      <c r="AC158" s="4" cm="1">
        <f t="array" ref="AC158">INDEX(GMW!$A$2:$NF$150,MATCH(1,(GMW!$NE$2:$NE$150=AC$3)*(GMW!$ND$2:$ND$150=AC$4)*(GMW!$NF$2:$NF$150=AC$1),0),$C158-1966)</f>
        <v>31.8</v>
      </c>
      <c r="AD158" s="4" cm="1">
        <f t="array" ref="AD158">INDEX(GMW!$A$2:$NF$150,MATCH(1,(GMW!$NE$2:$NE$150=AD$3)*(GMW!$ND$2:$ND$150=AD$4)*(GMW!$NF$2:$NF$150=AD$1),0),$C158-1966)</f>
        <v>519733.6</v>
      </c>
      <c r="AE158" s="4" cm="1">
        <f t="array" ref="AE158">INDEX(GMW!$A$2:$NF$150,MATCH(1,(GMW!$NE$2:$NE$150=AE$3)*(GMW!$ND$2:$ND$150=AE$4)*(GMW!$NF$2:$NF$150=AE$1),0),$C158-1966)</f>
        <v>41577.269999999997</v>
      </c>
      <c r="AF158" s="4" cm="1">
        <f t="array" ref="AF158">INDEX(GMW!$A$2:$NF$150,MATCH(1,(GMW!$NE$2:$NE$150=AF$3)*(GMW!$ND$2:$ND$150=AF$4)*(GMW!$NF$2:$NF$150=AF$1),0),$C158-1966)</f>
        <v>2678000</v>
      </c>
      <c r="AG158" s="4" cm="1">
        <f t="array" ref="AG158">INDEX(GMW!$A$2:$NF$150,MATCH(1,(GMW!$NE$2:$NE$150=AG$3)*(GMW!$ND$2:$ND$150=AG$4)*(GMW!$NF$2:$NF$150=AG$1),0),$C158-1966)</f>
        <v>-1.681932</v>
      </c>
      <c r="AH158" s="4" cm="1">
        <f t="array" ref="AH158">INDEX(GMW!$A$2:$NF$150,MATCH(1,(GMW!$NE$2:$NE$150=AH$3)*(GMW!$ND$2:$ND$150=AH$4)*(GMW!$NF$2:$NF$150=AH$1),0),$C158-1966)</f>
        <v>523515</v>
      </c>
      <c r="AI158" s="4" cm="1">
        <f t="array" ref="AI158">INDEX(GMW!$A$2:$NF$150,MATCH(1,(GMW!$NE$2:$NE$150=AI$3)*(GMW!$ND$2:$ND$150=AI$4)*(GMW!$NF$2:$NF$150=AI$1),0),$C158-1966)</f>
        <v>90.5</v>
      </c>
      <c r="AJ158" s="4" cm="1">
        <f t="array" ref="AJ158">INDEX(GMW!$A$2:$NF$150,MATCH(1,(GMW!$NE$2:$NE$150=AJ$3)*(GMW!$ND$2:$ND$150=AJ$4)*(GMW!$NF$2:$NF$150=AJ$1),0),$C158-1966)</f>
        <v>162838</v>
      </c>
      <c r="AK158" s="4" cm="1">
        <f t="array" ref="AK158">INDEX(GMW!$A$2:$NF$150,MATCH(1,(GMW!$NE$2:$NE$150=AK$3)*(GMW!$ND$2:$ND$150=AK$4)*(GMW!$NF$2:$NF$150=AK$1),0),$C158-1966)</f>
        <v>75516</v>
      </c>
      <c r="AL158" s="4" cm="1">
        <f t="array" ref="AL158">INDEX(GMW!$A$2:$NF$150,MATCH(1,(GMW!$NE$2:$NE$150=AL$3)*(GMW!$ND$2:$ND$150=AL$4)*(GMW!$NF$2:$NF$150=AL$1),0),$C158-1966)</f>
        <v>167478</v>
      </c>
      <c r="AM158" s="4" cm="1">
        <f t="array" ref="AM158">INDEX(GMW!$A$2:$NF$150,MATCH(1,(GMW!$NE$2:$NE$150=AM$3)*(GMW!$ND$2:$ND$150=AM$4)*(GMW!$NF$2:$NF$150=AM$1),0),$C158-1966)</f>
        <v>100101</v>
      </c>
      <c r="AN158" s="4" cm="1">
        <f t="array" ref="AN158">INDEX(GMW!$A$2:$NF$150,MATCH(1,(GMW!$NE$2:$NE$150=AN$3)*(GMW!$ND$2:$ND$150=AN$4)*(GMW!$NF$2:$NF$150=AN$1),0),$C158-1966)</f>
        <v>85811</v>
      </c>
      <c r="AO158" s="4" cm="1">
        <f t="array" ref="AO158">INDEX(GMW!$A$2:$NF$150,MATCH(1,(GMW!$NE$2:$NE$150=AO$3)*(GMW!$ND$2:$ND$150=AO$4)*(GMW!$NF$2:$NF$150=AO$1),0),$C158-1966)</f>
        <v>45515</v>
      </c>
      <c r="AP158" s="4" cm="1">
        <f t="array" ref="AP158">INDEX(GMW!$A$2:$NF$150,MATCH(1,(GMW!$NE$2:$NE$150=AP$3)*(GMW!$ND$2:$ND$150=AP$4)*(GMW!$NF$2:$NF$150=AP$1),0),$C158-1966)</f>
        <v>544782</v>
      </c>
      <c r="AQ158" s="4" cm="1">
        <f t="array" ref="AQ158">INDEX(GMW!$A$2:$NF$150,MATCH(1,(GMW!$NE$2:$NE$150=AQ$3)*(GMW!$ND$2:$ND$150=AQ$4)*(GMW!$NF$2:$NF$150=AQ$1),0),$C158-1966)</f>
        <v>30172</v>
      </c>
      <c r="AR158" s="4" cm="1">
        <f t="array" ref="AR158">INDEX(GMW!$A$2:$NF$150,MATCH(1,(GMW!$NE$2:$NE$150=AR$3)*(GMW!$ND$2:$ND$150=AR$4)*(GMW!$NF$2:$NF$150=AR$1),0),$C158-1966)</f>
        <v>31.8</v>
      </c>
      <c r="AS158" s="4" cm="1">
        <f t="array" ref="AS158">INDEX(GMW!$A$2:$NF$150,MATCH(1,(GMW!$NE$2:$NE$150=AS$3)*(GMW!$ND$2:$ND$150=AS$4)*(GMW!$NF$2:$NF$150=AS$1),0),$C158-1966)</f>
        <v>519733.6</v>
      </c>
      <c r="AT158" s="4" cm="1">
        <f t="array" ref="AT158">INDEX(GMW!$A$2:$NF$150,MATCH(1,(GMW!$NE$2:$NE$150=AT$3)*(GMW!$ND$2:$ND$150=AT$4)*(GMW!$NF$2:$NF$150=AT$1),0),$C158-1966)</f>
        <v>41577.269999999997</v>
      </c>
      <c r="AU158" s="4" cm="1">
        <f t="array" ref="AU158">INDEX(GMW!$A$2:$NF$150,MATCH(1,(GMW!$NE$2:$NE$150=AU$3)*(GMW!$ND$2:$ND$150=AU$4)*(GMW!$NF$2:$NF$150=AU$1),0),$C158-1966)</f>
        <v>2678000</v>
      </c>
      <c r="AV158" s="4" cm="1">
        <f t="array" ref="AV158">INDEX(GMW!$A$2:$NF$150,MATCH(1,(GMW!$NE$2:$NE$150=AV$3)*(GMW!$ND$2:$ND$150=AV$4)*(GMW!$NF$2:$NF$150=AV$1),0),$C158-1966)</f>
        <v>-1.681932</v>
      </c>
    </row>
    <row r="159" spans="1:48" x14ac:dyDescent="0.25">
      <c r="A159" s="4">
        <v>2011</v>
      </c>
      <c r="B159" s="4">
        <f t="shared" si="8"/>
        <v>2011</v>
      </c>
      <c r="C159" s="4">
        <f t="shared" si="7"/>
        <v>2125</v>
      </c>
      <c r="D159" s="4" cm="1">
        <f t="array" ref="D159">INDEX(GMW!$A$2:$NF$150,MATCH(1,(GMW!$NE$2:$NE$150=D$3)*(GMW!$ND$2:$ND$150=D$4)*(GMW!$NF$2:$NF$150=D$1),0),$C159-1966)</f>
        <v>524955</v>
      </c>
      <c r="E159" s="4" cm="1">
        <f t="array" ref="E159">INDEX(GMW!$A$2:$NF$150,MATCH(1,(GMW!$NE$2:$NE$150=E$3)*(GMW!$ND$2:$ND$150=E$4)*(GMW!$NF$2:$NF$150=E$1),0),$C159-1966)</f>
        <v>91.833340000000007</v>
      </c>
      <c r="F159" s="4" cm="1">
        <f t="array" ref="F159">INDEX(GMW!$A$2:$NF$150,MATCH(1,(GMW!$NE$2:$NE$150=F$3)*(GMW!$ND$2:$ND$150=F$4)*(GMW!$NF$2:$NF$150=F$1),0),$C159-1966)</f>
        <v>169542</v>
      </c>
      <c r="G159" s="4" cm="1">
        <f t="array" ref="G159">INDEX(GMW!$A$2:$NF$150,MATCH(1,(GMW!$NE$2:$NE$150=G$3)*(GMW!$ND$2:$ND$150=G$4)*(GMW!$NF$2:$NF$150=G$1),0),$C159-1966)</f>
        <v>82899</v>
      </c>
      <c r="H159" s="4" cm="1">
        <f t="array" ref="H159">INDEX(GMW!$A$2:$NF$150,MATCH(1,(GMW!$NE$2:$NE$150=H$3)*(GMW!$ND$2:$ND$150=H$4)*(GMW!$NF$2:$NF$150=H$1),0),$C159-1966)</f>
        <v>163551</v>
      </c>
      <c r="I159" s="4" cm="1">
        <f t="array" ref="I159">INDEX(GMW!$A$2:$NF$150,MATCH(1,(GMW!$NE$2:$NE$150=I$3)*(GMW!$ND$2:$ND$150=I$4)*(GMW!$NF$2:$NF$150=I$1),0),$C159-1966)</f>
        <v>97424</v>
      </c>
      <c r="J159" s="4" cm="1">
        <f t="array" ref="J159">INDEX(GMW!$A$2:$NF$150,MATCH(1,(GMW!$NE$2:$NE$150=J$3)*(GMW!$ND$2:$ND$150=J$4)*(GMW!$NF$2:$NF$150=J$1),0),$C159-1966)</f>
        <v>82496</v>
      </c>
      <c r="K159" s="4" cm="1">
        <f t="array" ref="K159">INDEX(GMW!$A$2:$NF$150,MATCH(1,(GMW!$NE$2:$NE$150=K$3)*(GMW!$ND$2:$ND$150=K$4)*(GMW!$NF$2:$NF$150=K$1),0),$C159-1966)</f>
        <v>42330</v>
      </c>
      <c r="L159" s="4" cm="1">
        <f t="array" ref="L159">INDEX(GMW!$A$2:$NF$150,MATCH(1,(GMW!$NE$2:$NE$150=L$3)*(GMW!$ND$2:$ND$150=L$4)*(GMW!$NF$2:$NF$150=L$1),0),$C159-1966)</f>
        <v>545464.80000000005</v>
      </c>
      <c r="M159" s="4" cm="1">
        <f t="array" ref="M159">INDEX(GMW!$A$2:$NF$150,MATCH(1,(GMW!$NE$2:$NE$150=M$3)*(GMW!$ND$2:$ND$150=M$4)*(GMW!$NF$2:$NF$150=M$1),0),$C159-1966)</f>
        <v>30247.99</v>
      </c>
      <c r="N159" s="4" cm="1">
        <f t="array" ref="N159">INDEX(GMW!$A$2:$NF$150,MATCH(1,(GMW!$NE$2:$NE$150=N$3)*(GMW!$ND$2:$ND$150=N$4)*(GMW!$NF$2:$NF$150=N$1),0),$C159-1966)</f>
        <v>31.7</v>
      </c>
      <c r="O159" s="4" cm="1">
        <f t="array" ref="O159">INDEX(GMW!$A$2:$NF$150,MATCH(1,(GMW!$NE$2:$NE$150=O$3)*(GMW!$ND$2:$ND$150=O$4)*(GMW!$NF$2:$NF$150=O$1),0),$C159-1966)</f>
        <v>521714.2</v>
      </c>
      <c r="P159" s="4" cm="1">
        <f t="array" ref="P159">INDEX(GMW!$A$2:$NF$150,MATCH(1,(GMW!$NE$2:$NE$150=P$3)*(GMW!$ND$2:$ND$150=P$4)*(GMW!$NF$2:$NF$150=P$1),0),$C159-1966)</f>
        <v>41643.96</v>
      </c>
      <c r="Q159" s="4" cm="1">
        <f t="array" ref="Q159">INDEX(GMW!$A$2:$NF$150,MATCH(1,(GMW!$NE$2:$NE$150=Q$3)*(GMW!$ND$2:$ND$150=Q$4)*(GMW!$NF$2:$NF$150=Q$1),0),$C159-1966)</f>
        <v>2685500</v>
      </c>
      <c r="R159" s="4" cm="1">
        <f t="array" ref="R159">INDEX(GMW!$A$2:$NF$150,MATCH(1,(GMW!$NE$2:$NE$150=R$3)*(GMW!$ND$2:$ND$150=R$4)*(GMW!$NF$2:$NF$150=R$1),0),$C159-1966)</f>
        <v>-1.681975</v>
      </c>
      <c r="S159" s="4" cm="1">
        <f t="array" ref="S159">INDEX(GMW!$A$2:$NF$150,MATCH(1,(GMW!$NE$2:$NE$150=S$3)*(GMW!$ND$2:$ND$150=S$4)*(GMW!$NF$2:$NF$150=S$1),0),$C159-1966)</f>
        <v>524955</v>
      </c>
      <c r="T159" s="4" cm="1">
        <f t="array" ref="T159">INDEX(GMW!$A$2:$NF$150,MATCH(1,(GMW!$NE$2:$NE$150=T$3)*(GMW!$ND$2:$ND$150=T$4)*(GMW!$NF$2:$NF$150=T$1),0),$C159-1966)</f>
        <v>91.833340000000007</v>
      </c>
      <c r="U159" s="4" cm="1">
        <f t="array" ref="U159">INDEX(GMW!$A$2:$NF$150,MATCH(1,(GMW!$NE$2:$NE$150=U$3)*(GMW!$ND$2:$ND$150=U$4)*(GMW!$NF$2:$NF$150=U$1),0),$C159-1966)</f>
        <v>169542</v>
      </c>
      <c r="V159" s="4" cm="1">
        <f t="array" ref="V159">INDEX(GMW!$A$2:$NF$150,MATCH(1,(GMW!$NE$2:$NE$150=V$3)*(GMW!$ND$2:$ND$150=V$4)*(GMW!$NF$2:$NF$150=V$1),0),$C159-1966)</f>
        <v>82899</v>
      </c>
      <c r="W159" s="4" cm="1">
        <f t="array" ref="W159">INDEX(GMW!$A$2:$NF$150,MATCH(1,(GMW!$NE$2:$NE$150=W$3)*(GMW!$ND$2:$ND$150=W$4)*(GMW!$NF$2:$NF$150=W$1),0),$C159-1966)</f>
        <v>163551</v>
      </c>
      <c r="X159" s="4" cm="1">
        <f t="array" ref="X159">INDEX(GMW!$A$2:$NF$150,MATCH(1,(GMW!$NE$2:$NE$150=X$3)*(GMW!$ND$2:$ND$150=X$4)*(GMW!$NF$2:$NF$150=X$1),0),$C159-1966)</f>
        <v>97424</v>
      </c>
      <c r="Y159" s="4" cm="1">
        <f t="array" ref="Y159">INDEX(GMW!$A$2:$NF$150,MATCH(1,(GMW!$NE$2:$NE$150=Y$3)*(GMW!$ND$2:$ND$150=Y$4)*(GMW!$NF$2:$NF$150=Y$1),0),$C159-1966)</f>
        <v>82496</v>
      </c>
      <c r="Z159" s="4" cm="1">
        <f t="array" ref="Z159">INDEX(GMW!$A$2:$NF$150,MATCH(1,(GMW!$NE$2:$NE$150=Z$3)*(GMW!$ND$2:$ND$150=Z$4)*(GMW!$NF$2:$NF$150=Z$1),0),$C159-1966)</f>
        <v>42330</v>
      </c>
      <c r="AA159" s="4" cm="1">
        <f t="array" ref="AA159">INDEX(GMW!$A$2:$NF$150,MATCH(1,(GMW!$NE$2:$NE$150=AA$3)*(GMW!$ND$2:$ND$150=AA$4)*(GMW!$NF$2:$NF$150=AA$1),0),$C159-1966)</f>
        <v>545464.80000000005</v>
      </c>
      <c r="AB159" s="4" cm="1">
        <f t="array" ref="AB159">INDEX(GMW!$A$2:$NF$150,MATCH(1,(GMW!$NE$2:$NE$150=AB$3)*(GMW!$ND$2:$ND$150=AB$4)*(GMW!$NF$2:$NF$150=AB$1),0),$C159-1966)</f>
        <v>30247.99</v>
      </c>
      <c r="AC159" s="4" cm="1">
        <f t="array" ref="AC159">INDEX(GMW!$A$2:$NF$150,MATCH(1,(GMW!$NE$2:$NE$150=AC$3)*(GMW!$ND$2:$ND$150=AC$4)*(GMW!$NF$2:$NF$150=AC$1),0),$C159-1966)</f>
        <v>31.7</v>
      </c>
      <c r="AD159" s="4" cm="1">
        <f t="array" ref="AD159">INDEX(GMW!$A$2:$NF$150,MATCH(1,(GMW!$NE$2:$NE$150=AD$3)*(GMW!$ND$2:$ND$150=AD$4)*(GMW!$NF$2:$NF$150=AD$1),0),$C159-1966)</f>
        <v>521714.2</v>
      </c>
      <c r="AE159" s="4" cm="1">
        <f t="array" ref="AE159">INDEX(GMW!$A$2:$NF$150,MATCH(1,(GMW!$NE$2:$NE$150=AE$3)*(GMW!$ND$2:$ND$150=AE$4)*(GMW!$NF$2:$NF$150=AE$1),0),$C159-1966)</f>
        <v>41643.96</v>
      </c>
      <c r="AF159" s="4" cm="1">
        <f t="array" ref="AF159">INDEX(GMW!$A$2:$NF$150,MATCH(1,(GMW!$NE$2:$NE$150=AF$3)*(GMW!$ND$2:$ND$150=AF$4)*(GMW!$NF$2:$NF$150=AF$1),0),$C159-1966)</f>
        <v>2685500</v>
      </c>
      <c r="AG159" s="4" cm="1">
        <f t="array" ref="AG159">INDEX(GMW!$A$2:$NF$150,MATCH(1,(GMW!$NE$2:$NE$150=AG$3)*(GMW!$ND$2:$ND$150=AG$4)*(GMW!$NF$2:$NF$150=AG$1),0),$C159-1966)</f>
        <v>-1.681975</v>
      </c>
      <c r="AH159" s="4" cm="1">
        <f t="array" ref="AH159">INDEX(GMW!$A$2:$NF$150,MATCH(1,(GMW!$NE$2:$NE$150=AH$3)*(GMW!$ND$2:$ND$150=AH$4)*(GMW!$NF$2:$NF$150=AH$1),0),$C159-1966)</f>
        <v>524955</v>
      </c>
      <c r="AI159" s="4" cm="1">
        <f t="array" ref="AI159">INDEX(GMW!$A$2:$NF$150,MATCH(1,(GMW!$NE$2:$NE$150=AI$3)*(GMW!$ND$2:$ND$150=AI$4)*(GMW!$NF$2:$NF$150=AI$1),0),$C159-1966)</f>
        <v>91.833340000000007</v>
      </c>
      <c r="AJ159" s="4" cm="1">
        <f t="array" ref="AJ159">INDEX(GMW!$A$2:$NF$150,MATCH(1,(GMW!$NE$2:$NE$150=AJ$3)*(GMW!$ND$2:$ND$150=AJ$4)*(GMW!$NF$2:$NF$150=AJ$1),0),$C159-1966)</f>
        <v>169542</v>
      </c>
      <c r="AK159" s="4" cm="1">
        <f t="array" ref="AK159">INDEX(GMW!$A$2:$NF$150,MATCH(1,(GMW!$NE$2:$NE$150=AK$3)*(GMW!$ND$2:$ND$150=AK$4)*(GMW!$NF$2:$NF$150=AK$1),0),$C159-1966)</f>
        <v>82899</v>
      </c>
      <c r="AL159" s="4" cm="1">
        <f t="array" ref="AL159">INDEX(GMW!$A$2:$NF$150,MATCH(1,(GMW!$NE$2:$NE$150=AL$3)*(GMW!$ND$2:$ND$150=AL$4)*(GMW!$NF$2:$NF$150=AL$1),0),$C159-1966)</f>
        <v>163551</v>
      </c>
      <c r="AM159" s="4" cm="1">
        <f t="array" ref="AM159">INDEX(GMW!$A$2:$NF$150,MATCH(1,(GMW!$NE$2:$NE$150=AM$3)*(GMW!$ND$2:$ND$150=AM$4)*(GMW!$NF$2:$NF$150=AM$1),0),$C159-1966)</f>
        <v>97424</v>
      </c>
      <c r="AN159" s="4" cm="1">
        <f t="array" ref="AN159">INDEX(GMW!$A$2:$NF$150,MATCH(1,(GMW!$NE$2:$NE$150=AN$3)*(GMW!$ND$2:$ND$150=AN$4)*(GMW!$NF$2:$NF$150=AN$1),0),$C159-1966)</f>
        <v>82496</v>
      </c>
      <c r="AO159" s="4" cm="1">
        <f t="array" ref="AO159">INDEX(GMW!$A$2:$NF$150,MATCH(1,(GMW!$NE$2:$NE$150=AO$3)*(GMW!$ND$2:$ND$150=AO$4)*(GMW!$NF$2:$NF$150=AO$1),0),$C159-1966)</f>
        <v>42330</v>
      </c>
      <c r="AP159" s="4" cm="1">
        <f t="array" ref="AP159">INDEX(GMW!$A$2:$NF$150,MATCH(1,(GMW!$NE$2:$NE$150=AP$3)*(GMW!$ND$2:$ND$150=AP$4)*(GMW!$NF$2:$NF$150=AP$1),0),$C159-1966)</f>
        <v>545464.80000000005</v>
      </c>
      <c r="AQ159" s="4" cm="1">
        <f t="array" ref="AQ159">INDEX(GMW!$A$2:$NF$150,MATCH(1,(GMW!$NE$2:$NE$150=AQ$3)*(GMW!$ND$2:$ND$150=AQ$4)*(GMW!$NF$2:$NF$150=AQ$1),0),$C159-1966)</f>
        <v>30247.99</v>
      </c>
      <c r="AR159" s="4" cm="1">
        <f t="array" ref="AR159">INDEX(GMW!$A$2:$NF$150,MATCH(1,(GMW!$NE$2:$NE$150=AR$3)*(GMW!$ND$2:$ND$150=AR$4)*(GMW!$NF$2:$NF$150=AR$1),0),$C159-1966)</f>
        <v>31.7</v>
      </c>
      <c r="AS159" s="4" cm="1">
        <f t="array" ref="AS159">INDEX(GMW!$A$2:$NF$150,MATCH(1,(GMW!$NE$2:$NE$150=AS$3)*(GMW!$ND$2:$ND$150=AS$4)*(GMW!$NF$2:$NF$150=AS$1),0),$C159-1966)</f>
        <v>521714.2</v>
      </c>
      <c r="AT159" s="4" cm="1">
        <f t="array" ref="AT159">INDEX(GMW!$A$2:$NF$150,MATCH(1,(GMW!$NE$2:$NE$150=AT$3)*(GMW!$ND$2:$ND$150=AT$4)*(GMW!$NF$2:$NF$150=AT$1),0),$C159-1966)</f>
        <v>41643.96</v>
      </c>
      <c r="AU159" s="4" cm="1">
        <f t="array" ref="AU159">INDEX(GMW!$A$2:$NF$150,MATCH(1,(GMW!$NE$2:$NE$150=AU$3)*(GMW!$ND$2:$ND$150=AU$4)*(GMW!$NF$2:$NF$150=AU$1),0),$C159-1966)</f>
        <v>2685500</v>
      </c>
      <c r="AV159" s="4" cm="1">
        <f t="array" ref="AV159">INDEX(GMW!$A$2:$NF$150,MATCH(1,(GMW!$NE$2:$NE$150=AV$3)*(GMW!$ND$2:$ND$150=AV$4)*(GMW!$NF$2:$NF$150=AV$1),0),$C159-1966)</f>
        <v>-1.681975</v>
      </c>
    </row>
    <row r="160" spans="1:48" x14ac:dyDescent="0.25">
      <c r="B160" s="4">
        <f t="shared" si="8"/>
        <v>2011</v>
      </c>
      <c r="C160" s="4">
        <f t="shared" si="7"/>
        <v>2126</v>
      </c>
      <c r="D160" s="4" cm="1">
        <f t="array" ref="D160">INDEX(GMW!$A$2:$NF$150,MATCH(1,(GMW!$NE$2:$NE$150=D$3)*(GMW!$ND$2:$ND$150=D$4)*(GMW!$NF$2:$NF$150=D$1),0),$C160-1966)</f>
        <v>525418</v>
      </c>
      <c r="E160" s="4" cm="1">
        <f t="array" ref="E160">INDEX(GMW!$A$2:$NF$150,MATCH(1,(GMW!$NE$2:$NE$150=E$3)*(GMW!$ND$2:$ND$150=E$4)*(GMW!$NF$2:$NF$150=E$1),0),$C160-1966)</f>
        <v>93.3</v>
      </c>
      <c r="F160" s="4" cm="1">
        <f t="array" ref="F160">INDEX(GMW!$A$2:$NF$150,MATCH(1,(GMW!$NE$2:$NE$150=F$3)*(GMW!$ND$2:$ND$150=F$4)*(GMW!$NF$2:$NF$150=F$1),0),$C160-1966)</f>
        <v>167089</v>
      </c>
      <c r="G160" s="4" cm="1">
        <f t="array" ref="G160">INDEX(GMW!$A$2:$NF$150,MATCH(1,(GMW!$NE$2:$NE$150=G$3)*(GMW!$ND$2:$ND$150=G$4)*(GMW!$NF$2:$NF$150=G$1),0),$C160-1966)</f>
        <v>77247</v>
      </c>
      <c r="H160" s="4" cm="1">
        <f t="array" ref="H160">INDEX(GMW!$A$2:$NF$150,MATCH(1,(GMW!$NE$2:$NE$150=H$3)*(GMW!$ND$2:$ND$150=H$4)*(GMW!$NF$2:$NF$150=H$1),0),$C160-1966)</f>
        <v>168441</v>
      </c>
      <c r="I160" s="4" cm="1">
        <f t="array" ref="I160">INDEX(GMW!$A$2:$NF$150,MATCH(1,(GMW!$NE$2:$NE$150=I$3)*(GMW!$ND$2:$ND$150=I$4)*(GMW!$NF$2:$NF$150=I$1),0),$C160-1966)</f>
        <v>100107</v>
      </c>
      <c r="J160" s="4" cm="1">
        <f t="array" ref="J160">INDEX(GMW!$A$2:$NF$150,MATCH(1,(GMW!$NE$2:$NE$150=J$3)*(GMW!$ND$2:$ND$150=J$4)*(GMW!$NF$2:$NF$150=J$1),0),$C160-1966)</f>
        <v>81610</v>
      </c>
      <c r="K160" s="4" cm="1">
        <f t="array" ref="K160">INDEX(GMW!$A$2:$NF$150,MATCH(1,(GMW!$NE$2:$NE$150=K$3)*(GMW!$ND$2:$ND$150=K$4)*(GMW!$NF$2:$NF$150=K$1),0),$C160-1966)</f>
        <v>44742</v>
      </c>
      <c r="L160" s="4" cm="1">
        <f t="array" ref="L160">INDEX(GMW!$A$2:$NF$150,MATCH(1,(GMW!$NE$2:$NE$150=L$3)*(GMW!$ND$2:$ND$150=L$4)*(GMW!$NF$2:$NF$150=L$1),0),$C160-1966)</f>
        <v>542351.6</v>
      </c>
      <c r="M160" s="4" cm="1">
        <f t="array" ref="M160">INDEX(GMW!$A$2:$NF$150,MATCH(1,(GMW!$NE$2:$NE$150=M$3)*(GMW!$ND$2:$ND$150=M$4)*(GMW!$NF$2:$NF$150=M$1),0),$C160-1966)</f>
        <v>30291.69</v>
      </c>
      <c r="N160" s="4" cm="1">
        <f t="array" ref="N160">INDEX(GMW!$A$2:$NF$150,MATCH(1,(GMW!$NE$2:$NE$150=N$3)*(GMW!$ND$2:$ND$150=N$4)*(GMW!$NF$2:$NF$150=N$1),0),$C160-1966)</f>
        <v>31.3</v>
      </c>
      <c r="O160" s="4" cm="1">
        <f t="array" ref="O160">INDEX(GMW!$A$2:$NF$150,MATCH(1,(GMW!$NE$2:$NE$150=O$3)*(GMW!$ND$2:$ND$150=O$4)*(GMW!$NF$2:$NF$150=O$1),0),$C160-1966)</f>
        <v>523693.2</v>
      </c>
      <c r="P160" s="4" cm="1">
        <f t="array" ref="P160">INDEX(GMW!$A$2:$NF$150,MATCH(1,(GMW!$NE$2:$NE$150=P$3)*(GMW!$ND$2:$ND$150=P$4)*(GMW!$NF$2:$NF$150=P$1),0),$C160-1966)</f>
        <v>41710.660000000003</v>
      </c>
      <c r="Q160" s="4" cm="1">
        <f t="array" ref="Q160">INDEX(GMW!$A$2:$NF$150,MATCH(1,(GMW!$NE$2:$NE$150=Q$3)*(GMW!$ND$2:$ND$150=Q$4)*(GMW!$NF$2:$NF$150=Q$1),0),$C160-1966)</f>
        <v>2693000</v>
      </c>
      <c r="R160" s="4" cm="1">
        <f t="array" ref="R160">INDEX(GMW!$A$2:$NF$150,MATCH(1,(GMW!$NE$2:$NE$150=R$3)*(GMW!$ND$2:$ND$150=R$4)*(GMW!$NF$2:$NF$150=R$1),0),$C160-1966)</f>
        <v>-1.682018</v>
      </c>
      <c r="S160" s="4" cm="1">
        <f t="array" ref="S160">INDEX(GMW!$A$2:$NF$150,MATCH(1,(GMW!$NE$2:$NE$150=S$3)*(GMW!$ND$2:$ND$150=S$4)*(GMW!$NF$2:$NF$150=S$1),0),$C160-1966)</f>
        <v>525418</v>
      </c>
      <c r="T160" s="4" cm="1">
        <f t="array" ref="T160">INDEX(GMW!$A$2:$NF$150,MATCH(1,(GMW!$NE$2:$NE$150=T$3)*(GMW!$ND$2:$ND$150=T$4)*(GMW!$NF$2:$NF$150=T$1),0),$C160-1966)</f>
        <v>93.3</v>
      </c>
      <c r="U160" s="4" cm="1">
        <f t="array" ref="U160">INDEX(GMW!$A$2:$NF$150,MATCH(1,(GMW!$NE$2:$NE$150=U$3)*(GMW!$ND$2:$ND$150=U$4)*(GMW!$NF$2:$NF$150=U$1),0),$C160-1966)</f>
        <v>167089</v>
      </c>
      <c r="V160" s="4" cm="1">
        <f t="array" ref="V160">INDEX(GMW!$A$2:$NF$150,MATCH(1,(GMW!$NE$2:$NE$150=V$3)*(GMW!$ND$2:$ND$150=V$4)*(GMW!$NF$2:$NF$150=V$1),0),$C160-1966)</f>
        <v>77247</v>
      </c>
      <c r="W160" s="4" cm="1">
        <f t="array" ref="W160">INDEX(GMW!$A$2:$NF$150,MATCH(1,(GMW!$NE$2:$NE$150=W$3)*(GMW!$ND$2:$ND$150=W$4)*(GMW!$NF$2:$NF$150=W$1),0),$C160-1966)</f>
        <v>168441</v>
      </c>
      <c r="X160" s="4" cm="1">
        <f t="array" ref="X160">INDEX(GMW!$A$2:$NF$150,MATCH(1,(GMW!$NE$2:$NE$150=X$3)*(GMW!$ND$2:$ND$150=X$4)*(GMW!$NF$2:$NF$150=X$1),0),$C160-1966)</f>
        <v>100107</v>
      </c>
      <c r="Y160" s="4" cm="1">
        <f t="array" ref="Y160">INDEX(GMW!$A$2:$NF$150,MATCH(1,(GMW!$NE$2:$NE$150=Y$3)*(GMW!$ND$2:$ND$150=Y$4)*(GMW!$NF$2:$NF$150=Y$1),0),$C160-1966)</f>
        <v>81610</v>
      </c>
      <c r="Z160" s="4" cm="1">
        <f t="array" ref="Z160">INDEX(GMW!$A$2:$NF$150,MATCH(1,(GMW!$NE$2:$NE$150=Z$3)*(GMW!$ND$2:$ND$150=Z$4)*(GMW!$NF$2:$NF$150=Z$1),0),$C160-1966)</f>
        <v>44742</v>
      </c>
      <c r="AA160" s="4" cm="1">
        <f t="array" ref="AA160">INDEX(GMW!$A$2:$NF$150,MATCH(1,(GMW!$NE$2:$NE$150=AA$3)*(GMW!$ND$2:$ND$150=AA$4)*(GMW!$NF$2:$NF$150=AA$1),0),$C160-1966)</f>
        <v>542351.6</v>
      </c>
      <c r="AB160" s="4" cm="1">
        <f t="array" ref="AB160">INDEX(GMW!$A$2:$NF$150,MATCH(1,(GMW!$NE$2:$NE$150=AB$3)*(GMW!$ND$2:$ND$150=AB$4)*(GMW!$NF$2:$NF$150=AB$1),0),$C160-1966)</f>
        <v>30291.69</v>
      </c>
      <c r="AC160" s="4" cm="1">
        <f t="array" ref="AC160">INDEX(GMW!$A$2:$NF$150,MATCH(1,(GMW!$NE$2:$NE$150=AC$3)*(GMW!$ND$2:$ND$150=AC$4)*(GMW!$NF$2:$NF$150=AC$1),0),$C160-1966)</f>
        <v>31.3</v>
      </c>
      <c r="AD160" s="4" cm="1">
        <f t="array" ref="AD160">INDEX(GMW!$A$2:$NF$150,MATCH(1,(GMW!$NE$2:$NE$150=AD$3)*(GMW!$ND$2:$ND$150=AD$4)*(GMW!$NF$2:$NF$150=AD$1),0),$C160-1966)</f>
        <v>523693.2</v>
      </c>
      <c r="AE160" s="4" cm="1">
        <f t="array" ref="AE160">INDEX(GMW!$A$2:$NF$150,MATCH(1,(GMW!$NE$2:$NE$150=AE$3)*(GMW!$ND$2:$ND$150=AE$4)*(GMW!$NF$2:$NF$150=AE$1),0),$C160-1966)</f>
        <v>41710.660000000003</v>
      </c>
      <c r="AF160" s="4" cm="1">
        <f t="array" ref="AF160">INDEX(GMW!$A$2:$NF$150,MATCH(1,(GMW!$NE$2:$NE$150=AF$3)*(GMW!$ND$2:$ND$150=AF$4)*(GMW!$NF$2:$NF$150=AF$1),0),$C160-1966)</f>
        <v>2693000</v>
      </c>
      <c r="AG160" s="4" cm="1">
        <f t="array" ref="AG160">INDEX(GMW!$A$2:$NF$150,MATCH(1,(GMW!$NE$2:$NE$150=AG$3)*(GMW!$ND$2:$ND$150=AG$4)*(GMW!$NF$2:$NF$150=AG$1),0),$C160-1966)</f>
        <v>-1.682018</v>
      </c>
      <c r="AH160" s="4" cm="1">
        <f t="array" ref="AH160">INDEX(GMW!$A$2:$NF$150,MATCH(1,(GMW!$NE$2:$NE$150=AH$3)*(GMW!$ND$2:$ND$150=AH$4)*(GMW!$NF$2:$NF$150=AH$1),0),$C160-1966)</f>
        <v>525418</v>
      </c>
      <c r="AI160" s="4" cm="1">
        <f t="array" ref="AI160">INDEX(GMW!$A$2:$NF$150,MATCH(1,(GMW!$NE$2:$NE$150=AI$3)*(GMW!$ND$2:$ND$150=AI$4)*(GMW!$NF$2:$NF$150=AI$1),0),$C160-1966)</f>
        <v>93.3</v>
      </c>
      <c r="AJ160" s="4" cm="1">
        <f t="array" ref="AJ160">INDEX(GMW!$A$2:$NF$150,MATCH(1,(GMW!$NE$2:$NE$150=AJ$3)*(GMW!$ND$2:$ND$150=AJ$4)*(GMW!$NF$2:$NF$150=AJ$1),0),$C160-1966)</f>
        <v>167089</v>
      </c>
      <c r="AK160" s="4" cm="1">
        <f t="array" ref="AK160">INDEX(GMW!$A$2:$NF$150,MATCH(1,(GMW!$NE$2:$NE$150=AK$3)*(GMW!$ND$2:$ND$150=AK$4)*(GMW!$NF$2:$NF$150=AK$1),0),$C160-1966)</f>
        <v>77247</v>
      </c>
      <c r="AL160" s="4" cm="1">
        <f t="array" ref="AL160">INDEX(GMW!$A$2:$NF$150,MATCH(1,(GMW!$NE$2:$NE$150=AL$3)*(GMW!$ND$2:$ND$150=AL$4)*(GMW!$NF$2:$NF$150=AL$1),0),$C160-1966)</f>
        <v>168441</v>
      </c>
      <c r="AM160" s="4" cm="1">
        <f t="array" ref="AM160">INDEX(GMW!$A$2:$NF$150,MATCH(1,(GMW!$NE$2:$NE$150=AM$3)*(GMW!$ND$2:$ND$150=AM$4)*(GMW!$NF$2:$NF$150=AM$1),0),$C160-1966)</f>
        <v>100107</v>
      </c>
      <c r="AN160" s="4" cm="1">
        <f t="array" ref="AN160">INDEX(GMW!$A$2:$NF$150,MATCH(1,(GMW!$NE$2:$NE$150=AN$3)*(GMW!$ND$2:$ND$150=AN$4)*(GMW!$NF$2:$NF$150=AN$1),0),$C160-1966)</f>
        <v>81610</v>
      </c>
      <c r="AO160" s="4" cm="1">
        <f t="array" ref="AO160">INDEX(GMW!$A$2:$NF$150,MATCH(1,(GMW!$NE$2:$NE$150=AO$3)*(GMW!$ND$2:$ND$150=AO$4)*(GMW!$NF$2:$NF$150=AO$1),0),$C160-1966)</f>
        <v>44742</v>
      </c>
      <c r="AP160" s="4" cm="1">
        <f t="array" ref="AP160">INDEX(GMW!$A$2:$NF$150,MATCH(1,(GMW!$NE$2:$NE$150=AP$3)*(GMW!$ND$2:$ND$150=AP$4)*(GMW!$NF$2:$NF$150=AP$1),0),$C160-1966)</f>
        <v>542351.6</v>
      </c>
      <c r="AQ160" s="4" cm="1">
        <f t="array" ref="AQ160">INDEX(GMW!$A$2:$NF$150,MATCH(1,(GMW!$NE$2:$NE$150=AQ$3)*(GMW!$ND$2:$ND$150=AQ$4)*(GMW!$NF$2:$NF$150=AQ$1),0),$C160-1966)</f>
        <v>30291.69</v>
      </c>
      <c r="AR160" s="4" cm="1">
        <f t="array" ref="AR160">INDEX(GMW!$A$2:$NF$150,MATCH(1,(GMW!$NE$2:$NE$150=AR$3)*(GMW!$ND$2:$ND$150=AR$4)*(GMW!$NF$2:$NF$150=AR$1),0),$C160-1966)</f>
        <v>31.3</v>
      </c>
      <c r="AS160" s="4" cm="1">
        <f t="array" ref="AS160">INDEX(GMW!$A$2:$NF$150,MATCH(1,(GMW!$NE$2:$NE$150=AS$3)*(GMW!$ND$2:$ND$150=AS$4)*(GMW!$NF$2:$NF$150=AS$1),0),$C160-1966)</f>
        <v>523693.2</v>
      </c>
      <c r="AT160" s="4" cm="1">
        <f t="array" ref="AT160">INDEX(GMW!$A$2:$NF$150,MATCH(1,(GMW!$NE$2:$NE$150=AT$3)*(GMW!$ND$2:$ND$150=AT$4)*(GMW!$NF$2:$NF$150=AT$1),0),$C160-1966)</f>
        <v>41710.660000000003</v>
      </c>
      <c r="AU160" s="4" cm="1">
        <f t="array" ref="AU160">INDEX(GMW!$A$2:$NF$150,MATCH(1,(GMW!$NE$2:$NE$150=AU$3)*(GMW!$ND$2:$ND$150=AU$4)*(GMW!$NF$2:$NF$150=AU$1),0),$C160-1966)</f>
        <v>2693000</v>
      </c>
      <c r="AV160" s="4" cm="1">
        <f t="array" ref="AV160">INDEX(GMW!$A$2:$NF$150,MATCH(1,(GMW!$NE$2:$NE$150=AV$3)*(GMW!$ND$2:$ND$150=AV$4)*(GMW!$NF$2:$NF$150=AV$1),0),$C160-1966)</f>
        <v>-1.682018</v>
      </c>
    </row>
    <row r="161" spans="1:48" x14ac:dyDescent="0.25">
      <c r="B161" s="4">
        <f t="shared" si="8"/>
        <v>2011</v>
      </c>
      <c r="C161" s="4">
        <f t="shared" si="7"/>
        <v>2127</v>
      </c>
      <c r="D161" s="4" cm="1">
        <f t="array" ref="D161">INDEX(GMW!$A$2:$NF$150,MATCH(1,(GMW!$NE$2:$NE$150=D$3)*(GMW!$ND$2:$ND$150=D$4)*(GMW!$NF$2:$NF$150=D$1),0),$C161-1966)</f>
        <v>527034</v>
      </c>
      <c r="E161" s="4" cm="1">
        <f t="array" ref="E161">INDEX(GMW!$A$2:$NF$150,MATCH(1,(GMW!$NE$2:$NE$150=E$3)*(GMW!$ND$2:$ND$150=E$4)*(GMW!$NF$2:$NF$150=E$1),0),$C161-1966)</f>
        <v>93.833340000000007</v>
      </c>
      <c r="F161" s="4" cm="1">
        <f t="array" ref="F161">INDEX(GMW!$A$2:$NF$150,MATCH(1,(GMW!$NE$2:$NE$150=F$3)*(GMW!$ND$2:$ND$150=F$4)*(GMW!$NF$2:$NF$150=F$1),0),$C161-1966)</f>
        <v>169000</v>
      </c>
      <c r="G161" s="4" cm="1">
        <f t="array" ref="G161">INDEX(GMW!$A$2:$NF$150,MATCH(1,(GMW!$NE$2:$NE$150=G$3)*(GMW!$ND$2:$ND$150=G$4)*(GMW!$NF$2:$NF$150=G$1),0),$C161-1966)</f>
        <v>79055</v>
      </c>
      <c r="H161" s="4" cm="1">
        <f t="array" ref="H161">INDEX(GMW!$A$2:$NF$150,MATCH(1,(GMW!$NE$2:$NE$150=H$3)*(GMW!$ND$2:$ND$150=H$4)*(GMW!$NF$2:$NF$150=H$1),0),$C161-1966)</f>
        <v>168134</v>
      </c>
      <c r="I161" s="4" cm="1">
        <f t="array" ref="I161">INDEX(GMW!$A$2:$NF$150,MATCH(1,(GMW!$NE$2:$NE$150=I$3)*(GMW!$ND$2:$ND$150=I$4)*(GMW!$NF$2:$NF$150=I$1),0),$C161-1966)</f>
        <v>98100</v>
      </c>
      <c r="J161" s="4" cm="1">
        <f t="array" ref="J161">INDEX(GMW!$A$2:$NF$150,MATCH(1,(GMW!$NE$2:$NE$150=J$3)*(GMW!$ND$2:$ND$150=J$4)*(GMW!$NF$2:$NF$150=J$1),0),$C161-1966)</f>
        <v>83476</v>
      </c>
      <c r="K161" s="4" cm="1">
        <f t="array" ref="K161">INDEX(GMW!$A$2:$NF$150,MATCH(1,(GMW!$NE$2:$NE$150=K$3)*(GMW!$ND$2:$ND$150=K$4)*(GMW!$NF$2:$NF$150=K$1),0),$C161-1966)</f>
        <v>46218</v>
      </c>
      <c r="L161" s="4" cm="1">
        <f t="array" ref="L161">INDEX(GMW!$A$2:$NF$150,MATCH(1,(GMW!$NE$2:$NE$150=L$3)*(GMW!$ND$2:$ND$150=L$4)*(GMW!$NF$2:$NF$150=L$1),0),$C161-1966)</f>
        <v>547245.6</v>
      </c>
      <c r="M161" s="4" cm="1">
        <f t="array" ref="M161">INDEX(GMW!$A$2:$NF$150,MATCH(1,(GMW!$NE$2:$NE$150=M$3)*(GMW!$ND$2:$ND$150=M$4)*(GMW!$NF$2:$NF$150=M$1),0),$C161-1966)</f>
        <v>30251.91</v>
      </c>
      <c r="N161" s="4" cm="1">
        <f t="array" ref="N161">INDEX(GMW!$A$2:$NF$150,MATCH(1,(GMW!$NE$2:$NE$150=N$3)*(GMW!$ND$2:$ND$150=N$4)*(GMW!$NF$2:$NF$150=N$1),0),$C161-1966)</f>
        <v>31.7</v>
      </c>
      <c r="O161" s="4" cm="1">
        <f t="array" ref="O161">INDEX(GMW!$A$2:$NF$150,MATCH(1,(GMW!$NE$2:$NE$150=O$3)*(GMW!$ND$2:$ND$150=O$4)*(GMW!$NF$2:$NF$150=O$1),0),$C161-1966)</f>
        <v>524728.5</v>
      </c>
      <c r="P161" s="4" cm="1">
        <f t="array" ref="P161">INDEX(GMW!$A$2:$NF$150,MATCH(1,(GMW!$NE$2:$NE$150=P$3)*(GMW!$ND$2:$ND$150=P$4)*(GMW!$NF$2:$NF$150=P$1),0),$C161-1966)</f>
        <v>41702.699999999997</v>
      </c>
      <c r="Q161" s="4" cm="1">
        <f t="array" ref="Q161">INDEX(GMW!$A$2:$NF$150,MATCH(1,(GMW!$NE$2:$NE$150=Q$3)*(GMW!$ND$2:$ND$150=Q$4)*(GMW!$NF$2:$NF$150=Q$1),0),$C161-1966)</f>
        <v>2700500</v>
      </c>
      <c r="R161" s="4" cm="1">
        <f t="array" ref="R161">INDEX(GMW!$A$2:$NF$150,MATCH(1,(GMW!$NE$2:$NE$150=R$3)*(GMW!$ND$2:$ND$150=R$4)*(GMW!$NF$2:$NF$150=R$1),0),$C161-1966)</f>
        <v>-1.6820600000000001</v>
      </c>
      <c r="S161" s="4" cm="1">
        <f t="array" ref="S161">INDEX(GMW!$A$2:$NF$150,MATCH(1,(GMW!$NE$2:$NE$150=S$3)*(GMW!$ND$2:$ND$150=S$4)*(GMW!$NF$2:$NF$150=S$1),0),$C161-1966)</f>
        <v>527034</v>
      </c>
      <c r="T161" s="4" cm="1">
        <f t="array" ref="T161">INDEX(GMW!$A$2:$NF$150,MATCH(1,(GMW!$NE$2:$NE$150=T$3)*(GMW!$ND$2:$ND$150=T$4)*(GMW!$NF$2:$NF$150=T$1),0),$C161-1966)</f>
        <v>93.833340000000007</v>
      </c>
      <c r="U161" s="4" cm="1">
        <f t="array" ref="U161">INDEX(GMW!$A$2:$NF$150,MATCH(1,(GMW!$NE$2:$NE$150=U$3)*(GMW!$ND$2:$ND$150=U$4)*(GMW!$NF$2:$NF$150=U$1),0),$C161-1966)</f>
        <v>169000</v>
      </c>
      <c r="V161" s="4" cm="1">
        <f t="array" ref="V161">INDEX(GMW!$A$2:$NF$150,MATCH(1,(GMW!$NE$2:$NE$150=V$3)*(GMW!$ND$2:$ND$150=V$4)*(GMW!$NF$2:$NF$150=V$1),0),$C161-1966)</f>
        <v>79055</v>
      </c>
      <c r="W161" s="4" cm="1">
        <f t="array" ref="W161">INDEX(GMW!$A$2:$NF$150,MATCH(1,(GMW!$NE$2:$NE$150=W$3)*(GMW!$ND$2:$ND$150=W$4)*(GMW!$NF$2:$NF$150=W$1),0),$C161-1966)</f>
        <v>168134</v>
      </c>
      <c r="X161" s="4" cm="1">
        <f t="array" ref="X161">INDEX(GMW!$A$2:$NF$150,MATCH(1,(GMW!$NE$2:$NE$150=X$3)*(GMW!$ND$2:$ND$150=X$4)*(GMW!$NF$2:$NF$150=X$1),0),$C161-1966)</f>
        <v>98100</v>
      </c>
      <c r="Y161" s="4" cm="1">
        <f t="array" ref="Y161">INDEX(GMW!$A$2:$NF$150,MATCH(1,(GMW!$NE$2:$NE$150=Y$3)*(GMW!$ND$2:$ND$150=Y$4)*(GMW!$NF$2:$NF$150=Y$1),0),$C161-1966)</f>
        <v>83476</v>
      </c>
      <c r="Z161" s="4" cm="1">
        <f t="array" ref="Z161">INDEX(GMW!$A$2:$NF$150,MATCH(1,(GMW!$NE$2:$NE$150=Z$3)*(GMW!$ND$2:$ND$150=Z$4)*(GMW!$NF$2:$NF$150=Z$1),0),$C161-1966)</f>
        <v>46218</v>
      </c>
      <c r="AA161" s="4" cm="1">
        <f t="array" ref="AA161">INDEX(GMW!$A$2:$NF$150,MATCH(1,(GMW!$NE$2:$NE$150=AA$3)*(GMW!$ND$2:$ND$150=AA$4)*(GMW!$NF$2:$NF$150=AA$1),0),$C161-1966)</f>
        <v>547245.6</v>
      </c>
      <c r="AB161" s="4" cm="1">
        <f t="array" ref="AB161">INDEX(GMW!$A$2:$NF$150,MATCH(1,(GMW!$NE$2:$NE$150=AB$3)*(GMW!$ND$2:$ND$150=AB$4)*(GMW!$NF$2:$NF$150=AB$1),0),$C161-1966)</f>
        <v>30251.91</v>
      </c>
      <c r="AC161" s="4" cm="1">
        <f t="array" ref="AC161">INDEX(GMW!$A$2:$NF$150,MATCH(1,(GMW!$NE$2:$NE$150=AC$3)*(GMW!$ND$2:$ND$150=AC$4)*(GMW!$NF$2:$NF$150=AC$1),0),$C161-1966)</f>
        <v>31.7</v>
      </c>
      <c r="AD161" s="4" cm="1">
        <f t="array" ref="AD161">INDEX(GMW!$A$2:$NF$150,MATCH(1,(GMW!$NE$2:$NE$150=AD$3)*(GMW!$ND$2:$ND$150=AD$4)*(GMW!$NF$2:$NF$150=AD$1),0),$C161-1966)</f>
        <v>524728.5</v>
      </c>
      <c r="AE161" s="4" cm="1">
        <f t="array" ref="AE161">INDEX(GMW!$A$2:$NF$150,MATCH(1,(GMW!$NE$2:$NE$150=AE$3)*(GMW!$ND$2:$ND$150=AE$4)*(GMW!$NF$2:$NF$150=AE$1),0),$C161-1966)</f>
        <v>41702.699999999997</v>
      </c>
      <c r="AF161" s="4" cm="1">
        <f t="array" ref="AF161">INDEX(GMW!$A$2:$NF$150,MATCH(1,(GMW!$NE$2:$NE$150=AF$3)*(GMW!$ND$2:$ND$150=AF$4)*(GMW!$NF$2:$NF$150=AF$1),0),$C161-1966)</f>
        <v>2700500</v>
      </c>
      <c r="AG161" s="4" cm="1">
        <f t="array" ref="AG161">INDEX(GMW!$A$2:$NF$150,MATCH(1,(GMW!$NE$2:$NE$150=AG$3)*(GMW!$ND$2:$ND$150=AG$4)*(GMW!$NF$2:$NF$150=AG$1),0),$C161-1966)</f>
        <v>-1.6820600000000001</v>
      </c>
      <c r="AH161" s="4" cm="1">
        <f t="array" ref="AH161">INDEX(GMW!$A$2:$NF$150,MATCH(1,(GMW!$NE$2:$NE$150=AH$3)*(GMW!$ND$2:$ND$150=AH$4)*(GMW!$NF$2:$NF$150=AH$1),0),$C161-1966)</f>
        <v>527034</v>
      </c>
      <c r="AI161" s="4" cm="1">
        <f t="array" ref="AI161">INDEX(GMW!$A$2:$NF$150,MATCH(1,(GMW!$NE$2:$NE$150=AI$3)*(GMW!$ND$2:$ND$150=AI$4)*(GMW!$NF$2:$NF$150=AI$1),0),$C161-1966)</f>
        <v>93.833340000000007</v>
      </c>
      <c r="AJ161" s="4" cm="1">
        <f t="array" ref="AJ161">INDEX(GMW!$A$2:$NF$150,MATCH(1,(GMW!$NE$2:$NE$150=AJ$3)*(GMW!$ND$2:$ND$150=AJ$4)*(GMW!$NF$2:$NF$150=AJ$1),0),$C161-1966)</f>
        <v>169000</v>
      </c>
      <c r="AK161" s="4" cm="1">
        <f t="array" ref="AK161">INDEX(GMW!$A$2:$NF$150,MATCH(1,(GMW!$NE$2:$NE$150=AK$3)*(GMW!$ND$2:$ND$150=AK$4)*(GMW!$NF$2:$NF$150=AK$1),0),$C161-1966)</f>
        <v>79055</v>
      </c>
      <c r="AL161" s="4" cm="1">
        <f t="array" ref="AL161">INDEX(GMW!$A$2:$NF$150,MATCH(1,(GMW!$NE$2:$NE$150=AL$3)*(GMW!$ND$2:$ND$150=AL$4)*(GMW!$NF$2:$NF$150=AL$1),0),$C161-1966)</f>
        <v>168134</v>
      </c>
      <c r="AM161" s="4" cm="1">
        <f t="array" ref="AM161">INDEX(GMW!$A$2:$NF$150,MATCH(1,(GMW!$NE$2:$NE$150=AM$3)*(GMW!$ND$2:$ND$150=AM$4)*(GMW!$NF$2:$NF$150=AM$1),0),$C161-1966)</f>
        <v>98100</v>
      </c>
      <c r="AN161" s="4" cm="1">
        <f t="array" ref="AN161">INDEX(GMW!$A$2:$NF$150,MATCH(1,(GMW!$NE$2:$NE$150=AN$3)*(GMW!$ND$2:$ND$150=AN$4)*(GMW!$NF$2:$NF$150=AN$1),0),$C161-1966)</f>
        <v>83476</v>
      </c>
      <c r="AO161" s="4" cm="1">
        <f t="array" ref="AO161">INDEX(GMW!$A$2:$NF$150,MATCH(1,(GMW!$NE$2:$NE$150=AO$3)*(GMW!$ND$2:$ND$150=AO$4)*(GMW!$NF$2:$NF$150=AO$1),0),$C161-1966)</f>
        <v>46218</v>
      </c>
      <c r="AP161" s="4" cm="1">
        <f t="array" ref="AP161">INDEX(GMW!$A$2:$NF$150,MATCH(1,(GMW!$NE$2:$NE$150=AP$3)*(GMW!$ND$2:$ND$150=AP$4)*(GMW!$NF$2:$NF$150=AP$1),0),$C161-1966)</f>
        <v>547245.6</v>
      </c>
      <c r="AQ161" s="4" cm="1">
        <f t="array" ref="AQ161">INDEX(GMW!$A$2:$NF$150,MATCH(1,(GMW!$NE$2:$NE$150=AQ$3)*(GMW!$ND$2:$ND$150=AQ$4)*(GMW!$NF$2:$NF$150=AQ$1),0),$C161-1966)</f>
        <v>30251.91</v>
      </c>
      <c r="AR161" s="4" cm="1">
        <f t="array" ref="AR161">INDEX(GMW!$A$2:$NF$150,MATCH(1,(GMW!$NE$2:$NE$150=AR$3)*(GMW!$ND$2:$ND$150=AR$4)*(GMW!$NF$2:$NF$150=AR$1),0),$C161-1966)</f>
        <v>31.7</v>
      </c>
      <c r="AS161" s="4" cm="1">
        <f t="array" ref="AS161">INDEX(GMW!$A$2:$NF$150,MATCH(1,(GMW!$NE$2:$NE$150=AS$3)*(GMW!$ND$2:$ND$150=AS$4)*(GMW!$NF$2:$NF$150=AS$1),0),$C161-1966)</f>
        <v>524728.5</v>
      </c>
      <c r="AT161" s="4" cm="1">
        <f t="array" ref="AT161">INDEX(GMW!$A$2:$NF$150,MATCH(1,(GMW!$NE$2:$NE$150=AT$3)*(GMW!$ND$2:$ND$150=AT$4)*(GMW!$NF$2:$NF$150=AT$1),0),$C161-1966)</f>
        <v>41702.699999999997</v>
      </c>
      <c r="AU161" s="4" cm="1">
        <f t="array" ref="AU161">INDEX(GMW!$A$2:$NF$150,MATCH(1,(GMW!$NE$2:$NE$150=AU$3)*(GMW!$ND$2:$ND$150=AU$4)*(GMW!$NF$2:$NF$150=AU$1),0),$C161-1966)</f>
        <v>2700500</v>
      </c>
      <c r="AV161" s="4" cm="1">
        <f t="array" ref="AV161">INDEX(GMW!$A$2:$NF$150,MATCH(1,(GMW!$NE$2:$NE$150=AV$3)*(GMW!$ND$2:$ND$150=AV$4)*(GMW!$NF$2:$NF$150=AV$1),0),$C161-1966)</f>
        <v>-1.6820600000000001</v>
      </c>
    </row>
    <row r="162" spans="1:48" x14ac:dyDescent="0.25">
      <c r="B162" s="4">
        <f t="shared" si="8"/>
        <v>2011</v>
      </c>
      <c r="C162" s="4">
        <f t="shared" si="7"/>
        <v>2128</v>
      </c>
      <c r="D162" s="4" cm="1">
        <f t="array" ref="D162">INDEX(GMW!$A$2:$NF$150,MATCH(1,(GMW!$NE$2:$NE$150=D$3)*(GMW!$ND$2:$ND$150=D$4)*(GMW!$NF$2:$NF$150=D$1),0),$C162-1966)</f>
        <v>527698</v>
      </c>
      <c r="E162" s="4" cm="1">
        <f t="array" ref="E162">INDEX(GMW!$A$2:$NF$150,MATCH(1,(GMW!$NE$2:$NE$150=E$3)*(GMW!$ND$2:$ND$150=E$4)*(GMW!$NF$2:$NF$150=E$1),0),$C162-1966)</f>
        <v>94.733329999999995</v>
      </c>
      <c r="F162" s="4" cm="1">
        <f t="array" ref="F162">INDEX(GMW!$A$2:$NF$150,MATCH(1,(GMW!$NE$2:$NE$150=F$3)*(GMW!$ND$2:$ND$150=F$4)*(GMW!$NF$2:$NF$150=F$1),0),$C162-1966)</f>
        <v>171534</v>
      </c>
      <c r="G162" s="4" cm="1">
        <f t="array" ref="G162">INDEX(GMW!$A$2:$NF$150,MATCH(1,(GMW!$NE$2:$NE$150=G$3)*(GMW!$ND$2:$ND$150=G$4)*(GMW!$NF$2:$NF$150=G$1),0),$C162-1966)</f>
        <v>82546</v>
      </c>
      <c r="H162" s="4" cm="1">
        <f t="array" ref="H162">INDEX(GMW!$A$2:$NF$150,MATCH(1,(GMW!$NE$2:$NE$150=H$3)*(GMW!$ND$2:$ND$150=H$4)*(GMW!$NF$2:$NF$150=H$1),0),$C162-1966)</f>
        <v>169238</v>
      </c>
      <c r="I162" s="4" cm="1">
        <f t="array" ref="I162">INDEX(GMW!$A$2:$NF$150,MATCH(1,(GMW!$NE$2:$NE$150=I$3)*(GMW!$ND$2:$ND$150=I$4)*(GMW!$NF$2:$NF$150=I$1),0),$C162-1966)</f>
        <v>98016</v>
      </c>
      <c r="J162" s="4" cm="1">
        <f t="array" ref="J162">INDEX(GMW!$A$2:$NF$150,MATCH(1,(GMW!$NE$2:$NE$150=J$3)*(GMW!$ND$2:$ND$150=J$4)*(GMW!$NF$2:$NF$150=J$1),0),$C162-1966)</f>
        <v>84212</v>
      </c>
      <c r="K162" s="4" cm="1">
        <f t="array" ref="K162">INDEX(GMW!$A$2:$NF$150,MATCH(1,(GMW!$NE$2:$NE$150=K$3)*(GMW!$ND$2:$ND$150=K$4)*(GMW!$NF$2:$NF$150=K$1),0),$C162-1966)</f>
        <v>47373</v>
      </c>
      <c r="L162" s="4" cm="1">
        <f t="array" ref="L162">INDEX(GMW!$A$2:$NF$150,MATCH(1,(GMW!$NE$2:$NE$150=L$3)*(GMW!$ND$2:$ND$150=L$4)*(GMW!$NF$2:$NF$150=L$1),0),$C162-1966)</f>
        <v>548040.19999999995</v>
      </c>
      <c r="M162" s="4" cm="1">
        <f t="array" ref="M162">INDEX(GMW!$A$2:$NF$150,MATCH(1,(GMW!$NE$2:$NE$150=M$3)*(GMW!$ND$2:$ND$150=M$4)*(GMW!$NF$2:$NF$150=M$1),0),$C162-1966)</f>
        <v>30341.88</v>
      </c>
      <c r="N162" s="4" cm="1">
        <f t="array" ref="N162">INDEX(GMW!$A$2:$NF$150,MATCH(1,(GMW!$NE$2:$NE$150=N$3)*(GMW!$ND$2:$ND$150=N$4)*(GMW!$NF$2:$NF$150=N$1),0),$C162-1966)</f>
        <v>31.6</v>
      </c>
      <c r="O162" s="4" cm="1">
        <f t="array" ref="O162">INDEX(GMW!$A$2:$NF$150,MATCH(1,(GMW!$NE$2:$NE$150=O$3)*(GMW!$ND$2:$ND$150=O$4)*(GMW!$NF$2:$NF$150=O$1),0),$C162-1966)</f>
        <v>525755.5</v>
      </c>
      <c r="P162" s="4" cm="1">
        <f t="array" ref="P162">INDEX(GMW!$A$2:$NF$150,MATCH(1,(GMW!$NE$2:$NE$150=P$3)*(GMW!$ND$2:$ND$150=P$4)*(GMW!$NF$2:$NF$150=P$1),0),$C162-1966)</f>
        <v>41694.75</v>
      </c>
      <c r="Q162" s="4" cm="1">
        <f t="array" ref="Q162">INDEX(GMW!$A$2:$NF$150,MATCH(1,(GMW!$NE$2:$NE$150=Q$3)*(GMW!$ND$2:$ND$150=Q$4)*(GMW!$NF$2:$NF$150=Q$1),0),$C162-1966)</f>
        <v>2708000</v>
      </c>
      <c r="R162" s="4" cm="1">
        <f t="array" ref="R162">INDEX(GMW!$A$2:$NF$150,MATCH(1,(GMW!$NE$2:$NE$150=R$3)*(GMW!$ND$2:$ND$150=R$4)*(GMW!$NF$2:$NF$150=R$1),0),$C162-1966)</f>
        <v>-1.6821029999999999</v>
      </c>
      <c r="S162" s="4" cm="1">
        <f t="array" ref="S162">INDEX(GMW!$A$2:$NF$150,MATCH(1,(GMW!$NE$2:$NE$150=S$3)*(GMW!$ND$2:$ND$150=S$4)*(GMW!$NF$2:$NF$150=S$1),0),$C162-1966)</f>
        <v>527698</v>
      </c>
      <c r="T162" s="4" cm="1">
        <f t="array" ref="T162">INDEX(GMW!$A$2:$NF$150,MATCH(1,(GMW!$NE$2:$NE$150=T$3)*(GMW!$ND$2:$ND$150=T$4)*(GMW!$NF$2:$NF$150=T$1),0),$C162-1966)</f>
        <v>94.733329999999995</v>
      </c>
      <c r="U162" s="4" cm="1">
        <f t="array" ref="U162">INDEX(GMW!$A$2:$NF$150,MATCH(1,(GMW!$NE$2:$NE$150=U$3)*(GMW!$ND$2:$ND$150=U$4)*(GMW!$NF$2:$NF$150=U$1),0),$C162-1966)</f>
        <v>171534</v>
      </c>
      <c r="V162" s="4" cm="1">
        <f t="array" ref="V162">INDEX(GMW!$A$2:$NF$150,MATCH(1,(GMW!$NE$2:$NE$150=V$3)*(GMW!$ND$2:$ND$150=V$4)*(GMW!$NF$2:$NF$150=V$1),0),$C162-1966)</f>
        <v>82546</v>
      </c>
      <c r="W162" s="4" cm="1">
        <f t="array" ref="W162">INDEX(GMW!$A$2:$NF$150,MATCH(1,(GMW!$NE$2:$NE$150=W$3)*(GMW!$ND$2:$ND$150=W$4)*(GMW!$NF$2:$NF$150=W$1),0),$C162-1966)</f>
        <v>169238</v>
      </c>
      <c r="X162" s="4" cm="1">
        <f t="array" ref="X162">INDEX(GMW!$A$2:$NF$150,MATCH(1,(GMW!$NE$2:$NE$150=X$3)*(GMW!$ND$2:$ND$150=X$4)*(GMW!$NF$2:$NF$150=X$1),0),$C162-1966)</f>
        <v>98016</v>
      </c>
      <c r="Y162" s="4" cm="1">
        <f t="array" ref="Y162">INDEX(GMW!$A$2:$NF$150,MATCH(1,(GMW!$NE$2:$NE$150=Y$3)*(GMW!$ND$2:$ND$150=Y$4)*(GMW!$NF$2:$NF$150=Y$1),0),$C162-1966)</f>
        <v>84212</v>
      </c>
      <c r="Z162" s="4" cm="1">
        <f t="array" ref="Z162">INDEX(GMW!$A$2:$NF$150,MATCH(1,(GMW!$NE$2:$NE$150=Z$3)*(GMW!$ND$2:$ND$150=Z$4)*(GMW!$NF$2:$NF$150=Z$1),0),$C162-1966)</f>
        <v>47373</v>
      </c>
      <c r="AA162" s="4" cm="1">
        <f t="array" ref="AA162">INDEX(GMW!$A$2:$NF$150,MATCH(1,(GMW!$NE$2:$NE$150=AA$3)*(GMW!$ND$2:$ND$150=AA$4)*(GMW!$NF$2:$NF$150=AA$1),0),$C162-1966)</f>
        <v>548040.19999999995</v>
      </c>
      <c r="AB162" s="4" cm="1">
        <f t="array" ref="AB162">INDEX(GMW!$A$2:$NF$150,MATCH(1,(GMW!$NE$2:$NE$150=AB$3)*(GMW!$ND$2:$ND$150=AB$4)*(GMW!$NF$2:$NF$150=AB$1),0),$C162-1966)</f>
        <v>30341.88</v>
      </c>
      <c r="AC162" s="4" cm="1">
        <f t="array" ref="AC162">INDEX(GMW!$A$2:$NF$150,MATCH(1,(GMW!$NE$2:$NE$150=AC$3)*(GMW!$ND$2:$ND$150=AC$4)*(GMW!$NF$2:$NF$150=AC$1),0),$C162-1966)</f>
        <v>31.6</v>
      </c>
      <c r="AD162" s="4" cm="1">
        <f t="array" ref="AD162">INDEX(GMW!$A$2:$NF$150,MATCH(1,(GMW!$NE$2:$NE$150=AD$3)*(GMW!$ND$2:$ND$150=AD$4)*(GMW!$NF$2:$NF$150=AD$1),0),$C162-1966)</f>
        <v>525755.5</v>
      </c>
      <c r="AE162" s="4" cm="1">
        <f t="array" ref="AE162">INDEX(GMW!$A$2:$NF$150,MATCH(1,(GMW!$NE$2:$NE$150=AE$3)*(GMW!$ND$2:$ND$150=AE$4)*(GMW!$NF$2:$NF$150=AE$1),0),$C162-1966)</f>
        <v>41694.75</v>
      </c>
      <c r="AF162" s="4" cm="1">
        <f t="array" ref="AF162">INDEX(GMW!$A$2:$NF$150,MATCH(1,(GMW!$NE$2:$NE$150=AF$3)*(GMW!$ND$2:$ND$150=AF$4)*(GMW!$NF$2:$NF$150=AF$1),0),$C162-1966)</f>
        <v>2708000</v>
      </c>
      <c r="AG162" s="4" cm="1">
        <f t="array" ref="AG162">INDEX(GMW!$A$2:$NF$150,MATCH(1,(GMW!$NE$2:$NE$150=AG$3)*(GMW!$ND$2:$ND$150=AG$4)*(GMW!$NF$2:$NF$150=AG$1),0),$C162-1966)</f>
        <v>-1.6821029999999999</v>
      </c>
      <c r="AH162" s="4" cm="1">
        <f t="array" ref="AH162">INDEX(GMW!$A$2:$NF$150,MATCH(1,(GMW!$NE$2:$NE$150=AH$3)*(GMW!$ND$2:$ND$150=AH$4)*(GMW!$NF$2:$NF$150=AH$1),0),$C162-1966)</f>
        <v>527698</v>
      </c>
      <c r="AI162" s="4" cm="1">
        <f t="array" ref="AI162">INDEX(GMW!$A$2:$NF$150,MATCH(1,(GMW!$NE$2:$NE$150=AI$3)*(GMW!$ND$2:$ND$150=AI$4)*(GMW!$NF$2:$NF$150=AI$1),0),$C162-1966)</f>
        <v>94.733329999999995</v>
      </c>
      <c r="AJ162" s="4" cm="1">
        <f t="array" ref="AJ162">INDEX(GMW!$A$2:$NF$150,MATCH(1,(GMW!$NE$2:$NE$150=AJ$3)*(GMW!$ND$2:$ND$150=AJ$4)*(GMW!$NF$2:$NF$150=AJ$1),0),$C162-1966)</f>
        <v>171534</v>
      </c>
      <c r="AK162" s="4" cm="1">
        <f t="array" ref="AK162">INDEX(GMW!$A$2:$NF$150,MATCH(1,(GMW!$NE$2:$NE$150=AK$3)*(GMW!$ND$2:$ND$150=AK$4)*(GMW!$NF$2:$NF$150=AK$1),0),$C162-1966)</f>
        <v>82546</v>
      </c>
      <c r="AL162" s="4" cm="1">
        <f t="array" ref="AL162">INDEX(GMW!$A$2:$NF$150,MATCH(1,(GMW!$NE$2:$NE$150=AL$3)*(GMW!$ND$2:$ND$150=AL$4)*(GMW!$NF$2:$NF$150=AL$1),0),$C162-1966)</f>
        <v>169238</v>
      </c>
      <c r="AM162" s="4" cm="1">
        <f t="array" ref="AM162">INDEX(GMW!$A$2:$NF$150,MATCH(1,(GMW!$NE$2:$NE$150=AM$3)*(GMW!$ND$2:$ND$150=AM$4)*(GMW!$NF$2:$NF$150=AM$1),0),$C162-1966)</f>
        <v>98016</v>
      </c>
      <c r="AN162" s="4" cm="1">
        <f t="array" ref="AN162">INDEX(GMW!$A$2:$NF$150,MATCH(1,(GMW!$NE$2:$NE$150=AN$3)*(GMW!$ND$2:$ND$150=AN$4)*(GMW!$NF$2:$NF$150=AN$1),0),$C162-1966)</f>
        <v>84212</v>
      </c>
      <c r="AO162" s="4" cm="1">
        <f t="array" ref="AO162">INDEX(GMW!$A$2:$NF$150,MATCH(1,(GMW!$NE$2:$NE$150=AO$3)*(GMW!$ND$2:$ND$150=AO$4)*(GMW!$NF$2:$NF$150=AO$1),0),$C162-1966)</f>
        <v>47373</v>
      </c>
      <c r="AP162" s="4" cm="1">
        <f t="array" ref="AP162">INDEX(GMW!$A$2:$NF$150,MATCH(1,(GMW!$NE$2:$NE$150=AP$3)*(GMW!$ND$2:$ND$150=AP$4)*(GMW!$NF$2:$NF$150=AP$1),0),$C162-1966)</f>
        <v>548040.19999999995</v>
      </c>
      <c r="AQ162" s="4" cm="1">
        <f t="array" ref="AQ162">INDEX(GMW!$A$2:$NF$150,MATCH(1,(GMW!$NE$2:$NE$150=AQ$3)*(GMW!$ND$2:$ND$150=AQ$4)*(GMW!$NF$2:$NF$150=AQ$1),0),$C162-1966)</f>
        <v>30341.88</v>
      </c>
      <c r="AR162" s="4" cm="1">
        <f t="array" ref="AR162">INDEX(GMW!$A$2:$NF$150,MATCH(1,(GMW!$NE$2:$NE$150=AR$3)*(GMW!$ND$2:$ND$150=AR$4)*(GMW!$NF$2:$NF$150=AR$1),0),$C162-1966)</f>
        <v>31.6</v>
      </c>
      <c r="AS162" s="4" cm="1">
        <f t="array" ref="AS162">INDEX(GMW!$A$2:$NF$150,MATCH(1,(GMW!$NE$2:$NE$150=AS$3)*(GMW!$ND$2:$ND$150=AS$4)*(GMW!$NF$2:$NF$150=AS$1),0),$C162-1966)</f>
        <v>525755.5</v>
      </c>
      <c r="AT162" s="4" cm="1">
        <f t="array" ref="AT162">INDEX(GMW!$A$2:$NF$150,MATCH(1,(GMW!$NE$2:$NE$150=AT$3)*(GMW!$ND$2:$ND$150=AT$4)*(GMW!$NF$2:$NF$150=AT$1),0),$C162-1966)</f>
        <v>41694.75</v>
      </c>
      <c r="AU162" s="4" cm="1">
        <f t="array" ref="AU162">INDEX(GMW!$A$2:$NF$150,MATCH(1,(GMW!$NE$2:$NE$150=AU$3)*(GMW!$ND$2:$ND$150=AU$4)*(GMW!$NF$2:$NF$150=AU$1),0),$C162-1966)</f>
        <v>2708000</v>
      </c>
      <c r="AV162" s="4" cm="1">
        <f t="array" ref="AV162">INDEX(GMW!$A$2:$NF$150,MATCH(1,(GMW!$NE$2:$NE$150=AV$3)*(GMW!$ND$2:$ND$150=AV$4)*(GMW!$NF$2:$NF$150=AV$1),0),$C162-1966)</f>
        <v>-1.6821029999999999</v>
      </c>
    </row>
    <row r="163" spans="1:48" x14ac:dyDescent="0.25">
      <c r="A163" s="4">
        <v>2012</v>
      </c>
      <c r="B163" s="4">
        <f t="shared" si="8"/>
        <v>2012</v>
      </c>
      <c r="C163" s="4">
        <f t="shared" si="7"/>
        <v>2129</v>
      </c>
      <c r="D163" s="4" cm="1">
        <f t="array" ref="D163">INDEX(GMW!$A$2:$NF$150,MATCH(1,(GMW!$NE$2:$NE$150=D$3)*(GMW!$ND$2:$ND$150=D$4)*(GMW!$NF$2:$NF$150=D$1),0),$C163-1966)</f>
        <v>532300</v>
      </c>
      <c r="E163" s="4" cm="1">
        <f t="array" ref="E163">INDEX(GMW!$A$2:$NF$150,MATCH(1,(GMW!$NE$2:$NE$150=E$3)*(GMW!$ND$2:$ND$150=E$4)*(GMW!$NF$2:$NF$150=E$1),0),$C163-1966)</f>
        <v>95.033330000000007</v>
      </c>
      <c r="F163" s="4" cm="1">
        <f t="array" ref="F163">INDEX(GMW!$A$2:$NF$150,MATCH(1,(GMW!$NE$2:$NE$150=F$3)*(GMW!$ND$2:$ND$150=F$4)*(GMW!$NF$2:$NF$150=F$1),0),$C163-1966)</f>
        <v>175688</v>
      </c>
      <c r="G163" s="4" cm="1">
        <f t="array" ref="G163">INDEX(GMW!$A$2:$NF$150,MATCH(1,(GMW!$NE$2:$NE$150=G$3)*(GMW!$ND$2:$ND$150=G$4)*(GMW!$NF$2:$NF$150=G$1),0),$C163-1966)</f>
        <v>82827</v>
      </c>
      <c r="H163" s="4" cm="1">
        <f t="array" ref="H163">INDEX(GMW!$A$2:$NF$150,MATCH(1,(GMW!$NE$2:$NE$150=H$3)*(GMW!$ND$2:$ND$150=H$4)*(GMW!$NF$2:$NF$150=H$1),0),$C163-1966)</f>
        <v>170581</v>
      </c>
      <c r="I163" s="4" cm="1">
        <f t="array" ref="I163">INDEX(GMW!$A$2:$NF$150,MATCH(1,(GMW!$NE$2:$NE$150=I$3)*(GMW!$ND$2:$ND$150=I$4)*(GMW!$NF$2:$NF$150=I$1),0),$C163-1966)</f>
        <v>100193</v>
      </c>
      <c r="J163" s="4" cm="1">
        <f t="array" ref="J163">INDEX(GMW!$A$2:$NF$150,MATCH(1,(GMW!$NE$2:$NE$150=J$3)*(GMW!$ND$2:$ND$150=J$4)*(GMW!$NF$2:$NF$150=J$1),0),$C163-1966)</f>
        <v>85491</v>
      </c>
      <c r="K163" s="4" cm="1">
        <f t="array" ref="K163">INDEX(GMW!$A$2:$NF$150,MATCH(1,(GMW!$NE$2:$NE$150=K$3)*(GMW!$ND$2:$ND$150=K$4)*(GMW!$NF$2:$NF$150=K$1),0),$C163-1966)</f>
        <v>49127</v>
      </c>
      <c r="L163" s="4" cm="1">
        <f t="array" ref="L163">INDEX(GMW!$A$2:$NF$150,MATCH(1,(GMW!$NE$2:$NE$150=L$3)*(GMW!$ND$2:$ND$150=L$4)*(GMW!$NF$2:$NF$150=L$1),0),$C163-1966)</f>
        <v>550730.30000000005</v>
      </c>
      <c r="M163" s="4" cm="1">
        <f t="array" ref="M163">INDEX(GMW!$A$2:$NF$150,MATCH(1,(GMW!$NE$2:$NE$150=M$3)*(GMW!$ND$2:$ND$150=M$4)*(GMW!$NF$2:$NF$150=M$1),0),$C163-1966)</f>
        <v>30401.54</v>
      </c>
      <c r="N163" s="4" cm="1">
        <f t="array" ref="N163">INDEX(GMW!$A$2:$NF$150,MATCH(1,(GMW!$NE$2:$NE$150=N$3)*(GMW!$ND$2:$ND$150=N$4)*(GMW!$NF$2:$NF$150=N$1),0),$C163-1966)</f>
        <v>31.7</v>
      </c>
      <c r="O163" s="4" cm="1">
        <f t="array" ref="O163">INDEX(GMW!$A$2:$NF$150,MATCH(1,(GMW!$NE$2:$NE$150=O$3)*(GMW!$ND$2:$ND$150=O$4)*(GMW!$NF$2:$NF$150=O$1),0),$C163-1966)</f>
        <v>526774</v>
      </c>
      <c r="P163" s="4" cm="1">
        <f t="array" ref="P163">INDEX(GMW!$A$2:$NF$150,MATCH(1,(GMW!$NE$2:$NE$150=P$3)*(GMW!$ND$2:$ND$150=P$4)*(GMW!$NF$2:$NF$150=P$1),0),$C163-1966)</f>
        <v>41686.79</v>
      </c>
      <c r="Q163" s="4" cm="1">
        <f t="array" ref="Q163">INDEX(GMW!$A$2:$NF$150,MATCH(1,(GMW!$NE$2:$NE$150=Q$3)*(GMW!$ND$2:$ND$150=Q$4)*(GMW!$NF$2:$NF$150=Q$1),0),$C163-1966)</f>
        <v>2716000</v>
      </c>
      <c r="R163" s="4" cm="1">
        <f t="array" ref="R163">INDEX(GMW!$A$2:$NF$150,MATCH(1,(GMW!$NE$2:$NE$150=R$3)*(GMW!$ND$2:$ND$150=R$4)*(GMW!$NF$2:$NF$150=R$1),0),$C163-1966)</f>
        <v>-1.6821459999999999</v>
      </c>
      <c r="S163" s="4" cm="1">
        <f t="array" ref="S163">INDEX(GMW!$A$2:$NF$150,MATCH(1,(GMW!$NE$2:$NE$150=S$3)*(GMW!$ND$2:$ND$150=S$4)*(GMW!$NF$2:$NF$150=S$1),0),$C163-1966)</f>
        <v>532300</v>
      </c>
      <c r="T163" s="4" cm="1">
        <f t="array" ref="T163">INDEX(GMW!$A$2:$NF$150,MATCH(1,(GMW!$NE$2:$NE$150=T$3)*(GMW!$ND$2:$ND$150=T$4)*(GMW!$NF$2:$NF$150=T$1),0),$C163-1966)</f>
        <v>95.033330000000007</v>
      </c>
      <c r="U163" s="4" cm="1">
        <f t="array" ref="U163">INDEX(GMW!$A$2:$NF$150,MATCH(1,(GMW!$NE$2:$NE$150=U$3)*(GMW!$ND$2:$ND$150=U$4)*(GMW!$NF$2:$NF$150=U$1),0),$C163-1966)</f>
        <v>175688</v>
      </c>
      <c r="V163" s="4" cm="1">
        <f t="array" ref="V163">INDEX(GMW!$A$2:$NF$150,MATCH(1,(GMW!$NE$2:$NE$150=V$3)*(GMW!$ND$2:$ND$150=V$4)*(GMW!$NF$2:$NF$150=V$1),0),$C163-1966)</f>
        <v>82827</v>
      </c>
      <c r="W163" s="4" cm="1">
        <f t="array" ref="W163">INDEX(GMW!$A$2:$NF$150,MATCH(1,(GMW!$NE$2:$NE$150=W$3)*(GMW!$ND$2:$ND$150=W$4)*(GMW!$NF$2:$NF$150=W$1),0),$C163-1966)</f>
        <v>170581</v>
      </c>
      <c r="X163" s="4" cm="1">
        <f t="array" ref="X163">INDEX(GMW!$A$2:$NF$150,MATCH(1,(GMW!$NE$2:$NE$150=X$3)*(GMW!$ND$2:$ND$150=X$4)*(GMW!$NF$2:$NF$150=X$1),0),$C163-1966)</f>
        <v>100193</v>
      </c>
      <c r="Y163" s="4" cm="1">
        <f t="array" ref="Y163">INDEX(GMW!$A$2:$NF$150,MATCH(1,(GMW!$NE$2:$NE$150=Y$3)*(GMW!$ND$2:$ND$150=Y$4)*(GMW!$NF$2:$NF$150=Y$1),0),$C163-1966)</f>
        <v>85491</v>
      </c>
      <c r="Z163" s="4" cm="1">
        <f t="array" ref="Z163">INDEX(GMW!$A$2:$NF$150,MATCH(1,(GMW!$NE$2:$NE$150=Z$3)*(GMW!$ND$2:$ND$150=Z$4)*(GMW!$NF$2:$NF$150=Z$1),0),$C163-1966)</f>
        <v>49127</v>
      </c>
      <c r="AA163" s="4" cm="1">
        <f t="array" ref="AA163">INDEX(GMW!$A$2:$NF$150,MATCH(1,(GMW!$NE$2:$NE$150=AA$3)*(GMW!$ND$2:$ND$150=AA$4)*(GMW!$NF$2:$NF$150=AA$1),0),$C163-1966)</f>
        <v>550730.30000000005</v>
      </c>
      <c r="AB163" s="4" cm="1">
        <f t="array" ref="AB163">INDEX(GMW!$A$2:$NF$150,MATCH(1,(GMW!$NE$2:$NE$150=AB$3)*(GMW!$ND$2:$ND$150=AB$4)*(GMW!$NF$2:$NF$150=AB$1),0),$C163-1966)</f>
        <v>30401.54</v>
      </c>
      <c r="AC163" s="4" cm="1">
        <f t="array" ref="AC163">INDEX(GMW!$A$2:$NF$150,MATCH(1,(GMW!$NE$2:$NE$150=AC$3)*(GMW!$ND$2:$ND$150=AC$4)*(GMW!$NF$2:$NF$150=AC$1),0),$C163-1966)</f>
        <v>31.7</v>
      </c>
      <c r="AD163" s="4" cm="1">
        <f t="array" ref="AD163">INDEX(GMW!$A$2:$NF$150,MATCH(1,(GMW!$NE$2:$NE$150=AD$3)*(GMW!$ND$2:$ND$150=AD$4)*(GMW!$NF$2:$NF$150=AD$1),0),$C163-1966)</f>
        <v>526774</v>
      </c>
      <c r="AE163" s="4" cm="1">
        <f t="array" ref="AE163">INDEX(GMW!$A$2:$NF$150,MATCH(1,(GMW!$NE$2:$NE$150=AE$3)*(GMW!$ND$2:$ND$150=AE$4)*(GMW!$NF$2:$NF$150=AE$1),0),$C163-1966)</f>
        <v>41686.79</v>
      </c>
      <c r="AF163" s="4" cm="1">
        <f t="array" ref="AF163">INDEX(GMW!$A$2:$NF$150,MATCH(1,(GMW!$NE$2:$NE$150=AF$3)*(GMW!$ND$2:$ND$150=AF$4)*(GMW!$NF$2:$NF$150=AF$1),0),$C163-1966)</f>
        <v>2716000</v>
      </c>
      <c r="AG163" s="4" cm="1">
        <f t="array" ref="AG163">INDEX(GMW!$A$2:$NF$150,MATCH(1,(GMW!$NE$2:$NE$150=AG$3)*(GMW!$ND$2:$ND$150=AG$4)*(GMW!$NF$2:$NF$150=AG$1),0),$C163-1966)</f>
        <v>-1.6821459999999999</v>
      </c>
      <c r="AH163" s="4" cm="1">
        <f t="array" ref="AH163">INDEX(GMW!$A$2:$NF$150,MATCH(1,(GMW!$NE$2:$NE$150=AH$3)*(GMW!$ND$2:$ND$150=AH$4)*(GMW!$NF$2:$NF$150=AH$1),0),$C163-1966)</f>
        <v>532300</v>
      </c>
      <c r="AI163" s="4" cm="1">
        <f t="array" ref="AI163">INDEX(GMW!$A$2:$NF$150,MATCH(1,(GMW!$NE$2:$NE$150=AI$3)*(GMW!$ND$2:$ND$150=AI$4)*(GMW!$NF$2:$NF$150=AI$1),0),$C163-1966)</f>
        <v>95.033330000000007</v>
      </c>
      <c r="AJ163" s="4" cm="1">
        <f t="array" ref="AJ163">INDEX(GMW!$A$2:$NF$150,MATCH(1,(GMW!$NE$2:$NE$150=AJ$3)*(GMW!$ND$2:$ND$150=AJ$4)*(GMW!$NF$2:$NF$150=AJ$1),0),$C163-1966)</f>
        <v>175688</v>
      </c>
      <c r="AK163" s="4" cm="1">
        <f t="array" ref="AK163">INDEX(GMW!$A$2:$NF$150,MATCH(1,(GMW!$NE$2:$NE$150=AK$3)*(GMW!$ND$2:$ND$150=AK$4)*(GMW!$NF$2:$NF$150=AK$1),0),$C163-1966)</f>
        <v>82827</v>
      </c>
      <c r="AL163" s="4" cm="1">
        <f t="array" ref="AL163">INDEX(GMW!$A$2:$NF$150,MATCH(1,(GMW!$NE$2:$NE$150=AL$3)*(GMW!$ND$2:$ND$150=AL$4)*(GMW!$NF$2:$NF$150=AL$1),0),$C163-1966)</f>
        <v>170581</v>
      </c>
      <c r="AM163" s="4" cm="1">
        <f t="array" ref="AM163">INDEX(GMW!$A$2:$NF$150,MATCH(1,(GMW!$NE$2:$NE$150=AM$3)*(GMW!$ND$2:$ND$150=AM$4)*(GMW!$NF$2:$NF$150=AM$1),0),$C163-1966)</f>
        <v>100193</v>
      </c>
      <c r="AN163" s="4" cm="1">
        <f t="array" ref="AN163">INDEX(GMW!$A$2:$NF$150,MATCH(1,(GMW!$NE$2:$NE$150=AN$3)*(GMW!$ND$2:$ND$150=AN$4)*(GMW!$NF$2:$NF$150=AN$1),0),$C163-1966)</f>
        <v>85491</v>
      </c>
      <c r="AO163" s="4" cm="1">
        <f t="array" ref="AO163">INDEX(GMW!$A$2:$NF$150,MATCH(1,(GMW!$NE$2:$NE$150=AO$3)*(GMW!$ND$2:$ND$150=AO$4)*(GMW!$NF$2:$NF$150=AO$1),0),$C163-1966)</f>
        <v>49127</v>
      </c>
      <c r="AP163" s="4" cm="1">
        <f t="array" ref="AP163">INDEX(GMW!$A$2:$NF$150,MATCH(1,(GMW!$NE$2:$NE$150=AP$3)*(GMW!$ND$2:$ND$150=AP$4)*(GMW!$NF$2:$NF$150=AP$1),0),$C163-1966)</f>
        <v>550730.30000000005</v>
      </c>
      <c r="AQ163" s="4" cm="1">
        <f t="array" ref="AQ163">INDEX(GMW!$A$2:$NF$150,MATCH(1,(GMW!$NE$2:$NE$150=AQ$3)*(GMW!$ND$2:$ND$150=AQ$4)*(GMW!$NF$2:$NF$150=AQ$1),0),$C163-1966)</f>
        <v>30401.54</v>
      </c>
      <c r="AR163" s="4" cm="1">
        <f t="array" ref="AR163">INDEX(GMW!$A$2:$NF$150,MATCH(1,(GMW!$NE$2:$NE$150=AR$3)*(GMW!$ND$2:$ND$150=AR$4)*(GMW!$NF$2:$NF$150=AR$1),0),$C163-1966)</f>
        <v>31.7</v>
      </c>
      <c r="AS163" s="4" cm="1">
        <f t="array" ref="AS163">INDEX(GMW!$A$2:$NF$150,MATCH(1,(GMW!$NE$2:$NE$150=AS$3)*(GMW!$ND$2:$ND$150=AS$4)*(GMW!$NF$2:$NF$150=AS$1),0),$C163-1966)</f>
        <v>526774</v>
      </c>
      <c r="AT163" s="4" cm="1">
        <f t="array" ref="AT163">INDEX(GMW!$A$2:$NF$150,MATCH(1,(GMW!$NE$2:$NE$150=AT$3)*(GMW!$ND$2:$ND$150=AT$4)*(GMW!$NF$2:$NF$150=AT$1),0),$C163-1966)</f>
        <v>41686.79</v>
      </c>
      <c r="AU163" s="4" cm="1">
        <f t="array" ref="AU163">INDEX(GMW!$A$2:$NF$150,MATCH(1,(GMW!$NE$2:$NE$150=AU$3)*(GMW!$ND$2:$ND$150=AU$4)*(GMW!$NF$2:$NF$150=AU$1),0),$C163-1966)</f>
        <v>2716000</v>
      </c>
      <c r="AV163" s="4" cm="1">
        <f t="array" ref="AV163">INDEX(GMW!$A$2:$NF$150,MATCH(1,(GMW!$NE$2:$NE$150=AV$3)*(GMW!$ND$2:$ND$150=AV$4)*(GMW!$NF$2:$NF$150=AV$1),0),$C163-1966)</f>
        <v>-1.6821459999999999</v>
      </c>
    </row>
    <row r="164" spans="1:48" x14ac:dyDescent="0.25">
      <c r="B164" s="4">
        <f t="shared" si="8"/>
        <v>2012</v>
      </c>
      <c r="C164" s="4">
        <f t="shared" si="7"/>
        <v>2130</v>
      </c>
      <c r="D164" s="4" cm="1">
        <f t="array" ref="D164">INDEX(GMW!$A$2:$NF$150,MATCH(1,(GMW!$NE$2:$NE$150=D$3)*(GMW!$ND$2:$ND$150=D$4)*(GMW!$NF$2:$NF$150=D$1),0),$C164-1966)</f>
        <v>531663</v>
      </c>
      <c r="E164" s="4" cm="1">
        <f t="array" ref="E164">INDEX(GMW!$A$2:$NF$150,MATCH(1,(GMW!$NE$2:$NE$150=E$3)*(GMW!$ND$2:$ND$150=E$4)*(GMW!$NF$2:$NF$150=E$1),0),$C164-1966)</f>
        <v>95.8</v>
      </c>
      <c r="F164" s="4" cm="1">
        <f t="array" ref="F164">INDEX(GMW!$A$2:$NF$150,MATCH(1,(GMW!$NE$2:$NE$150=F$3)*(GMW!$ND$2:$ND$150=F$4)*(GMW!$NF$2:$NF$150=F$1),0),$C164-1966)</f>
        <v>167444</v>
      </c>
      <c r="G164" s="4" cm="1">
        <f t="array" ref="G164">INDEX(GMW!$A$2:$NF$150,MATCH(1,(GMW!$NE$2:$NE$150=G$3)*(GMW!$ND$2:$ND$150=G$4)*(GMW!$NF$2:$NF$150=G$1),0),$C164-1966)</f>
        <v>76721</v>
      </c>
      <c r="H164" s="4" cm="1">
        <f t="array" ref="H164">INDEX(GMW!$A$2:$NF$150,MATCH(1,(GMW!$NE$2:$NE$150=H$3)*(GMW!$ND$2:$ND$150=H$4)*(GMW!$NF$2:$NF$150=H$1),0),$C164-1966)</f>
        <v>173796</v>
      </c>
      <c r="I164" s="4" cm="1">
        <f t="array" ref="I164">INDEX(GMW!$A$2:$NF$150,MATCH(1,(GMW!$NE$2:$NE$150=I$3)*(GMW!$ND$2:$ND$150=I$4)*(GMW!$NF$2:$NF$150=I$1),0),$C164-1966)</f>
        <v>100882</v>
      </c>
      <c r="J164" s="4" cm="1">
        <f t="array" ref="J164">INDEX(GMW!$A$2:$NF$150,MATCH(1,(GMW!$NE$2:$NE$150=J$3)*(GMW!$ND$2:$ND$150=J$4)*(GMW!$NF$2:$NF$150=J$1),0),$C164-1966)</f>
        <v>83307</v>
      </c>
      <c r="K164" s="4" cm="1">
        <f t="array" ref="K164">INDEX(GMW!$A$2:$NF$150,MATCH(1,(GMW!$NE$2:$NE$150=K$3)*(GMW!$ND$2:$ND$150=K$4)*(GMW!$NF$2:$NF$150=K$1),0),$C164-1966)</f>
        <v>47014</v>
      </c>
      <c r="L164" s="4" cm="1">
        <f t="array" ref="L164">INDEX(GMW!$A$2:$NF$150,MATCH(1,(GMW!$NE$2:$NE$150=L$3)*(GMW!$ND$2:$ND$150=L$4)*(GMW!$NF$2:$NF$150=L$1),0),$C164-1966)</f>
        <v>553420.6</v>
      </c>
      <c r="M164" s="4" cm="1">
        <f t="array" ref="M164">INDEX(GMW!$A$2:$NF$150,MATCH(1,(GMW!$NE$2:$NE$150=M$3)*(GMW!$ND$2:$ND$150=M$4)*(GMW!$NF$2:$NF$150=M$1),0),$C164-1966)</f>
        <v>30554.01</v>
      </c>
      <c r="N164" s="4" cm="1">
        <f t="array" ref="N164">INDEX(GMW!$A$2:$NF$150,MATCH(1,(GMW!$NE$2:$NE$150=N$3)*(GMW!$ND$2:$ND$150=N$4)*(GMW!$NF$2:$NF$150=N$1),0),$C164-1966)</f>
        <v>31.7</v>
      </c>
      <c r="O164" s="4" cm="1">
        <f t="array" ref="O164">INDEX(GMW!$A$2:$NF$150,MATCH(1,(GMW!$NE$2:$NE$150=O$3)*(GMW!$ND$2:$ND$150=O$4)*(GMW!$NF$2:$NF$150=O$1),0),$C164-1966)</f>
        <v>527783.9</v>
      </c>
      <c r="P164" s="4" cm="1">
        <f t="array" ref="P164">INDEX(GMW!$A$2:$NF$150,MATCH(1,(GMW!$NE$2:$NE$150=P$3)*(GMW!$ND$2:$ND$150=P$4)*(GMW!$NF$2:$NF$150=P$1),0),$C164-1966)</f>
        <v>41678.83</v>
      </c>
      <c r="Q164" s="4" cm="1">
        <f t="array" ref="Q164">INDEX(GMW!$A$2:$NF$150,MATCH(1,(GMW!$NE$2:$NE$150=Q$3)*(GMW!$ND$2:$ND$150=Q$4)*(GMW!$NF$2:$NF$150=Q$1),0),$C164-1966)</f>
        <v>2724000</v>
      </c>
      <c r="R164" s="4" cm="1">
        <f t="array" ref="R164">INDEX(GMW!$A$2:$NF$150,MATCH(1,(GMW!$NE$2:$NE$150=R$3)*(GMW!$ND$2:$ND$150=R$4)*(GMW!$NF$2:$NF$150=R$1),0),$C164-1966)</f>
        <v>-1.682188</v>
      </c>
      <c r="S164" s="4" cm="1">
        <f t="array" ref="S164">INDEX(GMW!$A$2:$NF$150,MATCH(1,(GMW!$NE$2:$NE$150=S$3)*(GMW!$ND$2:$ND$150=S$4)*(GMW!$NF$2:$NF$150=S$1),0),$C164-1966)</f>
        <v>531663</v>
      </c>
      <c r="T164" s="4" cm="1">
        <f t="array" ref="T164">INDEX(GMW!$A$2:$NF$150,MATCH(1,(GMW!$NE$2:$NE$150=T$3)*(GMW!$ND$2:$ND$150=T$4)*(GMW!$NF$2:$NF$150=T$1),0),$C164-1966)</f>
        <v>95.8</v>
      </c>
      <c r="U164" s="4" cm="1">
        <f t="array" ref="U164">INDEX(GMW!$A$2:$NF$150,MATCH(1,(GMW!$NE$2:$NE$150=U$3)*(GMW!$ND$2:$ND$150=U$4)*(GMW!$NF$2:$NF$150=U$1),0),$C164-1966)</f>
        <v>167444</v>
      </c>
      <c r="V164" s="4" cm="1">
        <f t="array" ref="V164">INDEX(GMW!$A$2:$NF$150,MATCH(1,(GMW!$NE$2:$NE$150=V$3)*(GMW!$ND$2:$ND$150=V$4)*(GMW!$NF$2:$NF$150=V$1),0),$C164-1966)</f>
        <v>76721</v>
      </c>
      <c r="W164" s="4" cm="1">
        <f t="array" ref="W164">INDEX(GMW!$A$2:$NF$150,MATCH(1,(GMW!$NE$2:$NE$150=W$3)*(GMW!$ND$2:$ND$150=W$4)*(GMW!$NF$2:$NF$150=W$1),0),$C164-1966)</f>
        <v>173796</v>
      </c>
      <c r="X164" s="4" cm="1">
        <f t="array" ref="X164">INDEX(GMW!$A$2:$NF$150,MATCH(1,(GMW!$NE$2:$NE$150=X$3)*(GMW!$ND$2:$ND$150=X$4)*(GMW!$NF$2:$NF$150=X$1),0),$C164-1966)</f>
        <v>100882</v>
      </c>
      <c r="Y164" s="4" cm="1">
        <f t="array" ref="Y164">INDEX(GMW!$A$2:$NF$150,MATCH(1,(GMW!$NE$2:$NE$150=Y$3)*(GMW!$ND$2:$ND$150=Y$4)*(GMW!$NF$2:$NF$150=Y$1),0),$C164-1966)</f>
        <v>83307</v>
      </c>
      <c r="Z164" s="4" cm="1">
        <f t="array" ref="Z164">INDEX(GMW!$A$2:$NF$150,MATCH(1,(GMW!$NE$2:$NE$150=Z$3)*(GMW!$ND$2:$ND$150=Z$4)*(GMW!$NF$2:$NF$150=Z$1),0),$C164-1966)</f>
        <v>47014</v>
      </c>
      <c r="AA164" s="4" cm="1">
        <f t="array" ref="AA164">INDEX(GMW!$A$2:$NF$150,MATCH(1,(GMW!$NE$2:$NE$150=AA$3)*(GMW!$ND$2:$ND$150=AA$4)*(GMW!$NF$2:$NF$150=AA$1),0),$C164-1966)</f>
        <v>553420.6</v>
      </c>
      <c r="AB164" s="4" cm="1">
        <f t="array" ref="AB164">INDEX(GMW!$A$2:$NF$150,MATCH(1,(GMW!$NE$2:$NE$150=AB$3)*(GMW!$ND$2:$ND$150=AB$4)*(GMW!$NF$2:$NF$150=AB$1),0),$C164-1966)</f>
        <v>30554.01</v>
      </c>
      <c r="AC164" s="4" cm="1">
        <f t="array" ref="AC164">INDEX(GMW!$A$2:$NF$150,MATCH(1,(GMW!$NE$2:$NE$150=AC$3)*(GMW!$ND$2:$ND$150=AC$4)*(GMW!$NF$2:$NF$150=AC$1),0),$C164-1966)</f>
        <v>31.7</v>
      </c>
      <c r="AD164" s="4" cm="1">
        <f t="array" ref="AD164">INDEX(GMW!$A$2:$NF$150,MATCH(1,(GMW!$NE$2:$NE$150=AD$3)*(GMW!$ND$2:$ND$150=AD$4)*(GMW!$NF$2:$NF$150=AD$1),0),$C164-1966)</f>
        <v>527783.9</v>
      </c>
      <c r="AE164" s="4" cm="1">
        <f t="array" ref="AE164">INDEX(GMW!$A$2:$NF$150,MATCH(1,(GMW!$NE$2:$NE$150=AE$3)*(GMW!$ND$2:$ND$150=AE$4)*(GMW!$NF$2:$NF$150=AE$1),0),$C164-1966)</f>
        <v>41678.83</v>
      </c>
      <c r="AF164" s="4" cm="1">
        <f t="array" ref="AF164">INDEX(GMW!$A$2:$NF$150,MATCH(1,(GMW!$NE$2:$NE$150=AF$3)*(GMW!$ND$2:$ND$150=AF$4)*(GMW!$NF$2:$NF$150=AF$1),0),$C164-1966)</f>
        <v>2724000</v>
      </c>
      <c r="AG164" s="4" cm="1">
        <f t="array" ref="AG164">INDEX(GMW!$A$2:$NF$150,MATCH(1,(GMW!$NE$2:$NE$150=AG$3)*(GMW!$ND$2:$ND$150=AG$4)*(GMW!$NF$2:$NF$150=AG$1),0),$C164-1966)</f>
        <v>-1.682188</v>
      </c>
      <c r="AH164" s="4" cm="1">
        <f t="array" ref="AH164">INDEX(GMW!$A$2:$NF$150,MATCH(1,(GMW!$NE$2:$NE$150=AH$3)*(GMW!$ND$2:$ND$150=AH$4)*(GMW!$NF$2:$NF$150=AH$1),0),$C164-1966)</f>
        <v>531663</v>
      </c>
      <c r="AI164" s="4" cm="1">
        <f t="array" ref="AI164">INDEX(GMW!$A$2:$NF$150,MATCH(1,(GMW!$NE$2:$NE$150=AI$3)*(GMW!$ND$2:$ND$150=AI$4)*(GMW!$NF$2:$NF$150=AI$1),0),$C164-1966)</f>
        <v>95.8</v>
      </c>
      <c r="AJ164" s="4" cm="1">
        <f t="array" ref="AJ164">INDEX(GMW!$A$2:$NF$150,MATCH(1,(GMW!$NE$2:$NE$150=AJ$3)*(GMW!$ND$2:$ND$150=AJ$4)*(GMW!$NF$2:$NF$150=AJ$1),0),$C164-1966)</f>
        <v>167444</v>
      </c>
      <c r="AK164" s="4" cm="1">
        <f t="array" ref="AK164">INDEX(GMW!$A$2:$NF$150,MATCH(1,(GMW!$NE$2:$NE$150=AK$3)*(GMW!$ND$2:$ND$150=AK$4)*(GMW!$NF$2:$NF$150=AK$1),0),$C164-1966)</f>
        <v>76721</v>
      </c>
      <c r="AL164" s="4" cm="1">
        <f t="array" ref="AL164">INDEX(GMW!$A$2:$NF$150,MATCH(1,(GMW!$NE$2:$NE$150=AL$3)*(GMW!$ND$2:$ND$150=AL$4)*(GMW!$NF$2:$NF$150=AL$1),0),$C164-1966)</f>
        <v>173796</v>
      </c>
      <c r="AM164" s="4" cm="1">
        <f t="array" ref="AM164">INDEX(GMW!$A$2:$NF$150,MATCH(1,(GMW!$NE$2:$NE$150=AM$3)*(GMW!$ND$2:$ND$150=AM$4)*(GMW!$NF$2:$NF$150=AM$1),0),$C164-1966)</f>
        <v>100882</v>
      </c>
      <c r="AN164" s="4" cm="1">
        <f t="array" ref="AN164">INDEX(GMW!$A$2:$NF$150,MATCH(1,(GMW!$NE$2:$NE$150=AN$3)*(GMW!$ND$2:$ND$150=AN$4)*(GMW!$NF$2:$NF$150=AN$1),0),$C164-1966)</f>
        <v>83307</v>
      </c>
      <c r="AO164" s="4" cm="1">
        <f t="array" ref="AO164">INDEX(GMW!$A$2:$NF$150,MATCH(1,(GMW!$NE$2:$NE$150=AO$3)*(GMW!$ND$2:$ND$150=AO$4)*(GMW!$NF$2:$NF$150=AO$1),0),$C164-1966)</f>
        <v>47014</v>
      </c>
      <c r="AP164" s="4" cm="1">
        <f t="array" ref="AP164">INDEX(GMW!$A$2:$NF$150,MATCH(1,(GMW!$NE$2:$NE$150=AP$3)*(GMW!$ND$2:$ND$150=AP$4)*(GMW!$NF$2:$NF$150=AP$1),0),$C164-1966)</f>
        <v>553420.6</v>
      </c>
      <c r="AQ164" s="4" cm="1">
        <f t="array" ref="AQ164">INDEX(GMW!$A$2:$NF$150,MATCH(1,(GMW!$NE$2:$NE$150=AQ$3)*(GMW!$ND$2:$ND$150=AQ$4)*(GMW!$NF$2:$NF$150=AQ$1),0),$C164-1966)</f>
        <v>30554.01</v>
      </c>
      <c r="AR164" s="4" cm="1">
        <f t="array" ref="AR164">INDEX(GMW!$A$2:$NF$150,MATCH(1,(GMW!$NE$2:$NE$150=AR$3)*(GMW!$ND$2:$ND$150=AR$4)*(GMW!$NF$2:$NF$150=AR$1),0),$C164-1966)</f>
        <v>31.7</v>
      </c>
      <c r="AS164" s="4" cm="1">
        <f t="array" ref="AS164">INDEX(GMW!$A$2:$NF$150,MATCH(1,(GMW!$NE$2:$NE$150=AS$3)*(GMW!$ND$2:$ND$150=AS$4)*(GMW!$NF$2:$NF$150=AS$1),0),$C164-1966)</f>
        <v>527783.9</v>
      </c>
      <c r="AT164" s="4" cm="1">
        <f t="array" ref="AT164">INDEX(GMW!$A$2:$NF$150,MATCH(1,(GMW!$NE$2:$NE$150=AT$3)*(GMW!$ND$2:$ND$150=AT$4)*(GMW!$NF$2:$NF$150=AT$1),0),$C164-1966)</f>
        <v>41678.83</v>
      </c>
      <c r="AU164" s="4" cm="1">
        <f t="array" ref="AU164">INDEX(GMW!$A$2:$NF$150,MATCH(1,(GMW!$NE$2:$NE$150=AU$3)*(GMW!$ND$2:$ND$150=AU$4)*(GMW!$NF$2:$NF$150=AU$1),0),$C164-1966)</f>
        <v>2724000</v>
      </c>
      <c r="AV164" s="4" cm="1">
        <f t="array" ref="AV164">INDEX(GMW!$A$2:$NF$150,MATCH(1,(GMW!$NE$2:$NE$150=AV$3)*(GMW!$ND$2:$ND$150=AV$4)*(GMW!$NF$2:$NF$150=AV$1),0),$C164-1966)</f>
        <v>-1.682188</v>
      </c>
    </row>
    <row r="165" spans="1:48" x14ac:dyDescent="0.25">
      <c r="B165" s="4">
        <f t="shared" si="8"/>
        <v>2012</v>
      </c>
      <c r="C165" s="4">
        <f t="shared" si="7"/>
        <v>2131</v>
      </c>
      <c r="D165" s="4" cm="1">
        <f t="array" ref="D165">INDEX(GMW!$A$2:$NF$150,MATCH(1,(GMW!$NE$2:$NE$150=D$3)*(GMW!$ND$2:$ND$150=D$4)*(GMW!$NF$2:$NF$150=D$1),0),$C165-1966)</f>
        <v>536720</v>
      </c>
      <c r="E165" s="4" cm="1">
        <f t="array" ref="E165">INDEX(GMW!$A$2:$NF$150,MATCH(1,(GMW!$NE$2:$NE$150=E$3)*(GMW!$ND$2:$ND$150=E$4)*(GMW!$NF$2:$NF$150=E$1),0),$C165-1966)</f>
        <v>96.066670000000002</v>
      </c>
      <c r="F165" s="4" cm="1">
        <f t="array" ref="F165">INDEX(GMW!$A$2:$NF$150,MATCH(1,(GMW!$NE$2:$NE$150=F$3)*(GMW!$ND$2:$ND$150=F$4)*(GMW!$NF$2:$NF$150=F$1),0),$C165-1966)</f>
        <v>171661</v>
      </c>
      <c r="G165" s="4" cm="1">
        <f t="array" ref="G165">INDEX(GMW!$A$2:$NF$150,MATCH(1,(GMW!$NE$2:$NE$150=G$3)*(GMW!$ND$2:$ND$150=G$4)*(GMW!$NF$2:$NF$150=G$1),0),$C165-1966)</f>
        <v>80308</v>
      </c>
      <c r="H165" s="4" cm="1">
        <f t="array" ref="H165">INDEX(GMW!$A$2:$NF$150,MATCH(1,(GMW!$NE$2:$NE$150=H$3)*(GMW!$ND$2:$ND$150=H$4)*(GMW!$NF$2:$NF$150=H$1),0),$C165-1966)</f>
        <v>172124</v>
      </c>
      <c r="I165" s="4" cm="1">
        <f t="array" ref="I165">INDEX(GMW!$A$2:$NF$150,MATCH(1,(GMW!$NE$2:$NE$150=I$3)*(GMW!$ND$2:$ND$150=I$4)*(GMW!$NF$2:$NF$150=I$1),0),$C165-1966)</f>
        <v>100203</v>
      </c>
      <c r="J165" s="4" cm="1">
        <f t="array" ref="J165">INDEX(GMW!$A$2:$NF$150,MATCH(1,(GMW!$NE$2:$NE$150=J$3)*(GMW!$ND$2:$ND$150=J$4)*(GMW!$NF$2:$NF$150=J$1),0),$C165-1966)</f>
        <v>82537</v>
      </c>
      <c r="K165" s="4" cm="1">
        <f t="array" ref="K165">INDEX(GMW!$A$2:$NF$150,MATCH(1,(GMW!$NE$2:$NE$150=K$3)*(GMW!$ND$2:$ND$150=K$4)*(GMW!$NF$2:$NF$150=K$1),0),$C165-1966)</f>
        <v>47249</v>
      </c>
      <c r="L165" s="4" cm="1">
        <f t="array" ref="L165">INDEX(GMW!$A$2:$NF$150,MATCH(1,(GMW!$NE$2:$NE$150=L$3)*(GMW!$ND$2:$ND$150=L$4)*(GMW!$NF$2:$NF$150=L$1),0),$C165-1966)</f>
        <v>558403.6</v>
      </c>
      <c r="M165" s="4" cm="1">
        <f t="array" ref="M165">INDEX(GMW!$A$2:$NF$150,MATCH(1,(GMW!$NE$2:$NE$150=M$3)*(GMW!$ND$2:$ND$150=M$4)*(GMW!$NF$2:$NF$150=M$1),0),$C165-1966)</f>
        <v>30611.78</v>
      </c>
      <c r="N165" s="4" cm="1">
        <f t="array" ref="N165">INDEX(GMW!$A$2:$NF$150,MATCH(1,(GMW!$NE$2:$NE$150=N$3)*(GMW!$ND$2:$ND$150=N$4)*(GMW!$NF$2:$NF$150=N$1),0),$C165-1966)</f>
        <v>32</v>
      </c>
      <c r="O165" s="4" cm="1">
        <f t="array" ref="O165">INDEX(GMW!$A$2:$NF$150,MATCH(1,(GMW!$NE$2:$NE$150=O$3)*(GMW!$ND$2:$ND$150=O$4)*(GMW!$NF$2:$NF$150=O$1),0),$C165-1966)</f>
        <v>529038</v>
      </c>
      <c r="P165" s="4" cm="1">
        <f t="array" ref="P165">INDEX(GMW!$A$2:$NF$150,MATCH(1,(GMW!$NE$2:$NE$150=P$3)*(GMW!$ND$2:$ND$150=P$4)*(GMW!$NF$2:$NF$150=P$1),0),$C165-1966)</f>
        <v>41690.699999999997</v>
      </c>
      <c r="Q165" s="4" cm="1">
        <f t="array" ref="Q165">INDEX(GMW!$A$2:$NF$150,MATCH(1,(GMW!$NE$2:$NE$150=Q$3)*(GMW!$ND$2:$ND$150=Q$4)*(GMW!$NF$2:$NF$150=Q$1),0),$C165-1966)</f>
        <v>2732000</v>
      </c>
      <c r="R165" s="4" cm="1">
        <f t="array" ref="R165">INDEX(GMW!$A$2:$NF$150,MATCH(1,(GMW!$NE$2:$NE$150=R$3)*(GMW!$ND$2:$ND$150=R$4)*(GMW!$NF$2:$NF$150=R$1),0),$C165-1966)</f>
        <v>-1.682231</v>
      </c>
      <c r="S165" s="4" cm="1">
        <f t="array" ref="S165">INDEX(GMW!$A$2:$NF$150,MATCH(1,(GMW!$NE$2:$NE$150=S$3)*(GMW!$ND$2:$ND$150=S$4)*(GMW!$NF$2:$NF$150=S$1),0),$C165-1966)</f>
        <v>536720</v>
      </c>
      <c r="T165" s="4" cm="1">
        <f t="array" ref="T165">INDEX(GMW!$A$2:$NF$150,MATCH(1,(GMW!$NE$2:$NE$150=T$3)*(GMW!$ND$2:$ND$150=T$4)*(GMW!$NF$2:$NF$150=T$1),0),$C165-1966)</f>
        <v>96.066670000000002</v>
      </c>
      <c r="U165" s="4" cm="1">
        <f t="array" ref="U165">INDEX(GMW!$A$2:$NF$150,MATCH(1,(GMW!$NE$2:$NE$150=U$3)*(GMW!$ND$2:$ND$150=U$4)*(GMW!$NF$2:$NF$150=U$1),0),$C165-1966)</f>
        <v>171661</v>
      </c>
      <c r="V165" s="4" cm="1">
        <f t="array" ref="V165">INDEX(GMW!$A$2:$NF$150,MATCH(1,(GMW!$NE$2:$NE$150=V$3)*(GMW!$ND$2:$ND$150=V$4)*(GMW!$NF$2:$NF$150=V$1),0),$C165-1966)</f>
        <v>80308</v>
      </c>
      <c r="W165" s="4" cm="1">
        <f t="array" ref="W165">INDEX(GMW!$A$2:$NF$150,MATCH(1,(GMW!$NE$2:$NE$150=W$3)*(GMW!$ND$2:$ND$150=W$4)*(GMW!$NF$2:$NF$150=W$1),0),$C165-1966)</f>
        <v>172124</v>
      </c>
      <c r="X165" s="4" cm="1">
        <f t="array" ref="X165">INDEX(GMW!$A$2:$NF$150,MATCH(1,(GMW!$NE$2:$NE$150=X$3)*(GMW!$ND$2:$ND$150=X$4)*(GMW!$NF$2:$NF$150=X$1),0),$C165-1966)</f>
        <v>100203</v>
      </c>
      <c r="Y165" s="4" cm="1">
        <f t="array" ref="Y165">INDEX(GMW!$A$2:$NF$150,MATCH(1,(GMW!$NE$2:$NE$150=Y$3)*(GMW!$ND$2:$ND$150=Y$4)*(GMW!$NF$2:$NF$150=Y$1),0),$C165-1966)</f>
        <v>82537</v>
      </c>
      <c r="Z165" s="4" cm="1">
        <f t="array" ref="Z165">INDEX(GMW!$A$2:$NF$150,MATCH(1,(GMW!$NE$2:$NE$150=Z$3)*(GMW!$ND$2:$ND$150=Z$4)*(GMW!$NF$2:$NF$150=Z$1),0),$C165-1966)</f>
        <v>47249</v>
      </c>
      <c r="AA165" s="4" cm="1">
        <f t="array" ref="AA165">INDEX(GMW!$A$2:$NF$150,MATCH(1,(GMW!$NE$2:$NE$150=AA$3)*(GMW!$ND$2:$ND$150=AA$4)*(GMW!$NF$2:$NF$150=AA$1),0),$C165-1966)</f>
        <v>558403.6</v>
      </c>
      <c r="AB165" s="4" cm="1">
        <f t="array" ref="AB165">INDEX(GMW!$A$2:$NF$150,MATCH(1,(GMW!$NE$2:$NE$150=AB$3)*(GMW!$ND$2:$ND$150=AB$4)*(GMW!$NF$2:$NF$150=AB$1),0),$C165-1966)</f>
        <v>30611.78</v>
      </c>
      <c r="AC165" s="4" cm="1">
        <f t="array" ref="AC165">INDEX(GMW!$A$2:$NF$150,MATCH(1,(GMW!$NE$2:$NE$150=AC$3)*(GMW!$ND$2:$ND$150=AC$4)*(GMW!$NF$2:$NF$150=AC$1),0),$C165-1966)</f>
        <v>32</v>
      </c>
      <c r="AD165" s="4" cm="1">
        <f t="array" ref="AD165">INDEX(GMW!$A$2:$NF$150,MATCH(1,(GMW!$NE$2:$NE$150=AD$3)*(GMW!$ND$2:$ND$150=AD$4)*(GMW!$NF$2:$NF$150=AD$1),0),$C165-1966)</f>
        <v>529038</v>
      </c>
      <c r="AE165" s="4" cm="1">
        <f t="array" ref="AE165">INDEX(GMW!$A$2:$NF$150,MATCH(1,(GMW!$NE$2:$NE$150=AE$3)*(GMW!$ND$2:$ND$150=AE$4)*(GMW!$NF$2:$NF$150=AE$1),0),$C165-1966)</f>
        <v>41690.699999999997</v>
      </c>
      <c r="AF165" s="4" cm="1">
        <f t="array" ref="AF165">INDEX(GMW!$A$2:$NF$150,MATCH(1,(GMW!$NE$2:$NE$150=AF$3)*(GMW!$ND$2:$ND$150=AF$4)*(GMW!$NF$2:$NF$150=AF$1),0),$C165-1966)</f>
        <v>2732000</v>
      </c>
      <c r="AG165" s="4" cm="1">
        <f t="array" ref="AG165">INDEX(GMW!$A$2:$NF$150,MATCH(1,(GMW!$NE$2:$NE$150=AG$3)*(GMW!$ND$2:$ND$150=AG$4)*(GMW!$NF$2:$NF$150=AG$1),0),$C165-1966)</f>
        <v>-1.682231</v>
      </c>
      <c r="AH165" s="4" cm="1">
        <f t="array" ref="AH165">INDEX(GMW!$A$2:$NF$150,MATCH(1,(GMW!$NE$2:$NE$150=AH$3)*(GMW!$ND$2:$ND$150=AH$4)*(GMW!$NF$2:$NF$150=AH$1),0),$C165-1966)</f>
        <v>536720</v>
      </c>
      <c r="AI165" s="4" cm="1">
        <f t="array" ref="AI165">INDEX(GMW!$A$2:$NF$150,MATCH(1,(GMW!$NE$2:$NE$150=AI$3)*(GMW!$ND$2:$ND$150=AI$4)*(GMW!$NF$2:$NF$150=AI$1),0),$C165-1966)</f>
        <v>96.066670000000002</v>
      </c>
      <c r="AJ165" s="4" cm="1">
        <f t="array" ref="AJ165">INDEX(GMW!$A$2:$NF$150,MATCH(1,(GMW!$NE$2:$NE$150=AJ$3)*(GMW!$ND$2:$ND$150=AJ$4)*(GMW!$NF$2:$NF$150=AJ$1),0),$C165-1966)</f>
        <v>171661</v>
      </c>
      <c r="AK165" s="4" cm="1">
        <f t="array" ref="AK165">INDEX(GMW!$A$2:$NF$150,MATCH(1,(GMW!$NE$2:$NE$150=AK$3)*(GMW!$ND$2:$ND$150=AK$4)*(GMW!$NF$2:$NF$150=AK$1),0),$C165-1966)</f>
        <v>80308</v>
      </c>
      <c r="AL165" s="4" cm="1">
        <f t="array" ref="AL165">INDEX(GMW!$A$2:$NF$150,MATCH(1,(GMW!$NE$2:$NE$150=AL$3)*(GMW!$ND$2:$ND$150=AL$4)*(GMW!$NF$2:$NF$150=AL$1),0),$C165-1966)</f>
        <v>172124</v>
      </c>
      <c r="AM165" s="4" cm="1">
        <f t="array" ref="AM165">INDEX(GMW!$A$2:$NF$150,MATCH(1,(GMW!$NE$2:$NE$150=AM$3)*(GMW!$ND$2:$ND$150=AM$4)*(GMW!$NF$2:$NF$150=AM$1),0),$C165-1966)</f>
        <v>100203</v>
      </c>
      <c r="AN165" s="4" cm="1">
        <f t="array" ref="AN165">INDEX(GMW!$A$2:$NF$150,MATCH(1,(GMW!$NE$2:$NE$150=AN$3)*(GMW!$ND$2:$ND$150=AN$4)*(GMW!$NF$2:$NF$150=AN$1),0),$C165-1966)</f>
        <v>82537</v>
      </c>
      <c r="AO165" s="4" cm="1">
        <f t="array" ref="AO165">INDEX(GMW!$A$2:$NF$150,MATCH(1,(GMW!$NE$2:$NE$150=AO$3)*(GMW!$ND$2:$ND$150=AO$4)*(GMW!$NF$2:$NF$150=AO$1),0),$C165-1966)</f>
        <v>47249</v>
      </c>
      <c r="AP165" s="4" cm="1">
        <f t="array" ref="AP165">INDEX(GMW!$A$2:$NF$150,MATCH(1,(GMW!$NE$2:$NE$150=AP$3)*(GMW!$ND$2:$ND$150=AP$4)*(GMW!$NF$2:$NF$150=AP$1),0),$C165-1966)</f>
        <v>558403.6</v>
      </c>
      <c r="AQ165" s="4" cm="1">
        <f t="array" ref="AQ165">INDEX(GMW!$A$2:$NF$150,MATCH(1,(GMW!$NE$2:$NE$150=AQ$3)*(GMW!$ND$2:$ND$150=AQ$4)*(GMW!$NF$2:$NF$150=AQ$1),0),$C165-1966)</f>
        <v>30611.78</v>
      </c>
      <c r="AR165" s="4" cm="1">
        <f t="array" ref="AR165">INDEX(GMW!$A$2:$NF$150,MATCH(1,(GMW!$NE$2:$NE$150=AR$3)*(GMW!$ND$2:$ND$150=AR$4)*(GMW!$NF$2:$NF$150=AR$1),0),$C165-1966)</f>
        <v>32</v>
      </c>
      <c r="AS165" s="4" cm="1">
        <f t="array" ref="AS165">INDEX(GMW!$A$2:$NF$150,MATCH(1,(GMW!$NE$2:$NE$150=AS$3)*(GMW!$ND$2:$ND$150=AS$4)*(GMW!$NF$2:$NF$150=AS$1),0),$C165-1966)</f>
        <v>529038</v>
      </c>
      <c r="AT165" s="4" cm="1">
        <f t="array" ref="AT165">INDEX(GMW!$A$2:$NF$150,MATCH(1,(GMW!$NE$2:$NE$150=AT$3)*(GMW!$ND$2:$ND$150=AT$4)*(GMW!$NF$2:$NF$150=AT$1),0),$C165-1966)</f>
        <v>41690.699999999997</v>
      </c>
      <c r="AU165" s="4" cm="1">
        <f t="array" ref="AU165">INDEX(GMW!$A$2:$NF$150,MATCH(1,(GMW!$NE$2:$NE$150=AU$3)*(GMW!$ND$2:$ND$150=AU$4)*(GMW!$NF$2:$NF$150=AU$1),0),$C165-1966)</f>
        <v>2732000</v>
      </c>
      <c r="AV165" s="4" cm="1">
        <f t="array" ref="AV165">INDEX(GMW!$A$2:$NF$150,MATCH(1,(GMW!$NE$2:$NE$150=AV$3)*(GMW!$ND$2:$ND$150=AV$4)*(GMW!$NF$2:$NF$150=AV$1),0),$C165-1966)</f>
        <v>-1.682231</v>
      </c>
    </row>
    <row r="166" spans="1:48" x14ac:dyDescent="0.25">
      <c r="B166" s="4">
        <f t="shared" si="8"/>
        <v>2012</v>
      </c>
      <c r="C166" s="4">
        <f t="shared" si="7"/>
        <v>2132</v>
      </c>
      <c r="D166" s="4" cm="1">
        <f t="array" ref="D166">INDEX(GMW!$A$2:$NF$150,MATCH(1,(GMW!$NE$2:$NE$150=D$3)*(GMW!$ND$2:$ND$150=D$4)*(GMW!$NF$2:$NF$150=D$1),0),$C166-1966)</f>
        <v>536188</v>
      </c>
      <c r="E166" s="4" cm="1">
        <f t="array" ref="E166">INDEX(GMW!$A$2:$NF$150,MATCH(1,(GMW!$NE$2:$NE$150=E$3)*(GMW!$ND$2:$ND$150=E$4)*(GMW!$NF$2:$NF$150=E$1),0),$C166-1966)</f>
        <v>97.266670000000005</v>
      </c>
      <c r="F166" s="4" cm="1">
        <f t="array" ref="F166">INDEX(GMW!$A$2:$NF$150,MATCH(1,(GMW!$NE$2:$NE$150=F$3)*(GMW!$ND$2:$ND$150=F$4)*(GMW!$NF$2:$NF$150=F$1),0),$C166-1966)</f>
        <v>167437</v>
      </c>
      <c r="G166" s="4" cm="1">
        <f t="array" ref="G166">INDEX(GMW!$A$2:$NF$150,MATCH(1,(GMW!$NE$2:$NE$150=G$3)*(GMW!$ND$2:$ND$150=G$4)*(GMW!$NF$2:$NF$150=G$1),0),$C166-1966)</f>
        <v>79657</v>
      </c>
      <c r="H166" s="4" cm="1">
        <f t="array" ref="H166">INDEX(GMW!$A$2:$NF$150,MATCH(1,(GMW!$NE$2:$NE$150=H$3)*(GMW!$ND$2:$ND$150=H$4)*(GMW!$NF$2:$NF$150=H$1),0),$C166-1966)</f>
        <v>169344</v>
      </c>
      <c r="I166" s="4" cm="1">
        <f t="array" ref="I166">INDEX(GMW!$A$2:$NF$150,MATCH(1,(GMW!$NE$2:$NE$150=I$3)*(GMW!$ND$2:$ND$150=I$4)*(GMW!$NF$2:$NF$150=I$1),0),$C166-1966)</f>
        <v>96520</v>
      </c>
      <c r="J166" s="4" cm="1">
        <f t="array" ref="J166">INDEX(GMW!$A$2:$NF$150,MATCH(1,(GMW!$NE$2:$NE$150=J$3)*(GMW!$ND$2:$ND$150=J$4)*(GMW!$NF$2:$NF$150=J$1),0),$C166-1966)</f>
        <v>85851</v>
      </c>
      <c r="K166" s="4" cm="1">
        <f t="array" ref="K166">INDEX(GMW!$A$2:$NF$150,MATCH(1,(GMW!$NE$2:$NE$150=K$3)*(GMW!$ND$2:$ND$150=K$4)*(GMW!$NF$2:$NF$150=K$1),0),$C166-1966)</f>
        <v>49989</v>
      </c>
      <c r="L166" s="4" cm="1">
        <f t="array" ref="L166">INDEX(GMW!$A$2:$NF$150,MATCH(1,(GMW!$NE$2:$NE$150=L$3)*(GMW!$ND$2:$ND$150=L$4)*(GMW!$NF$2:$NF$150=L$1),0),$C166-1966)</f>
        <v>559890.80000000005</v>
      </c>
      <c r="M166" s="4" cm="1">
        <f t="array" ref="M166">INDEX(GMW!$A$2:$NF$150,MATCH(1,(GMW!$NE$2:$NE$150=M$3)*(GMW!$ND$2:$ND$150=M$4)*(GMW!$NF$2:$NF$150=M$1),0),$C166-1966)</f>
        <v>30757.61</v>
      </c>
      <c r="N166" s="4" cm="1">
        <f t="array" ref="N166">INDEX(GMW!$A$2:$NF$150,MATCH(1,(GMW!$NE$2:$NE$150=N$3)*(GMW!$ND$2:$ND$150=N$4)*(GMW!$NF$2:$NF$150=N$1),0),$C166-1966)</f>
        <v>31.9</v>
      </c>
      <c r="O166" s="4" cm="1">
        <f t="array" ref="O166">INDEX(GMW!$A$2:$NF$150,MATCH(1,(GMW!$NE$2:$NE$150=O$3)*(GMW!$ND$2:$ND$150=O$4)*(GMW!$NF$2:$NF$150=O$1),0),$C166-1966)</f>
        <v>530285.6</v>
      </c>
      <c r="P166" s="4" cm="1">
        <f t="array" ref="P166">INDEX(GMW!$A$2:$NF$150,MATCH(1,(GMW!$NE$2:$NE$150=P$3)*(GMW!$ND$2:$ND$150=P$4)*(GMW!$NF$2:$NF$150=P$1),0),$C166-1966)</f>
        <v>41702.559999999998</v>
      </c>
      <c r="Q166" s="4" cm="1">
        <f t="array" ref="Q166">INDEX(GMW!$A$2:$NF$150,MATCH(1,(GMW!$NE$2:$NE$150=Q$3)*(GMW!$ND$2:$ND$150=Q$4)*(GMW!$NF$2:$NF$150=Q$1),0),$C166-1966)</f>
        <v>2740000</v>
      </c>
      <c r="R166" s="4" cm="1">
        <f t="array" ref="R166">INDEX(GMW!$A$2:$NF$150,MATCH(1,(GMW!$NE$2:$NE$150=R$3)*(GMW!$ND$2:$ND$150=R$4)*(GMW!$NF$2:$NF$150=R$1),0),$C166-1966)</f>
        <v>-1.682274</v>
      </c>
      <c r="S166" s="4" cm="1">
        <f t="array" ref="S166">INDEX(GMW!$A$2:$NF$150,MATCH(1,(GMW!$NE$2:$NE$150=S$3)*(GMW!$ND$2:$ND$150=S$4)*(GMW!$NF$2:$NF$150=S$1),0),$C166-1966)</f>
        <v>536188</v>
      </c>
      <c r="T166" s="4" cm="1">
        <f t="array" ref="T166">INDEX(GMW!$A$2:$NF$150,MATCH(1,(GMW!$NE$2:$NE$150=T$3)*(GMW!$ND$2:$ND$150=T$4)*(GMW!$NF$2:$NF$150=T$1),0),$C166-1966)</f>
        <v>97.266670000000005</v>
      </c>
      <c r="U166" s="4" cm="1">
        <f t="array" ref="U166">INDEX(GMW!$A$2:$NF$150,MATCH(1,(GMW!$NE$2:$NE$150=U$3)*(GMW!$ND$2:$ND$150=U$4)*(GMW!$NF$2:$NF$150=U$1),0),$C166-1966)</f>
        <v>167437</v>
      </c>
      <c r="V166" s="4" cm="1">
        <f t="array" ref="V166">INDEX(GMW!$A$2:$NF$150,MATCH(1,(GMW!$NE$2:$NE$150=V$3)*(GMW!$ND$2:$ND$150=V$4)*(GMW!$NF$2:$NF$150=V$1),0),$C166-1966)</f>
        <v>79657</v>
      </c>
      <c r="W166" s="4" cm="1">
        <f t="array" ref="W166">INDEX(GMW!$A$2:$NF$150,MATCH(1,(GMW!$NE$2:$NE$150=W$3)*(GMW!$ND$2:$ND$150=W$4)*(GMW!$NF$2:$NF$150=W$1),0),$C166-1966)</f>
        <v>169344</v>
      </c>
      <c r="X166" s="4" cm="1">
        <f t="array" ref="X166">INDEX(GMW!$A$2:$NF$150,MATCH(1,(GMW!$NE$2:$NE$150=X$3)*(GMW!$ND$2:$ND$150=X$4)*(GMW!$NF$2:$NF$150=X$1),0),$C166-1966)</f>
        <v>96520</v>
      </c>
      <c r="Y166" s="4" cm="1">
        <f t="array" ref="Y166">INDEX(GMW!$A$2:$NF$150,MATCH(1,(GMW!$NE$2:$NE$150=Y$3)*(GMW!$ND$2:$ND$150=Y$4)*(GMW!$NF$2:$NF$150=Y$1),0),$C166-1966)</f>
        <v>85851</v>
      </c>
      <c r="Z166" s="4" cm="1">
        <f t="array" ref="Z166">INDEX(GMW!$A$2:$NF$150,MATCH(1,(GMW!$NE$2:$NE$150=Z$3)*(GMW!$ND$2:$ND$150=Z$4)*(GMW!$NF$2:$NF$150=Z$1),0),$C166-1966)</f>
        <v>49989</v>
      </c>
      <c r="AA166" s="4" cm="1">
        <f t="array" ref="AA166">INDEX(GMW!$A$2:$NF$150,MATCH(1,(GMW!$NE$2:$NE$150=AA$3)*(GMW!$ND$2:$ND$150=AA$4)*(GMW!$NF$2:$NF$150=AA$1),0),$C166-1966)</f>
        <v>559890.80000000005</v>
      </c>
      <c r="AB166" s="4" cm="1">
        <f t="array" ref="AB166">INDEX(GMW!$A$2:$NF$150,MATCH(1,(GMW!$NE$2:$NE$150=AB$3)*(GMW!$ND$2:$ND$150=AB$4)*(GMW!$NF$2:$NF$150=AB$1),0),$C166-1966)</f>
        <v>30757.61</v>
      </c>
      <c r="AC166" s="4" cm="1">
        <f t="array" ref="AC166">INDEX(GMW!$A$2:$NF$150,MATCH(1,(GMW!$NE$2:$NE$150=AC$3)*(GMW!$ND$2:$ND$150=AC$4)*(GMW!$NF$2:$NF$150=AC$1),0),$C166-1966)</f>
        <v>31.9</v>
      </c>
      <c r="AD166" s="4" cm="1">
        <f t="array" ref="AD166">INDEX(GMW!$A$2:$NF$150,MATCH(1,(GMW!$NE$2:$NE$150=AD$3)*(GMW!$ND$2:$ND$150=AD$4)*(GMW!$NF$2:$NF$150=AD$1),0),$C166-1966)</f>
        <v>530285.6</v>
      </c>
      <c r="AE166" s="4" cm="1">
        <f t="array" ref="AE166">INDEX(GMW!$A$2:$NF$150,MATCH(1,(GMW!$NE$2:$NE$150=AE$3)*(GMW!$ND$2:$ND$150=AE$4)*(GMW!$NF$2:$NF$150=AE$1),0),$C166-1966)</f>
        <v>41702.559999999998</v>
      </c>
      <c r="AF166" s="4" cm="1">
        <f t="array" ref="AF166">INDEX(GMW!$A$2:$NF$150,MATCH(1,(GMW!$NE$2:$NE$150=AF$3)*(GMW!$ND$2:$ND$150=AF$4)*(GMW!$NF$2:$NF$150=AF$1),0),$C166-1966)</f>
        <v>2740000</v>
      </c>
      <c r="AG166" s="4" cm="1">
        <f t="array" ref="AG166">INDEX(GMW!$A$2:$NF$150,MATCH(1,(GMW!$NE$2:$NE$150=AG$3)*(GMW!$ND$2:$ND$150=AG$4)*(GMW!$NF$2:$NF$150=AG$1),0),$C166-1966)</f>
        <v>-1.682274</v>
      </c>
      <c r="AH166" s="4" cm="1">
        <f t="array" ref="AH166">INDEX(GMW!$A$2:$NF$150,MATCH(1,(GMW!$NE$2:$NE$150=AH$3)*(GMW!$ND$2:$ND$150=AH$4)*(GMW!$NF$2:$NF$150=AH$1),0),$C166-1966)</f>
        <v>536188</v>
      </c>
      <c r="AI166" s="4" cm="1">
        <f t="array" ref="AI166">INDEX(GMW!$A$2:$NF$150,MATCH(1,(GMW!$NE$2:$NE$150=AI$3)*(GMW!$ND$2:$ND$150=AI$4)*(GMW!$NF$2:$NF$150=AI$1),0),$C166-1966)</f>
        <v>97.266670000000005</v>
      </c>
      <c r="AJ166" s="4" cm="1">
        <f t="array" ref="AJ166">INDEX(GMW!$A$2:$NF$150,MATCH(1,(GMW!$NE$2:$NE$150=AJ$3)*(GMW!$ND$2:$ND$150=AJ$4)*(GMW!$NF$2:$NF$150=AJ$1),0),$C166-1966)</f>
        <v>167437</v>
      </c>
      <c r="AK166" s="4" cm="1">
        <f t="array" ref="AK166">INDEX(GMW!$A$2:$NF$150,MATCH(1,(GMW!$NE$2:$NE$150=AK$3)*(GMW!$ND$2:$ND$150=AK$4)*(GMW!$NF$2:$NF$150=AK$1),0),$C166-1966)</f>
        <v>79657</v>
      </c>
      <c r="AL166" s="4" cm="1">
        <f t="array" ref="AL166">INDEX(GMW!$A$2:$NF$150,MATCH(1,(GMW!$NE$2:$NE$150=AL$3)*(GMW!$ND$2:$ND$150=AL$4)*(GMW!$NF$2:$NF$150=AL$1),0),$C166-1966)</f>
        <v>169344</v>
      </c>
      <c r="AM166" s="4" cm="1">
        <f t="array" ref="AM166">INDEX(GMW!$A$2:$NF$150,MATCH(1,(GMW!$NE$2:$NE$150=AM$3)*(GMW!$ND$2:$ND$150=AM$4)*(GMW!$NF$2:$NF$150=AM$1),0),$C166-1966)</f>
        <v>96520</v>
      </c>
      <c r="AN166" s="4" cm="1">
        <f t="array" ref="AN166">INDEX(GMW!$A$2:$NF$150,MATCH(1,(GMW!$NE$2:$NE$150=AN$3)*(GMW!$ND$2:$ND$150=AN$4)*(GMW!$NF$2:$NF$150=AN$1),0),$C166-1966)</f>
        <v>85851</v>
      </c>
      <c r="AO166" s="4" cm="1">
        <f t="array" ref="AO166">INDEX(GMW!$A$2:$NF$150,MATCH(1,(GMW!$NE$2:$NE$150=AO$3)*(GMW!$ND$2:$ND$150=AO$4)*(GMW!$NF$2:$NF$150=AO$1),0),$C166-1966)</f>
        <v>49989</v>
      </c>
      <c r="AP166" s="4" cm="1">
        <f t="array" ref="AP166">INDEX(GMW!$A$2:$NF$150,MATCH(1,(GMW!$NE$2:$NE$150=AP$3)*(GMW!$ND$2:$ND$150=AP$4)*(GMW!$NF$2:$NF$150=AP$1),0),$C166-1966)</f>
        <v>559890.80000000005</v>
      </c>
      <c r="AQ166" s="4" cm="1">
        <f t="array" ref="AQ166">INDEX(GMW!$A$2:$NF$150,MATCH(1,(GMW!$NE$2:$NE$150=AQ$3)*(GMW!$ND$2:$ND$150=AQ$4)*(GMW!$NF$2:$NF$150=AQ$1),0),$C166-1966)</f>
        <v>30757.61</v>
      </c>
      <c r="AR166" s="4" cm="1">
        <f t="array" ref="AR166">INDEX(GMW!$A$2:$NF$150,MATCH(1,(GMW!$NE$2:$NE$150=AR$3)*(GMW!$ND$2:$ND$150=AR$4)*(GMW!$NF$2:$NF$150=AR$1),0),$C166-1966)</f>
        <v>31.9</v>
      </c>
      <c r="AS166" s="4" cm="1">
        <f t="array" ref="AS166">INDEX(GMW!$A$2:$NF$150,MATCH(1,(GMW!$NE$2:$NE$150=AS$3)*(GMW!$ND$2:$ND$150=AS$4)*(GMW!$NF$2:$NF$150=AS$1),0),$C166-1966)</f>
        <v>530285.6</v>
      </c>
      <c r="AT166" s="4" cm="1">
        <f t="array" ref="AT166">INDEX(GMW!$A$2:$NF$150,MATCH(1,(GMW!$NE$2:$NE$150=AT$3)*(GMW!$ND$2:$ND$150=AT$4)*(GMW!$NF$2:$NF$150=AT$1),0),$C166-1966)</f>
        <v>41702.559999999998</v>
      </c>
      <c r="AU166" s="4" cm="1">
        <f t="array" ref="AU166">INDEX(GMW!$A$2:$NF$150,MATCH(1,(GMW!$NE$2:$NE$150=AU$3)*(GMW!$ND$2:$ND$150=AU$4)*(GMW!$NF$2:$NF$150=AU$1),0),$C166-1966)</f>
        <v>2740000</v>
      </c>
      <c r="AV166" s="4" cm="1">
        <f t="array" ref="AV166">INDEX(GMW!$A$2:$NF$150,MATCH(1,(GMW!$NE$2:$NE$150=AV$3)*(GMW!$ND$2:$ND$150=AV$4)*(GMW!$NF$2:$NF$150=AV$1),0),$C166-1966)</f>
        <v>-1.682274</v>
      </c>
    </row>
    <row r="167" spans="1:48" x14ac:dyDescent="0.25">
      <c r="A167" s="4">
        <v>2013</v>
      </c>
      <c r="B167" s="4">
        <f t="shared" si="8"/>
        <v>2013</v>
      </c>
      <c r="C167" s="4">
        <f t="shared" si="7"/>
        <v>2133</v>
      </c>
      <c r="D167" s="4" cm="1">
        <f t="array" ref="D167">INDEX(GMW!$A$2:$NF$150,MATCH(1,(GMW!$NE$2:$NE$150=D$3)*(GMW!$ND$2:$ND$150=D$4)*(GMW!$NF$2:$NF$150=D$1),0),$C167-1966)</f>
        <v>537974</v>
      </c>
      <c r="E167" s="4" cm="1">
        <f t="array" ref="E167">INDEX(GMW!$A$2:$NF$150,MATCH(1,(GMW!$NE$2:$NE$150=E$3)*(GMW!$ND$2:$ND$150=E$4)*(GMW!$NF$2:$NF$150=E$1),0),$C167-1966)</f>
        <v>97.666659999999993</v>
      </c>
      <c r="F167" s="4" cm="1">
        <f t="array" ref="F167">INDEX(GMW!$A$2:$NF$150,MATCH(1,(GMW!$NE$2:$NE$150=F$3)*(GMW!$ND$2:$ND$150=F$4)*(GMW!$NF$2:$NF$150=F$1),0),$C167-1966)</f>
        <v>171074</v>
      </c>
      <c r="G167" s="4" cm="1">
        <f t="array" ref="G167">INDEX(GMW!$A$2:$NF$150,MATCH(1,(GMW!$NE$2:$NE$150=G$3)*(GMW!$ND$2:$ND$150=G$4)*(GMW!$NF$2:$NF$150=G$1),0),$C167-1966)</f>
        <v>78390</v>
      </c>
      <c r="H167" s="4" cm="1">
        <f t="array" ref="H167">INDEX(GMW!$A$2:$NF$150,MATCH(1,(GMW!$NE$2:$NE$150=H$3)*(GMW!$ND$2:$ND$150=H$4)*(GMW!$NF$2:$NF$150=H$1),0),$C167-1966)</f>
        <v>169789</v>
      </c>
      <c r="I167" s="4" cm="1">
        <f t="array" ref="I167">INDEX(GMW!$A$2:$NF$150,MATCH(1,(GMW!$NE$2:$NE$150=I$3)*(GMW!$ND$2:$ND$150=I$4)*(GMW!$NF$2:$NF$150=I$1),0),$C167-1966)</f>
        <v>100176</v>
      </c>
      <c r="J167" s="4" cm="1">
        <f t="array" ref="J167">INDEX(GMW!$A$2:$NF$150,MATCH(1,(GMW!$NE$2:$NE$150=J$3)*(GMW!$ND$2:$ND$150=J$4)*(GMW!$NF$2:$NF$150=J$1),0),$C167-1966)</f>
        <v>83337</v>
      </c>
      <c r="K167" s="4" cm="1">
        <f t="array" ref="K167">INDEX(GMW!$A$2:$NF$150,MATCH(1,(GMW!$NE$2:$NE$150=K$3)*(GMW!$ND$2:$ND$150=K$4)*(GMW!$NF$2:$NF$150=K$1),0),$C167-1966)</f>
        <v>48539</v>
      </c>
      <c r="L167" s="4" cm="1">
        <f t="array" ref="L167">INDEX(GMW!$A$2:$NF$150,MATCH(1,(GMW!$NE$2:$NE$150=L$3)*(GMW!$ND$2:$ND$150=L$4)*(GMW!$NF$2:$NF$150=L$1),0),$C167-1966)</f>
        <v>561308.9</v>
      </c>
      <c r="M167" s="4" cm="1">
        <f t="array" ref="M167">INDEX(GMW!$A$2:$NF$150,MATCH(1,(GMW!$NE$2:$NE$150=M$3)*(GMW!$ND$2:$ND$150=M$4)*(GMW!$NF$2:$NF$150=M$1),0),$C167-1966)</f>
        <v>30705.53</v>
      </c>
      <c r="N167" s="4" cm="1">
        <f t="array" ref="N167">INDEX(GMW!$A$2:$NF$150,MATCH(1,(GMW!$NE$2:$NE$150=N$3)*(GMW!$ND$2:$ND$150=N$4)*(GMW!$NF$2:$NF$150=N$1),0),$C167-1966)</f>
        <v>32</v>
      </c>
      <c r="O167" s="4" cm="1">
        <f t="array" ref="O167">INDEX(GMW!$A$2:$NF$150,MATCH(1,(GMW!$NE$2:$NE$150=O$3)*(GMW!$ND$2:$ND$150=O$4)*(GMW!$NF$2:$NF$150=O$1),0),$C167-1966)</f>
        <v>531526.9</v>
      </c>
      <c r="P167" s="4" cm="1">
        <f t="array" ref="P167">INDEX(GMW!$A$2:$NF$150,MATCH(1,(GMW!$NE$2:$NE$150=P$3)*(GMW!$ND$2:$ND$150=P$4)*(GMW!$NF$2:$NF$150=P$1),0),$C167-1966)</f>
        <v>41714.43</v>
      </c>
      <c r="Q167" s="4" cm="1">
        <f t="array" ref="Q167">INDEX(GMW!$A$2:$NF$150,MATCH(1,(GMW!$NE$2:$NE$150=Q$3)*(GMW!$ND$2:$ND$150=Q$4)*(GMW!$NF$2:$NF$150=Q$1),0),$C167-1966)</f>
        <v>2749250</v>
      </c>
      <c r="R167" s="4" cm="1">
        <f t="array" ref="R167">INDEX(GMW!$A$2:$NF$150,MATCH(1,(GMW!$NE$2:$NE$150=R$3)*(GMW!$ND$2:$ND$150=R$4)*(GMW!$NF$2:$NF$150=R$1),0),$C167-1966)</f>
        <v>-1.6823159999999999</v>
      </c>
      <c r="S167" s="4" cm="1">
        <f t="array" ref="S167">INDEX(GMW!$A$2:$NF$150,MATCH(1,(GMW!$NE$2:$NE$150=S$3)*(GMW!$ND$2:$ND$150=S$4)*(GMW!$NF$2:$NF$150=S$1),0),$C167-1966)</f>
        <v>537974</v>
      </c>
      <c r="T167" s="4" cm="1">
        <f t="array" ref="T167">INDEX(GMW!$A$2:$NF$150,MATCH(1,(GMW!$NE$2:$NE$150=T$3)*(GMW!$ND$2:$ND$150=T$4)*(GMW!$NF$2:$NF$150=T$1),0),$C167-1966)</f>
        <v>97.666659999999993</v>
      </c>
      <c r="U167" s="4" cm="1">
        <f t="array" ref="U167">INDEX(GMW!$A$2:$NF$150,MATCH(1,(GMW!$NE$2:$NE$150=U$3)*(GMW!$ND$2:$ND$150=U$4)*(GMW!$NF$2:$NF$150=U$1),0),$C167-1966)</f>
        <v>171074</v>
      </c>
      <c r="V167" s="4" cm="1">
        <f t="array" ref="V167">INDEX(GMW!$A$2:$NF$150,MATCH(1,(GMW!$NE$2:$NE$150=V$3)*(GMW!$ND$2:$ND$150=V$4)*(GMW!$NF$2:$NF$150=V$1),0),$C167-1966)</f>
        <v>78390</v>
      </c>
      <c r="W167" s="4" cm="1">
        <f t="array" ref="W167">INDEX(GMW!$A$2:$NF$150,MATCH(1,(GMW!$NE$2:$NE$150=W$3)*(GMW!$ND$2:$ND$150=W$4)*(GMW!$NF$2:$NF$150=W$1),0),$C167-1966)</f>
        <v>169789</v>
      </c>
      <c r="X167" s="4" cm="1">
        <f t="array" ref="X167">INDEX(GMW!$A$2:$NF$150,MATCH(1,(GMW!$NE$2:$NE$150=X$3)*(GMW!$ND$2:$ND$150=X$4)*(GMW!$NF$2:$NF$150=X$1),0),$C167-1966)</f>
        <v>100176</v>
      </c>
      <c r="Y167" s="4" cm="1">
        <f t="array" ref="Y167">INDEX(GMW!$A$2:$NF$150,MATCH(1,(GMW!$NE$2:$NE$150=Y$3)*(GMW!$ND$2:$ND$150=Y$4)*(GMW!$NF$2:$NF$150=Y$1),0),$C167-1966)</f>
        <v>83337</v>
      </c>
      <c r="Z167" s="4" cm="1">
        <f t="array" ref="Z167">INDEX(GMW!$A$2:$NF$150,MATCH(1,(GMW!$NE$2:$NE$150=Z$3)*(GMW!$ND$2:$ND$150=Z$4)*(GMW!$NF$2:$NF$150=Z$1),0),$C167-1966)</f>
        <v>48539</v>
      </c>
      <c r="AA167" s="4" cm="1">
        <f t="array" ref="AA167">INDEX(GMW!$A$2:$NF$150,MATCH(1,(GMW!$NE$2:$NE$150=AA$3)*(GMW!$ND$2:$ND$150=AA$4)*(GMW!$NF$2:$NF$150=AA$1),0),$C167-1966)</f>
        <v>561308.9</v>
      </c>
      <c r="AB167" s="4" cm="1">
        <f t="array" ref="AB167">INDEX(GMW!$A$2:$NF$150,MATCH(1,(GMW!$NE$2:$NE$150=AB$3)*(GMW!$ND$2:$ND$150=AB$4)*(GMW!$NF$2:$NF$150=AB$1),0),$C167-1966)</f>
        <v>30705.53</v>
      </c>
      <c r="AC167" s="4" cm="1">
        <f t="array" ref="AC167">INDEX(GMW!$A$2:$NF$150,MATCH(1,(GMW!$NE$2:$NE$150=AC$3)*(GMW!$ND$2:$ND$150=AC$4)*(GMW!$NF$2:$NF$150=AC$1),0),$C167-1966)</f>
        <v>32</v>
      </c>
      <c r="AD167" s="4" cm="1">
        <f t="array" ref="AD167">INDEX(GMW!$A$2:$NF$150,MATCH(1,(GMW!$NE$2:$NE$150=AD$3)*(GMW!$ND$2:$ND$150=AD$4)*(GMW!$NF$2:$NF$150=AD$1),0),$C167-1966)</f>
        <v>531526.9</v>
      </c>
      <c r="AE167" s="4" cm="1">
        <f t="array" ref="AE167">INDEX(GMW!$A$2:$NF$150,MATCH(1,(GMW!$NE$2:$NE$150=AE$3)*(GMW!$ND$2:$ND$150=AE$4)*(GMW!$NF$2:$NF$150=AE$1),0),$C167-1966)</f>
        <v>41714.43</v>
      </c>
      <c r="AF167" s="4" cm="1">
        <f t="array" ref="AF167">INDEX(GMW!$A$2:$NF$150,MATCH(1,(GMW!$NE$2:$NE$150=AF$3)*(GMW!$ND$2:$ND$150=AF$4)*(GMW!$NF$2:$NF$150=AF$1),0),$C167-1966)</f>
        <v>2749250</v>
      </c>
      <c r="AG167" s="4" cm="1">
        <f t="array" ref="AG167">INDEX(GMW!$A$2:$NF$150,MATCH(1,(GMW!$NE$2:$NE$150=AG$3)*(GMW!$ND$2:$ND$150=AG$4)*(GMW!$NF$2:$NF$150=AG$1),0),$C167-1966)</f>
        <v>-1.6823159999999999</v>
      </c>
      <c r="AH167" s="4" cm="1">
        <f t="array" ref="AH167">INDEX(GMW!$A$2:$NF$150,MATCH(1,(GMW!$NE$2:$NE$150=AH$3)*(GMW!$ND$2:$ND$150=AH$4)*(GMW!$NF$2:$NF$150=AH$1),0),$C167-1966)</f>
        <v>537974</v>
      </c>
      <c r="AI167" s="4" cm="1">
        <f t="array" ref="AI167">INDEX(GMW!$A$2:$NF$150,MATCH(1,(GMW!$NE$2:$NE$150=AI$3)*(GMW!$ND$2:$ND$150=AI$4)*(GMW!$NF$2:$NF$150=AI$1),0),$C167-1966)</f>
        <v>97.666659999999993</v>
      </c>
      <c r="AJ167" s="4" cm="1">
        <f t="array" ref="AJ167">INDEX(GMW!$A$2:$NF$150,MATCH(1,(GMW!$NE$2:$NE$150=AJ$3)*(GMW!$ND$2:$ND$150=AJ$4)*(GMW!$NF$2:$NF$150=AJ$1),0),$C167-1966)</f>
        <v>171074</v>
      </c>
      <c r="AK167" s="4" cm="1">
        <f t="array" ref="AK167">INDEX(GMW!$A$2:$NF$150,MATCH(1,(GMW!$NE$2:$NE$150=AK$3)*(GMW!$ND$2:$ND$150=AK$4)*(GMW!$NF$2:$NF$150=AK$1),0),$C167-1966)</f>
        <v>78390</v>
      </c>
      <c r="AL167" s="4" cm="1">
        <f t="array" ref="AL167">INDEX(GMW!$A$2:$NF$150,MATCH(1,(GMW!$NE$2:$NE$150=AL$3)*(GMW!$ND$2:$ND$150=AL$4)*(GMW!$NF$2:$NF$150=AL$1),0),$C167-1966)</f>
        <v>169789</v>
      </c>
      <c r="AM167" s="4" cm="1">
        <f t="array" ref="AM167">INDEX(GMW!$A$2:$NF$150,MATCH(1,(GMW!$NE$2:$NE$150=AM$3)*(GMW!$ND$2:$ND$150=AM$4)*(GMW!$NF$2:$NF$150=AM$1),0),$C167-1966)</f>
        <v>100176</v>
      </c>
      <c r="AN167" s="4" cm="1">
        <f t="array" ref="AN167">INDEX(GMW!$A$2:$NF$150,MATCH(1,(GMW!$NE$2:$NE$150=AN$3)*(GMW!$ND$2:$ND$150=AN$4)*(GMW!$NF$2:$NF$150=AN$1),0),$C167-1966)</f>
        <v>83337</v>
      </c>
      <c r="AO167" s="4" cm="1">
        <f t="array" ref="AO167">INDEX(GMW!$A$2:$NF$150,MATCH(1,(GMW!$NE$2:$NE$150=AO$3)*(GMW!$ND$2:$ND$150=AO$4)*(GMW!$NF$2:$NF$150=AO$1),0),$C167-1966)</f>
        <v>48539</v>
      </c>
      <c r="AP167" s="4" cm="1">
        <f t="array" ref="AP167">INDEX(GMW!$A$2:$NF$150,MATCH(1,(GMW!$NE$2:$NE$150=AP$3)*(GMW!$ND$2:$ND$150=AP$4)*(GMW!$NF$2:$NF$150=AP$1),0),$C167-1966)</f>
        <v>561308.9</v>
      </c>
      <c r="AQ167" s="4" cm="1">
        <f t="array" ref="AQ167">INDEX(GMW!$A$2:$NF$150,MATCH(1,(GMW!$NE$2:$NE$150=AQ$3)*(GMW!$ND$2:$ND$150=AQ$4)*(GMW!$NF$2:$NF$150=AQ$1),0),$C167-1966)</f>
        <v>30705.53</v>
      </c>
      <c r="AR167" s="4" cm="1">
        <f t="array" ref="AR167">INDEX(GMW!$A$2:$NF$150,MATCH(1,(GMW!$NE$2:$NE$150=AR$3)*(GMW!$ND$2:$ND$150=AR$4)*(GMW!$NF$2:$NF$150=AR$1),0),$C167-1966)</f>
        <v>32</v>
      </c>
      <c r="AS167" s="4" cm="1">
        <f t="array" ref="AS167">INDEX(GMW!$A$2:$NF$150,MATCH(1,(GMW!$NE$2:$NE$150=AS$3)*(GMW!$ND$2:$ND$150=AS$4)*(GMW!$NF$2:$NF$150=AS$1),0),$C167-1966)</f>
        <v>531526.9</v>
      </c>
      <c r="AT167" s="4" cm="1">
        <f t="array" ref="AT167">INDEX(GMW!$A$2:$NF$150,MATCH(1,(GMW!$NE$2:$NE$150=AT$3)*(GMW!$ND$2:$ND$150=AT$4)*(GMW!$NF$2:$NF$150=AT$1),0),$C167-1966)</f>
        <v>41714.43</v>
      </c>
      <c r="AU167" s="4" cm="1">
        <f t="array" ref="AU167">INDEX(GMW!$A$2:$NF$150,MATCH(1,(GMW!$NE$2:$NE$150=AU$3)*(GMW!$ND$2:$ND$150=AU$4)*(GMW!$NF$2:$NF$150=AU$1),0),$C167-1966)</f>
        <v>2749250</v>
      </c>
      <c r="AV167" s="4" cm="1">
        <f t="array" ref="AV167">INDEX(GMW!$A$2:$NF$150,MATCH(1,(GMW!$NE$2:$NE$150=AV$3)*(GMW!$ND$2:$ND$150=AV$4)*(GMW!$NF$2:$NF$150=AV$1),0),$C167-1966)</f>
        <v>-1.6823159999999999</v>
      </c>
    </row>
    <row r="168" spans="1:48" x14ac:dyDescent="0.25">
      <c r="B168" s="4">
        <f t="shared" si="8"/>
        <v>2013</v>
      </c>
      <c r="C168" s="4">
        <f t="shared" si="7"/>
        <v>2134</v>
      </c>
      <c r="D168" s="4" cm="1">
        <f t="array" ref="D168">INDEX(GMW!$A$2:$NF$150,MATCH(1,(GMW!$NE$2:$NE$150=D$3)*(GMW!$ND$2:$ND$150=D$4)*(GMW!$NF$2:$NF$150=D$1),0),$C168-1966)</f>
        <v>541586</v>
      </c>
      <c r="E168" s="4" cm="1">
        <f t="array" ref="E168">INDEX(GMW!$A$2:$NF$150,MATCH(1,(GMW!$NE$2:$NE$150=E$3)*(GMW!$ND$2:$ND$150=E$4)*(GMW!$NF$2:$NF$150=E$1),0),$C168-1966)</f>
        <v>98.366669999999999</v>
      </c>
      <c r="F168" s="4" cm="1">
        <f t="array" ref="F168">INDEX(GMW!$A$2:$NF$150,MATCH(1,(GMW!$NE$2:$NE$150=F$3)*(GMW!$ND$2:$ND$150=F$4)*(GMW!$NF$2:$NF$150=F$1),0),$C168-1966)</f>
        <v>172720</v>
      </c>
      <c r="G168" s="4" cm="1">
        <f t="array" ref="G168">INDEX(GMW!$A$2:$NF$150,MATCH(1,(GMW!$NE$2:$NE$150=G$3)*(GMW!$ND$2:$ND$150=G$4)*(GMW!$NF$2:$NF$150=G$1),0),$C168-1966)</f>
        <v>80561</v>
      </c>
      <c r="H168" s="4" cm="1">
        <f t="array" ref="H168">INDEX(GMW!$A$2:$NF$150,MATCH(1,(GMW!$NE$2:$NE$150=H$3)*(GMW!$ND$2:$ND$150=H$4)*(GMW!$NF$2:$NF$150=H$1),0),$C168-1966)</f>
        <v>178386</v>
      </c>
      <c r="I168" s="4" cm="1">
        <f t="array" ref="I168">INDEX(GMW!$A$2:$NF$150,MATCH(1,(GMW!$NE$2:$NE$150=I$3)*(GMW!$ND$2:$ND$150=I$4)*(GMW!$NF$2:$NF$150=I$1),0),$C168-1966)</f>
        <v>103770</v>
      </c>
      <c r="J168" s="4" cm="1">
        <f t="array" ref="J168">INDEX(GMW!$A$2:$NF$150,MATCH(1,(GMW!$NE$2:$NE$150=J$3)*(GMW!$ND$2:$ND$150=J$4)*(GMW!$NF$2:$NF$150=J$1),0),$C168-1966)</f>
        <v>86815</v>
      </c>
      <c r="K168" s="4" cm="1">
        <f t="array" ref="K168">INDEX(GMW!$A$2:$NF$150,MATCH(1,(GMW!$NE$2:$NE$150=K$3)*(GMW!$ND$2:$ND$150=K$4)*(GMW!$NF$2:$NF$150=K$1),0),$C168-1966)</f>
        <v>49510</v>
      </c>
      <c r="L168" s="4" cm="1">
        <f t="array" ref="L168">INDEX(GMW!$A$2:$NF$150,MATCH(1,(GMW!$NE$2:$NE$150=L$3)*(GMW!$ND$2:$ND$150=L$4)*(GMW!$NF$2:$NF$150=L$1),0),$C168-1966)</f>
        <v>563203.4</v>
      </c>
      <c r="M168" s="4" cm="1">
        <f t="array" ref="M168">INDEX(GMW!$A$2:$NF$150,MATCH(1,(GMW!$NE$2:$NE$150=M$3)*(GMW!$ND$2:$ND$150=M$4)*(GMW!$NF$2:$NF$150=M$1),0),$C168-1966)</f>
        <v>30782.23</v>
      </c>
      <c r="N168" s="4" cm="1">
        <f t="array" ref="N168">INDEX(GMW!$A$2:$NF$150,MATCH(1,(GMW!$NE$2:$NE$150=N$3)*(GMW!$ND$2:$ND$150=N$4)*(GMW!$NF$2:$NF$150=N$1),0),$C168-1966)</f>
        <v>32</v>
      </c>
      <c r="O168" s="4" cm="1">
        <f t="array" ref="O168">INDEX(GMW!$A$2:$NF$150,MATCH(1,(GMW!$NE$2:$NE$150=O$3)*(GMW!$ND$2:$ND$150=O$4)*(GMW!$NF$2:$NF$150=O$1),0),$C168-1966)</f>
        <v>532761.80000000005</v>
      </c>
      <c r="P168" s="4" cm="1">
        <f t="array" ref="P168">INDEX(GMW!$A$2:$NF$150,MATCH(1,(GMW!$NE$2:$NE$150=P$3)*(GMW!$ND$2:$ND$150=P$4)*(GMW!$NF$2:$NF$150=P$1),0),$C168-1966)</f>
        <v>41726.29</v>
      </c>
      <c r="Q168" s="4" cm="1">
        <f t="array" ref="Q168">INDEX(GMW!$A$2:$NF$150,MATCH(1,(GMW!$NE$2:$NE$150=Q$3)*(GMW!$ND$2:$ND$150=Q$4)*(GMW!$NF$2:$NF$150=Q$1),0),$C168-1966)</f>
        <v>2758500</v>
      </c>
      <c r="R168" s="4" cm="1">
        <f t="array" ref="R168">INDEX(GMW!$A$2:$NF$150,MATCH(1,(GMW!$NE$2:$NE$150=R$3)*(GMW!$ND$2:$ND$150=R$4)*(GMW!$NF$2:$NF$150=R$1),0),$C168-1966)</f>
        <v>-1.6823589999999999</v>
      </c>
      <c r="S168" s="4" cm="1">
        <f t="array" ref="S168">INDEX(GMW!$A$2:$NF$150,MATCH(1,(GMW!$NE$2:$NE$150=S$3)*(GMW!$ND$2:$ND$150=S$4)*(GMW!$NF$2:$NF$150=S$1),0),$C168-1966)</f>
        <v>541586</v>
      </c>
      <c r="T168" s="4" cm="1">
        <f t="array" ref="T168">INDEX(GMW!$A$2:$NF$150,MATCH(1,(GMW!$NE$2:$NE$150=T$3)*(GMW!$ND$2:$ND$150=T$4)*(GMW!$NF$2:$NF$150=T$1),0),$C168-1966)</f>
        <v>98.366669999999999</v>
      </c>
      <c r="U168" s="4" cm="1">
        <f t="array" ref="U168">INDEX(GMW!$A$2:$NF$150,MATCH(1,(GMW!$NE$2:$NE$150=U$3)*(GMW!$ND$2:$ND$150=U$4)*(GMW!$NF$2:$NF$150=U$1),0),$C168-1966)</f>
        <v>172720</v>
      </c>
      <c r="V168" s="4" cm="1">
        <f t="array" ref="V168">INDEX(GMW!$A$2:$NF$150,MATCH(1,(GMW!$NE$2:$NE$150=V$3)*(GMW!$ND$2:$ND$150=V$4)*(GMW!$NF$2:$NF$150=V$1),0),$C168-1966)</f>
        <v>80561</v>
      </c>
      <c r="W168" s="4" cm="1">
        <f t="array" ref="W168">INDEX(GMW!$A$2:$NF$150,MATCH(1,(GMW!$NE$2:$NE$150=W$3)*(GMW!$ND$2:$ND$150=W$4)*(GMW!$NF$2:$NF$150=W$1),0),$C168-1966)</f>
        <v>178386</v>
      </c>
      <c r="X168" s="4" cm="1">
        <f t="array" ref="X168">INDEX(GMW!$A$2:$NF$150,MATCH(1,(GMW!$NE$2:$NE$150=X$3)*(GMW!$ND$2:$ND$150=X$4)*(GMW!$NF$2:$NF$150=X$1),0),$C168-1966)</f>
        <v>103770</v>
      </c>
      <c r="Y168" s="4" cm="1">
        <f t="array" ref="Y168">INDEX(GMW!$A$2:$NF$150,MATCH(1,(GMW!$NE$2:$NE$150=Y$3)*(GMW!$ND$2:$ND$150=Y$4)*(GMW!$NF$2:$NF$150=Y$1),0),$C168-1966)</f>
        <v>86815</v>
      </c>
      <c r="Z168" s="4" cm="1">
        <f t="array" ref="Z168">INDEX(GMW!$A$2:$NF$150,MATCH(1,(GMW!$NE$2:$NE$150=Z$3)*(GMW!$ND$2:$ND$150=Z$4)*(GMW!$NF$2:$NF$150=Z$1),0),$C168-1966)</f>
        <v>49510</v>
      </c>
      <c r="AA168" s="4" cm="1">
        <f t="array" ref="AA168">INDEX(GMW!$A$2:$NF$150,MATCH(1,(GMW!$NE$2:$NE$150=AA$3)*(GMW!$ND$2:$ND$150=AA$4)*(GMW!$NF$2:$NF$150=AA$1),0),$C168-1966)</f>
        <v>563203.4</v>
      </c>
      <c r="AB168" s="4" cm="1">
        <f t="array" ref="AB168">INDEX(GMW!$A$2:$NF$150,MATCH(1,(GMW!$NE$2:$NE$150=AB$3)*(GMW!$ND$2:$ND$150=AB$4)*(GMW!$NF$2:$NF$150=AB$1),0),$C168-1966)</f>
        <v>30782.23</v>
      </c>
      <c r="AC168" s="4" cm="1">
        <f t="array" ref="AC168">INDEX(GMW!$A$2:$NF$150,MATCH(1,(GMW!$NE$2:$NE$150=AC$3)*(GMW!$ND$2:$ND$150=AC$4)*(GMW!$NF$2:$NF$150=AC$1),0),$C168-1966)</f>
        <v>32</v>
      </c>
      <c r="AD168" s="4" cm="1">
        <f t="array" ref="AD168">INDEX(GMW!$A$2:$NF$150,MATCH(1,(GMW!$NE$2:$NE$150=AD$3)*(GMW!$ND$2:$ND$150=AD$4)*(GMW!$NF$2:$NF$150=AD$1),0),$C168-1966)</f>
        <v>532761.80000000005</v>
      </c>
      <c r="AE168" s="4" cm="1">
        <f t="array" ref="AE168">INDEX(GMW!$A$2:$NF$150,MATCH(1,(GMW!$NE$2:$NE$150=AE$3)*(GMW!$ND$2:$ND$150=AE$4)*(GMW!$NF$2:$NF$150=AE$1),0),$C168-1966)</f>
        <v>41726.29</v>
      </c>
      <c r="AF168" s="4" cm="1">
        <f t="array" ref="AF168">INDEX(GMW!$A$2:$NF$150,MATCH(1,(GMW!$NE$2:$NE$150=AF$3)*(GMW!$ND$2:$ND$150=AF$4)*(GMW!$NF$2:$NF$150=AF$1),0),$C168-1966)</f>
        <v>2758500</v>
      </c>
      <c r="AG168" s="4" cm="1">
        <f t="array" ref="AG168">INDEX(GMW!$A$2:$NF$150,MATCH(1,(GMW!$NE$2:$NE$150=AG$3)*(GMW!$ND$2:$ND$150=AG$4)*(GMW!$NF$2:$NF$150=AG$1),0),$C168-1966)</f>
        <v>-1.6823589999999999</v>
      </c>
      <c r="AH168" s="4" cm="1">
        <f t="array" ref="AH168">INDEX(GMW!$A$2:$NF$150,MATCH(1,(GMW!$NE$2:$NE$150=AH$3)*(GMW!$ND$2:$ND$150=AH$4)*(GMW!$NF$2:$NF$150=AH$1),0),$C168-1966)</f>
        <v>541586</v>
      </c>
      <c r="AI168" s="4" cm="1">
        <f t="array" ref="AI168">INDEX(GMW!$A$2:$NF$150,MATCH(1,(GMW!$NE$2:$NE$150=AI$3)*(GMW!$ND$2:$ND$150=AI$4)*(GMW!$NF$2:$NF$150=AI$1),0),$C168-1966)</f>
        <v>98.366669999999999</v>
      </c>
      <c r="AJ168" s="4" cm="1">
        <f t="array" ref="AJ168">INDEX(GMW!$A$2:$NF$150,MATCH(1,(GMW!$NE$2:$NE$150=AJ$3)*(GMW!$ND$2:$ND$150=AJ$4)*(GMW!$NF$2:$NF$150=AJ$1),0),$C168-1966)</f>
        <v>172720</v>
      </c>
      <c r="AK168" s="4" cm="1">
        <f t="array" ref="AK168">INDEX(GMW!$A$2:$NF$150,MATCH(1,(GMW!$NE$2:$NE$150=AK$3)*(GMW!$ND$2:$ND$150=AK$4)*(GMW!$NF$2:$NF$150=AK$1),0),$C168-1966)</f>
        <v>80561</v>
      </c>
      <c r="AL168" s="4" cm="1">
        <f t="array" ref="AL168">INDEX(GMW!$A$2:$NF$150,MATCH(1,(GMW!$NE$2:$NE$150=AL$3)*(GMW!$ND$2:$ND$150=AL$4)*(GMW!$NF$2:$NF$150=AL$1),0),$C168-1966)</f>
        <v>178386</v>
      </c>
      <c r="AM168" s="4" cm="1">
        <f t="array" ref="AM168">INDEX(GMW!$A$2:$NF$150,MATCH(1,(GMW!$NE$2:$NE$150=AM$3)*(GMW!$ND$2:$ND$150=AM$4)*(GMW!$NF$2:$NF$150=AM$1),0),$C168-1966)</f>
        <v>103770</v>
      </c>
      <c r="AN168" s="4" cm="1">
        <f t="array" ref="AN168">INDEX(GMW!$A$2:$NF$150,MATCH(1,(GMW!$NE$2:$NE$150=AN$3)*(GMW!$ND$2:$ND$150=AN$4)*(GMW!$NF$2:$NF$150=AN$1),0),$C168-1966)</f>
        <v>86815</v>
      </c>
      <c r="AO168" s="4" cm="1">
        <f t="array" ref="AO168">INDEX(GMW!$A$2:$NF$150,MATCH(1,(GMW!$NE$2:$NE$150=AO$3)*(GMW!$ND$2:$ND$150=AO$4)*(GMW!$NF$2:$NF$150=AO$1),0),$C168-1966)</f>
        <v>49510</v>
      </c>
      <c r="AP168" s="4" cm="1">
        <f t="array" ref="AP168">INDEX(GMW!$A$2:$NF$150,MATCH(1,(GMW!$NE$2:$NE$150=AP$3)*(GMW!$ND$2:$ND$150=AP$4)*(GMW!$NF$2:$NF$150=AP$1),0),$C168-1966)</f>
        <v>563203.4</v>
      </c>
      <c r="AQ168" s="4" cm="1">
        <f t="array" ref="AQ168">INDEX(GMW!$A$2:$NF$150,MATCH(1,(GMW!$NE$2:$NE$150=AQ$3)*(GMW!$ND$2:$ND$150=AQ$4)*(GMW!$NF$2:$NF$150=AQ$1),0),$C168-1966)</f>
        <v>30782.23</v>
      </c>
      <c r="AR168" s="4" cm="1">
        <f t="array" ref="AR168">INDEX(GMW!$A$2:$NF$150,MATCH(1,(GMW!$NE$2:$NE$150=AR$3)*(GMW!$ND$2:$ND$150=AR$4)*(GMW!$NF$2:$NF$150=AR$1),0),$C168-1966)</f>
        <v>32</v>
      </c>
      <c r="AS168" s="4" cm="1">
        <f t="array" ref="AS168">INDEX(GMW!$A$2:$NF$150,MATCH(1,(GMW!$NE$2:$NE$150=AS$3)*(GMW!$ND$2:$ND$150=AS$4)*(GMW!$NF$2:$NF$150=AS$1),0),$C168-1966)</f>
        <v>532761.80000000005</v>
      </c>
      <c r="AT168" s="4" cm="1">
        <f t="array" ref="AT168">INDEX(GMW!$A$2:$NF$150,MATCH(1,(GMW!$NE$2:$NE$150=AT$3)*(GMW!$ND$2:$ND$150=AT$4)*(GMW!$NF$2:$NF$150=AT$1),0),$C168-1966)</f>
        <v>41726.29</v>
      </c>
      <c r="AU168" s="4" cm="1">
        <f t="array" ref="AU168">INDEX(GMW!$A$2:$NF$150,MATCH(1,(GMW!$NE$2:$NE$150=AU$3)*(GMW!$ND$2:$ND$150=AU$4)*(GMW!$NF$2:$NF$150=AU$1),0),$C168-1966)</f>
        <v>2758500</v>
      </c>
      <c r="AV168" s="4" cm="1">
        <f t="array" ref="AV168">INDEX(GMW!$A$2:$NF$150,MATCH(1,(GMW!$NE$2:$NE$150=AV$3)*(GMW!$ND$2:$ND$150=AV$4)*(GMW!$NF$2:$NF$150=AV$1),0),$C168-1966)</f>
        <v>-1.6823589999999999</v>
      </c>
    </row>
    <row r="169" spans="1:48" x14ac:dyDescent="0.25">
      <c r="B169" s="4">
        <f t="shared" si="8"/>
        <v>2013</v>
      </c>
      <c r="C169" s="4">
        <f t="shared" si="7"/>
        <v>2135</v>
      </c>
      <c r="D169" s="4" cm="1">
        <f t="array" ref="D169">INDEX(GMW!$A$2:$NF$150,MATCH(1,(GMW!$NE$2:$NE$150=D$3)*(GMW!$ND$2:$ND$150=D$4)*(GMW!$NF$2:$NF$150=D$1),0),$C169-1966)</f>
        <v>546064</v>
      </c>
      <c r="E169" s="4" cm="1">
        <f t="array" ref="E169">INDEX(GMW!$A$2:$NF$150,MATCH(1,(GMW!$NE$2:$NE$150=E$3)*(GMW!$ND$2:$ND$150=E$4)*(GMW!$NF$2:$NF$150=E$1),0),$C169-1966)</f>
        <v>98.7</v>
      </c>
      <c r="F169" s="4" cm="1">
        <f t="array" ref="F169">INDEX(GMW!$A$2:$NF$150,MATCH(1,(GMW!$NE$2:$NE$150=F$3)*(GMW!$ND$2:$ND$150=F$4)*(GMW!$NF$2:$NF$150=F$1),0),$C169-1966)</f>
        <v>172146</v>
      </c>
      <c r="G169" s="4" cm="1">
        <f t="array" ref="G169">INDEX(GMW!$A$2:$NF$150,MATCH(1,(GMW!$NE$2:$NE$150=G$3)*(GMW!$ND$2:$ND$150=G$4)*(GMW!$NF$2:$NF$150=G$1),0),$C169-1966)</f>
        <v>80735</v>
      </c>
      <c r="H169" s="4" cm="1">
        <f t="array" ref="H169">INDEX(GMW!$A$2:$NF$150,MATCH(1,(GMW!$NE$2:$NE$150=H$3)*(GMW!$ND$2:$ND$150=H$4)*(GMW!$NF$2:$NF$150=H$1),0),$C169-1966)</f>
        <v>177941</v>
      </c>
      <c r="I169" s="4" cm="1">
        <f t="array" ref="I169">INDEX(GMW!$A$2:$NF$150,MATCH(1,(GMW!$NE$2:$NE$150=I$3)*(GMW!$ND$2:$ND$150=I$4)*(GMW!$NF$2:$NF$150=I$1),0),$C169-1966)</f>
        <v>106146</v>
      </c>
      <c r="J169" s="4" cm="1">
        <f t="array" ref="J169">INDEX(GMW!$A$2:$NF$150,MATCH(1,(GMW!$NE$2:$NE$150=J$3)*(GMW!$ND$2:$ND$150=J$4)*(GMW!$NF$2:$NF$150=J$1),0),$C169-1966)</f>
        <v>88951</v>
      </c>
      <c r="K169" s="4" cm="1">
        <f t="array" ref="K169">INDEX(GMW!$A$2:$NF$150,MATCH(1,(GMW!$NE$2:$NE$150=K$3)*(GMW!$ND$2:$ND$150=K$4)*(GMW!$NF$2:$NF$150=K$1),0),$C169-1966)</f>
        <v>51243</v>
      </c>
      <c r="L169" s="4" cm="1">
        <f t="array" ref="L169">INDEX(GMW!$A$2:$NF$150,MATCH(1,(GMW!$NE$2:$NE$150=L$3)*(GMW!$ND$2:$ND$150=L$4)*(GMW!$NF$2:$NF$150=L$1),0),$C169-1966)</f>
        <v>568069.19999999995</v>
      </c>
      <c r="M169" s="4" cm="1">
        <f t="array" ref="M169">INDEX(GMW!$A$2:$NF$150,MATCH(1,(GMW!$NE$2:$NE$150=M$3)*(GMW!$ND$2:$ND$150=M$4)*(GMW!$NF$2:$NF$150=M$1),0),$C169-1966)</f>
        <v>30915.759999999998</v>
      </c>
      <c r="N169" s="4" cm="1">
        <f t="array" ref="N169">INDEX(GMW!$A$2:$NF$150,MATCH(1,(GMW!$NE$2:$NE$150=N$3)*(GMW!$ND$2:$ND$150=N$4)*(GMW!$NF$2:$NF$150=N$1),0),$C169-1966)</f>
        <v>32.200000000000003</v>
      </c>
      <c r="O169" s="4" cm="1">
        <f t="array" ref="O169">INDEX(GMW!$A$2:$NF$150,MATCH(1,(GMW!$NE$2:$NE$150=O$3)*(GMW!$ND$2:$ND$150=O$4)*(GMW!$NF$2:$NF$150=O$1),0),$C169-1966)</f>
        <v>534300.9</v>
      </c>
      <c r="P169" s="4" cm="1">
        <f t="array" ref="P169">INDEX(GMW!$A$2:$NF$150,MATCH(1,(GMW!$NE$2:$NE$150=P$3)*(GMW!$ND$2:$ND$150=P$4)*(GMW!$NF$2:$NF$150=P$1),0),$C169-1966)</f>
        <v>41762.39</v>
      </c>
      <c r="Q169" s="4" cm="1">
        <f t="array" ref="Q169">INDEX(GMW!$A$2:$NF$150,MATCH(1,(GMW!$NE$2:$NE$150=Q$3)*(GMW!$ND$2:$ND$150=Q$4)*(GMW!$NF$2:$NF$150=Q$1),0),$C169-1966)</f>
        <v>2767750</v>
      </c>
      <c r="R169" s="4" cm="1">
        <f t="array" ref="R169">INDEX(GMW!$A$2:$NF$150,MATCH(1,(GMW!$NE$2:$NE$150=R$3)*(GMW!$ND$2:$ND$150=R$4)*(GMW!$NF$2:$NF$150=R$1),0),$C169-1966)</f>
        <v>-1.682402</v>
      </c>
      <c r="S169" s="4" cm="1">
        <f t="array" ref="S169">INDEX(GMW!$A$2:$NF$150,MATCH(1,(GMW!$NE$2:$NE$150=S$3)*(GMW!$ND$2:$ND$150=S$4)*(GMW!$NF$2:$NF$150=S$1),0),$C169-1966)</f>
        <v>546064</v>
      </c>
      <c r="T169" s="4" cm="1">
        <f t="array" ref="T169">INDEX(GMW!$A$2:$NF$150,MATCH(1,(GMW!$NE$2:$NE$150=T$3)*(GMW!$ND$2:$ND$150=T$4)*(GMW!$NF$2:$NF$150=T$1),0),$C169-1966)</f>
        <v>98.7</v>
      </c>
      <c r="U169" s="4" cm="1">
        <f t="array" ref="U169">INDEX(GMW!$A$2:$NF$150,MATCH(1,(GMW!$NE$2:$NE$150=U$3)*(GMW!$ND$2:$ND$150=U$4)*(GMW!$NF$2:$NF$150=U$1),0),$C169-1966)</f>
        <v>172146</v>
      </c>
      <c r="V169" s="4" cm="1">
        <f t="array" ref="V169">INDEX(GMW!$A$2:$NF$150,MATCH(1,(GMW!$NE$2:$NE$150=V$3)*(GMW!$ND$2:$ND$150=V$4)*(GMW!$NF$2:$NF$150=V$1),0),$C169-1966)</f>
        <v>80735</v>
      </c>
      <c r="W169" s="4" cm="1">
        <f t="array" ref="W169">INDEX(GMW!$A$2:$NF$150,MATCH(1,(GMW!$NE$2:$NE$150=W$3)*(GMW!$ND$2:$ND$150=W$4)*(GMW!$NF$2:$NF$150=W$1),0),$C169-1966)</f>
        <v>177941</v>
      </c>
      <c r="X169" s="4" cm="1">
        <f t="array" ref="X169">INDEX(GMW!$A$2:$NF$150,MATCH(1,(GMW!$NE$2:$NE$150=X$3)*(GMW!$ND$2:$ND$150=X$4)*(GMW!$NF$2:$NF$150=X$1),0),$C169-1966)</f>
        <v>106146</v>
      </c>
      <c r="Y169" s="4" cm="1">
        <f t="array" ref="Y169">INDEX(GMW!$A$2:$NF$150,MATCH(1,(GMW!$NE$2:$NE$150=Y$3)*(GMW!$ND$2:$ND$150=Y$4)*(GMW!$NF$2:$NF$150=Y$1),0),$C169-1966)</f>
        <v>88951</v>
      </c>
      <c r="Z169" s="4" cm="1">
        <f t="array" ref="Z169">INDEX(GMW!$A$2:$NF$150,MATCH(1,(GMW!$NE$2:$NE$150=Z$3)*(GMW!$ND$2:$ND$150=Z$4)*(GMW!$NF$2:$NF$150=Z$1),0),$C169-1966)</f>
        <v>51243</v>
      </c>
      <c r="AA169" s="4" cm="1">
        <f t="array" ref="AA169">INDEX(GMW!$A$2:$NF$150,MATCH(1,(GMW!$NE$2:$NE$150=AA$3)*(GMW!$ND$2:$ND$150=AA$4)*(GMW!$NF$2:$NF$150=AA$1),0),$C169-1966)</f>
        <v>568069.19999999995</v>
      </c>
      <c r="AB169" s="4" cm="1">
        <f t="array" ref="AB169">INDEX(GMW!$A$2:$NF$150,MATCH(1,(GMW!$NE$2:$NE$150=AB$3)*(GMW!$ND$2:$ND$150=AB$4)*(GMW!$NF$2:$NF$150=AB$1),0),$C169-1966)</f>
        <v>30915.759999999998</v>
      </c>
      <c r="AC169" s="4" cm="1">
        <f t="array" ref="AC169">INDEX(GMW!$A$2:$NF$150,MATCH(1,(GMW!$NE$2:$NE$150=AC$3)*(GMW!$ND$2:$ND$150=AC$4)*(GMW!$NF$2:$NF$150=AC$1),0),$C169-1966)</f>
        <v>32.200000000000003</v>
      </c>
      <c r="AD169" s="4" cm="1">
        <f t="array" ref="AD169">INDEX(GMW!$A$2:$NF$150,MATCH(1,(GMW!$NE$2:$NE$150=AD$3)*(GMW!$ND$2:$ND$150=AD$4)*(GMW!$NF$2:$NF$150=AD$1),0),$C169-1966)</f>
        <v>534300.9</v>
      </c>
      <c r="AE169" s="4" cm="1">
        <f t="array" ref="AE169">INDEX(GMW!$A$2:$NF$150,MATCH(1,(GMW!$NE$2:$NE$150=AE$3)*(GMW!$ND$2:$ND$150=AE$4)*(GMW!$NF$2:$NF$150=AE$1),0),$C169-1966)</f>
        <v>41762.39</v>
      </c>
      <c r="AF169" s="4" cm="1">
        <f t="array" ref="AF169">INDEX(GMW!$A$2:$NF$150,MATCH(1,(GMW!$NE$2:$NE$150=AF$3)*(GMW!$ND$2:$ND$150=AF$4)*(GMW!$NF$2:$NF$150=AF$1),0),$C169-1966)</f>
        <v>2767750</v>
      </c>
      <c r="AG169" s="4" cm="1">
        <f t="array" ref="AG169">INDEX(GMW!$A$2:$NF$150,MATCH(1,(GMW!$NE$2:$NE$150=AG$3)*(GMW!$ND$2:$ND$150=AG$4)*(GMW!$NF$2:$NF$150=AG$1),0),$C169-1966)</f>
        <v>-1.682402</v>
      </c>
      <c r="AH169" s="4" cm="1">
        <f t="array" ref="AH169">INDEX(GMW!$A$2:$NF$150,MATCH(1,(GMW!$NE$2:$NE$150=AH$3)*(GMW!$ND$2:$ND$150=AH$4)*(GMW!$NF$2:$NF$150=AH$1),0),$C169-1966)</f>
        <v>546064</v>
      </c>
      <c r="AI169" s="4" cm="1">
        <f t="array" ref="AI169">INDEX(GMW!$A$2:$NF$150,MATCH(1,(GMW!$NE$2:$NE$150=AI$3)*(GMW!$ND$2:$ND$150=AI$4)*(GMW!$NF$2:$NF$150=AI$1),0),$C169-1966)</f>
        <v>98.7</v>
      </c>
      <c r="AJ169" s="4" cm="1">
        <f t="array" ref="AJ169">INDEX(GMW!$A$2:$NF$150,MATCH(1,(GMW!$NE$2:$NE$150=AJ$3)*(GMW!$ND$2:$ND$150=AJ$4)*(GMW!$NF$2:$NF$150=AJ$1),0),$C169-1966)</f>
        <v>172146</v>
      </c>
      <c r="AK169" s="4" cm="1">
        <f t="array" ref="AK169">INDEX(GMW!$A$2:$NF$150,MATCH(1,(GMW!$NE$2:$NE$150=AK$3)*(GMW!$ND$2:$ND$150=AK$4)*(GMW!$NF$2:$NF$150=AK$1),0),$C169-1966)</f>
        <v>80735</v>
      </c>
      <c r="AL169" s="4" cm="1">
        <f t="array" ref="AL169">INDEX(GMW!$A$2:$NF$150,MATCH(1,(GMW!$NE$2:$NE$150=AL$3)*(GMW!$ND$2:$ND$150=AL$4)*(GMW!$NF$2:$NF$150=AL$1),0),$C169-1966)</f>
        <v>177941</v>
      </c>
      <c r="AM169" s="4" cm="1">
        <f t="array" ref="AM169">INDEX(GMW!$A$2:$NF$150,MATCH(1,(GMW!$NE$2:$NE$150=AM$3)*(GMW!$ND$2:$ND$150=AM$4)*(GMW!$NF$2:$NF$150=AM$1),0),$C169-1966)</f>
        <v>106146</v>
      </c>
      <c r="AN169" s="4" cm="1">
        <f t="array" ref="AN169">INDEX(GMW!$A$2:$NF$150,MATCH(1,(GMW!$NE$2:$NE$150=AN$3)*(GMW!$ND$2:$ND$150=AN$4)*(GMW!$NF$2:$NF$150=AN$1),0),$C169-1966)</f>
        <v>88951</v>
      </c>
      <c r="AO169" s="4" cm="1">
        <f t="array" ref="AO169">INDEX(GMW!$A$2:$NF$150,MATCH(1,(GMW!$NE$2:$NE$150=AO$3)*(GMW!$ND$2:$ND$150=AO$4)*(GMW!$NF$2:$NF$150=AO$1),0),$C169-1966)</f>
        <v>51243</v>
      </c>
      <c r="AP169" s="4" cm="1">
        <f t="array" ref="AP169">INDEX(GMW!$A$2:$NF$150,MATCH(1,(GMW!$NE$2:$NE$150=AP$3)*(GMW!$ND$2:$ND$150=AP$4)*(GMW!$NF$2:$NF$150=AP$1),0),$C169-1966)</f>
        <v>568069.19999999995</v>
      </c>
      <c r="AQ169" s="4" cm="1">
        <f t="array" ref="AQ169">INDEX(GMW!$A$2:$NF$150,MATCH(1,(GMW!$NE$2:$NE$150=AQ$3)*(GMW!$ND$2:$ND$150=AQ$4)*(GMW!$NF$2:$NF$150=AQ$1),0),$C169-1966)</f>
        <v>30915.759999999998</v>
      </c>
      <c r="AR169" s="4" cm="1">
        <f t="array" ref="AR169">INDEX(GMW!$A$2:$NF$150,MATCH(1,(GMW!$NE$2:$NE$150=AR$3)*(GMW!$ND$2:$ND$150=AR$4)*(GMW!$NF$2:$NF$150=AR$1),0),$C169-1966)</f>
        <v>32.200000000000003</v>
      </c>
      <c r="AS169" s="4" cm="1">
        <f t="array" ref="AS169">INDEX(GMW!$A$2:$NF$150,MATCH(1,(GMW!$NE$2:$NE$150=AS$3)*(GMW!$ND$2:$ND$150=AS$4)*(GMW!$NF$2:$NF$150=AS$1),0),$C169-1966)</f>
        <v>534300.9</v>
      </c>
      <c r="AT169" s="4" cm="1">
        <f t="array" ref="AT169">INDEX(GMW!$A$2:$NF$150,MATCH(1,(GMW!$NE$2:$NE$150=AT$3)*(GMW!$ND$2:$ND$150=AT$4)*(GMW!$NF$2:$NF$150=AT$1),0),$C169-1966)</f>
        <v>41762.39</v>
      </c>
      <c r="AU169" s="4" cm="1">
        <f t="array" ref="AU169">INDEX(GMW!$A$2:$NF$150,MATCH(1,(GMW!$NE$2:$NE$150=AU$3)*(GMW!$ND$2:$ND$150=AU$4)*(GMW!$NF$2:$NF$150=AU$1),0),$C169-1966)</f>
        <v>2767750</v>
      </c>
      <c r="AV169" s="4" cm="1">
        <f t="array" ref="AV169">INDEX(GMW!$A$2:$NF$150,MATCH(1,(GMW!$NE$2:$NE$150=AV$3)*(GMW!$ND$2:$ND$150=AV$4)*(GMW!$NF$2:$NF$150=AV$1),0),$C169-1966)</f>
        <v>-1.682402</v>
      </c>
    </row>
    <row r="170" spans="1:48" x14ac:dyDescent="0.25">
      <c r="B170" s="4">
        <f t="shared" si="8"/>
        <v>2013</v>
      </c>
      <c r="C170" s="4">
        <f t="shared" si="7"/>
        <v>2136</v>
      </c>
      <c r="D170" s="4" cm="1">
        <f t="array" ref="D170">INDEX(GMW!$A$2:$NF$150,MATCH(1,(GMW!$NE$2:$NE$150=D$3)*(GMW!$ND$2:$ND$150=D$4)*(GMW!$NF$2:$NF$150=D$1),0),$C170-1966)</f>
        <v>549709</v>
      </c>
      <c r="E170" s="4" cm="1">
        <f t="array" ref="E170">INDEX(GMW!$A$2:$NF$150,MATCH(1,(GMW!$NE$2:$NE$150=E$3)*(GMW!$ND$2:$ND$150=E$4)*(GMW!$NF$2:$NF$150=E$1),0),$C170-1966)</f>
        <v>99.3</v>
      </c>
      <c r="F170" s="4" cm="1">
        <f t="array" ref="F170">INDEX(GMW!$A$2:$NF$150,MATCH(1,(GMW!$NE$2:$NE$150=F$3)*(GMW!$ND$2:$ND$150=F$4)*(GMW!$NF$2:$NF$150=F$1),0),$C170-1966)</f>
        <v>168273</v>
      </c>
      <c r="G170" s="4" cm="1">
        <f t="array" ref="G170">INDEX(GMW!$A$2:$NF$150,MATCH(1,(GMW!$NE$2:$NE$150=G$3)*(GMW!$ND$2:$ND$150=G$4)*(GMW!$NF$2:$NF$150=G$1),0),$C170-1966)</f>
        <v>79648</v>
      </c>
      <c r="H170" s="4" cm="1">
        <f t="array" ref="H170">INDEX(GMW!$A$2:$NF$150,MATCH(1,(GMW!$NE$2:$NE$150=H$3)*(GMW!$ND$2:$ND$150=H$4)*(GMW!$NF$2:$NF$150=H$1),0),$C170-1966)</f>
        <v>181946</v>
      </c>
      <c r="I170" s="4" cm="1">
        <f t="array" ref="I170">INDEX(GMW!$A$2:$NF$150,MATCH(1,(GMW!$NE$2:$NE$150=I$3)*(GMW!$ND$2:$ND$150=I$4)*(GMW!$NF$2:$NF$150=I$1),0),$C170-1966)</f>
        <v>111418</v>
      </c>
      <c r="J170" s="4" cm="1">
        <f t="array" ref="J170">INDEX(GMW!$A$2:$NF$150,MATCH(1,(GMW!$NE$2:$NE$150=J$3)*(GMW!$ND$2:$ND$150=J$4)*(GMW!$NF$2:$NF$150=J$1),0),$C170-1966)</f>
        <v>88938</v>
      </c>
      <c r="K170" s="4" cm="1">
        <f t="array" ref="K170">INDEX(GMW!$A$2:$NF$150,MATCH(1,(GMW!$NE$2:$NE$150=K$3)*(GMW!$ND$2:$ND$150=K$4)*(GMW!$NF$2:$NF$150=K$1),0),$C170-1966)</f>
        <v>51038</v>
      </c>
      <c r="L170" s="4" cm="1">
        <f t="array" ref="L170">INDEX(GMW!$A$2:$NF$150,MATCH(1,(GMW!$NE$2:$NE$150=L$3)*(GMW!$ND$2:$ND$150=L$4)*(GMW!$NF$2:$NF$150=L$1),0),$C170-1966)</f>
        <v>567452.4</v>
      </c>
      <c r="M170" s="4" cm="1">
        <f t="array" ref="M170">INDEX(GMW!$A$2:$NF$150,MATCH(1,(GMW!$NE$2:$NE$150=M$3)*(GMW!$ND$2:$ND$150=M$4)*(GMW!$NF$2:$NF$150=M$1),0),$C170-1966)</f>
        <v>30974.48</v>
      </c>
      <c r="N170" s="4" cm="1">
        <f t="array" ref="N170">INDEX(GMW!$A$2:$NF$150,MATCH(1,(GMW!$NE$2:$NE$150=N$3)*(GMW!$ND$2:$ND$150=N$4)*(GMW!$NF$2:$NF$150=N$1),0),$C170-1966)</f>
        <v>32</v>
      </c>
      <c r="O170" s="4" cm="1">
        <f t="array" ref="O170">INDEX(GMW!$A$2:$NF$150,MATCH(1,(GMW!$NE$2:$NE$150=O$3)*(GMW!$ND$2:$ND$150=O$4)*(GMW!$NF$2:$NF$150=O$1),0),$C170-1966)</f>
        <v>535835.69999999995</v>
      </c>
      <c r="P170" s="4" cm="1">
        <f t="array" ref="P170">INDEX(GMW!$A$2:$NF$150,MATCH(1,(GMW!$NE$2:$NE$150=P$3)*(GMW!$ND$2:$ND$150=P$4)*(GMW!$NF$2:$NF$150=P$1),0),$C170-1966)</f>
        <v>41798.5</v>
      </c>
      <c r="Q170" s="4" cm="1">
        <f t="array" ref="Q170">INDEX(GMW!$A$2:$NF$150,MATCH(1,(GMW!$NE$2:$NE$150=Q$3)*(GMW!$ND$2:$ND$150=Q$4)*(GMW!$NF$2:$NF$150=Q$1),0),$C170-1966)</f>
        <v>2777000</v>
      </c>
      <c r="R170" s="4" cm="1">
        <f t="array" ref="R170">INDEX(GMW!$A$2:$NF$150,MATCH(1,(GMW!$NE$2:$NE$150=R$3)*(GMW!$ND$2:$ND$150=R$4)*(GMW!$NF$2:$NF$150=R$1),0),$C170-1966)</f>
        <v>-1.6824440000000001</v>
      </c>
      <c r="S170" s="4" cm="1">
        <f t="array" ref="S170">INDEX(GMW!$A$2:$NF$150,MATCH(1,(GMW!$NE$2:$NE$150=S$3)*(GMW!$ND$2:$ND$150=S$4)*(GMW!$NF$2:$NF$150=S$1),0),$C170-1966)</f>
        <v>549709</v>
      </c>
      <c r="T170" s="4" cm="1">
        <f t="array" ref="T170">INDEX(GMW!$A$2:$NF$150,MATCH(1,(GMW!$NE$2:$NE$150=T$3)*(GMW!$ND$2:$ND$150=T$4)*(GMW!$NF$2:$NF$150=T$1),0),$C170-1966)</f>
        <v>99.3</v>
      </c>
      <c r="U170" s="4" cm="1">
        <f t="array" ref="U170">INDEX(GMW!$A$2:$NF$150,MATCH(1,(GMW!$NE$2:$NE$150=U$3)*(GMW!$ND$2:$ND$150=U$4)*(GMW!$NF$2:$NF$150=U$1),0),$C170-1966)</f>
        <v>168273</v>
      </c>
      <c r="V170" s="4" cm="1">
        <f t="array" ref="V170">INDEX(GMW!$A$2:$NF$150,MATCH(1,(GMW!$NE$2:$NE$150=V$3)*(GMW!$ND$2:$ND$150=V$4)*(GMW!$NF$2:$NF$150=V$1),0),$C170-1966)</f>
        <v>79648</v>
      </c>
      <c r="W170" s="4" cm="1">
        <f t="array" ref="W170">INDEX(GMW!$A$2:$NF$150,MATCH(1,(GMW!$NE$2:$NE$150=W$3)*(GMW!$ND$2:$ND$150=W$4)*(GMW!$NF$2:$NF$150=W$1),0),$C170-1966)</f>
        <v>181946</v>
      </c>
      <c r="X170" s="4" cm="1">
        <f t="array" ref="X170">INDEX(GMW!$A$2:$NF$150,MATCH(1,(GMW!$NE$2:$NE$150=X$3)*(GMW!$ND$2:$ND$150=X$4)*(GMW!$NF$2:$NF$150=X$1),0),$C170-1966)</f>
        <v>111418</v>
      </c>
      <c r="Y170" s="4" cm="1">
        <f t="array" ref="Y170">INDEX(GMW!$A$2:$NF$150,MATCH(1,(GMW!$NE$2:$NE$150=Y$3)*(GMW!$ND$2:$ND$150=Y$4)*(GMW!$NF$2:$NF$150=Y$1),0),$C170-1966)</f>
        <v>88938</v>
      </c>
      <c r="Z170" s="4" cm="1">
        <f t="array" ref="Z170">INDEX(GMW!$A$2:$NF$150,MATCH(1,(GMW!$NE$2:$NE$150=Z$3)*(GMW!$ND$2:$ND$150=Z$4)*(GMW!$NF$2:$NF$150=Z$1),0),$C170-1966)</f>
        <v>51038</v>
      </c>
      <c r="AA170" s="4" cm="1">
        <f t="array" ref="AA170">INDEX(GMW!$A$2:$NF$150,MATCH(1,(GMW!$NE$2:$NE$150=AA$3)*(GMW!$ND$2:$ND$150=AA$4)*(GMW!$NF$2:$NF$150=AA$1),0),$C170-1966)</f>
        <v>567452.4</v>
      </c>
      <c r="AB170" s="4" cm="1">
        <f t="array" ref="AB170">INDEX(GMW!$A$2:$NF$150,MATCH(1,(GMW!$NE$2:$NE$150=AB$3)*(GMW!$ND$2:$ND$150=AB$4)*(GMW!$NF$2:$NF$150=AB$1),0),$C170-1966)</f>
        <v>30974.48</v>
      </c>
      <c r="AC170" s="4" cm="1">
        <f t="array" ref="AC170">INDEX(GMW!$A$2:$NF$150,MATCH(1,(GMW!$NE$2:$NE$150=AC$3)*(GMW!$ND$2:$ND$150=AC$4)*(GMW!$NF$2:$NF$150=AC$1),0),$C170-1966)</f>
        <v>32</v>
      </c>
      <c r="AD170" s="4" cm="1">
        <f t="array" ref="AD170">INDEX(GMW!$A$2:$NF$150,MATCH(1,(GMW!$NE$2:$NE$150=AD$3)*(GMW!$ND$2:$ND$150=AD$4)*(GMW!$NF$2:$NF$150=AD$1),0),$C170-1966)</f>
        <v>535835.69999999995</v>
      </c>
      <c r="AE170" s="4" cm="1">
        <f t="array" ref="AE170">INDEX(GMW!$A$2:$NF$150,MATCH(1,(GMW!$NE$2:$NE$150=AE$3)*(GMW!$ND$2:$ND$150=AE$4)*(GMW!$NF$2:$NF$150=AE$1),0),$C170-1966)</f>
        <v>41798.5</v>
      </c>
      <c r="AF170" s="4" cm="1">
        <f t="array" ref="AF170">INDEX(GMW!$A$2:$NF$150,MATCH(1,(GMW!$NE$2:$NE$150=AF$3)*(GMW!$ND$2:$ND$150=AF$4)*(GMW!$NF$2:$NF$150=AF$1),0),$C170-1966)</f>
        <v>2777000</v>
      </c>
      <c r="AG170" s="4" cm="1">
        <f t="array" ref="AG170">INDEX(GMW!$A$2:$NF$150,MATCH(1,(GMW!$NE$2:$NE$150=AG$3)*(GMW!$ND$2:$ND$150=AG$4)*(GMW!$NF$2:$NF$150=AG$1),0),$C170-1966)</f>
        <v>-1.6824440000000001</v>
      </c>
      <c r="AH170" s="4" cm="1">
        <f t="array" ref="AH170">INDEX(GMW!$A$2:$NF$150,MATCH(1,(GMW!$NE$2:$NE$150=AH$3)*(GMW!$ND$2:$ND$150=AH$4)*(GMW!$NF$2:$NF$150=AH$1),0),$C170-1966)</f>
        <v>549709</v>
      </c>
      <c r="AI170" s="4" cm="1">
        <f t="array" ref="AI170">INDEX(GMW!$A$2:$NF$150,MATCH(1,(GMW!$NE$2:$NE$150=AI$3)*(GMW!$ND$2:$ND$150=AI$4)*(GMW!$NF$2:$NF$150=AI$1),0),$C170-1966)</f>
        <v>99.3</v>
      </c>
      <c r="AJ170" s="4" cm="1">
        <f t="array" ref="AJ170">INDEX(GMW!$A$2:$NF$150,MATCH(1,(GMW!$NE$2:$NE$150=AJ$3)*(GMW!$ND$2:$ND$150=AJ$4)*(GMW!$NF$2:$NF$150=AJ$1),0),$C170-1966)</f>
        <v>168273</v>
      </c>
      <c r="AK170" s="4" cm="1">
        <f t="array" ref="AK170">INDEX(GMW!$A$2:$NF$150,MATCH(1,(GMW!$NE$2:$NE$150=AK$3)*(GMW!$ND$2:$ND$150=AK$4)*(GMW!$NF$2:$NF$150=AK$1),0),$C170-1966)</f>
        <v>79648</v>
      </c>
      <c r="AL170" s="4" cm="1">
        <f t="array" ref="AL170">INDEX(GMW!$A$2:$NF$150,MATCH(1,(GMW!$NE$2:$NE$150=AL$3)*(GMW!$ND$2:$ND$150=AL$4)*(GMW!$NF$2:$NF$150=AL$1),0),$C170-1966)</f>
        <v>181946</v>
      </c>
      <c r="AM170" s="4" cm="1">
        <f t="array" ref="AM170">INDEX(GMW!$A$2:$NF$150,MATCH(1,(GMW!$NE$2:$NE$150=AM$3)*(GMW!$ND$2:$ND$150=AM$4)*(GMW!$NF$2:$NF$150=AM$1),0),$C170-1966)</f>
        <v>111418</v>
      </c>
      <c r="AN170" s="4" cm="1">
        <f t="array" ref="AN170">INDEX(GMW!$A$2:$NF$150,MATCH(1,(GMW!$NE$2:$NE$150=AN$3)*(GMW!$ND$2:$ND$150=AN$4)*(GMW!$NF$2:$NF$150=AN$1),0),$C170-1966)</f>
        <v>88938</v>
      </c>
      <c r="AO170" s="4" cm="1">
        <f t="array" ref="AO170">INDEX(GMW!$A$2:$NF$150,MATCH(1,(GMW!$NE$2:$NE$150=AO$3)*(GMW!$ND$2:$ND$150=AO$4)*(GMW!$NF$2:$NF$150=AO$1),0),$C170-1966)</f>
        <v>51038</v>
      </c>
      <c r="AP170" s="4" cm="1">
        <f t="array" ref="AP170">INDEX(GMW!$A$2:$NF$150,MATCH(1,(GMW!$NE$2:$NE$150=AP$3)*(GMW!$ND$2:$ND$150=AP$4)*(GMW!$NF$2:$NF$150=AP$1),0),$C170-1966)</f>
        <v>567452.4</v>
      </c>
      <c r="AQ170" s="4" cm="1">
        <f t="array" ref="AQ170">INDEX(GMW!$A$2:$NF$150,MATCH(1,(GMW!$NE$2:$NE$150=AQ$3)*(GMW!$ND$2:$ND$150=AQ$4)*(GMW!$NF$2:$NF$150=AQ$1),0),$C170-1966)</f>
        <v>30974.48</v>
      </c>
      <c r="AR170" s="4" cm="1">
        <f t="array" ref="AR170">INDEX(GMW!$A$2:$NF$150,MATCH(1,(GMW!$NE$2:$NE$150=AR$3)*(GMW!$ND$2:$ND$150=AR$4)*(GMW!$NF$2:$NF$150=AR$1),0),$C170-1966)</f>
        <v>32</v>
      </c>
      <c r="AS170" s="4" cm="1">
        <f t="array" ref="AS170">INDEX(GMW!$A$2:$NF$150,MATCH(1,(GMW!$NE$2:$NE$150=AS$3)*(GMW!$ND$2:$ND$150=AS$4)*(GMW!$NF$2:$NF$150=AS$1),0),$C170-1966)</f>
        <v>535835.69999999995</v>
      </c>
      <c r="AT170" s="4" cm="1">
        <f t="array" ref="AT170">INDEX(GMW!$A$2:$NF$150,MATCH(1,(GMW!$NE$2:$NE$150=AT$3)*(GMW!$ND$2:$ND$150=AT$4)*(GMW!$NF$2:$NF$150=AT$1),0),$C170-1966)</f>
        <v>41798.5</v>
      </c>
      <c r="AU170" s="4" cm="1">
        <f t="array" ref="AU170">INDEX(GMW!$A$2:$NF$150,MATCH(1,(GMW!$NE$2:$NE$150=AU$3)*(GMW!$ND$2:$ND$150=AU$4)*(GMW!$NF$2:$NF$150=AU$1),0),$C170-1966)</f>
        <v>2777000</v>
      </c>
      <c r="AV170" s="4" cm="1">
        <f t="array" ref="AV170">INDEX(GMW!$A$2:$NF$150,MATCH(1,(GMW!$NE$2:$NE$150=AV$3)*(GMW!$ND$2:$ND$150=AV$4)*(GMW!$NF$2:$NF$150=AV$1),0),$C170-1966)</f>
        <v>-1.6824440000000001</v>
      </c>
    </row>
    <row r="171" spans="1:48" x14ac:dyDescent="0.25">
      <c r="A171" s="4">
        <v>2014</v>
      </c>
      <c r="B171" s="4">
        <f t="shared" si="8"/>
        <v>2014</v>
      </c>
      <c r="C171" s="4">
        <f t="shared" si="7"/>
        <v>2137</v>
      </c>
      <c r="D171" s="4" cm="1">
        <f t="array" ref="D171">INDEX(GMW!$A$2:$NF$150,MATCH(1,(GMW!$NE$2:$NE$150=D$3)*(GMW!$ND$2:$ND$150=D$4)*(GMW!$NF$2:$NF$150=D$1),0),$C171-1966)</f>
        <v>554183</v>
      </c>
      <c r="E171" s="4" cm="1">
        <f t="array" ref="E171">INDEX(GMW!$A$2:$NF$150,MATCH(1,(GMW!$NE$2:$NE$150=E$3)*(GMW!$ND$2:$ND$150=E$4)*(GMW!$NF$2:$NF$150=E$1),0),$C171-1966)</f>
        <v>99.4</v>
      </c>
      <c r="F171" s="4" cm="1">
        <f t="array" ref="F171">INDEX(GMW!$A$2:$NF$150,MATCH(1,(GMW!$NE$2:$NE$150=F$3)*(GMW!$ND$2:$ND$150=F$4)*(GMW!$NF$2:$NF$150=F$1),0),$C171-1966)</f>
        <v>169362</v>
      </c>
      <c r="G171" s="4" cm="1">
        <f t="array" ref="G171">INDEX(GMW!$A$2:$NF$150,MATCH(1,(GMW!$NE$2:$NE$150=G$3)*(GMW!$ND$2:$ND$150=G$4)*(GMW!$NF$2:$NF$150=G$1),0),$C171-1966)</f>
        <v>79393</v>
      </c>
      <c r="H171" s="4" cm="1">
        <f t="array" ref="H171">INDEX(GMW!$A$2:$NF$150,MATCH(1,(GMW!$NE$2:$NE$150=H$3)*(GMW!$ND$2:$ND$150=H$4)*(GMW!$NF$2:$NF$150=H$1),0),$C171-1966)</f>
        <v>179155</v>
      </c>
      <c r="I171" s="4" cm="1">
        <f t="array" ref="I171">INDEX(GMW!$A$2:$NF$150,MATCH(1,(GMW!$NE$2:$NE$150=I$3)*(GMW!$ND$2:$ND$150=I$4)*(GMW!$NF$2:$NF$150=I$1),0),$C171-1966)</f>
        <v>108038</v>
      </c>
      <c r="J171" s="4" cm="1">
        <f t="array" ref="J171">INDEX(GMW!$A$2:$NF$150,MATCH(1,(GMW!$NE$2:$NE$150=J$3)*(GMW!$ND$2:$ND$150=J$4)*(GMW!$NF$2:$NF$150=J$1),0),$C171-1966)</f>
        <v>91937</v>
      </c>
      <c r="K171" s="4" cm="1">
        <f t="array" ref="K171">INDEX(GMW!$A$2:$NF$150,MATCH(1,(GMW!$NE$2:$NE$150=K$3)*(GMW!$ND$2:$ND$150=K$4)*(GMW!$NF$2:$NF$150=K$1),0),$C171-1966)</f>
        <v>52059</v>
      </c>
      <c r="L171" s="4" cm="1">
        <f t="array" ref="L171">INDEX(GMW!$A$2:$NF$150,MATCH(1,(GMW!$NE$2:$NE$150=L$3)*(GMW!$ND$2:$ND$150=L$4)*(GMW!$NF$2:$NF$150=L$1),0),$C171-1966)</f>
        <v>570704.19999999995</v>
      </c>
      <c r="M171" s="4" cm="1">
        <f t="array" ref="M171">INDEX(GMW!$A$2:$NF$150,MATCH(1,(GMW!$NE$2:$NE$150=M$3)*(GMW!$ND$2:$ND$150=M$4)*(GMW!$NF$2:$NF$150=M$1),0),$C171-1966)</f>
        <v>31068.23</v>
      </c>
      <c r="N171" s="4" cm="1">
        <f t="array" ref="N171">INDEX(GMW!$A$2:$NF$150,MATCH(1,(GMW!$NE$2:$NE$150=N$3)*(GMW!$ND$2:$ND$150=N$4)*(GMW!$NF$2:$NF$150=N$1),0),$C171-1966)</f>
        <v>32.1</v>
      </c>
      <c r="O171" s="4" cm="1">
        <f t="array" ref="O171">INDEX(GMW!$A$2:$NF$150,MATCH(1,(GMW!$NE$2:$NE$150=O$3)*(GMW!$ND$2:$ND$150=O$4)*(GMW!$NF$2:$NF$150=O$1),0),$C171-1966)</f>
        <v>537365.9</v>
      </c>
      <c r="P171" s="4" cm="1">
        <f t="array" ref="P171">INDEX(GMW!$A$2:$NF$150,MATCH(1,(GMW!$NE$2:$NE$150=P$3)*(GMW!$ND$2:$ND$150=P$4)*(GMW!$NF$2:$NF$150=P$1),0),$C171-1966)</f>
        <v>41834.6</v>
      </c>
      <c r="Q171" s="4" cm="1">
        <f t="array" ref="Q171">INDEX(GMW!$A$2:$NF$150,MATCH(1,(GMW!$NE$2:$NE$150=Q$3)*(GMW!$ND$2:$ND$150=Q$4)*(GMW!$NF$2:$NF$150=Q$1),0),$C171-1966)</f>
        <v>2789750</v>
      </c>
      <c r="R171" s="4" cm="1">
        <f t="array" ref="R171">INDEX(GMW!$A$2:$NF$150,MATCH(1,(GMW!$NE$2:$NE$150=R$3)*(GMW!$ND$2:$ND$150=R$4)*(GMW!$NF$2:$NF$150=R$1),0),$C171-1966)</f>
        <v>-1.6824870000000001</v>
      </c>
      <c r="S171" s="4" cm="1">
        <f t="array" ref="S171">INDEX(GMW!$A$2:$NF$150,MATCH(1,(GMW!$NE$2:$NE$150=S$3)*(GMW!$ND$2:$ND$150=S$4)*(GMW!$NF$2:$NF$150=S$1),0),$C171-1966)</f>
        <v>554183</v>
      </c>
      <c r="T171" s="4" cm="1">
        <f t="array" ref="T171">INDEX(GMW!$A$2:$NF$150,MATCH(1,(GMW!$NE$2:$NE$150=T$3)*(GMW!$ND$2:$ND$150=T$4)*(GMW!$NF$2:$NF$150=T$1),0),$C171-1966)</f>
        <v>99.4</v>
      </c>
      <c r="U171" s="4" cm="1">
        <f t="array" ref="U171">INDEX(GMW!$A$2:$NF$150,MATCH(1,(GMW!$NE$2:$NE$150=U$3)*(GMW!$ND$2:$ND$150=U$4)*(GMW!$NF$2:$NF$150=U$1),0),$C171-1966)</f>
        <v>169362</v>
      </c>
      <c r="V171" s="4" cm="1">
        <f t="array" ref="V171">INDEX(GMW!$A$2:$NF$150,MATCH(1,(GMW!$NE$2:$NE$150=V$3)*(GMW!$ND$2:$ND$150=V$4)*(GMW!$NF$2:$NF$150=V$1),0),$C171-1966)</f>
        <v>79393</v>
      </c>
      <c r="W171" s="4" cm="1">
        <f t="array" ref="W171">INDEX(GMW!$A$2:$NF$150,MATCH(1,(GMW!$NE$2:$NE$150=W$3)*(GMW!$ND$2:$ND$150=W$4)*(GMW!$NF$2:$NF$150=W$1),0),$C171-1966)</f>
        <v>179155</v>
      </c>
      <c r="X171" s="4" cm="1">
        <f t="array" ref="X171">INDEX(GMW!$A$2:$NF$150,MATCH(1,(GMW!$NE$2:$NE$150=X$3)*(GMW!$ND$2:$ND$150=X$4)*(GMW!$NF$2:$NF$150=X$1),0),$C171-1966)</f>
        <v>108038</v>
      </c>
      <c r="Y171" s="4" cm="1">
        <f t="array" ref="Y171">INDEX(GMW!$A$2:$NF$150,MATCH(1,(GMW!$NE$2:$NE$150=Y$3)*(GMW!$ND$2:$ND$150=Y$4)*(GMW!$NF$2:$NF$150=Y$1),0),$C171-1966)</f>
        <v>91937</v>
      </c>
      <c r="Z171" s="4" cm="1">
        <f t="array" ref="Z171">INDEX(GMW!$A$2:$NF$150,MATCH(1,(GMW!$NE$2:$NE$150=Z$3)*(GMW!$ND$2:$ND$150=Z$4)*(GMW!$NF$2:$NF$150=Z$1),0),$C171-1966)</f>
        <v>52059</v>
      </c>
      <c r="AA171" s="4" cm="1">
        <f t="array" ref="AA171">INDEX(GMW!$A$2:$NF$150,MATCH(1,(GMW!$NE$2:$NE$150=AA$3)*(GMW!$ND$2:$ND$150=AA$4)*(GMW!$NF$2:$NF$150=AA$1),0),$C171-1966)</f>
        <v>570704.19999999995</v>
      </c>
      <c r="AB171" s="4" cm="1">
        <f t="array" ref="AB171">INDEX(GMW!$A$2:$NF$150,MATCH(1,(GMW!$NE$2:$NE$150=AB$3)*(GMW!$ND$2:$ND$150=AB$4)*(GMW!$NF$2:$NF$150=AB$1),0),$C171-1966)</f>
        <v>31068.23</v>
      </c>
      <c r="AC171" s="4" cm="1">
        <f t="array" ref="AC171">INDEX(GMW!$A$2:$NF$150,MATCH(1,(GMW!$NE$2:$NE$150=AC$3)*(GMW!$ND$2:$ND$150=AC$4)*(GMW!$NF$2:$NF$150=AC$1),0),$C171-1966)</f>
        <v>32.1</v>
      </c>
      <c r="AD171" s="4" cm="1">
        <f t="array" ref="AD171">INDEX(GMW!$A$2:$NF$150,MATCH(1,(GMW!$NE$2:$NE$150=AD$3)*(GMW!$ND$2:$ND$150=AD$4)*(GMW!$NF$2:$NF$150=AD$1),0),$C171-1966)</f>
        <v>537365.9</v>
      </c>
      <c r="AE171" s="4" cm="1">
        <f t="array" ref="AE171">INDEX(GMW!$A$2:$NF$150,MATCH(1,(GMW!$NE$2:$NE$150=AE$3)*(GMW!$ND$2:$ND$150=AE$4)*(GMW!$NF$2:$NF$150=AE$1),0),$C171-1966)</f>
        <v>41834.6</v>
      </c>
      <c r="AF171" s="4" cm="1">
        <f t="array" ref="AF171">INDEX(GMW!$A$2:$NF$150,MATCH(1,(GMW!$NE$2:$NE$150=AF$3)*(GMW!$ND$2:$ND$150=AF$4)*(GMW!$NF$2:$NF$150=AF$1),0),$C171-1966)</f>
        <v>2789750</v>
      </c>
      <c r="AG171" s="4" cm="1">
        <f t="array" ref="AG171">INDEX(GMW!$A$2:$NF$150,MATCH(1,(GMW!$NE$2:$NE$150=AG$3)*(GMW!$ND$2:$ND$150=AG$4)*(GMW!$NF$2:$NF$150=AG$1),0),$C171-1966)</f>
        <v>-1.6824870000000001</v>
      </c>
      <c r="AH171" s="4" cm="1">
        <f t="array" ref="AH171">INDEX(GMW!$A$2:$NF$150,MATCH(1,(GMW!$NE$2:$NE$150=AH$3)*(GMW!$ND$2:$ND$150=AH$4)*(GMW!$NF$2:$NF$150=AH$1),0),$C171-1966)</f>
        <v>554183</v>
      </c>
      <c r="AI171" s="4" cm="1">
        <f t="array" ref="AI171">INDEX(GMW!$A$2:$NF$150,MATCH(1,(GMW!$NE$2:$NE$150=AI$3)*(GMW!$ND$2:$ND$150=AI$4)*(GMW!$NF$2:$NF$150=AI$1),0),$C171-1966)</f>
        <v>99.4</v>
      </c>
      <c r="AJ171" s="4" cm="1">
        <f t="array" ref="AJ171">INDEX(GMW!$A$2:$NF$150,MATCH(1,(GMW!$NE$2:$NE$150=AJ$3)*(GMW!$ND$2:$ND$150=AJ$4)*(GMW!$NF$2:$NF$150=AJ$1),0),$C171-1966)</f>
        <v>169362</v>
      </c>
      <c r="AK171" s="4" cm="1">
        <f t="array" ref="AK171">INDEX(GMW!$A$2:$NF$150,MATCH(1,(GMW!$NE$2:$NE$150=AK$3)*(GMW!$ND$2:$ND$150=AK$4)*(GMW!$NF$2:$NF$150=AK$1),0),$C171-1966)</f>
        <v>79393</v>
      </c>
      <c r="AL171" s="4" cm="1">
        <f t="array" ref="AL171">INDEX(GMW!$A$2:$NF$150,MATCH(1,(GMW!$NE$2:$NE$150=AL$3)*(GMW!$ND$2:$ND$150=AL$4)*(GMW!$NF$2:$NF$150=AL$1),0),$C171-1966)</f>
        <v>179155</v>
      </c>
      <c r="AM171" s="4" cm="1">
        <f t="array" ref="AM171">INDEX(GMW!$A$2:$NF$150,MATCH(1,(GMW!$NE$2:$NE$150=AM$3)*(GMW!$ND$2:$ND$150=AM$4)*(GMW!$NF$2:$NF$150=AM$1),0),$C171-1966)</f>
        <v>108038</v>
      </c>
      <c r="AN171" s="4" cm="1">
        <f t="array" ref="AN171">INDEX(GMW!$A$2:$NF$150,MATCH(1,(GMW!$NE$2:$NE$150=AN$3)*(GMW!$ND$2:$ND$150=AN$4)*(GMW!$NF$2:$NF$150=AN$1),0),$C171-1966)</f>
        <v>91937</v>
      </c>
      <c r="AO171" s="4" cm="1">
        <f t="array" ref="AO171">INDEX(GMW!$A$2:$NF$150,MATCH(1,(GMW!$NE$2:$NE$150=AO$3)*(GMW!$ND$2:$ND$150=AO$4)*(GMW!$NF$2:$NF$150=AO$1),0),$C171-1966)</f>
        <v>52059</v>
      </c>
      <c r="AP171" s="4" cm="1">
        <f t="array" ref="AP171">INDEX(GMW!$A$2:$NF$150,MATCH(1,(GMW!$NE$2:$NE$150=AP$3)*(GMW!$ND$2:$ND$150=AP$4)*(GMW!$NF$2:$NF$150=AP$1),0),$C171-1966)</f>
        <v>570704.19999999995</v>
      </c>
      <c r="AQ171" s="4" cm="1">
        <f t="array" ref="AQ171">INDEX(GMW!$A$2:$NF$150,MATCH(1,(GMW!$NE$2:$NE$150=AQ$3)*(GMW!$ND$2:$ND$150=AQ$4)*(GMW!$NF$2:$NF$150=AQ$1),0),$C171-1966)</f>
        <v>31068.23</v>
      </c>
      <c r="AR171" s="4" cm="1">
        <f t="array" ref="AR171">INDEX(GMW!$A$2:$NF$150,MATCH(1,(GMW!$NE$2:$NE$150=AR$3)*(GMW!$ND$2:$ND$150=AR$4)*(GMW!$NF$2:$NF$150=AR$1),0),$C171-1966)</f>
        <v>32.1</v>
      </c>
      <c r="AS171" s="4" cm="1">
        <f t="array" ref="AS171">INDEX(GMW!$A$2:$NF$150,MATCH(1,(GMW!$NE$2:$NE$150=AS$3)*(GMW!$ND$2:$ND$150=AS$4)*(GMW!$NF$2:$NF$150=AS$1),0),$C171-1966)</f>
        <v>537365.9</v>
      </c>
      <c r="AT171" s="4" cm="1">
        <f t="array" ref="AT171">INDEX(GMW!$A$2:$NF$150,MATCH(1,(GMW!$NE$2:$NE$150=AT$3)*(GMW!$ND$2:$ND$150=AT$4)*(GMW!$NF$2:$NF$150=AT$1),0),$C171-1966)</f>
        <v>41834.6</v>
      </c>
      <c r="AU171" s="4" cm="1">
        <f t="array" ref="AU171">INDEX(GMW!$A$2:$NF$150,MATCH(1,(GMW!$NE$2:$NE$150=AU$3)*(GMW!$ND$2:$ND$150=AU$4)*(GMW!$NF$2:$NF$150=AU$1),0),$C171-1966)</f>
        <v>2789750</v>
      </c>
      <c r="AV171" s="4" cm="1">
        <f t="array" ref="AV171">INDEX(GMW!$A$2:$NF$150,MATCH(1,(GMW!$NE$2:$NE$150=AV$3)*(GMW!$ND$2:$ND$150=AV$4)*(GMW!$NF$2:$NF$150=AV$1),0),$C171-1966)</f>
        <v>-1.6824870000000001</v>
      </c>
    </row>
    <row r="172" spans="1:48" x14ac:dyDescent="0.25">
      <c r="B172" s="4">
        <f t="shared" si="8"/>
        <v>2014</v>
      </c>
      <c r="C172" s="4">
        <f t="shared" si="7"/>
        <v>2138</v>
      </c>
      <c r="D172" s="4" cm="1">
        <f t="array" ref="D172">INDEX(GMW!$A$2:$NF$150,MATCH(1,(GMW!$NE$2:$NE$150=D$3)*(GMW!$ND$2:$ND$150=D$4)*(GMW!$NF$2:$NF$150=D$1),0),$C172-1966)</f>
        <v>559331</v>
      </c>
      <c r="E172" s="4" cm="1">
        <f t="array" ref="E172">INDEX(GMW!$A$2:$NF$150,MATCH(1,(GMW!$NE$2:$NE$150=E$3)*(GMW!$ND$2:$ND$150=E$4)*(GMW!$NF$2:$NF$150=E$1),0),$C172-1966)</f>
        <v>100.1</v>
      </c>
      <c r="F172" s="4" cm="1">
        <f t="array" ref="F172">INDEX(GMW!$A$2:$NF$150,MATCH(1,(GMW!$NE$2:$NE$150=F$3)*(GMW!$ND$2:$ND$150=F$4)*(GMW!$NF$2:$NF$150=F$1),0),$C172-1966)</f>
        <v>171923</v>
      </c>
      <c r="G172" s="4" cm="1">
        <f t="array" ref="G172">INDEX(GMW!$A$2:$NF$150,MATCH(1,(GMW!$NE$2:$NE$150=G$3)*(GMW!$ND$2:$ND$150=G$4)*(GMW!$NF$2:$NF$150=G$1),0),$C172-1966)</f>
        <v>83041</v>
      </c>
      <c r="H172" s="4" cm="1">
        <f t="array" ref="H172">INDEX(GMW!$A$2:$NF$150,MATCH(1,(GMW!$NE$2:$NE$150=H$3)*(GMW!$ND$2:$ND$150=H$4)*(GMW!$NF$2:$NF$150=H$1),0),$C172-1966)</f>
        <v>180159</v>
      </c>
      <c r="I172" s="4" cm="1">
        <f t="array" ref="I172">INDEX(GMW!$A$2:$NF$150,MATCH(1,(GMW!$NE$2:$NE$150=I$3)*(GMW!$ND$2:$ND$150=I$4)*(GMW!$NF$2:$NF$150=I$1),0),$C172-1966)</f>
        <v>108961</v>
      </c>
      <c r="J172" s="4" cm="1">
        <f t="array" ref="J172">INDEX(GMW!$A$2:$NF$150,MATCH(1,(GMW!$NE$2:$NE$150=J$3)*(GMW!$ND$2:$ND$150=J$4)*(GMW!$NF$2:$NF$150=J$1),0),$C172-1966)</f>
        <v>91645</v>
      </c>
      <c r="K172" s="4" cm="1">
        <f t="array" ref="K172">INDEX(GMW!$A$2:$NF$150,MATCH(1,(GMW!$NE$2:$NE$150=K$3)*(GMW!$ND$2:$ND$150=K$4)*(GMW!$NF$2:$NF$150=K$1),0),$C172-1966)</f>
        <v>52215</v>
      </c>
      <c r="L172" s="4" cm="1">
        <f t="array" ref="L172">INDEX(GMW!$A$2:$NF$150,MATCH(1,(GMW!$NE$2:$NE$150=L$3)*(GMW!$ND$2:$ND$150=L$4)*(GMW!$NF$2:$NF$150=L$1),0),$C172-1966)</f>
        <v>573375.1</v>
      </c>
      <c r="M172" s="4" cm="1">
        <f t="array" ref="M172">INDEX(GMW!$A$2:$NF$150,MATCH(1,(GMW!$NE$2:$NE$150=M$3)*(GMW!$ND$2:$ND$150=M$4)*(GMW!$NF$2:$NF$150=M$1),0),$C172-1966)</f>
        <v>31091.9</v>
      </c>
      <c r="N172" s="4" cm="1">
        <f t="array" ref="N172">INDEX(GMW!$A$2:$NF$150,MATCH(1,(GMW!$NE$2:$NE$150=N$3)*(GMW!$ND$2:$ND$150=N$4)*(GMW!$NF$2:$NF$150=N$1),0),$C172-1966)</f>
        <v>32.200000000000003</v>
      </c>
      <c r="O172" s="4" cm="1">
        <f t="array" ref="O172">INDEX(GMW!$A$2:$NF$150,MATCH(1,(GMW!$NE$2:$NE$150=O$3)*(GMW!$ND$2:$ND$150=O$4)*(GMW!$NF$2:$NF$150=O$1),0),$C172-1966)</f>
        <v>538891.4</v>
      </c>
      <c r="P172" s="4" cm="1">
        <f t="array" ref="P172">INDEX(GMW!$A$2:$NF$150,MATCH(1,(GMW!$NE$2:$NE$150=P$3)*(GMW!$ND$2:$ND$150=P$4)*(GMW!$NF$2:$NF$150=P$1),0),$C172-1966)</f>
        <v>41870.699999999997</v>
      </c>
      <c r="Q172" s="4" cm="1">
        <f t="array" ref="Q172">INDEX(GMW!$A$2:$NF$150,MATCH(1,(GMW!$NE$2:$NE$150=Q$3)*(GMW!$ND$2:$ND$150=Q$4)*(GMW!$NF$2:$NF$150=Q$1),0),$C172-1966)</f>
        <v>2802500</v>
      </c>
      <c r="R172" s="4" cm="1">
        <f t="array" ref="R172">INDEX(GMW!$A$2:$NF$150,MATCH(1,(GMW!$NE$2:$NE$150=R$3)*(GMW!$ND$2:$ND$150=R$4)*(GMW!$NF$2:$NF$150=R$1),0),$C172-1966)</f>
        <v>-1.6825300000000001</v>
      </c>
      <c r="S172" s="4" cm="1">
        <f t="array" ref="S172">INDEX(GMW!$A$2:$NF$150,MATCH(1,(GMW!$NE$2:$NE$150=S$3)*(GMW!$ND$2:$ND$150=S$4)*(GMW!$NF$2:$NF$150=S$1),0),$C172-1966)</f>
        <v>559331</v>
      </c>
      <c r="T172" s="4" cm="1">
        <f t="array" ref="T172">INDEX(GMW!$A$2:$NF$150,MATCH(1,(GMW!$NE$2:$NE$150=T$3)*(GMW!$ND$2:$ND$150=T$4)*(GMW!$NF$2:$NF$150=T$1),0),$C172-1966)</f>
        <v>100.1</v>
      </c>
      <c r="U172" s="4" cm="1">
        <f t="array" ref="U172">INDEX(GMW!$A$2:$NF$150,MATCH(1,(GMW!$NE$2:$NE$150=U$3)*(GMW!$ND$2:$ND$150=U$4)*(GMW!$NF$2:$NF$150=U$1),0),$C172-1966)</f>
        <v>171923</v>
      </c>
      <c r="V172" s="4" cm="1">
        <f t="array" ref="V172">INDEX(GMW!$A$2:$NF$150,MATCH(1,(GMW!$NE$2:$NE$150=V$3)*(GMW!$ND$2:$ND$150=V$4)*(GMW!$NF$2:$NF$150=V$1),0),$C172-1966)</f>
        <v>83041</v>
      </c>
      <c r="W172" s="4" cm="1">
        <f t="array" ref="W172">INDEX(GMW!$A$2:$NF$150,MATCH(1,(GMW!$NE$2:$NE$150=W$3)*(GMW!$ND$2:$ND$150=W$4)*(GMW!$NF$2:$NF$150=W$1),0),$C172-1966)</f>
        <v>180159</v>
      </c>
      <c r="X172" s="4" cm="1">
        <f t="array" ref="X172">INDEX(GMW!$A$2:$NF$150,MATCH(1,(GMW!$NE$2:$NE$150=X$3)*(GMW!$ND$2:$ND$150=X$4)*(GMW!$NF$2:$NF$150=X$1),0),$C172-1966)</f>
        <v>108961</v>
      </c>
      <c r="Y172" s="4" cm="1">
        <f t="array" ref="Y172">INDEX(GMW!$A$2:$NF$150,MATCH(1,(GMW!$NE$2:$NE$150=Y$3)*(GMW!$ND$2:$ND$150=Y$4)*(GMW!$NF$2:$NF$150=Y$1),0),$C172-1966)</f>
        <v>91645</v>
      </c>
      <c r="Z172" s="4" cm="1">
        <f t="array" ref="Z172">INDEX(GMW!$A$2:$NF$150,MATCH(1,(GMW!$NE$2:$NE$150=Z$3)*(GMW!$ND$2:$ND$150=Z$4)*(GMW!$NF$2:$NF$150=Z$1),0),$C172-1966)</f>
        <v>52215</v>
      </c>
      <c r="AA172" s="4" cm="1">
        <f t="array" ref="AA172">INDEX(GMW!$A$2:$NF$150,MATCH(1,(GMW!$NE$2:$NE$150=AA$3)*(GMW!$ND$2:$ND$150=AA$4)*(GMW!$NF$2:$NF$150=AA$1),0),$C172-1966)</f>
        <v>573375.1</v>
      </c>
      <c r="AB172" s="4" cm="1">
        <f t="array" ref="AB172">INDEX(GMW!$A$2:$NF$150,MATCH(1,(GMW!$NE$2:$NE$150=AB$3)*(GMW!$ND$2:$ND$150=AB$4)*(GMW!$NF$2:$NF$150=AB$1),0),$C172-1966)</f>
        <v>31091.9</v>
      </c>
      <c r="AC172" s="4" cm="1">
        <f t="array" ref="AC172">INDEX(GMW!$A$2:$NF$150,MATCH(1,(GMW!$NE$2:$NE$150=AC$3)*(GMW!$ND$2:$ND$150=AC$4)*(GMW!$NF$2:$NF$150=AC$1),0),$C172-1966)</f>
        <v>32.200000000000003</v>
      </c>
      <c r="AD172" s="4" cm="1">
        <f t="array" ref="AD172">INDEX(GMW!$A$2:$NF$150,MATCH(1,(GMW!$NE$2:$NE$150=AD$3)*(GMW!$ND$2:$ND$150=AD$4)*(GMW!$NF$2:$NF$150=AD$1),0),$C172-1966)</f>
        <v>538891.4</v>
      </c>
      <c r="AE172" s="4" cm="1">
        <f t="array" ref="AE172">INDEX(GMW!$A$2:$NF$150,MATCH(1,(GMW!$NE$2:$NE$150=AE$3)*(GMW!$ND$2:$ND$150=AE$4)*(GMW!$NF$2:$NF$150=AE$1),0),$C172-1966)</f>
        <v>41870.699999999997</v>
      </c>
      <c r="AF172" s="4" cm="1">
        <f t="array" ref="AF172">INDEX(GMW!$A$2:$NF$150,MATCH(1,(GMW!$NE$2:$NE$150=AF$3)*(GMW!$ND$2:$ND$150=AF$4)*(GMW!$NF$2:$NF$150=AF$1),0),$C172-1966)</f>
        <v>2802500</v>
      </c>
      <c r="AG172" s="4" cm="1">
        <f t="array" ref="AG172">INDEX(GMW!$A$2:$NF$150,MATCH(1,(GMW!$NE$2:$NE$150=AG$3)*(GMW!$ND$2:$ND$150=AG$4)*(GMW!$NF$2:$NF$150=AG$1),0),$C172-1966)</f>
        <v>-1.6825300000000001</v>
      </c>
      <c r="AH172" s="4" cm="1">
        <f t="array" ref="AH172">INDEX(GMW!$A$2:$NF$150,MATCH(1,(GMW!$NE$2:$NE$150=AH$3)*(GMW!$ND$2:$ND$150=AH$4)*(GMW!$NF$2:$NF$150=AH$1),0),$C172-1966)</f>
        <v>559331</v>
      </c>
      <c r="AI172" s="4" cm="1">
        <f t="array" ref="AI172">INDEX(GMW!$A$2:$NF$150,MATCH(1,(GMW!$NE$2:$NE$150=AI$3)*(GMW!$ND$2:$ND$150=AI$4)*(GMW!$NF$2:$NF$150=AI$1),0),$C172-1966)</f>
        <v>100.1</v>
      </c>
      <c r="AJ172" s="4" cm="1">
        <f t="array" ref="AJ172">INDEX(GMW!$A$2:$NF$150,MATCH(1,(GMW!$NE$2:$NE$150=AJ$3)*(GMW!$ND$2:$ND$150=AJ$4)*(GMW!$NF$2:$NF$150=AJ$1),0),$C172-1966)</f>
        <v>171923</v>
      </c>
      <c r="AK172" s="4" cm="1">
        <f t="array" ref="AK172">INDEX(GMW!$A$2:$NF$150,MATCH(1,(GMW!$NE$2:$NE$150=AK$3)*(GMW!$ND$2:$ND$150=AK$4)*(GMW!$NF$2:$NF$150=AK$1),0),$C172-1966)</f>
        <v>83041</v>
      </c>
      <c r="AL172" s="4" cm="1">
        <f t="array" ref="AL172">INDEX(GMW!$A$2:$NF$150,MATCH(1,(GMW!$NE$2:$NE$150=AL$3)*(GMW!$ND$2:$ND$150=AL$4)*(GMW!$NF$2:$NF$150=AL$1),0),$C172-1966)</f>
        <v>180159</v>
      </c>
      <c r="AM172" s="4" cm="1">
        <f t="array" ref="AM172">INDEX(GMW!$A$2:$NF$150,MATCH(1,(GMW!$NE$2:$NE$150=AM$3)*(GMW!$ND$2:$ND$150=AM$4)*(GMW!$NF$2:$NF$150=AM$1),0),$C172-1966)</f>
        <v>108961</v>
      </c>
      <c r="AN172" s="4" cm="1">
        <f t="array" ref="AN172">INDEX(GMW!$A$2:$NF$150,MATCH(1,(GMW!$NE$2:$NE$150=AN$3)*(GMW!$ND$2:$ND$150=AN$4)*(GMW!$NF$2:$NF$150=AN$1),0),$C172-1966)</f>
        <v>91645</v>
      </c>
      <c r="AO172" s="4" cm="1">
        <f t="array" ref="AO172">INDEX(GMW!$A$2:$NF$150,MATCH(1,(GMW!$NE$2:$NE$150=AO$3)*(GMW!$ND$2:$ND$150=AO$4)*(GMW!$NF$2:$NF$150=AO$1),0),$C172-1966)</f>
        <v>52215</v>
      </c>
      <c r="AP172" s="4" cm="1">
        <f t="array" ref="AP172">INDEX(GMW!$A$2:$NF$150,MATCH(1,(GMW!$NE$2:$NE$150=AP$3)*(GMW!$ND$2:$ND$150=AP$4)*(GMW!$NF$2:$NF$150=AP$1),0),$C172-1966)</f>
        <v>573375.1</v>
      </c>
      <c r="AQ172" s="4" cm="1">
        <f t="array" ref="AQ172">INDEX(GMW!$A$2:$NF$150,MATCH(1,(GMW!$NE$2:$NE$150=AQ$3)*(GMW!$ND$2:$ND$150=AQ$4)*(GMW!$NF$2:$NF$150=AQ$1),0),$C172-1966)</f>
        <v>31091.9</v>
      </c>
      <c r="AR172" s="4" cm="1">
        <f t="array" ref="AR172">INDEX(GMW!$A$2:$NF$150,MATCH(1,(GMW!$NE$2:$NE$150=AR$3)*(GMW!$ND$2:$ND$150=AR$4)*(GMW!$NF$2:$NF$150=AR$1),0),$C172-1966)</f>
        <v>32.200000000000003</v>
      </c>
      <c r="AS172" s="4" cm="1">
        <f t="array" ref="AS172">INDEX(GMW!$A$2:$NF$150,MATCH(1,(GMW!$NE$2:$NE$150=AS$3)*(GMW!$ND$2:$ND$150=AS$4)*(GMW!$NF$2:$NF$150=AS$1),0),$C172-1966)</f>
        <v>538891.4</v>
      </c>
      <c r="AT172" s="4" cm="1">
        <f t="array" ref="AT172">INDEX(GMW!$A$2:$NF$150,MATCH(1,(GMW!$NE$2:$NE$150=AT$3)*(GMW!$ND$2:$ND$150=AT$4)*(GMW!$NF$2:$NF$150=AT$1),0),$C172-1966)</f>
        <v>41870.699999999997</v>
      </c>
      <c r="AU172" s="4" cm="1">
        <f t="array" ref="AU172">INDEX(GMW!$A$2:$NF$150,MATCH(1,(GMW!$NE$2:$NE$150=AU$3)*(GMW!$ND$2:$ND$150=AU$4)*(GMW!$NF$2:$NF$150=AU$1),0),$C172-1966)</f>
        <v>2802500</v>
      </c>
      <c r="AV172" s="4" cm="1">
        <f t="array" ref="AV172">INDEX(GMW!$A$2:$NF$150,MATCH(1,(GMW!$NE$2:$NE$150=AV$3)*(GMW!$ND$2:$ND$150=AV$4)*(GMW!$NF$2:$NF$150=AV$1),0),$C172-1966)</f>
        <v>-1.6825300000000001</v>
      </c>
    </row>
    <row r="173" spans="1:48" x14ac:dyDescent="0.25">
      <c r="B173" s="4">
        <f t="shared" si="8"/>
        <v>2014</v>
      </c>
      <c r="C173" s="4">
        <f t="shared" si="7"/>
        <v>2139</v>
      </c>
      <c r="D173" s="4" cm="1">
        <f t="array" ref="D173">INDEX(GMW!$A$2:$NF$150,MATCH(1,(GMW!$NE$2:$NE$150=D$3)*(GMW!$ND$2:$ND$150=D$4)*(GMW!$NF$2:$NF$150=D$1),0),$C173-1966)</f>
        <v>563694</v>
      </c>
      <c r="E173" s="4" cm="1">
        <f t="array" ref="E173">INDEX(GMW!$A$2:$NF$150,MATCH(1,(GMW!$NE$2:$NE$150=E$3)*(GMW!$ND$2:$ND$150=E$4)*(GMW!$NF$2:$NF$150=E$1),0),$C173-1966)</f>
        <v>100.13330000000001</v>
      </c>
      <c r="F173" s="4" cm="1">
        <f t="array" ref="F173">INDEX(GMW!$A$2:$NF$150,MATCH(1,(GMW!$NE$2:$NE$150=F$3)*(GMW!$ND$2:$ND$150=F$4)*(GMW!$NF$2:$NF$150=F$1),0),$C173-1966)</f>
        <v>172435</v>
      </c>
      <c r="G173" s="4" cm="1">
        <f t="array" ref="G173">INDEX(GMW!$A$2:$NF$150,MATCH(1,(GMW!$NE$2:$NE$150=G$3)*(GMW!$ND$2:$ND$150=G$4)*(GMW!$NF$2:$NF$150=G$1),0),$C173-1966)</f>
        <v>81331</v>
      </c>
      <c r="H173" s="4" cm="1">
        <f t="array" ref="H173">INDEX(GMW!$A$2:$NF$150,MATCH(1,(GMW!$NE$2:$NE$150=H$3)*(GMW!$ND$2:$ND$150=H$4)*(GMW!$NF$2:$NF$150=H$1),0),$C173-1966)</f>
        <v>186677</v>
      </c>
      <c r="I173" s="4" cm="1">
        <f t="array" ref="I173">INDEX(GMW!$A$2:$NF$150,MATCH(1,(GMW!$NE$2:$NE$150=I$3)*(GMW!$ND$2:$ND$150=I$4)*(GMW!$NF$2:$NF$150=I$1),0),$C173-1966)</f>
        <v>111450</v>
      </c>
      <c r="J173" s="4" cm="1">
        <f t="array" ref="J173">INDEX(GMW!$A$2:$NF$150,MATCH(1,(GMW!$NE$2:$NE$150=J$3)*(GMW!$ND$2:$ND$150=J$4)*(GMW!$NF$2:$NF$150=J$1),0),$C173-1966)</f>
        <v>93278</v>
      </c>
      <c r="K173" s="4" cm="1">
        <f t="array" ref="K173">INDEX(GMW!$A$2:$NF$150,MATCH(1,(GMW!$NE$2:$NE$150=K$3)*(GMW!$ND$2:$ND$150=K$4)*(GMW!$NF$2:$NF$150=K$1),0),$C173-1966)</f>
        <v>52581</v>
      </c>
      <c r="L173" s="4" cm="1">
        <f t="array" ref="L173">INDEX(GMW!$A$2:$NF$150,MATCH(1,(GMW!$NE$2:$NE$150=L$3)*(GMW!$ND$2:$ND$150=L$4)*(GMW!$NF$2:$NF$150=L$1),0),$C173-1966)</f>
        <v>575130.80000000005</v>
      </c>
      <c r="M173" s="4" cm="1">
        <f t="array" ref="M173">INDEX(GMW!$A$2:$NF$150,MATCH(1,(GMW!$NE$2:$NE$150=M$3)*(GMW!$ND$2:$ND$150=M$4)*(GMW!$NF$2:$NF$150=M$1),0),$C173-1966)</f>
        <v>31135.8</v>
      </c>
      <c r="N173" s="4" cm="1">
        <f t="array" ref="N173">INDEX(GMW!$A$2:$NF$150,MATCH(1,(GMW!$NE$2:$NE$150=N$3)*(GMW!$ND$2:$ND$150=N$4)*(GMW!$NF$2:$NF$150=N$1),0),$C173-1966)</f>
        <v>32.200000000000003</v>
      </c>
      <c r="O173" s="4" cm="1">
        <f t="array" ref="O173">INDEX(GMW!$A$2:$NF$150,MATCH(1,(GMW!$NE$2:$NE$150=O$3)*(GMW!$ND$2:$ND$150=O$4)*(GMW!$NF$2:$NF$150=O$1),0),$C173-1966)</f>
        <v>540637</v>
      </c>
      <c r="P173" s="4" cm="1">
        <f t="array" ref="P173">INDEX(GMW!$A$2:$NF$150,MATCH(1,(GMW!$NE$2:$NE$150=P$3)*(GMW!$ND$2:$ND$150=P$4)*(GMW!$NF$2:$NF$150=P$1),0),$C173-1966)</f>
        <v>41924.199999999997</v>
      </c>
      <c r="Q173" s="4" cm="1">
        <f t="array" ref="Q173">INDEX(GMW!$A$2:$NF$150,MATCH(1,(GMW!$NE$2:$NE$150=Q$3)*(GMW!$ND$2:$ND$150=Q$4)*(GMW!$NF$2:$NF$150=Q$1),0),$C173-1966)</f>
        <v>2815250</v>
      </c>
      <c r="R173" s="4" cm="1">
        <f t="array" ref="R173">INDEX(GMW!$A$2:$NF$150,MATCH(1,(GMW!$NE$2:$NE$150=R$3)*(GMW!$ND$2:$ND$150=R$4)*(GMW!$NF$2:$NF$150=R$1),0),$C173-1966)</f>
        <v>-1.682572</v>
      </c>
      <c r="S173" s="4" cm="1">
        <f t="array" ref="S173">INDEX(GMW!$A$2:$NF$150,MATCH(1,(GMW!$NE$2:$NE$150=S$3)*(GMW!$ND$2:$ND$150=S$4)*(GMW!$NF$2:$NF$150=S$1),0),$C173-1966)</f>
        <v>563694</v>
      </c>
      <c r="T173" s="4" cm="1">
        <f t="array" ref="T173">INDEX(GMW!$A$2:$NF$150,MATCH(1,(GMW!$NE$2:$NE$150=T$3)*(GMW!$ND$2:$ND$150=T$4)*(GMW!$NF$2:$NF$150=T$1),0),$C173-1966)</f>
        <v>100.13330000000001</v>
      </c>
      <c r="U173" s="4" cm="1">
        <f t="array" ref="U173">INDEX(GMW!$A$2:$NF$150,MATCH(1,(GMW!$NE$2:$NE$150=U$3)*(GMW!$ND$2:$ND$150=U$4)*(GMW!$NF$2:$NF$150=U$1),0),$C173-1966)</f>
        <v>172435</v>
      </c>
      <c r="V173" s="4" cm="1">
        <f t="array" ref="V173">INDEX(GMW!$A$2:$NF$150,MATCH(1,(GMW!$NE$2:$NE$150=V$3)*(GMW!$ND$2:$ND$150=V$4)*(GMW!$NF$2:$NF$150=V$1),0),$C173-1966)</f>
        <v>81331</v>
      </c>
      <c r="W173" s="4" cm="1">
        <f t="array" ref="W173">INDEX(GMW!$A$2:$NF$150,MATCH(1,(GMW!$NE$2:$NE$150=W$3)*(GMW!$ND$2:$ND$150=W$4)*(GMW!$NF$2:$NF$150=W$1),0),$C173-1966)</f>
        <v>186677</v>
      </c>
      <c r="X173" s="4" cm="1">
        <f t="array" ref="X173">INDEX(GMW!$A$2:$NF$150,MATCH(1,(GMW!$NE$2:$NE$150=X$3)*(GMW!$ND$2:$ND$150=X$4)*(GMW!$NF$2:$NF$150=X$1),0),$C173-1966)</f>
        <v>111450</v>
      </c>
      <c r="Y173" s="4" cm="1">
        <f t="array" ref="Y173">INDEX(GMW!$A$2:$NF$150,MATCH(1,(GMW!$NE$2:$NE$150=Y$3)*(GMW!$ND$2:$ND$150=Y$4)*(GMW!$NF$2:$NF$150=Y$1),0),$C173-1966)</f>
        <v>93278</v>
      </c>
      <c r="Z173" s="4" cm="1">
        <f t="array" ref="Z173">INDEX(GMW!$A$2:$NF$150,MATCH(1,(GMW!$NE$2:$NE$150=Z$3)*(GMW!$ND$2:$ND$150=Z$4)*(GMW!$NF$2:$NF$150=Z$1),0),$C173-1966)</f>
        <v>52581</v>
      </c>
      <c r="AA173" s="4" cm="1">
        <f t="array" ref="AA173">INDEX(GMW!$A$2:$NF$150,MATCH(1,(GMW!$NE$2:$NE$150=AA$3)*(GMW!$ND$2:$ND$150=AA$4)*(GMW!$NF$2:$NF$150=AA$1),0),$C173-1966)</f>
        <v>575130.80000000005</v>
      </c>
      <c r="AB173" s="4" cm="1">
        <f t="array" ref="AB173">INDEX(GMW!$A$2:$NF$150,MATCH(1,(GMW!$NE$2:$NE$150=AB$3)*(GMW!$ND$2:$ND$150=AB$4)*(GMW!$NF$2:$NF$150=AB$1),0),$C173-1966)</f>
        <v>31135.8</v>
      </c>
      <c r="AC173" s="4" cm="1">
        <f t="array" ref="AC173">INDEX(GMW!$A$2:$NF$150,MATCH(1,(GMW!$NE$2:$NE$150=AC$3)*(GMW!$ND$2:$ND$150=AC$4)*(GMW!$NF$2:$NF$150=AC$1),0),$C173-1966)</f>
        <v>32.200000000000003</v>
      </c>
      <c r="AD173" s="4" cm="1">
        <f t="array" ref="AD173">INDEX(GMW!$A$2:$NF$150,MATCH(1,(GMW!$NE$2:$NE$150=AD$3)*(GMW!$ND$2:$ND$150=AD$4)*(GMW!$NF$2:$NF$150=AD$1),0),$C173-1966)</f>
        <v>540637</v>
      </c>
      <c r="AE173" s="4" cm="1">
        <f t="array" ref="AE173">INDEX(GMW!$A$2:$NF$150,MATCH(1,(GMW!$NE$2:$NE$150=AE$3)*(GMW!$ND$2:$ND$150=AE$4)*(GMW!$NF$2:$NF$150=AE$1),0),$C173-1966)</f>
        <v>41924.199999999997</v>
      </c>
      <c r="AF173" s="4" cm="1">
        <f t="array" ref="AF173">INDEX(GMW!$A$2:$NF$150,MATCH(1,(GMW!$NE$2:$NE$150=AF$3)*(GMW!$ND$2:$ND$150=AF$4)*(GMW!$NF$2:$NF$150=AF$1),0),$C173-1966)</f>
        <v>2815250</v>
      </c>
      <c r="AG173" s="4" cm="1">
        <f t="array" ref="AG173">INDEX(GMW!$A$2:$NF$150,MATCH(1,(GMW!$NE$2:$NE$150=AG$3)*(GMW!$ND$2:$ND$150=AG$4)*(GMW!$NF$2:$NF$150=AG$1),0),$C173-1966)</f>
        <v>-1.682572</v>
      </c>
      <c r="AH173" s="4" cm="1">
        <f t="array" ref="AH173">INDEX(GMW!$A$2:$NF$150,MATCH(1,(GMW!$NE$2:$NE$150=AH$3)*(GMW!$ND$2:$ND$150=AH$4)*(GMW!$NF$2:$NF$150=AH$1),0),$C173-1966)</f>
        <v>563694</v>
      </c>
      <c r="AI173" s="4" cm="1">
        <f t="array" ref="AI173">INDEX(GMW!$A$2:$NF$150,MATCH(1,(GMW!$NE$2:$NE$150=AI$3)*(GMW!$ND$2:$ND$150=AI$4)*(GMW!$NF$2:$NF$150=AI$1),0),$C173-1966)</f>
        <v>100.13330000000001</v>
      </c>
      <c r="AJ173" s="4" cm="1">
        <f t="array" ref="AJ173">INDEX(GMW!$A$2:$NF$150,MATCH(1,(GMW!$NE$2:$NE$150=AJ$3)*(GMW!$ND$2:$ND$150=AJ$4)*(GMW!$NF$2:$NF$150=AJ$1),0),$C173-1966)</f>
        <v>172435</v>
      </c>
      <c r="AK173" s="4" cm="1">
        <f t="array" ref="AK173">INDEX(GMW!$A$2:$NF$150,MATCH(1,(GMW!$NE$2:$NE$150=AK$3)*(GMW!$ND$2:$ND$150=AK$4)*(GMW!$NF$2:$NF$150=AK$1),0),$C173-1966)</f>
        <v>81331</v>
      </c>
      <c r="AL173" s="4" cm="1">
        <f t="array" ref="AL173">INDEX(GMW!$A$2:$NF$150,MATCH(1,(GMW!$NE$2:$NE$150=AL$3)*(GMW!$ND$2:$ND$150=AL$4)*(GMW!$NF$2:$NF$150=AL$1),0),$C173-1966)</f>
        <v>186677</v>
      </c>
      <c r="AM173" s="4" cm="1">
        <f t="array" ref="AM173">INDEX(GMW!$A$2:$NF$150,MATCH(1,(GMW!$NE$2:$NE$150=AM$3)*(GMW!$ND$2:$ND$150=AM$4)*(GMW!$NF$2:$NF$150=AM$1),0),$C173-1966)</f>
        <v>111450</v>
      </c>
      <c r="AN173" s="4" cm="1">
        <f t="array" ref="AN173">INDEX(GMW!$A$2:$NF$150,MATCH(1,(GMW!$NE$2:$NE$150=AN$3)*(GMW!$ND$2:$ND$150=AN$4)*(GMW!$NF$2:$NF$150=AN$1),0),$C173-1966)</f>
        <v>93278</v>
      </c>
      <c r="AO173" s="4" cm="1">
        <f t="array" ref="AO173">INDEX(GMW!$A$2:$NF$150,MATCH(1,(GMW!$NE$2:$NE$150=AO$3)*(GMW!$ND$2:$ND$150=AO$4)*(GMW!$NF$2:$NF$150=AO$1),0),$C173-1966)</f>
        <v>52581</v>
      </c>
      <c r="AP173" s="4" cm="1">
        <f t="array" ref="AP173">INDEX(GMW!$A$2:$NF$150,MATCH(1,(GMW!$NE$2:$NE$150=AP$3)*(GMW!$ND$2:$ND$150=AP$4)*(GMW!$NF$2:$NF$150=AP$1),0),$C173-1966)</f>
        <v>575130.80000000005</v>
      </c>
      <c r="AQ173" s="4" cm="1">
        <f t="array" ref="AQ173">INDEX(GMW!$A$2:$NF$150,MATCH(1,(GMW!$NE$2:$NE$150=AQ$3)*(GMW!$ND$2:$ND$150=AQ$4)*(GMW!$NF$2:$NF$150=AQ$1),0),$C173-1966)</f>
        <v>31135.8</v>
      </c>
      <c r="AR173" s="4" cm="1">
        <f t="array" ref="AR173">INDEX(GMW!$A$2:$NF$150,MATCH(1,(GMW!$NE$2:$NE$150=AR$3)*(GMW!$ND$2:$ND$150=AR$4)*(GMW!$NF$2:$NF$150=AR$1),0),$C173-1966)</f>
        <v>32.200000000000003</v>
      </c>
      <c r="AS173" s="4" cm="1">
        <f t="array" ref="AS173">INDEX(GMW!$A$2:$NF$150,MATCH(1,(GMW!$NE$2:$NE$150=AS$3)*(GMW!$ND$2:$ND$150=AS$4)*(GMW!$NF$2:$NF$150=AS$1),0),$C173-1966)</f>
        <v>540637</v>
      </c>
      <c r="AT173" s="4" cm="1">
        <f t="array" ref="AT173">INDEX(GMW!$A$2:$NF$150,MATCH(1,(GMW!$NE$2:$NE$150=AT$3)*(GMW!$ND$2:$ND$150=AT$4)*(GMW!$NF$2:$NF$150=AT$1),0),$C173-1966)</f>
        <v>41924.199999999997</v>
      </c>
      <c r="AU173" s="4" cm="1">
        <f t="array" ref="AU173">INDEX(GMW!$A$2:$NF$150,MATCH(1,(GMW!$NE$2:$NE$150=AU$3)*(GMW!$ND$2:$ND$150=AU$4)*(GMW!$NF$2:$NF$150=AU$1),0),$C173-1966)</f>
        <v>2815250</v>
      </c>
      <c r="AV173" s="4" cm="1">
        <f t="array" ref="AV173">INDEX(GMW!$A$2:$NF$150,MATCH(1,(GMW!$NE$2:$NE$150=AV$3)*(GMW!$ND$2:$ND$150=AV$4)*(GMW!$NF$2:$NF$150=AV$1),0),$C173-1966)</f>
        <v>-1.682572</v>
      </c>
    </row>
    <row r="174" spans="1:48" x14ac:dyDescent="0.25">
      <c r="B174" s="4">
        <f t="shared" si="8"/>
        <v>2014</v>
      </c>
      <c r="C174" s="4">
        <f t="shared" si="7"/>
        <v>2140</v>
      </c>
      <c r="D174" s="4" cm="1">
        <f t="array" ref="D174">INDEX(GMW!$A$2:$NF$150,MATCH(1,(GMW!$NE$2:$NE$150=D$3)*(GMW!$ND$2:$ND$150=D$4)*(GMW!$NF$2:$NF$150=D$1),0),$C174-1966)</f>
        <v>567619</v>
      </c>
      <c r="E174" s="4" cm="1">
        <f t="array" ref="E174">INDEX(GMW!$A$2:$NF$150,MATCH(1,(GMW!$NE$2:$NE$150=E$3)*(GMW!$ND$2:$ND$150=E$4)*(GMW!$NF$2:$NF$150=E$1),0),$C174-1966)</f>
        <v>100.2</v>
      </c>
      <c r="F174" s="4" cm="1">
        <f t="array" ref="F174">INDEX(GMW!$A$2:$NF$150,MATCH(1,(GMW!$NE$2:$NE$150=F$3)*(GMW!$ND$2:$ND$150=F$4)*(GMW!$NF$2:$NF$150=F$1),0),$C174-1966)</f>
        <v>177395</v>
      </c>
      <c r="G174" s="4" cm="1">
        <f t="array" ref="G174">INDEX(GMW!$A$2:$NF$150,MATCH(1,(GMW!$NE$2:$NE$150=G$3)*(GMW!$ND$2:$ND$150=G$4)*(GMW!$NF$2:$NF$150=G$1),0),$C174-1966)</f>
        <v>82852</v>
      </c>
      <c r="H174" s="4" cm="1">
        <f t="array" ref="H174">INDEX(GMW!$A$2:$NF$150,MATCH(1,(GMW!$NE$2:$NE$150=H$3)*(GMW!$ND$2:$ND$150=H$4)*(GMW!$NF$2:$NF$150=H$1),0),$C174-1966)</f>
        <v>198146</v>
      </c>
      <c r="I174" s="4" cm="1">
        <f t="array" ref="I174">INDEX(GMW!$A$2:$NF$150,MATCH(1,(GMW!$NE$2:$NE$150=I$3)*(GMW!$ND$2:$ND$150=I$4)*(GMW!$NF$2:$NF$150=I$1),0),$C174-1966)</f>
        <v>118783</v>
      </c>
      <c r="J174" s="4" cm="1">
        <f t="array" ref="J174">INDEX(GMW!$A$2:$NF$150,MATCH(1,(GMW!$NE$2:$NE$150=J$3)*(GMW!$ND$2:$ND$150=J$4)*(GMW!$NF$2:$NF$150=J$1),0),$C174-1966)</f>
        <v>95670</v>
      </c>
      <c r="K174" s="4" cm="1">
        <f t="array" ref="K174">INDEX(GMW!$A$2:$NF$150,MATCH(1,(GMW!$NE$2:$NE$150=K$3)*(GMW!$ND$2:$ND$150=K$4)*(GMW!$NF$2:$NF$150=K$1),0),$C174-1966)</f>
        <v>54474</v>
      </c>
      <c r="L174" s="4" cm="1">
        <f t="array" ref="L174">INDEX(GMW!$A$2:$NF$150,MATCH(1,(GMW!$NE$2:$NE$150=L$3)*(GMW!$ND$2:$ND$150=L$4)*(GMW!$NF$2:$NF$150=L$1),0),$C174-1966)</f>
        <v>576747.80000000005</v>
      </c>
      <c r="M174" s="4" cm="1">
        <f t="array" ref="M174">INDEX(GMW!$A$2:$NF$150,MATCH(1,(GMW!$NE$2:$NE$150=M$3)*(GMW!$ND$2:$ND$150=M$4)*(GMW!$NF$2:$NF$150=M$1),0),$C174-1966)</f>
        <v>31168.34</v>
      </c>
      <c r="N174" s="4" cm="1">
        <f t="array" ref="N174">INDEX(GMW!$A$2:$NF$150,MATCH(1,(GMW!$NE$2:$NE$150=N$3)*(GMW!$ND$2:$ND$150=N$4)*(GMW!$NF$2:$NF$150=N$1),0),$C174-1966)</f>
        <v>32.200000000000003</v>
      </c>
      <c r="O174" s="4" cm="1">
        <f t="array" ref="O174">INDEX(GMW!$A$2:$NF$150,MATCH(1,(GMW!$NE$2:$NE$150=O$3)*(GMW!$ND$2:$ND$150=O$4)*(GMW!$NF$2:$NF$150=O$1),0),$C174-1966)</f>
        <v>542379.1</v>
      </c>
      <c r="P174" s="4" cm="1">
        <f t="array" ref="P174">INDEX(GMW!$A$2:$NF$150,MATCH(1,(GMW!$NE$2:$NE$150=P$3)*(GMW!$ND$2:$ND$150=P$4)*(GMW!$NF$2:$NF$150=P$1),0),$C174-1966)</f>
        <v>41977.71</v>
      </c>
      <c r="Q174" s="4" cm="1">
        <f t="array" ref="Q174">INDEX(GMW!$A$2:$NF$150,MATCH(1,(GMW!$NE$2:$NE$150=Q$3)*(GMW!$ND$2:$ND$150=Q$4)*(GMW!$NF$2:$NF$150=Q$1),0),$C174-1966)</f>
        <v>2828000</v>
      </c>
      <c r="R174" s="4" cm="1">
        <f t="array" ref="R174">INDEX(GMW!$A$2:$NF$150,MATCH(1,(GMW!$NE$2:$NE$150=R$3)*(GMW!$ND$2:$ND$150=R$4)*(GMW!$NF$2:$NF$150=R$1),0),$C174-1966)</f>
        <v>-1.682615</v>
      </c>
      <c r="S174" s="4" cm="1">
        <f t="array" ref="S174">INDEX(GMW!$A$2:$NF$150,MATCH(1,(GMW!$NE$2:$NE$150=S$3)*(GMW!$ND$2:$ND$150=S$4)*(GMW!$NF$2:$NF$150=S$1),0),$C174-1966)</f>
        <v>567619</v>
      </c>
      <c r="T174" s="4" cm="1">
        <f t="array" ref="T174">INDEX(GMW!$A$2:$NF$150,MATCH(1,(GMW!$NE$2:$NE$150=T$3)*(GMW!$ND$2:$ND$150=T$4)*(GMW!$NF$2:$NF$150=T$1),0),$C174-1966)</f>
        <v>100.2</v>
      </c>
      <c r="U174" s="4" cm="1">
        <f t="array" ref="U174">INDEX(GMW!$A$2:$NF$150,MATCH(1,(GMW!$NE$2:$NE$150=U$3)*(GMW!$ND$2:$ND$150=U$4)*(GMW!$NF$2:$NF$150=U$1),0),$C174-1966)</f>
        <v>177395</v>
      </c>
      <c r="V174" s="4" cm="1">
        <f t="array" ref="V174">INDEX(GMW!$A$2:$NF$150,MATCH(1,(GMW!$NE$2:$NE$150=V$3)*(GMW!$ND$2:$ND$150=V$4)*(GMW!$NF$2:$NF$150=V$1),0),$C174-1966)</f>
        <v>82852</v>
      </c>
      <c r="W174" s="4" cm="1">
        <f t="array" ref="W174">INDEX(GMW!$A$2:$NF$150,MATCH(1,(GMW!$NE$2:$NE$150=W$3)*(GMW!$ND$2:$ND$150=W$4)*(GMW!$NF$2:$NF$150=W$1),0),$C174-1966)</f>
        <v>198146</v>
      </c>
      <c r="X174" s="4" cm="1">
        <f t="array" ref="X174">INDEX(GMW!$A$2:$NF$150,MATCH(1,(GMW!$NE$2:$NE$150=X$3)*(GMW!$ND$2:$ND$150=X$4)*(GMW!$NF$2:$NF$150=X$1),0),$C174-1966)</f>
        <v>118783</v>
      </c>
      <c r="Y174" s="4" cm="1">
        <f t="array" ref="Y174">INDEX(GMW!$A$2:$NF$150,MATCH(1,(GMW!$NE$2:$NE$150=Y$3)*(GMW!$ND$2:$ND$150=Y$4)*(GMW!$NF$2:$NF$150=Y$1),0),$C174-1966)</f>
        <v>95670</v>
      </c>
      <c r="Z174" s="4" cm="1">
        <f t="array" ref="Z174">INDEX(GMW!$A$2:$NF$150,MATCH(1,(GMW!$NE$2:$NE$150=Z$3)*(GMW!$ND$2:$ND$150=Z$4)*(GMW!$NF$2:$NF$150=Z$1),0),$C174-1966)</f>
        <v>54474</v>
      </c>
      <c r="AA174" s="4" cm="1">
        <f t="array" ref="AA174">INDEX(GMW!$A$2:$NF$150,MATCH(1,(GMW!$NE$2:$NE$150=AA$3)*(GMW!$ND$2:$ND$150=AA$4)*(GMW!$NF$2:$NF$150=AA$1),0),$C174-1966)</f>
        <v>576747.80000000005</v>
      </c>
      <c r="AB174" s="4" cm="1">
        <f t="array" ref="AB174">INDEX(GMW!$A$2:$NF$150,MATCH(1,(GMW!$NE$2:$NE$150=AB$3)*(GMW!$ND$2:$ND$150=AB$4)*(GMW!$NF$2:$NF$150=AB$1),0),$C174-1966)</f>
        <v>31168.34</v>
      </c>
      <c r="AC174" s="4" cm="1">
        <f t="array" ref="AC174">INDEX(GMW!$A$2:$NF$150,MATCH(1,(GMW!$NE$2:$NE$150=AC$3)*(GMW!$ND$2:$ND$150=AC$4)*(GMW!$NF$2:$NF$150=AC$1),0),$C174-1966)</f>
        <v>32.200000000000003</v>
      </c>
      <c r="AD174" s="4" cm="1">
        <f t="array" ref="AD174">INDEX(GMW!$A$2:$NF$150,MATCH(1,(GMW!$NE$2:$NE$150=AD$3)*(GMW!$ND$2:$ND$150=AD$4)*(GMW!$NF$2:$NF$150=AD$1),0),$C174-1966)</f>
        <v>542379.1</v>
      </c>
      <c r="AE174" s="4" cm="1">
        <f t="array" ref="AE174">INDEX(GMW!$A$2:$NF$150,MATCH(1,(GMW!$NE$2:$NE$150=AE$3)*(GMW!$ND$2:$ND$150=AE$4)*(GMW!$NF$2:$NF$150=AE$1),0),$C174-1966)</f>
        <v>41977.71</v>
      </c>
      <c r="AF174" s="4" cm="1">
        <f t="array" ref="AF174">INDEX(GMW!$A$2:$NF$150,MATCH(1,(GMW!$NE$2:$NE$150=AF$3)*(GMW!$ND$2:$ND$150=AF$4)*(GMW!$NF$2:$NF$150=AF$1),0),$C174-1966)</f>
        <v>2828000</v>
      </c>
      <c r="AG174" s="4" cm="1">
        <f t="array" ref="AG174">INDEX(GMW!$A$2:$NF$150,MATCH(1,(GMW!$NE$2:$NE$150=AG$3)*(GMW!$ND$2:$ND$150=AG$4)*(GMW!$NF$2:$NF$150=AG$1),0),$C174-1966)</f>
        <v>-1.682615</v>
      </c>
      <c r="AH174" s="4" cm="1">
        <f t="array" ref="AH174">INDEX(GMW!$A$2:$NF$150,MATCH(1,(GMW!$NE$2:$NE$150=AH$3)*(GMW!$ND$2:$ND$150=AH$4)*(GMW!$NF$2:$NF$150=AH$1),0),$C174-1966)</f>
        <v>567619</v>
      </c>
      <c r="AI174" s="4" cm="1">
        <f t="array" ref="AI174">INDEX(GMW!$A$2:$NF$150,MATCH(1,(GMW!$NE$2:$NE$150=AI$3)*(GMW!$ND$2:$ND$150=AI$4)*(GMW!$NF$2:$NF$150=AI$1),0),$C174-1966)</f>
        <v>100.2</v>
      </c>
      <c r="AJ174" s="4" cm="1">
        <f t="array" ref="AJ174">INDEX(GMW!$A$2:$NF$150,MATCH(1,(GMW!$NE$2:$NE$150=AJ$3)*(GMW!$ND$2:$ND$150=AJ$4)*(GMW!$NF$2:$NF$150=AJ$1),0),$C174-1966)</f>
        <v>177395</v>
      </c>
      <c r="AK174" s="4" cm="1">
        <f t="array" ref="AK174">INDEX(GMW!$A$2:$NF$150,MATCH(1,(GMW!$NE$2:$NE$150=AK$3)*(GMW!$ND$2:$ND$150=AK$4)*(GMW!$NF$2:$NF$150=AK$1),0),$C174-1966)</f>
        <v>82852</v>
      </c>
      <c r="AL174" s="4" cm="1">
        <f t="array" ref="AL174">INDEX(GMW!$A$2:$NF$150,MATCH(1,(GMW!$NE$2:$NE$150=AL$3)*(GMW!$ND$2:$ND$150=AL$4)*(GMW!$NF$2:$NF$150=AL$1),0),$C174-1966)</f>
        <v>198146</v>
      </c>
      <c r="AM174" s="4" cm="1">
        <f t="array" ref="AM174">INDEX(GMW!$A$2:$NF$150,MATCH(1,(GMW!$NE$2:$NE$150=AM$3)*(GMW!$ND$2:$ND$150=AM$4)*(GMW!$NF$2:$NF$150=AM$1),0),$C174-1966)</f>
        <v>118783</v>
      </c>
      <c r="AN174" s="4" cm="1">
        <f t="array" ref="AN174">INDEX(GMW!$A$2:$NF$150,MATCH(1,(GMW!$NE$2:$NE$150=AN$3)*(GMW!$ND$2:$ND$150=AN$4)*(GMW!$NF$2:$NF$150=AN$1),0),$C174-1966)</f>
        <v>95670</v>
      </c>
      <c r="AO174" s="4" cm="1">
        <f t="array" ref="AO174">INDEX(GMW!$A$2:$NF$150,MATCH(1,(GMW!$NE$2:$NE$150=AO$3)*(GMW!$ND$2:$ND$150=AO$4)*(GMW!$NF$2:$NF$150=AO$1),0),$C174-1966)</f>
        <v>54474</v>
      </c>
      <c r="AP174" s="4" cm="1">
        <f t="array" ref="AP174">INDEX(GMW!$A$2:$NF$150,MATCH(1,(GMW!$NE$2:$NE$150=AP$3)*(GMW!$ND$2:$ND$150=AP$4)*(GMW!$NF$2:$NF$150=AP$1),0),$C174-1966)</f>
        <v>576747.80000000005</v>
      </c>
      <c r="AQ174" s="4" cm="1">
        <f t="array" ref="AQ174">INDEX(GMW!$A$2:$NF$150,MATCH(1,(GMW!$NE$2:$NE$150=AQ$3)*(GMW!$ND$2:$ND$150=AQ$4)*(GMW!$NF$2:$NF$150=AQ$1),0),$C174-1966)</f>
        <v>31168.34</v>
      </c>
      <c r="AR174" s="4" cm="1">
        <f t="array" ref="AR174">INDEX(GMW!$A$2:$NF$150,MATCH(1,(GMW!$NE$2:$NE$150=AR$3)*(GMW!$ND$2:$ND$150=AR$4)*(GMW!$NF$2:$NF$150=AR$1),0),$C174-1966)</f>
        <v>32.200000000000003</v>
      </c>
      <c r="AS174" s="4" cm="1">
        <f t="array" ref="AS174">INDEX(GMW!$A$2:$NF$150,MATCH(1,(GMW!$NE$2:$NE$150=AS$3)*(GMW!$ND$2:$ND$150=AS$4)*(GMW!$NF$2:$NF$150=AS$1),0),$C174-1966)</f>
        <v>542379.1</v>
      </c>
      <c r="AT174" s="4" cm="1">
        <f t="array" ref="AT174">INDEX(GMW!$A$2:$NF$150,MATCH(1,(GMW!$NE$2:$NE$150=AT$3)*(GMW!$ND$2:$ND$150=AT$4)*(GMW!$NF$2:$NF$150=AT$1),0),$C174-1966)</f>
        <v>41977.71</v>
      </c>
      <c r="AU174" s="4" cm="1">
        <f t="array" ref="AU174">INDEX(GMW!$A$2:$NF$150,MATCH(1,(GMW!$NE$2:$NE$150=AU$3)*(GMW!$ND$2:$ND$150=AU$4)*(GMW!$NF$2:$NF$150=AU$1),0),$C174-1966)</f>
        <v>2828000</v>
      </c>
      <c r="AV174" s="4" cm="1">
        <f t="array" ref="AV174">INDEX(GMW!$A$2:$NF$150,MATCH(1,(GMW!$NE$2:$NE$150=AV$3)*(GMW!$ND$2:$ND$150=AV$4)*(GMW!$NF$2:$NF$150=AV$1),0),$C174-1966)</f>
        <v>-1.682615</v>
      </c>
    </row>
    <row r="175" spans="1:48" x14ac:dyDescent="0.25">
      <c r="A175" s="4">
        <v>2015</v>
      </c>
      <c r="B175" s="4">
        <f t="shared" si="8"/>
        <v>2015</v>
      </c>
      <c r="C175" s="4">
        <f t="shared" si="7"/>
        <v>2141</v>
      </c>
      <c r="D175" s="4" cm="1">
        <f t="array" ref="D175">INDEX(GMW!$A$2:$NF$150,MATCH(1,(GMW!$NE$2:$NE$150=D$3)*(GMW!$ND$2:$ND$150=D$4)*(GMW!$NF$2:$NF$150=D$1),0),$C175-1966)</f>
        <v>569150</v>
      </c>
      <c r="E175" s="4" cm="1">
        <f t="array" ref="E175">INDEX(GMW!$A$2:$NF$150,MATCH(1,(GMW!$NE$2:$NE$150=E$3)*(GMW!$ND$2:$ND$150=E$4)*(GMW!$NF$2:$NF$150=E$1),0),$C175-1966)</f>
        <v>99.5</v>
      </c>
      <c r="F175" s="4" cm="1">
        <f t="array" ref="F175">INDEX(GMW!$A$2:$NF$150,MATCH(1,(GMW!$NE$2:$NE$150=F$3)*(GMW!$ND$2:$ND$150=F$4)*(GMW!$NF$2:$NF$150=F$1),0),$C175-1966)</f>
        <v>176739</v>
      </c>
      <c r="G175" s="4" cm="1">
        <f t="array" ref="G175">INDEX(GMW!$A$2:$NF$150,MATCH(1,(GMW!$NE$2:$NE$150=G$3)*(GMW!$ND$2:$ND$150=G$4)*(GMW!$NF$2:$NF$150=G$1),0),$C175-1966)</f>
        <v>82894</v>
      </c>
      <c r="H175" s="4" cm="1">
        <f t="array" ref="H175">INDEX(GMW!$A$2:$NF$150,MATCH(1,(GMW!$NE$2:$NE$150=H$3)*(GMW!$ND$2:$ND$150=H$4)*(GMW!$NF$2:$NF$150=H$1),0),$C175-1966)</f>
        <v>196687</v>
      </c>
      <c r="I175" s="4" cm="1">
        <f t="array" ref="I175">INDEX(GMW!$A$2:$NF$150,MATCH(1,(GMW!$NE$2:$NE$150=I$3)*(GMW!$ND$2:$ND$150=I$4)*(GMW!$NF$2:$NF$150=I$1),0),$C175-1966)</f>
        <v>118324</v>
      </c>
      <c r="J175" s="4" cm="1">
        <f t="array" ref="J175">INDEX(GMW!$A$2:$NF$150,MATCH(1,(GMW!$NE$2:$NE$150=J$3)*(GMW!$ND$2:$ND$150=J$4)*(GMW!$NF$2:$NF$150=J$1),0),$C175-1966)</f>
        <v>99019</v>
      </c>
      <c r="K175" s="4" cm="1">
        <f t="array" ref="K175">INDEX(GMW!$A$2:$NF$150,MATCH(1,(GMW!$NE$2:$NE$150=K$3)*(GMW!$ND$2:$ND$150=K$4)*(GMW!$NF$2:$NF$150=K$1),0),$C175-1966)</f>
        <v>57960</v>
      </c>
      <c r="L175" s="4" cm="1">
        <f t="array" ref="L175">INDEX(GMW!$A$2:$NF$150,MATCH(1,(GMW!$NE$2:$NE$150=L$3)*(GMW!$ND$2:$ND$150=L$4)*(GMW!$NF$2:$NF$150=L$1),0),$C175-1966)</f>
        <v>579090.6</v>
      </c>
      <c r="M175" s="4" cm="1">
        <f t="array" ref="M175">INDEX(GMW!$A$2:$NF$150,MATCH(1,(GMW!$NE$2:$NE$150=M$3)*(GMW!$ND$2:$ND$150=M$4)*(GMW!$NF$2:$NF$150=M$1),0),$C175-1966)</f>
        <v>31358.76</v>
      </c>
      <c r="N175" s="4" cm="1">
        <f t="array" ref="N175">INDEX(GMW!$A$2:$NF$150,MATCH(1,(GMW!$NE$2:$NE$150=N$3)*(GMW!$ND$2:$ND$150=N$4)*(GMW!$NF$2:$NF$150=N$1),0),$C175-1966)</f>
        <v>32.1</v>
      </c>
      <c r="O175" s="4" cm="1">
        <f t="array" ref="O175">INDEX(GMW!$A$2:$NF$150,MATCH(1,(GMW!$NE$2:$NE$150=O$3)*(GMW!$ND$2:$ND$150=O$4)*(GMW!$NF$2:$NF$150=O$1),0),$C175-1966)</f>
        <v>544117.5</v>
      </c>
      <c r="P175" s="4" cm="1">
        <f t="array" ref="P175">INDEX(GMW!$A$2:$NF$150,MATCH(1,(GMW!$NE$2:$NE$150=P$3)*(GMW!$ND$2:$ND$150=P$4)*(GMW!$NF$2:$NF$150=P$1),0),$C175-1966)</f>
        <v>42031.21</v>
      </c>
      <c r="Q175" s="4" cm="1">
        <f t="array" ref="Q175">INDEX(GMW!$A$2:$NF$150,MATCH(1,(GMW!$NE$2:$NE$150=Q$3)*(GMW!$ND$2:$ND$150=Q$4)*(GMW!$NF$2:$NF$150=Q$1),0),$C175-1966)</f>
        <v>2844250</v>
      </c>
      <c r="R175" s="4" cm="1">
        <f t="array" ref="R175">INDEX(GMW!$A$2:$NF$150,MATCH(1,(GMW!$NE$2:$NE$150=R$3)*(GMW!$ND$2:$ND$150=R$4)*(GMW!$NF$2:$NF$150=R$1),0),$C175-1966)</f>
        <v>-1.682658</v>
      </c>
      <c r="S175" s="4" cm="1">
        <f t="array" ref="S175">INDEX(GMW!$A$2:$NF$150,MATCH(1,(GMW!$NE$2:$NE$150=S$3)*(GMW!$ND$2:$ND$150=S$4)*(GMW!$NF$2:$NF$150=S$1),0),$C175-1966)</f>
        <v>569150</v>
      </c>
      <c r="T175" s="4" cm="1">
        <f t="array" ref="T175">INDEX(GMW!$A$2:$NF$150,MATCH(1,(GMW!$NE$2:$NE$150=T$3)*(GMW!$ND$2:$ND$150=T$4)*(GMW!$NF$2:$NF$150=T$1),0),$C175-1966)</f>
        <v>99.5</v>
      </c>
      <c r="U175" s="4" cm="1">
        <f t="array" ref="U175">INDEX(GMW!$A$2:$NF$150,MATCH(1,(GMW!$NE$2:$NE$150=U$3)*(GMW!$ND$2:$ND$150=U$4)*(GMW!$NF$2:$NF$150=U$1),0),$C175-1966)</f>
        <v>176739</v>
      </c>
      <c r="V175" s="4" cm="1">
        <f t="array" ref="V175">INDEX(GMW!$A$2:$NF$150,MATCH(1,(GMW!$NE$2:$NE$150=V$3)*(GMW!$ND$2:$ND$150=V$4)*(GMW!$NF$2:$NF$150=V$1),0),$C175-1966)</f>
        <v>82894</v>
      </c>
      <c r="W175" s="4" cm="1">
        <f t="array" ref="W175">INDEX(GMW!$A$2:$NF$150,MATCH(1,(GMW!$NE$2:$NE$150=W$3)*(GMW!$ND$2:$ND$150=W$4)*(GMW!$NF$2:$NF$150=W$1),0),$C175-1966)</f>
        <v>196687</v>
      </c>
      <c r="X175" s="4" cm="1">
        <f t="array" ref="X175">INDEX(GMW!$A$2:$NF$150,MATCH(1,(GMW!$NE$2:$NE$150=X$3)*(GMW!$ND$2:$ND$150=X$4)*(GMW!$NF$2:$NF$150=X$1),0),$C175-1966)</f>
        <v>118324</v>
      </c>
      <c r="Y175" s="4" cm="1">
        <f t="array" ref="Y175">INDEX(GMW!$A$2:$NF$150,MATCH(1,(GMW!$NE$2:$NE$150=Y$3)*(GMW!$ND$2:$ND$150=Y$4)*(GMW!$NF$2:$NF$150=Y$1),0),$C175-1966)</f>
        <v>99019</v>
      </c>
      <c r="Z175" s="4" cm="1">
        <f t="array" ref="Z175">INDEX(GMW!$A$2:$NF$150,MATCH(1,(GMW!$NE$2:$NE$150=Z$3)*(GMW!$ND$2:$ND$150=Z$4)*(GMW!$NF$2:$NF$150=Z$1),0),$C175-1966)</f>
        <v>57960</v>
      </c>
      <c r="AA175" s="4" cm="1">
        <f t="array" ref="AA175">INDEX(GMW!$A$2:$NF$150,MATCH(1,(GMW!$NE$2:$NE$150=AA$3)*(GMW!$ND$2:$ND$150=AA$4)*(GMW!$NF$2:$NF$150=AA$1),0),$C175-1966)</f>
        <v>579090.6</v>
      </c>
      <c r="AB175" s="4" cm="1">
        <f t="array" ref="AB175">INDEX(GMW!$A$2:$NF$150,MATCH(1,(GMW!$NE$2:$NE$150=AB$3)*(GMW!$ND$2:$ND$150=AB$4)*(GMW!$NF$2:$NF$150=AB$1),0),$C175-1966)</f>
        <v>31358.76</v>
      </c>
      <c r="AC175" s="4" cm="1">
        <f t="array" ref="AC175">INDEX(GMW!$A$2:$NF$150,MATCH(1,(GMW!$NE$2:$NE$150=AC$3)*(GMW!$ND$2:$ND$150=AC$4)*(GMW!$NF$2:$NF$150=AC$1),0),$C175-1966)</f>
        <v>32.1</v>
      </c>
      <c r="AD175" s="4" cm="1">
        <f t="array" ref="AD175">INDEX(GMW!$A$2:$NF$150,MATCH(1,(GMW!$NE$2:$NE$150=AD$3)*(GMW!$ND$2:$ND$150=AD$4)*(GMW!$NF$2:$NF$150=AD$1),0),$C175-1966)</f>
        <v>544117.5</v>
      </c>
      <c r="AE175" s="4" cm="1">
        <f t="array" ref="AE175">INDEX(GMW!$A$2:$NF$150,MATCH(1,(GMW!$NE$2:$NE$150=AE$3)*(GMW!$ND$2:$ND$150=AE$4)*(GMW!$NF$2:$NF$150=AE$1),0),$C175-1966)</f>
        <v>42031.21</v>
      </c>
      <c r="AF175" s="4" cm="1">
        <f t="array" ref="AF175">INDEX(GMW!$A$2:$NF$150,MATCH(1,(GMW!$NE$2:$NE$150=AF$3)*(GMW!$ND$2:$ND$150=AF$4)*(GMW!$NF$2:$NF$150=AF$1),0),$C175-1966)</f>
        <v>2844250</v>
      </c>
      <c r="AG175" s="4" cm="1">
        <f t="array" ref="AG175">INDEX(GMW!$A$2:$NF$150,MATCH(1,(GMW!$NE$2:$NE$150=AG$3)*(GMW!$ND$2:$ND$150=AG$4)*(GMW!$NF$2:$NF$150=AG$1),0),$C175-1966)</f>
        <v>-1.682658</v>
      </c>
      <c r="AH175" s="4" cm="1">
        <f t="array" ref="AH175">INDEX(GMW!$A$2:$NF$150,MATCH(1,(GMW!$NE$2:$NE$150=AH$3)*(GMW!$ND$2:$ND$150=AH$4)*(GMW!$NF$2:$NF$150=AH$1),0),$C175-1966)</f>
        <v>569150</v>
      </c>
      <c r="AI175" s="4" cm="1">
        <f t="array" ref="AI175">INDEX(GMW!$A$2:$NF$150,MATCH(1,(GMW!$NE$2:$NE$150=AI$3)*(GMW!$ND$2:$ND$150=AI$4)*(GMW!$NF$2:$NF$150=AI$1),0),$C175-1966)</f>
        <v>99.5</v>
      </c>
      <c r="AJ175" s="4" cm="1">
        <f t="array" ref="AJ175">INDEX(GMW!$A$2:$NF$150,MATCH(1,(GMW!$NE$2:$NE$150=AJ$3)*(GMW!$ND$2:$ND$150=AJ$4)*(GMW!$NF$2:$NF$150=AJ$1),0),$C175-1966)</f>
        <v>176739</v>
      </c>
      <c r="AK175" s="4" cm="1">
        <f t="array" ref="AK175">INDEX(GMW!$A$2:$NF$150,MATCH(1,(GMW!$NE$2:$NE$150=AK$3)*(GMW!$ND$2:$ND$150=AK$4)*(GMW!$NF$2:$NF$150=AK$1),0),$C175-1966)</f>
        <v>82894</v>
      </c>
      <c r="AL175" s="4" cm="1">
        <f t="array" ref="AL175">INDEX(GMW!$A$2:$NF$150,MATCH(1,(GMW!$NE$2:$NE$150=AL$3)*(GMW!$ND$2:$ND$150=AL$4)*(GMW!$NF$2:$NF$150=AL$1),0),$C175-1966)</f>
        <v>196687</v>
      </c>
      <c r="AM175" s="4" cm="1">
        <f t="array" ref="AM175">INDEX(GMW!$A$2:$NF$150,MATCH(1,(GMW!$NE$2:$NE$150=AM$3)*(GMW!$ND$2:$ND$150=AM$4)*(GMW!$NF$2:$NF$150=AM$1),0),$C175-1966)</f>
        <v>118324</v>
      </c>
      <c r="AN175" s="4" cm="1">
        <f t="array" ref="AN175">INDEX(GMW!$A$2:$NF$150,MATCH(1,(GMW!$NE$2:$NE$150=AN$3)*(GMW!$ND$2:$ND$150=AN$4)*(GMW!$NF$2:$NF$150=AN$1),0),$C175-1966)</f>
        <v>99019</v>
      </c>
      <c r="AO175" s="4" cm="1">
        <f t="array" ref="AO175">INDEX(GMW!$A$2:$NF$150,MATCH(1,(GMW!$NE$2:$NE$150=AO$3)*(GMW!$ND$2:$ND$150=AO$4)*(GMW!$NF$2:$NF$150=AO$1),0),$C175-1966)</f>
        <v>57960</v>
      </c>
      <c r="AP175" s="4" cm="1">
        <f t="array" ref="AP175">INDEX(GMW!$A$2:$NF$150,MATCH(1,(GMW!$NE$2:$NE$150=AP$3)*(GMW!$ND$2:$ND$150=AP$4)*(GMW!$NF$2:$NF$150=AP$1),0),$C175-1966)</f>
        <v>579090.6</v>
      </c>
      <c r="AQ175" s="4" cm="1">
        <f t="array" ref="AQ175">INDEX(GMW!$A$2:$NF$150,MATCH(1,(GMW!$NE$2:$NE$150=AQ$3)*(GMW!$ND$2:$ND$150=AQ$4)*(GMW!$NF$2:$NF$150=AQ$1),0),$C175-1966)</f>
        <v>31358.76</v>
      </c>
      <c r="AR175" s="4" cm="1">
        <f t="array" ref="AR175">INDEX(GMW!$A$2:$NF$150,MATCH(1,(GMW!$NE$2:$NE$150=AR$3)*(GMW!$ND$2:$ND$150=AR$4)*(GMW!$NF$2:$NF$150=AR$1),0),$C175-1966)</f>
        <v>32.1</v>
      </c>
      <c r="AS175" s="4" cm="1">
        <f t="array" ref="AS175">INDEX(GMW!$A$2:$NF$150,MATCH(1,(GMW!$NE$2:$NE$150=AS$3)*(GMW!$ND$2:$ND$150=AS$4)*(GMW!$NF$2:$NF$150=AS$1),0),$C175-1966)</f>
        <v>544117.5</v>
      </c>
      <c r="AT175" s="4" cm="1">
        <f t="array" ref="AT175">INDEX(GMW!$A$2:$NF$150,MATCH(1,(GMW!$NE$2:$NE$150=AT$3)*(GMW!$ND$2:$ND$150=AT$4)*(GMW!$NF$2:$NF$150=AT$1),0),$C175-1966)</f>
        <v>42031.21</v>
      </c>
      <c r="AU175" s="4" cm="1">
        <f t="array" ref="AU175">INDEX(GMW!$A$2:$NF$150,MATCH(1,(GMW!$NE$2:$NE$150=AU$3)*(GMW!$ND$2:$ND$150=AU$4)*(GMW!$NF$2:$NF$150=AU$1),0),$C175-1966)</f>
        <v>2844250</v>
      </c>
      <c r="AV175" s="4" cm="1">
        <f t="array" ref="AV175">INDEX(GMW!$A$2:$NF$150,MATCH(1,(GMW!$NE$2:$NE$150=AV$3)*(GMW!$ND$2:$ND$150=AV$4)*(GMW!$NF$2:$NF$150=AV$1),0),$C175-1966)</f>
        <v>-1.682658</v>
      </c>
    </row>
    <row r="176" spans="1:48" x14ac:dyDescent="0.25">
      <c r="B176" s="4">
        <f t="shared" si="8"/>
        <v>2015</v>
      </c>
      <c r="C176" s="4">
        <f t="shared" si="7"/>
        <v>2142</v>
      </c>
      <c r="D176" s="4" cm="1">
        <f t="array" ref="D176">INDEX(GMW!$A$2:$NF$150,MATCH(1,(GMW!$NE$2:$NE$150=D$3)*(GMW!$ND$2:$ND$150=D$4)*(GMW!$NF$2:$NF$150=D$1),0),$C176-1966)</f>
        <v>572673</v>
      </c>
      <c r="E176" s="4" cm="1">
        <f t="array" ref="E176">INDEX(GMW!$A$2:$NF$150,MATCH(1,(GMW!$NE$2:$NE$150=E$3)*(GMW!$ND$2:$ND$150=E$4)*(GMW!$NF$2:$NF$150=E$1),0),$C176-1966)</f>
        <v>100.0667</v>
      </c>
      <c r="F176" s="4" cm="1">
        <f t="array" ref="F176">INDEX(GMW!$A$2:$NF$150,MATCH(1,(GMW!$NE$2:$NE$150=F$3)*(GMW!$ND$2:$ND$150=F$4)*(GMW!$NF$2:$NF$150=F$1),0),$C176-1966)</f>
        <v>182297</v>
      </c>
      <c r="G176" s="4" cm="1">
        <f t="array" ref="G176">INDEX(GMW!$A$2:$NF$150,MATCH(1,(GMW!$NE$2:$NE$150=G$3)*(GMW!$ND$2:$ND$150=G$4)*(GMW!$NF$2:$NF$150=G$1),0),$C176-1966)</f>
        <v>85562</v>
      </c>
      <c r="H176" s="4" cm="1">
        <f t="array" ref="H176">INDEX(GMW!$A$2:$NF$150,MATCH(1,(GMW!$NE$2:$NE$150=H$3)*(GMW!$ND$2:$ND$150=H$4)*(GMW!$NF$2:$NF$150=H$1),0),$C176-1966)</f>
        <v>192342</v>
      </c>
      <c r="I176" s="4" cm="1">
        <f t="array" ref="I176">INDEX(GMW!$A$2:$NF$150,MATCH(1,(GMW!$NE$2:$NE$150=I$3)*(GMW!$ND$2:$ND$150=I$4)*(GMW!$NF$2:$NF$150=I$1),0),$C176-1966)</f>
        <v>113544</v>
      </c>
      <c r="J176" s="4" cm="1">
        <f t="array" ref="J176">INDEX(GMW!$A$2:$NF$150,MATCH(1,(GMW!$NE$2:$NE$150=J$3)*(GMW!$ND$2:$ND$150=J$4)*(GMW!$NF$2:$NF$150=J$1),0),$C176-1966)</f>
        <v>99456</v>
      </c>
      <c r="K176" s="4" cm="1">
        <f t="array" ref="K176">INDEX(GMW!$A$2:$NF$150,MATCH(1,(GMW!$NE$2:$NE$150=K$3)*(GMW!$ND$2:$ND$150=K$4)*(GMW!$NF$2:$NF$150=K$1),0),$C176-1966)</f>
        <v>56395</v>
      </c>
      <c r="L176" s="4" cm="1">
        <f t="array" ref="L176">INDEX(GMW!$A$2:$NF$150,MATCH(1,(GMW!$NE$2:$NE$150=L$3)*(GMW!$ND$2:$ND$150=L$4)*(GMW!$NF$2:$NF$150=L$1),0),$C176-1966)</f>
        <v>580661.4</v>
      </c>
      <c r="M176" s="4" cm="1">
        <f t="array" ref="M176">INDEX(GMW!$A$2:$NF$150,MATCH(1,(GMW!$NE$2:$NE$150=M$3)*(GMW!$ND$2:$ND$150=M$4)*(GMW!$NF$2:$NF$150=M$1),0),$C176-1966)</f>
        <v>31367.1</v>
      </c>
      <c r="N176" s="4" cm="1">
        <f t="array" ref="N176">INDEX(GMW!$A$2:$NF$150,MATCH(1,(GMW!$NE$2:$NE$150=N$3)*(GMW!$ND$2:$ND$150=N$4)*(GMW!$NF$2:$NF$150=N$1),0),$C176-1966)</f>
        <v>32.1</v>
      </c>
      <c r="O176" s="4" cm="1">
        <f t="array" ref="O176">INDEX(GMW!$A$2:$NF$150,MATCH(1,(GMW!$NE$2:$NE$150=O$3)*(GMW!$ND$2:$ND$150=O$4)*(GMW!$NF$2:$NF$150=O$1),0),$C176-1966)</f>
        <v>545852.30000000005</v>
      </c>
      <c r="P176" s="4" cm="1">
        <f t="array" ref="P176">INDEX(GMW!$A$2:$NF$150,MATCH(1,(GMW!$NE$2:$NE$150=P$3)*(GMW!$ND$2:$ND$150=P$4)*(GMW!$NF$2:$NF$150=P$1),0),$C176-1966)</f>
        <v>42084.71</v>
      </c>
      <c r="Q176" s="4" cm="1">
        <f t="array" ref="Q176">INDEX(GMW!$A$2:$NF$150,MATCH(1,(GMW!$NE$2:$NE$150=Q$3)*(GMW!$ND$2:$ND$150=Q$4)*(GMW!$NF$2:$NF$150=Q$1),0),$C176-1966)</f>
        <v>2860500</v>
      </c>
      <c r="R176" s="4" cm="1">
        <f t="array" ref="R176">INDEX(GMW!$A$2:$NF$150,MATCH(1,(GMW!$NE$2:$NE$150=R$3)*(GMW!$ND$2:$ND$150=R$4)*(GMW!$NF$2:$NF$150=R$1),0),$C176-1966)</f>
        <v>-1.682701</v>
      </c>
      <c r="S176" s="4" cm="1">
        <f t="array" ref="S176">INDEX(GMW!$A$2:$NF$150,MATCH(1,(GMW!$NE$2:$NE$150=S$3)*(GMW!$ND$2:$ND$150=S$4)*(GMW!$NF$2:$NF$150=S$1),0),$C176-1966)</f>
        <v>572673</v>
      </c>
      <c r="T176" s="4" cm="1">
        <f t="array" ref="T176">INDEX(GMW!$A$2:$NF$150,MATCH(1,(GMW!$NE$2:$NE$150=T$3)*(GMW!$ND$2:$ND$150=T$4)*(GMW!$NF$2:$NF$150=T$1),0),$C176-1966)</f>
        <v>100.0667</v>
      </c>
      <c r="U176" s="4" cm="1">
        <f t="array" ref="U176">INDEX(GMW!$A$2:$NF$150,MATCH(1,(GMW!$NE$2:$NE$150=U$3)*(GMW!$ND$2:$ND$150=U$4)*(GMW!$NF$2:$NF$150=U$1),0),$C176-1966)</f>
        <v>182297</v>
      </c>
      <c r="V176" s="4" cm="1">
        <f t="array" ref="V176">INDEX(GMW!$A$2:$NF$150,MATCH(1,(GMW!$NE$2:$NE$150=V$3)*(GMW!$ND$2:$ND$150=V$4)*(GMW!$NF$2:$NF$150=V$1),0),$C176-1966)</f>
        <v>85562</v>
      </c>
      <c r="W176" s="4" cm="1">
        <f t="array" ref="W176">INDEX(GMW!$A$2:$NF$150,MATCH(1,(GMW!$NE$2:$NE$150=W$3)*(GMW!$ND$2:$ND$150=W$4)*(GMW!$NF$2:$NF$150=W$1),0),$C176-1966)</f>
        <v>192342</v>
      </c>
      <c r="X176" s="4" cm="1">
        <f t="array" ref="X176">INDEX(GMW!$A$2:$NF$150,MATCH(1,(GMW!$NE$2:$NE$150=X$3)*(GMW!$ND$2:$ND$150=X$4)*(GMW!$NF$2:$NF$150=X$1),0),$C176-1966)</f>
        <v>113544</v>
      </c>
      <c r="Y176" s="4" cm="1">
        <f t="array" ref="Y176">INDEX(GMW!$A$2:$NF$150,MATCH(1,(GMW!$NE$2:$NE$150=Y$3)*(GMW!$ND$2:$ND$150=Y$4)*(GMW!$NF$2:$NF$150=Y$1),0),$C176-1966)</f>
        <v>99456</v>
      </c>
      <c r="Z176" s="4" cm="1">
        <f t="array" ref="Z176">INDEX(GMW!$A$2:$NF$150,MATCH(1,(GMW!$NE$2:$NE$150=Z$3)*(GMW!$ND$2:$ND$150=Z$4)*(GMW!$NF$2:$NF$150=Z$1),0),$C176-1966)</f>
        <v>56395</v>
      </c>
      <c r="AA176" s="4" cm="1">
        <f t="array" ref="AA176">INDEX(GMW!$A$2:$NF$150,MATCH(1,(GMW!$NE$2:$NE$150=AA$3)*(GMW!$ND$2:$ND$150=AA$4)*(GMW!$NF$2:$NF$150=AA$1),0),$C176-1966)</f>
        <v>580661.4</v>
      </c>
      <c r="AB176" s="4" cm="1">
        <f t="array" ref="AB176">INDEX(GMW!$A$2:$NF$150,MATCH(1,(GMW!$NE$2:$NE$150=AB$3)*(GMW!$ND$2:$ND$150=AB$4)*(GMW!$NF$2:$NF$150=AB$1),0),$C176-1966)</f>
        <v>31367.1</v>
      </c>
      <c r="AC176" s="4" cm="1">
        <f t="array" ref="AC176">INDEX(GMW!$A$2:$NF$150,MATCH(1,(GMW!$NE$2:$NE$150=AC$3)*(GMW!$ND$2:$ND$150=AC$4)*(GMW!$NF$2:$NF$150=AC$1),0),$C176-1966)</f>
        <v>32.1</v>
      </c>
      <c r="AD176" s="4" cm="1">
        <f t="array" ref="AD176">INDEX(GMW!$A$2:$NF$150,MATCH(1,(GMW!$NE$2:$NE$150=AD$3)*(GMW!$ND$2:$ND$150=AD$4)*(GMW!$NF$2:$NF$150=AD$1),0),$C176-1966)</f>
        <v>545852.30000000005</v>
      </c>
      <c r="AE176" s="4" cm="1">
        <f t="array" ref="AE176">INDEX(GMW!$A$2:$NF$150,MATCH(1,(GMW!$NE$2:$NE$150=AE$3)*(GMW!$ND$2:$ND$150=AE$4)*(GMW!$NF$2:$NF$150=AE$1),0),$C176-1966)</f>
        <v>42084.71</v>
      </c>
      <c r="AF176" s="4" cm="1">
        <f t="array" ref="AF176">INDEX(GMW!$A$2:$NF$150,MATCH(1,(GMW!$NE$2:$NE$150=AF$3)*(GMW!$ND$2:$ND$150=AF$4)*(GMW!$NF$2:$NF$150=AF$1),0),$C176-1966)</f>
        <v>2860500</v>
      </c>
      <c r="AG176" s="4" cm="1">
        <f t="array" ref="AG176">INDEX(GMW!$A$2:$NF$150,MATCH(1,(GMW!$NE$2:$NE$150=AG$3)*(GMW!$ND$2:$ND$150=AG$4)*(GMW!$NF$2:$NF$150=AG$1),0),$C176-1966)</f>
        <v>-1.682701</v>
      </c>
      <c r="AH176" s="4" cm="1">
        <f t="array" ref="AH176">INDEX(GMW!$A$2:$NF$150,MATCH(1,(GMW!$NE$2:$NE$150=AH$3)*(GMW!$ND$2:$ND$150=AH$4)*(GMW!$NF$2:$NF$150=AH$1),0),$C176-1966)</f>
        <v>572673</v>
      </c>
      <c r="AI176" s="4" cm="1">
        <f t="array" ref="AI176">INDEX(GMW!$A$2:$NF$150,MATCH(1,(GMW!$NE$2:$NE$150=AI$3)*(GMW!$ND$2:$ND$150=AI$4)*(GMW!$NF$2:$NF$150=AI$1),0),$C176-1966)</f>
        <v>100.0667</v>
      </c>
      <c r="AJ176" s="4" cm="1">
        <f t="array" ref="AJ176">INDEX(GMW!$A$2:$NF$150,MATCH(1,(GMW!$NE$2:$NE$150=AJ$3)*(GMW!$ND$2:$ND$150=AJ$4)*(GMW!$NF$2:$NF$150=AJ$1),0),$C176-1966)</f>
        <v>182297</v>
      </c>
      <c r="AK176" s="4" cm="1">
        <f t="array" ref="AK176">INDEX(GMW!$A$2:$NF$150,MATCH(1,(GMW!$NE$2:$NE$150=AK$3)*(GMW!$ND$2:$ND$150=AK$4)*(GMW!$NF$2:$NF$150=AK$1),0),$C176-1966)</f>
        <v>85562</v>
      </c>
      <c r="AL176" s="4" cm="1">
        <f t="array" ref="AL176">INDEX(GMW!$A$2:$NF$150,MATCH(1,(GMW!$NE$2:$NE$150=AL$3)*(GMW!$ND$2:$ND$150=AL$4)*(GMW!$NF$2:$NF$150=AL$1),0),$C176-1966)</f>
        <v>192342</v>
      </c>
      <c r="AM176" s="4" cm="1">
        <f t="array" ref="AM176">INDEX(GMW!$A$2:$NF$150,MATCH(1,(GMW!$NE$2:$NE$150=AM$3)*(GMW!$ND$2:$ND$150=AM$4)*(GMW!$NF$2:$NF$150=AM$1),0),$C176-1966)</f>
        <v>113544</v>
      </c>
      <c r="AN176" s="4" cm="1">
        <f t="array" ref="AN176">INDEX(GMW!$A$2:$NF$150,MATCH(1,(GMW!$NE$2:$NE$150=AN$3)*(GMW!$ND$2:$ND$150=AN$4)*(GMW!$NF$2:$NF$150=AN$1),0),$C176-1966)</f>
        <v>99456</v>
      </c>
      <c r="AO176" s="4" cm="1">
        <f t="array" ref="AO176">INDEX(GMW!$A$2:$NF$150,MATCH(1,(GMW!$NE$2:$NE$150=AO$3)*(GMW!$ND$2:$ND$150=AO$4)*(GMW!$NF$2:$NF$150=AO$1),0),$C176-1966)</f>
        <v>56395</v>
      </c>
      <c r="AP176" s="4" cm="1">
        <f t="array" ref="AP176">INDEX(GMW!$A$2:$NF$150,MATCH(1,(GMW!$NE$2:$NE$150=AP$3)*(GMW!$ND$2:$ND$150=AP$4)*(GMW!$NF$2:$NF$150=AP$1),0),$C176-1966)</f>
        <v>580661.4</v>
      </c>
      <c r="AQ176" s="4" cm="1">
        <f t="array" ref="AQ176">INDEX(GMW!$A$2:$NF$150,MATCH(1,(GMW!$NE$2:$NE$150=AQ$3)*(GMW!$ND$2:$ND$150=AQ$4)*(GMW!$NF$2:$NF$150=AQ$1),0),$C176-1966)</f>
        <v>31367.1</v>
      </c>
      <c r="AR176" s="4" cm="1">
        <f t="array" ref="AR176">INDEX(GMW!$A$2:$NF$150,MATCH(1,(GMW!$NE$2:$NE$150=AR$3)*(GMW!$ND$2:$ND$150=AR$4)*(GMW!$NF$2:$NF$150=AR$1),0),$C176-1966)</f>
        <v>32.1</v>
      </c>
      <c r="AS176" s="4" cm="1">
        <f t="array" ref="AS176">INDEX(GMW!$A$2:$NF$150,MATCH(1,(GMW!$NE$2:$NE$150=AS$3)*(GMW!$ND$2:$ND$150=AS$4)*(GMW!$NF$2:$NF$150=AS$1),0),$C176-1966)</f>
        <v>545852.30000000005</v>
      </c>
      <c r="AT176" s="4" cm="1">
        <f t="array" ref="AT176">INDEX(GMW!$A$2:$NF$150,MATCH(1,(GMW!$NE$2:$NE$150=AT$3)*(GMW!$ND$2:$ND$150=AT$4)*(GMW!$NF$2:$NF$150=AT$1),0),$C176-1966)</f>
        <v>42084.71</v>
      </c>
      <c r="AU176" s="4" cm="1">
        <f t="array" ref="AU176">INDEX(GMW!$A$2:$NF$150,MATCH(1,(GMW!$NE$2:$NE$150=AU$3)*(GMW!$ND$2:$ND$150=AU$4)*(GMW!$NF$2:$NF$150=AU$1),0),$C176-1966)</f>
        <v>2860500</v>
      </c>
      <c r="AV176" s="4" cm="1">
        <f t="array" ref="AV176">INDEX(GMW!$A$2:$NF$150,MATCH(1,(GMW!$NE$2:$NE$150=AV$3)*(GMW!$ND$2:$ND$150=AV$4)*(GMW!$NF$2:$NF$150=AV$1),0),$C176-1966)</f>
        <v>-1.682701</v>
      </c>
    </row>
    <row r="177" spans="1:48" x14ac:dyDescent="0.25">
      <c r="B177" s="4">
        <f t="shared" si="8"/>
        <v>2015</v>
      </c>
      <c r="C177" s="4">
        <f t="shared" ref="C177:C240" si="9">+C176+1</f>
        <v>2143</v>
      </c>
      <c r="D177" s="4" cm="1">
        <f t="array" ref="D177">INDEX(GMW!$A$2:$NF$150,MATCH(1,(GMW!$NE$2:$NE$150=D$3)*(GMW!$ND$2:$ND$150=D$4)*(GMW!$NF$2:$NF$150=D$1),0),$C177-1966)</f>
        <v>574836</v>
      </c>
      <c r="E177" s="4" cm="1">
        <f t="array" ref="E177">INDEX(GMW!$A$2:$NF$150,MATCH(1,(GMW!$NE$2:$NE$150=E$3)*(GMW!$ND$2:$ND$150=E$4)*(GMW!$NF$2:$NF$150=E$1),0),$C177-1966)</f>
        <v>100.16670000000001</v>
      </c>
      <c r="F177" s="4" cm="1">
        <f t="array" ref="F177">INDEX(GMW!$A$2:$NF$150,MATCH(1,(GMW!$NE$2:$NE$150=F$3)*(GMW!$ND$2:$ND$150=F$4)*(GMW!$NF$2:$NF$150=F$1),0),$C177-1966)</f>
        <v>176534</v>
      </c>
      <c r="G177" s="4" cm="1">
        <f t="array" ref="G177">INDEX(GMW!$A$2:$NF$150,MATCH(1,(GMW!$NE$2:$NE$150=G$3)*(GMW!$ND$2:$ND$150=G$4)*(GMW!$NF$2:$NF$150=G$1),0),$C177-1966)</f>
        <v>82221</v>
      </c>
      <c r="H177" s="4" cm="1">
        <f t="array" ref="H177">INDEX(GMW!$A$2:$NF$150,MATCH(1,(GMW!$NE$2:$NE$150=H$3)*(GMW!$ND$2:$ND$150=H$4)*(GMW!$NF$2:$NF$150=H$1),0),$C177-1966)</f>
        <v>192126</v>
      </c>
      <c r="I177" s="4" cm="1">
        <f t="array" ref="I177">INDEX(GMW!$A$2:$NF$150,MATCH(1,(GMW!$NE$2:$NE$150=I$3)*(GMW!$ND$2:$ND$150=I$4)*(GMW!$NF$2:$NF$150=I$1),0),$C177-1966)</f>
        <v>113955</v>
      </c>
      <c r="J177" s="4" cm="1">
        <f t="array" ref="J177">INDEX(GMW!$A$2:$NF$150,MATCH(1,(GMW!$NE$2:$NE$150=J$3)*(GMW!$ND$2:$ND$150=J$4)*(GMW!$NF$2:$NF$150=J$1),0),$C177-1966)</f>
        <v>98717</v>
      </c>
      <c r="K177" s="4" cm="1">
        <f t="array" ref="K177">INDEX(GMW!$A$2:$NF$150,MATCH(1,(GMW!$NE$2:$NE$150=K$3)*(GMW!$ND$2:$ND$150=K$4)*(GMW!$NF$2:$NF$150=K$1),0),$C177-1966)</f>
        <v>56508</v>
      </c>
      <c r="L177" s="4" cm="1">
        <f t="array" ref="L177">INDEX(GMW!$A$2:$NF$150,MATCH(1,(GMW!$NE$2:$NE$150=L$3)*(GMW!$ND$2:$ND$150=L$4)*(GMW!$NF$2:$NF$150=L$1),0),$C177-1966)</f>
        <v>581505.30000000005</v>
      </c>
      <c r="M177" s="4" cm="1">
        <f t="array" ref="M177">INDEX(GMW!$A$2:$NF$150,MATCH(1,(GMW!$NE$2:$NE$150=M$3)*(GMW!$ND$2:$ND$150=M$4)*(GMW!$NF$2:$NF$150=M$1),0),$C177-1966)</f>
        <v>31511.93</v>
      </c>
      <c r="N177" s="4" cm="1">
        <f t="array" ref="N177">INDEX(GMW!$A$2:$NF$150,MATCH(1,(GMW!$NE$2:$NE$150=N$3)*(GMW!$ND$2:$ND$150=N$4)*(GMW!$NF$2:$NF$150=N$1),0),$C177-1966)</f>
        <v>31.9</v>
      </c>
      <c r="O177" s="4" cm="1">
        <f t="array" ref="O177">INDEX(GMW!$A$2:$NF$150,MATCH(1,(GMW!$NE$2:$NE$150=O$3)*(GMW!$ND$2:$ND$150=O$4)*(GMW!$NF$2:$NF$150=O$1),0),$C177-1966)</f>
        <v>547637.4</v>
      </c>
      <c r="P177" s="4" cm="1">
        <f t="array" ref="P177">INDEX(GMW!$A$2:$NF$150,MATCH(1,(GMW!$NE$2:$NE$150=P$3)*(GMW!$ND$2:$ND$150=P$4)*(GMW!$NF$2:$NF$150=P$1),0),$C177-1966)</f>
        <v>42142.32</v>
      </c>
      <c r="Q177" s="4" cm="1">
        <f t="array" ref="Q177">INDEX(GMW!$A$2:$NF$150,MATCH(1,(GMW!$NE$2:$NE$150=Q$3)*(GMW!$ND$2:$ND$150=Q$4)*(GMW!$NF$2:$NF$150=Q$1),0),$C177-1966)</f>
        <v>2876750</v>
      </c>
      <c r="R177" s="4" cm="1">
        <f t="array" ref="R177">INDEX(GMW!$A$2:$NF$150,MATCH(1,(GMW!$NE$2:$NE$150=R$3)*(GMW!$ND$2:$ND$150=R$4)*(GMW!$NF$2:$NF$150=R$1),0),$C177-1966)</f>
        <v>-1.6827430000000001</v>
      </c>
      <c r="S177" s="4" cm="1">
        <f t="array" ref="S177">INDEX(GMW!$A$2:$NF$150,MATCH(1,(GMW!$NE$2:$NE$150=S$3)*(GMW!$ND$2:$ND$150=S$4)*(GMW!$NF$2:$NF$150=S$1),0),$C177-1966)</f>
        <v>574836</v>
      </c>
      <c r="T177" s="4" cm="1">
        <f t="array" ref="T177">INDEX(GMW!$A$2:$NF$150,MATCH(1,(GMW!$NE$2:$NE$150=T$3)*(GMW!$ND$2:$ND$150=T$4)*(GMW!$NF$2:$NF$150=T$1),0),$C177-1966)</f>
        <v>100.16670000000001</v>
      </c>
      <c r="U177" s="4" cm="1">
        <f t="array" ref="U177">INDEX(GMW!$A$2:$NF$150,MATCH(1,(GMW!$NE$2:$NE$150=U$3)*(GMW!$ND$2:$ND$150=U$4)*(GMW!$NF$2:$NF$150=U$1),0),$C177-1966)</f>
        <v>176534</v>
      </c>
      <c r="V177" s="4" cm="1">
        <f t="array" ref="V177">INDEX(GMW!$A$2:$NF$150,MATCH(1,(GMW!$NE$2:$NE$150=V$3)*(GMW!$ND$2:$ND$150=V$4)*(GMW!$NF$2:$NF$150=V$1),0),$C177-1966)</f>
        <v>82221</v>
      </c>
      <c r="W177" s="4" cm="1">
        <f t="array" ref="W177">INDEX(GMW!$A$2:$NF$150,MATCH(1,(GMW!$NE$2:$NE$150=W$3)*(GMW!$ND$2:$ND$150=W$4)*(GMW!$NF$2:$NF$150=W$1),0),$C177-1966)</f>
        <v>192126</v>
      </c>
      <c r="X177" s="4" cm="1">
        <f t="array" ref="X177">INDEX(GMW!$A$2:$NF$150,MATCH(1,(GMW!$NE$2:$NE$150=X$3)*(GMW!$ND$2:$ND$150=X$4)*(GMW!$NF$2:$NF$150=X$1),0),$C177-1966)</f>
        <v>113955</v>
      </c>
      <c r="Y177" s="4" cm="1">
        <f t="array" ref="Y177">INDEX(GMW!$A$2:$NF$150,MATCH(1,(GMW!$NE$2:$NE$150=Y$3)*(GMW!$ND$2:$ND$150=Y$4)*(GMW!$NF$2:$NF$150=Y$1),0),$C177-1966)</f>
        <v>98717</v>
      </c>
      <c r="Z177" s="4" cm="1">
        <f t="array" ref="Z177">INDEX(GMW!$A$2:$NF$150,MATCH(1,(GMW!$NE$2:$NE$150=Z$3)*(GMW!$ND$2:$ND$150=Z$4)*(GMW!$NF$2:$NF$150=Z$1),0),$C177-1966)</f>
        <v>56508</v>
      </c>
      <c r="AA177" s="4" cm="1">
        <f t="array" ref="AA177">INDEX(GMW!$A$2:$NF$150,MATCH(1,(GMW!$NE$2:$NE$150=AA$3)*(GMW!$ND$2:$ND$150=AA$4)*(GMW!$NF$2:$NF$150=AA$1),0),$C177-1966)</f>
        <v>581505.30000000005</v>
      </c>
      <c r="AB177" s="4" cm="1">
        <f t="array" ref="AB177">INDEX(GMW!$A$2:$NF$150,MATCH(1,(GMW!$NE$2:$NE$150=AB$3)*(GMW!$ND$2:$ND$150=AB$4)*(GMW!$NF$2:$NF$150=AB$1),0),$C177-1966)</f>
        <v>31511.93</v>
      </c>
      <c r="AC177" s="4" cm="1">
        <f t="array" ref="AC177">INDEX(GMW!$A$2:$NF$150,MATCH(1,(GMW!$NE$2:$NE$150=AC$3)*(GMW!$ND$2:$ND$150=AC$4)*(GMW!$NF$2:$NF$150=AC$1),0),$C177-1966)</f>
        <v>31.9</v>
      </c>
      <c r="AD177" s="4" cm="1">
        <f t="array" ref="AD177">INDEX(GMW!$A$2:$NF$150,MATCH(1,(GMW!$NE$2:$NE$150=AD$3)*(GMW!$ND$2:$ND$150=AD$4)*(GMW!$NF$2:$NF$150=AD$1),0),$C177-1966)</f>
        <v>547637.4</v>
      </c>
      <c r="AE177" s="4" cm="1">
        <f t="array" ref="AE177">INDEX(GMW!$A$2:$NF$150,MATCH(1,(GMW!$NE$2:$NE$150=AE$3)*(GMW!$ND$2:$ND$150=AE$4)*(GMW!$NF$2:$NF$150=AE$1),0),$C177-1966)</f>
        <v>42142.32</v>
      </c>
      <c r="AF177" s="4" cm="1">
        <f t="array" ref="AF177">INDEX(GMW!$A$2:$NF$150,MATCH(1,(GMW!$NE$2:$NE$150=AF$3)*(GMW!$ND$2:$ND$150=AF$4)*(GMW!$NF$2:$NF$150=AF$1),0),$C177-1966)</f>
        <v>2876750</v>
      </c>
      <c r="AG177" s="4" cm="1">
        <f t="array" ref="AG177">INDEX(GMW!$A$2:$NF$150,MATCH(1,(GMW!$NE$2:$NE$150=AG$3)*(GMW!$ND$2:$ND$150=AG$4)*(GMW!$NF$2:$NF$150=AG$1),0),$C177-1966)</f>
        <v>-1.6827430000000001</v>
      </c>
      <c r="AH177" s="4" cm="1">
        <f t="array" ref="AH177">INDEX(GMW!$A$2:$NF$150,MATCH(1,(GMW!$NE$2:$NE$150=AH$3)*(GMW!$ND$2:$ND$150=AH$4)*(GMW!$NF$2:$NF$150=AH$1),0),$C177-1966)</f>
        <v>574836</v>
      </c>
      <c r="AI177" s="4" cm="1">
        <f t="array" ref="AI177">INDEX(GMW!$A$2:$NF$150,MATCH(1,(GMW!$NE$2:$NE$150=AI$3)*(GMW!$ND$2:$ND$150=AI$4)*(GMW!$NF$2:$NF$150=AI$1),0),$C177-1966)</f>
        <v>100.16670000000001</v>
      </c>
      <c r="AJ177" s="4" cm="1">
        <f t="array" ref="AJ177">INDEX(GMW!$A$2:$NF$150,MATCH(1,(GMW!$NE$2:$NE$150=AJ$3)*(GMW!$ND$2:$ND$150=AJ$4)*(GMW!$NF$2:$NF$150=AJ$1),0),$C177-1966)</f>
        <v>176534</v>
      </c>
      <c r="AK177" s="4" cm="1">
        <f t="array" ref="AK177">INDEX(GMW!$A$2:$NF$150,MATCH(1,(GMW!$NE$2:$NE$150=AK$3)*(GMW!$ND$2:$ND$150=AK$4)*(GMW!$NF$2:$NF$150=AK$1),0),$C177-1966)</f>
        <v>82221</v>
      </c>
      <c r="AL177" s="4" cm="1">
        <f t="array" ref="AL177">INDEX(GMW!$A$2:$NF$150,MATCH(1,(GMW!$NE$2:$NE$150=AL$3)*(GMW!$ND$2:$ND$150=AL$4)*(GMW!$NF$2:$NF$150=AL$1),0),$C177-1966)</f>
        <v>192126</v>
      </c>
      <c r="AM177" s="4" cm="1">
        <f t="array" ref="AM177">INDEX(GMW!$A$2:$NF$150,MATCH(1,(GMW!$NE$2:$NE$150=AM$3)*(GMW!$ND$2:$ND$150=AM$4)*(GMW!$NF$2:$NF$150=AM$1),0),$C177-1966)</f>
        <v>113955</v>
      </c>
      <c r="AN177" s="4" cm="1">
        <f t="array" ref="AN177">INDEX(GMW!$A$2:$NF$150,MATCH(1,(GMW!$NE$2:$NE$150=AN$3)*(GMW!$ND$2:$ND$150=AN$4)*(GMW!$NF$2:$NF$150=AN$1),0),$C177-1966)</f>
        <v>98717</v>
      </c>
      <c r="AO177" s="4" cm="1">
        <f t="array" ref="AO177">INDEX(GMW!$A$2:$NF$150,MATCH(1,(GMW!$NE$2:$NE$150=AO$3)*(GMW!$ND$2:$ND$150=AO$4)*(GMW!$NF$2:$NF$150=AO$1),0),$C177-1966)</f>
        <v>56508</v>
      </c>
      <c r="AP177" s="4" cm="1">
        <f t="array" ref="AP177">INDEX(GMW!$A$2:$NF$150,MATCH(1,(GMW!$NE$2:$NE$150=AP$3)*(GMW!$ND$2:$ND$150=AP$4)*(GMW!$NF$2:$NF$150=AP$1),0),$C177-1966)</f>
        <v>581505.30000000005</v>
      </c>
      <c r="AQ177" s="4" cm="1">
        <f t="array" ref="AQ177">INDEX(GMW!$A$2:$NF$150,MATCH(1,(GMW!$NE$2:$NE$150=AQ$3)*(GMW!$ND$2:$ND$150=AQ$4)*(GMW!$NF$2:$NF$150=AQ$1),0),$C177-1966)</f>
        <v>31511.93</v>
      </c>
      <c r="AR177" s="4" cm="1">
        <f t="array" ref="AR177">INDEX(GMW!$A$2:$NF$150,MATCH(1,(GMW!$NE$2:$NE$150=AR$3)*(GMW!$ND$2:$ND$150=AR$4)*(GMW!$NF$2:$NF$150=AR$1),0),$C177-1966)</f>
        <v>31.9</v>
      </c>
      <c r="AS177" s="4" cm="1">
        <f t="array" ref="AS177">INDEX(GMW!$A$2:$NF$150,MATCH(1,(GMW!$NE$2:$NE$150=AS$3)*(GMW!$ND$2:$ND$150=AS$4)*(GMW!$NF$2:$NF$150=AS$1),0),$C177-1966)</f>
        <v>547637.4</v>
      </c>
      <c r="AT177" s="4" cm="1">
        <f t="array" ref="AT177">INDEX(GMW!$A$2:$NF$150,MATCH(1,(GMW!$NE$2:$NE$150=AT$3)*(GMW!$ND$2:$ND$150=AT$4)*(GMW!$NF$2:$NF$150=AT$1),0),$C177-1966)</f>
        <v>42142.32</v>
      </c>
      <c r="AU177" s="4" cm="1">
        <f t="array" ref="AU177">INDEX(GMW!$A$2:$NF$150,MATCH(1,(GMW!$NE$2:$NE$150=AU$3)*(GMW!$ND$2:$ND$150=AU$4)*(GMW!$NF$2:$NF$150=AU$1),0),$C177-1966)</f>
        <v>2876750</v>
      </c>
      <c r="AV177" s="4" cm="1">
        <f t="array" ref="AV177">INDEX(GMW!$A$2:$NF$150,MATCH(1,(GMW!$NE$2:$NE$150=AV$3)*(GMW!$ND$2:$ND$150=AV$4)*(GMW!$NF$2:$NF$150=AV$1),0),$C177-1966)</f>
        <v>-1.6827430000000001</v>
      </c>
    </row>
    <row r="178" spans="1:48" x14ac:dyDescent="0.25">
      <c r="B178" s="4">
        <f t="shared" si="8"/>
        <v>2015</v>
      </c>
      <c r="C178" s="4">
        <f t="shared" si="9"/>
        <v>2144</v>
      </c>
      <c r="D178" s="4" cm="1">
        <f t="array" ref="D178">INDEX(GMW!$A$2:$NF$150,MATCH(1,(GMW!$NE$2:$NE$150=D$3)*(GMW!$ND$2:$ND$150=D$4)*(GMW!$NF$2:$NF$150=D$1),0),$C178-1966)</f>
        <v>578068</v>
      </c>
      <c r="E178" s="4" cm="1">
        <f t="array" ref="E178">INDEX(GMW!$A$2:$NF$150,MATCH(1,(GMW!$NE$2:$NE$150=E$3)*(GMW!$ND$2:$ND$150=E$4)*(GMW!$NF$2:$NF$150=E$1),0),$C178-1966)</f>
        <v>100.3</v>
      </c>
      <c r="F178" s="4" cm="1">
        <f t="array" ref="F178">INDEX(GMW!$A$2:$NF$150,MATCH(1,(GMW!$NE$2:$NE$150=F$3)*(GMW!$ND$2:$ND$150=F$4)*(GMW!$NF$2:$NF$150=F$1),0),$C178-1966)</f>
        <v>181607</v>
      </c>
      <c r="G178" s="4" cm="1">
        <f t="array" ref="G178">INDEX(GMW!$A$2:$NF$150,MATCH(1,(GMW!$NE$2:$NE$150=G$3)*(GMW!$ND$2:$ND$150=G$4)*(GMW!$NF$2:$NF$150=G$1),0),$C178-1966)</f>
        <v>84336</v>
      </c>
      <c r="H178" s="4" cm="1">
        <f t="array" ref="H178">INDEX(GMW!$A$2:$NF$150,MATCH(1,(GMW!$NE$2:$NE$150=H$3)*(GMW!$ND$2:$ND$150=H$4)*(GMW!$NF$2:$NF$150=H$1),0),$C178-1966)</f>
        <v>199855</v>
      </c>
      <c r="I178" s="4" cm="1">
        <f t="array" ref="I178">INDEX(GMW!$A$2:$NF$150,MATCH(1,(GMW!$NE$2:$NE$150=I$3)*(GMW!$ND$2:$ND$150=I$4)*(GMW!$NF$2:$NF$150=I$1),0),$C178-1966)</f>
        <v>117926</v>
      </c>
      <c r="J178" s="4" cm="1">
        <f t="array" ref="J178">INDEX(GMW!$A$2:$NF$150,MATCH(1,(GMW!$NE$2:$NE$150=J$3)*(GMW!$ND$2:$ND$150=J$4)*(GMW!$NF$2:$NF$150=J$1),0),$C178-1966)</f>
        <v>101962</v>
      </c>
      <c r="K178" s="4" cm="1">
        <f t="array" ref="K178">INDEX(GMW!$A$2:$NF$150,MATCH(1,(GMW!$NE$2:$NE$150=K$3)*(GMW!$ND$2:$ND$150=K$4)*(GMW!$NF$2:$NF$150=K$1),0),$C178-1966)</f>
        <v>60238</v>
      </c>
      <c r="L178" s="4" cm="1">
        <f t="array" ref="L178">INDEX(GMW!$A$2:$NF$150,MATCH(1,(GMW!$NE$2:$NE$150=L$3)*(GMW!$ND$2:$ND$150=L$4)*(GMW!$NF$2:$NF$150=L$1),0),$C178-1966)</f>
        <v>589483.80000000005</v>
      </c>
      <c r="M178" s="4" cm="1">
        <f t="array" ref="M178">INDEX(GMW!$A$2:$NF$150,MATCH(1,(GMW!$NE$2:$NE$150=M$3)*(GMW!$ND$2:$ND$150=M$4)*(GMW!$NF$2:$NF$150=M$1),0),$C178-1966)</f>
        <v>31658.79</v>
      </c>
      <c r="N178" s="4" cm="1">
        <f t="array" ref="N178">INDEX(GMW!$A$2:$NF$150,MATCH(1,(GMW!$NE$2:$NE$150=N$3)*(GMW!$ND$2:$ND$150=N$4)*(GMW!$NF$2:$NF$150=N$1),0),$C178-1966)</f>
        <v>32.299999999999997</v>
      </c>
      <c r="O178" s="4" cm="1">
        <f t="array" ref="O178">INDEX(GMW!$A$2:$NF$150,MATCH(1,(GMW!$NE$2:$NE$150=O$3)*(GMW!$ND$2:$ND$150=O$4)*(GMW!$NF$2:$NF$150=O$1),0),$C178-1966)</f>
        <v>549419.80000000005</v>
      </c>
      <c r="P178" s="4" cm="1">
        <f t="array" ref="P178">INDEX(GMW!$A$2:$NF$150,MATCH(1,(GMW!$NE$2:$NE$150=P$3)*(GMW!$ND$2:$ND$150=P$4)*(GMW!$NF$2:$NF$150=P$1),0),$C178-1966)</f>
        <v>42199.92</v>
      </c>
      <c r="Q178" s="4" cm="1">
        <f t="array" ref="Q178">INDEX(GMW!$A$2:$NF$150,MATCH(1,(GMW!$NE$2:$NE$150=Q$3)*(GMW!$ND$2:$ND$150=Q$4)*(GMW!$NF$2:$NF$150=Q$1),0),$C178-1966)</f>
        <v>2893000</v>
      </c>
      <c r="R178" s="4" cm="1">
        <f t="array" ref="R178">INDEX(GMW!$A$2:$NF$150,MATCH(1,(GMW!$NE$2:$NE$150=R$3)*(GMW!$ND$2:$ND$150=R$4)*(GMW!$NF$2:$NF$150=R$1),0),$C178-1966)</f>
        <v>-1.6827859999999999</v>
      </c>
      <c r="S178" s="4" cm="1">
        <f t="array" ref="S178">INDEX(GMW!$A$2:$NF$150,MATCH(1,(GMW!$NE$2:$NE$150=S$3)*(GMW!$ND$2:$ND$150=S$4)*(GMW!$NF$2:$NF$150=S$1),0),$C178-1966)</f>
        <v>578068</v>
      </c>
      <c r="T178" s="4" cm="1">
        <f t="array" ref="T178">INDEX(GMW!$A$2:$NF$150,MATCH(1,(GMW!$NE$2:$NE$150=T$3)*(GMW!$ND$2:$ND$150=T$4)*(GMW!$NF$2:$NF$150=T$1),0),$C178-1966)</f>
        <v>100.3</v>
      </c>
      <c r="U178" s="4" cm="1">
        <f t="array" ref="U178">INDEX(GMW!$A$2:$NF$150,MATCH(1,(GMW!$NE$2:$NE$150=U$3)*(GMW!$ND$2:$ND$150=U$4)*(GMW!$NF$2:$NF$150=U$1),0),$C178-1966)</f>
        <v>181607</v>
      </c>
      <c r="V178" s="4" cm="1">
        <f t="array" ref="V178">INDEX(GMW!$A$2:$NF$150,MATCH(1,(GMW!$NE$2:$NE$150=V$3)*(GMW!$ND$2:$ND$150=V$4)*(GMW!$NF$2:$NF$150=V$1),0),$C178-1966)</f>
        <v>84336</v>
      </c>
      <c r="W178" s="4" cm="1">
        <f t="array" ref="W178">INDEX(GMW!$A$2:$NF$150,MATCH(1,(GMW!$NE$2:$NE$150=W$3)*(GMW!$ND$2:$ND$150=W$4)*(GMW!$NF$2:$NF$150=W$1),0),$C178-1966)</f>
        <v>199855</v>
      </c>
      <c r="X178" s="4" cm="1">
        <f t="array" ref="X178">INDEX(GMW!$A$2:$NF$150,MATCH(1,(GMW!$NE$2:$NE$150=X$3)*(GMW!$ND$2:$ND$150=X$4)*(GMW!$NF$2:$NF$150=X$1),0),$C178-1966)</f>
        <v>117926</v>
      </c>
      <c r="Y178" s="4" cm="1">
        <f t="array" ref="Y178">INDEX(GMW!$A$2:$NF$150,MATCH(1,(GMW!$NE$2:$NE$150=Y$3)*(GMW!$ND$2:$ND$150=Y$4)*(GMW!$NF$2:$NF$150=Y$1),0),$C178-1966)</f>
        <v>101962</v>
      </c>
      <c r="Z178" s="4" cm="1">
        <f t="array" ref="Z178">INDEX(GMW!$A$2:$NF$150,MATCH(1,(GMW!$NE$2:$NE$150=Z$3)*(GMW!$ND$2:$ND$150=Z$4)*(GMW!$NF$2:$NF$150=Z$1),0),$C178-1966)</f>
        <v>60238</v>
      </c>
      <c r="AA178" s="4" cm="1">
        <f t="array" ref="AA178">INDEX(GMW!$A$2:$NF$150,MATCH(1,(GMW!$NE$2:$NE$150=AA$3)*(GMW!$ND$2:$ND$150=AA$4)*(GMW!$NF$2:$NF$150=AA$1),0),$C178-1966)</f>
        <v>589483.80000000005</v>
      </c>
      <c r="AB178" s="4" cm="1">
        <f t="array" ref="AB178">INDEX(GMW!$A$2:$NF$150,MATCH(1,(GMW!$NE$2:$NE$150=AB$3)*(GMW!$ND$2:$ND$150=AB$4)*(GMW!$NF$2:$NF$150=AB$1),0),$C178-1966)</f>
        <v>31658.79</v>
      </c>
      <c r="AC178" s="4" cm="1">
        <f t="array" ref="AC178">INDEX(GMW!$A$2:$NF$150,MATCH(1,(GMW!$NE$2:$NE$150=AC$3)*(GMW!$ND$2:$ND$150=AC$4)*(GMW!$NF$2:$NF$150=AC$1),0),$C178-1966)</f>
        <v>32.299999999999997</v>
      </c>
      <c r="AD178" s="4" cm="1">
        <f t="array" ref="AD178">INDEX(GMW!$A$2:$NF$150,MATCH(1,(GMW!$NE$2:$NE$150=AD$3)*(GMW!$ND$2:$ND$150=AD$4)*(GMW!$NF$2:$NF$150=AD$1),0),$C178-1966)</f>
        <v>549419.80000000005</v>
      </c>
      <c r="AE178" s="4" cm="1">
        <f t="array" ref="AE178">INDEX(GMW!$A$2:$NF$150,MATCH(1,(GMW!$NE$2:$NE$150=AE$3)*(GMW!$ND$2:$ND$150=AE$4)*(GMW!$NF$2:$NF$150=AE$1),0),$C178-1966)</f>
        <v>42199.92</v>
      </c>
      <c r="AF178" s="4" cm="1">
        <f t="array" ref="AF178">INDEX(GMW!$A$2:$NF$150,MATCH(1,(GMW!$NE$2:$NE$150=AF$3)*(GMW!$ND$2:$ND$150=AF$4)*(GMW!$NF$2:$NF$150=AF$1),0),$C178-1966)</f>
        <v>2893000</v>
      </c>
      <c r="AG178" s="4" cm="1">
        <f t="array" ref="AG178">INDEX(GMW!$A$2:$NF$150,MATCH(1,(GMW!$NE$2:$NE$150=AG$3)*(GMW!$ND$2:$ND$150=AG$4)*(GMW!$NF$2:$NF$150=AG$1),0),$C178-1966)</f>
        <v>-1.6827859999999999</v>
      </c>
      <c r="AH178" s="4" cm="1">
        <f t="array" ref="AH178">INDEX(GMW!$A$2:$NF$150,MATCH(1,(GMW!$NE$2:$NE$150=AH$3)*(GMW!$ND$2:$ND$150=AH$4)*(GMW!$NF$2:$NF$150=AH$1),0),$C178-1966)</f>
        <v>578068</v>
      </c>
      <c r="AI178" s="4" cm="1">
        <f t="array" ref="AI178">INDEX(GMW!$A$2:$NF$150,MATCH(1,(GMW!$NE$2:$NE$150=AI$3)*(GMW!$ND$2:$ND$150=AI$4)*(GMW!$NF$2:$NF$150=AI$1),0),$C178-1966)</f>
        <v>100.3</v>
      </c>
      <c r="AJ178" s="4" cm="1">
        <f t="array" ref="AJ178">INDEX(GMW!$A$2:$NF$150,MATCH(1,(GMW!$NE$2:$NE$150=AJ$3)*(GMW!$ND$2:$ND$150=AJ$4)*(GMW!$NF$2:$NF$150=AJ$1),0),$C178-1966)</f>
        <v>181607</v>
      </c>
      <c r="AK178" s="4" cm="1">
        <f t="array" ref="AK178">INDEX(GMW!$A$2:$NF$150,MATCH(1,(GMW!$NE$2:$NE$150=AK$3)*(GMW!$ND$2:$ND$150=AK$4)*(GMW!$NF$2:$NF$150=AK$1),0),$C178-1966)</f>
        <v>84336</v>
      </c>
      <c r="AL178" s="4" cm="1">
        <f t="array" ref="AL178">INDEX(GMW!$A$2:$NF$150,MATCH(1,(GMW!$NE$2:$NE$150=AL$3)*(GMW!$ND$2:$ND$150=AL$4)*(GMW!$NF$2:$NF$150=AL$1),0),$C178-1966)</f>
        <v>199855</v>
      </c>
      <c r="AM178" s="4" cm="1">
        <f t="array" ref="AM178">INDEX(GMW!$A$2:$NF$150,MATCH(1,(GMW!$NE$2:$NE$150=AM$3)*(GMW!$ND$2:$ND$150=AM$4)*(GMW!$NF$2:$NF$150=AM$1),0),$C178-1966)</f>
        <v>117926</v>
      </c>
      <c r="AN178" s="4" cm="1">
        <f t="array" ref="AN178">INDEX(GMW!$A$2:$NF$150,MATCH(1,(GMW!$NE$2:$NE$150=AN$3)*(GMW!$ND$2:$ND$150=AN$4)*(GMW!$NF$2:$NF$150=AN$1),0),$C178-1966)</f>
        <v>101962</v>
      </c>
      <c r="AO178" s="4" cm="1">
        <f t="array" ref="AO178">INDEX(GMW!$A$2:$NF$150,MATCH(1,(GMW!$NE$2:$NE$150=AO$3)*(GMW!$ND$2:$ND$150=AO$4)*(GMW!$NF$2:$NF$150=AO$1),0),$C178-1966)</f>
        <v>60238</v>
      </c>
      <c r="AP178" s="4" cm="1">
        <f t="array" ref="AP178">INDEX(GMW!$A$2:$NF$150,MATCH(1,(GMW!$NE$2:$NE$150=AP$3)*(GMW!$ND$2:$ND$150=AP$4)*(GMW!$NF$2:$NF$150=AP$1),0),$C178-1966)</f>
        <v>589483.80000000005</v>
      </c>
      <c r="AQ178" s="4" cm="1">
        <f t="array" ref="AQ178">INDEX(GMW!$A$2:$NF$150,MATCH(1,(GMW!$NE$2:$NE$150=AQ$3)*(GMW!$ND$2:$ND$150=AQ$4)*(GMW!$NF$2:$NF$150=AQ$1),0),$C178-1966)</f>
        <v>31658.79</v>
      </c>
      <c r="AR178" s="4" cm="1">
        <f t="array" ref="AR178">INDEX(GMW!$A$2:$NF$150,MATCH(1,(GMW!$NE$2:$NE$150=AR$3)*(GMW!$ND$2:$ND$150=AR$4)*(GMW!$NF$2:$NF$150=AR$1),0),$C178-1966)</f>
        <v>32.299999999999997</v>
      </c>
      <c r="AS178" s="4" cm="1">
        <f t="array" ref="AS178">INDEX(GMW!$A$2:$NF$150,MATCH(1,(GMW!$NE$2:$NE$150=AS$3)*(GMW!$ND$2:$ND$150=AS$4)*(GMW!$NF$2:$NF$150=AS$1),0),$C178-1966)</f>
        <v>549419.80000000005</v>
      </c>
      <c r="AT178" s="4" cm="1">
        <f t="array" ref="AT178">INDEX(GMW!$A$2:$NF$150,MATCH(1,(GMW!$NE$2:$NE$150=AT$3)*(GMW!$ND$2:$ND$150=AT$4)*(GMW!$NF$2:$NF$150=AT$1),0),$C178-1966)</f>
        <v>42199.92</v>
      </c>
      <c r="AU178" s="4" cm="1">
        <f t="array" ref="AU178">INDEX(GMW!$A$2:$NF$150,MATCH(1,(GMW!$NE$2:$NE$150=AU$3)*(GMW!$ND$2:$ND$150=AU$4)*(GMW!$NF$2:$NF$150=AU$1),0),$C178-1966)</f>
        <v>2893000</v>
      </c>
      <c r="AV178" s="4" cm="1">
        <f t="array" ref="AV178">INDEX(GMW!$A$2:$NF$150,MATCH(1,(GMW!$NE$2:$NE$150=AV$3)*(GMW!$ND$2:$ND$150=AV$4)*(GMW!$NF$2:$NF$150=AV$1),0),$C178-1966)</f>
        <v>-1.6827859999999999</v>
      </c>
    </row>
    <row r="179" spans="1:48" x14ac:dyDescent="0.25">
      <c r="A179" s="4">
        <v>2016</v>
      </c>
      <c r="B179" s="4">
        <f t="shared" si="8"/>
        <v>2016</v>
      </c>
      <c r="C179" s="4">
        <f t="shared" si="9"/>
        <v>2145</v>
      </c>
      <c r="D179" s="4" cm="1">
        <f t="array" ref="D179">INDEX(GMW!$A$2:$NF$150,MATCH(1,(GMW!$NE$2:$NE$150=D$3)*(GMW!$ND$2:$ND$150=D$4)*(GMW!$NF$2:$NF$150=D$1),0),$C179-1966)</f>
        <v>580110</v>
      </c>
      <c r="E179" s="4" cm="1">
        <f t="array" ref="E179">INDEX(GMW!$A$2:$NF$150,MATCH(1,(GMW!$NE$2:$NE$150=E$3)*(GMW!$ND$2:$ND$150=E$4)*(GMW!$NF$2:$NF$150=E$1),0),$C179-1966)</f>
        <v>99.833340000000007</v>
      </c>
      <c r="F179" s="4" cm="1">
        <f t="array" ref="F179">INDEX(GMW!$A$2:$NF$150,MATCH(1,(GMW!$NE$2:$NE$150=F$3)*(GMW!$ND$2:$ND$150=F$4)*(GMW!$NF$2:$NF$150=F$1),0),$C179-1966)</f>
        <v>180917</v>
      </c>
      <c r="G179" s="4" cm="1">
        <f t="array" ref="G179">INDEX(GMW!$A$2:$NF$150,MATCH(1,(GMW!$NE$2:$NE$150=G$3)*(GMW!$ND$2:$ND$150=G$4)*(GMW!$NF$2:$NF$150=G$1),0),$C179-1966)</f>
        <v>81123</v>
      </c>
      <c r="H179" s="4" cm="1">
        <f t="array" ref="H179">INDEX(GMW!$A$2:$NF$150,MATCH(1,(GMW!$NE$2:$NE$150=H$3)*(GMW!$ND$2:$ND$150=H$4)*(GMW!$NF$2:$NF$150=H$1),0),$C179-1966)</f>
        <v>199056</v>
      </c>
      <c r="I179" s="4" cm="1">
        <f t="array" ref="I179">INDEX(GMW!$A$2:$NF$150,MATCH(1,(GMW!$NE$2:$NE$150=I$3)*(GMW!$ND$2:$ND$150=I$4)*(GMW!$NF$2:$NF$150=I$1),0),$C179-1966)</f>
        <v>119982</v>
      </c>
      <c r="J179" s="4" cm="1">
        <f t="array" ref="J179">INDEX(GMW!$A$2:$NF$150,MATCH(1,(GMW!$NE$2:$NE$150=J$3)*(GMW!$ND$2:$ND$150=J$4)*(GMW!$NF$2:$NF$150=J$1),0),$C179-1966)</f>
        <v>103052</v>
      </c>
      <c r="K179" s="4" cm="1">
        <f t="array" ref="K179">INDEX(GMW!$A$2:$NF$150,MATCH(1,(GMW!$NE$2:$NE$150=K$3)*(GMW!$ND$2:$ND$150=K$4)*(GMW!$NF$2:$NF$150=K$1),0),$C179-1966)</f>
        <v>61684</v>
      </c>
      <c r="L179" s="4" cm="1">
        <f t="array" ref="L179">INDEX(GMW!$A$2:$NF$150,MATCH(1,(GMW!$NE$2:$NE$150=L$3)*(GMW!$ND$2:$ND$150=L$4)*(GMW!$NF$2:$NF$150=L$1),0),$C179-1966)</f>
        <v>589164.4</v>
      </c>
      <c r="M179" s="4" cm="1">
        <f t="array" ref="M179">INDEX(GMW!$A$2:$NF$150,MATCH(1,(GMW!$NE$2:$NE$150=M$3)*(GMW!$ND$2:$ND$150=M$4)*(GMW!$NF$2:$NF$150=M$1),0),$C179-1966)</f>
        <v>31707.79</v>
      </c>
      <c r="N179" s="4" cm="1">
        <f t="array" ref="N179">INDEX(GMW!$A$2:$NF$150,MATCH(1,(GMW!$NE$2:$NE$150=N$3)*(GMW!$ND$2:$ND$150=N$4)*(GMW!$NF$2:$NF$150=N$1),0),$C179-1966)</f>
        <v>32.1</v>
      </c>
      <c r="O179" s="4" cm="1">
        <f t="array" ref="O179">INDEX(GMW!$A$2:$NF$150,MATCH(1,(GMW!$NE$2:$NE$150=O$3)*(GMW!$ND$2:$ND$150=O$4)*(GMW!$NF$2:$NF$150=O$1),0),$C179-1966)</f>
        <v>551200.30000000005</v>
      </c>
      <c r="P179" s="4" cm="1">
        <f t="array" ref="P179">INDEX(GMW!$A$2:$NF$150,MATCH(1,(GMW!$NE$2:$NE$150=P$3)*(GMW!$ND$2:$ND$150=P$4)*(GMW!$NF$2:$NF$150=P$1),0),$C179-1966)</f>
        <v>42257.52</v>
      </c>
      <c r="Q179" s="4" cm="1">
        <f t="array" ref="Q179">INDEX(GMW!$A$2:$NF$150,MATCH(1,(GMW!$NE$2:$NE$150=Q$3)*(GMW!$ND$2:$ND$150=Q$4)*(GMW!$NF$2:$NF$150=Q$1),0),$C179-1966)</f>
        <v>2911750</v>
      </c>
      <c r="R179" s="4" cm="1">
        <f t="array" ref="R179">INDEX(GMW!$A$2:$NF$150,MATCH(1,(GMW!$NE$2:$NE$150=R$3)*(GMW!$ND$2:$ND$150=R$4)*(GMW!$NF$2:$NF$150=R$1),0),$C179-1966)</f>
        <v>-1.6828289999999999</v>
      </c>
      <c r="S179" s="4" cm="1">
        <f t="array" ref="S179">INDEX(GMW!$A$2:$NF$150,MATCH(1,(GMW!$NE$2:$NE$150=S$3)*(GMW!$ND$2:$ND$150=S$4)*(GMW!$NF$2:$NF$150=S$1),0),$C179-1966)</f>
        <v>580110</v>
      </c>
      <c r="T179" s="4" cm="1">
        <f t="array" ref="T179">INDEX(GMW!$A$2:$NF$150,MATCH(1,(GMW!$NE$2:$NE$150=T$3)*(GMW!$ND$2:$ND$150=T$4)*(GMW!$NF$2:$NF$150=T$1),0),$C179-1966)</f>
        <v>99.833340000000007</v>
      </c>
      <c r="U179" s="4" cm="1">
        <f t="array" ref="U179">INDEX(GMW!$A$2:$NF$150,MATCH(1,(GMW!$NE$2:$NE$150=U$3)*(GMW!$ND$2:$ND$150=U$4)*(GMW!$NF$2:$NF$150=U$1),0),$C179-1966)</f>
        <v>180917</v>
      </c>
      <c r="V179" s="4" cm="1">
        <f t="array" ref="V179">INDEX(GMW!$A$2:$NF$150,MATCH(1,(GMW!$NE$2:$NE$150=V$3)*(GMW!$ND$2:$ND$150=V$4)*(GMW!$NF$2:$NF$150=V$1),0),$C179-1966)</f>
        <v>81123</v>
      </c>
      <c r="W179" s="4" cm="1">
        <f t="array" ref="W179">INDEX(GMW!$A$2:$NF$150,MATCH(1,(GMW!$NE$2:$NE$150=W$3)*(GMW!$ND$2:$ND$150=W$4)*(GMW!$NF$2:$NF$150=W$1),0),$C179-1966)</f>
        <v>199056</v>
      </c>
      <c r="X179" s="4" cm="1">
        <f t="array" ref="X179">INDEX(GMW!$A$2:$NF$150,MATCH(1,(GMW!$NE$2:$NE$150=X$3)*(GMW!$ND$2:$ND$150=X$4)*(GMW!$NF$2:$NF$150=X$1),0),$C179-1966)</f>
        <v>119982</v>
      </c>
      <c r="Y179" s="4" cm="1">
        <f t="array" ref="Y179">INDEX(GMW!$A$2:$NF$150,MATCH(1,(GMW!$NE$2:$NE$150=Y$3)*(GMW!$ND$2:$ND$150=Y$4)*(GMW!$NF$2:$NF$150=Y$1),0),$C179-1966)</f>
        <v>103052</v>
      </c>
      <c r="Z179" s="4" cm="1">
        <f t="array" ref="Z179">INDEX(GMW!$A$2:$NF$150,MATCH(1,(GMW!$NE$2:$NE$150=Z$3)*(GMW!$ND$2:$ND$150=Z$4)*(GMW!$NF$2:$NF$150=Z$1),0),$C179-1966)</f>
        <v>61684</v>
      </c>
      <c r="AA179" s="4" cm="1">
        <f t="array" ref="AA179">INDEX(GMW!$A$2:$NF$150,MATCH(1,(GMW!$NE$2:$NE$150=AA$3)*(GMW!$ND$2:$ND$150=AA$4)*(GMW!$NF$2:$NF$150=AA$1),0),$C179-1966)</f>
        <v>589164.4</v>
      </c>
      <c r="AB179" s="4" cm="1">
        <f t="array" ref="AB179">INDEX(GMW!$A$2:$NF$150,MATCH(1,(GMW!$NE$2:$NE$150=AB$3)*(GMW!$ND$2:$ND$150=AB$4)*(GMW!$NF$2:$NF$150=AB$1),0),$C179-1966)</f>
        <v>31707.79</v>
      </c>
      <c r="AC179" s="4" cm="1">
        <f t="array" ref="AC179">INDEX(GMW!$A$2:$NF$150,MATCH(1,(GMW!$NE$2:$NE$150=AC$3)*(GMW!$ND$2:$ND$150=AC$4)*(GMW!$NF$2:$NF$150=AC$1),0),$C179-1966)</f>
        <v>32.1</v>
      </c>
      <c r="AD179" s="4" cm="1">
        <f t="array" ref="AD179">INDEX(GMW!$A$2:$NF$150,MATCH(1,(GMW!$NE$2:$NE$150=AD$3)*(GMW!$ND$2:$ND$150=AD$4)*(GMW!$NF$2:$NF$150=AD$1),0),$C179-1966)</f>
        <v>551200.30000000005</v>
      </c>
      <c r="AE179" s="4" cm="1">
        <f t="array" ref="AE179">INDEX(GMW!$A$2:$NF$150,MATCH(1,(GMW!$NE$2:$NE$150=AE$3)*(GMW!$ND$2:$ND$150=AE$4)*(GMW!$NF$2:$NF$150=AE$1),0),$C179-1966)</f>
        <v>42257.52</v>
      </c>
      <c r="AF179" s="4" cm="1">
        <f t="array" ref="AF179">INDEX(GMW!$A$2:$NF$150,MATCH(1,(GMW!$NE$2:$NE$150=AF$3)*(GMW!$ND$2:$ND$150=AF$4)*(GMW!$NF$2:$NF$150=AF$1),0),$C179-1966)</f>
        <v>2911750</v>
      </c>
      <c r="AG179" s="4" cm="1">
        <f t="array" ref="AG179">INDEX(GMW!$A$2:$NF$150,MATCH(1,(GMW!$NE$2:$NE$150=AG$3)*(GMW!$ND$2:$ND$150=AG$4)*(GMW!$NF$2:$NF$150=AG$1),0),$C179-1966)</f>
        <v>-1.6828289999999999</v>
      </c>
      <c r="AH179" s="4" cm="1">
        <f t="array" ref="AH179">INDEX(GMW!$A$2:$NF$150,MATCH(1,(GMW!$NE$2:$NE$150=AH$3)*(GMW!$ND$2:$ND$150=AH$4)*(GMW!$NF$2:$NF$150=AH$1),0),$C179-1966)</f>
        <v>580110</v>
      </c>
      <c r="AI179" s="4" cm="1">
        <f t="array" ref="AI179">INDEX(GMW!$A$2:$NF$150,MATCH(1,(GMW!$NE$2:$NE$150=AI$3)*(GMW!$ND$2:$ND$150=AI$4)*(GMW!$NF$2:$NF$150=AI$1),0),$C179-1966)</f>
        <v>99.833340000000007</v>
      </c>
      <c r="AJ179" s="4" cm="1">
        <f t="array" ref="AJ179">INDEX(GMW!$A$2:$NF$150,MATCH(1,(GMW!$NE$2:$NE$150=AJ$3)*(GMW!$ND$2:$ND$150=AJ$4)*(GMW!$NF$2:$NF$150=AJ$1),0),$C179-1966)</f>
        <v>180917</v>
      </c>
      <c r="AK179" s="4" cm="1">
        <f t="array" ref="AK179">INDEX(GMW!$A$2:$NF$150,MATCH(1,(GMW!$NE$2:$NE$150=AK$3)*(GMW!$ND$2:$ND$150=AK$4)*(GMW!$NF$2:$NF$150=AK$1),0),$C179-1966)</f>
        <v>81123</v>
      </c>
      <c r="AL179" s="4" cm="1">
        <f t="array" ref="AL179">INDEX(GMW!$A$2:$NF$150,MATCH(1,(GMW!$NE$2:$NE$150=AL$3)*(GMW!$ND$2:$ND$150=AL$4)*(GMW!$NF$2:$NF$150=AL$1),0),$C179-1966)</f>
        <v>199056</v>
      </c>
      <c r="AM179" s="4" cm="1">
        <f t="array" ref="AM179">INDEX(GMW!$A$2:$NF$150,MATCH(1,(GMW!$NE$2:$NE$150=AM$3)*(GMW!$ND$2:$ND$150=AM$4)*(GMW!$NF$2:$NF$150=AM$1),0),$C179-1966)</f>
        <v>119982</v>
      </c>
      <c r="AN179" s="4" cm="1">
        <f t="array" ref="AN179">INDEX(GMW!$A$2:$NF$150,MATCH(1,(GMW!$NE$2:$NE$150=AN$3)*(GMW!$ND$2:$ND$150=AN$4)*(GMW!$NF$2:$NF$150=AN$1),0),$C179-1966)</f>
        <v>103052</v>
      </c>
      <c r="AO179" s="4" cm="1">
        <f t="array" ref="AO179">INDEX(GMW!$A$2:$NF$150,MATCH(1,(GMW!$NE$2:$NE$150=AO$3)*(GMW!$ND$2:$ND$150=AO$4)*(GMW!$NF$2:$NF$150=AO$1),0),$C179-1966)</f>
        <v>61684</v>
      </c>
      <c r="AP179" s="4" cm="1">
        <f t="array" ref="AP179">INDEX(GMW!$A$2:$NF$150,MATCH(1,(GMW!$NE$2:$NE$150=AP$3)*(GMW!$ND$2:$ND$150=AP$4)*(GMW!$NF$2:$NF$150=AP$1),0),$C179-1966)</f>
        <v>589164.4</v>
      </c>
      <c r="AQ179" s="4" cm="1">
        <f t="array" ref="AQ179">INDEX(GMW!$A$2:$NF$150,MATCH(1,(GMW!$NE$2:$NE$150=AQ$3)*(GMW!$ND$2:$ND$150=AQ$4)*(GMW!$NF$2:$NF$150=AQ$1),0),$C179-1966)</f>
        <v>31707.79</v>
      </c>
      <c r="AR179" s="4" cm="1">
        <f t="array" ref="AR179">INDEX(GMW!$A$2:$NF$150,MATCH(1,(GMW!$NE$2:$NE$150=AR$3)*(GMW!$ND$2:$ND$150=AR$4)*(GMW!$NF$2:$NF$150=AR$1),0),$C179-1966)</f>
        <v>32.1</v>
      </c>
      <c r="AS179" s="4" cm="1">
        <f t="array" ref="AS179">INDEX(GMW!$A$2:$NF$150,MATCH(1,(GMW!$NE$2:$NE$150=AS$3)*(GMW!$ND$2:$ND$150=AS$4)*(GMW!$NF$2:$NF$150=AS$1),0),$C179-1966)</f>
        <v>551200.30000000005</v>
      </c>
      <c r="AT179" s="4" cm="1">
        <f t="array" ref="AT179">INDEX(GMW!$A$2:$NF$150,MATCH(1,(GMW!$NE$2:$NE$150=AT$3)*(GMW!$ND$2:$ND$150=AT$4)*(GMW!$NF$2:$NF$150=AT$1),0),$C179-1966)</f>
        <v>42257.52</v>
      </c>
      <c r="AU179" s="4" cm="1">
        <f t="array" ref="AU179">INDEX(GMW!$A$2:$NF$150,MATCH(1,(GMW!$NE$2:$NE$150=AU$3)*(GMW!$ND$2:$ND$150=AU$4)*(GMW!$NF$2:$NF$150=AU$1),0),$C179-1966)</f>
        <v>2911750</v>
      </c>
      <c r="AV179" s="4" cm="1">
        <f t="array" ref="AV179">INDEX(GMW!$A$2:$NF$150,MATCH(1,(GMW!$NE$2:$NE$150=AV$3)*(GMW!$ND$2:$ND$150=AV$4)*(GMW!$NF$2:$NF$150=AV$1),0),$C179-1966)</f>
        <v>-1.6828289999999999</v>
      </c>
    </row>
    <row r="180" spans="1:48" x14ac:dyDescent="0.25">
      <c r="B180" s="4">
        <f t="shared" si="8"/>
        <v>2016</v>
      </c>
      <c r="C180" s="4">
        <f t="shared" si="9"/>
        <v>2146</v>
      </c>
      <c r="D180" s="4" cm="1">
        <f t="array" ref="D180">INDEX(GMW!$A$2:$NF$150,MATCH(1,(GMW!$NE$2:$NE$150=D$3)*(GMW!$ND$2:$ND$150=D$4)*(GMW!$NF$2:$NF$150=D$1),0),$C180-1966)</f>
        <v>583383</v>
      </c>
      <c r="E180" s="4" cm="1">
        <f t="array" ref="E180">INDEX(GMW!$A$2:$NF$150,MATCH(1,(GMW!$NE$2:$NE$150=E$3)*(GMW!$ND$2:$ND$150=E$4)*(GMW!$NF$2:$NF$150=E$1),0),$C180-1966)</f>
        <v>100.4</v>
      </c>
      <c r="F180" s="4" cm="1">
        <f t="array" ref="F180">INDEX(GMW!$A$2:$NF$150,MATCH(1,(GMW!$NE$2:$NE$150=F$3)*(GMW!$ND$2:$ND$150=F$4)*(GMW!$NF$2:$NF$150=F$1),0),$C180-1966)</f>
        <v>186367</v>
      </c>
      <c r="G180" s="4" cm="1">
        <f t="array" ref="G180">INDEX(GMW!$A$2:$NF$150,MATCH(1,(GMW!$NE$2:$NE$150=G$3)*(GMW!$ND$2:$ND$150=G$4)*(GMW!$NF$2:$NF$150=G$1),0),$C180-1966)</f>
        <v>86230</v>
      </c>
      <c r="H180" s="4" cm="1">
        <f t="array" ref="H180">INDEX(GMW!$A$2:$NF$150,MATCH(1,(GMW!$NE$2:$NE$150=H$3)*(GMW!$ND$2:$ND$150=H$4)*(GMW!$NF$2:$NF$150=H$1),0),$C180-1966)</f>
        <v>201432</v>
      </c>
      <c r="I180" s="4" cm="1">
        <f t="array" ref="I180">INDEX(GMW!$A$2:$NF$150,MATCH(1,(GMW!$NE$2:$NE$150=I$3)*(GMW!$ND$2:$ND$150=I$4)*(GMW!$NF$2:$NF$150=I$1),0),$C180-1966)</f>
        <v>122574</v>
      </c>
      <c r="J180" s="4" cm="1">
        <f t="array" ref="J180">INDEX(GMW!$A$2:$NF$150,MATCH(1,(GMW!$NE$2:$NE$150=J$3)*(GMW!$ND$2:$ND$150=J$4)*(GMW!$NF$2:$NF$150=J$1),0),$C180-1966)</f>
        <v>103914</v>
      </c>
      <c r="K180" s="4" cm="1">
        <f t="array" ref="K180">INDEX(GMW!$A$2:$NF$150,MATCH(1,(GMW!$NE$2:$NE$150=K$3)*(GMW!$ND$2:$ND$150=K$4)*(GMW!$NF$2:$NF$150=K$1),0),$C180-1966)</f>
        <v>61499</v>
      </c>
      <c r="L180" s="4" cm="1">
        <f t="array" ref="L180">INDEX(GMW!$A$2:$NF$150,MATCH(1,(GMW!$NE$2:$NE$150=L$3)*(GMW!$ND$2:$ND$150=L$4)*(GMW!$NF$2:$NF$150=L$1),0),$C180-1966)</f>
        <v>591347.30000000005</v>
      </c>
      <c r="M180" s="4" cm="1">
        <f t="array" ref="M180">INDEX(GMW!$A$2:$NF$150,MATCH(1,(GMW!$NE$2:$NE$150=M$3)*(GMW!$ND$2:$ND$150=M$4)*(GMW!$NF$2:$NF$150=M$1),0),$C180-1966)</f>
        <v>31852.02</v>
      </c>
      <c r="N180" s="4" cm="1">
        <f t="array" ref="N180">INDEX(GMW!$A$2:$NF$150,MATCH(1,(GMW!$NE$2:$NE$150=N$3)*(GMW!$ND$2:$ND$150=N$4)*(GMW!$NF$2:$NF$150=N$1),0),$C180-1966)</f>
        <v>32</v>
      </c>
      <c r="O180" s="4" cm="1">
        <f t="array" ref="O180">INDEX(GMW!$A$2:$NF$150,MATCH(1,(GMW!$NE$2:$NE$150=O$3)*(GMW!$ND$2:$ND$150=O$4)*(GMW!$NF$2:$NF$150=O$1),0),$C180-1966)</f>
        <v>552979</v>
      </c>
      <c r="P180" s="4" cm="1">
        <f t="array" ref="P180">INDEX(GMW!$A$2:$NF$150,MATCH(1,(GMW!$NE$2:$NE$150=P$3)*(GMW!$ND$2:$ND$150=P$4)*(GMW!$NF$2:$NF$150=P$1),0),$C180-1966)</f>
        <v>42315.13</v>
      </c>
      <c r="Q180" s="4" cm="1">
        <f t="array" ref="Q180">INDEX(GMW!$A$2:$NF$150,MATCH(1,(GMW!$NE$2:$NE$150=Q$3)*(GMW!$ND$2:$ND$150=Q$4)*(GMW!$NF$2:$NF$150=Q$1),0),$C180-1966)</f>
        <v>2930500</v>
      </c>
      <c r="R180" s="4" cm="1">
        <f t="array" ref="R180">INDEX(GMW!$A$2:$NF$150,MATCH(1,(GMW!$NE$2:$NE$150=R$3)*(GMW!$ND$2:$ND$150=R$4)*(GMW!$NF$2:$NF$150=R$1),0),$C180-1966)</f>
        <v>-1.682871</v>
      </c>
      <c r="S180" s="4" cm="1">
        <f t="array" ref="S180">INDEX(GMW!$A$2:$NF$150,MATCH(1,(GMW!$NE$2:$NE$150=S$3)*(GMW!$ND$2:$ND$150=S$4)*(GMW!$NF$2:$NF$150=S$1),0),$C180-1966)</f>
        <v>583383</v>
      </c>
      <c r="T180" s="4" cm="1">
        <f t="array" ref="T180">INDEX(GMW!$A$2:$NF$150,MATCH(1,(GMW!$NE$2:$NE$150=T$3)*(GMW!$ND$2:$ND$150=T$4)*(GMW!$NF$2:$NF$150=T$1),0),$C180-1966)</f>
        <v>100.4</v>
      </c>
      <c r="U180" s="4" cm="1">
        <f t="array" ref="U180">INDEX(GMW!$A$2:$NF$150,MATCH(1,(GMW!$NE$2:$NE$150=U$3)*(GMW!$ND$2:$ND$150=U$4)*(GMW!$NF$2:$NF$150=U$1),0),$C180-1966)</f>
        <v>186367</v>
      </c>
      <c r="V180" s="4" cm="1">
        <f t="array" ref="V180">INDEX(GMW!$A$2:$NF$150,MATCH(1,(GMW!$NE$2:$NE$150=V$3)*(GMW!$ND$2:$ND$150=V$4)*(GMW!$NF$2:$NF$150=V$1),0),$C180-1966)</f>
        <v>86230</v>
      </c>
      <c r="W180" s="4" cm="1">
        <f t="array" ref="W180">INDEX(GMW!$A$2:$NF$150,MATCH(1,(GMW!$NE$2:$NE$150=W$3)*(GMW!$ND$2:$ND$150=W$4)*(GMW!$NF$2:$NF$150=W$1),0),$C180-1966)</f>
        <v>201432</v>
      </c>
      <c r="X180" s="4" cm="1">
        <f t="array" ref="X180">INDEX(GMW!$A$2:$NF$150,MATCH(1,(GMW!$NE$2:$NE$150=X$3)*(GMW!$ND$2:$ND$150=X$4)*(GMW!$NF$2:$NF$150=X$1),0),$C180-1966)</f>
        <v>122574</v>
      </c>
      <c r="Y180" s="4" cm="1">
        <f t="array" ref="Y180">INDEX(GMW!$A$2:$NF$150,MATCH(1,(GMW!$NE$2:$NE$150=Y$3)*(GMW!$ND$2:$ND$150=Y$4)*(GMW!$NF$2:$NF$150=Y$1),0),$C180-1966)</f>
        <v>103914</v>
      </c>
      <c r="Z180" s="4" cm="1">
        <f t="array" ref="Z180">INDEX(GMW!$A$2:$NF$150,MATCH(1,(GMW!$NE$2:$NE$150=Z$3)*(GMW!$ND$2:$ND$150=Z$4)*(GMW!$NF$2:$NF$150=Z$1),0),$C180-1966)</f>
        <v>61499</v>
      </c>
      <c r="AA180" s="4" cm="1">
        <f t="array" ref="AA180">INDEX(GMW!$A$2:$NF$150,MATCH(1,(GMW!$NE$2:$NE$150=AA$3)*(GMW!$ND$2:$ND$150=AA$4)*(GMW!$NF$2:$NF$150=AA$1),0),$C180-1966)</f>
        <v>591347.30000000005</v>
      </c>
      <c r="AB180" s="4" cm="1">
        <f t="array" ref="AB180">INDEX(GMW!$A$2:$NF$150,MATCH(1,(GMW!$NE$2:$NE$150=AB$3)*(GMW!$ND$2:$ND$150=AB$4)*(GMW!$NF$2:$NF$150=AB$1),0),$C180-1966)</f>
        <v>31852.02</v>
      </c>
      <c r="AC180" s="4" cm="1">
        <f t="array" ref="AC180">INDEX(GMW!$A$2:$NF$150,MATCH(1,(GMW!$NE$2:$NE$150=AC$3)*(GMW!$ND$2:$ND$150=AC$4)*(GMW!$NF$2:$NF$150=AC$1),0),$C180-1966)</f>
        <v>32</v>
      </c>
      <c r="AD180" s="4" cm="1">
        <f t="array" ref="AD180">INDEX(GMW!$A$2:$NF$150,MATCH(1,(GMW!$NE$2:$NE$150=AD$3)*(GMW!$ND$2:$ND$150=AD$4)*(GMW!$NF$2:$NF$150=AD$1),0),$C180-1966)</f>
        <v>552979</v>
      </c>
      <c r="AE180" s="4" cm="1">
        <f t="array" ref="AE180">INDEX(GMW!$A$2:$NF$150,MATCH(1,(GMW!$NE$2:$NE$150=AE$3)*(GMW!$ND$2:$ND$150=AE$4)*(GMW!$NF$2:$NF$150=AE$1),0),$C180-1966)</f>
        <v>42315.13</v>
      </c>
      <c r="AF180" s="4" cm="1">
        <f t="array" ref="AF180">INDEX(GMW!$A$2:$NF$150,MATCH(1,(GMW!$NE$2:$NE$150=AF$3)*(GMW!$ND$2:$ND$150=AF$4)*(GMW!$NF$2:$NF$150=AF$1),0),$C180-1966)</f>
        <v>2930500</v>
      </c>
      <c r="AG180" s="4" cm="1">
        <f t="array" ref="AG180">INDEX(GMW!$A$2:$NF$150,MATCH(1,(GMW!$NE$2:$NE$150=AG$3)*(GMW!$ND$2:$ND$150=AG$4)*(GMW!$NF$2:$NF$150=AG$1),0),$C180-1966)</f>
        <v>-1.682871</v>
      </c>
      <c r="AH180" s="4" cm="1">
        <f t="array" ref="AH180">INDEX(GMW!$A$2:$NF$150,MATCH(1,(GMW!$NE$2:$NE$150=AH$3)*(GMW!$ND$2:$ND$150=AH$4)*(GMW!$NF$2:$NF$150=AH$1),0),$C180-1966)</f>
        <v>583383</v>
      </c>
      <c r="AI180" s="4" cm="1">
        <f t="array" ref="AI180">INDEX(GMW!$A$2:$NF$150,MATCH(1,(GMW!$NE$2:$NE$150=AI$3)*(GMW!$ND$2:$ND$150=AI$4)*(GMW!$NF$2:$NF$150=AI$1),0),$C180-1966)</f>
        <v>100.4</v>
      </c>
      <c r="AJ180" s="4" cm="1">
        <f t="array" ref="AJ180">INDEX(GMW!$A$2:$NF$150,MATCH(1,(GMW!$NE$2:$NE$150=AJ$3)*(GMW!$ND$2:$ND$150=AJ$4)*(GMW!$NF$2:$NF$150=AJ$1),0),$C180-1966)</f>
        <v>186367</v>
      </c>
      <c r="AK180" s="4" cm="1">
        <f t="array" ref="AK180">INDEX(GMW!$A$2:$NF$150,MATCH(1,(GMW!$NE$2:$NE$150=AK$3)*(GMW!$ND$2:$ND$150=AK$4)*(GMW!$NF$2:$NF$150=AK$1),0),$C180-1966)</f>
        <v>86230</v>
      </c>
      <c r="AL180" s="4" cm="1">
        <f t="array" ref="AL180">INDEX(GMW!$A$2:$NF$150,MATCH(1,(GMW!$NE$2:$NE$150=AL$3)*(GMW!$ND$2:$ND$150=AL$4)*(GMW!$NF$2:$NF$150=AL$1),0),$C180-1966)</f>
        <v>201432</v>
      </c>
      <c r="AM180" s="4" cm="1">
        <f t="array" ref="AM180">INDEX(GMW!$A$2:$NF$150,MATCH(1,(GMW!$NE$2:$NE$150=AM$3)*(GMW!$ND$2:$ND$150=AM$4)*(GMW!$NF$2:$NF$150=AM$1),0),$C180-1966)</f>
        <v>122574</v>
      </c>
      <c r="AN180" s="4" cm="1">
        <f t="array" ref="AN180">INDEX(GMW!$A$2:$NF$150,MATCH(1,(GMW!$NE$2:$NE$150=AN$3)*(GMW!$ND$2:$ND$150=AN$4)*(GMW!$NF$2:$NF$150=AN$1),0),$C180-1966)</f>
        <v>103914</v>
      </c>
      <c r="AO180" s="4" cm="1">
        <f t="array" ref="AO180">INDEX(GMW!$A$2:$NF$150,MATCH(1,(GMW!$NE$2:$NE$150=AO$3)*(GMW!$ND$2:$ND$150=AO$4)*(GMW!$NF$2:$NF$150=AO$1),0),$C180-1966)</f>
        <v>61499</v>
      </c>
      <c r="AP180" s="4" cm="1">
        <f t="array" ref="AP180">INDEX(GMW!$A$2:$NF$150,MATCH(1,(GMW!$NE$2:$NE$150=AP$3)*(GMW!$ND$2:$ND$150=AP$4)*(GMW!$NF$2:$NF$150=AP$1),0),$C180-1966)</f>
        <v>591347.30000000005</v>
      </c>
      <c r="AQ180" s="4" cm="1">
        <f t="array" ref="AQ180">INDEX(GMW!$A$2:$NF$150,MATCH(1,(GMW!$NE$2:$NE$150=AQ$3)*(GMW!$ND$2:$ND$150=AQ$4)*(GMW!$NF$2:$NF$150=AQ$1),0),$C180-1966)</f>
        <v>31852.02</v>
      </c>
      <c r="AR180" s="4" cm="1">
        <f t="array" ref="AR180">INDEX(GMW!$A$2:$NF$150,MATCH(1,(GMW!$NE$2:$NE$150=AR$3)*(GMW!$ND$2:$ND$150=AR$4)*(GMW!$NF$2:$NF$150=AR$1),0),$C180-1966)</f>
        <v>32</v>
      </c>
      <c r="AS180" s="4" cm="1">
        <f t="array" ref="AS180">INDEX(GMW!$A$2:$NF$150,MATCH(1,(GMW!$NE$2:$NE$150=AS$3)*(GMW!$ND$2:$ND$150=AS$4)*(GMW!$NF$2:$NF$150=AS$1),0),$C180-1966)</f>
        <v>552979</v>
      </c>
      <c r="AT180" s="4" cm="1">
        <f t="array" ref="AT180">INDEX(GMW!$A$2:$NF$150,MATCH(1,(GMW!$NE$2:$NE$150=AT$3)*(GMW!$ND$2:$ND$150=AT$4)*(GMW!$NF$2:$NF$150=AT$1),0),$C180-1966)</f>
        <v>42315.13</v>
      </c>
      <c r="AU180" s="4" cm="1">
        <f t="array" ref="AU180">INDEX(GMW!$A$2:$NF$150,MATCH(1,(GMW!$NE$2:$NE$150=AU$3)*(GMW!$ND$2:$ND$150=AU$4)*(GMW!$NF$2:$NF$150=AU$1),0),$C180-1966)</f>
        <v>2930500</v>
      </c>
      <c r="AV180" s="4" cm="1">
        <f t="array" ref="AV180">INDEX(GMW!$A$2:$NF$150,MATCH(1,(GMW!$NE$2:$NE$150=AV$3)*(GMW!$ND$2:$ND$150=AV$4)*(GMW!$NF$2:$NF$150=AV$1),0),$C180-1966)</f>
        <v>-1.682871</v>
      </c>
    </row>
    <row r="181" spans="1:48" x14ac:dyDescent="0.25">
      <c r="B181" s="4">
        <f t="shared" si="8"/>
        <v>2016</v>
      </c>
      <c r="C181" s="4">
        <f t="shared" si="9"/>
        <v>2147</v>
      </c>
      <c r="D181" s="4" cm="1">
        <f t="array" ref="D181">INDEX(GMW!$A$2:$NF$150,MATCH(1,(GMW!$NE$2:$NE$150=D$3)*(GMW!$ND$2:$ND$150=D$4)*(GMW!$NF$2:$NF$150=D$1),0),$C181-1966)</f>
        <v>585856</v>
      </c>
      <c r="E181" s="4" cm="1">
        <f t="array" ref="E181">INDEX(GMW!$A$2:$NF$150,MATCH(1,(GMW!$NE$2:$NE$150=E$3)*(GMW!$ND$2:$ND$150=E$4)*(GMW!$NF$2:$NF$150=E$1),0),$C181-1966)</f>
        <v>100.86669999999999</v>
      </c>
      <c r="F181" s="4" cm="1">
        <f t="array" ref="F181">INDEX(GMW!$A$2:$NF$150,MATCH(1,(GMW!$NE$2:$NE$150=F$3)*(GMW!$ND$2:$ND$150=F$4)*(GMW!$NF$2:$NF$150=F$1),0),$C181-1966)</f>
        <v>181291</v>
      </c>
      <c r="G181" s="4" cm="1">
        <f t="array" ref="G181">INDEX(GMW!$A$2:$NF$150,MATCH(1,(GMW!$NE$2:$NE$150=G$3)*(GMW!$ND$2:$ND$150=G$4)*(GMW!$NF$2:$NF$150=G$1),0),$C181-1966)</f>
        <v>83151</v>
      </c>
      <c r="H181" s="4" cm="1">
        <f t="array" ref="H181">INDEX(GMW!$A$2:$NF$150,MATCH(1,(GMW!$NE$2:$NE$150=H$3)*(GMW!$ND$2:$ND$150=H$4)*(GMW!$NF$2:$NF$150=H$1),0),$C181-1966)</f>
        <v>208250</v>
      </c>
      <c r="I181" s="4" cm="1">
        <f t="array" ref="I181">INDEX(GMW!$A$2:$NF$150,MATCH(1,(GMW!$NE$2:$NE$150=I$3)*(GMW!$ND$2:$ND$150=I$4)*(GMW!$NF$2:$NF$150=I$1),0),$C181-1966)</f>
        <v>126354</v>
      </c>
      <c r="J181" s="4" cm="1">
        <f t="array" ref="J181">INDEX(GMW!$A$2:$NF$150,MATCH(1,(GMW!$NE$2:$NE$150=J$3)*(GMW!$ND$2:$ND$150=J$4)*(GMW!$NF$2:$NF$150=J$1),0),$C181-1966)</f>
        <v>106846</v>
      </c>
      <c r="K181" s="4" cm="1">
        <f t="array" ref="K181">INDEX(GMW!$A$2:$NF$150,MATCH(1,(GMW!$NE$2:$NE$150=K$3)*(GMW!$ND$2:$ND$150=K$4)*(GMW!$NF$2:$NF$150=K$1),0),$C181-1966)</f>
        <v>62975</v>
      </c>
      <c r="L181" s="4" cm="1">
        <f t="array" ref="L181">INDEX(GMW!$A$2:$NF$150,MATCH(1,(GMW!$NE$2:$NE$150=L$3)*(GMW!$ND$2:$ND$150=L$4)*(GMW!$NF$2:$NF$150=L$1),0),$C181-1966)</f>
        <v>593632.6</v>
      </c>
      <c r="M181" s="4" cm="1">
        <f t="array" ref="M181">INDEX(GMW!$A$2:$NF$150,MATCH(1,(GMW!$NE$2:$NE$150=M$3)*(GMW!$ND$2:$ND$150=M$4)*(GMW!$NF$2:$NF$150=M$1),0),$C181-1966)</f>
        <v>31905.89</v>
      </c>
      <c r="N181" s="4" cm="1">
        <f t="array" ref="N181">INDEX(GMW!$A$2:$NF$150,MATCH(1,(GMW!$NE$2:$NE$150=N$3)*(GMW!$ND$2:$ND$150=N$4)*(GMW!$NF$2:$NF$150=N$1),0),$C181-1966)</f>
        <v>32</v>
      </c>
      <c r="O181" s="4" cm="1">
        <f t="array" ref="O181">INDEX(GMW!$A$2:$NF$150,MATCH(1,(GMW!$NE$2:$NE$150=O$3)*(GMW!$ND$2:$ND$150=O$4)*(GMW!$NF$2:$NF$150=O$1),0),$C181-1966)</f>
        <v>554462.69999999995</v>
      </c>
      <c r="P181" s="4" cm="1">
        <f t="array" ref="P181">INDEX(GMW!$A$2:$NF$150,MATCH(1,(GMW!$NE$2:$NE$150=P$3)*(GMW!$ND$2:$ND$150=P$4)*(GMW!$NF$2:$NF$150=P$1),0),$C181-1966)</f>
        <v>42350.28</v>
      </c>
      <c r="Q181" s="4" cm="1">
        <f t="array" ref="Q181">INDEX(GMW!$A$2:$NF$150,MATCH(1,(GMW!$NE$2:$NE$150=Q$3)*(GMW!$ND$2:$ND$150=Q$4)*(GMW!$NF$2:$NF$150=Q$1),0),$C181-1966)</f>
        <v>2949250</v>
      </c>
      <c r="R181" s="4" cm="1">
        <f t="array" ref="R181">INDEX(GMW!$A$2:$NF$150,MATCH(1,(GMW!$NE$2:$NE$150=R$3)*(GMW!$ND$2:$ND$150=R$4)*(GMW!$NF$2:$NF$150=R$1),0),$C181-1966)</f>
        <v>-1.682914</v>
      </c>
      <c r="S181" s="4" cm="1">
        <f t="array" ref="S181">INDEX(GMW!$A$2:$NF$150,MATCH(1,(GMW!$NE$2:$NE$150=S$3)*(GMW!$ND$2:$ND$150=S$4)*(GMW!$NF$2:$NF$150=S$1),0),$C181-1966)</f>
        <v>585856</v>
      </c>
      <c r="T181" s="4" cm="1">
        <f t="array" ref="T181">INDEX(GMW!$A$2:$NF$150,MATCH(1,(GMW!$NE$2:$NE$150=T$3)*(GMW!$ND$2:$ND$150=T$4)*(GMW!$NF$2:$NF$150=T$1),0),$C181-1966)</f>
        <v>100.86669999999999</v>
      </c>
      <c r="U181" s="4" cm="1">
        <f t="array" ref="U181">INDEX(GMW!$A$2:$NF$150,MATCH(1,(GMW!$NE$2:$NE$150=U$3)*(GMW!$ND$2:$ND$150=U$4)*(GMW!$NF$2:$NF$150=U$1),0),$C181-1966)</f>
        <v>181291</v>
      </c>
      <c r="V181" s="4" cm="1">
        <f t="array" ref="V181">INDEX(GMW!$A$2:$NF$150,MATCH(1,(GMW!$NE$2:$NE$150=V$3)*(GMW!$ND$2:$ND$150=V$4)*(GMW!$NF$2:$NF$150=V$1),0),$C181-1966)</f>
        <v>83151</v>
      </c>
      <c r="W181" s="4" cm="1">
        <f t="array" ref="W181">INDEX(GMW!$A$2:$NF$150,MATCH(1,(GMW!$NE$2:$NE$150=W$3)*(GMW!$ND$2:$ND$150=W$4)*(GMW!$NF$2:$NF$150=W$1),0),$C181-1966)</f>
        <v>208250</v>
      </c>
      <c r="X181" s="4" cm="1">
        <f t="array" ref="X181">INDEX(GMW!$A$2:$NF$150,MATCH(1,(GMW!$NE$2:$NE$150=X$3)*(GMW!$ND$2:$ND$150=X$4)*(GMW!$NF$2:$NF$150=X$1),0),$C181-1966)</f>
        <v>126354</v>
      </c>
      <c r="Y181" s="4" cm="1">
        <f t="array" ref="Y181">INDEX(GMW!$A$2:$NF$150,MATCH(1,(GMW!$NE$2:$NE$150=Y$3)*(GMW!$ND$2:$ND$150=Y$4)*(GMW!$NF$2:$NF$150=Y$1),0),$C181-1966)</f>
        <v>106846</v>
      </c>
      <c r="Z181" s="4" cm="1">
        <f t="array" ref="Z181">INDEX(GMW!$A$2:$NF$150,MATCH(1,(GMW!$NE$2:$NE$150=Z$3)*(GMW!$ND$2:$ND$150=Z$4)*(GMW!$NF$2:$NF$150=Z$1),0),$C181-1966)</f>
        <v>62975</v>
      </c>
      <c r="AA181" s="4" cm="1">
        <f t="array" ref="AA181">INDEX(GMW!$A$2:$NF$150,MATCH(1,(GMW!$NE$2:$NE$150=AA$3)*(GMW!$ND$2:$ND$150=AA$4)*(GMW!$NF$2:$NF$150=AA$1),0),$C181-1966)</f>
        <v>593632.6</v>
      </c>
      <c r="AB181" s="4" cm="1">
        <f t="array" ref="AB181">INDEX(GMW!$A$2:$NF$150,MATCH(1,(GMW!$NE$2:$NE$150=AB$3)*(GMW!$ND$2:$ND$150=AB$4)*(GMW!$NF$2:$NF$150=AB$1),0),$C181-1966)</f>
        <v>31905.89</v>
      </c>
      <c r="AC181" s="4" cm="1">
        <f t="array" ref="AC181">INDEX(GMW!$A$2:$NF$150,MATCH(1,(GMW!$NE$2:$NE$150=AC$3)*(GMW!$ND$2:$ND$150=AC$4)*(GMW!$NF$2:$NF$150=AC$1),0),$C181-1966)</f>
        <v>32</v>
      </c>
      <c r="AD181" s="4" cm="1">
        <f t="array" ref="AD181">INDEX(GMW!$A$2:$NF$150,MATCH(1,(GMW!$NE$2:$NE$150=AD$3)*(GMW!$ND$2:$ND$150=AD$4)*(GMW!$NF$2:$NF$150=AD$1),0),$C181-1966)</f>
        <v>554462.69999999995</v>
      </c>
      <c r="AE181" s="4" cm="1">
        <f t="array" ref="AE181">INDEX(GMW!$A$2:$NF$150,MATCH(1,(GMW!$NE$2:$NE$150=AE$3)*(GMW!$ND$2:$ND$150=AE$4)*(GMW!$NF$2:$NF$150=AE$1),0),$C181-1966)</f>
        <v>42350.28</v>
      </c>
      <c r="AF181" s="4" cm="1">
        <f t="array" ref="AF181">INDEX(GMW!$A$2:$NF$150,MATCH(1,(GMW!$NE$2:$NE$150=AF$3)*(GMW!$ND$2:$ND$150=AF$4)*(GMW!$NF$2:$NF$150=AF$1),0),$C181-1966)</f>
        <v>2949250</v>
      </c>
      <c r="AG181" s="4" cm="1">
        <f t="array" ref="AG181">INDEX(GMW!$A$2:$NF$150,MATCH(1,(GMW!$NE$2:$NE$150=AG$3)*(GMW!$ND$2:$ND$150=AG$4)*(GMW!$NF$2:$NF$150=AG$1),0),$C181-1966)</f>
        <v>-1.682914</v>
      </c>
      <c r="AH181" s="4" cm="1">
        <f t="array" ref="AH181">INDEX(GMW!$A$2:$NF$150,MATCH(1,(GMW!$NE$2:$NE$150=AH$3)*(GMW!$ND$2:$ND$150=AH$4)*(GMW!$NF$2:$NF$150=AH$1),0),$C181-1966)</f>
        <v>585856</v>
      </c>
      <c r="AI181" s="4" cm="1">
        <f t="array" ref="AI181">INDEX(GMW!$A$2:$NF$150,MATCH(1,(GMW!$NE$2:$NE$150=AI$3)*(GMW!$ND$2:$ND$150=AI$4)*(GMW!$NF$2:$NF$150=AI$1),0),$C181-1966)</f>
        <v>100.86669999999999</v>
      </c>
      <c r="AJ181" s="4" cm="1">
        <f t="array" ref="AJ181">INDEX(GMW!$A$2:$NF$150,MATCH(1,(GMW!$NE$2:$NE$150=AJ$3)*(GMW!$ND$2:$ND$150=AJ$4)*(GMW!$NF$2:$NF$150=AJ$1),0),$C181-1966)</f>
        <v>181291</v>
      </c>
      <c r="AK181" s="4" cm="1">
        <f t="array" ref="AK181">INDEX(GMW!$A$2:$NF$150,MATCH(1,(GMW!$NE$2:$NE$150=AK$3)*(GMW!$ND$2:$ND$150=AK$4)*(GMW!$NF$2:$NF$150=AK$1),0),$C181-1966)</f>
        <v>83151</v>
      </c>
      <c r="AL181" s="4" cm="1">
        <f t="array" ref="AL181">INDEX(GMW!$A$2:$NF$150,MATCH(1,(GMW!$NE$2:$NE$150=AL$3)*(GMW!$ND$2:$ND$150=AL$4)*(GMW!$NF$2:$NF$150=AL$1),0),$C181-1966)</f>
        <v>208250</v>
      </c>
      <c r="AM181" s="4" cm="1">
        <f t="array" ref="AM181">INDEX(GMW!$A$2:$NF$150,MATCH(1,(GMW!$NE$2:$NE$150=AM$3)*(GMW!$ND$2:$ND$150=AM$4)*(GMW!$NF$2:$NF$150=AM$1),0),$C181-1966)</f>
        <v>126354</v>
      </c>
      <c r="AN181" s="4" cm="1">
        <f t="array" ref="AN181">INDEX(GMW!$A$2:$NF$150,MATCH(1,(GMW!$NE$2:$NE$150=AN$3)*(GMW!$ND$2:$ND$150=AN$4)*(GMW!$NF$2:$NF$150=AN$1),0),$C181-1966)</f>
        <v>106846</v>
      </c>
      <c r="AO181" s="4" cm="1">
        <f t="array" ref="AO181">INDEX(GMW!$A$2:$NF$150,MATCH(1,(GMW!$NE$2:$NE$150=AO$3)*(GMW!$ND$2:$ND$150=AO$4)*(GMW!$NF$2:$NF$150=AO$1),0),$C181-1966)</f>
        <v>62975</v>
      </c>
      <c r="AP181" s="4" cm="1">
        <f t="array" ref="AP181">INDEX(GMW!$A$2:$NF$150,MATCH(1,(GMW!$NE$2:$NE$150=AP$3)*(GMW!$ND$2:$ND$150=AP$4)*(GMW!$NF$2:$NF$150=AP$1),0),$C181-1966)</f>
        <v>593632.6</v>
      </c>
      <c r="AQ181" s="4" cm="1">
        <f t="array" ref="AQ181">INDEX(GMW!$A$2:$NF$150,MATCH(1,(GMW!$NE$2:$NE$150=AQ$3)*(GMW!$ND$2:$ND$150=AQ$4)*(GMW!$NF$2:$NF$150=AQ$1),0),$C181-1966)</f>
        <v>31905.89</v>
      </c>
      <c r="AR181" s="4" cm="1">
        <f t="array" ref="AR181">INDEX(GMW!$A$2:$NF$150,MATCH(1,(GMW!$NE$2:$NE$150=AR$3)*(GMW!$ND$2:$ND$150=AR$4)*(GMW!$NF$2:$NF$150=AR$1),0),$C181-1966)</f>
        <v>32</v>
      </c>
      <c r="AS181" s="4" cm="1">
        <f t="array" ref="AS181">INDEX(GMW!$A$2:$NF$150,MATCH(1,(GMW!$NE$2:$NE$150=AS$3)*(GMW!$ND$2:$ND$150=AS$4)*(GMW!$NF$2:$NF$150=AS$1),0),$C181-1966)</f>
        <v>554462.69999999995</v>
      </c>
      <c r="AT181" s="4" cm="1">
        <f t="array" ref="AT181">INDEX(GMW!$A$2:$NF$150,MATCH(1,(GMW!$NE$2:$NE$150=AT$3)*(GMW!$ND$2:$ND$150=AT$4)*(GMW!$NF$2:$NF$150=AT$1),0),$C181-1966)</f>
        <v>42350.28</v>
      </c>
      <c r="AU181" s="4" cm="1">
        <f t="array" ref="AU181">INDEX(GMW!$A$2:$NF$150,MATCH(1,(GMW!$NE$2:$NE$150=AU$3)*(GMW!$ND$2:$ND$150=AU$4)*(GMW!$NF$2:$NF$150=AU$1),0),$C181-1966)</f>
        <v>2949250</v>
      </c>
      <c r="AV181" s="4" cm="1">
        <f t="array" ref="AV181">INDEX(GMW!$A$2:$NF$150,MATCH(1,(GMW!$NE$2:$NE$150=AV$3)*(GMW!$ND$2:$ND$150=AV$4)*(GMW!$NF$2:$NF$150=AV$1),0),$C181-1966)</f>
        <v>-1.682914</v>
      </c>
    </row>
    <row r="182" spans="1:48" x14ac:dyDescent="0.25">
      <c r="B182" s="4">
        <f t="shared" si="8"/>
        <v>2016</v>
      </c>
      <c r="C182" s="4">
        <f t="shared" si="9"/>
        <v>2148</v>
      </c>
      <c r="D182" s="4" cm="1">
        <f t="array" ref="D182">INDEX(GMW!$A$2:$NF$150,MATCH(1,(GMW!$NE$2:$NE$150=D$3)*(GMW!$ND$2:$ND$150=D$4)*(GMW!$NF$2:$NF$150=D$1),0),$C182-1966)</f>
        <v>589476</v>
      </c>
      <c r="E182" s="4" cm="1">
        <f t="array" ref="E182">INDEX(GMW!$A$2:$NF$150,MATCH(1,(GMW!$NE$2:$NE$150=E$3)*(GMW!$ND$2:$ND$150=E$4)*(GMW!$NF$2:$NF$150=E$1),0),$C182-1966)</f>
        <v>101.5</v>
      </c>
      <c r="F182" s="4" cm="1">
        <f t="array" ref="F182">INDEX(GMW!$A$2:$NF$150,MATCH(1,(GMW!$NE$2:$NE$150=F$3)*(GMW!$ND$2:$ND$150=F$4)*(GMW!$NF$2:$NF$150=F$1),0),$C182-1966)</f>
        <v>188453</v>
      </c>
      <c r="G182" s="4" cm="1">
        <f t="array" ref="G182">INDEX(GMW!$A$2:$NF$150,MATCH(1,(GMW!$NE$2:$NE$150=G$3)*(GMW!$ND$2:$ND$150=G$4)*(GMW!$NF$2:$NF$150=G$1),0),$C182-1966)</f>
        <v>86737</v>
      </c>
      <c r="H182" s="4" cm="1">
        <f t="array" ref="H182">INDEX(GMW!$A$2:$NF$150,MATCH(1,(GMW!$NE$2:$NE$150=H$3)*(GMW!$ND$2:$ND$150=H$4)*(GMW!$NF$2:$NF$150=H$1),0),$C182-1966)</f>
        <v>203353</v>
      </c>
      <c r="I182" s="4" cm="1">
        <f t="array" ref="I182">INDEX(GMW!$A$2:$NF$150,MATCH(1,(GMW!$NE$2:$NE$150=I$3)*(GMW!$ND$2:$ND$150=I$4)*(GMW!$NF$2:$NF$150=I$1),0),$C182-1966)</f>
        <v>121164</v>
      </c>
      <c r="J182" s="4" cm="1">
        <f t="array" ref="J182">INDEX(GMW!$A$2:$NF$150,MATCH(1,(GMW!$NE$2:$NE$150=J$3)*(GMW!$ND$2:$ND$150=J$4)*(GMW!$NF$2:$NF$150=J$1),0),$C182-1966)</f>
        <v>105866</v>
      </c>
      <c r="K182" s="4" cm="1">
        <f t="array" ref="K182">INDEX(GMW!$A$2:$NF$150,MATCH(1,(GMW!$NE$2:$NE$150=K$3)*(GMW!$ND$2:$ND$150=K$4)*(GMW!$NF$2:$NF$150=K$1),0),$C182-1966)</f>
        <v>60645</v>
      </c>
      <c r="L182" s="4" cm="1">
        <f t="array" ref="L182">INDEX(GMW!$A$2:$NF$150,MATCH(1,(GMW!$NE$2:$NE$150=L$3)*(GMW!$ND$2:$ND$150=L$4)*(GMW!$NF$2:$NF$150=L$1),0),$C182-1966)</f>
        <v>596720.30000000005</v>
      </c>
      <c r="M182" s="4" cm="1">
        <f t="array" ref="M182">INDEX(GMW!$A$2:$NF$150,MATCH(1,(GMW!$NE$2:$NE$150=M$3)*(GMW!$ND$2:$ND$150=M$4)*(GMW!$NF$2:$NF$150=M$1),0),$C182-1966)</f>
        <v>31926.45</v>
      </c>
      <c r="N182" s="4" cm="1">
        <f t="array" ref="N182">INDEX(GMW!$A$2:$NF$150,MATCH(1,(GMW!$NE$2:$NE$150=N$3)*(GMW!$ND$2:$ND$150=N$4)*(GMW!$NF$2:$NF$150=N$1),0),$C182-1966)</f>
        <v>32.1</v>
      </c>
      <c r="O182" s="4" cm="1">
        <f t="array" ref="O182">INDEX(GMW!$A$2:$NF$150,MATCH(1,(GMW!$NE$2:$NE$150=O$3)*(GMW!$ND$2:$ND$150=O$4)*(GMW!$NF$2:$NF$150=O$1),0),$C182-1966)</f>
        <v>555943.9</v>
      </c>
      <c r="P182" s="4" cm="1">
        <f t="array" ref="P182">INDEX(GMW!$A$2:$NF$150,MATCH(1,(GMW!$NE$2:$NE$150=P$3)*(GMW!$ND$2:$ND$150=P$4)*(GMW!$NF$2:$NF$150=P$1),0),$C182-1966)</f>
        <v>42385.43</v>
      </c>
      <c r="Q182" s="4" cm="1">
        <f t="array" ref="Q182">INDEX(GMW!$A$2:$NF$150,MATCH(1,(GMW!$NE$2:$NE$150=Q$3)*(GMW!$ND$2:$ND$150=Q$4)*(GMW!$NF$2:$NF$150=Q$1),0),$C182-1966)</f>
        <v>2968000</v>
      </c>
      <c r="R182" s="4" cm="1">
        <f t="array" ref="R182">INDEX(GMW!$A$2:$NF$150,MATCH(1,(GMW!$NE$2:$NE$150=R$3)*(GMW!$ND$2:$ND$150=R$4)*(GMW!$NF$2:$NF$150=R$1),0),$C182-1966)</f>
        <v>-1.682957</v>
      </c>
      <c r="S182" s="4" cm="1">
        <f t="array" ref="S182">INDEX(GMW!$A$2:$NF$150,MATCH(1,(GMW!$NE$2:$NE$150=S$3)*(GMW!$ND$2:$ND$150=S$4)*(GMW!$NF$2:$NF$150=S$1),0),$C182-1966)</f>
        <v>589476</v>
      </c>
      <c r="T182" s="4" cm="1">
        <f t="array" ref="T182">INDEX(GMW!$A$2:$NF$150,MATCH(1,(GMW!$NE$2:$NE$150=T$3)*(GMW!$ND$2:$ND$150=T$4)*(GMW!$NF$2:$NF$150=T$1),0),$C182-1966)</f>
        <v>101.5</v>
      </c>
      <c r="U182" s="4" cm="1">
        <f t="array" ref="U182">INDEX(GMW!$A$2:$NF$150,MATCH(1,(GMW!$NE$2:$NE$150=U$3)*(GMW!$ND$2:$ND$150=U$4)*(GMW!$NF$2:$NF$150=U$1),0),$C182-1966)</f>
        <v>188453</v>
      </c>
      <c r="V182" s="4" cm="1">
        <f t="array" ref="V182">INDEX(GMW!$A$2:$NF$150,MATCH(1,(GMW!$NE$2:$NE$150=V$3)*(GMW!$ND$2:$ND$150=V$4)*(GMW!$NF$2:$NF$150=V$1),0),$C182-1966)</f>
        <v>86737</v>
      </c>
      <c r="W182" s="4" cm="1">
        <f t="array" ref="W182">INDEX(GMW!$A$2:$NF$150,MATCH(1,(GMW!$NE$2:$NE$150=W$3)*(GMW!$ND$2:$ND$150=W$4)*(GMW!$NF$2:$NF$150=W$1),0),$C182-1966)</f>
        <v>203353</v>
      </c>
      <c r="X182" s="4" cm="1">
        <f t="array" ref="X182">INDEX(GMW!$A$2:$NF$150,MATCH(1,(GMW!$NE$2:$NE$150=X$3)*(GMW!$ND$2:$ND$150=X$4)*(GMW!$NF$2:$NF$150=X$1),0),$C182-1966)</f>
        <v>121164</v>
      </c>
      <c r="Y182" s="4" cm="1">
        <f t="array" ref="Y182">INDEX(GMW!$A$2:$NF$150,MATCH(1,(GMW!$NE$2:$NE$150=Y$3)*(GMW!$ND$2:$ND$150=Y$4)*(GMW!$NF$2:$NF$150=Y$1),0),$C182-1966)</f>
        <v>105866</v>
      </c>
      <c r="Z182" s="4" cm="1">
        <f t="array" ref="Z182">INDEX(GMW!$A$2:$NF$150,MATCH(1,(GMW!$NE$2:$NE$150=Z$3)*(GMW!$ND$2:$ND$150=Z$4)*(GMW!$NF$2:$NF$150=Z$1),0),$C182-1966)</f>
        <v>60645</v>
      </c>
      <c r="AA182" s="4" cm="1">
        <f t="array" ref="AA182">INDEX(GMW!$A$2:$NF$150,MATCH(1,(GMW!$NE$2:$NE$150=AA$3)*(GMW!$ND$2:$ND$150=AA$4)*(GMW!$NF$2:$NF$150=AA$1),0),$C182-1966)</f>
        <v>596720.30000000005</v>
      </c>
      <c r="AB182" s="4" cm="1">
        <f t="array" ref="AB182">INDEX(GMW!$A$2:$NF$150,MATCH(1,(GMW!$NE$2:$NE$150=AB$3)*(GMW!$ND$2:$ND$150=AB$4)*(GMW!$NF$2:$NF$150=AB$1),0),$C182-1966)</f>
        <v>31926.45</v>
      </c>
      <c r="AC182" s="4" cm="1">
        <f t="array" ref="AC182">INDEX(GMW!$A$2:$NF$150,MATCH(1,(GMW!$NE$2:$NE$150=AC$3)*(GMW!$ND$2:$ND$150=AC$4)*(GMW!$NF$2:$NF$150=AC$1),0),$C182-1966)</f>
        <v>32.1</v>
      </c>
      <c r="AD182" s="4" cm="1">
        <f t="array" ref="AD182">INDEX(GMW!$A$2:$NF$150,MATCH(1,(GMW!$NE$2:$NE$150=AD$3)*(GMW!$ND$2:$ND$150=AD$4)*(GMW!$NF$2:$NF$150=AD$1),0),$C182-1966)</f>
        <v>555943.9</v>
      </c>
      <c r="AE182" s="4" cm="1">
        <f t="array" ref="AE182">INDEX(GMW!$A$2:$NF$150,MATCH(1,(GMW!$NE$2:$NE$150=AE$3)*(GMW!$ND$2:$ND$150=AE$4)*(GMW!$NF$2:$NF$150=AE$1),0),$C182-1966)</f>
        <v>42385.43</v>
      </c>
      <c r="AF182" s="4" cm="1">
        <f t="array" ref="AF182">INDEX(GMW!$A$2:$NF$150,MATCH(1,(GMW!$NE$2:$NE$150=AF$3)*(GMW!$ND$2:$ND$150=AF$4)*(GMW!$NF$2:$NF$150=AF$1),0),$C182-1966)</f>
        <v>2968000</v>
      </c>
      <c r="AG182" s="4" cm="1">
        <f t="array" ref="AG182">INDEX(GMW!$A$2:$NF$150,MATCH(1,(GMW!$NE$2:$NE$150=AG$3)*(GMW!$ND$2:$ND$150=AG$4)*(GMW!$NF$2:$NF$150=AG$1),0),$C182-1966)</f>
        <v>-1.682957</v>
      </c>
      <c r="AH182" s="4" cm="1">
        <f t="array" ref="AH182">INDEX(GMW!$A$2:$NF$150,MATCH(1,(GMW!$NE$2:$NE$150=AH$3)*(GMW!$ND$2:$ND$150=AH$4)*(GMW!$NF$2:$NF$150=AH$1),0),$C182-1966)</f>
        <v>589476</v>
      </c>
      <c r="AI182" s="4" cm="1">
        <f t="array" ref="AI182">INDEX(GMW!$A$2:$NF$150,MATCH(1,(GMW!$NE$2:$NE$150=AI$3)*(GMW!$ND$2:$ND$150=AI$4)*(GMW!$NF$2:$NF$150=AI$1),0),$C182-1966)</f>
        <v>101.5</v>
      </c>
      <c r="AJ182" s="4" cm="1">
        <f t="array" ref="AJ182">INDEX(GMW!$A$2:$NF$150,MATCH(1,(GMW!$NE$2:$NE$150=AJ$3)*(GMW!$ND$2:$ND$150=AJ$4)*(GMW!$NF$2:$NF$150=AJ$1),0),$C182-1966)</f>
        <v>188453</v>
      </c>
      <c r="AK182" s="4" cm="1">
        <f t="array" ref="AK182">INDEX(GMW!$A$2:$NF$150,MATCH(1,(GMW!$NE$2:$NE$150=AK$3)*(GMW!$ND$2:$ND$150=AK$4)*(GMW!$NF$2:$NF$150=AK$1),0),$C182-1966)</f>
        <v>86737</v>
      </c>
      <c r="AL182" s="4" cm="1">
        <f t="array" ref="AL182">INDEX(GMW!$A$2:$NF$150,MATCH(1,(GMW!$NE$2:$NE$150=AL$3)*(GMW!$ND$2:$ND$150=AL$4)*(GMW!$NF$2:$NF$150=AL$1),0),$C182-1966)</f>
        <v>203353</v>
      </c>
      <c r="AM182" s="4" cm="1">
        <f t="array" ref="AM182">INDEX(GMW!$A$2:$NF$150,MATCH(1,(GMW!$NE$2:$NE$150=AM$3)*(GMW!$ND$2:$ND$150=AM$4)*(GMW!$NF$2:$NF$150=AM$1),0),$C182-1966)</f>
        <v>121164</v>
      </c>
      <c r="AN182" s="4" cm="1">
        <f t="array" ref="AN182">INDEX(GMW!$A$2:$NF$150,MATCH(1,(GMW!$NE$2:$NE$150=AN$3)*(GMW!$ND$2:$ND$150=AN$4)*(GMW!$NF$2:$NF$150=AN$1),0),$C182-1966)</f>
        <v>105866</v>
      </c>
      <c r="AO182" s="4" cm="1">
        <f t="array" ref="AO182">INDEX(GMW!$A$2:$NF$150,MATCH(1,(GMW!$NE$2:$NE$150=AO$3)*(GMW!$ND$2:$ND$150=AO$4)*(GMW!$NF$2:$NF$150=AO$1),0),$C182-1966)</f>
        <v>60645</v>
      </c>
      <c r="AP182" s="4" cm="1">
        <f t="array" ref="AP182">INDEX(GMW!$A$2:$NF$150,MATCH(1,(GMW!$NE$2:$NE$150=AP$3)*(GMW!$ND$2:$ND$150=AP$4)*(GMW!$NF$2:$NF$150=AP$1),0),$C182-1966)</f>
        <v>596720.30000000005</v>
      </c>
      <c r="AQ182" s="4" cm="1">
        <f t="array" ref="AQ182">INDEX(GMW!$A$2:$NF$150,MATCH(1,(GMW!$NE$2:$NE$150=AQ$3)*(GMW!$ND$2:$ND$150=AQ$4)*(GMW!$NF$2:$NF$150=AQ$1),0),$C182-1966)</f>
        <v>31926.45</v>
      </c>
      <c r="AR182" s="4" cm="1">
        <f t="array" ref="AR182">INDEX(GMW!$A$2:$NF$150,MATCH(1,(GMW!$NE$2:$NE$150=AR$3)*(GMW!$ND$2:$ND$150=AR$4)*(GMW!$NF$2:$NF$150=AR$1),0),$C182-1966)</f>
        <v>32.1</v>
      </c>
      <c r="AS182" s="4" cm="1">
        <f t="array" ref="AS182">INDEX(GMW!$A$2:$NF$150,MATCH(1,(GMW!$NE$2:$NE$150=AS$3)*(GMW!$ND$2:$ND$150=AS$4)*(GMW!$NF$2:$NF$150=AS$1),0),$C182-1966)</f>
        <v>555943.9</v>
      </c>
      <c r="AT182" s="4" cm="1">
        <f t="array" ref="AT182">INDEX(GMW!$A$2:$NF$150,MATCH(1,(GMW!$NE$2:$NE$150=AT$3)*(GMW!$ND$2:$ND$150=AT$4)*(GMW!$NF$2:$NF$150=AT$1),0),$C182-1966)</f>
        <v>42385.43</v>
      </c>
      <c r="AU182" s="4" cm="1">
        <f t="array" ref="AU182">INDEX(GMW!$A$2:$NF$150,MATCH(1,(GMW!$NE$2:$NE$150=AU$3)*(GMW!$ND$2:$ND$150=AU$4)*(GMW!$NF$2:$NF$150=AU$1),0),$C182-1966)</f>
        <v>2968000</v>
      </c>
      <c r="AV182" s="4" cm="1">
        <f t="array" ref="AV182">INDEX(GMW!$A$2:$NF$150,MATCH(1,(GMW!$NE$2:$NE$150=AV$3)*(GMW!$ND$2:$ND$150=AV$4)*(GMW!$NF$2:$NF$150=AV$1),0),$C182-1966)</f>
        <v>-1.682957</v>
      </c>
    </row>
    <row r="183" spans="1:48" x14ac:dyDescent="0.25">
      <c r="A183" s="4">
        <v>2017</v>
      </c>
      <c r="B183" s="4">
        <f t="shared" si="8"/>
        <v>2017</v>
      </c>
      <c r="C183" s="4">
        <f t="shared" si="9"/>
        <v>2149</v>
      </c>
      <c r="D183" s="4" cm="1">
        <f t="array" ref="D183">INDEX(GMW!$A$2:$NF$150,MATCH(1,(GMW!$NE$2:$NE$150=D$3)*(GMW!$ND$2:$ND$150=D$4)*(GMW!$NF$2:$NF$150=D$1),0),$C183-1966)</f>
        <v>594423</v>
      </c>
      <c r="E183" s="4" cm="1">
        <f t="array" ref="E183">INDEX(GMW!$A$2:$NF$150,MATCH(1,(GMW!$NE$2:$NE$150=E$3)*(GMW!$ND$2:$ND$150=E$4)*(GMW!$NF$2:$NF$150=E$1),0),$C183-1966)</f>
        <v>102</v>
      </c>
      <c r="F183" s="4" cm="1">
        <f t="array" ref="F183">INDEX(GMW!$A$2:$NF$150,MATCH(1,(GMW!$NE$2:$NE$150=F$3)*(GMW!$ND$2:$ND$150=F$4)*(GMW!$NF$2:$NF$150=F$1),0),$C183-1966)</f>
        <v>191572</v>
      </c>
      <c r="G183" s="4" cm="1">
        <f t="array" ref="G183">INDEX(GMW!$A$2:$NF$150,MATCH(1,(GMW!$NE$2:$NE$150=G$3)*(GMW!$ND$2:$ND$150=G$4)*(GMW!$NF$2:$NF$150=G$1),0),$C183-1966)</f>
        <v>86199</v>
      </c>
      <c r="H183" s="4" cm="1">
        <f t="array" ref="H183">INDEX(GMW!$A$2:$NF$150,MATCH(1,(GMW!$NE$2:$NE$150=H$3)*(GMW!$ND$2:$ND$150=H$4)*(GMW!$NF$2:$NF$150=H$1),0),$C183-1966)</f>
        <v>205761</v>
      </c>
      <c r="I183" s="4" cm="1">
        <f t="array" ref="I183">INDEX(GMW!$A$2:$NF$150,MATCH(1,(GMW!$NE$2:$NE$150=I$3)*(GMW!$ND$2:$ND$150=I$4)*(GMW!$NF$2:$NF$150=I$1),0),$C183-1966)</f>
        <v>121544</v>
      </c>
      <c r="J183" s="4" cm="1">
        <f t="array" ref="J183">INDEX(GMW!$A$2:$NF$150,MATCH(1,(GMW!$NE$2:$NE$150=J$3)*(GMW!$ND$2:$ND$150=J$4)*(GMW!$NF$2:$NF$150=J$1),0),$C183-1966)</f>
        <v>107659</v>
      </c>
      <c r="K183" s="4" cm="1">
        <f t="array" ref="K183">INDEX(GMW!$A$2:$NF$150,MATCH(1,(GMW!$NE$2:$NE$150=K$3)*(GMW!$ND$2:$ND$150=K$4)*(GMW!$NF$2:$NF$150=K$1),0),$C183-1966)</f>
        <v>62040</v>
      </c>
      <c r="L183" s="4" cm="1">
        <f t="array" ref="L183">INDEX(GMW!$A$2:$NF$150,MATCH(1,(GMW!$NE$2:$NE$150=L$3)*(GMW!$ND$2:$ND$150=L$4)*(GMW!$NF$2:$NF$150=L$1),0),$C183-1966)</f>
        <v>600298.30000000005</v>
      </c>
      <c r="M183" s="4" cm="1">
        <f t="array" ref="M183">INDEX(GMW!$A$2:$NF$150,MATCH(1,(GMW!$NE$2:$NE$150=M$3)*(GMW!$ND$2:$ND$150=M$4)*(GMW!$NF$2:$NF$150=M$1),0),$C183-1966)</f>
        <v>31987.06</v>
      </c>
      <c r="N183" s="4" cm="1">
        <f t="array" ref="N183">INDEX(GMW!$A$2:$NF$150,MATCH(1,(GMW!$NE$2:$NE$150=N$3)*(GMW!$ND$2:$ND$150=N$4)*(GMW!$NF$2:$NF$150=N$1),0),$C183-1966)</f>
        <v>32.200000000000003</v>
      </c>
      <c r="O183" s="4" cm="1">
        <f t="array" ref="O183">INDEX(GMW!$A$2:$NF$150,MATCH(1,(GMW!$NE$2:$NE$150=O$3)*(GMW!$ND$2:$ND$150=O$4)*(GMW!$NF$2:$NF$150=O$1),0),$C183-1966)</f>
        <v>557423</v>
      </c>
      <c r="P183" s="4" cm="1">
        <f t="array" ref="P183">INDEX(GMW!$A$2:$NF$150,MATCH(1,(GMW!$NE$2:$NE$150=P$3)*(GMW!$ND$2:$ND$150=P$4)*(GMW!$NF$2:$NF$150=P$1),0),$C183-1966)</f>
        <v>42420.58</v>
      </c>
      <c r="Q183" s="4" cm="1">
        <f t="array" ref="Q183">INDEX(GMW!$A$2:$NF$150,MATCH(1,(GMW!$NE$2:$NE$150=Q$3)*(GMW!$ND$2:$ND$150=Q$4)*(GMW!$NF$2:$NF$150=Q$1),0),$C183-1966)</f>
        <v>2985500</v>
      </c>
      <c r="R183" s="4" cm="1">
        <f t="array" ref="R183">INDEX(GMW!$A$2:$NF$150,MATCH(1,(GMW!$NE$2:$NE$150=R$3)*(GMW!$ND$2:$ND$150=R$4)*(GMW!$NF$2:$NF$150=R$1),0),$C183-1966)</f>
        <v>-1.6829989999999999</v>
      </c>
      <c r="S183" s="4" cm="1">
        <f t="array" ref="S183">INDEX(GMW!$A$2:$NF$150,MATCH(1,(GMW!$NE$2:$NE$150=S$3)*(GMW!$ND$2:$ND$150=S$4)*(GMW!$NF$2:$NF$150=S$1),0),$C183-1966)</f>
        <v>594423</v>
      </c>
      <c r="T183" s="4" cm="1">
        <f t="array" ref="T183">INDEX(GMW!$A$2:$NF$150,MATCH(1,(GMW!$NE$2:$NE$150=T$3)*(GMW!$ND$2:$ND$150=T$4)*(GMW!$NF$2:$NF$150=T$1),0),$C183-1966)</f>
        <v>102</v>
      </c>
      <c r="U183" s="4" cm="1">
        <f t="array" ref="U183">INDEX(GMW!$A$2:$NF$150,MATCH(1,(GMW!$NE$2:$NE$150=U$3)*(GMW!$ND$2:$ND$150=U$4)*(GMW!$NF$2:$NF$150=U$1),0),$C183-1966)</f>
        <v>191572</v>
      </c>
      <c r="V183" s="4" cm="1">
        <f t="array" ref="V183">INDEX(GMW!$A$2:$NF$150,MATCH(1,(GMW!$NE$2:$NE$150=V$3)*(GMW!$ND$2:$ND$150=V$4)*(GMW!$NF$2:$NF$150=V$1),0),$C183-1966)</f>
        <v>86199</v>
      </c>
      <c r="W183" s="4" cm="1">
        <f t="array" ref="W183">INDEX(GMW!$A$2:$NF$150,MATCH(1,(GMW!$NE$2:$NE$150=W$3)*(GMW!$ND$2:$ND$150=W$4)*(GMW!$NF$2:$NF$150=W$1),0),$C183-1966)</f>
        <v>205761</v>
      </c>
      <c r="X183" s="4" cm="1">
        <f t="array" ref="X183">INDEX(GMW!$A$2:$NF$150,MATCH(1,(GMW!$NE$2:$NE$150=X$3)*(GMW!$ND$2:$ND$150=X$4)*(GMW!$NF$2:$NF$150=X$1),0),$C183-1966)</f>
        <v>121544</v>
      </c>
      <c r="Y183" s="4" cm="1">
        <f t="array" ref="Y183">INDEX(GMW!$A$2:$NF$150,MATCH(1,(GMW!$NE$2:$NE$150=Y$3)*(GMW!$ND$2:$ND$150=Y$4)*(GMW!$NF$2:$NF$150=Y$1),0),$C183-1966)</f>
        <v>107659</v>
      </c>
      <c r="Z183" s="4" cm="1">
        <f t="array" ref="Z183">INDEX(GMW!$A$2:$NF$150,MATCH(1,(GMW!$NE$2:$NE$150=Z$3)*(GMW!$ND$2:$ND$150=Z$4)*(GMW!$NF$2:$NF$150=Z$1),0),$C183-1966)</f>
        <v>62040</v>
      </c>
      <c r="AA183" s="4" cm="1">
        <f t="array" ref="AA183">INDEX(GMW!$A$2:$NF$150,MATCH(1,(GMW!$NE$2:$NE$150=AA$3)*(GMW!$ND$2:$ND$150=AA$4)*(GMW!$NF$2:$NF$150=AA$1),0),$C183-1966)</f>
        <v>600298.30000000005</v>
      </c>
      <c r="AB183" s="4" cm="1">
        <f t="array" ref="AB183">INDEX(GMW!$A$2:$NF$150,MATCH(1,(GMW!$NE$2:$NE$150=AB$3)*(GMW!$ND$2:$ND$150=AB$4)*(GMW!$NF$2:$NF$150=AB$1),0),$C183-1966)</f>
        <v>31987.06</v>
      </c>
      <c r="AC183" s="4" cm="1">
        <f t="array" ref="AC183">INDEX(GMW!$A$2:$NF$150,MATCH(1,(GMW!$NE$2:$NE$150=AC$3)*(GMW!$ND$2:$ND$150=AC$4)*(GMW!$NF$2:$NF$150=AC$1),0),$C183-1966)</f>
        <v>32.200000000000003</v>
      </c>
      <c r="AD183" s="4" cm="1">
        <f t="array" ref="AD183">INDEX(GMW!$A$2:$NF$150,MATCH(1,(GMW!$NE$2:$NE$150=AD$3)*(GMW!$ND$2:$ND$150=AD$4)*(GMW!$NF$2:$NF$150=AD$1),0),$C183-1966)</f>
        <v>557423</v>
      </c>
      <c r="AE183" s="4" cm="1">
        <f t="array" ref="AE183">INDEX(GMW!$A$2:$NF$150,MATCH(1,(GMW!$NE$2:$NE$150=AE$3)*(GMW!$ND$2:$ND$150=AE$4)*(GMW!$NF$2:$NF$150=AE$1),0),$C183-1966)</f>
        <v>42420.58</v>
      </c>
      <c r="AF183" s="4" cm="1">
        <f t="array" ref="AF183">INDEX(GMW!$A$2:$NF$150,MATCH(1,(GMW!$NE$2:$NE$150=AF$3)*(GMW!$ND$2:$ND$150=AF$4)*(GMW!$NF$2:$NF$150=AF$1),0),$C183-1966)</f>
        <v>2985500</v>
      </c>
      <c r="AG183" s="4" cm="1">
        <f t="array" ref="AG183">INDEX(GMW!$A$2:$NF$150,MATCH(1,(GMW!$NE$2:$NE$150=AG$3)*(GMW!$ND$2:$ND$150=AG$4)*(GMW!$NF$2:$NF$150=AG$1),0),$C183-1966)</f>
        <v>-1.6829989999999999</v>
      </c>
      <c r="AH183" s="4" cm="1">
        <f t="array" ref="AH183">INDEX(GMW!$A$2:$NF$150,MATCH(1,(GMW!$NE$2:$NE$150=AH$3)*(GMW!$ND$2:$ND$150=AH$4)*(GMW!$NF$2:$NF$150=AH$1),0),$C183-1966)</f>
        <v>594423</v>
      </c>
      <c r="AI183" s="4" cm="1">
        <f t="array" ref="AI183">INDEX(GMW!$A$2:$NF$150,MATCH(1,(GMW!$NE$2:$NE$150=AI$3)*(GMW!$ND$2:$ND$150=AI$4)*(GMW!$NF$2:$NF$150=AI$1),0),$C183-1966)</f>
        <v>102</v>
      </c>
      <c r="AJ183" s="4" cm="1">
        <f t="array" ref="AJ183">INDEX(GMW!$A$2:$NF$150,MATCH(1,(GMW!$NE$2:$NE$150=AJ$3)*(GMW!$ND$2:$ND$150=AJ$4)*(GMW!$NF$2:$NF$150=AJ$1),0),$C183-1966)</f>
        <v>191572</v>
      </c>
      <c r="AK183" s="4" cm="1">
        <f t="array" ref="AK183">INDEX(GMW!$A$2:$NF$150,MATCH(1,(GMW!$NE$2:$NE$150=AK$3)*(GMW!$ND$2:$ND$150=AK$4)*(GMW!$NF$2:$NF$150=AK$1),0),$C183-1966)</f>
        <v>86199</v>
      </c>
      <c r="AL183" s="4" cm="1">
        <f t="array" ref="AL183">INDEX(GMW!$A$2:$NF$150,MATCH(1,(GMW!$NE$2:$NE$150=AL$3)*(GMW!$ND$2:$ND$150=AL$4)*(GMW!$NF$2:$NF$150=AL$1),0),$C183-1966)</f>
        <v>205761</v>
      </c>
      <c r="AM183" s="4" cm="1">
        <f t="array" ref="AM183">INDEX(GMW!$A$2:$NF$150,MATCH(1,(GMW!$NE$2:$NE$150=AM$3)*(GMW!$ND$2:$ND$150=AM$4)*(GMW!$NF$2:$NF$150=AM$1),0),$C183-1966)</f>
        <v>121544</v>
      </c>
      <c r="AN183" s="4" cm="1">
        <f t="array" ref="AN183">INDEX(GMW!$A$2:$NF$150,MATCH(1,(GMW!$NE$2:$NE$150=AN$3)*(GMW!$ND$2:$ND$150=AN$4)*(GMW!$NF$2:$NF$150=AN$1),0),$C183-1966)</f>
        <v>107659</v>
      </c>
      <c r="AO183" s="4" cm="1">
        <f t="array" ref="AO183">INDEX(GMW!$A$2:$NF$150,MATCH(1,(GMW!$NE$2:$NE$150=AO$3)*(GMW!$ND$2:$ND$150=AO$4)*(GMW!$NF$2:$NF$150=AO$1),0),$C183-1966)</f>
        <v>62040</v>
      </c>
      <c r="AP183" s="4" cm="1">
        <f t="array" ref="AP183">INDEX(GMW!$A$2:$NF$150,MATCH(1,(GMW!$NE$2:$NE$150=AP$3)*(GMW!$ND$2:$ND$150=AP$4)*(GMW!$NF$2:$NF$150=AP$1),0),$C183-1966)</f>
        <v>600298.30000000005</v>
      </c>
      <c r="AQ183" s="4" cm="1">
        <f t="array" ref="AQ183">INDEX(GMW!$A$2:$NF$150,MATCH(1,(GMW!$NE$2:$NE$150=AQ$3)*(GMW!$ND$2:$ND$150=AQ$4)*(GMW!$NF$2:$NF$150=AQ$1),0),$C183-1966)</f>
        <v>31987.06</v>
      </c>
      <c r="AR183" s="4" cm="1">
        <f t="array" ref="AR183">INDEX(GMW!$A$2:$NF$150,MATCH(1,(GMW!$NE$2:$NE$150=AR$3)*(GMW!$ND$2:$ND$150=AR$4)*(GMW!$NF$2:$NF$150=AR$1),0),$C183-1966)</f>
        <v>32.200000000000003</v>
      </c>
      <c r="AS183" s="4" cm="1">
        <f t="array" ref="AS183">INDEX(GMW!$A$2:$NF$150,MATCH(1,(GMW!$NE$2:$NE$150=AS$3)*(GMW!$ND$2:$ND$150=AS$4)*(GMW!$NF$2:$NF$150=AS$1),0),$C183-1966)</f>
        <v>557423</v>
      </c>
      <c r="AT183" s="4" cm="1">
        <f t="array" ref="AT183">INDEX(GMW!$A$2:$NF$150,MATCH(1,(GMW!$NE$2:$NE$150=AT$3)*(GMW!$ND$2:$ND$150=AT$4)*(GMW!$NF$2:$NF$150=AT$1),0),$C183-1966)</f>
        <v>42420.58</v>
      </c>
      <c r="AU183" s="4" cm="1">
        <f t="array" ref="AU183">INDEX(GMW!$A$2:$NF$150,MATCH(1,(GMW!$NE$2:$NE$150=AU$3)*(GMW!$ND$2:$ND$150=AU$4)*(GMW!$NF$2:$NF$150=AU$1),0),$C183-1966)</f>
        <v>2985500</v>
      </c>
      <c r="AV183" s="4" cm="1">
        <f t="array" ref="AV183">INDEX(GMW!$A$2:$NF$150,MATCH(1,(GMW!$NE$2:$NE$150=AV$3)*(GMW!$ND$2:$ND$150=AV$4)*(GMW!$NF$2:$NF$150=AV$1),0),$C183-1966)</f>
        <v>-1.6829989999999999</v>
      </c>
    </row>
    <row r="184" spans="1:48" x14ac:dyDescent="0.25">
      <c r="B184" s="4">
        <f t="shared" si="8"/>
        <v>2017</v>
      </c>
      <c r="C184" s="4">
        <f t="shared" si="9"/>
        <v>2150</v>
      </c>
      <c r="D184" s="4" cm="1">
        <f t="array" ref="D184">INDEX(GMW!$A$2:$NF$150,MATCH(1,(GMW!$NE$2:$NE$150=D$3)*(GMW!$ND$2:$ND$150=D$4)*(GMW!$NF$2:$NF$150=D$1),0),$C184-1966)</f>
        <v>598176</v>
      </c>
      <c r="E184" s="4" cm="1">
        <f t="array" ref="E184">INDEX(GMW!$A$2:$NF$150,MATCH(1,(GMW!$NE$2:$NE$150=E$3)*(GMW!$ND$2:$ND$150=E$4)*(GMW!$NF$2:$NF$150=E$1),0),$C184-1966)</f>
        <v>103.16670000000001</v>
      </c>
      <c r="F184" s="4" cm="1">
        <f t="array" ref="F184">INDEX(GMW!$A$2:$NF$150,MATCH(1,(GMW!$NE$2:$NE$150=F$3)*(GMW!$ND$2:$ND$150=F$4)*(GMW!$NF$2:$NF$150=F$1),0),$C184-1966)</f>
        <v>196710</v>
      </c>
      <c r="G184" s="4" cm="1">
        <f t="array" ref="G184">INDEX(GMW!$A$2:$NF$150,MATCH(1,(GMW!$NE$2:$NE$150=G$3)*(GMW!$ND$2:$ND$150=G$4)*(GMW!$NF$2:$NF$150=G$1),0),$C184-1966)</f>
        <v>86884</v>
      </c>
      <c r="H184" s="4" cm="1">
        <f t="array" ref="H184">INDEX(GMW!$A$2:$NF$150,MATCH(1,(GMW!$NE$2:$NE$150=H$3)*(GMW!$ND$2:$ND$150=H$4)*(GMW!$NF$2:$NF$150=H$1),0),$C184-1966)</f>
        <v>211268</v>
      </c>
      <c r="I184" s="4" cm="1">
        <f t="array" ref="I184">INDEX(GMW!$A$2:$NF$150,MATCH(1,(GMW!$NE$2:$NE$150=I$3)*(GMW!$ND$2:$ND$150=I$4)*(GMW!$NF$2:$NF$150=I$1),0),$C184-1966)</f>
        <v>126552</v>
      </c>
      <c r="J184" s="4" cm="1">
        <f t="array" ref="J184">INDEX(GMW!$A$2:$NF$150,MATCH(1,(GMW!$NE$2:$NE$150=J$3)*(GMW!$ND$2:$ND$150=J$4)*(GMW!$NF$2:$NF$150=J$1),0),$C184-1966)</f>
        <v>108992</v>
      </c>
      <c r="K184" s="4" cm="1">
        <f t="array" ref="K184">INDEX(GMW!$A$2:$NF$150,MATCH(1,(GMW!$NE$2:$NE$150=K$3)*(GMW!$ND$2:$ND$150=K$4)*(GMW!$NF$2:$NF$150=K$1),0),$C184-1966)</f>
        <v>61730</v>
      </c>
      <c r="L184" s="4" cm="1">
        <f t="array" ref="L184">INDEX(GMW!$A$2:$NF$150,MATCH(1,(GMW!$NE$2:$NE$150=L$3)*(GMW!$ND$2:$ND$150=L$4)*(GMW!$NF$2:$NF$150=L$1),0),$C184-1966)</f>
        <v>604180</v>
      </c>
      <c r="M184" s="4" cm="1">
        <f t="array" ref="M184">INDEX(GMW!$A$2:$NF$150,MATCH(1,(GMW!$NE$2:$NE$150=M$3)*(GMW!$ND$2:$ND$150=M$4)*(GMW!$NF$2:$NF$150=M$1),0),$C184-1966)</f>
        <v>32079.200000000001</v>
      </c>
      <c r="N184" s="4" cm="1">
        <f t="array" ref="N184">INDEX(GMW!$A$2:$NF$150,MATCH(1,(GMW!$NE$2:$NE$150=N$3)*(GMW!$ND$2:$ND$150=N$4)*(GMW!$NF$2:$NF$150=N$1),0),$C184-1966)</f>
        <v>32.299999999999997</v>
      </c>
      <c r="O184" s="4" cm="1">
        <f t="array" ref="O184">INDEX(GMW!$A$2:$NF$150,MATCH(1,(GMW!$NE$2:$NE$150=O$3)*(GMW!$ND$2:$ND$150=O$4)*(GMW!$NF$2:$NF$150=O$1),0),$C184-1966)</f>
        <v>558899.9</v>
      </c>
      <c r="P184" s="4" cm="1">
        <f t="array" ref="P184">INDEX(GMW!$A$2:$NF$150,MATCH(1,(GMW!$NE$2:$NE$150=P$3)*(GMW!$ND$2:$ND$150=P$4)*(GMW!$NF$2:$NF$150=P$1),0),$C184-1966)</f>
        <v>42455.73</v>
      </c>
      <c r="Q184" s="4" cm="1">
        <f t="array" ref="Q184">INDEX(GMW!$A$2:$NF$150,MATCH(1,(GMW!$NE$2:$NE$150=Q$3)*(GMW!$ND$2:$ND$150=Q$4)*(GMW!$NF$2:$NF$150=Q$1),0),$C184-1966)</f>
        <v>3003000</v>
      </c>
      <c r="R184" s="4" cm="1">
        <f t="array" ref="R184">INDEX(GMW!$A$2:$NF$150,MATCH(1,(GMW!$NE$2:$NE$150=R$3)*(GMW!$ND$2:$ND$150=R$4)*(GMW!$NF$2:$NF$150=R$1),0),$C184-1966)</f>
        <v>-1.6830419999999999</v>
      </c>
      <c r="S184" s="4" cm="1">
        <f t="array" ref="S184">INDEX(GMW!$A$2:$NF$150,MATCH(1,(GMW!$NE$2:$NE$150=S$3)*(GMW!$ND$2:$ND$150=S$4)*(GMW!$NF$2:$NF$150=S$1),0),$C184-1966)</f>
        <v>598176</v>
      </c>
      <c r="T184" s="4" cm="1">
        <f t="array" ref="T184">INDEX(GMW!$A$2:$NF$150,MATCH(1,(GMW!$NE$2:$NE$150=T$3)*(GMW!$ND$2:$ND$150=T$4)*(GMW!$NF$2:$NF$150=T$1),0),$C184-1966)</f>
        <v>103.16670000000001</v>
      </c>
      <c r="U184" s="4" cm="1">
        <f t="array" ref="U184">INDEX(GMW!$A$2:$NF$150,MATCH(1,(GMW!$NE$2:$NE$150=U$3)*(GMW!$ND$2:$ND$150=U$4)*(GMW!$NF$2:$NF$150=U$1),0),$C184-1966)</f>
        <v>196710</v>
      </c>
      <c r="V184" s="4" cm="1">
        <f t="array" ref="V184">INDEX(GMW!$A$2:$NF$150,MATCH(1,(GMW!$NE$2:$NE$150=V$3)*(GMW!$ND$2:$ND$150=V$4)*(GMW!$NF$2:$NF$150=V$1),0),$C184-1966)</f>
        <v>86884</v>
      </c>
      <c r="W184" s="4" cm="1">
        <f t="array" ref="W184">INDEX(GMW!$A$2:$NF$150,MATCH(1,(GMW!$NE$2:$NE$150=W$3)*(GMW!$ND$2:$ND$150=W$4)*(GMW!$NF$2:$NF$150=W$1),0),$C184-1966)</f>
        <v>211268</v>
      </c>
      <c r="X184" s="4" cm="1">
        <f t="array" ref="X184">INDEX(GMW!$A$2:$NF$150,MATCH(1,(GMW!$NE$2:$NE$150=X$3)*(GMW!$ND$2:$ND$150=X$4)*(GMW!$NF$2:$NF$150=X$1),0),$C184-1966)</f>
        <v>126552</v>
      </c>
      <c r="Y184" s="4" cm="1">
        <f t="array" ref="Y184">INDEX(GMW!$A$2:$NF$150,MATCH(1,(GMW!$NE$2:$NE$150=Y$3)*(GMW!$ND$2:$ND$150=Y$4)*(GMW!$NF$2:$NF$150=Y$1),0),$C184-1966)</f>
        <v>108992</v>
      </c>
      <c r="Z184" s="4" cm="1">
        <f t="array" ref="Z184">INDEX(GMW!$A$2:$NF$150,MATCH(1,(GMW!$NE$2:$NE$150=Z$3)*(GMW!$ND$2:$ND$150=Z$4)*(GMW!$NF$2:$NF$150=Z$1),0),$C184-1966)</f>
        <v>61730</v>
      </c>
      <c r="AA184" s="4" cm="1">
        <f t="array" ref="AA184">INDEX(GMW!$A$2:$NF$150,MATCH(1,(GMW!$NE$2:$NE$150=AA$3)*(GMW!$ND$2:$ND$150=AA$4)*(GMW!$NF$2:$NF$150=AA$1),0),$C184-1966)</f>
        <v>604180</v>
      </c>
      <c r="AB184" s="4" cm="1">
        <f t="array" ref="AB184">INDEX(GMW!$A$2:$NF$150,MATCH(1,(GMW!$NE$2:$NE$150=AB$3)*(GMW!$ND$2:$ND$150=AB$4)*(GMW!$NF$2:$NF$150=AB$1),0),$C184-1966)</f>
        <v>32079.200000000001</v>
      </c>
      <c r="AC184" s="4" cm="1">
        <f t="array" ref="AC184">INDEX(GMW!$A$2:$NF$150,MATCH(1,(GMW!$NE$2:$NE$150=AC$3)*(GMW!$ND$2:$ND$150=AC$4)*(GMW!$NF$2:$NF$150=AC$1),0),$C184-1966)</f>
        <v>32.299999999999997</v>
      </c>
      <c r="AD184" s="4" cm="1">
        <f t="array" ref="AD184">INDEX(GMW!$A$2:$NF$150,MATCH(1,(GMW!$NE$2:$NE$150=AD$3)*(GMW!$ND$2:$ND$150=AD$4)*(GMW!$NF$2:$NF$150=AD$1),0),$C184-1966)</f>
        <v>558899.9</v>
      </c>
      <c r="AE184" s="4" cm="1">
        <f t="array" ref="AE184">INDEX(GMW!$A$2:$NF$150,MATCH(1,(GMW!$NE$2:$NE$150=AE$3)*(GMW!$ND$2:$ND$150=AE$4)*(GMW!$NF$2:$NF$150=AE$1),0),$C184-1966)</f>
        <v>42455.73</v>
      </c>
      <c r="AF184" s="4" cm="1">
        <f t="array" ref="AF184">INDEX(GMW!$A$2:$NF$150,MATCH(1,(GMW!$NE$2:$NE$150=AF$3)*(GMW!$ND$2:$ND$150=AF$4)*(GMW!$NF$2:$NF$150=AF$1),0),$C184-1966)</f>
        <v>3003000</v>
      </c>
      <c r="AG184" s="4" cm="1">
        <f t="array" ref="AG184">INDEX(GMW!$A$2:$NF$150,MATCH(1,(GMW!$NE$2:$NE$150=AG$3)*(GMW!$ND$2:$ND$150=AG$4)*(GMW!$NF$2:$NF$150=AG$1),0),$C184-1966)</f>
        <v>-1.6830419999999999</v>
      </c>
      <c r="AH184" s="4" cm="1">
        <f t="array" ref="AH184">INDEX(GMW!$A$2:$NF$150,MATCH(1,(GMW!$NE$2:$NE$150=AH$3)*(GMW!$ND$2:$ND$150=AH$4)*(GMW!$NF$2:$NF$150=AH$1),0),$C184-1966)</f>
        <v>598176</v>
      </c>
      <c r="AI184" s="4" cm="1">
        <f t="array" ref="AI184">INDEX(GMW!$A$2:$NF$150,MATCH(1,(GMW!$NE$2:$NE$150=AI$3)*(GMW!$ND$2:$ND$150=AI$4)*(GMW!$NF$2:$NF$150=AI$1),0),$C184-1966)</f>
        <v>103.16670000000001</v>
      </c>
      <c r="AJ184" s="4" cm="1">
        <f t="array" ref="AJ184">INDEX(GMW!$A$2:$NF$150,MATCH(1,(GMW!$NE$2:$NE$150=AJ$3)*(GMW!$ND$2:$ND$150=AJ$4)*(GMW!$NF$2:$NF$150=AJ$1),0),$C184-1966)</f>
        <v>196710</v>
      </c>
      <c r="AK184" s="4" cm="1">
        <f t="array" ref="AK184">INDEX(GMW!$A$2:$NF$150,MATCH(1,(GMW!$NE$2:$NE$150=AK$3)*(GMW!$ND$2:$ND$150=AK$4)*(GMW!$NF$2:$NF$150=AK$1),0),$C184-1966)</f>
        <v>86884</v>
      </c>
      <c r="AL184" s="4" cm="1">
        <f t="array" ref="AL184">INDEX(GMW!$A$2:$NF$150,MATCH(1,(GMW!$NE$2:$NE$150=AL$3)*(GMW!$ND$2:$ND$150=AL$4)*(GMW!$NF$2:$NF$150=AL$1),0),$C184-1966)</f>
        <v>211268</v>
      </c>
      <c r="AM184" s="4" cm="1">
        <f t="array" ref="AM184">INDEX(GMW!$A$2:$NF$150,MATCH(1,(GMW!$NE$2:$NE$150=AM$3)*(GMW!$ND$2:$ND$150=AM$4)*(GMW!$NF$2:$NF$150=AM$1),0),$C184-1966)</f>
        <v>126552</v>
      </c>
      <c r="AN184" s="4" cm="1">
        <f t="array" ref="AN184">INDEX(GMW!$A$2:$NF$150,MATCH(1,(GMW!$NE$2:$NE$150=AN$3)*(GMW!$ND$2:$ND$150=AN$4)*(GMW!$NF$2:$NF$150=AN$1),0),$C184-1966)</f>
        <v>108992</v>
      </c>
      <c r="AO184" s="4" cm="1">
        <f t="array" ref="AO184">INDEX(GMW!$A$2:$NF$150,MATCH(1,(GMW!$NE$2:$NE$150=AO$3)*(GMW!$ND$2:$ND$150=AO$4)*(GMW!$NF$2:$NF$150=AO$1),0),$C184-1966)</f>
        <v>61730</v>
      </c>
      <c r="AP184" s="4" cm="1">
        <f t="array" ref="AP184">INDEX(GMW!$A$2:$NF$150,MATCH(1,(GMW!$NE$2:$NE$150=AP$3)*(GMW!$ND$2:$ND$150=AP$4)*(GMW!$NF$2:$NF$150=AP$1),0),$C184-1966)</f>
        <v>604180</v>
      </c>
      <c r="AQ184" s="4" cm="1">
        <f t="array" ref="AQ184">INDEX(GMW!$A$2:$NF$150,MATCH(1,(GMW!$NE$2:$NE$150=AQ$3)*(GMW!$ND$2:$ND$150=AQ$4)*(GMW!$NF$2:$NF$150=AQ$1),0),$C184-1966)</f>
        <v>32079.200000000001</v>
      </c>
      <c r="AR184" s="4" cm="1">
        <f t="array" ref="AR184">INDEX(GMW!$A$2:$NF$150,MATCH(1,(GMW!$NE$2:$NE$150=AR$3)*(GMW!$ND$2:$ND$150=AR$4)*(GMW!$NF$2:$NF$150=AR$1),0),$C184-1966)</f>
        <v>32.299999999999997</v>
      </c>
      <c r="AS184" s="4" cm="1">
        <f t="array" ref="AS184">INDEX(GMW!$A$2:$NF$150,MATCH(1,(GMW!$NE$2:$NE$150=AS$3)*(GMW!$ND$2:$ND$150=AS$4)*(GMW!$NF$2:$NF$150=AS$1),0),$C184-1966)</f>
        <v>558899.9</v>
      </c>
      <c r="AT184" s="4" cm="1">
        <f t="array" ref="AT184">INDEX(GMW!$A$2:$NF$150,MATCH(1,(GMW!$NE$2:$NE$150=AT$3)*(GMW!$ND$2:$ND$150=AT$4)*(GMW!$NF$2:$NF$150=AT$1),0),$C184-1966)</f>
        <v>42455.73</v>
      </c>
      <c r="AU184" s="4" cm="1">
        <f t="array" ref="AU184">INDEX(GMW!$A$2:$NF$150,MATCH(1,(GMW!$NE$2:$NE$150=AU$3)*(GMW!$ND$2:$ND$150=AU$4)*(GMW!$NF$2:$NF$150=AU$1),0),$C184-1966)</f>
        <v>3003000</v>
      </c>
      <c r="AV184" s="4" cm="1">
        <f t="array" ref="AV184">INDEX(GMW!$A$2:$NF$150,MATCH(1,(GMW!$NE$2:$NE$150=AV$3)*(GMW!$ND$2:$ND$150=AV$4)*(GMW!$NF$2:$NF$150=AV$1),0),$C184-1966)</f>
        <v>-1.6830419999999999</v>
      </c>
    </row>
    <row r="185" spans="1:48" x14ac:dyDescent="0.25">
      <c r="B185" s="4">
        <f t="shared" si="8"/>
        <v>2017</v>
      </c>
      <c r="C185" s="4">
        <f t="shared" si="9"/>
        <v>2151</v>
      </c>
      <c r="D185" s="4" cm="1">
        <f t="array" ref="D185">INDEX(GMW!$A$2:$NF$150,MATCH(1,(GMW!$NE$2:$NE$150=D$3)*(GMW!$ND$2:$ND$150=D$4)*(GMW!$NF$2:$NF$150=D$1),0),$C185-1966)</f>
        <v>601961</v>
      </c>
      <c r="E185" s="4" cm="1">
        <f t="array" ref="E185">INDEX(GMW!$A$2:$NF$150,MATCH(1,(GMW!$NE$2:$NE$150=E$3)*(GMW!$ND$2:$ND$150=E$4)*(GMW!$NF$2:$NF$150=E$1),0),$C185-1966)</f>
        <v>103.7</v>
      </c>
      <c r="F185" s="4" cm="1">
        <f t="array" ref="F185">INDEX(GMW!$A$2:$NF$150,MATCH(1,(GMW!$NE$2:$NE$150=F$3)*(GMW!$ND$2:$ND$150=F$4)*(GMW!$NF$2:$NF$150=F$1),0),$C185-1966)</f>
        <v>201489</v>
      </c>
      <c r="G185" s="4" cm="1">
        <f t="array" ref="G185">INDEX(GMW!$A$2:$NF$150,MATCH(1,(GMW!$NE$2:$NE$150=G$3)*(GMW!$ND$2:$ND$150=G$4)*(GMW!$NF$2:$NF$150=G$1),0),$C185-1966)</f>
        <v>89058</v>
      </c>
      <c r="H185" s="4" cm="1">
        <f t="array" ref="H185">INDEX(GMW!$A$2:$NF$150,MATCH(1,(GMW!$NE$2:$NE$150=H$3)*(GMW!$ND$2:$ND$150=H$4)*(GMW!$NF$2:$NF$150=H$1),0),$C185-1966)</f>
        <v>212304</v>
      </c>
      <c r="I185" s="4" cm="1">
        <f t="array" ref="I185">INDEX(GMW!$A$2:$NF$150,MATCH(1,(GMW!$NE$2:$NE$150=I$3)*(GMW!$ND$2:$ND$150=I$4)*(GMW!$NF$2:$NF$150=I$1),0),$C185-1966)</f>
        <v>125967</v>
      </c>
      <c r="J185" s="4" cm="1">
        <f t="array" ref="J185">INDEX(GMW!$A$2:$NF$150,MATCH(1,(GMW!$NE$2:$NE$150=J$3)*(GMW!$ND$2:$ND$150=J$4)*(GMW!$NF$2:$NF$150=J$1),0),$C185-1966)</f>
        <v>108030</v>
      </c>
      <c r="K185" s="4" cm="1">
        <f t="array" ref="K185">INDEX(GMW!$A$2:$NF$150,MATCH(1,(GMW!$NE$2:$NE$150=K$3)*(GMW!$ND$2:$ND$150=K$4)*(GMW!$NF$2:$NF$150=K$1),0),$C185-1966)</f>
        <v>60681</v>
      </c>
      <c r="L185" s="4" cm="1">
        <f t="array" ref="L185">INDEX(GMW!$A$2:$NF$150,MATCH(1,(GMW!$NE$2:$NE$150=L$3)*(GMW!$ND$2:$ND$150=L$4)*(GMW!$NF$2:$NF$150=L$1),0),$C185-1966)</f>
        <v>601563.30000000005</v>
      </c>
      <c r="M185" s="4" cm="1">
        <f t="array" ref="M185">INDEX(GMW!$A$2:$NF$150,MATCH(1,(GMW!$NE$2:$NE$150=M$3)*(GMW!$ND$2:$ND$150=M$4)*(GMW!$NF$2:$NF$150=M$1),0),$C185-1966)</f>
        <v>32038.75</v>
      </c>
      <c r="N185" s="4" cm="1">
        <f t="array" ref="N185">INDEX(GMW!$A$2:$NF$150,MATCH(1,(GMW!$NE$2:$NE$150=N$3)*(GMW!$ND$2:$ND$150=N$4)*(GMW!$NF$2:$NF$150=N$1),0),$C185-1966)</f>
        <v>32</v>
      </c>
      <c r="O185" s="4" cm="1">
        <f t="array" ref="O185">INDEX(GMW!$A$2:$NF$150,MATCH(1,(GMW!$NE$2:$NE$150=O$3)*(GMW!$ND$2:$ND$150=O$4)*(GMW!$NF$2:$NF$150=O$1),0),$C185-1966)</f>
        <v>560513.80000000005</v>
      </c>
      <c r="P185" s="4" cm="1">
        <f t="array" ref="P185">INDEX(GMW!$A$2:$NF$150,MATCH(1,(GMW!$NE$2:$NE$150=P$3)*(GMW!$ND$2:$ND$150=P$4)*(GMW!$NF$2:$NF$150=P$1),0),$C185-1966)</f>
        <v>42501.440000000002</v>
      </c>
      <c r="Q185" s="4" cm="1">
        <f t="array" ref="Q185">INDEX(GMW!$A$2:$NF$150,MATCH(1,(GMW!$NE$2:$NE$150=Q$3)*(GMW!$ND$2:$ND$150=Q$4)*(GMW!$NF$2:$NF$150=Q$1),0),$C185-1966)</f>
        <v>3020500</v>
      </c>
      <c r="R185" s="4" cm="1">
        <f t="array" ref="R185">INDEX(GMW!$A$2:$NF$150,MATCH(1,(GMW!$NE$2:$NE$150=R$3)*(GMW!$ND$2:$ND$150=R$4)*(GMW!$NF$2:$NF$150=R$1),0),$C185-1966)</f>
        <v>-1.6830849999999999</v>
      </c>
      <c r="S185" s="4" cm="1">
        <f t="array" ref="S185">INDEX(GMW!$A$2:$NF$150,MATCH(1,(GMW!$NE$2:$NE$150=S$3)*(GMW!$ND$2:$ND$150=S$4)*(GMW!$NF$2:$NF$150=S$1),0),$C185-1966)</f>
        <v>601961</v>
      </c>
      <c r="T185" s="4" cm="1">
        <f t="array" ref="T185">INDEX(GMW!$A$2:$NF$150,MATCH(1,(GMW!$NE$2:$NE$150=T$3)*(GMW!$ND$2:$ND$150=T$4)*(GMW!$NF$2:$NF$150=T$1),0),$C185-1966)</f>
        <v>103.7</v>
      </c>
      <c r="U185" s="4" cm="1">
        <f t="array" ref="U185">INDEX(GMW!$A$2:$NF$150,MATCH(1,(GMW!$NE$2:$NE$150=U$3)*(GMW!$ND$2:$ND$150=U$4)*(GMW!$NF$2:$NF$150=U$1),0),$C185-1966)</f>
        <v>201489</v>
      </c>
      <c r="V185" s="4" cm="1">
        <f t="array" ref="V185">INDEX(GMW!$A$2:$NF$150,MATCH(1,(GMW!$NE$2:$NE$150=V$3)*(GMW!$ND$2:$ND$150=V$4)*(GMW!$NF$2:$NF$150=V$1),0),$C185-1966)</f>
        <v>89058</v>
      </c>
      <c r="W185" s="4" cm="1">
        <f t="array" ref="W185">INDEX(GMW!$A$2:$NF$150,MATCH(1,(GMW!$NE$2:$NE$150=W$3)*(GMW!$ND$2:$ND$150=W$4)*(GMW!$NF$2:$NF$150=W$1),0),$C185-1966)</f>
        <v>212304</v>
      </c>
      <c r="X185" s="4" cm="1">
        <f t="array" ref="X185">INDEX(GMW!$A$2:$NF$150,MATCH(1,(GMW!$NE$2:$NE$150=X$3)*(GMW!$ND$2:$ND$150=X$4)*(GMW!$NF$2:$NF$150=X$1),0),$C185-1966)</f>
        <v>125967</v>
      </c>
      <c r="Y185" s="4" cm="1">
        <f t="array" ref="Y185">INDEX(GMW!$A$2:$NF$150,MATCH(1,(GMW!$NE$2:$NE$150=Y$3)*(GMW!$ND$2:$ND$150=Y$4)*(GMW!$NF$2:$NF$150=Y$1),0),$C185-1966)</f>
        <v>108030</v>
      </c>
      <c r="Z185" s="4" cm="1">
        <f t="array" ref="Z185">INDEX(GMW!$A$2:$NF$150,MATCH(1,(GMW!$NE$2:$NE$150=Z$3)*(GMW!$ND$2:$ND$150=Z$4)*(GMW!$NF$2:$NF$150=Z$1),0),$C185-1966)</f>
        <v>60681</v>
      </c>
      <c r="AA185" s="4" cm="1">
        <f t="array" ref="AA185">INDEX(GMW!$A$2:$NF$150,MATCH(1,(GMW!$NE$2:$NE$150=AA$3)*(GMW!$ND$2:$ND$150=AA$4)*(GMW!$NF$2:$NF$150=AA$1),0),$C185-1966)</f>
        <v>601563.30000000005</v>
      </c>
      <c r="AB185" s="4" cm="1">
        <f t="array" ref="AB185">INDEX(GMW!$A$2:$NF$150,MATCH(1,(GMW!$NE$2:$NE$150=AB$3)*(GMW!$ND$2:$ND$150=AB$4)*(GMW!$NF$2:$NF$150=AB$1),0),$C185-1966)</f>
        <v>32038.75</v>
      </c>
      <c r="AC185" s="4" cm="1">
        <f t="array" ref="AC185">INDEX(GMW!$A$2:$NF$150,MATCH(1,(GMW!$NE$2:$NE$150=AC$3)*(GMW!$ND$2:$ND$150=AC$4)*(GMW!$NF$2:$NF$150=AC$1),0),$C185-1966)</f>
        <v>32</v>
      </c>
      <c r="AD185" s="4" cm="1">
        <f t="array" ref="AD185">INDEX(GMW!$A$2:$NF$150,MATCH(1,(GMW!$NE$2:$NE$150=AD$3)*(GMW!$ND$2:$ND$150=AD$4)*(GMW!$NF$2:$NF$150=AD$1),0),$C185-1966)</f>
        <v>560513.80000000005</v>
      </c>
      <c r="AE185" s="4" cm="1">
        <f t="array" ref="AE185">INDEX(GMW!$A$2:$NF$150,MATCH(1,(GMW!$NE$2:$NE$150=AE$3)*(GMW!$ND$2:$ND$150=AE$4)*(GMW!$NF$2:$NF$150=AE$1),0),$C185-1966)</f>
        <v>42501.440000000002</v>
      </c>
      <c r="AF185" s="4" cm="1">
        <f t="array" ref="AF185">INDEX(GMW!$A$2:$NF$150,MATCH(1,(GMW!$NE$2:$NE$150=AF$3)*(GMW!$ND$2:$ND$150=AF$4)*(GMW!$NF$2:$NF$150=AF$1),0),$C185-1966)</f>
        <v>3020500</v>
      </c>
      <c r="AG185" s="4" cm="1">
        <f t="array" ref="AG185">INDEX(GMW!$A$2:$NF$150,MATCH(1,(GMW!$NE$2:$NE$150=AG$3)*(GMW!$ND$2:$ND$150=AG$4)*(GMW!$NF$2:$NF$150=AG$1),0),$C185-1966)</f>
        <v>-1.6830849999999999</v>
      </c>
      <c r="AH185" s="4" cm="1">
        <f t="array" ref="AH185">INDEX(GMW!$A$2:$NF$150,MATCH(1,(GMW!$NE$2:$NE$150=AH$3)*(GMW!$ND$2:$ND$150=AH$4)*(GMW!$NF$2:$NF$150=AH$1),0),$C185-1966)</f>
        <v>601961</v>
      </c>
      <c r="AI185" s="4" cm="1">
        <f t="array" ref="AI185">INDEX(GMW!$A$2:$NF$150,MATCH(1,(GMW!$NE$2:$NE$150=AI$3)*(GMW!$ND$2:$ND$150=AI$4)*(GMW!$NF$2:$NF$150=AI$1),0),$C185-1966)</f>
        <v>103.7</v>
      </c>
      <c r="AJ185" s="4" cm="1">
        <f t="array" ref="AJ185">INDEX(GMW!$A$2:$NF$150,MATCH(1,(GMW!$NE$2:$NE$150=AJ$3)*(GMW!$ND$2:$ND$150=AJ$4)*(GMW!$NF$2:$NF$150=AJ$1),0),$C185-1966)</f>
        <v>201489</v>
      </c>
      <c r="AK185" s="4" cm="1">
        <f t="array" ref="AK185">INDEX(GMW!$A$2:$NF$150,MATCH(1,(GMW!$NE$2:$NE$150=AK$3)*(GMW!$ND$2:$ND$150=AK$4)*(GMW!$NF$2:$NF$150=AK$1),0),$C185-1966)</f>
        <v>89058</v>
      </c>
      <c r="AL185" s="4" cm="1">
        <f t="array" ref="AL185">INDEX(GMW!$A$2:$NF$150,MATCH(1,(GMW!$NE$2:$NE$150=AL$3)*(GMW!$ND$2:$ND$150=AL$4)*(GMW!$NF$2:$NF$150=AL$1),0),$C185-1966)</f>
        <v>212304</v>
      </c>
      <c r="AM185" s="4" cm="1">
        <f t="array" ref="AM185">INDEX(GMW!$A$2:$NF$150,MATCH(1,(GMW!$NE$2:$NE$150=AM$3)*(GMW!$ND$2:$ND$150=AM$4)*(GMW!$NF$2:$NF$150=AM$1),0),$C185-1966)</f>
        <v>125967</v>
      </c>
      <c r="AN185" s="4" cm="1">
        <f t="array" ref="AN185">INDEX(GMW!$A$2:$NF$150,MATCH(1,(GMW!$NE$2:$NE$150=AN$3)*(GMW!$ND$2:$ND$150=AN$4)*(GMW!$NF$2:$NF$150=AN$1),0),$C185-1966)</f>
        <v>108030</v>
      </c>
      <c r="AO185" s="4" cm="1">
        <f t="array" ref="AO185">INDEX(GMW!$A$2:$NF$150,MATCH(1,(GMW!$NE$2:$NE$150=AO$3)*(GMW!$ND$2:$ND$150=AO$4)*(GMW!$NF$2:$NF$150=AO$1),0),$C185-1966)</f>
        <v>60681</v>
      </c>
      <c r="AP185" s="4" cm="1">
        <f t="array" ref="AP185">INDEX(GMW!$A$2:$NF$150,MATCH(1,(GMW!$NE$2:$NE$150=AP$3)*(GMW!$ND$2:$ND$150=AP$4)*(GMW!$NF$2:$NF$150=AP$1),0),$C185-1966)</f>
        <v>601563.30000000005</v>
      </c>
      <c r="AQ185" s="4" cm="1">
        <f t="array" ref="AQ185">INDEX(GMW!$A$2:$NF$150,MATCH(1,(GMW!$NE$2:$NE$150=AQ$3)*(GMW!$ND$2:$ND$150=AQ$4)*(GMW!$NF$2:$NF$150=AQ$1),0),$C185-1966)</f>
        <v>32038.75</v>
      </c>
      <c r="AR185" s="4" cm="1">
        <f t="array" ref="AR185">INDEX(GMW!$A$2:$NF$150,MATCH(1,(GMW!$NE$2:$NE$150=AR$3)*(GMW!$ND$2:$ND$150=AR$4)*(GMW!$NF$2:$NF$150=AR$1),0),$C185-1966)</f>
        <v>32</v>
      </c>
      <c r="AS185" s="4" cm="1">
        <f t="array" ref="AS185">INDEX(GMW!$A$2:$NF$150,MATCH(1,(GMW!$NE$2:$NE$150=AS$3)*(GMW!$ND$2:$ND$150=AS$4)*(GMW!$NF$2:$NF$150=AS$1),0),$C185-1966)</f>
        <v>560513.80000000005</v>
      </c>
      <c r="AT185" s="4" cm="1">
        <f t="array" ref="AT185">INDEX(GMW!$A$2:$NF$150,MATCH(1,(GMW!$NE$2:$NE$150=AT$3)*(GMW!$ND$2:$ND$150=AT$4)*(GMW!$NF$2:$NF$150=AT$1),0),$C185-1966)</f>
        <v>42501.440000000002</v>
      </c>
      <c r="AU185" s="4" cm="1">
        <f t="array" ref="AU185">INDEX(GMW!$A$2:$NF$150,MATCH(1,(GMW!$NE$2:$NE$150=AU$3)*(GMW!$ND$2:$ND$150=AU$4)*(GMW!$NF$2:$NF$150=AU$1),0),$C185-1966)</f>
        <v>3020500</v>
      </c>
      <c r="AV185" s="4" cm="1">
        <f t="array" ref="AV185">INDEX(GMW!$A$2:$NF$150,MATCH(1,(GMW!$NE$2:$NE$150=AV$3)*(GMW!$ND$2:$ND$150=AV$4)*(GMW!$NF$2:$NF$150=AV$1),0),$C185-1966)</f>
        <v>-1.6830849999999999</v>
      </c>
    </row>
    <row r="186" spans="1:48" x14ac:dyDescent="0.25">
      <c r="B186" s="4">
        <f t="shared" si="8"/>
        <v>2017</v>
      </c>
      <c r="C186" s="4">
        <f t="shared" si="9"/>
        <v>2152</v>
      </c>
      <c r="D186" s="4" cm="1">
        <f t="array" ref="D186">INDEX(GMW!$A$2:$NF$150,MATCH(1,(GMW!$NE$2:$NE$150=D$3)*(GMW!$ND$2:$ND$150=D$4)*(GMW!$NF$2:$NF$150=D$1),0),$C186-1966)</f>
        <v>606396</v>
      </c>
      <c r="E186" s="4" cm="1">
        <f t="array" ref="E186">INDEX(GMW!$A$2:$NF$150,MATCH(1,(GMW!$NE$2:$NE$150=E$3)*(GMW!$ND$2:$ND$150=E$4)*(GMW!$NF$2:$NF$150=E$1),0),$C186-1966)</f>
        <v>104.5667</v>
      </c>
      <c r="F186" s="4" cm="1">
        <f t="array" ref="F186">INDEX(GMW!$A$2:$NF$150,MATCH(1,(GMW!$NE$2:$NE$150=F$3)*(GMW!$ND$2:$ND$150=F$4)*(GMW!$NF$2:$NF$150=F$1),0),$C186-1966)</f>
        <v>197125</v>
      </c>
      <c r="G186" s="4" cm="1">
        <f t="array" ref="G186">INDEX(GMW!$A$2:$NF$150,MATCH(1,(GMW!$NE$2:$NE$150=G$3)*(GMW!$ND$2:$ND$150=G$4)*(GMW!$NF$2:$NF$150=G$1),0),$C186-1966)</f>
        <v>90091</v>
      </c>
      <c r="H186" s="4" cm="1">
        <f t="array" ref="H186">INDEX(GMW!$A$2:$NF$150,MATCH(1,(GMW!$NE$2:$NE$150=H$3)*(GMW!$ND$2:$ND$150=H$4)*(GMW!$NF$2:$NF$150=H$1),0),$C186-1966)</f>
        <v>208444</v>
      </c>
      <c r="I186" s="4" cm="1">
        <f t="array" ref="I186">INDEX(GMW!$A$2:$NF$150,MATCH(1,(GMW!$NE$2:$NE$150=I$3)*(GMW!$ND$2:$ND$150=I$4)*(GMW!$NF$2:$NF$150=I$1),0),$C186-1966)</f>
        <v>122163</v>
      </c>
      <c r="J186" s="4" cm="1">
        <f t="array" ref="J186">INDEX(GMW!$A$2:$NF$150,MATCH(1,(GMW!$NE$2:$NE$150=J$3)*(GMW!$ND$2:$ND$150=J$4)*(GMW!$NF$2:$NF$150=J$1),0),$C186-1966)</f>
        <v>109696</v>
      </c>
      <c r="K186" s="4" cm="1">
        <f t="array" ref="K186">INDEX(GMW!$A$2:$NF$150,MATCH(1,(GMW!$NE$2:$NE$150=K$3)*(GMW!$ND$2:$ND$150=K$4)*(GMW!$NF$2:$NF$150=K$1),0),$C186-1966)</f>
        <v>61713</v>
      </c>
      <c r="L186" s="4" cm="1">
        <f t="array" ref="L186">INDEX(GMW!$A$2:$NF$150,MATCH(1,(GMW!$NE$2:$NE$150=L$3)*(GMW!$ND$2:$ND$150=L$4)*(GMW!$NF$2:$NF$150=L$1),0),$C186-1966)</f>
        <v>603499.6</v>
      </c>
      <c r="M186" s="4" cm="1">
        <f t="array" ref="M186">INDEX(GMW!$A$2:$NF$150,MATCH(1,(GMW!$NE$2:$NE$150=M$3)*(GMW!$ND$2:$ND$150=M$4)*(GMW!$NF$2:$NF$150=M$1),0),$C186-1966)</f>
        <v>32172.99</v>
      </c>
      <c r="N186" s="4" cm="1">
        <f t="array" ref="N186">INDEX(GMW!$A$2:$NF$150,MATCH(1,(GMW!$NE$2:$NE$150=N$3)*(GMW!$ND$2:$ND$150=N$4)*(GMW!$NF$2:$NF$150=N$1),0),$C186-1966)</f>
        <v>31.9</v>
      </c>
      <c r="O186" s="4" cm="1">
        <f t="array" ref="O186">INDEX(GMW!$A$2:$NF$150,MATCH(1,(GMW!$NE$2:$NE$150=O$3)*(GMW!$ND$2:$ND$150=O$4)*(GMW!$NF$2:$NF$150=O$1),0),$C186-1966)</f>
        <v>562125.9</v>
      </c>
      <c r="P186" s="4" cm="1">
        <f t="array" ref="P186">INDEX(GMW!$A$2:$NF$150,MATCH(1,(GMW!$NE$2:$NE$150=P$3)*(GMW!$ND$2:$ND$150=P$4)*(GMW!$NF$2:$NF$150=P$1),0),$C186-1966)</f>
        <v>42547.14</v>
      </c>
      <c r="Q186" s="4" cm="1">
        <f t="array" ref="Q186">INDEX(GMW!$A$2:$NF$150,MATCH(1,(GMW!$NE$2:$NE$150=Q$3)*(GMW!$ND$2:$ND$150=Q$4)*(GMW!$NF$2:$NF$150=Q$1),0),$C186-1966)</f>
        <v>3038000</v>
      </c>
      <c r="R186" s="4" cm="1">
        <f t="array" ref="R186">INDEX(GMW!$A$2:$NF$150,MATCH(1,(GMW!$NE$2:$NE$150=R$3)*(GMW!$ND$2:$ND$150=R$4)*(GMW!$NF$2:$NF$150=R$1),0),$C186-1966)</f>
        <v>-1.683128</v>
      </c>
      <c r="S186" s="4" cm="1">
        <f t="array" ref="S186">INDEX(GMW!$A$2:$NF$150,MATCH(1,(GMW!$NE$2:$NE$150=S$3)*(GMW!$ND$2:$ND$150=S$4)*(GMW!$NF$2:$NF$150=S$1),0),$C186-1966)</f>
        <v>606396</v>
      </c>
      <c r="T186" s="4" cm="1">
        <f t="array" ref="T186">INDEX(GMW!$A$2:$NF$150,MATCH(1,(GMW!$NE$2:$NE$150=T$3)*(GMW!$ND$2:$ND$150=T$4)*(GMW!$NF$2:$NF$150=T$1),0),$C186-1966)</f>
        <v>104.5667</v>
      </c>
      <c r="U186" s="4" cm="1">
        <f t="array" ref="U186">INDEX(GMW!$A$2:$NF$150,MATCH(1,(GMW!$NE$2:$NE$150=U$3)*(GMW!$ND$2:$ND$150=U$4)*(GMW!$NF$2:$NF$150=U$1),0),$C186-1966)</f>
        <v>197125</v>
      </c>
      <c r="V186" s="4" cm="1">
        <f t="array" ref="V186">INDEX(GMW!$A$2:$NF$150,MATCH(1,(GMW!$NE$2:$NE$150=V$3)*(GMW!$ND$2:$ND$150=V$4)*(GMW!$NF$2:$NF$150=V$1),0),$C186-1966)</f>
        <v>90091</v>
      </c>
      <c r="W186" s="4" cm="1">
        <f t="array" ref="W186">INDEX(GMW!$A$2:$NF$150,MATCH(1,(GMW!$NE$2:$NE$150=W$3)*(GMW!$ND$2:$ND$150=W$4)*(GMW!$NF$2:$NF$150=W$1),0),$C186-1966)</f>
        <v>208444</v>
      </c>
      <c r="X186" s="4" cm="1">
        <f t="array" ref="X186">INDEX(GMW!$A$2:$NF$150,MATCH(1,(GMW!$NE$2:$NE$150=X$3)*(GMW!$ND$2:$ND$150=X$4)*(GMW!$NF$2:$NF$150=X$1),0),$C186-1966)</f>
        <v>122163</v>
      </c>
      <c r="Y186" s="4" cm="1">
        <f t="array" ref="Y186">INDEX(GMW!$A$2:$NF$150,MATCH(1,(GMW!$NE$2:$NE$150=Y$3)*(GMW!$ND$2:$ND$150=Y$4)*(GMW!$NF$2:$NF$150=Y$1),0),$C186-1966)</f>
        <v>109696</v>
      </c>
      <c r="Z186" s="4" cm="1">
        <f t="array" ref="Z186">INDEX(GMW!$A$2:$NF$150,MATCH(1,(GMW!$NE$2:$NE$150=Z$3)*(GMW!$ND$2:$ND$150=Z$4)*(GMW!$NF$2:$NF$150=Z$1),0),$C186-1966)</f>
        <v>61713</v>
      </c>
      <c r="AA186" s="4" cm="1">
        <f t="array" ref="AA186">INDEX(GMW!$A$2:$NF$150,MATCH(1,(GMW!$NE$2:$NE$150=AA$3)*(GMW!$ND$2:$ND$150=AA$4)*(GMW!$NF$2:$NF$150=AA$1),0),$C186-1966)</f>
        <v>603499.6</v>
      </c>
      <c r="AB186" s="4" cm="1">
        <f t="array" ref="AB186">INDEX(GMW!$A$2:$NF$150,MATCH(1,(GMW!$NE$2:$NE$150=AB$3)*(GMW!$ND$2:$ND$150=AB$4)*(GMW!$NF$2:$NF$150=AB$1),0),$C186-1966)</f>
        <v>32172.99</v>
      </c>
      <c r="AC186" s="4" cm="1">
        <f t="array" ref="AC186">INDEX(GMW!$A$2:$NF$150,MATCH(1,(GMW!$NE$2:$NE$150=AC$3)*(GMW!$ND$2:$ND$150=AC$4)*(GMW!$NF$2:$NF$150=AC$1),0),$C186-1966)</f>
        <v>31.9</v>
      </c>
      <c r="AD186" s="4" cm="1">
        <f t="array" ref="AD186">INDEX(GMW!$A$2:$NF$150,MATCH(1,(GMW!$NE$2:$NE$150=AD$3)*(GMW!$ND$2:$ND$150=AD$4)*(GMW!$NF$2:$NF$150=AD$1),0),$C186-1966)</f>
        <v>562125.9</v>
      </c>
      <c r="AE186" s="4" cm="1">
        <f t="array" ref="AE186">INDEX(GMW!$A$2:$NF$150,MATCH(1,(GMW!$NE$2:$NE$150=AE$3)*(GMW!$ND$2:$ND$150=AE$4)*(GMW!$NF$2:$NF$150=AE$1),0),$C186-1966)</f>
        <v>42547.14</v>
      </c>
      <c r="AF186" s="4" cm="1">
        <f t="array" ref="AF186">INDEX(GMW!$A$2:$NF$150,MATCH(1,(GMW!$NE$2:$NE$150=AF$3)*(GMW!$ND$2:$ND$150=AF$4)*(GMW!$NF$2:$NF$150=AF$1),0),$C186-1966)</f>
        <v>3038000</v>
      </c>
      <c r="AG186" s="4" cm="1">
        <f t="array" ref="AG186">INDEX(GMW!$A$2:$NF$150,MATCH(1,(GMW!$NE$2:$NE$150=AG$3)*(GMW!$ND$2:$ND$150=AG$4)*(GMW!$NF$2:$NF$150=AG$1),0),$C186-1966)</f>
        <v>-1.683128</v>
      </c>
      <c r="AH186" s="4" cm="1">
        <f t="array" ref="AH186">INDEX(GMW!$A$2:$NF$150,MATCH(1,(GMW!$NE$2:$NE$150=AH$3)*(GMW!$ND$2:$ND$150=AH$4)*(GMW!$NF$2:$NF$150=AH$1),0),$C186-1966)</f>
        <v>606396</v>
      </c>
      <c r="AI186" s="4" cm="1">
        <f t="array" ref="AI186">INDEX(GMW!$A$2:$NF$150,MATCH(1,(GMW!$NE$2:$NE$150=AI$3)*(GMW!$ND$2:$ND$150=AI$4)*(GMW!$NF$2:$NF$150=AI$1),0),$C186-1966)</f>
        <v>104.5667</v>
      </c>
      <c r="AJ186" s="4" cm="1">
        <f t="array" ref="AJ186">INDEX(GMW!$A$2:$NF$150,MATCH(1,(GMW!$NE$2:$NE$150=AJ$3)*(GMW!$ND$2:$ND$150=AJ$4)*(GMW!$NF$2:$NF$150=AJ$1),0),$C186-1966)</f>
        <v>197125</v>
      </c>
      <c r="AK186" s="4" cm="1">
        <f t="array" ref="AK186">INDEX(GMW!$A$2:$NF$150,MATCH(1,(GMW!$NE$2:$NE$150=AK$3)*(GMW!$ND$2:$ND$150=AK$4)*(GMW!$NF$2:$NF$150=AK$1),0),$C186-1966)</f>
        <v>90091</v>
      </c>
      <c r="AL186" s="4" cm="1">
        <f t="array" ref="AL186">INDEX(GMW!$A$2:$NF$150,MATCH(1,(GMW!$NE$2:$NE$150=AL$3)*(GMW!$ND$2:$ND$150=AL$4)*(GMW!$NF$2:$NF$150=AL$1),0),$C186-1966)</f>
        <v>208444</v>
      </c>
      <c r="AM186" s="4" cm="1">
        <f t="array" ref="AM186">INDEX(GMW!$A$2:$NF$150,MATCH(1,(GMW!$NE$2:$NE$150=AM$3)*(GMW!$ND$2:$ND$150=AM$4)*(GMW!$NF$2:$NF$150=AM$1),0),$C186-1966)</f>
        <v>122163</v>
      </c>
      <c r="AN186" s="4" cm="1">
        <f t="array" ref="AN186">INDEX(GMW!$A$2:$NF$150,MATCH(1,(GMW!$NE$2:$NE$150=AN$3)*(GMW!$ND$2:$ND$150=AN$4)*(GMW!$NF$2:$NF$150=AN$1),0),$C186-1966)</f>
        <v>109696</v>
      </c>
      <c r="AO186" s="4" cm="1">
        <f t="array" ref="AO186">INDEX(GMW!$A$2:$NF$150,MATCH(1,(GMW!$NE$2:$NE$150=AO$3)*(GMW!$ND$2:$ND$150=AO$4)*(GMW!$NF$2:$NF$150=AO$1),0),$C186-1966)</f>
        <v>61713</v>
      </c>
      <c r="AP186" s="4" cm="1">
        <f t="array" ref="AP186">INDEX(GMW!$A$2:$NF$150,MATCH(1,(GMW!$NE$2:$NE$150=AP$3)*(GMW!$ND$2:$ND$150=AP$4)*(GMW!$NF$2:$NF$150=AP$1),0),$C186-1966)</f>
        <v>603499.6</v>
      </c>
      <c r="AQ186" s="4" cm="1">
        <f t="array" ref="AQ186">INDEX(GMW!$A$2:$NF$150,MATCH(1,(GMW!$NE$2:$NE$150=AQ$3)*(GMW!$ND$2:$ND$150=AQ$4)*(GMW!$NF$2:$NF$150=AQ$1),0),$C186-1966)</f>
        <v>32172.99</v>
      </c>
      <c r="AR186" s="4" cm="1">
        <f t="array" ref="AR186">INDEX(GMW!$A$2:$NF$150,MATCH(1,(GMW!$NE$2:$NE$150=AR$3)*(GMW!$ND$2:$ND$150=AR$4)*(GMW!$NF$2:$NF$150=AR$1),0),$C186-1966)</f>
        <v>31.9</v>
      </c>
      <c r="AS186" s="4" cm="1">
        <f t="array" ref="AS186">INDEX(GMW!$A$2:$NF$150,MATCH(1,(GMW!$NE$2:$NE$150=AS$3)*(GMW!$ND$2:$ND$150=AS$4)*(GMW!$NF$2:$NF$150=AS$1),0),$C186-1966)</f>
        <v>562125.9</v>
      </c>
      <c r="AT186" s="4" cm="1">
        <f t="array" ref="AT186">INDEX(GMW!$A$2:$NF$150,MATCH(1,(GMW!$NE$2:$NE$150=AT$3)*(GMW!$ND$2:$ND$150=AT$4)*(GMW!$NF$2:$NF$150=AT$1),0),$C186-1966)</f>
        <v>42547.14</v>
      </c>
      <c r="AU186" s="4" cm="1">
        <f t="array" ref="AU186">INDEX(GMW!$A$2:$NF$150,MATCH(1,(GMW!$NE$2:$NE$150=AU$3)*(GMW!$ND$2:$ND$150=AU$4)*(GMW!$NF$2:$NF$150=AU$1),0),$C186-1966)</f>
        <v>3038000</v>
      </c>
      <c r="AV186" s="4" cm="1">
        <f t="array" ref="AV186">INDEX(GMW!$A$2:$NF$150,MATCH(1,(GMW!$NE$2:$NE$150=AV$3)*(GMW!$ND$2:$ND$150=AV$4)*(GMW!$NF$2:$NF$150=AV$1),0),$C186-1966)</f>
        <v>-1.683128</v>
      </c>
    </row>
    <row r="187" spans="1:48" x14ac:dyDescent="0.25">
      <c r="A187" s="4">
        <v>2018</v>
      </c>
      <c r="B187" s="4">
        <f t="shared" si="8"/>
        <v>2018</v>
      </c>
      <c r="C187" s="4">
        <f t="shared" si="9"/>
        <v>2153</v>
      </c>
      <c r="D187" s="4" cm="1">
        <f t="array" ref="D187">INDEX(GMW!$A$2:$NF$150,MATCH(1,(GMW!$NE$2:$NE$150=D$3)*(GMW!$ND$2:$ND$150=D$4)*(GMW!$NF$2:$NF$150=D$1),0),$C187-1966)</f>
        <v>606785</v>
      </c>
      <c r="E187" s="4" cm="1">
        <f t="array" ref="E187">INDEX(GMW!$A$2:$NF$150,MATCH(1,(GMW!$NE$2:$NE$150=E$3)*(GMW!$ND$2:$ND$150=E$4)*(GMW!$NF$2:$NF$150=E$1),0),$C187-1966)</f>
        <v>104.7667</v>
      </c>
      <c r="F187" s="4" cm="1">
        <f t="array" ref="F187">INDEX(GMW!$A$2:$NF$150,MATCH(1,(GMW!$NE$2:$NE$150=F$3)*(GMW!$ND$2:$ND$150=F$4)*(GMW!$NF$2:$NF$150=F$1),0),$C187-1966)</f>
        <v>201006</v>
      </c>
      <c r="G187" s="4" cm="1">
        <f t="array" ref="G187">INDEX(GMW!$A$2:$NF$150,MATCH(1,(GMW!$NE$2:$NE$150=G$3)*(GMW!$ND$2:$ND$150=G$4)*(GMW!$NF$2:$NF$150=G$1),0),$C187-1966)</f>
        <v>91944</v>
      </c>
      <c r="H187" s="4" cm="1">
        <f t="array" ref="H187">INDEX(GMW!$A$2:$NF$150,MATCH(1,(GMW!$NE$2:$NE$150=H$3)*(GMW!$ND$2:$ND$150=H$4)*(GMW!$NF$2:$NF$150=H$1),0),$C187-1966)</f>
        <v>212313</v>
      </c>
      <c r="I187" s="4" cm="1">
        <f t="array" ref="I187">INDEX(GMW!$A$2:$NF$150,MATCH(1,(GMW!$NE$2:$NE$150=I$3)*(GMW!$ND$2:$ND$150=I$4)*(GMW!$NF$2:$NF$150=I$1),0),$C187-1966)</f>
        <v>122798</v>
      </c>
      <c r="J187" s="4" cm="1">
        <f t="array" ref="J187">INDEX(GMW!$A$2:$NF$150,MATCH(1,(GMW!$NE$2:$NE$150=J$3)*(GMW!$ND$2:$ND$150=J$4)*(GMW!$NF$2:$NF$150=J$1),0),$C187-1966)</f>
        <v>109097</v>
      </c>
      <c r="K187" s="4" cm="1">
        <f t="array" ref="K187">INDEX(GMW!$A$2:$NF$150,MATCH(1,(GMW!$NE$2:$NE$150=K$3)*(GMW!$ND$2:$ND$150=K$4)*(GMW!$NF$2:$NF$150=K$1),0),$C187-1966)</f>
        <v>61342</v>
      </c>
      <c r="L187" s="4" cm="1">
        <f t="array" ref="L187">INDEX(GMW!$A$2:$NF$150,MATCH(1,(GMW!$NE$2:$NE$150=L$3)*(GMW!$ND$2:$ND$150=L$4)*(GMW!$NF$2:$NF$150=L$1),0),$C187-1966)</f>
        <v>606894.1</v>
      </c>
      <c r="M187" s="4" cm="1">
        <f t="array" ref="M187">INDEX(GMW!$A$2:$NF$150,MATCH(1,(GMW!$NE$2:$NE$150=M$3)*(GMW!$ND$2:$ND$150=M$4)*(GMW!$NF$2:$NF$150=M$1),0),$C187-1966)</f>
        <v>32326.48</v>
      </c>
      <c r="N187" s="4" cm="1">
        <f t="array" ref="N187">INDEX(GMW!$A$2:$NF$150,MATCH(1,(GMW!$NE$2:$NE$150=N$3)*(GMW!$ND$2:$ND$150=N$4)*(GMW!$NF$2:$NF$150=N$1),0),$C187-1966)</f>
        <v>31.9</v>
      </c>
      <c r="O187" s="4" cm="1">
        <f t="array" ref="O187">INDEX(GMW!$A$2:$NF$150,MATCH(1,(GMW!$NE$2:$NE$150=O$3)*(GMW!$ND$2:$ND$150=O$4)*(GMW!$NF$2:$NF$150=O$1),0),$C187-1966)</f>
        <v>563736.6</v>
      </c>
      <c r="P187" s="4" cm="1">
        <f t="array" ref="P187">INDEX(GMW!$A$2:$NF$150,MATCH(1,(GMW!$NE$2:$NE$150=P$3)*(GMW!$ND$2:$ND$150=P$4)*(GMW!$NF$2:$NF$150=P$1),0),$C187-1966)</f>
        <v>42592.85</v>
      </c>
      <c r="Q187" s="4" cm="1">
        <f t="array" ref="Q187">INDEX(GMW!$A$2:$NF$150,MATCH(1,(GMW!$NE$2:$NE$150=Q$3)*(GMW!$ND$2:$ND$150=Q$4)*(GMW!$NF$2:$NF$150=Q$1),0),$C187-1966)</f>
        <v>3052750</v>
      </c>
      <c r="R187" s="4" cm="1">
        <f t="array" ref="R187">INDEX(GMW!$A$2:$NF$150,MATCH(1,(GMW!$NE$2:$NE$150=R$3)*(GMW!$ND$2:$ND$150=R$4)*(GMW!$NF$2:$NF$150=R$1),0),$C187-1966)</f>
        <v>-1.6831700000000001</v>
      </c>
      <c r="S187" s="4" cm="1">
        <f t="array" ref="S187">INDEX(GMW!$A$2:$NF$150,MATCH(1,(GMW!$NE$2:$NE$150=S$3)*(GMW!$ND$2:$ND$150=S$4)*(GMW!$NF$2:$NF$150=S$1),0),$C187-1966)</f>
        <v>606785</v>
      </c>
      <c r="T187" s="4" cm="1">
        <f t="array" ref="T187">INDEX(GMW!$A$2:$NF$150,MATCH(1,(GMW!$NE$2:$NE$150=T$3)*(GMW!$ND$2:$ND$150=T$4)*(GMW!$NF$2:$NF$150=T$1),0),$C187-1966)</f>
        <v>104.7667</v>
      </c>
      <c r="U187" s="4" cm="1">
        <f t="array" ref="U187">INDEX(GMW!$A$2:$NF$150,MATCH(1,(GMW!$NE$2:$NE$150=U$3)*(GMW!$ND$2:$ND$150=U$4)*(GMW!$NF$2:$NF$150=U$1),0),$C187-1966)</f>
        <v>201006</v>
      </c>
      <c r="V187" s="4" cm="1">
        <f t="array" ref="V187">INDEX(GMW!$A$2:$NF$150,MATCH(1,(GMW!$NE$2:$NE$150=V$3)*(GMW!$ND$2:$ND$150=V$4)*(GMW!$NF$2:$NF$150=V$1),0),$C187-1966)</f>
        <v>91944</v>
      </c>
      <c r="W187" s="4" cm="1">
        <f t="array" ref="W187">INDEX(GMW!$A$2:$NF$150,MATCH(1,(GMW!$NE$2:$NE$150=W$3)*(GMW!$ND$2:$ND$150=W$4)*(GMW!$NF$2:$NF$150=W$1),0),$C187-1966)</f>
        <v>212313</v>
      </c>
      <c r="X187" s="4" cm="1">
        <f t="array" ref="X187">INDEX(GMW!$A$2:$NF$150,MATCH(1,(GMW!$NE$2:$NE$150=X$3)*(GMW!$ND$2:$ND$150=X$4)*(GMW!$NF$2:$NF$150=X$1),0),$C187-1966)</f>
        <v>122798</v>
      </c>
      <c r="Y187" s="4" cm="1">
        <f t="array" ref="Y187">INDEX(GMW!$A$2:$NF$150,MATCH(1,(GMW!$NE$2:$NE$150=Y$3)*(GMW!$ND$2:$ND$150=Y$4)*(GMW!$NF$2:$NF$150=Y$1),0),$C187-1966)</f>
        <v>109097</v>
      </c>
      <c r="Z187" s="4" cm="1">
        <f t="array" ref="Z187">INDEX(GMW!$A$2:$NF$150,MATCH(1,(GMW!$NE$2:$NE$150=Z$3)*(GMW!$ND$2:$ND$150=Z$4)*(GMW!$NF$2:$NF$150=Z$1),0),$C187-1966)</f>
        <v>61342</v>
      </c>
      <c r="AA187" s="4" cm="1">
        <f t="array" ref="AA187">INDEX(GMW!$A$2:$NF$150,MATCH(1,(GMW!$NE$2:$NE$150=AA$3)*(GMW!$ND$2:$ND$150=AA$4)*(GMW!$NF$2:$NF$150=AA$1),0),$C187-1966)</f>
        <v>606894.1</v>
      </c>
      <c r="AB187" s="4" cm="1">
        <f t="array" ref="AB187">INDEX(GMW!$A$2:$NF$150,MATCH(1,(GMW!$NE$2:$NE$150=AB$3)*(GMW!$ND$2:$ND$150=AB$4)*(GMW!$NF$2:$NF$150=AB$1),0),$C187-1966)</f>
        <v>32326.48</v>
      </c>
      <c r="AC187" s="4" cm="1">
        <f t="array" ref="AC187">INDEX(GMW!$A$2:$NF$150,MATCH(1,(GMW!$NE$2:$NE$150=AC$3)*(GMW!$ND$2:$ND$150=AC$4)*(GMW!$NF$2:$NF$150=AC$1),0),$C187-1966)</f>
        <v>31.9</v>
      </c>
      <c r="AD187" s="4" cm="1">
        <f t="array" ref="AD187">INDEX(GMW!$A$2:$NF$150,MATCH(1,(GMW!$NE$2:$NE$150=AD$3)*(GMW!$ND$2:$ND$150=AD$4)*(GMW!$NF$2:$NF$150=AD$1),0),$C187-1966)</f>
        <v>563736.6</v>
      </c>
      <c r="AE187" s="4" cm="1">
        <f t="array" ref="AE187">INDEX(GMW!$A$2:$NF$150,MATCH(1,(GMW!$NE$2:$NE$150=AE$3)*(GMW!$ND$2:$ND$150=AE$4)*(GMW!$NF$2:$NF$150=AE$1),0),$C187-1966)</f>
        <v>42592.85</v>
      </c>
      <c r="AF187" s="4" cm="1">
        <f t="array" ref="AF187">INDEX(GMW!$A$2:$NF$150,MATCH(1,(GMW!$NE$2:$NE$150=AF$3)*(GMW!$ND$2:$ND$150=AF$4)*(GMW!$NF$2:$NF$150=AF$1),0),$C187-1966)</f>
        <v>3052750</v>
      </c>
      <c r="AG187" s="4" cm="1">
        <f t="array" ref="AG187">INDEX(GMW!$A$2:$NF$150,MATCH(1,(GMW!$NE$2:$NE$150=AG$3)*(GMW!$ND$2:$ND$150=AG$4)*(GMW!$NF$2:$NF$150=AG$1),0),$C187-1966)</f>
        <v>-1.6831700000000001</v>
      </c>
      <c r="AH187" s="4" cm="1">
        <f t="array" ref="AH187">INDEX(GMW!$A$2:$NF$150,MATCH(1,(GMW!$NE$2:$NE$150=AH$3)*(GMW!$ND$2:$ND$150=AH$4)*(GMW!$NF$2:$NF$150=AH$1),0),$C187-1966)</f>
        <v>606785</v>
      </c>
      <c r="AI187" s="4" cm="1">
        <f t="array" ref="AI187">INDEX(GMW!$A$2:$NF$150,MATCH(1,(GMW!$NE$2:$NE$150=AI$3)*(GMW!$ND$2:$ND$150=AI$4)*(GMW!$NF$2:$NF$150=AI$1),0),$C187-1966)</f>
        <v>104.7667</v>
      </c>
      <c r="AJ187" s="4" cm="1">
        <f t="array" ref="AJ187">INDEX(GMW!$A$2:$NF$150,MATCH(1,(GMW!$NE$2:$NE$150=AJ$3)*(GMW!$ND$2:$ND$150=AJ$4)*(GMW!$NF$2:$NF$150=AJ$1),0),$C187-1966)</f>
        <v>201006</v>
      </c>
      <c r="AK187" s="4" cm="1">
        <f t="array" ref="AK187">INDEX(GMW!$A$2:$NF$150,MATCH(1,(GMW!$NE$2:$NE$150=AK$3)*(GMW!$ND$2:$ND$150=AK$4)*(GMW!$NF$2:$NF$150=AK$1),0),$C187-1966)</f>
        <v>91944</v>
      </c>
      <c r="AL187" s="4" cm="1">
        <f t="array" ref="AL187">INDEX(GMW!$A$2:$NF$150,MATCH(1,(GMW!$NE$2:$NE$150=AL$3)*(GMW!$ND$2:$ND$150=AL$4)*(GMW!$NF$2:$NF$150=AL$1),0),$C187-1966)</f>
        <v>212313</v>
      </c>
      <c r="AM187" s="4" cm="1">
        <f t="array" ref="AM187">INDEX(GMW!$A$2:$NF$150,MATCH(1,(GMW!$NE$2:$NE$150=AM$3)*(GMW!$ND$2:$ND$150=AM$4)*(GMW!$NF$2:$NF$150=AM$1),0),$C187-1966)</f>
        <v>122798</v>
      </c>
      <c r="AN187" s="4" cm="1">
        <f t="array" ref="AN187">INDEX(GMW!$A$2:$NF$150,MATCH(1,(GMW!$NE$2:$NE$150=AN$3)*(GMW!$ND$2:$ND$150=AN$4)*(GMW!$NF$2:$NF$150=AN$1),0),$C187-1966)</f>
        <v>109097</v>
      </c>
      <c r="AO187" s="4" cm="1">
        <f t="array" ref="AO187">INDEX(GMW!$A$2:$NF$150,MATCH(1,(GMW!$NE$2:$NE$150=AO$3)*(GMW!$ND$2:$ND$150=AO$4)*(GMW!$NF$2:$NF$150=AO$1),0),$C187-1966)</f>
        <v>61342</v>
      </c>
      <c r="AP187" s="4" cm="1">
        <f t="array" ref="AP187">INDEX(GMW!$A$2:$NF$150,MATCH(1,(GMW!$NE$2:$NE$150=AP$3)*(GMW!$ND$2:$ND$150=AP$4)*(GMW!$NF$2:$NF$150=AP$1),0),$C187-1966)</f>
        <v>606894.1</v>
      </c>
      <c r="AQ187" s="4" cm="1">
        <f t="array" ref="AQ187">INDEX(GMW!$A$2:$NF$150,MATCH(1,(GMW!$NE$2:$NE$150=AQ$3)*(GMW!$ND$2:$ND$150=AQ$4)*(GMW!$NF$2:$NF$150=AQ$1),0),$C187-1966)</f>
        <v>32326.48</v>
      </c>
      <c r="AR187" s="4" cm="1">
        <f t="array" ref="AR187">INDEX(GMW!$A$2:$NF$150,MATCH(1,(GMW!$NE$2:$NE$150=AR$3)*(GMW!$ND$2:$ND$150=AR$4)*(GMW!$NF$2:$NF$150=AR$1),0),$C187-1966)</f>
        <v>31.9</v>
      </c>
      <c r="AS187" s="4" cm="1">
        <f t="array" ref="AS187">INDEX(GMW!$A$2:$NF$150,MATCH(1,(GMW!$NE$2:$NE$150=AS$3)*(GMW!$ND$2:$ND$150=AS$4)*(GMW!$NF$2:$NF$150=AS$1),0),$C187-1966)</f>
        <v>563736.6</v>
      </c>
      <c r="AT187" s="4" cm="1">
        <f t="array" ref="AT187">INDEX(GMW!$A$2:$NF$150,MATCH(1,(GMW!$NE$2:$NE$150=AT$3)*(GMW!$ND$2:$ND$150=AT$4)*(GMW!$NF$2:$NF$150=AT$1),0),$C187-1966)</f>
        <v>42592.85</v>
      </c>
      <c r="AU187" s="4" cm="1">
        <f t="array" ref="AU187">INDEX(GMW!$A$2:$NF$150,MATCH(1,(GMW!$NE$2:$NE$150=AU$3)*(GMW!$ND$2:$ND$150=AU$4)*(GMW!$NF$2:$NF$150=AU$1),0),$C187-1966)</f>
        <v>3052750</v>
      </c>
      <c r="AV187" s="4" cm="1">
        <f t="array" ref="AV187">INDEX(GMW!$A$2:$NF$150,MATCH(1,(GMW!$NE$2:$NE$150=AV$3)*(GMW!$ND$2:$ND$150=AV$4)*(GMW!$NF$2:$NF$150=AV$1),0),$C187-1966)</f>
        <v>-1.6831700000000001</v>
      </c>
    </row>
    <row r="188" spans="1:48" x14ac:dyDescent="0.25">
      <c r="B188" s="4">
        <f t="shared" si="8"/>
        <v>2018</v>
      </c>
      <c r="C188" s="4">
        <f t="shared" si="9"/>
        <v>2154</v>
      </c>
      <c r="D188" s="4" cm="1">
        <f t="array" ref="D188">INDEX(GMW!$A$2:$NF$150,MATCH(1,(GMW!$NE$2:$NE$150=D$3)*(GMW!$ND$2:$ND$150=D$4)*(GMW!$NF$2:$NF$150=D$1),0),$C188-1966)</f>
        <v>607775</v>
      </c>
      <c r="E188" s="4" cm="1">
        <f t="array" ref="E188">INDEX(GMW!$A$2:$NF$150,MATCH(1,(GMW!$NE$2:$NE$150=E$3)*(GMW!$ND$2:$ND$150=E$4)*(GMW!$NF$2:$NF$150=E$1),0),$C188-1966)</f>
        <v>105.66670000000001</v>
      </c>
      <c r="F188" s="4" cm="1">
        <f t="array" ref="F188">INDEX(GMW!$A$2:$NF$150,MATCH(1,(GMW!$NE$2:$NE$150=F$3)*(GMW!$ND$2:$ND$150=F$4)*(GMW!$NF$2:$NF$150=F$1),0),$C188-1966)</f>
        <v>202164</v>
      </c>
      <c r="G188" s="4" cm="1">
        <f t="array" ref="G188">INDEX(GMW!$A$2:$NF$150,MATCH(1,(GMW!$NE$2:$NE$150=G$3)*(GMW!$ND$2:$ND$150=G$4)*(GMW!$NF$2:$NF$150=G$1),0),$C188-1966)</f>
        <v>89256</v>
      </c>
      <c r="H188" s="4" cm="1">
        <f t="array" ref="H188">INDEX(GMW!$A$2:$NF$150,MATCH(1,(GMW!$NE$2:$NE$150=H$3)*(GMW!$ND$2:$ND$150=H$4)*(GMW!$NF$2:$NF$150=H$1),0),$C188-1966)</f>
        <v>213752</v>
      </c>
      <c r="I188" s="4" cm="1">
        <f t="array" ref="I188">INDEX(GMW!$A$2:$NF$150,MATCH(1,(GMW!$NE$2:$NE$150=I$3)*(GMW!$ND$2:$ND$150=I$4)*(GMW!$NF$2:$NF$150=I$1),0),$C188-1966)</f>
        <v>123826</v>
      </c>
      <c r="J188" s="4" cm="1">
        <f t="array" ref="J188">INDEX(GMW!$A$2:$NF$150,MATCH(1,(GMW!$NE$2:$NE$150=J$3)*(GMW!$ND$2:$ND$150=J$4)*(GMW!$NF$2:$NF$150=J$1),0),$C188-1966)</f>
        <v>107829</v>
      </c>
      <c r="K188" s="4" cm="1">
        <f t="array" ref="K188">INDEX(GMW!$A$2:$NF$150,MATCH(1,(GMW!$NE$2:$NE$150=K$3)*(GMW!$ND$2:$ND$150=K$4)*(GMW!$NF$2:$NF$150=K$1),0),$C188-1966)</f>
        <v>60055</v>
      </c>
      <c r="L188" s="4" cm="1">
        <f t="array" ref="L188">INDEX(GMW!$A$2:$NF$150,MATCH(1,(GMW!$NE$2:$NE$150=L$3)*(GMW!$ND$2:$ND$150=L$4)*(GMW!$NF$2:$NF$150=L$1),0),$C188-1966)</f>
        <v>608265.19999999995</v>
      </c>
      <c r="M188" s="4" cm="1">
        <f t="array" ref="M188">INDEX(GMW!$A$2:$NF$150,MATCH(1,(GMW!$NE$2:$NE$150=M$3)*(GMW!$ND$2:$ND$150=M$4)*(GMW!$NF$2:$NF$150=M$1),0),$C188-1966)</f>
        <v>32330.01</v>
      </c>
      <c r="N188" s="4" cm="1">
        <f t="array" ref="N188">INDEX(GMW!$A$2:$NF$150,MATCH(1,(GMW!$NE$2:$NE$150=N$3)*(GMW!$ND$2:$ND$150=N$4)*(GMW!$NF$2:$NF$150=N$1),0),$C188-1966)</f>
        <v>31.9</v>
      </c>
      <c r="O188" s="4" cm="1">
        <f t="array" ref="O188">INDEX(GMW!$A$2:$NF$150,MATCH(1,(GMW!$NE$2:$NE$150=O$3)*(GMW!$ND$2:$ND$150=O$4)*(GMW!$NF$2:$NF$150=O$1),0),$C188-1966)</f>
        <v>565345.4</v>
      </c>
      <c r="P188" s="4" cm="1">
        <f t="array" ref="P188">INDEX(GMW!$A$2:$NF$150,MATCH(1,(GMW!$NE$2:$NE$150=P$3)*(GMW!$ND$2:$ND$150=P$4)*(GMW!$NF$2:$NF$150=P$1),0),$C188-1966)</f>
        <v>42638.559999999998</v>
      </c>
      <c r="Q188" s="4" cm="1">
        <f t="array" ref="Q188">INDEX(GMW!$A$2:$NF$150,MATCH(1,(GMW!$NE$2:$NE$150=Q$3)*(GMW!$ND$2:$ND$150=Q$4)*(GMW!$NF$2:$NF$150=Q$1),0),$C188-1966)</f>
        <v>3067500</v>
      </c>
      <c r="R188" s="4" cm="1">
        <f t="array" ref="R188">INDEX(GMW!$A$2:$NF$150,MATCH(1,(GMW!$NE$2:$NE$150=R$3)*(GMW!$ND$2:$ND$150=R$4)*(GMW!$NF$2:$NF$150=R$1),0),$C188-1966)</f>
        <v>-1.6832130000000001</v>
      </c>
      <c r="S188" s="4" cm="1">
        <f t="array" ref="S188">INDEX(GMW!$A$2:$NF$150,MATCH(1,(GMW!$NE$2:$NE$150=S$3)*(GMW!$ND$2:$ND$150=S$4)*(GMW!$NF$2:$NF$150=S$1),0),$C188-1966)</f>
        <v>607775</v>
      </c>
      <c r="T188" s="4" cm="1">
        <f t="array" ref="T188">INDEX(GMW!$A$2:$NF$150,MATCH(1,(GMW!$NE$2:$NE$150=T$3)*(GMW!$ND$2:$ND$150=T$4)*(GMW!$NF$2:$NF$150=T$1),0),$C188-1966)</f>
        <v>105.66670000000001</v>
      </c>
      <c r="U188" s="4" cm="1">
        <f t="array" ref="U188">INDEX(GMW!$A$2:$NF$150,MATCH(1,(GMW!$NE$2:$NE$150=U$3)*(GMW!$ND$2:$ND$150=U$4)*(GMW!$NF$2:$NF$150=U$1),0),$C188-1966)</f>
        <v>202164</v>
      </c>
      <c r="V188" s="4" cm="1">
        <f t="array" ref="V188">INDEX(GMW!$A$2:$NF$150,MATCH(1,(GMW!$NE$2:$NE$150=V$3)*(GMW!$ND$2:$ND$150=V$4)*(GMW!$NF$2:$NF$150=V$1),0),$C188-1966)</f>
        <v>89256</v>
      </c>
      <c r="W188" s="4" cm="1">
        <f t="array" ref="W188">INDEX(GMW!$A$2:$NF$150,MATCH(1,(GMW!$NE$2:$NE$150=W$3)*(GMW!$ND$2:$ND$150=W$4)*(GMW!$NF$2:$NF$150=W$1),0),$C188-1966)</f>
        <v>213752</v>
      </c>
      <c r="X188" s="4" cm="1">
        <f t="array" ref="X188">INDEX(GMW!$A$2:$NF$150,MATCH(1,(GMW!$NE$2:$NE$150=X$3)*(GMW!$ND$2:$ND$150=X$4)*(GMW!$NF$2:$NF$150=X$1),0),$C188-1966)</f>
        <v>123826</v>
      </c>
      <c r="Y188" s="4" cm="1">
        <f t="array" ref="Y188">INDEX(GMW!$A$2:$NF$150,MATCH(1,(GMW!$NE$2:$NE$150=Y$3)*(GMW!$ND$2:$ND$150=Y$4)*(GMW!$NF$2:$NF$150=Y$1),0),$C188-1966)</f>
        <v>107829</v>
      </c>
      <c r="Z188" s="4" cm="1">
        <f t="array" ref="Z188">INDEX(GMW!$A$2:$NF$150,MATCH(1,(GMW!$NE$2:$NE$150=Z$3)*(GMW!$ND$2:$ND$150=Z$4)*(GMW!$NF$2:$NF$150=Z$1),0),$C188-1966)</f>
        <v>60055</v>
      </c>
      <c r="AA188" s="4" cm="1">
        <f t="array" ref="AA188">INDEX(GMW!$A$2:$NF$150,MATCH(1,(GMW!$NE$2:$NE$150=AA$3)*(GMW!$ND$2:$ND$150=AA$4)*(GMW!$NF$2:$NF$150=AA$1),0),$C188-1966)</f>
        <v>608265.19999999995</v>
      </c>
      <c r="AB188" s="4" cm="1">
        <f t="array" ref="AB188">INDEX(GMW!$A$2:$NF$150,MATCH(1,(GMW!$NE$2:$NE$150=AB$3)*(GMW!$ND$2:$ND$150=AB$4)*(GMW!$NF$2:$NF$150=AB$1),0),$C188-1966)</f>
        <v>32330.01</v>
      </c>
      <c r="AC188" s="4" cm="1">
        <f t="array" ref="AC188">INDEX(GMW!$A$2:$NF$150,MATCH(1,(GMW!$NE$2:$NE$150=AC$3)*(GMW!$ND$2:$ND$150=AC$4)*(GMW!$NF$2:$NF$150=AC$1),0),$C188-1966)</f>
        <v>31.9</v>
      </c>
      <c r="AD188" s="4" cm="1">
        <f t="array" ref="AD188">INDEX(GMW!$A$2:$NF$150,MATCH(1,(GMW!$NE$2:$NE$150=AD$3)*(GMW!$ND$2:$ND$150=AD$4)*(GMW!$NF$2:$NF$150=AD$1),0),$C188-1966)</f>
        <v>565345.4</v>
      </c>
      <c r="AE188" s="4" cm="1">
        <f t="array" ref="AE188">INDEX(GMW!$A$2:$NF$150,MATCH(1,(GMW!$NE$2:$NE$150=AE$3)*(GMW!$ND$2:$ND$150=AE$4)*(GMW!$NF$2:$NF$150=AE$1),0),$C188-1966)</f>
        <v>42638.559999999998</v>
      </c>
      <c r="AF188" s="4" cm="1">
        <f t="array" ref="AF188">INDEX(GMW!$A$2:$NF$150,MATCH(1,(GMW!$NE$2:$NE$150=AF$3)*(GMW!$ND$2:$ND$150=AF$4)*(GMW!$NF$2:$NF$150=AF$1),0),$C188-1966)</f>
        <v>3067500</v>
      </c>
      <c r="AG188" s="4" cm="1">
        <f t="array" ref="AG188">INDEX(GMW!$A$2:$NF$150,MATCH(1,(GMW!$NE$2:$NE$150=AG$3)*(GMW!$ND$2:$ND$150=AG$4)*(GMW!$NF$2:$NF$150=AG$1),0),$C188-1966)</f>
        <v>-1.6832130000000001</v>
      </c>
      <c r="AH188" s="4" cm="1">
        <f t="array" ref="AH188">INDEX(GMW!$A$2:$NF$150,MATCH(1,(GMW!$NE$2:$NE$150=AH$3)*(GMW!$ND$2:$ND$150=AH$4)*(GMW!$NF$2:$NF$150=AH$1),0),$C188-1966)</f>
        <v>607775</v>
      </c>
      <c r="AI188" s="4" cm="1">
        <f t="array" ref="AI188">INDEX(GMW!$A$2:$NF$150,MATCH(1,(GMW!$NE$2:$NE$150=AI$3)*(GMW!$ND$2:$ND$150=AI$4)*(GMW!$NF$2:$NF$150=AI$1),0),$C188-1966)</f>
        <v>105.66670000000001</v>
      </c>
      <c r="AJ188" s="4" cm="1">
        <f t="array" ref="AJ188">INDEX(GMW!$A$2:$NF$150,MATCH(1,(GMW!$NE$2:$NE$150=AJ$3)*(GMW!$ND$2:$ND$150=AJ$4)*(GMW!$NF$2:$NF$150=AJ$1),0),$C188-1966)</f>
        <v>202164</v>
      </c>
      <c r="AK188" s="4" cm="1">
        <f t="array" ref="AK188">INDEX(GMW!$A$2:$NF$150,MATCH(1,(GMW!$NE$2:$NE$150=AK$3)*(GMW!$ND$2:$ND$150=AK$4)*(GMW!$NF$2:$NF$150=AK$1),0),$C188-1966)</f>
        <v>89256</v>
      </c>
      <c r="AL188" s="4" cm="1">
        <f t="array" ref="AL188">INDEX(GMW!$A$2:$NF$150,MATCH(1,(GMW!$NE$2:$NE$150=AL$3)*(GMW!$ND$2:$ND$150=AL$4)*(GMW!$NF$2:$NF$150=AL$1),0),$C188-1966)</f>
        <v>213752</v>
      </c>
      <c r="AM188" s="4" cm="1">
        <f t="array" ref="AM188">INDEX(GMW!$A$2:$NF$150,MATCH(1,(GMW!$NE$2:$NE$150=AM$3)*(GMW!$ND$2:$ND$150=AM$4)*(GMW!$NF$2:$NF$150=AM$1),0),$C188-1966)</f>
        <v>123826</v>
      </c>
      <c r="AN188" s="4" cm="1">
        <f t="array" ref="AN188">INDEX(GMW!$A$2:$NF$150,MATCH(1,(GMW!$NE$2:$NE$150=AN$3)*(GMW!$ND$2:$ND$150=AN$4)*(GMW!$NF$2:$NF$150=AN$1),0),$C188-1966)</f>
        <v>107829</v>
      </c>
      <c r="AO188" s="4" cm="1">
        <f t="array" ref="AO188">INDEX(GMW!$A$2:$NF$150,MATCH(1,(GMW!$NE$2:$NE$150=AO$3)*(GMW!$ND$2:$ND$150=AO$4)*(GMW!$NF$2:$NF$150=AO$1),0),$C188-1966)</f>
        <v>60055</v>
      </c>
      <c r="AP188" s="4" cm="1">
        <f t="array" ref="AP188">INDEX(GMW!$A$2:$NF$150,MATCH(1,(GMW!$NE$2:$NE$150=AP$3)*(GMW!$ND$2:$ND$150=AP$4)*(GMW!$NF$2:$NF$150=AP$1),0),$C188-1966)</f>
        <v>608265.19999999995</v>
      </c>
      <c r="AQ188" s="4" cm="1">
        <f t="array" ref="AQ188">INDEX(GMW!$A$2:$NF$150,MATCH(1,(GMW!$NE$2:$NE$150=AQ$3)*(GMW!$ND$2:$ND$150=AQ$4)*(GMW!$NF$2:$NF$150=AQ$1),0),$C188-1966)</f>
        <v>32330.01</v>
      </c>
      <c r="AR188" s="4" cm="1">
        <f t="array" ref="AR188">INDEX(GMW!$A$2:$NF$150,MATCH(1,(GMW!$NE$2:$NE$150=AR$3)*(GMW!$ND$2:$ND$150=AR$4)*(GMW!$NF$2:$NF$150=AR$1),0),$C188-1966)</f>
        <v>31.9</v>
      </c>
      <c r="AS188" s="4" cm="1">
        <f t="array" ref="AS188">INDEX(GMW!$A$2:$NF$150,MATCH(1,(GMW!$NE$2:$NE$150=AS$3)*(GMW!$ND$2:$ND$150=AS$4)*(GMW!$NF$2:$NF$150=AS$1),0),$C188-1966)</f>
        <v>565345.4</v>
      </c>
      <c r="AT188" s="4" cm="1">
        <f t="array" ref="AT188">INDEX(GMW!$A$2:$NF$150,MATCH(1,(GMW!$NE$2:$NE$150=AT$3)*(GMW!$ND$2:$ND$150=AT$4)*(GMW!$NF$2:$NF$150=AT$1),0),$C188-1966)</f>
        <v>42638.559999999998</v>
      </c>
      <c r="AU188" s="4" cm="1">
        <f t="array" ref="AU188">INDEX(GMW!$A$2:$NF$150,MATCH(1,(GMW!$NE$2:$NE$150=AU$3)*(GMW!$ND$2:$ND$150=AU$4)*(GMW!$NF$2:$NF$150=AU$1),0),$C188-1966)</f>
        <v>3067500</v>
      </c>
      <c r="AV188" s="4" cm="1">
        <f t="array" ref="AV188">INDEX(GMW!$A$2:$NF$150,MATCH(1,(GMW!$NE$2:$NE$150=AV$3)*(GMW!$ND$2:$ND$150=AV$4)*(GMW!$NF$2:$NF$150=AV$1),0),$C188-1966)</f>
        <v>-1.6832130000000001</v>
      </c>
    </row>
    <row r="189" spans="1:48" x14ac:dyDescent="0.25">
      <c r="B189" s="4">
        <f t="shared" si="8"/>
        <v>2018</v>
      </c>
      <c r="C189" s="4">
        <f t="shared" si="9"/>
        <v>2155</v>
      </c>
      <c r="D189" s="4" cm="1">
        <f t="array" ref="D189">INDEX(GMW!$A$2:$NF$150,MATCH(1,(GMW!$NE$2:$NE$150=D$3)*(GMW!$ND$2:$ND$150=D$4)*(GMW!$NF$2:$NF$150=D$1),0),$C189-1966)</f>
        <v>609653</v>
      </c>
      <c r="E189" s="4" cm="1">
        <f t="array" ref="E189">INDEX(GMW!$A$2:$NF$150,MATCH(1,(GMW!$NE$2:$NE$150=E$3)*(GMW!$ND$2:$ND$150=E$4)*(GMW!$NF$2:$NF$150=E$1),0),$C189-1966)</f>
        <v>106.3</v>
      </c>
      <c r="F189" s="4" cm="1">
        <f t="array" ref="F189">INDEX(GMW!$A$2:$NF$150,MATCH(1,(GMW!$NE$2:$NE$150=F$3)*(GMW!$ND$2:$ND$150=F$4)*(GMW!$NF$2:$NF$150=F$1),0),$C189-1966)</f>
        <v>204858</v>
      </c>
      <c r="G189" s="4" cm="1">
        <f t="array" ref="G189">INDEX(GMW!$A$2:$NF$150,MATCH(1,(GMW!$NE$2:$NE$150=G$3)*(GMW!$ND$2:$ND$150=G$4)*(GMW!$NF$2:$NF$150=G$1),0),$C189-1966)</f>
        <v>89300</v>
      </c>
      <c r="H189" s="4" cm="1">
        <f t="array" ref="H189">INDEX(GMW!$A$2:$NF$150,MATCH(1,(GMW!$NE$2:$NE$150=H$3)*(GMW!$ND$2:$ND$150=H$4)*(GMW!$NF$2:$NF$150=H$1),0),$C189-1966)</f>
        <v>214831</v>
      </c>
      <c r="I189" s="4" cm="1">
        <f t="array" ref="I189">INDEX(GMW!$A$2:$NF$150,MATCH(1,(GMW!$NE$2:$NE$150=I$3)*(GMW!$ND$2:$ND$150=I$4)*(GMW!$NF$2:$NF$150=I$1),0),$C189-1966)</f>
        <v>123605</v>
      </c>
      <c r="J189" s="4" cm="1">
        <f t="array" ref="J189">INDEX(GMW!$A$2:$NF$150,MATCH(1,(GMW!$NE$2:$NE$150=J$3)*(GMW!$ND$2:$ND$150=J$4)*(GMW!$NF$2:$NF$150=J$1),0),$C189-1966)</f>
        <v>107807</v>
      </c>
      <c r="K189" s="4" cm="1">
        <f t="array" ref="K189">INDEX(GMW!$A$2:$NF$150,MATCH(1,(GMW!$NE$2:$NE$150=K$3)*(GMW!$ND$2:$ND$150=K$4)*(GMW!$NF$2:$NF$150=K$1),0),$C189-1966)</f>
        <v>60115</v>
      </c>
      <c r="L189" s="4" cm="1">
        <f t="array" ref="L189">INDEX(GMW!$A$2:$NF$150,MATCH(1,(GMW!$NE$2:$NE$150=L$3)*(GMW!$ND$2:$ND$150=L$4)*(GMW!$NF$2:$NF$150=L$1),0),$C189-1966)</f>
        <v>614132.80000000005</v>
      </c>
      <c r="M189" s="4" cm="1">
        <f t="array" ref="M189">INDEX(GMW!$A$2:$NF$150,MATCH(1,(GMW!$NE$2:$NE$150=M$3)*(GMW!$ND$2:$ND$150=M$4)*(GMW!$NF$2:$NF$150=M$1),0),$C189-1966)</f>
        <v>32396.79</v>
      </c>
      <c r="N189" s="4" cm="1">
        <f t="array" ref="N189">INDEX(GMW!$A$2:$NF$150,MATCH(1,(GMW!$NE$2:$NE$150=N$3)*(GMW!$ND$2:$ND$150=N$4)*(GMW!$NF$2:$NF$150=N$1),0),$C189-1966)</f>
        <v>32.200000000000003</v>
      </c>
      <c r="O189" s="4" cm="1">
        <f t="array" ref="O189">INDEX(GMW!$A$2:$NF$150,MATCH(1,(GMW!$NE$2:$NE$150=O$3)*(GMW!$ND$2:$ND$150=O$4)*(GMW!$NF$2:$NF$150=O$1),0),$C189-1966)</f>
        <v>566909.9</v>
      </c>
      <c r="P189" s="4" cm="1">
        <f t="array" ref="P189">INDEX(GMW!$A$2:$NF$150,MATCH(1,(GMW!$NE$2:$NE$150=P$3)*(GMW!$ND$2:$ND$150=P$4)*(GMW!$NF$2:$NF$150=P$1),0),$C189-1966)</f>
        <v>42681.03</v>
      </c>
      <c r="Q189" s="4" cm="1">
        <f t="array" ref="Q189">INDEX(GMW!$A$2:$NF$150,MATCH(1,(GMW!$NE$2:$NE$150=Q$3)*(GMW!$ND$2:$ND$150=Q$4)*(GMW!$NF$2:$NF$150=Q$1),0),$C189-1966)</f>
        <v>3082250</v>
      </c>
      <c r="R189" s="4" cm="1">
        <f t="array" ref="R189">INDEX(GMW!$A$2:$NF$150,MATCH(1,(GMW!$NE$2:$NE$150=R$3)*(GMW!$ND$2:$ND$150=R$4)*(GMW!$NF$2:$NF$150=R$1),0),$C189-1966)</f>
        <v>-1.6832560000000001</v>
      </c>
      <c r="S189" s="4" cm="1">
        <f t="array" ref="S189">INDEX(GMW!$A$2:$NF$150,MATCH(1,(GMW!$NE$2:$NE$150=S$3)*(GMW!$ND$2:$ND$150=S$4)*(GMW!$NF$2:$NF$150=S$1),0),$C189-1966)</f>
        <v>609653</v>
      </c>
      <c r="T189" s="4" cm="1">
        <f t="array" ref="T189">INDEX(GMW!$A$2:$NF$150,MATCH(1,(GMW!$NE$2:$NE$150=T$3)*(GMW!$ND$2:$ND$150=T$4)*(GMW!$NF$2:$NF$150=T$1),0),$C189-1966)</f>
        <v>106.3</v>
      </c>
      <c r="U189" s="4" cm="1">
        <f t="array" ref="U189">INDEX(GMW!$A$2:$NF$150,MATCH(1,(GMW!$NE$2:$NE$150=U$3)*(GMW!$ND$2:$ND$150=U$4)*(GMW!$NF$2:$NF$150=U$1),0),$C189-1966)</f>
        <v>204858</v>
      </c>
      <c r="V189" s="4" cm="1">
        <f t="array" ref="V189">INDEX(GMW!$A$2:$NF$150,MATCH(1,(GMW!$NE$2:$NE$150=V$3)*(GMW!$ND$2:$ND$150=V$4)*(GMW!$NF$2:$NF$150=V$1),0),$C189-1966)</f>
        <v>89300</v>
      </c>
      <c r="W189" s="4" cm="1">
        <f t="array" ref="W189">INDEX(GMW!$A$2:$NF$150,MATCH(1,(GMW!$NE$2:$NE$150=W$3)*(GMW!$ND$2:$ND$150=W$4)*(GMW!$NF$2:$NF$150=W$1),0),$C189-1966)</f>
        <v>214831</v>
      </c>
      <c r="X189" s="4" cm="1">
        <f t="array" ref="X189">INDEX(GMW!$A$2:$NF$150,MATCH(1,(GMW!$NE$2:$NE$150=X$3)*(GMW!$ND$2:$ND$150=X$4)*(GMW!$NF$2:$NF$150=X$1),0),$C189-1966)</f>
        <v>123605</v>
      </c>
      <c r="Y189" s="4" cm="1">
        <f t="array" ref="Y189">INDEX(GMW!$A$2:$NF$150,MATCH(1,(GMW!$NE$2:$NE$150=Y$3)*(GMW!$ND$2:$ND$150=Y$4)*(GMW!$NF$2:$NF$150=Y$1),0),$C189-1966)</f>
        <v>107807</v>
      </c>
      <c r="Z189" s="4" cm="1">
        <f t="array" ref="Z189">INDEX(GMW!$A$2:$NF$150,MATCH(1,(GMW!$NE$2:$NE$150=Z$3)*(GMW!$ND$2:$ND$150=Z$4)*(GMW!$NF$2:$NF$150=Z$1),0),$C189-1966)</f>
        <v>60115</v>
      </c>
      <c r="AA189" s="4" cm="1">
        <f t="array" ref="AA189">INDEX(GMW!$A$2:$NF$150,MATCH(1,(GMW!$NE$2:$NE$150=AA$3)*(GMW!$ND$2:$ND$150=AA$4)*(GMW!$NF$2:$NF$150=AA$1),0),$C189-1966)</f>
        <v>614132.80000000005</v>
      </c>
      <c r="AB189" s="4" cm="1">
        <f t="array" ref="AB189">INDEX(GMW!$A$2:$NF$150,MATCH(1,(GMW!$NE$2:$NE$150=AB$3)*(GMW!$ND$2:$ND$150=AB$4)*(GMW!$NF$2:$NF$150=AB$1),0),$C189-1966)</f>
        <v>32396.79</v>
      </c>
      <c r="AC189" s="4" cm="1">
        <f t="array" ref="AC189">INDEX(GMW!$A$2:$NF$150,MATCH(1,(GMW!$NE$2:$NE$150=AC$3)*(GMW!$ND$2:$ND$150=AC$4)*(GMW!$NF$2:$NF$150=AC$1),0),$C189-1966)</f>
        <v>32.200000000000003</v>
      </c>
      <c r="AD189" s="4" cm="1">
        <f t="array" ref="AD189">INDEX(GMW!$A$2:$NF$150,MATCH(1,(GMW!$NE$2:$NE$150=AD$3)*(GMW!$ND$2:$ND$150=AD$4)*(GMW!$NF$2:$NF$150=AD$1),0),$C189-1966)</f>
        <v>566909.9</v>
      </c>
      <c r="AE189" s="4" cm="1">
        <f t="array" ref="AE189">INDEX(GMW!$A$2:$NF$150,MATCH(1,(GMW!$NE$2:$NE$150=AE$3)*(GMW!$ND$2:$ND$150=AE$4)*(GMW!$NF$2:$NF$150=AE$1),0),$C189-1966)</f>
        <v>42681.03</v>
      </c>
      <c r="AF189" s="4" cm="1">
        <f t="array" ref="AF189">INDEX(GMW!$A$2:$NF$150,MATCH(1,(GMW!$NE$2:$NE$150=AF$3)*(GMW!$ND$2:$ND$150=AF$4)*(GMW!$NF$2:$NF$150=AF$1),0),$C189-1966)</f>
        <v>3082250</v>
      </c>
      <c r="AG189" s="4" cm="1">
        <f t="array" ref="AG189">INDEX(GMW!$A$2:$NF$150,MATCH(1,(GMW!$NE$2:$NE$150=AG$3)*(GMW!$ND$2:$ND$150=AG$4)*(GMW!$NF$2:$NF$150=AG$1),0),$C189-1966)</f>
        <v>-1.6832560000000001</v>
      </c>
      <c r="AH189" s="4" cm="1">
        <f t="array" ref="AH189">INDEX(GMW!$A$2:$NF$150,MATCH(1,(GMW!$NE$2:$NE$150=AH$3)*(GMW!$ND$2:$ND$150=AH$4)*(GMW!$NF$2:$NF$150=AH$1),0),$C189-1966)</f>
        <v>609653</v>
      </c>
      <c r="AI189" s="4" cm="1">
        <f t="array" ref="AI189">INDEX(GMW!$A$2:$NF$150,MATCH(1,(GMW!$NE$2:$NE$150=AI$3)*(GMW!$ND$2:$ND$150=AI$4)*(GMW!$NF$2:$NF$150=AI$1),0),$C189-1966)</f>
        <v>106.3</v>
      </c>
      <c r="AJ189" s="4" cm="1">
        <f t="array" ref="AJ189">INDEX(GMW!$A$2:$NF$150,MATCH(1,(GMW!$NE$2:$NE$150=AJ$3)*(GMW!$ND$2:$ND$150=AJ$4)*(GMW!$NF$2:$NF$150=AJ$1),0),$C189-1966)</f>
        <v>204858</v>
      </c>
      <c r="AK189" s="4" cm="1">
        <f t="array" ref="AK189">INDEX(GMW!$A$2:$NF$150,MATCH(1,(GMW!$NE$2:$NE$150=AK$3)*(GMW!$ND$2:$ND$150=AK$4)*(GMW!$NF$2:$NF$150=AK$1),0),$C189-1966)</f>
        <v>89300</v>
      </c>
      <c r="AL189" s="4" cm="1">
        <f t="array" ref="AL189">INDEX(GMW!$A$2:$NF$150,MATCH(1,(GMW!$NE$2:$NE$150=AL$3)*(GMW!$ND$2:$ND$150=AL$4)*(GMW!$NF$2:$NF$150=AL$1),0),$C189-1966)</f>
        <v>214831</v>
      </c>
      <c r="AM189" s="4" cm="1">
        <f t="array" ref="AM189">INDEX(GMW!$A$2:$NF$150,MATCH(1,(GMW!$NE$2:$NE$150=AM$3)*(GMW!$ND$2:$ND$150=AM$4)*(GMW!$NF$2:$NF$150=AM$1),0),$C189-1966)</f>
        <v>123605</v>
      </c>
      <c r="AN189" s="4" cm="1">
        <f t="array" ref="AN189">INDEX(GMW!$A$2:$NF$150,MATCH(1,(GMW!$NE$2:$NE$150=AN$3)*(GMW!$ND$2:$ND$150=AN$4)*(GMW!$NF$2:$NF$150=AN$1),0),$C189-1966)</f>
        <v>107807</v>
      </c>
      <c r="AO189" s="4" cm="1">
        <f t="array" ref="AO189">INDEX(GMW!$A$2:$NF$150,MATCH(1,(GMW!$NE$2:$NE$150=AO$3)*(GMW!$ND$2:$ND$150=AO$4)*(GMW!$NF$2:$NF$150=AO$1),0),$C189-1966)</f>
        <v>60115</v>
      </c>
      <c r="AP189" s="4" cm="1">
        <f t="array" ref="AP189">INDEX(GMW!$A$2:$NF$150,MATCH(1,(GMW!$NE$2:$NE$150=AP$3)*(GMW!$ND$2:$ND$150=AP$4)*(GMW!$NF$2:$NF$150=AP$1),0),$C189-1966)</f>
        <v>614132.80000000005</v>
      </c>
      <c r="AQ189" s="4" cm="1">
        <f t="array" ref="AQ189">INDEX(GMW!$A$2:$NF$150,MATCH(1,(GMW!$NE$2:$NE$150=AQ$3)*(GMW!$ND$2:$ND$150=AQ$4)*(GMW!$NF$2:$NF$150=AQ$1),0),$C189-1966)</f>
        <v>32396.79</v>
      </c>
      <c r="AR189" s="4" cm="1">
        <f t="array" ref="AR189">INDEX(GMW!$A$2:$NF$150,MATCH(1,(GMW!$NE$2:$NE$150=AR$3)*(GMW!$ND$2:$ND$150=AR$4)*(GMW!$NF$2:$NF$150=AR$1),0),$C189-1966)</f>
        <v>32.200000000000003</v>
      </c>
      <c r="AS189" s="4" cm="1">
        <f t="array" ref="AS189">INDEX(GMW!$A$2:$NF$150,MATCH(1,(GMW!$NE$2:$NE$150=AS$3)*(GMW!$ND$2:$ND$150=AS$4)*(GMW!$NF$2:$NF$150=AS$1),0),$C189-1966)</f>
        <v>566909.9</v>
      </c>
      <c r="AT189" s="4" cm="1">
        <f t="array" ref="AT189">INDEX(GMW!$A$2:$NF$150,MATCH(1,(GMW!$NE$2:$NE$150=AT$3)*(GMW!$ND$2:$ND$150=AT$4)*(GMW!$NF$2:$NF$150=AT$1),0),$C189-1966)</f>
        <v>42681.03</v>
      </c>
      <c r="AU189" s="4" cm="1">
        <f t="array" ref="AU189">INDEX(GMW!$A$2:$NF$150,MATCH(1,(GMW!$NE$2:$NE$150=AU$3)*(GMW!$ND$2:$ND$150=AU$4)*(GMW!$NF$2:$NF$150=AU$1),0),$C189-1966)</f>
        <v>3082250</v>
      </c>
      <c r="AV189" s="4" cm="1">
        <f t="array" ref="AV189">INDEX(GMW!$A$2:$NF$150,MATCH(1,(GMW!$NE$2:$NE$150=AV$3)*(GMW!$ND$2:$ND$150=AV$4)*(GMW!$NF$2:$NF$150=AV$1),0),$C189-1966)</f>
        <v>-1.6832560000000001</v>
      </c>
    </row>
    <row r="190" spans="1:48" x14ac:dyDescent="0.25">
      <c r="B190" s="4">
        <f t="shared" si="8"/>
        <v>2018</v>
      </c>
      <c r="C190" s="4">
        <f t="shared" si="9"/>
        <v>2156</v>
      </c>
      <c r="D190" s="4" cm="1">
        <f t="array" ref="D190">INDEX(GMW!$A$2:$NF$150,MATCH(1,(GMW!$NE$2:$NE$150=D$3)*(GMW!$ND$2:$ND$150=D$4)*(GMW!$NF$2:$NF$150=D$1),0),$C190-1966)</f>
        <v>610481</v>
      </c>
      <c r="E190" s="4" cm="1">
        <f t="array" ref="E190">INDEX(GMW!$A$2:$NF$150,MATCH(1,(GMW!$NE$2:$NE$150=E$3)*(GMW!$ND$2:$ND$150=E$4)*(GMW!$NF$2:$NF$150=E$1),0),$C190-1966)</f>
        <v>106.9333</v>
      </c>
      <c r="F190" s="4" cm="1">
        <f t="array" ref="F190">INDEX(GMW!$A$2:$NF$150,MATCH(1,(GMW!$NE$2:$NE$150=F$3)*(GMW!$ND$2:$ND$150=F$4)*(GMW!$NF$2:$NF$150=F$1),0),$C190-1966)</f>
        <v>203100</v>
      </c>
      <c r="G190" s="4" cm="1">
        <f t="array" ref="G190">INDEX(GMW!$A$2:$NF$150,MATCH(1,(GMW!$NE$2:$NE$150=G$3)*(GMW!$ND$2:$ND$150=G$4)*(GMW!$NF$2:$NF$150=G$1),0),$C190-1966)</f>
        <v>87750</v>
      </c>
      <c r="H190" s="4" cm="1">
        <f t="array" ref="H190">INDEX(GMW!$A$2:$NF$150,MATCH(1,(GMW!$NE$2:$NE$150=H$3)*(GMW!$ND$2:$ND$150=H$4)*(GMW!$NF$2:$NF$150=H$1),0),$C190-1966)</f>
        <v>222831</v>
      </c>
      <c r="I190" s="4" cm="1">
        <f t="array" ref="I190">INDEX(GMW!$A$2:$NF$150,MATCH(1,(GMW!$NE$2:$NE$150=I$3)*(GMW!$ND$2:$ND$150=I$4)*(GMW!$NF$2:$NF$150=I$1),0),$C190-1966)</f>
        <v>126985</v>
      </c>
      <c r="J190" s="4" cm="1">
        <f t="array" ref="J190">INDEX(GMW!$A$2:$NF$150,MATCH(1,(GMW!$NE$2:$NE$150=J$3)*(GMW!$ND$2:$ND$150=J$4)*(GMW!$NF$2:$NF$150=J$1),0),$C190-1966)</f>
        <v>107662</v>
      </c>
      <c r="K190" s="4" cm="1">
        <f t="array" ref="K190">INDEX(GMW!$A$2:$NF$150,MATCH(1,(GMW!$NE$2:$NE$150=K$3)*(GMW!$ND$2:$ND$150=K$4)*(GMW!$NF$2:$NF$150=K$1),0),$C190-1966)</f>
        <v>60536</v>
      </c>
      <c r="L190" s="4" cm="1">
        <f t="array" ref="L190">INDEX(GMW!$A$2:$NF$150,MATCH(1,(GMW!$NE$2:$NE$150=L$3)*(GMW!$ND$2:$ND$150=L$4)*(GMW!$NF$2:$NF$150=L$1),0),$C190-1966)</f>
        <v>614948.4</v>
      </c>
      <c r="M190" s="4" cm="1">
        <f t="array" ref="M190">INDEX(GMW!$A$2:$NF$150,MATCH(1,(GMW!$NE$2:$NE$150=M$3)*(GMW!$ND$2:$ND$150=M$4)*(GMW!$NF$2:$NF$150=M$1),0),$C190-1966)</f>
        <v>32557.35</v>
      </c>
      <c r="N190" s="4" cm="1">
        <f t="array" ref="N190">INDEX(GMW!$A$2:$NF$150,MATCH(1,(GMW!$NE$2:$NE$150=N$3)*(GMW!$ND$2:$ND$150=N$4)*(GMW!$NF$2:$NF$150=N$1),0),$C190-1966)</f>
        <v>32</v>
      </c>
      <c r="O190" s="4" cm="1">
        <f t="array" ref="O190">INDEX(GMW!$A$2:$NF$150,MATCH(1,(GMW!$NE$2:$NE$150=O$3)*(GMW!$ND$2:$ND$150=O$4)*(GMW!$NF$2:$NF$150=O$1),0),$C190-1966)</f>
        <v>568472.69999999995</v>
      </c>
      <c r="P190" s="4" cm="1">
        <f t="array" ref="P190">INDEX(GMW!$A$2:$NF$150,MATCH(1,(GMW!$NE$2:$NE$150=P$3)*(GMW!$ND$2:$ND$150=P$4)*(GMW!$NF$2:$NF$150=P$1),0),$C190-1966)</f>
        <v>42723.5</v>
      </c>
      <c r="Q190" s="4" cm="1">
        <f t="array" ref="Q190">INDEX(GMW!$A$2:$NF$150,MATCH(1,(GMW!$NE$2:$NE$150=Q$3)*(GMW!$ND$2:$ND$150=Q$4)*(GMW!$NF$2:$NF$150=Q$1),0),$C190-1966)</f>
        <v>3097000</v>
      </c>
      <c r="R190" s="4" cm="1">
        <f t="array" ref="R190">INDEX(GMW!$A$2:$NF$150,MATCH(1,(GMW!$NE$2:$NE$150=R$3)*(GMW!$ND$2:$ND$150=R$4)*(GMW!$NF$2:$NF$150=R$1),0),$C190-1966)</f>
        <v>-1.683298</v>
      </c>
      <c r="S190" s="4" cm="1">
        <f t="array" ref="S190">INDEX(GMW!$A$2:$NF$150,MATCH(1,(GMW!$NE$2:$NE$150=S$3)*(GMW!$ND$2:$ND$150=S$4)*(GMW!$NF$2:$NF$150=S$1),0),$C190-1966)</f>
        <v>610481</v>
      </c>
      <c r="T190" s="4" cm="1">
        <f t="array" ref="T190">INDEX(GMW!$A$2:$NF$150,MATCH(1,(GMW!$NE$2:$NE$150=T$3)*(GMW!$ND$2:$ND$150=T$4)*(GMW!$NF$2:$NF$150=T$1),0),$C190-1966)</f>
        <v>106.9333</v>
      </c>
      <c r="U190" s="4" cm="1">
        <f t="array" ref="U190">INDEX(GMW!$A$2:$NF$150,MATCH(1,(GMW!$NE$2:$NE$150=U$3)*(GMW!$ND$2:$ND$150=U$4)*(GMW!$NF$2:$NF$150=U$1),0),$C190-1966)</f>
        <v>203100</v>
      </c>
      <c r="V190" s="4" cm="1">
        <f t="array" ref="V190">INDEX(GMW!$A$2:$NF$150,MATCH(1,(GMW!$NE$2:$NE$150=V$3)*(GMW!$ND$2:$ND$150=V$4)*(GMW!$NF$2:$NF$150=V$1),0),$C190-1966)</f>
        <v>87750</v>
      </c>
      <c r="W190" s="4" cm="1">
        <f t="array" ref="W190">INDEX(GMW!$A$2:$NF$150,MATCH(1,(GMW!$NE$2:$NE$150=W$3)*(GMW!$ND$2:$ND$150=W$4)*(GMW!$NF$2:$NF$150=W$1),0),$C190-1966)</f>
        <v>222831</v>
      </c>
      <c r="X190" s="4" cm="1">
        <f t="array" ref="X190">INDEX(GMW!$A$2:$NF$150,MATCH(1,(GMW!$NE$2:$NE$150=X$3)*(GMW!$ND$2:$ND$150=X$4)*(GMW!$NF$2:$NF$150=X$1),0),$C190-1966)</f>
        <v>126985</v>
      </c>
      <c r="Y190" s="4" cm="1">
        <f t="array" ref="Y190">INDEX(GMW!$A$2:$NF$150,MATCH(1,(GMW!$NE$2:$NE$150=Y$3)*(GMW!$ND$2:$ND$150=Y$4)*(GMW!$NF$2:$NF$150=Y$1),0),$C190-1966)</f>
        <v>107662</v>
      </c>
      <c r="Z190" s="4" cm="1">
        <f t="array" ref="Z190">INDEX(GMW!$A$2:$NF$150,MATCH(1,(GMW!$NE$2:$NE$150=Z$3)*(GMW!$ND$2:$ND$150=Z$4)*(GMW!$NF$2:$NF$150=Z$1),0),$C190-1966)</f>
        <v>60536</v>
      </c>
      <c r="AA190" s="4" cm="1">
        <f t="array" ref="AA190">INDEX(GMW!$A$2:$NF$150,MATCH(1,(GMW!$NE$2:$NE$150=AA$3)*(GMW!$ND$2:$ND$150=AA$4)*(GMW!$NF$2:$NF$150=AA$1),0),$C190-1966)</f>
        <v>614948.4</v>
      </c>
      <c r="AB190" s="4" cm="1">
        <f t="array" ref="AB190">INDEX(GMW!$A$2:$NF$150,MATCH(1,(GMW!$NE$2:$NE$150=AB$3)*(GMW!$ND$2:$ND$150=AB$4)*(GMW!$NF$2:$NF$150=AB$1),0),$C190-1966)</f>
        <v>32557.35</v>
      </c>
      <c r="AC190" s="4" cm="1">
        <f t="array" ref="AC190">INDEX(GMW!$A$2:$NF$150,MATCH(1,(GMW!$NE$2:$NE$150=AC$3)*(GMW!$ND$2:$ND$150=AC$4)*(GMW!$NF$2:$NF$150=AC$1),0),$C190-1966)</f>
        <v>32</v>
      </c>
      <c r="AD190" s="4" cm="1">
        <f t="array" ref="AD190">INDEX(GMW!$A$2:$NF$150,MATCH(1,(GMW!$NE$2:$NE$150=AD$3)*(GMW!$ND$2:$ND$150=AD$4)*(GMW!$NF$2:$NF$150=AD$1),0),$C190-1966)</f>
        <v>568472.69999999995</v>
      </c>
      <c r="AE190" s="4" cm="1">
        <f t="array" ref="AE190">INDEX(GMW!$A$2:$NF$150,MATCH(1,(GMW!$NE$2:$NE$150=AE$3)*(GMW!$ND$2:$ND$150=AE$4)*(GMW!$NF$2:$NF$150=AE$1),0),$C190-1966)</f>
        <v>42723.5</v>
      </c>
      <c r="AF190" s="4" cm="1">
        <f t="array" ref="AF190">INDEX(GMW!$A$2:$NF$150,MATCH(1,(GMW!$NE$2:$NE$150=AF$3)*(GMW!$ND$2:$ND$150=AF$4)*(GMW!$NF$2:$NF$150=AF$1),0),$C190-1966)</f>
        <v>3097000</v>
      </c>
      <c r="AG190" s="4" cm="1">
        <f t="array" ref="AG190">INDEX(GMW!$A$2:$NF$150,MATCH(1,(GMW!$NE$2:$NE$150=AG$3)*(GMW!$ND$2:$ND$150=AG$4)*(GMW!$NF$2:$NF$150=AG$1),0),$C190-1966)</f>
        <v>-1.683298</v>
      </c>
      <c r="AH190" s="4" cm="1">
        <f t="array" ref="AH190">INDEX(GMW!$A$2:$NF$150,MATCH(1,(GMW!$NE$2:$NE$150=AH$3)*(GMW!$ND$2:$ND$150=AH$4)*(GMW!$NF$2:$NF$150=AH$1),0),$C190-1966)</f>
        <v>610481</v>
      </c>
      <c r="AI190" s="4" cm="1">
        <f t="array" ref="AI190">INDEX(GMW!$A$2:$NF$150,MATCH(1,(GMW!$NE$2:$NE$150=AI$3)*(GMW!$ND$2:$ND$150=AI$4)*(GMW!$NF$2:$NF$150=AI$1),0),$C190-1966)</f>
        <v>106.9333</v>
      </c>
      <c r="AJ190" s="4" cm="1">
        <f t="array" ref="AJ190">INDEX(GMW!$A$2:$NF$150,MATCH(1,(GMW!$NE$2:$NE$150=AJ$3)*(GMW!$ND$2:$ND$150=AJ$4)*(GMW!$NF$2:$NF$150=AJ$1),0),$C190-1966)</f>
        <v>203100</v>
      </c>
      <c r="AK190" s="4" cm="1">
        <f t="array" ref="AK190">INDEX(GMW!$A$2:$NF$150,MATCH(1,(GMW!$NE$2:$NE$150=AK$3)*(GMW!$ND$2:$ND$150=AK$4)*(GMW!$NF$2:$NF$150=AK$1),0),$C190-1966)</f>
        <v>87750</v>
      </c>
      <c r="AL190" s="4" cm="1">
        <f t="array" ref="AL190">INDEX(GMW!$A$2:$NF$150,MATCH(1,(GMW!$NE$2:$NE$150=AL$3)*(GMW!$ND$2:$ND$150=AL$4)*(GMW!$NF$2:$NF$150=AL$1),0),$C190-1966)</f>
        <v>222831</v>
      </c>
      <c r="AM190" s="4" cm="1">
        <f t="array" ref="AM190">INDEX(GMW!$A$2:$NF$150,MATCH(1,(GMW!$NE$2:$NE$150=AM$3)*(GMW!$ND$2:$ND$150=AM$4)*(GMW!$NF$2:$NF$150=AM$1),0),$C190-1966)</f>
        <v>126985</v>
      </c>
      <c r="AN190" s="4" cm="1">
        <f t="array" ref="AN190">INDEX(GMW!$A$2:$NF$150,MATCH(1,(GMW!$NE$2:$NE$150=AN$3)*(GMW!$ND$2:$ND$150=AN$4)*(GMW!$NF$2:$NF$150=AN$1),0),$C190-1966)</f>
        <v>107662</v>
      </c>
      <c r="AO190" s="4" cm="1">
        <f t="array" ref="AO190">INDEX(GMW!$A$2:$NF$150,MATCH(1,(GMW!$NE$2:$NE$150=AO$3)*(GMW!$ND$2:$ND$150=AO$4)*(GMW!$NF$2:$NF$150=AO$1),0),$C190-1966)</f>
        <v>60536</v>
      </c>
      <c r="AP190" s="4" cm="1">
        <f t="array" ref="AP190">INDEX(GMW!$A$2:$NF$150,MATCH(1,(GMW!$NE$2:$NE$150=AP$3)*(GMW!$ND$2:$ND$150=AP$4)*(GMW!$NF$2:$NF$150=AP$1),0),$C190-1966)</f>
        <v>614948.4</v>
      </c>
      <c r="AQ190" s="4" cm="1">
        <f t="array" ref="AQ190">INDEX(GMW!$A$2:$NF$150,MATCH(1,(GMW!$NE$2:$NE$150=AQ$3)*(GMW!$ND$2:$ND$150=AQ$4)*(GMW!$NF$2:$NF$150=AQ$1),0),$C190-1966)</f>
        <v>32557.35</v>
      </c>
      <c r="AR190" s="4" cm="1">
        <f t="array" ref="AR190">INDEX(GMW!$A$2:$NF$150,MATCH(1,(GMW!$NE$2:$NE$150=AR$3)*(GMW!$ND$2:$ND$150=AR$4)*(GMW!$NF$2:$NF$150=AR$1),0),$C190-1966)</f>
        <v>32</v>
      </c>
      <c r="AS190" s="4" cm="1">
        <f t="array" ref="AS190">INDEX(GMW!$A$2:$NF$150,MATCH(1,(GMW!$NE$2:$NE$150=AS$3)*(GMW!$ND$2:$ND$150=AS$4)*(GMW!$NF$2:$NF$150=AS$1),0),$C190-1966)</f>
        <v>568472.69999999995</v>
      </c>
      <c r="AT190" s="4" cm="1">
        <f t="array" ref="AT190">INDEX(GMW!$A$2:$NF$150,MATCH(1,(GMW!$NE$2:$NE$150=AT$3)*(GMW!$ND$2:$ND$150=AT$4)*(GMW!$NF$2:$NF$150=AT$1),0),$C190-1966)</f>
        <v>42723.5</v>
      </c>
      <c r="AU190" s="4" cm="1">
        <f t="array" ref="AU190">INDEX(GMW!$A$2:$NF$150,MATCH(1,(GMW!$NE$2:$NE$150=AU$3)*(GMW!$ND$2:$ND$150=AU$4)*(GMW!$NF$2:$NF$150=AU$1),0),$C190-1966)</f>
        <v>3097000</v>
      </c>
      <c r="AV190" s="4" cm="1">
        <f t="array" ref="AV190">INDEX(GMW!$A$2:$NF$150,MATCH(1,(GMW!$NE$2:$NE$150=AV$3)*(GMW!$ND$2:$ND$150=AV$4)*(GMW!$NF$2:$NF$150=AV$1),0),$C190-1966)</f>
        <v>-1.683298</v>
      </c>
    </row>
    <row r="191" spans="1:48" x14ac:dyDescent="0.25">
      <c r="A191" s="4">
        <v>2019</v>
      </c>
      <c r="B191" s="4">
        <f t="shared" si="8"/>
        <v>2019</v>
      </c>
      <c r="C191" s="4">
        <f t="shared" si="9"/>
        <v>2157</v>
      </c>
      <c r="D191" s="4" cm="1">
        <f t="array" ref="D191">INDEX(GMW!$A$2:$NF$150,MATCH(1,(GMW!$NE$2:$NE$150=D$3)*(GMW!$ND$2:$ND$150=D$4)*(GMW!$NF$2:$NF$150=D$1),0),$C191-1966)</f>
        <v>614936</v>
      </c>
      <c r="E191" s="4" cm="1">
        <f t="array" ref="E191">INDEX(GMW!$A$2:$NF$150,MATCH(1,(GMW!$NE$2:$NE$150=E$3)*(GMW!$ND$2:$ND$150=E$4)*(GMW!$NF$2:$NF$150=E$1),0),$C191-1966)</f>
        <v>106.7</v>
      </c>
      <c r="F191" s="4" cm="1">
        <f t="array" ref="F191">INDEX(GMW!$A$2:$NF$150,MATCH(1,(GMW!$NE$2:$NE$150=F$3)*(GMW!$ND$2:$ND$150=F$4)*(GMW!$NF$2:$NF$150=F$1),0),$C191-1966)</f>
        <v>200811</v>
      </c>
      <c r="G191" s="4" cm="1">
        <f t="array" ref="G191">INDEX(GMW!$A$2:$NF$150,MATCH(1,(GMW!$NE$2:$NE$150=G$3)*(GMW!$ND$2:$ND$150=G$4)*(GMW!$NF$2:$NF$150=G$1),0),$C191-1966)</f>
        <v>91240</v>
      </c>
      <c r="H191" s="4" cm="1">
        <f t="array" ref="H191">INDEX(GMW!$A$2:$NF$150,MATCH(1,(GMW!$NE$2:$NE$150=H$3)*(GMW!$ND$2:$ND$150=H$4)*(GMW!$NF$2:$NF$150=H$1),0),$C191-1966)</f>
        <v>238575</v>
      </c>
      <c r="I191" s="4" cm="1">
        <f t="array" ref="I191">INDEX(GMW!$A$2:$NF$150,MATCH(1,(GMW!$NE$2:$NE$150=I$3)*(GMW!$ND$2:$ND$150=I$4)*(GMW!$NF$2:$NF$150=I$1),0),$C191-1966)</f>
        <v>148116</v>
      </c>
      <c r="J191" s="4" cm="1">
        <f t="array" ref="J191">INDEX(GMW!$A$2:$NF$150,MATCH(1,(GMW!$NE$2:$NE$150=J$3)*(GMW!$ND$2:$ND$150=J$4)*(GMW!$NF$2:$NF$150=J$1),0),$C191-1966)</f>
        <v>110948</v>
      </c>
      <c r="K191" s="4" cm="1">
        <f t="array" ref="K191">INDEX(GMW!$A$2:$NF$150,MATCH(1,(GMW!$NE$2:$NE$150=K$3)*(GMW!$ND$2:$ND$150=K$4)*(GMW!$NF$2:$NF$150=K$1),0),$C191-1966)</f>
        <v>61201</v>
      </c>
      <c r="L191" s="4" cm="1">
        <f t="array" ref="L191">INDEX(GMW!$A$2:$NF$150,MATCH(1,(GMW!$NE$2:$NE$150=L$3)*(GMW!$ND$2:$ND$150=L$4)*(GMW!$NF$2:$NF$150=L$1),0),$C191-1966)</f>
        <v>620625.69999999995</v>
      </c>
      <c r="M191" s="4" cm="1">
        <f t="array" ref="M191">INDEX(GMW!$A$2:$NF$150,MATCH(1,(GMW!$NE$2:$NE$150=M$3)*(GMW!$ND$2:$ND$150=M$4)*(GMW!$NF$2:$NF$150=M$1),0),$C191-1966)</f>
        <v>32606.04</v>
      </c>
      <c r="N191" s="4" cm="1">
        <f t="array" ref="N191">INDEX(GMW!$A$2:$NF$150,MATCH(1,(GMW!$NE$2:$NE$150=N$3)*(GMW!$ND$2:$ND$150=N$4)*(GMW!$NF$2:$NF$150=N$1),0),$C191-1966)</f>
        <v>32.299999999999997</v>
      </c>
      <c r="O191" s="4" cm="1">
        <f t="array" ref="O191">INDEX(GMW!$A$2:$NF$150,MATCH(1,(GMW!$NE$2:$NE$150=O$3)*(GMW!$ND$2:$ND$150=O$4)*(GMW!$NF$2:$NF$150=O$1),0),$C191-1966)</f>
        <v>570033.9</v>
      </c>
      <c r="P191" s="4" cm="1">
        <f t="array" ref="P191">INDEX(GMW!$A$2:$NF$150,MATCH(1,(GMW!$NE$2:$NE$150=P$3)*(GMW!$ND$2:$ND$150=P$4)*(GMW!$NF$2:$NF$150=P$1),0),$C191-1966)</f>
        <v>42765.97</v>
      </c>
      <c r="Q191" s="4" cm="1">
        <f t="array" ref="Q191">INDEX(GMW!$A$2:$NF$150,MATCH(1,(GMW!$NE$2:$NE$150=Q$3)*(GMW!$ND$2:$ND$150=Q$4)*(GMW!$NF$2:$NF$150=Q$1),0),$C191-1966)</f>
        <v>3111500</v>
      </c>
      <c r="R191" s="4" cm="1">
        <f t="array" ref="R191">INDEX(GMW!$A$2:$NF$150,MATCH(1,(GMW!$NE$2:$NE$150=R$3)*(GMW!$ND$2:$ND$150=R$4)*(GMW!$NF$2:$NF$150=R$1),0),$C191-1966)</f>
        <v>-1.683341</v>
      </c>
      <c r="S191" s="4" cm="1">
        <f t="array" ref="S191">INDEX(GMW!$A$2:$NF$150,MATCH(1,(GMW!$NE$2:$NE$150=S$3)*(GMW!$ND$2:$ND$150=S$4)*(GMW!$NF$2:$NF$150=S$1),0),$C191-1966)</f>
        <v>614936</v>
      </c>
      <c r="T191" s="4" cm="1">
        <f t="array" ref="T191">INDEX(GMW!$A$2:$NF$150,MATCH(1,(GMW!$NE$2:$NE$150=T$3)*(GMW!$ND$2:$ND$150=T$4)*(GMW!$NF$2:$NF$150=T$1),0),$C191-1966)</f>
        <v>106.7</v>
      </c>
      <c r="U191" s="4" cm="1">
        <f t="array" ref="U191">INDEX(GMW!$A$2:$NF$150,MATCH(1,(GMW!$NE$2:$NE$150=U$3)*(GMW!$ND$2:$ND$150=U$4)*(GMW!$NF$2:$NF$150=U$1),0),$C191-1966)</f>
        <v>200811</v>
      </c>
      <c r="V191" s="4" cm="1">
        <f t="array" ref="V191">INDEX(GMW!$A$2:$NF$150,MATCH(1,(GMW!$NE$2:$NE$150=V$3)*(GMW!$ND$2:$ND$150=V$4)*(GMW!$NF$2:$NF$150=V$1),0),$C191-1966)</f>
        <v>91240</v>
      </c>
      <c r="W191" s="4" cm="1">
        <f t="array" ref="W191">INDEX(GMW!$A$2:$NF$150,MATCH(1,(GMW!$NE$2:$NE$150=W$3)*(GMW!$ND$2:$ND$150=W$4)*(GMW!$NF$2:$NF$150=W$1),0),$C191-1966)</f>
        <v>238575</v>
      </c>
      <c r="X191" s="4" cm="1">
        <f t="array" ref="X191">INDEX(GMW!$A$2:$NF$150,MATCH(1,(GMW!$NE$2:$NE$150=X$3)*(GMW!$ND$2:$ND$150=X$4)*(GMW!$NF$2:$NF$150=X$1),0),$C191-1966)</f>
        <v>148116</v>
      </c>
      <c r="Y191" s="4" cm="1">
        <f t="array" ref="Y191">INDEX(GMW!$A$2:$NF$150,MATCH(1,(GMW!$NE$2:$NE$150=Y$3)*(GMW!$ND$2:$ND$150=Y$4)*(GMW!$NF$2:$NF$150=Y$1),0),$C191-1966)</f>
        <v>110948</v>
      </c>
      <c r="Z191" s="4" cm="1">
        <f t="array" ref="Z191">INDEX(GMW!$A$2:$NF$150,MATCH(1,(GMW!$NE$2:$NE$150=Z$3)*(GMW!$ND$2:$ND$150=Z$4)*(GMW!$NF$2:$NF$150=Z$1),0),$C191-1966)</f>
        <v>61201</v>
      </c>
      <c r="AA191" s="4" cm="1">
        <f t="array" ref="AA191">INDEX(GMW!$A$2:$NF$150,MATCH(1,(GMW!$NE$2:$NE$150=AA$3)*(GMW!$ND$2:$ND$150=AA$4)*(GMW!$NF$2:$NF$150=AA$1),0),$C191-1966)</f>
        <v>620590.19999999995</v>
      </c>
      <c r="AB191" s="4" cm="1">
        <f t="array" ref="AB191">INDEX(GMW!$A$2:$NF$150,MATCH(1,(GMW!$NE$2:$NE$150=AB$3)*(GMW!$ND$2:$ND$150=AB$4)*(GMW!$NF$2:$NF$150=AB$1),0),$C191-1966)</f>
        <v>32603.17</v>
      </c>
      <c r="AC191" s="4" cm="1">
        <f t="array" ref="AC191">INDEX(GMW!$A$2:$NF$150,MATCH(1,(GMW!$NE$2:$NE$150=AC$3)*(GMW!$ND$2:$ND$150=AC$4)*(GMW!$NF$2:$NF$150=AC$1),0),$C191-1966)</f>
        <v>32.299999999999997</v>
      </c>
      <c r="AD191" s="4" cm="1">
        <f t="array" ref="AD191">INDEX(GMW!$A$2:$NF$150,MATCH(1,(GMW!$NE$2:$NE$150=AD$3)*(GMW!$ND$2:$ND$150=AD$4)*(GMW!$NF$2:$NF$150=AD$1),0),$C191-1966)</f>
        <v>570033.9</v>
      </c>
      <c r="AE191" s="4" cm="1">
        <f t="array" ref="AE191">INDEX(GMW!$A$2:$NF$150,MATCH(1,(GMW!$NE$2:$NE$150=AE$3)*(GMW!$ND$2:$ND$150=AE$4)*(GMW!$NF$2:$NF$150=AE$1),0),$C191-1966)</f>
        <v>42765.97</v>
      </c>
      <c r="AF191" s="4" cm="1">
        <f t="array" ref="AF191">INDEX(GMW!$A$2:$NF$150,MATCH(1,(GMW!$NE$2:$NE$150=AF$3)*(GMW!$ND$2:$ND$150=AF$4)*(GMW!$NF$2:$NF$150=AF$1),0),$C191-1966)</f>
        <v>3111500</v>
      </c>
      <c r="AG191" s="4" cm="1">
        <f t="array" ref="AG191">INDEX(GMW!$A$2:$NF$150,MATCH(1,(GMW!$NE$2:$NE$150=AG$3)*(GMW!$ND$2:$ND$150=AG$4)*(GMW!$NF$2:$NF$150=AG$1),0),$C191-1966)</f>
        <v>-1.683341</v>
      </c>
      <c r="AH191" s="4" cm="1">
        <f t="array" ref="AH191">INDEX(GMW!$A$2:$NF$150,MATCH(1,(GMW!$NE$2:$NE$150=AH$3)*(GMW!$ND$2:$ND$150=AH$4)*(GMW!$NF$2:$NF$150=AH$1),0),$C191-1966)</f>
        <v>614936</v>
      </c>
      <c r="AI191" s="4" cm="1">
        <f t="array" ref="AI191">INDEX(GMW!$A$2:$NF$150,MATCH(1,(GMW!$NE$2:$NE$150=AI$3)*(GMW!$ND$2:$ND$150=AI$4)*(GMW!$NF$2:$NF$150=AI$1),0),$C191-1966)</f>
        <v>106.7</v>
      </c>
      <c r="AJ191" s="4" cm="1">
        <f t="array" ref="AJ191">INDEX(GMW!$A$2:$NF$150,MATCH(1,(GMW!$NE$2:$NE$150=AJ$3)*(GMW!$ND$2:$ND$150=AJ$4)*(GMW!$NF$2:$NF$150=AJ$1),0),$C191-1966)</f>
        <v>200811</v>
      </c>
      <c r="AK191" s="4" cm="1">
        <f t="array" ref="AK191">INDEX(GMW!$A$2:$NF$150,MATCH(1,(GMW!$NE$2:$NE$150=AK$3)*(GMW!$ND$2:$ND$150=AK$4)*(GMW!$NF$2:$NF$150=AK$1),0),$C191-1966)</f>
        <v>91240</v>
      </c>
      <c r="AL191" s="4" cm="1">
        <f t="array" ref="AL191">INDEX(GMW!$A$2:$NF$150,MATCH(1,(GMW!$NE$2:$NE$150=AL$3)*(GMW!$ND$2:$ND$150=AL$4)*(GMW!$NF$2:$NF$150=AL$1),0),$C191-1966)</f>
        <v>238575</v>
      </c>
      <c r="AM191" s="4" cm="1">
        <f t="array" ref="AM191">INDEX(GMW!$A$2:$NF$150,MATCH(1,(GMW!$NE$2:$NE$150=AM$3)*(GMW!$ND$2:$ND$150=AM$4)*(GMW!$NF$2:$NF$150=AM$1),0),$C191-1966)</f>
        <v>148116</v>
      </c>
      <c r="AN191" s="4" cm="1">
        <f t="array" ref="AN191">INDEX(GMW!$A$2:$NF$150,MATCH(1,(GMW!$NE$2:$NE$150=AN$3)*(GMW!$ND$2:$ND$150=AN$4)*(GMW!$NF$2:$NF$150=AN$1),0),$C191-1966)</f>
        <v>110948</v>
      </c>
      <c r="AO191" s="4" cm="1">
        <f t="array" ref="AO191">INDEX(GMW!$A$2:$NF$150,MATCH(1,(GMW!$NE$2:$NE$150=AO$3)*(GMW!$ND$2:$ND$150=AO$4)*(GMW!$NF$2:$NF$150=AO$1),0),$C191-1966)</f>
        <v>61201</v>
      </c>
      <c r="AP191" s="4" cm="1">
        <f t="array" ref="AP191">INDEX(GMW!$A$2:$NF$150,MATCH(1,(GMW!$NE$2:$NE$150=AP$3)*(GMW!$ND$2:$ND$150=AP$4)*(GMW!$NF$2:$NF$150=AP$1),0),$C191-1966)</f>
        <v>620590.19999999995</v>
      </c>
      <c r="AQ191" s="4" cm="1">
        <f t="array" ref="AQ191">INDEX(GMW!$A$2:$NF$150,MATCH(1,(GMW!$NE$2:$NE$150=AQ$3)*(GMW!$ND$2:$ND$150=AQ$4)*(GMW!$NF$2:$NF$150=AQ$1),0),$C191-1966)</f>
        <v>32603.17</v>
      </c>
      <c r="AR191" s="4" cm="1">
        <f t="array" ref="AR191">INDEX(GMW!$A$2:$NF$150,MATCH(1,(GMW!$NE$2:$NE$150=AR$3)*(GMW!$ND$2:$ND$150=AR$4)*(GMW!$NF$2:$NF$150=AR$1),0),$C191-1966)</f>
        <v>32.299999999999997</v>
      </c>
      <c r="AS191" s="4" cm="1">
        <f t="array" ref="AS191">INDEX(GMW!$A$2:$NF$150,MATCH(1,(GMW!$NE$2:$NE$150=AS$3)*(GMW!$ND$2:$ND$150=AS$4)*(GMW!$NF$2:$NF$150=AS$1),0),$C191-1966)</f>
        <v>570033.9</v>
      </c>
      <c r="AT191" s="4" cm="1">
        <f t="array" ref="AT191">INDEX(GMW!$A$2:$NF$150,MATCH(1,(GMW!$NE$2:$NE$150=AT$3)*(GMW!$ND$2:$ND$150=AT$4)*(GMW!$NF$2:$NF$150=AT$1),0),$C191-1966)</f>
        <v>42765.97</v>
      </c>
      <c r="AU191" s="4" cm="1">
        <f t="array" ref="AU191">INDEX(GMW!$A$2:$NF$150,MATCH(1,(GMW!$NE$2:$NE$150=AU$3)*(GMW!$ND$2:$ND$150=AU$4)*(GMW!$NF$2:$NF$150=AU$1),0),$C191-1966)</f>
        <v>3111500</v>
      </c>
      <c r="AV191" s="4" cm="1">
        <f t="array" ref="AV191">INDEX(GMW!$A$2:$NF$150,MATCH(1,(GMW!$NE$2:$NE$150=AV$3)*(GMW!$ND$2:$ND$150=AV$4)*(GMW!$NF$2:$NF$150=AV$1),0),$C191-1966)</f>
        <v>-1.683341</v>
      </c>
    </row>
    <row r="192" spans="1:48" x14ac:dyDescent="0.25">
      <c r="B192" s="4">
        <f t="shared" si="8"/>
        <v>2019</v>
      </c>
      <c r="C192" s="4">
        <f t="shared" si="9"/>
        <v>2158</v>
      </c>
      <c r="D192" s="4" cm="1">
        <f t="array" ref="D192">INDEX(GMW!$A$2:$NF$150,MATCH(1,(GMW!$NE$2:$NE$150=D$3)*(GMW!$ND$2:$ND$150=D$4)*(GMW!$NF$2:$NF$150=D$1),0),$C192-1966)</f>
        <v>616853</v>
      </c>
      <c r="E192" s="4" cm="1">
        <f t="array" ref="E192">INDEX(GMW!$A$2:$NF$150,MATCH(1,(GMW!$NE$2:$NE$150=E$3)*(GMW!$ND$2:$ND$150=E$4)*(GMW!$NF$2:$NF$150=E$1),0),$C192-1966)</f>
        <v>107.8</v>
      </c>
      <c r="F192" s="4" cm="1">
        <f t="array" ref="F192">INDEX(GMW!$A$2:$NF$150,MATCH(1,(GMW!$NE$2:$NE$150=F$3)*(GMW!$ND$2:$ND$150=F$4)*(GMW!$NF$2:$NF$150=F$1),0),$C192-1966)</f>
        <v>198311</v>
      </c>
      <c r="G192" s="4" cm="1">
        <f t="array" ref="G192">INDEX(GMW!$A$2:$NF$150,MATCH(1,(GMW!$NE$2:$NE$150=G$3)*(GMW!$ND$2:$ND$150=G$4)*(GMW!$NF$2:$NF$150=G$1),0),$C192-1966)</f>
        <v>88505</v>
      </c>
      <c r="H192" s="4" cm="1">
        <f t="array" ref="H192">INDEX(GMW!$A$2:$NF$150,MATCH(1,(GMW!$NE$2:$NE$150=H$3)*(GMW!$ND$2:$ND$150=H$4)*(GMW!$NF$2:$NF$150=H$1),0),$C192-1966)</f>
        <v>216413</v>
      </c>
      <c r="I192" s="4" cm="1">
        <f t="array" ref="I192">INDEX(GMW!$A$2:$NF$150,MATCH(1,(GMW!$NE$2:$NE$150=I$3)*(GMW!$ND$2:$ND$150=I$4)*(GMW!$NF$2:$NF$150=I$1),0),$C192-1966)</f>
        <v>124867</v>
      </c>
      <c r="J192" s="4" cm="1">
        <f t="array" ref="J192">INDEX(GMW!$A$2:$NF$150,MATCH(1,(GMW!$NE$2:$NE$150=J$3)*(GMW!$ND$2:$ND$150=J$4)*(GMW!$NF$2:$NF$150=J$1),0),$C192-1966)</f>
        <v>110046</v>
      </c>
      <c r="K192" s="4" cm="1">
        <f t="array" ref="K192">INDEX(GMW!$A$2:$NF$150,MATCH(1,(GMW!$NE$2:$NE$150=K$3)*(GMW!$ND$2:$ND$150=K$4)*(GMW!$NF$2:$NF$150=K$1),0),$C192-1966)</f>
        <v>62181</v>
      </c>
      <c r="L192" s="4" cm="1">
        <f t="array" ref="L192">INDEX(GMW!$A$2:$NF$150,MATCH(1,(GMW!$NE$2:$NE$150=L$3)*(GMW!$ND$2:$ND$150=L$4)*(GMW!$NF$2:$NF$150=L$1),0),$C192-1966)</f>
        <v>622076.1</v>
      </c>
      <c r="M192" s="4" cm="1">
        <f t="array" ref="M192">INDEX(GMW!$A$2:$NF$150,MATCH(1,(GMW!$NE$2:$NE$150=M$3)*(GMW!$ND$2:$ND$150=M$4)*(GMW!$NF$2:$NF$150=M$1),0),$C192-1966)</f>
        <v>32820.32</v>
      </c>
      <c r="N192" s="4" cm="1">
        <f t="array" ref="N192">INDEX(GMW!$A$2:$NF$150,MATCH(1,(GMW!$NE$2:$NE$150=N$3)*(GMW!$ND$2:$ND$150=N$4)*(GMW!$NF$2:$NF$150=N$1),0),$C192-1966)</f>
        <v>32.1</v>
      </c>
      <c r="O192" s="4" cm="1">
        <f t="array" ref="O192">INDEX(GMW!$A$2:$NF$150,MATCH(1,(GMW!$NE$2:$NE$150=O$3)*(GMW!$ND$2:$ND$150=O$4)*(GMW!$NF$2:$NF$150=O$1),0),$C192-1966)</f>
        <v>571593.6</v>
      </c>
      <c r="P192" s="4" cm="1">
        <f t="array" ref="P192">INDEX(GMW!$A$2:$NF$150,MATCH(1,(GMW!$NE$2:$NE$150=P$3)*(GMW!$ND$2:$ND$150=P$4)*(GMW!$NF$2:$NF$150=P$1),0),$C192-1966)</f>
        <v>42808.44</v>
      </c>
      <c r="Q192" s="4" cm="1">
        <f t="array" ref="Q192">INDEX(GMW!$A$2:$NF$150,MATCH(1,(GMW!$NE$2:$NE$150=Q$3)*(GMW!$ND$2:$ND$150=Q$4)*(GMW!$NF$2:$NF$150=Q$1),0),$C192-1966)</f>
        <v>3126000</v>
      </c>
      <c r="R192" s="4" cm="1">
        <f t="array" ref="R192">INDEX(GMW!$A$2:$NF$150,MATCH(1,(GMW!$NE$2:$NE$150=R$3)*(GMW!$ND$2:$ND$150=R$4)*(GMW!$NF$2:$NF$150=R$1),0),$C192-1966)</f>
        <v>-1.683384</v>
      </c>
      <c r="S192" s="4" cm="1">
        <f t="array" ref="S192">INDEX(GMW!$A$2:$NF$150,MATCH(1,(GMW!$NE$2:$NE$150=S$3)*(GMW!$ND$2:$ND$150=S$4)*(GMW!$NF$2:$NF$150=S$1),0),$C192-1966)</f>
        <v>616853</v>
      </c>
      <c r="T192" s="4" cm="1">
        <f t="array" ref="T192">INDEX(GMW!$A$2:$NF$150,MATCH(1,(GMW!$NE$2:$NE$150=T$3)*(GMW!$ND$2:$ND$150=T$4)*(GMW!$NF$2:$NF$150=T$1),0),$C192-1966)</f>
        <v>107.8</v>
      </c>
      <c r="U192" s="4" cm="1">
        <f t="array" ref="U192">INDEX(GMW!$A$2:$NF$150,MATCH(1,(GMW!$NE$2:$NE$150=U$3)*(GMW!$ND$2:$ND$150=U$4)*(GMW!$NF$2:$NF$150=U$1),0),$C192-1966)</f>
        <v>198311</v>
      </c>
      <c r="V192" s="4" cm="1">
        <f t="array" ref="V192">INDEX(GMW!$A$2:$NF$150,MATCH(1,(GMW!$NE$2:$NE$150=V$3)*(GMW!$ND$2:$ND$150=V$4)*(GMW!$NF$2:$NF$150=V$1),0),$C192-1966)</f>
        <v>88505</v>
      </c>
      <c r="W192" s="4" cm="1">
        <f t="array" ref="W192">INDEX(GMW!$A$2:$NF$150,MATCH(1,(GMW!$NE$2:$NE$150=W$3)*(GMW!$ND$2:$ND$150=W$4)*(GMW!$NF$2:$NF$150=W$1),0),$C192-1966)</f>
        <v>216413</v>
      </c>
      <c r="X192" s="4" cm="1">
        <f t="array" ref="X192">INDEX(GMW!$A$2:$NF$150,MATCH(1,(GMW!$NE$2:$NE$150=X$3)*(GMW!$ND$2:$ND$150=X$4)*(GMW!$NF$2:$NF$150=X$1),0),$C192-1966)</f>
        <v>124867</v>
      </c>
      <c r="Y192" s="4" cm="1">
        <f t="array" ref="Y192">INDEX(GMW!$A$2:$NF$150,MATCH(1,(GMW!$NE$2:$NE$150=Y$3)*(GMW!$ND$2:$ND$150=Y$4)*(GMW!$NF$2:$NF$150=Y$1),0),$C192-1966)</f>
        <v>110046</v>
      </c>
      <c r="Z192" s="4" cm="1">
        <f t="array" ref="Z192">INDEX(GMW!$A$2:$NF$150,MATCH(1,(GMW!$NE$2:$NE$150=Z$3)*(GMW!$ND$2:$ND$150=Z$4)*(GMW!$NF$2:$NF$150=Z$1),0),$C192-1966)</f>
        <v>62181</v>
      </c>
      <c r="AA192" s="4" cm="1">
        <f t="array" ref="AA192">INDEX(GMW!$A$2:$NF$150,MATCH(1,(GMW!$NE$2:$NE$150=AA$3)*(GMW!$ND$2:$ND$150=AA$4)*(GMW!$NF$2:$NF$150=AA$1),0),$C192-1966)</f>
        <v>622087.9</v>
      </c>
      <c r="AB192" s="4" cm="1">
        <f t="array" ref="AB192">INDEX(GMW!$A$2:$NF$150,MATCH(1,(GMW!$NE$2:$NE$150=AB$3)*(GMW!$ND$2:$ND$150=AB$4)*(GMW!$NF$2:$NF$150=AB$1),0),$C192-1966)</f>
        <v>32821.269999999997</v>
      </c>
      <c r="AC192" s="4" cm="1">
        <f t="array" ref="AC192">INDEX(GMW!$A$2:$NF$150,MATCH(1,(GMW!$NE$2:$NE$150=AC$3)*(GMW!$ND$2:$ND$150=AC$4)*(GMW!$NF$2:$NF$150=AC$1),0),$C192-1966)</f>
        <v>32.1</v>
      </c>
      <c r="AD192" s="4" cm="1">
        <f t="array" ref="AD192">INDEX(GMW!$A$2:$NF$150,MATCH(1,(GMW!$NE$2:$NE$150=AD$3)*(GMW!$ND$2:$ND$150=AD$4)*(GMW!$NF$2:$NF$150=AD$1),0),$C192-1966)</f>
        <v>571593.6</v>
      </c>
      <c r="AE192" s="4" cm="1">
        <f t="array" ref="AE192">INDEX(GMW!$A$2:$NF$150,MATCH(1,(GMW!$NE$2:$NE$150=AE$3)*(GMW!$ND$2:$ND$150=AE$4)*(GMW!$NF$2:$NF$150=AE$1),0),$C192-1966)</f>
        <v>42808.44</v>
      </c>
      <c r="AF192" s="4" cm="1">
        <f t="array" ref="AF192">INDEX(GMW!$A$2:$NF$150,MATCH(1,(GMW!$NE$2:$NE$150=AF$3)*(GMW!$ND$2:$ND$150=AF$4)*(GMW!$NF$2:$NF$150=AF$1),0),$C192-1966)</f>
        <v>3126000</v>
      </c>
      <c r="AG192" s="4" cm="1">
        <f t="array" ref="AG192">INDEX(GMW!$A$2:$NF$150,MATCH(1,(GMW!$NE$2:$NE$150=AG$3)*(GMW!$ND$2:$ND$150=AG$4)*(GMW!$NF$2:$NF$150=AG$1),0),$C192-1966)</f>
        <v>-1.683384</v>
      </c>
      <c r="AH192" s="4" cm="1">
        <f t="array" ref="AH192">INDEX(GMW!$A$2:$NF$150,MATCH(1,(GMW!$NE$2:$NE$150=AH$3)*(GMW!$ND$2:$ND$150=AH$4)*(GMW!$NF$2:$NF$150=AH$1),0),$C192-1966)</f>
        <v>616853</v>
      </c>
      <c r="AI192" s="4" cm="1">
        <f t="array" ref="AI192">INDEX(GMW!$A$2:$NF$150,MATCH(1,(GMW!$NE$2:$NE$150=AI$3)*(GMW!$ND$2:$ND$150=AI$4)*(GMW!$NF$2:$NF$150=AI$1),0),$C192-1966)</f>
        <v>107.8</v>
      </c>
      <c r="AJ192" s="4" cm="1">
        <f t="array" ref="AJ192">INDEX(GMW!$A$2:$NF$150,MATCH(1,(GMW!$NE$2:$NE$150=AJ$3)*(GMW!$ND$2:$ND$150=AJ$4)*(GMW!$NF$2:$NF$150=AJ$1),0),$C192-1966)</f>
        <v>198311</v>
      </c>
      <c r="AK192" s="4" cm="1">
        <f t="array" ref="AK192">INDEX(GMW!$A$2:$NF$150,MATCH(1,(GMW!$NE$2:$NE$150=AK$3)*(GMW!$ND$2:$ND$150=AK$4)*(GMW!$NF$2:$NF$150=AK$1),0),$C192-1966)</f>
        <v>88505</v>
      </c>
      <c r="AL192" s="4" cm="1">
        <f t="array" ref="AL192">INDEX(GMW!$A$2:$NF$150,MATCH(1,(GMW!$NE$2:$NE$150=AL$3)*(GMW!$ND$2:$ND$150=AL$4)*(GMW!$NF$2:$NF$150=AL$1),0),$C192-1966)</f>
        <v>216413</v>
      </c>
      <c r="AM192" s="4" cm="1">
        <f t="array" ref="AM192">INDEX(GMW!$A$2:$NF$150,MATCH(1,(GMW!$NE$2:$NE$150=AM$3)*(GMW!$ND$2:$ND$150=AM$4)*(GMW!$NF$2:$NF$150=AM$1),0),$C192-1966)</f>
        <v>124867</v>
      </c>
      <c r="AN192" s="4" cm="1">
        <f t="array" ref="AN192">INDEX(GMW!$A$2:$NF$150,MATCH(1,(GMW!$NE$2:$NE$150=AN$3)*(GMW!$ND$2:$ND$150=AN$4)*(GMW!$NF$2:$NF$150=AN$1),0),$C192-1966)</f>
        <v>110046</v>
      </c>
      <c r="AO192" s="4" cm="1">
        <f t="array" ref="AO192">INDEX(GMW!$A$2:$NF$150,MATCH(1,(GMW!$NE$2:$NE$150=AO$3)*(GMW!$ND$2:$ND$150=AO$4)*(GMW!$NF$2:$NF$150=AO$1),0),$C192-1966)</f>
        <v>62181</v>
      </c>
      <c r="AP192" s="4" cm="1">
        <f t="array" ref="AP192">INDEX(GMW!$A$2:$NF$150,MATCH(1,(GMW!$NE$2:$NE$150=AP$3)*(GMW!$ND$2:$ND$150=AP$4)*(GMW!$NF$2:$NF$150=AP$1),0),$C192-1966)</f>
        <v>622087.9</v>
      </c>
      <c r="AQ192" s="4" cm="1">
        <f t="array" ref="AQ192">INDEX(GMW!$A$2:$NF$150,MATCH(1,(GMW!$NE$2:$NE$150=AQ$3)*(GMW!$ND$2:$ND$150=AQ$4)*(GMW!$NF$2:$NF$150=AQ$1),0),$C192-1966)</f>
        <v>32821.269999999997</v>
      </c>
      <c r="AR192" s="4" cm="1">
        <f t="array" ref="AR192">INDEX(GMW!$A$2:$NF$150,MATCH(1,(GMW!$NE$2:$NE$150=AR$3)*(GMW!$ND$2:$ND$150=AR$4)*(GMW!$NF$2:$NF$150=AR$1),0),$C192-1966)</f>
        <v>32.1</v>
      </c>
      <c r="AS192" s="4" cm="1">
        <f t="array" ref="AS192">INDEX(GMW!$A$2:$NF$150,MATCH(1,(GMW!$NE$2:$NE$150=AS$3)*(GMW!$ND$2:$ND$150=AS$4)*(GMW!$NF$2:$NF$150=AS$1),0),$C192-1966)</f>
        <v>571593.6</v>
      </c>
      <c r="AT192" s="4" cm="1">
        <f t="array" ref="AT192">INDEX(GMW!$A$2:$NF$150,MATCH(1,(GMW!$NE$2:$NE$150=AT$3)*(GMW!$ND$2:$ND$150=AT$4)*(GMW!$NF$2:$NF$150=AT$1),0),$C192-1966)</f>
        <v>42808.44</v>
      </c>
      <c r="AU192" s="4" cm="1">
        <f t="array" ref="AU192">INDEX(GMW!$A$2:$NF$150,MATCH(1,(GMW!$NE$2:$NE$150=AU$3)*(GMW!$ND$2:$ND$150=AU$4)*(GMW!$NF$2:$NF$150=AU$1),0),$C192-1966)</f>
        <v>3126000</v>
      </c>
      <c r="AV192" s="4" cm="1">
        <f t="array" ref="AV192">INDEX(GMW!$A$2:$NF$150,MATCH(1,(GMW!$NE$2:$NE$150=AV$3)*(GMW!$ND$2:$ND$150=AV$4)*(GMW!$NF$2:$NF$150=AV$1),0),$C192-1966)</f>
        <v>-1.683384</v>
      </c>
    </row>
    <row r="193" spans="1:48" x14ac:dyDescent="0.25">
      <c r="B193" s="4">
        <f t="shared" si="8"/>
        <v>2019</v>
      </c>
      <c r="C193" s="4">
        <f t="shared" si="9"/>
        <v>2159</v>
      </c>
      <c r="D193" s="4" cm="1">
        <f t="array" ref="D193">INDEX(GMW!$A$2:$NF$150,MATCH(1,(GMW!$NE$2:$NE$150=D$3)*(GMW!$ND$2:$ND$150=D$4)*(GMW!$NF$2:$NF$150=D$1),0),$C193-1966)</f>
        <v>621227</v>
      </c>
      <c r="E193" s="4" cm="1">
        <f t="array" ref="E193">INDEX(GMW!$A$2:$NF$150,MATCH(1,(GMW!$NE$2:$NE$150=E$3)*(GMW!$ND$2:$ND$150=E$4)*(GMW!$NF$2:$NF$150=E$1),0),$C193-1966)</f>
        <v>108.2667</v>
      </c>
      <c r="F193" s="4" cm="1">
        <f t="array" ref="F193">INDEX(GMW!$A$2:$NF$150,MATCH(1,(GMW!$NE$2:$NE$150=F$3)*(GMW!$ND$2:$ND$150=F$4)*(GMW!$NF$2:$NF$150=F$1),0),$C193-1966)</f>
        <v>210040</v>
      </c>
      <c r="G193" s="4" cm="1">
        <f t="array" ref="G193">INDEX(GMW!$A$2:$NF$150,MATCH(1,(GMW!$NE$2:$NE$150=G$3)*(GMW!$ND$2:$ND$150=G$4)*(GMW!$NF$2:$NF$150=G$1),0),$C193-1966)</f>
        <v>89995</v>
      </c>
      <c r="H193" s="4" cm="1">
        <f t="array" ref="H193">INDEX(GMW!$A$2:$NF$150,MATCH(1,(GMW!$NE$2:$NE$150=H$3)*(GMW!$ND$2:$ND$150=H$4)*(GMW!$NF$2:$NF$150=H$1),0),$C193-1966)</f>
        <v>219598</v>
      </c>
      <c r="I193" s="4" cm="1">
        <f t="array" ref="I193">INDEX(GMW!$A$2:$NF$150,MATCH(1,(GMW!$NE$2:$NE$150=I$3)*(GMW!$ND$2:$ND$150=I$4)*(GMW!$NF$2:$NF$150=I$1),0),$C193-1966)</f>
        <v>128411</v>
      </c>
      <c r="J193" s="4" cm="1">
        <f t="array" ref="J193">INDEX(GMW!$A$2:$NF$150,MATCH(1,(GMW!$NE$2:$NE$150=J$3)*(GMW!$ND$2:$ND$150=J$4)*(GMW!$NF$2:$NF$150=J$1),0),$C193-1966)</f>
        <v>110942</v>
      </c>
      <c r="K193" s="4" cm="1">
        <f t="array" ref="K193">INDEX(GMW!$A$2:$NF$150,MATCH(1,(GMW!$NE$2:$NE$150=K$3)*(GMW!$ND$2:$ND$150=K$4)*(GMW!$NF$2:$NF$150=K$1),0),$C193-1966)</f>
        <v>61932</v>
      </c>
      <c r="L193" s="4" cm="1">
        <f t="array" ref="L193">INDEX(GMW!$A$2:$NF$150,MATCH(1,(GMW!$NE$2:$NE$150=L$3)*(GMW!$ND$2:$ND$150=L$4)*(GMW!$NF$2:$NF$150=L$1),0),$C193-1966)</f>
        <v>621355.9</v>
      </c>
      <c r="M193" s="4" cm="1">
        <f t="array" ref="M193">INDEX(GMW!$A$2:$NF$150,MATCH(1,(GMW!$NE$2:$NE$150=M$3)*(GMW!$ND$2:$ND$150=M$4)*(GMW!$NF$2:$NF$150=M$1),0),$C193-1966)</f>
        <v>32758.05</v>
      </c>
      <c r="N193" s="4" cm="1">
        <f t="array" ref="N193">INDEX(GMW!$A$2:$NF$150,MATCH(1,(GMW!$NE$2:$NE$150=N$3)*(GMW!$ND$2:$ND$150=N$4)*(GMW!$NF$2:$NF$150=N$1),0),$C193-1966)</f>
        <v>32</v>
      </c>
      <c r="O193" s="4" cm="1">
        <f t="array" ref="O193">INDEX(GMW!$A$2:$NF$150,MATCH(1,(GMW!$NE$2:$NE$150=O$3)*(GMW!$ND$2:$ND$150=O$4)*(GMW!$NF$2:$NF$150=O$1),0),$C193-1966)</f>
        <v>573134.1</v>
      </c>
      <c r="P193" s="4" cm="1">
        <f t="array" ref="P193">INDEX(GMW!$A$2:$NF$150,MATCH(1,(GMW!$NE$2:$NE$150=P$3)*(GMW!$ND$2:$ND$150=P$4)*(GMW!$NF$2:$NF$150=P$1),0),$C193-1966)</f>
        <v>42849.57</v>
      </c>
      <c r="Q193" s="4" cm="1">
        <f t="array" ref="Q193">INDEX(GMW!$A$2:$NF$150,MATCH(1,(GMW!$NE$2:$NE$150=Q$3)*(GMW!$ND$2:$ND$150=Q$4)*(GMW!$NF$2:$NF$150=Q$1),0),$C193-1966)</f>
        <v>3140500</v>
      </c>
      <c r="R193" s="4" cm="1">
        <f t="array" ref="R193">INDEX(GMW!$A$2:$NF$150,MATCH(1,(GMW!$NE$2:$NE$150=R$3)*(GMW!$ND$2:$ND$150=R$4)*(GMW!$NF$2:$NF$150=R$1),0),$C193-1966)</f>
        <v>-1.6834260000000001</v>
      </c>
      <c r="S193" s="4" cm="1">
        <f t="array" ref="S193">INDEX(GMW!$A$2:$NF$150,MATCH(1,(GMW!$NE$2:$NE$150=S$3)*(GMW!$ND$2:$ND$150=S$4)*(GMW!$NF$2:$NF$150=S$1),0),$C193-1966)</f>
        <v>621227</v>
      </c>
      <c r="T193" s="4" cm="1">
        <f t="array" ref="T193">INDEX(GMW!$A$2:$NF$150,MATCH(1,(GMW!$NE$2:$NE$150=T$3)*(GMW!$ND$2:$ND$150=T$4)*(GMW!$NF$2:$NF$150=T$1),0),$C193-1966)</f>
        <v>108.2667</v>
      </c>
      <c r="U193" s="4" cm="1">
        <f t="array" ref="U193">INDEX(GMW!$A$2:$NF$150,MATCH(1,(GMW!$NE$2:$NE$150=U$3)*(GMW!$ND$2:$ND$150=U$4)*(GMW!$NF$2:$NF$150=U$1),0),$C193-1966)</f>
        <v>210040</v>
      </c>
      <c r="V193" s="4" cm="1">
        <f t="array" ref="V193">INDEX(GMW!$A$2:$NF$150,MATCH(1,(GMW!$NE$2:$NE$150=V$3)*(GMW!$ND$2:$ND$150=V$4)*(GMW!$NF$2:$NF$150=V$1),0),$C193-1966)</f>
        <v>89995</v>
      </c>
      <c r="W193" s="4" cm="1">
        <f t="array" ref="W193">INDEX(GMW!$A$2:$NF$150,MATCH(1,(GMW!$NE$2:$NE$150=W$3)*(GMW!$ND$2:$ND$150=W$4)*(GMW!$NF$2:$NF$150=W$1),0),$C193-1966)</f>
        <v>219598</v>
      </c>
      <c r="X193" s="4" cm="1">
        <f t="array" ref="X193">INDEX(GMW!$A$2:$NF$150,MATCH(1,(GMW!$NE$2:$NE$150=X$3)*(GMW!$ND$2:$ND$150=X$4)*(GMW!$NF$2:$NF$150=X$1),0),$C193-1966)</f>
        <v>128411</v>
      </c>
      <c r="Y193" s="4" cm="1">
        <f t="array" ref="Y193">INDEX(GMW!$A$2:$NF$150,MATCH(1,(GMW!$NE$2:$NE$150=Y$3)*(GMW!$ND$2:$ND$150=Y$4)*(GMW!$NF$2:$NF$150=Y$1),0),$C193-1966)</f>
        <v>110942</v>
      </c>
      <c r="Z193" s="4" cm="1">
        <f t="array" ref="Z193">INDEX(GMW!$A$2:$NF$150,MATCH(1,(GMW!$NE$2:$NE$150=Z$3)*(GMW!$ND$2:$ND$150=Z$4)*(GMW!$NF$2:$NF$150=Z$1),0),$C193-1966)</f>
        <v>61932</v>
      </c>
      <c r="AA193" s="4" cm="1">
        <f t="array" ref="AA193">INDEX(GMW!$A$2:$NF$150,MATCH(1,(GMW!$NE$2:$NE$150=AA$3)*(GMW!$ND$2:$ND$150=AA$4)*(GMW!$NF$2:$NF$150=AA$1),0),$C193-1966)</f>
        <v>621344.1</v>
      </c>
      <c r="AB193" s="4" cm="1">
        <f t="array" ref="AB193">INDEX(GMW!$A$2:$NF$150,MATCH(1,(GMW!$NE$2:$NE$150=AB$3)*(GMW!$ND$2:$ND$150=AB$4)*(GMW!$NF$2:$NF$150=AB$1),0),$C193-1966)</f>
        <v>32757.1</v>
      </c>
      <c r="AC193" s="4" cm="1">
        <f t="array" ref="AC193">INDEX(GMW!$A$2:$NF$150,MATCH(1,(GMW!$NE$2:$NE$150=AC$3)*(GMW!$ND$2:$ND$150=AC$4)*(GMW!$NF$2:$NF$150=AC$1),0),$C193-1966)</f>
        <v>32</v>
      </c>
      <c r="AD193" s="4" cm="1">
        <f t="array" ref="AD193">INDEX(GMW!$A$2:$NF$150,MATCH(1,(GMW!$NE$2:$NE$150=AD$3)*(GMW!$ND$2:$ND$150=AD$4)*(GMW!$NF$2:$NF$150=AD$1),0),$C193-1966)</f>
        <v>573134.1</v>
      </c>
      <c r="AE193" s="4" cm="1">
        <f t="array" ref="AE193">INDEX(GMW!$A$2:$NF$150,MATCH(1,(GMW!$NE$2:$NE$150=AE$3)*(GMW!$ND$2:$ND$150=AE$4)*(GMW!$NF$2:$NF$150=AE$1),0),$C193-1966)</f>
        <v>42849.57</v>
      </c>
      <c r="AF193" s="4" cm="1">
        <f t="array" ref="AF193">INDEX(GMW!$A$2:$NF$150,MATCH(1,(GMW!$NE$2:$NE$150=AF$3)*(GMW!$ND$2:$ND$150=AF$4)*(GMW!$NF$2:$NF$150=AF$1),0),$C193-1966)</f>
        <v>3140500</v>
      </c>
      <c r="AG193" s="4" cm="1">
        <f t="array" ref="AG193">INDEX(GMW!$A$2:$NF$150,MATCH(1,(GMW!$NE$2:$NE$150=AG$3)*(GMW!$ND$2:$ND$150=AG$4)*(GMW!$NF$2:$NF$150=AG$1),0),$C193-1966)</f>
        <v>-1.6834260000000001</v>
      </c>
      <c r="AH193" s="4" cm="1">
        <f t="array" ref="AH193">INDEX(GMW!$A$2:$NF$150,MATCH(1,(GMW!$NE$2:$NE$150=AH$3)*(GMW!$ND$2:$ND$150=AH$4)*(GMW!$NF$2:$NF$150=AH$1),0),$C193-1966)</f>
        <v>621227</v>
      </c>
      <c r="AI193" s="4" cm="1">
        <f t="array" ref="AI193">INDEX(GMW!$A$2:$NF$150,MATCH(1,(GMW!$NE$2:$NE$150=AI$3)*(GMW!$ND$2:$ND$150=AI$4)*(GMW!$NF$2:$NF$150=AI$1),0),$C193-1966)</f>
        <v>108.2667</v>
      </c>
      <c r="AJ193" s="4" cm="1">
        <f t="array" ref="AJ193">INDEX(GMW!$A$2:$NF$150,MATCH(1,(GMW!$NE$2:$NE$150=AJ$3)*(GMW!$ND$2:$ND$150=AJ$4)*(GMW!$NF$2:$NF$150=AJ$1),0),$C193-1966)</f>
        <v>210040</v>
      </c>
      <c r="AK193" s="4" cm="1">
        <f t="array" ref="AK193">INDEX(GMW!$A$2:$NF$150,MATCH(1,(GMW!$NE$2:$NE$150=AK$3)*(GMW!$ND$2:$ND$150=AK$4)*(GMW!$NF$2:$NF$150=AK$1),0),$C193-1966)</f>
        <v>89995</v>
      </c>
      <c r="AL193" s="4" cm="1">
        <f t="array" ref="AL193">INDEX(GMW!$A$2:$NF$150,MATCH(1,(GMW!$NE$2:$NE$150=AL$3)*(GMW!$ND$2:$ND$150=AL$4)*(GMW!$NF$2:$NF$150=AL$1),0),$C193-1966)</f>
        <v>219598</v>
      </c>
      <c r="AM193" s="4" cm="1">
        <f t="array" ref="AM193">INDEX(GMW!$A$2:$NF$150,MATCH(1,(GMW!$NE$2:$NE$150=AM$3)*(GMW!$ND$2:$ND$150=AM$4)*(GMW!$NF$2:$NF$150=AM$1),0),$C193-1966)</f>
        <v>128411</v>
      </c>
      <c r="AN193" s="4" cm="1">
        <f t="array" ref="AN193">INDEX(GMW!$A$2:$NF$150,MATCH(1,(GMW!$NE$2:$NE$150=AN$3)*(GMW!$ND$2:$ND$150=AN$4)*(GMW!$NF$2:$NF$150=AN$1),0),$C193-1966)</f>
        <v>110942</v>
      </c>
      <c r="AO193" s="4" cm="1">
        <f t="array" ref="AO193">INDEX(GMW!$A$2:$NF$150,MATCH(1,(GMW!$NE$2:$NE$150=AO$3)*(GMW!$ND$2:$ND$150=AO$4)*(GMW!$NF$2:$NF$150=AO$1),0),$C193-1966)</f>
        <v>61932</v>
      </c>
      <c r="AP193" s="4" cm="1">
        <f t="array" ref="AP193">INDEX(GMW!$A$2:$NF$150,MATCH(1,(GMW!$NE$2:$NE$150=AP$3)*(GMW!$ND$2:$ND$150=AP$4)*(GMW!$NF$2:$NF$150=AP$1),0),$C193-1966)</f>
        <v>621344.1</v>
      </c>
      <c r="AQ193" s="4" cm="1">
        <f t="array" ref="AQ193">INDEX(GMW!$A$2:$NF$150,MATCH(1,(GMW!$NE$2:$NE$150=AQ$3)*(GMW!$ND$2:$ND$150=AQ$4)*(GMW!$NF$2:$NF$150=AQ$1),0),$C193-1966)</f>
        <v>32757.1</v>
      </c>
      <c r="AR193" s="4" cm="1">
        <f t="array" ref="AR193">INDEX(GMW!$A$2:$NF$150,MATCH(1,(GMW!$NE$2:$NE$150=AR$3)*(GMW!$ND$2:$ND$150=AR$4)*(GMW!$NF$2:$NF$150=AR$1),0),$C193-1966)</f>
        <v>32</v>
      </c>
      <c r="AS193" s="4" cm="1">
        <f t="array" ref="AS193">INDEX(GMW!$A$2:$NF$150,MATCH(1,(GMW!$NE$2:$NE$150=AS$3)*(GMW!$ND$2:$ND$150=AS$4)*(GMW!$NF$2:$NF$150=AS$1),0),$C193-1966)</f>
        <v>573134.1</v>
      </c>
      <c r="AT193" s="4" cm="1">
        <f t="array" ref="AT193">INDEX(GMW!$A$2:$NF$150,MATCH(1,(GMW!$NE$2:$NE$150=AT$3)*(GMW!$ND$2:$ND$150=AT$4)*(GMW!$NF$2:$NF$150=AT$1),0),$C193-1966)</f>
        <v>42849.57</v>
      </c>
      <c r="AU193" s="4" cm="1">
        <f t="array" ref="AU193">INDEX(GMW!$A$2:$NF$150,MATCH(1,(GMW!$NE$2:$NE$150=AU$3)*(GMW!$ND$2:$ND$150=AU$4)*(GMW!$NF$2:$NF$150=AU$1),0),$C193-1966)</f>
        <v>3140500</v>
      </c>
      <c r="AV193" s="4" cm="1">
        <f t="array" ref="AV193">INDEX(GMW!$A$2:$NF$150,MATCH(1,(GMW!$NE$2:$NE$150=AV$3)*(GMW!$ND$2:$ND$150=AV$4)*(GMW!$NF$2:$NF$150=AV$1),0),$C193-1966)</f>
        <v>-1.6834260000000001</v>
      </c>
    </row>
    <row r="194" spans="1:48" x14ac:dyDescent="0.25">
      <c r="B194" s="4">
        <f t="shared" si="8"/>
        <v>2019</v>
      </c>
      <c r="C194" s="4">
        <f t="shared" si="9"/>
        <v>2160</v>
      </c>
      <c r="D194" s="4" cm="1">
        <f t="array" ref="D194">INDEX(GMW!$A$2:$NF$150,MATCH(1,(GMW!$NE$2:$NE$150=D$3)*(GMW!$ND$2:$ND$150=D$4)*(GMW!$NF$2:$NF$150=D$1),0),$C194-1966)</f>
        <v>621229</v>
      </c>
      <c r="E194" s="4" cm="1">
        <f t="array" ref="E194">INDEX(GMW!$A$2:$NF$150,MATCH(1,(GMW!$NE$2:$NE$150=E$3)*(GMW!$ND$2:$ND$150=E$4)*(GMW!$NF$2:$NF$150=E$1),0),$C194-1966)</f>
        <v>108.4333</v>
      </c>
      <c r="F194" s="4" cm="1">
        <f t="array" ref="F194">INDEX(GMW!$A$2:$NF$150,MATCH(1,(GMW!$NE$2:$NE$150=F$3)*(GMW!$ND$2:$ND$150=F$4)*(GMW!$NF$2:$NF$150=F$1),0),$C194-1966)</f>
        <v>218197</v>
      </c>
      <c r="G194" s="4" cm="1">
        <f t="array" ref="G194">INDEX(GMW!$A$2:$NF$150,MATCH(1,(GMW!$NE$2:$NE$150=G$3)*(GMW!$ND$2:$ND$150=G$4)*(GMW!$NF$2:$NF$150=G$1),0),$C194-1966)</f>
        <v>99624</v>
      </c>
      <c r="H194" s="4" cm="1">
        <f t="array" ref="H194">INDEX(GMW!$A$2:$NF$150,MATCH(1,(GMW!$NE$2:$NE$150=H$3)*(GMW!$ND$2:$ND$150=H$4)*(GMW!$NF$2:$NF$150=H$1),0),$C194-1966)</f>
        <v>212636</v>
      </c>
      <c r="I194" s="4" cm="1">
        <f t="array" ref="I194">INDEX(GMW!$A$2:$NF$150,MATCH(1,(GMW!$NE$2:$NE$150=I$3)*(GMW!$ND$2:$ND$150=I$4)*(GMW!$NF$2:$NF$150=I$1),0),$C194-1966)</f>
        <v>121545</v>
      </c>
      <c r="J194" s="4" cm="1">
        <f t="array" ref="J194">INDEX(GMW!$A$2:$NF$150,MATCH(1,(GMW!$NE$2:$NE$150=J$3)*(GMW!$ND$2:$ND$150=J$4)*(GMW!$NF$2:$NF$150=J$1),0),$C194-1966)</f>
        <v>109685</v>
      </c>
      <c r="K194" s="4" cm="1">
        <f t="array" ref="K194">INDEX(GMW!$A$2:$NF$150,MATCH(1,(GMW!$NE$2:$NE$150=K$3)*(GMW!$ND$2:$ND$150=K$4)*(GMW!$NF$2:$NF$150=K$1),0),$C194-1966)</f>
        <v>61994</v>
      </c>
      <c r="L194" s="4" cm="1">
        <f t="array" ref="L194">INDEX(GMW!$A$2:$NF$150,MATCH(1,(GMW!$NE$2:$NE$150=L$3)*(GMW!$ND$2:$ND$150=L$4)*(GMW!$NF$2:$NF$150=L$1),0),$C194-1966)</f>
        <v>621632.30000000005</v>
      </c>
      <c r="M194" s="4" cm="1">
        <f t="array" ref="M194">INDEX(GMW!$A$2:$NF$150,MATCH(1,(GMW!$NE$2:$NE$150=M$3)*(GMW!$ND$2:$ND$150=M$4)*(GMW!$NF$2:$NF$150=M$1),0),$C194-1966)</f>
        <v>32880.550000000003</v>
      </c>
      <c r="N194" s="4" cm="1">
        <f t="array" ref="N194">INDEX(GMW!$A$2:$NF$150,MATCH(1,(GMW!$NE$2:$NE$150=N$3)*(GMW!$ND$2:$ND$150=N$4)*(GMW!$NF$2:$NF$150=N$1),0),$C194-1966)</f>
        <v>31.8</v>
      </c>
      <c r="O194" s="4" cm="1">
        <f t="array" ref="O194">INDEX(GMW!$A$2:$NF$150,MATCH(1,(GMW!$NE$2:$NE$150=O$3)*(GMW!$ND$2:$ND$150=O$4)*(GMW!$NF$2:$NF$150=O$1),0),$C194-1966)</f>
        <v>574673.30000000005</v>
      </c>
      <c r="P194" s="4" cm="1">
        <f t="array" ref="P194">INDEX(GMW!$A$2:$NF$150,MATCH(1,(GMW!$NE$2:$NE$150=P$3)*(GMW!$ND$2:$ND$150=P$4)*(GMW!$NF$2:$NF$150=P$1),0),$C194-1966)</f>
        <v>42890.7</v>
      </c>
      <c r="Q194" s="4" cm="1">
        <f t="array" ref="Q194">INDEX(GMW!$A$2:$NF$150,MATCH(1,(GMW!$NE$2:$NE$150=Q$3)*(GMW!$ND$2:$ND$150=Q$4)*(GMW!$NF$2:$NF$150=Q$1),0),$C194-1966)</f>
        <v>3155000</v>
      </c>
      <c r="R194" s="4" cm="1">
        <f t="array" ref="R194">INDEX(GMW!$A$2:$NF$150,MATCH(1,(GMW!$NE$2:$NE$150=R$3)*(GMW!$ND$2:$ND$150=R$4)*(GMW!$NF$2:$NF$150=R$1),0),$C194-1966)</f>
        <v>-1.6834690000000001</v>
      </c>
      <c r="S194" s="4" cm="1">
        <f t="array" ref="S194">INDEX(GMW!$A$2:$NF$150,MATCH(1,(GMW!$NE$2:$NE$150=S$3)*(GMW!$ND$2:$ND$150=S$4)*(GMW!$NF$2:$NF$150=S$1),0),$C194-1966)</f>
        <v>621229</v>
      </c>
      <c r="T194" s="4" cm="1">
        <f t="array" ref="T194">INDEX(GMW!$A$2:$NF$150,MATCH(1,(GMW!$NE$2:$NE$150=T$3)*(GMW!$ND$2:$ND$150=T$4)*(GMW!$NF$2:$NF$150=T$1),0),$C194-1966)</f>
        <v>108.4333</v>
      </c>
      <c r="U194" s="4" cm="1">
        <f t="array" ref="U194">INDEX(GMW!$A$2:$NF$150,MATCH(1,(GMW!$NE$2:$NE$150=U$3)*(GMW!$ND$2:$ND$150=U$4)*(GMW!$NF$2:$NF$150=U$1),0),$C194-1966)</f>
        <v>218197</v>
      </c>
      <c r="V194" s="4" cm="1">
        <f t="array" ref="V194">INDEX(GMW!$A$2:$NF$150,MATCH(1,(GMW!$NE$2:$NE$150=V$3)*(GMW!$ND$2:$ND$150=V$4)*(GMW!$NF$2:$NF$150=V$1),0),$C194-1966)</f>
        <v>99624</v>
      </c>
      <c r="W194" s="4" cm="1">
        <f t="array" ref="W194">INDEX(GMW!$A$2:$NF$150,MATCH(1,(GMW!$NE$2:$NE$150=W$3)*(GMW!$ND$2:$ND$150=W$4)*(GMW!$NF$2:$NF$150=W$1),0),$C194-1966)</f>
        <v>212636</v>
      </c>
      <c r="X194" s="4" cm="1">
        <f t="array" ref="X194">INDEX(GMW!$A$2:$NF$150,MATCH(1,(GMW!$NE$2:$NE$150=X$3)*(GMW!$ND$2:$ND$150=X$4)*(GMW!$NF$2:$NF$150=X$1),0),$C194-1966)</f>
        <v>121545</v>
      </c>
      <c r="Y194" s="4" cm="1">
        <f t="array" ref="Y194">INDEX(GMW!$A$2:$NF$150,MATCH(1,(GMW!$NE$2:$NE$150=Y$3)*(GMW!$ND$2:$ND$150=Y$4)*(GMW!$NF$2:$NF$150=Y$1),0),$C194-1966)</f>
        <v>109685</v>
      </c>
      <c r="Z194" s="4" cm="1">
        <f t="array" ref="Z194">INDEX(GMW!$A$2:$NF$150,MATCH(1,(GMW!$NE$2:$NE$150=Z$3)*(GMW!$ND$2:$ND$150=Z$4)*(GMW!$NF$2:$NF$150=Z$1),0),$C194-1966)</f>
        <v>61994</v>
      </c>
      <c r="AA194" s="4" cm="1">
        <f t="array" ref="AA194">INDEX(GMW!$A$2:$NF$150,MATCH(1,(GMW!$NE$2:$NE$150=AA$3)*(GMW!$ND$2:$ND$150=AA$4)*(GMW!$NF$2:$NF$150=AA$1),0),$C194-1966)</f>
        <v>621632.30000000005</v>
      </c>
      <c r="AB194" s="4" cm="1">
        <f t="array" ref="AB194">INDEX(GMW!$A$2:$NF$150,MATCH(1,(GMW!$NE$2:$NE$150=AB$3)*(GMW!$ND$2:$ND$150=AB$4)*(GMW!$NF$2:$NF$150=AB$1),0),$C194-1966)</f>
        <v>32880.550000000003</v>
      </c>
      <c r="AC194" s="4" cm="1">
        <f t="array" ref="AC194">INDEX(GMW!$A$2:$NF$150,MATCH(1,(GMW!$NE$2:$NE$150=AC$3)*(GMW!$ND$2:$ND$150=AC$4)*(GMW!$NF$2:$NF$150=AC$1),0),$C194-1966)</f>
        <v>31.8</v>
      </c>
      <c r="AD194" s="4" cm="1">
        <f t="array" ref="AD194">INDEX(GMW!$A$2:$NF$150,MATCH(1,(GMW!$NE$2:$NE$150=AD$3)*(GMW!$ND$2:$ND$150=AD$4)*(GMW!$NF$2:$NF$150=AD$1),0),$C194-1966)</f>
        <v>574673.30000000005</v>
      </c>
      <c r="AE194" s="4" cm="1">
        <f t="array" ref="AE194">INDEX(GMW!$A$2:$NF$150,MATCH(1,(GMW!$NE$2:$NE$150=AE$3)*(GMW!$ND$2:$ND$150=AE$4)*(GMW!$NF$2:$NF$150=AE$1),0),$C194-1966)</f>
        <v>42890.7</v>
      </c>
      <c r="AF194" s="4" cm="1">
        <f t="array" ref="AF194">INDEX(GMW!$A$2:$NF$150,MATCH(1,(GMW!$NE$2:$NE$150=AF$3)*(GMW!$ND$2:$ND$150=AF$4)*(GMW!$NF$2:$NF$150=AF$1),0),$C194-1966)</f>
        <v>3155000</v>
      </c>
      <c r="AG194" s="4" cm="1">
        <f t="array" ref="AG194">INDEX(GMW!$A$2:$NF$150,MATCH(1,(GMW!$NE$2:$NE$150=AG$3)*(GMW!$ND$2:$ND$150=AG$4)*(GMW!$NF$2:$NF$150=AG$1),0),$C194-1966)</f>
        <v>-1.6834690000000001</v>
      </c>
      <c r="AH194" s="4" cm="1">
        <f t="array" ref="AH194">INDEX(GMW!$A$2:$NF$150,MATCH(1,(GMW!$NE$2:$NE$150=AH$3)*(GMW!$ND$2:$ND$150=AH$4)*(GMW!$NF$2:$NF$150=AH$1),0),$C194-1966)</f>
        <v>621229</v>
      </c>
      <c r="AI194" s="4" cm="1">
        <f t="array" ref="AI194">INDEX(GMW!$A$2:$NF$150,MATCH(1,(GMW!$NE$2:$NE$150=AI$3)*(GMW!$ND$2:$ND$150=AI$4)*(GMW!$NF$2:$NF$150=AI$1),0),$C194-1966)</f>
        <v>108.4333</v>
      </c>
      <c r="AJ194" s="4" cm="1">
        <f t="array" ref="AJ194">INDEX(GMW!$A$2:$NF$150,MATCH(1,(GMW!$NE$2:$NE$150=AJ$3)*(GMW!$ND$2:$ND$150=AJ$4)*(GMW!$NF$2:$NF$150=AJ$1),0),$C194-1966)</f>
        <v>218197</v>
      </c>
      <c r="AK194" s="4" cm="1">
        <f t="array" ref="AK194">INDEX(GMW!$A$2:$NF$150,MATCH(1,(GMW!$NE$2:$NE$150=AK$3)*(GMW!$ND$2:$ND$150=AK$4)*(GMW!$NF$2:$NF$150=AK$1),0),$C194-1966)</f>
        <v>99624</v>
      </c>
      <c r="AL194" s="4" cm="1">
        <f t="array" ref="AL194">INDEX(GMW!$A$2:$NF$150,MATCH(1,(GMW!$NE$2:$NE$150=AL$3)*(GMW!$ND$2:$ND$150=AL$4)*(GMW!$NF$2:$NF$150=AL$1),0),$C194-1966)</f>
        <v>212636</v>
      </c>
      <c r="AM194" s="4" cm="1">
        <f t="array" ref="AM194">INDEX(GMW!$A$2:$NF$150,MATCH(1,(GMW!$NE$2:$NE$150=AM$3)*(GMW!$ND$2:$ND$150=AM$4)*(GMW!$NF$2:$NF$150=AM$1),0),$C194-1966)</f>
        <v>121545</v>
      </c>
      <c r="AN194" s="4" cm="1">
        <f t="array" ref="AN194">INDEX(GMW!$A$2:$NF$150,MATCH(1,(GMW!$NE$2:$NE$150=AN$3)*(GMW!$ND$2:$ND$150=AN$4)*(GMW!$NF$2:$NF$150=AN$1),0),$C194-1966)</f>
        <v>109685</v>
      </c>
      <c r="AO194" s="4" cm="1">
        <f t="array" ref="AO194">INDEX(GMW!$A$2:$NF$150,MATCH(1,(GMW!$NE$2:$NE$150=AO$3)*(GMW!$ND$2:$ND$150=AO$4)*(GMW!$NF$2:$NF$150=AO$1),0),$C194-1966)</f>
        <v>61994</v>
      </c>
      <c r="AP194" s="4" cm="1">
        <f t="array" ref="AP194">INDEX(GMW!$A$2:$NF$150,MATCH(1,(GMW!$NE$2:$NE$150=AP$3)*(GMW!$ND$2:$ND$150=AP$4)*(GMW!$NF$2:$NF$150=AP$1),0),$C194-1966)</f>
        <v>621632.30000000005</v>
      </c>
      <c r="AQ194" s="4" cm="1">
        <f t="array" ref="AQ194">INDEX(GMW!$A$2:$NF$150,MATCH(1,(GMW!$NE$2:$NE$150=AQ$3)*(GMW!$ND$2:$ND$150=AQ$4)*(GMW!$NF$2:$NF$150=AQ$1),0),$C194-1966)</f>
        <v>32880.550000000003</v>
      </c>
      <c r="AR194" s="4" cm="1">
        <f t="array" ref="AR194">INDEX(GMW!$A$2:$NF$150,MATCH(1,(GMW!$NE$2:$NE$150=AR$3)*(GMW!$ND$2:$ND$150=AR$4)*(GMW!$NF$2:$NF$150=AR$1),0),$C194-1966)</f>
        <v>31.8</v>
      </c>
      <c r="AS194" s="4" cm="1">
        <f t="array" ref="AS194">INDEX(GMW!$A$2:$NF$150,MATCH(1,(GMW!$NE$2:$NE$150=AS$3)*(GMW!$ND$2:$ND$150=AS$4)*(GMW!$NF$2:$NF$150=AS$1),0),$C194-1966)</f>
        <v>574673.30000000005</v>
      </c>
      <c r="AT194" s="4" cm="1">
        <f t="array" ref="AT194">INDEX(GMW!$A$2:$NF$150,MATCH(1,(GMW!$NE$2:$NE$150=AT$3)*(GMW!$ND$2:$ND$150=AT$4)*(GMW!$NF$2:$NF$150=AT$1),0),$C194-1966)</f>
        <v>42890.7</v>
      </c>
      <c r="AU194" s="4" cm="1">
        <f t="array" ref="AU194">INDEX(GMW!$A$2:$NF$150,MATCH(1,(GMW!$NE$2:$NE$150=AU$3)*(GMW!$ND$2:$ND$150=AU$4)*(GMW!$NF$2:$NF$150=AU$1),0),$C194-1966)</f>
        <v>3155000</v>
      </c>
      <c r="AV194" s="4" cm="1">
        <f t="array" ref="AV194">INDEX(GMW!$A$2:$NF$150,MATCH(1,(GMW!$NE$2:$NE$150=AV$3)*(GMW!$ND$2:$ND$150=AV$4)*(GMW!$NF$2:$NF$150=AV$1),0),$C194-1966)</f>
        <v>-1.6834690000000001</v>
      </c>
    </row>
    <row r="195" spans="1:48" x14ac:dyDescent="0.25">
      <c r="A195" s="4">
        <v>2020</v>
      </c>
      <c r="B195" s="4">
        <f t="shared" si="8"/>
        <v>2020</v>
      </c>
      <c r="C195" s="4">
        <f t="shared" si="9"/>
        <v>2161</v>
      </c>
      <c r="D195" s="4" cm="1">
        <f t="array" ref="D195">INDEX(GMW!$A$2:$NF$150,MATCH(1,(GMW!$NE$2:$NE$150=D$3)*(GMW!$ND$2:$ND$150=D$4)*(GMW!$NF$2:$NF$150=D$1),0),$C195-1966)</f>
        <v>604719</v>
      </c>
      <c r="E195" s="4" cm="1">
        <f t="array" ref="E195">INDEX(GMW!$A$2:$NF$150,MATCH(1,(GMW!$NE$2:$NE$150=E$3)*(GMW!$ND$2:$ND$150=E$4)*(GMW!$NF$2:$NF$150=E$1),0),$C195-1966)</f>
        <v>108.4667</v>
      </c>
      <c r="F195" s="4" cm="1">
        <f t="array" ref="F195">INDEX(GMW!$A$2:$NF$150,MATCH(1,(GMW!$NE$2:$NE$150=F$3)*(GMW!$ND$2:$ND$150=F$4)*(GMW!$NF$2:$NF$150=F$1),0),$C195-1966)</f>
        <v>199459</v>
      </c>
      <c r="G195" s="4" cm="1">
        <f t="array" ref="G195">INDEX(GMW!$A$2:$NF$150,MATCH(1,(GMW!$NE$2:$NE$150=G$3)*(GMW!$ND$2:$ND$150=G$4)*(GMW!$NF$2:$NF$150=G$1),0),$C195-1966)</f>
        <v>84316</v>
      </c>
      <c r="H195" s="4" cm="1">
        <f t="array" ref="H195">INDEX(GMW!$A$2:$NF$150,MATCH(1,(GMW!$NE$2:$NE$150=H$3)*(GMW!$ND$2:$ND$150=H$4)*(GMW!$NF$2:$NF$150=H$1),0),$C195-1966)</f>
        <v>204826</v>
      </c>
      <c r="I195" s="4" cm="1">
        <f t="array" ref="I195">INDEX(GMW!$A$2:$NF$150,MATCH(1,(GMW!$NE$2:$NE$150=I$3)*(GMW!$ND$2:$ND$150=I$4)*(GMW!$NF$2:$NF$150=I$1),0),$C195-1966)</f>
        <v>115930</v>
      </c>
      <c r="J195" s="4" cm="1">
        <f t="array" ref="J195">INDEX(GMW!$A$2:$NF$150,MATCH(1,(GMW!$NE$2:$NE$150=J$3)*(GMW!$ND$2:$ND$150=J$4)*(GMW!$NF$2:$NF$150=J$1),0),$C195-1966)</f>
        <v>106217</v>
      </c>
      <c r="K195" s="4" cm="1">
        <f t="array" ref="K195">INDEX(GMW!$A$2:$NF$150,MATCH(1,(GMW!$NE$2:$NE$150=K$3)*(GMW!$ND$2:$ND$150=K$4)*(GMW!$NF$2:$NF$150=K$1),0),$C195-1966)</f>
        <v>60599</v>
      </c>
      <c r="L195" s="4" cm="1">
        <f t="array" ref="L195">INDEX(GMW!$A$2:$NF$150,MATCH(1,(GMW!$NE$2:$NE$150=L$3)*(GMW!$ND$2:$ND$150=L$4)*(GMW!$NF$2:$NF$150=L$1),0),$C195-1966)</f>
        <v>615319.30000000005</v>
      </c>
      <c r="M195" s="4" cm="1">
        <f t="array" ref="M195">INDEX(GMW!$A$2:$NF$150,MATCH(1,(GMW!$NE$2:$NE$150=M$3)*(GMW!$ND$2:$ND$150=M$4)*(GMW!$NF$2:$NF$150=M$1),0),$C195-1966)</f>
        <v>32925.550000000003</v>
      </c>
      <c r="N195" s="4" cm="1">
        <f t="array" ref="N195">INDEX(GMW!$A$2:$NF$150,MATCH(1,(GMW!$NE$2:$NE$150=N$3)*(GMW!$ND$2:$ND$150=N$4)*(GMW!$NF$2:$NF$150=N$1),0),$C195-1966)</f>
        <v>31.2</v>
      </c>
      <c r="O195" s="4" cm="1">
        <f t="array" ref="O195">INDEX(GMW!$A$2:$NF$150,MATCH(1,(GMW!$NE$2:$NE$150=O$3)*(GMW!$ND$2:$ND$150=O$4)*(GMW!$NF$2:$NF$150=O$1),0),$C195-1966)</f>
        <v>576211.30000000005</v>
      </c>
      <c r="P195" s="4" cm="1">
        <f t="array" ref="P195">INDEX(GMW!$A$2:$NF$150,MATCH(1,(GMW!$NE$2:$NE$150=P$3)*(GMW!$ND$2:$ND$150=P$4)*(GMW!$NF$2:$NF$150=P$1),0),$C195-1966)</f>
        <v>42931.82</v>
      </c>
      <c r="Q195" s="4" cm="1">
        <f t="array" ref="Q195">INDEX(GMW!$A$2:$NF$150,MATCH(1,(GMW!$NE$2:$NE$150=Q$3)*(GMW!$ND$2:$ND$150=Q$4)*(GMW!$NF$2:$NF$150=Q$1),0),$C195-1966)</f>
        <v>3160000</v>
      </c>
      <c r="R195" s="4" cm="1">
        <f t="array" ref="R195">INDEX(GMW!$A$2:$NF$150,MATCH(1,(GMW!$NE$2:$NE$150=R$3)*(GMW!$ND$2:$ND$150=R$4)*(GMW!$NF$2:$NF$150=R$1),0),$C195-1966)</f>
        <v>-1.6843109999999999</v>
      </c>
      <c r="S195" s="4" cm="1">
        <f t="array" ref="S195">INDEX(GMW!$A$2:$NF$150,MATCH(1,(GMW!$NE$2:$NE$150=S$3)*(GMW!$ND$2:$ND$150=S$4)*(GMW!$NF$2:$NF$150=S$1),0),$C195-1966)</f>
        <v>604719</v>
      </c>
      <c r="T195" s="4" cm="1">
        <f t="array" ref="T195">INDEX(GMW!$A$2:$NF$150,MATCH(1,(GMW!$NE$2:$NE$150=T$3)*(GMW!$ND$2:$ND$150=T$4)*(GMW!$NF$2:$NF$150=T$1),0),$C195-1966)</f>
        <v>108.4667</v>
      </c>
      <c r="U195" s="4" cm="1">
        <f t="array" ref="U195">INDEX(GMW!$A$2:$NF$150,MATCH(1,(GMW!$NE$2:$NE$150=U$3)*(GMW!$ND$2:$ND$150=U$4)*(GMW!$NF$2:$NF$150=U$1),0),$C195-1966)</f>
        <v>199459</v>
      </c>
      <c r="V195" s="4" cm="1">
        <f t="array" ref="V195">INDEX(GMW!$A$2:$NF$150,MATCH(1,(GMW!$NE$2:$NE$150=V$3)*(GMW!$ND$2:$ND$150=V$4)*(GMW!$NF$2:$NF$150=V$1),0),$C195-1966)</f>
        <v>84316</v>
      </c>
      <c r="W195" s="4" cm="1">
        <f t="array" ref="W195">INDEX(GMW!$A$2:$NF$150,MATCH(1,(GMW!$NE$2:$NE$150=W$3)*(GMW!$ND$2:$ND$150=W$4)*(GMW!$NF$2:$NF$150=W$1),0),$C195-1966)</f>
        <v>204826</v>
      </c>
      <c r="X195" s="4" cm="1">
        <f t="array" ref="X195">INDEX(GMW!$A$2:$NF$150,MATCH(1,(GMW!$NE$2:$NE$150=X$3)*(GMW!$ND$2:$ND$150=X$4)*(GMW!$NF$2:$NF$150=X$1),0),$C195-1966)</f>
        <v>115930</v>
      </c>
      <c r="Y195" s="4" cm="1">
        <f t="array" ref="Y195">INDEX(GMW!$A$2:$NF$150,MATCH(1,(GMW!$NE$2:$NE$150=Y$3)*(GMW!$ND$2:$ND$150=Y$4)*(GMW!$NF$2:$NF$150=Y$1),0),$C195-1966)</f>
        <v>106217</v>
      </c>
      <c r="Z195" s="4" cm="1">
        <f t="array" ref="Z195">INDEX(GMW!$A$2:$NF$150,MATCH(1,(GMW!$NE$2:$NE$150=Z$3)*(GMW!$ND$2:$ND$150=Z$4)*(GMW!$NF$2:$NF$150=Z$1),0),$C195-1966)</f>
        <v>60599</v>
      </c>
      <c r="AA195" s="4" cm="1">
        <f t="array" ref="AA195">INDEX(GMW!$A$2:$NF$150,MATCH(1,(GMW!$NE$2:$NE$150=AA$3)*(GMW!$ND$2:$ND$150=AA$4)*(GMW!$NF$2:$NF$150=AA$1),0),$C195-1966)</f>
        <v>615272.80000000005</v>
      </c>
      <c r="AB195" s="4" cm="1">
        <f t="array" ref="AB195">INDEX(GMW!$A$2:$NF$150,MATCH(1,(GMW!$NE$2:$NE$150=AB$3)*(GMW!$ND$2:$ND$150=AB$4)*(GMW!$NF$2:$NF$150=AB$1),0),$C195-1966)</f>
        <v>32921.72</v>
      </c>
      <c r="AC195" s="4" cm="1">
        <f t="array" ref="AC195">INDEX(GMW!$A$2:$NF$150,MATCH(1,(GMW!$NE$2:$NE$150=AC$3)*(GMW!$ND$2:$ND$150=AC$4)*(GMW!$NF$2:$NF$150=AC$1),0),$C195-1966)</f>
        <v>31.2</v>
      </c>
      <c r="AD195" s="4" cm="1">
        <f t="array" ref="AD195">INDEX(GMW!$A$2:$NF$150,MATCH(1,(GMW!$NE$2:$NE$150=AD$3)*(GMW!$ND$2:$ND$150=AD$4)*(GMW!$NF$2:$NF$150=AD$1),0),$C195-1966)</f>
        <v>576211.30000000005</v>
      </c>
      <c r="AE195" s="4" cm="1">
        <f t="array" ref="AE195">INDEX(GMW!$A$2:$NF$150,MATCH(1,(GMW!$NE$2:$NE$150=AE$3)*(GMW!$ND$2:$ND$150=AE$4)*(GMW!$NF$2:$NF$150=AE$1),0),$C195-1966)</f>
        <v>42931.82</v>
      </c>
      <c r="AF195" s="4" cm="1">
        <f t="array" ref="AF195">INDEX(GMW!$A$2:$NF$150,MATCH(1,(GMW!$NE$2:$NE$150=AF$3)*(GMW!$ND$2:$ND$150=AF$4)*(GMW!$NF$2:$NF$150=AF$1),0),$C195-1966)</f>
        <v>3160000</v>
      </c>
      <c r="AG195" s="4" cm="1">
        <f t="array" ref="AG195">INDEX(GMW!$A$2:$NF$150,MATCH(1,(GMW!$NE$2:$NE$150=AG$3)*(GMW!$ND$2:$ND$150=AG$4)*(GMW!$NF$2:$NF$150=AG$1),0),$C195-1966)</f>
        <v>-1.6843109999999999</v>
      </c>
      <c r="AH195" s="4" cm="1">
        <f t="array" ref="AH195">INDEX(GMW!$A$2:$NF$150,MATCH(1,(GMW!$NE$2:$NE$150=AH$3)*(GMW!$ND$2:$ND$150=AH$4)*(GMW!$NF$2:$NF$150=AH$1),0),$C195-1966)</f>
        <v>604719</v>
      </c>
      <c r="AI195" s="4" cm="1">
        <f t="array" ref="AI195">INDEX(GMW!$A$2:$NF$150,MATCH(1,(GMW!$NE$2:$NE$150=AI$3)*(GMW!$ND$2:$ND$150=AI$4)*(GMW!$NF$2:$NF$150=AI$1),0),$C195-1966)</f>
        <v>108.4667</v>
      </c>
      <c r="AJ195" s="4" cm="1">
        <f t="array" ref="AJ195">INDEX(GMW!$A$2:$NF$150,MATCH(1,(GMW!$NE$2:$NE$150=AJ$3)*(GMW!$ND$2:$ND$150=AJ$4)*(GMW!$NF$2:$NF$150=AJ$1),0),$C195-1966)</f>
        <v>199459</v>
      </c>
      <c r="AK195" s="4" cm="1">
        <f t="array" ref="AK195">INDEX(GMW!$A$2:$NF$150,MATCH(1,(GMW!$NE$2:$NE$150=AK$3)*(GMW!$ND$2:$ND$150=AK$4)*(GMW!$NF$2:$NF$150=AK$1),0),$C195-1966)</f>
        <v>84316</v>
      </c>
      <c r="AL195" s="4" cm="1">
        <f t="array" ref="AL195">INDEX(GMW!$A$2:$NF$150,MATCH(1,(GMW!$NE$2:$NE$150=AL$3)*(GMW!$ND$2:$ND$150=AL$4)*(GMW!$NF$2:$NF$150=AL$1),0),$C195-1966)</f>
        <v>204826</v>
      </c>
      <c r="AM195" s="4" cm="1">
        <f t="array" ref="AM195">INDEX(GMW!$A$2:$NF$150,MATCH(1,(GMW!$NE$2:$NE$150=AM$3)*(GMW!$ND$2:$ND$150=AM$4)*(GMW!$NF$2:$NF$150=AM$1),0),$C195-1966)</f>
        <v>115930</v>
      </c>
      <c r="AN195" s="4" cm="1">
        <f t="array" ref="AN195">INDEX(GMW!$A$2:$NF$150,MATCH(1,(GMW!$NE$2:$NE$150=AN$3)*(GMW!$ND$2:$ND$150=AN$4)*(GMW!$NF$2:$NF$150=AN$1),0),$C195-1966)</f>
        <v>106217</v>
      </c>
      <c r="AO195" s="4" cm="1">
        <f t="array" ref="AO195">INDEX(GMW!$A$2:$NF$150,MATCH(1,(GMW!$NE$2:$NE$150=AO$3)*(GMW!$ND$2:$ND$150=AO$4)*(GMW!$NF$2:$NF$150=AO$1),0),$C195-1966)</f>
        <v>60599</v>
      </c>
      <c r="AP195" s="4" cm="1">
        <f t="array" ref="AP195">INDEX(GMW!$A$2:$NF$150,MATCH(1,(GMW!$NE$2:$NE$150=AP$3)*(GMW!$ND$2:$ND$150=AP$4)*(GMW!$NF$2:$NF$150=AP$1),0),$C195-1966)</f>
        <v>615272.80000000005</v>
      </c>
      <c r="AQ195" s="4" cm="1">
        <f t="array" ref="AQ195">INDEX(GMW!$A$2:$NF$150,MATCH(1,(GMW!$NE$2:$NE$150=AQ$3)*(GMW!$ND$2:$ND$150=AQ$4)*(GMW!$NF$2:$NF$150=AQ$1),0),$C195-1966)</f>
        <v>32921.72</v>
      </c>
      <c r="AR195" s="4" cm="1">
        <f t="array" ref="AR195">INDEX(GMW!$A$2:$NF$150,MATCH(1,(GMW!$NE$2:$NE$150=AR$3)*(GMW!$ND$2:$ND$150=AR$4)*(GMW!$NF$2:$NF$150=AR$1),0),$C195-1966)</f>
        <v>31.2</v>
      </c>
      <c r="AS195" s="4" cm="1">
        <f t="array" ref="AS195">INDEX(GMW!$A$2:$NF$150,MATCH(1,(GMW!$NE$2:$NE$150=AS$3)*(GMW!$ND$2:$ND$150=AS$4)*(GMW!$NF$2:$NF$150=AS$1),0),$C195-1966)</f>
        <v>576211.30000000005</v>
      </c>
      <c r="AT195" s="4" cm="1">
        <f t="array" ref="AT195">INDEX(GMW!$A$2:$NF$150,MATCH(1,(GMW!$NE$2:$NE$150=AT$3)*(GMW!$ND$2:$ND$150=AT$4)*(GMW!$NF$2:$NF$150=AT$1),0),$C195-1966)</f>
        <v>42931.82</v>
      </c>
      <c r="AU195" s="4" cm="1">
        <f t="array" ref="AU195">INDEX(GMW!$A$2:$NF$150,MATCH(1,(GMW!$NE$2:$NE$150=AU$3)*(GMW!$ND$2:$ND$150=AU$4)*(GMW!$NF$2:$NF$150=AU$1),0),$C195-1966)</f>
        <v>3160000</v>
      </c>
      <c r="AV195" s="4" cm="1">
        <f t="array" ref="AV195">INDEX(GMW!$A$2:$NF$150,MATCH(1,(GMW!$NE$2:$NE$150=AV$3)*(GMW!$ND$2:$ND$150=AV$4)*(GMW!$NF$2:$NF$150=AV$1),0),$C195-1966)</f>
        <v>-1.6843109999999999</v>
      </c>
    </row>
    <row r="196" spans="1:48" x14ac:dyDescent="0.25">
      <c r="B196" s="4">
        <f t="shared" si="8"/>
        <v>2020</v>
      </c>
      <c r="C196" s="4">
        <f t="shared" si="9"/>
        <v>2162</v>
      </c>
      <c r="D196" s="4" cm="1">
        <f t="array" ref="D196">INDEX(GMW!$A$2:$NF$150,MATCH(1,(GMW!$NE$2:$NE$150=D$3)*(GMW!$ND$2:$ND$150=D$4)*(GMW!$NF$2:$NF$150=D$1),0),$C196-1966)</f>
        <v>481769</v>
      </c>
      <c r="E196" s="4" cm="1">
        <f t="array" ref="E196">INDEX(GMW!$A$2:$NF$150,MATCH(1,(GMW!$NE$2:$NE$150=E$3)*(GMW!$ND$2:$ND$150=E$4)*(GMW!$NF$2:$NF$150=E$1),0),$C196-1966)</f>
        <v>108.5333</v>
      </c>
      <c r="F196" s="4" cm="1">
        <f t="array" ref="F196">INDEX(GMW!$A$2:$NF$150,MATCH(1,(GMW!$NE$2:$NE$150=F$3)*(GMW!$ND$2:$ND$150=F$4)*(GMW!$NF$2:$NF$150=F$1),0),$C196-1966)</f>
        <v>173361</v>
      </c>
      <c r="G196" s="4" cm="1">
        <f t="array" ref="G196">INDEX(GMW!$A$2:$NF$150,MATCH(1,(GMW!$NE$2:$NE$150=G$3)*(GMW!$ND$2:$ND$150=G$4)*(GMW!$NF$2:$NF$150=G$1),0),$C196-1966)</f>
        <v>73698</v>
      </c>
      <c r="H196" s="4" cm="1">
        <f t="array" ref="H196">INDEX(GMW!$A$2:$NF$150,MATCH(1,(GMW!$NE$2:$NE$150=H$3)*(GMW!$ND$2:$ND$150=H$4)*(GMW!$NF$2:$NF$150=H$1),0),$C196-1966)</f>
        <v>154302</v>
      </c>
      <c r="I196" s="4" cm="1">
        <f t="array" ref="I196">INDEX(GMW!$A$2:$NF$150,MATCH(1,(GMW!$NE$2:$NE$150=I$3)*(GMW!$ND$2:$ND$150=I$4)*(GMW!$NF$2:$NF$150=I$1),0),$C196-1966)</f>
        <v>92529</v>
      </c>
      <c r="J196" s="4" cm="1">
        <f t="array" ref="J196">INDEX(GMW!$A$2:$NF$150,MATCH(1,(GMW!$NE$2:$NE$150=J$3)*(GMW!$ND$2:$ND$150=J$4)*(GMW!$NF$2:$NF$150=J$1),0),$C196-1966)</f>
        <v>86237</v>
      </c>
      <c r="K196" s="4" cm="1">
        <f t="array" ref="K196">INDEX(GMW!$A$2:$NF$150,MATCH(1,(GMW!$NE$2:$NE$150=K$3)*(GMW!$ND$2:$ND$150=K$4)*(GMW!$NF$2:$NF$150=K$1),0),$C196-1966)</f>
        <v>48951</v>
      </c>
      <c r="L196" s="4" cm="1">
        <f t="array" ref="L196">INDEX(GMW!$A$2:$NF$150,MATCH(1,(GMW!$NE$2:$NE$150=L$3)*(GMW!$ND$2:$ND$150=L$4)*(GMW!$NF$2:$NF$150=L$1),0),$C196-1966)</f>
        <v>539738.5</v>
      </c>
      <c r="M196" s="4" cm="1">
        <f t="array" ref="M196">INDEX(GMW!$A$2:$NF$150,MATCH(1,(GMW!$NE$2:$NE$150=M$3)*(GMW!$ND$2:$ND$150=M$4)*(GMW!$NF$2:$NF$150=M$1),0),$C196-1966)</f>
        <v>32577.98</v>
      </c>
      <c r="N196" s="4" cm="1">
        <f t="array" ref="N196">INDEX(GMW!$A$2:$NF$150,MATCH(1,(GMW!$NE$2:$NE$150=N$3)*(GMW!$ND$2:$ND$150=N$4)*(GMW!$NF$2:$NF$150=N$1),0),$C196-1966)</f>
        <v>25.9</v>
      </c>
      <c r="O196" s="4" cm="1">
        <f t="array" ref="O196">INDEX(GMW!$A$2:$NF$150,MATCH(1,(GMW!$NE$2:$NE$150=O$3)*(GMW!$ND$2:$ND$150=O$4)*(GMW!$NF$2:$NF$150=O$1),0),$C196-1966)</f>
        <v>577748.19999999995</v>
      </c>
      <c r="P196" s="4" cm="1">
        <f t="array" ref="P196">INDEX(GMW!$A$2:$NF$150,MATCH(1,(GMW!$NE$2:$NE$150=P$3)*(GMW!$ND$2:$ND$150=P$4)*(GMW!$NF$2:$NF$150=P$1),0),$C196-1966)</f>
        <v>42972.95</v>
      </c>
      <c r="Q196" s="4" cm="1">
        <f t="array" ref="Q196">INDEX(GMW!$A$2:$NF$150,MATCH(1,(GMW!$NE$2:$NE$150=Q$3)*(GMW!$ND$2:$ND$150=Q$4)*(GMW!$NF$2:$NF$150=Q$1),0),$C196-1966)</f>
        <v>3165000</v>
      </c>
      <c r="R196" s="4" cm="1">
        <f t="array" ref="R196">INDEX(GMW!$A$2:$NF$150,MATCH(1,(GMW!$NE$2:$NE$150=R$3)*(GMW!$ND$2:$ND$150=R$4)*(GMW!$NF$2:$NF$150=R$1),0),$C196-1966)</f>
        <v>-1.6885220000000001</v>
      </c>
      <c r="S196" s="4" cm="1">
        <f t="array" ref="S196">INDEX(GMW!$A$2:$NF$150,MATCH(1,(GMW!$NE$2:$NE$150=S$3)*(GMW!$ND$2:$ND$150=S$4)*(GMW!$NF$2:$NF$150=S$1),0),$C196-1966)</f>
        <v>481769</v>
      </c>
      <c r="T196" s="4" cm="1">
        <f t="array" ref="T196">INDEX(GMW!$A$2:$NF$150,MATCH(1,(GMW!$NE$2:$NE$150=T$3)*(GMW!$ND$2:$ND$150=T$4)*(GMW!$NF$2:$NF$150=T$1),0),$C196-1966)</f>
        <v>108.5333</v>
      </c>
      <c r="U196" s="4" cm="1">
        <f t="array" ref="U196">INDEX(GMW!$A$2:$NF$150,MATCH(1,(GMW!$NE$2:$NE$150=U$3)*(GMW!$ND$2:$ND$150=U$4)*(GMW!$NF$2:$NF$150=U$1),0),$C196-1966)</f>
        <v>173361</v>
      </c>
      <c r="V196" s="4" cm="1">
        <f t="array" ref="V196">INDEX(GMW!$A$2:$NF$150,MATCH(1,(GMW!$NE$2:$NE$150=V$3)*(GMW!$ND$2:$ND$150=V$4)*(GMW!$NF$2:$NF$150=V$1),0),$C196-1966)</f>
        <v>73698</v>
      </c>
      <c r="W196" s="4" cm="1">
        <f t="array" ref="W196">INDEX(GMW!$A$2:$NF$150,MATCH(1,(GMW!$NE$2:$NE$150=W$3)*(GMW!$ND$2:$ND$150=W$4)*(GMW!$NF$2:$NF$150=W$1),0),$C196-1966)</f>
        <v>154302</v>
      </c>
      <c r="X196" s="4" cm="1">
        <f t="array" ref="X196">INDEX(GMW!$A$2:$NF$150,MATCH(1,(GMW!$NE$2:$NE$150=X$3)*(GMW!$ND$2:$ND$150=X$4)*(GMW!$NF$2:$NF$150=X$1),0),$C196-1966)</f>
        <v>92529</v>
      </c>
      <c r="Y196" s="4" cm="1">
        <f t="array" ref="Y196">INDEX(GMW!$A$2:$NF$150,MATCH(1,(GMW!$NE$2:$NE$150=Y$3)*(GMW!$ND$2:$ND$150=Y$4)*(GMW!$NF$2:$NF$150=Y$1),0),$C196-1966)</f>
        <v>86237</v>
      </c>
      <c r="Z196" s="4" cm="1">
        <f t="array" ref="Z196">INDEX(GMW!$A$2:$NF$150,MATCH(1,(GMW!$NE$2:$NE$150=Z$3)*(GMW!$ND$2:$ND$150=Z$4)*(GMW!$NF$2:$NF$150=Z$1),0),$C196-1966)</f>
        <v>48951</v>
      </c>
      <c r="AA196" s="4" cm="1">
        <f t="array" ref="AA196">INDEX(GMW!$A$2:$NF$150,MATCH(1,(GMW!$NE$2:$NE$150=AA$3)*(GMW!$ND$2:$ND$150=AA$4)*(GMW!$NF$2:$NF$150=AA$1),0),$C196-1966)</f>
        <v>539738.5</v>
      </c>
      <c r="AB196" s="4" cm="1">
        <f t="array" ref="AB196">INDEX(GMW!$A$2:$NF$150,MATCH(1,(GMW!$NE$2:$NE$150=AB$3)*(GMW!$ND$2:$ND$150=AB$4)*(GMW!$NF$2:$NF$150=AB$1),0),$C196-1966)</f>
        <v>32577.98</v>
      </c>
      <c r="AC196" s="4" cm="1">
        <f t="array" ref="AC196">INDEX(GMW!$A$2:$NF$150,MATCH(1,(GMW!$NE$2:$NE$150=AC$3)*(GMW!$ND$2:$ND$150=AC$4)*(GMW!$NF$2:$NF$150=AC$1),0),$C196-1966)</f>
        <v>25.9</v>
      </c>
      <c r="AD196" s="4" cm="1">
        <f t="array" ref="AD196">INDEX(GMW!$A$2:$NF$150,MATCH(1,(GMW!$NE$2:$NE$150=AD$3)*(GMW!$ND$2:$ND$150=AD$4)*(GMW!$NF$2:$NF$150=AD$1),0),$C196-1966)</f>
        <v>577748.19999999995</v>
      </c>
      <c r="AE196" s="4" cm="1">
        <f t="array" ref="AE196">INDEX(GMW!$A$2:$NF$150,MATCH(1,(GMW!$NE$2:$NE$150=AE$3)*(GMW!$ND$2:$ND$150=AE$4)*(GMW!$NF$2:$NF$150=AE$1),0),$C196-1966)</f>
        <v>42972.95</v>
      </c>
      <c r="AF196" s="4" cm="1">
        <f t="array" ref="AF196">INDEX(GMW!$A$2:$NF$150,MATCH(1,(GMW!$NE$2:$NE$150=AF$3)*(GMW!$ND$2:$ND$150=AF$4)*(GMW!$NF$2:$NF$150=AF$1),0),$C196-1966)</f>
        <v>3165000</v>
      </c>
      <c r="AG196" s="4" cm="1">
        <f t="array" ref="AG196">INDEX(GMW!$A$2:$NF$150,MATCH(1,(GMW!$NE$2:$NE$150=AG$3)*(GMW!$ND$2:$ND$150=AG$4)*(GMW!$NF$2:$NF$150=AG$1),0),$C196-1966)</f>
        <v>-1.6885220000000001</v>
      </c>
      <c r="AH196" s="4" cm="1">
        <f t="array" ref="AH196">INDEX(GMW!$A$2:$NF$150,MATCH(1,(GMW!$NE$2:$NE$150=AH$3)*(GMW!$ND$2:$ND$150=AH$4)*(GMW!$NF$2:$NF$150=AH$1),0),$C196-1966)</f>
        <v>481769</v>
      </c>
      <c r="AI196" s="4" cm="1">
        <f t="array" ref="AI196">INDEX(GMW!$A$2:$NF$150,MATCH(1,(GMW!$NE$2:$NE$150=AI$3)*(GMW!$ND$2:$ND$150=AI$4)*(GMW!$NF$2:$NF$150=AI$1),0),$C196-1966)</f>
        <v>108.5333</v>
      </c>
      <c r="AJ196" s="4" cm="1">
        <f t="array" ref="AJ196">INDEX(GMW!$A$2:$NF$150,MATCH(1,(GMW!$NE$2:$NE$150=AJ$3)*(GMW!$ND$2:$ND$150=AJ$4)*(GMW!$NF$2:$NF$150=AJ$1),0),$C196-1966)</f>
        <v>173361</v>
      </c>
      <c r="AK196" s="4" cm="1">
        <f t="array" ref="AK196">INDEX(GMW!$A$2:$NF$150,MATCH(1,(GMW!$NE$2:$NE$150=AK$3)*(GMW!$ND$2:$ND$150=AK$4)*(GMW!$NF$2:$NF$150=AK$1),0),$C196-1966)</f>
        <v>73698</v>
      </c>
      <c r="AL196" s="4" cm="1">
        <f t="array" ref="AL196">INDEX(GMW!$A$2:$NF$150,MATCH(1,(GMW!$NE$2:$NE$150=AL$3)*(GMW!$ND$2:$ND$150=AL$4)*(GMW!$NF$2:$NF$150=AL$1),0),$C196-1966)</f>
        <v>154302</v>
      </c>
      <c r="AM196" s="4" cm="1">
        <f t="array" ref="AM196">INDEX(GMW!$A$2:$NF$150,MATCH(1,(GMW!$NE$2:$NE$150=AM$3)*(GMW!$ND$2:$ND$150=AM$4)*(GMW!$NF$2:$NF$150=AM$1),0),$C196-1966)</f>
        <v>92529</v>
      </c>
      <c r="AN196" s="4" cm="1">
        <f t="array" ref="AN196">INDEX(GMW!$A$2:$NF$150,MATCH(1,(GMW!$NE$2:$NE$150=AN$3)*(GMW!$ND$2:$ND$150=AN$4)*(GMW!$NF$2:$NF$150=AN$1),0),$C196-1966)</f>
        <v>86237</v>
      </c>
      <c r="AO196" s="4" cm="1">
        <f t="array" ref="AO196">INDEX(GMW!$A$2:$NF$150,MATCH(1,(GMW!$NE$2:$NE$150=AO$3)*(GMW!$ND$2:$ND$150=AO$4)*(GMW!$NF$2:$NF$150=AO$1),0),$C196-1966)</f>
        <v>48951</v>
      </c>
      <c r="AP196" s="4" cm="1">
        <f t="array" ref="AP196">INDEX(GMW!$A$2:$NF$150,MATCH(1,(GMW!$NE$2:$NE$150=AP$3)*(GMW!$ND$2:$ND$150=AP$4)*(GMW!$NF$2:$NF$150=AP$1),0),$C196-1966)</f>
        <v>539738.5</v>
      </c>
      <c r="AQ196" s="4" cm="1">
        <f t="array" ref="AQ196">INDEX(GMW!$A$2:$NF$150,MATCH(1,(GMW!$NE$2:$NE$150=AQ$3)*(GMW!$ND$2:$ND$150=AQ$4)*(GMW!$NF$2:$NF$150=AQ$1),0),$C196-1966)</f>
        <v>32577.98</v>
      </c>
      <c r="AR196" s="4" cm="1">
        <f t="array" ref="AR196">INDEX(GMW!$A$2:$NF$150,MATCH(1,(GMW!$NE$2:$NE$150=AR$3)*(GMW!$ND$2:$ND$150=AR$4)*(GMW!$NF$2:$NF$150=AR$1),0),$C196-1966)</f>
        <v>25.9</v>
      </c>
      <c r="AS196" s="4" cm="1">
        <f t="array" ref="AS196">INDEX(GMW!$A$2:$NF$150,MATCH(1,(GMW!$NE$2:$NE$150=AS$3)*(GMW!$ND$2:$ND$150=AS$4)*(GMW!$NF$2:$NF$150=AS$1),0),$C196-1966)</f>
        <v>577748.19999999995</v>
      </c>
      <c r="AT196" s="4" cm="1">
        <f t="array" ref="AT196">INDEX(GMW!$A$2:$NF$150,MATCH(1,(GMW!$NE$2:$NE$150=AT$3)*(GMW!$ND$2:$ND$150=AT$4)*(GMW!$NF$2:$NF$150=AT$1),0),$C196-1966)</f>
        <v>42972.95</v>
      </c>
      <c r="AU196" s="4" cm="1">
        <f t="array" ref="AU196">INDEX(GMW!$A$2:$NF$150,MATCH(1,(GMW!$NE$2:$NE$150=AU$3)*(GMW!$ND$2:$ND$150=AU$4)*(GMW!$NF$2:$NF$150=AU$1),0),$C196-1966)</f>
        <v>3165000</v>
      </c>
      <c r="AV196" s="4" cm="1">
        <f t="array" ref="AV196">INDEX(GMW!$A$2:$NF$150,MATCH(1,(GMW!$NE$2:$NE$150=AV$3)*(GMW!$ND$2:$ND$150=AV$4)*(GMW!$NF$2:$NF$150=AV$1),0),$C196-1966)</f>
        <v>-1.6885220000000001</v>
      </c>
    </row>
    <row r="197" spans="1:48" x14ac:dyDescent="0.25">
      <c r="B197" s="4">
        <f t="shared" si="8"/>
        <v>2020</v>
      </c>
      <c r="C197" s="4">
        <f t="shared" si="9"/>
        <v>2163</v>
      </c>
      <c r="D197" s="4" cm="1">
        <f t="array" ref="D197">INDEX(GMW!$A$2:$NF$150,MATCH(1,(GMW!$NE$2:$NE$150=D$3)*(GMW!$ND$2:$ND$150=D$4)*(GMW!$NF$2:$NF$150=D$1),0),$C197-1966)</f>
        <v>562648</v>
      </c>
      <c r="E197" s="4" cm="1">
        <f t="array" ref="E197">INDEX(GMW!$A$2:$NF$150,MATCH(1,(GMW!$NE$2:$NE$150=E$3)*(GMW!$ND$2:$ND$150=E$4)*(GMW!$NF$2:$NF$150=E$1),0),$C197-1966)</f>
        <v>108.9333</v>
      </c>
      <c r="F197" s="4" cm="1">
        <f t="array" ref="F197">INDEX(GMW!$A$2:$NF$150,MATCH(1,(GMW!$NE$2:$NE$150=F$3)*(GMW!$ND$2:$ND$150=F$4)*(GMW!$NF$2:$NF$150=F$1),0),$C197-1966)</f>
        <v>173434</v>
      </c>
      <c r="G197" s="4" cm="1">
        <f t="array" ref="G197">INDEX(GMW!$A$2:$NF$150,MATCH(1,(GMW!$NE$2:$NE$150=G$3)*(GMW!$ND$2:$ND$150=G$4)*(GMW!$NF$2:$NF$150=G$1),0),$C197-1966)</f>
        <v>77079</v>
      </c>
      <c r="H197" s="4" cm="1">
        <f t="array" ref="H197">INDEX(GMW!$A$2:$NF$150,MATCH(1,(GMW!$NE$2:$NE$150=H$3)*(GMW!$ND$2:$ND$150=H$4)*(GMW!$NF$2:$NF$150=H$1),0),$C197-1966)</f>
        <v>180964</v>
      </c>
      <c r="I197" s="4" cm="1">
        <f t="array" ref="I197">INDEX(GMW!$A$2:$NF$150,MATCH(1,(GMW!$NE$2:$NE$150=I$3)*(GMW!$ND$2:$ND$150=I$4)*(GMW!$NF$2:$NF$150=I$1),0),$C197-1966)</f>
        <v>117558</v>
      </c>
      <c r="J197" s="4" cm="1">
        <f t="array" ref="J197">INDEX(GMW!$A$2:$NF$150,MATCH(1,(GMW!$NE$2:$NE$150=J$3)*(GMW!$ND$2:$ND$150=J$4)*(GMW!$NF$2:$NF$150=J$1),0),$C197-1966)</f>
        <v>100076</v>
      </c>
      <c r="K197" s="4" cm="1">
        <f t="array" ref="K197">INDEX(GMW!$A$2:$NF$150,MATCH(1,(GMW!$NE$2:$NE$150=K$3)*(GMW!$ND$2:$ND$150=K$4)*(GMW!$NF$2:$NF$150=K$1),0),$C197-1966)</f>
        <v>54710</v>
      </c>
      <c r="L197" s="4" cm="1">
        <f t="array" ref="L197">INDEX(GMW!$A$2:$NF$150,MATCH(1,(GMW!$NE$2:$NE$150=L$3)*(GMW!$ND$2:$ND$150=L$4)*(GMW!$NF$2:$NF$150=L$1),0),$C197-1966)</f>
        <v>569337.4</v>
      </c>
      <c r="M197" s="4" cm="1">
        <f t="array" ref="M197">INDEX(GMW!$A$2:$NF$150,MATCH(1,(GMW!$NE$2:$NE$150=M$3)*(GMW!$ND$2:$ND$150=M$4)*(GMW!$NF$2:$NF$150=M$1),0),$C197-1966)</f>
        <v>32598.09</v>
      </c>
      <c r="N197" s="4" cm="1">
        <f t="array" ref="N197">INDEX(GMW!$A$2:$NF$150,MATCH(1,(GMW!$NE$2:$NE$150=N$3)*(GMW!$ND$2:$ND$150=N$4)*(GMW!$NF$2:$NF$150=N$1),0),$C197-1966)</f>
        <v>28.2</v>
      </c>
      <c r="O197" s="4" cm="1">
        <f t="array" ref="O197">INDEX(GMW!$A$2:$NF$150,MATCH(1,(GMW!$NE$2:$NE$150=O$3)*(GMW!$ND$2:$ND$150=O$4)*(GMW!$NF$2:$NF$150=O$1),0),$C197-1966)</f>
        <v>578591.1</v>
      </c>
      <c r="P197" s="4" cm="1">
        <f t="array" ref="P197">INDEX(GMW!$A$2:$NF$150,MATCH(1,(GMW!$NE$2:$NE$150=P$3)*(GMW!$ND$2:$ND$150=P$4)*(GMW!$NF$2:$NF$150=P$1),0),$C197-1966)</f>
        <v>42962.59</v>
      </c>
      <c r="Q197" s="4" cm="1">
        <f t="array" ref="Q197">INDEX(GMW!$A$2:$NF$150,MATCH(1,(GMW!$NE$2:$NE$150=Q$3)*(GMW!$ND$2:$ND$150=Q$4)*(GMW!$NF$2:$NF$150=Q$1),0),$C197-1966)</f>
        <v>3170000</v>
      </c>
      <c r="R197" s="4" cm="1">
        <f t="array" ref="R197">INDEX(GMW!$A$2:$NF$150,MATCH(1,(GMW!$NE$2:$NE$150=R$3)*(GMW!$ND$2:$ND$150=R$4)*(GMW!$NF$2:$NF$150=R$1),0),$C197-1966)</f>
        <v>-1.691899</v>
      </c>
      <c r="S197" s="4" cm="1">
        <f t="array" ref="S197">INDEX(GMW!$A$2:$NF$150,MATCH(1,(GMW!$NE$2:$NE$150=S$3)*(GMW!$ND$2:$ND$150=S$4)*(GMW!$NF$2:$NF$150=S$1),0),$C197-1966)</f>
        <v>562648</v>
      </c>
      <c r="T197" s="4" cm="1">
        <f t="array" ref="T197">INDEX(GMW!$A$2:$NF$150,MATCH(1,(GMW!$NE$2:$NE$150=T$3)*(GMW!$ND$2:$ND$150=T$4)*(GMW!$NF$2:$NF$150=T$1),0),$C197-1966)</f>
        <v>108.9333</v>
      </c>
      <c r="U197" s="4" cm="1">
        <f t="array" ref="U197">INDEX(GMW!$A$2:$NF$150,MATCH(1,(GMW!$NE$2:$NE$150=U$3)*(GMW!$ND$2:$ND$150=U$4)*(GMW!$NF$2:$NF$150=U$1),0),$C197-1966)</f>
        <v>173434</v>
      </c>
      <c r="V197" s="4" cm="1">
        <f t="array" ref="V197">INDEX(GMW!$A$2:$NF$150,MATCH(1,(GMW!$NE$2:$NE$150=V$3)*(GMW!$ND$2:$ND$150=V$4)*(GMW!$NF$2:$NF$150=V$1),0),$C197-1966)</f>
        <v>77079</v>
      </c>
      <c r="W197" s="4" cm="1">
        <f t="array" ref="W197">INDEX(GMW!$A$2:$NF$150,MATCH(1,(GMW!$NE$2:$NE$150=W$3)*(GMW!$ND$2:$ND$150=W$4)*(GMW!$NF$2:$NF$150=W$1),0),$C197-1966)</f>
        <v>180964</v>
      </c>
      <c r="X197" s="4" cm="1">
        <f t="array" ref="X197">INDEX(GMW!$A$2:$NF$150,MATCH(1,(GMW!$NE$2:$NE$150=X$3)*(GMW!$ND$2:$ND$150=X$4)*(GMW!$NF$2:$NF$150=X$1),0),$C197-1966)</f>
        <v>117558</v>
      </c>
      <c r="Y197" s="4" cm="1">
        <f t="array" ref="Y197">INDEX(GMW!$A$2:$NF$150,MATCH(1,(GMW!$NE$2:$NE$150=Y$3)*(GMW!$ND$2:$ND$150=Y$4)*(GMW!$NF$2:$NF$150=Y$1),0),$C197-1966)</f>
        <v>100076</v>
      </c>
      <c r="Z197" s="4" cm="1">
        <f t="array" ref="Z197">INDEX(GMW!$A$2:$NF$150,MATCH(1,(GMW!$NE$2:$NE$150=Z$3)*(GMW!$ND$2:$ND$150=Z$4)*(GMW!$NF$2:$NF$150=Z$1),0),$C197-1966)</f>
        <v>54710</v>
      </c>
      <c r="AA197" s="4" cm="1">
        <f t="array" ref="AA197">INDEX(GMW!$A$2:$NF$150,MATCH(1,(GMW!$NE$2:$NE$150=AA$3)*(GMW!$ND$2:$ND$150=AA$4)*(GMW!$NF$2:$NF$150=AA$1),0),$C197-1966)</f>
        <v>569315.6</v>
      </c>
      <c r="AB197" s="4" cm="1">
        <f t="array" ref="AB197">INDEX(GMW!$A$2:$NF$150,MATCH(1,(GMW!$NE$2:$NE$150=AB$3)*(GMW!$ND$2:$ND$150=AB$4)*(GMW!$NF$2:$NF$150=AB$1),0),$C197-1966)</f>
        <v>32596.17</v>
      </c>
      <c r="AC197" s="4" cm="1">
        <f t="array" ref="AC197">INDEX(GMW!$A$2:$NF$150,MATCH(1,(GMW!$NE$2:$NE$150=AC$3)*(GMW!$ND$2:$ND$150=AC$4)*(GMW!$NF$2:$NF$150=AC$1),0),$C197-1966)</f>
        <v>28.2</v>
      </c>
      <c r="AD197" s="4" cm="1">
        <f t="array" ref="AD197">INDEX(GMW!$A$2:$NF$150,MATCH(1,(GMW!$NE$2:$NE$150=AD$3)*(GMW!$ND$2:$ND$150=AD$4)*(GMW!$NF$2:$NF$150=AD$1),0),$C197-1966)</f>
        <v>578591.1</v>
      </c>
      <c r="AE197" s="4" cm="1">
        <f t="array" ref="AE197">INDEX(GMW!$A$2:$NF$150,MATCH(1,(GMW!$NE$2:$NE$150=AE$3)*(GMW!$ND$2:$ND$150=AE$4)*(GMW!$NF$2:$NF$150=AE$1),0),$C197-1966)</f>
        <v>42962.59</v>
      </c>
      <c r="AF197" s="4" cm="1">
        <f t="array" ref="AF197">INDEX(GMW!$A$2:$NF$150,MATCH(1,(GMW!$NE$2:$NE$150=AF$3)*(GMW!$ND$2:$ND$150=AF$4)*(GMW!$NF$2:$NF$150=AF$1),0),$C197-1966)</f>
        <v>3170000</v>
      </c>
      <c r="AG197" s="4" cm="1">
        <f t="array" ref="AG197">INDEX(GMW!$A$2:$NF$150,MATCH(1,(GMW!$NE$2:$NE$150=AG$3)*(GMW!$ND$2:$ND$150=AG$4)*(GMW!$NF$2:$NF$150=AG$1),0),$C197-1966)</f>
        <v>-1.691899</v>
      </c>
      <c r="AH197" s="4" cm="1">
        <f t="array" ref="AH197">INDEX(GMW!$A$2:$NF$150,MATCH(1,(GMW!$NE$2:$NE$150=AH$3)*(GMW!$ND$2:$ND$150=AH$4)*(GMW!$NF$2:$NF$150=AH$1),0),$C197-1966)</f>
        <v>562648</v>
      </c>
      <c r="AI197" s="4" cm="1">
        <f t="array" ref="AI197">INDEX(GMW!$A$2:$NF$150,MATCH(1,(GMW!$NE$2:$NE$150=AI$3)*(GMW!$ND$2:$ND$150=AI$4)*(GMW!$NF$2:$NF$150=AI$1),0),$C197-1966)</f>
        <v>108.9333</v>
      </c>
      <c r="AJ197" s="4" cm="1">
        <f t="array" ref="AJ197">INDEX(GMW!$A$2:$NF$150,MATCH(1,(GMW!$NE$2:$NE$150=AJ$3)*(GMW!$ND$2:$ND$150=AJ$4)*(GMW!$NF$2:$NF$150=AJ$1),0),$C197-1966)</f>
        <v>173434</v>
      </c>
      <c r="AK197" s="4" cm="1">
        <f t="array" ref="AK197">INDEX(GMW!$A$2:$NF$150,MATCH(1,(GMW!$NE$2:$NE$150=AK$3)*(GMW!$ND$2:$ND$150=AK$4)*(GMW!$NF$2:$NF$150=AK$1),0),$C197-1966)</f>
        <v>77079</v>
      </c>
      <c r="AL197" s="4" cm="1">
        <f t="array" ref="AL197">INDEX(GMW!$A$2:$NF$150,MATCH(1,(GMW!$NE$2:$NE$150=AL$3)*(GMW!$ND$2:$ND$150=AL$4)*(GMW!$NF$2:$NF$150=AL$1),0),$C197-1966)</f>
        <v>180964</v>
      </c>
      <c r="AM197" s="4" cm="1">
        <f t="array" ref="AM197">INDEX(GMW!$A$2:$NF$150,MATCH(1,(GMW!$NE$2:$NE$150=AM$3)*(GMW!$ND$2:$ND$150=AM$4)*(GMW!$NF$2:$NF$150=AM$1),0),$C197-1966)</f>
        <v>117558</v>
      </c>
      <c r="AN197" s="4" cm="1">
        <f t="array" ref="AN197">INDEX(GMW!$A$2:$NF$150,MATCH(1,(GMW!$NE$2:$NE$150=AN$3)*(GMW!$ND$2:$ND$150=AN$4)*(GMW!$NF$2:$NF$150=AN$1),0),$C197-1966)</f>
        <v>100076</v>
      </c>
      <c r="AO197" s="4" cm="1">
        <f t="array" ref="AO197">INDEX(GMW!$A$2:$NF$150,MATCH(1,(GMW!$NE$2:$NE$150=AO$3)*(GMW!$ND$2:$ND$150=AO$4)*(GMW!$NF$2:$NF$150=AO$1),0),$C197-1966)</f>
        <v>54710</v>
      </c>
      <c r="AP197" s="4" cm="1">
        <f t="array" ref="AP197">INDEX(GMW!$A$2:$NF$150,MATCH(1,(GMW!$NE$2:$NE$150=AP$3)*(GMW!$ND$2:$ND$150=AP$4)*(GMW!$NF$2:$NF$150=AP$1),0),$C197-1966)</f>
        <v>569315.6</v>
      </c>
      <c r="AQ197" s="4" cm="1">
        <f t="array" ref="AQ197">INDEX(GMW!$A$2:$NF$150,MATCH(1,(GMW!$NE$2:$NE$150=AQ$3)*(GMW!$ND$2:$ND$150=AQ$4)*(GMW!$NF$2:$NF$150=AQ$1),0),$C197-1966)</f>
        <v>32596.17</v>
      </c>
      <c r="AR197" s="4" cm="1">
        <f t="array" ref="AR197">INDEX(GMW!$A$2:$NF$150,MATCH(1,(GMW!$NE$2:$NE$150=AR$3)*(GMW!$ND$2:$ND$150=AR$4)*(GMW!$NF$2:$NF$150=AR$1),0),$C197-1966)</f>
        <v>28.2</v>
      </c>
      <c r="AS197" s="4" cm="1">
        <f t="array" ref="AS197">INDEX(GMW!$A$2:$NF$150,MATCH(1,(GMW!$NE$2:$NE$150=AS$3)*(GMW!$ND$2:$ND$150=AS$4)*(GMW!$NF$2:$NF$150=AS$1),0),$C197-1966)</f>
        <v>578591.1</v>
      </c>
      <c r="AT197" s="4" cm="1">
        <f t="array" ref="AT197">INDEX(GMW!$A$2:$NF$150,MATCH(1,(GMW!$NE$2:$NE$150=AT$3)*(GMW!$ND$2:$ND$150=AT$4)*(GMW!$NF$2:$NF$150=AT$1),0),$C197-1966)</f>
        <v>42962.59</v>
      </c>
      <c r="AU197" s="4" cm="1">
        <f t="array" ref="AU197">INDEX(GMW!$A$2:$NF$150,MATCH(1,(GMW!$NE$2:$NE$150=AU$3)*(GMW!$ND$2:$ND$150=AU$4)*(GMW!$NF$2:$NF$150=AU$1),0),$C197-1966)</f>
        <v>3170000</v>
      </c>
      <c r="AV197" s="4" cm="1">
        <f t="array" ref="AV197">INDEX(GMW!$A$2:$NF$150,MATCH(1,(GMW!$NE$2:$NE$150=AV$3)*(GMW!$ND$2:$ND$150=AV$4)*(GMW!$NF$2:$NF$150=AV$1),0),$C197-1966)</f>
        <v>-1.691899</v>
      </c>
    </row>
    <row r="198" spans="1:48" x14ac:dyDescent="0.25">
      <c r="B198" s="4">
        <f t="shared" si="8"/>
        <v>2020</v>
      </c>
      <c r="C198" s="4">
        <f t="shared" si="9"/>
        <v>2164</v>
      </c>
      <c r="D198" s="4" cm="1">
        <f t="array" ref="D198">INDEX(GMW!$A$2:$NF$150,MATCH(1,(GMW!$NE$2:$NE$150=D$3)*(GMW!$ND$2:$ND$150=D$4)*(GMW!$NF$2:$NF$150=D$1),0),$C198-1966)</f>
        <v>570338</v>
      </c>
      <c r="E198" s="4" cm="1">
        <f t="array" ref="E198">INDEX(GMW!$A$2:$NF$150,MATCH(1,(GMW!$NE$2:$NE$150=E$3)*(GMW!$ND$2:$ND$150=E$4)*(GMW!$NF$2:$NF$150=E$1),0),$C198-1966)</f>
        <v>109.0667</v>
      </c>
      <c r="F198" s="4" cm="1">
        <f t="array" ref="F198">INDEX(GMW!$A$2:$NF$150,MATCH(1,(GMW!$NE$2:$NE$150=F$3)*(GMW!$ND$2:$ND$150=F$4)*(GMW!$NF$2:$NF$150=F$1),0),$C198-1966)</f>
        <v>183541</v>
      </c>
      <c r="G198" s="4" cm="1">
        <f t="array" ref="G198">INDEX(GMW!$A$2:$NF$150,MATCH(1,(GMW!$NE$2:$NE$150=G$3)*(GMW!$ND$2:$ND$150=G$4)*(GMW!$NF$2:$NF$150=G$1),0),$C198-1966)</f>
        <v>83241</v>
      </c>
      <c r="H198" s="4" cm="1">
        <f t="array" ref="H198">INDEX(GMW!$A$2:$NF$150,MATCH(1,(GMW!$NE$2:$NE$150=H$3)*(GMW!$ND$2:$ND$150=H$4)*(GMW!$NF$2:$NF$150=H$1),0),$C198-1966)</f>
        <v>206192</v>
      </c>
      <c r="I198" s="4" cm="1">
        <f t="array" ref="I198">INDEX(GMW!$A$2:$NF$150,MATCH(1,(GMW!$NE$2:$NE$150=I$3)*(GMW!$ND$2:$ND$150=I$4)*(GMW!$NF$2:$NF$150=I$1),0),$C198-1966)</f>
        <v>139216</v>
      </c>
      <c r="J198" s="4" cm="1">
        <f t="array" ref="J198">INDEX(GMW!$A$2:$NF$150,MATCH(1,(GMW!$NE$2:$NE$150=J$3)*(GMW!$ND$2:$ND$150=J$4)*(GMW!$NF$2:$NF$150=J$1),0),$C198-1966)</f>
        <v>106348</v>
      </c>
      <c r="K198" s="4" cm="1">
        <f t="array" ref="K198">INDEX(GMW!$A$2:$NF$150,MATCH(1,(GMW!$NE$2:$NE$150=K$3)*(GMW!$ND$2:$ND$150=K$4)*(GMW!$NF$2:$NF$150=K$1),0),$C198-1966)</f>
        <v>57775</v>
      </c>
      <c r="L198" s="4" cm="1">
        <f t="array" ref="L198">INDEX(GMW!$A$2:$NF$150,MATCH(1,(GMW!$NE$2:$NE$150=L$3)*(GMW!$ND$2:$ND$150=L$4)*(GMW!$NF$2:$NF$150=L$1),0),$C198-1966)</f>
        <v>594547.5</v>
      </c>
      <c r="M198" s="4" cm="1">
        <f t="array" ref="M198">INDEX(GMW!$A$2:$NF$150,MATCH(1,(GMW!$NE$2:$NE$150=M$3)*(GMW!$ND$2:$ND$150=M$4)*(GMW!$NF$2:$NF$150=M$1),0),$C198-1966)</f>
        <v>32611.49</v>
      </c>
      <c r="N198" s="4" cm="1">
        <f t="array" ref="N198">INDEX(GMW!$A$2:$NF$150,MATCH(1,(GMW!$NE$2:$NE$150=N$3)*(GMW!$ND$2:$ND$150=N$4)*(GMW!$NF$2:$NF$150=N$1),0),$C198-1966)</f>
        <v>30.2</v>
      </c>
      <c r="O198" s="4" cm="1">
        <f t="array" ref="O198">INDEX(GMW!$A$2:$NF$150,MATCH(1,(GMW!$NE$2:$NE$150=O$3)*(GMW!$ND$2:$ND$150=O$4)*(GMW!$NF$2:$NF$150=O$1),0),$C198-1966)</f>
        <v>579431.1</v>
      </c>
      <c r="P198" s="4" cm="1">
        <f t="array" ref="P198">INDEX(GMW!$A$2:$NF$150,MATCH(1,(GMW!$NE$2:$NE$150=P$3)*(GMW!$ND$2:$ND$150=P$4)*(GMW!$NF$2:$NF$150=P$1),0),$C198-1966)</f>
        <v>42952.22</v>
      </c>
      <c r="Q198" s="4" cm="1">
        <f t="array" ref="Q198">INDEX(GMW!$A$2:$NF$150,MATCH(1,(GMW!$NE$2:$NE$150=Q$3)*(GMW!$ND$2:$ND$150=Q$4)*(GMW!$NF$2:$NF$150=Q$1),0),$C198-1966)</f>
        <v>3175000</v>
      </c>
      <c r="R198" s="4" cm="1">
        <f t="array" ref="R198">INDEX(GMW!$A$2:$NF$150,MATCH(1,(GMW!$NE$2:$NE$150=R$3)*(GMW!$ND$2:$ND$150=R$4)*(GMW!$NF$2:$NF$150=R$1),0),$C198-1966)</f>
        <v>-1.694437</v>
      </c>
      <c r="S198" s="4" cm="1">
        <f t="array" ref="S198">INDEX(GMW!$A$2:$NF$150,MATCH(1,(GMW!$NE$2:$NE$150=S$3)*(GMW!$ND$2:$ND$150=S$4)*(GMW!$NF$2:$NF$150=S$1),0),$C198-1966)</f>
        <v>570338</v>
      </c>
      <c r="T198" s="4" cm="1">
        <f t="array" ref="T198">INDEX(GMW!$A$2:$NF$150,MATCH(1,(GMW!$NE$2:$NE$150=T$3)*(GMW!$ND$2:$ND$150=T$4)*(GMW!$NF$2:$NF$150=T$1),0),$C198-1966)</f>
        <v>109.0667</v>
      </c>
      <c r="U198" s="4" cm="1">
        <f t="array" ref="U198">INDEX(GMW!$A$2:$NF$150,MATCH(1,(GMW!$NE$2:$NE$150=U$3)*(GMW!$ND$2:$ND$150=U$4)*(GMW!$NF$2:$NF$150=U$1),0),$C198-1966)</f>
        <v>183541</v>
      </c>
      <c r="V198" s="4" cm="1">
        <f t="array" ref="V198">INDEX(GMW!$A$2:$NF$150,MATCH(1,(GMW!$NE$2:$NE$150=V$3)*(GMW!$ND$2:$ND$150=V$4)*(GMW!$NF$2:$NF$150=V$1),0),$C198-1966)</f>
        <v>83241</v>
      </c>
      <c r="W198" s="4" cm="1">
        <f t="array" ref="W198">INDEX(GMW!$A$2:$NF$150,MATCH(1,(GMW!$NE$2:$NE$150=W$3)*(GMW!$ND$2:$ND$150=W$4)*(GMW!$NF$2:$NF$150=W$1),0),$C198-1966)</f>
        <v>206192</v>
      </c>
      <c r="X198" s="4" cm="1">
        <f t="array" ref="X198">INDEX(GMW!$A$2:$NF$150,MATCH(1,(GMW!$NE$2:$NE$150=X$3)*(GMW!$ND$2:$ND$150=X$4)*(GMW!$NF$2:$NF$150=X$1),0),$C198-1966)</f>
        <v>139216</v>
      </c>
      <c r="Y198" s="4" cm="1">
        <f t="array" ref="Y198">INDEX(GMW!$A$2:$NF$150,MATCH(1,(GMW!$NE$2:$NE$150=Y$3)*(GMW!$ND$2:$ND$150=Y$4)*(GMW!$NF$2:$NF$150=Y$1),0),$C198-1966)</f>
        <v>106348</v>
      </c>
      <c r="Z198" s="4" cm="1">
        <f t="array" ref="Z198">INDEX(GMW!$A$2:$NF$150,MATCH(1,(GMW!$NE$2:$NE$150=Z$3)*(GMW!$ND$2:$ND$150=Z$4)*(GMW!$NF$2:$NF$150=Z$1),0),$C198-1966)</f>
        <v>57775</v>
      </c>
      <c r="AA198" s="4" cm="1">
        <f t="array" ref="AA198">INDEX(GMW!$A$2:$NF$150,MATCH(1,(GMW!$NE$2:$NE$150=AA$3)*(GMW!$ND$2:$ND$150=AA$4)*(GMW!$NF$2:$NF$150=AA$1),0),$C198-1966)</f>
        <v>594558.80000000005</v>
      </c>
      <c r="AB198" s="4" cm="1">
        <f t="array" ref="AB198">INDEX(GMW!$A$2:$NF$150,MATCH(1,(GMW!$NE$2:$NE$150=AB$3)*(GMW!$ND$2:$ND$150=AB$4)*(GMW!$NF$2:$NF$150=AB$1),0),$C198-1966)</f>
        <v>32612.45</v>
      </c>
      <c r="AC198" s="4" cm="1">
        <f t="array" ref="AC198">INDEX(GMW!$A$2:$NF$150,MATCH(1,(GMW!$NE$2:$NE$150=AC$3)*(GMW!$ND$2:$ND$150=AC$4)*(GMW!$NF$2:$NF$150=AC$1),0),$C198-1966)</f>
        <v>30.2</v>
      </c>
      <c r="AD198" s="4" cm="1">
        <f t="array" ref="AD198">INDEX(GMW!$A$2:$NF$150,MATCH(1,(GMW!$NE$2:$NE$150=AD$3)*(GMW!$ND$2:$ND$150=AD$4)*(GMW!$NF$2:$NF$150=AD$1),0),$C198-1966)</f>
        <v>579431.1</v>
      </c>
      <c r="AE198" s="4" cm="1">
        <f t="array" ref="AE198">INDEX(GMW!$A$2:$NF$150,MATCH(1,(GMW!$NE$2:$NE$150=AE$3)*(GMW!$ND$2:$ND$150=AE$4)*(GMW!$NF$2:$NF$150=AE$1),0),$C198-1966)</f>
        <v>42952.22</v>
      </c>
      <c r="AF198" s="4" cm="1">
        <f t="array" ref="AF198">INDEX(GMW!$A$2:$NF$150,MATCH(1,(GMW!$NE$2:$NE$150=AF$3)*(GMW!$ND$2:$ND$150=AF$4)*(GMW!$NF$2:$NF$150=AF$1),0),$C198-1966)</f>
        <v>3175000</v>
      </c>
      <c r="AG198" s="4" cm="1">
        <f t="array" ref="AG198">INDEX(GMW!$A$2:$NF$150,MATCH(1,(GMW!$NE$2:$NE$150=AG$3)*(GMW!$ND$2:$ND$150=AG$4)*(GMW!$NF$2:$NF$150=AG$1),0),$C198-1966)</f>
        <v>-1.694437</v>
      </c>
      <c r="AH198" s="4" cm="1">
        <f t="array" ref="AH198">INDEX(GMW!$A$2:$NF$150,MATCH(1,(GMW!$NE$2:$NE$150=AH$3)*(GMW!$ND$2:$ND$150=AH$4)*(GMW!$NF$2:$NF$150=AH$1),0),$C198-1966)</f>
        <v>570338</v>
      </c>
      <c r="AI198" s="4" cm="1">
        <f t="array" ref="AI198">INDEX(GMW!$A$2:$NF$150,MATCH(1,(GMW!$NE$2:$NE$150=AI$3)*(GMW!$ND$2:$ND$150=AI$4)*(GMW!$NF$2:$NF$150=AI$1),0),$C198-1966)</f>
        <v>109.0667</v>
      </c>
      <c r="AJ198" s="4" cm="1">
        <f t="array" ref="AJ198">INDEX(GMW!$A$2:$NF$150,MATCH(1,(GMW!$NE$2:$NE$150=AJ$3)*(GMW!$ND$2:$ND$150=AJ$4)*(GMW!$NF$2:$NF$150=AJ$1),0),$C198-1966)</f>
        <v>183541</v>
      </c>
      <c r="AK198" s="4" cm="1">
        <f t="array" ref="AK198">INDEX(GMW!$A$2:$NF$150,MATCH(1,(GMW!$NE$2:$NE$150=AK$3)*(GMW!$ND$2:$ND$150=AK$4)*(GMW!$NF$2:$NF$150=AK$1),0),$C198-1966)</f>
        <v>83241</v>
      </c>
      <c r="AL198" s="4" cm="1">
        <f t="array" ref="AL198">INDEX(GMW!$A$2:$NF$150,MATCH(1,(GMW!$NE$2:$NE$150=AL$3)*(GMW!$ND$2:$ND$150=AL$4)*(GMW!$NF$2:$NF$150=AL$1),0),$C198-1966)</f>
        <v>206192</v>
      </c>
      <c r="AM198" s="4" cm="1">
        <f t="array" ref="AM198">INDEX(GMW!$A$2:$NF$150,MATCH(1,(GMW!$NE$2:$NE$150=AM$3)*(GMW!$ND$2:$ND$150=AM$4)*(GMW!$NF$2:$NF$150=AM$1),0),$C198-1966)</f>
        <v>139216</v>
      </c>
      <c r="AN198" s="4" cm="1">
        <f t="array" ref="AN198">INDEX(GMW!$A$2:$NF$150,MATCH(1,(GMW!$NE$2:$NE$150=AN$3)*(GMW!$ND$2:$ND$150=AN$4)*(GMW!$NF$2:$NF$150=AN$1),0),$C198-1966)</f>
        <v>106348</v>
      </c>
      <c r="AO198" s="4" cm="1">
        <f t="array" ref="AO198">INDEX(GMW!$A$2:$NF$150,MATCH(1,(GMW!$NE$2:$NE$150=AO$3)*(GMW!$ND$2:$ND$150=AO$4)*(GMW!$NF$2:$NF$150=AO$1),0),$C198-1966)</f>
        <v>57775</v>
      </c>
      <c r="AP198" s="4" cm="1">
        <f t="array" ref="AP198">INDEX(GMW!$A$2:$NF$150,MATCH(1,(GMW!$NE$2:$NE$150=AP$3)*(GMW!$ND$2:$ND$150=AP$4)*(GMW!$NF$2:$NF$150=AP$1),0),$C198-1966)</f>
        <v>594558.80000000005</v>
      </c>
      <c r="AQ198" s="4" cm="1">
        <f t="array" ref="AQ198">INDEX(GMW!$A$2:$NF$150,MATCH(1,(GMW!$NE$2:$NE$150=AQ$3)*(GMW!$ND$2:$ND$150=AQ$4)*(GMW!$NF$2:$NF$150=AQ$1),0),$C198-1966)</f>
        <v>32612.45</v>
      </c>
      <c r="AR198" s="4" cm="1">
        <f t="array" ref="AR198">INDEX(GMW!$A$2:$NF$150,MATCH(1,(GMW!$NE$2:$NE$150=AR$3)*(GMW!$ND$2:$ND$150=AR$4)*(GMW!$NF$2:$NF$150=AR$1),0),$C198-1966)</f>
        <v>30.2</v>
      </c>
      <c r="AS198" s="4" cm="1">
        <f t="array" ref="AS198">INDEX(GMW!$A$2:$NF$150,MATCH(1,(GMW!$NE$2:$NE$150=AS$3)*(GMW!$ND$2:$ND$150=AS$4)*(GMW!$NF$2:$NF$150=AS$1),0),$C198-1966)</f>
        <v>579431.1</v>
      </c>
      <c r="AT198" s="4" cm="1">
        <f t="array" ref="AT198">INDEX(GMW!$A$2:$NF$150,MATCH(1,(GMW!$NE$2:$NE$150=AT$3)*(GMW!$ND$2:$ND$150=AT$4)*(GMW!$NF$2:$NF$150=AT$1),0),$C198-1966)</f>
        <v>42952.22</v>
      </c>
      <c r="AU198" s="4" cm="1">
        <f t="array" ref="AU198">INDEX(GMW!$A$2:$NF$150,MATCH(1,(GMW!$NE$2:$NE$150=AU$3)*(GMW!$ND$2:$ND$150=AU$4)*(GMW!$NF$2:$NF$150=AU$1),0),$C198-1966)</f>
        <v>3175000</v>
      </c>
      <c r="AV198" s="4" cm="1">
        <f t="array" ref="AV198">INDEX(GMW!$A$2:$NF$150,MATCH(1,(GMW!$NE$2:$NE$150=AV$3)*(GMW!$ND$2:$ND$150=AV$4)*(GMW!$NF$2:$NF$150=AV$1),0),$C198-1966)</f>
        <v>-1.694437</v>
      </c>
    </row>
    <row r="199" spans="1:48" x14ac:dyDescent="0.25">
      <c r="A199" s="4">
        <v>2021</v>
      </c>
      <c r="B199" s="4">
        <f t="shared" si="8"/>
        <v>2021</v>
      </c>
      <c r="C199" s="4">
        <f t="shared" si="9"/>
        <v>2165</v>
      </c>
      <c r="D199" s="4" cm="1">
        <f t="array" ref="D199">INDEX(GMW!$A$2:$NF$150,MATCH(1,(GMW!$NE$2:$NE$150=D$3)*(GMW!$ND$2:$ND$150=D$4)*(GMW!$NF$2:$NF$150=D$1),0),$C199-1966)</f>
        <v>564411</v>
      </c>
      <c r="E199" s="4" cm="1">
        <f t="array" ref="E199">INDEX(GMW!$A$2:$NF$150,MATCH(1,(GMW!$NE$2:$NE$150=E$3)*(GMW!$ND$2:$ND$150=E$4)*(GMW!$NF$2:$NF$150=E$1),0),$C199-1966)</f>
        <v>109.16670000000001</v>
      </c>
      <c r="F199" s="4" cm="1">
        <f t="array" ref="F199">INDEX(GMW!$A$2:$NF$150,MATCH(1,(GMW!$NE$2:$NE$150=F$3)*(GMW!$ND$2:$ND$150=F$4)*(GMW!$NF$2:$NF$150=F$1),0),$C199-1966)</f>
        <v>178763</v>
      </c>
      <c r="G199" s="4" cm="1">
        <f t="array" ref="G199">INDEX(GMW!$A$2:$NF$150,MATCH(1,(GMW!$NE$2:$NE$150=G$3)*(GMW!$ND$2:$ND$150=G$4)*(GMW!$NF$2:$NF$150=G$1),0),$C199-1966)</f>
        <v>76485</v>
      </c>
      <c r="H199" s="4" cm="1">
        <f t="array" ref="H199">INDEX(GMW!$A$2:$NF$150,MATCH(1,(GMW!$NE$2:$NE$150=H$3)*(GMW!$ND$2:$ND$150=H$4)*(GMW!$NF$2:$NF$150=H$1),0),$C199-1966)</f>
        <v>190277</v>
      </c>
      <c r="I199" s="4" cm="1">
        <f t="array" ref="I199">INDEX(GMW!$A$2:$NF$150,MATCH(1,(GMW!$NE$2:$NE$150=I$3)*(GMW!$ND$2:$ND$150=I$4)*(GMW!$NF$2:$NF$150=I$1),0),$C199-1966)</f>
        <v>125031</v>
      </c>
      <c r="J199" s="4" cm="1">
        <f t="array" ref="J199">INDEX(GMW!$A$2:$NF$150,MATCH(1,(GMW!$NE$2:$NE$150=J$3)*(GMW!$ND$2:$ND$150=J$4)*(GMW!$NF$2:$NF$150=J$1),0),$C199-1966)</f>
        <v>103493</v>
      </c>
      <c r="K199" s="4" cm="1">
        <f t="array" ref="K199">INDEX(GMW!$A$2:$NF$150,MATCH(1,(GMW!$NE$2:$NE$150=K$3)*(GMW!$ND$2:$ND$150=K$4)*(GMW!$NF$2:$NF$150=K$1),0),$C199-1966)</f>
        <v>53828</v>
      </c>
      <c r="L199" s="4" cm="1">
        <f t="array" ref="L199">INDEX(GMW!$A$2:$NF$150,MATCH(1,(GMW!$NE$2:$NE$150=L$3)*(GMW!$ND$2:$ND$150=L$4)*(GMW!$NF$2:$NF$150=L$1),0),$C199-1966)</f>
        <v>584308.69999999995</v>
      </c>
      <c r="M199" s="4" cm="1">
        <f t="array" ref="M199">INDEX(GMW!$A$2:$NF$150,MATCH(1,(GMW!$NE$2:$NE$150=M$3)*(GMW!$ND$2:$ND$150=M$4)*(GMW!$NF$2:$NF$150=M$1),0),$C199-1966)</f>
        <v>32536.81</v>
      </c>
      <c r="N199" s="4" cm="1">
        <f t="array" ref="N199">INDEX(GMW!$A$2:$NF$150,MATCH(1,(GMW!$NE$2:$NE$150=N$3)*(GMW!$ND$2:$ND$150=N$4)*(GMW!$NF$2:$NF$150=N$1),0),$C199-1966)</f>
        <v>29.5</v>
      </c>
      <c r="O199" s="4" cm="1">
        <f t="array" ref="O199">INDEX(GMW!$A$2:$NF$150,MATCH(1,(GMW!$NE$2:$NE$150=O$3)*(GMW!$ND$2:$ND$150=O$4)*(GMW!$NF$2:$NF$150=O$1),0),$C199-1966)</f>
        <v>580268.4</v>
      </c>
      <c r="P199" s="4" cm="1">
        <f t="array" ref="P199">INDEX(GMW!$A$2:$NF$150,MATCH(1,(GMW!$NE$2:$NE$150=P$3)*(GMW!$ND$2:$ND$150=P$4)*(GMW!$NF$2:$NF$150=P$1),0),$C199-1966)</f>
        <v>42941.86</v>
      </c>
      <c r="Q199" s="4" cm="1">
        <f t="array" ref="Q199">INDEX(GMW!$A$2:$NF$150,MATCH(1,(GMW!$NE$2:$NE$150=Q$3)*(GMW!$ND$2:$ND$150=Q$4)*(GMW!$NF$2:$NF$150=Q$1),0),$C199-1966)</f>
        <v>3182750</v>
      </c>
      <c r="R199" s="4" cm="1">
        <f t="array" ref="R199">INDEX(GMW!$A$2:$NF$150,MATCH(1,(GMW!$NE$2:$NE$150=R$3)*(GMW!$ND$2:$ND$150=R$4)*(GMW!$NF$2:$NF$150=R$1),0),$C199-1966)</f>
        <v>-1.6961310000000001</v>
      </c>
      <c r="S199" s="4" cm="1">
        <f t="array" ref="S199">INDEX(GMW!$A$2:$NF$150,MATCH(1,(GMW!$NE$2:$NE$150=S$3)*(GMW!$ND$2:$ND$150=S$4)*(GMW!$NF$2:$NF$150=S$1),0),$C199-1966)</f>
        <v>564411</v>
      </c>
      <c r="T199" s="4" cm="1">
        <f t="array" ref="T199">INDEX(GMW!$A$2:$NF$150,MATCH(1,(GMW!$NE$2:$NE$150=T$3)*(GMW!$ND$2:$ND$150=T$4)*(GMW!$NF$2:$NF$150=T$1),0),$C199-1966)</f>
        <v>109.16670000000001</v>
      </c>
      <c r="U199" s="4" cm="1">
        <f t="array" ref="U199">INDEX(GMW!$A$2:$NF$150,MATCH(1,(GMW!$NE$2:$NE$150=U$3)*(GMW!$ND$2:$ND$150=U$4)*(GMW!$NF$2:$NF$150=U$1),0),$C199-1966)</f>
        <v>178763</v>
      </c>
      <c r="V199" s="4" cm="1">
        <f t="array" ref="V199">INDEX(GMW!$A$2:$NF$150,MATCH(1,(GMW!$NE$2:$NE$150=V$3)*(GMW!$ND$2:$ND$150=V$4)*(GMW!$NF$2:$NF$150=V$1),0),$C199-1966)</f>
        <v>76485</v>
      </c>
      <c r="W199" s="4" cm="1">
        <f t="array" ref="W199">INDEX(GMW!$A$2:$NF$150,MATCH(1,(GMW!$NE$2:$NE$150=W$3)*(GMW!$ND$2:$ND$150=W$4)*(GMW!$NF$2:$NF$150=W$1),0),$C199-1966)</f>
        <v>190277</v>
      </c>
      <c r="X199" s="4" cm="1">
        <f t="array" ref="X199">INDEX(GMW!$A$2:$NF$150,MATCH(1,(GMW!$NE$2:$NE$150=X$3)*(GMW!$ND$2:$ND$150=X$4)*(GMW!$NF$2:$NF$150=X$1),0),$C199-1966)</f>
        <v>125031</v>
      </c>
      <c r="Y199" s="4" cm="1">
        <f t="array" ref="Y199">INDEX(GMW!$A$2:$NF$150,MATCH(1,(GMW!$NE$2:$NE$150=Y$3)*(GMW!$ND$2:$ND$150=Y$4)*(GMW!$NF$2:$NF$150=Y$1),0),$C199-1966)</f>
        <v>103493</v>
      </c>
      <c r="Z199" s="4" cm="1">
        <f t="array" ref="Z199">INDEX(GMW!$A$2:$NF$150,MATCH(1,(GMW!$NE$2:$NE$150=Z$3)*(GMW!$ND$2:$ND$150=Z$4)*(GMW!$NF$2:$NF$150=Z$1),0),$C199-1966)</f>
        <v>53828</v>
      </c>
      <c r="AA199" s="4" cm="1">
        <f t="array" ref="AA199">INDEX(GMW!$A$2:$NF$150,MATCH(1,(GMW!$NE$2:$NE$150=AA$3)*(GMW!$ND$2:$ND$150=AA$4)*(GMW!$NF$2:$NF$150=AA$1),0),$C199-1966)</f>
        <v>584241.6</v>
      </c>
      <c r="AB199" s="4" cm="1">
        <f t="array" ref="AB199">INDEX(GMW!$A$2:$NF$150,MATCH(1,(GMW!$NE$2:$NE$150=AB$3)*(GMW!$ND$2:$ND$150=AB$4)*(GMW!$NF$2:$NF$150=AB$1),0),$C199-1966)</f>
        <v>32531.06</v>
      </c>
      <c r="AC199" s="4" cm="1">
        <f t="array" ref="AC199">INDEX(GMW!$A$2:$NF$150,MATCH(1,(GMW!$NE$2:$NE$150=AC$3)*(GMW!$ND$2:$ND$150=AC$4)*(GMW!$NF$2:$NF$150=AC$1),0),$C199-1966)</f>
        <v>29.5</v>
      </c>
      <c r="AD199" s="4" cm="1">
        <f t="array" ref="AD199">INDEX(GMW!$A$2:$NF$150,MATCH(1,(GMW!$NE$2:$NE$150=AD$3)*(GMW!$ND$2:$ND$150=AD$4)*(GMW!$NF$2:$NF$150=AD$1),0),$C199-1966)</f>
        <v>580268.4</v>
      </c>
      <c r="AE199" s="4" cm="1">
        <f t="array" ref="AE199">INDEX(GMW!$A$2:$NF$150,MATCH(1,(GMW!$NE$2:$NE$150=AE$3)*(GMW!$ND$2:$ND$150=AE$4)*(GMW!$NF$2:$NF$150=AE$1),0),$C199-1966)</f>
        <v>42941.86</v>
      </c>
      <c r="AF199" s="4" cm="1">
        <f t="array" ref="AF199">INDEX(GMW!$A$2:$NF$150,MATCH(1,(GMW!$NE$2:$NE$150=AF$3)*(GMW!$ND$2:$ND$150=AF$4)*(GMW!$NF$2:$NF$150=AF$1),0),$C199-1966)</f>
        <v>3182750</v>
      </c>
      <c r="AG199" s="4" cm="1">
        <f t="array" ref="AG199">INDEX(GMW!$A$2:$NF$150,MATCH(1,(GMW!$NE$2:$NE$150=AG$3)*(GMW!$ND$2:$ND$150=AG$4)*(GMW!$NF$2:$NF$150=AG$1),0),$C199-1966)</f>
        <v>-1.6961310000000001</v>
      </c>
      <c r="AH199" s="4" cm="1">
        <f t="array" ref="AH199">INDEX(GMW!$A$2:$NF$150,MATCH(1,(GMW!$NE$2:$NE$150=AH$3)*(GMW!$ND$2:$ND$150=AH$4)*(GMW!$NF$2:$NF$150=AH$1),0),$C199-1966)</f>
        <v>564411</v>
      </c>
      <c r="AI199" s="4" cm="1">
        <f t="array" ref="AI199">INDEX(GMW!$A$2:$NF$150,MATCH(1,(GMW!$NE$2:$NE$150=AI$3)*(GMW!$ND$2:$ND$150=AI$4)*(GMW!$NF$2:$NF$150=AI$1),0),$C199-1966)</f>
        <v>109.16670000000001</v>
      </c>
      <c r="AJ199" s="4" cm="1">
        <f t="array" ref="AJ199">INDEX(GMW!$A$2:$NF$150,MATCH(1,(GMW!$NE$2:$NE$150=AJ$3)*(GMW!$ND$2:$ND$150=AJ$4)*(GMW!$NF$2:$NF$150=AJ$1),0),$C199-1966)</f>
        <v>178763</v>
      </c>
      <c r="AK199" s="4" cm="1">
        <f t="array" ref="AK199">INDEX(GMW!$A$2:$NF$150,MATCH(1,(GMW!$NE$2:$NE$150=AK$3)*(GMW!$ND$2:$ND$150=AK$4)*(GMW!$NF$2:$NF$150=AK$1),0),$C199-1966)</f>
        <v>76485</v>
      </c>
      <c r="AL199" s="4" cm="1">
        <f t="array" ref="AL199">INDEX(GMW!$A$2:$NF$150,MATCH(1,(GMW!$NE$2:$NE$150=AL$3)*(GMW!$ND$2:$ND$150=AL$4)*(GMW!$NF$2:$NF$150=AL$1),0),$C199-1966)</f>
        <v>190277</v>
      </c>
      <c r="AM199" s="4" cm="1">
        <f t="array" ref="AM199">INDEX(GMW!$A$2:$NF$150,MATCH(1,(GMW!$NE$2:$NE$150=AM$3)*(GMW!$ND$2:$ND$150=AM$4)*(GMW!$NF$2:$NF$150=AM$1),0),$C199-1966)</f>
        <v>125031</v>
      </c>
      <c r="AN199" s="4" cm="1">
        <f t="array" ref="AN199">INDEX(GMW!$A$2:$NF$150,MATCH(1,(GMW!$NE$2:$NE$150=AN$3)*(GMW!$ND$2:$ND$150=AN$4)*(GMW!$NF$2:$NF$150=AN$1),0),$C199-1966)</f>
        <v>103493</v>
      </c>
      <c r="AO199" s="4" cm="1">
        <f t="array" ref="AO199">INDEX(GMW!$A$2:$NF$150,MATCH(1,(GMW!$NE$2:$NE$150=AO$3)*(GMW!$ND$2:$ND$150=AO$4)*(GMW!$NF$2:$NF$150=AO$1),0),$C199-1966)</f>
        <v>53828</v>
      </c>
      <c r="AP199" s="4" cm="1">
        <f t="array" ref="AP199">INDEX(GMW!$A$2:$NF$150,MATCH(1,(GMW!$NE$2:$NE$150=AP$3)*(GMW!$ND$2:$ND$150=AP$4)*(GMW!$NF$2:$NF$150=AP$1),0),$C199-1966)</f>
        <v>584241.6</v>
      </c>
      <c r="AQ199" s="4" cm="1">
        <f t="array" ref="AQ199">INDEX(GMW!$A$2:$NF$150,MATCH(1,(GMW!$NE$2:$NE$150=AQ$3)*(GMW!$ND$2:$ND$150=AQ$4)*(GMW!$NF$2:$NF$150=AQ$1),0),$C199-1966)</f>
        <v>32531.06</v>
      </c>
      <c r="AR199" s="4" cm="1">
        <f t="array" ref="AR199">INDEX(GMW!$A$2:$NF$150,MATCH(1,(GMW!$NE$2:$NE$150=AR$3)*(GMW!$ND$2:$ND$150=AR$4)*(GMW!$NF$2:$NF$150=AR$1),0),$C199-1966)</f>
        <v>29.5</v>
      </c>
      <c r="AS199" s="4" cm="1">
        <f t="array" ref="AS199">INDEX(GMW!$A$2:$NF$150,MATCH(1,(GMW!$NE$2:$NE$150=AS$3)*(GMW!$ND$2:$ND$150=AS$4)*(GMW!$NF$2:$NF$150=AS$1),0),$C199-1966)</f>
        <v>580268.4</v>
      </c>
      <c r="AT199" s="4" cm="1">
        <f t="array" ref="AT199">INDEX(GMW!$A$2:$NF$150,MATCH(1,(GMW!$NE$2:$NE$150=AT$3)*(GMW!$ND$2:$ND$150=AT$4)*(GMW!$NF$2:$NF$150=AT$1),0),$C199-1966)</f>
        <v>42941.86</v>
      </c>
      <c r="AU199" s="4" cm="1">
        <f t="array" ref="AU199">INDEX(GMW!$A$2:$NF$150,MATCH(1,(GMW!$NE$2:$NE$150=AU$3)*(GMW!$ND$2:$ND$150=AU$4)*(GMW!$NF$2:$NF$150=AU$1),0),$C199-1966)</f>
        <v>3182750</v>
      </c>
      <c r="AV199" s="4" cm="1">
        <f t="array" ref="AV199">INDEX(GMW!$A$2:$NF$150,MATCH(1,(GMW!$NE$2:$NE$150=AV$3)*(GMW!$ND$2:$ND$150=AV$4)*(GMW!$NF$2:$NF$150=AV$1),0),$C199-1966)</f>
        <v>-1.6961310000000001</v>
      </c>
    </row>
    <row r="200" spans="1:48" x14ac:dyDescent="0.25">
      <c r="B200" s="4">
        <f t="shared" si="8"/>
        <v>2021</v>
      </c>
      <c r="C200" s="4">
        <f t="shared" si="9"/>
        <v>2166</v>
      </c>
      <c r="D200" s="4" cm="1">
        <f t="array" ref="D200">INDEX(GMW!$A$2:$NF$150,MATCH(1,(GMW!$NE$2:$NE$150=D$3)*(GMW!$ND$2:$ND$150=D$4)*(GMW!$NF$2:$NF$150=D$1),0),$C200-1966)</f>
        <v>605353</v>
      </c>
      <c r="E200" s="4" cm="1">
        <f t="array" ref="E200">INDEX(GMW!$A$2:$NF$150,MATCH(1,(GMW!$NE$2:$NE$150=E$3)*(GMW!$ND$2:$ND$150=E$4)*(GMW!$NF$2:$NF$150=E$1),0),$C200-1966)</f>
        <v>110.7333</v>
      </c>
      <c r="F200" s="4" cm="1">
        <f t="array" ref="F200">INDEX(GMW!$A$2:$NF$150,MATCH(1,(GMW!$NE$2:$NE$150=F$3)*(GMW!$ND$2:$ND$150=F$4)*(GMW!$NF$2:$NF$150=F$1),0),$C200-1966)</f>
        <v>191113</v>
      </c>
      <c r="G200" s="4" cm="1">
        <f t="array" ref="G200">INDEX(GMW!$A$2:$NF$150,MATCH(1,(GMW!$NE$2:$NE$150=G$3)*(GMW!$ND$2:$ND$150=G$4)*(GMW!$NF$2:$NF$150=G$1),0),$C200-1966)</f>
        <v>88635</v>
      </c>
      <c r="H200" s="4" cm="1">
        <f t="array" ref="H200">INDEX(GMW!$A$2:$NF$150,MATCH(1,(GMW!$NE$2:$NE$150=H$3)*(GMW!$ND$2:$ND$150=H$4)*(GMW!$NF$2:$NF$150=H$1),0),$C200-1966)</f>
        <v>193365</v>
      </c>
      <c r="I200" s="4" cm="1">
        <f t="array" ref="I200">INDEX(GMW!$A$2:$NF$150,MATCH(1,(GMW!$NE$2:$NE$150=I$3)*(GMW!$ND$2:$ND$150=I$4)*(GMW!$NF$2:$NF$150=I$1),0),$C200-1966)</f>
        <v>123719</v>
      </c>
      <c r="J200" s="4" cm="1">
        <f t="array" ref="J200">INDEX(GMW!$A$2:$NF$150,MATCH(1,(GMW!$NE$2:$NE$150=J$3)*(GMW!$ND$2:$ND$150=J$4)*(GMW!$NF$2:$NF$150=J$1),0),$C200-1966)</f>
        <v>108600</v>
      </c>
      <c r="K200" s="4" cm="1">
        <f t="array" ref="K200">INDEX(GMW!$A$2:$NF$150,MATCH(1,(GMW!$NE$2:$NE$150=K$3)*(GMW!$ND$2:$ND$150=K$4)*(GMW!$NF$2:$NF$150=K$1),0),$C200-1966)</f>
        <v>57987</v>
      </c>
      <c r="L200" s="4" cm="1">
        <f t="array" ref="L200">INDEX(GMW!$A$2:$NF$150,MATCH(1,(GMW!$NE$2:$NE$150=L$3)*(GMW!$ND$2:$ND$150=L$4)*(GMW!$NF$2:$NF$150=L$1),0),$C200-1966)</f>
        <v>604378.1</v>
      </c>
      <c r="M200" s="4" cm="1">
        <f t="array" ref="M200">INDEX(GMW!$A$2:$NF$150,MATCH(1,(GMW!$NE$2:$NE$150=M$3)*(GMW!$ND$2:$ND$150=M$4)*(GMW!$NF$2:$NF$150=M$1),0),$C200-1966)</f>
        <v>32609.360000000001</v>
      </c>
      <c r="N200" s="4" cm="1">
        <f t="array" ref="N200">INDEX(GMW!$A$2:$NF$150,MATCH(1,(GMW!$NE$2:$NE$150=N$3)*(GMW!$ND$2:$ND$150=N$4)*(GMW!$NF$2:$NF$150=N$1),0),$C200-1966)</f>
        <v>31</v>
      </c>
      <c r="O200" s="4" cm="1">
        <f t="array" ref="O200">INDEX(GMW!$A$2:$NF$150,MATCH(1,(GMW!$NE$2:$NE$150=O$3)*(GMW!$ND$2:$ND$150=O$4)*(GMW!$NF$2:$NF$150=O$1),0),$C200-1966)</f>
        <v>581102.9</v>
      </c>
      <c r="P200" s="4" cm="1">
        <f t="array" ref="P200">INDEX(GMW!$A$2:$NF$150,MATCH(1,(GMW!$NE$2:$NE$150=P$3)*(GMW!$ND$2:$ND$150=P$4)*(GMW!$NF$2:$NF$150=P$1),0),$C200-1966)</f>
        <v>42931.5</v>
      </c>
      <c r="Q200" s="4" cm="1">
        <f t="array" ref="Q200">INDEX(GMW!$A$2:$NF$150,MATCH(1,(GMW!$NE$2:$NE$150=Q$3)*(GMW!$ND$2:$ND$150=Q$4)*(GMW!$NF$2:$NF$150=Q$1),0),$C200-1966)</f>
        <v>3190500</v>
      </c>
      <c r="R200" s="4" cm="1">
        <f t="array" ref="R200">INDEX(GMW!$A$2:$NF$150,MATCH(1,(GMW!$NE$2:$NE$150=R$3)*(GMW!$ND$2:$ND$150=R$4)*(GMW!$NF$2:$NF$150=R$1),0),$C200-1966)</f>
        <v>-1.697403</v>
      </c>
      <c r="S200" s="4" cm="1">
        <f t="array" ref="S200">INDEX(GMW!$A$2:$NF$150,MATCH(1,(GMW!$NE$2:$NE$150=S$3)*(GMW!$ND$2:$ND$150=S$4)*(GMW!$NF$2:$NF$150=S$1),0),$C200-1966)</f>
        <v>605353</v>
      </c>
      <c r="T200" s="4" cm="1">
        <f t="array" ref="T200">INDEX(GMW!$A$2:$NF$150,MATCH(1,(GMW!$NE$2:$NE$150=T$3)*(GMW!$ND$2:$ND$150=T$4)*(GMW!$NF$2:$NF$150=T$1),0),$C200-1966)</f>
        <v>110.7333</v>
      </c>
      <c r="U200" s="4" cm="1">
        <f t="array" ref="U200">INDEX(GMW!$A$2:$NF$150,MATCH(1,(GMW!$NE$2:$NE$150=U$3)*(GMW!$ND$2:$ND$150=U$4)*(GMW!$NF$2:$NF$150=U$1),0),$C200-1966)</f>
        <v>191113</v>
      </c>
      <c r="V200" s="4" cm="1">
        <f t="array" ref="V200">INDEX(GMW!$A$2:$NF$150,MATCH(1,(GMW!$NE$2:$NE$150=V$3)*(GMW!$ND$2:$ND$150=V$4)*(GMW!$NF$2:$NF$150=V$1),0),$C200-1966)</f>
        <v>88635</v>
      </c>
      <c r="W200" s="4" cm="1">
        <f t="array" ref="W200">INDEX(GMW!$A$2:$NF$150,MATCH(1,(GMW!$NE$2:$NE$150=W$3)*(GMW!$ND$2:$ND$150=W$4)*(GMW!$NF$2:$NF$150=W$1),0),$C200-1966)</f>
        <v>193365</v>
      </c>
      <c r="X200" s="4" cm="1">
        <f t="array" ref="X200">INDEX(GMW!$A$2:$NF$150,MATCH(1,(GMW!$NE$2:$NE$150=X$3)*(GMW!$ND$2:$ND$150=X$4)*(GMW!$NF$2:$NF$150=X$1),0),$C200-1966)</f>
        <v>123719</v>
      </c>
      <c r="Y200" s="4" cm="1">
        <f t="array" ref="Y200">INDEX(GMW!$A$2:$NF$150,MATCH(1,(GMW!$NE$2:$NE$150=Y$3)*(GMW!$ND$2:$ND$150=Y$4)*(GMW!$NF$2:$NF$150=Y$1),0),$C200-1966)</f>
        <v>108600</v>
      </c>
      <c r="Z200" s="4" cm="1">
        <f t="array" ref="Z200">INDEX(GMW!$A$2:$NF$150,MATCH(1,(GMW!$NE$2:$NE$150=Z$3)*(GMW!$ND$2:$ND$150=Z$4)*(GMW!$NF$2:$NF$150=Z$1),0),$C200-1966)</f>
        <v>57987</v>
      </c>
      <c r="AA200" s="4" cm="1">
        <f t="array" ref="AA200">INDEX(GMW!$A$2:$NF$150,MATCH(1,(GMW!$NE$2:$NE$150=AA$3)*(GMW!$ND$2:$ND$150=AA$4)*(GMW!$NF$2:$NF$150=AA$1),0),$C200-1966)</f>
        <v>604412.80000000005</v>
      </c>
      <c r="AB200" s="4" cm="1">
        <f t="array" ref="AB200">INDEX(GMW!$A$2:$NF$150,MATCH(1,(GMW!$NE$2:$NE$150=AB$3)*(GMW!$ND$2:$ND$150=AB$4)*(GMW!$NF$2:$NF$150=AB$1),0),$C200-1966)</f>
        <v>32612.240000000002</v>
      </c>
      <c r="AC200" s="4" cm="1">
        <f t="array" ref="AC200">INDEX(GMW!$A$2:$NF$150,MATCH(1,(GMW!$NE$2:$NE$150=AC$3)*(GMW!$ND$2:$ND$150=AC$4)*(GMW!$NF$2:$NF$150=AC$1),0),$C200-1966)</f>
        <v>31</v>
      </c>
      <c r="AD200" s="4" cm="1">
        <f t="array" ref="AD200">INDEX(GMW!$A$2:$NF$150,MATCH(1,(GMW!$NE$2:$NE$150=AD$3)*(GMW!$ND$2:$ND$150=AD$4)*(GMW!$NF$2:$NF$150=AD$1),0),$C200-1966)</f>
        <v>581102.9</v>
      </c>
      <c r="AE200" s="4" cm="1">
        <f t="array" ref="AE200">INDEX(GMW!$A$2:$NF$150,MATCH(1,(GMW!$NE$2:$NE$150=AE$3)*(GMW!$ND$2:$ND$150=AE$4)*(GMW!$NF$2:$NF$150=AE$1),0),$C200-1966)</f>
        <v>42931.5</v>
      </c>
      <c r="AF200" s="4" cm="1">
        <f t="array" ref="AF200">INDEX(GMW!$A$2:$NF$150,MATCH(1,(GMW!$NE$2:$NE$150=AF$3)*(GMW!$ND$2:$ND$150=AF$4)*(GMW!$NF$2:$NF$150=AF$1),0),$C200-1966)</f>
        <v>3190500</v>
      </c>
      <c r="AG200" s="4" cm="1">
        <f t="array" ref="AG200">INDEX(GMW!$A$2:$NF$150,MATCH(1,(GMW!$NE$2:$NE$150=AG$3)*(GMW!$ND$2:$ND$150=AG$4)*(GMW!$NF$2:$NF$150=AG$1),0),$C200-1966)</f>
        <v>-1.697403</v>
      </c>
      <c r="AH200" s="4" cm="1">
        <f t="array" ref="AH200">INDEX(GMW!$A$2:$NF$150,MATCH(1,(GMW!$NE$2:$NE$150=AH$3)*(GMW!$ND$2:$ND$150=AH$4)*(GMW!$NF$2:$NF$150=AH$1),0),$C200-1966)</f>
        <v>605353</v>
      </c>
      <c r="AI200" s="4" cm="1">
        <f t="array" ref="AI200">INDEX(GMW!$A$2:$NF$150,MATCH(1,(GMW!$NE$2:$NE$150=AI$3)*(GMW!$ND$2:$ND$150=AI$4)*(GMW!$NF$2:$NF$150=AI$1),0),$C200-1966)</f>
        <v>110.7333</v>
      </c>
      <c r="AJ200" s="4" cm="1">
        <f t="array" ref="AJ200">INDEX(GMW!$A$2:$NF$150,MATCH(1,(GMW!$NE$2:$NE$150=AJ$3)*(GMW!$ND$2:$ND$150=AJ$4)*(GMW!$NF$2:$NF$150=AJ$1),0),$C200-1966)</f>
        <v>191113</v>
      </c>
      <c r="AK200" s="4" cm="1">
        <f t="array" ref="AK200">INDEX(GMW!$A$2:$NF$150,MATCH(1,(GMW!$NE$2:$NE$150=AK$3)*(GMW!$ND$2:$ND$150=AK$4)*(GMW!$NF$2:$NF$150=AK$1),0),$C200-1966)</f>
        <v>88635</v>
      </c>
      <c r="AL200" s="4" cm="1">
        <f t="array" ref="AL200">INDEX(GMW!$A$2:$NF$150,MATCH(1,(GMW!$NE$2:$NE$150=AL$3)*(GMW!$ND$2:$ND$150=AL$4)*(GMW!$NF$2:$NF$150=AL$1),0),$C200-1966)</f>
        <v>193365</v>
      </c>
      <c r="AM200" s="4" cm="1">
        <f t="array" ref="AM200">INDEX(GMW!$A$2:$NF$150,MATCH(1,(GMW!$NE$2:$NE$150=AM$3)*(GMW!$ND$2:$ND$150=AM$4)*(GMW!$NF$2:$NF$150=AM$1),0),$C200-1966)</f>
        <v>123719</v>
      </c>
      <c r="AN200" s="4" cm="1">
        <f t="array" ref="AN200">INDEX(GMW!$A$2:$NF$150,MATCH(1,(GMW!$NE$2:$NE$150=AN$3)*(GMW!$ND$2:$ND$150=AN$4)*(GMW!$NF$2:$NF$150=AN$1),0),$C200-1966)</f>
        <v>108600</v>
      </c>
      <c r="AO200" s="4" cm="1">
        <f t="array" ref="AO200">INDEX(GMW!$A$2:$NF$150,MATCH(1,(GMW!$NE$2:$NE$150=AO$3)*(GMW!$ND$2:$ND$150=AO$4)*(GMW!$NF$2:$NF$150=AO$1),0),$C200-1966)</f>
        <v>57987</v>
      </c>
      <c r="AP200" s="4" cm="1">
        <f t="array" ref="AP200">INDEX(GMW!$A$2:$NF$150,MATCH(1,(GMW!$NE$2:$NE$150=AP$3)*(GMW!$ND$2:$ND$150=AP$4)*(GMW!$NF$2:$NF$150=AP$1),0),$C200-1966)</f>
        <v>604412.80000000005</v>
      </c>
      <c r="AQ200" s="4" cm="1">
        <f t="array" ref="AQ200">INDEX(GMW!$A$2:$NF$150,MATCH(1,(GMW!$NE$2:$NE$150=AQ$3)*(GMW!$ND$2:$ND$150=AQ$4)*(GMW!$NF$2:$NF$150=AQ$1),0),$C200-1966)</f>
        <v>32612.240000000002</v>
      </c>
      <c r="AR200" s="4" cm="1">
        <f t="array" ref="AR200">INDEX(GMW!$A$2:$NF$150,MATCH(1,(GMW!$NE$2:$NE$150=AR$3)*(GMW!$ND$2:$ND$150=AR$4)*(GMW!$NF$2:$NF$150=AR$1),0),$C200-1966)</f>
        <v>31</v>
      </c>
      <c r="AS200" s="4" cm="1">
        <f t="array" ref="AS200">INDEX(GMW!$A$2:$NF$150,MATCH(1,(GMW!$NE$2:$NE$150=AS$3)*(GMW!$ND$2:$ND$150=AS$4)*(GMW!$NF$2:$NF$150=AS$1),0),$C200-1966)</f>
        <v>581102.9</v>
      </c>
      <c r="AT200" s="4" cm="1">
        <f t="array" ref="AT200">INDEX(GMW!$A$2:$NF$150,MATCH(1,(GMW!$NE$2:$NE$150=AT$3)*(GMW!$ND$2:$ND$150=AT$4)*(GMW!$NF$2:$NF$150=AT$1),0),$C200-1966)</f>
        <v>42931.5</v>
      </c>
      <c r="AU200" s="4" cm="1">
        <f t="array" ref="AU200">INDEX(GMW!$A$2:$NF$150,MATCH(1,(GMW!$NE$2:$NE$150=AU$3)*(GMW!$ND$2:$ND$150=AU$4)*(GMW!$NF$2:$NF$150=AU$1),0),$C200-1966)</f>
        <v>3190500</v>
      </c>
      <c r="AV200" s="4" cm="1">
        <f t="array" ref="AV200">INDEX(GMW!$A$2:$NF$150,MATCH(1,(GMW!$NE$2:$NE$150=AV$3)*(GMW!$ND$2:$ND$150=AV$4)*(GMW!$NF$2:$NF$150=AV$1),0),$C200-1966)</f>
        <v>-1.697403</v>
      </c>
    </row>
    <row r="201" spans="1:48" x14ac:dyDescent="0.25">
      <c r="B201" s="4">
        <f t="shared" si="8"/>
        <v>2021</v>
      </c>
      <c r="C201" s="4">
        <f t="shared" si="9"/>
        <v>2167</v>
      </c>
      <c r="D201" s="4" cm="1">
        <f t="array" ref="D201">INDEX(GMW!$A$2:$NF$150,MATCH(1,(GMW!$NE$2:$NE$150=D$3)*(GMW!$ND$2:$ND$150=D$4)*(GMW!$NF$2:$NF$150=D$1),0),$C201-1966)</f>
        <v>615459</v>
      </c>
      <c r="E201" s="4" cm="1">
        <f t="array" ref="E201">INDEX(GMW!$A$2:$NF$150,MATCH(1,(GMW!$NE$2:$NE$150=E$3)*(GMW!$ND$2:$ND$150=E$4)*(GMW!$NF$2:$NF$150=E$1),0),$C201-1966)</f>
        <v>111.9333</v>
      </c>
      <c r="F201" s="4" cm="1">
        <f t="array" ref="F201">INDEX(GMW!$A$2:$NF$150,MATCH(1,(GMW!$NE$2:$NE$150=F$3)*(GMW!$ND$2:$ND$150=F$4)*(GMW!$NF$2:$NF$150=F$1),0),$C201-1966)</f>
        <v>181773</v>
      </c>
      <c r="G201" s="4" cm="1">
        <f t="array" ref="G201">INDEX(GMW!$A$2:$NF$150,MATCH(1,(GMW!$NE$2:$NE$150=G$3)*(GMW!$ND$2:$ND$150=G$4)*(GMW!$NF$2:$NF$150=G$1),0),$C201-1966)</f>
        <v>79442</v>
      </c>
      <c r="H201" s="4" cm="1">
        <f t="array" ref="H201">INDEX(GMW!$A$2:$NF$150,MATCH(1,(GMW!$NE$2:$NE$150=H$3)*(GMW!$ND$2:$ND$150=H$4)*(GMW!$NF$2:$NF$150=H$1),0),$C201-1966)</f>
        <v>201109</v>
      </c>
      <c r="I201" s="4" cm="1">
        <f t="array" ref="I201">INDEX(GMW!$A$2:$NF$150,MATCH(1,(GMW!$NE$2:$NE$150=I$3)*(GMW!$ND$2:$ND$150=I$4)*(GMW!$NF$2:$NF$150=I$1),0),$C201-1966)</f>
        <v>123215</v>
      </c>
      <c r="J201" s="4" cm="1">
        <f t="array" ref="J201">INDEX(GMW!$A$2:$NF$150,MATCH(1,(GMW!$NE$2:$NE$150=J$3)*(GMW!$ND$2:$ND$150=J$4)*(GMW!$NF$2:$NF$150=J$1),0),$C201-1966)</f>
        <v>108182</v>
      </c>
      <c r="K201" s="4" cm="1">
        <f t="array" ref="K201">INDEX(GMW!$A$2:$NF$150,MATCH(1,(GMW!$NE$2:$NE$150=K$3)*(GMW!$ND$2:$ND$150=K$4)*(GMW!$NF$2:$NF$150=K$1),0),$C201-1966)</f>
        <v>56998</v>
      </c>
      <c r="L201" s="4" cm="1">
        <f t="array" ref="L201">INDEX(GMW!$A$2:$NF$150,MATCH(1,(GMW!$NE$2:$NE$150=L$3)*(GMW!$ND$2:$ND$150=L$4)*(GMW!$NF$2:$NF$150=L$1),0),$C201-1966)</f>
        <v>614598.80000000005</v>
      </c>
      <c r="M201" s="4" cm="1">
        <f t="array" ref="M201">INDEX(GMW!$A$2:$NF$150,MATCH(1,(GMW!$NE$2:$NE$150=M$3)*(GMW!$ND$2:$ND$150=M$4)*(GMW!$NF$2:$NF$150=M$1),0),$C201-1966)</f>
        <v>32800.83</v>
      </c>
      <c r="N201" s="4" cm="1">
        <f t="array" ref="N201">INDEX(GMW!$A$2:$NF$150,MATCH(1,(GMW!$NE$2:$NE$150=N$3)*(GMW!$ND$2:$ND$150=N$4)*(GMW!$NF$2:$NF$150=N$1),0),$C201-1966)</f>
        <v>31.6</v>
      </c>
      <c r="O201" s="4" cm="1">
        <f t="array" ref="O201">INDEX(GMW!$A$2:$NF$150,MATCH(1,(GMW!$NE$2:$NE$150=O$3)*(GMW!$ND$2:$ND$150=O$4)*(GMW!$NF$2:$NF$150=O$1),0),$C201-1966)</f>
        <v>583171.1</v>
      </c>
      <c r="P201" s="4" cm="1">
        <f t="array" ref="P201">INDEX(GMW!$A$2:$NF$150,MATCH(1,(GMW!$NE$2:$NE$150=P$3)*(GMW!$ND$2:$ND$150=P$4)*(GMW!$NF$2:$NF$150=P$1),0),$C201-1966)</f>
        <v>43012.37</v>
      </c>
      <c r="Q201" s="4" cm="1">
        <f t="array" ref="Q201">INDEX(GMW!$A$2:$NF$150,MATCH(1,(GMW!$NE$2:$NE$150=Q$3)*(GMW!$ND$2:$ND$150=Q$4)*(GMW!$NF$2:$NF$150=Q$1),0),$C201-1966)</f>
        <v>3198250</v>
      </c>
      <c r="R201" s="4" cm="1">
        <f t="array" ref="R201">INDEX(GMW!$A$2:$NF$150,MATCH(1,(GMW!$NE$2:$NE$150=R$3)*(GMW!$ND$2:$ND$150=R$4)*(GMW!$NF$2:$NF$150=R$1),0),$C201-1966)</f>
        <v>-1.6982520000000001</v>
      </c>
      <c r="S201" s="4" cm="1">
        <f t="array" ref="S201">INDEX(GMW!$A$2:$NF$150,MATCH(1,(GMW!$NE$2:$NE$150=S$3)*(GMW!$ND$2:$ND$150=S$4)*(GMW!$NF$2:$NF$150=S$1),0),$C201-1966)</f>
        <v>615459</v>
      </c>
      <c r="T201" s="4" cm="1">
        <f t="array" ref="T201">INDEX(GMW!$A$2:$NF$150,MATCH(1,(GMW!$NE$2:$NE$150=T$3)*(GMW!$ND$2:$ND$150=T$4)*(GMW!$NF$2:$NF$150=T$1),0),$C201-1966)</f>
        <v>111.9333</v>
      </c>
      <c r="U201" s="4" cm="1">
        <f t="array" ref="U201">INDEX(GMW!$A$2:$NF$150,MATCH(1,(GMW!$NE$2:$NE$150=U$3)*(GMW!$ND$2:$ND$150=U$4)*(GMW!$NF$2:$NF$150=U$1),0),$C201-1966)</f>
        <v>181773</v>
      </c>
      <c r="V201" s="4" cm="1">
        <f t="array" ref="V201">INDEX(GMW!$A$2:$NF$150,MATCH(1,(GMW!$NE$2:$NE$150=V$3)*(GMW!$ND$2:$ND$150=V$4)*(GMW!$NF$2:$NF$150=V$1),0),$C201-1966)</f>
        <v>79442</v>
      </c>
      <c r="W201" s="4" cm="1">
        <f t="array" ref="W201">INDEX(GMW!$A$2:$NF$150,MATCH(1,(GMW!$NE$2:$NE$150=W$3)*(GMW!$ND$2:$ND$150=W$4)*(GMW!$NF$2:$NF$150=W$1),0),$C201-1966)</f>
        <v>201109</v>
      </c>
      <c r="X201" s="4" cm="1">
        <f t="array" ref="X201">INDEX(GMW!$A$2:$NF$150,MATCH(1,(GMW!$NE$2:$NE$150=X$3)*(GMW!$ND$2:$ND$150=X$4)*(GMW!$NF$2:$NF$150=X$1),0),$C201-1966)</f>
        <v>123215</v>
      </c>
      <c r="Y201" s="4" cm="1">
        <f t="array" ref="Y201">INDEX(GMW!$A$2:$NF$150,MATCH(1,(GMW!$NE$2:$NE$150=Y$3)*(GMW!$ND$2:$ND$150=Y$4)*(GMW!$NF$2:$NF$150=Y$1),0),$C201-1966)</f>
        <v>108182</v>
      </c>
      <c r="Z201" s="4" cm="1">
        <f t="array" ref="Z201">INDEX(GMW!$A$2:$NF$150,MATCH(1,(GMW!$NE$2:$NE$150=Z$3)*(GMW!$ND$2:$ND$150=Z$4)*(GMW!$NF$2:$NF$150=Z$1),0),$C201-1966)</f>
        <v>56998</v>
      </c>
      <c r="AA201" s="4" cm="1">
        <f t="array" ref="AA201">INDEX(GMW!$A$2:$NF$150,MATCH(1,(GMW!$NE$2:$NE$150=AA$3)*(GMW!$ND$2:$ND$150=AA$4)*(GMW!$NF$2:$NF$150=AA$1),0),$C201-1966)</f>
        <v>614493.69999999995</v>
      </c>
      <c r="AB201" s="4" cm="1">
        <f t="array" ref="AB201">INDEX(GMW!$A$2:$NF$150,MATCH(1,(GMW!$NE$2:$NE$150=AB$3)*(GMW!$ND$2:$ND$150=AB$4)*(GMW!$NF$2:$NF$150=AB$1),0),$C201-1966)</f>
        <v>32792.199999999997</v>
      </c>
      <c r="AC201" s="4" cm="1">
        <f t="array" ref="AC201">INDEX(GMW!$A$2:$NF$150,MATCH(1,(GMW!$NE$2:$NE$150=AC$3)*(GMW!$ND$2:$ND$150=AC$4)*(GMW!$NF$2:$NF$150=AC$1),0),$C201-1966)</f>
        <v>31.6</v>
      </c>
      <c r="AD201" s="4" cm="1">
        <f t="array" ref="AD201">INDEX(GMW!$A$2:$NF$150,MATCH(1,(GMW!$NE$2:$NE$150=AD$3)*(GMW!$ND$2:$ND$150=AD$4)*(GMW!$NF$2:$NF$150=AD$1),0),$C201-1966)</f>
        <v>583171.1</v>
      </c>
      <c r="AE201" s="4" cm="1">
        <f t="array" ref="AE201">INDEX(GMW!$A$2:$NF$150,MATCH(1,(GMW!$NE$2:$NE$150=AE$3)*(GMW!$ND$2:$ND$150=AE$4)*(GMW!$NF$2:$NF$150=AE$1),0),$C201-1966)</f>
        <v>43012.37</v>
      </c>
      <c r="AF201" s="4" cm="1">
        <f t="array" ref="AF201">INDEX(GMW!$A$2:$NF$150,MATCH(1,(GMW!$NE$2:$NE$150=AF$3)*(GMW!$ND$2:$ND$150=AF$4)*(GMW!$NF$2:$NF$150=AF$1),0),$C201-1966)</f>
        <v>3198250</v>
      </c>
      <c r="AG201" s="4" cm="1">
        <f t="array" ref="AG201">INDEX(GMW!$A$2:$NF$150,MATCH(1,(GMW!$NE$2:$NE$150=AG$3)*(GMW!$ND$2:$ND$150=AG$4)*(GMW!$NF$2:$NF$150=AG$1),0),$C201-1966)</f>
        <v>-1.6982520000000001</v>
      </c>
      <c r="AH201" s="4" cm="1">
        <f t="array" ref="AH201">INDEX(GMW!$A$2:$NF$150,MATCH(1,(GMW!$NE$2:$NE$150=AH$3)*(GMW!$ND$2:$ND$150=AH$4)*(GMW!$NF$2:$NF$150=AH$1),0),$C201-1966)</f>
        <v>615459</v>
      </c>
      <c r="AI201" s="4" cm="1">
        <f t="array" ref="AI201">INDEX(GMW!$A$2:$NF$150,MATCH(1,(GMW!$NE$2:$NE$150=AI$3)*(GMW!$ND$2:$ND$150=AI$4)*(GMW!$NF$2:$NF$150=AI$1),0),$C201-1966)</f>
        <v>111.9333</v>
      </c>
      <c r="AJ201" s="4" cm="1">
        <f t="array" ref="AJ201">INDEX(GMW!$A$2:$NF$150,MATCH(1,(GMW!$NE$2:$NE$150=AJ$3)*(GMW!$ND$2:$ND$150=AJ$4)*(GMW!$NF$2:$NF$150=AJ$1),0),$C201-1966)</f>
        <v>181773</v>
      </c>
      <c r="AK201" s="4" cm="1">
        <f t="array" ref="AK201">INDEX(GMW!$A$2:$NF$150,MATCH(1,(GMW!$NE$2:$NE$150=AK$3)*(GMW!$ND$2:$ND$150=AK$4)*(GMW!$NF$2:$NF$150=AK$1),0),$C201-1966)</f>
        <v>79442</v>
      </c>
      <c r="AL201" s="4" cm="1">
        <f t="array" ref="AL201">INDEX(GMW!$A$2:$NF$150,MATCH(1,(GMW!$NE$2:$NE$150=AL$3)*(GMW!$ND$2:$ND$150=AL$4)*(GMW!$NF$2:$NF$150=AL$1),0),$C201-1966)</f>
        <v>201109</v>
      </c>
      <c r="AM201" s="4" cm="1">
        <f t="array" ref="AM201">INDEX(GMW!$A$2:$NF$150,MATCH(1,(GMW!$NE$2:$NE$150=AM$3)*(GMW!$ND$2:$ND$150=AM$4)*(GMW!$NF$2:$NF$150=AM$1),0),$C201-1966)</f>
        <v>123215</v>
      </c>
      <c r="AN201" s="4" cm="1">
        <f t="array" ref="AN201">INDEX(GMW!$A$2:$NF$150,MATCH(1,(GMW!$NE$2:$NE$150=AN$3)*(GMW!$ND$2:$ND$150=AN$4)*(GMW!$NF$2:$NF$150=AN$1),0),$C201-1966)</f>
        <v>108182</v>
      </c>
      <c r="AO201" s="4" cm="1">
        <f t="array" ref="AO201">INDEX(GMW!$A$2:$NF$150,MATCH(1,(GMW!$NE$2:$NE$150=AO$3)*(GMW!$ND$2:$ND$150=AO$4)*(GMW!$NF$2:$NF$150=AO$1),0),$C201-1966)</f>
        <v>56998</v>
      </c>
      <c r="AP201" s="4" cm="1">
        <f t="array" ref="AP201">INDEX(GMW!$A$2:$NF$150,MATCH(1,(GMW!$NE$2:$NE$150=AP$3)*(GMW!$ND$2:$ND$150=AP$4)*(GMW!$NF$2:$NF$150=AP$1),0),$C201-1966)</f>
        <v>614493.69999999995</v>
      </c>
      <c r="AQ201" s="4" cm="1">
        <f t="array" ref="AQ201">INDEX(GMW!$A$2:$NF$150,MATCH(1,(GMW!$NE$2:$NE$150=AQ$3)*(GMW!$ND$2:$ND$150=AQ$4)*(GMW!$NF$2:$NF$150=AQ$1),0),$C201-1966)</f>
        <v>32792.199999999997</v>
      </c>
      <c r="AR201" s="4" cm="1">
        <f t="array" ref="AR201">INDEX(GMW!$A$2:$NF$150,MATCH(1,(GMW!$NE$2:$NE$150=AR$3)*(GMW!$ND$2:$ND$150=AR$4)*(GMW!$NF$2:$NF$150=AR$1),0),$C201-1966)</f>
        <v>31.6</v>
      </c>
      <c r="AS201" s="4" cm="1">
        <f t="array" ref="AS201">INDEX(GMW!$A$2:$NF$150,MATCH(1,(GMW!$NE$2:$NE$150=AS$3)*(GMW!$ND$2:$ND$150=AS$4)*(GMW!$NF$2:$NF$150=AS$1),0),$C201-1966)</f>
        <v>583171.1</v>
      </c>
      <c r="AT201" s="4" cm="1">
        <f t="array" ref="AT201">INDEX(GMW!$A$2:$NF$150,MATCH(1,(GMW!$NE$2:$NE$150=AT$3)*(GMW!$ND$2:$ND$150=AT$4)*(GMW!$NF$2:$NF$150=AT$1),0),$C201-1966)</f>
        <v>43012.37</v>
      </c>
      <c r="AU201" s="4" cm="1">
        <f t="array" ref="AU201">INDEX(GMW!$A$2:$NF$150,MATCH(1,(GMW!$NE$2:$NE$150=AU$3)*(GMW!$ND$2:$ND$150=AU$4)*(GMW!$NF$2:$NF$150=AU$1),0),$C201-1966)</f>
        <v>3198250</v>
      </c>
      <c r="AV201" s="4" cm="1">
        <f t="array" ref="AV201">INDEX(GMW!$A$2:$NF$150,MATCH(1,(GMW!$NE$2:$NE$150=AV$3)*(GMW!$ND$2:$ND$150=AV$4)*(GMW!$NF$2:$NF$150=AV$1),0),$C201-1966)</f>
        <v>-1.6982520000000001</v>
      </c>
    </row>
    <row r="202" spans="1:48" x14ac:dyDescent="0.25">
      <c r="B202" s="4">
        <f t="shared" si="8"/>
        <v>2021</v>
      </c>
      <c r="C202" s="4">
        <f t="shared" si="9"/>
        <v>2168</v>
      </c>
      <c r="D202" s="4" cm="1">
        <f t="array" ref="D202">INDEX(GMW!$A$2:$NF$150,MATCH(1,(GMW!$NE$2:$NE$150=D$3)*(GMW!$ND$2:$ND$150=D$4)*(GMW!$NF$2:$NF$150=D$1),0),$C202-1966)</f>
        <v>624592</v>
      </c>
      <c r="E202" s="4" cm="1">
        <f t="array" ref="E202">INDEX(GMW!$A$2:$NF$150,MATCH(1,(GMW!$NE$2:$NE$150=E$3)*(GMW!$ND$2:$ND$150=E$4)*(GMW!$NF$2:$NF$150=E$1),0),$C202-1966)</f>
        <v>114.4</v>
      </c>
      <c r="F202" s="4" cm="1">
        <f t="array" ref="F202">INDEX(GMW!$A$2:$NF$150,MATCH(1,(GMW!$NE$2:$NE$150=F$3)*(GMW!$ND$2:$ND$150=F$4)*(GMW!$NF$2:$NF$150=F$1),0),$C202-1966)</f>
        <v>201720</v>
      </c>
      <c r="G202" s="4" cm="1">
        <f t="array" ref="G202">INDEX(GMW!$A$2:$NF$150,MATCH(1,(GMW!$NE$2:$NE$150=G$3)*(GMW!$ND$2:$ND$150=G$4)*(GMW!$NF$2:$NF$150=G$1),0),$C202-1966)</f>
        <v>88057</v>
      </c>
      <c r="H202" s="4" cm="1">
        <f t="array" ref="H202">INDEX(GMW!$A$2:$NF$150,MATCH(1,(GMW!$NE$2:$NE$150=H$3)*(GMW!$ND$2:$ND$150=H$4)*(GMW!$NF$2:$NF$150=H$1),0),$C202-1966)</f>
        <v>204893</v>
      </c>
      <c r="I202" s="4" cm="1">
        <f t="array" ref="I202">INDEX(GMW!$A$2:$NF$150,MATCH(1,(GMW!$NE$2:$NE$150=I$3)*(GMW!$ND$2:$ND$150=I$4)*(GMW!$NF$2:$NF$150=I$1),0),$C202-1966)</f>
        <v>120610</v>
      </c>
      <c r="J202" s="4" cm="1">
        <f t="array" ref="J202">INDEX(GMW!$A$2:$NF$150,MATCH(1,(GMW!$NE$2:$NE$150=J$3)*(GMW!$ND$2:$ND$150=J$4)*(GMW!$NF$2:$NF$150=J$1),0),$C202-1966)</f>
        <v>108845</v>
      </c>
      <c r="K202" s="4" cm="1">
        <f t="array" ref="K202">INDEX(GMW!$A$2:$NF$150,MATCH(1,(GMW!$NE$2:$NE$150=K$3)*(GMW!$ND$2:$ND$150=K$4)*(GMW!$NF$2:$NF$150=K$1),0),$C202-1966)</f>
        <v>57178</v>
      </c>
      <c r="L202" s="4" cm="1">
        <f t="array" ref="L202">INDEX(GMW!$A$2:$NF$150,MATCH(1,(GMW!$NE$2:$NE$150=L$3)*(GMW!$ND$2:$ND$150=L$4)*(GMW!$NF$2:$NF$150=L$1),0),$C202-1966)</f>
        <v>616163.69999999995</v>
      </c>
      <c r="M202" s="4" cm="1">
        <f t="array" ref="M202">INDEX(GMW!$A$2:$NF$150,MATCH(1,(GMW!$NE$2:$NE$150=M$3)*(GMW!$ND$2:$ND$150=M$4)*(GMW!$NF$2:$NF$150=M$1),0),$C202-1966)</f>
        <v>32757.52</v>
      </c>
      <c r="N202" s="4" cm="1">
        <f t="array" ref="N202">INDEX(GMW!$A$2:$NF$150,MATCH(1,(GMW!$NE$2:$NE$150=N$3)*(GMW!$ND$2:$ND$150=N$4)*(GMW!$NF$2:$NF$150=N$1),0),$C202-1966)</f>
        <v>31.7</v>
      </c>
      <c r="O202" s="4" cm="1">
        <f t="array" ref="O202">INDEX(GMW!$A$2:$NF$150,MATCH(1,(GMW!$NE$2:$NE$150=O$3)*(GMW!$ND$2:$ND$150=O$4)*(GMW!$NF$2:$NF$150=O$1),0),$C202-1966)</f>
        <v>585240</v>
      </c>
      <c r="P202" s="4" cm="1">
        <f t="array" ref="P202">INDEX(GMW!$A$2:$NF$150,MATCH(1,(GMW!$NE$2:$NE$150=P$3)*(GMW!$ND$2:$ND$150=P$4)*(GMW!$NF$2:$NF$150=P$1),0),$C202-1966)</f>
        <v>43093.23</v>
      </c>
      <c r="Q202" s="4" cm="1">
        <f t="array" ref="Q202">INDEX(GMW!$A$2:$NF$150,MATCH(1,(GMW!$NE$2:$NE$150=Q$3)*(GMW!$ND$2:$ND$150=Q$4)*(GMW!$NF$2:$NF$150=Q$1),0),$C202-1966)</f>
        <v>3206000</v>
      </c>
      <c r="R202" s="4" cm="1">
        <f t="array" ref="R202">INDEX(GMW!$A$2:$NF$150,MATCH(1,(GMW!$NE$2:$NE$150=R$3)*(GMW!$ND$2:$ND$150=R$4)*(GMW!$NF$2:$NF$150=R$1),0),$C202-1966)</f>
        <v>-1.6982520000000001</v>
      </c>
      <c r="S202" s="4" cm="1">
        <f t="array" ref="S202">INDEX(GMW!$A$2:$NF$150,MATCH(1,(GMW!$NE$2:$NE$150=S$3)*(GMW!$ND$2:$ND$150=S$4)*(GMW!$NF$2:$NF$150=S$1),0),$C202-1966)</f>
        <v>624592</v>
      </c>
      <c r="T202" s="4" cm="1">
        <f t="array" ref="T202">INDEX(GMW!$A$2:$NF$150,MATCH(1,(GMW!$NE$2:$NE$150=T$3)*(GMW!$ND$2:$ND$150=T$4)*(GMW!$NF$2:$NF$150=T$1),0),$C202-1966)</f>
        <v>114.4</v>
      </c>
      <c r="U202" s="4" cm="1">
        <f t="array" ref="U202">INDEX(GMW!$A$2:$NF$150,MATCH(1,(GMW!$NE$2:$NE$150=U$3)*(GMW!$ND$2:$ND$150=U$4)*(GMW!$NF$2:$NF$150=U$1),0),$C202-1966)</f>
        <v>201720</v>
      </c>
      <c r="V202" s="4" cm="1">
        <f t="array" ref="V202">INDEX(GMW!$A$2:$NF$150,MATCH(1,(GMW!$NE$2:$NE$150=V$3)*(GMW!$ND$2:$ND$150=V$4)*(GMW!$NF$2:$NF$150=V$1),0),$C202-1966)</f>
        <v>88057</v>
      </c>
      <c r="W202" s="4" cm="1">
        <f t="array" ref="W202">INDEX(GMW!$A$2:$NF$150,MATCH(1,(GMW!$NE$2:$NE$150=W$3)*(GMW!$ND$2:$ND$150=W$4)*(GMW!$NF$2:$NF$150=W$1),0),$C202-1966)</f>
        <v>204893</v>
      </c>
      <c r="X202" s="4" cm="1">
        <f t="array" ref="X202">INDEX(GMW!$A$2:$NF$150,MATCH(1,(GMW!$NE$2:$NE$150=X$3)*(GMW!$ND$2:$ND$150=X$4)*(GMW!$NF$2:$NF$150=X$1),0),$C202-1966)</f>
        <v>120610</v>
      </c>
      <c r="Y202" s="4" cm="1">
        <f t="array" ref="Y202">INDEX(GMW!$A$2:$NF$150,MATCH(1,(GMW!$NE$2:$NE$150=Y$3)*(GMW!$ND$2:$ND$150=Y$4)*(GMW!$NF$2:$NF$150=Y$1),0),$C202-1966)</f>
        <v>108845</v>
      </c>
      <c r="Z202" s="4" cm="1">
        <f t="array" ref="Z202">INDEX(GMW!$A$2:$NF$150,MATCH(1,(GMW!$NE$2:$NE$150=Z$3)*(GMW!$ND$2:$ND$150=Z$4)*(GMW!$NF$2:$NF$150=Z$1),0),$C202-1966)</f>
        <v>57178</v>
      </c>
      <c r="AA202" s="4" cm="1">
        <f t="array" ref="AA202">INDEX(GMW!$A$2:$NF$150,MATCH(1,(GMW!$NE$2:$NE$150=AA$3)*(GMW!$ND$2:$ND$150=AA$4)*(GMW!$NF$2:$NF$150=AA$1),0),$C202-1966)</f>
        <v>616175.4</v>
      </c>
      <c r="AB202" s="4" cm="1">
        <f t="array" ref="AB202">INDEX(GMW!$A$2:$NF$150,MATCH(1,(GMW!$NE$2:$NE$150=AB$3)*(GMW!$ND$2:$ND$150=AB$4)*(GMW!$NF$2:$NF$150=AB$1),0),$C202-1966)</f>
        <v>32758.48</v>
      </c>
      <c r="AC202" s="4" cm="1">
        <f t="array" ref="AC202">INDEX(GMW!$A$2:$NF$150,MATCH(1,(GMW!$NE$2:$NE$150=AC$3)*(GMW!$ND$2:$ND$150=AC$4)*(GMW!$NF$2:$NF$150=AC$1),0),$C202-1966)</f>
        <v>31.7</v>
      </c>
      <c r="AD202" s="4" cm="1">
        <f t="array" ref="AD202">INDEX(GMW!$A$2:$NF$150,MATCH(1,(GMW!$NE$2:$NE$150=AD$3)*(GMW!$ND$2:$ND$150=AD$4)*(GMW!$NF$2:$NF$150=AD$1),0),$C202-1966)</f>
        <v>585240</v>
      </c>
      <c r="AE202" s="4" cm="1">
        <f t="array" ref="AE202">INDEX(GMW!$A$2:$NF$150,MATCH(1,(GMW!$NE$2:$NE$150=AE$3)*(GMW!$ND$2:$ND$150=AE$4)*(GMW!$NF$2:$NF$150=AE$1),0),$C202-1966)</f>
        <v>43093.23</v>
      </c>
      <c r="AF202" s="4" cm="1">
        <f t="array" ref="AF202">INDEX(GMW!$A$2:$NF$150,MATCH(1,(GMW!$NE$2:$NE$150=AF$3)*(GMW!$ND$2:$ND$150=AF$4)*(GMW!$NF$2:$NF$150=AF$1),0),$C202-1966)</f>
        <v>3206000</v>
      </c>
      <c r="AG202" s="4" cm="1">
        <f t="array" ref="AG202">INDEX(GMW!$A$2:$NF$150,MATCH(1,(GMW!$NE$2:$NE$150=AG$3)*(GMW!$ND$2:$ND$150=AG$4)*(GMW!$NF$2:$NF$150=AG$1),0),$C202-1966)</f>
        <v>-1.6982520000000001</v>
      </c>
      <c r="AH202" s="4" cm="1">
        <f t="array" ref="AH202">INDEX(GMW!$A$2:$NF$150,MATCH(1,(GMW!$NE$2:$NE$150=AH$3)*(GMW!$ND$2:$ND$150=AH$4)*(GMW!$NF$2:$NF$150=AH$1),0),$C202-1966)</f>
        <v>624592</v>
      </c>
      <c r="AI202" s="4" cm="1">
        <f t="array" ref="AI202">INDEX(GMW!$A$2:$NF$150,MATCH(1,(GMW!$NE$2:$NE$150=AI$3)*(GMW!$ND$2:$ND$150=AI$4)*(GMW!$NF$2:$NF$150=AI$1),0),$C202-1966)</f>
        <v>114.4</v>
      </c>
      <c r="AJ202" s="4" cm="1">
        <f t="array" ref="AJ202">INDEX(GMW!$A$2:$NF$150,MATCH(1,(GMW!$NE$2:$NE$150=AJ$3)*(GMW!$ND$2:$ND$150=AJ$4)*(GMW!$NF$2:$NF$150=AJ$1),0),$C202-1966)</f>
        <v>201720</v>
      </c>
      <c r="AK202" s="4" cm="1">
        <f t="array" ref="AK202">INDEX(GMW!$A$2:$NF$150,MATCH(1,(GMW!$NE$2:$NE$150=AK$3)*(GMW!$ND$2:$ND$150=AK$4)*(GMW!$NF$2:$NF$150=AK$1),0),$C202-1966)</f>
        <v>88057</v>
      </c>
      <c r="AL202" s="4" cm="1">
        <f t="array" ref="AL202">INDEX(GMW!$A$2:$NF$150,MATCH(1,(GMW!$NE$2:$NE$150=AL$3)*(GMW!$ND$2:$ND$150=AL$4)*(GMW!$NF$2:$NF$150=AL$1),0),$C202-1966)</f>
        <v>204893</v>
      </c>
      <c r="AM202" s="4" cm="1">
        <f t="array" ref="AM202">INDEX(GMW!$A$2:$NF$150,MATCH(1,(GMW!$NE$2:$NE$150=AM$3)*(GMW!$ND$2:$ND$150=AM$4)*(GMW!$NF$2:$NF$150=AM$1),0),$C202-1966)</f>
        <v>120610</v>
      </c>
      <c r="AN202" s="4" cm="1">
        <f t="array" ref="AN202">INDEX(GMW!$A$2:$NF$150,MATCH(1,(GMW!$NE$2:$NE$150=AN$3)*(GMW!$ND$2:$ND$150=AN$4)*(GMW!$NF$2:$NF$150=AN$1),0),$C202-1966)</f>
        <v>108845</v>
      </c>
      <c r="AO202" s="4" cm="1">
        <f t="array" ref="AO202">INDEX(GMW!$A$2:$NF$150,MATCH(1,(GMW!$NE$2:$NE$150=AO$3)*(GMW!$ND$2:$ND$150=AO$4)*(GMW!$NF$2:$NF$150=AO$1),0),$C202-1966)</f>
        <v>57178</v>
      </c>
      <c r="AP202" s="4" cm="1">
        <f t="array" ref="AP202">INDEX(GMW!$A$2:$NF$150,MATCH(1,(GMW!$NE$2:$NE$150=AP$3)*(GMW!$ND$2:$ND$150=AP$4)*(GMW!$NF$2:$NF$150=AP$1),0),$C202-1966)</f>
        <v>616175.4</v>
      </c>
      <c r="AQ202" s="4" cm="1">
        <f t="array" ref="AQ202">INDEX(GMW!$A$2:$NF$150,MATCH(1,(GMW!$NE$2:$NE$150=AQ$3)*(GMW!$ND$2:$ND$150=AQ$4)*(GMW!$NF$2:$NF$150=AQ$1),0),$C202-1966)</f>
        <v>32758.48</v>
      </c>
      <c r="AR202" s="4" cm="1">
        <f t="array" ref="AR202">INDEX(GMW!$A$2:$NF$150,MATCH(1,(GMW!$NE$2:$NE$150=AR$3)*(GMW!$ND$2:$ND$150=AR$4)*(GMW!$NF$2:$NF$150=AR$1),0),$C202-1966)</f>
        <v>31.7</v>
      </c>
      <c r="AS202" s="4" cm="1">
        <f t="array" ref="AS202">INDEX(GMW!$A$2:$NF$150,MATCH(1,(GMW!$NE$2:$NE$150=AS$3)*(GMW!$ND$2:$ND$150=AS$4)*(GMW!$NF$2:$NF$150=AS$1),0),$C202-1966)</f>
        <v>585240</v>
      </c>
      <c r="AT202" s="4" cm="1">
        <f t="array" ref="AT202">INDEX(GMW!$A$2:$NF$150,MATCH(1,(GMW!$NE$2:$NE$150=AT$3)*(GMW!$ND$2:$ND$150=AT$4)*(GMW!$NF$2:$NF$150=AT$1),0),$C202-1966)</f>
        <v>43093.23</v>
      </c>
      <c r="AU202" s="4" cm="1">
        <f t="array" ref="AU202">INDEX(GMW!$A$2:$NF$150,MATCH(1,(GMW!$NE$2:$NE$150=AU$3)*(GMW!$ND$2:$ND$150=AU$4)*(GMW!$NF$2:$NF$150=AU$1),0),$C202-1966)</f>
        <v>3206000</v>
      </c>
      <c r="AV202" s="4" cm="1">
        <f t="array" ref="AV202">INDEX(GMW!$A$2:$NF$150,MATCH(1,(GMW!$NE$2:$NE$150=AV$3)*(GMW!$ND$2:$ND$150=AV$4)*(GMW!$NF$2:$NF$150=AV$1),0),$C202-1966)</f>
        <v>-1.6982520000000001</v>
      </c>
    </row>
    <row r="203" spans="1:48" x14ac:dyDescent="0.25">
      <c r="A203" s="4">
        <v>2022</v>
      </c>
      <c r="B203" s="4">
        <f t="shared" si="8"/>
        <v>2022</v>
      </c>
      <c r="C203" s="4">
        <f t="shared" si="9"/>
        <v>2169</v>
      </c>
      <c r="D203" s="4" cm="1">
        <f t="array" ref="D203">INDEX(GMW!$A$2:$NF$150,MATCH(1,(GMW!$NE$2:$NE$150=D$3)*(GMW!$ND$2:$ND$150=D$4)*(GMW!$NF$2:$NF$150=D$1),0),$C203-1966)</f>
        <v>629149</v>
      </c>
      <c r="E203" s="4" cm="1">
        <f t="array" ref="E203">INDEX(GMW!$A$2:$NF$150,MATCH(1,(GMW!$NE$2:$NE$150=E$3)*(GMW!$ND$2:$ND$150=E$4)*(GMW!$NF$2:$NF$150=E$1),0),$C203-1966)</f>
        <v>115.9333</v>
      </c>
      <c r="F203" s="4" cm="1">
        <f t="array" ref="F203">INDEX(GMW!$A$2:$NF$150,MATCH(1,(GMW!$NE$2:$NE$150=F$3)*(GMW!$ND$2:$ND$150=F$4)*(GMW!$NF$2:$NF$150=F$1),0),$C203-1966)</f>
        <v>191621</v>
      </c>
      <c r="G203" s="4" cm="1">
        <f t="array" ref="G203">INDEX(GMW!$A$2:$NF$150,MATCH(1,(GMW!$NE$2:$NE$150=G$3)*(GMW!$ND$2:$ND$150=G$4)*(GMW!$NF$2:$NF$150=G$1),0),$C203-1966)</f>
        <v>79755</v>
      </c>
      <c r="H203" s="4" cm="1">
        <f t="array" ref="H203">INDEX(GMW!$A$2:$NF$150,MATCH(1,(GMW!$NE$2:$NE$150=H$3)*(GMW!$ND$2:$ND$150=H$4)*(GMW!$NF$2:$NF$150=H$1),0),$C203-1966)</f>
        <v>225154</v>
      </c>
      <c r="I203" s="4" cm="1">
        <f t="array" ref="I203">INDEX(GMW!$A$2:$NF$150,MATCH(1,(GMW!$NE$2:$NE$150=I$3)*(GMW!$ND$2:$ND$150=I$4)*(GMW!$NF$2:$NF$150=I$1),0),$C203-1966)</f>
        <v>138745</v>
      </c>
      <c r="J203" s="4" cm="1">
        <f t="array" ref="J203">INDEX(GMW!$A$2:$NF$150,MATCH(1,(GMW!$NE$2:$NE$150=J$3)*(GMW!$ND$2:$ND$150=J$4)*(GMW!$NF$2:$NF$150=J$1),0),$C203-1966)</f>
        <v>113041</v>
      </c>
      <c r="K203" s="4" cm="1">
        <f t="array" ref="K203">INDEX(GMW!$A$2:$NF$150,MATCH(1,(GMW!$NE$2:$NE$150=K$3)*(GMW!$ND$2:$ND$150=K$4)*(GMW!$NF$2:$NF$150=K$1),0),$C203-1966)</f>
        <v>58903</v>
      </c>
      <c r="L203" s="4" cm="1">
        <f t="array" ref="L203">INDEX(GMW!$A$2:$NF$150,MATCH(1,(GMW!$NE$2:$NE$150=L$3)*(GMW!$ND$2:$ND$150=L$4)*(GMW!$NF$2:$NF$150=L$1),0),$C203-1966)</f>
        <v>617362.19999999995</v>
      </c>
      <c r="M203" s="4" cm="1">
        <f t="array" ref="M203">INDEX(GMW!$A$2:$NF$150,MATCH(1,(GMW!$NE$2:$NE$150=M$3)*(GMW!$ND$2:$ND$150=M$4)*(GMW!$NF$2:$NF$150=M$1),0),$C203-1966)</f>
        <v>32684.639999999999</v>
      </c>
      <c r="N203" s="4" cm="1">
        <f t="array" ref="N203">INDEX(GMW!$A$2:$NF$150,MATCH(1,(GMW!$NE$2:$NE$150=N$3)*(GMW!$ND$2:$ND$150=N$4)*(GMW!$NF$2:$NF$150=N$1),0),$C203-1966)</f>
        <v>31.8</v>
      </c>
      <c r="O203" s="4" cm="1">
        <f t="array" ref="O203">INDEX(GMW!$A$2:$NF$150,MATCH(1,(GMW!$NE$2:$NE$150=O$3)*(GMW!$ND$2:$ND$150=O$4)*(GMW!$NF$2:$NF$150=O$1),0),$C203-1966)</f>
        <v>587309.80000000005</v>
      </c>
      <c r="P203" s="4" cm="1">
        <f t="array" ref="P203">INDEX(GMW!$A$2:$NF$150,MATCH(1,(GMW!$NE$2:$NE$150=P$3)*(GMW!$ND$2:$ND$150=P$4)*(GMW!$NF$2:$NF$150=P$1),0),$C203-1966)</f>
        <v>43174.1</v>
      </c>
      <c r="Q203" s="4" cm="1">
        <f t="array" ref="Q203">INDEX(GMW!$A$2:$NF$150,MATCH(1,(GMW!$NE$2:$NE$150=Q$3)*(GMW!$ND$2:$ND$150=Q$4)*(GMW!$NF$2:$NF$150=Q$1),0),$C203-1966)</f>
        <v>3218250</v>
      </c>
      <c r="R203" s="4" cm="1">
        <f t="array" ref="R203">INDEX(GMW!$A$2:$NF$150,MATCH(1,(GMW!$NE$2:$NE$150=R$3)*(GMW!$ND$2:$ND$150=R$4)*(GMW!$NF$2:$NF$150=R$1),0),$C203-1966)</f>
        <v>-1.6982520000000001</v>
      </c>
      <c r="S203" s="4" cm="1">
        <f t="array" ref="S203">INDEX(GMW!$A$2:$NF$150,MATCH(1,(GMW!$NE$2:$NE$150=S$3)*(GMW!$ND$2:$ND$150=S$4)*(GMW!$NF$2:$NF$150=S$1),0),$C203-1966)</f>
        <v>629149</v>
      </c>
      <c r="T203" s="4" cm="1">
        <f t="array" ref="T203">INDEX(GMW!$A$2:$NF$150,MATCH(1,(GMW!$NE$2:$NE$150=T$3)*(GMW!$ND$2:$ND$150=T$4)*(GMW!$NF$2:$NF$150=T$1),0),$C203-1966)</f>
        <v>115.9333</v>
      </c>
      <c r="U203" s="4" cm="1">
        <f t="array" ref="U203">INDEX(GMW!$A$2:$NF$150,MATCH(1,(GMW!$NE$2:$NE$150=U$3)*(GMW!$ND$2:$ND$150=U$4)*(GMW!$NF$2:$NF$150=U$1),0),$C203-1966)</f>
        <v>191621</v>
      </c>
      <c r="V203" s="4" cm="1">
        <f t="array" ref="V203">INDEX(GMW!$A$2:$NF$150,MATCH(1,(GMW!$NE$2:$NE$150=V$3)*(GMW!$ND$2:$ND$150=V$4)*(GMW!$NF$2:$NF$150=V$1),0),$C203-1966)</f>
        <v>79755</v>
      </c>
      <c r="W203" s="4" cm="1">
        <f t="array" ref="W203">INDEX(GMW!$A$2:$NF$150,MATCH(1,(GMW!$NE$2:$NE$150=W$3)*(GMW!$ND$2:$ND$150=W$4)*(GMW!$NF$2:$NF$150=W$1),0),$C203-1966)</f>
        <v>225154</v>
      </c>
      <c r="X203" s="4" cm="1">
        <f t="array" ref="X203">INDEX(GMW!$A$2:$NF$150,MATCH(1,(GMW!$NE$2:$NE$150=X$3)*(GMW!$ND$2:$ND$150=X$4)*(GMW!$NF$2:$NF$150=X$1),0),$C203-1966)</f>
        <v>138745</v>
      </c>
      <c r="Y203" s="4" cm="1">
        <f t="array" ref="Y203">INDEX(GMW!$A$2:$NF$150,MATCH(1,(GMW!$NE$2:$NE$150=Y$3)*(GMW!$ND$2:$ND$150=Y$4)*(GMW!$NF$2:$NF$150=Y$1),0),$C203-1966)</f>
        <v>113041</v>
      </c>
      <c r="Z203" s="4" cm="1">
        <f t="array" ref="Z203">INDEX(GMW!$A$2:$NF$150,MATCH(1,(GMW!$NE$2:$NE$150=Z$3)*(GMW!$ND$2:$ND$150=Z$4)*(GMW!$NF$2:$NF$150=Z$1),0),$C203-1966)</f>
        <v>58903</v>
      </c>
      <c r="AA203" s="4" cm="1">
        <f t="array" ref="AA203">INDEX(GMW!$A$2:$NF$150,MATCH(1,(GMW!$NE$2:$NE$150=AA$3)*(GMW!$ND$2:$ND$150=AA$4)*(GMW!$NF$2:$NF$150=AA$1),0),$C203-1966)</f>
        <v>617268</v>
      </c>
      <c r="AB203" s="4" cm="1">
        <f t="array" ref="AB203">INDEX(GMW!$A$2:$NF$150,MATCH(1,(GMW!$NE$2:$NE$150=AB$3)*(GMW!$ND$2:$ND$150=AB$4)*(GMW!$NF$2:$NF$150=AB$1),0),$C203-1966)</f>
        <v>32676.97</v>
      </c>
      <c r="AC203" s="4" cm="1">
        <f t="array" ref="AC203">INDEX(GMW!$A$2:$NF$150,MATCH(1,(GMW!$NE$2:$NE$150=AC$3)*(GMW!$ND$2:$ND$150=AC$4)*(GMW!$NF$2:$NF$150=AC$1),0),$C203-1966)</f>
        <v>31.8</v>
      </c>
      <c r="AD203" s="4" cm="1">
        <f t="array" ref="AD203">INDEX(GMW!$A$2:$NF$150,MATCH(1,(GMW!$NE$2:$NE$150=AD$3)*(GMW!$ND$2:$ND$150=AD$4)*(GMW!$NF$2:$NF$150=AD$1),0),$C203-1966)</f>
        <v>587309.80000000005</v>
      </c>
      <c r="AE203" s="4" cm="1">
        <f t="array" ref="AE203">INDEX(GMW!$A$2:$NF$150,MATCH(1,(GMW!$NE$2:$NE$150=AE$3)*(GMW!$ND$2:$ND$150=AE$4)*(GMW!$NF$2:$NF$150=AE$1),0),$C203-1966)</f>
        <v>43174.1</v>
      </c>
      <c r="AF203" s="4" cm="1">
        <f t="array" ref="AF203">INDEX(GMW!$A$2:$NF$150,MATCH(1,(GMW!$NE$2:$NE$150=AF$3)*(GMW!$ND$2:$ND$150=AF$4)*(GMW!$NF$2:$NF$150=AF$1),0),$C203-1966)</f>
        <v>3218250</v>
      </c>
      <c r="AG203" s="4" cm="1">
        <f t="array" ref="AG203">INDEX(GMW!$A$2:$NF$150,MATCH(1,(GMW!$NE$2:$NE$150=AG$3)*(GMW!$ND$2:$ND$150=AG$4)*(GMW!$NF$2:$NF$150=AG$1),0),$C203-1966)</f>
        <v>-1.6982520000000001</v>
      </c>
      <c r="AH203" s="4" cm="1">
        <f t="array" ref="AH203">INDEX(GMW!$A$2:$NF$150,MATCH(1,(GMW!$NE$2:$NE$150=AH$3)*(GMW!$ND$2:$ND$150=AH$4)*(GMW!$NF$2:$NF$150=AH$1),0),$C203-1966)</f>
        <v>629149</v>
      </c>
      <c r="AI203" s="4" cm="1">
        <f t="array" ref="AI203">INDEX(GMW!$A$2:$NF$150,MATCH(1,(GMW!$NE$2:$NE$150=AI$3)*(GMW!$ND$2:$ND$150=AI$4)*(GMW!$NF$2:$NF$150=AI$1),0),$C203-1966)</f>
        <v>115.9333</v>
      </c>
      <c r="AJ203" s="4" cm="1">
        <f t="array" ref="AJ203">INDEX(GMW!$A$2:$NF$150,MATCH(1,(GMW!$NE$2:$NE$150=AJ$3)*(GMW!$ND$2:$ND$150=AJ$4)*(GMW!$NF$2:$NF$150=AJ$1),0),$C203-1966)</f>
        <v>191621</v>
      </c>
      <c r="AK203" s="4" cm="1">
        <f t="array" ref="AK203">INDEX(GMW!$A$2:$NF$150,MATCH(1,(GMW!$NE$2:$NE$150=AK$3)*(GMW!$ND$2:$ND$150=AK$4)*(GMW!$NF$2:$NF$150=AK$1),0),$C203-1966)</f>
        <v>79755</v>
      </c>
      <c r="AL203" s="4" cm="1">
        <f t="array" ref="AL203">INDEX(GMW!$A$2:$NF$150,MATCH(1,(GMW!$NE$2:$NE$150=AL$3)*(GMW!$ND$2:$ND$150=AL$4)*(GMW!$NF$2:$NF$150=AL$1),0),$C203-1966)</f>
        <v>225154</v>
      </c>
      <c r="AM203" s="4" cm="1">
        <f t="array" ref="AM203">INDEX(GMW!$A$2:$NF$150,MATCH(1,(GMW!$NE$2:$NE$150=AM$3)*(GMW!$ND$2:$ND$150=AM$4)*(GMW!$NF$2:$NF$150=AM$1),0),$C203-1966)</f>
        <v>138745</v>
      </c>
      <c r="AN203" s="4" cm="1">
        <f t="array" ref="AN203">INDEX(GMW!$A$2:$NF$150,MATCH(1,(GMW!$NE$2:$NE$150=AN$3)*(GMW!$ND$2:$ND$150=AN$4)*(GMW!$NF$2:$NF$150=AN$1),0),$C203-1966)</f>
        <v>113041</v>
      </c>
      <c r="AO203" s="4" cm="1">
        <f t="array" ref="AO203">INDEX(GMW!$A$2:$NF$150,MATCH(1,(GMW!$NE$2:$NE$150=AO$3)*(GMW!$ND$2:$ND$150=AO$4)*(GMW!$NF$2:$NF$150=AO$1),0),$C203-1966)</f>
        <v>58903</v>
      </c>
      <c r="AP203" s="4" cm="1">
        <f t="array" ref="AP203">INDEX(GMW!$A$2:$NF$150,MATCH(1,(GMW!$NE$2:$NE$150=AP$3)*(GMW!$ND$2:$ND$150=AP$4)*(GMW!$NF$2:$NF$150=AP$1),0),$C203-1966)</f>
        <v>617268</v>
      </c>
      <c r="AQ203" s="4" cm="1">
        <f t="array" ref="AQ203">INDEX(GMW!$A$2:$NF$150,MATCH(1,(GMW!$NE$2:$NE$150=AQ$3)*(GMW!$ND$2:$ND$150=AQ$4)*(GMW!$NF$2:$NF$150=AQ$1),0),$C203-1966)</f>
        <v>32676.97</v>
      </c>
      <c r="AR203" s="4" cm="1">
        <f t="array" ref="AR203">INDEX(GMW!$A$2:$NF$150,MATCH(1,(GMW!$NE$2:$NE$150=AR$3)*(GMW!$ND$2:$ND$150=AR$4)*(GMW!$NF$2:$NF$150=AR$1),0),$C203-1966)</f>
        <v>31.8</v>
      </c>
      <c r="AS203" s="4" cm="1">
        <f t="array" ref="AS203">INDEX(GMW!$A$2:$NF$150,MATCH(1,(GMW!$NE$2:$NE$150=AS$3)*(GMW!$ND$2:$ND$150=AS$4)*(GMW!$NF$2:$NF$150=AS$1),0),$C203-1966)</f>
        <v>587309.80000000005</v>
      </c>
      <c r="AT203" s="4" cm="1">
        <f t="array" ref="AT203">INDEX(GMW!$A$2:$NF$150,MATCH(1,(GMW!$NE$2:$NE$150=AT$3)*(GMW!$ND$2:$ND$150=AT$4)*(GMW!$NF$2:$NF$150=AT$1),0),$C203-1966)</f>
        <v>43174.1</v>
      </c>
      <c r="AU203" s="4" cm="1">
        <f t="array" ref="AU203">INDEX(GMW!$A$2:$NF$150,MATCH(1,(GMW!$NE$2:$NE$150=AU$3)*(GMW!$ND$2:$ND$150=AU$4)*(GMW!$NF$2:$NF$150=AU$1),0),$C203-1966)</f>
        <v>3218250</v>
      </c>
      <c r="AV203" s="4" cm="1">
        <f t="array" ref="AV203">INDEX(GMW!$A$2:$NF$150,MATCH(1,(GMW!$NE$2:$NE$150=AV$3)*(GMW!$ND$2:$ND$150=AV$4)*(GMW!$NF$2:$NF$150=AV$1),0),$C203-1966)</f>
        <v>-1.6982520000000001</v>
      </c>
    </row>
    <row r="204" spans="1:48" x14ac:dyDescent="0.25">
      <c r="B204" s="4">
        <f t="shared" ref="B204:B267" si="10">+B200+1</f>
        <v>2022</v>
      </c>
      <c r="C204" s="4">
        <f t="shared" si="9"/>
        <v>2170</v>
      </c>
      <c r="D204" s="4" cm="1">
        <f t="array" ref="D204">INDEX(GMW!$A$2:$NF$150,MATCH(1,(GMW!$NE$2:$NE$150=D$3)*(GMW!$ND$2:$ND$150=D$4)*(GMW!$NF$2:$NF$150=D$1),0),$C204-1966)</f>
        <v>631258</v>
      </c>
      <c r="E204" s="4" cm="1">
        <f t="array" ref="E204">INDEX(GMW!$A$2:$NF$150,MATCH(1,(GMW!$NE$2:$NE$150=E$3)*(GMW!$ND$2:$ND$150=E$4)*(GMW!$NF$2:$NF$150=E$1),0),$C204-1966)</f>
        <v>120.86669999999999</v>
      </c>
      <c r="F204" s="4" cm="1">
        <f t="array" ref="F204">INDEX(GMW!$A$2:$NF$150,MATCH(1,(GMW!$NE$2:$NE$150=F$3)*(GMW!$ND$2:$ND$150=F$4)*(GMW!$NF$2:$NF$150=F$1),0),$C204-1966)</f>
        <v>205098</v>
      </c>
      <c r="G204" s="4" cm="1">
        <f t="array" ref="G204">INDEX(GMW!$A$2:$NF$150,MATCH(1,(GMW!$NE$2:$NE$150=G$3)*(GMW!$ND$2:$ND$150=G$4)*(GMW!$NF$2:$NF$150=G$1),0),$C204-1966)</f>
        <v>83449</v>
      </c>
      <c r="H204" s="4" cm="1">
        <f t="array" ref="H204">INDEX(GMW!$A$2:$NF$150,MATCH(1,(GMW!$NE$2:$NE$150=H$3)*(GMW!$ND$2:$ND$150=H$4)*(GMW!$NF$2:$NF$150=H$1),0),$C204-1966)</f>
        <v>226514</v>
      </c>
      <c r="I204" s="4" cm="1">
        <f t="array" ref="I204">INDEX(GMW!$A$2:$NF$150,MATCH(1,(GMW!$NE$2:$NE$150=I$3)*(GMW!$ND$2:$ND$150=I$4)*(GMW!$NF$2:$NF$150=I$1),0),$C204-1966)</f>
        <v>134773</v>
      </c>
      <c r="J204" s="4" cm="1">
        <f t="array" ref="J204">INDEX(GMW!$A$2:$NF$150,MATCH(1,(GMW!$NE$2:$NE$150=J$3)*(GMW!$ND$2:$ND$150=J$4)*(GMW!$NF$2:$NF$150=J$1),0),$C204-1966)</f>
        <v>112982</v>
      </c>
      <c r="K204" s="4" cm="1">
        <f t="array" ref="K204">INDEX(GMW!$A$2:$NF$150,MATCH(1,(GMW!$NE$2:$NE$150=K$3)*(GMW!$ND$2:$ND$150=K$4)*(GMW!$NF$2:$NF$150=K$1),0),$C204-1966)</f>
        <v>60332</v>
      </c>
      <c r="L204" s="4" cm="1">
        <f t="array" ref="L204">INDEX(GMW!$A$2:$NF$150,MATCH(1,(GMW!$NE$2:$NE$150=L$3)*(GMW!$ND$2:$ND$150=L$4)*(GMW!$NF$2:$NF$150=L$1),0),$C204-1966)</f>
        <v>619843.5</v>
      </c>
      <c r="M204" s="4" cm="1">
        <f t="array" ref="M204">INDEX(GMW!$A$2:$NF$150,MATCH(1,(GMW!$NE$2:$NE$150=M$3)*(GMW!$ND$2:$ND$150=M$4)*(GMW!$NF$2:$NF$150=M$1),0),$C204-1966)</f>
        <v>32893.699999999997</v>
      </c>
      <c r="N204" s="4" cm="1">
        <f t="array" ref="N204">INDEX(GMW!$A$2:$NF$150,MATCH(1,(GMW!$NE$2:$NE$150=N$3)*(GMW!$ND$2:$ND$150=N$4)*(GMW!$NF$2:$NF$150=N$1),0),$C204-1966)</f>
        <v>31.7</v>
      </c>
      <c r="O204" s="4" cm="1">
        <f t="array" ref="O204">INDEX(GMW!$A$2:$NF$150,MATCH(1,(GMW!$NE$2:$NE$150=O$3)*(GMW!$ND$2:$ND$150=O$4)*(GMW!$NF$2:$NF$150=O$1),0),$C204-1966)</f>
        <v>589380.30000000005</v>
      </c>
      <c r="P204" s="4" cm="1">
        <f t="array" ref="P204">INDEX(GMW!$A$2:$NF$150,MATCH(1,(GMW!$NE$2:$NE$150=P$3)*(GMW!$ND$2:$ND$150=P$4)*(GMW!$NF$2:$NF$150=P$1),0),$C204-1966)</f>
        <v>43254.96</v>
      </c>
      <c r="Q204" s="4" cm="1">
        <f t="array" ref="Q204">INDEX(GMW!$A$2:$NF$150,MATCH(1,(GMW!$NE$2:$NE$150=Q$3)*(GMW!$ND$2:$ND$150=Q$4)*(GMW!$NF$2:$NF$150=Q$1),0),$C204-1966)</f>
        <v>3230500</v>
      </c>
      <c r="R204" s="4" cm="1">
        <f t="array" ref="R204">INDEX(GMW!$A$2:$NF$150,MATCH(1,(GMW!$NE$2:$NE$150=R$3)*(GMW!$ND$2:$ND$150=R$4)*(GMW!$NF$2:$NF$150=R$1),0),$C204-1966)</f>
        <v>-1.698167</v>
      </c>
      <c r="S204" s="4" cm="1">
        <f t="array" ref="S204">INDEX(GMW!$A$2:$NF$150,MATCH(1,(GMW!$NE$2:$NE$150=S$3)*(GMW!$ND$2:$ND$150=S$4)*(GMW!$NF$2:$NF$150=S$1),0),$C204-1966)</f>
        <v>631258</v>
      </c>
      <c r="T204" s="4" cm="1">
        <f t="array" ref="T204">INDEX(GMW!$A$2:$NF$150,MATCH(1,(GMW!$NE$2:$NE$150=T$3)*(GMW!$ND$2:$ND$150=T$4)*(GMW!$NF$2:$NF$150=T$1),0),$C204-1966)</f>
        <v>120.86669999999999</v>
      </c>
      <c r="U204" s="4" cm="1">
        <f t="array" ref="U204">INDEX(GMW!$A$2:$NF$150,MATCH(1,(GMW!$NE$2:$NE$150=U$3)*(GMW!$ND$2:$ND$150=U$4)*(GMW!$NF$2:$NF$150=U$1),0),$C204-1966)</f>
        <v>205098</v>
      </c>
      <c r="V204" s="4" cm="1">
        <f t="array" ref="V204">INDEX(GMW!$A$2:$NF$150,MATCH(1,(GMW!$NE$2:$NE$150=V$3)*(GMW!$ND$2:$ND$150=V$4)*(GMW!$NF$2:$NF$150=V$1),0),$C204-1966)</f>
        <v>83449</v>
      </c>
      <c r="W204" s="4" cm="1">
        <f t="array" ref="W204">INDEX(GMW!$A$2:$NF$150,MATCH(1,(GMW!$NE$2:$NE$150=W$3)*(GMW!$ND$2:$ND$150=W$4)*(GMW!$NF$2:$NF$150=W$1),0),$C204-1966)</f>
        <v>226514</v>
      </c>
      <c r="X204" s="4" cm="1">
        <f t="array" ref="X204">INDEX(GMW!$A$2:$NF$150,MATCH(1,(GMW!$NE$2:$NE$150=X$3)*(GMW!$ND$2:$ND$150=X$4)*(GMW!$NF$2:$NF$150=X$1),0),$C204-1966)</f>
        <v>134773</v>
      </c>
      <c r="Y204" s="4" cm="1">
        <f t="array" ref="Y204">INDEX(GMW!$A$2:$NF$150,MATCH(1,(GMW!$NE$2:$NE$150=Y$3)*(GMW!$ND$2:$ND$150=Y$4)*(GMW!$NF$2:$NF$150=Y$1),0),$C204-1966)</f>
        <v>112982</v>
      </c>
      <c r="Z204" s="4" cm="1">
        <f t="array" ref="Z204">INDEX(GMW!$A$2:$NF$150,MATCH(1,(GMW!$NE$2:$NE$150=Z$3)*(GMW!$ND$2:$ND$150=Z$4)*(GMW!$NF$2:$NF$150=Z$1),0),$C204-1966)</f>
        <v>60332</v>
      </c>
      <c r="AA204" s="4" cm="1">
        <f t="array" ref="AA204">INDEX(GMW!$A$2:$NF$150,MATCH(1,(GMW!$NE$2:$NE$150=AA$3)*(GMW!$ND$2:$ND$150=AA$4)*(GMW!$NF$2:$NF$150=AA$1),0),$C204-1966)</f>
        <v>619878.80000000005</v>
      </c>
      <c r="AB204" s="4" cm="1">
        <f t="array" ref="AB204">INDEX(GMW!$A$2:$NF$150,MATCH(1,(GMW!$NE$2:$NE$150=AB$3)*(GMW!$ND$2:$ND$150=AB$4)*(GMW!$NF$2:$NF$150=AB$1),0),$C204-1966)</f>
        <v>32896.58</v>
      </c>
      <c r="AC204" s="4" cm="1">
        <f t="array" ref="AC204">INDEX(GMW!$A$2:$NF$150,MATCH(1,(GMW!$NE$2:$NE$150=AC$3)*(GMW!$ND$2:$ND$150=AC$4)*(GMW!$NF$2:$NF$150=AC$1),0),$C204-1966)</f>
        <v>31.7</v>
      </c>
      <c r="AD204" s="4" cm="1">
        <f t="array" ref="AD204">INDEX(GMW!$A$2:$NF$150,MATCH(1,(GMW!$NE$2:$NE$150=AD$3)*(GMW!$ND$2:$ND$150=AD$4)*(GMW!$NF$2:$NF$150=AD$1),0),$C204-1966)</f>
        <v>589380.30000000005</v>
      </c>
      <c r="AE204" s="4" cm="1">
        <f t="array" ref="AE204">INDEX(GMW!$A$2:$NF$150,MATCH(1,(GMW!$NE$2:$NE$150=AE$3)*(GMW!$ND$2:$ND$150=AE$4)*(GMW!$NF$2:$NF$150=AE$1),0),$C204-1966)</f>
        <v>43254.96</v>
      </c>
      <c r="AF204" s="4" cm="1">
        <f t="array" ref="AF204">INDEX(GMW!$A$2:$NF$150,MATCH(1,(GMW!$NE$2:$NE$150=AF$3)*(GMW!$ND$2:$ND$150=AF$4)*(GMW!$NF$2:$NF$150=AF$1),0),$C204-1966)</f>
        <v>3230500</v>
      </c>
      <c r="AG204" s="4" cm="1">
        <f t="array" ref="AG204">INDEX(GMW!$A$2:$NF$150,MATCH(1,(GMW!$NE$2:$NE$150=AG$3)*(GMW!$ND$2:$ND$150=AG$4)*(GMW!$NF$2:$NF$150=AG$1),0),$C204-1966)</f>
        <v>-1.698167</v>
      </c>
      <c r="AH204" s="4" cm="1">
        <f t="array" ref="AH204">INDEX(GMW!$A$2:$NF$150,MATCH(1,(GMW!$NE$2:$NE$150=AH$3)*(GMW!$ND$2:$ND$150=AH$4)*(GMW!$NF$2:$NF$150=AH$1),0),$C204-1966)</f>
        <v>631258</v>
      </c>
      <c r="AI204" s="4" cm="1">
        <f t="array" ref="AI204">INDEX(GMW!$A$2:$NF$150,MATCH(1,(GMW!$NE$2:$NE$150=AI$3)*(GMW!$ND$2:$ND$150=AI$4)*(GMW!$NF$2:$NF$150=AI$1),0),$C204-1966)</f>
        <v>120.86669999999999</v>
      </c>
      <c r="AJ204" s="4" cm="1">
        <f t="array" ref="AJ204">INDEX(GMW!$A$2:$NF$150,MATCH(1,(GMW!$NE$2:$NE$150=AJ$3)*(GMW!$ND$2:$ND$150=AJ$4)*(GMW!$NF$2:$NF$150=AJ$1),0),$C204-1966)</f>
        <v>205098</v>
      </c>
      <c r="AK204" s="4" cm="1">
        <f t="array" ref="AK204">INDEX(GMW!$A$2:$NF$150,MATCH(1,(GMW!$NE$2:$NE$150=AK$3)*(GMW!$ND$2:$ND$150=AK$4)*(GMW!$NF$2:$NF$150=AK$1),0),$C204-1966)</f>
        <v>83449</v>
      </c>
      <c r="AL204" s="4" cm="1">
        <f t="array" ref="AL204">INDEX(GMW!$A$2:$NF$150,MATCH(1,(GMW!$NE$2:$NE$150=AL$3)*(GMW!$ND$2:$ND$150=AL$4)*(GMW!$NF$2:$NF$150=AL$1),0),$C204-1966)</f>
        <v>226514</v>
      </c>
      <c r="AM204" s="4" cm="1">
        <f t="array" ref="AM204">INDEX(GMW!$A$2:$NF$150,MATCH(1,(GMW!$NE$2:$NE$150=AM$3)*(GMW!$ND$2:$ND$150=AM$4)*(GMW!$NF$2:$NF$150=AM$1),0),$C204-1966)</f>
        <v>134773</v>
      </c>
      <c r="AN204" s="4" cm="1">
        <f t="array" ref="AN204">INDEX(GMW!$A$2:$NF$150,MATCH(1,(GMW!$NE$2:$NE$150=AN$3)*(GMW!$ND$2:$ND$150=AN$4)*(GMW!$NF$2:$NF$150=AN$1),0),$C204-1966)</f>
        <v>112982</v>
      </c>
      <c r="AO204" s="4" cm="1">
        <f t="array" ref="AO204">INDEX(GMW!$A$2:$NF$150,MATCH(1,(GMW!$NE$2:$NE$150=AO$3)*(GMW!$ND$2:$ND$150=AO$4)*(GMW!$NF$2:$NF$150=AO$1),0),$C204-1966)</f>
        <v>60332</v>
      </c>
      <c r="AP204" s="4" cm="1">
        <f t="array" ref="AP204">INDEX(GMW!$A$2:$NF$150,MATCH(1,(GMW!$NE$2:$NE$150=AP$3)*(GMW!$ND$2:$ND$150=AP$4)*(GMW!$NF$2:$NF$150=AP$1),0),$C204-1966)</f>
        <v>619878.80000000005</v>
      </c>
      <c r="AQ204" s="4" cm="1">
        <f t="array" ref="AQ204">INDEX(GMW!$A$2:$NF$150,MATCH(1,(GMW!$NE$2:$NE$150=AQ$3)*(GMW!$ND$2:$ND$150=AQ$4)*(GMW!$NF$2:$NF$150=AQ$1),0),$C204-1966)</f>
        <v>32896.58</v>
      </c>
      <c r="AR204" s="4" cm="1">
        <f t="array" ref="AR204">INDEX(GMW!$A$2:$NF$150,MATCH(1,(GMW!$NE$2:$NE$150=AR$3)*(GMW!$ND$2:$ND$150=AR$4)*(GMW!$NF$2:$NF$150=AR$1),0),$C204-1966)</f>
        <v>31.7</v>
      </c>
      <c r="AS204" s="4" cm="1">
        <f t="array" ref="AS204">INDEX(GMW!$A$2:$NF$150,MATCH(1,(GMW!$NE$2:$NE$150=AS$3)*(GMW!$ND$2:$ND$150=AS$4)*(GMW!$NF$2:$NF$150=AS$1),0),$C204-1966)</f>
        <v>589380.30000000005</v>
      </c>
      <c r="AT204" s="4" cm="1">
        <f t="array" ref="AT204">INDEX(GMW!$A$2:$NF$150,MATCH(1,(GMW!$NE$2:$NE$150=AT$3)*(GMW!$ND$2:$ND$150=AT$4)*(GMW!$NF$2:$NF$150=AT$1),0),$C204-1966)</f>
        <v>43254.96</v>
      </c>
      <c r="AU204" s="4" cm="1">
        <f t="array" ref="AU204">INDEX(GMW!$A$2:$NF$150,MATCH(1,(GMW!$NE$2:$NE$150=AU$3)*(GMW!$ND$2:$ND$150=AU$4)*(GMW!$NF$2:$NF$150=AU$1),0),$C204-1966)</f>
        <v>3230500</v>
      </c>
      <c r="AV204" s="4" cm="1">
        <f t="array" ref="AV204">INDEX(GMW!$A$2:$NF$150,MATCH(1,(GMW!$NE$2:$NE$150=AV$3)*(GMW!$ND$2:$ND$150=AV$4)*(GMW!$NF$2:$NF$150=AV$1),0),$C204-1966)</f>
        <v>-1.698167</v>
      </c>
    </row>
    <row r="205" spans="1:48" x14ac:dyDescent="0.25">
      <c r="B205" s="4">
        <f t="shared" si="10"/>
        <v>2022</v>
      </c>
      <c r="C205" s="4">
        <f t="shared" si="9"/>
        <v>2171</v>
      </c>
      <c r="D205" s="4" cm="1">
        <f t="array" ref="D205">INDEX(GMW!$A$2:$NF$150,MATCH(1,(GMW!$NE$2:$NE$150=D$3)*(GMW!$ND$2:$ND$150=D$4)*(GMW!$NF$2:$NF$150=D$1),0),$C205-1966)</f>
        <v>631977</v>
      </c>
      <c r="E205" s="4" cm="1">
        <f t="array" ref="E205">INDEX(GMW!$A$2:$NF$150,MATCH(1,(GMW!$NE$2:$NE$150=E$3)*(GMW!$ND$2:$ND$150=E$4)*(GMW!$NF$2:$NF$150=E$1),0),$C205-1966)</f>
        <v>123.13330000000001</v>
      </c>
      <c r="F205" s="4" cm="1">
        <f t="array" ref="F205">INDEX(GMW!$A$2:$NF$150,MATCH(1,(GMW!$NE$2:$NE$150=F$3)*(GMW!$ND$2:$ND$150=F$4)*(GMW!$NF$2:$NF$150=F$1),0),$C205-1966)</f>
        <v>224767</v>
      </c>
      <c r="G205" s="4" cm="1">
        <f t="array" ref="G205">INDEX(GMW!$A$2:$NF$150,MATCH(1,(GMW!$NE$2:$NE$150=G$3)*(GMW!$ND$2:$ND$150=G$4)*(GMW!$NF$2:$NF$150=G$1),0),$C205-1966)</f>
        <v>98222</v>
      </c>
      <c r="H205" s="4" cm="1">
        <f t="array" ref="H205">INDEX(GMW!$A$2:$NF$150,MATCH(1,(GMW!$NE$2:$NE$150=H$3)*(GMW!$ND$2:$ND$150=H$4)*(GMW!$NF$2:$NF$150=H$1),0),$C205-1966)</f>
        <v>219547</v>
      </c>
      <c r="I205" s="4" cm="1">
        <f t="array" ref="I205">INDEX(GMW!$A$2:$NF$150,MATCH(1,(GMW!$NE$2:$NE$150=I$3)*(GMW!$ND$2:$ND$150=I$4)*(GMW!$NF$2:$NF$150=I$1),0),$C205-1966)</f>
        <v>124116</v>
      </c>
      <c r="J205" s="4" cm="1">
        <f t="array" ref="J205">INDEX(GMW!$A$2:$NF$150,MATCH(1,(GMW!$NE$2:$NE$150=J$3)*(GMW!$ND$2:$ND$150=J$4)*(GMW!$NF$2:$NF$150=J$1),0),$C205-1966)</f>
        <v>113281</v>
      </c>
      <c r="K205" s="4" cm="1">
        <f t="array" ref="K205">INDEX(GMW!$A$2:$NF$150,MATCH(1,(GMW!$NE$2:$NE$150=K$3)*(GMW!$ND$2:$ND$150=K$4)*(GMW!$NF$2:$NF$150=K$1),0),$C205-1966)</f>
        <v>60887</v>
      </c>
      <c r="L205" s="4" cm="1">
        <f t="array" ref="L205">INDEX(GMW!$A$2:$NF$150,MATCH(1,(GMW!$NE$2:$NE$150=L$3)*(GMW!$ND$2:$ND$150=L$4)*(GMW!$NF$2:$NF$150=L$1),0),$C205-1966)</f>
        <v>621072.1</v>
      </c>
      <c r="M205" s="4" cm="1">
        <f t="array" ref="M205">INDEX(GMW!$A$2:$NF$150,MATCH(1,(GMW!$NE$2:$NE$150=M$3)*(GMW!$ND$2:$ND$150=M$4)*(GMW!$NF$2:$NF$150=M$1),0),$C205-1966)</f>
        <v>32793.96</v>
      </c>
      <c r="N205" s="4" cm="1">
        <f t="array" ref="N205">INDEX(GMW!$A$2:$NF$150,MATCH(1,(GMW!$NE$2:$NE$150=N$3)*(GMW!$ND$2:$ND$150=N$4)*(GMW!$NF$2:$NF$150=N$1),0),$C205-1966)</f>
        <v>31.8</v>
      </c>
      <c r="O205" s="4" cm="1">
        <f t="array" ref="O205">INDEX(GMW!$A$2:$NF$150,MATCH(1,(GMW!$NE$2:$NE$150=O$3)*(GMW!$ND$2:$ND$150=O$4)*(GMW!$NF$2:$NF$150=O$1),0),$C205-1966)</f>
        <v>591841.19999999995</v>
      </c>
      <c r="P205" s="4" cm="1">
        <f t="array" ref="P205">INDEX(GMW!$A$2:$NF$150,MATCH(1,(GMW!$NE$2:$NE$150=P$3)*(GMW!$ND$2:$ND$150=P$4)*(GMW!$NF$2:$NF$150=P$1),0),$C205-1966)</f>
        <v>43364.39</v>
      </c>
      <c r="Q205" s="4" cm="1">
        <f t="array" ref="Q205">INDEX(GMW!$A$2:$NF$150,MATCH(1,(GMW!$NE$2:$NE$150=Q$3)*(GMW!$ND$2:$ND$150=Q$4)*(GMW!$NF$2:$NF$150=Q$1),0),$C205-1966)</f>
        <v>3242750</v>
      </c>
      <c r="R205" s="4" cm="1">
        <f t="array" ref="R205">INDEX(GMW!$A$2:$NF$150,MATCH(1,(GMW!$NE$2:$NE$150=R$3)*(GMW!$ND$2:$ND$150=R$4)*(GMW!$NF$2:$NF$150=R$1),0),$C205-1966)</f>
        <v>-1.6980820000000001</v>
      </c>
      <c r="S205" s="4" cm="1">
        <f t="array" ref="S205">INDEX(GMW!$A$2:$NF$150,MATCH(1,(GMW!$NE$2:$NE$150=S$3)*(GMW!$ND$2:$ND$150=S$4)*(GMW!$NF$2:$NF$150=S$1),0),$C205-1966)</f>
        <v>631977</v>
      </c>
      <c r="T205" s="4" cm="1">
        <f t="array" ref="T205">INDEX(GMW!$A$2:$NF$150,MATCH(1,(GMW!$NE$2:$NE$150=T$3)*(GMW!$ND$2:$ND$150=T$4)*(GMW!$NF$2:$NF$150=T$1),0),$C205-1966)</f>
        <v>123.13330000000001</v>
      </c>
      <c r="U205" s="4" cm="1">
        <f t="array" ref="U205">INDEX(GMW!$A$2:$NF$150,MATCH(1,(GMW!$NE$2:$NE$150=U$3)*(GMW!$ND$2:$ND$150=U$4)*(GMW!$NF$2:$NF$150=U$1),0),$C205-1966)</f>
        <v>224767</v>
      </c>
      <c r="V205" s="4" cm="1">
        <f t="array" ref="V205">INDEX(GMW!$A$2:$NF$150,MATCH(1,(GMW!$NE$2:$NE$150=V$3)*(GMW!$ND$2:$ND$150=V$4)*(GMW!$NF$2:$NF$150=V$1),0),$C205-1966)</f>
        <v>98222</v>
      </c>
      <c r="W205" s="4" cm="1">
        <f t="array" ref="W205">INDEX(GMW!$A$2:$NF$150,MATCH(1,(GMW!$NE$2:$NE$150=W$3)*(GMW!$ND$2:$ND$150=W$4)*(GMW!$NF$2:$NF$150=W$1),0),$C205-1966)</f>
        <v>219547</v>
      </c>
      <c r="X205" s="4" cm="1">
        <f t="array" ref="X205">INDEX(GMW!$A$2:$NF$150,MATCH(1,(GMW!$NE$2:$NE$150=X$3)*(GMW!$ND$2:$ND$150=X$4)*(GMW!$NF$2:$NF$150=X$1),0),$C205-1966)</f>
        <v>124116</v>
      </c>
      <c r="Y205" s="4" cm="1">
        <f t="array" ref="Y205">INDEX(GMW!$A$2:$NF$150,MATCH(1,(GMW!$NE$2:$NE$150=Y$3)*(GMW!$ND$2:$ND$150=Y$4)*(GMW!$NF$2:$NF$150=Y$1),0),$C205-1966)</f>
        <v>113281</v>
      </c>
      <c r="Z205" s="4" cm="1">
        <f t="array" ref="Z205">INDEX(GMW!$A$2:$NF$150,MATCH(1,(GMW!$NE$2:$NE$150=Z$3)*(GMW!$ND$2:$ND$150=Z$4)*(GMW!$NF$2:$NF$150=Z$1),0),$C205-1966)</f>
        <v>60887</v>
      </c>
      <c r="AA205" s="4" cm="1">
        <f t="array" ref="AA205">INDEX(GMW!$A$2:$NF$150,MATCH(1,(GMW!$NE$2:$NE$150=AA$3)*(GMW!$ND$2:$ND$150=AA$4)*(GMW!$NF$2:$NF$150=AA$1),0),$C205-1966)</f>
        <v>620906.80000000005</v>
      </c>
      <c r="AB205" s="4" cm="1">
        <f t="array" ref="AB205">INDEX(GMW!$A$2:$NF$150,MATCH(1,(GMW!$NE$2:$NE$150=AB$3)*(GMW!$ND$2:$ND$150=AB$4)*(GMW!$NF$2:$NF$150=AB$1),0),$C205-1966)</f>
        <v>32780.54</v>
      </c>
      <c r="AC205" s="4" cm="1">
        <f t="array" ref="AC205">INDEX(GMW!$A$2:$NF$150,MATCH(1,(GMW!$NE$2:$NE$150=AC$3)*(GMW!$ND$2:$ND$150=AC$4)*(GMW!$NF$2:$NF$150=AC$1),0),$C205-1966)</f>
        <v>31.8</v>
      </c>
      <c r="AD205" s="4" cm="1">
        <f t="array" ref="AD205">INDEX(GMW!$A$2:$NF$150,MATCH(1,(GMW!$NE$2:$NE$150=AD$3)*(GMW!$ND$2:$ND$150=AD$4)*(GMW!$NF$2:$NF$150=AD$1),0),$C205-1966)</f>
        <v>591841.19999999995</v>
      </c>
      <c r="AE205" s="4" cm="1">
        <f t="array" ref="AE205">INDEX(GMW!$A$2:$NF$150,MATCH(1,(GMW!$NE$2:$NE$150=AE$3)*(GMW!$ND$2:$ND$150=AE$4)*(GMW!$NF$2:$NF$150=AE$1),0),$C205-1966)</f>
        <v>43364.39</v>
      </c>
      <c r="AF205" s="4" cm="1">
        <f t="array" ref="AF205">INDEX(GMW!$A$2:$NF$150,MATCH(1,(GMW!$NE$2:$NE$150=AF$3)*(GMW!$ND$2:$ND$150=AF$4)*(GMW!$NF$2:$NF$150=AF$1),0),$C205-1966)</f>
        <v>3242750</v>
      </c>
      <c r="AG205" s="4" cm="1">
        <f t="array" ref="AG205">INDEX(GMW!$A$2:$NF$150,MATCH(1,(GMW!$NE$2:$NE$150=AG$3)*(GMW!$ND$2:$ND$150=AG$4)*(GMW!$NF$2:$NF$150=AG$1),0),$C205-1966)</f>
        <v>-1.6980820000000001</v>
      </c>
      <c r="AH205" s="4" cm="1">
        <f t="array" ref="AH205">INDEX(GMW!$A$2:$NF$150,MATCH(1,(GMW!$NE$2:$NE$150=AH$3)*(GMW!$ND$2:$ND$150=AH$4)*(GMW!$NF$2:$NF$150=AH$1),0),$C205-1966)</f>
        <v>631977</v>
      </c>
      <c r="AI205" s="4" cm="1">
        <f t="array" ref="AI205">INDEX(GMW!$A$2:$NF$150,MATCH(1,(GMW!$NE$2:$NE$150=AI$3)*(GMW!$ND$2:$ND$150=AI$4)*(GMW!$NF$2:$NF$150=AI$1),0),$C205-1966)</f>
        <v>123.13330000000001</v>
      </c>
      <c r="AJ205" s="4" cm="1">
        <f t="array" ref="AJ205">INDEX(GMW!$A$2:$NF$150,MATCH(1,(GMW!$NE$2:$NE$150=AJ$3)*(GMW!$ND$2:$ND$150=AJ$4)*(GMW!$NF$2:$NF$150=AJ$1),0),$C205-1966)</f>
        <v>224767</v>
      </c>
      <c r="AK205" s="4" cm="1">
        <f t="array" ref="AK205">INDEX(GMW!$A$2:$NF$150,MATCH(1,(GMW!$NE$2:$NE$150=AK$3)*(GMW!$ND$2:$ND$150=AK$4)*(GMW!$NF$2:$NF$150=AK$1),0),$C205-1966)</f>
        <v>98222</v>
      </c>
      <c r="AL205" s="4" cm="1">
        <f t="array" ref="AL205">INDEX(GMW!$A$2:$NF$150,MATCH(1,(GMW!$NE$2:$NE$150=AL$3)*(GMW!$ND$2:$ND$150=AL$4)*(GMW!$NF$2:$NF$150=AL$1),0),$C205-1966)</f>
        <v>219547</v>
      </c>
      <c r="AM205" s="4" cm="1">
        <f t="array" ref="AM205">INDEX(GMW!$A$2:$NF$150,MATCH(1,(GMW!$NE$2:$NE$150=AM$3)*(GMW!$ND$2:$ND$150=AM$4)*(GMW!$NF$2:$NF$150=AM$1),0),$C205-1966)</f>
        <v>124116</v>
      </c>
      <c r="AN205" s="4" cm="1">
        <f t="array" ref="AN205">INDEX(GMW!$A$2:$NF$150,MATCH(1,(GMW!$NE$2:$NE$150=AN$3)*(GMW!$ND$2:$ND$150=AN$4)*(GMW!$NF$2:$NF$150=AN$1),0),$C205-1966)</f>
        <v>113281</v>
      </c>
      <c r="AO205" s="4" cm="1">
        <f t="array" ref="AO205">INDEX(GMW!$A$2:$NF$150,MATCH(1,(GMW!$NE$2:$NE$150=AO$3)*(GMW!$ND$2:$ND$150=AO$4)*(GMW!$NF$2:$NF$150=AO$1),0),$C205-1966)</f>
        <v>60887</v>
      </c>
      <c r="AP205" s="4" cm="1">
        <f t="array" ref="AP205">INDEX(GMW!$A$2:$NF$150,MATCH(1,(GMW!$NE$2:$NE$150=AP$3)*(GMW!$ND$2:$ND$150=AP$4)*(GMW!$NF$2:$NF$150=AP$1),0),$C205-1966)</f>
        <v>620906.80000000005</v>
      </c>
      <c r="AQ205" s="4" cm="1">
        <f t="array" ref="AQ205">INDEX(GMW!$A$2:$NF$150,MATCH(1,(GMW!$NE$2:$NE$150=AQ$3)*(GMW!$ND$2:$ND$150=AQ$4)*(GMW!$NF$2:$NF$150=AQ$1),0),$C205-1966)</f>
        <v>32780.54</v>
      </c>
      <c r="AR205" s="4" cm="1">
        <f t="array" ref="AR205">INDEX(GMW!$A$2:$NF$150,MATCH(1,(GMW!$NE$2:$NE$150=AR$3)*(GMW!$ND$2:$ND$150=AR$4)*(GMW!$NF$2:$NF$150=AR$1),0),$C205-1966)</f>
        <v>31.8</v>
      </c>
      <c r="AS205" s="4" cm="1">
        <f t="array" ref="AS205">INDEX(GMW!$A$2:$NF$150,MATCH(1,(GMW!$NE$2:$NE$150=AS$3)*(GMW!$ND$2:$ND$150=AS$4)*(GMW!$NF$2:$NF$150=AS$1),0),$C205-1966)</f>
        <v>591841.19999999995</v>
      </c>
      <c r="AT205" s="4" cm="1">
        <f t="array" ref="AT205">INDEX(GMW!$A$2:$NF$150,MATCH(1,(GMW!$NE$2:$NE$150=AT$3)*(GMW!$ND$2:$ND$150=AT$4)*(GMW!$NF$2:$NF$150=AT$1),0),$C205-1966)</f>
        <v>43364.39</v>
      </c>
      <c r="AU205" s="4" cm="1">
        <f t="array" ref="AU205">INDEX(GMW!$A$2:$NF$150,MATCH(1,(GMW!$NE$2:$NE$150=AU$3)*(GMW!$ND$2:$ND$150=AU$4)*(GMW!$NF$2:$NF$150=AU$1),0),$C205-1966)</f>
        <v>3242750</v>
      </c>
      <c r="AV205" s="4" cm="1">
        <f t="array" ref="AV205">INDEX(GMW!$A$2:$NF$150,MATCH(1,(GMW!$NE$2:$NE$150=AV$3)*(GMW!$ND$2:$ND$150=AV$4)*(GMW!$NF$2:$NF$150=AV$1),0),$C205-1966)</f>
        <v>-1.6980820000000001</v>
      </c>
    </row>
    <row r="206" spans="1:48" x14ac:dyDescent="0.25">
      <c r="B206" s="4">
        <f t="shared" si="10"/>
        <v>2022</v>
      </c>
      <c r="C206" s="4">
        <f t="shared" si="9"/>
        <v>2172</v>
      </c>
      <c r="D206" s="4" cm="1">
        <f t="array" ref="D206">INDEX(GMW!$A$2:$NF$150,MATCH(1,(GMW!$NE$2:$NE$150=D$3)*(GMW!$ND$2:$ND$150=D$4)*(GMW!$NF$2:$NF$150=D$1),0),$C206-1966)</f>
        <v>634044</v>
      </c>
      <c r="E206" s="4" cm="1">
        <f t="array" ref="E206">INDEX(GMW!$A$2:$NF$150,MATCH(1,(GMW!$NE$2:$NE$150=E$3)*(GMW!$ND$2:$ND$150=E$4)*(GMW!$NF$2:$NF$150=E$1),0),$C206-1966)</f>
        <v>126.7</v>
      </c>
      <c r="F206" s="4" cm="1">
        <f t="array" ref="F206">INDEX(GMW!$A$2:$NF$150,MATCH(1,(GMW!$NE$2:$NE$150=F$3)*(GMW!$ND$2:$ND$150=F$4)*(GMW!$NF$2:$NF$150=F$1),0),$C206-1966)</f>
        <v>226565</v>
      </c>
      <c r="G206" s="4" cm="1">
        <f t="array" ref="G206">INDEX(GMW!$A$2:$NF$150,MATCH(1,(GMW!$NE$2:$NE$150=G$3)*(GMW!$ND$2:$ND$150=G$4)*(GMW!$NF$2:$NF$150=G$1),0),$C206-1966)</f>
        <v>101136</v>
      </c>
      <c r="H206" s="4" cm="1">
        <f t="array" ref="H206">INDEX(GMW!$A$2:$NF$150,MATCH(1,(GMW!$NE$2:$NE$150=H$3)*(GMW!$ND$2:$ND$150=H$4)*(GMW!$NF$2:$NF$150=H$1),0),$C206-1966)</f>
        <v>220951</v>
      </c>
      <c r="I206" s="4" cm="1">
        <f t="array" ref="I206">INDEX(GMW!$A$2:$NF$150,MATCH(1,(GMW!$NE$2:$NE$150=I$3)*(GMW!$ND$2:$ND$150=I$4)*(GMW!$NF$2:$NF$150=I$1),0),$C206-1966)</f>
        <v>126036</v>
      </c>
      <c r="J206" s="4" cm="1">
        <f t="array" ref="J206">INDEX(GMW!$A$2:$NF$150,MATCH(1,(GMW!$NE$2:$NE$150=J$3)*(GMW!$ND$2:$ND$150=J$4)*(GMW!$NF$2:$NF$150=J$1),0),$C206-1966)</f>
        <v>111787</v>
      </c>
      <c r="K206" s="4" cm="1">
        <f t="array" ref="K206">INDEX(GMW!$A$2:$NF$150,MATCH(1,(GMW!$NE$2:$NE$150=K$3)*(GMW!$ND$2:$ND$150=K$4)*(GMW!$NF$2:$NF$150=K$1),0),$C206-1966)</f>
        <v>59248</v>
      </c>
      <c r="L206" s="4" cm="1">
        <f t="array" ref="L206">INDEX(GMW!$A$2:$NF$150,MATCH(1,(GMW!$NE$2:$NE$150=L$3)*(GMW!$ND$2:$ND$150=L$4)*(GMW!$NF$2:$NF$150=L$1),0),$C206-1966)</f>
        <v>624162.6</v>
      </c>
      <c r="M206" s="4" cm="1">
        <f t="array" ref="M206">INDEX(GMW!$A$2:$NF$150,MATCH(1,(GMW!$NE$2:$NE$150=M$3)*(GMW!$ND$2:$ND$150=M$4)*(GMW!$NF$2:$NF$150=M$1),0),$C206-1966)</f>
        <v>33052.89</v>
      </c>
      <c r="N206" s="4" cm="1">
        <f t="array" ref="N206">INDEX(GMW!$A$2:$NF$150,MATCH(1,(GMW!$NE$2:$NE$150=N$3)*(GMW!$ND$2:$ND$150=N$4)*(GMW!$NF$2:$NF$150=N$1),0),$C206-1966)</f>
        <v>31.7</v>
      </c>
      <c r="O206" s="4" cm="1">
        <f t="array" ref="O206">INDEX(GMW!$A$2:$NF$150,MATCH(1,(GMW!$NE$2:$NE$150=O$3)*(GMW!$ND$2:$ND$150=O$4)*(GMW!$NF$2:$NF$150=O$1),0),$C206-1966)</f>
        <v>594303.80000000005</v>
      </c>
      <c r="P206" s="4" cm="1">
        <f t="array" ref="P206">INDEX(GMW!$A$2:$NF$150,MATCH(1,(GMW!$NE$2:$NE$150=P$3)*(GMW!$ND$2:$ND$150=P$4)*(GMW!$NF$2:$NF$150=P$1),0),$C206-1966)</f>
        <v>43473.83</v>
      </c>
      <c r="Q206" s="4" cm="1">
        <f t="array" ref="Q206">INDEX(GMW!$A$2:$NF$150,MATCH(1,(GMW!$NE$2:$NE$150=Q$3)*(GMW!$ND$2:$ND$150=Q$4)*(GMW!$NF$2:$NF$150=Q$1),0),$C206-1966)</f>
        <v>3255000</v>
      </c>
      <c r="R206" s="4" cm="1">
        <f t="array" ref="R206">INDEX(GMW!$A$2:$NF$150,MATCH(1,(GMW!$NE$2:$NE$150=R$3)*(GMW!$ND$2:$ND$150=R$4)*(GMW!$NF$2:$NF$150=R$1),0),$C206-1966)</f>
        <v>-1.697997</v>
      </c>
      <c r="S206" s="4" cm="1">
        <f t="array" ref="S206">INDEX(GMW!$A$2:$NF$150,MATCH(1,(GMW!$NE$2:$NE$150=S$3)*(GMW!$ND$2:$ND$150=S$4)*(GMW!$NF$2:$NF$150=S$1),0),$C206-1966)</f>
        <v>634044</v>
      </c>
      <c r="T206" s="4" cm="1">
        <f t="array" ref="T206">INDEX(GMW!$A$2:$NF$150,MATCH(1,(GMW!$NE$2:$NE$150=T$3)*(GMW!$ND$2:$ND$150=T$4)*(GMW!$NF$2:$NF$150=T$1),0),$C206-1966)</f>
        <v>126.7</v>
      </c>
      <c r="U206" s="4" cm="1">
        <f t="array" ref="U206">INDEX(GMW!$A$2:$NF$150,MATCH(1,(GMW!$NE$2:$NE$150=U$3)*(GMW!$ND$2:$ND$150=U$4)*(GMW!$NF$2:$NF$150=U$1),0),$C206-1966)</f>
        <v>226565</v>
      </c>
      <c r="V206" s="4" cm="1">
        <f t="array" ref="V206">INDEX(GMW!$A$2:$NF$150,MATCH(1,(GMW!$NE$2:$NE$150=V$3)*(GMW!$ND$2:$ND$150=V$4)*(GMW!$NF$2:$NF$150=V$1),0),$C206-1966)</f>
        <v>101136</v>
      </c>
      <c r="W206" s="4" cm="1">
        <f t="array" ref="W206">INDEX(GMW!$A$2:$NF$150,MATCH(1,(GMW!$NE$2:$NE$150=W$3)*(GMW!$ND$2:$ND$150=W$4)*(GMW!$NF$2:$NF$150=W$1),0),$C206-1966)</f>
        <v>220951</v>
      </c>
      <c r="X206" s="4" cm="1">
        <f t="array" ref="X206">INDEX(GMW!$A$2:$NF$150,MATCH(1,(GMW!$NE$2:$NE$150=X$3)*(GMW!$ND$2:$ND$150=X$4)*(GMW!$NF$2:$NF$150=X$1),0),$C206-1966)</f>
        <v>126036</v>
      </c>
      <c r="Y206" s="4" cm="1">
        <f t="array" ref="Y206">INDEX(GMW!$A$2:$NF$150,MATCH(1,(GMW!$NE$2:$NE$150=Y$3)*(GMW!$ND$2:$ND$150=Y$4)*(GMW!$NF$2:$NF$150=Y$1),0),$C206-1966)</f>
        <v>111787</v>
      </c>
      <c r="Z206" s="4" cm="1">
        <f t="array" ref="Z206">INDEX(GMW!$A$2:$NF$150,MATCH(1,(GMW!$NE$2:$NE$150=Z$3)*(GMW!$ND$2:$ND$150=Z$4)*(GMW!$NF$2:$NF$150=Z$1),0),$C206-1966)</f>
        <v>59248</v>
      </c>
      <c r="AA206" s="4" cm="1">
        <f t="array" ref="AA206">INDEX(GMW!$A$2:$NF$150,MATCH(1,(GMW!$NE$2:$NE$150=AA$3)*(GMW!$ND$2:$ND$150=AA$4)*(GMW!$NF$2:$NF$150=AA$1),0),$C206-1966)</f>
        <v>624197.9</v>
      </c>
      <c r="AB206" s="4" cm="1">
        <f t="array" ref="AB206">INDEX(GMW!$A$2:$NF$150,MATCH(1,(GMW!$NE$2:$NE$150=AB$3)*(GMW!$ND$2:$ND$150=AB$4)*(GMW!$NF$2:$NF$150=AB$1),0),$C206-1966)</f>
        <v>33055.769999999997</v>
      </c>
      <c r="AC206" s="4" cm="1">
        <f t="array" ref="AC206">INDEX(GMW!$A$2:$NF$150,MATCH(1,(GMW!$NE$2:$NE$150=AC$3)*(GMW!$ND$2:$ND$150=AC$4)*(GMW!$NF$2:$NF$150=AC$1),0),$C206-1966)</f>
        <v>31.7</v>
      </c>
      <c r="AD206" s="4" cm="1">
        <f t="array" ref="AD206">INDEX(GMW!$A$2:$NF$150,MATCH(1,(GMW!$NE$2:$NE$150=AD$3)*(GMW!$ND$2:$ND$150=AD$4)*(GMW!$NF$2:$NF$150=AD$1),0),$C206-1966)</f>
        <v>594303.80000000005</v>
      </c>
      <c r="AE206" s="4" cm="1">
        <f t="array" ref="AE206">INDEX(GMW!$A$2:$NF$150,MATCH(1,(GMW!$NE$2:$NE$150=AE$3)*(GMW!$ND$2:$ND$150=AE$4)*(GMW!$NF$2:$NF$150=AE$1),0),$C206-1966)</f>
        <v>43473.83</v>
      </c>
      <c r="AF206" s="4" cm="1">
        <f t="array" ref="AF206">INDEX(GMW!$A$2:$NF$150,MATCH(1,(GMW!$NE$2:$NE$150=AF$3)*(GMW!$ND$2:$ND$150=AF$4)*(GMW!$NF$2:$NF$150=AF$1),0),$C206-1966)</f>
        <v>3255000</v>
      </c>
      <c r="AG206" s="4" cm="1">
        <f t="array" ref="AG206">INDEX(GMW!$A$2:$NF$150,MATCH(1,(GMW!$NE$2:$NE$150=AG$3)*(GMW!$ND$2:$ND$150=AG$4)*(GMW!$NF$2:$NF$150=AG$1),0),$C206-1966)</f>
        <v>-1.697997</v>
      </c>
      <c r="AH206" s="4" cm="1">
        <f t="array" ref="AH206">INDEX(GMW!$A$2:$NF$150,MATCH(1,(GMW!$NE$2:$NE$150=AH$3)*(GMW!$ND$2:$ND$150=AH$4)*(GMW!$NF$2:$NF$150=AH$1),0),$C206-1966)</f>
        <v>634044</v>
      </c>
      <c r="AI206" s="4" cm="1">
        <f t="array" ref="AI206">INDEX(GMW!$A$2:$NF$150,MATCH(1,(GMW!$NE$2:$NE$150=AI$3)*(GMW!$ND$2:$ND$150=AI$4)*(GMW!$NF$2:$NF$150=AI$1),0),$C206-1966)</f>
        <v>126.7</v>
      </c>
      <c r="AJ206" s="4" cm="1">
        <f t="array" ref="AJ206">INDEX(GMW!$A$2:$NF$150,MATCH(1,(GMW!$NE$2:$NE$150=AJ$3)*(GMW!$ND$2:$ND$150=AJ$4)*(GMW!$NF$2:$NF$150=AJ$1),0),$C206-1966)</f>
        <v>226565</v>
      </c>
      <c r="AK206" s="4" cm="1">
        <f t="array" ref="AK206">INDEX(GMW!$A$2:$NF$150,MATCH(1,(GMW!$NE$2:$NE$150=AK$3)*(GMW!$ND$2:$ND$150=AK$4)*(GMW!$NF$2:$NF$150=AK$1),0),$C206-1966)</f>
        <v>101136</v>
      </c>
      <c r="AL206" s="4" cm="1">
        <f t="array" ref="AL206">INDEX(GMW!$A$2:$NF$150,MATCH(1,(GMW!$NE$2:$NE$150=AL$3)*(GMW!$ND$2:$ND$150=AL$4)*(GMW!$NF$2:$NF$150=AL$1),0),$C206-1966)</f>
        <v>220951</v>
      </c>
      <c r="AM206" s="4" cm="1">
        <f t="array" ref="AM206">INDEX(GMW!$A$2:$NF$150,MATCH(1,(GMW!$NE$2:$NE$150=AM$3)*(GMW!$ND$2:$ND$150=AM$4)*(GMW!$NF$2:$NF$150=AM$1),0),$C206-1966)</f>
        <v>126036</v>
      </c>
      <c r="AN206" s="4" cm="1">
        <f t="array" ref="AN206">INDEX(GMW!$A$2:$NF$150,MATCH(1,(GMW!$NE$2:$NE$150=AN$3)*(GMW!$ND$2:$ND$150=AN$4)*(GMW!$NF$2:$NF$150=AN$1),0),$C206-1966)</f>
        <v>111787</v>
      </c>
      <c r="AO206" s="4" cm="1">
        <f t="array" ref="AO206">INDEX(GMW!$A$2:$NF$150,MATCH(1,(GMW!$NE$2:$NE$150=AO$3)*(GMW!$ND$2:$ND$150=AO$4)*(GMW!$NF$2:$NF$150=AO$1),0),$C206-1966)</f>
        <v>59248</v>
      </c>
      <c r="AP206" s="4" cm="1">
        <f t="array" ref="AP206">INDEX(GMW!$A$2:$NF$150,MATCH(1,(GMW!$NE$2:$NE$150=AP$3)*(GMW!$ND$2:$ND$150=AP$4)*(GMW!$NF$2:$NF$150=AP$1),0),$C206-1966)</f>
        <v>624197.9</v>
      </c>
      <c r="AQ206" s="4" cm="1">
        <f t="array" ref="AQ206">INDEX(GMW!$A$2:$NF$150,MATCH(1,(GMW!$NE$2:$NE$150=AQ$3)*(GMW!$ND$2:$ND$150=AQ$4)*(GMW!$NF$2:$NF$150=AQ$1),0),$C206-1966)</f>
        <v>33055.769999999997</v>
      </c>
      <c r="AR206" s="4" cm="1">
        <f t="array" ref="AR206">INDEX(GMW!$A$2:$NF$150,MATCH(1,(GMW!$NE$2:$NE$150=AR$3)*(GMW!$ND$2:$ND$150=AR$4)*(GMW!$NF$2:$NF$150=AR$1),0),$C206-1966)</f>
        <v>31.7</v>
      </c>
      <c r="AS206" s="4" cm="1">
        <f t="array" ref="AS206">INDEX(GMW!$A$2:$NF$150,MATCH(1,(GMW!$NE$2:$NE$150=AS$3)*(GMW!$ND$2:$ND$150=AS$4)*(GMW!$NF$2:$NF$150=AS$1),0),$C206-1966)</f>
        <v>594303.80000000005</v>
      </c>
      <c r="AT206" s="4" cm="1">
        <f t="array" ref="AT206">INDEX(GMW!$A$2:$NF$150,MATCH(1,(GMW!$NE$2:$NE$150=AT$3)*(GMW!$ND$2:$ND$150=AT$4)*(GMW!$NF$2:$NF$150=AT$1),0),$C206-1966)</f>
        <v>43473.83</v>
      </c>
      <c r="AU206" s="4" cm="1">
        <f t="array" ref="AU206">INDEX(GMW!$A$2:$NF$150,MATCH(1,(GMW!$NE$2:$NE$150=AU$3)*(GMW!$ND$2:$ND$150=AU$4)*(GMW!$NF$2:$NF$150=AU$1),0),$C206-1966)</f>
        <v>3255000</v>
      </c>
      <c r="AV206" s="4" cm="1">
        <f t="array" ref="AV206">INDEX(GMW!$A$2:$NF$150,MATCH(1,(GMW!$NE$2:$NE$150=AV$3)*(GMW!$ND$2:$ND$150=AV$4)*(GMW!$NF$2:$NF$150=AV$1),0),$C206-1966)</f>
        <v>-1.697997</v>
      </c>
    </row>
    <row r="207" spans="1:48" x14ac:dyDescent="0.25">
      <c r="A207" s="4">
        <v>2023</v>
      </c>
      <c r="B207" s="4">
        <f t="shared" si="10"/>
        <v>2023</v>
      </c>
      <c r="C207" s="4">
        <f t="shared" si="9"/>
        <v>2173</v>
      </c>
      <c r="D207" s="4" cm="1">
        <f t="array" ref="D207">INDEX(GMW!$A$2:$NF$150,MATCH(1,(GMW!$NE$2:$NE$150=D$3)*(GMW!$ND$2:$ND$150=D$4)*(GMW!$NF$2:$NF$150=D$1),0),$C207-1966)</f>
        <v>634428</v>
      </c>
      <c r="E207" s="4" cm="1">
        <f t="array" ref="E207">INDEX(GMW!$A$2:$NF$150,MATCH(1,(GMW!$NE$2:$NE$150=E$3)*(GMW!$ND$2:$ND$150=E$4)*(GMW!$NF$2:$NF$150=E$1),0),$C207-1966)</f>
        <v>127.7333</v>
      </c>
      <c r="F207" s="4" cm="1">
        <f t="array" ref="F207">INDEX(GMW!$A$2:$NF$150,MATCH(1,(GMW!$NE$2:$NE$150=F$3)*(GMW!$ND$2:$ND$150=F$4)*(GMW!$NF$2:$NF$150=F$1),0),$C207-1966)</f>
        <v>211150</v>
      </c>
      <c r="G207" s="4" cm="1">
        <f t="array" ref="G207">INDEX(GMW!$A$2:$NF$150,MATCH(1,(GMW!$NE$2:$NE$150=G$3)*(GMW!$ND$2:$ND$150=G$4)*(GMW!$NF$2:$NF$150=G$1),0),$C207-1966)</f>
        <v>87398</v>
      </c>
      <c r="H207" s="4" cm="1">
        <f t="array" ref="H207">INDEX(GMW!$A$2:$NF$150,MATCH(1,(GMW!$NE$2:$NE$150=H$3)*(GMW!$ND$2:$ND$150=H$4)*(GMW!$NF$2:$NF$150=H$1),0),$C207-1966)</f>
        <v>220520</v>
      </c>
      <c r="I207" s="4" cm="1">
        <f t="array" ref="I207">INDEX(GMW!$A$2:$NF$150,MATCH(1,(GMW!$NE$2:$NE$150=I$3)*(GMW!$ND$2:$ND$150=I$4)*(GMW!$NF$2:$NF$150=I$1),0),$C207-1966)</f>
        <v>125242</v>
      </c>
      <c r="J207" s="4" cm="1">
        <f t="array" ref="J207">INDEX(GMW!$A$2:$NF$150,MATCH(1,(GMW!$NE$2:$NE$150=J$3)*(GMW!$ND$2:$ND$150=J$4)*(GMW!$NF$2:$NF$150=J$1),0),$C207-1966)</f>
        <v>115027</v>
      </c>
      <c r="K207" s="4" cm="1">
        <f t="array" ref="K207">INDEX(GMW!$A$2:$NF$150,MATCH(1,(GMW!$NE$2:$NE$150=K$3)*(GMW!$ND$2:$ND$150=K$4)*(GMW!$NF$2:$NF$150=K$1),0),$C207-1966)</f>
        <v>62765</v>
      </c>
      <c r="L207" s="4" cm="1">
        <f t="array" ref="L207">INDEX(GMW!$A$2:$NF$150,MATCH(1,(GMW!$NE$2:$NE$150=L$3)*(GMW!$ND$2:$ND$150=L$4)*(GMW!$NF$2:$NF$150=L$1),0),$C207-1966)</f>
        <v>628265.6</v>
      </c>
      <c r="M207" s="4" cm="1">
        <f t="array" ref="M207">INDEX(GMW!$A$2:$NF$150,MATCH(1,(GMW!$NE$2:$NE$150=M$3)*(GMW!$ND$2:$ND$150=M$4)*(GMW!$NF$2:$NF$150=M$1),0),$C207-1966)</f>
        <v>33290.730000000003</v>
      </c>
      <c r="N207" s="4" cm="1">
        <f t="array" ref="N207">INDEX(GMW!$A$2:$NF$150,MATCH(1,(GMW!$NE$2:$NE$150=N$3)*(GMW!$ND$2:$ND$150=N$4)*(GMW!$NF$2:$NF$150=N$1),0),$C207-1966)</f>
        <v>31.7</v>
      </c>
      <c r="O207" s="4" cm="1">
        <f t="array" ref="O207">INDEX(GMW!$A$2:$NF$150,MATCH(1,(GMW!$NE$2:$NE$150=O$3)*(GMW!$ND$2:$ND$150=O$4)*(GMW!$NF$2:$NF$150=O$1),0),$C207-1966)</f>
        <v>596768</v>
      </c>
      <c r="P207" s="4" cm="1">
        <f t="array" ref="P207">INDEX(GMW!$A$2:$NF$150,MATCH(1,(GMW!$NE$2:$NE$150=P$3)*(GMW!$ND$2:$ND$150=P$4)*(GMW!$NF$2:$NF$150=P$1),0),$C207-1966)</f>
        <v>43583.26</v>
      </c>
      <c r="Q207" s="4" cm="1">
        <f t="array" ref="Q207">INDEX(GMW!$A$2:$NF$150,MATCH(1,(GMW!$NE$2:$NE$150=Q$3)*(GMW!$ND$2:$ND$150=Q$4)*(GMW!$NF$2:$NF$150=Q$1),0),$C207-1966)</f>
        <v>3266250</v>
      </c>
      <c r="R207" s="4" cm="1">
        <f t="array" ref="R207">INDEX(GMW!$A$2:$NF$150,MATCH(1,(GMW!$NE$2:$NE$150=R$3)*(GMW!$ND$2:$ND$150=R$4)*(GMW!$NF$2:$NF$150=R$1),0),$C207-1966)</f>
        <v>-1.6979120000000001</v>
      </c>
      <c r="S207" s="4" cm="1">
        <f t="array" ref="S207">INDEX(GMW!$A$2:$NF$150,MATCH(1,(GMW!$NE$2:$NE$150=S$3)*(GMW!$ND$2:$ND$150=S$4)*(GMW!$NF$2:$NF$150=S$1),0),$C207-1966)</f>
        <v>634807</v>
      </c>
      <c r="T207" s="4" cm="1">
        <f t="array" ref="T207">INDEX(GMW!$A$2:$NF$150,MATCH(1,(GMW!$NE$2:$NE$150=T$3)*(GMW!$ND$2:$ND$150=T$4)*(GMW!$NF$2:$NF$150=T$1),0),$C207-1966)</f>
        <v>127.7333</v>
      </c>
      <c r="U207" s="4" cm="1">
        <f t="array" ref="U207">INDEX(GMW!$A$2:$NF$150,MATCH(1,(GMW!$NE$2:$NE$150=U$3)*(GMW!$ND$2:$ND$150=U$4)*(GMW!$NF$2:$NF$150=U$1),0),$C207-1966)</f>
        <v>207779</v>
      </c>
      <c r="V207" s="4" cm="1">
        <f t="array" ref="V207">INDEX(GMW!$A$2:$NF$150,MATCH(1,(GMW!$NE$2:$NE$150=V$3)*(GMW!$ND$2:$ND$150=V$4)*(GMW!$NF$2:$NF$150=V$1),0),$C207-1966)</f>
        <v>87198</v>
      </c>
      <c r="W207" s="4" cm="1">
        <f t="array" ref="W207">INDEX(GMW!$A$2:$NF$150,MATCH(1,(GMW!$NE$2:$NE$150=W$3)*(GMW!$ND$2:$ND$150=W$4)*(GMW!$NF$2:$NF$150=W$1),0),$C207-1966)</f>
        <v>214716</v>
      </c>
      <c r="X207" s="4" cm="1">
        <f t="array" ref="X207">INDEX(GMW!$A$2:$NF$150,MATCH(1,(GMW!$NE$2:$NE$150=X$3)*(GMW!$ND$2:$ND$150=X$4)*(GMW!$NF$2:$NF$150=X$1),0),$C207-1966)</f>
        <v>119594</v>
      </c>
      <c r="Y207" s="4" cm="1">
        <f t="array" ref="Y207">INDEX(GMW!$A$2:$NF$150,MATCH(1,(GMW!$NE$2:$NE$150=Y$3)*(GMW!$ND$2:$ND$150=Y$4)*(GMW!$NF$2:$NF$150=Y$1),0),$C207-1966)</f>
        <v>114813</v>
      </c>
      <c r="Z207" s="4" cm="1">
        <f t="array" ref="Z207">INDEX(GMW!$A$2:$NF$150,MATCH(1,(GMW!$NE$2:$NE$150=Z$3)*(GMW!$ND$2:$ND$150=Z$4)*(GMW!$NF$2:$NF$150=Z$1),0),$C207-1966)</f>
        <v>62590</v>
      </c>
      <c r="AA207" s="4" cm="1">
        <f t="array" ref="AA207">INDEX(GMW!$A$2:$NF$150,MATCH(1,(GMW!$NE$2:$NE$150=AA$3)*(GMW!$ND$2:$ND$150=AA$4)*(GMW!$NF$2:$NF$150=AA$1),0),$C207-1966)</f>
        <v>628224.80000000005</v>
      </c>
      <c r="AB207" s="4" cm="1">
        <f t="array" ref="AB207">INDEX(GMW!$A$2:$NF$150,MATCH(1,(GMW!$NE$2:$NE$150=AB$3)*(GMW!$ND$2:$ND$150=AB$4)*(GMW!$NF$2:$NF$150=AB$1),0),$C207-1966)</f>
        <v>33283.050000000003</v>
      </c>
      <c r="AC207" s="4" cm="1">
        <f t="array" ref="AC207">INDEX(GMW!$A$2:$NF$150,MATCH(1,(GMW!$NE$2:$NE$150=AC$3)*(GMW!$ND$2:$ND$150=AC$4)*(GMW!$NF$2:$NF$150=AC$1),0),$C207-1966)</f>
        <v>31.7</v>
      </c>
      <c r="AD207" s="4" cm="1">
        <f t="array" ref="AD207">INDEX(GMW!$A$2:$NF$150,MATCH(1,(GMW!$NE$2:$NE$150=AD$3)*(GMW!$ND$2:$ND$150=AD$4)*(GMW!$NF$2:$NF$150=AD$1),0),$C207-1966)</f>
        <v>596768</v>
      </c>
      <c r="AE207" s="4" cm="1">
        <f t="array" ref="AE207">INDEX(GMW!$A$2:$NF$150,MATCH(1,(GMW!$NE$2:$NE$150=AE$3)*(GMW!$ND$2:$ND$150=AE$4)*(GMW!$NF$2:$NF$150=AE$1),0),$C207-1966)</f>
        <v>43583.26</v>
      </c>
      <c r="AF207" s="4" cm="1">
        <f t="array" ref="AF207">INDEX(GMW!$A$2:$NF$150,MATCH(1,(GMW!$NE$2:$NE$150=AF$3)*(GMW!$ND$2:$ND$150=AF$4)*(GMW!$NF$2:$NF$150=AF$1),0),$C207-1966)</f>
        <v>3266250</v>
      </c>
      <c r="AG207" s="4" cm="1">
        <f t="array" ref="AG207">INDEX(GMW!$A$2:$NF$150,MATCH(1,(GMW!$NE$2:$NE$150=AG$3)*(GMW!$ND$2:$ND$150=AG$4)*(GMW!$NF$2:$NF$150=AG$1),0),$C207-1966)</f>
        <v>-1.697827</v>
      </c>
      <c r="AH207" s="4" cm="1">
        <f t="array" ref="AH207">INDEX(GMW!$A$2:$NF$150,MATCH(1,(GMW!$NE$2:$NE$150=AH$3)*(GMW!$ND$2:$ND$150=AH$4)*(GMW!$NF$2:$NF$150=AH$1),0),$C207-1966)</f>
        <v>634807</v>
      </c>
      <c r="AI207" s="4" cm="1">
        <f t="array" ref="AI207">INDEX(GMW!$A$2:$NF$150,MATCH(1,(GMW!$NE$2:$NE$150=AI$3)*(GMW!$ND$2:$ND$150=AI$4)*(GMW!$NF$2:$NF$150=AI$1),0),$C207-1966)</f>
        <v>127.7333</v>
      </c>
      <c r="AJ207" s="4" cm="1">
        <f t="array" ref="AJ207">INDEX(GMW!$A$2:$NF$150,MATCH(1,(GMW!$NE$2:$NE$150=AJ$3)*(GMW!$ND$2:$ND$150=AJ$4)*(GMW!$NF$2:$NF$150=AJ$1),0),$C207-1966)</f>
        <v>207779</v>
      </c>
      <c r="AK207" s="4" cm="1">
        <f t="array" ref="AK207">INDEX(GMW!$A$2:$NF$150,MATCH(1,(GMW!$NE$2:$NE$150=AK$3)*(GMW!$ND$2:$ND$150=AK$4)*(GMW!$NF$2:$NF$150=AK$1),0),$C207-1966)</f>
        <v>87773</v>
      </c>
      <c r="AL207" s="4" cm="1">
        <f t="array" ref="AL207">INDEX(GMW!$A$2:$NF$150,MATCH(1,(GMW!$NE$2:$NE$150=AL$3)*(GMW!$ND$2:$ND$150=AL$4)*(GMW!$NF$2:$NF$150=AL$1),0),$C207-1966)</f>
        <v>214716</v>
      </c>
      <c r="AM207" s="4" cm="1">
        <f t="array" ref="AM207">INDEX(GMW!$A$2:$NF$150,MATCH(1,(GMW!$NE$2:$NE$150=AM$3)*(GMW!$ND$2:$ND$150=AM$4)*(GMW!$NF$2:$NF$150=AM$1),0),$C207-1966)</f>
        <v>119596</v>
      </c>
      <c r="AN207" s="4" cm="1">
        <f t="array" ref="AN207">INDEX(GMW!$A$2:$NF$150,MATCH(1,(GMW!$NE$2:$NE$150=AN$3)*(GMW!$ND$2:$ND$150=AN$4)*(GMW!$NF$2:$NF$150=AN$1),0),$C207-1966)</f>
        <v>114813</v>
      </c>
      <c r="AO207" s="4" cm="1">
        <f t="array" ref="AO207">INDEX(GMW!$A$2:$NF$150,MATCH(1,(GMW!$NE$2:$NE$150=AO$3)*(GMW!$ND$2:$ND$150=AO$4)*(GMW!$NF$2:$NF$150=AO$1),0),$C207-1966)</f>
        <v>62590</v>
      </c>
      <c r="AP207" s="4" cm="1">
        <f t="array" ref="AP207">INDEX(GMW!$A$2:$NF$150,MATCH(1,(GMW!$NE$2:$NE$150=AP$3)*(GMW!$ND$2:$ND$150=AP$4)*(GMW!$NF$2:$NF$150=AP$1),0),$C207-1966)</f>
        <v>628224.80000000005</v>
      </c>
      <c r="AQ207" s="4" cm="1">
        <f t="array" ref="AQ207">INDEX(GMW!$A$2:$NF$150,MATCH(1,(GMW!$NE$2:$NE$150=AQ$3)*(GMW!$ND$2:$ND$150=AQ$4)*(GMW!$NF$2:$NF$150=AQ$1),0),$C207-1966)</f>
        <v>33283.050000000003</v>
      </c>
      <c r="AR207" s="4" cm="1">
        <f t="array" ref="AR207">INDEX(GMW!$A$2:$NF$150,MATCH(1,(GMW!$NE$2:$NE$150=AR$3)*(GMW!$ND$2:$ND$150=AR$4)*(GMW!$NF$2:$NF$150=AR$1),0),$C207-1966)</f>
        <v>31.7</v>
      </c>
      <c r="AS207" s="4" cm="1">
        <f t="array" ref="AS207">INDEX(GMW!$A$2:$NF$150,MATCH(1,(GMW!$NE$2:$NE$150=AS$3)*(GMW!$ND$2:$ND$150=AS$4)*(GMW!$NF$2:$NF$150=AS$1),0),$C207-1966)</f>
        <v>596768</v>
      </c>
      <c r="AT207" s="4" cm="1">
        <f t="array" ref="AT207">INDEX(GMW!$A$2:$NF$150,MATCH(1,(GMW!$NE$2:$NE$150=AT$3)*(GMW!$ND$2:$ND$150=AT$4)*(GMW!$NF$2:$NF$150=AT$1),0),$C207-1966)</f>
        <v>43583.26</v>
      </c>
      <c r="AU207" s="4" cm="1">
        <f t="array" ref="AU207">INDEX(GMW!$A$2:$NF$150,MATCH(1,(GMW!$NE$2:$NE$150=AU$3)*(GMW!$ND$2:$ND$150=AU$4)*(GMW!$NF$2:$NF$150=AU$1),0),$C207-1966)</f>
        <v>3266250</v>
      </c>
      <c r="AV207" s="4" cm="1">
        <f t="array" ref="AV207">INDEX(GMW!$A$2:$NF$150,MATCH(1,(GMW!$NE$2:$NE$150=AV$3)*(GMW!$ND$2:$ND$150=AV$4)*(GMW!$NF$2:$NF$150=AV$1),0),$C207-1966)</f>
        <v>-1.697827</v>
      </c>
    </row>
    <row r="208" spans="1:48" x14ac:dyDescent="0.25">
      <c r="B208" s="4">
        <f t="shared" si="10"/>
        <v>2023</v>
      </c>
      <c r="C208" s="4">
        <f t="shared" si="9"/>
        <v>2174</v>
      </c>
      <c r="D208" s="4" cm="1">
        <f t="array" ref="D208">INDEX(GMW!$A$2:$NF$150,MATCH(1,(GMW!$NE$2:$NE$150=D$3)*(GMW!$ND$2:$ND$150=D$4)*(GMW!$NF$2:$NF$150=D$1),0),$C208-1966)</f>
        <v>634694</v>
      </c>
      <c r="E208" s="4" cm="1">
        <f t="array" ref="E208">INDEX(GMW!$A$2:$NF$150,MATCH(1,(GMW!$NE$2:$NE$150=E$3)*(GMW!$ND$2:$ND$150=E$4)*(GMW!$NF$2:$NF$150=E$1),0),$C208-1966)</f>
        <v>131.0667</v>
      </c>
      <c r="F208" s="4" cm="1">
        <f t="array" ref="F208">INDEX(GMW!$A$2:$NF$150,MATCH(1,(GMW!$NE$2:$NE$150=F$3)*(GMW!$ND$2:$ND$150=F$4)*(GMW!$NF$2:$NF$150=F$1),0),$C208-1966)</f>
        <v>211716</v>
      </c>
      <c r="G208" s="4" cm="1">
        <f t="array" ref="G208">INDEX(GMW!$A$2:$NF$150,MATCH(1,(GMW!$NE$2:$NE$150=G$3)*(GMW!$ND$2:$ND$150=G$4)*(GMW!$NF$2:$NF$150=G$1),0),$C208-1966)</f>
        <v>87193</v>
      </c>
      <c r="H208" s="4" cm="1">
        <f t="array" ref="H208">INDEX(GMW!$A$2:$NF$150,MATCH(1,(GMW!$NE$2:$NE$150=H$3)*(GMW!$ND$2:$ND$150=H$4)*(GMW!$NF$2:$NF$150=H$1),0),$C208-1966)</f>
        <v>223212</v>
      </c>
      <c r="I208" s="4" cm="1">
        <f t="array" ref="I208">INDEX(GMW!$A$2:$NF$150,MATCH(1,(GMW!$NE$2:$NE$150=I$3)*(GMW!$ND$2:$ND$150=I$4)*(GMW!$NF$2:$NF$150=I$1),0),$C208-1966)</f>
        <v>127028</v>
      </c>
      <c r="J208" s="4" cm="1">
        <f t="array" ref="J208">INDEX(GMW!$A$2:$NF$150,MATCH(1,(GMW!$NE$2:$NE$150=J$3)*(GMW!$ND$2:$ND$150=J$4)*(GMW!$NF$2:$NF$150=J$1),0),$C208-1966)</f>
        <v>113332</v>
      </c>
      <c r="K208" s="4" cm="1">
        <f t="array" ref="K208">INDEX(GMW!$A$2:$NF$150,MATCH(1,(GMW!$NE$2:$NE$150=K$3)*(GMW!$ND$2:$ND$150=K$4)*(GMW!$NF$2:$NF$150=K$1),0),$C208-1966)</f>
        <v>63006</v>
      </c>
      <c r="L208" s="4" cm="1">
        <f t="array" ref="L208">INDEX(GMW!$A$2:$NF$150,MATCH(1,(GMW!$NE$2:$NE$150=L$3)*(GMW!$ND$2:$ND$150=L$4)*(GMW!$NF$2:$NF$150=L$1),0),$C208-1966)</f>
        <v>629361.4</v>
      </c>
      <c r="M208" s="4" cm="1">
        <f t="array" ref="M208">INDEX(GMW!$A$2:$NF$150,MATCH(1,(GMW!$NE$2:$NE$150=M$3)*(GMW!$ND$2:$ND$150=M$4)*(GMW!$NF$2:$NF$150=M$1),0),$C208-1966)</f>
        <v>33394.300000000003</v>
      </c>
      <c r="N208" s="4" cm="1">
        <f t="array" ref="N208">INDEX(GMW!$A$2:$NF$150,MATCH(1,(GMW!$NE$2:$NE$150=N$3)*(GMW!$ND$2:$ND$150=N$4)*(GMW!$NF$2:$NF$150=N$1),0),$C208-1966)</f>
        <v>31.6</v>
      </c>
      <c r="O208" s="4" cm="1">
        <f t="array" ref="O208">INDEX(GMW!$A$2:$NF$150,MATCH(1,(GMW!$NE$2:$NE$150=O$3)*(GMW!$ND$2:$ND$150=O$4)*(GMW!$NF$2:$NF$150=O$1),0),$C208-1966)</f>
        <v>599234.1</v>
      </c>
      <c r="P208" s="4" cm="1">
        <f t="array" ref="P208">INDEX(GMW!$A$2:$NF$150,MATCH(1,(GMW!$NE$2:$NE$150=P$3)*(GMW!$ND$2:$ND$150=P$4)*(GMW!$NF$2:$NF$150=P$1),0),$C208-1966)</f>
        <v>43692.7</v>
      </c>
      <c r="Q208" s="4" cm="1">
        <f t="array" ref="Q208">INDEX(GMW!$A$2:$NF$150,MATCH(1,(GMW!$NE$2:$NE$150=Q$3)*(GMW!$ND$2:$ND$150=Q$4)*(GMW!$NF$2:$NF$150=Q$1),0),$C208-1966)</f>
        <v>3277500</v>
      </c>
      <c r="R208" s="4" cm="1">
        <f t="array" ref="R208">INDEX(GMW!$A$2:$NF$150,MATCH(1,(GMW!$NE$2:$NE$150=R$3)*(GMW!$ND$2:$ND$150=R$4)*(GMW!$NF$2:$NF$150=R$1),0),$C208-1966)</f>
        <v>-1.697827</v>
      </c>
      <c r="S208" s="4" cm="1">
        <f t="array" ref="S208">INDEX(GMW!$A$2:$NF$150,MATCH(1,(GMW!$NE$2:$NE$150=S$3)*(GMW!$ND$2:$ND$150=S$4)*(GMW!$NF$2:$NF$150=S$1),0),$C208-1966)</f>
        <v>634866</v>
      </c>
      <c r="T208" s="4" cm="1">
        <f t="array" ref="T208">INDEX(GMW!$A$2:$NF$150,MATCH(1,(GMW!$NE$2:$NE$150=T$3)*(GMW!$ND$2:$ND$150=T$4)*(GMW!$NF$2:$NF$150=T$1),0),$C208-1966)</f>
        <v>131.0667</v>
      </c>
      <c r="U208" s="4" cm="1">
        <f t="array" ref="U208">INDEX(GMW!$A$2:$NF$150,MATCH(1,(GMW!$NE$2:$NE$150=U$3)*(GMW!$ND$2:$ND$150=U$4)*(GMW!$NF$2:$NF$150=U$1),0),$C208-1966)</f>
        <v>206455</v>
      </c>
      <c r="V208" s="4" cm="1">
        <f t="array" ref="V208">INDEX(GMW!$A$2:$NF$150,MATCH(1,(GMW!$NE$2:$NE$150=V$3)*(GMW!$ND$2:$ND$150=V$4)*(GMW!$NF$2:$NF$150=V$1),0),$C208-1966)</f>
        <v>87228</v>
      </c>
      <c r="W208" s="4" cm="1">
        <f t="array" ref="W208">INDEX(GMW!$A$2:$NF$150,MATCH(1,(GMW!$NE$2:$NE$150=W$3)*(GMW!$ND$2:$ND$150=W$4)*(GMW!$NF$2:$NF$150=W$1),0),$C208-1966)</f>
        <v>216209</v>
      </c>
      <c r="X208" s="4" cm="1">
        <f t="array" ref="X208">INDEX(GMW!$A$2:$NF$150,MATCH(1,(GMW!$NE$2:$NE$150=X$3)*(GMW!$ND$2:$ND$150=X$4)*(GMW!$NF$2:$NF$150=X$1),0),$C208-1966)</f>
        <v>121649</v>
      </c>
      <c r="Y208" s="4" cm="1">
        <f t="array" ref="Y208">INDEX(GMW!$A$2:$NF$150,MATCH(1,(GMW!$NE$2:$NE$150=Y$3)*(GMW!$ND$2:$ND$150=Y$4)*(GMW!$NF$2:$NF$150=Y$1),0),$C208-1966)</f>
        <v>113461</v>
      </c>
      <c r="Z208" s="4" cm="1">
        <f t="array" ref="Z208">INDEX(GMW!$A$2:$NF$150,MATCH(1,(GMW!$NE$2:$NE$150=Z$3)*(GMW!$ND$2:$ND$150=Z$4)*(GMW!$NF$2:$NF$150=Z$1),0),$C208-1966)</f>
        <v>63199</v>
      </c>
      <c r="AA208" s="4" cm="1">
        <f t="array" ref="AA208">INDEX(GMW!$A$2:$NF$150,MATCH(1,(GMW!$NE$2:$NE$150=AA$3)*(GMW!$ND$2:$ND$150=AA$4)*(GMW!$NF$2:$NF$150=AA$1),0),$C208-1966)</f>
        <v>630809.5</v>
      </c>
      <c r="AB208" s="4" cm="1">
        <f t="array" ref="AB208">INDEX(GMW!$A$2:$NF$150,MATCH(1,(GMW!$NE$2:$NE$150=AB$3)*(GMW!$ND$2:$ND$150=AB$4)*(GMW!$NF$2:$NF$150=AB$1),0),$C208-1966)</f>
        <v>33398.129999999997</v>
      </c>
      <c r="AC208" s="4" cm="1">
        <f t="array" ref="AC208">INDEX(GMW!$A$2:$NF$150,MATCH(1,(GMW!$NE$2:$NE$150=AC$3)*(GMW!$ND$2:$ND$150=AC$4)*(GMW!$NF$2:$NF$150=AC$1),0),$C208-1966)</f>
        <v>31.7</v>
      </c>
      <c r="AD208" s="4" cm="1">
        <f t="array" ref="AD208">INDEX(GMW!$A$2:$NF$150,MATCH(1,(GMW!$NE$2:$NE$150=AD$3)*(GMW!$ND$2:$ND$150=AD$4)*(GMW!$NF$2:$NF$150=AD$1),0),$C208-1966)</f>
        <v>599234.1</v>
      </c>
      <c r="AE208" s="4" cm="1">
        <f t="array" ref="AE208">INDEX(GMW!$A$2:$NF$150,MATCH(1,(GMW!$NE$2:$NE$150=AE$3)*(GMW!$ND$2:$ND$150=AE$4)*(GMW!$NF$2:$NF$150=AE$1),0),$C208-1966)</f>
        <v>43692.7</v>
      </c>
      <c r="AF208" s="4" cm="1">
        <f t="array" ref="AF208">INDEX(GMW!$A$2:$NF$150,MATCH(1,(GMW!$NE$2:$NE$150=AF$3)*(GMW!$ND$2:$ND$150=AF$4)*(GMW!$NF$2:$NF$150=AF$1),0),$C208-1966)</f>
        <v>3277500</v>
      </c>
      <c r="AG208" s="4" cm="1">
        <f t="array" ref="AG208">INDEX(GMW!$A$2:$NF$150,MATCH(1,(GMW!$NE$2:$NE$150=AG$3)*(GMW!$ND$2:$ND$150=AG$4)*(GMW!$NF$2:$NF$150=AG$1),0),$C208-1966)</f>
        <v>-1.6976579999999999</v>
      </c>
      <c r="AH208" s="4" cm="1">
        <f t="array" ref="AH208">INDEX(GMW!$A$2:$NF$150,MATCH(1,(GMW!$NE$2:$NE$150=AH$3)*(GMW!$ND$2:$ND$150=AH$4)*(GMW!$NF$2:$NF$150=AH$1),0),$C208-1966)</f>
        <v>634866</v>
      </c>
      <c r="AI208" s="4" cm="1">
        <f t="array" ref="AI208">INDEX(GMW!$A$2:$NF$150,MATCH(1,(GMW!$NE$2:$NE$150=AI$3)*(GMW!$ND$2:$ND$150=AI$4)*(GMW!$NF$2:$NF$150=AI$1),0),$C208-1966)</f>
        <v>131.0667</v>
      </c>
      <c r="AJ208" s="4" cm="1">
        <f t="array" ref="AJ208">INDEX(GMW!$A$2:$NF$150,MATCH(1,(GMW!$NE$2:$NE$150=AJ$3)*(GMW!$ND$2:$ND$150=AJ$4)*(GMW!$NF$2:$NF$150=AJ$1),0),$C208-1966)</f>
        <v>206455</v>
      </c>
      <c r="AK208" s="4" cm="1">
        <f t="array" ref="AK208">INDEX(GMW!$A$2:$NF$150,MATCH(1,(GMW!$NE$2:$NE$150=AK$3)*(GMW!$ND$2:$ND$150=AK$4)*(GMW!$NF$2:$NF$150=AK$1),0),$C208-1966)</f>
        <v>87565</v>
      </c>
      <c r="AL208" s="4" cm="1">
        <f t="array" ref="AL208">INDEX(GMW!$A$2:$NF$150,MATCH(1,(GMW!$NE$2:$NE$150=AL$3)*(GMW!$ND$2:$ND$150=AL$4)*(GMW!$NF$2:$NF$150=AL$1),0),$C208-1966)</f>
        <v>216209</v>
      </c>
      <c r="AM208" s="4" cm="1">
        <f t="array" ref="AM208">INDEX(GMW!$A$2:$NF$150,MATCH(1,(GMW!$NE$2:$NE$150=AM$3)*(GMW!$ND$2:$ND$150=AM$4)*(GMW!$NF$2:$NF$150=AM$1),0),$C208-1966)</f>
        <v>121782</v>
      </c>
      <c r="AN208" s="4" cm="1">
        <f t="array" ref="AN208">INDEX(GMW!$A$2:$NF$150,MATCH(1,(GMW!$NE$2:$NE$150=AN$3)*(GMW!$ND$2:$ND$150=AN$4)*(GMW!$NF$2:$NF$150=AN$1),0),$C208-1966)</f>
        <v>113461</v>
      </c>
      <c r="AO208" s="4" cm="1">
        <f t="array" ref="AO208">INDEX(GMW!$A$2:$NF$150,MATCH(1,(GMW!$NE$2:$NE$150=AO$3)*(GMW!$ND$2:$ND$150=AO$4)*(GMW!$NF$2:$NF$150=AO$1),0),$C208-1966)</f>
        <v>63199</v>
      </c>
      <c r="AP208" s="4" cm="1">
        <f t="array" ref="AP208">INDEX(GMW!$A$2:$NF$150,MATCH(1,(GMW!$NE$2:$NE$150=AP$3)*(GMW!$ND$2:$ND$150=AP$4)*(GMW!$NF$2:$NF$150=AP$1),0),$C208-1966)</f>
        <v>630809.5</v>
      </c>
      <c r="AQ208" s="4" cm="1">
        <f t="array" ref="AQ208">INDEX(GMW!$A$2:$NF$150,MATCH(1,(GMW!$NE$2:$NE$150=AQ$3)*(GMW!$ND$2:$ND$150=AQ$4)*(GMW!$NF$2:$NF$150=AQ$1),0),$C208-1966)</f>
        <v>33398.129999999997</v>
      </c>
      <c r="AR208" s="4" cm="1">
        <f t="array" ref="AR208">INDEX(GMW!$A$2:$NF$150,MATCH(1,(GMW!$NE$2:$NE$150=AR$3)*(GMW!$ND$2:$ND$150=AR$4)*(GMW!$NF$2:$NF$150=AR$1),0),$C208-1966)</f>
        <v>31.7</v>
      </c>
      <c r="AS208" s="4" cm="1">
        <f t="array" ref="AS208">INDEX(GMW!$A$2:$NF$150,MATCH(1,(GMW!$NE$2:$NE$150=AS$3)*(GMW!$ND$2:$ND$150=AS$4)*(GMW!$NF$2:$NF$150=AS$1),0),$C208-1966)</f>
        <v>599234.1</v>
      </c>
      <c r="AT208" s="4" cm="1">
        <f t="array" ref="AT208">INDEX(GMW!$A$2:$NF$150,MATCH(1,(GMW!$NE$2:$NE$150=AT$3)*(GMW!$ND$2:$ND$150=AT$4)*(GMW!$NF$2:$NF$150=AT$1),0),$C208-1966)</f>
        <v>43692.7</v>
      </c>
      <c r="AU208" s="4" cm="1">
        <f t="array" ref="AU208">INDEX(GMW!$A$2:$NF$150,MATCH(1,(GMW!$NE$2:$NE$150=AU$3)*(GMW!$ND$2:$ND$150=AU$4)*(GMW!$NF$2:$NF$150=AU$1),0),$C208-1966)</f>
        <v>3277500</v>
      </c>
      <c r="AV208" s="4" cm="1">
        <f t="array" ref="AV208">INDEX(GMW!$A$2:$NF$150,MATCH(1,(GMW!$NE$2:$NE$150=AV$3)*(GMW!$ND$2:$ND$150=AV$4)*(GMW!$NF$2:$NF$150=AV$1),0),$C208-1966)</f>
        <v>-1.6976579999999999</v>
      </c>
    </row>
    <row r="209" spans="1:48" x14ac:dyDescent="0.25">
      <c r="B209" s="4">
        <f t="shared" si="10"/>
        <v>2023</v>
      </c>
      <c r="C209" s="4">
        <f t="shared" si="9"/>
        <v>2175</v>
      </c>
      <c r="D209" s="4" cm="1">
        <f t="array" ref="D209">INDEX(GMW!$A$2:$NF$150,MATCH(1,(GMW!$NE$2:$NE$150=D$3)*(GMW!$ND$2:$ND$150=D$4)*(GMW!$NF$2:$NF$150=D$1),0),$C209-1966)</f>
        <v>634327</v>
      </c>
      <c r="E209" s="4" cm="1">
        <f t="array" ref="E209">INDEX(GMW!$A$2:$NF$150,MATCH(1,(GMW!$NE$2:$NE$150=E$3)*(GMW!$ND$2:$ND$150=E$4)*(GMW!$NF$2:$NF$150=E$1),0),$C209-1966)</f>
        <v>131.4</v>
      </c>
      <c r="F209" s="4" cm="1">
        <f t="array" ref="F209">INDEX(GMW!$A$2:$NF$150,MATCH(1,(GMW!$NE$2:$NE$150=F$3)*(GMW!$ND$2:$ND$150=F$4)*(GMW!$NF$2:$NF$150=F$1),0),$C209-1966)</f>
        <v>209440</v>
      </c>
      <c r="G209" s="4" cm="1">
        <f t="array" ref="G209">INDEX(GMW!$A$2:$NF$150,MATCH(1,(GMW!$NE$2:$NE$150=G$3)*(GMW!$ND$2:$ND$150=G$4)*(GMW!$NF$2:$NF$150=G$1),0),$C209-1966)</f>
        <v>83160</v>
      </c>
      <c r="H209" s="4" cm="1">
        <f t="array" ref="H209">INDEX(GMW!$A$2:$NF$150,MATCH(1,(GMW!$NE$2:$NE$150=H$3)*(GMW!$ND$2:$ND$150=H$4)*(GMW!$NF$2:$NF$150=H$1),0),$C209-1966)</f>
        <v>217677</v>
      </c>
      <c r="I209" s="4" cm="1">
        <f t="array" ref="I209">INDEX(GMW!$A$2:$NF$150,MATCH(1,(GMW!$NE$2:$NE$150=I$3)*(GMW!$ND$2:$ND$150=I$4)*(GMW!$NF$2:$NF$150=I$1),0),$C209-1966)</f>
        <v>122809</v>
      </c>
      <c r="J209" s="4" cm="1">
        <f t="array" ref="J209">INDEX(GMW!$A$2:$NF$150,MATCH(1,(GMW!$NE$2:$NE$150=J$3)*(GMW!$ND$2:$ND$150=J$4)*(GMW!$NF$2:$NF$150=J$1),0),$C209-1966)</f>
        <v>111560</v>
      </c>
      <c r="K209" s="4" cm="1">
        <f t="array" ref="K209">INDEX(GMW!$A$2:$NF$150,MATCH(1,(GMW!$NE$2:$NE$150=K$3)*(GMW!$ND$2:$ND$150=K$4)*(GMW!$NF$2:$NF$150=K$1),0),$C209-1966)</f>
        <v>61551</v>
      </c>
      <c r="L209" s="4" cm="1">
        <f t="array" ref="L209">INDEX(GMW!$A$2:$NF$150,MATCH(1,(GMW!$NE$2:$NE$150=L$3)*(GMW!$ND$2:$ND$150=L$4)*(GMW!$NF$2:$NF$150=L$1),0),$C209-1966)</f>
        <v>628663.1</v>
      </c>
      <c r="M209" s="4" cm="1">
        <f t="array" ref="M209">INDEX(GMW!$A$2:$NF$150,MATCH(1,(GMW!$NE$2:$NE$150=M$3)*(GMW!$ND$2:$ND$150=M$4)*(GMW!$NF$2:$NF$150=M$1),0),$C209-1966)</f>
        <v>33352.1</v>
      </c>
      <c r="N209" s="4" cm="1">
        <f t="array" ref="N209">INDEX(GMW!$A$2:$NF$150,MATCH(1,(GMW!$NE$2:$NE$150=N$3)*(GMW!$ND$2:$ND$150=N$4)*(GMW!$NF$2:$NF$150=N$1),0),$C209-1966)</f>
        <v>31.5</v>
      </c>
      <c r="O209" s="4" cm="1">
        <f t="array" ref="O209">INDEX(GMW!$A$2:$NF$150,MATCH(1,(GMW!$NE$2:$NE$150=O$3)*(GMW!$ND$2:$ND$150=O$4)*(GMW!$NF$2:$NF$150=O$1),0),$C209-1966)</f>
        <v>602787.80000000005</v>
      </c>
      <c r="P209" s="4" cm="1">
        <f t="array" ref="P209">INDEX(GMW!$A$2:$NF$150,MATCH(1,(GMW!$NE$2:$NE$150=P$3)*(GMW!$ND$2:$ND$150=P$4)*(GMW!$NF$2:$NF$150=P$1),0),$C209-1966)</f>
        <v>43881.21</v>
      </c>
      <c r="Q209" s="4" cm="1">
        <f t="array" ref="Q209">INDEX(GMW!$A$2:$NF$150,MATCH(1,(GMW!$NE$2:$NE$150=Q$3)*(GMW!$ND$2:$ND$150=Q$4)*(GMW!$NF$2:$NF$150=Q$1),0),$C209-1966)</f>
        <v>3288750</v>
      </c>
      <c r="R209" s="4" cm="1">
        <f t="array" ref="R209">INDEX(GMW!$A$2:$NF$150,MATCH(1,(GMW!$NE$2:$NE$150=R$3)*(GMW!$ND$2:$ND$150=R$4)*(GMW!$NF$2:$NF$150=R$1),0),$C209-1966)</f>
        <v>-1.6977420000000001</v>
      </c>
      <c r="S209" s="4" cm="1">
        <f t="array" ref="S209">INDEX(GMW!$A$2:$NF$150,MATCH(1,(GMW!$NE$2:$NE$150=S$3)*(GMW!$ND$2:$ND$150=S$4)*(GMW!$NF$2:$NF$150=S$1),0),$C209-1966)</f>
        <v>634052</v>
      </c>
      <c r="T209" s="4" cm="1">
        <f t="array" ref="T209">INDEX(GMW!$A$2:$NF$150,MATCH(1,(GMW!$NE$2:$NE$150=T$3)*(GMW!$ND$2:$ND$150=T$4)*(GMW!$NF$2:$NF$150=T$1),0),$C209-1966)</f>
        <v>131.4</v>
      </c>
      <c r="U209" s="4" cm="1">
        <f t="array" ref="U209">INDEX(GMW!$A$2:$NF$150,MATCH(1,(GMW!$NE$2:$NE$150=U$3)*(GMW!$ND$2:$ND$150=U$4)*(GMW!$NF$2:$NF$150=U$1),0),$C209-1966)</f>
        <v>202563</v>
      </c>
      <c r="V209" s="4" cm="1">
        <f t="array" ref="V209">INDEX(GMW!$A$2:$NF$150,MATCH(1,(GMW!$NE$2:$NE$150=V$3)*(GMW!$ND$2:$ND$150=V$4)*(GMW!$NF$2:$NF$150=V$1),0),$C209-1966)</f>
        <v>83531</v>
      </c>
      <c r="W209" s="4" cm="1">
        <f t="array" ref="W209">INDEX(GMW!$A$2:$NF$150,MATCH(1,(GMW!$NE$2:$NE$150=W$3)*(GMW!$ND$2:$ND$150=W$4)*(GMW!$NF$2:$NF$150=W$1),0),$C209-1966)</f>
        <v>210205</v>
      </c>
      <c r="X209" s="4" cm="1">
        <f t="array" ref="X209">INDEX(GMW!$A$2:$NF$150,MATCH(1,(GMW!$NE$2:$NE$150=X$3)*(GMW!$ND$2:$ND$150=X$4)*(GMW!$NF$2:$NF$150=X$1),0),$C209-1966)</f>
        <v>117435</v>
      </c>
      <c r="Y209" s="4" cm="1">
        <f t="array" ref="Y209">INDEX(GMW!$A$2:$NF$150,MATCH(1,(GMW!$NE$2:$NE$150=Y$3)*(GMW!$ND$2:$ND$150=Y$4)*(GMW!$NF$2:$NF$150=Y$1),0),$C209-1966)</f>
        <v>111648</v>
      </c>
      <c r="Z209" s="4" cm="1">
        <f t="array" ref="Z209">INDEX(GMW!$A$2:$NF$150,MATCH(1,(GMW!$NE$2:$NE$150=Z$3)*(GMW!$ND$2:$ND$150=Z$4)*(GMW!$NF$2:$NF$150=Z$1),0),$C209-1966)</f>
        <v>61724</v>
      </c>
      <c r="AA209" s="4" cm="1">
        <f t="array" ref="AA209">INDEX(GMW!$A$2:$NF$150,MATCH(1,(GMW!$NE$2:$NE$150=AA$3)*(GMW!$ND$2:$ND$150=AA$4)*(GMW!$NF$2:$NF$150=AA$1),0),$C209-1966)</f>
        <v>628564.19999999995</v>
      </c>
      <c r="AB209" s="4" cm="1">
        <f t="array" ref="AB209">INDEX(GMW!$A$2:$NF$150,MATCH(1,(GMW!$NE$2:$NE$150=AB$3)*(GMW!$ND$2:$ND$150=AB$4)*(GMW!$NF$2:$NF$150=AB$1),0),$C209-1966)</f>
        <v>33331</v>
      </c>
      <c r="AC209" s="4" cm="1">
        <f t="array" ref="AC209">INDEX(GMW!$A$2:$NF$150,MATCH(1,(GMW!$NE$2:$NE$150=AC$3)*(GMW!$ND$2:$ND$150=AC$4)*(GMW!$NF$2:$NF$150=AC$1),0),$C209-1966)</f>
        <v>31.5</v>
      </c>
      <c r="AD209" s="4" cm="1">
        <f t="array" ref="AD209">INDEX(GMW!$A$2:$NF$150,MATCH(1,(GMW!$NE$2:$NE$150=AD$3)*(GMW!$ND$2:$ND$150=AD$4)*(GMW!$NF$2:$NF$150=AD$1),0),$C209-1966)</f>
        <v>602787.80000000005</v>
      </c>
      <c r="AE209" s="4" cm="1">
        <f t="array" ref="AE209">INDEX(GMW!$A$2:$NF$150,MATCH(1,(GMW!$NE$2:$NE$150=AE$3)*(GMW!$ND$2:$ND$150=AE$4)*(GMW!$NF$2:$NF$150=AE$1),0),$C209-1966)</f>
        <v>43881.21</v>
      </c>
      <c r="AF209" s="4" cm="1">
        <f t="array" ref="AF209">INDEX(GMW!$A$2:$NF$150,MATCH(1,(GMW!$NE$2:$NE$150=AF$3)*(GMW!$ND$2:$ND$150=AF$4)*(GMW!$NF$2:$NF$150=AF$1),0),$C209-1966)</f>
        <v>3288750</v>
      </c>
      <c r="AG209" s="4" cm="1">
        <f t="array" ref="AG209">INDEX(GMW!$A$2:$NF$150,MATCH(1,(GMW!$NE$2:$NE$150=AG$3)*(GMW!$ND$2:$ND$150=AG$4)*(GMW!$NF$2:$NF$150=AG$1),0),$C209-1966)</f>
        <v>-1.6974880000000001</v>
      </c>
      <c r="AH209" s="4" cm="1">
        <f t="array" ref="AH209">INDEX(GMW!$A$2:$NF$150,MATCH(1,(GMW!$NE$2:$NE$150=AH$3)*(GMW!$ND$2:$ND$150=AH$4)*(GMW!$NF$2:$NF$150=AH$1),0),$C209-1966)</f>
        <v>634052</v>
      </c>
      <c r="AI209" s="4" cm="1">
        <f t="array" ref="AI209">INDEX(GMW!$A$2:$NF$150,MATCH(1,(GMW!$NE$2:$NE$150=AI$3)*(GMW!$ND$2:$ND$150=AI$4)*(GMW!$NF$2:$NF$150=AI$1),0),$C209-1966)</f>
        <v>131.4</v>
      </c>
      <c r="AJ209" s="4" cm="1">
        <f t="array" ref="AJ209">INDEX(GMW!$A$2:$NF$150,MATCH(1,(GMW!$NE$2:$NE$150=AJ$3)*(GMW!$ND$2:$ND$150=AJ$4)*(GMW!$NF$2:$NF$150=AJ$1),0),$C209-1966)</f>
        <v>202563</v>
      </c>
      <c r="AK209" s="4" cm="1">
        <f t="array" ref="AK209">INDEX(GMW!$A$2:$NF$150,MATCH(1,(GMW!$NE$2:$NE$150=AK$3)*(GMW!$ND$2:$ND$150=AK$4)*(GMW!$NF$2:$NF$150=AK$1),0),$C209-1966)</f>
        <v>83540</v>
      </c>
      <c r="AL209" s="4" cm="1">
        <f t="array" ref="AL209">INDEX(GMW!$A$2:$NF$150,MATCH(1,(GMW!$NE$2:$NE$150=AL$3)*(GMW!$ND$2:$ND$150=AL$4)*(GMW!$NF$2:$NF$150=AL$1),0),$C209-1966)</f>
        <v>210205</v>
      </c>
      <c r="AM209" s="4" cm="1">
        <f t="array" ref="AM209">INDEX(GMW!$A$2:$NF$150,MATCH(1,(GMW!$NE$2:$NE$150=AM$3)*(GMW!$ND$2:$ND$150=AM$4)*(GMW!$NF$2:$NF$150=AM$1),0),$C209-1966)</f>
        <v>117076</v>
      </c>
      <c r="AN209" s="4" cm="1">
        <f t="array" ref="AN209">INDEX(GMW!$A$2:$NF$150,MATCH(1,(GMW!$NE$2:$NE$150=AN$3)*(GMW!$ND$2:$ND$150=AN$4)*(GMW!$NF$2:$NF$150=AN$1),0),$C209-1966)</f>
        <v>111648</v>
      </c>
      <c r="AO209" s="4" cm="1">
        <f t="array" ref="AO209">INDEX(GMW!$A$2:$NF$150,MATCH(1,(GMW!$NE$2:$NE$150=AO$3)*(GMW!$ND$2:$ND$150=AO$4)*(GMW!$NF$2:$NF$150=AO$1),0),$C209-1966)</f>
        <v>61724</v>
      </c>
      <c r="AP209" s="4" cm="1">
        <f t="array" ref="AP209">INDEX(GMW!$A$2:$NF$150,MATCH(1,(GMW!$NE$2:$NE$150=AP$3)*(GMW!$ND$2:$ND$150=AP$4)*(GMW!$NF$2:$NF$150=AP$1),0),$C209-1966)</f>
        <v>628563.6</v>
      </c>
      <c r="AQ209" s="4" cm="1">
        <f t="array" ref="AQ209">INDEX(GMW!$A$2:$NF$150,MATCH(1,(GMW!$NE$2:$NE$150=AQ$3)*(GMW!$ND$2:$ND$150=AQ$4)*(GMW!$NF$2:$NF$150=AQ$1),0),$C209-1966)</f>
        <v>33331</v>
      </c>
      <c r="AR209" s="4" cm="1">
        <f t="array" ref="AR209">INDEX(GMW!$A$2:$NF$150,MATCH(1,(GMW!$NE$2:$NE$150=AR$3)*(GMW!$ND$2:$ND$150=AR$4)*(GMW!$NF$2:$NF$150=AR$1),0),$C209-1966)</f>
        <v>31.5</v>
      </c>
      <c r="AS209" s="4" cm="1">
        <f t="array" ref="AS209">INDEX(GMW!$A$2:$NF$150,MATCH(1,(GMW!$NE$2:$NE$150=AS$3)*(GMW!$ND$2:$ND$150=AS$4)*(GMW!$NF$2:$NF$150=AS$1),0),$C209-1966)</f>
        <v>603046.40000000002</v>
      </c>
      <c r="AT209" s="4" cm="1">
        <f t="array" ref="AT209">INDEX(GMW!$A$2:$NF$150,MATCH(1,(GMW!$NE$2:$NE$150=AT$3)*(GMW!$ND$2:$ND$150=AT$4)*(GMW!$NF$2:$NF$150=AT$1),0),$C209-1966)</f>
        <v>43900.07</v>
      </c>
      <c r="AU209" s="4" cm="1">
        <f t="array" ref="AU209">INDEX(GMW!$A$2:$NF$150,MATCH(1,(GMW!$NE$2:$NE$150=AU$3)*(GMW!$ND$2:$ND$150=AU$4)*(GMW!$NF$2:$NF$150=AU$1),0),$C209-1966)</f>
        <v>3288750</v>
      </c>
      <c r="AV209" s="4" cm="1">
        <f t="array" ref="AV209">INDEX(GMW!$A$2:$NF$150,MATCH(1,(GMW!$NE$2:$NE$150=AV$3)*(GMW!$ND$2:$ND$150=AV$4)*(GMW!$NF$2:$NF$150=AV$1),0),$C209-1966)</f>
        <v>-1.6974880000000001</v>
      </c>
    </row>
    <row r="210" spans="1:48" x14ac:dyDescent="0.25">
      <c r="B210" s="4">
        <f t="shared" si="10"/>
        <v>2023</v>
      </c>
      <c r="C210" s="4">
        <f t="shared" si="9"/>
        <v>2176</v>
      </c>
      <c r="D210" s="4" cm="1">
        <f t="array" ref="D210">INDEX(GMW!$A$2:$NF$150,MATCH(1,(GMW!$NE$2:$NE$150=D$3)*(GMW!$ND$2:$ND$150=D$4)*(GMW!$NF$2:$NF$150=D$1),0),$C210-1966)</f>
        <v>633011</v>
      </c>
      <c r="E210" s="4" cm="1">
        <f t="array" ref="E210">INDEX(GMW!$A$2:$NF$150,MATCH(1,(GMW!$NE$2:$NE$150=E$3)*(GMW!$ND$2:$ND$150=E$4)*(GMW!$NF$2:$NF$150=E$1),0),$C210-1966)</f>
        <v>131.9667</v>
      </c>
      <c r="F210" s="4" cm="1">
        <f t="array" ref="F210">INDEX(GMW!$A$2:$NF$150,MATCH(1,(GMW!$NE$2:$NE$150=F$3)*(GMW!$ND$2:$ND$150=F$4)*(GMW!$NF$2:$NF$150=F$1),0),$C210-1966)</f>
        <v>212201</v>
      </c>
      <c r="G210" s="4" cm="1">
        <f t="array" ref="G210">INDEX(GMW!$A$2:$NF$150,MATCH(1,(GMW!$NE$2:$NE$150=G$3)*(GMW!$ND$2:$ND$150=G$4)*(GMW!$NF$2:$NF$150=G$1),0),$C210-1966)</f>
        <v>86003</v>
      </c>
      <c r="H210" s="4" cm="1">
        <f t="array" ref="H210">INDEX(GMW!$A$2:$NF$150,MATCH(1,(GMW!$NE$2:$NE$150=H$3)*(GMW!$ND$2:$ND$150=H$4)*(GMW!$NF$2:$NF$150=H$1),0),$C210-1966)</f>
        <v>219773</v>
      </c>
      <c r="I210" s="4" cm="1">
        <f t="array" ref="I210">INDEX(GMW!$A$2:$NF$150,MATCH(1,(GMW!$NE$2:$NE$150=I$3)*(GMW!$ND$2:$ND$150=I$4)*(GMW!$NF$2:$NF$150=I$1),0),$C210-1966)</f>
        <v>121837</v>
      </c>
      <c r="J210" s="4" cm="1">
        <f t="array" ref="J210">INDEX(GMW!$A$2:$NF$150,MATCH(1,(GMW!$NE$2:$NE$150=J$3)*(GMW!$ND$2:$ND$150=J$4)*(GMW!$NF$2:$NF$150=J$1),0),$C210-1966)</f>
        <v>112596</v>
      </c>
      <c r="K210" s="4" cm="1">
        <f t="array" ref="K210">INDEX(GMW!$A$2:$NF$150,MATCH(1,(GMW!$NE$2:$NE$150=K$3)*(GMW!$ND$2:$ND$150=K$4)*(GMW!$NF$2:$NF$150=K$1),0),$C210-1966)</f>
        <v>62681</v>
      </c>
      <c r="L210" s="4" cm="1">
        <f t="array" ref="L210">INDEX(GMW!$A$2:$NF$150,MATCH(1,(GMW!$NE$2:$NE$150=L$3)*(GMW!$ND$2:$ND$150=L$4)*(GMW!$NF$2:$NF$150=L$1),0),$C210-1966)</f>
        <v>631659.5</v>
      </c>
      <c r="M210" s="4" cm="1">
        <f t="array" ref="M210">INDEX(GMW!$A$2:$NF$150,MATCH(1,(GMW!$NE$2:$NE$150=M$3)*(GMW!$ND$2:$ND$150=M$4)*(GMW!$NF$2:$NF$150=M$1),0),$C210-1966)</f>
        <v>33294.559999999998</v>
      </c>
      <c r="N210" s="4" cm="1">
        <f t="array" ref="N210">INDEX(GMW!$A$2:$NF$150,MATCH(1,(GMW!$NE$2:$NE$150=N$3)*(GMW!$ND$2:$ND$150=N$4)*(GMW!$NF$2:$NF$150=N$1),0),$C210-1966)</f>
        <v>31.7</v>
      </c>
      <c r="O210" s="4" cm="1">
        <f t="array" ref="O210">INDEX(GMW!$A$2:$NF$150,MATCH(1,(GMW!$NE$2:$NE$150=O$3)*(GMW!$ND$2:$ND$150=O$4)*(GMW!$NF$2:$NF$150=O$1),0),$C210-1966)</f>
        <v>606344.4</v>
      </c>
      <c r="P210" s="4" cm="1">
        <f t="array" ref="P210">INDEX(GMW!$A$2:$NF$150,MATCH(1,(GMW!$NE$2:$NE$150=P$3)*(GMW!$ND$2:$ND$150=P$4)*(GMW!$NF$2:$NF$150=P$1),0),$C210-1966)</f>
        <v>44069.59</v>
      </c>
      <c r="Q210" s="4" cm="1">
        <f t="array" ref="Q210">INDEX(GMW!$A$2:$NF$150,MATCH(1,(GMW!$NE$2:$NE$150=Q$3)*(GMW!$ND$2:$ND$150=Q$4)*(GMW!$NF$2:$NF$150=Q$1),0),$C210-1966)</f>
        <v>3300000</v>
      </c>
      <c r="R210" s="4" cm="1">
        <f t="array" ref="R210">INDEX(GMW!$A$2:$NF$150,MATCH(1,(GMW!$NE$2:$NE$150=R$3)*(GMW!$ND$2:$ND$150=R$4)*(GMW!$NF$2:$NF$150=R$1),0),$C210-1966)</f>
        <v>-1.697657</v>
      </c>
      <c r="S210" s="4" cm="1">
        <f t="array" ref="S210">INDEX(GMW!$A$2:$NF$150,MATCH(1,(GMW!$NE$2:$NE$150=S$3)*(GMW!$ND$2:$ND$150=S$4)*(GMW!$NF$2:$NF$150=S$1),0),$C210-1966)</f>
        <v>632365</v>
      </c>
      <c r="T210" s="4" cm="1">
        <f t="array" ref="T210">INDEX(GMW!$A$2:$NF$150,MATCH(1,(GMW!$NE$2:$NE$150=T$3)*(GMW!$ND$2:$ND$150=T$4)*(GMW!$NF$2:$NF$150=T$1),0),$C210-1966)</f>
        <v>131.9667</v>
      </c>
      <c r="U210" s="4" cm="1">
        <f t="array" ref="U210">INDEX(GMW!$A$2:$NF$150,MATCH(1,(GMW!$NE$2:$NE$150=U$3)*(GMW!$ND$2:$ND$150=U$4)*(GMW!$NF$2:$NF$150=U$1),0),$C210-1966)</f>
        <v>204388</v>
      </c>
      <c r="V210" s="4" cm="1">
        <f t="array" ref="V210">INDEX(GMW!$A$2:$NF$150,MATCH(1,(GMW!$NE$2:$NE$150=V$3)*(GMW!$ND$2:$ND$150=V$4)*(GMW!$NF$2:$NF$150=V$1),0),$C210-1966)</f>
        <v>85834</v>
      </c>
      <c r="W210" s="4" cm="1">
        <f t="array" ref="W210">INDEX(GMW!$A$2:$NF$150,MATCH(1,(GMW!$NE$2:$NE$150=W$3)*(GMW!$ND$2:$ND$150=W$4)*(GMW!$NF$2:$NF$150=W$1),0),$C210-1966)</f>
        <v>211333</v>
      </c>
      <c r="X210" s="4" cm="1">
        <f t="array" ref="X210">INDEX(GMW!$A$2:$NF$150,MATCH(1,(GMW!$NE$2:$NE$150=X$3)*(GMW!$ND$2:$ND$150=X$4)*(GMW!$NF$2:$NF$150=X$1),0),$C210-1966)</f>
        <v>116004</v>
      </c>
      <c r="Y210" s="4" cm="1">
        <f t="array" ref="Y210">INDEX(GMW!$A$2:$NF$150,MATCH(1,(GMW!$NE$2:$NE$150=Y$3)*(GMW!$ND$2:$ND$150=Y$4)*(GMW!$NF$2:$NF$150=Y$1),0),$C210-1966)</f>
        <v>112622</v>
      </c>
      <c r="Z210" s="4" cm="1">
        <f t="array" ref="Z210">INDEX(GMW!$A$2:$NF$150,MATCH(1,(GMW!$NE$2:$NE$150=Z$3)*(GMW!$ND$2:$ND$150=Z$4)*(GMW!$NF$2:$NF$150=Z$1),0),$C210-1966)</f>
        <v>62795</v>
      </c>
      <c r="AA210" s="4" cm="1">
        <f t="array" ref="AA210">INDEX(GMW!$A$2:$NF$150,MATCH(1,(GMW!$NE$2:$NE$150=AA$3)*(GMW!$ND$2:$ND$150=AA$4)*(GMW!$NF$2:$NF$150=AA$1),0),$C210-1966)</f>
        <v>630612.80000000005</v>
      </c>
      <c r="AB210" s="4" cm="1">
        <f t="array" ref="AB210">INDEX(GMW!$A$2:$NF$150,MATCH(1,(GMW!$NE$2:$NE$150=AB$3)*(GMW!$ND$2:$ND$150=AB$4)*(GMW!$NF$2:$NF$150=AB$1),0),$C210-1966)</f>
        <v>33297.440000000002</v>
      </c>
      <c r="AC210" s="4" cm="1">
        <f t="array" ref="AC210">INDEX(GMW!$A$2:$NF$150,MATCH(1,(GMW!$NE$2:$NE$150=AC$3)*(GMW!$ND$2:$ND$150=AC$4)*(GMW!$NF$2:$NF$150=AC$1),0),$C210-1966)</f>
        <v>31.6</v>
      </c>
      <c r="AD210" s="4" cm="1">
        <f t="array" ref="AD210">INDEX(GMW!$A$2:$NF$150,MATCH(1,(GMW!$NE$2:$NE$150=AD$3)*(GMW!$ND$2:$ND$150=AD$4)*(GMW!$NF$2:$NF$150=AD$1),0),$C210-1966)</f>
        <v>606344.4</v>
      </c>
      <c r="AE210" s="4" cm="1">
        <f t="array" ref="AE210">INDEX(GMW!$A$2:$NF$150,MATCH(1,(GMW!$NE$2:$NE$150=AE$3)*(GMW!$ND$2:$ND$150=AE$4)*(GMW!$NF$2:$NF$150=AE$1),0),$C210-1966)</f>
        <v>44069.59</v>
      </c>
      <c r="AF210" s="4" cm="1">
        <f t="array" ref="AF210">INDEX(GMW!$A$2:$NF$150,MATCH(1,(GMW!$NE$2:$NE$150=AF$3)*(GMW!$ND$2:$ND$150=AF$4)*(GMW!$NF$2:$NF$150=AF$1),0),$C210-1966)</f>
        <v>3300000</v>
      </c>
      <c r="AG210" s="4" cm="1">
        <f t="array" ref="AG210">INDEX(GMW!$A$2:$NF$150,MATCH(1,(GMW!$NE$2:$NE$150=AG$3)*(GMW!$ND$2:$ND$150=AG$4)*(GMW!$NF$2:$NF$150=AG$1),0),$C210-1966)</f>
        <v>-1.6973180000000001</v>
      </c>
      <c r="AH210" s="4" cm="1">
        <f t="array" ref="AH210">INDEX(GMW!$A$2:$NF$150,MATCH(1,(GMW!$NE$2:$NE$150=AH$3)*(GMW!$ND$2:$ND$150=AH$4)*(GMW!$NF$2:$NF$150=AH$1),0),$C210-1966)</f>
        <v>632365</v>
      </c>
      <c r="AI210" s="4" cm="1">
        <f t="array" ref="AI210">INDEX(GMW!$A$2:$NF$150,MATCH(1,(GMW!$NE$2:$NE$150=AI$3)*(GMW!$ND$2:$ND$150=AI$4)*(GMW!$NF$2:$NF$150=AI$1),0),$C210-1966)</f>
        <v>131.9667</v>
      </c>
      <c r="AJ210" s="4" cm="1">
        <f t="array" ref="AJ210">INDEX(GMW!$A$2:$NF$150,MATCH(1,(GMW!$NE$2:$NE$150=AJ$3)*(GMW!$ND$2:$ND$150=AJ$4)*(GMW!$NF$2:$NF$150=AJ$1),0),$C210-1966)</f>
        <v>204388</v>
      </c>
      <c r="AK210" s="4" cm="1">
        <f t="array" ref="AK210">INDEX(GMW!$A$2:$NF$150,MATCH(1,(GMW!$NE$2:$NE$150=AK$3)*(GMW!$ND$2:$ND$150=AK$4)*(GMW!$NF$2:$NF$150=AK$1),0),$C210-1966)</f>
        <v>85942</v>
      </c>
      <c r="AL210" s="4" cm="1">
        <f t="array" ref="AL210">INDEX(GMW!$A$2:$NF$150,MATCH(1,(GMW!$NE$2:$NE$150=AL$3)*(GMW!$ND$2:$ND$150=AL$4)*(GMW!$NF$2:$NF$150=AL$1),0),$C210-1966)</f>
        <v>211333</v>
      </c>
      <c r="AM210" s="4" cm="1">
        <f t="array" ref="AM210">INDEX(GMW!$A$2:$NF$150,MATCH(1,(GMW!$NE$2:$NE$150=AM$3)*(GMW!$ND$2:$ND$150=AM$4)*(GMW!$NF$2:$NF$150=AM$1),0),$C210-1966)</f>
        <v>115852</v>
      </c>
      <c r="AN210" s="4" cm="1">
        <f t="array" ref="AN210">INDEX(GMW!$A$2:$NF$150,MATCH(1,(GMW!$NE$2:$NE$150=AN$3)*(GMW!$ND$2:$ND$150=AN$4)*(GMW!$NF$2:$NF$150=AN$1),0),$C210-1966)</f>
        <v>112622</v>
      </c>
      <c r="AO210" s="4" cm="1">
        <f t="array" ref="AO210">INDEX(GMW!$A$2:$NF$150,MATCH(1,(GMW!$NE$2:$NE$150=AO$3)*(GMW!$ND$2:$ND$150=AO$4)*(GMW!$NF$2:$NF$150=AO$1),0),$C210-1966)</f>
        <v>62795</v>
      </c>
      <c r="AP210" s="4" cm="1">
        <f t="array" ref="AP210">INDEX(GMW!$A$2:$NF$150,MATCH(1,(GMW!$NE$2:$NE$150=AP$3)*(GMW!$ND$2:$ND$150=AP$4)*(GMW!$NF$2:$NF$150=AP$1),0),$C210-1966)</f>
        <v>630611.6</v>
      </c>
      <c r="AQ210" s="4" cm="1">
        <f t="array" ref="AQ210">INDEX(GMW!$A$2:$NF$150,MATCH(1,(GMW!$NE$2:$NE$150=AQ$3)*(GMW!$ND$2:$ND$150=AQ$4)*(GMW!$NF$2:$NF$150=AQ$1),0),$C210-1966)</f>
        <v>33297.440000000002</v>
      </c>
      <c r="AR210" s="4" cm="1">
        <f t="array" ref="AR210">INDEX(GMW!$A$2:$NF$150,MATCH(1,(GMW!$NE$2:$NE$150=AR$3)*(GMW!$ND$2:$ND$150=AR$4)*(GMW!$NF$2:$NF$150=AR$1),0),$C210-1966)</f>
        <v>31.6</v>
      </c>
      <c r="AS210" s="4" cm="1">
        <f t="array" ref="AS210">INDEX(GMW!$A$2:$NF$150,MATCH(1,(GMW!$NE$2:$NE$150=AS$3)*(GMW!$ND$2:$ND$150=AS$4)*(GMW!$NF$2:$NF$150=AS$1),0),$C210-1966)</f>
        <v>606862.6</v>
      </c>
      <c r="AT210" s="4" cm="1">
        <f t="array" ref="AT210">INDEX(GMW!$A$2:$NF$150,MATCH(1,(GMW!$NE$2:$NE$150=AT$3)*(GMW!$ND$2:$ND$150=AT$4)*(GMW!$NF$2:$NF$150=AT$1),0),$C210-1966)</f>
        <v>44107.32</v>
      </c>
      <c r="AU210" s="4" cm="1">
        <f t="array" ref="AU210">INDEX(GMW!$A$2:$NF$150,MATCH(1,(GMW!$NE$2:$NE$150=AU$3)*(GMW!$ND$2:$ND$150=AU$4)*(GMW!$NF$2:$NF$150=AU$1),0),$C210-1966)</f>
        <v>3300000</v>
      </c>
      <c r="AV210" s="4" cm="1">
        <f t="array" ref="AV210">INDEX(GMW!$A$2:$NF$150,MATCH(1,(GMW!$NE$2:$NE$150=AV$3)*(GMW!$ND$2:$ND$150=AV$4)*(GMW!$NF$2:$NF$150=AV$1),0),$C210-1966)</f>
        <v>-1.6973180000000001</v>
      </c>
    </row>
    <row r="211" spans="1:48" x14ac:dyDescent="0.25">
      <c r="A211" s="4">
        <v>2024</v>
      </c>
      <c r="B211" s="4">
        <f t="shared" si="10"/>
        <v>2024</v>
      </c>
      <c r="C211" s="4">
        <f t="shared" si="9"/>
        <v>2177</v>
      </c>
      <c r="D211" s="4" cm="1">
        <f t="array" ref="D211">INDEX(GMW!$A$2:$NF$150,MATCH(1,(GMW!$NE$2:$NE$150=D$3)*(GMW!$ND$2:$ND$150=D$4)*(GMW!$NF$2:$NF$150=D$1),0),$C211-1966)</f>
        <v>638746</v>
      </c>
      <c r="E211" s="4" cm="1">
        <f t="array" ref="E211">INDEX(GMW!$A$2:$NF$150,MATCH(1,(GMW!$NE$2:$NE$150=E$3)*(GMW!$ND$2:$ND$150=E$4)*(GMW!$NF$2:$NF$150=E$1),0),$C211-1966)</f>
        <v>132.26669999999999</v>
      </c>
      <c r="F211" s="4" cm="1">
        <f t="array" ref="F211">INDEX(GMW!$A$2:$NF$150,MATCH(1,(GMW!$NE$2:$NE$150=F$3)*(GMW!$ND$2:$ND$150=F$4)*(GMW!$NF$2:$NF$150=F$1),0),$C211-1966)</f>
        <v>212549</v>
      </c>
      <c r="G211" s="4" cm="1">
        <f t="array" ref="G211">INDEX(GMW!$A$2:$NF$150,MATCH(1,(GMW!$NE$2:$NE$150=G$3)*(GMW!$ND$2:$ND$150=G$4)*(GMW!$NF$2:$NF$150=G$1),0),$C211-1966)</f>
        <v>82999</v>
      </c>
      <c r="H211" s="4" cm="1">
        <f t="array" ref="H211">INDEX(GMW!$A$2:$NF$150,MATCH(1,(GMW!$NE$2:$NE$150=H$3)*(GMW!$ND$2:$ND$150=H$4)*(GMW!$NF$2:$NF$150=H$1),0),$C211-1966)</f>
        <v>218879</v>
      </c>
      <c r="I211" s="4" cm="1">
        <f t="array" ref="I211">INDEX(GMW!$A$2:$NF$150,MATCH(1,(GMW!$NE$2:$NE$150=I$3)*(GMW!$ND$2:$ND$150=I$4)*(GMW!$NF$2:$NF$150=I$1),0),$C211-1966)</f>
        <v>120434</v>
      </c>
      <c r="J211" s="4" cm="1">
        <f t="array" ref="J211">INDEX(GMW!$A$2:$NF$150,MATCH(1,(GMW!$NE$2:$NE$150=J$3)*(GMW!$ND$2:$ND$150=J$4)*(GMW!$NF$2:$NF$150=J$1),0),$C211-1966)</f>
        <v>113453</v>
      </c>
      <c r="K211" s="4" cm="1">
        <f t="array" ref="K211">INDEX(GMW!$A$2:$NF$150,MATCH(1,(GMW!$NE$2:$NE$150=K$3)*(GMW!$ND$2:$ND$150=K$4)*(GMW!$NF$2:$NF$150=K$1),0),$C211-1966)</f>
        <v>62527</v>
      </c>
      <c r="L211" s="4" cm="1">
        <f t="array" ref="L211">INDEX(GMW!$A$2:$NF$150,MATCH(1,(GMW!$NE$2:$NE$150=L$3)*(GMW!$ND$2:$ND$150=L$4)*(GMW!$NF$2:$NF$150=L$1),0),$C211-1966)</f>
        <v>638150.9</v>
      </c>
      <c r="M211" s="4" cm="1">
        <f t="array" ref="M211">INDEX(GMW!$A$2:$NF$150,MATCH(1,(GMW!$NE$2:$NE$150=M$3)*(GMW!$ND$2:$ND$150=M$4)*(GMW!$NF$2:$NF$150=M$1),0),$C211-1966)</f>
        <v>33419.230000000003</v>
      </c>
      <c r="N211" s="4" cm="1">
        <f t="array" ref="N211">INDEX(GMW!$A$2:$NF$150,MATCH(1,(GMW!$NE$2:$NE$150=N$3)*(GMW!$ND$2:$ND$150=N$4)*(GMW!$NF$2:$NF$150=N$1),0),$C211-1966)</f>
        <v>32</v>
      </c>
      <c r="O211" s="4" cm="1">
        <f t="array" ref="O211">INDEX(GMW!$A$2:$NF$150,MATCH(1,(GMW!$NE$2:$NE$150=O$3)*(GMW!$ND$2:$ND$150=O$4)*(GMW!$NF$2:$NF$150=O$1),0),$C211-1966)</f>
        <v>609906.30000000005</v>
      </c>
      <c r="P211" s="4" cm="1">
        <f t="array" ref="P211">INDEX(GMW!$A$2:$NF$150,MATCH(1,(GMW!$NE$2:$NE$150=P$3)*(GMW!$ND$2:$ND$150=P$4)*(GMW!$NF$2:$NF$150=P$1),0),$C211-1966)</f>
        <v>44257.98</v>
      </c>
      <c r="Q211" s="4" cm="1">
        <f t="array" ref="Q211">INDEX(GMW!$A$2:$NF$150,MATCH(1,(GMW!$NE$2:$NE$150=Q$3)*(GMW!$ND$2:$ND$150=Q$4)*(GMW!$NF$2:$NF$150=Q$1),0),$C211-1966)</f>
        <v>3309858</v>
      </c>
      <c r="R211" s="4" cm="1">
        <f t="array" ref="R211">INDEX(GMW!$A$2:$NF$150,MATCH(1,(GMW!$NE$2:$NE$150=R$3)*(GMW!$ND$2:$ND$150=R$4)*(GMW!$NF$2:$NF$150=R$1),0),$C211-1966)</f>
        <v>-1.697657</v>
      </c>
      <c r="S211" s="4" cm="1">
        <f t="array" ref="S211">INDEX(GMW!$A$2:$NF$150,MATCH(1,(GMW!$NE$2:$NE$150=S$3)*(GMW!$ND$2:$ND$150=S$4)*(GMW!$NF$2:$NF$150=S$1),0),$C211-1966)</f>
        <v>637729</v>
      </c>
      <c r="T211" s="4" cm="1">
        <f t="array" ref="T211">INDEX(GMW!$A$2:$NF$150,MATCH(1,(GMW!$NE$2:$NE$150=T$3)*(GMW!$ND$2:$ND$150=T$4)*(GMW!$NF$2:$NF$150=T$1),0),$C211-1966)</f>
        <v>132.26669999999999</v>
      </c>
      <c r="U211" s="4" cm="1">
        <f t="array" ref="U211">INDEX(GMW!$A$2:$NF$150,MATCH(1,(GMW!$NE$2:$NE$150=U$3)*(GMW!$ND$2:$ND$150=U$4)*(GMW!$NF$2:$NF$150=U$1),0),$C211-1966)</f>
        <v>204633</v>
      </c>
      <c r="V211" s="4" cm="1">
        <f t="array" ref="V211">INDEX(GMW!$A$2:$NF$150,MATCH(1,(GMW!$NE$2:$NE$150=V$3)*(GMW!$ND$2:$ND$150=V$4)*(GMW!$NF$2:$NF$150=V$1),0),$C211-1966)</f>
        <v>82683</v>
      </c>
      <c r="W211" s="4" cm="1">
        <f t="array" ref="W211">INDEX(GMW!$A$2:$NF$150,MATCH(1,(GMW!$NE$2:$NE$150=W$3)*(GMW!$ND$2:$ND$150=W$4)*(GMW!$NF$2:$NF$150=W$1),0),$C211-1966)</f>
        <v>209539</v>
      </c>
      <c r="X211" s="4" cm="1">
        <f t="array" ref="X211">INDEX(GMW!$A$2:$NF$150,MATCH(1,(GMW!$NE$2:$NE$150=X$3)*(GMW!$ND$2:$ND$150=X$4)*(GMW!$NF$2:$NF$150=X$1),0),$C211-1966)</f>
        <v>114831</v>
      </c>
      <c r="Y211" s="4" cm="1">
        <f t="array" ref="Y211">INDEX(GMW!$A$2:$NF$150,MATCH(1,(GMW!$NE$2:$NE$150=Y$3)*(GMW!$ND$2:$ND$150=Y$4)*(GMW!$NF$2:$NF$150=Y$1),0),$C211-1966)</f>
        <v>113684</v>
      </c>
      <c r="Z211" s="4" cm="1">
        <f t="array" ref="Z211">INDEX(GMW!$A$2:$NF$150,MATCH(1,(GMW!$NE$2:$NE$150=Z$3)*(GMW!$ND$2:$ND$150=Z$4)*(GMW!$NF$2:$NF$150=Z$1),0),$C211-1966)</f>
        <v>62349</v>
      </c>
      <c r="AA211" s="4" cm="1">
        <f t="array" ref="AA211">INDEX(GMW!$A$2:$NF$150,MATCH(1,(GMW!$NE$2:$NE$150=AA$3)*(GMW!$ND$2:$ND$150=AA$4)*(GMW!$NF$2:$NF$150=AA$1),0),$C211-1966)</f>
        <v>638391.4</v>
      </c>
      <c r="AB211" s="4" cm="1">
        <f t="array" ref="AB211">INDEX(GMW!$A$2:$NF$150,MATCH(1,(GMW!$NE$2:$NE$150=AB$3)*(GMW!$ND$2:$ND$150=AB$4)*(GMW!$NF$2:$NF$150=AB$1),0),$C211-1966)</f>
        <v>33412.519999999997</v>
      </c>
      <c r="AC211" s="4" cm="1">
        <f t="array" ref="AC211">INDEX(GMW!$A$2:$NF$150,MATCH(1,(GMW!$NE$2:$NE$150=AC$3)*(GMW!$ND$2:$ND$150=AC$4)*(GMW!$NF$2:$NF$150=AC$1),0),$C211-1966)</f>
        <v>32</v>
      </c>
      <c r="AD211" s="4" cm="1">
        <f t="array" ref="AD211">INDEX(GMW!$A$2:$NF$150,MATCH(1,(GMW!$NE$2:$NE$150=AD$3)*(GMW!$ND$2:$ND$150=AD$4)*(GMW!$NF$2:$NF$150=AD$1),0),$C211-1966)</f>
        <v>609906.30000000005</v>
      </c>
      <c r="AE211" s="4" cm="1">
        <f t="array" ref="AE211">INDEX(GMW!$A$2:$NF$150,MATCH(1,(GMW!$NE$2:$NE$150=AE$3)*(GMW!$ND$2:$ND$150=AE$4)*(GMW!$NF$2:$NF$150=AE$1),0),$C211-1966)</f>
        <v>44257.98</v>
      </c>
      <c r="AF211" s="4" cm="1">
        <f t="array" ref="AF211">INDEX(GMW!$A$2:$NF$150,MATCH(1,(GMW!$NE$2:$NE$150=AF$3)*(GMW!$ND$2:$ND$150=AF$4)*(GMW!$NF$2:$NF$150=AF$1),0),$C211-1966)</f>
        <v>3310114</v>
      </c>
      <c r="AG211" s="4" cm="1">
        <f t="array" ref="AG211">INDEX(GMW!$A$2:$NF$150,MATCH(1,(GMW!$NE$2:$NE$150=AG$3)*(GMW!$ND$2:$ND$150=AG$4)*(GMW!$NF$2:$NF$150=AG$1),0),$C211-1966)</f>
        <v>-1.697149</v>
      </c>
      <c r="AH211" s="4" cm="1">
        <f t="array" ref="AH211">INDEX(GMW!$A$2:$NF$150,MATCH(1,(GMW!$NE$2:$NE$150=AH$3)*(GMW!$ND$2:$ND$150=AH$4)*(GMW!$NF$2:$NF$150=AH$1),0),$C211-1966)</f>
        <v>637023</v>
      </c>
      <c r="AI211" s="4" cm="1">
        <f t="array" ref="AI211">INDEX(GMW!$A$2:$NF$150,MATCH(1,(GMW!$NE$2:$NE$150=AI$3)*(GMW!$ND$2:$ND$150=AI$4)*(GMW!$NF$2:$NF$150=AI$1),0),$C211-1966)</f>
        <v>132.26669999999999</v>
      </c>
      <c r="AJ211" s="4" cm="1">
        <f t="array" ref="AJ211">INDEX(GMW!$A$2:$NF$150,MATCH(1,(GMW!$NE$2:$NE$150=AJ$3)*(GMW!$ND$2:$ND$150=AJ$4)*(GMW!$NF$2:$NF$150=AJ$1),0),$C211-1966)</f>
        <v>203465</v>
      </c>
      <c r="AK211" s="4" cm="1">
        <f t="array" ref="AK211">INDEX(GMW!$A$2:$NF$150,MATCH(1,(GMW!$NE$2:$NE$150=AK$3)*(GMW!$ND$2:$ND$150=AK$4)*(GMW!$NF$2:$NF$150=AK$1),0),$C211-1966)</f>
        <v>83080</v>
      </c>
      <c r="AL211" s="4" cm="1">
        <f t="array" ref="AL211">INDEX(GMW!$A$2:$NF$150,MATCH(1,(GMW!$NE$2:$NE$150=AL$3)*(GMW!$ND$2:$ND$150=AL$4)*(GMW!$NF$2:$NF$150=AL$1),0),$C211-1966)</f>
        <v>209546</v>
      </c>
      <c r="AM211" s="4" cm="1">
        <f t="array" ref="AM211">INDEX(GMW!$A$2:$NF$150,MATCH(1,(GMW!$NE$2:$NE$150=AM$3)*(GMW!$ND$2:$ND$150=AM$4)*(GMW!$NF$2:$NF$150=AM$1),0),$C211-1966)</f>
        <v>114540</v>
      </c>
      <c r="AN211" s="4" cm="1">
        <f t="array" ref="AN211">INDEX(GMW!$A$2:$NF$150,MATCH(1,(GMW!$NE$2:$NE$150=AN$3)*(GMW!$ND$2:$ND$150=AN$4)*(GMW!$NF$2:$NF$150=AN$1),0),$C211-1966)</f>
        <v>113771</v>
      </c>
      <c r="AO211" s="4" cm="1">
        <f t="array" ref="AO211">INDEX(GMW!$A$2:$NF$150,MATCH(1,(GMW!$NE$2:$NE$150=AO$3)*(GMW!$ND$2:$ND$150=AO$4)*(GMW!$NF$2:$NF$150=AO$1),0),$C211-1966)</f>
        <v>62978</v>
      </c>
      <c r="AP211" s="4" cm="1">
        <f t="array" ref="AP211">INDEX(GMW!$A$2:$NF$150,MATCH(1,(GMW!$NE$2:$NE$150=AP$3)*(GMW!$ND$2:$ND$150=AP$4)*(GMW!$NF$2:$NF$150=AP$1),0),$C211-1966)</f>
        <v>638390.80000000005</v>
      </c>
      <c r="AQ211" s="4" cm="1">
        <f t="array" ref="AQ211">INDEX(GMW!$A$2:$NF$150,MATCH(1,(GMW!$NE$2:$NE$150=AQ$3)*(GMW!$ND$2:$ND$150=AQ$4)*(GMW!$NF$2:$NF$150=AQ$1),0),$C211-1966)</f>
        <v>33412.519999999997</v>
      </c>
      <c r="AR211" s="4" cm="1">
        <f t="array" ref="AR211">INDEX(GMW!$A$2:$NF$150,MATCH(1,(GMW!$NE$2:$NE$150=AR$3)*(GMW!$ND$2:$ND$150=AR$4)*(GMW!$NF$2:$NF$150=AR$1),0),$C211-1966)</f>
        <v>32</v>
      </c>
      <c r="AS211" s="4" cm="1">
        <f t="array" ref="AS211">INDEX(GMW!$A$2:$NF$150,MATCH(1,(GMW!$NE$2:$NE$150=AS$3)*(GMW!$ND$2:$ND$150=AS$4)*(GMW!$NF$2:$NF$150=AS$1),0),$C211-1966)</f>
        <v>610684.1</v>
      </c>
      <c r="AT211" s="4" cm="1">
        <f t="array" ref="AT211">INDEX(GMW!$A$2:$NF$150,MATCH(1,(GMW!$NE$2:$NE$150=AT$3)*(GMW!$ND$2:$ND$150=AT$4)*(GMW!$NF$2:$NF$150=AT$1),0),$C211-1966)</f>
        <v>44314.57</v>
      </c>
      <c r="AU211" s="4" cm="1">
        <f t="array" ref="AU211">INDEX(GMW!$A$2:$NF$150,MATCH(1,(GMW!$NE$2:$NE$150=AU$3)*(GMW!$ND$2:$ND$150=AU$4)*(GMW!$NF$2:$NF$150=AU$1),0),$C211-1966)</f>
        <v>3310266</v>
      </c>
      <c r="AV211" s="4" cm="1">
        <f t="array" ref="AV211">INDEX(GMW!$A$2:$NF$150,MATCH(1,(GMW!$NE$2:$NE$150=AV$3)*(GMW!$ND$2:$ND$150=AV$4)*(GMW!$NF$2:$NF$150=AV$1),0),$C211-1966)</f>
        <v>-1.697149</v>
      </c>
    </row>
    <row r="212" spans="1:48" x14ac:dyDescent="0.25">
      <c r="B212" s="4">
        <f t="shared" si="10"/>
        <v>2024</v>
      </c>
      <c r="C212" s="4">
        <f t="shared" si="9"/>
        <v>2178</v>
      </c>
      <c r="D212" s="4" cm="1">
        <f t="array" ref="D212">INDEX(GMW!$A$2:$NF$150,MATCH(1,(GMW!$NE$2:$NE$150=D$3)*(GMW!$ND$2:$ND$150=D$4)*(GMW!$NF$2:$NF$150=D$1),0),$C212-1966)</f>
        <v>641670</v>
      </c>
      <c r="E212" s="4" cm="1">
        <f t="array" ref="E212">INDEX(GMW!$A$2:$NF$150,MATCH(1,(GMW!$NE$2:$NE$150=E$3)*(GMW!$ND$2:$ND$150=E$4)*(GMW!$NF$2:$NF$150=E$1),0),$C212-1966)</f>
        <v>133.83330000000001</v>
      </c>
      <c r="F212" s="4" cm="1">
        <f t="array" ref="F212">INDEX(GMW!$A$2:$NF$150,MATCH(1,(GMW!$NE$2:$NE$150=F$3)*(GMW!$ND$2:$ND$150=F$4)*(GMW!$NF$2:$NF$150=F$1),0),$C212-1966)</f>
        <v>208746</v>
      </c>
      <c r="G212" s="4" cm="1">
        <f t="array" ref="G212">INDEX(GMW!$A$2:$NF$150,MATCH(1,(GMW!$NE$2:$NE$150=G$3)*(GMW!$ND$2:$ND$150=G$4)*(GMW!$NF$2:$NF$150=G$1),0),$C212-1966)</f>
        <v>79136</v>
      </c>
      <c r="H212" s="4" cm="1">
        <f t="array" ref="H212">INDEX(GMW!$A$2:$NF$150,MATCH(1,(GMW!$NE$2:$NE$150=H$3)*(GMW!$ND$2:$ND$150=H$4)*(GMW!$NF$2:$NF$150=H$1),0),$C212-1966)</f>
        <v>230891</v>
      </c>
      <c r="I212" s="4" cm="1">
        <f t="array" ref="I212">INDEX(GMW!$A$2:$NF$150,MATCH(1,(GMW!$NE$2:$NE$150=I$3)*(GMW!$ND$2:$ND$150=I$4)*(GMW!$NF$2:$NF$150=I$1),0),$C212-1966)</f>
        <v>132247</v>
      </c>
      <c r="J212" s="4" cm="1">
        <f t="array" ref="J212">INDEX(GMW!$A$2:$NF$150,MATCH(1,(GMW!$NE$2:$NE$150=J$3)*(GMW!$ND$2:$ND$150=J$4)*(GMW!$NF$2:$NF$150=J$1),0),$C212-1966)</f>
        <v>114689</v>
      </c>
      <c r="K212" s="4" cm="1">
        <f t="array" ref="K212">INDEX(GMW!$A$2:$NF$150,MATCH(1,(GMW!$NE$2:$NE$150=K$3)*(GMW!$ND$2:$ND$150=K$4)*(GMW!$NF$2:$NF$150=K$1),0),$C212-1966)</f>
        <v>63634</v>
      </c>
      <c r="L212" s="4" cm="1">
        <f t="array" ref="L212">INDEX(GMW!$A$2:$NF$150,MATCH(1,(GMW!$NE$2:$NE$150=L$3)*(GMW!$ND$2:$ND$150=L$4)*(GMW!$NF$2:$NF$150=L$1),0),$C212-1966)</f>
        <v>640407.30000000005</v>
      </c>
      <c r="M212" s="4" cm="1">
        <f t="array" ref="M212">INDEX(GMW!$A$2:$NF$150,MATCH(1,(GMW!$NE$2:$NE$150=M$3)*(GMW!$ND$2:$ND$150=M$4)*(GMW!$NF$2:$NF$150=M$1),0),$C212-1966)</f>
        <v>33522.800000000003</v>
      </c>
      <c r="N212" s="4" cm="1">
        <f t="array" ref="N212">INDEX(GMW!$A$2:$NF$150,MATCH(1,(GMW!$NE$2:$NE$150=N$3)*(GMW!$ND$2:$ND$150=N$4)*(GMW!$NF$2:$NF$150=N$1),0),$C212-1966)</f>
        <v>32</v>
      </c>
      <c r="O212" s="4" cm="1">
        <f t="array" ref="O212">INDEX(GMW!$A$2:$NF$150,MATCH(1,(GMW!$NE$2:$NE$150=O$3)*(GMW!$ND$2:$ND$150=O$4)*(GMW!$NF$2:$NF$150=O$1),0),$C212-1966)</f>
        <v>613472.69999999995</v>
      </c>
      <c r="P212" s="4" cm="1">
        <f t="array" ref="P212">INDEX(GMW!$A$2:$NF$150,MATCH(1,(GMW!$NE$2:$NE$150=P$3)*(GMW!$ND$2:$ND$150=P$4)*(GMW!$NF$2:$NF$150=P$1),0),$C212-1966)</f>
        <v>44446.36</v>
      </c>
      <c r="Q212" s="4" cm="1">
        <f t="array" ref="Q212">INDEX(GMW!$A$2:$NF$150,MATCH(1,(GMW!$NE$2:$NE$150=Q$3)*(GMW!$ND$2:$ND$150=Q$4)*(GMW!$NF$2:$NF$150=Q$1),0),$C212-1966)</f>
        <v>3320974</v>
      </c>
      <c r="R212" s="4" cm="1">
        <f t="array" ref="R212">INDEX(GMW!$A$2:$NF$150,MATCH(1,(GMW!$NE$2:$NE$150=R$3)*(GMW!$ND$2:$ND$150=R$4)*(GMW!$NF$2:$NF$150=R$1),0),$C212-1966)</f>
        <v>-1.697657</v>
      </c>
      <c r="S212" s="4" cm="1">
        <f t="array" ref="S212">INDEX(GMW!$A$2:$NF$150,MATCH(1,(GMW!$NE$2:$NE$150=S$3)*(GMW!$ND$2:$ND$150=S$4)*(GMW!$NF$2:$NF$150=S$1),0),$C212-1966)</f>
        <v>640592</v>
      </c>
      <c r="T212" s="4" cm="1">
        <f t="array" ref="T212">INDEX(GMW!$A$2:$NF$150,MATCH(1,(GMW!$NE$2:$NE$150=T$3)*(GMW!$ND$2:$ND$150=T$4)*(GMW!$NF$2:$NF$150=T$1),0),$C212-1966)</f>
        <v>133.83330000000001</v>
      </c>
      <c r="U212" s="4" cm="1">
        <f t="array" ref="U212">INDEX(GMW!$A$2:$NF$150,MATCH(1,(GMW!$NE$2:$NE$150=U$3)*(GMW!$ND$2:$ND$150=U$4)*(GMW!$NF$2:$NF$150=U$1),0),$C212-1966)</f>
        <v>202272</v>
      </c>
      <c r="V212" s="4" cm="1">
        <f t="array" ref="V212">INDEX(GMW!$A$2:$NF$150,MATCH(1,(GMW!$NE$2:$NE$150=V$3)*(GMW!$ND$2:$ND$150=V$4)*(GMW!$NF$2:$NF$150=V$1),0),$C212-1966)</f>
        <v>78994</v>
      </c>
      <c r="W212" s="4" cm="1">
        <f t="array" ref="W212">INDEX(GMW!$A$2:$NF$150,MATCH(1,(GMW!$NE$2:$NE$150=W$3)*(GMW!$ND$2:$ND$150=W$4)*(GMW!$NF$2:$NF$150=W$1),0),$C212-1966)</f>
        <v>221213</v>
      </c>
      <c r="X212" s="4" cm="1">
        <f t="array" ref="X212">INDEX(GMW!$A$2:$NF$150,MATCH(1,(GMW!$NE$2:$NE$150=X$3)*(GMW!$ND$2:$ND$150=X$4)*(GMW!$NF$2:$NF$150=X$1),0),$C212-1966)</f>
        <v>126624</v>
      </c>
      <c r="Y212" s="4" cm="1">
        <f t="array" ref="Y212">INDEX(GMW!$A$2:$NF$150,MATCH(1,(GMW!$NE$2:$NE$150=Y$3)*(GMW!$ND$2:$ND$150=Y$4)*(GMW!$NF$2:$NF$150=Y$1),0),$C212-1966)</f>
        <v>114460</v>
      </c>
      <c r="Z212" s="4" cm="1">
        <f t="array" ref="Z212">INDEX(GMW!$A$2:$NF$150,MATCH(1,(GMW!$NE$2:$NE$150=Z$3)*(GMW!$ND$2:$ND$150=Z$4)*(GMW!$NF$2:$NF$150=Z$1),0),$C212-1966)</f>
        <v>63236</v>
      </c>
      <c r="AA212" s="4" cm="1">
        <f t="array" ref="AA212">INDEX(GMW!$A$2:$NF$150,MATCH(1,(GMW!$NE$2:$NE$150=AA$3)*(GMW!$ND$2:$ND$150=AA$4)*(GMW!$NF$2:$NF$150=AA$1),0),$C212-1966)</f>
        <v>640919.30000000005</v>
      </c>
      <c r="AB212" s="4" cm="1">
        <f t="array" ref="AB212">INDEX(GMW!$A$2:$NF$150,MATCH(1,(GMW!$NE$2:$NE$150=AB$3)*(GMW!$ND$2:$ND$150=AB$4)*(GMW!$NF$2:$NF$150=AB$1),0),$C212-1966)</f>
        <v>33527.599999999999</v>
      </c>
      <c r="AC212" s="4" cm="1">
        <f t="array" ref="AC212">INDEX(GMW!$A$2:$NF$150,MATCH(1,(GMW!$NE$2:$NE$150=AC$3)*(GMW!$ND$2:$ND$150=AC$4)*(GMW!$NF$2:$NF$150=AC$1),0),$C212-1966)</f>
        <v>32</v>
      </c>
      <c r="AD212" s="4" cm="1">
        <f t="array" ref="AD212">INDEX(GMW!$A$2:$NF$150,MATCH(1,(GMW!$NE$2:$NE$150=AD$3)*(GMW!$ND$2:$ND$150=AD$4)*(GMW!$NF$2:$NF$150=AD$1),0),$C212-1966)</f>
        <v>613472.69999999995</v>
      </c>
      <c r="AE212" s="4" cm="1">
        <f t="array" ref="AE212">INDEX(GMW!$A$2:$NF$150,MATCH(1,(GMW!$NE$2:$NE$150=AE$3)*(GMW!$ND$2:$ND$150=AE$4)*(GMW!$NF$2:$NF$150=AE$1),0),$C212-1966)</f>
        <v>44446.36</v>
      </c>
      <c r="AF212" s="4" cm="1">
        <f t="array" ref="AF212">INDEX(GMW!$A$2:$NF$150,MATCH(1,(GMW!$NE$2:$NE$150=AF$3)*(GMW!$ND$2:$ND$150=AF$4)*(GMW!$NF$2:$NF$150=AF$1),0),$C212-1966)</f>
        <v>3321145</v>
      </c>
      <c r="AG212" s="4" cm="1">
        <f t="array" ref="AG212">INDEX(GMW!$A$2:$NF$150,MATCH(1,(GMW!$NE$2:$NE$150=AG$3)*(GMW!$ND$2:$ND$150=AG$4)*(GMW!$NF$2:$NF$150=AG$1),0),$C212-1966)</f>
        <v>-1.696979</v>
      </c>
      <c r="AH212" s="4" cm="1">
        <f t="array" ref="AH212">INDEX(GMW!$A$2:$NF$150,MATCH(1,(GMW!$NE$2:$NE$150=AH$3)*(GMW!$ND$2:$ND$150=AH$4)*(GMW!$NF$2:$NF$150=AH$1),0),$C212-1966)</f>
        <v>639269</v>
      </c>
      <c r="AI212" s="4" cm="1">
        <f t="array" ref="AI212">INDEX(GMW!$A$2:$NF$150,MATCH(1,(GMW!$NE$2:$NE$150=AI$3)*(GMW!$ND$2:$ND$150=AI$4)*(GMW!$NF$2:$NF$150=AI$1),0),$C212-1966)</f>
        <v>133.83330000000001</v>
      </c>
      <c r="AJ212" s="4" cm="1">
        <f t="array" ref="AJ212">INDEX(GMW!$A$2:$NF$150,MATCH(1,(GMW!$NE$2:$NE$150=AJ$3)*(GMW!$ND$2:$ND$150=AJ$4)*(GMW!$NF$2:$NF$150=AJ$1),0),$C212-1966)</f>
        <v>201650</v>
      </c>
      <c r="AK212" s="4" cm="1">
        <f t="array" ref="AK212">INDEX(GMW!$A$2:$NF$150,MATCH(1,(GMW!$NE$2:$NE$150=AK$3)*(GMW!$ND$2:$ND$150=AK$4)*(GMW!$NF$2:$NF$150=AK$1),0),$C212-1966)</f>
        <v>78745</v>
      </c>
      <c r="AL212" s="4" cm="1">
        <f t="array" ref="AL212">INDEX(GMW!$A$2:$NF$150,MATCH(1,(GMW!$NE$2:$NE$150=AL$3)*(GMW!$ND$2:$ND$150=AL$4)*(GMW!$NF$2:$NF$150=AL$1),0),$C212-1966)</f>
        <v>221621</v>
      </c>
      <c r="AM212" s="4" cm="1">
        <f t="array" ref="AM212">INDEX(GMW!$A$2:$NF$150,MATCH(1,(GMW!$NE$2:$NE$150=AM$3)*(GMW!$ND$2:$ND$150=AM$4)*(GMW!$NF$2:$NF$150=AM$1),0),$C212-1966)</f>
        <v>126616</v>
      </c>
      <c r="AN212" s="4" cm="1">
        <f t="array" ref="AN212">INDEX(GMW!$A$2:$NF$150,MATCH(1,(GMW!$NE$2:$NE$150=AN$3)*(GMW!$ND$2:$ND$150=AN$4)*(GMW!$NF$2:$NF$150=AN$1),0),$C212-1966)</f>
        <v>114554</v>
      </c>
      <c r="AO212" s="4" cm="1">
        <f t="array" ref="AO212">INDEX(GMW!$A$2:$NF$150,MATCH(1,(GMW!$NE$2:$NE$150=AO$3)*(GMW!$ND$2:$ND$150=AO$4)*(GMW!$NF$2:$NF$150=AO$1),0),$C212-1966)</f>
        <v>64099</v>
      </c>
      <c r="AP212" s="4" cm="1">
        <f t="array" ref="AP212">INDEX(GMW!$A$2:$NF$150,MATCH(1,(GMW!$NE$2:$NE$150=AP$3)*(GMW!$ND$2:$ND$150=AP$4)*(GMW!$NF$2:$NF$150=AP$1),0),$C212-1966)</f>
        <v>640927.9</v>
      </c>
      <c r="AQ212" s="4" cm="1">
        <f t="array" ref="AQ212">INDEX(GMW!$A$2:$NF$150,MATCH(1,(GMW!$NE$2:$NE$150=AQ$3)*(GMW!$ND$2:$ND$150=AQ$4)*(GMW!$NF$2:$NF$150=AQ$1),0),$C212-1966)</f>
        <v>33527.599999999999</v>
      </c>
      <c r="AR212" s="4" cm="1">
        <f t="array" ref="AR212">INDEX(GMW!$A$2:$NF$150,MATCH(1,(GMW!$NE$2:$NE$150=AR$3)*(GMW!$ND$2:$ND$150=AR$4)*(GMW!$NF$2:$NF$150=AR$1),0),$C212-1966)</f>
        <v>32</v>
      </c>
      <c r="AS212" s="4" cm="1">
        <f t="array" ref="AS212">INDEX(GMW!$A$2:$NF$150,MATCH(1,(GMW!$NE$2:$NE$150=AS$3)*(GMW!$ND$2:$ND$150=AS$4)*(GMW!$NF$2:$NF$150=AS$1),0),$C212-1966)</f>
        <v>614510.69999999995</v>
      </c>
      <c r="AT212" s="4" cm="1">
        <f t="array" ref="AT212">INDEX(GMW!$A$2:$NF$150,MATCH(1,(GMW!$NE$2:$NE$150=AT$3)*(GMW!$ND$2:$ND$150=AT$4)*(GMW!$NF$2:$NF$150=AT$1),0),$C212-1966)</f>
        <v>44521.82</v>
      </c>
      <c r="AU212" s="4" cm="1">
        <f t="array" ref="AU212">INDEX(GMW!$A$2:$NF$150,MATCH(1,(GMW!$NE$2:$NE$150=AU$3)*(GMW!$ND$2:$ND$150=AU$4)*(GMW!$NF$2:$NF$150=AU$1),0),$C212-1966)</f>
        <v>3321589</v>
      </c>
      <c r="AV212" s="4" cm="1">
        <f t="array" ref="AV212">INDEX(GMW!$A$2:$NF$150,MATCH(1,(GMW!$NE$2:$NE$150=AV$3)*(GMW!$ND$2:$ND$150=AV$4)*(GMW!$NF$2:$NF$150=AV$1),0),$C212-1966)</f>
        <v>-1.696979</v>
      </c>
    </row>
    <row r="213" spans="1:48" x14ac:dyDescent="0.25">
      <c r="B213" s="4">
        <f t="shared" si="10"/>
        <v>2024</v>
      </c>
      <c r="C213" s="4">
        <f t="shared" si="9"/>
        <v>2179</v>
      </c>
      <c r="D213" s="4" cm="1">
        <f t="array" ref="D213">INDEX(GMW!$A$2:$NF$150,MATCH(1,(GMW!$NE$2:$NE$150=D$3)*(GMW!$ND$2:$ND$150=D$4)*(GMW!$NF$2:$NF$150=D$1),0),$C213-1966)</f>
        <v>641675</v>
      </c>
      <c r="E213" s="4" cm="1">
        <f t="array" ref="E213">INDEX(GMW!$A$2:$NF$150,MATCH(1,(GMW!$NE$2:$NE$150=E$3)*(GMW!$ND$2:$ND$150=E$4)*(GMW!$NF$2:$NF$150=E$1),0),$C213-1966)</f>
        <v>134.1</v>
      </c>
      <c r="F213" s="4" cm="1">
        <f t="array" ref="F213">INDEX(GMW!$A$2:$NF$150,MATCH(1,(GMW!$NE$2:$NE$150=F$3)*(GMW!$ND$2:$ND$150=F$4)*(GMW!$NF$2:$NF$150=F$1),0),$C213-1966)</f>
        <v>208624</v>
      </c>
      <c r="G213" s="4" cm="1">
        <f t="array" ref="G213">INDEX(GMW!$A$2:$NF$150,MATCH(1,(GMW!$NE$2:$NE$150=G$3)*(GMW!$ND$2:$ND$150=G$4)*(GMW!$NF$2:$NF$150=G$1),0),$C213-1966)</f>
        <v>79947</v>
      </c>
      <c r="H213" s="4" cm="1">
        <f t="array" ref="H213">INDEX(GMW!$A$2:$NF$150,MATCH(1,(GMW!$NE$2:$NE$150=H$3)*(GMW!$ND$2:$ND$150=H$4)*(GMW!$NF$2:$NF$150=H$1),0),$C213-1966)</f>
        <v>224352</v>
      </c>
      <c r="I213" s="4" cm="1">
        <f t="array" ref="I213">INDEX(GMW!$A$2:$NF$150,MATCH(1,(GMW!$NE$2:$NE$150=I$3)*(GMW!$ND$2:$ND$150=I$4)*(GMW!$NF$2:$NF$150=I$1),0),$C213-1966)</f>
        <v>123759</v>
      </c>
      <c r="J213" s="4" cm="1">
        <f t="array" ref="J213">INDEX(GMW!$A$2:$NF$150,MATCH(1,(GMW!$NE$2:$NE$150=J$3)*(GMW!$ND$2:$ND$150=J$4)*(GMW!$NF$2:$NF$150=J$1),0),$C213-1966)</f>
        <v>115832</v>
      </c>
      <c r="K213" s="4" cm="1">
        <f t="array" ref="K213">INDEX(GMW!$A$2:$NF$150,MATCH(1,(GMW!$NE$2:$NE$150=K$3)*(GMW!$ND$2:$ND$150=K$4)*(GMW!$NF$2:$NF$150=K$1),0),$C213-1966)</f>
        <v>65023</v>
      </c>
      <c r="L213" s="4" cm="1">
        <f t="array" ref="L213">INDEX(GMW!$A$2:$NF$150,MATCH(1,(GMW!$NE$2:$NE$150=L$3)*(GMW!$ND$2:$ND$150=L$4)*(GMW!$NF$2:$NF$150=L$1),0),$C213-1966)</f>
        <v>646654.9</v>
      </c>
      <c r="M213" s="4" cm="1">
        <f t="array" ref="M213">INDEX(GMW!$A$2:$NF$150,MATCH(1,(GMW!$NE$2:$NE$150=M$3)*(GMW!$ND$2:$ND$150=M$4)*(GMW!$NF$2:$NF$150=M$1),0),$C213-1966)</f>
        <v>33835.440000000002</v>
      </c>
      <c r="N213" s="4" cm="1">
        <f t="array" ref="N213">INDEX(GMW!$A$2:$NF$150,MATCH(1,(GMW!$NE$2:$NE$150=N$3)*(GMW!$ND$2:$ND$150=N$4)*(GMW!$NF$2:$NF$150=N$1),0),$C213-1966)</f>
        <v>32.1</v>
      </c>
      <c r="O213" s="4" cm="1">
        <f t="array" ref="O213">INDEX(GMW!$A$2:$NF$150,MATCH(1,(GMW!$NE$2:$NE$150=O$3)*(GMW!$ND$2:$ND$150=O$4)*(GMW!$NF$2:$NF$150=O$1),0),$C213-1966)</f>
        <v>616083.80000000005</v>
      </c>
      <c r="P213" s="4" cm="1">
        <f t="array" ref="P213">INDEX(GMW!$A$2:$NF$150,MATCH(1,(GMW!$NE$2:$NE$150=P$3)*(GMW!$ND$2:$ND$150=P$4)*(GMW!$NF$2:$NF$150=P$1),0),$C213-1966)</f>
        <v>44565.279999999999</v>
      </c>
      <c r="Q213" s="4" cm="1">
        <f t="array" ref="Q213">INDEX(GMW!$A$2:$NF$150,MATCH(1,(GMW!$NE$2:$NE$150=Q$3)*(GMW!$ND$2:$ND$150=Q$4)*(GMW!$NF$2:$NF$150=Q$1),0),$C213-1966)</f>
        <v>3333449</v>
      </c>
      <c r="R213" s="4" cm="1">
        <f t="array" ref="R213">INDEX(GMW!$A$2:$NF$150,MATCH(1,(GMW!$NE$2:$NE$150=R$3)*(GMW!$ND$2:$ND$150=R$4)*(GMW!$NF$2:$NF$150=R$1),0),$C213-1966)</f>
        <v>-1.697657</v>
      </c>
      <c r="S213" s="4" cm="1">
        <f t="array" ref="S213">INDEX(GMW!$A$2:$NF$150,MATCH(1,(GMW!$NE$2:$NE$150=S$3)*(GMW!$ND$2:$ND$150=S$4)*(GMW!$NF$2:$NF$150=S$1),0),$C213-1966)</f>
        <v>640417</v>
      </c>
      <c r="T213" s="4" cm="1">
        <f t="array" ref="T213">INDEX(GMW!$A$2:$NF$150,MATCH(1,(GMW!$NE$2:$NE$150=T$3)*(GMW!$ND$2:$ND$150=T$4)*(GMW!$NF$2:$NF$150=T$1),0),$C213-1966)</f>
        <v>134.1</v>
      </c>
      <c r="U213" s="4" cm="1">
        <f t="array" ref="U213">INDEX(GMW!$A$2:$NF$150,MATCH(1,(GMW!$NE$2:$NE$150=U$3)*(GMW!$ND$2:$ND$150=U$4)*(GMW!$NF$2:$NF$150=U$1),0),$C213-1966)</f>
        <v>200740</v>
      </c>
      <c r="V213" s="4" cm="1">
        <f t="array" ref="V213">INDEX(GMW!$A$2:$NF$150,MATCH(1,(GMW!$NE$2:$NE$150=V$3)*(GMW!$ND$2:$ND$150=V$4)*(GMW!$NF$2:$NF$150=V$1),0),$C213-1966)</f>
        <v>79804</v>
      </c>
      <c r="W213" s="4" cm="1">
        <f t="array" ref="W213">INDEX(GMW!$A$2:$NF$150,MATCH(1,(GMW!$NE$2:$NE$150=W$3)*(GMW!$ND$2:$ND$150=W$4)*(GMW!$NF$2:$NF$150=W$1),0),$C213-1966)</f>
        <v>215589</v>
      </c>
      <c r="X213" s="4" cm="1">
        <f t="array" ref="X213">INDEX(GMW!$A$2:$NF$150,MATCH(1,(GMW!$NE$2:$NE$150=X$3)*(GMW!$ND$2:$ND$150=X$4)*(GMW!$NF$2:$NF$150=X$1),0),$C213-1966)</f>
        <v>118794</v>
      </c>
      <c r="Y213" s="4" cm="1">
        <f t="array" ref="Y213">INDEX(GMW!$A$2:$NF$150,MATCH(1,(GMW!$NE$2:$NE$150=Y$3)*(GMW!$ND$2:$ND$150=Y$4)*(GMW!$NF$2:$NF$150=Y$1),0),$C213-1966)</f>
        <v>115571</v>
      </c>
      <c r="Z213" s="4" cm="1">
        <f t="array" ref="Z213">INDEX(GMW!$A$2:$NF$150,MATCH(1,(GMW!$NE$2:$NE$150=Z$3)*(GMW!$ND$2:$ND$150=Z$4)*(GMW!$NF$2:$NF$150=Z$1),0),$C213-1966)</f>
        <v>64412</v>
      </c>
      <c r="AA213" s="4" cm="1">
        <f t="array" ref="AA213">INDEX(GMW!$A$2:$NF$150,MATCH(1,(GMW!$NE$2:$NE$150=AA$3)*(GMW!$ND$2:$ND$150=AA$4)*(GMW!$NF$2:$NF$150=AA$1),0),$C213-1966)</f>
        <v>646929.4</v>
      </c>
      <c r="AB213" s="4" cm="1">
        <f t="array" ref="AB213">INDEX(GMW!$A$2:$NF$150,MATCH(1,(GMW!$NE$2:$NE$150=AB$3)*(GMW!$ND$2:$ND$150=AB$4)*(GMW!$NF$2:$NF$150=AB$1),0),$C213-1966)</f>
        <v>33812.42</v>
      </c>
      <c r="AC213" s="4" cm="1">
        <f t="array" ref="AC213">INDEX(GMW!$A$2:$NF$150,MATCH(1,(GMW!$NE$2:$NE$150=AC$3)*(GMW!$ND$2:$ND$150=AC$4)*(GMW!$NF$2:$NF$150=AC$1),0),$C213-1966)</f>
        <v>32.1</v>
      </c>
      <c r="AD213" s="4" cm="1">
        <f t="array" ref="AD213">INDEX(GMW!$A$2:$NF$150,MATCH(1,(GMW!$NE$2:$NE$150=AD$3)*(GMW!$ND$2:$ND$150=AD$4)*(GMW!$NF$2:$NF$150=AD$1),0),$C213-1966)</f>
        <v>616083.80000000005</v>
      </c>
      <c r="AE213" s="4" cm="1">
        <f t="array" ref="AE213">INDEX(GMW!$A$2:$NF$150,MATCH(1,(GMW!$NE$2:$NE$150=AE$3)*(GMW!$ND$2:$ND$150=AE$4)*(GMW!$NF$2:$NF$150=AE$1),0),$C213-1966)</f>
        <v>44565.279999999999</v>
      </c>
      <c r="AF213" s="4" cm="1">
        <f t="array" ref="AF213">INDEX(GMW!$A$2:$NF$150,MATCH(1,(GMW!$NE$2:$NE$150=AF$3)*(GMW!$ND$2:$ND$150=AF$4)*(GMW!$NF$2:$NF$150=AF$1),0),$C213-1966)</f>
        <v>3333516</v>
      </c>
      <c r="AG213" s="4" cm="1">
        <f t="array" ref="AG213">INDEX(GMW!$A$2:$NF$150,MATCH(1,(GMW!$NE$2:$NE$150=AG$3)*(GMW!$ND$2:$ND$150=AG$4)*(GMW!$NF$2:$NF$150=AG$1),0),$C213-1966)</f>
        <v>-1.696809</v>
      </c>
      <c r="AH213" s="4" cm="1">
        <f t="array" ref="AH213">INDEX(GMW!$A$2:$NF$150,MATCH(1,(GMW!$NE$2:$NE$150=AH$3)*(GMW!$ND$2:$ND$150=AH$4)*(GMW!$NF$2:$NF$150=AH$1),0),$C213-1966)</f>
        <v>639452</v>
      </c>
      <c r="AI213" s="4" cm="1">
        <f t="array" ref="AI213">INDEX(GMW!$A$2:$NF$150,MATCH(1,(GMW!$NE$2:$NE$150=AI$3)*(GMW!$ND$2:$ND$150=AI$4)*(GMW!$NF$2:$NF$150=AI$1),0),$C213-1966)</f>
        <v>134.1</v>
      </c>
      <c r="AJ213" s="4" cm="1">
        <f t="array" ref="AJ213">INDEX(GMW!$A$2:$NF$150,MATCH(1,(GMW!$NE$2:$NE$150=AJ$3)*(GMW!$ND$2:$ND$150=AJ$4)*(GMW!$NF$2:$NF$150=AJ$1),0),$C213-1966)</f>
        <v>200609</v>
      </c>
      <c r="AK213" s="4" cm="1">
        <f t="array" ref="AK213">INDEX(GMW!$A$2:$NF$150,MATCH(1,(GMW!$NE$2:$NE$150=AK$3)*(GMW!$ND$2:$ND$150=AK$4)*(GMW!$NF$2:$NF$150=AK$1),0),$C213-1966)</f>
        <v>78078</v>
      </c>
      <c r="AL213" s="4" cm="1">
        <f t="array" ref="AL213">INDEX(GMW!$A$2:$NF$150,MATCH(1,(GMW!$NE$2:$NE$150=AL$3)*(GMW!$ND$2:$ND$150=AL$4)*(GMW!$NF$2:$NF$150=AL$1),0),$C213-1966)</f>
        <v>216145</v>
      </c>
      <c r="AM213" s="4" cm="1">
        <f t="array" ref="AM213">INDEX(GMW!$A$2:$NF$150,MATCH(1,(GMW!$NE$2:$NE$150=AM$3)*(GMW!$ND$2:$ND$150=AM$4)*(GMW!$NF$2:$NF$150=AM$1),0),$C213-1966)</f>
        <v>116530</v>
      </c>
      <c r="AN213" s="4" cm="1">
        <f t="array" ref="AN213">INDEX(GMW!$A$2:$NF$150,MATCH(1,(GMW!$NE$2:$NE$150=AN$3)*(GMW!$ND$2:$ND$150=AN$4)*(GMW!$NF$2:$NF$150=AN$1),0),$C213-1966)</f>
        <v>116001</v>
      </c>
      <c r="AO213" s="4" cm="1">
        <f t="array" ref="AO213">INDEX(GMW!$A$2:$NF$150,MATCH(1,(GMW!$NE$2:$NE$150=AO$3)*(GMW!$ND$2:$ND$150=AO$4)*(GMW!$NF$2:$NF$150=AO$1),0),$C213-1966)</f>
        <v>65327</v>
      </c>
      <c r="AP213" s="4" cm="1">
        <f t="array" ref="AP213">INDEX(GMW!$A$2:$NF$150,MATCH(1,(GMW!$NE$2:$NE$150=AP$3)*(GMW!$ND$2:$ND$150=AP$4)*(GMW!$NF$2:$NF$150=AP$1),0),$C213-1966)</f>
        <v>646957.80000000005</v>
      </c>
      <c r="AQ213" s="4" cm="1">
        <f t="array" ref="AQ213">INDEX(GMW!$A$2:$NF$150,MATCH(1,(GMW!$NE$2:$NE$150=AQ$3)*(GMW!$ND$2:$ND$150=AQ$4)*(GMW!$NF$2:$NF$150=AQ$1),0),$C213-1966)</f>
        <v>33812.42</v>
      </c>
      <c r="AR213" s="4" cm="1">
        <f t="array" ref="AR213">INDEX(GMW!$A$2:$NF$150,MATCH(1,(GMW!$NE$2:$NE$150=AR$3)*(GMW!$ND$2:$ND$150=AR$4)*(GMW!$NF$2:$NF$150=AR$1),0),$C213-1966)</f>
        <v>32.1</v>
      </c>
      <c r="AS213" s="4" cm="1">
        <f t="array" ref="AS213">INDEX(GMW!$A$2:$NF$150,MATCH(1,(GMW!$NE$2:$NE$150=AS$3)*(GMW!$ND$2:$ND$150=AS$4)*(GMW!$NF$2:$NF$150=AS$1),0),$C213-1966)</f>
        <v>616755.9</v>
      </c>
      <c r="AT213" s="4" cm="1">
        <f t="array" ref="AT213">INDEX(GMW!$A$2:$NF$150,MATCH(1,(GMW!$NE$2:$NE$150=AT$3)*(GMW!$ND$2:$ND$150=AT$4)*(GMW!$NF$2:$NF$150=AT$1),0),$C213-1966)</f>
        <v>44614.25</v>
      </c>
      <c r="AU213" s="4" cm="1">
        <f t="array" ref="AU213">INDEX(GMW!$A$2:$NF$150,MATCH(1,(GMW!$NE$2:$NE$150=AU$3)*(GMW!$ND$2:$ND$150=AU$4)*(GMW!$NF$2:$NF$150=AU$1),0),$C213-1966)</f>
        <v>3334717</v>
      </c>
      <c r="AV213" s="4" cm="1">
        <f t="array" ref="AV213">INDEX(GMW!$A$2:$NF$150,MATCH(1,(GMW!$NE$2:$NE$150=AV$3)*(GMW!$ND$2:$ND$150=AV$4)*(GMW!$NF$2:$NF$150=AV$1),0),$C213-1966)</f>
        <v>-1.696809</v>
      </c>
    </row>
    <row r="214" spans="1:48" x14ac:dyDescent="0.25">
      <c r="B214" s="4">
        <f t="shared" si="10"/>
        <v>2024</v>
      </c>
      <c r="C214" s="4">
        <f t="shared" si="9"/>
        <v>2180</v>
      </c>
      <c r="D214" s="4" cm="1">
        <f t="array" ref="D214">INDEX(GMW!$A$2:$NF$150,MATCH(1,(GMW!$NE$2:$NE$150=D$3)*(GMW!$ND$2:$ND$150=D$4)*(GMW!$NF$2:$NF$150=D$1),0),$C214-1966)</f>
        <v>642287</v>
      </c>
      <c r="E214" s="4" cm="1">
        <f t="array" ref="E214">INDEX(GMW!$A$2:$NF$150,MATCH(1,(GMW!$NE$2:$NE$150=E$3)*(GMW!$ND$2:$ND$150=E$4)*(GMW!$NF$2:$NF$150=E$1),0),$C214-1966)</f>
        <v>135.23330000000001</v>
      </c>
      <c r="F214" s="4" cm="1">
        <f t="array" ref="F214">INDEX(GMW!$A$2:$NF$150,MATCH(1,(GMW!$NE$2:$NE$150=F$3)*(GMW!$ND$2:$ND$150=F$4)*(GMW!$NF$2:$NF$150=F$1),0),$C214-1966)</f>
        <v>204779</v>
      </c>
      <c r="G214" s="4" cm="1">
        <f t="array" ref="G214">INDEX(GMW!$A$2:$NF$150,MATCH(1,(GMW!$NE$2:$NE$150=G$3)*(GMW!$ND$2:$ND$150=G$4)*(GMW!$NF$2:$NF$150=G$1),0),$C214-1966)</f>
        <v>75593</v>
      </c>
      <c r="H214" s="4" cm="1">
        <f t="array" ref="H214">INDEX(GMW!$A$2:$NF$150,MATCH(1,(GMW!$NE$2:$NE$150=H$3)*(GMW!$ND$2:$ND$150=H$4)*(GMW!$NF$2:$NF$150=H$1),0),$C214-1966)</f>
        <v>230754</v>
      </c>
      <c r="I214" s="4" cm="1">
        <f t="array" ref="I214">INDEX(GMW!$A$2:$NF$150,MATCH(1,(GMW!$NE$2:$NE$150=I$3)*(GMW!$ND$2:$ND$150=I$4)*(GMW!$NF$2:$NF$150=I$1),0),$C214-1966)</f>
        <v>128355</v>
      </c>
      <c r="J214" s="4" cm="1">
        <f t="array" ref="J214">INDEX(GMW!$A$2:$NF$150,MATCH(1,(GMW!$NE$2:$NE$150=J$3)*(GMW!$ND$2:$ND$150=J$4)*(GMW!$NF$2:$NF$150=J$1),0),$C214-1966)</f>
        <v>115115</v>
      </c>
      <c r="K214" s="4" cm="1">
        <f t="array" ref="K214">INDEX(GMW!$A$2:$NF$150,MATCH(1,(GMW!$NE$2:$NE$150=K$3)*(GMW!$ND$2:$ND$150=K$4)*(GMW!$NF$2:$NF$150=K$1),0),$C214-1966)</f>
        <v>63820</v>
      </c>
      <c r="L214" s="4" cm="1">
        <f t="array" ref="L214">INDEX(GMW!$A$2:$NF$150,MATCH(1,(GMW!$NE$2:$NE$150=L$3)*(GMW!$ND$2:$ND$150=L$4)*(GMW!$NF$2:$NF$150=L$1),0),$C214-1966)</f>
        <v>645443.6</v>
      </c>
      <c r="M214" s="4" cm="1">
        <f t="array" ref="M214">INDEX(GMW!$A$2:$NF$150,MATCH(1,(GMW!$NE$2:$NE$150=M$3)*(GMW!$ND$2:$ND$150=M$4)*(GMW!$NF$2:$NF$150=M$1),0),$C214-1966)</f>
        <v>33962.980000000003</v>
      </c>
      <c r="N214" s="4" cm="1">
        <f t="array" ref="N214">INDEX(GMW!$A$2:$NF$150,MATCH(1,(GMW!$NE$2:$NE$150=N$3)*(GMW!$ND$2:$ND$150=N$4)*(GMW!$NF$2:$NF$150=N$1),0),$C214-1966)</f>
        <v>31.8</v>
      </c>
      <c r="O214" s="4" cm="1">
        <f t="array" ref="O214">INDEX(GMW!$A$2:$NF$150,MATCH(1,(GMW!$NE$2:$NE$150=O$3)*(GMW!$ND$2:$ND$150=O$4)*(GMW!$NF$2:$NF$150=O$1),0),$C214-1966)</f>
        <v>618696.5</v>
      </c>
      <c r="P214" s="4" cm="1">
        <f t="array" ref="P214">INDEX(GMW!$A$2:$NF$150,MATCH(1,(GMW!$NE$2:$NE$150=P$3)*(GMW!$ND$2:$ND$150=P$4)*(GMW!$NF$2:$NF$150=P$1),0),$C214-1966)</f>
        <v>44684.2</v>
      </c>
      <c r="Q214" s="4" cm="1">
        <f t="array" ref="Q214">INDEX(GMW!$A$2:$NF$150,MATCH(1,(GMW!$NE$2:$NE$150=Q$3)*(GMW!$ND$2:$ND$150=Q$4)*(GMW!$NF$2:$NF$150=Q$1),0),$C214-1966)</f>
        <v>3345046</v>
      </c>
      <c r="R214" s="4" cm="1">
        <f t="array" ref="R214">INDEX(GMW!$A$2:$NF$150,MATCH(1,(GMW!$NE$2:$NE$150=R$3)*(GMW!$ND$2:$ND$150=R$4)*(GMW!$NF$2:$NF$150=R$1),0),$C214-1966)</f>
        <v>-1.697657</v>
      </c>
      <c r="S214" s="4" cm="1">
        <f t="array" ref="S214">INDEX(GMW!$A$2:$NF$150,MATCH(1,(GMW!$NE$2:$NE$150=S$3)*(GMW!$ND$2:$ND$150=S$4)*(GMW!$NF$2:$NF$150=S$1),0),$C214-1966)</f>
        <v>641065</v>
      </c>
      <c r="T214" s="4" cm="1">
        <f t="array" ref="T214">INDEX(GMW!$A$2:$NF$150,MATCH(1,(GMW!$NE$2:$NE$150=T$3)*(GMW!$ND$2:$ND$150=T$4)*(GMW!$NF$2:$NF$150=T$1),0),$C214-1966)</f>
        <v>135.23330000000001</v>
      </c>
      <c r="U214" s="4" cm="1">
        <f t="array" ref="U214">INDEX(GMW!$A$2:$NF$150,MATCH(1,(GMW!$NE$2:$NE$150=U$3)*(GMW!$ND$2:$ND$150=U$4)*(GMW!$NF$2:$NF$150=U$1),0),$C214-1966)</f>
        <v>195744</v>
      </c>
      <c r="V214" s="4" cm="1">
        <f t="array" ref="V214">INDEX(GMW!$A$2:$NF$150,MATCH(1,(GMW!$NE$2:$NE$150=V$3)*(GMW!$ND$2:$ND$150=V$4)*(GMW!$NF$2:$NF$150=V$1),0),$C214-1966)</f>
        <v>75407</v>
      </c>
      <c r="W214" s="4" cm="1">
        <f t="array" ref="W214">INDEX(GMW!$A$2:$NF$150,MATCH(1,(GMW!$NE$2:$NE$150=W$3)*(GMW!$ND$2:$ND$150=W$4)*(GMW!$NF$2:$NF$150=W$1),0),$C214-1966)</f>
        <v>220061</v>
      </c>
      <c r="X214" s="4" cm="1">
        <f t="array" ref="X214">INDEX(GMW!$A$2:$NF$150,MATCH(1,(GMW!$NE$2:$NE$150=X$3)*(GMW!$ND$2:$ND$150=X$4)*(GMW!$NF$2:$NF$150=X$1),0),$C214-1966)</f>
        <v>121890</v>
      </c>
      <c r="Y214" s="4" cm="1">
        <f t="array" ref="Y214">INDEX(GMW!$A$2:$NF$150,MATCH(1,(GMW!$NE$2:$NE$150=Y$3)*(GMW!$ND$2:$ND$150=Y$4)*(GMW!$NF$2:$NF$150=Y$1),0),$C214-1966)</f>
        <v>114538</v>
      </c>
      <c r="Z214" s="4" cm="1">
        <f t="array" ref="Z214">INDEX(GMW!$A$2:$NF$150,MATCH(1,(GMW!$NE$2:$NE$150=Z$3)*(GMW!$ND$2:$ND$150=Z$4)*(GMW!$NF$2:$NF$150=Z$1),0),$C214-1966)</f>
        <v>62338</v>
      </c>
      <c r="AA214" s="4" cm="1">
        <f t="array" ref="AA214">INDEX(GMW!$A$2:$NF$150,MATCH(1,(GMW!$NE$2:$NE$150=AA$3)*(GMW!$ND$2:$ND$150=AA$4)*(GMW!$NF$2:$NF$150=AA$1),0),$C214-1966)</f>
        <v>646080.4</v>
      </c>
      <c r="AB214" s="4" cm="1">
        <f t="array" ref="AB214">INDEX(GMW!$A$2:$NF$150,MATCH(1,(GMW!$NE$2:$NE$150=AB$3)*(GMW!$ND$2:$ND$150=AB$4)*(GMW!$NF$2:$NF$150=AB$1),0),$C214-1966)</f>
        <v>33961.07</v>
      </c>
      <c r="AC214" s="4" cm="1">
        <f t="array" ref="AC214">INDEX(GMW!$A$2:$NF$150,MATCH(1,(GMW!$NE$2:$NE$150=AC$3)*(GMW!$ND$2:$ND$150=AC$4)*(GMW!$NF$2:$NF$150=AC$1),0),$C214-1966)</f>
        <v>31.8</v>
      </c>
      <c r="AD214" s="4" cm="1">
        <f t="array" ref="AD214">INDEX(GMW!$A$2:$NF$150,MATCH(1,(GMW!$NE$2:$NE$150=AD$3)*(GMW!$ND$2:$ND$150=AD$4)*(GMW!$NF$2:$NF$150=AD$1),0),$C214-1966)</f>
        <v>618696.5</v>
      </c>
      <c r="AE214" s="4" cm="1">
        <f t="array" ref="AE214">INDEX(GMW!$A$2:$NF$150,MATCH(1,(GMW!$NE$2:$NE$150=AE$3)*(GMW!$ND$2:$ND$150=AE$4)*(GMW!$NF$2:$NF$150=AE$1),0),$C214-1966)</f>
        <v>44684.2</v>
      </c>
      <c r="AF214" s="4" cm="1">
        <f t="array" ref="AF214">INDEX(GMW!$A$2:$NF$150,MATCH(1,(GMW!$NE$2:$NE$150=AF$3)*(GMW!$ND$2:$ND$150=AF$4)*(GMW!$NF$2:$NF$150=AF$1),0),$C214-1966)</f>
        <v>3344683</v>
      </c>
      <c r="AG214" s="4" cm="1">
        <f t="array" ref="AG214">INDEX(GMW!$A$2:$NF$150,MATCH(1,(GMW!$NE$2:$NE$150=AG$3)*(GMW!$ND$2:$ND$150=AG$4)*(GMW!$NF$2:$NF$150=AG$1),0),$C214-1966)</f>
        <v>-1.6966399999999999</v>
      </c>
      <c r="AH214" s="4" cm="1">
        <f t="array" ref="AH214">INDEX(GMW!$A$2:$NF$150,MATCH(1,(GMW!$NE$2:$NE$150=AH$3)*(GMW!$ND$2:$ND$150=AH$4)*(GMW!$NF$2:$NF$150=AH$1),0),$C214-1966)</f>
        <v>640033.9</v>
      </c>
      <c r="AI214" s="4" cm="1">
        <f t="array" ref="AI214">INDEX(GMW!$A$2:$NF$150,MATCH(1,(GMW!$NE$2:$NE$150=AI$3)*(GMW!$ND$2:$ND$150=AI$4)*(GMW!$NF$2:$NF$150=AI$1),0),$C214-1966)</f>
        <v>135.33109999999999</v>
      </c>
      <c r="AJ214" s="4" cm="1">
        <f t="array" ref="AJ214">INDEX(GMW!$A$2:$NF$150,MATCH(1,(GMW!$NE$2:$NE$150=AJ$3)*(GMW!$ND$2:$ND$150=AJ$4)*(GMW!$NF$2:$NF$150=AJ$1),0),$C214-1966)</f>
        <v>197242.8</v>
      </c>
      <c r="AK214" s="4" cm="1">
        <f t="array" ref="AK214">INDEX(GMW!$A$2:$NF$150,MATCH(1,(GMW!$NE$2:$NE$150=AK$3)*(GMW!$ND$2:$ND$150=AK$4)*(GMW!$NF$2:$NF$150=AK$1),0),$C214-1966)</f>
        <v>75696.67</v>
      </c>
      <c r="AL214" s="4" cm="1">
        <f t="array" ref="AL214">INDEX(GMW!$A$2:$NF$150,MATCH(1,(GMW!$NE$2:$NE$150=AL$3)*(GMW!$ND$2:$ND$150=AL$4)*(GMW!$NF$2:$NF$150=AL$1),0),$C214-1966)</f>
        <v>216137.5</v>
      </c>
      <c r="AM214" s="4" cm="1">
        <f t="array" ref="AM214">INDEX(GMW!$A$2:$NF$150,MATCH(1,(GMW!$NE$2:$NE$150=AM$3)*(GMW!$ND$2:$ND$150=AM$4)*(GMW!$NF$2:$NF$150=AM$1),0),$C214-1966)</f>
        <v>117913.1</v>
      </c>
      <c r="AN214" s="4" cm="1">
        <f t="array" ref="AN214">INDEX(GMW!$A$2:$NF$150,MATCH(1,(GMW!$NE$2:$NE$150=AN$3)*(GMW!$ND$2:$ND$150=AN$4)*(GMW!$NF$2:$NF$150=AN$1),0),$C214-1966)</f>
        <v>113193</v>
      </c>
      <c r="AO214" s="4" cm="1">
        <f t="array" ref="AO214">INDEX(GMW!$A$2:$NF$150,MATCH(1,(GMW!$NE$2:$NE$150=AO$3)*(GMW!$ND$2:$ND$150=AO$4)*(GMW!$NF$2:$NF$150=AO$1),0),$C214-1966)</f>
        <v>64366.69</v>
      </c>
      <c r="AP214" s="4" cm="1">
        <f t="array" ref="AP214">INDEX(GMW!$A$2:$NF$150,MATCH(1,(GMW!$NE$2:$NE$150=AP$3)*(GMW!$ND$2:$ND$150=AP$4)*(GMW!$NF$2:$NF$150=AP$1),0),$C214-1966)</f>
        <v>646701.80000000005</v>
      </c>
      <c r="AQ214" s="4" cm="1">
        <f t="array" ref="AQ214">INDEX(GMW!$A$2:$NF$150,MATCH(1,(GMW!$NE$2:$NE$150=AQ$3)*(GMW!$ND$2:$ND$150=AQ$4)*(GMW!$NF$2:$NF$150=AQ$1),0),$C214-1966)</f>
        <v>33792.35</v>
      </c>
      <c r="AR214" s="4" cm="1">
        <f t="array" ref="AR214">INDEX(GMW!$A$2:$NF$150,MATCH(1,(GMW!$NE$2:$NE$150=AR$3)*(GMW!$ND$2:$ND$150=AR$4)*(GMW!$NF$2:$NF$150=AR$1),0),$C214-1966)</f>
        <v>32</v>
      </c>
      <c r="AS214" s="4" cm="1">
        <f t="array" ref="AS214">INDEX(GMW!$A$2:$NF$150,MATCH(1,(GMW!$NE$2:$NE$150=AS$3)*(GMW!$ND$2:$ND$150=AS$4)*(GMW!$NF$2:$NF$150=AS$1),0),$C214-1966)</f>
        <v>619001.9</v>
      </c>
      <c r="AT214" s="4" cm="1">
        <f t="array" ref="AT214">INDEX(GMW!$A$2:$NF$150,MATCH(1,(GMW!$NE$2:$NE$150=AT$3)*(GMW!$ND$2:$ND$150=AT$4)*(GMW!$NF$2:$NF$150=AT$1),0),$C214-1966)</f>
        <v>44706.68</v>
      </c>
      <c r="AU214" s="4" cm="1">
        <f t="array" ref="AU214">INDEX(GMW!$A$2:$NF$150,MATCH(1,(GMW!$NE$2:$NE$150=AU$3)*(GMW!$ND$2:$ND$150=AU$4)*(GMW!$NF$2:$NF$150=AU$1),0),$C214-1966)</f>
        <v>3344673</v>
      </c>
      <c r="AV214" s="4" cm="1">
        <f t="array" ref="AV214">INDEX(GMW!$A$2:$NF$150,MATCH(1,(GMW!$NE$2:$NE$150=AV$3)*(GMW!$ND$2:$ND$150=AV$4)*(GMW!$NF$2:$NF$150=AV$1),0),$C214-1966)</f>
        <v>-1.6966399999999999</v>
      </c>
    </row>
    <row r="215" spans="1:48" x14ac:dyDescent="0.25">
      <c r="A215" s="4">
        <v>2025</v>
      </c>
      <c r="B215" s="4">
        <f t="shared" si="10"/>
        <v>2025</v>
      </c>
      <c r="C215" s="4">
        <f t="shared" si="9"/>
        <v>2181</v>
      </c>
      <c r="D215" s="4" cm="1">
        <f t="array" ref="D215">INDEX(GMW!$A$2:$NF$150,MATCH(1,(GMW!$NE$2:$NE$150=D$3)*(GMW!$ND$2:$ND$150=D$4)*(GMW!$NF$2:$NF$150=D$1),0),$C215-1966)</f>
        <v>645889.69999999995</v>
      </c>
      <c r="E215" s="4" cm="1">
        <f t="array" ref="E215">INDEX(GMW!$A$2:$NF$150,MATCH(1,(GMW!$NE$2:$NE$150=E$3)*(GMW!$ND$2:$ND$150=E$4)*(GMW!$NF$2:$NF$150=E$1),0),$C215-1966)</f>
        <v>135.9528</v>
      </c>
      <c r="F215" s="4" cm="1">
        <f t="array" ref="F215">INDEX(GMW!$A$2:$NF$150,MATCH(1,(GMW!$NE$2:$NE$150=F$3)*(GMW!$ND$2:$ND$150=F$4)*(GMW!$NF$2:$NF$150=F$1),0),$C215-1966)</f>
        <v>213021.5</v>
      </c>
      <c r="G215" s="4" cm="1">
        <f t="array" ref="G215">INDEX(GMW!$A$2:$NF$150,MATCH(1,(GMW!$NE$2:$NE$150=G$3)*(GMW!$ND$2:$ND$150=G$4)*(GMW!$NF$2:$NF$150=G$1),0),$C215-1966)</f>
        <v>78863.960000000006</v>
      </c>
      <c r="H215" s="4" cm="1">
        <f t="array" ref="H215">INDEX(GMW!$A$2:$NF$150,MATCH(1,(GMW!$NE$2:$NE$150=H$3)*(GMW!$ND$2:$ND$150=H$4)*(GMW!$NF$2:$NF$150=H$1),0),$C215-1966)</f>
        <v>229677.4</v>
      </c>
      <c r="I215" s="4" cm="1">
        <f t="array" ref="I215">INDEX(GMW!$A$2:$NF$150,MATCH(1,(GMW!$NE$2:$NE$150=I$3)*(GMW!$ND$2:$ND$150=I$4)*(GMW!$NF$2:$NF$150=I$1),0),$C215-1966)</f>
        <v>127377.60000000001</v>
      </c>
      <c r="J215" s="4" cm="1">
        <f t="array" ref="J215">INDEX(GMW!$A$2:$NF$150,MATCH(1,(GMW!$NE$2:$NE$150=J$3)*(GMW!$ND$2:$ND$150=J$4)*(GMW!$NF$2:$NF$150=J$1),0),$C215-1966)</f>
        <v>115682.3</v>
      </c>
      <c r="K215" s="4" cm="1">
        <f t="array" ref="K215">INDEX(GMW!$A$2:$NF$150,MATCH(1,(GMW!$NE$2:$NE$150=K$3)*(GMW!$ND$2:$ND$150=K$4)*(GMW!$NF$2:$NF$150=K$1),0),$C215-1966)</f>
        <v>63851.91</v>
      </c>
      <c r="L215" s="4" cm="1">
        <f t="array" ref="L215">INDEX(GMW!$A$2:$NF$150,MATCH(1,(GMW!$NE$2:$NE$150=L$3)*(GMW!$ND$2:$ND$150=L$4)*(GMW!$NF$2:$NF$150=L$1),0),$C215-1966)</f>
        <v>649760.69999999995</v>
      </c>
      <c r="M215" s="4" cm="1">
        <f t="array" ref="M215">INDEX(GMW!$A$2:$NF$150,MATCH(1,(GMW!$NE$2:$NE$150=M$3)*(GMW!$ND$2:$ND$150=M$4)*(GMW!$NF$2:$NF$150=M$1),0),$C215-1966)</f>
        <v>34010.44</v>
      </c>
      <c r="N215" s="4" cm="1">
        <f t="array" ref="N215">INDEX(GMW!$A$2:$NF$150,MATCH(1,(GMW!$NE$2:$NE$150=N$3)*(GMW!$ND$2:$ND$150=N$4)*(GMW!$NF$2:$NF$150=N$1),0),$C215-1966)</f>
        <v>32</v>
      </c>
      <c r="O215" s="4" cm="1">
        <f t="array" ref="O215">INDEX(GMW!$A$2:$NF$150,MATCH(1,(GMW!$NE$2:$NE$150=O$3)*(GMW!$ND$2:$ND$150=O$4)*(GMW!$NF$2:$NF$150=O$1),0),$C215-1966)</f>
        <v>621311</v>
      </c>
      <c r="P215" s="4" cm="1">
        <f t="array" ref="P215">INDEX(GMW!$A$2:$NF$150,MATCH(1,(GMW!$NE$2:$NE$150=P$3)*(GMW!$ND$2:$ND$150=P$4)*(GMW!$NF$2:$NF$150=P$1),0),$C215-1966)</f>
        <v>44803.11</v>
      </c>
      <c r="Q215" s="4" cm="1">
        <f t="array" ref="Q215">INDEX(GMW!$A$2:$NF$150,MATCH(1,(GMW!$NE$2:$NE$150=Q$3)*(GMW!$ND$2:$ND$150=Q$4)*(GMW!$NF$2:$NF$150=Q$1),0),$C215-1966)</f>
        <v>3356967</v>
      </c>
      <c r="R215" s="4" cm="1">
        <f t="array" ref="R215">INDEX(GMW!$A$2:$NF$150,MATCH(1,(GMW!$NE$2:$NE$150=R$3)*(GMW!$ND$2:$ND$150=R$4)*(GMW!$NF$2:$NF$150=R$1),0),$C215-1966)</f>
        <v>-1.697657</v>
      </c>
      <c r="S215" s="4" cm="1">
        <f t="array" ref="S215">INDEX(GMW!$A$2:$NF$150,MATCH(1,(GMW!$NE$2:$NE$150=S$3)*(GMW!$ND$2:$ND$150=S$4)*(GMW!$NF$2:$NF$150=S$1),0),$C215-1966)</f>
        <v>643013.5</v>
      </c>
      <c r="T215" s="4" cm="1">
        <f t="array" ref="T215">INDEX(GMW!$A$2:$NF$150,MATCH(1,(GMW!$NE$2:$NE$150=T$3)*(GMW!$ND$2:$ND$150=T$4)*(GMW!$NF$2:$NF$150=T$1),0),$C215-1966)</f>
        <v>135.96260000000001</v>
      </c>
      <c r="U215" s="4" cm="1">
        <f t="array" ref="U215">INDEX(GMW!$A$2:$NF$150,MATCH(1,(GMW!$NE$2:$NE$150=U$3)*(GMW!$ND$2:$ND$150=U$4)*(GMW!$NF$2:$NF$150=U$1),0),$C215-1966)</f>
        <v>196913.3</v>
      </c>
      <c r="V215" s="4" cm="1">
        <f t="array" ref="V215">INDEX(GMW!$A$2:$NF$150,MATCH(1,(GMW!$NE$2:$NE$150=V$3)*(GMW!$ND$2:$ND$150=V$4)*(GMW!$NF$2:$NF$150=V$1),0),$C215-1966)</f>
        <v>76131.13</v>
      </c>
      <c r="W215" s="4" cm="1">
        <f t="array" ref="W215">INDEX(GMW!$A$2:$NF$150,MATCH(1,(GMW!$NE$2:$NE$150=W$3)*(GMW!$ND$2:$ND$150=W$4)*(GMW!$NF$2:$NF$150=W$1),0),$C215-1966)</f>
        <v>215184.6</v>
      </c>
      <c r="X215" s="4" cm="1">
        <f t="array" ref="X215">INDEX(GMW!$A$2:$NF$150,MATCH(1,(GMW!$NE$2:$NE$150=X$3)*(GMW!$ND$2:$ND$150=X$4)*(GMW!$NF$2:$NF$150=X$1),0),$C215-1966)</f>
        <v>117082.6</v>
      </c>
      <c r="Y215" s="4" cm="1">
        <f t="array" ref="Y215">INDEX(GMW!$A$2:$NF$150,MATCH(1,(GMW!$NE$2:$NE$150=Y$3)*(GMW!$ND$2:$ND$150=Y$4)*(GMW!$NF$2:$NF$150=Y$1),0),$C215-1966)</f>
        <v>113394.5</v>
      </c>
      <c r="Z215" s="4" cm="1">
        <f t="array" ref="Z215">INDEX(GMW!$A$2:$NF$150,MATCH(1,(GMW!$NE$2:$NE$150=Z$3)*(GMW!$ND$2:$ND$150=Z$4)*(GMW!$NF$2:$NF$150=Z$1),0),$C215-1966)</f>
        <v>63578.53</v>
      </c>
      <c r="AA215" s="4" cm="1">
        <f t="array" ref="AA215">INDEX(GMW!$A$2:$NF$150,MATCH(1,(GMW!$NE$2:$NE$150=AA$3)*(GMW!$ND$2:$ND$150=AA$4)*(GMW!$NF$2:$NF$150=AA$1),0),$C215-1966)</f>
        <v>649314.1</v>
      </c>
      <c r="AB215" s="4" cm="1">
        <f t="array" ref="AB215">INDEX(GMW!$A$2:$NF$150,MATCH(1,(GMW!$NE$2:$NE$150=AB$3)*(GMW!$ND$2:$ND$150=AB$4)*(GMW!$NF$2:$NF$150=AB$1),0),$C215-1966)</f>
        <v>33914.54</v>
      </c>
      <c r="AC215" s="4" cm="1">
        <f t="array" ref="AC215">INDEX(GMW!$A$2:$NF$150,MATCH(1,(GMW!$NE$2:$NE$150=AC$3)*(GMW!$ND$2:$ND$150=AC$4)*(GMW!$NF$2:$NF$150=AC$1),0),$C215-1966)</f>
        <v>32</v>
      </c>
      <c r="AD215" s="4" cm="1">
        <f t="array" ref="AD215">INDEX(GMW!$A$2:$NF$150,MATCH(1,(GMW!$NE$2:$NE$150=AD$3)*(GMW!$ND$2:$ND$150=AD$4)*(GMW!$NF$2:$NF$150=AD$1),0),$C215-1966)</f>
        <v>621311</v>
      </c>
      <c r="AE215" s="4" cm="1">
        <f t="array" ref="AE215">INDEX(GMW!$A$2:$NF$150,MATCH(1,(GMW!$NE$2:$NE$150=AE$3)*(GMW!$ND$2:$ND$150=AE$4)*(GMW!$NF$2:$NF$150=AE$1),0),$C215-1966)</f>
        <v>44803.11</v>
      </c>
      <c r="AF215" s="4" cm="1">
        <f t="array" ref="AF215">INDEX(GMW!$A$2:$NF$150,MATCH(1,(GMW!$NE$2:$NE$150=AF$3)*(GMW!$ND$2:$ND$150=AF$4)*(GMW!$NF$2:$NF$150=AF$1),0),$C215-1966)</f>
        <v>3354436</v>
      </c>
      <c r="AG215" s="4" cm="1">
        <f t="array" ref="AG215">INDEX(GMW!$A$2:$NF$150,MATCH(1,(GMW!$NE$2:$NE$150=AG$3)*(GMW!$ND$2:$ND$150=AG$4)*(GMW!$NF$2:$NF$150=AG$1),0),$C215-1966)</f>
        <v>-1.6964699999999999</v>
      </c>
      <c r="AH215" s="4" cm="1">
        <f t="array" ref="AH215">INDEX(GMW!$A$2:$NF$150,MATCH(1,(GMW!$NE$2:$NE$150=AH$3)*(GMW!$ND$2:$ND$150=AH$4)*(GMW!$NF$2:$NF$150=AH$1),0),$C215-1966)</f>
        <v>642502.80000000005</v>
      </c>
      <c r="AI215" s="4" cm="1">
        <f t="array" ref="AI215">INDEX(GMW!$A$2:$NF$150,MATCH(1,(GMW!$NE$2:$NE$150=AI$3)*(GMW!$ND$2:$ND$150=AI$4)*(GMW!$NF$2:$NF$150=AI$1),0),$C215-1966)</f>
        <v>135.8252</v>
      </c>
      <c r="AJ215" s="4" cm="1">
        <f t="array" ref="AJ215">INDEX(GMW!$A$2:$NF$150,MATCH(1,(GMW!$NE$2:$NE$150=AJ$3)*(GMW!$ND$2:$ND$150=AJ$4)*(GMW!$NF$2:$NF$150=AJ$1),0),$C215-1966)</f>
        <v>199580.5</v>
      </c>
      <c r="AK215" s="4" cm="1">
        <f t="array" ref="AK215">INDEX(GMW!$A$2:$NF$150,MATCH(1,(GMW!$NE$2:$NE$150=AK$3)*(GMW!$ND$2:$ND$150=AK$4)*(GMW!$NF$2:$NF$150=AK$1),0),$C215-1966)</f>
        <v>76472.570000000007</v>
      </c>
      <c r="AL215" s="4" cm="1">
        <f t="array" ref="AL215">INDEX(GMW!$A$2:$NF$150,MATCH(1,(GMW!$NE$2:$NE$150=AL$3)*(GMW!$ND$2:$ND$150=AL$4)*(GMW!$NF$2:$NF$150=AL$1),0),$C215-1966)</f>
        <v>217649.6</v>
      </c>
      <c r="AM215" s="4" cm="1">
        <f t="array" ref="AM215">INDEX(GMW!$A$2:$NF$150,MATCH(1,(GMW!$NE$2:$NE$150=AM$3)*(GMW!$ND$2:$ND$150=AM$4)*(GMW!$NF$2:$NF$150=AM$1),0),$C215-1966)</f>
        <v>118532.5</v>
      </c>
      <c r="AN215" s="4" cm="1">
        <f t="array" ref="AN215">INDEX(GMW!$A$2:$NF$150,MATCH(1,(GMW!$NE$2:$NE$150=AN$3)*(GMW!$ND$2:$ND$150=AN$4)*(GMW!$NF$2:$NF$150=AN$1),0),$C215-1966)</f>
        <v>113354.2</v>
      </c>
      <c r="AO215" s="4" cm="1">
        <f t="array" ref="AO215">INDEX(GMW!$A$2:$NF$150,MATCH(1,(GMW!$NE$2:$NE$150=AO$3)*(GMW!$ND$2:$ND$150=AO$4)*(GMW!$NF$2:$NF$150=AO$1),0),$C215-1966)</f>
        <v>64431.09</v>
      </c>
      <c r="AP215" s="4" cm="1">
        <f t="array" ref="AP215">INDEX(GMW!$A$2:$NF$150,MATCH(1,(GMW!$NE$2:$NE$150=AP$3)*(GMW!$ND$2:$ND$150=AP$4)*(GMW!$NF$2:$NF$150=AP$1),0),$C215-1966)</f>
        <v>648669.1</v>
      </c>
      <c r="AQ215" s="4" cm="1">
        <f t="array" ref="AQ215">INDEX(GMW!$A$2:$NF$150,MATCH(1,(GMW!$NE$2:$NE$150=AQ$3)*(GMW!$ND$2:$ND$150=AQ$4)*(GMW!$NF$2:$NF$150=AQ$1),0),$C215-1966)</f>
        <v>33858.49</v>
      </c>
      <c r="AR215" s="4" cm="1">
        <f t="array" ref="AR215">INDEX(GMW!$A$2:$NF$150,MATCH(1,(GMW!$NE$2:$NE$150=AR$3)*(GMW!$ND$2:$ND$150=AR$4)*(GMW!$NF$2:$NF$150=AR$1),0),$C215-1966)</f>
        <v>32</v>
      </c>
      <c r="AS215" s="4" cm="1">
        <f t="array" ref="AS215">INDEX(GMW!$A$2:$NF$150,MATCH(1,(GMW!$NE$2:$NE$150=AS$3)*(GMW!$ND$2:$ND$150=AS$4)*(GMW!$NF$2:$NF$150=AS$1),0),$C215-1966)</f>
        <v>621248.80000000005</v>
      </c>
      <c r="AT215" s="4" cm="1">
        <f t="array" ref="AT215">INDEX(GMW!$A$2:$NF$150,MATCH(1,(GMW!$NE$2:$NE$150=AT$3)*(GMW!$ND$2:$ND$150=AT$4)*(GMW!$NF$2:$NF$150=AT$1),0),$C215-1966)</f>
        <v>44799.11</v>
      </c>
      <c r="AU215" s="4" cm="1">
        <f t="array" ref="AU215">INDEX(GMW!$A$2:$NF$150,MATCH(1,(GMW!$NE$2:$NE$150=AU$3)*(GMW!$ND$2:$ND$150=AU$4)*(GMW!$NF$2:$NF$150=AU$1),0),$C215-1966)</f>
        <v>3354482</v>
      </c>
      <c r="AV215" s="4" cm="1">
        <f t="array" ref="AV215">INDEX(GMW!$A$2:$NF$150,MATCH(1,(GMW!$NE$2:$NE$150=AV$3)*(GMW!$ND$2:$ND$150=AV$4)*(GMW!$NF$2:$NF$150=AV$1),0),$C215-1966)</f>
        <v>-1.696385</v>
      </c>
    </row>
    <row r="216" spans="1:48" x14ac:dyDescent="0.25">
      <c r="B216" s="4">
        <f t="shared" si="10"/>
        <v>2025</v>
      </c>
      <c r="C216" s="4">
        <f t="shared" si="9"/>
        <v>2182</v>
      </c>
      <c r="D216" s="4" cm="1">
        <f t="array" ref="D216">INDEX(GMW!$A$2:$NF$150,MATCH(1,(GMW!$NE$2:$NE$150=D$3)*(GMW!$ND$2:$ND$150=D$4)*(GMW!$NF$2:$NF$150=D$1),0),$C216-1966)</f>
        <v>647140.19999999995</v>
      </c>
      <c r="E216" s="4" cm="1">
        <f t="array" ref="E216">INDEX(GMW!$A$2:$NF$150,MATCH(1,(GMW!$NE$2:$NE$150=E$3)*(GMW!$ND$2:$ND$150=E$4)*(GMW!$NF$2:$NF$150=E$1),0),$C216-1966)</f>
        <v>137.9324</v>
      </c>
      <c r="F216" s="4" cm="1">
        <f t="array" ref="F216">INDEX(GMW!$A$2:$NF$150,MATCH(1,(GMW!$NE$2:$NE$150=F$3)*(GMW!$ND$2:$ND$150=F$4)*(GMW!$NF$2:$NF$150=F$1),0),$C216-1966)</f>
        <v>210222.1</v>
      </c>
      <c r="G216" s="4" cm="1">
        <f t="array" ref="G216">INDEX(GMW!$A$2:$NF$150,MATCH(1,(GMW!$NE$2:$NE$150=G$3)*(GMW!$ND$2:$ND$150=G$4)*(GMW!$NF$2:$NF$150=G$1),0),$C216-1966)</f>
        <v>76532.990000000005</v>
      </c>
      <c r="H216" s="4" cm="1">
        <f t="array" ref="H216">INDEX(GMW!$A$2:$NF$150,MATCH(1,(GMW!$NE$2:$NE$150=H$3)*(GMW!$ND$2:$ND$150=H$4)*(GMW!$NF$2:$NF$150=H$1),0),$C216-1966)</f>
        <v>228092.7</v>
      </c>
      <c r="I216" s="4" cm="1">
        <f t="array" ref="I216">INDEX(GMW!$A$2:$NF$150,MATCH(1,(GMW!$NE$2:$NE$150=I$3)*(GMW!$ND$2:$ND$150=I$4)*(GMW!$NF$2:$NF$150=I$1),0),$C216-1966)</f>
        <v>125813.1</v>
      </c>
      <c r="J216" s="4" cm="1">
        <f t="array" ref="J216">INDEX(GMW!$A$2:$NF$150,MATCH(1,(GMW!$NE$2:$NE$150=J$3)*(GMW!$ND$2:$ND$150=J$4)*(GMW!$NF$2:$NF$150=J$1),0),$C216-1966)</f>
        <v>115766.3</v>
      </c>
      <c r="K216" s="4" cm="1">
        <f t="array" ref="K216">INDEX(GMW!$A$2:$NF$150,MATCH(1,(GMW!$NE$2:$NE$150=K$3)*(GMW!$ND$2:$ND$150=K$4)*(GMW!$NF$2:$NF$150=K$1),0),$C216-1966)</f>
        <v>63839.13</v>
      </c>
      <c r="L216" s="4" cm="1">
        <f t="array" ref="L216">INDEX(GMW!$A$2:$NF$150,MATCH(1,(GMW!$NE$2:$NE$150=L$3)*(GMW!$ND$2:$ND$150=L$4)*(GMW!$NF$2:$NF$150=L$1),0),$C216-1966)</f>
        <v>651663.30000000005</v>
      </c>
      <c r="M216" s="4" cm="1">
        <f t="array" ref="M216">INDEX(GMW!$A$2:$NF$150,MATCH(1,(GMW!$NE$2:$NE$150=M$3)*(GMW!$ND$2:$ND$150=M$4)*(GMW!$NF$2:$NF$150=M$1),0),$C216-1966)</f>
        <v>34078.46</v>
      </c>
      <c r="N216" s="4" cm="1">
        <f t="array" ref="N216">INDEX(GMW!$A$2:$NF$150,MATCH(1,(GMW!$NE$2:$NE$150=N$3)*(GMW!$ND$2:$ND$150=N$4)*(GMW!$NF$2:$NF$150=N$1),0),$C216-1966)</f>
        <v>32</v>
      </c>
      <c r="O216" s="4" cm="1">
        <f t="array" ref="O216">INDEX(GMW!$A$2:$NF$150,MATCH(1,(GMW!$NE$2:$NE$150=O$3)*(GMW!$ND$2:$ND$150=O$4)*(GMW!$NF$2:$NF$150=O$1),0),$C216-1966)</f>
        <v>623927.4</v>
      </c>
      <c r="P216" s="4" cm="1">
        <f t="array" ref="P216">INDEX(GMW!$A$2:$NF$150,MATCH(1,(GMW!$NE$2:$NE$150=P$3)*(GMW!$ND$2:$ND$150=P$4)*(GMW!$NF$2:$NF$150=P$1),0),$C216-1966)</f>
        <v>44922.03</v>
      </c>
      <c r="Q216" s="4" cm="1">
        <f t="array" ref="Q216">INDEX(GMW!$A$2:$NF$150,MATCH(1,(GMW!$NE$2:$NE$150=Q$3)*(GMW!$ND$2:$ND$150=Q$4)*(GMW!$NF$2:$NF$150=Q$1),0),$C216-1966)</f>
        <v>3368621</v>
      </c>
      <c r="R216" s="4" cm="1">
        <f t="array" ref="R216">INDEX(GMW!$A$2:$NF$150,MATCH(1,(GMW!$NE$2:$NE$150=R$3)*(GMW!$ND$2:$ND$150=R$4)*(GMW!$NF$2:$NF$150=R$1),0),$C216-1966)</f>
        <v>-1.6977420000000001</v>
      </c>
      <c r="S216" s="4" cm="1">
        <f t="array" ref="S216">INDEX(GMW!$A$2:$NF$150,MATCH(1,(GMW!$NE$2:$NE$150=S$3)*(GMW!$ND$2:$ND$150=S$4)*(GMW!$NF$2:$NF$150=S$1),0),$C216-1966)</f>
        <v>645036.80000000005</v>
      </c>
      <c r="T216" s="4" cm="1">
        <f t="array" ref="T216">INDEX(GMW!$A$2:$NF$150,MATCH(1,(GMW!$NE$2:$NE$150=T$3)*(GMW!$ND$2:$ND$150=T$4)*(GMW!$NF$2:$NF$150=T$1),0),$C216-1966)</f>
        <v>138.07429999999999</v>
      </c>
      <c r="U216" s="4" cm="1">
        <f t="array" ref="U216">INDEX(GMW!$A$2:$NF$150,MATCH(1,(GMW!$NE$2:$NE$150=U$3)*(GMW!$ND$2:$ND$150=U$4)*(GMW!$NF$2:$NF$150=U$1),0),$C216-1966)</f>
        <v>197434.1</v>
      </c>
      <c r="V216" s="4" cm="1">
        <f t="array" ref="V216">INDEX(GMW!$A$2:$NF$150,MATCH(1,(GMW!$NE$2:$NE$150=V$3)*(GMW!$ND$2:$ND$150=V$4)*(GMW!$NF$2:$NF$150=V$1),0),$C216-1966)</f>
        <v>76218.149999999994</v>
      </c>
      <c r="W216" s="4" cm="1">
        <f t="array" ref="W216">INDEX(GMW!$A$2:$NF$150,MATCH(1,(GMW!$NE$2:$NE$150=W$3)*(GMW!$ND$2:$ND$150=W$4)*(GMW!$NF$2:$NF$150=W$1),0),$C216-1966)</f>
        <v>216200.7</v>
      </c>
      <c r="X216" s="4" cm="1">
        <f t="array" ref="X216">INDEX(GMW!$A$2:$NF$150,MATCH(1,(GMW!$NE$2:$NE$150=X$3)*(GMW!$ND$2:$ND$150=X$4)*(GMW!$NF$2:$NF$150=X$1),0),$C216-1966)</f>
        <v>117599.7</v>
      </c>
      <c r="Y216" s="4" cm="1">
        <f t="array" ref="Y216">INDEX(GMW!$A$2:$NF$150,MATCH(1,(GMW!$NE$2:$NE$150=Y$3)*(GMW!$ND$2:$ND$150=Y$4)*(GMW!$NF$2:$NF$150=Y$1),0),$C216-1966)</f>
        <v>114065</v>
      </c>
      <c r="Z216" s="4" cm="1">
        <f t="array" ref="Z216">INDEX(GMW!$A$2:$NF$150,MATCH(1,(GMW!$NE$2:$NE$150=Z$3)*(GMW!$ND$2:$ND$150=Z$4)*(GMW!$NF$2:$NF$150=Z$1),0),$C216-1966)</f>
        <v>63756.54</v>
      </c>
      <c r="AA216" s="4" cm="1">
        <f t="array" ref="AA216">INDEX(GMW!$A$2:$NF$150,MATCH(1,(GMW!$NE$2:$NE$150=AA$3)*(GMW!$ND$2:$ND$150=AA$4)*(GMW!$NF$2:$NF$150=AA$1),0),$C216-1966)</f>
        <v>651120.4</v>
      </c>
      <c r="AB216" s="4" cm="1">
        <f t="array" ref="AB216">INDEX(GMW!$A$2:$NF$150,MATCH(1,(GMW!$NE$2:$NE$150=AB$3)*(GMW!$ND$2:$ND$150=AB$4)*(GMW!$NF$2:$NF$150=AB$1),0),$C216-1966)</f>
        <v>33973.15</v>
      </c>
      <c r="AC216" s="4" cm="1">
        <f t="array" ref="AC216">INDEX(GMW!$A$2:$NF$150,MATCH(1,(GMW!$NE$2:$NE$150=AC$3)*(GMW!$ND$2:$ND$150=AC$4)*(GMW!$NF$2:$NF$150=AC$1),0),$C216-1966)</f>
        <v>32</v>
      </c>
      <c r="AD216" s="4" cm="1">
        <f t="array" ref="AD216">INDEX(GMW!$A$2:$NF$150,MATCH(1,(GMW!$NE$2:$NE$150=AD$3)*(GMW!$ND$2:$ND$150=AD$4)*(GMW!$NF$2:$NF$150=AD$1),0),$C216-1966)</f>
        <v>623927.4</v>
      </c>
      <c r="AE216" s="4" cm="1">
        <f t="array" ref="AE216">INDEX(GMW!$A$2:$NF$150,MATCH(1,(GMW!$NE$2:$NE$150=AE$3)*(GMW!$ND$2:$ND$150=AE$4)*(GMW!$NF$2:$NF$150=AE$1),0),$C216-1966)</f>
        <v>44922.03</v>
      </c>
      <c r="AF216" s="4" cm="1">
        <f t="array" ref="AF216">INDEX(GMW!$A$2:$NF$150,MATCH(1,(GMW!$NE$2:$NE$150=AF$3)*(GMW!$ND$2:$ND$150=AF$4)*(GMW!$NF$2:$NF$150=AF$1),0),$C216-1966)</f>
        <v>3364431</v>
      </c>
      <c r="AG216" s="4" cm="1">
        <f t="array" ref="AG216">INDEX(GMW!$A$2:$NF$150,MATCH(1,(GMW!$NE$2:$NE$150=AG$3)*(GMW!$ND$2:$ND$150=AG$4)*(GMW!$NF$2:$NF$150=AG$1),0),$C216-1966)</f>
        <v>-1.6962999999999999</v>
      </c>
      <c r="AH216" s="4" cm="1">
        <f t="array" ref="AH216">INDEX(GMW!$A$2:$NF$150,MATCH(1,(GMW!$NE$2:$NE$150=AH$3)*(GMW!$ND$2:$ND$150=AH$4)*(GMW!$NF$2:$NF$150=AH$1),0),$C216-1966)</f>
        <v>644937.6</v>
      </c>
      <c r="AI216" s="4" cm="1">
        <f t="array" ref="AI216">INDEX(GMW!$A$2:$NF$150,MATCH(1,(GMW!$NE$2:$NE$150=AI$3)*(GMW!$ND$2:$ND$150=AI$4)*(GMW!$NF$2:$NF$150=AI$1),0),$C216-1966)</f>
        <v>137.63630000000001</v>
      </c>
      <c r="AJ216" s="4" cm="1">
        <f t="array" ref="AJ216">INDEX(GMW!$A$2:$NF$150,MATCH(1,(GMW!$NE$2:$NE$150=AJ$3)*(GMW!$ND$2:$ND$150=AJ$4)*(GMW!$NF$2:$NF$150=AJ$1),0),$C216-1966)</f>
        <v>200403.5</v>
      </c>
      <c r="AK216" s="4" cm="1">
        <f t="array" ref="AK216">INDEX(GMW!$A$2:$NF$150,MATCH(1,(GMW!$NE$2:$NE$150=AK$3)*(GMW!$ND$2:$ND$150=AK$4)*(GMW!$NF$2:$NF$150=AK$1),0),$C216-1966)</f>
        <v>76766.45</v>
      </c>
      <c r="AL216" s="4" cm="1">
        <f t="array" ref="AL216">INDEX(GMW!$A$2:$NF$150,MATCH(1,(GMW!$NE$2:$NE$150=AL$3)*(GMW!$ND$2:$ND$150=AL$4)*(GMW!$NF$2:$NF$150=AL$1),0),$C216-1966)</f>
        <v>218748.3</v>
      </c>
      <c r="AM216" s="4" cm="1">
        <f t="array" ref="AM216">INDEX(GMW!$A$2:$NF$150,MATCH(1,(GMW!$NE$2:$NE$150=AM$3)*(GMW!$ND$2:$ND$150=AM$4)*(GMW!$NF$2:$NF$150=AM$1),0),$C216-1966)</f>
        <v>119127.2</v>
      </c>
      <c r="AN216" s="4" cm="1">
        <f t="array" ref="AN216">INDEX(GMW!$A$2:$NF$150,MATCH(1,(GMW!$NE$2:$NE$150=AN$3)*(GMW!$ND$2:$ND$150=AN$4)*(GMW!$NF$2:$NF$150=AN$1),0),$C216-1966)</f>
        <v>114094.3</v>
      </c>
      <c r="AO216" s="4" cm="1">
        <f t="array" ref="AO216">INDEX(GMW!$A$2:$NF$150,MATCH(1,(GMW!$NE$2:$NE$150=AO$3)*(GMW!$ND$2:$ND$150=AO$4)*(GMW!$NF$2:$NF$150=AO$1),0),$C216-1966)</f>
        <v>64650.15</v>
      </c>
      <c r="AP216" s="4" cm="1">
        <f t="array" ref="AP216">INDEX(GMW!$A$2:$NF$150,MATCH(1,(GMW!$NE$2:$NE$150=AP$3)*(GMW!$ND$2:$ND$150=AP$4)*(GMW!$NF$2:$NF$150=AP$1),0),$C216-1966)</f>
        <v>650558.1</v>
      </c>
      <c r="AQ216" s="4" cm="1">
        <f t="array" ref="AQ216">INDEX(GMW!$A$2:$NF$150,MATCH(1,(GMW!$NE$2:$NE$150=AQ$3)*(GMW!$ND$2:$ND$150=AQ$4)*(GMW!$NF$2:$NF$150=AQ$1),0),$C216-1966)</f>
        <v>33919.089999999997</v>
      </c>
      <c r="AR216" s="4" cm="1">
        <f t="array" ref="AR216">INDEX(GMW!$A$2:$NF$150,MATCH(1,(GMW!$NE$2:$NE$150=AR$3)*(GMW!$ND$2:$ND$150=AR$4)*(GMW!$NF$2:$NF$150=AR$1),0),$C216-1966)</f>
        <v>32</v>
      </c>
      <c r="AS216" s="4" cm="1">
        <f t="array" ref="AS216">INDEX(GMW!$A$2:$NF$150,MATCH(1,(GMW!$NE$2:$NE$150=AS$3)*(GMW!$ND$2:$ND$150=AS$4)*(GMW!$NF$2:$NF$150=AS$1),0),$C216-1966)</f>
        <v>623496.4</v>
      </c>
      <c r="AT216" s="4" cm="1">
        <f t="array" ref="AT216">INDEX(GMW!$A$2:$NF$150,MATCH(1,(GMW!$NE$2:$NE$150=AT$3)*(GMW!$ND$2:$ND$150=AT$4)*(GMW!$NF$2:$NF$150=AT$1),0),$C216-1966)</f>
        <v>44891.54</v>
      </c>
      <c r="AU216" s="4" cm="1">
        <f t="array" ref="AU216">INDEX(GMW!$A$2:$NF$150,MATCH(1,(GMW!$NE$2:$NE$150=AU$3)*(GMW!$ND$2:$ND$150=AU$4)*(GMW!$NF$2:$NF$150=AU$1),0),$C216-1966)</f>
        <v>3364602</v>
      </c>
      <c r="AV216" s="4" cm="1">
        <f t="array" ref="AV216">INDEX(GMW!$A$2:$NF$150,MATCH(1,(GMW!$NE$2:$NE$150=AV$3)*(GMW!$ND$2:$ND$150=AV$4)*(GMW!$NF$2:$NF$150=AV$1),0),$C216-1966)</f>
        <v>-1.6961310000000001</v>
      </c>
    </row>
    <row r="217" spans="1:48" x14ac:dyDescent="0.25">
      <c r="B217" s="4">
        <f t="shared" si="10"/>
        <v>2025</v>
      </c>
      <c r="C217" s="4">
        <f t="shared" si="9"/>
        <v>2183</v>
      </c>
      <c r="D217" s="4" cm="1">
        <f t="array" ref="D217">INDEX(GMW!$A$2:$NF$150,MATCH(1,(GMW!$NE$2:$NE$150=D$3)*(GMW!$ND$2:$ND$150=D$4)*(GMW!$NF$2:$NF$150=D$1),0),$C217-1966)</f>
        <v>648105.80000000005</v>
      </c>
      <c r="E217" s="4" cm="1">
        <f t="array" ref="E217">INDEX(GMW!$A$2:$NF$150,MATCH(1,(GMW!$NE$2:$NE$150=E$3)*(GMW!$ND$2:$ND$150=E$4)*(GMW!$NF$2:$NF$150=E$1),0),$C217-1966)</f>
        <v>138.49889999999999</v>
      </c>
      <c r="F217" s="4" cm="1">
        <f t="array" ref="F217">INDEX(GMW!$A$2:$NF$150,MATCH(1,(GMW!$NE$2:$NE$150=F$3)*(GMW!$ND$2:$ND$150=F$4)*(GMW!$NF$2:$NF$150=F$1),0),$C217-1966)</f>
        <v>209084.4</v>
      </c>
      <c r="G217" s="4" cm="1">
        <f t="array" ref="G217">INDEX(GMW!$A$2:$NF$150,MATCH(1,(GMW!$NE$2:$NE$150=G$3)*(GMW!$ND$2:$ND$150=G$4)*(GMW!$NF$2:$NF$150=G$1),0),$C217-1966)</f>
        <v>75001.37</v>
      </c>
      <c r="H217" s="4" cm="1">
        <f t="array" ref="H217">INDEX(GMW!$A$2:$NF$150,MATCH(1,(GMW!$NE$2:$NE$150=H$3)*(GMW!$ND$2:$ND$150=H$4)*(GMW!$NF$2:$NF$150=H$1),0),$C217-1966)</f>
        <v>227432.4</v>
      </c>
      <c r="I217" s="4" cm="1">
        <f t="array" ref="I217">INDEX(GMW!$A$2:$NF$150,MATCH(1,(GMW!$NE$2:$NE$150=I$3)*(GMW!$ND$2:$ND$150=I$4)*(GMW!$NF$2:$NF$150=I$1),0),$C217-1966)</f>
        <v>125040.2</v>
      </c>
      <c r="J217" s="4" cm="1">
        <f t="array" ref="J217">INDEX(GMW!$A$2:$NF$150,MATCH(1,(GMW!$NE$2:$NE$150=J$3)*(GMW!$ND$2:$ND$150=J$4)*(GMW!$NF$2:$NF$150=J$1),0),$C217-1966)</f>
        <v>115974.2</v>
      </c>
      <c r="K217" s="4" cm="1">
        <f t="array" ref="K217">INDEX(GMW!$A$2:$NF$150,MATCH(1,(GMW!$NE$2:$NE$150=K$3)*(GMW!$ND$2:$ND$150=K$4)*(GMW!$NF$2:$NF$150=K$1),0),$C217-1966)</f>
        <v>63871.05</v>
      </c>
      <c r="L217" s="4" cm="1">
        <f t="array" ref="L217">INDEX(GMW!$A$2:$NF$150,MATCH(1,(GMW!$NE$2:$NE$150=L$3)*(GMW!$ND$2:$ND$150=L$4)*(GMW!$NF$2:$NF$150=L$1),0),$C217-1966)</f>
        <v>653590.9</v>
      </c>
      <c r="M217" s="4" cm="1">
        <f t="array" ref="M217">INDEX(GMW!$A$2:$NF$150,MATCH(1,(GMW!$NE$2:$NE$150=M$3)*(GMW!$ND$2:$ND$150=M$4)*(GMW!$NF$2:$NF$150=M$1),0),$C217-1966)</f>
        <v>34150.019999999997</v>
      </c>
      <c r="N217" s="4" cm="1">
        <f t="array" ref="N217">INDEX(GMW!$A$2:$NF$150,MATCH(1,(GMW!$NE$2:$NE$150=N$3)*(GMW!$ND$2:$ND$150=N$4)*(GMW!$NF$2:$NF$150=N$1),0),$C217-1966)</f>
        <v>32</v>
      </c>
      <c r="O217" s="4" cm="1">
        <f t="array" ref="O217">INDEX(GMW!$A$2:$NF$150,MATCH(1,(GMW!$NE$2:$NE$150=O$3)*(GMW!$ND$2:$ND$150=O$4)*(GMW!$NF$2:$NF$150=O$1),0),$C217-1966)</f>
        <v>625898.6</v>
      </c>
      <c r="P217" s="4" cm="1">
        <f t="array" ref="P217">INDEX(GMW!$A$2:$NF$150,MATCH(1,(GMW!$NE$2:$NE$150=P$3)*(GMW!$ND$2:$ND$150=P$4)*(GMW!$NF$2:$NF$150=P$1),0),$C217-1966)</f>
        <v>44994.49</v>
      </c>
      <c r="Q217" s="4" cm="1">
        <f t="array" ref="Q217">INDEX(GMW!$A$2:$NF$150,MATCH(1,(GMW!$NE$2:$NE$150=Q$3)*(GMW!$ND$2:$ND$150=Q$4)*(GMW!$NF$2:$NF$150=Q$1),0),$C217-1966)</f>
        <v>3380021</v>
      </c>
      <c r="R217" s="4" cm="1">
        <f t="array" ref="R217">INDEX(GMW!$A$2:$NF$150,MATCH(1,(GMW!$NE$2:$NE$150=R$3)*(GMW!$ND$2:$ND$150=R$4)*(GMW!$NF$2:$NF$150=R$1),0),$C217-1966)</f>
        <v>-1.697827</v>
      </c>
      <c r="S217" s="4" cm="1">
        <f t="array" ref="S217">INDEX(GMW!$A$2:$NF$150,MATCH(1,(GMW!$NE$2:$NE$150=S$3)*(GMW!$ND$2:$ND$150=S$4)*(GMW!$NF$2:$NF$150=S$1),0),$C217-1966)</f>
        <v>647093.9</v>
      </c>
      <c r="T217" s="4" cm="1">
        <f t="array" ref="T217">INDEX(GMW!$A$2:$NF$150,MATCH(1,(GMW!$NE$2:$NE$150=T$3)*(GMW!$ND$2:$ND$150=T$4)*(GMW!$NF$2:$NF$150=T$1),0),$C217-1966)</f>
        <v>138.74209999999999</v>
      </c>
      <c r="U217" s="4" cm="1">
        <f t="array" ref="U217">INDEX(GMW!$A$2:$NF$150,MATCH(1,(GMW!$NE$2:$NE$150=U$3)*(GMW!$ND$2:$ND$150=U$4)*(GMW!$NF$2:$NF$150=U$1),0),$C217-1966)</f>
        <v>197765</v>
      </c>
      <c r="V217" s="4" cm="1">
        <f t="array" ref="V217">INDEX(GMW!$A$2:$NF$150,MATCH(1,(GMW!$NE$2:$NE$150=V$3)*(GMW!$ND$2:$ND$150=V$4)*(GMW!$NF$2:$NF$150=V$1),0),$C217-1966)</f>
        <v>76140.98</v>
      </c>
      <c r="W217" s="4" cm="1">
        <f t="array" ref="W217">INDEX(GMW!$A$2:$NF$150,MATCH(1,(GMW!$NE$2:$NE$150=W$3)*(GMW!$ND$2:$ND$150=W$4)*(GMW!$NF$2:$NF$150=W$1),0),$C217-1966)</f>
        <v>217132.1</v>
      </c>
      <c r="X217" s="4" cm="1">
        <f t="array" ref="X217">INDEX(GMW!$A$2:$NF$150,MATCH(1,(GMW!$NE$2:$NE$150=X$3)*(GMW!$ND$2:$ND$150=X$4)*(GMW!$NF$2:$NF$150=X$1),0),$C217-1966)</f>
        <v>118053.3</v>
      </c>
      <c r="Y217" s="4" cm="1">
        <f t="array" ref="Y217">INDEX(GMW!$A$2:$NF$150,MATCH(1,(GMW!$NE$2:$NE$150=Y$3)*(GMW!$ND$2:$ND$150=Y$4)*(GMW!$NF$2:$NF$150=Y$1),0),$C217-1966)</f>
        <v>115056.2</v>
      </c>
      <c r="Z217" s="4" cm="1">
        <f t="array" ref="Z217">INDEX(GMW!$A$2:$NF$150,MATCH(1,(GMW!$NE$2:$NE$150=Z$3)*(GMW!$ND$2:$ND$150=Z$4)*(GMW!$NF$2:$NF$150=Z$1),0),$C217-1966)</f>
        <v>63966.93</v>
      </c>
      <c r="AA217" s="4" cm="1">
        <f t="array" ref="AA217">INDEX(GMW!$A$2:$NF$150,MATCH(1,(GMW!$NE$2:$NE$150=AA$3)*(GMW!$ND$2:$ND$150=AA$4)*(GMW!$NF$2:$NF$150=AA$1),0),$C217-1966)</f>
        <v>653146.6</v>
      </c>
      <c r="AB217" s="4" cm="1">
        <f t="array" ref="AB217">INDEX(GMW!$A$2:$NF$150,MATCH(1,(GMW!$NE$2:$NE$150=AB$3)*(GMW!$ND$2:$ND$150=AB$4)*(GMW!$NF$2:$NF$150=AB$1),0),$C217-1966)</f>
        <v>34048.160000000003</v>
      </c>
      <c r="AC217" s="4" cm="1">
        <f t="array" ref="AC217">INDEX(GMW!$A$2:$NF$150,MATCH(1,(GMW!$NE$2:$NE$150=AC$3)*(GMW!$ND$2:$ND$150=AC$4)*(GMW!$NF$2:$NF$150=AC$1),0),$C217-1966)</f>
        <v>32</v>
      </c>
      <c r="AD217" s="4" cm="1">
        <f t="array" ref="AD217">INDEX(GMW!$A$2:$NF$150,MATCH(1,(GMW!$NE$2:$NE$150=AD$3)*(GMW!$ND$2:$ND$150=AD$4)*(GMW!$NF$2:$NF$150=AD$1),0),$C217-1966)</f>
        <v>625898.6</v>
      </c>
      <c r="AE217" s="4" cm="1">
        <f t="array" ref="AE217">INDEX(GMW!$A$2:$NF$150,MATCH(1,(GMW!$NE$2:$NE$150=AE$3)*(GMW!$ND$2:$ND$150=AE$4)*(GMW!$NF$2:$NF$150=AE$1),0),$C217-1966)</f>
        <v>44994.49</v>
      </c>
      <c r="AF217" s="4" cm="1">
        <f t="array" ref="AF217">INDEX(GMW!$A$2:$NF$150,MATCH(1,(GMW!$NE$2:$NE$150=AF$3)*(GMW!$ND$2:$ND$150=AF$4)*(GMW!$NF$2:$NF$150=AF$1),0),$C217-1966)</f>
        <v>3374984</v>
      </c>
      <c r="AG217" s="4" cm="1">
        <f t="array" ref="AG217">INDEX(GMW!$A$2:$NF$150,MATCH(1,(GMW!$NE$2:$NE$150=AG$3)*(GMW!$ND$2:$ND$150=AG$4)*(GMW!$NF$2:$NF$150=AG$1),0),$C217-1966)</f>
        <v>-1.6961310000000001</v>
      </c>
      <c r="AH217" s="4" cm="1">
        <f t="array" ref="AH217">INDEX(GMW!$A$2:$NF$150,MATCH(1,(GMW!$NE$2:$NE$150=AH$3)*(GMW!$ND$2:$ND$150=AH$4)*(GMW!$NF$2:$NF$150=AH$1),0),$C217-1966)</f>
        <v>647364.9</v>
      </c>
      <c r="AI217" s="4" cm="1">
        <f t="array" ref="AI217">INDEX(GMW!$A$2:$NF$150,MATCH(1,(GMW!$NE$2:$NE$150=AI$3)*(GMW!$ND$2:$ND$150=AI$4)*(GMW!$NF$2:$NF$150=AI$1),0),$C217-1966)</f>
        <v>138.46209999999999</v>
      </c>
      <c r="AJ217" s="4" cm="1">
        <f t="array" ref="AJ217">INDEX(GMW!$A$2:$NF$150,MATCH(1,(GMW!$NE$2:$NE$150=AJ$3)*(GMW!$ND$2:$ND$150=AJ$4)*(GMW!$NF$2:$NF$150=AJ$1),0),$C217-1966)</f>
        <v>201205.5</v>
      </c>
      <c r="AK217" s="4" cm="1">
        <f t="array" ref="AK217">INDEX(GMW!$A$2:$NF$150,MATCH(1,(GMW!$NE$2:$NE$150=AK$3)*(GMW!$ND$2:$ND$150=AK$4)*(GMW!$NF$2:$NF$150=AK$1),0),$C217-1966)</f>
        <v>77041.850000000006</v>
      </c>
      <c r="AL217" s="4" cm="1">
        <f t="array" ref="AL217">INDEX(GMW!$A$2:$NF$150,MATCH(1,(GMW!$NE$2:$NE$150=AL$3)*(GMW!$ND$2:$ND$150=AL$4)*(GMW!$NF$2:$NF$150=AL$1),0),$C217-1966)</f>
        <v>219828.7</v>
      </c>
      <c r="AM217" s="4" cm="1">
        <f t="array" ref="AM217">INDEX(GMW!$A$2:$NF$150,MATCH(1,(GMW!$NE$2:$NE$150=AM$3)*(GMW!$ND$2:$ND$150=AM$4)*(GMW!$NF$2:$NF$150=AM$1),0),$C217-1966)</f>
        <v>119717.7</v>
      </c>
      <c r="AN217" s="4" cm="1">
        <f t="array" ref="AN217">INDEX(GMW!$A$2:$NF$150,MATCH(1,(GMW!$NE$2:$NE$150=AN$3)*(GMW!$ND$2:$ND$150=AN$4)*(GMW!$NF$2:$NF$150=AN$1),0),$C217-1966)</f>
        <v>115138.1</v>
      </c>
      <c r="AO217" s="4" cm="1">
        <f t="array" ref="AO217">INDEX(GMW!$A$2:$NF$150,MATCH(1,(GMW!$NE$2:$NE$150=AO$3)*(GMW!$ND$2:$ND$150=AO$4)*(GMW!$NF$2:$NF$150=AO$1),0),$C217-1966)</f>
        <v>64934.61</v>
      </c>
      <c r="AP217" s="4" cm="1">
        <f t="array" ref="AP217">INDEX(GMW!$A$2:$NF$150,MATCH(1,(GMW!$NE$2:$NE$150=AP$3)*(GMW!$ND$2:$ND$150=AP$4)*(GMW!$NF$2:$NF$150=AP$1),0),$C217-1966)</f>
        <v>652585</v>
      </c>
      <c r="AQ217" s="4" cm="1">
        <f t="array" ref="AQ217">INDEX(GMW!$A$2:$NF$150,MATCH(1,(GMW!$NE$2:$NE$150=AQ$3)*(GMW!$ND$2:$ND$150=AQ$4)*(GMW!$NF$2:$NF$150=AQ$1),0),$C217-1966)</f>
        <v>33989.08</v>
      </c>
      <c r="AR217" s="4" cm="1">
        <f t="array" ref="AR217">INDEX(GMW!$A$2:$NF$150,MATCH(1,(GMW!$NE$2:$NE$150=AR$3)*(GMW!$ND$2:$ND$150=AR$4)*(GMW!$NF$2:$NF$150=AR$1),0),$C217-1966)</f>
        <v>32</v>
      </c>
      <c r="AS217" s="4" cm="1">
        <f t="array" ref="AS217">INDEX(GMW!$A$2:$NF$150,MATCH(1,(GMW!$NE$2:$NE$150=AS$3)*(GMW!$ND$2:$ND$150=AS$4)*(GMW!$NF$2:$NF$150=AS$1),0),$C217-1966)</f>
        <v>625450.30000000005</v>
      </c>
      <c r="AT217" s="4" cm="1">
        <f t="array" ref="AT217">INDEX(GMW!$A$2:$NF$150,MATCH(1,(GMW!$NE$2:$NE$150=AT$3)*(GMW!$ND$2:$ND$150=AT$4)*(GMW!$NF$2:$NF$150=AT$1),0),$C217-1966)</f>
        <v>44962.84</v>
      </c>
      <c r="AU217" s="4" cm="1">
        <f t="array" ref="AU217">INDEX(GMW!$A$2:$NF$150,MATCH(1,(GMW!$NE$2:$NE$150=AU$3)*(GMW!$ND$2:$ND$150=AU$4)*(GMW!$NF$2:$NF$150=AU$1),0),$C217-1966)</f>
        <v>3375331</v>
      </c>
      <c r="AV217" s="4" cm="1">
        <f t="array" ref="AV217">INDEX(GMW!$A$2:$NF$150,MATCH(1,(GMW!$NE$2:$NE$150=AV$3)*(GMW!$ND$2:$ND$150=AV$4)*(GMW!$NF$2:$NF$150=AV$1),0),$C217-1966)</f>
        <v>-1.6958759999999999</v>
      </c>
    </row>
    <row r="218" spans="1:48" x14ac:dyDescent="0.25">
      <c r="B218" s="4">
        <f t="shared" si="10"/>
        <v>2025</v>
      </c>
      <c r="C218" s="4">
        <f t="shared" si="9"/>
        <v>2184</v>
      </c>
      <c r="D218" s="4" cm="1">
        <f t="array" ref="D218">INDEX(GMW!$A$2:$NF$150,MATCH(1,(GMW!$NE$2:$NE$150=D$3)*(GMW!$ND$2:$ND$150=D$4)*(GMW!$NF$2:$NF$150=D$1),0),$C218-1966)</f>
        <v>649184.30000000005</v>
      </c>
      <c r="E218" s="4" cm="1">
        <f t="array" ref="E218">INDEX(GMW!$A$2:$NF$150,MATCH(1,(GMW!$NE$2:$NE$150=E$3)*(GMW!$ND$2:$ND$150=E$4)*(GMW!$NF$2:$NF$150=E$1),0),$C218-1966)</f>
        <v>139.2379</v>
      </c>
      <c r="F218" s="4" cm="1">
        <f t="array" ref="F218">INDEX(GMW!$A$2:$NF$150,MATCH(1,(GMW!$NE$2:$NE$150=F$3)*(GMW!$ND$2:$ND$150=F$4)*(GMW!$NF$2:$NF$150=F$1),0),$C218-1966)</f>
        <v>207561.3</v>
      </c>
      <c r="G218" s="4" cm="1">
        <f t="array" ref="G218">INDEX(GMW!$A$2:$NF$150,MATCH(1,(GMW!$NE$2:$NE$150=G$3)*(GMW!$ND$2:$ND$150=G$4)*(GMW!$NF$2:$NF$150=G$1),0),$C218-1966)</f>
        <v>73106.27</v>
      </c>
      <c r="H218" s="4" cm="1">
        <f t="array" ref="H218">INDEX(GMW!$A$2:$NF$150,MATCH(1,(GMW!$NE$2:$NE$150=H$3)*(GMW!$ND$2:$ND$150=H$4)*(GMW!$NF$2:$NF$150=H$1),0),$C218-1966)</f>
        <v>226646</v>
      </c>
      <c r="I218" s="4" cm="1">
        <f t="array" ref="I218">INDEX(GMW!$A$2:$NF$150,MATCH(1,(GMW!$NE$2:$NE$150=I$3)*(GMW!$ND$2:$ND$150=I$4)*(GMW!$NF$2:$NF$150=I$1),0),$C218-1966)</f>
        <v>124178.1</v>
      </c>
      <c r="J218" s="4" cm="1">
        <f t="array" ref="J218">INDEX(GMW!$A$2:$NF$150,MATCH(1,(GMW!$NE$2:$NE$150=J$3)*(GMW!$ND$2:$ND$150=J$4)*(GMW!$NF$2:$NF$150=J$1),0),$C218-1966)</f>
        <v>116190.3</v>
      </c>
      <c r="K218" s="4" cm="1">
        <f t="array" ref="K218">INDEX(GMW!$A$2:$NF$150,MATCH(1,(GMW!$NE$2:$NE$150=K$3)*(GMW!$ND$2:$ND$150=K$4)*(GMW!$NF$2:$NF$150=K$1),0),$C218-1966)</f>
        <v>63826.35</v>
      </c>
      <c r="L218" s="4" cm="1">
        <f t="array" ref="L218">INDEX(GMW!$A$2:$NF$150,MATCH(1,(GMW!$NE$2:$NE$150=L$3)*(GMW!$ND$2:$ND$150=L$4)*(GMW!$NF$2:$NF$150=L$1),0),$C218-1966)</f>
        <v>655545.4</v>
      </c>
      <c r="M218" s="4" cm="1">
        <f t="array" ref="M218">INDEX(GMW!$A$2:$NF$150,MATCH(1,(GMW!$NE$2:$NE$150=M$3)*(GMW!$ND$2:$ND$150=M$4)*(GMW!$NF$2:$NF$150=M$1),0),$C218-1966)</f>
        <v>34225.15</v>
      </c>
      <c r="N218" s="4" cm="1">
        <f t="array" ref="N218">INDEX(GMW!$A$2:$NF$150,MATCH(1,(GMW!$NE$2:$NE$150=N$3)*(GMW!$ND$2:$ND$150=N$4)*(GMW!$NF$2:$NF$150=N$1),0),$C218-1966)</f>
        <v>32</v>
      </c>
      <c r="O218" s="4" cm="1">
        <f t="array" ref="O218">INDEX(GMW!$A$2:$NF$150,MATCH(1,(GMW!$NE$2:$NE$150=O$3)*(GMW!$ND$2:$ND$150=O$4)*(GMW!$NF$2:$NF$150=O$1),0),$C218-1966)</f>
        <v>627869.1</v>
      </c>
      <c r="P218" s="4" cm="1">
        <f t="array" ref="P218">INDEX(GMW!$A$2:$NF$150,MATCH(1,(GMW!$NE$2:$NE$150=P$3)*(GMW!$ND$2:$ND$150=P$4)*(GMW!$NF$2:$NF$150=P$1),0),$C218-1966)</f>
        <v>45066.95</v>
      </c>
      <c r="Q218" s="4" cm="1">
        <f t="array" ref="Q218">INDEX(GMW!$A$2:$NF$150,MATCH(1,(GMW!$NE$2:$NE$150=Q$3)*(GMW!$ND$2:$ND$150=Q$4)*(GMW!$NF$2:$NF$150=Q$1),0),$C218-1966)</f>
        <v>3391169</v>
      </c>
      <c r="R218" s="4" cm="1">
        <f t="array" ref="R218">INDEX(GMW!$A$2:$NF$150,MATCH(1,(GMW!$NE$2:$NE$150=R$3)*(GMW!$ND$2:$ND$150=R$4)*(GMW!$NF$2:$NF$150=R$1),0),$C218-1966)</f>
        <v>-1.6979120000000001</v>
      </c>
      <c r="S218" s="4" cm="1">
        <f t="array" ref="S218">INDEX(GMW!$A$2:$NF$150,MATCH(1,(GMW!$NE$2:$NE$150=S$3)*(GMW!$ND$2:$ND$150=S$4)*(GMW!$NF$2:$NF$150=S$1),0),$C218-1966)</f>
        <v>649337.30000000005</v>
      </c>
      <c r="T218" s="4" cm="1">
        <f t="array" ref="T218">INDEX(GMW!$A$2:$NF$150,MATCH(1,(GMW!$NE$2:$NE$150=T$3)*(GMW!$ND$2:$ND$150=T$4)*(GMW!$NF$2:$NF$150=T$1),0),$C218-1966)</f>
        <v>139.53399999999999</v>
      </c>
      <c r="U218" s="4" cm="1">
        <f t="array" ref="U218">INDEX(GMW!$A$2:$NF$150,MATCH(1,(GMW!$NE$2:$NE$150=U$3)*(GMW!$ND$2:$ND$150=U$4)*(GMW!$NF$2:$NF$150=U$1),0),$C218-1966)</f>
        <v>198112.7</v>
      </c>
      <c r="V218" s="4" cm="1">
        <f t="array" ref="V218">INDEX(GMW!$A$2:$NF$150,MATCH(1,(GMW!$NE$2:$NE$150=V$3)*(GMW!$ND$2:$ND$150=V$4)*(GMW!$NF$2:$NF$150=V$1),0),$C218-1966)</f>
        <v>76067.3</v>
      </c>
      <c r="W218" s="4" cm="1">
        <f t="array" ref="W218">INDEX(GMW!$A$2:$NF$150,MATCH(1,(GMW!$NE$2:$NE$150=W$3)*(GMW!$ND$2:$ND$150=W$4)*(GMW!$NF$2:$NF$150=W$1),0),$C218-1966)</f>
        <v>217974.2</v>
      </c>
      <c r="X218" s="4" cm="1">
        <f t="array" ref="X218">INDEX(GMW!$A$2:$NF$150,MATCH(1,(GMW!$NE$2:$NE$150=X$3)*(GMW!$ND$2:$ND$150=X$4)*(GMW!$NF$2:$NF$150=X$1),0),$C218-1966)</f>
        <v>118420</v>
      </c>
      <c r="Y218" s="4" cm="1">
        <f t="array" ref="Y218">INDEX(GMW!$A$2:$NF$150,MATCH(1,(GMW!$NE$2:$NE$150=Y$3)*(GMW!$ND$2:$ND$150=Y$4)*(GMW!$NF$2:$NF$150=Y$1),0),$C218-1966)</f>
        <v>115982.39999999999</v>
      </c>
      <c r="Z218" s="4" cm="1">
        <f t="array" ref="Z218">INDEX(GMW!$A$2:$NF$150,MATCH(1,(GMW!$NE$2:$NE$150=Z$3)*(GMW!$ND$2:$ND$150=Z$4)*(GMW!$NF$2:$NF$150=Z$1),0),$C218-1966)</f>
        <v>64171.65</v>
      </c>
      <c r="AA218" s="4" cm="1">
        <f t="array" ref="AA218">INDEX(GMW!$A$2:$NF$150,MATCH(1,(GMW!$NE$2:$NE$150=AA$3)*(GMW!$ND$2:$ND$150=AA$4)*(GMW!$NF$2:$NF$150=AA$1),0),$C218-1966)</f>
        <v>655401.6</v>
      </c>
      <c r="AB218" s="4" cm="1">
        <f t="array" ref="AB218">INDEX(GMW!$A$2:$NF$150,MATCH(1,(GMW!$NE$2:$NE$150=AB$3)*(GMW!$ND$2:$ND$150=AB$4)*(GMW!$NF$2:$NF$150=AB$1),0),$C218-1966)</f>
        <v>34138.449999999997</v>
      </c>
      <c r="AC218" s="4" cm="1">
        <f t="array" ref="AC218">INDEX(GMW!$A$2:$NF$150,MATCH(1,(GMW!$NE$2:$NE$150=AC$3)*(GMW!$ND$2:$ND$150=AC$4)*(GMW!$NF$2:$NF$150=AC$1),0),$C218-1966)</f>
        <v>32</v>
      </c>
      <c r="AD218" s="4" cm="1">
        <f t="array" ref="AD218">INDEX(GMW!$A$2:$NF$150,MATCH(1,(GMW!$NE$2:$NE$150=AD$3)*(GMW!$ND$2:$ND$150=AD$4)*(GMW!$NF$2:$NF$150=AD$1),0),$C218-1966)</f>
        <v>627869.1</v>
      </c>
      <c r="AE218" s="4" cm="1">
        <f t="array" ref="AE218">INDEX(GMW!$A$2:$NF$150,MATCH(1,(GMW!$NE$2:$NE$150=AE$3)*(GMW!$ND$2:$ND$150=AE$4)*(GMW!$NF$2:$NF$150=AE$1),0),$C218-1966)</f>
        <v>45066.95</v>
      </c>
      <c r="AF218" s="4" cm="1">
        <f t="array" ref="AF218">INDEX(GMW!$A$2:$NF$150,MATCH(1,(GMW!$NE$2:$NE$150=AF$3)*(GMW!$ND$2:$ND$150=AF$4)*(GMW!$NF$2:$NF$150=AF$1),0),$C218-1966)</f>
        <v>3386004</v>
      </c>
      <c r="AG218" s="4" cm="1">
        <f t="array" ref="AG218">INDEX(GMW!$A$2:$NF$150,MATCH(1,(GMW!$NE$2:$NE$150=AG$3)*(GMW!$ND$2:$ND$150=AG$4)*(GMW!$NF$2:$NF$150=AG$1),0),$C218-1966)</f>
        <v>-1.6959610000000001</v>
      </c>
      <c r="AH218" s="4" cm="1">
        <f t="array" ref="AH218">INDEX(GMW!$A$2:$NF$150,MATCH(1,(GMW!$NE$2:$NE$150=AH$3)*(GMW!$ND$2:$ND$150=AH$4)*(GMW!$NF$2:$NF$150=AH$1),0),$C218-1966)</f>
        <v>649965.9</v>
      </c>
      <c r="AI218" s="4" cm="1">
        <f t="array" ref="AI218">INDEX(GMW!$A$2:$NF$150,MATCH(1,(GMW!$NE$2:$NE$150=AI$3)*(GMW!$ND$2:$ND$150=AI$4)*(GMW!$NF$2:$NF$150=AI$1),0),$C218-1966)</f>
        <v>139.37899999999999</v>
      </c>
      <c r="AJ218" s="4" cm="1">
        <f t="array" ref="AJ218">INDEX(GMW!$A$2:$NF$150,MATCH(1,(GMW!$NE$2:$NE$150=AJ$3)*(GMW!$ND$2:$ND$150=AJ$4)*(GMW!$NF$2:$NF$150=AJ$1),0),$C218-1966)</f>
        <v>202003.9</v>
      </c>
      <c r="AK218" s="4" cm="1">
        <f t="array" ref="AK218">INDEX(GMW!$A$2:$NF$150,MATCH(1,(GMW!$NE$2:$NE$150=AK$3)*(GMW!$ND$2:$ND$150=AK$4)*(GMW!$NF$2:$NF$150=AK$1),0),$C218-1966)</f>
        <v>77321.679999999993</v>
      </c>
      <c r="AL218" s="4" cm="1">
        <f t="array" ref="AL218">INDEX(GMW!$A$2:$NF$150,MATCH(1,(GMW!$NE$2:$NE$150=AL$3)*(GMW!$ND$2:$ND$150=AL$4)*(GMW!$NF$2:$NF$150=AL$1),0),$C218-1966)</f>
        <v>220856.1</v>
      </c>
      <c r="AM218" s="4" cm="1">
        <f t="array" ref="AM218">INDEX(GMW!$A$2:$NF$150,MATCH(1,(GMW!$NE$2:$NE$150=AM$3)*(GMW!$ND$2:$ND$150=AM$4)*(GMW!$NF$2:$NF$150=AM$1),0),$C218-1966)</f>
        <v>120257.2</v>
      </c>
      <c r="AN218" s="4" cm="1">
        <f t="array" ref="AN218">INDEX(GMW!$A$2:$NF$150,MATCH(1,(GMW!$NE$2:$NE$150=AN$3)*(GMW!$ND$2:$ND$150=AN$4)*(GMW!$NF$2:$NF$150=AN$1),0),$C218-1966)</f>
        <v>116133.4</v>
      </c>
      <c r="AO218" s="4" cm="1">
        <f t="array" ref="AO218">INDEX(GMW!$A$2:$NF$150,MATCH(1,(GMW!$NE$2:$NE$150=AO$3)*(GMW!$ND$2:$ND$150=AO$4)*(GMW!$NF$2:$NF$150=AO$1),0),$C218-1966)</f>
        <v>65226.83</v>
      </c>
      <c r="AP218" s="4" cm="1">
        <f t="array" ref="AP218">INDEX(GMW!$A$2:$NF$150,MATCH(1,(GMW!$NE$2:$NE$150=AP$3)*(GMW!$ND$2:$ND$150=AP$4)*(GMW!$NF$2:$NF$150=AP$1),0),$C218-1966)</f>
        <v>654891.80000000005</v>
      </c>
      <c r="AQ218" s="4" cm="1">
        <f t="array" ref="AQ218">INDEX(GMW!$A$2:$NF$150,MATCH(1,(GMW!$NE$2:$NE$150=AQ$3)*(GMW!$ND$2:$ND$150=AQ$4)*(GMW!$NF$2:$NF$150=AQ$1),0),$C218-1966)</f>
        <v>34078.07</v>
      </c>
      <c r="AR218" s="4" cm="1">
        <f t="array" ref="AR218">INDEX(GMW!$A$2:$NF$150,MATCH(1,(GMW!$NE$2:$NE$150=AR$3)*(GMW!$ND$2:$ND$150=AR$4)*(GMW!$NF$2:$NF$150=AR$1),0),$C218-1966)</f>
        <v>32</v>
      </c>
      <c r="AS218" s="4" cm="1">
        <f t="array" ref="AS218">INDEX(GMW!$A$2:$NF$150,MATCH(1,(GMW!$NE$2:$NE$150=AS$3)*(GMW!$ND$2:$ND$150=AS$4)*(GMW!$NF$2:$NF$150=AS$1),0),$C218-1966)</f>
        <v>627403.4</v>
      </c>
      <c r="AT218" s="4" cm="1">
        <f t="array" ref="AT218">INDEX(GMW!$A$2:$NF$150,MATCH(1,(GMW!$NE$2:$NE$150=AT$3)*(GMW!$ND$2:$ND$150=AT$4)*(GMW!$NF$2:$NF$150=AT$1),0),$C218-1966)</f>
        <v>45034.14</v>
      </c>
      <c r="AU218" s="4" cm="1">
        <f t="array" ref="AU218">INDEX(GMW!$A$2:$NF$150,MATCH(1,(GMW!$NE$2:$NE$150=AU$3)*(GMW!$ND$2:$ND$150=AU$4)*(GMW!$NF$2:$NF$150=AU$1),0),$C218-1966)</f>
        <v>3386592</v>
      </c>
      <c r="AV218" s="4" cm="1">
        <f t="array" ref="AV218">INDEX(GMW!$A$2:$NF$150,MATCH(1,(GMW!$NE$2:$NE$150=AV$3)*(GMW!$ND$2:$ND$150=AV$4)*(GMW!$NF$2:$NF$150=AV$1),0),$C218-1966)</f>
        <v>-1.695622</v>
      </c>
    </row>
    <row r="219" spans="1:48" x14ac:dyDescent="0.25">
      <c r="A219" s="4">
        <v>2026</v>
      </c>
      <c r="B219" s="4">
        <f t="shared" si="10"/>
        <v>2026</v>
      </c>
      <c r="C219" s="4">
        <f t="shared" si="9"/>
        <v>2185</v>
      </c>
      <c r="D219" s="4" cm="1">
        <f t="array" ref="D219">INDEX(GMW!$A$2:$NF$150,MATCH(1,(GMW!$NE$2:$NE$150=D$3)*(GMW!$ND$2:$ND$150=D$4)*(GMW!$NF$2:$NF$150=D$1),0),$C219-1966)</f>
        <v>650710.30000000005</v>
      </c>
      <c r="E219" s="4" cm="1">
        <f t="array" ref="E219">INDEX(GMW!$A$2:$NF$150,MATCH(1,(GMW!$NE$2:$NE$150=E$3)*(GMW!$ND$2:$ND$150=E$4)*(GMW!$NF$2:$NF$150=E$1),0),$C219-1966)</f>
        <v>139.70169999999999</v>
      </c>
      <c r="F219" s="4" cm="1">
        <f t="array" ref="F219">INDEX(GMW!$A$2:$NF$150,MATCH(1,(GMW!$NE$2:$NE$150=F$3)*(GMW!$ND$2:$ND$150=F$4)*(GMW!$NF$2:$NF$150=F$1),0),$C219-1966)</f>
        <v>206979.5</v>
      </c>
      <c r="G219" s="4" cm="1">
        <f t="array" ref="G219">INDEX(GMW!$A$2:$NF$150,MATCH(1,(GMW!$NE$2:$NE$150=G$3)*(GMW!$ND$2:$ND$150=G$4)*(GMW!$NF$2:$NF$150=G$1),0),$C219-1966)</f>
        <v>72180.289999999994</v>
      </c>
      <c r="H219" s="4" cm="1">
        <f t="array" ref="H219">INDEX(GMW!$A$2:$NF$150,MATCH(1,(GMW!$NE$2:$NE$150=H$3)*(GMW!$ND$2:$ND$150=H$4)*(GMW!$NF$2:$NF$150=H$1),0),$C219-1966)</f>
        <v>226289.3</v>
      </c>
      <c r="I219" s="4" cm="1">
        <f t="array" ref="I219">INDEX(GMW!$A$2:$NF$150,MATCH(1,(GMW!$NE$2:$NE$150=I$3)*(GMW!$ND$2:$ND$150=I$4)*(GMW!$NF$2:$NF$150=I$1),0),$C219-1966)</f>
        <v>123663.7</v>
      </c>
      <c r="J219" s="4" cm="1">
        <f t="array" ref="J219">INDEX(GMW!$A$2:$NF$150,MATCH(1,(GMW!$NE$2:$NE$150=J$3)*(GMW!$ND$2:$ND$150=J$4)*(GMW!$NF$2:$NF$150=J$1),0),$C219-1966)</f>
        <v>116526.8</v>
      </c>
      <c r="K219" s="4" cm="1">
        <f t="array" ref="K219">INDEX(GMW!$A$2:$NF$150,MATCH(1,(GMW!$NE$2:$NE$150=K$3)*(GMW!$ND$2:$ND$150=K$4)*(GMW!$NF$2:$NF$150=K$1),0),$C219-1966)</f>
        <v>63858.21</v>
      </c>
      <c r="L219" s="4" cm="1">
        <f t="array" ref="L219">INDEX(GMW!$A$2:$NF$150,MATCH(1,(GMW!$NE$2:$NE$150=L$3)*(GMW!$ND$2:$ND$150=L$4)*(GMW!$NF$2:$NF$150=L$1),0),$C219-1966)</f>
        <v>657638.69999999995</v>
      </c>
      <c r="M219" s="4" cm="1">
        <f t="array" ref="M219">INDEX(GMW!$A$2:$NF$150,MATCH(1,(GMW!$NE$2:$NE$150=M$3)*(GMW!$ND$2:$ND$150=M$4)*(GMW!$NF$2:$NF$150=M$1),0),$C219-1966)</f>
        <v>34312.800000000003</v>
      </c>
      <c r="N219" s="4" cm="1">
        <f t="array" ref="N219">INDEX(GMW!$A$2:$NF$150,MATCH(1,(GMW!$NE$2:$NE$150=N$3)*(GMW!$ND$2:$ND$150=N$4)*(GMW!$NF$2:$NF$150=N$1),0),$C219-1966)</f>
        <v>32</v>
      </c>
      <c r="O219" s="4" cm="1">
        <f t="array" ref="O219">INDEX(GMW!$A$2:$NF$150,MATCH(1,(GMW!$NE$2:$NE$150=O$3)*(GMW!$ND$2:$ND$150=O$4)*(GMW!$NF$2:$NF$150=O$1),0),$C219-1966)</f>
        <v>629837.4</v>
      </c>
      <c r="P219" s="4" cm="1">
        <f t="array" ref="P219">INDEX(GMW!$A$2:$NF$150,MATCH(1,(GMW!$NE$2:$NE$150=P$3)*(GMW!$ND$2:$ND$150=P$4)*(GMW!$NF$2:$NF$150=P$1),0),$C219-1966)</f>
        <v>45139.42</v>
      </c>
      <c r="Q219" s="4" cm="1">
        <f t="array" ref="Q219">INDEX(GMW!$A$2:$NF$150,MATCH(1,(GMW!$NE$2:$NE$150=Q$3)*(GMW!$ND$2:$ND$150=Q$4)*(GMW!$NF$2:$NF$150=Q$1),0),$C219-1966)</f>
        <v>3402179</v>
      </c>
      <c r="R219" s="4" cm="1">
        <f t="array" ref="R219">INDEX(GMW!$A$2:$NF$150,MATCH(1,(GMW!$NE$2:$NE$150=R$3)*(GMW!$ND$2:$ND$150=R$4)*(GMW!$NF$2:$NF$150=R$1),0),$C219-1966)</f>
        <v>-1.697997</v>
      </c>
      <c r="S219" s="4" cm="1">
        <f t="array" ref="S219">INDEX(GMW!$A$2:$NF$150,MATCH(1,(GMW!$NE$2:$NE$150=S$3)*(GMW!$ND$2:$ND$150=S$4)*(GMW!$NF$2:$NF$150=S$1),0),$C219-1966)</f>
        <v>651902.6</v>
      </c>
      <c r="T219" s="4" cm="1">
        <f t="array" ref="T219">INDEX(GMW!$A$2:$NF$150,MATCH(1,(GMW!$NE$2:$NE$150=T$3)*(GMW!$ND$2:$ND$150=T$4)*(GMW!$NF$2:$NF$150=T$1),0),$C219-1966)</f>
        <v>140.20269999999999</v>
      </c>
      <c r="U219" s="4" cm="1">
        <f t="array" ref="U219">INDEX(GMW!$A$2:$NF$150,MATCH(1,(GMW!$NE$2:$NE$150=U$3)*(GMW!$ND$2:$ND$150=U$4)*(GMW!$NF$2:$NF$150=U$1),0),$C219-1966)</f>
        <v>198523.1</v>
      </c>
      <c r="V219" s="4" cm="1">
        <f t="array" ref="V219">INDEX(GMW!$A$2:$NF$150,MATCH(1,(GMW!$NE$2:$NE$150=V$3)*(GMW!$ND$2:$ND$150=V$4)*(GMW!$NF$2:$NF$150=V$1),0),$C219-1966)</f>
        <v>76031.839999999997</v>
      </c>
      <c r="W219" s="4" cm="1">
        <f t="array" ref="W219">INDEX(GMW!$A$2:$NF$150,MATCH(1,(GMW!$NE$2:$NE$150=W$3)*(GMW!$ND$2:$ND$150=W$4)*(GMW!$NF$2:$NF$150=W$1),0),$C219-1966)</f>
        <v>218773.3</v>
      </c>
      <c r="X219" s="4" cm="1">
        <f t="array" ref="X219">INDEX(GMW!$A$2:$NF$150,MATCH(1,(GMW!$NE$2:$NE$150=X$3)*(GMW!$ND$2:$ND$150=X$4)*(GMW!$NF$2:$NF$150=X$1),0),$C219-1966)</f>
        <v>118722.8</v>
      </c>
      <c r="Y219" s="4" cm="1">
        <f t="array" ref="Y219">INDEX(GMW!$A$2:$NF$150,MATCH(1,(GMW!$NE$2:$NE$150=Y$3)*(GMW!$ND$2:$ND$150=Y$4)*(GMW!$NF$2:$NF$150=Y$1),0),$C219-1966)</f>
        <v>116866.8</v>
      </c>
      <c r="Z219" s="4" cm="1">
        <f t="array" ref="Z219">INDEX(GMW!$A$2:$NF$150,MATCH(1,(GMW!$NE$2:$NE$150=Z$3)*(GMW!$ND$2:$ND$150=Z$4)*(GMW!$NF$2:$NF$150=Z$1),0),$C219-1966)</f>
        <v>64511.7</v>
      </c>
      <c r="AA219" s="4" cm="1">
        <f t="array" ref="AA219">INDEX(GMW!$A$2:$NF$150,MATCH(1,(GMW!$NE$2:$NE$150=AA$3)*(GMW!$ND$2:$ND$150=AA$4)*(GMW!$NF$2:$NF$150=AA$1),0),$C219-1966)</f>
        <v>657931</v>
      </c>
      <c r="AB219" s="4" cm="1">
        <f t="array" ref="AB219">INDEX(GMW!$A$2:$NF$150,MATCH(1,(GMW!$NE$2:$NE$150=AB$3)*(GMW!$ND$2:$ND$150=AB$4)*(GMW!$NF$2:$NF$150=AB$1),0),$C219-1966)</f>
        <v>34248.089999999997</v>
      </c>
      <c r="AC219" s="4" cm="1">
        <f t="array" ref="AC219">INDEX(GMW!$A$2:$NF$150,MATCH(1,(GMW!$NE$2:$NE$150=AC$3)*(GMW!$ND$2:$ND$150=AC$4)*(GMW!$NF$2:$NF$150=AC$1),0),$C219-1966)</f>
        <v>32</v>
      </c>
      <c r="AD219" s="4" cm="1">
        <f t="array" ref="AD219">INDEX(GMW!$A$2:$NF$150,MATCH(1,(GMW!$NE$2:$NE$150=AD$3)*(GMW!$ND$2:$ND$150=AD$4)*(GMW!$NF$2:$NF$150=AD$1),0),$C219-1966)</f>
        <v>629837.4</v>
      </c>
      <c r="AE219" s="4" cm="1">
        <f t="array" ref="AE219">INDEX(GMW!$A$2:$NF$150,MATCH(1,(GMW!$NE$2:$NE$150=AE$3)*(GMW!$ND$2:$ND$150=AE$4)*(GMW!$NF$2:$NF$150=AE$1),0),$C219-1966)</f>
        <v>45139.42</v>
      </c>
      <c r="AF219" s="4" cm="1">
        <f t="array" ref="AF219">INDEX(GMW!$A$2:$NF$150,MATCH(1,(GMW!$NE$2:$NE$150=AF$3)*(GMW!$ND$2:$ND$150=AF$4)*(GMW!$NF$2:$NF$150=AF$1),0),$C219-1966)</f>
        <v>3397425</v>
      </c>
      <c r="AG219" s="4" cm="1">
        <f t="array" ref="AG219">INDEX(GMW!$A$2:$NF$150,MATCH(1,(GMW!$NE$2:$NE$150=AG$3)*(GMW!$ND$2:$ND$150=AG$4)*(GMW!$NF$2:$NF$150=AG$1),0),$C219-1966)</f>
        <v>-1.695791</v>
      </c>
      <c r="AH219" s="4" cm="1">
        <f t="array" ref="AH219">INDEX(GMW!$A$2:$NF$150,MATCH(1,(GMW!$NE$2:$NE$150=AH$3)*(GMW!$ND$2:$ND$150=AH$4)*(GMW!$NF$2:$NF$150=AH$1),0),$C219-1966)</f>
        <v>652793.59999999998</v>
      </c>
      <c r="AI219" s="4" cm="1">
        <f t="array" ref="AI219">INDEX(GMW!$A$2:$NF$150,MATCH(1,(GMW!$NE$2:$NE$150=AI$3)*(GMW!$ND$2:$ND$150=AI$4)*(GMW!$NF$2:$NF$150=AI$1),0),$C219-1966)</f>
        <v>139.6713</v>
      </c>
      <c r="AJ219" s="4" cm="1">
        <f t="array" ref="AJ219">INDEX(GMW!$A$2:$NF$150,MATCH(1,(GMW!$NE$2:$NE$150=AJ$3)*(GMW!$ND$2:$ND$150=AJ$4)*(GMW!$NF$2:$NF$150=AJ$1),0),$C219-1966)</f>
        <v>202775.6</v>
      </c>
      <c r="AK219" s="4" cm="1">
        <f t="array" ref="AK219">INDEX(GMW!$A$2:$NF$150,MATCH(1,(GMW!$NE$2:$NE$150=AK$3)*(GMW!$ND$2:$ND$150=AK$4)*(GMW!$NF$2:$NF$150=AK$1),0),$C219-1966)</f>
        <v>77571.740000000005</v>
      </c>
      <c r="AL219" s="4" cm="1">
        <f t="array" ref="AL219">INDEX(GMW!$A$2:$NF$150,MATCH(1,(GMW!$NE$2:$NE$150=AL$3)*(GMW!$ND$2:$ND$150=AL$4)*(GMW!$NF$2:$NF$150=AL$1),0),$C219-1966)</f>
        <v>221845.5</v>
      </c>
      <c r="AM219" s="4" cm="1">
        <f t="array" ref="AM219">INDEX(GMW!$A$2:$NF$150,MATCH(1,(GMW!$NE$2:$NE$150=AM$3)*(GMW!$ND$2:$ND$150=AM$4)*(GMW!$NF$2:$NF$150=AM$1),0),$C219-1966)</f>
        <v>120745</v>
      </c>
      <c r="AN219" s="4" cm="1">
        <f t="array" ref="AN219">INDEX(GMW!$A$2:$NF$150,MATCH(1,(GMW!$NE$2:$NE$150=AN$3)*(GMW!$ND$2:$ND$150=AN$4)*(GMW!$NF$2:$NF$150=AN$1),0),$C219-1966)</f>
        <v>117097.2</v>
      </c>
      <c r="AO219" s="4" cm="1">
        <f t="array" ref="AO219">INDEX(GMW!$A$2:$NF$150,MATCH(1,(GMW!$NE$2:$NE$150=AO$3)*(GMW!$ND$2:$ND$150=AO$4)*(GMW!$NF$2:$NF$150=AO$1),0),$C219-1966)</f>
        <v>65657.279999999999</v>
      </c>
      <c r="AP219" s="4" cm="1">
        <f t="array" ref="AP219">INDEX(GMW!$A$2:$NF$150,MATCH(1,(GMW!$NE$2:$NE$150=AP$3)*(GMW!$ND$2:$ND$150=AP$4)*(GMW!$NF$2:$NF$150=AP$1),0),$C219-1966)</f>
        <v>657461.19999999995</v>
      </c>
      <c r="AQ219" s="4" cm="1">
        <f t="array" ref="AQ219">INDEX(GMW!$A$2:$NF$150,MATCH(1,(GMW!$NE$2:$NE$150=AQ$3)*(GMW!$ND$2:$ND$150=AQ$4)*(GMW!$NF$2:$NF$150=AQ$1),0),$C219-1966)</f>
        <v>34180.699999999997</v>
      </c>
      <c r="AR219" s="4" cm="1">
        <f t="array" ref="AR219">INDEX(GMW!$A$2:$NF$150,MATCH(1,(GMW!$NE$2:$NE$150=AR$3)*(GMW!$ND$2:$ND$150=AR$4)*(GMW!$NF$2:$NF$150=AR$1),0),$C219-1966)</f>
        <v>32</v>
      </c>
      <c r="AS219" s="4" cm="1">
        <f t="array" ref="AS219">INDEX(GMW!$A$2:$NF$150,MATCH(1,(GMW!$NE$2:$NE$150=AS$3)*(GMW!$ND$2:$ND$150=AS$4)*(GMW!$NF$2:$NF$150=AS$1),0),$C219-1966)</f>
        <v>629354.6</v>
      </c>
      <c r="AT219" s="4" cm="1">
        <f t="array" ref="AT219">INDEX(GMW!$A$2:$NF$150,MATCH(1,(GMW!$NE$2:$NE$150=AT$3)*(GMW!$ND$2:$ND$150=AT$4)*(GMW!$NF$2:$NF$150=AT$1),0),$C219-1966)</f>
        <v>45105.440000000002</v>
      </c>
      <c r="AU219" s="4" cm="1">
        <f t="array" ref="AU219">INDEX(GMW!$A$2:$NF$150,MATCH(1,(GMW!$NE$2:$NE$150=AU$3)*(GMW!$ND$2:$ND$150=AU$4)*(GMW!$NF$2:$NF$150=AU$1),0),$C219-1966)</f>
        <v>3398328</v>
      </c>
      <c r="AV219" s="4" cm="1">
        <f t="array" ref="AV219">INDEX(GMW!$A$2:$NF$150,MATCH(1,(GMW!$NE$2:$NE$150=AV$3)*(GMW!$ND$2:$ND$150=AV$4)*(GMW!$NF$2:$NF$150=AV$1),0),$C219-1966)</f>
        <v>-1.6952830000000001</v>
      </c>
    </row>
    <row r="220" spans="1:48" x14ac:dyDescent="0.25">
      <c r="B220" s="4">
        <f t="shared" si="10"/>
        <v>2026</v>
      </c>
      <c r="C220" s="4">
        <f t="shared" si="9"/>
        <v>2186</v>
      </c>
      <c r="D220" s="4" cm="1">
        <f t="array" ref="D220">INDEX(GMW!$A$2:$NF$150,MATCH(1,(GMW!$NE$2:$NE$150=D$3)*(GMW!$ND$2:$ND$150=D$4)*(GMW!$NF$2:$NF$150=D$1),0),$C220-1966)</f>
        <v>652240.30000000005</v>
      </c>
      <c r="E220" s="4" cm="1">
        <f t="array" ref="E220">INDEX(GMW!$A$2:$NF$150,MATCH(1,(GMW!$NE$2:$NE$150=E$3)*(GMW!$ND$2:$ND$150=E$4)*(GMW!$NF$2:$NF$150=E$1),0),$C220-1966)</f>
        <v>141.0763</v>
      </c>
      <c r="F220" s="4" cm="1">
        <f t="array" ref="F220">INDEX(GMW!$A$2:$NF$150,MATCH(1,(GMW!$NE$2:$NE$150=F$3)*(GMW!$ND$2:$ND$150=F$4)*(GMW!$NF$2:$NF$150=F$1),0),$C220-1966)</f>
        <v>207128.3</v>
      </c>
      <c r="G220" s="4" cm="1">
        <f t="array" ref="G220">INDEX(GMW!$A$2:$NF$150,MATCH(1,(GMW!$NE$2:$NE$150=G$3)*(GMW!$ND$2:$ND$150=G$4)*(GMW!$NF$2:$NF$150=G$1),0),$C220-1966)</f>
        <v>71973.56</v>
      </c>
      <c r="H220" s="4" cm="1">
        <f t="array" ref="H220">INDEX(GMW!$A$2:$NF$150,MATCH(1,(GMW!$NE$2:$NE$150=H$3)*(GMW!$ND$2:$ND$150=H$4)*(GMW!$NF$2:$NF$150=H$1),0),$C220-1966)</f>
        <v>226618.7</v>
      </c>
      <c r="I220" s="4" cm="1">
        <f t="array" ref="I220">INDEX(GMW!$A$2:$NF$150,MATCH(1,(GMW!$NE$2:$NE$150=I$3)*(GMW!$ND$2:$ND$150=I$4)*(GMW!$NF$2:$NF$150=I$1),0),$C220-1966)</f>
        <v>123750.3</v>
      </c>
      <c r="J220" s="4" cm="1">
        <f t="array" ref="J220">INDEX(GMW!$A$2:$NF$150,MATCH(1,(GMW!$NE$2:$NE$150=J$3)*(GMW!$ND$2:$ND$150=J$4)*(GMW!$NF$2:$NF$150=J$1),0),$C220-1966)</f>
        <v>116904</v>
      </c>
      <c r="K220" s="4" cm="1">
        <f t="array" ref="K220">INDEX(GMW!$A$2:$NF$150,MATCH(1,(GMW!$NE$2:$NE$150=K$3)*(GMW!$ND$2:$ND$150=K$4)*(GMW!$NF$2:$NF$150=K$1),0),$C220-1966)</f>
        <v>63890.18</v>
      </c>
      <c r="L220" s="4" cm="1">
        <f t="array" ref="L220">INDEX(GMW!$A$2:$NF$150,MATCH(1,(GMW!$NE$2:$NE$150=L$3)*(GMW!$ND$2:$ND$150=L$4)*(GMW!$NF$2:$NF$150=L$1),0),$C220-1966)</f>
        <v>659779.6</v>
      </c>
      <c r="M220" s="4" cm="1">
        <f t="array" ref="M220">INDEX(GMW!$A$2:$NF$150,MATCH(1,(GMW!$NE$2:$NE$150=M$3)*(GMW!$ND$2:$ND$150=M$4)*(GMW!$NF$2:$NF$150=M$1),0),$C220-1966)</f>
        <v>34400.699999999997</v>
      </c>
      <c r="N220" s="4" cm="1">
        <f t="array" ref="N220">INDEX(GMW!$A$2:$NF$150,MATCH(1,(GMW!$NE$2:$NE$150=N$3)*(GMW!$ND$2:$ND$150=N$4)*(GMW!$NF$2:$NF$150=N$1),0),$C220-1966)</f>
        <v>32</v>
      </c>
      <c r="O220" s="4" cm="1">
        <f t="array" ref="O220">INDEX(GMW!$A$2:$NF$150,MATCH(1,(GMW!$NE$2:$NE$150=O$3)*(GMW!$ND$2:$ND$150=O$4)*(GMW!$NF$2:$NF$150=O$1),0),$C220-1966)</f>
        <v>631803.4</v>
      </c>
      <c r="P220" s="4" cm="1">
        <f t="array" ref="P220">INDEX(GMW!$A$2:$NF$150,MATCH(1,(GMW!$NE$2:$NE$150=P$3)*(GMW!$ND$2:$ND$150=P$4)*(GMW!$NF$2:$NF$150=P$1),0),$C220-1966)</f>
        <v>45211.88</v>
      </c>
      <c r="Q220" s="4" cm="1">
        <f t="array" ref="Q220">INDEX(GMW!$A$2:$NF$150,MATCH(1,(GMW!$NE$2:$NE$150=Q$3)*(GMW!$ND$2:$ND$150=Q$4)*(GMW!$NF$2:$NF$150=Q$1),0),$C220-1966)</f>
        <v>3413098</v>
      </c>
      <c r="R220" s="4" cm="1">
        <f t="array" ref="R220">INDEX(GMW!$A$2:$NF$150,MATCH(1,(GMW!$NE$2:$NE$150=R$3)*(GMW!$ND$2:$ND$150=R$4)*(GMW!$NF$2:$NF$150=R$1),0),$C220-1966)</f>
        <v>-1.697997</v>
      </c>
      <c r="S220" s="4" cm="1">
        <f t="array" ref="S220">INDEX(GMW!$A$2:$NF$150,MATCH(1,(GMW!$NE$2:$NE$150=S$3)*(GMW!$ND$2:$ND$150=S$4)*(GMW!$NF$2:$NF$150=S$1),0),$C220-1966)</f>
        <v>654217.69999999995</v>
      </c>
      <c r="T220" s="4" cm="1">
        <f t="array" ref="T220">INDEX(GMW!$A$2:$NF$150,MATCH(1,(GMW!$NE$2:$NE$150=T$3)*(GMW!$ND$2:$ND$150=T$4)*(GMW!$NF$2:$NF$150=T$1),0),$C220-1966)</f>
        <v>141.53479999999999</v>
      </c>
      <c r="U220" s="4" cm="1">
        <f t="array" ref="U220">INDEX(GMW!$A$2:$NF$150,MATCH(1,(GMW!$NE$2:$NE$150=U$3)*(GMW!$ND$2:$ND$150=U$4)*(GMW!$NF$2:$NF$150=U$1),0),$C220-1966)</f>
        <v>199002.5</v>
      </c>
      <c r="V220" s="4" cm="1">
        <f t="array" ref="V220">INDEX(GMW!$A$2:$NF$150,MATCH(1,(GMW!$NE$2:$NE$150=V$3)*(GMW!$ND$2:$ND$150=V$4)*(GMW!$NF$2:$NF$150=V$1),0),$C220-1966)</f>
        <v>76011.77</v>
      </c>
      <c r="W220" s="4" cm="1">
        <f t="array" ref="W220">INDEX(GMW!$A$2:$NF$150,MATCH(1,(GMW!$NE$2:$NE$150=W$3)*(GMW!$ND$2:$ND$150=W$4)*(GMW!$NF$2:$NF$150=W$1),0),$C220-1966)</f>
        <v>219522.5</v>
      </c>
      <c r="X220" s="4" cm="1">
        <f t="array" ref="X220">INDEX(GMW!$A$2:$NF$150,MATCH(1,(GMW!$NE$2:$NE$150=X$3)*(GMW!$ND$2:$ND$150=X$4)*(GMW!$NF$2:$NF$150=X$1),0),$C220-1966)</f>
        <v>118972.1</v>
      </c>
      <c r="Y220" s="4" cm="1">
        <f t="array" ref="Y220">INDEX(GMW!$A$2:$NF$150,MATCH(1,(GMW!$NE$2:$NE$150=Y$3)*(GMW!$ND$2:$ND$150=Y$4)*(GMW!$NF$2:$NF$150=Y$1),0),$C220-1966)</f>
        <v>117765.6</v>
      </c>
      <c r="Z220" s="4" cm="1">
        <f t="array" ref="Z220">INDEX(GMW!$A$2:$NF$150,MATCH(1,(GMW!$NE$2:$NE$150=Z$3)*(GMW!$ND$2:$ND$150=Z$4)*(GMW!$NF$2:$NF$150=Z$1),0),$C220-1966)</f>
        <v>64879.45</v>
      </c>
      <c r="AA220" s="4" cm="1">
        <f t="array" ref="AA220">INDEX(GMW!$A$2:$NF$150,MATCH(1,(GMW!$NE$2:$NE$150=AA$3)*(GMW!$ND$2:$ND$150=AA$4)*(GMW!$NF$2:$NF$150=AA$1),0),$C220-1966)</f>
        <v>660364.4</v>
      </c>
      <c r="AB220" s="4" cm="1">
        <f t="array" ref="AB220">INDEX(GMW!$A$2:$NF$150,MATCH(1,(GMW!$NE$2:$NE$150=AB$3)*(GMW!$ND$2:$ND$150=AB$4)*(GMW!$NF$2:$NF$150=AB$1),0),$C220-1966)</f>
        <v>34347.839999999997</v>
      </c>
      <c r="AC220" s="4" cm="1">
        <f t="array" ref="AC220">INDEX(GMW!$A$2:$NF$150,MATCH(1,(GMW!$NE$2:$NE$150=AC$3)*(GMW!$ND$2:$ND$150=AC$4)*(GMW!$NF$2:$NF$150=AC$1),0),$C220-1966)</f>
        <v>32</v>
      </c>
      <c r="AD220" s="4" cm="1">
        <f t="array" ref="AD220">INDEX(GMW!$A$2:$NF$150,MATCH(1,(GMW!$NE$2:$NE$150=AD$3)*(GMW!$ND$2:$ND$150=AD$4)*(GMW!$NF$2:$NF$150=AD$1),0),$C220-1966)</f>
        <v>631803.4</v>
      </c>
      <c r="AE220" s="4" cm="1">
        <f t="array" ref="AE220">INDEX(GMW!$A$2:$NF$150,MATCH(1,(GMW!$NE$2:$NE$150=AE$3)*(GMW!$ND$2:$ND$150=AE$4)*(GMW!$NF$2:$NF$150=AE$1),0),$C220-1966)</f>
        <v>45211.88</v>
      </c>
      <c r="AF220" s="4" cm="1">
        <f t="array" ref="AF220">INDEX(GMW!$A$2:$NF$150,MATCH(1,(GMW!$NE$2:$NE$150=AF$3)*(GMW!$ND$2:$ND$150=AF$4)*(GMW!$NF$2:$NF$150=AF$1),0),$C220-1966)</f>
        <v>3409252</v>
      </c>
      <c r="AG220" s="4" cm="1">
        <f t="array" ref="AG220">INDEX(GMW!$A$2:$NF$150,MATCH(1,(GMW!$NE$2:$NE$150=AG$3)*(GMW!$ND$2:$ND$150=AG$4)*(GMW!$NF$2:$NF$150=AG$1),0),$C220-1966)</f>
        <v>-1.695622</v>
      </c>
      <c r="AH220" s="4" cm="1">
        <f t="array" ref="AH220">INDEX(GMW!$A$2:$NF$150,MATCH(1,(GMW!$NE$2:$NE$150=AH$3)*(GMW!$ND$2:$ND$150=AH$4)*(GMW!$NF$2:$NF$150=AH$1),0),$C220-1966)</f>
        <v>655438.30000000005</v>
      </c>
      <c r="AI220" s="4" cm="1">
        <f t="array" ref="AI220">INDEX(GMW!$A$2:$NF$150,MATCH(1,(GMW!$NE$2:$NE$150=AI$3)*(GMW!$ND$2:$ND$150=AI$4)*(GMW!$NF$2:$NF$150=AI$1),0),$C220-1966)</f>
        <v>140.9349</v>
      </c>
      <c r="AJ220" s="4" cm="1">
        <f t="array" ref="AJ220">INDEX(GMW!$A$2:$NF$150,MATCH(1,(GMW!$NE$2:$NE$150=AJ$3)*(GMW!$ND$2:$ND$150=AJ$4)*(GMW!$NF$2:$NF$150=AJ$1),0),$C220-1966)</f>
        <v>203553.5</v>
      </c>
      <c r="AK220" s="4" cm="1">
        <f t="array" ref="AK220">INDEX(GMW!$A$2:$NF$150,MATCH(1,(GMW!$NE$2:$NE$150=AK$3)*(GMW!$ND$2:$ND$150=AK$4)*(GMW!$NF$2:$NF$150=AK$1),0),$C220-1966)</f>
        <v>77807.259999999995</v>
      </c>
      <c r="AL220" s="4" cm="1">
        <f t="array" ref="AL220">INDEX(GMW!$A$2:$NF$150,MATCH(1,(GMW!$NE$2:$NE$150=AL$3)*(GMW!$ND$2:$ND$150=AL$4)*(GMW!$NF$2:$NF$150=AL$1),0),$C220-1966)</f>
        <v>222785.5</v>
      </c>
      <c r="AM220" s="4" cm="1">
        <f t="array" ref="AM220">INDEX(GMW!$A$2:$NF$150,MATCH(1,(GMW!$NE$2:$NE$150=AM$3)*(GMW!$ND$2:$ND$150=AM$4)*(GMW!$NF$2:$NF$150=AM$1),0),$C220-1966)</f>
        <v>121179.8</v>
      </c>
      <c r="AN220" s="4" cm="1">
        <f t="array" ref="AN220">INDEX(GMW!$A$2:$NF$150,MATCH(1,(GMW!$NE$2:$NE$150=AN$3)*(GMW!$ND$2:$ND$150=AN$4)*(GMW!$NF$2:$NF$150=AN$1),0),$C220-1966)</f>
        <v>118076.9</v>
      </c>
      <c r="AO220" s="4" cm="1">
        <f t="array" ref="AO220">INDEX(GMW!$A$2:$NF$150,MATCH(1,(GMW!$NE$2:$NE$150=AO$3)*(GMW!$ND$2:$ND$150=AO$4)*(GMW!$NF$2:$NF$150=AO$1),0),$C220-1966)</f>
        <v>66116.899999999994</v>
      </c>
      <c r="AP220" s="4" cm="1">
        <f t="array" ref="AP220">INDEX(GMW!$A$2:$NF$150,MATCH(1,(GMW!$NE$2:$NE$150=AP$3)*(GMW!$ND$2:$ND$150=AP$4)*(GMW!$NF$2:$NF$150=AP$1),0),$C220-1966)</f>
        <v>659897.30000000005</v>
      </c>
      <c r="AQ220" s="4" cm="1">
        <f t="array" ref="AQ220">INDEX(GMW!$A$2:$NF$150,MATCH(1,(GMW!$NE$2:$NE$150=AQ$3)*(GMW!$ND$2:$ND$150=AQ$4)*(GMW!$NF$2:$NF$150=AQ$1),0),$C220-1966)</f>
        <v>34270</v>
      </c>
      <c r="AR220" s="4" cm="1">
        <f t="array" ref="AR220">INDEX(GMW!$A$2:$NF$150,MATCH(1,(GMW!$NE$2:$NE$150=AR$3)*(GMW!$ND$2:$ND$150=AR$4)*(GMW!$NF$2:$NF$150=AR$1),0),$C220-1966)</f>
        <v>32</v>
      </c>
      <c r="AS220" s="4" cm="1">
        <f t="array" ref="AS220">INDEX(GMW!$A$2:$NF$150,MATCH(1,(GMW!$NE$2:$NE$150=AS$3)*(GMW!$ND$2:$ND$150=AS$4)*(GMW!$NF$2:$NF$150=AS$1),0),$C220-1966)</f>
        <v>631303.5</v>
      </c>
      <c r="AT220" s="4" cm="1">
        <f t="array" ref="AT220">INDEX(GMW!$A$2:$NF$150,MATCH(1,(GMW!$NE$2:$NE$150=AT$3)*(GMW!$ND$2:$ND$150=AT$4)*(GMW!$NF$2:$NF$150=AT$1),0),$C220-1966)</f>
        <v>45176.73</v>
      </c>
      <c r="AU220" s="4" cm="1">
        <f t="array" ref="AU220">INDEX(GMW!$A$2:$NF$150,MATCH(1,(GMW!$NE$2:$NE$150=AU$3)*(GMW!$ND$2:$ND$150=AU$4)*(GMW!$NF$2:$NF$150=AU$1),0),$C220-1966)</f>
        <v>3410545</v>
      </c>
      <c r="AV220" s="4" cm="1">
        <f t="array" ref="AV220">INDEX(GMW!$A$2:$NF$150,MATCH(1,(GMW!$NE$2:$NE$150=AV$3)*(GMW!$ND$2:$ND$150=AV$4)*(GMW!$NF$2:$NF$150=AV$1),0),$C220-1966)</f>
        <v>-1.694944</v>
      </c>
    </row>
    <row r="221" spans="1:48" x14ac:dyDescent="0.25">
      <c r="B221" s="4">
        <f t="shared" si="10"/>
        <v>2026</v>
      </c>
      <c r="C221" s="4">
        <f t="shared" si="9"/>
        <v>2187</v>
      </c>
      <c r="D221" s="4" cm="1">
        <f t="array" ref="D221">INDEX(GMW!$A$2:$NF$150,MATCH(1,(GMW!$NE$2:$NE$150=D$3)*(GMW!$ND$2:$ND$150=D$4)*(GMW!$NF$2:$NF$150=D$1),0),$C221-1966)</f>
        <v>653871</v>
      </c>
      <c r="E221" s="4" cm="1">
        <f t="array" ref="E221">INDEX(GMW!$A$2:$NF$150,MATCH(1,(GMW!$NE$2:$NE$150=E$3)*(GMW!$ND$2:$ND$150=E$4)*(GMW!$NF$2:$NF$150=E$1),0),$C221-1966)</f>
        <v>141.7296</v>
      </c>
      <c r="F221" s="4" cm="1">
        <f t="array" ref="F221">INDEX(GMW!$A$2:$NF$150,MATCH(1,(GMW!$NE$2:$NE$150=F$3)*(GMW!$ND$2:$ND$150=F$4)*(GMW!$NF$2:$NF$150=F$1),0),$C221-1966)</f>
        <v>207607.3</v>
      </c>
      <c r="G221" s="4" cm="1">
        <f t="array" ref="G221">INDEX(GMW!$A$2:$NF$150,MATCH(1,(GMW!$NE$2:$NE$150=G$3)*(GMW!$ND$2:$ND$150=G$4)*(GMW!$NF$2:$NF$150=G$1),0),$C221-1966)</f>
        <v>72055.94</v>
      </c>
      <c r="H221" s="4" cm="1">
        <f t="array" ref="H221">INDEX(GMW!$A$2:$NF$150,MATCH(1,(GMW!$NE$2:$NE$150=H$3)*(GMW!$ND$2:$ND$150=H$4)*(GMW!$NF$2:$NF$150=H$1),0),$C221-1966)</f>
        <v>227260.5</v>
      </c>
      <c r="I221" s="4" cm="1">
        <f t="array" ref="I221">INDEX(GMW!$A$2:$NF$150,MATCH(1,(GMW!$NE$2:$NE$150=I$3)*(GMW!$ND$2:$ND$150=I$4)*(GMW!$NF$2:$NF$150=I$1),0),$C221-1966)</f>
        <v>124053.7</v>
      </c>
      <c r="J221" s="4" cm="1">
        <f t="array" ref="J221">INDEX(GMW!$A$2:$NF$150,MATCH(1,(GMW!$NE$2:$NE$150=J$3)*(GMW!$ND$2:$ND$150=J$4)*(GMW!$NF$2:$NF$150=J$1),0),$C221-1966)</f>
        <v>117312.4</v>
      </c>
      <c r="K221" s="4" cm="1">
        <f t="array" ref="K221">INDEX(GMW!$A$2:$NF$150,MATCH(1,(GMW!$NE$2:$NE$150=K$3)*(GMW!$ND$2:$ND$150=K$4)*(GMW!$NF$2:$NF$150=K$1),0),$C221-1966)</f>
        <v>63947.7</v>
      </c>
      <c r="L221" s="4" cm="1">
        <f t="array" ref="L221">INDEX(GMW!$A$2:$NF$150,MATCH(1,(GMW!$NE$2:$NE$150=L$3)*(GMW!$ND$2:$ND$150=L$4)*(GMW!$NF$2:$NF$150=L$1),0),$C221-1966)</f>
        <v>661917.30000000005</v>
      </c>
      <c r="M221" s="4" cm="1">
        <f t="array" ref="M221">INDEX(GMW!$A$2:$NF$150,MATCH(1,(GMW!$NE$2:$NE$150=M$3)*(GMW!$ND$2:$ND$150=M$4)*(GMW!$NF$2:$NF$150=M$1),0),$C221-1966)</f>
        <v>34488.800000000003</v>
      </c>
      <c r="N221" s="4" cm="1">
        <f t="array" ref="N221">INDEX(GMW!$A$2:$NF$150,MATCH(1,(GMW!$NE$2:$NE$150=N$3)*(GMW!$ND$2:$ND$150=N$4)*(GMW!$NF$2:$NF$150=N$1),0),$C221-1966)</f>
        <v>32</v>
      </c>
      <c r="O221" s="4" cm="1">
        <f t="array" ref="O221">INDEX(GMW!$A$2:$NF$150,MATCH(1,(GMW!$NE$2:$NE$150=O$3)*(GMW!$ND$2:$ND$150=O$4)*(GMW!$NF$2:$NF$150=O$1),0),$C221-1966)</f>
        <v>633448.5</v>
      </c>
      <c r="P221" s="4" cm="1">
        <f t="array" ref="P221">INDEX(GMW!$A$2:$NF$150,MATCH(1,(GMW!$NE$2:$NE$150=P$3)*(GMW!$ND$2:$ND$150=P$4)*(GMW!$NF$2:$NF$150=P$1),0),$C221-1966)</f>
        <v>45261.59</v>
      </c>
      <c r="Q221" s="4" cm="1">
        <f t="array" ref="Q221">INDEX(GMW!$A$2:$NF$150,MATCH(1,(GMW!$NE$2:$NE$150=Q$3)*(GMW!$ND$2:$ND$150=Q$4)*(GMW!$NF$2:$NF$150=Q$1),0),$C221-1966)</f>
        <v>3423952</v>
      </c>
      <c r="R221" s="4" cm="1">
        <f t="array" ref="R221">INDEX(GMW!$A$2:$NF$150,MATCH(1,(GMW!$NE$2:$NE$150=R$3)*(GMW!$ND$2:$ND$150=R$4)*(GMW!$NF$2:$NF$150=R$1),0),$C221-1966)</f>
        <v>-1.697997</v>
      </c>
      <c r="S221" s="4" cm="1">
        <f t="array" ref="S221">INDEX(GMW!$A$2:$NF$150,MATCH(1,(GMW!$NE$2:$NE$150=S$3)*(GMW!$ND$2:$ND$150=S$4)*(GMW!$NF$2:$NF$150=S$1),0),$C221-1966)</f>
        <v>656769.30000000005</v>
      </c>
      <c r="T221" s="4" cm="1">
        <f t="array" ref="T221">INDEX(GMW!$A$2:$NF$150,MATCH(1,(GMW!$NE$2:$NE$150=T$3)*(GMW!$ND$2:$ND$150=T$4)*(GMW!$NF$2:$NF$150=T$1),0),$C221-1966)</f>
        <v>142.13409999999999</v>
      </c>
      <c r="U221" s="4" cm="1">
        <f t="array" ref="U221">INDEX(GMW!$A$2:$NF$150,MATCH(1,(GMW!$NE$2:$NE$150=U$3)*(GMW!$ND$2:$ND$150=U$4)*(GMW!$NF$2:$NF$150=U$1),0),$C221-1966)</f>
        <v>199624</v>
      </c>
      <c r="V221" s="4" cm="1">
        <f t="array" ref="V221">INDEX(GMW!$A$2:$NF$150,MATCH(1,(GMW!$NE$2:$NE$150=V$3)*(GMW!$ND$2:$ND$150=V$4)*(GMW!$NF$2:$NF$150=V$1),0),$C221-1966)</f>
        <v>76098.77</v>
      </c>
      <c r="W221" s="4" cm="1">
        <f t="array" ref="W221">INDEX(GMW!$A$2:$NF$150,MATCH(1,(GMW!$NE$2:$NE$150=W$3)*(GMW!$ND$2:$ND$150=W$4)*(GMW!$NF$2:$NF$150=W$1),0),$C221-1966)</f>
        <v>220266</v>
      </c>
      <c r="X221" s="4" cm="1">
        <f t="array" ref="X221">INDEX(GMW!$A$2:$NF$150,MATCH(1,(GMW!$NE$2:$NE$150=X$3)*(GMW!$ND$2:$ND$150=X$4)*(GMW!$NF$2:$NF$150=X$1),0),$C221-1966)</f>
        <v>119263.8</v>
      </c>
      <c r="Y221" s="4" cm="1">
        <f t="array" ref="Y221">INDEX(GMW!$A$2:$NF$150,MATCH(1,(GMW!$NE$2:$NE$150=Y$3)*(GMW!$ND$2:$ND$150=Y$4)*(GMW!$NF$2:$NF$150=Y$1),0),$C221-1966)</f>
        <v>118622.2</v>
      </c>
      <c r="Z221" s="4" cm="1">
        <f t="array" ref="Z221">INDEX(GMW!$A$2:$NF$150,MATCH(1,(GMW!$NE$2:$NE$150=Z$3)*(GMW!$ND$2:$ND$150=Z$4)*(GMW!$NF$2:$NF$150=Z$1),0),$C221-1966)</f>
        <v>65294.7</v>
      </c>
      <c r="AA221" s="4" cm="1">
        <f t="array" ref="AA221">INDEX(GMW!$A$2:$NF$150,MATCH(1,(GMW!$NE$2:$NE$150=AA$3)*(GMW!$ND$2:$ND$150=AA$4)*(GMW!$NF$2:$NF$150=AA$1),0),$C221-1966)</f>
        <v>662938.80000000005</v>
      </c>
      <c r="AB221" s="4" cm="1">
        <f t="array" ref="AB221">INDEX(GMW!$A$2:$NF$150,MATCH(1,(GMW!$NE$2:$NE$150=AB$3)*(GMW!$ND$2:$ND$150=AB$4)*(GMW!$NF$2:$NF$150=AB$1),0),$C221-1966)</f>
        <v>34456.43</v>
      </c>
      <c r="AC221" s="4" cm="1">
        <f t="array" ref="AC221">INDEX(GMW!$A$2:$NF$150,MATCH(1,(GMW!$NE$2:$NE$150=AC$3)*(GMW!$ND$2:$ND$150=AC$4)*(GMW!$NF$2:$NF$150=AC$1),0),$C221-1966)</f>
        <v>32</v>
      </c>
      <c r="AD221" s="4" cm="1">
        <f t="array" ref="AD221">INDEX(GMW!$A$2:$NF$150,MATCH(1,(GMW!$NE$2:$NE$150=AD$3)*(GMW!$ND$2:$ND$150=AD$4)*(GMW!$NF$2:$NF$150=AD$1),0),$C221-1966)</f>
        <v>633448.5</v>
      </c>
      <c r="AE221" s="4" cm="1">
        <f t="array" ref="AE221">INDEX(GMW!$A$2:$NF$150,MATCH(1,(GMW!$NE$2:$NE$150=AE$3)*(GMW!$ND$2:$ND$150=AE$4)*(GMW!$NF$2:$NF$150=AE$1),0),$C221-1966)</f>
        <v>45261.59</v>
      </c>
      <c r="AF221" s="4" cm="1">
        <f t="array" ref="AF221">INDEX(GMW!$A$2:$NF$150,MATCH(1,(GMW!$NE$2:$NE$150=AF$3)*(GMW!$ND$2:$ND$150=AF$4)*(GMW!$NF$2:$NF$150=AF$1),0),$C221-1966)</f>
        <v>3421428</v>
      </c>
      <c r="AG221" s="4" cm="1">
        <f t="array" ref="AG221">INDEX(GMW!$A$2:$NF$150,MATCH(1,(GMW!$NE$2:$NE$150=AG$3)*(GMW!$ND$2:$ND$150=AG$4)*(GMW!$NF$2:$NF$150=AG$1),0),$C221-1966)</f>
        <v>-1.695452</v>
      </c>
      <c r="AH221" s="4" cm="1">
        <f t="array" ref="AH221">INDEX(GMW!$A$2:$NF$150,MATCH(1,(GMW!$NE$2:$NE$150=AH$3)*(GMW!$ND$2:$ND$150=AH$4)*(GMW!$NF$2:$NF$150=AH$1),0),$C221-1966)</f>
        <v>658256.80000000005</v>
      </c>
      <c r="AI221" s="4" cm="1">
        <f t="array" ref="AI221">INDEX(GMW!$A$2:$NF$150,MATCH(1,(GMW!$NE$2:$NE$150=AI$3)*(GMW!$ND$2:$ND$150=AI$4)*(GMW!$NF$2:$NF$150=AI$1),0),$C221-1966)</f>
        <v>141.52000000000001</v>
      </c>
      <c r="AJ221" s="4" cm="1">
        <f t="array" ref="AJ221">INDEX(GMW!$A$2:$NF$150,MATCH(1,(GMW!$NE$2:$NE$150=AJ$3)*(GMW!$ND$2:$ND$150=AJ$4)*(GMW!$NF$2:$NF$150=AJ$1),0),$C221-1966)</f>
        <v>204342</v>
      </c>
      <c r="AK221" s="4" cm="1">
        <f t="array" ref="AK221">INDEX(GMW!$A$2:$NF$150,MATCH(1,(GMW!$NE$2:$NE$150=AK$3)*(GMW!$ND$2:$ND$150=AK$4)*(GMW!$NF$2:$NF$150=AK$1),0),$C221-1966)</f>
        <v>78051.89</v>
      </c>
      <c r="AL221" s="4" cm="1">
        <f t="array" ref="AL221">INDEX(GMW!$A$2:$NF$150,MATCH(1,(GMW!$NE$2:$NE$150=AL$3)*(GMW!$ND$2:$ND$150=AL$4)*(GMW!$NF$2:$NF$150=AL$1),0),$C221-1966)</f>
        <v>223709.9</v>
      </c>
      <c r="AM221" s="4" cm="1">
        <f t="array" ref="AM221">INDEX(GMW!$A$2:$NF$150,MATCH(1,(GMW!$NE$2:$NE$150=AM$3)*(GMW!$ND$2:$ND$150=AM$4)*(GMW!$NF$2:$NF$150=AM$1),0),$C221-1966)</f>
        <v>121646.6</v>
      </c>
      <c r="AN221" s="4" cm="1">
        <f t="array" ref="AN221">INDEX(GMW!$A$2:$NF$150,MATCH(1,(GMW!$NE$2:$NE$150=AN$3)*(GMW!$ND$2:$ND$150=AN$4)*(GMW!$NF$2:$NF$150=AN$1),0),$C221-1966)</f>
        <v>119006.7</v>
      </c>
      <c r="AO221" s="4" cm="1">
        <f t="array" ref="AO221">INDEX(GMW!$A$2:$NF$150,MATCH(1,(GMW!$NE$2:$NE$150=AO$3)*(GMW!$ND$2:$ND$150=AO$4)*(GMW!$NF$2:$NF$150=AO$1),0),$C221-1966)</f>
        <v>66612.789999999994</v>
      </c>
      <c r="AP221" s="4" cm="1">
        <f t="array" ref="AP221">INDEX(GMW!$A$2:$NF$150,MATCH(1,(GMW!$NE$2:$NE$150=AP$3)*(GMW!$ND$2:$ND$150=AP$4)*(GMW!$NF$2:$NF$150=AP$1),0),$C221-1966)</f>
        <v>662477.5</v>
      </c>
      <c r="AQ221" s="4" cm="1">
        <f t="array" ref="AQ221">INDEX(GMW!$A$2:$NF$150,MATCH(1,(GMW!$NE$2:$NE$150=AQ$3)*(GMW!$ND$2:$ND$150=AQ$4)*(GMW!$NF$2:$NF$150=AQ$1),0),$C221-1966)</f>
        <v>34368.06</v>
      </c>
      <c r="AR221" s="4" cm="1">
        <f t="array" ref="AR221">INDEX(GMW!$A$2:$NF$150,MATCH(1,(GMW!$NE$2:$NE$150=AR$3)*(GMW!$ND$2:$ND$150=AR$4)*(GMW!$NF$2:$NF$150=AR$1),0),$C221-1966)</f>
        <v>32</v>
      </c>
      <c r="AS221" s="4" cm="1">
        <f t="array" ref="AS221">INDEX(GMW!$A$2:$NF$150,MATCH(1,(GMW!$NE$2:$NE$150=AS$3)*(GMW!$ND$2:$ND$150=AS$4)*(GMW!$NF$2:$NF$150=AS$1),0),$C221-1966)</f>
        <v>632906.4</v>
      </c>
      <c r="AT221" s="4" cm="1">
        <f t="array" ref="AT221">INDEX(GMW!$A$2:$NF$150,MATCH(1,(GMW!$NE$2:$NE$150=AT$3)*(GMW!$ND$2:$ND$150=AT$4)*(GMW!$NF$2:$NF$150=AT$1),0),$C221-1966)</f>
        <v>45223.48</v>
      </c>
      <c r="AU221" s="4" cm="1">
        <f t="array" ref="AU221">INDEX(GMW!$A$2:$NF$150,MATCH(1,(GMW!$NE$2:$NE$150=AU$3)*(GMW!$ND$2:$ND$150=AU$4)*(GMW!$NF$2:$NF$150=AU$1),0),$C221-1966)</f>
        <v>3423176</v>
      </c>
      <c r="AV221" s="4" cm="1">
        <f t="array" ref="AV221">INDEX(GMW!$A$2:$NF$150,MATCH(1,(GMW!$NE$2:$NE$150=AV$3)*(GMW!$ND$2:$ND$150=AV$4)*(GMW!$NF$2:$NF$150=AV$1),0),$C221-1966)</f>
        <v>-1.6946049999999999</v>
      </c>
    </row>
    <row r="222" spans="1:48" x14ac:dyDescent="0.25">
      <c r="B222" s="4">
        <f t="shared" si="10"/>
        <v>2026</v>
      </c>
      <c r="C222" s="4">
        <f t="shared" si="9"/>
        <v>2188</v>
      </c>
      <c r="D222" s="4" cm="1">
        <f t="array" ref="D222">INDEX(GMW!$A$2:$NF$150,MATCH(1,(GMW!$NE$2:$NE$150=D$3)*(GMW!$ND$2:$ND$150=D$4)*(GMW!$NF$2:$NF$150=D$1),0),$C222-1966)</f>
        <v>655799.6</v>
      </c>
      <c r="E222" s="4" cm="1">
        <f t="array" ref="E222">INDEX(GMW!$A$2:$NF$150,MATCH(1,(GMW!$NE$2:$NE$150=E$3)*(GMW!$ND$2:$ND$150=E$4)*(GMW!$NF$2:$NF$150=E$1),0),$C222-1966)</f>
        <v>142.52670000000001</v>
      </c>
      <c r="F222" s="4" cm="1">
        <f t="array" ref="F222">INDEX(GMW!$A$2:$NF$150,MATCH(1,(GMW!$NE$2:$NE$150=F$3)*(GMW!$ND$2:$ND$150=F$4)*(GMW!$NF$2:$NF$150=F$1),0),$C222-1966)</f>
        <v>208159</v>
      </c>
      <c r="G222" s="4" cm="1">
        <f t="array" ref="G222">INDEX(GMW!$A$2:$NF$150,MATCH(1,(GMW!$NE$2:$NE$150=G$3)*(GMW!$ND$2:$ND$150=G$4)*(GMW!$NF$2:$NF$150=G$1),0),$C222-1966)</f>
        <v>72199.7</v>
      </c>
      <c r="H222" s="4" cm="1">
        <f t="array" ref="H222">INDEX(GMW!$A$2:$NF$150,MATCH(1,(GMW!$NE$2:$NE$150=H$3)*(GMW!$ND$2:$ND$150=H$4)*(GMW!$NF$2:$NF$150=H$1),0),$C222-1966)</f>
        <v>227907.9</v>
      </c>
      <c r="I222" s="4" cm="1">
        <f t="array" ref="I222">INDEX(GMW!$A$2:$NF$150,MATCH(1,(GMW!$NE$2:$NE$150=I$3)*(GMW!$ND$2:$ND$150=I$4)*(GMW!$NF$2:$NF$150=I$1),0),$C222-1966)</f>
        <v>124358.1</v>
      </c>
      <c r="J222" s="4" cm="1">
        <f t="array" ref="J222">INDEX(GMW!$A$2:$NF$150,MATCH(1,(GMW!$NE$2:$NE$150=J$3)*(GMW!$ND$2:$ND$150=J$4)*(GMW!$NF$2:$NF$150=J$1),0),$C222-1966)</f>
        <v>117735.5</v>
      </c>
      <c r="K222" s="4" cm="1">
        <f t="array" ref="K222">INDEX(GMW!$A$2:$NF$150,MATCH(1,(GMW!$NE$2:$NE$150=K$3)*(GMW!$ND$2:$ND$150=K$4)*(GMW!$NF$2:$NF$150=K$1),0),$C222-1966)</f>
        <v>63992.46</v>
      </c>
      <c r="L222" s="4" cm="1">
        <f t="array" ref="L222">INDEX(GMW!$A$2:$NF$150,MATCH(1,(GMW!$NE$2:$NE$150=L$3)*(GMW!$ND$2:$ND$150=L$4)*(GMW!$NF$2:$NF$150=L$1),0),$C222-1966)</f>
        <v>664151.9</v>
      </c>
      <c r="M222" s="4" cm="1">
        <f t="array" ref="M222">INDEX(GMW!$A$2:$NF$150,MATCH(1,(GMW!$NE$2:$NE$150=M$3)*(GMW!$ND$2:$ND$150=M$4)*(GMW!$NF$2:$NF$150=M$1),0),$C222-1966)</f>
        <v>34580.57</v>
      </c>
      <c r="N222" s="4" cm="1">
        <f t="array" ref="N222">INDEX(GMW!$A$2:$NF$150,MATCH(1,(GMW!$NE$2:$NE$150=N$3)*(GMW!$ND$2:$ND$150=N$4)*(GMW!$NF$2:$NF$150=N$1),0),$C222-1966)</f>
        <v>32</v>
      </c>
      <c r="O222" s="4" cm="1">
        <f t="array" ref="O222">INDEX(GMW!$A$2:$NF$150,MATCH(1,(GMW!$NE$2:$NE$150=O$3)*(GMW!$ND$2:$ND$150=O$4)*(GMW!$NF$2:$NF$150=O$1),0),$C222-1966)</f>
        <v>635090.1</v>
      </c>
      <c r="P222" s="4" cm="1">
        <f t="array" ref="P222">INDEX(GMW!$A$2:$NF$150,MATCH(1,(GMW!$NE$2:$NE$150=P$3)*(GMW!$ND$2:$ND$150=P$4)*(GMW!$NF$2:$NF$150=P$1),0),$C222-1966)</f>
        <v>45311.31</v>
      </c>
      <c r="Q222" s="4" cm="1">
        <f t="array" ref="Q222">INDEX(GMW!$A$2:$NF$150,MATCH(1,(GMW!$NE$2:$NE$150=Q$3)*(GMW!$ND$2:$ND$150=Q$4)*(GMW!$NF$2:$NF$150=Q$1),0),$C222-1966)</f>
        <v>3434760</v>
      </c>
      <c r="R222" s="4" cm="1">
        <f t="array" ref="R222">INDEX(GMW!$A$2:$NF$150,MATCH(1,(GMW!$NE$2:$NE$150=R$3)*(GMW!$ND$2:$ND$150=R$4)*(GMW!$NF$2:$NF$150=R$1),0),$C222-1966)</f>
        <v>-1.6979120000000001</v>
      </c>
      <c r="S222" s="4" cm="1">
        <f t="array" ref="S222">INDEX(GMW!$A$2:$NF$150,MATCH(1,(GMW!$NE$2:$NE$150=S$3)*(GMW!$ND$2:$ND$150=S$4)*(GMW!$NF$2:$NF$150=S$1),0),$C222-1966)</f>
        <v>659363.1</v>
      </c>
      <c r="T222" s="4" cm="1">
        <f t="array" ref="T222">INDEX(GMW!$A$2:$NF$150,MATCH(1,(GMW!$NE$2:$NE$150=T$3)*(GMW!$ND$2:$ND$150=T$4)*(GMW!$NF$2:$NF$150=T$1),0),$C222-1966)</f>
        <v>142.84719999999999</v>
      </c>
      <c r="U222" s="4" cm="1">
        <f t="array" ref="U222">INDEX(GMW!$A$2:$NF$150,MATCH(1,(GMW!$NE$2:$NE$150=U$3)*(GMW!$ND$2:$ND$150=U$4)*(GMW!$NF$2:$NF$150=U$1),0),$C222-1966)</f>
        <v>200264.3</v>
      </c>
      <c r="V222" s="4" cm="1">
        <f t="array" ref="V222">INDEX(GMW!$A$2:$NF$150,MATCH(1,(GMW!$NE$2:$NE$150=V$3)*(GMW!$ND$2:$ND$150=V$4)*(GMW!$NF$2:$NF$150=V$1),0),$C222-1966)</f>
        <v>76212.55</v>
      </c>
      <c r="W222" s="4" cm="1">
        <f t="array" ref="W222">INDEX(GMW!$A$2:$NF$150,MATCH(1,(GMW!$NE$2:$NE$150=W$3)*(GMW!$ND$2:$ND$150=W$4)*(GMW!$NF$2:$NF$150=W$1),0),$C222-1966)</f>
        <v>220961.1</v>
      </c>
      <c r="X222" s="4" cm="1">
        <f t="array" ref="X222">INDEX(GMW!$A$2:$NF$150,MATCH(1,(GMW!$NE$2:$NE$150=X$3)*(GMW!$ND$2:$ND$150=X$4)*(GMW!$NF$2:$NF$150=X$1),0),$C222-1966)</f>
        <v>119526.7</v>
      </c>
      <c r="Y222" s="4" cm="1">
        <f t="array" ref="Y222">INDEX(GMW!$A$2:$NF$150,MATCH(1,(GMW!$NE$2:$NE$150=Y$3)*(GMW!$ND$2:$ND$150=Y$4)*(GMW!$NF$2:$NF$150=Y$1),0),$C222-1966)</f>
        <v>119408.2</v>
      </c>
      <c r="Z222" s="4" cm="1">
        <f t="array" ref="Z222">INDEX(GMW!$A$2:$NF$150,MATCH(1,(GMW!$NE$2:$NE$150=Z$3)*(GMW!$ND$2:$ND$150=Z$4)*(GMW!$NF$2:$NF$150=Z$1),0),$C222-1966)</f>
        <v>65686.47</v>
      </c>
      <c r="AA222" s="4" cm="1">
        <f t="array" ref="AA222">INDEX(GMW!$A$2:$NF$150,MATCH(1,(GMW!$NE$2:$NE$150=AA$3)*(GMW!$ND$2:$ND$150=AA$4)*(GMW!$NF$2:$NF$150=AA$1),0),$C222-1966)</f>
        <v>665473.19999999995</v>
      </c>
      <c r="AB222" s="4" cm="1">
        <f t="array" ref="AB222">INDEX(GMW!$A$2:$NF$150,MATCH(1,(GMW!$NE$2:$NE$150=AB$3)*(GMW!$ND$2:$ND$150=AB$4)*(GMW!$NF$2:$NF$150=AB$1),0),$C222-1966)</f>
        <v>34560.17</v>
      </c>
      <c r="AC222" s="4" cm="1">
        <f t="array" ref="AC222">INDEX(GMW!$A$2:$NF$150,MATCH(1,(GMW!$NE$2:$NE$150=AC$3)*(GMW!$ND$2:$ND$150=AC$4)*(GMW!$NF$2:$NF$150=AC$1),0),$C222-1966)</f>
        <v>32</v>
      </c>
      <c r="AD222" s="4" cm="1">
        <f t="array" ref="AD222">INDEX(GMW!$A$2:$NF$150,MATCH(1,(GMW!$NE$2:$NE$150=AD$3)*(GMW!$ND$2:$ND$150=AD$4)*(GMW!$NF$2:$NF$150=AD$1),0),$C222-1966)</f>
        <v>635090.1</v>
      </c>
      <c r="AE222" s="4" cm="1">
        <f t="array" ref="AE222">INDEX(GMW!$A$2:$NF$150,MATCH(1,(GMW!$NE$2:$NE$150=AE$3)*(GMW!$ND$2:$ND$150=AE$4)*(GMW!$NF$2:$NF$150=AE$1),0),$C222-1966)</f>
        <v>45311.31</v>
      </c>
      <c r="AF222" s="4" cm="1">
        <f t="array" ref="AF222">INDEX(GMW!$A$2:$NF$150,MATCH(1,(GMW!$NE$2:$NE$150=AF$3)*(GMW!$ND$2:$ND$150=AF$4)*(GMW!$NF$2:$NF$150=AF$1),0),$C222-1966)</f>
        <v>3433875</v>
      </c>
      <c r="AG222" s="4" cm="1">
        <f t="array" ref="AG222">INDEX(GMW!$A$2:$NF$150,MATCH(1,(GMW!$NE$2:$NE$150=AG$3)*(GMW!$ND$2:$ND$150=AG$4)*(GMW!$NF$2:$NF$150=AG$1),0),$C222-1966)</f>
        <v>-1.6952830000000001</v>
      </c>
      <c r="AH222" s="4" cm="1">
        <f t="array" ref="AH222">INDEX(GMW!$A$2:$NF$150,MATCH(1,(GMW!$NE$2:$NE$150=AH$3)*(GMW!$ND$2:$ND$150=AH$4)*(GMW!$NF$2:$NF$150=AH$1),0),$C222-1966)</f>
        <v>661119.80000000005</v>
      </c>
      <c r="AI222" s="4" cm="1">
        <f t="array" ref="AI222">INDEX(GMW!$A$2:$NF$150,MATCH(1,(GMW!$NE$2:$NE$150=AI$3)*(GMW!$ND$2:$ND$150=AI$4)*(GMW!$NF$2:$NF$150=AI$1),0),$C222-1966)</f>
        <v>142.25579999999999</v>
      </c>
      <c r="AJ222" s="4" cm="1">
        <f t="array" ref="AJ222">INDEX(GMW!$A$2:$NF$150,MATCH(1,(GMW!$NE$2:$NE$150=AJ$3)*(GMW!$ND$2:$ND$150=AJ$4)*(GMW!$NF$2:$NF$150=AJ$1),0),$C222-1966)</f>
        <v>205107.7</v>
      </c>
      <c r="AK222" s="4" cm="1">
        <f t="array" ref="AK222">INDEX(GMW!$A$2:$NF$150,MATCH(1,(GMW!$NE$2:$NE$150=AK$3)*(GMW!$ND$2:$ND$150=AK$4)*(GMW!$NF$2:$NF$150=AK$1),0),$C222-1966)</f>
        <v>78293.48</v>
      </c>
      <c r="AL222" s="4" cm="1">
        <f t="array" ref="AL222">INDEX(GMW!$A$2:$NF$150,MATCH(1,(GMW!$NE$2:$NE$150=AL$3)*(GMW!$ND$2:$ND$150=AL$4)*(GMW!$NF$2:$NF$150=AL$1),0),$C222-1966)</f>
        <v>224593.8</v>
      </c>
      <c r="AM222" s="4" cm="1">
        <f t="array" ref="AM222">INDEX(GMW!$A$2:$NF$150,MATCH(1,(GMW!$NE$2:$NE$150=AM$3)*(GMW!$ND$2:$ND$150=AM$4)*(GMW!$NF$2:$NF$150=AM$1),0),$C222-1966)</f>
        <v>122085</v>
      </c>
      <c r="AN222" s="4" cm="1">
        <f t="array" ref="AN222">INDEX(GMW!$A$2:$NF$150,MATCH(1,(GMW!$NE$2:$NE$150=AN$3)*(GMW!$ND$2:$ND$150=AN$4)*(GMW!$NF$2:$NF$150=AN$1),0),$C222-1966)</f>
        <v>119861.4</v>
      </c>
      <c r="AO222" s="4" cm="1">
        <f t="array" ref="AO222">INDEX(GMW!$A$2:$NF$150,MATCH(1,(GMW!$NE$2:$NE$150=AO$3)*(GMW!$ND$2:$ND$150=AO$4)*(GMW!$NF$2:$NF$150=AO$1),0),$C222-1966)</f>
        <v>67079.09</v>
      </c>
      <c r="AP222" s="4" cm="1">
        <f t="array" ref="AP222">INDEX(GMW!$A$2:$NF$150,MATCH(1,(GMW!$NE$2:$NE$150=AP$3)*(GMW!$ND$2:$ND$150=AP$4)*(GMW!$NF$2:$NF$150=AP$1),0),$C222-1966)</f>
        <v>665112.80000000005</v>
      </c>
      <c r="AQ222" s="4" cm="1">
        <f t="array" ref="AQ222">INDEX(GMW!$A$2:$NF$150,MATCH(1,(GMW!$NE$2:$NE$150=AQ$3)*(GMW!$ND$2:$ND$150=AQ$4)*(GMW!$NF$2:$NF$150=AQ$1),0),$C222-1966)</f>
        <v>34468.089999999997</v>
      </c>
      <c r="AR222" s="4" cm="1">
        <f t="array" ref="AR222">INDEX(GMW!$A$2:$NF$150,MATCH(1,(GMW!$NE$2:$NE$150=AR$3)*(GMW!$ND$2:$ND$150=AR$4)*(GMW!$NF$2:$NF$150=AR$1),0),$C222-1966)</f>
        <v>32</v>
      </c>
      <c r="AS222" s="4" cm="1">
        <f t="array" ref="AS222">INDEX(GMW!$A$2:$NF$150,MATCH(1,(GMW!$NE$2:$NE$150=AS$3)*(GMW!$ND$2:$ND$150=AS$4)*(GMW!$NF$2:$NF$150=AS$1),0),$C222-1966)</f>
        <v>634505.69999999995</v>
      </c>
      <c r="AT222" s="4" cm="1">
        <f t="array" ref="AT222">INDEX(GMW!$A$2:$NF$150,MATCH(1,(GMW!$NE$2:$NE$150=AT$3)*(GMW!$ND$2:$ND$150=AT$4)*(GMW!$NF$2:$NF$150=AT$1),0),$C222-1966)</f>
        <v>45270.23</v>
      </c>
      <c r="AU222" s="4" cm="1">
        <f t="array" ref="AU222">INDEX(GMW!$A$2:$NF$150,MATCH(1,(GMW!$NE$2:$NE$150=AU$3)*(GMW!$ND$2:$ND$150=AU$4)*(GMW!$NF$2:$NF$150=AU$1),0),$C222-1966)</f>
        <v>3436137</v>
      </c>
      <c r="AV222" s="4" cm="1">
        <f t="array" ref="AV222">INDEX(GMW!$A$2:$NF$150,MATCH(1,(GMW!$NE$2:$NE$150=AV$3)*(GMW!$ND$2:$ND$150=AV$4)*(GMW!$NF$2:$NF$150=AV$1),0),$C222-1966)</f>
        <v>-1.694266</v>
      </c>
    </row>
    <row r="223" spans="1:48" x14ac:dyDescent="0.25">
      <c r="A223" s="4">
        <v>2027</v>
      </c>
      <c r="B223" s="4">
        <f t="shared" si="10"/>
        <v>2027</v>
      </c>
      <c r="C223" s="4">
        <f t="shared" si="9"/>
        <v>2189</v>
      </c>
      <c r="D223" s="4" cm="1">
        <f t="array" ref="D223">INDEX(GMW!$A$2:$NF$150,MATCH(1,(GMW!$NE$2:$NE$150=D$3)*(GMW!$ND$2:$ND$150=D$4)*(GMW!$NF$2:$NF$150=D$1),0),$C223-1966)</f>
        <v>657931</v>
      </c>
      <c r="E223" s="4" cm="1">
        <f t="array" ref="E223">INDEX(GMW!$A$2:$NF$150,MATCH(1,(GMW!$NE$2:$NE$150=E$3)*(GMW!$ND$2:$ND$150=E$4)*(GMW!$NF$2:$NF$150=E$1),0),$C223-1966)</f>
        <v>142.9419</v>
      </c>
      <c r="F223" s="4" cm="1">
        <f t="array" ref="F223">INDEX(GMW!$A$2:$NF$150,MATCH(1,(GMW!$NE$2:$NE$150=F$3)*(GMW!$ND$2:$ND$150=F$4)*(GMW!$NF$2:$NF$150=F$1),0),$C223-1966)</f>
        <v>208855</v>
      </c>
      <c r="G223" s="4" cm="1">
        <f t="array" ref="G223">INDEX(GMW!$A$2:$NF$150,MATCH(1,(GMW!$NE$2:$NE$150=G$3)*(GMW!$ND$2:$ND$150=G$4)*(GMW!$NF$2:$NF$150=G$1),0),$C223-1966)</f>
        <v>72398.23</v>
      </c>
      <c r="H223" s="4" cm="1">
        <f t="array" ref="H223">INDEX(GMW!$A$2:$NF$150,MATCH(1,(GMW!$NE$2:$NE$150=H$3)*(GMW!$ND$2:$ND$150=H$4)*(GMW!$NF$2:$NF$150=H$1),0),$C223-1966)</f>
        <v>228491.7</v>
      </c>
      <c r="I223" s="4" cm="1">
        <f t="array" ref="I223">INDEX(GMW!$A$2:$NF$150,MATCH(1,(GMW!$NE$2:$NE$150=I$3)*(GMW!$ND$2:$ND$150=I$4)*(GMW!$NF$2:$NF$150=I$1),0),$C223-1966)</f>
        <v>124606.6</v>
      </c>
      <c r="J223" s="4" cm="1">
        <f t="array" ref="J223">INDEX(GMW!$A$2:$NF$150,MATCH(1,(GMW!$NE$2:$NE$150=J$3)*(GMW!$ND$2:$ND$150=J$4)*(GMW!$NF$2:$NF$150=J$1),0),$C223-1966)</f>
        <v>118139.9</v>
      </c>
      <c r="K223" s="4" cm="1">
        <f t="array" ref="K223">INDEX(GMW!$A$2:$NF$150,MATCH(1,(GMW!$NE$2:$NE$150=K$3)*(GMW!$ND$2:$ND$150=K$4)*(GMW!$NF$2:$NF$150=K$1),0),$C223-1966)</f>
        <v>64062.84</v>
      </c>
      <c r="L223" s="4" cm="1">
        <f t="array" ref="L223">INDEX(GMW!$A$2:$NF$150,MATCH(1,(GMW!$NE$2:$NE$150=L$3)*(GMW!$ND$2:$ND$150=L$4)*(GMW!$NF$2:$NF$150=L$1),0),$C223-1966)</f>
        <v>666314.6</v>
      </c>
      <c r="M223" s="4" cm="1">
        <f t="array" ref="M223">INDEX(GMW!$A$2:$NF$150,MATCH(1,(GMW!$NE$2:$NE$150=M$3)*(GMW!$ND$2:$ND$150=M$4)*(GMW!$NF$2:$NF$150=M$1),0),$C223-1966)</f>
        <v>34667.019999999997</v>
      </c>
      <c r="N223" s="4" cm="1">
        <f t="array" ref="N223">INDEX(GMW!$A$2:$NF$150,MATCH(1,(GMW!$NE$2:$NE$150=N$3)*(GMW!$ND$2:$ND$150=N$4)*(GMW!$NF$2:$NF$150=N$1),0),$C223-1966)</f>
        <v>31.999790000000001</v>
      </c>
      <c r="O223" s="4" cm="1">
        <f t="array" ref="O223">INDEX(GMW!$A$2:$NF$150,MATCH(1,(GMW!$NE$2:$NE$150=O$3)*(GMW!$ND$2:$ND$150=O$4)*(GMW!$NF$2:$NF$150=O$1),0),$C223-1966)</f>
        <v>636727.9</v>
      </c>
      <c r="P223" s="4" cm="1">
        <f t="array" ref="P223">INDEX(GMW!$A$2:$NF$150,MATCH(1,(GMW!$NE$2:$NE$150=P$3)*(GMW!$ND$2:$ND$150=P$4)*(GMW!$NF$2:$NF$150=P$1),0),$C223-1966)</f>
        <v>45361.02</v>
      </c>
      <c r="Q223" s="4" cm="1">
        <f t="array" ref="Q223">INDEX(GMW!$A$2:$NF$150,MATCH(1,(GMW!$NE$2:$NE$150=Q$3)*(GMW!$ND$2:$ND$150=Q$4)*(GMW!$NF$2:$NF$150=Q$1),0),$C223-1966)</f>
        <v>3445504</v>
      </c>
      <c r="R223" s="4" cm="1">
        <f t="array" ref="R223">INDEX(GMW!$A$2:$NF$150,MATCH(1,(GMW!$NE$2:$NE$150=R$3)*(GMW!$ND$2:$ND$150=R$4)*(GMW!$NF$2:$NF$150=R$1),0),$C223-1966)</f>
        <v>-1.697827</v>
      </c>
      <c r="S223" s="4" cm="1">
        <f t="array" ref="S223">INDEX(GMW!$A$2:$NF$150,MATCH(1,(GMW!$NE$2:$NE$150=S$3)*(GMW!$ND$2:$ND$150=S$4)*(GMW!$NF$2:$NF$150=S$1),0),$C223-1966)</f>
        <v>662033.6</v>
      </c>
      <c r="T223" s="4" cm="1">
        <f t="array" ref="T223">INDEX(GMW!$A$2:$NF$150,MATCH(1,(GMW!$NE$2:$NE$150=T$3)*(GMW!$ND$2:$ND$150=T$4)*(GMW!$NF$2:$NF$150=T$1),0),$C223-1966)</f>
        <v>143.2193</v>
      </c>
      <c r="U223" s="4" cm="1">
        <f t="array" ref="U223">INDEX(GMW!$A$2:$NF$150,MATCH(1,(GMW!$NE$2:$NE$150=U$3)*(GMW!$ND$2:$ND$150=U$4)*(GMW!$NF$2:$NF$150=U$1),0),$C223-1966)</f>
        <v>200986.1</v>
      </c>
      <c r="V223" s="4" cm="1">
        <f t="array" ref="V223">INDEX(GMW!$A$2:$NF$150,MATCH(1,(GMW!$NE$2:$NE$150=V$3)*(GMW!$ND$2:$ND$150=V$4)*(GMW!$NF$2:$NF$150=V$1),0),$C223-1966)</f>
        <v>76376.38</v>
      </c>
      <c r="W223" s="4" cm="1">
        <f t="array" ref="W223">INDEX(GMW!$A$2:$NF$150,MATCH(1,(GMW!$NE$2:$NE$150=W$3)*(GMW!$ND$2:$ND$150=W$4)*(GMW!$NF$2:$NF$150=W$1),0),$C223-1966)</f>
        <v>221545.1</v>
      </c>
      <c r="X223" s="4" cm="1">
        <f t="array" ref="X223">INDEX(GMW!$A$2:$NF$150,MATCH(1,(GMW!$NE$2:$NE$150=X$3)*(GMW!$ND$2:$ND$150=X$4)*(GMW!$NF$2:$NF$150=X$1),0),$C223-1966)</f>
        <v>119729.60000000001</v>
      </c>
      <c r="Y223" s="4" cm="1">
        <f t="array" ref="Y223">INDEX(GMW!$A$2:$NF$150,MATCH(1,(GMW!$NE$2:$NE$150=Y$3)*(GMW!$ND$2:$ND$150=Y$4)*(GMW!$NF$2:$NF$150=Y$1),0),$C223-1966)</f>
        <v>120062.39999999999</v>
      </c>
      <c r="Z223" s="4" cm="1">
        <f t="array" ref="Z223">INDEX(GMW!$A$2:$NF$150,MATCH(1,(GMW!$NE$2:$NE$150=Z$3)*(GMW!$ND$2:$ND$150=Z$4)*(GMW!$NF$2:$NF$150=Z$1),0),$C223-1966)</f>
        <v>66060.86</v>
      </c>
      <c r="AA223" s="4" cm="1">
        <f t="array" ref="AA223">INDEX(GMW!$A$2:$NF$150,MATCH(1,(GMW!$NE$2:$NE$150=AA$3)*(GMW!$ND$2:$ND$150=AA$4)*(GMW!$NF$2:$NF$150=AA$1),0),$C223-1966)</f>
        <v>667995</v>
      </c>
      <c r="AB223" s="4" cm="1">
        <f t="array" ref="AB223">INDEX(GMW!$A$2:$NF$150,MATCH(1,(GMW!$NE$2:$NE$150=AB$3)*(GMW!$ND$2:$ND$150=AB$4)*(GMW!$NF$2:$NF$150=AB$1),0),$C223-1966)</f>
        <v>34656.94</v>
      </c>
      <c r="AC223" s="4" cm="1">
        <f t="array" ref="AC223">INDEX(GMW!$A$2:$NF$150,MATCH(1,(GMW!$NE$2:$NE$150=AC$3)*(GMW!$ND$2:$ND$150=AC$4)*(GMW!$NF$2:$NF$150=AC$1),0),$C223-1966)</f>
        <v>31.999790000000001</v>
      </c>
      <c r="AD223" s="4" cm="1">
        <f t="array" ref="AD223">INDEX(GMW!$A$2:$NF$150,MATCH(1,(GMW!$NE$2:$NE$150=AD$3)*(GMW!$ND$2:$ND$150=AD$4)*(GMW!$NF$2:$NF$150=AD$1),0),$C223-1966)</f>
        <v>636727.9</v>
      </c>
      <c r="AE223" s="4" cm="1">
        <f t="array" ref="AE223">INDEX(GMW!$A$2:$NF$150,MATCH(1,(GMW!$NE$2:$NE$150=AE$3)*(GMW!$ND$2:$ND$150=AE$4)*(GMW!$NF$2:$NF$150=AE$1),0),$C223-1966)</f>
        <v>45361.02</v>
      </c>
      <c r="AF223" s="4" cm="1">
        <f t="array" ref="AF223">INDEX(GMW!$A$2:$NF$150,MATCH(1,(GMW!$NE$2:$NE$150=AF$3)*(GMW!$ND$2:$ND$150=AF$4)*(GMW!$NF$2:$NF$150=AF$1),0),$C223-1966)</f>
        <v>3446455</v>
      </c>
      <c r="AG223" s="4" cm="1">
        <f t="array" ref="AG223">INDEX(GMW!$A$2:$NF$150,MATCH(1,(GMW!$NE$2:$NE$150=AG$3)*(GMW!$ND$2:$ND$150=AG$4)*(GMW!$NF$2:$NF$150=AG$1),0),$C223-1966)</f>
        <v>-1.6950289999999999</v>
      </c>
      <c r="AH223" s="4" cm="1">
        <f t="array" ref="AH223">INDEX(GMW!$A$2:$NF$150,MATCH(1,(GMW!$NE$2:$NE$150=AH$3)*(GMW!$ND$2:$ND$150=AH$4)*(GMW!$NF$2:$NF$150=AH$1),0),$C223-1966)</f>
        <v>664028.9</v>
      </c>
      <c r="AI223" s="4" cm="1">
        <f t="array" ref="AI223">INDEX(GMW!$A$2:$NF$150,MATCH(1,(GMW!$NE$2:$NE$150=AI$3)*(GMW!$ND$2:$ND$150=AI$4)*(GMW!$NF$2:$NF$150=AI$1),0),$C223-1966)</f>
        <v>142.51910000000001</v>
      </c>
      <c r="AJ223" s="4" cm="1">
        <f t="array" ref="AJ223">INDEX(GMW!$A$2:$NF$150,MATCH(1,(GMW!$NE$2:$NE$150=AJ$3)*(GMW!$ND$2:$ND$150=AJ$4)*(GMW!$NF$2:$NF$150=AJ$1),0),$C223-1966)</f>
        <v>205926.2</v>
      </c>
      <c r="AK223" s="4" cm="1">
        <f t="array" ref="AK223">INDEX(GMW!$A$2:$NF$150,MATCH(1,(GMW!$NE$2:$NE$150=AK$3)*(GMW!$ND$2:$ND$150=AK$4)*(GMW!$NF$2:$NF$150=AK$1),0),$C223-1966)</f>
        <v>78555.75</v>
      </c>
      <c r="AL223" s="4" cm="1">
        <f t="array" ref="AL223">INDEX(GMW!$A$2:$NF$150,MATCH(1,(GMW!$NE$2:$NE$150=AL$3)*(GMW!$ND$2:$ND$150=AL$4)*(GMW!$NF$2:$NF$150=AL$1),0),$C223-1966)</f>
        <v>225366.9</v>
      </c>
      <c r="AM223" s="4" cm="1">
        <f t="array" ref="AM223">INDEX(GMW!$A$2:$NF$150,MATCH(1,(GMW!$NE$2:$NE$150=AM$3)*(GMW!$ND$2:$ND$150=AM$4)*(GMW!$NF$2:$NF$150=AM$1),0),$C223-1966)</f>
        <v>122463.2</v>
      </c>
      <c r="AN223" s="4" cm="1">
        <f t="array" ref="AN223">INDEX(GMW!$A$2:$NF$150,MATCH(1,(GMW!$NE$2:$NE$150=AN$3)*(GMW!$ND$2:$ND$150=AN$4)*(GMW!$NF$2:$NF$150=AN$1),0),$C223-1966)</f>
        <v>120575.8</v>
      </c>
      <c r="AO223" s="4" cm="1">
        <f t="array" ref="AO223">INDEX(GMW!$A$2:$NF$150,MATCH(1,(GMW!$NE$2:$NE$150=AO$3)*(GMW!$ND$2:$ND$150=AO$4)*(GMW!$NF$2:$NF$150=AO$1),0),$C223-1966)</f>
        <v>67515.100000000006</v>
      </c>
      <c r="AP223" s="4" cm="1">
        <f t="array" ref="AP223">INDEX(GMW!$A$2:$NF$150,MATCH(1,(GMW!$NE$2:$NE$150=AP$3)*(GMW!$ND$2:$ND$150=AP$4)*(GMW!$NF$2:$NF$150=AP$1),0),$C223-1966)</f>
        <v>667681.6</v>
      </c>
      <c r="AQ223" s="4" cm="1">
        <f t="array" ref="AQ223">INDEX(GMW!$A$2:$NF$150,MATCH(1,(GMW!$NE$2:$NE$150=AQ$3)*(GMW!$ND$2:$ND$150=AQ$4)*(GMW!$NF$2:$NF$150=AQ$1),0),$C223-1966)</f>
        <v>34561.160000000003</v>
      </c>
      <c r="AR223" s="4" cm="1">
        <f t="array" ref="AR223">INDEX(GMW!$A$2:$NF$150,MATCH(1,(GMW!$NE$2:$NE$150=AR$3)*(GMW!$ND$2:$ND$150=AR$4)*(GMW!$NF$2:$NF$150=AR$1),0),$C223-1966)</f>
        <v>31.999790000000001</v>
      </c>
      <c r="AS223" s="4" cm="1">
        <f t="array" ref="AS223">INDEX(GMW!$A$2:$NF$150,MATCH(1,(GMW!$NE$2:$NE$150=AS$3)*(GMW!$ND$2:$ND$150=AS$4)*(GMW!$NF$2:$NF$150=AS$1),0),$C223-1966)</f>
        <v>636101.4</v>
      </c>
      <c r="AT223" s="4" cm="1">
        <f t="array" ref="AT223">INDEX(GMW!$A$2:$NF$150,MATCH(1,(GMW!$NE$2:$NE$150=AT$3)*(GMW!$ND$2:$ND$150=AT$4)*(GMW!$NF$2:$NF$150=AT$1),0),$C223-1966)</f>
        <v>45316.98</v>
      </c>
      <c r="AU223" s="4" cm="1">
        <f t="array" ref="AU223">INDEX(GMW!$A$2:$NF$150,MATCH(1,(GMW!$NE$2:$NE$150=AU$3)*(GMW!$ND$2:$ND$150=AU$4)*(GMW!$NF$2:$NF$150=AU$1),0),$C223-1966)</f>
        <v>3449279</v>
      </c>
      <c r="AV223" s="4" cm="1">
        <f t="array" ref="AV223">INDEX(GMW!$A$2:$NF$150,MATCH(1,(GMW!$NE$2:$NE$150=AV$3)*(GMW!$ND$2:$ND$150=AV$4)*(GMW!$NF$2:$NF$150=AV$1),0),$C223-1966)</f>
        <v>-1.693927</v>
      </c>
    </row>
    <row r="224" spans="1:48" x14ac:dyDescent="0.25">
      <c r="B224" s="4">
        <f t="shared" si="10"/>
        <v>2027</v>
      </c>
      <c r="C224" s="4">
        <f t="shared" si="9"/>
        <v>2190</v>
      </c>
      <c r="D224" s="4" cm="1">
        <f t="array" ref="D224">INDEX(GMW!$A$2:$NF$150,MATCH(1,(GMW!$NE$2:$NE$150=D$3)*(GMW!$ND$2:$ND$150=D$4)*(GMW!$NF$2:$NF$150=D$1),0),$C224-1966)</f>
        <v>660283.5</v>
      </c>
      <c r="E224" s="4" cm="1">
        <f t="array" ref="E224">INDEX(GMW!$A$2:$NF$150,MATCH(1,(GMW!$NE$2:$NE$150=E$3)*(GMW!$ND$2:$ND$150=E$4)*(GMW!$NF$2:$NF$150=E$1),0),$C224-1966)</f>
        <v>144.31059999999999</v>
      </c>
      <c r="F224" s="4" cm="1">
        <f t="array" ref="F224">INDEX(GMW!$A$2:$NF$150,MATCH(1,(GMW!$NE$2:$NE$150=F$3)*(GMW!$ND$2:$ND$150=F$4)*(GMW!$NF$2:$NF$150=F$1),0),$C224-1966)</f>
        <v>209614.6</v>
      </c>
      <c r="G224" s="4" cm="1">
        <f t="array" ref="G224">INDEX(GMW!$A$2:$NF$150,MATCH(1,(GMW!$NE$2:$NE$150=G$3)*(GMW!$ND$2:$ND$150=G$4)*(GMW!$NF$2:$NF$150=G$1),0),$C224-1966)</f>
        <v>72626.3</v>
      </c>
      <c r="H224" s="4" cm="1">
        <f t="array" ref="H224">INDEX(GMW!$A$2:$NF$150,MATCH(1,(GMW!$NE$2:$NE$150=H$3)*(GMW!$ND$2:$ND$150=H$4)*(GMW!$NF$2:$NF$150=H$1),0),$C224-1966)</f>
        <v>229145.9</v>
      </c>
      <c r="I224" s="4" cm="1">
        <f t="array" ref="I224">INDEX(GMW!$A$2:$NF$150,MATCH(1,(GMW!$NE$2:$NE$150=I$3)*(GMW!$ND$2:$ND$150=I$4)*(GMW!$NF$2:$NF$150=I$1),0),$C224-1966)</f>
        <v>124893.4</v>
      </c>
      <c r="J224" s="4" cm="1">
        <f t="array" ref="J224">INDEX(GMW!$A$2:$NF$150,MATCH(1,(GMW!$NE$2:$NE$150=J$3)*(GMW!$ND$2:$ND$150=J$4)*(GMW!$NF$2:$NF$150=J$1),0),$C224-1966)</f>
        <v>118666</v>
      </c>
      <c r="K224" s="4" cm="1">
        <f t="array" ref="K224">INDEX(GMW!$A$2:$NF$150,MATCH(1,(GMW!$NE$2:$NE$150=K$3)*(GMW!$ND$2:$ND$150=K$4)*(GMW!$NF$2:$NF$150=K$1),0),$C224-1966)</f>
        <v>64203.77</v>
      </c>
      <c r="L224" s="4" cm="1">
        <f t="array" ref="L224">INDEX(GMW!$A$2:$NF$150,MATCH(1,(GMW!$NE$2:$NE$150=L$3)*(GMW!$ND$2:$ND$150=L$4)*(GMW!$NF$2:$NF$150=L$1),0),$C224-1966)</f>
        <v>668574.9</v>
      </c>
      <c r="M224" s="4" cm="1">
        <f t="array" ref="M224">INDEX(GMW!$A$2:$NF$150,MATCH(1,(GMW!$NE$2:$NE$150=M$3)*(GMW!$ND$2:$ND$150=M$4)*(GMW!$NF$2:$NF$150=M$1),0),$C224-1966)</f>
        <v>34757.160000000003</v>
      </c>
      <c r="N224" s="4" cm="1">
        <f t="array" ref="N224">INDEX(GMW!$A$2:$NF$150,MATCH(1,(GMW!$NE$2:$NE$150=N$3)*(GMW!$ND$2:$ND$150=N$4)*(GMW!$NF$2:$NF$150=N$1),0),$C224-1966)</f>
        <v>31.999580000000002</v>
      </c>
      <c r="O224" s="4" cm="1">
        <f t="array" ref="O224">INDEX(GMW!$A$2:$NF$150,MATCH(1,(GMW!$NE$2:$NE$150=O$3)*(GMW!$ND$2:$ND$150=O$4)*(GMW!$NF$2:$NF$150=O$1),0),$C224-1966)</f>
        <v>638362</v>
      </c>
      <c r="P224" s="4" cm="1">
        <f t="array" ref="P224">INDEX(GMW!$A$2:$NF$150,MATCH(1,(GMW!$NE$2:$NE$150=P$3)*(GMW!$ND$2:$ND$150=P$4)*(GMW!$NF$2:$NF$150=P$1),0),$C224-1966)</f>
        <v>45410.73</v>
      </c>
      <c r="Q224" s="4" cm="1">
        <f t="array" ref="Q224">INDEX(GMW!$A$2:$NF$150,MATCH(1,(GMW!$NE$2:$NE$150=Q$3)*(GMW!$ND$2:$ND$150=Q$4)*(GMW!$NF$2:$NF$150=Q$1),0),$C224-1966)</f>
        <v>3456305</v>
      </c>
      <c r="R224" s="4" cm="1">
        <f t="array" ref="R224">INDEX(GMW!$A$2:$NF$150,MATCH(1,(GMW!$NE$2:$NE$150=R$3)*(GMW!$ND$2:$ND$150=R$4)*(GMW!$NF$2:$NF$150=R$1),0),$C224-1966)</f>
        <v>-1.697657</v>
      </c>
      <c r="S224" s="4" cm="1">
        <f t="array" ref="S224">INDEX(GMW!$A$2:$NF$150,MATCH(1,(GMW!$NE$2:$NE$150=S$3)*(GMW!$ND$2:$ND$150=S$4)*(GMW!$NF$2:$NF$150=S$1),0),$C224-1966)</f>
        <v>664864.1</v>
      </c>
      <c r="T224" s="4" cm="1">
        <f t="array" ref="T224">INDEX(GMW!$A$2:$NF$150,MATCH(1,(GMW!$NE$2:$NE$150=T$3)*(GMW!$ND$2:$ND$150=T$4)*(GMW!$NF$2:$NF$150=T$1),0),$C224-1966)</f>
        <v>144.60079999999999</v>
      </c>
      <c r="U224" s="4" cm="1">
        <f t="array" ref="U224">INDEX(GMW!$A$2:$NF$150,MATCH(1,(GMW!$NE$2:$NE$150=U$3)*(GMW!$ND$2:$ND$150=U$4)*(GMW!$NF$2:$NF$150=U$1),0),$C224-1966)</f>
        <v>201678.8</v>
      </c>
      <c r="V224" s="4" cm="1">
        <f t="array" ref="V224">INDEX(GMW!$A$2:$NF$150,MATCH(1,(GMW!$NE$2:$NE$150=V$3)*(GMW!$ND$2:$ND$150=V$4)*(GMW!$NF$2:$NF$150=V$1),0),$C224-1966)</f>
        <v>76525.34</v>
      </c>
      <c r="W224" s="4" cm="1">
        <f t="array" ref="W224">INDEX(GMW!$A$2:$NF$150,MATCH(1,(GMW!$NE$2:$NE$150=W$3)*(GMW!$ND$2:$ND$150=W$4)*(GMW!$NF$2:$NF$150=W$1),0),$C224-1966)</f>
        <v>222131.7</v>
      </c>
      <c r="X224" s="4" cm="1">
        <f t="array" ref="X224">INDEX(GMW!$A$2:$NF$150,MATCH(1,(GMW!$NE$2:$NE$150=X$3)*(GMW!$ND$2:$ND$150=X$4)*(GMW!$NF$2:$NF$150=X$1),0),$C224-1966)</f>
        <v>119933.4</v>
      </c>
      <c r="Y224" s="4" cm="1">
        <f t="array" ref="Y224">INDEX(GMW!$A$2:$NF$150,MATCH(1,(GMW!$NE$2:$NE$150=Y$3)*(GMW!$ND$2:$ND$150=Y$4)*(GMW!$NF$2:$NF$150=Y$1),0),$C224-1966)</f>
        <v>120693.5</v>
      </c>
      <c r="Z224" s="4" cm="1">
        <f t="array" ref="Z224">INDEX(GMW!$A$2:$NF$150,MATCH(1,(GMW!$NE$2:$NE$150=Z$3)*(GMW!$ND$2:$ND$150=Z$4)*(GMW!$NF$2:$NF$150=Z$1),0),$C224-1966)</f>
        <v>66437.399999999994</v>
      </c>
      <c r="AA224" s="4" cm="1">
        <f t="array" ref="AA224">INDEX(GMW!$A$2:$NF$150,MATCH(1,(GMW!$NE$2:$NE$150=AA$3)*(GMW!$ND$2:$ND$150=AA$4)*(GMW!$NF$2:$NF$150=AA$1),0),$C224-1966)</f>
        <v>670454.69999999995</v>
      </c>
      <c r="AB224" s="4" cm="1">
        <f t="array" ref="AB224">INDEX(GMW!$A$2:$NF$150,MATCH(1,(GMW!$NE$2:$NE$150=AB$3)*(GMW!$ND$2:$ND$150=AB$4)*(GMW!$NF$2:$NF$150=AB$1),0),$C224-1966)</f>
        <v>34747.94</v>
      </c>
      <c r="AC224" s="4" cm="1">
        <f t="array" ref="AC224">INDEX(GMW!$A$2:$NF$150,MATCH(1,(GMW!$NE$2:$NE$150=AC$3)*(GMW!$ND$2:$ND$150=AC$4)*(GMW!$NF$2:$NF$150=AC$1),0),$C224-1966)</f>
        <v>31.999580000000002</v>
      </c>
      <c r="AD224" s="4" cm="1">
        <f t="array" ref="AD224">INDEX(GMW!$A$2:$NF$150,MATCH(1,(GMW!$NE$2:$NE$150=AD$3)*(GMW!$ND$2:$ND$150=AD$4)*(GMW!$NF$2:$NF$150=AD$1),0),$C224-1966)</f>
        <v>638362</v>
      </c>
      <c r="AE224" s="4" cm="1">
        <f t="array" ref="AE224">INDEX(GMW!$A$2:$NF$150,MATCH(1,(GMW!$NE$2:$NE$150=AE$3)*(GMW!$ND$2:$ND$150=AE$4)*(GMW!$NF$2:$NF$150=AE$1),0),$C224-1966)</f>
        <v>45410.73</v>
      </c>
      <c r="AF224" s="4" cm="1">
        <f t="array" ref="AF224">INDEX(GMW!$A$2:$NF$150,MATCH(1,(GMW!$NE$2:$NE$150=AF$3)*(GMW!$ND$2:$ND$150=AF$4)*(GMW!$NF$2:$NF$150=AF$1),0),$C224-1966)</f>
        <v>3459138</v>
      </c>
      <c r="AG224" s="4" cm="1">
        <f t="array" ref="AG224">INDEX(GMW!$A$2:$NF$150,MATCH(1,(GMW!$NE$2:$NE$150=AG$3)*(GMW!$ND$2:$ND$150=AG$4)*(GMW!$NF$2:$NF$150=AG$1),0),$C224-1966)</f>
        <v>-1.694774</v>
      </c>
      <c r="AH224" s="4" cm="1">
        <f t="array" ref="AH224">INDEX(GMW!$A$2:$NF$150,MATCH(1,(GMW!$NE$2:$NE$150=AH$3)*(GMW!$ND$2:$ND$150=AH$4)*(GMW!$NF$2:$NF$150=AH$1),0),$C224-1966)</f>
        <v>667017.30000000005</v>
      </c>
      <c r="AI224" s="4" cm="1">
        <f t="array" ref="AI224">INDEX(GMW!$A$2:$NF$150,MATCH(1,(GMW!$NE$2:$NE$150=AI$3)*(GMW!$ND$2:$ND$150=AI$4)*(GMW!$NF$2:$NF$150=AI$1),0),$C224-1966)</f>
        <v>143.75120000000001</v>
      </c>
      <c r="AJ224" s="4" cm="1">
        <f t="array" ref="AJ224">INDEX(GMW!$A$2:$NF$150,MATCH(1,(GMW!$NE$2:$NE$150=AJ$3)*(GMW!$ND$2:$ND$150=AJ$4)*(GMW!$NF$2:$NF$150=AJ$1),0),$C224-1966)</f>
        <v>206715.4</v>
      </c>
      <c r="AK224" s="4" cm="1">
        <f t="array" ref="AK224">INDEX(GMW!$A$2:$NF$150,MATCH(1,(GMW!$NE$2:$NE$150=AK$3)*(GMW!$ND$2:$ND$150=AK$4)*(GMW!$NF$2:$NF$150=AK$1),0),$C224-1966)</f>
        <v>78803.210000000006</v>
      </c>
      <c r="AL224" s="4" cm="1">
        <f t="array" ref="AL224">INDEX(GMW!$A$2:$NF$150,MATCH(1,(GMW!$NE$2:$NE$150=AL$3)*(GMW!$ND$2:$ND$150=AL$4)*(GMW!$NF$2:$NF$150=AL$1),0),$C224-1966)</f>
        <v>226143.5</v>
      </c>
      <c r="AM224" s="4" cm="1">
        <f t="array" ref="AM224">INDEX(GMW!$A$2:$NF$150,MATCH(1,(GMW!$NE$2:$NE$150=AM$3)*(GMW!$ND$2:$ND$150=AM$4)*(GMW!$NF$2:$NF$150=AM$1),0),$C224-1966)</f>
        <v>122843.1</v>
      </c>
      <c r="AN224" s="4" cm="1">
        <f t="array" ref="AN224">INDEX(GMW!$A$2:$NF$150,MATCH(1,(GMW!$NE$2:$NE$150=AN$3)*(GMW!$ND$2:$ND$150=AN$4)*(GMW!$NF$2:$NF$150=AN$1),0),$C224-1966)</f>
        <v>121235</v>
      </c>
      <c r="AO224" s="4" cm="1">
        <f t="array" ref="AO224">INDEX(GMW!$A$2:$NF$150,MATCH(1,(GMW!$NE$2:$NE$150=AO$3)*(GMW!$ND$2:$ND$150=AO$4)*(GMW!$NF$2:$NF$150=AO$1),0),$C224-1966)</f>
        <v>67920.17</v>
      </c>
      <c r="AP224" s="4" cm="1">
        <f t="array" ref="AP224">INDEX(GMW!$A$2:$NF$150,MATCH(1,(GMW!$NE$2:$NE$150=AP$3)*(GMW!$ND$2:$ND$150=AP$4)*(GMW!$NF$2:$NF$150=AP$1),0),$C224-1966)</f>
        <v>670308.9</v>
      </c>
      <c r="AQ224" s="4" cm="1">
        <f t="array" ref="AQ224">INDEX(GMW!$A$2:$NF$150,MATCH(1,(GMW!$NE$2:$NE$150=AQ$3)*(GMW!$ND$2:$ND$150=AQ$4)*(GMW!$NF$2:$NF$150=AQ$1),0),$C224-1966)</f>
        <v>34657.949999999997</v>
      </c>
      <c r="AR224" s="4" cm="1">
        <f t="array" ref="AR224">INDEX(GMW!$A$2:$NF$150,MATCH(1,(GMW!$NE$2:$NE$150=AR$3)*(GMW!$ND$2:$ND$150=AR$4)*(GMW!$NF$2:$NF$150=AR$1),0),$C224-1966)</f>
        <v>31.999580000000002</v>
      </c>
      <c r="AS224" s="4" cm="1">
        <f t="array" ref="AS224">INDEX(GMW!$A$2:$NF$150,MATCH(1,(GMW!$NE$2:$NE$150=AS$3)*(GMW!$ND$2:$ND$150=AS$4)*(GMW!$NF$2:$NF$150=AS$1),0),$C224-1966)</f>
        <v>637693.4</v>
      </c>
      <c r="AT224" s="4" cm="1">
        <f t="array" ref="AT224">INDEX(GMW!$A$2:$NF$150,MATCH(1,(GMW!$NE$2:$NE$150=AT$3)*(GMW!$ND$2:$ND$150=AT$4)*(GMW!$NF$2:$NF$150=AT$1),0),$C224-1966)</f>
        <v>45363.73</v>
      </c>
      <c r="AU224" s="4" cm="1">
        <f t="array" ref="AU224">INDEX(GMW!$A$2:$NF$150,MATCH(1,(GMW!$NE$2:$NE$150=AU$3)*(GMW!$ND$2:$ND$150=AU$4)*(GMW!$NF$2:$NF$150=AU$1),0),$C224-1966)</f>
        <v>3462540</v>
      </c>
      <c r="AV224" s="4" cm="1">
        <f t="array" ref="AV224">INDEX(GMW!$A$2:$NF$150,MATCH(1,(GMW!$NE$2:$NE$150=AV$3)*(GMW!$ND$2:$ND$150=AV$4)*(GMW!$NF$2:$NF$150=AV$1),0),$C224-1966)</f>
        <v>-1.6935880000000001</v>
      </c>
    </row>
    <row r="225" spans="1:48" x14ac:dyDescent="0.25">
      <c r="B225" s="4">
        <f t="shared" si="10"/>
        <v>2027</v>
      </c>
      <c r="C225" s="4">
        <f t="shared" si="9"/>
        <v>2191</v>
      </c>
      <c r="D225" s="4" cm="1">
        <f t="array" ref="D225">INDEX(GMW!$A$2:$NF$150,MATCH(1,(GMW!$NE$2:$NE$150=D$3)*(GMW!$ND$2:$ND$150=D$4)*(GMW!$NF$2:$NF$150=D$1),0),$C225-1966)</f>
        <v>663056.30000000005</v>
      </c>
      <c r="E225" s="4" cm="1">
        <f t="array" ref="E225">INDEX(GMW!$A$2:$NF$150,MATCH(1,(GMW!$NE$2:$NE$150=E$3)*(GMW!$ND$2:$ND$150=E$4)*(GMW!$NF$2:$NF$150=E$1),0),$C225-1966)</f>
        <v>144.98320000000001</v>
      </c>
      <c r="F225" s="4" cm="1">
        <f t="array" ref="F225">INDEX(GMW!$A$2:$NF$150,MATCH(1,(GMW!$NE$2:$NE$150=F$3)*(GMW!$ND$2:$ND$150=F$4)*(GMW!$NF$2:$NF$150=F$1),0),$C225-1966)</f>
        <v>210392.8</v>
      </c>
      <c r="G225" s="4" cm="1">
        <f t="array" ref="G225">INDEX(GMW!$A$2:$NF$150,MATCH(1,(GMW!$NE$2:$NE$150=G$3)*(GMW!$ND$2:$ND$150=G$4)*(GMW!$NF$2:$NF$150=G$1),0),$C225-1966)</f>
        <v>72869.59</v>
      </c>
      <c r="H225" s="4" cm="1">
        <f t="array" ref="H225">INDEX(GMW!$A$2:$NF$150,MATCH(1,(GMW!$NE$2:$NE$150=H$3)*(GMW!$ND$2:$ND$150=H$4)*(GMW!$NF$2:$NF$150=H$1),0),$C225-1966)</f>
        <v>229913.1</v>
      </c>
      <c r="I225" s="4" cm="1">
        <f t="array" ref="I225">INDEX(GMW!$A$2:$NF$150,MATCH(1,(GMW!$NE$2:$NE$150=I$3)*(GMW!$ND$2:$ND$150=I$4)*(GMW!$NF$2:$NF$150=I$1),0),$C225-1966)</f>
        <v>125268.3</v>
      </c>
      <c r="J225" s="4" cm="1">
        <f t="array" ref="J225">INDEX(GMW!$A$2:$NF$150,MATCH(1,(GMW!$NE$2:$NE$150=J$3)*(GMW!$ND$2:$ND$150=J$4)*(GMW!$NF$2:$NF$150=J$1),0),$C225-1966)</f>
        <v>119237.5</v>
      </c>
      <c r="K225" s="4" cm="1">
        <f t="array" ref="K225">INDEX(GMW!$A$2:$NF$150,MATCH(1,(GMW!$NE$2:$NE$150=K$3)*(GMW!$ND$2:$ND$150=K$4)*(GMW!$NF$2:$NF$150=K$1),0),$C225-1966)</f>
        <v>64479.83</v>
      </c>
      <c r="L225" s="4" cm="1">
        <f t="array" ref="L225">INDEX(GMW!$A$2:$NF$150,MATCH(1,(GMW!$NE$2:$NE$150=L$3)*(GMW!$ND$2:$ND$150=L$4)*(GMW!$NF$2:$NF$150=L$1),0),$C225-1966)</f>
        <v>670903.69999999995</v>
      </c>
      <c r="M225" s="4" cm="1">
        <f t="array" ref="M225">INDEX(GMW!$A$2:$NF$150,MATCH(1,(GMW!$NE$2:$NE$150=M$3)*(GMW!$ND$2:$ND$150=M$4)*(GMW!$NF$2:$NF$150=M$1),0),$C225-1966)</f>
        <v>34852.43</v>
      </c>
      <c r="N225" s="4" cm="1">
        <f t="array" ref="N225">INDEX(GMW!$A$2:$NF$150,MATCH(1,(GMW!$NE$2:$NE$150=N$3)*(GMW!$ND$2:$ND$150=N$4)*(GMW!$NF$2:$NF$150=N$1),0),$C225-1966)</f>
        <v>31.999369999999999</v>
      </c>
      <c r="O225" s="4" cm="1">
        <f t="array" ref="O225">INDEX(GMW!$A$2:$NF$150,MATCH(1,(GMW!$NE$2:$NE$150=O$3)*(GMW!$ND$2:$ND$150=O$4)*(GMW!$NF$2:$NF$150=O$1),0),$C225-1966)</f>
        <v>639634.30000000005</v>
      </c>
      <c r="P225" s="4" cm="1">
        <f t="array" ref="P225">INDEX(GMW!$A$2:$NF$150,MATCH(1,(GMW!$NE$2:$NE$150=P$3)*(GMW!$ND$2:$ND$150=P$4)*(GMW!$NF$2:$NF$150=P$1),0),$C225-1966)</f>
        <v>45435.040000000001</v>
      </c>
      <c r="Q225" s="4" cm="1">
        <f t="array" ref="Q225">INDEX(GMW!$A$2:$NF$150,MATCH(1,(GMW!$NE$2:$NE$150=Q$3)*(GMW!$ND$2:$ND$150=Q$4)*(GMW!$NF$2:$NF$150=Q$1),0),$C225-1966)</f>
        <v>3467230</v>
      </c>
      <c r="R225" s="4" cm="1">
        <f t="array" ref="R225">INDEX(GMW!$A$2:$NF$150,MATCH(1,(GMW!$NE$2:$NE$150=R$3)*(GMW!$ND$2:$ND$150=R$4)*(GMW!$NF$2:$NF$150=R$1),0),$C225-1966)</f>
        <v>-1.697487</v>
      </c>
      <c r="S225" s="4" cm="1">
        <f t="array" ref="S225">INDEX(GMW!$A$2:$NF$150,MATCH(1,(GMW!$NE$2:$NE$150=S$3)*(GMW!$ND$2:$ND$150=S$4)*(GMW!$NF$2:$NF$150=S$1),0),$C225-1966)</f>
        <v>667889</v>
      </c>
      <c r="T225" s="4" cm="1">
        <f t="array" ref="T225">INDEX(GMW!$A$2:$NF$150,MATCH(1,(GMW!$NE$2:$NE$150=T$3)*(GMW!$ND$2:$ND$150=T$4)*(GMW!$NF$2:$NF$150=T$1),0),$C225-1966)</f>
        <v>145.2895</v>
      </c>
      <c r="U225" s="4" cm="1">
        <f t="array" ref="U225">INDEX(GMW!$A$2:$NF$150,MATCH(1,(GMW!$NE$2:$NE$150=U$3)*(GMW!$ND$2:$ND$150=U$4)*(GMW!$NF$2:$NF$150=U$1),0),$C225-1966)</f>
        <v>202394.6</v>
      </c>
      <c r="V225" s="4" cm="1">
        <f t="array" ref="V225">INDEX(GMW!$A$2:$NF$150,MATCH(1,(GMW!$NE$2:$NE$150=V$3)*(GMW!$ND$2:$ND$150=V$4)*(GMW!$NF$2:$NF$150=V$1),0),$C225-1966)</f>
        <v>76705.14</v>
      </c>
      <c r="W225" s="4" cm="1">
        <f t="array" ref="W225">INDEX(GMW!$A$2:$NF$150,MATCH(1,(GMW!$NE$2:$NE$150=W$3)*(GMW!$ND$2:$ND$150=W$4)*(GMW!$NF$2:$NF$150=W$1),0),$C225-1966)</f>
        <v>222823.7</v>
      </c>
      <c r="X225" s="4" cm="1">
        <f t="array" ref="X225">INDEX(GMW!$A$2:$NF$150,MATCH(1,(GMW!$NE$2:$NE$150=X$3)*(GMW!$ND$2:$ND$150=X$4)*(GMW!$NF$2:$NF$150=X$1),0),$C225-1966)</f>
        <v>120233.4</v>
      </c>
      <c r="Y225" s="4" cm="1">
        <f t="array" ref="Y225">INDEX(GMW!$A$2:$NF$150,MATCH(1,(GMW!$NE$2:$NE$150=Y$3)*(GMW!$ND$2:$ND$150=Y$4)*(GMW!$NF$2:$NF$150=Y$1),0),$C225-1966)</f>
        <v>121376.1</v>
      </c>
      <c r="Z225" s="4" cm="1">
        <f t="array" ref="Z225">INDEX(GMW!$A$2:$NF$150,MATCH(1,(GMW!$NE$2:$NE$150=Z$3)*(GMW!$ND$2:$ND$150=Z$4)*(GMW!$NF$2:$NF$150=Z$1),0),$C225-1966)</f>
        <v>66869.23</v>
      </c>
      <c r="AA225" s="4" cm="1">
        <f t="array" ref="AA225">INDEX(GMW!$A$2:$NF$150,MATCH(1,(GMW!$NE$2:$NE$150=AA$3)*(GMW!$ND$2:$ND$150=AA$4)*(GMW!$NF$2:$NF$150=AA$1),0),$C225-1966)</f>
        <v>672935</v>
      </c>
      <c r="AB225" s="4" cm="1">
        <f t="array" ref="AB225">INDEX(GMW!$A$2:$NF$150,MATCH(1,(GMW!$NE$2:$NE$150=AB$3)*(GMW!$ND$2:$ND$150=AB$4)*(GMW!$NF$2:$NF$150=AB$1),0),$C225-1966)</f>
        <v>34840</v>
      </c>
      <c r="AC225" s="4" cm="1">
        <f t="array" ref="AC225">INDEX(GMW!$A$2:$NF$150,MATCH(1,(GMW!$NE$2:$NE$150=AC$3)*(GMW!$ND$2:$ND$150=AC$4)*(GMW!$NF$2:$NF$150=AC$1),0),$C225-1966)</f>
        <v>31.999369999999999</v>
      </c>
      <c r="AD225" s="4" cm="1">
        <f t="array" ref="AD225">INDEX(GMW!$A$2:$NF$150,MATCH(1,(GMW!$NE$2:$NE$150=AD$3)*(GMW!$ND$2:$ND$150=AD$4)*(GMW!$NF$2:$NF$150=AD$1),0),$C225-1966)</f>
        <v>639634.30000000005</v>
      </c>
      <c r="AE225" s="4" cm="1">
        <f t="array" ref="AE225">INDEX(GMW!$A$2:$NF$150,MATCH(1,(GMW!$NE$2:$NE$150=AE$3)*(GMW!$ND$2:$ND$150=AE$4)*(GMW!$NF$2:$NF$150=AE$1),0),$C225-1966)</f>
        <v>45435.040000000001</v>
      </c>
      <c r="AF225" s="4" cm="1">
        <f t="array" ref="AF225">INDEX(GMW!$A$2:$NF$150,MATCH(1,(GMW!$NE$2:$NE$150=AF$3)*(GMW!$ND$2:$ND$150=AF$4)*(GMW!$NF$2:$NF$150=AF$1),0),$C225-1966)</f>
        <v>3471997</v>
      </c>
      <c r="AG225" s="4" cm="1">
        <f t="array" ref="AG225">INDEX(GMW!$A$2:$NF$150,MATCH(1,(GMW!$NE$2:$NE$150=AG$3)*(GMW!$ND$2:$ND$150=AG$4)*(GMW!$NF$2:$NF$150=AG$1),0),$C225-1966)</f>
        <v>-1.69452</v>
      </c>
      <c r="AH225" s="4" cm="1">
        <f t="array" ref="AH225">INDEX(GMW!$A$2:$NF$150,MATCH(1,(GMW!$NE$2:$NE$150=AH$3)*(GMW!$ND$2:$ND$150=AH$4)*(GMW!$NF$2:$NF$150=AH$1),0),$C225-1966)</f>
        <v>669985.4</v>
      </c>
      <c r="AI225" s="4" cm="1">
        <f t="array" ref="AI225">INDEX(GMW!$A$2:$NF$150,MATCH(1,(GMW!$NE$2:$NE$150=AI$3)*(GMW!$ND$2:$ND$150=AI$4)*(GMW!$NF$2:$NF$150=AI$1),0),$C225-1966)</f>
        <v>144.35169999999999</v>
      </c>
      <c r="AJ225" s="4" cm="1">
        <f t="array" ref="AJ225">INDEX(GMW!$A$2:$NF$150,MATCH(1,(GMW!$NE$2:$NE$150=AJ$3)*(GMW!$ND$2:$ND$150=AJ$4)*(GMW!$NF$2:$NF$150=AJ$1),0),$C225-1966)</f>
        <v>207489.8</v>
      </c>
      <c r="AK225" s="4" cm="1">
        <f t="array" ref="AK225">INDEX(GMW!$A$2:$NF$150,MATCH(1,(GMW!$NE$2:$NE$150=AK$3)*(GMW!$ND$2:$ND$150=AK$4)*(GMW!$NF$2:$NF$150=AK$1),0),$C225-1966)</f>
        <v>79043.55</v>
      </c>
      <c r="AL225" s="4" cm="1">
        <f t="array" ref="AL225">INDEX(GMW!$A$2:$NF$150,MATCH(1,(GMW!$NE$2:$NE$150=AL$3)*(GMW!$ND$2:$ND$150=AL$4)*(GMW!$NF$2:$NF$150=AL$1),0),$C225-1966)</f>
        <v>226922.9</v>
      </c>
      <c r="AM225" s="4" cm="1">
        <f t="array" ref="AM225">INDEX(GMW!$A$2:$NF$150,MATCH(1,(GMW!$NE$2:$NE$150=AM$3)*(GMW!$ND$2:$ND$150=AM$4)*(GMW!$NF$2:$NF$150=AM$1),0),$C225-1966)</f>
        <v>123224</v>
      </c>
      <c r="AN225" s="4" cm="1">
        <f t="array" ref="AN225">INDEX(GMW!$A$2:$NF$150,MATCH(1,(GMW!$NE$2:$NE$150=AN$3)*(GMW!$ND$2:$ND$150=AN$4)*(GMW!$NF$2:$NF$150=AN$1),0),$C225-1966)</f>
        <v>121892.1</v>
      </c>
      <c r="AO225" s="4" cm="1">
        <f t="array" ref="AO225">INDEX(GMW!$A$2:$NF$150,MATCH(1,(GMW!$NE$2:$NE$150=AO$3)*(GMW!$ND$2:$ND$150=AO$4)*(GMW!$NF$2:$NF$150=AO$1),0),$C225-1966)</f>
        <v>68327.679999999993</v>
      </c>
      <c r="AP225" s="4" cm="1">
        <f t="array" ref="AP225">INDEX(GMW!$A$2:$NF$150,MATCH(1,(GMW!$NE$2:$NE$150=AP$3)*(GMW!$ND$2:$ND$150=AP$4)*(GMW!$NF$2:$NF$150=AP$1),0),$C225-1966)</f>
        <v>672957.4</v>
      </c>
      <c r="AQ225" s="4" cm="1">
        <f t="array" ref="AQ225">INDEX(GMW!$A$2:$NF$150,MATCH(1,(GMW!$NE$2:$NE$150=AQ$3)*(GMW!$ND$2:$ND$150=AQ$4)*(GMW!$NF$2:$NF$150=AQ$1),0),$C225-1966)</f>
        <v>34753.25</v>
      </c>
      <c r="AR225" s="4" cm="1">
        <f t="array" ref="AR225">INDEX(GMW!$A$2:$NF$150,MATCH(1,(GMW!$NE$2:$NE$150=AR$3)*(GMW!$ND$2:$ND$150=AR$4)*(GMW!$NF$2:$NF$150=AR$1),0),$C225-1966)</f>
        <v>31.999369999999999</v>
      </c>
      <c r="AS225" s="4" cm="1">
        <f t="array" ref="AS225">INDEX(GMW!$A$2:$NF$150,MATCH(1,(GMW!$NE$2:$NE$150=AS$3)*(GMW!$ND$2:$ND$150=AS$4)*(GMW!$NF$2:$NF$150=AS$1),0),$C225-1966)</f>
        <v>638904.19999999995</v>
      </c>
      <c r="AT225" s="4" cm="1">
        <f t="array" ref="AT225">INDEX(GMW!$A$2:$NF$150,MATCH(1,(GMW!$NE$2:$NE$150=AT$3)*(GMW!$ND$2:$ND$150=AT$4)*(GMW!$NF$2:$NF$150=AT$1),0),$C225-1966)</f>
        <v>45383.69</v>
      </c>
      <c r="AU225" s="4" cm="1">
        <f t="array" ref="AU225">INDEX(GMW!$A$2:$NF$150,MATCH(1,(GMW!$NE$2:$NE$150=AU$3)*(GMW!$ND$2:$ND$150=AU$4)*(GMW!$NF$2:$NF$150=AU$1),0),$C225-1966)</f>
        <v>3475938</v>
      </c>
      <c r="AV225" s="4" cm="1">
        <f t="array" ref="AV225">INDEX(GMW!$A$2:$NF$150,MATCH(1,(GMW!$NE$2:$NE$150=AV$3)*(GMW!$ND$2:$ND$150=AV$4)*(GMW!$NF$2:$NF$150=AV$1),0),$C225-1966)</f>
        <v>-1.6932069999999999</v>
      </c>
    </row>
    <row r="226" spans="1:48" x14ac:dyDescent="0.25">
      <c r="B226" s="4">
        <f t="shared" si="10"/>
        <v>2027</v>
      </c>
      <c r="C226" s="4">
        <f t="shared" si="9"/>
        <v>2192</v>
      </c>
      <c r="D226" s="4" cm="1">
        <f t="array" ref="D226">INDEX(GMW!$A$2:$NF$150,MATCH(1,(GMW!$NE$2:$NE$150=D$3)*(GMW!$ND$2:$ND$150=D$4)*(GMW!$NF$2:$NF$150=D$1),0),$C226-1966)</f>
        <v>666106.4</v>
      </c>
      <c r="E226" s="4" cm="1">
        <f t="array" ref="E226">INDEX(GMW!$A$2:$NF$150,MATCH(1,(GMW!$NE$2:$NE$150=E$3)*(GMW!$ND$2:$ND$150=E$4)*(GMW!$NF$2:$NF$150=E$1),0),$C226-1966)</f>
        <v>145.78749999999999</v>
      </c>
      <c r="F226" s="4" cm="1">
        <f t="array" ref="F226">INDEX(GMW!$A$2:$NF$150,MATCH(1,(GMW!$NE$2:$NE$150=F$3)*(GMW!$ND$2:$ND$150=F$4)*(GMW!$NF$2:$NF$150=F$1),0),$C226-1966)</f>
        <v>211138.1</v>
      </c>
      <c r="G226" s="4" cm="1">
        <f t="array" ref="G226">INDEX(GMW!$A$2:$NF$150,MATCH(1,(GMW!$NE$2:$NE$150=G$3)*(GMW!$ND$2:$ND$150=G$4)*(GMW!$NF$2:$NF$150=G$1),0),$C226-1966)</f>
        <v>73077.3</v>
      </c>
      <c r="H226" s="4" cm="1">
        <f t="array" ref="H226">INDEX(GMW!$A$2:$NF$150,MATCH(1,(GMW!$NE$2:$NE$150=H$3)*(GMW!$ND$2:$ND$150=H$4)*(GMW!$NF$2:$NF$150=H$1),0),$C226-1966)</f>
        <v>230726.6</v>
      </c>
      <c r="I226" s="4" cm="1">
        <f t="array" ref="I226">INDEX(GMW!$A$2:$NF$150,MATCH(1,(GMW!$NE$2:$NE$150=I$3)*(GMW!$ND$2:$ND$150=I$4)*(GMW!$NF$2:$NF$150=I$1),0),$C226-1966)</f>
        <v>125656.4</v>
      </c>
      <c r="J226" s="4" cm="1">
        <f t="array" ref="J226">INDEX(GMW!$A$2:$NF$150,MATCH(1,(GMW!$NE$2:$NE$150=J$3)*(GMW!$ND$2:$ND$150=J$4)*(GMW!$NF$2:$NF$150=J$1),0),$C226-1966)</f>
        <v>119871.6</v>
      </c>
      <c r="K226" s="4" cm="1">
        <f t="array" ref="K226">INDEX(GMW!$A$2:$NF$150,MATCH(1,(GMW!$NE$2:$NE$150=K$3)*(GMW!$ND$2:$ND$150=K$4)*(GMW!$NF$2:$NF$150=K$1),0),$C226-1966)</f>
        <v>64879.65</v>
      </c>
      <c r="L226" s="4" cm="1">
        <f t="array" ref="L226">INDEX(GMW!$A$2:$NF$150,MATCH(1,(GMW!$NE$2:$NE$150=L$3)*(GMW!$ND$2:$ND$150=L$4)*(GMW!$NF$2:$NF$150=L$1),0),$C226-1966)</f>
        <v>673270.1</v>
      </c>
      <c r="M226" s="4" cm="1">
        <f t="array" ref="M226">INDEX(GMW!$A$2:$NF$150,MATCH(1,(GMW!$NE$2:$NE$150=M$3)*(GMW!$ND$2:$ND$150=M$4)*(GMW!$NF$2:$NF$150=M$1),0),$C226-1966)</f>
        <v>34950.019999999997</v>
      </c>
      <c r="N226" s="4" cm="1">
        <f t="array" ref="N226">INDEX(GMW!$A$2:$NF$150,MATCH(1,(GMW!$NE$2:$NE$150=N$3)*(GMW!$ND$2:$ND$150=N$4)*(GMW!$NF$2:$NF$150=N$1),0),$C226-1966)</f>
        <v>31.999169999999999</v>
      </c>
      <c r="O226" s="4" cm="1">
        <f t="array" ref="O226">INDEX(GMW!$A$2:$NF$150,MATCH(1,(GMW!$NE$2:$NE$150=O$3)*(GMW!$ND$2:$ND$150=O$4)*(GMW!$NF$2:$NF$150=O$1),0),$C226-1966)</f>
        <v>640901.1</v>
      </c>
      <c r="P226" s="4" cm="1">
        <f t="array" ref="P226">INDEX(GMW!$A$2:$NF$150,MATCH(1,(GMW!$NE$2:$NE$150=P$3)*(GMW!$ND$2:$ND$150=P$4)*(GMW!$NF$2:$NF$150=P$1),0),$C226-1966)</f>
        <v>45459.34</v>
      </c>
      <c r="Q226" s="4" cm="1">
        <f t="array" ref="Q226">INDEX(GMW!$A$2:$NF$150,MATCH(1,(GMW!$NE$2:$NE$150=Q$3)*(GMW!$ND$2:$ND$150=Q$4)*(GMW!$NF$2:$NF$150=Q$1),0),$C226-1966)</f>
        <v>3478325</v>
      </c>
      <c r="R226" s="4" cm="1">
        <f t="array" ref="R226">INDEX(GMW!$A$2:$NF$150,MATCH(1,(GMW!$NE$2:$NE$150=R$3)*(GMW!$ND$2:$ND$150=R$4)*(GMW!$NF$2:$NF$150=R$1),0),$C226-1966)</f>
        <v>-1.6973180000000001</v>
      </c>
      <c r="S226" s="4" cm="1">
        <f t="array" ref="S226">INDEX(GMW!$A$2:$NF$150,MATCH(1,(GMW!$NE$2:$NE$150=S$3)*(GMW!$ND$2:$ND$150=S$4)*(GMW!$NF$2:$NF$150=S$1),0),$C226-1966)</f>
        <v>670961.30000000005</v>
      </c>
      <c r="T226" s="4" cm="1">
        <f t="array" ref="T226">INDEX(GMW!$A$2:$NF$150,MATCH(1,(GMW!$NE$2:$NE$150=T$3)*(GMW!$ND$2:$ND$150=T$4)*(GMW!$NF$2:$NF$150=T$1),0),$C226-1966)</f>
        <v>146.07839999999999</v>
      </c>
      <c r="U226" s="4" cm="1">
        <f t="array" ref="U226">INDEX(GMW!$A$2:$NF$150,MATCH(1,(GMW!$NE$2:$NE$150=U$3)*(GMW!$ND$2:$ND$150=U$4)*(GMW!$NF$2:$NF$150=U$1),0),$C226-1966)</f>
        <v>203032.6</v>
      </c>
      <c r="V226" s="4" cm="1">
        <f t="array" ref="V226">INDEX(GMW!$A$2:$NF$150,MATCH(1,(GMW!$NE$2:$NE$150=V$3)*(GMW!$ND$2:$ND$150=V$4)*(GMW!$NF$2:$NF$150=V$1),0),$C226-1966)</f>
        <v>76862.429999999993</v>
      </c>
      <c r="W226" s="4" cm="1">
        <f t="array" ref="W226">INDEX(GMW!$A$2:$NF$150,MATCH(1,(GMW!$NE$2:$NE$150=W$3)*(GMW!$ND$2:$ND$150=W$4)*(GMW!$NF$2:$NF$150=W$1),0),$C226-1966)</f>
        <v>223549.3</v>
      </c>
      <c r="X226" s="4" cm="1">
        <f t="array" ref="X226">INDEX(GMW!$A$2:$NF$150,MATCH(1,(GMW!$NE$2:$NE$150=X$3)*(GMW!$ND$2:$ND$150=X$4)*(GMW!$NF$2:$NF$150=X$1),0),$C226-1966)</f>
        <v>120557.8</v>
      </c>
      <c r="Y226" s="4" cm="1">
        <f t="array" ref="Y226">INDEX(GMW!$A$2:$NF$150,MATCH(1,(GMW!$NE$2:$NE$150=Y$3)*(GMW!$ND$2:$ND$150=Y$4)*(GMW!$NF$2:$NF$150=Y$1),0),$C226-1966)</f>
        <v>122029.6</v>
      </c>
      <c r="Z226" s="4" cm="1">
        <f t="array" ref="Z226">INDEX(GMW!$A$2:$NF$150,MATCH(1,(GMW!$NE$2:$NE$150=Z$3)*(GMW!$ND$2:$ND$150=Z$4)*(GMW!$NF$2:$NF$150=Z$1),0),$C226-1966)</f>
        <v>67357.429999999993</v>
      </c>
      <c r="AA226" s="4" cm="1">
        <f t="array" ref="AA226">INDEX(GMW!$A$2:$NF$150,MATCH(1,(GMW!$NE$2:$NE$150=AA$3)*(GMW!$ND$2:$ND$150=AA$4)*(GMW!$NF$2:$NF$150=AA$1),0),$C226-1966)</f>
        <v>675409.1</v>
      </c>
      <c r="AB226" s="4" cm="1">
        <f t="array" ref="AB226">INDEX(GMW!$A$2:$NF$150,MATCH(1,(GMW!$NE$2:$NE$150=AB$3)*(GMW!$ND$2:$ND$150=AB$4)*(GMW!$NF$2:$NF$150=AB$1),0),$C226-1966)</f>
        <v>34930.589999999997</v>
      </c>
      <c r="AC226" s="4" cm="1">
        <f t="array" ref="AC226">INDEX(GMW!$A$2:$NF$150,MATCH(1,(GMW!$NE$2:$NE$150=AC$3)*(GMW!$ND$2:$ND$150=AC$4)*(GMW!$NF$2:$NF$150=AC$1),0),$C226-1966)</f>
        <v>31.999169999999999</v>
      </c>
      <c r="AD226" s="4" cm="1">
        <f t="array" ref="AD226">INDEX(GMW!$A$2:$NF$150,MATCH(1,(GMW!$NE$2:$NE$150=AD$3)*(GMW!$ND$2:$ND$150=AD$4)*(GMW!$NF$2:$NF$150=AD$1),0),$C226-1966)</f>
        <v>640901.1</v>
      </c>
      <c r="AE226" s="4" cm="1">
        <f t="array" ref="AE226">INDEX(GMW!$A$2:$NF$150,MATCH(1,(GMW!$NE$2:$NE$150=AE$3)*(GMW!$ND$2:$ND$150=AE$4)*(GMW!$NF$2:$NF$150=AE$1),0),$C226-1966)</f>
        <v>45459.34</v>
      </c>
      <c r="AF226" s="4" cm="1">
        <f t="array" ref="AF226">INDEX(GMW!$A$2:$NF$150,MATCH(1,(GMW!$NE$2:$NE$150=AF$3)*(GMW!$ND$2:$ND$150=AF$4)*(GMW!$NF$2:$NF$150=AF$1),0),$C226-1966)</f>
        <v>3484997</v>
      </c>
      <c r="AG226" s="4" cm="1">
        <f t="array" ref="AG226">INDEX(GMW!$A$2:$NF$150,MATCH(1,(GMW!$NE$2:$NE$150=AG$3)*(GMW!$ND$2:$ND$150=AG$4)*(GMW!$NF$2:$NF$150=AG$1),0),$C226-1966)</f>
        <v>-1.694266</v>
      </c>
      <c r="AH226" s="4" cm="1">
        <f t="array" ref="AH226">INDEX(GMW!$A$2:$NF$150,MATCH(1,(GMW!$NE$2:$NE$150=AH$3)*(GMW!$ND$2:$ND$150=AH$4)*(GMW!$NF$2:$NF$150=AH$1),0),$C226-1966)</f>
        <v>672866.2</v>
      </c>
      <c r="AI226" s="4" cm="1">
        <f t="array" ref="AI226">INDEX(GMW!$A$2:$NF$150,MATCH(1,(GMW!$NE$2:$NE$150=AI$3)*(GMW!$ND$2:$ND$150=AI$4)*(GMW!$NF$2:$NF$150=AI$1),0),$C226-1966)</f>
        <v>145.08439999999999</v>
      </c>
      <c r="AJ226" s="4" cm="1">
        <f t="array" ref="AJ226">INDEX(GMW!$A$2:$NF$150,MATCH(1,(GMW!$NE$2:$NE$150=AJ$3)*(GMW!$ND$2:$ND$150=AJ$4)*(GMW!$NF$2:$NF$150=AJ$1),0),$C226-1966)</f>
        <v>208169.60000000001</v>
      </c>
      <c r="AK226" s="4" cm="1">
        <f t="array" ref="AK226">INDEX(GMW!$A$2:$NF$150,MATCH(1,(GMW!$NE$2:$NE$150=AK$3)*(GMW!$ND$2:$ND$150=AK$4)*(GMW!$NF$2:$NF$150=AK$1),0),$C226-1966)</f>
        <v>79245.13</v>
      </c>
      <c r="AL226" s="4" cm="1">
        <f t="array" ref="AL226">INDEX(GMW!$A$2:$NF$150,MATCH(1,(GMW!$NE$2:$NE$150=AL$3)*(GMW!$ND$2:$ND$150=AL$4)*(GMW!$NF$2:$NF$150=AL$1),0),$C226-1966)</f>
        <v>227705.1</v>
      </c>
      <c r="AM226" s="4" cm="1">
        <f t="array" ref="AM226">INDEX(GMW!$A$2:$NF$150,MATCH(1,(GMW!$NE$2:$NE$150=AM$3)*(GMW!$ND$2:$ND$150=AM$4)*(GMW!$NF$2:$NF$150=AM$1),0),$C226-1966)</f>
        <v>123605.7</v>
      </c>
      <c r="AN226" s="4" cm="1">
        <f t="array" ref="AN226">INDEX(GMW!$A$2:$NF$150,MATCH(1,(GMW!$NE$2:$NE$150=AN$3)*(GMW!$ND$2:$ND$150=AN$4)*(GMW!$NF$2:$NF$150=AN$1),0),$C226-1966)</f>
        <v>122469.7</v>
      </c>
      <c r="AO226" s="4" cm="1">
        <f t="array" ref="AO226">INDEX(GMW!$A$2:$NF$150,MATCH(1,(GMW!$NE$2:$NE$150=AO$3)*(GMW!$ND$2:$ND$150=AO$4)*(GMW!$NF$2:$NF$150=AO$1),0),$C226-1966)</f>
        <v>68737.69</v>
      </c>
      <c r="AP226" s="4" cm="1">
        <f t="array" ref="AP226">INDEX(GMW!$A$2:$NF$150,MATCH(1,(GMW!$NE$2:$NE$150=AP$3)*(GMW!$ND$2:$ND$150=AP$4)*(GMW!$NF$2:$NF$150=AP$1),0),$C226-1966)</f>
        <v>675552.1</v>
      </c>
      <c r="AQ226" s="4" cm="1">
        <f t="array" ref="AQ226">INDEX(GMW!$A$2:$NF$150,MATCH(1,(GMW!$NE$2:$NE$150=AQ$3)*(GMW!$ND$2:$ND$150=AQ$4)*(GMW!$NF$2:$NF$150=AQ$1),0),$C226-1966)</f>
        <v>34843.61</v>
      </c>
      <c r="AR226" s="4" cm="1">
        <f t="array" ref="AR226">INDEX(GMW!$A$2:$NF$150,MATCH(1,(GMW!$NE$2:$NE$150=AR$3)*(GMW!$ND$2:$ND$150=AR$4)*(GMW!$NF$2:$NF$150=AR$1),0),$C226-1966)</f>
        <v>31.999169999999999</v>
      </c>
      <c r="AS226" s="4" cm="1">
        <f t="array" ref="AS226">INDEX(GMW!$A$2:$NF$150,MATCH(1,(GMW!$NE$2:$NE$150=AS$3)*(GMW!$ND$2:$ND$150=AS$4)*(GMW!$NF$2:$NF$150=AS$1),0),$C226-1966)</f>
        <v>640109.5</v>
      </c>
      <c r="AT226" s="4" cm="1">
        <f t="array" ref="AT226">INDEX(GMW!$A$2:$NF$150,MATCH(1,(GMW!$NE$2:$NE$150=AT$3)*(GMW!$ND$2:$ND$150=AT$4)*(GMW!$NF$2:$NF$150=AT$1),0),$C226-1966)</f>
        <v>45403.65</v>
      </c>
      <c r="AU226" s="4" cm="1">
        <f t="array" ref="AU226">INDEX(GMW!$A$2:$NF$150,MATCH(1,(GMW!$NE$2:$NE$150=AU$3)*(GMW!$ND$2:$ND$150=AU$4)*(GMW!$NF$2:$NF$150=AU$1),0),$C226-1966)</f>
        <v>3489390</v>
      </c>
      <c r="AV226" s="4" cm="1">
        <f t="array" ref="AV226">INDEX(GMW!$A$2:$NF$150,MATCH(1,(GMW!$NE$2:$NE$150=AV$3)*(GMW!$ND$2:$ND$150=AV$4)*(GMW!$NF$2:$NF$150=AV$1),0),$C226-1966)</f>
        <v>-1.6928259999999999</v>
      </c>
    </row>
    <row r="227" spans="1:48" x14ac:dyDescent="0.25">
      <c r="A227" s="4">
        <v>2028</v>
      </c>
      <c r="B227" s="4">
        <f t="shared" si="10"/>
        <v>2028</v>
      </c>
      <c r="C227" s="4">
        <f t="shared" si="9"/>
        <v>2193</v>
      </c>
      <c r="D227" s="4" cm="1">
        <f t="array" ref="D227">INDEX(GMW!$A$2:$NF$150,MATCH(1,(GMW!$NE$2:$NE$150=D$3)*(GMW!$ND$2:$ND$150=D$4)*(GMW!$NF$2:$NF$150=D$1),0),$C227-1966)</f>
        <v>669303.80000000005</v>
      </c>
      <c r="E227" s="4" cm="1">
        <f t="array" ref="E227">INDEX(GMW!$A$2:$NF$150,MATCH(1,(GMW!$NE$2:$NE$150=E$3)*(GMW!$ND$2:$ND$150=E$4)*(GMW!$NF$2:$NF$150=E$1),0),$C227-1966)</f>
        <v>146.20609999999999</v>
      </c>
      <c r="F227" s="4" cm="1">
        <f t="array" ref="F227">INDEX(GMW!$A$2:$NF$150,MATCH(1,(GMW!$NE$2:$NE$150=F$3)*(GMW!$ND$2:$ND$150=F$4)*(GMW!$NF$2:$NF$150=F$1),0),$C227-1966)</f>
        <v>211922.2</v>
      </c>
      <c r="G227" s="4" cm="1">
        <f t="array" ref="G227">INDEX(GMW!$A$2:$NF$150,MATCH(1,(GMW!$NE$2:$NE$150=G$3)*(GMW!$ND$2:$ND$150=G$4)*(GMW!$NF$2:$NF$150=G$1),0),$C227-1966)</f>
        <v>73285.539999999994</v>
      </c>
      <c r="H227" s="4" cm="1">
        <f t="array" ref="H227">INDEX(GMW!$A$2:$NF$150,MATCH(1,(GMW!$NE$2:$NE$150=H$3)*(GMW!$ND$2:$ND$150=H$4)*(GMW!$NF$2:$NF$150=H$1),0),$C227-1966)</f>
        <v>231598.8</v>
      </c>
      <c r="I227" s="4" cm="1">
        <f t="array" ref="I227">INDEX(GMW!$A$2:$NF$150,MATCH(1,(GMW!$NE$2:$NE$150=I$3)*(GMW!$ND$2:$ND$150=I$4)*(GMW!$NF$2:$NF$150=I$1),0),$C227-1966)</f>
        <v>126077.5</v>
      </c>
      <c r="J227" s="4" cm="1">
        <f t="array" ref="J227">INDEX(GMW!$A$2:$NF$150,MATCH(1,(GMW!$NE$2:$NE$150=J$3)*(GMW!$ND$2:$ND$150=J$4)*(GMW!$NF$2:$NF$150=J$1),0),$C227-1966)</f>
        <v>120507.6</v>
      </c>
      <c r="K227" s="4" cm="1">
        <f t="array" ref="K227">INDEX(GMW!$A$2:$NF$150,MATCH(1,(GMW!$NE$2:$NE$150=K$3)*(GMW!$ND$2:$ND$150=K$4)*(GMW!$NF$2:$NF$150=K$1),0),$C227-1966)</f>
        <v>65359.76</v>
      </c>
      <c r="L227" s="4" cm="1">
        <f t="array" ref="L227">INDEX(GMW!$A$2:$NF$150,MATCH(1,(GMW!$NE$2:$NE$150=L$3)*(GMW!$ND$2:$ND$150=L$4)*(GMW!$NF$2:$NF$150=L$1),0),$C227-1966)</f>
        <v>675708.6</v>
      </c>
      <c r="M227" s="4" cm="1">
        <f t="array" ref="M227">INDEX(GMW!$A$2:$NF$150,MATCH(1,(GMW!$NE$2:$NE$150=M$3)*(GMW!$ND$2:$ND$150=M$4)*(GMW!$NF$2:$NF$150=M$1),0),$C227-1966)</f>
        <v>35047.879999999997</v>
      </c>
      <c r="N227" s="4" cm="1">
        <f t="array" ref="N227">INDEX(GMW!$A$2:$NF$150,MATCH(1,(GMW!$NE$2:$NE$150=N$3)*(GMW!$ND$2:$ND$150=N$4)*(GMW!$NF$2:$NF$150=N$1),0),$C227-1966)</f>
        <v>31.99896</v>
      </c>
      <c r="O227" s="4" cm="1">
        <f t="array" ref="O227">INDEX(GMW!$A$2:$NF$150,MATCH(1,(GMW!$NE$2:$NE$150=O$3)*(GMW!$ND$2:$ND$150=O$4)*(GMW!$NF$2:$NF$150=O$1),0),$C227-1966)</f>
        <v>642162.6</v>
      </c>
      <c r="P227" s="4" cm="1">
        <f t="array" ref="P227">INDEX(GMW!$A$2:$NF$150,MATCH(1,(GMW!$NE$2:$NE$150=P$3)*(GMW!$ND$2:$ND$150=P$4)*(GMW!$NF$2:$NF$150=P$1),0),$C227-1966)</f>
        <v>45483.64</v>
      </c>
      <c r="Q227" s="4" cm="1">
        <f t="array" ref="Q227">INDEX(GMW!$A$2:$NF$150,MATCH(1,(GMW!$NE$2:$NE$150=Q$3)*(GMW!$ND$2:$ND$150=Q$4)*(GMW!$NF$2:$NF$150=Q$1),0),$C227-1966)</f>
        <v>3489593</v>
      </c>
      <c r="R227" s="4" cm="1">
        <f t="array" ref="R227">INDEX(GMW!$A$2:$NF$150,MATCH(1,(GMW!$NE$2:$NE$150=R$3)*(GMW!$ND$2:$ND$150=R$4)*(GMW!$NF$2:$NF$150=R$1),0),$C227-1966)</f>
        <v>-1.697063</v>
      </c>
      <c r="S227" s="4" cm="1">
        <f t="array" ref="S227">INDEX(GMW!$A$2:$NF$150,MATCH(1,(GMW!$NE$2:$NE$150=S$3)*(GMW!$ND$2:$ND$150=S$4)*(GMW!$NF$2:$NF$150=S$1),0),$C227-1966)</f>
        <v>674047.8</v>
      </c>
      <c r="T227" s="4" cm="1">
        <f t="array" ref="T227">INDEX(GMW!$A$2:$NF$150,MATCH(1,(GMW!$NE$2:$NE$150=T$3)*(GMW!$ND$2:$ND$150=T$4)*(GMW!$NF$2:$NF$150=T$1),0),$C227-1966)</f>
        <v>146.4496</v>
      </c>
      <c r="U227" s="4" cm="1">
        <f t="array" ref="U227">INDEX(GMW!$A$2:$NF$150,MATCH(1,(GMW!$NE$2:$NE$150=U$3)*(GMW!$ND$2:$ND$150=U$4)*(GMW!$NF$2:$NF$150=U$1),0),$C227-1966)</f>
        <v>203693.4</v>
      </c>
      <c r="V227" s="4" cm="1">
        <f t="array" ref="V227">INDEX(GMW!$A$2:$NF$150,MATCH(1,(GMW!$NE$2:$NE$150=V$3)*(GMW!$ND$2:$ND$150=V$4)*(GMW!$NF$2:$NF$150=V$1),0),$C227-1966)</f>
        <v>77043.03</v>
      </c>
      <c r="W227" s="4" cm="1">
        <f t="array" ref="W227">INDEX(GMW!$A$2:$NF$150,MATCH(1,(GMW!$NE$2:$NE$150=W$3)*(GMW!$ND$2:$ND$150=W$4)*(GMW!$NF$2:$NF$150=W$1),0),$C227-1966)</f>
        <v>224348.9</v>
      </c>
      <c r="X227" s="4" cm="1">
        <f t="array" ref="X227">INDEX(GMW!$A$2:$NF$150,MATCH(1,(GMW!$NE$2:$NE$150=X$3)*(GMW!$ND$2:$ND$150=X$4)*(GMW!$NF$2:$NF$150=X$1),0),$C227-1966)</f>
        <v>120931.7</v>
      </c>
      <c r="Y227" s="4" cm="1">
        <f t="array" ref="Y227">INDEX(GMW!$A$2:$NF$150,MATCH(1,(GMW!$NE$2:$NE$150=Y$3)*(GMW!$ND$2:$ND$150=Y$4)*(GMW!$NF$2:$NF$150=Y$1),0),$C227-1966)</f>
        <v>122704.1</v>
      </c>
      <c r="Z227" s="4" cm="1">
        <f t="array" ref="Z227">INDEX(GMW!$A$2:$NF$150,MATCH(1,(GMW!$NE$2:$NE$150=Z$3)*(GMW!$ND$2:$ND$150=Z$4)*(GMW!$NF$2:$NF$150=Z$1),0),$C227-1966)</f>
        <v>67869.34</v>
      </c>
      <c r="AA227" s="4" cm="1">
        <f t="array" ref="AA227">INDEX(GMW!$A$2:$NF$150,MATCH(1,(GMW!$NE$2:$NE$150=AA$3)*(GMW!$ND$2:$ND$150=AA$4)*(GMW!$NF$2:$NF$150=AA$1),0),$C227-1966)</f>
        <v>677887.6</v>
      </c>
      <c r="AB227" s="4" cm="1">
        <f t="array" ref="AB227">INDEX(GMW!$A$2:$NF$150,MATCH(1,(GMW!$NE$2:$NE$150=AB$3)*(GMW!$ND$2:$ND$150=AB$4)*(GMW!$NF$2:$NF$150=AB$1),0),$C227-1966)</f>
        <v>35016.17</v>
      </c>
      <c r="AC227" s="4" cm="1">
        <f t="array" ref="AC227">INDEX(GMW!$A$2:$NF$150,MATCH(1,(GMW!$NE$2:$NE$150=AC$3)*(GMW!$ND$2:$ND$150=AC$4)*(GMW!$NF$2:$NF$150=AC$1),0),$C227-1966)</f>
        <v>31.99896</v>
      </c>
      <c r="AD227" s="4" cm="1">
        <f t="array" ref="AD227">INDEX(GMW!$A$2:$NF$150,MATCH(1,(GMW!$NE$2:$NE$150=AD$3)*(GMW!$ND$2:$ND$150=AD$4)*(GMW!$NF$2:$NF$150=AD$1),0),$C227-1966)</f>
        <v>642162.6</v>
      </c>
      <c r="AE227" s="4" cm="1">
        <f t="array" ref="AE227">INDEX(GMW!$A$2:$NF$150,MATCH(1,(GMW!$NE$2:$NE$150=AE$3)*(GMW!$ND$2:$ND$150=AE$4)*(GMW!$NF$2:$NF$150=AE$1),0),$C227-1966)</f>
        <v>45483.64</v>
      </c>
      <c r="AF227" s="4" cm="1">
        <f t="array" ref="AF227">INDEX(GMW!$A$2:$NF$150,MATCH(1,(GMW!$NE$2:$NE$150=AF$3)*(GMW!$ND$2:$ND$150=AF$4)*(GMW!$NF$2:$NF$150=AF$1),0),$C227-1966)</f>
        <v>3498167</v>
      </c>
      <c r="AG227" s="4" cm="1">
        <f t="array" ref="AG227">INDEX(GMW!$A$2:$NF$150,MATCH(1,(GMW!$NE$2:$NE$150=AG$3)*(GMW!$ND$2:$ND$150=AG$4)*(GMW!$NF$2:$NF$150=AG$1),0),$C227-1966)</f>
        <v>-1.693927</v>
      </c>
      <c r="AH227" s="4" cm="1">
        <f t="array" ref="AH227">INDEX(GMW!$A$2:$NF$150,MATCH(1,(GMW!$NE$2:$NE$150=AH$3)*(GMW!$ND$2:$ND$150=AH$4)*(GMW!$NF$2:$NF$150=AH$1),0),$C227-1966)</f>
        <v>675692.3</v>
      </c>
      <c r="AI227" s="4" cm="1">
        <f t="array" ref="AI227">INDEX(GMW!$A$2:$NF$150,MATCH(1,(GMW!$NE$2:$NE$150=AI$3)*(GMW!$ND$2:$ND$150=AI$4)*(GMW!$NF$2:$NF$150=AI$1),0),$C227-1966)</f>
        <v>145.41390000000001</v>
      </c>
      <c r="AJ227" s="4" cm="1">
        <f t="array" ref="AJ227">INDEX(GMW!$A$2:$NF$150,MATCH(1,(GMW!$NE$2:$NE$150=AJ$3)*(GMW!$ND$2:$ND$150=AJ$4)*(GMW!$NF$2:$NF$150=AJ$1),0),$C227-1966)</f>
        <v>208849.4</v>
      </c>
      <c r="AK227" s="4" cm="1">
        <f t="array" ref="AK227">INDEX(GMW!$A$2:$NF$150,MATCH(1,(GMW!$NE$2:$NE$150=AK$3)*(GMW!$ND$2:$ND$150=AK$4)*(GMW!$NF$2:$NF$150=AK$1),0),$C227-1966)</f>
        <v>79447.199999999997</v>
      </c>
      <c r="AL227" s="4" cm="1">
        <f t="array" ref="AL227">INDEX(GMW!$A$2:$NF$150,MATCH(1,(GMW!$NE$2:$NE$150=AL$3)*(GMW!$ND$2:$ND$150=AL$4)*(GMW!$NF$2:$NF$150=AL$1),0),$C227-1966)</f>
        <v>228538.1</v>
      </c>
      <c r="AM227" s="4" cm="1">
        <f t="array" ref="AM227">INDEX(GMW!$A$2:$NF$150,MATCH(1,(GMW!$NE$2:$NE$150=AM$3)*(GMW!$ND$2:$ND$150=AM$4)*(GMW!$NF$2:$NF$150=AM$1),0),$C227-1966)</f>
        <v>124013.9</v>
      </c>
      <c r="AN227" s="4" cm="1">
        <f t="array" ref="AN227">INDEX(GMW!$A$2:$NF$150,MATCH(1,(GMW!$NE$2:$NE$150=AN$3)*(GMW!$ND$2:$ND$150=AN$4)*(GMW!$NF$2:$NF$150=AN$1),0),$C227-1966)</f>
        <v>123046.8</v>
      </c>
      <c r="AO227" s="4" cm="1">
        <f t="array" ref="AO227">INDEX(GMW!$A$2:$NF$150,MATCH(1,(GMW!$NE$2:$NE$150=AO$3)*(GMW!$ND$2:$ND$150=AO$4)*(GMW!$NF$2:$NF$150=AO$1),0),$C227-1966)</f>
        <v>69150.11</v>
      </c>
      <c r="AP227" s="4" cm="1">
        <f t="array" ref="AP227">INDEX(GMW!$A$2:$NF$150,MATCH(1,(GMW!$NE$2:$NE$150=AP$3)*(GMW!$ND$2:$ND$150=AP$4)*(GMW!$NF$2:$NF$150=AP$1),0),$C227-1966)</f>
        <v>678112</v>
      </c>
      <c r="AQ227" s="4" cm="1">
        <f t="array" ref="AQ227">INDEX(GMW!$A$2:$NF$150,MATCH(1,(GMW!$NE$2:$NE$150=AQ$3)*(GMW!$ND$2:$ND$150=AQ$4)*(GMW!$NF$2:$NF$150=AQ$1),0),$C227-1966)</f>
        <v>34930.71</v>
      </c>
      <c r="AR227" s="4" cm="1">
        <f t="array" ref="AR227">INDEX(GMW!$A$2:$NF$150,MATCH(1,(GMW!$NE$2:$NE$150=AR$3)*(GMW!$ND$2:$ND$150=AR$4)*(GMW!$NF$2:$NF$150=AR$1),0),$C227-1966)</f>
        <v>31.99896</v>
      </c>
      <c r="AS227" s="4" cm="1">
        <f t="array" ref="AS227">INDEX(GMW!$A$2:$NF$150,MATCH(1,(GMW!$NE$2:$NE$150=AS$3)*(GMW!$ND$2:$ND$150=AS$4)*(GMW!$NF$2:$NF$150=AS$1),0),$C227-1966)</f>
        <v>641309.5</v>
      </c>
      <c r="AT227" s="4" cm="1">
        <f t="array" ref="AT227">INDEX(GMW!$A$2:$NF$150,MATCH(1,(GMW!$NE$2:$NE$150=AT$3)*(GMW!$ND$2:$ND$150=AT$4)*(GMW!$NF$2:$NF$150=AT$1),0),$C227-1966)</f>
        <v>45423.61</v>
      </c>
      <c r="AU227" s="4" cm="1">
        <f t="array" ref="AU227">INDEX(GMW!$A$2:$NF$150,MATCH(1,(GMW!$NE$2:$NE$150=AU$3)*(GMW!$ND$2:$ND$150=AU$4)*(GMW!$NF$2:$NF$150=AU$1),0),$C227-1966)</f>
        <v>3502903</v>
      </c>
      <c r="AV227" s="4" cm="1">
        <f t="array" ref="AV227">INDEX(GMW!$A$2:$NF$150,MATCH(1,(GMW!$NE$2:$NE$150=AV$3)*(GMW!$ND$2:$ND$150=AV$4)*(GMW!$NF$2:$NF$150=AV$1),0),$C227-1966)</f>
        <v>-1.692445</v>
      </c>
    </row>
    <row r="228" spans="1:48" x14ac:dyDescent="0.25">
      <c r="B228" s="4">
        <f t="shared" si="10"/>
        <v>2028</v>
      </c>
      <c r="C228" s="4">
        <f t="shared" si="9"/>
        <v>2194</v>
      </c>
      <c r="D228" s="4" cm="1">
        <f t="array" ref="D228">INDEX(GMW!$A$2:$NF$150,MATCH(1,(GMW!$NE$2:$NE$150=D$3)*(GMW!$ND$2:$ND$150=D$4)*(GMW!$NF$2:$NF$150=D$1),0),$C228-1966)</f>
        <v>672449.4</v>
      </c>
      <c r="E228" s="4" cm="1">
        <f t="array" ref="E228">INDEX(GMW!$A$2:$NF$150,MATCH(1,(GMW!$NE$2:$NE$150=E$3)*(GMW!$ND$2:$ND$150=E$4)*(GMW!$NF$2:$NF$150=E$1),0),$C228-1966)</f>
        <v>147.58529999999999</v>
      </c>
      <c r="F228" s="4" cm="1">
        <f t="array" ref="F228">INDEX(GMW!$A$2:$NF$150,MATCH(1,(GMW!$NE$2:$NE$150=F$3)*(GMW!$ND$2:$ND$150=F$4)*(GMW!$NF$2:$NF$150=F$1),0),$C228-1966)</f>
        <v>212691.9</v>
      </c>
      <c r="G228" s="4" cm="1">
        <f t="array" ref="G228">INDEX(GMW!$A$2:$NF$150,MATCH(1,(GMW!$NE$2:$NE$150=G$3)*(GMW!$ND$2:$ND$150=G$4)*(GMW!$NF$2:$NF$150=G$1),0),$C228-1966)</f>
        <v>73476.100000000006</v>
      </c>
      <c r="H228" s="4" cm="1">
        <f t="array" ref="H228">INDEX(GMW!$A$2:$NF$150,MATCH(1,(GMW!$NE$2:$NE$150=H$3)*(GMW!$ND$2:$ND$150=H$4)*(GMW!$NF$2:$NF$150=H$1),0),$C228-1966)</f>
        <v>232443.7</v>
      </c>
      <c r="I228" s="4" cm="1">
        <f t="array" ref="I228">INDEX(GMW!$A$2:$NF$150,MATCH(1,(GMW!$NE$2:$NE$150=I$3)*(GMW!$ND$2:$ND$150=I$4)*(GMW!$NF$2:$NF$150=I$1),0),$C228-1966)</f>
        <v>126480.9</v>
      </c>
      <c r="J228" s="4" cm="1">
        <f t="array" ref="J228">INDEX(GMW!$A$2:$NF$150,MATCH(1,(GMW!$NE$2:$NE$150=J$3)*(GMW!$ND$2:$ND$150=J$4)*(GMW!$NF$2:$NF$150=J$1),0),$C228-1966)</f>
        <v>121084.3</v>
      </c>
      <c r="K228" s="4" cm="1">
        <f t="array" ref="K228">INDEX(GMW!$A$2:$NF$150,MATCH(1,(GMW!$NE$2:$NE$150=K$3)*(GMW!$ND$2:$ND$150=K$4)*(GMW!$NF$2:$NF$150=K$1),0),$C228-1966)</f>
        <v>65856.5</v>
      </c>
      <c r="L228" s="4" cm="1">
        <f t="array" ref="L228">INDEX(GMW!$A$2:$NF$150,MATCH(1,(GMW!$NE$2:$NE$150=L$3)*(GMW!$ND$2:$ND$150=L$4)*(GMW!$NF$2:$NF$150=L$1),0),$C228-1966)</f>
        <v>678119.8</v>
      </c>
      <c r="M228" s="4" cm="1">
        <f t="array" ref="M228">INDEX(GMW!$A$2:$NF$150,MATCH(1,(GMW!$NE$2:$NE$150=M$3)*(GMW!$ND$2:$ND$150=M$4)*(GMW!$NF$2:$NF$150=M$1),0),$C228-1966)</f>
        <v>35142.51</v>
      </c>
      <c r="N228" s="4" cm="1">
        <f t="array" ref="N228">INDEX(GMW!$A$2:$NF$150,MATCH(1,(GMW!$NE$2:$NE$150=N$3)*(GMW!$ND$2:$ND$150=N$4)*(GMW!$NF$2:$NF$150=N$1),0),$C228-1966)</f>
        <v>31.998750000000001</v>
      </c>
      <c r="O228" s="4" cm="1">
        <f t="array" ref="O228">INDEX(GMW!$A$2:$NF$150,MATCH(1,(GMW!$NE$2:$NE$150=O$3)*(GMW!$ND$2:$ND$150=O$4)*(GMW!$NF$2:$NF$150=O$1),0),$C228-1966)</f>
        <v>643418.9</v>
      </c>
      <c r="P228" s="4" cm="1">
        <f t="array" ref="P228">INDEX(GMW!$A$2:$NF$150,MATCH(1,(GMW!$NE$2:$NE$150=P$3)*(GMW!$ND$2:$ND$150=P$4)*(GMW!$NF$2:$NF$150=P$1),0),$C228-1966)</f>
        <v>45507.94</v>
      </c>
      <c r="Q228" s="4" cm="1">
        <f t="array" ref="Q228">INDEX(GMW!$A$2:$NF$150,MATCH(1,(GMW!$NE$2:$NE$150=Q$3)*(GMW!$ND$2:$ND$150=Q$4)*(GMW!$NF$2:$NF$150=Q$1),0),$C228-1966)</f>
        <v>3500975</v>
      </c>
      <c r="R228" s="4" cm="1">
        <f t="array" ref="R228">INDEX(GMW!$A$2:$NF$150,MATCH(1,(GMW!$NE$2:$NE$150=R$3)*(GMW!$ND$2:$ND$150=R$4)*(GMW!$NF$2:$NF$150=R$1),0),$C228-1966)</f>
        <v>-1.696809</v>
      </c>
      <c r="S228" s="4" cm="1">
        <f t="array" ref="S228">INDEX(GMW!$A$2:$NF$150,MATCH(1,(GMW!$NE$2:$NE$150=S$3)*(GMW!$ND$2:$ND$150=S$4)*(GMW!$NF$2:$NF$150=S$1),0),$C228-1966)</f>
        <v>677181.9</v>
      </c>
      <c r="T228" s="4" cm="1">
        <f t="array" ref="T228">INDEX(GMW!$A$2:$NF$150,MATCH(1,(GMW!$NE$2:$NE$150=T$3)*(GMW!$ND$2:$ND$150=T$4)*(GMW!$NF$2:$NF$150=T$1),0),$C228-1966)</f>
        <v>147.82849999999999</v>
      </c>
      <c r="U228" s="4" cm="1">
        <f t="array" ref="U228">INDEX(GMW!$A$2:$NF$150,MATCH(1,(GMW!$NE$2:$NE$150=U$3)*(GMW!$ND$2:$ND$150=U$4)*(GMW!$NF$2:$NF$150=U$1),0),$C228-1966)</f>
        <v>204353.5</v>
      </c>
      <c r="V228" s="4" cm="1">
        <f t="array" ref="V228">INDEX(GMW!$A$2:$NF$150,MATCH(1,(GMW!$NE$2:$NE$150=V$3)*(GMW!$ND$2:$ND$150=V$4)*(GMW!$NF$2:$NF$150=V$1),0),$C228-1966)</f>
        <v>77220.240000000005</v>
      </c>
      <c r="W228" s="4" cm="1">
        <f t="array" ref="W228">INDEX(GMW!$A$2:$NF$150,MATCH(1,(GMW!$NE$2:$NE$150=W$3)*(GMW!$ND$2:$ND$150=W$4)*(GMW!$NF$2:$NF$150=W$1),0),$C228-1966)</f>
        <v>225134</v>
      </c>
      <c r="X228" s="4" cm="1">
        <f t="array" ref="X228">INDEX(GMW!$A$2:$NF$150,MATCH(1,(GMW!$NE$2:$NE$150=X$3)*(GMW!$ND$2:$ND$150=X$4)*(GMW!$NF$2:$NF$150=X$1),0),$C228-1966)</f>
        <v>121300.4</v>
      </c>
      <c r="Y228" s="4" cm="1">
        <f t="array" ref="Y228">INDEX(GMW!$A$2:$NF$150,MATCH(1,(GMW!$NE$2:$NE$150=Y$3)*(GMW!$ND$2:$ND$150=Y$4)*(GMW!$NF$2:$NF$150=Y$1),0),$C228-1966)</f>
        <v>123345.60000000001</v>
      </c>
      <c r="Z228" s="4" cm="1">
        <f t="array" ref="Z228">INDEX(GMW!$A$2:$NF$150,MATCH(1,(GMW!$NE$2:$NE$150=Z$3)*(GMW!$ND$2:$ND$150=Z$4)*(GMW!$NF$2:$NF$150=Z$1),0),$C228-1966)</f>
        <v>68385.16</v>
      </c>
      <c r="AA228" s="4" cm="1">
        <f t="array" ref="AA228">INDEX(GMW!$A$2:$NF$150,MATCH(1,(GMW!$NE$2:$NE$150=AA$3)*(GMW!$ND$2:$ND$150=AA$4)*(GMW!$NF$2:$NF$150=AA$1),0),$C228-1966)</f>
        <v>680403.3</v>
      </c>
      <c r="AB228" s="4" cm="1">
        <f t="array" ref="AB228">INDEX(GMW!$A$2:$NF$150,MATCH(1,(GMW!$NE$2:$NE$150=AB$3)*(GMW!$ND$2:$ND$150=AB$4)*(GMW!$NF$2:$NF$150=AB$1),0),$C228-1966)</f>
        <v>35103.699999999997</v>
      </c>
      <c r="AC228" s="4" cm="1">
        <f t="array" ref="AC228">INDEX(GMW!$A$2:$NF$150,MATCH(1,(GMW!$NE$2:$NE$150=AC$3)*(GMW!$ND$2:$ND$150=AC$4)*(GMW!$NF$2:$NF$150=AC$1),0),$C228-1966)</f>
        <v>31.998750000000001</v>
      </c>
      <c r="AD228" s="4" cm="1">
        <f t="array" ref="AD228">INDEX(GMW!$A$2:$NF$150,MATCH(1,(GMW!$NE$2:$NE$150=AD$3)*(GMW!$ND$2:$ND$150=AD$4)*(GMW!$NF$2:$NF$150=AD$1),0),$C228-1966)</f>
        <v>643418.9</v>
      </c>
      <c r="AE228" s="4" cm="1">
        <f t="array" ref="AE228">INDEX(GMW!$A$2:$NF$150,MATCH(1,(GMW!$NE$2:$NE$150=AE$3)*(GMW!$ND$2:$ND$150=AE$4)*(GMW!$NF$2:$NF$150=AE$1),0),$C228-1966)</f>
        <v>45507.94</v>
      </c>
      <c r="AF228" s="4" cm="1">
        <f t="array" ref="AF228">INDEX(GMW!$A$2:$NF$150,MATCH(1,(GMW!$NE$2:$NE$150=AF$3)*(GMW!$ND$2:$ND$150=AF$4)*(GMW!$NF$2:$NF$150=AF$1),0),$C228-1966)</f>
        <v>3511481</v>
      </c>
      <c r="AG228" s="4" cm="1">
        <f t="array" ref="AG228">INDEX(GMW!$A$2:$NF$150,MATCH(1,(GMW!$NE$2:$NE$150=AG$3)*(GMW!$ND$2:$ND$150=AG$4)*(GMW!$NF$2:$NF$150=AG$1),0),$C228-1966)</f>
        <v>-1.6935880000000001</v>
      </c>
      <c r="AH228" s="4" cm="1">
        <f t="array" ref="AH228">INDEX(GMW!$A$2:$NF$150,MATCH(1,(GMW!$NE$2:$NE$150=AH$3)*(GMW!$ND$2:$ND$150=AH$4)*(GMW!$NF$2:$NF$150=AH$1),0),$C228-1966)</f>
        <v>678563.9</v>
      </c>
      <c r="AI228" s="4" cm="1">
        <f t="array" ref="AI228">INDEX(GMW!$A$2:$NF$150,MATCH(1,(GMW!$NE$2:$NE$150=AI$3)*(GMW!$ND$2:$ND$150=AI$4)*(GMW!$NF$2:$NF$150=AI$1),0),$C228-1966)</f>
        <v>146.71639999999999</v>
      </c>
      <c r="AJ228" s="4" cm="1">
        <f t="array" ref="AJ228">INDEX(GMW!$A$2:$NF$150,MATCH(1,(GMW!$NE$2:$NE$150=AJ$3)*(GMW!$ND$2:$ND$150=AJ$4)*(GMW!$NF$2:$NF$150=AJ$1),0),$C228-1966)</f>
        <v>209528.4</v>
      </c>
      <c r="AK228" s="4" cm="1">
        <f t="array" ref="AK228">INDEX(GMW!$A$2:$NF$150,MATCH(1,(GMW!$NE$2:$NE$150=AK$3)*(GMW!$ND$2:$ND$150=AK$4)*(GMW!$NF$2:$NF$150=AK$1),0),$C228-1966)</f>
        <v>79645.83</v>
      </c>
      <c r="AL228" s="4" cm="1">
        <f t="array" ref="AL228">INDEX(GMW!$A$2:$NF$150,MATCH(1,(GMW!$NE$2:$NE$150=AL$3)*(GMW!$ND$2:$ND$150=AL$4)*(GMW!$NF$2:$NF$150=AL$1),0),$C228-1966)</f>
        <v>229344.1</v>
      </c>
      <c r="AM228" s="4" cm="1">
        <f t="array" ref="AM228">INDEX(GMW!$A$2:$NF$150,MATCH(1,(GMW!$NE$2:$NE$150=AM$3)*(GMW!$ND$2:$ND$150=AM$4)*(GMW!$NF$2:$NF$150=AM$1),0),$C228-1966)</f>
        <v>124404.4</v>
      </c>
      <c r="AN228" s="4" cm="1">
        <f t="array" ref="AN228">INDEX(GMW!$A$2:$NF$150,MATCH(1,(GMW!$NE$2:$NE$150=AN$3)*(GMW!$ND$2:$ND$150=AN$4)*(GMW!$NF$2:$NF$150=AN$1),0),$C228-1966)</f>
        <v>123590.5</v>
      </c>
      <c r="AO228" s="4" cm="1">
        <f t="array" ref="AO228">INDEX(GMW!$A$2:$NF$150,MATCH(1,(GMW!$NE$2:$NE$150=AO$3)*(GMW!$ND$2:$ND$150=AO$4)*(GMW!$NF$2:$NF$150=AO$1),0),$C228-1966)</f>
        <v>69565.02</v>
      </c>
      <c r="AP228" s="4" cm="1">
        <f t="array" ref="AP228">INDEX(GMW!$A$2:$NF$150,MATCH(1,(GMW!$NE$2:$NE$150=AP$3)*(GMW!$ND$2:$ND$150=AP$4)*(GMW!$NF$2:$NF$150=AP$1),0),$C228-1966)</f>
        <v>680701.8</v>
      </c>
      <c r="AQ228" s="4" cm="1">
        <f t="array" ref="AQ228">INDEX(GMW!$A$2:$NF$150,MATCH(1,(GMW!$NE$2:$NE$150=AQ$3)*(GMW!$ND$2:$ND$150=AQ$4)*(GMW!$NF$2:$NF$150=AQ$1),0),$C228-1966)</f>
        <v>35019.79</v>
      </c>
      <c r="AR228" s="4" cm="1">
        <f t="array" ref="AR228">INDEX(GMW!$A$2:$NF$150,MATCH(1,(GMW!$NE$2:$NE$150=AR$3)*(GMW!$ND$2:$ND$150=AR$4)*(GMW!$NF$2:$NF$150=AR$1),0),$C228-1966)</f>
        <v>31.998750000000001</v>
      </c>
      <c r="AS228" s="4" cm="1">
        <f t="array" ref="AS228">INDEX(GMW!$A$2:$NF$150,MATCH(1,(GMW!$NE$2:$NE$150=AS$3)*(GMW!$ND$2:$ND$150=AS$4)*(GMW!$NF$2:$NF$150=AS$1),0),$C228-1966)</f>
        <v>642504.1</v>
      </c>
      <c r="AT228" s="4" cm="1">
        <f t="array" ref="AT228">INDEX(GMW!$A$2:$NF$150,MATCH(1,(GMW!$NE$2:$NE$150=AT$3)*(GMW!$ND$2:$ND$150=AT$4)*(GMW!$NF$2:$NF$150=AT$1),0),$C228-1966)</f>
        <v>45443.57</v>
      </c>
      <c r="AU228" s="4" cm="1">
        <f t="array" ref="AU228">INDEX(GMW!$A$2:$NF$150,MATCH(1,(GMW!$NE$2:$NE$150=AU$3)*(GMW!$ND$2:$ND$150=AU$4)*(GMW!$NF$2:$NF$150=AU$1),0),$C228-1966)</f>
        <v>3516455</v>
      </c>
      <c r="AV228" s="4" cm="1">
        <f t="array" ref="AV228">INDEX(GMW!$A$2:$NF$150,MATCH(1,(GMW!$NE$2:$NE$150=AV$3)*(GMW!$ND$2:$ND$150=AV$4)*(GMW!$NF$2:$NF$150=AV$1),0),$C228-1966)</f>
        <v>-1.692064</v>
      </c>
    </row>
    <row r="229" spans="1:48" x14ac:dyDescent="0.25">
      <c r="B229" s="4">
        <f t="shared" si="10"/>
        <v>2028</v>
      </c>
      <c r="C229" s="4">
        <f t="shared" si="9"/>
        <v>2195</v>
      </c>
      <c r="D229" s="4" cm="1">
        <f t="array" ref="D229">INDEX(GMW!$A$2:$NF$150,MATCH(1,(GMW!$NE$2:$NE$150=D$3)*(GMW!$ND$2:$ND$150=D$4)*(GMW!$NF$2:$NF$150=D$1),0),$C229-1966)</f>
        <v>675643.4</v>
      </c>
      <c r="E229" s="4" cm="1">
        <f t="array" ref="E229">INDEX(GMW!$A$2:$NF$150,MATCH(1,(GMW!$NE$2:$NE$150=E$3)*(GMW!$ND$2:$ND$150=E$4)*(GMW!$NF$2:$NF$150=E$1),0),$C229-1966)</f>
        <v>148.26920000000001</v>
      </c>
      <c r="F229" s="4" cm="1">
        <f t="array" ref="F229">INDEX(GMW!$A$2:$NF$150,MATCH(1,(GMW!$NE$2:$NE$150=F$3)*(GMW!$ND$2:$ND$150=F$4)*(GMW!$NF$2:$NF$150=F$1),0),$C229-1966)</f>
        <v>213457.6</v>
      </c>
      <c r="G229" s="4" cm="1">
        <f t="array" ref="G229">INDEX(GMW!$A$2:$NF$150,MATCH(1,(GMW!$NE$2:$NE$150=G$3)*(GMW!$ND$2:$ND$150=G$4)*(GMW!$NF$2:$NF$150=G$1),0),$C229-1966)</f>
        <v>73659.77</v>
      </c>
      <c r="H229" s="4" cm="1">
        <f t="array" ref="H229">INDEX(GMW!$A$2:$NF$150,MATCH(1,(GMW!$NE$2:$NE$150=H$3)*(GMW!$ND$2:$ND$150=H$4)*(GMW!$NF$2:$NF$150=H$1),0),$C229-1966)</f>
        <v>233285.9</v>
      </c>
      <c r="I229" s="4" cm="1">
        <f t="array" ref="I229">INDEX(GMW!$A$2:$NF$150,MATCH(1,(GMW!$NE$2:$NE$150=I$3)*(GMW!$ND$2:$ND$150=I$4)*(GMW!$NF$2:$NF$150=I$1),0),$C229-1966)</f>
        <v>126879.4</v>
      </c>
      <c r="J229" s="4" cm="1">
        <f t="array" ref="J229">INDEX(GMW!$A$2:$NF$150,MATCH(1,(GMW!$NE$2:$NE$150=J$3)*(GMW!$ND$2:$ND$150=J$4)*(GMW!$NF$2:$NF$150=J$1),0),$C229-1966)</f>
        <v>121707</v>
      </c>
      <c r="K229" s="4" cm="1">
        <f t="array" ref="K229">INDEX(GMW!$A$2:$NF$150,MATCH(1,(GMW!$NE$2:$NE$150=K$3)*(GMW!$ND$2:$ND$150=K$4)*(GMW!$NF$2:$NF$150=K$1),0),$C229-1966)</f>
        <v>66350.399999999994</v>
      </c>
      <c r="L229" s="4" cm="1">
        <f t="array" ref="L229">INDEX(GMW!$A$2:$NF$150,MATCH(1,(GMW!$NE$2:$NE$150=L$3)*(GMW!$ND$2:$ND$150=L$4)*(GMW!$NF$2:$NF$150=L$1),0),$C229-1966)</f>
        <v>680510.3</v>
      </c>
      <c r="M229" s="4" cm="1">
        <f t="array" ref="M229">INDEX(GMW!$A$2:$NF$150,MATCH(1,(GMW!$NE$2:$NE$150=M$3)*(GMW!$ND$2:$ND$150=M$4)*(GMW!$NF$2:$NF$150=M$1),0),$C229-1966)</f>
        <v>35230.36</v>
      </c>
      <c r="N229" s="4" cm="1">
        <f t="array" ref="N229">INDEX(GMW!$A$2:$NF$150,MATCH(1,(GMW!$NE$2:$NE$150=N$3)*(GMW!$ND$2:$ND$150=N$4)*(GMW!$NF$2:$NF$150=N$1),0),$C229-1966)</f>
        <v>31.998539999999998</v>
      </c>
      <c r="O229" s="4" cm="1">
        <f t="array" ref="O229">INDEX(GMW!$A$2:$NF$150,MATCH(1,(GMW!$NE$2:$NE$150=O$3)*(GMW!$ND$2:$ND$150=O$4)*(GMW!$NF$2:$NF$150=O$1),0),$C229-1966)</f>
        <v>644552.69999999995</v>
      </c>
      <c r="P229" s="4" cm="1">
        <f t="array" ref="P229">INDEX(GMW!$A$2:$NF$150,MATCH(1,(GMW!$NE$2:$NE$150=P$3)*(GMW!$ND$2:$ND$150=P$4)*(GMW!$NF$2:$NF$150=P$1),0),$C229-1966)</f>
        <v>45524</v>
      </c>
      <c r="Q229" s="4" cm="1">
        <f t="array" ref="Q229">INDEX(GMW!$A$2:$NF$150,MATCH(1,(GMW!$NE$2:$NE$150=Q$3)*(GMW!$ND$2:$ND$150=Q$4)*(GMW!$NF$2:$NF$150=Q$1),0),$C229-1966)</f>
        <v>3512519</v>
      </c>
      <c r="R229" s="4" cm="1">
        <f t="array" ref="R229">INDEX(GMW!$A$2:$NF$150,MATCH(1,(GMW!$NE$2:$NE$150=R$3)*(GMW!$ND$2:$ND$150=R$4)*(GMW!$NF$2:$NF$150=R$1),0),$C229-1966)</f>
        <v>-1.696469</v>
      </c>
      <c r="S229" s="4" cm="1">
        <f t="array" ref="S229">INDEX(GMW!$A$2:$NF$150,MATCH(1,(GMW!$NE$2:$NE$150=S$3)*(GMW!$ND$2:$ND$150=S$4)*(GMW!$NF$2:$NF$150=S$1),0),$C229-1966)</f>
        <v>680229.3</v>
      </c>
      <c r="T229" s="4" cm="1">
        <f t="array" ref="T229">INDEX(GMW!$A$2:$NF$150,MATCH(1,(GMW!$NE$2:$NE$150=T$3)*(GMW!$ND$2:$ND$150=T$4)*(GMW!$NF$2:$NF$150=T$1),0),$C229-1966)</f>
        <v>148.51580000000001</v>
      </c>
      <c r="U229" s="4" cm="1">
        <f t="array" ref="U229">INDEX(GMW!$A$2:$NF$150,MATCH(1,(GMW!$NE$2:$NE$150=U$3)*(GMW!$ND$2:$ND$150=U$4)*(GMW!$NF$2:$NF$150=U$1),0),$C229-1966)</f>
        <v>205024.2</v>
      </c>
      <c r="V229" s="4" cm="1">
        <f t="array" ref="V229">INDEX(GMW!$A$2:$NF$150,MATCH(1,(GMW!$NE$2:$NE$150=V$3)*(GMW!$ND$2:$ND$150=V$4)*(GMW!$NF$2:$NF$150=V$1),0),$C229-1966)</f>
        <v>77405.55</v>
      </c>
      <c r="W229" s="4" cm="1">
        <f t="array" ref="W229">INDEX(GMW!$A$2:$NF$150,MATCH(1,(GMW!$NE$2:$NE$150=W$3)*(GMW!$ND$2:$ND$150=W$4)*(GMW!$NF$2:$NF$150=W$1),0),$C229-1966)</f>
        <v>225922.6</v>
      </c>
      <c r="X229" s="4" cm="1">
        <f t="array" ref="X229">INDEX(GMW!$A$2:$NF$150,MATCH(1,(GMW!$NE$2:$NE$150=X$3)*(GMW!$ND$2:$ND$150=X$4)*(GMW!$NF$2:$NF$150=X$1),0),$C229-1966)</f>
        <v>121670.5</v>
      </c>
      <c r="Y229" s="4" cm="1">
        <f t="array" ref="Y229">INDEX(GMW!$A$2:$NF$150,MATCH(1,(GMW!$NE$2:$NE$150=Y$3)*(GMW!$ND$2:$ND$150=Y$4)*(GMW!$NF$2:$NF$150=Y$1),0),$C229-1966)</f>
        <v>123961.5</v>
      </c>
      <c r="Z229" s="4" cm="1">
        <f t="array" ref="Z229">INDEX(GMW!$A$2:$NF$150,MATCH(1,(GMW!$NE$2:$NE$150=Z$3)*(GMW!$ND$2:$ND$150=Z$4)*(GMW!$NF$2:$NF$150=Z$1),0),$C229-1966)</f>
        <v>68898.03</v>
      </c>
      <c r="AA229" s="4" cm="1">
        <f t="array" ref="AA229">INDEX(GMW!$A$2:$NF$150,MATCH(1,(GMW!$NE$2:$NE$150=AA$3)*(GMW!$ND$2:$ND$150=AA$4)*(GMW!$NF$2:$NF$150=AA$1),0),$C229-1966)</f>
        <v>682909.3</v>
      </c>
      <c r="AB229" s="4" cm="1">
        <f t="array" ref="AB229">INDEX(GMW!$A$2:$NF$150,MATCH(1,(GMW!$NE$2:$NE$150=AB$3)*(GMW!$ND$2:$ND$150=AB$4)*(GMW!$NF$2:$NF$150=AB$1),0),$C229-1966)</f>
        <v>35189.71</v>
      </c>
      <c r="AC229" s="4" cm="1">
        <f t="array" ref="AC229">INDEX(GMW!$A$2:$NF$150,MATCH(1,(GMW!$NE$2:$NE$150=AC$3)*(GMW!$ND$2:$ND$150=AC$4)*(GMW!$NF$2:$NF$150=AC$1),0),$C229-1966)</f>
        <v>31.998539999999998</v>
      </c>
      <c r="AD229" s="4" cm="1">
        <f t="array" ref="AD229">INDEX(GMW!$A$2:$NF$150,MATCH(1,(GMW!$NE$2:$NE$150=AD$3)*(GMW!$ND$2:$ND$150=AD$4)*(GMW!$NF$2:$NF$150=AD$1),0),$C229-1966)</f>
        <v>644552.69999999995</v>
      </c>
      <c r="AE229" s="4" cm="1">
        <f t="array" ref="AE229">INDEX(GMW!$A$2:$NF$150,MATCH(1,(GMW!$NE$2:$NE$150=AE$3)*(GMW!$ND$2:$ND$150=AE$4)*(GMW!$NF$2:$NF$150=AE$1),0),$C229-1966)</f>
        <v>45524</v>
      </c>
      <c r="AF229" s="4" cm="1">
        <f t="array" ref="AF229">INDEX(GMW!$A$2:$NF$150,MATCH(1,(GMW!$NE$2:$NE$150=AF$3)*(GMW!$ND$2:$ND$150=AF$4)*(GMW!$NF$2:$NF$150=AF$1),0),$C229-1966)</f>
        <v>3524922</v>
      </c>
      <c r="AG229" s="4" cm="1">
        <f t="array" ref="AG229">INDEX(GMW!$A$2:$NF$150,MATCH(1,(GMW!$NE$2:$NE$150=AG$3)*(GMW!$ND$2:$ND$150=AG$4)*(GMW!$NF$2:$NF$150=AG$1),0),$C229-1966)</f>
        <v>-1.6932499999999999</v>
      </c>
      <c r="AH229" s="4" cm="1">
        <f t="array" ref="AH229">INDEX(GMW!$A$2:$NF$150,MATCH(1,(GMW!$NE$2:$NE$150=AH$3)*(GMW!$ND$2:$ND$150=AH$4)*(GMW!$NF$2:$NF$150=AH$1),0),$C229-1966)</f>
        <v>681379.9</v>
      </c>
      <c r="AI229" s="4" cm="1">
        <f t="array" ref="AI229">INDEX(GMW!$A$2:$NF$150,MATCH(1,(GMW!$NE$2:$NE$150=AI$3)*(GMW!$ND$2:$ND$150=AI$4)*(GMW!$NF$2:$NF$150=AI$1),0),$C229-1966)</f>
        <v>147.3905</v>
      </c>
      <c r="AJ229" s="4" cm="1">
        <f t="array" ref="AJ229">INDEX(GMW!$A$2:$NF$150,MATCH(1,(GMW!$NE$2:$NE$150=AJ$3)*(GMW!$ND$2:$ND$150=AJ$4)*(GMW!$NF$2:$NF$150=AJ$1),0),$C229-1966)</f>
        <v>210210.6</v>
      </c>
      <c r="AK229" s="4" cm="1">
        <f t="array" ref="AK229">INDEX(GMW!$A$2:$NF$150,MATCH(1,(GMW!$NE$2:$NE$150=AK$3)*(GMW!$ND$2:$ND$150=AK$4)*(GMW!$NF$2:$NF$150=AK$1),0),$C229-1966)</f>
        <v>79844.92</v>
      </c>
      <c r="AL229" s="4" cm="1">
        <f t="array" ref="AL229">INDEX(GMW!$A$2:$NF$150,MATCH(1,(GMW!$NE$2:$NE$150=AL$3)*(GMW!$ND$2:$ND$150=AL$4)*(GMW!$NF$2:$NF$150=AL$1),0),$C229-1966)</f>
        <v>230153.7</v>
      </c>
      <c r="AM229" s="4" cm="1">
        <f t="array" ref="AM229">INDEX(GMW!$A$2:$NF$150,MATCH(1,(GMW!$NE$2:$NE$150=AM$3)*(GMW!$ND$2:$ND$150=AM$4)*(GMW!$NF$2:$NF$150=AM$1),0),$C229-1966)</f>
        <v>124796.3</v>
      </c>
      <c r="AN229" s="4" cm="1">
        <f t="array" ref="AN229">INDEX(GMW!$A$2:$NF$150,MATCH(1,(GMW!$NE$2:$NE$150=AN$3)*(GMW!$ND$2:$ND$150=AN$4)*(GMW!$NF$2:$NF$150=AN$1),0),$C229-1966)</f>
        <v>124114.5</v>
      </c>
      <c r="AO229" s="4" cm="1">
        <f t="array" ref="AO229">INDEX(GMW!$A$2:$NF$150,MATCH(1,(GMW!$NE$2:$NE$150=AO$3)*(GMW!$ND$2:$ND$150=AO$4)*(GMW!$NF$2:$NF$150=AO$1),0),$C229-1966)</f>
        <v>69982.399999999994</v>
      </c>
      <c r="AP229" s="4" cm="1">
        <f t="array" ref="AP229">INDEX(GMW!$A$2:$NF$150,MATCH(1,(GMW!$NE$2:$NE$150=AP$3)*(GMW!$ND$2:$ND$150=AP$4)*(GMW!$NF$2:$NF$150=AP$1),0),$C229-1966)</f>
        <v>683282.6</v>
      </c>
      <c r="AQ229" s="4" cm="1">
        <f t="array" ref="AQ229">INDEX(GMW!$A$2:$NF$150,MATCH(1,(GMW!$NE$2:$NE$150=AQ$3)*(GMW!$ND$2:$ND$150=AQ$4)*(GMW!$NF$2:$NF$150=AQ$1),0),$C229-1966)</f>
        <v>35105.589999999997</v>
      </c>
      <c r="AR229" s="4" cm="1">
        <f t="array" ref="AR229">INDEX(GMW!$A$2:$NF$150,MATCH(1,(GMW!$NE$2:$NE$150=AR$3)*(GMW!$ND$2:$ND$150=AR$4)*(GMW!$NF$2:$NF$150=AR$1),0),$C229-1966)</f>
        <v>31.998539999999998</v>
      </c>
      <c r="AS229" s="4" cm="1">
        <f t="array" ref="AS229">INDEX(GMW!$A$2:$NF$150,MATCH(1,(GMW!$NE$2:$NE$150=AS$3)*(GMW!$ND$2:$ND$150=AS$4)*(GMW!$NF$2:$NF$150=AS$1),0),$C229-1966)</f>
        <v>643574.9</v>
      </c>
      <c r="AT229" s="4" cm="1">
        <f t="array" ref="AT229">INDEX(GMW!$A$2:$NF$150,MATCH(1,(GMW!$NE$2:$NE$150=AT$3)*(GMW!$ND$2:$ND$150=AT$4)*(GMW!$NF$2:$NF$150=AT$1),0),$C229-1966)</f>
        <v>45455.19</v>
      </c>
      <c r="AU229" s="4" cm="1">
        <f t="array" ref="AU229">INDEX(GMW!$A$2:$NF$150,MATCH(1,(GMW!$NE$2:$NE$150=AU$3)*(GMW!$ND$2:$ND$150=AU$4)*(GMW!$NF$2:$NF$150=AU$1),0),$C229-1966)</f>
        <v>3530038</v>
      </c>
      <c r="AV229" s="4" cm="1">
        <f t="array" ref="AV229">INDEX(GMW!$A$2:$NF$150,MATCH(1,(GMW!$NE$2:$NE$150=AV$3)*(GMW!$ND$2:$ND$150=AV$4)*(GMW!$NF$2:$NF$150=AV$1),0),$C229-1966)</f>
        <v>-1.691641</v>
      </c>
    </row>
    <row r="230" spans="1:48" x14ac:dyDescent="0.25">
      <c r="B230" s="4">
        <f t="shared" si="10"/>
        <v>2028</v>
      </c>
      <c r="C230" s="4">
        <f t="shared" si="9"/>
        <v>2196</v>
      </c>
      <c r="D230" s="4" cm="1">
        <f t="array" ref="D230">INDEX(GMW!$A$2:$NF$150,MATCH(1,(GMW!$NE$2:$NE$150=D$3)*(GMW!$ND$2:$ND$150=D$4)*(GMW!$NF$2:$NF$150=D$1),0),$C230-1966)</f>
        <v>678684</v>
      </c>
      <c r="E230" s="4" cm="1">
        <f t="array" ref="E230">INDEX(GMW!$A$2:$NF$150,MATCH(1,(GMW!$NE$2:$NE$150=E$3)*(GMW!$ND$2:$ND$150=E$4)*(GMW!$NF$2:$NF$150=E$1),0),$C230-1966)</f>
        <v>149.06039999999999</v>
      </c>
      <c r="F230" s="4" cm="1">
        <f t="array" ref="F230">INDEX(GMW!$A$2:$NF$150,MATCH(1,(GMW!$NE$2:$NE$150=F$3)*(GMW!$ND$2:$ND$150=F$4)*(GMW!$NF$2:$NF$150=F$1),0),$C230-1966)</f>
        <v>214227</v>
      </c>
      <c r="G230" s="4" cm="1">
        <f t="array" ref="G230">INDEX(GMW!$A$2:$NF$150,MATCH(1,(GMW!$NE$2:$NE$150=G$3)*(GMW!$ND$2:$ND$150=G$4)*(GMW!$NF$2:$NF$150=G$1),0),$C230-1966)</f>
        <v>73843.92</v>
      </c>
      <c r="H230" s="4" cm="1">
        <f t="array" ref="H230">INDEX(GMW!$A$2:$NF$150,MATCH(1,(GMW!$NE$2:$NE$150=H$3)*(GMW!$ND$2:$ND$150=H$4)*(GMW!$NF$2:$NF$150=H$1),0),$C230-1966)</f>
        <v>234110.7</v>
      </c>
      <c r="I230" s="4" cm="1">
        <f t="array" ref="I230">INDEX(GMW!$A$2:$NF$150,MATCH(1,(GMW!$NE$2:$NE$150=I$3)*(GMW!$ND$2:$ND$150=I$4)*(GMW!$NF$2:$NF$150=I$1),0),$C230-1966)</f>
        <v>127266.3</v>
      </c>
      <c r="J230" s="4" cm="1">
        <f t="array" ref="J230">INDEX(GMW!$A$2:$NF$150,MATCH(1,(GMW!$NE$2:$NE$150=J$3)*(GMW!$ND$2:$ND$150=J$4)*(GMW!$NF$2:$NF$150=J$1),0),$C230-1966)</f>
        <v>122326.5</v>
      </c>
      <c r="K230" s="4" cm="1">
        <f t="array" ref="K230">INDEX(GMW!$A$2:$NF$150,MATCH(1,(GMW!$NE$2:$NE$150=K$3)*(GMW!$ND$2:$ND$150=K$4)*(GMW!$NF$2:$NF$150=K$1),0),$C230-1966)</f>
        <v>66841.41</v>
      </c>
      <c r="L230" s="4" cm="1">
        <f t="array" ref="L230">INDEX(GMW!$A$2:$NF$150,MATCH(1,(GMW!$NE$2:$NE$150=L$3)*(GMW!$ND$2:$ND$150=L$4)*(GMW!$NF$2:$NF$150=L$1),0),$C230-1966)</f>
        <v>682872.2</v>
      </c>
      <c r="M230" s="4" cm="1">
        <f t="array" ref="M230">INDEX(GMW!$A$2:$NF$150,MATCH(1,(GMW!$NE$2:$NE$150=M$3)*(GMW!$ND$2:$ND$150=M$4)*(GMW!$NF$2:$NF$150=M$1),0),$C230-1966)</f>
        <v>35314.910000000003</v>
      </c>
      <c r="N230" s="4" cm="1">
        <f t="array" ref="N230">INDEX(GMW!$A$2:$NF$150,MATCH(1,(GMW!$NE$2:$NE$150=N$3)*(GMW!$ND$2:$ND$150=N$4)*(GMW!$NF$2:$NF$150=N$1),0),$C230-1966)</f>
        <v>31.998329999999999</v>
      </c>
      <c r="O230" s="4" cm="1">
        <f t="array" ref="O230">INDEX(GMW!$A$2:$NF$150,MATCH(1,(GMW!$NE$2:$NE$150=O$3)*(GMW!$ND$2:$ND$150=O$4)*(GMW!$NF$2:$NF$150=O$1),0),$C230-1966)</f>
        <v>645680.69999999995</v>
      </c>
      <c r="P230" s="4" cm="1">
        <f t="array" ref="P230">INDEX(GMW!$A$2:$NF$150,MATCH(1,(GMW!$NE$2:$NE$150=P$3)*(GMW!$ND$2:$ND$150=P$4)*(GMW!$NF$2:$NF$150=P$1),0),$C230-1966)</f>
        <v>45540.07</v>
      </c>
      <c r="Q230" s="4" cm="1">
        <f t="array" ref="Q230">INDEX(GMW!$A$2:$NF$150,MATCH(1,(GMW!$NE$2:$NE$150=Q$3)*(GMW!$ND$2:$ND$150=Q$4)*(GMW!$NF$2:$NF$150=Q$1),0),$C230-1966)</f>
        <v>3524215</v>
      </c>
      <c r="R230" s="4" cm="1">
        <f t="array" ref="R230">INDEX(GMW!$A$2:$NF$150,MATCH(1,(GMW!$NE$2:$NE$150=R$3)*(GMW!$ND$2:$ND$150=R$4)*(GMW!$NF$2:$NF$150=R$1),0),$C230-1966)</f>
        <v>-1.6961299999999999</v>
      </c>
      <c r="S230" s="4" cm="1">
        <f t="array" ref="S230">INDEX(GMW!$A$2:$NF$150,MATCH(1,(GMW!$NE$2:$NE$150=S$3)*(GMW!$ND$2:$ND$150=S$4)*(GMW!$NF$2:$NF$150=S$1),0),$C230-1966)</f>
        <v>683188.4</v>
      </c>
      <c r="T230" s="4" cm="1">
        <f t="array" ref="T230">INDEX(GMW!$A$2:$NF$150,MATCH(1,(GMW!$NE$2:$NE$150=T$3)*(GMW!$ND$2:$ND$150=T$4)*(GMW!$NF$2:$NF$150=T$1),0),$C230-1966)</f>
        <v>149.2792</v>
      </c>
      <c r="U230" s="4" cm="1">
        <f t="array" ref="U230">INDEX(GMW!$A$2:$NF$150,MATCH(1,(GMW!$NE$2:$NE$150=U$3)*(GMW!$ND$2:$ND$150=U$4)*(GMW!$NF$2:$NF$150=U$1),0),$C230-1966)</f>
        <v>205705.60000000001</v>
      </c>
      <c r="V230" s="4" cm="1">
        <f t="array" ref="V230">INDEX(GMW!$A$2:$NF$150,MATCH(1,(GMW!$NE$2:$NE$150=V$3)*(GMW!$ND$2:$ND$150=V$4)*(GMW!$NF$2:$NF$150=V$1),0),$C230-1966)</f>
        <v>77599.070000000007</v>
      </c>
      <c r="W230" s="4" cm="1">
        <f t="array" ref="W230">INDEX(GMW!$A$2:$NF$150,MATCH(1,(GMW!$NE$2:$NE$150=W$3)*(GMW!$ND$2:$ND$150=W$4)*(GMW!$NF$2:$NF$150=W$1),0),$C230-1966)</f>
        <v>226706.7</v>
      </c>
      <c r="X230" s="4" cm="1">
        <f t="array" ref="X230">INDEX(GMW!$A$2:$NF$150,MATCH(1,(GMW!$NE$2:$NE$150=X$3)*(GMW!$ND$2:$ND$150=X$4)*(GMW!$NF$2:$NF$150=X$1),0),$C230-1966)</f>
        <v>122041.60000000001</v>
      </c>
      <c r="Y230" s="4" cm="1">
        <f t="array" ref="Y230">INDEX(GMW!$A$2:$NF$150,MATCH(1,(GMW!$NE$2:$NE$150=Y$3)*(GMW!$ND$2:$ND$150=Y$4)*(GMW!$NF$2:$NF$150=Y$1),0),$C230-1966)</f>
        <v>124550.39999999999</v>
      </c>
      <c r="Z230" s="4" cm="1">
        <f t="array" ref="Z230">INDEX(GMW!$A$2:$NF$150,MATCH(1,(GMW!$NE$2:$NE$150=Z$3)*(GMW!$ND$2:$ND$150=Z$4)*(GMW!$NF$2:$NF$150=Z$1),0),$C230-1966)</f>
        <v>69380.33</v>
      </c>
      <c r="AA230" s="4" cm="1">
        <f t="array" ref="AA230">INDEX(GMW!$A$2:$NF$150,MATCH(1,(GMW!$NE$2:$NE$150=AA$3)*(GMW!$ND$2:$ND$150=AA$4)*(GMW!$NF$2:$NF$150=AA$1),0),$C230-1966)</f>
        <v>685382.8</v>
      </c>
      <c r="AB230" s="4" cm="1">
        <f t="array" ref="AB230">INDEX(GMW!$A$2:$NF$150,MATCH(1,(GMW!$NE$2:$NE$150=AB$3)*(GMW!$ND$2:$ND$150=AB$4)*(GMW!$NF$2:$NF$150=AB$1),0),$C230-1966)</f>
        <v>35272.410000000003</v>
      </c>
      <c r="AC230" s="4" cm="1">
        <f t="array" ref="AC230">INDEX(GMW!$A$2:$NF$150,MATCH(1,(GMW!$NE$2:$NE$150=AC$3)*(GMW!$ND$2:$ND$150=AC$4)*(GMW!$NF$2:$NF$150=AC$1),0),$C230-1966)</f>
        <v>31.998329999999999</v>
      </c>
      <c r="AD230" s="4" cm="1">
        <f t="array" ref="AD230">INDEX(GMW!$A$2:$NF$150,MATCH(1,(GMW!$NE$2:$NE$150=AD$3)*(GMW!$ND$2:$ND$150=AD$4)*(GMW!$NF$2:$NF$150=AD$1),0),$C230-1966)</f>
        <v>645680.69999999995</v>
      </c>
      <c r="AE230" s="4" cm="1">
        <f t="array" ref="AE230">INDEX(GMW!$A$2:$NF$150,MATCH(1,(GMW!$NE$2:$NE$150=AE$3)*(GMW!$ND$2:$ND$150=AE$4)*(GMW!$NF$2:$NF$150=AE$1),0),$C230-1966)</f>
        <v>45540.07</v>
      </c>
      <c r="AF230" s="4" cm="1">
        <f t="array" ref="AF230">INDEX(GMW!$A$2:$NF$150,MATCH(1,(GMW!$NE$2:$NE$150=AF$3)*(GMW!$ND$2:$ND$150=AF$4)*(GMW!$NF$2:$NF$150=AF$1),0),$C230-1966)</f>
        <v>3538471</v>
      </c>
      <c r="AG230" s="4" cm="1">
        <f t="array" ref="AG230">INDEX(GMW!$A$2:$NF$150,MATCH(1,(GMW!$NE$2:$NE$150=AG$3)*(GMW!$ND$2:$ND$150=AG$4)*(GMW!$NF$2:$NF$150=AG$1),0),$C230-1966)</f>
        <v>-1.6929110000000001</v>
      </c>
      <c r="AH230" s="4" cm="1">
        <f t="array" ref="AH230">INDEX(GMW!$A$2:$NF$150,MATCH(1,(GMW!$NE$2:$NE$150=AH$3)*(GMW!$ND$2:$ND$150=AH$4)*(GMW!$NF$2:$NF$150=AH$1),0),$C230-1966)</f>
        <v>684207.7</v>
      </c>
      <c r="AI230" s="4" cm="1">
        <f t="array" ref="AI230">INDEX(GMW!$A$2:$NF$150,MATCH(1,(GMW!$NE$2:$NE$150=AI$3)*(GMW!$ND$2:$ND$150=AI$4)*(GMW!$NF$2:$NF$150=AI$1),0),$C230-1966)</f>
        <v>148.1788</v>
      </c>
      <c r="AJ230" s="4" cm="1">
        <f t="array" ref="AJ230">INDEX(GMW!$A$2:$NF$150,MATCH(1,(GMW!$NE$2:$NE$150=AJ$3)*(GMW!$ND$2:$ND$150=AJ$4)*(GMW!$NF$2:$NF$150=AJ$1),0),$C230-1966)</f>
        <v>210895.9</v>
      </c>
      <c r="AK230" s="4" cm="1">
        <f t="array" ref="AK230">INDEX(GMW!$A$2:$NF$150,MATCH(1,(GMW!$NE$2:$NE$150=AK$3)*(GMW!$ND$2:$ND$150=AK$4)*(GMW!$NF$2:$NF$150=AK$1),0),$C230-1966)</f>
        <v>80044.55</v>
      </c>
      <c r="AL230" s="4" cm="1">
        <f t="array" ref="AL230">INDEX(GMW!$A$2:$NF$150,MATCH(1,(GMW!$NE$2:$NE$150=AL$3)*(GMW!$ND$2:$ND$150=AL$4)*(GMW!$NF$2:$NF$150=AL$1),0),$C230-1966)</f>
        <v>230946.5</v>
      </c>
      <c r="AM230" s="4" cm="1">
        <f t="array" ref="AM230">INDEX(GMW!$A$2:$NF$150,MATCH(1,(GMW!$NE$2:$NE$150=AM$3)*(GMW!$ND$2:$ND$150=AM$4)*(GMW!$NF$2:$NF$150=AM$1),0),$C230-1966)</f>
        <v>125177.1</v>
      </c>
      <c r="AN230" s="4" cm="1">
        <f t="array" ref="AN230">INDEX(GMW!$A$2:$NF$150,MATCH(1,(GMW!$NE$2:$NE$150=AN$3)*(GMW!$ND$2:$ND$150=AN$4)*(GMW!$NF$2:$NF$150=AN$1),0),$C230-1966)</f>
        <v>124644</v>
      </c>
      <c r="AO230" s="4" cm="1">
        <f t="array" ref="AO230">INDEX(GMW!$A$2:$NF$150,MATCH(1,(GMW!$NE$2:$NE$150=AO$3)*(GMW!$ND$2:$ND$150=AO$4)*(GMW!$NF$2:$NF$150=AO$1),0),$C230-1966)</f>
        <v>70402.3</v>
      </c>
      <c r="AP230" s="4" cm="1">
        <f t="array" ref="AP230">INDEX(GMW!$A$2:$NF$150,MATCH(1,(GMW!$NE$2:$NE$150=AP$3)*(GMW!$ND$2:$ND$150=AP$4)*(GMW!$NF$2:$NF$150=AP$1),0),$C230-1966)</f>
        <v>685867.9</v>
      </c>
      <c r="AQ230" s="4" cm="1">
        <f t="array" ref="AQ230">INDEX(GMW!$A$2:$NF$150,MATCH(1,(GMW!$NE$2:$NE$150=AQ$3)*(GMW!$ND$2:$ND$150=AQ$4)*(GMW!$NF$2:$NF$150=AQ$1),0),$C230-1966)</f>
        <v>35191.589999999997</v>
      </c>
      <c r="AR230" s="4" cm="1">
        <f t="array" ref="AR230">INDEX(GMW!$A$2:$NF$150,MATCH(1,(GMW!$NE$2:$NE$150=AR$3)*(GMW!$ND$2:$ND$150=AR$4)*(GMW!$NF$2:$NF$150=AR$1),0),$C230-1966)</f>
        <v>31.998329999999999</v>
      </c>
      <c r="AS230" s="4" cm="1">
        <f t="array" ref="AS230">INDEX(GMW!$A$2:$NF$150,MATCH(1,(GMW!$NE$2:$NE$150=AS$3)*(GMW!$ND$2:$ND$150=AS$4)*(GMW!$NF$2:$NF$150=AS$1),0),$C230-1966)</f>
        <v>644639.5</v>
      </c>
      <c r="AT230" s="4" cm="1">
        <f t="array" ref="AT230">INDEX(GMW!$A$2:$NF$150,MATCH(1,(GMW!$NE$2:$NE$150=AT$3)*(GMW!$ND$2:$ND$150=AT$4)*(GMW!$NF$2:$NF$150=AT$1),0),$C230-1966)</f>
        <v>45466.81</v>
      </c>
      <c r="AU230" s="4" cm="1">
        <f t="array" ref="AU230">INDEX(GMW!$A$2:$NF$150,MATCH(1,(GMW!$NE$2:$NE$150=AU$3)*(GMW!$ND$2:$ND$150=AU$4)*(GMW!$NF$2:$NF$150=AU$1),0),$C230-1966)</f>
        <v>3543667</v>
      </c>
      <c r="AV230" s="4" cm="1">
        <f t="array" ref="AV230">INDEX(GMW!$A$2:$NF$150,MATCH(1,(GMW!$NE$2:$NE$150=AV$3)*(GMW!$ND$2:$ND$150=AV$4)*(GMW!$NF$2:$NF$150=AV$1),0),$C230-1966)</f>
        <v>-1.6912180000000001</v>
      </c>
    </row>
    <row r="231" spans="1:48" x14ac:dyDescent="0.25">
      <c r="A231" s="4">
        <v>2029</v>
      </c>
      <c r="B231" s="4">
        <f t="shared" si="10"/>
        <v>2029</v>
      </c>
      <c r="C231" s="4">
        <f t="shared" si="9"/>
        <v>2197</v>
      </c>
      <c r="D231" s="4" cm="1">
        <f t="array" ref="D231">INDEX(GMW!$A$2:$NF$150,MATCH(1,(GMW!$NE$2:$NE$150=D$3)*(GMW!$ND$2:$ND$150=D$4)*(GMW!$NF$2:$NF$150=D$1),0),$C231-1966)</f>
        <v>681670.2</v>
      </c>
      <c r="E231" s="4" cm="1">
        <f t="array" ref="E231">INDEX(GMW!$A$2:$NF$150,MATCH(1,(GMW!$NE$2:$NE$150=E$3)*(GMW!$ND$2:$ND$150=E$4)*(GMW!$NF$2:$NF$150=E$1),0),$C231-1966)</f>
        <v>149.4111</v>
      </c>
      <c r="F231" s="4" cm="1">
        <f t="array" ref="F231">INDEX(GMW!$A$2:$NF$150,MATCH(1,(GMW!$NE$2:$NE$150=F$3)*(GMW!$ND$2:$ND$150=F$4)*(GMW!$NF$2:$NF$150=F$1),0),$C231-1966)</f>
        <v>215000.2</v>
      </c>
      <c r="G231" s="4" cm="1">
        <f t="array" ref="G231">INDEX(GMW!$A$2:$NF$150,MATCH(1,(GMW!$NE$2:$NE$150=G$3)*(GMW!$ND$2:$ND$150=G$4)*(GMW!$NF$2:$NF$150=G$1),0),$C231-1966)</f>
        <v>74028.55</v>
      </c>
      <c r="H231" s="4" cm="1">
        <f t="array" ref="H231">INDEX(GMW!$A$2:$NF$150,MATCH(1,(GMW!$NE$2:$NE$150=H$3)*(GMW!$ND$2:$ND$150=H$4)*(GMW!$NF$2:$NF$150=H$1),0),$C231-1966)</f>
        <v>234918</v>
      </c>
      <c r="I231" s="4" cm="1">
        <f t="array" ref="I231">INDEX(GMW!$A$2:$NF$150,MATCH(1,(GMW!$NE$2:$NE$150=I$3)*(GMW!$ND$2:$ND$150=I$4)*(GMW!$NF$2:$NF$150=I$1),0),$C231-1966)</f>
        <v>127641.5</v>
      </c>
      <c r="J231" s="4" cm="1">
        <f t="array" ref="J231">INDEX(GMW!$A$2:$NF$150,MATCH(1,(GMW!$NE$2:$NE$150=J$3)*(GMW!$ND$2:$ND$150=J$4)*(GMW!$NF$2:$NF$150=J$1),0),$C231-1966)</f>
        <v>122954.8</v>
      </c>
      <c r="K231" s="4" cm="1">
        <f t="array" ref="K231">INDEX(GMW!$A$2:$NF$150,MATCH(1,(GMW!$NE$2:$NE$150=K$3)*(GMW!$ND$2:$ND$150=K$4)*(GMW!$NF$2:$NF$150=K$1),0),$C231-1966)</f>
        <v>67309.3</v>
      </c>
      <c r="L231" s="4" cm="1">
        <f t="array" ref="L231">INDEX(GMW!$A$2:$NF$150,MATCH(1,(GMW!$NE$2:$NE$150=L$3)*(GMW!$ND$2:$ND$150=L$4)*(GMW!$NF$2:$NF$150=L$1),0),$C231-1966)</f>
        <v>685260.5</v>
      </c>
      <c r="M231" s="4" cm="1">
        <f t="array" ref="M231">INDEX(GMW!$A$2:$NF$150,MATCH(1,(GMW!$NE$2:$NE$150=M$3)*(GMW!$ND$2:$ND$150=M$4)*(GMW!$NF$2:$NF$150=M$1),0),$C231-1966)</f>
        <v>35396.14</v>
      </c>
      <c r="N231" s="4" cm="1">
        <f t="array" ref="N231">INDEX(GMW!$A$2:$NF$150,MATCH(1,(GMW!$NE$2:$NE$150=N$3)*(GMW!$ND$2:$ND$150=N$4)*(GMW!$NF$2:$NF$150=N$1),0),$C231-1966)</f>
        <v>31.99813</v>
      </c>
      <c r="O231" s="4" cm="1">
        <f t="array" ref="O231">INDEX(GMW!$A$2:$NF$150,MATCH(1,(GMW!$NE$2:$NE$150=O$3)*(GMW!$ND$2:$ND$150=O$4)*(GMW!$NF$2:$NF$150=O$1),0),$C231-1966)</f>
        <v>646802.4</v>
      </c>
      <c r="P231" s="4" cm="1">
        <f t="array" ref="P231">INDEX(GMW!$A$2:$NF$150,MATCH(1,(GMW!$NE$2:$NE$150=P$3)*(GMW!$ND$2:$ND$150=P$4)*(GMW!$NF$2:$NF$150=P$1),0),$C231-1966)</f>
        <v>45556.13</v>
      </c>
      <c r="Q231" s="4" cm="1">
        <f t="array" ref="Q231">INDEX(GMW!$A$2:$NF$150,MATCH(1,(GMW!$NE$2:$NE$150=Q$3)*(GMW!$ND$2:$ND$150=Q$4)*(GMW!$NF$2:$NF$150=Q$1),0),$C231-1966)</f>
        <v>3536073</v>
      </c>
      <c r="R231" s="4" cm="1">
        <f t="array" ref="R231">INDEX(GMW!$A$2:$NF$150,MATCH(1,(GMW!$NE$2:$NE$150=R$3)*(GMW!$ND$2:$ND$150=R$4)*(GMW!$NF$2:$NF$150=R$1),0),$C231-1966)</f>
        <v>-1.6957059999999999</v>
      </c>
      <c r="S231" s="4" cm="1">
        <f t="array" ref="S231">INDEX(GMW!$A$2:$NF$150,MATCH(1,(GMW!$NE$2:$NE$150=S$3)*(GMW!$ND$2:$ND$150=S$4)*(GMW!$NF$2:$NF$150=S$1),0),$C231-1966)</f>
        <v>685989.4</v>
      </c>
      <c r="T231" s="4" cm="1">
        <f t="array" ref="T231">INDEX(GMW!$A$2:$NF$150,MATCH(1,(GMW!$NE$2:$NE$150=T$3)*(GMW!$ND$2:$ND$150=T$4)*(GMW!$NF$2:$NF$150=T$1),0),$C231-1966)</f>
        <v>149.5855</v>
      </c>
      <c r="U231" s="4" cm="1">
        <f t="array" ref="U231">INDEX(GMW!$A$2:$NF$150,MATCH(1,(GMW!$NE$2:$NE$150=U$3)*(GMW!$ND$2:$ND$150=U$4)*(GMW!$NF$2:$NF$150=U$1),0),$C231-1966)</f>
        <v>206390.1</v>
      </c>
      <c r="V231" s="4" cm="1">
        <f t="array" ref="V231">INDEX(GMW!$A$2:$NF$150,MATCH(1,(GMW!$NE$2:$NE$150=V$3)*(GMW!$ND$2:$ND$150=V$4)*(GMW!$NF$2:$NF$150=V$1),0),$C231-1966)</f>
        <v>77793.09</v>
      </c>
      <c r="W231" s="4" cm="1">
        <f t="array" ref="W231">INDEX(GMW!$A$2:$NF$150,MATCH(1,(GMW!$NE$2:$NE$150=W$3)*(GMW!$ND$2:$ND$150=W$4)*(GMW!$NF$2:$NF$150=W$1),0),$C231-1966)</f>
        <v>227473.7</v>
      </c>
      <c r="X231" s="4" cm="1">
        <f t="array" ref="X231">INDEX(GMW!$A$2:$NF$150,MATCH(1,(GMW!$NE$2:$NE$150=X$3)*(GMW!$ND$2:$ND$150=X$4)*(GMW!$NF$2:$NF$150=X$1),0),$C231-1966)</f>
        <v>122401.4</v>
      </c>
      <c r="Y231" s="4" cm="1">
        <f t="array" ref="Y231">INDEX(GMW!$A$2:$NF$150,MATCH(1,(GMW!$NE$2:$NE$150=Y$3)*(GMW!$ND$2:$ND$150=Y$4)*(GMW!$NF$2:$NF$150=Y$1),0),$C231-1966)</f>
        <v>125095.4</v>
      </c>
      <c r="Z231" s="4" cm="1">
        <f t="array" ref="Z231">INDEX(GMW!$A$2:$NF$150,MATCH(1,(GMW!$NE$2:$NE$150=Z$3)*(GMW!$ND$2:$ND$150=Z$4)*(GMW!$NF$2:$NF$150=Z$1),0),$C231-1966)</f>
        <v>69810.48</v>
      </c>
      <c r="AA231" s="4" cm="1">
        <f t="array" ref="AA231">INDEX(GMW!$A$2:$NF$150,MATCH(1,(GMW!$NE$2:$NE$150=AA$3)*(GMW!$ND$2:$ND$150=AA$4)*(GMW!$NF$2:$NF$150=AA$1),0),$C231-1966)</f>
        <v>687829.1</v>
      </c>
      <c r="AB231" s="4" cm="1">
        <f t="array" ref="AB231">INDEX(GMW!$A$2:$NF$150,MATCH(1,(GMW!$NE$2:$NE$150=AB$3)*(GMW!$ND$2:$ND$150=AB$4)*(GMW!$NF$2:$NF$150=AB$1),0),$C231-1966)</f>
        <v>35350</v>
      </c>
      <c r="AC231" s="4" cm="1">
        <f t="array" ref="AC231">INDEX(GMW!$A$2:$NF$150,MATCH(1,(GMW!$NE$2:$NE$150=AC$3)*(GMW!$ND$2:$ND$150=AC$4)*(GMW!$NF$2:$NF$150=AC$1),0),$C231-1966)</f>
        <v>31.99813</v>
      </c>
      <c r="AD231" s="4" cm="1">
        <f t="array" ref="AD231">INDEX(GMW!$A$2:$NF$150,MATCH(1,(GMW!$NE$2:$NE$150=AD$3)*(GMW!$ND$2:$ND$150=AD$4)*(GMW!$NF$2:$NF$150=AD$1),0),$C231-1966)</f>
        <v>646802.4</v>
      </c>
      <c r="AE231" s="4" cm="1">
        <f t="array" ref="AE231">INDEX(GMW!$A$2:$NF$150,MATCH(1,(GMW!$NE$2:$NE$150=AE$3)*(GMW!$ND$2:$ND$150=AE$4)*(GMW!$NF$2:$NF$150=AE$1),0),$C231-1966)</f>
        <v>45556.13</v>
      </c>
      <c r="AF231" s="4" cm="1">
        <f t="array" ref="AF231">INDEX(GMW!$A$2:$NF$150,MATCH(1,(GMW!$NE$2:$NE$150=AF$3)*(GMW!$ND$2:$ND$150=AF$4)*(GMW!$NF$2:$NF$150=AF$1),0),$C231-1966)</f>
        <v>3552109</v>
      </c>
      <c r="AG231" s="4" cm="1">
        <f t="array" ref="AG231">INDEX(GMW!$A$2:$NF$150,MATCH(1,(GMW!$NE$2:$NE$150=AG$3)*(GMW!$ND$2:$ND$150=AG$4)*(GMW!$NF$2:$NF$150=AG$1),0),$C231-1966)</f>
        <v>-1.6925300000000001</v>
      </c>
      <c r="AH231" s="4" cm="1">
        <f t="array" ref="AH231">INDEX(GMW!$A$2:$NF$150,MATCH(1,(GMW!$NE$2:$NE$150=AH$3)*(GMW!$ND$2:$ND$150=AH$4)*(GMW!$NF$2:$NF$150=AH$1),0),$C231-1966)</f>
        <v>686978.8</v>
      </c>
      <c r="AI231" s="4" cm="1">
        <f t="array" ref="AI231">INDEX(GMW!$A$2:$NF$150,MATCH(1,(GMW!$NE$2:$NE$150=AI$3)*(GMW!$ND$2:$ND$150=AI$4)*(GMW!$NF$2:$NF$150=AI$1),0),$C231-1966)</f>
        <v>148.4725</v>
      </c>
      <c r="AJ231" s="4" cm="1">
        <f t="array" ref="AJ231">INDEX(GMW!$A$2:$NF$150,MATCH(1,(GMW!$NE$2:$NE$150=AJ$3)*(GMW!$ND$2:$ND$150=AJ$4)*(GMW!$NF$2:$NF$150=AJ$1),0),$C231-1966)</f>
        <v>211584.3</v>
      </c>
      <c r="AK231" s="4" cm="1">
        <f t="array" ref="AK231">INDEX(GMW!$A$2:$NF$150,MATCH(1,(GMW!$NE$2:$NE$150=AK$3)*(GMW!$ND$2:$ND$150=AK$4)*(GMW!$NF$2:$NF$150=AK$1),0),$C231-1966)</f>
        <v>80244.66</v>
      </c>
      <c r="AL231" s="4" cm="1">
        <f t="array" ref="AL231">INDEX(GMW!$A$2:$NF$150,MATCH(1,(GMW!$NE$2:$NE$150=AL$3)*(GMW!$ND$2:$ND$150=AL$4)*(GMW!$NF$2:$NF$150=AL$1),0),$C231-1966)</f>
        <v>231722.1</v>
      </c>
      <c r="AM231" s="4" cm="1">
        <f t="array" ref="AM231">INDEX(GMW!$A$2:$NF$150,MATCH(1,(GMW!$NE$2:$NE$150=AM$3)*(GMW!$ND$2:$ND$150=AM$4)*(GMW!$NF$2:$NF$150=AM$1),0),$C231-1966)</f>
        <v>125546.2</v>
      </c>
      <c r="AN231" s="4" cm="1">
        <f t="array" ref="AN231">INDEX(GMW!$A$2:$NF$150,MATCH(1,(GMW!$NE$2:$NE$150=AN$3)*(GMW!$ND$2:$ND$150=AN$4)*(GMW!$NF$2:$NF$150=AN$1),0),$C231-1966)</f>
        <v>125183.1</v>
      </c>
      <c r="AO231" s="4" cm="1">
        <f t="array" ref="AO231">INDEX(GMW!$A$2:$NF$150,MATCH(1,(GMW!$NE$2:$NE$150=AO$3)*(GMW!$ND$2:$ND$150=AO$4)*(GMW!$NF$2:$NF$150=AO$1),0),$C231-1966)</f>
        <v>70824.710000000006</v>
      </c>
      <c r="AP231" s="4" cm="1">
        <f t="array" ref="AP231">INDEX(GMW!$A$2:$NF$150,MATCH(1,(GMW!$NE$2:$NE$150=AP$3)*(GMW!$ND$2:$ND$150=AP$4)*(GMW!$NF$2:$NF$150=AP$1),0),$C231-1966)</f>
        <v>688416.4</v>
      </c>
      <c r="AQ231" s="4" cm="1">
        <f t="array" ref="AQ231">INDEX(GMW!$A$2:$NF$150,MATCH(1,(GMW!$NE$2:$NE$150=AQ$3)*(GMW!$ND$2:$ND$150=AQ$4)*(GMW!$NF$2:$NF$150=AQ$1),0),$C231-1966)</f>
        <v>35274.300000000003</v>
      </c>
      <c r="AR231" s="4" cm="1">
        <f t="array" ref="AR231">INDEX(GMW!$A$2:$NF$150,MATCH(1,(GMW!$NE$2:$NE$150=AR$3)*(GMW!$ND$2:$ND$150=AR$4)*(GMW!$NF$2:$NF$150=AR$1),0),$C231-1966)</f>
        <v>31.99813</v>
      </c>
      <c r="AS231" s="4" cm="1">
        <f t="array" ref="AS231">INDEX(GMW!$A$2:$NF$150,MATCH(1,(GMW!$NE$2:$NE$150=AS$3)*(GMW!$ND$2:$ND$150=AS$4)*(GMW!$NF$2:$NF$150=AS$1),0),$C231-1966)</f>
        <v>645698</v>
      </c>
      <c r="AT231" s="4" cm="1">
        <f t="array" ref="AT231">INDEX(GMW!$A$2:$NF$150,MATCH(1,(GMW!$NE$2:$NE$150=AT$3)*(GMW!$ND$2:$ND$150=AT$4)*(GMW!$NF$2:$NF$150=AT$1),0),$C231-1966)</f>
        <v>45478.43</v>
      </c>
      <c r="AU231" s="4" cm="1">
        <f t="array" ref="AU231">INDEX(GMW!$A$2:$NF$150,MATCH(1,(GMW!$NE$2:$NE$150=AU$3)*(GMW!$ND$2:$ND$150=AU$4)*(GMW!$NF$2:$NF$150=AU$1),0),$C231-1966)</f>
        <v>3557376</v>
      </c>
      <c r="AV231" s="4" cm="1">
        <f t="array" ref="AV231">INDEX(GMW!$A$2:$NF$150,MATCH(1,(GMW!$NE$2:$NE$150=AV$3)*(GMW!$ND$2:$ND$150=AV$4)*(GMW!$NF$2:$NF$150=AV$1),0),$C231-1966)</f>
        <v>-1.690796</v>
      </c>
    </row>
    <row r="232" spans="1:48" x14ac:dyDescent="0.25">
      <c r="B232" s="4">
        <f t="shared" si="10"/>
        <v>2029</v>
      </c>
      <c r="C232" s="4">
        <f t="shared" si="9"/>
        <v>2198</v>
      </c>
      <c r="D232" s="4" cm="1">
        <f t="array" ref="D232">INDEX(GMW!$A$2:$NF$150,MATCH(1,(GMW!$NE$2:$NE$150=D$3)*(GMW!$ND$2:$ND$150=D$4)*(GMW!$NF$2:$NF$150=D$1),0),$C232-1966)</f>
        <v>684499.1</v>
      </c>
      <c r="E232" s="4" cm="1">
        <f t="array" ref="E232">INDEX(GMW!$A$2:$NF$150,MATCH(1,(GMW!$NE$2:$NE$150=E$3)*(GMW!$ND$2:$ND$150=E$4)*(GMW!$NF$2:$NF$150=E$1),0),$C232-1966)</f>
        <v>150.77340000000001</v>
      </c>
      <c r="F232" s="4" cm="1">
        <f t="array" ref="F232">INDEX(GMW!$A$2:$NF$150,MATCH(1,(GMW!$NE$2:$NE$150=F$3)*(GMW!$ND$2:$ND$150=F$4)*(GMW!$NF$2:$NF$150=F$1),0),$C232-1966)</f>
        <v>215777</v>
      </c>
      <c r="G232" s="4" cm="1">
        <f t="array" ref="G232">INDEX(GMW!$A$2:$NF$150,MATCH(1,(GMW!$NE$2:$NE$150=G$3)*(GMW!$ND$2:$ND$150=G$4)*(GMW!$NF$2:$NF$150=G$1),0),$C232-1966)</f>
        <v>74213.600000000006</v>
      </c>
      <c r="H232" s="4" cm="1">
        <f t="array" ref="H232">INDEX(GMW!$A$2:$NF$150,MATCH(1,(GMW!$NE$2:$NE$150=H$3)*(GMW!$ND$2:$ND$150=H$4)*(GMW!$NF$2:$NF$150=H$1),0),$C232-1966)</f>
        <v>235748.7</v>
      </c>
      <c r="I232" s="4" cm="1">
        <f t="array" ref="I232">INDEX(GMW!$A$2:$NF$150,MATCH(1,(GMW!$NE$2:$NE$150=I$3)*(GMW!$ND$2:$ND$150=I$4)*(GMW!$NF$2:$NF$150=I$1),0),$C232-1966)</f>
        <v>128017.9</v>
      </c>
      <c r="J232" s="4" cm="1">
        <f t="array" ref="J232">INDEX(GMW!$A$2:$NF$150,MATCH(1,(GMW!$NE$2:$NE$150=J$3)*(GMW!$ND$2:$ND$150=J$4)*(GMW!$NF$2:$NF$150=J$1),0),$C232-1966)</f>
        <v>123547.1</v>
      </c>
      <c r="K232" s="4" cm="1">
        <f t="array" ref="K232">INDEX(GMW!$A$2:$NF$150,MATCH(1,(GMW!$NE$2:$NE$150=K$3)*(GMW!$ND$2:$ND$150=K$4)*(GMW!$NF$2:$NF$150=K$1),0),$C232-1966)</f>
        <v>67767.02</v>
      </c>
      <c r="L232" s="4" cm="1">
        <f t="array" ref="L232">INDEX(GMW!$A$2:$NF$150,MATCH(1,(GMW!$NE$2:$NE$150=L$3)*(GMW!$ND$2:$ND$150=L$4)*(GMW!$NF$2:$NF$150=L$1),0),$C232-1966)</f>
        <v>687617.9</v>
      </c>
      <c r="M232" s="4" cm="1">
        <f t="array" ref="M232">INDEX(GMW!$A$2:$NF$150,MATCH(1,(GMW!$NE$2:$NE$150=M$3)*(GMW!$ND$2:$ND$150=M$4)*(GMW!$NF$2:$NF$150=M$1),0),$C232-1966)</f>
        <v>35474</v>
      </c>
      <c r="N232" s="4" cm="1">
        <f t="array" ref="N232">INDEX(GMW!$A$2:$NF$150,MATCH(1,(GMW!$NE$2:$NE$150=N$3)*(GMW!$ND$2:$ND$150=N$4)*(GMW!$NF$2:$NF$150=N$1),0),$C232-1966)</f>
        <v>31.997920000000001</v>
      </c>
      <c r="O232" s="4" cm="1">
        <f t="array" ref="O232">INDEX(GMW!$A$2:$NF$150,MATCH(1,(GMW!$NE$2:$NE$150=O$3)*(GMW!$ND$2:$ND$150=O$4)*(GMW!$NF$2:$NF$150=O$1),0),$C232-1966)</f>
        <v>647918</v>
      </c>
      <c r="P232" s="4" cm="1">
        <f t="array" ref="P232">INDEX(GMW!$A$2:$NF$150,MATCH(1,(GMW!$NE$2:$NE$150=P$3)*(GMW!$ND$2:$ND$150=P$4)*(GMW!$NF$2:$NF$150=P$1),0),$C232-1966)</f>
        <v>45572.19</v>
      </c>
      <c r="Q232" s="4" cm="1">
        <f t="array" ref="Q232">INDEX(GMW!$A$2:$NF$150,MATCH(1,(GMW!$NE$2:$NE$150=Q$3)*(GMW!$ND$2:$ND$150=Q$4)*(GMW!$NF$2:$NF$150=Q$1),0),$C232-1966)</f>
        <v>3548084</v>
      </c>
      <c r="R232" s="4" cm="1">
        <f t="array" ref="R232">INDEX(GMW!$A$2:$NF$150,MATCH(1,(GMW!$NE$2:$NE$150=R$3)*(GMW!$ND$2:$ND$150=R$4)*(GMW!$NF$2:$NF$150=R$1),0),$C232-1966)</f>
        <v>-1.695282</v>
      </c>
      <c r="S232" s="4" cm="1">
        <f t="array" ref="S232">INDEX(GMW!$A$2:$NF$150,MATCH(1,(GMW!$NE$2:$NE$150=S$3)*(GMW!$ND$2:$ND$150=S$4)*(GMW!$NF$2:$NF$150=S$1),0),$C232-1966)</f>
        <v>688699.1</v>
      </c>
      <c r="T232" s="4" cm="1">
        <f t="array" ref="T232">INDEX(GMW!$A$2:$NF$150,MATCH(1,(GMW!$NE$2:$NE$150=T$3)*(GMW!$ND$2:$ND$150=T$4)*(GMW!$NF$2:$NF$150=T$1),0),$C232-1966)</f>
        <v>150.9323</v>
      </c>
      <c r="U232" s="4" cm="1">
        <f t="array" ref="U232">INDEX(GMW!$A$2:$NF$150,MATCH(1,(GMW!$NE$2:$NE$150=U$3)*(GMW!$ND$2:$ND$150=U$4)*(GMW!$NF$2:$NF$150=U$1),0),$C232-1966)</f>
        <v>207077.7</v>
      </c>
      <c r="V232" s="4" cm="1">
        <f t="array" ref="V232">INDEX(GMW!$A$2:$NF$150,MATCH(1,(GMW!$NE$2:$NE$150=V$3)*(GMW!$ND$2:$ND$150=V$4)*(GMW!$NF$2:$NF$150=V$1),0),$C232-1966)</f>
        <v>77987.55</v>
      </c>
      <c r="W232" s="4" cm="1">
        <f t="array" ref="W232">INDEX(GMW!$A$2:$NF$150,MATCH(1,(GMW!$NE$2:$NE$150=W$3)*(GMW!$ND$2:$ND$150=W$4)*(GMW!$NF$2:$NF$150=W$1),0),$C232-1966)</f>
        <v>228262.9</v>
      </c>
      <c r="X232" s="4" cm="1">
        <f t="array" ref="X232">INDEX(GMW!$A$2:$NF$150,MATCH(1,(GMW!$NE$2:$NE$150=X$3)*(GMW!$ND$2:$ND$150=X$4)*(GMW!$NF$2:$NF$150=X$1),0),$C232-1966)</f>
        <v>122762.3</v>
      </c>
      <c r="Y232" s="4" cm="1">
        <f t="array" ref="Y232">INDEX(GMW!$A$2:$NF$150,MATCH(1,(GMW!$NE$2:$NE$150=Y$3)*(GMW!$ND$2:$ND$150=Y$4)*(GMW!$NF$2:$NF$150=Y$1),0),$C232-1966)</f>
        <v>125616.2</v>
      </c>
      <c r="Z232" s="4" cm="1">
        <f t="array" ref="Z232">INDEX(GMW!$A$2:$NF$150,MATCH(1,(GMW!$NE$2:$NE$150=Z$3)*(GMW!$ND$2:$ND$150=Z$4)*(GMW!$NF$2:$NF$150=Z$1),0),$C232-1966)</f>
        <v>70236.34</v>
      </c>
      <c r="AA232" s="4" cm="1">
        <f t="array" ref="AA232">INDEX(GMW!$A$2:$NF$150,MATCH(1,(GMW!$NE$2:$NE$150=AA$3)*(GMW!$ND$2:$ND$150=AA$4)*(GMW!$NF$2:$NF$150=AA$1),0),$C232-1966)</f>
        <v>690238.7</v>
      </c>
      <c r="AB232" s="4" cm="1">
        <f t="array" ref="AB232">INDEX(GMW!$A$2:$NF$150,MATCH(1,(GMW!$NE$2:$NE$150=AB$3)*(GMW!$ND$2:$ND$150=AB$4)*(GMW!$NF$2:$NF$150=AB$1),0),$C232-1966)</f>
        <v>35424.239999999998</v>
      </c>
      <c r="AC232" s="4" cm="1">
        <f t="array" ref="AC232">INDEX(GMW!$A$2:$NF$150,MATCH(1,(GMW!$NE$2:$NE$150=AC$3)*(GMW!$ND$2:$ND$150=AC$4)*(GMW!$NF$2:$NF$150=AC$1),0),$C232-1966)</f>
        <v>31.997920000000001</v>
      </c>
      <c r="AD232" s="4" cm="1">
        <f t="array" ref="AD232">INDEX(GMW!$A$2:$NF$150,MATCH(1,(GMW!$NE$2:$NE$150=AD$3)*(GMW!$ND$2:$ND$150=AD$4)*(GMW!$NF$2:$NF$150=AD$1),0),$C232-1966)</f>
        <v>647918</v>
      </c>
      <c r="AE232" s="4" cm="1">
        <f t="array" ref="AE232">INDEX(GMW!$A$2:$NF$150,MATCH(1,(GMW!$NE$2:$NE$150=AE$3)*(GMW!$ND$2:$ND$150=AE$4)*(GMW!$NF$2:$NF$150=AE$1),0),$C232-1966)</f>
        <v>45572.19</v>
      </c>
      <c r="AF232" s="4" cm="1">
        <f t="array" ref="AF232">INDEX(GMW!$A$2:$NF$150,MATCH(1,(GMW!$NE$2:$NE$150=AF$3)*(GMW!$ND$2:$ND$150=AF$4)*(GMW!$NF$2:$NF$150=AF$1),0),$C232-1966)</f>
        <v>3565834</v>
      </c>
      <c r="AG232" s="4" cm="1">
        <f t="array" ref="AG232">INDEX(GMW!$A$2:$NF$150,MATCH(1,(GMW!$NE$2:$NE$150=AG$3)*(GMW!$ND$2:$ND$150=AG$4)*(GMW!$NF$2:$NF$150=AG$1),0),$C232-1966)</f>
        <v>-1.6921489999999999</v>
      </c>
      <c r="AH232" s="4" cm="1">
        <f t="array" ref="AH232">INDEX(GMW!$A$2:$NF$150,MATCH(1,(GMW!$NE$2:$NE$150=AH$3)*(GMW!$ND$2:$ND$150=AH$4)*(GMW!$NF$2:$NF$150=AH$1),0),$C232-1966)</f>
        <v>689692.3</v>
      </c>
      <c r="AI232" s="4" cm="1">
        <f t="array" ref="AI232">INDEX(GMW!$A$2:$NF$150,MATCH(1,(GMW!$NE$2:$NE$150=AI$3)*(GMW!$ND$2:$ND$150=AI$4)*(GMW!$NF$2:$NF$150=AI$1),0),$C232-1966)</f>
        <v>149.76779999999999</v>
      </c>
      <c r="AJ232" s="4" cm="1">
        <f t="array" ref="AJ232">INDEX(GMW!$A$2:$NF$150,MATCH(1,(GMW!$NE$2:$NE$150=AJ$3)*(GMW!$ND$2:$ND$150=AJ$4)*(GMW!$NF$2:$NF$150=AJ$1),0),$C232-1966)</f>
        <v>212275.8</v>
      </c>
      <c r="AK232" s="4" cm="1">
        <f t="array" ref="AK232">INDEX(GMW!$A$2:$NF$150,MATCH(1,(GMW!$NE$2:$NE$150=AK$3)*(GMW!$ND$2:$ND$150=AK$4)*(GMW!$NF$2:$NF$150=AK$1),0),$C232-1966)</f>
        <v>80445.259999999995</v>
      </c>
      <c r="AL232" s="4" cm="1">
        <f t="array" ref="AL232">INDEX(GMW!$A$2:$NF$150,MATCH(1,(GMW!$NE$2:$NE$150=AL$3)*(GMW!$ND$2:$ND$150=AL$4)*(GMW!$NF$2:$NF$150=AL$1),0),$C232-1966)</f>
        <v>232519.6</v>
      </c>
      <c r="AM232" s="4" cm="1">
        <f t="array" ref="AM232">INDEX(GMW!$A$2:$NF$150,MATCH(1,(GMW!$NE$2:$NE$150=AM$3)*(GMW!$ND$2:$ND$150=AM$4)*(GMW!$NF$2:$NF$150=AM$1),0),$C232-1966)</f>
        <v>125916.3</v>
      </c>
      <c r="AN232" s="4" cm="1">
        <f t="array" ref="AN232">INDEX(GMW!$A$2:$NF$150,MATCH(1,(GMW!$NE$2:$NE$150=AN$3)*(GMW!$ND$2:$ND$150=AN$4)*(GMW!$NF$2:$NF$150=AN$1),0),$C232-1966)</f>
        <v>125704.7</v>
      </c>
      <c r="AO232" s="4" cm="1">
        <f t="array" ref="AO232">INDEX(GMW!$A$2:$NF$150,MATCH(1,(GMW!$NE$2:$NE$150=AO$3)*(GMW!$ND$2:$ND$150=AO$4)*(GMW!$NF$2:$NF$150=AO$1),0),$C232-1966)</f>
        <v>71249.66</v>
      </c>
      <c r="AP232" s="4" cm="1">
        <f t="array" ref="AP232">INDEX(GMW!$A$2:$NF$150,MATCH(1,(GMW!$NE$2:$NE$150=AP$3)*(GMW!$ND$2:$ND$150=AP$4)*(GMW!$NF$2:$NF$150=AP$1),0),$C232-1966)</f>
        <v>690928.3</v>
      </c>
      <c r="AQ232" s="4" cm="1">
        <f t="array" ref="AQ232">INDEX(GMW!$A$2:$NF$150,MATCH(1,(GMW!$NE$2:$NE$150=AQ$3)*(GMW!$ND$2:$ND$150=AQ$4)*(GMW!$NF$2:$NF$150=AQ$1),0),$C232-1966)</f>
        <v>35353.660000000003</v>
      </c>
      <c r="AR232" s="4" cm="1">
        <f t="array" ref="AR232">INDEX(GMW!$A$2:$NF$150,MATCH(1,(GMW!$NE$2:$NE$150=AR$3)*(GMW!$ND$2:$ND$150=AR$4)*(GMW!$NF$2:$NF$150=AR$1),0),$C232-1966)</f>
        <v>31.997920000000001</v>
      </c>
      <c r="AS232" s="4" cm="1">
        <f t="array" ref="AS232">INDEX(GMW!$A$2:$NF$150,MATCH(1,(GMW!$NE$2:$NE$150=AS$3)*(GMW!$ND$2:$ND$150=AS$4)*(GMW!$NF$2:$NF$150=AS$1),0),$C232-1966)</f>
        <v>646750.30000000005</v>
      </c>
      <c r="AT232" s="4" cm="1">
        <f t="array" ref="AT232">INDEX(GMW!$A$2:$NF$150,MATCH(1,(GMW!$NE$2:$NE$150=AT$3)*(GMW!$ND$2:$ND$150=AT$4)*(GMW!$NF$2:$NF$150=AT$1),0),$C232-1966)</f>
        <v>45490.04</v>
      </c>
      <c r="AU232" s="4" cm="1">
        <f t="array" ref="AU232">INDEX(GMW!$A$2:$NF$150,MATCH(1,(GMW!$NE$2:$NE$150=AU$3)*(GMW!$ND$2:$ND$150=AU$4)*(GMW!$NF$2:$NF$150=AU$1),0),$C232-1966)</f>
        <v>3571172</v>
      </c>
      <c r="AV232" s="4" cm="1">
        <f t="array" ref="AV232">INDEX(GMW!$A$2:$NF$150,MATCH(1,(GMW!$NE$2:$NE$150=AV$3)*(GMW!$ND$2:$ND$150=AV$4)*(GMW!$NF$2:$NF$150=AV$1),0),$C232-1966)</f>
        <v>-1.6903729999999999</v>
      </c>
    </row>
    <row r="233" spans="1:48" x14ac:dyDescent="0.25">
      <c r="B233" s="4">
        <f t="shared" si="10"/>
        <v>2029</v>
      </c>
      <c r="C233" s="4">
        <f t="shared" si="9"/>
        <v>2199</v>
      </c>
      <c r="D233" s="4" cm="1">
        <f t="array" ref="D233">INDEX(GMW!$A$2:$NF$150,MATCH(1,(GMW!$NE$2:$NE$150=D$3)*(GMW!$ND$2:$ND$150=D$4)*(GMW!$NF$2:$NF$150=D$1),0),$C233-1966)</f>
        <v>687305.6</v>
      </c>
      <c r="E233" s="4" cm="1">
        <f t="array" ref="E233">INDEX(GMW!$A$2:$NF$150,MATCH(1,(GMW!$NE$2:$NE$150=E$3)*(GMW!$ND$2:$ND$150=E$4)*(GMW!$NF$2:$NF$150=E$1),0),$C233-1966)</f>
        <v>151.44550000000001</v>
      </c>
      <c r="F233" s="4" cm="1">
        <f t="array" ref="F233">INDEX(GMW!$A$2:$NF$150,MATCH(1,(GMW!$NE$2:$NE$150=F$3)*(GMW!$ND$2:$ND$150=F$4)*(GMW!$NF$2:$NF$150=F$1),0),$C233-1966)</f>
        <v>216550.8</v>
      </c>
      <c r="G233" s="4" cm="1">
        <f t="array" ref="G233">INDEX(GMW!$A$2:$NF$150,MATCH(1,(GMW!$NE$2:$NE$150=G$3)*(GMW!$ND$2:$ND$150=G$4)*(GMW!$NF$2:$NF$150=G$1),0),$C233-1966)</f>
        <v>74399.149999999994</v>
      </c>
      <c r="H233" s="4" cm="1">
        <f t="array" ref="H233">INDEX(GMW!$A$2:$NF$150,MATCH(1,(GMW!$NE$2:$NE$150=H$3)*(GMW!$ND$2:$ND$150=H$4)*(GMW!$NF$2:$NF$150=H$1),0),$C233-1966)</f>
        <v>236571.2</v>
      </c>
      <c r="I233" s="4" cm="1">
        <f t="array" ref="I233">INDEX(GMW!$A$2:$NF$150,MATCH(1,(GMW!$NE$2:$NE$150=I$3)*(GMW!$ND$2:$ND$150=I$4)*(GMW!$NF$2:$NF$150=I$1),0),$C233-1966)</f>
        <v>128396</v>
      </c>
      <c r="J233" s="4" cm="1">
        <f t="array" ref="J233">INDEX(GMW!$A$2:$NF$150,MATCH(1,(GMW!$NE$2:$NE$150=J$3)*(GMW!$ND$2:$ND$150=J$4)*(GMW!$NF$2:$NF$150=J$1),0),$C233-1966)</f>
        <v>124108.4</v>
      </c>
      <c r="K233" s="4" cm="1">
        <f t="array" ref="K233">INDEX(GMW!$A$2:$NF$150,MATCH(1,(GMW!$NE$2:$NE$150=K$3)*(GMW!$ND$2:$ND$150=K$4)*(GMW!$NF$2:$NF$150=K$1),0),$C233-1966)</f>
        <v>68207.490000000005</v>
      </c>
      <c r="L233" s="4" cm="1">
        <f t="array" ref="L233">INDEX(GMW!$A$2:$NF$150,MATCH(1,(GMW!$NE$2:$NE$150=L$3)*(GMW!$ND$2:$ND$150=L$4)*(GMW!$NF$2:$NF$150=L$1),0),$C233-1966)</f>
        <v>690014.9</v>
      </c>
      <c r="M233" s="4" cm="1">
        <f t="array" ref="M233">INDEX(GMW!$A$2:$NF$150,MATCH(1,(GMW!$NE$2:$NE$150=M$3)*(GMW!$ND$2:$ND$150=M$4)*(GMW!$NF$2:$NF$150=M$1),0),$C233-1966)</f>
        <v>35549.39</v>
      </c>
      <c r="N233" s="4" cm="1">
        <f t="array" ref="N233">INDEX(GMW!$A$2:$NF$150,MATCH(1,(GMW!$NE$2:$NE$150=N$3)*(GMW!$ND$2:$ND$150=N$4)*(GMW!$NF$2:$NF$150=N$1),0),$C233-1966)</f>
        <v>31.997710000000001</v>
      </c>
      <c r="O233" s="4" cm="1">
        <f t="array" ref="O233">INDEX(GMW!$A$2:$NF$150,MATCH(1,(GMW!$NE$2:$NE$150=O$3)*(GMW!$ND$2:$ND$150=O$4)*(GMW!$NF$2:$NF$150=O$1),0),$C233-1966)</f>
        <v>648994.6</v>
      </c>
      <c r="P233" s="4" cm="1">
        <f t="array" ref="P233">INDEX(GMW!$A$2:$NF$150,MATCH(1,(GMW!$NE$2:$NE$150=P$3)*(GMW!$ND$2:$ND$150=P$4)*(GMW!$NF$2:$NF$150=P$1),0),$C233-1966)</f>
        <v>45586</v>
      </c>
      <c r="Q233" s="4" cm="1">
        <f t="array" ref="Q233">INDEX(GMW!$A$2:$NF$150,MATCH(1,(GMW!$NE$2:$NE$150=Q$3)*(GMW!$ND$2:$ND$150=Q$4)*(GMW!$NF$2:$NF$150=Q$1),0),$C233-1966)</f>
        <v>3560225</v>
      </c>
      <c r="R233" s="4" cm="1">
        <f t="array" ref="R233">INDEX(GMW!$A$2:$NF$150,MATCH(1,(GMW!$NE$2:$NE$150=R$3)*(GMW!$ND$2:$ND$150=R$4)*(GMW!$NF$2:$NF$150=R$1),0),$C233-1966)</f>
        <v>-1.6947730000000001</v>
      </c>
      <c r="S233" s="4" cm="1">
        <f t="array" ref="S233">INDEX(GMW!$A$2:$NF$150,MATCH(1,(GMW!$NE$2:$NE$150=S$3)*(GMW!$ND$2:$ND$150=S$4)*(GMW!$NF$2:$NF$150=S$1),0),$C233-1966)</f>
        <v>691316.1</v>
      </c>
      <c r="T233" s="4" cm="1">
        <f t="array" ref="T233">INDEX(GMW!$A$2:$NF$150,MATCH(1,(GMW!$NE$2:$NE$150=T$3)*(GMW!$ND$2:$ND$150=T$4)*(GMW!$NF$2:$NF$150=T$1),0),$C233-1966)</f>
        <v>151.59180000000001</v>
      </c>
      <c r="U233" s="4" cm="1">
        <f t="array" ref="U233">INDEX(GMW!$A$2:$NF$150,MATCH(1,(GMW!$NE$2:$NE$150=U$3)*(GMW!$ND$2:$ND$150=U$4)*(GMW!$NF$2:$NF$150=U$1),0),$C233-1966)</f>
        <v>207762.4</v>
      </c>
      <c r="V233" s="4" cm="1">
        <f t="array" ref="V233">INDEX(GMW!$A$2:$NF$150,MATCH(1,(GMW!$NE$2:$NE$150=V$3)*(GMW!$ND$2:$ND$150=V$4)*(GMW!$NF$2:$NF$150=V$1),0),$C233-1966)</f>
        <v>78182.53</v>
      </c>
      <c r="W233" s="4" cm="1">
        <f t="array" ref="W233">INDEX(GMW!$A$2:$NF$150,MATCH(1,(GMW!$NE$2:$NE$150=W$3)*(GMW!$ND$2:$ND$150=W$4)*(GMW!$NF$2:$NF$150=W$1),0),$C233-1966)</f>
        <v>229044.5</v>
      </c>
      <c r="X233" s="4" cm="1">
        <f t="array" ref="X233">INDEX(GMW!$A$2:$NF$150,MATCH(1,(GMW!$NE$2:$NE$150=X$3)*(GMW!$ND$2:$ND$150=X$4)*(GMW!$NF$2:$NF$150=X$1),0),$C233-1966)</f>
        <v>123124.9</v>
      </c>
      <c r="Y233" s="4" cm="1">
        <f t="array" ref="Y233">INDEX(GMW!$A$2:$NF$150,MATCH(1,(GMW!$NE$2:$NE$150=Y$3)*(GMW!$ND$2:$ND$150=Y$4)*(GMW!$NF$2:$NF$150=Y$1),0),$C233-1966)</f>
        <v>126130.7</v>
      </c>
      <c r="Z233" s="4" cm="1">
        <f t="array" ref="Z233">INDEX(GMW!$A$2:$NF$150,MATCH(1,(GMW!$NE$2:$NE$150=Z$3)*(GMW!$ND$2:$ND$150=Z$4)*(GMW!$NF$2:$NF$150=Z$1),0),$C233-1966)</f>
        <v>70657.75</v>
      </c>
      <c r="AA233" s="4" cm="1">
        <f t="array" ref="AA233">INDEX(GMW!$A$2:$NF$150,MATCH(1,(GMW!$NE$2:$NE$150=AA$3)*(GMW!$ND$2:$ND$150=AA$4)*(GMW!$NF$2:$NF$150=AA$1),0),$C233-1966)</f>
        <v>692664.1</v>
      </c>
      <c r="AB233" s="4" cm="1">
        <f t="array" ref="AB233">INDEX(GMW!$A$2:$NF$150,MATCH(1,(GMW!$NE$2:$NE$150=AB$3)*(GMW!$ND$2:$ND$150=AB$4)*(GMW!$NF$2:$NF$150=AB$1),0),$C233-1966)</f>
        <v>35496.86</v>
      </c>
      <c r="AC233" s="4" cm="1">
        <f t="array" ref="AC233">INDEX(GMW!$A$2:$NF$150,MATCH(1,(GMW!$NE$2:$NE$150=AC$3)*(GMW!$ND$2:$ND$150=AC$4)*(GMW!$NF$2:$NF$150=AC$1),0),$C233-1966)</f>
        <v>31.997710000000001</v>
      </c>
      <c r="AD233" s="4" cm="1">
        <f t="array" ref="AD233">INDEX(GMW!$A$2:$NF$150,MATCH(1,(GMW!$NE$2:$NE$150=AD$3)*(GMW!$ND$2:$ND$150=AD$4)*(GMW!$NF$2:$NF$150=AD$1),0),$C233-1966)</f>
        <v>648994.6</v>
      </c>
      <c r="AE233" s="4" cm="1">
        <f t="array" ref="AE233">INDEX(GMW!$A$2:$NF$150,MATCH(1,(GMW!$NE$2:$NE$150=AE$3)*(GMW!$ND$2:$ND$150=AE$4)*(GMW!$NF$2:$NF$150=AE$1),0),$C233-1966)</f>
        <v>45586</v>
      </c>
      <c r="AF233" s="4" cm="1">
        <f t="array" ref="AF233">INDEX(GMW!$A$2:$NF$150,MATCH(1,(GMW!$NE$2:$NE$150=AF$3)*(GMW!$ND$2:$ND$150=AF$4)*(GMW!$NF$2:$NF$150=AF$1),0),$C233-1966)</f>
        <v>3579640</v>
      </c>
      <c r="AG233" s="4" cm="1">
        <f t="array" ref="AG233">INDEX(GMW!$A$2:$NF$150,MATCH(1,(GMW!$NE$2:$NE$150=AG$3)*(GMW!$ND$2:$ND$150=AG$4)*(GMW!$NF$2:$NF$150=AG$1),0),$C233-1966)</f>
        <v>-1.6917260000000001</v>
      </c>
      <c r="AH233" s="4" cm="1">
        <f t="array" ref="AH233">INDEX(GMW!$A$2:$NF$150,MATCH(1,(GMW!$NE$2:$NE$150=AH$3)*(GMW!$ND$2:$ND$150=AH$4)*(GMW!$NF$2:$NF$150=AH$1),0),$C233-1966)</f>
        <v>692382.1</v>
      </c>
      <c r="AI233" s="4" cm="1">
        <f t="array" ref="AI233">INDEX(GMW!$A$2:$NF$150,MATCH(1,(GMW!$NE$2:$NE$150=AI$3)*(GMW!$ND$2:$ND$150=AI$4)*(GMW!$NF$2:$NF$150=AI$1),0),$C233-1966)</f>
        <v>150.43389999999999</v>
      </c>
      <c r="AJ233" s="4" cm="1">
        <f t="array" ref="AJ233">INDEX(GMW!$A$2:$NF$150,MATCH(1,(GMW!$NE$2:$NE$150=AJ$3)*(GMW!$ND$2:$ND$150=AJ$4)*(GMW!$NF$2:$NF$150=AJ$1),0),$C233-1966)</f>
        <v>212964.4</v>
      </c>
      <c r="AK233" s="4" cm="1">
        <f t="array" ref="AK233">INDEX(GMW!$A$2:$NF$150,MATCH(1,(GMW!$NE$2:$NE$150=AK$3)*(GMW!$ND$2:$ND$150=AK$4)*(GMW!$NF$2:$NF$150=AK$1),0),$C233-1966)</f>
        <v>80646.38</v>
      </c>
      <c r="AL233" s="4" cm="1">
        <f t="array" ref="AL233">INDEX(GMW!$A$2:$NF$150,MATCH(1,(GMW!$NE$2:$NE$150=AL$3)*(GMW!$ND$2:$ND$150=AL$4)*(GMW!$NF$2:$NF$150=AL$1),0),$C233-1966)</f>
        <v>233309.6</v>
      </c>
      <c r="AM233" s="4" cm="1">
        <f t="array" ref="AM233">INDEX(GMW!$A$2:$NF$150,MATCH(1,(GMW!$NE$2:$NE$150=AM$3)*(GMW!$ND$2:$ND$150=AM$4)*(GMW!$NF$2:$NF$150=AM$1),0),$C233-1966)</f>
        <v>126288.2</v>
      </c>
      <c r="AN233" s="4" cm="1">
        <f t="array" ref="AN233">INDEX(GMW!$A$2:$NF$150,MATCH(1,(GMW!$NE$2:$NE$150=AN$3)*(GMW!$ND$2:$ND$150=AN$4)*(GMW!$NF$2:$NF$150=AN$1),0),$C233-1966)</f>
        <v>126226.9</v>
      </c>
      <c r="AO233" s="4" cm="1">
        <f t="array" ref="AO233">INDEX(GMW!$A$2:$NF$150,MATCH(1,(GMW!$NE$2:$NE$150=AO$3)*(GMW!$ND$2:$ND$150=AO$4)*(GMW!$NF$2:$NF$150=AO$1),0),$C233-1966)</f>
        <v>71677.16</v>
      </c>
      <c r="AP233" s="4" cm="1">
        <f t="array" ref="AP233">INDEX(GMW!$A$2:$NF$150,MATCH(1,(GMW!$NE$2:$NE$150=AP$3)*(GMW!$ND$2:$ND$150=AP$4)*(GMW!$NF$2:$NF$150=AP$1),0),$C233-1966)</f>
        <v>693484.9</v>
      </c>
      <c r="AQ233" s="4" cm="1">
        <f t="array" ref="AQ233">INDEX(GMW!$A$2:$NF$150,MATCH(1,(GMW!$NE$2:$NE$150=AQ$3)*(GMW!$ND$2:$ND$150=AQ$4)*(GMW!$NF$2:$NF$150=AQ$1),0),$C233-1966)</f>
        <v>35431.440000000002</v>
      </c>
      <c r="AR233" s="4" cm="1">
        <f t="array" ref="AR233">INDEX(GMW!$A$2:$NF$150,MATCH(1,(GMW!$NE$2:$NE$150=AR$3)*(GMW!$ND$2:$ND$150=AR$4)*(GMW!$NF$2:$NF$150=AR$1),0),$C233-1966)</f>
        <v>31.997710000000001</v>
      </c>
      <c r="AS233" s="4" cm="1">
        <f t="array" ref="AS233">INDEX(GMW!$A$2:$NF$150,MATCH(1,(GMW!$NE$2:$NE$150=AS$3)*(GMW!$ND$2:$ND$150=AS$4)*(GMW!$NF$2:$NF$150=AS$1),0),$C233-1966)</f>
        <v>647756.9</v>
      </c>
      <c r="AT233" s="4" cm="1">
        <f t="array" ref="AT233">INDEX(GMW!$A$2:$NF$150,MATCH(1,(GMW!$NE$2:$NE$150=AT$3)*(GMW!$ND$2:$ND$150=AT$4)*(GMW!$NF$2:$NF$150=AT$1),0),$C233-1966)</f>
        <v>45498.94</v>
      </c>
      <c r="AU233" s="4" cm="1">
        <f t="array" ref="AU233">INDEX(GMW!$A$2:$NF$150,MATCH(1,(GMW!$NE$2:$NE$150=AU$3)*(GMW!$ND$2:$ND$150=AU$4)*(GMW!$NF$2:$NF$150=AU$1),0),$C233-1966)</f>
        <v>3585056</v>
      </c>
      <c r="AV233" s="4" cm="1">
        <f t="array" ref="AV233">INDEX(GMW!$A$2:$NF$150,MATCH(1,(GMW!$NE$2:$NE$150=AV$3)*(GMW!$ND$2:$ND$150=AV$4)*(GMW!$NF$2:$NF$150=AV$1),0),$C233-1966)</f>
        <v>-1.6898660000000001</v>
      </c>
    </row>
    <row r="234" spans="1:48" x14ac:dyDescent="0.25">
      <c r="B234" s="4">
        <f t="shared" si="10"/>
        <v>2029</v>
      </c>
      <c r="C234" s="4">
        <f t="shared" si="9"/>
        <v>2200</v>
      </c>
      <c r="D234" s="4" cm="1">
        <f t="array" ref="D234">INDEX(GMW!$A$2:$NF$150,MATCH(1,(GMW!$NE$2:$NE$150=D$3)*(GMW!$ND$2:$ND$150=D$4)*(GMW!$NF$2:$NF$150=D$1),0),$C234-1966)</f>
        <v>690123.5</v>
      </c>
      <c r="E234" s="4" cm="1">
        <f t="array" ref="E234">INDEX(GMW!$A$2:$NF$150,MATCH(1,(GMW!$NE$2:$NE$150=E$3)*(GMW!$ND$2:$ND$150=E$4)*(GMW!$NF$2:$NF$150=E$1),0),$C234-1966)</f>
        <v>152.22380000000001</v>
      </c>
      <c r="F234" s="4" cm="1">
        <f t="array" ref="F234">INDEX(GMW!$A$2:$NF$150,MATCH(1,(GMW!$NE$2:$NE$150=F$3)*(GMW!$ND$2:$ND$150=F$4)*(GMW!$NF$2:$NF$150=F$1),0),$C234-1966)</f>
        <v>217340.2</v>
      </c>
      <c r="G234" s="4" cm="1">
        <f t="array" ref="G234">INDEX(GMW!$A$2:$NF$150,MATCH(1,(GMW!$NE$2:$NE$150=G$3)*(GMW!$ND$2:$ND$150=G$4)*(GMW!$NF$2:$NF$150=G$1),0),$C234-1966)</f>
        <v>74603.75</v>
      </c>
      <c r="H234" s="4" cm="1">
        <f t="array" ref="H234">INDEX(GMW!$A$2:$NF$150,MATCH(1,(GMW!$NE$2:$NE$150=H$3)*(GMW!$ND$2:$ND$150=H$4)*(GMW!$NF$2:$NF$150=H$1),0),$C234-1966)</f>
        <v>237409.2</v>
      </c>
      <c r="I234" s="4" cm="1">
        <f t="array" ref="I234">INDEX(GMW!$A$2:$NF$150,MATCH(1,(GMW!$NE$2:$NE$150=I$3)*(GMW!$ND$2:$ND$150=I$4)*(GMW!$NF$2:$NF$150=I$1),0),$C234-1966)</f>
        <v>128787.4</v>
      </c>
      <c r="J234" s="4" cm="1">
        <f t="array" ref="J234">INDEX(GMW!$A$2:$NF$150,MATCH(1,(GMW!$NE$2:$NE$150=J$3)*(GMW!$ND$2:$ND$150=J$4)*(GMW!$NF$2:$NF$150=J$1),0),$C234-1966)</f>
        <v>124641.2</v>
      </c>
      <c r="K234" s="4" cm="1">
        <f t="array" ref="K234">INDEX(GMW!$A$2:$NF$150,MATCH(1,(GMW!$NE$2:$NE$150=K$3)*(GMW!$ND$2:$ND$150=K$4)*(GMW!$NF$2:$NF$150=K$1),0),$C234-1966)</f>
        <v>68633.8</v>
      </c>
      <c r="L234" s="4" cm="1">
        <f t="array" ref="L234">INDEX(GMW!$A$2:$NF$150,MATCH(1,(GMW!$NE$2:$NE$150=L$3)*(GMW!$ND$2:$ND$150=L$4)*(GMW!$NF$2:$NF$150=L$1),0),$C234-1966)</f>
        <v>692387.9</v>
      </c>
      <c r="M234" s="4" cm="1">
        <f t="array" ref="M234">INDEX(GMW!$A$2:$NF$150,MATCH(1,(GMW!$NE$2:$NE$150=M$3)*(GMW!$ND$2:$ND$150=M$4)*(GMW!$NF$2:$NF$150=M$1),0),$C234-1966)</f>
        <v>35622.269999999997</v>
      </c>
      <c r="N234" s="4" cm="1">
        <f t="array" ref="N234">INDEX(GMW!$A$2:$NF$150,MATCH(1,(GMW!$NE$2:$NE$150=N$3)*(GMW!$ND$2:$ND$150=N$4)*(GMW!$NF$2:$NF$150=N$1),0),$C234-1966)</f>
        <v>31.997499999999999</v>
      </c>
      <c r="O234" s="4" cm="1">
        <f t="array" ref="O234">INDEX(GMW!$A$2:$NF$150,MATCH(1,(GMW!$NE$2:$NE$150=O$3)*(GMW!$ND$2:$ND$150=O$4)*(GMW!$NF$2:$NF$150=O$1),0),$C234-1966)</f>
        <v>650064.4</v>
      </c>
      <c r="P234" s="4" cm="1">
        <f t="array" ref="P234">INDEX(GMW!$A$2:$NF$150,MATCH(1,(GMW!$NE$2:$NE$150=P$3)*(GMW!$ND$2:$ND$150=P$4)*(GMW!$NF$2:$NF$150=P$1),0),$C234-1966)</f>
        <v>45599.82</v>
      </c>
      <c r="Q234" s="4" cm="1">
        <f t="array" ref="Q234">INDEX(GMW!$A$2:$NF$150,MATCH(1,(GMW!$NE$2:$NE$150=Q$3)*(GMW!$ND$2:$ND$150=Q$4)*(GMW!$NF$2:$NF$150=Q$1),0),$C234-1966)</f>
        <v>3572477</v>
      </c>
      <c r="R234" s="4" cm="1">
        <f t="array" ref="R234">INDEX(GMW!$A$2:$NF$150,MATCH(1,(GMW!$NE$2:$NE$150=R$3)*(GMW!$ND$2:$ND$150=R$4)*(GMW!$NF$2:$NF$150=R$1),0),$C234-1966)</f>
        <v>-1.6942649999999999</v>
      </c>
      <c r="S234" s="4" cm="1">
        <f t="array" ref="S234">INDEX(GMW!$A$2:$NF$150,MATCH(1,(GMW!$NE$2:$NE$150=S$3)*(GMW!$ND$2:$ND$150=S$4)*(GMW!$NF$2:$NF$150=S$1),0),$C234-1966)</f>
        <v>694081.4</v>
      </c>
      <c r="T234" s="4" cm="1">
        <f t="array" ref="T234">INDEX(GMW!$A$2:$NF$150,MATCH(1,(GMW!$NE$2:$NE$150=T$3)*(GMW!$ND$2:$ND$150=T$4)*(GMW!$NF$2:$NF$150=T$1),0),$C234-1966)</f>
        <v>152.31469999999999</v>
      </c>
      <c r="U234" s="4" cm="1">
        <f t="array" ref="U234">INDEX(GMW!$A$2:$NF$150,MATCH(1,(GMW!$NE$2:$NE$150=U$3)*(GMW!$ND$2:$ND$150=U$4)*(GMW!$NF$2:$NF$150=U$1),0),$C234-1966)</f>
        <v>208463.6</v>
      </c>
      <c r="V234" s="4" cm="1">
        <f t="array" ref="V234">INDEX(GMW!$A$2:$NF$150,MATCH(1,(GMW!$NE$2:$NE$150=V$3)*(GMW!$ND$2:$ND$150=V$4)*(GMW!$NF$2:$NF$150=V$1),0),$C234-1966)</f>
        <v>78397.53</v>
      </c>
      <c r="W234" s="4" cm="1">
        <f t="array" ref="W234">INDEX(GMW!$A$2:$NF$150,MATCH(1,(GMW!$NE$2:$NE$150=W$3)*(GMW!$ND$2:$ND$150=W$4)*(GMW!$NF$2:$NF$150=W$1),0),$C234-1966)</f>
        <v>229840.8</v>
      </c>
      <c r="X234" s="4" cm="1">
        <f t="array" ref="X234">INDEX(GMW!$A$2:$NF$150,MATCH(1,(GMW!$NE$2:$NE$150=X$3)*(GMW!$ND$2:$ND$150=X$4)*(GMW!$NF$2:$NF$150=X$1),0),$C234-1966)</f>
        <v>123500.3</v>
      </c>
      <c r="Y234" s="4" cm="1">
        <f t="array" ref="Y234">INDEX(GMW!$A$2:$NF$150,MATCH(1,(GMW!$NE$2:$NE$150=Y$3)*(GMW!$ND$2:$ND$150=Y$4)*(GMW!$NF$2:$NF$150=Y$1),0),$C234-1966)</f>
        <v>126648.5</v>
      </c>
      <c r="Z234" s="4" cm="1">
        <f t="array" ref="Z234">INDEX(GMW!$A$2:$NF$150,MATCH(1,(GMW!$NE$2:$NE$150=Z$3)*(GMW!$ND$2:$ND$150=Z$4)*(GMW!$NF$2:$NF$150=Z$1),0),$C234-1966)</f>
        <v>71081.7</v>
      </c>
      <c r="AA234" s="4" cm="1">
        <f t="array" ref="AA234">INDEX(GMW!$A$2:$NF$150,MATCH(1,(GMW!$NE$2:$NE$150=AA$3)*(GMW!$ND$2:$ND$150=AA$4)*(GMW!$NF$2:$NF$150=AA$1),0),$C234-1966)</f>
        <v>695095.9</v>
      </c>
      <c r="AB234" s="4" cm="1">
        <f t="array" ref="AB234">INDEX(GMW!$A$2:$NF$150,MATCH(1,(GMW!$NE$2:$NE$150=AB$3)*(GMW!$ND$2:$ND$150=AB$4)*(GMW!$NF$2:$NF$150=AB$1),0),$C234-1966)</f>
        <v>35569.629999999997</v>
      </c>
      <c r="AC234" s="4" cm="1">
        <f t="array" ref="AC234">INDEX(GMW!$A$2:$NF$150,MATCH(1,(GMW!$NE$2:$NE$150=AC$3)*(GMW!$ND$2:$ND$150=AC$4)*(GMW!$NF$2:$NF$150=AC$1),0),$C234-1966)</f>
        <v>31.997499999999999</v>
      </c>
      <c r="AD234" s="4" cm="1">
        <f t="array" ref="AD234">INDEX(GMW!$A$2:$NF$150,MATCH(1,(GMW!$NE$2:$NE$150=AD$3)*(GMW!$ND$2:$ND$150=AD$4)*(GMW!$NF$2:$NF$150=AD$1),0),$C234-1966)</f>
        <v>650064.4</v>
      </c>
      <c r="AE234" s="4" cm="1">
        <f t="array" ref="AE234">INDEX(GMW!$A$2:$NF$150,MATCH(1,(GMW!$NE$2:$NE$150=AE$3)*(GMW!$ND$2:$ND$150=AE$4)*(GMW!$NF$2:$NF$150=AE$1),0),$C234-1966)</f>
        <v>45599.82</v>
      </c>
      <c r="AF234" s="4" cm="1">
        <f t="array" ref="AF234">INDEX(GMW!$A$2:$NF$150,MATCH(1,(GMW!$NE$2:$NE$150=AF$3)*(GMW!$ND$2:$ND$150=AF$4)*(GMW!$NF$2:$NF$150=AF$1),0),$C234-1966)</f>
        <v>3593528</v>
      </c>
      <c r="AG234" s="4" cm="1">
        <f t="array" ref="AG234">INDEX(GMW!$A$2:$NF$150,MATCH(1,(GMW!$NE$2:$NE$150=AG$3)*(GMW!$ND$2:$ND$150=AG$4)*(GMW!$NF$2:$NF$150=AG$1),0),$C234-1966)</f>
        <v>-1.691303</v>
      </c>
      <c r="AH234" s="4" cm="1">
        <f t="array" ref="AH234">INDEX(GMW!$A$2:$NF$150,MATCH(1,(GMW!$NE$2:$NE$150=AH$3)*(GMW!$ND$2:$ND$150=AH$4)*(GMW!$NF$2:$NF$150=AH$1),0),$C234-1966)</f>
        <v>695151.6</v>
      </c>
      <c r="AI234" s="4" cm="1">
        <f t="array" ref="AI234">INDEX(GMW!$A$2:$NF$150,MATCH(1,(GMW!$NE$2:$NE$150=AI$3)*(GMW!$ND$2:$ND$150=AI$4)*(GMW!$NF$2:$NF$150=AI$1),0),$C234-1966)</f>
        <v>151.1986</v>
      </c>
      <c r="AJ234" s="4" cm="1">
        <f t="array" ref="AJ234">INDEX(GMW!$A$2:$NF$150,MATCH(1,(GMW!$NE$2:$NE$150=AJ$3)*(GMW!$ND$2:$ND$150=AJ$4)*(GMW!$NF$2:$NF$150=AJ$1),0),$C234-1966)</f>
        <v>213670.3</v>
      </c>
      <c r="AK234" s="4" cm="1">
        <f t="array" ref="AK234">INDEX(GMW!$A$2:$NF$150,MATCH(1,(GMW!$NE$2:$NE$150=AK$3)*(GMW!$ND$2:$ND$150=AK$4)*(GMW!$NF$2:$NF$150=AK$1),0),$C234-1966)</f>
        <v>80868.160000000003</v>
      </c>
      <c r="AL234" s="4" cm="1">
        <f t="array" ref="AL234">INDEX(GMW!$A$2:$NF$150,MATCH(1,(GMW!$NE$2:$NE$150=AL$3)*(GMW!$ND$2:$ND$150=AL$4)*(GMW!$NF$2:$NF$150=AL$1),0),$C234-1966)</f>
        <v>234114.5</v>
      </c>
      <c r="AM234" s="4" cm="1">
        <f t="array" ref="AM234">INDEX(GMW!$A$2:$NF$150,MATCH(1,(GMW!$NE$2:$NE$150=AM$3)*(GMW!$ND$2:$ND$150=AM$4)*(GMW!$NF$2:$NF$150=AM$1),0),$C234-1966)</f>
        <v>126673.2</v>
      </c>
      <c r="AN234" s="4" cm="1">
        <f t="array" ref="AN234">INDEX(GMW!$A$2:$NF$150,MATCH(1,(GMW!$NE$2:$NE$150=AN$3)*(GMW!$ND$2:$ND$150=AN$4)*(GMW!$NF$2:$NF$150=AN$1),0),$C234-1966)</f>
        <v>126752.4</v>
      </c>
      <c r="AO234" s="4" cm="1">
        <f t="array" ref="AO234">INDEX(GMW!$A$2:$NF$150,MATCH(1,(GMW!$NE$2:$NE$150=AO$3)*(GMW!$ND$2:$ND$150=AO$4)*(GMW!$NF$2:$NF$150=AO$1),0),$C234-1966)</f>
        <v>72107.22</v>
      </c>
      <c r="AP234" s="4" cm="1">
        <f t="array" ref="AP234">INDEX(GMW!$A$2:$NF$150,MATCH(1,(GMW!$NE$2:$NE$150=AP$3)*(GMW!$ND$2:$ND$150=AP$4)*(GMW!$NF$2:$NF$150=AP$1),0),$C234-1966)</f>
        <v>696096.9</v>
      </c>
      <c r="AQ234" s="4" cm="1">
        <f t="array" ref="AQ234">INDEX(GMW!$A$2:$NF$150,MATCH(1,(GMW!$NE$2:$NE$150=AQ$3)*(GMW!$ND$2:$ND$150=AQ$4)*(GMW!$NF$2:$NF$150=AQ$1),0),$C234-1966)</f>
        <v>35512.93</v>
      </c>
      <c r="AR234" s="4" cm="1">
        <f t="array" ref="AR234">INDEX(GMW!$A$2:$NF$150,MATCH(1,(GMW!$NE$2:$NE$150=AR$3)*(GMW!$ND$2:$ND$150=AR$4)*(GMW!$NF$2:$NF$150=AR$1),0),$C234-1966)</f>
        <v>31.997499999999999</v>
      </c>
      <c r="AS234" s="4" cm="1">
        <f t="array" ref="AS234">INDEX(GMW!$A$2:$NF$150,MATCH(1,(GMW!$NE$2:$NE$150=AS$3)*(GMW!$ND$2:$ND$150=AS$4)*(GMW!$NF$2:$NF$150=AS$1),0),$C234-1966)</f>
        <v>648756.6</v>
      </c>
      <c r="AT234" s="4" cm="1">
        <f t="array" ref="AT234">INDEX(GMW!$A$2:$NF$150,MATCH(1,(GMW!$NE$2:$NE$150=AT$3)*(GMW!$ND$2:$ND$150=AT$4)*(GMW!$NF$2:$NF$150=AT$1),0),$C234-1966)</f>
        <v>45507.839999999997</v>
      </c>
      <c r="AU234" s="4" cm="1">
        <f t="array" ref="AU234">INDEX(GMW!$A$2:$NF$150,MATCH(1,(GMW!$NE$2:$NE$150=AU$3)*(GMW!$ND$2:$ND$150=AU$4)*(GMW!$NF$2:$NF$150=AU$1),0),$C234-1966)</f>
        <v>3599029</v>
      </c>
      <c r="AV234" s="4" cm="1">
        <f t="array" ref="AV234">INDEX(GMW!$A$2:$NF$150,MATCH(1,(GMW!$NE$2:$NE$150=AV$3)*(GMW!$ND$2:$ND$150=AV$4)*(GMW!$NF$2:$NF$150=AV$1),0),$C234-1966)</f>
        <v>-1.6893590000000001</v>
      </c>
    </row>
    <row r="235" spans="1:48" x14ac:dyDescent="0.25">
      <c r="A235" s="4">
        <v>2030</v>
      </c>
      <c r="B235" s="4">
        <f t="shared" si="10"/>
        <v>2030</v>
      </c>
      <c r="C235" s="4">
        <f t="shared" si="9"/>
        <v>2201</v>
      </c>
      <c r="D235" s="4" cm="1">
        <f t="array" ref="D235">INDEX(GMW!$A$2:$NF$150,MATCH(1,(GMW!$NE$2:$NE$150=D$3)*(GMW!$ND$2:$ND$150=D$4)*(GMW!$NF$2:$NF$150=D$1),0),$C235-1966)</f>
        <v>692815</v>
      </c>
      <c r="E235" s="4" cm="1">
        <f t="array" ref="E235">INDEX(GMW!$A$2:$NF$150,MATCH(1,(GMW!$NE$2:$NE$150=E$3)*(GMW!$ND$2:$ND$150=E$4)*(GMW!$NF$2:$NF$150=E$1),0),$C235-1966)</f>
        <v>152.5763</v>
      </c>
      <c r="F235" s="4" cm="1">
        <f t="array" ref="F235">INDEX(GMW!$A$2:$NF$150,MATCH(1,(GMW!$NE$2:$NE$150=F$3)*(GMW!$ND$2:$ND$150=F$4)*(GMW!$NF$2:$NF$150=F$1),0),$C235-1966)</f>
        <v>218114.8</v>
      </c>
      <c r="G235" s="4" cm="1">
        <f t="array" ref="G235">INDEX(GMW!$A$2:$NF$150,MATCH(1,(GMW!$NE$2:$NE$150=G$3)*(GMW!$ND$2:$ND$150=G$4)*(GMW!$NF$2:$NF$150=G$1),0),$C235-1966)</f>
        <v>74827.56</v>
      </c>
      <c r="H235" s="4" cm="1">
        <f t="array" ref="H235">INDEX(GMW!$A$2:$NF$150,MATCH(1,(GMW!$NE$2:$NE$150=H$3)*(GMW!$ND$2:$ND$150=H$4)*(GMW!$NF$2:$NF$150=H$1),0),$C235-1966)</f>
        <v>238274.3</v>
      </c>
      <c r="I235" s="4" cm="1">
        <f t="array" ref="I235">INDEX(GMW!$A$2:$NF$150,MATCH(1,(GMW!$NE$2:$NE$150=I$3)*(GMW!$ND$2:$ND$150=I$4)*(GMW!$NF$2:$NF$150=I$1),0),$C235-1966)</f>
        <v>129199.6</v>
      </c>
      <c r="J235" s="4" cm="1">
        <f t="array" ref="J235">INDEX(GMW!$A$2:$NF$150,MATCH(1,(GMW!$NE$2:$NE$150=J$3)*(GMW!$ND$2:$ND$150=J$4)*(GMW!$NF$2:$NF$150=J$1),0),$C235-1966)</f>
        <v>125177.2</v>
      </c>
      <c r="K235" s="4" cm="1">
        <f t="array" ref="K235">INDEX(GMW!$A$2:$NF$150,MATCH(1,(GMW!$NE$2:$NE$150=K$3)*(GMW!$ND$2:$ND$150=K$4)*(GMW!$NF$2:$NF$150=K$1),0),$C235-1966)</f>
        <v>69069.61</v>
      </c>
      <c r="L235" s="4" cm="1">
        <f t="array" ref="L235">INDEX(GMW!$A$2:$NF$150,MATCH(1,(GMW!$NE$2:$NE$150=L$3)*(GMW!$ND$2:$ND$150=L$4)*(GMW!$NF$2:$NF$150=L$1),0),$C235-1966)</f>
        <v>694806.9</v>
      </c>
      <c r="M235" s="4" cm="1">
        <f t="array" ref="M235">INDEX(GMW!$A$2:$NF$150,MATCH(1,(GMW!$NE$2:$NE$150=M$3)*(GMW!$ND$2:$ND$150=M$4)*(GMW!$NF$2:$NF$150=M$1),0),$C235-1966)</f>
        <v>35693.519999999997</v>
      </c>
      <c r="N235" s="4" cm="1">
        <f t="array" ref="N235">INDEX(GMW!$A$2:$NF$150,MATCH(1,(GMW!$NE$2:$NE$150=N$3)*(GMW!$ND$2:$ND$150=N$4)*(GMW!$NF$2:$NF$150=N$1),0),$C235-1966)</f>
        <v>31.99729</v>
      </c>
      <c r="O235" s="4" cm="1">
        <f t="array" ref="O235">INDEX(GMW!$A$2:$NF$150,MATCH(1,(GMW!$NE$2:$NE$150=O$3)*(GMW!$ND$2:$ND$150=O$4)*(GMW!$NF$2:$NF$150=O$1),0),$C235-1966)</f>
        <v>651127.19999999995</v>
      </c>
      <c r="P235" s="4" cm="1">
        <f t="array" ref="P235">INDEX(GMW!$A$2:$NF$150,MATCH(1,(GMW!$NE$2:$NE$150=P$3)*(GMW!$ND$2:$ND$150=P$4)*(GMW!$NF$2:$NF$150=P$1),0),$C235-1966)</f>
        <v>45613.64</v>
      </c>
      <c r="Q235" s="4" cm="1">
        <f t="array" ref="Q235">INDEX(GMW!$A$2:$NF$150,MATCH(1,(GMW!$NE$2:$NE$150=Q$3)*(GMW!$ND$2:$ND$150=Q$4)*(GMW!$NF$2:$NF$150=Q$1),0),$C235-1966)</f>
        <v>3584847</v>
      </c>
      <c r="R235" s="4" cm="1">
        <f t="array" ref="R235">INDEX(GMW!$A$2:$NF$150,MATCH(1,(GMW!$NE$2:$NE$150=R$3)*(GMW!$ND$2:$ND$150=R$4)*(GMW!$NF$2:$NF$150=R$1),0),$C235-1966)</f>
        <v>-1.6936720000000001</v>
      </c>
      <c r="S235" s="4" cm="1">
        <f t="array" ref="S235">INDEX(GMW!$A$2:$NF$150,MATCH(1,(GMW!$NE$2:$NE$150=S$3)*(GMW!$ND$2:$ND$150=S$4)*(GMW!$NF$2:$NF$150=S$1),0),$C235-1966)</f>
        <v>696857.7</v>
      </c>
      <c r="T235" s="4" cm="1">
        <f t="array" ref="T235">INDEX(GMW!$A$2:$NF$150,MATCH(1,(GMW!$NE$2:$NE$150=T$3)*(GMW!$ND$2:$ND$150=T$4)*(GMW!$NF$2:$NF$150=T$1),0),$C235-1966)</f>
        <v>152.58869999999999</v>
      </c>
      <c r="U235" s="4" cm="1">
        <f t="array" ref="U235">INDEX(GMW!$A$2:$NF$150,MATCH(1,(GMW!$NE$2:$NE$150=U$3)*(GMW!$ND$2:$ND$150=U$4)*(GMW!$NF$2:$NF$150=U$1),0),$C235-1966)</f>
        <v>209190.39999999999</v>
      </c>
      <c r="V235" s="4" cm="1">
        <f t="array" ref="V235">INDEX(GMW!$A$2:$NF$150,MATCH(1,(GMW!$NE$2:$NE$150=V$3)*(GMW!$ND$2:$ND$150=V$4)*(GMW!$NF$2:$NF$150=V$1),0),$C235-1966)</f>
        <v>78632.73</v>
      </c>
      <c r="W235" s="4" cm="1">
        <f t="array" ref="W235">INDEX(GMW!$A$2:$NF$150,MATCH(1,(GMW!$NE$2:$NE$150=W$3)*(GMW!$ND$2:$ND$150=W$4)*(GMW!$NF$2:$NF$150=W$1),0),$C235-1966)</f>
        <v>230670.6</v>
      </c>
      <c r="X235" s="4" cm="1">
        <f t="array" ref="X235">INDEX(GMW!$A$2:$NF$150,MATCH(1,(GMW!$NE$2:$NE$150=X$3)*(GMW!$ND$2:$ND$150=X$4)*(GMW!$NF$2:$NF$150=X$1),0),$C235-1966)</f>
        <v>123895.5</v>
      </c>
      <c r="Y235" s="4" cm="1">
        <f t="array" ref="Y235">INDEX(GMW!$A$2:$NF$150,MATCH(1,(GMW!$NE$2:$NE$150=Y$3)*(GMW!$ND$2:$ND$150=Y$4)*(GMW!$NF$2:$NF$150=Y$1),0),$C235-1966)</f>
        <v>127175.9</v>
      </c>
      <c r="Z235" s="4" cm="1">
        <f t="array" ref="Z235">INDEX(GMW!$A$2:$NF$150,MATCH(1,(GMW!$NE$2:$NE$150=Z$3)*(GMW!$ND$2:$ND$150=Z$4)*(GMW!$NF$2:$NF$150=Z$1),0),$C235-1966)</f>
        <v>71515.289999999994</v>
      </c>
      <c r="AA235" s="4" cm="1">
        <f t="array" ref="AA235">INDEX(GMW!$A$2:$NF$150,MATCH(1,(GMW!$NE$2:$NE$150=AA$3)*(GMW!$ND$2:$ND$150=AA$4)*(GMW!$NF$2:$NF$150=AA$1),0),$C235-1966)</f>
        <v>697639.4</v>
      </c>
      <c r="AB235" s="4" cm="1">
        <f t="array" ref="AB235">INDEX(GMW!$A$2:$NF$150,MATCH(1,(GMW!$NE$2:$NE$150=AB$3)*(GMW!$ND$2:$ND$150=AB$4)*(GMW!$NF$2:$NF$150=AB$1),0),$C235-1966)</f>
        <v>35646.11</v>
      </c>
      <c r="AC235" s="4" cm="1">
        <f t="array" ref="AC235">INDEX(GMW!$A$2:$NF$150,MATCH(1,(GMW!$NE$2:$NE$150=AC$3)*(GMW!$ND$2:$ND$150=AC$4)*(GMW!$NF$2:$NF$150=AC$1),0),$C235-1966)</f>
        <v>31.99729</v>
      </c>
      <c r="AD235" s="4" cm="1">
        <f t="array" ref="AD235">INDEX(GMW!$A$2:$NF$150,MATCH(1,(GMW!$NE$2:$NE$150=AD$3)*(GMW!$ND$2:$ND$150=AD$4)*(GMW!$NF$2:$NF$150=AD$1),0),$C235-1966)</f>
        <v>651127.19999999995</v>
      </c>
      <c r="AE235" s="4" cm="1">
        <f t="array" ref="AE235">INDEX(GMW!$A$2:$NF$150,MATCH(1,(GMW!$NE$2:$NE$150=AE$3)*(GMW!$ND$2:$ND$150=AE$4)*(GMW!$NF$2:$NF$150=AE$1),0),$C235-1966)</f>
        <v>45613.64</v>
      </c>
      <c r="AF235" s="4" cm="1">
        <f t="array" ref="AF235">INDEX(GMW!$A$2:$NF$150,MATCH(1,(GMW!$NE$2:$NE$150=AF$3)*(GMW!$ND$2:$ND$150=AF$4)*(GMW!$NF$2:$NF$150=AF$1),0),$C235-1966)</f>
        <v>3607506</v>
      </c>
      <c r="AG235" s="4" cm="1">
        <f t="array" ref="AG235">INDEX(GMW!$A$2:$NF$150,MATCH(1,(GMW!$NE$2:$NE$150=AG$3)*(GMW!$ND$2:$ND$150=AG$4)*(GMW!$NF$2:$NF$150=AG$1),0),$C235-1966)</f>
        <v>-1.690796</v>
      </c>
      <c r="AH235" s="4" cm="1">
        <f t="array" ref="AH235">INDEX(GMW!$A$2:$NF$150,MATCH(1,(GMW!$NE$2:$NE$150=AH$3)*(GMW!$ND$2:$ND$150=AH$4)*(GMW!$NF$2:$NF$150=AH$1),0),$C235-1966)</f>
        <v>697932.3</v>
      </c>
      <c r="AI235" s="4" cm="1">
        <f t="array" ref="AI235">INDEX(GMW!$A$2:$NF$150,MATCH(1,(GMW!$NE$2:$NE$150=AI$3)*(GMW!$ND$2:$ND$150=AI$4)*(GMW!$NF$2:$NF$150=AI$1),0),$C235-1966)</f>
        <v>151.4736</v>
      </c>
      <c r="AJ235" s="4" cm="1">
        <f t="array" ref="AJ235">INDEX(GMW!$A$2:$NF$150,MATCH(1,(GMW!$NE$2:$NE$150=AJ$3)*(GMW!$ND$2:$ND$150=AJ$4)*(GMW!$NF$2:$NF$150=AJ$1),0),$C235-1966)</f>
        <v>214402.5</v>
      </c>
      <c r="AK235" s="4" cm="1">
        <f t="array" ref="AK235">INDEX(GMW!$A$2:$NF$150,MATCH(1,(GMW!$NE$2:$NE$150=AK$3)*(GMW!$ND$2:$ND$150=AK$4)*(GMW!$NF$2:$NF$150=AK$1),0),$C235-1966)</f>
        <v>81110.77</v>
      </c>
      <c r="AL235" s="4" cm="1">
        <f t="array" ref="AL235">INDEX(GMW!$A$2:$NF$150,MATCH(1,(GMW!$NE$2:$NE$150=AL$3)*(GMW!$ND$2:$ND$150=AL$4)*(GMW!$NF$2:$NF$150=AL$1),0),$C235-1966)</f>
        <v>234953.60000000001</v>
      </c>
      <c r="AM235" s="4" cm="1">
        <f t="array" ref="AM235">INDEX(GMW!$A$2:$NF$150,MATCH(1,(GMW!$NE$2:$NE$150=AM$3)*(GMW!$ND$2:$ND$150=AM$4)*(GMW!$NF$2:$NF$150=AM$1),0),$C235-1966)</f>
        <v>127078.6</v>
      </c>
      <c r="AN235" s="4" cm="1">
        <f t="array" ref="AN235">INDEX(GMW!$A$2:$NF$150,MATCH(1,(GMW!$NE$2:$NE$150=AN$3)*(GMW!$ND$2:$ND$150=AN$4)*(GMW!$NF$2:$NF$150=AN$1),0),$C235-1966)</f>
        <v>127287.8</v>
      </c>
      <c r="AO235" s="4" cm="1">
        <f t="array" ref="AO235">INDEX(GMW!$A$2:$NF$150,MATCH(1,(GMW!$NE$2:$NE$150=AO$3)*(GMW!$ND$2:$ND$150=AO$4)*(GMW!$NF$2:$NF$150=AO$1),0),$C235-1966)</f>
        <v>72547.070000000007</v>
      </c>
      <c r="AP235" s="4" cm="1">
        <f t="array" ref="AP235">INDEX(GMW!$A$2:$NF$150,MATCH(1,(GMW!$NE$2:$NE$150=AP$3)*(GMW!$ND$2:$ND$150=AP$4)*(GMW!$NF$2:$NF$150=AP$1),0),$C235-1966)</f>
        <v>698716.8</v>
      </c>
      <c r="AQ235" s="4" cm="1">
        <f t="array" ref="AQ235">INDEX(GMW!$A$2:$NF$150,MATCH(1,(GMW!$NE$2:$NE$150=AQ$3)*(GMW!$ND$2:$ND$150=AQ$4)*(GMW!$NF$2:$NF$150=AQ$1),0),$C235-1966)</f>
        <v>35594.61</v>
      </c>
      <c r="AR235" s="4" cm="1">
        <f t="array" ref="AR235">INDEX(GMW!$A$2:$NF$150,MATCH(1,(GMW!$NE$2:$NE$150=AR$3)*(GMW!$ND$2:$ND$150=AR$4)*(GMW!$NF$2:$NF$150=AR$1),0),$C235-1966)</f>
        <v>31.99729</v>
      </c>
      <c r="AS235" s="4" cm="1">
        <f t="array" ref="AS235">INDEX(GMW!$A$2:$NF$150,MATCH(1,(GMW!$NE$2:$NE$150=AS$3)*(GMW!$ND$2:$ND$150=AS$4)*(GMW!$NF$2:$NF$150=AS$1),0),$C235-1966)</f>
        <v>649749.1</v>
      </c>
      <c r="AT235" s="4" cm="1">
        <f t="array" ref="AT235">INDEX(GMW!$A$2:$NF$150,MATCH(1,(GMW!$NE$2:$NE$150=AT$3)*(GMW!$ND$2:$ND$150=AT$4)*(GMW!$NF$2:$NF$150=AT$1),0),$C235-1966)</f>
        <v>45516.74</v>
      </c>
      <c r="AU235" s="4" cm="1">
        <f t="array" ref="AU235">INDEX(GMW!$A$2:$NF$150,MATCH(1,(GMW!$NE$2:$NE$150=AU$3)*(GMW!$ND$2:$ND$150=AU$4)*(GMW!$NF$2:$NF$150=AU$1),0),$C235-1966)</f>
        <v>3613097</v>
      </c>
      <c r="AV235" s="4" cm="1">
        <f t="array" ref="AV235">INDEX(GMW!$A$2:$NF$150,MATCH(1,(GMW!$NE$2:$NE$150=AV$3)*(GMW!$ND$2:$ND$150=AV$4)*(GMW!$NF$2:$NF$150=AV$1),0),$C235-1966)</f>
        <v>-1.688852</v>
      </c>
    </row>
    <row r="236" spans="1:48" x14ac:dyDescent="0.25">
      <c r="B236" s="4">
        <f t="shared" si="10"/>
        <v>2030</v>
      </c>
      <c r="C236" s="4">
        <f t="shared" si="9"/>
        <v>2202</v>
      </c>
      <c r="D236" s="4" cm="1">
        <f t="array" ref="D236">INDEX(GMW!$A$2:$NF$150,MATCH(1,(GMW!$NE$2:$NE$150=D$3)*(GMW!$ND$2:$ND$150=D$4)*(GMW!$NF$2:$NF$150=D$1),0),$C236-1966)</f>
        <v>695586.3</v>
      </c>
      <c r="E236" s="4" cm="1">
        <f t="array" ref="E236">INDEX(GMW!$A$2:$NF$150,MATCH(1,(GMW!$NE$2:$NE$150=E$3)*(GMW!$ND$2:$ND$150=E$4)*(GMW!$NF$2:$NF$150=E$1),0),$C236-1966)</f>
        <v>153.9246</v>
      </c>
      <c r="F236" s="4" cm="1">
        <f t="array" ref="F236">INDEX(GMW!$A$2:$NF$150,MATCH(1,(GMW!$NE$2:$NE$150=F$3)*(GMW!$ND$2:$ND$150=F$4)*(GMW!$NF$2:$NF$150=F$1),0),$C236-1966)</f>
        <v>218900.6</v>
      </c>
      <c r="G236" s="4" cm="1">
        <f t="array" ref="G236">INDEX(GMW!$A$2:$NF$150,MATCH(1,(GMW!$NE$2:$NE$150=G$3)*(GMW!$ND$2:$ND$150=G$4)*(GMW!$NF$2:$NF$150=G$1),0),$C236-1966)</f>
        <v>75059.53</v>
      </c>
      <c r="H236" s="4" cm="1">
        <f t="array" ref="H236">INDEX(GMW!$A$2:$NF$150,MATCH(1,(GMW!$NE$2:$NE$150=H$3)*(GMW!$ND$2:$ND$150=H$4)*(GMW!$NF$2:$NF$150=H$1),0),$C236-1966)</f>
        <v>239155.8</v>
      </c>
      <c r="I236" s="4" cm="1">
        <f t="array" ref="I236">INDEX(GMW!$A$2:$NF$150,MATCH(1,(GMW!$NE$2:$NE$150=I$3)*(GMW!$ND$2:$ND$150=I$4)*(GMW!$NF$2:$NF$150=I$1),0),$C236-1966)</f>
        <v>129625.9</v>
      </c>
      <c r="J236" s="4" cm="1">
        <f t="array" ref="J236">INDEX(GMW!$A$2:$NF$150,MATCH(1,(GMW!$NE$2:$NE$150=J$3)*(GMW!$ND$2:$ND$150=J$4)*(GMW!$NF$2:$NF$150=J$1),0),$C236-1966)</f>
        <v>125741.8</v>
      </c>
      <c r="K236" s="4" cm="1">
        <f t="array" ref="K236">INDEX(GMW!$A$2:$NF$150,MATCH(1,(GMW!$NE$2:$NE$150=K$3)*(GMW!$ND$2:$ND$150=K$4)*(GMW!$NF$2:$NF$150=K$1),0),$C236-1966)</f>
        <v>69490.94</v>
      </c>
      <c r="L236" s="4" cm="1">
        <f t="array" ref="L236">INDEX(GMW!$A$2:$NF$150,MATCH(1,(GMW!$NE$2:$NE$150=L$3)*(GMW!$ND$2:$ND$150=L$4)*(GMW!$NF$2:$NF$150=L$1),0),$C236-1966)</f>
        <v>697239.1</v>
      </c>
      <c r="M236" s="4" cm="1">
        <f t="array" ref="M236">INDEX(GMW!$A$2:$NF$150,MATCH(1,(GMW!$NE$2:$NE$150=M$3)*(GMW!$ND$2:$ND$150=M$4)*(GMW!$NF$2:$NF$150=M$1),0),$C236-1966)</f>
        <v>35764.9</v>
      </c>
      <c r="N236" s="4" cm="1">
        <f t="array" ref="N236">INDEX(GMW!$A$2:$NF$150,MATCH(1,(GMW!$NE$2:$NE$150=N$3)*(GMW!$ND$2:$ND$150=N$4)*(GMW!$NF$2:$NF$150=N$1),0),$C236-1966)</f>
        <v>31.99708</v>
      </c>
      <c r="O236" s="4" cm="1">
        <f t="array" ref="O236">INDEX(GMW!$A$2:$NF$150,MATCH(1,(GMW!$NE$2:$NE$150=O$3)*(GMW!$ND$2:$ND$150=O$4)*(GMW!$NF$2:$NF$150=O$1),0),$C236-1966)</f>
        <v>652183</v>
      </c>
      <c r="P236" s="4" cm="1">
        <f t="array" ref="P236">INDEX(GMW!$A$2:$NF$150,MATCH(1,(GMW!$NE$2:$NE$150=P$3)*(GMW!$ND$2:$ND$150=P$4)*(GMW!$NF$2:$NF$150=P$1),0),$C236-1966)</f>
        <v>45627.46</v>
      </c>
      <c r="Q236" s="4" cm="1">
        <f t="array" ref="Q236">INDEX(GMW!$A$2:$NF$150,MATCH(1,(GMW!$NE$2:$NE$150=Q$3)*(GMW!$ND$2:$ND$150=Q$4)*(GMW!$NF$2:$NF$150=Q$1),0),$C236-1966)</f>
        <v>3597366</v>
      </c>
      <c r="R236" s="4" cm="1">
        <f t="array" ref="R236">INDEX(GMW!$A$2:$NF$150,MATCH(1,(GMW!$NE$2:$NE$150=R$3)*(GMW!$ND$2:$ND$150=R$4)*(GMW!$NF$2:$NF$150=R$1),0),$C236-1966)</f>
        <v>-1.693079</v>
      </c>
      <c r="S236" s="4" cm="1">
        <f t="array" ref="S236">INDEX(GMW!$A$2:$NF$150,MATCH(1,(GMW!$NE$2:$NE$150=S$3)*(GMW!$ND$2:$ND$150=S$4)*(GMW!$NF$2:$NF$150=S$1),0),$C236-1966)</f>
        <v>699645.1</v>
      </c>
      <c r="T236" s="4" cm="1">
        <f t="array" ref="T236">INDEX(GMW!$A$2:$NF$150,MATCH(1,(GMW!$NE$2:$NE$150=T$3)*(GMW!$ND$2:$ND$150=T$4)*(GMW!$NF$2:$NF$150=T$1),0),$C236-1966)</f>
        <v>153.93279999999999</v>
      </c>
      <c r="U236" s="4" cm="1">
        <f t="array" ref="U236">INDEX(GMW!$A$2:$NF$150,MATCH(1,(GMW!$NE$2:$NE$150=U$3)*(GMW!$ND$2:$ND$150=U$4)*(GMW!$NF$2:$NF$150=U$1),0),$C236-1966)</f>
        <v>209928.5</v>
      </c>
      <c r="V236" s="4" cm="1">
        <f t="array" ref="V236">INDEX(GMW!$A$2:$NF$150,MATCH(1,(GMW!$NE$2:$NE$150=V$3)*(GMW!$ND$2:$ND$150=V$4)*(GMW!$NF$2:$NF$150=V$1),0),$C236-1966)</f>
        <v>78876.479999999996</v>
      </c>
      <c r="W236" s="4" cm="1">
        <f t="array" ref="W236">INDEX(GMW!$A$2:$NF$150,MATCH(1,(GMW!$NE$2:$NE$150=W$3)*(GMW!$ND$2:$ND$150=W$4)*(GMW!$NF$2:$NF$150=W$1),0),$C236-1966)</f>
        <v>231516.2</v>
      </c>
      <c r="X236" s="4" cm="1">
        <f t="array" ref="X236">INDEX(GMW!$A$2:$NF$150,MATCH(1,(GMW!$NE$2:$NE$150=X$3)*(GMW!$ND$2:$ND$150=X$4)*(GMW!$NF$2:$NF$150=X$1),0),$C236-1966)</f>
        <v>124304.4</v>
      </c>
      <c r="Y236" s="4" cm="1">
        <f t="array" ref="Y236">INDEX(GMW!$A$2:$NF$150,MATCH(1,(GMW!$NE$2:$NE$150=Y$3)*(GMW!$ND$2:$ND$150=Y$4)*(GMW!$NF$2:$NF$150=Y$1),0),$C236-1966)</f>
        <v>127758.6</v>
      </c>
      <c r="Z236" s="4" cm="1">
        <f t="array" ref="Z236">INDEX(GMW!$A$2:$NF$150,MATCH(1,(GMW!$NE$2:$NE$150=Z$3)*(GMW!$ND$2:$ND$150=Z$4)*(GMW!$NF$2:$NF$150=Z$1),0),$C236-1966)</f>
        <v>71951.53</v>
      </c>
      <c r="AA236" s="4" cm="1">
        <f t="array" ref="AA236">INDEX(GMW!$A$2:$NF$150,MATCH(1,(GMW!$NE$2:$NE$150=AA$3)*(GMW!$ND$2:$ND$150=AA$4)*(GMW!$NF$2:$NF$150=AA$1),0),$C236-1966)</f>
        <v>700193.6</v>
      </c>
      <c r="AB236" s="4" cm="1">
        <f t="array" ref="AB236">INDEX(GMW!$A$2:$NF$150,MATCH(1,(GMW!$NE$2:$NE$150=AB$3)*(GMW!$ND$2:$ND$150=AB$4)*(GMW!$NF$2:$NF$150=AB$1),0),$C236-1966)</f>
        <v>35722.74</v>
      </c>
      <c r="AC236" s="4" cm="1">
        <f t="array" ref="AC236">INDEX(GMW!$A$2:$NF$150,MATCH(1,(GMW!$NE$2:$NE$150=AC$3)*(GMW!$ND$2:$ND$150=AC$4)*(GMW!$NF$2:$NF$150=AC$1),0),$C236-1966)</f>
        <v>31.99708</v>
      </c>
      <c r="AD236" s="4" cm="1">
        <f t="array" ref="AD236">INDEX(GMW!$A$2:$NF$150,MATCH(1,(GMW!$NE$2:$NE$150=AD$3)*(GMW!$ND$2:$ND$150=AD$4)*(GMW!$NF$2:$NF$150=AD$1),0),$C236-1966)</f>
        <v>652183</v>
      </c>
      <c r="AE236" s="4" cm="1">
        <f t="array" ref="AE236">INDEX(GMW!$A$2:$NF$150,MATCH(1,(GMW!$NE$2:$NE$150=AE$3)*(GMW!$ND$2:$ND$150=AE$4)*(GMW!$NF$2:$NF$150=AE$1),0),$C236-1966)</f>
        <v>45627.46</v>
      </c>
      <c r="AF236" s="4" cm="1">
        <f t="array" ref="AF236">INDEX(GMW!$A$2:$NF$150,MATCH(1,(GMW!$NE$2:$NE$150=AF$3)*(GMW!$ND$2:$ND$150=AF$4)*(GMW!$NF$2:$NF$150=AF$1),0),$C236-1966)</f>
        <v>3621625</v>
      </c>
      <c r="AG236" s="4" cm="1">
        <f t="array" ref="AG236">INDEX(GMW!$A$2:$NF$150,MATCH(1,(GMW!$NE$2:$NE$150=AG$3)*(GMW!$ND$2:$ND$150=AG$4)*(GMW!$NF$2:$NF$150=AG$1),0),$C236-1966)</f>
        <v>-1.6902889999999999</v>
      </c>
      <c r="AH236" s="4" cm="1">
        <f t="array" ref="AH236">INDEX(GMW!$A$2:$NF$150,MATCH(1,(GMW!$NE$2:$NE$150=AH$3)*(GMW!$ND$2:$ND$150=AH$4)*(GMW!$NF$2:$NF$150=AH$1),0),$C236-1966)</f>
        <v>700723.9</v>
      </c>
      <c r="AI236" s="4" cm="1">
        <f t="array" ref="AI236">INDEX(GMW!$A$2:$NF$150,MATCH(1,(GMW!$NE$2:$NE$150=AI$3)*(GMW!$ND$2:$ND$150=AI$4)*(GMW!$NF$2:$NF$150=AI$1),0),$C236-1966)</f>
        <v>152.7766</v>
      </c>
      <c r="AJ236" s="4" cm="1">
        <f t="array" ref="AJ236">INDEX(GMW!$A$2:$NF$150,MATCH(1,(GMW!$NE$2:$NE$150=AJ$3)*(GMW!$ND$2:$ND$150=AJ$4)*(GMW!$NF$2:$NF$150=AJ$1),0),$C236-1966)</f>
        <v>215146.3</v>
      </c>
      <c r="AK236" s="4" cm="1">
        <f t="array" ref="AK236">INDEX(GMW!$A$2:$NF$150,MATCH(1,(GMW!$NE$2:$NE$150=AK$3)*(GMW!$ND$2:$ND$150=AK$4)*(GMW!$NF$2:$NF$150=AK$1),0),$C236-1966)</f>
        <v>81362.2</v>
      </c>
      <c r="AL236" s="4" cm="1">
        <f t="array" ref="AL236">INDEX(GMW!$A$2:$NF$150,MATCH(1,(GMW!$NE$2:$NE$150=AL$3)*(GMW!$ND$2:$ND$150=AL$4)*(GMW!$NF$2:$NF$150=AL$1),0),$C236-1966)</f>
        <v>235808.7</v>
      </c>
      <c r="AM236" s="4" cm="1">
        <f t="array" ref="AM236">INDEX(GMW!$A$2:$NF$150,MATCH(1,(GMW!$NE$2:$NE$150=AM$3)*(GMW!$ND$2:$ND$150=AM$4)*(GMW!$NF$2:$NF$150=AM$1),0),$C236-1966)</f>
        <v>127497.9</v>
      </c>
      <c r="AN236" s="4" cm="1">
        <f t="array" ref="AN236">INDEX(GMW!$A$2:$NF$150,MATCH(1,(GMW!$NE$2:$NE$150=AN$3)*(GMW!$ND$2:$ND$150=AN$4)*(GMW!$NF$2:$NF$150=AN$1),0),$C236-1966)</f>
        <v>127876.3</v>
      </c>
      <c r="AO236" s="4" cm="1">
        <f t="array" ref="AO236">INDEX(GMW!$A$2:$NF$150,MATCH(1,(GMW!$NE$2:$NE$150=AO$3)*(GMW!$ND$2:$ND$150=AO$4)*(GMW!$NF$2:$NF$150=AO$1),0),$C236-1966)</f>
        <v>72989.61</v>
      </c>
      <c r="AP236" s="4" cm="1">
        <f t="array" ref="AP236">INDEX(GMW!$A$2:$NF$150,MATCH(1,(GMW!$NE$2:$NE$150=AP$3)*(GMW!$ND$2:$ND$150=AP$4)*(GMW!$NF$2:$NF$150=AP$1),0),$C236-1966)</f>
        <v>701346.4</v>
      </c>
      <c r="AQ236" s="4" cm="1">
        <f t="array" ref="AQ236">INDEX(GMW!$A$2:$NF$150,MATCH(1,(GMW!$NE$2:$NE$150=AQ$3)*(GMW!$ND$2:$ND$150=AQ$4)*(GMW!$NF$2:$NF$150=AQ$1),0),$C236-1966)</f>
        <v>35676.480000000003</v>
      </c>
      <c r="AR236" s="4" cm="1">
        <f t="array" ref="AR236">INDEX(GMW!$A$2:$NF$150,MATCH(1,(GMW!$NE$2:$NE$150=AR$3)*(GMW!$ND$2:$ND$150=AR$4)*(GMW!$NF$2:$NF$150=AR$1),0),$C236-1966)</f>
        <v>31.99708</v>
      </c>
      <c r="AS236" s="4" cm="1">
        <f t="array" ref="AS236">INDEX(GMW!$A$2:$NF$150,MATCH(1,(GMW!$NE$2:$NE$150=AS$3)*(GMW!$ND$2:$ND$150=AS$4)*(GMW!$NF$2:$NF$150=AS$1),0),$C236-1966)</f>
        <v>650734.6</v>
      </c>
      <c r="AT236" s="4" cm="1">
        <f t="array" ref="AT236">INDEX(GMW!$A$2:$NF$150,MATCH(1,(GMW!$NE$2:$NE$150=AT$3)*(GMW!$ND$2:$ND$150=AT$4)*(GMW!$NF$2:$NF$150=AT$1),0),$C236-1966)</f>
        <v>45525.64</v>
      </c>
      <c r="AU236" s="4" cm="1">
        <f t="array" ref="AU236">INDEX(GMW!$A$2:$NF$150,MATCH(1,(GMW!$NE$2:$NE$150=AU$3)*(GMW!$ND$2:$ND$150=AU$4)*(GMW!$NF$2:$NF$150=AU$1),0),$C236-1966)</f>
        <v>3627312</v>
      </c>
      <c r="AV236" s="4" cm="1">
        <f t="array" ref="AV236">INDEX(GMW!$A$2:$NF$150,MATCH(1,(GMW!$NE$2:$NE$150=AV$3)*(GMW!$ND$2:$ND$150=AV$4)*(GMW!$NF$2:$NF$150=AV$1),0),$C236-1966)</f>
        <v>-1.6883459999999999</v>
      </c>
    </row>
    <row r="237" spans="1:48" x14ac:dyDescent="0.25">
      <c r="B237" s="4">
        <f t="shared" si="10"/>
        <v>2030</v>
      </c>
      <c r="C237" s="4">
        <f t="shared" si="9"/>
        <v>2203</v>
      </c>
      <c r="D237" s="4" cm="1">
        <f t="array" ref="D237">INDEX(GMW!$A$2:$NF$150,MATCH(1,(GMW!$NE$2:$NE$150=D$3)*(GMW!$ND$2:$ND$150=D$4)*(GMW!$NF$2:$NF$150=D$1),0),$C237-1966)</f>
        <v>698368.6</v>
      </c>
      <c r="E237" s="4" cm="1">
        <f t="array" ref="E237">INDEX(GMW!$A$2:$NF$150,MATCH(1,(GMW!$NE$2:$NE$150=E$3)*(GMW!$ND$2:$ND$150=E$4)*(GMW!$NF$2:$NF$150=E$1),0),$C237-1966)</f>
        <v>154.58789999999999</v>
      </c>
      <c r="F237" s="4" cm="1">
        <f t="array" ref="F237">INDEX(GMW!$A$2:$NF$150,MATCH(1,(GMW!$NE$2:$NE$150=F$3)*(GMW!$ND$2:$ND$150=F$4)*(GMW!$NF$2:$NF$150=F$1),0),$C237-1966)</f>
        <v>219689.8</v>
      </c>
      <c r="G237" s="4" cm="1">
        <f t="array" ref="G237">INDEX(GMW!$A$2:$NF$150,MATCH(1,(GMW!$NE$2:$NE$150=G$3)*(GMW!$ND$2:$ND$150=G$4)*(GMW!$NF$2:$NF$150=G$1),0),$C237-1966)</f>
        <v>75292.210000000006</v>
      </c>
      <c r="H237" s="4" cm="1">
        <f t="array" ref="H237">INDEX(GMW!$A$2:$NF$150,MATCH(1,(GMW!$NE$2:$NE$150=H$3)*(GMW!$ND$2:$ND$150=H$4)*(GMW!$NF$2:$NF$150=H$1),0),$C237-1966)</f>
        <v>240079.8</v>
      </c>
      <c r="I237" s="4" cm="1">
        <f t="array" ref="I237">INDEX(GMW!$A$2:$NF$150,MATCH(1,(GMW!$NE$2:$NE$150=I$3)*(GMW!$ND$2:$ND$150=I$4)*(GMW!$NF$2:$NF$150=I$1),0),$C237-1966)</f>
        <v>130092.6</v>
      </c>
      <c r="J237" s="4" cm="1">
        <f t="array" ref="J237">INDEX(GMW!$A$2:$NF$150,MATCH(1,(GMW!$NE$2:$NE$150=J$3)*(GMW!$ND$2:$ND$150=J$4)*(GMW!$NF$2:$NF$150=J$1),0),$C237-1966)</f>
        <v>126351.7</v>
      </c>
      <c r="K237" s="4" cm="1">
        <f t="array" ref="K237">INDEX(GMW!$A$2:$NF$150,MATCH(1,(GMW!$NE$2:$NE$150=K$3)*(GMW!$ND$2:$ND$150=K$4)*(GMW!$NF$2:$NF$150=K$1),0),$C237-1966)</f>
        <v>69914.83</v>
      </c>
      <c r="L237" s="4" cm="1">
        <f t="array" ref="L237">INDEX(GMW!$A$2:$NF$150,MATCH(1,(GMW!$NE$2:$NE$150=L$3)*(GMW!$ND$2:$ND$150=L$4)*(GMW!$NF$2:$NF$150=L$1),0),$C237-1966)</f>
        <v>699741</v>
      </c>
      <c r="M237" s="4" cm="1">
        <f t="array" ref="M237">INDEX(GMW!$A$2:$NF$150,MATCH(1,(GMW!$NE$2:$NE$150=M$3)*(GMW!$ND$2:$ND$150=M$4)*(GMW!$NF$2:$NF$150=M$1),0),$C237-1966)</f>
        <v>35836.43</v>
      </c>
      <c r="N237" s="4" cm="1">
        <f t="array" ref="N237">INDEX(GMW!$A$2:$NF$150,MATCH(1,(GMW!$NE$2:$NE$150=N$3)*(GMW!$ND$2:$ND$150=N$4)*(GMW!$NF$2:$NF$150=N$1),0),$C237-1966)</f>
        <v>31.996880000000001</v>
      </c>
      <c r="O237" s="4" cm="1">
        <f t="array" ref="O237">INDEX(GMW!$A$2:$NF$150,MATCH(1,(GMW!$NE$2:$NE$150=O$3)*(GMW!$ND$2:$ND$150=O$4)*(GMW!$NF$2:$NF$150=O$1),0),$C237-1966)</f>
        <v>653296.4</v>
      </c>
      <c r="P237" s="4" cm="1">
        <f t="array" ref="P237">INDEX(GMW!$A$2:$NF$150,MATCH(1,(GMW!$NE$2:$NE$150=P$3)*(GMW!$ND$2:$ND$150=P$4)*(GMW!$NF$2:$NF$150=P$1),0),$C237-1966)</f>
        <v>45645.75</v>
      </c>
      <c r="Q237" s="4" cm="1">
        <f t="array" ref="Q237">INDEX(GMW!$A$2:$NF$150,MATCH(1,(GMW!$NE$2:$NE$150=Q$3)*(GMW!$ND$2:$ND$150=Q$4)*(GMW!$NF$2:$NF$150=Q$1),0),$C237-1966)</f>
        <v>3610076</v>
      </c>
      <c r="R237" s="4" cm="1">
        <f t="array" ref="R237">INDEX(GMW!$A$2:$NF$150,MATCH(1,(GMW!$NE$2:$NE$150=R$3)*(GMW!$ND$2:$ND$150=R$4)*(GMW!$NF$2:$NF$150=R$1),0),$C237-1966)</f>
        <v>-1.692402</v>
      </c>
      <c r="S237" s="4" cm="1">
        <f t="array" ref="S237">INDEX(GMW!$A$2:$NF$150,MATCH(1,(GMW!$NE$2:$NE$150=S$3)*(GMW!$ND$2:$ND$150=S$4)*(GMW!$NF$2:$NF$150=S$1),0),$C237-1966)</f>
        <v>702443.7</v>
      </c>
      <c r="T237" s="4" cm="1">
        <f t="array" ref="T237">INDEX(GMW!$A$2:$NF$150,MATCH(1,(GMW!$NE$2:$NE$150=T$3)*(GMW!$ND$2:$ND$150=T$4)*(GMW!$NF$2:$NF$150=T$1),0),$C237-1966)</f>
        <v>154.59469999999999</v>
      </c>
      <c r="U237" s="4" cm="1">
        <f t="array" ref="U237">INDEX(GMW!$A$2:$NF$150,MATCH(1,(GMW!$NE$2:$NE$150=U$3)*(GMW!$ND$2:$ND$150=U$4)*(GMW!$NF$2:$NF$150=U$1),0),$C237-1966)</f>
        <v>210669.9</v>
      </c>
      <c r="V237" s="4" cm="1">
        <f t="array" ref="V237">INDEX(GMW!$A$2:$NF$150,MATCH(1,(GMW!$NE$2:$NE$150=V$3)*(GMW!$ND$2:$ND$150=V$4)*(GMW!$NF$2:$NF$150=V$1),0),$C237-1966)</f>
        <v>79121</v>
      </c>
      <c r="W237" s="4" cm="1">
        <f t="array" ref="W237">INDEX(GMW!$A$2:$NF$150,MATCH(1,(GMW!$NE$2:$NE$150=W$3)*(GMW!$ND$2:$ND$150=W$4)*(GMW!$NF$2:$NF$150=W$1),0),$C237-1966)</f>
        <v>232402.6</v>
      </c>
      <c r="X237" s="4" cm="1">
        <f t="array" ref="X237">INDEX(GMW!$A$2:$NF$150,MATCH(1,(GMW!$NE$2:$NE$150=X$3)*(GMW!$ND$2:$ND$150=X$4)*(GMW!$NF$2:$NF$150=X$1),0),$C237-1966)</f>
        <v>124751.9</v>
      </c>
      <c r="Y237" s="4" cm="1">
        <f t="array" ref="Y237">INDEX(GMW!$A$2:$NF$150,MATCH(1,(GMW!$NE$2:$NE$150=Y$3)*(GMW!$ND$2:$ND$150=Y$4)*(GMW!$NF$2:$NF$150=Y$1),0),$C237-1966)</f>
        <v>128384.3</v>
      </c>
      <c r="Z237" s="4" cm="1">
        <f t="array" ref="Z237">INDEX(GMW!$A$2:$NF$150,MATCH(1,(GMW!$NE$2:$NE$150=Z$3)*(GMW!$ND$2:$ND$150=Z$4)*(GMW!$NF$2:$NF$150=Z$1),0),$C237-1966)</f>
        <v>72390.44</v>
      </c>
      <c r="AA237" s="4" cm="1">
        <f t="array" ref="AA237">INDEX(GMW!$A$2:$NF$150,MATCH(1,(GMW!$NE$2:$NE$150=AA$3)*(GMW!$ND$2:$ND$150=AA$4)*(GMW!$NF$2:$NF$150=AA$1),0),$C237-1966)</f>
        <v>702818.8</v>
      </c>
      <c r="AB237" s="4" cm="1">
        <f t="array" ref="AB237">INDEX(GMW!$A$2:$NF$150,MATCH(1,(GMW!$NE$2:$NE$150=AB$3)*(GMW!$ND$2:$ND$150=AB$4)*(GMW!$NF$2:$NF$150=AB$1),0),$C237-1966)</f>
        <v>35799.550000000003</v>
      </c>
      <c r="AC237" s="4" cm="1">
        <f t="array" ref="AC237">INDEX(GMW!$A$2:$NF$150,MATCH(1,(GMW!$NE$2:$NE$150=AC$3)*(GMW!$ND$2:$ND$150=AC$4)*(GMW!$NF$2:$NF$150=AC$1),0),$C237-1966)</f>
        <v>31.996880000000001</v>
      </c>
      <c r="AD237" s="4" cm="1">
        <f t="array" ref="AD237">INDEX(GMW!$A$2:$NF$150,MATCH(1,(GMW!$NE$2:$NE$150=AD$3)*(GMW!$ND$2:$ND$150=AD$4)*(GMW!$NF$2:$NF$150=AD$1),0),$C237-1966)</f>
        <v>653296.4</v>
      </c>
      <c r="AE237" s="4" cm="1">
        <f t="array" ref="AE237">INDEX(GMW!$A$2:$NF$150,MATCH(1,(GMW!$NE$2:$NE$150=AE$3)*(GMW!$ND$2:$ND$150=AE$4)*(GMW!$NF$2:$NF$150=AE$1),0),$C237-1966)</f>
        <v>45645.75</v>
      </c>
      <c r="AF237" s="4" cm="1">
        <f t="array" ref="AF237">INDEX(GMW!$A$2:$NF$150,MATCH(1,(GMW!$NE$2:$NE$150=AF$3)*(GMW!$ND$2:$ND$150=AF$4)*(GMW!$NF$2:$NF$150=AF$1),0),$C237-1966)</f>
        <v>3635926</v>
      </c>
      <c r="AG237" s="4" cm="1">
        <f t="array" ref="AG237">INDEX(GMW!$A$2:$NF$150,MATCH(1,(GMW!$NE$2:$NE$150=AG$3)*(GMW!$ND$2:$ND$150=AG$4)*(GMW!$NF$2:$NF$150=AG$1),0),$C237-1966)</f>
        <v>-1.689697</v>
      </c>
      <c r="AH237" s="4" cm="1">
        <f t="array" ref="AH237">INDEX(GMW!$A$2:$NF$150,MATCH(1,(GMW!$NE$2:$NE$150=AH$3)*(GMW!$ND$2:$ND$150=AH$4)*(GMW!$NF$2:$NF$150=AH$1),0),$C237-1966)</f>
        <v>703526.9</v>
      </c>
      <c r="AI237" s="4" cm="1">
        <f t="array" ref="AI237">INDEX(GMW!$A$2:$NF$150,MATCH(1,(GMW!$NE$2:$NE$150=AI$3)*(GMW!$ND$2:$ND$150=AI$4)*(GMW!$NF$2:$NF$150=AI$1),0),$C237-1966)</f>
        <v>153.45099999999999</v>
      </c>
      <c r="AJ237" s="4" cm="1">
        <f t="array" ref="AJ237">INDEX(GMW!$A$2:$NF$150,MATCH(1,(GMW!$NE$2:$NE$150=AJ$3)*(GMW!$ND$2:$ND$150=AJ$4)*(GMW!$NF$2:$NF$150=AJ$1),0),$C237-1966)</f>
        <v>215893.3</v>
      </c>
      <c r="AK237" s="4" cm="1">
        <f t="array" ref="AK237">INDEX(GMW!$A$2:$NF$150,MATCH(1,(GMW!$NE$2:$NE$150=AK$3)*(GMW!$ND$2:$ND$150=AK$4)*(GMW!$NF$2:$NF$150=AK$1),0),$C237-1966)</f>
        <v>81614.429999999993</v>
      </c>
      <c r="AL237" s="4" cm="1">
        <f t="array" ref="AL237">INDEX(GMW!$A$2:$NF$150,MATCH(1,(GMW!$NE$2:$NE$150=AL$3)*(GMW!$ND$2:$ND$150=AL$4)*(GMW!$NF$2:$NF$150=AL$1),0),$C237-1966)</f>
        <v>236705.6</v>
      </c>
      <c r="AM237" s="4" cm="1">
        <f t="array" ref="AM237">INDEX(GMW!$A$2:$NF$150,MATCH(1,(GMW!$NE$2:$NE$150=AM$3)*(GMW!$ND$2:$ND$150=AM$4)*(GMW!$NF$2:$NF$150=AM$1),0),$C237-1966)</f>
        <v>127956.9</v>
      </c>
      <c r="AN237" s="4" cm="1">
        <f t="array" ref="AN237">INDEX(GMW!$A$2:$NF$150,MATCH(1,(GMW!$NE$2:$NE$150=AN$3)*(GMW!$ND$2:$ND$150=AN$4)*(GMW!$NF$2:$NF$150=AN$1),0),$C237-1966)</f>
        <v>128506.4</v>
      </c>
      <c r="AO237" s="4" cm="1">
        <f t="array" ref="AO237">INDEX(GMW!$A$2:$NF$150,MATCH(1,(GMW!$NE$2:$NE$150=AO$3)*(GMW!$ND$2:$ND$150=AO$4)*(GMW!$NF$2:$NF$150=AO$1),0),$C237-1966)</f>
        <v>73434.84</v>
      </c>
      <c r="AP237" s="4" cm="1">
        <f t="array" ref="AP237">INDEX(GMW!$A$2:$NF$150,MATCH(1,(GMW!$NE$2:$NE$150=AP$3)*(GMW!$ND$2:$ND$150=AP$4)*(GMW!$NF$2:$NF$150=AP$1),0),$C237-1966)</f>
        <v>704004.1</v>
      </c>
      <c r="AQ237" s="4" cm="1">
        <f t="array" ref="AQ237">INDEX(GMW!$A$2:$NF$150,MATCH(1,(GMW!$NE$2:$NE$150=AQ$3)*(GMW!$ND$2:$ND$150=AQ$4)*(GMW!$NF$2:$NF$150=AQ$1),0),$C237-1966)</f>
        <v>35754.97</v>
      </c>
      <c r="AR237" s="4" cm="1">
        <f t="array" ref="AR237">INDEX(GMW!$A$2:$NF$150,MATCH(1,(GMW!$NE$2:$NE$150=AR$3)*(GMW!$ND$2:$ND$150=AR$4)*(GMW!$NF$2:$NF$150=AR$1),0),$C237-1966)</f>
        <v>31.996880000000001</v>
      </c>
      <c r="AS237" s="4" cm="1">
        <f t="array" ref="AS237">INDEX(GMW!$A$2:$NF$150,MATCH(1,(GMW!$NE$2:$NE$150=AS$3)*(GMW!$ND$2:$ND$150=AS$4)*(GMW!$NF$2:$NF$150=AS$1),0),$C237-1966)</f>
        <v>651772.1</v>
      </c>
      <c r="AT237" s="4" cm="1">
        <f t="array" ref="AT237">INDEX(GMW!$A$2:$NF$150,MATCH(1,(GMW!$NE$2:$NE$150=AT$3)*(GMW!$ND$2:$ND$150=AT$4)*(GMW!$NF$2:$NF$150=AT$1),0),$C237-1966)</f>
        <v>45538.62</v>
      </c>
      <c r="AU237" s="4" cm="1">
        <f t="array" ref="AU237">INDEX(GMW!$A$2:$NF$150,MATCH(1,(GMW!$NE$2:$NE$150=AU$3)*(GMW!$ND$2:$ND$150=AU$4)*(GMW!$NF$2:$NF$150=AU$1),0),$C237-1966)</f>
        <v>3641710</v>
      </c>
      <c r="AV237" s="4" cm="1">
        <f t="array" ref="AV237">INDEX(GMW!$A$2:$NF$150,MATCH(1,(GMW!$NE$2:$NE$150=AV$3)*(GMW!$ND$2:$ND$150=AV$4)*(GMW!$NF$2:$NF$150=AV$1),0),$C237-1966)</f>
        <v>-1.6877549999999999</v>
      </c>
    </row>
    <row r="238" spans="1:48" x14ac:dyDescent="0.25">
      <c r="B238" s="4">
        <f t="shared" si="10"/>
        <v>2030</v>
      </c>
      <c r="C238" s="4">
        <f t="shared" si="9"/>
        <v>2204</v>
      </c>
      <c r="D238" s="4" cm="1">
        <f t="array" ref="D238">INDEX(GMW!$A$2:$NF$150,MATCH(1,(GMW!$NE$2:$NE$150=D$3)*(GMW!$ND$2:$ND$150=D$4)*(GMW!$NF$2:$NF$150=D$1),0),$C238-1966)</f>
        <v>701162.1</v>
      </c>
      <c r="E238" s="4" cm="1">
        <f t="array" ref="E238">INDEX(GMW!$A$2:$NF$150,MATCH(1,(GMW!$NE$2:$NE$150=E$3)*(GMW!$ND$2:$ND$150=E$4)*(GMW!$NF$2:$NF$150=E$1),0),$C238-1966)</f>
        <v>155.34559999999999</v>
      </c>
      <c r="F238" s="4" cm="1">
        <f t="array" ref="F238">INDEX(GMW!$A$2:$NF$150,MATCH(1,(GMW!$NE$2:$NE$150=F$3)*(GMW!$ND$2:$ND$150=F$4)*(GMW!$NF$2:$NF$150=F$1),0),$C238-1966)</f>
        <v>220482.4</v>
      </c>
      <c r="G238" s="4" cm="1">
        <f t="array" ref="G238">INDEX(GMW!$A$2:$NF$150,MATCH(1,(GMW!$NE$2:$NE$150=G$3)*(GMW!$ND$2:$ND$150=G$4)*(GMW!$NF$2:$NF$150=G$1),0),$C238-1966)</f>
        <v>75525.62</v>
      </c>
      <c r="H238" s="4" cm="1">
        <f t="array" ref="H238">INDEX(GMW!$A$2:$NF$150,MATCH(1,(GMW!$NE$2:$NE$150=H$3)*(GMW!$ND$2:$ND$150=H$4)*(GMW!$NF$2:$NF$150=H$1),0),$C238-1966)</f>
        <v>241007.8</v>
      </c>
      <c r="I238" s="4" cm="1">
        <f t="array" ref="I238">INDEX(GMW!$A$2:$NF$150,MATCH(1,(GMW!$NE$2:$NE$150=I$3)*(GMW!$ND$2:$ND$150=I$4)*(GMW!$NF$2:$NF$150=I$1),0),$C238-1966)</f>
        <v>130560.9</v>
      </c>
      <c r="J238" s="4" cm="1">
        <f t="array" ref="J238">INDEX(GMW!$A$2:$NF$150,MATCH(1,(GMW!$NE$2:$NE$150=J$3)*(GMW!$ND$2:$ND$150=J$4)*(GMW!$NF$2:$NF$150=J$1),0),$C238-1966)</f>
        <v>127019.8</v>
      </c>
      <c r="K238" s="4" cm="1">
        <f t="array" ref="K238">INDEX(GMW!$A$2:$NF$150,MATCH(1,(GMW!$NE$2:$NE$150=K$3)*(GMW!$ND$2:$ND$150=K$4)*(GMW!$NF$2:$NF$150=K$1),0),$C238-1966)</f>
        <v>70341.31</v>
      </c>
      <c r="L238" s="4" cm="1">
        <f t="array" ref="L238">INDEX(GMW!$A$2:$NF$150,MATCH(1,(GMW!$NE$2:$NE$150=L$3)*(GMW!$ND$2:$ND$150=L$4)*(GMW!$NF$2:$NF$150=L$1),0),$C238-1966)</f>
        <v>702260.7</v>
      </c>
      <c r="M238" s="4" cm="1">
        <f t="array" ref="M238">INDEX(GMW!$A$2:$NF$150,MATCH(1,(GMW!$NE$2:$NE$150=M$3)*(GMW!$ND$2:$ND$150=M$4)*(GMW!$NF$2:$NF$150=M$1),0),$C238-1966)</f>
        <v>35908.1</v>
      </c>
      <c r="N238" s="4" cm="1">
        <f t="array" ref="N238">INDEX(GMW!$A$2:$NF$150,MATCH(1,(GMW!$NE$2:$NE$150=N$3)*(GMW!$ND$2:$ND$150=N$4)*(GMW!$NF$2:$NF$150=N$1),0),$C238-1966)</f>
        <v>31.996670000000002</v>
      </c>
      <c r="O238" s="4" cm="1">
        <f t="array" ref="O238">INDEX(GMW!$A$2:$NF$150,MATCH(1,(GMW!$NE$2:$NE$150=O$3)*(GMW!$ND$2:$ND$150=O$4)*(GMW!$NF$2:$NF$150=O$1),0),$C238-1966)</f>
        <v>654403.4</v>
      </c>
      <c r="P238" s="4" cm="1">
        <f t="array" ref="P238">INDEX(GMW!$A$2:$NF$150,MATCH(1,(GMW!$NE$2:$NE$150=P$3)*(GMW!$ND$2:$ND$150=P$4)*(GMW!$NF$2:$NF$150=P$1),0),$C238-1966)</f>
        <v>45664.04</v>
      </c>
      <c r="Q238" s="4" cm="1">
        <f t="array" ref="Q238">INDEX(GMW!$A$2:$NF$150,MATCH(1,(GMW!$NE$2:$NE$150=Q$3)*(GMW!$ND$2:$ND$150=Q$4)*(GMW!$NF$2:$NF$150=Q$1),0),$C238-1966)</f>
        <v>3623030</v>
      </c>
      <c r="R238" s="4" cm="1">
        <f t="array" ref="R238">INDEX(GMW!$A$2:$NF$150,MATCH(1,(GMW!$NE$2:$NE$150=R$3)*(GMW!$ND$2:$ND$150=R$4)*(GMW!$NF$2:$NF$150=R$1),0),$C238-1966)</f>
        <v>-1.6917249999999999</v>
      </c>
      <c r="S238" s="4" cm="1">
        <f t="array" ref="S238">INDEX(GMW!$A$2:$NF$150,MATCH(1,(GMW!$NE$2:$NE$150=S$3)*(GMW!$ND$2:$ND$150=S$4)*(GMW!$NF$2:$NF$150=S$1),0),$C238-1966)</f>
        <v>705218.4</v>
      </c>
      <c r="T238" s="4" cm="1">
        <f t="array" ref="T238">INDEX(GMW!$A$2:$NF$150,MATCH(1,(GMW!$NE$2:$NE$150=T$3)*(GMW!$ND$2:$ND$150=T$4)*(GMW!$NF$2:$NF$150=T$1),0),$C238-1966)</f>
        <v>155.30950000000001</v>
      </c>
      <c r="U238" s="4" cm="1">
        <f t="array" ref="U238">INDEX(GMW!$A$2:$NF$150,MATCH(1,(GMW!$NE$2:$NE$150=U$3)*(GMW!$ND$2:$ND$150=U$4)*(GMW!$NF$2:$NF$150=U$1),0),$C238-1966)</f>
        <v>211414.5</v>
      </c>
      <c r="V238" s="4" cm="1">
        <f t="array" ref="V238">INDEX(GMW!$A$2:$NF$150,MATCH(1,(GMW!$NE$2:$NE$150=V$3)*(GMW!$ND$2:$ND$150=V$4)*(GMW!$NF$2:$NF$150=V$1),0),$C238-1966)</f>
        <v>79366.27</v>
      </c>
      <c r="W238" s="4" cm="1">
        <f t="array" ref="W238">INDEX(GMW!$A$2:$NF$150,MATCH(1,(GMW!$NE$2:$NE$150=W$3)*(GMW!$ND$2:$ND$150=W$4)*(GMW!$NF$2:$NF$150=W$1),0),$C238-1966)</f>
        <v>233292.79999999999</v>
      </c>
      <c r="X238" s="4" cm="1">
        <f t="array" ref="X238">INDEX(GMW!$A$2:$NF$150,MATCH(1,(GMW!$NE$2:$NE$150=X$3)*(GMW!$ND$2:$ND$150=X$4)*(GMW!$NF$2:$NF$150=X$1),0),$C238-1966)</f>
        <v>125201</v>
      </c>
      <c r="Y238" s="4" cm="1">
        <f t="array" ref="Y238">INDEX(GMW!$A$2:$NF$150,MATCH(1,(GMW!$NE$2:$NE$150=Y$3)*(GMW!$ND$2:$ND$150=Y$4)*(GMW!$NF$2:$NF$150=Y$1),0),$C238-1966)</f>
        <v>129065.4</v>
      </c>
      <c r="Z238" s="4" cm="1">
        <f t="array" ref="Z238">INDEX(GMW!$A$2:$NF$150,MATCH(1,(GMW!$NE$2:$NE$150=Z$3)*(GMW!$ND$2:$ND$150=Z$4)*(GMW!$NF$2:$NF$150=Z$1),0),$C238-1966)</f>
        <v>72832.02</v>
      </c>
      <c r="AA238" s="4" cm="1">
        <f t="array" ref="AA238">INDEX(GMW!$A$2:$NF$150,MATCH(1,(GMW!$NE$2:$NE$150=AA$3)*(GMW!$ND$2:$ND$150=AA$4)*(GMW!$NF$2:$NF$150=AA$1),0),$C238-1966)</f>
        <v>705459.19999999995</v>
      </c>
      <c r="AB238" s="4" cm="1">
        <f t="array" ref="AB238">INDEX(GMW!$A$2:$NF$150,MATCH(1,(GMW!$NE$2:$NE$150=AB$3)*(GMW!$ND$2:$ND$150=AB$4)*(GMW!$NF$2:$NF$150=AB$1),0),$C238-1966)</f>
        <v>35876.519999999997</v>
      </c>
      <c r="AC238" s="4" cm="1">
        <f t="array" ref="AC238">INDEX(GMW!$A$2:$NF$150,MATCH(1,(GMW!$NE$2:$NE$150=AC$3)*(GMW!$ND$2:$ND$150=AC$4)*(GMW!$NF$2:$NF$150=AC$1),0),$C238-1966)</f>
        <v>31.996670000000002</v>
      </c>
      <c r="AD238" s="4" cm="1">
        <f t="array" ref="AD238">INDEX(GMW!$A$2:$NF$150,MATCH(1,(GMW!$NE$2:$NE$150=AD$3)*(GMW!$ND$2:$ND$150=AD$4)*(GMW!$NF$2:$NF$150=AD$1),0),$C238-1966)</f>
        <v>654403.4</v>
      </c>
      <c r="AE238" s="4" cm="1">
        <f t="array" ref="AE238">INDEX(GMW!$A$2:$NF$150,MATCH(1,(GMW!$NE$2:$NE$150=AE$3)*(GMW!$ND$2:$ND$150=AE$4)*(GMW!$NF$2:$NF$150=AE$1),0),$C238-1966)</f>
        <v>45664.04</v>
      </c>
      <c r="AF238" s="4" cm="1">
        <f t="array" ref="AF238">INDEX(GMW!$A$2:$NF$150,MATCH(1,(GMW!$NE$2:$NE$150=AF$3)*(GMW!$ND$2:$ND$150=AF$4)*(GMW!$NF$2:$NF$150=AF$1),0),$C238-1966)</f>
        <v>3650459</v>
      </c>
      <c r="AG238" s="4" cm="1">
        <f t="array" ref="AG238">INDEX(GMW!$A$2:$NF$150,MATCH(1,(GMW!$NE$2:$NE$150=AG$3)*(GMW!$ND$2:$ND$150=AG$4)*(GMW!$NF$2:$NF$150=AG$1),0),$C238-1966)</f>
        <v>-1.689106</v>
      </c>
      <c r="AH238" s="4" cm="1">
        <f t="array" ref="AH238">INDEX(GMW!$A$2:$NF$150,MATCH(1,(GMW!$NE$2:$NE$150=AH$3)*(GMW!$ND$2:$ND$150=AH$4)*(GMW!$NF$2:$NF$150=AH$1),0),$C238-1966)</f>
        <v>706340.9</v>
      </c>
      <c r="AI238" s="4" cm="1">
        <f t="array" ref="AI238">INDEX(GMW!$A$2:$NF$150,MATCH(1,(GMW!$NE$2:$NE$150=AI$3)*(GMW!$ND$2:$ND$150=AI$4)*(GMW!$NF$2:$NF$150=AI$1),0),$C238-1966)</f>
        <v>154.21019999999999</v>
      </c>
      <c r="AJ238" s="4" cm="1">
        <f t="array" ref="AJ238">INDEX(GMW!$A$2:$NF$150,MATCH(1,(GMW!$NE$2:$NE$150=AJ$3)*(GMW!$ND$2:$ND$150=AJ$4)*(GMW!$NF$2:$NF$150=AJ$1),0),$C238-1966)</f>
        <v>216643.7</v>
      </c>
      <c r="AK238" s="4" cm="1">
        <f t="array" ref="AK238">INDEX(GMW!$A$2:$NF$150,MATCH(1,(GMW!$NE$2:$NE$150=AK$3)*(GMW!$ND$2:$ND$150=AK$4)*(GMW!$NF$2:$NF$150=AK$1),0),$C238-1966)</f>
        <v>81867.429999999993</v>
      </c>
      <c r="AL238" s="4" cm="1">
        <f t="array" ref="AL238">INDEX(GMW!$A$2:$NF$150,MATCH(1,(GMW!$NE$2:$NE$150=AL$3)*(GMW!$ND$2:$ND$150=AL$4)*(GMW!$NF$2:$NF$150=AL$1),0),$C238-1966)</f>
        <v>237606.3</v>
      </c>
      <c r="AM238" s="4" cm="1">
        <f t="array" ref="AM238">INDEX(GMW!$A$2:$NF$150,MATCH(1,(GMW!$NE$2:$NE$150=AM$3)*(GMW!$ND$2:$ND$150=AM$4)*(GMW!$NF$2:$NF$150=AM$1),0),$C238-1966)</f>
        <v>128417.60000000001</v>
      </c>
      <c r="AN238" s="4" cm="1">
        <f t="array" ref="AN238">INDEX(GMW!$A$2:$NF$150,MATCH(1,(GMW!$NE$2:$NE$150=AN$3)*(GMW!$ND$2:$ND$150=AN$4)*(GMW!$NF$2:$NF$150=AN$1),0),$C238-1966)</f>
        <v>129189.6</v>
      </c>
      <c r="AO238" s="4" cm="1">
        <f t="array" ref="AO238">INDEX(GMW!$A$2:$NF$150,MATCH(1,(GMW!$NE$2:$NE$150=AO$3)*(GMW!$ND$2:$ND$150=AO$4)*(GMW!$NF$2:$NF$150=AO$1),0),$C238-1966)</f>
        <v>73882.8</v>
      </c>
      <c r="AP238" s="4" cm="1">
        <f t="array" ref="AP238">INDEX(GMW!$A$2:$NF$150,MATCH(1,(GMW!$NE$2:$NE$150=AP$3)*(GMW!$ND$2:$ND$150=AP$4)*(GMW!$NF$2:$NF$150=AP$1),0),$C238-1966)</f>
        <v>706678</v>
      </c>
      <c r="AQ238" s="4" cm="1">
        <f t="array" ref="AQ238">INDEX(GMW!$A$2:$NF$150,MATCH(1,(GMW!$NE$2:$NE$150=AQ$3)*(GMW!$ND$2:$ND$150=AQ$4)*(GMW!$NF$2:$NF$150=AQ$1),0),$C238-1966)</f>
        <v>35833.629999999997</v>
      </c>
      <c r="AR238" s="4" cm="1">
        <f t="array" ref="AR238">INDEX(GMW!$A$2:$NF$150,MATCH(1,(GMW!$NE$2:$NE$150=AR$3)*(GMW!$ND$2:$ND$150=AR$4)*(GMW!$NF$2:$NF$150=AR$1),0),$C238-1966)</f>
        <v>31.996670000000002</v>
      </c>
      <c r="AS238" s="4" cm="1">
        <f t="array" ref="AS238">INDEX(GMW!$A$2:$NF$150,MATCH(1,(GMW!$NE$2:$NE$150=AS$3)*(GMW!$ND$2:$ND$150=AS$4)*(GMW!$NF$2:$NF$150=AS$1),0),$C238-1966)</f>
        <v>652802.9</v>
      </c>
      <c r="AT238" s="4" cm="1">
        <f t="array" ref="AT238">INDEX(GMW!$A$2:$NF$150,MATCH(1,(GMW!$NE$2:$NE$150=AT$3)*(GMW!$ND$2:$ND$150=AT$4)*(GMW!$NF$2:$NF$150=AT$1),0),$C238-1966)</f>
        <v>45551.59</v>
      </c>
      <c r="AU238" s="4" cm="1">
        <f t="array" ref="AU238">INDEX(GMW!$A$2:$NF$150,MATCH(1,(GMW!$NE$2:$NE$150=AU$3)*(GMW!$ND$2:$ND$150=AU$4)*(GMW!$NF$2:$NF$150=AU$1),0),$C238-1966)</f>
        <v>3656340</v>
      </c>
      <c r="AV238" s="4" cm="1">
        <f t="array" ref="AV238">INDEX(GMW!$A$2:$NF$150,MATCH(1,(GMW!$NE$2:$NE$150=AV$3)*(GMW!$ND$2:$ND$150=AV$4)*(GMW!$NF$2:$NF$150=AV$1),0),$C238-1966)</f>
        <v>-1.6871640000000001</v>
      </c>
    </row>
    <row r="239" spans="1:48" x14ac:dyDescent="0.25">
      <c r="A239" s="4">
        <v>2031</v>
      </c>
      <c r="B239" s="4">
        <f t="shared" si="10"/>
        <v>2031</v>
      </c>
      <c r="C239" s="4">
        <f t="shared" si="9"/>
        <v>2205</v>
      </c>
      <c r="D239" s="4" cm="1">
        <f t="array" ref="D239">INDEX(GMW!$A$2:$NF$150,MATCH(1,(GMW!$NE$2:$NE$150=D$3)*(GMW!$ND$2:$ND$150=D$4)*(GMW!$NF$2:$NF$150=D$1),0),$C239-1966)</f>
        <v>703966.8</v>
      </c>
      <c r="E239" s="4" cm="1">
        <f t="array" ref="E239">INDEX(GMW!$A$2:$NF$150,MATCH(1,(GMW!$NE$2:$NE$150=E$3)*(GMW!$ND$2:$ND$150=E$4)*(GMW!$NF$2:$NF$150=E$1),0),$C239-1966)</f>
        <v>155.67269999999999</v>
      </c>
      <c r="F239" s="4" cm="1">
        <f t="array" ref="F239">INDEX(GMW!$A$2:$NF$150,MATCH(1,(GMW!$NE$2:$NE$150=F$3)*(GMW!$ND$2:$ND$150=F$4)*(GMW!$NF$2:$NF$150=F$1),0),$C239-1966)</f>
        <v>221278.8</v>
      </c>
      <c r="G239" s="4" cm="1">
        <f t="array" ref="G239">INDEX(GMW!$A$2:$NF$150,MATCH(1,(GMW!$NE$2:$NE$150=G$3)*(GMW!$ND$2:$ND$150=G$4)*(GMW!$NF$2:$NF$150=G$1),0),$C239-1966)</f>
        <v>75759.75</v>
      </c>
      <c r="H239" s="4" cm="1">
        <f t="array" ref="H239">INDEX(GMW!$A$2:$NF$150,MATCH(1,(GMW!$NE$2:$NE$150=H$3)*(GMW!$ND$2:$ND$150=H$4)*(GMW!$NF$2:$NF$150=H$1),0),$C239-1966)</f>
        <v>241939.7</v>
      </c>
      <c r="I239" s="4" cm="1">
        <f t="array" ref="I239">INDEX(GMW!$A$2:$NF$150,MATCH(1,(GMW!$NE$2:$NE$150=I$3)*(GMW!$ND$2:$ND$150=I$4)*(GMW!$NF$2:$NF$150=I$1),0),$C239-1966)</f>
        <v>131030.9</v>
      </c>
      <c r="J239" s="4" cm="1">
        <f t="array" ref="J239">INDEX(GMW!$A$2:$NF$150,MATCH(1,(GMW!$NE$2:$NE$150=J$3)*(GMW!$ND$2:$ND$150=J$4)*(GMW!$NF$2:$NF$150=J$1),0),$C239-1966)</f>
        <v>127691.5</v>
      </c>
      <c r="K239" s="4" cm="1">
        <f t="array" ref="K239">INDEX(GMW!$A$2:$NF$150,MATCH(1,(GMW!$NE$2:$NE$150=K$3)*(GMW!$ND$2:$ND$150=K$4)*(GMW!$NF$2:$NF$150=K$1),0),$C239-1966)</f>
        <v>70770.39</v>
      </c>
      <c r="L239" s="4" cm="1">
        <f t="array" ref="L239">INDEX(GMW!$A$2:$NF$150,MATCH(1,(GMW!$NE$2:$NE$150=L$3)*(GMW!$ND$2:$ND$150=L$4)*(GMW!$NF$2:$NF$150=L$1),0),$C239-1966)</f>
        <v>704812.3</v>
      </c>
      <c r="M239" s="4" cm="1">
        <f t="array" ref="M239">INDEX(GMW!$A$2:$NF$150,MATCH(1,(GMW!$NE$2:$NE$150=M$3)*(GMW!$ND$2:$ND$150=M$4)*(GMW!$NF$2:$NF$150=M$1),0),$C239-1966)</f>
        <v>35976.32</v>
      </c>
      <c r="N239" s="4" cm="1">
        <f t="array" ref="N239">INDEX(GMW!$A$2:$NF$150,MATCH(1,(GMW!$NE$2:$NE$150=N$3)*(GMW!$ND$2:$ND$150=N$4)*(GMW!$NF$2:$NF$150=N$1),0),$C239-1966)</f>
        <v>31.996459999999999</v>
      </c>
      <c r="O239" s="4" cm="1">
        <f t="array" ref="O239">INDEX(GMW!$A$2:$NF$150,MATCH(1,(GMW!$NE$2:$NE$150=O$3)*(GMW!$ND$2:$ND$150=O$4)*(GMW!$NF$2:$NF$150=O$1),0),$C239-1966)</f>
        <v>655498.6</v>
      </c>
      <c r="P239" s="4" cm="1">
        <f t="array" ref="P239">INDEX(GMW!$A$2:$NF$150,MATCH(1,(GMW!$NE$2:$NE$150=P$3)*(GMW!$ND$2:$ND$150=P$4)*(GMW!$NF$2:$NF$150=P$1),0),$C239-1966)</f>
        <v>45682.32</v>
      </c>
      <c r="Q239" s="4" cm="1">
        <f t="array" ref="Q239">INDEX(GMW!$A$2:$NF$150,MATCH(1,(GMW!$NE$2:$NE$150=Q$3)*(GMW!$ND$2:$ND$150=Q$4)*(GMW!$NF$2:$NF$150=Q$1),0),$C239-1966)</f>
        <v>3636224</v>
      </c>
      <c r="R239" s="4" cm="1">
        <f t="array" ref="R239">INDEX(GMW!$A$2:$NF$150,MATCH(1,(GMW!$NE$2:$NE$150=R$3)*(GMW!$ND$2:$ND$150=R$4)*(GMW!$NF$2:$NF$150=R$1),0),$C239-1966)</f>
        <v>-1.6909639999999999</v>
      </c>
      <c r="S239" s="4" cm="1">
        <f t="array" ref="S239">INDEX(GMW!$A$2:$NF$150,MATCH(1,(GMW!$NE$2:$NE$150=S$3)*(GMW!$ND$2:$ND$150=S$4)*(GMW!$NF$2:$NF$150=S$1),0),$C239-1966)</f>
        <v>708004</v>
      </c>
      <c r="T239" s="4" cm="1">
        <f t="array" ref="T239">INDEX(GMW!$A$2:$NF$150,MATCH(1,(GMW!$NE$2:$NE$150=T$3)*(GMW!$ND$2:$ND$150=T$4)*(GMW!$NF$2:$NF$150=T$1),0),$C239-1966)</f>
        <v>155.57900000000001</v>
      </c>
      <c r="U239" s="4" cm="1">
        <f t="array" ref="U239">INDEX(GMW!$A$2:$NF$150,MATCH(1,(GMW!$NE$2:$NE$150=U$3)*(GMW!$ND$2:$ND$150=U$4)*(GMW!$NF$2:$NF$150=U$1),0),$C239-1966)</f>
        <v>212162.6</v>
      </c>
      <c r="V239" s="4" cm="1">
        <f t="array" ref="V239">INDEX(GMW!$A$2:$NF$150,MATCH(1,(GMW!$NE$2:$NE$150=V$3)*(GMW!$ND$2:$ND$150=V$4)*(GMW!$NF$2:$NF$150=V$1),0),$C239-1966)</f>
        <v>79612.31</v>
      </c>
      <c r="W239" s="4" cm="1">
        <f t="array" ref="W239">INDEX(GMW!$A$2:$NF$150,MATCH(1,(GMW!$NE$2:$NE$150=W$3)*(GMW!$ND$2:$ND$150=W$4)*(GMW!$NF$2:$NF$150=W$1),0),$C239-1966)</f>
        <v>234186.8</v>
      </c>
      <c r="X239" s="4" cm="1">
        <f t="array" ref="X239">INDEX(GMW!$A$2:$NF$150,MATCH(1,(GMW!$NE$2:$NE$150=X$3)*(GMW!$ND$2:$ND$150=X$4)*(GMW!$NF$2:$NF$150=X$1),0),$C239-1966)</f>
        <v>125651.7</v>
      </c>
      <c r="Y239" s="4" cm="1">
        <f t="array" ref="Y239">INDEX(GMW!$A$2:$NF$150,MATCH(1,(GMW!$NE$2:$NE$150=Y$3)*(GMW!$ND$2:$ND$150=Y$4)*(GMW!$NF$2:$NF$150=Y$1),0),$C239-1966)</f>
        <v>129750.1</v>
      </c>
      <c r="Z239" s="4" cm="1">
        <f t="array" ref="Z239">INDEX(GMW!$A$2:$NF$150,MATCH(1,(GMW!$NE$2:$NE$150=Z$3)*(GMW!$ND$2:$ND$150=Z$4)*(GMW!$NF$2:$NF$150=Z$1),0),$C239-1966)</f>
        <v>73276.289999999994</v>
      </c>
      <c r="AA239" s="4" cm="1">
        <f t="array" ref="AA239">INDEX(GMW!$A$2:$NF$150,MATCH(1,(GMW!$NE$2:$NE$150=AA$3)*(GMW!$ND$2:$ND$150=AA$4)*(GMW!$NF$2:$NF$150=AA$1),0),$C239-1966)</f>
        <v>708154.8</v>
      </c>
      <c r="AB239" s="4" cm="1">
        <f t="array" ref="AB239">INDEX(GMW!$A$2:$NF$150,MATCH(1,(GMW!$NE$2:$NE$150=AB$3)*(GMW!$ND$2:$ND$150=AB$4)*(GMW!$NF$2:$NF$150=AB$1),0),$C239-1966)</f>
        <v>35951.86</v>
      </c>
      <c r="AC239" s="4" cm="1">
        <f t="array" ref="AC239">INDEX(GMW!$A$2:$NF$150,MATCH(1,(GMW!$NE$2:$NE$150=AC$3)*(GMW!$ND$2:$ND$150=AC$4)*(GMW!$NF$2:$NF$150=AC$1),0),$C239-1966)</f>
        <v>31.996459999999999</v>
      </c>
      <c r="AD239" s="4" cm="1">
        <f t="array" ref="AD239">INDEX(GMW!$A$2:$NF$150,MATCH(1,(GMW!$NE$2:$NE$150=AD$3)*(GMW!$ND$2:$ND$150=AD$4)*(GMW!$NF$2:$NF$150=AD$1),0),$C239-1966)</f>
        <v>655498.6</v>
      </c>
      <c r="AE239" s="4" cm="1">
        <f t="array" ref="AE239">INDEX(GMW!$A$2:$NF$150,MATCH(1,(GMW!$NE$2:$NE$150=AE$3)*(GMW!$ND$2:$ND$150=AE$4)*(GMW!$NF$2:$NF$150=AE$1),0),$C239-1966)</f>
        <v>45682.32</v>
      </c>
      <c r="AF239" s="4" cm="1">
        <f t="array" ref="AF239">INDEX(GMW!$A$2:$NF$150,MATCH(1,(GMW!$NE$2:$NE$150=AF$3)*(GMW!$ND$2:$ND$150=AF$4)*(GMW!$NF$2:$NF$150=AF$1),0),$C239-1966)</f>
        <v>3665222</v>
      </c>
      <c r="AG239" s="4" cm="1">
        <f t="array" ref="AG239">INDEX(GMW!$A$2:$NF$150,MATCH(1,(GMW!$NE$2:$NE$150=AG$3)*(GMW!$ND$2:$ND$150=AG$4)*(GMW!$NF$2:$NF$150=AG$1),0),$C239-1966)</f>
        <v>-1.6884300000000001</v>
      </c>
      <c r="AH239" s="4" cm="1">
        <f t="array" ref="AH239">INDEX(GMW!$A$2:$NF$150,MATCH(1,(GMW!$NE$2:$NE$150=AH$3)*(GMW!$ND$2:$ND$150=AH$4)*(GMW!$NF$2:$NF$150=AH$1),0),$C239-1966)</f>
        <v>709166.3</v>
      </c>
      <c r="AI239" s="4" cm="1">
        <f t="array" ref="AI239">INDEX(GMW!$A$2:$NF$150,MATCH(1,(GMW!$NE$2:$NE$150=AI$3)*(GMW!$ND$2:$ND$150=AI$4)*(GMW!$NF$2:$NF$150=AI$1),0),$C239-1966)</f>
        <v>154.50309999999999</v>
      </c>
      <c r="AJ239" s="4" cm="1">
        <f t="array" ref="AJ239">INDEX(GMW!$A$2:$NF$150,MATCH(1,(GMW!$NE$2:$NE$150=AJ$3)*(GMW!$ND$2:$ND$150=AJ$4)*(GMW!$NF$2:$NF$150=AJ$1),0),$C239-1966)</f>
        <v>217397.6</v>
      </c>
      <c r="AK239" s="4" cm="1">
        <f t="array" ref="AK239">INDEX(GMW!$A$2:$NF$150,MATCH(1,(GMW!$NE$2:$NE$150=AK$3)*(GMW!$ND$2:$ND$150=AK$4)*(GMW!$NF$2:$NF$150=AK$1),0),$C239-1966)</f>
        <v>82121.22</v>
      </c>
      <c r="AL239" s="4" cm="1">
        <f t="array" ref="AL239">INDEX(GMW!$A$2:$NF$150,MATCH(1,(GMW!$NE$2:$NE$150=AL$3)*(GMW!$ND$2:$ND$150=AL$4)*(GMW!$NF$2:$NF$150=AL$1),0),$C239-1966)</f>
        <v>238510.9</v>
      </c>
      <c r="AM239" s="4" cm="1">
        <f t="array" ref="AM239">INDEX(GMW!$A$2:$NF$150,MATCH(1,(GMW!$NE$2:$NE$150=AM$3)*(GMW!$ND$2:$ND$150=AM$4)*(GMW!$NF$2:$NF$150=AM$1),0),$C239-1966)</f>
        <v>128879.9</v>
      </c>
      <c r="AN239" s="4" cm="1">
        <f t="array" ref="AN239">INDEX(GMW!$A$2:$NF$150,MATCH(1,(GMW!$NE$2:$NE$150=AN$3)*(GMW!$ND$2:$ND$150=AN$4)*(GMW!$NF$2:$NF$150=AN$1),0),$C239-1966)</f>
        <v>129876.6</v>
      </c>
      <c r="AO239" s="4" cm="1">
        <f t="array" ref="AO239">INDEX(GMW!$A$2:$NF$150,MATCH(1,(GMW!$NE$2:$NE$150=AO$3)*(GMW!$ND$2:$ND$150=AO$4)*(GMW!$NF$2:$NF$150=AO$1),0),$C239-1966)</f>
        <v>74333.48</v>
      </c>
      <c r="AP239" s="4" cm="1">
        <f t="array" ref="AP239">INDEX(GMW!$A$2:$NF$150,MATCH(1,(GMW!$NE$2:$NE$150=AP$3)*(GMW!$ND$2:$ND$150=AP$4)*(GMW!$NF$2:$NF$150=AP$1),0),$C239-1966)</f>
        <v>709368.8</v>
      </c>
      <c r="AQ239" s="4" cm="1">
        <f t="array" ref="AQ239">INDEX(GMW!$A$2:$NF$150,MATCH(1,(GMW!$NE$2:$NE$150=AQ$3)*(GMW!$ND$2:$ND$150=AQ$4)*(GMW!$NF$2:$NF$150=AQ$1),0),$C239-1966)</f>
        <v>35912.46</v>
      </c>
      <c r="AR239" s="4" cm="1">
        <f t="array" ref="AR239">INDEX(GMW!$A$2:$NF$150,MATCH(1,(GMW!$NE$2:$NE$150=AR$3)*(GMW!$ND$2:$ND$150=AR$4)*(GMW!$NF$2:$NF$150=AR$1),0),$C239-1966)</f>
        <v>31.996459999999999</v>
      </c>
      <c r="AS239" s="4" cm="1">
        <f t="array" ref="AS239">INDEX(GMW!$A$2:$NF$150,MATCH(1,(GMW!$NE$2:$NE$150=AS$3)*(GMW!$ND$2:$ND$150=AS$4)*(GMW!$NF$2:$NF$150=AS$1),0),$C239-1966)</f>
        <v>653822.30000000005</v>
      </c>
      <c r="AT239" s="4" cm="1">
        <f t="array" ref="AT239">INDEX(GMW!$A$2:$NF$150,MATCH(1,(GMW!$NE$2:$NE$150=AT$3)*(GMW!$ND$2:$ND$150=AT$4)*(GMW!$NF$2:$NF$150=AT$1),0),$C239-1966)</f>
        <v>45564.57</v>
      </c>
      <c r="AU239" s="4" cm="1">
        <f t="array" ref="AU239">INDEX(GMW!$A$2:$NF$150,MATCH(1,(GMW!$NE$2:$NE$150=AU$3)*(GMW!$ND$2:$ND$150=AU$4)*(GMW!$NF$2:$NF$150=AU$1),0),$C239-1966)</f>
        <v>3671201</v>
      </c>
      <c r="AV239" s="4" cm="1">
        <f t="array" ref="AV239">INDEX(GMW!$A$2:$NF$150,MATCH(1,(GMW!$NE$2:$NE$150=AV$3)*(GMW!$ND$2:$ND$150=AV$4)*(GMW!$NF$2:$NF$150=AV$1),0),$C239-1966)</f>
        <v>-1.6865730000000001</v>
      </c>
    </row>
    <row r="240" spans="1:48" x14ac:dyDescent="0.25">
      <c r="B240" s="4">
        <f t="shared" si="10"/>
        <v>2031</v>
      </c>
      <c r="C240" s="4">
        <f t="shared" si="9"/>
        <v>2206</v>
      </c>
      <c r="D240" s="4" cm="1">
        <f t="array" ref="D240">INDEX(GMW!$A$2:$NF$150,MATCH(1,(GMW!$NE$2:$NE$150=D$3)*(GMW!$ND$2:$ND$150=D$4)*(GMW!$NF$2:$NF$150=D$1),0),$C240-1966)</f>
        <v>706782.6</v>
      </c>
      <c r="E240" s="4" cm="1">
        <f t="array" ref="E240">INDEX(GMW!$A$2:$NF$150,MATCH(1,(GMW!$NE$2:$NE$150=E$3)*(GMW!$ND$2:$ND$150=E$4)*(GMW!$NF$2:$NF$150=E$1),0),$C240-1966)</f>
        <v>157.041</v>
      </c>
      <c r="F240" s="4" cm="1">
        <f t="array" ref="F240">INDEX(GMW!$A$2:$NF$150,MATCH(1,(GMW!$NE$2:$NE$150=F$3)*(GMW!$ND$2:$ND$150=F$4)*(GMW!$NF$2:$NF$150=F$1),0),$C240-1966)</f>
        <v>222078.5</v>
      </c>
      <c r="G240" s="4" cm="1">
        <f t="array" ref="G240">INDEX(GMW!$A$2:$NF$150,MATCH(1,(GMW!$NE$2:$NE$150=G$3)*(GMW!$ND$2:$ND$150=G$4)*(GMW!$NF$2:$NF$150=G$1),0),$C240-1966)</f>
        <v>75994.600000000006</v>
      </c>
      <c r="H240" s="4" cm="1">
        <f t="array" ref="H240">INDEX(GMW!$A$2:$NF$150,MATCH(1,(GMW!$NE$2:$NE$150=H$3)*(GMW!$ND$2:$ND$150=H$4)*(GMW!$NF$2:$NF$150=H$1),0),$C240-1966)</f>
        <v>242900.9</v>
      </c>
      <c r="I240" s="4" cm="1">
        <f t="array" ref="I240">INDEX(GMW!$A$2:$NF$150,MATCH(1,(GMW!$NE$2:$NE$150=I$3)*(GMW!$ND$2:$ND$150=I$4)*(GMW!$NF$2:$NF$150=I$1),0),$C240-1966)</f>
        <v>131502.6</v>
      </c>
      <c r="J240" s="4" cm="1">
        <f t="array" ref="J240">INDEX(GMW!$A$2:$NF$150,MATCH(1,(GMW!$NE$2:$NE$150=J$3)*(GMW!$ND$2:$ND$150=J$4)*(GMW!$NF$2:$NF$150=J$1),0),$C240-1966)</f>
        <v>128366.8</v>
      </c>
      <c r="K240" s="4" cm="1">
        <f t="array" ref="K240">INDEX(GMW!$A$2:$NF$150,MATCH(1,(GMW!$NE$2:$NE$150=K$3)*(GMW!$ND$2:$ND$150=K$4)*(GMW!$NF$2:$NF$150=K$1),0),$C240-1966)</f>
        <v>71202.09</v>
      </c>
      <c r="L240" s="4" cm="1">
        <f t="array" ref="L240">INDEX(GMW!$A$2:$NF$150,MATCH(1,(GMW!$NE$2:$NE$150=L$3)*(GMW!$ND$2:$ND$150=L$4)*(GMW!$NF$2:$NF$150=L$1),0),$C240-1966)</f>
        <v>707380.6</v>
      </c>
      <c r="M240" s="4" cm="1">
        <f t="array" ref="M240">INDEX(GMW!$A$2:$NF$150,MATCH(1,(GMW!$NE$2:$NE$150=M$3)*(GMW!$ND$2:$ND$150=M$4)*(GMW!$NF$2:$NF$150=M$1),0),$C240-1966)</f>
        <v>36044.69</v>
      </c>
      <c r="N240" s="4" cm="1">
        <f t="array" ref="N240">INDEX(GMW!$A$2:$NF$150,MATCH(1,(GMW!$NE$2:$NE$150=N$3)*(GMW!$ND$2:$ND$150=N$4)*(GMW!$NF$2:$NF$150=N$1),0),$C240-1966)</f>
        <v>31.99625</v>
      </c>
      <c r="O240" s="4" cm="1">
        <f t="array" ref="O240">INDEX(GMW!$A$2:$NF$150,MATCH(1,(GMW!$NE$2:$NE$150=O$3)*(GMW!$ND$2:$ND$150=O$4)*(GMW!$NF$2:$NF$150=O$1),0),$C240-1966)</f>
        <v>656582.40000000002</v>
      </c>
      <c r="P240" s="4" cm="1">
        <f t="array" ref="P240">INDEX(GMW!$A$2:$NF$150,MATCH(1,(GMW!$NE$2:$NE$150=P$3)*(GMW!$ND$2:$ND$150=P$4)*(GMW!$NF$2:$NF$150=P$1),0),$C240-1966)</f>
        <v>45700.61</v>
      </c>
      <c r="Q240" s="4" cm="1">
        <f t="array" ref="Q240">INDEX(GMW!$A$2:$NF$150,MATCH(1,(GMW!$NE$2:$NE$150=Q$3)*(GMW!$ND$2:$ND$150=Q$4)*(GMW!$NF$2:$NF$150=Q$1),0),$C240-1966)</f>
        <v>3649657</v>
      </c>
      <c r="R240" s="4" cm="1">
        <f t="array" ref="R240">INDEX(GMW!$A$2:$NF$150,MATCH(1,(GMW!$NE$2:$NE$150=R$3)*(GMW!$ND$2:$ND$150=R$4)*(GMW!$NF$2:$NF$150=R$1),0),$C240-1966)</f>
        <v>-1.6902029999999999</v>
      </c>
      <c r="S240" s="4" cm="1">
        <f t="array" ref="S240">INDEX(GMW!$A$2:$NF$150,MATCH(1,(GMW!$NE$2:$NE$150=S$3)*(GMW!$ND$2:$ND$150=S$4)*(GMW!$NF$2:$NF$150=S$1),0),$C240-1966)</f>
        <v>710836</v>
      </c>
      <c r="T240" s="4" cm="1">
        <f t="array" ref="T240">INDEX(GMW!$A$2:$NF$150,MATCH(1,(GMW!$NE$2:$NE$150=T$3)*(GMW!$ND$2:$ND$150=T$4)*(GMW!$NF$2:$NF$150=T$1),0),$C240-1966)</f>
        <v>156.94990000000001</v>
      </c>
      <c r="U240" s="4" cm="1">
        <f t="array" ref="U240">INDEX(GMW!$A$2:$NF$150,MATCH(1,(GMW!$NE$2:$NE$150=U$3)*(GMW!$ND$2:$ND$150=U$4)*(GMW!$NF$2:$NF$150=U$1),0),$C240-1966)</f>
        <v>212913.8</v>
      </c>
      <c r="V240" s="4" cm="1">
        <f t="array" ref="V240">INDEX(GMW!$A$2:$NF$150,MATCH(1,(GMW!$NE$2:$NE$150=V$3)*(GMW!$ND$2:$ND$150=V$4)*(GMW!$NF$2:$NF$150=V$1),0),$C240-1966)</f>
        <v>79859.11</v>
      </c>
      <c r="W240" s="4" cm="1">
        <f t="array" ref="W240">INDEX(GMW!$A$2:$NF$150,MATCH(1,(GMW!$NE$2:$NE$150=W$3)*(GMW!$ND$2:$ND$150=W$4)*(GMW!$NF$2:$NF$150=W$1),0),$C240-1966)</f>
        <v>235108.7</v>
      </c>
      <c r="X240" s="4" cm="1">
        <f t="array" ref="X240">INDEX(GMW!$A$2:$NF$150,MATCH(1,(GMW!$NE$2:$NE$150=X$3)*(GMW!$ND$2:$ND$150=X$4)*(GMW!$NF$2:$NF$150=X$1),0),$C240-1966)</f>
        <v>126104.1</v>
      </c>
      <c r="Y240" s="4" cm="1">
        <f t="array" ref="Y240">INDEX(GMW!$A$2:$NF$150,MATCH(1,(GMW!$NE$2:$NE$150=Y$3)*(GMW!$ND$2:$ND$150=Y$4)*(GMW!$NF$2:$NF$150=Y$1),0),$C240-1966)</f>
        <v>130438.6</v>
      </c>
      <c r="Z240" s="4" cm="1">
        <f t="array" ref="Z240">INDEX(GMW!$A$2:$NF$150,MATCH(1,(GMW!$NE$2:$NE$150=Z$3)*(GMW!$ND$2:$ND$150=Z$4)*(GMW!$NF$2:$NF$150=Z$1),0),$C240-1966)</f>
        <v>73723.28</v>
      </c>
      <c r="AA240" s="4" cm="1">
        <f t="array" ref="AA240">INDEX(GMW!$A$2:$NF$150,MATCH(1,(GMW!$NE$2:$NE$150=AA$3)*(GMW!$ND$2:$ND$150=AA$4)*(GMW!$NF$2:$NF$150=AA$1),0),$C240-1966)</f>
        <v>710866.8</v>
      </c>
      <c r="AB240" s="4" cm="1">
        <f t="array" ref="AB240">INDEX(GMW!$A$2:$NF$150,MATCH(1,(GMW!$NE$2:$NE$150=AB$3)*(GMW!$ND$2:$ND$150=AB$4)*(GMW!$NF$2:$NF$150=AB$1),0),$C240-1966)</f>
        <v>36027.360000000001</v>
      </c>
      <c r="AC240" s="4" cm="1">
        <f t="array" ref="AC240">INDEX(GMW!$A$2:$NF$150,MATCH(1,(GMW!$NE$2:$NE$150=AC$3)*(GMW!$ND$2:$ND$150=AC$4)*(GMW!$NF$2:$NF$150=AC$1),0),$C240-1966)</f>
        <v>31.99625</v>
      </c>
      <c r="AD240" s="4" cm="1">
        <f t="array" ref="AD240">INDEX(GMW!$A$2:$NF$150,MATCH(1,(GMW!$NE$2:$NE$150=AD$3)*(GMW!$ND$2:$ND$150=AD$4)*(GMW!$NF$2:$NF$150=AD$1),0),$C240-1966)</f>
        <v>656582.40000000002</v>
      </c>
      <c r="AE240" s="4" cm="1">
        <f t="array" ref="AE240">INDEX(GMW!$A$2:$NF$150,MATCH(1,(GMW!$NE$2:$NE$150=AE$3)*(GMW!$ND$2:$ND$150=AE$4)*(GMW!$NF$2:$NF$150=AE$1),0),$C240-1966)</f>
        <v>45700.61</v>
      </c>
      <c r="AF240" s="4" cm="1">
        <f t="array" ref="AF240">INDEX(GMW!$A$2:$NF$150,MATCH(1,(GMW!$NE$2:$NE$150=AF$3)*(GMW!$ND$2:$ND$150=AF$4)*(GMW!$NF$2:$NF$150=AF$1),0),$C240-1966)</f>
        <v>3680212</v>
      </c>
      <c r="AG240" s="4" cm="1">
        <f t="array" ref="AG240">INDEX(GMW!$A$2:$NF$150,MATCH(1,(GMW!$NE$2:$NE$150=AG$3)*(GMW!$ND$2:$ND$150=AG$4)*(GMW!$NF$2:$NF$150=AG$1),0),$C240-1966)</f>
        <v>-1.6877549999999999</v>
      </c>
      <c r="AH240" s="4" cm="1">
        <f t="array" ref="AH240">INDEX(GMW!$A$2:$NF$150,MATCH(1,(GMW!$NE$2:$NE$150=AH$3)*(GMW!$ND$2:$ND$150=AH$4)*(GMW!$NF$2:$NF$150=AH$1),0),$C240-1966)</f>
        <v>712003</v>
      </c>
      <c r="AI240" s="4" cm="1">
        <f t="array" ref="AI240">INDEX(GMW!$A$2:$NF$150,MATCH(1,(GMW!$NE$2:$NE$150=AI$3)*(GMW!$ND$2:$ND$150=AI$4)*(GMW!$NF$2:$NF$150=AI$1),0),$C240-1966)</f>
        <v>155.8322</v>
      </c>
      <c r="AJ240" s="4" cm="1">
        <f t="array" ref="AJ240">INDEX(GMW!$A$2:$NF$150,MATCH(1,(GMW!$NE$2:$NE$150=AJ$3)*(GMW!$ND$2:$ND$150=AJ$4)*(GMW!$NF$2:$NF$150=AJ$1),0),$C240-1966)</f>
        <v>218154.9</v>
      </c>
      <c r="AK240" s="4" cm="1">
        <f t="array" ref="AK240">INDEX(GMW!$A$2:$NF$150,MATCH(1,(GMW!$NE$2:$NE$150=AK$3)*(GMW!$ND$2:$ND$150=AK$4)*(GMW!$NF$2:$NF$150=AK$1),0),$C240-1966)</f>
        <v>82375.8</v>
      </c>
      <c r="AL240" s="4" cm="1">
        <f t="array" ref="AL240">INDEX(GMW!$A$2:$NF$150,MATCH(1,(GMW!$NE$2:$NE$150=AL$3)*(GMW!$ND$2:$ND$150=AL$4)*(GMW!$NF$2:$NF$150=AL$1),0),$C240-1966)</f>
        <v>239443.1</v>
      </c>
      <c r="AM240" s="4" cm="1">
        <f t="array" ref="AM240">INDEX(GMW!$A$2:$NF$150,MATCH(1,(GMW!$NE$2:$NE$150=AM$3)*(GMW!$ND$2:$ND$150=AM$4)*(GMW!$NF$2:$NF$150=AM$1),0),$C240-1966)</f>
        <v>129343.8</v>
      </c>
      <c r="AN240" s="4" cm="1">
        <f t="array" ref="AN240">INDEX(GMW!$A$2:$NF$150,MATCH(1,(GMW!$NE$2:$NE$150=AN$3)*(GMW!$ND$2:$ND$150=AN$4)*(GMW!$NF$2:$NF$150=AN$1),0),$C240-1966)</f>
        <v>130567.3</v>
      </c>
      <c r="AO240" s="4" cm="1">
        <f t="array" ref="AO240">INDEX(GMW!$A$2:$NF$150,MATCH(1,(GMW!$NE$2:$NE$150=AO$3)*(GMW!$ND$2:$ND$150=AO$4)*(GMW!$NF$2:$NF$150=AO$1),0),$C240-1966)</f>
        <v>74786.92</v>
      </c>
      <c r="AP240" s="4" cm="1">
        <f t="array" ref="AP240">INDEX(GMW!$A$2:$NF$150,MATCH(1,(GMW!$NE$2:$NE$150=AP$3)*(GMW!$ND$2:$ND$150=AP$4)*(GMW!$NF$2:$NF$150=AP$1),0),$C240-1966)</f>
        <v>712077.3</v>
      </c>
      <c r="AQ240" s="4" cm="1">
        <f t="array" ref="AQ240">INDEX(GMW!$A$2:$NF$150,MATCH(1,(GMW!$NE$2:$NE$150=AQ$3)*(GMW!$ND$2:$ND$150=AQ$4)*(GMW!$NF$2:$NF$150=AQ$1),0),$C240-1966)</f>
        <v>35991.480000000003</v>
      </c>
      <c r="AR240" s="4" cm="1">
        <f t="array" ref="AR240">INDEX(GMW!$A$2:$NF$150,MATCH(1,(GMW!$NE$2:$NE$150=AR$3)*(GMW!$ND$2:$ND$150=AR$4)*(GMW!$NF$2:$NF$150=AR$1),0),$C240-1966)</f>
        <v>31.99625</v>
      </c>
      <c r="AS240" s="4" cm="1">
        <f t="array" ref="AS240">INDEX(GMW!$A$2:$NF$150,MATCH(1,(GMW!$NE$2:$NE$150=AS$3)*(GMW!$ND$2:$ND$150=AS$4)*(GMW!$NF$2:$NF$150=AS$1),0),$C240-1966)</f>
        <v>654830</v>
      </c>
      <c r="AT240" s="4" cm="1">
        <f t="array" ref="AT240">INDEX(GMW!$A$2:$NF$150,MATCH(1,(GMW!$NE$2:$NE$150=AT$3)*(GMW!$ND$2:$ND$150=AT$4)*(GMW!$NF$2:$NF$150=AT$1),0),$C240-1966)</f>
        <v>45577.54</v>
      </c>
      <c r="AU240" s="4" cm="1">
        <f t="array" ref="AU240">INDEX(GMW!$A$2:$NF$150,MATCH(1,(GMW!$NE$2:$NE$150=AU$3)*(GMW!$ND$2:$ND$150=AU$4)*(GMW!$NF$2:$NF$150=AU$1),0),$C240-1966)</f>
        <v>3686289</v>
      </c>
      <c r="AV240" s="4" cm="1">
        <f t="array" ref="AV240">INDEX(GMW!$A$2:$NF$150,MATCH(1,(GMW!$NE$2:$NE$150=AV$3)*(GMW!$ND$2:$ND$150=AV$4)*(GMW!$NF$2:$NF$150=AV$1),0),$C240-1966)</f>
        <v>-1.685983</v>
      </c>
    </row>
    <row r="241" spans="1:48" x14ac:dyDescent="0.25">
      <c r="B241" s="4">
        <f t="shared" si="10"/>
        <v>2031</v>
      </c>
      <c r="C241" s="4">
        <f t="shared" ref="C241:C304" si="11">+C240+1</f>
        <v>2207</v>
      </c>
      <c r="D241" s="4" cm="1">
        <f t="array" ref="D241">INDEX(GMW!$A$2:$NF$150,MATCH(1,(GMW!$NE$2:$NE$150=D$3)*(GMW!$ND$2:$ND$150=D$4)*(GMW!$NF$2:$NF$150=D$1),0),$C241-1966)</f>
        <v>709539.1</v>
      </c>
      <c r="E241" s="4" cm="1">
        <f t="array" ref="E241">INDEX(GMW!$A$2:$NF$150,MATCH(1,(GMW!$NE$2:$NE$150=E$3)*(GMW!$ND$2:$ND$150=E$4)*(GMW!$NF$2:$NF$150=E$1),0),$C241-1966)</f>
        <v>157.71199999999999</v>
      </c>
      <c r="F241" s="4" cm="1">
        <f t="array" ref="F241">INDEX(GMW!$A$2:$NF$150,MATCH(1,(GMW!$NE$2:$NE$150=F$3)*(GMW!$ND$2:$ND$150=F$4)*(GMW!$NF$2:$NF$150=F$1),0),$C241-1966)</f>
        <v>222882</v>
      </c>
      <c r="G241" s="4" cm="1">
        <f t="array" ref="G241">INDEX(GMW!$A$2:$NF$150,MATCH(1,(GMW!$NE$2:$NE$150=G$3)*(GMW!$ND$2:$ND$150=G$4)*(GMW!$NF$2:$NF$150=G$1),0),$C241-1966)</f>
        <v>76230.19</v>
      </c>
      <c r="H241" s="4" cm="1">
        <f t="array" ref="H241">INDEX(GMW!$A$2:$NF$150,MATCH(1,(GMW!$NE$2:$NE$150=H$3)*(GMW!$ND$2:$ND$150=H$4)*(GMW!$NF$2:$NF$150=H$1),0),$C241-1966)</f>
        <v>243866.3</v>
      </c>
      <c r="I241" s="4" cm="1">
        <f t="array" ref="I241">INDEX(GMW!$A$2:$NF$150,MATCH(1,(GMW!$NE$2:$NE$150=I$3)*(GMW!$ND$2:$ND$150=I$4)*(GMW!$NF$2:$NF$150=I$1),0),$C241-1966)</f>
        <v>131976</v>
      </c>
      <c r="J241" s="4" cm="1">
        <f t="array" ref="J241">INDEX(GMW!$A$2:$NF$150,MATCH(1,(GMW!$NE$2:$NE$150=J$3)*(GMW!$ND$2:$ND$150=J$4)*(GMW!$NF$2:$NF$150=J$1),0),$C241-1966)</f>
        <v>129045.8</v>
      </c>
      <c r="K241" s="4" cm="1">
        <f t="array" ref="K241">INDEX(GMW!$A$2:$NF$150,MATCH(1,(GMW!$NE$2:$NE$150=K$3)*(GMW!$ND$2:$ND$150=K$4)*(GMW!$NF$2:$NF$150=K$1),0),$C241-1966)</f>
        <v>71636.42</v>
      </c>
      <c r="L241" s="4" cm="1">
        <f t="array" ref="L241">INDEX(GMW!$A$2:$NF$150,MATCH(1,(GMW!$NE$2:$NE$150=L$3)*(GMW!$ND$2:$ND$150=L$4)*(GMW!$NF$2:$NF$150=L$1),0),$C241-1966)</f>
        <v>709967.1</v>
      </c>
      <c r="M241" s="4" cm="1">
        <f t="array" ref="M241">INDEX(GMW!$A$2:$NF$150,MATCH(1,(GMW!$NE$2:$NE$150=M$3)*(GMW!$ND$2:$ND$150=M$4)*(GMW!$NF$2:$NF$150=M$1),0),$C241-1966)</f>
        <v>36113.18</v>
      </c>
      <c r="N241" s="4" cm="1">
        <f t="array" ref="N241">INDEX(GMW!$A$2:$NF$150,MATCH(1,(GMW!$NE$2:$NE$150=N$3)*(GMW!$ND$2:$ND$150=N$4)*(GMW!$NF$2:$NF$150=N$1),0),$C241-1966)</f>
        <v>31.996040000000001</v>
      </c>
      <c r="O241" s="4" cm="1">
        <f t="array" ref="O241">INDEX(GMW!$A$2:$NF$150,MATCH(1,(GMW!$NE$2:$NE$150=O$3)*(GMW!$ND$2:$ND$150=O$4)*(GMW!$NF$2:$NF$150=O$1),0),$C241-1966)</f>
        <v>657583.4</v>
      </c>
      <c r="P241" s="4" cm="1">
        <f t="array" ref="P241">INDEX(GMW!$A$2:$NF$150,MATCH(1,(GMW!$NE$2:$NE$150=P$3)*(GMW!$ND$2:$ND$150=P$4)*(GMW!$NF$2:$NF$150=P$1),0),$C241-1966)</f>
        <v>45714.02</v>
      </c>
      <c r="Q241" s="4" cm="1">
        <f t="array" ref="Q241">INDEX(GMW!$A$2:$NF$150,MATCH(1,(GMW!$NE$2:$NE$150=Q$3)*(GMW!$ND$2:$ND$150=Q$4)*(GMW!$NF$2:$NF$150=Q$1),0),$C241-1966)</f>
        <v>3663326</v>
      </c>
      <c r="R241" s="4" cm="1">
        <f t="array" ref="R241">INDEX(GMW!$A$2:$NF$150,MATCH(1,(GMW!$NE$2:$NE$150=R$3)*(GMW!$ND$2:$ND$150=R$4)*(GMW!$NF$2:$NF$150=R$1),0),$C241-1966)</f>
        <v>-1.6894420000000001</v>
      </c>
      <c r="S241" s="4" cm="1">
        <f t="array" ref="S241">INDEX(GMW!$A$2:$NF$150,MATCH(1,(GMW!$NE$2:$NE$150=S$3)*(GMW!$ND$2:$ND$150=S$4)*(GMW!$NF$2:$NF$150=S$1),0),$C241-1966)</f>
        <v>713608.3</v>
      </c>
      <c r="T241" s="4" cm="1">
        <f t="array" ref="T241">INDEX(GMW!$A$2:$NF$150,MATCH(1,(GMW!$NE$2:$NE$150=T$3)*(GMW!$ND$2:$ND$150=T$4)*(GMW!$NF$2:$NF$150=T$1),0),$C241-1966)</f>
        <v>157.63290000000001</v>
      </c>
      <c r="U241" s="4" cm="1">
        <f t="array" ref="U241">INDEX(GMW!$A$2:$NF$150,MATCH(1,(GMW!$NE$2:$NE$150=U$3)*(GMW!$ND$2:$ND$150=U$4)*(GMW!$NF$2:$NF$150=U$1),0),$C241-1966)</f>
        <v>213668.5</v>
      </c>
      <c r="V241" s="4" cm="1">
        <f t="array" ref="V241">INDEX(GMW!$A$2:$NF$150,MATCH(1,(GMW!$NE$2:$NE$150=V$3)*(GMW!$ND$2:$ND$150=V$4)*(GMW!$NF$2:$NF$150=V$1),0),$C241-1966)</f>
        <v>80106.67</v>
      </c>
      <c r="W241" s="4" cm="1">
        <f t="array" ref="W241">INDEX(GMW!$A$2:$NF$150,MATCH(1,(GMW!$NE$2:$NE$150=W$3)*(GMW!$ND$2:$ND$150=W$4)*(GMW!$NF$2:$NF$150=W$1),0),$C241-1966)</f>
        <v>236034.5</v>
      </c>
      <c r="X241" s="4" cm="1">
        <f t="array" ref="X241">INDEX(GMW!$A$2:$NF$150,MATCH(1,(GMW!$NE$2:$NE$150=X$3)*(GMW!$ND$2:$ND$150=X$4)*(GMW!$NF$2:$NF$150=X$1),0),$C241-1966)</f>
        <v>126558</v>
      </c>
      <c r="Y241" s="4" cm="1">
        <f t="array" ref="Y241">INDEX(GMW!$A$2:$NF$150,MATCH(1,(GMW!$NE$2:$NE$150=Y$3)*(GMW!$ND$2:$ND$150=Y$4)*(GMW!$NF$2:$NF$150=Y$1),0),$C241-1966)</f>
        <v>131130.9</v>
      </c>
      <c r="Z241" s="4" cm="1">
        <f t="array" ref="Z241">INDEX(GMW!$A$2:$NF$150,MATCH(1,(GMW!$NE$2:$NE$150=Z$3)*(GMW!$ND$2:$ND$150=Z$4)*(GMW!$NF$2:$NF$150=Z$1),0),$C241-1966)</f>
        <v>74172.990000000005</v>
      </c>
      <c r="AA241" s="4" cm="1">
        <f t="array" ref="AA241">INDEX(GMW!$A$2:$NF$150,MATCH(1,(GMW!$NE$2:$NE$150=AA$3)*(GMW!$ND$2:$ND$150=AA$4)*(GMW!$NF$2:$NF$150=AA$1),0),$C241-1966)</f>
        <v>713608.9</v>
      </c>
      <c r="AB241" s="4" cm="1">
        <f t="array" ref="AB241">INDEX(GMW!$A$2:$NF$150,MATCH(1,(GMW!$NE$2:$NE$150=AB$3)*(GMW!$ND$2:$ND$150=AB$4)*(GMW!$NF$2:$NF$150=AB$1),0),$C241-1966)</f>
        <v>36099.410000000003</v>
      </c>
      <c r="AC241" s="4" cm="1">
        <f t="array" ref="AC241">INDEX(GMW!$A$2:$NF$150,MATCH(1,(GMW!$NE$2:$NE$150=AC$3)*(GMW!$ND$2:$ND$150=AC$4)*(GMW!$NF$2:$NF$150=AC$1),0),$C241-1966)</f>
        <v>31.996040000000001</v>
      </c>
      <c r="AD241" s="4" cm="1">
        <f t="array" ref="AD241">INDEX(GMW!$A$2:$NF$150,MATCH(1,(GMW!$NE$2:$NE$150=AD$3)*(GMW!$ND$2:$ND$150=AD$4)*(GMW!$NF$2:$NF$150=AD$1),0),$C241-1966)</f>
        <v>657583.4</v>
      </c>
      <c r="AE241" s="4" cm="1">
        <f t="array" ref="AE241">INDEX(GMW!$A$2:$NF$150,MATCH(1,(GMW!$NE$2:$NE$150=AE$3)*(GMW!$ND$2:$ND$150=AE$4)*(GMW!$NF$2:$NF$150=AE$1),0),$C241-1966)</f>
        <v>45714.02</v>
      </c>
      <c r="AF241" s="4" cm="1">
        <f t="array" ref="AF241">INDEX(GMW!$A$2:$NF$150,MATCH(1,(GMW!$NE$2:$NE$150=AF$3)*(GMW!$ND$2:$ND$150=AF$4)*(GMW!$NF$2:$NF$150=AF$1),0),$C241-1966)</f>
        <v>3695427</v>
      </c>
      <c r="AG241" s="4" cm="1">
        <f t="array" ref="AG241">INDEX(GMW!$A$2:$NF$150,MATCH(1,(GMW!$NE$2:$NE$150=AG$3)*(GMW!$ND$2:$ND$150=AG$4)*(GMW!$NF$2:$NF$150=AG$1),0),$C241-1966)</f>
        <v>-1.686995</v>
      </c>
      <c r="AH241" s="4" cm="1">
        <f t="array" ref="AH241">INDEX(GMW!$A$2:$NF$150,MATCH(1,(GMW!$NE$2:$NE$150=AH$3)*(GMW!$ND$2:$ND$150=AH$4)*(GMW!$NF$2:$NF$150=AH$1),0),$C241-1966)</f>
        <v>714815.4</v>
      </c>
      <c r="AI241" s="4" cm="1">
        <f t="array" ref="AI241">INDEX(GMW!$A$2:$NF$150,MATCH(1,(GMW!$NE$2:$NE$150=AI$3)*(GMW!$ND$2:$ND$150=AI$4)*(GMW!$NF$2:$NF$150=AI$1),0),$C241-1966)</f>
        <v>156.52010000000001</v>
      </c>
      <c r="AJ241" s="4" cm="1">
        <f t="array" ref="AJ241">INDEX(GMW!$A$2:$NF$150,MATCH(1,(GMW!$NE$2:$NE$150=AJ$3)*(GMW!$ND$2:$ND$150=AJ$4)*(GMW!$NF$2:$NF$150=AJ$1),0),$C241-1966)</f>
        <v>218915.8</v>
      </c>
      <c r="AK241" s="4" cm="1">
        <f t="array" ref="AK241">INDEX(GMW!$A$2:$NF$150,MATCH(1,(GMW!$NE$2:$NE$150=AK$3)*(GMW!$ND$2:$ND$150=AK$4)*(GMW!$NF$2:$NF$150=AK$1),0),$C241-1966)</f>
        <v>82631.16</v>
      </c>
      <c r="AL241" s="4" cm="1">
        <f t="array" ref="AL241">INDEX(GMW!$A$2:$NF$150,MATCH(1,(GMW!$NE$2:$NE$150=AL$3)*(GMW!$ND$2:$ND$150=AL$4)*(GMW!$NF$2:$NF$150=AL$1),0),$C241-1966)</f>
        <v>240379.6</v>
      </c>
      <c r="AM241" s="4" cm="1">
        <f t="array" ref="AM241">INDEX(GMW!$A$2:$NF$150,MATCH(1,(GMW!$NE$2:$NE$150=AM$3)*(GMW!$ND$2:$ND$150=AM$4)*(GMW!$NF$2:$NF$150=AM$1),0),$C241-1966)</f>
        <v>129809.5</v>
      </c>
      <c r="AN241" s="4" cm="1">
        <f t="array" ref="AN241">INDEX(GMW!$A$2:$NF$150,MATCH(1,(GMW!$NE$2:$NE$150=AN$3)*(GMW!$ND$2:$ND$150=AN$4)*(GMW!$NF$2:$NF$150=AN$1),0),$C241-1966)</f>
        <v>131261.9</v>
      </c>
      <c r="AO241" s="4" cm="1">
        <f t="array" ref="AO241">INDEX(GMW!$A$2:$NF$150,MATCH(1,(GMW!$NE$2:$NE$150=AO$3)*(GMW!$ND$2:$ND$150=AO$4)*(GMW!$NF$2:$NF$150=AO$1),0),$C241-1966)</f>
        <v>75243.12</v>
      </c>
      <c r="AP241" s="4" cm="1">
        <f t="array" ref="AP241">INDEX(GMW!$A$2:$NF$150,MATCH(1,(GMW!$NE$2:$NE$150=AP$3)*(GMW!$ND$2:$ND$150=AP$4)*(GMW!$NF$2:$NF$150=AP$1),0),$C241-1966)</f>
        <v>714838.3</v>
      </c>
      <c r="AQ241" s="4" cm="1">
        <f t="array" ref="AQ241">INDEX(GMW!$A$2:$NF$150,MATCH(1,(GMW!$NE$2:$NE$150=AQ$3)*(GMW!$ND$2:$ND$150=AQ$4)*(GMW!$NF$2:$NF$150=AQ$1),0),$C241-1966)</f>
        <v>36068.85</v>
      </c>
      <c r="AR241" s="4" cm="1">
        <f t="array" ref="AR241">INDEX(GMW!$A$2:$NF$150,MATCH(1,(GMW!$NE$2:$NE$150=AR$3)*(GMW!$ND$2:$ND$150=AR$4)*(GMW!$NF$2:$NF$150=AR$1),0),$C241-1966)</f>
        <v>31.996040000000001</v>
      </c>
      <c r="AS241" s="4" cm="1">
        <f t="array" ref="AS241">INDEX(GMW!$A$2:$NF$150,MATCH(1,(GMW!$NE$2:$NE$150=AS$3)*(GMW!$ND$2:$ND$150=AS$4)*(GMW!$NF$2:$NF$150=AS$1),0),$C241-1966)</f>
        <v>655750.30000000005</v>
      </c>
      <c r="AT241" s="4" cm="1">
        <f t="array" ref="AT241">INDEX(GMW!$A$2:$NF$150,MATCH(1,(GMW!$NE$2:$NE$150=AT$3)*(GMW!$ND$2:$ND$150=AT$4)*(GMW!$NF$2:$NF$150=AT$1),0),$C241-1966)</f>
        <v>45585.3</v>
      </c>
      <c r="AU241" s="4" cm="1">
        <f t="array" ref="AU241">INDEX(GMW!$A$2:$NF$150,MATCH(1,(GMW!$NE$2:$NE$150=AU$3)*(GMW!$ND$2:$ND$150=AU$4)*(GMW!$NF$2:$NF$150=AU$1),0),$C241-1966)</f>
        <v>3701602</v>
      </c>
      <c r="AV241" s="4" cm="1">
        <f t="array" ref="AV241">INDEX(GMW!$A$2:$NF$150,MATCH(1,(GMW!$NE$2:$NE$150=AV$3)*(GMW!$ND$2:$ND$150=AV$4)*(GMW!$NF$2:$NF$150=AV$1),0),$C241-1966)</f>
        <v>-1.6853089999999999</v>
      </c>
    </row>
    <row r="242" spans="1:48" x14ac:dyDescent="0.25">
      <c r="B242" s="4">
        <f t="shared" si="10"/>
        <v>2031</v>
      </c>
      <c r="C242" s="4">
        <f t="shared" si="11"/>
        <v>2208</v>
      </c>
      <c r="D242" s="4" cm="1">
        <f t="array" ref="D242">INDEX(GMW!$A$2:$NF$150,MATCH(1,(GMW!$NE$2:$NE$150=D$3)*(GMW!$ND$2:$ND$150=D$4)*(GMW!$NF$2:$NF$150=D$1),0),$C242-1966)</f>
        <v>712306.3</v>
      </c>
      <c r="E242" s="4" cm="1">
        <f t="array" ref="E242">INDEX(GMW!$A$2:$NF$150,MATCH(1,(GMW!$NE$2:$NE$150=E$3)*(GMW!$ND$2:$ND$150=E$4)*(GMW!$NF$2:$NF$150=E$1),0),$C242-1966)</f>
        <v>158.45650000000001</v>
      </c>
      <c r="F242" s="4" cm="1">
        <f t="array" ref="F242">INDEX(GMW!$A$2:$NF$150,MATCH(1,(GMW!$NE$2:$NE$150=F$3)*(GMW!$ND$2:$ND$150=F$4)*(GMW!$NF$2:$NF$150=F$1),0),$C242-1966)</f>
        <v>223688.9</v>
      </c>
      <c r="G242" s="4" cm="1">
        <f t="array" ref="G242">INDEX(GMW!$A$2:$NF$150,MATCH(1,(GMW!$NE$2:$NE$150=G$3)*(GMW!$ND$2:$ND$150=G$4)*(GMW!$NF$2:$NF$150=G$1),0),$C242-1966)</f>
        <v>76466.5</v>
      </c>
      <c r="H242" s="4" cm="1">
        <f t="array" ref="H242">INDEX(GMW!$A$2:$NF$150,MATCH(1,(GMW!$NE$2:$NE$150=H$3)*(GMW!$ND$2:$ND$150=H$4)*(GMW!$NF$2:$NF$150=H$1),0),$C242-1966)</f>
        <v>244836.1</v>
      </c>
      <c r="I242" s="4" cm="1">
        <f t="array" ref="I242">INDEX(GMW!$A$2:$NF$150,MATCH(1,(GMW!$NE$2:$NE$150=I$3)*(GMW!$ND$2:$ND$150=I$4)*(GMW!$NF$2:$NF$150=I$1),0),$C242-1966)</f>
        <v>132451.20000000001</v>
      </c>
      <c r="J242" s="4" cm="1">
        <f t="array" ref="J242">INDEX(GMW!$A$2:$NF$150,MATCH(1,(GMW!$NE$2:$NE$150=J$3)*(GMW!$ND$2:$ND$150=J$4)*(GMW!$NF$2:$NF$150=J$1),0),$C242-1966)</f>
        <v>129728.6</v>
      </c>
      <c r="K242" s="4" cm="1">
        <f t="array" ref="K242">INDEX(GMW!$A$2:$NF$150,MATCH(1,(GMW!$NE$2:$NE$150=K$3)*(GMW!$ND$2:$ND$150=K$4)*(GMW!$NF$2:$NF$150=K$1),0),$C242-1966)</f>
        <v>72073.41</v>
      </c>
      <c r="L242" s="4" cm="1">
        <f t="array" ref="L242">INDEX(GMW!$A$2:$NF$150,MATCH(1,(GMW!$NE$2:$NE$150=L$3)*(GMW!$ND$2:$ND$150=L$4)*(GMW!$NF$2:$NF$150=L$1),0),$C242-1966)</f>
        <v>712632.3</v>
      </c>
      <c r="M242" s="4" cm="1">
        <f t="array" ref="M242">INDEX(GMW!$A$2:$NF$150,MATCH(1,(GMW!$NE$2:$NE$150=M$3)*(GMW!$ND$2:$ND$150=M$4)*(GMW!$NF$2:$NF$150=M$1),0),$C242-1966)</f>
        <v>36181.79</v>
      </c>
      <c r="N242" s="4" cm="1">
        <f t="array" ref="N242">INDEX(GMW!$A$2:$NF$150,MATCH(1,(GMW!$NE$2:$NE$150=N$3)*(GMW!$ND$2:$ND$150=N$4)*(GMW!$NF$2:$NF$150=N$1),0),$C242-1966)</f>
        <v>31.995830000000002</v>
      </c>
      <c r="O242" s="4" cm="1">
        <f t="array" ref="O242">INDEX(GMW!$A$2:$NF$150,MATCH(1,(GMW!$NE$2:$NE$150=O$3)*(GMW!$ND$2:$ND$150=O$4)*(GMW!$NF$2:$NF$150=O$1),0),$C242-1966)</f>
        <v>658571.9</v>
      </c>
      <c r="P242" s="4" cm="1">
        <f t="array" ref="P242">INDEX(GMW!$A$2:$NF$150,MATCH(1,(GMW!$NE$2:$NE$150=P$3)*(GMW!$ND$2:$ND$150=P$4)*(GMW!$NF$2:$NF$150=P$1),0),$C242-1966)</f>
        <v>45727.43</v>
      </c>
      <c r="Q242" s="4" cm="1">
        <f t="array" ref="Q242">INDEX(GMW!$A$2:$NF$150,MATCH(1,(GMW!$NE$2:$NE$150=Q$3)*(GMW!$ND$2:$ND$150=Q$4)*(GMW!$NF$2:$NF$150=Q$1),0),$C242-1966)</f>
        <v>3677227</v>
      </c>
      <c r="R242" s="4" cm="1">
        <f t="array" ref="R242">INDEX(GMW!$A$2:$NF$150,MATCH(1,(GMW!$NE$2:$NE$150=R$3)*(GMW!$ND$2:$ND$150=R$4)*(GMW!$NF$2:$NF$150=R$1),0),$C242-1966)</f>
        <v>-1.6885969999999999</v>
      </c>
      <c r="S242" s="4" cm="1">
        <f t="array" ref="S242">INDEX(GMW!$A$2:$NF$150,MATCH(1,(GMW!$NE$2:$NE$150=S$3)*(GMW!$ND$2:$ND$150=S$4)*(GMW!$NF$2:$NF$150=S$1),0),$C242-1966)</f>
        <v>716391.3</v>
      </c>
      <c r="T242" s="4" cm="1">
        <f t="array" ref="T242">INDEX(GMW!$A$2:$NF$150,MATCH(1,(GMW!$NE$2:$NE$150=T$3)*(GMW!$ND$2:$ND$150=T$4)*(GMW!$NF$2:$NF$150=T$1),0),$C242-1966)</f>
        <v>158.34190000000001</v>
      </c>
      <c r="U242" s="4" cm="1">
        <f t="array" ref="U242">INDEX(GMW!$A$2:$NF$150,MATCH(1,(GMW!$NE$2:$NE$150=U$3)*(GMW!$ND$2:$ND$150=U$4)*(GMW!$NF$2:$NF$150=U$1),0),$C242-1966)</f>
        <v>214426.6</v>
      </c>
      <c r="V242" s="4" cm="1">
        <f t="array" ref="V242">INDEX(GMW!$A$2:$NF$150,MATCH(1,(GMW!$NE$2:$NE$150=V$3)*(GMW!$ND$2:$ND$150=V$4)*(GMW!$NF$2:$NF$150=V$1),0),$C242-1966)</f>
        <v>80355.009999999995</v>
      </c>
      <c r="W242" s="4" cm="1">
        <f t="array" ref="W242">INDEX(GMW!$A$2:$NF$150,MATCH(1,(GMW!$NE$2:$NE$150=W$3)*(GMW!$ND$2:$ND$150=W$4)*(GMW!$NF$2:$NF$150=W$1),0),$C242-1966)</f>
        <v>236964.6</v>
      </c>
      <c r="X242" s="4" cm="1">
        <f t="array" ref="X242">INDEX(GMW!$A$2:$NF$150,MATCH(1,(GMW!$NE$2:$NE$150=X$3)*(GMW!$ND$2:$ND$150=X$4)*(GMW!$NF$2:$NF$150=X$1),0),$C242-1966)</f>
        <v>127013.7</v>
      </c>
      <c r="Y242" s="4" cm="1">
        <f t="array" ref="Y242">INDEX(GMW!$A$2:$NF$150,MATCH(1,(GMW!$NE$2:$NE$150=Y$3)*(GMW!$ND$2:$ND$150=Y$4)*(GMW!$NF$2:$NF$150=Y$1),0),$C242-1966)</f>
        <v>131826.9</v>
      </c>
      <c r="Z242" s="4" cm="1">
        <f t="array" ref="Z242">INDEX(GMW!$A$2:$NF$150,MATCH(1,(GMW!$NE$2:$NE$150=Z$3)*(GMW!$ND$2:$ND$150=Z$4)*(GMW!$NF$2:$NF$150=Z$1),0),$C242-1966)</f>
        <v>74625.45</v>
      </c>
      <c r="AA242" s="4" cm="1">
        <f t="array" ref="AA242">INDEX(GMW!$A$2:$NF$150,MATCH(1,(GMW!$NE$2:$NE$150=AA$3)*(GMW!$ND$2:$ND$150=AA$4)*(GMW!$NF$2:$NF$150=AA$1),0),$C242-1966)</f>
        <v>716369.8</v>
      </c>
      <c r="AB242" s="4" cm="1">
        <f t="array" ref="AB242">INDEX(GMW!$A$2:$NF$150,MATCH(1,(GMW!$NE$2:$NE$150=AB$3)*(GMW!$ND$2:$ND$150=AB$4)*(GMW!$NF$2:$NF$150=AB$1),0),$C242-1966)</f>
        <v>36171.61</v>
      </c>
      <c r="AC242" s="4" cm="1">
        <f t="array" ref="AC242">INDEX(GMW!$A$2:$NF$150,MATCH(1,(GMW!$NE$2:$NE$150=AC$3)*(GMW!$ND$2:$ND$150=AC$4)*(GMW!$NF$2:$NF$150=AC$1),0),$C242-1966)</f>
        <v>31.995830000000002</v>
      </c>
      <c r="AD242" s="4" cm="1">
        <f t="array" ref="AD242">INDEX(GMW!$A$2:$NF$150,MATCH(1,(GMW!$NE$2:$NE$150=AD$3)*(GMW!$ND$2:$ND$150=AD$4)*(GMW!$NF$2:$NF$150=AD$1),0),$C242-1966)</f>
        <v>658571.9</v>
      </c>
      <c r="AE242" s="4" cm="1">
        <f t="array" ref="AE242">INDEX(GMW!$A$2:$NF$150,MATCH(1,(GMW!$NE$2:$NE$150=AE$3)*(GMW!$ND$2:$ND$150=AE$4)*(GMW!$NF$2:$NF$150=AE$1),0),$C242-1966)</f>
        <v>45727.43</v>
      </c>
      <c r="AF242" s="4" cm="1">
        <f t="array" ref="AF242">INDEX(GMW!$A$2:$NF$150,MATCH(1,(GMW!$NE$2:$NE$150=AF$3)*(GMW!$ND$2:$ND$150=AF$4)*(GMW!$NF$2:$NF$150=AF$1),0),$C242-1966)</f>
        <v>3710865</v>
      </c>
      <c r="AG242" s="4" cm="1">
        <f t="array" ref="AG242">INDEX(GMW!$A$2:$NF$150,MATCH(1,(GMW!$NE$2:$NE$150=AG$3)*(GMW!$ND$2:$ND$150=AG$4)*(GMW!$NF$2:$NF$150=AG$1),0),$C242-1966)</f>
        <v>-1.6862360000000001</v>
      </c>
      <c r="AH242" s="4" cm="1">
        <f t="array" ref="AH242">INDEX(GMW!$A$2:$NF$150,MATCH(1,(GMW!$NE$2:$NE$150=AH$3)*(GMW!$ND$2:$ND$150=AH$4)*(GMW!$NF$2:$NF$150=AH$1),0),$C242-1966)</f>
        <v>717603.2</v>
      </c>
      <c r="AI242" s="4" cm="1">
        <f t="array" ref="AI242">INDEX(GMW!$A$2:$NF$150,MATCH(1,(GMW!$NE$2:$NE$150=AI$3)*(GMW!$ND$2:$ND$150=AI$4)*(GMW!$NF$2:$NF$150=AI$1),0),$C242-1966)</f>
        <v>157.2944</v>
      </c>
      <c r="AJ242" s="4" cm="1">
        <f t="array" ref="AJ242">INDEX(GMW!$A$2:$NF$150,MATCH(1,(GMW!$NE$2:$NE$150=AJ$3)*(GMW!$ND$2:$ND$150=AJ$4)*(GMW!$NF$2:$NF$150=AJ$1),0),$C242-1966)</f>
        <v>219679.9</v>
      </c>
      <c r="AK242" s="4" cm="1">
        <f t="array" ref="AK242">INDEX(GMW!$A$2:$NF$150,MATCH(1,(GMW!$NE$2:$NE$150=AK$3)*(GMW!$ND$2:$ND$150=AK$4)*(GMW!$NF$2:$NF$150=AK$1),0),$C242-1966)</f>
        <v>82887.320000000007</v>
      </c>
      <c r="AL242" s="4" cm="1">
        <f t="array" ref="AL242">INDEX(GMW!$A$2:$NF$150,MATCH(1,(GMW!$NE$2:$NE$150=AL$3)*(GMW!$ND$2:$ND$150=AL$4)*(GMW!$NF$2:$NF$150=AL$1),0),$C242-1966)</f>
        <v>241320.1</v>
      </c>
      <c r="AM242" s="4" cm="1">
        <f t="array" ref="AM242">INDEX(GMW!$A$2:$NF$150,MATCH(1,(GMW!$NE$2:$NE$150=AM$3)*(GMW!$ND$2:$ND$150=AM$4)*(GMW!$NF$2:$NF$150=AM$1),0),$C242-1966)</f>
        <v>130276.8</v>
      </c>
      <c r="AN242" s="4" cm="1">
        <f t="array" ref="AN242">INDEX(GMW!$A$2:$NF$150,MATCH(1,(GMW!$NE$2:$NE$150=AN$3)*(GMW!$ND$2:$ND$150=AN$4)*(GMW!$NF$2:$NF$150=AN$1),0),$C242-1966)</f>
        <v>131960.20000000001</v>
      </c>
      <c r="AO242" s="4" cm="1">
        <f t="array" ref="AO242">INDEX(GMW!$A$2:$NF$150,MATCH(1,(GMW!$NE$2:$NE$150=AO$3)*(GMW!$ND$2:$ND$150=AO$4)*(GMW!$NF$2:$NF$150=AO$1),0),$C242-1966)</f>
        <v>75702.100000000006</v>
      </c>
      <c r="AP242" s="4" cm="1">
        <f t="array" ref="AP242">INDEX(GMW!$A$2:$NF$150,MATCH(1,(GMW!$NE$2:$NE$150=AP$3)*(GMW!$ND$2:$ND$150=AP$4)*(GMW!$NF$2:$NF$150=AP$1),0),$C242-1966)</f>
        <v>717594.4</v>
      </c>
      <c r="AQ242" s="4" cm="1">
        <f t="array" ref="AQ242">INDEX(GMW!$A$2:$NF$150,MATCH(1,(GMW!$NE$2:$NE$150=AQ$3)*(GMW!$ND$2:$ND$150=AQ$4)*(GMW!$NF$2:$NF$150=AQ$1),0),$C242-1966)</f>
        <v>36144.589999999997</v>
      </c>
      <c r="AR242" s="4" cm="1">
        <f t="array" ref="AR242">INDEX(GMW!$A$2:$NF$150,MATCH(1,(GMW!$NE$2:$NE$150=AR$3)*(GMW!$ND$2:$ND$150=AR$4)*(GMW!$NF$2:$NF$150=AR$1),0),$C242-1966)</f>
        <v>31.995830000000002</v>
      </c>
      <c r="AS242" s="4" cm="1">
        <f t="array" ref="AS242">INDEX(GMW!$A$2:$NF$150,MATCH(1,(GMW!$NE$2:$NE$150=AS$3)*(GMW!$ND$2:$ND$150=AS$4)*(GMW!$NF$2:$NF$150=AS$1),0),$C242-1966)</f>
        <v>656657.69999999995</v>
      </c>
      <c r="AT242" s="4" cm="1">
        <f t="array" ref="AT242">INDEX(GMW!$A$2:$NF$150,MATCH(1,(GMW!$NE$2:$NE$150=AT$3)*(GMW!$ND$2:$ND$150=AT$4)*(GMW!$NF$2:$NF$150=AT$1),0),$C242-1966)</f>
        <v>45593.05</v>
      </c>
      <c r="AU242" s="4" cm="1">
        <f t="array" ref="AU242">INDEX(GMW!$A$2:$NF$150,MATCH(1,(GMW!$NE$2:$NE$150=AU$3)*(GMW!$ND$2:$ND$150=AU$4)*(GMW!$NF$2:$NF$150=AU$1),0),$C242-1966)</f>
        <v>3717139</v>
      </c>
      <c r="AV242" s="4" cm="1">
        <f t="array" ref="AV242">INDEX(GMW!$A$2:$NF$150,MATCH(1,(GMW!$NE$2:$NE$150=AV$3)*(GMW!$ND$2:$ND$150=AV$4)*(GMW!$NF$2:$NF$150=AV$1),0),$C242-1966)</f>
        <v>-1.6846350000000001</v>
      </c>
    </row>
    <row r="243" spans="1:48" x14ac:dyDescent="0.25">
      <c r="A243" s="4">
        <v>2032</v>
      </c>
      <c r="B243" s="4">
        <f t="shared" si="10"/>
        <v>2032</v>
      </c>
      <c r="C243" s="4">
        <f t="shared" si="11"/>
        <v>2209</v>
      </c>
      <c r="D243" s="4" cm="1">
        <f t="array" ref="D243">INDEX(GMW!$A$2:$NF$150,MATCH(1,(GMW!$NE$2:$NE$150=D$3)*(GMW!$ND$2:$ND$150=D$4)*(GMW!$NF$2:$NF$150=D$1),0),$C243-1966)</f>
        <v>715084.3</v>
      </c>
      <c r="E243" s="4" cm="1">
        <f t="array" ref="E243">INDEX(GMW!$A$2:$NF$150,MATCH(1,(GMW!$NE$2:$NE$150=E$3)*(GMW!$ND$2:$ND$150=E$4)*(GMW!$NF$2:$NF$150=E$1),0),$C243-1966)</f>
        <v>158.77930000000001</v>
      </c>
      <c r="F243" s="4" cm="1">
        <f t="array" ref="F243">INDEX(GMW!$A$2:$NF$150,MATCH(1,(GMW!$NE$2:$NE$150=F$3)*(GMW!$ND$2:$ND$150=F$4)*(GMW!$NF$2:$NF$150=F$1),0),$C243-1966)</f>
        <v>224499.5</v>
      </c>
      <c r="G243" s="4" cm="1">
        <f t="array" ref="G243">INDEX(GMW!$A$2:$NF$150,MATCH(1,(GMW!$NE$2:$NE$150=G$3)*(GMW!$ND$2:$ND$150=G$4)*(GMW!$NF$2:$NF$150=G$1),0),$C243-1966)</f>
        <v>76703.55</v>
      </c>
      <c r="H243" s="4" cm="1">
        <f t="array" ref="H243">INDEX(GMW!$A$2:$NF$150,MATCH(1,(GMW!$NE$2:$NE$150=H$3)*(GMW!$ND$2:$ND$150=H$4)*(GMW!$NF$2:$NF$150=H$1),0),$C243-1966)</f>
        <v>245810.2</v>
      </c>
      <c r="I243" s="4" cm="1">
        <f t="array" ref="I243">INDEX(GMW!$A$2:$NF$150,MATCH(1,(GMW!$NE$2:$NE$150=I$3)*(GMW!$ND$2:$ND$150=I$4)*(GMW!$NF$2:$NF$150=I$1),0),$C243-1966)</f>
        <v>132928</v>
      </c>
      <c r="J243" s="4" cm="1">
        <f t="array" ref="J243">INDEX(GMW!$A$2:$NF$150,MATCH(1,(GMW!$NE$2:$NE$150=J$3)*(GMW!$ND$2:$ND$150=J$4)*(GMW!$NF$2:$NF$150=J$1),0),$C243-1966)</f>
        <v>130415</v>
      </c>
      <c r="K243" s="4" cm="1">
        <f t="array" ref="K243">INDEX(GMW!$A$2:$NF$150,MATCH(1,(GMW!$NE$2:$NE$150=K$3)*(GMW!$ND$2:$ND$150=K$4)*(GMW!$NF$2:$NF$150=K$1),0),$C243-1966)</f>
        <v>72513.05</v>
      </c>
      <c r="L243" s="4" cm="1">
        <f t="array" ref="L243">INDEX(GMW!$A$2:$NF$150,MATCH(1,(GMW!$NE$2:$NE$150=L$3)*(GMW!$ND$2:$ND$150=L$4)*(GMW!$NF$2:$NF$150=L$1),0),$C243-1966)</f>
        <v>715312.9</v>
      </c>
      <c r="M243" s="4" cm="1">
        <f t="array" ref="M243">INDEX(GMW!$A$2:$NF$150,MATCH(1,(GMW!$NE$2:$NE$150=M$3)*(GMW!$ND$2:$ND$150=M$4)*(GMW!$NF$2:$NF$150=M$1),0),$C243-1966)</f>
        <v>36250.53</v>
      </c>
      <c r="N243" s="4" cm="1">
        <f t="array" ref="N243">INDEX(GMW!$A$2:$NF$150,MATCH(1,(GMW!$NE$2:$NE$150=N$3)*(GMW!$ND$2:$ND$150=N$4)*(GMW!$NF$2:$NF$150=N$1),0),$C243-1966)</f>
        <v>31.995619999999999</v>
      </c>
      <c r="O243" s="4" cm="1">
        <f t="array" ref="O243">INDEX(GMW!$A$2:$NF$150,MATCH(1,(GMW!$NE$2:$NE$150=O$3)*(GMW!$ND$2:$ND$150=O$4)*(GMW!$NF$2:$NF$150=O$1),0),$C243-1966)</f>
        <v>659547.69999999995</v>
      </c>
      <c r="P243" s="4" cm="1">
        <f t="array" ref="P243">INDEX(GMW!$A$2:$NF$150,MATCH(1,(GMW!$NE$2:$NE$150=P$3)*(GMW!$ND$2:$ND$150=P$4)*(GMW!$NF$2:$NF$150=P$1),0),$C243-1966)</f>
        <v>45740.84</v>
      </c>
      <c r="Q243" s="4" cm="1">
        <f t="array" ref="Q243">INDEX(GMW!$A$2:$NF$150,MATCH(1,(GMW!$NE$2:$NE$150=Q$3)*(GMW!$ND$2:$ND$150=Q$4)*(GMW!$NF$2:$NF$150=Q$1),0),$C243-1966)</f>
        <v>3691360</v>
      </c>
      <c r="R243" s="4" cm="1">
        <f t="array" ref="R243">INDEX(GMW!$A$2:$NF$150,MATCH(1,(GMW!$NE$2:$NE$150=R$3)*(GMW!$ND$2:$ND$150=R$4)*(GMW!$NF$2:$NF$150=R$1),0),$C243-1966)</f>
        <v>-1.6877530000000001</v>
      </c>
      <c r="S243" s="4" cm="1">
        <f t="array" ref="S243">INDEX(GMW!$A$2:$NF$150,MATCH(1,(GMW!$NE$2:$NE$150=S$3)*(GMW!$ND$2:$ND$150=S$4)*(GMW!$NF$2:$NF$150=S$1),0),$C243-1966)</f>
        <v>719185.3</v>
      </c>
      <c r="T243" s="4" cm="1">
        <f t="array" ref="T243">INDEX(GMW!$A$2:$NF$150,MATCH(1,(GMW!$NE$2:$NE$150=T$3)*(GMW!$ND$2:$ND$150=T$4)*(GMW!$NF$2:$NF$150=T$1),0),$C243-1966)</f>
        <v>158.61179999999999</v>
      </c>
      <c r="U243" s="4" cm="1">
        <f t="array" ref="U243">INDEX(GMW!$A$2:$NF$150,MATCH(1,(GMW!$NE$2:$NE$150=U$3)*(GMW!$ND$2:$ND$150=U$4)*(GMW!$NF$2:$NF$150=U$1),0),$C243-1966)</f>
        <v>215188</v>
      </c>
      <c r="V243" s="4" cm="1">
        <f t="array" ref="V243">INDEX(GMW!$A$2:$NF$150,MATCH(1,(GMW!$NE$2:$NE$150=V$3)*(GMW!$ND$2:$ND$150=V$4)*(GMW!$NF$2:$NF$150=V$1),0),$C243-1966)</f>
        <v>80604.100000000006</v>
      </c>
      <c r="W243" s="4" cm="1">
        <f t="array" ref="W243">INDEX(GMW!$A$2:$NF$150,MATCH(1,(GMW!$NE$2:$NE$150=W$3)*(GMW!$ND$2:$ND$150=W$4)*(GMW!$NF$2:$NF$150=W$1),0),$C243-1966)</f>
        <v>237898.7</v>
      </c>
      <c r="X243" s="4" cm="1">
        <f t="array" ref="X243">INDEX(GMW!$A$2:$NF$150,MATCH(1,(GMW!$NE$2:$NE$150=X$3)*(GMW!$ND$2:$ND$150=X$4)*(GMW!$NF$2:$NF$150=X$1),0),$C243-1966)</f>
        <v>127470.9</v>
      </c>
      <c r="Y243" s="4" cm="1">
        <f t="array" ref="Y243">INDEX(GMW!$A$2:$NF$150,MATCH(1,(GMW!$NE$2:$NE$150=Y$3)*(GMW!$ND$2:$ND$150=Y$4)*(GMW!$NF$2:$NF$150=Y$1),0),$C243-1966)</f>
        <v>132526.79999999999</v>
      </c>
      <c r="Z243" s="4" cm="1">
        <f t="array" ref="Z243">INDEX(GMW!$A$2:$NF$150,MATCH(1,(GMW!$NE$2:$NE$150=Z$3)*(GMW!$ND$2:$ND$150=Z$4)*(GMW!$NF$2:$NF$150=Z$1),0),$C243-1966)</f>
        <v>75080.66</v>
      </c>
      <c r="AA243" s="4" cm="1">
        <f t="array" ref="AA243">INDEX(GMW!$A$2:$NF$150,MATCH(1,(GMW!$NE$2:$NE$150=AA$3)*(GMW!$ND$2:$ND$150=AA$4)*(GMW!$NF$2:$NF$150=AA$1),0),$C243-1966)</f>
        <v>719176.3</v>
      </c>
      <c r="AB243" s="4" cm="1">
        <f t="array" ref="AB243">INDEX(GMW!$A$2:$NF$150,MATCH(1,(GMW!$NE$2:$NE$150=AB$3)*(GMW!$ND$2:$ND$150=AB$4)*(GMW!$NF$2:$NF$150=AB$1),0),$C243-1966)</f>
        <v>36243.96</v>
      </c>
      <c r="AC243" s="4" cm="1">
        <f t="array" ref="AC243">INDEX(GMW!$A$2:$NF$150,MATCH(1,(GMW!$NE$2:$NE$150=AC$3)*(GMW!$ND$2:$ND$150=AC$4)*(GMW!$NF$2:$NF$150=AC$1),0),$C243-1966)</f>
        <v>31.995619999999999</v>
      </c>
      <c r="AD243" s="4" cm="1">
        <f t="array" ref="AD243">INDEX(GMW!$A$2:$NF$150,MATCH(1,(GMW!$NE$2:$NE$150=AD$3)*(GMW!$ND$2:$ND$150=AD$4)*(GMW!$NF$2:$NF$150=AD$1),0),$C243-1966)</f>
        <v>659547.69999999995</v>
      </c>
      <c r="AE243" s="4" cm="1">
        <f t="array" ref="AE243">INDEX(GMW!$A$2:$NF$150,MATCH(1,(GMW!$NE$2:$NE$150=AE$3)*(GMW!$ND$2:$ND$150=AE$4)*(GMW!$NF$2:$NF$150=AE$1),0),$C243-1966)</f>
        <v>45740.84</v>
      </c>
      <c r="AF243" s="4" cm="1">
        <f t="array" ref="AF243">INDEX(GMW!$A$2:$NF$150,MATCH(1,(GMW!$NE$2:$NE$150=AF$3)*(GMW!$ND$2:$ND$150=AF$4)*(GMW!$NF$2:$NF$150=AF$1),0),$C243-1966)</f>
        <v>3726525</v>
      </c>
      <c r="AG243" s="4" cm="1">
        <f t="array" ref="AG243">INDEX(GMW!$A$2:$NF$150,MATCH(1,(GMW!$NE$2:$NE$150=AG$3)*(GMW!$ND$2:$ND$150=AG$4)*(GMW!$NF$2:$NF$150=AG$1),0),$C243-1966)</f>
        <v>-1.685435</v>
      </c>
      <c r="AH243" s="4" cm="1">
        <f t="array" ref="AH243">INDEX(GMW!$A$2:$NF$150,MATCH(1,(GMW!$NE$2:$NE$150=AH$3)*(GMW!$ND$2:$ND$150=AH$4)*(GMW!$NF$2:$NF$150=AH$1),0),$C243-1966)</f>
        <v>720401.8</v>
      </c>
      <c r="AI243" s="4" cm="1">
        <f t="array" ref="AI243">INDEX(GMW!$A$2:$NF$150,MATCH(1,(GMW!$NE$2:$NE$150=AI$3)*(GMW!$ND$2:$ND$150=AI$4)*(GMW!$NF$2:$NF$150=AI$1),0),$C243-1966)</f>
        <v>157.59309999999999</v>
      </c>
      <c r="AJ243" s="4" cm="1">
        <f t="array" ref="AJ243">INDEX(GMW!$A$2:$NF$150,MATCH(1,(GMW!$NE$2:$NE$150=AJ$3)*(GMW!$ND$2:$ND$150=AJ$4)*(GMW!$NF$2:$NF$150=AJ$1),0),$C243-1966)</f>
        <v>220447.5</v>
      </c>
      <c r="AK243" s="4" cm="1">
        <f t="array" ref="AK243">INDEX(GMW!$A$2:$NF$150,MATCH(1,(GMW!$NE$2:$NE$150=AK$3)*(GMW!$ND$2:$ND$150=AK$4)*(GMW!$NF$2:$NF$150=AK$1),0),$C243-1966)</f>
        <v>83144.27</v>
      </c>
      <c r="AL243" s="4" cm="1">
        <f t="array" ref="AL243">INDEX(GMW!$A$2:$NF$150,MATCH(1,(GMW!$NE$2:$NE$150=AL$3)*(GMW!$ND$2:$ND$150=AL$4)*(GMW!$NF$2:$NF$150=AL$1),0),$C243-1966)</f>
        <v>242264.8</v>
      </c>
      <c r="AM243" s="4" cm="1">
        <f t="array" ref="AM243">INDEX(GMW!$A$2:$NF$150,MATCH(1,(GMW!$NE$2:$NE$150=AM$3)*(GMW!$ND$2:$ND$150=AM$4)*(GMW!$NF$2:$NF$150=AM$1),0),$C243-1966)</f>
        <v>130745.8</v>
      </c>
      <c r="AN243" s="4" cm="1">
        <f t="array" ref="AN243">INDEX(GMW!$A$2:$NF$150,MATCH(1,(GMW!$NE$2:$NE$150=AN$3)*(GMW!$ND$2:$ND$150=AN$4)*(GMW!$NF$2:$NF$150=AN$1),0),$C243-1966)</f>
        <v>132662.39999999999</v>
      </c>
      <c r="AO243" s="4" cm="1">
        <f t="array" ref="AO243">INDEX(GMW!$A$2:$NF$150,MATCH(1,(GMW!$NE$2:$NE$150=AO$3)*(GMW!$ND$2:$ND$150=AO$4)*(GMW!$NF$2:$NF$150=AO$1),0),$C243-1966)</f>
        <v>76163.88</v>
      </c>
      <c r="AP243" s="4" cm="1">
        <f t="array" ref="AP243">INDEX(GMW!$A$2:$NF$150,MATCH(1,(GMW!$NE$2:$NE$150=AP$3)*(GMW!$ND$2:$ND$150=AP$4)*(GMW!$NF$2:$NF$150=AP$1),0),$C243-1966)</f>
        <v>720429.1</v>
      </c>
      <c r="AQ243" s="4" cm="1">
        <f t="array" ref="AQ243">INDEX(GMW!$A$2:$NF$150,MATCH(1,(GMW!$NE$2:$NE$150=AQ$3)*(GMW!$ND$2:$ND$150=AQ$4)*(GMW!$NF$2:$NF$150=AQ$1),0),$C243-1966)</f>
        <v>36220.5</v>
      </c>
      <c r="AR243" s="4" cm="1">
        <f t="array" ref="AR243">INDEX(GMW!$A$2:$NF$150,MATCH(1,(GMW!$NE$2:$NE$150=AR$3)*(GMW!$ND$2:$ND$150=AR$4)*(GMW!$NF$2:$NF$150=AR$1),0),$C243-1966)</f>
        <v>31.995619999999999</v>
      </c>
      <c r="AS243" s="4" cm="1">
        <f t="array" ref="AS243">INDEX(GMW!$A$2:$NF$150,MATCH(1,(GMW!$NE$2:$NE$150=AS$3)*(GMW!$ND$2:$ND$150=AS$4)*(GMW!$NF$2:$NF$150=AS$1),0),$C243-1966)</f>
        <v>657552.4</v>
      </c>
      <c r="AT243" s="4" cm="1">
        <f t="array" ref="AT243">INDEX(GMW!$A$2:$NF$150,MATCH(1,(GMW!$NE$2:$NE$150=AT$3)*(GMW!$ND$2:$ND$150=AT$4)*(GMW!$NF$2:$NF$150=AT$1),0),$C243-1966)</f>
        <v>45600.800000000003</v>
      </c>
      <c r="AU243" s="4" cm="1">
        <f t="array" ref="AU243">INDEX(GMW!$A$2:$NF$150,MATCH(1,(GMW!$NE$2:$NE$150=AU$3)*(GMW!$ND$2:$ND$150=AU$4)*(GMW!$NF$2:$NF$150=AU$1),0),$C243-1966)</f>
        <v>3732899</v>
      </c>
      <c r="AV243" s="4" cm="1">
        <f t="array" ref="AV243">INDEX(GMW!$A$2:$NF$150,MATCH(1,(GMW!$NE$2:$NE$150=AV$3)*(GMW!$ND$2:$ND$150=AV$4)*(GMW!$NF$2:$NF$150=AV$1),0),$C243-1966)</f>
        <v>-1.6838759999999999</v>
      </c>
    </row>
    <row r="244" spans="1:48" x14ac:dyDescent="0.25">
      <c r="B244" s="4">
        <f t="shared" si="10"/>
        <v>2032</v>
      </c>
      <c r="C244" s="4">
        <f t="shared" si="11"/>
        <v>2210</v>
      </c>
      <c r="D244" s="4" cm="1">
        <f t="array" ref="D244">INDEX(GMW!$A$2:$NF$150,MATCH(1,(GMW!$NE$2:$NE$150=D$3)*(GMW!$ND$2:$ND$150=D$4)*(GMW!$NF$2:$NF$150=D$1),0),$C244-1966)</f>
        <v>717873.1</v>
      </c>
      <c r="E244" s="4" cm="1">
        <f t="array" ref="E244">INDEX(GMW!$A$2:$NF$150,MATCH(1,(GMW!$NE$2:$NE$150=E$3)*(GMW!$ND$2:$ND$150=E$4)*(GMW!$NF$2:$NF$150=E$1),0),$C244-1966)</f>
        <v>160.17760000000001</v>
      </c>
      <c r="F244" s="4" cm="1">
        <f t="array" ref="F244">INDEX(GMW!$A$2:$NF$150,MATCH(1,(GMW!$NE$2:$NE$150=F$3)*(GMW!$ND$2:$ND$150=F$4)*(GMW!$NF$2:$NF$150=F$1),0),$C244-1966)</f>
        <v>225313.7</v>
      </c>
      <c r="G244" s="4" cm="1">
        <f t="array" ref="G244">INDEX(GMW!$A$2:$NF$150,MATCH(1,(GMW!$NE$2:$NE$150=G$3)*(GMW!$ND$2:$ND$150=G$4)*(GMW!$NF$2:$NF$150=G$1),0),$C244-1966)</f>
        <v>76941.33</v>
      </c>
      <c r="H244" s="4" cm="1">
        <f t="array" ref="H244">INDEX(GMW!$A$2:$NF$150,MATCH(1,(GMW!$NE$2:$NE$150=H$3)*(GMW!$ND$2:$ND$150=H$4)*(GMW!$NF$2:$NF$150=H$1),0),$C244-1966)</f>
        <v>246788.5</v>
      </c>
      <c r="I244" s="4" cm="1">
        <f t="array" ref="I244">INDEX(GMW!$A$2:$NF$150,MATCH(1,(GMW!$NE$2:$NE$150=I$3)*(GMW!$ND$2:$ND$150=I$4)*(GMW!$NF$2:$NF$150=I$1),0),$C244-1966)</f>
        <v>133406.5</v>
      </c>
      <c r="J244" s="4" cm="1">
        <f t="array" ref="J244">INDEX(GMW!$A$2:$NF$150,MATCH(1,(GMW!$NE$2:$NE$150=J$3)*(GMW!$ND$2:$ND$150=J$4)*(GMW!$NF$2:$NF$150=J$1),0),$C244-1966)</f>
        <v>131105.29999999999</v>
      </c>
      <c r="K244" s="4" cm="1">
        <f t="array" ref="K244">INDEX(GMW!$A$2:$NF$150,MATCH(1,(GMW!$NE$2:$NE$150=K$3)*(GMW!$ND$2:$ND$150=K$4)*(GMW!$NF$2:$NF$150=K$1),0),$C244-1966)</f>
        <v>72955.38</v>
      </c>
      <c r="L244" s="4" cm="1">
        <f t="array" ref="L244">INDEX(GMW!$A$2:$NF$150,MATCH(1,(GMW!$NE$2:$NE$150=L$3)*(GMW!$ND$2:$ND$150=L$4)*(GMW!$NF$2:$NF$150=L$1),0),$C244-1966)</f>
        <v>717995.5</v>
      </c>
      <c r="M244" s="4" cm="1">
        <f t="array" ref="M244">INDEX(GMW!$A$2:$NF$150,MATCH(1,(GMW!$NE$2:$NE$150=M$3)*(GMW!$ND$2:$ND$150=M$4)*(GMW!$NF$2:$NF$150=M$1),0),$C244-1966)</f>
        <v>36315.78</v>
      </c>
      <c r="N244" s="4" cm="1">
        <f t="array" ref="N244">INDEX(GMW!$A$2:$NF$150,MATCH(1,(GMW!$NE$2:$NE$150=N$3)*(GMW!$ND$2:$ND$150=N$4)*(GMW!$NF$2:$NF$150=N$1),0),$C244-1966)</f>
        <v>31.995419999999999</v>
      </c>
      <c r="O244" s="4" cm="1">
        <f t="array" ref="O244">INDEX(GMW!$A$2:$NF$150,MATCH(1,(GMW!$NE$2:$NE$150=O$3)*(GMW!$ND$2:$ND$150=O$4)*(GMW!$NF$2:$NF$150=O$1),0),$C244-1966)</f>
        <v>660510.80000000005</v>
      </c>
      <c r="P244" s="4" cm="1">
        <f t="array" ref="P244">INDEX(GMW!$A$2:$NF$150,MATCH(1,(GMW!$NE$2:$NE$150=P$3)*(GMW!$ND$2:$ND$150=P$4)*(GMW!$NF$2:$NF$150=P$1),0),$C244-1966)</f>
        <v>45754.25</v>
      </c>
      <c r="Q244" s="4" cm="1">
        <f t="array" ref="Q244">INDEX(GMW!$A$2:$NF$150,MATCH(1,(GMW!$NE$2:$NE$150=Q$3)*(GMW!$ND$2:$ND$150=Q$4)*(GMW!$NF$2:$NF$150=Q$1),0),$C244-1966)</f>
        <v>3705721</v>
      </c>
      <c r="R244" s="4" cm="1">
        <f t="array" ref="R244">INDEX(GMW!$A$2:$NF$150,MATCH(1,(GMW!$NE$2:$NE$150=R$3)*(GMW!$ND$2:$ND$150=R$4)*(GMW!$NF$2:$NF$150=R$1),0),$C244-1966)</f>
        <v>-1.6868669999999999</v>
      </c>
      <c r="S244" s="4" cm="1">
        <f t="array" ref="S244">INDEX(GMW!$A$2:$NF$150,MATCH(1,(GMW!$NE$2:$NE$150=S$3)*(GMW!$ND$2:$ND$150=S$4)*(GMW!$NF$2:$NF$150=S$1),0),$C244-1966)</f>
        <v>721990.1</v>
      </c>
      <c r="T244" s="4" cm="1">
        <f t="array" ref="T244">INDEX(GMW!$A$2:$NF$150,MATCH(1,(GMW!$NE$2:$NE$150=T$3)*(GMW!$ND$2:$ND$150=T$4)*(GMW!$NF$2:$NF$150=T$1),0),$C244-1966)</f>
        <v>160.01849999999999</v>
      </c>
      <c r="U244" s="4" cm="1">
        <f t="array" ref="U244">INDEX(GMW!$A$2:$NF$150,MATCH(1,(GMW!$NE$2:$NE$150=U$3)*(GMW!$ND$2:$ND$150=U$4)*(GMW!$NF$2:$NF$150=U$1),0),$C244-1966)</f>
        <v>215952.9</v>
      </c>
      <c r="V244" s="4" cm="1">
        <f t="array" ref="V244">INDEX(GMW!$A$2:$NF$150,MATCH(1,(GMW!$NE$2:$NE$150=V$3)*(GMW!$ND$2:$ND$150=V$4)*(GMW!$NF$2:$NF$150=V$1),0),$C244-1966)</f>
        <v>80853.98</v>
      </c>
      <c r="W244" s="4" cm="1">
        <f t="array" ref="W244">INDEX(GMW!$A$2:$NF$150,MATCH(1,(GMW!$NE$2:$NE$150=W$3)*(GMW!$ND$2:$ND$150=W$4)*(GMW!$NF$2:$NF$150=W$1),0),$C244-1966)</f>
        <v>238837.1</v>
      </c>
      <c r="X244" s="4" cm="1">
        <f t="array" ref="X244">INDEX(GMW!$A$2:$NF$150,MATCH(1,(GMW!$NE$2:$NE$150=X$3)*(GMW!$ND$2:$ND$150=X$4)*(GMW!$NF$2:$NF$150=X$1),0),$C244-1966)</f>
        <v>127929.8</v>
      </c>
      <c r="Y244" s="4" cm="1">
        <f t="array" ref="Y244">INDEX(GMW!$A$2:$NF$150,MATCH(1,(GMW!$NE$2:$NE$150=Y$3)*(GMW!$ND$2:$ND$150=Y$4)*(GMW!$NF$2:$NF$150=Y$1),0),$C244-1966)</f>
        <v>133230.5</v>
      </c>
      <c r="Z244" s="4" cm="1">
        <f t="array" ref="Z244">INDEX(GMW!$A$2:$NF$150,MATCH(1,(GMW!$NE$2:$NE$150=Z$3)*(GMW!$ND$2:$ND$150=Z$4)*(GMW!$NF$2:$NF$150=Z$1),0),$C244-1966)</f>
        <v>75538.66</v>
      </c>
      <c r="AA244" s="4" cm="1">
        <f t="array" ref="AA244">INDEX(GMW!$A$2:$NF$150,MATCH(1,(GMW!$NE$2:$NE$150=AA$3)*(GMW!$ND$2:$ND$150=AA$4)*(GMW!$NF$2:$NF$150=AA$1),0),$C244-1966)</f>
        <v>722031</v>
      </c>
      <c r="AB244" s="4" cm="1">
        <f t="array" ref="AB244">INDEX(GMW!$A$2:$NF$150,MATCH(1,(GMW!$NE$2:$NE$150=AB$3)*(GMW!$ND$2:$ND$150=AB$4)*(GMW!$NF$2:$NF$150=AB$1),0),$C244-1966)</f>
        <v>36316.44</v>
      </c>
      <c r="AC244" s="4" cm="1">
        <f t="array" ref="AC244">INDEX(GMW!$A$2:$NF$150,MATCH(1,(GMW!$NE$2:$NE$150=AC$3)*(GMW!$ND$2:$ND$150=AC$4)*(GMW!$NF$2:$NF$150=AC$1),0),$C244-1966)</f>
        <v>31.995419999999999</v>
      </c>
      <c r="AD244" s="4" cm="1">
        <f t="array" ref="AD244">INDEX(GMW!$A$2:$NF$150,MATCH(1,(GMW!$NE$2:$NE$150=AD$3)*(GMW!$ND$2:$ND$150=AD$4)*(GMW!$NF$2:$NF$150=AD$1),0),$C244-1966)</f>
        <v>660510.80000000005</v>
      </c>
      <c r="AE244" s="4" cm="1">
        <f t="array" ref="AE244">INDEX(GMW!$A$2:$NF$150,MATCH(1,(GMW!$NE$2:$NE$150=AE$3)*(GMW!$ND$2:$ND$150=AE$4)*(GMW!$NF$2:$NF$150=AE$1),0),$C244-1966)</f>
        <v>45754.25</v>
      </c>
      <c r="AF244" s="4" cm="1">
        <f t="array" ref="AF244">INDEX(GMW!$A$2:$NF$150,MATCH(1,(GMW!$NE$2:$NE$150=AF$3)*(GMW!$ND$2:$ND$150=AF$4)*(GMW!$NF$2:$NF$150=AF$1),0),$C244-1966)</f>
        <v>3742404</v>
      </c>
      <c r="AG244" s="4" cm="1">
        <f t="array" ref="AG244">INDEX(GMW!$A$2:$NF$150,MATCH(1,(GMW!$NE$2:$NE$150=AG$3)*(GMW!$ND$2:$ND$150=AG$4)*(GMW!$NF$2:$NF$150=AG$1),0),$C244-1966)</f>
        <v>-1.6845920000000001</v>
      </c>
      <c r="AH244" s="4" cm="1">
        <f t="array" ref="AH244">INDEX(GMW!$A$2:$NF$150,MATCH(1,(GMW!$NE$2:$NE$150=AH$3)*(GMW!$ND$2:$ND$150=AH$4)*(GMW!$NF$2:$NF$150=AH$1),0),$C244-1966)</f>
        <v>723211.4</v>
      </c>
      <c r="AI244" s="4" cm="1">
        <f t="array" ref="AI244">INDEX(GMW!$A$2:$NF$150,MATCH(1,(GMW!$NE$2:$NE$150=AI$3)*(GMW!$ND$2:$ND$150=AI$4)*(GMW!$NF$2:$NF$150=AI$1),0),$C244-1966)</f>
        <v>158.94880000000001</v>
      </c>
      <c r="AJ244" s="4" cm="1">
        <f t="array" ref="AJ244">INDEX(GMW!$A$2:$NF$150,MATCH(1,(GMW!$NE$2:$NE$150=AJ$3)*(GMW!$ND$2:$ND$150=AJ$4)*(GMW!$NF$2:$NF$150=AJ$1),0),$C244-1966)</f>
        <v>221218.7</v>
      </c>
      <c r="AK244" s="4" cm="1">
        <f t="array" ref="AK244">INDEX(GMW!$A$2:$NF$150,MATCH(1,(GMW!$NE$2:$NE$150=AK$3)*(GMW!$ND$2:$ND$150=AK$4)*(GMW!$NF$2:$NF$150=AK$1),0),$C244-1966)</f>
        <v>83402.02</v>
      </c>
      <c r="AL244" s="4" cm="1">
        <f t="array" ref="AL244">INDEX(GMW!$A$2:$NF$150,MATCH(1,(GMW!$NE$2:$NE$150=AL$3)*(GMW!$ND$2:$ND$150=AL$4)*(GMW!$NF$2:$NF$150=AL$1),0),$C244-1966)</f>
        <v>243213.6</v>
      </c>
      <c r="AM244" s="4" cm="1">
        <f t="array" ref="AM244">INDEX(GMW!$A$2:$NF$150,MATCH(1,(GMW!$NE$2:$NE$150=AM$3)*(GMW!$ND$2:$ND$150=AM$4)*(GMW!$NF$2:$NF$150=AM$1),0),$C244-1966)</f>
        <v>131216.5</v>
      </c>
      <c r="AN244" s="4" cm="1">
        <f t="array" ref="AN244">INDEX(GMW!$A$2:$NF$150,MATCH(1,(GMW!$NE$2:$NE$150=AN$3)*(GMW!$ND$2:$ND$150=AN$4)*(GMW!$NF$2:$NF$150=AN$1),0),$C244-1966)</f>
        <v>133368.4</v>
      </c>
      <c r="AO244" s="4" cm="1">
        <f t="array" ref="AO244">INDEX(GMW!$A$2:$NF$150,MATCH(1,(GMW!$NE$2:$NE$150=AO$3)*(GMW!$ND$2:$ND$150=AO$4)*(GMW!$NF$2:$NF$150=AO$1),0),$C244-1966)</f>
        <v>76628.479999999996</v>
      </c>
      <c r="AP244" s="4" cm="1">
        <f t="array" ref="AP244">INDEX(GMW!$A$2:$NF$150,MATCH(1,(GMW!$NE$2:$NE$150=AP$3)*(GMW!$ND$2:$ND$150=AP$4)*(GMW!$NF$2:$NF$150=AP$1),0),$C244-1966)</f>
        <v>723294.3</v>
      </c>
      <c r="AQ244" s="4" cm="1">
        <f t="array" ref="AQ244">INDEX(GMW!$A$2:$NF$150,MATCH(1,(GMW!$NE$2:$NE$150=AQ$3)*(GMW!$ND$2:$ND$150=AQ$4)*(GMW!$NF$2:$NF$150=AQ$1),0),$C244-1966)</f>
        <v>36292.94</v>
      </c>
      <c r="AR244" s="4" cm="1">
        <f t="array" ref="AR244">INDEX(GMW!$A$2:$NF$150,MATCH(1,(GMW!$NE$2:$NE$150=AR$3)*(GMW!$ND$2:$ND$150=AR$4)*(GMW!$NF$2:$NF$150=AR$1),0),$C244-1966)</f>
        <v>31.995419999999999</v>
      </c>
      <c r="AS244" s="4" cm="1">
        <f t="array" ref="AS244">INDEX(GMW!$A$2:$NF$150,MATCH(1,(GMW!$NE$2:$NE$150=AS$3)*(GMW!$ND$2:$ND$150=AS$4)*(GMW!$NF$2:$NF$150=AS$1),0),$C244-1966)</f>
        <v>658434.5</v>
      </c>
      <c r="AT244" s="4" cm="1">
        <f t="array" ref="AT244">INDEX(GMW!$A$2:$NF$150,MATCH(1,(GMW!$NE$2:$NE$150=AT$3)*(GMW!$ND$2:$ND$150=AT$4)*(GMW!$NF$2:$NF$150=AT$1),0),$C244-1966)</f>
        <v>45608.55</v>
      </c>
      <c r="AU244" s="4" cm="1">
        <f t="array" ref="AU244">INDEX(GMW!$A$2:$NF$150,MATCH(1,(GMW!$NE$2:$NE$150=AU$3)*(GMW!$ND$2:$ND$150=AU$4)*(GMW!$NF$2:$NF$150=AU$1),0),$C244-1966)</f>
        <v>3748878</v>
      </c>
      <c r="AV244" s="4" cm="1">
        <f t="array" ref="AV244">INDEX(GMW!$A$2:$NF$150,MATCH(1,(GMW!$NE$2:$NE$150=AV$3)*(GMW!$ND$2:$ND$150=AV$4)*(GMW!$NF$2:$NF$150=AV$1),0),$C244-1966)</f>
        <v>-1.6830350000000001</v>
      </c>
    </row>
    <row r="245" spans="1:48" x14ac:dyDescent="0.25">
      <c r="B245" s="4">
        <f t="shared" si="10"/>
        <v>2032</v>
      </c>
      <c r="C245" s="4">
        <f t="shared" si="11"/>
        <v>2211</v>
      </c>
      <c r="D245" s="4" cm="1">
        <f t="array" ref="D245">INDEX(GMW!$A$2:$NF$150,MATCH(1,(GMW!$NE$2:$NE$150=D$3)*(GMW!$ND$2:$ND$150=D$4)*(GMW!$NF$2:$NF$150=D$1),0),$C245-1966)</f>
        <v>720672.8</v>
      </c>
      <c r="E245" s="4" cm="1">
        <f t="array" ref="E245">INDEX(GMW!$A$2:$NF$150,MATCH(1,(GMW!$NE$2:$NE$150=E$3)*(GMW!$ND$2:$ND$150=E$4)*(GMW!$NF$2:$NF$150=E$1),0),$C245-1966)</f>
        <v>160.87370000000001</v>
      </c>
      <c r="F245" s="4" cm="1">
        <f t="array" ref="F245">INDEX(GMW!$A$2:$NF$150,MATCH(1,(GMW!$NE$2:$NE$150=F$3)*(GMW!$ND$2:$ND$150=F$4)*(GMW!$NF$2:$NF$150=F$1),0),$C245-1966)</f>
        <v>226131.4</v>
      </c>
      <c r="G245" s="4" cm="1">
        <f t="array" ref="G245">INDEX(GMW!$A$2:$NF$150,MATCH(1,(GMW!$NE$2:$NE$150=G$3)*(GMW!$ND$2:$ND$150=G$4)*(GMW!$NF$2:$NF$150=G$1),0),$C245-1966)</f>
        <v>77179.839999999997</v>
      </c>
      <c r="H245" s="4" cm="1">
        <f t="array" ref="H245">INDEX(GMW!$A$2:$NF$150,MATCH(1,(GMW!$NE$2:$NE$150=H$3)*(GMW!$ND$2:$ND$150=H$4)*(GMW!$NF$2:$NF$150=H$1),0),$C245-1966)</f>
        <v>247771.3</v>
      </c>
      <c r="I245" s="4" cm="1">
        <f t="array" ref="I245">INDEX(GMW!$A$2:$NF$150,MATCH(1,(GMW!$NE$2:$NE$150=I$3)*(GMW!$ND$2:$ND$150=I$4)*(GMW!$NF$2:$NF$150=I$1),0),$C245-1966)</f>
        <v>133886.79999999999</v>
      </c>
      <c r="J245" s="4" cm="1">
        <f t="array" ref="J245">INDEX(GMW!$A$2:$NF$150,MATCH(1,(GMW!$NE$2:$NE$150=J$3)*(GMW!$ND$2:$ND$150=J$4)*(GMW!$NF$2:$NF$150=J$1),0),$C245-1966)</f>
        <v>131799.20000000001</v>
      </c>
      <c r="K245" s="4" cm="1">
        <f t="array" ref="K245">INDEX(GMW!$A$2:$NF$150,MATCH(1,(GMW!$NE$2:$NE$150=K$3)*(GMW!$ND$2:$ND$150=K$4)*(GMW!$NF$2:$NF$150=K$1),0),$C245-1966)</f>
        <v>73400.41</v>
      </c>
      <c r="L245" s="4" cm="1">
        <f t="array" ref="L245">INDEX(GMW!$A$2:$NF$150,MATCH(1,(GMW!$NE$2:$NE$150=L$3)*(GMW!$ND$2:$ND$150=L$4)*(GMW!$NF$2:$NF$150=L$1),0),$C245-1966)</f>
        <v>720725.3</v>
      </c>
      <c r="M245" s="4" cm="1">
        <f t="array" ref="M245">INDEX(GMW!$A$2:$NF$150,MATCH(1,(GMW!$NE$2:$NE$150=M$3)*(GMW!$ND$2:$ND$150=M$4)*(GMW!$NF$2:$NF$150=M$1),0),$C245-1966)</f>
        <v>36381.15</v>
      </c>
      <c r="N245" s="4" cm="1">
        <f t="array" ref="N245">INDEX(GMW!$A$2:$NF$150,MATCH(1,(GMW!$NE$2:$NE$150=N$3)*(GMW!$ND$2:$ND$150=N$4)*(GMW!$NF$2:$NF$150=N$1),0),$C245-1966)</f>
        <v>31.99521</v>
      </c>
      <c r="O245" s="4" cm="1">
        <f t="array" ref="O245">INDEX(GMW!$A$2:$NF$150,MATCH(1,(GMW!$NE$2:$NE$150=O$3)*(GMW!$ND$2:$ND$150=O$4)*(GMW!$NF$2:$NF$150=O$1),0),$C245-1966)</f>
        <v>661437.9</v>
      </c>
      <c r="P245" s="4" cm="1">
        <f t="array" ref="P245">INDEX(GMW!$A$2:$NF$150,MATCH(1,(GMW!$NE$2:$NE$150=P$3)*(GMW!$ND$2:$ND$150=P$4)*(GMW!$NF$2:$NF$150=P$1),0),$C245-1966)</f>
        <v>45766.09</v>
      </c>
      <c r="Q245" s="4" cm="1">
        <f t="array" ref="Q245">INDEX(GMW!$A$2:$NF$150,MATCH(1,(GMW!$NE$2:$NE$150=Q$3)*(GMW!$ND$2:$ND$150=Q$4)*(GMW!$NF$2:$NF$150=Q$1),0),$C245-1966)</f>
        <v>3720309</v>
      </c>
      <c r="R245" s="4" cm="1">
        <f t="array" ref="R245">INDEX(GMW!$A$2:$NF$150,MATCH(1,(GMW!$NE$2:$NE$150=R$3)*(GMW!$ND$2:$ND$150=R$4)*(GMW!$NF$2:$NF$150=R$1),0),$C245-1966)</f>
        <v>-1.6859390000000001</v>
      </c>
      <c r="S245" s="4" cm="1">
        <f t="array" ref="S245">INDEX(GMW!$A$2:$NF$150,MATCH(1,(GMW!$NE$2:$NE$150=S$3)*(GMW!$ND$2:$ND$150=S$4)*(GMW!$NF$2:$NF$150=S$1),0),$C245-1966)</f>
        <v>724841.9</v>
      </c>
      <c r="T245" s="4" cm="1">
        <f t="array" ref="T245">INDEX(GMW!$A$2:$NF$150,MATCH(1,(GMW!$NE$2:$NE$150=T$3)*(GMW!$ND$2:$ND$150=T$4)*(GMW!$NF$2:$NF$150=T$1),0),$C245-1966)</f>
        <v>160.73519999999999</v>
      </c>
      <c r="U245" s="4" cm="1">
        <f t="array" ref="U245">INDEX(GMW!$A$2:$NF$150,MATCH(1,(GMW!$NE$2:$NE$150=U$3)*(GMW!$ND$2:$ND$150=U$4)*(GMW!$NF$2:$NF$150=U$1),0),$C245-1966)</f>
        <v>216721.1</v>
      </c>
      <c r="V245" s="4" cm="1">
        <f t="array" ref="V245">INDEX(GMW!$A$2:$NF$150,MATCH(1,(GMW!$NE$2:$NE$150=V$3)*(GMW!$ND$2:$ND$150=V$4)*(GMW!$NF$2:$NF$150=V$1),0),$C245-1966)</f>
        <v>81104.63</v>
      </c>
      <c r="W245" s="4" cm="1">
        <f t="array" ref="W245">INDEX(GMW!$A$2:$NF$150,MATCH(1,(GMW!$NE$2:$NE$150=W$3)*(GMW!$ND$2:$ND$150=W$4)*(GMW!$NF$2:$NF$150=W$1),0),$C245-1966)</f>
        <v>239779.4</v>
      </c>
      <c r="X245" s="4" cm="1">
        <f t="array" ref="X245">INDEX(GMW!$A$2:$NF$150,MATCH(1,(GMW!$NE$2:$NE$150=X$3)*(GMW!$ND$2:$ND$150=X$4)*(GMW!$NF$2:$NF$150=X$1),0),$C245-1966)</f>
        <v>128390.3</v>
      </c>
      <c r="Y245" s="4" cm="1">
        <f t="array" ref="Y245">INDEX(GMW!$A$2:$NF$150,MATCH(1,(GMW!$NE$2:$NE$150=Y$3)*(GMW!$ND$2:$ND$150=Y$4)*(GMW!$NF$2:$NF$150=Y$1),0),$C245-1966)</f>
        <v>133938</v>
      </c>
      <c r="Z245" s="4" cm="1">
        <f t="array" ref="Z245">INDEX(GMW!$A$2:$NF$150,MATCH(1,(GMW!$NE$2:$NE$150=Z$3)*(GMW!$ND$2:$ND$150=Z$4)*(GMW!$NF$2:$NF$150=Z$1),0),$C245-1966)</f>
        <v>75999.44</v>
      </c>
      <c r="AA245" s="4" cm="1">
        <f t="array" ref="AA245">INDEX(GMW!$A$2:$NF$150,MATCH(1,(GMW!$NE$2:$NE$150=AA$3)*(GMW!$ND$2:$ND$150=AA$4)*(GMW!$NF$2:$NF$150=AA$1),0),$C245-1966)</f>
        <v>724878.4</v>
      </c>
      <c r="AB245" s="4" cm="1">
        <f t="array" ref="AB245">INDEX(GMW!$A$2:$NF$150,MATCH(1,(GMW!$NE$2:$NE$150=AB$3)*(GMW!$ND$2:$ND$150=AB$4)*(GMW!$NF$2:$NF$150=AB$1),0),$C245-1966)</f>
        <v>36387.25</v>
      </c>
      <c r="AC245" s="4" cm="1">
        <f t="array" ref="AC245">INDEX(GMW!$A$2:$NF$150,MATCH(1,(GMW!$NE$2:$NE$150=AC$3)*(GMW!$ND$2:$ND$150=AC$4)*(GMW!$NF$2:$NF$150=AC$1),0),$C245-1966)</f>
        <v>31.99521</v>
      </c>
      <c r="AD245" s="4" cm="1">
        <f t="array" ref="AD245">INDEX(GMW!$A$2:$NF$150,MATCH(1,(GMW!$NE$2:$NE$150=AD$3)*(GMW!$ND$2:$ND$150=AD$4)*(GMW!$NF$2:$NF$150=AD$1),0),$C245-1966)</f>
        <v>661437.9</v>
      </c>
      <c r="AE245" s="4" cm="1">
        <f t="array" ref="AE245">INDEX(GMW!$A$2:$NF$150,MATCH(1,(GMW!$NE$2:$NE$150=AE$3)*(GMW!$ND$2:$ND$150=AE$4)*(GMW!$NF$2:$NF$150=AE$1),0),$C245-1966)</f>
        <v>45766.09</v>
      </c>
      <c r="AF245" s="4" cm="1">
        <f t="array" ref="AF245">INDEX(GMW!$A$2:$NF$150,MATCH(1,(GMW!$NE$2:$NE$150=AF$3)*(GMW!$ND$2:$ND$150=AF$4)*(GMW!$NF$2:$NF$150=AF$1),0),$C245-1966)</f>
        <v>3758501</v>
      </c>
      <c r="AG245" s="4" cm="1">
        <f t="array" ref="AG245">INDEX(GMW!$A$2:$NF$150,MATCH(1,(GMW!$NE$2:$NE$150=AG$3)*(GMW!$ND$2:$ND$150=AG$4)*(GMW!$NF$2:$NF$150=AG$1),0),$C245-1966)</f>
        <v>-1.6837500000000001</v>
      </c>
      <c r="AH245" s="4" cm="1">
        <f t="array" ref="AH245">INDEX(GMW!$A$2:$NF$150,MATCH(1,(GMW!$NE$2:$NE$150=AH$3)*(GMW!$ND$2:$ND$150=AH$4)*(GMW!$NF$2:$NF$150=AH$1),0),$C245-1966)</f>
        <v>726104.3</v>
      </c>
      <c r="AI245" s="4" cm="1">
        <f t="array" ref="AI245">INDEX(GMW!$A$2:$NF$150,MATCH(1,(GMW!$NE$2:$NE$150=AI$3)*(GMW!$ND$2:$ND$150=AI$4)*(GMW!$NF$2:$NF$150=AI$1),0),$C245-1966)</f>
        <v>159.65049999999999</v>
      </c>
      <c r="AJ245" s="4" cm="1">
        <f t="array" ref="AJ245">INDEX(GMW!$A$2:$NF$150,MATCH(1,(GMW!$NE$2:$NE$150=AJ$3)*(GMW!$ND$2:$ND$150=AJ$4)*(GMW!$NF$2:$NF$150=AJ$1),0),$C245-1966)</f>
        <v>221993.3</v>
      </c>
      <c r="AK245" s="4" cm="1">
        <f t="array" ref="AK245">INDEX(GMW!$A$2:$NF$150,MATCH(1,(GMW!$NE$2:$NE$150=AK$3)*(GMW!$ND$2:$ND$150=AK$4)*(GMW!$NF$2:$NF$150=AK$1),0),$C245-1966)</f>
        <v>83660.56</v>
      </c>
      <c r="AL245" s="4" cm="1">
        <f t="array" ref="AL245">INDEX(GMW!$A$2:$NF$150,MATCH(1,(GMW!$NE$2:$NE$150=AL$3)*(GMW!$ND$2:$ND$150=AL$4)*(GMW!$NF$2:$NF$150=AL$1),0),$C245-1966)</f>
        <v>244166.7</v>
      </c>
      <c r="AM245" s="4" cm="1">
        <f t="array" ref="AM245">INDEX(GMW!$A$2:$NF$150,MATCH(1,(GMW!$NE$2:$NE$150=AM$3)*(GMW!$ND$2:$ND$150=AM$4)*(GMW!$NF$2:$NF$150=AM$1),0),$C245-1966)</f>
        <v>131688.9</v>
      </c>
      <c r="AN245" s="4" cm="1">
        <f t="array" ref="AN245">INDEX(GMW!$A$2:$NF$150,MATCH(1,(GMW!$NE$2:$NE$150=AN$3)*(GMW!$ND$2:$ND$150=AN$4)*(GMW!$NF$2:$NF$150=AN$1),0),$C245-1966)</f>
        <v>134078.29999999999</v>
      </c>
      <c r="AO245" s="4" cm="1">
        <f t="array" ref="AO245">INDEX(GMW!$A$2:$NF$150,MATCH(1,(GMW!$NE$2:$NE$150=AO$3)*(GMW!$ND$2:$ND$150=AO$4)*(GMW!$NF$2:$NF$150=AO$1),0),$C245-1966)</f>
        <v>77095.92</v>
      </c>
      <c r="AP245" s="4" cm="1">
        <f t="array" ref="AP245">INDEX(GMW!$A$2:$NF$150,MATCH(1,(GMW!$NE$2:$NE$150=AP$3)*(GMW!$ND$2:$ND$150=AP$4)*(GMW!$NF$2:$NF$150=AP$1),0),$C245-1966)</f>
        <v>726205.5</v>
      </c>
      <c r="AQ245" s="4" cm="1">
        <f t="array" ref="AQ245">INDEX(GMW!$A$2:$NF$150,MATCH(1,(GMW!$NE$2:$NE$150=AQ$3)*(GMW!$ND$2:$ND$150=AQ$4)*(GMW!$NF$2:$NF$150=AQ$1),0),$C245-1966)</f>
        <v>36365.53</v>
      </c>
      <c r="AR245" s="4" cm="1">
        <f t="array" ref="AR245">INDEX(GMW!$A$2:$NF$150,MATCH(1,(GMW!$NE$2:$NE$150=AR$3)*(GMW!$ND$2:$ND$150=AR$4)*(GMW!$NF$2:$NF$150=AR$1),0),$C245-1966)</f>
        <v>31.99521</v>
      </c>
      <c r="AS245" s="4" cm="1">
        <f t="array" ref="AS245">INDEX(GMW!$A$2:$NF$150,MATCH(1,(GMW!$NE$2:$NE$150=AS$3)*(GMW!$ND$2:$ND$150=AS$4)*(GMW!$NF$2:$NF$150=AS$1),0),$C245-1966)</f>
        <v>659276.4</v>
      </c>
      <c r="AT245" s="4" cm="1">
        <f t="array" ref="AT245">INDEX(GMW!$A$2:$NF$150,MATCH(1,(GMW!$NE$2:$NE$150=AT$3)*(GMW!$ND$2:$ND$150=AT$4)*(GMW!$NF$2:$NF$150=AT$1),0),$C245-1966)</f>
        <v>45614.43</v>
      </c>
      <c r="AU245" s="4" cm="1">
        <f t="array" ref="AU245">INDEX(GMW!$A$2:$NF$150,MATCH(1,(GMW!$NE$2:$NE$150=AU$3)*(GMW!$ND$2:$ND$150=AU$4)*(GMW!$NF$2:$NF$150=AU$1),0),$C245-1966)</f>
        <v>3765075</v>
      </c>
      <c r="AV245" s="4" cm="1">
        <f t="array" ref="AV245">INDEX(GMW!$A$2:$NF$150,MATCH(1,(GMW!$NE$2:$NE$150=AV$3)*(GMW!$ND$2:$ND$150=AV$4)*(GMW!$NF$2:$NF$150=AV$1),0),$C245-1966)</f>
        <v>-1.682151</v>
      </c>
    </row>
    <row r="246" spans="1:48" x14ac:dyDescent="0.25">
      <c r="B246" s="4">
        <f t="shared" si="10"/>
        <v>2032</v>
      </c>
      <c r="C246" s="4">
        <f t="shared" si="11"/>
        <v>2212</v>
      </c>
      <c r="D246" s="4" cm="1">
        <f t="array" ref="D246">INDEX(GMW!$A$2:$NF$150,MATCH(1,(GMW!$NE$2:$NE$150=D$3)*(GMW!$ND$2:$ND$150=D$4)*(GMW!$NF$2:$NF$150=D$1),0),$C246-1966)</f>
        <v>723519.4</v>
      </c>
      <c r="E246" s="4" cm="1">
        <f t="array" ref="E246">INDEX(GMW!$A$2:$NF$150,MATCH(1,(GMW!$NE$2:$NE$150=E$3)*(GMW!$ND$2:$ND$150=E$4)*(GMW!$NF$2:$NF$150=E$1),0),$C246-1966)</f>
        <v>161.62110000000001</v>
      </c>
      <c r="F246" s="4" cm="1">
        <f t="array" ref="F246">INDEX(GMW!$A$2:$NF$150,MATCH(1,(GMW!$NE$2:$NE$150=F$3)*(GMW!$ND$2:$ND$150=F$4)*(GMW!$NF$2:$NF$150=F$1),0),$C246-1966)</f>
        <v>226952.8</v>
      </c>
      <c r="G246" s="4" cm="1">
        <f t="array" ref="G246">INDEX(GMW!$A$2:$NF$150,MATCH(1,(GMW!$NE$2:$NE$150=G$3)*(GMW!$ND$2:$ND$150=G$4)*(GMW!$NF$2:$NF$150=G$1),0),$C246-1966)</f>
        <v>77419.100000000006</v>
      </c>
      <c r="H246" s="4" cm="1">
        <f t="array" ref="H246">INDEX(GMW!$A$2:$NF$150,MATCH(1,(GMW!$NE$2:$NE$150=H$3)*(GMW!$ND$2:$ND$150=H$4)*(GMW!$NF$2:$NF$150=H$1),0),$C246-1966)</f>
        <v>248758.3</v>
      </c>
      <c r="I246" s="4" cm="1">
        <f t="array" ref="I246">INDEX(GMW!$A$2:$NF$150,MATCH(1,(GMW!$NE$2:$NE$150=I$3)*(GMW!$ND$2:$ND$150=I$4)*(GMW!$NF$2:$NF$150=I$1),0),$C246-1966)</f>
        <v>134368.79999999999</v>
      </c>
      <c r="J246" s="4" cm="1">
        <f t="array" ref="J246">INDEX(GMW!$A$2:$NF$150,MATCH(1,(GMW!$NE$2:$NE$150=J$3)*(GMW!$ND$2:$ND$150=J$4)*(GMW!$NF$2:$NF$150=J$1),0),$C246-1966)</f>
        <v>132496.1</v>
      </c>
      <c r="K246" s="4" cm="1">
        <f t="array" ref="K246">INDEX(GMW!$A$2:$NF$150,MATCH(1,(GMW!$NE$2:$NE$150=K$3)*(GMW!$ND$2:$ND$150=K$4)*(GMW!$NF$2:$NF$150=K$1),0),$C246-1966)</f>
        <v>73848.160000000003</v>
      </c>
      <c r="L246" s="4" cm="1">
        <f t="array" ref="L246">INDEX(GMW!$A$2:$NF$150,MATCH(1,(GMW!$NE$2:$NE$150=L$3)*(GMW!$ND$2:$ND$150=L$4)*(GMW!$NF$2:$NF$150=L$1),0),$C246-1966)</f>
        <v>723519.2</v>
      </c>
      <c r="M246" s="4" cm="1">
        <f t="array" ref="M246">INDEX(GMW!$A$2:$NF$150,MATCH(1,(GMW!$NE$2:$NE$150=M$3)*(GMW!$ND$2:$ND$150=M$4)*(GMW!$NF$2:$NF$150=M$1),0),$C246-1966)</f>
        <v>36448.449999999997</v>
      </c>
      <c r="N246" s="4" cm="1">
        <f t="array" ref="N246">INDEX(GMW!$A$2:$NF$150,MATCH(1,(GMW!$NE$2:$NE$150=N$3)*(GMW!$ND$2:$ND$150=N$4)*(GMW!$NF$2:$NF$150=N$1),0),$C246-1966)</f>
        <v>31.995000000000001</v>
      </c>
      <c r="O246" s="4" cm="1">
        <f t="array" ref="O246">INDEX(GMW!$A$2:$NF$150,MATCH(1,(GMW!$NE$2:$NE$150=O$3)*(GMW!$ND$2:$ND$150=O$4)*(GMW!$NF$2:$NF$150=O$1),0),$C246-1966)</f>
        <v>662351.80000000005</v>
      </c>
      <c r="P246" s="4" cm="1">
        <f t="array" ref="P246">INDEX(GMW!$A$2:$NF$150,MATCH(1,(GMW!$NE$2:$NE$150=P$3)*(GMW!$ND$2:$ND$150=P$4)*(GMW!$NF$2:$NF$150=P$1),0),$C246-1966)</f>
        <v>45777.919999999998</v>
      </c>
      <c r="Q246" s="4" cm="1">
        <f t="array" ref="Q246">INDEX(GMW!$A$2:$NF$150,MATCH(1,(GMW!$NE$2:$NE$150=Q$3)*(GMW!$ND$2:$ND$150=Q$4)*(GMW!$NF$2:$NF$150=Q$1),0),$C246-1966)</f>
        <v>3735120</v>
      </c>
      <c r="R246" s="4" cm="1">
        <f t="array" ref="R246">INDEX(GMW!$A$2:$NF$150,MATCH(1,(GMW!$NE$2:$NE$150=R$3)*(GMW!$ND$2:$ND$150=R$4)*(GMW!$NF$2:$NF$150=R$1),0),$C246-1966)</f>
        <v>-1.684979</v>
      </c>
      <c r="S246" s="4" cm="1">
        <f t="array" ref="S246">INDEX(GMW!$A$2:$NF$150,MATCH(1,(GMW!$NE$2:$NE$150=S$3)*(GMW!$ND$2:$ND$150=S$4)*(GMW!$NF$2:$NF$150=S$1),0),$C246-1966)</f>
        <v>727705.1</v>
      </c>
      <c r="T246" s="4" cm="1">
        <f t="array" ref="T246">INDEX(GMW!$A$2:$NF$150,MATCH(1,(GMW!$NE$2:$NE$150=T$3)*(GMW!$ND$2:$ND$150=T$4)*(GMW!$NF$2:$NF$150=T$1),0),$C246-1966)</f>
        <v>161.4579</v>
      </c>
      <c r="U246" s="4" cm="1">
        <f t="array" ref="U246">INDEX(GMW!$A$2:$NF$150,MATCH(1,(GMW!$NE$2:$NE$150=U$3)*(GMW!$ND$2:$ND$150=U$4)*(GMW!$NF$2:$NF$150=U$1),0),$C246-1966)</f>
        <v>217492.8</v>
      </c>
      <c r="V246" s="4" cm="1">
        <f t="array" ref="V246">INDEX(GMW!$A$2:$NF$150,MATCH(1,(GMW!$NE$2:$NE$150=V$3)*(GMW!$ND$2:$ND$150=V$4)*(GMW!$NF$2:$NF$150=V$1),0),$C246-1966)</f>
        <v>81356.05</v>
      </c>
      <c r="W246" s="4" cm="1">
        <f t="array" ref="W246">INDEX(GMW!$A$2:$NF$150,MATCH(1,(GMW!$NE$2:$NE$150=W$3)*(GMW!$ND$2:$ND$150=W$4)*(GMW!$NF$2:$NF$150=W$1),0),$C246-1966)</f>
        <v>240726.2</v>
      </c>
      <c r="X246" s="4" cm="1">
        <f t="array" ref="X246">INDEX(GMW!$A$2:$NF$150,MATCH(1,(GMW!$NE$2:$NE$150=X$3)*(GMW!$ND$2:$ND$150=X$4)*(GMW!$NF$2:$NF$150=X$1),0),$C246-1966)</f>
        <v>128852.6</v>
      </c>
      <c r="Y246" s="4" cm="1">
        <f t="array" ref="Y246">INDEX(GMW!$A$2:$NF$150,MATCH(1,(GMW!$NE$2:$NE$150=Y$3)*(GMW!$ND$2:$ND$150=Y$4)*(GMW!$NF$2:$NF$150=Y$1),0),$C246-1966)</f>
        <v>134648.5</v>
      </c>
      <c r="Z246" s="4" cm="1">
        <f t="array" ref="Z246">INDEX(GMW!$A$2:$NF$150,MATCH(1,(GMW!$NE$2:$NE$150=Z$3)*(GMW!$ND$2:$ND$150=Z$4)*(GMW!$NF$2:$NF$150=Z$1),0),$C246-1966)</f>
        <v>76463.03</v>
      </c>
      <c r="AA246" s="4" cm="1">
        <f t="array" ref="AA246">INDEX(GMW!$A$2:$NF$150,MATCH(1,(GMW!$NE$2:$NE$150=AA$3)*(GMW!$ND$2:$ND$150=AA$4)*(GMW!$NF$2:$NF$150=AA$1),0),$C246-1966)</f>
        <v>727704.4</v>
      </c>
      <c r="AB246" s="4" cm="1">
        <f t="array" ref="AB246">INDEX(GMW!$A$2:$NF$150,MATCH(1,(GMW!$NE$2:$NE$150=AB$3)*(GMW!$ND$2:$ND$150=AB$4)*(GMW!$NF$2:$NF$150=AB$1),0),$C246-1966)</f>
        <v>36452.75</v>
      </c>
      <c r="AC246" s="4" cm="1">
        <f t="array" ref="AC246">INDEX(GMW!$A$2:$NF$150,MATCH(1,(GMW!$NE$2:$NE$150=AC$3)*(GMW!$ND$2:$ND$150=AC$4)*(GMW!$NF$2:$NF$150=AC$1),0),$C246-1966)</f>
        <v>31.995000000000001</v>
      </c>
      <c r="AD246" s="4" cm="1">
        <f t="array" ref="AD246">INDEX(GMW!$A$2:$NF$150,MATCH(1,(GMW!$NE$2:$NE$150=AD$3)*(GMW!$ND$2:$ND$150=AD$4)*(GMW!$NF$2:$NF$150=AD$1),0),$C246-1966)</f>
        <v>662351.80000000005</v>
      </c>
      <c r="AE246" s="4" cm="1">
        <f t="array" ref="AE246">INDEX(GMW!$A$2:$NF$150,MATCH(1,(GMW!$NE$2:$NE$150=AE$3)*(GMW!$ND$2:$ND$150=AE$4)*(GMW!$NF$2:$NF$150=AE$1),0),$C246-1966)</f>
        <v>45777.919999999998</v>
      </c>
      <c r="AF246" s="4" cm="1">
        <f t="array" ref="AF246">INDEX(GMW!$A$2:$NF$150,MATCH(1,(GMW!$NE$2:$NE$150=AF$3)*(GMW!$ND$2:$ND$150=AF$4)*(GMW!$NF$2:$NF$150=AF$1),0),$C246-1966)</f>
        <v>3774813</v>
      </c>
      <c r="AG246" s="4" cm="1">
        <f t="array" ref="AG246">INDEX(GMW!$A$2:$NF$150,MATCH(1,(GMW!$NE$2:$NE$150=AG$3)*(GMW!$ND$2:$ND$150=AG$4)*(GMW!$NF$2:$NF$150=AG$1),0),$C246-1966)</f>
        <v>-1.6828620000000001</v>
      </c>
      <c r="AH246" s="4" cm="1">
        <f t="array" ref="AH246">INDEX(GMW!$A$2:$NF$150,MATCH(1,(GMW!$NE$2:$NE$150=AH$3)*(GMW!$ND$2:$ND$150=AH$4)*(GMW!$NF$2:$NF$150=AH$1),0),$C246-1966)</f>
        <v>728936.1</v>
      </c>
      <c r="AI246" s="4" cm="1">
        <f t="array" ref="AI246">INDEX(GMW!$A$2:$NF$150,MATCH(1,(GMW!$NE$2:$NE$150=AI$3)*(GMW!$ND$2:$ND$150=AI$4)*(GMW!$NF$2:$NF$150=AI$1),0),$C246-1966)</f>
        <v>160.44030000000001</v>
      </c>
      <c r="AJ246" s="4" cm="1">
        <f t="array" ref="AJ246">INDEX(GMW!$A$2:$NF$150,MATCH(1,(GMW!$NE$2:$NE$150=AJ$3)*(GMW!$ND$2:$ND$150=AJ$4)*(GMW!$NF$2:$NF$150=AJ$1),0),$C246-1966)</f>
        <v>222771.4</v>
      </c>
      <c r="AK246" s="4" cm="1">
        <f t="array" ref="AK246">INDEX(GMW!$A$2:$NF$150,MATCH(1,(GMW!$NE$2:$NE$150=AK$3)*(GMW!$ND$2:$ND$150=AK$4)*(GMW!$NF$2:$NF$150=AK$1),0),$C246-1966)</f>
        <v>83919.91</v>
      </c>
      <c r="AL246" s="4" cm="1">
        <f t="array" ref="AL246">INDEX(GMW!$A$2:$NF$150,MATCH(1,(GMW!$NE$2:$NE$150=AL$3)*(GMW!$ND$2:$ND$150=AL$4)*(GMW!$NF$2:$NF$150=AL$1),0),$C246-1966)</f>
        <v>245123.9</v>
      </c>
      <c r="AM246" s="4" cm="1">
        <f t="array" ref="AM246">INDEX(GMW!$A$2:$NF$150,MATCH(1,(GMW!$NE$2:$NE$150=AM$3)*(GMW!$ND$2:$ND$150=AM$4)*(GMW!$NF$2:$NF$150=AM$1),0),$C246-1966)</f>
        <v>132162.9</v>
      </c>
      <c r="AN246" s="4" cm="1">
        <f t="array" ref="AN246">INDEX(GMW!$A$2:$NF$150,MATCH(1,(GMW!$NE$2:$NE$150=AN$3)*(GMW!$ND$2:$ND$150=AN$4)*(GMW!$NF$2:$NF$150=AN$1),0),$C246-1966)</f>
        <v>134791.20000000001</v>
      </c>
      <c r="AO246" s="4" cm="1">
        <f t="array" ref="AO246">INDEX(GMW!$A$2:$NF$150,MATCH(1,(GMW!$NE$2:$NE$150=AO$3)*(GMW!$ND$2:$ND$150=AO$4)*(GMW!$NF$2:$NF$150=AO$1),0),$C246-1966)</f>
        <v>77566.2</v>
      </c>
      <c r="AP246" s="4" cm="1">
        <f t="array" ref="AP246">INDEX(GMW!$A$2:$NF$150,MATCH(1,(GMW!$NE$2:$NE$150=AP$3)*(GMW!$ND$2:$ND$150=AP$4)*(GMW!$NF$2:$NF$150=AP$1),0),$C246-1966)</f>
        <v>729104.1</v>
      </c>
      <c r="AQ246" s="4" cm="1">
        <f t="array" ref="AQ246">INDEX(GMW!$A$2:$NF$150,MATCH(1,(GMW!$NE$2:$NE$150=AQ$3)*(GMW!$ND$2:$ND$150=AQ$4)*(GMW!$NF$2:$NF$150=AQ$1),0),$C246-1966)</f>
        <v>36430.99</v>
      </c>
      <c r="AR246" s="4" cm="1">
        <f t="array" ref="AR246">INDEX(GMW!$A$2:$NF$150,MATCH(1,(GMW!$NE$2:$NE$150=AR$3)*(GMW!$ND$2:$ND$150=AR$4)*(GMW!$NF$2:$NF$150=AR$1),0),$C246-1966)</f>
        <v>31.995000000000001</v>
      </c>
      <c r="AS246" s="4" cm="1">
        <f t="array" ref="AS246">INDEX(GMW!$A$2:$NF$150,MATCH(1,(GMW!$NE$2:$NE$150=AS$3)*(GMW!$ND$2:$ND$150=AS$4)*(GMW!$NF$2:$NF$150=AS$1),0),$C246-1966)</f>
        <v>660104.9</v>
      </c>
      <c r="AT246" s="4" cm="1">
        <f t="array" ref="AT246">INDEX(GMW!$A$2:$NF$150,MATCH(1,(GMW!$NE$2:$NE$150=AT$3)*(GMW!$ND$2:$ND$150=AT$4)*(GMW!$NF$2:$NF$150=AT$1),0),$C246-1966)</f>
        <v>45620.31</v>
      </c>
      <c r="AU246" s="4" cm="1">
        <f t="array" ref="AU246">INDEX(GMW!$A$2:$NF$150,MATCH(1,(GMW!$NE$2:$NE$150=AU$3)*(GMW!$ND$2:$ND$150=AU$4)*(GMW!$NF$2:$NF$150=AU$1),0),$C246-1966)</f>
        <v>3781487</v>
      </c>
      <c r="AV246" s="4" cm="1">
        <f t="array" ref="AV246">INDEX(GMW!$A$2:$NF$150,MATCH(1,(GMW!$NE$2:$NE$150=AV$3)*(GMW!$ND$2:$ND$150=AV$4)*(GMW!$NF$2:$NF$150=AV$1),0),$C246-1966)</f>
        <v>-1.6811799999999999</v>
      </c>
    </row>
    <row r="247" spans="1:48" x14ac:dyDescent="0.25">
      <c r="A247" s="4">
        <v>2033</v>
      </c>
      <c r="B247" s="4">
        <f t="shared" si="10"/>
        <v>2033</v>
      </c>
      <c r="C247" s="4">
        <f t="shared" si="11"/>
        <v>2213</v>
      </c>
      <c r="D247" s="4" cm="1">
        <f t="array" ref="D247">INDEX(GMW!$A$2:$NF$150,MATCH(1,(GMW!$NE$2:$NE$150=D$3)*(GMW!$ND$2:$ND$150=D$4)*(GMW!$NF$2:$NF$150=D$1),0),$C247-1966)</f>
        <v>726382.9</v>
      </c>
      <c r="E247" s="4" cm="1">
        <f t="array" ref="E247">INDEX(GMW!$A$2:$NF$150,MATCH(1,(GMW!$NE$2:$NE$150=E$3)*(GMW!$ND$2:$ND$150=E$4)*(GMW!$NF$2:$NF$150=E$1),0),$C247-1966)</f>
        <v>161.94489999999999</v>
      </c>
      <c r="F247" s="4" cm="1">
        <f t="array" ref="F247">INDEX(GMW!$A$2:$NF$150,MATCH(1,(GMW!$NE$2:$NE$150=F$3)*(GMW!$ND$2:$ND$150=F$4)*(GMW!$NF$2:$NF$150=F$1),0),$C247-1966)</f>
        <v>227746.8</v>
      </c>
      <c r="G247" s="4" cm="1">
        <f t="array" ref="G247">INDEX(GMW!$A$2:$NF$150,MATCH(1,(GMW!$NE$2:$NE$150=G$3)*(GMW!$ND$2:$ND$150=G$4)*(GMW!$NF$2:$NF$150=G$1),0),$C247-1966)</f>
        <v>77648.09</v>
      </c>
      <c r="H247" s="4" cm="1">
        <f t="array" ref="H247">INDEX(GMW!$A$2:$NF$150,MATCH(1,(GMW!$NE$2:$NE$150=H$3)*(GMW!$ND$2:$ND$150=H$4)*(GMW!$NF$2:$NF$150=H$1),0),$C247-1966)</f>
        <v>249713.4</v>
      </c>
      <c r="I247" s="4" cm="1">
        <f t="array" ref="I247">INDEX(GMW!$A$2:$NF$150,MATCH(1,(GMW!$NE$2:$NE$150=I$3)*(GMW!$ND$2:$ND$150=I$4)*(GMW!$NF$2:$NF$150=I$1),0),$C247-1966)</f>
        <v>134863</v>
      </c>
      <c r="J247" s="4" cm="1">
        <f t="array" ref="J247">INDEX(GMW!$A$2:$NF$150,MATCH(1,(GMW!$NE$2:$NE$150=J$3)*(GMW!$ND$2:$ND$150=J$4)*(GMW!$NF$2:$NF$150=J$1),0),$C247-1966)</f>
        <v>133176.20000000001</v>
      </c>
      <c r="K247" s="4" cm="1">
        <f t="array" ref="K247">INDEX(GMW!$A$2:$NF$150,MATCH(1,(GMW!$NE$2:$NE$150=K$3)*(GMW!$ND$2:$ND$150=K$4)*(GMW!$NF$2:$NF$150=K$1),0),$C247-1966)</f>
        <v>74265.97</v>
      </c>
      <c r="L247" s="4" cm="1">
        <f t="array" ref="L247">INDEX(GMW!$A$2:$NF$150,MATCH(1,(GMW!$NE$2:$NE$150=L$3)*(GMW!$ND$2:$ND$150=L$4)*(GMW!$NF$2:$NF$150=L$1),0),$C247-1966)</f>
        <v>726382.8</v>
      </c>
      <c r="M247" s="4" cm="1">
        <f t="array" ref="M247">INDEX(GMW!$A$2:$NF$150,MATCH(1,(GMW!$NE$2:$NE$150=M$3)*(GMW!$ND$2:$ND$150=M$4)*(GMW!$NF$2:$NF$150=M$1),0),$C247-1966)</f>
        <v>36517.49</v>
      </c>
      <c r="N247" s="4" cm="1">
        <f t="array" ref="N247">INDEX(GMW!$A$2:$NF$150,MATCH(1,(GMW!$NE$2:$NE$150=N$3)*(GMW!$ND$2:$ND$150=N$4)*(GMW!$NF$2:$NF$150=N$1),0),$C247-1966)</f>
        <v>31.994430000000001</v>
      </c>
      <c r="O247" s="4" cm="1">
        <f t="array" ref="O247">INDEX(GMW!$A$2:$NF$150,MATCH(1,(GMW!$NE$2:$NE$150=O$3)*(GMW!$ND$2:$ND$150=O$4)*(GMW!$NF$2:$NF$150=O$1),0),$C247-1966)</f>
        <v>663252.1</v>
      </c>
      <c r="P247" s="4" cm="1">
        <f t="array" ref="P247">INDEX(GMW!$A$2:$NF$150,MATCH(1,(GMW!$NE$2:$NE$150=P$3)*(GMW!$ND$2:$ND$150=P$4)*(GMW!$NF$2:$NF$150=P$1),0),$C247-1966)</f>
        <v>45789.75</v>
      </c>
      <c r="Q247" s="4" cm="1">
        <f t="array" ref="Q247">INDEX(GMW!$A$2:$NF$150,MATCH(1,(GMW!$NE$2:$NE$150=Q$3)*(GMW!$ND$2:$ND$150=Q$4)*(GMW!$NF$2:$NF$150=Q$1),0),$C247-1966)</f>
        <v>3750140</v>
      </c>
      <c r="R247" s="4" cm="1">
        <f t="array" ref="R247">INDEX(GMW!$A$2:$NF$150,MATCH(1,(GMW!$NE$2:$NE$150=R$3)*(GMW!$ND$2:$ND$150=R$4)*(GMW!$NF$2:$NF$150=R$1),0),$C247-1966)</f>
        <v>-1.6839679999999999</v>
      </c>
      <c r="S247" s="4" cm="1">
        <f t="array" ref="S247">INDEX(GMW!$A$2:$NF$150,MATCH(1,(GMW!$NE$2:$NE$150=S$3)*(GMW!$ND$2:$ND$150=S$4)*(GMW!$NF$2:$NF$150=S$1),0),$C247-1966)</f>
        <v>730664.9</v>
      </c>
      <c r="T247" s="4" cm="1">
        <f t="array" ref="T247">INDEX(GMW!$A$2:$NF$150,MATCH(1,(GMW!$NE$2:$NE$150=T$3)*(GMW!$ND$2:$ND$150=T$4)*(GMW!$NF$2:$NF$150=T$1),0),$C247-1966)</f>
        <v>161.74539999999999</v>
      </c>
      <c r="U247" s="4" cm="1">
        <f t="array" ref="U247">INDEX(GMW!$A$2:$NF$150,MATCH(1,(GMW!$NE$2:$NE$150=U$3)*(GMW!$ND$2:$ND$150=U$4)*(GMW!$NF$2:$NF$150=U$1),0),$C247-1966)</f>
        <v>218261</v>
      </c>
      <c r="V247" s="4" cm="1">
        <f t="array" ref="V247">INDEX(GMW!$A$2:$NF$150,MATCH(1,(GMW!$NE$2:$NE$150=V$3)*(GMW!$ND$2:$ND$150=V$4)*(GMW!$NF$2:$NF$150=V$1),0),$C247-1966)</f>
        <v>81605.59</v>
      </c>
      <c r="W247" s="4" cm="1">
        <f t="array" ref="W247">INDEX(GMW!$A$2:$NF$150,MATCH(1,(GMW!$NE$2:$NE$150=W$3)*(GMW!$ND$2:$ND$150=W$4)*(GMW!$NF$2:$NF$150=W$1),0),$C247-1966)</f>
        <v>241665.5</v>
      </c>
      <c r="X247" s="4" cm="1">
        <f t="array" ref="X247">INDEX(GMW!$A$2:$NF$150,MATCH(1,(GMW!$NE$2:$NE$150=X$3)*(GMW!$ND$2:$ND$150=X$4)*(GMW!$NF$2:$NF$150=X$1),0),$C247-1966)</f>
        <v>129340.6</v>
      </c>
      <c r="Y247" s="4" cm="1">
        <f t="array" ref="Y247">INDEX(GMW!$A$2:$NF$150,MATCH(1,(GMW!$NE$2:$NE$150=Y$3)*(GMW!$ND$2:$ND$150=Y$4)*(GMW!$NF$2:$NF$150=Y$1),0),$C247-1966)</f>
        <v>135349.9</v>
      </c>
      <c r="Z247" s="4" cm="1">
        <f t="array" ref="Z247">INDEX(GMW!$A$2:$NF$150,MATCH(1,(GMW!$NE$2:$NE$150=Z$3)*(GMW!$ND$2:$ND$150=Z$4)*(GMW!$NF$2:$NF$150=Z$1),0),$C247-1966)</f>
        <v>76898.289999999994</v>
      </c>
      <c r="AA247" s="4" cm="1">
        <f t="array" ref="AA247">INDEX(GMW!$A$2:$NF$150,MATCH(1,(GMW!$NE$2:$NE$150=AA$3)*(GMW!$ND$2:$ND$150=AA$4)*(GMW!$NF$2:$NF$150=AA$1),0),$C247-1966)</f>
        <v>730664.7</v>
      </c>
      <c r="AB247" s="4" cm="1">
        <f t="array" ref="AB247">INDEX(GMW!$A$2:$NF$150,MATCH(1,(GMW!$NE$2:$NE$150=AB$3)*(GMW!$ND$2:$ND$150=AB$4)*(GMW!$NF$2:$NF$150=AB$1),0),$C247-1966)</f>
        <v>36520.97</v>
      </c>
      <c r="AC247" s="4" cm="1">
        <f t="array" ref="AC247">INDEX(GMW!$A$2:$NF$150,MATCH(1,(GMW!$NE$2:$NE$150=AC$3)*(GMW!$ND$2:$ND$150=AC$4)*(GMW!$NF$2:$NF$150=AC$1),0),$C247-1966)</f>
        <v>31.994430000000001</v>
      </c>
      <c r="AD247" s="4" cm="1">
        <f t="array" ref="AD247">INDEX(GMW!$A$2:$NF$150,MATCH(1,(GMW!$NE$2:$NE$150=AD$3)*(GMW!$ND$2:$ND$150=AD$4)*(GMW!$NF$2:$NF$150=AD$1),0),$C247-1966)</f>
        <v>663252.1</v>
      </c>
      <c r="AE247" s="4" cm="1">
        <f t="array" ref="AE247">INDEX(GMW!$A$2:$NF$150,MATCH(1,(GMW!$NE$2:$NE$150=AE$3)*(GMW!$ND$2:$ND$150=AE$4)*(GMW!$NF$2:$NF$150=AE$1),0),$C247-1966)</f>
        <v>45789.75</v>
      </c>
      <c r="AF247" s="4" cm="1">
        <f t="array" ref="AF247">INDEX(GMW!$A$2:$NF$150,MATCH(1,(GMW!$NE$2:$NE$150=AF$3)*(GMW!$ND$2:$ND$150=AF$4)*(GMW!$NF$2:$NF$150=AF$1),0),$C247-1966)</f>
        <v>3791310</v>
      </c>
      <c r="AG247" s="4" cm="1">
        <f t="array" ref="AG247">INDEX(GMW!$A$2:$NF$150,MATCH(1,(GMW!$NE$2:$NE$150=AG$3)*(GMW!$ND$2:$ND$150=AG$4)*(GMW!$NF$2:$NF$150=AG$1),0),$C247-1966)</f>
        <v>-1.6818519999999999</v>
      </c>
      <c r="AH247" s="4" cm="1">
        <f t="array" ref="AH247">INDEX(GMW!$A$2:$NF$150,MATCH(1,(GMW!$NE$2:$NE$150=AH$3)*(GMW!$ND$2:$ND$150=AH$4)*(GMW!$NF$2:$NF$150=AH$1),0),$C247-1966)</f>
        <v>731901.3</v>
      </c>
      <c r="AI247" s="4" cm="1">
        <f t="array" ref="AI247">INDEX(GMW!$A$2:$NF$150,MATCH(1,(GMW!$NE$2:$NE$150=AI$3)*(GMW!$ND$2:$ND$150=AI$4)*(GMW!$NF$2:$NF$150=AI$1),0),$C247-1966)</f>
        <v>160.745</v>
      </c>
      <c r="AJ247" s="4" cm="1">
        <f t="array" ref="AJ247">INDEX(GMW!$A$2:$NF$150,MATCH(1,(GMW!$NE$2:$NE$150=AJ$3)*(GMW!$ND$2:$ND$150=AJ$4)*(GMW!$NF$2:$NF$150=AJ$1),0),$C247-1966)</f>
        <v>223546.2</v>
      </c>
      <c r="AK247" s="4" cm="1">
        <f t="array" ref="AK247">INDEX(GMW!$A$2:$NF$150,MATCH(1,(GMW!$NE$2:$NE$150=AK$3)*(GMW!$ND$2:$ND$150=AK$4)*(GMW!$NF$2:$NF$150=AK$1),0),$C247-1966)</f>
        <v>84177.37</v>
      </c>
      <c r="AL247" s="4" cm="1">
        <f t="array" ref="AL247">INDEX(GMW!$A$2:$NF$150,MATCH(1,(GMW!$NE$2:$NE$150=AL$3)*(GMW!$ND$2:$ND$150=AL$4)*(GMW!$NF$2:$NF$150=AL$1),0),$C247-1966)</f>
        <v>246071.8</v>
      </c>
      <c r="AM247" s="4" cm="1">
        <f t="array" ref="AM247">INDEX(GMW!$A$2:$NF$150,MATCH(1,(GMW!$NE$2:$NE$150=AM$3)*(GMW!$ND$2:$ND$150=AM$4)*(GMW!$NF$2:$NF$150=AM$1),0),$C247-1966)</f>
        <v>132660.9</v>
      </c>
      <c r="AN247" s="4" cm="1">
        <f t="array" ref="AN247">INDEX(GMW!$A$2:$NF$150,MATCH(1,(GMW!$NE$2:$NE$150=AN$3)*(GMW!$ND$2:$ND$150=AN$4)*(GMW!$NF$2:$NF$150=AN$1),0),$C247-1966)</f>
        <v>135494.1</v>
      </c>
      <c r="AO247" s="4" cm="1">
        <f t="array" ref="AO247">INDEX(GMW!$A$2:$NF$150,MATCH(1,(GMW!$NE$2:$NE$150=AO$3)*(GMW!$ND$2:$ND$150=AO$4)*(GMW!$NF$2:$NF$150=AO$1),0),$C247-1966)</f>
        <v>78007.77</v>
      </c>
      <c r="AP247" s="4" cm="1">
        <f t="array" ref="AP247">INDEX(GMW!$A$2:$NF$150,MATCH(1,(GMW!$NE$2:$NE$150=AP$3)*(GMW!$ND$2:$ND$150=AP$4)*(GMW!$NF$2:$NF$150=AP$1),0),$C247-1966)</f>
        <v>732073.6</v>
      </c>
      <c r="AQ247" s="4" cm="1">
        <f t="array" ref="AQ247">INDEX(GMW!$A$2:$NF$150,MATCH(1,(GMW!$NE$2:$NE$150=AQ$3)*(GMW!$ND$2:$ND$150=AQ$4)*(GMW!$NF$2:$NF$150=AQ$1),0),$C247-1966)</f>
        <v>36499.040000000001</v>
      </c>
      <c r="AR247" s="4" cm="1">
        <f t="array" ref="AR247">INDEX(GMW!$A$2:$NF$150,MATCH(1,(GMW!$NE$2:$NE$150=AR$3)*(GMW!$ND$2:$ND$150=AR$4)*(GMW!$NF$2:$NF$150=AR$1),0),$C247-1966)</f>
        <v>31.994430000000001</v>
      </c>
      <c r="AS247" s="4" cm="1">
        <f t="array" ref="AS247">INDEX(GMW!$A$2:$NF$150,MATCH(1,(GMW!$NE$2:$NE$150=AS$3)*(GMW!$ND$2:$ND$150=AS$4)*(GMW!$NF$2:$NF$150=AS$1),0),$C247-1966)</f>
        <v>660920.30000000005</v>
      </c>
      <c r="AT247" s="4" cm="1">
        <f t="array" ref="AT247">INDEX(GMW!$A$2:$NF$150,MATCH(1,(GMW!$NE$2:$NE$150=AT$3)*(GMW!$ND$2:$ND$150=AT$4)*(GMW!$NF$2:$NF$150=AT$1),0),$C247-1966)</f>
        <v>45626.19</v>
      </c>
      <c r="AU247" s="4" cm="1">
        <f t="array" ref="AU247">INDEX(GMW!$A$2:$NF$150,MATCH(1,(GMW!$NE$2:$NE$150=AU$3)*(GMW!$ND$2:$ND$150=AU$4)*(GMW!$NF$2:$NF$150=AU$1),0),$C247-1966)</f>
        <v>3798084</v>
      </c>
      <c r="AV247" s="4" cm="1">
        <f t="array" ref="AV247">INDEX(GMW!$A$2:$NF$150,MATCH(1,(GMW!$NE$2:$NE$150=AV$3)*(GMW!$ND$2:$ND$150=AV$4)*(GMW!$NF$2:$NF$150=AV$1),0),$C247-1966)</f>
        <v>-1.6801710000000001</v>
      </c>
    </row>
    <row r="248" spans="1:48" x14ac:dyDescent="0.25">
      <c r="B248" s="4">
        <f t="shared" si="10"/>
        <v>2033</v>
      </c>
      <c r="C248" s="4">
        <f t="shared" si="11"/>
        <v>2214</v>
      </c>
      <c r="D248" s="4" cm="1">
        <f t="array" ref="D248">INDEX(GMW!$A$2:$NF$150,MATCH(1,(GMW!$NE$2:$NE$150=D$3)*(GMW!$ND$2:$ND$150=D$4)*(GMW!$NF$2:$NF$150=D$1),0),$C248-1966)</f>
        <v>729139.3</v>
      </c>
      <c r="E248" s="4" cm="1">
        <f t="array" ref="E248">INDEX(GMW!$A$2:$NF$150,MATCH(1,(GMW!$NE$2:$NE$150=E$3)*(GMW!$ND$2:$ND$150=E$4)*(GMW!$NF$2:$NF$150=E$1),0),$C248-1966)</f>
        <v>163.3715</v>
      </c>
      <c r="F248" s="4" cm="1">
        <f t="array" ref="F248">INDEX(GMW!$A$2:$NF$150,MATCH(1,(GMW!$NE$2:$NE$150=F$3)*(GMW!$ND$2:$ND$150=F$4)*(GMW!$NF$2:$NF$150=F$1),0),$C248-1966)</f>
        <v>228508.3</v>
      </c>
      <c r="G248" s="4" cm="1">
        <f t="array" ref="G248">INDEX(GMW!$A$2:$NF$150,MATCH(1,(GMW!$NE$2:$NE$150=G$3)*(GMW!$ND$2:$ND$150=G$4)*(GMW!$NF$2:$NF$150=G$1),0),$C248-1966)</f>
        <v>77865.09</v>
      </c>
      <c r="H248" s="4" cm="1">
        <f t="array" ref="H248">INDEX(GMW!$A$2:$NF$150,MATCH(1,(GMW!$NE$2:$NE$150=H$3)*(GMW!$ND$2:$ND$150=H$4)*(GMW!$NF$2:$NF$150=H$1),0),$C248-1966)</f>
        <v>250636</v>
      </c>
      <c r="I248" s="4" cm="1">
        <f t="array" ref="I248">INDEX(GMW!$A$2:$NF$150,MATCH(1,(GMW!$NE$2:$NE$150=I$3)*(GMW!$ND$2:$ND$150=I$4)*(GMW!$NF$2:$NF$150=I$1),0),$C248-1966)</f>
        <v>135337</v>
      </c>
      <c r="J248" s="4" cm="1">
        <f t="array" ref="J248">INDEX(GMW!$A$2:$NF$150,MATCH(1,(GMW!$NE$2:$NE$150=J$3)*(GMW!$ND$2:$ND$150=J$4)*(GMW!$NF$2:$NF$150=J$1),0),$C248-1966)</f>
        <v>133838.1</v>
      </c>
      <c r="K248" s="4" cm="1">
        <f t="array" ref="K248">INDEX(GMW!$A$2:$NF$150,MATCH(1,(GMW!$NE$2:$NE$150=K$3)*(GMW!$ND$2:$ND$150=K$4)*(GMW!$NF$2:$NF$150=K$1),0),$C248-1966)</f>
        <v>74674.039999999994</v>
      </c>
      <c r="L248" s="4" cm="1">
        <f t="array" ref="L248">INDEX(GMW!$A$2:$NF$150,MATCH(1,(GMW!$NE$2:$NE$150=L$3)*(GMW!$ND$2:$ND$150=L$4)*(GMW!$NF$2:$NF$150=L$1),0),$C248-1966)</f>
        <v>729138.9</v>
      </c>
      <c r="M248" s="4" cm="1">
        <f t="array" ref="M248">INDEX(GMW!$A$2:$NF$150,MATCH(1,(GMW!$NE$2:$NE$150=M$3)*(GMW!$ND$2:$ND$150=M$4)*(GMW!$NF$2:$NF$150=M$1),0),$C248-1966)</f>
        <v>36577.129999999997</v>
      </c>
      <c r="N248" s="4" cm="1">
        <f t="array" ref="N248">INDEX(GMW!$A$2:$NF$150,MATCH(1,(GMW!$NE$2:$NE$150=N$3)*(GMW!$ND$2:$ND$150=N$4)*(GMW!$NF$2:$NF$150=N$1),0),$C248-1966)</f>
        <v>31.993849999999998</v>
      </c>
      <c r="O248" s="4" cm="1">
        <f t="array" ref="O248">INDEX(GMW!$A$2:$NF$150,MATCH(1,(GMW!$NE$2:$NE$150=O$3)*(GMW!$ND$2:$ND$150=O$4)*(GMW!$NF$2:$NF$150=O$1),0),$C248-1966)</f>
        <v>664139.4</v>
      </c>
      <c r="P248" s="4" cm="1">
        <f t="array" ref="P248">INDEX(GMW!$A$2:$NF$150,MATCH(1,(GMW!$NE$2:$NE$150=P$3)*(GMW!$ND$2:$ND$150=P$4)*(GMW!$NF$2:$NF$150=P$1),0),$C248-1966)</f>
        <v>45801.59</v>
      </c>
      <c r="Q248" s="4" cm="1">
        <f t="array" ref="Q248">INDEX(GMW!$A$2:$NF$150,MATCH(1,(GMW!$NE$2:$NE$150=Q$3)*(GMW!$ND$2:$ND$150=Q$4)*(GMW!$NF$2:$NF$150=Q$1),0),$C248-1966)</f>
        <v>3765350</v>
      </c>
      <c r="R248" s="4" cm="1">
        <f t="array" ref="R248">INDEX(GMW!$A$2:$NF$150,MATCH(1,(GMW!$NE$2:$NE$150=R$3)*(GMW!$ND$2:$ND$150=R$4)*(GMW!$NF$2:$NF$150=R$1),0),$C248-1966)</f>
        <v>-1.682958</v>
      </c>
      <c r="S248" s="4" cm="1">
        <f t="array" ref="S248">INDEX(GMW!$A$2:$NF$150,MATCH(1,(GMW!$NE$2:$NE$150=S$3)*(GMW!$ND$2:$ND$150=S$4)*(GMW!$NF$2:$NF$150=S$1),0),$C248-1966)</f>
        <v>733518.8</v>
      </c>
      <c r="T248" s="4" cm="1">
        <f t="array" ref="T248">INDEX(GMW!$A$2:$NF$150,MATCH(1,(GMW!$NE$2:$NE$150=T$3)*(GMW!$ND$2:$ND$150=T$4)*(GMW!$NF$2:$NF$150=T$1),0),$C248-1966)</f>
        <v>163.19880000000001</v>
      </c>
      <c r="U248" s="4" cm="1">
        <f t="array" ref="U248">INDEX(GMW!$A$2:$NF$150,MATCH(1,(GMW!$NE$2:$NE$150=U$3)*(GMW!$ND$2:$ND$150=U$4)*(GMW!$NF$2:$NF$150=U$1),0),$C248-1966)</f>
        <v>218998.7</v>
      </c>
      <c r="V248" s="4" cm="1">
        <f t="array" ref="V248">INDEX(GMW!$A$2:$NF$150,MATCH(1,(GMW!$NE$2:$NE$150=V$3)*(GMW!$ND$2:$ND$150=V$4)*(GMW!$NF$2:$NF$150=V$1),0),$C248-1966)</f>
        <v>81842.73</v>
      </c>
      <c r="W248" s="4" cm="1">
        <f t="array" ref="W248">INDEX(GMW!$A$2:$NF$150,MATCH(1,(GMW!$NE$2:$NE$150=W$3)*(GMW!$ND$2:$ND$150=W$4)*(GMW!$NF$2:$NF$150=W$1),0),$C248-1966)</f>
        <v>242574.4</v>
      </c>
      <c r="X248" s="4" cm="1">
        <f t="array" ref="X248">INDEX(GMW!$A$2:$NF$150,MATCH(1,(GMW!$NE$2:$NE$150=X$3)*(GMW!$ND$2:$ND$150=X$4)*(GMW!$NF$2:$NF$150=X$1),0),$C248-1966)</f>
        <v>129809.5</v>
      </c>
      <c r="Y248" s="4" cm="1">
        <f t="array" ref="Y248">INDEX(GMW!$A$2:$NF$150,MATCH(1,(GMW!$NE$2:$NE$150=Y$3)*(GMW!$ND$2:$ND$150=Y$4)*(GMW!$NF$2:$NF$150=Y$1),0),$C248-1966)</f>
        <v>136033.20000000001</v>
      </c>
      <c r="Z248" s="4" cm="1">
        <f t="array" ref="Z248">INDEX(GMW!$A$2:$NF$150,MATCH(1,(GMW!$NE$2:$NE$150=Z$3)*(GMW!$ND$2:$ND$150=Z$4)*(GMW!$NF$2:$NF$150=Z$1),0),$C248-1966)</f>
        <v>77323.600000000006</v>
      </c>
      <c r="AA248" s="4" cm="1">
        <f t="array" ref="AA248">INDEX(GMW!$A$2:$NF$150,MATCH(1,(GMW!$NE$2:$NE$150=AA$3)*(GMW!$ND$2:$ND$150=AA$4)*(GMW!$NF$2:$NF$150=AA$1),0),$C248-1966)</f>
        <v>733518.1</v>
      </c>
      <c r="AB248" s="4" cm="1">
        <f t="array" ref="AB248">INDEX(GMW!$A$2:$NF$150,MATCH(1,(GMW!$NE$2:$NE$150=AB$3)*(GMW!$ND$2:$ND$150=AB$4)*(GMW!$NF$2:$NF$150=AB$1),0),$C248-1966)</f>
        <v>36580.07</v>
      </c>
      <c r="AC248" s="4" cm="1">
        <f t="array" ref="AC248">INDEX(GMW!$A$2:$NF$150,MATCH(1,(GMW!$NE$2:$NE$150=AC$3)*(GMW!$ND$2:$ND$150=AC$4)*(GMW!$NF$2:$NF$150=AC$1),0),$C248-1966)</f>
        <v>31.993849999999998</v>
      </c>
      <c r="AD248" s="4" cm="1">
        <f t="array" ref="AD248">INDEX(GMW!$A$2:$NF$150,MATCH(1,(GMW!$NE$2:$NE$150=AD$3)*(GMW!$ND$2:$ND$150=AD$4)*(GMW!$NF$2:$NF$150=AD$1),0),$C248-1966)</f>
        <v>664139.4</v>
      </c>
      <c r="AE248" s="4" cm="1">
        <f t="array" ref="AE248">INDEX(GMW!$A$2:$NF$150,MATCH(1,(GMW!$NE$2:$NE$150=AE$3)*(GMW!$ND$2:$ND$150=AE$4)*(GMW!$NF$2:$NF$150=AE$1),0),$C248-1966)</f>
        <v>45801.59</v>
      </c>
      <c r="AF248" s="4" cm="1">
        <f t="array" ref="AF248">INDEX(GMW!$A$2:$NF$150,MATCH(1,(GMW!$NE$2:$NE$150=AF$3)*(GMW!$ND$2:$ND$150=AF$4)*(GMW!$NF$2:$NF$150=AF$1),0),$C248-1966)</f>
        <v>3807974</v>
      </c>
      <c r="AG248" s="4" cm="1">
        <f t="array" ref="AG248">INDEX(GMW!$A$2:$NF$150,MATCH(1,(GMW!$NE$2:$NE$150=AG$3)*(GMW!$ND$2:$ND$150=AG$4)*(GMW!$NF$2:$NF$150=AG$1),0),$C248-1966)</f>
        <v>-1.6808430000000001</v>
      </c>
      <c r="AH248" s="4" cm="1">
        <f t="array" ref="AH248">INDEX(GMW!$A$2:$NF$150,MATCH(1,(GMW!$NE$2:$NE$150=AH$3)*(GMW!$ND$2:$ND$150=AH$4)*(GMW!$NF$2:$NF$150=AH$1),0),$C248-1966)</f>
        <v>734844.9</v>
      </c>
      <c r="AI248" s="4" cm="1">
        <f t="array" ref="AI248">INDEX(GMW!$A$2:$NF$150,MATCH(1,(GMW!$NE$2:$NE$150=AI$3)*(GMW!$ND$2:$ND$150=AI$4)*(GMW!$NF$2:$NF$150=AI$1),0),$C248-1966)</f>
        <v>162.12780000000001</v>
      </c>
      <c r="AJ248" s="4" cm="1">
        <f t="array" ref="AJ248">INDEX(GMW!$A$2:$NF$150,MATCH(1,(GMW!$NE$2:$NE$150=AJ$3)*(GMW!$ND$2:$ND$150=AJ$4)*(GMW!$NF$2:$NF$150=AJ$1),0),$C248-1966)</f>
        <v>224314.5</v>
      </c>
      <c r="AK248" s="4" cm="1">
        <f t="array" ref="AK248">INDEX(GMW!$A$2:$NF$150,MATCH(1,(GMW!$NE$2:$NE$150=AK$3)*(GMW!$ND$2:$ND$150=AK$4)*(GMW!$NF$2:$NF$150=AK$1),0),$C248-1966)</f>
        <v>84431.73</v>
      </c>
      <c r="AL248" s="4" cm="1">
        <f t="array" ref="AL248">INDEX(GMW!$A$2:$NF$150,MATCH(1,(GMW!$NE$2:$NE$150=AL$3)*(GMW!$ND$2:$ND$150=AL$4)*(GMW!$NF$2:$NF$150=AL$1),0),$C248-1966)</f>
        <v>247013.8</v>
      </c>
      <c r="AM248" s="4" cm="1">
        <f t="array" ref="AM248">INDEX(GMW!$A$2:$NF$150,MATCH(1,(GMW!$NE$2:$NE$150=AM$3)*(GMW!$ND$2:$ND$150=AM$4)*(GMW!$NF$2:$NF$150=AM$1),0),$C248-1966)</f>
        <v>133154.70000000001</v>
      </c>
      <c r="AN248" s="4" cm="1">
        <f t="array" ref="AN248">INDEX(GMW!$A$2:$NF$150,MATCH(1,(GMW!$NE$2:$NE$150=AN$3)*(GMW!$ND$2:$ND$150=AN$4)*(GMW!$NF$2:$NF$150=AN$1),0),$C248-1966)</f>
        <v>136194.6</v>
      </c>
      <c r="AO248" s="4" cm="1">
        <f t="array" ref="AO248">INDEX(GMW!$A$2:$NF$150,MATCH(1,(GMW!$NE$2:$NE$150=AO$3)*(GMW!$ND$2:$ND$150=AO$4)*(GMW!$NF$2:$NF$150=AO$1),0),$C248-1966)</f>
        <v>78448.27</v>
      </c>
      <c r="AP248" s="4" cm="1">
        <f t="array" ref="AP248">INDEX(GMW!$A$2:$NF$150,MATCH(1,(GMW!$NE$2:$NE$150=AP$3)*(GMW!$ND$2:$ND$150=AP$4)*(GMW!$NF$2:$NF$150=AP$1),0),$C248-1966)</f>
        <v>734987.3</v>
      </c>
      <c r="AQ248" s="4" cm="1">
        <f t="array" ref="AQ248">INDEX(GMW!$A$2:$NF$150,MATCH(1,(GMW!$NE$2:$NE$150=AQ$3)*(GMW!$ND$2:$ND$150=AQ$4)*(GMW!$NF$2:$NF$150=AQ$1),0),$C248-1966)</f>
        <v>36561.879999999997</v>
      </c>
      <c r="AR248" s="4" cm="1">
        <f t="array" ref="AR248">INDEX(GMW!$A$2:$NF$150,MATCH(1,(GMW!$NE$2:$NE$150=AR$3)*(GMW!$ND$2:$ND$150=AR$4)*(GMW!$NF$2:$NF$150=AR$1),0),$C248-1966)</f>
        <v>31.993849999999998</v>
      </c>
      <c r="AS248" s="4" cm="1">
        <f t="array" ref="AS248">INDEX(GMW!$A$2:$NF$150,MATCH(1,(GMW!$NE$2:$NE$150=AS$3)*(GMW!$ND$2:$ND$150=AS$4)*(GMW!$NF$2:$NF$150=AS$1),0),$C248-1966)</f>
        <v>661722.30000000005</v>
      </c>
      <c r="AT248" s="4" cm="1">
        <f t="array" ref="AT248">INDEX(GMW!$A$2:$NF$150,MATCH(1,(GMW!$NE$2:$NE$150=AT$3)*(GMW!$ND$2:$ND$150=AT$4)*(GMW!$NF$2:$NF$150=AT$1),0),$C248-1966)</f>
        <v>45632.07</v>
      </c>
      <c r="AU248" s="4" cm="1">
        <f t="array" ref="AU248">INDEX(GMW!$A$2:$NF$150,MATCH(1,(GMW!$NE$2:$NE$150=AU$3)*(GMW!$ND$2:$ND$150=AU$4)*(GMW!$NF$2:$NF$150=AU$1),0),$C248-1966)</f>
        <v>3814861</v>
      </c>
      <c r="AV248" s="4" cm="1">
        <f t="array" ref="AV248">INDEX(GMW!$A$2:$NF$150,MATCH(1,(GMW!$NE$2:$NE$150=AV$3)*(GMW!$ND$2:$ND$150=AV$4)*(GMW!$NF$2:$NF$150=AV$1),0),$C248-1966)</f>
        <v>-1.679163</v>
      </c>
    </row>
    <row r="249" spans="1:48" x14ac:dyDescent="0.25">
      <c r="B249" s="4">
        <f t="shared" si="10"/>
        <v>2033</v>
      </c>
      <c r="C249" s="4">
        <f t="shared" si="11"/>
        <v>2215</v>
      </c>
      <c r="D249" s="4" cm="1">
        <f t="array" ref="D249">INDEX(GMW!$A$2:$NF$150,MATCH(1,(GMW!$NE$2:$NE$150=D$3)*(GMW!$ND$2:$ND$150=D$4)*(GMW!$NF$2:$NF$150=D$1),0),$C249-1966)</f>
        <v>731906.4</v>
      </c>
      <c r="E249" s="4" cm="1">
        <f t="array" ref="E249">INDEX(GMW!$A$2:$NF$150,MATCH(1,(GMW!$NE$2:$NE$150=E$3)*(GMW!$ND$2:$ND$150=E$4)*(GMW!$NF$2:$NF$150=E$1),0),$C249-1966)</f>
        <v>164.0899</v>
      </c>
      <c r="F249" s="4" cm="1">
        <f t="array" ref="F249">INDEX(GMW!$A$2:$NF$150,MATCH(1,(GMW!$NE$2:$NE$150=F$3)*(GMW!$ND$2:$ND$150=F$4)*(GMW!$NF$2:$NF$150=F$1),0),$C249-1966)</f>
        <v>229273</v>
      </c>
      <c r="G249" s="4" cm="1">
        <f t="array" ref="G249">INDEX(GMW!$A$2:$NF$150,MATCH(1,(GMW!$NE$2:$NE$150=G$3)*(GMW!$ND$2:$ND$150=G$4)*(GMW!$NF$2:$NF$150=G$1),0),$C249-1966)</f>
        <v>78082.720000000001</v>
      </c>
      <c r="H249" s="4" cm="1">
        <f t="array" ref="H249">INDEX(GMW!$A$2:$NF$150,MATCH(1,(GMW!$NE$2:$NE$150=H$3)*(GMW!$ND$2:$ND$150=H$4)*(GMW!$NF$2:$NF$150=H$1),0),$C249-1966)</f>
        <v>251562.4</v>
      </c>
      <c r="I249" s="4" cm="1">
        <f t="array" ref="I249">INDEX(GMW!$A$2:$NF$150,MATCH(1,(GMW!$NE$2:$NE$150=I$3)*(GMW!$ND$2:$ND$150=I$4)*(GMW!$NF$2:$NF$150=I$1),0),$C249-1966)</f>
        <v>135812.70000000001</v>
      </c>
      <c r="J249" s="4" cm="1">
        <f t="array" ref="J249">INDEX(GMW!$A$2:$NF$150,MATCH(1,(GMW!$NE$2:$NE$150=J$3)*(GMW!$ND$2:$ND$150=J$4)*(GMW!$NF$2:$NF$150=J$1),0),$C249-1966)</f>
        <v>134503.5</v>
      </c>
      <c r="K249" s="4" cm="1">
        <f t="array" ref="K249">INDEX(GMW!$A$2:$NF$150,MATCH(1,(GMW!$NE$2:$NE$150=K$3)*(GMW!$ND$2:$ND$150=K$4)*(GMW!$NF$2:$NF$150=K$1),0),$C249-1966)</f>
        <v>75084.37</v>
      </c>
      <c r="L249" s="4" cm="1">
        <f t="array" ref="L249">INDEX(GMW!$A$2:$NF$150,MATCH(1,(GMW!$NE$2:$NE$150=L$3)*(GMW!$ND$2:$ND$150=L$4)*(GMW!$NF$2:$NF$150=L$1),0),$C249-1966)</f>
        <v>731906.1</v>
      </c>
      <c r="M249" s="4" cm="1">
        <f t="array" ref="M249">INDEX(GMW!$A$2:$NF$150,MATCH(1,(GMW!$NE$2:$NE$150=M$3)*(GMW!$ND$2:$ND$150=M$4)*(GMW!$NF$2:$NF$150=M$1),0),$C249-1966)</f>
        <v>36636.61</v>
      </c>
      <c r="N249" s="4" cm="1">
        <f t="array" ref="N249">INDEX(GMW!$A$2:$NF$150,MATCH(1,(GMW!$NE$2:$NE$150=N$3)*(GMW!$ND$2:$ND$150=N$4)*(GMW!$NF$2:$NF$150=N$1),0),$C249-1966)</f>
        <v>31.993279999999999</v>
      </c>
      <c r="O249" s="4" cm="1">
        <f t="array" ref="O249">INDEX(GMW!$A$2:$NF$150,MATCH(1,(GMW!$NE$2:$NE$150=O$3)*(GMW!$ND$2:$ND$150=O$4)*(GMW!$NF$2:$NF$150=O$1),0),$C249-1966)</f>
        <v>664995.6</v>
      </c>
      <c r="P249" s="4" cm="1">
        <f t="array" ref="P249">INDEX(GMW!$A$2:$NF$150,MATCH(1,(GMW!$NE$2:$NE$150=P$3)*(GMW!$ND$2:$ND$150=P$4)*(GMW!$NF$2:$NF$150=P$1),0),$C249-1966)</f>
        <v>45812.25</v>
      </c>
      <c r="Q249" s="4" cm="1">
        <f t="array" ref="Q249">INDEX(GMW!$A$2:$NF$150,MATCH(1,(GMW!$NE$2:$NE$150=Q$3)*(GMW!$ND$2:$ND$150=Q$4)*(GMW!$NF$2:$NF$150=Q$1),0),$C249-1966)</f>
        <v>3780747</v>
      </c>
      <c r="R249" s="4" cm="1">
        <f t="array" ref="R249">INDEX(GMW!$A$2:$NF$150,MATCH(1,(GMW!$NE$2:$NE$150=R$3)*(GMW!$ND$2:$ND$150=R$4)*(GMW!$NF$2:$NF$150=R$1),0),$C249-1966)</f>
        <v>-1.681948</v>
      </c>
      <c r="S249" s="4" cm="1">
        <f t="array" ref="S249">INDEX(GMW!$A$2:$NF$150,MATCH(1,(GMW!$NE$2:$NE$150=S$3)*(GMW!$ND$2:$ND$150=S$4)*(GMW!$NF$2:$NF$150=S$1),0),$C249-1966)</f>
        <v>736379.1</v>
      </c>
      <c r="T249" s="4" cm="1">
        <f t="array" ref="T249">INDEX(GMW!$A$2:$NF$150,MATCH(1,(GMW!$NE$2:$NE$150=T$3)*(GMW!$ND$2:$ND$150=T$4)*(GMW!$NF$2:$NF$150=T$1),0),$C249-1966)</f>
        <v>163.9537</v>
      </c>
      <c r="U249" s="4" cm="1">
        <f t="array" ref="U249">INDEX(GMW!$A$2:$NF$150,MATCH(1,(GMW!$NE$2:$NE$150=U$3)*(GMW!$ND$2:$ND$150=U$4)*(GMW!$NF$2:$NF$150=U$1),0),$C249-1966)</f>
        <v>219738.3</v>
      </c>
      <c r="V249" s="4" cm="1">
        <f t="array" ref="V249">INDEX(GMW!$A$2:$NF$150,MATCH(1,(GMW!$NE$2:$NE$150=V$3)*(GMW!$ND$2:$ND$150=V$4)*(GMW!$NF$2:$NF$150=V$1),0),$C249-1966)</f>
        <v>82080.03</v>
      </c>
      <c r="W249" s="4" cm="1">
        <f t="array" ref="W249">INDEX(GMW!$A$2:$NF$150,MATCH(1,(GMW!$NE$2:$NE$150=W$3)*(GMW!$ND$2:$ND$150=W$4)*(GMW!$NF$2:$NF$150=W$1),0),$C249-1966)</f>
        <v>243485.8</v>
      </c>
      <c r="X249" s="4" cm="1">
        <f t="array" ref="X249">INDEX(GMW!$A$2:$NF$150,MATCH(1,(GMW!$NE$2:$NE$150=X$3)*(GMW!$ND$2:$ND$150=X$4)*(GMW!$NF$2:$NF$150=X$1),0),$C249-1966)</f>
        <v>130279.4</v>
      </c>
      <c r="Y249" s="4" cm="1">
        <f t="array" ref="Y249">INDEX(GMW!$A$2:$NF$150,MATCH(1,(GMW!$NE$2:$NE$150=Y$3)*(GMW!$ND$2:$ND$150=Y$4)*(GMW!$NF$2:$NF$150=Y$1),0),$C249-1966)</f>
        <v>136719.1</v>
      </c>
      <c r="Z249" s="4" cm="1">
        <f t="array" ref="Z249">INDEX(GMW!$A$2:$NF$150,MATCH(1,(GMW!$NE$2:$NE$150=Z$3)*(GMW!$ND$2:$ND$150=Z$4)*(GMW!$NF$2:$NF$150=Z$1),0),$C249-1966)</f>
        <v>77750.77</v>
      </c>
      <c r="AA249" s="4" cm="1">
        <f t="array" ref="AA249">INDEX(GMW!$A$2:$NF$150,MATCH(1,(GMW!$NE$2:$NE$150=AA$3)*(GMW!$ND$2:$ND$150=AA$4)*(GMW!$NF$2:$NF$150=AA$1),0),$C249-1966)</f>
        <v>736379.2</v>
      </c>
      <c r="AB249" s="4" cm="1">
        <f t="array" ref="AB249">INDEX(GMW!$A$2:$NF$150,MATCH(1,(GMW!$NE$2:$NE$150=AB$3)*(GMW!$ND$2:$ND$150=AB$4)*(GMW!$NF$2:$NF$150=AB$1),0),$C249-1966)</f>
        <v>36638.83</v>
      </c>
      <c r="AC249" s="4" cm="1">
        <f t="array" ref="AC249">INDEX(GMW!$A$2:$NF$150,MATCH(1,(GMW!$NE$2:$NE$150=AC$3)*(GMW!$ND$2:$ND$150=AC$4)*(GMW!$NF$2:$NF$150=AC$1),0),$C249-1966)</f>
        <v>31.993279999999999</v>
      </c>
      <c r="AD249" s="4" cm="1">
        <f t="array" ref="AD249">INDEX(GMW!$A$2:$NF$150,MATCH(1,(GMW!$NE$2:$NE$150=AD$3)*(GMW!$ND$2:$ND$150=AD$4)*(GMW!$NF$2:$NF$150=AD$1),0),$C249-1966)</f>
        <v>664995.6</v>
      </c>
      <c r="AE249" s="4" cm="1">
        <f t="array" ref="AE249">INDEX(GMW!$A$2:$NF$150,MATCH(1,(GMW!$NE$2:$NE$150=AE$3)*(GMW!$ND$2:$ND$150=AE$4)*(GMW!$NF$2:$NF$150=AE$1),0),$C249-1966)</f>
        <v>45812.25</v>
      </c>
      <c r="AF249" s="4" cm="1">
        <f t="array" ref="AF249">INDEX(GMW!$A$2:$NF$150,MATCH(1,(GMW!$NE$2:$NE$150=AF$3)*(GMW!$ND$2:$ND$150=AF$4)*(GMW!$NF$2:$NF$150=AF$1),0),$C249-1966)</f>
        <v>3824804</v>
      </c>
      <c r="AG249" s="4" cm="1">
        <f t="array" ref="AG249">INDEX(GMW!$A$2:$NF$150,MATCH(1,(GMW!$NE$2:$NE$150=AG$3)*(GMW!$ND$2:$ND$150=AG$4)*(GMW!$NF$2:$NF$150=AG$1),0),$C249-1966)</f>
        <v>-1.679834</v>
      </c>
      <c r="AH249" s="4" cm="1">
        <f t="array" ref="AH249">INDEX(GMW!$A$2:$NF$150,MATCH(1,(GMW!$NE$2:$NE$150=AH$3)*(GMW!$ND$2:$ND$150=AH$4)*(GMW!$NF$2:$NF$150=AH$1),0),$C249-1966)</f>
        <v>737737.9</v>
      </c>
      <c r="AI249" s="4" cm="1">
        <f t="array" ref="AI249">INDEX(GMW!$A$2:$NF$150,MATCH(1,(GMW!$NE$2:$NE$150=AI$3)*(GMW!$ND$2:$ND$150=AI$4)*(GMW!$NF$2:$NF$150=AI$1),0),$C249-1966)</f>
        <v>162.84350000000001</v>
      </c>
      <c r="AJ249" s="4" cm="1">
        <f t="array" ref="AJ249">INDEX(GMW!$A$2:$NF$150,MATCH(1,(GMW!$NE$2:$NE$150=AJ$3)*(GMW!$ND$2:$ND$150=AJ$4)*(GMW!$NF$2:$NF$150=AJ$1),0),$C249-1966)</f>
        <v>225068.1</v>
      </c>
      <c r="AK249" s="4" cm="1">
        <f t="array" ref="AK249">INDEX(GMW!$A$2:$NF$150,MATCH(1,(GMW!$NE$2:$NE$150=AK$3)*(GMW!$ND$2:$ND$150=AK$4)*(GMW!$NF$2:$NF$150=AK$1),0),$C249-1966)</f>
        <v>84679.71</v>
      </c>
      <c r="AL249" s="4" cm="1">
        <f t="array" ref="AL249">INDEX(GMW!$A$2:$NF$150,MATCH(1,(GMW!$NE$2:$NE$150=AL$3)*(GMW!$ND$2:$ND$150=AL$4)*(GMW!$NF$2:$NF$150=AL$1),0),$C249-1966)</f>
        <v>247941.2</v>
      </c>
      <c r="AM249" s="4" cm="1">
        <f t="array" ref="AM249">INDEX(GMW!$A$2:$NF$150,MATCH(1,(GMW!$NE$2:$NE$150=AM$3)*(GMW!$ND$2:$ND$150=AM$4)*(GMW!$NF$2:$NF$150=AM$1),0),$C249-1966)</f>
        <v>133638.9</v>
      </c>
      <c r="AN249" s="4" cm="1">
        <f t="array" ref="AN249">INDEX(GMW!$A$2:$NF$150,MATCH(1,(GMW!$NE$2:$NE$150=AN$3)*(GMW!$ND$2:$ND$150=AN$4)*(GMW!$NF$2:$NF$150=AN$1),0),$C249-1966)</f>
        <v>136887.29999999999</v>
      </c>
      <c r="AO249" s="4" cm="1">
        <f t="array" ref="AO249">INDEX(GMW!$A$2:$NF$150,MATCH(1,(GMW!$NE$2:$NE$150=AO$3)*(GMW!$ND$2:$ND$150=AO$4)*(GMW!$NF$2:$NF$150=AO$1),0),$C249-1966)</f>
        <v>78884.600000000006</v>
      </c>
      <c r="AP249" s="4" cm="1">
        <f t="array" ref="AP249">INDEX(GMW!$A$2:$NF$150,MATCH(1,(GMW!$NE$2:$NE$150=AP$3)*(GMW!$ND$2:$ND$150=AP$4)*(GMW!$NF$2:$NF$150=AP$1),0),$C249-1966)</f>
        <v>737874.4</v>
      </c>
      <c r="AQ249" s="4" cm="1">
        <f t="array" ref="AQ249">INDEX(GMW!$A$2:$NF$150,MATCH(1,(GMW!$NE$2:$NE$150=AQ$3)*(GMW!$ND$2:$ND$150=AQ$4)*(GMW!$NF$2:$NF$150=AQ$1),0),$C249-1966)</f>
        <v>36621.730000000003</v>
      </c>
      <c r="AR249" s="4" cm="1">
        <f t="array" ref="AR249">INDEX(GMW!$A$2:$NF$150,MATCH(1,(GMW!$NE$2:$NE$150=AR$3)*(GMW!$ND$2:$ND$150=AR$4)*(GMW!$NF$2:$NF$150=AR$1),0),$C249-1966)</f>
        <v>31.993279999999999</v>
      </c>
      <c r="AS249" s="4" cm="1">
        <f t="array" ref="AS249">INDEX(GMW!$A$2:$NF$150,MATCH(1,(GMW!$NE$2:$NE$150=AS$3)*(GMW!$ND$2:$ND$150=AS$4)*(GMW!$NF$2:$NF$150=AS$1),0),$C249-1966)</f>
        <v>662482.30000000005</v>
      </c>
      <c r="AT249" s="4" cm="1">
        <f t="array" ref="AT249">INDEX(GMW!$A$2:$NF$150,MATCH(1,(GMW!$NE$2:$NE$150=AT$3)*(GMW!$ND$2:$ND$150=AT$4)*(GMW!$NF$2:$NF$150=AT$1),0),$C249-1966)</f>
        <v>45636.03</v>
      </c>
      <c r="AU249" s="4" cm="1">
        <f t="array" ref="AU249">INDEX(GMW!$A$2:$NF$150,MATCH(1,(GMW!$NE$2:$NE$150=AU$3)*(GMW!$ND$2:$ND$150=AU$4)*(GMW!$NF$2:$NF$150=AU$1),0),$C249-1966)</f>
        <v>3831806</v>
      </c>
      <c r="AV249" s="4" cm="1">
        <f t="array" ref="AV249">INDEX(GMW!$A$2:$NF$150,MATCH(1,(GMW!$NE$2:$NE$150=AV$3)*(GMW!$ND$2:$ND$150=AV$4)*(GMW!$NF$2:$NF$150=AV$1),0),$C249-1966)</f>
        <v>-1.6781550000000001</v>
      </c>
    </row>
    <row r="250" spans="1:48" x14ac:dyDescent="0.25">
      <c r="B250" s="4">
        <f t="shared" si="10"/>
        <v>2033</v>
      </c>
      <c r="C250" s="4">
        <f t="shared" si="11"/>
        <v>2216</v>
      </c>
      <c r="D250" s="4" cm="1">
        <f t="array" ref="D250">INDEX(GMW!$A$2:$NF$150,MATCH(1,(GMW!$NE$2:$NE$150=D$3)*(GMW!$ND$2:$ND$150=D$4)*(GMW!$NF$2:$NF$150=D$1),0),$C250-1966)</f>
        <v>734556.9</v>
      </c>
      <c r="E250" s="4" cm="1">
        <f t="array" ref="E250">INDEX(GMW!$A$2:$NF$150,MATCH(1,(GMW!$NE$2:$NE$150=E$3)*(GMW!$ND$2:$ND$150=E$4)*(GMW!$NF$2:$NF$150=E$1),0),$C250-1966)</f>
        <v>164.8374</v>
      </c>
      <c r="F250" s="4" cm="1">
        <f t="array" ref="F250">INDEX(GMW!$A$2:$NF$150,MATCH(1,(GMW!$NE$2:$NE$150=F$3)*(GMW!$ND$2:$ND$150=F$4)*(GMW!$NF$2:$NF$150=F$1),0),$C250-1966)</f>
        <v>230002.5</v>
      </c>
      <c r="G250" s="4" cm="1">
        <f t="array" ref="G250">INDEX(GMW!$A$2:$NF$150,MATCH(1,(GMW!$NE$2:$NE$150=G$3)*(GMW!$ND$2:$ND$150=G$4)*(GMW!$NF$2:$NF$150=G$1),0),$C250-1966)</f>
        <v>78287.41</v>
      </c>
      <c r="H250" s="4" cm="1">
        <f t="array" ref="H250">INDEX(GMW!$A$2:$NF$150,MATCH(1,(GMW!$NE$2:$NE$150=H$3)*(GMW!$ND$2:$ND$150=H$4)*(GMW!$NF$2:$NF$150=H$1),0),$C250-1966)</f>
        <v>252453.6</v>
      </c>
      <c r="I250" s="4" cm="1">
        <f t="array" ref="I250">INDEX(GMW!$A$2:$NF$150,MATCH(1,(GMW!$NE$2:$NE$150=I$3)*(GMW!$ND$2:$ND$150=I$4)*(GMW!$NF$2:$NF$150=I$1),0),$C250-1966)</f>
        <v>136266.5</v>
      </c>
      <c r="J250" s="4" cm="1">
        <f t="array" ref="J250">INDEX(GMW!$A$2:$NF$150,MATCH(1,(GMW!$NE$2:$NE$150=J$3)*(GMW!$ND$2:$ND$150=J$4)*(GMW!$NF$2:$NF$150=J$1),0),$C250-1966)</f>
        <v>135148.79999999999</v>
      </c>
      <c r="K250" s="4" cm="1">
        <f t="array" ref="K250">INDEX(GMW!$A$2:$NF$150,MATCH(1,(GMW!$NE$2:$NE$150=K$3)*(GMW!$ND$2:$ND$150=K$4)*(GMW!$NF$2:$NF$150=K$1),0),$C250-1966)</f>
        <v>75483.92</v>
      </c>
      <c r="L250" s="4" cm="1">
        <f t="array" ref="L250">INDEX(GMW!$A$2:$NF$150,MATCH(1,(GMW!$NE$2:$NE$150=L$3)*(GMW!$ND$2:$ND$150=L$4)*(GMW!$NF$2:$NF$150=L$1),0),$C250-1966)</f>
        <v>734557</v>
      </c>
      <c r="M250" s="4" cm="1">
        <f t="array" ref="M250">INDEX(GMW!$A$2:$NF$150,MATCH(1,(GMW!$NE$2:$NE$150=M$3)*(GMW!$ND$2:$ND$150=M$4)*(GMW!$NF$2:$NF$150=M$1),0),$C250-1966)</f>
        <v>36686.199999999997</v>
      </c>
      <c r="N250" s="4" cm="1">
        <f t="array" ref="N250">INDEX(GMW!$A$2:$NF$150,MATCH(1,(GMW!$NE$2:$NE$150=N$3)*(GMW!$ND$2:$ND$150=N$4)*(GMW!$NF$2:$NF$150=N$1),0),$C250-1966)</f>
        <v>31.992709999999999</v>
      </c>
      <c r="O250" s="4" cm="1">
        <f t="array" ref="O250">INDEX(GMW!$A$2:$NF$150,MATCH(1,(GMW!$NE$2:$NE$150=O$3)*(GMW!$ND$2:$ND$150=O$4)*(GMW!$NF$2:$NF$150=O$1),0),$C250-1966)</f>
        <v>665837.80000000005</v>
      </c>
      <c r="P250" s="4" cm="1">
        <f t="array" ref="P250">INDEX(GMW!$A$2:$NF$150,MATCH(1,(GMW!$NE$2:$NE$150=P$3)*(GMW!$ND$2:$ND$150=P$4)*(GMW!$NF$2:$NF$150=P$1),0),$C250-1966)</f>
        <v>45822.91</v>
      </c>
      <c r="Q250" s="4" cm="1">
        <f t="array" ref="Q250">INDEX(GMW!$A$2:$NF$150,MATCH(1,(GMW!$NE$2:$NE$150=Q$3)*(GMW!$ND$2:$ND$150=Q$4)*(GMW!$NF$2:$NF$150=Q$1),0),$C250-1966)</f>
        <v>3796313</v>
      </c>
      <c r="R250" s="4" cm="1">
        <f t="array" ref="R250">INDEX(GMW!$A$2:$NF$150,MATCH(1,(GMW!$NE$2:$NE$150=R$3)*(GMW!$ND$2:$ND$150=R$4)*(GMW!$NF$2:$NF$150=R$1),0),$C250-1966)</f>
        <v>-1.680939</v>
      </c>
      <c r="S250" s="4" cm="1">
        <f t="array" ref="S250">INDEX(GMW!$A$2:$NF$150,MATCH(1,(GMW!$NE$2:$NE$150=S$3)*(GMW!$ND$2:$ND$150=S$4)*(GMW!$NF$2:$NF$150=S$1),0),$C250-1966)</f>
        <v>739122.9</v>
      </c>
      <c r="T250" s="4" cm="1">
        <f t="array" ref="T250">INDEX(GMW!$A$2:$NF$150,MATCH(1,(GMW!$NE$2:$NE$150=T$3)*(GMW!$ND$2:$ND$150=T$4)*(GMW!$NF$2:$NF$150=T$1),0),$C250-1966)</f>
        <v>164.68129999999999</v>
      </c>
      <c r="U250" s="4" cm="1">
        <f t="array" ref="U250">INDEX(GMW!$A$2:$NF$150,MATCH(1,(GMW!$NE$2:$NE$150=U$3)*(GMW!$ND$2:$ND$150=U$4)*(GMW!$NF$2:$NF$150=U$1),0),$C250-1966)</f>
        <v>220444.3</v>
      </c>
      <c r="V250" s="4" cm="1">
        <f t="array" ref="V250">INDEX(GMW!$A$2:$NF$150,MATCH(1,(GMW!$NE$2:$NE$150=V$3)*(GMW!$ND$2:$ND$150=V$4)*(GMW!$NF$2:$NF$150=V$1),0),$C250-1966)</f>
        <v>82303.8</v>
      </c>
      <c r="W250" s="4" cm="1">
        <f t="array" ref="W250">INDEX(GMW!$A$2:$NF$150,MATCH(1,(GMW!$NE$2:$NE$150=W$3)*(GMW!$ND$2:$ND$150=W$4)*(GMW!$NF$2:$NF$150=W$1),0),$C250-1966)</f>
        <v>244363.5</v>
      </c>
      <c r="X250" s="4" cm="1">
        <f t="array" ref="X250">INDEX(GMW!$A$2:$NF$150,MATCH(1,(GMW!$NE$2:$NE$150=X$3)*(GMW!$ND$2:$ND$150=X$4)*(GMW!$NF$2:$NF$150=X$1),0),$C250-1966)</f>
        <v>130728.3</v>
      </c>
      <c r="Y250" s="4" cm="1">
        <f t="array" ref="Y250">INDEX(GMW!$A$2:$NF$150,MATCH(1,(GMW!$NE$2:$NE$150=Y$3)*(GMW!$ND$2:$ND$150=Y$4)*(GMW!$NF$2:$NF$150=Y$1),0),$C250-1966)</f>
        <v>137384.79999999999</v>
      </c>
      <c r="Z250" s="4" cm="1">
        <f t="array" ref="Z250">INDEX(GMW!$A$2:$NF$150,MATCH(1,(GMW!$NE$2:$NE$150=Z$3)*(GMW!$ND$2:$ND$150=Z$4)*(GMW!$NF$2:$NF$150=Z$1),0),$C250-1966)</f>
        <v>78166.83</v>
      </c>
      <c r="AA250" s="4" cm="1">
        <f t="array" ref="AA250">INDEX(GMW!$A$2:$NF$150,MATCH(1,(GMW!$NE$2:$NE$150=AA$3)*(GMW!$ND$2:$ND$150=AA$4)*(GMW!$NF$2:$NF$150=AA$1),0),$C250-1966)</f>
        <v>739121.8</v>
      </c>
      <c r="AB250" s="4" cm="1">
        <f t="array" ref="AB250">INDEX(GMW!$A$2:$NF$150,MATCH(1,(GMW!$NE$2:$NE$150=AB$3)*(GMW!$ND$2:$ND$150=AB$4)*(GMW!$NF$2:$NF$150=AB$1),0),$C250-1966)</f>
        <v>36687.89</v>
      </c>
      <c r="AC250" s="4" cm="1">
        <f t="array" ref="AC250">INDEX(GMW!$A$2:$NF$150,MATCH(1,(GMW!$NE$2:$NE$150=AC$3)*(GMW!$ND$2:$ND$150=AC$4)*(GMW!$NF$2:$NF$150=AC$1),0),$C250-1966)</f>
        <v>31.992709999999999</v>
      </c>
      <c r="AD250" s="4" cm="1">
        <f t="array" ref="AD250">INDEX(GMW!$A$2:$NF$150,MATCH(1,(GMW!$NE$2:$NE$150=AD$3)*(GMW!$ND$2:$ND$150=AD$4)*(GMW!$NF$2:$NF$150=AD$1),0),$C250-1966)</f>
        <v>665837.80000000005</v>
      </c>
      <c r="AE250" s="4" cm="1">
        <f t="array" ref="AE250">INDEX(GMW!$A$2:$NF$150,MATCH(1,(GMW!$NE$2:$NE$150=AE$3)*(GMW!$ND$2:$ND$150=AE$4)*(GMW!$NF$2:$NF$150=AE$1),0),$C250-1966)</f>
        <v>45822.91</v>
      </c>
      <c r="AF250" s="4" cm="1">
        <f t="array" ref="AF250">INDEX(GMW!$A$2:$NF$150,MATCH(1,(GMW!$NE$2:$NE$150=AF$3)*(GMW!$ND$2:$ND$150=AF$4)*(GMW!$NF$2:$NF$150=AF$1),0),$C250-1966)</f>
        <v>3841779</v>
      </c>
      <c r="AG250" s="4" cm="1">
        <f t="array" ref="AG250">INDEX(GMW!$A$2:$NF$150,MATCH(1,(GMW!$NE$2:$NE$150=AG$3)*(GMW!$ND$2:$ND$150=AG$4)*(GMW!$NF$2:$NF$150=AG$1),0),$C250-1966)</f>
        <v>-1.6788270000000001</v>
      </c>
      <c r="AH250" s="4" cm="1">
        <f t="array" ref="AH250">INDEX(GMW!$A$2:$NF$150,MATCH(1,(GMW!$NE$2:$NE$150=AH$3)*(GMW!$ND$2:$ND$150=AH$4)*(GMW!$NF$2:$NF$150=AH$1),0),$C250-1966)</f>
        <v>740574.7</v>
      </c>
      <c r="AI250" s="4" cm="1">
        <f t="array" ref="AI250">INDEX(GMW!$A$2:$NF$150,MATCH(1,(GMW!$NE$2:$NE$150=AI$3)*(GMW!$ND$2:$ND$150=AI$4)*(GMW!$NF$2:$NF$150=AI$1),0),$C250-1966)</f>
        <v>163.6491</v>
      </c>
      <c r="AJ250" s="4" cm="1">
        <f t="array" ref="AJ250">INDEX(GMW!$A$2:$NF$150,MATCH(1,(GMW!$NE$2:$NE$150=AJ$3)*(GMW!$ND$2:$ND$150=AJ$4)*(GMW!$NF$2:$NF$150=AJ$1),0),$C250-1966)</f>
        <v>225805.3</v>
      </c>
      <c r="AK250" s="4" cm="1">
        <f t="array" ref="AK250">INDEX(GMW!$A$2:$NF$150,MATCH(1,(GMW!$NE$2:$NE$150=AK$3)*(GMW!$ND$2:$ND$150=AK$4)*(GMW!$NF$2:$NF$150=AK$1),0),$C250-1966)</f>
        <v>84920.639999999999</v>
      </c>
      <c r="AL250" s="4" cm="1">
        <f t="array" ref="AL250">INDEX(GMW!$A$2:$NF$150,MATCH(1,(GMW!$NE$2:$NE$150=AL$3)*(GMW!$ND$2:$ND$150=AL$4)*(GMW!$NF$2:$NF$150=AL$1),0),$C250-1966)</f>
        <v>248852.6</v>
      </c>
      <c r="AM250" s="4" cm="1">
        <f t="array" ref="AM250">INDEX(GMW!$A$2:$NF$150,MATCH(1,(GMW!$NE$2:$NE$150=AM$3)*(GMW!$ND$2:$ND$150=AM$4)*(GMW!$NF$2:$NF$150=AM$1),0),$C250-1966)</f>
        <v>134112.70000000001</v>
      </c>
      <c r="AN250" s="4" cm="1">
        <f t="array" ref="AN250">INDEX(GMW!$A$2:$NF$150,MATCH(1,(GMW!$NE$2:$NE$150=AN$3)*(GMW!$ND$2:$ND$150=AN$4)*(GMW!$NF$2:$NF$150=AN$1),0),$C250-1966)</f>
        <v>137570.9</v>
      </c>
      <c r="AO250" s="4" cm="1">
        <f t="array" ref="AO250">INDEX(GMW!$A$2:$NF$150,MATCH(1,(GMW!$NE$2:$NE$150=AO$3)*(GMW!$ND$2:$ND$150=AO$4)*(GMW!$NF$2:$NF$150=AO$1),0),$C250-1966)</f>
        <v>79316.12</v>
      </c>
      <c r="AP250" s="4" cm="1">
        <f t="array" ref="AP250">INDEX(GMW!$A$2:$NF$150,MATCH(1,(GMW!$NE$2:$NE$150=AP$3)*(GMW!$ND$2:$ND$150=AP$4)*(GMW!$NF$2:$NF$150=AP$1),0),$C250-1966)</f>
        <v>740681.2</v>
      </c>
      <c r="AQ250" s="4" cm="1">
        <f t="array" ref="AQ250">INDEX(GMW!$A$2:$NF$150,MATCH(1,(GMW!$NE$2:$NE$150=AQ$3)*(GMW!$ND$2:$ND$150=AQ$4)*(GMW!$NF$2:$NF$150=AQ$1),0),$C250-1966)</f>
        <v>36674.660000000003</v>
      </c>
      <c r="AR250" s="4" cm="1">
        <f t="array" ref="AR250">INDEX(GMW!$A$2:$NF$150,MATCH(1,(GMW!$NE$2:$NE$150=AR$3)*(GMW!$ND$2:$ND$150=AR$4)*(GMW!$NF$2:$NF$150=AR$1),0),$C250-1966)</f>
        <v>31.992709999999999</v>
      </c>
      <c r="AS250" s="4" cm="1">
        <f t="array" ref="AS250">INDEX(GMW!$A$2:$NF$150,MATCH(1,(GMW!$NE$2:$NE$150=AS$3)*(GMW!$ND$2:$ND$150=AS$4)*(GMW!$NF$2:$NF$150=AS$1),0),$C250-1966)</f>
        <v>663228.19999999995</v>
      </c>
      <c r="AT250" s="4" cm="1">
        <f t="array" ref="AT250">INDEX(GMW!$A$2:$NF$150,MATCH(1,(GMW!$NE$2:$NE$150=AT$3)*(GMW!$ND$2:$ND$150=AT$4)*(GMW!$NF$2:$NF$150=AT$1),0),$C250-1966)</f>
        <v>45639.99</v>
      </c>
      <c r="AU250" s="4" cm="1">
        <f t="array" ref="AU250">INDEX(GMW!$A$2:$NF$150,MATCH(1,(GMW!$NE$2:$NE$150=AU$3)*(GMW!$ND$2:$ND$150=AU$4)*(GMW!$NF$2:$NF$150=AU$1),0),$C250-1966)</f>
        <v>3848908</v>
      </c>
      <c r="AV250" s="4" cm="1">
        <f t="array" ref="AV250">INDEX(GMW!$A$2:$NF$150,MATCH(1,(GMW!$NE$2:$NE$150=AV$3)*(GMW!$ND$2:$ND$150=AV$4)*(GMW!$NF$2:$NF$150=AV$1),0),$C250-1966)</f>
        <v>-1.6771480000000001</v>
      </c>
    </row>
    <row r="251" spans="1:48" x14ac:dyDescent="0.25">
      <c r="A251" s="4">
        <v>2034</v>
      </c>
      <c r="B251" s="4">
        <f t="shared" si="10"/>
        <v>2034</v>
      </c>
      <c r="C251" s="4">
        <f t="shared" si="11"/>
        <v>2217</v>
      </c>
      <c r="D251" s="4" cm="1">
        <f t="array" ref="D251">INDEX(GMW!$A$2:$NF$150,MATCH(1,(GMW!$NE$2:$NE$150=D$3)*(GMW!$ND$2:$ND$150=D$4)*(GMW!$NF$2:$NF$150=D$1),0),$C251-1966)</f>
        <v>737326.9</v>
      </c>
      <c r="E251" s="4" cm="1">
        <f t="array" ref="E251">INDEX(GMW!$A$2:$NF$150,MATCH(1,(GMW!$NE$2:$NE$150=E$3)*(GMW!$ND$2:$ND$150=E$4)*(GMW!$NF$2:$NF$150=E$1),0),$C251-1966)</f>
        <v>165.1645</v>
      </c>
      <c r="F251" s="4" cm="1">
        <f t="array" ref="F251">INDEX(GMW!$A$2:$NF$150,MATCH(1,(GMW!$NE$2:$NE$150=F$3)*(GMW!$ND$2:$ND$150=F$4)*(GMW!$NF$2:$NF$150=F$1),0),$C251-1966)</f>
        <v>230768.1</v>
      </c>
      <c r="G251" s="4" cm="1">
        <f t="array" ref="G251">INDEX(GMW!$A$2:$NF$150,MATCH(1,(GMW!$NE$2:$NE$150=G$3)*(GMW!$ND$2:$ND$150=G$4)*(GMW!$NF$2:$NF$150=G$1),0),$C251-1966)</f>
        <v>78504.34</v>
      </c>
      <c r="H251" s="4" cm="1">
        <f t="array" ref="H251">INDEX(GMW!$A$2:$NF$150,MATCH(1,(GMW!$NE$2:$NE$150=H$3)*(GMW!$ND$2:$ND$150=H$4)*(GMW!$NF$2:$NF$150=H$1),0),$C251-1966)</f>
        <v>253382</v>
      </c>
      <c r="I251" s="4" cm="1">
        <f t="array" ref="I251">INDEX(GMW!$A$2:$NF$150,MATCH(1,(GMW!$NE$2:$NE$150=I$3)*(GMW!$ND$2:$ND$150=I$4)*(GMW!$NF$2:$NF$150=I$1),0),$C251-1966)</f>
        <v>136742.20000000001</v>
      </c>
      <c r="J251" s="4" cm="1">
        <f t="array" ref="J251">INDEX(GMW!$A$2:$NF$150,MATCH(1,(GMW!$NE$2:$NE$150=J$3)*(GMW!$ND$2:$ND$150=J$4)*(GMW!$NF$2:$NF$150=J$1),0),$C251-1966)</f>
        <v>135817.5</v>
      </c>
      <c r="K251" s="4" cm="1">
        <f t="array" ref="K251">INDEX(GMW!$A$2:$NF$150,MATCH(1,(GMW!$NE$2:$NE$150=K$3)*(GMW!$ND$2:$ND$150=K$4)*(GMW!$NF$2:$NF$150=K$1),0),$C251-1966)</f>
        <v>75896.89</v>
      </c>
      <c r="L251" s="4" cm="1">
        <f t="array" ref="L251">INDEX(GMW!$A$2:$NF$150,MATCH(1,(GMW!$NE$2:$NE$150=L$3)*(GMW!$ND$2:$ND$150=L$4)*(GMW!$NF$2:$NF$150=L$1),0),$C251-1966)</f>
        <v>737326.5</v>
      </c>
      <c r="M251" s="4" cm="1">
        <f t="array" ref="M251">INDEX(GMW!$A$2:$NF$150,MATCH(1,(GMW!$NE$2:$NE$150=M$3)*(GMW!$ND$2:$ND$150=M$4)*(GMW!$NF$2:$NF$150=M$1),0),$C251-1966)</f>
        <v>36739.39</v>
      </c>
      <c r="N251" s="4" cm="1">
        <f t="array" ref="N251">INDEX(GMW!$A$2:$NF$150,MATCH(1,(GMW!$NE$2:$NE$150=N$3)*(GMW!$ND$2:$ND$150=N$4)*(GMW!$NF$2:$NF$150=N$1),0),$C251-1966)</f>
        <v>31.992139999999999</v>
      </c>
      <c r="O251" s="4" cm="1">
        <f t="array" ref="O251">INDEX(GMW!$A$2:$NF$150,MATCH(1,(GMW!$NE$2:$NE$150=O$3)*(GMW!$ND$2:$ND$150=O$4)*(GMW!$NF$2:$NF$150=O$1),0),$C251-1966)</f>
        <v>666665.80000000005</v>
      </c>
      <c r="P251" s="4" cm="1">
        <f t="array" ref="P251">INDEX(GMW!$A$2:$NF$150,MATCH(1,(GMW!$NE$2:$NE$150=P$3)*(GMW!$ND$2:$ND$150=P$4)*(GMW!$NF$2:$NF$150=P$1),0),$C251-1966)</f>
        <v>45833.57</v>
      </c>
      <c r="Q251" s="4" cm="1">
        <f t="array" ref="Q251">INDEX(GMW!$A$2:$NF$150,MATCH(1,(GMW!$NE$2:$NE$150=Q$3)*(GMW!$ND$2:$ND$150=Q$4)*(GMW!$NF$2:$NF$150=Q$1),0),$C251-1966)</f>
        <v>3812062</v>
      </c>
      <c r="R251" s="4" cm="1">
        <f t="array" ref="R251">INDEX(GMW!$A$2:$NF$150,MATCH(1,(GMW!$NE$2:$NE$150=R$3)*(GMW!$ND$2:$ND$150=R$4)*(GMW!$NF$2:$NF$150=R$1),0),$C251-1966)</f>
        <v>-1.679846</v>
      </c>
      <c r="S251" s="4" cm="1">
        <f t="array" ref="S251">INDEX(GMW!$A$2:$NF$150,MATCH(1,(GMW!$NE$2:$NE$150=S$3)*(GMW!$ND$2:$ND$150=S$4)*(GMW!$NF$2:$NF$150=S$1),0),$C251-1966)</f>
        <v>741985.3</v>
      </c>
      <c r="T251" s="4" cm="1">
        <f t="array" ref="T251">INDEX(GMW!$A$2:$NF$150,MATCH(1,(GMW!$NE$2:$NE$150=T$3)*(GMW!$ND$2:$ND$150=T$4)*(GMW!$NF$2:$NF$150=T$1),0),$C251-1966)</f>
        <v>164.97210000000001</v>
      </c>
      <c r="U251" s="4" cm="1">
        <f t="array" ref="U251">INDEX(GMW!$A$2:$NF$150,MATCH(1,(GMW!$NE$2:$NE$150=U$3)*(GMW!$ND$2:$ND$150=U$4)*(GMW!$NF$2:$NF$150=U$1),0),$C251-1966)</f>
        <v>221184.3</v>
      </c>
      <c r="V251" s="4" cm="1">
        <f t="array" ref="V251">INDEX(GMW!$A$2:$NF$150,MATCH(1,(GMW!$NE$2:$NE$150=V$3)*(GMW!$ND$2:$ND$150=V$4)*(GMW!$NF$2:$NF$150=V$1),0),$C251-1966)</f>
        <v>82540.23</v>
      </c>
      <c r="W251" s="4" cm="1">
        <f t="array" ref="W251">INDEX(GMW!$A$2:$NF$150,MATCH(1,(GMW!$NE$2:$NE$150=W$3)*(GMW!$ND$2:$ND$150=W$4)*(GMW!$NF$2:$NF$150=W$1),0),$C251-1966)</f>
        <v>245276.5</v>
      </c>
      <c r="X251" s="4" cm="1">
        <f t="array" ref="X251">INDEX(GMW!$A$2:$NF$150,MATCH(1,(GMW!$NE$2:$NE$150=X$3)*(GMW!$ND$2:$ND$150=X$4)*(GMW!$NF$2:$NF$150=X$1),0),$C251-1966)</f>
        <v>131198</v>
      </c>
      <c r="Y251" s="4" cm="1">
        <f t="array" ref="Y251">INDEX(GMW!$A$2:$NF$150,MATCH(1,(GMW!$NE$2:$NE$150=Y$3)*(GMW!$ND$2:$ND$150=Y$4)*(GMW!$NF$2:$NF$150=Y$1),0),$C251-1966)</f>
        <v>138073.9</v>
      </c>
      <c r="Z251" s="4" cm="1">
        <f t="array" ref="Z251">INDEX(GMW!$A$2:$NF$150,MATCH(1,(GMW!$NE$2:$NE$150=Z$3)*(GMW!$ND$2:$ND$150=Z$4)*(GMW!$NF$2:$NF$150=Z$1),0),$C251-1966)</f>
        <v>78596.56</v>
      </c>
      <c r="AA251" s="4" cm="1">
        <f t="array" ref="AA251">INDEX(GMW!$A$2:$NF$150,MATCH(1,(GMW!$NE$2:$NE$150=AA$3)*(GMW!$ND$2:$ND$150=AA$4)*(GMW!$NF$2:$NF$150=AA$1),0),$C251-1966)</f>
        <v>741985.6</v>
      </c>
      <c r="AB251" s="4" cm="1">
        <f t="array" ref="AB251">INDEX(GMW!$A$2:$NF$150,MATCH(1,(GMW!$NE$2:$NE$150=AB$3)*(GMW!$ND$2:$ND$150=AB$4)*(GMW!$NF$2:$NF$150=AB$1),0),$C251-1966)</f>
        <v>36740.559999999998</v>
      </c>
      <c r="AC251" s="4" cm="1">
        <f t="array" ref="AC251">INDEX(GMW!$A$2:$NF$150,MATCH(1,(GMW!$NE$2:$NE$150=AC$3)*(GMW!$ND$2:$ND$150=AC$4)*(GMW!$NF$2:$NF$150=AC$1),0),$C251-1966)</f>
        <v>31.992139999999999</v>
      </c>
      <c r="AD251" s="4" cm="1">
        <f t="array" ref="AD251">INDEX(GMW!$A$2:$NF$150,MATCH(1,(GMW!$NE$2:$NE$150=AD$3)*(GMW!$ND$2:$ND$150=AD$4)*(GMW!$NF$2:$NF$150=AD$1),0),$C251-1966)</f>
        <v>666665.80000000005</v>
      </c>
      <c r="AE251" s="4" cm="1">
        <f t="array" ref="AE251">INDEX(GMW!$A$2:$NF$150,MATCH(1,(GMW!$NE$2:$NE$150=AE$3)*(GMW!$ND$2:$ND$150=AE$4)*(GMW!$NF$2:$NF$150=AE$1),0),$C251-1966)</f>
        <v>45833.57</v>
      </c>
      <c r="AF251" s="4" cm="1">
        <f t="array" ref="AF251">INDEX(GMW!$A$2:$NF$150,MATCH(1,(GMW!$NE$2:$NE$150=AF$3)*(GMW!$ND$2:$ND$150=AF$4)*(GMW!$NF$2:$NF$150=AF$1),0),$C251-1966)</f>
        <v>3858914</v>
      </c>
      <c r="AG251" s="4" cm="1">
        <f t="array" ref="AG251">INDEX(GMW!$A$2:$NF$150,MATCH(1,(GMW!$NE$2:$NE$150=AG$3)*(GMW!$ND$2:$ND$150=AG$4)*(GMW!$NF$2:$NF$150=AG$1),0),$C251-1966)</f>
        <v>-1.677735</v>
      </c>
      <c r="AH251" s="4" cm="1">
        <f t="array" ref="AH251">INDEX(GMW!$A$2:$NF$150,MATCH(1,(GMW!$NE$2:$NE$150=AH$3)*(GMW!$ND$2:$ND$150=AH$4)*(GMW!$NF$2:$NF$150=AH$1),0),$C251-1966)</f>
        <v>743531.7</v>
      </c>
      <c r="AI251" s="4" cm="1">
        <f t="array" ref="AI251">INDEX(GMW!$A$2:$NF$150,MATCH(1,(GMW!$NE$2:$NE$150=AI$3)*(GMW!$ND$2:$ND$150=AI$4)*(GMW!$NF$2:$NF$150=AI$1),0),$C251-1966)</f>
        <v>163.9599</v>
      </c>
      <c r="AJ251" s="4" cm="1">
        <f t="array" ref="AJ251">INDEX(GMW!$A$2:$NF$150,MATCH(1,(GMW!$NE$2:$NE$150=AJ$3)*(GMW!$ND$2:$ND$150=AJ$4)*(GMW!$NF$2:$NF$150=AJ$1),0),$C251-1966)</f>
        <v>226577.5</v>
      </c>
      <c r="AK251" s="4" cm="1">
        <f t="array" ref="AK251">INDEX(GMW!$A$2:$NF$150,MATCH(1,(GMW!$NE$2:$NE$150=AK$3)*(GMW!$ND$2:$ND$150=AK$4)*(GMW!$NF$2:$NF$150=AK$1),0),$C251-1966)</f>
        <v>85174.8</v>
      </c>
      <c r="AL251" s="4" cm="1">
        <f t="array" ref="AL251">INDEX(GMW!$A$2:$NF$150,MATCH(1,(GMW!$NE$2:$NE$150=AL$3)*(GMW!$ND$2:$ND$150=AL$4)*(GMW!$NF$2:$NF$150=AL$1),0),$C251-1966)</f>
        <v>249800</v>
      </c>
      <c r="AM251" s="4" cm="1">
        <f t="array" ref="AM251">INDEX(GMW!$A$2:$NF$150,MATCH(1,(GMW!$NE$2:$NE$150=AM$3)*(GMW!$ND$2:$ND$150=AM$4)*(GMW!$NF$2:$NF$150=AM$1),0),$C251-1966)</f>
        <v>134608</v>
      </c>
      <c r="AN251" s="4" cm="1">
        <f t="array" ref="AN251">INDEX(GMW!$A$2:$NF$150,MATCH(1,(GMW!$NE$2:$NE$150=AN$3)*(GMW!$ND$2:$ND$150=AN$4)*(GMW!$NF$2:$NF$150=AN$1),0),$C251-1966)</f>
        <v>138278.29999999999</v>
      </c>
      <c r="AO251" s="4" cm="1">
        <f t="array" ref="AO251">INDEX(GMW!$A$2:$NF$150,MATCH(1,(GMW!$NE$2:$NE$150=AO$3)*(GMW!$ND$2:$ND$150=AO$4)*(GMW!$NF$2:$NF$150=AO$1),0),$C251-1966)</f>
        <v>79761.7</v>
      </c>
      <c r="AP251" s="4" cm="1">
        <f t="array" ref="AP251">INDEX(GMW!$A$2:$NF$150,MATCH(1,(GMW!$NE$2:$NE$150=AP$3)*(GMW!$ND$2:$ND$150=AP$4)*(GMW!$NF$2:$NF$150=AP$1),0),$C251-1966)</f>
        <v>743608.5</v>
      </c>
      <c r="AQ251" s="4" cm="1">
        <f t="array" ref="AQ251">INDEX(GMW!$A$2:$NF$150,MATCH(1,(GMW!$NE$2:$NE$150=AQ$3)*(GMW!$ND$2:$ND$150=AQ$4)*(GMW!$NF$2:$NF$150=AQ$1),0),$C251-1966)</f>
        <v>36731.24</v>
      </c>
      <c r="AR251" s="4" cm="1">
        <f t="array" ref="AR251">INDEX(GMW!$A$2:$NF$150,MATCH(1,(GMW!$NE$2:$NE$150=AR$3)*(GMW!$ND$2:$ND$150=AR$4)*(GMW!$NF$2:$NF$150=AR$1),0),$C251-1966)</f>
        <v>31.992139999999999</v>
      </c>
      <c r="AS251" s="4" cm="1">
        <f t="array" ref="AS251">INDEX(GMW!$A$2:$NF$150,MATCH(1,(GMW!$NE$2:$NE$150=AS$3)*(GMW!$ND$2:$ND$150=AS$4)*(GMW!$NF$2:$NF$150=AS$1),0),$C251-1966)</f>
        <v>663960.1</v>
      </c>
      <c r="AT251" s="4" cm="1">
        <f t="array" ref="AT251">INDEX(GMW!$A$2:$NF$150,MATCH(1,(GMW!$NE$2:$NE$150=AT$3)*(GMW!$ND$2:$ND$150=AT$4)*(GMW!$NF$2:$NF$150=AT$1),0),$C251-1966)</f>
        <v>45643.95</v>
      </c>
      <c r="AU251" s="4" cm="1">
        <f t="array" ref="AU251">INDEX(GMW!$A$2:$NF$150,MATCH(1,(GMW!$NE$2:$NE$150=AU$3)*(GMW!$ND$2:$ND$150=AU$4)*(GMW!$NF$2:$NF$150=AU$1),0),$C251-1966)</f>
        <v>3866184</v>
      </c>
      <c r="AV251" s="4" cm="1">
        <f t="array" ref="AV251">INDEX(GMW!$A$2:$NF$150,MATCH(1,(GMW!$NE$2:$NE$150=AV$3)*(GMW!$ND$2:$ND$150=AV$4)*(GMW!$NF$2:$NF$150=AV$1),0),$C251-1966)</f>
        <v>-1.676058</v>
      </c>
    </row>
    <row r="252" spans="1:48" x14ac:dyDescent="0.25">
      <c r="B252" s="4">
        <f t="shared" si="10"/>
        <v>2034</v>
      </c>
      <c r="C252" s="4">
        <f t="shared" si="11"/>
        <v>2218</v>
      </c>
      <c r="D252" s="4" cm="1">
        <f t="array" ref="D252">INDEX(GMW!$A$2:$NF$150,MATCH(1,(GMW!$NE$2:$NE$150=D$3)*(GMW!$ND$2:$ND$150=D$4)*(GMW!$NF$2:$NF$150=D$1),0),$C252-1966)</f>
        <v>740037.6</v>
      </c>
      <c r="E252" s="4" cm="1">
        <f t="array" ref="E252">INDEX(GMW!$A$2:$NF$150,MATCH(1,(GMW!$NE$2:$NE$150=E$3)*(GMW!$ND$2:$ND$150=E$4)*(GMW!$NF$2:$NF$150=E$1),0),$C252-1966)</f>
        <v>166.6241</v>
      </c>
      <c r="F252" s="4" cm="1">
        <f t="array" ref="F252">INDEX(GMW!$A$2:$NF$150,MATCH(1,(GMW!$NE$2:$NE$150=F$3)*(GMW!$ND$2:$ND$150=F$4)*(GMW!$NF$2:$NF$150=F$1),0),$C252-1966)</f>
        <v>231515.9</v>
      </c>
      <c r="G252" s="4" cm="1">
        <f t="array" ref="G252">INDEX(GMW!$A$2:$NF$150,MATCH(1,(GMW!$NE$2:$NE$150=G$3)*(GMW!$ND$2:$ND$150=G$4)*(GMW!$NF$2:$NF$150=G$1),0),$C252-1966)</f>
        <v>78714.45</v>
      </c>
      <c r="H252" s="4" cm="1">
        <f t="array" ref="H252">INDEX(GMW!$A$2:$NF$150,MATCH(1,(GMW!$NE$2:$NE$150=H$3)*(GMW!$ND$2:$ND$150=H$4)*(GMW!$NF$2:$NF$150=H$1),0),$C252-1966)</f>
        <v>254292.6</v>
      </c>
      <c r="I252" s="4" cm="1">
        <f t="array" ref="I252">INDEX(GMW!$A$2:$NF$150,MATCH(1,(GMW!$NE$2:$NE$150=I$3)*(GMW!$ND$2:$ND$150=I$4)*(GMW!$NF$2:$NF$150=I$1),0),$C252-1966)</f>
        <v>137206.6</v>
      </c>
      <c r="J252" s="4" cm="1">
        <f t="array" ref="J252">INDEX(GMW!$A$2:$NF$150,MATCH(1,(GMW!$NE$2:$NE$150=J$3)*(GMW!$ND$2:$ND$150=J$4)*(GMW!$NF$2:$NF$150=J$1),0),$C252-1966)</f>
        <v>136476.70000000001</v>
      </c>
      <c r="K252" s="4" cm="1">
        <f t="array" ref="K252">INDEX(GMW!$A$2:$NF$150,MATCH(1,(GMW!$NE$2:$NE$150=K$3)*(GMW!$ND$2:$ND$150=K$4)*(GMW!$NF$2:$NF$150=K$1),0),$C252-1966)</f>
        <v>76304.95</v>
      </c>
      <c r="L252" s="4" cm="1">
        <f t="array" ref="L252">INDEX(GMW!$A$2:$NF$150,MATCH(1,(GMW!$NE$2:$NE$150=L$3)*(GMW!$ND$2:$ND$150=L$4)*(GMW!$NF$2:$NF$150=L$1),0),$C252-1966)</f>
        <v>740037.9</v>
      </c>
      <c r="M252" s="4" cm="1">
        <f t="array" ref="M252">INDEX(GMW!$A$2:$NF$150,MATCH(1,(GMW!$NE$2:$NE$150=M$3)*(GMW!$ND$2:$ND$150=M$4)*(GMW!$NF$2:$NF$150=M$1),0),$C252-1966)</f>
        <v>36787.129999999997</v>
      </c>
      <c r="N252" s="4" cm="1">
        <f t="array" ref="N252">INDEX(GMW!$A$2:$NF$150,MATCH(1,(GMW!$NE$2:$NE$150=N$3)*(GMW!$ND$2:$ND$150=N$4)*(GMW!$NF$2:$NF$150=N$1),0),$C252-1966)</f>
        <v>31.99156</v>
      </c>
      <c r="O252" s="4" cm="1">
        <f t="array" ref="O252">INDEX(GMW!$A$2:$NF$150,MATCH(1,(GMW!$NE$2:$NE$150=O$3)*(GMW!$ND$2:$ND$150=O$4)*(GMW!$NF$2:$NF$150=O$1),0),$C252-1966)</f>
        <v>667479.80000000005</v>
      </c>
      <c r="P252" s="4" cm="1">
        <f t="array" ref="P252">INDEX(GMW!$A$2:$NF$150,MATCH(1,(GMW!$NE$2:$NE$150=P$3)*(GMW!$ND$2:$ND$150=P$4)*(GMW!$NF$2:$NF$150=P$1),0),$C252-1966)</f>
        <v>45844.23</v>
      </c>
      <c r="Q252" s="4" cm="1">
        <f t="array" ref="Q252">INDEX(GMW!$A$2:$NF$150,MATCH(1,(GMW!$NE$2:$NE$150=Q$3)*(GMW!$ND$2:$ND$150=Q$4)*(GMW!$NF$2:$NF$150=Q$1),0),$C252-1966)</f>
        <v>3827982</v>
      </c>
      <c r="R252" s="4" cm="1">
        <f t="array" ref="R252">INDEX(GMW!$A$2:$NF$150,MATCH(1,(GMW!$NE$2:$NE$150=R$3)*(GMW!$ND$2:$ND$150=R$4)*(GMW!$NF$2:$NF$150=R$1),0),$C252-1966)</f>
        <v>-1.6787540000000001</v>
      </c>
      <c r="S252" s="4" cm="1">
        <f t="array" ref="S252">INDEX(GMW!$A$2:$NF$150,MATCH(1,(GMW!$NE$2:$NE$150=S$3)*(GMW!$ND$2:$ND$150=S$4)*(GMW!$NF$2:$NF$150=S$1),0),$C252-1966)</f>
        <v>744784.1</v>
      </c>
      <c r="T252" s="4" cm="1">
        <f t="array" ref="T252">INDEX(GMW!$A$2:$NF$150,MATCH(1,(GMW!$NE$2:$NE$150=T$3)*(GMW!$ND$2:$ND$150=T$4)*(GMW!$NF$2:$NF$150=T$1),0),$C252-1966)</f>
        <v>166.4615</v>
      </c>
      <c r="U252" s="4" cm="1">
        <f t="array" ref="U252">INDEX(GMW!$A$2:$NF$150,MATCH(1,(GMW!$NE$2:$NE$150=U$3)*(GMW!$ND$2:$ND$150=U$4)*(GMW!$NF$2:$NF$150=U$1),0),$C252-1966)</f>
        <v>221906</v>
      </c>
      <c r="V252" s="4" cm="1">
        <f t="array" ref="V252">INDEX(GMW!$A$2:$NF$150,MATCH(1,(GMW!$NE$2:$NE$150=V$3)*(GMW!$ND$2:$ND$150=V$4)*(GMW!$NF$2:$NF$150=V$1),0),$C252-1966)</f>
        <v>82769.02</v>
      </c>
      <c r="W252" s="4" cm="1">
        <f t="array" ref="W252">INDEX(GMW!$A$2:$NF$150,MATCH(1,(GMW!$NE$2:$NE$150=W$3)*(GMW!$ND$2:$ND$150=W$4)*(GMW!$NF$2:$NF$150=W$1),0),$C252-1966)</f>
        <v>246171.3</v>
      </c>
      <c r="X252" s="4" cm="1">
        <f t="array" ref="X252">INDEX(GMW!$A$2:$NF$150,MATCH(1,(GMW!$NE$2:$NE$150=X$3)*(GMW!$ND$2:$ND$150=X$4)*(GMW!$NF$2:$NF$150=X$1),0),$C252-1966)</f>
        <v>131656.1</v>
      </c>
      <c r="Y252" s="4" cm="1">
        <f t="array" ref="Y252">INDEX(GMW!$A$2:$NF$150,MATCH(1,(GMW!$NE$2:$NE$150=Y$3)*(GMW!$ND$2:$ND$150=Y$4)*(GMW!$NF$2:$NF$150=Y$1),0),$C252-1966)</f>
        <v>138752.70000000001</v>
      </c>
      <c r="Z252" s="4" cm="1">
        <f t="array" ref="Z252">INDEX(GMW!$A$2:$NF$150,MATCH(1,(GMW!$NE$2:$NE$150=Z$3)*(GMW!$ND$2:$ND$150=Z$4)*(GMW!$NF$2:$NF$150=Z$1),0),$C252-1966)</f>
        <v>79020.75</v>
      </c>
      <c r="AA252" s="4" cm="1">
        <f t="array" ref="AA252">INDEX(GMW!$A$2:$NF$150,MATCH(1,(GMW!$NE$2:$NE$150=AA$3)*(GMW!$ND$2:$ND$150=AA$4)*(GMW!$NF$2:$NF$150=AA$1),0),$C252-1966)</f>
        <v>744783.8</v>
      </c>
      <c r="AB252" s="4" cm="1">
        <f t="array" ref="AB252">INDEX(GMW!$A$2:$NF$150,MATCH(1,(GMW!$NE$2:$NE$150=AB$3)*(GMW!$ND$2:$ND$150=AB$4)*(GMW!$NF$2:$NF$150=AB$1),0),$C252-1966)</f>
        <v>36787.620000000003</v>
      </c>
      <c r="AC252" s="4" cm="1">
        <f t="array" ref="AC252">INDEX(GMW!$A$2:$NF$150,MATCH(1,(GMW!$NE$2:$NE$150=AC$3)*(GMW!$ND$2:$ND$150=AC$4)*(GMW!$NF$2:$NF$150=AC$1),0),$C252-1966)</f>
        <v>31.99156</v>
      </c>
      <c r="AD252" s="4" cm="1">
        <f t="array" ref="AD252">INDEX(GMW!$A$2:$NF$150,MATCH(1,(GMW!$NE$2:$NE$150=AD$3)*(GMW!$ND$2:$ND$150=AD$4)*(GMW!$NF$2:$NF$150=AD$1),0),$C252-1966)</f>
        <v>667479.80000000005</v>
      </c>
      <c r="AE252" s="4" cm="1">
        <f t="array" ref="AE252">INDEX(GMW!$A$2:$NF$150,MATCH(1,(GMW!$NE$2:$NE$150=AE$3)*(GMW!$ND$2:$ND$150=AE$4)*(GMW!$NF$2:$NF$150=AE$1),0),$C252-1966)</f>
        <v>45844.23</v>
      </c>
      <c r="AF252" s="4" cm="1">
        <f t="array" ref="AF252">INDEX(GMW!$A$2:$NF$150,MATCH(1,(GMW!$NE$2:$NE$150=AF$3)*(GMW!$ND$2:$ND$150=AF$4)*(GMW!$NF$2:$NF$150=AF$1),0),$C252-1966)</f>
        <v>3876199</v>
      </c>
      <c r="AG252" s="4" cm="1">
        <f t="array" ref="AG252">INDEX(GMW!$A$2:$NF$150,MATCH(1,(GMW!$NE$2:$NE$150=AG$3)*(GMW!$ND$2:$ND$150=AG$4)*(GMW!$NF$2:$NF$150=AG$1),0),$C252-1966)</f>
        <v>-1.6766449999999999</v>
      </c>
      <c r="AH252" s="4" cm="1">
        <f t="array" ref="AH252">INDEX(GMW!$A$2:$NF$150,MATCH(1,(GMW!$NE$2:$NE$150=AH$3)*(GMW!$ND$2:$ND$150=AH$4)*(GMW!$NF$2:$NF$150=AH$1),0),$C252-1966)</f>
        <v>746379.2</v>
      </c>
      <c r="AI252" s="4" cm="1">
        <f t="array" ref="AI252">INDEX(GMW!$A$2:$NF$150,MATCH(1,(GMW!$NE$2:$NE$150=AI$3)*(GMW!$ND$2:$ND$150=AI$4)*(GMW!$NF$2:$NF$150=AI$1),0),$C252-1966)</f>
        <v>165.37029999999999</v>
      </c>
      <c r="AJ252" s="4" cm="1">
        <f t="array" ref="AJ252">INDEX(GMW!$A$2:$NF$150,MATCH(1,(GMW!$NE$2:$NE$150=AJ$3)*(GMW!$ND$2:$ND$150=AJ$4)*(GMW!$NF$2:$NF$150=AJ$1),0),$C252-1966)</f>
        <v>227317.7</v>
      </c>
      <c r="AK252" s="4" cm="1">
        <f t="array" ref="AK252">INDEX(GMW!$A$2:$NF$150,MATCH(1,(GMW!$NE$2:$NE$150=AK$3)*(GMW!$ND$2:$ND$150=AK$4)*(GMW!$NF$2:$NF$150=AK$1),0),$C252-1966)</f>
        <v>85415.81</v>
      </c>
      <c r="AL252" s="4" cm="1">
        <f t="array" ref="AL252">INDEX(GMW!$A$2:$NF$150,MATCH(1,(GMW!$NE$2:$NE$150=AL$3)*(GMW!$ND$2:$ND$150=AL$4)*(GMW!$NF$2:$NF$150=AL$1),0),$C252-1966)</f>
        <v>250715.5</v>
      </c>
      <c r="AM252" s="4" cm="1">
        <f t="array" ref="AM252">INDEX(GMW!$A$2:$NF$150,MATCH(1,(GMW!$NE$2:$NE$150=AM$3)*(GMW!$ND$2:$ND$150=AM$4)*(GMW!$NF$2:$NF$150=AM$1),0),$C252-1966)</f>
        <v>135083.1</v>
      </c>
      <c r="AN252" s="4" cm="1">
        <f t="array" ref="AN252">INDEX(GMW!$A$2:$NF$150,MATCH(1,(GMW!$NE$2:$NE$150=AN$3)*(GMW!$ND$2:$ND$150=AN$4)*(GMW!$NF$2:$NF$150=AN$1),0),$C252-1966)</f>
        <v>138966.79999999999</v>
      </c>
      <c r="AO252" s="4" cm="1">
        <f t="array" ref="AO252">INDEX(GMW!$A$2:$NF$150,MATCH(1,(GMW!$NE$2:$NE$150=AO$3)*(GMW!$ND$2:$ND$150=AO$4)*(GMW!$NF$2:$NF$150=AO$1),0),$C252-1966)</f>
        <v>80196.78</v>
      </c>
      <c r="AP252" s="4" cm="1">
        <f t="array" ref="AP252">INDEX(GMW!$A$2:$NF$150,MATCH(1,(GMW!$NE$2:$NE$150=AP$3)*(GMW!$ND$2:$ND$150=AP$4)*(GMW!$NF$2:$NF$150=AP$1),0),$C252-1966)</f>
        <v>746443.4</v>
      </c>
      <c r="AQ252" s="4" cm="1">
        <f t="array" ref="AQ252">INDEX(GMW!$A$2:$NF$150,MATCH(1,(GMW!$NE$2:$NE$150=AQ$3)*(GMW!$ND$2:$ND$150=AQ$4)*(GMW!$NF$2:$NF$150=AQ$1),0),$C252-1966)</f>
        <v>36780.089999999997</v>
      </c>
      <c r="AR252" s="4" cm="1">
        <f t="array" ref="AR252">INDEX(GMW!$A$2:$NF$150,MATCH(1,(GMW!$NE$2:$NE$150=AR$3)*(GMW!$ND$2:$ND$150=AR$4)*(GMW!$NF$2:$NF$150=AR$1),0),$C252-1966)</f>
        <v>31.99156</v>
      </c>
      <c r="AS252" s="4" cm="1">
        <f t="array" ref="AS252">INDEX(GMW!$A$2:$NF$150,MATCH(1,(GMW!$NE$2:$NE$150=AS$3)*(GMW!$ND$2:$ND$150=AS$4)*(GMW!$NF$2:$NF$150=AS$1),0),$C252-1966)</f>
        <v>664677.9</v>
      </c>
      <c r="AT252" s="4" cm="1">
        <f t="array" ref="AT252">INDEX(GMW!$A$2:$NF$150,MATCH(1,(GMW!$NE$2:$NE$150=AT$3)*(GMW!$ND$2:$ND$150=AT$4)*(GMW!$NF$2:$NF$150=AT$1),0),$C252-1966)</f>
        <v>45647.91</v>
      </c>
      <c r="AU252" s="4" cm="1">
        <f t="array" ref="AU252">INDEX(GMW!$A$2:$NF$150,MATCH(1,(GMW!$NE$2:$NE$150=AU$3)*(GMW!$ND$2:$ND$150=AU$4)*(GMW!$NF$2:$NF$150=AU$1),0),$C252-1966)</f>
        <v>3883613</v>
      </c>
      <c r="AV252" s="4" cm="1">
        <f t="array" ref="AV252">INDEX(GMW!$A$2:$NF$150,MATCH(1,(GMW!$NE$2:$NE$150=AV$3)*(GMW!$ND$2:$ND$150=AV$4)*(GMW!$NF$2:$NF$150=AV$1),0),$C252-1966)</f>
        <v>-1.6749689999999999</v>
      </c>
    </row>
    <row r="253" spans="1:48" x14ac:dyDescent="0.25">
      <c r="B253" s="4">
        <f t="shared" si="10"/>
        <v>2034</v>
      </c>
      <c r="C253" s="4">
        <f t="shared" si="11"/>
        <v>2219</v>
      </c>
      <c r="D253" s="4" cm="1">
        <f t="array" ref="D253">INDEX(GMW!$A$2:$NF$150,MATCH(1,(GMW!$NE$2:$NE$150=D$3)*(GMW!$ND$2:$ND$150=D$4)*(GMW!$NF$2:$NF$150=D$1),0),$C253-1966)</f>
        <v>742750.3</v>
      </c>
      <c r="E253" s="4" cm="1">
        <f t="array" ref="E253">INDEX(GMW!$A$2:$NF$150,MATCH(1,(GMW!$NE$2:$NE$150=E$3)*(GMW!$ND$2:$ND$150=E$4)*(GMW!$NF$2:$NF$150=E$1),0),$C253-1966)</f>
        <v>167.3691</v>
      </c>
      <c r="F253" s="4" cm="1">
        <f t="array" ref="F253">INDEX(GMW!$A$2:$NF$150,MATCH(1,(GMW!$NE$2:$NE$150=F$3)*(GMW!$ND$2:$ND$150=F$4)*(GMW!$NF$2:$NF$150=F$1),0),$C253-1966)</f>
        <v>232264.1</v>
      </c>
      <c r="G253" s="4" cm="1">
        <f t="array" ref="G253">INDEX(GMW!$A$2:$NF$150,MATCH(1,(GMW!$NE$2:$NE$150=G$3)*(GMW!$ND$2:$ND$150=G$4)*(GMW!$NF$2:$NF$150=G$1),0),$C253-1966)</f>
        <v>78924.259999999995</v>
      </c>
      <c r="H253" s="4" cm="1">
        <f t="array" ref="H253">INDEX(GMW!$A$2:$NF$150,MATCH(1,(GMW!$NE$2:$NE$150=H$3)*(GMW!$ND$2:$ND$150=H$4)*(GMW!$NF$2:$NF$150=H$1),0),$C253-1966)</f>
        <v>255204.3</v>
      </c>
      <c r="I253" s="4" cm="1">
        <f t="array" ref="I253">INDEX(GMW!$A$2:$NF$150,MATCH(1,(GMW!$NE$2:$NE$150=I$3)*(GMW!$ND$2:$ND$150=I$4)*(GMW!$NF$2:$NF$150=I$1),0),$C253-1966)</f>
        <v>137671.1</v>
      </c>
      <c r="J253" s="4" cm="1">
        <f t="array" ref="J253">INDEX(GMW!$A$2:$NF$150,MATCH(1,(GMW!$NE$2:$NE$150=J$3)*(GMW!$ND$2:$ND$150=J$4)*(GMW!$NF$2:$NF$150=J$1),0),$C253-1966)</f>
        <v>137137.70000000001</v>
      </c>
      <c r="K253" s="4" cm="1">
        <f t="array" ref="K253">INDEX(GMW!$A$2:$NF$150,MATCH(1,(GMW!$NE$2:$NE$150=K$3)*(GMW!$ND$2:$ND$150=K$4)*(GMW!$NF$2:$NF$150=K$1),0),$C253-1966)</f>
        <v>76714.36</v>
      </c>
      <c r="L253" s="4" cm="1">
        <f t="array" ref="L253">INDEX(GMW!$A$2:$NF$150,MATCH(1,(GMW!$NE$2:$NE$150=L$3)*(GMW!$ND$2:$ND$150=L$4)*(GMW!$NF$2:$NF$150=L$1),0),$C253-1966)</f>
        <v>742750.2</v>
      </c>
      <c r="M253" s="4" cm="1">
        <f t="array" ref="M253">INDEX(GMW!$A$2:$NF$150,MATCH(1,(GMW!$NE$2:$NE$150=M$3)*(GMW!$ND$2:$ND$150=M$4)*(GMW!$NF$2:$NF$150=M$1),0),$C253-1966)</f>
        <v>36834.19</v>
      </c>
      <c r="N253" s="4" cm="1">
        <f t="array" ref="N253">INDEX(GMW!$A$2:$NF$150,MATCH(1,(GMW!$NE$2:$NE$150=N$3)*(GMW!$ND$2:$ND$150=N$4)*(GMW!$NF$2:$NF$150=N$1),0),$C253-1966)</f>
        <v>31.99099</v>
      </c>
      <c r="O253" s="4" cm="1">
        <f t="array" ref="O253">INDEX(GMW!$A$2:$NF$150,MATCH(1,(GMW!$NE$2:$NE$150=O$3)*(GMW!$ND$2:$ND$150=O$4)*(GMW!$NF$2:$NF$150=O$1),0),$C253-1966)</f>
        <v>668319.80000000005</v>
      </c>
      <c r="P253" s="4" cm="1">
        <f t="array" ref="P253">INDEX(GMW!$A$2:$NF$150,MATCH(1,(GMW!$NE$2:$NE$150=P$3)*(GMW!$ND$2:$ND$150=P$4)*(GMW!$NF$2:$NF$150=P$1),0),$C253-1966)</f>
        <v>45857.62</v>
      </c>
      <c r="Q253" s="4" cm="1">
        <f t="array" ref="Q253">INDEX(GMW!$A$2:$NF$150,MATCH(1,(GMW!$NE$2:$NE$150=Q$3)*(GMW!$ND$2:$ND$150=Q$4)*(GMW!$NF$2:$NF$150=Q$1),0),$C253-1966)</f>
        <v>3844070</v>
      </c>
      <c r="R253" s="4" cm="1">
        <f t="array" ref="R253">INDEX(GMW!$A$2:$NF$150,MATCH(1,(GMW!$NE$2:$NE$150=R$3)*(GMW!$ND$2:$ND$150=R$4)*(GMW!$NF$2:$NF$150=R$1),0),$C253-1966)</f>
        <v>-1.6776629999999999</v>
      </c>
      <c r="S253" s="4" cm="1">
        <f t="array" ref="S253">INDEX(GMW!$A$2:$NF$150,MATCH(1,(GMW!$NE$2:$NE$150=S$3)*(GMW!$ND$2:$ND$150=S$4)*(GMW!$NF$2:$NF$150=S$1),0),$C253-1966)</f>
        <v>747578.1</v>
      </c>
      <c r="T253" s="4" cm="1">
        <f t="array" ref="T253">INDEX(GMW!$A$2:$NF$150,MATCH(1,(GMW!$NE$2:$NE$150=T$3)*(GMW!$ND$2:$ND$150=T$4)*(GMW!$NF$2:$NF$150=T$1),0),$C253-1966)</f>
        <v>167.24760000000001</v>
      </c>
      <c r="U253" s="4" cm="1">
        <f t="array" ref="U253">INDEX(GMW!$A$2:$NF$150,MATCH(1,(GMW!$NE$2:$NE$150=U$3)*(GMW!$ND$2:$ND$150=U$4)*(GMW!$NF$2:$NF$150=U$1),0),$C253-1966)</f>
        <v>222626.2</v>
      </c>
      <c r="V253" s="4" cm="1">
        <f t="array" ref="V253">INDEX(GMW!$A$2:$NF$150,MATCH(1,(GMW!$NE$2:$NE$150=V$3)*(GMW!$ND$2:$ND$150=V$4)*(GMW!$NF$2:$NF$150=V$1),0),$C253-1966)</f>
        <v>82996.759999999995</v>
      </c>
      <c r="W253" s="4" cm="1">
        <f t="array" ref="W253">INDEX(GMW!$A$2:$NF$150,MATCH(1,(GMW!$NE$2:$NE$150=W$3)*(GMW!$ND$2:$ND$150=W$4)*(GMW!$NF$2:$NF$150=W$1),0),$C253-1966)</f>
        <v>247065.3</v>
      </c>
      <c r="X253" s="4" cm="1">
        <f t="array" ref="X253">INDEX(GMW!$A$2:$NF$150,MATCH(1,(GMW!$NE$2:$NE$150=X$3)*(GMW!$ND$2:$ND$150=X$4)*(GMW!$NF$2:$NF$150=X$1),0),$C253-1966)</f>
        <v>132113.20000000001</v>
      </c>
      <c r="Y253" s="4" cm="1">
        <f t="array" ref="Y253">INDEX(GMW!$A$2:$NF$150,MATCH(1,(GMW!$NE$2:$NE$150=Y$3)*(GMW!$ND$2:$ND$150=Y$4)*(GMW!$NF$2:$NF$150=Y$1),0),$C253-1966)</f>
        <v>139432</v>
      </c>
      <c r="Z253" s="4" cm="1">
        <f t="array" ref="Z253">INDEX(GMW!$A$2:$NF$150,MATCH(1,(GMW!$NE$2:$NE$150=Z$3)*(GMW!$ND$2:$ND$150=Z$4)*(GMW!$NF$2:$NF$150=Z$1),0),$C253-1966)</f>
        <v>79445.600000000006</v>
      </c>
      <c r="AA253" s="4" cm="1">
        <f t="array" ref="AA253">INDEX(GMW!$A$2:$NF$150,MATCH(1,(GMW!$NE$2:$NE$150=AA$3)*(GMW!$ND$2:$ND$150=AA$4)*(GMW!$NF$2:$NF$150=AA$1),0),$C253-1966)</f>
        <v>747576.9</v>
      </c>
      <c r="AB253" s="4" cm="1">
        <f t="array" ref="AB253">INDEX(GMW!$A$2:$NF$150,MATCH(1,(GMW!$NE$2:$NE$150=AB$3)*(GMW!$ND$2:$ND$150=AB$4)*(GMW!$NF$2:$NF$150=AB$1),0),$C253-1966)</f>
        <v>36833.629999999997</v>
      </c>
      <c r="AC253" s="4" cm="1">
        <f t="array" ref="AC253">INDEX(GMW!$A$2:$NF$150,MATCH(1,(GMW!$NE$2:$NE$150=AC$3)*(GMW!$ND$2:$ND$150=AC$4)*(GMW!$NF$2:$NF$150=AC$1),0),$C253-1966)</f>
        <v>31.99099</v>
      </c>
      <c r="AD253" s="4" cm="1">
        <f t="array" ref="AD253">INDEX(GMW!$A$2:$NF$150,MATCH(1,(GMW!$NE$2:$NE$150=AD$3)*(GMW!$ND$2:$ND$150=AD$4)*(GMW!$NF$2:$NF$150=AD$1),0),$C253-1966)</f>
        <v>668319.80000000005</v>
      </c>
      <c r="AE253" s="4" cm="1">
        <f t="array" ref="AE253">INDEX(GMW!$A$2:$NF$150,MATCH(1,(GMW!$NE$2:$NE$150=AE$3)*(GMW!$ND$2:$ND$150=AE$4)*(GMW!$NF$2:$NF$150=AE$1),0),$C253-1966)</f>
        <v>45857.62</v>
      </c>
      <c r="AF253" s="4" cm="1">
        <f t="array" ref="AF253">INDEX(GMW!$A$2:$NF$150,MATCH(1,(GMW!$NE$2:$NE$150=AF$3)*(GMW!$ND$2:$ND$150=AF$4)*(GMW!$NF$2:$NF$150=AF$1),0),$C253-1966)</f>
        <v>3893630</v>
      </c>
      <c r="AG253" s="4" cm="1">
        <f t="array" ref="AG253">INDEX(GMW!$A$2:$NF$150,MATCH(1,(GMW!$NE$2:$NE$150=AG$3)*(GMW!$ND$2:$ND$150=AG$4)*(GMW!$NF$2:$NF$150=AG$1),0),$C253-1966)</f>
        <v>-1.6755549999999999</v>
      </c>
      <c r="AH253" s="4" cm="1">
        <f t="array" ref="AH253">INDEX(GMW!$A$2:$NF$150,MATCH(1,(GMW!$NE$2:$NE$150=AH$3)*(GMW!$ND$2:$ND$150=AH$4)*(GMW!$NF$2:$NF$150=AH$1),0),$C253-1966)</f>
        <v>749194.3</v>
      </c>
      <c r="AI253" s="4" cm="1">
        <f t="array" ref="AI253">INDEX(GMW!$A$2:$NF$150,MATCH(1,(GMW!$NE$2:$NE$150=AI$3)*(GMW!$ND$2:$ND$150=AI$4)*(GMW!$NF$2:$NF$150=AI$1),0),$C253-1966)</f>
        <v>166.10040000000001</v>
      </c>
      <c r="AJ253" s="4" cm="1">
        <f t="array" ref="AJ253">INDEX(GMW!$A$2:$NF$150,MATCH(1,(GMW!$NE$2:$NE$150=AJ$3)*(GMW!$ND$2:$ND$150=AJ$4)*(GMW!$NF$2:$NF$150=AJ$1),0),$C253-1966)</f>
        <v>228048.3</v>
      </c>
      <c r="AK253" s="4" cm="1">
        <f t="array" ref="AK253">INDEX(GMW!$A$2:$NF$150,MATCH(1,(GMW!$NE$2:$NE$150=AK$3)*(GMW!$ND$2:$ND$150=AK$4)*(GMW!$NF$2:$NF$150=AK$1),0),$C253-1966)</f>
        <v>85652.55</v>
      </c>
      <c r="AL253" s="4" cm="1">
        <f t="array" ref="AL253">INDEX(GMW!$A$2:$NF$150,MATCH(1,(GMW!$NE$2:$NE$150=AL$3)*(GMW!$ND$2:$ND$150=AL$4)*(GMW!$NF$2:$NF$150=AL$1),0),$C253-1966)</f>
        <v>251621.8</v>
      </c>
      <c r="AM253" s="4" cm="1">
        <f t="array" ref="AM253">INDEX(GMW!$A$2:$NF$150,MATCH(1,(GMW!$NE$2:$NE$150=AM$3)*(GMW!$ND$2:$ND$150=AM$4)*(GMW!$NF$2:$NF$150=AM$1),0),$C253-1966)</f>
        <v>135552</v>
      </c>
      <c r="AN253" s="4" cm="1">
        <f t="array" ref="AN253">INDEX(GMW!$A$2:$NF$150,MATCH(1,(GMW!$NE$2:$NE$150=AN$3)*(GMW!$ND$2:$ND$150=AN$4)*(GMW!$NF$2:$NF$150=AN$1),0),$C253-1966)</f>
        <v>139650.79999999999</v>
      </c>
      <c r="AO253" s="4" cm="1">
        <f t="array" ref="AO253">INDEX(GMW!$A$2:$NF$150,MATCH(1,(GMW!$NE$2:$NE$150=AO$3)*(GMW!$ND$2:$ND$150=AO$4)*(GMW!$NF$2:$NF$150=AO$1),0),$C253-1966)</f>
        <v>80629.570000000007</v>
      </c>
      <c r="AP253" s="4" cm="1">
        <f t="array" ref="AP253">INDEX(GMW!$A$2:$NF$150,MATCH(1,(GMW!$NE$2:$NE$150=AP$3)*(GMW!$ND$2:$ND$150=AP$4)*(GMW!$NF$2:$NF$150=AP$1),0),$C253-1966)</f>
        <v>749214.9</v>
      </c>
      <c r="AQ253" s="4" cm="1">
        <f t="array" ref="AQ253">INDEX(GMW!$A$2:$NF$150,MATCH(1,(GMW!$NE$2:$NE$150=AQ$3)*(GMW!$ND$2:$ND$150=AQ$4)*(GMW!$NF$2:$NF$150=AQ$1),0),$C253-1966)</f>
        <v>36823.17</v>
      </c>
      <c r="AR253" s="4" cm="1">
        <f t="array" ref="AR253">INDEX(GMW!$A$2:$NF$150,MATCH(1,(GMW!$NE$2:$NE$150=AR$3)*(GMW!$ND$2:$ND$150=AR$4)*(GMW!$NF$2:$NF$150=AR$1),0),$C253-1966)</f>
        <v>31.99099</v>
      </c>
      <c r="AS253" s="4" cm="1">
        <f t="array" ref="AS253">INDEX(GMW!$A$2:$NF$150,MATCH(1,(GMW!$NE$2:$NE$150=AS$3)*(GMW!$ND$2:$ND$150=AS$4)*(GMW!$NF$2:$NF$150=AS$1),0),$C253-1966)</f>
        <v>665425.1</v>
      </c>
      <c r="AT253" s="4" cm="1">
        <f t="array" ref="AT253">INDEX(GMW!$A$2:$NF$150,MATCH(1,(GMW!$NE$2:$NE$150=AT$3)*(GMW!$ND$2:$ND$150=AT$4)*(GMW!$NF$2:$NF$150=AT$1),0),$C253-1966)</f>
        <v>45654.84</v>
      </c>
      <c r="AU253" s="4" cm="1">
        <f t="array" ref="AU253">INDEX(GMW!$A$2:$NF$150,MATCH(1,(GMW!$NE$2:$NE$150=AU$3)*(GMW!$ND$2:$ND$150=AU$4)*(GMW!$NF$2:$NF$150=AU$1),0),$C253-1966)</f>
        <v>3901190</v>
      </c>
      <c r="AV253" s="4" cm="1">
        <f t="array" ref="AV253">INDEX(GMW!$A$2:$NF$150,MATCH(1,(GMW!$NE$2:$NE$150=AV$3)*(GMW!$ND$2:$ND$150=AV$4)*(GMW!$NF$2:$NF$150=AV$1),0),$C253-1966)</f>
        <v>-1.67388</v>
      </c>
    </row>
    <row r="254" spans="1:48" x14ac:dyDescent="0.25">
      <c r="B254" s="4">
        <f t="shared" si="10"/>
        <v>2034</v>
      </c>
      <c r="C254" s="4">
        <f t="shared" si="11"/>
        <v>2220</v>
      </c>
      <c r="D254" s="4" cm="1">
        <f t="array" ref="D254">INDEX(GMW!$A$2:$NF$150,MATCH(1,(GMW!$NE$2:$NE$150=D$3)*(GMW!$ND$2:$ND$150=D$4)*(GMW!$NF$2:$NF$150=D$1),0),$C254-1966)</f>
        <v>745421.1</v>
      </c>
      <c r="E254" s="4" cm="1">
        <f t="array" ref="E254">INDEX(GMW!$A$2:$NF$150,MATCH(1,(GMW!$NE$2:$NE$150=E$3)*(GMW!$ND$2:$ND$150=E$4)*(GMW!$NF$2:$NF$150=E$1),0),$C254-1966)</f>
        <v>168.11869999999999</v>
      </c>
      <c r="F254" s="4" cm="1">
        <f t="array" ref="F254">INDEX(GMW!$A$2:$NF$150,MATCH(1,(GMW!$NE$2:$NE$150=F$3)*(GMW!$ND$2:$ND$150=F$4)*(GMW!$NF$2:$NF$150=F$1),0),$C254-1966)</f>
        <v>232999.8</v>
      </c>
      <c r="G254" s="4" cm="1">
        <f t="array" ref="G254">INDEX(GMW!$A$2:$NF$150,MATCH(1,(GMW!$NE$2:$NE$150=G$3)*(GMW!$ND$2:$ND$150=G$4)*(GMW!$NF$2:$NF$150=G$1),0),$C254-1966)</f>
        <v>79129.149999999994</v>
      </c>
      <c r="H254" s="4" cm="1">
        <f t="array" ref="H254">INDEX(GMW!$A$2:$NF$150,MATCH(1,(GMW!$NE$2:$NE$150=H$3)*(GMW!$ND$2:$ND$150=H$4)*(GMW!$NF$2:$NF$150=H$1),0),$C254-1966)</f>
        <v>256103.8</v>
      </c>
      <c r="I254" s="4" cm="1">
        <f t="array" ref="I254">INDEX(GMW!$A$2:$NF$150,MATCH(1,(GMW!$NE$2:$NE$150=I$3)*(GMW!$ND$2:$ND$150=I$4)*(GMW!$NF$2:$NF$150=I$1),0),$C254-1966)</f>
        <v>138127.6</v>
      </c>
      <c r="J254" s="4" cm="1">
        <f t="array" ref="J254">INDEX(GMW!$A$2:$NF$150,MATCH(1,(GMW!$NE$2:$NE$150=J$3)*(GMW!$ND$2:$ND$150=J$4)*(GMW!$NF$2:$NF$150=J$1),0),$C254-1966)</f>
        <v>137792.5</v>
      </c>
      <c r="K254" s="4" cm="1">
        <f t="array" ref="K254">INDEX(GMW!$A$2:$NF$150,MATCH(1,(GMW!$NE$2:$NE$150=K$3)*(GMW!$ND$2:$ND$150=K$4)*(GMW!$NF$2:$NF$150=K$1),0),$C254-1966)</f>
        <v>77120.63</v>
      </c>
      <c r="L254" s="4" cm="1">
        <f t="array" ref="L254">INDEX(GMW!$A$2:$NF$150,MATCH(1,(GMW!$NE$2:$NE$150=L$3)*(GMW!$ND$2:$ND$150=L$4)*(GMW!$NF$2:$NF$150=L$1),0),$C254-1966)</f>
        <v>745421.2</v>
      </c>
      <c r="M254" s="4" cm="1">
        <f t="array" ref="M254">INDEX(GMW!$A$2:$NF$150,MATCH(1,(GMW!$NE$2:$NE$150=M$3)*(GMW!$ND$2:$ND$150=M$4)*(GMW!$NF$2:$NF$150=M$1),0),$C254-1966)</f>
        <v>36877.269999999997</v>
      </c>
      <c r="N254" s="4" cm="1">
        <f t="array" ref="N254">INDEX(GMW!$A$2:$NF$150,MATCH(1,(GMW!$NE$2:$NE$150=N$3)*(GMW!$ND$2:$ND$150=N$4)*(GMW!$NF$2:$NF$150=N$1),0),$C254-1966)</f>
        <v>31.99042</v>
      </c>
      <c r="O254" s="4" cm="1">
        <f t="array" ref="O254">INDEX(GMW!$A$2:$NF$150,MATCH(1,(GMW!$NE$2:$NE$150=O$3)*(GMW!$ND$2:$ND$150=O$4)*(GMW!$NF$2:$NF$150=O$1),0),$C254-1966)</f>
        <v>669146</v>
      </c>
      <c r="P254" s="4" cm="1">
        <f t="array" ref="P254">INDEX(GMW!$A$2:$NF$150,MATCH(1,(GMW!$NE$2:$NE$150=P$3)*(GMW!$ND$2:$ND$150=P$4)*(GMW!$NF$2:$NF$150=P$1),0),$C254-1966)</f>
        <v>45871.01</v>
      </c>
      <c r="Q254" s="4" cm="1">
        <f t="array" ref="Q254">INDEX(GMW!$A$2:$NF$150,MATCH(1,(GMW!$NE$2:$NE$150=Q$3)*(GMW!$ND$2:$ND$150=Q$4)*(GMW!$NF$2:$NF$150=Q$1),0),$C254-1966)</f>
        <v>3860319</v>
      </c>
      <c r="R254" s="4" cm="1">
        <f t="array" ref="R254">INDEX(GMW!$A$2:$NF$150,MATCH(1,(GMW!$NE$2:$NE$150=R$3)*(GMW!$ND$2:$ND$150=R$4)*(GMW!$NF$2:$NF$150=R$1),0),$C254-1966)</f>
        <v>-1.676572</v>
      </c>
      <c r="S254" s="4" cm="1">
        <f t="array" ref="S254">INDEX(GMW!$A$2:$NF$150,MATCH(1,(GMW!$NE$2:$NE$150=S$3)*(GMW!$ND$2:$ND$150=S$4)*(GMW!$NF$2:$NF$150=S$1),0),$C254-1966)</f>
        <v>750349.7</v>
      </c>
      <c r="T254" s="4" cm="1">
        <f t="array" ref="T254">INDEX(GMW!$A$2:$NF$150,MATCH(1,(GMW!$NE$2:$NE$150=T$3)*(GMW!$ND$2:$ND$150=T$4)*(GMW!$NF$2:$NF$150=T$1),0),$C254-1966)</f>
        <v>167.9768</v>
      </c>
      <c r="U254" s="4" cm="1">
        <f t="array" ref="U254">INDEX(GMW!$A$2:$NF$150,MATCH(1,(GMW!$NE$2:$NE$150=U$3)*(GMW!$ND$2:$ND$150=U$4)*(GMW!$NF$2:$NF$150=U$1),0),$C254-1966)</f>
        <v>223340</v>
      </c>
      <c r="V254" s="4" cm="1">
        <f t="array" ref="V254">INDEX(GMW!$A$2:$NF$150,MATCH(1,(GMW!$NE$2:$NE$150=V$3)*(GMW!$ND$2:$ND$150=V$4)*(GMW!$NF$2:$NF$150=V$1),0),$C254-1966)</f>
        <v>83221.47</v>
      </c>
      <c r="W254" s="4" cm="1">
        <f t="array" ref="W254">INDEX(GMW!$A$2:$NF$150,MATCH(1,(GMW!$NE$2:$NE$150=W$3)*(GMW!$ND$2:$ND$150=W$4)*(GMW!$NF$2:$NF$150=W$1),0),$C254-1966)</f>
        <v>247953.2</v>
      </c>
      <c r="X254" s="4" cm="1">
        <f t="array" ref="X254">INDEX(GMW!$A$2:$NF$150,MATCH(1,(GMW!$NE$2:$NE$150=X$3)*(GMW!$ND$2:$ND$150=X$4)*(GMW!$NF$2:$NF$150=X$1),0),$C254-1966)</f>
        <v>132566</v>
      </c>
      <c r="Y254" s="4" cm="1">
        <f t="array" ref="Y254">INDEX(GMW!$A$2:$NF$150,MATCH(1,(GMW!$NE$2:$NE$150=Y$3)*(GMW!$ND$2:$ND$150=Y$4)*(GMW!$NF$2:$NF$150=Y$1),0),$C254-1966)</f>
        <v>140108.5</v>
      </c>
      <c r="Z254" s="4" cm="1">
        <f t="array" ref="Z254">INDEX(GMW!$A$2:$NF$150,MATCH(1,(GMW!$NE$2:$NE$150=Z$3)*(GMW!$ND$2:$ND$150=Z$4)*(GMW!$NF$2:$NF$150=Z$1),0),$C254-1966)</f>
        <v>79869.240000000005</v>
      </c>
      <c r="AA254" s="4" cm="1">
        <f t="array" ref="AA254">INDEX(GMW!$A$2:$NF$150,MATCH(1,(GMW!$NE$2:$NE$150=AA$3)*(GMW!$ND$2:$ND$150=AA$4)*(GMW!$NF$2:$NF$150=AA$1),0),$C254-1966)</f>
        <v>750348.9</v>
      </c>
      <c r="AB254" s="4" cm="1">
        <f t="array" ref="AB254">INDEX(GMW!$A$2:$NF$150,MATCH(1,(GMW!$NE$2:$NE$150=AB$3)*(GMW!$ND$2:$ND$150=AB$4)*(GMW!$NF$2:$NF$150=AB$1),0),$C254-1966)</f>
        <v>36877.269999999997</v>
      </c>
      <c r="AC254" s="4" cm="1">
        <f t="array" ref="AC254">INDEX(GMW!$A$2:$NF$150,MATCH(1,(GMW!$NE$2:$NE$150=AC$3)*(GMW!$ND$2:$ND$150=AC$4)*(GMW!$NF$2:$NF$150=AC$1),0),$C254-1966)</f>
        <v>31.99042</v>
      </c>
      <c r="AD254" s="4" cm="1">
        <f t="array" ref="AD254">INDEX(GMW!$A$2:$NF$150,MATCH(1,(GMW!$NE$2:$NE$150=AD$3)*(GMW!$ND$2:$ND$150=AD$4)*(GMW!$NF$2:$NF$150=AD$1),0),$C254-1966)</f>
        <v>669146</v>
      </c>
      <c r="AE254" s="4" cm="1">
        <f t="array" ref="AE254">INDEX(GMW!$A$2:$NF$150,MATCH(1,(GMW!$NE$2:$NE$150=AE$3)*(GMW!$ND$2:$ND$150=AE$4)*(GMW!$NF$2:$NF$150=AE$1),0),$C254-1966)</f>
        <v>45871.01</v>
      </c>
      <c r="AF254" s="4" cm="1">
        <f t="array" ref="AF254">INDEX(GMW!$A$2:$NF$150,MATCH(1,(GMW!$NE$2:$NE$150=AF$3)*(GMW!$ND$2:$ND$150=AF$4)*(GMW!$NF$2:$NF$150=AF$1),0),$C254-1966)</f>
        <v>3911201</v>
      </c>
      <c r="AG254" s="4" cm="1">
        <f t="array" ref="AG254">INDEX(GMW!$A$2:$NF$150,MATCH(1,(GMW!$NE$2:$NE$150=AG$3)*(GMW!$ND$2:$ND$150=AG$4)*(GMW!$NF$2:$NF$150=AG$1),0),$C254-1966)</f>
        <v>-1.674466</v>
      </c>
      <c r="AH254" s="4" cm="1">
        <f t="array" ref="AH254">INDEX(GMW!$A$2:$NF$150,MATCH(1,(GMW!$NE$2:$NE$150=AH$3)*(GMW!$ND$2:$ND$150=AH$4)*(GMW!$NF$2:$NF$150=AH$1),0),$C254-1966)</f>
        <v>751947.3</v>
      </c>
      <c r="AI254" s="4" cm="1">
        <f t="array" ref="AI254">INDEX(GMW!$A$2:$NF$150,MATCH(1,(GMW!$NE$2:$NE$150=AI$3)*(GMW!$ND$2:$ND$150=AI$4)*(GMW!$NF$2:$NF$150=AI$1),0),$C254-1966)</f>
        <v>166.9221</v>
      </c>
      <c r="AJ254" s="4" cm="1">
        <f t="array" ref="AJ254">INDEX(GMW!$A$2:$NF$150,MATCH(1,(GMW!$NE$2:$NE$150=AJ$3)*(GMW!$ND$2:$ND$150=AJ$4)*(GMW!$NF$2:$NF$150=AJ$1),0),$C254-1966)</f>
        <v>228760.9</v>
      </c>
      <c r="AK254" s="4" cm="1">
        <f t="array" ref="AK254">INDEX(GMW!$A$2:$NF$150,MATCH(1,(GMW!$NE$2:$NE$150=AK$3)*(GMW!$ND$2:$ND$150=AK$4)*(GMW!$NF$2:$NF$150=AK$1),0),$C254-1966)</f>
        <v>85881.64</v>
      </c>
      <c r="AL254" s="4" cm="1">
        <f t="array" ref="AL254">INDEX(GMW!$A$2:$NF$150,MATCH(1,(GMW!$NE$2:$NE$150=AL$3)*(GMW!$ND$2:$ND$150=AL$4)*(GMW!$NF$2:$NF$150=AL$1),0),$C254-1966)</f>
        <v>252510.4</v>
      </c>
      <c r="AM254" s="4" cm="1">
        <f t="array" ref="AM254">INDEX(GMW!$A$2:$NF$150,MATCH(1,(GMW!$NE$2:$NE$150=AM$3)*(GMW!$ND$2:$ND$150=AM$4)*(GMW!$NF$2:$NF$150=AM$1),0),$C254-1966)</f>
        <v>136009.5</v>
      </c>
      <c r="AN254" s="4" cm="1">
        <f t="array" ref="AN254">INDEX(GMW!$A$2:$NF$150,MATCH(1,(GMW!$NE$2:$NE$150=AN$3)*(GMW!$ND$2:$ND$150=AN$4)*(GMW!$NF$2:$NF$150=AN$1),0),$C254-1966)</f>
        <v>140324.70000000001</v>
      </c>
      <c r="AO254" s="4" cm="1">
        <f t="array" ref="AO254">INDEX(GMW!$A$2:$NF$150,MATCH(1,(GMW!$NE$2:$NE$150=AO$3)*(GMW!$ND$2:$ND$150=AO$4)*(GMW!$NF$2:$NF$150=AO$1),0),$C254-1966)</f>
        <v>81056.88</v>
      </c>
      <c r="AP254" s="4" cm="1">
        <f t="array" ref="AP254">INDEX(GMW!$A$2:$NF$150,MATCH(1,(GMW!$NE$2:$NE$150=AP$3)*(GMW!$ND$2:$ND$150=AP$4)*(GMW!$NF$2:$NF$150=AP$1),0),$C254-1966)</f>
        <v>751947.8</v>
      </c>
      <c r="AQ254" s="4" cm="1">
        <f t="array" ref="AQ254">INDEX(GMW!$A$2:$NF$150,MATCH(1,(GMW!$NE$2:$NE$150=AQ$3)*(GMW!$ND$2:$ND$150=AQ$4)*(GMW!$NF$2:$NF$150=AQ$1),0),$C254-1966)</f>
        <v>36862.800000000003</v>
      </c>
      <c r="AR254" s="4" cm="1">
        <f t="array" ref="AR254">INDEX(GMW!$A$2:$NF$150,MATCH(1,(GMW!$NE$2:$NE$150=AR$3)*(GMW!$ND$2:$ND$150=AR$4)*(GMW!$NF$2:$NF$150=AR$1),0),$C254-1966)</f>
        <v>31.99042</v>
      </c>
      <c r="AS254" s="4" cm="1">
        <f t="array" ref="AS254">INDEX(GMW!$A$2:$NF$150,MATCH(1,(GMW!$NE$2:$NE$150=AS$3)*(GMW!$ND$2:$ND$150=AS$4)*(GMW!$NF$2:$NF$150=AS$1),0),$C254-1966)</f>
        <v>666158.6</v>
      </c>
      <c r="AT254" s="4" cm="1">
        <f t="array" ref="AT254">INDEX(GMW!$A$2:$NF$150,MATCH(1,(GMW!$NE$2:$NE$150=AT$3)*(GMW!$ND$2:$ND$150=AT$4)*(GMW!$NF$2:$NF$150=AT$1),0),$C254-1966)</f>
        <v>45661.77</v>
      </c>
      <c r="AU254" s="4" cm="1">
        <f t="array" ref="AU254">INDEX(GMW!$A$2:$NF$150,MATCH(1,(GMW!$NE$2:$NE$150=AU$3)*(GMW!$ND$2:$ND$150=AU$4)*(GMW!$NF$2:$NF$150=AU$1),0),$C254-1966)</f>
        <v>3918902</v>
      </c>
      <c r="AV254" s="4" cm="1">
        <f t="array" ref="AV254">INDEX(GMW!$A$2:$NF$150,MATCH(1,(GMW!$NE$2:$NE$150=AV$3)*(GMW!$ND$2:$ND$150=AV$4)*(GMW!$NF$2:$NF$150=AV$1),0),$C254-1966)</f>
        <v>-1.6727920000000001</v>
      </c>
    </row>
    <row r="255" spans="1:48" x14ac:dyDescent="0.25">
      <c r="A255" s="4">
        <v>2035</v>
      </c>
      <c r="B255" s="4">
        <f t="shared" si="10"/>
        <v>2035</v>
      </c>
      <c r="C255" s="4">
        <f t="shared" si="11"/>
        <v>2221</v>
      </c>
      <c r="D255" s="4" cm="1">
        <f t="array" ref="D255">INDEX(GMW!$A$2:$NF$150,MATCH(1,(GMW!$NE$2:$NE$150=D$3)*(GMW!$ND$2:$ND$150=D$4)*(GMW!$NF$2:$NF$150=D$1),0),$C255-1966)</f>
        <v>748199.8</v>
      </c>
      <c r="E255" s="4" cm="1">
        <f t="array" ref="E255">INDEX(GMW!$A$2:$NF$150,MATCH(1,(GMW!$NE$2:$NE$150=E$3)*(GMW!$ND$2:$ND$150=E$4)*(GMW!$NF$2:$NF$150=E$1),0),$C255-1966)</f>
        <v>168.44909999999999</v>
      </c>
      <c r="F255" s="4" cm="1">
        <f t="array" ref="F255">INDEX(GMW!$A$2:$NF$150,MATCH(1,(GMW!$NE$2:$NE$150=F$3)*(GMW!$ND$2:$ND$150=F$4)*(GMW!$NF$2:$NF$150=F$1),0),$C255-1966)</f>
        <v>233768</v>
      </c>
      <c r="G255" s="4" cm="1">
        <f t="array" ref="G255">INDEX(GMW!$A$2:$NF$150,MATCH(1,(GMW!$NE$2:$NE$150=G$3)*(GMW!$ND$2:$ND$150=G$4)*(GMW!$NF$2:$NF$150=G$1),0),$C255-1966)</f>
        <v>79344.98</v>
      </c>
      <c r="H255" s="4" cm="1">
        <f t="array" ref="H255">INDEX(GMW!$A$2:$NF$150,MATCH(1,(GMW!$NE$2:$NE$150=H$3)*(GMW!$ND$2:$ND$150=H$4)*(GMW!$NF$2:$NF$150=H$1),0),$C255-1966)</f>
        <v>257036.79999999999</v>
      </c>
      <c r="I255" s="4" cm="1">
        <f t="array" ref="I255">INDEX(GMW!$A$2:$NF$150,MATCH(1,(GMW!$NE$2:$NE$150=I$3)*(GMW!$ND$2:$ND$150=I$4)*(GMW!$NF$2:$NF$150=I$1),0),$C255-1966)</f>
        <v>138603.79999999999</v>
      </c>
      <c r="J255" s="4" cm="1">
        <f t="array" ref="J255">INDEX(GMW!$A$2:$NF$150,MATCH(1,(GMW!$NE$2:$NE$150=J$3)*(GMW!$ND$2:$ND$150=J$4)*(GMW!$NF$2:$NF$150=J$1),0),$C255-1966)</f>
        <v>138468.5</v>
      </c>
      <c r="K255" s="4" cm="1">
        <f t="array" ref="K255">INDEX(GMW!$A$2:$NF$150,MATCH(1,(GMW!$NE$2:$NE$150=K$3)*(GMW!$ND$2:$ND$150=K$4)*(GMW!$NF$2:$NF$150=K$1),0),$C255-1966)</f>
        <v>77539.22</v>
      </c>
      <c r="L255" s="4" cm="1">
        <f t="array" ref="L255">INDEX(GMW!$A$2:$NF$150,MATCH(1,(GMW!$NE$2:$NE$150=L$3)*(GMW!$ND$2:$ND$150=L$4)*(GMW!$NF$2:$NF$150=L$1),0),$C255-1966)</f>
        <v>748199.5</v>
      </c>
      <c r="M255" s="4" cm="1">
        <f t="array" ref="M255">INDEX(GMW!$A$2:$NF$150,MATCH(1,(GMW!$NE$2:$NE$150=M$3)*(GMW!$ND$2:$ND$150=M$4)*(GMW!$NF$2:$NF$150=M$1),0),$C255-1966)</f>
        <v>36923.019999999997</v>
      </c>
      <c r="N255" s="4" cm="1">
        <f t="array" ref="N255">INDEX(GMW!$A$2:$NF$150,MATCH(1,(GMW!$NE$2:$NE$150=N$3)*(GMW!$ND$2:$ND$150=N$4)*(GMW!$NF$2:$NF$150=N$1),0),$C255-1966)</f>
        <v>31.989840000000001</v>
      </c>
      <c r="O255" s="4" cm="1">
        <f t="array" ref="O255">INDEX(GMW!$A$2:$NF$150,MATCH(1,(GMW!$NE$2:$NE$150=O$3)*(GMW!$ND$2:$ND$150=O$4)*(GMW!$NF$2:$NF$150=O$1),0),$C255-1966)</f>
        <v>669958.30000000005</v>
      </c>
      <c r="P255" s="4" cm="1">
        <f t="array" ref="P255">INDEX(GMW!$A$2:$NF$150,MATCH(1,(GMW!$NE$2:$NE$150=P$3)*(GMW!$ND$2:$ND$150=P$4)*(GMW!$NF$2:$NF$150=P$1),0),$C255-1966)</f>
        <v>45884.39</v>
      </c>
      <c r="Q255" s="4" cm="1">
        <f t="array" ref="Q255">INDEX(GMW!$A$2:$NF$150,MATCH(1,(GMW!$NE$2:$NE$150=Q$3)*(GMW!$ND$2:$ND$150=Q$4)*(GMW!$NF$2:$NF$150=Q$1),0),$C255-1966)</f>
        <v>3876740</v>
      </c>
      <c r="R255" s="4" cm="1">
        <f t="array" ref="R255">INDEX(GMW!$A$2:$NF$150,MATCH(1,(GMW!$NE$2:$NE$150=R$3)*(GMW!$ND$2:$ND$150=R$4)*(GMW!$NF$2:$NF$150=R$1),0),$C255-1966)</f>
        <v>-1.6753990000000001</v>
      </c>
      <c r="S255" s="4" cm="1">
        <f t="array" ref="S255">INDEX(GMW!$A$2:$NF$150,MATCH(1,(GMW!$NE$2:$NE$150=S$3)*(GMW!$ND$2:$ND$150=S$4)*(GMW!$NF$2:$NF$150=S$1),0),$C255-1966)</f>
        <v>753220.7</v>
      </c>
      <c r="T255" s="4" cm="1">
        <f t="array" ref="T255">INDEX(GMW!$A$2:$NF$150,MATCH(1,(GMW!$NE$2:$NE$150=T$3)*(GMW!$ND$2:$ND$150=T$4)*(GMW!$NF$2:$NF$150=T$1),0),$C255-1966)</f>
        <v>168.27119999999999</v>
      </c>
      <c r="U255" s="4" cm="1">
        <f t="array" ref="U255">INDEX(GMW!$A$2:$NF$150,MATCH(1,(GMW!$NE$2:$NE$150=U$3)*(GMW!$ND$2:$ND$150=U$4)*(GMW!$NF$2:$NF$150=U$1),0),$C255-1966)</f>
        <v>224082.2</v>
      </c>
      <c r="V255" s="4" cm="1">
        <f t="array" ref="V255">INDEX(GMW!$A$2:$NF$150,MATCH(1,(GMW!$NE$2:$NE$150=V$3)*(GMW!$ND$2:$ND$150=V$4)*(GMW!$NF$2:$NF$150=V$1),0),$C255-1966)</f>
        <v>83456.66</v>
      </c>
      <c r="W255" s="4" cm="1">
        <f t="array" ref="W255">INDEX(GMW!$A$2:$NF$150,MATCH(1,(GMW!$NE$2:$NE$150=W$3)*(GMW!$ND$2:$ND$150=W$4)*(GMW!$NF$2:$NF$150=W$1),0),$C255-1966)</f>
        <v>248870.5</v>
      </c>
      <c r="X255" s="4" cm="1">
        <f t="array" ref="X255">INDEX(GMW!$A$2:$NF$150,MATCH(1,(GMW!$NE$2:$NE$150=X$3)*(GMW!$ND$2:$ND$150=X$4)*(GMW!$NF$2:$NF$150=X$1),0),$C255-1966)</f>
        <v>133036.1</v>
      </c>
      <c r="Y255" s="4" cm="1">
        <f t="array" ref="Y255">INDEX(GMW!$A$2:$NF$150,MATCH(1,(GMW!$NE$2:$NE$150=Y$3)*(GMW!$ND$2:$ND$150=Y$4)*(GMW!$NF$2:$NF$150=Y$1),0),$C255-1966)</f>
        <v>140805</v>
      </c>
      <c r="Z255" s="4" cm="1">
        <f t="array" ref="Z255">INDEX(GMW!$A$2:$NF$150,MATCH(1,(GMW!$NE$2:$NE$150=Z$3)*(GMW!$ND$2:$ND$150=Z$4)*(GMW!$NF$2:$NF$150=Z$1),0),$C255-1966)</f>
        <v>80304.62</v>
      </c>
      <c r="AA255" s="4" cm="1">
        <f t="array" ref="AA255">INDEX(GMW!$A$2:$NF$150,MATCH(1,(GMW!$NE$2:$NE$150=AA$3)*(GMW!$ND$2:$ND$150=AA$4)*(GMW!$NF$2:$NF$150=AA$1),0),$C255-1966)</f>
        <v>753219.6</v>
      </c>
      <c r="AB255" s="4" cm="1">
        <f t="array" ref="AB255">INDEX(GMW!$A$2:$NF$150,MATCH(1,(GMW!$NE$2:$NE$150=AB$3)*(GMW!$ND$2:$ND$150=AB$4)*(GMW!$NF$2:$NF$150=AB$1),0),$C255-1966)</f>
        <v>36923.019999999997</v>
      </c>
      <c r="AC255" s="4" cm="1">
        <f t="array" ref="AC255">INDEX(GMW!$A$2:$NF$150,MATCH(1,(GMW!$NE$2:$NE$150=AC$3)*(GMW!$ND$2:$ND$150=AC$4)*(GMW!$NF$2:$NF$150=AC$1),0),$C255-1966)</f>
        <v>31.989840000000001</v>
      </c>
      <c r="AD255" s="4" cm="1">
        <f t="array" ref="AD255">INDEX(GMW!$A$2:$NF$150,MATCH(1,(GMW!$NE$2:$NE$150=AD$3)*(GMW!$ND$2:$ND$150=AD$4)*(GMW!$NF$2:$NF$150=AD$1),0),$C255-1966)</f>
        <v>669958.30000000005</v>
      </c>
      <c r="AE255" s="4" cm="1">
        <f t="array" ref="AE255">INDEX(GMW!$A$2:$NF$150,MATCH(1,(GMW!$NE$2:$NE$150=AE$3)*(GMW!$ND$2:$ND$150=AE$4)*(GMW!$NF$2:$NF$150=AE$1),0),$C255-1966)</f>
        <v>45884.39</v>
      </c>
      <c r="AF255" s="4" cm="1">
        <f t="array" ref="AF255">INDEX(GMW!$A$2:$NF$150,MATCH(1,(GMW!$NE$2:$NE$150=AF$3)*(GMW!$ND$2:$ND$150=AF$4)*(GMW!$NF$2:$NF$150=AF$1),0),$C255-1966)</f>
        <v>3928925</v>
      </c>
      <c r="AG255" s="4" cm="1">
        <f t="array" ref="AG255">INDEX(GMW!$A$2:$NF$150,MATCH(1,(GMW!$NE$2:$NE$150=AG$3)*(GMW!$ND$2:$ND$150=AG$4)*(GMW!$NF$2:$NF$150=AG$1),0),$C255-1966)</f>
        <v>-1.6732940000000001</v>
      </c>
      <c r="AH255" s="4" cm="1">
        <f t="array" ref="AH255">INDEX(GMW!$A$2:$NF$150,MATCH(1,(GMW!$NE$2:$NE$150=AH$3)*(GMW!$ND$2:$ND$150=AH$4)*(GMW!$NF$2:$NF$150=AH$1),0),$C255-1966)</f>
        <v>754776.3</v>
      </c>
      <c r="AI255" s="4" cm="1">
        <f t="array" ref="AI255">INDEX(GMW!$A$2:$NF$150,MATCH(1,(GMW!$NE$2:$NE$150=AI$3)*(GMW!$ND$2:$ND$150=AI$4)*(GMW!$NF$2:$NF$150=AI$1),0),$C255-1966)</f>
        <v>167.23910000000001</v>
      </c>
      <c r="AJ255" s="4" cm="1">
        <f t="array" ref="AJ255">INDEX(GMW!$A$2:$NF$150,MATCH(1,(GMW!$NE$2:$NE$150=AJ$3)*(GMW!$ND$2:$ND$150=AJ$4)*(GMW!$NF$2:$NF$150=AJ$1),0),$C255-1966)</f>
        <v>229495.5</v>
      </c>
      <c r="AK255" s="4" cm="1">
        <f t="array" ref="AK255">INDEX(GMW!$A$2:$NF$150,MATCH(1,(GMW!$NE$2:$NE$150=AK$3)*(GMW!$ND$2:$ND$150=AK$4)*(GMW!$NF$2:$NF$150=AK$1),0),$C255-1966)</f>
        <v>86118.88</v>
      </c>
      <c r="AL255" s="4" cm="1">
        <f t="array" ref="AL255">INDEX(GMW!$A$2:$NF$150,MATCH(1,(GMW!$NE$2:$NE$150=AL$3)*(GMW!$ND$2:$ND$150=AL$4)*(GMW!$NF$2:$NF$150=AL$1),0),$C255-1966)</f>
        <v>253421.8</v>
      </c>
      <c r="AM255" s="4" cm="1">
        <f t="array" ref="AM255">INDEX(GMW!$A$2:$NF$150,MATCH(1,(GMW!$NE$2:$NE$150=AM$3)*(GMW!$ND$2:$ND$150=AM$4)*(GMW!$NF$2:$NF$150=AM$1),0),$C255-1966)</f>
        <v>136480.4</v>
      </c>
      <c r="AN255" s="4" cm="1">
        <f t="array" ref="AN255">INDEX(GMW!$A$2:$NF$150,MATCH(1,(GMW!$NE$2:$NE$150=AN$3)*(GMW!$ND$2:$ND$150=AN$4)*(GMW!$NF$2:$NF$150=AN$1),0),$C255-1966)</f>
        <v>141014.1</v>
      </c>
      <c r="AO255" s="4" cm="1">
        <f t="array" ref="AO255">INDEX(GMW!$A$2:$NF$150,MATCH(1,(GMW!$NE$2:$NE$150=AO$3)*(GMW!$ND$2:$ND$150=AO$4)*(GMW!$NF$2:$NF$150=AO$1),0),$C255-1966)</f>
        <v>81493.55</v>
      </c>
      <c r="AP255" s="4" cm="1">
        <f t="array" ref="AP255">INDEX(GMW!$A$2:$NF$150,MATCH(1,(GMW!$NE$2:$NE$150=AP$3)*(GMW!$ND$2:$ND$150=AP$4)*(GMW!$NF$2:$NF$150=AP$1),0),$C255-1966)</f>
        <v>754775.7</v>
      </c>
      <c r="AQ255" s="4" cm="1">
        <f t="array" ref="AQ255">INDEX(GMW!$A$2:$NF$150,MATCH(1,(GMW!$NE$2:$NE$150=AQ$3)*(GMW!$ND$2:$ND$150=AQ$4)*(GMW!$NF$2:$NF$150=AQ$1),0),$C255-1966)</f>
        <v>36904.339999999997</v>
      </c>
      <c r="AR255" s="4" cm="1">
        <f t="array" ref="AR255">INDEX(GMW!$A$2:$NF$150,MATCH(1,(GMW!$NE$2:$NE$150=AR$3)*(GMW!$ND$2:$ND$150=AR$4)*(GMW!$NF$2:$NF$150=AR$1),0),$C255-1966)</f>
        <v>31.989840000000001</v>
      </c>
      <c r="AS255" s="4" cm="1">
        <f t="array" ref="AS255">INDEX(GMW!$A$2:$NF$150,MATCH(1,(GMW!$NE$2:$NE$150=AS$3)*(GMW!$ND$2:$ND$150=AS$4)*(GMW!$NF$2:$NF$150=AS$1),0),$C255-1966)</f>
        <v>666878.30000000005</v>
      </c>
      <c r="AT255" s="4" cm="1">
        <f t="array" ref="AT255">INDEX(GMW!$A$2:$NF$150,MATCH(1,(GMW!$NE$2:$NE$150=AT$3)*(GMW!$ND$2:$ND$150=AT$4)*(GMW!$NF$2:$NF$150=AT$1),0),$C255-1966)</f>
        <v>45668.7</v>
      </c>
      <c r="AU255" s="4" cm="1">
        <f t="array" ref="AU255">INDEX(GMW!$A$2:$NF$150,MATCH(1,(GMW!$NE$2:$NE$150=AU$3)*(GMW!$ND$2:$ND$150=AU$4)*(GMW!$NF$2:$NF$150=AU$1),0),$C255-1966)</f>
        <v>3936759</v>
      </c>
      <c r="AV255" s="4" cm="1">
        <f t="array" ref="AV255">INDEX(GMW!$A$2:$NF$150,MATCH(1,(GMW!$NE$2:$NE$150=AV$3)*(GMW!$ND$2:$ND$150=AV$4)*(GMW!$NF$2:$NF$150=AV$1),0),$C255-1966)</f>
        <v>-1.671621</v>
      </c>
    </row>
    <row r="256" spans="1:48" x14ac:dyDescent="0.25">
      <c r="B256" s="4">
        <f t="shared" si="10"/>
        <v>2035</v>
      </c>
      <c r="C256" s="4">
        <f t="shared" si="11"/>
        <v>2222</v>
      </c>
      <c r="D256" s="4" cm="1">
        <f t="array" ref="D256">INDEX(GMW!$A$2:$NF$150,MATCH(1,(GMW!$NE$2:$NE$150=D$3)*(GMW!$ND$2:$ND$150=D$4)*(GMW!$NF$2:$NF$150=D$1),0),$C256-1966)</f>
        <v>750989.6</v>
      </c>
      <c r="E256" s="4" cm="1">
        <f t="array" ref="E256">INDEX(GMW!$A$2:$NF$150,MATCH(1,(GMW!$NE$2:$NE$150=E$3)*(GMW!$ND$2:$ND$150=E$4)*(GMW!$NF$2:$NF$150=E$1),0),$C256-1966)</f>
        <v>169.94239999999999</v>
      </c>
      <c r="F256" s="4" cm="1">
        <f t="array" ref="F256">INDEX(GMW!$A$2:$NF$150,MATCH(1,(GMW!$NE$2:$NE$150=F$3)*(GMW!$ND$2:$ND$150=F$4)*(GMW!$NF$2:$NF$150=F$1),0),$C256-1966)</f>
        <v>234539.7</v>
      </c>
      <c r="G256" s="4" cm="1">
        <f t="array" ref="G256">INDEX(GMW!$A$2:$NF$150,MATCH(1,(GMW!$NE$2:$NE$150=G$3)*(GMW!$ND$2:$ND$150=G$4)*(GMW!$NF$2:$NF$150=G$1),0),$C256-1966)</f>
        <v>79561.490000000005</v>
      </c>
      <c r="H256" s="4" cm="1">
        <f t="array" ref="H256">INDEX(GMW!$A$2:$NF$150,MATCH(1,(GMW!$NE$2:$NE$150=H$3)*(GMW!$ND$2:$ND$150=H$4)*(GMW!$NF$2:$NF$150=H$1),0),$C256-1966)</f>
        <v>257973.8</v>
      </c>
      <c r="I256" s="4" cm="1">
        <f t="array" ref="I256">INDEX(GMW!$A$2:$NF$150,MATCH(1,(GMW!$NE$2:$NE$150=I$3)*(GMW!$ND$2:$ND$150=I$4)*(GMW!$NF$2:$NF$150=I$1),0),$C256-1966)</f>
        <v>139081.79999999999</v>
      </c>
      <c r="J256" s="4" cm="1">
        <f t="array" ref="J256">INDEX(GMW!$A$2:$NF$150,MATCH(1,(GMW!$NE$2:$NE$150=J$3)*(GMW!$ND$2:$ND$150=J$4)*(GMW!$NF$2:$NF$150=J$1),0),$C256-1966)</f>
        <v>139148.1</v>
      </c>
      <c r="K256" s="4" cm="1">
        <f t="array" ref="K256">INDEX(GMW!$A$2:$NF$150,MATCH(1,(GMW!$NE$2:$NE$150=K$3)*(GMW!$ND$2:$ND$150=K$4)*(GMW!$NF$2:$NF$150=K$1),0),$C256-1966)</f>
        <v>77960.160000000003</v>
      </c>
      <c r="L256" s="4" cm="1">
        <f t="array" ref="L256">INDEX(GMW!$A$2:$NF$150,MATCH(1,(GMW!$NE$2:$NE$150=L$3)*(GMW!$ND$2:$ND$150=L$4)*(GMW!$NF$2:$NF$150=L$1),0),$C256-1966)</f>
        <v>750989.6</v>
      </c>
      <c r="M256" s="4" cm="1">
        <f t="array" ref="M256">INDEX(GMW!$A$2:$NF$150,MATCH(1,(GMW!$NE$2:$NE$150=M$3)*(GMW!$ND$2:$ND$150=M$4)*(GMW!$NF$2:$NF$150=M$1),0),$C256-1966)</f>
        <v>36968.769999999997</v>
      </c>
      <c r="N256" s="4" cm="1">
        <f t="array" ref="N256">INDEX(GMW!$A$2:$NF$150,MATCH(1,(GMW!$NE$2:$NE$150=N$3)*(GMW!$ND$2:$ND$150=N$4)*(GMW!$NF$2:$NF$150=N$1),0),$C256-1966)</f>
        <v>31.989270000000001</v>
      </c>
      <c r="O256" s="4" cm="1">
        <f t="array" ref="O256">INDEX(GMW!$A$2:$NF$150,MATCH(1,(GMW!$NE$2:$NE$150=O$3)*(GMW!$ND$2:$ND$150=O$4)*(GMW!$NF$2:$NF$150=O$1),0),$C256-1966)</f>
        <v>670757.30000000005</v>
      </c>
      <c r="P256" s="4" cm="1">
        <f t="array" ref="P256">INDEX(GMW!$A$2:$NF$150,MATCH(1,(GMW!$NE$2:$NE$150=P$3)*(GMW!$ND$2:$ND$150=P$4)*(GMW!$NF$2:$NF$150=P$1),0),$C256-1966)</f>
        <v>45897.79</v>
      </c>
      <c r="Q256" s="4" cm="1">
        <f t="array" ref="Q256">INDEX(GMW!$A$2:$NF$150,MATCH(1,(GMW!$NE$2:$NE$150=Q$3)*(GMW!$ND$2:$ND$150=Q$4)*(GMW!$NF$2:$NF$150=Q$1),0),$C256-1966)</f>
        <v>3893334</v>
      </c>
      <c r="R256" s="4" cm="1">
        <f t="array" ref="R256">INDEX(GMW!$A$2:$NF$150,MATCH(1,(GMW!$NE$2:$NE$150=R$3)*(GMW!$ND$2:$ND$150=R$4)*(GMW!$NF$2:$NF$150=R$1),0),$C256-1966)</f>
        <v>-1.674226</v>
      </c>
      <c r="S256" s="4" cm="1">
        <f t="array" ref="S256">INDEX(GMW!$A$2:$NF$150,MATCH(1,(GMW!$NE$2:$NE$150=S$3)*(GMW!$ND$2:$ND$150=S$4)*(GMW!$NF$2:$NF$150=S$1),0),$C256-1966)</f>
        <v>756101.3</v>
      </c>
      <c r="T256" s="4" cm="1">
        <f t="array" ref="T256">INDEX(GMW!$A$2:$NF$150,MATCH(1,(GMW!$NE$2:$NE$150=T$3)*(GMW!$ND$2:$ND$150=T$4)*(GMW!$NF$2:$NF$150=T$1),0),$C256-1966)</f>
        <v>169.7979</v>
      </c>
      <c r="U256" s="4" cm="1">
        <f t="array" ref="U256">INDEX(GMW!$A$2:$NF$150,MATCH(1,(GMW!$NE$2:$NE$150=U$3)*(GMW!$ND$2:$ND$150=U$4)*(GMW!$NF$2:$NF$150=U$1),0),$C256-1966)</f>
        <v>224827.3</v>
      </c>
      <c r="V256" s="4" cm="1">
        <f t="array" ref="V256">INDEX(GMW!$A$2:$NF$150,MATCH(1,(GMW!$NE$2:$NE$150=V$3)*(GMW!$ND$2:$ND$150=V$4)*(GMW!$NF$2:$NF$150=V$1),0),$C256-1966)</f>
        <v>83692.38</v>
      </c>
      <c r="W256" s="4" cm="1">
        <f t="array" ref="W256">INDEX(GMW!$A$2:$NF$150,MATCH(1,(GMW!$NE$2:$NE$150=W$3)*(GMW!$ND$2:$ND$150=W$4)*(GMW!$NF$2:$NF$150=W$1),0),$C256-1966)</f>
        <v>249791.3</v>
      </c>
      <c r="X256" s="4" cm="1">
        <f t="array" ref="X256">INDEX(GMW!$A$2:$NF$150,MATCH(1,(GMW!$NE$2:$NE$150=X$3)*(GMW!$ND$2:$ND$150=X$4)*(GMW!$NF$2:$NF$150=X$1),0),$C256-1966)</f>
        <v>133507.6</v>
      </c>
      <c r="Y256" s="4" cm="1">
        <f t="array" ref="Y256">INDEX(GMW!$A$2:$NF$150,MATCH(1,(GMW!$NE$2:$NE$150=Y$3)*(GMW!$ND$2:$ND$150=Y$4)*(GMW!$NF$2:$NF$150=Y$1),0),$C256-1966)</f>
        <v>141504.79999999999</v>
      </c>
      <c r="Z256" s="4" cm="1">
        <f t="array" ref="Z256">INDEX(GMW!$A$2:$NF$150,MATCH(1,(GMW!$NE$2:$NE$150=Z$3)*(GMW!$ND$2:$ND$150=Z$4)*(GMW!$NF$2:$NF$150=Z$1),0),$C256-1966)</f>
        <v>80742.23</v>
      </c>
      <c r="AA256" s="4" cm="1">
        <f t="array" ref="AA256">INDEX(GMW!$A$2:$NF$150,MATCH(1,(GMW!$NE$2:$NE$150=AA$3)*(GMW!$ND$2:$ND$150=AA$4)*(GMW!$NF$2:$NF$150=AA$1),0),$C256-1966)</f>
        <v>756100.6</v>
      </c>
      <c r="AB256" s="4" cm="1">
        <f t="array" ref="AB256">INDEX(GMW!$A$2:$NF$150,MATCH(1,(GMW!$NE$2:$NE$150=AB$3)*(GMW!$ND$2:$ND$150=AB$4)*(GMW!$NF$2:$NF$150=AB$1),0),$C256-1966)</f>
        <v>36968.769999999997</v>
      </c>
      <c r="AC256" s="4" cm="1">
        <f t="array" ref="AC256">INDEX(GMW!$A$2:$NF$150,MATCH(1,(GMW!$NE$2:$NE$150=AC$3)*(GMW!$ND$2:$ND$150=AC$4)*(GMW!$NF$2:$NF$150=AC$1),0),$C256-1966)</f>
        <v>31.989270000000001</v>
      </c>
      <c r="AD256" s="4" cm="1">
        <f t="array" ref="AD256">INDEX(GMW!$A$2:$NF$150,MATCH(1,(GMW!$NE$2:$NE$150=AD$3)*(GMW!$ND$2:$ND$150=AD$4)*(GMW!$NF$2:$NF$150=AD$1),0),$C256-1966)</f>
        <v>670757.30000000005</v>
      </c>
      <c r="AE256" s="4" cm="1">
        <f t="array" ref="AE256">INDEX(GMW!$A$2:$NF$150,MATCH(1,(GMW!$NE$2:$NE$150=AE$3)*(GMW!$ND$2:$ND$150=AE$4)*(GMW!$NF$2:$NF$150=AE$1),0),$C256-1966)</f>
        <v>45897.79</v>
      </c>
      <c r="AF256" s="4" cm="1">
        <f t="array" ref="AF256">INDEX(GMW!$A$2:$NF$150,MATCH(1,(GMW!$NE$2:$NE$150=AF$3)*(GMW!$ND$2:$ND$150=AF$4)*(GMW!$NF$2:$NF$150=AF$1),0),$C256-1966)</f>
        <v>3946802</v>
      </c>
      <c r="AG256" s="4" cm="1">
        <f t="array" ref="AG256">INDEX(GMW!$A$2:$NF$150,MATCH(1,(GMW!$NE$2:$NE$150=AG$3)*(GMW!$ND$2:$ND$150=AG$4)*(GMW!$NF$2:$NF$150=AG$1),0),$C256-1966)</f>
        <v>-1.6721220000000001</v>
      </c>
      <c r="AH256" s="4" cm="1">
        <f t="array" ref="AH256">INDEX(GMW!$A$2:$NF$150,MATCH(1,(GMW!$NE$2:$NE$150=AH$3)*(GMW!$ND$2:$ND$150=AH$4)*(GMW!$NF$2:$NF$150=AH$1),0),$C256-1966)</f>
        <v>757614.1</v>
      </c>
      <c r="AI256" s="4" cm="1">
        <f t="array" ref="AI256">INDEX(GMW!$A$2:$NF$150,MATCH(1,(GMW!$NE$2:$NE$150=AI$3)*(GMW!$ND$2:$ND$150=AI$4)*(GMW!$NF$2:$NF$150=AI$1),0),$C256-1966)</f>
        <v>168.67769999999999</v>
      </c>
      <c r="AJ256" s="4" cm="1">
        <f t="array" ref="AJ256">INDEX(GMW!$A$2:$NF$150,MATCH(1,(GMW!$NE$2:$NE$150=AJ$3)*(GMW!$ND$2:$ND$150=AJ$4)*(GMW!$NF$2:$NF$150=AJ$1),0),$C256-1966)</f>
        <v>230232.8</v>
      </c>
      <c r="AK256" s="4" cm="1">
        <f t="array" ref="AK256">INDEX(GMW!$A$2:$NF$150,MATCH(1,(GMW!$NE$2:$NE$150=AK$3)*(GMW!$ND$2:$ND$150=AK$4)*(GMW!$NF$2:$NF$150=AK$1),0),$C256-1966)</f>
        <v>86356.55</v>
      </c>
      <c r="AL256" s="4" cm="1">
        <f t="array" ref="AL256">INDEX(GMW!$A$2:$NF$150,MATCH(1,(GMW!$NE$2:$NE$150=AL$3)*(GMW!$ND$2:$ND$150=AL$4)*(GMW!$NF$2:$NF$150=AL$1),0),$C256-1966)</f>
        <v>254336.3</v>
      </c>
      <c r="AM256" s="4" cm="1">
        <f t="array" ref="AM256">INDEX(GMW!$A$2:$NF$150,MATCH(1,(GMW!$NE$2:$NE$150=AM$3)*(GMW!$ND$2:$ND$150=AM$4)*(GMW!$NF$2:$NF$150=AM$1),0),$C256-1966)</f>
        <v>136952.6</v>
      </c>
      <c r="AN256" s="4" cm="1">
        <f t="array" ref="AN256">INDEX(GMW!$A$2:$NF$150,MATCH(1,(GMW!$NE$2:$NE$150=AN$3)*(GMW!$ND$2:$ND$150=AN$4)*(GMW!$NF$2:$NF$150=AN$1),0),$C256-1966)</f>
        <v>141706.70000000001</v>
      </c>
      <c r="AO256" s="4" cm="1">
        <f t="array" ref="AO256">INDEX(GMW!$A$2:$NF$150,MATCH(1,(GMW!$NE$2:$NE$150=AO$3)*(GMW!$ND$2:$ND$150=AO$4)*(GMW!$NF$2:$NF$150=AO$1),0),$C256-1966)</f>
        <v>81932.38</v>
      </c>
      <c r="AP256" s="4" cm="1">
        <f t="array" ref="AP256">INDEX(GMW!$A$2:$NF$150,MATCH(1,(GMW!$NE$2:$NE$150=AP$3)*(GMW!$ND$2:$ND$150=AP$4)*(GMW!$NF$2:$NF$150=AP$1),0),$C256-1966)</f>
        <v>757614.2</v>
      </c>
      <c r="AQ256" s="4" cm="1">
        <f t="array" ref="AQ256">INDEX(GMW!$A$2:$NF$150,MATCH(1,(GMW!$NE$2:$NE$150=AQ$3)*(GMW!$ND$2:$ND$150=AQ$4)*(GMW!$NF$2:$NF$150=AQ$1),0),$C256-1966)</f>
        <v>36945.879999999997</v>
      </c>
      <c r="AR256" s="4" cm="1">
        <f t="array" ref="AR256">INDEX(GMW!$A$2:$NF$150,MATCH(1,(GMW!$NE$2:$NE$150=AR$3)*(GMW!$ND$2:$ND$150=AR$4)*(GMW!$NF$2:$NF$150=AR$1),0),$C256-1966)</f>
        <v>31.989270000000001</v>
      </c>
      <c r="AS256" s="4" cm="1">
        <f t="array" ref="AS256">INDEX(GMW!$A$2:$NF$150,MATCH(1,(GMW!$NE$2:$NE$150=AS$3)*(GMW!$ND$2:$ND$150=AS$4)*(GMW!$NF$2:$NF$150=AS$1),0),$C256-1966)</f>
        <v>667584.1</v>
      </c>
      <c r="AT256" s="4" cm="1">
        <f t="array" ref="AT256">INDEX(GMW!$A$2:$NF$150,MATCH(1,(GMW!$NE$2:$NE$150=AT$3)*(GMW!$ND$2:$ND$150=AT$4)*(GMW!$NF$2:$NF$150=AT$1),0),$C256-1966)</f>
        <v>45675.63</v>
      </c>
      <c r="AU256" s="4" cm="1">
        <f t="array" ref="AU256">INDEX(GMW!$A$2:$NF$150,MATCH(1,(GMW!$NE$2:$NE$150=AU$3)*(GMW!$ND$2:$ND$150=AU$4)*(GMW!$NF$2:$NF$150=AU$1),0),$C256-1966)</f>
        <v>3954761</v>
      </c>
      <c r="AV256" s="4" cm="1">
        <f t="array" ref="AV256">INDEX(GMW!$A$2:$NF$150,MATCH(1,(GMW!$NE$2:$NE$150=AV$3)*(GMW!$ND$2:$ND$150=AV$4)*(GMW!$NF$2:$NF$150=AV$1),0),$C256-1966)</f>
        <v>-1.6704509999999999</v>
      </c>
    </row>
    <row r="257" spans="1:48" x14ac:dyDescent="0.25">
      <c r="B257" s="4">
        <f t="shared" si="10"/>
        <v>2035</v>
      </c>
      <c r="C257" s="4">
        <f t="shared" si="11"/>
        <v>2223</v>
      </c>
      <c r="D257" s="4" cm="1">
        <f t="array" ref="D257">INDEX(GMW!$A$2:$NF$150,MATCH(1,(GMW!$NE$2:$NE$150=D$3)*(GMW!$ND$2:$ND$150=D$4)*(GMW!$NF$2:$NF$150=D$1),0),$C257-1966)</f>
        <v>753790.2</v>
      </c>
      <c r="E257" s="4" cm="1">
        <f t="array" ref="E257">INDEX(GMW!$A$2:$NF$150,MATCH(1,(GMW!$NE$2:$NE$150=E$3)*(GMW!$ND$2:$ND$150=E$4)*(GMW!$NF$2:$NF$150=E$1),0),$C257-1966)</f>
        <v>170.71549999999999</v>
      </c>
      <c r="F257" s="4" cm="1">
        <f t="array" ref="F257">INDEX(GMW!$A$2:$NF$150,MATCH(1,(GMW!$NE$2:$NE$150=F$3)*(GMW!$ND$2:$ND$150=F$4)*(GMW!$NF$2:$NF$150=F$1),0),$C257-1966)</f>
        <v>235314.6</v>
      </c>
      <c r="G257" s="4" cm="1">
        <f t="array" ref="G257">INDEX(GMW!$A$2:$NF$150,MATCH(1,(GMW!$NE$2:$NE$150=G$3)*(GMW!$ND$2:$ND$150=G$4)*(GMW!$NF$2:$NF$150=G$1),0),$C257-1966)</f>
        <v>79778.63</v>
      </c>
      <c r="H257" s="4" cm="1">
        <f t="array" ref="H257">INDEX(GMW!$A$2:$NF$150,MATCH(1,(GMW!$NE$2:$NE$150=H$3)*(GMW!$ND$2:$ND$150=H$4)*(GMW!$NF$2:$NF$150=H$1),0),$C257-1966)</f>
        <v>258914.6</v>
      </c>
      <c r="I257" s="4" cm="1">
        <f t="array" ref="I257">INDEX(GMW!$A$2:$NF$150,MATCH(1,(GMW!$NE$2:$NE$150=I$3)*(GMW!$ND$2:$ND$150=I$4)*(GMW!$NF$2:$NF$150=I$1),0),$C257-1966)</f>
        <v>139561.5</v>
      </c>
      <c r="J257" s="4" cm="1">
        <f t="array" ref="J257">INDEX(GMW!$A$2:$NF$150,MATCH(1,(GMW!$NE$2:$NE$150=J$3)*(GMW!$ND$2:$ND$150=J$4)*(GMW!$NF$2:$NF$150=J$1),0),$C257-1966)</f>
        <v>139831.20000000001</v>
      </c>
      <c r="K257" s="4" cm="1">
        <f t="array" ref="K257">INDEX(GMW!$A$2:$NF$150,MATCH(1,(GMW!$NE$2:$NE$150=K$3)*(GMW!$ND$2:$ND$150=K$4)*(GMW!$NF$2:$NF$150=K$1),0),$C257-1966)</f>
        <v>78383.41</v>
      </c>
      <c r="L257" s="4" cm="1">
        <f t="array" ref="L257">INDEX(GMW!$A$2:$NF$150,MATCH(1,(GMW!$NE$2:$NE$150=L$3)*(GMW!$ND$2:$ND$150=L$4)*(GMW!$NF$2:$NF$150=L$1),0),$C257-1966)</f>
        <v>753790.2</v>
      </c>
      <c r="M257" s="4" cm="1">
        <f t="array" ref="M257">INDEX(GMW!$A$2:$NF$150,MATCH(1,(GMW!$NE$2:$NE$150=M$3)*(GMW!$ND$2:$ND$150=M$4)*(GMW!$NF$2:$NF$150=M$1),0),$C257-1966)</f>
        <v>37014.53</v>
      </c>
      <c r="N257" s="4" cm="1">
        <f t="array" ref="N257">INDEX(GMW!$A$2:$NF$150,MATCH(1,(GMW!$NE$2:$NE$150=N$3)*(GMW!$ND$2:$ND$150=N$4)*(GMW!$NF$2:$NF$150=N$1),0),$C257-1966)</f>
        <v>31.988700000000001</v>
      </c>
      <c r="O257" s="4" cm="1">
        <f t="array" ref="O257">INDEX(GMW!$A$2:$NF$150,MATCH(1,(GMW!$NE$2:$NE$150=O$3)*(GMW!$ND$2:$ND$150=O$4)*(GMW!$NF$2:$NF$150=O$1),0),$C257-1966)</f>
        <v>671403</v>
      </c>
      <c r="P257" s="4" cm="1">
        <f t="array" ref="P257">INDEX(GMW!$A$2:$NF$150,MATCH(1,(GMW!$NE$2:$NE$150=P$3)*(GMW!$ND$2:$ND$150=P$4)*(GMW!$NF$2:$NF$150=P$1),0),$C257-1966)</f>
        <v>45901.72</v>
      </c>
      <c r="Q257" s="4" cm="1">
        <f t="array" ref="Q257">INDEX(GMW!$A$2:$NF$150,MATCH(1,(GMW!$NE$2:$NE$150=Q$3)*(GMW!$ND$2:$ND$150=Q$4)*(GMW!$NF$2:$NF$150=Q$1),0),$C257-1966)</f>
        <v>3910099</v>
      </c>
      <c r="R257" s="4" cm="1">
        <f t="array" ref="R257">INDEX(GMW!$A$2:$NF$150,MATCH(1,(GMW!$NE$2:$NE$150=R$3)*(GMW!$ND$2:$ND$150=R$4)*(GMW!$NF$2:$NF$150=R$1),0),$C257-1966)</f>
        <v>-1.673054</v>
      </c>
      <c r="S257" s="4" cm="1">
        <f t="array" ref="S257">INDEX(GMW!$A$2:$NF$150,MATCH(1,(GMW!$NE$2:$NE$150=S$3)*(GMW!$ND$2:$ND$150=S$4)*(GMW!$NF$2:$NF$150=S$1),0),$C257-1966)</f>
        <v>758991.1</v>
      </c>
      <c r="T257" s="4" cm="1">
        <f t="array" ref="T257">INDEX(GMW!$A$2:$NF$150,MATCH(1,(GMW!$NE$2:$NE$150=T$3)*(GMW!$ND$2:$ND$150=T$4)*(GMW!$NF$2:$NF$150=T$1),0),$C257-1966)</f>
        <v>170.61689999999999</v>
      </c>
      <c r="U257" s="4" cm="1">
        <f t="array" ref="U257">INDEX(GMW!$A$2:$NF$150,MATCH(1,(GMW!$NE$2:$NE$150=U$3)*(GMW!$ND$2:$ND$150=U$4)*(GMW!$NF$2:$NF$150=U$1),0),$C257-1966)</f>
        <v>225574.7</v>
      </c>
      <c r="V257" s="4" cm="1">
        <f t="array" ref="V257">INDEX(GMW!$A$2:$NF$150,MATCH(1,(GMW!$NE$2:$NE$150=V$3)*(GMW!$ND$2:$ND$150=V$4)*(GMW!$NF$2:$NF$150=V$1),0),$C257-1966)</f>
        <v>83928.55</v>
      </c>
      <c r="W257" s="4" cm="1">
        <f t="array" ref="W257">INDEX(GMW!$A$2:$NF$150,MATCH(1,(GMW!$NE$2:$NE$150=W$3)*(GMW!$ND$2:$ND$150=W$4)*(GMW!$NF$2:$NF$150=W$1),0),$C257-1966)</f>
        <v>250715.2</v>
      </c>
      <c r="X257" s="4" cm="1">
        <f t="array" ref="X257">INDEX(GMW!$A$2:$NF$150,MATCH(1,(GMW!$NE$2:$NE$150=X$3)*(GMW!$ND$2:$ND$150=X$4)*(GMW!$NF$2:$NF$150=X$1),0),$C257-1966)</f>
        <v>133980.5</v>
      </c>
      <c r="Y257" s="4" cm="1">
        <f t="array" ref="Y257">INDEX(GMW!$A$2:$NF$150,MATCH(1,(GMW!$NE$2:$NE$150=Y$3)*(GMW!$ND$2:$ND$150=Y$4)*(GMW!$NF$2:$NF$150=Y$1),0),$C257-1966)</f>
        <v>142207.79999999999</v>
      </c>
      <c r="Z257" s="4" cm="1">
        <f t="array" ref="Z257">INDEX(GMW!$A$2:$NF$150,MATCH(1,(GMW!$NE$2:$NE$150=Z$3)*(GMW!$ND$2:$ND$150=Z$4)*(GMW!$NF$2:$NF$150=Z$1),0),$C257-1966)</f>
        <v>81182.03</v>
      </c>
      <c r="AA257" s="4" cm="1">
        <f t="array" ref="AA257">INDEX(GMW!$A$2:$NF$150,MATCH(1,(GMW!$NE$2:$NE$150=AA$3)*(GMW!$ND$2:$ND$150=AA$4)*(GMW!$NF$2:$NF$150=AA$1),0),$C257-1966)</f>
        <v>758991.1</v>
      </c>
      <c r="AB257" s="4" cm="1">
        <f t="array" ref="AB257">INDEX(GMW!$A$2:$NF$150,MATCH(1,(GMW!$NE$2:$NE$150=AB$3)*(GMW!$ND$2:$ND$150=AB$4)*(GMW!$NF$2:$NF$150=AB$1),0),$C257-1966)</f>
        <v>37014.53</v>
      </c>
      <c r="AC257" s="4" cm="1">
        <f t="array" ref="AC257">INDEX(GMW!$A$2:$NF$150,MATCH(1,(GMW!$NE$2:$NE$150=AC$3)*(GMW!$ND$2:$ND$150=AC$4)*(GMW!$NF$2:$NF$150=AC$1),0),$C257-1966)</f>
        <v>31.988700000000001</v>
      </c>
      <c r="AD257" s="4" cm="1">
        <f t="array" ref="AD257">INDEX(GMW!$A$2:$NF$150,MATCH(1,(GMW!$NE$2:$NE$150=AD$3)*(GMW!$ND$2:$ND$150=AD$4)*(GMW!$NF$2:$NF$150=AD$1),0),$C257-1966)</f>
        <v>671403</v>
      </c>
      <c r="AE257" s="4" cm="1">
        <f t="array" ref="AE257">INDEX(GMW!$A$2:$NF$150,MATCH(1,(GMW!$NE$2:$NE$150=AE$3)*(GMW!$ND$2:$ND$150=AE$4)*(GMW!$NF$2:$NF$150=AE$1),0),$C257-1966)</f>
        <v>45901.72</v>
      </c>
      <c r="AF257" s="4" cm="1">
        <f t="array" ref="AF257">INDEX(GMW!$A$2:$NF$150,MATCH(1,(GMW!$NE$2:$NE$150=AF$3)*(GMW!$ND$2:$ND$150=AF$4)*(GMW!$NF$2:$NF$150=AF$1),0),$C257-1966)</f>
        <v>3964830</v>
      </c>
      <c r="AG257" s="4" cm="1">
        <f t="array" ref="AG257">INDEX(GMW!$A$2:$NF$150,MATCH(1,(GMW!$NE$2:$NE$150=AG$3)*(GMW!$ND$2:$ND$150=AG$4)*(GMW!$NF$2:$NF$150=AG$1),0),$C257-1966)</f>
        <v>-1.670952</v>
      </c>
      <c r="AH257" s="4" cm="1">
        <f t="array" ref="AH257">INDEX(GMW!$A$2:$NF$150,MATCH(1,(GMW!$NE$2:$NE$150=AH$3)*(GMW!$ND$2:$ND$150=AH$4)*(GMW!$NF$2:$NF$150=AH$1),0),$C257-1966)</f>
        <v>760460.3</v>
      </c>
      <c r="AI257" s="4" cm="1">
        <f t="array" ref="AI257">INDEX(GMW!$A$2:$NF$150,MATCH(1,(GMW!$NE$2:$NE$150=AI$3)*(GMW!$ND$2:$ND$150=AI$4)*(GMW!$NF$2:$NF$150=AI$1),0),$C257-1966)</f>
        <v>169.42240000000001</v>
      </c>
      <c r="AJ257" s="4" cm="1">
        <f t="array" ref="AJ257">INDEX(GMW!$A$2:$NF$150,MATCH(1,(GMW!$NE$2:$NE$150=AJ$3)*(GMW!$ND$2:$ND$150=AJ$4)*(GMW!$NF$2:$NF$150=AJ$1),0),$C257-1966)</f>
        <v>230972.3</v>
      </c>
      <c r="AK257" s="4" cm="1">
        <f t="array" ref="AK257">INDEX(GMW!$A$2:$NF$150,MATCH(1,(GMW!$NE$2:$NE$150=AK$3)*(GMW!$ND$2:$ND$150=AK$4)*(GMW!$NF$2:$NF$150=AK$1),0),$C257-1966)</f>
        <v>86594.61</v>
      </c>
      <c r="AL257" s="4" cm="1">
        <f t="array" ref="AL257">INDEX(GMW!$A$2:$NF$150,MATCH(1,(GMW!$NE$2:$NE$150=AL$3)*(GMW!$ND$2:$ND$150=AL$4)*(GMW!$NF$2:$NF$150=AL$1),0),$C257-1966)</f>
        <v>255253.7</v>
      </c>
      <c r="AM257" s="4" cm="1">
        <f t="array" ref="AM257">INDEX(GMW!$A$2:$NF$150,MATCH(1,(GMW!$NE$2:$NE$150=AM$3)*(GMW!$ND$2:$ND$150=AM$4)*(GMW!$NF$2:$NF$150=AM$1),0),$C257-1966)</f>
        <v>137426</v>
      </c>
      <c r="AN257" s="4" cm="1">
        <f t="array" ref="AN257">INDEX(GMW!$A$2:$NF$150,MATCH(1,(GMW!$NE$2:$NE$150=AN$3)*(GMW!$ND$2:$ND$150=AN$4)*(GMW!$NF$2:$NF$150=AN$1),0),$C257-1966)</f>
        <v>142402.20000000001</v>
      </c>
      <c r="AO257" s="4" cm="1">
        <f t="array" ref="AO257">INDEX(GMW!$A$2:$NF$150,MATCH(1,(GMW!$NE$2:$NE$150=AO$3)*(GMW!$ND$2:$ND$150=AO$4)*(GMW!$NF$2:$NF$150=AO$1),0),$C257-1966)</f>
        <v>82373.320000000007</v>
      </c>
      <c r="AP257" s="4" cm="1">
        <f t="array" ref="AP257">INDEX(GMW!$A$2:$NF$150,MATCH(1,(GMW!$NE$2:$NE$150=AP$3)*(GMW!$ND$2:$ND$150=AP$4)*(GMW!$NF$2:$NF$150=AP$1),0),$C257-1966)</f>
        <v>760461.2</v>
      </c>
      <c r="AQ257" s="4" cm="1">
        <f t="array" ref="AQ257">INDEX(GMW!$A$2:$NF$150,MATCH(1,(GMW!$NE$2:$NE$150=AQ$3)*(GMW!$ND$2:$ND$150=AQ$4)*(GMW!$NF$2:$NF$150=AQ$1),0),$C257-1966)</f>
        <v>36987.410000000003</v>
      </c>
      <c r="AR257" s="4" cm="1">
        <f t="array" ref="AR257">INDEX(GMW!$A$2:$NF$150,MATCH(1,(GMW!$NE$2:$NE$150=AR$3)*(GMW!$ND$2:$ND$150=AR$4)*(GMW!$NF$2:$NF$150=AR$1),0),$C257-1966)</f>
        <v>31.988700000000001</v>
      </c>
      <c r="AS257" s="4" cm="1">
        <f t="array" ref="AS257">INDEX(GMW!$A$2:$NF$150,MATCH(1,(GMW!$NE$2:$NE$150=AS$3)*(GMW!$ND$2:$ND$150=AS$4)*(GMW!$NF$2:$NF$150=AS$1),0),$C257-1966)</f>
        <v>668117.4</v>
      </c>
      <c r="AT257" s="4" cm="1">
        <f t="array" ref="AT257">INDEX(GMW!$A$2:$NF$150,MATCH(1,(GMW!$NE$2:$NE$150=AT$3)*(GMW!$ND$2:$ND$150=AT$4)*(GMW!$NF$2:$NF$150=AT$1),0),$C257-1966)</f>
        <v>45671.75</v>
      </c>
      <c r="AU257" s="4" cm="1">
        <f t="array" ref="AU257">INDEX(GMW!$A$2:$NF$150,MATCH(1,(GMW!$NE$2:$NE$150=AU$3)*(GMW!$ND$2:$ND$150=AU$4)*(GMW!$NF$2:$NF$150=AU$1),0),$C257-1966)</f>
        <v>3972905</v>
      </c>
      <c r="AV257" s="4" cm="1">
        <f t="array" ref="AV257">INDEX(GMW!$A$2:$NF$150,MATCH(1,(GMW!$NE$2:$NE$150=AV$3)*(GMW!$ND$2:$ND$150=AV$4)*(GMW!$NF$2:$NF$150=AV$1),0),$C257-1966)</f>
        <v>-1.6692819999999999</v>
      </c>
    </row>
    <row r="258" spans="1:48" x14ac:dyDescent="0.25">
      <c r="B258" s="4">
        <f t="shared" si="10"/>
        <v>2035</v>
      </c>
      <c r="C258" s="4">
        <f t="shared" si="11"/>
        <v>2224</v>
      </c>
      <c r="D258" s="4" cm="1">
        <f t="array" ref="D258">INDEX(GMW!$A$2:$NF$150,MATCH(1,(GMW!$NE$2:$NE$150=D$3)*(GMW!$ND$2:$ND$150=D$4)*(GMW!$NF$2:$NF$150=D$1),0),$C258-1966)</f>
        <v>756601.4</v>
      </c>
      <c r="E258" s="4" cm="1">
        <f t="array" ref="E258">INDEX(GMW!$A$2:$NF$150,MATCH(1,(GMW!$NE$2:$NE$150=E$3)*(GMW!$ND$2:$ND$150=E$4)*(GMW!$NF$2:$NF$150=E$1),0),$C258-1966)</f>
        <v>171.46709999999999</v>
      </c>
      <c r="F258" s="4" cm="1">
        <f t="array" ref="F258">INDEX(GMW!$A$2:$NF$150,MATCH(1,(GMW!$NE$2:$NE$150=F$3)*(GMW!$ND$2:$ND$150=F$4)*(GMW!$NF$2:$NF$150=F$1),0),$C258-1966)</f>
        <v>236092.6</v>
      </c>
      <c r="G258" s="4" cm="1">
        <f t="array" ref="G258">INDEX(GMW!$A$2:$NF$150,MATCH(1,(GMW!$NE$2:$NE$150=G$3)*(GMW!$ND$2:$ND$150=G$4)*(GMW!$NF$2:$NF$150=G$1),0),$C258-1966)</f>
        <v>79996.38</v>
      </c>
      <c r="H258" s="4" cm="1">
        <f t="array" ref="H258">INDEX(GMW!$A$2:$NF$150,MATCH(1,(GMW!$NE$2:$NE$150=H$3)*(GMW!$ND$2:$ND$150=H$4)*(GMW!$NF$2:$NF$150=H$1),0),$C258-1966)</f>
        <v>259859.4</v>
      </c>
      <c r="I258" s="4" cm="1">
        <f t="array" ref="I258">INDEX(GMW!$A$2:$NF$150,MATCH(1,(GMW!$NE$2:$NE$150=I$3)*(GMW!$ND$2:$ND$150=I$4)*(GMW!$NF$2:$NF$150=I$1),0),$C258-1966)</f>
        <v>140043</v>
      </c>
      <c r="J258" s="4" cm="1">
        <f t="array" ref="J258">INDEX(GMW!$A$2:$NF$150,MATCH(1,(GMW!$NE$2:$NE$150=J$3)*(GMW!$ND$2:$ND$150=J$4)*(GMW!$NF$2:$NF$150=J$1),0),$C258-1966)</f>
        <v>140517.70000000001</v>
      </c>
      <c r="K258" s="4" cm="1">
        <f t="array" ref="K258">INDEX(GMW!$A$2:$NF$150,MATCH(1,(GMW!$NE$2:$NE$150=K$3)*(GMW!$ND$2:$ND$150=K$4)*(GMW!$NF$2:$NF$150=K$1),0),$C258-1966)</f>
        <v>78808.990000000005</v>
      </c>
      <c r="L258" s="4" cm="1">
        <f t="array" ref="L258">INDEX(GMW!$A$2:$NF$150,MATCH(1,(GMW!$NE$2:$NE$150=L$3)*(GMW!$ND$2:$ND$150=L$4)*(GMW!$NF$2:$NF$150=L$1),0),$C258-1966)</f>
        <v>756601.2</v>
      </c>
      <c r="M258" s="4" cm="1">
        <f t="array" ref="M258">INDEX(GMW!$A$2:$NF$150,MATCH(1,(GMW!$NE$2:$NE$150=M$3)*(GMW!$ND$2:$ND$150=M$4)*(GMW!$NF$2:$NF$150=M$1),0),$C258-1966)</f>
        <v>37060.28</v>
      </c>
      <c r="N258" s="4" cm="1">
        <f t="array" ref="N258">INDEX(GMW!$A$2:$NF$150,MATCH(1,(GMW!$NE$2:$NE$150=N$3)*(GMW!$ND$2:$ND$150=N$4)*(GMW!$NF$2:$NF$150=N$1),0),$C258-1966)</f>
        <v>31.988119999999999</v>
      </c>
      <c r="O258" s="4" cm="1">
        <f t="array" ref="O258">INDEX(GMW!$A$2:$NF$150,MATCH(1,(GMW!$NE$2:$NE$150=O$3)*(GMW!$ND$2:$ND$150=O$4)*(GMW!$NF$2:$NF$150=O$1),0),$C258-1966)</f>
        <v>672034</v>
      </c>
      <c r="P258" s="4" cm="1">
        <f t="array" ref="P258">INDEX(GMW!$A$2:$NF$150,MATCH(1,(GMW!$NE$2:$NE$150=P$3)*(GMW!$ND$2:$ND$150=P$4)*(GMW!$NF$2:$NF$150=P$1),0),$C258-1966)</f>
        <v>45905.65</v>
      </c>
      <c r="Q258" s="4" cm="1">
        <f t="array" ref="Q258">INDEX(GMW!$A$2:$NF$150,MATCH(1,(GMW!$NE$2:$NE$150=Q$3)*(GMW!$ND$2:$ND$150=Q$4)*(GMW!$NF$2:$NF$150=Q$1),0),$C258-1966)</f>
        <v>3927033</v>
      </c>
      <c r="R258" s="4" cm="1">
        <f t="array" ref="R258">INDEX(GMW!$A$2:$NF$150,MATCH(1,(GMW!$NE$2:$NE$150=R$3)*(GMW!$ND$2:$ND$150=R$4)*(GMW!$NF$2:$NF$150=R$1),0),$C258-1966)</f>
        <v>-1.671883</v>
      </c>
      <c r="S258" s="4" cm="1">
        <f t="array" ref="S258">INDEX(GMW!$A$2:$NF$150,MATCH(1,(GMW!$NE$2:$NE$150=S$3)*(GMW!$ND$2:$ND$150=S$4)*(GMW!$NF$2:$NF$150=S$1),0),$C258-1966)</f>
        <v>761890.1</v>
      </c>
      <c r="T258" s="4" cm="1">
        <f t="array" ref="T258">INDEX(GMW!$A$2:$NF$150,MATCH(1,(GMW!$NE$2:$NE$150=T$3)*(GMW!$ND$2:$ND$150=T$4)*(GMW!$NF$2:$NF$150=T$1),0),$C258-1966)</f>
        <v>171.3475</v>
      </c>
      <c r="U258" s="4" cm="1">
        <f t="array" ref="U258">INDEX(GMW!$A$2:$NF$150,MATCH(1,(GMW!$NE$2:$NE$150=U$3)*(GMW!$ND$2:$ND$150=U$4)*(GMW!$NF$2:$NF$150=U$1),0),$C258-1966)</f>
        <v>226324.8</v>
      </c>
      <c r="V258" s="4" cm="1">
        <f t="array" ref="V258">INDEX(GMW!$A$2:$NF$150,MATCH(1,(GMW!$NE$2:$NE$150=V$3)*(GMW!$ND$2:$ND$150=V$4)*(GMW!$NF$2:$NF$150=V$1),0),$C258-1966)</f>
        <v>84165.2</v>
      </c>
      <c r="W258" s="4" cm="1">
        <f t="array" ref="W258">INDEX(GMW!$A$2:$NF$150,MATCH(1,(GMW!$NE$2:$NE$150=W$3)*(GMW!$ND$2:$ND$150=W$4)*(GMW!$NF$2:$NF$150=W$1),0),$C258-1966)</f>
        <v>251642.3</v>
      </c>
      <c r="X258" s="4" cm="1">
        <f t="array" ref="X258">INDEX(GMW!$A$2:$NF$150,MATCH(1,(GMW!$NE$2:$NE$150=X$3)*(GMW!$ND$2:$ND$150=X$4)*(GMW!$NF$2:$NF$150=X$1),0),$C258-1966)</f>
        <v>134454.70000000001</v>
      </c>
      <c r="Y258" s="4" cm="1">
        <f t="array" ref="Y258">INDEX(GMW!$A$2:$NF$150,MATCH(1,(GMW!$NE$2:$NE$150=Y$3)*(GMW!$ND$2:$ND$150=Y$4)*(GMW!$NF$2:$NF$150=Y$1),0),$C258-1966)</f>
        <v>142914</v>
      </c>
      <c r="Z258" s="4" cm="1">
        <f t="array" ref="Z258">INDEX(GMW!$A$2:$NF$150,MATCH(1,(GMW!$NE$2:$NE$150=Z$3)*(GMW!$ND$2:$ND$150=Z$4)*(GMW!$NF$2:$NF$150=Z$1),0),$C258-1966)</f>
        <v>81624.03</v>
      </c>
      <c r="AA258" s="4" cm="1">
        <f t="array" ref="AA258">INDEX(GMW!$A$2:$NF$150,MATCH(1,(GMW!$NE$2:$NE$150=AA$3)*(GMW!$ND$2:$ND$150=AA$4)*(GMW!$NF$2:$NF$150=AA$1),0),$C258-1966)</f>
        <v>761889.8</v>
      </c>
      <c r="AB258" s="4" cm="1">
        <f t="array" ref="AB258">INDEX(GMW!$A$2:$NF$150,MATCH(1,(GMW!$NE$2:$NE$150=AB$3)*(GMW!$ND$2:$ND$150=AB$4)*(GMW!$NF$2:$NF$150=AB$1),0),$C258-1966)</f>
        <v>37060.28</v>
      </c>
      <c r="AC258" s="4" cm="1">
        <f t="array" ref="AC258">INDEX(GMW!$A$2:$NF$150,MATCH(1,(GMW!$NE$2:$NE$150=AC$3)*(GMW!$ND$2:$ND$150=AC$4)*(GMW!$NF$2:$NF$150=AC$1),0),$C258-1966)</f>
        <v>31.988119999999999</v>
      </c>
      <c r="AD258" s="4" cm="1">
        <f t="array" ref="AD258">INDEX(GMW!$A$2:$NF$150,MATCH(1,(GMW!$NE$2:$NE$150=AD$3)*(GMW!$ND$2:$ND$150=AD$4)*(GMW!$NF$2:$NF$150=AD$1),0),$C258-1966)</f>
        <v>672034</v>
      </c>
      <c r="AE258" s="4" cm="1">
        <f t="array" ref="AE258">INDEX(GMW!$A$2:$NF$150,MATCH(1,(GMW!$NE$2:$NE$150=AE$3)*(GMW!$ND$2:$ND$150=AE$4)*(GMW!$NF$2:$NF$150=AE$1),0),$C258-1966)</f>
        <v>45905.65</v>
      </c>
      <c r="AF258" s="4" cm="1">
        <f t="array" ref="AF258">INDEX(GMW!$A$2:$NF$150,MATCH(1,(GMW!$NE$2:$NE$150=AF$3)*(GMW!$ND$2:$ND$150=AF$4)*(GMW!$NF$2:$NF$150=AF$1),0),$C258-1966)</f>
        <v>3983008</v>
      </c>
      <c r="AG258" s="4" cm="1">
        <f t="array" ref="AG258">INDEX(GMW!$A$2:$NF$150,MATCH(1,(GMW!$NE$2:$NE$150=AG$3)*(GMW!$ND$2:$ND$150=AG$4)*(GMW!$NF$2:$NF$150=AG$1),0),$C258-1966)</f>
        <v>-1.6697820000000001</v>
      </c>
      <c r="AH258" s="4" cm="1">
        <f t="array" ref="AH258">INDEX(GMW!$A$2:$NF$150,MATCH(1,(GMW!$NE$2:$NE$150=AH$3)*(GMW!$ND$2:$ND$150=AH$4)*(GMW!$NF$2:$NF$150=AH$1),0),$C258-1966)</f>
        <v>763314.9</v>
      </c>
      <c r="AI258" s="4" cm="1">
        <f t="array" ref="AI258">INDEX(GMW!$A$2:$NF$150,MATCH(1,(GMW!$NE$2:$NE$150=AI$3)*(GMW!$ND$2:$ND$150=AI$4)*(GMW!$NF$2:$NF$150=AI$1),0),$C258-1966)</f>
        <v>170.26050000000001</v>
      </c>
      <c r="AJ258" s="4" cm="1">
        <f t="array" ref="AJ258">INDEX(GMW!$A$2:$NF$150,MATCH(1,(GMW!$NE$2:$NE$150=AJ$3)*(GMW!$ND$2:$ND$150=AJ$4)*(GMW!$NF$2:$NF$150=AJ$1),0),$C258-1966)</f>
        <v>231714.3</v>
      </c>
      <c r="AK258" s="4" cm="1">
        <f t="array" ref="AK258">INDEX(GMW!$A$2:$NF$150,MATCH(1,(GMW!$NE$2:$NE$150=AK$3)*(GMW!$ND$2:$ND$150=AK$4)*(GMW!$NF$2:$NF$150=AK$1),0),$C258-1966)</f>
        <v>86833.07</v>
      </c>
      <c r="AL258" s="4" cm="1">
        <f t="array" ref="AL258">INDEX(GMW!$A$2:$NF$150,MATCH(1,(GMW!$NE$2:$NE$150=AL$3)*(GMW!$ND$2:$ND$150=AL$4)*(GMW!$NF$2:$NF$150=AL$1),0),$C258-1966)</f>
        <v>256174.1</v>
      </c>
      <c r="AM258" s="4" cm="1">
        <f t="array" ref="AM258">INDEX(GMW!$A$2:$NF$150,MATCH(1,(GMW!$NE$2:$NE$150=AM$3)*(GMW!$ND$2:$ND$150=AM$4)*(GMW!$NF$2:$NF$150=AM$1),0),$C258-1966)</f>
        <v>137900.6</v>
      </c>
      <c r="AN258" s="4" cm="1">
        <f t="array" ref="AN258">INDEX(GMW!$A$2:$NF$150,MATCH(1,(GMW!$NE$2:$NE$150=AN$3)*(GMW!$ND$2:$ND$150=AN$4)*(GMW!$NF$2:$NF$150=AN$1),0),$C258-1966)</f>
        <v>143100.79999999999</v>
      </c>
      <c r="AO258" s="4" cm="1">
        <f t="array" ref="AO258">INDEX(GMW!$A$2:$NF$150,MATCH(1,(GMW!$NE$2:$NE$150=AO$3)*(GMW!$ND$2:$ND$150=AO$4)*(GMW!$NF$2:$NF$150=AO$1),0),$C258-1966)</f>
        <v>82816.39</v>
      </c>
      <c r="AP258" s="4" cm="1">
        <f t="array" ref="AP258">INDEX(GMW!$A$2:$NF$150,MATCH(1,(GMW!$NE$2:$NE$150=AP$3)*(GMW!$ND$2:$ND$150=AP$4)*(GMW!$NF$2:$NF$150=AP$1),0),$C258-1966)</f>
        <v>763315.3</v>
      </c>
      <c r="AQ258" s="4" cm="1">
        <f t="array" ref="AQ258">INDEX(GMW!$A$2:$NF$150,MATCH(1,(GMW!$NE$2:$NE$150=AQ$3)*(GMW!$ND$2:$ND$150=AQ$4)*(GMW!$NF$2:$NF$150=AQ$1),0),$C258-1966)</f>
        <v>37028.949999999997</v>
      </c>
      <c r="AR258" s="4" cm="1">
        <f t="array" ref="AR258">INDEX(GMW!$A$2:$NF$150,MATCH(1,(GMW!$NE$2:$NE$150=AR$3)*(GMW!$ND$2:$ND$150=AR$4)*(GMW!$NF$2:$NF$150=AR$1),0),$C258-1966)</f>
        <v>31.988119999999999</v>
      </c>
      <c r="AS258" s="4" cm="1">
        <f t="array" ref="AS258">INDEX(GMW!$A$2:$NF$150,MATCH(1,(GMW!$NE$2:$NE$150=AS$3)*(GMW!$ND$2:$ND$150=AS$4)*(GMW!$NF$2:$NF$150=AS$1),0),$C258-1966)</f>
        <v>668635.80000000005</v>
      </c>
      <c r="AT258" s="4" cm="1">
        <f t="array" ref="AT258">INDEX(GMW!$A$2:$NF$150,MATCH(1,(GMW!$NE$2:$NE$150=AT$3)*(GMW!$ND$2:$ND$150=AT$4)*(GMW!$NF$2:$NF$150=AT$1),0),$C258-1966)</f>
        <v>45667.88</v>
      </c>
      <c r="AU258" s="4" cm="1">
        <f t="array" ref="AU258">INDEX(GMW!$A$2:$NF$150,MATCH(1,(GMW!$NE$2:$NE$150=AU$3)*(GMW!$ND$2:$ND$150=AU$4)*(GMW!$NF$2:$NF$150=AU$1),0),$C258-1966)</f>
        <v>3991193</v>
      </c>
      <c r="AV258" s="4" cm="1">
        <f t="array" ref="AV258">INDEX(GMW!$A$2:$NF$150,MATCH(1,(GMW!$NE$2:$NE$150=AV$3)*(GMW!$ND$2:$ND$150=AV$4)*(GMW!$NF$2:$NF$150=AV$1),0),$C258-1966)</f>
        <v>-1.668113</v>
      </c>
    </row>
    <row r="259" spans="1:48" x14ac:dyDescent="0.25">
      <c r="A259" s="4">
        <v>2036</v>
      </c>
      <c r="B259" s="4">
        <f t="shared" si="10"/>
        <v>2036</v>
      </c>
      <c r="C259" s="4">
        <f t="shared" si="11"/>
        <v>2225</v>
      </c>
      <c r="D259" s="4" cm="1">
        <f t="array" ref="D259">INDEX(GMW!$A$2:$NF$150,MATCH(1,(GMW!$NE$2:$NE$150=D$3)*(GMW!$ND$2:$ND$150=D$4)*(GMW!$NF$2:$NF$150=D$1),0),$C259-1966)</f>
        <v>759489.1</v>
      </c>
      <c r="E259" s="4" cm="1">
        <f t="array" ref="E259">INDEX(GMW!$A$2:$NF$150,MATCH(1,(GMW!$NE$2:$NE$150=E$3)*(GMW!$ND$2:$ND$150=E$4)*(GMW!$NF$2:$NF$150=E$1),0),$C259-1966)</f>
        <v>171.81809999999999</v>
      </c>
      <c r="F259" s="4" cm="1">
        <f t="array" ref="F259">INDEX(GMW!$A$2:$NF$150,MATCH(1,(GMW!$NE$2:$NE$150=F$3)*(GMW!$ND$2:$ND$150=F$4)*(GMW!$NF$2:$NF$150=F$1),0),$C259-1966)</f>
        <v>236893.9</v>
      </c>
      <c r="G259" s="4" cm="1">
        <f t="array" ref="G259">INDEX(GMW!$A$2:$NF$150,MATCH(1,(GMW!$NE$2:$NE$150=G$3)*(GMW!$ND$2:$ND$150=G$4)*(GMW!$NF$2:$NF$150=G$1),0),$C259-1966)</f>
        <v>80221.7</v>
      </c>
      <c r="H259" s="4" cm="1">
        <f t="array" ref="H259">INDEX(GMW!$A$2:$NF$150,MATCH(1,(GMW!$NE$2:$NE$150=H$3)*(GMW!$ND$2:$ND$150=H$4)*(GMW!$NF$2:$NF$150=H$1),0),$C259-1966)</f>
        <v>260828.1</v>
      </c>
      <c r="I259" s="4" cm="1">
        <f t="array" ref="I259">INDEX(GMW!$A$2:$NF$150,MATCH(1,(GMW!$NE$2:$NE$150=I$3)*(GMW!$ND$2:$ND$150=I$4)*(GMW!$NF$2:$NF$150=I$1),0),$C259-1966)</f>
        <v>140538.29999999999</v>
      </c>
      <c r="J259" s="4" cm="1">
        <f t="array" ref="J259">INDEX(GMW!$A$2:$NF$150,MATCH(1,(GMW!$NE$2:$NE$150=J$3)*(GMW!$ND$2:$ND$150=J$4)*(GMW!$NF$2:$NF$150=J$1),0),$C259-1966)</f>
        <v>141219.9</v>
      </c>
      <c r="K259" s="4" cm="1">
        <f t="array" ref="K259">INDEX(GMW!$A$2:$NF$150,MATCH(1,(GMW!$NE$2:$NE$150=K$3)*(GMW!$ND$2:$ND$150=K$4)*(GMW!$NF$2:$NF$150=K$1),0),$C259-1966)</f>
        <v>79243.759999999995</v>
      </c>
      <c r="L259" s="4" cm="1">
        <f t="array" ref="L259">INDEX(GMW!$A$2:$NF$150,MATCH(1,(GMW!$NE$2:$NE$150=L$3)*(GMW!$ND$2:$ND$150=L$4)*(GMW!$NF$2:$NF$150=L$1),0),$C259-1966)</f>
        <v>759489.3</v>
      </c>
      <c r="M259" s="4" cm="1">
        <f t="array" ref="M259">INDEX(GMW!$A$2:$NF$150,MATCH(1,(GMW!$NE$2:$NE$150=M$3)*(GMW!$ND$2:$ND$150=M$4)*(GMW!$NF$2:$NF$150=M$1),0),$C259-1966)</f>
        <v>37106.019999999997</v>
      </c>
      <c r="N259" s="4" cm="1">
        <f t="array" ref="N259">INDEX(GMW!$A$2:$NF$150,MATCH(1,(GMW!$NE$2:$NE$150=N$3)*(GMW!$ND$2:$ND$150=N$4)*(GMW!$NF$2:$NF$150=N$1),0),$C259-1966)</f>
        <v>31.987549999999999</v>
      </c>
      <c r="O259" s="4" cm="1">
        <f t="array" ref="O259">INDEX(GMW!$A$2:$NF$150,MATCH(1,(GMW!$NE$2:$NE$150=O$3)*(GMW!$ND$2:$ND$150=O$4)*(GMW!$NF$2:$NF$150=O$1),0),$C259-1966)</f>
        <v>672658</v>
      </c>
      <c r="P259" s="4" cm="1">
        <f t="array" ref="P259">INDEX(GMW!$A$2:$NF$150,MATCH(1,(GMW!$NE$2:$NE$150=P$3)*(GMW!$ND$2:$ND$150=P$4)*(GMW!$NF$2:$NF$150=P$1),0),$C259-1966)</f>
        <v>45909.58</v>
      </c>
      <c r="Q259" s="4" cm="1">
        <f t="array" ref="Q259">INDEX(GMW!$A$2:$NF$150,MATCH(1,(GMW!$NE$2:$NE$150=Q$3)*(GMW!$ND$2:$ND$150=Q$4)*(GMW!$NF$2:$NF$150=Q$1),0),$C259-1966)</f>
        <v>3944146</v>
      </c>
      <c r="R259" s="4" cm="1">
        <f t="array" ref="R259">INDEX(GMW!$A$2:$NF$150,MATCH(1,(GMW!$NE$2:$NE$150=R$3)*(GMW!$ND$2:$ND$150=R$4)*(GMW!$NF$2:$NF$150=R$1),0),$C259-1966)</f>
        <v>-1.6706289999999999</v>
      </c>
      <c r="S259" s="4" cm="1">
        <f t="array" ref="S259">INDEX(GMW!$A$2:$NF$150,MATCH(1,(GMW!$NE$2:$NE$150=S$3)*(GMW!$ND$2:$ND$150=S$4)*(GMW!$NF$2:$NF$150=S$1),0),$C259-1966)</f>
        <v>764864.4</v>
      </c>
      <c r="T259" s="4" cm="1">
        <f t="array" ref="T259">INDEX(GMW!$A$2:$NF$150,MATCH(1,(GMW!$NE$2:$NE$150=T$3)*(GMW!$ND$2:$ND$150=T$4)*(GMW!$NF$2:$NF$150=T$1),0),$C259-1966)</f>
        <v>171.63659999999999</v>
      </c>
      <c r="U259" s="4" cm="1">
        <f t="array" ref="U259">INDEX(GMW!$A$2:$NF$150,MATCH(1,(GMW!$NE$2:$NE$150=U$3)*(GMW!$ND$2:$ND$150=U$4)*(GMW!$NF$2:$NF$150=U$1),0),$C259-1966)</f>
        <v>227096.5</v>
      </c>
      <c r="V259" s="4" cm="1">
        <f t="array" ref="V259">INDEX(GMW!$A$2:$NF$150,MATCH(1,(GMW!$NE$2:$NE$150=V$3)*(GMW!$ND$2:$ND$150=V$4)*(GMW!$NF$2:$NF$150=V$1),0),$C259-1966)</f>
        <v>84409.600000000006</v>
      </c>
      <c r="W259" s="4" cm="1">
        <f t="array" ref="W259">INDEX(GMW!$A$2:$NF$150,MATCH(1,(GMW!$NE$2:$NE$150=W$3)*(GMW!$ND$2:$ND$150=W$4)*(GMW!$NF$2:$NF$150=W$1),0),$C259-1966)</f>
        <v>252592.1</v>
      </c>
      <c r="X259" s="4" cm="1">
        <f t="array" ref="X259">INDEX(GMW!$A$2:$NF$150,MATCH(1,(GMW!$NE$2:$NE$150=X$3)*(GMW!$ND$2:$ND$150=X$4)*(GMW!$NF$2:$NF$150=X$1),0),$C259-1966)</f>
        <v>134942</v>
      </c>
      <c r="Y259" s="4" cm="1">
        <f t="array" ref="Y259">INDEX(GMW!$A$2:$NF$150,MATCH(1,(GMW!$NE$2:$NE$150=Y$3)*(GMW!$ND$2:$ND$150=Y$4)*(GMW!$NF$2:$NF$150=Y$1),0),$C259-1966)</f>
        <v>143635.79999999999</v>
      </c>
      <c r="Z259" s="4" cm="1">
        <f t="array" ref="Z259">INDEX(GMW!$A$2:$NF$150,MATCH(1,(GMW!$NE$2:$NE$150=Z$3)*(GMW!$ND$2:$ND$150=Z$4)*(GMW!$NF$2:$NF$150=Z$1),0),$C259-1966)</f>
        <v>82075.320000000007</v>
      </c>
      <c r="AA259" s="4" cm="1">
        <f t="array" ref="AA259">INDEX(GMW!$A$2:$NF$150,MATCH(1,(GMW!$NE$2:$NE$150=AA$3)*(GMW!$ND$2:$ND$150=AA$4)*(GMW!$NF$2:$NF$150=AA$1),0),$C259-1966)</f>
        <v>764865.2</v>
      </c>
      <c r="AB259" s="4" cm="1">
        <f t="array" ref="AB259">INDEX(GMW!$A$2:$NF$150,MATCH(1,(GMW!$NE$2:$NE$150=AB$3)*(GMW!$ND$2:$ND$150=AB$4)*(GMW!$NF$2:$NF$150=AB$1),0),$C259-1966)</f>
        <v>37106.019999999997</v>
      </c>
      <c r="AC259" s="4" cm="1">
        <f t="array" ref="AC259">INDEX(GMW!$A$2:$NF$150,MATCH(1,(GMW!$NE$2:$NE$150=AC$3)*(GMW!$ND$2:$ND$150=AC$4)*(GMW!$NF$2:$NF$150=AC$1),0),$C259-1966)</f>
        <v>31.987549999999999</v>
      </c>
      <c r="AD259" s="4" cm="1">
        <f t="array" ref="AD259">INDEX(GMW!$A$2:$NF$150,MATCH(1,(GMW!$NE$2:$NE$150=AD$3)*(GMW!$ND$2:$ND$150=AD$4)*(GMW!$NF$2:$NF$150=AD$1),0),$C259-1966)</f>
        <v>672658</v>
      </c>
      <c r="AE259" s="4" cm="1">
        <f t="array" ref="AE259">INDEX(GMW!$A$2:$NF$150,MATCH(1,(GMW!$NE$2:$NE$150=AE$3)*(GMW!$ND$2:$ND$150=AE$4)*(GMW!$NF$2:$NF$150=AE$1),0),$C259-1966)</f>
        <v>45909.58</v>
      </c>
      <c r="AF259" s="4" cm="1">
        <f t="array" ref="AF259">INDEX(GMW!$A$2:$NF$150,MATCH(1,(GMW!$NE$2:$NE$150=AF$3)*(GMW!$ND$2:$ND$150=AF$4)*(GMW!$NF$2:$NF$150=AF$1),0),$C259-1966)</f>
        <v>4001346</v>
      </c>
      <c r="AG259" s="4" cm="1">
        <f t="array" ref="AG259">INDEX(GMW!$A$2:$NF$150,MATCH(1,(GMW!$NE$2:$NE$150=AG$3)*(GMW!$ND$2:$ND$150=AG$4)*(GMW!$NF$2:$NF$150=AG$1),0),$C259-1966)</f>
        <v>-1.6685300000000001</v>
      </c>
      <c r="AH259" s="4" cm="1">
        <f t="array" ref="AH259">INDEX(GMW!$A$2:$NF$150,MATCH(1,(GMW!$NE$2:$NE$150=AH$3)*(GMW!$ND$2:$ND$150=AH$4)*(GMW!$NF$2:$NF$150=AH$1),0),$C259-1966)</f>
        <v>766244.2</v>
      </c>
      <c r="AI259" s="4" cm="1">
        <f t="array" ref="AI259">INDEX(GMW!$A$2:$NF$150,MATCH(1,(GMW!$NE$2:$NE$150=AI$3)*(GMW!$ND$2:$ND$150=AI$4)*(GMW!$NF$2:$NF$150=AI$1),0),$C259-1966)</f>
        <v>170.5838</v>
      </c>
      <c r="AJ259" s="4" cm="1">
        <f t="array" ref="AJ259">INDEX(GMW!$A$2:$NF$150,MATCH(1,(GMW!$NE$2:$NE$150=AJ$3)*(GMW!$ND$2:$ND$150=AJ$4)*(GMW!$NF$2:$NF$150=AJ$1),0),$C259-1966)</f>
        <v>232478</v>
      </c>
      <c r="AK259" s="4" cm="1">
        <f t="array" ref="AK259">INDEX(GMW!$A$2:$NF$150,MATCH(1,(GMW!$NE$2:$NE$150=AK$3)*(GMW!$ND$2:$ND$150=AK$4)*(GMW!$NF$2:$NF$150=AK$1),0),$C259-1966)</f>
        <v>87079.47</v>
      </c>
      <c r="AL259" s="4" cm="1">
        <f t="array" ref="AL259">INDEX(GMW!$A$2:$NF$150,MATCH(1,(GMW!$NE$2:$NE$150=AL$3)*(GMW!$ND$2:$ND$150=AL$4)*(GMW!$NF$2:$NF$150=AL$1),0),$C259-1966)</f>
        <v>257117.1</v>
      </c>
      <c r="AM259" s="4" cm="1">
        <f t="array" ref="AM259">INDEX(GMW!$A$2:$NF$150,MATCH(1,(GMW!$NE$2:$NE$150=AM$3)*(GMW!$ND$2:$ND$150=AM$4)*(GMW!$NF$2:$NF$150=AM$1),0),$C259-1966)</f>
        <v>138388.5</v>
      </c>
      <c r="AN259" s="4" cm="1">
        <f t="array" ref="AN259">INDEX(GMW!$A$2:$NF$150,MATCH(1,(GMW!$NE$2:$NE$150=AN$3)*(GMW!$ND$2:$ND$150=AN$4)*(GMW!$NF$2:$NF$150=AN$1),0),$C259-1966)</f>
        <v>143815</v>
      </c>
      <c r="AO259" s="4" cm="1">
        <f t="array" ref="AO259">INDEX(GMW!$A$2:$NF$150,MATCH(1,(GMW!$NE$2:$NE$150=AO$3)*(GMW!$ND$2:$ND$150=AO$4)*(GMW!$NF$2:$NF$150=AO$1),0),$C259-1966)</f>
        <v>83268.78</v>
      </c>
      <c r="AP259" s="4" cm="1">
        <f t="array" ref="AP259">INDEX(GMW!$A$2:$NF$150,MATCH(1,(GMW!$NE$2:$NE$150=AP$3)*(GMW!$ND$2:$ND$150=AP$4)*(GMW!$NF$2:$NF$150=AP$1),0),$C259-1966)</f>
        <v>766243.6</v>
      </c>
      <c r="AQ259" s="4" cm="1">
        <f t="array" ref="AQ259">INDEX(GMW!$A$2:$NF$150,MATCH(1,(GMW!$NE$2:$NE$150=AQ$3)*(GMW!$ND$2:$ND$150=AQ$4)*(GMW!$NF$2:$NF$150=AQ$1),0),$C259-1966)</f>
        <v>37070.480000000003</v>
      </c>
      <c r="AR259" s="4" cm="1">
        <f t="array" ref="AR259">INDEX(GMW!$A$2:$NF$150,MATCH(1,(GMW!$NE$2:$NE$150=AR$3)*(GMW!$ND$2:$ND$150=AR$4)*(GMW!$NF$2:$NF$150=AR$1),0),$C259-1966)</f>
        <v>31.987549999999999</v>
      </c>
      <c r="AS259" s="4" cm="1">
        <f t="array" ref="AS259">INDEX(GMW!$A$2:$NF$150,MATCH(1,(GMW!$NE$2:$NE$150=AS$3)*(GMW!$ND$2:$ND$150=AS$4)*(GMW!$NF$2:$NF$150=AS$1),0),$C259-1966)</f>
        <v>669146.9</v>
      </c>
      <c r="AT259" s="4" cm="1">
        <f t="array" ref="AT259">INDEX(GMW!$A$2:$NF$150,MATCH(1,(GMW!$NE$2:$NE$150=AT$3)*(GMW!$ND$2:$ND$150=AT$4)*(GMW!$NF$2:$NF$150=AT$1),0),$C259-1966)</f>
        <v>45664</v>
      </c>
      <c r="AU259" s="4" cm="1">
        <f t="array" ref="AU259">INDEX(GMW!$A$2:$NF$150,MATCH(1,(GMW!$NE$2:$NE$150=AU$3)*(GMW!$ND$2:$ND$150=AU$4)*(GMW!$NF$2:$NF$150=AU$1),0),$C259-1966)</f>
        <v>4009631</v>
      </c>
      <c r="AV259" s="4" cm="1">
        <f t="array" ref="AV259">INDEX(GMW!$A$2:$NF$150,MATCH(1,(GMW!$NE$2:$NE$150=AV$3)*(GMW!$ND$2:$ND$150=AV$4)*(GMW!$NF$2:$NF$150=AV$1),0),$C259-1966)</f>
        <v>-1.6668620000000001</v>
      </c>
    </row>
    <row r="260" spans="1:48" x14ac:dyDescent="0.25">
      <c r="B260" s="4">
        <f t="shared" si="10"/>
        <v>2036</v>
      </c>
      <c r="C260" s="4">
        <f t="shared" si="11"/>
        <v>2226</v>
      </c>
      <c r="D260" s="4" cm="1">
        <f t="array" ref="D260">INDEX(GMW!$A$2:$NF$150,MATCH(1,(GMW!$NE$2:$NE$150=D$3)*(GMW!$ND$2:$ND$150=D$4)*(GMW!$NF$2:$NF$150=D$1),0),$C260-1966)</f>
        <v>762390.9</v>
      </c>
      <c r="E260" s="4" cm="1">
        <f t="array" ref="E260">INDEX(GMW!$A$2:$NF$150,MATCH(1,(GMW!$NE$2:$NE$150=E$3)*(GMW!$ND$2:$ND$150=E$4)*(GMW!$NF$2:$NF$150=E$1),0),$C260-1966)</f>
        <v>173.34129999999999</v>
      </c>
      <c r="F260" s="4" cm="1">
        <f t="array" ref="F260">INDEX(GMW!$A$2:$NF$150,MATCH(1,(GMW!$NE$2:$NE$150=F$3)*(GMW!$ND$2:$ND$150=F$4)*(GMW!$NF$2:$NF$150=F$1),0),$C260-1966)</f>
        <v>237699.3</v>
      </c>
      <c r="G260" s="4" cm="1">
        <f t="array" ref="G260">INDEX(GMW!$A$2:$NF$150,MATCH(1,(GMW!$NE$2:$NE$150=G$3)*(GMW!$ND$2:$ND$150=G$4)*(GMW!$NF$2:$NF$150=G$1),0),$C260-1966)</f>
        <v>80447.990000000005</v>
      </c>
      <c r="H260" s="4" cm="1">
        <f t="array" ref="H260">INDEX(GMW!$A$2:$NF$150,MATCH(1,(GMW!$NE$2:$NE$150=H$3)*(GMW!$ND$2:$ND$150=H$4)*(GMW!$NF$2:$NF$150=H$1),0),$C260-1966)</f>
        <v>261801.60000000001</v>
      </c>
      <c r="I260" s="4" cm="1">
        <f t="array" ref="I260">INDEX(GMW!$A$2:$NF$150,MATCH(1,(GMW!$NE$2:$NE$150=I$3)*(GMW!$ND$2:$ND$150=I$4)*(GMW!$NF$2:$NF$150=I$1),0),$C260-1966)</f>
        <v>141035.9</v>
      </c>
      <c r="J260" s="4" cm="1">
        <f t="array" ref="J260">INDEX(GMW!$A$2:$NF$150,MATCH(1,(GMW!$NE$2:$NE$150=J$3)*(GMW!$ND$2:$ND$150=J$4)*(GMW!$NF$2:$NF$150=J$1),0),$C260-1966)</f>
        <v>141926.29999999999</v>
      </c>
      <c r="K260" s="4" cm="1">
        <f t="array" ref="K260">INDEX(GMW!$A$2:$NF$150,MATCH(1,(GMW!$NE$2:$NE$150=K$3)*(GMW!$ND$2:$ND$150=K$4)*(GMW!$NF$2:$NF$150=K$1),0),$C260-1966)</f>
        <v>79681.25</v>
      </c>
      <c r="L260" s="4" cm="1">
        <f t="array" ref="L260">INDEX(GMW!$A$2:$NF$150,MATCH(1,(GMW!$NE$2:$NE$150=L$3)*(GMW!$ND$2:$ND$150=L$4)*(GMW!$NF$2:$NF$150=L$1),0),$C260-1966)</f>
        <v>762390.6</v>
      </c>
      <c r="M260" s="4" cm="1">
        <f t="array" ref="M260">INDEX(GMW!$A$2:$NF$150,MATCH(1,(GMW!$NE$2:$NE$150=M$3)*(GMW!$ND$2:$ND$150=M$4)*(GMW!$NF$2:$NF$150=M$1),0),$C260-1966)</f>
        <v>37151.78</v>
      </c>
      <c r="N260" s="4" cm="1">
        <f t="array" ref="N260">INDEX(GMW!$A$2:$NF$150,MATCH(1,(GMW!$NE$2:$NE$150=N$3)*(GMW!$ND$2:$ND$150=N$4)*(GMW!$NF$2:$NF$150=N$1),0),$C260-1966)</f>
        <v>31.986979999999999</v>
      </c>
      <c r="O260" s="4" cm="1">
        <f t="array" ref="O260">INDEX(GMW!$A$2:$NF$150,MATCH(1,(GMW!$NE$2:$NE$150=O$3)*(GMW!$ND$2:$ND$150=O$4)*(GMW!$NF$2:$NF$150=O$1),0),$C260-1966)</f>
        <v>673275.1</v>
      </c>
      <c r="P260" s="4" cm="1">
        <f t="array" ref="P260">INDEX(GMW!$A$2:$NF$150,MATCH(1,(GMW!$NE$2:$NE$150=P$3)*(GMW!$ND$2:$ND$150=P$4)*(GMW!$NF$2:$NF$150=P$1),0),$C260-1966)</f>
        <v>45913.52</v>
      </c>
      <c r="Q260" s="4" cm="1">
        <f t="array" ref="Q260">INDEX(GMW!$A$2:$NF$150,MATCH(1,(GMW!$NE$2:$NE$150=Q$3)*(GMW!$ND$2:$ND$150=Q$4)*(GMW!$NF$2:$NF$150=Q$1),0),$C260-1966)</f>
        <v>3961437</v>
      </c>
      <c r="R260" s="4" cm="1">
        <f t="array" ref="R260">INDEX(GMW!$A$2:$NF$150,MATCH(1,(GMW!$NE$2:$NE$150=R$3)*(GMW!$ND$2:$ND$150=R$4)*(GMW!$NF$2:$NF$150=R$1),0),$C260-1966)</f>
        <v>-1.669376</v>
      </c>
      <c r="S260" s="4" cm="1">
        <f t="array" ref="S260">INDEX(GMW!$A$2:$NF$150,MATCH(1,(GMW!$NE$2:$NE$150=S$3)*(GMW!$ND$2:$ND$150=S$4)*(GMW!$NF$2:$NF$150=S$1),0),$C260-1966)</f>
        <v>767851.5</v>
      </c>
      <c r="T260" s="4" cm="1">
        <f t="array" ref="T260">INDEX(GMW!$A$2:$NF$150,MATCH(1,(GMW!$NE$2:$NE$150=T$3)*(GMW!$ND$2:$ND$150=T$4)*(GMW!$NF$2:$NF$150=T$1),0),$C260-1966)</f>
        <v>173.19380000000001</v>
      </c>
      <c r="U260" s="4" cm="1">
        <f t="array" ref="U260">INDEX(GMW!$A$2:$NF$150,MATCH(1,(GMW!$NE$2:$NE$150=U$3)*(GMW!$ND$2:$ND$150=U$4)*(GMW!$NF$2:$NF$150=U$1),0),$C260-1966)</f>
        <v>227871.7</v>
      </c>
      <c r="V260" s="4" cm="1">
        <f t="array" ref="V260">INDEX(GMW!$A$2:$NF$150,MATCH(1,(GMW!$NE$2:$NE$150=V$3)*(GMW!$ND$2:$ND$150=V$4)*(GMW!$NF$2:$NF$150=V$1),0),$C260-1966)</f>
        <v>84654.84</v>
      </c>
      <c r="W260" s="4" cm="1">
        <f t="array" ref="W260">INDEX(GMW!$A$2:$NF$150,MATCH(1,(GMW!$NE$2:$NE$150=W$3)*(GMW!$ND$2:$ND$150=W$4)*(GMW!$NF$2:$NF$150=W$1),0),$C260-1966)</f>
        <v>253546</v>
      </c>
      <c r="X260" s="4" cm="1">
        <f t="array" ref="X260">INDEX(GMW!$A$2:$NF$150,MATCH(1,(GMW!$NE$2:$NE$150=X$3)*(GMW!$ND$2:$ND$150=X$4)*(GMW!$NF$2:$NF$150=X$1),0),$C260-1966)</f>
        <v>135431.20000000001</v>
      </c>
      <c r="Y260" s="4" cm="1">
        <f t="array" ref="Y260">INDEX(GMW!$A$2:$NF$150,MATCH(1,(GMW!$NE$2:$NE$150=Y$3)*(GMW!$ND$2:$ND$150=Y$4)*(GMW!$NF$2:$NF$150=Y$1),0),$C260-1966)</f>
        <v>144361.60000000001</v>
      </c>
      <c r="Z260" s="4" cm="1">
        <f t="array" ref="Z260">INDEX(GMW!$A$2:$NF$150,MATCH(1,(GMW!$NE$2:$NE$150=Z$3)*(GMW!$ND$2:$ND$150=Z$4)*(GMW!$NF$2:$NF$150=Z$1),0),$C260-1966)</f>
        <v>82529.23</v>
      </c>
      <c r="AA260" s="4" cm="1">
        <f t="array" ref="AA260">INDEX(GMW!$A$2:$NF$150,MATCH(1,(GMW!$NE$2:$NE$150=AA$3)*(GMW!$ND$2:$ND$150=AA$4)*(GMW!$NF$2:$NF$150=AA$1),0),$C260-1966)</f>
        <v>767850.7</v>
      </c>
      <c r="AB260" s="4" cm="1">
        <f t="array" ref="AB260">INDEX(GMW!$A$2:$NF$150,MATCH(1,(GMW!$NE$2:$NE$150=AB$3)*(GMW!$ND$2:$ND$150=AB$4)*(GMW!$NF$2:$NF$150=AB$1),0),$C260-1966)</f>
        <v>37151.78</v>
      </c>
      <c r="AC260" s="4" cm="1">
        <f t="array" ref="AC260">INDEX(GMW!$A$2:$NF$150,MATCH(1,(GMW!$NE$2:$NE$150=AC$3)*(GMW!$ND$2:$ND$150=AC$4)*(GMW!$NF$2:$NF$150=AC$1),0),$C260-1966)</f>
        <v>31.986979999999999</v>
      </c>
      <c r="AD260" s="4" cm="1">
        <f t="array" ref="AD260">INDEX(GMW!$A$2:$NF$150,MATCH(1,(GMW!$NE$2:$NE$150=AD$3)*(GMW!$ND$2:$ND$150=AD$4)*(GMW!$NF$2:$NF$150=AD$1),0),$C260-1966)</f>
        <v>673275.1</v>
      </c>
      <c r="AE260" s="4" cm="1">
        <f t="array" ref="AE260">INDEX(GMW!$A$2:$NF$150,MATCH(1,(GMW!$NE$2:$NE$150=AE$3)*(GMW!$ND$2:$ND$150=AE$4)*(GMW!$NF$2:$NF$150=AE$1),0),$C260-1966)</f>
        <v>45913.52</v>
      </c>
      <c r="AF260" s="4" cm="1">
        <f t="array" ref="AF260">INDEX(GMW!$A$2:$NF$150,MATCH(1,(GMW!$NE$2:$NE$150=AF$3)*(GMW!$ND$2:$ND$150=AF$4)*(GMW!$NF$2:$NF$150=AF$1),0),$C260-1966)</f>
        <v>4019843</v>
      </c>
      <c r="AG260" s="4" cm="1">
        <f t="array" ref="AG260">INDEX(GMW!$A$2:$NF$150,MATCH(1,(GMW!$NE$2:$NE$150=AG$3)*(GMW!$ND$2:$ND$150=AG$4)*(GMW!$NF$2:$NF$150=AG$1),0),$C260-1966)</f>
        <v>-1.667279</v>
      </c>
      <c r="AH260" s="4" cm="1">
        <f t="array" ref="AH260">INDEX(GMW!$A$2:$NF$150,MATCH(1,(GMW!$NE$2:$NE$150=AH$3)*(GMW!$ND$2:$ND$150=AH$4)*(GMW!$NF$2:$NF$150=AH$1),0),$C260-1966)</f>
        <v>769185.3</v>
      </c>
      <c r="AI260" s="4" cm="1">
        <f t="array" ref="AI260">INDEX(GMW!$A$2:$NF$150,MATCH(1,(GMW!$NE$2:$NE$150=AI$3)*(GMW!$ND$2:$ND$150=AI$4)*(GMW!$NF$2:$NF$150=AI$1),0),$C260-1966)</f>
        <v>172.0513</v>
      </c>
      <c r="AJ260" s="4" cm="1">
        <f t="array" ref="AJ260">INDEX(GMW!$A$2:$NF$150,MATCH(1,(GMW!$NE$2:$NE$150=AJ$3)*(GMW!$ND$2:$ND$150=AJ$4)*(GMW!$NF$2:$NF$150=AJ$1),0),$C260-1966)</f>
        <v>233245.2</v>
      </c>
      <c r="AK260" s="4" cm="1">
        <f t="array" ref="AK260">INDEX(GMW!$A$2:$NF$150,MATCH(1,(GMW!$NE$2:$NE$150=AK$3)*(GMW!$ND$2:$ND$150=AK$4)*(GMW!$NF$2:$NF$150=AK$1),0),$C260-1966)</f>
        <v>87326.63</v>
      </c>
      <c r="AL260" s="4" cm="1">
        <f t="array" ref="AL260">INDEX(GMW!$A$2:$NF$150,MATCH(1,(GMW!$NE$2:$NE$150=AL$3)*(GMW!$ND$2:$ND$150=AL$4)*(GMW!$NF$2:$NF$150=AL$1),0),$C260-1966)</f>
        <v>258064</v>
      </c>
      <c r="AM260" s="4" cm="1">
        <f t="array" ref="AM260">INDEX(GMW!$A$2:$NF$150,MATCH(1,(GMW!$NE$2:$NE$150=AM$3)*(GMW!$ND$2:$ND$150=AM$4)*(GMW!$NF$2:$NF$150=AM$1),0),$C260-1966)</f>
        <v>138878.1</v>
      </c>
      <c r="AN260" s="4" cm="1">
        <f t="array" ref="AN260">INDEX(GMW!$A$2:$NF$150,MATCH(1,(GMW!$NE$2:$NE$150=AN$3)*(GMW!$ND$2:$ND$150=AN$4)*(GMW!$NF$2:$NF$150=AN$1),0),$C260-1966)</f>
        <v>144532.79999999999</v>
      </c>
      <c r="AO260" s="4" cm="1">
        <f t="array" ref="AO260">INDEX(GMW!$A$2:$NF$150,MATCH(1,(GMW!$NE$2:$NE$150=AO$3)*(GMW!$ND$2:$ND$150=AO$4)*(GMW!$NF$2:$NF$150=AO$1),0),$C260-1966)</f>
        <v>83723.710000000006</v>
      </c>
      <c r="AP260" s="4" cm="1">
        <f t="array" ref="AP260">INDEX(GMW!$A$2:$NF$150,MATCH(1,(GMW!$NE$2:$NE$150=AP$3)*(GMW!$ND$2:$ND$150=AP$4)*(GMW!$NF$2:$NF$150=AP$1),0),$C260-1966)</f>
        <v>769184.6</v>
      </c>
      <c r="AQ260" s="4" cm="1">
        <f t="array" ref="AQ260">INDEX(GMW!$A$2:$NF$150,MATCH(1,(GMW!$NE$2:$NE$150=AQ$3)*(GMW!$ND$2:$ND$150=AQ$4)*(GMW!$NF$2:$NF$150=AQ$1),0),$C260-1966)</f>
        <v>37112.019999999997</v>
      </c>
      <c r="AR260" s="4" cm="1">
        <f t="array" ref="AR260">INDEX(GMW!$A$2:$NF$150,MATCH(1,(GMW!$NE$2:$NE$150=AR$3)*(GMW!$ND$2:$ND$150=AR$4)*(GMW!$NF$2:$NF$150=AR$1),0),$C260-1966)</f>
        <v>31.986979999999999</v>
      </c>
      <c r="AS260" s="4" cm="1">
        <f t="array" ref="AS260">INDEX(GMW!$A$2:$NF$150,MATCH(1,(GMW!$NE$2:$NE$150=AS$3)*(GMW!$ND$2:$ND$150=AS$4)*(GMW!$NF$2:$NF$150=AS$1),0),$C260-1966)</f>
        <v>669651.1</v>
      </c>
      <c r="AT260" s="4" cm="1">
        <f t="array" ref="AT260">INDEX(GMW!$A$2:$NF$150,MATCH(1,(GMW!$NE$2:$NE$150=AT$3)*(GMW!$ND$2:$ND$150=AT$4)*(GMW!$NF$2:$NF$150=AT$1),0),$C260-1966)</f>
        <v>45660.13</v>
      </c>
      <c r="AU260" s="4" cm="1">
        <f t="array" ref="AU260">INDEX(GMW!$A$2:$NF$150,MATCH(1,(GMW!$NE$2:$NE$150=AU$3)*(GMW!$ND$2:$ND$150=AU$4)*(GMW!$NF$2:$NF$150=AU$1),0),$C260-1966)</f>
        <v>4028221</v>
      </c>
      <c r="AV260" s="4" cm="1">
        <f t="array" ref="AV260">INDEX(GMW!$A$2:$NF$150,MATCH(1,(GMW!$NE$2:$NE$150=AV$3)*(GMW!$ND$2:$ND$150=AV$4)*(GMW!$NF$2:$NF$150=AV$1),0),$C260-1966)</f>
        <v>-1.6656120000000001</v>
      </c>
    </row>
    <row r="261" spans="1:48" x14ac:dyDescent="0.25">
      <c r="B261" s="4">
        <f t="shared" si="10"/>
        <v>2036</v>
      </c>
      <c r="C261" s="4">
        <f t="shared" si="11"/>
        <v>2227</v>
      </c>
      <c r="D261" s="4" cm="1">
        <f t="array" ref="D261">INDEX(GMW!$A$2:$NF$150,MATCH(1,(GMW!$NE$2:$NE$150=D$3)*(GMW!$ND$2:$ND$150=D$4)*(GMW!$NF$2:$NF$150=D$1),0),$C261-1966)</f>
        <v>765307</v>
      </c>
      <c r="E261" s="4" cm="1">
        <f t="array" ref="E261">INDEX(GMW!$A$2:$NF$150,MATCH(1,(GMW!$NE$2:$NE$150=E$3)*(GMW!$ND$2:$ND$150=E$4)*(GMW!$NF$2:$NF$150=E$1),0),$C261-1966)</f>
        <v>174.12979999999999</v>
      </c>
      <c r="F261" s="4" cm="1">
        <f t="array" ref="F261">INDEX(GMW!$A$2:$NF$150,MATCH(1,(GMW!$NE$2:$NE$150=F$3)*(GMW!$ND$2:$ND$150=F$4)*(GMW!$NF$2:$NF$150=F$1),0),$C261-1966)</f>
        <v>238509.1</v>
      </c>
      <c r="G261" s="4" cm="1">
        <f t="array" ref="G261">INDEX(GMW!$A$2:$NF$150,MATCH(1,(GMW!$NE$2:$NE$150=G$3)*(GMW!$ND$2:$ND$150=G$4)*(GMW!$NF$2:$NF$150=G$1),0),$C261-1966)</f>
        <v>80675.25</v>
      </c>
      <c r="H261" s="4" cm="1">
        <f t="array" ref="H261">INDEX(GMW!$A$2:$NF$150,MATCH(1,(GMW!$NE$2:$NE$150=H$3)*(GMW!$ND$2:$ND$150=H$4)*(GMW!$NF$2:$NF$150=H$1),0),$C261-1966)</f>
        <v>262780</v>
      </c>
      <c r="I261" s="4" cm="1">
        <f t="array" ref="I261">INDEX(GMW!$A$2:$NF$150,MATCH(1,(GMW!$NE$2:$NE$150=I$3)*(GMW!$ND$2:$ND$150=I$4)*(GMW!$NF$2:$NF$150=I$1),0),$C261-1966)</f>
        <v>141535.79999999999</v>
      </c>
      <c r="J261" s="4" cm="1">
        <f t="array" ref="J261">INDEX(GMW!$A$2:$NF$150,MATCH(1,(GMW!$NE$2:$NE$150=J$3)*(GMW!$ND$2:$ND$150=J$4)*(GMW!$NF$2:$NF$150=J$1),0),$C261-1966)</f>
        <v>142636.79999999999</v>
      </c>
      <c r="K261" s="4" cm="1">
        <f t="array" ref="K261">INDEX(GMW!$A$2:$NF$150,MATCH(1,(GMW!$NE$2:$NE$150=K$3)*(GMW!$ND$2:$ND$150=K$4)*(GMW!$NF$2:$NF$150=K$1),0),$C261-1966)</f>
        <v>80121.48</v>
      </c>
      <c r="L261" s="4" cm="1">
        <f t="array" ref="L261">INDEX(GMW!$A$2:$NF$150,MATCH(1,(GMW!$NE$2:$NE$150=L$3)*(GMW!$ND$2:$ND$150=L$4)*(GMW!$NF$2:$NF$150=L$1),0),$C261-1966)</f>
        <v>765306.6</v>
      </c>
      <c r="M261" s="4" cm="1">
        <f t="array" ref="M261">INDEX(GMW!$A$2:$NF$150,MATCH(1,(GMW!$NE$2:$NE$150=M$3)*(GMW!$ND$2:$ND$150=M$4)*(GMW!$NF$2:$NF$150=M$1),0),$C261-1966)</f>
        <v>37197.53</v>
      </c>
      <c r="N261" s="4" cm="1">
        <f t="array" ref="N261">INDEX(GMW!$A$2:$NF$150,MATCH(1,(GMW!$NE$2:$NE$150=N$3)*(GMW!$ND$2:$ND$150=N$4)*(GMW!$NF$2:$NF$150=N$1),0),$C261-1966)</f>
        <v>31.986409999999999</v>
      </c>
      <c r="O261" s="4" cm="1">
        <f t="array" ref="O261">INDEX(GMW!$A$2:$NF$150,MATCH(1,(GMW!$NE$2:$NE$150=O$3)*(GMW!$ND$2:$ND$150=O$4)*(GMW!$NF$2:$NF$150=O$1),0),$C261-1966)</f>
        <v>674035.7</v>
      </c>
      <c r="P261" s="4" cm="1">
        <f t="array" ref="P261">INDEX(GMW!$A$2:$NF$150,MATCH(1,(GMW!$NE$2:$NE$150=P$3)*(GMW!$ND$2:$ND$150=P$4)*(GMW!$NF$2:$NF$150=P$1),0),$C261-1966)</f>
        <v>45927.7</v>
      </c>
      <c r="Q261" s="4" cm="1">
        <f t="array" ref="Q261">INDEX(GMW!$A$2:$NF$150,MATCH(1,(GMW!$NE$2:$NE$150=Q$3)*(GMW!$ND$2:$ND$150=Q$4)*(GMW!$NF$2:$NF$150=Q$1),0),$C261-1966)</f>
        <v>3978905</v>
      </c>
      <c r="R261" s="4" cm="1">
        <f t="array" ref="R261">INDEX(GMW!$A$2:$NF$150,MATCH(1,(GMW!$NE$2:$NE$150=R$3)*(GMW!$ND$2:$ND$150=R$4)*(GMW!$NF$2:$NF$150=R$1),0),$C261-1966)</f>
        <v>-1.6681239999999999</v>
      </c>
      <c r="S261" s="4" cm="1">
        <f t="array" ref="S261">INDEX(GMW!$A$2:$NF$150,MATCH(1,(GMW!$NE$2:$NE$150=S$3)*(GMW!$ND$2:$ND$150=S$4)*(GMW!$NF$2:$NF$150=S$1),0),$C261-1966)</f>
        <v>770851.3</v>
      </c>
      <c r="T261" s="4" cm="1">
        <f t="array" ref="T261">INDEX(GMW!$A$2:$NF$150,MATCH(1,(GMW!$NE$2:$NE$150=T$3)*(GMW!$ND$2:$ND$150=T$4)*(GMW!$NF$2:$NF$150=T$1),0),$C261-1966)</f>
        <v>174.02930000000001</v>
      </c>
      <c r="U261" s="4" cm="1">
        <f t="array" ref="U261">INDEX(GMW!$A$2:$NF$150,MATCH(1,(GMW!$NE$2:$NE$150=U$3)*(GMW!$ND$2:$ND$150=U$4)*(GMW!$NF$2:$NF$150=U$1),0),$C261-1966)</f>
        <v>228650.5</v>
      </c>
      <c r="V261" s="4" cm="1">
        <f t="array" ref="V261">INDEX(GMW!$A$2:$NF$150,MATCH(1,(GMW!$NE$2:$NE$150=V$3)*(GMW!$ND$2:$ND$150=V$4)*(GMW!$NF$2:$NF$150=V$1),0),$C261-1966)</f>
        <v>84900.92</v>
      </c>
      <c r="W261" s="4" cm="1">
        <f t="array" ref="W261">INDEX(GMW!$A$2:$NF$150,MATCH(1,(GMW!$NE$2:$NE$150=W$3)*(GMW!$ND$2:$ND$150=W$4)*(GMW!$NF$2:$NF$150=W$1),0),$C261-1966)</f>
        <v>254504.2</v>
      </c>
      <c r="X261" s="4" cm="1">
        <f t="array" ref="X261">INDEX(GMW!$A$2:$NF$150,MATCH(1,(GMW!$NE$2:$NE$150=X$3)*(GMW!$ND$2:$ND$150=X$4)*(GMW!$NF$2:$NF$150=X$1),0),$C261-1966)</f>
        <v>135922.4</v>
      </c>
      <c r="Y261" s="4" cm="1">
        <f t="array" ref="Y261">INDEX(GMW!$A$2:$NF$150,MATCH(1,(GMW!$NE$2:$NE$150=Y$3)*(GMW!$ND$2:$ND$150=Y$4)*(GMW!$NF$2:$NF$150=Y$1),0),$C261-1966)</f>
        <v>145091.20000000001</v>
      </c>
      <c r="Z261" s="4" cm="1">
        <f t="array" ref="Z261">INDEX(GMW!$A$2:$NF$150,MATCH(1,(GMW!$NE$2:$NE$150=Z$3)*(GMW!$ND$2:$ND$150=Z$4)*(GMW!$NF$2:$NF$150=Z$1),0),$C261-1966)</f>
        <v>82985.759999999995</v>
      </c>
      <c r="AA261" s="4" cm="1">
        <f t="array" ref="AA261">INDEX(GMW!$A$2:$NF$150,MATCH(1,(GMW!$NE$2:$NE$150=AA$3)*(GMW!$ND$2:$ND$150=AA$4)*(GMW!$NF$2:$NF$150=AA$1),0),$C261-1966)</f>
        <v>770850.8</v>
      </c>
      <c r="AB261" s="4" cm="1">
        <f t="array" ref="AB261">INDEX(GMW!$A$2:$NF$150,MATCH(1,(GMW!$NE$2:$NE$150=AB$3)*(GMW!$ND$2:$ND$150=AB$4)*(GMW!$NF$2:$NF$150=AB$1),0),$C261-1966)</f>
        <v>37197.53</v>
      </c>
      <c r="AC261" s="4" cm="1">
        <f t="array" ref="AC261">INDEX(GMW!$A$2:$NF$150,MATCH(1,(GMW!$NE$2:$NE$150=AC$3)*(GMW!$ND$2:$ND$150=AC$4)*(GMW!$NF$2:$NF$150=AC$1),0),$C261-1966)</f>
        <v>31.986409999999999</v>
      </c>
      <c r="AD261" s="4" cm="1">
        <f t="array" ref="AD261">INDEX(GMW!$A$2:$NF$150,MATCH(1,(GMW!$NE$2:$NE$150=AD$3)*(GMW!$ND$2:$ND$150=AD$4)*(GMW!$NF$2:$NF$150=AD$1),0),$C261-1966)</f>
        <v>674035.7</v>
      </c>
      <c r="AE261" s="4" cm="1">
        <f t="array" ref="AE261">INDEX(GMW!$A$2:$NF$150,MATCH(1,(GMW!$NE$2:$NE$150=AE$3)*(GMW!$ND$2:$ND$150=AE$4)*(GMW!$NF$2:$NF$150=AE$1),0),$C261-1966)</f>
        <v>45927.7</v>
      </c>
      <c r="AF261" s="4" cm="1">
        <f t="array" ref="AF261">INDEX(GMW!$A$2:$NF$150,MATCH(1,(GMW!$NE$2:$NE$150=AF$3)*(GMW!$ND$2:$ND$150=AF$4)*(GMW!$NF$2:$NF$150=AF$1),0),$C261-1966)</f>
        <v>4038499</v>
      </c>
      <c r="AG261" s="4" cm="1">
        <f t="array" ref="AG261">INDEX(GMW!$A$2:$NF$150,MATCH(1,(GMW!$NE$2:$NE$150=AG$3)*(GMW!$ND$2:$ND$150=AG$4)*(GMW!$NF$2:$NF$150=AG$1),0),$C261-1966)</f>
        <v>-1.6660280000000001</v>
      </c>
      <c r="AH261" s="4" cm="1">
        <f t="array" ref="AH261">INDEX(GMW!$A$2:$NF$150,MATCH(1,(GMW!$NE$2:$NE$150=AH$3)*(GMW!$ND$2:$ND$150=AH$4)*(GMW!$NF$2:$NF$150=AH$1),0),$C261-1966)</f>
        <v>772138.3</v>
      </c>
      <c r="AI261" s="4" cm="1">
        <f t="array" ref="AI261">INDEX(GMW!$A$2:$NF$150,MATCH(1,(GMW!$NE$2:$NE$150=AI$3)*(GMW!$ND$2:$ND$150=AI$4)*(GMW!$NF$2:$NF$150=AI$1),0),$C261-1966)</f>
        <v>172.8108</v>
      </c>
      <c r="AJ261" s="4" cm="1">
        <f t="array" ref="AJ261">INDEX(GMW!$A$2:$NF$150,MATCH(1,(GMW!$NE$2:$NE$150=AJ$3)*(GMW!$ND$2:$ND$150=AJ$4)*(GMW!$NF$2:$NF$150=AJ$1),0),$C261-1966)</f>
        <v>234015.7</v>
      </c>
      <c r="AK261" s="4" cm="1">
        <f t="array" ref="AK261">INDEX(GMW!$A$2:$NF$150,MATCH(1,(GMW!$NE$2:$NE$150=AK$3)*(GMW!$ND$2:$ND$150=AK$4)*(GMW!$NF$2:$NF$150=AK$1),0),$C261-1966)</f>
        <v>87574.57</v>
      </c>
      <c r="AL261" s="4" cm="1">
        <f t="array" ref="AL261">INDEX(GMW!$A$2:$NF$150,MATCH(1,(GMW!$NE$2:$NE$150=AL$3)*(GMW!$ND$2:$ND$150=AL$4)*(GMW!$NF$2:$NF$150=AL$1),0),$C261-1966)</f>
        <v>259015.1</v>
      </c>
      <c r="AM261" s="4" cm="1">
        <f t="array" ref="AM261">INDEX(GMW!$A$2:$NF$150,MATCH(1,(GMW!$NE$2:$NE$150=AM$3)*(GMW!$ND$2:$ND$150=AM$4)*(GMW!$NF$2:$NF$150=AM$1),0),$C261-1966)</f>
        <v>139369.70000000001</v>
      </c>
      <c r="AN261" s="4" cm="1">
        <f t="array" ref="AN261">INDEX(GMW!$A$2:$NF$150,MATCH(1,(GMW!$NE$2:$NE$150=AN$3)*(GMW!$ND$2:$ND$150=AN$4)*(GMW!$NF$2:$NF$150=AN$1),0),$C261-1966)</f>
        <v>145254.39999999999</v>
      </c>
      <c r="AO261" s="4" cm="1">
        <f t="array" ref="AO261">INDEX(GMW!$A$2:$NF$150,MATCH(1,(GMW!$NE$2:$NE$150=AO$3)*(GMW!$ND$2:$ND$150=AO$4)*(GMW!$NF$2:$NF$150=AO$1),0),$C261-1966)</f>
        <v>84181.19</v>
      </c>
      <c r="AP261" s="4" cm="1">
        <f t="array" ref="AP261">INDEX(GMW!$A$2:$NF$150,MATCH(1,(GMW!$NE$2:$NE$150=AP$3)*(GMW!$ND$2:$ND$150=AP$4)*(GMW!$NF$2:$NF$150=AP$1),0),$C261-1966)</f>
        <v>772137.7</v>
      </c>
      <c r="AQ261" s="4" cm="1">
        <f t="array" ref="AQ261">INDEX(GMW!$A$2:$NF$150,MATCH(1,(GMW!$NE$2:$NE$150=AQ$3)*(GMW!$ND$2:$ND$150=AQ$4)*(GMW!$NF$2:$NF$150=AQ$1),0),$C261-1966)</f>
        <v>37153.56</v>
      </c>
      <c r="AR261" s="4" cm="1">
        <f t="array" ref="AR261">INDEX(GMW!$A$2:$NF$150,MATCH(1,(GMW!$NE$2:$NE$150=AR$3)*(GMW!$ND$2:$ND$150=AR$4)*(GMW!$NF$2:$NF$150=AR$1),0),$C261-1966)</f>
        <v>31.986409999999999</v>
      </c>
      <c r="AS261" s="4" cm="1">
        <f t="array" ref="AS261">INDEX(GMW!$A$2:$NF$150,MATCH(1,(GMW!$NE$2:$NE$150=AS$3)*(GMW!$ND$2:$ND$150=AS$4)*(GMW!$NF$2:$NF$150=AS$1),0),$C261-1966)</f>
        <v>670319.9</v>
      </c>
      <c r="AT261" s="4" cm="1">
        <f t="array" ref="AT261">INDEX(GMW!$A$2:$NF$150,MATCH(1,(GMW!$NE$2:$NE$150=AT$3)*(GMW!$ND$2:$ND$150=AT$4)*(GMW!$NF$2:$NF$150=AT$1),0),$C261-1966)</f>
        <v>45667.95</v>
      </c>
      <c r="AU261" s="4" cm="1">
        <f t="array" ref="AU261">INDEX(GMW!$A$2:$NF$150,MATCH(1,(GMW!$NE$2:$NE$150=AU$3)*(GMW!$ND$2:$ND$150=AU$4)*(GMW!$NF$2:$NF$150=AU$1),0),$C261-1966)</f>
        <v>4046961</v>
      </c>
      <c r="AV261" s="4" cm="1">
        <f t="array" ref="AV261">INDEX(GMW!$A$2:$NF$150,MATCH(1,(GMW!$NE$2:$NE$150=AV$3)*(GMW!$ND$2:$ND$150=AV$4)*(GMW!$NF$2:$NF$150=AV$1),0),$C261-1966)</f>
        <v>-1.664363</v>
      </c>
    </row>
    <row r="262" spans="1:48" x14ac:dyDescent="0.25">
      <c r="B262" s="4">
        <f t="shared" si="10"/>
        <v>2036</v>
      </c>
      <c r="C262" s="4">
        <f t="shared" si="11"/>
        <v>2228</v>
      </c>
      <c r="D262" s="4" cm="1">
        <f t="array" ref="D262">INDEX(GMW!$A$2:$NF$150,MATCH(1,(GMW!$NE$2:$NE$150=D$3)*(GMW!$ND$2:$ND$150=D$4)*(GMW!$NF$2:$NF$150=D$1),0),$C262-1966)</f>
        <v>768237.1</v>
      </c>
      <c r="E262" s="4" cm="1">
        <f t="array" ref="E262">INDEX(GMW!$A$2:$NF$150,MATCH(1,(GMW!$NE$2:$NE$150=E$3)*(GMW!$ND$2:$ND$150=E$4)*(GMW!$NF$2:$NF$150=E$1),0),$C262-1966)</f>
        <v>174.8964</v>
      </c>
      <c r="F262" s="4" cm="1">
        <f t="array" ref="F262">INDEX(GMW!$A$2:$NF$150,MATCH(1,(GMW!$NE$2:$NE$150=F$3)*(GMW!$ND$2:$ND$150=F$4)*(GMW!$NF$2:$NF$150=F$1),0),$C262-1966)</f>
        <v>239323</v>
      </c>
      <c r="G262" s="4" cm="1">
        <f t="array" ref="G262">INDEX(GMW!$A$2:$NF$150,MATCH(1,(GMW!$NE$2:$NE$150=G$3)*(GMW!$ND$2:$ND$150=G$4)*(GMW!$NF$2:$NF$150=G$1),0),$C262-1966)</f>
        <v>80903.45</v>
      </c>
      <c r="H262" s="4" cm="1">
        <f t="array" ref="H262">INDEX(GMW!$A$2:$NF$150,MATCH(1,(GMW!$NE$2:$NE$150=H$3)*(GMW!$ND$2:$ND$150=H$4)*(GMW!$NF$2:$NF$150=H$1),0),$C262-1966)</f>
        <v>263763.40000000002</v>
      </c>
      <c r="I262" s="4" cm="1">
        <f t="array" ref="I262">INDEX(GMW!$A$2:$NF$150,MATCH(1,(GMW!$NE$2:$NE$150=I$3)*(GMW!$ND$2:$ND$150=I$4)*(GMW!$NF$2:$NF$150=I$1),0),$C262-1966)</f>
        <v>142038.1</v>
      </c>
      <c r="J262" s="4" cm="1">
        <f t="array" ref="J262">INDEX(GMW!$A$2:$NF$150,MATCH(1,(GMW!$NE$2:$NE$150=J$3)*(GMW!$ND$2:$ND$150=J$4)*(GMW!$NF$2:$NF$150=J$1),0),$C262-1966)</f>
        <v>143351.5</v>
      </c>
      <c r="K262" s="4" cm="1">
        <f t="array" ref="K262">INDEX(GMW!$A$2:$NF$150,MATCH(1,(GMW!$NE$2:$NE$150=K$3)*(GMW!$ND$2:$ND$150=K$4)*(GMW!$NF$2:$NF$150=K$1),0),$C262-1966)</f>
        <v>80564.44</v>
      </c>
      <c r="L262" s="4" cm="1">
        <f t="array" ref="L262">INDEX(GMW!$A$2:$NF$150,MATCH(1,(GMW!$NE$2:$NE$150=L$3)*(GMW!$ND$2:$ND$150=L$4)*(GMW!$NF$2:$NF$150=L$1),0),$C262-1966)</f>
        <v>768236.7</v>
      </c>
      <c r="M262" s="4" cm="1">
        <f t="array" ref="M262">INDEX(GMW!$A$2:$NF$150,MATCH(1,(GMW!$NE$2:$NE$150=M$3)*(GMW!$ND$2:$ND$150=M$4)*(GMW!$NF$2:$NF$150=M$1),0),$C262-1966)</f>
        <v>37243.29</v>
      </c>
      <c r="N262" s="4" cm="1">
        <f t="array" ref="N262">INDEX(GMW!$A$2:$NF$150,MATCH(1,(GMW!$NE$2:$NE$150=N$3)*(GMW!$ND$2:$ND$150=N$4)*(GMW!$NF$2:$NF$150=N$1),0),$C262-1966)</f>
        <v>31.98583</v>
      </c>
      <c r="O262" s="4" cm="1">
        <f t="array" ref="O262">INDEX(GMW!$A$2:$NF$150,MATCH(1,(GMW!$NE$2:$NE$150=O$3)*(GMW!$ND$2:$ND$150=O$4)*(GMW!$NF$2:$NF$150=O$1),0),$C262-1966)</f>
        <v>674790.1</v>
      </c>
      <c r="P262" s="4" cm="1">
        <f t="array" ref="P262">INDEX(GMW!$A$2:$NF$150,MATCH(1,(GMW!$NE$2:$NE$150=P$3)*(GMW!$ND$2:$ND$150=P$4)*(GMW!$NF$2:$NF$150=P$1),0),$C262-1966)</f>
        <v>45941.89</v>
      </c>
      <c r="Q262" s="4" cm="1">
        <f t="array" ref="Q262">INDEX(GMW!$A$2:$NF$150,MATCH(1,(GMW!$NE$2:$NE$150=Q$3)*(GMW!$ND$2:$ND$150=Q$4)*(GMW!$NF$2:$NF$150=Q$1),0),$C262-1966)</f>
        <v>3996550</v>
      </c>
      <c r="R262" s="4" cm="1">
        <f t="array" ref="R262">INDEX(GMW!$A$2:$NF$150,MATCH(1,(GMW!$NE$2:$NE$150=R$3)*(GMW!$ND$2:$ND$150=R$4)*(GMW!$NF$2:$NF$150=R$1),0),$C262-1966)</f>
        <v>-1.666873</v>
      </c>
      <c r="S262" s="4" cm="1">
        <f t="array" ref="S262">INDEX(GMW!$A$2:$NF$150,MATCH(1,(GMW!$NE$2:$NE$150=S$3)*(GMW!$ND$2:$ND$150=S$4)*(GMW!$NF$2:$NF$150=S$1),0),$C262-1966)</f>
        <v>773863.8</v>
      </c>
      <c r="T262" s="4" cm="1">
        <f t="array" ref="T262">INDEX(GMW!$A$2:$NF$150,MATCH(1,(GMW!$NE$2:$NE$150=T$3)*(GMW!$ND$2:$ND$150=T$4)*(GMW!$NF$2:$NF$150=T$1),0),$C262-1966)</f>
        <v>174.77449999999999</v>
      </c>
      <c r="U262" s="4" cm="1">
        <f t="array" ref="U262">INDEX(GMW!$A$2:$NF$150,MATCH(1,(GMW!$NE$2:$NE$150=U$3)*(GMW!$ND$2:$ND$150=U$4)*(GMW!$NF$2:$NF$150=U$1),0),$C262-1966)</f>
        <v>229432.8</v>
      </c>
      <c r="V262" s="4" cm="1">
        <f t="array" ref="V262">INDEX(GMW!$A$2:$NF$150,MATCH(1,(GMW!$NE$2:$NE$150=V$3)*(GMW!$ND$2:$ND$150=V$4)*(GMW!$NF$2:$NF$150=V$1),0),$C262-1966)</f>
        <v>85147.81</v>
      </c>
      <c r="W262" s="4" cm="1">
        <f t="array" ref="W262">INDEX(GMW!$A$2:$NF$150,MATCH(1,(GMW!$NE$2:$NE$150=W$3)*(GMW!$ND$2:$ND$150=W$4)*(GMW!$NF$2:$NF$150=W$1),0),$C262-1966)</f>
        <v>255466.6</v>
      </c>
      <c r="X262" s="4" cm="1">
        <f t="array" ref="X262">INDEX(GMW!$A$2:$NF$150,MATCH(1,(GMW!$NE$2:$NE$150=X$3)*(GMW!$ND$2:$ND$150=X$4)*(GMW!$NF$2:$NF$150=X$1),0),$C262-1966)</f>
        <v>136415.5</v>
      </c>
      <c r="Y262" s="4" cm="1">
        <f t="array" ref="Y262">INDEX(GMW!$A$2:$NF$150,MATCH(1,(GMW!$NE$2:$NE$150=Y$3)*(GMW!$ND$2:$ND$150=Y$4)*(GMW!$NF$2:$NF$150=Y$1),0),$C262-1966)</f>
        <v>145824.79999999999</v>
      </c>
      <c r="Z262" s="4" cm="1">
        <f t="array" ref="Z262">INDEX(GMW!$A$2:$NF$150,MATCH(1,(GMW!$NE$2:$NE$150=Z$3)*(GMW!$ND$2:$ND$150=Z$4)*(GMW!$NF$2:$NF$150=Z$1),0),$C262-1966)</f>
        <v>83444.92</v>
      </c>
      <c r="AA262" s="4" cm="1">
        <f t="array" ref="AA262">INDEX(GMW!$A$2:$NF$150,MATCH(1,(GMW!$NE$2:$NE$150=AA$3)*(GMW!$ND$2:$ND$150=AA$4)*(GMW!$NF$2:$NF$150=AA$1),0),$C262-1966)</f>
        <v>773863.4</v>
      </c>
      <c r="AB262" s="4" cm="1">
        <f t="array" ref="AB262">INDEX(GMW!$A$2:$NF$150,MATCH(1,(GMW!$NE$2:$NE$150=AB$3)*(GMW!$ND$2:$ND$150=AB$4)*(GMW!$NF$2:$NF$150=AB$1),0),$C262-1966)</f>
        <v>37243.29</v>
      </c>
      <c r="AC262" s="4" cm="1">
        <f t="array" ref="AC262">INDEX(GMW!$A$2:$NF$150,MATCH(1,(GMW!$NE$2:$NE$150=AC$3)*(GMW!$ND$2:$ND$150=AC$4)*(GMW!$NF$2:$NF$150=AC$1),0),$C262-1966)</f>
        <v>31.98583</v>
      </c>
      <c r="AD262" s="4" cm="1">
        <f t="array" ref="AD262">INDEX(GMW!$A$2:$NF$150,MATCH(1,(GMW!$NE$2:$NE$150=AD$3)*(GMW!$ND$2:$ND$150=AD$4)*(GMW!$NF$2:$NF$150=AD$1),0),$C262-1966)</f>
        <v>674790.1</v>
      </c>
      <c r="AE262" s="4" cm="1">
        <f t="array" ref="AE262">INDEX(GMW!$A$2:$NF$150,MATCH(1,(GMW!$NE$2:$NE$150=AE$3)*(GMW!$ND$2:$ND$150=AE$4)*(GMW!$NF$2:$NF$150=AE$1),0),$C262-1966)</f>
        <v>45941.89</v>
      </c>
      <c r="AF262" s="4" cm="1">
        <f t="array" ref="AF262">INDEX(GMW!$A$2:$NF$150,MATCH(1,(GMW!$NE$2:$NE$150=AF$3)*(GMW!$ND$2:$ND$150=AF$4)*(GMW!$NF$2:$NF$150=AF$1),0),$C262-1966)</f>
        <v>4057312</v>
      </c>
      <c r="AG262" s="4" cm="1">
        <f t="array" ref="AG262">INDEX(GMW!$A$2:$NF$150,MATCH(1,(GMW!$NE$2:$NE$150=AG$3)*(GMW!$ND$2:$ND$150=AG$4)*(GMW!$NF$2:$NF$150=AG$1),0),$C262-1966)</f>
        <v>-1.664779</v>
      </c>
      <c r="AH262" s="4" cm="1">
        <f t="array" ref="AH262">INDEX(GMW!$A$2:$NF$150,MATCH(1,(GMW!$NE$2:$NE$150=AH$3)*(GMW!$ND$2:$ND$150=AH$4)*(GMW!$NF$2:$NF$150=AH$1),0),$C262-1966)</f>
        <v>775103.1</v>
      </c>
      <c r="AI262" s="4" cm="1">
        <f t="array" ref="AI262">INDEX(GMW!$A$2:$NF$150,MATCH(1,(GMW!$NE$2:$NE$150=AI$3)*(GMW!$ND$2:$ND$150=AI$4)*(GMW!$NF$2:$NF$150=AI$1),0),$C262-1966)</f>
        <v>173.66579999999999</v>
      </c>
      <c r="AJ262" s="4" cm="1">
        <f t="array" ref="AJ262">INDEX(GMW!$A$2:$NF$150,MATCH(1,(GMW!$NE$2:$NE$150=AJ$3)*(GMW!$ND$2:$ND$150=AJ$4)*(GMW!$NF$2:$NF$150=AJ$1),0),$C262-1966)</f>
        <v>234789.6</v>
      </c>
      <c r="AK262" s="4" cm="1">
        <f t="array" ref="AK262">INDEX(GMW!$A$2:$NF$150,MATCH(1,(GMW!$NE$2:$NE$150=AK$3)*(GMW!$ND$2:$ND$150=AK$4)*(GMW!$NF$2:$NF$150=AK$1),0),$C262-1966)</f>
        <v>87823.24</v>
      </c>
      <c r="AL262" s="4" cm="1">
        <f t="array" ref="AL262">INDEX(GMW!$A$2:$NF$150,MATCH(1,(GMW!$NE$2:$NE$150=AL$3)*(GMW!$ND$2:$ND$150=AL$4)*(GMW!$NF$2:$NF$150=AL$1),0),$C262-1966)</f>
        <v>259969.9</v>
      </c>
      <c r="AM262" s="4" cm="1">
        <f t="array" ref="AM262">INDEX(GMW!$A$2:$NF$150,MATCH(1,(GMW!$NE$2:$NE$150=AM$3)*(GMW!$ND$2:$ND$150=AM$4)*(GMW!$NF$2:$NF$150=AM$1),0),$C262-1966)</f>
        <v>139863</v>
      </c>
      <c r="AN262" s="4" cm="1">
        <f t="array" ref="AN262">INDEX(GMW!$A$2:$NF$150,MATCH(1,(GMW!$NE$2:$NE$150=AN$3)*(GMW!$ND$2:$ND$150=AN$4)*(GMW!$NF$2:$NF$150=AN$1),0),$C262-1966)</f>
        <v>145979.70000000001</v>
      </c>
      <c r="AO262" s="4" cm="1">
        <f t="array" ref="AO262">INDEX(GMW!$A$2:$NF$150,MATCH(1,(GMW!$NE$2:$NE$150=AO$3)*(GMW!$ND$2:$ND$150=AO$4)*(GMW!$NF$2:$NF$150=AO$1),0),$C262-1966)</f>
        <v>84641.2</v>
      </c>
      <c r="AP262" s="4" cm="1">
        <f t="array" ref="AP262">INDEX(GMW!$A$2:$NF$150,MATCH(1,(GMW!$NE$2:$NE$150=AP$3)*(GMW!$ND$2:$ND$150=AP$4)*(GMW!$NF$2:$NF$150=AP$1),0),$C262-1966)</f>
        <v>775103.6</v>
      </c>
      <c r="AQ262" s="4" cm="1">
        <f t="array" ref="AQ262">INDEX(GMW!$A$2:$NF$150,MATCH(1,(GMW!$NE$2:$NE$150=AQ$3)*(GMW!$ND$2:$ND$150=AQ$4)*(GMW!$NF$2:$NF$150=AQ$1),0),$C262-1966)</f>
        <v>37195.089999999997</v>
      </c>
      <c r="AR262" s="4" cm="1">
        <f t="array" ref="AR262">INDEX(GMW!$A$2:$NF$150,MATCH(1,(GMW!$NE$2:$NE$150=AR$3)*(GMW!$ND$2:$ND$150=AR$4)*(GMW!$NF$2:$NF$150=AR$1),0),$C262-1966)</f>
        <v>31.98583</v>
      </c>
      <c r="AS262" s="4" cm="1">
        <f t="array" ref="AS262">INDEX(GMW!$A$2:$NF$150,MATCH(1,(GMW!$NE$2:$NE$150=AS$3)*(GMW!$ND$2:$ND$150=AS$4)*(GMW!$NF$2:$NF$150=AS$1),0),$C262-1966)</f>
        <v>670982.30000000005</v>
      </c>
      <c r="AT262" s="4" cm="1">
        <f t="array" ref="AT262">INDEX(GMW!$A$2:$NF$150,MATCH(1,(GMW!$NE$2:$NE$150=AT$3)*(GMW!$ND$2:$ND$150=AT$4)*(GMW!$NF$2:$NF$150=AT$1),0),$C262-1966)</f>
        <v>45675.76</v>
      </c>
      <c r="AU262" s="4" cm="1">
        <f t="array" ref="AU262">INDEX(GMW!$A$2:$NF$150,MATCH(1,(GMW!$NE$2:$NE$150=AU$3)*(GMW!$ND$2:$ND$150=AU$4)*(GMW!$NF$2:$NF$150=AU$1),0),$C262-1966)</f>
        <v>4065852</v>
      </c>
      <c r="AV262" s="4" cm="1">
        <f t="array" ref="AV262">INDEX(GMW!$A$2:$NF$150,MATCH(1,(GMW!$NE$2:$NE$150=AV$3)*(GMW!$ND$2:$ND$150=AV$4)*(GMW!$NF$2:$NF$150=AV$1),0),$C262-1966)</f>
        <v>-1.663114</v>
      </c>
    </row>
    <row r="263" spans="1:48" x14ac:dyDescent="0.25">
      <c r="A263" s="4">
        <v>2037</v>
      </c>
      <c r="B263" s="4">
        <f t="shared" si="10"/>
        <v>2037</v>
      </c>
      <c r="C263" s="4">
        <f t="shared" si="11"/>
        <v>2229</v>
      </c>
      <c r="D263" s="4" cm="1">
        <f t="array" ref="D263">INDEX(GMW!$A$2:$NF$150,MATCH(1,(GMW!$NE$2:$NE$150=D$3)*(GMW!$ND$2:$ND$150=D$4)*(GMW!$NF$2:$NF$150=D$1),0),$C263-1966)</f>
        <v>771181.2</v>
      </c>
      <c r="E263" s="4" cm="1">
        <f t="array" ref="E263">INDEX(GMW!$A$2:$NF$150,MATCH(1,(GMW!$NE$2:$NE$150=E$3)*(GMW!$ND$2:$ND$150=E$4)*(GMW!$NF$2:$NF$150=E$1),0),$C263-1966)</f>
        <v>175.2544</v>
      </c>
      <c r="F263" s="4" cm="1">
        <f t="array" ref="F263">INDEX(GMW!$A$2:$NF$150,MATCH(1,(GMW!$NE$2:$NE$150=F$3)*(GMW!$ND$2:$ND$150=F$4)*(GMW!$NF$2:$NF$150=F$1),0),$C263-1966)</f>
        <v>240141.1</v>
      </c>
      <c r="G263" s="4" cm="1">
        <f t="array" ref="G263">INDEX(GMW!$A$2:$NF$150,MATCH(1,(GMW!$NE$2:$NE$150=G$3)*(GMW!$ND$2:$ND$150=G$4)*(GMW!$NF$2:$NF$150=G$1),0),$C263-1966)</f>
        <v>81132.59</v>
      </c>
      <c r="H263" s="4" cm="1">
        <f t="array" ref="H263">INDEX(GMW!$A$2:$NF$150,MATCH(1,(GMW!$NE$2:$NE$150=H$3)*(GMW!$ND$2:$ND$150=H$4)*(GMW!$NF$2:$NF$150=H$1),0),$C263-1966)</f>
        <v>264751.5</v>
      </c>
      <c r="I263" s="4" cm="1">
        <f t="array" ref="I263">INDEX(GMW!$A$2:$NF$150,MATCH(1,(GMW!$NE$2:$NE$150=I$3)*(GMW!$ND$2:$ND$150=I$4)*(GMW!$NF$2:$NF$150=I$1),0),$C263-1966)</f>
        <v>142542.6</v>
      </c>
      <c r="J263" s="4" cm="1">
        <f t="array" ref="J263">INDEX(GMW!$A$2:$NF$150,MATCH(1,(GMW!$NE$2:$NE$150=J$3)*(GMW!$ND$2:$ND$150=J$4)*(GMW!$NF$2:$NF$150=J$1),0),$C263-1966)</f>
        <v>144070.39999999999</v>
      </c>
      <c r="K263" s="4" cm="1">
        <f t="array" ref="K263">INDEX(GMW!$A$2:$NF$150,MATCH(1,(GMW!$NE$2:$NE$150=K$3)*(GMW!$ND$2:$ND$150=K$4)*(GMW!$NF$2:$NF$150=K$1),0),$C263-1966)</f>
        <v>81010.14</v>
      </c>
      <c r="L263" s="4" cm="1">
        <f t="array" ref="L263">INDEX(GMW!$A$2:$NF$150,MATCH(1,(GMW!$NE$2:$NE$150=L$3)*(GMW!$ND$2:$ND$150=L$4)*(GMW!$NF$2:$NF$150=L$1),0),$C263-1966)</f>
        <v>771180.3</v>
      </c>
      <c r="M263" s="4" cm="1">
        <f t="array" ref="M263">INDEX(GMW!$A$2:$NF$150,MATCH(1,(GMW!$NE$2:$NE$150=M$3)*(GMW!$ND$2:$ND$150=M$4)*(GMW!$NF$2:$NF$150=M$1),0),$C263-1966)</f>
        <v>37289.040000000001</v>
      </c>
      <c r="N263" s="4" cm="1">
        <f t="array" ref="N263">INDEX(GMW!$A$2:$NF$150,MATCH(1,(GMW!$NE$2:$NE$150=N$3)*(GMW!$ND$2:$ND$150=N$4)*(GMW!$NF$2:$NF$150=N$1),0),$C263-1966)</f>
        <v>31.98526</v>
      </c>
      <c r="O263" s="4" cm="1">
        <f t="array" ref="O263">INDEX(GMW!$A$2:$NF$150,MATCH(1,(GMW!$NE$2:$NE$150=O$3)*(GMW!$ND$2:$ND$150=O$4)*(GMW!$NF$2:$NF$150=O$1),0),$C263-1966)</f>
        <v>675538.2</v>
      </c>
      <c r="P263" s="4" cm="1">
        <f t="array" ref="P263">INDEX(GMW!$A$2:$NF$150,MATCH(1,(GMW!$NE$2:$NE$150=P$3)*(GMW!$ND$2:$ND$150=P$4)*(GMW!$NF$2:$NF$150=P$1),0),$C263-1966)</f>
        <v>45956.08</v>
      </c>
      <c r="Q263" s="4" cm="1">
        <f t="array" ref="Q263">INDEX(GMW!$A$2:$NF$150,MATCH(1,(GMW!$NE$2:$NE$150=Q$3)*(GMW!$ND$2:$ND$150=Q$4)*(GMW!$NF$2:$NF$150=Q$1),0),$C263-1966)</f>
        <v>4014370</v>
      </c>
      <c r="R263" s="4" cm="1">
        <f t="array" ref="R263">INDEX(GMW!$A$2:$NF$150,MATCH(1,(GMW!$NE$2:$NE$150=R$3)*(GMW!$ND$2:$ND$150=R$4)*(GMW!$NF$2:$NF$150=R$1),0),$C263-1966)</f>
        <v>-1.6656230000000001</v>
      </c>
      <c r="S263" s="4" cm="1">
        <f t="array" ref="S263">INDEX(GMW!$A$2:$NF$150,MATCH(1,(GMW!$NE$2:$NE$150=S$3)*(GMW!$ND$2:$ND$150=S$4)*(GMW!$NF$2:$NF$150=S$1),0),$C263-1966)</f>
        <v>776888.9</v>
      </c>
      <c r="T263" s="4" cm="1">
        <f t="array" ref="T263">INDEX(GMW!$A$2:$NF$150,MATCH(1,(GMW!$NE$2:$NE$150=T$3)*(GMW!$ND$2:$ND$150=T$4)*(GMW!$NF$2:$NF$150=T$1),0),$C263-1966)</f>
        <v>175.0694</v>
      </c>
      <c r="U263" s="4" cm="1">
        <f t="array" ref="U263">INDEX(GMW!$A$2:$NF$150,MATCH(1,(GMW!$NE$2:$NE$150=U$3)*(GMW!$ND$2:$ND$150=U$4)*(GMW!$NF$2:$NF$150=U$1),0),$C263-1966)</f>
        <v>230218.7</v>
      </c>
      <c r="V263" s="4" cm="1">
        <f t="array" ref="V263">INDEX(GMW!$A$2:$NF$150,MATCH(1,(GMW!$NE$2:$NE$150=V$3)*(GMW!$ND$2:$ND$150=V$4)*(GMW!$NF$2:$NF$150=V$1),0),$C263-1966)</f>
        <v>85395.51</v>
      </c>
      <c r="W263" s="4" cm="1">
        <f t="array" ref="W263">INDEX(GMW!$A$2:$NF$150,MATCH(1,(GMW!$NE$2:$NE$150=W$3)*(GMW!$ND$2:$ND$150=W$4)*(GMW!$NF$2:$NF$150=W$1),0),$C263-1966)</f>
        <v>256433.3</v>
      </c>
      <c r="X263" s="4" cm="1">
        <f t="array" ref="X263">INDEX(GMW!$A$2:$NF$150,MATCH(1,(GMW!$NE$2:$NE$150=X$3)*(GMW!$ND$2:$ND$150=X$4)*(GMW!$NF$2:$NF$150=X$1),0),$C263-1966)</f>
        <v>136910.6</v>
      </c>
      <c r="Y263" s="4" cm="1">
        <f t="array" ref="Y263">INDEX(GMW!$A$2:$NF$150,MATCH(1,(GMW!$NE$2:$NE$150=Y$3)*(GMW!$ND$2:$ND$150=Y$4)*(GMW!$NF$2:$NF$150=Y$1),0),$C263-1966)</f>
        <v>146562.29999999999</v>
      </c>
      <c r="Z263" s="4" cm="1">
        <f t="array" ref="Z263">INDEX(GMW!$A$2:$NF$150,MATCH(1,(GMW!$NE$2:$NE$150=Z$3)*(GMW!$ND$2:$ND$150=Z$4)*(GMW!$NF$2:$NF$150=Z$1),0),$C263-1966)</f>
        <v>83906.71</v>
      </c>
      <c r="AA263" s="4" cm="1">
        <f t="array" ref="AA263">INDEX(GMW!$A$2:$NF$150,MATCH(1,(GMW!$NE$2:$NE$150=AA$3)*(GMW!$ND$2:$ND$150=AA$4)*(GMW!$NF$2:$NF$150=AA$1),0),$C263-1966)</f>
        <v>776887.8</v>
      </c>
      <c r="AB263" s="4" cm="1">
        <f t="array" ref="AB263">INDEX(GMW!$A$2:$NF$150,MATCH(1,(GMW!$NE$2:$NE$150=AB$3)*(GMW!$ND$2:$ND$150=AB$4)*(GMW!$NF$2:$NF$150=AB$1),0),$C263-1966)</f>
        <v>37289.040000000001</v>
      </c>
      <c r="AC263" s="4" cm="1">
        <f t="array" ref="AC263">INDEX(GMW!$A$2:$NF$150,MATCH(1,(GMW!$NE$2:$NE$150=AC$3)*(GMW!$ND$2:$ND$150=AC$4)*(GMW!$NF$2:$NF$150=AC$1),0),$C263-1966)</f>
        <v>31.98526</v>
      </c>
      <c r="AD263" s="4" cm="1">
        <f t="array" ref="AD263">INDEX(GMW!$A$2:$NF$150,MATCH(1,(GMW!$NE$2:$NE$150=AD$3)*(GMW!$ND$2:$ND$150=AD$4)*(GMW!$NF$2:$NF$150=AD$1),0),$C263-1966)</f>
        <v>675538.2</v>
      </c>
      <c r="AE263" s="4" cm="1">
        <f t="array" ref="AE263">INDEX(GMW!$A$2:$NF$150,MATCH(1,(GMW!$NE$2:$NE$150=AE$3)*(GMW!$ND$2:$ND$150=AE$4)*(GMW!$NF$2:$NF$150=AE$1),0),$C263-1966)</f>
        <v>45956.08</v>
      </c>
      <c r="AF263" s="4" cm="1">
        <f t="array" ref="AF263">INDEX(GMW!$A$2:$NF$150,MATCH(1,(GMW!$NE$2:$NE$150=AF$3)*(GMW!$ND$2:$ND$150=AF$4)*(GMW!$NF$2:$NF$150=AF$1),0),$C263-1966)</f>
        <v>4076283</v>
      </c>
      <c r="AG263" s="4" cm="1">
        <f t="array" ref="AG263">INDEX(GMW!$A$2:$NF$150,MATCH(1,(GMW!$NE$2:$NE$150=AG$3)*(GMW!$ND$2:$ND$150=AG$4)*(GMW!$NF$2:$NF$150=AG$1),0),$C263-1966)</f>
        <v>-1.66353</v>
      </c>
      <c r="AH263" s="4" cm="1">
        <f t="array" ref="AH263">INDEX(GMW!$A$2:$NF$150,MATCH(1,(GMW!$NE$2:$NE$150=AH$3)*(GMW!$ND$2:$ND$150=AH$4)*(GMW!$NF$2:$NF$150=AH$1),0),$C263-1966)</f>
        <v>778079.6</v>
      </c>
      <c r="AI263" s="4" cm="1">
        <f t="array" ref="AI263">INDEX(GMW!$A$2:$NF$150,MATCH(1,(GMW!$NE$2:$NE$150=AI$3)*(GMW!$ND$2:$ND$150=AI$4)*(GMW!$NF$2:$NF$150=AI$1),0),$C263-1966)</f>
        <v>173.99549999999999</v>
      </c>
      <c r="AJ263" s="4" cm="1">
        <f t="array" ref="AJ263">INDEX(GMW!$A$2:$NF$150,MATCH(1,(GMW!$NE$2:$NE$150=AJ$3)*(GMW!$ND$2:$ND$150=AJ$4)*(GMW!$NF$2:$NF$150=AJ$1),0),$C263-1966)</f>
        <v>235566.9</v>
      </c>
      <c r="AK263" s="4" cm="1">
        <f t="array" ref="AK263">INDEX(GMW!$A$2:$NF$150,MATCH(1,(GMW!$NE$2:$NE$150=AK$3)*(GMW!$ND$2:$ND$150=AK$4)*(GMW!$NF$2:$NF$150=AK$1),0),$C263-1966)</f>
        <v>88072.69</v>
      </c>
      <c r="AL263" s="4" cm="1">
        <f t="array" ref="AL263">INDEX(GMW!$A$2:$NF$150,MATCH(1,(GMW!$NE$2:$NE$150=AL$3)*(GMW!$ND$2:$ND$150=AL$4)*(GMW!$NF$2:$NF$150=AL$1),0),$C263-1966)</f>
        <v>260928.8</v>
      </c>
      <c r="AM263" s="4" cm="1">
        <f t="array" ref="AM263">INDEX(GMW!$A$2:$NF$150,MATCH(1,(GMW!$NE$2:$NE$150=AM$3)*(GMW!$ND$2:$ND$150=AM$4)*(GMW!$NF$2:$NF$150=AM$1),0),$C263-1966)</f>
        <v>140358.1</v>
      </c>
      <c r="AN263" s="4" cm="1">
        <f t="array" ref="AN263">INDEX(GMW!$A$2:$NF$150,MATCH(1,(GMW!$NE$2:$NE$150=AN$3)*(GMW!$ND$2:$ND$150=AN$4)*(GMW!$NF$2:$NF$150=AN$1),0),$C263-1966)</f>
        <v>146708.79999999999</v>
      </c>
      <c r="AO263" s="4" cm="1">
        <f t="array" ref="AO263">INDEX(GMW!$A$2:$NF$150,MATCH(1,(GMW!$NE$2:$NE$150=AO$3)*(GMW!$ND$2:$ND$150=AO$4)*(GMW!$NF$2:$NF$150=AO$1),0),$C263-1966)</f>
        <v>85103.8</v>
      </c>
      <c r="AP263" s="4" cm="1">
        <f t="array" ref="AP263">INDEX(GMW!$A$2:$NF$150,MATCH(1,(GMW!$NE$2:$NE$150=AP$3)*(GMW!$ND$2:$ND$150=AP$4)*(GMW!$NF$2:$NF$150=AP$1),0),$C263-1966)</f>
        <v>778080.1</v>
      </c>
      <c r="AQ263" s="4" cm="1">
        <f t="array" ref="AQ263">INDEX(GMW!$A$2:$NF$150,MATCH(1,(GMW!$NE$2:$NE$150=AQ$3)*(GMW!$ND$2:$ND$150=AQ$4)*(GMW!$NF$2:$NF$150=AQ$1),0),$C263-1966)</f>
        <v>37236.629999999997</v>
      </c>
      <c r="AR263" s="4" cm="1">
        <f t="array" ref="AR263">INDEX(GMW!$A$2:$NF$150,MATCH(1,(GMW!$NE$2:$NE$150=AR$3)*(GMW!$ND$2:$ND$150=AR$4)*(GMW!$NF$2:$NF$150=AR$1),0),$C263-1966)</f>
        <v>31.98526</v>
      </c>
      <c r="AS263" s="4" cm="1">
        <f t="array" ref="AS263">INDEX(GMW!$A$2:$NF$150,MATCH(1,(GMW!$NE$2:$NE$150=AS$3)*(GMW!$ND$2:$ND$150=AS$4)*(GMW!$NF$2:$NF$150=AS$1),0),$C263-1966)</f>
        <v>671638.1</v>
      </c>
      <c r="AT263" s="4" cm="1">
        <f t="array" ref="AT263">INDEX(GMW!$A$2:$NF$150,MATCH(1,(GMW!$NE$2:$NE$150=AT$3)*(GMW!$ND$2:$ND$150=AT$4)*(GMW!$NF$2:$NF$150=AT$1),0),$C263-1966)</f>
        <v>45683.58</v>
      </c>
      <c r="AU263" s="4" cm="1">
        <f t="array" ref="AU263">INDEX(GMW!$A$2:$NF$150,MATCH(1,(GMW!$NE$2:$NE$150=AU$3)*(GMW!$ND$2:$ND$150=AU$4)*(GMW!$NF$2:$NF$150=AU$1),0),$C263-1966)</f>
        <v>4084892</v>
      </c>
      <c r="AV263" s="4" cm="1">
        <f t="array" ref="AV263">INDEX(GMW!$A$2:$NF$150,MATCH(1,(GMW!$NE$2:$NE$150=AV$3)*(GMW!$ND$2:$ND$150=AV$4)*(GMW!$NF$2:$NF$150=AV$1),0),$C263-1966)</f>
        <v>-1.661867</v>
      </c>
    </row>
    <row r="264" spans="1:48" x14ac:dyDescent="0.25">
      <c r="B264" s="4">
        <f t="shared" si="10"/>
        <v>2037</v>
      </c>
      <c r="C264" s="4">
        <f t="shared" si="11"/>
        <v>2230</v>
      </c>
      <c r="D264" s="4" cm="1">
        <f t="array" ref="D264">INDEX(GMW!$A$2:$NF$150,MATCH(1,(GMW!$NE$2:$NE$150=D$3)*(GMW!$ND$2:$ND$150=D$4)*(GMW!$NF$2:$NF$150=D$1),0),$C264-1966)</f>
        <v>774139.2</v>
      </c>
      <c r="E264" s="4" cm="1">
        <f t="array" ref="E264">INDEX(GMW!$A$2:$NF$150,MATCH(1,(GMW!$NE$2:$NE$150=E$3)*(GMW!$ND$2:$ND$150=E$4)*(GMW!$NF$2:$NF$150=E$1),0),$C264-1966)</f>
        <v>176.8081</v>
      </c>
      <c r="F264" s="4" cm="1">
        <f t="array" ref="F264">INDEX(GMW!$A$2:$NF$150,MATCH(1,(GMW!$NE$2:$NE$150=F$3)*(GMW!$ND$2:$ND$150=F$4)*(GMW!$NF$2:$NF$150=F$1),0),$C264-1966)</f>
        <v>240963.6</v>
      </c>
      <c r="G264" s="4" cm="1">
        <f t="array" ref="G264">INDEX(GMW!$A$2:$NF$150,MATCH(1,(GMW!$NE$2:$NE$150=G$3)*(GMW!$ND$2:$ND$150=G$4)*(GMW!$NF$2:$NF$150=G$1),0),$C264-1966)</f>
        <v>81362.66</v>
      </c>
      <c r="H264" s="4" cm="1">
        <f t="array" ref="H264">INDEX(GMW!$A$2:$NF$150,MATCH(1,(GMW!$NE$2:$NE$150=H$3)*(GMW!$ND$2:$ND$150=H$4)*(GMW!$NF$2:$NF$150=H$1),0),$C264-1966)</f>
        <v>265744.59999999998</v>
      </c>
      <c r="I264" s="4" cm="1">
        <f t="array" ref="I264">INDEX(GMW!$A$2:$NF$150,MATCH(1,(GMW!$NE$2:$NE$150=I$3)*(GMW!$ND$2:$ND$150=I$4)*(GMW!$NF$2:$NF$150=I$1),0),$C264-1966)</f>
        <v>143049.5</v>
      </c>
      <c r="J264" s="4" cm="1">
        <f t="array" ref="J264">INDEX(GMW!$A$2:$NF$150,MATCH(1,(GMW!$NE$2:$NE$150=J$3)*(GMW!$ND$2:$ND$150=J$4)*(GMW!$NF$2:$NF$150=J$1),0),$C264-1966)</f>
        <v>144793.4</v>
      </c>
      <c r="K264" s="4" cm="1">
        <f t="array" ref="K264">INDEX(GMW!$A$2:$NF$150,MATCH(1,(GMW!$NE$2:$NE$150=K$3)*(GMW!$ND$2:$ND$150=K$4)*(GMW!$NF$2:$NF$150=K$1),0),$C264-1966)</f>
        <v>81458.59</v>
      </c>
      <c r="L264" s="4" cm="1">
        <f t="array" ref="L264">INDEX(GMW!$A$2:$NF$150,MATCH(1,(GMW!$NE$2:$NE$150=L$3)*(GMW!$ND$2:$ND$150=L$4)*(GMW!$NF$2:$NF$150=L$1),0),$C264-1966)</f>
        <v>774137.3</v>
      </c>
      <c r="M264" s="4" cm="1">
        <f t="array" ref="M264">INDEX(GMW!$A$2:$NF$150,MATCH(1,(GMW!$NE$2:$NE$150=M$3)*(GMW!$ND$2:$ND$150=M$4)*(GMW!$NF$2:$NF$150=M$1),0),$C264-1966)</f>
        <v>37334.79</v>
      </c>
      <c r="N264" s="4" cm="1">
        <f t="array" ref="N264">INDEX(GMW!$A$2:$NF$150,MATCH(1,(GMW!$NE$2:$NE$150=N$3)*(GMW!$ND$2:$ND$150=N$4)*(GMW!$NF$2:$NF$150=N$1),0),$C264-1966)</f>
        <v>31.984690000000001</v>
      </c>
      <c r="O264" s="4" cm="1">
        <f t="array" ref="O264">INDEX(GMW!$A$2:$NF$150,MATCH(1,(GMW!$NE$2:$NE$150=O$3)*(GMW!$ND$2:$ND$150=O$4)*(GMW!$NF$2:$NF$150=O$1),0),$C264-1966)</f>
        <v>676279.9</v>
      </c>
      <c r="P264" s="4" cm="1">
        <f t="array" ref="P264">INDEX(GMW!$A$2:$NF$150,MATCH(1,(GMW!$NE$2:$NE$150=P$3)*(GMW!$ND$2:$ND$150=P$4)*(GMW!$NF$2:$NF$150=P$1),0),$C264-1966)</f>
        <v>45970.27</v>
      </c>
      <c r="Q264" s="4" cm="1">
        <f t="array" ref="Q264">INDEX(GMW!$A$2:$NF$150,MATCH(1,(GMW!$NE$2:$NE$150=Q$3)*(GMW!$ND$2:$ND$150=Q$4)*(GMW!$NF$2:$NF$150=Q$1),0),$C264-1966)</f>
        <v>4032365</v>
      </c>
      <c r="R264" s="4" cm="1">
        <f t="array" ref="R264">INDEX(GMW!$A$2:$NF$150,MATCH(1,(GMW!$NE$2:$NE$150=R$3)*(GMW!$ND$2:$ND$150=R$4)*(GMW!$NF$2:$NF$150=R$1),0),$C264-1966)</f>
        <v>-1.664374</v>
      </c>
      <c r="S264" s="4" cm="1">
        <f t="array" ref="S264">INDEX(GMW!$A$2:$NF$150,MATCH(1,(GMW!$NE$2:$NE$150=S$3)*(GMW!$ND$2:$ND$150=S$4)*(GMW!$NF$2:$NF$150=S$1),0),$C264-1966)</f>
        <v>779926.5</v>
      </c>
      <c r="T264" s="4" cm="1">
        <f t="array" ref="T264">INDEX(GMW!$A$2:$NF$150,MATCH(1,(GMW!$NE$2:$NE$150=T$3)*(GMW!$ND$2:$ND$150=T$4)*(GMW!$NF$2:$NF$150=T$1),0),$C264-1966)</f>
        <v>176.65770000000001</v>
      </c>
      <c r="U264" s="4" cm="1">
        <f t="array" ref="U264">INDEX(GMW!$A$2:$NF$150,MATCH(1,(GMW!$NE$2:$NE$150=U$3)*(GMW!$ND$2:$ND$150=U$4)*(GMW!$NF$2:$NF$150=U$1),0),$C264-1966)</f>
        <v>231008.1</v>
      </c>
      <c r="V264" s="4" cm="1">
        <f t="array" ref="V264">INDEX(GMW!$A$2:$NF$150,MATCH(1,(GMW!$NE$2:$NE$150=V$3)*(GMW!$ND$2:$ND$150=V$4)*(GMW!$NF$2:$NF$150=V$1),0),$C264-1966)</f>
        <v>85644.01</v>
      </c>
      <c r="W264" s="4" cm="1">
        <f t="array" ref="W264">INDEX(GMW!$A$2:$NF$150,MATCH(1,(GMW!$NE$2:$NE$150=W$3)*(GMW!$ND$2:$ND$150=W$4)*(GMW!$NF$2:$NF$150=W$1),0),$C264-1966)</f>
        <v>257404.1</v>
      </c>
      <c r="X264" s="4" cm="1">
        <f t="array" ref="X264">INDEX(GMW!$A$2:$NF$150,MATCH(1,(GMW!$NE$2:$NE$150=X$3)*(GMW!$ND$2:$ND$150=X$4)*(GMW!$NF$2:$NF$150=X$1),0),$C264-1966)</f>
        <v>137407.5</v>
      </c>
      <c r="Y264" s="4" cm="1">
        <f t="array" ref="Y264">INDEX(GMW!$A$2:$NF$150,MATCH(1,(GMW!$NE$2:$NE$150=Y$3)*(GMW!$ND$2:$ND$150=Y$4)*(GMW!$NF$2:$NF$150=Y$1),0),$C264-1966)</f>
        <v>147303.79999999999</v>
      </c>
      <c r="Z264" s="4" cm="1">
        <f t="array" ref="Z264">INDEX(GMW!$A$2:$NF$150,MATCH(1,(GMW!$NE$2:$NE$150=Z$3)*(GMW!$ND$2:$ND$150=Z$4)*(GMW!$NF$2:$NF$150=Z$1),0),$C264-1966)</f>
        <v>84371.13</v>
      </c>
      <c r="AA264" s="4" cm="1">
        <f t="array" ref="AA264">INDEX(GMW!$A$2:$NF$150,MATCH(1,(GMW!$NE$2:$NE$150=AA$3)*(GMW!$ND$2:$ND$150=AA$4)*(GMW!$NF$2:$NF$150=AA$1),0),$C264-1966)</f>
        <v>779926.3</v>
      </c>
      <c r="AB264" s="4" cm="1">
        <f t="array" ref="AB264">INDEX(GMW!$A$2:$NF$150,MATCH(1,(GMW!$NE$2:$NE$150=AB$3)*(GMW!$ND$2:$ND$150=AB$4)*(GMW!$NF$2:$NF$150=AB$1),0),$C264-1966)</f>
        <v>37334.79</v>
      </c>
      <c r="AC264" s="4" cm="1">
        <f t="array" ref="AC264">INDEX(GMW!$A$2:$NF$150,MATCH(1,(GMW!$NE$2:$NE$150=AC$3)*(GMW!$ND$2:$ND$150=AC$4)*(GMW!$NF$2:$NF$150=AC$1),0),$C264-1966)</f>
        <v>31.984690000000001</v>
      </c>
      <c r="AD264" s="4" cm="1">
        <f t="array" ref="AD264">INDEX(GMW!$A$2:$NF$150,MATCH(1,(GMW!$NE$2:$NE$150=AD$3)*(GMW!$ND$2:$ND$150=AD$4)*(GMW!$NF$2:$NF$150=AD$1),0),$C264-1966)</f>
        <v>676279.9</v>
      </c>
      <c r="AE264" s="4" cm="1">
        <f t="array" ref="AE264">INDEX(GMW!$A$2:$NF$150,MATCH(1,(GMW!$NE$2:$NE$150=AE$3)*(GMW!$ND$2:$ND$150=AE$4)*(GMW!$NF$2:$NF$150=AE$1),0),$C264-1966)</f>
        <v>45970.27</v>
      </c>
      <c r="AF264" s="4" cm="1">
        <f t="array" ref="AF264">INDEX(GMW!$A$2:$NF$150,MATCH(1,(GMW!$NE$2:$NE$150=AF$3)*(GMW!$ND$2:$ND$150=AF$4)*(GMW!$NF$2:$NF$150=AF$1),0),$C264-1966)</f>
        <v>4095412</v>
      </c>
      <c r="AG264" s="4" cm="1">
        <f t="array" ref="AG264">INDEX(GMW!$A$2:$NF$150,MATCH(1,(GMW!$NE$2:$NE$150=AG$3)*(GMW!$ND$2:$ND$150=AG$4)*(GMW!$NF$2:$NF$150=AG$1),0),$C264-1966)</f>
        <v>-1.662282</v>
      </c>
      <c r="AH264" s="4" cm="1">
        <f t="array" ref="AH264">INDEX(GMW!$A$2:$NF$150,MATCH(1,(GMW!$NE$2:$NE$150=AH$3)*(GMW!$ND$2:$ND$150=AH$4)*(GMW!$NF$2:$NF$150=AH$1),0),$C264-1966)</f>
        <v>781068</v>
      </c>
      <c r="AI264" s="4" cm="1">
        <f t="array" ref="AI264">INDEX(GMW!$A$2:$NF$150,MATCH(1,(GMW!$NE$2:$NE$150=AI$3)*(GMW!$ND$2:$ND$150=AI$4)*(GMW!$NF$2:$NF$150=AI$1),0),$C264-1966)</f>
        <v>175.4923</v>
      </c>
      <c r="AJ264" s="4" cm="1">
        <f t="array" ref="AJ264">INDEX(GMW!$A$2:$NF$150,MATCH(1,(GMW!$NE$2:$NE$150=AJ$3)*(GMW!$ND$2:$ND$150=AJ$4)*(GMW!$NF$2:$NF$150=AJ$1),0),$C264-1966)</f>
        <v>236347.7</v>
      </c>
      <c r="AK264" s="4" cm="1">
        <f t="array" ref="AK264">INDEX(GMW!$A$2:$NF$150,MATCH(1,(GMW!$NE$2:$NE$150=AK$3)*(GMW!$ND$2:$ND$150=AK$4)*(GMW!$NF$2:$NF$150=AK$1),0),$C264-1966)</f>
        <v>88322.880000000005</v>
      </c>
      <c r="AL264" s="4" cm="1">
        <f t="array" ref="AL264">INDEX(GMW!$A$2:$NF$150,MATCH(1,(GMW!$NE$2:$NE$150=AL$3)*(GMW!$ND$2:$ND$150=AL$4)*(GMW!$NF$2:$NF$150=AL$1),0),$C264-1966)</f>
        <v>261891.8</v>
      </c>
      <c r="AM264" s="4" cm="1">
        <f t="array" ref="AM264">INDEX(GMW!$A$2:$NF$150,MATCH(1,(GMW!$NE$2:$NE$150=AM$3)*(GMW!$ND$2:$ND$150=AM$4)*(GMW!$NF$2:$NF$150=AM$1),0),$C264-1966)</f>
        <v>140855.1</v>
      </c>
      <c r="AN264" s="4" cm="1">
        <f t="array" ref="AN264">INDEX(GMW!$A$2:$NF$150,MATCH(1,(GMW!$NE$2:$NE$150=AN$3)*(GMW!$ND$2:$ND$150=AN$4)*(GMW!$NF$2:$NF$150=AN$1),0),$C264-1966)</f>
        <v>147441.70000000001</v>
      </c>
      <c r="AO264" s="4" cm="1">
        <f t="array" ref="AO264">INDEX(GMW!$A$2:$NF$150,MATCH(1,(GMW!$NE$2:$NE$150=AO$3)*(GMW!$ND$2:$ND$150=AO$4)*(GMW!$NF$2:$NF$150=AO$1),0),$C264-1966)</f>
        <v>85568.95</v>
      </c>
      <c r="AP264" s="4" cm="1">
        <f t="array" ref="AP264">INDEX(GMW!$A$2:$NF$150,MATCH(1,(GMW!$NE$2:$NE$150=AP$3)*(GMW!$ND$2:$ND$150=AP$4)*(GMW!$NF$2:$NF$150=AP$1),0),$C264-1966)</f>
        <v>781068.1</v>
      </c>
      <c r="AQ264" s="4" cm="1">
        <f t="array" ref="AQ264">INDEX(GMW!$A$2:$NF$150,MATCH(1,(GMW!$NE$2:$NE$150=AQ$3)*(GMW!$ND$2:$ND$150=AQ$4)*(GMW!$NF$2:$NF$150=AQ$1),0),$C264-1966)</f>
        <v>37278.17</v>
      </c>
      <c r="AR264" s="4" cm="1">
        <f t="array" ref="AR264">INDEX(GMW!$A$2:$NF$150,MATCH(1,(GMW!$NE$2:$NE$150=AR$3)*(GMW!$ND$2:$ND$150=AR$4)*(GMW!$NF$2:$NF$150=AR$1),0),$C264-1966)</f>
        <v>31.984690000000001</v>
      </c>
      <c r="AS264" s="4" cm="1">
        <f t="array" ref="AS264">INDEX(GMW!$A$2:$NF$150,MATCH(1,(GMW!$NE$2:$NE$150=AS$3)*(GMW!$ND$2:$ND$150=AS$4)*(GMW!$NF$2:$NF$150=AS$1),0),$C264-1966)</f>
        <v>672287.6</v>
      </c>
      <c r="AT264" s="4" cm="1">
        <f t="array" ref="AT264">INDEX(GMW!$A$2:$NF$150,MATCH(1,(GMW!$NE$2:$NE$150=AT$3)*(GMW!$ND$2:$ND$150=AT$4)*(GMW!$NF$2:$NF$150=AT$1),0),$C264-1966)</f>
        <v>45691.4</v>
      </c>
      <c r="AU264" s="4" cm="1">
        <f t="array" ref="AU264">INDEX(GMW!$A$2:$NF$150,MATCH(1,(GMW!$NE$2:$NE$150=AU$3)*(GMW!$ND$2:$ND$150=AU$4)*(GMW!$NF$2:$NF$150=AU$1),0),$C264-1966)</f>
        <v>4104082</v>
      </c>
      <c r="AV264" s="4" cm="1">
        <f t="array" ref="AV264">INDEX(GMW!$A$2:$NF$150,MATCH(1,(GMW!$NE$2:$NE$150=AV$3)*(GMW!$ND$2:$ND$150=AV$4)*(GMW!$NF$2:$NF$150=AV$1),0),$C264-1966)</f>
        <v>-1.6606209999999999</v>
      </c>
    </row>
    <row r="265" spans="1:48" x14ac:dyDescent="0.25">
      <c r="B265" s="4">
        <f t="shared" si="10"/>
        <v>2037</v>
      </c>
      <c r="C265" s="4">
        <f t="shared" si="11"/>
        <v>2231</v>
      </c>
      <c r="D265" s="4" cm="1">
        <f t="array" ref="D265">INDEX(GMW!$A$2:$NF$150,MATCH(1,(GMW!$NE$2:$NE$150=D$3)*(GMW!$ND$2:$ND$150=D$4)*(GMW!$NF$2:$NF$150=D$1),0),$C265-1966)</f>
        <v>777111.4</v>
      </c>
      <c r="E265" s="4" cm="1">
        <f t="array" ref="E265">INDEX(GMW!$A$2:$NF$150,MATCH(1,(GMW!$NE$2:$NE$150=E$3)*(GMW!$ND$2:$ND$150=E$4)*(GMW!$NF$2:$NF$150=E$1),0),$C265-1966)</f>
        <v>177.61240000000001</v>
      </c>
      <c r="F265" s="4" cm="1">
        <f t="array" ref="F265">INDEX(GMW!$A$2:$NF$150,MATCH(1,(GMW!$NE$2:$NE$150=F$3)*(GMW!$ND$2:$ND$150=F$4)*(GMW!$NF$2:$NF$150=F$1),0),$C265-1966)</f>
        <v>241790.2</v>
      </c>
      <c r="G265" s="4" cm="1">
        <f t="array" ref="G265">INDEX(GMW!$A$2:$NF$150,MATCH(1,(GMW!$NE$2:$NE$150=G$3)*(GMW!$ND$2:$ND$150=G$4)*(GMW!$NF$2:$NF$150=G$1),0),$C265-1966)</f>
        <v>81593.679999999993</v>
      </c>
      <c r="H265" s="4" cm="1">
        <f t="array" ref="H265">INDEX(GMW!$A$2:$NF$150,MATCH(1,(GMW!$NE$2:$NE$150=H$3)*(GMW!$ND$2:$ND$150=H$4)*(GMW!$NF$2:$NF$150=H$1),0),$C265-1966)</f>
        <v>266742.59999999998</v>
      </c>
      <c r="I265" s="4" cm="1">
        <f t="array" ref="I265">INDEX(GMW!$A$2:$NF$150,MATCH(1,(GMW!$NE$2:$NE$150=I$3)*(GMW!$ND$2:$ND$150=I$4)*(GMW!$NF$2:$NF$150=I$1),0),$C265-1966)</f>
        <v>143558.70000000001</v>
      </c>
      <c r="J265" s="4" cm="1">
        <f t="array" ref="J265">INDEX(GMW!$A$2:$NF$150,MATCH(1,(GMW!$NE$2:$NE$150=J$3)*(GMW!$ND$2:$ND$150=J$4)*(GMW!$NF$2:$NF$150=J$1),0),$C265-1966)</f>
        <v>145520.70000000001</v>
      </c>
      <c r="K265" s="4" cm="1">
        <f t="array" ref="K265">INDEX(GMW!$A$2:$NF$150,MATCH(1,(GMW!$NE$2:$NE$150=K$3)*(GMW!$ND$2:$ND$150=K$4)*(GMW!$NF$2:$NF$150=K$1),0),$C265-1966)</f>
        <v>81909.83</v>
      </c>
      <c r="L265" s="4" cm="1">
        <f t="array" ref="L265">INDEX(GMW!$A$2:$NF$150,MATCH(1,(GMW!$NE$2:$NE$150=L$3)*(GMW!$ND$2:$ND$150=L$4)*(GMW!$NF$2:$NF$150=L$1),0),$C265-1966)</f>
        <v>777110.9</v>
      </c>
      <c r="M265" s="4" cm="1">
        <f t="array" ref="M265">INDEX(GMW!$A$2:$NF$150,MATCH(1,(GMW!$NE$2:$NE$150=M$3)*(GMW!$ND$2:$ND$150=M$4)*(GMW!$NF$2:$NF$150=M$1),0),$C265-1966)</f>
        <v>37380.550000000003</v>
      </c>
      <c r="N265" s="4" cm="1">
        <f t="array" ref="N265">INDEX(GMW!$A$2:$NF$150,MATCH(1,(GMW!$NE$2:$NE$150=N$3)*(GMW!$ND$2:$ND$150=N$4)*(GMW!$NF$2:$NF$150=N$1),0),$C265-1966)</f>
        <v>31.984110000000001</v>
      </c>
      <c r="O265" s="4" cm="1">
        <f t="array" ref="O265">INDEX(GMW!$A$2:$NF$150,MATCH(1,(GMW!$NE$2:$NE$150=O$3)*(GMW!$ND$2:$ND$150=O$4)*(GMW!$NF$2:$NF$150=O$1),0),$C265-1966)</f>
        <v>677006.8</v>
      </c>
      <c r="P265" s="4" cm="1">
        <f t="array" ref="P265">INDEX(GMW!$A$2:$NF$150,MATCH(1,(GMW!$NE$2:$NE$150=P$3)*(GMW!$ND$2:$ND$150=P$4)*(GMW!$NF$2:$NF$150=P$1),0),$C265-1966)</f>
        <v>45983.8</v>
      </c>
      <c r="Q265" s="4" cm="1">
        <f t="array" ref="Q265">INDEX(GMW!$A$2:$NF$150,MATCH(1,(GMW!$NE$2:$NE$150=Q$3)*(GMW!$ND$2:$ND$150=Q$4)*(GMW!$NF$2:$NF$150=Q$1),0),$C265-1966)</f>
        <v>4050535</v>
      </c>
      <c r="R265" s="4" cm="1">
        <f t="array" ref="R265">INDEX(GMW!$A$2:$NF$150,MATCH(1,(GMW!$NE$2:$NE$150=R$3)*(GMW!$ND$2:$ND$150=R$4)*(GMW!$NF$2:$NF$150=R$1),0),$C265-1966)</f>
        <v>-1.663125</v>
      </c>
      <c r="S265" s="4" cm="1">
        <f t="array" ref="S265">INDEX(GMW!$A$2:$NF$150,MATCH(1,(GMW!$NE$2:$NE$150=S$3)*(GMW!$ND$2:$ND$150=S$4)*(GMW!$NF$2:$NF$150=S$1),0),$C265-1966)</f>
        <v>782977</v>
      </c>
      <c r="T265" s="4" cm="1">
        <f t="array" ref="T265">INDEX(GMW!$A$2:$NF$150,MATCH(1,(GMW!$NE$2:$NE$150=T$3)*(GMW!$ND$2:$ND$150=T$4)*(GMW!$NF$2:$NF$150=T$1),0),$C265-1966)</f>
        <v>177.50980000000001</v>
      </c>
      <c r="U265" s="4" cm="1">
        <f t="array" ref="U265">INDEX(GMW!$A$2:$NF$150,MATCH(1,(GMW!$NE$2:$NE$150=U$3)*(GMW!$ND$2:$ND$150=U$4)*(GMW!$NF$2:$NF$150=U$1),0),$C265-1966)</f>
        <v>231801.1</v>
      </c>
      <c r="V265" s="4" cm="1">
        <f t="array" ref="V265">INDEX(GMW!$A$2:$NF$150,MATCH(1,(GMW!$NE$2:$NE$150=V$3)*(GMW!$ND$2:$ND$150=V$4)*(GMW!$NF$2:$NF$150=V$1),0),$C265-1966)</f>
        <v>85893.34</v>
      </c>
      <c r="W265" s="4" cm="1">
        <f t="array" ref="W265">INDEX(GMW!$A$2:$NF$150,MATCH(1,(GMW!$NE$2:$NE$150=W$3)*(GMW!$ND$2:$ND$150=W$4)*(GMW!$NF$2:$NF$150=W$1),0),$C265-1966)</f>
        <v>258379.3</v>
      </c>
      <c r="X265" s="4" cm="1">
        <f t="array" ref="X265">INDEX(GMW!$A$2:$NF$150,MATCH(1,(GMW!$NE$2:$NE$150=X$3)*(GMW!$ND$2:$ND$150=X$4)*(GMW!$NF$2:$NF$150=X$1),0),$C265-1966)</f>
        <v>137906.5</v>
      </c>
      <c r="Y265" s="4" cm="1">
        <f t="array" ref="Y265">INDEX(GMW!$A$2:$NF$150,MATCH(1,(GMW!$NE$2:$NE$150=Y$3)*(GMW!$ND$2:$ND$150=Y$4)*(GMW!$NF$2:$NF$150=Y$1),0),$C265-1966)</f>
        <v>148049.20000000001</v>
      </c>
      <c r="Z265" s="4" cm="1">
        <f t="array" ref="Z265">INDEX(GMW!$A$2:$NF$150,MATCH(1,(GMW!$NE$2:$NE$150=Z$3)*(GMW!$ND$2:$ND$150=Z$4)*(GMW!$NF$2:$NF$150=Z$1),0),$C265-1966)</f>
        <v>84838.23</v>
      </c>
      <c r="AA265" s="4" cm="1">
        <f t="array" ref="AA265">INDEX(GMW!$A$2:$NF$150,MATCH(1,(GMW!$NE$2:$NE$150=AA$3)*(GMW!$ND$2:$ND$150=AA$4)*(GMW!$NF$2:$NF$150=AA$1),0),$C265-1966)</f>
        <v>782976.6</v>
      </c>
      <c r="AB265" s="4" cm="1">
        <f t="array" ref="AB265">INDEX(GMW!$A$2:$NF$150,MATCH(1,(GMW!$NE$2:$NE$150=AB$3)*(GMW!$ND$2:$ND$150=AB$4)*(GMW!$NF$2:$NF$150=AB$1),0),$C265-1966)</f>
        <v>37380.550000000003</v>
      </c>
      <c r="AC265" s="4" cm="1">
        <f t="array" ref="AC265">INDEX(GMW!$A$2:$NF$150,MATCH(1,(GMW!$NE$2:$NE$150=AC$3)*(GMW!$ND$2:$ND$150=AC$4)*(GMW!$NF$2:$NF$150=AC$1),0),$C265-1966)</f>
        <v>31.984110000000001</v>
      </c>
      <c r="AD265" s="4" cm="1">
        <f t="array" ref="AD265">INDEX(GMW!$A$2:$NF$150,MATCH(1,(GMW!$NE$2:$NE$150=AD$3)*(GMW!$ND$2:$ND$150=AD$4)*(GMW!$NF$2:$NF$150=AD$1),0),$C265-1966)</f>
        <v>677006.8</v>
      </c>
      <c r="AE265" s="4" cm="1">
        <f t="array" ref="AE265">INDEX(GMW!$A$2:$NF$150,MATCH(1,(GMW!$NE$2:$NE$150=AE$3)*(GMW!$ND$2:$ND$150=AE$4)*(GMW!$NF$2:$NF$150=AE$1),0),$C265-1966)</f>
        <v>45983.8</v>
      </c>
      <c r="AF265" s="4" cm="1">
        <f t="array" ref="AF265">INDEX(GMW!$A$2:$NF$150,MATCH(1,(GMW!$NE$2:$NE$150=AF$3)*(GMW!$ND$2:$ND$150=AF$4)*(GMW!$NF$2:$NF$150=AF$1),0),$C265-1966)</f>
        <v>4114697</v>
      </c>
      <c r="AG265" s="4" cm="1">
        <f t="array" ref="AG265">INDEX(GMW!$A$2:$NF$150,MATCH(1,(GMW!$NE$2:$NE$150=AG$3)*(GMW!$ND$2:$ND$150=AG$4)*(GMW!$NF$2:$NF$150=AG$1),0),$C265-1966)</f>
        <v>-1.661036</v>
      </c>
      <c r="AH265" s="4" cm="1">
        <f t="array" ref="AH265">INDEX(GMW!$A$2:$NF$150,MATCH(1,(GMW!$NE$2:$NE$150=AH$3)*(GMW!$ND$2:$ND$150=AH$4)*(GMW!$NF$2:$NF$150=AH$1),0),$C265-1966)</f>
        <v>784068.4</v>
      </c>
      <c r="AI265" s="4" cm="1">
        <f t="array" ref="AI265">INDEX(GMW!$A$2:$NF$150,MATCH(1,(GMW!$NE$2:$NE$150=AI$3)*(GMW!$ND$2:$ND$150=AI$4)*(GMW!$NF$2:$NF$150=AI$1),0),$C265-1966)</f>
        <v>176.267</v>
      </c>
      <c r="AJ265" s="4" cm="1">
        <f t="array" ref="AJ265">INDEX(GMW!$A$2:$NF$150,MATCH(1,(GMW!$NE$2:$NE$150=AJ$3)*(GMW!$ND$2:$ND$150=AJ$4)*(GMW!$NF$2:$NF$150=AJ$1),0),$C265-1966)</f>
        <v>237131.8</v>
      </c>
      <c r="AK265" s="4" cm="1">
        <f t="array" ref="AK265">INDEX(GMW!$A$2:$NF$150,MATCH(1,(GMW!$NE$2:$NE$150=AK$3)*(GMW!$ND$2:$ND$150=AK$4)*(GMW!$NF$2:$NF$150=AK$1),0),$C265-1966)</f>
        <v>88573.84</v>
      </c>
      <c r="AL265" s="4" cm="1">
        <f t="array" ref="AL265">INDEX(GMW!$A$2:$NF$150,MATCH(1,(GMW!$NE$2:$NE$150=AL$3)*(GMW!$ND$2:$ND$150=AL$4)*(GMW!$NF$2:$NF$150=AL$1),0),$C265-1966)</f>
        <v>262858.7</v>
      </c>
      <c r="AM265" s="4" cm="1">
        <f t="array" ref="AM265">INDEX(GMW!$A$2:$NF$150,MATCH(1,(GMW!$NE$2:$NE$150=AM$3)*(GMW!$ND$2:$ND$150=AM$4)*(GMW!$NF$2:$NF$150=AM$1),0),$C265-1966)</f>
        <v>141353.9</v>
      </c>
      <c r="AN265" s="4" cm="1">
        <f t="array" ref="AN265">INDEX(GMW!$A$2:$NF$150,MATCH(1,(GMW!$NE$2:$NE$150=AN$3)*(GMW!$ND$2:$ND$150=AN$4)*(GMW!$NF$2:$NF$150=AN$1),0),$C265-1966)</f>
        <v>148178.4</v>
      </c>
      <c r="AO265" s="4" cm="1">
        <f t="array" ref="AO265">INDEX(GMW!$A$2:$NF$150,MATCH(1,(GMW!$NE$2:$NE$150=AO$3)*(GMW!$ND$2:$ND$150=AO$4)*(GMW!$NF$2:$NF$150=AO$1),0),$C265-1966)</f>
        <v>86036.7</v>
      </c>
      <c r="AP265" s="4" cm="1">
        <f t="array" ref="AP265">INDEX(GMW!$A$2:$NF$150,MATCH(1,(GMW!$NE$2:$NE$150=AP$3)*(GMW!$ND$2:$ND$150=AP$4)*(GMW!$NF$2:$NF$150=AP$1),0),$C265-1966)</f>
        <v>784068.3</v>
      </c>
      <c r="AQ265" s="4" cm="1">
        <f t="array" ref="AQ265">INDEX(GMW!$A$2:$NF$150,MATCH(1,(GMW!$NE$2:$NE$150=AQ$3)*(GMW!$ND$2:$ND$150=AQ$4)*(GMW!$NF$2:$NF$150=AQ$1),0),$C265-1966)</f>
        <v>37319.71</v>
      </c>
      <c r="AR265" s="4" cm="1">
        <f t="array" ref="AR265">INDEX(GMW!$A$2:$NF$150,MATCH(1,(GMW!$NE$2:$NE$150=AR$3)*(GMW!$ND$2:$ND$150=AR$4)*(GMW!$NF$2:$NF$150=AR$1),0),$C265-1966)</f>
        <v>31.984110000000001</v>
      </c>
      <c r="AS265" s="4" cm="1">
        <f t="array" ref="AS265">INDEX(GMW!$A$2:$NF$150,MATCH(1,(GMW!$NE$2:$NE$150=AS$3)*(GMW!$ND$2:$ND$150=AS$4)*(GMW!$NF$2:$NF$150=AS$1),0),$C265-1966)</f>
        <v>672937.6</v>
      </c>
      <c r="AT265" s="4" cm="1">
        <f t="array" ref="AT265">INDEX(GMW!$A$2:$NF$150,MATCH(1,(GMW!$NE$2:$NE$150=AT$3)*(GMW!$ND$2:$ND$150=AT$4)*(GMW!$NF$2:$NF$150=AT$1),0),$C265-1966)</f>
        <v>45699.61</v>
      </c>
      <c r="AU265" s="4" cm="1">
        <f t="array" ref="AU265">INDEX(GMW!$A$2:$NF$150,MATCH(1,(GMW!$NE$2:$NE$150=AU$3)*(GMW!$ND$2:$ND$150=AU$4)*(GMW!$NF$2:$NF$150=AU$1),0),$C265-1966)</f>
        <v>4123421</v>
      </c>
      <c r="AV265" s="4" cm="1">
        <f t="array" ref="AV265">INDEX(GMW!$A$2:$NF$150,MATCH(1,(GMW!$NE$2:$NE$150=AV$3)*(GMW!$ND$2:$ND$150=AV$4)*(GMW!$NF$2:$NF$150=AV$1),0),$C265-1966)</f>
        <v>-1.659375</v>
      </c>
    </row>
    <row r="266" spans="1:48" x14ac:dyDescent="0.25">
      <c r="B266" s="4">
        <f t="shared" si="10"/>
        <v>2037</v>
      </c>
      <c r="C266" s="4">
        <f t="shared" si="11"/>
        <v>2232</v>
      </c>
      <c r="D266" s="4" cm="1">
        <f t="array" ref="D266">INDEX(GMW!$A$2:$NF$150,MATCH(1,(GMW!$NE$2:$NE$150=D$3)*(GMW!$ND$2:$ND$150=D$4)*(GMW!$NF$2:$NF$150=D$1),0),$C266-1966)</f>
        <v>780097.9</v>
      </c>
      <c r="E266" s="4" cm="1">
        <f t="array" ref="E266">INDEX(GMW!$A$2:$NF$150,MATCH(1,(GMW!$NE$2:$NE$150=E$3)*(GMW!$ND$2:$ND$150=E$4)*(GMW!$NF$2:$NF$150=E$1),0),$C266-1966)</f>
        <v>178.39429999999999</v>
      </c>
      <c r="F266" s="4" cm="1">
        <f t="array" ref="F266">INDEX(GMW!$A$2:$NF$150,MATCH(1,(GMW!$NE$2:$NE$150=F$3)*(GMW!$ND$2:$ND$150=F$4)*(GMW!$NF$2:$NF$150=F$1),0),$C266-1966)</f>
        <v>242621.2</v>
      </c>
      <c r="G266" s="4" cm="1">
        <f t="array" ref="G266">INDEX(GMW!$A$2:$NF$150,MATCH(1,(GMW!$NE$2:$NE$150=G$3)*(GMW!$ND$2:$ND$150=G$4)*(GMW!$NF$2:$NF$150=G$1),0),$C266-1966)</f>
        <v>81825.66</v>
      </c>
      <c r="H266" s="4" cm="1">
        <f t="array" ref="H266">INDEX(GMW!$A$2:$NF$150,MATCH(1,(GMW!$NE$2:$NE$150=H$3)*(GMW!$ND$2:$ND$150=H$4)*(GMW!$NF$2:$NF$150=H$1),0),$C266-1966)</f>
        <v>267745.59999999998</v>
      </c>
      <c r="I266" s="4" cm="1">
        <f t="array" ref="I266">INDEX(GMW!$A$2:$NF$150,MATCH(1,(GMW!$NE$2:$NE$150=I$3)*(GMW!$ND$2:$ND$150=I$4)*(GMW!$NF$2:$NF$150=I$1),0),$C266-1966)</f>
        <v>144070.20000000001</v>
      </c>
      <c r="J266" s="4" cm="1">
        <f t="array" ref="J266">INDEX(GMW!$A$2:$NF$150,MATCH(1,(GMW!$NE$2:$NE$150=J$3)*(GMW!$ND$2:$ND$150=J$4)*(GMW!$NF$2:$NF$150=J$1),0),$C266-1966)</f>
        <v>146252.20000000001</v>
      </c>
      <c r="K266" s="4" cm="1">
        <f t="array" ref="K266">INDEX(GMW!$A$2:$NF$150,MATCH(1,(GMW!$NE$2:$NE$150=K$3)*(GMW!$ND$2:$ND$150=K$4)*(GMW!$NF$2:$NF$150=K$1),0),$C266-1966)</f>
        <v>82363.86</v>
      </c>
      <c r="L266" s="4" cm="1">
        <f t="array" ref="L266">INDEX(GMW!$A$2:$NF$150,MATCH(1,(GMW!$NE$2:$NE$150=L$3)*(GMW!$ND$2:$ND$150=L$4)*(GMW!$NF$2:$NF$150=L$1),0),$C266-1966)</f>
        <v>780098.1</v>
      </c>
      <c r="M266" s="4" cm="1">
        <f t="array" ref="M266">INDEX(GMW!$A$2:$NF$150,MATCH(1,(GMW!$NE$2:$NE$150=M$3)*(GMW!$ND$2:$ND$150=M$4)*(GMW!$NF$2:$NF$150=M$1),0),$C266-1966)</f>
        <v>37426.300000000003</v>
      </c>
      <c r="N266" s="4" cm="1">
        <f t="array" ref="N266">INDEX(GMW!$A$2:$NF$150,MATCH(1,(GMW!$NE$2:$NE$150=N$3)*(GMW!$ND$2:$ND$150=N$4)*(GMW!$NF$2:$NF$150=N$1),0),$C266-1966)</f>
        <v>31.983540000000001</v>
      </c>
      <c r="O266" s="4" cm="1">
        <f t="array" ref="O266">INDEX(GMW!$A$2:$NF$150,MATCH(1,(GMW!$NE$2:$NE$150=O$3)*(GMW!$ND$2:$ND$150=O$4)*(GMW!$NF$2:$NF$150=O$1),0),$C266-1966)</f>
        <v>677728.6</v>
      </c>
      <c r="P266" s="4" cm="1">
        <f t="array" ref="P266">INDEX(GMW!$A$2:$NF$150,MATCH(1,(GMW!$NE$2:$NE$150=P$3)*(GMW!$ND$2:$ND$150=P$4)*(GMW!$NF$2:$NF$150=P$1),0),$C266-1966)</f>
        <v>45997.34</v>
      </c>
      <c r="Q266" s="4" cm="1">
        <f t="array" ref="Q266">INDEX(GMW!$A$2:$NF$150,MATCH(1,(GMW!$NE$2:$NE$150=Q$3)*(GMW!$ND$2:$ND$150=Q$4)*(GMW!$NF$2:$NF$150=Q$1),0),$C266-1966)</f>
        <v>4068878</v>
      </c>
      <c r="R266" s="4" cm="1">
        <f t="array" ref="R266">INDEX(GMW!$A$2:$NF$150,MATCH(1,(GMW!$NE$2:$NE$150=R$3)*(GMW!$ND$2:$ND$150=R$4)*(GMW!$NF$2:$NF$150=R$1),0),$C266-1966)</f>
        <v>-1.661878</v>
      </c>
      <c r="S266" s="4" cm="1">
        <f t="array" ref="S266">INDEX(GMW!$A$2:$NF$150,MATCH(1,(GMW!$NE$2:$NE$150=S$3)*(GMW!$ND$2:$ND$150=S$4)*(GMW!$NF$2:$NF$150=S$1),0),$C266-1966)</f>
        <v>786040.4</v>
      </c>
      <c r="T266" s="4" cm="1">
        <f t="array" ref="T266">INDEX(GMW!$A$2:$NF$150,MATCH(1,(GMW!$NE$2:$NE$150=T$3)*(GMW!$ND$2:$ND$150=T$4)*(GMW!$NF$2:$NF$150=T$1),0),$C266-1966)</f>
        <v>178.27</v>
      </c>
      <c r="U266" s="4" cm="1">
        <f t="array" ref="U266">INDEX(GMW!$A$2:$NF$150,MATCH(1,(GMW!$NE$2:$NE$150=U$3)*(GMW!$ND$2:$ND$150=U$4)*(GMW!$NF$2:$NF$150=U$1),0),$C266-1966)</f>
        <v>232597.7</v>
      </c>
      <c r="V266" s="4" cm="1">
        <f t="array" ref="V266">INDEX(GMW!$A$2:$NF$150,MATCH(1,(GMW!$NE$2:$NE$150=V$3)*(GMW!$ND$2:$ND$150=V$4)*(GMW!$NF$2:$NF$150=V$1),0),$C266-1966)</f>
        <v>86143.51</v>
      </c>
      <c r="W266" s="4" cm="1">
        <f t="array" ref="W266">INDEX(GMW!$A$2:$NF$150,MATCH(1,(GMW!$NE$2:$NE$150=W$3)*(GMW!$ND$2:$ND$150=W$4)*(GMW!$NF$2:$NF$150=W$1),0),$C266-1966)</f>
        <v>259358.9</v>
      </c>
      <c r="X266" s="4" cm="1">
        <f t="array" ref="X266">INDEX(GMW!$A$2:$NF$150,MATCH(1,(GMW!$NE$2:$NE$150=X$3)*(GMW!$ND$2:$ND$150=X$4)*(GMW!$NF$2:$NF$150=X$1),0),$C266-1966)</f>
        <v>138407.5</v>
      </c>
      <c r="Y266" s="4" cm="1">
        <f t="array" ref="Y266">INDEX(GMW!$A$2:$NF$150,MATCH(1,(GMW!$NE$2:$NE$150=Y$3)*(GMW!$ND$2:$ND$150=Y$4)*(GMW!$NF$2:$NF$150=Y$1),0),$C266-1966)</f>
        <v>148798.6</v>
      </c>
      <c r="Z266" s="4" cm="1">
        <f t="array" ref="Z266">INDEX(GMW!$A$2:$NF$150,MATCH(1,(GMW!$NE$2:$NE$150=Z$3)*(GMW!$ND$2:$ND$150=Z$4)*(GMW!$NF$2:$NF$150=Z$1),0),$C266-1966)</f>
        <v>85308.02</v>
      </c>
      <c r="AA266" s="4" cm="1">
        <f t="array" ref="AA266">INDEX(GMW!$A$2:$NF$150,MATCH(1,(GMW!$NE$2:$NE$150=AA$3)*(GMW!$ND$2:$ND$150=AA$4)*(GMW!$NF$2:$NF$150=AA$1),0),$C266-1966)</f>
        <v>786040.3</v>
      </c>
      <c r="AB266" s="4" cm="1">
        <f t="array" ref="AB266">INDEX(GMW!$A$2:$NF$150,MATCH(1,(GMW!$NE$2:$NE$150=AB$3)*(GMW!$ND$2:$ND$150=AB$4)*(GMW!$NF$2:$NF$150=AB$1),0),$C266-1966)</f>
        <v>37426.300000000003</v>
      </c>
      <c r="AC266" s="4" cm="1">
        <f t="array" ref="AC266">INDEX(GMW!$A$2:$NF$150,MATCH(1,(GMW!$NE$2:$NE$150=AC$3)*(GMW!$ND$2:$ND$150=AC$4)*(GMW!$NF$2:$NF$150=AC$1),0),$C266-1966)</f>
        <v>31.983540000000001</v>
      </c>
      <c r="AD266" s="4" cm="1">
        <f t="array" ref="AD266">INDEX(GMW!$A$2:$NF$150,MATCH(1,(GMW!$NE$2:$NE$150=AD$3)*(GMW!$ND$2:$ND$150=AD$4)*(GMW!$NF$2:$NF$150=AD$1),0),$C266-1966)</f>
        <v>677728.6</v>
      </c>
      <c r="AE266" s="4" cm="1">
        <f t="array" ref="AE266">INDEX(GMW!$A$2:$NF$150,MATCH(1,(GMW!$NE$2:$NE$150=AE$3)*(GMW!$ND$2:$ND$150=AE$4)*(GMW!$NF$2:$NF$150=AE$1),0),$C266-1966)</f>
        <v>45997.34</v>
      </c>
      <c r="AF266" s="4" cm="1">
        <f t="array" ref="AF266">INDEX(GMW!$A$2:$NF$150,MATCH(1,(GMW!$NE$2:$NE$150=AF$3)*(GMW!$ND$2:$ND$150=AF$4)*(GMW!$NF$2:$NF$150=AF$1),0),$C266-1966)</f>
        <v>4134138</v>
      </c>
      <c r="AG266" s="4" cm="1">
        <f t="array" ref="AG266">INDEX(GMW!$A$2:$NF$150,MATCH(1,(GMW!$NE$2:$NE$150=AG$3)*(GMW!$ND$2:$ND$150=AG$4)*(GMW!$NF$2:$NF$150=AG$1),0),$C266-1966)</f>
        <v>-1.6597900000000001</v>
      </c>
      <c r="AH266" s="4" cm="1">
        <f t="array" ref="AH266">INDEX(GMW!$A$2:$NF$150,MATCH(1,(GMW!$NE$2:$NE$150=AH$3)*(GMW!$ND$2:$ND$150=AH$4)*(GMW!$NF$2:$NF$150=AH$1),0),$C266-1966)</f>
        <v>787080.8</v>
      </c>
      <c r="AI266" s="4" cm="1">
        <f t="array" ref="AI266">INDEX(GMW!$A$2:$NF$150,MATCH(1,(GMW!$NE$2:$NE$150=AI$3)*(GMW!$ND$2:$ND$150=AI$4)*(GMW!$NF$2:$NF$150=AI$1),0),$C266-1966)</f>
        <v>177.13910000000001</v>
      </c>
      <c r="AJ266" s="4" cm="1">
        <f t="array" ref="AJ266">INDEX(GMW!$A$2:$NF$150,MATCH(1,(GMW!$NE$2:$NE$150=AJ$3)*(GMW!$ND$2:$ND$150=AJ$4)*(GMW!$NF$2:$NF$150=AJ$1),0),$C266-1966)</f>
        <v>237919.3</v>
      </c>
      <c r="AK266" s="4" cm="1">
        <f t="array" ref="AK266">INDEX(GMW!$A$2:$NF$150,MATCH(1,(GMW!$NE$2:$NE$150=AK$3)*(GMW!$ND$2:$ND$150=AK$4)*(GMW!$NF$2:$NF$150=AK$1),0),$C266-1966)</f>
        <v>88825.55</v>
      </c>
      <c r="AL266" s="4" cm="1">
        <f t="array" ref="AL266">INDEX(GMW!$A$2:$NF$150,MATCH(1,(GMW!$NE$2:$NE$150=AL$3)*(GMW!$ND$2:$ND$150=AL$4)*(GMW!$NF$2:$NF$150=AL$1),0),$C266-1966)</f>
        <v>263829.7</v>
      </c>
      <c r="AM266" s="4" cm="1">
        <f t="array" ref="AM266">INDEX(GMW!$A$2:$NF$150,MATCH(1,(GMW!$NE$2:$NE$150=AM$3)*(GMW!$ND$2:$ND$150=AM$4)*(GMW!$NF$2:$NF$150=AM$1),0),$C266-1966)</f>
        <v>141854.6</v>
      </c>
      <c r="AN266" s="4" cm="1">
        <f t="array" ref="AN266">INDEX(GMW!$A$2:$NF$150,MATCH(1,(GMW!$NE$2:$NE$150=AN$3)*(GMW!$ND$2:$ND$150=AN$4)*(GMW!$NF$2:$NF$150=AN$1),0),$C266-1966)</f>
        <v>148918.9</v>
      </c>
      <c r="AO266" s="4" cm="1">
        <f t="array" ref="AO266">INDEX(GMW!$A$2:$NF$150,MATCH(1,(GMW!$NE$2:$NE$150=AO$3)*(GMW!$ND$2:$ND$150=AO$4)*(GMW!$NF$2:$NF$150=AO$1),0),$C266-1966)</f>
        <v>86507.05</v>
      </c>
      <c r="AP266" s="4" cm="1">
        <f t="array" ref="AP266">INDEX(GMW!$A$2:$NF$150,MATCH(1,(GMW!$NE$2:$NE$150=AP$3)*(GMW!$ND$2:$ND$150=AP$4)*(GMW!$NF$2:$NF$150=AP$1),0),$C266-1966)</f>
        <v>787080.7</v>
      </c>
      <c r="AQ266" s="4" cm="1">
        <f t="array" ref="AQ266">INDEX(GMW!$A$2:$NF$150,MATCH(1,(GMW!$NE$2:$NE$150=AQ$3)*(GMW!$ND$2:$ND$150=AQ$4)*(GMW!$NF$2:$NF$150=AQ$1),0),$C266-1966)</f>
        <v>37361.24</v>
      </c>
      <c r="AR266" s="4" cm="1">
        <f t="array" ref="AR266">INDEX(GMW!$A$2:$NF$150,MATCH(1,(GMW!$NE$2:$NE$150=AR$3)*(GMW!$ND$2:$ND$150=AR$4)*(GMW!$NF$2:$NF$150=AR$1),0),$C266-1966)</f>
        <v>31.983540000000001</v>
      </c>
      <c r="AS266" s="4" cm="1">
        <f t="array" ref="AS266">INDEX(GMW!$A$2:$NF$150,MATCH(1,(GMW!$NE$2:$NE$150=AS$3)*(GMW!$ND$2:$ND$150=AS$4)*(GMW!$NF$2:$NF$150=AS$1),0),$C266-1966)</f>
        <v>673582.2</v>
      </c>
      <c r="AT266" s="4" cm="1">
        <f t="array" ref="AT266">INDEX(GMW!$A$2:$NF$150,MATCH(1,(GMW!$NE$2:$NE$150=AT$3)*(GMW!$ND$2:$ND$150=AT$4)*(GMW!$NF$2:$NF$150=AT$1),0),$C266-1966)</f>
        <v>45707.81</v>
      </c>
      <c r="AU266" s="4" cm="1">
        <f t="array" ref="AU266">INDEX(GMW!$A$2:$NF$150,MATCH(1,(GMW!$NE$2:$NE$150=AU$3)*(GMW!$ND$2:$ND$150=AU$4)*(GMW!$NF$2:$NF$150=AU$1),0),$C266-1966)</f>
        <v>4142909</v>
      </c>
      <c r="AV266" s="4" cm="1">
        <f t="array" ref="AV266">INDEX(GMW!$A$2:$NF$150,MATCH(1,(GMW!$NE$2:$NE$150=AV$3)*(GMW!$ND$2:$ND$150=AV$4)*(GMW!$NF$2:$NF$150=AV$1),0),$C266-1966)</f>
        <v>-1.658131</v>
      </c>
    </row>
    <row r="267" spans="1:48" x14ac:dyDescent="0.25">
      <c r="A267" s="4">
        <v>2038</v>
      </c>
      <c r="B267" s="4">
        <f t="shared" si="10"/>
        <v>2038</v>
      </c>
      <c r="C267" s="4">
        <f t="shared" si="11"/>
        <v>2233</v>
      </c>
      <c r="D267" s="4" cm="1">
        <f t="array" ref="D267">INDEX(GMW!$A$2:$NF$150,MATCH(1,(GMW!$NE$2:$NE$150=D$3)*(GMW!$ND$2:$ND$150=D$4)*(GMW!$NF$2:$NF$150=D$1),0),$C267-1966)</f>
        <v>783163.7</v>
      </c>
      <c r="E267" s="4" cm="1">
        <f t="array" ref="E267">INDEX(GMW!$A$2:$NF$150,MATCH(1,(GMW!$NE$2:$NE$150=E$3)*(GMW!$ND$2:$ND$150=E$4)*(GMW!$NF$2:$NF$150=E$1),0),$C267-1966)</f>
        <v>178.7595</v>
      </c>
      <c r="F267" s="4" cm="1">
        <f t="array" ref="F267">INDEX(GMW!$A$2:$NF$150,MATCH(1,(GMW!$NE$2:$NE$150=F$3)*(GMW!$ND$2:$ND$150=F$4)*(GMW!$NF$2:$NF$150=F$1),0),$C267-1966)</f>
        <v>243475.9</v>
      </c>
      <c r="G267" s="4" cm="1">
        <f t="array" ref="G267">INDEX(GMW!$A$2:$NF$150,MATCH(1,(GMW!$NE$2:$NE$150=G$3)*(GMW!$ND$2:$ND$150=G$4)*(GMW!$NF$2:$NF$150=G$1),0),$C267-1966)</f>
        <v>82065.399999999994</v>
      </c>
      <c r="H267" s="4" cm="1">
        <f t="array" ref="H267">INDEX(GMW!$A$2:$NF$150,MATCH(1,(GMW!$NE$2:$NE$150=H$3)*(GMW!$ND$2:$ND$150=H$4)*(GMW!$NF$2:$NF$150=H$1),0),$C267-1966)</f>
        <v>268773.40000000002</v>
      </c>
      <c r="I267" s="4" cm="1">
        <f t="array" ref="I267">INDEX(GMW!$A$2:$NF$150,MATCH(1,(GMW!$NE$2:$NE$150=I$3)*(GMW!$ND$2:$ND$150=I$4)*(GMW!$NF$2:$NF$150=I$1),0),$C267-1966)</f>
        <v>144596</v>
      </c>
      <c r="J267" s="4" cm="1">
        <f t="array" ref="J267">INDEX(GMW!$A$2:$NF$150,MATCH(1,(GMW!$NE$2:$NE$150=J$3)*(GMW!$ND$2:$ND$150=J$4)*(GMW!$NF$2:$NF$150=J$1),0),$C267-1966)</f>
        <v>147000.1</v>
      </c>
      <c r="K267" s="4" cm="1">
        <f t="array" ref="K267">INDEX(GMW!$A$2:$NF$150,MATCH(1,(GMW!$NE$2:$NE$150=K$3)*(GMW!$ND$2:$ND$150=K$4)*(GMW!$NF$2:$NF$150=K$1),0),$C267-1966)</f>
        <v>82827.55</v>
      </c>
      <c r="L267" s="4" cm="1">
        <f t="array" ref="L267">INDEX(GMW!$A$2:$NF$150,MATCH(1,(GMW!$NE$2:$NE$150=L$3)*(GMW!$ND$2:$ND$150=L$4)*(GMW!$NF$2:$NF$150=L$1),0),$C267-1966)</f>
        <v>783164</v>
      </c>
      <c r="M267" s="4" cm="1">
        <f t="array" ref="M267">INDEX(GMW!$A$2:$NF$150,MATCH(1,(GMW!$NE$2:$NE$150=M$3)*(GMW!$ND$2:$ND$150=M$4)*(GMW!$NF$2:$NF$150=M$1),0),$C267-1966)</f>
        <v>37472.050000000003</v>
      </c>
      <c r="N267" s="4" cm="1">
        <f t="array" ref="N267">INDEX(GMW!$A$2:$NF$150,MATCH(1,(GMW!$NE$2:$NE$150=N$3)*(GMW!$ND$2:$ND$150=N$4)*(GMW!$NF$2:$NF$150=N$1),0),$C267-1966)</f>
        <v>31.982970000000002</v>
      </c>
      <c r="O267" s="4" cm="1">
        <f t="array" ref="O267">INDEX(GMW!$A$2:$NF$150,MATCH(1,(GMW!$NE$2:$NE$150=O$3)*(GMW!$ND$2:$ND$150=O$4)*(GMW!$NF$2:$NF$150=O$1),0),$C267-1966)</f>
        <v>678445</v>
      </c>
      <c r="P267" s="4" cm="1">
        <f t="array" ref="P267">INDEX(GMW!$A$2:$NF$150,MATCH(1,(GMW!$NE$2:$NE$150=P$3)*(GMW!$ND$2:$ND$150=P$4)*(GMW!$NF$2:$NF$150=P$1),0),$C267-1966)</f>
        <v>46010.87</v>
      </c>
      <c r="Q267" s="4" cm="1">
        <f t="array" ref="Q267">INDEX(GMW!$A$2:$NF$150,MATCH(1,(GMW!$NE$2:$NE$150=Q$3)*(GMW!$ND$2:$ND$150=Q$4)*(GMW!$NF$2:$NF$150=Q$1),0),$C267-1966)</f>
        <v>4087405</v>
      </c>
      <c r="R267" s="4" cm="1">
        <f t="array" ref="R267">INDEX(GMW!$A$2:$NF$150,MATCH(1,(GMW!$NE$2:$NE$150=R$3)*(GMW!$ND$2:$ND$150=R$4)*(GMW!$NF$2:$NF$150=R$1),0),$C267-1966)</f>
        <v>-1.6605479999999999</v>
      </c>
      <c r="S267" s="4" cm="1">
        <f t="array" ref="S267">INDEX(GMW!$A$2:$NF$150,MATCH(1,(GMW!$NE$2:$NE$150=S$3)*(GMW!$ND$2:$ND$150=S$4)*(GMW!$NF$2:$NF$150=S$1),0),$C267-1966)</f>
        <v>789182.1</v>
      </c>
      <c r="T267" s="4" cm="1">
        <f t="array" ref="T267">INDEX(GMW!$A$2:$NF$150,MATCH(1,(GMW!$NE$2:$NE$150=T$3)*(GMW!$ND$2:$ND$150=T$4)*(GMW!$NF$2:$NF$150=T$1),0),$C267-1966)</f>
        <v>178.57079999999999</v>
      </c>
      <c r="U267" s="4" cm="1">
        <f t="array" ref="U267">INDEX(GMW!$A$2:$NF$150,MATCH(1,(GMW!$NE$2:$NE$150=U$3)*(GMW!$ND$2:$ND$150=U$4)*(GMW!$NF$2:$NF$150=U$1),0),$C267-1966)</f>
        <v>233416.7</v>
      </c>
      <c r="V267" s="4" cm="1">
        <f t="array" ref="V267">INDEX(GMW!$A$2:$NF$150,MATCH(1,(GMW!$NE$2:$NE$150=V$3)*(GMW!$ND$2:$ND$150=V$4)*(GMW!$NF$2:$NF$150=V$1),0),$C267-1966)</f>
        <v>86401.66</v>
      </c>
      <c r="W267" s="4" cm="1">
        <f t="array" ref="W267">INDEX(GMW!$A$2:$NF$150,MATCH(1,(GMW!$NE$2:$NE$150=W$3)*(GMW!$ND$2:$ND$150=W$4)*(GMW!$NF$2:$NF$150=W$1),0),$C267-1966)</f>
        <v>260361.8</v>
      </c>
      <c r="X267" s="4" cm="1">
        <f t="array" ref="X267">INDEX(GMW!$A$2:$NF$150,MATCH(1,(GMW!$NE$2:$NE$150=X$3)*(GMW!$ND$2:$ND$150=X$4)*(GMW!$NF$2:$NF$150=X$1),0),$C267-1966)</f>
        <v>138921.9</v>
      </c>
      <c r="Y267" s="4" cm="1">
        <f t="array" ref="Y267">INDEX(GMW!$A$2:$NF$150,MATCH(1,(GMW!$NE$2:$NE$150=Y$3)*(GMW!$ND$2:$ND$150=Y$4)*(GMW!$NF$2:$NF$150=Y$1),0),$C267-1966)</f>
        <v>149564.5</v>
      </c>
      <c r="Z267" s="4" cm="1">
        <f t="array" ref="Z267">INDEX(GMW!$A$2:$NF$150,MATCH(1,(GMW!$NE$2:$NE$150=Z$3)*(GMW!$ND$2:$ND$150=Z$4)*(GMW!$NF$2:$NF$150=Z$1),0),$C267-1966)</f>
        <v>85787.61</v>
      </c>
      <c r="AA267" s="4" cm="1">
        <f t="array" ref="AA267">INDEX(GMW!$A$2:$NF$150,MATCH(1,(GMW!$NE$2:$NE$150=AA$3)*(GMW!$ND$2:$ND$150=AA$4)*(GMW!$NF$2:$NF$150=AA$1),0),$C267-1966)</f>
        <v>789182.2</v>
      </c>
      <c r="AB267" s="4" cm="1">
        <f t="array" ref="AB267">INDEX(GMW!$A$2:$NF$150,MATCH(1,(GMW!$NE$2:$NE$150=AB$3)*(GMW!$ND$2:$ND$150=AB$4)*(GMW!$NF$2:$NF$150=AB$1),0),$C267-1966)</f>
        <v>37472.050000000003</v>
      </c>
      <c r="AC267" s="4" cm="1">
        <f t="array" ref="AC267">INDEX(GMW!$A$2:$NF$150,MATCH(1,(GMW!$NE$2:$NE$150=AC$3)*(GMW!$ND$2:$ND$150=AC$4)*(GMW!$NF$2:$NF$150=AC$1),0),$C267-1966)</f>
        <v>31.982970000000002</v>
      </c>
      <c r="AD267" s="4" cm="1">
        <f t="array" ref="AD267">INDEX(GMW!$A$2:$NF$150,MATCH(1,(GMW!$NE$2:$NE$150=AD$3)*(GMW!$ND$2:$ND$150=AD$4)*(GMW!$NF$2:$NF$150=AD$1),0),$C267-1966)</f>
        <v>678445</v>
      </c>
      <c r="AE267" s="4" cm="1">
        <f t="array" ref="AE267">INDEX(GMW!$A$2:$NF$150,MATCH(1,(GMW!$NE$2:$NE$150=AE$3)*(GMW!$ND$2:$ND$150=AE$4)*(GMW!$NF$2:$NF$150=AE$1),0),$C267-1966)</f>
        <v>46010.87</v>
      </c>
      <c r="AF267" s="4" cm="1">
        <f t="array" ref="AF267">INDEX(GMW!$A$2:$NF$150,MATCH(1,(GMW!$NE$2:$NE$150=AF$3)*(GMW!$ND$2:$ND$150=AF$4)*(GMW!$NF$2:$NF$150=AF$1),0),$C267-1966)</f>
        <v>4153745</v>
      </c>
      <c r="AG267" s="4" cm="1">
        <f t="array" ref="AG267">INDEX(GMW!$A$2:$NF$150,MATCH(1,(GMW!$NE$2:$NE$150=AG$3)*(GMW!$ND$2:$ND$150=AG$4)*(GMW!$NF$2:$NF$150=AG$1),0),$C267-1966)</f>
        <v>-1.6584620000000001</v>
      </c>
      <c r="AH267" s="4" cm="1">
        <f t="array" ref="AH267">INDEX(GMW!$A$2:$NF$150,MATCH(1,(GMW!$NE$2:$NE$150=AH$3)*(GMW!$ND$2:$ND$150=AH$4)*(GMW!$NF$2:$NF$150=AH$1),0),$C267-1966)</f>
        <v>790170.8</v>
      </c>
      <c r="AI267" s="4" cm="1">
        <f t="array" ref="AI267">INDEX(GMW!$A$2:$NF$150,MATCH(1,(GMW!$NE$2:$NE$150=AI$3)*(GMW!$ND$2:$ND$150=AI$4)*(GMW!$NF$2:$NF$150=AI$1),0),$C267-1966)</f>
        <v>177.47540000000001</v>
      </c>
      <c r="AJ267" s="4" cm="1">
        <f t="array" ref="AJ267">INDEX(GMW!$A$2:$NF$150,MATCH(1,(GMW!$NE$2:$NE$150=AJ$3)*(GMW!$ND$2:$ND$150=AJ$4)*(GMW!$NF$2:$NF$150=AJ$1),0),$C267-1966)</f>
        <v>238729.3</v>
      </c>
      <c r="AK267" s="4" cm="1">
        <f t="array" ref="AK267">INDEX(GMW!$A$2:$NF$150,MATCH(1,(GMW!$NE$2:$NE$150=AK$3)*(GMW!$ND$2:$ND$150=AK$4)*(GMW!$NF$2:$NF$150=AK$1),0),$C267-1966)</f>
        <v>89085.45</v>
      </c>
      <c r="AL267" s="4" cm="1">
        <f t="array" ref="AL267">INDEX(GMW!$A$2:$NF$150,MATCH(1,(GMW!$NE$2:$NE$150=AL$3)*(GMW!$ND$2:$ND$150=AL$4)*(GMW!$NF$2:$NF$150=AL$1),0),$C267-1966)</f>
        <v>264824.2</v>
      </c>
      <c r="AM267" s="4" cm="1">
        <f t="array" ref="AM267">INDEX(GMW!$A$2:$NF$150,MATCH(1,(GMW!$NE$2:$NE$150=AM$3)*(GMW!$ND$2:$ND$150=AM$4)*(GMW!$NF$2:$NF$150=AM$1),0),$C267-1966)</f>
        <v>142368.9</v>
      </c>
      <c r="AN267" s="4" cm="1">
        <f t="array" ref="AN267">INDEX(GMW!$A$2:$NF$150,MATCH(1,(GMW!$NE$2:$NE$150=AN$3)*(GMW!$ND$2:$ND$150=AN$4)*(GMW!$NF$2:$NF$150=AN$1),0),$C267-1966)</f>
        <v>149675.70000000001</v>
      </c>
      <c r="AO267" s="4" cm="1">
        <f t="array" ref="AO267">INDEX(GMW!$A$2:$NF$150,MATCH(1,(GMW!$NE$2:$NE$150=AO$3)*(GMW!$ND$2:$ND$150=AO$4)*(GMW!$NF$2:$NF$150=AO$1),0),$C267-1966)</f>
        <v>86987.25</v>
      </c>
      <c r="AP267" s="4" cm="1">
        <f t="array" ref="AP267">INDEX(GMW!$A$2:$NF$150,MATCH(1,(GMW!$NE$2:$NE$150=AP$3)*(GMW!$ND$2:$ND$150=AP$4)*(GMW!$NF$2:$NF$150=AP$1),0),$C267-1966)</f>
        <v>790171</v>
      </c>
      <c r="AQ267" s="4" cm="1">
        <f t="array" ref="AQ267">INDEX(GMW!$A$2:$NF$150,MATCH(1,(GMW!$NE$2:$NE$150=AQ$3)*(GMW!$ND$2:$ND$150=AQ$4)*(GMW!$NF$2:$NF$150=AQ$1),0),$C267-1966)</f>
        <v>37402.78</v>
      </c>
      <c r="AR267" s="4" cm="1">
        <f t="array" ref="AR267">INDEX(GMW!$A$2:$NF$150,MATCH(1,(GMW!$NE$2:$NE$150=AR$3)*(GMW!$ND$2:$ND$150=AR$4)*(GMW!$NF$2:$NF$150=AR$1),0),$C267-1966)</f>
        <v>31.982970000000002</v>
      </c>
      <c r="AS267" s="4" cm="1">
        <f t="array" ref="AS267">INDEX(GMW!$A$2:$NF$150,MATCH(1,(GMW!$NE$2:$NE$150=AS$3)*(GMW!$ND$2:$ND$150=AS$4)*(GMW!$NF$2:$NF$150=AS$1),0),$C267-1966)</f>
        <v>674221.6</v>
      </c>
      <c r="AT267" s="4" cm="1">
        <f t="array" ref="AT267">INDEX(GMW!$A$2:$NF$150,MATCH(1,(GMW!$NE$2:$NE$150=AT$3)*(GMW!$ND$2:$ND$150=AT$4)*(GMW!$NF$2:$NF$150=AT$1),0),$C267-1966)</f>
        <v>45716.02</v>
      </c>
      <c r="AU267" s="4" cm="1">
        <f t="array" ref="AU267">INDEX(GMW!$A$2:$NF$150,MATCH(1,(GMW!$NE$2:$NE$150=AU$3)*(GMW!$ND$2:$ND$150=AU$4)*(GMW!$NF$2:$NF$150=AU$1),0),$C267-1966)</f>
        <v>4162555</v>
      </c>
      <c r="AV267" s="4" cm="1">
        <f t="array" ref="AV267">INDEX(GMW!$A$2:$NF$150,MATCH(1,(GMW!$NE$2:$NE$150=AV$3)*(GMW!$ND$2:$ND$150=AV$4)*(GMW!$NF$2:$NF$150=AV$1),0),$C267-1966)</f>
        <v>-1.6568039999999999</v>
      </c>
    </row>
    <row r="268" spans="1:48" x14ac:dyDescent="0.25">
      <c r="B268" s="4">
        <f t="shared" ref="B268:B331" si="12">+B264+1</f>
        <v>2038</v>
      </c>
      <c r="C268" s="4">
        <f t="shared" si="11"/>
        <v>2234</v>
      </c>
      <c r="D268" s="4" cm="1">
        <f t="array" ref="D268">INDEX(GMW!$A$2:$NF$150,MATCH(1,(GMW!$NE$2:$NE$150=D$3)*(GMW!$ND$2:$ND$150=D$4)*(GMW!$NF$2:$NF$150=D$1),0),$C268-1966)</f>
        <v>786244.5</v>
      </c>
      <c r="E268" s="4" cm="1">
        <f t="array" ref="E268">INDEX(GMW!$A$2:$NF$150,MATCH(1,(GMW!$NE$2:$NE$150=E$3)*(GMW!$ND$2:$ND$150=E$4)*(GMW!$NF$2:$NF$150=E$1),0),$C268-1966)</f>
        <v>180.3442</v>
      </c>
      <c r="F268" s="4" cm="1">
        <f t="array" ref="F268">INDEX(GMW!$A$2:$NF$150,MATCH(1,(GMW!$NE$2:$NE$150=F$3)*(GMW!$ND$2:$ND$150=F$4)*(GMW!$NF$2:$NF$150=F$1),0),$C268-1966)</f>
        <v>244335.3</v>
      </c>
      <c r="G268" s="4" cm="1">
        <f t="array" ref="G268">INDEX(GMW!$A$2:$NF$150,MATCH(1,(GMW!$NE$2:$NE$150=G$3)*(GMW!$ND$2:$ND$150=G$4)*(GMW!$NF$2:$NF$150=G$1),0),$C268-1966)</f>
        <v>82306.16</v>
      </c>
      <c r="H268" s="4" cm="1">
        <f t="array" ref="H268">INDEX(GMW!$A$2:$NF$150,MATCH(1,(GMW!$NE$2:$NE$150=H$3)*(GMW!$ND$2:$ND$150=H$4)*(GMW!$NF$2:$NF$150=H$1),0),$C268-1966)</f>
        <v>269806.5</v>
      </c>
      <c r="I268" s="4" cm="1">
        <f t="array" ref="I268">INDEX(GMW!$A$2:$NF$150,MATCH(1,(GMW!$NE$2:$NE$150=I$3)*(GMW!$ND$2:$ND$150=I$4)*(GMW!$NF$2:$NF$150=I$1),0),$C268-1966)</f>
        <v>145124.29999999999</v>
      </c>
      <c r="J268" s="4" cm="1">
        <f t="array" ref="J268">INDEX(GMW!$A$2:$NF$150,MATCH(1,(GMW!$NE$2:$NE$150=J$3)*(GMW!$ND$2:$ND$150=J$4)*(GMW!$NF$2:$NF$150=J$1),0),$C268-1966)</f>
        <v>147752.6</v>
      </c>
      <c r="K268" s="4" cm="1">
        <f t="array" ref="K268">INDEX(GMW!$A$2:$NF$150,MATCH(1,(GMW!$NE$2:$NE$150=K$3)*(GMW!$ND$2:$ND$150=K$4)*(GMW!$NF$2:$NF$150=K$1),0),$C268-1966)</f>
        <v>83294.2</v>
      </c>
      <c r="L268" s="4" cm="1">
        <f t="array" ref="L268">INDEX(GMW!$A$2:$NF$150,MATCH(1,(GMW!$NE$2:$NE$150=L$3)*(GMW!$ND$2:$ND$150=L$4)*(GMW!$NF$2:$NF$150=L$1),0),$C268-1966)</f>
        <v>786244.2</v>
      </c>
      <c r="M268" s="4" cm="1">
        <f t="array" ref="M268">INDEX(GMW!$A$2:$NF$150,MATCH(1,(GMW!$NE$2:$NE$150=M$3)*(GMW!$ND$2:$ND$150=M$4)*(GMW!$NF$2:$NF$150=M$1),0),$C268-1966)</f>
        <v>37517.81</v>
      </c>
      <c r="N268" s="4" cm="1">
        <f t="array" ref="N268">INDEX(GMW!$A$2:$NF$150,MATCH(1,(GMW!$NE$2:$NE$150=N$3)*(GMW!$ND$2:$ND$150=N$4)*(GMW!$NF$2:$NF$150=N$1),0),$C268-1966)</f>
        <v>31.982399999999998</v>
      </c>
      <c r="O268" s="4" cm="1">
        <f t="array" ref="O268">INDEX(GMW!$A$2:$NF$150,MATCH(1,(GMW!$NE$2:$NE$150=O$3)*(GMW!$ND$2:$ND$150=O$4)*(GMW!$NF$2:$NF$150=O$1),0),$C268-1966)</f>
        <v>679156.4</v>
      </c>
      <c r="P268" s="4" cm="1">
        <f t="array" ref="P268">INDEX(GMW!$A$2:$NF$150,MATCH(1,(GMW!$NE$2:$NE$150=P$3)*(GMW!$ND$2:$ND$150=P$4)*(GMW!$NF$2:$NF$150=P$1),0),$C268-1966)</f>
        <v>46024.41</v>
      </c>
      <c r="Q268" s="4" cm="1">
        <f t="array" ref="Q268">INDEX(GMW!$A$2:$NF$150,MATCH(1,(GMW!$NE$2:$NE$150=Q$3)*(GMW!$ND$2:$ND$150=Q$4)*(GMW!$NF$2:$NF$150=Q$1),0),$C268-1966)</f>
        <v>4106114</v>
      </c>
      <c r="R268" s="4" cm="1">
        <f t="array" ref="R268">INDEX(GMW!$A$2:$NF$150,MATCH(1,(GMW!$NE$2:$NE$150=R$3)*(GMW!$ND$2:$ND$150=R$4)*(GMW!$NF$2:$NF$150=R$1),0),$C268-1966)</f>
        <v>-1.6592199999999999</v>
      </c>
      <c r="S268" s="4" cm="1">
        <f t="array" ref="S268">INDEX(GMW!$A$2:$NF$150,MATCH(1,(GMW!$NE$2:$NE$150=S$3)*(GMW!$ND$2:$ND$150=S$4)*(GMW!$NF$2:$NF$150=S$1),0),$C268-1966)</f>
        <v>792337.6</v>
      </c>
      <c r="T268" s="4" cm="1">
        <f t="array" ref="T268">INDEX(GMW!$A$2:$NF$150,MATCH(1,(GMW!$NE$2:$NE$150=T$3)*(GMW!$ND$2:$ND$150=T$4)*(GMW!$NF$2:$NF$150=T$1),0),$C268-1966)</f>
        <v>180.1909</v>
      </c>
      <c r="U268" s="4" cm="1">
        <f t="array" ref="U268">INDEX(GMW!$A$2:$NF$150,MATCH(1,(GMW!$NE$2:$NE$150=U$3)*(GMW!$ND$2:$ND$150=U$4)*(GMW!$NF$2:$NF$150=U$1),0),$C268-1966)</f>
        <v>234239.5</v>
      </c>
      <c r="V268" s="4" cm="1">
        <f t="array" ref="V268">INDEX(GMW!$A$2:$NF$150,MATCH(1,(GMW!$NE$2:$NE$150=V$3)*(GMW!$ND$2:$ND$150=V$4)*(GMW!$NF$2:$NF$150=V$1),0),$C268-1966)</f>
        <v>86660.73</v>
      </c>
      <c r="W268" s="4" cm="1">
        <f t="array" ref="W268">INDEX(GMW!$A$2:$NF$150,MATCH(1,(GMW!$NE$2:$NE$150=W$3)*(GMW!$ND$2:$ND$150=W$4)*(GMW!$NF$2:$NF$150=W$1),0),$C268-1966)</f>
        <v>261369.5</v>
      </c>
      <c r="X268" s="4" cm="1">
        <f t="array" ref="X268">INDEX(GMW!$A$2:$NF$150,MATCH(1,(GMW!$NE$2:$NE$150=X$3)*(GMW!$ND$2:$ND$150=X$4)*(GMW!$NF$2:$NF$150=X$1),0),$C268-1966)</f>
        <v>139438.5</v>
      </c>
      <c r="Y268" s="4" cm="1">
        <f t="array" ref="Y268">INDEX(GMW!$A$2:$NF$150,MATCH(1,(GMW!$NE$2:$NE$150=Y$3)*(GMW!$ND$2:$ND$150=Y$4)*(GMW!$NF$2:$NF$150=Y$1),0),$C268-1966)</f>
        <v>150334.6</v>
      </c>
      <c r="Z268" s="4" cm="1">
        <f t="array" ref="Z268">INDEX(GMW!$A$2:$NF$150,MATCH(1,(GMW!$NE$2:$NE$150=Z$3)*(GMW!$ND$2:$ND$150=Z$4)*(GMW!$NF$2:$NF$150=Z$1),0),$C268-1966)</f>
        <v>86270.04</v>
      </c>
      <c r="AA268" s="4" cm="1">
        <f t="array" ref="AA268">INDEX(GMW!$A$2:$NF$150,MATCH(1,(GMW!$NE$2:$NE$150=AA$3)*(GMW!$ND$2:$ND$150=AA$4)*(GMW!$NF$2:$NF$150=AA$1),0),$C268-1966)</f>
        <v>792337.5</v>
      </c>
      <c r="AB268" s="4" cm="1">
        <f t="array" ref="AB268">INDEX(GMW!$A$2:$NF$150,MATCH(1,(GMW!$NE$2:$NE$150=AB$3)*(GMW!$ND$2:$ND$150=AB$4)*(GMW!$NF$2:$NF$150=AB$1),0),$C268-1966)</f>
        <v>37517.81</v>
      </c>
      <c r="AC268" s="4" cm="1">
        <f t="array" ref="AC268">INDEX(GMW!$A$2:$NF$150,MATCH(1,(GMW!$NE$2:$NE$150=AC$3)*(GMW!$ND$2:$ND$150=AC$4)*(GMW!$NF$2:$NF$150=AC$1),0),$C268-1966)</f>
        <v>31.982399999999998</v>
      </c>
      <c r="AD268" s="4" cm="1">
        <f t="array" ref="AD268">INDEX(GMW!$A$2:$NF$150,MATCH(1,(GMW!$NE$2:$NE$150=AD$3)*(GMW!$ND$2:$ND$150=AD$4)*(GMW!$NF$2:$NF$150=AD$1),0),$C268-1966)</f>
        <v>679156.4</v>
      </c>
      <c r="AE268" s="4" cm="1">
        <f t="array" ref="AE268">INDEX(GMW!$A$2:$NF$150,MATCH(1,(GMW!$NE$2:$NE$150=AE$3)*(GMW!$ND$2:$ND$150=AE$4)*(GMW!$NF$2:$NF$150=AE$1),0),$C268-1966)</f>
        <v>46024.41</v>
      </c>
      <c r="AF268" s="4" cm="1">
        <f t="array" ref="AF268">INDEX(GMW!$A$2:$NF$150,MATCH(1,(GMW!$NE$2:$NE$150=AF$3)*(GMW!$ND$2:$ND$150=AF$4)*(GMW!$NF$2:$NF$150=AF$1),0),$C268-1966)</f>
        <v>4173518</v>
      </c>
      <c r="AG268" s="4" cm="1">
        <f t="array" ref="AG268">INDEX(GMW!$A$2:$NF$150,MATCH(1,(GMW!$NE$2:$NE$150=AG$3)*(GMW!$ND$2:$ND$150=AG$4)*(GMW!$NF$2:$NF$150=AG$1),0),$C268-1966)</f>
        <v>-1.657135</v>
      </c>
      <c r="AH268" s="4" cm="1">
        <f t="array" ref="AH268">INDEX(GMW!$A$2:$NF$150,MATCH(1,(GMW!$NE$2:$NE$150=AH$3)*(GMW!$ND$2:$ND$150=AH$4)*(GMW!$NF$2:$NF$150=AH$1),0),$C268-1966)</f>
        <v>793273.8</v>
      </c>
      <c r="AI268" s="4" cm="1">
        <f t="array" ref="AI268">INDEX(GMW!$A$2:$NF$150,MATCH(1,(GMW!$NE$2:$NE$150=AI$3)*(GMW!$ND$2:$ND$150=AI$4)*(GMW!$NF$2:$NF$150=AI$1),0),$C268-1966)</f>
        <v>179.00219999999999</v>
      </c>
      <c r="AJ268" s="4" cm="1">
        <f t="array" ref="AJ268">INDEX(GMW!$A$2:$NF$150,MATCH(1,(GMW!$NE$2:$NE$150=AJ$3)*(GMW!$ND$2:$ND$150=AJ$4)*(GMW!$NF$2:$NF$150=AJ$1),0),$C268-1966)</f>
        <v>239543.1</v>
      </c>
      <c r="AK268" s="4" cm="1">
        <f t="array" ref="AK268">INDEX(GMW!$A$2:$NF$150,MATCH(1,(GMW!$NE$2:$NE$150=AK$3)*(GMW!$ND$2:$ND$150=AK$4)*(GMW!$NF$2:$NF$150=AK$1),0),$C268-1966)</f>
        <v>89346.2</v>
      </c>
      <c r="AL268" s="4" cm="1">
        <f t="array" ref="AL268">INDEX(GMW!$A$2:$NF$150,MATCH(1,(GMW!$NE$2:$NE$150=AL$3)*(GMW!$ND$2:$ND$150=AL$4)*(GMW!$NF$2:$NF$150=AL$1),0),$C268-1966)</f>
        <v>265823.09999999998</v>
      </c>
      <c r="AM268" s="4" cm="1">
        <f t="array" ref="AM268">INDEX(GMW!$A$2:$NF$150,MATCH(1,(GMW!$NE$2:$NE$150=AM$3)*(GMW!$ND$2:$ND$150=AM$4)*(GMW!$NF$2:$NF$150=AM$1),0),$C268-1966)</f>
        <v>142885.29999999999</v>
      </c>
      <c r="AN268" s="4" cm="1">
        <f t="array" ref="AN268">INDEX(GMW!$A$2:$NF$150,MATCH(1,(GMW!$NE$2:$NE$150=AN$3)*(GMW!$ND$2:$ND$150=AN$4)*(GMW!$NF$2:$NF$150=AN$1),0),$C268-1966)</f>
        <v>150436.5</v>
      </c>
      <c r="AO268" s="4" cm="1">
        <f t="array" ref="AO268">INDEX(GMW!$A$2:$NF$150,MATCH(1,(GMW!$NE$2:$NE$150=AO$3)*(GMW!$ND$2:$ND$150=AO$4)*(GMW!$NF$2:$NF$150=AO$1),0),$C268-1966)</f>
        <v>87470.2</v>
      </c>
      <c r="AP268" s="4" cm="1">
        <f t="array" ref="AP268">INDEX(GMW!$A$2:$NF$150,MATCH(1,(GMW!$NE$2:$NE$150=AP$3)*(GMW!$ND$2:$ND$150=AP$4)*(GMW!$NF$2:$NF$150=AP$1),0),$C268-1966)</f>
        <v>793273.5</v>
      </c>
      <c r="AQ268" s="4" cm="1">
        <f t="array" ref="AQ268">INDEX(GMW!$A$2:$NF$150,MATCH(1,(GMW!$NE$2:$NE$150=AQ$3)*(GMW!$ND$2:$ND$150=AQ$4)*(GMW!$NF$2:$NF$150=AQ$1),0),$C268-1966)</f>
        <v>37444.32</v>
      </c>
      <c r="AR268" s="4" cm="1">
        <f t="array" ref="AR268">INDEX(GMW!$A$2:$NF$150,MATCH(1,(GMW!$NE$2:$NE$150=AR$3)*(GMW!$ND$2:$ND$150=AR$4)*(GMW!$NF$2:$NF$150=AR$1),0),$C268-1966)</f>
        <v>31.982399999999998</v>
      </c>
      <c r="AS268" s="4" cm="1">
        <f t="array" ref="AS268">INDEX(GMW!$A$2:$NF$150,MATCH(1,(GMW!$NE$2:$NE$150=AS$3)*(GMW!$ND$2:$ND$150=AS$4)*(GMW!$NF$2:$NF$150=AS$1),0),$C268-1966)</f>
        <v>674855.9</v>
      </c>
      <c r="AT268" s="4" cm="1">
        <f t="array" ref="AT268">INDEX(GMW!$A$2:$NF$150,MATCH(1,(GMW!$NE$2:$NE$150=AT$3)*(GMW!$ND$2:$ND$150=AT$4)*(GMW!$NF$2:$NF$150=AT$1),0),$C268-1966)</f>
        <v>45724.23</v>
      </c>
      <c r="AU268" s="4" cm="1">
        <f t="array" ref="AU268">INDEX(GMW!$A$2:$NF$150,MATCH(1,(GMW!$NE$2:$NE$150=AU$3)*(GMW!$ND$2:$ND$150=AU$4)*(GMW!$NF$2:$NF$150=AU$1),0),$C268-1966)</f>
        <v>4182359</v>
      </c>
      <c r="AV268" s="4" cm="1">
        <f t="array" ref="AV268">INDEX(GMW!$A$2:$NF$150,MATCH(1,(GMW!$NE$2:$NE$150=AV$3)*(GMW!$ND$2:$ND$150=AV$4)*(GMW!$NF$2:$NF$150=AV$1),0),$C268-1966)</f>
        <v>-1.6554789999999999</v>
      </c>
    </row>
    <row r="269" spans="1:48" x14ac:dyDescent="0.25">
      <c r="B269" s="4">
        <f t="shared" si="12"/>
        <v>2038</v>
      </c>
      <c r="C269" s="4">
        <f t="shared" si="11"/>
        <v>2235</v>
      </c>
      <c r="D269" s="4" cm="1">
        <f t="array" ref="D269">INDEX(GMW!$A$2:$NF$150,MATCH(1,(GMW!$NE$2:$NE$150=D$3)*(GMW!$ND$2:$ND$150=D$4)*(GMW!$NF$2:$NF$150=D$1),0),$C269-1966)</f>
        <v>789341.3</v>
      </c>
      <c r="E269" s="4" cm="1">
        <f t="array" ref="E269">INDEX(GMW!$A$2:$NF$150,MATCH(1,(GMW!$NE$2:$NE$150=E$3)*(GMW!$ND$2:$ND$150=E$4)*(GMW!$NF$2:$NF$150=E$1),0),$C269-1966)</f>
        <v>181.16460000000001</v>
      </c>
      <c r="F269" s="4" cm="1">
        <f t="array" ref="F269">INDEX(GMW!$A$2:$NF$150,MATCH(1,(GMW!$NE$2:$NE$150=F$3)*(GMW!$ND$2:$ND$150=F$4)*(GMW!$NF$2:$NF$150=F$1),0),$C269-1966)</f>
        <v>245199.3</v>
      </c>
      <c r="G269" s="4" cm="1">
        <f t="array" ref="G269">INDEX(GMW!$A$2:$NF$150,MATCH(1,(GMW!$NE$2:$NE$150=G$3)*(GMW!$ND$2:$ND$150=G$4)*(GMW!$NF$2:$NF$150=G$1),0),$C269-1966)</f>
        <v>82548.03</v>
      </c>
      <c r="H269" s="4" cm="1">
        <f t="array" ref="H269">INDEX(GMW!$A$2:$NF$150,MATCH(1,(GMW!$NE$2:$NE$150=H$3)*(GMW!$ND$2:$ND$150=H$4)*(GMW!$NF$2:$NF$150=H$1),0),$C269-1966)</f>
        <v>270845.09999999998</v>
      </c>
      <c r="I269" s="4" cm="1">
        <f t="array" ref="I269">INDEX(GMW!$A$2:$NF$150,MATCH(1,(GMW!$NE$2:$NE$150=I$3)*(GMW!$ND$2:$ND$150=I$4)*(GMW!$NF$2:$NF$150=I$1),0),$C269-1966)</f>
        <v>145655.29999999999</v>
      </c>
      <c r="J269" s="4" cm="1">
        <f t="array" ref="J269">INDEX(GMW!$A$2:$NF$150,MATCH(1,(GMW!$NE$2:$NE$150=J$3)*(GMW!$ND$2:$ND$150=J$4)*(GMW!$NF$2:$NF$150=J$1),0),$C269-1966)</f>
        <v>148509.6</v>
      </c>
      <c r="K269" s="4" cm="1">
        <f t="array" ref="K269">INDEX(GMW!$A$2:$NF$150,MATCH(1,(GMW!$NE$2:$NE$150=K$3)*(GMW!$ND$2:$ND$150=K$4)*(GMW!$NF$2:$NF$150=K$1),0),$C269-1966)</f>
        <v>83763.86</v>
      </c>
      <c r="L269" s="4" cm="1">
        <f t="array" ref="L269">INDEX(GMW!$A$2:$NF$150,MATCH(1,(GMW!$NE$2:$NE$150=L$3)*(GMW!$ND$2:$ND$150=L$4)*(GMW!$NF$2:$NF$150=L$1),0),$C269-1966)</f>
        <v>789341.1</v>
      </c>
      <c r="M269" s="4" cm="1">
        <f t="array" ref="M269">INDEX(GMW!$A$2:$NF$150,MATCH(1,(GMW!$NE$2:$NE$150=M$3)*(GMW!$ND$2:$ND$150=M$4)*(GMW!$NF$2:$NF$150=M$1),0),$C269-1966)</f>
        <v>37563.56</v>
      </c>
      <c r="N269" s="4" cm="1">
        <f t="array" ref="N269">INDEX(GMW!$A$2:$NF$150,MATCH(1,(GMW!$NE$2:$NE$150=N$3)*(GMW!$ND$2:$ND$150=N$4)*(GMW!$NF$2:$NF$150=N$1),0),$C269-1966)</f>
        <v>31.981819999999999</v>
      </c>
      <c r="O269" s="4" cm="1">
        <f t="array" ref="O269">INDEX(GMW!$A$2:$NF$150,MATCH(1,(GMW!$NE$2:$NE$150=O$3)*(GMW!$ND$2:$ND$150=O$4)*(GMW!$NF$2:$NF$150=O$1),0),$C269-1966)</f>
        <v>679973.9</v>
      </c>
      <c r="P269" s="4" cm="1">
        <f t="array" ref="P269">INDEX(GMW!$A$2:$NF$150,MATCH(1,(GMW!$NE$2:$NE$150=P$3)*(GMW!$ND$2:$ND$150=P$4)*(GMW!$NF$2:$NF$150=P$1),0),$C269-1966)</f>
        <v>46045.33</v>
      </c>
      <c r="Q269" s="4" cm="1">
        <f t="array" ref="Q269">INDEX(GMW!$A$2:$NF$150,MATCH(1,(GMW!$NE$2:$NE$150=Q$3)*(GMW!$ND$2:$ND$150=Q$4)*(GMW!$NF$2:$NF$150=Q$1),0),$C269-1966)</f>
        <v>4125006</v>
      </c>
      <c r="R269" s="4" cm="1">
        <f t="array" ref="R269">INDEX(GMW!$A$2:$NF$150,MATCH(1,(GMW!$NE$2:$NE$150=R$3)*(GMW!$ND$2:$ND$150=R$4)*(GMW!$NF$2:$NF$150=R$1),0),$C269-1966)</f>
        <v>-1.6578930000000001</v>
      </c>
      <c r="S269" s="4" cm="1">
        <f t="array" ref="S269">INDEX(GMW!$A$2:$NF$150,MATCH(1,(GMW!$NE$2:$NE$150=S$3)*(GMW!$ND$2:$ND$150=S$4)*(GMW!$NF$2:$NF$150=S$1),0),$C269-1966)</f>
        <v>795507.7</v>
      </c>
      <c r="T269" s="4" cm="1">
        <f t="array" ref="T269">INDEX(GMW!$A$2:$NF$150,MATCH(1,(GMW!$NE$2:$NE$150=T$3)*(GMW!$ND$2:$ND$150=T$4)*(GMW!$NF$2:$NF$150=T$1),0),$C269-1966)</f>
        <v>181.06</v>
      </c>
      <c r="U269" s="4" cm="1">
        <f t="array" ref="U269">INDEX(GMW!$A$2:$NF$150,MATCH(1,(GMW!$NE$2:$NE$150=U$3)*(GMW!$ND$2:$ND$150=U$4)*(GMW!$NF$2:$NF$150=U$1),0),$C269-1966)</f>
        <v>235066.5</v>
      </c>
      <c r="V269" s="4" cm="1">
        <f t="array" ref="V269">INDEX(GMW!$A$2:$NF$150,MATCH(1,(GMW!$NE$2:$NE$150=V$3)*(GMW!$ND$2:$ND$150=V$4)*(GMW!$NF$2:$NF$150=V$1),0),$C269-1966)</f>
        <v>86920.8</v>
      </c>
      <c r="W269" s="4" cm="1">
        <f t="array" ref="W269">INDEX(GMW!$A$2:$NF$150,MATCH(1,(GMW!$NE$2:$NE$150=W$3)*(GMW!$ND$2:$ND$150=W$4)*(GMW!$NF$2:$NF$150=W$1),0),$C269-1966)</f>
        <v>262381.8</v>
      </c>
      <c r="X269" s="4" cm="1">
        <f t="array" ref="X269">INDEX(GMW!$A$2:$NF$150,MATCH(1,(GMW!$NE$2:$NE$150=X$3)*(GMW!$ND$2:$ND$150=X$4)*(GMW!$NF$2:$NF$150=X$1),0),$C269-1966)</f>
        <v>139957.29999999999</v>
      </c>
      <c r="Y269" s="4" cm="1">
        <f t="array" ref="Y269">INDEX(GMW!$A$2:$NF$150,MATCH(1,(GMW!$NE$2:$NE$150=Y$3)*(GMW!$ND$2:$ND$150=Y$4)*(GMW!$NF$2:$NF$150=Y$1),0),$C269-1966)</f>
        <v>151109.1</v>
      </c>
      <c r="Z269" s="4" cm="1">
        <f t="array" ref="Z269">INDEX(GMW!$A$2:$NF$150,MATCH(1,(GMW!$NE$2:$NE$150=Z$3)*(GMW!$ND$2:$ND$150=Z$4)*(GMW!$NF$2:$NF$150=Z$1),0),$C269-1966)</f>
        <v>86755.39</v>
      </c>
      <c r="AA269" s="4" cm="1">
        <f t="array" ref="AA269">INDEX(GMW!$A$2:$NF$150,MATCH(1,(GMW!$NE$2:$NE$150=AA$3)*(GMW!$ND$2:$ND$150=AA$4)*(GMW!$NF$2:$NF$150=AA$1),0),$C269-1966)</f>
        <v>795507.6</v>
      </c>
      <c r="AB269" s="4" cm="1">
        <f t="array" ref="AB269">INDEX(GMW!$A$2:$NF$150,MATCH(1,(GMW!$NE$2:$NE$150=AB$3)*(GMW!$ND$2:$ND$150=AB$4)*(GMW!$NF$2:$NF$150=AB$1),0),$C269-1966)</f>
        <v>37563.56</v>
      </c>
      <c r="AC269" s="4" cm="1">
        <f t="array" ref="AC269">INDEX(GMW!$A$2:$NF$150,MATCH(1,(GMW!$NE$2:$NE$150=AC$3)*(GMW!$ND$2:$ND$150=AC$4)*(GMW!$NF$2:$NF$150=AC$1),0),$C269-1966)</f>
        <v>31.981819999999999</v>
      </c>
      <c r="AD269" s="4" cm="1">
        <f t="array" ref="AD269">INDEX(GMW!$A$2:$NF$150,MATCH(1,(GMW!$NE$2:$NE$150=AD$3)*(GMW!$ND$2:$ND$150=AD$4)*(GMW!$NF$2:$NF$150=AD$1),0),$C269-1966)</f>
        <v>679973.9</v>
      </c>
      <c r="AE269" s="4" cm="1">
        <f t="array" ref="AE269">INDEX(GMW!$A$2:$NF$150,MATCH(1,(GMW!$NE$2:$NE$150=AE$3)*(GMW!$ND$2:$ND$150=AE$4)*(GMW!$NF$2:$NF$150=AE$1),0),$C269-1966)</f>
        <v>46045.33</v>
      </c>
      <c r="AF269" s="4" cm="1">
        <f t="array" ref="AF269">INDEX(GMW!$A$2:$NF$150,MATCH(1,(GMW!$NE$2:$NE$150=AF$3)*(GMW!$ND$2:$ND$150=AF$4)*(GMW!$NF$2:$NF$150=AF$1),0),$C269-1966)</f>
        <v>4193456</v>
      </c>
      <c r="AG269" s="4" cm="1">
        <f t="array" ref="AG269">INDEX(GMW!$A$2:$NF$150,MATCH(1,(GMW!$NE$2:$NE$150=AG$3)*(GMW!$ND$2:$ND$150=AG$4)*(GMW!$NF$2:$NF$150=AG$1),0),$C269-1966)</f>
        <v>-1.65581</v>
      </c>
      <c r="AH269" s="4" cm="1">
        <f t="array" ref="AH269">INDEX(GMW!$A$2:$NF$150,MATCH(1,(GMW!$NE$2:$NE$150=AH$3)*(GMW!$ND$2:$ND$150=AH$4)*(GMW!$NF$2:$NF$150=AH$1),0),$C269-1966)</f>
        <v>796390.5</v>
      </c>
      <c r="AI269" s="4" cm="1">
        <f t="array" ref="AI269">INDEX(GMW!$A$2:$NF$150,MATCH(1,(GMW!$NE$2:$NE$150=AI$3)*(GMW!$ND$2:$ND$150=AI$4)*(GMW!$NF$2:$NF$150=AI$1),0),$C269-1966)</f>
        <v>179.79239999999999</v>
      </c>
      <c r="AJ269" s="4" cm="1">
        <f t="array" ref="AJ269">INDEX(GMW!$A$2:$NF$150,MATCH(1,(GMW!$NE$2:$NE$150=AJ$3)*(GMW!$ND$2:$ND$150=AJ$4)*(GMW!$NF$2:$NF$150=AJ$1),0),$C269-1966)</f>
        <v>240360.9</v>
      </c>
      <c r="AK269" s="4" cm="1">
        <f t="array" ref="AK269">INDEX(GMW!$A$2:$NF$150,MATCH(1,(GMW!$NE$2:$NE$150=AK$3)*(GMW!$ND$2:$ND$150=AK$4)*(GMW!$NF$2:$NF$150=AK$1),0),$C269-1966)</f>
        <v>89607.9</v>
      </c>
      <c r="AL269" s="4" cm="1">
        <f t="array" ref="AL269">INDEX(GMW!$A$2:$NF$150,MATCH(1,(GMW!$NE$2:$NE$150=AL$3)*(GMW!$ND$2:$ND$150=AL$4)*(GMW!$NF$2:$NF$150=AL$1),0),$C269-1966)</f>
        <v>266826.5</v>
      </c>
      <c r="AM269" s="4" cm="1">
        <f t="array" ref="AM269">INDEX(GMW!$A$2:$NF$150,MATCH(1,(GMW!$NE$2:$NE$150=AM$3)*(GMW!$ND$2:$ND$150=AM$4)*(GMW!$NF$2:$NF$150=AM$1),0),$C269-1966)</f>
        <v>143403.79999999999</v>
      </c>
      <c r="AN269" s="4" cm="1">
        <f t="array" ref="AN269">INDEX(GMW!$A$2:$NF$150,MATCH(1,(GMW!$NE$2:$NE$150=AN$3)*(GMW!$ND$2:$ND$150=AN$4)*(GMW!$NF$2:$NF$150=AN$1),0),$C269-1966)</f>
        <v>151201.60000000001</v>
      </c>
      <c r="AO269" s="4" cm="1">
        <f t="array" ref="AO269">INDEX(GMW!$A$2:$NF$150,MATCH(1,(GMW!$NE$2:$NE$150=AO$3)*(GMW!$ND$2:$ND$150=AO$4)*(GMW!$NF$2:$NF$150=AO$1),0),$C269-1966)</f>
        <v>87956.01</v>
      </c>
      <c r="AP269" s="4" cm="1">
        <f t="array" ref="AP269">INDEX(GMW!$A$2:$NF$150,MATCH(1,(GMW!$NE$2:$NE$150=AP$3)*(GMW!$ND$2:$ND$150=AP$4)*(GMW!$NF$2:$NF$150=AP$1),0),$C269-1966)</f>
        <v>796390.40000000002</v>
      </c>
      <c r="AQ269" s="4" cm="1">
        <f t="array" ref="AQ269">INDEX(GMW!$A$2:$NF$150,MATCH(1,(GMW!$NE$2:$NE$150=AQ$3)*(GMW!$ND$2:$ND$150=AQ$4)*(GMW!$NF$2:$NF$150=AQ$1),0),$C269-1966)</f>
        <v>37485.86</v>
      </c>
      <c r="AR269" s="4" cm="1">
        <f t="array" ref="AR269">INDEX(GMW!$A$2:$NF$150,MATCH(1,(GMW!$NE$2:$NE$150=AR$3)*(GMW!$ND$2:$ND$150=AR$4)*(GMW!$NF$2:$NF$150=AR$1),0),$C269-1966)</f>
        <v>31.981819999999999</v>
      </c>
      <c r="AS269" s="4" cm="1">
        <f t="array" ref="AS269">INDEX(GMW!$A$2:$NF$150,MATCH(1,(GMW!$NE$2:$NE$150=AS$3)*(GMW!$ND$2:$ND$150=AS$4)*(GMW!$NF$2:$NF$150=AS$1),0),$C269-1966)</f>
        <v>675769.8</v>
      </c>
      <c r="AT269" s="4" cm="1">
        <f t="array" ref="AT269">INDEX(GMW!$A$2:$NF$150,MATCH(1,(GMW!$NE$2:$NE$150=AT$3)*(GMW!$ND$2:$ND$150=AT$4)*(GMW!$NF$2:$NF$150=AT$1),0),$C269-1966)</f>
        <v>45751.58</v>
      </c>
      <c r="AU269" s="4" cm="1">
        <f t="array" ref="AU269">INDEX(GMW!$A$2:$NF$150,MATCH(1,(GMW!$NE$2:$NE$150=AU$3)*(GMW!$ND$2:$ND$150=AU$4)*(GMW!$NF$2:$NF$150=AU$1),0),$C269-1966)</f>
        <v>4202321</v>
      </c>
      <c r="AV269" s="4" cm="1">
        <f t="array" ref="AV269">INDEX(GMW!$A$2:$NF$150,MATCH(1,(GMW!$NE$2:$NE$150=AV$3)*(GMW!$ND$2:$ND$150=AV$4)*(GMW!$NF$2:$NF$150=AV$1),0),$C269-1966)</f>
        <v>-1.6541539999999999</v>
      </c>
    </row>
    <row r="270" spans="1:48" x14ac:dyDescent="0.25">
      <c r="B270" s="4">
        <f t="shared" si="12"/>
        <v>2038</v>
      </c>
      <c r="C270" s="4">
        <f t="shared" si="11"/>
        <v>2236</v>
      </c>
      <c r="D270" s="4" cm="1">
        <f t="array" ref="D270">INDEX(GMW!$A$2:$NF$150,MATCH(1,(GMW!$NE$2:$NE$150=D$3)*(GMW!$ND$2:$ND$150=D$4)*(GMW!$NF$2:$NF$150=D$1),0),$C270-1966)</f>
        <v>792453.8</v>
      </c>
      <c r="E270" s="4" cm="1">
        <f t="array" ref="E270">INDEX(GMW!$A$2:$NF$150,MATCH(1,(GMW!$NE$2:$NE$150=E$3)*(GMW!$ND$2:$ND$150=E$4)*(GMW!$NF$2:$NF$150=E$1),0),$C270-1966)</f>
        <v>181.9622</v>
      </c>
      <c r="F270" s="4" cm="1">
        <f t="array" ref="F270">INDEX(GMW!$A$2:$NF$150,MATCH(1,(GMW!$NE$2:$NE$150=F$3)*(GMW!$ND$2:$ND$150=F$4)*(GMW!$NF$2:$NF$150=F$1),0),$C270-1966)</f>
        <v>246068.2</v>
      </c>
      <c r="G270" s="4" cm="1">
        <f t="array" ref="G270">INDEX(GMW!$A$2:$NF$150,MATCH(1,(GMW!$NE$2:$NE$150=G$3)*(GMW!$ND$2:$ND$150=G$4)*(GMW!$NF$2:$NF$150=G$1),0),$C270-1966)</f>
        <v>82790.990000000005</v>
      </c>
      <c r="H270" s="4" cm="1">
        <f t="array" ref="H270">INDEX(GMW!$A$2:$NF$150,MATCH(1,(GMW!$NE$2:$NE$150=H$3)*(GMW!$ND$2:$ND$150=H$4)*(GMW!$NF$2:$NF$150=H$1),0),$C270-1966)</f>
        <v>271889.3</v>
      </c>
      <c r="I270" s="4" cm="1">
        <f t="array" ref="I270">INDEX(GMW!$A$2:$NF$150,MATCH(1,(GMW!$NE$2:$NE$150=I$3)*(GMW!$ND$2:$ND$150=I$4)*(GMW!$NF$2:$NF$150=I$1),0),$C270-1966)</f>
        <v>146188.9</v>
      </c>
      <c r="J270" s="4" cm="1">
        <f t="array" ref="J270">INDEX(GMW!$A$2:$NF$150,MATCH(1,(GMW!$NE$2:$NE$150=J$3)*(GMW!$ND$2:$ND$150=J$4)*(GMW!$NF$2:$NF$150=J$1),0),$C270-1966)</f>
        <v>149271.29999999999</v>
      </c>
      <c r="K270" s="4" cm="1">
        <f t="array" ref="K270">INDEX(GMW!$A$2:$NF$150,MATCH(1,(GMW!$NE$2:$NE$150=K$3)*(GMW!$ND$2:$ND$150=K$4)*(GMW!$NF$2:$NF$150=K$1),0),$C270-1966)</f>
        <v>84236.55</v>
      </c>
      <c r="L270" s="4" cm="1">
        <f t="array" ref="L270">INDEX(GMW!$A$2:$NF$150,MATCH(1,(GMW!$NE$2:$NE$150=L$3)*(GMW!$ND$2:$ND$150=L$4)*(GMW!$NF$2:$NF$150=L$1),0),$C270-1966)</f>
        <v>792454.6</v>
      </c>
      <c r="M270" s="4" cm="1">
        <f t="array" ref="M270">INDEX(GMW!$A$2:$NF$150,MATCH(1,(GMW!$NE$2:$NE$150=M$3)*(GMW!$ND$2:$ND$150=M$4)*(GMW!$NF$2:$NF$150=M$1),0),$C270-1966)</f>
        <v>37609.32</v>
      </c>
      <c r="N270" s="4" cm="1">
        <f t="array" ref="N270">INDEX(GMW!$A$2:$NF$150,MATCH(1,(GMW!$NE$2:$NE$150=N$3)*(GMW!$ND$2:$ND$150=N$4)*(GMW!$NF$2:$NF$150=N$1),0),$C270-1966)</f>
        <v>31.981249999999999</v>
      </c>
      <c r="O270" s="4" cm="1">
        <f t="array" ref="O270">INDEX(GMW!$A$2:$NF$150,MATCH(1,(GMW!$NE$2:$NE$150=O$3)*(GMW!$ND$2:$ND$150=O$4)*(GMW!$NF$2:$NF$150=O$1),0),$C270-1966)</f>
        <v>680788.9</v>
      </c>
      <c r="P270" s="4" cm="1">
        <f t="array" ref="P270">INDEX(GMW!$A$2:$NF$150,MATCH(1,(GMW!$NE$2:$NE$150=P$3)*(GMW!$ND$2:$ND$150=P$4)*(GMW!$NF$2:$NF$150=P$1),0),$C270-1966)</f>
        <v>46066.26</v>
      </c>
      <c r="Q270" s="4" cm="1">
        <f t="array" ref="Q270">INDEX(GMW!$A$2:$NF$150,MATCH(1,(GMW!$NE$2:$NE$150=Q$3)*(GMW!$ND$2:$ND$150=Q$4)*(GMW!$NF$2:$NF$150=Q$1),0),$C270-1966)</f>
        <v>4144079</v>
      </c>
      <c r="R270" s="4" cm="1">
        <f t="array" ref="R270">INDEX(GMW!$A$2:$NF$150,MATCH(1,(GMW!$NE$2:$NE$150=R$3)*(GMW!$ND$2:$ND$150=R$4)*(GMW!$NF$2:$NF$150=R$1),0),$C270-1966)</f>
        <v>-1.656566</v>
      </c>
      <c r="S270" s="4" cm="1">
        <f t="array" ref="S270">INDEX(GMW!$A$2:$NF$150,MATCH(1,(GMW!$NE$2:$NE$150=S$3)*(GMW!$ND$2:$ND$150=S$4)*(GMW!$NF$2:$NF$150=S$1),0),$C270-1966)</f>
        <v>798692.3</v>
      </c>
      <c r="T270" s="4" cm="1">
        <f t="array" ref="T270">INDEX(GMW!$A$2:$NF$150,MATCH(1,(GMW!$NE$2:$NE$150=T$3)*(GMW!$ND$2:$ND$150=T$4)*(GMW!$NF$2:$NF$150=T$1),0),$C270-1966)</f>
        <v>181.83539999999999</v>
      </c>
      <c r="U270" s="4" cm="1">
        <f t="array" ref="U270">INDEX(GMW!$A$2:$NF$150,MATCH(1,(GMW!$NE$2:$NE$150=U$3)*(GMW!$ND$2:$ND$150=U$4)*(GMW!$NF$2:$NF$150=U$1),0),$C270-1966)</f>
        <v>235897.4</v>
      </c>
      <c r="V270" s="4" cm="1">
        <f t="array" ref="V270">INDEX(GMW!$A$2:$NF$150,MATCH(1,(GMW!$NE$2:$NE$150=V$3)*(GMW!$ND$2:$ND$150=V$4)*(GMW!$NF$2:$NF$150=V$1),0),$C270-1966)</f>
        <v>87181.85</v>
      </c>
      <c r="W270" s="4" cm="1">
        <f t="array" ref="W270">INDEX(GMW!$A$2:$NF$150,MATCH(1,(GMW!$NE$2:$NE$150=W$3)*(GMW!$ND$2:$ND$150=W$4)*(GMW!$NF$2:$NF$150=W$1),0),$C270-1966)</f>
        <v>263399.09999999998</v>
      </c>
      <c r="X270" s="4" cm="1">
        <f t="array" ref="X270">INDEX(GMW!$A$2:$NF$150,MATCH(1,(GMW!$NE$2:$NE$150=X$3)*(GMW!$ND$2:$ND$150=X$4)*(GMW!$NF$2:$NF$150=X$1),0),$C270-1966)</f>
        <v>140478.39999999999</v>
      </c>
      <c r="Y270" s="4" cm="1">
        <f t="array" ref="Y270">INDEX(GMW!$A$2:$NF$150,MATCH(1,(GMW!$NE$2:$NE$150=Y$3)*(GMW!$ND$2:$ND$150=Y$4)*(GMW!$NF$2:$NF$150=Y$1),0),$C270-1966)</f>
        <v>151888</v>
      </c>
      <c r="Z270" s="4" cm="1">
        <f t="array" ref="Z270">INDEX(GMW!$A$2:$NF$150,MATCH(1,(GMW!$NE$2:$NE$150=Z$3)*(GMW!$ND$2:$ND$150=Z$4)*(GMW!$NF$2:$NF$150=Z$1),0),$C270-1966)</f>
        <v>87243.67</v>
      </c>
      <c r="AA270" s="4" cm="1">
        <f t="array" ref="AA270">INDEX(GMW!$A$2:$NF$150,MATCH(1,(GMW!$NE$2:$NE$150=AA$3)*(GMW!$ND$2:$ND$150=AA$4)*(GMW!$NF$2:$NF$150=AA$1),0),$C270-1966)</f>
        <v>798692.8</v>
      </c>
      <c r="AB270" s="4" cm="1">
        <f t="array" ref="AB270">INDEX(GMW!$A$2:$NF$150,MATCH(1,(GMW!$NE$2:$NE$150=AB$3)*(GMW!$ND$2:$ND$150=AB$4)*(GMW!$NF$2:$NF$150=AB$1),0),$C270-1966)</f>
        <v>37609.32</v>
      </c>
      <c r="AC270" s="4" cm="1">
        <f t="array" ref="AC270">INDEX(GMW!$A$2:$NF$150,MATCH(1,(GMW!$NE$2:$NE$150=AC$3)*(GMW!$ND$2:$ND$150=AC$4)*(GMW!$NF$2:$NF$150=AC$1),0),$C270-1966)</f>
        <v>31.981249999999999</v>
      </c>
      <c r="AD270" s="4" cm="1">
        <f t="array" ref="AD270">INDEX(GMW!$A$2:$NF$150,MATCH(1,(GMW!$NE$2:$NE$150=AD$3)*(GMW!$ND$2:$ND$150=AD$4)*(GMW!$NF$2:$NF$150=AD$1),0),$C270-1966)</f>
        <v>680788.9</v>
      </c>
      <c r="AE270" s="4" cm="1">
        <f t="array" ref="AE270">INDEX(GMW!$A$2:$NF$150,MATCH(1,(GMW!$NE$2:$NE$150=AE$3)*(GMW!$ND$2:$ND$150=AE$4)*(GMW!$NF$2:$NF$150=AE$1),0),$C270-1966)</f>
        <v>46066.26</v>
      </c>
      <c r="AF270" s="4" cm="1">
        <f t="array" ref="AF270">INDEX(GMW!$A$2:$NF$150,MATCH(1,(GMW!$NE$2:$NE$150=AF$3)*(GMW!$ND$2:$ND$150=AF$4)*(GMW!$NF$2:$NF$150=AF$1),0),$C270-1966)</f>
        <v>4213559</v>
      </c>
      <c r="AG270" s="4" cm="1">
        <f t="array" ref="AG270">INDEX(GMW!$A$2:$NF$150,MATCH(1,(GMW!$NE$2:$NE$150=AG$3)*(GMW!$ND$2:$ND$150=AG$4)*(GMW!$NF$2:$NF$150=AG$1),0),$C270-1966)</f>
        <v>-1.654485</v>
      </c>
      <c r="AH270" s="4" cm="1">
        <f t="array" ref="AH270">INDEX(GMW!$A$2:$NF$150,MATCH(1,(GMW!$NE$2:$NE$150=AH$3)*(GMW!$ND$2:$ND$150=AH$4)*(GMW!$NF$2:$NF$150=AH$1),0),$C270-1966)</f>
        <v>799521</v>
      </c>
      <c r="AI270" s="4" cm="1">
        <f t="array" ref="AI270">INDEX(GMW!$A$2:$NF$150,MATCH(1,(GMW!$NE$2:$NE$150=AI$3)*(GMW!$ND$2:$ND$150=AI$4)*(GMW!$NF$2:$NF$150=AI$1),0),$C270-1966)</f>
        <v>180.68190000000001</v>
      </c>
      <c r="AJ270" s="4" cm="1">
        <f t="array" ref="AJ270">INDEX(GMW!$A$2:$NF$150,MATCH(1,(GMW!$NE$2:$NE$150=AJ$3)*(GMW!$ND$2:$ND$150=AJ$4)*(GMW!$NF$2:$NF$150=AJ$1),0),$C270-1966)</f>
        <v>241182.5</v>
      </c>
      <c r="AK270" s="4" cm="1">
        <f t="array" ref="AK270">INDEX(GMW!$A$2:$NF$150,MATCH(1,(GMW!$NE$2:$NE$150=AK$3)*(GMW!$ND$2:$ND$150=AK$4)*(GMW!$NF$2:$NF$150=AK$1),0),$C270-1966)</f>
        <v>89870.52</v>
      </c>
      <c r="AL270" s="4" cm="1">
        <f t="array" ref="AL270">INDEX(GMW!$A$2:$NF$150,MATCH(1,(GMW!$NE$2:$NE$150=AL$3)*(GMW!$ND$2:$ND$150=AL$4)*(GMW!$NF$2:$NF$150=AL$1),0),$C270-1966)</f>
        <v>267834.59999999998</v>
      </c>
      <c r="AM270" s="4" cm="1">
        <f t="array" ref="AM270">INDEX(GMW!$A$2:$NF$150,MATCH(1,(GMW!$NE$2:$NE$150=AM$3)*(GMW!$ND$2:$ND$150=AM$4)*(GMW!$NF$2:$NF$150=AM$1),0),$C270-1966)</f>
        <v>143924.5</v>
      </c>
      <c r="AN270" s="4" cm="1">
        <f t="array" ref="AN270">INDEX(GMW!$A$2:$NF$150,MATCH(1,(GMW!$NE$2:$NE$150=AN$3)*(GMW!$ND$2:$ND$150=AN$4)*(GMW!$NF$2:$NF$150=AN$1),0),$C270-1966)</f>
        <v>151970.9</v>
      </c>
      <c r="AO270" s="4" cm="1">
        <f t="array" ref="AO270">INDEX(GMW!$A$2:$NF$150,MATCH(1,(GMW!$NE$2:$NE$150=AO$3)*(GMW!$ND$2:$ND$150=AO$4)*(GMW!$NF$2:$NF$150=AO$1),0),$C270-1966)</f>
        <v>88444.68</v>
      </c>
      <c r="AP270" s="4" cm="1">
        <f t="array" ref="AP270">INDEX(GMW!$A$2:$NF$150,MATCH(1,(GMW!$NE$2:$NE$150=AP$3)*(GMW!$ND$2:$ND$150=AP$4)*(GMW!$NF$2:$NF$150=AP$1),0),$C270-1966)</f>
        <v>799520.4</v>
      </c>
      <c r="AQ270" s="4" cm="1">
        <f t="array" ref="AQ270">INDEX(GMW!$A$2:$NF$150,MATCH(1,(GMW!$NE$2:$NE$150=AQ$3)*(GMW!$ND$2:$ND$150=AQ$4)*(GMW!$NF$2:$NF$150=AQ$1),0),$C270-1966)</f>
        <v>37527.4</v>
      </c>
      <c r="AR270" s="4" cm="1">
        <f t="array" ref="AR270">INDEX(GMW!$A$2:$NF$150,MATCH(1,(GMW!$NE$2:$NE$150=AR$3)*(GMW!$ND$2:$ND$150=AR$4)*(GMW!$NF$2:$NF$150=AR$1),0),$C270-1966)</f>
        <v>31.981249999999999</v>
      </c>
      <c r="AS270" s="4" cm="1">
        <f t="array" ref="AS270">INDEX(GMW!$A$2:$NF$150,MATCH(1,(GMW!$NE$2:$NE$150=AS$3)*(GMW!$ND$2:$ND$150=AS$4)*(GMW!$NF$2:$NF$150=AS$1),0),$C270-1966)</f>
        <v>676681.4</v>
      </c>
      <c r="AT270" s="4" cm="1">
        <f t="array" ref="AT270">INDEX(GMW!$A$2:$NF$150,MATCH(1,(GMW!$NE$2:$NE$150=AT$3)*(GMW!$ND$2:$ND$150=AT$4)*(GMW!$NF$2:$NF$150=AT$1),0),$C270-1966)</f>
        <v>45778.94</v>
      </c>
      <c r="AU270" s="4" cm="1">
        <f t="array" ref="AU270">INDEX(GMW!$A$2:$NF$150,MATCH(1,(GMW!$NE$2:$NE$150=AU$3)*(GMW!$ND$2:$ND$150=AU$4)*(GMW!$NF$2:$NF$150=AU$1),0),$C270-1966)</f>
        <v>4222440</v>
      </c>
      <c r="AV270" s="4" cm="1">
        <f t="array" ref="AV270">INDEX(GMW!$A$2:$NF$150,MATCH(1,(GMW!$NE$2:$NE$150=AV$3)*(GMW!$ND$2:$ND$150=AV$4)*(GMW!$NF$2:$NF$150=AV$1),0),$C270-1966)</f>
        <v>-1.6528309999999999</v>
      </c>
    </row>
    <row r="271" spans="1:48" x14ac:dyDescent="0.25">
      <c r="A271" s="4">
        <v>2039</v>
      </c>
      <c r="B271" s="4">
        <f t="shared" si="12"/>
        <v>2039</v>
      </c>
      <c r="C271" s="4">
        <f t="shared" si="11"/>
        <v>2237</v>
      </c>
      <c r="D271" s="4" cm="1">
        <f t="array" ref="D271">INDEX(GMW!$A$2:$NF$150,MATCH(1,(GMW!$NE$2:$NE$150=D$3)*(GMW!$ND$2:$ND$150=D$4)*(GMW!$NF$2:$NF$150=D$1),0),$C271-1966)</f>
        <v>795582.1</v>
      </c>
      <c r="E271" s="4" cm="1">
        <f t="array" ref="E271">INDEX(GMW!$A$2:$NF$150,MATCH(1,(GMW!$NE$2:$NE$150=E$3)*(GMW!$ND$2:$ND$150=E$4)*(GMW!$NF$2:$NF$150=E$1),0),$C271-1966)</f>
        <v>182.3347</v>
      </c>
      <c r="F271" s="4" cm="1">
        <f t="array" ref="F271">INDEX(GMW!$A$2:$NF$150,MATCH(1,(GMW!$NE$2:$NE$150=F$3)*(GMW!$ND$2:$ND$150=F$4)*(GMW!$NF$2:$NF$150=F$1),0),$C271-1966)</f>
        <v>246941.8</v>
      </c>
      <c r="G271" s="4" cm="1">
        <f t="array" ref="G271">INDEX(GMW!$A$2:$NF$150,MATCH(1,(GMW!$NE$2:$NE$150=G$3)*(GMW!$ND$2:$ND$150=G$4)*(GMW!$NF$2:$NF$150=G$1),0),$C271-1966)</f>
        <v>83035.03</v>
      </c>
      <c r="H271" s="4" cm="1">
        <f t="array" ref="H271">INDEX(GMW!$A$2:$NF$150,MATCH(1,(GMW!$NE$2:$NE$150=H$3)*(GMW!$ND$2:$ND$150=H$4)*(GMW!$NF$2:$NF$150=H$1),0),$C271-1966)</f>
        <v>272938.7</v>
      </c>
      <c r="I271" s="4" cm="1">
        <f t="array" ref="I271">INDEX(GMW!$A$2:$NF$150,MATCH(1,(GMW!$NE$2:$NE$150=I$3)*(GMW!$ND$2:$ND$150=I$4)*(GMW!$NF$2:$NF$150=I$1),0),$C271-1966)</f>
        <v>146725</v>
      </c>
      <c r="J271" s="4" cm="1">
        <f t="array" ref="J271">INDEX(GMW!$A$2:$NF$150,MATCH(1,(GMW!$NE$2:$NE$150=J$3)*(GMW!$ND$2:$ND$150=J$4)*(GMW!$NF$2:$NF$150=J$1),0),$C271-1966)</f>
        <v>150037.6</v>
      </c>
      <c r="K271" s="4" cm="1">
        <f t="array" ref="K271">INDEX(GMW!$A$2:$NF$150,MATCH(1,(GMW!$NE$2:$NE$150=K$3)*(GMW!$ND$2:$ND$150=K$4)*(GMW!$NF$2:$NF$150=K$1),0),$C271-1966)</f>
        <v>84712.3</v>
      </c>
      <c r="L271" s="4" cm="1">
        <f t="array" ref="L271">INDEX(GMW!$A$2:$NF$150,MATCH(1,(GMW!$NE$2:$NE$150=L$3)*(GMW!$ND$2:$ND$150=L$4)*(GMW!$NF$2:$NF$150=L$1),0),$C271-1966)</f>
        <v>795582.8</v>
      </c>
      <c r="M271" s="4" cm="1">
        <f t="array" ref="M271">INDEX(GMW!$A$2:$NF$150,MATCH(1,(GMW!$NE$2:$NE$150=M$3)*(GMW!$ND$2:$ND$150=M$4)*(GMW!$NF$2:$NF$150=M$1),0),$C271-1966)</f>
        <v>37655.07</v>
      </c>
      <c r="N271" s="4" cm="1">
        <f t="array" ref="N271">INDEX(GMW!$A$2:$NF$150,MATCH(1,(GMW!$NE$2:$NE$150=N$3)*(GMW!$ND$2:$ND$150=N$4)*(GMW!$NF$2:$NF$150=N$1),0),$C271-1966)</f>
        <v>31.98068</v>
      </c>
      <c r="O271" s="4" cm="1">
        <f t="array" ref="O271">INDEX(GMW!$A$2:$NF$150,MATCH(1,(GMW!$NE$2:$NE$150=O$3)*(GMW!$ND$2:$ND$150=O$4)*(GMW!$NF$2:$NF$150=O$1),0),$C271-1966)</f>
        <v>681600.9</v>
      </c>
      <c r="P271" s="4" cm="1">
        <f t="array" ref="P271">INDEX(GMW!$A$2:$NF$150,MATCH(1,(GMW!$NE$2:$NE$150=P$3)*(GMW!$ND$2:$ND$150=P$4)*(GMW!$NF$2:$NF$150=P$1),0),$C271-1966)</f>
        <v>46087.18</v>
      </c>
      <c r="Q271" s="4" cm="1">
        <f t="array" ref="Q271">INDEX(GMW!$A$2:$NF$150,MATCH(1,(GMW!$NE$2:$NE$150=Q$3)*(GMW!$ND$2:$ND$150=Q$4)*(GMW!$NF$2:$NF$150=Q$1),0),$C271-1966)</f>
        <v>4163333</v>
      </c>
      <c r="R271" s="4" cm="1">
        <f t="array" ref="R271">INDEX(GMW!$A$2:$NF$150,MATCH(1,(GMW!$NE$2:$NE$150=R$3)*(GMW!$ND$2:$ND$150=R$4)*(GMW!$NF$2:$NF$150=R$1),0),$C271-1966)</f>
        <v>-1.655241</v>
      </c>
      <c r="S271" s="4" cm="1">
        <f t="array" ref="S271">INDEX(GMW!$A$2:$NF$150,MATCH(1,(GMW!$NE$2:$NE$150=S$3)*(GMW!$ND$2:$ND$150=S$4)*(GMW!$NF$2:$NF$150=S$1),0),$C271-1966)</f>
        <v>801891.5</v>
      </c>
      <c r="T271" s="4" cm="1">
        <f t="array" ref="T271">INDEX(GMW!$A$2:$NF$150,MATCH(1,(GMW!$NE$2:$NE$150=T$3)*(GMW!$ND$2:$ND$150=T$4)*(GMW!$NF$2:$NF$150=T$1),0),$C271-1966)</f>
        <v>182.1422</v>
      </c>
      <c r="U271" s="4" cm="1">
        <f t="array" ref="U271">INDEX(GMW!$A$2:$NF$150,MATCH(1,(GMW!$NE$2:$NE$150=U$3)*(GMW!$ND$2:$ND$150=U$4)*(GMW!$NF$2:$NF$150=U$1),0),$C271-1966)</f>
        <v>236732.4</v>
      </c>
      <c r="V271" s="4" cm="1">
        <f t="array" ref="V271">INDEX(GMW!$A$2:$NF$150,MATCH(1,(GMW!$NE$2:$NE$150=V$3)*(GMW!$ND$2:$ND$150=V$4)*(GMW!$NF$2:$NF$150=V$1),0),$C271-1966)</f>
        <v>87443.88</v>
      </c>
      <c r="W271" s="4" cm="1">
        <f t="array" ref="W271">INDEX(GMW!$A$2:$NF$150,MATCH(1,(GMW!$NE$2:$NE$150=W$3)*(GMW!$ND$2:$ND$150=W$4)*(GMW!$NF$2:$NF$150=W$1),0),$C271-1966)</f>
        <v>264421.3</v>
      </c>
      <c r="X271" s="4" cm="1">
        <f t="array" ref="X271">INDEX(GMW!$A$2:$NF$150,MATCH(1,(GMW!$NE$2:$NE$150=X$3)*(GMW!$ND$2:$ND$150=X$4)*(GMW!$NF$2:$NF$150=X$1),0),$C271-1966)</f>
        <v>141001.79999999999</v>
      </c>
      <c r="Y271" s="4" cm="1">
        <f t="array" ref="Y271">INDEX(GMW!$A$2:$NF$150,MATCH(1,(GMW!$NE$2:$NE$150=Y$3)*(GMW!$ND$2:$ND$150=Y$4)*(GMW!$NF$2:$NF$150=Y$1),0),$C271-1966)</f>
        <v>152671.29999999999</v>
      </c>
      <c r="Z271" s="4" cm="1">
        <f t="array" ref="Z271">INDEX(GMW!$A$2:$NF$150,MATCH(1,(GMW!$NE$2:$NE$150=Z$3)*(GMW!$ND$2:$ND$150=Z$4)*(GMW!$NF$2:$NF$150=Z$1),0),$C271-1966)</f>
        <v>87734.89</v>
      </c>
      <c r="AA271" s="4" cm="1">
        <f t="array" ref="AA271">INDEX(GMW!$A$2:$NF$150,MATCH(1,(GMW!$NE$2:$NE$150=AA$3)*(GMW!$ND$2:$ND$150=AA$4)*(GMW!$NF$2:$NF$150=AA$1),0),$C271-1966)</f>
        <v>801892.2</v>
      </c>
      <c r="AB271" s="4" cm="1">
        <f t="array" ref="AB271">INDEX(GMW!$A$2:$NF$150,MATCH(1,(GMW!$NE$2:$NE$150=AB$3)*(GMW!$ND$2:$ND$150=AB$4)*(GMW!$NF$2:$NF$150=AB$1),0),$C271-1966)</f>
        <v>37655.07</v>
      </c>
      <c r="AC271" s="4" cm="1">
        <f t="array" ref="AC271">INDEX(GMW!$A$2:$NF$150,MATCH(1,(GMW!$NE$2:$NE$150=AC$3)*(GMW!$ND$2:$ND$150=AC$4)*(GMW!$NF$2:$NF$150=AC$1),0),$C271-1966)</f>
        <v>31.98068</v>
      </c>
      <c r="AD271" s="4" cm="1">
        <f t="array" ref="AD271">INDEX(GMW!$A$2:$NF$150,MATCH(1,(GMW!$NE$2:$NE$150=AD$3)*(GMW!$ND$2:$ND$150=AD$4)*(GMW!$NF$2:$NF$150=AD$1),0),$C271-1966)</f>
        <v>681600.9</v>
      </c>
      <c r="AE271" s="4" cm="1">
        <f t="array" ref="AE271">INDEX(GMW!$A$2:$NF$150,MATCH(1,(GMW!$NE$2:$NE$150=AE$3)*(GMW!$ND$2:$ND$150=AE$4)*(GMW!$NF$2:$NF$150=AE$1),0),$C271-1966)</f>
        <v>46087.18</v>
      </c>
      <c r="AF271" s="4" cm="1">
        <f t="array" ref="AF271">INDEX(GMW!$A$2:$NF$150,MATCH(1,(GMW!$NE$2:$NE$150=AF$3)*(GMW!$ND$2:$ND$150=AF$4)*(GMW!$NF$2:$NF$150=AF$1),0),$C271-1966)</f>
        <v>4233827</v>
      </c>
      <c r="AG271" s="4" cm="1">
        <f t="array" ref="AG271">INDEX(GMW!$A$2:$NF$150,MATCH(1,(GMW!$NE$2:$NE$150=AG$3)*(GMW!$ND$2:$ND$150=AG$4)*(GMW!$NF$2:$NF$150=AG$1),0),$C271-1966)</f>
        <v>-1.6531610000000001</v>
      </c>
      <c r="AH271" s="4" cm="1">
        <f t="array" ref="AH271">INDEX(GMW!$A$2:$NF$150,MATCH(1,(GMW!$NE$2:$NE$150=AH$3)*(GMW!$ND$2:$ND$150=AH$4)*(GMW!$NF$2:$NF$150=AH$1),0),$C271-1966)</f>
        <v>802665.1</v>
      </c>
      <c r="AI271" s="4" cm="1">
        <f t="array" ref="AI271">INDEX(GMW!$A$2:$NF$150,MATCH(1,(GMW!$NE$2:$NE$150=AI$3)*(GMW!$ND$2:$ND$150=AI$4)*(GMW!$NF$2:$NF$150=AI$1),0),$C271-1966)</f>
        <v>181.0249</v>
      </c>
      <c r="AJ271" s="4" cm="1">
        <f t="array" ref="AJ271">INDEX(GMW!$A$2:$NF$150,MATCH(1,(GMW!$NE$2:$NE$150=AJ$3)*(GMW!$ND$2:$ND$150=AJ$4)*(GMW!$NF$2:$NF$150=AJ$1),0),$C271-1966)</f>
        <v>242008</v>
      </c>
      <c r="AK271" s="4" cm="1">
        <f t="array" ref="AK271">INDEX(GMW!$A$2:$NF$150,MATCH(1,(GMW!$NE$2:$NE$150=AK$3)*(GMW!$ND$2:$ND$150=AK$4)*(GMW!$NF$2:$NF$150=AK$1),0),$C271-1966)</f>
        <v>90134.06</v>
      </c>
      <c r="AL271" s="4" cm="1">
        <f t="array" ref="AL271">INDEX(GMW!$A$2:$NF$150,MATCH(1,(GMW!$NE$2:$NE$150=AL$3)*(GMW!$ND$2:$ND$150=AL$4)*(GMW!$NF$2:$NF$150=AL$1),0),$C271-1966)</f>
        <v>268847.2</v>
      </c>
      <c r="AM271" s="4" cm="1">
        <f t="array" ref="AM271">INDEX(GMW!$A$2:$NF$150,MATCH(1,(GMW!$NE$2:$NE$150=AM$3)*(GMW!$ND$2:$ND$150=AM$4)*(GMW!$NF$2:$NF$150=AM$1),0),$C271-1966)</f>
        <v>144447.29999999999</v>
      </c>
      <c r="AN271" s="4" cm="1">
        <f t="array" ref="AN271">INDEX(GMW!$A$2:$NF$150,MATCH(1,(GMW!$NE$2:$NE$150=AN$3)*(GMW!$ND$2:$ND$150=AN$4)*(GMW!$NF$2:$NF$150=AN$1),0),$C271-1966)</f>
        <v>152744.5</v>
      </c>
      <c r="AO271" s="4" cm="1">
        <f t="array" ref="AO271">INDEX(GMW!$A$2:$NF$150,MATCH(1,(GMW!$NE$2:$NE$150=AO$3)*(GMW!$ND$2:$ND$150=AO$4)*(GMW!$NF$2:$NF$150=AO$1),0),$C271-1966)</f>
        <v>88936.21</v>
      </c>
      <c r="AP271" s="4" cm="1">
        <f t="array" ref="AP271">INDEX(GMW!$A$2:$NF$150,MATCH(1,(GMW!$NE$2:$NE$150=AP$3)*(GMW!$ND$2:$ND$150=AP$4)*(GMW!$NF$2:$NF$150=AP$1),0),$C271-1966)</f>
        <v>802664.2</v>
      </c>
      <c r="AQ271" s="4" cm="1">
        <f t="array" ref="AQ271">INDEX(GMW!$A$2:$NF$150,MATCH(1,(GMW!$NE$2:$NE$150=AQ$3)*(GMW!$ND$2:$ND$150=AQ$4)*(GMW!$NF$2:$NF$150=AQ$1),0),$C271-1966)</f>
        <v>37568.93</v>
      </c>
      <c r="AR271" s="4" cm="1">
        <f t="array" ref="AR271">INDEX(GMW!$A$2:$NF$150,MATCH(1,(GMW!$NE$2:$NE$150=AR$3)*(GMW!$ND$2:$ND$150=AR$4)*(GMW!$NF$2:$NF$150=AR$1),0),$C271-1966)</f>
        <v>31.98068</v>
      </c>
      <c r="AS271" s="4" cm="1">
        <f t="array" ref="AS271">INDEX(GMW!$A$2:$NF$150,MATCH(1,(GMW!$NE$2:$NE$150=AS$3)*(GMW!$ND$2:$ND$150=AS$4)*(GMW!$NF$2:$NF$150=AS$1),0),$C271-1966)</f>
        <v>677590.3</v>
      </c>
      <c r="AT271" s="4" cm="1">
        <f t="array" ref="AT271">INDEX(GMW!$A$2:$NF$150,MATCH(1,(GMW!$NE$2:$NE$150=AT$3)*(GMW!$ND$2:$ND$150=AT$4)*(GMW!$NF$2:$NF$150=AT$1),0),$C271-1966)</f>
        <v>45806.3</v>
      </c>
      <c r="AU271" s="4" cm="1">
        <f t="array" ref="AU271">INDEX(GMW!$A$2:$NF$150,MATCH(1,(GMW!$NE$2:$NE$150=AU$3)*(GMW!$ND$2:$ND$150=AU$4)*(GMW!$NF$2:$NF$150=AU$1),0),$C271-1966)</f>
        <v>4242717</v>
      </c>
      <c r="AV271" s="4" cm="1">
        <f t="array" ref="AV271">INDEX(GMW!$A$2:$NF$150,MATCH(1,(GMW!$NE$2:$NE$150=AV$3)*(GMW!$ND$2:$ND$150=AV$4)*(GMW!$NF$2:$NF$150=AV$1),0),$C271-1966)</f>
        <v>-1.6515089999999999</v>
      </c>
    </row>
    <row r="272" spans="1:48" x14ac:dyDescent="0.25">
      <c r="B272" s="4">
        <f t="shared" si="12"/>
        <v>2039</v>
      </c>
      <c r="C272" s="4">
        <f t="shared" si="11"/>
        <v>2238</v>
      </c>
      <c r="D272" s="4" cm="1">
        <f t="array" ref="D272">INDEX(GMW!$A$2:$NF$150,MATCH(1,(GMW!$NE$2:$NE$150=D$3)*(GMW!$ND$2:$ND$150=D$4)*(GMW!$NF$2:$NF$150=D$1),0),$C272-1966)</f>
        <v>798726.2</v>
      </c>
      <c r="E272" s="4" cm="1">
        <f t="array" ref="E272">INDEX(GMW!$A$2:$NF$150,MATCH(1,(GMW!$NE$2:$NE$150=E$3)*(GMW!$ND$2:$ND$150=E$4)*(GMW!$NF$2:$NF$150=E$1),0),$C272-1966)</f>
        <v>183.9511</v>
      </c>
      <c r="F272" s="4" cm="1">
        <f t="array" ref="F272">INDEX(GMW!$A$2:$NF$150,MATCH(1,(GMW!$NE$2:$NE$150=F$3)*(GMW!$ND$2:$ND$150=F$4)*(GMW!$NF$2:$NF$150=F$1),0),$C272-1966)</f>
        <v>247820.1</v>
      </c>
      <c r="G272" s="4" cm="1">
        <f t="array" ref="G272">INDEX(GMW!$A$2:$NF$150,MATCH(1,(GMW!$NE$2:$NE$150=G$3)*(GMW!$ND$2:$ND$150=G$4)*(GMW!$NF$2:$NF$150=G$1),0),$C272-1966)</f>
        <v>83280.14</v>
      </c>
      <c r="H272" s="4" cm="1">
        <f t="array" ref="H272">INDEX(GMW!$A$2:$NF$150,MATCH(1,(GMW!$NE$2:$NE$150=H$3)*(GMW!$ND$2:$ND$150=H$4)*(GMW!$NF$2:$NF$150=H$1),0),$C272-1966)</f>
        <v>273993.7</v>
      </c>
      <c r="I272" s="4" cm="1">
        <f t="array" ref="I272">INDEX(GMW!$A$2:$NF$150,MATCH(1,(GMW!$NE$2:$NE$150=I$3)*(GMW!$ND$2:$ND$150=I$4)*(GMW!$NF$2:$NF$150=I$1),0),$C272-1966)</f>
        <v>147263.79999999999</v>
      </c>
      <c r="J272" s="4" cm="1">
        <f t="array" ref="J272">INDEX(GMW!$A$2:$NF$150,MATCH(1,(GMW!$NE$2:$NE$150=J$3)*(GMW!$ND$2:$ND$150=J$4)*(GMW!$NF$2:$NF$150=J$1),0),$C272-1966)</f>
        <v>150808.6</v>
      </c>
      <c r="K272" s="4" cm="1">
        <f t="array" ref="K272">INDEX(GMW!$A$2:$NF$150,MATCH(1,(GMW!$NE$2:$NE$150=K$3)*(GMW!$ND$2:$ND$150=K$4)*(GMW!$NF$2:$NF$150=K$1),0),$C272-1966)</f>
        <v>85191.08</v>
      </c>
      <c r="L272" s="4" cm="1">
        <f t="array" ref="L272">INDEX(GMW!$A$2:$NF$150,MATCH(1,(GMW!$NE$2:$NE$150=L$3)*(GMW!$ND$2:$ND$150=L$4)*(GMW!$NF$2:$NF$150=L$1),0),$C272-1966)</f>
        <v>798725.5</v>
      </c>
      <c r="M272" s="4" cm="1">
        <f t="array" ref="M272">INDEX(GMW!$A$2:$NF$150,MATCH(1,(GMW!$NE$2:$NE$150=M$3)*(GMW!$ND$2:$ND$150=M$4)*(GMW!$NF$2:$NF$150=M$1),0),$C272-1966)</f>
        <v>37700.82</v>
      </c>
      <c r="N272" s="4" cm="1">
        <f t="array" ref="N272">INDEX(GMW!$A$2:$NF$150,MATCH(1,(GMW!$NE$2:$NE$150=N$3)*(GMW!$ND$2:$ND$150=N$4)*(GMW!$NF$2:$NF$150=N$1),0),$C272-1966)</f>
        <v>31.9801</v>
      </c>
      <c r="O272" s="4" cm="1">
        <f t="array" ref="O272">INDEX(GMW!$A$2:$NF$150,MATCH(1,(GMW!$NE$2:$NE$150=O$3)*(GMW!$ND$2:$ND$150=O$4)*(GMW!$NF$2:$NF$150=O$1),0),$C272-1966)</f>
        <v>682410.4</v>
      </c>
      <c r="P272" s="4" cm="1">
        <f t="array" ref="P272">INDEX(GMW!$A$2:$NF$150,MATCH(1,(GMW!$NE$2:$NE$150=P$3)*(GMW!$ND$2:$ND$150=P$4)*(GMW!$NF$2:$NF$150=P$1),0),$C272-1966)</f>
        <v>46108.11</v>
      </c>
      <c r="Q272" s="4" cm="1">
        <f t="array" ref="Q272">INDEX(GMW!$A$2:$NF$150,MATCH(1,(GMW!$NE$2:$NE$150=Q$3)*(GMW!$ND$2:$ND$150=Q$4)*(GMW!$NF$2:$NF$150=Q$1),0),$C272-1966)</f>
        <v>4182768</v>
      </c>
      <c r="R272" s="4" cm="1">
        <f t="array" ref="R272">INDEX(GMW!$A$2:$NF$150,MATCH(1,(GMW!$NE$2:$NE$150=R$3)*(GMW!$ND$2:$ND$150=R$4)*(GMW!$NF$2:$NF$150=R$1),0),$C272-1966)</f>
        <v>-1.6539170000000001</v>
      </c>
      <c r="S272" s="4" cm="1">
        <f t="array" ref="S272">INDEX(GMW!$A$2:$NF$150,MATCH(1,(GMW!$NE$2:$NE$150=S$3)*(GMW!$ND$2:$ND$150=S$4)*(GMW!$NF$2:$NF$150=S$1),0),$C272-1966)</f>
        <v>805105.1</v>
      </c>
      <c r="T272" s="4" cm="1">
        <f t="array" ref="T272">INDEX(GMW!$A$2:$NF$150,MATCH(1,(GMW!$NE$2:$NE$150=T$3)*(GMW!$ND$2:$ND$150=T$4)*(GMW!$NF$2:$NF$150=T$1),0),$C272-1966)</f>
        <v>183.79470000000001</v>
      </c>
      <c r="U272" s="4" cm="1">
        <f t="array" ref="U272">INDEX(GMW!$A$2:$NF$150,MATCH(1,(GMW!$NE$2:$NE$150=U$3)*(GMW!$ND$2:$ND$150=U$4)*(GMW!$NF$2:$NF$150=U$1),0),$C272-1966)</f>
        <v>237571.6</v>
      </c>
      <c r="V272" s="4" cm="1">
        <f t="array" ref="V272">INDEX(GMW!$A$2:$NF$150,MATCH(1,(GMW!$NE$2:$NE$150=V$3)*(GMW!$ND$2:$ND$150=V$4)*(GMW!$NF$2:$NF$150=V$1),0),$C272-1966)</f>
        <v>87706.87</v>
      </c>
      <c r="W272" s="4" cm="1">
        <f t="array" ref="W272">INDEX(GMW!$A$2:$NF$150,MATCH(1,(GMW!$NE$2:$NE$150=W$3)*(GMW!$ND$2:$ND$150=W$4)*(GMW!$NF$2:$NF$150=W$1),0),$C272-1966)</f>
        <v>265448.09999999998</v>
      </c>
      <c r="X272" s="4" cm="1">
        <f t="array" ref="X272">INDEX(GMW!$A$2:$NF$150,MATCH(1,(GMW!$NE$2:$NE$150=X$3)*(GMW!$ND$2:$ND$150=X$4)*(GMW!$NF$2:$NF$150=X$1),0),$C272-1966)</f>
        <v>141527.29999999999</v>
      </c>
      <c r="Y272" s="4" cm="1">
        <f t="array" ref="Y272">INDEX(GMW!$A$2:$NF$150,MATCH(1,(GMW!$NE$2:$NE$150=Y$3)*(GMW!$ND$2:$ND$150=Y$4)*(GMW!$NF$2:$NF$150=Y$1),0),$C272-1966)</f>
        <v>153459.1</v>
      </c>
      <c r="Z272" s="4" cm="1">
        <f t="array" ref="Z272">INDEX(GMW!$A$2:$NF$150,MATCH(1,(GMW!$NE$2:$NE$150=Z$3)*(GMW!$ND$2:$ND$150=Z$4)*(GMW!$NF$2:$NF$150=Z$1),0),$C272-1966)</f>
        <v>88229.07</v>
      </c>
      <c r="AA272" s="4" cm="1">
        <f t="array" ref="AA272">INDEX(GMW!$A$2:$NF$150,MATCH(1,(GMW!$NE$2:$NE$150=AA$3)*(GMW!$ND$2:$ND$150=AA$4)*(GMW!$NF$2:$NF$150=AA$1),0),$C272-1966)</f>
        <v>805104.4</v>
      </c>
      <c r="AB272" s="4" cm="1">
        <f t="array" ref="AB272">INDEX(GMW!$A$2:$NF$150,MATCH(1,(GMW!$NE$2:$NE$150=AB$3)*(GMW!$ND$2:$ND$150=AB$4)*(GMW!$NF$2:$NF$150=AB$1),0),$C272-1966)</f>
        <v>37700.82</v>
      </c>
      <c r="AC272" s="4" cm="1">
        <f t="array" ref="AC272">INDEX(GMW!$A$2:$NF$150,MATCH(1,(GMW!$NE$2:$NE$150=AC$3)*(GMW!$ND$2:$ND$150=AC$4)*(GMW!$NF$2:$NF$150=AC$1),0),$C272-1966)</f>
        <v>31.9801</v>
      </c>
      <c r="AD272" s="4" cm="1">
        <f t="array" ref="AD272">INDEX(GMW!$A$2:$NF$150,MATCH(1,(GMW!$NE$2:$NE$150=AD$3)*(GMW!$ND$2:$ND$150=AD$4)*(GMW!$NF$2:$NF$150=AD$1),0),$C272-1966)</f>
        <v>682410.4</v>
      </c>
      <c r="AE272" s="4" cm="1">
        <f t="array" ref="AE272">INDEX(GMW!$A$2:$NF$150,MATCH(1,(GMW!$NE$2:$NE$150=AE$3)*(GMW!$ND$2:$ND$150=AE$4)*(GMW!$NF$2:$NF$150=AE$1),0),$C272-1966)</f>
        <v>46108.11</v>
      </c>
      <c r="AF272" s="4" cm="1">
        <f t="array" ref="AF272">INDEX(GMW!$A$2:$NF$150,MATCH(1,(GMW!$NE$2:$NE$150=AF$3)*(GMW!$ND$2:$ND$150=AF$4)*(GMW!$NF$2:$NF$150=AF$1),0),$C272-1966)</f>
        <v>4254260</v>
      </c>
      <c r="AG272" s="4" cm="1">
        <f t="array" ref="AG272">INDEX(GMW!$A$2:$NF$150,MATCH(1,(GMW!$NE$2:$NE$150=AG$3)*(GMW!$ND$2:$ND$150=AG$4)*(GMW!$NF$2:$NF$150=AG$1),0),$C272-1966)</f>
        <v>-1.6518390000000001</v>
      </c>
      <c r="AH272" s="4" cm="1">
        <f t="array" ref="AH272">INDEX(GMW!$A$2:$NF$150,MATCH(1,(GMW!$NE$2:$NE$150=AH$3)*(GMW!$ND$2:$ND$150=AH$4)*(GMW!$NF$2:$NF$150=AH$1),0),$C272-1966)</f>
        <v>805822.9</v>
      </c>
      <c r="AI272" s="4" cm="1">
        <f t="array" ref="AI272">INDEX(GMW!$A$2:$NF$150,MATCH(1,(GMW!$NE$2:$NE$150=AI$3)*(GMW!$ND$2:$ND$150=AI$4)*(GMW!$NF$2:$NF$150=AI$1),0),$C272-1966)</f>
        <v>182.5822</v>
      </c>
      <c r="AJ272" s="4" cm="1">
        <f t="array" ref="AJ272">INDEX(GMW!$A$2:$NF$150,MATCH(1,(GMW!$NE$2:$NE$150=AJ$3)*(GMW!$ND$2:$ND$150=AJ$4)*(GMW!$NF$2:$NF$150=AJ$1),0),$C272-1966)</f>
        <v>242837.5</v>
      </c>
      <c r="AK272" s="4" cm="1">
        <f t="array" ref="AK272">INDEX(GMW!$A$2:$NF$150,MATCH(1,(GMW!$NE$2:$NE$150=AK$3)*(GMW!$ND$2:$ND$150=AK$4)*(GMW!$NF$2:$NF$150=AK$1),0),$C272-1966)</f>
        <v>90398.54</v>
      </c>
      <c r="AL272" s="4" cm="1">
        <f t="array" ref="AL272">INDEX(GMW!$A$2:$NF$150,MATCH(1,(GMW!$NE$2:$NE$150=AL$3)*(GMW!$ND$2:$ND$150=AL$4)*(GMW!$NF$2:$NF$150=AL$1),0),$C272-1966)</f>
        <v>269864.40000000002</v>
      </c>
      <c r="AM272" s="4" cm="1">
        <f t="array" ref="AM272">INDEX(GMW!$A$2:$NF$150,MATCH(1,(GMW!$NE$2:$NE$150=AM$3)*(GMW!$ND$2:$ND$150=AM$4)*(GMW!$NF$2:$NF$150=AM$1),0),$C272-1966)</f>
        <v>144972.29999999999</v>
      </c>
      <c r="AN272" s="4" cm="1">
        <f t="array" ref="AN272">INDEX(GMW!$A$2:$NF$150,MATCH(1,(GMW!$NE$2:$NE$150=AN$3)*(GMW!$ND$2:$ND$150=AN$4)*(GMW!$NF$2:$NF$150=AN$1),0),$C272-1966)</f>
        <v>153522.29999999999</v>
      </c>
      <c r="AO272" s="4" cm="1">
        <f t="array" ref="AO272">INDEX(GMW!$A$2:$NF$150,MATCH(1,(GMW!$NE$2:$NE$150=AO$3)*(GMW!$ND$2:$ND$150=AO$4)*(GMW!$NF$2:$NF$150=AO$1),0),$C272-1966)</f>
        <v>89430.63</v>
      </c>
      <c r="AP272" s="4" cm="1">
        <f t="array" ref="AP272">INDEX(GMW!$A$2:$NF$150,MATCH(1,(GMW!$NE$2:$NE$150=AP$3)*(GMW!$ND$2:$ND$150=AP$4)*(GMW!$NF$2:$NF$150=AP$1),0),$C272-1966)</f>
        <v>805822.6</v>
      </c>
      <c r="AQ272" s="4" cm="1">
        <f t="array" ref="AQ272">INDEX(GMW!$A$2:$NF$150,MATCH(1,(GMW!$NE$2:$NE$150=AQ$3)*(GMW!$ND$2:$ND$150=AQ$4)*(GMW!$NF$2:$NF$150=AQ$1),0),$C272-1966)</f>
        <v>37610.46</v>
      </c>
      <c r="AR272" s="4" cm="1">
        <f t="array" ref="AR272">INDEX(GMW!$A$2:$NF$150,MATCH(1,(GMW!$NE$2:$NE$150=AR$3)*(GMW!$ND$2:$ND$150=AR$4)*(GMW!$NF$2:$NF$150=AR$1),0),$C272-1966)</f>
        <v>31.9801</v>
      </c>
      <c r="AS272" s="4" cm="1">
        <f t="array" ref="AS272">INDEX(GMW!$A$2:$NF$150,MATCH(1,(GMW!$NE$2:$NE$150=AS$3)*(GMW!$ND$2:$ND$150=AS$4)*(GMW!$NF$2:$NF$150=AS$1),0),$C272-1966)</f>
        <v>678496.7</v>
      </c>
      <c r="AT272" s="4" cm="1">
        <f t="array" ref="AT272">INDEX(GMW!$A$2:$NF$150,MATCH(1,(GMW!$NE$2:$NE$150=AT$3)*(GMW!$ND$2:$ND$150=AT$4)*(GMW!$NF$2:$NF$150=AT$1),0),$C272-1966)</f>
        <v>45833.66</v>
      </c>
      <c r="AU272" s="4" cm="1">
        <f t="array" ref="AU272">INDEX(GMW!$A$2:$NF$150,MATCH(1,(GMW!$NE$2:$NE$150=AU$3)*(GMW!$ND$2:$ND$150=AU$4)*(GMW!$NF$2:$NF$150=AU$1),0),$C272-1966)</f>
        <v>4263151</v>
      </c>
      <c r="AV272" s="4" cm="1">
        <f t="array" ref="AV272">INDEX(GMW!$A$2:$NF$150,MATCH(1,(GMW!$NE$2:$NE$150=AV$3)*(GMW!$ND$2:$ND$150=AV$4)*(GMW!$NF$2:$NF$150=AV$1),0),$C272-1966)</f>
        <v>-1.650188</v>
      </c>
    </row>
    <row r="273" spans="1:48" x14ac:dyDescent="0.25">
      <c r="B273" s="4">
        <f t="shared" si="12"/>
        <v>2039</v>
      </c>
      <c r="C273" s="4">
        <f t="shared" si="11"/>
        <v>2239</v>
      </c>
      <c r="D273" s="4" cm="1">
        <f t="array" ref="D273">INDEX(GMW!$A$2:$NF$150,MATCH(1,(GMW!$NE$2:$NE$150=D$3)*(GMW!$ND$2:$ND$150=D$4)*(GMW!$NF$2:$NF$150=D$1),0),$C273-1966)</f>
        <v>801886.2</v>
      </c>
      <c r="E273" s="4" cm="1">
        <f t="array" ref="E273">INDEX(GMW!$A$2:$NF$150,MATCH(1,(GMW!$NE$2:$NE$150=E$3)*(GMW!$ND$2:$ND$150=E$4)*(GMW!$NF$2:$NF$150=E$1),0),$C273-1966)</f>
        <v>184.78790000000001</v>
      </c>
      <c r="F273" s="4" cm="1">
        <f t="array" ref="F273">INDEX(GMW!$A$2:$NF$150,MATCH(1,(GMW!$NE$2:$NE$150=F$3)*(GMW!$ND$2:$ND$150=F$4)*(GMW!$NF$2:$NF$150=F$1),0),$C273-1966)</f>
        <v>248703.2</v>
      </c>
      <c r="G273" s="4" cm="1">
        <f t="array" ref="G273">INDEX(GMW!$A$2:$NF$150,MATCH(1,(GMW!$NE$2:$NE$150=G$3)*(GMW!$ND$2:$ND$150=G$4)*(GMW!$NF$2:$NF$150=G$1),0),$C273-1966)</f>
        <v>83526.34</v>
      </c>
      <c r="H273" s="4" cm="1">
        <f t="array" ref="H273">INDEX(GMW!$A$2:$NF$150,MATCH(1,(GMW!$NE$2:$NE$150=H$3)*(GMW!$ND$2:$ND$150=H$4)*(GMW!$NF$2:$NF$150=H$1),0),$C273-1966)</f>
        <v>275054.09999999998</v>
      </c>
      <c r="I273" s="4" cm="1">
        <f t="array" ref="I273">INDEX(GMW!$A$2:$NF$150,MATCH(1,(GMW!$NE$2:$NE$150=I$3)*(GMW!$ND$2:$ND$150=I$4)*(GMW!$NF$2:$NF$150=I$1),0),$C273-1966)</f>
        <v>147805.20000000001</v>
      </c>
      <c r="J273" s="4" cm="1">
        <f t="array" ref="J273">INDEX(GMW!$A$2:$NF$150,MATCH(1,(GMW!$NE$2:$NE$150=J$3)*(GMW!$ND$2:$ND$150=J$4)*(GMW!$NF$2:$NF$150=J$1),0),$C273-1966)</f>
        <v>151584.20000000001</v>
      </c>
      <c r="K273" s="4" cm="1">
        <f t="array" ref="K273">INDEX(GMW!$A$2:$NF$150,MATCH(1,(GMW!$NE$2:$NE$150=K$3)*(GMW!$ND$2:$ND$150=K$4)*(GMW!$NF$2:$NF$150=K$1),0),$C273-1966)</f>
        <v>85672.95</v>
      </c>
      <c r="L273" s="4" cm="1">
        <f t="array" ref="L273">INDEX(GMW!$A$2:$NF$150,MATCH(1,(GMW!$NE$2:$NE$150=L$3)*(GMW!$ND$2:$ND$150=L$4)*(GMW!$NF$2:$NF$150=L$1),0),$C273-1966)</f>
        <v>801886.1</v>
      </c>
      <c r="M273" s="4" cm="1">
        <f t="array" ref="M273">INDEX(GMW!$A$2:$NF$150,MATCH(1,(GMW!$NE$2:$NE$150=M$3)*(GMW!$ND$2:$ND$150=M$4)*(GMW!$NF$2:$NF$150=M$1),0),$C273-1966)</f>
        <v>37746.57</v>
      </c>
      <c r="N273" s="4" cm="1">
        <f t="array" ref="N273">INDEX(GMW!$A$2:$NF$150,MATCH(1,(GMW!$NE$2:$NE$150=N$3)*(GMW!$ND$2:$ND$150=N$4)*(GMW!$NF$2:$NF$150=N$1),0),$C273-1966)</f>
        <v>31.97953</v>
      </c>
      <c r="O273" s="4" cm="1">
        <f t="array" ref="O273">INDEX(GMW!$A$2:$NF$150,MATCH(1,(GMW!$NE$2:$NE$150=O$3)*(GMW!$ND$2:$ND$150=O$4)*(GMW!$NF$2:$NF$150=O$1),0),$C273-1966)</f>
        <v>683267.6</v>
      </c>
      <c r="P273" s="4" cm="1">
        <f t="array" ref="P273">INDEX(GMW!$A$2:$NF$150,MATCH(1,(GMW!$NE$2:$NE$150=P$3)*(GMW!$ND$2:$ND$150=P$4)*(GMW!$NF$2:$NF$150=P$1),0),$C273-1966)</f>
        <v>46132.37</v>
      </c>
      <c r="Q273" s="4" cm="1">
        <f t="array" ref="Q273">INDEX(GMW!$A$2:$NF$150,MATCH(1,(GMW!$NE$2:$NE$150=Q$3)*(GMW!$ND$2:$ND$150=Q$4)*(GMW!$NF$2:$NF$150=Q$1),0),$C273-1966)</f>
        <v>4202384</v>
      </c>
      <c r="R273" s="4" cm="1">
        <f t="array" ref="R273">INDEX(GMW!$A$2:$NF$150,MATCH(1,(GMW!$NE$2:$NE$150=R$3)*(GMW!$ND$2:$ND$150=R$4)*(GMW!$NF$2:$NF$150=R$1),0),$C273-1966)</f>
        <v>-1.6525939999999999</v>
      </c>
      <c r="S273" s="4" cm="1">
        <f t="array" ref="S273">INDEX(GMW!$A$2:$NF$150,MATCH(1,(GMW!$NE$2:$NE$150=S$3)*(GMW!$ND$2:$ND$150=S$4)*(GMW!$NF$2:$NF$150=S$1),0),$C273-1966)</f>
        <v>808333.4</v>
      </c>
      <c r="T273" s="4" cm="1">
        <f t="array" ref="T273">INDEX(GMW!$A$2:$NF$150,MATCH(1,(GMW!$NE$2:$NE$150=T$3)*(GMW!$ND$2:$ND$150=T$4)*(GMW!$NF$2:$NF$150=T$1),0),$C273-1966)</f>
        <v>184.68119999999999</v>
      </c>
      <c r="U273" s="4" cm="1">
        <f t="array" ref="U273">INDEX(GMW!$A$2:$NF$150,MATCH(1,(GMW!$NE$2:$NE$150=U$3)*(GMW!$ND$2:$ND$150=U$4)*(GMW!$NF$2:$NF$150=U$1),0),$C273-1966)</f>
        <v>238414.8</v>
      </c>
      <c r="V273" s="4" cm="1">
        <f t="array" ref="V273">INDEX(GMW!$A$2:$NF$150,MATCH(1,(GMW!$NE$2:$NE$150=V$3)*(GMW!$ND$2:$ND$150=V$4)*(GMW!$NF$2:$NF$150=V$1),0),$C273-1966)</f>
        <v>87970.85</v>
      </c>
      <c r="W273" s="4" cm="1">
        <f t="array" ref="W273">INDEX(GMW!$A$2:$NF$150,MATCH(1,(GMW!$NE$2:$NE$150=W$3)*(GMW!$ND$2:$ND$150=W$4)*(GMW!$NF$2:$NF$150=W$1),0),$C273-1966)</f>
        <v>266479.90000000002</v>
      </c>
      <c r="X273" s="4" cm="1">
        <f t="array" ref="X273">INDEX(GMW!$A$2:$NF$150,MATCH(1,(GMW!$NE$2:$NE$150=X$3)*(GMW!$ND$2:$ND$150=X$4)*(GMW!$NF$2:$NF$150=X$1),0),$C273-1966)</f>
        <v>142055.20000000001</v>
      </c>
      <c r="Y273" s="4" cm="1">
        <f t="array" ref="Y273">INDEX(GMW!$A$2:$NF$150,MATCH(1,(GMW!$NE$2:$NE$150=Y$3)*(GMW!$ND$2:$ND$150=Y$4)*(GMW!$NF$2:$NF$150=Y$1),0),$C273-1966)</f>
        <v>154251.29999999999</v>
      </c>
      <c r="Z273" s="4" cm="1">
        <f t="array" ref="Z273">INDEX(GMW!$A$2:$NF$150,MATCH(1,(GMW!$NE$2:$NE$150=Z$3)*(GMW!$ND$2:$ND$150=Z$4)*(GMW!$NF$2:$NF$150=Z$1),0),$C273-1966)</f>
        <v>88726.23</v>
      </c>
      <c r="AA273" s="4" cm="1">
        <f t="array" ref="AA273">INDEX(GMW!$A$2:$NF$150,MATCH(1,(GMW!$NE$2:$NE$150=AA$3)*(GMW!$ND$2:$ND$150=AA$4)*(GMW!$NF$2:$NF$150=AA$1),0),$C273-1966)</f>
        <v>808333.3</v>
      </c>
      <c r="AB273" s="4" cm="1">
        <f t="array" ref="AB273">INDEX(GMW!$A$2:$NF$150,MATCH(1,(GMW!$NE$2:$NE$150=AB$3)*(GMW!$ND$2:$ND$150=AB$4)*(GMW!$NF$2:$NF$150=AB$1),0),$C273-1966)</f>
        <v>37746.57</v>
      </c>
      <c r="AC273" s="4" cm="1">
        <f t="array" ref="AC273">INDEX(GMW!$A$2:$NF$150,MATCH(1,(GMW!$NE$2:$NE$150=AC$3)*(GMW!$ND$2:$ND$150=AC$4)*(GMW!$NF$2:$NF$150=AC$1),0),$C273-1966)</f>
        <v>31.97953</v>
      </c>
      <c r="AD273" s="4" cm="1">
        <f t="array" ref="AD273">INDEX(GMW!$A$2:$NF$150,MATCH(1,(GMW!$NE$2:$NE$150=AD$3)*(GMW!$ND$2:$ND$150=AD$4)*(GMW!$NF$2:$NF$150=AD$1),0),$C273-1966)</f>
        <v>683267.6</v>
      </c>
      <c r="AE273" s="4" cm="1">
        <f t="array" ref="AE273">INDEX(GMW!$A$2:$NF$150,MATCH(1,(GMW!$NE$2:$NE$150=AE$3)*(GMW!$ND$2:$ND$150=AE$4)*(GMW!$NF$2:$NF$150=AE$1),0),$C273-1966)</f>
        <v>46132.37</v>
      </c>
      <c r="AF273" s="4" cm="1">
        <f t="array" ref="AF273">INDEX(GMW!$A$2:$NF$150,MATCH(1,(GMW!$NE$2:$NE$150=AF$3)*(GMW!$ND$2:$ND$150=AF$4)*(GMW!$NF$2:$NF$150=AF$1),0),$C273-1966)</f>
        <v>4274857</v>
      </c>
      <c r="AG273" s="4" cm="1">
        <f t="array" ref="AG273">INDEX(GMW!$A$2:$NF$150,MATCH(1,(GMW!$NE$2:$NE$150=AG$3)*(GMW!$ND$2:$ND$150=AG$4)*(GMW!$NF$2:$NF$150=AG$1),0),$C273-1966)</f>
        <v>-1.650517</v>
      </c>
      <c r="AH273" s="4" cm="1">
        <f t="array" ref="AH273">INDEX(GMW!$A$2:$NF$150,MATCH(1,(GMW!$NE$2:$NE$150=AH$3)*(GMW!$ND$2:$ND$150=AH$4)*(GMW!$NF$2:$NF$150=AH$1),0),$C273-1966)</f>
        <v>808994.8</v>
      </c>
      <c r="AI273" s="4" cm="1">
        <f t="array" ref="AI273">INDEX(GMW!$A$2:$NF$150,MATCH(1,(GMW!$NE$2:$NE$150=AI$3)*(GMW!$ND$2:$ND$150=AI$4)*(GMW!$NF$2:$NF$150=AI$1),0),$C273-1966)</f>
        <v>183.38820000000001</v>
      </c>
      <c r="AJ273" s="4" cm="1">
        <f t="array" ref="AJ273">INDEX(GMW!$A$2:$NF$150,MATCH(1,(GMW!$NE$2:$NE$150=AJ$3)*(GMW!$ND$2:$ND$150=AJ$4)*(GMW!$NF$2:$NF$150=AJ$1),0),$C273-1966)</f>
        <v>243670.9</v>
      </c>
      <c r="AK273" s="4" cm="1">
        <f t="array" ref="AK273">INDEX(GMW!$A$2:$NF$150,MATCH(1,(GMW!$NE$2:$NE$150=AK$3)*(GMW!$ND$2:$ND$150=AK$4)*(GMW!$NF$2:$NF$150=AK$1),0),$C273-1966)</f>
        <v>90663.97</v>
      </c>
      <c r="AL273" s="4" cm="1">
        <f t="array" ref="AL273">INDEX(GMW!$A$2:$NF$150,MATCH(1,(GMW!$NE$2:$NE$150=AL$3)*(GMW!$ND$2:$ND$150=AL$4)*(GMW!$NF$2:$NF$150=AL$1),0),$C273-1966)</f>
        <v>270886.3</v>
      </c>
      <c r="AM273" s="4" cm="1">
        <f t="array" ref="AM273">INDEX(GMW!$A$2:$NF$150,MATCH(1,(GMW!$NE$2:$NE$150=AM$3)*(GMW!$ND$2:$ND$150=AM$4)*(GMW!$NF$2:$NF$150=AM$1),0),$C273-1966)</f>
        <v>145499.4</v>
      </c>
      <c r="AN273" s="4" cm="1">
        <f t="array" ref="AN273">INDEX(GMW!$A$2:$NF$150,MATCH(1,(GMW!$NE$2:$NE$150=AN$3)*(GMW!$ND$2:$ND$150=AN$4)*(GMW!$NF$2:$NF$150=AN$1),0),$C273-1966)</f>
        <v>154304.4</v>
      </c>
      <c r="AO273" s="4" cm="1">
        <f t="array" ref="AO273">INDEX(GMW!$A$2:$NF$150,MATCH(1,(GMW!$NE$2:$NE$150=AO$3)*(GMW!$ND$2:$ND$150=AO$4)*(GMW!$NF$2:$NF$150=AO$1),0),$C273-1966)</f>
        <v>89927.97</v>
      </c>
      <c r="AP273" s="4" cm="1">
        <f t="array" ref="AP273">INDEX(GMW!$A$2:$NF$150,MATCH(1,(GMW!$NE$2:$NE$150=AP$3)*(GMW!$ND$2:$ND$150=AP$4)*(GMW!$NF$2:$NF$150=AP$1),0),$C273-1966)</f>
        <v>808995</v>
      </c>
      <c r="AQ273" s="4" cm="1">
        <f t="array" ref="AQ273">INDEX(GMW!$A$2:$NF$150,MATCH(1,(GMW!$NE$2:$NE$150=AQ$3)*(GMW!$ND$2:$ND$150=AQ$4)*(GMW!$NF$2:$NF$150=AQ$1),0),$C273-1966)</f>
        <v>37652</v>
      </c>
      <c r="AR273" s="4" cm="1">
        <f t="array" ref="AR273">INDEX(GMW!$A$2:$NF$150,MATCH(1,(GMW!$NE$2:$NE$150=AR$3)*(GMW!$ND$2:$ND$150=AR$4)*(GMW!$NF$2:$NF$150=AR$1),0),$C273-1966)</f>
        <v>31.97953</v>
      </c>
      <c r="AS273" s="4" cm="1">
        <f t="array" ref="AS273">INDEX(GMW!$A$2:$NF$150,MATCH(1,(GMW!$NE$2:$NE$150=AS$3)*(GMW!$ND$2:$ND$150=AS$4)*(GMW!$NF$2:$NF$150=AS$1),0),$C273-1966)</f>
        <v>679462.6</v>
      </c>
      <c r="AT273" s="4" cm="1">
        <f t="array" ref="AT273">INDEX(GMW!$A$2:$NF$150,MATCH(1,(GMW!$NE$2:$NE$150=AT$3)*(GMW!$ND$2:$ND$150=AT$4)*(GMW!$NF$2:$NF$150=AT$1),0),$C273-1966)</f>
        <v>45865.14</v>
      </c>
      <c r="AU273" s="4" cm="1">
        <f t="array" ref="AU273">INDEX(GMW!$A$2:$NF$150,MATCH(1,(GMW!$NE$2:$NE$150=AU$3)*(GMW!$ND$2:$ND$150=AU$4)*(GMW!$NF$2:$NF$150=AU$1),0),$C273-1966)</f>
        <v>4283743</v>
      </c>
      <c r="AV273" s="4" cm="1">
        <f t="array" ref="AV273">INDEX(GMW!$A$2:$NF$150,MATCH(1,(GMW!$NE$2:$NE$150=AV$3)*(GMW!$ND$2:$ND$150=AV$4)*(GMW!$NF$2:$NF$150=AV$1),0),$C273-1966)</f>
        <v>-1.6488670000000001</v>
      </c>
    </row>
    <row r="274" spans="1:48" x14ac:dyDescent="0.25">
      <c r="B274" s="4">
        <f t="shared" si="12"/>
        <v>2039</v>
      </c>
      <c r="C274" s="4">
        <f t="shared" si="11"/>
        <v>2240</v>
      </c>
      <c r="D274" s="4" cm="1">
        <f t="array" ref="D274">INDEX(GMW!$A$2:$NF$150,MATCH(1,(GMW!$NE$2:$NE$150=D$3)*(GMW!$ND$2:$ND$150=D$4)*(GMW!$NF$2:$NF$150=D$1),0),$C274-1966)</f>
        <v>805062.4</v>
      </c>
      <c r="E274" s="4" cm="1">
        <f t="array" ref="E274">INDEX(GMW!$A$2:$NF$150,MATCH(1,(GMW!$NE$2:$NE$150=E$3)*(GMW!$ND$2:$ND$150=E$4)*(GMW!$NF$2:$NF$150=E$1),0),$C274-1966)</f>
        <v>185.60149999999999</v>
      </c>
      <c r="F274" s="4" cm="1">
        <f t="array" ref="F274">INDEX(GMW!$A$2:$NF$150,MATCH(1,(GMW!$NE$2:$NE$150=F$3)*(GMW!$ND$2:$ND$150=F$4)*(GMW!$NF$2:$NF$150=F$1),0),$C274-1966)</f>
        <v>249591.1</v>
      </c>
      <c r="G274" s="4" cm="1">
        <f t="array" ref="G274">INDEX(GMW!$A$2:$NF$150,MATCH(1,(GMW!$NE$2:$NE$150=G$3)*(GMW!$ND$2:$ND$150=G$4)*(GMW!$NF$2:$NF$150=G$1),0),$C274-1966)</f>
        <v>83773.66</v>
      </c>
      <c r="H274" s="4" cm="1">
        <f t="array" ref="H274">INDEX(GMW!$A$2:$NF$150,MATCH(1,(GMW!$NE$2:$NE$150=H$3)*(GMW!$ND$2:$ND$150=H$4)*(GMW!$NF$2:$NF$150=H$1),0),$C274-1966)</f>
        <v>276120.2</v>
      </c>
      <c r="I274" s="4" cm="1">
        <f t="array" ref="I274">INDEX(GMW!$A$2:$NF$150,MATCH(1,(GMW!$NE$2:$NE$150=I$3)*(GMW!$ND$2:$ND$150=I$4)*(GMW!$NF$2:$NF$150=I$1),0),$C274-1966)</f>
        <v>148349.20000000001</v>
      </c>
      <c r="J274" s="4" cm="1">
        <f t="array" ref="J274">INDEX(GMW!$A$2:$NF$150,MATCH(1,(GMW!$NE$2:$NE$150=J$3)*(GMW!$ND$2:$ND$150=J$4)*(GMW!$NF$2:$NF$150=J$1),0),$C274-1966)</f>
        <v>152364.6</v>
      </c>
      <c r="K274" s="4" cm="1">
        <f t="array" ref="K274">INDEX(GMW!$A$2:$NF$150,MATCH(1,(GMW!$NE$2:$NE$150=K$3)*(GMW!$ND$2:$ND$150=K$4)*(GMW!$NF$2:$NF$150=K$1),0),$C274-1966)</f>
        <v>86157.94</v>
      </c>
      <c r="L274" s="4" cm="1">
        <f t="array" ref="L274">INDEX(GMW!$A$2:$NF$150,MATCH(1,(GMW!$NE$2:$NE$150=L$3)*(GMW!$ND$2:$ND$150=L$4)*(GMW!$NF$2:$NF$150=L$1),0),$C274-1966)</f>
        <v>805062.2</v>
      </c>
      <c r="M274" s="4" cm="1">
        <f t="array" ref="M274">INDEX(GMW!$A$2:$NF$150,MATCH(1,(GMW!$NE$2:$NE$150=M$3)*(GMW!$ND$2:$ND$150=M$4)*(GMW!$NF$2:$NF$150=M$1),0),$C274-1966)</f>
        <v>37792.32</v>
      </c>
      <c r="N274" s="4" cm="1">
        <f t="array" ref="N274">INDEX(GMW!$A$2:$NF$150,MATCH(1,(GMW!$NE$2:$NE$150=N$3)*(GMW!$ND$2:$ND$150=N$4)*(GMW!$NF$2:$NF$150=N$1),0),$C274-1966)</f>
        <v>31.978960000000001</v>
      </c>
      <c r="O274" s="4" cm="1">
        <f t="array" ref="O274">INDEX(GMW!$A$2:$NF$150,MATCH(1,(GMW!$NE$2:$NE$150=O$3)*(GMW!$ND$2:$ND$150=O$4)*(GMW!$NF$2:$NF$150=O$1),0),$C274-1966)</f>
        <v>684123.1</v>
      </c>
      <c r="P274" s="4" cm="1">
        <f t="array" ref="P274">INDEX(GMW!$A$2:$NF$150,MATCH(1,(GMW!$NE$2:$NE$150=P$3)*(GMW!$ND$2:$ND$150=P$4)*(GMW!$NF$2:$NF$150=P$1),0),$C274-1966)</f>
        <v>46156.63</v>
      </c>
      <c r="Q274" s="4" cm="1">
        <f t="array" ref="Q274">INDEX(GMW!$A$2:$NF$150,MATCH(1,(GMW!$NE$2:$NE$150=Q$3)*(GMW!$ND$2:$ND$150=Q$4)*(GMW!$NF$2:$NF$150=Q$1),0),$C274-1966)</f>
        <v>4222180</v>
      </c>
      <c r="R274" s="4" cm="1">
        <f t="array" ref="R274">INDEX(GMW!$A$2:$NF$150,MATCH(1,(GMW!$NE$2:$NE$150=R$3)*(GMW!$ND$2:$ND$150=R$4)*(GMW!$NF$2:$NF$150=R$1),0),$C274-1966)</f>
        <v>-1.6512720000000001</v>
      </c>
      <c r="S274" s="4" cm="1">
        <f t="array" ref="S274">INDEX(GMW!$A$2:$NF$150,MATCH(1,(GMW!$NE$2:$NE$150=S$3)*(GMW!$ND$2:$ND$150=S$4)*(GMW!$NF$2:$NF$150=S$1),0),$C274-1966)</f>
        <v>811576.8</v>
      </c>
      <c r="T274" s="4" cm="1">
        <f t="array" ref="T274">INDEX(GMW!$A$2:$NF$150,MATCH(1,(GMW!$NE$2:$NE$150=T$3)*(GMW!$ND$2:$ND$150=T$4)*(GMW!$NF$2:$NF$150=T$1),0),$C274-1966)</f>
        <v>185.47210000000001</v>
      </c>
      <c r="U274" s="4" cm="1">
        <f t="array" ref="U274">INDEX(GMW!$A$2:$NF$150,MATCH(1,(GMW!$NE$2:$NE$150=U$3)*(GMW!$ND$2:$ND$150=U$4)*(GMW!$NF$2:$NF$150=U$1),0),$C274-1966)</f>
        <v>239262.2</v>
      </c>
      <c r="V274" s="4" cm="1">
        <f t="array" ref="V274">INDEX(GMW!$A$2:$NF$150,MATCH(1,(GMW!$NE$2:$NE$150=V$3)*(GMW!$ND$2:$ND$150=V$4)*(GMW!$NF$2:$NF$150=V$1),0),$C274-1966)</f>
        <v>88235.85</v>
      </c>
      <c r="W274" s="4" cm="1">
        <f t="array" ref="W274">INDEX(GMW!$A$2:$NF$150,MATCH(1,(GMW!$NE$2:$NE$150=W$3)*(GMW!$ND$2:$ND$150=W$4)*(GMW!$NF$2:$NF$150=W$1),0),$C274-1966)</f>
        <v>267516.7</v>
      </c>
      <c r="X274" s="4" cm="1">
        <f t="array" ref="X274">INDEX(GMW!$A$2:$NF$150,MATCH(1,(GMW!$NE$2:$NE$150=X$3)*(GMW!$ND$2:$ND$150=X$4)*(GMW!$NF$2:$NF$150=X$1),0),$C274-1966)</f>
        <v>142585.4</v>
      </c>
      <c r="Y274" s="4" cm="1">
        <f t="array" ref="Y274">INDEX(GMW!$A$2:$NF$150,MATCH(1,(GMW!$NE$2:$NE$150=Y$3)*(GMW!$ND$2:$ND$150=Y$4)*(GMW!$NF$2:$NF$150=Y$1),0),$C274-1966)</f>
        <v>155048</v>
      </c>
      <c r="Z274" s="4" cm="1">
        <f t="array" ref="Z274">INDEX(GMW!$A$2:$NF$150,MATCH(1,(GMW!$NE$2:$NE$150=Z$3)*(GMW!$ND$2:$ND$150=Z$4)*(GMW!$NF$2:$NF$150=Z$1),0),$C274-1966)</f>
        <v>89226.41</v>
      </c>
      <c r="AA274" s="4" cm="1">
        <f t="array" ref="AA274">INDEX(GMW!$A$2:$NF$150,MATCH(1,(GMW!$NE$2:$NE$150=AA$3)*(GMW!$ND$2:$ND$150=AA$4)*(GMW!$NF$2:$NF$150=AA$1),0),$C274-1966)</f>
        <v>811576.8</v>
      </c>
      <c r="AB274" s="4" cm="1">
        <f t="array" ref="AB274">INDEX(GMW!$A$2:$NF$150,MATCH(1,(GMW!$NE$2:$NE$150=AB$3)*(GMW!$ND$2:$ND$150=AB$4)*(GMW!$NF$2:$NF$150=AB$1),0),$C274-1966)</f>
        <v>37792.32</v>
      </c>
      <c r="AC274" s="4" cm="1">
        <f t="array" ref="AC274">INDEX(GMW!$A$2:$NF$150,MATCH(1,(GMW!$NE$2:$NE$150=AC$3)*(GMW!$ND$2:$ND$150=AC$4)*(GMW!$NF$2:$NF$150=AC$1),0),$C274-1966)</f>
        <v>31.978960000000001</v>
      </c>
      <c r="AD274" s="4" cm="1">
        <f t="array" ref="AD274">INDEX(GMW!$A$2:$NF$150,MATCH(1,(GMW!$NE$2:$NE$150=AD$3)*(GMW!$ND$2:$ND$150=AD$4)*(GMW!$NF$2:$NF$150=AD$1),0),$C274-1966)</f>
        <v>684123.1</v>
      </c>
      <c r="AE274" s="4" cm="1">
        <f t="array" ref="AE274">INDEX(GMW!$A$2:$NF$150,MATCH(1,(GMW!$NE$2:$NE$150=AE$3)*(GMW!$ND$2:$ND$150=AE$4)*(GMW!$NF$2:$NF$150=AE$1),0),$C274-1966)</f>
        <v>46156.63</v>
      </c>
      <c r="AF274" s="4" cm="1">
        <f t="array" ref="AF274">INDEX(GMW!$A$2:$NF$150,MATCH(1,(GMW!$NE$2:$NE$150=AF$3)*(GMW!$ND$2:$ND$150=AF$4)*(GMW!$NF$2:$NF$150=AF$1),0),$C274-1966)</f>
        <v>4295618</v>
      </c>
      <c r="AG274" s="4" cm="1">
        <f t="array" ref="AG274">INDEX(GMW!$A$2:$NF$150,MATCH(1,(GMW!$NE$2:$NE$150=AG$3)*(GMW!$ND$2:$ND$150=AG$4)*(GMW!$NF$2:$NF$150=AG$1),0),$C274-1966)</f>
        <v>-1.649197</v>
      </c>
      <c r="AH274" s="4" cm="1">
        <f t="array" ref="AH274">INDEX(GMW!$A$2:$NF$150,MATCH(1,(GMW!$NE$2:$NE$150=AH$3)*(GMW!$ND$2:$ND$150=AH$4)*(GMW!$NF$2:$NF$150=AH$1),0),$C274-1966)</f>
        <v>812180.8</v>
      </c>
      <c r="AI274" s="4" cm="1">
        <f t="array" ref="AI274">INDEX(GMW!$A$2:$NF$150,MATCH(1,(GMW!$NE$2:$NE$150=AI$3)*(GMW!$ND$2:$ND$150=AI$4)*(GMW!$NF$2:$NF$150=AI$1),0),$C274-1966)</f>
        <v>184.2955</v>
      </c>
      <c r="AJ274" s="4" cm="1">
        <f t="array" ref="AJ274">INDEX(GMW!$A$2:$NF$150,MATCH(1,(GMW!$NE$2:$NE$150=AJ$3)*(GMW!$ND$2:$ND$150=AJ$4)*(GMW!$NF$2:$NF$150=AJ$1),0),$C274-1966)</f>
        <v>244508.4</v>
      </c>
      <c r="AK274" s="4" cm="1">
        <f t="array" ref="AK274">INDEX(GMW!$A$2:$NF$150,MATCH(1,(GMW!$NE$2:$NE$150=AK$3)*(GMW!$ND$2:$ND$150=AK$4)*(GMW!$NF$2:$NF$150=AK$1),0),$C274-1966)</f>
        <v>90930.35</v>
      </c>
      <c r="AL274" s="4" cm="1">
        <f t="array" ref="AL274">INDEX(GMW!$A$2:$NF$150,MATCH(1,(GMW!$NE$2:$NE$150=AL$3)*(GMW!$ND$2:$ND$150=AL$4)*(GMW!$NF$2:$NF$150=AL$1),0),$C274-1966)</f>
        <v>271913</v>
      </c>
      <c r="AM274" s="4" cm="1">
        <f t="array" ref="AM274">INDEX(GMW!$A$2:$NF$150,MATCH(1,(GMW!$NE$2:$NE$150=AM$3)*(GMW!$ND$2:$ND$150=AM$4)*(GMW!$NF$2:$NF$150=AM$1),0),$C274-1966)</f>
        <v>146028.79999999999</v>
      </c>
      <c r="AN274" s="4" cm="1">
        <f t="array" ref="AN274">INDEX(GMW!$A$2:$NF$150,MATCH(1,(GMW!$NE$2:$NE$150=AN$3)*(GMW!$ND$2:$ND$150=AN$4)*(GMW!$NF$2:$NF$150=AN$1),0),$C274-1966)</f>
        <v>155090.9</v>
      </c>
      <c r="AO274" s="4" cm="1">
        <f t="array" ref="AO274">INDEX(GMW!$A$2:$NF$150,MATCH(1,(GMW!$NE$2:$NE$150=AO$3)*(GMW!$ND$2:$ND$150=AO$4)*(GMW!$NF$2:$NF$150=AO$1),0),$C274-1966)</f>
        <v>90428.25</v>
      </c>
      <c r="AP274" s="4" cm="1">
        <f t="array" ref="AP274">INDEX(GMW!$A$2:$NF$150,MATCH(1,(GMW!$NE$2:$NE$150=AP$3)*(GMW!$ND$2:$ND$150=AP$4)*(GMW!$NF$2:$NF$150=AP$1),0),$C274-1966)</f>
        <v>812180.7</v>
      </c>
      <c r="AQ274" s="4" cm="1">
        <f t="array" ref="AQ274">INDEX(GMW!$A$2:$NF$150,MATCH(1,(GMW!$NE$2:$NE$150=AQ$3)*(GMW!$ND$2:$ND$150=AQ$4)*(GMW!$NF$2:$NF$150=AQ$1),0),$C274-1966)</f>
        <v>37693.54</v>
      </c>
      <c r="AR274" s="4" cm="1">
        <f t="array" ref="AR274">INDEX(GMW!$A$2:$NF$150,MATCH(1,(GMW!$NE$2:$NE$150=AR$3)*(GMW!$ND$2:$ND$150=AR$4)*(GMW!$NF$2:$NF$150=AR$1),0),$C274-1966)</f>
        <v>31.978960000000001</v>
      </c>
      <c r="AS274" s="4" cm="1">
        <f t="array" ref="AS274">INDEX(GMW!$A$2:$NF$150,MATCH(1,(GMW!$NE$2:$NE$150=AS$3)*(GMW!$ND$2:$ND$150=AS$4)*(GMW!$NF$2:$NF$150=AS$1),0),$C274-1966)</f>
        <v>680427.3</v>
      </c>
      <c r="AT274" s="4" cm="1">
        <f t="array" ref="AT274">INDEX(GMW!$A$2:$NF$150,MATCH(1,(GMW!$NE$2:$NE$150=AT$3)*(GMW!$ND$2:$ND$150=AT$4)*(GMW!$NF$2:$NF$150=AT$1),0),$C274-1966)</f>
        <v>45896.62</v>
      </c>
      <c r="AU274" s="4" cm="1">
        <f t="array" ref="AU274">INDEX(GMW!$A$2:$NF$150,MATCH(1,(GMW!$NE$2:$NE$150=AU$3)*(GMW!$ND$2:$ND$150=AU$4)*(GMW!$NF$2:$NF$150=AU$1),0),$C274-1966)</f>
        <v>4304491</v>
      </c>
      <c r="AV274" s="4" cm="1">
        <f t="array" ref="AV274">INDEX(GMW!$A$2:$NF$150,MATCH(1,(GMW!$NE$2:$NE$150=AV$3)*(GMW!$ND$2:$ND$150=AV$4)*(GMW!$NF$2:$NF$150=AV$1),0),$C274-1966)</f>
        <v>-1.647548</v>
      </c>
    </row>
    <row r="275" spans="1:48" x14ac:dyDescent="0.25">
      <c r="A275" s="4">
        <v>2040</v>
      </c>
      <c r="B275" s="4">
        <f t="shared" si="12"/>
        <v>2040</v>
      </c>
      <c r="C275" s="4">
        <f t="shared" si="11"/>
        <v>2241</v>
      </c>
      <c r="D275" s="4" cm="1">
        <f t="array" ref="D275">INDEX(GMW!$A$2:$NF$150,MATCH(1,(GMW!$NE$2:$NE$150=D$3)*(GMW!$ND$2:$ND$150=D$4)*(GMW!$NF$2:$NF$150=D$1),0),$C275-1966)</f>
        <v>808254.7</v>
      </c>
      <c r="E275" s="4" cm="1">
        <f t="array" ref="E275">INDEX(GMW!$A$2:$NF$150,MATCH(1,(GMW!$NE$2:$NE$150=E$3)*(GMW!$ND$2:$ND$150=E$4)*(GMW!$NF$2:$NF$150=E$1),0),$C275-1966)</f>
        <v>185.98140000000001</v>
      </c>
      <c r="F275" s="4" cm="1">
        <f t="array" ref="F275">INDEX(GMW!$A$2:$NF$150,MATCH(1,(GMW!$NE$2:$NE$150=F$3)*(GMW!$ND$2:$ND$150=F$4)*(GMW!$NF$2:$NF$150=F$1),0),$C275-1966)</f>
        <v>250499.8</v>
      </c>
      <c r="G275" s="4" cm="1">
        <f t="array" ref="G275">INDEX(GMW!$A$2:$NF$150,MATCH(1,(GMW!$NE$2:$NE$150=G$3)*(GMW!$ND$2:$ND$150=G$4)*(GMW!$NF$2:$NF$150=G$1),0),$C275-1966)</f>
        <v>84037.98</v>
      </c>
      <c r="H275" s="4" cm="1">
        <f t="array" ref="H275">INDEX(GMW!$A$2:$NF$150,MATCH(1,(GMW!$NE$2:$NE$150=H$3)*(GMW!$ND$2:$ND$150=H$4)*(GMW!$NF$2:$NF$150=H$1),0),$C275-1966)</f>
        <v>277206.7</v>
      </c>
      <c r="I275" s="4" cm="1">
        <f t="array" ref="I275">INDEX(GMW!$A$2:$NF$150,MATCH(1,(GMW!$NE$2:$NE$150=I$3)*(GMW!$ND$2:$ND$150=I$4)*(GMW!$NF$2:$NF$150=I$1),0),$C275-1966)</f>
        <v>148910.79999999999</v>
      </c>
      <c r="J275" s="4" cm="1">
        <f t="array" ref="J275">INDEX(GMW!$A$2:$NF$150,MATCH(1,(GMW!$NE$2:$NE$150=J$3)*(GMW!$ND$2:$ND$150=J$4)*(GMW!$NF$2:$NF$150=J$1),0),$C275-1966)</f>
        <v>153132.5</v>
      </c>
      <c r="K275" s="4" cm="1">
        <f t="array" ref="K275">INDEX(GMW!$A$2:$NF$150,MATCH(1,(GMW!$NE$2:$NE$150=K$3)*(GMW!$ND$2:$ND$150=K$4)*(GMW!$NF$2:$NF$150=K$1),0),$C275-1966)</f>
        <v>86628.81</v>
      </c>
      <c r="L275" s="4" cm="1">
        <f t="array" ref="L275">INDEX(GMW!$A$2:$NF$150,MATCH(1,(GMW!$NE$2:$NE$150=L$3)*(GMW!$ND$2:$ND$150=L$4)*(GMW!$NF$2:$NF$150=L$1),0),$C275-1966)</f>
        <v>808253.9</v>
      </c>
      <c r="M275" s="4" cm="1">
        <f t="array" ref="M275">INDEX(GMW!$A$2:$NF$150,MATCH(1,(GMW!$NE$2:$NE$150=M$3)*(GMW!$ND$2:$ND$150=M$4)*(GMW!$NF$2:$NF$150=M$1),0),$C275-1966)</f>
        <v>37838.07</v>
      </c>
      <c r="N275" s="4" cm="1">
        <f t="array" ref="N275">INDEX(GMW!$A$2:$NF$150,MATCH(1,(GMW!$NE$2:$NE$150=N$3)*(GMW!$ND$2:$ND$150=N$4)*(GMW!$NF$2:$NF$150=N$1),0),$C275-1966)</f>
        <v>31.978390000000001</v>
      </c>
      <c r="O275" s="4" cm="1">
        <f t="array" ref="O275">INDEX(GMW!$A$2:$NF$150,MATCH(1,(GMW!$NE$2:$NE$150=O$3)*(GMW!$ND$2:$ND$150=O$4)*(GMW!$NF$2:$NF$150=O$1),0),$C275-1966)</f>
        <v>684977.3</v>
      </c>
      <c r="P275" s="4" cm="1">
        <f t="array" ref="P275">INDEX(GMW!$A$2:$NF$150,MATCH(1,(GMW!$NE$2:$NE$150=P$3)*(GMW!$ND$2:$ND$150=P$4)*(GMW!$NF$2:$NF$150=P$1),0),$C275-1966)</f>
        <v>46180.89</v>
      </c>
      <c r="Q275" s="4" cm="1">
        <f t="array" ref="Q275">INDEX(GMW!$A$2:$NF$150,MATCH(1,(GMW!$NE$2:$NE$150=Q$3)*(GMW!$ND$2:$ND$150=Q$4)*(GMW!$NF$2:$NF$150=Q$1),0),$C275-1966)</f>
        <v>4242139</v>
      </c>
      <c r="R275" s="4" cm="1">
        <f t="array" ref="R275">INDEX(GMW!$A$2:$NF$150,MATCH(1,(GMW!$NE$2:$NE$150=R$3)*(GMW!$ND$2:$ND$150=R$4)*(GMW!$NF$2:$NF$150=R$1),0),$C275-1966)</f>
        <v>-1.6499509999999999</v>
      </c>
      <c r="S275" s="4" cm="1">
        <f t="array" ref="S275">INDEX(GMW!$A$2:$NF$150,MATCH(1,(GMW!$NE$2:$NE$150=S$3)*(GMW!$ND$2:$ND$150=S$4)*(GMW!$NF$2:$NF$150=S$1),0),$C275-1966)</f>
        <v>814834.9</v>
      </c>
      <c r="T275" s="4" cm="1">
        <f t="array" ref="T275">INDEX(GMW!$A$2:$NF$150,MATCH(1,(GMW!$NE$2:$NE$150=T$3)*(GMW!$ND$2:$ND$150=T$4)*(GMW!$NF$2:$NF$150=T$1),0),$C275-1966)</f>
        <v>185.785</v>
      </c>
      <c r="U275" s="4" cm="1">
        <f t="array" ref="U275">INDEX(GMW!$A$2:$NF$150,MATCH(1,(GMW!$NE$2:$NE$150=U$3)*(GMW!$ND$2:$ND$150=U$4)*(GMW!$NF$2:$NF$150=U$1),0),$C275-1966)</f>
        <v>240130.3</v>
      </c>
      <c r="V275" s="4" cm="1">
        <f t="array" ref="V275">INDEX(GMW!$A$2:$NF$150,MATCH(1,(GMW!$NE$2:$NE$150=V$3)*(GMW!$ND$2:$ND$150=V$4)*(GMW!$NF$2:$NF$150=V$1),0),$C275-1966)</f>
        <v>88518.61</v>
      </c>
      <c r="W275" s="4" cm="1">
        <f t="array" ref="W275">INDEX(GMW!$A$2:$NF$150,MATCH(1,(GMW!$NE$2:$NE$150=W$3)*(GMW!$ND$2:$ND$150=W$4)*(GMW!$NF$2:$NF$150=W$1),0),$C275-1966)</f>
        <v>268572.7</v>
      </c>
      <c r="X275" s="4" cm="1">
        <f t="array" ref="X275">INDEX(GMW!$A$2:$NF$150,MATCH(1,(GMW!$NE$2:$NE$150=X$3)*(GMW!$ND$2:$ND$150=X$4)*(GMW!$NF$2:$NF$150=X$1),0),$C275-1966)</f>
        <v>143132.20000000001</v>
      </c>
      <c r="Y275" s="4" cm="1">
        <f t="array" ref="Y275">INDEX(GMW!$A$2:$NF$150,MATCH(1,(GMW!$NE$2:$NE$150=Y$3)*(GMW!$ND$2:$ND$150=Y$4)*(GMW!$NF$2:$NF$150=Y$1),0),$C275-1966)</f>
        <v>155829.29999999999</v>
      </c>
      <c r="Z275" s="4" cm="1">
        <f t="array" ref="Z275">INDEX(GMW!$A$2:$NF$150,MATCH(1,(GMW!$NE$2:$NE$150=Z$3)*(GMW!$ND$2:$ND$150=Z$4)*(GMW!$NF$2:$NF$150=Z$1),0),$C275-1966)</f>
        <v>89709.53</v>
      </c>
      <c r="AA275" s="4" cm="1">
        <f t="array" ref="AA275">INDEX(GMW!$A$2:$NF$150,MATCH(1,(GMW!$NE$2:$NE$150=AA$3)*(GMW!$ND$2:$ND$150=AA$4)*(GMW!$NF$2:$NF$150=AA$1),0),$C275-1966)</f>
        <v>814834</v>
      </c>
      <c r="AB275" s="4" cm="1">
        <f t="array" ref="AB275">INDEX(GMW!$A$2:$NF$150,MATCH(1,(GMW!$NE$2:$NE$150=AB$3)*(GMW!$ND$2:$ND$150=AB$4)*(GMW!$NF$2:$NF$150=AB$1),0),$C275-1966)</f>
        <v>37838.07</v>
      </c>
      <c r="AC275" s="4" cm="1">
        <f t="array" ref="AC275">INDEX(GMW!$A$2:$NF$150,MATCH(1,(GMW!$NE$2:$NE$150=AC$3)*(GMW!$ND$2:$ND$150=AC$4)*(GMW!$NF$2:$NF$150=AC$1),0),$C275-1966)</f>
        <v>31.978390000000001</v>
      </c>
      <c r="AD275" s="4" cm="1">
        <f t="array" ref="AD275">INDEX(GMW!$A$2:$NF$150,MATCH(1,(GMW!$NE$2:$NE$150=AD$3)*(GMW!$ND$2:$ND$150=AD$4)*(GMW!$NF$2:$NF$150=AD$1),0),$C275-1966)</f>
        <v>684977.3</v>
      </c>
      <c r="AE275" s="4" cm="1">
        <f t="array" ref="AE275">INDEX(GMW!$A$2:$NF$150,MATCH(1,(GMW!$NE$2:$NE$150=AE$3)*(GMW!$ND$2:$ND$150=AE$4)*(GMW!$NF$2:$NF$150=AE$1),0),$C275-1966)</f>
        <v>46180.89</v>
      </c>
      <c r="AF275" s="4" cm="1">
        <f t="array" ref="AF275">INDEX(GMW!$A$2:$NF$150,MATCH(1,(GMW!$NE$2:$NE$150=AF$3)*(GMW!$ND$2:$ND$150=AF$4)*(GMW!$NF$2:$NF$150=AF$1),0),$C275-1966)</f>
        <v>4316523</v>
      </c>
      <c r="AG275" s="4" cm="1">
        <f t="array" ref="AG275">INDEX(GMW!$A$2:$NF$150,MATCH(1,(GMW!$NE$2:$NE$150=AG$3)*(GMW!$ND$2:$ND$150=AG$4)*(GMW!$NF$2:$NF$150=AG$1),0),$C275-1966)</f>
        <v>-1.647878</v>
      </c>
      <c r="AH275" s="4" cm="1">
        <f t="array" ref="AH275">INDEX(GMW!$A$2:$NF$150,MATCH(1,(GMW!$NE$2:$NE$150=AH$3)*(GMW!$ND$2:$ND$150=AH$4)*(GMW!$NF$2:$NF$150=AH$1),0),$C275-1966)</f>
        <v>815380.7</v>
      </c>
      <c r="AI275" s="4" cm="1">
        <f t="array" ref="AI275">INDEX(GMW!$A$2:$NF$150,MATCH(1,(GMW!$NE$2:$NE$150=AI$3)*(GMW!$ND$2:$ND$150=AI$4)*(GMW!$NF$2:$NF$150=AI$1),0),$C275-1966)</f>
        <v>184.6454</v>
      </c>
      <c r="AJ275" s="4" cm="1">
        <f t="array" ref="AJ275">INDEX(GMW!$A$2:$NF$150,MATCH(1,(GMW!$NE$2:$NE$150=AJ$3)*(GMW!$ND$2:$ND$150=AJ$4)*(GMW!$NF$2:$NF$150=AJ$1),0),$C275-1966)</f>
        <v>245368</v>
      </c>
      <c r="AK275" s="4" cm="1">
        <f t="array" ref="AK275">INDEX(GMW!$A$2:$NF$150,MATCH(1,(GMW!$NE$2:$NE$150=AK$3)*(GMW!$ND$2:$ND$150=AK$4)*(GMW!$NF$2:$NF$150=AK$1),0),$C275-1966)</f>
        <v>91215.87</v>
      </c>
      <c r="AL275" s="4" cm="1">
        <f t="array" ref="AL275">INDEX(GMW!$A$2:$NF$150,MATCH(1,(GMW!$NE$2:$NE$150=AL$3)*(GMW!$ND$2:$ND$150=AL$4)*(GMW!$NF$2:$NF$150=AL$1),0),$C275-1966)</f>
        <v>272958.90000000002</v>
      </c>
      <c r="AM275" s="4" cm="1">
        <f t="array" ref="AM275">INDEX(GMW!$A$2:$NF$150,MATCH(1,(GMW!$NE$2:$NE$150=AM$3)*(GMW!$ND$2:$ND$150=AM$4)*(GMW!$NF$2:$NF$150=AM$1),0),$C275-1966)</f>
        <v>146574.9</v>
      </c>
      <c r="AN275" s="4" cm="1">
        <f t="array" ref="AN275">INDEX(GMW!$A$2:$NF$150,MATCH(1,(GMW!$NE$2:$NE$150=AN$3)*(GMW!$ND$2:$ND$150=AN$4)*(GMW!$NF$2:$NF$150=AN$1),0),$C275-1966)</f>
        <v>155861.4</v>
      </c>
      <c r="AO275" s="4" cm="1">
        <f t="array" ref="AO275">INDEX(GMW!$A$2:$NF$150,MATCH(1,(GMW!$NE$2:$NE$150=AO$3)*(GMW!$ND$2:$ND$150=AO$4)*(GMW!$NF$2:$NF$150=AO$1),0),$C275-1966)</f>
        <v>90911.13</v>
      </c>
      <c r="AP275" s="4" cm="1">
        <f t="array" ref="AP275">INDEX(GMW!$A$2:$NF$150,MATCH(1,(GMW!$NE$2:$NE$150=AP$3)*(GMW!$ND$2:$ND$150=AP$4)*(GMW!$NF$2:$NF$150=AP$1),0),$C275-1966)</f>
        <v>815379.7</v>
      </c>
      <c r="AQ275" s="4" cm="1">
        <f t="array" ref="AQ275">INDEX(GMW!$A$2:$NF$150,MATCH(1,(GMW!$NE$2:$NE$150=AQ$3)*(GMW!$ND$2:$ND$150=AQ$4)*(GMW!$NF$2:$NF$150=AQ$1),0),$C275-1966)</f>
        <v>37735.08</v>
      </c>
      <c r="AR275" s="4" cm="1">
        <f t="array" ref="AR275">INDEX(GMW!$A$2:$NF$150,MATCH(1,(GMW!$NE$2:$NE$150=AR$3)*(GMW!$ND$2:$ND$150=AR$4)*(GMW!$NF$2:$NF$150=AR$1),0),$C275-1966)</f>
        <v>31.978390000000001</v>
      </c>
      <c r="AS275" s="4" cm="1">
        <f t="array" ref="AS275">INDEX(GMW!$A$2:$NF$150,MATCH(1,(GMW!$NE$2:$NE$150=AS$3)*(GMW!$ND$2:$ND$150=AS$4)*(GMW!$NF$2:$NF$150=AS$1),0),$C275-1966)</f>
        <v>681390.6</v>
      </c>
      <c r="AT275" s="4" cm="1">
        <f t="array" ref="AT275">INDEX(GMW!$A$2:$NF$150,MATCH(1,(GMW!$NE$2:$NE$150=AT$3)*(GMW!$ND$2:$ND$150=AT$4)*(GMW!$NF$2:$NF$150=AT$1),0),$C275-1966)</f>
        <v>45928.1</v>
      </c>
      <c r="AU275" s="4" cm="1">
        <f t="array" ref="AU275">INDEX(GMW!$A$2:$NF$150,MATCH(1,(GMW!$NE$2:$NE$150=AU$3)*(GMW!$ND$2:$ND$150=AU$4)*(GMW!$NF$2:$NF$150=AU$1),0),$C275-1966)</f>
        <v>4325376</v>
      </c>
      <c r="AV275" s="4" cm="1">
        <f t="array" ref="AV275">INDEX(GMW!$A$2:$NF$150,MATCH(1,(GMW!$NE$2:$NE$150=AV$3)*(GMW!$ND$2:$ND$150=AV$4)*(GMW!$NF$2:$NF$150=AV$1),0),$C275-1966)</f>
        <v>-1.6462300000000001</v>
      </c>
    </row>
    <row r="276" spans="1:48" x14ac:dyDescent="0.25">
      <c r="B276" s="4">
        <f t="shared" si="12"/>
        <v>2040</v>
      </c>
      <c r="C276" s="4">
        <f t="shared" si="11"/>
        <v>2242</v>
      </c>
      <c r="D276" s="4" cm="1">
        <f t="array" ref="D276">INDEX(GMW!$A$2:$NF$150,MATCH(1,(GMW!$NE$2:$NE$150=D$3)*(GMW!$ND$2:$ND$150=D$4)*(GMW!$NF$2:$NF$150=D$1),0),$C276-1966)</f>
        <v>811461.8</v>
      </c>
      <c r="E276" s="4" cm="1">
        <f t="array" ref="E276">INDEX(GMW!$A$2:$NF$150,MATCH(1,(GMW!$NE$2:$NE$150=E$3)*(GMW!$ND$2:$ND$150=E$4)*(GMW!$NF$2:$NF$150=E$1),0),$C276-1966)</f>
        <v>187.6302</v>
      </c>
      <c r="F276" s="4" cm="1">
        <f t="array" ref="F276">INDEX(GMW!$A$2:$NF$150,MATCH(1,(GMW!$NE$2:$NE$150=F$3)*(GMW!$ND$2:$ND$150=F$4)*(GMW!$NF$2:$NF$150=F$1),0),$C276-1966)</f>
        <v>251413</v>
      </c>
      <c r="G276" s="4" cm="1">
        <f t="array" ref="G276">INDEX(GMW!$A$2:$NF$150,MATCH(1,(GMW!$NE$2:$NE$150=G$3)*(GMW!$ND$2:$ND$150=G$4)*(GMW!$NF$2:$NF$150=G$1),0),$C276-1966)</f>
        <v>84303.38</v>
      </c>
      <c r="H276" s="4" cm="1">
        <f t="array" ref="H276">INDEX(GMW!$A$2:$NF$150,MATCH(1,(GMW!$NE$2:$NE$150=H$3)*(GMW!$ND$2:$ND$150=H$4)*(GMW!$NF$2:$NF$150=H$1),0),$C276-1966)</f>
        <v>278298.40000000002</v>
      </c>
      <c r="I276" s="4" cm="1">
        <f t="array" ref="I276">INDEX(GMW!$A$2:$NF$150,MATCH(1,(GMW!$NE$2:$NE$150=I$3)*(GMW!$ND$2:$ND$150=I$4)*(GMW!$NF$2:$NF$150=I$1),0),$C276-1966)</f>
        <v>149474.79999999999</v>
      </c>
      <c r="J276" s="4" cm="1">
        <f t="array" ref="J276">INDEX(GMW!$A$2:$NF$150,MATCH(1,(GMW!$NE$2:$NE$150=J$3)*(GMW!$ND$2:$ND$150=J$4)*(GMW!$NF$2:$NF$150=J$1),0),$C276-1966)</f>
        <v>153904.79999999999</v>
      </c>
      <c r="K276" s="4" cm="1">
        <f t="array" ref="K276">INDEX(GMW!$A$2:$NF$150,MATCH(1,(GMW!$NE$2:$NE$150=K$3)*(GMW!$ND$2:$ND$150=K$4)*(GMW!$NF$2:$NF$150=K$1),0),$C276-1966)</f>
        <v>87102.49</v>
      </c>
      <c r="L276" s="4" cm="1">
        <f t="array" ref="L276">INDEX(GMW!$A$2:$NF$150,MATCH(1,(GMW!$NE$2:$NE$150=L$3)*(GMW!$ND$2:$ND$150=L$4)*(GMW!$NF$2:$NF$150=L$1),0),$C276-1966)</f>
        <v>811460.7</v>
      </c>
      <c r="M276" s="4" cm="1">
        <f t="array" ref="M276">INDEX(GMW!$A$2:$NF$150,MATCH(1,(GMW!$NE$2:$NE$150=M$3)*(GMW!$ND$2:$ND$150=M$4)*(GMW!$NF$2:$NF$150=M$1),0),$C276-1966)</f>
        <v>37883.83</v>
      </c>
      <c r="N276" s="4" cm="1">
        <f t="array" ref="N276">INDEX(GMW!$A$2:$NF$150,MATCH(1,(GMW!$NE$2:$NE$150=N$3)*(GMW!$ND$2:$ND$150=N$4)*(GMW!$NF$2:$NF$150=N$1),0),$C276-1966)</f>
        <v>31.977810000000002</v>
      </c>
      <c r="O276" s="4" cm="1">
        <f t="array" ref="O276">INDEX(GMW!$A$2:$NF$150,MATCH(1,(GMW!$NE$2:$NE$150=O$3)*(GMW!$ND$2:$ND$150=O$4)*(GMW!$NF$2:$NF$150=O$1),0),$C276-1966)</f>
        <v>685830</v>
      </c>
      <c r="P276" s="4" cm="1">
        <f t="array" ref="P276">INDEX(GMW!$A$2:$NF$150,MATCH(1,(GMW!$NE$2:$NE$150=P$3)*(GMW!$ND$2:$ND$150=P$4)*(GMW!$NF$2:$NF$150=P$1),0),$C276-1966)</f>
        <v>46205.14</v>
      </c>
      <c r="Q276" s="4" cm="1">
        <f t="array" ref="Q276">INDEX(GMW!$A$2:$NF$150,MATCH(1,(GMW!$NE$2:$NE$150=Q$3)*(GMW!$ND$2:$ND$150=Q$4)*(GMW!$NF$2:$NF$150=Q$1),0),$C276-1966)</f>
        <v>4262260</v>
      </c>
      <c r="R276" s="4" cm="1">
        <f t="array" ref="R276">INDEX(GMW!$A$2:$NF$150,MATCH(1,(GMW!$NE$2:$NE$150=R$3)*(GMW!$ND$2:$ND$150=R$4)*(GMW!$NF$2:$NF$150=R$1),0),$C276-1966)</f>
        <v>-1.648631</v>
      </c>
      <c r="S276" s="4" cm="1">
        <f t="array" ref="S276">INDEX(GMW!$A$2:$NF$150,MATCH(1,(GMW!$NE$2:$NE$150=S$3)*(GMW!$ND$2:$ND$150=S$4)*(GMW!$NF$2:$NF$150=S$1),0),$C276-1966)</f>
        <v>818106.6</v>
      </c>
      <c r="T276" s="4" cm="1">
        <f t="array" ref="T276">INDEX(GMW!$A$2:$NF$150,MATCH(1,(GMW!$NE$2:$NE$150=T$3)*(GMW!$ND$2:$ND$150=T$4)*(GMW!$NF$2:$NF$150=T$1),0),$C276-1966)</f>
        <v>187.47059999999999</v>
      </c>
      <c r="U276" s="4" cm="1">
        <f t="array" ref="U276">INDEX(GMW!$A$2:$NF$150,MATCH(1,(GMW!$NE$2:$NE$150=U$3)*(GMW!$ND$2:$ND$150=U$4)*(GMW!$NF$2:$NF$150=U$1),0),$C276-1966)</f>
        <v>241002.6</v>
      </c>
      <c r="V276" s="4" cm="1">
        <f t="array" ref="V276">INDEX(GMW!$A$2:$NF$150,MATCH(1,(GMW!$NE$2:$NE$150=V$3)*(GMW!$ND$2:$ND$150=V$4)*(GMW!$NF$2:$NF$150=V$1),0),$C276-1966)</f>
        <v>88802.32</v>
      </c>
      <c r="W276" s="4" cm="1">
        <f t="array" ref="W276">INDEX(GMW!$A$2:$NF$150,MATCH(1,(GMW!$NE$2:$NE$150=W$3)*(GMW!$ND$2:$ND$150=W$4)*(GMW!$NF$2:$NF$150=W$1),0),$C276-1966)</f>
        <v>269633.3</v>
      </c>
      <c r="X276" s="4" cm="1">
        <f t="array" ref="X276">INDEX(GMW!$A$2:$NF$150,MATCH(1,(GMW!$NE$2:$NE$150=X$3)*(GMW!$ND$2:$ND$150=X$4)*(GMW!$NF$2:$NF$150=X$1),0),$C276-1966)</f>
        <v>143681.1</v>
      </c>
      <c r="Y276" s="4" cm="1">
        <f t="array" ref="Y276">INDEX(GMW!$A$2:$NF$150,MATCH(1,(GMW!$NE$2:$NE$150=Y$3)*(GMW!$ND$2:$ND$150=Y$4)*(GMW!$NF$2:$NF$150=Y$1),0),$C276-1966)</f>
        <v>156614.5</v>
      </c>
      <c r="Z276" s="4" cm="1">
        <f t="array" ref="Z276">INDEX(GMW!$A$2:$NF$150,MATCH(1,(GMW!$NE$2:$NE$150=Z$3)*(GMW!$ND$2:$ND$150=Z$4)*(GMW!$NF$2:$NF$150=Z$1),0),$C276-1966)</f>
        <v>90195.32</v>
      </c>
      <c r="AA276" s="4" cm="1">
        <f t="array" ref="AA276">INDEX(GMW!$A$2:$NF$150,MATCH(1,(GMW!$NE$2:$NE$150=AA$3)*(GMW!$ND$2:$ND$150=AA$4)*(GMW!$NF$2:$NF$150=AA$1),0),$C276-1966)</f>
        <v>818106.7</v>
      </c>
      <c r="AB276" s="4" cm="1">
        <f t="array" ref="AB276">INDEX(GMW!$A$2:$NF$150,MATCH(1,(GMW!$NE$2:$NE$150=AB$3)*(GMW!$ND$2:$ND$150=AB$4)*(GMW!$NF$2:$NF$150=AB$1),0),$C276-1966)</f>
        <v>37883.83</v>
      </c>
      <c r="AC276" s="4" cm="1">
        <f t="array" ref="AC276">INDEX(GMW!$A$2:$NF$150,MATCH(1,(GMW!$NE$2:$NE$150=AC$3)*(GMW!$ND$2:$ND$150=AC$4)*(GMW!$NF$2:$NF$150=AC$1),0),$C276-1966)</f>
        <v>31.977810000000002</v>
      </c>
      <c r="AD276" s="4" cm="1">
        <f t="array" ref="AD276">INDEX(GMW!$A$2:$NF$150,MATCH(1,(GMW!$NE$2:$NE$150=AD$3)*(GMW!$ND$2:$ND$150=AD$4)*(GMW!$NF$2:$NF$150=AD$1),0),$C276-1966)</f>
        <v>685830</v>
      </c>
      <c r="AE276" s="4" cm="1">
        <f t="array" ref="AE276">INDEX(GMW!$A$2:$NF$150,MATCH(1,(GMW!$NE$2:$NE$150=AE$3)*(GMW!$ND$2:$ND$150=AE$4)*(GMW!$NF$2:$NF$150=AE$1),0),$C276-1966)</f>
        <v>46205.14</v>
      </c>
      <c r="AF276" s="4" cm="1">
        <f t="array" ref="AF276">INDEX(GMW!$A$2:$NF$150,MATCH(1,(GMW!$NE$2:$NE$150=AF$3)*(GMW!$ND$2:$ND$150=AF$4)*(GMW!$NF$2:$NF$150=AF$1),0),$C276-1966)</f>
        <v>4337572</v>
      </c>
      <c r="AG276" s="4" cm="1">
        <f t="array" ref="AG276">INDEX(GMW!$A$2:$NF$150,MATCH(1,(GMW!$NE$2:$NE$150=AG$3)*(GMW!$ND$2:$ND$150=AG$4)*(GMW!$NF$2:$NF$150=AG$1),0),$C276-1966)</f>
        <v>-1.6465590000000001</v>
      </c>
      <c r="AH276" s="4" cm="1">
        <f t="array" ref="AH276">INDEX(GMW!$A$2:$NF$150,MATCH(1,(GMW!$NE$2:$NE$150=AH$3)*(GMW!$ND$2:$ND$150=AH$4)*(GMW!$NF$2:$NF$150=AH$1),0),$C276-1966)</f>
        <v>818593.1</v>
      </c>
      <c r="AI276" s="4" cm="1">
        <f t="array" ref="AI276">INDEX(GMW!$A$2:$NF$150,MATCH(1,(GMW!$NE$2:$NE$150=AI$3)*(GMW!$ND$2:$ND$150=AI$4)*(GMW!$NF$2:$NF$150=AI$1),0),$C276-1966)</f>
        <v>186.23390000000001</v>
      </c>
      <c r="AJ276" s="4" cm="1">
        <f t="array" ref="AJ276">INDEX(GMW!$A$2:$NF$150,MATCH(1,(GMW!$NE$2:$NE$150=AJ$3)*(GMW!$ND$2:$ND$150=AJ$4)*(GMW!$NF$2:$NF$150=AJ$1),0),$C276-1966)</f>
        <v>246231.3</v>
      </c>
      <c r="AK276" s="4" cm="1">
        <f t="array" ref="AK276">INDEX(GMW!$A$2:$NF$150,MATCH(1,(GMW!$NE$2:$NE$150=AK$3)*(GMW!$ND$2:$ND$150=AK$4)*(GMW!$NF$2:$NF$150=AK$1),0),$C276-1966)</f>
        <v>91502.27</v>
      </c>
      <c r="AL276" s="4" cm="1">
        <f t="array" ref="AL276">INDEX(GMW!$A$2:$NF$150,MATCH(1,(GMW!$NE$2:$NE$150=AL$3)*(GMW!$ND$2:$ND$150=AL$4)*(GMW!$NF$2:$NF$150=AL$1),0),$C276-1966)</f>
        <v>274009.09999999998</v>
      </c>
      <c r="AM276" s="4" cm="1">
        <f t="array" ref="AM276">INDEX(GMW!$A$2:$NF$150,MATCH(1,(GMW!$NE$2:$NE$150=AM$3)*(GMW!$ND$2:$ND$150=AM$4)*(GMW!$NF$2:$NF$150=AM$1),0),$C276-1966)</f>
        <v>147123</v>
      </c>
      <c r="AN276" s="4" cm="1">
        <f t="array" ref="AN276">INDEX(GMW!$A$2:$NF$150,MATCH(1,(GMW!$NE$2:$NE$150=AN$3)*(GMW!$ND$2:$ND$150=AN$4)*(GMW!$NF$2:$NF$150=AN$1),0),$C276-1966)</f>
        <v>156635.70000000001</v>
      </c>
      <c r="AO276" s="4" cm="1">
        <f t="array" ref="AO276">INDEX(GMW!$A$2:$NF$150,MATCH(1,(GMW!$NE$2:$NE$150=AO$3)*(GMW!$ND$2:$ND$150=AO$4)*(GMW!$NF$2:$NF$150=AO$1),0),$C276-1966)</f>
        <v>91396.57</v>
      </c>
      <c r="AP276" s="4" cm="1">
        <f t="array" ref="AP276">INDEX(GMW!$A$2:$NF$150,MATCH(1,(GMW!$NE$2:$NE$150=AP$3)*(GMW!$ND$2:$ND$150=AP$4)*(GMW!$NF$2:$NF$150=AP$1),0),$C276-1966)</f>
        <v>818593.7</v>
      </c>
      <c r="AQ276" s="4" cm="1">
        <f t="array" ref="AQ276">INDEX(GMW!$A$2:$NF$150,MATCH(1,(GMW!$NE$2:$NE$150=AQ$3)*(GMW!$ND$2:$ND$150=AQ$4)*(GMW!$NF$2:$NF$150=AQ$1),0),$C276-1966)</f>
        <v>37776.61</v>
      </c>
      <c r="AR276" s="4" cm="1">
        <f t="array" ref="AR276">INDEX(GMW!$A$2:$NF$150,MATCH(1,(GMW!$NE$2:$NE$150=AR$3)*(GMW!$ND$2:$ND$150=AR$4)*(GMW!$NF$2:$NF$150=AR$1),0),$C276-1966)</f>
        <v>31.977810000000002</v>
      </c>
      <c r="AS276" s="4" cm="1">
        <f t="array" ref="AS276">INDEX(GMW!$A$2:$NF$150,MATCH(1,(GMW!$NE$2:$NE$150=AS$3)*(GMW!$ND$2:$ND$150=AS$4)*(GMW!$NF$2:$NF$150=AS$1),0),$C276-1966)</f>
        <v>682352.5</v>
      </c>
      <c r="AT276" s="4" cm="1">
        <f t="array" ref="AT276">INDEX(GMW!$A$2:$NF$150,MATCH(1,(GMW!$NE$2:$NE$150=AT$3)*(GMW!$ND$2:$ND$150=AT$4)*(GMW!$NF$2:$NF$150=AT$1),0),$C276-1966)</f>
        <v>45959.58</v>
      </c>
      <c r="AU276" s="4" cm="1">
        <f t="array" ref="AU276">INDEX(GMW!$A$2:$NF$150,MATCH(1,(GMW!$NE$2:$NE$150=AU$3)*(GMW!$ND$2:$ND$150=AU$4)*(GMW!$NF$2:$NF$150=AU$1),0),$C276-1966)</f>
        <v>4346398</v>
      </c>
      <c r="AV276" s="4" cm="1">
        <f t="array" ref="AV276">INDEX(GMW!$A$2:$NF$150,MATCH(1,(GMW!$NE$2:$NE$150=AV$3)*(GMW!$ND$2:$ND$150=AV$4)*(GMW!$NF$2:$NF$150=AV$1),0),$C276-1966)</f>
        <v>-1.6449130000000001</v>
      </c>
    </row>
    <row r="277" spans="1:48" x14ac:dyDescent="0.25">
      <c r="B277" s="4">
        <f t="shared" si="12"/>
        <v>2040</v>
      </c>
      <c r="C277" s="4">
        <f t="shared" si="11"/>
        <v>2243</v>
      </c>
      <c r="D277" s="4" cm="1">
        <f t="array" ref="D277">INDEX(GMW!$A$2:$NF$150,MATCH(1,(GMW!$NE$2:$NE$150=D$3)*(GMW!$ND$2:$ND$150=D$4)*(GMW!$NF$2:$NF$150=D$1),0),$C277-1966)</f>
        <v>814683.8</v>
      </c>
      <c r="E277" s="4" cm="1">
        <f t="array" ref="E277">INDEX(GMW!$A$2:$NF$150,MATCH(1,(GMW!$NE$2:$NE$150=E$3)*(GMW!$ND$2:$ND$150=E$4)*(GMW!$NF$2:$NF$150=E$1),0),$C277-1966)</f>
        <v>188.4837</v>
      </c>
      <c r="F277" s="4" cm="1">
        <f t="array" ref="F277">INDEX(GMW!$A$2:$NF$150,MATCH(1,(GMW!$NE$2:$NE$150=F$3)*(GMW!$ND$2:$ND$150=F$4)*(GMW!$NF$2:$NF$150=F$1),0),$C277-1966)</f>
        <v>252330.8</v>
      </c>
      <c r="G277" s="4" cm="1">
        <f t="array" ref="G277">INDEX(GMW!$A$2:$NF$150,MATCH(1,(GMW!$NE$2:$NE$150=G$3)*(GMW!$ND$2:$ND$150=G$4)*(GMW!$NF$2:$NF$150=G$1),0),$C277-1966)</f>
        <v>84569.83</v>
      </c>
      <c r="H277" s="4" cm="1">
        <f t="array" ref="H277">INDEX(GMW!$A$2:$NF$150,MATCH(1,(GMW!$NE$2:$NE$150=H$3)*(GMW!$ND$2:$ND$150=H$4)*(GMW!$NF$2:$NF$150=H$1),0),$C277-1966)</f>
        <v>279395.59999999998</v>
      </c>
      <c r="I277" s="4" cm="1">
        <f t="array" ref="I277">INDEX(GMW!$A$2:$NF$150,MATCH(1,(GMW!$NE$2:$NE$150=I$3)*(GMW!$ND$2:$ND$150=I$4)*(GMW!$NF$2:$NF$150=I$1),0),$C277-1966)</f>
        <v>150041.5</v>
      </c>
      <c r="J277" s="4" cm="1">
        <f t="array" ref="J277">INDEX(GMW!$A$2:$NF$150,MATCH(1,(GMW!$NE$2:$NE$150=J$3)*(GMW!$ND$2:$ND$150=J$4)*(GMW!$NF$2:$NF$150=J$1),0),$C277-1966)</f>
        <v>154681.4</v>
      </c>
      <c r="K277" s="4" cm="1">
        <f t="array" ref="K277">INDEX(GMW!$A$2:$NF$150,MATCH(1,(GMW!$NE$2:$NE$150=K$3)*(GMW!$ND$2:$ND$150=K$4)*(GMW!$NF$2:$NF$150=K$1),0),$C277-1966)</f>
        <v>87579</v>
      </c>
      <c r="L277" s="4" cm="1">
        <f t="array" ref="L277">INDEX(GMW!$A$2:$NF$150,MATCH(1,(GMW!$NE$2:$NE$150=L$3)*(GMW!$ND$2:$ND$150=L$4)*(GMW!$NF$2:$NF$150=L$1),0),$C277-1966)</f>
        <v>814683.3</v>
      </c>
      <c r="M277" s="4" cm="1">
        <f t="array" ref="M277">INDEX(GMW!$A$2:$NF$150,MATCH(1,(GMW!$NE$2:$NE$150=M$3)*(GMW!$ND$2:$ND$150=M$4)*(GMW!$NF$2:$NF$150=M$1),0),$C277-1966)</f>
        <v>37929.58</v>
      </c>
      <c r="N277" s="4" cm="1">
        <f t="array" ref="N277">INDEX(GMW!$A$2:$NF$150,MATCH(1,(GMW!$NE$2:$NE$150=N$3)*(GMW!$ND$2:$ND$150=N$4)*(GMW!$NF$2:$NF$150=N$1),0),$C277-1966)</f>
        <v>31.977239999999998</v>
      </c>
      <c r="O277" s="4" cm="1">
        <f t="array" ref="O277">INDEX(GMW!$A$2:$NF$150,MATCH(1,(GMW!$NE$2:$NE$150=O$3)*(GMW!$ND$2:$ND$150=O$4)*(GMW!$NF$2:$NF$150=O$1),0),$C277-1966)</f>
        <v>686739.4</v>
      </c>
      <c r="P277" s="4" cm="1">
        <f t="array" ref="P277">INDEX(GMW!$A$2:$NF$150,MATCH(1,(GMW!$NE$2:$NE$150=P$3)*(GMW!$ND$2:$ND$150=P$4)*(GMW!$NF$2:$NF$150=P$1),0),$C277-1966)</f>
        <v>46233.3</v>
      </c>
      <c r="Q277" s="4" cm="1">
        <f t="array" ref="Q277">INDEX(GMW!$A$2:$NF$150,MATCH(1,(GMW!$NE$2:$NE$150=Q$3)*(GMW!$ND$2:$ND$150=Q$4)*(GMW!$NF$2:$NF$150=Q$1),0),$C277-1966)</f>
        <v>4282544</v>
      </c>
      <c r="R277" s="4" cm="1">
        <f t="array" ref="R277">INDEX(GMW!$A$2:$NF$150,MATCH(1,(GMW!$NE$2:$NE$150=R$3)*(GMW!$ND$2:$ND$150=R$4)*(GMW!$NF$2:$NF$150=R$1),0),$C277-1966)</f>
        <v>-1.6473120000000001</v>
      </c>
      <c r="S277" s="4" cm="1">
        <f t="array" ref="S277">INDEX(GMW!$A$2:$NF$150,MATCH(1,(GMW!$NE$2:$NE$150=S$3)*(GMW!$ND$2:$ND$150=S$4)*(GMW!$NF$2:$NF$150=S$1),0),$C277-1966)</f>
        <v>821391.8</v>
      </c>
      <c r="T277" s="4" cm="1">
        <f t="array" ref="T277">INDEX(GMW!$A$2:$NF$150,MATCH(1,(GMW!$NE$2:$NE$150=T$3)*(GMW!$ND$2:$ND$150=T$4)*(GMW!$NF$2:$NF$150=T$1),0),$C277-1966)</f>
        <v>188.3749</v>
      </c>
      <c r="U277" s="4" cm="1">
        <f t="array" ref="U277">INDEX(GMW!$A$2:$NF$150,MATCH(1,(GMW!$NE$2:$NE$150=U$3)*(GMW!$ND$2:$ND$150=U$4)*(GMW!$NF$2:$NF$150=U$1),0),$C277-1966)</f>
        <v>241878.6</v>
      </c>
      <c r="V277" s="4" cm="1">
        <f t="array" ref="V277">INDEX(GMW!$A$2:$NF$150,MATCH(1,(GMW!$NE$2:$NE$150=V$3)*(GMW!$ND$2:$ND$150=V$4)*(GMW!$NF$2:$NF$150=V$1),0),$C277-1966)</f>
        <v>89086.98</v>
      </c>
      <c r="W277" s="4" cm="1">
        <f t="array" ref="W277">INDEX(GMW!$A$2:$NF$150,MATCH(1,(GMW!$NE$2:$NE$150=W$3)*(GMW!$ND$2:$ND$150=W$4)*(GMW!$NF$2:$NF$150=W$1),0),$C277-1966)</f>
        <v>270698.59999999998</v>
      </c>
      <c r="X277" s="4" cm="1">
        <f t="array" ref="X277">INDEX(GMW!$A$2:$NF$150,MATCH(1,(GMW!$NE$2:$NE$150=X$3)*(GMW!$ND$2:$ND$150=X$4)*(GMW!$NF$2:$NF$150=X$1),0),$C277-1966)</f>
        <v>144232.20000000001</v>
      </c>
      <c r="Y277" s="4" cm="1">
        <f t="array" ref="Y277">INDEX(GMW!$A$2:$NF$150,MATCH(1,(GMW!$NE$2:$NE$150=Y$3)*(GMW!$ND$2:$ND$150=Y$4)*(GMW!$NF$2:$NF$150=Y$1),0),$C277-1966)</f>
        <v>157403.9</v>
      </c>
      <c r="Z277" s="4" cm="1">
        <f t="array" ref="Z277">INDEX(GMW!$A$2:$NF$150,MATCH(1,(GMW!$NE$2:$NE$150=Z$3)*(GMW!$ND$2:$ND$150=Z$4)*(GMW!$NF$2:$NF$150=Z$1),0),$C277-1966)</f>
        <v>90683.78</v>
      </c>
      <c r="AA277" s="4" cm="1">
        <f t="array" ref="AA277">INDEX(GMW!$A$2:$NF$150,MATCH(1,(GMW!$NE$2:$NE$150=AA$3)*(GMW!$ND$2:$ND$150=AA$4)*(GMW!$NF$2:$NF$150=AA$1),0),$C277-1966)</f>
        <v>821392.4</v>
      </c>
      <c r="AB277" s="4" cm="1">
        <f t="array" ref="AB277">INDEX(GMW!$A$2:$NF$150,MATCH(1,(GMW!$NE$2:$NE$150=AB$3)*(GMW!$ND$2:$ND$150=AB$4)*(GMW!$NF$2:$NF$150=AB$1),0),$C277-1966)</f>
        <v>37929.58</v>
      </c>
      <c r="AC277" s="4" cm="1">
        <f t="array" ref="AC277">INDEX(GMW!$A$2:$NF$150,MATCH(1,(GMW!$NE$2:$NE$150=AC$3)*(GMW!$ND$2:$ND$150=AC$4)*(GMW!$NF$2:$NF$150=AC$1),0),$C277-1966)</f>
        <v>31.977239999999998</v>
      </c>
      <c r="AD277" s="4" cm="1">
        <f t="array" ref="AD277">INDEX(GMW!$A$2:$NF$150,MATCH(1,(GMW!$NE$2:$NE$150=AD$3)*(GMW!$ND$2:$ND$150=AD$4)*(GMW!$NF$2:$NF$150=AD$1),0),$C277-1966)</f>
        <v>686739.4</v>
      </c>
      <c r="AE277" s="4" cm="1">
        <f t="array" ref="AE277">INDEX(GMW!$A$2:$NF$150,MATCH(1,(GMW!$NE$2:$NE$150=AE$3)*(GMW!$ND$2:$ND$150=AE$4)*(GMW!$NF$2:$NF$150=AE$1),0),$C277-1966)</f>
        <v>46233.3</v>
      </c>
      <c r="AF277" s="4" cm="1">
        <f t="array" ref="AF277">INDEX(GMW!$A$2:$NF$150,MATCH(1,(GMW!$NE$2:$NE$150=AF$3)*(GMW!$ND$2:$ND$150=AF$4)*(GMW!$NF$2:$NF$150=AF$1),0),$C277-1966)</f>
        <v>4358765</v>
      </c>
      <c r="AG277" s="4" cm="1">
        <f t="array" ref="AG277">INDEX(GMW!$A$2:$NF$150,MATCH(1,(GMW!$NE$2:$NE$150=AG$3)*(GMW!$ND$2:$ND$150=AG$4)*(GMW!$NF$2:$NF$150=AG$1),0),$C277-1966)</f>
        <v>-1.6452420000000001</v>
      </c>
      <c r="AH277" s="4" cm="1">
        <f t="array" ref="AH277">INDEX(GMW!$A$2:$NF$150,MATCH(1,(GMW!$NE$2:$NE$150=AH$3)*(GMW!$ND$2:$ND$150=AH$4)*(GMW!$NF$2:$NF$150=AH$1),0),$C277-1966)</f>
        <v>821818.4</v>
      </c>
      <c r="AI277" s="4" cm="1">
        <f t="array" ref="AI277">INDEX(GMW!$A$2:$NF$150,MATCH(1,(GMW!$NE$2:$NE$150=AI$3)*(GMW!$ND$2:$ND$150=AI$4)*(GMW!$NF$2:$NF$150=AI$1),0),$C277-1966)</f>
        <v>187.05600000000001</v>
      </c>
      <c r="AJ277" s="4" cm="1">
        <f t="array" ref="AJ277">INDEX(GMW!$A$2:$NF$150,MATCH(1,(GMW!$NE$2:$NE$150=AJ$3)*(GMW!$ND$2:$ND$150=AJ$4)*(GMW!$NF$2:$NF$150=AJ$1),0),$C277-1966)</f>
        <v>247098.4</v>
      </c>
      <c r="AK277" s="4" cm="1">
        <f t="array" ref="AK277">INDEX(GMW!$A$2:$NF$150,MATCH(1,(GMW!$NE$2:$NE$150=AK$3)*(GMW!$ND$2:$ND$150=AK$4)*(GMW!$NF$2:$NF$150=AK$1),0),$C277-1966)</f>
        <v>91789.59</v>
      </c>
      <c r="AL277" s="4" cm="1">
        <f t="array" ref="AL277">INDEX(GMW!$A$2:$NF$150,MATCH(1,(GMW!$NE$2:$NE$150=AL$3)*(GMW!$ND$2:$ND$150=AL$4)*(GMW!$NF$2:$NF$150=AL$1),0),$C277-1966)</f>
        <v>275063.8</v>
      </c>
      <c r="AM277" s="4" cm="1">
        <f t="array" ref="AM277">INDEX(GMW!$A$2:$NF$150,MATCH(1,(GMW!$NE$2:$NE$150=AM$3)*(GMW!$ND$2:$ND$150=AM$4)*(GMW!$NF$2:$NF$150=AM$1),0),$C277-1966)</f>
        <v>147673.29999999999</v>
      </c>
      <c r="AN277" s="4" cm="1">
        <f t="array" ref="AN277">INDEX(GMW!$A$2:$NF$150,MATCH(1,(GMW!$NE$2:$NE$150=AN$3)*(GMW!$ND$2:$ND$150=AN$4)*(GMW!$NF$2:$NF$150=AN$1),0),$C277-1966)</f>
        <v>157414</v>
      </c>
      <c r="AO277" s="4" cm="1">
        <f t="array" ref="AO277">INDEX(GMW!$A$2:$NF$150,MATCH(1,(GMW!$NE$2:$NE$150=AO$3)*(GMW!$ND$2:$ND$150=AO$4)*(GMW!$NF$2:$NF$150=AO$1),0),$C277-1966)</f>
        <v>91884.63</v>
      </c>
      <c r="AP277" s="4" cm="1">
        <f t="array" ref="AP277">INDEX(GMW!$A$2:$NF$150,MATCH(1,(GMW!$NE$2:$NE$150=AP$3)*(GMW!$ND$2:$ND$150=AP$4)*(GMW!$NF$2:$NF$150=AP$1),0),$C277-1966)</f>
        <v>821818.7</v>
      </c>
      <c r="AQ277" s="4" cm="1">
        <f t="array" ref="AQ277">INDEX(GMW!$A$2:$NF$150,MATCH(1,(GMW!$NE$2:$NE$150=AQ$3)*(GMW!$ND$2:$ND$150=AQ$4)*(GMW!$NF$2:$NF$150=AQ$1),0),$C277-1966)</f>
        <v>37818.15</v>
      </c>
      <c r="AR277" s="4" cm="1">
        <f t="array" ref="AR277">INDEX(GMW!$A$2:$NF$150,MATCH(1,(GMW!$NE$2:$NE$150=AR$3)*(GMW!$ND$2:$ND$150=AR$4)*(GMW!$NF$2:$NF$150=AR$1),0),$C277-1966)</f>
        <v>31.977239999999998</v>
      </c>
      <c r="AS277" s="4" cm="1">
        <f t="array" ref="AS277">INDEX(GMW!$A$2:$NF$150,MATCH(1,(GMW!$NE$2:$NE$150=AS$3)*(GMW!$ND$2:$ND$150=AS$4)*(GMW!$NF$2:$NF$150=AS$1),0),$C277-1966)</f>
        <v>683373.5</v>
      </c>
      <c r="AT277" s="4" cm="1">
        <f t="array" ref="AT277">INDEX(GMW!$A$2:$NF$150,MATCH(1,(GMW!$NE$2:$NE$150=AT$3)*(GMW!$ND$2:$ND$150=AT$4)*(GMW!$NF$2:$NF$150=AT$1),0),$C277-1966)</f>
        <v>45995.11</v>
      </c>
      <c r="AU277" s="4" cm="1">
        <f t="array" ref="AU277">INDEX(GMW!$A$2:$NF$150,MATCH(1,(GMW!$NE$2:$NE$150=AU$3)*(GMW!$ND$2:$ND$150=AU$4)*(GMW!$NF$2:$NF$150=AU$1),0),$C277-1966)</f>
        <v>4367556</v>
      </c>
      <c r="AV277" s="4" cm="1">
        <f t="array" ref="AV277">INDEX(GMW!$A$2:$NF$150,MATCH(1,(GMW!$NE$2:$NE$150=AV$3)*(GMW!$ND$2:$ND$150=AV$4)*(GMW!$NF$2:$NF$150=AV$1),0),$C277-1966)</f>
        <v>-1.643597</v>
      </c>
    </row>
    <row r="278" spans="1:48" x14ac:dyDescent="0.25">
      <c r="B278" s="4">
        <f t="shared" si="12"/>
        <v>2040</v>
      </c>
      <c r="C278" s="4">
        <f t="shared" si="11"/>
        <v>2244</v>
      </c>
      <c r="D278" s="4" cm="1">
        <f t="array" ref="D278">INDEX(GMW!$A$2:$NF$150,MATCH(1,(GMW!$NE$2:$NE$150=D$3)*(GMW!$ND$2:$ND$150=D$4)*(GMW!$NF$2:$NF$150=D$1),0),$C278-1966)</f>
        <v>817920.8</v>
      </c>
      <c r="E278" s="4" cm="1">
        <f t="array" ref="E278">INDEX(GMW!$A$2:$NF$150,MATCH(1,(GMW!$NE$2:$NE$150=E$3)*(GMW!$ND$2:$ND$150=E$4)*(GMW!$NF$2:$NF$150=E$1),0),$C278-1966)</f>
        <v>189.3135</v>
      </c>
      <c r="F278" s="4" cm="1">
        <f t="array" ref="F278">INDEX(GMW!$A$2:$NF$150,MATCH(1,(GMW!$NE$2:$NE$150=F$3)*(GMW!$ND$2:$ND$150=F$4)*(GMW!$NF$2:$NF$150=F$1),0),$C278-1966)</f>
        <v>253253</v>
      </c>
      <c r="G278" s="4" cm="1">
        <f t="array" ref="G278">INDEX(GMW!$A$2:$NF$150,MATCH(1,(GMW!$NE$2:$NE$150=G$3)*(GMW!$ND$2:$ND$150=G$4)*(GMW!$NF$2:$NF$150=G$1),0),$C278-1966)</f>
        <v>84837.34</v>
      </c>
      <c r="H278" s="4" cm="1">
        <f t="array" ref="H278">INDEX(GMW!$A$2:$NF$150,MATCH(1,(GMW!$NE$2:$NE$150=H$3)*(GMW!$ND$2:$ND$150=H$4)*(GMW!$NF$2:$NF$150=H$1),0),$C278-1966)</f>
        <v>280497.90000000002</v>
      </c>
      <c r="I278" s="4" cm="1">
        <f t="array" ref="I278">INDEX(GMW!$A$2:$NF$150,MATCH(1,(GMW!$NE$2:$NE$150=I$3)*(GMW!$ND$2:$ND$150=I$4)*(GMW!$NF$2:$NF$150=I$1),0),$C278-1966)</f>
        <v>150610.6</v>
      </c>
      <c r="J278" s="4" cm="1">
        <f t="array" ref="J278">INDEX(GMW!$A$2:$NF$150,MATCH(1,(GMW!$NE$2:$NE$150=J$3)*(GMW!$ND$2:$ND$150=J$4)*(GMW!$NF$2:$NF$150=J$1),0),$C278-1966)</f>
        <v>155462.39999999999</v>
      </c>
      <c r="K278" s="4" cm="1">
        <f t="array" ref="K278">INDEX(GMW!$A$2:$NF$150,MATCH(1,(GMW!$NE$2:$NE$150=K$3)*(GMW!$ND$2:$ND$150=K$4)*(GMW!$NF$2:$NF$150=K$1),0),$C278-1966)</f>
        <v>88058.34</v>
      </c>
      <c r="L278" s="4" cm="1">
        <f t="array" ref="L278">INDEX(GMW!$A$2:$NF$150,MATCH(1,(GMW!$NE$2:$NE$150=L$3)*(GMW!$ND$2:$ND$150=L$4)*(GMW!$NF$2:$NF$150=L$1),0),$C278-1966)</f>
        <v>817921</v>
      </c>
      <c r="M278" s="4" cm="1">
        <f t="array" ref="M278">INDEX(GMW!$A$2:$NF$150,MATCH(1,(GMW!$NE$2:$NE$150=M$3)*(GMW!$ND$2:$ND$150=M$4)*(GMW!$NF$2:$NF$150=M$1),0),$C278-1966)</f>
        <v>37975.339999999997</v>
      </c>
      <c r="N278" s="4" cm="1">
        <f t="array" ref="N278">INDEX(GMW!$A$2:$NF$150,MATCH(1,(GMW!$NE$2:$NE$150=N$3)*(GMW!$ND$2:$ND$150=N$4)*(GMW!$NF$2:$NF$150=N$1),0),$C278-1966)</f>
        <v>31.976669999999999</v>
      </c>
      <c r="O278" s="4" cm="1">
        <f t="array" ref="O278">INDEX(GMW!$A$2:$NF$150,MATCH(1,(GMW!$NE$2:$NE$150=O$3)*(GMW!$ND$2:$ND$150=O$4)*(GMW!$NF$2:$NF$150=O$1),0),$C278-1966)</f>
        <v>687647.8</v>
      </c>
      <c r="P278" s="4" cm="1">
        <f t="array" ref="P278">INDEX(GMW!$A$2:$NF$150,MATCH(1,(GMW!$NE$2:$NE$150=P$3)*(GMW!$ND$2:$ND$150=P$4)*(GMW!$NF$2:$NF$150=P$1),0),$C278-1966)</f>
        <v>46261.46</v>
      </c>
      <c r="Q278" s="4" cm="1">
        <f t="array" ref="Q278">INDEX(GMW!$A$2:$NF$150,MATCH(1,(GMW!$NE$2:$NE$150=Q$3)*(GMW!$ND$2:$ND$150=Q$4)*(GMW!$NF$2:$NF$150=Q$1),0),$C278-1966)</f>
        <v>4302990</v>
      </c>
      <c r="R278" s="4" cm="1">
        <f t="array" ref="R278">INDEX(GMW!$A$2:$NF$150,MATCH(1,(GMW!$NE$2:$NE$150=R$3)*(GMW!$ND$2:$ND$150=R$4)*(GMW!$NF$2:$NF$150=R$1),0),$C278-1966)</f>
        <v>-1.645994</v>
      </c>
      <c r="S278" s="4" cm="1">
        <f t="array" ref="S278">INDEX(GMW!$A$2:$NF$150,MATCH(1,(GMW!$NE$2:$NE$150=S$3)*(GMW!$ND$2:$ND$150=S$4)*(GMW!$NF$2:$NF$150=S$1),0),$C278-1966)</f>
        <v>824690.5</v>
      </c>
      <c r="T278" s="4" cm="1">
        <f t="array" ref="T278">INDEX(GMW!$A$2:$NF$150,MATCH(1,(GMW!$NE$2:$NE$150=T$3)*(GMW!$ND$2:$ND$150=T$4)*(GMW!$NF$2:$NF$150=T$1),0),$C278-1966)</f>
        <v>189.1815</v>
      </c>
      <c r="U278" s="4" cm="1">
        <f t="array" ref="U278">INDEX(GMW!$A$2:$NF$150,MATCH(1,(GMW!$NE$2:$NE$150=U$3)*(GMW!$ND$2:$ND$150=U$4)*(GMW!$NF$2:$NF$150=U$1),0),$C278-1966)</f>
        <v>242758.39999999999</v>
      </c>
      <c r="V278" s="4" cm="1">
        <f t="array" ref="V278">INDEX(GMW!$A$2:$NF$150,MATCH(1,(GMW!$NE$2:$NE$150=V$3)*(GMW!$ND$2:$ND$150=V$4)*(GMW!$NF$2:$NF$150=V$1),0),$C278-1966)</f>
        <v>89372.6</v>
      </c>
      <c r="W278" s="4" cm="1">
        <f t="array" ref="W278">INDEX(GMW!$A$2:$NF$150,MATCH(1,(GMW!$NE$2:$NE$150=W$3)*(GMW!$ND$2:$ND$150=W$4)*(GMW!$NF$2:$NF$150=W$1),0),$C278-1966)</f>
        <v>271768.59999999998</v>
      </c>
      <c r="X278" s="4" cm="1">
        <f t="array" ref="X278">INDEX(GMW!$A$2:$NF$150,MATCH(1,(GMW!$NE$2:$NE$150=X$3)*(GMW!$ND$2:$ND$150=X$4)*(GMW!$NF$2:$NF$150=X$1),0),$C278-1966)</f>
        <v>144785.5</v>
      </c>
      <c r="Y278" s="4" cm="1">
        <f t="array" ref="Y278">INDEX(GMW!$A$2:$NF$150,MATCH(1,(GMW!$NE$2:$NE$150=Y$3)*(GMW!$ND$2:$ND$150=Y$4)*(GMW!$NF$2:$NF$150=Y$1),0),$C278-1966)</f>
        <v>158197.29999999999</v>
      </c>
      <c r="Z278" s="4" cm="1">
        <f t="array" ref="Z278">INDEX(GMW!$A$2:$NF$150,MATCH(1,(GMW!$NE$2:$NE$150=Z$3)*(GMW!$ND$2:$ND$150=Z$4)*(GMW!$NF$2:$NF$150=Z$1),0),$C278-1966)</f>
        <v>91174.93</v>
      </c>
      <c r="AA278" s="4" cm="1">
        <f t="array" ref="AA278">INDEX(GMW!$A$2:$NF$150,MATCH(1,(GMW!$NE$2:$NE$150=AA$3)*(GMW!$ND$2:$ND$150=AA$4)*(GMW!$NF$2:$NF$150=AA$1),0),$C278-1966)</f>
        <v>824690.7</v>
      </c>
      <c r="AB278" s="4" cm="1">
        <f t="array" ref="AB278">INDEX(GMW!$A$2:$NF$150,MATCH(1,(GMW!$NE$2:$NE$150=AB$3)*(GMW!$ND$2:$ND$150=AB$4)*(GMW!$NF$2:$NF$150=AB$1),0),$C278-1966)</f>
        <v>37975.339999999997</v>
      </c>
      <c r="AC278" s="4" cm="1">
        <f t="array" ref="AC278">INDEX(GMW!$A$2:$NF$150,MATCH(1,(GMW!$NE$2:$NE$150=AC$3)*(GMW!$ND$2:$ND$150=AC$4)*(GMW!$NF$2:$NF$150=AC$1),0),$C278-1966)</f>
        <v>31.976669999999999</v>
      </c>
      <c r="AD278" s="4" cm="1">
        <f t="array" ref="AD278">INDEX(GMW!$A$2:$NF$150,MATCH(1,(GMW!$NE$2:$NE$150=AD$3)*(GMW!$ND$2:$ND$150=AD$4)*(GMW!$NF$2:$NF$150=AD$1),0),$C278-1966)</f>
        <v>687647.8</v>
      </c>
      <c r="AE278" s="4" cm="1">
        <f t="array" ref="AE278">INDEX(GMW!$A$2:$NF$150,MATCH(1,(GMW!$NE$2:$NE$150=AE$3)*(GMW!$ND$2:$ND$150=AE$4)*(GMW!$NF$2:$NF$150=AE$1),0),$C278-1966)</f>
        <v>46261.46</v>
      </c>
      <c r="AF278" s="4" cm="1">
        <f t="array" ref="AF278">INDEX(GMW!$A$2:$NF$150,MATCH(1,(GMW!$NE$2:$NE$150=AF$3)*(GMW!$ND$2:$ND$150=AF$4)*(GMW!$NF$2:$NF$150=AF$1),0),$C278-1966)</f>
        <v>4380103</v>
      </c>
      <c r="AG278" s="4" cm="1">
        <f t="array" ref="AG278">INDEX(GMW!$A$2:$NF$150,MATCH(1,(GMW!$NE$2:$NE$150=AG$3)*(GMW!$ND$2:$ND$150=AG$4)*(GMW!$NF$2:$NF$150=AG$1),0),$C278-1966)</f>
        <v>-1.643926</v>
      </c>
      <c r="AH278" s="4" cm="1">
        <f t="array" ref="AH278">INDEX(GMW!$A$2:$NF$150,MATCH(1,(GMW!$NE$2:$NE$150=AH$3)*(GMW!$ND$2:$ND$150=AH$4)*(GMW!$NF$2:$NF$150=AH$1),0),$C278-1966)</f>
        <v>825056.4</v>
      </c>
      <c r="AI278" s="4" cm="1">
        <f t="array" ref="AI278">INDEX(GMW!$A$2:$NF$150,MATCH(1,(GMW!$NE$2:$NE$150=AI$3)*(GMW!$ND$2:$ND$150=AI$4)*(GMW!$NF$2:$NF$150=AI$1),0),$C278-1966)</f>
        <v>187.98140000000001</v>
      </c>
      <c r="AJ278" s="4" cm="1">
        <f t="array" ref="AJ278">INDEX(GMW!$A$2:$NF$150,MATCH(1,(GMW!$NE$2:$NE$150=AJ$3)*(GMW!$ND$2:$ND$150=AJ$4)*(GMW!$NF$2:$NF$150=AJ$1),0),$C278-1966)</f>
        <v>247969.1</v>
      </c>
      <c r="AK278" s="4" cm="1">
        <f t="array" ref="AK278">INDEX(GMW!$A$2:$NF$150,MATCH(1,(GMW!$NE$2:$NE$150=AK$3)*(GMW!$ND$2:$ND$150=AK$4)*(GMW!$NF$2:$NF$150=AK$1),0),$C278-1966)</f>
        <v>92077.8</v>
      </c>
      <c r="AL278" s="4" cm="1">
        <f t="array" ref="AL278">INDEX(GMW!$A$2:$NF$150,MATCH(1,(GMW!$NE$2:$NE$150=AL$3)*(GMW!$ND$2:$ND$150=AL$4)*(GMW!$NF$2:$NF$150=AL$1),0),$C278-1966)</f>
        <v>276123</v>
      </c>
      <c r="AM278" s="4" cm="1">
        <f t="array" ref="AM278">INDEX(GMW!$A$2:$NF$150,MATCH(1,(GMW!$NE$2:$NE$150=AM$3)*(GMW!$ND$2:$ND$150=AM$4)*(GMW!$NF$2:$NF$150=AM$1),0),$C278-1966)</f>
        <v>148225.60000000001</v>
      </c>
      <c r="AN278" s="4" cm="1">
        <f t="array" ref="AN278">INDEX(GMW!$A$2:$NF$150,MATCH(1,(GMW!$NE$2:$NE$150=AN$3)*(GMW!$ND$2:$ND$150=AN$4)*(GMW!$NF$2:$NF$150=AN$1),0),$C278-1966)</f>
        <v>158196.20000000001</v>
      </c>
      <c r="AO278" s="4" cm="1">
        <f t="array" ref="AO278">INDEX(GMW!$A$2:$NF$150,MATCH(1,(GMW!$NE$2:$NE$150=AO$3)*(GMW!$ND$2:$ND$150=AO$4)*(GMW!$NF$2:$NF$150=AO$1),0),$C278-1966)</f>
        <v>92375.3</v>
      </c>
      <c r="AP278" s="4" cm="1">
        <f t="array" ref="AP278">INDEX(GMW!$A$2:$NF$150,MATCH(1,(GMW!$NE$2:$NE$150=AP$3)*(GMW!$ND$2:$ND$150=AP$4)*(GMW!$NF$2:$NF$150=AP$1),0),$C278-1966)</f>
        <v>825056.4</v>
      </c>
      <c r="AQ278" s="4" cm="1">
        <f t="array" ref="AQ278">INDEX(GMW!$A$2:$NF$150,MATCH(1,(GMW!$NE$2:$NE$150=AQ$3)*(GMW!$ND$2:$ND$150=AQ$4)*(GMW!$NF$2:$NF$150=AQ$1),0),$C278-1966)</f>
        <v>37859.69</v>
      </c>
      <c r="AR278" s="4" cm="1">
        <f t="array" ref="AR278">INDEX(GMW!$A$2:$NF$150,MATCH(1,(GMW!$NE$2:$NE$150=AR$3)*(GMW!$ND$2:$ND$150=AR$4)*(GMW!$NF$2:$NF$150=AR$1),0),$C278-1966)</f>
        <v>31.976669999999999</v>
      </c>
      <c r="AS278" s="4" cm="1">
        <f t="array" ref="AS278">INDEX(GMW!$A$2:$NF$150,MATCH(1,(GMW!$NE$2:$NE$150=AS$3)*(GMW!$ND$2:$ND$150=AS$4)*(GMW!$NF$2:$NF$150=AS$1),0),$C278-1966)</f>
        <v>684393.5</v>
      </c>
      <c r="AT278" s="4" cm="1">
        <f t="array" ref="AT278">INDEX(GMW!$A$2:$NF$150,MATCH(1,(GMW!$NE$2:$NE$150=AT$3)*(GMW!$ND$2:$ND$150=AT$4)*(GMW!$NF$2:$NF$150=AT$1),0),$C278-1966)</f>
        <v>46030.63</v>
      </c>
      <c r="AU278" s="4" cm="1">
        <f t="array" ref="AU278">INDEX(GMW!$A$2:$NF$150,MATCH(1,(GMW!$NE$2:$NE$150=AU$3)*(GMW!$ND$2:$ND$150=AU$4)*(GMW!$NF$2:$NF$150=AU$1),0),$C278-1966)</f>
        <v>4388851</v>
      </c>
      <c r="AV278" s="4" cm="1">
        <f t="array" ref="AV278">INDEX(GMW!$A$2:$NF$150,MATCH(1,(GMW!$NE$2:$NE$150=AV$3)*(GMW!$ND$2:$ND$150=AV$4)*(GMW!$NF$2:$NF$150=AV$1),0),$C278-1966)</f>
        <v>-1.642282</v>
      </c>
    </row>
    <row r="279" spans="1:48" x14ac:dyDescent="0.25">
      <c r="A279" s="4">
        <v>2041</v>
      </c>
      <c r="B279" s="4">
        <f t="shared" si="12"/>
        <v>2041</v>
      </c>
      <c r="C279" s="4">
        <f t="shared" si="11"/>
        <v>2245</v>
      </c>
      <c r="D279" s="4" cm="1">
        <f t="array" ref="D279">INDEX(GMW!$A$2:$NF$150,MATCH(1,(GMW!$NE$2:$NE$150=D$3)*(GMW!$ND$2:$ND$150=D$4)*(GMW!$NF$2:$NF$150=D$1),0),$C279-1966)</f>
        <v>821244.4</v>
      </c>
      <c r="E279" s="4" cm="1">
        <f t="array" ref="E279">INDEX(GMW!$A$2:$NF$150,MATCH(1,(GMW!$NE$2:$NE$150=E$3)*(GMW!$ND$2:$ND$150=E$4)*(GMW!$NF$2:$NF$150=E$1),0),$C279-1966)</f>
        <v>189.70099999999999</v>
      </c>
      <c r="F279" s="4" cm="1">
        <f t="array" ref="F279">INDEX(GMW!$A$2:$NF$150,MATCH(1,(GMW!$NE$2:$NE$150=F$3)*(GMW!$ND$2:$ND$150=F$4)*(GMW!$NF$2:$NF$150=F$1),0),$C279-1966)</f>
        <v>254201.5</v>
      </c>
      <c r="G279" s="4" cm="1">
        <f t="array" ref="G279">INDEX(GMW!$A$2:$NF$150,MATCH(1,(GMW!$NE$2:$NE$150=G$3)*(GMW!$ND$2:$ND$150=G$4)*(GMW!$NF$2:$NF$150=G$1),0),$C279-1966)</f>
        <v>85113.37</v>
      </c>
      <c r="H279" s="4" cm="1">
        <f t="array" ref="H279">INDEX(GMW!$A$2:$NF$150,MATCH(1,(GMW!$NE$2:$NE$150=H$3)*(GMW!$ND$2:$ND$150=H$4)*(GMW!$NF$2:$NF$150=H$1),0),$C279-1966)</f>
        <v>281627.8</v>
      </c>
      <c r="I279" s="4" cm="1">
        <f t="array" ref="I279">INDEX(GMW!$A$2:$NF$150,MATCH(1,(GMW!$NE$2:$NE$150=I$3)*(GMW!$ND$2:$ND$150=I$4)*(GMW!$NF$2:$NF$150=I$1),0),$C279-1966)</f>
        <v>151195.5</v>
      </c>
      <c r="J279" s="4" cm="1">
        <f t="array" ref="J279">INDEX(GMW!$A$2:$NF$150,MATCH(1,(GMW!$NE$2:$NE$150=J$3)*(GMW!$ND$2:$ND$150=J$4)*(GMW!$NF$2:$NF$150=J$1),0),$C279-1966)</f>
        <v>156261.5</v>
      </c>
      <c r="K279" s="4" cm="1">
        <f t="array" ref="K279">INDEX(GMW!$A$2:$NF$150,MATCH(1,(GMW!$NE$2:$NE$150=K$3)*(GMW!$ND$2:$ND$150=K$4)*(GMW!$NF$2:$NF$150=K$1),0),$C279-1966)</f>
        <v>88548.27</v>
      </c>
      <c r="L279" s="4" cm="1">
        <f t="array" ref="L279">INDEX(GMW!$A$2:$NF$150,MATCH(1,(GMW!$NE$2:$NE$150=L$3)*(GMW!$ND$2:$ND$150=L$4)*(GMW!$NF$2:$NF$150=L$1),0),$C279-1966)</f>
        <v>821243.6</v>
      </c>
      <c r="M279" s="4" cm="1">
        <f t="array" ref="M279">INDEX(GMW!$A$2:$NF$150,MATCH(1,(GMW!$NE$2:$NE$150=M$3)*(GMW!$ND$2:$ND$150=M$4)*(GMW!$NF$2:$NF$150=M$1),0),$C279-1966)</f>
        <v>38026.42</v>
      </c>
      <c r="N279" s="4" cm="1">
        <f t="array" ref="N279">INDEX(GMW!$A$2:$NF$150,MATCH(1,(GMW!$NE$2:$NE$150=N$3)*(GMW!$ND$2:$ND$150=N$4)*(GMW!$NF$2:$NF$150=N$1),0),$C279-1966)</f>
        <v>31.975919999999999</v>
      </c>
      <c r="O279" s="4" cm="1">
        <f t="array" ref="O279">INDEX(GMW!$A$2:$NF$150,MATCH(1,(GMW!$NE$2:$NE$150=O$3)*(GMW!$ND$2:$ND$150=O$4)*(GMW!$NF$2:$NF$150=O$1),0),$C279-1966)</f>
        <v>688555</v>
      </c>
      <c r="P279" s="4" cm="1">
        <f t="array" ref="P279">INDEX(GMW!$A$2:$NF$150,MATCH(1,(GMW!$NE$2:$NE$150=P$3)*(GMW!$ND$2:$ND$150=P$4)*(GMW!$NF$2:$NF$150=P$1),0),$C279-1966)</f>
        <v>46289.61</v>
      </c>
      <c r="Q279" s="4" cm="1">
        <f t="array" ref="Q279">INDEX(GMW!$A$2:$NF$150,MATCH(1,(GMW!$NE$2:$NE$150=Q$3)*(GMW!$ND$2:$ND$150=Q$4)*(GMW!$NF$2:$NF$150=Q$1),0),$C279-1966)</f>
        <v>4323609</v>
      </c>
      <c r="R279" s="4" cm="1">
        <f t="array" ref="R279">INDEX(GMW!$A$2:$NF$150,MATCH(1,(GMW!$NE$2:$NE$150=R$3)*(GMW!$ND$2:$ND$150=R$4)*(GMW!$NF$2:$NF$150=R$1),0),$C279-1966)</f>
        <v>-1.6446769999999999</v>
      </c>
      <c r="S279" s="4" cm="1">
        <f t="array" ref="S279">INDEX(GMW!$A$2:$NF$150,MATCH(1,(GMW!$NE$2:$NE$150=S$3)*(GMW!$ND$2:$ND$150=S$4)*(GMW!$NF$2:$NF$150=S$1),0),$C279-1966)</f>
        <v>828075.3</v>
      </c>
      <c r="T279" s="4" cm="1">
        <f t="array" ref="T279">INDEX(GMW!$A$2:$NF$150,MATCH(1,(GMW!$NE$2:$NE$150=T$3)*(GMW!$ND$2:$ND$150=T$4)*(GMW!$NF$2:$NF$150=T$1),0),$C279-1966)</f>
        <v>189.50069999999999</v>
      </c>
      <c r="U279" s="4" cm="1">
        <f t="array" ref="U279">INDEX(GMW!$A$2:$NF$150,MATCH(1,(GMW!$NE$2:$NE$150=U$3)*(GMW!$ND$2:$ND$150=U$4)*(GMW!$NF$2:$NF$150=U$1),0),$C279-1966)</f>
        <v>243662.9</v>
      </c>
      <c r="V279" s="4" cm="1">
        <f t="array" ref="V279">INDEX(GMW!$A$2:$NF$150,MATCH(1,(GMW!$NE$2:$NE$150=V$3)*(GMW!$ND$2:$ND$150=V$4)*(GMW!$NF$2:$NF$150=V$1),0),$C279-1966)</f>
        <v>89667.02</v>
      </c>
      <c r="W279" s="4" cm="1">
        <f t="array" ref="W279">INDEX(GMW!$A$2:$NF$150,MATCH(1,(GMW!$NE$2:$NE$150=W$3)*(GMW!$ND$2:$ND$150=W$4)*(GMW!$NF$2:$NF$150=W$1),0),$C279-1966)</f>
        <v>272864.59999999998</v>
      </c>
      <c r="X279" s="4" cm="1">
        <f t="array" ref="X279">INDEX(GMW!$A$2:$NF$150,MATCH(1,(GMW!$NE$2:$NE$150=X$3)*(GMW!$ND$2:$ND$150=X$4)*(GMW!$NF$2:$NF$150=X$1),0),$C279-1966)</f>
        <v>145353.70000000001</v>
      </c>
      <c r="Y279" s="4" cm="1">
        <f t="array" ref="Y279">INDEX(GMW!$A$2:$NF$150,MATCH(1,(GMW!$NE$2:$NE$150=Y$3)*(GMW!$ND$2:$ND$150=Y$4)*(GMW!$NF$2:$NF$150=Y$1),0),$C279-1966)</f>
        <v>159008.79999999999</v>
      </c>
      <c r="Z279" s="4" cm="1">
        <f t="array" ref="Z279">INDEX(GMW!$A$2:$NF$150,MATCH(1,(GMW!$NE$2:$NE$150=Z$3)*(GMW!$ND$2:$ND$150=Z$4)*(GMW!$NF$2:$NF$150=Z$1),0),$C279-1966)</f>
        <v>91676.77</v>
      </c>
      <c r="AA279" s="4" cm="1">
        <f t="array" ref="AA279">INDEX(GMW!$A$2:$NF$150,MATCH(1,(GMW!$NE$2:$NE$150=AA$3)*(GMW!$ND$2:$ND$150=AA$4)*(GMW!$NF$2:$NF$150=AA$1),0),$C279-1966)</f>
        <v>828073.9</v>
      </c>
      <c r="AB279" s="4" cm="1">
        <f t="array" ref="AB279">INDEX(GMW!$A$2:$NF$150,MATCH(1,(GMW!$NE$2:$NE$150=AB$3)*(GMW!$ND$2:$ND$150=AB$4)*(GMW!$NF$2:$NF$150=AB$1),0),$C279-1966)</f>
        <v>38026.42</v>
      </c>
      <c r="AC279" s="4" cm="1">
        <f t="array" ref="AC279">INDEX(GMW!$A$2:$NF$150,MATCH(1,(GMW!$NE$2:$NE$150=AC$3)*(GMW!$ND$2:$ND$150=AC$4)*(GMW!$NF$2:$NF$150=AC$1),0),$C279-1966)</f>
        <v>31.975919999999999</v>
      </c>
      <c r="AD279" s="4" cm="1">
        <f t="array" ref="AD279">INDEX(GMW!$A$2:$NF$150,MATCH(1,(GMW!$NE$2:$NE$150=AD$3)*(GMW!$ND$2:$ND$150=AD$4)*(GMW!$NF$2:$NF$150=AD$1),0),$C279-1966)</f>
        <v>688555</v>
      </c>
      <c r="AE279" s="4" cm="1">
        <f t="array" ref="AE279">INDEX(GMW!$A$2:$NF$150,MATCH(1,(GMW!$NE$2:$NE$150=AE$3)*(GMW!$ND$2:$ND$150=AE$4)*(GMW!$NF$2:$NF$150=AE$1),0),$C279-1966)</f>
        <v>46289.61</v>
      </c>
      <c r="AF279" s="4" cm="1">
        <f t="array" ref="AF279">INDEX(GMW!$A$2:$NF$150,MATCH(1,(GMW!$NE$2:$NE$150=AF$3)*(GMW!$ND$2:$ND$150=AF$4)*(GMW!$NF$2:$NF$150=AF$1),0),$C279-1966)</f>
        <v>4401596</v>
      </c>
      <c r="AG279" s="4" cm="1">
        <f t="array" ref="AG279">INDEX(GMW!$A$2:$NF$150,MATCH(1,(GMW!$NE$2:$NE$150=AG$3)*(GMW!$ND$2:$ND$150=AG$4)*(GMW!$NF$2:$NF$150=AG$1),0),$C279-1966)</f>
        <v>-1.642611</v>
      </c>
      <c r="AH279" s="4" cm="1">
        <f t="array" ref="AH279">INDEX(GMW!$A$2:$NF$150,MATCH(1,(GMW!$NE$2:$NE$150=AH$3)*(GMW!$ND$2:$ND$150=AH$4)*(GMW!$NF$2:$NF$150=AH$1),0),$C279-1966)</f>
        <v>828208.4</v>
      </c>
      <c r="AI279" s="4" cm="1">
        <f t="array" ref="AI279">INDEX(GMW!$A$2:$NF$150,MATCH(1,(GMW!$NE$2:$NE$150=AI$3)*(GMW!$ND$2:$ND$150=AI$4)*(GMW!$NF$2:$NF$150=AI$1),0),$C279-1966)</f>
        <v>188.3383</v>
      </c>
      <c r="AJ279" s="4" cm="1">
        <f t="array" ref="AJ279">INDEX(GMW!$A$2:$NF$150,MATCH(1,(GMW!$NE$2:$NE$150=AJ$3)*(GMW!$ND$2:$ND$150=AJ$4)*(GMW!$NF$2:$NF$150=AJ$1),0),$C279-1966)</f>
        <v>248815</v>
      </c>
      <c r="AK279" s="4" cm="1">
        <f t="array" ref="AK279">INDEX(GMW!$A$2:$NF$150,MATCH(1,(GMW!$NE$2:$NE$150=AK$3)*(GMW!$ND$2:$ND$150=AK$4)*(GMW!$NF$2:$NF$150=AK$1),0),$C279-1966)</f>
        <v>92355.91</v>
      </c>
      <c r="AL279" s="4" cm="1">
        <f t="array" ref="AL279">INDEX(GMW!$A$2:$NF$150,MATCH(1,(GMW!$NE$2:$NE$150=AL$3)*(GMW!$ND$2:$ND$150=AL$4)*(GMW!$NF$2:$NF$150=AL$1),0),$C279-1966)</f>
        <v>277157.3</v>
      </c>
      <c r="AM279" s="4" cm="1">
        <f t="array" ref="AM279">INDEX(GMW!$A$2:$NF$150,MATCH(1,(GMW!$NE$2:$NE$150=AM$3)*(GMW!$ND$2:$ND$150=AM$4)*(GMW!$NF$2:$NF$150=AM$1),0),$C279-1966)</f>
        <v>148762.20000000001</v>
      </c>
      <c r="AN279" s="4" cm="1">
        <f t="array" ref="AN279">INDEX(GMW!$A$2:$NF$150,MATCH(1,(GMW!$NE$2:$NE$150=AN$3)*(GMW!$ND$2:$ND$150=AN$4)*(GMW!$NF$2:$NF$150=AN$1),0),$C279-1966)</f>
        <v>158963.4</v>
      </c>
      <c r="AO279" s="4" cm="1">
        <f t="array" ref="AO279">INDEX(GMW!$A$2:$NF$150,MATCH(1,(GMW!$NE$2:$NE$150=AO$3)*(GMW!$ND$2:$ND$150=AO$4)*(GMW!$NF$2:$NF$150=AO$1),0),$C279-1966)</f>
        <v>92857.53</v>
      </c>
      <c r="AP279" s="4" cm="1">
        <f t="array" ref="AP279">INDEX(GMW!$A$2:$NF$150,MATCH(1,(GMW!$NE$2:$NE$150=AP$3)*(GMW!$ND$2:$ND$150=AP$4)*(GMW!$NF$2:$NF$150=AP$1),0),$C279-1966)</f>
        <v>828207.4</v>
      </c>
      <c r="AQ279" s="4" cm="1">
        <f t="array" ref="AQ279">INDEX(GMW!$A$2:$NF$150,MATCH(1,(GMW!$NE$2:$NE$150=AQ$3)*(GMW!$ND$2:$ND$150=AQ$4)*(GMW!$NF$2:$NF$150=AQ$1),0),$C279-1966)</f>
        <v>37894.49</v>
      </c>
      <c r="AR279" s="4" cm="1">
        <f t="array" ref="AR279">INDEX(GMW!$A$2:$NF$150,MATCH(1,(GMW!$NE$2:$NE$150=AR$3)*(GMW!$ND$2:$ND$150=AR$4)*(GMW!$NF$2:$NF$150=AR$1),0),$C279-1966)</f>
        <v>31.975919999999999</v>
      </c>
      <c r="AS279" s="4" cm="1">
        <f t="array" ref="AS279">INDEX(GMW!$A$2:$NF$150,MATCH(1,(GMW!$NE$2:$NE$150=AS$3)*(GMW!$ND$2:$ND$150=AS$4)*(GMW!$NF$2:$NF$150=AS$1),0),$C279-1966)</f>
        <v>685412.4</v>
      </c>
      <c r="AT279" s="4" cm="1">
        <f t="array" ref="AT279">INDEX(GMW!$A$2:$NF$150,MATCH(1,(GMW!$NE$2:$NE$150=AT$3)*(GMW!$ND$2:$ND$150=AT$4)*(GMW!$NF$2:$NF$150=AT$1),0),$C279-1966)</f>
        <v>46066.15</v>
      </c>
      <c r="AU279" s="4" cm="1">
        <f t="array" ref="AU279">INDEX(GMW!$A$2:$NF$150,MATCH(1,(GMW!$NE$2:$NE$150=AU$3)*(GMW!$ND$2:$ND$150=AU$4)*(GMW!$NF$2:$NF$150=AU$1),0),$C279-1966)</f>
        <v>4410268</v>
      </c>
      <c r="AV279" s="4" cm="1">
        <f t="array" ref="AV279">INDEX(GMW!$A$2:$NF$150,MATCH(1,(GMW!$NE$2:$NE$150=AV$3)*(GMW!$ND$2:$ND$150=AV$4)*(GMW!$NF$2:$NF$150=AV$1),0),$C279-1966)</f>
        <v>-1.6409689999999999</v>
      </c>
    </row>
    <row r="280" spans="1:48" x14ac:dyDescent="0.25">
      <c r="B280" s="4">
        <f t="shared" si="12"/>
        <v>2041</v>
      </c>
      <c r="C280" s="4">
        <f t="shared" si="11"/>
        <v>2246</v>
      </c>
      <c r="D280" s="4" cm="1">
        <f t="array" ref="D280">INDEX(GMW!$A$2:$NF$150,MATCH(1,(GMW!$NE$2:$NE$150=D$3)*(GMW!$ND$2:$ND$150=D$4)*(GMW!$NF$2:$NF$150=D$1),0),$C280-1966)</f>
        <v>824584.3</v>
      </c>
      <c r="E280" s="4" cm="1">
        <f t="array" ref="E280">INDEX(GMW!$A$2:$NF$150,MATCH(1,(GMW!$NE$2:$NE$150=E$3)*(GMW!$ND$2:$ND$150=E$4)*(GMW!$NF$2:$NF$150=E$1),0),$C280-1966)</f>
        <v>191.3828</v>
      </c>
      <c r="F280" s="4" cm="1">
        <f t="array" ref="F280">INDEX(GMW!$A$2:$NF$150,MATCH(1,(GMW!$NE$2:$NE$150=F$3)*(GMW!$ND$2:$ND$150=F$4)*(GMW!$NF$2:$NF$150=F$1),0),$C280-1966)</f>
        <v>255154.8</v>
      </c>
      <c r="G280" s="4" cm="1">
        <f t="array" ref="G280">INDEX(GMW!$A$2:$NF$150,MATCH(1,(GMW!$NE$2:$NE$150=G$3)*(GMW!$ND$2:$ND$150=G$4)*(GMW!$NF$2:$NF$150=G$1),0),$C280-1966)</f>
        <v>85390.56</v>
      </c>
      <c r="H280" s="4" cm="1">
        <f t="array" ref="H280">INDEX(GMW!$A$2:$NF$150,MATCH(1,(GMW!$NE$2:$NE$150=H$3)*(GMW!$ND$2:$ND$150=H$4)*(GMW!$NF$2:$NF$150=H$1),0),$C280-1966)</f>
        <v>282763.5</v>
      </c>
      <c r="I280" s="4" cm="1">
        <f t="array" ref="I280">INDEX(GMW!$A$2:$NF$150,MATCH(1,(GMW!$NE$2:$NE$150=I$3)*(GMW!$ND$2:$ND$150=I$4)*(GMW!$NF$2:$NF$150=I$1),0),$C280-1966)</f>
        <v>151783.20000000001</v>
      </c>
      <c r="J280" s="4" cm="1">
        <f t="array" ref="J280">INDEX(GMW!$A$2:$NF$150,MATCH(1,(GMW!$NE$2:$NE$150=J$3)*(GMW!$ND$2:$ND$150=J$4)*(GMW!$NF$2:$NF$150=J$1),0),$C280-1966)</f>
        <v>157065.20000000001</v>
      </c>
      <c r="K280" s="4" cm="1">
        <f t="array" ref="K280">INDEX(GMW!$A$2:$NF$150,MATCH(1,(GMW!$NE$2:$NE$150=K$3)*(GMW!$ND$2:$ND$150=K$4)*(GMW!$NF$2:$NF$150=K$1),0),$C280-1966)</f>
        <v>89041.19</v>
      </c>
      <c r="L280" s="4" cm="1">
        <f t="array" ref="L280">INDEX(GMW!$A$2:$NF$150,MATCH(1,(GMW!$NE$2:$NE$150=L$3)*(GMW!$ND$2:$ND$150=L$4)*(GMW!$NF$2:$NF$150=L$1),0),$C280-1966)</f>
        <v>824584.5</v>
      </c>
      <c r="M280" s="4" cm="1">
        <f t="array" ref="M280">INDEX(GMW!$A$2:$NF$150,MATCH(1,(GMW!$NE$2:$NE$150=M$3)*(GMW!$ND$2:$ND$150=M$4)*(GMW!$NF$2:$NF$150=M$1),0),$C280-1966)</f>
        <v>38077.51</v>
      </c>
      <c r="N280" s="4" cm="1">
        <f t="array" ref="N280">INDEX(GMW!$A$2:$NF$150,MATCH(1,(GMW!$NE$2:$NE$150=N$3)*(GMW!$ND$2:$ND$150=N$4)*(GMW!$NF$2:$NF$150=N$1),0),$C280-1966)</f>
        <v>31.975169999999999</v>
      </c>
      <c r="O280" s="4" cm="1">
        <f t="array" ref="O280">INDEX(GMW!$A$2:$NF$150,MATCH(1,(GMW!$NE$2:$NE$150=O$3)*(GMW!$ND$2:$ND$150=O$4)*(GMW!$NF$2:$NF$150=O$1),0),$C280-1966)</f>
        <v>689461.2</v>
      </c>
      <c r="P280" s="4" cm="1">
        <f t="array" ref="P280">INDEX(GMW!$A$2:$NF$150,MATCH(1,(GMW!$NE$2:$NE$150=P$3)*(GMW!$ND$2:$ND$150=P$4)*(GMW!$NF$2:$NF$150=P$1),0),$C280-1966)</f>
        <v>46317.77</v>
      </c>
      <c r="Q280" s="4" cm="1">
        <f t="array" ref="Q280">INDEX(GMW!$A$2:$NF$150,MATCH(1,(GMW!$NE$2:$NE$150=Q$3)*(GMW!$ND$2:$ND$150=Q$4)*(GMW!$NF$2:$NF$150=Q$1),0),$C280-1966)</f>
        <v>4344401</v>
      </c>
      <c r="R280" s="4" cm="1">
        <f t="array" ref="R280">INDEX(GMW!$A$2:$NF$150,MATCH(1,(GMW!$NE$2:$NE$150=R$3)*(GMW!$ND$2:$ND$150=R$4)*(GMW!$NF$2:$NF$150=R$1),0),$C280-1966)</f>
        <v>-1.6433610000000001</v>
      </c>
      <c r="S280" s="4" cm="1">
        <f t="array" ref="S280">INDEX(GMW!$A$2:$NF$150,MATCH(1,(GMW!$NE$2:$NE$150=S$3)*(GMW!$ND$2:$ND$150=S$4)*(GMW!$NF$2:$NF$150=S$1),0),$C280-1966)</f>
        <v>831474.8</v>
      </c>
      <c r="T280" s="4" cm="1">
        <f t="array" ref="T280">INDEX(GMW!$A$2:$NF$150,MATCH(1,(GMW!$NE$2:$NE$150=T$3)*(GMW!$ND$2:$ND$150=T$4)*(GMW!$NF$2:$NF$150=T$1),0),$C280-1966)</f>
        <v>191.22</v>
      </c>
      <c r="U280" s="4" cm="1">
        <f t="array" ref="U280">INDEX(GMW!$A$2:$NF$150,MATCH(1,(GMW!$NE$2:$NE$150=U$3)*(GMW!$ND$2:$ND$150=U$4)*(GMW!$NF$2:$NF$150=U$1),0),$C280-1966)</f>
        <v>244571.6</v>
      </c>
      <c r="V280" s="4" cm="1">
        <f t="array" ref="V280">INDEX(GMW!$A$2:$NF$150,MATCH(1,(GMW!$NE$2:$NE$150=V$3)*(GMW!$ND$2:$ND$150=V$4)*(GMW!$NF$2:$NF$150=V$1),0),$C280-1966)</f>
        <v>89962.5</v>
      </c>
      <c r="W280" s="4" cm="1">
        <f t="array" ref="W280">INDEX(GMW!$A$2:$NF$150,MATCH(1,(GMW!$NE$2:$NE$150=W$3)*(GMW!$ND$2:$ND$150=W$4)*(GMW!$NF$2:$NF$150=W$1),0),$C280-1966)</f>
        <v>273965.59999999998</v>
      </c>
      <c r="X280" s="4" cm="1">
        <f t="array" ref="X280">INDEX(GMW!$A$2:$NF$150,MATCH(1,(GMW!$NE$2:$NE$150=X$3)*(GMW!$ND$2:$ND$150=X$4)*(GMW!$NF$2:$NF$150=X$1),0),$C280-1966)</f>
        <v>145924.20000000001</v>
      </c>
      <c r="Y280" s="4" cm="1">
        <f t="array" ref="Y280">INDEX(GMW!$A$2:$NF$150,MATCH(1,(GMW!$NE$2:$NE$150=Y$3)*(GMW!$ND$2:$ND$150=Y$4)*(GMW!$NF$2:$NF$150=Y$1),0),$C280-1966)</f>
        <v>159824.6</v>
      </c>
      <c r="Z280" s="4" cm="1">
        <f t="array" ref="Z280">INDEX(GMW!$A$2:$NF$150,MATCH(1,(GMW!$NE$2:$NE$150=Z$3)*(GMW!$ND$2:$ND$150=Z$4)*(GMW!$NF$2:$NF$150=Z$1),0),$C280-1966)</f>
        <v>92181.48</v>
      </c>
      <c r="AA280" s="4" cm="1">
        <f t="array" ref="AA280">INDEX(GMW!$A$2:$NF$150,MATCH(1,(GMW!$NE$2:$NE$150=AA$3)*(GMW!$ND$2:$ND$150=AA$4)*(GMW!$NF$2:$NF$150=AA$1),0),$C280-1966)</f>
        <v>831474.3</v>
      </c>
      <c r="AB280" s="4" cm="1">
        <f t="array" ref="AB280">INDEX(GMW!$A$2:$NF$150,MATCH(1,(GMW!$NE$2:$NE$150=AB$3)*(GMW!$ND$2:$ND$150=AB$4)*(GMW!$NF$2:$NF$150=AB$1),0),$C280-1966)</f>
        <v>38077.51</v>
      </c>
      <c r="AC280" s="4" cm="1">
        <f t="array" ref="AC280">INDEX(GMW!$A$2:$NF$150,MATCH(1,(GMW!$NE$2:$NE$150=AC$3)*(GMW!$ND$2:$ND$150=AC$4)*(GMW!$NF$2:$NF$150=AC$1),0),$C280-1966)</f>
        <v>31.975169999999999</v>
      </c>
      <c r="AD280" s="4" cm="1">
        <f t="array" ref="AD280">INDEX(GMW!$A$2:$NF$150,MATCH(1,(GMW!$NE$2:$NE$150=AD$3)*(GMW!$ND$2:$ND$150=AD$4)*(GMW!$NF$2:$NF$150=AD$1),0),$C280-1966)</f>
        <v>689461.2</v>
      </c>
      <c r="AE280" s="4" cm="1">
        <f t="array" ref="AE280">INDEX(GMW!$A$2:$NF$150,MATCH(1,(GMW!$NE$2:$NE$150=AE$3)*(GMW!$ND$2:$ND$150=AE$4)*(GMW!$NF$2:$NF$150=AE$1),0),$C280-1966)</f>
        <v>46317.77</v>
      </c>
      <c r="AF280" s="4" cm="1">
        <f t="array" ref="AF280">INDEX(GMW!$A$2:$NF$150,MATCH(1,(GMW!$NE$2:$NE$150=AF$3)*(GMW!$ND$2:$ND$150=AF$4)*(GMW!$NF$2:$NF$150=AF$1),0),$C280-1966)</f>
        <v>4423244</v>
      </c>
      <c r="AG280" s="4" cm="1">
        <f t="array" ref="AG280">INDEX(GMW!$A$2:$NF$150,MATCH(1,(GMW!$NE$2:$NE$150=AG$3)*(GMW!$ND$2:$ND$150=AG$4)*(GMW!$NF$2:$NF$150=AG$1),0),$C280-1966)</f>
        <v>-1.641297</v>
      </c>
      <c r="AH280" s="4" cm="1">
        <f t="array" ref="AH280">INDEX(GMW!$A$2:$NF$150,MATCH(1,(GMW!$NE$2:$NE$150=AH$3)*(GMW!$ND$2:$ND$150=AH$4)*(GMW!$NF$2:$NF$150=AH$1),0),$C280-1966)</f>
        <v>831371.5</v>
      </c>
      <c r="AI280" s="4" cm="1">
        <f t="array" ref="AI280">INDEX(GMW!$A$2:$NF$150,MATCH(1,(GMW!$NE$2:$NE$150=AI$3)*(GMW!$ND$2:$ND$150=AI$4)*(GMW!$NF$2:$NF$150=AI$1),0),$C280-1966)</f>
        <v>189.95849999999999</v>
      </c>
      <c r="AJ280" s="4" cm="1">
        <f t="array" ref="AJ280">INDEX(GMW!$A$2:$NF$150,MATCH(1,(GMW!$NE$2:$NE$150=AJ$3)*(GMW!$ND$2:$ND$150=AJ$4)*(GMW!$NF$2:$NF$150=AJ$1),0),$C280-1966)</f>
        <v>249664</v>
      </c>
      <c r="AK280" s="4" cm="1">
        <f t="array" ref="AK280">INDEX(GMW!$A$2:$NF$150,MATCH(1,(GMW!$NE$2:$NE$150=AK$3)*(GMW!$ND$2:$ND$150=AK$4)*(GMW!$NF$2:$NF$150=AK$1),0),$C280-1966)</f>
        <v>92634.76</v>
      </c>
      <c r="AL280" s="4" cm="1">
        <f t="array" ref="AL280">INDEX(GMW!$A$2:$NF$150,MATCH(1,(GMW!$NE$2:$NE$150=AL$3)*(GMW!$ND$2:$ND$150=AL$4)*(GMW!$NF$2:$NF$150=AL$1),0),$C280-1966)</f>
        <v>278195.5</v>
      </c>
      <c r="AM280" s="4" cm="1">
        <f t="array" ref="AM280">INDEX(GMW!$A$2:$NF$150,MATCH(1,(GMW!$NE$2:$NE$150=AM$3)*(GMW!$ND$2:$ND$150=AM$4)*(GMW!$NF$2:$NF$150=AM$1),0),$C280-1966)</f>
        <v>149300.6</v>
      </c>
      <c r="AN280" s="4" cm="1">
        <f t="array" ref="AN280">INDEX(GMW!$A$2:$NF$150,MATCH(1,(GMW!$NE$2:$NE$150=AN$3)*(GMW!$ND$2:$ND$150=AN$4)*(GMW!$NF$2:$NF$150=AN$1),0),$C280-1966)</f>
        <v>159734.1</v>
      </c>
      <c r="AO280" s="4" cm="1">
        <f t="array" ref="AO280">INDEX(GMW!$A$2:$NF$150,MATCH(1,(GMW!$NE$2:$NE$150=AO$3)*(GMW!$ND$2:$ND$150=AO$4)*(GMW!$NF$2:$NF$150=AO$1),0),$C280-1966)</f>
        <v>93342.17</v>
      </c>
      <c r="AP280" s="4" cm="1">
        <f t="array" ref="AP280">INDEX(GMW!$A$2:$NF$150,MATCH(1,(GMW!$NE$2:$NE$150=AP$3)*(GMW!$ND$2:$ND$150=AP$4)*(GMW!$NF$2:$NF$150=AP$1),0),$C280-1966)</f>
        <v>831371.3</v>
      </c>
      <c r="AQ280" s="4" cm="1">
        <f t="array" ref="AQ280">INDEX(GMW!$A$2:$NF$150,MATCH(1,(GMW!$NE$2:$NE$150=AQ$3)*(GMW!$ND$2:$ND$150=AQ$4)*(GMW!$NF$2:$NF$150=AQ$1),0),$C280-1966)</f>
        <v>37929.29</v>
      </c>
      <c r="AR280" s="4" cm="1">
        <f t="array" ref="AR280">INDEX(GMW!$A$2:$NF$150,MATCH(1,(GMW!$NE$2:$NE$150=AR$3)*(GMW!$ND$2:$ND$150=AR$4)*(GMW!$NF$2:$NF$150=AR$1),0),$C280-1966)</f>
        <v>31.975169999999999</v>
      </c>
      <c r="AS280" s="4" cm="1">
        <f t="array" ref="AS280">INDEX(GMW!$A$2:$NF$150,MATCH(1,(GMW!$NE$2:$NE$150=AS$3)*(GMW!$ND$2:$ND$150=AS$4)*(GMW!$NF$2:$NF$150=AS$1),0),$C280-1966)</f>
        <v>686430.5</v>
      </c>
      <c r="AT280" s="4" cm="1">
        <f t="array" ref="AT280">INDEX(GMW!$A$2:$NF$150,MATCH(1,(GMW!$NE$2:$NE$150=AT$3)*(GMW!$ND$2:$ND$150=AT$4)*(GMW!$NF$2:$NF$150=AT$1),0),$C280-1966)</f>
        <v>46101.68</v>
      </c>
      <c r="AU280" s="4" cm="1">
        <f t="array" ref="AU280">INDEX(GMW!$A$2:$NF$150,MATCH(1,(GMW!$NE$2:$NE$150=AU$3)*(GMW!$ND$2:$ND$150=AU$4)*(GMW!$NF$2:$NF$150=AU$1),0),$C280-1966)</f>
        <v>4431806</v>
      </c>
      <c r="AV280" s="4" cm="1">
        <f t="array" ref="AV280">INDEX(GMW!$A$2:$NF$150,MATCH(1,(GMW!$NE$2:$NE$150=AV$3)*(GMW!$ND$2:$ND$150=AV$4)*(GMW!$NF$2:$NF$150=AV$1),0),$C280-1966)</f>
        <v>-1.639656</v>
      </c>
    </row>
    <row r="281" spans="1:48" x14ac:dyDescent="0.25">
      <c r="B281" s="4">
        <f t="shared" si="12"/>
        <v>2041</v>
      </c>
      <c r="C281" s="4">
        <f t="shared" si="11"/>
        <v>2247</v>
      </c>
      <c r="D281" s="4" cm="1">
        <f t="array" ref="D281">INDEX(GMW!$A$2:$NF$150,MATCH(1,(GMW!$NE$2:$NE$150=D$3)*(GMW!$ND$2:$ND$150=D$4)*(GMW!$NF$2:$NF$150=D$1),0),$C281-1966)</f>
        <v>827948.8</v>
      </c>
      <c r="E281" s="4" cm="1">
        <f t="array" ref="E281">INDEX(GMW!$A$2:$NF$150,MATCH(1,(GMW!$NE$2:$NE$150=E$3)*(GMW!$ND$2:$ND$150=E$4)*(GMW!$NF$2:$NF$150=E$1),0),$C281-1966)</f>
        <v>192.2534</v>
      </c>
      <c r="F281" s="4" cm="1">
        <f t="array" ref="F281">INDEX(GMW!$A$2:$NF$150,MATCH(1,(GMW!$NE$2:$NE$150=F$3)*(GMW!$ND$2:$ND$150=F$4)*(GMW!$NF$2:$NF$150=F$1),0),$C281-1966)</f>
        <v>256115.8</v>
      </c>
      <c r="G281" s="4" cm="1">
        <f t="array" ref="G281">INDEX(GMW!$A$2:$NF$150,MATCH(1,(GMW!$NE$2:$NE$150=G$3)*(GMW!$ND$2:$ND$150=G$4)*(GMW!$NF$2:$NF$150=G$1),0),$C281-1966)</f>
        <v>85669.8</v>
      </c>
      <c r="H281" s="4" cm="1">
        <f t="array" ref="H281">INDEX(GMW!$A$2:$NF$150,MATCH(1,(GMW!$NE$2:$NE$150=H$3)*(GMW!$ND$2:$ND$150=H$4)*(GMW!$NF$2:$NF$150=H$1),0),$C281-1966)</f>
        <v>283907.59999999998</v>
      </c>
      <c r="I281" s="4" cm="1">
        <f t="array" ref="I281">INDEX(GMW!$A$2:$NF$150,MATCH(1,(GMW!$NE$2:$NE$150=I$3)*(GMW!$ND$2:$ND$150=I$4)*(GMW!$NF$2:$NF$150=I$1),0),$C281-1966)</f>
        <v>152375.20000000001</v>
      </c>
      <c r="J281" s="4" cm="1">
        <f t="array" ref="J281">INDEX(GMW!$A$2:$NF$150,MATCH(1,(GMW!$NE$2:$NE$150=J$3)*(GMW!$ND$2:$ND$150=J$4)*(GMW!$NF$2:$NF$150=J$1),0),$C281-1966)</f>
        <v>157875.20000000001</v>
      </c>
      <c r="K281" s="4" cm="1">
        <f t="array" ref="K281">INDEX(GMW!$A$2:$NF$150,MATCH(1,(GMW!$NE$2:$NE$150=K$3)*(GMW!$ND$2:$ND$150=K$4)*(GMW!$NF$2:$NF$150=K$1),0),$C281-1966)</f>
        <v>89538.06</v>
      </c>
      <c r="L281" s="4" cm="1">
        <f t="array" ref="L281">INDEX(GMW!$A$2:$NF$150,MATCH(1,(GMW!$NE$2:$NE$150=L$3)*(GMW!$ND$2:$ND$150=L$4)*(GMW!$NF$2:$NF$150=L$1),0),$C281-1966)</f>
        <v>827948.4</v>
      </c>
      <c r="M281" s="4" cm="1">
        <f t="array" ref="M281">INDEX(GMW!$A$2:$NF$150,MATCH(1,(GMW!$NE$2:$NE$150=M$3)*(GMW!$ND$2:$ND$150=M$4)*(GMW!$NF$2:$NF$150=M$1),0),$C281-1966)</f>
        <v>38129.21</v>
      </c>
      <c r="N281" s="4" cm="1">
        <f t="array" ref="N281">INDEX(GMW!$A$2:$NF$150,MATCH(1,(GMW!$NE$2:$NE$150=N$3)*(GMW!$ND$2:$ND$150=N$4)*(GMW!$NF$2:$NF$150=N$1),0),$C281-1966)</f>
        <v>31.974419999999999</v>
      </c>
      <c r="O281" s="4" cm="1">
        <f t="array" ref="O281">INDEX(GMW!$A$2:$NF$150,MATCH(1,(GMW!$NE$2:$NE$150=O$3)*(GMW!$ND$2:$ND$150=O$4)*(GMW!$NF$2:$NF$150=O$1),0),$C281-1966)</f>
        <v>690428.6</v>
      </c>
      <c r="P281" s="4" cm="1">
        <f t="array" ref="P281">INDEX(GMW!$A$2:$NF$150,MATCH(1,(GMW!$NE$2:$NE$150=P$3)*(GMW!$ND$2:$ND$150=P$4)*(GMW!$NF$2:$NF$150=P$1),0),$C281-1966)</f>
        <v>46350.09</v>
      </c>
      <c r="Q281" s="4" cm="1">
        <f t="array" ref="Q281">INDEX(GMW!$A$2:$NF$150,MATCH(1,(GMW!$NE$2:$NE$150=Q$3)*(GMW!$ND$2:$ND$150=Q$4)*(GMW!$NF$2:$NF$150=Q$1),0),$C281-1966)</f>
        <v>4365367</v>
      </c>
      <c r="R281" s="4" cm="1">
        <f t="array" ref="R281">INDEX(GMW!$A$2:$NF$150,MATCH(1,(GMW!$NE$2:$NE$150=R$3)*(GMW!$ND$2:$ND$150=R$4)*(GMW!$NF$2:$NF$150=R$1),0),$C281-1966)</f>
        <v>-1.642047</v>
      </c>
      <c r="S281" s="4" cm="1">
        <f t="array" ref="S281">INDEX(GMW!$A$2:$NF$150,MATCH(1,(GMW!$NE$2:$NE$150=S$3)*(GMW!$ND$2:$ND$150=S$4)*(GMW!$NF$2:$NF$150=S$1),0),$C281-1966)</f>
        <v>834897.8</v>
      </c>
      <c r="T281" s="4" cm="1">
        <f t="array" ref="T281">INDEX(GMW!$A$2:$NF$150,MATCH(1,(GMW!$NE$2:$NE$150=T$3)*(GMW!$ND$2:$ND$150=T$4)*(GMW!$NF$2:$NF$150=T$1),0),$C281-1966)</f>
        <v>192.14240000000001</v>
      </c>
      <c r="U281" s="4" cm="1">
        <f t="array" ref="U281">INDEX(GMW!$A$2:$NF$150,MATCH(1,(GMW!$NE$2:$NE$150=U$3)*(GMW!$ND$2:$ND$150=U$4)*(GMW!$NF$2:$NF$150=U$1),0),$C281-1966)</f>
        <v>245486.9</v>
      </c>
      <c r="V281" s="4" cm="1">
        <f t="array" ref="V281">INDEX(GMW!$A$2:$NF$150,MATCH(1,(GMW!$NE$2:$NE$150=V$3)*(GMW!$ND$2:$ND$150=V$4)*(GMW!$NF$2:$NF$150=V$1),0),$C281-1966)</f>
        <v>90259.98</v>
      </c>
      <c r="W281" s="4" cm="1">
        <f t="array" ref="W281">INDEX(GMW!$A$2:$NF$150,MATCH(1,(GMW!$NE$2:$NE$150=W$3)*(GMW!$ND$2:$ND$150=W$4)*(GMW!$NF$2:$NF$150=W$1),0),$C281-1966)</f>
        <v>275074.3</v>
      </c>
      <c r="X281" s="4" cm="1">
        <f t="array" ref="X281">INDEX(GMW!$A$2:$NF$150,MATCH(1,(GMW!$NE$2:$NE$150=X$3)*(GMW!$ND$2:$ND$150=X$4)*(GMW!$NF$2:$NF$150=X$1),0),$C281-1966)</f>
        <v>146498.70000000001</v>
      </c>
      <c r="Y281" s="4" cm="1">
        <f t="array" ref="Y281">INDEX(GMW!$A$2:$NF$150,MATCH(1,(GMW!$NE$2:$NE$150=Y$3)*(GMW!$ND$2:$ND$150=Y$4)*(GMW!$NF$2:$NF$150=Y$1),0),$C281-1966)</f>
        <v>160646.5</v>
      </c>
      <c r="Z281" s="4" cm="1">
        <f t="array" ref="Z281">INDEX(GMW!$A$2:$NF$150,MATCH(1,(GMW!$NE$2:$NE$150=Z$3)*(GMW!$ND$2:$ND$150=Z$4)*(GMW!$NF$2:$NF$150=Z$1),0),$C281-1966)</f>
        <v>92690.03</v>
      </c>
      <c r="AA281" s="4" cm="1">
        <f t="array" ref="AA281">INDEX(GMW!$A$2:$NF$150,MATCH(1,(GMW!$NE$2:$NE$150=AA$3)*(GMW!$ND$2:$ND$150=AA$4)*(GMW!$NF$2:$NF$150=AA$1),0),$C281-1966)</f>
        <v>834896.6</v>
      </c>
      <c r="AB281" s="4" cm="1">
        <f t="array" ref="AB281">INDEX(GMW!$A$2:$NF$150,MATCH(1,(GMW!$NE$2:$NE$150=AB$3)*(GMW!$ND$2:$ND$150=AB$4)*(GMW!$NF$2:$NF$150=AB$1),0),$C281-1966)</f>
        <v>38129.21</v>
      </c>
      <c r="AC281" s="4" cm="1">
        <f t="array" ref="AC281">INDEX(GMW!$A$2:$NF$150,MATCH(1,(GMW!$NE$2:$NE$150=AC$3)*(GMW!$ND$2:$ND$150=AC$4)*(GMW!$NF$2:$NF$150=AC$1),0),$C281-1966)</f>
        <v>31.974419999999999</v>
      </c>
      <c r="AD281" s="4" cm="1">
        <f t="array" ref="AD281">INDEX(GMW!$A$2:$NF$150,MATCH(1,(GMW!$NE$2:$NE$150=AD$3)*(GMW!$ND$2:$ND$150=AD$4)*(GMW!$NF$2:$NF$150=AD$1),0),$C281-1966)</f>
        <v>690428.6</v>
      </c>
      <c r="AE281" s="4" cm="1">
        <f t="array" ref="AE281">INDEX(GMW!$A$2:$NF$150,MATCH(1,(GMW!$NE$2:$NE$150=AE$3)*(GMW!$ND$2:$ND$150=AE$4)*(GMW!$NF$2:$NF$150=AE$1),0),$C281-1966)</f>
        <v>46350.09</v>
      </c>
      <c r="AF281" s="4" cm="1">
        <f t="array" ref="AF281">INDEX(GMW!$A$2:$NF$150,MATCH(1,(GMW!$NE$2:$NE$150=AF$3)*(GMW!$ND$2:$ND$150=AF$4)*(GMW!$NF$2:$NF$150=AF$1),0),$C281-1966)</f>
        <v>4445048</v>
      </c>
      <c r="AG281" s="4" cm="1">
        <f t="array" ref="AG281">INDEX(GMW!$A$2:$NF$150,MATCH(1,(GMW!$NE$2:$NE$150=AG$3)*(GMW!$ND$2:$ND$150=AG$4)*(GMW!$NF$2:$NF$150=AG$1),0),$C281-1966)</f>
        <v>-1.6399840000000001</v>
      </c>
      <c r="AH281" s="4" cm="1">
        <f t="array" ref="AH281">INDEX(GMW!$A$2:$NF$150,MATCH(1,(GMW!$NE$2:$NE$150=AH$3)*(GMW!$ND$2:$ND$150=AH$4)*(GMW!$NF$2:$NF$150=AH$1),0),$C281-1966)</f>
        <v>834545.9</v>
      </c>
      <c r="AI281" s="4" cm="1">
        <f t="array" ref="AI281">INDEX(GMW!$A$2:$NF$150,MATCH(1,(GMW!$NE$2:$NE$150=AI$3)*(GMW!$ND$2:$ND$150=AI$4)*(GMW!$NF$2:$NF$150=AI$1),0),$C281-1966)</f>
        <v>190.7971</v>
      </c>
      <c r="AJ281" s="4" cm="1">
        <f t="array" ref="AJ281">INDEX(GMW!$A$2:$NF$150,MATCH(1,(GMW!$NE$2:$NE$150=AJ$3)*(GMW!$ND$2:$ND$150=AJ$4)*(GMW!$NF$2:$NF$150=AJ$1),0),$C281-1966)</f>
        <v>250516.5</v>
      </c>
      <c r="AK281" s="4" cm="1">
        <f t="array" ref="AK281">INDEX(GMW!$A$2:$NF$150,MATCH(1,(GMW!$NE$2:$NE$150=AK$3)*(GMW!$ND$2:$ND$150=AK$4)*(GMW!$NF$2:$NF$150=AK$1),0),$C281-1966)</f>
        <v>92914.35</v>
      </c>
      <c r="AL281" s="4" cm="1">
        <f t="array" ref="AL281">INDEX(GMW!$A$2:$NF$150,MATCH(1,(GMW!$NE$2:$NE$150=AL$3)*(GMW!$ND$2:$ND$150=AL$4)*(GMW!$NF$2:$NF$150=AL$1),0),$C281-1966)</f>
        <v>279237.7</v>
      </c>
      <c r="AM281" s="4" cm="1">
        <f t="array" ref="AM281">INDEX(GMW!$A$2:$NF$150,MATCH(1,(GMW!$NE$2:$NE$150=AM$3)*(GMW!$ND$2:$ND$150=AM$4)*(GMW!$NF$2:$NF$150=AM$1),0),$C281-1966)</f>
        <v>149840.79999999999</v>
      </c>
      <c r="AN281" s="4" cm="1">
        <f t="array" ref="AN281">INDEX(GMW!$A$2:$NF$150,MATCH(1,(GMW!$NE$2:$NE$150=AN$3)*(GMW!$ND$2:$ND$150=AN$4)*(GMW!$NF$2:$NF$150=AN$1),0),$C281-1966)</f>
        <v>160508.6</v>
      </c>
      <c r="AO281" s="4" cm="1">
        <f t="array" ref="AO281">INDEX(GMW!$A$2:$NF$150,MATCH(1,(GMW!$NE$2:$NE$150=AO$3)*(GMW!$ND$2:$ND$150=AO$4)*(GMW!$NF$2:$NF$150=AO$1),0),$C281-1966)</f>
        <v>93829.27</v>
      </c>
      <c r="AP281" s="4" cm="1">
        <f t="array" ref="AP281">INDEX(GMW!$A$2:$NF$150,MATCH(1,(GMW!$NE$2:$NE$150=AP$3)*(GMW!$ND$2:$ND$150=AP$4)*(GMW!$NF$2:$NF$150=AP$1),0),$C281-1966)</f>
        <v>834545.6</v>
      </c>
      <c r="AQ281" s="4" cm="1">
        <f t="array" ref="AQ281">INDEX(GMW!$A$2:$NF$150,MATCH(1,(GMW!$NE$2:$NE$150=AQ$3)*(GMW!$ND$2:$ND$150=AQ$4)*(GMW!$NF$2:$NF$150=AQ$1),0),$C281-1966)</f>
        <v>37964.1</v>
      </c>
      <c r="AR281" s="4" cm="1">
        <f t="array" ref="AR281">INDEX(GMW!$A$2:$NF$150,MATCH(1,(GMW!$NE$2:$NE$150=AR$3)*(GMW!$ND$2:$ND$150=AR$4)*(GMW!$NF$2:$NF$150=AR$1),0),$C281-1966)</f>
        <v>31.974419999999999</v>
      </c>
      <c r="AS281" s="4" cm="1">
        <f t="array" ref="AS281">INDEX(GMW!$A$2:$NF$150,MATCH(1,(GMW!$NE$2:$NE$150=AS$3)*(GMW!$ND$2:$ND$150=AS$4)*(GMW!$NF$2:$NF$150=AS$1),0),$C281-1966)</f>
        <v>687512.4</v>
      </c>
      <c r="AT281" s="4" cm="1">
        <f t="array" ref="AT281">INDEX(GMW!$A$2:$NF$150,MATCH(1,(GMW!$NE$2:$NE$150=AT$3)*(GMW!$ND$2:$ND$150=AT$4)*(GMW!$NF$2:$NF$150=AT$1),0),$C281-1966)</f>
        <v>46141.54</v>
      </c>
      <c r="AU281" s="4" cm="1">
        <f t="array" ref="AU281">INDEX(GMW!$A$2:$NF$150,MATCH(1,(GMW!$NE$2:$NE$150=AU$3)*(GMW!$ND$2:$ND$150=AU$4)*(GMW!$NF$2:$NF$150=AU$1),0),$C281-1966)</f>
        <v>4453467</v>
      </c>
      <c r="AV281" s="4" cm="1">
        <f t="array" ref="AV281">INDEX(GMW!$A$2:$NF$150,MATCH(1,(GMW!$NE$2:$NE$150=AV$3)*(GMW!$ND$2:$ND$150=AV$4)*(GMW!$NF$2:$NF$150=AV$1),0),$C281-1966)</f>
        <v>-1.638344</v>
      </c>
    </row>
    <row r="282" spans="1:48" x14ac:dyDescent="0.25">
      <c r="B282" s="4">
        <f t="shared" si="12"/>
        <v>2041</v>
      </c>
      <c r="C282" s="4">
        <f t="shared" si="11"/>
        <v>2248</v>
      </c>
      <c r="D282" s="4" cm="1">
        <f t="array" ref="D282">INDEX(GMW!$A$2:$NF$150,MATCH(1,(GMW!$NE$2:$NE$150=D$3)*(GMW!$ND$2:$ND$150=D$4)*(GMW!$NF$2:$NF$150=D$1),0),$C282-1966)</f>
        <v>831329.5</v>
      </c>
      <c r="E282" s="4" cm="1">
        <f t="array" ref="E282">INDEX(GMW!$A$2:$NF$150,MATCH(1,(GMW!$NE$2:$NE$150=E$3)*(GMW!$ND$2:$ND$150=E$4)*(GMW!$NF$2:$NF$150=E$1),0),$C282-1966)</f>
        <v>193.09979999999999</v>
      </c>
      <c r="F282" s="4" cm="1">
        <f t="array" ref="F282">INDEX(GMW!$A$2:$NF$150,MATCH(1,(GMW!$NE$2:$NE$150=F$3)*(GMW!$ND$2:$ND$150=F$4)*(GMW!$NF$2:$NF$150=F$1),0),$C282-1966)</f>
        <v>257081.60000000001</v>
      </c>
      <c r="G282" s="4" cm="1">
        <f t="array" ref="G282">INDEX(GMW!$A$2:$NF$150,MATCH(1,(GMW!$NE$2:$NE$150=G$3)*(GMW!$ND$2:$ND$150=G$4)*(GMW!$NF$2:$NF$150=G$1),0),$C282-1966)</f>
        <v>85950.23</v>
      </c>
      <c r="H282" s="4" cm="1">
        <f t="array" ref="H282">INDEX(GMW!$A$2:$NF$150,MATCH(1,(GMW!$NE$2:$NE$150=H$3)*(GMW!$ND$2:$ND$150=H$4)*(GMW!$NF$2:$NF$150=H$1),0),$C282-1966)</f>
        <v>285057.40000000002</v>
      </c>
      <c r="I282" s="4" cm="1">
        <f t="array" ref="I282">INDEX(GMW!$A$2:$NF$150,MATCH(1,(GMW!$NE$2:$NE$150=I$3)*(GMW!$ND$2:$ND$150=I$4)*(GMW!$NF$2:$NF$150=I$1),0),$C282-1966)</f>
        <v>152969.9</v>
      </c>
      <c r="J282" s="4" cm="1">
        <f t="array" ref="J282">INDEX(GMW!$A$2:$NF$150,MATCH(1,(GMW!$NE$2:$NE$150=J$3)*(GMW!$ND$2:$ND$150=J$4)*(GMW!$NF$2:$NF$150=J$1),0),$C282-1966)</f>
        <v>158689.9</v>
      </c>
      <c r="K282" s="4" cm="1">
        <f t="array" ref="K282">INDEX(GMW!$A$2:$NF$150,MATCH(1,(GMW!$NE$2:$NE$150=K$3)*(GMW!$ND$2:$ND$150=K$4)*(GMW!$NF$2:$NF$150=K$1),0),$C282-1966)</f>
        <v>90037.98</v>
      </c>
      <c r="L282" s="4" cm="1">
        <f t="array" ref="L282">INDEX(GMW!$A$2:$NF$150,MATCH(1,(GMW!$NE$2:$NE$150=L$3)*(GMW!$ND$2:$ND$150=L$4)*(GMW!$NF$2:$NF$150=L$1),0),$C282-1966)</f>
        <v>831330</v>
      </c>
      <c r="M282" s="4" cm="1">
        <f t="array" ref="M282">INDEX(GMW!$A$2:$NF$150,MATCH(1,(GMW!$NE$2:$NE$150=M$3)*(GMW!$ND$2:$ND$150=M$4)*(GMW!$NF$2:$NF$150=M$1),0),$C282-1966)</f>
        <v>38180.93</v>
      </c>
      <c r="N282" s="4" cm="1">
        <f t="array" ref="N282">INDEX(GMW!$A$2:$NF$150,MATCH(1,(GMW!$NE$2:$NE$150=N$3)*(GMW!$ND$2:$ND$150=N$4)*(GMW!$NF$2:$NF$150=N$1),0),$C282-1966)</f>
        <v>31.973669999999998</v>
      </c>
      <c r="O282" s="4" cm="1">
        <f t="array" ref="O282">INDEX(GMW!$A$2:$NF$150,MATCH(1,(GMW!$NE$2:$NE$150=O$3)*(GMW!$ND$2:$ND$150=O$4)*(GMW!$NF$2:$NF$150=O$1),0),$C282-1966)</f>
        <v>691395.1</v>
      </c>
      <c r="P282" s="4" cm="1">
        <f t="array" ref="P282">INDEX(GMW!$A$2:$NF$150,MATCH(1,(GMW!$NE$2:$NE$150=P$3)*(GMW!$ND$2:$ND$150=P$4)*(GMW!$NF$2:$NF$150=P$1),0),$C282-1966)</f>
        <v>46382.41</v>
      </c>
      <c r="Q282" s="4" cm="1">
        <f t="array" ref="Q282">INDEX(GMW!$A$2:$NF$150,MATCH(1,(GMW!$NE$2:$NE$150=Q$3)*(GMW!$ND$2:$ND$150=Q$4)*(GMW!$NF$2:$NF$150=Q$1),0),$C282-1966)</f>
        <v>4386507</v>
      </c>
      <c r="R282" s="4" cm="1">
        <f t="array" ref="R282">INDEX(GMW!$A$2:$NF$150,MATCH(1,(GMW!$NE$2:$NE$150=R$3)*(GMW!$ND$2:$ND$150=R$4)*(GMW!$NF$2:$NF$150=R$1),0),$C282-1966)</f>
        <v>-1.640733</v>
      </c>
      <c r="S282" s="4" cm="1">
        <f t="array" ref="S282">INDEX(GMW!$A$2:$NF$150,MATCH(1,(GMW!$NE$2:$NE$150=S$3)*(GMW!$ND$2:$ND$150=S$4)*(GMW!$NF$2:$NF$150=S$1),0),$C282-1966)</f>
        <v>838335.7</v>
      </c>
      <c r="T282" s="4" cm="1">
        <f t="array" ref="T282">INDEX(GMW!$A$2:$NF$150,MATCH(1,(GMW!$NE$2:$NE$150=T$3)*(GMW!$ND$2:$ND$150=T$4)*(GMW!$NF$2:$NF$150=T$1),0),$C282-1966)</f>
        <v>192.96510000000001</v>
      </c>
      <c r="U282" s="4" cm="1">
        <f t="array" ref="U282">INDEX(GMW!$A$2:$NF$150,MATCH(1,(GMW!$NE$2:$NE$150=U$3)*(GMW!$ND$2:$ND$150=U$4)*(GMW!$NF$2:$NF$150=U$1),0),$C282-1966)</f>
        <v>246406.6</v>
      </c>
      <c r="V282" s="4" cm="1">
        <f t="array" ref="V282">INDEX(GMW!$A$2:$NF$150,MATCH(1,(GMW!$NE$2:$NE$150=V$3)*(GMW!$ND$2:$ND$150=V$4)*(GMW!$NF$2:$NF$150=V$1),0),$C282-1966)</f>
        <v>90558.55</v>
      </c>
      <c r="W282" s="4" cm="1">
        <f t="array" ref="W282">INDEX(GMW!$A$2:$NF$150,MATCH(1,(GMW!$NE$2:$NE$150=W$3)*(GMW!$ND$2:$ND$150=W$4)*(GMW!$NF$2:$NF$150=W$1),0),$C282-1966)</f>
        <v>276188</v>
      </c>
      <c r="X282" s="4" cm="1">
        <f t="array" ref="X282">INDEX(GMW!$A$2:$NF$150,MATCH(1,(GMW!$NE$2:$NE$150=X$3)*(GMW!$ND$2:$ND$150=X$4)*(GMW!$NF$2:$NF$150=X$1),0),$C282-1966)</f>
        <v>147075.6</v>
      </c>
      <c r="Y282" s="4" cm="1">
        <f t="array" ref="Y282">INDEX(GMW!$A$2:$NF$150,MATCH(1,(GMW!$NE$2:$NE$150=Y$3)*(GMW!$ND$2:$ND$150=Y$4)*(GMW!$NF$2:$NF$150=Y$1),0),$C282-1966)</f>
        <v>161472.79999999999</v>
      </c>
      <c r="Z282" s="4" cm="1">
        <f t="array" ref="Z282">INDEX(GMW!$A$2:$NF$150,MATCH(1,(GMW!$NE$2:$NE$150=Z$3)*(GMW!$ND$2:$ND$150=Z$4)*(GMW!$NF$2:$NF$150=Z$1),0),$C282-1966)</f>
        <v>93201.48</v>
      </c>
      <c r="AA282" s="4" cm="1">
        <f t="array" ref="AA282">INDEX(GMW!$A$2:$NF$150,MATCH(1,(GMW!$NE$2:$NE$150=AA$3)*(GMW!$ND$2:$ND$150=AA$4)*(GMW!$NF$2:$NF$150=AA$1),0),$C282-1966)</f>
        <v>838335.4</v>
      </c>
      <c r="AB282" s="4" cm="1">
        <f t="array" ref="AB282">INDEX(GMW!$A$2:$NF$150,MATCH(1,(GMW!$NE$2:$NE$150=AB$3)*(GMW!$ND$2:$ND$150=AB$4)*(GMW!$NF$2:$NF$150=AB$1),0),$C282-1966)</f>
        <v>38180.93</v>
      </c>
      <c r="AC282" s="4" cm="1">
        <f t="array" ref="AC282">INDEX(GMW!$A$2:$NF$150,MATCH(1,(GMW!$NE$2:$NE$150=AC$3)*(GMW!$ND$2:$ND$150=AC$4)*(GMW!$NF$2:$NF$150=AC$1),0),$C282-1966)</f>
        <v>31.973669999999998</v>
      </c>
      <c r="AD282" s="4" cm="1">
        <f t="array" ref="AD282">INDEX(GMW!$A$2:$NF$150,MATCH(1,(GMW!$NE$2:$NE$150=AD$3)*(GMW!$ND$2:$ND$150=AD$4)*(GMW!$NF$2:$NF$150=AD$1),0),$C282-1966)</f>
        <v>691395.1</v>
      </c>
      <c r="AE282" s="4" cm="1">
        <f t="array" ref="AE282">INDEX(GMW!$A$2:$NF$150,MATCH(1,(GMW!$NE$2:$NE$150=AE$3)*(GMW!$ND$2:$ND$150=AE$4)*(GMW!$NF$2:$NF$150=AE$1),0),$C282-1966)</f>
        <v>46382.41</v>
      </c>
      <c r="AF282" s="4" cm="1">
        <f t="array" ref="AF282">INDEX(GMW!$A$2:$NF$150,MATCH(1,(GMW!$NE$2:$NE$150=AF$3)*(GMW!$ND$2:$ND$150=AF$4)*(GMW!$NF$2:$NF$150=AF$1),0),$C282-1966)</f>
        <v>4467008</v>
      </c>
      <c r="AG282" s="4" cm="1">
        <f t="array" ref="AG282">INDEX(GMW!$A$2:$NF$150,MATCH(1,(GMW!$NE$2:$NE$150=AG$3)*(GMW!$ND$2:$ND$150=AG$4)*(GMW!$NF$2:$NF$150=AG$1),0),$C282-1966)</f>
        <v>-1.6386719999999999</v>
      </c>
      <c r="AH282" s="4" cm="1">
        <f t="array" ref="AH282">INDEX(GMW!$A$2:$NF$150,MATCH(1,(GMW!$NE$2:$NE$150=AH$3)*(GMW!$ND$2:$ND$150=AH$4)*(GMW!$NF$2:$NF$150=AH$1),0),$C282-1966)</f>
        <v>837731.4</v>
      </c>
      <c r="AI282" s="4" cm="1">
        <f t="array" ref="AI282">INDEX(GMW!$A$2:$NF$150,MATCH(1,(GMW!$NE$2:$NE$150=AI$3)*(GMW!$ND$2:$ND$150=AI$4)*(GMW!$NF$2:$NF$150=AI$1),0),$C282-1966)</f>
        <v>191.74100000000001</v>
      </c>
      <c r="AJ282" s="4" cm="1">
        <f t="array" ref="AJ282">INDEX(GMW!$A$2:$NF$150,MATCH(1,(GMW!$NE$2:$NE$150=AJ$3)*(GMW!$ND$2:$ND$150=AJ$4)*(GMW!$NF$2:$NF$150=AJ$1),0),$C282-1966)</f>
        <v>251372.2</v>
      </c>
      <c r="AK282" s="4" cm="1">
        <f t="array" ref="AK282">INDEX(GMW!$A$2:$NF$150,MATCH(1,(GMW!$NE$2:$NE$150=AK$3)*(GMW!$ND$2:$ND$150=AK$4)*(GMW!$NF$2:$NF$150=AK$1),0),$C282-1966)</f>
        <v>93194.68</v>
      </c>
      <c r="AL282" s="4" cm="1">
        <f t="array" ref="AL282">INDEX(GMW!$A$2:$NF$150,MATCH(1,(GMW!$NE$2:$NE$150=AL$3)*(GMW!$ND$2:$ND$150=AL$4)*(GMW!$NF$2:$NF$150=AL$1),0),$C282-1966)</f>
        <v>280283.90000000002</v>
      </c>
      <c r="AM282" s="4" cm="1">
        <f t="array" ref="AM282">INDEX(GMW!$A$2:$NF$150,MATCH(1,(GMW!$NE$2:$NE$150=AM$3)*(GMW!$ND$2:$ND$150=AM$4)*(GMW!$NF$2:$NF$150=AM$1),0),$C282-1966)</f>
        <v>150382.79999999999</v>
      </c>
      <c r="AN282" s="4" cm="1">
        <f t="array" ref="AN282">INDEX(GMW!$A$2:$NF$150,MATCH(1,(GMW!$NE$2:$NE$150=AN$3)*(GMW!$ND$2:$ND$150=AN$4)*(GMW!$NF$2:$NF$150=AN$1),0),$C282-1966)</f>
        <v>161286.6</v>
      </c>
      <c r="AO282" s="4" cm="1">
        <f t="array" ref="AO282">INDEX(GMW!$A$2:$NF$150,MATCH(1,(GMW!$NE$2:$NE$150=AO$3)*(GMW!$ND$2:$ND$150=AO$4)*(GMW!$NF$2:$NF$150=AO$1),0),$C282-1966)</f>
        <v>94318.77</v>
      </c>
      <c r="AP282" s="4" cm="1">
        <f t="array" ref="AP282">INDEX(GMW!$A$2:$NF$150,MATCH(1,(GMW!$NE$2:$NE$150=AP$3)*(GMW!$ND$2:$ND$150=AP$4)*(GMW!$NF$2:$NF$150=AP$1),0),$C282-1966)</f>
        <v>837730.4</v>
      </c>
      <c r="AQ282" s="4" cm="1">
        <f t="array" ref="AQ282">INDEX(GMW!$A$2:$NF$150,MATCH(1,(GMW!$NE$2:$NE$150=AQ$3)*(GMW!$ND$2:$ND$150=AQ$4)*(GMW!$NF$2:$NF$150=AQ$1),0),$C282-1966)</f>
        <v>37998.9</v>
      </c>
      <c r="AR282" s="4" cm="1">
        <f t="array" ref="AR282">INDEX(GMW!$A$2:$NF$150,MATCH(1,(GMW!$NE$2:$NE$150=AR$3)*(GMW!$ND$2:$ND$150=AR$4)*(GMW!$NF$2:$NF$150=AR$1),0),$C282-1966)</f>
        <v>31.973669999999998</v>
      </c>
      <c r="AS282" s="4" cm="1">
        <f t="array" ref="AS282">INDEX(GMW!$A$2:$NF$150,MATCH(1,(GMW!$NE$2:$NE$150=AS$3)*(GMW!$ND$2:$ND$150=AS$4)*(GMW!$NF$2:$NF$150=AS$1),0),$C282-1966)</f>
        <v>688593.7</v>
      </c>
      <c r="AT282" s="4" cm="1">
        <f t="array" ref="AT282">INDEX(GMW!$A$2:$NF$150,MATCH(1,(GMW!$NE$2:$NE$150=AT$3)*(GMW!$ND$2:$ND$150=AT$4)*(GMW!$NF$2:$NF$150=AT$1),0),$C282-1966)</f>
        <v>46181.41</v>
      </c>
      <c r="AU282" s="4" cm="1">
        <f t="array" ref="AU282">INDEX(GMW!$A$2:$NF$150,MATCH(1,(GMW!$NE$2:$NE$150=AU$3)*(GMW!$ND$2:$ND$150=AU$4)*(GMW!$NF$2:$NF$150=AU$1),0),$C282-1966)</f>
        <v>4475249</v>
      </c>
      <c r="AV282" s="4" cm="1">
        <f t="array" ref="AV282">INDEX(GMW!$A$2:$NF$150,MATCH(1,(GMW!$NE$2:$NE$150=AV$3)*(GMW!$ND$2:$ND$150=AV$4)*(GMW!$NF$2:$NF$150=AV$1),0),$C282-1966)</f>
        <v>-1.6370340000000001</v>
      </c>
    </row>
    <row r="283" spans="1:48" x14ac:dyDescent="0.25">
      <c r="A283" s="4">
        <v>2042</v>
      </c>
      <c r="B283" s="4">
        <f t="shared" si="12"/>
        <v>2042</v>
      </c>
      <c r="C283" s="4">
        <f t="shared" si="11"/>
        <v>2249</v>
      </c>
      <c r="D283" s="4" cm="1">
        <f t="array" ref="D283">INDEX(GMW!$A$2:$NF$150,MATCH(1,(GMW!$NE$2:$NE$150=D$3)*(GMW!$ND$2:$ND$150=D$4)*(GMW!$NF$2:$NF$150=D$1),0),$C283-1966)</f>
        <v>834726.40000000002</v>
      </c>
      <c r="E283" s="4" cm="1">
        <f t="array" ref="E283">INDEX(GMW!$A$2:$NF$150,MATCH(1,(GMW!$NE$2:$NE$150=E$3)*(GMW!$ND$2:$ND$150=E$4)*(GMW!$NF$2:$NF$150=E$1),0),$C283-1966)</f>
        <v>193.49510000000001</v>
      </c>
      <c r="F283" s="4" cm="1">
        <f t="array" ref="F283">INDEX(GMW!$A$2:$NF$150,MATCH(1,(GMW!$NE$2:$NE$150=F$3)*(GMW!$ND$2:$ND$150=F$4)*(GMW!$NF$2:$NF$150=F$1),0),$C283-1966)</f>
        <v>258052.4</v>
      </c>
      <c r="G283" s="4" cm="1">
        <f t="array" ref="G283">INDEX(GMW!$A$2:$NF$150,MATCH(1,(GMW!$NE$2:$NE$150=G$3)*(GMW!$ND$2:$ND$150=G$4)*(GMW!$NF$2:$NF$150=G$1),0),$C283-1966)</f>
        <v>86231.81</v>
      </c>
      <c r="H283" s="4" cm="1">
        <f t="array" ref="H283">INDEX(GMW!$A$2:$NF$150,MATCH(1,(GMW!$NE$2:$NE$150=H$3)*(GMW!$ND$2:$ND$150=H$4)*(GMW!$NF$2:$NF$150=H$1),0),$C283-1966)</f>
        <v>286212.90000000002</v>
      </c>
      <c r="I283" s="4" cm="1">
        <f t="array" ref="I283">INDEX(GMW!$A$2:$NF$150,MATCH(1,(GMW!$NE$2:$NE$150=I$3)*(GMW!$ND$2:$ND$150=I$4)*(GMW!$NF$2:$NF$150=I$1),0),$C283-1966)</f>
        <v>153567.4</v>
      </c>
      <c r="J283" s="4" cm="1">
        <f t="array" ref="J283">INDEX(GMW!$A$2:$NF$150,MATCH(1,(GMW!$NE$2:$NE$150=J$3)*(GMW!$ND$2:$ND$150=J$4)*(GMW!$NF$2:$NF$150=J$1),0),$C283-1966)</f>
        <v>159509.29999999999</v>
      </c>
      <c r="K283" s="4" cm="1">
        <f t="array" ref="K283">INDEX(GMW!$A$2:$NF$150,MATCH(1,(GMW!$NE$2:$NE$150=K$3)*(GMW!$ND$2:$ND$150=K$4)*(GMW!$NF$2:$NF$150=K$1),0),$C283-1966)</f>
        <v>90540.94</v>
      </c>
      <c r="L283" s="4" cm="1">
        <f t="array" ref="L283">INDEX(GMW!$A$2:$NF$150,MATCH(1,(GMW!$NE$2:$NE$150=L$3)*(GMW!$ND$2:$ND$150=L$4)*(GMW!$NF$2:$NF$150=L$1),0),$C283-1966)</f>
        <v>834724.6</v>
      </c>
      <c r="M283" s="4" cm="1">
        <f t="array" ref="M283">INDEX(GMW!$A$2:$NF$150,MATCH(1,(GMW!$NE$2:$NE$150=M$3)*(GMW!$ND$2:$ND$150=M$4)*(GMW!$NF$2:$NF$150=M$1),0),$C283-1966)</f>
        <v>38232.639999999999</v>
      </c>
      <c r="N283" s="4" cm="1">
        <f t="array" ref="N283">INDEX(GMW!$A$2:$NF$150,MATCH(1,(GMW!$NE$2:$NE$150=N$3)*(GMW!$ND$2:$ND$150=N$4)*(GMW!$NF$2:$NF$150=N$1),0),$C283-1966)</f>
        <v>31.972919999999998</v>
      </c>
      <c r="O283" s="4" cm="1">
        <f t="array" ref="O283">INDEX(GMW!$A$2:$NF$150,MATCH(1,(GMW!$NE$2:$NE$150=O$3)*(GMW!$ND$2:$ND$150=O$4)*(GMW!$NF$2:$NF$150=O$1),0),$C283-1966)</f>
        <v>692360.9</v>
      </c>
      <c r="P283" s="4" cm="1">
        <f t="array" ref="P283">INDEX(GMW!$A$2:$NF$150,MATCH(1,(GMW!$NE$2:$NE$150=P$3)*(GMW!$ND$2:$ND$150=P$4)*(GMW!$NF$2:$NF$150=P$1),0),$C283-1966)</f>
        <v>46414.74</v>
      </c>
      <c r="Q283" s="4" cm="1">
        <f t="array" ref="Q283">INDEX(GMW!$A$2:$NF$150,MATCH(1,(GMW!$NE$2:$NE$150=Q$3)*(GMW!$ND$2:$ND$150=Q$4)*(GMW!$NF$2:$NF$150=Q$1),0),$C283-1966)</f>
        <v>4407820</v>
      </c>
      <c r="R283" s="4" cm="1">
        <f t="array" ref="R283">INDEX(GMW!$A$2:$NF$150,MATCH(1,(GMW!$NE$2:$NE$150=R$3)*(GMW!$ND$2:$ND$150=R$4)*(GMW!$NF$2:$NF$150=R$1),0),$C283-1966)</f>
        <v>-1.639421</v>
      </c>
      <c r="S283" s="4" cm="1">
        <f t="array" ref="S283">INDEX(GMW!$A$2:$NF$150,MATCH(1,(GMW!$NE$2:$NE$150=S$3)*(GMW!$ND$2:$ND$150=S$4)*(GMW!$NF$2:$NF$150=S$1),0),$C283-1966)</f>
        <v>841788.5</v>
      </c>
      <c r="T283" s="4" cm="1">
        <f t="array" ref="T283">INDEX(GMW!$A$2:$NF$150,MATCH(1,(GMW!$NE$2:$NE$150=T$3)*(GMW!$ND$2:$ND$150=T$4)*(GMW!$NF$2:$NF$150=T$1),0),$C283-1966)</f>
        <v>193.29069999999999</v>
      </c>
      <c r="U283" s="4" cm="1">
        <f t="array" ref="U283">INDEX(GMW!$A$2:$NF$150,MATCH(1,(GMW!$NE$2:$NE$150=U$3)*(GMW!$ND$2:$ND$150=U$4)*(GMW!$NF$2:$NF$150=U$1),0),$C283-1966)</f>
        <v>247330.5</v>
      </c>
      <c r="V283" s="4" cm="1">
        <f t="array" ref="V283">INDEX(GMW!$A$2:$NF$150,MATCH(1,(GMW!$NE$2:$NE$150=V$3)*(GMW!$ND$2:$ND$150=V$4)*(GMW!$NF$2:$NF$150=V$1),0),$C283-1966)</f>
        <v>90858.17</v>
      </c>
      <c r="W283" s="4" cm="1">
        <f t="array" ref="W283">INDEX(GMW!$A$2:$NF$150,MATCH(1,(GMW!$NE$2:$NE$150=W$3)*(GMW!$ND$2:$ND$150=W$4)*(GMW!$NF$2:$NF$150=W$1),0),$C283-1966)</f>
        <v>277307</v>
      </c>
      <c r="X283" s="4" cm="1">
        <f t="array" ref="X283">INDEX(GMW!$A$2:$NF$150,MATCH(1,(GMW!$NE$2:$NE$150=X$3)*(GMW!$ND$2:$ND$150=X$4)*(GMW!$NF$2:$NF$150=X$1),0),$C283-1966)</f>
        <v>147654.9</v>
      </c>
      <c r="Y283" s="4" cm="1">
        <f t="array" ref="Y283">INDEX(GMW!$A$2:$NF$150,MATCH(1,(GMW!$NE$2:$NE$150=Y$3)*(GMW!$ND$2:$ND$150=Y$4)*(GMW!$NF$2:$NF$150=Y$1),0),$C283-1966)</f>
        <v>162303.6</v>
      </c>
      <c r="Z283" s="4" cm="1">
        <f t="array" ref="Z283">INDEX(GMW!$A$2:$NF$150,MATCH(1,(GMW!$NE$2:$NE$150=Z$3)*(GMW!$ND$2:$ND$150=Z$4)*(GMW!$NF$2:$NF$150=Z$1),0),$C283-1966)</f>
        <v>93715.82</v>
      </c>
      <c r="AA283" s="4" cm="1">
        <f t="array" ref="AA283">INDEX(GMW!$A$2:$NF$150,MATCH(1,(GMW!$NE$2:$NE$150=AA$3)*(GMW!$ND$2:$ND$150=AA$4)*(GMW!$NF$2:$NF$150=AA$1),0),$C283-1966)</f>
        <v>841786.7</v>
      </c>
      <c r="AB283" s="4" cm="1">
        <f t="array" ref="AB283">INDEX(GMW!$A$2:$NF$150,MATCH(1,(GMW!$NE$2:$NE$150=AB$3)*(GMW!$ND$2:$ND$150=AB$4)*(GMW!$NF$2:$NF$150=AB$1),0),$C283-1966)</f>
        <v>38232.639999999999</v>
      </c>
      <c r="AC283" s="4" cm="1">
        <f t="array" ref="AC283">INDEX(GMW!$A$2:$NF$150,MATCH(1,(GMW!$NE$2:$NE$150=AC$3)*(GMW!$ND$2:$ND$150=AC$4)*(GMW!$NF$2:$NF$150=AC$1),0),$C283-1966)</f>
        <v>31.972919999999998</v>
      </c>
      <c r="AD283" s="4" cm="1">
        <f t="array" ref="AD283">INDEX(GMW!$A$2:$NF$150,MATCH(1,(GMW!$NE$2:$NE$150=AD$3)*(GMW!$ND$2:$ND$150=AD$4)*(GMW!$NF$2:$NF$150=AD$1),0),$C283-1966)</f>
        <v>692360.9</v>
      </c>
      <c r="AE283" s="4" cm="1">
        <f t="array" ref="AE283">INDEX(GMW!$A$2:$NF$150,MATCH(1,(GMW!$NE$2:$NE$150=AE$3)*(GMW!$ND$2:$ND$150=AE$4)*(GMW!$NF$2:$NF$150=AE$1),0),$C283-1966)</f>
        <v>46414.74</v>
      </c>
      <c r="AF283" s="4" cm="1">
        <f t="array" ref="AF283">INDEX(GMW!$A$2:$NF$150,MATCH(1,(GMW!$NE$2:$NE$150=AF$3)*(GMW!$ND$2:$ND$150=AF$4)*(GMW!$NF$2:$NF$150=AF$1),0),$C283-1966)</f>
        <v>4489125</v>
      </c>
      <c r="AG283" s="4" cm="1">
        <f t="array" ref="AG283">INDEX(GMW!$A$2:$NF$150,MATCH(1,(GMW!$NE$2:$NE$150=AG$3)*(GMW!$ND$2:$ND$150=AG$4)*(GMW!$NF$2:$NF$150=AG$1),0),$C283-1966)</f>
        <v>-1.6373610000000001</v>
      </c>
      <c r="AH283" s="4" cm="1">
        <f t="array" ref="AH283">INDEX(GMW!$A$2:$NF$150,MATCH(1,(GMW!$NE$2:$NE$150=AH$3)*(GMW!$ND$2:$ND$150=AH$4)*(GMW!$NF$2:$NF$150=AH$1),0),$C283-1966)</f>
        <v>840928.2</v>
      </c>
      <c r="AI283" s="4" cm="1">
        <f t="array" ref="AI283">INDEX(GMW!$A$2:$NF$150,MATCH(1,(GMW!$NE$2:$NE$150=AI$3)*(GMW!$ND$2:$ND$150=AI$4)*(GMW!$NF$2:$NF$150=AI$1),0),$C283-1966)</f>
        <v>192.10509999999999</v>
      </c>
      <c r="AJ283" s="4" cm="1">
        <f t="array" ref="AJ283">INDEX(GMW!$A$2:$NF$150,MATCH(1,(GMW!$NE$2:$NE$150=AJ$3)*(GMW!$ND$2:$ND$150=AJ$4)*(GMW!$NF$2:$NF$150=AJ$1),0),$C283-1966)</f>
        <v>252231.2</v>
      </c>
      <c r="AK283" s="4" cm="1">
        <f t="array" ref="AK283">INDEX(GMW!$A$2:$NF$150,MATCH(1,(GMW!$NE$2:$NE$150=AK$3)*(GMW!$ND$2:$ND$150=AK$4)*(GMW!$NF$2:$NF$150=AK$1),0),$C283-1966)</f>
        <v>93475.76</v>
      </c>
      <c r="AL283" s="4" cm="1">
        <f t="array" ref="AL283">INDEX(GMW!$A$2:$NF$150,MATCH(1,(GMW!$NE$2:$NE$150=AL$3)*(GMW!$ND$2:$ND$150=AL$4)*(GMW!$NF$2:$NF$150=AL$1),0),$C283-1966)</f>
        <v>281334.09999999998</v>
      </c>
      <c r="AM283" s="4" cm="1">
        <f t="array" ref="AM283">INDEX(GMW!$A$2:$NF$150,MATCH(1,(GMW!$NE$2:$NE$150=AM$3)*(GMW!$ND$2:$ND$150=AM$4)*(GMW!$NF$2:$NF$150=AM$1),0),$C283-1966)</f>
        <v>150926.6</v>
      </c>
      <c r="AN283" s="4" cm="1">
        <f t="array" ref="AN283">INDEX(GMW!$A$2:$NF$150,MATCH(1,(GMW!$NE$2:$NE$150=AN$3)*(GMW!$ND$2:$ND$150=AN$4)*(GMW!$NF$2:$NF$150=AN$1),0),$C283-1966)</f>
        <v>162068.20000000001</v>
      </c>
      <c r="AO283" s="4" cm="1">
        <f t="array" ref="AO283">INDEX(GMW!$A$2:$NF$150,MATCH(1,(GMW!$NE$2:$NE$150=AO$3)*(GMW!$ND$2:$ND$150=AO$4)*(GMW!$NF$2:$NF$150=AO$1),0),$C283-1966)</f>
        <v>94810.74</v>
      </c>
      <c r="AP283" s="4" cm="1">
        <f t="array" ref="AP283">INDEX(GMW!$A$2:$NF$150,MATCH(1,(GMW!$NE$2:$NE$150=AP$3)*(GMW!$ND$2:$ND$150=AP$4)*(GMW!$NF$2:$NF$150=AP$1),0),$C283-1966)</f>
        <v>840927.4</v>
      </c>
      <c r="AQ283" s="4" cm="1">
        <f t="array" ref="AQ283">INDEX(GMW!$A$2:$NF$150,MATCH(1,(GMW!$NE$2:$NE$150=AQ$3)*(GMW!$ND$2:$ND$150=AQ$4)*(GMW!$NF$2:$NF$150=AQ$1),0),$C283-1966)</f>
        <v>38033.71</v>
      </c>
      <c r="AR283" s="4" cm="1">
        <f t="array" ref="AR283">INDEX(GMW!$A$2:$NF$150,MATCH(1,(GMW!$NE$2:$NE$150=AR$3)*(GMW!$ND$2:$ND$150=AR$4)*(GMW!$NF$2:$NF$150=AR$1),0),$C283-1966)</f>
        <v>31.972919999999998</v>
      </c>
      <c r="AS283" s="4" cm="1">
        <f t="array" ref="AS283">INDEX(GMW!$A$2:$NF$150,MATCH(1,(GMW!$NE$2:$NE$150=AS$3)*(GMW!$ND$2:$ND$150=AS$4)*(GMW!$NF$2:$NF$150=AS$1),0),$C283-1966)</f>
        <v>689674</v>
      </c>
      <c r="AT283" s="4" cm="1">
        <f t="array" ref="AT283">INDEX(GMW!$A$2:$NF$150,MATCH(1,(GMW!$NE$2:$NE$150=AT$3)*(GMW!$ND$2:$ND$150=AT$4)*(GMW!$NF$2:$NF$150=AT$1),0),$C283-1966)</f>
        <v>46221.27</v>
      </c>
      <c r="AU283" s="4" cm="1">
        <f t="array" ref="AU283">INDEX(GMW!$A$2:$NF$150,MATCH(1,(GMW!$NE$2:$NE$150=AU$3)*(GMW!$ND$2:$ND$150=AU$4)*(GMW!$NF$2:$NF$150=AU$1),0),$C283-1966)</f>
        <v>4497154</v>
      </c>
      <c r="AV283" s="4" cm="1">
        <f t="array" ref="AV283">INDEX(GMW!$A$2:$NF$150,MATCH(1,(GMW!$NE$2:$NE$150=AV$3)*(GMW!$ND$2:$ND$150=AV$4)*(GMW!$NF$2:$NF$150=AV$1),0),$C283-1966)</f>
        <v>-1.635724</v>
      </c>
    </row>
    <row r="284" spans="1:48" x14ac:dyDescent="0.25">
      <c r="B284" s="4">
        <f t="shared" si="12"/>
        <v>2042</v>
      </c>
      <c r="C284" s="4">
        <f t="shared" si="11"/>
        <v>2250</v>
      </c>
      <c r="D284" s="4" cm="1">
        <f t="array" ref="D284">INDEX(GMW!$A$2:$NF$150,MATCH(1,(GMW!$NE$2:$NE$150=D$3)*(GMW!$ND$2:$ND$150=D$4)*(GMW!$NF$2:$NF$150=D$1),0),$C284-1966)</f>
        <v>838139.3</v>
      </c>
      <c r="E284" s="4" cm="1">
        <f t="array" ref="E284">INDEX(GMW!$A$2:$NF$150,MATCH(1,(GMW!$NE$2:$NE$150=E$3)*(GMW!$ND$2:$ND$150=E$4)*(GMW!$NF$2:$NF$150=E$1),0),$C284-1966)</f>
        <v>195.21039999999999</v>
      </c>
      <c r="F284" s="4" cm="1">
        <f t="array" ref="F284">INDEX(GMW!$A$2:$NF$150,MATCH(1,(GMW!$NE$2:$NE$150=F$3)*(GMW!$ND$2:$ND$150=F$4)*(GMW!$NF$2:$NF$150=F$1),0),$C284-1966)</f>
        <v>259028</v>
      </c>
      <c r="G284" s="4" cm="1">
        <f t="array" ref="G284">INDEX(GMW!$A$2:$NF$150,MATCH(1,(GMW!$NE$2:$NE$150=G$3)*(GMW!$ND$2:$ND$150=G$4)*(GMW!$NF$2:$NF$150=G$1),0),$C284-1966)</f>
        <v>86514.54</v>
      </c>
      <c r="H284" s="4" cm="1">
        <f t="array" ref="H284">INDEX(GMW!$A$2:$NF$150,MATCH(1,(GMW!$NE$2:$NE$150=H$3)*(GMW!$ND$2:$ND$150=H$4)*(GMW!$NF$2:$NF$150=H$1),0),$C284-1966)</f>
        <v>287374.3</v>
      </c>
      <c r="I284" s="4" cm="1">
        <f t="array" ref="I284">INDEX(GMW!$A$2:$NF$150,MATCH(1,(GMW!$NE$2:$NE$150=I$3)*(GMW!$ND$2:$ND$150=I$4)*(GMW!$NF$2:$NF$150=I$1),0),$C284-1966)</f>
        <v>154167.70000000001</v>
      </c>
      <c r="J284" s="4" cm="1">
        <f t="array" ref="J284">INDEX(GMW!$A$2:$NF$150,MATCH(1,(GMW!$NE$2:$NE$150=J$3)*(GMW!$ND$2:$ND$150=J$4)*(GMW!$NF$2:$NF$150=J$1),0),$C284-1966)</f>
        <v>160333.4</v>
      </c>
      <c r="K284" s="4" cm="1">
        <f t="array" ref="K284">INDEX(GMW!$A$2:$NF$150,MATCH(1,(GMW!$NE$2:$NE$150=K$3)*(GMW!$ND$2:$ND$150=K$4)*(GMW!$NF$2:$NF$150=K$1),0),$C284-1966)</f>
        <v>91046.95</v>
      </c>
      <c r="L284" s="4" cm="1">
        <f t="array" ref="L284">INDEX(GMW!$A$2:$NF$150,MATCH(1,(GMW!$NE$2:$NE$150=L$3)*(GMW!$ND$2:$ND$150=L$4)*(GMW!$NF$2:$NF$150=L$1),0),$C284-1966)</f>
        <v>838138.8</v>
      </c>
      <c r="M284" s="4" cm="1">
        <f t="array" ref="M284">INDEX(GMW!$A$2:$NF$150,MATCH(1,(GMW!$NE$2:$NE$150=M$3)*(GMW!$ND$2:$ND$150=M$4)*(GMW!$NF$2:$NF$150=M$1),0),$C284-1966)</f>
        <v>38284.36</v>
      </c>
      <c r="N284" s="4" cm="1">
        <f t="array" ref="N284">INDEX(GMW!$A$2:$NF$150,MATCH(1,(GMW!$NE$2:$NE$150=N$3)*(GMW!$ND$2:$ND$150=N$4)*(GMW!$NF$2:$NF$150=N$1),0),$C284-1966)</f>
        <v>31.972169999999998</v>
      </c>
      <c r="O284" s="4" cm="1">
        <f t="array" ref="O284">INDEX(GMW!$A$2:$NF$150,MATCH(1,(GMW!$NE$2:$NE$150=O$3)*(GMW!$ND$2:$ND$150=O$4)*(GMW!$NF$2:$NF$150=O$1),0),$C284-1966)</f>
        <v>693326.1</v>
      </c>
      <c r="P284" s="4" cm="1">
        <f t="array" ref="P284">INDEX(GMW!$A$2:$NF$150,MATCH(1,(GMW!$NE$2:$NE$150=P$3)*(GMW!$ND$2:$ND$150=P$4)*(GMW!$NF$2:$NF$150=P$1),0),$C284-1966)</f>
        <v>46447.07</v>
      </c>
      <c r="Q284" s="4" cm="1">
        <f t="array" ref="Q284">INDEX(GMW!$A$2:$NF$150,MATCH(1,(GMW!$NE$2:$NE$150=Q$3)*(GMW!$ND$2:$ND$150=Q$4)*(GMW!$NF$2:$NF$150=Q$1),0),$C284-1966)</f>
        <v>4429307</v>
      </c>
      <c r="R284" s="4" cm="1">
        <f t="array" ref="R284">INDEX(GMW!$A$2:$NF$150,MATCH(1,(GMW!$NE$2:$NE$150=R$3)*(GMW!$ND$2:$ND$150=R$4)*(GMW!$NF$2:$NF$150=R$1),0),$C284-1966)</f>
        <v>-1.638109</v>
      </c>
      <c r="S284" s="4" cm="1">
        <f t="array" ref="S284">INDEX(GMW!$A$2:$NF$150,MATCH(1,(GMW!$NE$2:$NE$150=S$3)*(GMW!$ND$2:$ND$150=S$4)*(GMW!$NF$2:$NF$150=S$1),0),$C284-1966)</f>
        <v>845256.1</v>
      </c>
      <c r="T284" s="4" cm="1">
        <f t="array" ref="T284">INDEX(GMW!$A$2:$NF$150,MATCH(1,(GMW!$NE$2:$NE$150=T$3)*(GMW!$ND$2:$ND$150=T$4)*(GMW!$NF$2:$NF$150=T$1),0),$C284-1966)</f>
        <v>195.0444</v>
      </c>
      <c r="U284" s="4" cm="1">
        <f t="array" ref="U284">INDEX(GMW!$A$2:$NF$150,MATCH(1,(GMW!$NE$2:$NE$150=U$3)*(GMW!$ND$2:$ND$150=U$4)*(GMW!$NF$2:$NF$150=U$1),0),$C284-1966)</f>
        <v>248258.5</v>
      </c>
      <c r="V284" s="4" cm="1">
        <f t="array" ref="V284">INDEX(GMW!$A$2:$NF$150,MATCH(1,(GMW!$NE$2:$NE$150=V$3)*(GMW!$ND$2:$ND$150=V$4)*(GMW!$NF$2:$NF$150=V$1),0),$C284-1966)</f>
        <v>91158.86</v>
      </c>
      <c r="W284" s="4" cm="1">
        <f t="array" ref="W284">INDEX(GMW!$A$2:$NF$150,MATCH(1,(GMW!$NE$2:$NE$150=W$3)*(GMW!$ND$2:$ND$150=W$4)*(GMW!$NF$2:$NF$150=W$1),0),$C284-1966)</f>
        <v>278430.90000000002</v>
      </c>
      <c r="X284" s="4" cm="1">
        <f t="array" ref="X284">INDEX(GMW!$A$2:$NF$150,MATCH(1,(GMW!$NE$2:$NE$150=X$3)*(GMW!$ND$2:$ND$150=X$4)*(GMW!$NF$2:$NF$150=X$1),0),$C284-1966)</f>
        <v>148236.5</v>
      </c>
      <c r="Y284" s="4" cm="1">
        <f t="array" ref="Y284">INDEX(GMW!$A$2:$NF$150,MATCH(1,(GMW!$NE$2:$NE$150=Y$3)*(GMW!$ND$2:$ND$150=Y$4)*(GMW!$NF$2:$NF$150=Y$1),0),$C284-1966)</f>
        <v>163138.79999999999</v>
      </c>
      <c r="Z284" s="4" cm="1">
        <f t="array" ref="Z284">INDEX(GMW!$A$2:$NF$150,MATCH(1,(GMW!$NE$2:$NE$150=Z$3)*(GMW!$ND$2:$ND$150=Z$4)*(GMW!$NF$2:$NF$150=Z$1),0),$C284-1966)</f>
        <v>94233.07</v>
      </c>
      <c r="AA284" s="4" cm="1">
        <f t="array" ref="AA284">INDEX(GMW!$A$2:$NF$150,MATCH(1,(GMW!$NE$2:$NE$150=AA$3)*(GMW!$ND$2:$ND$150=AA$4)*(GMW!$NF$2:$NF$150=AA$1),0),$C284-1966)</f>
        <v>845254.6</v>
      </c>
      <c r="AB284" s="4" cm="1">
        <f t="array" ref="AB284">INDEX(GMW!$A$2:$NF$150,MATCH(1,(GMW!$NE$2:$NE$150=AB$3)*(GMW!$ND$2:$ND$150=AB$4)*(GMW!$NF$2:$NF$150=AB$1),0),$C284-1966)</f>
        <v>38284.36</v>
      </c>
      <c r="AC284" s="4" cm="1">
        <f t="array" ref="AC284">INDEX(GMW!$A$2:$NF$150,MATCH(1,(GMW!$NE$2:$NE$150=AC$3)*(GMW!$ND$2:$ND$150=AC$4)*(GMW!$NF$2:$NF$150=AC$1),0),$C284-1966)</f>
        <v>31.972169999999998</v>
      </c>
      <c r="AD284" s="4" cm="1">
        <f t="array" ref="AD284">INDEX(GMW!$A$2:$NF$150,MATCH(1,(GMW!$NE$2:$NE$150=AD$3)*(GMW!$ND$2:$ND$150=AD$4)*(GMW!$NF$2:$NF$150=AD$1),0),$C284-1966)</f>
        <v>693326.1</v>
      </c>
      <c r="AE284" s="4" cm="1">
        <f t="array" ref="AE284">INDEX(GMW!$A$2:$NF$150,MATCH(1,(GMW!$NE$2:$NE$150=AE$3)*(GMW!$ND$2:$ND$150=AE$4)*(GMW!$NF$2:$NF$150=AE$1),0),$C284-1966)</f>
        <v>46447.07</v>
      </c>
      <c r="AF284" s="4" cm="1">
        <f t="array" ref="AF284">INDEX(GMW!$A$2:$NF$150,MATCH(1,(GMW!$NE$2:$NE$150=AF$3)*(GMW!$ND$2:$ND$150=AF$4)*(GMW!$NF$2:$NF$150=AF$1),0),$C284-1966)</f>
        <v>4511398</v>
      </c>
      <c r="AG284" s="4" cm="1">
        <f t="array" ref="AG284">INDEX(GMW!$A$2:$NF$150,MATCH(1,(GMW!$NE$2:$NE$150=AG$3)*(GMW!$ND$2:$ND$150=AG$4)*(GMW!$NF$2:$NF$150=AG$1),0),$C284-1966)</f>
        <v>-1.6360509999999999</v>
      </c>
      <c r="AH284" s="4" cm="1">
        <f t="array" ref="AH284">INDEX(GMW!$A$2:$NF$150,MATCH(1,(GMW!$NE$2:$NE$150=AH$3)*(GMW!$ND$2:$ND$150=AH$4)*(GMW!$NF$2:$NF$150=AH$1),0),$C284-1966)</f>
        <v>844136.1</v>
      </c>
      <c r="AI284" s="4" cm="1">
        <f t="array" ref="AI284">INDEX(GMW!$A$2:$NF$150,MATCH(1,(GMW!$NE$2:$NE$150=AI$3)*(GMW!$ND$2:$ND$150=AI$4)*(GMW!$NF$2:$NF$150=AI$1),0),$C284-1966)</f>
        <v>193.7577</v>
      </c>
      <c r="AJ284" s="4" cm="1">
        <f t="array" ref="AJ284">INDEX(GMW!$A$2:$NF$150,MATCH(1,(GMW!$NE$2:$NE$150=AJ$3)*(GMW!$ND$2:$ND$150=AJ$4)*(GMW!$NF$2:$NF$150=AJ$1),0),$C284-1966)</f>
        <v>253093.3</v>
      </c>
      <c r="AK284" s="4" cm="1">
        <f t="array" ref="AK284">INDEX(GMW!$A$2:$NF$150,MATCH(1,(GMW!$NE$2:$NE$150=AK$3)*(GMW!$ND$2:$ND$150=AK$4)*(GMW!$NF$2:$NF$150=AK$1),0),$C284-1966)</f>
        <v>93757.55</v>
      </c>
      <c r="AL284" s="4" cm="1">
        <f t="array" ref="AL284">INDEX(GMW!$A$2:$NF$150,MATCH(1,(GMW!$NE$2:$NE$150=AL$3)*(GMW!$ND$2:$ND$150=AL$4)*(GMW!$NF$2:$NF$150=AL$1),0),$C284-1966)</f>
        <v>282388.3</v>
      </c>
      <c r="AM284" s="4" cm="1">
        <f t="array" ref="AM284">INDEX(GMW!$A$2:$NF$150,MATCH(1,(GMW!$NE$2:$NE$150=AM$3)*(GMW!$ND$2:$ND$150=AM$4)*(GMW!$NF$2:$NF$150=AM$1),0),$C284-1966)</f>
        <v>151472.20000000001</v>
      </c>
      <c r="AN284" s="4" cm="1">
        <f t="array" ref="AN284">INDEX(GMW!$A$2:$NF$150,MATCH(1,(GMW!$NE$2:$NE$150=AN$3)*(GMW!$ND$2:$ND$150=AN$4)*(GMW!$NF$2:$NF$150=AN$1),0),$C284-1966)</f>
        <v>162853.5</v>
      </c>
      <c r="AO284" s="4" cm="1">
        <f t="array" ref="AO284">INDEX(GMW!$A$2:$NF$150,MATCH(1,(GMW!$NE$2:$NE$150=AO$3)*(GMW!$ND$2:$ND$150=AO$4)*(GMW!$NF$2:$NF$150=AO$1),0),$C284-1966)</f>
        <v>95305.15</v>
      </c>
      <c r="AP284" s="4" cm="1">
        <f t="array" ref="AP284">INDEX(GMW!$A$2:$NF$150,MATCH(1,(GMW!$NE$2:$NE$150=AP$3)*(GMW!$ND$2:$ND$150=AP$4)*(GMW!$NF$2:$NF$150=AP$1),0),$C284-1966)</f>
        <v>844136.5</v>
      </c>
      <c r="AQ284" s="4" cm="1">
        <f t="array" ref="AQ284">INDEX(GMW!$A$2:$NF$150,MATCH(1,(GMW!$NE$2:$NE$150=AQ$3)*(GMW!$ND$2:$ND$150=AQ$4)*(GMW!$NF$2:$NF$150=AQ$1),0),$C284-1966)</f>
        <v>38068.51</v>
      </c>
      <c r="AR284" s="4" cm="1">
        <f t="array" ref="AR284">INDEX(GMW!$A$2:$NF$150,MATCH(1,(GMW!$NE$2:$NE$150=AR$3)*(GMW!$ND$2:$ND$150=AR$4)*(GMW!$NF$2:$NF$150=AR$1),0),$C284-1966)</f>
        <v>31.972169999999998</v>
      </c>
      <c r="AS284" s="4" cm="1">
        <f t="array" ref="AS284">INDEX(GMW!$A$2:$NF$150,MATCH(1,(GMW!$NE$2:$NE$150=AS$3)*(GMW!$ND$2:$ND$150=AS$4)*(GMW!$NF$2:$NF$150=AS$1),0),$C284-1966)</f>
        <v>690753.9</v>
      </c>
      <c r="AT284" s="4" cm="1">
        <f t="array" ref="AT284">INDEX(GMW!$A$2:$NF$150,MATCH(1,(GMW!$NE$2:$NE$150=AT$3)*(GMW!$ND$2:$ND$150=AT$4)*(GMW!$NF$2:$NF$150=AT$1),0),$C284-1966)</f>
        <v>46261.14</v>
      </c>
      <c r="AU284" s="4" cm="1">
        <f t="array" ref="AU284">INDEX(GMW!$A$2:$NF$150,MATCH(1,(GMW!$NE$2:$NE$150=AU$3)*(GMW!$ND$2:$ND$150=AU$4)*(GMW!$NF$2:$NF$150=AU$1),0),$C284-1966)</f>
        <v>4519180</v>
      </c>
      <c r="AV284" s="4" cm="1">
        <f t="array" ref="AV284">INDEX(GMW!$A$2:$NF$150,MATCH(1,(GMW!$NE$2:$NE$150=AV$3)*(GMW!$ND$2:$ND$150=AV$4)*(GMW!$NF$2:$NF$150=AV$1),0),$C284-1966)</f>
        <v>-1.634415</v>
      </c>
    </row>
    <row r="285" spans="1:48" x14ac:dyDescent="0.25">
      <c r="B285" s="4">
        <f t="shared" si="12"/>
        <v>2042</v>
      </c>
      <c r="C285" s="4">
        <f t="shared" si="11"/>
        <v>2251</v>
      </c>
      <c r="D285" s="4" cm="1">
        <f t="array" ref="D285">INDEX(GMW!$A$2:$NF$150,MATCH(1,(GMW!$NE$2:$NE$150=D$3)*(GMW!$ND$2:$ND$150=D$4)*(GMW!$NF$2:$NF$150=D$1),0),$C285-1966)</f>
        <v>841497.8</v>
      </c>
      <c r="E285" s="4" cm="1">
        <f t="array" ref="E285">INDEX(GMW!$A$2:$NF$150,MATCH(1,(GMW!$NE$2:$NE$150=E$3)*(GMW!$ND$2:$ND$150=E$4)*(GMW!$NF$2:$NF$150=E$1),0),$C285-1966)</f>
        <v>196.0984</v>
      </c>
      <c r="F285" s="4" cm="1">
        <f t="array" ref="F285">INDEX(GMW!$A$2:$NF$150,MATCH(1,(GMW!$NE$2:$NE$150=F$3)*(GMW!$ND$2:$ND$150=F$4)*(GMW!$NF$2:$NF$150=F$1),0),$C285-1966)</f>
        <v>259987.4</v>
      </c>
      <c r="G285" s="4" cm="1">
        <f t="array" ref="G285">INDEX(GMW!$A$2:$NF$150,MATCH(1,(GMW!$NE$2:$NE$150=G$3)*(GMW!$ND$2:$ND$150=G$4)*(GMW!$NF$2:$NF$150=G$1),0),$C285-1966)</f>
        <v>86791.13</v>
      </c>
      <c r="H285" s="4" cm="1">
        <f t="array" ref="H285">INDEX(GMW!$A$2:$NF$150,MATCH(1,(GMW!$NE$2:$NE$150=H$3)*(GMW!$ND$2:$ND$150=H$4)*(GMW!$NF$2:$NF$150=H$1),0),$C285-1966)</f>
        <v>288519.5</v>
      </c>
      <c r="I285" s="4" cm="1">
        <f t="array" ref="I285">INDEX(GMW!$A$2:$NF$150,MATCH(1,(GMW!$NE$2:$NE$150=I$3)*(GMW!$ND$2:$ND$150=I$4)*(GMW!$NF$2:$NF$150=I$1),0),$C285-1966)</f>
        <v>154757.70000000001</v>
      </c>
      <c r="J285" s="4" cm="1">
        <f t="array" ref="J285">INDEX(GMW!$A$2:$NF$150,MATCH(1,(GMW!$NE$2:$NE$150=J$3)*(GMW!$ND$2:$ND$150=J$4)*(GMW!$NF$2:$NF$150=J$1),0),$C285-1966)</f>
        <v>161148.79999999999</v>
      </c>
      <c r="K285" s="4" cm="1">
        <f t="array" ref="K285">INDEX(GMW!$A$2:$NF$150,MATCH(1,(GMW!$NE$2:$NE$150=K$3)*(GMW!$ND$2:$ND$150=K$4)*(GMW!$NF$2:$NF$150=K$1),0),$C285-1966)</f>
        <v>91548.34</v>
      </c>
      <c r="L285" s="4" cm="1">
        <f t="array" ref="L285">INDEX(GMW!$A$2:$NF$150,MATCH(1,(GMW!$NE$2:$NE$150=L$3)*(GMW!$ND$2:$ND$150=L$4)*(GMW!$NF$2:$NF$150=L$1),0),$C285-1966)</f>
        <v>841496.9</v>
      </c>
      <c r="M285" s="4" cm="1">
        <f t="array" ref="M285">INDEX(GMW!$A$2:$NF$150,MATCH(1,(GMW!$NE$2:$NE$150=M$3)*(GMW!$ND$2:$ND$150=M$4)*(GMW!$NF$2:$NF$150=M$1),0),$C285-1966)</f>
        <v>38331.129999999997</v>
      </c>
      <c r="N285" s="4" cm="1">
        <f t="array" ref="N285">INDEX(GMW!$A$2:$NF$150,MATCH(1,(GMW!$NE$2:$NE$150=N$3)*(GMW!$ND$2:$ND$150=N$4)*(GMW!$NF$2:$NF$150=N$1),0),$C285-1966)</f>
        <v>31.971419999999998</v>
      </c>
      <c r="O285" s="4" cm="1">
        <f t="array" ref="O285">INDEX(GMW!$A$2:$NF$150,MATCH(1,(GMW!$NE$2:$NE$150=O$3)*(GMW!$ND$2:$ND$150=O$4)*(GMW!$NF$2:$NF$150=O$1),0),$C285-1966)</f>
        <v>694234.6</v>
      </c>
      <c r="P285" s="4" cm="1">
        <f t="array" ref="P285">INDEX(GMW!$A$2:$NF$150,MATCH(1,(GMW!$NE$2:$NE$150=P$3)*(GMW!$ND$2:$ND$150=P$4)*(GMW!$NF$2:$NF$150=P$1),0),$C285-1966)</f>
        <v>46475.68</v>
      </c>
      <c r="Q285" s="4" cm="1">
        <f t="array" ref="Q285">INDEX(GMW!$A$2:$NF$150,MATCH(1,(GMW!$NE$2:$NE$150=Q$3)*(GMW!$ND$2:$ND$150=Q$4)*(GMW!$NF$2:$NF$150=Q$1),0),$C285-1966)</f>
        <v>4450957</v>
      </c>
      <c r="R285" s="4" cm="1">
        <f t="array" ref="R285">INDEX(GMW!$A$2:$NF$150,MATCH(1,(GMW!$NE$2:$NE$150=R$3)*(GMW!$ND$2:$ND$150=R$4)*(GMW!$NF$2:$NF$150=R$1),0),$C285-1966)</f>
        <v>-1.6367989999999999</v>
      </c>
      <c r="S285" s="4" cm="1">
        <f t="array" ref="S285">INDEX(GMW!$A$2:$NF$150,MATCH(1,(GMW!$NE$2:$NE$150=S$3)*(GMW!$ND$2:$ND$150=S$4)*(GMW!$NF$2:$NF$150=S$1),0),$C285-1966)</f>
        <v>848667.4</v>
      </c>
      <c r="T285" s="4" cm="1">
        <f t="array" ref="T285">INDEX(GMW!$A$2:$NF$150,MATCH(1,(GMW!$NE$2:$NE$150=T$3)*(GMW!$ND$2:$ND$150=T$4)*(GMW!$NF$2:$NF$150=T$1),0),$C285-1966)</f>
        <v>195.98519999999999</v>
      </c>
      <c r="U285" s="4" cm="1">
        <f t="array" ref="U285">INDEX(GMW!$A$2:$NF$150,MATCH(1,(GMW!$NE$2:$NE$150=U$3)*(GMW!$ND$2:$ND$150=U$4)*(GMW!$NF$2:$NF$150=U$1),0),$C285-1966)</f>
        <v>249170.5</v>
      </c>
      <c r="V285" s="4" cm="1">
        <f t="array" ref="V285">INDEX(GMW!$A$2:$NF$150,MATCH(1,(GMW!$NE$2:$NE$150=V$3)*(GMW!$ND$2:$ND$150=V$4)*(GMW!$NF$2:$NF$150=V$1),0),$C285-1966)</f>
        <v>91452.91</v>
      </c>
      <c r="W285" s="4" cm="1">
        <f t="array" ref="W285">INDEX(GMW!$A$2:$NF$150,MATCH(1,(GMW!$NE$2:$NE$150=W$3)*(GMW!$ND$2:$ND$150=W$4)*(GMW!$NF$2:$NF$150=W$1),0),$C285-1966)</f>
        <v>279539.09999999998</v>
      </c>
      <c r="X285" s="4" cm="1">
        <f t="array" ref="X285">INDEX(GMW!$A$2:$NF$150,MATCH(1,(GMW!$NE$2:$NE$150=X$3)*(GMW!$ND$2:$ND$150=X$4)*(GMW!$NF$2:$NF$150=X$1),0),$C285-1966)</f>
        <v>148808.1</v>
      </c>
      <c r="Y285" s="4" cm="1">
        <f t="array" ref="Y285">INDEX(GMW!$A$2:$NF$150,MATCH(1,(GMW!$NE$2:$NE$150=Y$3)*(GMW!$ND$2:$ND$150=Y$4)*(GMW!$NF$2:$NF$150=Y$1),0),$C285-1966)</f>
        <v>163964.70000000001</v>
      </c>
      <c r="Z285" s="4" cm="1">
        <f t="array" ref="Z285">INDEX(GMW!$A$2:$NF$150,MATCH(1,(GMW!$NE$2:$NE$150=Z$3)*(GMW!$ND$2:$ND$150=Z$4)*(GMW!$NF$2:$NF$150=Z$1),0),$C285-1966)</f>
        <v>94745.3</v>
      </c>
      <c r="AA285" s="4" cm="1">
        <f t="array" ref="AA285">INDEX(GMW!$A$2:$NF$150,MATCH(1,(GMW!$NE$2:$NE$150=AA$3)*(GMW!$ND$2:$ND$150=AA$4)*(GMW!$NF$2:$NF$150=AA$1),0),$C285-1966)</f>
        <v>848666.5</v>
      </c>
      <c r="AB285" s="4" cm="1">
        <f t="array" ref="AB285">INDEX(GMW!$A$2:$NF$150,MATCH(1,(GMW!$NE$2:$NE$150=AB$3)*(GMW!$ND$2:$ND$150=AB$4)*(GMW!$NF$2:$NF$150=AB$1),0),$C285-1966)</f>
        <v>38331.129999999997</v>
      </c>
      <c r="AC285" s="4" cm="1">
        <f t="array" ref="AC285">INDEX(GMW!$A$2:$NF$150,MATCH(1,(GMW!$NE$2:$NE$150=AC$3)*(GMW!$ND$2:$ND$150=AC$4)*(GMW!$NF$2:$NF$150=AC$1),0),$C285-1966)</f>
        <v>31.971419999999998</v>
      </c>
      <c r="AD285" s="4" cm="1">
        <f t="array" ref="AD285">INDEX(GMW!$A$2:$NF$150,MATCH(1,(GMW!$NE$2:$NE$150=AD$3)*(GMW!$ND$2:$ND$150=AD$4)*(GMW!$NF$2:$NF$150=AD$1),0),$C285-1966)</f>
        <v>694234.6</v>
      </c>
      <c r="AE285" s="4" cm="1">
        <f t="array" ref="AE285">INDEX(GMW!$A$2:$NF$150,MATCH(1,(GMW!$NE$2:$NE$150=AE$3)*(GMW!$ND$2:$ND$150=AE$4)*(GMW!$NF$2:$NF$150=AE$1),0),$C285-1966)</f>
        <v>46475.68</v>
      </c>
      <c r="AF285" s="4" cm="1">
        <f t="array" ref="AF285">INDEX(GMW!$A$2:$NF$150,MATCH(1,(GMW!$NE$2:$NE$150=AF$3)*(GMW!$ND$2:$ND$150=AF$4)*(GMW!$NF$2:$NF$150=AF$1),0),$C285-1966)</f>
        <v>4533817</v>
      </c>
      <c r="AG285" s="4" cm="1">
        <f t="array" ref="AG285">INDEX(GMW!$A$2:$NF$150,MATCH(1,(GMW!$NE$2:$NE$150=AG$3)*(GMW!$ND$2:$ND$150=AG$4)*(GMW!$NF$2:$NF$150=AG$1),0),$C285-1966)</f>
        <v>-1.6347419999999999</v>
      </c>
      <c r="AH285" s="4" cm="1">
        <f t="array" ref="AH285">INDEX(GMW!$A$2:$NF$150,MATCH(1,(GMW!$NE$2:$NE$150=AH$3)*(GMW!$ND$2:$ND$150=AH$4)*(GMW!$NF$2:$NF$150=AH$1),0),$C285-1966)</f>
        <v>847355</v>
      </c>
      <c r="AI285" s="4" cm="1">
        <f t="array" ref="AI285">INDEX(GMW!$A$2:$NF$150,MATCH(1,(GMW!$NE$2:$NE$150=AI$3)*(GMW!$ND$2:$ND$150=AI$4)*(GMW!$NF$2:$NF$150=AI$1),0),$C285-1966)</f>
        <v>194.613</v>
      </c>
      <c r="AJ285" s="4" cm="1">
        <f t="array" ref="AJ285">INDEX(GMW!$A$2:$NF$150,MATCH(1,(GMW!$NE$2:$NE$150=AJ$3)*(GMW!$ND$2:$ND$150=AJ$4)*(GMW!$NF$2:$NF$150=AJ$1),0),$C285-1966)</f>
        <v>253958.8</v>
      </c>
      <c r="AK285" s="4" cm="1">
        <f t="array" ref="AK285">INDEX(GMW!$A$2:$NF$150,MATCH(1,(GMW!$NE$2:$NE$150=AK$3)*(GMW!$ND$2:$ND$150=AK$4)*(GMW!$NF$2:$NF$150=AK$1),0),$C285-1966)</f>
        <v>94040.07</v>
      </c>
      <c r="AL285" s="4" cm="1">
        <f t="array" ref="AL285">INDEX(GMW!$A$2:$NF$150,MATCH(1,(GMW!$NE$2:$NE$150=AL$3)*(GMW!$ND$2:$ND$150=AL$4)*(GMW!$NF$2:$NF$150=AL$1),0),$C285-1966)</f>
        <v>283446.40000000002</v>
      </c>
      <c r="AM285" s="4" cm="1">
        <f t="array" ref="AM285">INDEX(GMW!$A$2:$NF$150,MATCH(1,(GMW!$NE$2:$NE$150=AM$3)*(GMW!$ND$2:$ND$150=AM$4)*(GMW!$NF$2:$NF$150=AM$1),0),$C285-1966)</f>
        <v>152019.5</v>
      </c>
      <c r="AN285" s="4" cm="1">
        <f t="array" ref="AN285">INDEX(GMW!$A$2:$NF$150,MATCH(1,(GMW!$NE$2:$NE$150=AN$3)*(GMW!$ND$2:$ND$150=AN$4)*(GMW!$NF$2:$NF$150=AN$1),0),$C285-1966)</f>
        <v>163642.4</v>
      </c>
      <c r="AO285" s="4" cm="1">
        <f t="array" ref="AO285">INDEX(GMW!$A$2:$NF$150,MATCH(1,(GMW!$NE$2:$NE$150=AO$3)*(GMW!$ND$2:$ND$150=AO$4)*(GMW!$NF$2:$NF$150=AO$1),0),$C285-1966)</f>
        <v>95802</v>
      </c>
      <c r="AP285" s="4" cm="1">
        <f t="array" ref="AP285">INDEX(GMW!$A$2:$NF$150,MATCH(1,(GMW!$NE$2:$NE$150=AP$3)*(GMW!$ND$2:$ND$150=AP$4)*(GMW!$NF$2:$NF$150=AP$1),0),$C285-1966)</f>
        <v>847353.9</v>
      </c>
      <c r="AQ285" s="4" cm="1">
        <f t="array" ref="AQ285">INDEX(GMW!$A$2:$NF$150,MATCH(1,(GMW!$NE$2:$NE$150=AQ$3)*(GMW!$ND$2:$ND$150=AQ$4)*(GMW!$NF$2:$NF$150=AQ$1),0),$C285-1966)</f>
        <v>38103.31</v>
      </c>
      <c r="AR285" s="4" cm="1">
        <f t="array" ref="AR285">INDEX(GMW!$A$2:$NF$150,MATCH(1,(GMW!$NE$2:$NE$150=AR$3)*(GMW!$ND$2:$ND$150=AR$4)*(GMW!$NF$2:$NF$150=AR$1),0),$C285-1966)</f>
        <v>31.971419999999998</v>
      </c>
      <c r="AS285" s="4" cm="1">
        <f t="array" ref="AS285">INDEX(GMW!$A$2:$NF$150,MATCH(1,(GMW!$NE$2:$NE$150=AS$3)*(GMW!$ND$2:$ND$150=AS$4)*(GMW!$NF$2:$NF$150=AS$1),0),$C285-1966)</f>
        <v>691776.8</v>
      </c>
      <c r="AT285" s="4" cm="1">
        <f t="array" ref="AT285">INDEX(GMW!$A$2:$NF$150,MATCH(1,(GMW!$NE$2:$NE$150=AT$3)*(GMW!$ND$2:$ND$150=AT$4)*(GMW!$NF$2:$NF$150=AT$1),0),$C285-1966)</f>
        <v>46297.26</v>
      </c>
      <c r="AU285" s="4" cm="1">
        <f t="array" ref="AU285">INDEX(GMW!$A$2:$NF$150,MATCH(1,(GMW!$NE$2:$NE$150=AU$3)*(GMW!$ND$2:$ND$150=AU$4)*(GMW!$NF$2:$NF$150=AU$1),0),$C285-1966)</f>
        <v>4541329</v>
      </c>
      <c r="AV285" s="4" cm="1">
        <f t="array" ref="AV285">INDEX(GMW!$A$2:$NF$150,MATCH(1,(GMW!$NE$2:$NE$150=AV$3)*(GMW!$ND$2:$ND$150=AV$4)*(GMW!$NF$2:$NF$150=AV$1),0),$C285-1966)</f>
        <v>-1.633108</v>
      </c>
    </row>
    <row r="286" spans="1:48" x14ac:dyDescent="0.25">
      <c r="B286" s="4">
        <f t="shared" si="12"/>
        <v>2042</v>
      </c>
      <c r="C286" s="4">
        <f t="shared" si="11"/>
        <v>2252</v>
      </c>
      <c r="D286" s="4" cm="1">
        <f t="array" ref="D286">INDEX(GMW!$A$2:$NF$150,MATCH(1,(GMW!$NE$2:$NE$150=D$3)*(GMW!$ND$2:$ND$150=D$4)*(GMW!$NF$2:$NF$150=D$1),0),$C286-1966)</f>
        <v>844871.2</v>
      </c>
      <c r="E286" s="4" cm="1">
        <f t="array" ref="E286">INDEX(GMW!$A$2:$NF$150,MATCH(1,(GMW!$NE$2:$NE$150=E$3)*(GMW!$ND$2:$ND$150=E$4)*(GMW!$NF$2:$NF$150=E$1),0),$C286-1966)</f>
        <v>196.96180000000001</v>
      </c>
      <c r="F286" s="4" cm="1">
        <f t="array" ref="F286">INDEX(GMW!$A$2:$NF$150,MATCH(1,(GMW!$NE$2:$NE$150=F$3)*(GMW!$ND$2:$ND$150=F$4)*(GMW!$NF$2:$NF$150=F$1),0),$C286-1966)</f>
        <v>260951.2</v>
      </c>
      <c r="G286" s="4" cm="1">
        <f t="array" ref="G286">INDEX(GMW!$A$2:$NF$150,MATCH(1,(GMW!$NE$2:$NE$150=G$3)*(GMW!$ND$2:$ND$150=G$4)*(GMW!$NF$2:$NF$150=G$1),0),$C286-1966)</f>
        <v>87068.76</v>
      </c>
      <c r="H286" s="4" cm="1">
        <f t="array" ref="H286">INDEX(GMW!$A$2:$NF$150,MATCH(1,(GMW!$NE$2:$NE$150=H$3)*(GMW!$ND$2:$ND$150=H$4)*(GMW!$NF$2:$NF$150=H$1),0),$C286-1966)</f>
        <v>289670.09999999998</v>
      </c>
      <c r="I286" s="4" cm="1">
        <f t="array" ref="I286">INDEX(GMW!$A$2:$NF$150,MATCH(1,(GMW!$NE$2:$NE$150=I$3)*(GMW!$ND$2:$ND$150=I$4)*(GMW!$NF$2:$NF$150=I$1),0),$C286-1966)</f>
        <v>155350.20000000001</v>
      </c>
      <c r="J286" s="4" cm="1">
        <f t="array" ref="J286">INDEX(GMW!$A$2:$NF$150,MATCH(1,(GMW!$NE$2:$NE$150=J$3)*(GMW!$ND$2:$ND$150=J$4)*(GMW!$NF$2:$NF$150=J$1),0),$C286-1966)</f>
        <v>161968.6</v>
      </c>
      <c r="K286" s="4" cm="1">
        <f t="array" ref="K286">INDEX(GMW!$A$2:$NF$150,MATCH(1,(GMW!$NE$2:$NE$150=K$3)*(GMW!$ND$2:$ND$150=K$4)*(GMW!$NF$2:$NF$150=K$1),0),$C286-1966)</f>
        <v>92052.66</v>
      </c>
      <c r="L286" s="4" cm="1">
        <f t="array" ref="L286">INDEX(GMW!$A$2:$NF$150,MATCH(1,(GMW!$NE$2:$NE$150=L$3)*(GMW!$ND$2:$ND$150=L$4)*(GMW!$NF$2:$NF$150=L$1),0),$C286-1966)</f>
        <v>844871.9</v>
      </c>
      <c r="M286" s="4" cm="1">
        <f t="array" ref="M286">INDEX(GMW!$A$2:$NF$150,MATCH(1,(GMW!$NE$2:$NE$150=M$3)*(GMW!$ND$2:$ND$150=M$4)*(GMW!$NF$2:$NF$150=M$1),0),$C286-1966)</f>
        <v>38377.910000000003</v>
      </c>
      <c r="N286" s="4" cm="1">
        <f t="array" ref="N286">INDEX(GMW!$A$2:$NF$150,MATCH(1,(GMW!$NE$2:$NE$150=N$3)*(GMW!$ND$2:$ND$150=N$4)*(GMW!$NF$2:$NF$150=N$1),0),$C286-1966)</f>
        <v>31.970669999999998</v>
      </c>
      <c r="O286" s="4" cm="1">
        <f t="array" ref="O286">INDEX(GMW!$A$2:$NF$150,MATCH(1,(GMW!$NE$2:$NE$150=O$3)*(GMW!$ND$2:$ND$150=O$4)*(GMW!$NF$2:$NF$150=O$1),0),$C286-1966)</f>
        <v>695142.1</v>
      </c>
      <c r="P286" s="4" cm="1">
        <f t="array" ref="P286">INDEX(GMW!$A$2:$NF$150,MATCH(1,(GMW!$NE$2:$NE$150=P$3)*(GMW!$ND$2:$ND$150=P$4)*(GMW!$NF$2:$NF$150=P$1),0),$C286-1966)</f>
        <v>46504.29</v>
      </c>
      <c r="Q286" s="4" cm="1">
        <f t="array" ref="Q286">INDEX(GMW!$A$2:$NF$150,MATCH(1,(GMW!$NE$2:$NE$150=Q$3)*(GMW!$ND$2:$ND$150=Q$4)*(GMW!$NF$2:$NF$150=Q$1),0),$C286-1966)</f>
        <v>4472769</v>
      </c>
      <c r="R286" s="4" cm="1">
        <f t="array" ref="R286">INDEX(GMW!$A$2:$NF$150,MATCH(1,(GMW!$NE$2:$NE$150=R$3)*(GMW!$ND$2:$ND$150=R$4)*(GMW!$NF$2:$NF$150=R$1),0),$C286-1966)</f>
        <v>-1.635489</v>
      </c>
      <c r="S286" s="4" cm="1">
        <f t="array" ref="S286">INDEX(GMW!$A$2:$NF$150,MATCH(1,(GMW!$NE$2:$NE$150=S$3)*(GMW!$ND$2:$ND$150=S$4)*(GMW!$NF$2:$NF$150=S$1),0),$C286-1966)</f>
        <v>852092.3</v>
      </c>
      <c r="T286" s="4" cm="1">
        <f t="array" ref="T286">INDEX(GMW!$A$2:$NF$150,MATCH(1,(GMW!$NE$2:$NE$150=T$3)*(GMW!$ND$2:$ND$150=T$4)*(GMW!$NF$2:$NF$150=T$1),0),$C286-1966)</f>
        <v>196.8244</v>
      </c>
      <c r="U286" s="4" cm="1">
        <f t="array" ref="U286">INDEX(GMW!$A$2:$NF$150,MATCH(1,(GMW!$NE$2:$NE$150=U$3)*(GMW!$ND$2:$ND$150=U$4)*(GMW!$NF$2:$NF$150=U$1),0),$C286-1966)</f>
        <v>250086.5</v>
      </c>
      <c r="V286" s="4" cm="1">
        <f t="array" ref="V286">INDEX(GMW!$A$2:$NF$150,MATCH(1,(GMW!$NE$2:$NE$150=V$3)*(GMW!$ND$2:$ND$150=V$4)*(GMW!$NF$2:$NF$150=V$1),0),$C286-1966)</f>
        <v>91747.91</v>
      </c>
      <c r="W286" s="4" cm="1">
        <f t="array" ref="W286">INDEX(GMW!$A$2:$NF$150,MATCH(1,(GMW!$NE$2:$NE$150=W$3)*(GMW!$ND$2:$ND$150=W$4)*(GMW!$NF$2:$NF$150=W$1),0),$C286-1966)</f>
        <v>280651.90000000002</v>
      </c>
      <c r="X286" s="4" cm="1">
        <f t="array" ref="X286">INDEX(GMW!$A$2:$NF$150,MATCH(1,(GMW!$NE$2:$NE$150=X$3)*(GMW!$ND$2:$ND$150=X$4)*(GMW!$NF$2:$NF$150=X$1),0),$C286-1966)</f>
        <v>149381.79999999999</v>
      </c>
      <c r="Y286" s="4" cm="1">
        <f t="array" ref="Y286">INDEX(GMW!$A$2:$NF$150,MATCH(1,(GMW!$NE$2:$NE$150=Y$3)*(GMW!$ND$2:$ND$150=Y$4)*(GMW!$NF$2:$NF$150=Y$1),0),$C286-1966)</f>
        <v>164794.79999999999</v>
      </c>
      <c r="Z286" s="4" cm="1">
        <f t="array" ref="Z286">INDEX(GMW!$A$2:$NF$150,MATCH(1,(GMW!$NE$2:$NE$150=Z$3)*(GMW!$ND$2:$ND$150=Z$4)*(GMW!$NF$2:$NF$150=Z$1),0),$C286-1966)</f>
        <v>95260.3</v>
      </c>
      <c r="AA286" s="4" cm="1">
        <f t="array" ref="AA286">INDEX(GMW!$A$2:$NF$150,MATCH(1,(GMW!$NE$2:$NE$150=AA$3)*(GMW!$ND$2:$ND$150=AA$4)*(GMW!$NF$2:$NF$150=AA$1),0),$C286-1966)</f>
        <v>852092.1</v>
      </c>
      <c r="AB286" s="4" cm="1">
        <f t="array" ref="AB286">INDEX(GMW!$A$2:$NF$150,MATCH(1,(GMW!$NE$2:$NE$150=AB$3)*(GMW!$ND$2:$ND$150=AB$4)*(GMW!$NF$2:$NF$150=AB$1),0),$C286-1966)</f>
        <v>38377.910000000003</v>
      </c>
      <c r="AC286" s="4" cm="1">
        <f t="array" ref="AC286">INDEX(GMW!$A$2:$NF$150,MATCH(1,(GMW!$NE$2:$NE$150=AC$3)*(GMW!$ND$2:$ND$150=AC$4)*(GMW!$NF$2:$NF$150=AC$1),0),$C286-1966)</f>
        <v>31.970669999999998</v>
      </c>
      <c r="AD286" s="4" cm="1">
        <f t="array" ref="AD286">INDEX(GMW!$A$2:$NF$150,MATCH(1,(GMW!$NE$2:$NE$150=AD$3)*(GMW!$ND$2:$ND$150=AD$4)*(GMW!$NF$2:$NF$150=AD$1),0),$C286-1966)</f>
        <v>695142.1</v>
      </c>
      <c r="AE286" s="4" cm="1">
        <f t="array" ref="AE286">INDEX(GMW!$A$2:$NF$150,MATCH(1,(GMW!$NE$2:$NE$150=AE$3)*(GMW!$ND$2:$ND$150=AE$4)*(GMW!$NF$2:$NF$150=AE$1),0),$C286-1966)</f>
        <v>46504.29</v>
      </c>
      <c r="AF286" s="4" cm="1">
        <f t="array" ref="AF286">INDEX(GMW!$A$2:$NF$150,MATCH(1,(GMW!$NE$2:$NE$150=AF$3)*(GMW!$ND$2:$ND$150=AF$4)*(GMW!$NF$2:$NF$150=AF$1),0),$C286-1966)</f>
        <v>4556381</v>
      </c>
      <c r="AG286" s="4" cm="1">
        <f t="array" ref="AG286">INDEX(GMW!$A$2:$NF$150,MATCH(1,(GMW!$NE$2:$NE$150=AG$3)*(GMW!$ND$2:$ND$150=AG$4)*(GMW!$NF$2:$NF$150=AG$1),0),$C286-1966)</f>
        <v>-1.6334340000000001</v>
      </c>
      <c r="AH286" s="4" cm="1">
        <f t="array" ref="AH286">INDEX(GMW!$A$2:$NF$150,MATCH(1,(GMW!$NE$2:$NE$150=AH$3)*(GMW!$ND$2:$ND$150=AH$4)*(GMW!$NF$2:$NF$150=AH$1),0),$C286-1966)</f>
        <v>850585.2</v>
      </c>
      <c r="AI286" s="4" cm="1">
        <f t="array" ref="AI286">INDEX(GMW!$A$2:$NF$150,MATCH(1,(GMW!$NE$2:$NE$150=AI$3)*(GMW!$ND$2:$ND$150=AI$4)*(GMW!$NF$2:$NF$150=AI$1),0),$C286-1966)</f>
        <v>195.57589999999999</v>
      </c>
      <c r="AJ286" s="4" cm="1">
        <f t="array" ref="AJ286">INDEX(GMW!$A$2:$NF$150,MATCH(1,(GMW!$NE$2:$NE$150=AJ$3)*(GMW!$ND$2:$ND$150=AJ$4)*(GMW!$NF$2:$NF$150=AJ$1),0),$C286-1966)</f>
        <v>254827.5</v>
      </c>
      <c r="AK286" s="4" cm="1">
        <f t="array" ref="AK286">INDEX(GMW!$A$2:$NF$150,MATCH(1,(GMW!$NE$2:$NE$150=AK$3)*(GMW!$ND$2:$ND$150=AK$4)*(GMW!$NF$2:$NF$150=AK$1),0),$C286-1966)</f>
        <v>94323.33</v>
      </c>
      <c r="AL286" s="4" cm="1">
        <f t="array" ref="AL286">INDEX(GMW!$A$2:$NF$150,MATCH(1,(GMW!$NE$2:$NE$150=AL$3)*(GMW!$ND$2:$ND$150=AL$4)*(GMW!$NF$2:$NF$150=AL$1),0),$C286-1966)</f>
        <v>284508.5</v>
      </c>
      <c r="AM286" s="4" cm="1">
        <f t="array" ref="AM286">INDEX(GMW!$A$2:$NF$150,MATCH(1,(GMW!$NE$2:$NE$150=AM$3)*(GMW!$ND$2:$ND$150=AM$4)*(GMW!$NF$2:$NF$150=AM$1),0),$C286-1966)</f>
        <v>152568.6</v>
      </c>
      <c r="AN286" s="4" cm="1">
        <f t="array" ref="AN286">INDEX(GMW!$A$2:$NF$150,MATCH(1,(GMW!$NE$2:$NE$150=AN$3)*(GMW!$ND$2:$ND$150=AN$4)*(GMW!$NF$2:$NF$150=AN$1),0),$C286-1966)</f>
        <v>164435</v>
      </c>
      <c r="AO286" s="4" cm="1">
        <f t="array" ref="AO286">INDEX(GMW!$A$2:$NF$150,MATCH(1,(GMW!$NE$2:$NE$150=AO$3)*(GMW!$ND$2:$ND$150=AO$4)*(GMW!$NF$2:$NF$150=AO$1),0),$C286-1966)</f>
        <v>96301.33</v>
      </c>
      <c r="AP286" s="4" cm="1">
        <f t="array" ref="AP286">INDEX(GMW!$A$2:$NF$150,MATCH(1,(GMW!$NE$2:$NE$150=AP$3)*(GMW!$ND$2:$ND$150=AP$4)*(GMW!$NF$2:$NF$150=AP$1),0),$C286-1966)</f>
        <v>850585.2</v>
      </c>
      <c r="AQ286" s="4" cm="1">
        <f t="array" ref="AQ286">INDEX(GMW!$A$2:$NF$150,MATCH(1,(GMW!$NE$2:$NE$150=AQ$3)*(GMW!$ND$2:$ND$150=AQ$4)*(GMW!$NF$2:$NF$150=AQ$1),0),$C286-1966)</f>
        <v>38138.120000000003</v>
      </c>
      <c r="AR286" s="4" cm="1">
        <f t="array" ref="AR286">INDEX(GMW!$A$2:$NF$150,MATCH(1,(GMW!$NE$2:$NE$150=AR$3)*(GMW!$ND$2:$ND$150=AR$4)*(GMW!$NF$2:$NF$150=AR$1),0),$C286-1966)</f>
        <v>31.970669999999998</v>
      </c>
      <c r="AS286" s="4" cm="1">
        <f t="array" ref="AS286">INDEX(GMW!$A$2:$NF$150,MATCH(1,(GMW!$NE$2:$NE$150=AS$3)*(GMW!$ND$2:$ND$150=AS$4)*(GMW!$NF$2:$NF$150=AS$1),0),$C286-1966)</f>
        <v>692798.6</v>
      </c>
      <c r="AT286" s="4" cm="1">
        <f t="array" ref="AT286">INDEX(GMW!$A$2:$NF$150,MATCH(1,(GMW!$NE$2:$NE$150=AT$3)*(GMW!$ND$2:$ND$150=AT$4)*(GMW!$NF$2:$NF$150=AT$1),0),$C286-1966)</f>
        <v>46333.38</v>
      </c>
      <c r="AU286" s="4" cm="1">
        <f t="array" ref="AU286">INDEX(GMW!$A$2:$NF$150,MATCH(1,(GMW!$NE$2:$NE$150=AU$3)*(GMW!$ND$2:$ND$150=AU$4)*(GMW!$NF$2:$NF$150=AU$1),0),$C286-1966)</f>
        <v>4563601</v>
      </c>
      <c r="AV286" s="4" cm="1">
        <f t="array" ref="AV286">INDEX(GMW!$A$2:$NF$150,MATCH(1,(GMW!$NE$2:$NE$150=AV$3)*(GMW!$ND$2:$ND$150=AV$4)*(GMW!$NF$2:$NF$150=AV$1),0),$C286-1966)</f>
        <v>-1.6318010000000001</v>
      </c>
    </row>
    <row r="287" spans="1:48" x14ac:dyDescent="0.25">
      <c r="A287" s="4">
        <v>2043</v>
      </c>
      <c r="B287" s="4">
        <f t="shared" si="12"/>
        <v>2043</v>
      </c>
      <c r="C287" s="4">
        <f t="shared" si="11"/>
        <v>2253</v>
      </c>
      <c r="D287" s="4" cm="1">
        <f t="array" ref="D287">INDEX(GMW!$A$2:$NF$150,MATCH(1,(GMW!$NE$2:$NE$150=D$3)*(GMW!$ND$2:$ND$150=D$4)*(GMW!$NF$2:$NF$150=D$1),0),$C287-1966)</f>
        <v>848259.3</v>
      </c>
      <c r="E287" s="4" cm="1">
        <f t="array" ref="E287">INDEX(GMW!$A$2:$NF$150,MATCH(1,(GMW!$NE$2:$NE$150=E$3)*(GMW!$ND$2:$ND$150=E$4)*(GMW!$NF$2:$NF$150=E$1),0),$C287-1966)</f>
        <v>197.36500000000001</v>
      </c>
      <c r="F287" s="4" cm="1">
        <f t="array" ref="F287">INDEX(GMW!$A$2:$NF$150,MATCH(1,(GMW!$NE$2:$NE$150=F$3)*(GMW!$ND$2:$ND$150=F$4)*(GMW!$NF$2:$NF$150=F$1),0),$C287-1966)</f>
        <v>261919.5</v>
      </c>
      <c r="G287" s="4" cm="1">
        <f t="array" ref="G287">INDEX(GMW!$A$2:$NF$150,MATCH(1,(GMW!$NE$2:$NE$150=G$3)*(GMW!$ND$2:$ND$150=G$4)*(GMW!$NF$2:$NF$150=G$1),0),$C287-1966)</f>
        <v>87347.4</v>
      </c>
      <c r="H287" s="4" cm="1">
        <f t="array" ref="H287">INDEX(GMW!$A$2:$NF$150,MATCH(1,(GMW!$NE$2:$NE$150=H$3)*(GMW!$ND$2:$ND$150=H$4)*(GMW!$NF$2:$NF$150=H$1),0),$C287-1966)</f>
        <v>290826.09999999998</v>
      </c>
      <c r="I287" s="4" cm="1">
        <f t="array" ref="I287">INDEX(GMW!$A$2:$NF$150,MATCH(1,(GMW!$NE$2:$NE$150=I$3)*(GMW!$ND$2:$ND$150=I$4)*(GMW!$NF$2:$NF$150=I$1),0),$C287-1966)</f>
        <v>155945.29999999999</v>
      </c>
      <c r="J287" s="4" cm="1">
        <f t="array" ref="J287">INDEX(GMW!$A$2:$NF$150,MATCH(1,(GMW!$NE$2:$NE$150=J$3)*(GMW!$ND$2:$ND$150=J$4)*(GMW!$NF$2:$NF$150=J$1),0),$C287-1966)</f>
        <v>162792.9</v>
      </c>
      <c r="K287" s="4" cm="1">
        <f t="array" ref="K287">INDEX(GMW!$A$2:$NF$150,MATCH(1,(GMW!$NE$2:$NE$150=K$3)*(GMW!$ND$2:$ND$150=K$4)*(GMW!$NF$2:$NF$150=K$1),0),$C287-1966)</f>
        <v>92559.9</v>
      </c>
      <c r="L287" s="4" cm="1">
        <f t="array" ref="L287">INDEX(GMW!$A$2:$NF$150,MATCH(1,(GMW!$NE$2:$NE$150=L$3)*(GMW!$ND$2:$ND$150=L$4)*(GMW!$NF$2:$NF$150=L$1),0),$C287-1966)</f>
        <v>848258.7</v>
      </c>
      <c r="M287" s="4" cm="1">
        <f t="array" ref="M287">INDEX(GMW!$A$2:$NF$150,MATCH(1,(GMW!$NE$2:$NE$150=M$3)*(GMW!$ND$2:$ND$150=M$4)*(GMW!$NF$2:$NF$150=M$1),0),$C287-1966)</f>
        <v>38424.68</v>
      </c>
      <c r="N287" s="4" cm="1">
        <f t="array" ref="N287">INDEX(GMW!$A$2:$NF$150,MATCH(1,(GMW!$NE$2:$NE$150=N$3)*(GMW!$ND$2:$ND$150=N$4)*(GMW!$NF$2:$NF$150=N$1),0),$C287-1966)</f>
        <v>31.969919999999998</v>
      </c>
      <c r="O287" s="4" cm="1">
        <f t="array" ref="O287">INDEX(GMW!$A$2:$NF$150,MATCH(1,(GMW!$NE$2:$NE$150=O$3)*(GMW!$ND$2:$ND$150=O$4)*(GMW!$NF$2:$NF$150=O$1),0),$C287-1966)</f>
        <v>696048.6</v>
      </c>
      <c r="P287" s="4" cm="1">
        <f t="array" ref="P287">INDEX(GMW!$A$2:$NF$150,MATCH(1,(GMW!$NE$2:$NE$150=P$3)*(GMW!$ND$2:$ND$150=P$4)*(GMW!$NF$2:$NF$150=P$1),0),$C287-1966)</f>
        <v>46532.91</v>
      </c>
      <c r="Q287" s="4" cm="1">
        <f t="array" ref="Q287">INDEX(GMW!$A$2:$NF$150,MATCH(1,(GMW!$NE$2:$NE$150=Q$3)*(GMW!$ND$2:$ND$150=Q$4)*(GMW!$NF$2:$NF$150=Q$1),0),$C287-1966)</f>
        <v>4494744</v>
      </c>
      <c r="R287" s="4" cm="1">
        <f t="array" ref="R287">INDEX(GMW!$A$2:$NF$150,MATCH(1,(GMW!$NE$2:$NE$150=R$3)*(GMW!$ND$2:$ND$150=R$4)*(GMW!$NF$2:$NF$150=R$1),0),$C287-1966)</f>
        <v>-1.6341810000000001</v>
      </c>
      <c r="S287" s="4" cm="1">
        <f t="array" ref="S287">INDEX(GMW!$A$2:$NF$150,MATCH(1,(GMW!$NE$2:$NE$150=S$3)*(GMW!$ND$2:$ND$150=S$4)*(GMW!$NF$2:$NF$150=S$1),0),$C287-1966)</f>
        <v>855530.8</v>
      </c>
      <c r="T287" s="4" cm="1">
        <f t="array" ref="T287">INDEX(GMW!$A$2:$NF$150,MATCH(1,(GMW!$NE$2:$NE$150=T$3)*(GMW!$ND$2:$ND$150=T$4)*(GMW!$NF$2:$NF$150=T$1),0),$C287-1966)</f>
        <v>197.1566</v>
      </c>
      <c r="U287" s="4" cm="1">
        <f t="array" ref="U287">INDEX(GMW!$A$2:$NF$150,MATCH(1,(GMW!$NE$2:$NE$150=U$3)*(GMW!$ND$2:$ND$150=U$4)*(GMW!$NF$2:$NF$150=U$1),0),$C287-1966)</f>
        <v>251006.3</v>
      </c>
      <c r="V287" s="4" cm="1">
        <f t="array" ref="V287">INDEX(GMW!$A$2:$NF$150,MATCH(1,(GMW!$NE$2:$NE$150=V$3)*(GMW!$ND$2:$ND$150=V$4)*(GMW!$NF$2:$NF$150=V$1),0),$C287-1966)</f>
        <v>92043.83</v>
      </c>
      <c r="W287" s="4" cm="1">
        <f t="array" ref="W287">INDEX(GMW!$A$2:$NF$150,MATCH(1,(GMW!$NE$2:$NE$150=W$3)*(GMW!$ND$2:$ND$150=W$4)*(GMW!$NF$2:$NF$150=W$1),0),$C287-1966)</f>
        <v>281769.59999999998</v>
      </c>
      <c r="X287" s="4" cm="1">
        <f t="array" ref="X287">INDEX(GMW!$A$2:$NF$150,MATCH(1,(GMW!$NE$2:$NE$150=X$3)*(GMW!$ND$2:$ND$150=X$4)*(GMW!$NF$2:$NF$150=X$1),0),$C287-1966)</f>
        <v>149957.79999999999</v>
      </c>
      <c r="Y287" s="4" cm="1">
        <f t="array" ref="Y287">INDEX(GMW!$A$2:$NF$150,MATCH(1,(GMW!$NE$2:$NE$150=Y$3)*(GMW!$ND$2:$ND$150=Y$4)*(GMW!$NF$2:$NF$150=Y$1),0),$C287-1966)</f>
        <v>165629.20000000001</v>
      </c>
      <c r="Z287" s="4" cm="1">
        <f t="array" ref="Z287">INDEX(GMW!$A$2:$NF$150,MATCH(1,(GMW!$NE$2:$NE$150=Z$3)*(GMW!$ND$2:$ND$150=Z$4)*(GMW!$NF$2:$NF$150=Z$1),0),$C287-1966)</f>
        <v>95778.08</v>
      </c>
      <c r="AA287" s="4" cm="1">
        <f t="array" ref="AA287">INDEX(GMW!$A$2:$NF$150,MATCH(1,(GMW!$NE$2:$NE$150=AA$3)*(GMW!$ND$2:$ND$150=AA$4)*(GMW!$NF$2:$NF$150=AA$1),0),$C287-1966)</f>
        <v>855529.9</v>
      </c>
      <c r="AB287" s="4" cm="1">
        <f t="array" ref="AB287">INDEX(GMW!$A$2:$NF$150,MATCH(1,(GMW!$NE$2:$NE$150=AB$3)*(GMW!$ND$2:$ND$150=AB$4)*(GMW!$NF$2:$NF$150=AB$1),0),$C287-1966)</f>
        <v>38424.68</v>
      </c>
      <c r="AC287" s="4" cm="1">
        <f t="array" ref="AC287">INDEX(GMW!$A$2:$NF$150,MATCH(1,(GMW!$NE$2:$NE$150=AC$3)*(GMW!$ND$2:$ND$150=AC$4)*(GMW!$NF$2:$NF$150=AC$1),0),$C287-1966)</f>
        <v>31.969919999999998</v>
      </c>
      <c r="AD287" s="4" cm="1">
        <f t="array" ref="AD287">INDEX(GMW!$A$2:$NF$150,MATCH(1,(GMW!$NE$2:$NE$150=AD$3)*(GMW!$ND$2:$ND$150=AD$4)*(GMW!$NF$2:$NF$150=AD$1),0),$C287-1966)</f>
        <v>696048.6</v>
      </c>
      <c r="AE287" s="4" cm="1">
        <f t="array" ref="AE287">INDEX(GMW!$A$2:$NF$150,MATCH(1,(GMW!$NE$2:$NE$150=AE$3)*(GMW!$ND$2:$ND$150=AE$4)*(GMW!$NF$2:$NF$150=AE$1),0),$C287-1966)</f>
        <v>46532.91</v>
      </c>
      <c r="AF287" s="4" cm="1">
        <f t="array" ref="AF287">INDEX(GMW!$A$2:$NF$150,MATCH(1,(GMW!$NE$2:$NE$150=AF$3)*(GMW!$ND$2:$ND$150=AF$4)*(GMW!$NF$2:$NF$150=AF$1),0),$C287-1966)</f>
        <v>4579090</v>
      </c>
      <c r="AG287" s="4" cm="1">
        <f t="array" ref="AG287">INDEX(GMW!$A$2:$NF$150,MATCH(1,(GMW!$NE$2:$NE$150=AG$3)*(GMW!$ND$2:$ND$150=AG$4)*(GMW!$NF$2:$NF$150=AG$1),0),$C287-1966)</f>
        <v>-1.6321270000000001</v>
      </c>
      <c r="AH287" s="4" cm="1">
        <f t="array" ref="AH287">INDEX(GMW!$A$2:$NF$150,MATCH(1,(GMW!$NE$2:$NE$150=AH$3)*(GMW!$ND$2:$ND$150=AH$4)*(GMW!$NF$2:$NF$150=AH$1),0),$C287-1966)</f>
        <v>853826.3</v>
      </c>
      <c r="AI287" s="4" cm="1">
        <f t="array" ref="AI287">INDEX(GMW!$A$2:$NF$150,MATCH(1,(GMW!$NE$2:$NE$150=AI$3)*(GMW!$ND$2:$ND$150=AI$4)*(GMW!$NF$2:$NF$150=AI$1),0),$C287-1966)</f>
        <v>195.94720000000001</v>
      </c>
      <c r="AJ287" s="4" cm="1">
        <f t="array" ref="AJ287">INDEX(GMW!$A$2:$NF$150,MATCH(1,(GMW!$NE$2:$NE$150=AJ$3)*(GMW!$ND$2:$ND$150=AJ$4)*(GMW!$NF$2:$NF$150=AJ$1),0),$C287-1966)</f>
        <v>255699.5</v>
      </c>
      <c r="AK287" s="4" cm="1">
        <f t="array" ref="AK287">INDEX(GMW!$A$2:$NF$150,MATCH(1,(GMW!$NE$2:$NE$150=AK$3)*(GMW!$ND$2:$ND$150=AK$4)*(GMW!$NF$2:$NF$150=AK$1),0),$C287-1966)</f>
        <v>94607.28</v>
      </c>
      <c r="AL287" s="4" cm="1">
        <f t="array" ref="AL287">INDEX(GMW!$A$2:$NF$150,MATCH(1,(GMW!$NE$2:$NE$150=AL$3)*(GMW!$ND$2:$ND$150=AL$4)*(GMW!$NF$2:$NF$150=AL$1),0),$C287-1966)</f>
        <v>285574.5</v>
      </c>
      <c r="AM287" s="4" cm="1">
        <f t="array" ref="AM287">INDEX(GMW!$A$2:$NF$150,MATCH(1,(GMW!$NE$2:$NE$150=AM$3)*(GMW!$ND$2:$ND$150=AM$4)*(GMW!$NF$2:$NF$150=AM$1),0),$C287-1966)</f>
        <v>153119.4</v>
      </c>
      <c r="AN287" s="4" cm="1">
        <f t="array" ref="AN287">INDEX(GMW!$A$2:$NF$150,MATCH(1,(GMW!$NE$2:$NE$150=AN$3)*(GMW!$ND$2:$ND$150=AN$4)*(GMW!$NF$2:$NF$150=AN$1),0),$C287-1966)</f>
        <v>165231.20000000001</v>
      </c>
      <c r="AO287" s="4" cm="1">
        <f t="array" ref="AO287">INDEX(GMW!$A$2:$NF$150,MATCH(1,(GMW!$NE$2:$NE$150=AO$3)*(GMW!$ND$2:$ND$150=AO$4)*(GMW!$NF$2:$NF$150=AO$1),0),$C287-1966)</f>
        <v>96803.1</v>
      </c>
      <c r="AP287" s="4" cm="1">
        <f t="array" ref="AP287">INDEX(GMW!$A$2:$NF$150,MATCH(1,(GMW!$NE$2:$NE$150=AP$3)*(GMW!$ND$2:$ND$150=AP$4)*(GMW!$NF$2:$NF$150=AP$1),0),$C287-1966)</f>
        <v>853826.3</v>
      </c>
      <c r="AQ287" s="4" cm="1">
        <f t="array" ref="AQ287">INDEX(GMW!$A$2:$NF$150,MATCH(1,(GMW!$NE$2:$NE$150=AQ$3)*(GMW!$ND$2:$ND$150=AQ$4)*(GMW!$NF$2:$NF$150=AQ$1),0),$C287-1966)</f>
        <v>38172.92</v>
      </c>
      <c r="AR287" s="4" cm="1">
        <f t="array" ref="AR287">INDEX(GMW!$A$2:$NF$150,MATCH(1,(GMW!$NE$2:$NE$150=AR$3)*(GMW!$ND$2:$ND$150=AR$4)*(GMW!$NF$2:$NF$150=AR$1),0),$C287-1966)</f>
        <v>31.969919999999998</v>
      </c>
      <c r="AS287" s="4" cm="1">
        <f t="array" ref="AS287">INDEX(GMW!$A$2:$NF$150,MATCH(1,(GMW!$NE$2:$NE$150=AS$3)*(GMW!$ND$2:$ND$150=AS$4)*(GMW!$NF$2:$NF$150=AS$1),0),$C287-1966)</f>
        <v>693819.1</v>
      </c>
      <c r="AT287" s="4" cm="1">
        <f t="array" ref="AT287">INDEX(GMW!$A$2:$NF$150,MATCH(1,(GMW!$NE$2:$NE$150=AT$3)*(GMW!$ND$2:$ND$150=AT$4)*(GMW!$NF$2:$NF$150=AT$1),0),$C287-1966)</f>
        <v>46369.49</v>
      </c>
      <c r="AU287" s="4" cm="1">
        <f t="array" ref="AU287">INDEX(GMW!$A$2:$NF$150,MATCH(1,(GMW!$NE$2:$NE$150=AU$3)*(GMW!$ND$2:$ND$150=AU$4)*(GMW!$NF$2:$NF$150=AU$1),0),$C287-1966)</f>
        <v>4585995</v>
      </c>
      <c r="AV287" s="4" cm="1">
        <f t="array" ref="AV287">INDEX(GMW!$A$2:$NF$150,MATCH(1,(GMW!$NE$2:$NE$150=AV$3)*(GMW!$ND$2:$ND$150=AV$4)*(GMW!$NF$2:$NF$150=AV$1),0),$C287-1966)</f>
        <v>-1.6304959999999999</v>
      </c>
    </row>
    <row r="288" spans="1:48" x14ac:dyDescent="0.25">
      <c r="B288" s="4">
        <f t="shared" si="12"/>
        <v>2043</v>
      </c>
      <c r="C288" s="4">
        <f t="shared" si="11"/>
        <v>2254</v>
      </c>
      <c r="D288" s="4" cm="1">
        <f t="array" ref="D288">INDEX(GMW!$A$2:$NF$150,MATCH(1,(GMW!$NE$2:$NE$150=D$3)*(GMW!$ND$2:$ND$150=D$4)*(GMW!$NF$2:$NF$150=D$1),0),$C288-1966)</f>
        <v>851662.4</v>
      </c>
      <c r="E288" s="4" cm="1">
        <f t="array" ref="E288">INDEX(GMW!$A$2:$NF$150,MATCH(1,(GMW!$NE$2:$NE$150=E$3)*(GMW!$ND$2:$ND$150=E$4)*(GMW!$NF$2:$NF$150=E$1),0),$C288-1966)</f>
        <v>199.1146</v>
      </c>
      <c r="F288" s="4" cm="1">
        <f t="array" ref="F288">INDEX(GMW!$A$2:$NF$150,MATCH(1,(GMW!$NE$2:$NE$150=F$3)*(GMW!$ND$2:$ND$150=F$4)*(GMW!$NF$2:$NF$150=F$1),0),$C288-1966)</f>
        <v>262892.5</v>
      </c>
      <c r="G288" s="4" cm="1">
        <f t="array" ref="G288">INDEX(GMW!$A$2:$NF$150,MATCH(1,(GMW!$NE$2:$NE$150=G$3)*(GMW!$ND$2:$ND$150=G$4)*(GMW!$NF$2:$NF$150=G$1),0),$C288-1966)</f>
        <v>87627.08</v>
      </c>
      <c r="H288" s="4" cm="1">
        <f t="array" ref="H288">INDEX(GMW!$A$2:$NF$150,MATCH(1,(GMW!$NE$2:$NE$150=H$3)*(GMW!$ND$2:$ND$150=H$4)*(GMW!$NF$2:$NF$150=H$1),0),$C288-1966)</f>
        <v>291987.40000000002</v>
      </c>
      <c r="I288" s="4" cm="1">
        <f t="array" ref="I288">INDEX(GMW!$A$2:$NF$150,MATCH(1,(GMW!$NE$2:$NE$150=I$3)*(GMW!$ND$2:$ND$150=I$4)*(GMW!$NF$2:$NF$150=I$1),0),$C288-1966)</f>
        <v>156542.79999999999</v>
      </c>
      <c r="J288" s="4" cm="1">
        <f t="array" ref="J288">INDEX(GMW!$A$2:$NF$150,MATCH(1,(GMW!$NE$2:$NE$150=J$3)*(GMW!$ND$2:$ND$150=J$4)*(GMW!$NF$2:$NF$150=J$1),0),$C288-1966)</f>
        <v>163621.70000000001</v>
      </c>
      <c r="K288" s="4" cm="1">
        <f t="array" ref="K288">INDEX(GMW!$A$2:$NF$150,MATCH(1,(GMW!$NE$2:$NE$150=K$3)*(GMW!$ND$2:$ND$150=K$4)*(GMW!$NF$2:$NF$150=K$1),0),$C288-1966)</f>
        <v>93070.080000000002</v>
      </c>
      <c r="L288" s="4" cm="1">
        <f t="array" ref="L288">INDEX(GMW!$A$2:$NF$150,MATCH(1,(GMW!$NE$2:$NE$150=L$3)*(GMW!$ND$2:$ND$150=L$4)*(GMW!$NF$2:$NF$150=L$1),0),$C288-1966)</f>
        <v>851662.3</v>
      </c>
      <c r="M288" s="4" cm="1">
        <f t="array" ref="M288">INDEX(GMW!$A$2:$NF$150,MATCH(1,(GMW!$NE$2:$NE$150=M$3)*(GMW!$ND$2:$ND$150=M$4)*(GMW!$NF$2:$NF$150=M$1),0),$C288-1966)</f>
        <v>38471.46</v>
      </c>
      <c r="N288" s="4" cm="1">
        <f t="array" ref="N288">INDEX(GMW!$A$2:$NF$150,MATCH(1,(GMW!$NE$2:$NE$150=N$3)*(GMW!$ND$2:$ND$150=N$4)*(GMW!$NF$2:$NF$150=N$1),0),$C288-1966)</f>
        <v>31.969169999999998</v>
      </c>
      <c r="O288" s="4" cm="1">
        <f t="array" ref="O288">INDEX(GMW!$A$2:$NF$150,MATCH(1,(GMW!$NE$2:$NE$150=O$3)*(GMW!$ND$2:$ND$150=O$4)*(GMW!$NF$2:$NF$150=O$1),0),$C288-1966)</f>
        <v>696954</v>
      </c>
      <c r="P288" s="4" cm="1">
        <f t="array" ref="P288">INDEX(GMW!$A$2:$NF$150,MATCH(1,(GMW!$NE$2:$NE$150=P$3)*(GMW!$ND$2:$ND$150=P$4)*(GMW!$NF$2:$NF$150=P$1),0),$C288-1966)</f>
        <v>46561.52</v>
      </c>
      <c r="Q288" s="4" cm="1">
        <f t="array" ref="Q288">INDEX(GMW!$A$2:$NF$150,MATCH(1,(GMW!$NE$2:$NE$150=Q$3)*(GMW!$ND$2:$ND$150=Q$4)*(GMW!$NF$2:$NF$150=Q$1),0),$C288-1966)</f>
        <v>4516881</v>
      </c>
      <c r="R288" s="4" cm="1">
        <f t="array" ref="R288">INDEX(GMW!$A$2:$NF$150,MATCH(1,(GMW!$NE$2:$NE$150=R$3)*(GMW!$ND$2:$ND$150=R$4)*(GMW!$NF$2:$NF$150=R$1),0),$C288-1966)</f>
        <v>-1.632873</v>
      </c>
      <c r="S288" s="4" cm="1">
        <f t="array" ref="S288">INDEX(GMW!$A$2:$NF$150,MATCH(1,(GMW!$NE$2:$NE$150=S$3)*(GMW!$ND$2:$ND$150=S$4)*(GMW!$NF$2:$NF$150=S$1),0),$C288-1966)</f>
        <v>858982.9</v>
      </c>
      <c r="T288" s="4" cm="1">
        <f t="array" ref="T288">INDEX(GMW!$A$2:$NF$150,MATCH(1,(GMW!$NE$2:$NE$150=T$3)*(GMW!$ND$2:$ND$150=T$4)*(GMW!$NF$2:$NF$150=T$1),0),$C288-1966)</f>
        <v>198.9453</v>
      </c>
      <c r="U288" s="4" cm="1">
        <f t="array" ref="U288">INDEX(GMW!$A$2:$NF$150,MATCH(1,(GMW!$NE$2:$NE$150=U$3)*(GMW!$ND$2:$ND$150=U$4)*(GMW!$NF$2:$NF$150=U$1),0),$C288-1966)</f>
        <v>251929.9</v>
      </c>
      <c r="V288" s="4" cm="1">
        <f t="array" ref="V288">INDEX(GMW!$A$2:$NF$150,MATCH(1,(GMW!$NE$2:$NE$150=V$3)*(GMW!$ND$2:$ND$150=V$4)*(GMW!$NF$2:$NF$150=V$1),0),$C288-1966)</f>
        <v>92340.68</v>
      </c>
      <c r="W288" s="4" cm="1">
        <f t="array" ref="W288">INDEX(GMW!$A$2:$NF$150,MATCH(1,(GMW!$NE$2:$NE$150=W$3)*(GMW!$ND$2:$ND$150=W$4)*(GMW!$NF$2:$NF$150=W$1),0),$C288-1966)</f>
        <v>282892</v>
      </c>
      <c r="X288" s="4" cm="1">
        <f t="array" ref="X288">INDEX(GMW!$A$2:$NF$150,MATCH(1,(GMW!$NE$2:$NE$150=X$3)*(GMW!$ND$2:$ND$150=X$4)*(GMW!$NF$2:$NF$150=X$1),0),$C288-1966)</f>
        <v>150535.9</v>
      </c>
      <c r="Y288" s="4" cm="1">
        <f t="array" ref="Y288">INDEX(GMW!$A$2:$NF$150,MATCH(1,(GMW!$NE$2:$NE$150=Y$3)*(GMW!$ND$2:$ND$150=Y$4)*(GMW!$NF$2:$NF$150=Y$1),0),$C288-1966)</f>
        <v>166467.70000000001</v>
      </c>
      <c r="Z288" s="4" cm="1">
        <f t="array" ref="Z288">INDEX(GMW!$A$2:$NF$150,MATCH(1,(GMW!$NE$2:$NE$150=Z$3)*(GMW!$ND$2:$ND$150=Z$4)*(GMW!$NF$2:$NF$150=Z$1),0),$C288-1966)</f>
        <v>96298.64</v>
      </c>
      <c r="AA288" s="4" cm="1">
        <f t="array" ref="AA288">INDEX(GMW!$A$2:$NF$150,MATCH(1,(GMW!$NE$2:$NE$150=AA$3)*(GMW!$ND$2:$ND$150=AA$4)*(GMW!$NF$2:$NF$150=AA$1),0),$C288-1966)</f>
        <v>858981.5</v>
      </c>
      <c r="AB288" s="4" cm="1">
        <f t="array" ref="AB288">INDEX(GMW!$A$2:$NF$150,MATCH(1,(GMW!$NE$2:$NE$150=AB$3)*(GMW!$ND$2:$ND$150=AB$4)*(GMW!$NF$2:$NF$150=AB$1),0),$C288-1966)</f>
        <v>38471.46</v>
      </c>
      <c r="AC288" s="4" cm="1">
        <f t="array" ref="AC288">INDEX(GMW!$A$2:$NF$150,MATCH(1,(GMW!$NE$2:$NE$150=AC$3)*(GMW!$ND$2:$ND$150=AC$4)*(GMW!$NF$2:$NF$150=AC$1),0),$C288-1966)</f>
        <v>31.969169999999998</v>
      </c>
      <c r="AD288" s="4" cm="1">
        <f t="array" ref="AD288">INDEX(GMW!$A$2:$NF$150,MATCH(1,(GMW!$NE$2:$NE$150=AD$3)*(GMW!$ND$2:$ND$150=AD$4)*(GMW!$NF$2:$NF$150=AD$1),0),$C288-1966)</f>
        <v>696954</v>
      </c>
      <c r="AE288" s="4" cm="1">
        <f t="array" ref="AE288">INDEX(GMW!$A$2:$NF$150,MATCH(1,(GMW!$NE$2:$NE$150=AE$3)*(GMW!$ND$2:$ND$150=AE$4)*(GMW!$NF$2:$NF$150=AE$1),0),$C288-1966)</f>
        <v>46561.52</v>
      </c>
      <c r="AF288" s="4" cm="1">
        <f t="array" ref="AF288">INDEX(GMW!$A$2:$NF$150,MATCH(1,(GMW!$NE$2:$NE$150=AF$3)*(GMW!$ND$2:$ND$150=AF$4)*(GMW!$NF$2:$NF$150=AF$1),0),$C288-1966)</f>
        <v>4601945</v>
      </c>
      <c r="AG288" s="4" cm="1">
        <f t="array" ref="AG288">INDEX(GMW!$A$2:$NF$150,MATCH(1,(GMW!$NE$2:$NE$150=AG$3)*(GMW!$ND$2:$ND$150=AG$4)*(GMW!$NF$2:$NF$150=AG$1),0),$C288-1966)</f>
        <v>-1.630822</v>
      </c>
      <c r="AH288" s="4" cm="1">
        <f t="array" ref="AH288">INDEX(GMW!$A$2:$NF$150,MATCH(1,(GMW!$NE$2:$NE$150=AH$3)*(GMW!$ND$2:$ND$150=AH$4)*(GMW!$NF$2:$NF$150=AH$1),0),$C288-1966)</f>
        <v>857078.4</v>
      </c>
      <c r="AI288" s="4" cm="1">
        <f t="array" ref="AI288">INDEX(GMW!$A$2:$NF$150,MATCH(1,(GMW!$NE$2:$NE$150=AI$3)*(GMW!$ND$2:$ND$150=AI$4)*(GMW!$NF$2:$NF$150=AI$1),0),$C288-1966)</f>
        <v>197.63290000000001</v>
      </c>
      <c r="AJ288" s="4" cm="1">
        <f t="array" ref="AJ288">INDEX(GMW!$A$2:$NF$150,MATCH(1,(GMW!$NE$2:$NE$150=AJ$3)*(GMW!$ND$2:$ND$150=AJ$4)*(GMW!$NF$2:$NF$150=AJ$1),0),$C288-1966)</f>
        <v>256574.7</v>
      </c>
      <c r="AK288" s="4" cm="1">
        <f t="array" ref="AK288">INDEX(GMW!$A$2:$NF$150,MATCH(1,(GMW!$NE$2:$NE$150=AK$3)*(GMW!$ND$2:$ND$150=AK$4)*(GMW!$NF$2:$NF$150=AK$1),0),$C288-1966)</f>
        <v>94891.95</v>
      </c>
      <c r="AL288" s="4" cm="1">
        <f t="array" ref="AL288">INDEX(GMW!$A$2:$NF$150,MATCH(1,(GMW!$NE$2:$NE$150=AL$3)*(GMW!$ND$2:$ND$150=AL$4)*(GMW!$NF$2:$NF$150=AL$1),0),$C288-1966)</f>
        <v>286644.5</v>
      </c>
      <c r="AM288" s="4" cm="1">
        <f t="array" ref="AM288">INDEX(GMW!$A$2:$NF$150,MATCH(1,(GMW!$NE$2:$NE$150=AM$3)*(GMW!$ND$2:$ND$150=AM$4)*(GMW!$NF$2:$NF$150=AM$1),0),$C288-1966)</f>
        <v>153672</v>
      </c>
      <c r="AN288" s="4" cm="1">
        <f t="array" ref="AN288">INDEX(GMW!$A$2:$NF$150,MATCH(1,(GMW!$NE$2:$NE$150=AN$3)*(GMW!$ND$2:$ND$150=AN$4)*(GMW!$NF$2:$NF$150=AN$1),0),$C288-1966)</f>
        <v>166031.1</v>
      </c>
      <c r="AO288" s="4" cm="1">
        <f t="array" ref="AO288">INDEX(GMW!$A$2:$NF$150,MATCH(1,(GMW!$NE$2:$NE$150=AO$3)*(GMW!$ND$2:$ND$150=AO$4)*(GMW!$NF$2:$NF$150=AO$1),0),$C288-1966)</f>
        <v>97307.34</v>
      </c>
      <c r="AP288" s="4" cm="1">
        <f t="array" ref="AP288">INDEX(GMW!$A$2:$NF$150,MATCH(1,(GMW!$NE$2:$NE$150=AP$3)*(GMW!$ND$2:$ND$150=AP$4)*(GMW!$NF$2:$NF$150=AP$1),0),$C288-1966)</f>
        <v>857077.4</v>
      </c>
      <c r="AQ288" s="4" cm="1">
        <f t="array" ref="AQ288">INDEX(GMW!$A$2:$NF$150,MATCH(1,(GMW!$NE$2:$NE$150=AQ$3)*(GMW!$ND$2:$ND$150=AQ$4)*(GMW!$NF$2:$NF$150=AQ$1),0),$C288-1966)</f>
        <v>38207.72</v>
      </c>
      <c r="AR288" s="4" cm="1">
        <f t="array" ref="AR288">INDEX(GMW!$A$2:$NF$150,MATCH(1,(GMW!$NE$2:$NE$150=AR$3)*(GMW!$ND$2:$ND$150=AR$4)*(GMW!$NF$2:$NF$150=AR$1),0),$C288-1966)</f>
        <v>31.969169999999998</v>
      </c>
      <c r="AS288" s="4" cm="1">
        <f t="array" ref="AS288">INDEX(GMW!$A$2:$NF$150,MATCH(1,(GMW!$NE$2:$NE$150=AS$3)*(GMW!$ND$2:$ND$150=AS$4)*(GMW!$NF$2:$NF$150=AS$1),0),$C288-1966)</f>
        <v>694838.8</v>
      </c>
      <c r="AT288" s="4" cm="1">
        <f t="array" ref="AT288">INDEX(GMW!$A$2:$NF$150,MATCH(1,(GMW!$NE$2:$NE$150=AT$3)*(GMW!$ND$2:$ND$150=AT$4)*(GMW!$NF$2:$NF$150=AT$1),0),$C288-1966)</f>
        <v>46405.61</v>
      </c>
      <c r="AU288" s="4" cm="1">
        <f t="array" ref="AU288">INDEX(GMW!$A$2:$NF$150,MATCH(1,(GMW!$NE$2:$NE$150=AU$3)*(GMW!$ND$2:$ND$150=AU$4)*(GMW!$NF$2:$NF$150=AU$1),0),$C288-1966)</f>
        <v>4608512</v>
      </c>
      <c r="AV288" s="4" cm="1">
        <f t="array" ref="AV288">INDEX(GMW!$A$2:$NF$150,MATCH(1,(GMW!$NE$2:$NE$150=AV$3)*(GMW!$ND$2:$ND$150=AV$4)*(GMW!$NF$2:$NF$150=AV$1),0),$C288-1966)</f>
        <v>-1.629192</v>
      </c>
    </row>
    <row r="289" spans="1:48" x14ac:dyDescent="0.25">
      <c r="B289" s="4">
        <f t="shared" si="12"/>
        <v>2043</v>
      </c>
      <c r="C289" s="4">
        <f t="shared" si="11"/>
        <v>2255</v>
      </c>
      <c r="D289" s="4" cm="1">
        <f t="array" ref="D289">INDEX(GMW!$A$2:$NF$150,MATCH(1,(GMW!$NE$2:$NE$150=D$3)*(GMW!$ND$2:$ND$150=D$4)*(GMW!$NF$2:$NF$150=D$1),0),$C289-1966)</f>
        <v>854994.2</v>
      </c>
      <c r="E289" s="4" cm="1">
        <f t="array" ref="E289">INDEX(GMW!$A$2:$NF$150,MATCH(1,(GMW!$NE$2:$NE$150=E$3)*(GMW!$ND$2:$ND$150=E$4)*(GMW!$NF$2:$NF$150=E$1),0),$C289-1966)</f>
        <v>200.0204</v>
      </c>
      <c r="F289" s="4" cm="1">
        <f t="array" ref="F289">INDEX(GMW!$A$2:$NF$150,MATCH(1,(GMW!$NE$2:$NE$150=F$3)*(GMW!$ND$2:$ND$150=F$4)*(GMW!$NF$2:$NF$150=F$1),0),$C289-1966)</f>
        <v>263843.90000000002</v>
      </c>
      <c r="G289" s="4" cm="1">
        <f t="array" ref="G289">INDEX(GMW!$A$2:$NF$150,MATCH(1,(GMW!$NE$2:$NE$150=G$3)*(GMW!$ND$2:$ND$150=G$4)*(GMW!$NF$2:$NF$150=G$1),0),$C289-1966)</f>
        <v>87898.9</v>
      </c>
      <c r="H289" s="4" cm="1">
        <f t="array" ref="H289">INDEX(GMW!$A$2:$NF$150,MATCH(1,(GMW!$NE$2:$NE$150=H$3)*(GMW!$ND$2:$ND$150=H$4)*(GMW!$NF$2:$NF$150=H$1),0),$C289-1966)</f>
        <v>293127.40000000002</v>
      </c>
      <c r="I289" s="4" cm="1">
        <f t="array" ref="I289">INDEX(GMW!$A$2:$NF$150,MATCH(1,(GMW!$NE$2:$NE$150=I$3)*(GMW!$ND$2:$ND$150=I$4)*(GMW!$NF$2:$NF$150=I$1),0),$C289-1966)</f>
        <v>157127</v>
      </c>
      <c r="J289" s="4" cm="1">
        <f t="array" ref="J289">INDEX(GMW!$A$2:$NF$150,MATCH(1,(GMW!$NE$2:$NE$150=J$3)*(GMW!$ND$2:$ND$150=J$4)*(GMW!$NF$2:$NF$150=J$1),0),$C289-1966)</f>
        <v>164438.39999999999</v>
      </c>
      <c r="K289" s="4" cm="1">
        <f t="array" ref="K289">INDEX(GMW!$A$2:$NF$150,MATCH(1,(GMW!$NE$2:$NE$150=K$3)*(GMW!$ND$2:$ND$150=K$4)*(GMW!$NF$2:$NF$150=K$1),0),$C289-1966)</f>
        <v>93573.78</v>
      </c>
      <c r="L289" s="4" cm="1">
        <f t="array" ref="L289">INDEX(GMW!$A$2:$NF$150,MATCH(1,(GMW!$NE$2:$NE$150=L$3)*(GMW!$ND$2:$ND$150=L$4)*(GMW!$NF$2:$NF$150=L$1),0),$C289-1966)</f>
        <v>854994</v>
      </c>
      <c r="M289" s="4" cm="1">
        <f t="array" ref="M289">INDEX(GMW!$A$2:$NF$150,MATCH(1,(GMW!$NE$2:$NE$150=M$3)*(GMW!$ND$2:$ND$150=M$4)*(GMW!$NF$2:$NF$150=M$1),0),$C289-1966)</f>
        <v>38512.300000000003</v>
      </c>
      <c r="N289" s="4" cm="1">
        <f t="array" ref="N289">INDEX(GMW!$A$2:$NF$150,MATCH(1,(GMW!$NE$2:$NE$150=N$3)*(GMW!$ND$2:$ND$150=N$4)*(GMW!$NF$2:$NF$150=N$1),0),$C289-1966)</f>
        <v>31.968419999999998</v>
      </c>
      <c r="O289" s="4" cm="1">
        <f t="array" ref="O289">INDEX(GMW!$A$2:$NF$150,MATCH(1,(GMW!$NE$2:$NE$150=O$3)*(GMW!$ND$2:$ND$150=O$4)*(GMW!$NF$2:$NF$150=O$1),0),$C289-1966)</f>
        <v>697642.3</v>
      </c>
      <c r="P289" s="4" cm="1">
        <f t="array" ref="P289">INDEX(GMW!$A$2:$NF$150,MATCH(1,(GMW!$NE$2:$NE$150=P$3)*(GMW!$ND$2:$ND$150=P$4)*(GMW!$NF$2:$NF$150=P$1),0),$C289-1966)</f>
        <v>46575.78</v>
      </c>
      <c r="Q289" s="4" cm="1">
        <f t="array" ref="Q289">INDEX(GMW!$A$2:$NF$150,MATCH(1,(GMW!$NE$2:$NE$150=Q$3)*(GMW!$ND$2:$ND$150=Q$4)*(GMW!$NF$2:$NF$150=Q$1),0),$C289-1966)</f>
        <v>4539167</v>
      </c>
      <c r="R289" s="4" cm="1">
        <f t="array" ref="R289">INDEX(GMW!$A$2:$NF$150,MATCH(1,(GMW!$NE$2:$NE$150=R$3)*(GMW!$ND$2:$ND$150=R$4)*(GMW!$NF$2:$NF$150=R$1),0),$C289-1966)</f>
        <v>-1.631567</v>
      </c>
      <c r="S289" s="4" cm="1">
        <f t="array" ref="S289">INDEX(GMW!$A$2:$NF$150,MATCH(1,(GMW!$NE$2:$NE$150=S$3)*(GMW!$ND$2:$ND$150=S$4)*(GMW!$NF$2:$NF$150=S$1),0),$C289-1966)</f>
        <v>862361.8</v>
      </c>
      <c r="T289" s="4" cm="1">
        <f t="array" ref="T289">INDEX(GMW!$A$2:$NF$150,MATCH(1,(GMW!$NE$2:$NE$150=T$3)*(GMW!$ND$2:$ND$150=T$4)*(GMW!$NF$2:$NF$150=T$1),0),$C289-1966)</f>
        <v>199.9049</v>
      </c>
      <c r="U289" s="4" cm="1">
        <f t="array" ref="U289">INDEX(GMW!$A$2:$NF$150,MATCH(1,(GMW!$NE$2:$NE$150=U$3)*(GMW!$ND$2:$ND$150=U$4)*(GMW!$NF$2:$NF$150=U$1),0),$C289-1966)</f>
        <v>252832.7</v>
      </c>
      <c r="V289" s="4" cm="1">
        <f t="array" ref="V289">INDEX(GMW!$A$2:$NF$150,MATCH(1,(GMW!$NE$2:$NE$150=V$3)*(GMW!$ND$2:$ND$150=V$4)*(GMW!$NF$2:$NF$150=V$1),0),$C289-1966)</f>
        <v>92629.11</v>
      </c>
      <c r="W289" s="4" cm="1">
        <f t="array" ref="W289">INDEX(GMW!$A$2:$NF$150,MATCH(1,(GMW!$NE$2:$NE$150=W$3)*(GMW!$ND$2:$ND$150=W$4)*(GMW!$NF$2:$NF$150=W$1),0),$C289-1966)</f>
        <v>283993.59999999998</v>
      </c>
      <c r="X289" s="4" cm="1">
        <f t="array" ref="X289">INDEX(GMW!$A$2:$NF$150,MATCH(1,(GMW!$NE$2:$NE$150=X$3)*(GMW!$ND$2:$ND$150=X$4)*(GMW!$NF$2:$NF$150=X$1),0),$C289-1966)</f>
        <v>151100.9</v>
      </c>
      <c r="Y289" s="4" cm="1">
        <f t="array" ref="Y289">INDEX(GMW!$A$2:$NF$150,MATCH(1,(GMW!$NE$2:$NE$150=Y$3)*(GMW!$ND$2:$ND$150=Y$4)*(GMW!$NF$2:$NF$150=Y$1),0),$C289-1966)</f>
        <v>167293.70000000001</v>
      </c>
      <c r="Z289" s="4" cm="1">
        <f t="array" ref="Z289">INDEX(GMW!$A$2:$NF$150,MATCH(1,(GMW!$NE$2:$NE$150=Z$3)*(GMW!$ND$2:$ND$150=Z$4)*(GMW!$NF$2:$NF$150=Z$1),0),$C289-1966)</f>
        <v>96812.25</v>
      </c>
      <c r="AA289" s="4" cm="1">
        <f t="array" ref="AA289">INDEX(GMW!$A$2:$NF$150,MATCH(1,(GMW!$NE$2:$NE$150=AA$3)*(GMW!$ND$2:$ND$150=AA$4)*(GMW!$NF$2:$NF$150=AA$1),0),$C289-1966)</f>
        <v>862362.4</v>
      </c>
      <c r="AB289" s="4" cm="1">
        <f t="array" ref="AB289">INDEX(GMW!$A$2:$NF$150,MATCH(1,(GMW!$NE$2:$NE$150=AB$3)*(GMW!$ND$2:$ND$150=AB$4)*(GMW!$NF$2:$NF$150=AB$1),0),$C289-1966)</f>
        <v>38512.300000000003</v>
      </c>
      <c r="AC289" s="4" cm="1">
        <f t="array" ref="AC289">INDEX(GMW!$A$2:$NF$150,MATCH(1,(GMW!$NE$2:$NE$150=AC$3)*(GMW!$ND$2:$ND$150=AC$4)*(GMW!$NF$2:$NF$150=AC$1),0),$C289-1966)</f>
        <v>31.968419999999998</v>
      </c>
      <c r="AD289" s="4" cm="1">
        <f t="array" ref="AD289">INDEX(GMW!$A$2:$NF$150,MATCH(1,(GMW!$NE$2:$NE$150=AD$3)*(GMW!$ND$2:$ND$150=AD$4)*(GMW!$NF$2:$NF$150=AD$1),0),$C289-1966)</f>
        <v>697642.3</v>
      </c>
      <c r="AE289" s="4" cm="1">
        <f t="array" ref="AE289">INDEX(GMW!$A$2:$NF$150,MATCH(1,(GMW!$NE$2:$NE$150=AE$3)*(GMW!$ND$2:$ND$150=AE$4)*(GMW!$NF$2:$NF$150=AE$1),0),$C289-1966)</f>
        <v>46575.78</v>
      </c>
      <c r="AF289" s="4" cm="1">
        <f t="array" ref="AF289">INDEX(GMW!$A$2:$NF$150,MATCH(1,(GMW!$NE$2:$NE$150=AF$3)*(GMW!$ND$2:$ND$150=AF$4)*(GMW!$NF$2:$NF$150=AF$1),0),$C289-1966)</f>
        <v>4624932</v>
      </c>
      <c r="AG289" s="4" cm="1">
        <f t="array" ref="AG289">INDEX(GMW!$A$2:$NF$150,MATCH(1,(GMW!$NE$2:$NE$150=AG$3)*(GMW!$ND$2:$ND$150=AG$4)*(GMW!$NF$2:$NF$150=AG$1),0),$C289-1966)</f>
        <v>-1.6295170000000001</v>
      </c>
      <c r="AH289" s="4" cm="1">
        <f t="array" ref="AH289">INDEX(GMW!$A$2:$NF$150,MATCH(1,(GMW!$NE$2:$NE$150=AH$3)*(GMW!$ND$2:$ND$150=AH$4)*(GMW!$NF$2:$NF$150=AH$1),0),$C289-1966)</f>
        <v>860341.3</v>
      </c>
      <c r="AI289" s="4" cm="1">
        <f t="array" ref="AI289">INDEX(GMW!$A$2:$NF$150,MATCH(1,(GMW!$NE$2:$NE$150=AI$3)*(GMW!$ND$2:$ND$150=AI$4)*(GMW!$NF$2:$NF$150=AI$1),0),$C289-1966)</f>
        <v>198.50530000000001</v>
      </c>
      <c r="AJ289" s="4" cm="1">
        <f t="array" ref="AJ289">INDEX(GMW!$A$2:$NF$150,MATCH(1,(GMW!$NE$2:$NE$150=AJ$3)*(GMW!$ND$2:$ND$150=AJ$4)*(GMW!$NF$2:$NF$150=AJ$1),0),$C289-1966)</f>
        <v>257453</v>
      </c>
      <c r="AK289" s="4" cm="1">
        <f t="array" ref="AK289">INDEX(GMW!$A$2:$NF$150,MATCH(1,(GMW!$NE$2:$NE$150=AK$3)*(GMW!$ND$2:$ND$150=AK$4)*(GMW!$NF$2:$NF$150=AK$1),0),$C289-1966)</f>
        <v>95177.279999999999</v>
      </c>
      <c r="AL289" s="4" cm="1">
        <f t="array" ref="AL289">INDEX(GMW!$A$2:$NF$150,MATCH(1,(GMW!$NE$2:$NE$150=AL$3)*(GMW!$ND$2:$ND$150=AL$4)*(GMW!$NF$2:$NF$150=AL$1),0),$C289-1966)</f>
        <v>287718.3</v>
      </c>
      <c r="AM289" s="4" cm="1">
        <f t="array" ref="AM289">INDEX(GMW!$A$2:$NF$150,MATCH(1,(GMW!$NE$2:$NE$150=AM$3)*(GMW!$ND$2:$ND$150=AM$4)*(GMW!$NF$2:$NF$150=AM$1),0),$C289-1966)</f>
        <v>154226.29999999999</v>
      </c>
      <c r="AN289" s="4" cm="1">
        <f t="array" ref="AN289">INDEX(GMW!$A$2:$NF$150,MATCH(1,(GMW!$NE$2:$NE$150=AN$3)*(GMW!$ND$2:$ND$150=AN$4)*(GMW!$NF$2:$NF$150=AN$1),0),$C289-1966)</f>
        <v>166834.5</v>
      </c>
      <c r="AO289" s="4" cm="1">
        <f t="array" ref="AO289">INDEX(GMW!$A$2:$NF$150,MATCH(1,(GMW!$NE$2:$NE$150=AO$3)*(GMW!$ND$2:$ND$150=AO$4)*(GMW!$NF$2:$NF$150=AO$1),0),$C289-1966)</f>
        <v>97814.02</v>
      </c>
      <c r="AP289" s="4" cm="1">
        <f t="array" ref="AP289">INDEX(GMW!$A$2:$NF$150,MATCH(1,(GMW!$NE$2:$NE$150=AP$3)*(GMW!$ND$2:$ND$150=AP$4)*(GMW!$NF$2:$NF$150=AP$1),0),$C289-1966)</f>
        <v>860340.8</v>
      </c>
      <c r="AQ289" s="4" cm="1">
        <f t="array" ref="AQ289">INDEX(GMW!$A$2:$NF$150,MATCH(1,(GMW!$NE$2:$NE$150=AQ$3)*(GMW!$ND$2:$ND$150=AQ$4)*(GMW!$NF$2:$NF$150=AQ$1),0),$C289-1966)</f>
        <v>38242.519999999997</v>
      </c>
      <c r="AR289" s="4" cm="1">
        <f t="array" ref="AR289">INDEX(GMW!$A$2:$NF$150,MATCH(1,(GMW!$NE$2:$NE$150=AR$3)*(GMW!$ND$2:$ND$150=AR$4)*(GMW!$NF$2:$NF$150=AR$1),0),$C289-1966)</f>
        <v>31.968419999999998</v>
      </c>
      <c r="AS289" s="4" cm="1">
        <f t="array" ref="AS289">INDEX(GMW!$A$2:$NF$150,MATCH(1,(GMW!$NE$2:$NE$150=AS$3)*(GMW!$ND$2:$ND$150=AS$4)*(GMW!$NF$2:$NF$150=AS$1),0),$C289-1966)</f>
        <v>695641.9</v>
      </c>
      <c r="AT289" s="4" cm="1">
        <f t="array" ref="AT289">INDEX(GMW!$A$2:$NF$150,MATCH(1,(GMW!$NE$2:$NE$150=AT$3)*(GMW!$ND$2:$ND$150=AT$4)*(GMW!$NF$2:$NF$150=AT$1),0),$C289-1966)</f>
        <v>46427.43</v>
      </c>
      <c r="AU289" s="4" cm="1">
        <f t="array" ref="AU289">INDEX(GMW!$A$2:$NF$150,MATCH(1,(GMW!$NE$2:$NE$150=AU$3)*(GMW!$ND$2:$ND$150=AU$4)*(GMW!$NF$2:$NF$150=AU$1),0),$C289-1966)</f>
        <v>4631153</v>
      </c>
      <c r="AV289" s="4" cm="1">
        <f t="array" ref="AV289">INDEX(GMW!$A$2:$NF$150,MATCH(1,(GMW!$NE$2:$NE$150=AV$3)*(GMW!$ND$2:$ND$150=AV$4)*(GMW!$NF$2:$NF$150=AV$1),0),$C289-1966)</f>
        <v>-1.627888</v>
      </c>
    </row>
    <row r="290" spans="1:48" x14ac:dyDescent="0.25">
      <c r="B290" s="4">
        <f t="shared" si="12"/>
        <v>2043</v>
      </c>
      <c r="C290" s="4">
        <f t="shared" si="11"/>
        <v>2256</v>
      </c>
      <c r="D290" s="4" cm="1">
        <f t="array" ref="D290">INDEX(GMW!$A$2:$NF$150,MATCH(1,(GMW!$NE$2:$NE$150=D$3)*(GMW!$ND$2:$ND$150=D$4)*(GMW!$NF$2:$NF$150=D$1),0),$C290-1966)</f>
        <v>858338.9</v>
      </c>
      <c r="E290" s="4" cm="1">
        <f t="array" ref="E290">INDEX(GMW!$A$2:$NF$150,MATCH(1,(GMW!$NE$2:$NE$150=E$3)*(GMW!$ND$2:$ND$150=E$4)*(GMW!$NF$2:$NF$150=E$1),0),$C290-1966)</f>
        <v>200.90100000000001</v>
      </c>
      <c r="F290" s="4" cm="1">
        <f t="array" ref="F290">INDEX(GMW!$A$2:$NF$150,MATCH(1,(GMW!$NE$2:$NE$150=F$3)*(GMW!$ND$2:$ND$150=F$4)*(GMW!$NF$2:$NF$150=F$1),0),$C290-1966)</f>
        <v>264799.40000000002</v>
      </c>
      <c r="G290" s="4" cm="1">
        <f t="array" ref="G290">INDEX(GMW!$A$2:$NF$150,MATCH(1,(GMW!$NE$2:$NE$150=G$3)*(GMW!$ND$2:$ND$150=G$4)*(GMW!$NF$2:$NF$150=G$1),0),$C290-1966)</f>
        <v>88171.56</v>
      </c>
      <c r="H290" s="4" cm="1">
        <f t="array" ref="H290">INDEX(GMW!$A$2:$NF$150,MATCH(1,(GMW!$NE$2:$NE$150=H$3)*(GMW!$ND$2:$ND$150=H$4)*(GMW!$NF$2:$NF$150=H$1),0),$C290-1966)</f>
        <v>294272.3</v>
      </c>
      <c r="I290" s="4" cm="1">
        <f t="array" ref="I290">INDEX(GMW!$A$2:$NF$150,MATCH(1,(GMW!$NE$2:$NE$150=I$3)*(GMW!$ND$2:$ND$150=I$4)*(GMW!$NF$2:$NF$150=I$1),0),$C290-1966)</f>
        <v>157713.4</v>
      </c>
      <c r="J290" s="4" cm="1">
        <f t="array" ref="J290">INDEX(GMW!$A$2:$NF$150,MATCH(1,(GMW!$NE$2:$NE$150=J$3)*(GMW!$ND$2:$ND$150=J$4)*(GMW!$NF$2:$NF$150=J$1),0),$C290-1966)</f>
        <v>165259.29999999999</v>
      </c>
      <c r="K290" s="4" cm="1">
        <f t="array" ref="K290">INDEX(GMW!$A$2:$NF$150,MATCH(1,(GMW!$NE$2:$NE$150=K$3)*(GMW!$ND$2:$ND$150=K$4)*(GMW!$NF$2:$NF$150=K$1),0),$C290-1966)</f>
        <v>94080.2</v>
      </c>
      <c r="L290" s="4" cm="1">
        <f t="array" ref="L290">INDEX(GMW!$A$2:$NF$150,MATCH(1,(GMW!$NE$2:$NE$150=L$3)*(GMW!$ND$2:$ND$150=L$4)*(GMW!$NF$2:$NF$150=L$1),0),$C290-1966)</f>
        <v>858338.7</v>
      </c>
      <c r="M290" s="4" cm="1">
        <f t="array" ref="M290">INDEX(GMW!$A$2:$NF$150,MATCH(1,(GMW!$NE$2:$NE$150=M$3)*(GMW!$ND$2:$ND$150=M$4)*(GMW!$NF$2:$NF$150=M$1),0),$C290-1966)</f>
        <v>38553.14</v>
      </c>
      <c r="N290" s="4" cm="1">
        <f t="array" ref="N290">INDEX(GMW!$A$2:$NF$150,MATCH(1,(GMW!$NE$2:$NE$150=N$3)*(GMW!$ND$2:$ND$150=N$4)*(GMW!$NF$2:$NF$150=N$1),0),$C290-1966)</f>
        <v>31.967669999999998</v>
      </c>
      <c r="O290" s="4" cm="1">
        <f t="array" ref="O290">INDEX(GMW!$A$2:$NF$150,MATCH(1,(GMW!$NE$2:$NE$150=O$3)*(GMW!$ND$2:$ND$150=O$4)*(GMW!$NF$2:$NF$150=O$1),0),$C290-1966)</f>
        <v>698327.8</v>
      </c>
      <c r="P290" s="4" cm="1">
        <f t="array" ref="P290">INDEX(GMW!$A$2:$NF$150,MATCH(1,(GMW!$NE$2:$NE$150=P$3)*(GMW!$ND$2:$ND$150=P$4)*(GMW!$NF$2:$NF$150=P$1),0),$C290-1966)</f>
        <v>46590.04</v>
      </c>
      <c r="Q290" s="4" cm="1">
        <f t="array" ref="Q290">INDEX(GMW!$A$2:$NF$150,MATCH(1,(GMW!$NE$2:$NE$150=Q$3)*(GMW!$ND$2:$ND$150=Q$4)*(GMW!$NF$2:$NF$150=Q$1),0),$C290-1966)</f>
        <v>4561602</v>
      </c>
      <c r="R290" s="4" cm="1">
        <f t="array" ref="R290">INDEX(GMW!$A$2:$NF$150,MATCH(1,(GMW!$NE$2:$NE$150=R$3)*(GMW!$ND$2:$ND$150=R$4)*(GMW!$NF$2:$NF$150=R$1),0),$C290-1966)</f>
        <v>-1.6302620000000001</v>
      </c>
      <c r="S290" s="4" cm="1">
        <f t="array" ref="S290">INDEX(GMW!$A$2:$NF$150,MATCH(1,(GMW!$NE$2:$NE$150=S$3)*(GMW!$ND$2:$ND$150=S$4)*(GMW!$NF$2:$NF$150=S$1),0),$C290-1966)</f>
        <v>865752.4</v>
      </c>
      <c r="T290" s="4" cm="1">
        <f t="array" ref="T290">INDEX(GMW!$A$2:$NF$150,MATCH(1,(GMW!$NE$2:$NE$150=T$3)*(GMW!$ND$2:$ND$150=T$4)*(GMW!$NF$2:$NF$150=T$1),0),$C290-1966)</f>
        <v>200.76089999999999</v>
      </c>
      <c r="U290" s="4" cm="1">
        <f t="array" ref="U290">INDEX(GMW!$A$2:$NF$150,MATCH(1,(GMW!$NE$2:$NE$150=U$3)*(GMW!$ND$2:$ND$150=U$4)*(GMW!$NF$2:$NF$150=U$1),0),$C290-1966)</f>
        <v>253738.7</v>
      </c>
      <c r="V290" s="4" cm="1">
        <f t="array" ref="V290">INDEX(GMW!$A$2:$NF$150,MATCH(1,(GMW!$NE$2:$NE$150=V$3)*(GMW!$ND$2:$ND$150=V$4)*(GMW!$NF$2:$NF$150=V$1),0),$C290-1966)</f>
        <v>92918.27</v>
      </c>
      <c r="W290" s="4" cm="1">
        <f t="array" ref="W290">INDEX(GMW!$A$2:$NF$150,MATCH(1,(GMW!$NE$2:$NE$150=W$3)*(GMW!$ND$2:$ND$150=W$4)*(GMW!$NF$2:$NF$150=W$1),0),$C290-1966)</f>
        <v>285099.3</v>
      </c>
      <c r="X290" s="4" cm="1">
        <f t="array" ref="X290">INDEX(GMW!$A$2:$NF$150,MATCH(1,(GMW!$NE$2:$NE$150=X$3)*(GMW!$ND$2:$ND$150=X$4)*(GMW!$NF$2:$NF$150=X$1),0),$C290-1966)</f>
        <v>151667.79999999999</v>
      </c>
      <c r="Y290" s="4" cm="1">
        <f t="array" ref="Y290">INDEX(GMW!$A$2:$NF$150,MATCH(1,(GMW!$NE$2:$NE$150=Y$3)*(GMW!$ND$2:$ND$150=Y$4)*(GMW!$NF$2:$NF$150=Y$1),0),$C290-1966)</f>
        <v>168123.5</v>
      </c>
      <c r="Z290" s="4" cm="1">
        <f t="array" ref="Z290">INDEX(GMW!$A$2:$NF$150,MATCH(1,(GMW!$NE$2:$NE$150=Z$3)*(GMW!$ND$2:$ND$150=Z$4)*(GMW!$NF$2:$NF$150=Z$1),0),$C290-1966)</f>
        <v>97328.43</v>
      </c>
      <c r="AA290" s="4" cm="1">
        <f t="array" ref="AA290">INDEX(GMW!$A$2:$NF$150,MATCH(1,(GMW!$NE$2:$NE$150=AA$3)*(GMW!$ND$2:$ND$150=AA$4)*(GMW!$NF$2:$NF$150=AA$1),0),$C290-1966)</f>
        <v>865753.3</v>
      </c>
      <c r="AB290" s="4" cm="1">
        <f t="array" ref="AB290">INDEX(GMW!$A$2:$NF$150,MATCH(1,(GMW!$NE$2:$NE$150=AB$3)*(GMW!$ND$2:$ND$150=AB$4)*(GMW!$NF$2:$NF$150=AB$1),0),$C290-1966)</f>
        <v>38553.14</v>
      </c>
      <c r="AC290" s="4" cm="1">
        <f t="array" ref="AC290">INDEX(GMW!$A$2:$NF$150,MATCH(1,(GMW!$NE$2:$NE$150=AC$3)*(GMW!$ND$2:$ND$150=AC$4)*(GMW!$NF$2:$NF$150=AC$1),0),$C290-1966)</f>
        <v>31.967669999999998</v>
      </c>
      <c r="AD290" s="4" cm="1">
        <f t="array" ref="AD290">INDEX(GMW!$A$2:$NF$150,MATCH(1,(GMW!$NE$2:$NE$150=AD$3)*(GMW!$ND$2:$ND$150=AD$4)*(GMW!$NF$2:$NF$150=AD$1),0),$C290-1966)</f>
        <v>698327.8</v>
      </c>
      <c r="AE290" s="4" cm="1">
        <f t="array" ref="AE290">INDEX(GMW!$A$2:$NF$150,MATCH(1,(GMW!$NE$2:$NE$150=AE$3)*(GMW!$ND$2:$ND$150=AE$4)*(GMW!$NF$2:$NF$150=AE$1),0),$C290-1966)</f>
        <v>46590.04</v>
      </c>
      <c r="AF290" s="4" cm="1">
        <f t="array" ref="AF290">INDEX(GMW!$A$2:$NF$150,MATCH(1,(GMW!$NE$2:$NE$150=AF$3)*(GMW!$ND$2:$ND$150=AF$4)*(GMW!$NF$2:$NF$150=AF$1),0),$C290-1966)</f>
        <v>4648052</v>
      </c>
      <c r="AG290" s="4" cm="1">
        <f t="array" ref="AG290">INDEX(GMW!$A$2:$NF$150,MATCH(1,(GMW!$NE$2:$NE$150=AG$3)*(GMW!$ND$2:$ND$150=AG$4)*(GMW!$NF$2:$NF$150=AG$1),0),$C290-1966)</f>
        <v>-1.6282129999999999</v>
      </c>
      <c r="AH290" s="4" cm="1">
        <f t="array" ref="AH290">INDEX(GMW!$A$2:$NF$150,MATCH(1,(GMW!$NE$2:$NE$150=AH$3)*(GMW!$ND$2:$ND$150=AH$4)*(GMW!$NF$2:$NF$150=AH$1),0),$C290-1966)</f>
        <v>863614.9</v>
      </c>
      <c r="AI290" s="4" cm="1">
        <f t="array" ref="AI290">INDEX(GMW!$A$2:$NF$150,MATCH(1,(GMW!$NE$2:$NE$150=AI$3)*(GMW!$ND$2:$ND$150=AI$4)*(GMW!$NF$2:$NF$150=AI$1),0),$C290-1966)</f>
        <v>199.48740000000001</v>
      </c>
      <c r="AJ290" s="4" cm="1">
        <f t="array" ref="AJ290">INDEX(GMW!$A$2:$NF$150,MATCH(1,(GMW!$NE$2:$NE$150=AJ$3)*(GMW!$ND$2:$ND$150=AJ$4)*(GMW!$NF$2:$NF$150=AJ$1),0),$C290-1966)</f>
        <v>258334.4</v>
      </c>
      <c r="AK290" s="4" cm="1">
        <f t="array" ref="AK290">INDEX(GMW!$A$2:$NF$150,MATCH(1,(GMW!$NE$2:$NE$150=AK$3)*(GMW!$ND$2:$ND$150=AK$4)*(GMW!$NF$2:$NF$150=AK$1),0),$C290-1966)</f>
        <v>95463.29</v>
      </c>
      <c r="AL290" s="4" cm="1">
        <f t="array" ref="AL290">INDEX(GMW!$A$2:$NF$150,MATCH(1,(GMW!$NE$2:$NE$150=AL$3)*(GMW!$ND$2:$ND$150=AL$4)*(GMW!$NF$2:$NF$150=AL$1),0),$C290-1966)</f>
        <v>288796.09999999998</v>
      </c>
      <c r="AM290" s="4" cm="1">
        <f t="array" ref="AM290">INDEX(GMW!$A$2:$NF$150,MATCH(1,(GMW!$NE$2:$NE$150=AM$3)*(GMW!$ND$2:$ND$150=AM$4)*(GMW!$NF$2:$NF$150=AM$1),0),$C290-1966)</f>
        <v>154782.29999999999</v>
      </c>
      <c r="AN290" s="4" cm="1">
        <f t="array" ref="AN290">INDEX(GMW!$A$2:$NF$150,MATCH(1,(GMW!$NE$2:$NE$150=AN$3)*(GMW!$ND$2:$ND$150=AN$4)*(GMW!$NF$2:$NF$150=AN$1),0),$C290-1966)</f>
        <v>167641.60000000001</v>
      </c>
      <c r="AO290" s="4" cm="1">
        <f t="array" ref="AO290">INDEX(GMW!$A$2:$NF$150,MATCH(1,(GMW!$NE$2:$NE$150=AO$3)*(GMW!$ND$2:$ND$150=AO$4)*(GMW!$NF$2:$NF$150=AO$1),0),$C290-1966)</f>
        <v>98323.13</v>
      </c>
      <c r="AP290" s="4" cm="1">
        <f t="array" ref="AP290">INDEX(GMW!$A$2:$NF$150,MATCH(1,(GMW!$NE$2:$NE$150=AP$3)*(GMW!$ND$2:$ND$150=AP$4)*(GMW!$NF$2:$NF$150=AP$1),0),$C290-1966)</f>
        <v>863614.2</v>
      </c>
      <c r="AQ290" s="4" cm="1">
        <f t="array" ref="AQ290">INDEX(GMW!$A$2:$NF$150,MATCH(1,(GMW!$NE$2:$NE$150=AQ$3)*(GMW!$ND$2:$ND$150=AQ$4)*(GMW!$NF$2:$NF$150=AQ$1),0),$C290-1966)</f>
        <v>38277.33</v>
      </c>
      <c r="AR290" s="4" cm="1">
        <f t="array" ref="AR290">INDEX(GMW!$A$2:$NF$150,MATCH(1,(GMW!$NE$2:$NE$150=AR$3)*(GMW!$ND$2:$ND$150=AR$4)*(GMW!$NF$2:$NF$150=AR$1),0),$C290-1966)</f>
        <v>31.967669999999998</v>
      </c>
      <c r="AS290" s="4" cm="1">
        <f t="array" ref="AS290">INDEX(GMW!$A$2:$NF$150,MATCH(1,(GMW!$NE$2:$NE$150=AS$3)*(GMW!$ND$2:$ND$150=AS$4)*(GMW!$NF$2:$NF$150=AS$1),0),$C290-1966)</f>
        <v>696442.6</v>
      </c>
      <c r="AT290" s="4" cm="1">
        <f t="array" ref="AT290">INDEX(GMW!$A$2:$NF$150,MATCH(1,(GMW!$NE$2:$NE$150=AT$3)*(GMW!$ND$2:$ND$150=AT$4)*(GMW!$NF$2:$NF$150=AT$1),0),$C290-1966)</f>
        <v>46449.26</v>
      </c>
      <c r="AU290" s="4" cm="1">
        <f t="array" ref="AU290">INDEX(GMW!$A$2:$NF$150,MATCH(1,(GMW!$NE$2:$NE$150=AU$3)*(GMW!$ND$2:$ND$150=AU$4)*(GMW!$NF$2:$NF$150=AU$1),0),$C290-1966)</f>
        <v>4653916</v>
      </c>
      <c r="AV290" s="4" cm="1">
        <f t="array" ref="AV290">INDEX(GMW!$A$2:$NF$150,MATCH(1,(GMW!$NE$2:$NE$150=AV$3)*(GMW!$ND$2:$ND$150=AV$4)*(GMW!$NF$2:$NF$150=AV$1),0),$C290-1966)</f>
        <v>-1.6265860000000001</v>
      </c>
    </row>
    <row r="291" spans="1:48" x14ac:dyDescent="0.25">
      <c r="A291" s="4">
        <v>2044</v>
      </c>
      <c r="B291" s="4">
        <f t="shared" si="12"/>
        <v>2044</v>
      </c>
      <c r="C291" s="4">
        <f t="shared" si="11"/>
        <v>2257</v>
      </c>
      <c r="D291" s="4" cm="1">
        <f t="array" ref="D291">INDEX(GMW!$A$2:$NF$150,MATCH(1,(GMW!$NE$2:$NE$150=D$3)*(GMW!$ND$2:$ND$150=D$4)*(GMW!$NF$2:$NF$150=D$1),0),$C291-1966)</f>
        <v>861696.5</v>
      </c>
      <c r="E291" s="4" cm="1">
        <f t="array" ref="E291">INDEX(GMW!$A$2:$NF$150,MATCH(1,(GMW!$NE$2:$NE$150=E$3)*(GMW!$ND$2:$ND$150=E$4)*(GMW!$NF$2:$NF$150=E$1),0),$C291-1966)</f>
        <v>201.31229999999999</v>
      </c>
      <c r="F291" s="4" cm="1">
        <f t="array" ref="F291">INDEX(GMW!$A$2:$NF$150,MATCH(1,(GMW!$NE$2:$NE$150=F$3)*(GMW!$ND$2:$ND$150=F$4)*(GMW!$NF$2:$NF$150=F$1),0),$C291-1966)</f>
        <v>265758.8</v>
      </c>
      <c r="G291" s="4" cm="1">
        <f t="array" ref="G291">INDEX(GMW!$A$2:$NF$150,MATCH(1,(GMW!$NE$2:$NE$150=G$3)*(GMW!$ND$2:$ND$150=G$4)*(GMW!$NF$2:$NF$150=G$1),0),$C291-1966)</f>
        <v>88445.05</v>
      </c>
      <c r="H291" s="4" cm="1">
        <f t="array" ref="H291">INDEX(GMW!$A$2:$NF$150,MATCH(1,(GMW!$NE$2:$NE$150=H$3)*(GMW!$ND$2:$ND$150=H$4)*(GMW!$NF$2:$NF$150=H$1),0),$C291-1966)</f>
        <v>295421.8</v>
      </c>
      <c r="I291" s="4" cm="1">
        <f t="array" ref="I291">INDEX(GMW!$A$2:$NF$150,MATCH(1,(GMW!$NE$2:$NE$150=I$3)*(GMW!$ND$2:$ND$150=I$4)*(GMW!$NF$2:$NF$150=I$1),0),$C291-1966)</f>
        <v>158302</v>
      </c>
      <c r="J291" s="4" cm="1">
        <f t="array" ref="J291">INDEX(GMW!$A$2:$NF$150,MATCH(1,(GMW!$NE$2:$NE$150=J$3)*(GMW!$ND$2:$ND$150=J$4)*(GMW!$NF$2:$NF$150=J$1),0),$C291-1966)</f>
        <v>166084.29999999999</v>
      </c>
      <c r="K291" s="4" cm="1">
        <f t="array" ref="K291">INDEX(GMW!$A$2:$NF$150,MATCH(1,(GMW!$NE$2:$NE$150=K$3)*(GMW!$ND$2:$ND$150=K$4)*(GMW!$NF$2:$NF$150=K$1),0),$C291-1966)</f>
        <v>94589.34</v>
      </c>
      <c r="L291" s="4" cm="1">
        <f t="array" ref="L291">INDEX(GMW!$A$2:$NF$150,MATCH(1,(GMW!$NE$2:$NE$150=L$3)*(GMW!$ND$2:$ND$150=L$4)*(GMW!$NF$2:$NF$150=L$1),0),$C291-1966)</f>
        <v>861695.7</v>
      </c>
      <c r="M291" s="4" cm="1">
        <f t="array" ref="M291">INDEX(GMW!$A$2:$NF$150,MATCH(1,(GMW!$NE$2:$NE$150=M$3)*(GMW!$ND$2:$ND$150=M$4)*(GMW!$NF$2:$NF$150=M$1),0),$C291-1966)</f>
        <v>38593.97</v>
      </c>
      <c r="N291" s="4" cm="1">
        <f t="array" ref="N291">INDEX(GMW!$A$2:$NF$150,MATCH(1,(GMW!$NE$2:$NE$150=N$3)*(GMW!$ND$2:$ND$150=N$4)*(GMW!$NF$2:$NF$150=N$1),0),$C291-1966)</f>
        <v>31.966920000000002</v>
      </c>
      <c r="O291" s="4" cm="1">
        <f t="array" ref="O291">INDEX(GMW!$A$2:$NF$150,MATCH(1,(GMW!$NE$2:$NE$150=O$3)*(GMW!$ND$2:$ND$150=O$4)*(GMW!$NF$2:$NF$150=O$1),0),$C291-1966)</f>
        <v>699010.9</v>
      </c>
      <c r="P291" s="4" cm="1">
        <f t="array" ref="P291">INDEX(GMW!$A$2:$NF$150,MATCH(1,(GMW!$NE$2:$NE$150=P$3)*(GMW!$ND$2:$ND$150=P$4)*(GMW!$NF$2:$NF$150=P$1),0),$C291-1966)</f>
        <v>46604.31</v>
      </c>
      <c r="Q291" s="4" cm="1">
        <f t="array" ref="Q291">INDEX(GMW!$A$2:$NF$150,MATCH(1,(GMW!$NE$2:$NE$150=Q$3)*(GMW!$ND$2:$ND$150=Q$4)*(GMW!$NF$2:$NF$150=Q$1),0),$C291-1966)</f>
        <v>4584186</v>
      </c>
      <c r="R291" s="4" cm="1">
        <f t="array" ref="R291">INDEX(GMW!$A$2:$NF$150,MATCH(1,(GMW!$NE$2:$NE$150=R$3)*(GMW!$ND$2:$ND$150=R$4)*(GMW!$NF$2:$NF$150=R$1),0),$C291-1966)</f>
        <v>-1.6289579999999999</v>
      </c>
      <c r="S291" s="4" cm="1">
        <f t="array" ref="S291">INDEX(GMW!$A$2:$NF$150,MATCH(1,(GMW!$NE$2:$NE$150=S$3)*(GMW!$ND$2:$ND$150=S$4)*(GMW!$NF$2:$NF$150=S$1),0),$C291-1966)</f>
        <v>869154.6</v>
      </c>
      <c r="T291" s="4" cm="1">
        <f t="array" ref="T291">INDEX(GMW!$A$2:$NF$150,MATCH(1,(GMW!$NE$2:$NE$150=T$3)*(GMW!$ND$2:$ND$150=T$4)*(GMW!$NF$2:$NF$150=T$1),0),$C291-1966)</f>
        <v>201.09970000000001</v>
      </c>
      <c r="U291" s="4" cm="1">
        <f t="array" ref="U291">INDEX(GMW!$A$2:$NF$150,MATCH(1,(GMW!$NE$2:$NE$150=U$3)*(GMW!$ND$2:$ND$150=U$4)*(GMW!$NF$2:$NF$150=U$1),0),$C291-1966)</f>
        <v>254648.1</v>
      </c>
      <c r="V291" s="4" cm="1">
        <f t="array" ref="V291">INDEX(GMW!$A$2:$NF$150,MATCH(1,(GMW!$NE$2:$NE$150=V$3)*(GMW!$ND$2:$ND$150=V$4)*(GMW!$NF$2:$NF$150=V$1),0),$C291-1966)</f>
        <v>93208.15</v>
      </c>
      <c r="W291" s="4" cm="1">
        <f t="array" ref="W291">INDEX(GMW!$A$2:$NF$150,MATCH(1,(GMW!$NE$2:$NE$150=W$3)*(GMW!$ND$2:$ND$150=W$4)*(GMW!$NF$2:$NF$150=W$1),0),$C291-1966)</f>
        <v>286209.2</v>
      </c>
      <c r="X291" s="4" cm="1">
        <f t="array" ref="X291">INDEX(GMW!$A$2:$NF$150,MATCH(1,(GMW!$NE$2:$NE$150=X$3)*(GMW!$ND$2:$ND$150=X$4)*(GMW!$NF$2:$NF$150=X$1),0),$C291-1966)</f>
        <v>152236.5</v>
      </c>
      <c r="Y291" s="4" cm="1">
        <f t="array" ref="Y291">INDEX(GMW!$A$2:$NF$150,MATCH(1,(GMW!$NE$2:$NE$150=Y$3)*(GMW!$ND$2:$ND$150=Y$4)*(GMW!$NF$2:$NF$150=Y$1),0),$C291-1966)</f>
        <v>168957.1</v>
      </c>
      <c r="Z291" s="4" cm="1">
        <f t="array" ref="Z291">INDEX(GMW!$A$2:$NF$150,MATCH(1,(GMW!$NE$2:$NE$150=Z$3)*(GMW!$ND$2:$ND$150=Z$4)*(GMW!$NF$2:$NF$150=Z$1),0),$C291-1966)</f>
        <v>97847.16</v>
      </c>
      <c r="AA291" s="4" cm="1">
        <f t="array" ref="AA291">INDEX(GMW!$A$2:$NF$150,MATCH(1,(GMW!$NE$2:$NE$150=AA$3)*(GMW!$ND$2:$ND$150=AA$4)*(GMW!$NF$2:$NF$150=AA$1),0),$C291-1966)</f>
        <v>869153.4</v>
      </c>
      <c r="AB291" s="4" cm="1">
        <f t="array" ref="AB291">INDEX(GMW!$A$2:$NF$150,MATCH(1,(GMW!$NE$2:$NE$150=AB$3)*(GMW!$ND$2:$ND$150=AB$4)*(GMW!$NF$2:$NF$150=AB$1),0),$C291-1966)</f>
        <v>38593.97</v>
      </c>
      <c r="AC291" s="4" cm="1">
        <f t="array" ref="AC291">INDEX(GMW!$A$2:$NF$150,MATCH(1,(GMW!$NE$2:$NE$150=AC$3)*(GMW!$ND$2:$ND$150=AC$4)*(GMW!$NF$2:$NF$150=AC$1),0),$C291-1966)</f>
        <v>31.966920000000002</v>
      </c>
      <c r="AD291" s="4" cm="1">
        <f t="array" ref="AD291">INDEX(GMW!$A$2:$NF$150,MATCH(1,(GMW!$NE$2:$NE$150=AD$3)*(GMW!$ND$2:$ND$150=AD$4)*(GMW!$NF$2:$NF$150=AD$1),0),$C291-1966)</f>
        <v>699010.9</v>
      </c>
      <c r="AE291" s="4" cm="1">
        <f t="array" ref="AE291">INDEX(GMW!$A$2:$NF$150,MATCH(1,(GMW!$NE$2:$NE$150=AE$3)*(GMW!$ND$2:$ND$150=AE$4)*(GMW!$NF$2:$NF$150=AE$1),0),$C291-1966)</f>
        <v>46604.31</v>
      </c>
      <c r="AF291" s="4" cm="1">
        <f t="array" ref="AF291">INDEX(GMW!$A$2:$NF$150,MATCH(1,(GMW!$NE$2:$NE$150=AF$3)*(GMW!$ND$2:$ND$150=AF$4)*(GMW!$NF$2:$NF$150=AF$1),0),$C291-1966)</f>
        <v>4671304</v>
      </c>
      <c r="AG291" s="4" cm="1">
        <f t="array" ref="AG291">INDEX(GMW!$A$2:$NF$150,MATCH(1,(GMW!$NE$2:$NE$150=AG$3)*(GMW!$ND$2:$ND$150=AG$4)*(GMW!$NF$2:$NF$150=AG$1),0),$C291-1966)</f>
        <v>-1.626911</v>
      </c>
      <c r="AH291" s="4" cm="1">
        <f t="array" ref="AH291">INDEX(GMW!$A$2:$NF$150,MATCH(1,(GMW!$NE$2:$NE$150=AH$3)*(GMW!$ND$2:$ND$150=AH$4)*(GMW!$NF$2:$NF$150=AH$1),0),$C291-1966)</f>
        <v>866898.9</v>
      </c>
      <c r="AI291" s="4" cm="1">
        <f t="array" ref="AI291">INDEX(GMW!$A$2:$NF$150,MATCH(1,(GMW!$NE$2:$NE$150=AI$3)*(GMW!$ND$2:$ND$150=AI$4)*(GMW!$NF$2:$NF$150=AI$1),0),$C291-1966)</f>
        <v>199.86619999999999</v>
      </c>
      <c r="AJ291" s="4" cm="1">
        <f t="array" ref="AJ291">INDEX(GMW!$A$2:$NF$150,MATCH(1,(GMW!$NE$2:$NE$150=AJ$3)*(GMW!$ND$2:$ND$150=AJ$4)*(GMW!$NF$2:$NF$150=AJ$1),0),$C291-1966)</f>
        <v>259218.9</v>
      </c>
      <c r="AK291" s="4" cm="1">
        <f t="array" ref="AK291">INDEX(GMW!$A$2:$NF$150,MATCH(1,(GMW!$NE$2:$NE$150=AK$3)*(GMW!$ND$2:$ND$150=AK$4)*(GMW!$NF$2:$NF$150=AK$1),0),$C291-1966)</f>
        <v>95749.93</v>
      </c>
      <c r="AL291" s="4" cm="1">
        <f t="array" ref="AL291">INDEX(GMW!$A$2:$NF$150,MATCH(1,(GMW!$NE$2:$NE$150=AL$3)*(GMW!$ND$2:$ND$150=AL$4)*(GMW!$NF$2:$NF$150=AL$1),0),$C291-1966)</f>
        <v>289877.5</v>
      </c>
      <c r="AM291" s="4" cm="1">
        <f t="array" ref="AM291">INDEX(GMW!$A$2:$NF$150,MATCH(1,(GMW!$NE$2:$NE$150=AM$3)*(GMW!$ND$2:$ND$150=AM$4)*(GMW!$NF$2:$NF$150=AM$1),0),$C291-1966)</f>
        <v>155339.9</v>
      </c>
      <c r="AN291" s="4" cm="1">
        <f t="array" ref="AN291">INDEX(GMW!$A$2:$NF$150,MATCH(1,(GMW!$NE$2:$NE$150=AN$3)*(GMW!$ND$2:$ND$150=AN$4)*(GMW!$NF$2:$NF$150=AN$1),0),$C291-1966)</f>
        <v>168452.2</v>
      </c>
      <c r="AO291" s="4" cm="1">
        <f t="array" ref="AO291">INDEX(GMW!$A$2:$NF$150,MATCH(1,(GMW!$NE$2:$NE$150=AO$3)*(GMW!$ND$2:$ND$150=AO$4)*(GMW!$NF$2:$NF$150=AO$1),0),$C291-1966)</f>
        <v>98834.67</v>
      </c>
      <c r="AP291" s="4" cm="1">
        <f t="array" ref="AP291">INDEX(GMW!$A$2:$NF$150,MATCH(1,(GMW!$NE$2:$NE$150=AP$3)*(GMW!$ND$2:$ND$150=AP$4)*(GMW!$NF$2:$NF$150=AP$1),0),$C291-1966)</f>
        <v>866898.4</v>
      </c>
      <c r="AQ291" s="4" cm="1">
        <f t="array" ref="AQ291">INDEX(GMW!$A$2:$NF$150,MATCH(1,(GMW!$NE$2:$NE$150=AQ$3)*(GMW!$ND$2:$ND$150=AQ$4)*(GMW!$NF$2:$NF$150=AQ$1),0),$C291-1966)</f>
        <v>38312.129999999997</v>
      </c>
      <c r="AR291" s="4" cm="1">
        <f t="array" ref="AR291">INDEX(GMW!$A$2:$NF$150,MATCH(1,(GMW!$NE$2:$NE$150=AR$3)*(GMW!$ND$2:$ND$150=AR$4)*(GMW!$NF$2:$NF$150=AR$1),0),$C291-1966)</f>
        <v>31.966920000000002</v>
      </c>
      <c r="AS291" s="4" cm="1">
        <f t="array" ref="AS291">INDEX(GMW!$A$2:$NF$150,MATCH(1,(GMW!$NE$2:$NE$150=AS$3)*(GMW!$ND$2:$ND$150=AS$4)*(GMW!$NF$2:$NF$150=AS$1),0),$C291-1966)</f>
        <v>697240.5</v>
      </c>
      <c r="AT291" s="4" cm="1">
        <f t="array" ref="AT291">INDEX(GMW!$A$2:$NF$150,MATCH(1,(GMW!$NE$2:$NE$150=AT$3)*(GMW!$ND$2:$ND$150=AT$4)*(GMW!$NF$2:$NF$150=AT$1),0),$C291-1966)</f>
        <v>46471.08</v>
      </c>
      <c r="AU291" s="4" cm="1">
        <f t="array" ref="AU291">INDEX(GMW!$A$2:$NF$150,MATCH(1,(GMW!$NE$2:$NE$150=AU$3)*(GMW!$ND$2:$ND$150=AU$4)*(GMW!$NF$2:$NF$150=AU$1),0),$C291-1966)</f>
        <v>4676802</v>
      </c>
      <c r="AV291" s="4" cm="1">
        <f t="array" ref="AV291">INDEX(GMW!$A$2:$NF$150,MATCH(1,(GMW!$NE$2:$NE$150=AV$3)*(GMW!$ND$2:$ND$150=AV$4)*(GMW!$NF$2:$NF$150=AV$1),0),$C291-1966)</f>
        <v>-1.6252850000000001</v>
      </c>
    </row>
    <row r="292" spans="1:48" x14ac:dyDescent="0.25">
      <c r="B292" s="4">
        <f t="shared" si="12"/>
        <v>2044</v>
      </c>
      <c r="C292" s="4">
        <f t="shared" si="11"/>
        <v>2258</v>
      </c>
      <c r="D292" s="4" cm="1">
        <f t="array" ref="D292">INDEX(GMW!$A$2:$NF$150,MATCH(1,(GMW!$NE$2:$NE$150=D$3)*(GMW!$ND$2:$ND$150=D$4)*(GMW!$NF$2:$NF$150=D$1),0),$C292-1966)</f>
        <v>865067.1</v>
      </c>
      <c r="E292" s="4" cm="1">
        <f t="array" ref="E292">INDEX(GMW!$A$2:$NF$150,MATCH(1,(GMW!$NE$2:$NE$150=E$3)*(GMW!$ND$2:$ND$150=E$4)*(GMW!$NF$2:$NF$150=E$1),0),$C292-1966)</f>
        <v>203.09690000000001</v>
      </c>
      <c r="F292" s="4" cm="1">
        <f t="array" ref="F292">INDEX(GMW!$A$2:$NF$150,MATCH(1,(GMW!$NE$2:$NE$150=F$3)*(GMW!$ND$2:$ND$150=F$4)*(GMW!$NF$2:$NF$150=F$1),0),$C292-1966)</f>
        <v>266722.2</v>
      </c>
      <c r="G292" s="4" cm="1">
        <f t="array" ref="G292">INDEX(GMW!$A$2:$NF$150,MATCH(1,(GMW!$NE$2:$NE$150=G$3)*(GMW!$ND$2:$ND$150=G$4)*(GMW!$NF$2:$NF$150=G$1),0),$C292-1966)</f>
        <v>88719.37</v>
      </c>
      <c r="H292" s="4" cm="1">
        <f t="array" ref="H292">INDEX(GMW!$A$2:$NF$150,MATCH(1,(GMW!$NE$2:$NE$150=H$3)*(GMW!$ND$2:$ND$150=H$4)*(GMW!$NF$2:$NF$150=H$1),0),$C292-1966)</f>
        <v>296576.3</v>
      </c>
      <c r="I292" s="4" cm="1">
        <f t="array" ref="I292">INDEX(GMW!$A$2:$NF$150,MATCH(1,(GMW!$NE$2:$NE$150=I$3)*(GMW!$ND$2:$ND$150=I$4)*(GMW!$NF$2:$NF$150=I$1),0),$C292-1966)</f>
        <v>158892.70000000001</v>
      </c>
      <c r="J292" s="4" cm="1">
        <f t="array" ref="J292">INDEX(GMW!$A$2:$NF$150,MATCH(1,(GMW!$NE$2:$NE$150=J$3)*(GMW!$ND$2:$ND$150=J$4)*(GMW!$NF$2:$NF$150=J$1),0),$C292-1966)</f>
        <v>166913.4</v>
      </c>
      <c r="K292" s="4" cm="1">
        <f t="array" ref="K292">INDEX(GMW!$A$2:$NF$150,MATCH(1,(GMW!$NE$2:$NE$150=K$3)*(GMW!$ND$2:$ND$150=K$4)*(GMW!$NF$2:$NF$150=K$1),0),$C292-1966)</f>
        <v>95101.22</v>
      </c>
      <c r="L292" s="4" cm="1">
        <f t="array" ref="L292">INDEX(GMW!$A$2:$NF$150,MATCH(1,(GMW!$NE$2:$NE$150=L$3)*(GMW!$ND$2:$ND$150=L$4)*(GMW!$NF$2:$NF$150=L$1),0),$C292-1966)</f>
        <v>865066.6</v>
      </c>
      <c r="M292" s="4" cm="1">
        <f t="array" ref="M292">INDEX(GMW!$A$2:$NF$150,MATCH(1,(GMW!$NE$2:$NE$150=M$3)*(GMW!$ND$2:$ND$150=M$4)*(GMW!$NF$2:$NF$150=M$1),0),$C292-1966)</f>
        <v>38634.800000000003</v>
      </c>
      <c r="N292" s="4" cm="1">
        <f t="array" ref="N292">INDEX(GMW!$A$2:$NF$150,MATCH(1,(GMW!$NE$2:$NE$150=N$3)*(GMW!$ND$2:$ND$150=N$4)*(GMW!$NF$2:$NF$150=N$1),0),$C292-1966)</f>
        <v>31.966170000000002</v>
      </c>
      <c r="O292" s="4" cm="1">
        <f t="array" ref="O292">INDEX(GMW!$A$2:$NF$150,MATCH(1,(GMW!$NE$2:$NE$150=O$3)*(GMW!$ND$2:$ND$150=O$4)*(GMW!$NF$2:$NF$150=O$1),0),$C292-1966)</f>
        <v>699691.4</v>
      </c>
      <c r="P292" s="4" cm="1">
        <f t="array" ref="P292">INDEX(GMW!$A$2:$NF$150,MATCH(1,(GMW!$NE$2:$NE$150=P$3)*(GMW!$ND$2:$ND$150=P$4)*(GMW!$NF$2:$NF$150=P$1),0),$C292-1966)</f>
        <v>46618.57</v>
      </c>
      <c r="Q292" s="4" cm="1">
        <f t="array" ref="Q292">INDEX(GMW!$A$2:$NF$150,MATCH(1,(GMW!$NE$2:$NE$150=Q$3)*(GMW!$ND$2:$ND$150=Q$4)*(GMW!$NF$2:$NF$150=Q$1),0),$C292-1966)</f>
        <v>4606920</v>
      </c>
      <c r="R292" s="4" cm="1">
        <f t="array" ref="R292">INDEX(GMW!$A$2:$NF$150,MATCH(1,(GMW!$NE$2:$NE$150=R$3)*(GMW!$ND$2:$ND$150=R$4)*(GMW!$NF$2:$NF$150=R$1),0),$C292-1966)</f>
        <v>-1.6276539999999999</v>
      </c>
      <c r="S292" s="4" cm="1">
        <f t="array" ref="S292">INDEX(GMW!$A$2:$NF$150,MATCH(1,(GMW!$NE$2:$NE$150=S$3)*(GMW!$ND$2:$ND$150=S$4)*(GMW!$NF$2:$NF$150=S$1),0),$C292-1966)</f>
        <v>872568.6</v>
      </c>
      <c r="T292" s="4" cm="1">
        <f t="array" ref="T292">INDEX(GMW!$A$2:$NF$150,MATCH(1,(GMW!$NE$2:$NE$150=T$3)*(GMW!$ND$2:$ND$150=T$4)*(GMW!$NF$2:$NF$150=T$1),0),$C292-1966)</f>
        <v>202.92420000000001</v>
      </c>
      <c r="U292" s="4" cm="1">
        <f t="array" ref="U292">INDEX(GMW!$A$2:$NF$150,MATCH(1,(GMW!$NE$2:$NE$150=U$3)*(GMW!$ND$2:$ND$150=U$4)*(GMW!$NF$2:$NF$150=U$1),0),$C292-1966)</f>
        <v>255560.9</v>
      </c>
      <c r="V292" s="4" cm="1">
        <f t="array" ref="V292">INDEX(GMW!$A$2:$NF$150,MATCH(1,(GMW!$NE$2:$NE$150=V$3)*(GMW!$ND$2:$ND$150=V$4)*(GMW!$NF$2:$NF$150=V$1),0),$C292-1966)</f>
        <v>93498.77</v>
      </c>
      <c r="W292" s="4" cm="1">
        <f t="array" ref="W292">INDEX(GMW!$A$2:$NF$150,MATCH(1,(GMW!$NE$2:$NE$150=W$3)*(GMW!$ND$2:$ND$150=W$4)*(GMW!$NF$2:$NF$150=W$1),0),$C292-1966)</f>
        <v>287323.40000000002</v>
      </c>
      <c r="X292" s="4" cm="1">
        <f t="array" ref="X292">INDEX(GMW!$A$2:$NF$150,MATCH(1,(GMW!$NE$2:$NE$150=X$3)*(GMW!$ND$2:$ND$150=X$4)*(GMW!$NF$2:$NF$150=X$1),0),$C292-1966)</f>
        <v>152807.1</v>
      </c>
      <c r="Y292" s="4" cm="1">
        <f t="array" ref="Y292">INDEX(GMW!$A$2:$NF$150,MATCH(1,(GMW!$NE$2:$NE$150=Y$3)*(GMW!$ND$2:$ND$150=Y$4)*(GMW!$NF$2:$NF$150=Y$1),0),$C292-1966)</f>
        <v>169794.7</v>
      </c>
      <c r="Z292" s="4" cm="1">
        <f t="array" ref="Z292">INDEX(GMW!$A$2:$NF$150,MATCH(1,(GMW!$NE$2:$NE$150=Z$3)*(GMW!$ND$2:$ND$150=Z$4)*(GMW!$NF$2:$NF$150=Z$1),0),$C292-1966)</f>
        <v>98368.49</v>
      </c>
      <c r="AA292" s="4" cm="1">
        <f t="array" ref="AA292">INDEX(GMW!$A$2:$NF$150,MATCH(1,(GMW!$NE$2:$NE$150=AA$3)*(GMW!$ND$2:$ND$150=AA$4)*(GMW!$NF$2:$NF$150=AA$1),0),$C292-1966)</f>
        <v>872568.4</v>
      </c>
      <c r="AB292" s="4" cm="1">
        <f t="array" ref="AB292">INDEX(GMW!$A$2:$NF$150,MATCH(1,(GMW!$NE$2:$NE$150=AB$3)*(GMW!$ND$2:$ND$150=AB$4)*(GMW!$NF$2:$NF$150=AB$1),0),$C292-1966)</f>
        <v>38634.800000000003</v>
      </c>
      <c r="AC292" s="4" cm="1">
        <f t="array" ref="AC292">INDEX(GMW!$A$2:$NF$150,MATCH(1,(GMW!$NE$2:$NE$150=AC$3)*(GMW!$ND$2:$ND$150=AC$4)*(GMW!$NF$2:$NF$150=AC$1),0),$C292-1966)</f>
        <v>31.966170000000002</v>
      </c>
      <c r="AD292" s="4" cm="1">
        <f t="array" ref="AD292">INDEX(GMW!$A$2:$NF$150,MATCH(1,(GMW!$NE$2:$NE$150=AD$3)*(GMW!$ND$2:$ND$150=AD$4)*(GMW!$NF$2:$NF$150=AD$1),0),$C292-1966)</f>
        <v>699691.4</v>
      </c>
      <c r="AE292" s="4" cm="1">
        <f t="array" ref="AE292">INDEX(GMW!$A$2:$NF$150,MATCH(1,(GMW!$NE$2:$NE$150=AE$3)*(GMW!$ND$2:$ND$150=AE$4)*(GMW!$NF$2:$NF$150=AE$1),0),$C292-1966)</f>
        <v>46618.57</v>
      </c>
      <c r="AF292" s="4" cm="1">
        <f t="array" ref="AF292">INDEX(GMW!$A$2:$NF$150,MATCH(1,(GMW!$NE$2:$NE$150=AF$3)*(GMW!$ND$2:$ND$150=AF$4)*(GMW!$NF$2:$NF$150=AF$1),0),$C292-1966)</f>
        <v>4694688</v>
      </c>
      <c r="AG292" s="4" cm="1">
        <f t="array" ref="AG292">INDEX(GMW!$A$2:$NF$150,MATCH(1,(GMW!$NE$2:$NE$150=AG$3)*(GMW!$ND$2:$ND$150=AG$4)*(GMW!$NF$2:$NF$150=AG$1),0),$C292-1966)</f>
        <v>-1.6256090000000001</v>
      </c>
      <c r="AH292" s="4" cm="1">
        <f t="array" ref="AH292">INDEX(GMW!$A$2:$NF$150,MATCH(1,(GMW!$NE$2:$NE$150=AH$3)*(GMW!$ND$2:$ND$150=AH$4)*(GMW!$NF$2:$NF$150=AH$1),0),$C292-1966)</f>
        <v>870193.7</v>
      </c>
      <c r="AI292" s="4" cm="1">
        <f t="array" ref="AI292">INDEX(GMW!$A$2:$NF$150,MATCH(1,(GMW!$NE$2:$NE$150=AI$3)*(GMW!$ND$2:$ND$150=AI$4)*(GMW!$NF$2:$NF$150=AI$1),0),$C292-1966)</f>
        <v>201.5855</v>
      </c>
      <c r="AJ292" s="4" cm="1">
        <f t="array" ref="AJ292">INDEX(GMW!$A$2:$NF$150,MATCH(1,(GMW!$NE$2:$NE$150=AJ$3)*(GMW!$ND$2:$ND$150=AJ$4)*(GMW!$NF$2:$NF$150=AJ$1),0),$C292-1966)</f>
        <v>260106.6</v>
      </c>
      <c r="AK292" s="4" cm="1">
        <f t="array" ref="AK292">INDEX(GMW!$A$2:$NF$150,MATCH(1,(GMW!$NE$2:$NE$150=AK$3)*(GMW!$ND$2:$ND$150=AK$4)*(GMW!$NF$2:$NF$150=AK$1),0),$C292-1966)</f>
        <v>96037.24</v>
      </c>
      <c r="AL292" s="4" cm="1">
        <f t="array" ref="AL292">INDEX(GMW!$A$2:$NF$150,MATCH(1,(GMW!$NE$2:$NE$150=AL$3)*(GMW!$ND$2:$ND$150=AL$4)*(GMW!$NF$2:$NF$150=AL$1),0),$C292-1966)</f>
        <v>290962.90000000002</v>
      </c>
      <c r="AM292" s="4" cm="1">
        <f t="array" ref="AM292">INDEX(GMW!$A$2:$NF$150,MATCH(1,(GMW!$NE$2:$NE$150=AM$3)*(GMW!$ND$2:$ND$150=AM$4)*(GMW!$NF$2:$NF$150=AM$1),0),$C292-1966)</f>
        <v>155899.20000000001</v>
      </c>
      <c r="AN292" s="4" cm="1">
        <f t="array" ref="AN292">INDEX(GMW!$A$2:$NF$150,MATCH(1,(GMW!$NE$2:$NE$150=AN$3)*(GMW!$ND$2:$ND$150=AN$4)*(GMW!$NF$2:$NF$150=AN$1),0),$C292-1966)</f>
        <v>169266.5</v>
      </c>
      <c r="AO292" s="4" cm="1">
        <f t="array" ref="AO292">INDEX(GMW!$A$2:$NF$150,MATCH(1,(GMW!$NE$2:$NE$150=AO$3)*(GMW!$ND$2:$ND$150=AO$4)*(GMW!$NF$2:$NF$150=AO$1),0),$C292-1966)</f>
        <v>99348.68</v>
      </c>
      <c r="AP292" s="4" cm="1">
        <f t="array" ref="AP292">INDEX(GMW!$A$2:$NF$150,MATCH(1,(GMW!$NE$2:$NE$150=AP$3)*(GMW!$ND$2:$ND$150=AP$4)*(GMW!$NF$2:$NF$150=AP$1),0),$C292-1966)</f>
        <v>870193.4</v>
      </c>
      <c r="AQ292" s="4" cm="1">
        <f t="array" ref="AQ292">INDEX(GMW!$A$2:$NF$150,MATCH(1,(GMW!$NE$2:$NE$150=AQ$3)*(GMW!$ND$2:$ND$150=AQ$4)*(GMW!$NF$2:$NF$150=AQ$1),0),$C292-1966)</f>
        <v>38346.94</v>
      </c>
      <c r="AR292" s="4" cm="1">
        <f t="array" ref="AR292">INDEX(GMW!$A$2:$NF$150,MATCH(1,(GMW!$NE$2:$NE$150=AR$3)*(GMW!$ND$2:$ND$150=AR$4)*(GMW!$NF$2:$NF$150=AR$1),0),$C292-1966)</f>
        <v>31.966170000000002</v>
      </c>
      <c r="AS292" s="4" cm="1">
        <f t="array" ref="AS292">INDEX(GMW!$A$2:$NF$150,MATCH(1,(GMW!$NE$2:$NE$150=AS$3)*(GMW!$ND$2:$ND$150=AS$4)*(GMW!$NF$2:$NF$150=AS$1),0),$C292-1966)</f>
        <v>698036.1</v>
      </c>
      <c r="AT292" s="4" cm="1">
        <f t="array" ref="AT292">INDEX(GMW!$A$2:$NF$150,MATCH(1,(GMW!$NE$2:$NE$150=AT$3)*(GMW!$ND$2:$ND$150=AT$4)*(GMW!$NF$2:$NF$150=AT$1),0),$C292-1966)</f>
        <v>46492.91</v>
      </c>
      <c r="AU292" s="4" cm="1">
        <f t="array" ref="AU292">INDEX(GMW!$A$2:$NF$150,MATCH(1,(GMW!$NE$2:$NE$150=AU$3)*(GMW!$ND$2:$ND$150=AU$4)*(GMW!$NF$2:$NF$150=AU$1),0),$C292-1966)</f>
        <v>4699812</v>
      </c>
      <c r="AV292" s="4" cm="1">
        <f t="array" ref="AV292">INDEX(GMW!$A$2:$NF$150,MATCH(1,(GMW!$NE$2:$NE$150=AV$3)*(GMW!$ND$2:$ND$150=AV$4)*(GMW!$NF$2:$NF$150=AV$1),0),$C292-1966)</f>
        <v>-1.6239840000000001</v>
      </c>
    </row>
    <row r="293" spans="1:48" x14ac:dyDescent="0.25">
      <c r="B293" s="4">
        <f t="shared" si="12"/>
        <v>2044</v>
      </c>
      <c r="C293" s="4">
        <f t="shared" si="11"/>
        <v>2259</v>
      </c>
      <c r="D293" s="4" cm="1">
        <f t="array" ref="D293">INDEX(GMW!$A$2:$NF$150,MATCH(1,(GMW!$NE$2:$NE$150=D$3)*(GMW!$ND$2:$ND$150=D$4)*(GMW!$NF$2:$NF$150=D$1),0),$C293-1966)</f>
        <v>868291.7</v>
      </c>
      <c r="E293" s="4" cm="1">
        <f t="array" ref="E293">INDEX(GMW!$A$2:$NF$150,MATCH(1,(GMW!$NE$2:$NE$150=E$3)*(GMW!$ND$2:$ND$150=E$4)*(GMW!$NF$2:$NF$150=E$1),0),$C293-1966)</f>
        <v>204.02080000000001</v>
      </c>
      <c r="F293" s="4" cm="1">
        <f t="array" ref="F293">INDEX(GMW!$A$2:$NF$150,MATCH(1,(GMW!$NE$2:$NE$150=F$3)*(GMW!$ND$2:$ND$150=F$4)*(GMW!$NF$2:$NF$150=F$1),0),$C293-1966)</f>
        <v>267641.7</v>
      </c>
      <c r="G293" s="4" cm="1">
        <f t="array" ref="G293">INDEX(GMW!$A$2:$NF$150,MATCH(1,(GMW!$NE$2:$NE$150=G$3)*(GMW!$ND$2:$ND$150=G$4)*(GMW!$NF$2:$NF$150=G$1),0),$C293-1966)</f>
        <v>88978.2</v>
      </c>
      <c r="H293" s="4" cm="1">
        <f t="array" ref="H293">INDEX(GMW!$A$2:$NF$150,MATCH(1,(GMW!$NE$2:$NE$150=H$3)*(GMW!$ND$2:$ND$150=H$4)*(GMW!$NF$2:$NF$150=H$1),0),$C293-1966)</f>
        <v>297686.09999999998</v>
      </c>
      <c r="I293" s="4" cm="1">
        <f t="array" ref="I293">INDEX(GMW!$A$2:$NF$150,MATCH(1,(GMW!$NE$2:$NE$150=I$3)*(GMW!$ND$2:$ND$150=I$4)*(GMW!$NF$2:$NF$150=I$1),0),$C293-1966)</f>
        <v>159456.4</v>
      </c>
      <c r="J293" s="4" cm="1">
        <f t="array" ref="J293">INDEX(GMW!$A$2:$NF$150,MATCH(1,(GMW!$NE$2:$NE$150=J$3)*(GMW!$ND$2:$ND$150=J$4)*(GMW!$NF$2:$NF$150=J$1),0),$C293-1966)</f>
        <v>167716</v>
      </c>
      <c r="K293" s="4" cm="1">
        <f t="array" ref="K293">INDEX(GMW!$A$2:$NF$150,MATCH(1,(GMW!$NE$2:$NE$150=K$3)*(GMW!$ND$2:$ND$150=K$4)*(GMW!$NF$2:$NF$150=K$1),0),$C293-1966)</f>
        <v>95598.35</v>
      </c>
      <c r="L293" s="4" cm="1">
        <f t="array" ref="L293">INDEX(GMW!$A$2:$NF$150,MATCH(1,(GMW!$NE$2:$NE$150=L$3)*(GMW!$ND$2:$ND$150=L$4)*(GMW!$NF$2:$NF$150=L$1),0),$C293-1966)</f>
        <v>868290.9</v>
      </c>
      <c r="M293" s="4" cm="1">
        <f t="array" ref="M293">INDEX(GMW!$A$2:$NF$150,MATCH(1,(GMW!$NE$2:$NE$150=M$3)*(GMW!$ND$2:$ND$150=M$4)*(GMW!$NF$2:$NF$150=M$1),0),$C293-1966)</f>
        <v>38664.75</v>
      </c>
      <c r="N293" s="4" cm="1">
        <f t="array" ref="N293">INDEX(GMW!$A$2:$NF$150,MATCH(1,(GMW!$NE$2:$NE$150=N$3)*(GMW!$ND$2:$ND$150=N$4)*(GMW!$NF$2:$NF$150=N$1),0),$C293-1966)</f>
        <v>31.965420000000002</v>
      </c>
      <c r="O293" s="4" cm="1">
        <f t="array" ref="O293">INDEX(GMW!$A$2:$NF$150,MATCH(1,(GMW!$NE$2:$NE$150=O$3)*(GMW!$ND$2:$ND$150=O$4)*(GMW!$NF$2:$NF$150=O$1),0),$C293-1966)</f>
        <v>700237.3</v>
      </c>
      <c r="P293" s="4" cm="1">
        <f t="array" ref="P293">INDEX(GMW!$A$2:$NF$150,MATCH(1,(GMW!$NE$2:$NE$150=P$3)*(GMW!$ND$2:$ND$150=P$4)*(GMW!$NF$2:$NF$150=P$1),0),$C293-1966)</f>
        <v>46624.05</v>
      </c>
      <c r="Q293" s="4" cm="1">
        <f t="array" ref="Q293">INDEX(GMW!$A$2:$NF$150,MATCH(1,(GMW!$NE$2:$NE$150=Q$3)*(GMW!$ND$2:$ND$150=Q$4)*(GMW!$NF$2:$NF$150=Q$1),0),$C293-1966)</f>
        <v>4629778</v>
      </c>
      <c r="R293" s="4" cm="1">
        <f t="array" ref="R293">INDEX(GMW!$A$2:$NF$150,MATCH(1,(GMW!$NE$2:$NE$150=R$3)*(GMW!$ND$2:$ND$150=R$4)*(GMW!$NF$2:$NF$150=R$1),0),$C293-1966)</f>
        <v>-1.626352</v>
      </c>
      <c r="S293" s="4" cm="1">
        <f t="array" ref="S293">INDEX(GMW!$A$2:$NF$150,MATCH(1,(GMW!$NE$2:$NE$150=S$3)*(GMW!$ND$2:$ND$150=S$4)*(GMW!$NF$2:$NF$150=S$1),0),$C293-1966)</f>
        <v>875833.9</v>
      </c>
      <c r="T293" s="4" cm="1">
        <f t="array" ref="T293">INDEX(GMW!$A$2:$NF$150,MATCH(1,(GMW!$NE$2:$NE$150=T$3)*(GMW!$ND$2:$ND$150=T$4)*(GMW!$NF$2:$NF$150=T$1),0),$C293-1966)</f>
        <v>203.90299999999999</v>
      </c>
      <c r="U293" s="4" cm="1">
        <f t="array" ref="U293">INDEX(GMW!$A$2:$NF$150,MATCH(1,(GMW!$NE$2:$NE$150=U$3)*(GMW!$ND$2:$ND$150=U$4)*(GMW!$NF$2:$NF$150=U$1),0),$C293-1966)</f>
        <v>256431.3</v>
      </c>
      <c r="V293" s="4" cm="1">
        <f t="array" ref="V293">INDEX(GMW!$A$2:$NF$150,MATCH(1,(GMW!$NE$2:$NE$150=V$3)*(GMW!$ND$2:$ND$150=V$4)*(GMW!$NF$2:$NF$150=V$1),0),$C293-1966)</f>
        <v>93772.93</v>
      </c>
      <c r="W293" s="4" cm="1">
        <f t="array" ref="W293">INDEX(GMW!$A$2:$NF$150,MATCH(1,(GMW!$NE$2:$NE$150=W$3)*(GMW!$ND$2:$ND$150=W$4)*(GMW!$NF$2:$NF$150=W$1),0),$C293-1966)</f>
        <v>288394.3</v>
      </c>
      <c r="X293" s="4" cm="1">
        <f t="array" ref="X293">INDEX(GMW!$A$2:$NF$150,MATCH(1,(GMW!$NE$2:$NE$150=X$3)*(GMW!$ND$2:$ND$150=X$4)*(GMW!$NF$2:$NF$150=X$1),0),$C293-1966)</f>
        <v>153351.4</v>
      </c>
      <c r="Y293" s="4" cm="1">
        <f t="array" ref="Y293">INDEX(GMW!$A$2:$NF$150,MATCH(1,(GMW!$NE$2:$NE$150=Y$3)*(GMW!$ND$2:$ND$150=Y$4)*(GMW!$NF$2:$NF$150=Y$1),0),$C293-1966)</f>
        <v>170604.79999999999</v>
      </c>
      <c r="Z293" s="4" cm="1">
        <f t="array" ref="Z293">INDEX(GMW!$A$2:$NF$150,MATCH(1,(GMW!$NE$2:$NE$150=Z$3)*(GMW!$ND$2:$ND$150=Z$4)*(GMW!$NF$2:$NF$150=Z$1),0),$C293-1966)</f>
        <v>98874.33</v>
      </c>
      <c r="AA293" s="4" cm="1">
        <f t="array" ref="AA293">INDEX(GMW!$A$2:$NF$150,MATCH(1,(GMW!$NE$2:$NE$150=AA$3)*(GMW!$ND$2:$ND$150=AA$4)*(GMW!$NF$2:$NF$150=AA$1),0),$C293-1966)</f>
        <v>875833.2</v>
      </c>
      <c r="AB293" s="4" cm="1">
        <f t="array" ref="AB293">INDEX(GMW!$A$2:$NF$150,MATCH(1,(GMW!$NE$2:$NE$150=AB$3)*(GMW!$ND$2:$ND$150=AB$4)*(GMW!$NF$2:$NF$150=AB$1),0),$C293-1966)</f>
        <v>38664.75</v>
      </c>
      <c r="AC293" s="4" cm="1">
        <f t="array" ref="AC293">INDEX(GMW!$A$2:$NF$150,MATCH(1,(GMW!$NE$2:$NE$150=AC$3)*(GMW!$ND$2:$ND$150=AC$4)*(GMW!$NF$2:$NF$150=AC$1),0),$C293-1966)</f>
        <v>31.965420000000002</v>
      </c>
      <c r="AD293" s="4" cm="1">
        <f t="array" ref="AD293">INDEX(GMW!$A$2:$NF$150,MATCH(1,(GMW!$NE$2:$NE$150=AD$3)*(GMW!$ND$2:$ND$150=AD$4)*(GMW!$NF$2:$NF$150=AD$1),0),$C293-1966)</f>
        <v>700237.3</v>
      </c>
      <c r="AE293" s="4" cm="1">
        <f t="array" ref="AE293">INDEX(GMW!$A$2:$NF$150,MATCH(1,(GMW!$NE$2:$NE$150=AE$3)*(GMW!$ND$2:$ND$150=AE$4)*(GMW!$NF$2:$NF$150=AE$1),0),$C293-1966)</f>
        <v>46624.05</v>
      </c>
      <c r="AF293" s="4" cm="1">
        <f t="array" ref="AF293">INDEX(GMW!$A$2:$NF$150,MATCH(1,(GMW!$NE$2:$NE$150=AF$3)*(GMW!$ND$2:$ND$150=AF$4)*(GMW!$NF$2:$NF$150=AF$1),0),$C293-1966)</f>
        <v>4718180</v>
      </c>
      <c r="AG293" s="4" cm="1">
        <f t="array" ref="AG293">INDEX(GMW!$A$2:$NF$150,MATCH(1,(GMW!$NE$2:$NE$150=AG$3)*(GMW!$ND$2:$ND$150=AG$4)*(GMW!$NF$2:$NF$150=AG$1),0),$C293-1966)</f>
        <v>-1.624309</v>
      </c>
      <c r="AH293" s="4" cm="1">
        <f t="array" ref="AH293">INDEX(GMW!$A$2:$NF$150,MATCH(1,(GMW!$NE$2:$NE$150=AH$3)*(GMW!$ND$2:$ND$150=AH$4)*(GMW!$NF$2:$NF$150=AH$1),0),$C293-1966)</f>
        <v>873498.9</v>
      </c>
      <c r="AI293" s="4" cm="1">
        <f t="array" ref="AI293">INDEX(GMW!$A$2:$NF$150,MATCH(1,(GMW!$NE$2:$NE$150=AI$3)*(GMW!$ND$2:$ND$150=AI$4)*(GMW!$NF$2:$NF$150=AI$1),0),$C293-1966)</f>
        <v>202.47540000000001</v>
      </c>
      <c r="AJ293" s="4" cm="1">
        <f t="array" ref="AJ293">INDEX(GMW!$A$2:$NF$150,MATCH(1,(GMW!$NE$2:$NE$150=AJ$3)*(GMW!$ND$2:$ND$150=AJ$4)*(GMW!$NF$2:$NF$150=AJ$1),0),$C293-1966)</f>
        <v>260997.2</v>
      </c>
      <c r="AK293" s="4" cm="1">
        <f t="array" ref="AK293">INDEX(GMW!$A$2:$NF$150,MATCH(1,(GMW!$NE$2:$NE$150=AK$3)*(GMW!$ND$2:$ND$150=AK$4)*(GMW!$NF$2:$NF$150=AK$1),0),$C293-1966)</f>
        <v>96325.19</v>
      </c>
      <c r="AL293" s="4" cm="1">
        <f t="array" ref="AL293">INDEX(GMW!$A$2:$NF$150,MATCH(1,(GMW!$NE$2:$NE$150=AL$3)*(GMW!$ND$2:$ND$150=AL$4)*(GMW!$NF$2:$NF$150=AL$1),0),$C293-1966)</f>
        <v>292052.09999999998</v>
      </c>
      <c r="AM293" s="4" cm="1">
        <f t="array" ref="AM293">INDEX(GMW!$A$2:$NF$150,MATCH(1,(GMW!$NE$2:$NE$150=AM$3)*(GMW!$ND$2:$ND$150=AM$4)*(GMW!$NF$2:$NF$150=AM$1),0),$C293-1966)</f>
        <v>156460.20000000001</v>
      </c>
      <c r="AN293" s="4" cm="1">
        <f t="array" ref="AN293">INDEX(GMW!$A$2:$NF$150,MATCH(1,(GMW!$NE$2:$NE$150=AN$3)*(GMW!$ND$2:$ND$150=AN$4)*(GMW!$NF$2:$NF$150=AN$1),0),$C293-1966)</f>
        <v>170084.3</v>
      </c>
      <c r="AO293" s="4" cm="1">
        <f t="array" ref="AO293">INDEX(GMW!$A$2:$NF$150,MATCH(1,(GMW!$NE$2:$NE$150=AO$3)*(GMW!$ND$2:$ND$150=AO$4)*(GMW!$NF$2:$NF$150=AO$1),0),$C293-1966)</f>
        <v>99865.12</v>
      </c>
      <c r="AP293" s="4" cm="1">
        <f t="array" ref="AP293">INDEX(GMW!$A$2:$NF$150,MATCH(1,(GMW!$NE$2:$NE$150=AP$3)*(GMW!$ND$2:$ND$150=AP$4)*(GMW!$NF$2:$NF$150=AP$1),0),$C293-1966)</f>
        <v>873498.4</v>
      </c>
      <c r="AQ293" s="4" cm="1">
        <f t="array" ref="AQ293">INDEX(GMW!$A$2:$NF$150,MATCH(1,(GMW!$NE$2:$NE$150=AQ$3)*(GMW!$ND$2:$ND$150=AQ$4)*(GMW!$NF$2:$NF$150=AQ$1),0),$C293-1966)</f>
        <v>38381.74</v>
      </c>
      <c r="AR293" s="4" cm="1">
        <f t="array" ref="AR293">INDEX(GMW!$A$2:$NF$150,MATCH(1,(GMW!$NE$2:$NE$150=AR$3)*(GMW!$ND$2:$ND$150=AR$4)*(GMW!$NF$2:$NF$150=AR$1),0),$C293-1966)</f>
        <v>31.965420000000002</v>
      </c>
      <c r="AS293" s="4" cm="1">
        <f t="array" ref="AS293">INDEX(GMW!$A$2:$NF$150,MATCH(1,(GMW!$NE$2:$NE$150=AS$3)*(GMW!$ND$2:$ND$150=AS$4)*(GMW!$NF$2:$NF$150=AS$1),0),$C293-1966)</f>
        <v>698692.4</v>
      </c>
      <c r="AT293" s="4" cm="1">
        <f t="array" ref="AT293">INDEX(GMW!$A$2:$NF$150,MATCH(1,(GMW!$NE$2:$NE$150=AT$3)*(GMW!$ND$2:$ND$150=AT$4)*(GMW!$NF$2:$NF$150=AT$1),0),$C293-1966)</f>
        <v>46505.65</v>
      </c>
      <c r="AU293" s="4" cm="1">
        <f t="array" ref="AU293">INDEX(GMW!$A$2:$NF$150,MATCH(1,(GMW!$NE$2:$NE$150=AU$3)*(GMW!$ND$2:$ND$150=AU$4)*(GMW!$NF$2:$NF$150=AU$1),0),$C293-1966)</f>
        <v>4722945</v>
      </c>
      <c r="AV293" s="4" cm="1">
        <f t="array" ref="AV293">INDEX(GMW!$A$2:$NF$150,MATCH(1,(GMW!$NE$2:$NE$150=AV$3)*(GMW!$ND$2:$ND$150=AV$4)*(GMW!$NF$2:$NF$150=AV$1),0),$C293-1966)</f>
        <v>-1.6226849999999999</v>
      </c>
    </row>
    <row r="294" spans="1:48" x14ac:dyDescent="0.25">
      <c r="B294" s="4">
        <f t="shared" si="12"/>
        <v>2044</v>
      </c>
      <c r="C294" s="4">
        <f t="shared" si="11"/>
        <v>2260</v>
      </c>
      <c r="D294" s="4" cm="1">
        <f t="array" ref="D294">INDEX(GMW!$A$2:$NF$150,MATCH(1,(GMW!$NE$2:$NE$150=D$3)*(GMW!$ND$2:$ND$150=D$4)*(GMW!$NF$2:$NF$150=D$1),0),$C294-1966)</f>
        <v>871526.40000000002</v>
      </c>
      <c r="E294" s="4" cm="1">
        <f t="array" ref="E294">INDEX(GMW!$A$2:$NF$150,MATCH(1,(GMW!$NE$2:$NE$150=E$3)*(GMW!$ND$2:$ND$150=E$4)*(GMW!$NF$2:$NF$150=E$1),0),$C294-1966)</f>
        <v>204.91900000000001</v>
      </c>
      <c r="F294" s="4" cm="1">
        <f t="array" ref="F294">INDEX(GMW!$A$2:$NF$150,MATCH(1,(GMW!$NE$2:$NE$150=F$3)*(GMW!$ND$2:$ND$150=F$4)*(GMW!$NF$2:$NF$150=F$1),0),$C294-1966)</f>
        <v>268564.3</v>
      </c>
      <c r="G294" s="4" cm="1">
        <f t="array" ref="G294">INDEX(GMW!$A$2:$NF$150,MATCH(1,(GMW!$NE$2:$NE$150=G$3)*(GMW!$ND$2:$ND$150=G$4)*(GMW!$NF$2:$NF$150=G$1),0),$C294-1966)</f>
        <v>89237.61</v>
      </c>
      <c r="H294" s="4" cm="1">
        <f t="array" ref="H294">INDEX(GMW!$A$2:$NF$150,MATCH(1,(GMW!$NE$2:$NE$150=H$3)*(GMW!$ND$2:$ND$150=H$4)*(GMW!$NF$2:$NF$150=H$1),0),$C294-1966)</f>
        <v>298799.8</v>
      </c>
      <c r="I294" s="4" cm="1">
        <f t="array" ref="I294">INDEX(GMW!$A$2:$NF$150,MATCH(1,(GMW!$NE$2:$NE$150=I$3)*(GMW!$ND$2:$ND$150=I$4)*(GMW!$NF$2:$NF$150=I$1),0),$C294-1966)</f>
        <v>160021.70000000001</v>
      </c>
      <c r="J294" s="4" cm="1">
        <f t="array" ref="J294">INDEX(GMW!$A$2:$NF$150,MATCH(1,(GMW!$NE$2:$NE$150=J$3)*(GMW!$ND$2:$ND$150=J$4)*(GMW!$NF$2:$NF$150=J$1),0),$C294-1966)</f>
        <v>168522.2</v>
      </c>
      <c r="K294" s="4" cm="1">
        <f t="array" ref="K294">INDEX(GMW!$A$2:$NF$150,MATCH(1,(GMW!$NE$2:$NE$150=K$3)*(GMW!$ND$2:$ND$150=K$4)*(GMW!$NF$2:$NF$150=K$1),0),$C294-1966)</f>
        <v>96097.9</v>
      </c>
      <c r="L294" s="4" cm="1">
        <f t="array" ref="L294">INDEX(GMW!$A$2:$NF$150,MATCH(1,(GMW!$NE$2:$NE$150=L$3)*(GMW!$ND$2:$ND$150=L$4)*(GMW!$NF$2:$NF$150=L$1),0),$C294-1966)</f>
        <v>871526.40000000002</v>
      </c>
      <c r="M294" s="4" cm="1">
        <f t="array" ref="M294">INDEX(GMW!$A$2:$NF$150,MATCH(1,(GMW!$NE$2:$NE$150=M$3)*(GMW!$ND$2:$ND$150=M$4)*(GMW!$NF$2:$NF$150=M$1),0),$C294-1966)</f>
        <v>38694.68</v>
      </c>
      <c r="N294" s="4" cm="1">
        <f t="array" ref="N294">INDEX(GMW!$A$2:$NF$150,MATCH(1,(GMW!$NE$2:$NE$150=N$3)*(GMW!$ND$2:$ND$150=N$4)*(GMW!$NF$2:$NF$150=N$1),0),$C294-1966)</f>
        <v>31.964670000000002</v>
      </c>
      <c r="O294" s="4" cm="1">
        <f t="array" ref="O294">INDEX(GMW!$A$2:$NF$150,MATCH(1,(GMW!$NE$2:$NE$150=O$3)*(GMW!$ND$2:$ND$150=O$4)*(GMW!$NF$2:$NF$150=O$1),0),$C294-1966)</f>
        <v>700780.3</v>
      </c>
      <c r="P294" s="4" cm="1">
        <f t="array" ref="P294">INDEX(GMW!$A$2:$NF$150,MATCH(1,(GMW!$NE$2:$NE$150=P$3)*(GMW!$ND$2:$ND$150=P$4)*(GMW!$NF$2:$NF$150=P$1),0),$C294-1966)</f>
        <v>46629.52</v>
      </c>
      <c r="Q294" s="4" cm="1">
        <f t="array" ref="Q294">INDEX(GMW!$A$2:$NF$150,MATCH(1,(GMW!$NE$2:$NE$150=Q$3)*(GMW!$ND$2:$ND$150=Q$4)*(GMW!$NF$2:$NF$150=Q$1),0),$C294-1966)</f>
        <v>4652760</v>
      </c>
      <c r="R294" s="4" cm="1">
        <f t="array" ref="R294">INDEX(GMW!$A$2:$NF$150,MATCH(1,(GMW!$NE$2:$NE$150=R$3)*(GMW!$ND$2:$ND$150=R$4)*(GMW!$NF$2:$NF$150=R$1),0),$C294-1966)</f>
        <v>-1.625051</v>
      </c>
      <c r="S294" s="4" cm="1">
        <f t="array" ref="S294">INDEX(GMW!$A$2:$NF$150,MATCH(1,(GMW!$NE$2:$NE$150=S$3)*(GMW!$ND$2:$ND$150=S$4)*(GMW!$NF$2:$NF$150=S$1),0),$C294-1966)</f>
        <v>879108.3</v>
      </c>
      <c r="T294" s="4" cm="1">
        <f t="array" ref="T294">INDEX(GMW!$A$2:$NF$150,MATCH(1,(GMW!$NE$2:$NE$150=T$3)*(GMW!$ND$2:$ND$150=T$4)*(GMW!$NF$2:$NF$150=T$1),0),$C294-1966)</f>
        <v>204.77619999999999</v>
      </c>
      <c r="U294" s="4" cm="1">
        <f t="array" ref="U294">INDEX(GMW!$A$2:$NF$150,MATCH(1,(GMW!$NE$2:$NE$150=U$3)*(GMW!$ND$2:$ND$150=U$4)*(GMW!$NF$2:$NF$150=U$1),0),$C294-1966)</f>
        <v>257304.2</v>
      </c>
      <c r="V294" s="4" cm="1">
        <f t="array" ref="V294">INDEX(GMW!$A$2:$NF$150,MATCH(1,(GMW!$NE$2:$NE$150=V$3)*(GMW!$ND$2:$ND$150=V$4)*(GMW!$NF$2:$NF$150=V$1),0),$C294-1966)</f>
        <v>94047.55</v>
      </c>
      <c r="W294" s="4" cm="1">
        <f t="array" ref="W294">INDEX(GMW!$A$2:$NF$150,MATCH(1,(GMW!$NE$2:$NE$150=W$3)*(GMW!$ND$2:$ND$150=W$4)*(GMW!$NF$2:$NF$150=W$1),0),$C294-1966)</f>
        <v>289468.7</v>
      </c>
      <c r="X294" s="4" cm="1">
        <f t="array" ref="X294">INDEX(GMW!$A$2:$NF$150,MATCH(1,(GMW!$NE$2:$NE$150=X$3)*(GMW!$ND$2:$ND$150=X$4)*(GMW!$NF$2:$NF$150=X$1),0),$C294-1966)</f>
        <v>153897.1</v>
      </c>
      <c r="Y294" s="4" cm="1">
        <f t="array" ref="Y294">INDEX(GMW!$A$2:$NF$150,MATCH(1,(GMW!$NE$2:$NE$150=Y$3)*(GMW!$ND$2:$ND$150=Y$4)*(GMW!$NF$2:$NF$150=Y$1),0),$C294-1966)</f>
        <v>171418.3</v>
      </c>
      <c r="Z294" s="4" cm="1">
        <f t="array" ref="Z294">INDEX(GMW!$A$2:$NF$150,MATCH(1,(GMW!$NE$2:$NE$150=Z$3)*(GMW!$ND$2:$ND$150=Z$4)*(GMW!$NF$2:$NF$150=Z$1),0),$C294-1966)</f>
        <v>99382.39</v>
      </c>
      <c r="AA294" s="4" cm="1">
        <f t="array" ref="AA294">INDEX(GMW!$A$2:$NF$150,MATCH(1,(GMW!$NE$2:$NE$150=AA$3)*(GMW!$ND$2:$ND$150=AA$4)*(GMW!$NF$2:$NF$150=AA$1),0),$C294-1966)</f>
        <v>879108.5</v>
      </c>
      <c r="AB294" s="4" cm="1">
        <f t="array" ref="AB294">INDEX(GMW!$A$2:$NF$150,MATCH(1,(GMW!$NE$2:$NE$150=AB$3)*(GMW!$ND$2:$ND$150=AB$4)*(GMW!$NF$2:$NF$150=AB$1),0),$C294-1966)</f>
        <v>38694.68</v>
      </c>
      <c r="AC294" s="4" cm="1">
        <f t="array" ref="AC294">INDEX(GMW!$A$2:$NF$150,MATCH(1,(GMW!$NE$2:$NE$150=AC$3)*(GMW!$ND$2:$ND$150=AC$4)*(GMW!$NF$2:$NF$150=AC$1),0),$C294-1966)</f>
        <v>31.964670000000002</v>
      </c>
      <c r="AD294" s="4" cm="1">
        <f t="array" ref="AD294">INDEX(GMW!$A$2:$NF$150,MATCH(1,(GMW!$NE$2:$NE$150=AD$3)*(GMW!$ND$2:$ND$150=AD$4)*(GMW!$NF$2:$NF$150=AD$1),0),$C294-1966)</f>
        <v>700780.3</v>
      </c>
      <c r="AE294" s="4" cm="1">
        <f t="array" ref="AE294">INDEX(GMW!$A$2:$NF$150,MATCH(1,(GMW!$NE$2:$NE$150=AE$3)*(GMW!$ND$2:$ND$150=AE$4)*(GMW!$NF$2:$NF$150=AE$1),0),$C294-1966)</f>
        <v>46629.52</v>
      </c>
      <c r="AF294" s="4" cm="1">
        <f t="array" ref="AF294">INDEX(GMW!$A$2:$NF$150,MATCH(1,(GMW!$NE$2:$NE$150=AF$3)*(GMW!$ND$2:$ND$150=AF$4)*(GMW!$NF$2:$NF$150=AF$1),0),$C294-1966)</f>
        <v>4741779</v>
      </c>
      <c r="AG294" s="4" cm="1">
        <f t="array" ref="AG294">INDEX(GMW!$A$2:$NF$150,MATCH(1,(GMW!$NE$2:$NE$150=AG$3)*(GMW!$ND$2:$ND$150=AG$4)*(GMW!$NF$2:$NF$150=AG$1),0),$C294-1966)</f>
        <v>-1.6230089999999999</v>
      </c>
      <c r="AH294" s="4" cm="1">
        <f t="array" ref="AH294">INDEX(GMW!$A$2:$NF$150,MATCH(1,(GMW!$NE$2:$NE$150=AH$3)*(GMW!$ND$2:$ND$150=AH$4)*(GMW!$NF$2:$NF$150=AH$1),0),$C294-1966)</f>
        <v>876814.7</v>
      </c>
      <c r="AI294" s="4" cm="1">
        <f t="array" ref="AI294">INDEX(GMW!$A$2:$NF$150,MATCH(1,(GMW!$NE$2:$NE$150=AI$3)*(GMW!$ND$2:$ND$150=AI$4)*(GMW!$NF$2:$NF$150=AI$1),0),$C294-1966)</f>
        <v>203.47710000000001</v>
      </c>
      <c r="AJ294" s="4" cm="1">
        <f t="array" ref="AJ294">INDEX(GMW!$A$2:$NF$150,MATCH(1,(GMW!$NE$2:$NE$150=AJ$3)*(GMW!$ND$2:$ND$150=AJ$4)*(GMW!$NF$2:$NF$150=AJ$1),0),$C294-1966)</f>
        <v>261890.9</v>
      </c>
      <c r="AK294" s="4" cm="1">
        <f t="array" ref="AK294">INDEX(GMW!$A$2:$NF$150,MATCH(1,(GMW!$NE$2:$NE$150=AK$3)*(GMW!$ND$2:$ND$150=AK$4)*(GMW!$NF$2:$NF$150=AK$1),0),$C294-1966)</f>
        <v>96613.77</v>
      </c>
      <c r="AL294" s="4" cm="1">
        <f t="array" ref="AL294">INDEX(GMW!$A$2:$NF$150,MATCH(1,(GMW!$NE$2:$NE$150=AL$3)*(GMW!$ND$2:$ND$150=AL$4)*(GMW!$NF$2:$NF$150=AL$1),0),$C294-1966)</f>
        <v>293145.2</v>
      </c>
      <c r="AM294" s="4" cm="1">
        <f t="array" ref="AM294">INDEX(GMW!$A$2:$NF$150,MATCH(1,(GMW!$NE$2:$NE$150=AM$3)*(GMW!$ND$2:$ND$150=AM$4)*(GMW!$NF$2:$NF$150=AM$1),0),$C294-1966)</f>
        <v>157022.79999999999</v>
      </c>
      <c r="AN294" s="4" cm="1">
        <f t="array" ref="AN294">INDEX(GMW!$A$2:$NF$150,MATCH(1,(GMW!$NE$2:$NE$150=AN$3)*(GMW!$ND$2:$ND$150=AN$4)*(GMW!$NF$2:$NF$150=AN$1),0),$C294-1966)</f>
        <v>170905.7</v>
      </c>
      <c r="AO294" s="4" cm="1">
        <f t="array" ref="AO294">INDEX(GMW!$A$2:$NF$150,MATCH(1,(GMW!$NE$2:$NE$150=AO$3)*(GMW!$ND$2:$ND$150=AO$4)*(GMW!$NF$2:$NF$150=AO$1),0),$C294-1966)</f>
        <v>100384</v>
      </c>
      <c r="AP294" s="4" cm="1">
        <f t="array" ref="AP294">INDEX(GMW!$A$2:$NF$150,MATCH(1,(GMW!$NE$2:$NE$150=AP$3)*(GMW!$ND$2:$ND$150=AP$4)*(GMW!$NF$2:$NF$150=AP$1),0),$C294-1966)</f>
        <v>876813.5</v>
      </c>
      <c r="AQ294" s="4" cm="1">
        <f t="array" ref="AQ294">INDEX(GMW!$A$2:$NF$150,MATCH(1,(GMW!$NE$2:$NE$150=AQ$3)*(GMW!$ND$2:$ND$150=AQ$4)*(GMW!$NF$2:$NF$150=AQ$1),0),$C294-1966)</f>
        <v>38416.54</v>
      </c>
      <c r="AR294" s="4" cm="1">
        <f t="array" ref="AR294">INDEX(GMW!$A$2:$NF$150,MATCH(1,(GMW!$NE$2:$NE$150=AR$3)*(GMW!$ND$2:$ND$150=AR$4)*(GMW!$NF$2:$NF$150=AR$1),0),$C294-1966)</f>
        <v>31.964670000000002</v>
      </c>
      <c r="AS294" s="4" cm="1">
        <f t="array" ref="AS294">INDEX(GMW!$A$2:$NF$150,MATCH(1,(GMW!$NE$2:$NE$150=AS$3)*(GMW!$ND$2:$ND$150=AS$4)*(GMW!$NF$2:$NF$150=AS$1),0),$C294-1966)</f>
        <v>699346</v>
      </c>
      <c r="AT294" s="4" cm="1">
        <f t="array" ref="AT294">INDEX(GMW!$A$2:$NF$150,MATCH(1,(GMW!$NE$2:$NE$150=AT$3)*(GMW!$ND$2:$ND$150=AT$4)*(GMW!$NF$2:$NF$150=AT$1),0),$C294-1966)</f>
        <v>46518.39</v>
      </c>
      <c r="AU294" s="4" cm="1">
        <f t="array" ref="AU294">INDEX(GMW!$A$2:$NF$150,MATCH(1,(GMW!$NE$2:$NE$150=AU$3)*(GMW!$ND$2:$ND$150=AU$4)*(GMW!$NF$2:$NF$150=AU$1),0),$C294-1966)</f>
        <v>4746201</v>
      </c>
      <c r="AV294" s="4" cm="1">
        <f t="array" ref="AV294">INDEX(GMW!$A$2:$NF$150,MATCH(1,(GMW!$NE$2:$NE$150=AV$3)*(GMW!$ND$2:$ND$150=AV$4)*(GMW!$NF$2:$NF$150=AV$1),0),$C294-1966)</f>
        <v>-1.6213869999999999</v>
      </c>
    </row>
    <row r="295" spans="1:48" x14ac:dyDescent="0.25">
      <c r="A295" s="4">
        <v>2045</v>
      </c>
      <c r="B295" s="4">
        <f t="shared" si="12"/>
        <v>2045</v>
      </c>
      <c r="C295" s="4">
        <f t="shared" si="11"/>
        <v>2261</v>
      </c>
      <c r="D295" s="4" cm="1">
        <f t="array" ref="D295">INDEX(GMW!$A$2:$NF$150,MATCH(1,(GMW!$NE$2:$NE$150=D$3)*(GMW!$ND$2:$ND$150=D$4)*(GMW!$NF$2:$NF$150=D$1),0),$C295-1966)</f>
        <v>874771.5</v>
      </c>
      <c r="E295" s="4" cm="1">
        <f t="array" ref="E295">INDEX(GMW!$A$2:$NF$150,MATCH(1,(GMW!$NE$2:$NE$150=E$3)*(GMW!$ND$2:$ND$150=E$4)*(GMW!$NF$2:$NF$150=E$1),0),$C295-1966)</f>
        <v>205.33850000000001</v>
      </c>
      <c r="F295" s="4" cm="1">
        <f t="array" ref="F295">INDEX(GMW!$A$2:$NF$150,MATCH(1,(GMW!$NE$2:$NE$150=F$3)*(GMW!$ND$2:$ND$150=F$4)*(GMW!$NF$2:$NF$150=F$1),0),$C295-1966)</f>
        <v>269490.09999999998</v>
      </c>
      <c r="G295" s="4" cm="1">
        <f t="array" ref="G295">INDEX(GMW!$A$2:$NF$150,MATCH(1,(GMW!$NE$2:$NE$150=G$3)*(GMW!$ND$2:$ND$150=G$4)*(GMW!$NF$2:$NF$150=G$1),0),$C295-1966)</f>
        <v>89497.600000000006</v>
      </c>
      <c r="H295" s="4" cm="1">
        <f t="array" ref="H295">INDEX(GMW!$A$2:$NF$150,MATCH(1,(GMW!$NE$2:$NE$150=H$3)*(GMW!$ND$2:$ND$150=H$4)*(GMW!$NF$2:$NF$150=H$1),0),$C295-1966)</f>
        <v>299917.40000000002</v>
      </c>
      <c r="I295" s="4" cm="1">
        <f t="array" ref="I295">INDEX(GMW!$A$2:$NF$150,MATCH(1,(GMW!$NE$2:$NE$150=I$3)*(GMW!$ND$2:$ND$150=I$4)*(GMW!$NF$2:$NF$150=I$1),0),$C295-1966)</f>
        <v>160588.70000000001</v>
      </c>
      <c r="J295" s="4" cm="1">
        <f t="array" ref="J295">INDEX(GMW!$A$2:$NF$150,MATCH(1,(GMW!$NE$2:$NE$150=J$3)*(GMW!$ND$2:$ND$150=J$4)*(GMW!$NF$2:$NF$150=J$1),0),$C295-1966)</f>
        <v>169331.9</v>
      </c>
      <c r="K295" s="4" cm="1">
        <f t="array" ref="K295">INDEX(GMW!$A$2:$NF$150,MATCH(1,(GMW!$NE$2:$NE$150=K$3)*(GMW!$ND$2:$ND$150=K$4)*(GMW!$NF$2:$NF$150=K$1),0),$C295-1966)</f>
        <v>96599.86</v>
      </c>
      <c r="L295" s="4" cm="1">
        <f t="array" ref="L295">INDEX(GMW!$A$2:$NF$150,MATCH(1,(GMW!$NE$2:$NE$150=L$3)*(GMW!$ND$2:$ND$150=L$4)*(GMW!$NF$2:$NF$150=L$1),0),$C295-1966)</f>
        <v>874771.4</v>
      </c>
      <c r="M295" s="4" cm="1">
        <f t="array" ref="M295">INDEX(GMW!$A$2:$NF$150,MATCH(1,(GMW!$NE$2:$NE$150=M$3)*(GMW!$ND$2:$ND$150=M$4)*(GMW!$NF$2:$NF$150=M$1),0),$C295-1966)</f>
        <v>38724.61</v>
      </c>
      <c r="N295" s="4" cm="1">
        <f t="array" ref="N295">INDEX(GMW!$A$2:$NF$150,MATCH(1,(GMW!$NE$2:$NE$150=N$3)*(GMW!$ND$2:$ND$150=N$4)*(GMW!$NF$2:$NF$150=N$1),0),$C295-1966)</f>
        <v>31.963920000000002</v>
      </c>
      <c r="O295" s="4" cm="1">
        <f t="array" ref="O295">INDEX(GMW!$A$2:$NF$150,MATCH(1,(GMW!$NE$2:$NE$150=O$3)*(GMW!$ND$2:$ND$150=O$4)*(GMW!$NF$2:$NF$150=O$1),0),$C295-1966)</f>
        <v>701320.6</v>
      </c>
      <c r="P295" s="4" cm="1">
        <f t="array" ref="P295">INDEX(GMW!$A$2:$NF$150,MATCH(1,(GMW!$NE$2:$NE$150=P$3)*(GMW!$ND$2:$ND$150=P$4)*(GMW!$NF$2:$NF$150=P$1),0),$C295-1966)</f>
        <v>46635</v>
      </c>
      <c r="Q295" s="4" cm="1">
        <f t="array" ref="Q295">INDEX(GMW!$A$2:$NF$150,MATCH(1,(GMW!$NE$2:$NE$150=Q$3)*(GMW!$ND$2:$ND$150=Q$4)*(GMW!$NF$2:$NF$150=Q$1),0),$C295-1966)</f>
        <v>4675868</v>
      </c>
      <c r="R295" s="4" cm="1">
        <f t="array" ref="R295">INDEX(GMW!$A$2:$NF$150,MATCH(1,(GMW!$NE$2:$NE$150=R$3)*(GMW!$ND$2:$ND$150=R$4)*(GMW!$NF$2:$NF$150=R$1),0),$C295-1966)</f>
        <v>-1.6237509999999999</v>
      </c>
      <c r="S295" s="4" cm="1">
        <f t="array" ref="S295">INDEX(GMW!$A$2:$NF$150,MATCH(1,(GMW!$NE$2:$NE$150=S$3)*(GMW!$ND$2:$ND$150=S$4)*(GMW!$NF$2:$NF$150=S$1),0),$C295-1966)</f>
        <v>882391.7</v>
      </c>
      <c r="T295" s="4" cm="1">
        <f t="array" ref="T295">INDEX(GMW!$A$2:$NF$150,MATCH(1,(GMW!$NE$2:$NE$150=T$3)*(GMW!$ND$2:$ND$150=T$4)*(GMW!$NF$2:$NF$150=T$1),0),$C295-1966)</f>
        <v>205.1217</v>
      </c>
      <c r="U295" s="4" cm="1">
        <f t="array" ref="U295">INDEX(GMW!$A$2:$NF$150,MATCH(1,(GMW!$NE$2:$NE$150=U$3)*(GMW!$ND$2:$ND$150=U$4)*(GMW!$NF$2:$NF$150=U$1),0),$C295-1966)</f>
        <v>258179.7</v>
      </c>
      <c r="V295" s="4" cm="1">
        <f t="array" ref="V295">INDEX(GMW!$A$2:$NF$150,MATCH(1,(GMW!$NE$2:$NE$150=V$3)*(GMW!$ND$2:$ND$150=V$4)*(GMW!$NF$2:$NF$150=V$1),0),$C295-1966)</f>
        <v>94322.63</v>
      </c>
      <c r="W295" s="4" cm="1">
        <f t="array" ref="W295">INDEX(GMW!$A$2:$NF$150,MATCH(1,(GMW!$NE$2:$NE$150=W$3)*(GMW!$ND$2:$ND$150=W$4)*(GMW!$NF$2:$NF$150=W$1),0),$C295-1966)</f>
        <v>290546.40000000002</v>
      </c>
      <c r="X295" s="4" cm="1">
        <f t="array" ref="X295">INDEX(GMW!$A$2:$NF$150,MATCH(1,(GMW!$NE$2:$NE$150=X$3)*(GMW!$ND$2:$ND$150=X$4)*(GMW!$NF$2:$NF$150=X$1),0),$C295-1966)</f>
        <v>154444.20000000001</v>
      </c>
      <c r="Y295" s="4" cm="1">
        <f t="array" ref="Y295">INDEX(GMW!$A$2:$NF$150,MATCH(1,(GMW!$NE$2:$NE$150=Y$3)*(GMW!$ND$2:$ND$150=Y$4)*(GMW!$NF$2:$NF$150=Y$1),0),$C295-1966)</f>
        <v>172235.1</v>
      </c>
      <c r="Z295" s="4" cm="1">
        <f t="array" ref="Z295">INDEX(GMW!$A$2:$NF$150,MATCH(1,(GMW!$NE$2:$NE$150=Z$3)*(GMW!$ND$2:$ND$150=Z$4)*(GMW!$NF$2:$NF$150=Z$1),0),$C295-1966)</f>
        <v>99892.72</v>
      </c>
      <c r="AA295" s="4" cm="1">
        <f t="array" ref="AA295">INDEX(GMW!$A$2:$NF$150,MATCH(1,(GMW!$NE$2:$NE$150=AA$3)*(GMW!$ND$2:$ND$150=AA$4)*(GMW!$NF$2:$NF$150=AA$1),0),$C295-1966)</f>
        <v>882391.1</v>
      </c>
      <c r="AB295" s="4" cm="1">
        <f t="array" ref="AB295">INDEX(GMW!$A$2:$NF$150,MATCH(1,(GMW!$NE$2:$NE$150=AB$3)*(GMW!$ND$2:$ND$150=AB$4)*(GMW!$NF$2:$NF$150=AB$1),0),$C295-1966)</f>
        <v>38724.61</v>
      </c>
      <c r="AC295" s="4" cm="1">
        <f t="array" ref="AC295">INDEX(GMW!$A$2:$NF$150,MATCH(1,(GMW!$NE$2:$NE$150=AC$3)*(GMW!$ND$2:$ND$150=AC$4)*(GMW!$NF$2:$NF$150=AC$1),0),$C295-1966)</f>
        <v>31.963920000000002</v>
      </c>
      <c r="AD295" s="4" cm="1">
        <f t="array" ref="AD295">INDEX(GMW!$A$2:$NF$150,MATCH(1,(GMW!$NE$2:$NE$150=AD$3)*(GMW!$ND$2:$ND$150=AD$4)*(GMW!$NF$2:$NF$150=AD$1),0),$C295-1966)</f>
        <v>701320.6</v>
      </c>
      <c r="AE295" s="4" cm="1">
        <f t="array" ref="AE295">INDEX(GMW!$A$2:$NF$150,MATCH(1,(GMW!$NE$2:$NE$150=AE$3)*(GMW!$ND$2:$ND$150=AE$4)*(GMW!$NF$2:$NF$150=AE$1),0),$C295-1966)</f>
        <v>46635</v>
      </c>
      <c r="AF295" s="4" cm="1">
        <f t="array" ref="AF295">INDEX(GMW!$A$2:$NF$150,MATCH(1,(GMW!$NE$2:$NE$150=AF$3)*(GMW!$ND$2:$ND$150=AF$4)*(GMW!$NF$2:$NF$150=AF$1),0),$C295-1966)</f>
        <v>4765486</v>
      </c>
      <c r="AG295" s="4" cm="1">
        <f t="array" ref="AG295">INDEX(GMW!$A$2:$NF$150,MATCH(1,(GMW!$NE$2:$NE$150=AG$3)*(GMW!$ND$2:$ND$150=AG$4)*(GMW!$NF$2:$NF$150=AG$1),0),$C295-1966)</f>
        <v>-1.6217109999999999</v>
      </c>
      <c r="AH295" s="4" cm="1">
        <f t="array" ref="AH295">INDEX(GMW!$A$2:$NF$150,MATCH(1,(GMW!$NE$2:$NE$150=AH$3)*(GMW!$ND$2:$ND$150=AH$4)*(GMW!$NF$2:$NF$150=AH$1),0),$C295-1966)</f>
        <v>880141.1</v>
      </c>
      <c r="AI295" s="4" cm="1">
        <f t="array" ref="AI295">INDEX(GMW!$A$2:$NF$150,MATCH(1,(GMW!$NE$2:$NE$150=AI$3)*(GMW!$ND$2:$ND$150=AI$4)*(GMW!$NF$2:$NF$150=AI$1),0),$C295-1966)</f>
        <v>203.86349999999999</v>
      </c>
      <c r="AJ295" s="4" cm="1">
        <f t="array" ref="AJ295">INDEX(GMW!$A$2:$NF$150,MATCH(1,(GMW!$NE$2:$NE$150=AJ$3)*(GMW!$ND$2:$ND$150=AJ$4)*(GMW!$NF$2:$NF$150=AJ$1),0),$C295-1966)</f>
        <v>262787.90000000002</v>
      </c>
      <c r="AK295" s="4" cm="1">
        <f t="array" ref="AK295">INDEX(GMW!$A$2:$NF$150,MATCH(1,(GMW!$NE$2:$NE$150=AK$3)*(GMW!$ND$2:$ND$150=AK$4)*(GMW!$NF$2:$NF$150=AK$1),0),$C295-1966)</f>
        <v>96903.02</v>
      </c>
      <c r="AL295" s="4" cm="1">
        <f t="array" ref="AL295">INDEX(GMW!$A$2:$NF$150,MATCH(1,(GMW!$NE$2:$NE$150=AL$3)*(GMW!$ND$2:$ND$150=AL$4)*(GMW!$NF$2:$NF$150=AL$1),0),$C295-1966)</f>
        <v>294242.09999999998</v>
      </c>
      <c r="AM295" s="4" cm="1">
        <f t="array" ref="AM295">INDEX(GMW!$A$2:$NF$150,MATCH(1,(GMW!$NE$2:$NE$150=AM$3)*(GMW!$ND$2:$ND$150=AM$4)*(GMW!$NF$2:$NF$150=AM$1),0),$C295-1966)</f>
        <v>157587.1</v>
      </c>
      <c r="AN295" s="4" cm="1">
        <f t="array" ref="AN295">INDEX(GMW!$A$2:$NF$150,MATCH(1,(GMW!$NE$2:$NE$150=AN$3)*(GMW!$ND$2:$ND$150=AN$4)*(GMW!$NF$2:$NF$150=AN$1),0),$C295-1966)</f>
        <v>171730.9</v>
      </c>
      <c r="AO295" s="4" cm="1">
        <f t="array" ref="AO295">INDEX(GMW!$A$2:$NF$150,MATCH(1,(GMW!$NE$2:$NE$150=AO$3)*(GMW!$ND$2:$ND$150=AO$4)*(GMW!$NF$2:$NF$150=AO$1),0),$C295-1966)</f>
        <v>100905.4</v>
      </c>
      <c r="AP295" s="4" cm="1">
        <f t="array" ref="AP295">INDEX(GMW!$A$2:$NF$150,MATCH(1,(GMW!$NE$2:$NE$150=AP$3)*(GMW!$ND$2:$ND$150=AP$4)*(GMW!$NF$2:$NF$150=AP$1),0),$C295-1966)</f>
        <v>880139.5</v>
      </c>
      <c r="AQ295" s="4" cm="1">
        <f t="array" ref="AQ295">INDEX(GMW!$A$2:$NF$150,MATCH(1,(GMW!$NE$2:$NE$150=AQ$3)*(GMW!$ND$2:$ND$150=AQ$4)*(GMW!$NF$2:$NF$150=AQ$1),0),$C295-1966)</f>
        <v>38451.35</v>
      </c>
      <c r="AR295" s="4" cm="1">
        <f t="array" ref="AR295">INDEX(GMW!$A$2:$NF$150,MATCH(1,(GMW!$NE$2:$NE$150=AR$3)*(GMW!$ND$2:$ND$150=AR$4)*(GMW!$NF$2:$NF$150=AR$1),0),$C295-1966)</f>
        <v>31.963920000000002</v>
      </c>
      <c r="AS295" s="4" cm="1">
        <f t="array" ref="AS295">INDEX(GMW!$A$2:$NF$150,MATCH(1,(GMW!$NE$2:$NE$150=AS$3)*(GMW!$ND$2:$ND$150=AS$4)*(GMW!$NF$2:$NF$150=AS$1),0),$C295-1966)</f>
        <v>699996.9</v>
      </c>
      <c r="AT295" s="4" cm="1">
        <f t="array" ref="AT295">INDEX(GMW!$A$2:$NF$150,MATCH(1,(GMW!$NE$2:$NE$150=AT$3)*(GMW!$ND$2:$ND$150=AT$4)*(GMW!$NF$2:$NF$150=AT$1),0),$C295-1966)</f>
        <v>46531.14</v>
      </c>
      <c r="AU295" s="4" cm="1">
        <f t="array" ref="AU295">INDEX(GMW!$A$2:$NF$150,MATCH(1,(GMW!$NE$2:$NE$150=AU$3)*(GMW!$ND$2:$ND$150=AU$4)*(GMW!$NF$2:$NF$150=AU$1),0),$C295-1966)</f>
        <v>4769581</v>
      </c>
      <c r="AV295" s="4" cm="1">
        <f t="array" ref="AV295">INDEX(GMW!$A$2:$NF$150,MATCH(1,(GMW!$NE$2:$NE$150=AV$3)*(GMW!$ND$2:$ND$150=AV$4)*(GMW!$NF$2:$NF$150=AV$1),0),$C295-1966)</f>
        <v>-1.62009</v>
      </c>
    </row>
    <row r="296" spans="1:48" x14ac:dyDescent="0.25">
      <c r="B296" s="4">
        <f t="shared" si="12"/>
        <v>2045</v>
      </c>
      <c r="C296" s="4">
        <f t="shared" si="11"/>
        <v>2262</v>
      </c>
      <c r="D296" s="4" cm="1">
        <f t="array" ref="D296">INDEX(GMW!$A$2:$NF$150,MATCH(1,(GMW!$NE$2:$NE$150=D$3)*(GMW!$ND$2:$ND$150=D$4)*(GMW!$NF$2:$NF$150=D$1),0),$C296-1966)</f>
        <v>878026.9</v>
      </c>
      <c r="E296" s="4" cm="1">
        <f t="array" ref="E296">INDEX(GMW!$A$2:$NF$150,MATCH(1,(GMW!$NE$2:$NE$150=E$3)*(GMW!$ND$2:$ND$150=E$4)*(GMW!$NF$2:$NF$150=E$1),0),$C296-1966)</f>
        <v>207.15880000000001</v>
      </c>
      <c r="F296" s="4" cm="1">
        <f t="array" ref="F296">INDEX(GMW!$A$2:$NF$150,MATCH(1,(GMW!$NE$2:$NE$150=F$3)*(GMW!$ND$2:$ND$150=F$4)*(GMW!$NF$2:$NF$150=F$1),0),$C296-1966)</f>
        <v>270418.90000000002</v>
      </c>
      <c r="G296" s="4" cm="1">
        <f t="array" ref="G296">INDEX(GMW!$A$2:$NF$150,MATCH(1,(GMW!$NE$2:$NE$150=G$3)*(GMW!$ND$2:$ND$150=G$4)*(GMW!$NF$2:$NF$150=G$1),0),$C296-1966)</f>
        <v>89758.16</v>
      </c>
      <c r="H296" s="4" cm="1">
        <f t="array" ref="H296">INDEX(GMW!$A$2:$NF$150,MATCH(1,(GMW!$NE$2:$NE$150=H$3)*(GMW!$ND$2:$ND$150=H$4)*(GMW!$NF$2:$NF$150=H$1),0),$C296-1966)</f>
        <v>301039.3</v>
      </c>
      <c r="I296" s="4" cm="1">
        <f t="array" ref="I296">INDEX(GMW!$A$2:$NF$150,MATCH(1,(GMW!$NE$2:$NE$150=I$3)*(GMW!$ND$2:$ND$150=I$4)*(GMW!$NF$2:$NF$150=I$1),0),$C296-1966)</f>
        <v>161157.5</v>
      </c>
      <c r="J296" s="4" cm="1">
        <f t="array" ref="J296">INDEX(GMW!$A$2:$NF$150,MATCH(1,(GMW!$NE$2:$NE$150=J$3)*(GMW!$ND$2:$ND$150=J$4)*(GMW!$NF$2:$NF$150=J$1),0),$C296-1966)</f>
        <v>170145.3</v>
      </c>
      <c r="K296" s="4" cm="1">
        <f t="array" ref="K296">INDEX(GMW!$A$2:$NF$150,MATCH(1,(GMW!$NE$2:$NE$150=K$3)*(GMW!$ND$2:$ND$150=K$4)*(GMW!$NF$2:$NF$150=K$1),0),$C296-1966)</f>
        <v>97104.25</v>
      </c>
      <c r="L296" s="4" cm="1">
        <f t="array" ref="L296">INDEX(GMW!$A$2:$NF$150,MATCH(1,(GMW!$NE$2:$NE$150=L$3)*(GMW!$ND$2:$ND$150=L$4)*(GMW!$NF$2:$NF$150=L$1),0),$C296-1966)</f>
        <v>878026</v>
      </c>
      <c r="M296" s="4" cm="1">
        <f t="array" ref="M296">INDEX(GMW!$A$2:$NF$150,MATCH(1,(GMW!$NE$2:$NE$150=M$3)*(GMW!$ND$2:$ND$150=M$4)*(GMW!$NF$2:$NF$150=M$1),0),$C296-1966)</f>
        <v>38754.550000000003</v>
      </c>
      <c r="N296" s="4" cm="1">
        <f t="array" ref="N296">INDEX(GMW!$A$2:$NF$150,MATCH(1,(GMW!$NE$2:$NE$150=N$3)*(GMW!$ND$2:$ND$150=N$4)*(GMW!$NF$2:$NF$150=N$1),0),$C296-1966)</f>
        <v>31.963170000000002</v>
      </c>
      <c r="O296" s="4" cm="1">
        <f t="array" ref="O296">INDEX(GMW!$A$2:$NF$150,MATCH(1,(GMW!$NE$2:$NE$150=O$3)*(GMW!$ND$2:$ND$150=O$4)*(GMW!$NF$2:$NF$150=O$1),0),$C296-1966)</f>
        <v>701858</v>
      </c>
      <c r="P296" s="4" cm="1">
        <f t="array" ref="P296">INDEX(GMW!$A$2:$NF$150,MATCH(1,(GMW!$NE$2:$NE$150=P$3)*(GMW!$ND$2:$ND$150=P$4)*(GMW!$NF$2:$NF$150=P$1),0),$C296-1966)</f>
        <v>46640.47</v>
      </c>
      <c r="Q296" s="4" cm="1">
        <f t="array" ref="Q296">INDEX(GMW!$A$2:$NF$150,MATCH(1,(GMW!$NE$2:$NE$150=Q$3)*(GMW!$ND$2:$ND$150=Q$4)*(GMW!$NF$2:$NF$150=Q$1),0),$C296-1966)</f>
        <v>4699100</v>
      </c>
      <c r="R296" s="4" cm="1">
        <f t="array" ref="R296">INDEX(GMW!$A$2:$NF$150,MATCH(1,(GMW!$NE$2:$NE$150=R$3)*(GMW!$ND$2:$ND$150=R$4)*(GMW!$NF$2:$NF$150=R$1),0),$C296-1966)</f>
        <v>-1.622452</v>
      </c>
      <c r="S296" s="4" cm="1">
        <f t="array" ref="S296">INDEX(GMW!$A$2:$NF$150,MATCH(1,(GMW!$NE$2:$NE$150=S$3)*(GMW!$ND$2:$ND$150=S$4)*(GMW!$NF$2:$NF$150=S$1),0),$C296-1966)</f>
        <v>885684.3</v>
      </c>
      <c r="T296" s="4" cm="1">
        <f t="array" ref="T296">INDEX(GMW!$A$2:$NF$150,MATCH(1,(GMW!$NE$2:$NE$150=T$3)*(GMW!$ND$2:$ND$150=T$4)*(GMW!$NF$2:$NF$150=T$1),0),$C296-1966)</f>
        <v>206.98269999999999</v>
      </c>
      <c r="U296" s="4" cm="1">
        <f t="array" ref="U296">INDEX(GMW!$A$2:$NF$150,MATCH(1,(GMW!$NE$2:$NE$150=U$3)*(GMW!$ND$2:$ND$150=U$4)*(GMW!$NF$2:$NF$150=U$1),0),$C296-1966)</f>
        <v>259057.8</v>
      </c>
      <c r="V296" s="4" cm="1">
        <f t="array" ref="V296">INDEX(GMW!$A$2:$NF$150,MATCH(1,(GMW!$NE$2:$NE$150=V$3)*(GMW!$ND$2:$ND$150=V$4)*(GMW!$NF$2:$NF$150=V$1),0),$C296-1966)</f>
        <v>94598.19</v>
      </c>
      <c r="W296" s="4" cm="1">
        <f t="array" ref="W296">INDEX(GMW!$A$2:$NF$150,MATCH(1,(GMW!$NE$2:$NE$150=W$3)*(GMW!$ND$2:$ND$150=W$4)*(GMW!$NF$2:$NF$150=W$1),0),$C296-1966)</f>
        <v>291627.7</v>
      </c>
      <c r="X296" s="4" cm="1">
        <f t="array" ref="X296">INDEX(GMW!$A$2:$NF$150,MATCH(1,(GMW!$NE$2:$NE$150=X$3)*(GMW!$ND$2:$ND$150=X$4)*(GMW!$NF$2:$NF$150=X$1),0),$C296-1966)</f>
        <v>154992.70000000001</v>
      </c>
      <c r="Y296" s="4" cm="1">
        <f t="array" ref="Y296">INDEX(GMW!$A$2:$NF$150,MATCH(1,(GMW!$NE$2:$NE$150=Y$3)*(GMW!$ND$2:$ND$150=Y$4)*(GMW!$NF$2:$NF$150=Y$1),0),$C296-1966)</f>
        <v>173055.1</v>
      </c>
      <c r="Z296" s="4" cm="1">
        <f t="array" ref="Z296">INDEX(GMW!$A$2:$NF$150,MATCH(1,(GMW!$NE$2:$NE$150=Z$3)*(GMW!$ND$2:$ND$150=Z$4)*(GMW!$NF$2:$NF$150=Z$1),0),$C296-1966)</f>
        <v>100405.3</v>
      </c>
      <c r="AA296" s="4" cm="1">
        <f t="array" ref="AA296">INDEX(GMW!$A$2:$NF$150,MATCH(1,(GMW!$NE$2:$NE$150=AA$3)*(GMW!$ND$2:$ND$150=AA$4)*(GMW!$NF$2:$NF$150=AA$1),0),$C296-1966)</f>
        <v>885682.4</v>
      </c>
      <c r="AB296" s="4" cm="1">
        <f t="array" ref="AB296">INDEX(GMW!$A$2:$NF$150,MATCH(1,(GMW!$NE$2:$NE$150=AB$3)*(GMW!$ND$2:$ND$150=AB$4)*(GMW!$NF$2:$NF$150=AB$1),0),$C296-1966)</f>
        <v>38754.550000000003</v>
      </c>
      <c r="AC296" s="4" cm="1">
        <f t="array" ref="AC296">INDEX(GMW!$A$2:$NF$150,MATCH(1,(GMW!$NE$2:$NE$150=AC$3)*(GMW!$ND$2:$ND$150=AC$4)*(GMW!$NF$2:$NF$150=AC$1),0),$C296-1966)</f>
        <v>31.963170000000002</v>
      </c>
      <c r="AD296" s="4" cm="1">
        <f t="array" ref="AD296">INDEX(GMW!$A$2:$NF$150,MATCH(1,(GMW!$NE$2:$NE$150=AD$3)*(GMW!$ND$2:$ND$150=AD$4)*(GMW!$NF$2:$NF$150=AD$1),0),$C296-1966)</f>
        <v>701858</v>
      </c>
      <c r="AE296" s="4" cm="1">
        <f t="array" ref="AE296">INDEX(GMW!$A$2:$NF$150,MATCH(1,(GMW!$NE$2:$NE$150=AE$3)*(GMW!$ND$2:$ND$150=AE$4)*(GMW!$NF$2:$NF$150=AE$1),0),$C296-1966)</f>
        <v>46640.47</v>
      </c>
      <c r="AF296" s="4" cm="1">
        <f t="array" ref="AF296">INDEX(GMW!$A$2:$NF$150,MATCH(1,(GMW!$NE$2:$NE$150=AF$3)*(GMW!$ND$2:$ND$150=AF$4)*(GMW!$NF$2:$NF$150=AF$1),0),$C296-1966)</f>
        <v>4789302</v>
      </c>
      <c r="AG296" s="4" cm="1">
        <f t="array" ref="AG296">INDEX(GMW!$A$2:$NF$150,MATCH(1,(GMW!$NE$2:$NE$150=AG$3)*(GMW!$ND$2:$ND$150=AG$4)*(GMW!$NF$2:$NF$150=AG$1),0),$C296-1966)</f>
        <v>-1.620414</v>
      </c>
      <c r="AH296" s="4" cm="1">
        <f t="array" ref="AH296">INDEX(GMW!$A$2:$NF$150,MATCH(1,(GMW!$NE$2:$NE$150=AH$3)*(GMW!$ND$2:$ND$150=AH$4)*(GMW!$NF$2:$NF$150=AH$1),0),$C296-1966)</f>
        <v>883478</v>
      </c>
      <c r="AI296" s="4" cm="1">
        <f t="array" ref="AI296">INDEX(GMW!$A$2:$NF$150,MATCH(1,(GMW!$NE$2:$NE$150=AI$3)*(GMW!$ND$2:$ND$150=AI$4)*(GMW!$NF$2:$NF$150=AI$1),0),$C296-1966)</f>
        <v>205.6172</v>
      </c>
      <c r="AJ296" s="4" cm="1">
        <f t="array" ref="AJ296">INDEX(GMW!$A$2:$NF$150,MATCH(1,(GMW!$NE$2:$NE$150=AJ$3)*(GMW!$ND$2:$ND$150=AJ$4)*(GMW!$NF$2:$NF$150=AJ$1),0),$C296-1966)</f>
        <v>263687.8</v>
      </c>
      <c r="AK296" s="4" cm="1">
        <f t="array" ref="AK296">INDEX(GMW!$A$2:$NF$150,MATCH(1,(GMW!$NE$2:$NE$150=AK$3)*(GMW!$ND$2:$ND$150=AK$4)*(GMW!$NF$2:$NF$150=AK$1),0),$C296-1966)</f>
        <v>97192.88</v>
      </c>
      <c r="AL296" s="4" cm="1">
        <f t="array" ref="AL296">INDEX(GMW!$A$2:$NF$150,MATCH(1,(GMW!$NE$2:$NE$150=AL$3)*(GMW!$ND$2:$ND$150=AL$4)*(GMW!$NF$2:$NF$150=AL$1),0),$C296-1966)</f>
        <v>295342.8</v>
      </c>
      <c r="AM296" s="4" cm="1">
        <f t="array" ref="AM296">INDEX(GMW!$A$2:$NF$150,MATCH(1,(GMW!$NE$2:$NE$150=AM$3)*(GMW!$ND$2:$ND$150=AM$4)*(GMW!$NF$2:$NF$150=AM$1),0),$C296-1966)</f>
        <v>158153.1</v>
      </c>
      <c r="AN296" s="4" cm="1">
        <f t="array" ref="AN296">INDEX(GMW!$A$2:$NF$150,MATCH(1,(GMW!$NE$2:$NE$150=AN$3)*(GMW!$ND$2:$ND$150=AN$4)*(GMW!$NF$2:$NF$150=AN$1),0),$C296-1966)</f>
        <v>172559.6</v>
      </c>
      <c r="AO296" s="4" cm="1">
        <f t="array" ref="AO296">INDEX(GMW!$A$2:$NF$150,MATCH(1,(GMW!$NE$2:$NE$150=AO$3)*(GMW!$ND$2:$ND$150=AO$4)*(GMW!$NF$2:$NF$150=AO$1),0),$C296-1966)</f>
        <v>101429.2</v>
      </c>
      <c r="AP296" s="4" cm="1">
        <f t="array" ref="AP296">INDEX(GMW!$A$2:$NF$150,MATCH(1,(GMW!$NE$2:$NE$150=AP$3)*(GMW!$ND$2:$ND$150=AP$4)*(GMW!$NF$2:$NF$150=AP$1),0),$C296-1966)</f>
        <v>883478.1</v>
      </c>
      <c r="AQ296" s="4" cm="1">
        <f t="array" ref="AQ296">INDEX(GMW!$A$2:$NF$150,MATCH(1,(GMW!$NE$2:$NE$150=AQ$3)*(GMW!$ND$2:$ND$150=AQ$4)*(GMW!$NF$2:$NF$150=AQ$1),0),$C296-1966)</f>
        <v>38486.15</v>
      </c>
      <c r="AR296" s="4" cm="1">
        <f t="array" ref="AR296">INDEX(GMW!$A$2:$NF$150,MATCH(1,(GMW!$NE$2:$NE$150=AR$3)*(GMW!$ND$2:$ND$150=AR$4)*(GMW!$NF$2:$NF$150=AR$1),0),$C296-1966)</f>
        <v>31.963170000000002</v>
      </c>
      <c r="AS296" s="4" cm="1">
        <f t="array" ref="AS296">INDEX(GMW!$A$2:$NF$150,MATCH(1,(GMW!$NE$2:$NE$150=AS$3)*(GMW!$ND$2:$ND$150=AS$4)*(GMW!$NF$2:$NF$150=AS$1),0),$C296-1966)</f>
        <v>700644.9</v>
      </c>
      <c r="AT296" s="4" cm="1">
        <f t="array" ref="AT296">INDEX(GMW!$A$2:$NF$150,MATCH(1,(GMW!$NE$2:$NE$150=AT$3)*(GMW!$ND$2:$ND$150=AT$4)*(GMW!$NF$2:$NF$150=AT$1),0),$C296-1966)</f>
        <v>46543.89</v>
      </c>
      <c r="AU296" s="4" cm="1">
        <f t="array" ref="AU296">INDEX(GMW!$A$2:$NF$150,MATCH(1,(GMW!$NE$2:$NE$150=AU$3)*(GMW!$ND$2:$ND$150=AU$4)*(GMW!$NF$2:$NF$150=AU$1),0),$C296-1966)</f>
        <v>4793085</v>
      </c>
      <c r="AV296" s="4" cm="1">
        <f t="array" ref="AV296">INDEX(GMW!$A$2:$NF$150,MATCH(1,(GMW!$NE$2:$NE$150=AV$3)*(GMW!$ND$2:$ND$150=AV$4)*(GMW!$NF$2:$NF$150=AV$1),0),$C296-1966)</f>
        <v>-1.6187940000000001</v>
      </c>
    </row>
    <row r="297" spans="1:48" x14ac:dyDescent="0.25">
      <c r="B297" s="4">
        <f t="shared" si="12"/>
        <v>2045</v>
      </c>
      <c r="C297" s="4">
        <f t="shared" si="11"/>
        <v>2263</v>
      </c>
      <c r="D297" s="4" cm="1">
        <f t="array" ref="D297">INDEX(GMW!$A$2:$NF$150,MATCH(1,(GMW!$NE$2:$NE$150=D$3)*(GMW!$ND$2:$ND$150=D$4)*(GMW!$NF$2:$NF$150=D$1),0),$C297-1966)</f>
        <v>881217.8</v>
      </c>
      <c r="E297" s="4" cm="1">
        <f t="array" ref="E297">INDEX(GMW!$A$2:$NF$150,MATCH(1,(GMW!$NE$2:$NE$150=E$3)*(GMW!$ND$2:$ND$150=E$4)*(GMW!$NF$2:$NF$150=E$1),0),$C297-1966)</f>
        <v>208.10120000000001</v>
      </c>
      <c r="F297" s="4" cm="1">
        <f t="array" ref="F297">INDEX(GMW!$A$2:$NF$150,MATCH(1,(GMW!$NE$2:$NE$150=F$3)*(GMW!$ND$2:$ND$150=F$4)*(GMW!$NF$2:$NF$150=F$1),0),$C297-1966)</f>
        <v>271328.59999999998</v>
      </c>
      <c r="G297" s="4" cm="1">
        <f t="array" ref="G297">INDEX(GMW!$A$2:$NF$150,MATCH(1,(GMW!$NE$2:$NE$150=G$3)*(GMW!$ND$2:$ND$150=G$4)*(GMW!$NF$2:$NF$150=G$1),0),$C297-1966)</f>
        <v>90011.66</v>
      </c>
      <c r="H297" s="4" cm="1">
        <f t="array" ref="H297">INDEX(GMW!$A$2:$NF$150,MATCH(1,(GMW!$NE$2:$NE$150=H$3)*(GMW!$ND$2:$ND$150=H$4)*(GMW!$NF$2:$NF$150=H$1),0),$C297-1966)</f>
        <v>302141.5</v>
      </c>
      <c r="I297" s="4" cm="1">
        <f t="array" ref="I297">INDEX(GMW!$A$2:$NF$150,MATCH(1,(GMW!$NE$2:$NE$150=I$3)*(GMW!$ND$2:$ND$150=I$4)*(GMW!$NF$2:$NF$150=I$1),0),$C297-1966)</f>
        <v>161714.1</v>
      </c>
      <c r="J297" s="4" cm="1">
        <f t="array" ref="J297">INDEX(GMW!$A$2:$NF$150,MATCH(1,(GMW!$NE$2:$NE$150=J$3)*(GMW!$ND$2:$ND$150=J$4)*(GMW!$NF$2:$NF$150=J$1),0),$C297-1966)</f>
        <v>170947.8</v>
      </c>
      <c r="K297" s="4" cm="1">
        <f t="array" ref="K297">INDEX(GMW!$A$2:$NF$150,MATCH(1,(GMW!$NE$2:$NE$150=K$3)*(GMW!$ND$2:$ND$150=K$4)*(GMW!$NF$2:$NF$150=K$1),0),$C297-1966)</f>
        <v>97602.8</v>
      </c>
      <c r="L297" s="4" cm="1">
        <f t="array" ref="L297">INDEX(GMW!$A$2:$NF$150,MATCH(1,(GMW!$NE$2:$NE$150=L$3)*(GMW!$ND$2:$ND$150=L$4)*(GMW!$NF$2:$NF$150=L$1),0),$C297-1966)</f>
        <v>881217.9</v>
      </c>
      <c r="M297" s="4" cm="1">
        <f t="array" ref="M297">INDEX(GMW!$A$2:$NF$150,MATCH(1,(GMW!$NE$2:$NE$150=M$3)*(GMW!$ND$2:$ND$150=M$4)*(GMW!$NF$2:$NF$150=M$1),0),$C297-1966)</f>
        <v>38779.410000000003</v>
      </c>
      <c r="N297" s="4" cm="1">
        <f t="array" ref="N297">INDEX(GMW!$A$2:$NF$150,MATCH(1,(GMW!$NE$2:$NE$150=N$3)*(GMW!$ND$2:$ND$150=N$4)*(GMW!$NF$2:$NF$150=N$1),0),$C297-1966)</f>
        <v>31.962420000000002</v>
      </c>
      <c r="O297" s="4" cm="1">
        <f t="array" ref="O297">INDEX(GMW!$A$2:$NF$150,MATCH(1,(GMW!$NE$2:$NE$150=O$3)*(GMW!$ND$2:$ND$150=O$4)*(GMW!$NF$2:$NF$150=O$1),0),$C297-1966)</f>
        <v>702391.7</v>
      </c>
      <c r="P297" s="4" cm="1">
        <f t="array" ref="P297">INDEX(GMW!$A$2:$NF$150,MATCH(1,(GMW!$NE$2:$NE$150=P$3)*(GMW!$ND$2:$ND$150=P$4)*(GMW!$NF$2:$NF$150=P$1),0),$C297-1966)</f>
        <v>46645.86</v>
      </c>
      <c r="Q297" s="4" cm="1">
        <f t="array" ref="Q297">INDEX(GMW!$A$2:$NF$150,MATCH(1,(GMW!$NE$2:$NE$150=Q$3)*(GMW!$ND$2:$ND$150=Q$4)*(GMW!$NF$2:$NF$150=Q$1),0),$C297-1966)</f>
        <v>4722446</v>
      </c>
      <c r="R297" s="4" cm="1">
        <f t="array" ref="R297">INDEX(GMW!$A$2:$NF$150,MATCH(1,(GMW!$NE$2:$NE$150=R$3)*(GMW!$ND$2:$ND$150=R$4)*(GMW!$NF$2:$NF$150=R$1),0),$C297-1966)</f>
        <v>-1.621154</v>
      </c>
      <c r="S297" s="4" cm="1">
        <f t="array" ref="S297">INDEX(GMW!$A$2:$NF$150,MATCH(1,(GMW!$NE$2:$NE$150=S$3)*(GMW!$ND$2:$ND$150=S$4)*(GMW!$NF$2:$NF$150=S$1),0),$C297-1966)</f>
        <v>888910.6</v>
      </c>
      <c r="T297" s="4" cm="1">
        <f t="array" ref="T297">INDEX(GMW!$A$2:$NF$150,MATCH(1,(GMW!$NE$2:$NE$150=T$3)*(GMW!$ND$2:$ND$150=T$4)*(GMW!$NF$2:$NF$150=T$1),0),$C297-1966)</f>
        <v>207.9811</v>
      </c>
      <c r="U297" s="4" cm="1">
        <f t="array" ref="U297">INDEX(GMW!$A$2:$NF$150,MATCH(1,(GMW!$NE$2:$NE$150=U$3)*(GMW!$ND$2:$ND$150=U$4)*(GMW!$NF$2:$NF$150=U$1),0),$C297-1966)</f>
        <v>259917.1</v>
      </c>
      <c r="V297" s="4" cm="1">
        <f t="array" ref="V297">INDEX(GMW!$A$2:$NF$150,MATCH(1,(GMW!$NE$2:$NE$150=V$3)*(GMW!$ND$2:$ND$150=V$4)*(GMW!$NF$2:$NF$150=V$1),0),$C297-1966)</f>
        <v>94866.16</v>
      </c>
      <c r="W297" s="4" cm="1">
        <f t="array" ref="W297">INDEX(GMW!$A$2:$NF$150,MATCH(1,(GMW!$NE$2:$NE$150=W$3)*(GMW!$ND$2:$ND$150=W$4)*(GMW!$NF$2:$NF$150=W$1),0),$C297-1966)</f>
        <v>292690.09999999998</v>
      </c>
      <c r="X297" s="4" cm="1">
        <f t="array" ref="X297">INDEX(GMW!$A$2:$NF$150,MATCH(1,(GMW!$NE$2:$NE$150=X$3)*(GMW!$ND$2:$ND$150=X$4)*(GMW!$NF$2:$NF$150=X$1),0),$C297-1966)</f>
        <v>155529.4</v>
      </c>
      <c r="Y297" s="4" cm="1">
        <f t="array" ref="Y297">INDEX(GMW!$A$2:$NF$150,MATCH(1,(GMW!$NE$2:$NE$150=Y$3)*(GMW!$ND$2:$ND$150=Y$4)*(GMW!$NF$2:$NF$150=Y$1),0),$C297-1966)</f>
        <v>173863.9</v>
      </c>
      <c r="Z297" s="4" cm="1">
        <f t="array" ref="Z297">INDEX(GMW!$A$2:$NF$150,MATCH(1,(GMW!$NE$2:$NE$150=Z$3)*(GMW!$ND$2:$ND$150=Z$4)*(GMW!$NF$2:$NF$150=Z$1),0),$C297-1966)</f>
        <v>100911.6</v>
      </c>
      <c r="AA297" s="4" cm="1">
        <f t="array" ref="AA297">INDEX(GMW!$A$2:$NF$150,MATCH(1,(GMW!$NE$2:$NE$150=AA$3)*(GMW!$ND$2:$ND$150=AA$4)*(GMW!$NF$2:$NF$150=AA$1),0),$C297-1966)</f>
        <v>888910.6</v>
      </c>
      <c r="AB297" s="4" cm="1">
        <f t="array" ref="AB297">INDEX(GMW!$A$2:$NF$150,MATCH(1,(GMW!$NE$2:$NE$150=AB$3)*(GMW!$ND$2:$ND$150=AB$4)*(GMW!$NF$2:$NF$150=AB$1),0),$C297-1966)</f>
        <v>38779.410000000003</v>
      </c>
      <c r="AC297" s="4" cm="1">
        <f t="array" ref="AC297">INDEX(GMW!$A$2:$NF$150,MATCH(1,(GMW!$NE$2:$NE$150=AC$3)*(GMW!$ND$2:$ND$150=AC$4)*(GMW!$NF$2:$NF$150=AC$1),0),$C297-1966)</f>
        <v>31.962420000000002</v>
      </c>
      <c r="AD297" s="4" cm="1">
        <f t="array" ref="AD297">INDEX(GMW!$A$2:$NF$150,MATCH(1,(GMW!$NE$2:$NE$150=AD$3)*(GMW!$ND$2:$ND$150=AD$4)*(GMW!$NF$2:$NF$150=AD$1),0),$C297-1966)</f>
        <v>702391.7</v>
      </c>
      <c r="AE297" s="4" cm="1">
        <f t="array" ref="AE297">INDEX(GMW!$A$2:$NF$150,MATCH(1,(GMW!$NE$2:$NE$150=AE$3)*(GMW!$ND$2:$ND$150=AE$4)*(GMW!$NF$2:$NF$150=AE$1),0),$C297-1966)</f>
        <v>46645.86</v>
      </c>
      <c r="AF297" s="4" cm="1">
        <f t="array" ref="AF297">INDEX(GMW!$A$2:$NF$150,MATCH(1,(GMW!$NE$2:$NE$150=AF$3)*(GMW!$ND$2:$ND$150=AF$4)*(GMW!$NF$2:$NF$150=AF$1),0),$C297-1966)</f>
        <v>4813214</v>
      </c>
      <c r="AG297" s="4" cm="1">
        <f t="array" ref="AG297">INDEX(GMW!$A$2:$NF$150,MATCH(1,(GMW!$NE$2:$NE$150=AG$3)*(GMW!$ND$2:$ND$150=AG$4)*(GMW!$NF$2:$NF$150=AG$1),0),$C297-1966)</f>
        <v>-1.6191169999999999</v>
      </c>
      <c r="AH297" s="4" cm="1">
        <f t="array" ref="AH297">INDEX(GMW!$A$2:$NF$150,MATCH(1,(GMW!$NE$2:$NE$150=AH$3)*(GMW!$ND$2:$ND$150=AH$4)*(GMW!$NF$2:$NF$150=AH$1),0),$C297-1966)</f>
        <v>886825.5</v>
      </c>
      <c r="AI297" s="4" cm="1">
        <f t="array" ref="AI297">INDEX(GMW!$A$2:$NF$150,MATCH(1,(GMW!$NE$2:$NE$150=AI$3)*(GMW!$ND$2:$ND$150=AI$4)*(GMW!$NF$2:$NF$150=AI$1),0),$C297-1966)</f>
        <v>206.5249</v>
      </c>
      <c r="AJ297" s="4" cm="1">
        <f t="array" ref="AJ297">INDEX(GMW!$A$2:$NF$150,MATCH(1,(GMW!$NE$2:$NE$150=AJ$3)*(GMW!$ND$2:$ND$150=AJ$4)*(GMW!$NF$2:$NF$150=AJ$1),0),$C297-1966)</f>
        <v>264590.8</v>
      </c>
      <c r="AK297" s="4" cm="1">
        <f t="array" ref="AK297">INDEX(GMW!$A$2:$NF$150,MATCH(1,(GMW!$NE$2:$NE$150=AK$3)*(GMW!$ND$2:$ND$150=AK$4)*(GMW!$NF$2:$NF$150=AK$1),0),$C297-1966)</f>
        <v>97483.4</v>
      </c>
      <c r="AL297" s="4" cm="1">
        <f t="array" ref="AL297">INDEX(GMW!$A$2:$NF$150,MATCH(1,(GMW!$NE$2:$NE$150=AL$3)*(GMW!$ND$2:$ND$150=AL$4)*(GMW!$NF$2:$NF$150=AL$1),0),$C297-1966)</f>
        <v>296447.40000000002</v>
      </c>
      <c r="AM297" s="4" cm="1">
        <f t="array" ref="AM297">INDEX(GMW!$A$2:$NF$150,MATCH(1,(GMW!$NE$2:$NE$150=AM$3)*(GMW!$ND$2:$ND$150=AM$4)*(GMW!$NF$2:$NF$150=AM$1),0),$C297-1966)</f>
        <v>158720.70000000001</v>
      </c>
      <c r="AN297" s="4" cm="1">
        <f t="array" ref="AN297">INDEX(GMW!$A$2:$NF$150,MATCH(1,(GMW!$NE$2:$NE$150=AN$3)*(GMW!$ND$2:$ND$150=AN$4)*(GMW!$NF$2:$NF$150=AN$1),0),$C297-1966)</f>
        <v>173391.9</v>
      </c>
      <c r="AO297" s="4" cm="1">
        <f t="array" ref="AO297">INDEX(GMW!$A$2:$NF$150,MATCH(1,(GMW!$NE$2:$NE$150=AO$3)*(GMW!$ND$2:$ND$150=AO$4)*(GMW!$NF$2:$NF$150=AO$1),0),$C297-1966)</f>
        <v>101955.5</v>
      </c>
      <c r="AP297" s="4" cm="1">
        <f t="array" ref="AP297">INDEX(GMW!$A$2:$NF$150,MATCH(1,(GMW!$NE$2:$NE$150=AP$3)*(GMW!$ND$2:$ND$150=AP$4)*(GMW!$NF$2:$NF$150=AP$1),0),$C297-1966)</f>
        <v>886825.1</v>
      </c>
      <c r="AQ297" s="4" cm="1">
        <f t="array" ref="AQ297">INDEX(GMW!$A$2:$NF$150,MATCH(1,(GMW!$NE$2:$NE$150=AQ$3)*(GMW!$ND$2:$ND$150=AQ$4)*(GMW!$NF$2:$NF$150=AQ$1),0),$C297-1966)</f>
        <v>38520.949999999997</v>
      </c>
      <c r="AR297" s="4" cm="1">
        <f t="array" ref="AR297">INDEX(GMW!$A$2:$NF$150,MATCH(1,(GMW!$NE$2:$NE$150=AR$3)*(GMW!$ND$2:$ND$150=AR$4)*(GMW!$NF$2:$NF$150=AR$1),0),$C297-1966)</f>
        <v>31.962420000000002</v>
      </c>
      <c r="AS297" s="4" cm="1">
        <f t="array" ref="AS297">INDEX(GMW!$A$2:$NF$150,MATCH(1,(GMW!$NE$2:$NE$150=AS$3)*(GMW!$ND$2:$ND$150=AS$4)*(GMW!$NF$2:$NF$150=AS$1),0),$C297-1966)</f>
        <v>701290.2</v>
      </c>
      <c r="AT297" s="4" cm="1">
        <f t="array" ref="AT297">INDEX(GMW!$A$2:$NF$150,MATCH(1,(GMW!$NE$2:$NE$150=AT$3)*(GMW!$ND$2:$ND$150=AT$4)*(GMW!$NF$2:$NF$150=AT$1),0),$C297-1966)</f>
        <v>46556.63</v>
      </c>
      <c r="AU297" s="4" cm="1">
        <f t="array" ref="AU297">INDEX(GMW!$A$2:$NF$150,MATCH(1,(GMW!$NE$2:$NE$150=AU$3)*(GMW!$ND$2:$ND$150=AU$4)*(GMW!$NF$2:$NF$150=AU$1),0),$C297-1966)</f>
        <v>4816712</v>
      </c>
      <c r="AV297" s="4" cm="1">
        <f t="array" ref="AV297">INDEX(GMW!$A$2:$NF$150,MATCH(1,(GMW!$NE$2:$NE$150=AV$3)*(GMW!$ND$2:$ND$150=AV$4)*(GMW!$NF$2:$NF$150=AV$1),0),$C297-1966)</f>
        <v>-1.617499</v>
      </c>
    </row>
    <row r="298" spans="1:48" x14ac:dyDescent="0.25">
      <c r="B298" s="4">
        <f t="shared" si="12"/>
        <v>2045</v>
      </c>
      <c r="C298" s="4">
        <f t="shared" si="11"/>
        <v>2264</v>
      </c>
      <c r="D298" s="4" cm="1">
        <f t="array" ref="D298">INDEX(GMW!$A$2:$NF$150,MATCH(1,(GMW!$NE$2:$NE$150=D$3)*(GMW!$ND$2:$ND$150=D$4)*(GMW!$NF$2:$NF$150=D$1),0),$C298-1966)</f>
        <v>884418</v>
      </c>
      <c r="E298" s="4" cm="1">
        <f t="array" ref="E298">INDEX(GMW!$A$2:$NF$150,MATCH(1,(GMW!$NE$2:$NE$150=E$3)*(GMW!$ND$2:$ND$150=E$4)*(GMW!$NF$2:$NF$150=E$1),0),$C298-1966)</f>
        <v>209.01740000000001</v>
      </c>
      <c r="F298" s="4" cm="1">
        <f t="array" ref="F298">INDEX(GMW!$A$2:$NF$150,MATCH(1,(GMW!$NE$2:$NE$150=F$3)*(GMW!$ND$2:$ND$150=F$4)*(GMW!$NF$2:$NF$150=F$1),0),$C298-1966)</f>
        <v>272241.09999999998</v>
      </c>
      <c r="G298" s="4" cm="1">
        <f t="array" ref="G298">INDEX(GMW!$A$2:$NF$150,MATCH(1,(GMW!$NE$2:$NE$150=G$3)*(GMW!$ND$2:$ND$150=G$4)*(GMW!$NF$2:$NF$150=G$1),0),$C298-1966)</f>
        <v>90265.63</v>
      </c>
      <c r="H298" s="4" cm="1">
        <f t="array" ref="H298">INDEX(GMW!$A$2:$NF$150,MATCH(1,(GMW!$NE$2:$NE$150=H$3)*(GMW!$ND$2:$ND$150=H$4)*(GMW!$NF$2:$NF$150=H$1),0),$C298-1966)</f>
        <v>303247.59999999998</v>
      </c>
      <c r="I298" s="4" cm="1">
        <f t="array" ref="I298">INDEX(GMW!$A$2:$NF$150,MATCH(1,(GMW!$NE$2:$NE$150=I$3)*(GMW!$ND$2:$ND$150=I$4)*(GMW!$NF$2:$NF$150=I$1),0),$C298-1966)</f>
        <v>162272.29999999999</v>
      </c>
      <c r="J298" s="4" cm="1">
        <f t="array" ref="J298">INDEX(GMW!$A$2:$NF$150,MATCH(1,(GMW!$NE$2:$NE$150=J$3)*(GMW!$ND$2:$ND$150=J$4)*(GMW!$NF$2:$NF$150=J$1),0),$C298-1966)</f>
        <v>171753.7</v>
      </c>
      <c r="K298" s="4" cm="1">
        <f t="array" ref="K298">INDEX(GMW!$A$2:$NF$150,MATCH(1,(GMW!$NE$2:$NE$150=K$3)*(GMW!$ND$2:$ND$150=K$4)*(GMW!$NF$2:$NF$150=K$1),0),$C298-1966)</f>
        <v>98103.65</v>
      </c>
      <c r="L298" s="4" cm="1">
        <f t="array" ref="L298">INDEX(GMW!$A$2:$NF$150,MATCH(1,(GMW!$NE$2:$NE$150=L$3)*(GMW!$ND$2:$ND$150=L$4)*(GMW!$NF$2:$NF$150=L$1),0),$C298-1966)</f>
        <v>884418.1</v>
      </c>
      <c r="M298" s="4" cm="1">
        <f t="array" ref="M298">INDEX(GMW!$A$2:$NF$150,MATCH(1,(GMW!$NE$2:$NE$150=M$3)*(GMW!$ND$2:$ND$150=M$4)*(GMW!$NF$2:$NF$150=M$1),0),$C298-1966)</f>
        <v>38804.269999999997</v>
      </c>
      <c r="N298" s="4" cm="1">
        <f t="array" ref="N298">INDEX(GMW!$A$2:$NF$150,MATCH(1,(GMW!$NE$2:$NE$150=N$3)*(GMW!$ND$2:$ND$150=N$4)*(GMW!$NF$2:$NF$150=N$1),0),$C298-1966)</f>
        <v>31.961670000000002</v>
      </c>
      <c r="O298" s="4" cm="1">
        <f t="array" ref="O298">INDEX(GMW!$A$2:$NF$150,MATCH(1,(GMW!$NE$2:$NE$150=O$3)*(GMW!$ND$2:$ND$150=O$4)*(GMW!$NF$2:$NF$150=O$1),0),$C298-1966)</f>
        <v>702922.6</v>
      </c>
      <c r="P298" s="4" cm="1">
        <f t="array" ref="P298">INDEX(GMW!$A$2:$NF$150,MATCH(1,(GMW!$NE$2:$NE$150=P$3)*(GMW!$ND$2:$ND$150=P$4)*(GMW!$NF$2:$NF$150=P$1),0),$C298-1966)</f>
        <v>46651.24</v>
      </c>
      <c r="Q298" s="4" cm="1">
        <f t="array" ref="Q298">INDEX(GMW!$A$2:$NF$150,MATCH(1,(GMW!$NE$2:$NE$150=Q$3)*(GMW!$ND$2:$ND$150=Q$4)*(GMW!$NF$2:$NF$150=Q$1),0),$C298-1966)</f>
        <v>4745906</v>
      </c>
      <c r="R298" s="4" cm="1">
        <f t="array" ref="R298">INDEX(GMW!$A$2:$NF$150,MATCH(1,(GMW!$NE$2:$NE$150=R$3)*(GMW!$ND$2:$ND$150=R$4)*(GMW!$NF$2:$NF$150=R$1),0),$C298-1966)</f>
        <v>-1.6198570000000001</v>
      </c>
      <c r="S298" s="4" cm="1">
        <f t="array" ref="S298">INDEX(GMW!$A$2:$NF$150,MATCH(1,(GMW!$NE$2:$NE$150=S$3)*(GMW!$ND$2:$ND$150=S$4)*(GMW!$NF$2:$NF$150=S$1),0),$C298-1966)</f>
        <v>892144.8</v>
      </c>
      <c r="T298" s="4" cm="1">
        <f t="array" ref="T298">INDEX(GMW!$A$2:$NF$150,MATCH(1,(GMW!$NE$2:$NE$150=T$3)*(GMW!$ND$2:$ND$150=T$4)*(GMW!$NF$2:$NF$150=T$1),0),$C298-1966)</f>
        <v>208.8717</v>
      </c>
      <c r="U298" s="4" cm="1">
        <f t="array" ref="U298">INDEX(GMW!$A$2:$NF$150,MATCH(1,(GMW!$NE$2:$NE$150=U$3)*(GMW!$ND$2:$ND$150=U$4)*(GMW!$NF$2:$NF$150=U$1),0),$C298-1966)</f>
        <v>260778.6</v>
      </c>
      <c r="V298" s="4" cm="1">
        <f t="array" ref="V298">INDEX(GMW!$A$2:$NF$150,MATCH(1,(GMW!$NE$2:$NE$150=V$3)*(GMW!$ND$2:$ND$150=V$4)*(GMW!$NF$2:$NF$150=V$1),0),$C298-1966)</f>
        <v>95134.48</v>
      </c>
      <c r="W298" s="4" cm="1">
        <f t="array" ref="W298">INDEX(GMW!$A$2:$NF$150,MATCH(1,(GMW!$NE$2:$NE$150=W$3)*(GMW!$ND$2:$ND$150=W$4)*(GMW!$NF$2:$NF$150=W$1),0),$C298-1966)</f>
        <v>293755.59999999998</v>
      </c>
      <c r="X298" s="4" cm="1">
        <f t="array" ref="X298">INDEX(GMW!$A$2:$NF$150,MATCH(1,(GMW!$NE$2:$NE$150=X$3)*(GMW!$ND$2:$ND$150=X$4)*(GMW!$NF$2:$NF$150=X$1),0),$C298-1966)</f>
        <v>156067.29999999999</v>
      </c>
      <c r="Y298" s="4" cm="1">
        <f t="array" ref="Y298">INDEX(GMW!$A$2:$NF$150,MATCH(1,(GMW!$NE$2:$NE$150=Y$3)*(GMW!$ND$2:$ND$150=Y$4)*(GMW!$NF$2:$NF$150=Y$1),0),$C298-1966)</f>
        <v>174675.7</v>
      </c>
      <c r="Z298" s="4" cm="1">
        <f t="array" ref="Z298">INDEX(GMW!$A$2:$NF$150,MATCH(1,(GMW!$NE$2:$NE$150=Z$3)*(GMW!$ND$2:$ND$150=Z$4)*(GMW!$NF$2:$NF$150=Z$1),0),$C298-1966)</f>
        <v>101420.1</v>
      </c>
      <c r="AA298" s="4" cm="1">
        <f t="array" ref="AA298">INDEX(GMW!$A$2:$NF$150,MATCH(1,(GMW!$NE$2:$NE$150=AA$3)*(GMW!$ND$2:$ND$150=AA$4)*(GMW!$NF$2:$NF$150=AA$1),0),$C298-1966)</f>
        <v>892143.8</v>
      </c>
      <c r="AB298" s="4" cm="1">
        <f t="array" ref="AB298">INDEX(GMW!$A$2:$NF$150,MATCH(1,(GMW!$NE$2:$NE$150=AB$3)*(GMW!$ND$2:$ND$150=AB$4)*(GMW!$NF$2:$NF$150=AB$1),0),$C298-1966)</f>
        <v>38804.269999999997</v>
      </c>
      <c r="AC298" s="4" cm="1">
        <f t="array" ref="AC298">INDEX(GMW!$A$2:$NF$150,MATCH(1,(GMW!$NE$2:$NE$150=AC$3)*(GMW!$ND$2:$ND$150=AC$4)*(GMW!$NF$2:$NF$150=AC$1),0),$C298-1966)</f>
        <v>31.961670000000002</v>
      </c>
      <c r="AD298" s="4" cm="1">
        <f t="array" ref="AD298">INDEX(GMW!$A$2:$NF$150,MATCH(1,(GMW!$NE$2:$NE$150=AD$3)*(GMW!$ND$2:$ND$150=AD$4)*(GMW!$NF$2:$NF$150=AD$1),0),$C298-1966)</f>
        <v>702922.6</v>
      </c>
      <c r="AE298" s="4" cm="1">
        <f t="array" ref="AE298">INDEX(GMW!$A$2:$NF$150,MATCH(1,(GMW!$NE$2:$NE$150=AE$3)*(GMW!$ND$2:$ND$150=AE$4)*(GMW!$NF$2:$NF$150=AE$1),0),$C298-1966)</f>
        <v>46651.24</v>
      </c>
      <c r="AF298" s="4" cm="1">
        <f t="array" ref="AF298">INDEX(GMW!$A$2:$NF$150,MATCH(1,(GMW!$NE$2:$NE$150=AF$3)*(GMW!$ND$2:$ND$150=AF$4)*(GMW!$NF$2:$NF$150=AF$1),0),$C298-1966)</f>
        <v>4837223</v>
      </c>
      <c r="AG298" s="4" cm="1">
        <f t="array" ref="AG298">INDEX(GMW!$A$2:$NF$150,MATCH(1,(GMW!$NE$2:$NE$150=AG$3)*(GMW!$ND$2:$ND$150=AG$4)*(GMW!$NF$2:$NF$150=AG$1),0),$C298-1966)</f>
        <v>-1.6178220000000001</v>
      </c>
      <c r="AH298" s="4" cm="1">
        <f t="array" ref="AH298">INDEX(GMW!$A$2:$NF$150,MATCH(1,(GMW!$NE$2:$NE$150=AH$3)*(GMW!$ND$2:$ND$150=AH$4)*(GMW!$NF$2:$NF$150=AH$1),0),$C298-1966)</f>
        <v>890183.8</v>
      </c>
      <c r="AI298" s="4" cm="1">
        <f t="array" ref="AI298">INDEX(GMW!$A$2:$NF$150,MATCH(1,(GMW!$NE$2:$NE$150=AI$3)*(GMW!$ND$2:$ND$150=AI$4)*(GMW!$NF$2:$NF$150=AI$1),0),$C298-1966)</f>
        <v>207.54660000000001</v>
      </c>
      <c r="AJ298" s="4" cm="1">
        <f t="array" ref="AJ298">INDEX(GMW!$A$2:$NF$150,MATCH(1,(GMW!$NE$2:$NE$150=AJ$3)*(GMW!$ND$2:$ND$150=AJ$4)*(GMW!$NF$2:$NF$150=AJ$1),0),$C298-1966)</f>
        <v>265497</v>
      </c>
      <c r="AK298" s="4" cm="1">
        <f t="array" ref="AK298">INDEX(GMW!$A$2:$NF$150,MATCH(1,(GMW!$NE$2:$NE$150=AK$3)*(GMW!$ND$2:$ND$150=AK$4)*(GMW!$NF$2:$NF$150=AK$1),0),$C298-1966)</f>
        <v>97774.56</v>
      </c>
      <c r="AL298" s="4" cm="1">
        <f t="array" ref="AL298">INDEX(GMW!$A$2:$NF$150,MATCH(1,(GMW!$NE$2:$NE$150=AL$3)*(GMW!$ND$2:$ND$150=AL$4)*(GMW!$NF$2:$NF$150=AL$1),0),$C298-1966)</f>
        <v>297555.90000000002</v>
      </c>
      <c r="AM298" s="4" cm="1">
        <f t="array" ref="AM298">INDEX(GMW!$A$2:$NF$150,MATCH(1,(GMW!$NE$2:$NE$150=AM$3)*(GMW!$ND$2:$ND$150=AM$4)*(GMW!$NF$2:$NF$150=AM$1),0),$C298-1966)</f>
        <v>159290</v>
      </c>
      <c r="AN298" s="4" cm="1">
        <f t="array" ref="AN298">INDEX(GMW!$A$2:$NF$150,MATCH(1,(GMW!$NE$2:$NE$150=AN$3)*(GMW!$ND$2:$ND$150=AN$4)*(GMW!$NF$2:$NF$150=AN$1),0),$C298-1966)</f>
        <v>174228</v>
      </c>
      <c r="AO298" s="4" cm="1">
        <f t="array" ref="AO298">INDEX(GMW!$A$2:$NF$150,MATCH(1,(GMW!$NE$2:$NE$150=AO$3)*(GMW!$ND$2:$ND$150=AO$4)*(GMW!$NF$2:$NF$150=AO$1),0),$C298-1966)</f>
        <v>102484.4</v>
      </c>
      <c r="AP298" s="4" cm="1">
        <f t="array" ref="AP298">INDEX(GMW!$A$2:$NF$150,MATCH(1,(GMW!$NE$2:$NE$150=AP$3)*(GMW!$ND$2:$ND$150=AP$4)*(GMW!$NF$2:$NF$150=AP$1),0),$C298-1966)</f>
        <v>890183.1</v>
      </c>
      <c r="AQ298" s="4" cm="1">
        <f t="array" ref="AQ298">INDEX(GMW!$A$2:$NF$150,MATCH(1,(GMW!$NE$2:$NE$150=AQ$3)*(GMW!$ND$2:$ND$150=AQ$4)*(GMW!$NF$2:$NF$150=AQ$1),0),$C298-1966)</f>
        <v>38555.760000000002</v>
      </c>
      <c r="AR298" s="4" cm="1">
        <f t="array" ref="AR298">INDEX(GMW!$A$2:$NF$150,MATCH(1,(GMW!$NE$2:$NE$150=AR$3)*(GMW!$ND$2:$ND$150=AR$4)*(GMW!$NF$2:$NF$150=AR$1),0),$C298-1966)</f>
        <v>31.961670000000002</v>
      </c>
      <c r="AS298" s="4" cm="1">
        <f t="array" ref="AS298">INDEX(GMW!$A$2:$NF$150,MATCH(1,(GMW!$NE$2:$NE$150=AS$3)*(GMW!$ND$2:$ND$150=AS$4)*(GMW!$NF$2:$NF$150=AS$1),0),$C298-1966)</f>
        <v>701933.1</v>
      </c>
      <c r="AT298" s="4" cm="1">
        <f t="array" ref="AT298">INDEX(GMW!$A$2:$NF$150,MATCH(1,(GMW!$NE$2:$NE$150=AT$3)*(GMW!$ND$2:$ND$150=AT$4)*(GMW!$NF$2:$NF$150=AT$1),0),$C298-1966)</f>
        <v>46569.38</v>
      </c>
      <c r="AU298" s="4" cm="1">
        <f t="array" ref="AU298">INDEX(GMW!$A$2:$NF$150,MATCH(1,(GMW!$NE$2:$NE$150=AU$3)*(GMW!$ND$2:$ND$150=AU$4)*(GMW!$NF$2:$NF$150=AU$1),0),$C298-1966)</f>
        <v>4840464</v>
      </c>
      <c r="AV298" s="4" cm="1">
        <f t="array" ref="AV298">INDEX(GMW!$A$2:$NF$150,MATCH(1,(GMW!$NE$2:$NE$150=AV$3)*(GMW!$ND$2:$ND$150=AV$4)*(GMW!$NF$2:$NF$150=AV$1),0),$C298-1966)</f>
        <v>-1.6162049999999999</v>
      </c>
    </row>
    <row r="299" spans="1:48" x14ac:dyDescent="0.25">
      <c r="A299" s="4">
        <v>2046</v>
      </c>
      <c r="B299" s="4">
        <f t="shared" si="12"/>
        <v>2046</v>
      </c>
      <c r="C299" s="4">
        <f t="shared" si="11"/>
        <v>2265</v>
      </c>
      <c r="D299" s="4" cm="1">
        <f t="array" ref="D299">INDEX(GMW!$A$2:$NF$150,MATCH(1,(GMW!$NE$2:$NE$150=D$3)*(GMW!$ND$2:$ND$150=D$4)*(GMW!$NF$2:$NF$150=D$1),0),$C299-1966)</f>
        <v>887627.3</v>
      </c>
      <c r="E299" s="4" cm="1">
        <f t="array" ref="E299">INDEX(GMW!$A$2:$NF$150,MATCH(1,(GMW!$NE$2:$NE$150=E$3)*(GMW!$ND$2:$ND$150=E$4)*(GMW!$NF$2:$NF$150=E$1),0),$C299-1966)</f>
        <v>209.4453</v>
      </c>
      <c r="F299" s="4" cm="1">
        <f t="array" ref="F299">INDEX(GMW!$A$2:$NF$150,MATCH(1,(GMW!$NE$2:$NE$150=F$3)*(GMW!$ND$2:$ND$150=F$4)*(GMW!$NF$2:$NF$150=F$1),0),$C299-1966)</f>
        <v>273156.3</v>
      </c>
      <c r="G299" s="4" cm="1">
        <f t="array" ref="G299">INDEX(GMW!$A$2:$NF$150,MATCH(1,(GMW!$NE$2:$NE$150=G$3)*(GMW!$ND$2:$ND$150=G$4)*(GMW!$NF$2:$NF$150=G$1),0),$C299-1966)</f>
        <v>90520.07</v>
      </c>
      <c r="H299" s="4" cm="1">
        <f t="array" ref="H299">INDEX(GMW!$A$2:$NF$150,MATCH(1,(GMW!$NE$2:$NE$150=H$3)*(GMW!$ND$2:$ND$150=H$4)*(GMW!$NF$2:$NF$150=H$1),0),$C299-1966)</f>
        <v>304357.3</v>
      </c>
      <c r="I299" s="4" cm="1">
        <f t="array" ref="I299">INDEX(GMW!$A$2:$NF$150,MATCH(1,(GMW!$NE$2:$NE$150=I$3)*(GMW!$ND$2:$ND$150=I$4)*(GMW!$NF$2:$NF$150=I$1),0),$C299-1966)</f>
        <v>162831.9</v>
      </c>
      <c r="J299" s="4" cm="1">
        <f t="array" ref="J299">INDEX(GMW!$A$2:$NF$150,MATCH(1,(GMW!$NE$2:$NE$150=J$3)*(GMW!$ND$2:$ND$150=J$4)*(GMW!$NF$2:$NF$150=J$1),0),$C299-1966)</f>
        <v>172562.9</v>
      </c>
      <c r="K299" s="4" cm="1">
        <f t="array" ref="K299">INDEX(GMW!$A$2:$NF$150,MATCH(1,(GMW!$NE$2:$NE$150=K$3)*(GMW!$ND$2:$ND$150=K$4)*(GMW!$NF$2:$NF$150=K$1),0),$C299-1966)</f>
        <v>98606.8</v>
      </c>
      <c r="L299" s="4" cm="1">
        <f t="array" ref="L299">INDEX(GMW!$A$2:$NF$150,MATCH(1,(GMW!$NE$2:$NE$150=L$3)*(GMW!$ND$2:$ND$150=L$4)*(GMW!$NF$2:$NF$150=L$1),0),$C299-1966)</f>
        <v>887628.1</v>
      </c>
      <c r="M299" s="4" cm="1">
        <f t="array" ref="M299">INDEX(GMW!$A$2:$NF$150,MATCH(1,(GMW!$NE$2:$NE$150=M$3)*(GMW!$ND$2:$ND$150=M$4)*(GMW!$NF$2:$NF$150=M$1),0),$C299-1966)</f>
        <v>38829.14</v>
      </c>
      <c r="N299" s="4" cm="1">
        <f t="array" ref="N299">INDEX(GMW!$A$2:$NF$150,MATCH(1,(GMW!$NE$2:$NE$150=N$3)*(GMW!$ND$2:$ND$150=N$4)*(GMW!$NF$2:$NF$150=N$1),0),$C299-1966)</f>
        <v>31.960920000000002</v>
      </c>
      <c r="O299" s="4" cm="1">
        <f t="array" ref="O299">INDEX(GMW!$A$2:$NF$150,MATCH(1,(GMW!$NE$2:$NE$150=O$3)*(GMW!$ND$2:$ND$150=O$4)*(GMW!$NF$2:$NF$150=O$1),0),$C299-1966)</f>
        <v>703450.9</v>
      </c>
      <c r="P299" s="4" cm="1">
        <f t="array" ref="P299">INDEX(GMW!$A$2:$NF$150,MATCH(1,(GMW!$NE$2:$NE$150=P$3)*(GMW!$ND$2:$ND$150=P$4)*(GMW!$NF$2:$NF$150=P$1),0),$C299-1966)</f>
        <v>46656.62</v>
      </c>
      <c r="Q299" s="4" cm="1">
        <f t="array" ref="Q299">INDEX(GMW!$A$2:$NF$150,MATCH(1,(GMW!$NE$2:$NE$150=Q$3)*(GMW!$ND$2:$ND$150=Q$4)*(GMW!$NF$2:$NF$150=Q$1),0),$C299-1966)</f>
        <v>4769479</v>
      </c>
      <c r="R299" s="4" cm="1">
        <f t="array" ref="R299">INDEX(GMW!$A$2:$NF$150,MATCH(1,(GMW!$NE$2:$NE$150=R$3)*(GMW!$ND$2:$ND$150=R$4)*(GMW!$NF$2:$NF$150=R$1),0),$C299-1966)</f>
        <v>-1.6185609999999999</v>
      </c>
      <c r="S299" s="4" cm="1">
        <f t="array" ref="S299">INDEX(GMW!$A$2:$NF$150,MATCH(1,(GMW!$NE$2:$NE$150=S$3)*(GMW!$ND$2:$ND$150=S$4)*(GMW!$NF$2:$NF$150=S$1),0),$C299-1966)</f>
        <v>895387.1</v>
      </c>
      <c r="T299" s="4" cm="1">
        <f t="array" ref="T299">INDEX(GMW!$A$2:$NF$150,MATCH(1,(GMW!$NE$2:$NE$150=T$3)*(GMW!$ND$2:$ND$150=T$4)*(GMW!$NF$2:$NF$150=T$1),0),$C299-1966)</f>
        <v>209.22409999999999</v>
      </c>
      <c r="U299" s="4" cm="1">
        <f t="array" ref="U299">INDEX(GMW!$A$2:$NF$150,MATCH(1,(GMW!$NE$2:$NE$150=U$3)*(GMW!$ND$2:$ND$150=U$4)*(GMW!$NF$2:$NF$150=U$1),0),$C299-1966)</f>
        <v>261642.4</v>
      </c>
      <c r="V299" s="4" cm="1">
        <f t="array" ref="V299">INDEX(GMW!$A$2:$NF$150,MATCH(1,(GMW!$NE$2:$NE$150=V$3)*(GMW!$ND$2:$ND$150=V$4)*(GMW!$NF$2:$NF$150=V$1),0),$C299-1966)</f>
        <v>95403.16</v>
      </c>
      <c r="W299" s="4" cm="1">
        <f t="array" ref="W299">INDEX(GMW!$A$2:$NF$150,MATCH(1,(GMW!$NE$2:$NE$150=W$3)*(GMW!$ND$2:$ND$150=W$4)*(GMW!$NF$2:$NF$150=W$1),0),$C299-1966)</f>
        <v>294824.09999999998</v>
      </c>
      <c r="X299" s="4" cm="1">
        <f t="array" ref="X299">INDEX(GMW!$A$2:$NF$150,MATCH(1,(GMW!$NE$2:$NE$150=X$3)*(GMW!$ND$2:$ND$150=X$4)*(GMW!$NF$2:$NF$150=X$1),0),$C299-1966)</f>
        <v>156606.39999999999</v>
      </c>
      <c r="Y299" s="4" cm="1">
        <f t="array" ref="Y299">INDEX(GMW!$A$2:$NF$150,MATCH(1,(GMW!$NE$2:$NE$150=Y$3)*(GMW!$ND$2:$ND$150=Y$4)*(GMW!$NF$2:$NF$150=Y$1),0),$C299-1966)</f>
        <v>175490.5</v>
      </c>
      <c r="Z299" s="4" cm="1">
        <f t="array" ref="Z299">INDEX(GMW!$A$2:$NF$150,MATCH(1,(GMW!$NE$2:$NE$150=Z$3)*(GMW!$ND$2:$ND$150=Z$4)*(GMW!$NF$2:$NF$150=Z$1),0),$C299-1966)</f>
        <v>101930.6</v>
      </c>
      <c r="AA299" s="4" cm="1">
        <f t="array" ref="AA299">INDEX(GMW!$A$2:$NF$150,MATCH(1,(GMW!$NE$2:$NE$150=AA$3)*(GMW!$ND$2:$ND$150=AA$4)*(GMW!$NF$2:$NF$150=AA$1),0),$C299-1966)</f>
        <v>895387.1</v>
      </c>
      <c r="AB299" s="4" cm="1">
        <f t="array" ref="AB299">INDEX(GMW!$A$2:$NF$150,MATCH(1,(GMW!$NE$2:$NE$150=AB$3)*(GMW!$ND$2:$ND$150=AB$4)*(GMW!$NF$2:$NF$150=AB$1),0),$C299-1966)</f>
        <v>38829.14</v>
      </c>
      <c r="AC299" s="4" cm="1">
        <f t="array" ref="AC299">INDEX(GMW!$A$2:$NF$150,MATCH(1,(GMW!$NE$2:$NE$150=AC$3)*(GMW!$ND$2:$ND$150=AC$4)*(GMW!$NF$2:$NF$150=AC$1),0),$C299-1966)</f>
        <v>31.960920000000002</v>
      </c>
      <c r="AD299" s="4" cm="1">
        <f t="array" ref="AD299">INDEX(GMW!$A$2:$NF$150,MATCH(1,(GMW!$NE$2:$NE$150=AD$3)*(GMW!$ND$2:$ND$150=AD$4)*(GMW!$NF$2:$NF$150=AD$1),0),$C299-1966)</f>
        <v>703450.9</v>
      </c>
      <c r="AE299" s="4" cm="1">
        <f t="array" ref="AE299">INDEX(GMW!$A$2:$NF$150,MATCH(1,(GMW!$NE$2:$NE$150=AE$3)*(GMW!$ND$2:$ND$150=AE$4)*(GMW!$NF$2:$NF$150=AE$1),0),$C299-1966)</f>
        <v>46656.62</v>
      </c>
      <c r="AF299" s="4" cm="1">
        <f t="array" ref="AF299">INDEX(GMW!$A$2:$NF$150,MATCH(1,(GMW!$NE$2:$NE$150=AF$3)*(GMW!$ND$2:$ND$150=AF$4)*(GMW!$NF$2:$NF$150=AF$1),0),$C299-1966)</f>
        <v>4861329</v>
      </c>
      <c r="AG299" s="4" cm="1">
        <f t="array" ref="AG299">INDEX(GMW!$A$2:$NF$150,MATCH(1,(GMW!$NE$2:$NE$150=AG$3)*(GMW!$ND$2:$ND$150=AG$4)*(GMW!$NF$2:$NF$150=AG$1),0),$C299-1966)</f>
        <v>-1.616528</v>
      </c>
      <c r="AH299" s="4" cm="1">
        <f t="array" ref="AH299">INDEX(GMW!$A$2:$NF$150,MATCH(1,(GMW!$NE$2:$NE$150=AH$3)*(GMW!$ND$2:$ND$150=AH$4)*(GMW!$NF$2:$NF$150=AH$1),0),$C299-1966)</f>
        <v>893552.5</v>
      </c>
      <c r="AI299" s="4" cm="1">
        <f t="array" ref="AI299">INDEX(GMW!$A$2:$NF$150,MATCH(1,(GMW!$NE$2:$NE$150=AI$3)*(GMW!$ND$2:$ND$150=AI$4)*(GMW!$NF$2:$NF$150=AI$1),0),$C299-1966)</f>
        <v>207.9408</v>
      </c>
      <c r="AJ299" s="4" cm="1">
        <f t="array" ref="AJ299">INDEX(GMW!$A$2:$NF$150,MATCH(1,(GMW!$NE$2:$NE$150=AJ$3)*(GMW!$ND$2:$ND$150=AJ$4)*(GMW!$NF$2:$NF$150=AJ$1),0),$C299-1966)</f>
        <v>266406.2</v>
      </c>
      <c r="AK299" s="4" cm="1">
        <f t="array" ref="AK299">INDEX(GMW!$A$2:$NF$150,MATCH(1,(GMW!$NE$2:$NE$150=AK$3)*(GMW!$ND$2:$ND$150=AK$4)*(GMW!$NF$2:$NF$150=AK$1),0),$C299-1966)</f>
        <v>98066.35</v>
      </c>
      <c r="AL299" s="4" cm="1">
        <f t="array" ref="AL299">INDEX(GMW!$A$2:$NF$150,MATCH(1,(GMW!$NE$2:$NE$150=AL$3)*(GMW!$ND$2:$ND$150=AL$4)*(GMW!$NF$2:$NF$150=AL$1),0),$C299-1966)</f>
        <v>298668.3</v>
      </c>
      <c r="AM299" s="4" cm="1">
        <f t="array" ref="AM299">INDEX(GMW!$A$2:$NF$150,MATCH(1,(GMW!$NE$2:$NE$150=AM$3)*(GMW!$ND$2:$ND$150=AM$4)*(GMW!$NF$2:$NF$150=AM$1),0),$C299-1966)</f>
        <v>159860.9</v>
      </c>
      <c r="AN299" s="4" cm="1">
        <f t="array" ref="AN299">INDEX(GMW!$A$2:$NF$150,MATCH(1,(GMW!$NE$2:$NE$150=AN$3)*(GMW!$ND$2:$ND$150=AN$4)*(GMW!$NF$2:$NF$150=AN$1),0),$C299-1966)</f>
        <v>175067.7</v>
      </c>
      <c r="AO299" s="4" cm="1">
        <f t="array" ref="AO299">INDEX(GMW!$A$2:$NF$150,MATCH(1,(GMW!$NE$2:$NE$150=AO$3)*(GMW!$ND$2:$ND$150=AO$4)*(GMW!$NF$2:$NF$150=AO$1),0),$C299-1966)</f>
        <v>103015.7</v>
      </c>
      <c r="AP299" s="4" cm="1">
        <f t="array" ref="AP299">INDEX(GMW!$A$2:$NF$150,MATCH(1,(GMW!$NE$2:$NE$150=AP$3)*(GMW!$ND$2:$ND$150=AP$4)*(GMW!$NF$2:$NF$150=AP$1),0),$C299-1966)</f>
        <v>893551.3</v>
      </c>
      <c r="AQ299" s="4" cm="1">
        <f t="array" ref="AQ299">INDEX(GMW!$A$2:$NF$150,MATCH(1,(GMW!$NE$2:$NE$150=AQ$3)*(GMW!$ND$2:$ND$150=AQ$4)*(GMW!$NF$2:$NF$150=AQ$1),0),$C299-1966)</f>
        <v>38590.559999999998</v>
      </c>
      <c r="AR299" s="4" cm="1">
        <f t="array" ref="AR299">INDEX(GMW!$A$2:$NF$150,MATCH(1,(GMW!$NE$2:$NE$150=AR$3)*(GMW!$ND$2:$ND$150=AR$4)*(GMW!$NF$2:$NF$150=AR$1),0),$C299-1966)</f>
        <v>31.960920000000002</v>
      </c>
      <c r="AS299" s="4" cm="1">
        <f t="array" ref="AS299">INDEX(GMW!$A$2:$NF$150,MATCH(1,(GMW!$NE$2:$NE$150=AS$3)*(GMW!$ND$2:$ND$150=AS$4)*(GMW!$NF$2:$NF$150=AS$1),0),$C299-1966)</f>
        <v>702573.3</v>
      </c>
      <c r="AT299" s="4" cm="1">
        <f t="array" ref="AT299">INDEX(GMW!$A$2:$NF$150,MATCH(1,(GMW!$NE$2:$NE$150=AT$3)*(GMW!$ND$2:$ND$150=AT$4)*(GMW!$NF$2:$NF$150=AT$1),0),$C299-1966)</f>
        <v>46582.12</v>
      </c>
      <c r="AU299" s="4" cm="1">
        <f t="array" ref="AU299">INDEX(GMW!$A$2:$NF$150,MATCH(1,(GMW!$NE$2:$NE$150=AU$3)*(GMW!$ND$2:$ND$150=AU$4)*(GMW!$NF$2:$NF$150=AU$1),0),$C299-1966)</f>
        <v>4864340</v>
      </c>
      <c r="AV299" s="4" cm="1">
        <f t="array" ref="AV299">INDEX(GMW!$A$2:$NF$150,MATCH(1,(GMW!$NE$2:$NE$150=AV$3)*(GMW!$ND$2:$ND$150=AV$4)*(GMW!$NF$2:$NF$150=AV$1),0),$C299-1966)</f>
        <v>-1.6149119999999999</v>
      </c>
    </row>
    <row r="300" spans="1:48" x14ac:dyDescent="0.25">
      <c r="B300" s="4">
        <f t="shared" si="12"/>
        <v>2046</v>
      </c>
      <c r="C300" s="4">
        <f t="shared" si="11"/>
        <v>2266</v>
      </c>
      <c r="D300" s="4" cm="1">
        <f t="array" ref="D300">INDEX(GMW!$A$2:$NF$150,MATCH(1,(GMW!$NE$2:$NE$150=D$3)*(GMW!$ND$2:$ND$150=D$4)*(GMW!$NF$2:$NF$150=D$1),0),$C300-1966)</f>
        <v>890845.7</v>
      </c>
      <c r="E300" s="4" cm="1">
        <f t="array" ref="E300">INDEX(GMW!$A$2:$NF$150,MATCH(1,(GMW!$NE$2:$NE$150=E$3)*(GMW!$ND$2:$ND$150=E$4)*(GMW!$NF$2:$NF$150=E$1),0),$C300-1966)</f>
        <v>211.30199999999999</v>
      </c>
      <c r="F300" s="4" cm="1">
        <f t="array" ref="F300">INDEX(GMW!$A$2:$NF$150,MATCH(1,(GMW!$NE$2:$NE$150=F$3)*(GMW!$ND$2:$ND$150=F$4)*(GMW!$NF$2:$NF$150=F$1),0),$C300-1966)</f>
        <v>274074.40000000002</v>
      </c>
      <c r="G300" s="4" cm="1">
        <f t="array" ref="G300">INDEX(GMW!$A$2:$NF$150,MATCH(1,(GMW!$NE$2:$NE$150=G$3)*(GMW!$ND$2:$ND$150=G$4)*(GMW!$NF$2:$NF$150=G$1),0),$C300-1966)</f>
        <v>90774.95</v>
      </c>
      <c r="H300" s="4" cm="1">
        <f t="array" ref="H300">INDEX(GMW!$A$2:$NF$150,MATCH(1,(GMW!$NE$2:$NE$150=H$3)*(GMW!$ND$2:$ND$150=H$4)*(GMW!$NF$2:$NF$150=H$1),0),$C300-1966)</f>
        <v>305470.5</v>
      </c>
      <c r="I300" s="4" cm="1">
        <f t="array" ref="I300">INDEX(GMW!$A$2:$NF$150,MATCH(1,(GMW!$NE$2:$NE$150=I$3)*(GMW!$ND$2:$ND$150=I$4)*(GMW!$NF$2:$NF$150=I$1),0),$C300-1966)</f>
        <v>163393</v>
      </c>
      <c r="J300" s="4" cm="1">
        <f t="array" ref="J300">INDEX(GMW!$A$2:$NF$150,MATCH(1,(GMW!$NE$2:$NE$150=J$3)*(GMW!$ND$2:$ND$150=J$4)*(GMW!$NF$2:$NF$150=J$1),0),$C300-1966)</f>
        <v>173375.6</v>
      </c>
      <c r="K300" s="4" cm="1">
        <f t="array" ref="K300">INDEX(GMW!$A$2:$NF$150,MATCH(1,(GMW!$NE$2:$NE$150=K$3)*(GMW!$ND$2:$ND$150=K$4)*(GMW!$NF$2:$NF$150=K$1),0),$C300-1966)</f>
        <v>99112.24</v>
      </c>
      <c r="L300" s="4" cm="1">
        <f t="array" ref="L300">INDEX(GMW!$A$2:$NF$150,MATCH(1,(GMW!$NE$2:$NE$150=L$3)*(GMW!$ND$2:$ND$150=L$4)*(GMW!$NF$2:$NF$150=L$1),0),$C300-1966)</f>
        <v>890844.8</v>
      </c>
      <c r="M300" s="4" cm="1">
        <f t="array" ref="M300">INDEX(GMW!$A$2:$NF$150,MATCH(1,(GMW!$NE$2:$NE$150=M$3)*(GMW!$ND$2:$ND$150=M$4)*(GMW!$NF$2:$NF$150=M$1),0),$C300-1966)</f>
        <v>38853.99</v>
      </c>
      <c r="N300" s="4" cm="1">
        <f t="array" ref="N300">INDEX(GMW!$A$2:$NF$150,MATCH(1,(GMW!$NE$2:$NE$150=N$3)*(GMW!$ND$2:$ND$150=N$4)*(GMW!$NF$2:$NF$150=N$1),0),$C300-1966)</f>
        <v>31.960170000000002</v>
      </c>
      <c r="O300" s="4" cm="1">
        <f t="array" ref="O300">INDEX(GMW!$A$2:$NF$150,MATCH(1,(GMW!$NE$2:$NE$150=O$3)*(GMW!$ND$2:$ND$150=O$4)*(GMW!$NF$2:$NF$150=O$1),0),$C300-1966)</f>
        <v>703976.6</v>
      </c>
      <c r="P300" s="4" cm="1">
        <f t="array" ref="P300">INDEX(GMW!$A$2:$NF$150,MATCH(1,(GMW!$NE$2:$NE$150=P$3)*(GMW!$ND$2:$ND$150=P$4)*(GMW!$NF$2:$NF$150=P$1),0),$C300-1966)</f>
        <v>46662</v>
      </c>
      <c r="Q300" s="4" cm="1">
        <f t="array" ref="Q300">INDEX(GMW!$A$2:$NF$150,MATCH(1,(GMW!$NE$2:$NE$150=Q$3)*(GMW!$ND$2:$ND$150=Q$4)*(GMW!$NF$2:$NF$150=Q$1),0),$C300-1966)</f>
        <v>4793167</v>
      </c>
      <c r="R300" s="4" cm="1">
        <f t="array" ref="R300">INDEX(GMW!$A$2:$NF$150,MATCH(1,(GMW!$NE$2:$NE$150=R$3)*(GMW!$ND$2:$ND$150=R$4)*(GMW!$NF$2:$NF$150=R$1),0),$C300-1966)</f>
        <v>-1.617267</v>
      </c>
      <c r="S300" s="4" cm="1">
        <f t="array" ref="S300">INDEX(GMW!$A$2:$NF$150,MATCH(1,(GMW!$NE$2:$NE$150=S$3)*(GMW!$ND$2:$ND$150=S$4)*(GMW!$NF$2:$NF$150=S$1),0),$C300-1966)</f>
        <v>898637.3</v>
      </c>
      <c r="T300" s="4" cm="1">
        <f t="array" ref="T300">INDEX(GMW!$A$2:$NF$150,MATCH(1,(GMW!$NE$2:$NE$150=T$3)*(GMW!$ND$2:$ND$150=T$4)*(GMW!$NF$2:$NF$150=T$1),0),$C300-1966)</f>
        <v>211.1223</v>
      </c>
      <c r="U300" s="4" cm="1">
        <f t="array" ref="U300">INDEX(GMW!$A$2:$NF$150,MATCH(1,(GMW!$NE$2:$NE$150=U$3)*(GMW!$ND$2:$ND$150=U$4)*(GMW!$NF$2:$NF$150=U$1),0),$C300-1966)</f>
        <v>262508.5</v>
      </c>
      <c r="V300" s="4" cm="1">
        <f t="array" ref="V300">INDEX(GMW!$A$2:$NF$150,MATCH(1,(GMW!$NE$2:$NE$150=V$3)*(GMW!$ND$2:$ND$150=V$4)*(GMW!$NF$2:$NF$150=V$1),0),$C300-1966)</f>
        <v>95672.2</v>
      </c>
      <c r="W300" s="4" cm="1">
        <f t="array" ref="W300">INDEX(GMW!$A$2:$NF$150,MATCH(1,(GMW!$NE$2:$NE$150=W$3)*(GMW!$ND$2:$ND$150=W$4)*(GMW!$NF$2:$NF$150=W$1),0),$C300-1966)</f>
        <v>295895.7</v>
      </c>
      <c r="X300" s="4" cm="1">
        <f t="array" ref="X300">INDEX(GMW!$A$2:$NF$150,MATCH(1,(GMW!$NE$2:$NE$150=X$3)*(GMW!$ND$2:$ND$150=X$4)*(GMW!$NF$2:$NF$150=X$1),0),$C300-1966)</f>
        <v>157146.70000000001</v>
      </c>
      <c r="Y300" s="4" cm="1">
        <f t="array" ref="Y300">INDEX(GMW!$A$2:$NF$150,MATCH(1,(GMW!$NE$2:$NE$150=Y$3)*(GMW!$ND$2:$ND$150=Y$4)*(GMW!$NF$2:$NF$150=Y$1),0),$C300-1966)</f>
        <v>176308.6</v>
      </c>
      <c r="Z300" s="4" cm="1">
        <f t="array" ref="Z300">INDEX(GMW!$A$2:$NF$150,MATCH(1,(GMW!$NE$2:$NE$150=Z$3)*(GMW!$ND$2:$ND$150=Z$4)*(GMW!$NF$2:$NF$150=Z$1),0),$C300-1966)</f>
        <v>102443.3</v>
      </c>
      <c r="AA300" s="4" cm="1">
        <f t="array" ref="AA300">INDEX(GMW!$A$2:$NF$150,MATCH(1,(GMW!$NE$2:$NE$150=AA$3)*(GMW!$ND$2:$ND$150=AA$4)*(GMW!$NF$2:$NF$150=AA$1),0),$C300-1966)</f>
        <v>898636.1</v>
      </c>
      <c r="AB300" s="4" cm="1">
        <f t="array" ref="AB300">INDEX(GMW!$A$2:$NF$150,MATCH(1,(GMW!$NE$2:$NE$150=AB$3)*(GMW!$ND$2:$ND$150=AB$4)*(GMW!$NF$2:$NF$150=AB$1),0),$C300-1966)</f>
        <v>38853.99</v>
      </c>
      <c r="AC300" s="4" cm="1">
        <f t="array" ref="AC300">INDEX(GMW!$A$2:$NF$150,MATCH(1,(GMW!$NE$2:$NE$150=AC$3)*(GMW!$ND$2:$ND$150=AC$4)*(GMW!$NF$2:$NF$150=AC$1),0),$C300-1966)</f>
        <v>31.960170000000002</v>
      </c>
      <c r="AD300" s="4" cm="1">
        <f t="array" ref="AD300">INDEX(GMW!$A$2:$NF$150,MATCH(1,(GMW!$NE$2:$NE$150=AD$3)*(GMW!$ND$2:$ND$150=AD$4)*(GMW!$NF$2:$NF$150=AD$1),0),$C300-1966)</f>
        <v>703976.6</v>
      </c>
      <c r="AE300" s="4" cm="1">
        <f t="array" ref="AE300">INDEX(GMW!$A$2:$NF$150,MATCH(1,(GMW!$NE$2:$NE$150=AE$3)*(GMW!$ND$2:$ND$150=AE$4)*(GMW!$NF$2:$NF$150=AE$1),0),$C300-1966)</f>
        <v>46662</v>
      </c>
      <c r="AF300" s="4" cm="1">
        <f t="array" ref="AF300">INDEX(GMW!$A$2:$NF$150,MATCH(1,(GMW!$NE$2:$NE$150=AF$3)*(GMW!$ND$2:$ND$150=AF$4)*(GMW!$NF$2:$NF$150=AF$1),0),$C300-1966)</f>
        <v>4885533</v>
      </c>
      <c r="AG300" s="4" cm="1">
        <f t="array" ref="AG300">INDEX(GMW!$A$2:$NF$150,MATCH(1,(GMW!$NE$2:$NE$150=AG$3)*(GMW!$ND$2:$ND$150=AG$4)*(GMW!$NF$2:$NF$150=AG$1),0),$C300-1966)</f>
        <v>-1.6152340000000001</v>
      </c>
      <c r="AH300" s="4" cm="1">
        <f t="array" ref="AH300">INDEX(GMW!$A$2:$NF$150,MATCH(1,(GMW!$NE$2:$NE$150=AH$3)*(GMW!$ND$2:$ND$150=AH$4)*(GMW!$NF$2:$NF$150=AH$1),0),$C300-1966)</f>
        <v>896931.9</v>
      </c>
      <c r="AI300" s="4" cm="1">
        <f t="array" ref="AI300">INDEX(GMW!$A$2:$NF$150,MATCH(1,(GMW!$NE$2:$NE$150=AI$3)*(GMW!$ND$2:$ND$150=AI$4)*(GMW!$NF$2:$NF$150=AI$1),0),$C300-1966)</f>
        <v>209.7296</v>
      </c>
      <c r="AJ300" s="4" cm="1">
        <f t="array" ref="AJ300">INDEX(GMW!$A$2:$NF$150,MATCH(1,(GMW!$NE$2:$NE$150=AJ$3)*(GMW!$ND$2:$ND$150=AJ$4)*(GMW!$NF$2:$NF$150=AJ$1),0),$C300-1966)</f>
        <v>267318.59999999998</v>
      </c>
      <c r="AK300" s="4" cm="1">
        <f t="array" ref="AK300">INDEX(GMW!$A$2:$NF$150,MATCH(1,(GMW!$NE$2:$NE$150=AK$3)*(GMW!$ND$2:$ND$150=AK$4)*(GMW!$NF$2:$NF$150=AK$1),0),$C300-1966)</f>
        <v>98358.78</v>
      </c>
      <c r="AL300" s="4" cm="1">
        <f t="array" ref="AL300">INDEX(GMW!$A$2:$NF$150,MATCH(1,(GMW!$NE$2:$NE$150=AL$3)*(GMW!$ND$2:$ND$150=AL$4)*(GMW!$NF$2:$NF$150=AL$1),0),$C300-1966)</f>
        <v>299784.40000000002</v>
      </c>
      <c r="AM300" s="4" cm="1">
        <f t="array" ref="AM300">INDEX(GMW!$A$2:$NF$150,MATCH(1,(GMW!$NE$2:$NE$150=AM$3)*(GMW!$ND$2:$ND$150=AM$4)*(GMW!$NF$2:$NF$150=AM$1),0),$C300-1966)</f>
        <v>160433.5</v>
      </c>
      <c r="AN300" s="4" cm="1">
        <f t="array" ref="AN300">INDEX(GMW!$A$2:$NF$150,MATCH(1,(GMW!$NE$2:$NE$150=AN$3)*(GMW!$ND$2:$ND$150=AN$4)*(GMW!$NF$2:$NF$150=AN$1),0),$C300-1966)</f>
        <v>175911</v>
      </c>
      <c r="AO300" s="4" cm="1">
        <f t="array" ref="AO300">INDEX(GMW!$A$2:$NF$150,MATCH(1,(GMW!$NE$2:$NE$150=AO$3)*(GMW!$ND$2:$ND$150=AO$4)*(GMW!$NF$2:$NF$150=AO$1),0),$C300-1966)</f>
        <v>103549.5</v>
      </c>
      <c r="AP300" s="4" cm="1">
        <f t="array" ref="AP300">INDEX(GMW!$A$2:$NF$150,MATCH(1,(GMW!$NE$2:$NE$150=AP$3)*(GMW!$ND$2:$ND$150=AP$4)*(GMW!$NF$2:$NF$150=AP$1),0),$C300-1966)</f>
        <v>896931.4</v>
      </c>
      <c r="AQ300" s="4" cm="1">
        <f t="array" ref="AQ300">INDEX(GMW!$A$2:$NF$150,MATCH(1,(GMW!$NE$2:$NE$150=AQ$3)*(GMW!$ND$2:$ND$150=AQ$4)*(GMW!$NF$2:$NF$150=AQ$1),0),$C300-1966)</f>
        <v>38625.360000000001</v>
      </c>
      <c r="AR300" s="4" cm="1">
        <f t="array" ref="AR300">INDEX(GMW!$A$2:$NF$150,MATCH(1,(GMW!$NE$2:$NE$150=AR$3)*(GMW!$ND$2:$ND$150=AR$4)*(GMW!$NF$2:$NF$150=AR$1),0),$C300-1966)</f>
        <v>31.960170000000002</v>
      </c>
      <c r="AS300" s="4" cm="1">
        <f t="array" ref="AS300">INDEX(GMW!$A$2:$NF$150,MATCH(1,(GMW!$NE$2:$NE$150=AS$3)*(GMW!$ND$2:$ND$150=AS$4)*(GMW!$NF$2:$NF$150=AS$1),0),$C300-1966)</f>
        <v>703210.7</v>
      </c>
      <c r="AT300" s="4" cm="1">
        <f t="array" ref="AT300">INDEX(GMW!$A$2:$NF$150,MATCH(1,(GMW!$NE$2:$NE$150=AT$3)*(GMW!$ND$2:$ND$150=AT$4)*(GMW!$NF$2:$NF$150=AT$1),0),$C300-1966)</f>
        <v>46594.86</v>
      </c>
      <c r="AU300" s="4" cm="1">
        <f t="array" ref="AU300">INDEX(GMW!$A$2:$NF$150,MATCH(1,(GMW!$NE$2:$NE$150=AU$3)*(GMW!$ND$2:$ND$150=AU$4)*(GMW!$NF$2:$NF$150=AU$1),0),$C300-1966)</f>
        <v>4888340</v>
      </c>
      <c r="AV300" s="4" cm="1">
        <f t="array" ref="AV300">INDEX(GMW!$A$2:$NF$150,MATCH(1,(GMW!$NE$2:$NE$150=AV$3)*(GMW!$ND$2:$ND$150=AV$4)*(GMW!$NF$2:$NF$150=AV$1),0),$C300-1966)</f>
        <v>-1.6136200000000001</v>
      </c>
    </row>
    <row r="301" spans="1:48" x14ac:dyDescent="0.25">
      <c r="B301" s="4">
        <f t="shared" si="12"/>
        <v>2046</v>
      </c>
      <c r="C301" s="4">
        <f t="shared" si="11"/>
        <v>2267</v>
      </c>
      <c r="D301" s="4" cm="1">
        <f t="array" ref="D301">INDEX(GMW!$A$2:$NF$150,MATCH(1,(GMW!$NE$2:$NE$150=D$3)*(GMW!$ND$2:$ND$150=D$4)*(GMW!$NF$2:$NF$150=D$1),0),$C301-1966)</f>
        <v>894069.8</v>
      </c>
      <c r="E301" s="4" cm="1">
        <f t="array" ref="E301">INDEX(GMW!$A$2:$NF$150,MATCH(1,(GMW!$NE$2:$NE$150=E$3)*(GMW!$ND$2:$ND$150=E$4)*(GMW!$NF$2:$NF$150=E$1),0),$C301-1966)</f>
        <v>212.26320000000001</v>
      </c>
      <c r="F301" s="4" cm="1">
        <f t="array" ref="F301">INDEX(GMW!$A$2:$NF$150,MATCH(1,(GMW!$NE$2:$NE$150=F$3)*(GMW!$ND$2:$ND$150=F$4)*(GMW!$NF$2:$NF$150=F$1),0),$C301-1966)</f>
        <v>274994.2</v>
      </c>
      <c r="G301" s="4" cm="1">
        <f t="array" ref="G301">INDEX(GMW!$A$2:$NF$150,MATCH(1,(GMW!$NE$2:$NE$150=G$3)*(GMW!$ND$2:$ND$150=G$4)*(GMW!$NF$2:$NF$150=G$1),0),$C301-1966)</f>
        <v>91029.96</v>
      </c>
      <c r="H301" s="4" cm="1">
        <f t="array" ref="H301">INDEX(GMW!$A$2:$NF$150,MATCH(1,(GMW!$NE$2:$NE$150=H$3)*(GMW!$ND$2:$ND$150=H$4)*(GMW!$NF$2:$NF$150=H$1),0),$C301-1966)</f>
        <v>306586.3</v>
      </c>
      <c r="I301" s="4" cm="1">
        <f t="array" ref="I301">INDEX(GMW!$A$2:$NF$150,MATCH(1,(GMW!$NE$2:$NE$150=I$3)*(GMW!$ND$2:$ND$150=I$4)*(GMW!$NF$2:$NF$150=I$1),0),$C301-1966)</f>
        <v>163955</v>
      </c>
      <c r="J301" s="4" cm="1">
        <f t="array" ref="J301">INDEX(GMW!$A$2:$NF$150,MATCH(1,(GMW!$NE$2:$NE$150=J$3)*(GMW!$ND$2:$ND$150=J$4)*(GMW!$NF$2:$NF$150=J$1),0),$C301-1966)</f>
        <v>174191</v>
      </c>
      <c r="K301" s="4" cm="1">
        <f t="array" ref="K301">INDEX(GMW!$A$2:$NF$150,MATCH(1,(GMW!$NE$2:$NE$150=K$3)*(GMW!$ND$2:$ND$150=K$4)*(GMW!$NF$2:$NF$150=K$1),0),$C301-1966)</f>
        <v>99619.62</v>
      </c>
      <c r="L301" s="4" cm="1">
        <f t="array" ref="L301">INDEX(GMW!$A$2:$NF$150,MATCH(1,(GMW!$NE$2:$NE$150=L$3)*(GMW!$ND$2:$ND$150=L$4)*(GMW!$NF$2:$NF$150=L$1),0),$C301-1966)</f>
        <v>894069.6</v>
      </c>
      <c r="M301" s="4" cm="1">
        <f t="array" ref="M301">INDEX(GMW!$A$2:$NF$150,MATCH(1,(GMW!$NE$2:$NE$150=M$3)*(GMW!$ND$2:$ND$150=M$4)*(GMW!$NF$2:$NF$150=M$1),0),$C301-1966)</f>
        <v>38878.61</v>
      </c>
      <c r="N301" s="4" cm="1">
        <f t="array" ref="N301">INDEX(GMW!$A$2:$NF$150,MATCH(1,(GMW!$NE$2:$NE$150=N$3)*(GMW!$ND$2:$ND$150=N$4)*(GMW!$NF$2:$NF$150=N$1),0),$C301-1966)</f>
        <v>31.959420000000001</v>
      </c>
      <c r="O301" s="4" cm="1">
        <f t="array" ref="O301">INDEX(GMW!$A$2:$NF$150,MATCH(1,(GMW!$NE$2:$NE$150=O$3)*(GMW!$ND$2:$ND$150=O$4)*(GMW!$NF$2:$NF$150=O$1),0),$C301-1966)</f>
        <v>704521.9</v>
      </c>
      <c r="P301" s="4" cm="1">
        <f t="array" ref="P301">INDEX(GMW!$A$2:$NF$150,MATCH(1,(GMW!$NE$2:$NE$150=P$3)*(GMW!$ND$2:$ND$150=P$4)*(GMW!$NF$2:$NF$150=P$1),0),$C301-1966)</f>
        <v>46668.82</v>
      </c>
      <c r="Q301" s="4" cm="1">
        <f t="array" ref="Q301">INDEX(GMW!$A$2:$NF$150,MATCH(1,(GMW!$NE$2:$NE$150=Q$3)*(GMW!$ND$2:$ND$150=Q$4)*(GMW!$NF$2:$NF$150=Q$1),0),$C301-1966)</f>
        <v>4816969</v>
      </c>
      <c r="R301" s="4" cm="1">
        <f t="array" ref="R301">INDEX(GMW!$A$2:$NF$150,MATCH(1,(GMW!$NE$2:$NE$150=R$3)*(GMW!$ND$2:$ND$150=R$4)*(GMW!$NF$2:$NF$150=R$1),0),$C301-1966)</f>
        <v>-1.6159730000000001</v>
      </c>
      <c r="S301" s="4" cm="1">
        <f t="array" ref="S301">INDEX(GMW!$A$2:$NF$150,MATCH(1,(GMW!$NE$2:$NE$150=S$3)*(GMW!$ND$2:$ND$150=S$4)*(GMW!$NF$2:$NF$150=S$1),0),$C301-1966)</f>
        <v>901892</v>
      </c>
      <c r="T301" s="4" cm="1">
        <f t="array" ref="T301">INDEX(GMW!$A$2:$NF$150,MATCH(1,(GMW!$NE$2:$NE$150=T$3)*(GMW!$ND$2:$ND$150=T$4)*(GMW!$NF$2:$NF$150=T$1),0),$C301-1966)</f>
        <v>212.14070000000001</v>
      </c>
      <c r="U301" s="4" cm="1">
        <f t="array" ref="U301">INDEX(GMW!$A$2:$NF$150,MATCH(1,(GMW!$NE$2:$NE$150=U$3)*(GMW!$ND$2:$ND$150=U$4)*(GMW!$NF$2:$NF$150=U$1),0),$C301-1966)</f>
        <v>263376</v>
      </c>
      <c r="V301" s="4" cm="1">
        <f t="array" ref="V301">INDEX(GMW!$A$2:$NF$150,MATCH(1,(GMW!$NE$2:$NE$150=V$3)*(GMW!$ND$2:$ND$150=V$4)*(GMW!$NF$2:$NF$150=V$1),0),$C301-1966)</f>
        <v>95941.21</v>
      </c>
      <c r="W301" s="4" cm="1">
        <f t="array" ref="W301">INDEX(GMW!$A$2:$NF$150,MATCH(1,(GMW!$NE$2:$NE$150=W$3)*(GMW!$ND$2:$ND$150=W$4)*(GMW!$NF$2:$NF$150=W$1),0),$C301-1966)</f>
        <v>296969.40000000002</v>
      </c>
      <c r="X301" s="4" cm="1">
        <f t="array" ref="X301">INDEX(GMW!$A$2:$NF$150,MATCH(1,(GMW!$NE$2:$NE$150=X$3)*(GMW!$ND$2:$ND$150=X$4)*(GMW!$NF$2:$NF$150=X$1),0),$C301-1966)</f>
        <v>157687.6</v>
      </c>
      <c r="Y301" s="4" cm="1">
        <f t="array" ref="Y301">INDEX(GMW!$A$2:$NF$150,MATCH(1,(GMW!$NE$2:$NE$150=Y$3)*(GMW!$ND$2:$ND$150=Y$4)*(GMW!$NF$2:$NF$150=Y$1),0),$C301-1966)</f>
        <v>177129</v>
      </c>
      <c r="Z301" s="4" cm="1">
        <f t="array" ref="Z301">INDEX(GMW!$A$2:$NF$150,MATCH(1,(GMW!$NE$2:$NE$150=Z$3)*(GMW!$ND$2:$ND$150=Z$4)*(GMW!$NF$2:$NF$150=Z$1),0),$C301-1966)</f>
        <v>102957.8</v>
      </c>
      <c r="AA301" s="4" cm="1">
        <f t="array" ref="AA301">INDEX(GMW!$A$2:$NF$150,MATCH(1,(GMW!$NE$2:$NE$150=AA$3)*(GMW!$ND$2:$ND$150=AA$4)*(GMW!$NF$2:$NF$150=AA$1),0),$C301-1966)</f>
        <v>901891.8</v>
      </c>
      <c r="AB301" s="4" cm="1">
        <f t="array" ref="AB301">INDEX(GMW!$A$2:$NF$150,MATCH(1,(GMW!$NE$2:$NE$150=AB$3)*(GMW!$ND$2:$ND$150=AB$4)*(GMW!$NF$2:$NF$150=AB$1),0),$C301-1966)</f>
        <v>38878.61</v>
      </c>
      <c r="AC301" s="4" cm="1">
        <f t="array" ref="AC301">INDEX(GMW!$A$2:$NF$150,MATCH(1,(GMW!$NE$2:$NE$150=AC$3)*(GMW!$ND$2:$ND$150=AC$4)*(GMW!$NF$2:$NF$150=AC$1),0),$C301-1966)</f>
        <v>31.959420000000001</v>
      </c>
      <c r="AD301" s="4" cm="1">
        <f t="array" ref="AD301">INDEX(GMW!$A$2:$NF$150,MATCH(1,(GMW!$NE$2:$NE$150=AD$3)*(GMW!$ND$2:$ND$150=AD$4)*(GMW!$NF$2:$NF$150=AD$1),0),$C301-1966)</f>
        <v>704521.9</v>
      </c>
      <c r="AE301" s="4" cm="1">
        <f t="array" ref="AE301">INDEX(GMW!$A$2:$NF$150,MATCH(1,(GMW!$NE$2:$NE$150=AE$3)*(GMW!$ND$2:$ND$150=AE$4)*(GMW!$NF$2:$NF$150=AE$1),0),$C301-1966)</f>
        <v>46668.82</v>
      </c>
      <c r="AF301" s="4" cm="1">
        <f t="array" ref="AF301">INDEX(GMW!$A$2:$NF$150,MATCH(1,(GMW!$NE$2:$NE$150=AF$3)*(GMW!$ND$2:$ND$150=AF$4)*(GMW!$NF$2:$NF$150=AF$1),0),$C301-1966)</f>
        <v>4909835</v>
      </c>
      <c r="AG301" s="4" cm="1">
        <f t="array" ref="AG301">INDEX(GMW!$A$2:$NF$150,MATCH(1,(GMW!$NE$2:$NE$150=AG$3)*(GMW!$ND$2:$ND$150=AG$4)*(GMW!$NF$2:$NF$150=AG$1),0),$C301-1966)</f>
        <v>-1.613942</v>
      </c>
      <c r="AH301" s="4" cm="1">
        <f t="array" ref="AH301">INDEX(GMW!$A$2:$NF$150,MATCH(1,(GMW!$NE$2:$NE$150=AH$3)*(GMW!$ND$2:$ND$150=AH$4)*(GMW!$NF$2:$NF$150=AH$1),0),$C301-1966)</f>
        <v>900322.1</v>
      </c>
      <c r="AI301" s="4" cm="1">
        <f t="array" ref="AI301">INDEX(GMW!$A$2:$NF$150,MATCH(1,(GMW!$NE$2:$NE$150=AI$3)*(GMW!$ND$2:$ND$150=AI$4)*(GMW!$NF$2:$NF$150=AI$1),0),$C301-1966)</f>
        <v>210.65539999999999</v>
      </c>
      <c r="AJ301" s="4" cm="1">
        <f t="array" ref="AJ301">INDEX(GMW!$A$2:$NF$150,MATCH(1,(GMW!$NE$2:$NE$150=AJ$3)*(GMW!$ND$2:$ND$150=AJ$4)*(GMW!$NF$2:$NF$150=AJ$1),0),$C301-1966)</f>
        <v>268234</v>
      </c>
      <c r="AK301" s="4" cm="1">
        <f t="array" ref="AK301">INDEX(GMW!$A$2:$NF$150,MATCH(1,(GMW!$NE$2:$NE$150=AK$3)*(GMW!$ND$2:$ND$150=AK$4)*(GMW!$NF$2:$NF$150=AK$1),0),$C301-1966)</f>
        <v>98651.87</v>
      </c>
      <c r="AL301" s="4" cm="1">
        <f t="array" ref="AL301">INDEX(GMW!$A$2:$NF$150,MATCH(1,(GMW!$NE$2:$NE$150=AL$3)*(GMW!$ND$2:$ND$150=AL$4)*(GMW!$NF$2:$NF$150=AL$1),0),$C301-1966)</f>
        <v>300904.7</v>
      </c>
      <c r="AM301" s="4" cm="1">
        <f t="array" ref="AM301">INDEX(GMW!$A$2:$NF$150,MATCH(1,(GMW!$NE$2:$NE$150=AM$3)*(GMW!$ND$2:$ND$150=AM$4)*(GMW!$NF$2:$NF$150=AM$1),0),$C301-1966)</f>
        <v>161007.9</v>
      </c>
      <c r="AN301" s="4" cm="1">
        <f t="array" ref="AN301">INDEX(GMW!$A$2:$NF$150,MATCH(1,(GMW!$NE$2:$NE$150=AN$3)*(GMW!$ND$2:$ND$150=AN$4)*(GMW!$NF$2:$NF$150=AN$1),0),$C301-1966)</f>
        <v>176758.2</v>
      </c>
      <c r="AO301" s="4" cm="1">
        <f t="array" ref="AO301">INDEX(GMW!$A$2:$NF$150,MATCH(1,(GMW!$NE$2:$NE$150=AO$3)*(GMW!$ND$2:$ND$150=AO$4)*(GMW!$NF$2:$NF$150=AO$1),0),$C301-1966)</f>
        <v>104085.9</v>
      </c>
      <c r="AP301" s="4" cm="1">
        <f t="array" ref="AP301">INDEX(GMW!$A$2:$NF$150,MATCH(1,(GMW!$NE$2:$NE$150=AP$3)*(GMW!$ND$2:$ND$150=AP$4)*(GMW!$NF$2:$NF$150=AP$1),0),$C301-1966)</f>
        <v>900320.8</v>
      </c>
      <c r="AQ301" s="4" cm="1">
        <f t="array" ref="AQ301">INDEX(GMW!$A$2:$NF$150,MATCH(1,(GMW!$NE$2:$NE$150=AQ$3)*(GMW!$ND$2:$ND$150=AQ$4)*(GMW!$NF$2:$NF$150=AQ$1),0),$C301-1966)</f>
        <v>38660.17</v>
      </c>
      <c r="AR301" s="4" cm="1">
        <f t="array" ref="AR301">INDEX(GMW!$A$2:$NF$150,MATCH(1,(GMW!$NE$2:$NE$150=AR$3)*(GMW!$ND$2:$ND$150=AR$4)*(GMW!$NF$2:$NF$150=AR$1),0),$C301-1966)</f>
        <v>31.959420000000001</v>
      </c>
      <c r="AS301" s="4" cm="1">
        <f t="array" ref="AS301">INDEX(GMW!$A$2:$NF$150,MATCH(1,(GMW!$NE$2:$NE$150=AS$3)*(GMW!$ND$2:$ND$150=AS$4)*(GMW!$NF$2:$NF$150=AS$1),0),$C301-1966)</f>
        <v>703864.5</v>
      </c>
      <c r="AT301" s="4" cm="1">
        <f t="array" ref="AT301">INDEX(GMW!$A$2:$NF$150,MATCH(1,(GMW!$NE$2:$NE$150=AT$3)*(GMW!$ND$2:$ND$150=AT$4)*(GMW!$NF$2:$NF$150=AT$1),0),$C301-1966)</f>
        <v>46608.82</v>
      </c>
      <c r="AU301" s="4" cm="1">
        <f t="array" ref="AU301">INDEX(GMW!$A$2:$NF$150,MATCH(1,(GMW!$NE$2:$NE$150=AU$3)*(GMW!$ND$2:$ND$150=AU$4)*(GMW!$NF$2:$NF$150=AU$1),0),$C301-1966)</f>
        <v>4912465</v>
      </c>
      <c r="AV301" s="4" cm="1">
        <f t="array" ref="AV301">INDEX(GMW!$A$2:$NF$150,MATCH(1,(GMW!$NE$2:$NE$150=AV$3)*(GMW!$ND$2:$ND$150=AV$4)*(GMW!$NF$2:$NF$150=AV$1),0),$C301-1966)</f>
        <v>-1.6123289999999999</v>
      </c>
    </row>
    <row r="302" spans="1:48" x14ac:dyDescent="0.25">
      <c r="B302" s="4">
        <f t="shared" si="12"/>
        <v>2046</v>
      </c>
      <c r="C302" s="4">
        <f t="shared" si="11"/>
        <v>2268</v>
      </c>
      <c r="D302" s="4" cm="1">
        <f t="array" ref="D302">INDEX(GMW!$A$2:$NF$150,MATCH(1,(GMW!$NE$2:$NE$150=D$3)*(GMW!$ND$2:$ND$150=D$4)*(GMW!$NF$2:$NF$150=D$1),0),$C302-1966)</f>
        <v>897303.1</v>
      </c>
      <c r="E302" s="4" cm="1">
        <f t="array" ref="E302">INDEX(GMW!$A$2:$NF$150,MATCH(1,(GMW!$NE$2:$NE$150=E$3)*(GMW!$ND$2:$ND$150=E$4)*(GMW!$NF$2:$NF$150=E$1),0),$C302-1966)</f>
        <v>213.1978</v>
      </c>
      <c r="F302" s="4" cm="1">
        <f t="array" ref="F302">INDEX(GMW!$A$2:$NF$150,MATCH(1,(GMW!$NE$2:$NE$150=F$3)*(GMW!$ND$2:$ND$150=F$4)*(GMW!$NF$2:$NF$150=F$1),0),$C302-1966)</f>
        <v>275916.90000000002</v>
      </c>
      <c r="G302" s="4" cm="1">
        <f t="array" ref="G302">INDEX(GMW!$A$2:$NF$150,MATCH(1,(GMW!$NE$2:$NE$150=G$3)*(GMW!$ND$2:$ND$150=G$4)*(GMW!$NF$2:$NF$150=G$1),0),$C302-1966)</f>
        <v>91285.42</v>
      </c>
      <c r="H302" s="4" cm="1">
        <f t="array" ref="H302">INDEX(GMW!$A$2:$NF$150,MATCH(1,(GMW!$NE$2:$NE$150=H$3)*(GMW!$ND$2:$ND$150=H$4)*(GMW!$NF$2:$NF$150=H$1),0),$C302-1966)</f>
        <v>307705.7</v>
      </c>
      <c r="I302" s="4" cm="1">
        <f t="array" ref="I302">INDEX(GMW!$A$2:$NF$150,MATCH(1,(GMW!$NE$2:$NE$150=I$3)*(GMW!$ND$2:$ND$150=I$4)*(GMW!$NF$2:$NF$150=I$1),0),$C302-1966)</f>
        <v>164518.39999999999</v>
      </c>
      <c r="J302" s="4" cm="1">
        <f t="array" ref="J302">INDEX(GMW!$A$2:$NF$150,MATCH(1,(GMW!$NE$2:$NE$150=J$3)*(GMW!$ND$2:$ND$150=J$4)*(GMW!$NF$2:$NF$150=J$1),0),$C302-1966)</f>
        <v>175009.7</v>
      </c>
      <c r="K302" s="4" cm="1">
        <f t="array" ref="K302">INDEX(GMW!$A$2:$NF$150,MATCH(1,(GMW!$NE$2:$NE$150=K$3)*(GMW!$ND$2:$ND$150=K$4)*(GMW!$NF$2:$NF$150=K$1),0),$C302-1966)</f>
        <v>100129.3</v>
      </c>
      <c r="L302" s="4" cm="1">
        <f t="array" ref="L302">INDEX(GMW!$A$2:$NF$150,MATCH(1,(GMW!$NE$2:$NE$150=L$3)*(GMW!$ND$2:$ND$150=L$4)*(GMW!$NF$2:$NF$150=L$1),0),$C302-1966)</f>
        <v>897301.9</v>
      </c>
      <c r="M302" s="4" cm="1">
        <f t="array" ref="M302">INDEX(GMW!$A$2:$NF$150,MATCH(1,(GMW!$NE$2:$NE$150=M$3)*(GMW!$ND$2:$ND$150=M$4)*(GMW!$NF$2:$NF$150=M$1),0),$C302-1966)</f>
        <v>38903.21</v>
      </c>
      <c r="N302" s="4" cm="1">
        <f t="array" ref="N302">INDEX(GMW!$A$2:$NF$150,MATCH(1,(GMW!$NE$2:$NE$150=N$3)*(GMW!$ND$2:$ND$150=N$4)*(GMW!$NF$2:$NF$150=N$1),0),$C302-1966)</f>
        <v>31.958670000000001</v>
      </c>
      <c r="O302" s="4" cm="1">
        <f t="array" ref="O302">INDEX(GMW!$A$2:$NF$150,MATCH(1,(GMW!$NE$2:$NE$150=O$3)*(GMW!$ND$2:$ND$150=O$4)*(GMW!$NF$2:$NF$150=O$1),0),$C302-1966)</f>
        <v>705065.1</v>
      </c>
      <c r="P302" s="4" cm="1">
        <f t="array" ref="P302">INDEX(GMW!$A$2:$NF$150,MATCH(1,(GMW!$NE$2:$NE$150=P$3)*(GMW!$ND$2:$ND$150=P$4)*(GMW!$NF$2:$NF$150=P$1),0),$C302-1966)</f>
        <v>46675.64</v>
      </c>
      <c r="Q302" s="4" cm="1">
        <f t="array" ref="Q302">INDEX(GMW!$A$2:$NF$150,MATCH(1,(GMW!$NE$2:$NE$150=Q$3)*(GMW!$ND$2:$ND$150=Q$4)*(GMW!$NF$2:$NF$150=Q$1),0),$C302-1966)</f>
        <v>4840885</v>
      </c>
      <c r="R302" s="4" cm="1">
        <f t="array" ref="R302">INDEX(GMW!$A$2:$NF$150,MATCH(1,(GMW!$NE$2:$NE$150=R$3)*(GMW!$ND$2:$ND$150=R$4)*(GMW!$NF$2:$NF$150=R$1),0),$C302-1966)</f>
        <v>-1.6146799999999999</v>
      </c>
      <c r="S302" s="4" cm="1">
        <f t="array" ref="S302">INDEX(GMW!$A$2:$NF$150,MATCH(1,(GMW!$NE$2:$NE$150=S$3)*(GMW!$ND$2:$ND$150=S$4)*(GMW!$NF$2:$NF$150=S$1),0),$C302-1966)</f>
        <v>905154.7</v>
      </c>
      <c r="T302" s="4" cm="1">
        <f t="array" ref="T302">INDEX(GMW!$A$2:$NF$150,MATCH(1,(GMW!$NE$2:$NE$150=T$3)*(GMW!$ND$2:$ND$150=T$4)*(GMW!$NF$2:$NF$150=T$1),0),$C302-1966)</f>
        <v>213.04910000000001</v>
      </c>
      <c r="U302" s="4" cm="1">
        <f t="array" ref="U302">INDEX(GMW!$A$2:$NF$150,MATCH(1,(GMW!$NE$2:$NE$150=U$3)*(GMW!$ND$2:$ND$150=U$4)*(GMW!$NF$2:$NF$150=U$1),0),$C302-1966)</f>
        <v>264245.59999999998</v>
      </c>
      <c r="V302" s="4" cm="1">
        <f t="array" ref="V302">INDEX(GMW!$A$2:$NF$150,MATCH(1,(GMW!$NE$2:$NE$150=V$3)*(GMW!$ND$2:$ND$150=V$4)*(GMW!$NF$2:$NF$150=V$1),0),$C302-1966)</f>
        <v>96210.58</v>
      </c>
      <c r="W302" s="4" cm="1">
        <f t="array" ref="W302">INDEX(GMW!$A$2:$NF$150,MATCH(1,(GMW!$NE$2:$NE$150=W$3)*(GMW!$ND$2:$ND$150=W$4)*(GMW!$NF$2:$NF$150=W$1),0),$C302-1966)</f>
        <v>298046.09999999998</v>
      </c>
      <c r="X302" s="4" cm="1">
        <f t="array" ref="X302">INDEX(GMW!$A$2:$NF$150,MATCH(1,(GMW!$NE$2:$NE$150=X$3)*(GMW!$ND$2:$ND$150=X$4)*(GMW!$NF$2:$NF$150=X$1),0),$C302-1966)</f>
        <v>158229.6</v>
      </c>
      <c r="Y302" s="4" cm="1">
        <f t="array" ref="Y302">INDEX(GMW!$A$2:$NF$150,MATCH(1,(GMW!$NE$2:$NE$150=Y$3)*(GMW!$ND$2:$ND$150=Y$4)*(GMW!$NF$2:$NF$150=Y$1),0),$C302-1966)</f>
        <v>177952.6</v>
      </c>
      <c r="Z302" s="4" cm="1">
        <f t="array" ref="Z302">INDEX(GMW!$A$2:$NF$150,MATCH(1,(GMW!$NE$2:$NE$150=Z$3)*(GMW!$ND$2:$ND$150=Z$4)*(GMW!$NF$2:$NF$150=Z$1),0),$C302-1966)</f>
        <v>103474.4</v>
      </c>
      <c r="AA302" s="4" cm="1">
        <f t="array" ref="AA302">INDEX(GMW!$A$2:$NF$150,MATCH(1,(GMW!$NE$2:$NE$150=AA$3)*(GMW!$ND$2:$ND$150=AA$4)*(GMW!$NF$2:$NF$150=AA$1),0),$C302-1966)</f>
        <v>905154</v>
      </c>
      <c r="AB302" s="4" cm="1">
        <f t="array" ref="AB302">INDEX(GMW!$A$2:$NF$150,MATCH(1,(GMW!$NE$2:$NE$150=AB$3)*(GMW!$ND$2:$ND$150=AB$4)*(GMW!$NF$2:$NF$150=AB$1),0),$C302-1966)</f>
        <v>38903.21</v>
      </c>
      <c r="AC302" s="4" cm="1">
        <f t="array" ref="AC302">INDEX(GMW!$A$2:$NF$150,MATCH(1,(GMW!$NE$2:$NE$150=AC$3)*(GMW!$ND$2:$ND$150=AC$4)*(GMW!$NF$2:$NF$150=AC$1),0),$C302-1966)</f>
        <v>31.958670000000001</v>
      </c>
      <c r="AD302" s="4" cm="1">
        <f t="array" ref="AD302">INDEX(GMW!$A$2:$NF$150,MATCH(1,(GMW!$NE$2:$NE$150=AD$3)*(GMW!$ND$2:$ND$150=AD$4)*(GMW!$NF$2:$NF$150=AD$1),0),$C302-1966)</f>
        <v>705065.1</v>
      </c>
      <c r="AE302" s="4" cm="1">
        <f t="array" ref="AE302">INDEX(GMW!$A$2:$NF$150,MATCH(1,(GMW!$NE$2:$NE$150=AE$3)*(GMW!$ND$2:$ND$150=AE$4)*(GMW!$NF$2:$NF$150=AE$1),0),$C302-1966)</f>
        <v>46675.64</v>
      </c>
      <c r="AF302" s="4" cm="1">
        <f t="array" ref="AF302">INDEX(GMW!$A$2:$NF$150,MATCH(1,(GMW!$NE$2:$NE$150=AF$3)*(GMW!$ND$2:$ND$150=AF$4)*(GMW!$NF$2:$NF$150=AF$1),0),$C302-1966)</f>
        <v>4934233</v>
      </c>
      <c r="AG302" s="4" cm="1">
        <f t="array" ref="AG302">INDEX(GMW!$A$2:$NF$150,MATCH(1,(GMW!$NE$2:$NE$150=AG$3)*(GMW!$ND$2:$ND$150=AG$4)*(GMW!$NF$2:$NF$150=AG$1),0),$C302-1966)</f>
        <v>-1.6126510000000001</v>
      </c>
      <c r="AH302" s="4" cm="1">
        <f t="array" ref="AH302">INDEX(GMW!$A$2:$NF$150,MATCH(1,(GMW!$NE$2:$NE$150=AH$3)*(GMW!$ND$2:$ND$150=AH$4)*(GMW!$NF$2:$NF$150=AH$1),0),$C302-1966)</f>
        <v>903722.9</v>
      </c>
      <c r="AI302" s="4" cm="1">
        <f t="array" ref="AI302">INDEX(GMW!$A$2:$NF$150,MATCH(1,(GMW!$NE$2:$NE$150=AI$3)*(GMW!$ND$2:$ND$150=AI$4)*(GMW!$NF$2:$NF$150=AI$1),0),$C302-1966)</f>
        <v>211.69759999999999</v>
      </c>
      <c r="AJ302" s="4" cm="1">
        <f t="array" ref="AJ302">INDEX(GMW!$A$2:$NF$150,MATCH(1,(GMW!$NE$2:$NE$150=AJ$3)*(GMW!$ND$2:$ND$150=AJ$4)*(GMW!$NF$2:$NF$150=AJ$1),0),$C302-1966)</f>
        <v>269152.59999999998</v>
      </c>
      <c r="AK302" s="4" cm="1">
        <f t="array" ref="AK302">INDEX(GMW!$A$2:$NF$150,MATCH(1,(GMW!$NE$2:$NE$150=AK$3)*(GMW!$ND$2:$ND$150=AK$4)*(GMW!$NF$2:$NF$150=AK$1),0),$C302-1966)</f>
        <v>98945.59</v>
      </c>
      <c r="AL302" s="4" cm="1">
        <f t="array" ref="AL302">INDEX(GMW!$A$2:$NF$150,MATCH(1,(GMW!$NE$2:$NE$150=AL$3)*(GMW!$ND$2:$ND$150=AL$4)*(GMW!$NF$2:$NF$150=AL$1),0),$C302-1966)</f>
        <v>302028.79999999999</v>
      </c>
      <c r="AM302" s="4" cm="1">
        <f t="array" ref="AM302">INDEX(GMW!$A$2:$NF$150,MATCH(1,(GMW!$NE$2:$NE$150=AM$3)*(GMW!$ND$2:$ND$150=AM$4)*(GMW!$NF$2:$NF$150=AM$1),0),$C302-1966)</f>
        <v>161583.9</v>
      </c>
      <c r="AN302" s="4" cm="1">
        <f t="array" ref="AN302">INDEX(GMW!$A$2:$NF$150,MATCH(1,(GMW!$NE$2:$NE$150=AN$3)*(GMW!$ND$2:$ND$150=AN$4)*(GMW!$NF$2:$NF$150=AN$1),0),$C302-1966)</f>
        <v>177609</v>
      </c>
      <c r="AO302" s="4" cm="1">
        <f t="array" ref="AO302">INDEX(GMW!$A$2:$NF$150,MATCH(1,(GMW!$NE$2:$NE$150=AO$3)*(GMW!$ND$2:$ND$150=AO$4)*(GMW!$NF$2:$NF$150=AO$1),0),$C302-1966)</f>
        <v>104624.8</v>
      </c>
      <c r="AP302" s="4" cm="1">
        <f t="array" ref="AP302">INDEX(GMW!$A$2:$NF$150,MATCH(1,(GMW!$NE$2:$NE$150=AP$3)*(GMW!$ND$2:$ND$150=AP$4)*(GMW!$NF$2:$NF$150=AP$1),0),$C302-1966)</f>
        <v>903723.1</v>
      </c>
      <c r="AQ302" s="4" cm="1">
        <f t="array" ref="AQ302">INDEX(GMW!$A$2:$NF$150,MATCH(1,(GMW!$NE$2:$NE$150=AQ$3)*(GMW!$ND$2:$ND$150=AQ$4)*(GMW!$NF$2:$NF$150=AQ$1),0),$C302-1966)</f>
        <v>38694.97</v>
      </c>
      <c r="AR302" s="4" cm="1">
        <f t="array" ref="AR302">INDEX(GMW!$A$2:$NF$150,MATCH(1,(GMW!$NE$2:$NE$150=AR$3)*(GMW!$ND$2:$ND$150=AR$4)*(GMW!$NF$2:$NF$150=AR$1),0),$C302-1966)</f>
        <v>31.958670000000001</v>
      </c>
      <c r="AS302" s="4" cm="1">
        <f t="array" ref="AS302">INDEX(GMW!$A$2:$NF$150,MATCH(1,(GMW!$NE$2:$NE$150=AS$3)*(GMW!$ND$2:$ND$150=AS$4)*(GMW!$NF$2:$NF$150=AS$1),0),$C302-1966)</f>
        <v>704516.3</v>
      </c>
      <c r="AT302" s="4" cm="1">
        <f t="array" ref="AT302">INDEX(GMW!$A$2:$NF$150,MATCH(1,(GMW!$NE$2:$NE$150=AT$3)*(GMW!$ND$2:$ND$150=AT$4)*(GMW!$NF$2:$NF$150=AT$1),0),$C302-1966)</f>
        <v>46622.79</v>
      </c>
      <c r="AU302" s="4" cm="1">
        <f t="array" ref="AU302">INDEX(GMW!$A$2:$NF$150,MATCH(1,(GMW!$NE$2:$NE$150=AU$3)*(GMW!$ND$2:$ND$150=AU$4)*(GMW!$NF$2:$NF$150=AU$1),0),$C302-1966)</f>
        <v>4936714</v>
      </c>
      <c r="AV302" s="4" cm="1">
        <f t="array" ref="AV302">INDEX(GMW!$A$2:$NF$150,MATCH(1,(GMW!$NE$2:$NE$150=AV$3)*(GMW!$ND$2:$ND$150=AV$4)*(GMW!$NF$2:$NF$150=AV$1),0),$C302-1966)</f>
        <v>-1.6110390000000001</v>
      </c>
    </row>
    <row r="303" spans="1:48" x14ac:dyDescent="0.25">
      <c r="A303" s="4">
        <v>2047</v>
      </c>
      <c r="B303" s="4">
        <f t="shared" si="12"/>
        <v>2047</v>
      </c>
      <c r="C303" s="4">
        <f t="shared" si="11"/>
        <v>2269</v>
      </c>
      <c r="D303" s="4" cm="1">
        <f t="array" ref="D303">INDEX(GMW!$A$2:$NF$150,MATCH(1,(GMW!$NE$2:$NE$150=D$3)*(GMW!$ND$2:$ND$150=D$4)*(GMW!$NF$2:$NF$150=D$1),0),$C303-1966)</f>
        <v>900545.7</v>
      </c>
      <c r="E303" s="4" cm="1">
        <f t="array" ref="E303">INDEX(GMW!$A$2:$NF$150,MATCH(1,(GMW!$NE$2:$NE$150=E$3)*(GMW!$ND$2:$ND$150=E$4)*(GMW!$NF$2:$NF$150=E$1),0),$C303-1966)</f>
        <v>213.63419999999999</v>
      </c>
      <c r="F303" s="4" cm="1">
        <f t="array" ref="F303">INDEX(GMW!$A$2:$NF$150,MATCH(1,(GMW!$NE$2:$NE$150=F$3)*(GMW!$ND$2:$ND$150=F$4)*(GMW!$NF$2:$NF$150=F$1),0),$C303-1966)</f>
        <v>276842.5</v>
      </c>
      <c r="G303" s="4" cm="1">
        <f t="array" ref="G303">INDEX(GMW!$A$2:$NF$150,MATCH(1,(GMW!$NE$2:$NE$150=G$3)*(GMW!$ND$2:$ND$150=G$4)*(GMW!$NF$2:$NF$150=G$1),0),$C303-1966)</f>
        <v>91541.36</v>
      </c>
      <c r="H303" s="4" cm="1">
        <f t="array" ref="H303">INDEX(GMW!$A$2:$NF$150,MATCH(1,(GMW!$NE$2:$NE$150=H$3)*(GMW!$ND$2:$ND$150=H$4)*(GMW!$NF$2:$NF$150=H$1),0),$C303-1966)</f>
        <v>308828.59999999998</v>
      </c>
      <c r="I303" s="4" cm="1">
        <f t="array" ref="I303">INDEX(GMW!$A$2:$NF$150,MATCH(1,(GMW!$NE$2:$NE$150=I$3)*(GMW!$ND$2:$ND$150=I$4)*(GMW!$NF$2:$NF$150=I$1),0),$C303-1966)</f>
        <v>165083.29999999999</v>
      </c>
      <c r="J303" s="4" cm="1">
        <f t="array" ref="J303">INDEX(GMW!$A$2:$NF$150,MATCH(1,(GMW!$NE$2:$NE$150=J$3)*(GMW!$ND$2:$ND$150=J$4)*(GMW!$NF$2:$NF$150=J$1),0),$C303-1966)</f>
        <v>175831.9</v>
      </c>
      <c r="K303" s="4" cm="1">
        <f t="array" ref="K303">INDEX(GMW!$A$2:$NF$150,MATCH(1,(GMW!$NE$2:$NE$150=K$3)*(GMW!$ND$2:$ND$150=K$4)*(GMW!$NF$2:$NF$150=K$1),0),$C303-1966)</f>
        <v>100641.3</v>
      </c>
      <c r="L303" s="4" cm="1">
        <f t="array" ref="L303">INDEX(GMW!$A$2:$NF$150,MATCH(1,(GMW!$NE$2:$NE$150=L$3)*(GMW!$ND$2:$ND$150=L$4)*(GMW!$NF$2:$NF$150=L$1),0),$C303-1966)</f>
        <v>900545.8</v>
      </c>
      <c r="M303" s="4" cm="1">
        <f t="array" ref="M303">INDEX(GMW!$A$2:$NF$150,MATCH(1,(GMW!$NE$2:$NE$150=M$3)*(GMW!$ND$2:$ND$150=M$4)*(GMW!$NF$2:$NF$150=M$1),0),$C303-1966)</f>
        <v>38927.82</v>
      </c>
      <c r="N303" s="4" cm="1">
        <f t="array" ref="N303">INDEX(GMW!$A$2:$NF$150,MATCH(1,(GMW!$NE$2:$NE$150=N$3)*(GMW!$ND$2:$ND$150=N$4)*(GMW!$NF$2:$NF$150=N$1),0),$C303-1966)</f>
        <v>31.957920000000001</v>
      </c>
      <c r="O303" s="4" cm="1">
        <f t="array" ref="O303">INDEX(GMW!$A$2:$NF$150,MATCH(1,(GMW!$NE$2:$NE$150=O$3)*(GMW!$ND$2:$ND$150=O$4)*(GMW!$NF$2:$NF$150=O$1),0),$C303-1966)</f>
        <v>705605.9</v>
      </c>
      <c r="P303" s="4" cm="1">
        <f t="array" ref="P303">INDEX(GMW!$A$2:$NF$150,MATCH(1,(GMW!$NE$2:$NE$150=P$3)*(GMW!$ND$2:$ND$150=P$4)*(GMW!$NF$2:$NF$150=P$1),0),$C303-1966)</f>
        <v>46682.45</v>
      </c>
      <c r="Q303" s="4" cm="1">
        <f t="array" ref="Q303">INDEX(GMW!$A$2:$NF$150,MATCH(1,(GMW!$NE$2:$NE$150=Q$3)*(GMW!$ND$2:$ND$150=Q$4)*(GMW!$NF$2:$NF$150=Q$1),0),$C303-1966)</f>
        <v>4864915</v>
      </c>
      <c r="R303" s="4" cm="1">
        <f t="array" ref="R303">INDEX(GMW!$A$2:$NF$150,MATCH(1,(GMW!$NE$2:$NE$150=R$3)*(GMW!$ND$2:$ND$150=R$4)*(GMW!$NF$2:$NF$150=R$1),0),$C303-1966)</f>
        <v>-1.613388</v>
      </c>
      <c r="S303" s="4" cm="1">
        <f t="array" ref="S303">INDEX(GMW!$A$2:$NF$150,MATCH(1,(GMW!$NE$2:$NE$150=S$3)*(GMW!$ND$2:$ND$150=S$4)*(GMW!$NF$2:$NF$150=S$1),0),$C303-1966)</f>
        <v>908425.6</v>
      </c>
      <c r="T303" s="4" cm="1">
        <f t="array" ref="T303">INDEX(GMW!$A$2:$NF$150,MATCH(1,(GMW!$NE$2:$NE$150=T$3)*(GMW!$ND$2:$ND$150=T$4)*(GMW!$NF$2:$NF$150=T$1),0),$C303-1966)</f>
        <v>213.40860000000001</v>
      </c>
      <c r="U303" s="4" cm="1">
        <f t="array" ref="U303">INDEX(GMW!$A$2:$NF$150,MATCH(1,(GMW!$NE$2:$NE$150=U$3)*(GMW!$ND$2:$ND$150=U$4)*(GMW!$NF$2:$NF$150=U$1),0),$C303-1966)</f>
        <v>265117.59999999998</v>
      </c>
      <c r="V303" s="4" cm="1">
        <f t="array" ref="V303">INDEX(GMW!$A$2:$NF$150,MATCH(1,(GMW!$NE$2:$NE$150=V$3)*(GMW!$ND$2:$ND$150=V$4)*(GMW!$NF$2:$NF$150=V$1),0),$C303-1966)</f>
        <v>96480.31</v>
      </c>
      <c r="W303" s="4" cm="1">
        <f t="array" ref="W303">INDEX(GMW!$A$2:$NF$150,MATCH(1,(GMW!$NE$2:$NE$150=W$3)*(GMW!$ND$2:$ND$150=W$4)*(GMW!$NF$2:$NF$150=W$1),0),$C303-1966)</f>
        <v>299126</v>
      </c>
      <c r="X303" s="4" cm="1">
        <f t="array" ref="X303">INDEX(GMW!$A$2:$NF$150,MATCH(1,(GMW!$NE$2:$NE$150=X$3)*(GMW!$ND$2:$ND$150=X$4)*(GMW!$NF$2:$NF$150=X$1),0),$C303-1966)</f>
        <v>158772.9</v>
      </c>
      <c r="Y303" s="4" cm="1">
        <f t="array" ref="Y303">INDEX(GMW!$A$2:$NF$150,MATCH(1,(GMW!$NE$2:$NE$150=Y$3)*(GMW!$ND$2:$ND$150=Y$4)*(GMW!$NF$2:$NF$150=Y$1),0),$C303-1966)</f>
        <v>178779.4</v>
      </c>
      <c r="Z303" s="4" cm="1">
        <f t="array" ref="Z303">INDEX(GMW!$A$2:$NF$150,MATCH(1,(GMW!$NE$2:$NE$150=Z$3)*(GMW!$ND$2:$ND$150=Z$4)*(GMW!$NF$2:$NF$150=Z$1),0),$C303-1966)</f>
        <v>103993.2</v>
      </c>
      <c r="AA303" s="4" cm="1">
        <f t="array" ref="AA303">INDEX(GMW!$A$2:$NF$150,MATCH(1,(GMW!$NE$2:$NE$150=AA$3)*(GMW!$ND$2:$ND$150=AA$4)*(GMW!$NF$2:$NF$150=AA$1),0),$C303-1966)</f>
        <v>908426.3</v>
      </c>
      <c r="AB303" s="4" cm="1">
        <f t="array" ref="AB303">INDEX(GMW!$A$2:$NF$150,MATCH(1,(GMW!$NE$2:$NE$150=AB$3)*(GMW!$ND$2:$ND$150=AB$4)*(GMW!$NF$2:$NF$150=AB$1),0),$C303-1966)</f>
        <v>38927.82</v>
      </c>
      <c r="AC303" s="4" cm="1">
        <f t="array" ref="AC303">INDEX(GMW!$A$2:$NF$150,MATCH(1,(GMW!$NE$2:$NE$150=AC$3)*(GMW!$ND$2:$ND$150=AC$4)*(GMW!$NF$2:$NF$150=AC$1),0),$C303-1966)</f>
        <v>31.957920000000001</v>
      </c>
      <c r="AD303" s="4" cm="1">
        <f t="array" ref="AD303">INDEX(GMW!$A$2:$NF$150,MATCH(1,(GMW!$NE$2:$NE$150=AD$3)*(GMW!$ND$2:$ND$150=AD$4)*(GMW!$NF$2:$NF$150=AD$1),0),$C303-1966)</f>
        <v>705605.9</v>
      </c>
      <c r="AE303" s="4" cm="1">
        <f t="array" ref="AE303">INDEX(GMW!$A$2:$NF$150,MATCH(1,(GMW!$NE$2:$NE$150=AE$3)*(GMW!$ND$2:$ND$150=AE$4)*(GMW!$NF$2:$NF$150=AE$1),0),$C303-1966)</f>
        <v>46682.45</v>
      </c>
      <c r="AF303" s="4" cm="1">
        <f t="array" ref="AF303">INDEX(GMW!$A$2:$NF$150,MATCH(1,(GMW!$NE$2:$NE$150=AF$3)*(GMW!$ND$2:$ND$150=AF$4)*(GMW!$NF$2:$NF$150=AF$1),0),$C303-1966)</f>
        <v>4958730</v>
      </c>
      <c r="AG303" s="4" cm="1">
        <f t="array" ref="AG303">INDEX(GMW!$A$2:$NF$150,MATCH(1,(GMW!$NE$2:$NE$150=AG$3)*(GMW!$ND$2:$ND$150=AG$4)*(GMW!$NF$2:$NF$150=AG$1),0),$C303-1966)</f>
        <v>-1.611361</v>
      </c>
      <c r="AH303" s="4" cm="1">
        <f t="array" ref="AH303">INDEX(GMW!$A$2:$NF$150,MATCH(1,(GMW!$NE$2:$NE$150=AH$3)*(GMW!$ND$2:$ND$150=AH$4)*(GMW!$NF$2:$NF$150=AH$1),0),$C303-1966)</f>
        <v>907134.7</v>
      </c>
      <c r="AI303" s="4" cm="1">
        <f t="array" ref="AI303">INDEX(GMW!$A$2:$NF$150,MATCH(1,(GMW!$NE$2:$NE$150=AI$3)*(GMW!$ND$2:$ND$150=AI$4)*(GMW!$NF$2:$NF$150=AI$1),0),$C303-1966)</f>
        <v>212.09960000000001</v>
      </c>
      <c r="AJ303" s="4" cm="1">
        <f t="array" ref="AJ303">INDEX(GMW!$A$2:$NF$150,MATCH(1,(GMW!$NE$2:$NE$150=AJ$3)*(GMW!$ND$2:$ND$150=AJ$4)*(GMW!$NF$2:$NF$150=AJ$1),0),$C303-1966)</f>
        <v>270074.3</v>
      </c>
      <c r="AK303" s="4" cm="1">
        <f t="array" ref="AK303">INDEX(GMW!$A$2:$NF$150,MATCH(1,(GMW!$NE$2:$NE$150=AK$3)*(GMW!$ND$2:$ND$150=AK$4)*(GMW!$NF$2:$NF$150=AK$1),0),$C303-1966)</f>
        <v>99239.98</v>
      </c>
      <c r="AL303" s="4" cm="1">
        <f t="array" ref="AL303">INDEX(GMW!$A$2:$NF$150,MATCH(1,(GMW!$NE$2:$NE$150=AL$3)*(GMW!$ND$2:$ND$150=AL$4)*(GMW!$NF$2:$NF$150=AL$1),0),$C303-1966)</f>
        <v>303156.8</v>
      </c>
      <c r="AM303" s="4" cm="1">
        <f t="array" ref="AM303">INDEX(GMW!$A$2:$NF$150,MATCH(1,(GMW!$NE$2:$NE$150=AM$3)*(GMW!$ND$2:$ND$150=AM$4)*(GMW!$NF$2:$NF$150=AM$1),0),$C303-1966)</f>
        <v>162161.5</v>
      </c>
      <c r="AN303" s="4" cm="1">
        <f t="array" ref="AN303">INDEX(GMW!$A$2:$NF$150,MATCH(1,(GMW!$NE$2:$NE$150=AN$3)*(GMW!$ND$2:$ND$150=AN$4)*(GMW!$NF$2:$NF$150=AN$1),0),$C303-1966)</f>
        <v>178463.6</v>
      </c>
      <c r="AO303" s="4" cm="1">
        <f t="array" ref="AO303">INDEX(GMW!$A$2:$NF$150,MATCH(1,(GMW!$NE$2:$NE$150=AO$3)*(GMW!$ND$2:$ND$150=AO$4)*(GMW!$NF$2:$NF$150=AO$1),0),$C303-1966)</f>
        <v>105166.2</v>
      </c>
      <c r="AP303" s="4" cm="1">
        <f t="array" ref="AP303">INDEX(GMW!$A$2:$NF$150,MATCH(1,(GMW!$NE$2:$NE$150=AP$3)*(GMW!$ND$2:$ND$150=AP$4)*(GMW!$NF$2:$NF$150=AP$1),0),$C303-1966)</f>
        <v>907135.5</v>
      </c>
      <c r="AQ303" s="4" cm="1">
        <f t="array" ref="AQ303">INDEX(GMW!$A$2:$NF$150,MATCH(1,(GMW!$NE$2:$NE$150=AQ$3)*(GMW!$ND$2:$ND$150=AQ$4)*(GMW!$NF$2:$NF$150=AQ$1),0),$C303-1966)</f>
        <v>38729.78</v>
      </c>
      <c r="AR303" s="4" cm="1">
        <f t="array" ref="AR303">INDEX(GMW!$A$2:$NF$150,MATCH(1,(GMW!$NE$2:$NE$150=AR$3)*(GMW!$ND$2:$ND$150=AR$4)*(GMW!$NF$2:$NF$150=AR$1),0),$C303-1966)</f>
        <v>31.957920000000001</v>
      </c>
      <c r="AS303" s="4" cm="1">
        <f t="array" ref="AS303">INDEX(GMW!$A$2:$NF$150,MATCH(1,(GMW!$NE$2:$NE$150=AS$3)*(GMW!$ND$2:$ND$150=AS$4)*(GMW!$NF$2:$NF$150=AS$1),0),$C303-1966)</f>
        <v>705165.8</v>
      </c>
      <c r="AT303" s="4" cm="1">
        <f t="array" ref="AT303">INDEX(GMW!$A$2:$NF$150,MATCH(1,(GMW!$NE$2:$NE$150=AT$3)*(GMW!$ND$2:$ND$150=AT$4)*(GMW!$NF$2:$NF$150=AT$1),0),$C303-1966)</f>
        <v>46636.75</v>
      </c>
      <c r="AU303" s="4" cm="1">
        <f t="array" ref="AU303">INDEX(GMW!$A$2:$NF$150,MATCH(1,(GMW!$NE$2:$NE$150=AU$3)*(GMW!$ND$2:$ND$150=AU$4)*(GMW!$NF$2:$NF$150=AU$1),0),$C303-1966)</f>
        <v>4961087</v>
      </c>
      <c r="AV303" s="4" cm="1">
        <f t="array" ref="AV303">INDEX(GMW!$A$2:$NF$150,MATCH(1,(GMW!$NE$2:$NE$150=AV$3)*(GMW!$ND$2:$ND$150=AV$4)*(GMW!$NF$2:$NF$150=AV$1),0),$C303-1966)</f>
        <v>-1.60975</v>
      </c>
    </row>
    <row r="304" spans="1:48" x14ac:dyDescent="0.25">
      <c r="B304" s="4">
        <f t="shared" si="12"/>
        <v>2047</v>
      </c>
      <c r="C304" s="4">
        <f t="shared" si="11"/>
        <v>2270</v>
      </c>
      <c r="D304" s="4" cm="1">
        <f t="array" ref="D304">INDEX(GMW!$A$2:$NF$150,MATCH(1,(GMW!$NE$2:$NE$150=D$3)*(GMW!$ND$2:$ND$150=D$4)*(GMW!$NF$2:$NF$150=D$1),0),$C304-1966)</f>
        <v>903797.6</v>
      </c>
      <c r="E304" s="4" cm="1">
        <f t="array" ref="E304">INDEX(GMW!$A$2:$NF$150,MATCH(1,(GMW!$NE$2:$NE$150=E$3)*(GMW!$ND$2:$ND$150=E$4)*(GMW!$NF$2:$NF$150=E$1),0),$C304-1966)</f>
        <v>215.52809999999999</v>
      </c>
      <c r="F304" s="4" cm="1">
        <f t="array" ref="F304">INDEX(GMW!$A$2:$NF$150,MATCH(1,(GMW!$NE$2:$NE$150=F$3)*(GMW!$ND$2:$ND$150=F$4)*(GMW!$NF$2:$NF$150=F$1),0),$C304-1966)</f>
        <v>277770.90000000002</v>
      </c>
      <c r="G304" s="4" cm="1">
        <f t="array" ref="G304">INDEX(GMW!$A$2:$NF$150,MATCH(1,(GMW!$NE$2:$NE$150=G$3)*(GMW!$ND$2:$ND$150=G$4)*(GMW!$NF$2:$NF$150=G$1),0),$C304-1966)</f>
        <v>91797.78</v>
      </c>
      <c r="H304" s="4" cm="1">
        <f t="array" ref="H304">INDEX(GMW!$A$2:$NF$150,MATCH(1,(GMW!$NE$2:$NE$150=H$3)*(GMW!$ND$2:$ND$150=H$4)*(GMW!$NF$2:$NF$150=H$1),0),$C304-1966)</f>
        <v>309955.3</v>
      </c>
      <c r="I304" s="4" cm="1">
        <f t="array" ref="I304">INDEX(GMW!$A$2:$NF$150,MATCH(1,(GMW!$NE$2:$NE$150=I$3)*(GMW!$ND$2:$ND$150=I$4)*(GMW!$NF$2:$NF$150=I$1),0),$C304-1966)</f>
        <v>165649.70000000001</v>
      </c>
      <c r="J304" s="4" cm="1">
        <f t="array" ref="J304">INDEX(GMW!$A$2:$NF$150,MATCH(1,(GMW!$NE$2:$NE$150=J$3)*(GMW!$ND$2:$ND$150=J$4)*(GMW!$NF$2:$NF$150=J$1),0),$C304-1966)</f>
        <v>176657.6</v>
      </c>
      <c r="K304" s="4" cm="1">
        <f t="array" ref="K304">INDEX(GMW!$A$2:$NF$150,MATCH(1,(GMW!$NE$2:$NE$150=K$3)*(GMW!$ND$2:$ND$150=K$4)*(GMW!$NF$2:$NF$150=K$1),0),$C304-1966)</f>
        <v>101155.7</v>
      </c>
      <c r="L304" s="4" cm="1">
        <f t="array" ref="L304">INDEX(GMW!$A$2:$NF$150,MATCH(1,(GMW!$NE$2:$NE$150=L$3)*(GMW!$ND$2:$ND$150=L$4)*(GMW!$NF$2:$NF$150=L$1),0),$C304-1966)</f>
        <v>903796.3</v>
      </c>
      <c r="M304" s="4" cm="1">
        <f t="array" ref="M304">INDEX(GMW!$A$2:$NF$150,MATCH(1,(GMW!$NE$2:$NE$150=M$3)*(GMW!$ND$2:$ND$150=M$4)*(GMW!$NF$2:$NF$150=M$1),0),$C304-1966)</f>
        <v>38952.43</v>
      </c>
      <c r="N304" s="4" cm="1">
        <f t="array" ref="N304">INDEX(GMW!$A$2:$NF$150,MATCH(1,(GMW!$NE$2:$NE$150=N$3)*(GMW!$ND$2:$ND$150=N$4)*(GMW!$NF$2:$NF$150=N$1),0),$C304-1966)</f>
        <v>31.957170000000001</v>
      </c>
      <c r="O304" s="4" cm="1">
        <f t="array" ref="O304">INDEX(GMW!$A$2:$NF$150,MATCH(1,(GMW!$NE$2:$NE$150=O$3)*(GMW!$ND$2:$ND$150=O$4)*(GMW!$NF$2:$NF$150=O$1),0),$C304-1966)</f>
        <v>706144.8</v>
      </c>
      <c r="P304" s="4" cm="1">
        <f t="array" ref="P304">INDEX(GMW!$A$2:$NF$150,MATCH(1,(GMW!$NE$2:$NE$150=P$3)*(GMW!$ND$2:$ND$150=P$4)*(GMW!$NF$2:$NF$150=P$1),0),$C304-1966)</f>
        <v>46689.27</v>
      </c>
      <c r="Q304" s="4" cm="1">
        <f t="array" ref="Q304">INDEX(GMW!$A$2:$NF$150,MATCH(1,(GMW!$NE$2:$NE$150=Q$3)*(GMW!$ND$2:$ND$150=Q$4)*(GMW!$NF$2:$NF$150=Q$1),0),$C304-1966)</f>
        <v>4889060</v>
      </c>
      <c r="R304" s="4" cm="1">
        <f t="array" ref="R304">INDEX(GMW!$A$2:$NF$150,MATCH(1,(GMW!$NE$2:$NE$150=R$3)*(GMW!$ND$2:$ND$150=R$4)*(GMW!$NF$2:$NF$150=R$1),0),$C304-1966)</f>
        <v>-1.612098</v>
      </c>
      <c r="S304" s="4" cm="1">
        <f t="array" ref="S304">INDEX(GMW!$A$2:$NF$150,MATCH(1,(GMW!$NE$2:$NE$150=S$3)*(GMW!$ND$2:$ND$150=S$4)*(GMW!$NF$2:$NF$150=S$1),0),$C304-1966)</f>
        <v>911704.8</v>
      </c>
      <c r="T304" s="4" cm="1">
        <f t="array" ref="T304">INDEX(GMW!$A$2:$NF$150,MATCH(1,(GMW!$NE$2:$NE$150=T$3)*(GMW!$ND$2:$ND$150=T$4)*(GMW!$NF$2:$NF$150=T$1),0),$C304-1966)</f>
        <v>215.34479999999999</v>
      </c>
      <c r="U304" s="4" cm="1">
        <f t="array" ref="U304">INDEX(GMW!$A$2:$NF$150,MATCH(1,(GMW!$NE$2:$NE$150=U$3)*(GMW!$ND$2:$ND$150=U$4)*(GMW!$NF$2:$NF$150=U$1),0),$C304-1966)</f>
        <v>265992</v>
      </c>
      <c r="V304" s="4" cm="1">
        <f t="array" ref="V304">INDEX(GMW!$A$2:$NF$150,MATCH(1,(GMW!$NE$2:$NE$150=V$3)*(GMW!$ND$2:$ND$150=V$4)*(GMW!$NF$2:$NF$150=V$1),0),$C304-1966)</f>
        <v>96750.43</v>
      </c>
      <c r="W304" s="4" cm="1">
        <f t="array" ref="W304">INDEX(GMW!$A$2:$NF$150,MATCH(1,(GMW!$NE$2:$NE$150=W$3)*(GMW!$ND$2:$ND$150=W$4)*(GMW!$NF$2:$NF$150=W$1),0),$C304-1966)</f>
        <v>300209.2</v>
      </c>
      <c r="X304" s="4" cm="1">
        <f t="array" ref="X304">INDEX(GMW!$A$2:$NF$150,MATCH(1,(GMW!$NE$2:$NE$150=X$3)*(GMW!$ND$2:$ND$150=X$4)*(GMW!$NF$2:$NF$150=X$1),0),$C304-1966)</f>
        <v>159317.5</v>
      </c>
      <c r="Y304" s="4" cm="1">
        <f t="array" ref="Y304">INDEX(GMW!$A$2:$NF$150,MATCH(1,(GMW!$NE$2:$NE$150=Y$3)*(GMW!$ND$2:$ND$150=Y$4)*(GMW!$NF$2:$NF$150=Y$1),0),$C304-1966)</f>
        <v>179609.4</v>
      </c>
      <c r="Z304" s="4" cm="1">
        <f t="array" ref="Z304">INDEX(GMW!$A$2:$NF$150,MATCH(1,(GMW!$NE$2:$NE$150=Z$3)*(GMW!$ND$2:$ND$150=Z$4)*(GMW!$NF$2:$NF$150=Z$1),0),$C304-1966)</f>
        <v>104514.2</v>
      </c>
      <c r="AA304" s="4" cm="1">
        <f t="array" ref="AA304">INDEX(GMW!$A$2:$NF$150,MATCH(1,(GMW!$NE$2:$NE$150=AA$3)*(GMW!$ND$2:$ND$150=AA$4)*(GMW!$NF$2:$NF$150=AA$1),0),$C304-1966)</f>
        <v>911703.6</v>
      </c>
      <c r="AB304" s="4" cm="1">
        <f t="array" ref="AB304">INDEX(GMW!$A$2:$NF$150,MATCH(1,(GMW!$NE$2:$NE$150=AB$3)*(GMW!$ND$2:$ND$150=AB$4)*(GMW!$NF$2:$NF$150=AB$1),0),$C304-1966)</f>
        <v>38952.43</v>
      </c>
      <c r="AC304" s="4" cm="1">
        <f t="array" ref="AC304">INDEX(GMW!$A$2:$NF$150,MATCH(1,(GMW!$NE$2:$NE$150=AC$3)*(GMW!$ND$2:$ND$150=AC$4)*(GMW!$NF$2:$NF$150=AC$1),0),$C304-1966)</f>
        <v>31.957170000000001</v>
      </c>
      <c r="AD304" s="4" cm="1">
        <f t="array" ref="AD304">INDEX(GMW!$A$2:$NF$150,MATCH(1,(GMW!$NE$2:$NE$150=AD$3)*(GMW!$ND$2:$ND$150=AD$4)*(GMW!$NF$2:$NF$150=AD$1),0),$C304-1966)</f>
        <v>706144.8</v>
      </c>
      <c r="AE304" s="4" cm="1">
        <f t="array" ref="AE304">INDEX(GMW!$A$2:$NF$150,MATCH(1,(GMW!$NE$2:$NE$150=AE$3)*(GMW!$ND$2:$ND$150=AE$4)*(GMW!$NF$2:$NF$150=AE$1),0),$C304-1966)</f>
        <v>46689.27</v>
      </c>
      <c r="AF304" s="4" cm="1">
        <f t="array" ref="AF304">INDEX(GMW!$A$2:$NF$150,MATCH(1,(GMW!$NE$2:$NE$150=AF$3)*(GMW!$ND$2:$ND$150=AF$4)*(GMW!$NF$2:$NF$150=AF$1),0),$C304-1966)</f>
        <v>4983326</v>
      </c>
      <c r="AG304" s="4" cm="1">
        <f t="array" ref="AG304">INDEX(GMW!$A$2:$NF$150,MATCH(1,(GMW!$NE$2:$NE$150=AG$3)*(GMW!$ND$2:$ND$150=AG$4)*(GMW!$NF$2:$NF$150=AG$1),0),$C304-1966)</f>
        <v>-1.6100719999999999</v>
      </c>
      <c r="AH304" s="4" cm="1">
        <f t="array" ref="AH304">INDEX(GMW!$A$2:$NF$150,MATCH(1,(GMW!$NE$2:$NE$150=AH$3)*(GMW!$ND$2:$ND$150=AH$4)*(GMW!$NF$2:$NF$150=AH$1),0),$C304-1966)</f>
        <v>910557</v>
      </c>
      <c r="AI304" s="4" cm="1">
        <f t="array" ref="AI304">INDEX(GMW!$A$2:$NF$150,MATCH(1,(GMW!$NE$2:$NE$150=AI$3)*(GMW!$ND$2:$ND$150=AI$4)*(GMW!$NF$2:$NF$150=AI$1),0),$C304-1966)</f>
        <v>213.92420000000001</v>
      </c>
      <c r="AJ304" s="4" cm="1">
        <f t="array" ref="AJ304">INDEX(GMW!$A$2:$NF$150,MATCH(1,(GMW!$NE$2:$NE$150=AJ$3)*(GMW!$ND$2:$ND$150=AJ$4)*(GMW!$NF$2:$NF$150=AJ$1),0),$C304-1966)</f>
        <v>270999.09999999998</v>
      </c>
      <c r="AK304" s="4" cm="1">
        <f t="array" ref="AK304">INDEX(GMW!$A$2:$NF$150,MATCH(1,(GMW!$NE$2:$NE$150=AK$3)*(GMW!$ND$2:$ND$150=AK$4)*(GMW!$NF$2:$NF$150=AK$1),0),$C304-1966)</f>
        <v>99534.98</v>
      </c>
      <c r="AL304" s="4" cm="1">
        <f t="array" ref="AL304">INDEX(GMW!$A$2:$NF$150,MATCH(1,(GMW!$NE$2:$NE$150=AL$3)*(GMW!$ND$2:$ND$150=AL$4)*(GMW!$NF$2:$NF$150=AL$1),0),$C304-1966)</f>
        <v>304288.8</v>
      </c>
      <c r="AM304" s="4" cm="1">
        <f t="array" ref="AM304">INDEX(GMW!$A$2:$NF$150,MATCH(1,(GMW!$NE$2:$NE$150=AM$3)*(GMW!$ND$2:$ND$150=AM$4)*(GMW!$NF$2:$NF$150=AM$1),0),$C304-1966)</f>
        <v>162740.9</v>
      </c>
      <c r="AN304" s="4" cm="1">
        <f t="array" ref="AN304">INDEX(GMW!$A$2:$NF$150,MATCH(1,(GMW!$NE$2:$NE$150=AN$3)*(GMW!$ND$2:$ND$150=AN$4)*(GMW!$NF$2:$NF$150=AN$1),0),$C304-1966)</f>
        <v>179321.9</v>
      </c>
      <c r="AO304" s="4" cm="1">
        <f t="array" ref="AO304">INDEX(GMW!$A$2:$NF$150,MATCH(1,(GMW!$NE$2:$NE$150=AO$3)*(GMW!$ND$2:$ND$150=AO$4)*(GMW!$NF$2:$NF$150=AO$1),0),$C304-1966)</f>
        <v>105710.2</v>
      </c>
      <c r="AP304" s="4" cm="1">
        <f t="array" ref="AP304">INDEX(GMW!$A$2:$NF$150,MATCH(1,(GMW!$NE$2:$NE$150=AP$3)*(GMW!$ND$2:$ND$150=AP$4)*(GMW!$NF$2:$NF$150=AP$1),0),$C304-1966)</f>
        <v>910556.6</v>
      </c>
      <c r="AQ304" s="4" cm="1">
        <f t="array" ref="AQ304">INDEX(GMW!$A$2:$NF$150,MATCH(1,(GMW!$NE$2:$NE$150=AQ$3)*(GMW!$ND$2:$ND$150=AQ$4)*(GMW!$NF$2:$NF$150=AQ$1),0),$C304-1966)</f>
        <v>38764.58</v>
      </c>
      <c r="AR304" s="4" cm="1">
        <f t="array" ref="AR304">INDEX(GMW!$A$2:$NF$150,MATCH(1,(GMW!$NE$2:$NE$150=AR$3)*(GMW!$ND$2:$ND$150=AR$4)*(GMW!$NF$2:$NF$150=AR$1),0),$C304-1966)</f>
        <v>31.957170000000001</v>
      </c>
      <c r="AS304" s="4" cm="1">
        <f t="array" ref="AS304">INDEX(GMW!$A$2:$NF$150,MATCH(1,(GMW!$NE$2:$NE$150=AS$3)*(GMW!$ND$2:$ND$150=AS$4)*(GMW!$NF$2:$NF$150=AS$1),0),$C304-1966)</f>
        <v>705813.1</v>
      </c>
      <c r="AT304" s="4" cm="1">
        <f t="array" ref="AT304">INDEX(GMW!$A$2:$NF$150,MATCH(1,(GMW!$NE$2:$NE$150=AT$3)*(GMW!$ND$2:$ND$150=AT$4)*(GMW!$NF$2:$NF$150=AT$1),0),$C304-1966)</f>
        <v>46650.71</v>
      </c>
      <c r="AU304" s="4" cm="1">
        <f t="array" ref="AU304">INDEX(GMW!$A$2:$NF$150,MATCH(1,(GMW!$NE$2:$NE$150=AU$3)*(GMW!$ND$2:$ND$150=AU$4)*(GMW!$NF$2:$NF$150=AU$1),0),$C304-1966)</f>
        <v>4985586</v>
      </c>
      <c r="AV304" s="4" cm="1">
        <f t="array" ref="AV304">INDEX(GMW!$A$2:$NF$150,MATCH(1,(GMW!$NE$2:$NE$150=AV$3)*(GMW!$ND$2:$ND$150=AV$4)*(GMW!$NF$2:$NF$150=AV$1),0),$C304-1966)</f>
        <v>-1.6084620000000001</v>
      </c>
    </row>
    <row r="305" spans="1:48" x14ac:dyDescent="0.25">
      <c r="B305" s="4">
        <f t="shared" si="12"/>
        <v>2047</v>
      </c>
      <c r="C305" s="4">
        <f t="shared" ref="C305:C358" si="13">+C304+1</f>
        <v>2271</v>
      </c>
      <c r="D305" s="4" cm="1">
        <f t="array" ref="D305">INDEX(GMW!$A$2:$NF$150,MATCH(1,(GMW!$NE$2:$NE$150=D$3)*(GMW!$ND$2:$ND$150=D$4)*(GMW!$NF$2:$NF$150=D$1),0),$C305-1966)</f>
        <v>907005</v>
      </c>
      <c r="E305" s="4" cm="1">
        <f t="array" ref="E305">INDEX(GMW!$A$2:$NF$150,MATCH(1,(GMW!$NE$2:$NE$150=E$3)*(GMW!$ND$2:$ND$150=E$4)*(GMW!$NF$2:$NF$150=E$1),0),$C305-1966)</f>
        <v>216.5085</v>
      </c>
      <c r="F305" s="4" cm="1">
        <f t="array" ref="F305">INDEX(GMW!$A$2:$NF$150,MATCH(1,(GMW!$NE$2:$NE$150=F$3)*(GMW!$ND$2:$ND$150=F$4)*(GMW!$NF$2:$NF$150=F$1),0),$C305-1966)</f>
        <v>278686</v>
      </c>
      <c r="G305" s="4" cm="1">
        <f t="array" ref="G305">INDEX(GMW!$A$2:$NF$150,MATCH(1,(GMW!$NE$2:$NE$150=G$3)*(GMW!$ND$2:$ND$150=G$4)*(GMW!$NF$2:$NF$150=G$1),0),$C305-1966)</f>
        <v>92049.19</v>
      </c>
      <c r="H305" s="4" cm="1">
        <f t="array" ref="H305">INDEX(GMW!$A$2:$NF$150,MATCH(1,(GMW!$NE$2:$NE$150=H$3)*(GMW!$ND$2:$ND$150=H$4)*(GMW!$NF$2:$NF$150=H$1),0),$C305-1966)</f>
        <v>311068.79999999999</v>
      </c>
      <c r="I305" s="4" cm="1">
        <f t="array" ref="I305">INDEX(GMW!$A$2:$NF$150,MATCH(1,(GMW!$NE$2:$NE$150=I$3)*(GMW!$ND$2:$ND$150=I$4)*(GMW!$NF$2:$NF$150=I$1),0),$C305-1966)</f>
        <v>166207.70000000001</v>
      </c>
      <c r="J305" s="4" cm="1">
        <f t="array" ref="J305">INDEX(GMW!$A$2:$NF$150,MATCH(1,(GMW!$NE$2:$NE$150=J$3)*(GMW!$ND$2:$ND$150=J$4)*(GMW!$NF$2:$NF$150=J$1),0),$C305-1966)</f>
        <v>177476.2</v>
      </c>
      <c r="K305" s="4" cm="1">
        <f t="array" ref="K305">INDEX(GMW!$A$2:$NF$150,MATCH(1,(GMW!$NE$2:$NE$150=K$3)*(GMW!$ND$2:$ND$150=K$4)*(GMW!$NF$2:$NF$150=K$1),0),$C305-1966)</f>
        <v>101666.4</v>
      </c>
      <c r="L305" s="4" cm="1">
        <f t="array" ref="L305">INDEX(GMW!$A$2:$NF$150,MATCH(1,(GMW!$NE$2:$NE$150=L$3)*(GMW!$ND$2:$ND$150=L$4)*(GMW!$NF$2:$NF$150=L$1),0),$C305-1966)</f>
        <v>907004.1</v>
      </c>
      <c r="M305" s="4" cm="1">
        <f t="array" ref="M305">INDEX(GMW!$A$2:$NF$150,MATCH(1,(GMW!$NE$2:$NE$150=M$3)*(GMW!$ND$2:$ND$150=M$4)*(GMW!$NF$2:$NF$150=M$1),0),$C305-1966)</f>
        <v>38973.46</v>
      </c>
      <c r="N305" s="4" cm="1">
        <f t="array" ref="N305">INDEX(GMW!$A$2:$NF$150,MATCH(1,(GMW!$NE$2:$NE$150=N$3)*(GMW!$ND$2:$ND$150=N$4)*(GMW!$NF$2:$NF$150=N$1),0),$C305-1966)</f>
        <v>31.956420000000001</v>
      </c>
      <c r="O305" s="4" cm="1">
        <f t="array" ref="O305">INDEX(GMW!$A$2:$NF$150,MATCH(1,(GMW!$NE$2:$NE$150=O$3)*(GMW!$ND$2:$ND$150=O$4)*(GMW!$NF$2:$NF$150=O$1),0),$C305-1966)</f>
        <v>706653.3</v>
      </c>
      <c r="P305" s="4" cm="1">
        <f t="array" ref="P305">INDEX(GMW!$A$2:$NF$150,MATCH(1,(GMW!$NE$2:$NE$150=P$3)*(GMW!$ND$2:$ND$150=P$4)*(GMW!$NF$2:$NF$150=P$1),0),$C305-1966)</f>
        <v>46694.19</v>
      </c>
      <c r="Q305" s="4" cm="1">
        <f t="array" ref="Q305">INDEX(GMW!$A$2:$NF$150,MATCH(1,(GMW!$NE$2:$NE$150=Q$3)*(GMW!$ND$2:$ND$150=Q$4)*(GMW!$NF$2:$NF$150=Q$1),0),$C305-1966)</f>
        <v>4913312</v>
      </c>
      <c r="R305" s="4" cm="1">
        <f t="array" ref="R305">INDEX(GMW!$A$2:$NF$150,MATCH(1,(GMW!$NE$2:$NE$150=R$3)*(GMW!$ND$2:$ND$150=R$4)*(GMW!$NF$2:$NF$150=R$1),0),$C305-1966)</f>
        <v>-1.610808</v>
      </c>
      <c r="S305" s="4" cm="1">
        <f t="array" ref="S305">INDEX(GMW!$A$2:$NF$150,MATCH(1,(GMW!$NE$2:$NE$150=S$3)*(GMW!$ND$2:$ND$150=S$4)*(GMW!$NF$2:$NF$150=S$1),0),$C305-1966)</f>
        <v>914937.6</v>
      </c>
      <c r="T305" s="4" cm="1">
        <f t="array" ref="T305">INDEX(GMW!$A$2:$NF$150,MATCH(1,(GMW!$NE$2:$NE$150=T$3)*(GMW!$ND$2:$ND$150=T$4)*(GMW!$NF$2:$NF$150=T$1),0),$C305-1966)</f>
        <v>216.3835</v>
      </c>
      <c r="U305" s="4" cm="1">
        <f t="array" ref="U305">INDEX(GMW!$A$2:$NF$150,MATCH(1,(GMW!$NE$2:$NE$150=U$3)*(GMW!$ND$2:$ND$150=U$4)*(GMW!$NF$2:$NF$150=U$1),0),$C305-1966)</f>
        <v>266853.2</v>
      </c>
      <c r="V305" s="4" cm="1">
        <f t="array" ref="V305">INDEX(GMW!$A$2:$NF$150,MATCH(1,(GMW!$NE$2:$NE$150=V$3)*(GMW!$ND$2:$ND$150=V$4)*(GMW!$NF$2:$NF$150=V$1),0),$C305-1966)</f>
        <v>97015.14</v>
      </c>
      <c r="W305" s="4" cm="1">
        <f t="array" ref="W305">INDEX(GMW!$A$2:$NF$150,MATCH(1,(GMW!$NE$2:$NE$150=W$3)*(GMW!$ND$2:$ND$150=W$4)*(GMW!$NF$2:$NF$150=W$1),0),$C305-1966)</f>
        <v>301279.3</v>
      </c>
      <c r="X305" s="4" cm="1">
        <f t="array" ref="X305">INDEX(GMW!$A$2:$NF$150,MATCH(1,(GMW!$NE$2:$NE$150=X$3)*(GMW!$ND$2:$ND$150=X$4)*(GMW!$NF$2:$NF$150=X$1),0),$C305-1966)</f>
        <v>159853.70000000001</v>
      </c>
      <c r="Y305" s="4" cm="1">
        <f t="array" ref="Y305">INDEX(GMW!$A$2:$NF$150,MATCH(1,(GMW!$NE$2:$NE$150=Y$3)*(GMW!$ND$2:$ND$150=Y$4)*(GMW!$NF$2:$NF$150=Y$1),0),$C305-1966)</f>
        <v>180431.8</v>
      </c>
      <c r="Z305" s="4" cm="1">
        <f t="array" ref="Z305">INDEX(GMW!$A$2:$NF$150,MATCH(1,(GMW!$NE$2:$NE$150=Z$3)*(GMW!$ND$2:$ND$150=Z$4)*(GMW!$NF$2:$NF$150=Z$1),0),$C305-1966)</f>
        <v>105031.1</v>
      </c>
      <c r="AA305" s="4" cm="1">
        <f t="array" ref="AA305">INDEX(GMW!$A$2:$NF$150,MATCH(1,(GMW!$NE$2:$NE$150=AA$3)*(GMW!$ND$2:$ND$150=AA$4)*(GMW!$NF$2:$NF$150=AA$1),0),$C305-1966)</f>
        <v>914936.8</v>
      </c>
      <c r="AB305" s="4" cm="1">
        <f t="array" ref="AB305">INDEX(GMW!$A$2:$NF$150,MATCH(1,(GMW!$NE$2:$NE$150=AB$3)*(GMW!$ND$2:$ND$150=AB$4)*(GMW!$NF$2:$NF$150=AB$1),0),$C305-1966)</f>
        <v>38973.46</v>
      </c>
      <c r="AC305" s="4" cm="1">
        <f t="array" ref="AC305">INDEX(GMW!$A$2:$NF$150,MATCH(1,(GMW!$NE$2:$NE$150=AC$3)*(GMW!$ND$2:$ND$150=AC$4)*(GMW!$NF$2:$NF$150=AC$1),0),$C305-1966)</f>
        <v>31.956420000000001</v>
      </c>
      <c r="AD305" s="4" cm="1">
        <f t="array" ref="AD305">INDEX(GMW!$A$2:$NF$150,MATCH(1,(GMW!$NE$2:$NE$150=AD$3)*(GMW!$ND$2:$ND$150=AD$4)*(GMW!$NF$2:$NF$150=AD$1),0),$C305-1966)</f>
        <v>706653.3</v>
      </c>
      <c r="AE305" s="4" cm="1">
        <f t="array" ref="AE305">INDEX(GMW!$A$2:$NF$150,MATCH(1,(GMW!$NE$2:$NE$150=AE$3)*(GMW!$ND$2:$ND$150=AE$4)*(GMW!$NF$2:$NF$150=AE$1),0),$C305-1966)</f>
        <v>46694.19</v>
      </c>
      <c r="AF305" s="4" cm="1">
        <f t="array" ref="AF305">INDEX(GMW!$A$2:$NF$150,MATCH(1,(GMW!$NE$2:$NE$150=AF$3)*(GMW!$ND$2:$ND$150=AF$4)*(GMW!$NF$2:$NF$150=AF$1),0),$C305-1966)</f>
        <v>5008011</v>
      </c>
      <c r="AG305" s="4" cm="1">
        <f t="array" ref="AG305">INDEX(GMW!$A$2:$NF$150,MATCH(1,(GMW!$NE$2:$NE$150=AG$3)*(GMW!$ND$2:$ND$150=AG$4)*(GMW!$NF$2:$NF$150=AG$1),0),$C305-1966)</f>
        <v>-1.608784</v>
      </c>
      <c r="AH305" s="4" cm="1">
        <f t="array" ref="AH305">INDEX(GMW!$A$2:$NF$150,MATCH(1,(GMW!$NE$2:$NE$150=AH$3)*(GMW!$ND$2:$ND$150=AH$4)*(GMW!$NF$2:$NF$150=AH$1),0),$C305-1966)</f>
        <v>913990.3</v>
      </c>
      <c r="AI305" s="4" cm="1">
        <f t="array" ref="AI305">INDEX(GMW!$A$2:$NF$150,MATCH(1,(GMW!$NE$2:$NE$150=AI$3)*(GMW!$ND$2:$ND$150=AI$4)*(GMW!$NF$2:$NF$150=AI$1),0),$C305-1966)</f>
        <v>214.86850000000001</v>
      </c>
      <c r="AJ305" s="4" cm="1">
        <f t="array" ref="AJ305">INDEX(GMW!$A$2:$NF$150,MATCH(1,(GMW!$NE$2:$NE$150=AJ$3)*(GMW!$ND$2:$ND$150=AJ$4)*(GMW!$NF$2:$NF$150=AJ$1),0),$C305-1966)</f>
        <v>271927.09999999998</v>
      </c>
      <c r="AK305" s="4" cm="1">
        <f t="array" ref="AK305">INDEX(GMW!$A$2:$NF$150,MATCH(1,(GMW!$NE$2:$NE$150=AK$3)*(GMW!$ND$2:$ND$150=AK$4)*(GMW!$NF$2:$NF$150=AK$1),0),$C305-1966)</f>
        <v>99830.66</v>
      </c>
      <c r="AL305" s="4" cm="1">
        <f t="array" ref="AL305">INDEX(GMW!$A$2:$NF$150,MATCH(1,(GMW!$NE$2:$NE$150=AL$3)*(GMW!$ND$2:$ND$150=AL$4)*(GMW!$NF$2:$NF$150=AL$1),0),$C305-1966)</f>
        <v>305424.7</v>
      </c>
      <c r="AM305" s="4" cm="1">
        <f t="array" ref="AM305">INDEX(GMW!$A$2:$NF$150,MATCH(1,(GMW!$NE$2:$NE$150=AM$3)*(GMW!$ND$2:$ND$150=AM$4)*(GMW!$NF$2:$NF$150=AM$1),0),$C305-1966)</f>
        <v>163322</v>
      </c>
      <c r="AN305" s="4" cm="1">
        <f t="array" ref="AN305">INDEX(GMW!$A$2:$NF$150,MATCH(1,(GMW!$NE$2:$NE$150=AN$3)*(GMW!$ND$2:$ND$150=AN$4)*(GMW!$NF$2:$NF$150=AN$1),0),$C305-1966)</f>
        <v>180184</v>
      </c>
      <c r="AO305" s="4" cm="1">
        <f t="array" ref="AO305">INDEX(GMW!$A$2:$NF$150,MATCH(1,(GMW!$NE$2:$NE$150=AO$3)*(GMW!$ND$2:$ND$150=AO$4)*(GMW!$NF$2:$NF$150=AO$1),0),$C305-1966)</f>
        <v>106256.8</v>
      </c>
      <c r="AP305" s="4" cm="1">
        <f t="array" ref="AP305">INDEX(GMW!$A$2:$NF$150,MATCH(1,(GMW!$NE$2:$NE$150=AP$3)*(GMW!$ND$2:$ND$150=AP$4)*(GMW!$NF$2:$NF$150=AP$1),0),$C305-1966)</f>
        <v>913991.4</v>
      </c>
      <c r="AQ305" s="4" cm="1">
        <f t="array" ref="AQ305">INDEX(GMW!$A$2:$NF$150,MATCH(1,(GMW!$NE$2:$NE$150=AQ$3)*(GMW!$ND$2:$ND$150=AQ$4)*(GMW!$NF$2:$NF$150=AQ$1),0),$C305-1966)</f>
        <v>38799.379999999997</v>
      </c>
      <c r="AR305" s="4" cm="1">
        <f t="array" ref="AR305">INDEX(GMW!$A$2:$NF$150,MATCH(1,(GMW!$NE$2:$NE$150=AR$3)*(GMW!$ND$2:$ND$150=AR$4)*(GMW!$NF$2:$NF$150=AR$1),0),$C305-1966)</f>
        <v>31.956420000000001</v>
      </c>
      <c r="AS305" s="4" cm="1">
        <f t="array" ref="AS305">INDEX(GMW!$A$2:$NF$150,MATCH(1,(GMW!$NE$2:$NE$150=AS$3)*(GMW!$ND$2:$ND$150=AS$4)*(GMW!$NF$2:$NF$150=AS$1),0),$C305-1966)</f>
        <v>706434.6</v>
      </c>
      <c r="AT305" s="4" cm="1">
        <f t="array" ref="AT305">INDEX(GMW!$A$2:$NF$150,MATCH(1,(GMW!$NE$2:$NE$150=AT$3)*(GMW!$ND$2:$ND$150=AT$4)*(GMW!$NF$2:$NF$150=AT$1),0),$C305-1966)</f>
        <v>46663.07</v>
      </c>
      <c r="AU305" s="4" cm="1">
        <f t="array" ref="AU305">INDEX(GMW!$A$2:$NF$150,MATCH(1,(GMW!$NE$2:$NE$150=AU$3)*(GMW!$ND$2:$ND$150=AU$4)*(GMW!$NF$2:$NF$150=AU$1),0),$C305-1966)</f>
        <v>5010211</v>
      </c>
      <c r="AV305" s="4" cm="1">
        <f t="array" ref="AV305">INDEX(GMW!$A$2:$NF$150,MATCH(1,(GMW!$NE$2:$NE$150=AV$3)*(GMW!$ND$2:$ND$150=AV$4)*(GMW!$NF$2:$NF$150=AV$1),0),$C305-1966)</f>
        <v>-1.6071759999999999</v>
      </c>
    </row>
    <row r="306" spans="1:48" x14ac:dyDescent="0.25">
      <c r="B306" s="4">
        <f t="shared" si="12"/>
        <v>2047</v>
      </c>
      <c r="C306" s="4">
        <f t="shared" si="13"/>
        <v>2272</v>
      </c>
      <c r="D306" s="4" cm="1">
        <f t="array" ref="D306">INDEX(GMW!$A$2:$NF$150,MATCH(1,(GMW!$NE$2:$NE$150=D$3)*(GMW!$ND$2:$ND$150=D$4)*(GMW!$NF$2:$NF$150=D$1),0),$C306-1966)</f>
        <v>910220.9</v>
      </c>
      <c r="E306" s="4" cm="1">
        <f t="array" ref="E306">INDEX(GMW!$A$2:$NF$150,MATCH(1,(GMW!$NE$2:$NE$150=E$3)*(GMW!$ND$2:$ND$150=E$4)*(GMW!$NF$2:$NF$150=E$1),0),$C306-1966)</f>
        <v>217.46170000000001</v>
      </c>
      <c r="F306" s="4" cm="1">
        <f t="array" ref="F306">INDEX(GMW!$A$2:$NF$150,MATCH(1,(GMW!$NE$2:$NE$150=F$3)*(GMW!$ND$2:$ND$150=F$4)*(GMW!$NF$2:$NF$150=F$1),0),$C306-1966)</f>
        <v>279603.7</v>
      </c>
      <c r="G306" s="4" cm="1">
        <f t="array" ref="G306">INDEX(GMW!$A$2:$NF$150,MATCH(1,(GMW!$NE$2:$NE$150=G$3)*(GMW!$ND$2:$ND$150=G$4)*(GMW!$NF$2:$NF$150=G$1),0),$C306-1966)</f>
        <v>92301</v>
      </c>
      <c r="H306" s="4" cm="1">
        <f t="array" ref="H306">INDEX(GMW!$A$2:$NF$150,MATCH(1,(GMW!$NE$2:$NE$150=H$3)*(GMW!$ND$2:$ND$150=H$4)*(GMW!$NF$2:$NF$150=H$1),0),$C306-1966)</f>
        <v>312185.8</v>
      </c>
      <c r="I306" s="4" cm="1">
        <f t="array" ref="I306">INDEX(GMW!$A$2:$NF$150,MATCH(1,(GMW!$NE$2:$NE$150=I$3)*(GMW!$ND$2:$ND$150=I$4)*(GMW!$NF$2:$NF$150=I$1),0),$C306-1966)</f>
        <v>166767.1</v>
      </c>
      <c r="J306" s="4" cm="1">
        <f t="array" ref="J306">INDEX(GMW!$A$2:$NF$150,MATCH(1,(GMW!$NE$2:$NE$150=J$3)*(GMW!$ND$2:$ND$150=J$4)*(GMW!$NF$2:$NF$150=J$1),0),$C306-1966)</f>
        <v>178298.1</v>
      </c>
      <c r="K306" s="4" cm="1">
        <f t="array" ref="K306">INDEX(GMW!$A$2:$NF$150,MATCH(1,(GMW!$NE$2:$NE$150=K$3)*(GMW!$ND$2:$ND$150=K$4)*(GMW!$NF$2:$NF$150=K$1),0),$C306-1966)</f>
        <v>102179.4</v>
      </c>
      <c r="L306" s="4" cm="1">
        <f t="array" ref="L306">INDEX(GMW!$A$2:$NF$150,MATCH(1,(GMW!$NE$2:$NE$150=L$3)*(GMW!$ND$2:$ND$150=L$4)*(GMW!$NF$2:$NF$150=L$1),0),$C306-1966)</f>
        <v>910220.6</v>
      </c>
      <c r="M306" s="4" cm="1">
        <f t="array" ref="M306">INDEX(GMW!$A$2:$NF$150,MATCH(1,(GMW!$NE$2:$NE$150=M$3)*(GMW!$ND$2:$ND$150=M$4)*(GMW!$NF$2:$NF$150=M$1),0),$C306-1966)</f>
        <v>38994.5</v>
      </c>
      <c r="N306" s="4" cm="1">
        <f t="array" ref="N306">INDEX(GMW!$A$2:$NF$150,MATCH(1,(GMW!$NE$2:$NE$150=N$3)*(GMW!$ND$2:$ND$150=N$4)*(GMW!$NF$2:$NF$150=N$1),0),$C306-1966)</f>
        <v>31.955670000000001</v>
      </c>
      <c r="O306" s="4" cm="1">
        <f t="array" ref="O306">INDEX(GMW!$A$2:$NF$150,MATCH(1,(GMW!$NE$2:$NE$150=O$3)*(GMW!$ND$2:$ND$150=O$4)*(GMW!$NF$2:$NF$150=O$1),0),$C306-1966)</f>
        <v>707160</v>
      </c>
      <c r="P306" s="4" cm="1">
        <f t="array" ref="P306">INDEX(GMW!$A$2:$NF$150,MATCH(1,(GMW!$NE$2:$NE$150=P$3)*(GMW!$ND$2:$ND$150=P$4)*(GMW!$NF$2:$NF$150=P$1),0),$C306-1966)</f>
        <v>46699.11</v>
      </c>
      <c r="Q306" s="4" cm="1">
        <f t="array" ref="Q306">INDEX(GMW!$A$2:$NF$150,MATCH(1,(GMW!$NE$2:$NE$150=Q$3)*(GMW!$ND$2:$ND$150=Q$4)*(GMW!$NF$2:$NF$150=Q$1),0),$C306-1966)</f>
        <v>4937671</v>
      </c>
      <c r="R306" s="4" cm="1">
        <f t="array" ref="R306">INDEX(GMW!$A$2:$NF$150,MATCH(1,(GMW!$NE$2:$NE$150=R$3)*(GMW!$ND$2:$ND$150=R$4)*(GMW!$NF$2:$NF$150=R$1),0),$C306-1966)</f>
        <v>-1.6095189999999999</v>
      </c>
      <c r="S306" s="4" cm="1">
        <f t="array" ref="S306">INDEX(GMW!$A$2:$NF$150,MATCH(1,(GMW!$NE$2:$NE$150=S$3)*(GMW!$ND$2:$ND$150=S$4)*(GMW!$NF$2:$NF$150=S$1),0),$C306-1966)</f>
        <v>918178.1</v>
      </c>
      <c r="T306" s="4" cm="1">
        <f t="array" ref="T306">INDEX(GMW!$A$2:$NF$150,MATCH(1,(GMW!$NE$2:$NE$150=T$3)*(GMW!$ND$2:$ND$150=T$4)*(GMW!$NF$2:$NF$150=T$1),0),$C306-1966)</f>
        <v>217.31010000000001</v>
      </c>
      <c r="U306" s="4" cm="1">
        <f t="array" ref="U306">INDEX(GMW!$A$2:$NF$150,MATCH(1,(GMW!$NE$2:$NE$150=U$3)*(GMW!$ND$2:$ND$150=U$4)*(GMW!$NF$2:$NF$150=U$1),0),$C306-1966)</f>
        <v>267716.59999999998</v>
      </c>
      <c r="V306" s="4" cm="1">
        <f t="array" ref="V306">INDEX(GMW!$A$2:$NF$150,MATCH(1,(GMW!$NE$2:$NE$150=V$3)*(GMW!$ND$2:$ND$150=V$4)*(GMW!$NF$2:$NF$150=V$1),0),$C306-1966)</f>
        <v>97280.16</v>
      </c>
      <c r="W306" s="4" cm="1">
        <f t="array" ref="W306">INDEX(GMW!$A$2:$NF$150,MATCH(1,(GMW!$NE$2:$NE$150=W$3)*(GMW!$ND$2:$ND$150=W$4)*(GMW!$NF$2:$NF$150=W$1),0),$C306-1966)</f>
        <v>302352.40000000002</v>
      </c>
      <c r="X306" s="4" cm="1">
        <f t="array" ref="X306">INDEX(GMW!$A$2:$NF$150,MATCH(1,(GMW!$NE$2:$NE$150=X$3)*(GMW!$ND$2:$ND$150=X$4)*(GMW!$NF$2:$NF$150=X$1),0),$C306-1966)</f>
        <v>160391.1</v>
      </c>
      <c r="Y306" s="4" cm="1">
        <f t="array" ref="Y306">INDEX(GMW!$A$2:$NF$150,MATCH(1,(GMW!$NE$2:$NE$150=Y$3)*(GMW!$ND$2:$ND$150=Y$4)*(GMW!$NF$2:$NF$150=Y$1),0),$C306-1966)</f>
        <v>181257.2</v>
      </c>
      <c r="Z306" s="4" cm="1">
        <f t="array" ref="Z306">INDEX(GMW!$A$2:$NF$150,MATCH(1,(GMW!$NE$2:$NE$150=Z$3)*(GMW!$ND$2:$ND$150=Z$4)*(GMW!$NF$2:$NF$150=Z$1),0),$C306-1966)</f>
        <v>105550.1</v>
      </c>
      <c r="AA306" s="4" cm="1">
        <f t="array" ref="AA306">INDEX(GMW!$A$2:$NF$150,MATCH(1,(GMW!$NE$2:$NE$150=AA$3)*(GMW!$ND$2:$ND$150=AA$4)*(GMW!$NF$2:$NF$150=AA$1),0),$C306-1966)</f>
        <v>918177</v>
      </c>
      <c r="AB306" s="4" cm="1">
        <f t="array" ref="AB306">INDEX(GMW!$A$2:$NF$150,MATCH(1,(GMW!$NE$2:$NE$150=AB$3)*(GMW!$ND$2:$ND$150=AB$4)*(GMW!$NF$2:$NF$150=AB$1),0),$C306-1966)</f>
        <v>38994.5</v>
      </c>
      <c r="AC306" s="4" cm="1">
        <f t="array" ref="AC306">INDEX(GMW!$A$2:$NF$150,MATCH(1,(GMW!$NE$2:$NE$150=AC$3)*(GMW!$ND$2:$ND$150=AC$4)*(GMW!$NF$2:$NF$150=AC$1),0),$C306-1966)</f>
        <v>31.955670000000001</v>
      </c>
      <c r="AD306" s="4" cm="1">
        <f t="array" ref="AD306">INDEX(GMW!$A$2:$NF$150,MATCH(1,(GMW!$NE$2:$NE$150=AD$3)*(GMW!$ND$2:$ND$150=AD$4)*(GMW!$NF$2:$NF$150=AD$1),0),$C306-1966)</f>
        <v>707160</v>
      </c>
      <c r="AE306" s="4" cm="1">
        <f t="array" ref="AE306">INDEX(GMW!$A$2:$NF$150,MATCH(1,(GMW!$NE$2:$NE$150=AE$3)*(GMW!$ND$2:$ND$150=AE$4)*(GMW!$NF$2:$NF$150=AE$1),0),$C306-1966)</f>
        <v>46699.11</v>
      </c>
      <c r="AF306" s="4" cm="1">
        <f t="array" ref="AF306">INDEX(GMW!$A$2:$NF$150,MATCH(1,(GMW!$NE$2:$NE$150=AF$3)*(GMW!$ND$2:$ND$150=AF$4)*(GMW!$NF$2:$NF$150=AF$1),0),$C306-1966)</f>
        <v>5032787</v>
      </c>
      <c r="AG306" s="4" cm="1">
        <f t="array" ref="AG306">INDEX(GMW!$A$2:$NF$150,MATCH(1,(GMW!$NE$2:$NE$150=AG$3)*(GMW!$ND$2:$ND$150=AG$4)*(GMW!$NF$2:$NF$150=AG$1),0),$C306-1966)</f>
        <v>-1.607497</v>
      </c>
      <c r="AH306" s="4" cm="1">
        <f t="array" ref="AH306">INDEX(GMW!$A$2:$NF$150,MATCH(1,(GMW!$NE$2:$NE$150=AH$3)*(GMW!$ND$2:$ND$150=AH$4)*(GMW!$NF$2:$NF$150=AH$1),0),$C306-1966)</f>
        <v>917434.6</v>
      </c>
      <c r="AI306" s="4" cm="1">
        <f t="array" ref="AI306">INDEX(GMW!$A$2:$NF$150,MATCH(1,(GMW!$NE$2:$NE$150=AI$3)*(GMW!$ND$2:$ND$150=AI$4)*(GMW!$NF$2:$NF$150=AI$1),0),$C306-1966)</f>
        <v>215.9315</v>
      </c>
      <c r="AJ306" s="4" cm="1">
        <f t="array" ref="AJ306">INDEX(GMW!$A$2:$NF$150,MATCH(1,(GMW!$NE$2:$NE$150=AJ$3)*(GMW!$ND$2:$ND$150=AJ$4)*(GMW!$NF$2:$NF$150=AJ$1),0),$C306-1966)</f>
        <v>272858.3</v>
      </c>
      <c r="AK306" s="4" cm="1">
        <f t="array" ref="AK306">INDEX(GMW!$A$2:$NF$150,MATCH(1,(GMW!$NE$2:$NE$150=AK$3)*(GMW!$ND$2:$ND$150=AK$4)*(GMW!$NF$2:$NF$150=AK$1),0),$C306-1966)</f>
        <v>100127</v>
      </c>
      <c r="AL306" s="4" cm="1">
        <f t="array" ref="AL306">INDEX(GMW!$A$2:$NF$150,MATCH(1,(GMW!$NE$2:$NE$150=AL$3)*(GMW!$ND$2:$ND$150=AL$4)*(GMW!$NF$2:$NF$150=AL$1),0),$C306-1966)</f>
        <v>306564.59999999998</v>
      </c>
      <c r="AM306" s="4" cm="1">
        <f t="array" ref="AM306">INDEX(GMW!$A$2:$NF$150,MATCH(1,(GMW!$NE$2:$NE$150=AM$3)*(GMW!$ND$2:$ND$150=AM$4)*(GMW!$NF$2:$NF$150=AM$1),0),$C306-1966)</f>
        <v>163904.79999999999</v>
      </c>
      <c r="AN306" s="4" cm="1">
        <f t="array" ref="AN306">INDEX(GMW!$A$2:$NF$150,MATCH(1,(GMW!$NE$2:$NE$150=AN$3)*(GMW!$ND$2:$ND$150=AN$4)*(GMW!$NF$2:$NF$150=AN$1),0),$C306-1966)</f>
        <v>181049.9</v>
      </c>
      <c r="AO306" s="4" cm="1">
        <f t="array" ref="AO306">INDEX(GMW!$A$2:$NF$150,MATCH(1,(GMW!$NE$2:$NE$150=AO$3)*(GMW!$ND$2:$ND$150=AO$4)*(GMW!$NF$2:$NF$150=AO$1),0),$C306-1966)</f>
        <v>106806</v>
      </c>
      <c r="AP306" s="4" cm="1">
        <f t="array" ref="AP306">INDEX(GMW!$A$2:$NF$150,MATCH(1,(GMW!$NE$2:$NE$150=AP$3)*(GMW!$ND$2:$ND$150=AP$4)*(GMW!$NF$2:$NF$150=AP$1),0),$C306-1966)</f>
        <v>917433.9</v>
      </c>
      <c r="AQ306" s="4" cm="1">
        <f t="array" ref="AQ306">INDEX(GMW!$A$2:$NF$150,MATCH(1,(GMW!$NE$2:$NE$150=AQ$3)*(GMW!$ND$2:$ND$150=AQ$4)*(GMW!$NF$2:$NF$150=AQ$1),0),$C306-1966)</f>
        <v>38834.18</v>
      </c>
      <c r="AR306" s="4" cm="1">
        <f t="array" ref="AR306">INDEX(GMW!$A$2:$NF$150,MATCH(1,(GMW!$NE$2:$NE$150=AR$3)*(GMW!$ND$2:$ND$150=AR$4)*(GMW!$NF$2:$NF$150=AR$1),0),$C306-1966)</f>
        <v>31.955670000000001</v>
      </c>
      <c r="AS306" s="4" cm="1">
        <f t="array" ref="AS306">INDEX(GMW!$A$2:$NF$150,MATCH(1,(GMW!$NE$2:$NE$150=AS$3)*(GMW!$ND$2:$ND$150=AS$4)*(GMW!$NF$2:$NF$150=AS$1),0),$C306-1966)</f>
        <v>707054.6</v>
      </c>
      <c r="AT306" s="4" cm="1">
        <f t="array" ref="AT306">INDEX(GMW!$A$2:$NF$150,MATCH(1,(GMW!$NE$2:$NE$150=AT$3)*(GMW!$ND$2:$ND$150=AT$4)*(GMW!$NF$2:$NF$150=AT$1),0),$C306-1966)</f>
        <v>46675.44</v>
      </c>
      <c r="AU306" s="4" cm="1">
        <f t="array" ref="AU306">INDEX(GMW!$A$2:$NF$150,MATCH(1,(GMW!$NE$2:$NE$150=AU$3)*(GMW!$ND$2:$ND$150=AU$4)*(GMW!$NF$2:$NF$150=AU$1),0),$C306-1966)</f>
        <v>5034960</v>
      </c>
      <c r="AV306" s="4" cm="1">
        <f t="array" ref="AV306">INDEX(GMW!$A$2:$NF$150,MATCH(1,(GMW!$NE$2:$NE$150=AV$3)*(GMW!$ND$2:$ND$150=AV$4)*(GMW!$NF$2:$NF$150=AV$1),0),$C306-1966)</f>
        <v>-1.60589</v>
      </c>
    </row>
    <row r="307" spans="1:48" x14ac:dyDescent="0.25">
      <c r="A307" s="4">
        <v>2048</v>
      </c>
      <c r="B307" s="4">
        <f t="shared" si="12"/>
        <v>2048</v>
      </c>
      <c r="C307" s="4">
        <f t="shared" si="13"/>
        <v>2273</v>
      </c>
      <c r="D307" s="4" cm="1">
        <f t="array" ref="D307">INDEX(GMW!$A$2:$NF$150,MATCH(1,(GMW!$NE$2:$NE$150=D$3)*(GMW!$ND$2:$ND$150=D$4)*(GMW!$NF$2:$NF$150=D$1),0),$C307-1966)</f>
        <v>913445.6</v>
      </c>
      <c r="E307" s="4" cm="1">
        <f t="array" ref="E307">INDEX(GMW!$A$2:$NF$150,MATCH(1,(GMW!$NE$2:$NE$150=E$3)*(GMW!$ND$2:$ND$150=E$4)*(GMW!$NF$2:$NF$150=E$1),0),$C307-1966)</f>
        <v>217.90690000000001</v>
      </c>
      <c r="F307" s="4" cm="1">
        <f t="array" ref="F307">INDEX(GMW!$A$2:$NF$150,MATCH(1,(GMW!$NE$2:$NE$150=F$3)*(GMW!$ND$2:$ND$150=F$4)*(GMW!$NF$2:$NF$150=F$1),0),$C307-1966)</f>
        <v>280524.09999999998</v>
      </c>
      <c r="G307" s="4" cm="1">
        <f t="array" ref="G307">INDEX(GMW!$A$2:$NF$150,MATCH(1,(GMW!$NE$2:$NE$150=G$3)*(GMW!$ND$2:$ND$150=G$4)*(GMW!$NF$2:$NF$150=G$1),0),$C307-1966)</f>
        <v>92553.24</v>
      </c>
      <c r="H307" s="4" cm="1">
        <f t="array" ref="H307">INDEX(GMW!$A$2:$NF$150,MATCH(1,(GMW!$NE$2:$NE$150=H$3)*(GMW!$ND$2:$ND$150=H$4)*(GMW!$NF$2:$NF$150=H$1),0),$C307-1966)</f>
        <v>313306.40000000002</v>
      </c>
      <c r="I307" s="4" cm="1">
        <f t="array" ref="I307">INDEX(GMW!$A$2:$NF$150,MATCH(1,(GMW!$NE$2:$NE$150=I$3)*(GMW!$ND$2:$ND$150=I$4)*(GMW!$NF$2:$NF$150=I$1),0),$C307-1966)</f>
        <v>167327.9</v>
      </c>
      <c r="J307" s="4" cm="1">
        <f t="array" ref="J307">INDEX(GMW!$A$2:$NF$150,MATCH(1,(GMW!$NE$2:$NE$150=J$3)*(GMW!$ND$2:$ND$150=J$4)*(GMW!$NF$2:$NF$150=J$1),0),$C307-1966)</f>
        <v>179123.4</v>
      </c>
      <c r="K307" s="4" cm="1">
        <f t="array" ref="K307">INDEX(GMW!$A$2:$NF$150,MATCH(1,(GMW!$NE$2:$NE$150=K$3)*(GMW!$ND$2:$ND$150=K$4)*(GMW!$NF$2:$NF$150=K$1),0),$C307-1966)</f>
        <v>102694.7</v>
      </c>
      <c r="L307" s="4" cm="1">
        <f t="array" ref="L307">INDEX(GMW!$A$2:$NF$150,MATCH(1,(GMW!$NE$2:$NE$150=L$3)*(GMW!$ND$2:$ND$150=L$4)*(GMW!$NF$2:$NF$150=L$1),0),$C307-1966)</f>
        <v>913444.1</v>
      </c>
      <c r="M307" s="4" cm="1">
        <f t="array" ref="M307">INDEX(GMW!$A$2:$NF$150,MATCH(1,(GMW!$NE$2:$NE$150=M$3)*(GMW!$ND$2:$ND$150=M$4)*(GMW!$NF$2:$NF$150=M$1),0),$C307-1966)</f>
        <v>39015.54</v>
      </c>
      <c r="N307" s="4" cm="1">
        <f t="array" ref="N307">INDEX(GMW!$A$2:$NF$150,MATCH(1,(GMW!$NE$2:$NE$150=N$3)*(GMW!$ND$2:$ND$150=N$4)*(GMW!$NF$2:$NF$150=N$1),0),$C307-1966)</f>
        <v>31.954920000000001</v>
      </c>
      <c r="O307" s="4" cm="1">
        <f t="array" ref="O307">INDEX(GMW!$A$2:$NF$150,MATCH(1,(GMW!$NE$2:$NE$150=O$3)*(GMW!$ND$2:$ND$150=O$4)*(GMW!$NF$2:$NF$150=O$1),0),$C307-1966)</f>
        <v>707665.1</v>
      </c>
      <c r="P307" s="4" cm="1">
        <f t="array" ref="P307">INDEX(GMW!$A$2:$NF$150,MATCH(1,(GMW!$NE$2:$NE$150=P$3)*(GMW!$ND$2:$ND$150=P$4)*(GMW!$NF$2:$NF$150=P$1),0),$C307-1966)</f>
        <v>46704.03</v>
      </c>
      <c r="Q307" s="4" cm="1">
        <f t="array" ref="Q307">INDEX(GMW!$A$2:$NF$150,MATCH(1,(GMW!$NE$2:$NE$150=Q$3)*(GMW!$ND$2:$ND$150=Q$4)*(GMW!$NF$2:$NF$150=Q$1),0),$C307-1966)</f>
        <v>4962137</v>
      </c>
      <c r="R307" s="4" cm="1">
        <f t="array" ref="R307">INDEX(GMW!$A$2:$NF$150,MATCH(1,(GMW!$NE$2:$NE$150=R$3)*(GMW!$ND$2:$ND$150=R$4)*(GMW!$NF$2:$NF$150=R$1),0),$C307-1966)</f>
        <v>-1.6082320000000001</v>
      </c>
      <c r="S307" s="4" cm="1">
        <f t="array" ref="S307">INDEX(GMW!$A$2:$NF$150,MATCH(1,(GMW!$NE$2:$NE$150=S$3)*(GMW!$ND$2:$ND$150=S$4)*(GMW!$NF$2:$NF$150=S$1),0),$C307-1966)</f>
        <v>921426.1</v>
      </c>
      <c r="T307" s="4" cm="1">
        <f t="array" ref="T307">INDEX(GMW!$A$2:$NF$150,MATCH(1,(GMW!$NE$2:$NE$150=T$3)*(GMW!$ND$2:$ND$150=T$4)*(GMW!$NF$2:$NF$150=T$1),0),$C307-1966)</f>
        <v>217.67679999999999</v>
      </c>
      <c r="U307" s="4" cm="1">
        <f t="array" ref="U307">INDEX(GMW!$A$2:$NF$150,MATCH(1,(GMW!$NE$2:$NE$150=U$3)*(GMW!$ND$2:$ND$150=U$4)*(GMW!$NF$2:$NF$150=U$1),0),$C307-1966)</f>
        <v>268582.09999999998</v>
      </c>
      <c r="V307" s="4" cm="1">
        <f t="array" ref="V307">INDEX(GMW!$A$2:$NF$150,MATCH(1,(GMW!$NE$2:$NE$150=V$3)*(GMW!$ND$2:$ND$150=V$4)*(GMW!$NF$2:$NF$150=V$1),0),$C307-1966)</f>
        <v>97545.48</v>
      </c>
      <c r="W307" s="4" cm="1">
        <f t="array" ref="W307">INDEX(GMW!$A$2:$NF$150,MATCH(1,(GMW!$NE$2:$NE$150=W$3)*(GMW!$ND$2:$ND$150=W$4)*(GMW!$NF$2:$NF$150=W$1),0),$C307-1966)</f>
        <v>303428.40000000002</v>
      </c>
      <c r="X307" s="4" cm="1">
        <f t="array" ref="X307">INDEX(GMW!$A$2:$NF$150,MATCH(1,(GMW!$NE$2:$NE$150=X$3)*(GMW!$ND$2:$ND$150=X$4)*(GMW!$NF$2:$NF$150=X$1),0),$C307-1966)</f>
        <v>160929.60000000001</v>
      </c>
      <c r="Y307" s="4" cm="1">
        <f t="array" ref="Y307">INDEX(GMW!$A$2:$NF$150,MATCH(1,(GMW!$NE$2:$NE$150=Y$3)*(GMW!$ND$2:$ND$150=Y$4)*(GMW!$NF$2:$NF$150=Y$1),0),$C307-1966)</f>
        <v>182085.7</v>
      </c>
      <c r="Z307" s="4" cm="1">
        <f t="array" ref="Z307">INDEX(GMW!$A$2:$NF$150,MATCH(1,(GMW!$NE$2:$NE$150=Z$3)*(GMW!$ND$2:$ND$150=Z$4)*(GMW!$NF$2:$NF$150=Z$1),0),$C307-1966)</f>
        <v>106071.3</v>
      </c>
      <c r="AA307" s="4" cm="1">
        <f t="array" ref="AA307">INDEX(GMW!$A$2:$NF$150,MATCH(1,(GMW!$NE$2:$NE$150=AA$3)*(GMW!$ND$2:$ND$150=AA$4)*(GMW!$NF$2:$NF$150=AA$1),0),$C307-1966)</f>
        <v>921425.3</v>
      </c>
      <c r="AB307" s="4" cm="1">
        <f t="array" ref="AB307">INDEX(GMW!$A$2:$NF$150,MATCH(1,(GMW!$NE$2:$NE$150=AB$3)*(GMW!$ND$2:$ND$150=AB$4)*(GMW!$NF$2:$NF$150=AB$1),0),$C307-1966)</f>
        <v>39015.54</v>
      </c>
      <c r="AC307" s="4" cm="1">
        <f t="array" ref="AC307">INDEX(GMW!$A$2:$NF$150,MATCH(1,(GMW!$NE$2:$NE$150=AC$3)*(GMW!$ND$2:$ND$150=AC$4)*(GMW!$NF$2:$NF$150=AC$1),0),$C307-1966)</f>
        <v>31.954920000000001</v>
      </c>
      <c r="AD307" s="4" cm="1">
        <f t="array" ref="AD307">INDEX(GMW!$A$2:$NF$150,MATCH(1,(GMW!$NE$2:$NE$150=AD$3)*(GMW!$ND$2:$ND$150=AD$4)*(GMW!$NF$2:$NF$150=AD$1),0),$C307-1966)</f>
        <v>707665.1</v>
      </c>
      <c r="AE307" s="4" cm="1">
        <f t="array" ref="AE307">INDEX(GMW!$A$2:$NF$150,MATCH(1,(GMW!$NE$2:$NE$150=AE$3)*(GMW!$ND$2:$ND$150=AE$4)*(GMW!$NF$2:$NF$150=AE$1),0),$C307-1966)</f>
        <v>46704.03</v>
      </c>
      <c r="AF307" s="4" cm="1">
        <f t="array" ref="AF307">INDEX(GMW!$A$2:$NF$150,MATCH(1,(GMW!$NE$2:$NE$150=AF$3)*(GMW!$ND$2:$ND$150=AF$4)*(GMW!$NF$2:$NF$150=AF$1),0),$C307-1966)</f>
        <v>5057655</v>
      </c>
      <c r="AG307" s="4" cm="1">
        <f t="array" ref="AG307">INDEX(GMW!$A$2:$NF$150,MATCH(1,(GMW!$NE$2:$NE$150=AG$3)*(GMW!$ND$2:$ND$150=AG$4)*(GMW!$NF$2:$NF$150=AG$1),0),$C307-1966)</f>
        <v>-1.6062110000000001</v>
      </c>
      <c r="AH307" s="4" cm="1">
        <f t="array" ref="AH307">INDEX(GMW!$A$2:$NF$150,MATCH(1,(GMW!$NE$2:$NE$150=AH$3)*(GMW!$ND$2:$ND$150=AH$4)*(GMW!$NF$2:$NF$150=AH$1),0),$C307-1966)</f>
        <v>920889.9</v>
      </c>
      <c r="AI307" s="4" cm="1">
        <f t="array" ref="AI307">INDEX(GMW!$A$2:$NF$150,MATCH(1,(GMW!$NE$2:$NE$150=AI$3)*(GMW!$ND$2:$ND$150=AI$4)*(GMW!$NF$2:$NF$150=AI$1),0),$C307-1966)</f>
        <v>216.3416</v>
      </c>
      <c r="AJ307" s="4" cm="1">
        <f t="array" ref="AJ307">INDEX(GMW!$A$2:$NF$150,MATCH(1,(GMW!$NE$2:$NE$150=AJ$3)*(GMW!$ND$2:$ND$150=AJ$4)*(GMW!$NF$2:$NF$150=AJ$1),0),$C307-1966)</f>
        <v>273792.8</v>
      </c>
      <c r="AK307" s="4" cm="1">
        <f t="array" ref="AK307">INDEX(GMW!$A$2:$NF$150,MATCH(1,(GMW!$NE$2:$NE$150=AK$3)*(GMW!$ND$2:$ND$150=AK$4)*(GMW!$NF$2:$NF$150=AK$1),0),$C307-1966)</f>
        <v>100424</v>
      </c>
      <c r="AL307" s="4" cm="1">
        <f t="array" ref="AL307">INDEX(GMW!$A$2:$NF$150,MATCH(1,(GMW!$NE$2:$NE$150=AL$3)*(GMW!$ND$2:$ND$150=AL$4)*(GMW!$NF$2:$NF$150=AL$1),0),$C307-1966)</f>
        <v>307708.5</v>
      </c>
      <c r="AM307" s="4" cm="1">
        <f t="array" ref="AM307">INDEX(GMW!$A$2:$NF$150,MATCH(1,(GMW!$NE$2:$NE$150=AM$3)*(GMW!$ND$2:$ND$150=AM$4)*(GMW!$NF$2:$NF$150=AM$1),0),$C307-1966)</f>
        <v>164489.29999999999</v>
      </c>
      <c r="AN307" s="4" cm="1">
        <f t="array" ref="AN307">INDEX(GMW!$A$2:$NF$150,MATCH(1,(GMW!$NE$2:$NE$150=AN$3)*(GMW!$ND$2:$ND$150=AN$4)*(GMW!$NF$2:$NF$150=AN$1),0),$C307-1966)</f>
        <v>181919.5</v>
      </c>
      <c r="AO307" s="4" cm="1">
        <f t="array" ref="AO307">INDEX(GMW!$A$2:$NF$150,MATCH(1,(GMW!$NE$2:$NE$150=AO$3)*(GMW!$ND$2:$ND$150=AO$4)*(GMW!$NF$2:$NF$150=AO$1),0),$C307-1966)</f>
        <v>107357.7</v>
      </c>
      <c r="AP307" s="4" cm="1">
        <f t="array" ref="AP307">INDEX(GMW!$A$2:$NF$150,MATCH(1,(GMW!$NE$2:$NE$150=AP$3)*(GMW!$ND$2:$ND$150=AP$4)*(GMW!$NF$2:$NF$150=AP$1),0),$C307-1966)</f>
        <v>920890.3</v>
      </c>
      <c r="AQ307" s="4" cm="1">
        <f t="array" ref="AQ307">INDEX(GMW!$A$2:$NF$150,MATCH(1,(GMW!$NE$2:$NE$150=AQ$3)*(GMW!$ND$2:$ND$150=AQ$4)*(GMW!$NF$2:$NF$150=AQ$1),0),$C307-1966)</f>
        <v>38868.99</v>
      </c>
      <c r="AR307" s="4" cm="1">
        <f t="array" ref="AR307">INDEX(GMW!$A$2:$NF$150,MATCH(1,(GMW!$NE$2:$NE$150=AR$3)*(GMW!$ND$2:$ND$150=AR$4)*(GMW!$NF$2:$NF$150=AR$1),0),$C307-1966)</f>
        <v>31.954920000000001</v>
      </c>
      <c r="AS307" s="4" cm="1">
        <f t="array" ref="AS307">INDEX(GMW!$A$2:$NF$150,MATCH(1,(GMW!$NE$2:$NE$150=AS$3)*(GMW!$ND$2:$ND$150=AS$4)*(GMW!$NF$2:$NF$150=AS$1),0),$C307-1966)</f>
        <v>707672.6</v>
      </c>
      <c r="AT307" s="4" cm="1">
        <f t="array" ref="AT307">INDEX(GMW!$A$2:$NF$150,MATCH(1,(GMW!$NE$2:$NE$150=AT$3)*(GMW!$ND$2:$ND$150=AT$4)*(GMW!$NF$2:$NF$150=AT$1),0),$C307-1966)</f>
        <v>46687.8</v>
      </c>
      <c r="AU307" s="4" cm="1">
        <f t="array" ref="AU307">INDEX(GMW!$A$2:$NF$150,MATCH(1,(GMW!$NE$2:$NE$150=AU$3)*(GMW!$ND$2:$ND$150=AU$4)*(GMW!$NF$2:$NF$150=AU$1),0),$C307-1966)</f>
        <v>5059836</v>
      </c>
      <c r="AV307" s="4" cm="1">
        <f t="array" ref="AV307">INDEX(GMW!$A$2:$NF$150,MATCH(1,(GMW!$NE$2:$NE$150=AV$3)*(GMW!$ND$2:$ND$150=AV$4)*(GMW!$NF$2:$NF$150=AV$1),0),$C307-1966)</f>
        <v>-1.6046050000000001</v>
      </c>
    </row>
    <row r="308" spans="1:48" x14ac:dyDescent="0.25">
      <c r="B308" s="4">
        <f t="shared" si="12"/>
        <v>2048</v>
      </c>
      <c r="C308" s="4">
        <f t="shared" si="13"/>
        <v>2274</v>
      </c>
      <c r="D308" s="4" cm="1">
        <f t="array" ref="D308">INDEX(GMW!$A$2:$NF$150,MATCH(1,(GMW!$NE$2:$NE$150=D$3)*(GMW!$ND$2:$ND$150=D$4)*(GMW!$NF$2:$NF$150=D$1),0),$C308-1966)</f>
        <v>916678.8</v>
      </c>
      <c r="E308" s="4" cm="1">
        <f t="array" ref="E308">INDEX(GMW!$A$2:$NF$150,MATCH(1,(GMW!$NE$2:$NE$150=E$3)*(GMW!$ND$2:$ND$150=E$4)*(GMW!$NF$2:$NF$150=E$1),0),$C308-1966)</f>
        <v>219.83860000000001</v>
      </c>
      <c r="F308" s="4" cm="1">
        <f t="array" ref="F308">INDEX(GMW!$A$2:$NF$150,MATCH(1,(GMW!$NE$2:$NE$150=F$3)*(GMW!$ND$2:$ND$150=F$4)*(GMW!$NF$2:$NF$150=F$1),0),$C308-1966)</f>
        <v>281447.3</v>
      </c>
      <c r="G308" s="4" cm="1">
        <f t="array" ref="G308">INDEX(GMW!$A$2:$NF$150,MATCH(1,(GMW!$NE$2:$NE$150=G$3)*(GMW!$ND$2:$ND$150=G$4)*(GMW!$NF$2:$NF$150=G$1),0),$C308-1966)</f>
        <v>92805.87</v>
      </c>
      <c r="H308" s="4" cm="1">
        <f t="array" ref="H308">INDEX(GMW!$A$2:$NF$150,MATCH(1,(GMW!$NE$2:$NE$150=H$3)*(GMW!$ND$2:$ND$150=H$4)*(GMW!$NF$2:$NF$150=H$1),0),$C308-1966)</f>
        <v>314430.3</v>
      </c>
      <c r="I308" s="4" cm="1">
        <f t="array" ref="I308">INDEX(GMW!$A$2:$NF$150,MATCH(1,(GMW!$NE$2:$NE$150=I$3)*(GMW!$ND$2:$ND$150=I$4)*(GMW!$NF$2:$NF$150=I$1),0),$C308-1966)</f>
        <v>167890.1</v>
      </c>
      <c r="J308" s="4" cm="1">
        <f t="array" ref="J308">INDEX(GMW!$A$2:$NF$150,MATCH(1,(GMW!$NE$2:$NE$150=J$3)*(GMW!$ND$2:$ND$150=J$4)*(GMW!$NF$2:$NF$150=J$1),0),$C308-1966)</f>
        <v>179951.9</v>
      </c>
      <c r="K308" s="4" cm="1">
        <f t="array" ref="K308">INDEX(GMW!$A$2:$NF$150,MATCH(1,(GMW!$NE$2:$NE$150=K$3)*(GMW!$ND$2:$ND$150=K$4)*(GMW!$NF$2:$NF$150=K$1),0),$C308-1966)</f>
        <v>103212.2</v>
      </c>
      <c r="L308" s="4" cm="1">
        <f t="array" ref="L308">INDEX(GMW!$A$2:$NF$150,MATCH(1,(GMW!$NE$2:$NE$150=L$3)*(GMW!$ND$2:$ND$150=L$4)*(GMW!$NF$2:$NF$150=L$1),0),$C308-1966)</f>
        <v>916679.1</v>
      </c>
      <c r="M308" s="4" cm="1">
        <f t="array" ref="M308">INDEX(GMW!$A$2:$NF$150,MATCH(1,(GMW!$NE$2:$NE$150=M$3)*(GMW!$ND$2:$ND$150=M$4)*(GMW!$NF$2:$NF$150=M$1),0),$C308-1966)</f>
        <v>39036.58</v>
      </c>
      <c r="N308" s="4" cm="1">
        <f t="array" ref="N308">INDEX(GMW!$A$2:$NF$150,MATCH(1,(GMW!$NE$2:$NE$150=N$3)*(GMW!$ND$2:$ND$150=N$4)*(GMW!$NF$2:$NF$150=N$1),0),$C308-1966)</f>
        <v>31.954170000000001</v>
      </c>
      <c r="O308" s="4" cm="1">
        <f t="array" ref="O308">INDEX(GMW!$A$2:$NF$150,MATCH(1,(GMW!$NE$2:$NE$150=O$3)*(GMW!$ND$2:$ND$150=O$4)*(GMW!$NF$2:$NF$150=O$1),0),$C308-1966)</f>
        <v>708168.4</v>
      </c>
      <c r="P308" s="4" cm="1">
        <f t="array" ref="P308">INDEX(GMW!$A$2:$NF$150,MATCH(1,(GMW!$NE$2:$NE$150=P$3)*(GMW!$ND$2:$ND$150=P$4)*(GMW!$NF$2:$NF$150=P$1),0),$C308-1966)</f>
        <v>46708.95</v>
      </c>
      <c r="Q308" s="4" cm="1">
        <f t="array" ref="Q308">INDEX(GMW!$A$2:$NF$150,MATCH(1,(GMW!$NE$2:$NE$150=Q$3)*(GMW!$ND$2:$ND$150=Q$4)*(GMW!$NF$2:$NF$150=Q$1),0),$C308-1966)</f>
        <v>4986710</v>
      </c>
      <c r="R308" s="4" cm="1">
        <f t="array" ref="R308">INDEX(GMW!$A$2:$NF$150,MATCH(1,(GMW!$NE$2:$NE$150=R$3)*(GMW!$ND$2:$ND$150=R$4)*(GMW!$NF$2:$NF$150=R$1),0),$C308-1966)</f>
        <v>-1.6069450000000001</v>
      </c>
      <c r="S308" s="4" cm="1">
        <f t="array" ref="S308">INDEX(GMW!$A$2:$NF$150,MATCH(1,(GMW!$NE$2:$NE$150=S$3)*(GMW!$ND$2:$ND$150=S$4)*(GMW!$NF$2:$NF$150=S$1),0),$C308-1966)</f>
        <v>924681.6</v>
      </c>
      <c r="T308" s="4" cm="1">
        <f t="array" ref="T308">INDEX(GMW!$A$2:$NF$150,MATCH(1,(GMW!$NE$2:$NE$150=T$3)*(GMW!$ND$2:$ND$150=T$4)*(GMW!$NF$2:$NF$150=T$1),0),$C308-1966)</f>
        <v>219.65170000000001</v>
      </c>
      <c r="U308" s="4" cm="1">
        <f t="array" ref="U308">INDEX(GMW!$A$2:$NF$150,MATCH(1,(GMW!$NE$2:$NE$150=U$3)*(GMW!$ND$2:$ND$150=U$4)*(GMW!$NF$2:$NF$150=U$1),0),$C308-1966)</f>
        <v>269449.8</v>
      </c>
      <c r="V308" s="4" cm="1">
        <f t="array" ref="V308">INDEX(GMW!$A$2:$NF$150,MATCH(1,(GMW!$NE$2:$NE$150=V$3)*(GMW!$ND$2:$ND$150=V$4)*(GMW!$NF$2:$NF$150=V$1),0),$C308-1966)</f>
        <v>97811.11</v>
      </c>
      <c r="W308" s="4" cm="1">
        <f t="array" ref="W308">INDEX(GMW!$A$2:$NF$150,MATCH(1,(GMW!$NE$2:$NE$150=W$3)*(GMW!$ND$2:$ND$150=W$4)*(GMW!$NF$2:$NF$150=W$1),0),$C308-1966)</f>
        <v>304507.5</v>
      </c>
      <c r="X308" s="4" cm="1">
        <f t="array" ref="X308">INDEX(GMW!$A$2:$NF$150,MATCH(1,(GMW!$NE$2:$NE$150=X$3)*(GMW!$ND$2:$ND$150=X$4)*(GMW!$NF$2:$NF$150=X$1),0),$C308-1966)</f>
        <v>161469.20000000001</v>
      </c>
      <c r="Y308" s="4" cm="1">
        <f t="array" ref="Y308">INDEX(GMW!$A$2:$NF$150,MATCH(1,(GMW!$NE$2:$NE$150=Y$3)*(GMW!$ND$2:$ND$150=Y$4)*(GMW!$NF$2:$NF$150=Y$1),0),$C308-1966)</f>
        <v>182917.2</v>
      </c>
      <c r="Z308" s="4" cm="1">
        <f t="array" ref="Z308">INDEX(GMW!$A$2:$NF$150,MATCH(1,(GMW!$NE$2:$NE$150=Z$3)*(GMW!$ND$2:$ND$150=Z$4)*(GMW!$NF$2:$NF$150=Z$1),0),$C308-1966)</f>
        <v>106594.5</v>
      </c>
      <c r="AA308" s="4" cm="1">
        <f t="array" ref="AA308">INDEX(GMW!$A$2:$NF$150,MATCH(1,(GMW!$NE$2:$NE$150=AA$3)*(GMW!$ND$2:$ND$150=AA$4)*(GMW!$NF$2:$NF$150=AA$1),0),$C308-1966)</f>
        <v>924681.4</v>
      </c>
      <c r="AB308" s="4" cm="1">
        <f t="array" ref="AB308">INDEX(GMW!$A$2:$NF$150,MATCH(1,(GMW!$NE$2:$NE$150=AB$3)*(GMW!$ND$2:$ND$150=AB$4)*(GMW!$NF$2:$NF$150=AB$1),0),$C308-1966)</f>
        <v>39036.58</v>
      </c>
      <c r="AC308" s="4" cm="1">
        <f t="array" ref="AC308">INDEX(GMW!$A$2:$NF$150,MATCH(1,(GMW!$NE$2:$NE$150=AC$3)*(GMW!$ND$2:$ND$150=AC$4)*(GMW!$NF$2:$NF$150=AC$1),0),$C308-1966)</f>
        <v>31.954170000000001</v>
      </c>
      <c r="AD308" s="4" cm="1">
        <f t="array" ref="AD308">INDEX(GMW!$A$2:$NF$150,MATCH(1,(GMW!$NE$2:$NE$150=AD$3)*(GMW!$ND$2:$ND$150=AD$4)*(GMW!$NF$2:$NF$150=AD$1),0),$C308-1966)</f>
        <v>708168.4</v>
      </c>
      <c r="AE308" s="4" cm="1">
        <f t="array" ref="AE308">INDEX(GMW!$A$2:$NF$150,MATCH(1,(GMW!$NE$2:$NE$150=AE$3)*(GMW!$ND$2:$ND$150=AE$4)*(GMW!$NF$2:$NF$150=AE$1),0),$C308-1966)</f>
        <v>46708.95</v>
      </c>
      <c r="AF308" s="4" cm="1">
        <f t="array" ref="AF308">INDEX(GMW!$A$2:$NF$150,MATCH(1,(GMW!$NE$2:$NE$150=AF$3)*(GMW!$ND$2:$ND$150=AF$4)*(GMW!$NF$2:$NF$150=AF$1),0),$C308-1966)</f>
        <v>5082613</v>
      </c>
      <c r="AG308" s="4" cm="1">
        <f t="array" ref="AG308">INDEX(GMW!$A$2:$NF$150,MATCH(1,(GMW!$NE$2:$NE$150=AG$3)*(GMW!$ND$2:$ND$150=AG$4)*(GMW!$NF$2:$NF$150=AG$1),0),$C308-1966)</f>
        <v>-1.6049260000000001</v>
      </c>
      <c r="AH308" s="4" cm="1">
        <f t="array" ref="AH308">INDEX(GMW!$A$2:$NF$150,MATCH(1,(GMW!$NE$2:$NE$150=AH$3)*(GMW!$ND$2:$ND$150=AH$4)*(GMW!$NF$2:$NF$150=AH$1),0),$C308-1966)</f>
        <v>924356</v>
      </c>
      <c r="AI308" s="4" cm="1">
        <f t="array" ref="AI308">INDEX(GMW!$A$2:$NF$150,MATCH(1,(GMW!$NE$2:$NE$150=AI$3)*(GMW!$ND$2:$ND$150=AI$4)*(GMW!$NF$2:$NF$150=AI$1),0),$C308-1966)</f>
        <v>218.20269999999999</v>
      </c>
      <c r="AJ308" s="4" cm="1">
        <f t="array" ref="AJ308">INDEX(GMW!$A$2:$NF$150,MATCH(1,(GMW!$NE$2:$NE$150=AJ$3)*(GMW!$ND$2:$ND$150=AJ$4)*(GMW!$NF$2:$NF$150=AJ$1),0),$C308-1966)</f>
        <v>274730.2</v>
      </c>
      <c r="AK308" s="4" cm="1">
        <f t="array" ref="AK308">INDEX(GMW!$A$2:$NF$150,MATCH(1,(GMW!$NE$2:$NE$150=AK$3)*(GMW!$ND$2:$ND$150=AK$4)*(GMW!$NF$2:$NF$150=AK$1),0),$C308-1966)</f>
        <v>100721.60000000001</v>
      </c>
      <c r="AL308" s="4" cm="1">
        <f t="array" ref="AL308">INDEX(GMW!$A$2:$NF$150,MATCH(1,(GMW!$NE$2:$NE$150=AL$3)*(GMW!$ND$2:$ND$150=AL$4)*(GMW!$NF$2:$NF$150=AL$1),0),$C308-1966)</f>
        <v>308856.5</v>
      </c>
      <c r="AM308" s="4" cm="1">
        <f t="array" ref="AM308">INDEX(GMW!$A$2:$NF$150,MATCH(1,(GMW!$NE$2:$NE$150=AM$3)*(GMW!$ND$2:$ND$150=AM$4)*(GMW!$NF$2:$NF$150=AM$1),0),$C308-1966)</f>
        <v>165075.5</v>
      </c>
      <c r="AN308" s="4" cm="1">
        <f t="array" ref="AN308">INDEX(GMW!$A$2:$NF$150,MATCH(1,(GMW!$NE$2:$NE$150=AN$3)*(GMW!$ND$2:$ND$150=AN$4)*(GMW!$NF$2:$NF$150=AN$1),0),$C308-1966)</f>
        <v>182793.1</v>
      </c>
      <c r="AO308" s="4" cm="1">
        <f t="array" ref="AO308">INDEX(GMW!$A$2:$NF$150,MATCH(1,(GMW!$NE$2:$NE$150=AO$3)*(GMW!$ND$2:$ND$150=AO$4)*(GMW!$NF$2:$NF$150=AO$1),0),$C308-1966)</f>
        <v>107912.1</v>
      </c>
      <c r="AP308" s="4" cm="1">
        <f t="array" ref="AP308">INDEX(GMW!$A$2:$NF$150,MATCH(1,(GMW!$NE$2:$NE$150=AP$3)*(GMW!$ND$2:$ND$150=AP$4)*(GMW!$NF$2:$NF$150=AP$1),0),$C308-1966)</f>
        <v>924355.2</v>
      </c>
      <c r="AQ308" s="4" cm="1">
        <f t="array" ref="AQ308">INDEX(GMW!$A$2:$NF$150,MATCH(1,(GMW!$NE$2:$NE$150=AQ$3)*(GMW!$ND$2:$ND$150=AQ$4)*(GMW!$NF$2:$NF$150=AQ$1),0),$C308-1966)</f>
        <v>38903.79</v>
      </c>
      <c r="AR308" s="4" cm="1">
        <f t="array" ref="AR308">INDEX(GMW!$A$2:$NF$150,MATCH(1,(GMW!$NE$2:$NE$150=AR$3)*(GMW!$ND$2:$ND$150=AR$4)*(GMW!$NF$2:$NF$150=AR$1),0),$C308-1966)</f>
        <v>31.954170000000001</v>
      </c>
      <c r="AS308" s="4" cm="1">
        <f t="array" ref="AS308">INDEX(GMW!$A$2:$NF$150,MATCH(1,(GMW!$NE$2:$NE$150=AS$3)*(GMW!$ND$2:$ND$150=AS$4)*(GMW!$NF$2:$NF$150=AS$1),0),$C308-1966)</f>
        <v>708289</v>
      </c>
      <c r="AT308" s="4" cm="1">
        <f t="array" ref="AT308">INDEX(GMW!$A$2:$NF$150,MATCH(1,(GMW!$NE$2:$NE$150=AT$3)*(GMW!$ND$2:$ND$150=AT$4)*(GMW!$NF$2:$NF$150=AT$1),0),$C308-1966)</f>
        <v>46700.160000000003</v>
      </c>
      <c r="AU308" s="4" cm="1">
        <f t="array" ref="AU308">INDEX(GMW!$A$2:$NF$150,MATCH(1,(GMW!$NE$2:$NE$150=AU$3)*(GMW!$ND$2:$ND$150=AU$4)*(GMW!$NF$2:$NF$150=AU$1),0),$C308-1966)</f>
        <v>5084837</v>
      </c>
      <c r="AV308" s="4" cm="1">
        <f t="array" ref="AV308">INDEX(GMW!$A$2:$NF$150,MATCH(1,(GMW!$NE$2:$NE$150=AV$3)*(GMW!$ND$2:$ND$150=AV$4)*(GMW!$NF$2:$NF$150=AV$1),0),$C308-1966)</f>
        <v>-1.6033219999999999</v>
      </c>
    </row>
    <row r="309" spans="1:48" x14ac:dyDescent="0.25">
      <c r="B309" s="4">
        <f t="shared" si="12"/>
        <v>2048</v>
      </c>
      <c r="C309" s="4">
        <f t="shared" si="13"/>
        <v>2275</v>
      </c>
      <c r="D309" s="4" cm="1">
        <f t="array" ref="D309">INDEX(GMW!$A$2:$NF$150,MATCH(1,(GMW!$NE$2:$NE$150=D$3)*(GMW!$ND$2:$ND$150=D$4)*(GMW!$NF$2:$NF$150=D$1),0),$C309-1966)</f>
        <v>919897.59999999998</v>
      </c>
      <c r="E309" s="4" cm="1">
        <f t="array" ref="E309">INDEX(GMW!$A$2:$NF$150,MATCH(1,(GMW!$NE$2:$NE$150=E$3)*(GMW!$ND$2:$ND$150=E$4)*(GMW!$NF$2:$NF$150=E$1),0),$C309-1966)</f>
        <v>220.83869999999999</v>
      </c>
      <c r="F309" s="4" cm="1">
        <f t="array" ref="F309">INDEX(GMW!$A$2:$NF$150,MATCH(1,(GMW!$NE$2:$NE$150=F$3)*(GMW!$ND$2:$ND$150=F$4)*(GMW!$NF$2:$NF$150=F$1),0),$C309-1966)</f>
        <v>282365.90000000002</v>
      </c>
      <c r="G309" s="4" cm="1">
        <f t="array" ref="G309">INDEX(GMW!$A$2:$NF$150,MATCH(1,(GMW!$NE$2:$NE$150=G$3)*(GMW!$ND$2:$ND$150=G$4)*(GMW!$NF$2:$NF$150=G$1),0),$C309-1966)</f>
        <v>93056.58</v>
      </c>
      <c r="H309" s="4" cm="1">
        <f t="array" ref="H309">INDEX(GMW!$A$2:$NF$150,MATCH(1,(GMW!$NE$2:$NE$150=H$3)*(GMW!$ND$2:$ND$150=H$4)*(GMW!$NF$2:$NF$150=H$1),0),$C309-1966)</f>
        <v>315550.59999999998</v>
      </c>
      <c r="I309" s="4" cm="1">
        <f t="array" ref="I309">INDEX(GMW!$A$2:$NF$150,MATCH(1,(GMW!$NE$2:$NE$150=I$3)*(GMW!$ND$2:$ND$150=I$4)*(GMW!$NF$2:$NF$150=I$1),0),$C309-1966)</f>
        <v>168449.4</v>
      </c>
      <c r="J309" s="4" cm="1">
        <f t="array" ref="J309">INDEX(GMW!$A$2:$NF$150,MATCH(1,(GMW!$NE$2:$NE$150=J$3)*(GMW!$ND$2:$ND$150=J$4)*(GMW!$NF$2:$NF$150=J$1),0),$C309-1966)</f>
        <v>180779.3</v>
      </c>
      <c r="K309" s="4" cm="1">
        <f t="array" ref="K309">INDEX(GMW!$A$2:$NF$150,MATCH(1,(GMW!$NE$2:$NE$150=K$3)*(GMW!$ND$2:$ND$150=K$4)*(GMW!$NF$2:$NF$150=K$1),0),$C309-1966)</f>
        <v>103729.4</v>
      </c>
      <c r="L309" s="4" cm="1">
        <f t="array" ref="L309">INDEX(GMW!$A$2:$NF$150,MATCH(1,(GMW!$NE$2:$NE$150=L$3)*(GMW!$ND$2:$ND$150=L$4)*(GMW!$NF$2:$NF$150=L$1),0),$C309-1966)</f>
        <v>919897.5</v>
      </c>
      <c r="M309" s="4" cm="1">
        <f t="array" ref="M309">INDEX(GMW!$A$2:$NF$150,MATCH(1,(GMW!$NE$2:$NE$150=M$3)*(GMW!$ND$2:$ND$150=M$4)*(GMW!$NF$2:$NF$150=M$1),0),$C309-1966)</f>
        <v>39056.11</v>
      </c>
      <c r="N309" s="4" cm="1">
        <f t="array" ref="N309">INDEX(GMW!$A$2:$NF$150,MATCH(1,(GMW!$NE$2:$NE$150=N$3)*(GMW!$ND$2:$ND$150=N$4)*(GMW!$NF$2:$NF$150=N$1),0),$C309-1966)</f>
        <v>31.953420000000001</v>
      </c>
      <c r="O309" s="4" cm="1">
        <f t="array" ref="O309">INDEX(GMW!$A$2:$NF$150,MATCH(1,(GMW!$NE$2:$NE$150=O$3)*(GMW!$ND$2:$ND$150=O$4)*(GMW!$NF$2:$NF$150=O$1),0),$C309-1966)</f>
        <v>708659.7</v>
      </c>
      <c r="P309" s="4" cm="1">
        <f t="array" ref="P309">INDEX(GMW!$A$2:$NF$150,MATCH(1,(GMW!$NE$2:$NE$150=P$3)*(GMW!$ND$2:$ND$150=P$4)*(GMW!$NF$2:$NF$150=P$1),0),$C309-1966)</f>
        <v>46713.2</v>
      </c>
      <c r="Q309" s="4" cm="1">
        <f t="array" ref="Q309">INDEX(GMW!$A$2:$NF$150,MATCH(1,(GMW!$NE$2:$NE$150=Q$3)*(GMW!$ND$2:$ND$150=Q$4)*(GMW!$NF$2:$NF$150=Q$1),0),$C309-1966)</f>
        <v>5011388</v>
      </c>
      <c r="R309" s="4" cm="1">
        <f t="array" ref="R309">INDEX(GMW!$A$2:$NF$150,MATCH(1,(GMW!$NE$2:$NE$150=R$3)*(GMW!$ND$2:$ND$150=R$4)*(GMW!$NF$2:$NF$150=R$1),0),$C309-1966)</f>
        <v>-1.6056589999999999</v>
      </c>
      <c r="S309" s="4" cm="1">
        <f t="array" ref="S309">INDEX(GMW!$A$2:$NF$150,MATCH(1,(GMW!$NE$2:$NE$150=S$3)*(GMW!$ND$2:$ND$150=S$4)*(GMW!$NF$2:$NF$150=S$1),0),$C309-1966)</f>
        <v>927921.4</v>
      </c>
      <c r="T309" s="4" cm="1">
        <f t="array" ref="T309">INDEX(GMW!$A$2:$NF$150,MATCH(1,(GMW!$NE$2:$NE$150=T$3)*(GMW!$ND$2:$ND$150=T$4)*(GMW!$NF$2:$NF$150=T$1),0),$C309-1966)</f>
        <v>220.71119999999999</v>
      </c>
      <c r="U309" s="4" cm="1">
        <f t="array" ref="U309">INDEX(GMW!$A$2:$NF$150,MATCH(1,(GMW!$NE$2:$NE$150=U$3)*(GMW!$ND$2:$ND$150=U$4)*(GMW!$NF$2:$NF$150=U$1),0),$C309-1966)</f>
        <v>270313.09999999998</v>
      </c>
      <c r="V309" s="4" cm="1">
        <f t="array" ref="V309">INDEX(GMW!$A$2:$NF$150,MATCH(1,(GMW!$NE$2:$NE$150=V$3)*(GMW!$ND$2:$ND$150=V$4)*(GMW!$NF$2:$NF$150=V$1),0),$C309-1966)</f>
        <v>98074.59</v>
      </c>
      <c r="W309" s="4" cm="1">
        <f t="array" ref="W309">INDEX(GMW!$A$2:$NF$150,MATCH(1,(GMW!$NE$2:$NE$150=W$3)*(GMW!$ND$2:$ND$150=W$4)*(GMW!$NF$2:$NF$150=W$1),0),$C309-1966)</f>
        <v>305582.7</v>
      </c>
      <c r="X309" s="4" cm="1">
        <f t="array" ref="X309">INDEX(GMW!$A$2:$NF$150,MATCH(1,(GMW!$NE$2:$NE$150=X$3)*(GMW!$ND$2:$ND$150=X$4)*(GMW!$NF$2:$NF$150=X$1),0),$C309-1966)</f>
        <v>162005.9</v>
      </c>
      <c r="Y309" s="4" cm="1">
        <f t="array" ref="Y309">INDEX(GMW!$A$2:$NF$150,MATCH(1,(GMW!$NE$2:$NE$150=Y$3)*(GMW!$ND$2:$ND$150=Y$4)*(GMW!$NF$2:$NF$150=Y$1),0),$C309-1966)</f>
        <v>183747.20000000001</v>
      </c>
      <c r="Z309" s="4" cm="1">
        <f t="array" ref="Z309">INDEX(GMW!$A$2:$NF$150,MATCH(1,(GMW!$NE$2:$NE$150=Z$3)*(GMW!$ND$2:$ND$150=Z$4)*(GMW!$NF$2:$NF$150=Z$1),0),$C309-1966)</f>
        <v>107117.2</v>
      </c>
      <c r="AA309" s="4" cm="1">
        <f t="array" ref="AA309">INDEX(GMW!$A$2:$NF$150,MATCH(1,(GMW!$NE$2:$NE$150=AA$3)*(GMW!$ND$2:$ND$150=AA$4)*(GMW!$NF$2:$NF$150=AA$1),0),$C309-1966)</f>
        <v>927920.8</v>
      </c>
      <c r="AB309" s="4" cm="1">
        <f t="array" ref="AB309">INDEX(GMW!$A$2:$NF$150,MATCH(1,(GMW!$NE$2:$NE$150=AB$3)*(GMW!$ND$2:$ND$150=AB$4)*(GMW!$NF$2:$NF$150=AB$1),0),$C309-1966)</f>
        <v>39056.11</v>
      </c>
      <c r="AC309" s="4" cm="1">
        <f t="array" ref="AC309">INDEX(GMW!$A$2:$NF$150,MATCH(1,(GMW!$NE$2:$NE$150=AC$3)*(GMW!$ND$2:$ND$150=AC$4)*(GMW!$NF$2:$NF$150=AC$1),0),$C309-1966)</f>
        <v>31.953420000000001</v>
      </c>
      <c r="AD309" s="4" cm="1">
        <f t="array" ref="AD309">INDEX(GMW!$A$2:$NF$150,MATCH(1,(GMW!$NE$2:$NE$150=AD$3)*(GMW!$ND$2:$ND$150=AD$4)*(GMW!$NF$2:$NF$150=AD$1),0),$C309-1966)</f>
        <v>708659.7</v>
      </c>
      <c r="AE309" s="4" cm="1">
        <f t="array" ref="AE309">INDEX(GMW!$A$2:$NF$150,MATCH(1,(GMW!$NE$2:$NE$150=AE$3)*(GMW!$ND$2:$ND$150=AE$4)*(GMW!$NF$2:$NF$150=AE$1),0),$C309-1966)</f>
        <v>46713.2</v>
      </c>
      <c r="AF309" s="4" cm="1">
        <f t="array" ref="AF309">INDEX(GMW!$A$2:$NF$150,MATCH(1,(GMW!$NE$2:$NE$150=AF$3)*(GMW!$ND$2:$ND$150=AF$4)*(GMW!$NF$2:$NF$150=AF$1),0),$C309-1966)</f>
        <v>5107660</v>
      </c>
      <c r="AG309" s="4" cm="1">
        <f t="array" ref="AG309">INDEX(GMW!$A$2:$NF$150,MATCH(1,(GMW!$NE$2:$NE$150=AG$3)*(GMW!$ND$2:$ND$150=AG$4)*(GMW!$NF$2:$NF$150=AG$1),0),$C309-1966)</f>
        <v>-1.603642</v>
      </c>
      <c r="AH309" s="4" cm="1">
        <f t="array" ref="AH309">INDEX(GMW!$A$2:$NF$150,MATCH(1,(GMW!$NE$2:$NE$150=AH$3)*(GMW!$ND$2:$ND$150=AH$4)*(GMW!$NF$2:$NF$150=AH$1),0),$C309-1966)</f>
        <v>927833.2</v>
      </c>
      <c r="AI309" s="4" cm="1">
        <f t="array" ref="AI309">INDEX(GMW!$A$2:$NF$150,MATCH(1,(GMW!$NE$2:$NE$150=AI$3)*(GMW!$ND$2:$ND$150=AI$4)*(GMW!$NF$2:$NF$150=AI$1),0),$C309-1966)</f>
        <v>219.16589999999999</v>
      </c>
      <c r="AJ309" s="4" cm="1">
        <f t="array" ref="AJ309">INDEX(GMW!$A$2:$NF$150,MATCH(1,(GMW!$NE$2:$NE$150=AJ$3)*(GMW!$ND$2:$ND$150=AJ$4)*(GMW!$NF$2:$NF$150=AJ$1),0),$C309-1966)</f>
        <v>275671.09999999998</v>
      </c>
      <c r="AK309" s="4" cm="1">
        <f t="array" ref="AK309">INDEX(GMW!$A$2:$NF$150,MATCH(1,(GMW!$NE$2:$NE$150=AK$3)*(GMW!$ND$2:$ND$150=AK$4)*(GMW!$NF$2:$NF$150=AK$1),0),$C309-1966)</f>
        <v>101020</v>
      </c>
      <c r="AL309" s="4" cm="1">
        <f t="array" ref="AL309">INDEX(GMW!$A$2:$NF$150,MATCH(1,(GMW!$NE$2:$NE$150=AL$3)*(GMW!$ND$2:$ND$150=AL$4)*(GMW!$NF$2:$NF$150=AL$1),0),$C309-1966)</f>
        <v>310008.5</v>
      </c>
      <c r="AM309" s="4" cm="1">
        <f t="array" ref="AM309">INDEX(GMW!$A$2:$NF$150,MATCH(1,(GMW!$NE$2:$NE$150=AM$3)*(GMW!$ND$2:$ND$150=AM$4)*(GMW!$NF$2:$NF$150=AM$1),0),$C309-1966)</f>
        <v>165663.5</v>
      </c>
      <c r="AN309" s="4" cm="1">
        <f t="array" ref="AN309">INDEX(GMW!$A$2:$NF$150,MATCH(1,(GMW!$NE$2:$NE$150=AN$3)*(GMW!$ND$2:$ND$150=AN$4)*(GMW!$NF$2:$NF$150=AN$1),0),$C309-1966)</f>
        <v>183670.39999999999</v>
      </c>
      <c r="AO309" s="4" cm="1">
        <f t="array" ref="AO309">INDEX(GMW!$A$2:$NF$150,MATCH(1,(GMW!$NE$2:$NE$150=AO$3)*(GMW!$ND$2:$ND$150=AO$4)*(GMW!$NF$2:$NF$150=AO$1),0),$C309-1966)</f>
        <v>108469.1</v>
      </c>
      <c r="AP309" s="4" cm="1">
        <f t="array" ref="AP309">INDEX(GMW!$A$2:$NF$150,MATCH(1,(GMW!$NE$2:$NE$150=AP$3)*(GMW!$ND$2:$ND$150=AP$4)*(GMW!$NF$2:$NF$150=AP$1),0),$C309-1966)</f>
        <v>927832.3</v>
      </c>
      <c r="AQ309" s="4" cm="1">
        <f t="array" ref="AQ309">INDEX(GMW!$A$2:$NF$150,MATCH(1,(GMW!$NE$2:$NE$150=AQ$3)*(GMW!$ND$2:$ND$150=AQ$4)*(GMW!$NF$2:$NF$150=AQ$1),0),$C309-1966)</f>
        <v>38938.6</v>
      </c>
      <c r="AR309" s="4" cm="1">
        <f t="array" ref="AR309">INDEX(GMW!$A$2:$NF$150,MATCH(1,(GMW!$NE$2:$NE$150=AR$3)*(GMW!$ND$2:$ND$150=AR$4)*(GMW!$NF$2:$NF$150=AR$1),0),$C309-1966)</f>
        <v>31.953420000000001</v>
      </c>
      <c r="AS309" s="4" cm="1">
        <f t="array" ref="AS309">INDEX(GMW!$A$2:$NF$150,MATCH(1,(GMW!$NE$2:$NE$150=AS$3)*(GMW!$ND$2:$ND$150=AS$4)*(GMW!$NF$2:$NF$150=AS$1),0),$C309-1966)</f>
        <v>708891.9</v>
      </c>
      <c r="AT309" s="4" cm="1">
        <f t="array" ref="AT309">INDEX(GMW!$A$2:$NF$150,MATCH(1,(GMW!$NE$2:$NE$150=AT$3)*(GMW!$ND$2:$ND$150=AT$4)*(GMW!$NF$2:$NF$150=AT$1),0),$C309-1966)</f>
        <v>46711.75</v>
      </c>
      <c r="AU309" s="4" cm="1">
        <f t="array" ref="AU309">INDEX(GMW!$A$2:$NF$150,MATCH(1,(GMW!$NE$2:$NE$150=AU$3)*(GMW!$ND$2:$ND$150=AU$4)*(GMW!$NF$2:$NF$150=AU$1),0),$C309-1966)</f>
        <v>5109964</v>
      </c>
      <c r="AV309" s="4" cm="1">
        <f t="array" ref="AV309">INDEX(GMW!$A$2:$NF$150,MATCH(1,(GMW!$NE$2:$NE$150=AV$3)*(GMW!$ND$2:$ND$150=AV$4)*(GMW!$NF$2:$NF$150=AV$1),0),$C309-1966)</f>
        <v>-1.602039</v>
      </c>
    </row>
    <row r="310" spans="1:48" x14ac:dyDescent="0.25">
      <c r="B310" s="4">
        <f t="shared" si="12"/>
        <v>2048</v>
      </c>
      <c r="C310" s="4">
        <f t="shared" si="13"/>
        <v>2276</v>
      </c>
      <c r="D310" s="4" cm="1">
        <f t="array" ref="D310">INDEX(GMW!$A$2:$NF$150,MATCH(1,(GMW!$NE$2:$NE$150=D$3)*(GMW!$ND$2:$ND$150=D$4)*(GMW!$NF$2:$NF$150=D$1),0),$C310-1966)</f>
        <v>923124.7</v>
      </c>
      <c r="E310" s="4" cm="1">
        <f t="array" ref="E310">INDEX(GMW!$A$2:$NF$150,MATCH(1,(GMW!$NE$2:$NE$150=E$3)*(GMW!$ND$2:$ND$150=E$4)*(GMW!$NF$2:$NF$150=E$1),0),$C310-1966)</f>
        <v>221.8109</v>
      </c>
      <c r="F310" s="4" cm="1">
        <f t="array" ref="F310">INDEX(GMW!$A$2:$NF$150,MATCH(1,(GMW!$NE$2:$NE$150=F$3)*(GMW!$ND$2:$ND$150=F$4)*(GMW!$NF$2:$NF$150=F$1),0),$C310-1966)</f>
        <v>283287.3</v>
      </c>
      <c r="G310" s="4" cm="1">
        <f t="array" ref="G310">INDEX(GMW!$A$2:$NF$150,MATCH(1,(GMW!$NE$2:$NE$150=G$3)*(GMW!$ND$2:$ND$150=G$4)*(GMW!$NF$2:$NF$150=G$1),0),$C310-1966)</f>
        <v>93307.65</v>
      </c>
      <c r="H310" s="4" cm="1">
        <f t="array" ref="H310">INDEX(GMW!$A$2:$NF$150,MATCH(1,(GMW!$NE$2:$NE$150=H$3)*(GMW!$ND$2:$ND$150=H$4)*(GMW!$NF$2:$NF$150=H$1),0),$C310-1966)</f>
        <v>316674.2</v>
      </c>
      <c r="I310" s="4" cm="1">
        <f t="array" ref="I310">INDEX(GMW!$A$2:$NF$150,MATCH(1,(GMW!$NE$2:$NE$150=I$3)*(GMW!$ND$2:$ND$150=I$4)*(GMW!$NF$2:$NF$150=I$1),0),$C310-1966)</f>
        <v>169010</v>
      </c>
      <c r="J310" s="4" cm="1">
        <f t="array" ref="J310">INDEX(GMW!$A$2:$NF$150,MATCH(1,(GMW!$NE$2:$NE$150=J$3)*(GMW!$ND$2:$ND$150=J$4)*(GMW!$NF$2:$NF$150=J$1),0),$C310-1966)</f>
        <v>181609.9</v>
      </c>
      <c r="K310" s="4" cm="1">
        <f t="array" ref="K310">INDEX(GMW!$A$2:$NF$150,MATCH(1,(GMW!$NE$2:$NE$150=K$3)*(GMW!$ND$2:$ND$150=K$4)*(GMW!$NF$2:$NF$150=K$1),0),$C310-1966)</f>
        <v>104248.9</v>
      </c>
      <c r="L310" s="4" cm="1">
        <f t="array" ref="L310">INDEX(GMW!$A$2:$NF$150,MATCH(1,(GMW!$NE$2:$NE$150=L$3)*(GMW!$ND$2:$ND$150=L$4)*(GMW!$NF$2:$NF$150=L$1),0),$C310-1966)</f>
        <v>923125.4</v>
      </c>
      <c r="M310" s="4" cm="1">
        <f t="array" ref="M310">INDEX(GMW!$A$2:$NF$150,MATCH(1,(GMW!$NE$2:$NE$150=M$3)*(GMW!$ND$2:$ND$150=M$4)*(GMW!$NF$2:$NF$150=M$1),0),$C310-1966)</f>
        <v>39075.65</v>
      </c>
      <c r="N310" s="4" cm="1">
        <f t="array" ref="N310">INDEX(GMW!$A$2:$NF$150,MATCH(1,(GMW!$NE$2:$NE$150=N$3)*(GMW!$ND$2:$ND$150=N$4)*(GMW!$NF$2:$NF$150=N$1),0),$C310-1966)</f>
        <v>31.952670000000001</v>
      </c>
      <c r="O310" s="4" cm="1">
        <f t="array" ref="O310">INDEX(GMW!$A$2:$NF$150,MATCH(1,(GMW!$NE$2:$NE$150=O$3)*(GMW!$ND$2:$ND$150=O$4)*(GMW!$NF$2:$NF$150=O$1),0),$C310-1966)</f>
        <v>709149.1</v>
      </c>
      <c r="P310" s="4" cm="1">
        <f t="array" ref="P310">INDEX(GMW!$A$2:$NF$150,MATCH(1,(GMW!$NE$2:$NE$150=P$3)*(GMW!$ND$2:$ND$150=P$4)*(GMW!$NF$2:$NF$150=P$1),0),$C310-1966)</f>
        <v>46717.440000000002</v>
      </c>
      <c r="Q310" s="4" cm="1">
        <f t="array" ref="Q310">INDEX(GMW!$A$2:$NF$150,MATCH(1,(GMW!$NE$2:$NE$150=Q$3)*(GMW!$ND$2:$ND$150=Q$4)*(GMW!$NF$2:$NF$150=Q$1),0),$C310-1966)</f>
        <v>5036171</v>
      </c>
      <c r="R310" s="4" cm="1">
        <f t="array" ref="R310">INDEX(GMW!$A$2:$NF$150,MATCH(1,(GMW!$NE$2:$NE$150=R$3)*(GMW!$ND$2:$ND$150=R$4)*(GMW!$NF$2:$NF$150=R$1),0),$C310-1966)</f>
        <v>-1.6043750000000001</v>
      </c>
      <c r="S310" s="4" cm="1">
        <f t="array" ref="S310">INDEX(GMW!$A$2:$NF$150,MATCH(1,(GMW!$NE$2:$NE$150=S$3)*(GMW!$ND$2:$ND$150=S$4)*(GMW!$NF$2:$NF$150=S$1),0),$C310-1966)</f>
        <v>931168.4</v>
      </c>
      <c r="T310" s="4" cm="1">
        <f t="array" ref="T310">INDEX(GMW!$A$2:$NF$150,MATCH(1,(GMW!$NE$2:$NE$150=T$3)*(GMW!$ND$2:$ND$150=T$4)*(GMW!$NF$2:$NF$150=T$1),0),$C310-1966)</f>
        <v>221.65629999999999</v>
      </c>
      <c r="U310" s="4" cm="1">
        <f t="array" ref="U310">INDEX(GMW!$A$2:$NF$150,MATCH(1,(GMW!$NE$2:$NE$150=U$3)*(GMW!$ND$2:$ND$150=U$4)*(GMW!$NF$2:$NF$150=U$1),0),$C310-1966)</f>
        <v>271178.3</v>
      </c>
      <c r="V310" s="4" cm="1">
        <f t="array" ref="V310">INDEX(GMW!$A$2:$NF$150,MATCH(1,(GMW!$NE$2:$NE$150=V$3)*(GMW!$ND$2:$ND$150=V$4)*(GMW!$NF$2:$NF$150=V$1),0),$C310-1966)</f>
        <v>98338.33</v>
      </c>
      <c r="W310" s="4" cm="1">
        <f t="array" ref="W310">INDEX(GMW!$A$2:$NF$150,MATCH(1,(GMW!$NE$2:$NE$150=W$3)*(GMW!$ND$2:$ND$150=W$4)*(GMW!$NF$2:$NF$150=W$1),0),$C310-1966)</f>
        <v>306660.59999999998</v>
      </c>
      <c r="X310" s="4" cm="1">
        <f t="array" ref="X310">INDEX(GMW!$A$2:$NF$150,MATCH(1,(GMW!$NE$2:$NE$150=X$3)*(GMW!$ND$2:$ND$150=X$4)*(GMW!$NF$2:$NF$150=X$1),0),$C310-1966)</f>
        <v>162543.6</v>
      </c>
      <c r="Y310" s="4" cm="1">
        <f t="array" ref="Y310">INDEX(GMW!$A$2:$NF$150,MATCH(1,(GMW!$NE$2:$NE$150=Y$3)*(GMW!$ND$2:$ND$150=Y$4)*(GMW!$NF$2:$NF$150=Y$1),0),$C310-1966)</f>
        <v>184580.2</v>
      </c>
      <c r="Z310" s="4" cm="1">
        <f t="array" ref="Z310">INDEX(GMW!$A$2:$NF$150,MATCH(1,(GMW!$NE$2:$NE$150=Z$3)*(GMW!$ND$2:$ND$150=Z$4)*(GMW!$NF$2:$NF$150=Z$1),0),$C310-1966)</f>
        <v>107642</v>
      </c>
      <c r="AA310" s="4" cm="1">
        <f t="array" ref="AA310">INDEX(GMW!$A$2:$NF$150,MATCH(1,(GMW!$NE$2:$NE$150=AA$3)*(GMW!$ND$2:$ND$150=AA$4)*(GMW!$NF$2:$NF$150=AA$1),0),$C310-1966)</f>
        <v>931168.9</v>
      </c>
      <c r="AB310" s="4" cm="1">
        <f t="array" ref="AB310">INDEX(GMW!$A$2:$NF$150,MATCH(1,(GMW!$NE$2:$NE$150=AB$3)*(GMW!$ND$2:$ND$150=AB$4)*(GMW!$NF$2:$NF$150=AB$1),0),$C310-1966)</f>
        <v>39075.65</v>
      </c>
      <c r="AC310" s="4" cm="1">
        <f t="array" ref="AC310">INDEX(GMW!$A$2:$NF$150,MATCH(1,(GMW!$NE$2:$NE$150=AC$3)*(GMW!$ND$2:$ND$150=AC$4)*(GMW!$NF$2:$NF$150=AC$1),0),$C310-1966)</f>
        <v>31.952670000000001</v>
      </c>
      <c r="AD310" s="4" cm="1">
        <f t="array" ref="AD310">INDEX(GMW!$A$2:$NF$150,MATCH(1,(GMW!$NE$2:$NE$150=AD$3)*(GMW!$ND$2:$ND$150=AD$4)*(GMW!$NF$2:$NF$150=AD$1),0),$C310-1966)</f>
        <v>709149.1</v>
      </c>
      <c r="AE310" s="4" cm="1">
        <f t="array" ref="AE310">INDEX(GMW!$A$2:$NF$150,MATCH(1,(GMW!$NE$2:$NE$150=AE$3)*(GMW!$ND$2:$ND$150=AE$4)*(GMW!$NF$2:$NF$150=AE$1),0),$C310-1966)</f>
        <v>46717.440000000002</v>
      </c>
      <c r="AF310" s="4" cm="1">
        <f t="array" ref="AF310">INDEX(GMW!$A$2:$NF$150,MATCH(1,(GMW!$NE$2:$NE$150=AF$3)*(GMW!$ND$2:$ND$150=AF$4)*(GMW!$NF$2:$NF$150=AF$1),0),$C310-1966)</f>
        <v>5132796</v>
      </c>
      <c r="AG310" s="4" cm="1">
        <f t="array" ref="AG310">INDEX(GMW!$A$2:$NF$150,MATCH(1,(GMW!$NE$2:$NE$150=AG$3)*(GMW!$ND$2:$ND$150=AG$4)*(GMW!$NF$2:$NF$150=AG$1),0),$C310-1966)</f>
        <v>-1.6023590000000001</v>
      </c>
      <c r="AH310" s="4" cm="1">
        <f t="array" ref="AH310">INDEX(GMW!$A$2:$NF$150,MATCH(1,(GMW!$NE$2:$NE$150=AH$3)*(GMW!$ND$2:$ND$150=AH$4)*(GMW!$NF$2:$NF$150=AH$1),0),$C310-1966)</f>
        <v>931321.1</v>
      </c>
      <c r="AI310" s="4" cm="1">
        <f t="array" ref="AI310">INDEX(GMW!$A$2:$NF$150,MATCH(1,(GMW!$NE$2:$NE$150=AI$3)*(GMW!$ND$2:$ND$150=AI$4)*(GMW!$NF$2:$NF$150=AI$1),0),$C310-1966)</f>
        <v>220.25020000000001</v>
      </c>
      <c r="AJ310" s="4" cm="1">
        <f t="array" ref="AJ310">INDEX(GMW!$A$2:$NF$150,MATCH(1,(GMW!$NE$2:$NE$150=AJ$3)*(GMW!$ND$2:$ND$150=AJ$4)*(GMW!$NF$2:$NF$150=AJ$1),0),$C310-1966)</f>
        <v>276614.90000000002</v>
      </c>
      <c r="AK310" s="4" cm="1">
        <f t="array" ref="AK310">INDEX(GMW!$A$2:$NF$150,MATCH(1,(GMW!$NE$2:$NE$150=AK$3)*(GMW!$ND$2:$ND$150=AK$4)*(GMW!$NF$2:$NF$150=AK$1),0),$C310-1966)</f>
        <v>101318.9</v>
      </c>
      <c r="AL310" s="4" cm="1">
        <f t="array" ref="AL310">INDEX(GMW!$A$2:$NF$150,MATCH(1,(GMW!$NE$2:$NE$150=AL$3)*(GMW!$ND$2:$ND$150=AL$4)*(GMW!$NF$2:$NF$150=AL$1),0),$C310-1966)</f>
        <v>311164.5</v>
      </c>
      <c r="AM310" s="4" cm="1">
        <f t="array" ref="AM310">INDEX(GMW!$A$2:$NF$150,MATCH(1,(GMW!$NE$2:$NE$150=AM$3)*(GMW!$ND$2:$ND$150=AM$4)*(GMW!$NF$2:$NF$150=AM$1),0),$C310-1966)</f>
        <v>166253.1</v>
      </c>
      <c r="AN310" s="4" cm="1">
        <f t="array" ref="AN310">INDEX(GMW!$A$2:$NF$150,MATCH(1,(GMW!$NE$2:$NE$150=AN$3)*(GMW!$ND$2:$ND$150=AN$4)*(GMW!$NF$2:$NF$150=AN$1),0),$C310-1966)</f>
        <v>184551.7</v>
      </c>
      <c r="AO310" s="4" cm="1">
        <f t="array" ref="AO310">INDEX(GMW!$A$2:$NF$150,MATCH(1,(GMW!$NE$2:$NE$150=AO$3)*(GMW!$ND$2:$ND$150=AO$4)*(GMW!$NF$2:$NF$150=AO$1),0),$C310-1966)</f>
        <v>109028.8</v>
      </c>
      <c r="AP310" s="4" cm="1">
        <f t="array" ref="AP310">INDEX(GMW!$A$2:$NF$150,MATCH(1,(GMW!$NE$2:$NE$150=AP$3)*(GMW!$ND$2:$ND$150=AP$4)*(GMW!$NF$2:$NF$150=AP$1),0),$C310-1966)</f>
        <v>931320.8</v>
      </c>
      <c r="AQ310" s="4" cm="1">
        <f t="array" ref="AQ310">INDEX(GMW!$A$2:$NF$150,MATCH(1,(GMW!$NE$2:$NE$150=AQ$3)*(GMW!$ND$2:$ND$150=AQ$4)*(GMW!$NF$2:$NF$150=AQ$1),0),$C310-1966)</f>
        <v>38973.4</v>
      </c>
      <c r="AR310" s="4" cm="1">
        <f t="array" ref="AR310">INDEX(GMW!$A$2:$NF$150,MATCH(1,(GMW!$NE$2:$NE$150=AR$3)*(GMW!$ND$2:$ND$150=AR$4)*(GMW!$NF$2:$NF$150=AR$1),0),$C310-1966)</f>
        <v>31.952670000000001</v>
      </c>
      <c r="AS310" s="4" cm="1">
        <f t="array" ref="AS310">INDEX(GMW!$A$2:$NF$150,MATCH(1,(GMW!$NE$2:$NE$150=AS$3)*(GMW!$ND$2:$ND$150=AS$4)*(GMW!$NF$2:$NF$150=AS$1),0),$C310-1966)</f>
        <v>709492.8</v>
      </c>
      <c r="AT310" s="4" cm="1">
        <f t="array" ref="AT310">INDEX(GMW!$A$2:$NF$150,MATCH(1,(GMW!$NE$2:$NE$150=AT$3)*(GMW!$ND$2:$ND$150=AT$4)*(GMW!$NF$2:$NF$150=AT$1),0),$C310-1966)</f>
        <v>46723.33</v>
      </c>
      <c r="AU310" s="4" cm="1">
        <f t="array" ref="AU310">INDEX(GMW!$A$2:$NF$150,MATCH(1,(GMW!$NE$2:$NE$150=AU$3)*(GMW!$ND$2:$ND$150=AU$4)*(GMW!$NF$2:$NF$150=AU$1),0),$C310-1966)</f>
        <v>5135217</v>
      </c>
      <c r="AV310" s="4" cm="1">
        <f t="array" ref="AV310">INDEX(GMW!$A$2:$NF$150,MATCH(1,(GMW!$NE$2:$NE$150=AV$3)*(GMW!$ND$2:$ND$150=AV$4)*(GMW!$NF$2:$NF$150=AV$1),0),$C310-1966)</f>
        <v>-1.600757</v>
      </c>
    </row>
    <row r="311" spans="1:48" x14ac:dyDescent="0.25">
      <c r="A311" s="4">
        <v>2049</v>
      </c>
      <c r="B311" s="4">
        <f t="shared" si="12"/>
        <v>2049</v>
      </c>
      <c r="C311" s="4">
        <f t="shared" si="13"/>
        <v>2277</v>
      </c>
      <c r="D311" s="4" cm="1">
        <f t="array" ref="D311">INDEX(GMW!$A$2:$NF$150,MATCH(1,(GMW!$NE$2:$NE$150=D$3)*(GMW!$ND$2:$ND$150=D$4)*(GMW!$NF$2:$NF$150=D$1),0),$C311-1966)</f>
        <v>926360</v>
      </c>
      <c r="E311" s="4" cm="1">
        <f t="array" ref="E311">INDEX(GMW!$A$2:$NF$150,MATCH(1,(GMW!$NE$2:$NE$150=E$3)*(GMW!$ND$2:$ND$150=E$4)*(GMW!$NF$2:$NF$150=E$1),0),$C311-1966)</f>
        <v>222.26499999999999</v>
      </c>
      <c r="F311" s="4" cm="1">
        <f t="array" ref="F311">INDEX(GMW!$A$2:$NF$150,MATCH(1,(GMW!$NE$2:$NE$150=F$3)*(GMW!$ND$2:$ND$150=F$4)*(GMW!$NF$2:$NF$150=F$1),0),$C311-1966)</f>
        <v>284211.3</v>
      </c>
      <c r="G311" s="4" cm="1">
        <f t="array" ref="G311">INDEX(GMW!$A$2:$NF$150,MATCH(1,(GMW!$NE$2:$NE$150=G$3)*(GMW!$ND$2:$ND$150=G$4)*(GMW!$NF$2:$NF$150=G$1),0),$C311-1966)</f>
        <v>93559.09</v>
      </c>
      <c r="H311" s="4" cm="1">
        <f t="array" ref="H311">INDEX(GMW!$A$2:$NF$150,MATCH(1,(GMW!$NE$2:$NE$150=H$3)*(GMW!$ND$2:$ND$150=H$4)*(GMW!$NF$2:$NF$150=H$1),0),$C311-1966)</f>
        <v>317801</v>
      </c>
      <c r="I311" s="4" cm="1">
        <f t="array" ref="I311">INDEX(GMW!$A$2:$NF$150,MATCH(1,(GMW!$NE$2:$NE$150=I$3)*(GMW!$ND$2:$ND$150=I$4)*(GMW!$NF$2:$NF$150=I$1),0),$C311-1966)</f>
        <v>169571.9</v>
      </c>
      <c r="J311" s="4" cm="1">
        <f t="array" ref="J311">INDEX(GMW!$A$2:$NF$150,MATCH(1,(GMW!$NE$2:$NE$150=J$3)*(GMW!$ND$2:$ND$150=J$4)*(GMW!$NF$2:$NF$150=J$1),0),$C311-1966)</f>
        <v>182443.9</v>
      </c>
      <c r="K311" s="4" cm="1">
        <f t="array" ref="K311">INDEX(GMW!$A$2:$NF$150,MATCH(1,(GMW!$NE$2:$NE$150=K$3)*(GMW!$ND$2:$ND$150=K$4)*(GMW!$NF$2:$NF$150=K$1),0),$C311-1966)</f>
        <v>104770.7</v>
      </c>
      <c r="L311" s="4" cm="1">
        <f t="array" ref="L311">INDEX(GMW!$A$2:$NF$150,MATCH(1,(GMW!$NE$2:$NE$150=L$3)*(GMW!$ND$2:$ND$150=L$4)*(GMW!$NF$2:$NF$150=L$1),0),$C311-1966)</f>
        <v>926359.3</v>
      </c>
      <c r="M311" s="4" cm="1">
        <f t="array" ref="M311">INDEX(GMW!$A$2:$NF$150,MATCH(1,(GMW!$NE$2:$NE$150=M$3)*(GMW!$ND$2:$ND$150=M$4)*(GMW!$NF$2:$NF$150=M$1),0),$C311-1966)</f>
        <v>39095.18</v>
      </c>
      <c r="N311" s="4" cm="1">
        <f t="array" ref="N311">INDEX(GMW!$A$2:$NF$150,MATCH(1,(GMW!$NE$2:$NE$150=N$3)*(GMW!$ND$2:$ND$150=N$4)*(GMW!$NF$2:$NF$150=N$1),0),$C311-1966)</f>
        <v>31.951920000000001</v>
      </c>
      <c r="O311" s="4" cm="1">
        <f t="array" ref="O311">INDEX(GMW!$A$2:$NF$150,MATCH(1,(GMW!$NE$2:$NE$150=O$3)*(GMW!$ND$2:$ND$150=O$4)*(GMW!$NF$2:$NF$150=O$1),0),$C311-1966)</f>
        <v>709636.6</v>
      </c>
      <c r="P311" s="4" cm="1">
        <f t="array" ref="P311">INDEX(GMW!$A$2:$NF$150,MATCH(1,(GMW!$NE$2:$NE$150=P$3)*(GMW!$ND$2:$ND$150=P$4)*(GMW!$NF$2:$NF$150=P$1),0),$C311-1966)</f>
        <v>46721.69</v>
      </c>
      <c r="Q311" s="4" cm="1">
        <f t="array" ref="Q311">INDEX(GMW!$A$2:$NF$150,MATCH(1,(GMW!$NE$2:$NE$150=Q$3)*(GMW!$ND$2:$ND$150=Q$4)*(GMW!$NF$2:$NF$150=Q$1),0),$C311-1966)</f>
        <v>5061059</v>
      </c>
      <c r="R311" s="4" cm="1">
        <f t="array" ref="R311">INDEX(GMW!$A$2:$NF$150,MATCH(1,(GMW!$NE$2:$NE$150=R$3)*(GMW!$ND$2:$ND$150=R$4)*(GMW!$NF$2:$NF$150=R$1),0),$C311-1966)</f>
        <v>-1.603091</v>
      </c>
      <c r="S311" s="4" cm="1">
        <f t="array" ref="S311">INDEX(GMW!$A$2:$NF$150,MATCH(1,(GMW!$NE$2:$NE$150=S$3)*(GMW!$ND$2:$ND$150=S$4)*(GMW!$NF$2:$NF$150=S$1),0),$C311-1966)</f>
        <v>934422.5</v>
      </c>
      <c r="T311" s="4" cm="1">
        <f t="array" ref="T311">INDEX(GMW!$A$2:$NF$150,MATCH(1,(GMW!$NE$2:$NE$150=T$3)*(GMW!$ND$2:$ND$150=T$4)*(GMW!$NF$2:$NF$150=T$1),0),$C311-1966)</f>
        <v>222.03030000000001</v>
      </c>
      <c r="U311" s="4" cm="1">
        <f t="array" ref="U311">INDEX(GMW!$A$2:$NF$150,MATCH(1,(GMW!$NE$2:$NE$150=U$3)*(GMW!$ND$2:$ND$150=U$4)*(GMW!$NF$2:$NF$150=U$1),0),$C311-1966)</f>
        <v>272045.59999999998</v>
      </c>
      <c r="V311" s="4" cm="1">
        <f t="array" ref="V311">INDEX(GMW!$A$2:$NF$150,MATCH(1,(GMW!$NE$2:$NE$150=V$3)*(GMW!$ND$2:$ND$150=V$4)*(GMW!$NF$2:$NF$150=V$1),0),$C311-1966)</f>
        <v>98602.33</v>
      </c>
      <c r="W311" s="4" cm="1">
        <f t="array" ref="W311">INDEX(GMW!$A$2:$NF$150,MATCH(1,(GMW!$NE$2:$NE$150=W$3)*(GMW!$ND$2:$ND$150=W$4)*(GMW!$NF$2:$NF$150=W$1),0),$C311-1966)</f>
        <v>307741.5</v>
      </c>
      <c r="X311" s="4" cm="1">
        <f t="array" ref="X311">INDEX(GMW!$A$2:$NF$150,MATCH(1,(GMW!$NE$2:$NE$150=X$3)*(GMW!$ND$2:$ND$150=X$4)*(GMW!$NF$2:$NF$150=X$1),0),$C311-1966)</f>
        <v>163082.4</v>
      </c>
      <c r="Y311" s="4" cm="1">
        <f t="array" ref="Y311">INDEX(GMW!$A$2:$NF$150,MATCH(1,(GMW!$NE$2:$NE$150=Y$3)*(GMW!$ND$2:$ND$150=Y$4)*(GMW!$NF$2:$NF$150=Y$1),0),$C311-1966)</f>
        <v>185416.3</v>
      </c>
      <c r="Z311" s="4" cm="1">
        <f t="array" ref="Z311">INDEX(GMW!$A$2:$NF$150,MATCH(1,(GMW!$NE$2:$NE$150=Z$3)*(GMW!$ND$2:$ND$150=Z$4)*(GMW!$NF$2:$NF$150=Z$1),0),$C311-1966)</f>
        <v>108168.9</v>
      </c>
      <c r="AA311" s="4" cm="1">
        <f t="array" ref="AA311">INDEX(GMW!$A$2:$NF$150,MATCH(1,(GMW!$NE$2:$NE$150=AA$3)*(GMW!$ND$2:$ND$150=AA$4)*(GMW!$NF$2:$NF$150=AA$1),0),$C311-1966)</f>
        <v>934422.1</v>
      </c>
      <c r="AB311" s="4" cm="1">
        <f t="array" ref="AB311">INDEX(GMW!$A$2:$NF$150,MATCH(1,(GMW!$NE$2:$NE$150=AB$3)*(GMW!$ND$2:$ND$150=AB$4)*(GMW!$NF$2:$NF$150=AB$1),0),$C311-1966)</f>
        <v>39095.18</v>
      </c>
      <c r="AC311" s="4" cm="1">
        <f t="array" ref="AC311">INDEX(GMW!$A$2:$NF$150,MATCH(1,(GMW!$NE$2:$NE$150=AC$3)*(GMW!$ND$2:$ND$150=AC$4)*(GMW!$NF$2:$NF$150=AC$1),0),$C311-1966)</f>
        <v>31.951920000000001</v>
      </c>
      <c r="AD311" s="4" cm="1">
        <f t="array" ref="AD311">INDEX(GMW!$A$2:$NF$150,MATCH(1,(GMW!$NE$2:$NE$150=AD$3)*(GMW!$ND$2:$ND$150=AD$4)*(GMW!$NF$2:$NF$150=AD$1),0),$C311-1966)</f>
        <v>709636.6</v>
      </c>
      <c r="AE311" s="4" cm="1">
        <f t="array" ref="AE311">INDEX(GMW!$A$2:$NF$150,MATCH(1,(GMW!$NE$2:$NE$150=AE$3)*(GMW!$ND$2:$ND$150=AE$4)*(GMW!$NF$2:$NF$150=AE$1),0),$C311-1966)</f>
        <v>46721.69</v>
      </c>
      <c r="AF311" s="4" cm="1">
        <f t="array" ref="AF311">INDEX(GMW!$A$2:$NF$150,MATCH(1,(GMW!$NE$2:$NE$150=AF$3)*(GMW!$ND$2:$ND$150=AF$4)*(GMW!$NF$2:$NF$150=AF$1),0),$C311-1966)</f>
        <v>5158021</v>
      </c>
      <c r="AG311" s="4" cm="1">
        <f t="array" ref="AG311">INDEX(GMW!$A$2:$NF$150,MATCH(1,(GMW!$NE$2:$NE$150=AG$3)*(GMW!$ND$2:$ND$150=AG$4)*(GMW!$NF$2:$NF$150=AG$1),0),$C311-1966)</f>
        <v>-1.6010770000000001</v>
      </c>
      <c r="AH311" s="4" cm="1">
        <f t="array" ref="AH311">INDEX(GMW!$A$2:$NF$150,MATCH(1,(GMW!$NE$2:$NE$150=AH$3)*(GMW!$ND$2:$ND$150=AH$4)*(GMW!$NF$2:$NF$150=AH$1),0),$C311-1966)</f>
        <v>934819.9</v>
      </c>
      <c r="AI311" s="4" cm="1">
        <f t="array" ref="AI311">INDEX(GMW!$A$2:$NF$150,MATCH(1,(GMW!$NE$2:$NE$150=AI$3)*(GMW!$ND$2:$ND$150=AI$4)*(GMW!$NF$2:$NF$150=AI$1),0),$C311-1966)</f>
        <v>220.66839999999999</v>
      </c>
      <c r="AJ311" s="4" cm="1">
        <f t="array" ref="AJ311">INDEX(GMW!$A$2:$NF$150,MATCH(1,(GMW!$NE$2:$NE$150=AJ$3)*(GMW!$ND$2:$ND$150=AJ$4)*(GMW!$NF$2:$NF$150=AJ$1),0),$C311-1966)</f>
        <v>277561.90000000002</v>
      </c>
      <c r="AK311" s="4" cm="1">
        <f t="array" ref="AK311">INDEX(GMW!$A$2:$NF$150,MATCH(1,(GMW!$NE$2:$NE$150=AK$3)*(GMW!$ND$2:$ND$150=AK$4)*(GMW!$NF$2:$NF$150=AK$1),0),$C311-1966)</f>
        <v>101618.5</v>
      </c>
      <c r="AL311" s="4" cm="1">
        <f t="array" ref="AL311">INDEX(GMW!$A$2:$NF$150,MATCH(1,(GMW!$NE$2:$NE$150=AL$3)*(GMW!$ND$2:$ND$150=AL$4)*(GMW!$NF$2:$NF$150=AL$1),0),$C311-1966)</f>
        <v>312324.40000000002</v>
      </c>
      <c r="AM311" s="4" cm="1">
        <f t="array" ref="AM311">INDEX(GMW!$A$2:$NF$150,MATCH(1,(GMW!$NE$2:$NE$150=AM$3)*(GMW!$ND$2:$ND$150=AM$4)*(GMW!$NF$2:$NF$150=AM$1),0),$C311-1966)</f>
        <v>166844.4</v>
      </c>
      <c r="AN311" s="4" cm="1">
        <f t="array" ref="AN311">INDEX(GMW!$A$2:$NF$150,MATCH(1,(GMW!$NE$2:$NE$150=AN$3)*(GMW!$ND$2:$ND$150=AN$4)*(GMW!$NF$2:$NF$150=AN$1),0),$C311-1966)</f>
        <v>185436.7</v>
      </c>
      <c r="AO311" s="4" cm="1">
        <f t="array" ref="AO311">INDEX(GMW!$A$2:$NF$150,MATCH(1,(GMW!$NE$2:$NE$150=AO$3)*(GMW!$ND$2:$ND$150=AO$4)*(GMW!$NF$2:$NF$150=AO$1),0),$C311-1966)</f>
        <v>109591</v>
      </c>
      <c r="AP311" s="4" cm="1">
        <f t="array" ref="AP311">INDEX(GMW!$A$2:$NF$150,MATCH(1,(GMW!$NE$2:$NE$150=AP$3)*(GMW!$ND$2:$ND$150=AP$4)*(GMW!$NF$2:$NF$150=AP$1),0),$C311-1966)</f>
        <v>934819.6</v>
      </c>
      <c r="AQ311" s="4" cm="1">
        <f t="array" ref="AQ311">INDEX(GMW!$A$2:$NF$150,MATCH(1,(GMW!$NE$2:$NE$150=AQ$3)*(GMW!$ND$2:$ND$150=AQ$4)*(GMW!$NF$2:$NF$150=AQ$1),0),$C311-1966)</f>
        <v>39008.199999999997</v>
      </c>
      <c r="AR311" s="4" cm="1">
        <f t="array" ref="AR311">INDEX(GMW!$A$2:$NF$150,MATCH(1,(GMW!$NE$2:$NE$150=AR$3)*(GMW!$ND$2:$ND$150=AR$4)*(GMW!$NF$2:$NF$150=AR$1),0),$C311-1966)</f>
        <v>31.951920000000001</v>
      </c>
      <c r="AS311" s="4" cm="1">
        <f t="array" ref="AS311">INDEX(GMW!$A$2:$NF$150,MATCH(1,(GMW!$NE$2:$NE$150=AS$3)*(GMW!$ND$2:$ND$150=AS$4)*(GMW!$NF$2:$NF$150=AS$1),0),$C311-1966)</f>
        <v>710092</v>
      </c>
      <c r="AT311" s="4" cm="1">
        <f t="array" ref="AT311">INDEX(GMW!$A$2:$NF$150,MATCH(1,(GMW!$NE$2:$NE$150=AT$3)*(GMW!$ND$2:$ND$150=AT$4)*(GMW!$NF$2:$NF$150=AT$1),0),$C311-1966)</f>
        <v>46734.92</v>
      </c>
      <c r="AU311" s="4" cm="1">
        <f t="array" ref="AU311">INDEX(GMW!$A$2:$NF$150,MATCH(1,(GMW!$NE$2:$NE$150=AU$3)*(GMW!$ND$2:$ND$150=AU$4)*(GMW!$NF$2:$NF$150=AU$1),0),$C311-1966)</f>
        <v>5160597</v>
      </c>
      <c r="AV311" s="4" cm="1">
        <f t="array" ref="AV311">INDEX(GMW!$A$2:$NF$150,MATCH(1,(GMW!$NE$2:$NE$150=AV$3)*(GMW!$ND$2:$ND$150=AV$4)*(GMW!$NF$2:$NF$150=AV$1),0),$C311-1966)</f>
        <v>-1.599477</v>
      </c>
    </row>
    <row r="312" spans="1:48" x14ac:dyDescent="0.25">
      <c r="B312" s="4">
        <f t="shared" si="12"/>
        <v>2049</v>
      </c>
      <c r="C312" s="4">
        <f t="shared" si="13"/>
        <v>2278</v>
      </c>
      <c r="D312" s="4" cm="1">
        <f t="array" ref="D312">INDEX(GMW!$A$2:$NF$150,MATCH(1,(GMW!$NE$2:$NE$150=D$3)*(GMW!$ND$2:$ND$150=D$4)*(GMW!$NF$2:$NF$150=D$1),0),$C312-1966)</f>
        <v>929603.5</v>
      </c>
      <c r="E312" s="4" cm="1">
        <f t="array" ref="E312">INDEX(GMW!$A$2:$NF$150,MATCH(1,(GMW!$NE$2:$NE$150=E$3)*(GMW!$ND$2:$ND$150=E$4)*(GMW!$NF$2:$NF$150=E$1),0),$C312-1966)</f>
        <v>224.2354</v>
      </c>
      <c r="F312" s="4" cm="1">
        <f t="array" ref="F312">INDEX(GMW!$A$2:$NF$150,MATCH(1,(GMW!$NE$2:$NE$150=F$3)*(GMW!$ND$2:$ND$150=F$4)*(GMW!$NF$2:$NF$150=F$1),0),$C312-1966)</f>
        <v>285137.59999999998</v>
      </c>
      <c r="G312" s="4" cm="1">
        <f t="array" ref="G312">INDEX(GMW!$A$2:$NF$150,MATCH(1,(GMW!$NE$2:$NE$150=G$3)*(GMW!$ND$2:$ND$150=G$4)*(GMW!$NF$2:$NF$150=G$1),0),$C312-1966)</f>
        <v>93810.880000000005</v>
      </c>
      <c r="H312" s="4" cm="1">
        <f t="array" ref="H312">INDEX(GMW!$A$2:$NF$150,MATCH(1,(GMW!$NE$2:$NE$150=H$3)*(GMW!$ND$2:$ND$150=H$4)*(GMW!$NF$2:$NF$150=H$1),0),$C312-1966)</f>
        <v>318931.3</v>
      </c>
      <c r="I312" s="4" cm="1">
        <f t="array" ref="I312">INDEX(GMW!$A$2:$NF$150,MATCH(1,(GMW!$NE$2:$NE$150=I$3)*(GMW!$ND$2:$ND$150=I$4)*(GMW!$NF$2:$NF$150=I$1),0),$C312-1966)</f>
        <v>170135.1</v>
      </c>
      <c r="J312" s="4" cm="1">
        <f t="array" ref="J312">INDEX(GMW!$A$2:$NF$150,MATCH(1,(GMW!$NE$2:$NE$150=J$3)*(GMW!$ND$2:$ND$150=J$4)*(GMW!$NF$2:$NF$150=J$1),0),$C312-1966)</f>
        <v>183281.1</v>
      </c>
      <c r="K312" s="4" cm="1">
        <f t="array" ref="K312">INDEX(GMW!$A$2:$NF$150,MATCH(1,(GMW!$NE$2:$NE$150=K$3)*(GMW!$ND$2:$ND$150=K$4)*(GMW!$NF$2:$NF$150=K$1),0),$C312-1966)</f>
        <v>105294.7</v>
      </c>
      <c r="L312" s="4" cm="1">
        <f t="array" ref="L312">INDEX(GMW!$A$2:$NF$150,MATCH(1,(GMW!$NE$2:$NE$150=L$3)*(GMW!$ND$2:$ND$150=L$4)*(GMW!$NF$2:$NF$150=L$1),0),$C312-1966)</f>
        <v>929601.9</v>
      </c>
      <c r="M312" s="4" cm="1">
        <f t="array" ref="M312">INDEX(GMW!$A$2:$NF$150,MATCH(1,(GMW!$NE$2:$NE$150=M$3)*(GMW!$ND$2:$ND$150=M$4)*(GMW!$NF$2:$NF$150=M$1),0),$C312-1966)</f>
        <v>39114.720000000001</v>
      </c>
      <c r="N312" s="4" cm="1">
        <f t="array" ref="N312">INDEX(GMW!$A$2:$NF$150,MATCH(1,(GMW!$NE$2:$NE$150=N$3)*(GMW!$ND$2:$ND$150=N$4)*(GMW!$NF$2:$NF$150=N$1),0),$C312-1966)</f>
        <v>31.951170000000001</v>
      </c>
      <c r="O312" s="4" cm="1">
        <f t="array" ref="O312">INDEX(GMW!$A$2:$NF$150,MATCH(1,(GMW!$NE$2:$NE$150=O$3)*(GMW!$ND$2:$ND$150=O$4)*(GMW!$NF$2:$NF$150=O$1),0),$C312-1966)</f>
        <v>710121.9</v>
      </c>
      <c r="P312" s="4" cm="1">
        <f t="array" ref="P312">INDEX(GMW!$A$2:$NF$150,MATCH(1,(GMW!$NE$2:$NE$150=P$3)*(GMW!$ND$2:$ND$150=P$4)*(GMW!$NF$2:$NF$150=P$1),0),$C312-1966)</f>
        <v>46725.93</v>
      </c>
      <c r="Q312" s="4" cm="1">
        <f t="array" ref="Q312">INDEX(GMW!$A$2:$NF$150,MATCH(1,(GMW!$NE$2:$NE$150=Q$3)*(GMW!$ND$2:$ND$150=Q$4)*(GMW!$NF$2:$NF$150=Q$1),0),$C312-1966)</f>
        <v>5086052</v>
      </c>
      <c r="R312" s="4" cm="1">
        <f t="array" ref="R312">INDEX(GMW!$A$2:$NF$150,MATCH(1,(GMW!$NE$2:$NE$150=R$3)*(GMW!$ND$2:$ND$150=R$4)*(GMW!$NF$2:$NF$150=R$1),0),$C312-1966)</f>
        <v>-1.601809</v>
      </c>
      <c r="S312" s="4" cm="1">
        <f t="array" ref="S312">INDEX(GMW!$A$2:$NF$150,MATCH(1,(GMW!$NE$2:$NE$150=S$3)*(GMW!$ND$2:$ND$150=S$4)*(GMW!$NF$2:$NF$150=S$1),0),$C312-1966)</f>
        <v>937683.8</v>
      </c>
      <c r="T312" s="4" cm="1">
        <f t="array" ref="T312">INDEX(GMW!$A$2:$NF$150,MATCH(1,(GMW!$NE$2:$NE$150=T$3)*(GMW!$ND$2:$ND$150=T$4)*(GMW!$NF$2:$NF$150=T$1),0),$C312-1966)</f>
        <v>224.04470000000001</v>
      </c>
      <c r="U312" s="4" cm="1">
        <f t="array" ref="U312">INDEX(GMW!$A$2:$NF$150,MATCH(1,(GMW!$NE$2:$NE$150=U$3)*(GMW!$ND$2:$ND$150=U$4)*(GMW!$NF$2:$NF$150=U$1),0),$C312-1966)</f>
        <v>272914.90000000002</v>
      </c>
      <c r="V312" s="4" cm="1">
        <f t="array" ref="V312">INDEX(GMW!$A$2:$NF$150,MATCH(1,(GMW!$NE$2:$NE$150=V$3)*(GMW!$ND$2:$ND$150=V$4)*(GMW!$NF$2:$NF$150=V$1),0),$C312-1966)</f>
        <v>98866.6</v>
      </c>
      <c r="W312" s="4" cm="1">
        <f t="array" ref="W312">INDEX(GMW!$A$2:$NF$150,MATCH(1,(GMW!$NE$2:$NE$150=W$3)*(GMW!$ND$2:$ND$150=W$4)*(GMW!$NF$2:$NF$150=W$1),0),$C312-1966)</f>
        <v>308825.3</v>
      </c>
      <c r="X312" s="4" cm="1">
        <f t="array" ref="X312">INDEX(GMW!$A$2:$NF$150,MATCH(1,(GMW!$NE$2:$NE$150=X$3)*(GMW!$ND$2:$ND$150=X$4)*(GMW!$NF$2:$NF$150=X$1),0),$C312-1966)</f>
        <v>163622.29999999999</v>
      </c>
      <c r="Y312" s="4" cm="1">
        <f t="array" ref="Y312">INDEX(GMW!$A$2:$NF$150,MATCH(1,(GMW!$NE$2:$NE$150=Y$3)*(GMW!$ND$2:$ND$150=Y$4)*(GMW!$NF$2:$NF$150=Y$1),0),$C312-1966)</f>
        <v>186255.3</v>
      </c>
      <c r="Z312" s="4" cm="1">
        <f t="array" ref="Z312">INDEX(GMW!$A$2:$NF$150,MATCH(1,(GMW!$NE$2:$NE$150=Z$3)*(GMW!$ND$2:$ND$150=Z$4)*(GMW!$NF$2:$NF$150=Z$1),0),$C312-1966)</f>
        <v>108697.9</v>
      </c>
      <c r="AA312" s="4" cm="1">
        <f t="array" ref="AA312">INDEX(GMW!$A$2:$NF$150,MATCH(1,(GMW!$NE$2:$NE$150=AA$3)*(GMW!$ND$2:$ND$150=AA$4)*(GMW!$NF$2:$NF$150=AA$1),0),$C312-1966)</f>
        <v>937683.1</v>
      </c>
      <c r="AB312" s="4" cm="1">
        <f t="array" ref="AB312">INDEX(GMW!$A$2:$NF$150,MATCH(1,(GMW!$NE$2:$NE$150=AB$3)*(GMW!$ND$2:$ND$150=AB$4)*(GMW!$NF$2:$NF$150=AB$1),0),$C312-1966)</f>
        <v>39114.720000000001</v>
      </c>
      <c r="AC312" s="4" cm="1">
        <f t="array" ref="AC312">INDEX(GMW!$A$2:$NF$150,MATCH(1,(GMW!$NE$2:$NE$150=AC$3)*(GMW!$ND$2:$ND$150=AC$4)*(GMW!$NF$2:$NF$150=AC$1),0),$C312-1966)</f>
        <v>31.951170000000001</v>
      </c>
      <c r="AD312" s="4" cm="1">
        <f t="array" ref="AD312">INDEX(GMW!$A$2:$NF$150,MATCH(1,(GMW!$NE$2:$NE$150=AD$3)*(GMW!$ND$2:$ND$150=AD$4)*(GMW!$NF$2:$NF$150=AD$1),0),$C312-1966)</f>
        <v>710121.9</v>
      </c>
      <c r="AE312" s="4" cm="1">
        <f t="array" ref="AE312">INDEX(GMW!$A$2:$NF$150,MATCH(1,(GMW!$NE$2:$NE$150=AE$3)*(GMW!$ND$2:$ND$150=AE$4)*(GMW!$NF$2:$NF$150=AE$1),0),$C312-1966)</f>
        <v>46725.93</v>
      </c>
      <c r="AF312" s="4" cm="1">
        <f t="array" ref="AF312">INDEX(GMW!$A$2:$NF$150,MATCH(1,(GMW!$NE$2:$NE$150=AF$3)*(GMW!$ND$2:$ND$150=AF$4)*(GMW!$NF$2:$NF$150=AF$1),0),$C312-1966)</f>
        <v>5183335</v>
      </c>
      <c r="AG312" s="4" cm="1">
        <f t="array" ref="AG312">INDEX(GMW!$A$2:$NF$150,MATCH(1,(GMW!$NE$2:$NE$150=AG$3)*(GMW!$ND$2:$ND$150=AG$4)*(GMW!$NF$2:$NF$150=AG$1),0),$C312-1966)</f>
        <v>-1.599796</v>
      </c>
      <c r="AH312" s="4" cm="1">
        <f t="array" ref="AH312">INDEX(GMW!$A$2:$NF$150,MATCH(1,(GMW!$NE$2:$NE$150=AH$3)*(GMW!$ND$2:$ND$150=AH$4)*(GMW!$NF$2:$NF$150=AH$1),0),$C312-1966)</f>
        <v>938329.7</v>
      </c>
      <c r="AI312" s="4" cm="1">
        <f t="array" ref="AI312">INDEX(GMW!$A$2:$NF$150,MATCH(1,(GMW!$NE$2:$NE$150=AI$3)*(GMW!$ND$2:$ND$150=AI$4)*(GMW!$NF$2:$NF$150=AI$1),0),$C312-1966)</f>
        <v>222.5667</v>
      </c>
      <c r="AJ312" s="4" cm="1">
        <f t="array" ref="AJ312">INDEX(GMW!$A$2:$NF$150,MATCH(1,(GMW!$NE$2:$NE$150=AJ$3)*(GMW!$ND$2:$ND$150=AJ$4)*(GMW!$NF$2:$NF$150=AJ$1),0),$C312-1966)</f>
        <v>278512.09999999998</v>
      </c>
      <c r="AK312" s="4" cm="1">
        <f t="array" ref="AK312">INDEX(GMW!$A$2:$NF$150,MATCH(1,(GMW!$NE$2:$NE$150=AK$3)*(GMW!$ND$2:$ND$150=AK$4)*(GMW!$NF$2:$NF$150=AK$1),0),$C312-1966)</f>
        <v>101918.7</v>
      </c>
      <c r="AL312" s="4" cm="1">
        <f t="array" ref="AL312">INDEX(GMW!$A$2:$NF$150,MATCH(1,(GMW!$NE$2:$NE$150=AL$3)*(GMW!$ND$2:$ND$150=AL$4)*(GMW!$NF$2:$NF$150=AL$1),0),$C312-1966)</f>
        <v>313488.5</v>
      </c>
      <c r="AM312" s="4" cm="1">
        <f t="array" ref="AM312">INDEX(GMW!$A$2:$NF$150,MATCH(1,(GMW!$NE$2:$NE$150=AM$3)*(GMW!$ND$2:$ND$150=AM$4)*(GMW!$NF$2:$NF$150=AM$1),0),$C312-1966)</f>
        <v>167437.5</v>
      </c>
      <c r="AN312" s="4" cm="1">
        <f t="array" ref="AN312">INDEX(GMW!$A$2:$NF$150,MATCH(1,(GMW!$NE$2:$NE$150=AN$3)*(GMW!$ND$2:$ND$150=AN$4)*(GMW!$NF$2:$NF$150=AN$1),0),$C312-1966)</f>
        <v>186325.6</v>
      </c>
      <c r="AO312" s="4" cm="1">
        <f t="array" ref="AO312">INDEX(GMW!$A$2:$NF$150,MATCH(1,(GMW!$NE$2:$NE$150=AO$3)*(GMW!$ND$2:$ND$150=AO$4)*(GMW!$NF$2:$NF$150=AO$1),0),$C312-1966)</f>
        <v>110155.9</v>
      </c>
      <c r="AP312" s="4" cm="1">
        <f t="array" ref="AP312">INDEX(GMW!$A$2:$NF$150,MATCH(1,(GMW!$NE$2:$NE$150=AP$3)*(GMW!$ND$2:$ND$150=AP$4)*(GMW!$NF$2:$NF$150=AP$1),0),$C312-1966)</f>
        <v>938329.8</v>
      </c>
      <c r="AQ312" s="4" cm="1">
        <f t="array" ref="AQ312">INDEX(GMW!$A$2:$NF$150,MATCH(1,(GMW!$NE$2:$NE$150=AQ$3)*(GMW!$ND$2:$ND$150=AQ$4)*(GMW!$NF$2:$NF$150=AQ$1),0),$C312-1966)</f>
        <v>39043.01</v>
      </c>
      <c r="AR312" s="4" cm="1">
        <f t="array" ref="AR312">INDEX(GMW!$A$2:$NF$150,MATCH(1,(GMW!$NE$2:$NE$150=AR$3)*(GMW!$ND$2:$ND$150=AR$4)*(GMW!$NF$2:$NF$150=AR$1),0),$C312-1966)</f>
        <v>31.951170000000001</v>
      </c>
      <c r="AS312" s="4" cm="1">
        <f t="array" ref="AS312">INDEX(GMW!$A$2:$NF$150,MATCH(1,(GMW!$NE$2:$NE$150=AS$3)*(GMW!$ND$2:$ND$150=AS$4)*(GMW!$NF$2:$NF$150=AS$1),0),$C312-1966)</f>
        <v>710689.1</v>
      </c>
      <c r="AT312" s="4" cm="1">
        <f t="array" ref="AT312">INDEX(GMW!$A$2:$NF$150,MATCH(1,(GMW!$NE$2:$NE$150=AT$3)*(GMW!$ND$2:$ND$150=AT$4)*(GMW!$NF$2:$NF$150=AT$1),0),$C312-1966)</f>
        <v>46746.5</v>
      </c>
      <c r="AU312" s="4" cm="1">
        <f t="array" ref="AU312">INDEX(GMW!$A$2:$NF$150,MATCH(1,(GMW!$NE$2:$NE$150=AU$3)*(GMW!$ND$2:$ND$150=AU$4)*(GMW!$NF$2:$NF$150=AU$1),0),$C312-1966)</f>
        <v>5186104</v>
      </c>
      <c r="AV312" s="4" cm="1">
        <f t="array" ref="AV312">INDEX(GMW!$A$2:$NF$150,MATCH(1,(GMW!$NE$2:$NE$150=AV$3)*(GMW!$ND$2:$ND$150=AV$4)*(GMW!$NF$2:$NF$150=AV$1),0),$C312-1966)</f>
        <v>-1.5981970000000001</v>
      </c>
    </row>
    <row r="313" spans="1:48" x14ac:dyDescent="0.25">
      <c r="B313" s="4">
        <f t="shared" si="12"/>
        <v>2049</v>
      </c>
      <c r="C313" s="4">
        <f t="shared" si="13"/>
        <v>2279</v>
      </c>
      <c r="D313" s="4" cm="1">
        <f t="array" ref="D313">INDEX(GMW!$A$2:$NF$150,MATCH(1,(GMW!$NE$2:$NE$150=D$3)*(GMW!$ND$2:$ND$150=D$4)*(GMW!$NF$2:$NF$150=D$1),0),$C313-1966)</f>
        <v>932781.9</v>
      </c>
      <c r="E313" s="4" cm="1">
        <f t="array" ref="E313">INDEX(GMW!$A$2:$NF$150,MATCH(1,(GMW!$NE$2:$NE$150=E$3)*(GMW!$ND$2:$ND$150=E$4)*(GMW!$NF$2:$NF$150=E$1),0),$C313-1966)</f>
        <v>225.25540000000001</v>
      </c>
      <c r="F313" s="4" cm="1">
        <f t="array" ref="F313">INDEX(GMW!$A$2:$NF$150,MATCH(1,(GMW!$NE$2:$NE$150=F$3)*(GMW!$ND$2:$ND$150=F$4)*(GMW!$NF$2:$NF$150=F$1),0),$C313-1966)</f>
        <v>286044.5</v>
      </c>
      <c r="G313" s="4" cm="1">
        <f t="array" ref="G313">INDEX(GMW!$A$2:$NF$150,MATCH(1,(GMW!$NE$2:$NE$150=G$3)*(GMW!$ND$2:$ND$150=G$4)*(GMW!$NF$2:$NF$150=G$1),0),$C313-1966)</f>
        <v>94055.65</v>
      </c>
      <c r="H313" s="4" cm="1">
        <f t="array" ref="H313">INDEX(GMW!$A$2:$NF$150,MATCH(1,(GMW!$NE$2:$NE$150=H$3)*(GMW!$ND$2:$ND$150=H$4)*(GMW!$NF$2:$NF$150=H$1),0),$C313-1966)</f>
        <v>320042</v>
      </c>
      <c r="I313" s="4" cm="1">
        <f t="array" ref="I313">INDEX(GMW!$A$2:$NF$150,MATCH(1,(GMW!$NE$2:$NE$150=I$3)*(GMW!$ND$2:$ND$150=I$4)*(GMW!$NF$2:$NF$150=I$1),0),$C313-1966)</f>
        <v>170686.2</v>
      </c>
      <c r="J313" s="4" cm="1">
        <f t="array" ref="J313">INDEX(GMW!$A$2:$NF$150,MATCH(1,(GMW!$NE$2:$NE$150=J$3)*(GMW!$ND$2:$ND$150=J$4)*(GMW!$NF$2:$NF$150=J$1),0),$C313-1966)</f>
        <v>184107.1</v>
      </c>
      <c r="K313" s="4" cm="1">
        <f t="array" ref="K313">INDEX(GMW!$A$2:$NF$150,MATCH(1,(GMW!$NE$2:$NE$150=K$3)*(GMW!$ND$2:$ND$150=K$4)*(GMW!$NF$2:$NF$150=K$1),0),$C313-1966)</f>
        <v>105812.6</v>
      </c>
      <c r="L313" s="4" cm="1">
        <f t="array" ref="L313">INDEX(GMW!$A$2:$NF$150,MATCH(1,(GMW!$NE$2:$NE$150=L$3)*(GMW!$ND$2:$ND$150=L$4)*(GMW!$NF$2:$NF$150=L$1),0),$C313-1966)</f>
        <v>932782.1</v>
      </c>
      <c r="M313" s="4" cm="1">
        <f t="array" ref="M313">INDEX(GMW!$A$2:$NF$150,MATCH(1,(GMW!$NE$2:$NE$150=M$3)*(GMW!$ND$2:$ND$150=M$4)*(GMW!$NF$2:$NF$150=M$1),0),$C313-1966)</f>
        <v>39129.53</v>
      </c>
      <c r="N313" s="4" cm="1">
        <f t="array" ref="N313">INDEX(GMW!$A$2:$NF$150,MATCH(1,(GMW!$NE$2:$NE$150=N$3)*(GMW!$ND$2:$ND$150=N$4)*(GMW!$NF$2:$NF$150=N$1),0),$C313-1966)</f>
        <v>31.950420000000001</v>
      </c>
      <c r="O313" s="4" cm="1">
        <f t="array" ref="O313">INDEX(GMW!$A$2:$NF$150,MATCH(1,(GMW!$NE$2:$NE$150=O$3)*(GMW!$ND$2:$ND$150=O$4)*(GMW!$NF$2:$NF$150=O$1),0),$C313-1966)</f>
        <v>710490.7</v>
      </c>
      <c r="P313" s="4" cm="1">
        <f t="array" ref="P313">INDEX(GMW!$A$2:$NF$150,MATCH(1,(GMW!$NE$2:$NE$150=P$3)*(GMW!$ND$2:$ND$150=P$4)*(GMW!$NF$2:$NF$150=P$1),0),$C313-1966)</f>
        <v>46722.65</v>
      </c>
      <c r="Q313" s="4" cm="1">
        <f t="array" ref="Q313">INDEX(GMW!$A$2:$NF$150,MATCH(1,(GMW!$NE$2:$NE$150=Q$3)*(GMW!$ND$2:$ND$150=Q$4)*(GMW!$NF$2:$NF$150=Q$1),0),$C313-1966)</f>
        <v>5111140</v>
      </c>
      <c r="R313" s="4" cm="1">
        <f t="array" ref="R313">INDEX(GMW!$A$2:$NF$150,MATCH(1,(GMW!$NE$2:$NE$150=R$3)*(GMW!$ND$2:$ND$150=R$4)*(GMW!$NF$2:$NF$150=R$1),0),$C313-1966)</f>
        <v>-1.600528</v>
      </c>
      <c r="S313" s="4" cm="1">
        <f t="array" ref="S313">INDEX(GMW!$A$2:$NF$150,MATCH(1,(GMW!$NE$2:$NE$150=S$3)*(GMW!$ND$2:$ND$150=S$4)*(GMW!$NF$2:$NF$150=S$1),0),$C313-1966)</f>
        <v>940878.3</v>
      </c>
      <c r="T313" s="4" cm="1">
        <f t="array" ref="T313">INDEX(GMW!$A$2:$NF$150,MATCH(1,(GMW!$NE$2:$NE$150=T$3)*(GMW!$ND$2:$ND$150=T$4)*(GMW!$NF$2:$NF$150=T$1),0),$C313-1966)</f>
        <v>225.12540000000001</v>
      </c>
      <c r="U313" s="4" cm="1">
        <f t="array" ref="U313">INDEX(GMW!$A$2:$NF$150,MATCH(1,(GMW!$NE$2:$NE$150=U$3)*(GMW!$ND$2:$ND$150=U$4)*(GMW!$NF$2:$NF$150=U$1),0),$C313-1966)</f>
        <v>273765.3</v>
      </c>
      <c r="V313" s="4" cm="1">
        <f t="array" ref="V313">INDEX(GMW!$A$2:$NF$150,MATCH(1,(GMW!$NE$2:$NE$150=V$3)*(GMW!$ND$2:$ND$150=V$4)*(GMW!$NF$2:$NF$150=V$1),0),$C313-1966)</f>
        <v>99123.34</v>
      </c>
      <c r="W313" s="4" cm="1">
        <f t="array" ref="W313">INDEX(GMW!$A$2:$NF$150,MATCH(1,(GMW!$NE$2:$NE$150=W$3)*(GMW!$ND$2:$ND$150=W$4)*(GMW!$NF$2:$NF$150=W$1),0),$C313-1966)</f>
        <v>309889.90000000002</v>
      </c>
      <c r="X313" s="4" cm="1">
        <f t="array" ref="X313">INDEX(GMW!$A$2:$NF$150,MATCH(1,(GMW!$NE$2:$NE$150=X$3)*(GMW!$ND$2:$ND$150=X$4)*(GMW!$NF$2:$NF$150=X$1),0),$C313-1966)</f>
        <v>164150.20000000001</v>
      </c>
      <c r="Y313" s="4" cm="1">
        <f t="array" ref="Y313">INDEX(GMW!$A$2:$NF$150,MATCH(1,(GMW!$NE$2:$NE$150=Y$3)*(GMW!$ND$2:$ND$150=Y$4)*(GMW!$NF$2:$NF$150=Y$1),0),$C313-1966)</f>
        <v>187082.6</v>
      </c>
      <c r="Z313" s="4" cm="1">
        <f t="array" ref="Z313">INDEX(GMW!$A$2:$NF$150,MATCH(1,(GMW!$NE$2:$NE$150=Z$3)*(GMW!$ND$2:$ND$150=Z$4)*(GMW!$NF$2:$NF$150=Z$1),0),$C313-1966)</f>
        <v>109220.3</v>
      </c>
      <c r="AA313" s="4" cm="1">
        <f t="array" ref="AA313">INDEX(GMW!$A$2:$NF$150,MATCH(1,(GMW!$NE$2:$NE$150=AA$3)*(GMW!$ND$2:$ND$150=AA$4)*(GMW!$NF$2:$NF$150=AA$1),0),$C313-1966)</f>
        <v>940879.2</v>
      </c>
      <c r="AB313" s="4" cm="1">
        <f t="array" ref="AB313">INDEX(GMW!$A$2:$NF$150,MATCH(1,(GMW!$NE$2:$NE$150=AB$3)*(GMW!$ND$2:$ND$150=AB$4)*(GMW!$NF$2:$NF$150=AB$1),0),$C313-1966)</f>
        <v>39129.53</v>
      </c>
      <c r="AC313" s="4" cm="1">
        <f t="array" ref="AC313">INDEX(GMW!$A$2:$NF$150,MATCH(1,(GMW!$NE$2:$NE$150=AC$3)*(GMW!$ND$2:$ND$150=AC$4)*(GMW!$NF$2:$NF$150=AC$1),0),$C313-1966)</f>
        <v>31.950420000000001</v>
      </c>
      <c r="AD313" s="4" cm="1">
        <f t="array" ref="AD313">INDEX(GMW!$A$2:$NF$150,MATCH(1,(GMW!$NE$2:$NE$150=AD$3)*(GMW!$ND$2:$ND$150=AD$4)*(GMW!$NF$2:$NF$150=AD$1),0),$C313-1966)</f>
        <v>710490.7</v>
      </c>
      <c r="AE313" s="4" cm="1">
        <f t="array" ref="AE313">INDEX(GMW!$A$2:$NF$150,MATCH(1,(GMW!$NE$2:$NE$150=AE$3)*(GMW!$ND$2:$ND$150=AE$4)*(GMW!$NF$2:$NF$150=AE$1),0),$C313-1966)</f>
        <v>46722.65</v>
      </c>
      <c r="AF313" s="4" cm="1">
        <f t="array" ref="AF313">INDEX(GMW!$A$2:$NF$150,MATCH(1,(GMW!$NE$2:$NE$150=AF$3)*(GMW!$ND$2:$ND$150=AF$4)*(GMW!$NF$2:$NF$150=AF$1),0),$C313-1966)</f>
        <v>5208727</v>
      </c>
      <c r="AG313" s="4" cm="1">
        <f t="array" ref="AG313">INDEX(GMW!$A$2:$NF$150,MATCH(1,(GMW!$NE$2:$NE$150=AG$3)*(GMW!$ND$2:$ND$150=AG$4)*(GMW!$NF$2:$NF$150=AG$1),0),$C313-1966)</f>
        <v>-1.598516</v>
      </c>
      <c r="AH313" s="4" cm="1">
        <f t="array" ref="AH313">INDEX(GMW!$A$2:$NF$150,MATCH(1,(GMW!$NE$2:$NE$150=AH$3)*(GMW!$ND$2:$ND$150=AH$4)*(GMW!$NF$2:$NF$150=AH$1),0),$C313-1966)</f>
        <v>941850.2</v>
      </c>
      <c r="AI313" s="4" cm="1">
        <f t="array" ref="AI313">INDEX(GMW!$A$2:$NF$150,MATCH(1,(GMW!$NE$2:$NE$150=AI$3)*(GMW!$ND$2:$ND$150=AI$4)*(GMW!$NF$2:$NF$150=AI$1),0),$C313-1966)</f>
        <v>223.54920000000001</v>
      </c>
      <c r="AJ313" s="4" cm="1">
        <f t="array" ref="AJ313">INDEX(GMW!$A$2:$NF$150,MATCH(1,(GMW!$NE$2:$NE$150=AJ$3)*(GMW!$ND$2:$ND$150=AJ$4)*(GMW!$NF$2:$NF$150=AJ$1),0),$C313-1966)</f>
        <v>279465.40000000002</v>
      </c>
      <c r="AK313" s="4" cm="1">
        <f t="array" ref="AK313">INDEX(GMW!$A$2:$NF$150,MATCH(1,(GMW!$NE$2:$NE$150=AK$3)*(GMW!$ND$2:$ND$150=AK$4)*(GMW!$NF$2:$NF$150=AK$1),0),$C313-1966)</f>
        <v>102219.6</v>
      </c>
      <c r="AL313" s="4" cm="1">
        <f t="array" ref="AL313">INDEX(GMW!$A$2:$NF$150,MATCH(1,(GMW!$NE$2:$NE$150=AL$3)*(GMW!$ND$2:$ND$150=AL$4)*(GMW!$NF$2:$NF$150=AL$1),0),$C313-1966)</f>
        <v>314656.5</v>
      </c>
      <c r="AM313" s="4" cm="1">
        <f t="array" ref="AM313">INDEX(GMW!$A$2:$NF$150,MATCH(1,(GMW!$NE$2:$NE$150=AM$3)*(GMW!$ND$2:$ND$150=AM$4)*(GMW!$NF$2:$NF$150=AM$1),0),$C313-1966)</f>
        <v>168032.2</v>
      </c>
      <c r="AN313" s="4" cm="1">
        <f t="array" ref="AN313">INDEX(GMW!$A$2:$NF$150,MATCH(1,(GMW!$NE$2:$NE$150=AN$3)*(GMW!$ND$2:$ND$150=AN$4)*(GMW!$NF$2:$NF$150=AN$1),0),$C313-1966)</f>
        <v>187218.3</v>
      </c>
      <c r="AO313" s="4" cm="1">
        <f t="array" ref="AO313">INDEX(GMW!$A$2:$NF$150,MATCH(1,(GMW!$NE$2:$NE$150=AO$3)*(GMW!$ND$2:$ND$150=AO$4)*(GMW!$NF$2:$NF$150=AO$1),0),$C313-1966)</f>
        <v>110723.4</v>
      </c>
      <c r="AP313" s="4" cm="1">
        <f t="array" ref="AP313">INDEX(GMW!$A$2:$NF$150,MATCH(1,(GMW!$NE$2:$NE$150=AP$3)*(GMW!$ND$2:$ND$150=AP$4)*(GMW!$NF$2:$NF$150=AP$1),0),$C313-1966)</f>
        <v>941849.59999999998</v>
      </c>
      <c r="AQ313" s="4" cm="1">
        <f t="array" ref="AQ313">INDEX(GMW!$A$2:$NF$150,MATCH(1,(GMW!$NE$2:$NE$150=AQ$3)*(GMW!$ND$2:$ND$150=AQ$4)*(GMW!$NF$2:$NF$150=AQ$1),0),$C313-1966)</f>
        <v>39077.81</v>
      </c>
      <c r="AR313" s="4" cm="1">
        <f t="array" ref="AR313">INDEX(GMW!$A$2:$NF$150,MATCH(1,(GMW!$NE$2:$NE$150=AR$3)*(GMW!$ND$2:$ND$150=AR$4)*(GMW!$NF$2:$NF$150=AR$1),0),$C313-1966)</f>
        <v>31.950420000000001</v>
      </c>
      <c r="AS313" s="4" cm="1">
        <f t="array" ref="AS313">INDEX(GMW!$A$2:$NF$150,MATCH(1,(GMW!$NE$2:$NE$150=AS$3)*(GMW!$ND$2:$ND$150=AS$4)*(GMW!$NF$2:$NF$150=AS$1),0),$C313-1966)</f>
        <v>711166.1</v>
      </c>
      <c r="AT313" s="4" cm="1">
        <f t="array" ref="AT313">INDEX(GMW!$A$2:$NF$150,MATCH(1,(GMW!$NE$2:$NE$150=AT$3)*(GMW!$ND$2:$ND$150=AT$4)*(GMW!$NF$2:$NF$150=AT$1),0),$C313-1966)</f>
        <v>46750.32</v>
      </c>
      <c r="AU313" s="4" cm="1">
        <f t="array" ref="AU313">INDEX(GMW!$A$2:$NF$150,MATCH(1,(GMW!$NE$2:$NE$150=AU$3)*(GMW!$ND$2:$ND$150=AU$4)*(GMW!$NF$2:$NF$150=AU$1),0),$C313-1966)</f>
        <v>5211738</v>
      </c>
      <c r="AV313" s="4" cm="1">
        <f t="array" ref="AV313">INDEX(GMW!$A$2:$NF$150,MATCH(1,(GMW!$NE$2:$NE$150=AV$3)*(GMW!$ND$2:$ND$150=AV$4)*(GMW!$NF$2:$NF$150=AV$1),0),$C313-1966)</f>
        <v>-1.596919</v>
      </c>
    </row>
    <row r="314" spans="1:48" x14ac:dyDescent="0.25">
      <c r="B314" s="4">
        <f t="shared" si="12"/>
        <v>2049</v>
      </c>
      <c r="C314" s="4">
        <f t="shared" si="13"/>
        <v>2280</v>
      </c>
      <c r="D314" s="4" cm="1">
        <f t="array" ref="D314">INDEX(GMW!$A$2:$NF$150,MATCH(1,(GMW!$NE$2:$NE$150=D$3)*(GMW!$ND$2:$ND$150=D$4)*(GMW!$NF$2:$NF$150=D$1),0),$C314-1966)</f>
        <v>935967.3</v>
      </c>
      <c r="E314" s="4" cm="1">
        <f t="array" ref="E314">INDEX(GMW!$A$2:$NF$150,MATCH(1,(GMW!$NE$2:$NE$150=E$3)*(GMW!$ND$2:$ND$150=E$4)*(GMW!$NF$2:$NF$150=E$1),0),$C314-1966)</f>
        <v>226.24719999999999</v>
      </c>
      <c r="F314" s="4" cm="1">
        <f t="array" ref="F314">INDEX(GMW!$A$2:$NF$150,MATCH(1,(GMW!$NE$2:$NE$150=F$3)*(GMW!$ND$2:$ND$150=F$4)*(GMW!$NF$2:$NF$150=F$1),0),$C314-1966)</f>
        <v>286953.59999999998</v>
      </c>
      <c r="G314" s="4" cm="1">
        <f t="array" ref="G314">INDEX(GMW!$A$2:$NF$150,MATCH(1,(GMW!$NE$2:$NE$150=G$3)*(GMW!$ND$2:$ND$150=G$4)*(GMW!$NF$2:$NF$150=G$1),0),$C314-1966)</f>
        <v>94300.66</v>
      </c>
      <c r="H314" s="4" cm="1">
        <f t="array" ref="H314">INDEX(GMW!$A$2:$NF$150,MATCH(1,(GMW!$NE$2:$NE$150=H$3)*(GMW!$ND$2:$ND$150=H$4)*(GMW!$NF$2:$NF$150=H$1),0),$C314-1966)</f>
        <v>321155.7</v>
      </c>
      <c r="I314" s="4" cm="1">
        <f t="array" ref="I314">INDEX(GMW!$A$2:$NF$150,MATCH(1,(GMW!$NE$2:$NE$150=I$3)*(GMW!$ND$2:$ND$150=I$4)*(GMW!$NF$2:$NF$150=I$1),0),$C314-1966)</f>
        <v>171238.3</v>
      </c>
      <c r="J314" s="4" cm="1">
        <f t="array" ref="J314">INDEX(GMW!$A$2:$NF$150,MATCH(1,(GMW!$NE$2:$NE$150=J$3)*(GMW!$ND$2:$ND$150=J$4)*(GMW!$NF$2:$NF$150=J$1),0),$C314-1966)</f>
        <v>184936.2</v>
      </c>
      <c r="K314" s="4" cm="1">
        <f t="array" ref="K314">INDEX(GMW!$A$2:$NF$150,MATCH(1,(GMW!$NE$2:$NE$150=K$3)*(GMW!$ND$2:$ND$150=K$4)*(GMW!$NF$2:$NF$150=K$1),0),$C314-1966)</f>
        <v>106332.7</v>
      </c>
      <c r="L314" s="4" cm="1">
        <f t="array" ref="L314">INDEX(GMW!$A$2:$NF$150,MATCH(1,(GMW!$NE$2:$NE$150=L$3)*(GMW!$ND$2:$ND$150=L$4)*(GMW!$NF$2:$NF$150=L$1),0),$C314-1966)</f>
        <v>935967.7</v>
      </c>
      <c r="M314" s="4" cm="1">
        <f t="array" ref="M314">INDEX(GMW!$A$2:$NF$150,MATCH(1,(GMW!$NE$2:$NE$150=M$3)*(GMW!$ND$2:$ND$150=M$4)*(GMW!$NF$2:$NF$150=M$1),0),$C314-1966)</f>
        <v>39144.339999999997</v>
      </c>
      <c r="N314" s="4" cm="1">
        <f t="array" ref="N314">INDEX(GMW!$A$2:$NF$150,MATCH(1,(GMW!$NE$2:$NE$150=N$3)*(GMW!$ND$2:$ND$150=N$4)*(GMW!$NF$2:$NF$150=N$1),0),$C314-1966)</f>
        <v>31.949670000000001</v>
      </c>
      <c r="O314" s="4" cm="1">
        <f t="array" ref="O314">INDEX(GMW!$A$2:$NF$150,MATCH(1,(GMW!$NE$2:$NE$150=O$3)*(GMW!$ND$2:$ND$150=O$4)*(GMW!$NF$2:$NF$150=O$1),0),$C314-1966)</f>
        <v>710857.2</v>
      </c>
      <c r="P314" s="4" cm="1">
        <f t="array" ref="P314">INDEX(GMW!$A$2:$NF$150,MATCH(1,(GMW!$NE$2:$NE$150=P$3)*(GMW!$ND$2:$ND$150=P$4)*(GMW!$NF$2:$NF$150=P$1),0),$C314-1966)</f>
        <v>46719.37</v>
      </c>
      <c r="Q314" s="4" cm="1">
        <f t="array" ref="Q314">INDEX(GMW!$A$2:$NF$150,MATCH(1,(GMW!$NE$2:$NE$150=Q$3)*(GMW!$ND$2:$ND$150=Q$4)*(GMW!$NF$2:$NF$150=Q$1),0),$C314-1966)</f>
        <v>5136322</v>
      </c>
      <c r="R314" s="4" cm="1">
        <f t="array" ref="R314">INDEX(GMW!$A$2:$NF$150,MATCH(1,(GMW!$NE$2:$NE$150=R$3)*(GMW!$ND$2:$ND$150=R$4)*(GMW!$NF$2:$NF$150=R$1),0),$C314-1966)</f>
        <v>-1.5992470000000001</v>
      </c>
      <c r="S314" s="4" cm="1">
        <f t="array" ref="S314">INDEX(GMW!$A$2:$NF$150,MATCH(1,(GMW!$NE$2:$NE$150=S$3)*(GMW!$ND$2:$ND$150=S$4)*(GMW!$NF$2:$NF$150=S$1),0),$C314-1966)</f>
        <v>944078.7</v>
      </c>
      <c r="T314" s="4" cm="1">
        <f t="array" ref="T314">INDEX(GMW!$A$2:$NF$150,MATCH(1,(GMW!$NE$2:$NE$150=T$3)*(GMW!$ND$2:$ND$150=T$4)*(GMW!$NF$2:$NF$150=T$1),0),$C314-1966)</f>
        <v>226.08940000000001</v>
      </c>
      <c r="U314" s="4" cm="1">
        <f t="array" ref="U314">INDEX(GMW!$A$2:$NF$150,MATCH(1,(GMW!$NE$2:$NE$150=U$3)*(GMW!$ND$2:$ND$150=U$4)*(GMW!$NF$2:$NF$150=U$1),0),$C314-1966)</f>
        <v>274617.3</v>
      </c>
      <c r="V314" s="4" cm="1">
        <f t="array" ref="V314">INDEX(GMW!$A$2:$NF$150,MATCH(1,(GMW!$NE$2:$NE$150=V$3)*(GMW!$ND$2:$ND$150=V$4)*(GMW!$NF$2:$NF$150=V$1),0),$C314-1966)</f>
        <v>99380.22</v>
      </c>
      <c r="W314" s="4" cm="1">
        <f t="array" ref="W314">INDEX(GMW!$A$2:$NF$150,MATCH(1,(GMW!$NE$2:$NE$150=W$3)*(GMW!$ND$2:$ND$150=W$4)*(GMW!$NF$2:$NF$150=W$1),0),$C314-1966)</f>
        <v>310957</v>
      </c>
      <c r="X314" s="4" cm="1">
        <f t="array" ref="X314">INDEX(GMW!$A$2:$NF$150,MATCH(1,(GMW!$NE$2:$NE$150=X$3)*(GMW!$ND$2:$ND$150=X$4)*(GMW!$NF$2:$NF$150=X$1),0),$C314-1966)</f>
        <v>164679</v>
      </c>
      <c r="Y314" s="4" cm="1">
        <f t="array" ref="Y314">INDEX(GMW!$A$2:$NF$150,MATCH(1,(GMW!$NE$2:$NE$150=Y$3)*(GMW!$ND$2:$ND$150=Y$4)*(GMW!$NF$2:$NF$150=Y$1),0),$C314-1966)</f>
        <v>187912.7</v>
      </c>
      <c r="Z314" s="4" cm="1">
        <f t="array" ref="Z314">INDEX(GMW!$A$2:$NF$150,MATCH(1,(GMW!$NE$2:$NE$150=Z$3)*(GMW!$ND$2:$ND$150=Z$4)*(GMW!$NF$2:$NF$150=Z$1),0),$C314-1966)</f>
        <v>109744.8</v>
      </c>
      <c r="AA314" s="4" cm="1">
        <f t="array" ref="AA314">INDEX(GMW!$A$2:$NF$150,MATCH(1,(GMW!$NE$2:$NE$150=AA$3)*(GMW!$ND$2:$ND$150=AA$4)*(GMW!$NF$2:$NF$150=AA$1),0),$C314-1966)</f>
        <v>944078.9</v>
      </c>
      <c r="AB314" s="4" cm="1">
        <f t="array" ref="AB314">INDEX(GMW!$A$2:$NF$150,MATCH(1,(GMW!$NE$2:$NE$150=AB$3)*(GMW!$ND$2:$ND$150=AB$4)*(GMW!$NF$2:$NF$150=AB$1),0),$C314-1966)</f>
        <v>39144.339999999997</v>
      </c>
      <c r="AC314" s="4" cm="1">
        <f t="array" ref="AC314">INDEX(GMW!$A$2:$NF$150,MATCH(1,(GMW!$NE$2:$NE$150=AC$3)*(GMW!$ND$2:$ND$150=AC$4)*(GMW!$NF$2:$NF$150=AC$1),0),$C314-1966)</f>
        <v>31.949670000000001</v>
      </c>
      <c r="AD314" s="4" cm="1">
        <f t="array" ref="AD314">INDEX(GMW!$A$2:$NF$150,MATCH(1,(GMW!$NE$2:$NE$150=AD$3)*(GMW!$ND$2:$ND$150=AD$4)*(GMW!$NF$2:$NF$150=AD$1),0),$C314-1966)</f>
        <v>710857.2</v>
      </c>
      <c r="AE314" s="4" cm="1">
        <f t="array" ref="AE314">INDEX(GMW!$A$2:$NF$150,MATCH(1,(GMW!$NE$2:$NE$150=AE$3)*(GMW!$ND$2:$ND$150=AE$4)*(GMW!$NF$2:$NF$150=AE$1),0),$C314-1966)</f>
        <v>46719.37</v>
      </c>
      <c r="AF314" s="4" cm="1">
        <f t="array" ref="AF314">INDEX(GMW!$A$2:$NF$150,MATCH(1,(GMW!$NE$2:$NE$150=AF$3)*(GMW!$ND$2:$ND$150=AF$4)*(GMW!$NF$2:$NF$150=AF$1),0),$C314-1966)</f>
        <v>5234198</v>
      </c>
      <c r="AG314" s="4" cm="1">
        <f t="array" ref="AG314">INDEX(GMW!$A$2:$NF$150,MATCH(1,(GMW!$NE$2:$NE$150=AG$3)*(GMW!$ND$2:$ND$150=AG$4)*(GMW!$NF$2:$NF$150=AG$1),0),$C314-1966)</f>
        <v>-1.5972379999999999</v>
      </c>
      <c r="AH314" s="4" cm="1">
        <f t="array" ref="AH314">INDEX(GMW!$A$2:$NF$150,MATCH(1,(GMW!$NE$2:$NE$150=AH$3)*(GMW!$ND$2:$ND$150=AH$4)*(GMW!$NF$2:$NF$150=AH$1),0),$C314-1966)</f>
        <v>945381.4</v>
      </c>
      <c r="AI314" s="4" cm="1">
        <f t="array" ref="AI314">INDEX(GMW!$A$2:$NF$150,MATCH(1,(GMW!$NE$2:$NE$150=AI$3)*(GMW!$ND$2:$ND$150=AI$4)*(GMW!$NF$2:$NF$150=AI$1),0),$C314-1966)</f>
        <v>224.65520000000001</v>
      </c>
      <c r="AJ314" s="4" cm="1">
        <f t="array" ref="AJ314">INDEX(GMW!$A$2:$NF$150,MATCH(1,(GMW!$NE$2:$NE$150=AJ$3)*(GMW!$ND$2:$ND$150=AJ$4)*(GMW!$NF$2:$NF$150=AJ$1),0),$C314-1966)</f>
        <v>280421.8</v>
      </c>
      <c r="AK314" s="4" cm="1">
        <f t="array" ref="AK314">INDEX(GMW!$A$2:$NF$150,MATCH(1,(GMW!$NE$2:$NE$150=AK$3)*(GMW!$ND$2:$ND$150=AK$4)*(GMW!$NF$2:$NF$150=AK$1),0),$C314-1966)</f>
        <v>102521</v>
      </c>
      <c r="AL314" s="4" cm="1">
        <f t="array" ref="AL314">INDEX(GMW!$A$2:$NF$150,MATCH(1,(GMW!$NE$2:$NE$150=AL$3)*(GMW!$ND$2:$ND$150=AL$4)*(GMW!$NF$2:$NF$150=AL$1),0),$C314-1966)</f>
        <v>315828.40000000002</v>
      </c>
      <c r="AM314" s="4" cm="1">
        <f t="array" ref="AM314">INDEX(GMW!$A$2:$NF$150,MATCH(1,(GMW!$NE$2:$NE$150=AM$3)*(GMW!$ND$2:$ND$150=AM$4)*(GMW!$NF$2:$NF$150=AM$1),0),$C314-1966)</f>
        <v>168628.6</v>
      </c>
      <c r="AN314" s="4" cm="1">
        <f t="array" ref="AN314">INDEX(GMW!$A$2:$NF$150,MATCH(1,(GMW!$NE$2:$NE$150=AN$3)*(GMW!$ND$2:$ND$150=AN$4)*(GMW!$NF$2:$NF$150=AN$1),0),$C314-1966)</f>
        <v>188114.8</v>
      </c>
      <c r="AO314" s="4" cm="1">
        <f t="array" ref="AO314">INDEX(GMW!$A$2:$NF$150,MATCH(1,(GMW!$NE$2:$NE$150=AO$3)*(GMW!$ND$2:$ND$150=AO$4)*(GMW!$NF$2:$NF$150=AO$1),0),$C314-1966)</f>
        <v>111293.5</v>
      </c>
      <c r="AP314" s="4" cm="1">
        <f t="array" ref="AP314">INDEX(GMW!$A$2:$NF$150,MATCH(1,(GMW!$NE$2:$NE$150=AP$3)*(GMW!$ND$2:$ND$150=AP$4)*(GMW!$NF$2:$NF$150=AP$1),0),$C314-1966)</f>
        <v>945380.9</v>
      </c>
      <c r="AQ314" s="4" cm="1">
        <f t="array" ref="AQ314">INDEX(GMW!$A$2:$NF$150,MATCH(1,(GMW!$NE$2:$NE$150=AQ$3)*(GMW!$ND$2:$ND$150=AQ$4)*(GMW!$NF$2:$NF$150=AQ$1),0),$C314-1966)</f>
        <v>39112.61</v>
      </c>
      <c r="AR314" s="4" cm="1">
        <f t="array" ref="AR314">INDEX(GMW!$A$2:$NF$150,MATCH(1,(GMW!$NE$2:$NE$150=AR$3)*(GMW!$ND$2:$ND$150=AR$4)*(GMW!$NF$2:$NF$150=AR$1),0),$C314-1966)</f>
        <v>31.949670000000001</v>
      </c>
      <c r="AS314" s="4" cm="1">
        <f t="array" ref="AS314">INDEX(GMW!$A$2:$NF$150,MATCH(1,(GMW!$NE$2:$NE$150=AS$3)*(GMW!$ND$2:$ND$150=AS$4)*(GMW!$NF$2:$NF$150=AS$1),0),$C314-1966)</f>
        <v>711640.5</v>
      </c>
      <c r="AT314" s="4" cm="1">
        <f t="array" ref="AT314">INDEX(GMW!$A$2:$NF$150,MATCH(1,(GMW!$NE$2:$NE$150=AT$3)*(GMW!$ND$2:$ND$150=AT$4)*(GMW!$NF$2:$NF$150=AT$1),0),$C314-1966)</f>
        <v>46754.13</v>
      </c>
      <c r="AU314" s="4" cm="1">
        <f t="array" ref="AU314">INDEX(GMW!$A$2:$NF$150,MATCH(1,(GMW!$NE$2:$NE$150=AU$3)*(GMW!$ND$2:$ND$150=AU$4)*(GMW!$NF$2:$NF$150=AU$1),0),$C314-1966)</f>
        <v>5237500</v>
      </c>
      <c r="AV314" s="4" cm="1">
        <f t="array" ref="AV314">INDEX(GMW!$A$2:$NF$150,MATCH(1,(GMW!$NE$2:$NE$150=AV$3)*(GMW!$ND$2:$ND$150=AV$4)*(GMW!$NF$2:$NF$150=AV$1),0),$C314-1966)</f>
        <v>-1.5956410000000001</v>
      </c>
    </row>
    <row r="315" spans="1:48" x14ac:dyDescent="0.25">
      <c r="A315" s="4">
        <v>2050</v>
      </c>
      <c r="B315" s="4">
        <f t="shared" si="12"/>
        <v>2050</v>
      </c>
      <c r="C315" s="4">
        <f t="shared" si="13"/>
        <v>2281</v>
      </c>
      <c r="D315" s="4" cm="1">
        <f t="array" ref="D315">INDEX(GMW!$A$2:$NF$150,MATCH(1,(GMW!$NE$2:$NE$150=D$3)*(GMW!$ND$2:$ND$150=D$4)*(GMW!$NF$2:$NF$150=D$1),0),$C315-1966)</f>
        <v>939159.5</v>
      </c>
      <c r="E315" s="4" cm="1">
        <f t="array" ref="E315">INDEX(GMW!$A$2:$NF$150,MATCH(1,(GMW!$NE$2:$NE$150=E$3)*(GMW!$ND$2:$ND$150=E$4)*(GMW!$NF$2:$NF$150=E$1),0),$C315-1966)</f>
        <v>226.71029999999999</v>
      </c>
      <c r="F315" s="4" cm="1">
        <f t="array" ref="F315">INDEX(GMW!$A$2:$NF$150,MATCH(1,(GMW!$NE$2:$NE$150=F$3)*(GMW!$ND$2:$ND$150=F$4)*(GMW!$NF$2:$NF$150=F$1),0),$C315-1966)</f>
        <v>287865.7</v>
      </c>
      <c r="G315" s="4" cm="1">
        <f t="array" ref="G315">INDEX(GMW!$A$2:$NF$150,MATCH(1,(GMW!$NE$2:$NE$150=G$3)*(GMW!$ND$2:$ND$150=G$4)*(GMW!$NF$2:$NF$150=G$1),0),$C315-1966)</f>
        <v>94546.84</v>
      </c>
      <c r="H315" s="4" cm="1">
        <f t="array" ref="H315">INDEX(GMW!$A$2:$NF$150,MATCH(1,(GMW!$NE$2:$NE$150=H$3)*(GMW!$ND$2:$ND$150=H$4)*(GMW!$NF$2:$NF$150=H$1),0),$C315-1966)</f>
        <v>322285.3</v>
      </c>
      <c r="I315" s="4" cm="1">
        <f t="array" ref="I315">INDEX(GMW!$A$2:$NF$150,MATCH(1,(GMW!$NE$2:$NE$150=I$3)*(GMW!$ND$2:$ND$150=I$4)*(GMW!$NF$2:$NF$150=I$1),0),$C315-1966)</f>
        <v>171805.2</v>
      </c>
      <c r="J315" s="4" cm="1">
        <f t="array" ref="J315">INDEX(GMW!$A$2:$NF$150,MATCH(1,(GMW!$NE$2:$NE$150=J$3)*(GMW!$ND$2:$ND$150=J$4)*(GMW!$NF$2:$NF$150=J$1),0),$C315-1966)</f>
        <v>185747</v>
      </c>
      <c r="K315" s="4" cm="1">
        <f t="array" ref="K315">INDEX(GMW!$A$2:$NF$150,MATCH(1,(GMW!$NE$2:$NE$150=K$3)*(GMW!$ND$2:$ND$150=K$4)*(GMW!$NF$2:$NF$150=K$1),0),$C315-1966)</f>
        <v>106833.60000000001</v>
      </c>
      <c r="L315" s="4" cm="1">
        <f t="array" ref="L315">INDEX(GMW!$A$2:$NF$150,MATCH(1,(GMW!$NE$2:$NE$150=L$3)*(GMW!$ND$2:$ND$150=L$4)*(GMW!$NF$2:$NF$150=L$1),0),$C315-1966)</f>
        <v>939158.8</v>
      </c>
      <c r="M315" s="4" cm="1">
        <f t="array" ref="M315">INDEX(GMW!$A$2:$NF$150,MATCH(1,(GMW!$NE$2:$NE$150=M$3)*(GMW!$ND$2:$ND$150=M$4)*(GMW!$NF$2:$NF$150=M$1),0),$C315-1966)</f>
        <v>39159.15</v>
      </c>
      <c r="N315" s="4" cm="1">
        <f t="array" ref="N315">INDEX(GMW!$A$2:$NF$150,MATCH(1,(GMW!$NE$2:$NE$150=N$3)*(GMW!$ND$2:$ND$150=N$4)*(GMW!$NF$2:$NF$150=N$1),0),$C315-1966)</f>
        <v>31.948920000000001</v>
      </c>
      <c r="O315" s="4" cm="1">
        <f t="array" ref="O315">INDEX(GMW!$A$2:$NF$150,MATCH(1,(GMW!$NE$2:$NE$150=O$3)*(GMW!$ND$2:$ND$150=O$4)*(GMW!$NF$2:$NF$150=O$1),0),$C315-1966)</f>
        <v>711221</v>
      </c>
      <c r="P315" s="4" cm="1">
        <f t="array" ref="P315">INDEX(GMW!$A$2:$NF$150,MATCH(1,(GMW!$NE$2:$NE$150=P$3)*(GMW!$ND$2:$ND$150=P$4)*(GMW!$NF$2:$NF$150=P$1),0),$C315-1966)</f>
        <v>46716.08</v>
      </c>
      <c r="Q315" s="4" cm="1">
        <f t="array" ref="Q315">INDEX(GMW!$A$2:$NF$150,MATCH(1,(GMW!$NE$2:$NE$150=Q$3)*(GMW!$ND$2:$ND$150=Q$4)*(GMW!$NF$2:$NF$150=Q$1),0),$C315-1966)</f>
        <v>5161578</v>
      </c>
      <c r="R315" s="4" cm="1">
        <f t="array" ref="R315">INDEX(GMW!$A$2:$NF$150,MATCH(1,(GMW!$NE$2:$NE$150=R$3)*(GMW!$ND$2:$ND$150=R$4)*(GMW!$NF$2:$NF$150=R$1),0),$C315-1966)</f>
        <v>-1.5979680000000001</v>
      </c>
      <c r="S315" s="4" cm="1">
        <f t="array" ref="S315">INDEX(GMW!$A$2:$NF$150,MATCH(1,(GMW!$NE$2:$NE$150=S$3)*(GMW!$ND$2:$ND$150=S$4)*(GMW!$NF$2:$NF$150=S$1),0),$C315-1966)</f>
        <v>947284.8</v>
      </c>
      <c r="T315" s="4" cm="1">
        <f t="array" ref="T315">INDEX(GMW!$A$2:$NF$150,MATCH(1,(GMW!$NE$2:$NE$150=T$3)*(GMW!$ND$2:$ND$150=T$4)*(GMW!$NF$2:$NF$150=T$1),0),$C315-1966)</f>
        <v>226.4709</v>
      </c>
      <c r="U315" s="4" cm="1">
        <f t="array" ref="U315">INDEX(GMW!$A$2:$NF$150,MATCH(1,(GMW!$NE$2:$NE$150=U$3)*(GMW!$ND$2:$ND$150=U$4)*(GMW!$NF$2:$NF$150=U$1),0),$C315-1966)</f>
        <v>275472.09999999998</v>
      </c>
      <c r="V315" s="4" cm="1">
        <f t="array" ref="V315">INDEX(GMW!$A$2:$NF$150,MATCH(1,(GMW!$NE$2:$NE$150=V$3)*(GMW!$ND$2:$ND$150=V$4)*(GMW!$NF$2:$NF$150=V$1),0),$C315-1966)</f>
        <v>99638.22</v>
      </c>
      <c r="W315" s="4" cm="1">
        <f t="array" ref="W315">INDEX(GMW!$A$2:$NF$150,MATCH(1,(GMW!$NE$2:$NE$150=W$3)*(GMW!$ND$2:$ND$150=W$4)*(GMW!$NF$2:$NF$150=W$1),0),$C315-1966)</f>
        <v>312039.2</v>
      </c>
      <c r="X315" s="4" cm="1">
        <f t="array" ref="X315">INDEX(GMW!$A$2:$NF$150,MATCH(1,(GMW!$NE$2:$NE$150=X$3)*(GMW!$ND$2:$ND$150=X$4)*(GMW!$NF$2:$NF$150=X$1),0),$C315-1966)</f>
        <v>165221.79999999999</v>
      </c>
      <c r="Y315" s="4" cm="1">
        <f t="array" ref="Y315">INDEX(GMW!$A$2:$NF$150,MATCH(1,(GMW!$NE$2:$NE$150=Y$3)*(GMW!$ND$2:$ND$150=Y$4)*(GMW!$NF$2:$NF$150=Y$1),0),$C315-1966)</f>
        <v>188729</v>
      </c>
      <c r="Z315" s="4" cm="1">
        <f t="array" ref="Z315">INDEX(GMW!$A$2:$NF$150,MATCH(1,(GMW!$NE$2:$NE$150=Z$3)*(GMW!$ND$2:$ND$150=Z$4)*(GMW!$NF$2:$NF$150=Z$1),0),$C315-1966)</f>
        <v>110254.6</v>
      </c>
      <c r="AA315" s="4" cm="1">
        <f t="array" ref="AA315">INDEX(GMW!$A$2:$NF$150,MATCH(1,(GMW!$NE$2:$NE$150=AA$3)*(GMW!$ND$2:$ND$150=AA$4)*(GMW!$NF$2:$NF$150=AA$1),0),$C315-1966)</f>
        <v>947285.1</v>
      </c>
      <c r="AB315" s="4" cm="1">
        <f t="array" ref="AB315">INDEX(GMW!$A$2:$NF$150,MATCH(1,(GMW!$NE$2:$NE$150=AB$3)*(GMW!$ND$2:$ND$150=AB$4)*(GMW!$NF$2:$NF$150=AB$1),0),$C315-1966)</f>
        <v>39159.15</v>
      </c>
      <c r="AC315" s="4" cm="1">
        <f t="array" ref="AC315">INDEX(GMW!$A$2:$NF$150,MATCH(1,(GMW!$NE$2:$NE$150=AC$3)*(GMW!$ND$2:$ND$150=AC$4)*(GMW!$NF$2:$NF$150=AC$1),0),$C315-1966)</f>
        <v>31.948920000000001</v>
      </c>
      <c r="AD315" s="4" cm="1">
        <f t="array" ref="AD315">INDEX(GMW!$A$2:$NF$150,MATCH(1,(GMW!$NE$2:$NE$150=AD$3)*(GMW!$ND$2:$ND$150=AD$4)*(GMW!$NF$2:$NF$150=AD$1),0),$C315-1966)</f>
        <v>711221</v>
      </c>
      <c r="AE315" s="4" cm="1">
        <f t="array" ref="AE315">INDEX(GMW!$A$2:$NF$150,MATCH(1,(GMW!$NE$2:$NE$150=AE$3)*(GMW!$ND$2:$ND$150=AE$4)*(GMW!$NF$2:$NF$150=AE$1),0),$C315-1966)</f>
        <v>46716.08</v>
      </c>
      <c r="AF315" s="4" cm="1">
        <f t="array" ref="AF315">INDEX(GMW!$A$2:$NF$150,MATCH(1,(GMW!$NE$2:$NE$150=AF$3)*(GMW!$ND$2:$ND$150=AF$4)*(GMW!$NF$2:$NF$150=AF$1),0),$C315-1966)</f>
        <v>5259732</v>
      </c>
      <c r="AG315" s="4" cm="1">
        <f t="array" ref="AG315">INDEX(GMW!$A$2:$NF$150,MATCH(1,(GMW!$NE$2:$NE$150=AG$3)*(GMW!$ND$2:$ND$150=AG$4)*(GMW!$NF$2:$NF$150=AG$1),0),$C315-1966)</f>
        <v>-1.59596</v>
      </c>
      <c r="AH315" s="4" cm="1">
        <f t="array" ref="AH315">INDEX(GMW!$A$2:$NF$150,MATCH(1,(GMW!$NE$2:$NE$150=AH$3)*(GMW!$ND$2:$ND$150=AH$4)*(GMW!$NF$2:$NF$150=AH$1),0),$C315-1966)</f>
        <v>948923.3</v>
      </c>
      <c r="AI315" s="4" cm="1">
        <f t="array" ref="AI315">INDEX(GMW!$A$2:$NF$150,MATCH(1,(GMW!$NE$2:$NE$150=AI$3)*(GMW!$ND$2:$ND$150=AI$4)*(GMW!$NF$2:$NF$150=AI$1),0),$C315-1966)</f>
        <v>225.08179999999999</v>
      </c>
      <c r="AJ315" s="4" cm="1">
        <f t="array" ref="AJ315">INDEX(GMW!$A$2:$NF$150,MATCH(1,(GMW!$NE$2:$NE$150=AJ$3)*(GMW!$ND$2:$ND$150=AJ$4)*(GMW!$NF$2:$NF$150=AJ$1),0),$C315-1966)</f>
        <v>281381.40000000002</v>
      </c>
      <c r="AK315" s="4" cm="1">
        <f t="array" ref="AK315">INDEX(GMW!$A$2:$NF$150,MATCH(1,(GMW!$NE$2:$NE$150=AK$3)*(GMW!$ND$2:$ND$150=AK$4)*(GMW!$NF$2:$NF$150=AK$1),0),$C315-1966)</f>
        <v>102823.1</v>
      </c>
      <c r="AL315" s="4" cm="1">
        <f t="array" ref="AL315">INDEX(GMW!$A$2:$NF$150,MATCH(1,(GMW!$NE$2:$NE$150=AL$3)*(GMW!$ND$2:$ND$150=AL$4)*(GMW!$NF$2:$NF$150=AL$1),0),$C315-1966)</f>
        <v>317021.2</v>
      </c>
      <c r="AM315" s="4" cm="1">
        <f t="array" ref="AM315">INDEX(GMW!$A$2:$NF$150,MATCH(1,(GMW!$NE$2:$NE$150=AM$3)*(GMW!$ND$2:$ND$150=AM$4)*(GMW!$NF$2:$NF$150=AM$1),0),$C315-1966)</f>
        <v>169243.5</v>
      </c>
      <c r="AN315" s="4" cm="1">
        <f t="array" ref="AN315">INDEX(GMW!$A$2:$NF$150,MATCH(1,(GMW!$NE$2:$NE$150=AN$3)*(GMW!$ND$2:$ND$150=AN$4)*(GMW!$NF$2:$NF$150=AN$1),0),$C315-1966)</f>
        <v>188998.5</v>
      </c>
      <c r="AO315" s="4" cm="1">
        <f t="array" ref="AO315">INDEX(GMW!$A$2:$NF$150,MATCH(1,(GMW!$NE$2:$NE$150=AO$3)*(GMW!$ND$2:$ND$150=AO$4)*(GMW!$NF$2:$NF$150=AO$1),0),$C315-1966)</f>
        <v>111849.60000000001</v>
      </c>
      <c r="AP315" s="4" cm="1">
        <f t="array" ref="AP315">INDEX(GMW!$A$2:$NF$150,MATCH(1,(GMW!$NE$2:$NE$150=AP$3)*(GMW!$ND$2:$ND$150=AP$4)*(GMW!$NF$2:$NF$150=AP$1),0),$C315-1966)</f>
        <v>948922.6</v>
      </c>
      <c r="AQ315" s="4" cm="1">
        <f t="array" ref="AQ315">INDEX(GMW!$A$2:$NF$150,MATCH(1,(GMW!$NE$2:$NE$150=AQ$3)*(GMW!$ND$2:$ND$150=AQ$4)*(GMW!$NF$2:$NF$150=AQ$1),0),$C315-1966)</f>
        <v>39147.410000000003</v>
      </c>
      <c r="AR315" s="4" cm="1">
        <f t="array" ref="AR315">INDEX(GMW!$A$2:$NF$150,MATCH(1,(GMW!$NE$2:$NE$150=AR$3)*(GMW!$ND$2:$ND$150=AR$4)*(GMW!$NF$2:$NF$150=AR$1),0),$C315-1966)</f>
        <v>31.948920000000001</v>
      </c>
      <c r="AS315" s="4" cm="1">
        <f t="array" ref="AS315">INDEX(GMW!$A$2:$NF$150,MATCH(1,(GMW!$NE$2:$NE$150=AS$3)*(GMW!$ND$2:$ND$150=AS$4)*(GMW!$NF$2:$NF$150=AS$1),0),$C315-1966)</f>
        <v>712112.5</v>
      </c>
      <c r="AT315" s="4" cm="1">
        <f t="array" ref="AT315">INDEX(GMW!$A$2:$NF$150,MATCH(1,(GMW!$NE$2:$NE$150=AT$3)*(GMW!$ND$2:$ND$150=AT$4)*(GMW!$NF$2:$NF$150=AT$1),0),$C315-1966)</f>
        <v>46757.94</v>
      </c>
      <c r="AU315" s="4" cm="1">
        <f t="array" ref="AU315">INDEX(GMW!$A$2:$NF$150,MATCH(1,(GMW!$NE$2:$NE$150=AU$3)*(GMW!$ND$2:$ND$150=AU$4)*(GMW!$NF$2:$NF$150=AU$1),0),$C315-1966)</f>
        <v>5263372</v>
      </c>
      <c r="AV315" s="4" cm="1">
        <f t="array" ref="AV315">INDEX(GMW!$A$2:$NF$150,MATCH(1,(GMW!$NE$2:$NE$150=AV$3)*(GMW!$ND$2:$ND$150=AV$4)*(GMW!$NF$2:$NF$150=AV$1),0),$C315-1966)</f>
        <v>-1.594365</v>
      </c>
    </row>
    <row r="316" spans="1:48" x14ac:dyDescent="0.25">
      <c r="B316" s="4">
        <f t="shared" si="12"/>
        <v>2050</v>
      </c>
      <c r="C316" s="4">
        <f t="shared" si="13"/>
        <v>2282</v>
      </c>
      <c r="D316" s="4" cm="1">
        <f t="array" ref="D316">INDEX(GMW!$A$2:$NF$150,MATCH(1,(GMW!$NE$2:$NE$150=D$3)*(GMW!$ND$2:$ND$150=D$4)*(GMW!$NF$2:$NF$150=D$1),0),$C316-1966)</f>
        <v>942357.4</v>
      </c>
      <c r="E316" s="4" cm="1">
        <f t="array" ref="E316">INDEX(GMW!$A$2:$NF$150,MATCH(1,(GMW!$NE$2:$NE$150=E$3)*(GMW!$ND$2:$ND$150=E$4)*(GMW!$NF$2:$NF$150=E$1),0),$C316-1966)</f>
        <v>228.7201</v>
      </c>
      <c r="F316" s="4" cm="1">
        <f t="array" ref="F316">INDEX(GMW!$A$2:$NF$150,MATCH(1,(GMW!$NE$2:$NE$150=F$3)*(GMW!$ND$2:$ND$150=F$4)*(GMW!$NF$2:$NF$150=F$1),0),$C316-1966)</f>
        <v>288779.7</v>
      </c>
      <c r="G316" s="4" cm="1">
        <f t="array" ref="G316">INDEX(GMW!$A$2:$NF$150,MATCH(1,(GMW!$NE$2:$NE$150=G$3)*(GMW!$ND$2:$ND$150=G$4)*(GMW!$NF$2:$NF$150=G$1),0),$C316-1966)</f>
        <v>94793.13</v>
      </c>
      <c r="H316" s="4" cm="1">
        <f t="array" ref="H316">INDEX(GMW!$A$2:$NF$150,MATCH(1,(GMW!$NE$2:$NE$150=H$3)*(GMW!$ND$2:$ND$150=H$4)*(GMW!$NF$2:$NF$150=H$1),0),$C316-1966)</f>
        <v>323417.59999999998</v>
      </c>
      <c r="I316" s="4" cm="1">
        <f t="array" ref="I316">INDEX(GMW!$A$2:$NF$150,MATCH(1,(GMW!$NE$2:$NE$150=I$3)*(GMW!$ND$2:$ND$150=I$4)*(GMW!$NF$2:$NF$150=I$1),0),$C316-1966)</f>
        <v>172373.1</v>
      </c>
      <c r="J316" s="4" cm="1">
        <f t="array" ref="J316">INDEX(GMW!$A$2:$NF$150,MATCH(1,(GMW!$NE$2:$NE$150=J$3)*(GMW!$ND$2:$ND$150=J$4)*(GMW!$NF$2:$NF$150=J$1),0),$C316-1966)</f>
        <v>186560.2</v>
      </c>
      <c r="K316" s="4" cm="1">
        <f t="array" ref="K316">INDEX(GMW!$A$2:$NF$150,MATCH(1,(GMW!$NE$2:$NE$150=K$3)*(GMW!$ND$2:$ND$150=K$4)*(GMW!$NF$2:$NF$150=K$1),0),$C316-1966)</f>
        <v>107336.2</v>
      </c>
      <c r="L316" s="4" cm="1">
        <f t="array" ref="L316">INDEX(GMW!$A$2:$NF$150,MATCH(1,(GMW!$NE$2:$NE$150=L$3)*(GMW!$ND$2:$ND$150=L$4)*(GMW!$NF$2:$NF$150=L$1),0),$C316-1966)</f>
        <v>942357.3</v>
      </c>
      <c r="M316" s="4" cm="1">
        <f t="array" ref="M316">INDEX(GMW!$A$2:$NF$150,MATCH(1,(GMW!$NE$2:$NE$150=M$3)*(GMW!$ND$2:$ND$150=M$4)*(GMW!$NF$2:$NF$150=M$1),0),$C316-1966)</f>
        <v>39173.96</v>
      </c>
      <c r="N316" s="4" cm="1">
        <f t="array" ref="N316">INDEX(GMW!$A$2:$NF$150,MATCH(1,(GMW!$NE$2:$NE$150=N$3)*(GMW!$ND$2:$ND$150=N$4)*(GMW!$NF$2:$NF$150=N$1),0),$C316-1966)</f>
        <v>31.948170000000001</v>
      </c>
      <c r="O316" s="4" cm="1">
        <f t="array" ref="O316">INDEX(GMW!$A$2:$NF$150,MATCH(1,(GMW!$NE$2:$NE$150=O$3)*(GMW!$ND$2:$ND$150=O$4)*(GMW!$NF$2:$NF$150=O$1),0),$C316-1966)</f>
        <v>711582.6</v>
      </c>
      <c r="P316" s="4" cm="1">
        <f t="array" ref="P316">INDEX(GMW!$A$2:$NF$150,MATCH(1,(GMW!$NE$2:$NE$150=P$3)*(GMW!$ND$2:$ND$150=P$4)*(GMW!$NF$2:$NF$150=P$1),0),$C316-1966)</f>
        <v>46712.800000000003</v>
      </c>
      <c r="Q316" s="4" cm="1">
        <f t="array" ref="Q316">INDEX(GMW!$A$2:$NF$150,MATCH(1,(GMW!$NE$2:$NE$150=Q$3)*(GMW!$ND$2:$ND$150=Q$4)*(GMW!$NF$2:$NF$150=Q$1),0),$C316-1966)</f>
        <v>5186908</v>
      </c>
      <c r="R316" s="4" cm="1">
        <f t="array" ref="R316">INDEX(GMW!$A$2:$NF$150,MATCH(1,(GMW!$NE$2:$NE$150=R$3)*(GMW!$ND$2:$ND$150=R$4)*(GMW!$NF$2:$NF$150=R$1),0),$C316-1966)</f>
        <v>-1.596689</v>
      </c>
      <c r="S316" s="4" cm="1">
        <f t="array" ref="S316">INDEX(GMW!$A$2:$NF$150,MATCH(1,(GMW!$NE$2:$NE$150=S$3)*(GMW!$ND$2:$ND$150=S$4)*(GMW!$NF$2:$NF$150=S$1),0),$C316-1966)</f>
        <v>950496</v>
      </c>
      <c r="T316" s="4" cm="1">
        <f t="array" ref="T316">INDEX(GMW!$A$2:$NF$150,MATCH(1,(GMW!$NE$2:$NE$150=T$3)*(GMW!$ND$2:$ND$150=T$4)*(GMW!$NF$2:$NF$150=T$1),0),$C316-1966)</f>
        <v>228.5256</v>
      </c>
      <c r="U316" s="4" cm="1">
        <f t="array" ref="U316">INDEX(GMW!$A$2:$NF$150,MATCH(1,(GMW!$NE$2:$NE$150=U$3)*(GMW!$ND$2:$ND$150=U$4)*(GMW!$NF$2:$NF$150=U$1),0),$C316-1966)</f>
        <v>276328.3</v>
      </c>
      <c r="V316" s="4" cm="1">
        <f t="array" ref="V316">INDEX(GMW!$A$2:$NF$150,MATCH(1,(GMW!$NE$2:$NE$150=V$3)*(GMW!$ND$2:$ND$150=V$4)*(GMW!$NF$2:$NF$150=V$1),0),$C316-1966)</f>
        <v>99896.27</v>
      </c>
      <c r="W316" s="4" cm="1">
        <f t="array" ref="W316">INDEX(GMW!$A$2:$NF$150,MATCH(1,(GMW!$NE$2:$NE$150=W$3)*(GMW!$ND$2:$ND$150=W$4)*(GMW!$NF$2:$NF$150=W$1),0),$C316-1966)</f>
        <v>313123.7</v>
      </c>
      <c r="X316" s="4" cm="1">
        <f t="array" ref="X316">INDEX(GMW!$A$2:$NF$150,MATCH(1,(GMW!$NE$2:$NE$150=X$3)*(GMW!$ND$2:$ND$150=X$4)*(GMW!$NF$2:$NF$150=X$1),0),$C316-1966)</f>
        <v>165765.4</v>
      </c>
      <c r="Y316" s="4" cm="1">
        <f t="array" ref="Y316">INDEX(GMW!$A$2:$NF$150,MATCH(1,(GMW!$NE$2:$NE$150=Y$3)*(GMW!$ND$2:$ND$150=Y$4)*(GMW!$NF$2:$NF$150=Y$1),0),$C316-1966)</f>
        <v>189547.8</v>
      </c>
      <c r="Z316" s="4" cm="1">
        <f t="array" ref="Z316">INDEX(GMW!$A$2:$NF$150,MATCH(1,(GMW!$NE$2:$NE$150=Z$3)*(GMW!$ND$2:$ND$150=Z$4)*(GMW!$NF$2:$NF$150=Z$1),0),$C316-1966)</f>
        <v>110766.2</v>
      </c>
      <c r="AA316" s="4" cm="1">
        <f t="array" ref="AA316">INDEX(GMW!$A$2:$NF$150,MATCH(1,(GMW!$NE$2:$NE$150=AA$3)*(GMW!$ND$2:$ND$150=AA$4)*(GMW!$NF$2:$NF$150=AA$1),0),$C316-1966)</f>
        <v>950496.8</v>
      </c>
      <c r="AB316" s="4" cm="1">
        <f t="array" ref="AB316">INDEX(GMW!$A$2:$NF$150,MATCH(1,(GMW!$NE$2:$NE$150=AB$3)*(GMW!$ND$2:$ND$150=AB$4)*(GMW!$NF$2:$NF$150=AB$1),0),$C316-1966)</f>
        <v>39173.96</v>
      </c>
      <c r="AC316" s="4" cm="1">
        <f t="array" ref="AC316">INDEX(GMW!$A$2:$NF$150,MATCH(1,(GMW!$NE$2:$NE$150=AC$3)*(GMW!$ND$2:$ND$150=AC$4)*(GMW!$NF$2:$NF$150=AC$1),0),$C316-1966)</f>
        <v>31.948170000000001</v>
      </c>
      <c r="AD316" s="4" cm="1">
        <f t="array" ref="AD316">INDEX(GMW!$A$2:$NF$150,MATCH(1,(GMW!$NE$2:$NE$150=AD$3)*(GMW!$ND$2:$ND$150=AD$4)*(GMW!$NF$2:$NF$150=AD$1),0),$C316-1966)</f>
        <v>711582.6</v>
      </c>
      <c r="AE316" s="4" cm="1">
        <f t="array" ref="AE316">INDEX(GMW!$A$2:$NF$150,MATCH(1,(GMW!$NE$2:$NE$150=AE$3)*(GMW!$ND$2:$ND$150=AE$4)*(GMW!$NF$2:$NF$150=AE$1),0),$C316-1966)</f>
        <v>46712.800000000003</v>
      </c>
      <c r="AF316" s="4" cm="1">
        <f t="array" ref="AF316">INDEX(GMW!$A$2:$NF$150,MATCH(1,(GMW!$NE$2:$NE$150=AF$3)*(GMW!$ND$2:$ND$150=AF$4)*(GMW!$NF$2:$NF$150=AF$1),0),$C316-1966)</f>
        <v>5285329</v>
      </c>
      <c r="AG316" s="4" cm="1">
        <f t="array" ref="AG316">INDEX(GMW!$A$2:$NF$150,MATCH(1,(GMW!$NE$2:$NE$150=AG$3)*(GMW!$ND$2:$ND$150=AG$4)*(GMW!$NF$2:$NF$150=AG$1),0),$C316-1966)</f>
        <v>-1.5946830000000001</v>
      </c>
      <c r="AH316" s="4" cm="1">
        <f t="array" ref="AH316">INDEX(GMW!$A$2:$NF$150,MATCH(1,(GMW!$NE$2:$NE$150=AH$3)*(GMW!$ND$2:$ND$150=AH$4)*(GMW!$NF$2:$NF$150=AH$1),0),$C316-1966)</f>
        <v>952475.1</v>
      </c>
      <c r="AI316" s="4" cm="1">
        <f t="array" ref="AI316">INDEX(GMW!$A$2:$NF$150,MATCH(1,(GMW!$NE$2:$NE$150=AI$3)*(GMW!$ND$2:$ND$150=AI$4)*(GMW!$NF$2:$NF$150=AI$1),0),$C316-1966)</f>
        <v>227.0181</v>
      </c>
      <c r="AJ316" s="4" cm="1">
        <f t="array" ref="AJ316">INDEX(GMW!$A$2:$NF$150,MATCH(1,(GMW!$NE$2:$NE$150=AJ$3)*(GMW!$ND$2:$ND$150=AJ$4)*(GMW!$NF$2:$NF$150=AJ$1),0),$C316-1966)</f>
        <v>282343.8</v>
      </c>
      <c r="AK316" s="4" cm="1">
        <f t="array" ref="AK316">INDEX(GMW!$A$2:$NF$150,MATCH(1,(GMW!$NE$2:$NE$150=AK$3)*(GMW!$ND$2:$ND$150=AK$4)*(GMW!$NF$2:$NF$150=AK$1),0),$C316-1966)</f>
        <v>103125.7</v>
      </c>
      <c r="AL316" s="4" cm="1">
        <f t="array" ref="AL316">INDEX(GMW!$A$2:$NF$150,MATCH(1,(GMW!$NE$2:$NE$150=AL$3)*(GMW!$ND$2:$ND$150=AL$4)*(GMW!$NF$2:$NF$150=AL$1),0),$C316-1966)</f>
        <v>318217.8</v>
      </c>
      <c r="AM316" s="4" cm="1">
        <f t="array" ref="AM316">INDEX(GMW!$A$2:$NF$150,MATCH(1,(GMW!$NE$2:$NE$150=AM$3)*(GMW!$ND$2:$ND$150=AM$4)*(GMW!$NF$2:$NF$150=AM$1),0),$C316-1966)</f>
        <v>169860</v>
      </c>
      <c r="AN316" s="4" cm="1">
        <f t="array" ref="AN316">INDEX(GMW!$A$2:$NF$150,MATCH(1,(GMW!$NE$2:$NE$150=AN$3)*(GMW!$ND$2:$ND$150=AN$4)*(GMW!$NF$2:$NF$150=AN$1),0),$C316-1966)</f>
        <v>189885.8</v>
      </c>
      <c r="AO316" s="4" cm="1">
        <f t="array" ref="AO316">INDEX(GMW!$A$2:$NF$150,MATCH(1,(GMW!$NE$2:$NE$150=AO$3)*(GMW!$ND$2:$ND$150=AO$4)*(GMW!$NF$2:$NF$150=AO$1),0),$C316-1966)</f>
        <v>112408.1</v>
      </c>
      <c r="AP316" s="4" cm="1">
        <f t="array" ref="AP316">INDEX(GMW!$A$2:$NF$150,MATCH(1,(GMW!$NE$2:$NE$150=AP$3)*(GMW!$ND$2:$ND$150=AP$4)*(GMW!$NF$2:$NF$150=AP$1),0),$C316-1966)</f>
        <v>952474.9</v>
      </c>
      <c r="AQ316" s="4" cm="1">
        <f t="array" ref="AQ316">INDEX(GMW!$A$2:$NF$150,MATCH(1,(GMW!$NE$2:$NE$150=AQ$3)*(GMW!$ND$2:$ND$150=AQ$4)*(GMW!$NF$2:$NF$150=AQ$1),0),$C316-1966)</f>
        <v>39182.21</v>
      </c>
      <c r="AR316" s="4" cm="1">
        <f t="array" ref="AR316">INDEX(GMW!$A$2:$NF$150,MATCH(1,(GMW!$NE$2:$NE$150=AR$3)*(GMW!$ND$2:$ND$150=AR$4)*(GMW!$NF$2:$NF$150=AR$1),0),$C316-1966)</f>
        <v>31.948170000000001</v>
      </c>
      <c r="AS316" s="4" cm="1">
        <f t="array" ref="AS316">INDEX(GMW!$A$2:$NF$150,MATCH(1,(GMW!$NE$2:$NE$150=AS$3)*(GMW!$ND$2:$ND$150=AS$4)*(GMW!$NF$2:$NF$150=AS$1),0),$C316-1966)</f>
        <v>712582.2</v>
      </c>
      <c r="AT316" s="4" cm="1">
        <f t="array" ref="AT316">INDEX(GMW!$A$2:$NF$150,MATCH(1,(GMW!$NE$2:$NE$150=AT$3)*(GMW!$ND$2:$ND$150=AT$4)*(GMW!$NF$2:$NF$150=AT$1),0),$C316-1966)</f>
        <v>46761.75</v>
      </c>
      <c r="AU316" s="4" cm="1">
        <f t="array" ref="AU316">INDEX(GMW!$A$2:$NF$150,MATCH(1,(GMW!$NE$2:$NE$150=AU$3)*(GMW!$ND$2:$ND$150=AU$4)*(GMW!$NF$2:$NF$150=AU$1),0),$C316-1966)</f>
        <v>5289355</v>
      </c>
      <c r="AV316" s="4" cm="1">
        <f t="array" ref="AV316">INDEX(GMW!$A$2:$NF$150,MATCH(1,(GMW!$NE$2:$NE$150=AV$3)*(GMW!$ND$2:$ND$150=AV$4)*(GMW!$NF$2:$NF$150=AV$1),0),$C316-1966)</f>
        <v>-1.593089</v>
      </c>
    </row>
    <row r="317" spans="1:48" x14ac:dyDescent="0.25">
      <c r="B317" s="4">
        <f t="shared" si="12"/>
        <v>2050</v>
      </c>
      <c r="C317" s="4">
        <f t="shared" si="13"/>
        <v>2283</v>
      </c>
      <c r="D317" s="4" cm="1">
        <f t="array" ref="D317">INDEX(GMW!$A$2:$NF$150,MATCH(1,(GMW!$NE$2:$NE$150=D$3)*(GMW!$ND$2:$ND$150=D$4)*(GMW!$NF$2:$NF$150=D$1),0),$C317-1966)</f>
        <v>945537</v>
      </c>
      <c r="E317" s="4" cm="1">
        <f t="array" ref="E317">INDEX(GMW!$A$2:$NF$150,MATCH(1,(GMW!$NE$2:$NE$150=E$3)*(GMW!$ND$2:$ND$150=E$4)*(GMW!$NF$2:$NF$150=E$1),0),$C317-1966)</f>
        <v>229.76060000000001</v>
      </c>
      <c r="F317" s="4" cm="1">
        <f t="array" ref="F317">INDEX(GMW!$A$2:$NF$150,MATCH(1,(GMW!$NE$2:$NE$150=F$3)*(GMW!$ND$2:$ND$150=F$4)*(GMW!$NF$2:$NF$150=F$1),0),$C317-1966)</f>
        <v>289688.2</v>
      </c>
      <c r="G317" s="4" cm="1">
        <f t="array" ref="G317">INDEX(GMW!$A$2:$NF$150,MATCH(1,(GMW!$NE$2:$NE$150=G$3)*(GMW!$ND$2:$ND$150=G$4)*(GMW!$NF$2:$NF$150=G$1),0),$C317-1966)</f>
        <v>95037.14</v>
      </c>
      <c r="H317" s="4" cm="1">
        <f t="array" ref="H317">INDEX(GMW!$A$2:$NF$150,MATCH(1,(GMW!$NE$2:$NE$150=H$3)*(GMW!$ND$2:$ND$150=H$4)*(GMW!$NF$2:$NF$150=H$1),0),$C317-1966)</f>
        <v>324545</v>
      </c>
      <c r="I317" s="4" cm="1">
        <f t="array" ref="I317">INDEX(GMW!$A$2:$NF$150,MATCH(1,(GMW!$NE$2:$NE$150=I$3)*(GMW!$ND$2:$ND$150=I$4)*(GMW!$NF$2:$NF$150=I$1),0),$C317-1966)</f>
        <v>172937.4</v>
      </c>
      <c r="J317" s="4" cm="1">
        <f t="array" ref="J317">INDEX(GMW!$A$2:$NF$150,MATCH(1,(GMW!$NE$2:$NE$150=J$3)*(GMW!$ND$2:$ND$150=J$4)*(GMW!$NF$2:$NF$150=J$1),0),$C317-1966)</f>
        <v>187371.4</v>
      </c>
      <c r="K317" s="4" cm="1">
        <f t="array" ref="K317">INDEX(GMW!$A$2:$NF$150,MATCH(1,(GMW!$NE$2:$NE$150=K$3)*(GMW!$ND$2:$ND$150=K$4)*(GMW!$NF$2:$NF$150=K$1),0),$C317-1966)</f>
        <v>107837.9</v>
      </c>
      <c r="L317" s="4" cm="1">
        <f t="array" ref="L317">INDEX(GMW!$A$2:$NF$150,MATCH(1,(GMW!$NE$2:$NE$150=L$3)*(GMW!$ND$2:$ND$150=L$4)*(GMW!$NF$2:$NF$150=L$1),0),$C317-1966)</f>
        <v>945535.9</v>
      </c>
      <c r="M317" s="4" cm="1">
        <f t="array" ref="M317">INDEX(GMW!$A$2:$NF$150,MATCH(1,(GMW!$NE$2:$NE$150=M$3)*(GMW!$ND$2:$ND$150=M$4)*(GMW!$NF$2:$NF$150=M$1),0),$C317-1966)</f>
        <v>39187.25</v>
      </c>
      <c r="N317" s="4" cm="1">
        <f t="array" ref="N317">INDEX(GMW!$A$2:$NF$150,MATCH(1,(GMW!$NE$2:$NE$150=N$3)*(GMW!$ND$2:$ND$150=N$4)*(GMW!$NF$2:$NF$150=N$1),0),$C317-1966)</f>
        <v>31.947420000000001</v>
      </c>
      <c r="O317" s="4" cm="1">
        <f t="array" ref="O317">INDEX(GMW!$A$2:$NF$150,MATCH(1,(GMW!$NE$2:$NE$150=O$3)*(GMW!$ND$2:$ND$150=O$4)*(GMW!$NF$2:$NF$150=O$1),0),$C317-1966)</f>
        <v>711911.9</v>
      </c>
      <c r="P317" s="4" cm="1">
        <f t="array" ref="P317">INDEX(GMW!$A$2:$NF$150,MATCH(1,(GMW!$NE$2:$NE$150=P$3)*(GMW!$ND$2:$ND$150=P$4)*(GMW!$NF$2:$NF$150=P$1),0),$C317-1966)</f>
        <v>46707.55</v>
      </c>
      <c r="Q317" s="4" cm="1">
        <f t="array" ref="Q317">INDEX(GMW!$A$2:$NF$150,MATCH(1,(GMW!$NE$2:$NE$150=Q$3)*(GMW!$ND$2:$ND$150=Q$4)*(GMW!$NF$2:$NF$150=Q$1),0),$C317-1966)</f>
        <v>5212309</v>
      </c>
      <c r="R317" s="4" cm="1">
        <f t="array" ref="R317">INDEX(GMW!$A$2:$NF$150,MATCH(1,(GMW!$NE$2:$NE$150=R$3)*(GMW!$ND$2:$ND$150=R$4)*(GMW!$NF$2:$NF$150=R$1),0),$C317-1966)</f>
        <v>-1.5954120000000001</v>
      </c>
      <c r="S317" s="4" cm="1">
        <f t="array" ref="S317">INDEX(GMW!$A$2:$NF$150,MATCH(1,(GMW!$NE$2:$NE$150=S$3)*(GMW!$ND$2:$ND$150=S$4)*(GMW!$NF$2:$NF$150=S$1),0),$C317-1966)</f>
        <v>953687.9</v>
      </c>
      <c r="T317" s="4" cm="1">
        <f t="array" ref="T317">INDEX(GMW!$A$2:$NF$150,MATCH(1,(GMW!$NE$2:$NE$150=T$3)*(GMW!$ND$2:$ND$150=T$4)*(GMW!$NF$2:$NF$150=T$1),0),$C317-1966)</f>
        <v>229.62790000000001</v>
      </c>
      <c r="U317" s="4" cm="1">
        <f t="array" ref="U317">INDEX(GMW!$A$2:$NF$150,MATCH(1,(GMW!$NE$2:$NE$150=U$3)*(GMW!$ND$2:$ND$150=U$4)*(GMW!$NF$2:$NF$150=U$1),0),$C317-1966)</f>
        <v>277178.90000000002</v>
      </c>
      <c r="V317" s="4" cm="1">
        <f t="array" ref="V317">INDEX(GMW!$A$2:$NF$150,MATCH(1,(GMW!$NE$2:$NE$150=V$3)*(GMW!$ND$2:$ND$150=V$4)*(GMW!$NF$2:$NF$150=V$1),0),$C317-1966)</f>
        <v>100151.8</v>
      </c>
      <c r="W317" s="4" cm="1">
        <f t="array" ref="W317">INDEX(GMW!$A$2:$NF$150,MATCH(1,(GMW!$NE$2:$NE$150=W$3)*(GMW!$ND$2:$ND$150=W$4)*(GMW!$NF$2:$NF$150=W$1),0),$C317-1966)</f>
        <v>314203.3</v>
      </c>
      <c r="X317" s="4" cm="1">
        <f t="array" ref="X317">INDEX(GMW!$A$2:$NF$150,MATCH(1,(GMW!$NE$2:$NE$150=X$3)*(GMW!$ND$2:$ND$150=X$4)*(GMW!$NF$2:$NF$150=X$1),0),$C317-1966)</f>
        <v>166305.5</v>
      </c>
      <c r="Y317" s="4" cm="1">
        <f t="array" ref="Y317">INDEX(GMW!$A$2:$NF$150,MATCH(1,(GMW!$NE$2:$NE$150=Y$3)*(GMW!$ND$2:$ND$150=Y$4)*(GMW!$NF$2:$NF$150=Y$1),0),$C317-1966)</f>
        <v>190364.1</v>
      </c>
      <c r="Z317" s="4" cm="1">
        <f t="array" ref="Z317">INDEX(GMW!$A$2:$NF$150,MATCH(1,(GMW!$NE$2:$NE$150=Z$3)*(GMW!$ND$2:$ND$150=Z$4)*(GMW!$NF$2:$NF$150=Z$1),0),$C317-1966)</f>
        <v>111276.6</v>
      </c>
      <c r="AA317" s="4" cm="1">
        <f t="array" ref="AA317">INDEX(GMW!$A$2:$NF$150,MATCH(1,(GMW!$NE$2:$NE$150=AA$3)*(GMW!$ND$2:$ND$150=AA$4)*(GMW!$NF$2:$NF$150=AA$1),0),$C317-1966)</f>
        <v>953688.3</v>
      </c>
      <c r="AB317" s="4" cm="1">
        <f t="array" ref="AB317">INDEX(GMW!$A$2:$NF$150,MATCH(1,(GMW!$NE$2:$NE$150=AB$3)*(GMW!$ND$2:$ND$150=AB$4)*(GMW!$NF$2:$NF$150=AB$1),0),$C317-1966)</f>
        <v>39187.25</v>
      </c>
      <c r="AC317" s="4" cm="1">
        <f t="array" ref="AC317">INDEX(GMW!$A$2:$NF$150,MATCH(1,(GMW!$NE$2:$NE$150=AC$3)*(GMW!$ND$2:$ND$150=AC$4)*(GMW!$NF$2:$NF$150=AC$1),0),$C317-1966)</f>
        <v>31.947420000000001</v>
      </c>
      <c r="AD317" s="4" cm="1">
        <f t="array" ref="AD317">INDEX(GMW!$A$2:$NF$150,MATCH(1,(GMW!$NE$2:$NE$150=AD$3)*(GMW!$ND$2:$ND$150=AD$4)*(GMW!$NF$2:$NF$150=AD$1),0),$C317-1966)</f>
        <v>711911.9</v>
      </c>
      <c r="AE317" s="4" cm="1">
        <f t="array" ref="AE317">INDEX(GMW!$A$2:$NF$150,MATCH(1,(GMW!$NE$2:$NE$150=AE$3)*(GMW!$ND$2:$ND$150=AE$4)*(GMW!$NF$2:$NF$150=AE$1),0),$C317-1966)</f>
        <v>46707.55</v>
      </c>
      <c r="AF317" s="4" cm="1">
        <f t="array" ref="AF317">INDEX(GMW!$A$2:$NF$150,MATCH(1,(GMW!$NE$2:$NE$150=AF$3)*(GMW!$ND$2:$ND$150=AF$4)*(GMW!$NF$2:$NF$150=AF$1),0),$C317-1966)</f>
        <v>5310985</v>
      </c>
      <c r="AG317" s="4" cm="1">
        <f t="array" ref="AG317">INDEX(GMW!$A$2:$NF$150,MATCH(1,(GMW!$NE$2:$NE$150=AG$3)*(GMW!$ND$2:$ND$150=AG$4)*(GMW!$NF$2:$NF$150=AG$1),0),$C317-1966)</f>
        <v>-1.593407</v>
      </c>
      <c r="AH317" s="4" cm="1">
        <f t="array" ref="AH317">INDEX(GMW!$A$2:$NF$150,MATCH(1,(GMW!$NE$2:$NE$150=AH$3)*(GMW!$ND$2:$ND$150=AH$4)*(GMW!$NF$2:$NF$150=AH$1),0),$C317-1966)</f>
        <v>956036.4</v>
      </c>
      <c r="AI317" s="4" cm="1">
        <f t="array" ref="AI317">INDEX(GMW!$A$2:$NF$150,MATCH(1,(GMW!$NE$2:$NE$150=AI$3)*(GMW!$ND$2:$ND$150=AI$4)*(GMW!$NF$2:$NF$150=AI$1),0),$C317-1966)</f>
        <v>228.02019999999999</v>
      </c>
      <c r="AJ317" s="4" cm="1">
        <f t="array" ref="AJ317">INDEX(GMW!$A$2:$NF$150,MATCH(1,(GMW!$NE$2:$NE$150=AJ$3)*(GMW!$ND$2:$ND$150=AJ$4)*(GMW!$NF$2:$NF$150=AJ$1),0),$C317-1966)</f>
        <v>283309</v>
      </c>
      <c r="AK317" s="4" cm="1">
        <f t="array" ref="AK317">INDEX(GMW!$A$2:$NF$150,MATCH(1,(GMW!$NE$2:$NE$150=AK$3)*(GMW!$ND$2:$ND$150=AK$4)*(GMW!$NF$2:$NF$150=AK$1),0),$C317-1966)</f>
        <v>103428.8</v>
      </c>
      <c r="AL317" s="4" cm="1">
        <f t="array" ref="AL317">INDEX(GMW!$A$2:$NF$150,MATCH(1,(GMW!$NE$2:$NE$150=AL$3)*(GMW!$ND$2:$ND$150=AL$4)*(GMW!$NF$2:$NF$150=AL$1),0),$C317-1966)</f>
        <v>319418.2</v>
      </c>
      <c r="AM317" s="4" cm="1">
        <f t="array" ref="AM317">INDEX(GMW!$A$2:$NF$150,MATCH(1,(GMW!$NE$2:$NE$150=AM$3)*(GMW!$ND$2:$ND$150=AM$4)*(GMW!$NF$2:$NF$150=AM$1),0),$C317-1966)</f>
        <v>170478.2</v>
      </c>
      <c r="AN317" s="4" cm="1">
        <f t="array" ref="AN317">INDEX(GMW!$A$2:$NF$150,MATCH(1,(GMW!$NE$2:$NE$150=AN$3)*(GMW!$ND$2:$ND$150=AN$4)*(GMW!$NF$2:$NF$150=AN$1),0),$C317-1966)</f>
        <v>190776.5</v>
      </c>
      <c r="AO317" s="4" cm="1">
        <f t="array" ref="AO317">INDEX(GMW!$A$2:$NF$150,MATCH(1,(GMW!$NE$2:$NE$150=AO$3)*(GMW!$ND$2:$ND$150=AO$4)*(GMW!$NF$2:$NF$150=AO$1),0),$C317-1966)</f>
        <v>112968.9</v>
      </c>
      <c r="AP317" s="4" cm="1">
        <f t="array" ref="AP317">INDEX(GMW!$A$2:$NF$150,MATCH(1,(GMW!$NE$2:$NE$150=AP$3)*(GMW!$ND$2:$ND$150=AP$4)*(GMW!$NF$2:$NF$150=AP$1),0),$C317-1966)</f>
        <v>956035.9</v>
      </c>
      <c r="AQ317" s="4" cm="1">
        <f t="array" ref="AQ317">INDEX(GMW!$A$2:$NF$150,MATCH(1,(GMW!$NE$2:$NE$150=AQ$3)*(GMW!$ND$2:$ND$150=AQ$4)*(GMW!$NF$2:$NF$150=AQ$1),0),$C317-1966)</f>
        <v>39217.019999999997</v>
      </c>
      <c r="AR317" s="4" cm="1">
        <f t="array" ref="AR317">INDEX(GMW!$A$2:$NF$150,MATCH(1,(GMW!$NE$2:$NE$150=AR$3)*(GMW!$ND$2:$ND$150=AR$4)*(GMW!$NF$2:$NF$150=AR$1),0),$C317-1966)</f>
        <v>31.947420000000001</v>
      </c>
      <c r="AS317" s="4" cm="1">
        <f t="array" ref="AS317">INDEX(GMW!$A$2:$NF$150,MATCH(1,(GMW!$NE$2:$NE$150=AS$3)*(GMW!$ND$2:$ND$150=AS$4)*(GMW!$NF$2:$NF$150=AS$1),0),$C317-1966)</f>
        <v>713021.5</v>
      </c>
      <c r="AT317" s="4" cm="1">
        <f t="array" ref="AT317">INDEX(GMW!$A$2:$NF$150,MATCH(1,(GMW!$NE$2:$NE$150=AT$3)*(GMW!$ND$2:$ND$150=AT$4)*(GMW!$NF$2:$NF$150=AT$1),0),$C317-1966)</f>
        <v>46763.72</v>
      </c>
      <c r="AU317" s="4" cm="1">
        <f t="array" ref="AU317">INDEX(GMW!$A$2:$NF$150,MATCH(1,(GMW!$NE$2:$NE$150=AU$3)*(GMW!$ND$2:$ND$150=AU$4)*(GMW!$NF$2:$NF$150=AU$1),0),$C317-1966)</f>
        <v>5315450</v>
      </c>
      <c r="AV317" s="4" cm="1">
        <f t="array" ref="AV317">INDEX(GMW!$A$2:$NF$150,MATCH(1,(GMW!$NE$2:$NE$150=AV$3)*(GMW!$ND$2:$ND$150=AV$4)*(GMW!$NF$2:$NF$150=AV$1),0),$C317-1966)</f>
        <v>-1.591815</v>
      </c>
    </row>
    <row r="318" spans="1:48" x14ac:dyDescent="0.25">
      <c r="B318" s="4">
        <f t="shared" si="12"/>
        <v>2050</v>
      </c>
      <c r="C318" s="4">
        <f t="shared" si="13"/>
        <v>2284</v>
      </c>
      <c r="D318" s="4" cm="1">
        <f t="array" ref="D318">INDEX(GMW!$A$2:$NF$150,MATCH(1,(GMW!$NE$2:$NE$150=D$3)*(GMW!$ND$2:$ND$150=D$4)*(GMW!$NF$2:$NF$150=D$1),0),$C318-1966)</f>
        <v>948722.1</v>
      </c>
      <c r="E318" s="4" cm="1">
        <f t="array" ref="E318">INDEX(GMW!$A$2:$NF$150,MATCH(1,(GMW!$NE$2:$NE$150=E$3)*(GMW!$ND$2:$ND$150=E$4)*(GMW!$NF$2:$NF$150=E$1),0),$C318-1966)</f>
        <v>230.77209999999999</v>
      </c>
      <c r="F318" s="4" cm="1">
        <f t="array" ref="F318">INDEX(GMW!$A$2:$NF$150,MATCH(1,(GMW!$NE$2:$NE$150=F$3)*(GMW!$ND$2:$ND$150=F$4)*(GMW!$NF$2:$NF$150=F$1),0),$C318-1966)</f>
        <v>290598.40000000002</v>
      </c>
      <c r="G318" s="4" cm="1">
        <f t="array" ref="G318">INDEX(GMW!$A$2:$NF$150,MATCH(1,(GMW!$NE$2:$NE$150=G$3)*(GMW!$ND$2:$ND$150=G$4)*(GMW!$NF$2:$NF$150=G$1),0),$C318-1966)</f>
        <v>95281.25</v>
      </c>
      <c r="H318" s="4" cm="1">
        <f t="array" ref="H318">INDEX(GMW!$A$2:$NF$150,MATCH(1,(GMW!$NE$2:$NE$150=H$3)*(GMW!$ND$2:$ND$150=H$4)*(GMW!$NF$2:$NF$150=H$1),0),$C318-1966)</f>
        <v>325675</v>
      </c>
      <c r="I318" s="4" cm="1">
        <f t="array" ref="I318">INDEX(GMW!$A$2:$NF$150,MATCH(1,(GMW!$NE$2:$NE$150=I$3)*(GMW!$ND$2:$ND$150=I$4)*(GMW!$NF$2:$NF$150=I$1),0),$C318-1966)</f>
        <v>173502.7</v>
      </c>
      <c r="J318" s="4" cm="1">
        <f t="array" ref="J318">INDEX(GMW!$A$2:$NF$150,MATCH(1,(GMW!$NE$2:$NE$150=J$3)*(GMW!$ND$2:$ND$150=J$4)*(GMW!$NF$2:$NF$150=J$1),0),$C318-1966)</f>
        <v>188185.2</v>
      </c>
      <c r="K318" s="4" cm="1">
        <f t="array" ref="K318">INDEX(GMW!$A$2:$NF$150,MATCH(1,(GMW!$NE$2:$NE$150=K$3)*(GMW!$ND$2:$ND$150=K$4)*(GMW!$NF$2:$NF$150=K$1),0),$C318-1966)</f>
        <v>108341.4</v>
      </c>
      <c r="L318" s="4" cm="1">
        <f t="array" ref="L318">INDEX(GMW!$A$2:$NF$150,MATCH(1,(GMW!$NE$2:$NE$150=L$3)*(GMW!$ND$2:$ND$150=L$4)*(GMW!$NF$2:$NF$150=L$1),0),$C318-1966)</f>
        <v>948720.8</v>
      </c>
      <c r="M318" s="4" cm="1">
        <f t="array" ref="M318">INDEX(GMW!$A$2:$NF$150,MATCH(1,(GMW!$NE$2:$NE$150=M$3)*(GMW!$ND$2:$ND$150=M$4)*(GMW!$NF$2:$NF$150=M$1),0),$C318-1966)</f>
        <v>39200.54</v>
      </c>
      <c r="N318" s="4" cm="1">
        <f t="array" ref="N318">INDEX(GMW!$A$2:$NF$150,MATCH(1,(GMW!$NE$2:$NE$150=N$3)*(GMW!$ND$2:$ND$150=N$4)*(GMW!$NF$2:$NF$150=N$1),0),$C318-1966)</f>
        <v>31.946670000000001</v>
      </c>
      <c r="O318" s="4" cm="1">
        <f t="array" ref="O318">INDEX(GMW!$A$2:$NF$150,MATCH(1,(GMW!$NE$2:$NE$150=O$3)*(GMW!$ND$2:$ND$150=O$4)*(GMW!$NF$2:$NF$150=O$1),0),$C318-1966)</f>
        <v>712238.9</v>
      </c>
      <c r="P318" s="4" cm="1">
        <f t="array" ref="P318">INDEX(GMW!$A$2:$NF$150,MATCH(1,(GMW!$NE$2:$NE$150=P$3)*(GMW!$ND$2:$ND$150=P$4)*(GMW!$NF$2:$NF$150=P$1),0),$C318-1966)</f>
        <v>46702.3</v>
      </c>
      <c r="Q318" s="4" cm="1">
        <f t="array" ref="Q318">INDEX(GMW!$A$2:$NF$150,MATCH(1,(GMW!$NE$2:$NE$150=Q$3)*(GMW!$ND$2:$ND$150=Q$4)*(GMW!$NF$2:$NF$150=Q$1),0),$C318-1966)</f>
        <v>5237782</v>
      </c>
      <c r="R318" s="4" cm="1">
        <f t="array" ref="R318">INDEX(GMW!$A$2:$NF$150,MATCH(1,(GMW!$NE$2:$NE$150=R$3)*(GMW!$ND$2:$ND$150=R$4)*(GMW!$NF$2:$NF$150=R$1),0),$C318-1966)</f>
        <v>-1.594136</v>
      </c>
      <c r="S318" s="4" cm="1">
        <f t="array" ref="S318">INDEX(GMW!$A$2:$NF$150,MATCH(1,(GMW!$NE$2:$NE$150=S$3)*(GMW!$ND$2:$ND$150=S$4)*(GMW!$NF$2:$NF$150=S$1),0),$C318-1966)</f>
        <v>956884.7</v>
      </c>
      <c r="T318" s="4" cm="1">
        <f t="array" ref="T318">INDEX(GMW!$A$2:$NF$150,MATCH(1,(GMW!$NE$2:$NE$150=T$3)*(GMW!$ND$2:$ND$150=T$4)*(GMW!$NF$2:$NF$150=T$1),0),$C318-1966)</f>
        <v>230.6112</v>
      </c>
      <c r="U318" s="4" cm="1">
        <f t="array" ref="U318">INDEX(GMW!$A$2:$NF$150,MATCH(1,(GMW!$NE$2:$NE$150=U$3)*(GMW!$ND$2:$ND$150=U$4)*(GMW!$NF$2:$NF$150=U$1),0),$C318-1966)</f>
        <v>278030.90000000002</v>
      </c>
      <c r="V318" s="4" cm="1">
        <f t="array" ref="V318">INDEX(GMW!$A$2:$NF$150,MATCH(1,(GMW!$NE$2:$NE$150=V$3)*(GMW!$ND$2:$ND$150=V$4)*(GMW!$NF$2:$NF$150=V$1),0),$C318-1966)</f>
        <v>100407.4</v>
      </c>
      <c r="W318" s="4" cm="1">
        <f t="array" ref="W318">INDEX(GMW!$A$2:$NF$150,MATCH(1,(GMW!$NE$2:$NE$150=W$3)*(GMW!$ND$2:$ND$150=W$4)*(GMW!$NF$2:$NF$150=W$1),0),$C318-1966)</f>
        <v>315285.2</v>
      </c>
      <c r="X318" s="4" cm="1">
        <f t="array" ref="X318">INDEX(GMW!$A$2:$NF$150,MATCH(1,(GMW!$NE$2:$NE$150=X$3)*(GMW!$ND$2:$ND$150=X$4)*(GMW!$NF$2:$NF$150=X$1),0),$C318-1966)</f>
        <v>166846.29999999999</v>
      </c>
      <c r="Y318" s="4" cm="1">
        <f t="array" ref="Y318">INDEX(GMW!$A$2:$NF$150,MATCH(1,(GMW!$NE$2:$NE$150=Y$3)*(GMW!$ND$2:$ND$150=Y$4)*(GMW!$NF$2:$NF$150=Y$1),0),$C318-1966)</f>
        <v>191182.8</v>
      </c>
      <c r="Z318" s="4" cm="1">
        <f t="array" ref="Z318">INDEX(GMW!$A$2:$NF$150,MATCH(1,(GMW!$NE$2:$NE$150=Z$3)*(GMW!$ND$2:$ND$150=Z$4)*(GMW!$NF$2:$NF$150=Z$1),0),$C318-1966)</f>
        <v>111788.7</v>
      </c>
      <c r="AA318" s="4" cm="1">
        <f t="array" ref="AA318">INDEX(GMW!$A$2:$NF$150,MATCH(1,(GMW!$NE$2:$NE$150=AA$3)*(GMW!$ND$2:$ND$150=AA$4)*(GMW!$NF$2:$NF$150=AA$1),0),$C318-1966)</f>
        <v>956885.1</v>
      </c>
      <c r="AB318" s="4" cm="1">
        <f t="array" ref="AB318">INDEX(GMW!$A$2:$NF$150,MATCH(1,(GMW!$NE$2:$NE$150=AB$3)*(GMW!$ND$2:$ND$150=AB$4)*(GMW!$NF$2:$NF$150=AB$1),0),$C318-1966)</f>
        <v>39200.54</v>
      </c>
      <c r="AC318" s="4" cm="1">
        <f t="array" ref="AC318">INDEX(GMW!$A$2:$NF$150,MATCH(1,(GMW!$NE$2:$NE$150=AC$3)*(GMW!$ND$2:$ND$150=AC$4)*(GMW!$NF$2:$NF$150=AC$1),0),$C318-1966)</f>
        <v>31.946670000000001</v>
      </c>
      <c r="AD318" s="4" cm="1">
        <f t="array" ref="AD318">INDEX(GMW!$A$2:$NF$150,MATCH(1,(GMW!$NE$2:$NE$150=AD$3)*(GMW!$ND$2:$ND$150=AD$4)*(GMW!$NF$2:$NF$150=AD$1),0),$C318-1966)</f>
        <v>712238.9</v>
      </c>
      <c r="AE318" s="4" cm="1">
        <f t="array" ref="AE318">INDEX(GMW!$A$2:$NF$150,MATCH(1,(GMW!$NE$2:$NE$150=AE$3)*(GMW!$ND$2:$ND$150=AE$4)*(GMW!$NF$2:$NF$150=AE$1),0),$C318-1966)</f>
        <v>46702.3</v>
      </c>
      <c r="AF318" s="4" cm="1">
        <f t="array" ref="AF318">INDEX(GMW!$A$2:$NF$150,MATCH(1,(GMW!$NE$2:$NE$150=AF$3)*(GMW!$ND$2:$ND$150=AF$4)*(GMW!$NF$2:$NF$150=AF$1),0),$C318-1966)</f>
        <v>5336702</v>
      </c>
      <c r="AG318" s="4" cm="1">
        <f t="array" ref="AG318">INDEX(GMW!$A$2:$NF$150,MATCH(1,(GMW!$NE$2:$NE$150=AG$3)*(GMW!$ND$2:$ND$150=AG$4)*(GMW!$NF$2:$NF$150=AG$1),0),$C318-1966)</f>
        <v>-1.592133</v>
      </c>
      <c r="AH318" s="4" cm="1">
        <f t="array" ref="AH318">INDEX(GMW!$A$2:$NF$150,MATCH(1,(GMW!$NE$2:$NE$150=AH$3)*(GMW!$ND$2:$ND$150=AH$4)*(GMW!$NF$2:$NF$150=AH$1),0),$C318-1966)</f>
        <v>959607.7</v>
      </c>
      <c r="AI318" s="4" cm="1">
        <f t="array" ref="AI318">INDEX(GMW!$A$2:$NF$150,MATCH(1,(GMW!$NE$2:$NE$150=AI$3)*(GMW!$ND$2:$ND$150=AI$4)*(GMW!$NF$2:$NF$150=AI$1),0),$C318-1966)</f>
        <v>229.14830000000001</v>
      </c>
      <c r="AJ318" s="4" cm="1">
        <f t="array" ref="AJ318">INDEX(GMW!$A$2:$NF$150,MATCH(1,(GMW!$NE$2:$NE$150=AJ$3)*(GMW!$ND$2:$ND$150=AJ$4)*(GMW!$NF$2:$NF$150=AJ$1),0),$C318-1966)</f>
        <v>284277</v>
      </c>
      <c r="AK318" s="4" cm="1">
        <f t="array" ref="AK318">INDEX(GMW!$A$2:$NF$150,MATCH(1,(GMW!$NE$2:$NE$150=AK$3)*(GMW!$ND$2:$ND$150=AK$4)*(GMW!$NF$2:$NF$150=AK$1),0),$C318-1966)</f>
        <v>103732.4</v>
      </c>
      <c r="AL318" s="4" cm="1">
        <f t="array" ref="AL318">INDEX(GMW!$A$2:$NF$150,MATCH(1,(GMW!$NE$2:$NE$150=AL$3)*(GMW!$ND$2:$ND$150=AL$4)*(GMW!$NF$2:$NF$150=AL$1),0),$C318-1966)</f>
        <v>320622.3</v>
      </c>
      <c r="AM318" s="4" cm="1">
        <f t="array" ref="AM318">INDEX(GMW!$A$2:$NF$150,MATCH(1,(GMW!$NE$2:$NE$150=AM$3)*(GMW!$ND$2:$ND$150=AM$4)*(GMW!$NF$2:$NF$150=AM$1),0),$C318-1966)</f>
        <v>171097.9</v>
      </c>
      <c r="AN318" s="4" cm="1">
        <f t="array" ref="AN318">INDEX(GMW!$A$2:$NF$150,MATCH(1,(GMW!$NE$2:$NE$150=AN$3)*(GMW!$ND$2:$ND$150=AN$4)*(GMW!$NF$2:$NF$150=AN$1),0),$C318-1966)</f>
        <v>191670.7</v>
      </c>
      <c r="AO318" s="4" cm="1">
        <f t="array" ref="AO318">INDEX(GMW!$A$2:$NF$150,MATCH(1,(GMW!$NE$2:$NE$150=AO$3)*(GMW!$ND$2:$ND$150=AO$4)*(GMW!$NF$2:$NF$150=AO$1),0),$C318-1966)</f>
        <v>113532.1</v>
      </c>
      <c r="AP318" s="4" cm="1">
        <f t="array" ref="AP318">INDEX(GMW!$A$2:$NF$150,MATCH(1,(GMW!$NE$2:$NE$150=AP$3)*(GMW!$ND$2:$ND$150=AP$4)*(GMW!$NF$2:$NF$150=AP$1),0),$C318-1966)</f>
        <v>959607.5</v>
      </c>
      <c r="AQ318" s="4" cm="1">
        <f t="array" ref="AQ318">INDEX(GMW!$A$2:$NF$150,MATCH(1,(GMW!$NE$2:$NE$150=AQ$3)*(GMW!$ND$2:$ND$150=AQ$4)*(GMW!$NF$2:$NF$150=AQ$1),0),$C318-1966)</f>
        <v>39251.83</v>
      </c>
      <c r="AR318" s="4" cm="1">
        <f t="array" ref="AR318">INDEX(GMW!$A$2:$NF$150,MATCH(1,(GMW!$NE$2:$NE$150=AR$3)*(GMW!$ND$2:$ND$150=AR$4)*(GMW!$NF$2:$NF$150=AR$1),0),$C318-1966)</f>
        <v>31.946670000000001</v>
      </c>
      <c r="AS318" s="4" cm="1">
        <f t="array" ref="AS318">INDEX(GMW!$A$2:$NF$150,MATCH(1,(GMW!$NE$2:$NE$150=AS$3)*(GMW!$ND$2:$ND$150=AS$4)*(GMW!$NF$2:$NF$150=AS$1),0),$C318-1966)</f>
        <v>713458.4</v>
      </c>
      <c r="AT318" s="4" cm="1">
        <f t="array" ref="AT318">INDEX(GMW!$A$2:$NF$150,MATCH(1,(GMW!$NE$2:$NE$150=AT$3)*(GMW!$ND$2:$ND$150=AT$4)*(GMW!$NF$2:$NF$150=AT$1),0),$C318-1966)</f>
        <v>46765.68</v>
      </c>
      <c r="AU318" s="4" cm="1">
        <f t="array" ref="AU318">INDEX(GMW!$A$2:$NF$150,MATCH(1,(GMW!$NE$2:$NE$150=AU$3)*(GMW!$ND$2:$ND$150=AU$4)*(GMW!$NF$2:$NF$150=AU$1),0),$C318-1966)</f>
        <v>5341657</v>
      </c>
      <c r="AV318" s="4" cm="1">
        <f t="array" ref="AV318">INDEX(GMW!$A$2:$NF$150,MATCH(1,(GMW!$NE$2:$NE$150=AV$3)*(GMW!$ND$2:$ND$150=AV$4)*(GMW!$NF$2:$NF$150=AV$1),0),$C318-1966)</f>
        <v>-1.590541</v>
      </c>
    </row>
    <row r="319" spans="1:48" x14ac:dyDescent="0.25">
      <c r="A319" s="4">
        <v>2051</v>
      </c>
      <c r="B319" s="4">
        <f t="shared" si="12"/>
        <v>2051</v>
      </c>
      <c r="C319" s="4">
        <f t="shared" si="13"/>
        <v>2285</v>
      </c>
      <c r="D319" s="4" cm="1">
        <f t="array" ref="D319">INDEX(GMW!$A$2:$NF$150,MATCH(1,(GMW!$NE$2:$NE$150=D$3)*(GMW!$ND$2:$ND$150=D$4)*(GMW!$NF$2:$NF$150=D$1),0),$C319-1966)</f>
        <v>951913.4</v>
      </c>
      <c r="E319" s="4" cm="1">
        <f t="array" ref="E319">INDEX(GMW!$A$2:$NF$150,MATCH(1,(GMW!$NE$2:$NE$150=E$3)*(GMW!$ND$2:$ND$150=E$4)*(GMW!$NF$2:$NF$150=E$1),0),$C319-1966)</f>
        <v>231.24449999999999</v>
      </c>
      <c r="F319" s="4" cm="1">
        <f t="array" ref="F319">INDEX(GMW!$A$2:$NF$150,MATCH(1,(GMW!$NE$2:$NE$150=F$3)*(GMW!$ND$2:$ND$150=F$4)*(GMW!$NF$2:$NF$150=F$1),0),$C319-1966)</f>
        <v>291510.59999999998</v>
      </c>
      <c r="G319" s="4" cm="1">
        <f t="array" ref="G319">INDEX(GMW!$A$2:$NF$150,MATCH(1,(GMW!$NE$2:$NE$150=G$3)*(GMW!$ND$2:$ND$150=G$4)*(GMW!$NF$2:$NF$150=G$1),0),$C319-1966)</f>
        <v>95525.53</v>
      </c>
      <c r="H319" s="4" cm="1">
        <f t="array" ref="H319">INDEX(GMW!$A$2:$NF$150,MATCH(1,(GMW!$NE$2:$NE$150=H$3)*(GMW!$ND$2:$ND$150=H$4)*(GMW!$NF$2:$NF$150=H$1),0),$C319-1966)</f>
        <v>326807.90000000002</v>
      </c>
      <c r="I319" s="4" cm="1">
        <f t="array" ref="I319">INDEX(GMW!$A$2:$NF$150,MATCH(1,(GMW!$NE$2:$NE$150=I$3)*(GMW!$ND$2:$ND$150=I$4)*(GMW!$NF$2:$NF$150=I$1),0),$C319-1966)</f>
        <v>174069</v>
      </c>
      <c r="J319" s="4" cm="1">
        <f t="array" ref="J319">INDEX(GMW!$A$2:$NF$150,MATCH(1,(GMW!$NE$2:$NE$150=J$3)*(GMW!$ND$2:$ND$150=J$4)*(GMW!$NF$2:$NF$150=J$1),0),$C319-1966)</f>
        <v>189001.5</v>
      </c>
      <c r="K319" s="4" cm="1">
        <f t="array" ref="K319">INDEX(GMW!$A$2:$NF$150,MATCH(1,(GMW!$NE$2:$NE$150=K$3)*(GMW!$ND$2:$ND$150=K$4)*(GMW!$NF$2:$NF$150=K$1),0),$C319-1966)</f>
        <v>108846.6</v>
      </c>
      <c r="L319" s="4" cm="1">
        <f t="array" ref="L319">INDEX(GMW!$A$2:$NF$150,MATCH(1,(GMW!$NE$2:$NE$150=L$3)*(GMW!$ND$2:$ND$150=L$4)*(GMW!$NF$2:$NF$150=L$1),0),$C319-1966)</f>
        <v>951912.8</v>
      </c>
      <c r="M319" s="4" cm="1">
        <f t="array" ref="M319">INDEX(GMW!$A$2:$NF$150,MATCH(1,(GMW!$NE$2:$NE$150=M$3)*(GMW!$ND$2:$ND$150=M$4)*(GMW!$NF$2:$NF$150=M$1),0),$C319-1966)</f>
        <v>39213.839999999997</v>
      </c>
      <c r="N319" s="4" cm="1">
        <f t="array" ref="N319">INDEX(GMW!$A$2:$NF$150,MATCH(1,(GMW!$NE$2:$NE$150=N$3)*(GMW!$ND$2:$ND$150=N$4)*(GMW!$NF$2:$NF$150=N$1),0),$C319-1966)</f>
        <v>31.945920000000001</v>
      </c>
      <c r="O319" s="4" cm="1">
        <f t="array" ref="O319">INDEX(GMW!$A$2:$NF$150,MATCH(1,(GMW!$NE$2:$NE$150=O$3)*(GMW!$ND$2:$ND$150=O$4)*(GMW!$NF$2:$NF$150=O$1),0),$C319-1966)</f>
        <v>712565.8</v>
      </c>
      <c r="P319" s="4" cm="1">
        <f t="array" ref="P319">INDEX(GMW!$A$2:$NF$150,MATCH(1,(GMW!$NE$2:$NE$150=P$3)*(GMW!$ND$2:$ND$150=P$4)*(GMW!$NF$2:$NF$150=P$1),0),$C319-1966)</f>
        <v>46697.05</v>
      </c>
      <c r="Q319" s="4" cm="1">
        <f t="array" ref="Q319">INDEX(GMW!$A$2:$NF$150,MATCH(1,(GMW!$NE$2:$NE$150=Q$3)*(GMW!$ND$2:$ND$150=Q$4)*(GMW!$NF$2:$NF$150=Q$1),0),$C319-1966)</f>
        <v>5263329</v>
      </c>
      <c r="R319" s="4" cm="1">
        <f t="array" ref="R319">INDEX(GMW!$A$2:$NF$150,MATCH(1,(GMW!$NE$2:$NE$150=R$3)*(GMW!$ND$2:$ND$150=R$4)*(GMW!$NF$2:$NF$150=R$1),0),$C319-1966)</f>
        <v>-1.5928599999999999</v>
      </c>
      <c r="S319" s="4" cm="1">
        <f t="array" ref="S319">INDEX(GMW!$A$2:$NF$150,MATCH(1,(GMW!$NE$2:$NE$150=S$3)*(GMW!$ND$2:$ND$150=S$4)*(GMW!$NF$2:$NF$150=S$1),0),$C319-1966)</f>
        <v>960086.9</v>
      </c>
      <c r="T319" s="4" cm="1">
        <f t="array" ref="T319">INDEX(GMW!$A$2:$NF$150,MATCH(1,(GMW!$NE$2:$NE$150=T$3)*(GMW!$ND$2:$ND$150=T$4)*(GMW!$NF$2:$NF$150=T$1),0),$C319-1966)</f>
        <v>231.00030000000001</v>
      </c>
      <c r="U319" s="4" cm="1">
        <f t="array" ref="U319">INDEX(GMW!$A$2:$NF$150,MATCH(1,(GMW!$NE$2:$NE$150=U$3)*(GMW!$ND$2:$ND$150=U$4)*(GMW!$NF$2:$NF$150=U$1),0),$C319-1966)</f>
        <v>278884.59999999998</v>
      </c>
      <c r="V319" s="4" cm="1">
        <f t="array" ref="V319">INDEX(GMW!$A$2:$NF$150,MATCH(1,(GMW!$NE$2:$NE$150=V$3)*(GMW!$ND$2:$ND$150=V$4)*(GMW!$NF$2:$NF$150=V$1),0),$C319-1966)</f>
        <v>100663.1</v>
      </c>
      <c r="W319" s="4" cm="1">
        <f t="array" ref="W319">INDEX(GMW!$A$2:$NF$150,MATCH(1,(GMW!$NE$2:$NE$150=W$3)*(GMW!$ND$2:$ND$150=W$4)*(GMW!$NF$2:$NF$150=W$1),0),$C319-1966)</f>
        <v>316369.40000000002</v>
      </c>
      <c r="X319" s="4" cm="1">
        <f t="array" ref="X319">INDEX(GMW!$A$2:$NF$150,MATCH(1,(GMW!$NE$2:$NE$150=X$3)*(GMW!$ND$2:$ND$150=X$4)*(GMW!$NF$2:$NF$150=X$1),0),$C319-1966)</f>
        <v>167388</v>
      </c>
      <c r="Y319" s="4" cm="1">
        <f t="array" ref="Y319">INDEX(GMW!$A$2:$NF$150,MATCH(1,(GMW!$NE$2:$NE$150=Y$3)*(GMW!$ND$2:$ND$150=Y$4)*(GMW!$NF$2:$NF$150=Y$1),0),$C319-1966)</f>
        <v>192004.2</v>
      </c>
      <c r="Z319" s="4" cm="1">
        <f t="array" ref="Z319">INDEX(GMW!$A$2:$NF$150,MATCH(1,(GMW!$NE$2:$NE$150=Z$3)*(GMW!$ND$2:$ND$150=Z$4)*(GMW!$NF$2:$NF$150=Z$1),0),$C319-1966)</f>
        <v>112302.6</v>
      </c>
      <c r="AA319" s="4" cm="1">
        <f t="array" ref="AA319">INDEX(GMW!$A$2:$NF$150,MATCH(1,(GMW!$NE$2:$NE$150=AA$3)*(GMW!$ND$2:$ND$150=AA$4)*(GMW!$NF$2:$NF$150=AA$1),0),$C319-1966)</f>
        <v>960086.2</v>
      </c>
      <c r="AB319" s="4" cm="1">
        <f t="array" ref="AB319">INDEX(GMW!$A$2:$NF$150,MATCH(1,(GMW!$NE$2:$NE$150=AB$3)*(GMW!$ND$2:$ND$150=AB$4)*(GMW!$NF$2:$NF$150=AB$1),0),$C319-1966)</f>
        <v>39213.839999999997</v>
      </c>
      <c r="AC319" s="4" cm="1">
        <f t="array" ref="AC319">INDEX(GMW!$A$2:$NF$150,MATCH(1,(GMW!$NE$2:$NE$150=AC$3)*(GMW!$ND$2:$ND$150=AC$4)*(GMW!$NF$2:$NF$150=AC$1),0),$C319-1966)</f>
        <v>31.945920000000001</v>
      </c>
      <c r="AD319" s="4" cm="1">
        <f t="array" ref="AD319">INDEX(GMW!$A$2:$NF$150,MATCH(1,(GMW!$NE$2:$NE$150=AD$3)*(GMW!$ND$2:$ND$150=AD$4)*(GMW!$NF$2:$NF$150=AD$1),0),$C319-1966)</f>
        <v>712565.8</v>
      </c>
      <c r="AE319" s="4" cm="1">
        <f t="array" ref="AE319">INDEX(GMW!$A$2:$NF$150,MATCH(1,(GMW!$NE$2:$NE$150=AE$3)*(GMW!$ND$2:$ND$150=AE$4)*(GMW!$NF$2:$NF$150=AE$1),0),$C319-1966)</f>
        <v>46697.05</v>
      </c>
      <c r="AF319" s="4" cm="1">
        <f t="array" ref="AF319">INDEX(GMW!$A$2:$NF$150,MATCH(1,(GMW!$NE$2:$NE$150=AF$3)*(GMW!$ND$2:$ND$150=AF$4)*(GMW!$NF$2:$NF$150=AF$1),0),$C319-1966)</f>
        <v>5362482</v>
      </c>
      <c r="AG319" s="4" cm="1">
        <f t="array" ref="AG319">INDEX(GMW!$A$2:$NF$150,MATCH(1,(GMW!$NE$2:$NE$150=AG$3)*(GMW!$ND$2:$ND$150=AG$4)*(GMW!$NF$2:$NF$150=AG$1),0),$C319-1966)</f>
        <v>-1.590859</v>
      </c>
      <c r="AH319" s="4" cm="1">
        <f t="array" ref="AH319">INDEX(GMW!$A$2:$NF$150,MATCH(1,(GMW!$NE$2:$NE$150=AH$3)*(GMW!$ND$2:$ND$150=AH$4)*(GMW!$NF$2:$NF$150=AH$1),0),$C319-1966)</f>
        <v>962957.7</v>
      </c>
      <c r="AI319" s="4" cm="1">
        <f t="array" ref="AI319">INDEX(GMW!$A$2:$NF$150,MATCH(1,(GMW!$NE$2:$NE$150=AI$3)*(GMW!$ND$2:$ND$150=AI$4)*(GMW!$NF$2:$NF$150=AI$1),0),$C319-1966)</f>
        <v>229.58340000000001</v>
      </c>
      <c r="AJ319" s="4" cm="1">
        <f t="array" ref="AJ319">INDEX(GMW!$A$2:$NF$150,MATCH(1,(GMW!$NE$2:$NE$150=AJ$3)*(GMW!$ND$2:$ND$150=AJ$4)*(GMW!$NF$2:$NF$150=AJ$1),0),$C319-1966)</f>
        <v>285181.2</v>
      </c>
      <c r="AK319" s="4" cm="1">
        <f t="array" ref="AK319">INDEX(GMW!$A$2:$NF$150,MATCH(1,(GMW!$NE$2:$NE$150=AK$3)*(GMW!$ND$2:$ND$150=AK$4)*(GMW!$NF$2:$NF$150=AK$1),0),$C319-1966)</f>
        <v>104011.6</v>
      </c>
      <c r="AL319" s="4" cm="1">
        <f t="array" ref="AL319">INDEX(GMW!$A$2:$NF$150,MATCH(1,(GMW!$NE$2:$NE$150=AL$3)*(GMW!$ND$2:$ND$150=AL$4)*(GMW!$NF$2:$NF$150=AL$1),0),$C319-1966)</f>
        <v>321761</v>
      </c>
      <c r="AM319" s="4" cm="1">
        <f t="array" ref="AM319">INDEX(GMW!$A$2:$NF$150,MATCH(1,(GMW!$NE$2:$NE$150=AM$3)*(GMW!$ND$2:$ND$150=AM$4)*(GMW!$NF$2:$NF$150=AM$1),0),$C319-1966)</f>
        <v>171678.1</v>
      </c>
      <c r="AN319" s="4" cm="1">
        <f t="array" ref="AN319">INDEX(GMW!$A$2:$NF$150,MATCH(1,(GMW!$NE$2:$NE$150=AN$3)*(GMW!$ND$2:$ND$150=AN$4)*(GMW!$NF$2:$NF$150=AN$1),0),$C319-1966)</f>
        <v>192522.3</v>
      </c>
      <c r="AO319" s="4" cm="1">
        <f t="array" ref="AO319">INDEX(GMW!$A$2:$NF$150,MATCH(1,(GMW!$NE$2:$NE$150=AO$3)*(GMW!$ND$2:$ND$150=AO$4)*(GMW!$NF$2:$NF$150=AO$1),0),$C319-1966)</f>
        <v>114070.3</v>
      </c>
      <c r="AP319" s="4" cm="1">
        <f t="array" ref="AP319">INDEX(GMW!$A$2:$NF$150,MATCH(1,(GMW!$NE$2:$NE$150=AP$3)*(GMW!$ND$2:$ND$150=AP$4)*(GMW!$NF$2:$NF$150=AP$1),0),$C319-1966)</f>
        <v>962957.3</v>
      </c>
      <c r="AQ319" s="4" cm="1">
        <f t="array" ref="AQ319">INDEX(GMW!$A$2:$NF$150,MATCH(1,(GMW!$NE$2:$NE$150=AQ$3)*(GMW!$ND$2:$ND$150=AQ$4)*(GMW!$NF$2:$NF$150=AQ$1),0),$C319-1966)</f>
        <v>39272.089999999997</v>
      </c>
      <c r="AR319" s="4" cm="1">
        <f t="array" ref="AR319">INDEX(GMW!$A$2:$NF$150,MATCH(1,(GMW!$NE$2:$NE$150=AR$3)*(GMW!$ND$2:$ND$150=AR$4)*(GMW!$NF$2:$NF$150=AR$1),0),$C319-1966)</f>
        <v>31.945920000000001</v>
      </c>
      <c r="AS319" s="4" cm="1">
        <f t="array" ref="AS319">INDEX(GMW!$A$2:$NF$150,MATCH(1,(GMW!$NE$2:$NE$150=AS$3)*(GMW!$ND$2:$ND$150=AS$4)*(GMW!$NF$2:$NF$150=AS$1),0),$C319-1966)</f>
        <v>713895.3</v>
      </c>
      <c r="AT319" s="4" cm="1">
        <f t="array" ref="AT319">INDEX(GMW!$A$2:$NF$150,MATCH(1,(GMW!$NE$2:$NE$150=AT$3)*(GMW!$ND$2:$ND$150=AT$4)*(GMW!$NF$2:$NF$150=AT$1),0),$C319-1966)</f>
        <v>46767.64</v>
      </c>
      <c r="AU319" s="4" cm="1">
        <f t="array" ref="AU319">INDEX(GMW!$A$2:$NF$150,MATCH(1,(GMW!$NE$2:$NE$150=AU$3)*(GMW!$ND$2:$ND$150=AU$4)*(GMW!$NF$2:$NF$150=AU$1),0),$C319-1966)</f>
        <v>5367939</v>
      </c>
      <c r="AV319" s="4" cm="1">
        <f t="array" ref="AV319">INDEX(GMW!$A$2:$NF$150,MATCH(1,(GMW!$NE$2:$NE$150=AV$3)*(GMW!$ND$2:$ND$150=AV$4)*(GMW!$NF$2:$NF$150=AV$1),0),$C319-1966)</f>
        <v>-1.589269</v>
      </c>
    </row>
    <row r="320" spans="1:48" x14ac:dyDescent="0.25">
      <c r="B320" s="4">
        <f t="shared" si="12"/>
        <v>2051</v>
      </c>
      <c r="C320" s="4">
        <f t="shared" si="13"/>
        <v>2286</v>
      </c>
      <c r="D320" s="4" cm="1">
        <f t="array" ref="D320">INDEX(GMW!$A$2:$NF$150,MATCH(1,(GMW!$NE$2:$NE$150=D$3)*(GMW!$ND$2:$ND$150=D$4)*(GMW!$NF$2:$NF$150=D$1),0),$C320-1966)</f>
        <v>955110.9</v>
      </c>
      <c r="E320" s="4" cm="1">
        <f t="array" ref="E320">INDEX(GMW!$A$2:$NF$150,MATCH(1,(GMW!$NE$2:$NE$150=E$3)*(GMW!$ND$2:$ND$150=E$4)*(GMW!$NF$2:$NF$150=E$1),0),$C320-1966)</f>
        <v>233.2945</v>
      </c>
      <c r="F320" s="4" cm="1">
        <f t="array" ref="F320">INDEX(GMW!$A$2:$NF$150,MATCH(1,(GMW!$NE$2:$NE$150=F$3)*(GMW!$ND$2:$ND$150=F$4)*(GMW!$NF$2:$NF$150=F$1),0),$C320-1966)</f>
        <v>292424.7</v>
      </c>
      <c r="G320" s="4" cm="1">
        <f t="array" ref="G320">INDEX(GMW!$A$2:$NF$150,MATCH(1,(GMW!$NE$2:$NE$150=G$3)*(GMW!$ND$2:$ND$150=G$4)*(GMW!$NF$2:$NF$150=G$1),0),$C320-1966)</f>
        <v>95769.98</v>
      </c>
      <c r="H320" s="4" cm="1">
        <f t="array" ref="H320">INDEX(GMW!$A$2:$NF$150,MATCH(1,(GMW!$NE$2:$NE$150=H$3)*(GMW!$ND$2:$ND$150=H$4)*(GMW!$NF$2:$NF$150=H$1),0),$C320-1966)</f>
        <v>327943.5</v>
      </c>
      <c r="I320" s="4" cm="1">
        <f t="array" ref="I320">INDEX(GMW!$A$2:$NF$150,MATCH(1,(GMW!$NE$2:$NE$150=I$3)*(GMW!$ND$2:$ND$150=I$4)*(GMW!$NF$2:$NF$150=I$1),0),$C320-1966)</f>
        <v>174636.3</v>
      </c>
      <c r="J320" s="4" cm="1">
        <f t="array" ref="J320">INDEX(GMW!$A$2:$NF$150,MATCH(1,(GMW!$NE$2:$NE$150=J$3)*(GMW!$ND$2:$ND$150=J$4)*(GMW!$NF$2:$NF$150=J$1),0),$C320-1966)</f>
        <v>189820.7</v>
      </c>
      <c r="K320" s="4" cm="1">
        <f t="array" ref="K320">INDEX(GMW!$A$2:$NF$150,MATCH(1,(GMW!$NE$2:$NE$150=K$3)*(GMW!$ND$2:$ND$150=K$4)*(GMW!$NF$2:$NF$150=K$1),0),$C320-1966)</f>
        <v>109353.8</v>
      </c>
      <c r="L320" s="4" cm="1">
        <f t="array" ref="L320">INDEX(GMW!$A$2:$NF$150,MATCH(1,(GMW!$NE$2:$NE$150=L$3)*(GMW!$ND$2:$ND$150=L$4)*(GMW!$NF$2:$NF$150=L$1),0),$C320-1966)</f>
        <v>955110</v>
      </c>
      <c r="M320" s="4" cm="1">
        <f t="array" ref="M320">INDEX(GMW!$A$2:$NF$150,MATCH(1,(GMW!$NE$2:$NE$150=M$3)*(GMW!$ND$2:$ND$150=M$4)*(GMW!$NF$2:$NF$150=M$1),0),$C320-1966)</f>
        <v>39227.129999999997</v>
      </c>
      <c r="N320" s="4" cm="1">
        <f t="array" ref="N320">INDEX(GMW!$A$2:$NF$150,MATCH(1,(GMW!$NE$2:$NE$150=N$3)*(GMW!$ND$2:$ND$150=N$4)*(GMW!$NF$2:$NF$150=N$1),0),$C320-1966)</f>
        <v>31.945170000000001</v>
      </c>
      <c r="O320" s="4" cm="1">
        <f t="array" ref="O320">INDEX(GMW!$A$2:$NF$150,MATCH(1,(GMW!$NE$2:$NE$150=O$3)*(GMW!$ND$2:$ND$150=O$4)*(GMW!$NF$2:$NF$150=O$1),0),$C320-1966)</f>
        <v>712892.3</v>
      </c>
      <c r="P320" s="4" cm="1">
        <f t="array" ref="P320">INDEX(GMW!$A$2:$NF$150,MATCH(1,(GMW!$NE$2:$NE$150=P$3)*(GMW!$ND$2:$ND$150=P$4)*(GMW!$NF$2:$NF$150=P$1),0),$C320-1966)</f>
        <v>46691.79</v>
      </c>
      <c r="Q320" s="4" cm="1">
        <f t="array" ref="Q320">INDEX(GMW!$A$2:$NF$150,MATCH(1,(GMW!$NE$2:$NE$150=Q$3)*(GMW!$ND$2:$ND$150=Q$4)*(GMW!$NF$2:$NF$150=Q$1),0),$C320-1966)</f>
        <v>5288950</v>
      </c>
      <c r="R320" s="4" cm="1">
        <f t="array" ref="R320">INDEX(GMW!$A$2:$NF$150,MATCH(1,(GMW!$NE$2:$NE$150=R$3)*(GMW!$ND$2:$ND$150=R$4)*(GMW!$NF$2:$NF$150=R$1),0),$C320-1966)</f>
        <v>-1.5915859999999999</v>
      </c>
      <c r="S320" s="4" cm="1">
        <f t="array" ref="S320">INDEX(GMW!$A$2:$NF$150,MATCH(1,(GMW!$NE$2:$NE$150=S$3)*(GMW!$ND$2:$ND$150=S$4)*(GMW!$NF$2:$NF$150=S$1),0),$C320-1966)</f>
        <v>963294.7</v>
      </c>
      <c r="T320" s="4" cm="1">
        <f t="array" ref="T320">INDEX(GMW!$A$2:$NF$150,MATCH(1,(GMW!$NE$2:$NE$150=T$3)*(GMW!$ND$2:$ND$150=T$4)*(GMW!$NF$2:$NF$150=T$1),0),$C320-1966)</f>
        <v>233.09610000000001</v>
      </c>
      <c r="U320" s="4" cm="1">
        <f t="array" ref="U320">INDEX(GMW!$A$2:$NF$150,MATCH(1,(GMW!$NE$2:$NE$150=U$3)*(GMW!$ND$2:$ND$150=U$4)*(GMW!$NF$2:$NF$150=U$1),0),$C320-1966)</f>
        <v>279739.90000000002</v>
      </c>
      <c r="V320" s="4" cm="1">
        <f t="array" ref="V320">INDEX(GMW!$A$2:$NF$150,MATCH(1,(GMW!$NE$2:$NE$150=V$3)*(GMW!$ND$2:$ND$150=V$4)*(GMW!$NF$2:$NF$150=V$1),0),$C320-1966)</f>
        <v>100918.9</v>
      </c>
      <c r="W320" s="4" cm="1">
        <f t="array" ref="W320">INDEX(GMW!$A$2:$NF$150,MATCH(1,(GMW!$NE$2:$NE$150=W$3)*(GMW!$ND$2:$ND$150=W$4)*(GMW!$NF$2:$NF$150=W$1),0),$C320-1966)</f>
        <v>317456.2</v>
      </c>
      <c r="X320" s="4" cm="1">
        <f t="array" ref="X320">INDEX(GMW!$A$2:$NF$150,MATCH(1,(GMW!$NE$2:$NE$150=X$3)*(GMW!$ND$2:$ND$150=X$4)*(GMW!$NF$2:$NF$150=X$1),0),$C320-1966)</f>
        <v>167930.5</v>
      </c>
      <c r="Y320" s="4" cm="1">
        <f t="array" ref="Y320">INDEX(GMW!$A$2:$NF$150,MATCH(1,(GMW!$NE$2:$NE$150=Y$3)*(GMW!$ND$2:$ND$150=Y$4)*(GMW!$NF$2:$NF$150=Y$1),0),$C320-1966)</f>
        <v>192828</v>
      </c>
      <c r="Z320" s="4" cm="1">
        <f t="array" ref="Z320">INDEX(GMW!$A$2:$NF$150,MATCH(1,(GMW!$NE$2:$NE$150=Z$3)*(GMW!$ND$2:$ND$150=Z$4)*(GMW!$NF$2:$NF$150=Z$1),0),$C320-1966)</f>
        <v>112818.2</v>
      </c>
      <c r="AA320" s="4" cm="1">
        <f t="array" ref="AA320">INDEX(GMW!$A$2:$NF$150,MATCH(1,(GMW!$NE$2:$NE$150=AA$3)*(GMW!$ND$2:$ND$150=AA$4)*(GMW!$NF$2:$NF$150=AA$1),0),$C320-1966)</f>
        <v>963294.4</v>
      </c>
      <c r="AB320" s="4" cm="1">
        <f t="array" ref="AB320">INDEX(GMW!$A$2:$NF$150,MATCH(1,(GMW!$NE$2:$NE$150=AB$3)*(GMW!$ND$2:$ND$150=AB$4)*(GMW!$NF$2:$NF$150=AB$1),0),$C320-1966)</f>
        <v>39227.129999999997</v>
      </c>
      <c r="AC320" s="4" cm="1">
        <f t="array" ref="AC320">INDEX(GMW!$A$2:$NF$150,MATCH(1,(GMW!$NE$2:$NE$150=AC$3)*(GMW!$ND$2:$ND$150=AC$4)*(GMW!$NF$2:$NF$150=AC$1),0),$C320-1966)</f>
        <v>31.945170000000001</v>
      </c>
      <c r="AD320" s="4" cm="1">
        <f t="array" ref="AD320">INDEX(GMW!$A$2:$NF$150,MATCH(1,(GMW!$NE$2:$NE$150=AD$3)*(GMW!$ND$2:$ND$150=AD$4)*(GMW!$NF$2:$NF$150=AD$1),0),$C320-1966)</f>
        <v>712892.3</v>
      </c>
      <c r="AE320" s="4" cm="1">
        <f t="array" ref="AE320">INDEX(GMW!$A$2:$NF$150,MATCH(1,(GMW!$NE$2:$NE$150=AE$3)*(GMW!$ND$2:$ND$150=AE$4)*(GMW!$NF$2:$NF$150=AE$1),0),$C320-1966)</f>
        <v>46691.79</v>
      </c>
      <c r="AF320" s="4" cm="1">
        <f t="array" ref="AF320">INDEX(GMW!$A$2:$NF$150,MATCH(1,(GMW!$NE$2:$NE$150=AF$3)*(GMW!$ND$2:$ND$150=AF$4)*(GMW!$NF$2:$NF$150=AF$1),0),$C320-1966)</f>
        <v>5388326</v>
      </c>
      <c r="AG320" s="4" cm="1">
        <f t="array" ref="AG320">INDEX(GMW!$A$2:$NF$150,MATCH(1,(GMW!$NE$2:$NE$150=AG$3)*(GMW!$ND$2:$ND$150=AG$4)*(GMW!$NF$2:$NF$150=AG$1),0),$C320-1966)</f>
        <v>-1.5895859999999999</v>
      </c>
      <c r="AH320" s="4" cm="1">
        <f t="array" ref="AH320">INDEX(GMW!$A$2:$NF$150,MATCH(1,(GMW!$NE$2:$NE$150=AH$3)*(GMW!$ND$2:$ND$150=AH$4)*(GMW!$NF$2:$NF$150=AH$1),0),$C320-1966)</f>
        <v>966314.7</v>
      </c>
      <c r="AI320" s="4" cm="1">
        <f t="array" ref="AI320">INDEX(GMW!$A$2:$NF$150,MATCH(1,(GMW!$NE$2:$NE$150=AI$3)*(GMW!$ND$2:$ND$150=AI$4)*(GMW!$NF$2:$NF$150=AI$1),0),$C320-1966)</f>
        <v>231.55840000000001</v>
      </c>
      <c r="AJ320" s="4" cm="1">
        <f t="array" ref="AJ320">INDEX(GMW!$A$2:$NF$150,MATCH(1,(GMW!$NE$2:$NE$150=AJ$3)*(GMW!$ND$2:$ND$150=AJ$4)*(GMW!$NF$2:$NF$150=AJ$1),0),$C320-1966)</f>
        <v>286087.40000000002</v>
      </c>
      <c r="AK320" s="4" cm="1">
        <f t="array" ref="AK320">INDEX(GMW!$A$2:$NF$150,MATCH(1,(GMW!$NE$2:$NE$150=AK$3)*(GMW!$ND$2:$ND$150=AK$4)*(GMW!$NF$2:$NF$150=AK$1),0),$C320-1966)</f>
        <v>104291</v>
      </c>
      <c r="AL320" s="4" cm="1">
        <f t="array" ref="AL320">INDEX(GMW!$A$2:$NF$150,MATCH(1,(GMW!$NE$2:$NE$150=AL$3)*(GMW!$ND$2:$ND$150=AL$4)*(GMW!$NF$2:$NF$150=AL$1),0),$C320-1966)</f>
        <v>322902.7</v>
      </c>
      <c r="AM320" s="4" cm="1">
        <f t="array" ref="AM320">INDEX(GMW!$A$2:$NF$150,MATCH(1,(GMW!$NE$2:$NE$150=AM$3)*(GMW!$ND$2:$ND$150=AM$4)*(GMW!$NF$2:$NF$150=AM$1),0),$C320-1966)</f>
        <v>172259.5</v>
      </c>
      <c r="AN320" s="4" cm="1">
        <f t="array" ref="AN320">INDEX(GMW!$A$2:$NF$150,MATCH(1,(GMW!$NE$2:$NE$150=AN$3)*(GMW!$ND$2:$ND$150=AN$4)*(GMW!$NF$2:$NF$150=AN$1),0),$C320-1966)</f>
        <v>193376.8</v>
      </c>
      <c r="AO320" s="4" cm="1">
        <f t="array" ref="AO320">INDEX(GMW!$A$2:$NF$150,MATCH(1,(GMW!$NE$2:$NE$150=AO$3)*(GMW!$ND$2:$ND$150=AO$4)*(GMW!$NF$2:$NF$150=AO$1),0),$C320-1966)</f>
        <v>114610.6</v>
      </c>
      <c r="AP320" s="4" cm="1">
        <f t="array" ref="AP320">INDEX(GMW!$A$2:$NF$150,MATCH(1,(GMW!$NE$2:$NE$150=AP$3)*(GMW!$ND$2:$ND$150=AP$4)*(GMW!$NF$2:$NF$150=AP$1),0),$C320-1966)</f>
        <v>966314.2</v>
      </c>
      <c r="AQ320" s="4" cm="1">
        <f t="array" ref="AQ320">INDEX(GMW!$A$2:$NF$150,MATCH(1,(GMW!$NE$2:$NE$150=AQ$3)*(GMW!$ND$2:$ND$150=AQ$4)*(GMW!$NF$2:$NF$150=AQ$1),0),$C320-1966)</f>
        <v>39292.339999999997</v>
      </c>
      <c r="AR320" s="4" cm="1">
        <f t="array" ref="AR320">INDEX(GMW!$A$2:$NF$150,MATCH(1,(GMW!$NE$2:$NE$150=AR$3)*(GMW!$ND$2:$ND$150=AR$4)*(GMW!$NF$2:$NF$150=AR$1),0),$C320-1966)</f>
        <v>31.945170000000001</v>
      </c>
      <c r="AS320" s="4" cm="1">
        <f t="array" ref="AS320">INDEX(GMW!$A$2:$NF$150,MATCH(1,(GMW!$NE$2:$NE$150=AS$3)*(GMW!$ND$2:$ND$150=AS$4)*(GMW!$NF$2:$NF$150=AS$1),0),$C320-1966)</f>
        <v>714332.1</v>
      </c>
      <c r="AT320" s="4" cm="1">
        <f t="array" ref="AT320">INDEX(GMW!$A$2:$NF$150,MATCH(1,(GMW!$NE$2:$NE$150=AT$3)*(GMW!$ND$2:$ND$150=AT$4)*(GMW!$NF$2:$NF$150=AT$1),0),$C320-1966)</f>
        <v>46769.61</v>
      </c>
      <c r="AU320" s="4" cm="1">
        <f t="array" ref="AU320">INDEX(GMW!$A$2:$NF$150,MATCH(1,(GMW!$NE$2:$NE$150=AU$3)*(GMW!$ND$2:$ND$150=AU$4)*(GMW!$NF$2:$NF$150=AU$1),0),$C320-1966)</f>
        <v>5394299</v>
      </c>
      <c r="AV320" s="4" cm="1">
        <f t="array" ref="AV320">INDEX(GMW!$A$2:$NF$150,MATCH(1,(GMW!$NE$2:$NE$150=AV$3)*(GMW!$ND$2:$ND$150=AV$4)*(GMW!$NF$2:$NF$150=AV$1),0),$C320-1966)</f>
        <v>-1.5879970000000001</v>
      </c>
    </row>
    <row r="321" spans="1:48" x14ac:dyDescent="0.25">
      <c r="B321" s="4">
        <f t="shared" si="12"/>
        <v>2051</v>
      </c>
      <c r="C321" s="4">
        <f t="shared" si="13"/>
        <v>2287</v>
      </c>
      <c r="D321" s="4" cm="1">
        <f t="array" ref="D321">INDEX(GMW!$A$2:$NF$150,MATCH(1,(GMW!$NE$2:$NE$150=D$3)*(GMW!$ND$2:$ND$150=D$4)*(GMW!$NF$2:$NF$150=D$1),0),$C321-1966)</f>
        <v>958277.2</v>
      </c>
      <c r="E321" s="4" cm="1">
        <f t="array" ref="E321">INDEX(GMW!$A$2:$NF$150,MATCH(1,(GMW!$NE$2:$NE$150=E$3)*(GMW!$ND$2:$ND$150=E$4)*(GMW!$NF$2:$NF$150=E$1),0),$C321-1966)</f>
        <v>234.35579999999999</v>
      </c>
      <c r="F321" s="4" cm="1">
        <f t="array" ref="F321">INDEX(GMW!$A$2:$NF$150,MATCH(1,(GMW!$NE$2:$NE$150=F$3)*(GMW!$ND$2:$ND$150=F$4)*(GMW!$NF$2:$NF$150=F$1),0),$C321-1966)</f>
        <v>293329.5</v>
      </c>
      <c r="G321" s="4" cm="1">
        <f t="array" ref="G321">INDEX(GMW!$A$2:$NF$150,MATCH(1,(GMW!$NE$2:$NE$150=G$3)*(GMW!$ND$2:$ND$150=G$4)*(GMW!$NF$2:$NF$150=G$1),0),$C321-1966)</f>
        <v>96010.86</v>
      </c>
      <c r="H321" s="4" cm="1">
        <f t="array" ref="H321">INDEX(GMW!$A$2:$NF$150,MATCH(1,(GMW!$NE$2:$NE$150=H$3)*(GMW!$ND$2:$ND$150=H$4)*(GMW!$NF$2:$NF$150=H$1),0),$C321-1966)</f>
        <v>329070.2</v>
      </c>
      <c r="I321" s="4" cm="1">
        <f t="array" ref="I321">INDEX(GMW!$A$2:$NF$150,MATCH(1,(GMW!$NE$2:$NE$150=I$3)*(GMW!$ND$2:$ND$150=I$4)*(GMW!$NF$2:$NF$150=I$1),0),$C321-1966)</f>
        <v>175197.7</v>
      </c>
      <c r="J321" s="4" cm="1">
        <f t="array" ref="J321">INDEX(GMW!$A$2:$NF$150,MATCH(1,(GMW!$NE$2:$NE$150=J$3)*(GMW!$ND$2:$ND$150=J$4)*(GMW!$NF$2:$NF$150=J$1),0),$C321-1966)</f>
        <v>190635</v>
      </c>
      <c r="K321" s="4" cm="1">
        <f t="array" ref="K321">INDEX(GMW!$A$2:$NF$150,MATCH(1,(GMW!$NE$2:$NE$150=K$3)*(GMW!$ND$2:$ND$150=K$4)*(GMW!$NF$2:$NF$150=K$1),0),$C321-1966)</f>
        <v>109858.5</v>
      </c>
      <c r="L321" s="4" cm="1">
        <f t="array" ref="L321">INDEX(GMW!$A$2:$NF$150,MATCH(1,(GMW!$NE$2:$NE$150=L$3)*(GMW!$ND$2:$ND$150=L$4)*(GMW!$NF$2:$NF$150=L$1),0),$C321-1966)</f>
        <v>958276.9</v>
      </c>
      <c r="M321" s="4" cm="1">
        <f t="array" ref="M321">INDEX(GMW!$A$2:$NF$150,MATCH(1,(GMW!$NE$2:$NE$150=M$3)*(GMW!$ND$2:$ND$150=M$4)*(GMW!$NF$2:$NF$150=M$1),0),$C321-1966)</f>
        <v>39238.04</v>
      </c>
      <c r="N321" s="4" cm="1">
        <f t="array" ref="N321">INDEX(GMW!$A$2:$NF$150,MATCH(1,(GMW!$NE$2:$NE$150=N$3)*(GMW!$ND$2:$ND$150=N$4)*(GMW!$NF$2:$NF$150=N$1),0),$C321-1966)</f>
        <v>31.944420000000001</v>
      </c>
      <c r="O321" s="4" cm="1">
        <f t="array" ref="O321">INDEX(GMW!$A$2:$NF$150,MATCH(1,(GMW!$NE$2:$NE$150=O$3)*(GMW!$ND$2:$ND$150=O$4)*(GMW!$NF$2:$NF$150=O$1),0),$C321-1966)</f>
        <v>713176.4</v>
      </c>
      <c r="P321" s="4" cm="1">
        <f t="array" ref="P321">INDEX(GMW!$A$2:$NF$150,MATCH(1,(GMW!$NE$2:$NE$150=P$3)*(GMW!$ND$2:$ND$150=P$4)*(GMW!$NF$2:$NF$150=P$1),0),$C321-1966)</f>
        <v>46683.77</v>
      </c>
      <c r="Q321" s="4" cm="1">
        <f t="array" ref="Q321">INDEX(GMW!$A$2:$NF$150,MATCH(1,(GMW!$NE$2:$NE$150=Q$3)*(GMW!$ND$2:$ND$150=Q$4)*(GMW!$NF$2:$NF$150=Q$1),0),$C321-1966)</f>
        <v>5314642</v>
      </c>
      <c r="R321" s="4" cm="1">
        <f t="array" ref="R321">INDEX(GMW!$A$2:$NF$150,MATCH(1,(GMW!$NE$2:$NE$150=R$3)*(GMW!$ND$2:$ND$150=R$4)*(GMW!$NF$2:$NF$150=R$1),0),$C321-1966)</f>
        <v>-1.5903130000000001</v>
      </c>
      <c r="S321" s="4" cm="1">
        <f t="array" ref="S321">INDEX(GMW!$A$2:$NF$150,MATCH(1,(GMW!$NE$2:$NE$150=S$3)*(GMW!$ND$2:$ND$150=S$4)*(GMW!$NF$2:$NF$150=S$1),0),$C321-1966)</f>
        <v>966470.1</v>
      </c>
      <c r="T321" s="4" cm="1">
        <f t="array" ref="T321">INDEX(GMW!$A$2:$NF$150,MATCH(1,(GMW!$NE$2:$NE$150=T$3)*(GMW!$ND$2:$ND$150=T$4)*(GMW!$NF$2:$NF$150=T$1),0),$C321-1966)</f>
        <v>234.22049999999999</v>
      </c>
      <c r="U321" s="4" cm="1">
        <f t="array" ref="U321">INDEX(GMW!$A$2:$NF$150,MATCH(1,(GMW!$NE$2:$NE$150=U$3)*(GMW!$ND$2:$ND$150=U$4)*(GMW!$NF$2:$NF$150=U$1),0),$C321-1966)</f>
        <v>280585.90000000002</v>
      </c>
      <c r="V321" s="4" cm="1">
        <f t="array" ref="V321">INDEX(GMW!$A$2:$NF$150,MATCH(1,(GMW!$NE$2:$NE$150=V$3)*(GMW!$ND$2:$ND$150=V$4)*(GMW!$NF$2:$NF$150=V$1),0),$C321-1966)</f>
        <v>101170.8</v>
      </c>
      <c r="W321" s="4" cm="1">
        <f t="array" ref="W321">INDEX(GMW!$A$2:$NF$150,MATCH(1,(GMW!$NE$2:$NE$150=W$3)*(GMW!$ND$2:$ND$150=W$4)*(GMW!$NF$2:$NF$150=W$1),0),$C321-1966)</f>
        <v>318534.2</v>
      </c>
      <c r="X321" s="4" cm="1">
        <f t="array" ref="X321">INDEX(GMW!$A$2:$NF$150,MATCH(1,(GMW!$NE$2:$NE$150=X$3)*(GMW!$ND$2:$ND$150=X$4)*(GMW!$NF$2:$NF$150=X$1),0),$C321-1966)</f>
        <v>168467.3</v>
      </c>
      <c r="Y321" s="4" cm="1">
        <f t="array" ref="Y321">INDEX(GMW!$A$2:$NF$150,MATCH(1,(GMW!$NE$2:$NE$150=Y$3)*(GMW!$ND$2:$ND$150=Y$4)*(GMW!$NF$2:$NF$150=Y$1),0),$C321-1966)</f>
        <v>193646.7</v>
      </c>
      <c r="Z321" s="4" cm="1">
        <f t="array" ref="Z321">INDEX(GMW!$A$2:$NF$150,MATCH(1,(GMW!$NE$2:$NE$150=Z$3)*(GMW!$ND$2:$ND$150=Z$4)*(GMW!$NF$2:$NF$150=Z$1),0),$C321-1966)</f>
        <v>113331.1</v>
      </c>
      <c r="AA321" s="4" cm="1">
        <f t="array" ref="AA321">INDEX(GMW!$A$2:$NF$150,MATCH(1,(GMW!$NE$2:$NE$150=AA$3)*(GMW!$ND$2:$ND$150=AA$4)*(GMW!$NF$2:$NF$150=AA$1),0),$C321-1966)</f>
        <v>966469.9</v>
      </c>
      <c r="AB321" s="4" cm="1">
        <f t="array" ref="AB321">INDEX(GMW!$A$2:$NF$150,MATCH(1,(GMW!$NE$2:$NE$150=AB$3)*(GMW!$ND$2:$ND$150=AB$4)*(GMW!$NF$2:$NF$150=AB$1),0),$C321-1966)</f>
        <v>39238.04</v>
      </c>
      <c r="AC321" s="4" cm="1">
        <f t="array" ref="AC321">INDEX(GMW!$A$2:$NF$150,MATCH(1,(GMW!$NE$2:$NE$150=AC$3)*(GMW!$ND$2:$ND$150=AC$4)*(GMW!$NF$2:$NF$150=AC$1),0),$C321-1966)</f>
        <v>31.944420000000001</v>
      </c>
      <c r="AD321" s="4" cm="1">
        <f t="array" ref="AD321">INDEX(GMW!$A$2:$NF$150,MATCH(1,(GMW!$NE$2:$NE$150=AD$3)*(GMW!$ND$2:$ND$150=AD$4)*(GMW!$NF$2:$NF$150=AD$1),0),$C321-1966)</f>
        <v>713176.4</v>
      </c>
      <c r="AE321" s="4" cm="1">
        <f t="array" ref="AE321">INDEX(GMW!$A$2:$NF$150,MATCH(1,(GMW!$NE$2:$NE$150=AE$3)*(GMW!$ND$2:$ND$150=AE$4)*(GMW!$NF$2:$NF$150=AE$1),0),$C321-1966)</f>
        <v>46683.77</v>
      </c>
      <c r="AF321" s="4" cm="1">
        <f t="array" ref="AF321">INDEX(GMW!$A$2:$NF$150,MATCH(1,(GMW!$NE$2:$NE$150=AF$3)*(GMW!$ND$2:$ND$150=AF$4)*(GMW!$NF$2:$NF$150=AF$1),0),$C321-1966)</f>
        <v>5414227</v>
      </c>
      <c r="AG321" s="4" cm="1">
        <f t="array" ref="AG321">INDEX(GMW!$A$2:$NF$150,MATCH(1,(GMW!$NE$2:$NE$150=AG$3)*(GMW!$ND$2:$ND$150=AG$4)*(GMW!$NF$2:$NF$150=AG$1),0),$C321-1966)</f>
        <v>-1.5883149999999999</v>
      </c>
      <c r="AH321" s="4" cm="1">
        <f t="array" ref="AH321">INDEX(GMW!$A$2:$NF$150,MATCH(1,(GMW!$NE$2:$NE$150=AH$3)*(GMW!$ND$2:$ND$150=AH$4)*(GMW!$NF$2:$NF$150=AH$1),0),$C321-1966)</f>
        <v>969639.3</v>
      </c>
      <c r="AI321" s="4" cm="1">
        <f t="array" ref="AI321">INDEX(GMW!$A$2:$NF$150,MATCH(1,(GMW!$NE$2:$NE$150=AI$3)*(GMW!$ND$2:$ND$150=AI$4)*(GMW!$NF$2:$NF$150=AI$1),0),$C321-1966)</f>
        <v>232.5806</v>
      </c>
      <c r="AJ321" s="4" cm="1">
        <f t="array" ref="AJ321">INDEX(GMW!$A$2:$NF$150,MATCH(1,(GMW!$NE$2:$NE$150=AJ$3)*(GMW!$ND$2:$ND$150=AJ$4)*(GMW!$NF$2:$NF$150=AJ$1),0),$C321-1966)</f>
        <v>286984.09999999998</v>
      </c>
      <c r="AK321" s="4" cm="1">
        <f t="array" ref="AK321">INDEX(GMW!$A$2:$NF$150,MATCH(1,(GMW!$NE$2:$NE$150=AK$3)*(GMW!$ND$2:$ND$150=AK$4)*(GMW!$NF$2:$NF$150=AK$1),0),$C321-1966)</f>
        <v>104566.3</v>
      </c>
      <c r="AL321" s="4" cm="1">
        <f t="array" ref="AL321">INDEX(GMW!$A$2:$NF$150,MATCH(1,(GMW!$NE$2:$NE$150=AL$3)*(GMW!$ND$2:$ND$150=AL$4)*(GMW!$NF$2:$NF$150=AL$1),0),$C321-1966)</f>
        <v>324035.40000000002</v>
      </c>
      <c r="AM321" s="4" cm="1">
        <f t="array" ref="AM321">INDEX(GMW!$A$2:$NF$150,MATCH(1,(GMW!$NE$2:$NE$150=AM$3)*(GMW!$ND$2:$ND$150=AM$4)*(GMW!$NF$2:$NF$150=AM$1),0),$C321-1966)</f>
        <v>172834.9</v>
      </c>
      <c r="AN321" s="4" cm="1">
        <f t="array" ref="AN321">INDEX(GMW!$A$2:$NF$150,MATCH(1,(GMW!$NE$2:$NE$150=AN$3)*(GMW!$ND$2:$ND$150=AN$4)*(GMW!$NF$2:$NF$150=AN$1),0),$C321-1966)</f>
        <v>194226.4</v>
      </c>
      <c r="AO321" s="4" cm="1">
        <f t="array" ref="AO321">INDEX(GMW!$A$2:$NF$150,MATCH(1,(GMW!$NE$2:$NE$150=AO$3)*(GMW!$ND$2:$ND$150=AO$4)*(GMW!$NF$2:$NF$150=AO$1),0),$C321-1966)</f>
        <v>115148.2</v>
      </c>
      <c r="AP321" s="4" cm="1">
        <f t="array" ref="AP321">INDEX(GMW!$A$2:$NF$150,MATCH(1,(GMW!$NE$2:$NE$150=AP$3)*(GMW!$ND$2:$ND$150=AP$4)*(GMW!$NF$2:$NF$150=AP$1),0),$C321-1966)</f>
        <v>969638.40000000002</v>
      </c>
      <c r="AQ321" s="4" cm="1">
        <f t="array" ref="AQ321">INDEX(GMW!$A$2:$NF$150,MATCH(1,(GMW!$NE$2:$NE$150=AQ$3)*(GMW!$ND$2:$ND$150=AQ$4)*(GMW!$NF$2:$NF$150=AQ$1),0),$C321-1966)</f>
        <v>39310.14</v>
      </c>
      <c r="AR321" s="4" cm="1">
        <f t="array" ref="AR321">INDEX(GMW!$A$2:$NF$150,MATCH(1,(GMW!$NE$2:$NE$150=AR$3)*(GMW!$ND$2:$ND$150=AR$4)*(GMW!$NF$2:$NF$150=AR$1),0),$C321-1966)</f>
        <v>31.944420000000001</v>
      </c>
      <c r="AS321" s="4" cm="1">
        <f t="array" ref="AS321">INDEX(GMW!$A$2:$NF$150,MATCH(1,(GMW!$NE$2:$NE$150=AS$3)*(GMW!$ND$2:$ND$150=AS$4)*(GMW!$NF$2:$NF$150=AS$1),0),$C321-1966)</f>
        <v>714729.8</v>
      </c>
      <c r="AT321" s="4" cm="1">
        <f t="array" ref="AT321">INDEX(GMW!$A$2:$NF$150,MATCH(1,(GMW!$NE$2:$NE$150=AT$3)*(GMW!$ND$2:$ND$150=AT$4)*(GMW!$NF$2:$NF$150=AT$1),0),$C321-1966)</f>
        <v>46769.04</v>
      </c>
      <c r="AU321" s="4" cm="1">
        <f t="array" ref="AU321">INDEX(GMW!$A$2:$NF$150,MATCH(1,(GMW!$NE$2:$NE$150=AU$3)*(GMW!$ND$2:$ND$150=AU$4)*(GMW!$NF$2:$NF$150=AU$1),0),$C321-1966)</f>
        <v>5420729</v>
      </c>
      <c r="AV321" s="4" cm="1">
        <f t="array" ref="AV321">INDEX(GMW!$A$2:$NF$150,MATCH(1,(GMW!$NE$2:$NE$150=AV$3)*(GMW!$ND$2:$ND$150=AV$4)*(GMW!$NF$2:$NF$150=AV$1),0),$C321-1966)</f>
        <v>-1.586727</v>
      </c>
    </row>
    <row r="322" spans="1:48" x14ac:dyDescent="0.25">
      <c r="B322" s="4">
        <f t="shared" si="12"/>
        <v>2051</v>
      </c>
      <c r="C322" s="4">
        <f t="shared" si="13"/>
        <v>2288</v>
      </c>
      <c r="D322" s="4" cm="1">
        <f t="array" ref="D322">INDEX(GMW!$A$2:$NF$150,MATCH(1,(GMW!$NE$2:$NE$150=D$3)*(GMW!$ND$2:$ND$150=D$4)*(GMW!$NF$2:$NF$150=D$1),0),$C322-1966)</f>
        <v>961449.4</v>
      </c>
      <c r="E322" s="4" cm="1">
        <f t="array" ref="E322">INDEX(GMW!$A$2:$NF$150,MATCH(1,(GMW!$NE$2:$NE$150=E$3)*(GMW!$ND$2:$ND$150=E$4)*(GMW!$NF$2:$NF$150=E$1),0),$C322-1966)</f>
        <v>235.38749999999999</v>
      </c>
      <c r="F322" s="4" cm="1">
        <f t="array" ref="F322">INDEX(GMW!$A$2:$NF$150,MATCH(1,(GMW!$NE$2:$NE$150=F$3)*(GMW!$ND$2:$ND$150=F$4)*(GMW!$NF$2:$NF$150=F$1),0),$C322-1966)</f>
        <v>294236.2</v>
      </c>
      <c r="G322" s="4" cm="1">
        <f t="array" ref="G322">INDEX(GMW!$A$2:$NF$150,MATCH(1,(GMW!$NE$2:$NE$150=G$3)*(GMW!$ND$2:$ND$150=G$4)*(GMW!$NF$2:$NF$150=G$1),0),$C322-1966)</f>
        <v>96251.88</v>
      </c>
      <c r="H322" s="4" cm="1">
        <f t="array" ref="H322">INDEX(GMW!$A$2:$NF$150,MATCH(1,(GMW!$NE$2:$NE$150=H$3)*(GMW!$ND$2:$ND$150=H$4)*(GMW!$NF$2:$NF$150=H$1),0),$C322-1966)</f>
        <v>330199.7</v>
      </c>
      <c r="I322" s="4" cm="1">
        <f t="array" ref="I322">INDEX(GMW!$A$2:$NF$150,MATCH(1,(GMW!$NE$2:$NE$150=I$3)*(GMW!$ND$2:$ND$150=I$4)*(GMW!$NF$2:$NF$150=I$1),0),$C322-1966)</f>
        <v>175760.2</v>
      </c>
      <c r="J322" s="4" cm="1">
        <f t="array" ref="J322">INDEX(GMW!$A$2:$NF$150,MATCH(1,(GMW!$NE$2:$NE$150=J$3)*(GMW!$ND$2:$ND$150=J$4)*(GMW!$NF$2:$NF$150=J$1),0),$C322-1966)</f>
        <v>191451.9</v>
      </c>
      <c r="K322" s="4" cm="1">
        <f t="array" ref="K322">INDEX(GMW!$A$2:$NF$150,MATCH(1,(GMW!$NE$2:$NE$150=K$3)*(GMW!$ND$2:$ND$150=K$4)*(GMW!$NF$2:$NF$150=K$1),0),$C322-1966)</f>
        <v>110364.9</v>
      </c>
      <c r="L322" s="4" cm="1">
        <f t="array" ref="L322">INDEX(GMW!$A$2:$NF$150,MATCH(1,(GMW!$NE$2:$NE$150=L$3)*(GMW!$ND$2:$ND$150=L$4)*(GMW!$NF$2:$NF$150=L$1),0),$C322-1966)</f>
        <v>961448.7</v>
      </c>
      <c r="M322" s="4" cm="1">
        <f t="array" ref="M322">INDEX(GMW!$A$2:$NF$150,MATCH(1,(GMW!$NE$2:$NE$150=M$3)*(GMW!$ND$2:$ND$150=M$4)*(GMW!$NF$2:$NF$150=M$1),0),$C322-1966)</f>
        <v>39248.959999999999</v>
      </c>
      <c r="N322" s="4" cm="1">
        <f t="array" ref="N322">INDEX(GMW!$A$2:$NF$150,MATCH(1,(GMW!$NE$2:$NE$150=N$3)*(GMW!$ND$2:$ND$150=N$4)*(GMW!$NF$2:$NF$150=N$1),0),$C322-1966)</f>
        <v>31.943670000000001</v>
      </c>
      <c r="O322" s="4" cm="1">
        <f t="array" ref="O322">INDEX(GMW!$A$2:$NF$150,MATCH(1,(GMW!$NE$2:$NE$150=O$3)*(GMW!$ND$2:$ND$150=O$4)*(GMW!$NF$2:$NF$150=O$1),0),$C322-1966)</f>
        <v>713460.1</v>
      </c>
      <c r="P322" s="4" cm="1">
        <f t="array" ref="P322">INDEX(GMW!$A$2:$NF$150,MATCH(1,(GMW!$NE$2:$NE$150=P$3)*(GMW!$ND$2:$ND$150=P$4)*(GMW!$NF$2:$NF$150=P$1),0),$C322-1966)</f>
        <v>46675.75</v>
      </c>
      <c r="Q322" s="4" cm="1">
        <f t="array" ref="Q322">INDEX(GMW!$A$2:$NF$150,MATCH(1,(GMW!$NE$2:$NE$150=Q$3)*(GMW!$ND$2:$ND$150=Q$4)*(GMW!$NF$2:$NF$150=Q$1),0),$C322-1966)</f>
        <v>5340404</v>
      </c>
      <c r="R322" s="4" cm="1">
        <f t="array" ref="R322">INDEX(GMW!$A$2:$NF$150,MATCH(1,(GMW!$NE$2:$NE$150=R$3)*(GMW!$ND$2:$ND$150=R$4)*(GMW!$NF$2:$NF$150=R$1),0),$C322-1966)</f>
        <v>-1.5890409999999999</v>
      </c>
      <c r="S322" s="4" cm="1">
        <f t="array" ref="S322">INDEX(GMW!$A$2:$NF$150,MATCH(1,(GMW!$NE$2:$NE$150=S$3)*(GMW!$ND$2:$ND$150=S$4)*(GMW!$NF$2:$NF$150=S$1),0),$C322-1966)</f>
        <v>969650.8</v>
      </c>
      <c r="T322" s="4" cm="1">
        <f t="array" ref="T322">INDEX(GMW!$A$2:$NF$150,MATCH(1,(GMW!$NE$2:$NE$150=T$3)*(GMW!$ND$2:$ND$150=T$4)*(GMW!$NF$2:$NF$150=T$1),0),$C322-1966)</f>
        <v>235.2234</v>
      </c>
      <c r="U322" s="4" cm="1">
        <f t="array" ref="U322">INDEX(GMW!$A$2:$NF$150,MATCH(1,(GMW!$NE$2:$NE$150=U$3)*(GMW!$ND$2:$ND$150=U$4)*(GMW!$NF$2:$NF$150=U$1),0),$C322-1966)</f>
        <v>281433.5</v>
      </c>
      <c r="V322" s="4" cm="1">
        <f t="array" ref="V322">INDEX(GMW!$A$2:$NF$150,MATCH(1,(GMW!$NE$2:$NE$150=V$3)*(GMW!$ND$2:$ND$150=V$4)*(GMW!$NF$2:$NF$150=V$1),0),$C322-1966)</f>
        <v>101422.8</v>
      </c>
      <c r="W322" s="4" cm="1">
        <f t="array" ref="W322">INDEX(GMW!$A$2:$NF$150,MATCH(1,(GMW!$NE$2:$NE$150=W$3)*(GMW!$ND$2:$ND$150=W$4)*(GMW!$NF$2:$NF$150=W$1),0),$C322-1966)</f>
        <v>319614.5</v>
      </c>
      <c r="X322" s="4" cm="1">
        <f t="array" ref="X322">INDEX(GMW!$A$2:$NF$150,MATCH(1,(GMW!$NE$2:$NE$150=X$3)*(GMW!$ND$2:$ND$150=X$4)*(GMW!$NF$2:$NF$150=X$1),0),$C322-1966)</f>
        <v>169004.9</v>
      </c>
      <c r="Y322" s="4" cm="1">
        <f t="array" ref="Y322">INDEX(GMW!$A$2:$NF$150,MATCH(1,(GMW!$NE$2:$NE$150=Y$3)*(GMW!$ND$2:$ND$150=Y$4)*(GMW!$NF$2:$NF$150=Y$1),0),$C322-1966)</f>
        <v>194467.8</v>
      </c>
      <c r="Z322" s="4" cm="1">
        <f t="array" ref="Z322">INDEX(GMW!$A$2:$NF$150,MATCH(1,(GMW!$NE$2:$NE$150=Z$3)*(GMW!$ND$2:$ND$150=Z$4)*(GMW!$NF$2:$NF$150=Z$1),0),$C322-1966)</f>
        <v>113845.7</v>
      </c>
      <c r="AA322" s="4" cm="1">
        <f t="array" ref="AA322">INDEX(GMW!$A$2:$NF$150,MATCH(1,(GMW!$NE$2:$NE$150=AA$3)*(GMW!$ND$2:$ND$150=AA$4)*(GMW!$NF$2:$NF$150=AA$1),0),$C322-1966)</f>
        <v>969650.4</v>
      </c>
      <c r="AB322" s="4" cm="1">
        <f t="array" ref="AB322">INDEX(GMW!$A$2:$NF$150,MATCH(1,(GMW!$NE$2:$NE$150=AB$3)*(GMW!$ND$2:$ND$150=AB$4)*(GMW!$NF$2:$NF$150=AB$1),0),$C322-1966)</f>
        <v>39248.959999999999</v>
      </c>
      <c r="AC322" s="4" cm="1">
        <f t="array" ref="AC322">INDEX(GMW!$A$2:$NF$150,MATCH(1,(GMW!$NE$2:$NE$150=AC$3)*(GMW!$ND$2:$ND$150=AC$4)*(GMW!$NF$2:$NF$150=AC$1),0),$C322-1966)</f>
        <v>31.943670000000001</v>
      </c>
      <c r="AD322" s="4" cm="1">
        <f t="array" ref="AD322">INDEX(GMW!$A$2:$NF$150,MATCH(1,(GMW!$NE$2:$NE$150=AD$3)*(GMW!$ND$2:$ND$150=AD$4)*(GMW!$NF$2:$NF$150=AD$1),0),$C322-1966)</f>
        <v>713460.1</v>
      </c>
      <c r="AE322" s="4" cm="1">
        <f t="array" ref="AE322">INDEX(GMW!$A$2:$NF$150,MATCH(1,(GMW!$NE$2:$NE$150=AE$3)*(GMW!$ND$2:$ND$150=AE$4)*(GMW!$NF$2:$NF$150=AE$1),0),$C322-1966)</f>
        <v>46675.75</v>
      </c>
      <c r="AF322" s="4" cm="1">
        <f t="array" ref="AF322">INDEX(GMW!$A$2:$NF$150,MATCH(1,(GMW!$NE$2:$NE$150=AF$3)*(GMW!$ND$2:$ND$150=AF$4)*(GMW!$NF$2:$NF$150=AF$1),0),$C322-1966)</f>
        <v>5440187</v>
      </c>
      <c r="AG322" s="4" cm="1">
        <f t="array" ref="AG322">INDEX(GMW!$A$2:$NF$150,MATCH(1,(GMW!$NE$2:$NE$150=AG$3)*(GMW!$ND$2:$ND$150=AG$4)*(GMW!$NF$2:$NF$150=AG$1),0),$C322-1966)</f>
        <v>-1.5870439999999999</v>
      </c>
      <c r="AH322" s="4" cm="1">
        <f t="array" ref="AH322">INDEX(GMW!$A$2:$NF$150,MATCH(1,(GMW!$NE$2:$NE$150=AH$3)*(GMW!$ND$2:$ND$150=AH$4)*(GMW!$NF$2:$NF$150=AH$1),0),$C322-1966)</f>
        <v>972970.3</v>
      </c>
      <c r="AI322" s="4" cm="1">
        <f t="array" ref="AI322">INDEX(GMW!$A$2:$NF$150,MATCH(1,(GMW!$NE$2:$NE$150=AI$3)*(GMW!$ND$2:$ND$150=AI$4)*(GMW!$NF$2:$NF$150=AI$1),0),$C322-1966)</f>
        <v>233.7312</v>
      </c>
      <c r="AJ322" s="4" cm="1">
        <f t="array" ref="AJ322">INDEX(GMW!$A$2:$NF$150,MATCH(1,(GMW!$NE$2:$NE$150=AJ$3)*(GMW!$ND$2:$ND$150=AJ$4)*(GMW!$NF$2:$NF$150=AJ$1),0),$C322-1966)</f>
        <v>287882.8</v>
      </c>
      <c r="AK322" s="4" cm="1">
        <f t="array" ref="AK322">INDEX(GMW!$A$2:$NF$150,MATCH(1,(GMW!$NE$2:$NE$150=AK$3)*(GMW!$ND$2:$ND$150=AK$4)*(GMW!$NF$2:$NF$150=AK$1),0),$C322-1966)</f>
        <v>104841.9</v>
      </c>
      <c r="AL322" s="4" cm="1">
        <f t="array" ref="AL322">INDEX(GMW!$A$2:$NF$150,MATCH(1,(GMW!$NE$2:$NE$150=AL$3)*(GMW!$ND$2:$ND$150=AL$4)*(GMW!$NF$2:$NF$150=AL$1),0),$C322-1966)</f>
        <v>325170.90000000002</v>
      </c>
      <c r="AM322" s="4" cm="1">
        <f t="array" ref="AM322">INDEX(GMW!$A$2:$NF$150,MATCH(1,(GMW!$NE$2:$NE$150=AM$3)*(GMW!$ND$2:$ND$150=AM$4)*(GMW!$NF$2:$NF$150=AM$1),0),$C322-1966)</f>
        <v>173411.4</v>
      </c>
      <c r="AN322" s="4" cm="1">
        <f t="array" ref="AN322">INDEX(GMW!$A$2:$NF$150,MATCH(1,(GMW!$NE$2:$NE$150=AN$3)*(GMW!$ND$2:$ND$150=AN$4)*(GMW!$NF$2:$NF$150=AN$1),0),$C322-1966)</f>
        <v>195078.6</v>
      </c>
      <c r="AO322" s="4" cm="1">
        <f t="array" ref="AO322">INDEX(GMW!$A$2:$NF$150,MATCH(1,(GMW!$NE$2:$NE$150=AO$3)*(GMW!$ND$2:$ND$150=AO$4)*(GMW!$NF$2:$NF$150=AO$1),0),$C322-1966)</f>
        <v>115687.7</v>
      </c>
      <c r="AP322" s="4" cm="1">
        <f t="array" ref="AP322">INDEX(GMW!$A$2:$NF$150,MATCH(1,(GMW!$NE$2:$NE$150=AP$3)*(GMW!$ND$2:$ND$150=AP$4)*(GMW!$NF$2:$NF$150=AP$1),0),$C322-1966)</f>
        <v>972970.3</v>
      </c>
      <c r="AQ322" s="4" cm="1">
        <f t="array" ref="AQ322">INDEX(GMW!$A$2:$NF$150,MATCH(1,(GMW!$NE$2:$NE$150=AQ$3)*(GMW!$ND$2:$ND$150=AQ$4)*(GMW!$NF$2:$NF$150=AQ$1),0),$C322-1966)</f>
        <v>39327.94</v>
      </c>
      <c r="AR322" s="4" cm="1">
        <f t="array" ref="AR322">INDEX(GMW!$A$2:$NF$150,MATCH(1,(GMW!$NE$2:$NE$150=AR$3)*(GMW!$ND$2:$ND$150=AR$4)*(GMW!$NF$2:$NF$150=AR$1),0),$C322-1966)</f>
        <v>31.943670000000001</v>
      </c>
      <c r="AS322" s="4" cm="1">
        <f t="array" ref="AS322">INDEX(GMW!$A$2:$NF$150,MATCH(1,(GMW!$NE$2:$NE$150=AS$3)*(GMW!$ND$2:$ND$150=AS$4)*(GMW!$NF$2:$NF$150=AS$1),0),$C322-1966)</f>
        <v>715127.2</v>
      </c>
      <c r="AT322" s="4" cm="1">
        <f t="array" ref="AT322">INDEX(GMW!$A$2:$NF$150,MATCH(1,(GMW!$NE$2:$NE$150=AT$3)*(GMW!$ND$2:$ND$150=AT$4)*(GMW!$NF$2:$NF$150=AT$1),0),$C322-1966)</f>
        <v>46768.480000000003</v>
      </c>
      <c r="AU322" s="4" cm="1">
        <f t="array" ref="AU322">INDEX(GMW!$A$2:$NF$150,MATCH(1,(GMW!$NE$2:$NE$150=AU$3)*(GMW!$ND$2:$ND$150=AU$4)*(GMW!$NF$2:$NF$150=AU$1),0),$C322-1966)</f>
        <v>5447232</v>
      </c>
      <c r="AV322" s="4" cm="1">
        <f t="array" ref="AV322">INDEX(GMW!$A$2:$NF$150,MATCH(1,(GMW!$NE$2:$NE$150=AV$3)*(GMW!$ND$2:$ND$150=AV$4)*(GMW!$NF$2:$NF$150=AV$1),0),$C322-1966)</f>
        <v>-1.5854569999999999</v>
      </c>
    </row>
    <row r="323" spans="1:48" x14ac:dyDescent="0.25">
      <c r="A323" s="4">
        <v>2052</v>
      </c>
      <c r="B323" s="4">
        <f t="shared" si="12"/>
        <v>2052</v>
      </c>
      <c r="C323" s="4">
        <f t="shared" si="13"/>
        <v>2289</v>
      </c>
      <c r="D323" s="4" cm="1">
        <f t="array" ref="D323">INDEX(GMW!$A$2:$NF$150,MATCH(1,(GMW!$NE$2:$NE$150=D$3)*(GMW!$ND$2:$ND$150=D$4)*(GMW!$NF$2:$NF$150=D$1),0),$C323-1966)</f>
        <v>964627.4</v>
      </c>
      <c r="E323" s="4" cm="1">
        <f t="array" ref="E323">INDEX(GMW!$A$2:$NF$150,MATCH(1,(GMW!$NE$2:$NE$150=E$3)*(GMW!$ND$2:$ND$150=E$4)*(GMW!$NF$2:$NF$150=E$1),0),$C323-1966)</f>
        <v>235.86940000000001</v>
      </c>
      <c r="F323" s="4" cm="1">
        <f t="array" ref="F323">INDEX(GMW!$A$2:$NF$150,MATCH(1,(GMW!$NE$2:$NE$150=F$3)*(GMW!$ND$2:$ND$150=F$4)*(GMW!$NF$2:$NF$150=F$1),0),$C323-1966)</f>
        <v>295144.59999999998</v>
      </c>
      <c r="G323" s="4" cm="1">
        <f t="array" ref="G323">INDEX(GMW!$A$2:$NF$150,MATCH(1,(GMW!$NE$2:$NE$150=G$3)*(GMW!$ND$2:$ND$150=G$4)*(GMW!$NF$2:$NF$150=G$1),0),$C323-1966)</f>
        <v>96493.02</v>
      </c>
      <c r="H323" s="4" cm="1">
        <f t="array" ref="H323">INDEX(GMW!$A$2:$NF$150,MATCH(1,(GMW!$NE$2:$NE$150=H$3)*(GMW!$ND$2:$ND$150=H$4)*(GMW!$NF$2:$NF$150=H$1),0),$C323-1966)</f>
        <v>331331.90000000002</v>
      </c>
      <c r="I323" s="4" cm="1">
        <f t="array" ref="I323">INDEX(GMW!$A$2:$NF$150,MATCH(1,(GMW!$NE$2:$NE$150=I$3)*(GMW!$ND$2:$ND$150=I$4)*(GMW!$NF$2:$NF$150=I$1),0),$C323-1966)</f>
        <v>176323.6</v>
      </c>
      <c r="J323" s="4" cm="1">
        <f t="array" ref="J323">INDEX(GMW!$A$2:$NF$150,MATCH(1,(GMW!$NE$2:$NE$150=J$3)*(GMW!$ND$2:$ND$150=J$4)*(GMW!$NF$2:$NF$150=J$1),0),$C323-1966)</f>
        <v>192271.5</v>
      </c>
      <c r="K323" s="4" cm="1">
        <f t="array" ref="K323">INDEX(GMW!$A$2:$NF$150,MATCH(1,(GMW!$NE$2:$NE$150=K$3)*(GMW!$ND$2:$ND$150=K$4)*(GMW!$NF$2:$NF$150=K$1),0),$C323-1966)</f>
        <v>110873.2</v>
      </c>
      <c r="L323" s="4" cm="1">
        <f t="array" ref="L323">INDEX(GMW!$A$2:$NF$150,MATCH(1,(GMW!$NE$2:$NE$150=L$3)*(GMW!$ND$2:$ND$150=L$4)*(GMW!$NF$2:$NF$150=L$1),0),$C323-1966)</f>
        <v>964627.4</v>
      </c>
      <c r="M323" s="4" cm="1">
        <f t="array" ref="M323">INDEX(GMW!$A$2:$NF$150,MATCH(1,(GMW!$NE$2:$NE$150=M$3)*(GMW!$ND$2:$ND$150=M$4)*(GMW!$NF$2:$NF$150=M$1),0),$C323-1966)</f>
        <v>39259.89</v>
      </c>
      <c r="N323" s="4" cm="1">
        <f t="array" ref="N323">INDEX(GMW!$A$2:$NF$150,MATCH(1,(GMW!$NE$2:$NE$150=N$3)*(GMW!$ND$2:$ND$150=N$4)*(GMW!$NF$2:$NF$150=N$1),0),$C323-1966)</f>
        <v>31.942920000000001</v>
      </c>
      <c r="O323" s="4" cm="1">
        <f t="array" ref="O323">INDEX(GMW!$A$2:$NF$150,MATCH(1,(GMW!$NE$2:$NE$150=O$3)*(GMW!$ND$2:$ND$150=O$4)*(GMW!$NF$2:$NF$150=O$1),0),$C323-1966)</f>
        <v>713743.4</v>
      </c>
      <c r="P323" s="4" cm="1">
        <f t="array" ref="P323">INDEX(GMW!$A$2:$NF$150,MATCH(1,(GMW!$NE$2:$NE$150=P$3)*(GMW!$ND$2:$ND$150=P$4)*(GMW!$NF$2:$NF$150=P$1),0),$C323-1966)</f>
        <v>46667.73</v>
      </c>
      <c r="Q323" s="4" cm="1">
        <f t="array" ref="Q323">INDEX(GMW!$A$2:$NF$150,MATCH(1,(GMW!$NE$2:$NE$150=Q$3)*(GMW!$ND$2:$ND$150=Q$4)*(GMW!$NF$2:$NF$150=Q$1),0),$C323-1966)</f>
        <v>5366237</v>
      </c>
      <c r="R323" s="4" cm="1">
        <f t="array" ref="R323">INDEX(GMW!$A$2:$NF$150,MATCH(1,(GMW!$NE$2:$NE$150=R$3)*(GMW!$ND$2:$ND$150=R$4)*(GMW!$NF$2:$NF$150=R$1),0),$C323-1966)</f>
        <v>-1.587769</v>
      </c>
      <c r="S323" s="4" cm="1">
        <f t="array" ref="S323">INDEX(GMW!$A$2:$NF$150,MATCH(1,(GMW!$NE$2:$NE$150=S$3)*(GMW!$ND$2:$ND$150=S$4)*(GMW!$NF$2:$NF$150=S$1),0),$C323-1966)</f>
        <v>972836.5</v>
      </c>
      <c r="T323" s="4" cm="1">
        <f t="array" ref="T323">INDEX(GMW!$A$2:$NF$150,MATCH(1,(GMW!$NE$2:$NE$150=T$3)*(GMW!$ND$2:$ND$150=T$4)*(GMW!$NF$2:$NF$150=T$1),0),$C323-1966)</f>
        <v>235.62029999999999</v>
      </c>
      <c r="U323" s="4" cm="1">
        <f t="array" ref="U323">INDEX(GMW!$A$2:$NF$150,MATCH(1,(GMW!$NE$2:$NE$150=U$3)*(GMW!$ND$2:$ND$150=U$4)*(GMW!$NF$2:$NF$150=U$1),0),$C323-1966)</f>
        <v>282282.5</v>
      </c>
      <c r="V323" s="4" cm="1">
        <f t="array" ref="V323">INDEX(GMW!$A$2:$NF$150,MATCH(1,(GMW!$NE$2:$NE$150=V$3)*(GMW!$ND$2:$ND$150=V$4)*(GMW!$NF$2:$NF$150=V$1),0),$C323-1966)</f>
        <v>101674.9</v>
      </c>
      <c r="W323" s="4" cm="1">
        <f t="array" ref="W323">INDEX(GMW!$A$2:$NF$150,MATCH(1,(GMW!$NE$2:$NE$150=W$3)*(GMW!$ND$2:$ND$150=W$4)*(GMW!$NF$2:$NF$150=W$1),0),$C323-1966)</f>
        <v>320697.2</v>
      </c>
      <c r="X323" s="4" cm="1">
        <f t="array" ref="X323">INDEX(GMW!$A$2:$NF$150,MATCH(1,(GMW!$NE$2:$NE$150=X$3)*(GMW!$ND$2:$ND$150=X$4)*(GMW!$NF$2:$NF$150=X$1),0),$C323-1966)</f>
        <v>169543.2</v>
      </c>
      <c r="Y323" s="4" cm="1">
        <f t="array" ref="Y323">INDEX(GMW!$A$2:$NF$150,MATCH(1,(GMW!$NE$2:$NE$150=Y$3)*(GMW!$ND$2:$ND$150=Y$4)*(GMW!$NF$2:$NF$150=Y$1),0),$C323-1966)</f>
        <v>195291.6</v>
      </c>
      <c r="Z323" s="4" cm="1">
        <f t="array" ref="Z323">INDEX(GMW!$A$2:$NF$150,MATCH(1,(GMW!$NE$2:$NE$150=Z$3)*(GMW!$ND$2:$ND$150=Z$4)*(GMW!$NF$2:$NF$150=Z$1),0),$C323-1966)</f>
        <v>114362.1</v>
      </c>
      <c r="AA323" s="4" cm="1">
        <f t="array" ref="AA323">INDEX(GMW!$A$2:$NF$150,MATCH(1,(GMW!$NE$2:$NE$150=AA$3)*(GMW!$ND$2:$ND$150=AA$4)*(GMW!$NF$2:$NF$150=AA$1),0),$C323-1966)</f>
        <v>972836.7</v>
      </c>
      <c r="AB323" s="4" cm="1">
        <f t="array" ref="AB323">INDEX(GMW!$A$2:$NF$150,MATCH(1,(GMW!$NE$2:$NE$150=AB$3)*(GMW!$ND$2:$ND$150=AB$4)*(GMW!$NF$2:$NF$150=AB$1),0),$C323-1966)</f>
        <v>39259.89</v>
      </c>
      <c r="AC323" s="4" cm="1">
        <f t="array" ref="AC323">INDEX(GMW!$A$2:$NF$150,MATCH(1,(GMW!$NE$2:$NE$150=AC$3)*(GMW!$ND$2:$ND$150=AC$4)*(GMW!$NF$2:$NF$150=AC$1),0),$C323-1966)</f>
        <v>31.942920000000001</v>
      </c>
      <c r="AD323" s="4" cm="1">
        <f t="array" ref="AD323">INDEX(GMW!$A$2:$NF$150,MATCH(1,(GMW!$NE$2:$NE$150=AD$3)*(GMW!$ND$2:$ND$150=AD$4)*(GMW!$NF$2:$NF$150=AD$1),0),$C323-1966)</f>
        <v>713743.4</v>
      </c>
      <c r="AE323" s="4" cm="1">
        <f t="array" ref="AE323">INDEX(GMW!$A$2:$NF$150,MATCH(1,(GMW!$NE$2:$NE$150=AE$3)*(GMW!$ND$2:$ND$150=AE$4)*(GMW!$NF$2:$NF$150=AE$1),0),$C323-1966)</f>
        <v>46667.73</v>
      </c>
      <c r="AF323" s="4" cm="1">
        <f t="array" ref="AF323">INDEX(GMW!$A$2:$NF$150,MATCH(1,(GMW!$NE$2:$NE$150=AF$3)*(GMW!$ND$2:$ND$150=AF$4)*(GMW!$NF$2:$NF$150=AF$1),0),$C323-1966)</f>
        <v>5466206</v>
      </c>
      <c r="AG323" s="4" cm="1">
        <f t="array" ref="AG323">INDEX(GMW!$A$2:$NF$150,MATCH(1,(GMW!$NE$2:$NE$150=AG$3)*(GMW!$ND$2:$ND$150=AG$4)*(GMW!$NF$2:$NF$150=AG$1),0),$C323-1966)</f>
        <v>-1.585774</v>
      </c>
      <c r="AH323" s="4" cm="1">
        <f t="array" ref="AH323">INDEX(GMW!$A$2:$NF$150,MATCH(1,(GMW!$NE$2:$NE$150=AH$3)*(GMW!$ND$2:$ND$150=AH$4)*(GMW!$NF$2:$NF$150=AH$1),0),$C323-1966)</f>
        <v>976307.6</v>
      </c>
      <c r="AI323" s="4" cm="1">
        <f t="array" ref="AI323">INDEX(GMW!$A$2:$NF$150,MATCH(1,(GMW!$NE$2:$NE$150=AI$3)*(GMW!$ND$2:$ND$150=AI$4)*(GMW!$NF$2:$NF$150=AI$1),0),$C323-1966)</f>
        <v>234.17509999999999</v>
      </c>
      <c r="AJ323" s="4" cm="1">
        <f t="array" ref="AJ323">INDEX(GMW!$A$2:$NF$150,MATCH(1,(GMW!$NE$2:$NE$150=AJ$3)*(GMW!$ND$2:$ND$150=AJ$4)*(GMW!$NF$2:$NF$150=AJ$1),0),$C323-1966)</f>
        <v>288783.3</v>
      </c>
      <c r="AK323" s="4" cm="1">
        <f t="array" ref="AK323">INDEX(GMW!$A$2:$NF$150,MATCH(1,(GMW!$NE$2:$NE$150=AK$3)*(GMW!$ND$2:$ND$150=AK$4)*(GMW!$NF$2:$NF$150=AK$1),0),$C323-1966)</f>
        <v>105117.6</v>
      </c>
      <c r="AL323" s="4" cm="1">
        <f t="array" ref="AL323">INDEX(GMW!$A$2:$NF$150,MATCH(1,(GMW!$NE$2:$NE$150=AL$3)*(GMW!$ND$2:$ND$150=AL$4)*(GMW!$NF$2:$NF$150=AL$1),0),$C323-1966)</f>
        <v>326309.09999999998</v>
      </c>
      <c r="AM323" s="4" cm="1">
        <f t="array" ref="AM323">INDEX(GMW!$A$2:$NF$150,MATCH(1,(GMW!$NE$2:$NE$150=AM$3)*(GMW!$ND$2:$ND$150=AM$4)*(GMW!$NF$2:$NF$150=AM$1),0),$C323-1966)</f>
        <v>173988.8</v>
      </c>
      <c r="AN323" s="4" cm="1">
        <f t="array" ref="AN323">INDEX(GMW!$A$2:$NF$150,MATCH(1,(GMW!$NE$2:$NE$150=AN$3)*(GMW!$ND$2:$ND$150=AN$4)*(GMW!$NF$2:$NF$150=AN$1),0),$C323-1966)</f>
        <v>195933.7</v>
      </c>
      <c r="AO323" s="4" cm="1">
        <f t="array" ref="AO323">INDEX(GMW!$A$2:$NF$150,MATCH(1,(GMW!$NE$2:$NE$150=AO$3)*(GMW!$ND$2:$ND$150=AO$4)*(GMW!$NF$2:$NF$150=AO$1),0),$C323-1966)</f>
        <v>116229.1</v>
      </c>
      <c r="AP323" s="4" cm="1">
        <f t="array" ref="AP323">INDEX(GMW!$A$2:$NF$150,MATCH(1,(GMW!$NE$2:$NE$150=AP$3)*(GMW!$ND$2:$ND$150=AP$4)*(GMW!$NF$2:$NF$150=AP$1),0),$C323-1966)</f>
        <v>976306.2</v>
      </c>
      <c r="AQ323" s="4" cm="1">
        <f t="array" ref="AQ323">INDEX(GMW!$A$2:$NF$150,MATCH(1,(GMW!$NE$2:$NE$150=AQ$3)*(GMW!$ND$2:$ND$150=AQ$4)*(GMW!$NF$2:$NF$150=AQ$1),0),$C323-1966)</f>
        <v>39345.72</v>
      </c>
      <c r="AR323" s="4" cm="1">
        <f t="array" ref="AR323">INDEX(GMW!$A$2:$NF$150,MATCH(1,(GMW!$NE$2:$NE$150=AR$3)*(GMW!$ND$2:$ND$150=AR$4)*(GMW!$NF$2:$NF$150=AR$1),0),$C323-1966)</f>
        <v>31.942920000000001</v>
      </c>
      <c r="AS323" s="4" cm="1">
        <f t="array" ref="AS323">INDEX(GMW!$A$2:$NF$150,MATCH(1,(GMW!$NE$2:$NE$150=AS$3)*(GMW!$ND$2:$ND$150=AS$4)*(GMW!$NF$2:$NF$150=AS$1),0),$C323-1966)</f>
        <v>715524.2</v>
      </c>
      <c r="AT323" s="4" cm="1">
        <f t="array" ref="AT323">INDEX(GMW!$A$2:$NF$150,MATCH(1,(GMW!$NE$2:$NE$150=AT$3)*(GMW!$ND$2:$ND$150=AT$4)*(GMW!$NF$2:$NF$150=AT$1),0),$C323-1966)</f>
        <v>46767.92</v>
      </c>
      <c r="AU323" s="4" cm="1">
        <f t="array" ref="AU323">INDEX(GMW!$A$2:$NF$150,MATCH(1,(GMW!$NE$2:$NE$150=AU$3)*(GMW!$ND$2:$ND$150=AU$4)*(GMW!$NF$2:$NF$150=AU$1),0),$C323-1966)</f>
        <v>5473807</v>
      </c>
      <c r="AV323" s="4" cm="1">
        <f t="array" ref="AV323">INDEX(GMW!$A$2:$NF$150,MATCH(1,(GMW!$NE$2:$NE$150=AV$3)*(GMW!$ND$2:$ND$150=AV$4)*(GMW!$NF$2:$NF$150=AV$1),0),$C323-1966)</f>
        <v>-1.5841890000000001</v>
      </c>
    </row>
    <row r="324" spans="1:48" x14ac:dyDescent="0.25">
      <c r="B324" s="4">
        <f t="shared" si="12"/>
        <v>2052</v>
      </c>
      <c r="C324" s="4">
        <f t="shared" si="13"/>
        <v>2290</v>
      </c>
      <c r="D324" s="4" cm="1">
        <f t="array" ref="D324">INDEX(GMW!$A$2:$NF$150,MATCH(1,(GMW!$NE$2:$NE$150=D$3)*(GMW!$ND$2:$ND$150=D$4)*(GMW!$NF$2:$NF$150=D$1),0),$C324-1966)</f>
        <v>967811.1</v>
      </c>
      <c r="E324" s="4" cm="1">
        <f t="array" ref="E324">INDEX(GMW!$A$2:$NF$150,MATCH(1,(GMW!$NE$2:$NE$150=E$3)*(GMW!$ND$2:$ND$150=E$4)*(GMW!$NF$2:$NF$150=E$1),0),$C324-1966)</f>
        <v>237.96039999999999</v>
      </c>
      <c r="F324" s="4" cm="1">
        <f t="array" ref="F324">INDEX(GMW!$A$2:$NF$150,MATCH(1,(GMW!$NE$2:$NE$150=F$3)*(GMW!$ND$2:$ND$150=F$4)*(GMW!$NF$2:$NF$150=F$1),0),$C324-1966)</f>
        <v>296054.90000000002</v>
      </c>
      <c r="G324" s="4" cm="1">
        <f t="array" ref="G324">INDEX(GMW!$A$2:$NF$150,MATCH(1,(GMW!$NE$2:$NE$150=G$3)*(GMW!$ND$2:$ND$150=G$4)*(GMW!$NF$2:$NF$150=G$1),0),$C324-1966)</f>
        <v>96734.3</v>
      </c>
      <c r="H324" s="4" cm="1">
        <f t="array" ref="H324">INDEX(GMW!$A$2:$NF$150,MATCH(1,(GMW!$NE$2:$NE$150=H$3)*(GMW!$ND$2:$ND$150=H$4)*(GMW!$NF$2:$NF$150=H$1),0),$C324-1966)</f>
        <v>332466.59999999998</v>
      </c>
      <c r="I324" s="4" cm="1">
        <f t="array" ref="I324">INDEX(GMW!$A$2:$NF$150,MATCH(1,(GMW!$NE$2:$NE$150=I$3)*(GMW!$ND$2:$ND$150=I$4)*(GMW!$NF$2:$NF$150=I$1),0),$C324-1966)</f>
        <v>176887.9</v>
      </c>
      <c r="J324" s="4" cm="1">
        <f t="array" ref="J324">INDEX(GMW!$A$2:$NF$150,MATCH(1,(GMW!$NE$2:$NE$150=J$3)*(GMW!$ND$2:$ND$150=J$4)*(GMW!$NF$2:$NF$150=J$1),0),$C324-1966)</f>
        <v>193093.7</v>
      </c>
      <c r="K324" s="4" cm="1">
        <f t="array" ref="K324">INDEX(GMW!$A$2:$NF$150,MATCH(1,(GMW!$NE$2:$NE$150=K$3)*(GMW!$ND$2:$ND$150=K$4)*(GMW!$NF$2:$NF$150=K$1),0),$C324-1966)</f>
        <v>111383.3</v>
      </c>
      <c r="L324" s="4" cm="1">
        <f t="array" ref="L324">INDEX(GMW!$A$2:$NF$150,MATCH(1,(GMW!$NE$2:$NE$150=L$3)*(GMW!$ND$2:$ND$150=L$4)*(GMW!$NF$2:$NF$150=L$1),0),$C324-1966)</f>
        <v>967811</v>
      </c>
      <c r="M324" s="4" cm="1">
        <f t="array" ref="M324">INDEX(GMW!$A$2:$NF$150,MATCH(1,(GMW!$NE$2:$NE$150=M$3)*(GMW!$ND$2:$ND$150=M$4)*(GMW!$NF$2:$NF$150=M$1),0),$C324-1966)</f>
        <v>39270.800000000003</v>
      </c>
      <c r="N324" s="4" cm="1">
        <f t="array" ref="N324">INDEX(GMW!$A$2:$NF$150,MATCH(1,(GMW!$NE$2:$NE$150=N$3)*(GMW!$ND$2:$ND$150=N$4)*(GMW!$NF$2:$NF$150=N$1),0),$C324-1966)</f>
        <v>31.942170000000001</v>
      </c>
      <c r="O324" s="4" cm="1">
        <f t="array" ref="O324">INDEX(GMW!$A$2:$NF$150,MATCH(1,(GMW!$NE$2:$NE$150=O$3)*(GMW!$ND$2:$ND$150=O$4)*(GMW!$NF$2:$NF$150=O$1),0),$C324-1966)</f>
        <v>714026.3</v>
      </c>
      <c r="P324" s="4" cm="1">
        <f t="array" ref="P324">INDEX(GMW!$A$2:$NF$150,MATCH(1,(GMW!$NE$2:$NE$150=P$3)*(GMW!$ND$2:$ND$150=P$4)*(GMW!$NF$2:$NF$150=P$1),0),$C324-1966)</f>
        <v>46659.71</v>
      </c>
      <c r="Q324" s="4" cm="1">
        <f t="array" ref="Q324">INDEX(GMW!$A$2:$NF$150,MATCH(1,(GMW!$NE$2:$NE$150=Q$3)*(GMW!$ND$2:$ND$150=Q$4)*(GMW!$NF$2:$NF$150=Q$1),0),$C324-1966)</f>
        <v>5392141</v>
      </c>
      <c r="R324" s="4" cm="1">
        <f t="array" ref="R324">INDEX(GMW!$A$2:$NF$150,MATCH(1,(GMW!$NE$2:$NE$150=R$3)*(GMW!$ND$2:$ND$150=R$4)*(GMW!$NF$2:$NF$150=R$1),0),$C324-1966)</f>
        <v>-1.5864990000000001</v>
      </c>
      <c r="S324" s="4" cm="1">
        <f t="array" ref="S324">INDEX(GMW!$A$2:$NF$150,MATCH(1,(GMW!$NE$2:$NE$150=S$3)*(GMW!$ND$2:$ND$150=S$4)*(GMW!$NF$2:$NF$150=S$1),0),$C324-1966)</f>
        <v>976027.3</v>
      </c>
      <c r="T324" s="4" cm="1">
        <f t="array" ref="T324">INDEX(GMW!$A$2:$NF$150,MATCH(1,(GMW!$NE$2:$NE$150=T$3)*(GMW!$ND$2:$ND$150=T$4)*(GMW!$NF$2:$NF$150=T$1),0),$C324-1966)</f>
        <v>237.75800000000001</v>
      </c>
      <c r="U324" s="4" cm="1">
        <f t="array" ref="U324">INDEX(GMW!$A$2:$NF$150,MATCH(1,(GMW!$NE$2:$NE$150=U$3)*(GMW!$ND$2:$ND$150=U$4)*(GMW!$NF$2:$NF$150=U$1),0),$C324-1966)</f>
        <v>283133.2</v>
      </c>
      <c r="V324" s="4" cm="1">
        <f t="array" ref="V324">INDEX(GMW!$A$2:$NF$150,MATCH(1,(GMW!$NE$2:$NE$150=V$3)*(GMW!$ND$2:$ND$150=V$4)*(GMW!$NF$2:$NF$150=V$1),0),$C324-1966)</f>
        <v>101927.1</v>
      </c>
      <c r="W324" s="4" cm="1">
        <f t="array" ref="W324">INDEX(GMW!$A$2:$NF$150,MATCH(1,(GMW!$NE$2:$NE$150=W$3)*(GMW!$ND$2:$ND$150=W$4)*(GMW!$NF$2:$NF$150=W$1),0),$C324-1966)</f>
        <v>321782.2</v>
      </c>
      <c r="X324" s="4" cm="1">
        <f t="array" ref="X324">INDEX(GMW!$A$2:$NF$150,MATCH(1,(GMW!$NE$2:$NE$150=X$3)*(GMW!$ND$2:$ND$150=X$4)*(GMW!$NF$2:$NF$150=X$1),0),$C324-1966)</f>
        <v>170082.3</v>
      </c>
      <c r="Y324" s="4" cm="1">
        <f t="array" ref="Y324">INDEX(GMW!$A$2:$NF$150,MATCH(1,(GMW!$NE$2:$NE$150=Y$3)*(GMW!$ND$2:$ND$150=Y$4)*(GMW!$NF$2:$NF$150=Y$1),0),$C324-1966)</f>
        <v>196117.6</v>
      </c>
      <c r="Z324" s="4" cm="1">
        <f t="array" ref="Z324">INDEX(GMW!$A$2:$NF$150,MATCH(1,(GMW!$NE$2:$NE$150=Z$3)*(GMW!$ND$2:$ND$150=Z$4)*(GMW!$NF$2:$NF$150=Z$1),0),$C324-1966)</f>
        <v>114880.1</v>
      </c>
      <c r="AA324" s="4" cm="1">
        <f t="array" ref="AA324">INDEX(GMW!$A$2:$NF$150,MATCH(1,(GMW!$NE$2:$NE$150=AA$3)*(GMW!$ND$2:$ND$150=AA$4)*(GMW!$NF$2:$NF$150=AA$1),0),$C324-1966)</f>
        <v>976026.9</v>
      </c>
      <c r="AB324" s="4" cm="1">
        <f t="array" ref="AB324">INDEX(GMW!$A$2:$NF$150,MATCH(1,(GMW!$NE$2:$NE$150=AB$3)*(GMW!$ND$2:$ND$150=AB$4)*(GMW!$NF$2:$NF$150=AB$1),0),$C324-1966)</f>
        <v>39270.800000000003</v>
      </c>
      <c r="AC324" s="4" cm="1">
        <f t="array" ref="AC324">INDEX(GMW!$A$2:$NF$150,MATCH(1,(GMW!$NE$2:$NE$150=AC$3)*(GMW!$ND$2:$ND$150=AC$4)*(GMW!$NF$2:$NF$150=AC$1),0),$C324-1966)</f>
        <v>31.942170000000001</v>
      </c>
      <c r="AD324" s="4" cm="1">
        <f t="array" ref="AD324">INDEX(GMW!$A$2:$NF$150,MATCH(1,(GMW!$NE$2:$NE$150=AD$3)*(GMW!$ND$2:$ND$150=AD$4)*(GMW!$NF$2:$NF$150=AD$1),0),$C324-1966)</f>
        <v>714026.3</v>
      </c>
      <c r="AE324" s="4" cm="1">
        <f t="array" ref="AE324">INDEX(GMW!$A$2:$NF$150,MATCH(1,(GMW!$NE$2:$NE$150=AE$3)*(GMW!$ND$2:$ND$150=AE$4)*(GMW!$NF$2:$NF$150=AE$1),0),$C324-1966)</f>
        <v>46659.71</v>
      </c>
      <c r="AF324" s="4" cm="1">
        <f t="array" ref="AF324">INDEX(GMW!$A$2:$NF$150,MATCH(1,(GMW!$NE$2:$NE$150=AF$3)*(GMW!$ND$2:$ND$150=AF$4)*(GMW!$NF$2:$NF$150=AF$1),0),$C324-1966)</f>
        <v>5492285</v>
      </c>
      <c r="AG324" s="4" cm="1">
        <f t="array" ref="AG324">INDEX(GMW!$A$2:$NF$150,MATCH(1,(GMW!$NE$2:$NE$150=AG$3)*(GMW!$ND$2:$ND$150=AG$4)*(GMW!$NF$2:$NF$150=AG$1),0),$C324-1966)</f>
        <v>-1.584506</v>
      </c>
      <c r="AH324" s="4" cm="1">
        <f t="array" ref="AH324">INDEX(GMW!$A$2:$NF$150,MATCH(1,(GMW!$NE$2:$NE$150=AH$3)*(GMW!$ND$2:$ND$150=AH$4)*(GMW!$NF$2:$NF$150=AH$1),0),$C324-1966)</f>
        <v>979651.6</v>
      </c>
      <c r="AI324" s="4" cm="1">
        <f t="array" ref="AI324">INDEX(GMW!$A$2:$NF$150,MATCH(1,(GMW!$NE$2:$NE$150=AI$3)*(GMW!$ND$2:$ND$150=AI$4)*(GMW!$NF$2:$NF$150=AI$1),0),$C324-1966)</f>
        <v>236.18960000000001</v>
      </c>
      <c r="AJ324" s="4" cm="1">
        <f t="array" ref="AJ324">INDEX(GMW!$A$2:$NF$150,MATCH(1,(GMW!$NE$2:$NE$150=AJ$3)*(GMW!$ND$2:$ND$150=AJ$4)*(GMW!$NF$2:$NF$150=AJ$1),0),$C324-1966)</f>
        <v>289685.90000000002</v>
      </c>
      <c r="AK324" s="4" cm="1">
        <f t="array" ref="AK324">INDEX(GMW!$A$2:$NF$150,MATCH(1,(GMW!$NE$2:$NE$150=AK$3)*(GMW!$ND$2:$ND$150=AK$4)*(GMW!$NF$2:$NF$150=AK$1),0),$C324-1966)</f>
        <v>105393.60000000001</v>
      </c>
      <c r="AL324" s="4" cm="1">
        <f t="array" ref="AL324">INDEX(GMW!$A$2:$NF$150,MATCH(1,(GMW!$NE$2:$NE$150=AL$3)*(GMW!$ND$2:$ND$150=AL$4)*(GMW!$NF$2:$NF$150=AL$1),0),$C324-1966)</f>
        <v>327450.2</v>
      </c>
      <c r="AM324" s="4" cm="1">
        <f t="array" ref="AM324">INDEX(GMW!$A$2:$NF$150,MATCH(1,(GMW!$NE$2:$NE$150=AM$3)*(GMW!$ND$2:$ND$150=AM$4)*(GMW!$NF$2:$NF$150=AM$1),0),$C324-1966)</f>
        <v>174567.3</v>
      </c>
      <c r="AN324" s="4" cm="1">
        <f t="array" ref="AN324">INDEX(GMW!$A$2:$NF$150,MATCH(1,(GMW!$NE$2:$NE$150=AN$3)*(GMW!$ND$2:$ND$150=AN$4)*(GMW!$NF$2:$NF$150=AN$1),0),$C324-1966)</f>
        <v>196791.5</v>
      </c>
      <c r="AO324" s="4" cm="1">
        <f t="array" ref="AO324">INDEX(GMW!$A$2:$NF$150,MATCH(1,(GMW!$NE$2:$NE$150=AO$3)*(GMW!$ND$2:$ND$150=AO$4)*(GMW!$NF$2:$NF$150=AO$1),0),$C324-1966)</f>
        <v>116772.5</v>
      </c>
      <c r="AP324" s="4" cm="1">
        <f t="array" ref="AP324">INDEX(GMW!$A$2:$NF$150,MATCH(1,(GMW!$NE$2:$NE$150=AP$3)*(GMW!$ND$2:$ND$150=AP$4)*(GMW!$NF$2:$NF$150=AP$1),0),$C324-1966)</f>
        <v>979649.9</v>
      </c>
      <c r="AQ324" s="4" cm="1">
        <f t="array" ref="AQ324">INDEX(GMW!$A$2:$NF$150,MATCH(1,(GMW!$NE$2:$NE$150=AQ$3)*(GMW!$ND$2:$ND$150=AQ$4)*(GMW!$NF$2:$NF$150=AQ$1),0),$C324-1966)</f>
        <v>39363.519999999997</v>
      </c>
      <c r="AR324" s="4" cm="1">
        <f t="array" ref="AR324">INDEX(GMW!$A$2:$NF$150,MATCH(1,(GMW!$NE$2:$NE$150=AR$3)*(GMW!$ND$2:$ND$150=AR$4)*(GMW!$NF$2:$NF$150=AR$1),0),$C324-1966)</f>
        <v>31.942170000000001</v>
      </c>
      <c r="AS324" s="4" cm="1">
        <f t="array" ref="AS324">INDEX(GMW!$A$2:$NF$150,MATCH(1,(GMW!$NE$2:$NE$150=AS$3)*(GMW!$ND$2:$ND$150=AS$4)*(GMW!$NF$2:$NF$150=AS$1),0),$C324-1966)</f>
        <v>715920.8</v>
      </c>
      <c r="AT324" s="4" cm="1">
        <f t="array" ref="AT324">INDEX(GMW!$A$2:$NF$150,MATCH(1,(GMW!$NE$2:$NE$150=AT$3)*(GMW!$ND$2:$ND$150=AT$4)*(GMW!$NF$2:$NF$150=AT$1),0),$C324-1966)</f>
        <v>46767.360000000001</v>
      </c>
      <c r="AU324" s="4" cm="1">
        <f t="array" ref="AU324">INDEX(GMW!$A$2:$NF$150,MATCH(1,(GMW!$NE$2:$NE$150=AU$3)*(GMW!$ND$2:$ND$150=AU$4)*(GMW!$NF$2:$NF$150=AU$1),0),$C324-1966)</f>
        <v>5500456</v>
      </c>
      <c r="AV324" s="4" cm="1">
        <f t="array" ref="AV324">INDEX(GMW!$A$2:$NF$150,MATCH(1,(GMW!$NE$2:$NE$150=AV$3)*(GMW!$ND$2:$ND$150=AV$4)*(GMW!$NF$2:$NF$150=AV$1),0),$C324-1966)</f>
        <v>-1.5829219999999999</v>
      </c>
    </row>
    <row r="325" spans="1:48" x14ac:dyDescent="0.25">
      <c r="B325" s="4">
        <f t="shared" si="12"/>
        <v>2052</v>
      </c>
      <c r="C325" s="4">
        <f t="shared" si="13"/>
        <v>2291</v>
      </c>
      <c r="D325" s="4" cm="1">
        <f t="array" ref="D325">INDEX(GMW!$A$2:$NF$150,MATCH(1,(GMW!$NE$2:$NE$150=D$3)*(GMW!$ND$2:$ND$150=D$4)*(GMW!$NF$2:$NF$150=D$1),0),$C325-1966)</f>
        <v>970924.1</v>
      </c>
      <c r="E325" s="4" cm="1">
        <f t="array" ref="E325">INDEX(GMW!$A$2:$NF$150,MATCH(1,(GMW!$NE$2:$NE$150=E$3)*(GMW!$ND$2:$ND$150=E$4)*(GMW!$NF$2:$NF$150=E$1),0),$C325-1966)</f>
        <v>239.0429</v>
      </c>
      <c r="F325" s="4" cm="1">
        <f t="array" ref="F325">INDEX(GMW!$A$2:$NF$150,MATCH(1,(GMW!$NE$2:$NE$150=F$3)*(GMW!$ND$2:$ND$150=F$4)*(GMW!$NF$2:$NF$150=F$1),0),$C325-1966)</f>
        <v>296944</v>
      </c>
      <c r="G325" s="4" cm="1">
        <f t="array" ref="G325">INDEX(GMW!$A$2:$NF$150,MATCH(1,(GMW!$NE$2:$NE$150=G$3)*(GMW!$ND$2:$ND$150=G$4)*(GMW!$NF$2:$NF$150=G$1),0),$C325-1966)</f>
        <v>96968.07</v>
      </c>
      <c r="H325" s="4" cm="1">
        <f t="array" ref="H325">INDEX(GMW!$A$2:$NF$150,MATCH(1,(GMW!$NE$2:$NE$150=H$3)*(GMW!$ND$2:$ND$150=H$4)*(GMW!$NF$2:$NF$150=H$1),0),$C325-1966)</f>
        <v>333580.09999999998</v>
      </c>
      <c r="I325" s="4" cm="1">
        <f t="array" ref="I325">INDEX(GMW!$A$2:$NF$150,MATCH(1,(GMW!$NE$2:$NE$150=I$3)*(GMW!$ND$2:$ND$150=I$4)*(GMW!$NF$2:$NF$150=I$1),0),$C325-1966)</f>
        <v>177439.2</v>
      </c>
      <c r="J325" s="4" cm="1">
        <f t="array" ref="J325">INDEX(GMW!$A$2:$NF$150,MATCH(1,(GMW!$NE$2:$NE$150=J$3)*(GMW!$ND$2:$ND$150=J$4)*(GMW!$NF$2:$NF$150=J$1),0),$C325-1966)</f>
        <v>193903.3</v>
      </c>
      <c r="K325" s="4" cm="1">
        <f t="array" ref="K325">INDEX(GMW!$A$2:$NF$150,MATCH(1,(GMW!$NE$2:$NE$150=K$3)*(GMW!$ND$2:$ND$150=K$4)*(GMW!$NF$2:$NF$150=K$1),0),$C325-1966)</f>
        <v>111886.39999999999</v>
      </c>
      <c r="L325" s="4" cm="1">
        <f t="array" ref="L325">INDEX(GMW!$A$2:$NF$150,MATCH(1,(GMW!$NE$2:$NE$150=L$3)*(GMW!$ND$2:$ND$150=L$4)*(GMW!$NF$2:$NF$150=L$1),0),$C325-1966)</f>
        <v>970923.6</v>
      </c>
      <c r="M325" s="4" cm="1">
        <f t="array" ref="M325">INDEX(GMW!$A$2:$NF$150,MATCH(1,(GMW!$NE$2:$NE$150=M$3)*(GMW!$ND$2:$ND$150=M$4)*(GMW!$NF$2:$NF$150=M$1),0),$C325-1966)</f>
        <v>39276.980000000003</v>
      </c>
      <c r="N325" s="4" cm="1">
        <f t="array" ref="N325">INDEX(GMW!$A$2:$NF$150,MATCH(1,(GMW!$NE$2:$NE$150=N$3)*(GMW!$ND$2:$ND$150=N$4)*(GMW!$NF$2:$NF$150=N$1),0),$C325-1966)</f>
        <v>31.941420000000001</v>
      </c>
      <c r="O325" s="4" cm="1">
        <f t="array" ref="O325">INDEX(GMW!$A$2:$NF$150,MATCH(1,(GMW!$NE$2:$NE$150=O$3)*(GMW!$ND$2:$ND$150=O$4)*(GMW!$NF$2:$NF$150=O$1),0),$C325-1966)</f>
        <v>714208.7</v>
      </c>
      <c r="P325" s="4" cm="1">
        <f t="array" ref="P325">INDEX(GMW!$A$2:$NF$150,MATCH(1,(GMW!$NE$2:$NE$150=P$3)*(GMW!$ND$2:$ND$150=P$4)*(GMW!$NF$2:$NF$150=P$1),0),$C325-1966)</f>
        <v>46645.22</v>
      </c>
      <c r="Q325" s="4" cm="1">
        <f t="array" ref="Q325">INDEX(GMW!$A$2:$NF$150,MATCH(1,(GMW!$NE$2:$NE$150=Q$3)*(GMW!$ND$2:$ND$150=Q$4)*(GMW!$NF$2:$NF$150=Q$1),0),$C325-1966)</f>
        <v>5418106</v>
      </c>
      <c r="R325" s="4" cm="1">
        <f t="array" ref="R325">INDEX(GMW!$A$2:$NF$150,MATCH(1,(GMW!$NE$2:$NE$150=R$3)*(GMW!$ND$2:$ND$150=R$4)*(GMW!$NF$2:$NF$150=R$1),0),$C325-1966)</f>
        <v>-1.5852299999999999</v>
      </c>
      <c r="S325" s="4" cm="1">
        <f t="array" ref="S325">INDEX(GMW!$A$2:$NF$150,MATCH(1,(GMW!$NE$2:$NE$150=S$3)*(GMW!$ND$2:$ND$150=S$4)*(GMW!$NF$2:$NF$150=S$1),0),$C325-1966)</f>
        <v>979145.9</v>
      </c>
      <c r="T325" s="4" cm="1">
        <f t="array" ref="T325">INDEX(GMW!$A$2:$NF$150,MATCH(1,(GMW!$NE$2:$NE$150=T$3)*(GMW!$ND$2:$ND$150=T$4)*(GMW!$NF$2:$NF$150=T$1),0),$C325-1966)</f>
        <v>238.9049</v>
      </c>
      <c r="U325" s="4" cm="1">
        <f t="array" ref="U325">INDEX(GMW!$A$2:$NF$150,MATCH(1,(GMW!$NE$2:$NE$150=U$3)*(GMW!$ND$2:$ND$150=U$4)*(GMW!$NF$2:$NF$150=U$1),0),$C325-1966)</f>
        <v>283963.09999999998</v>
      </c>
      <c r="V325" s="4" cm="1">
        <f t="array" ref="V325">INDEX(GMW!$A$2:$NF$150,MATCH(1,(GMW!$NE$2:$NE$150=V$3)*(GMW!$ND$2:$ND$150=V$4)*(GMW!$NF$2:$NF$150=V$1),0),$C325-1966)</f>
        <v>102171.2</v>
      </c>
      <c r="W325" s="4" cm="1">
        <f t="array" ref="W325">INDEX(GMW!$A$2:$NF$150,MATCH(1,(GMW!$NE$2:$NE$150=W$3)*(GMW!$ND$2:$ND$150=W$4)*(GMW!$NF$2:$NF$150=W$1),0),$C325-1966)</f>
        <v>322846.59999999998</v>
      </c>
      <c r="X325" s="4" cm="1">
        <f t="array" ref="X325">INDEX(GMW!$A$2:$NF$150,MATCH(1,(GMW!$NE$2:$NE$150=X$3)*(GMW!$ND$2:$ND$150=X$4)*(GMW!$NF$2:$NF$150=X$1),0),$C325-1966)</f>
        <v>170608.8</v>
      </c>
      <c r="Y325" s="4" cm="1">
        <f t="array" ref="Y325">INDEX(GMW!$A$2:$NF$150,MATCH(1,(GMW!$NE$2:$NE$150=Y$3)*(GMW!$ND$2:$ND$150=Y$4)*(GMW!$NF$2:$NF$150=Y$1),0),$C325-1966)</f>
        <v>196930.7</v>
      </c>
      <c r="Z325" s="4" cm="1">
        <f t="array" ref="Z325">INDEX(GMW!$A$2:$NF$150,MATCH(1,(GMW!$NE$2:$NE$150=Z$3)*(GMW!$ND$2:$ND$150=Z$4)*(GMW!$NF$2:$NF$150=Z$1),0),$C325-1966)</f>
        <v>115390.8</v>
      </c>
      <c r="AA325" s="4" cm="1">
        <f t="array" ref="AA325">INDEX(GMW!$A$2:$NF$150,MATCH(1,(GMW!$NE$2:$NE$150=AA$3)*(GMW!$ND$2:$ND$150=AA$4)*(GMW!$NF$2:$NF$150=AA$1),0),$C325-1966)</f>
        <v>979146.4</v>
      </c>
      <c r="AB325" s="4" cm="1">
        <f t="array" ref="AB325">INDEX(GMW!$A$2:$NF$150,MATCH(1,(GMW!$NE$2:$NE$150=AB$3)*(GMW!$ND$2:$ND$150=AB$4)*(GMW!$NF$2:$NF$150=AB$1),0),$C325-1966)</f>
        <v>39276.980000000003</v>
      </c>
      <c r="AC325" s="4" cm="1">
        <f t="array" ref="AC325">INDEX(GMW!$A$2:$NF$150,MATCH(1,(GMW!$NE$2:$NE$150=AC$3)*(GMW!$ND$2:$ND$150=AC$4)*(GMW!$NF$2:$NF$150=AC$1),0),$C325-1966)</f>
        <v>31.941420000000001</v>
      </c>
      <c r="AD325" s="4" cm="1">
        <f t="array" ref="AD325">INDEX(GMW!$A$2:$NF$150,MATCH(1,(GMW!$NE$2:$NE$150=AD$3)*(GMW!$ND$2:$ND$150=AD$4)*(GMW!$NF$2:$NF$150=AD$1),0),$C325-1966)</f>
        <v>714208.7</v>
      </c>
      <c r="AE325" s="4" cm="1">
        <f t="array" ref="AE325">INDEX(GMW!$A$2:$NF$150,MATCH(1,(GMW!$NE$2:$NE$150=AE$3)*(GMW!$ND$2:$ND$150=AE$4)*(GMW!$NF$2:$NF$150=AE$1),0),$C325-1966)</f>
        <v>46645.22</v>
      </c>
      <c r="AF325" s="4" cm="1">
        <f t="array" ref="AF325">INDEX(GMW!$A$2:$NF$150,MATCH(1,(GMW!$NE$2:$NE$150=AF$3)*(GMW!$ND$2:$ND$150=AF$4)*(GMW!$NF$2:$NF$150=AF$1),0),$C325-1966)</f>
        <v>5518412</v>
      </c>
      <c r="AG325" s="4" cm="1">
        <f t="array" ref="AG325">INDEX(GMW!$A$2:$NF$150,MATCH(1,(GMW!$NE$2:$NE$150=AG$3)*(GMW!$ND$2:$ND$150=AG$4)*(GMW!$NF$2:$NF$150=AG$1),0),$C325-1966)</f>
        <v>-1.5832379999999999</v>
      </c>
      <c r="AH325" s="4" cm="1">
        <f t="array" ref="AH325">INDEX(GMW!$A$2:$NF$150,MATCH(1,(GMW!$NE$2:$NE$150=AH$3)*(GMW!$ND$2:$ND$150=AH$4)*(GMW!$NF$2:$NF$150=AH$1),0),$C325-1966)</f>
        <v>982932.4</v>
      </c>
      <c r="AI325" s="4" cm="1">
        <f t="array" ref="AI325">INDEX(GMW!$A$2:$NF$150,MATCH(1,(GMW!$NE$2:$NE$150=AI$3)*(GMW!$ND$2:$ND$150=AI$4)*(GMW!$NF$2:$NF$150=AI$1),0),$C325-1966)</f>
        <v>237.23220000000001</v>
      </c>
      <c r="AJ325" s="4" cm="1">
        <f t="array" ref="AJ325">INDEX(GMW!$A$2:$NF$150,MATCH(1,(GMW!$NE$2:$NE$150=AJ$3)*(GMW!$ND$2:$ND$150=AJ$4)*(GMW!$NF$2:$NF$150=AJ$1),0),$C325-1966)</f>
        <v>290570.09999999998</v>
      </c>
      <c r="AK325" s="4" cm="1">
        <f t="array" ref="AK325">INDEX(GMW!$A$2:$NF$150,MATCH(1,(GMW!$NE$2:$NE$150=AK$3)*(GMW!$ND$2:$ND$150=AK$4)*(GMW!$NF$2:$NF$150=AK$1),0),$C325-1966)</f>
        <v>105662.2</v>
      </c>
      <c r="AL325" s="4" cm="1">
        <f t="array" ref="AL325">INDEX(GMW!$A$2:$NF$150,MATCH(1,(GMW!$NE$2:$NE$150=AL$3)*(GMW!$ND$2:$ND$150=AL$4)*(GMW!$NF$2:$NF$150=AL$1),0),$C325-1966)</f>
        <v>328573.09999999998</v>
      </c>
      <c r="AM325" s="4" cm="1">
        <f t="array" ref="AM325">INDEX(GMW!$A$2:$NF$150,MATCH(1,(GMW!$NE$2:$NE$150=AM$3)*(GMW!$ND$2:$ND$150=AM$4)*(GMW!$NF$2:$NF$150=AM$1),0),$C325-1966)</f>
        <v>175134.5</v>
      </c>
      <c r="AN325" s="4" cm="1">
        <f t="array" ref="AN325">INDEX(GMW!$A$2:$NF$150,MATCH(1,(GMW!$NE$2:$NE$150=AN$3)*(GMW!$ND$2:$ND$150=AN$4)*(GMW!$NF$2:$NF$150=AN$1),0),$C325-1966)</f>
        <v>197638.2</v>
      </c>
      <c r="AO325" s="4" cm="1">
        <f t="array" ref="AO325">INDEX(GMW!$A$2:$NF$150,MATCH(1,(GMW!$NE$2:$NE$150=AO$3)*(GMW!$ND$2:$ND$150=AO$4)*(GMW!$NF$2:$NF$150=AO$1),0),$C325-1966)</f>
        <v>117309.5</v>
      </c>
      <c r="AP325" s="4" cm="1">
        <f t="array" ref="AP325">INDEX(GMW!$A$2:$NF$150,MATCH(1,(GMW!$NE$2:$NE$150=AP$3)*(GMW!$ND$2:$ND$150=AP$4)*(GMW!$NF$2:$NF$150=AP$1),0),$C325-1966)</f>
        <v>982932.8</v>
      </c>
      <c r="AQ325" s="4" cm="1">
        <f t="array" ref="AQ325">INDEX(GMW!$A$2:$NF$150,MATCH(1,(GMW!$NE$2:$NE$150=AQ$3)*(GMW!$ND$2:$ND$150=AQ$4)*(GMW!$NF$2:$NF$150=AQ$1),0),$C325-1966)</f>
        <v>39377.06</v>
      </c>
      <c r="AR325" s="4" cm="1">
        <f t="array" ref="AR325">INDEX(GMW!$A$2:$NF$150,MATCH(1,(GMW!$NE$2:$NE$150=AR$3)*(GMW!$ND$2:$ND$150=AR$4)*(GMW!$NF$2:$NF$150=AR$1),0),$C325-1966)</f>
        <v>31.941420000000001</v>
      </c>
      <c r="AS325" s="4" cm="1">
        <f t="array" ref="AS325">INDEX(GMW!$A$2:$NF$150,MATCH(1,(GMW!$NE$2:$NE$150=AS$3)*(GMW!$ND$2:$ND$150=AS$4)*(GMW!$NF$2:$NF$150=AS$1),0),$C325-1966)</f>
        <v>716225.8</v>
      </c>
      <c r="AT325" s="4" cm="1">
        <f t="array" ref="AT325">INDEX(GMW!$A$2:$NF$150,MATCH(1,(GMW!$NE$2:$NE$150=AT$3)*(GMW!$ND$2:$ND$150=AT$4)*(GMW!$NF$2:$NF$150=AT$1),0),$C325-1966)</f>
        <v>46760.92</v>
      </c>
      <c r="AU325" s="4" cm="1">
        <f t="array" ref="AU325">INDEX(GMW!$A$2:$NF$150,MATCH(1,(GMW!$NE$2:$NE$150=AU$3)*(GMW!$ND$2:$ND$150=AU$4)*(GMW!$NF$2:$NF$150=AU$1),0),$C325-1966)</f>
        <v>5527167</v>
      </c>
      <c r="AV325" s="4" cm="1">
        <f t="array" ref="AV325">INDEX(GMW!$A$2:$NF$150,MATCH(1,(GMW!$NE$2:$NE$150=AV$3)*(GMW!$ND$2:$ND$150=AV$4)*(GMW!$NF$2:$NF$150=AV$1),0),$C325-1966)</f>
        <v>-1.581655</v>
      </c>
    </row>
    <row r="326" spans="1:48" x14ac:dyDescent="0.25">
      <c r="B326" s="4">
        <f t="shared" si="12"/>
        <v>2052</v>
      </c>
      <c r="C326" s="4">
        <f t="shared" si="13"/>
        <v>2292</v>
      </c>
      <c r="D326" s="4" cm="1">
        <f t="array" ref="D326">INDEX(GMW!$A$2:$NF$150,MATCH(1,(GMW!$NE$2:$NE$150=D$3)*(GMW!$ND$2:$ND$150=D$4)*(GMW!$NF$2:$NF$150=D$1),0),$C326-1966)</f>
        <v>974041.59999999998</v>
      </c>
      <c r="E326" s="4" cm="1">
        <f t="array" ref="E326">INDEX(GMW!$A$2:$NF$150,MATCH(1,(GMW!$NE$2:$NE$150=E$3)*(GMW!$ND$2:$ND$150=E$4)*(GMW!$NF$2:$NF$150=E$1),0),$C326-1966)</f>
        <v>240.09530000000001</v>
      </c>
      <c r="F326" s="4" cm="1">
        <f t="array" ref="F326">INDEX(GMW!$A$2:$NF$150,MATCH(1,(GMW!$NE$2:$NE$150=F$3)*(GMW!$ND$2:$ND$150=F$4)*(GMW!$NF$2:$NF$150=F$1),0),$C326-1966)</f>
        <v>297834.5</v>
      </c>
      <c r="G326" s="4" cm="1">
        <f t="array" ref="G326">INDEX(GMW!$A$2:$NF$150,MATCH(1,(GMW!$NE$2:$NE$150=G$3)*(GMW!$ND$2:$ND$150=G$4)*(GMW!$NF$2:$NF$150=G$1),0),$C326-1966)</f>
        <v>97201.84</v>
      </c>
      <c r="H326" s="4" cm="1">
        <f t="array" ref="H326">INDEX(GMW!$A$2:$NF$150,MATCH(1,(GMW!$NE$2:$NE$150=H$3)*(GMW!$ND$2:$ND$150=H$4)*(GMW!$NF$2:$NF$150=H$1),0),$C326-1966)</f>
        <v>334695.8</v>
      </c>
      <c r="I326" s="4" cm="1">
        <f t="array" ref="I326">INDEX(GMW!$A$2:$NF$150,MATCH(1,(GMW!$NE$2:$NE$150=I$3)*(GMW!$ND$2:$ND$150=I$4)*(GMW!$NF$2:$NF$150=I$1),0),$C326-1966)</f>
        <v>177991.1</v>
      </c>
      <c r="J326" s="4" cm="1">
        <f t="array" ref="J326">INDEX(GMW!$A$2:$NF$150,MATCH(1,(GMW!$NE$2:$NE$150=J$3)*(GMW!$ND$2:$ND$150=J$4)*(GMW!$NF$2:$NF$150=J$1),0),$C326-1966)</f>
        <v>194715.2</v>
      </c>
      <c r="K326" s="4" cm="1">
        <f t="array" ref="K326">INDEX(GMW!$A$2:$NF$150,MATCH(1,(GMW!$NE$2:$NE$150=K$3)*(GMW!$ND$2:$ND$150=K$4)*(GMW!$NF$2:$NF$150=K$1),0),$C326-1966)</f>
        <v>112391.1</v>
      </c>
      <c r="L326" s="4" cm="1">
        <f t="array" ref="L326">INDEX(GMW!$A$2:$NF$150,MATCH(1,(GMW!$NE$2:$NE$150=L$3)*(GMW!$ND$2:$ND$150=L$4)*(GMW!$NF$2:$NF$150=L$1),0),$C326-1966)</f>
        <v>974041.7</v>
      </c>
      <c r="M326" s="4" cm="1">
        <f t="array" ref="M326">INDEX(GMW!$A$2:$NF$150,MATCH(1,(GMW!$NE$2:$NE$150=M$3)*(GMW!$ND$2:$ND$150=M$4)*(GMW!$NF$2:$NF$150=M$1),0),$C326-1966)</f>
        <v>39283.160000000003</v>
      </c>
      <c r="N326" s="4" cm="1">
        <f t="array" ref="N326">INDEX(GMW!$A$2:$NF$150,MATCH(1,(GMW!$NE$2:$NE$150=N$3)*(GMW!$ND$2:$ND$150=N$4)*(GMW!$NF$2:$NF$150=N$1),0),$C326-1966)</f>
        <v>31.940670000000001</v>
      </c>
      <c r="O326" s="4" cm="1">
        <f t="array" ref="O326">INDEX(GMW!$A$2:$NF$150,MATCH(1,(GMW!$NE$2:$NE$150=O$3)*(GMW!$ND$2:$ND$150=O$4)*(GMW!$NF$2:$NF$150=O$1),0),$C326-1966)</f>
        <v>714389.6</v>
      </c>
      <c r="P326" s="4" cm="1">
        <f t="array" ref="P326">INDEX(GMW!$A$2:$NF$150,MATCH(1,(GMW!$NE$2:$NE$150=P$3)*(GMW!$ND$2:$ND$150=P$4)*(GMW!$NF$2:$NF$150=P$1),0),$C326-1966)</f>
        <v>46630.73</v>
      </c>
      <c r="Q326" s="4" cm="1">
        <f t="array" ref="Q326">INDEX(GMW!$A$2:$NF$150,MATCH(1,(GMW!$NE$2:$NE$150=Q$3)*(GMW!$ND$2:$ND$150=Q$4)*(GMW!$NF$2:$NF$150=Q$1),0),$C326-1966)</f>
        <v>5444131</v>
      </c>
      <c r="R326" s="4" cm="1">
        <f t="array" ref="R326">INDEX(GMW!$A$2:$NF$150,MATCH(1,(GMW!$NE$2:$NE$150=R$3)*(GMW!$ND$2:$ND$150=R$4)*(GMW!$NF$2:$NF$150=R$1),0),$C326-1966)</f>
        <v>-1.5839620000000001</v>
      </c>
      <c r="S326" s="4" cm="1">
        <f t="array" ref="S326">INDEX(GMW!$A$2:$NF$150,MATCH(1,(GMW!$NE$2:$NE$150=S$3)*(GMW!$ND$2:$ND$150=S$4)*(GMW!$NF$2:$NF$150=S$1),0),$C326-1966)</f>
        <v>982268.3</v>
      </c>
      <c r="T326" s="4" cm="1">
        <f t="array" ref="T326">INDEX(GMW!$A$2:$NF$150,MATCH(1,(GMW!$NE$2:$NE$150=T$3)*(GMW!$ND$2:$ND$150=T$4)*(GMW!$NF$2:$NF$150=T$1),0),$C326-1966)</f>
        <v>239.92789999999999</v>
      </c>
      <c r="U326" s="4" cm="1">
        <f t="array" ref="U326">INDEX(GMW!$A$2:$NF$150,MATCH(1,(GMW!$NE$2:$NE$150=U$3)*(GMW!$ND$2:$ND$150=U$4)*(GMW!$NF$2:$NF$150=U$1),0),$C326-1966)</f>
        <v>284794.2</v>
      </c>
      <c r="V326" s="4" cm="1">
        <f t="array" ref="V326">INDEX(GMW!$A$2:$NF$150,MATCH(1,(GMW!$NE$2:$NE$150=V$3)*(GMW!$ND$2:$ND$150=V$4)*(GMW!$NF$2:$NF$150=V$1),0),$C326-1966)</f>
        <v>102415.3</v>
      </c>
      <c r="W326" s="4" cm="1">
        <f t="array" ref="W326">INDEX(GMW!$A$2:$NF$150,MATCH(1,(GMW!$NE$2:$NE$150=W$3)*(GMW!$ND$2:$ND$150=W$4)*(GMW!$NF$2:$NF$150=W$1),0),$C326-1966)</f>
        <v>323912.90000000002</v>
      </c>
      <c r="X326" s="4" cm="1">
        <f t="array" ref="X326">INDEX(GMW!$A$2:$NF$150,MATCH(1,(GMW!$NE$2:$NE$150=X$3)*(GMW!$ND$2:$ND$150=X$4)*(GMW!$NF$2:$NF$150=X$1),0),$C326-1966)</f>
        <v>171135.8</v>
      </c>
      <c r="Y326" s="4" cm="1">
        <f t="array" ref="Y326">INDEX(GMW!$A$2:$NF$150,MATCH(1,(GMW!$NE$2:$NE$150=Y$3)*(GMW!$ND$2:$ND$150=Y$4)*(GMW!$NF$2:$NF$150=Y$1),0),$C326-1966)</f>
        <v>197745.9</v>
      </c>
      <c r="Z326" s="4" cm="1">
        <f t="array" ref="Z326">INDEX(GMW!$A$2:$NF$150,MATCH(1,(GMW!$NE$2:$NE$150=Z$3)*(GMW!$ND$2:$ND$150=Z$4)*(GMW!$NF$2:$NF$150=Z$1),0),$C326-1966)</f>
        <v>115903</v>
      </c>
      <c r="AA326" s="4" cm="1">
        <f t="array" ref="AA326">INDEX(GMW!$A$2:$NF$150,MATCH(1,(GMW!$NE$2:$NE$150=AA$3)*(GMW!$ND$2:$ND$150=AA$4)*(GMW!$NF$2:$NF$150=AA$1),0),$C326-1966)</f>
        <v>982268.4</v>
      </c>
      <c r="AB326" s="4" cm="1">
        <f t="array" ref="AB326">INDEX(GMW!$A$2:$NF$150,MATCH(1,(GMW!$NE$2:$NE$150=AB$3)*(GMW!$ND$2:$ND$150=AB$4)*(GMW!$NF$2:$NF$150=AB$1),0),$C326-1966)</f>
        <v>39283.160000000003</v>
      </c>
      <c r="AC326" s="4" cm="1">
        <f t="array" ref="AC326">INDEX(GMW!$A$2:$NF$150,MATCH(1,(GMW!$NE$2:$NE$150=AC$3)*(GMW!$ND$2:$ND$150=AC$4)*(GMW!$NF$2:$NF$150=AC$1),0),$C326-1966)</f>
        <v>31.940670000000001</v>
      </c>
      <c r="AD326" s="4" cm="1">
        <f t="array" ref="AD326">INDEX(GMW!$A$2:$NF$150,MATCH(1,(GMW!$NE$2:$NE$150=AD$3)*(GMW!$ND$2:$ND$150=AD$4)*(GMW!$NF$2:$NF$150=AD$1),0),$C326-1966)</f>
        <v>714389.6</v>
      </c>
      <c r="AE326" s="4" cm="1">
        <f t="array" ref="AE326">INDEX(GMW!$A$2:$NF$150,MATCH(1,(GMW!$NE$2:$NE$150=AE$3)*(GMW!$ND$2:$ND$150=AE$4)*(GMW!$NF$2:$NF$150=AE$1),0),$C326-1966)</f>
        <v>46630.73</v>
      </c>
      <c r="AF326" s="4" cm="1">
        <f t="array" ref="AF326">INDEX(GMW!$A$2:$NF$150,MATCH(1,(GMW!$NE$2:$NE$150=AF$3)*(GMW!$ND$2:$ND$150=AF$4)*(GMW!$NF$2:$NF$150=AF$1),0),$C326-1966)</f>
        <v>5544588</v>
      </c>
      <c r="AG326" s="4" cm="1">
        <f t="array" ref="AG326">INDEX(GMW!$A$2:$NF$150,MATCH(1,(GMW!$NE$2:$NE$150=AG$3)*(GMW!$ND$2:$ND$150=AG$4)*(GMW!$NF$2:$NF$150=AG$1),0),$C326-1966)</f>
        <v>-1.581971</v>
      </c>
      <c r="AH326" s="4" cm="1">
        <f t="array" ref="AH326">INDEX(GMW!$A$2:$NF$150,MATCH(1,(GMW!$NE$2:$NE$150=AH$3)*(GMW!$ND$2:$ND$150=AH$4)*(GMW!$NF$2:$NF$150=AH$1),0),$C326-1966)</f>
        <v>986218.1</v>
      </c>
      <c r="AI326" s="4" cm="1">
        <f t="array" ref="AI326">INDEX(GMW!$A$2:$NF$150,MATCH(1,(GMW!$NE$2:$NE$150=AI$3)*(GMW!$ND$2:$ND$150=AI$4)*(GMW!$NF$2:$NF$150=AI$1),0),$C326-1966)</f>
        <v>238.4059</v>
      </c>
      <c r="AJ326" s="4" cm="1">
        <f t="array" ref="AJ326">INDEX(GMW!$A$2:$NF$150,MATCH(1,(GMW!$NE$2:$NE$150=AJ$3)*(GMW!$ND$2:$ND$150=AJ$4)*(GMW!$NF$2:$NF$150=AJ$1),0),$C326-1966)</f>
        <v>291455.8</v>
      </c>
      <c r="AK326" s="4" cm="1">
        <f t="array" ref="AK326">INDEX(GMW!$A$2:$NF$150,MATCH(1,(GMW!$NE$2:$NE$150=AK$3)*(GMW!$ND$2:$ND$150=AK$4)*(GMW!$NF$2:$NF$150=AK$1),0),$C326-1966)</f>
        <v>105930.9</v>
      </c>
      <c r="AL326" s="4" cm="1">
        <f t="array" ref="AL326">INDEX(GMW!$A$2:$NF$150,MATCH(1,(GMW!$NE$2:$NE$150=AL$3)*(GMW!$ND$2:$ND$150=AL$4)*(GMW!$NF$2:$NF$150=AL$1),0),$C326-1966)</f>
        <v>329698.40000000002</v>
      </c>
      <c r="AM326" s="4" cm="1">
        <f t="array" ref="AM326">INDEX(GMW!$A$2:$NF$150,MATCH(1,(GMW!$NE$2:$NE$150=AM$3)*(GMW!$ND$2:$ND$150=AM$4)*(GMW!$NF$2:$NF$150=AM$1),0),$C326-1966)</f>
        <v>175702.39999999999</v>
      </c>
      <c r="AN326" s="4" cm="1">
        <f t="array" ref="AN326">INDEX(GMW!$A$2:$NF$150,MATCH(1,(GMW!$NE$2:$NE$150=AN$3)*(GMW!$ND$2:$ND$150=AN$4)*(GMW!$NF$2:$NF$150=AN$1),0),$C326-1966)</f>
        <v>198487.4</v>
      </c>
      <c r="AO326" s="4" cm="1">
        <f t="array" ref="AO326">INDEX(GMW!$A$2:$NF$150,MATCH(1,(GMW!$NE$2:$NE$150=AO$3)*(GMW!$ND$2:$ND$150=AO$4)*(GMW!$NF$2:$NF$150=AO$1),0),$C326-1966)</f>
        <v>117848.3</v>
      </c>
      <c r="AP326" s="4" cm="1">
        <f t="array" ref="AP326">INDEX(GMW!$A$2:$NF$150,MATCH(1,(GMW!$NE$2:$NE$150=AP$3)*(GMW!$ND$2:$ND$150=AP$4)*(GMW!$NF$2:$NF$150=AP$1),0),$C326-1966)</f>
        <v>986218.2</v>
      </c>
      <c r="AQ326" s="4" cm="1">
        <f t="array" ref="AQ326">INDEX(GMW!$A$2:$NF$150,MATCH(1,(GMW!$NE$2:$NE$150=AQ$3)*(GMW!$ND$2:$ND$150=AQ$4)*(GMW!$NF$2:$NF$150=AQ$1),0),$C326-1966)</f>
        <v>39390.589999999997</v>
      </c>
      <c r="AR326" s="4" cm="1">
        <f t="array" ref="AR326">INDEX(GMW!$A$2:$NF$150,MATCH(1,(GMW!$NE$2:$NE$150=AR$3)*(GMW!$ND$2:$ND$150=AR$4)*(GMW!$NF$2:$NF$150=AR$1),0),$C326-1966)</f>
        <v>31.940670000000001</v>
      </c>
      <c r="AS326" s="4" cm="1">
        <f t="array" ref="AS326">INDEX(GMW!$A$2:$NF$150,MATCH(1,(GMW!$NE$2:$NE$150=AS$3)*(GMW!$ND$2:$ND$150=AS$4)*(GMW!$NF$2:$NF$150=AS$1),0),$C326-1966)</f>
        <v>716529.2</v>
      </c>
      <c r="AT326" s="4" cm="1">
        <f t="array" ref="AT326">INDEX(GMW!$A$2:$NF$150,MATCH(1,(GMW!$NE$2:$NE$150=AT$3)*(GMW!$ND$2:$ND$150=AT$4)*(GMW!$NF$2:$NF$150=AT$1),0),$C326-1966)</f>
        <v>46754.48</v>
      </c>
      <c r="AU326" s="4" cm="1">
        <f t="array" ref="AU326">INDEX(GMW!$A$2:$NF$150,MATCH(1,(GMW!$NE$2:$NE$150=AU$3)*(GMW!$ND$2:$ND$150=AU$4)*(GMW!$NF$2:$NF$150=AU$1),0),$C326-1966)</f>
        <v>5553940</v>
      </c>
      <c r="AV326" s="4" cm="1">
        <f t="array" ref="AV326">INDEX(GMW!$A$2:$NF$150,MATCH(1,(GMW!$NE$2:$NE$150=AV$3)*(GMW!$ND$2:$ND$150=AV$4)*(GMW!$NF$2:$NF$150=AV$1),0),$C326-1966)</f>
        <v>-1.58039</v>
      </c>
    </row>
    <row r="327" spans="1:48" x14ac:dyDescent="0.25">
      <c r="A327" s="4">
        <v>2053</v>
      </c>
      <c r="B327" s="4">
        <f t="shared" si="12"/>
        <v>2053</v>
      </c>
      <c r="C327" s="4">
        <f t="shared" si="13"/>
        <v>2293</v>
      </c>
      <c r="D327" s="4" cm="1">
        <f t="array" ref="D327">INDEX(GMW!$A$2:$NF$150,MATCH(1,(GMW!$NE$2:$NE$150=D$3)*(GMW!$ND$2:$ND$150=D$4)*(GMW!$NF$2:$NF$150=D$1),0),$C327-1966)</f>
        <v>977163.4</v>
      </c>
      <c r="E327" s="4" cm="1">
        <f t="array" ref="E327">INDEX(GMW!$A$2:$NF$150,MATCH(1,(GMW!$NE$2:$NE$150=E$3)*(GMW!$ND$2:$ND$150=E$4)*(GMW!$NF$2:$NF$150=E$1),0),$C327-1966)</f>
        <v>240.58680000000001</v>
      </c>
      <c r="F327" s="4" cm="1">
        <f t="array" ref="F327">INDEX(GMW!$A$2:$NF$150,MATCH(1,(GMW!$NE$2:$NE$150=F$3)*(GMW!$ND$2:$ND$150=F$4)*(GMW!$NF$2:$NF$150=F$1),0),$C327-1966)</f>
        <v>298726.40000000002</v>
      </c>
      <c r="G327" s="4" cm="1">
        <f t="array" ref="G327">INDEX(GMW!$A$2:$NF$150,MATCH(1,(GMW!$NE$2:$NE$150=G$3)*(GMW!$ND$2:$ND$150=G$4)*(GMW!$NF$2:$NF$150=G$1),0),$C327-1966)</f>
        <v>97435.61</v>
      </c>
      <c r="H327" s="4" cm="1">
        <f t="array" ref="H327">INDEX(GMW!$A$2:$NF$150,MATCH(1,(GMW!$NE$2:$NE$150=H$3)*(GMW!$ND$2:$ND$150=H$4)*(GMW!$NF$2:$NF$150=H$1),0),$C327-1966)</f>
        <v>335813.8</v>
      </c>
      <c r="I327" s="4" cm="1">
        <f t="array" ref="I327">INDEX(GMW!$A$2:$NF$150,MATCH(1,(GMW!$NE$2:$NE$150=I$3)*(GMW!$ND$2:$ND$150=I$4)*(GMW!$NF$2:$NF$150=I$1),0),$C327-1966)</f>
        <v>178543.8</v>
      </c>
      <c r="J327" s="4" cm="1">
        <f t="array" ref="J327">INDEX(GMW!$A$2:$NF$150,MATCH(1,(GMW!$NE$2:$NE$150=J$3)*(GMW!$ND$2:$ND$150=J$4)*(GMW!$NF$2:$NF$150=J$1),0),$C327-1966)</f>
        <v>195529.4</v>
      </c>
      <c r="K327" s="4" cm="1">
        <f t="array" ref="K327">INDEX(GMW!$A$2:$NF$150,MATCH(1,(GMW!$NE$2:$NE$150=K$3)*(GMW!$ND$2:$ND$150=K$4)*(GMW!$NF$2:$NF$150=K$1),0),$C327-1966)</f>
        <v>112897.4</v>
      </c>
      <c r="L327" s="4" cm="1">
        <f t="array" ref="L327">INDEX(GMW!$A$2:$NF$150,MATCH(1,(GMW!$NE$2:$NE$150=L$3)*(GMW!$ND$2:$ND$150=L$4)*(GMW!$NF$2:$NF$150=L$1),0),$C327-1966)</f>
        <v>977162.3</v>
      </c>
      <c r="M327" s="4" cm="1">
        <f t="array" ref="M327">INDEX(GMW!$A$2:$NF$150,MATCH(1,(GMW!$NE$2:$NE$150=M$3)*(GMW!$ND$2:$ND$150=M$4)*(GMW!$NF$2:$NF$150=M$1),0),$C327-1966)</f>
        <v>39289.339999999997</v>
      </c>
      <c r="N327" s="4" cm="1">
        <f t="array" ref="N327">INDEX(GMW!$A$2:$NF$150,MATCH(1,(GMW!$NE$2:$NE$150=N$3)*(GMW!$ND$2:$ND$150=N$4)*(GMW!$NF$2:$NF$150=N$1),0),$C327-1966)</f>
        <v>31.939920000000001</v>
      </c>
      <c r="O327" s="4" cm="1">
        <f t="array" ref="O327">INDEX(GMW!$A$2:$NF$150,MATCH(1,(GMW!$NE$2:$NE$150=O$3)*(GMW!$ND$2:$ND$150=O$4)*(GMW!$NF$2:$NF$150=O$1),0),$C327-1966)</f>
        <v>714569</v>
      </c>
      <c r="P327" s="4" cm="1">
        <f t="array" ref="P327">INDEX(GMW!$A$2:$NF$150,MATCH(1,(GMW!$NE$2:$NE$150=P$3)*(GMW!$ND$2:$ND$150=P$4)*(GMW!$NF$2:$NF$150=P$1),0),$C327-1966)</f>
        <v>46616.24</v>
      </c>
      <c r="Q327" s="4" cm="1">
        <f t="array" ref="Q327">INDEX(GMW!$A$2:$NF$150,MATCH(1,(GMW!$NE$2:$NE$150=Q$3)*(GMW!$ND$2:$ND$150=Q$4)*(GMW!$NF$2:$NF$150=Q$1),0),$C327-1966)</f>
        <v>5470218</v>
      </c>
      <c r="R327" s="4" cm="1">
        <f t="array" ref="R327">INDEX(GMW!$A$2:$NF$150,MATCH(1,(GMW!$NE$2:$NE$150=R$3)*(GMW!$ND$2:$ND$150=R$4)*(GMW!$NF$2:$NF$150=R$1),0),$C327-1966)</f>
        <v>-1.582695</v>
      </c>
      <c r="S327" s="4" cm="1">
        <f t="array" ref="S327">INDEX(GMW!$A$2:$NF$150,MATCH(1,(GMW!$NE$2:$NE$150=S$3)*(GMW!$ND$2:$ND$150=S$4)*(GMW!$NF$2:$NF$150=S$1),0),$C327-1966)</f>
        <v>985394.3</v>
      </c>
      <c r="T327" s="4" cm="1">
        <f t="array" ref="T327">INDEX(GMW!$A$2:$NF$150,MATCH(1,(GMW!$NE$2:$NE$150=T$3)*(GMW!$ND$2:$ND$150=T$4)*(GMW!$NF$2:$NF$150=T$1),0),$C327-1966)</f>
        <v>240.33269999999999</v>
      </c>
      <c r="U327" s="4" cm="1">
        <f t="array" ref="U327">INDEX(GMW!$A$2:$NF$150,MATCH(1,(GMW!$NE$2:$NE$150=U$3)*(GMW!$ND$2:$ND$150=U$4)*(GMW!$NF$2:$NF$150=U$1),0),$C327-1966)</f>
        <v>285626.3</v>
      </c>
      <c r="V327" s="4" cm="1">
        <f t="array" ref="V327">INDEX(GMW!$A$2:$NF$150,MATCH(1,(GMW!$NE$2:$NE$150=V$3)*(GMW!$ND$2:$ND$150=V$4)*(GMW!$NF$2:$NF$150=V$1),0),$C327-1966)</f>
        <v>102659.3</v>
      </c>
      <c r="W327" s="4" cm="1">
        <f t="array" ref="W327">INDEX(GMW!$A$2:$NF$150,MATCH(1,(GMW!$NE$2:$NE$150=W$3)*(GMW!$ND$2:$ND$150=W$4)*(GMW!$NF$2:$NF$150=W$1),0),$C327-1966)</f>
        <v>324981.09999999998</v>
      </c>
      <c r="X327" s="4" cm="1">
        <f t="array" ref="X327">INDEX(GMW!$A$2:$NF$150,MATCH(1,(GMW!$NE$2:$NE$150=X$3)*(GMW!$ND$2:$ND$150=X$4)*(GMW!$NF$2:$NF$150=X$1),0),$C327-1966)</f>
        <v>171663.3</v>
      </c>
      <c r="Y327" s="4" cm="1">
        <f t="array" ref="Y327">INDEX(GMW!$A$2:$NF$150,MATCH(1,(GMW!$NE$2:$NE$150=Y$3)*(GMW!$ND$2:$ND$150=Y$4)*(GMW!$NF$2:$NF$150=Y$1),0),$C327-1966)</f>
        <v>198563.20000000001</v>
      </c>
      <c r="Z327" s="4" cm="1">
        <f t="array" ref="Z327">INDEX(GMW!$A$2:$NF$150,MATCH(1,(GMW!$NE$2:$NE$150=Z$3)*(GMW!$ND$2:$ND$150=Z$4)*(GMW!$NF$2:$NF$150=Z$1),0),$C327-1966)</f>
        <v>116416.7</v>
      </c>
      <c r="AA327" s="4" cm="1">
        <f t="array" ref="AA327">INDEX(GMW!$A$2:$NF$150,MATCH(1,(GMW!$NE$2:$NE$150=AA$3)*(GMW!$ND$2:$ND$150=AA$4)*(GMW!$NF$2:$NF$150=AA$1),0),$C327-1966)</f>
        <v>985394.6</v>
      </c>
      <c r="AB327" s="4" cm="1">
        <f t="array" ref="AB327">INDEX(GMW!$A$2:$NF$150,MATCH(1,(GMW!$NE$2:$NE$150=AB$3)*(GMW!$ND$2:$ND$150=AB$4)*(GMW!$NF$2:$NF$150=AB$1),0),$C327-1966)</f>
        <v>39289.339999999997</v>
      </c>
      <c r="AC327" s="4" cm="1">
        <f t="array" ref="AC327">INDEX(GMW!$A$2:$NF$150,MATCH(1,(GMW!$NE$2:$NE$150=AC$3)*(GMW!$ND$2:$ND$150=AC$4)*(GMW!$NF$2:$NF$150=AC$1),0),$C327-1966)</f>
        <v>31.939920000000001</v>
      </c>
      <c r="AD327" s="4" cm="1">
        <f t="array" ref="AD327">INDEX(GMW!$A$2:$NF$150,MATCH(1,(GMW!$NE$2:$NE$150=AD$3)*(GMW!$ND$2:$ND$150=AD$4)*(GMW!$NF$2:$NF$150=AD$1),0),$C327-1966)</f>
        <v>714569</v>
      </c>
      <c r="AE327" s="4" cm="1">
        <f t="array" ref="AE327">INDEX(GMW!$A$2:$NF$150,MATCH(1,(GMW!$NE$2:$NE$150=AE$3)*(GMW!$ND$2:$ND$150=AE$4)*(GMW!$NF$2:$NF$150=AE$1),0),$C327-1966)</f>
        <v>46616.24</v>
      </c>
      <c r="AF327" s="4" cm="1">
        <f t="array" ref="AF327">INDEX(GMW!$A$2:$NF$150,MATCH(1,(GMW!$NE$2:$NE$150=AF$3)*(GMW!$ND$2:$ND$150=AF$4)*(GMW!$NF$2:$NF$150=AF$1),0),$C327-1966)</f>
        <v>5570814</v>
      </c>
      <c r="AG327" s="4" cm="1">
        <f t="array" ref="AG327">INDEX(GMW!$A$2:$NF$150,MATCH(1,(GMW!$NE$2:$NE$150=AG$3)*(GMW!$ND$2:$ND$150=AG$4)*(GMW!$NF$2:$NF$150=AG$1),0),$C327-1966)</f>
        <v>-1.5807059999999999</v>
      </c>
      <c r="AH327" s="4" cm="1">
        <f t="array" ref="AH327">INDEX(GMW!$A$2:$NF$150,MATCH(1,(GMW!$NE$2:$NE$150=AH$3)*(GMW!$ND$2:$ND$150=AH$4)*(GMW!$NF$2:$NF$150=AH$1),0),$C327-1966)</f>
        <v>989509</v>
      </c>
      <c r="AI327" s="4" cm="1">
        <f t="array" ref="AI327">INDEX(GMW!$A$2:$NF$150,MATCH(1,(GMW!$NE$2:$NE$150=AI$3)*(GMW!$ND$2:$ND$150=AI$4)*(GMW!$NF$2:$NF$150=AI$1),0),$C327-1966)</f>
        <v>238.8586</v>
      </c>
      <c r="AJ327" s="4" cm="1">
        <f t="array" ref="AJ327">INDEX(GMW!$A$2:$NF$150,MATCH(1,(GMW!$NE$2:$NE$150=AJ$3)*(GMW!$ND$2:$ND$150=AJ$4)*(GMW!$NF$2:$NF$150=AJ$1),0),$C327-1966)</f>
        <v>292343</v>
      </c>
      <c r="AK327" s="4" cm="1">
        <f t="array" ref="AK327">INDEX(GMW!$A$2:$NF$150,MATCH(1,(GMW!$NE$2:$NE$150=AK$3)*(GMW!$ND$2:$ND$150=AK$4)*(GMW!$NF$2:$NF$150=AK$1),0),$C327-1966)</f>
        <v>106199.6</v>
      </c>
      <c r="AL327" s="4" cm="1">
        <f t="array" ref="AL327">INDEX(GMW!$A$2:$NF$150,MATCH(1,(GMW!$NE$2:$NE$150=AL$3)*(GMW!$ND$2:$ND$150=AL$4)*(GMW!$NF$2:$NF$150=AL$1),0),$C327-1966)</f>
        <v>330826.2</v>
      </c>
      <c r="AM327" s="4" cm="1">
        <f t="array" ref="AM327">INDEX(GMW!$A$2:$NF$150,MATCH(1,(GMW!$NE$2:$NE$150=AM$3)*(GMW!$ND$2:$ND$150=AM$4)*(GMW!$NF$2:$NF$150=AM$1),0),$C327-1966)</f>
        <v>176271.2</v>
      </c>
      <c r="AN327" s="4" cm="1">
        <f t="array" ref="AN327">INDEX(GMW!$A$2:$NF$150,MATCH(1,(GMW!$NE$2:$NE$150=AN$3)*(GMW!$ND$2:$ND$150=AN$4)*(GMW!$NF$2:$NF$150=AN$1),0),$C327-1966)</f>
        <v>199339.1</v>
      </c>
      <c r="AO327" s="4" cm="1">
        <f t="array" ref="AO327">INDEX(GMW!$A$2:$NF$150,MATCH(1,(GMW!$NE$2:$NE$150=AO$3)*(GMW!$ND$2:$ND$150=AO$4)*(GMW!$NF$2:$NF$150=AO$1),0),$C327-1966)</f>
        <v>118388.9</v>
      </c>
      <c r="AP327" s="4" cm="1">
        <f t="array" ref="AP327">INDEX(GMW!$A$2:$NF$150,MATCH(1,(GMW!$NE$2:$NE$150=AP$3)*(GMW!$ND$2:$ND$150=AP$4)*(GMW!$NF$2:$NF$150=AP$1),0),$C327-1966)</f>
        <v>989508.9</v>
      </c>
      <c r="AQ327" s="4" cm="1">
        <f t="array" ref="AQ327">INDEX(GMW!$A$2:$NF$150,MATCH(1,(GMW!$NE$2:$NE$150=AQ$3)*(GMW!$ND$2:$ND$150=AQ$4)*(GMW!$NF$2:$NF$150=AQ$1),0),$C327-1966)</f>
        <v>39404.120000000003</v>
      </c>
      <c r="AR327" s="4" cm="1">
        <f t="array" ref="AR327">INDEX(GMW!$A$2:$NF$150,MATCH(1,(GMW!$NE$2:$NE$150=AR$3)*(GMW!$ND$2:$ND$150=AR$4)*(GMW!$NF$2:$NF$150=AR$1),0),$C327-1966)</f>
        <v>31.939920000000001</v>
      </c>
      <c r="AS327" s="4" cm="1">
        <f t="array" ref="AS327">INDEX(GMW!$A$2:$NF$150,MATCH(1,(GMW!$NE$2:$NE$150=AS$3)*(GMW!$ND$2:$ND$150=AS$4)*(GMW!$NF$2:$NF$150=AS$1),0),$C327-1966)</f>
        <v>716830.9</v>
      </c>
      <c r="AT327" s="4" cm="1">
        <f t="array" ref="AT327">INDEX(GMW!$A$2:$NF$150,MATCH(1,(GMW!$NE$2:$NE$150=AT$3)*(GMW!$ND$2:$ND$150=AT$4)*(GMW!$NF$2:$NF$150=AT$1),0),$C327-1966)</f>
        <v>46748.04</v>
      </c>
      <c r="AU327" s="4" cm="1">
        <f t="array" ref="AU327">INDEX(GMW!$A$2:$NF$150,MATCH(1,(GMW!$NE$2:$NE$150=AU$3)*(GMW!$ND$2:$ND$150=AU$4)*(GMW!$NF$2:$NF$150=AU$1),0),$C327-1966)</f>
        <v>5580778</v>
      </c>
      <c r="AV327" s="4" cm="1">
        <f t="array" ref="AV327">INDEX(GMW!$A$2:$NF$150,MATCH(1,(GMW!$NE$2:$NE$150=AV$3)*(GMW!$ND$2:$ND$150=AV$4)*(GMW!$NF$2:$NF$150=AV$1),0),$C327-1966)</f>
        <v>-1.579126</v>
      </c>
    </row>
    <row r="328" spans="1:48" x14ac:dyDescent="0.25">
      <c r="B328" s="4">
        <f t="shared" si="12"/>
        <v>2053</v>
      </c>
      <c r="C328" s="4">
        <f t="shared" si="13"/>
        <v>2294</v>
      </c>
      <c r="D328" s="4" cm="1">
        <f t="array" ref="D328">INDEX(GMW!$A$2:$NF$150,MATCH(1,(GMW!$NE$2:$NE$150=D$3)*(GMW!$ND$2:$ND$150=D$4)*(GMW!$NF$2:$NF$150=D$1),0),$C328-1966)</f>
        <v>980289.4</v>
      </c>
      <c r="E328" s="4" cm="1">
        <f t="array" ref="E328">INDEX(GMW!$A$2:$NF$150,MATCH(1,(GMW!$NE$2:$NE$150=E$3)*(GMW!$ND$2:$ND$150=E$4)*(GMW!$NF$2:$NF$150=E$1),0),$C328-1966)</f>
        <v>242.71960000000001</v>
      </c>
      <c r="F328" s="4" cm="1">
        <f t="array" ref="F328">INDEX(GMW!$A$2:$NF$150,MATCH(1,(GMW!$NE$2:$NE$150=F$3)*(GMW!$ND$2:$ND$150=F$4)*(GMW!$NF$2:$NF$150=F$1),0),$C328-1966)</f>
        <v>299619.7</v>
      </c>
      <c r="G328" s="4" cm="1">
        <f t="array" ref="G328">INDEX(GMW!$A$2:$NF$150,MATCH(1,(GMW!$NE$2:$NE$150=G$3)*(GMW!$ND$2:$ND$150=G$4)*(GMW!$NF$2:$NF$150=G$1),0),$C328-1966)</f>
        <v>97669.37</v>
      </c>
      <c r="H328" s="4" cm="1">
        <f t="array" ref="H328">INDEX(GMW!$A$2:$NF$150,MATCH(1,(GMW!$NE$2:$NE$150=H$3)*(GMW!$ND$2:$ND$150=H$4)*(GMW!$NF$2:$NF$150=H$1),0),$C328-1966)</f>
        <v>336933.8</v>
      </c>
      <c r="I328" s="4" cm="1">
        <f t="array" ref="I328">INDEX(GMW!$A$2:$NF$150,MATCH(1,(GMW!$NE$2:$NE$150=I$3)*(GMW!$ND$2:$ND$150=I$4)*(GMW!$NF$2:$NF$150=I$1),0),$C328-1966)</f>
        <v>179097.1</v>
      </c>
      <c r="J328" s="4" cm="1">
        <f t="array" ref="J328">INDEX(GMW!$A$2:$NF$150,MATCH(1,(GMW!$NE$2:$NE$150=J$3)*(GMW!$ND$2:$ND$150=J$4)*(GMW!$NF$2:$NF$150=J$1),0),$C328-1966)</f>
        <v>196345.9</v>
      </c>
      <c r="K328" s="4" cm="1">
        <f t="array" ref="K328">INDEX(GMW!$A$2:$NF$150,MATCH(1,(GMW!$NE$2:$NE$150=K$3)*(GMW!$ND$2:$ND$150=K$4)*(GMW!$NF$2:$NF$150=K$1),0),$C328-1966)</f>
        <v>113405.3</v>
      </c>
      <c r="L328" s="4" cm="1">
        <f t="array" ref="L328">INDEX(GMW!$A$2:$NF$150,MATCH(1,(GMW!$NE$2:$NE$150=L$3)*(GMW!$ND$2:$ND$150=L$4)*(GMW!$NF$2:$NF$150=L$1),0),$C328-1966)</f>
        <v>980289.1</v>
      </c>
      <c r="M328" s="4" cm="1">
        <f t="array" ref="M328">INDEX(GMW!$A$2:$NF$150,MATCH(1,(GMW!$NE$2:$NE$150=M$3)*(GMW!$ND$2:$ND$150=M$4)*(GMW!$NF$2:$NF$150=M$1),0),$C328-1966)</f>
        <v>39295.51</v>
      </c>
      <c r="N328" s="4" cm="1">
        <f t="array" ref="N328">INDEX(GMW!$A$2:$NF$150,MATCH(1,(GMW!$NE$2:$NE$150=N$3)*(GMW!$ND$2:$ND$150=N$4)*(GMW!$NF$2:$NF$150=N$1),0),$C328-1966)</f>
        <v>31.939170000000001</v>
      </c>
      <c r="O328" s="4" cm="1">
        <f t="array" ref="O328">INDEX(GMW!$A$2:$NF$150,MATCH(1,(GMW!$NE$2:$NE$150=O$3)*(GMW!$ND$2:$ND$150=O$4)*(GMW!$NF$2:$NF$150=O$1),0),$C328-1966)</f>
        <v>714747.2</v>
      </c>
      <c r="P328" s="4" cm="1">
        <f t="array" ref="P328">INDEX(GMW!$A$2:$NF$150,MATCH(1,(GMW!$NE$2:$NE$150=P$3)*(GMW!$ND$2:$ND$150=P$4)*(GMW!$NF$2:$NF$150=P$1),0),$C328-1966)</f>
        <v>46601.760000000002</v>
      </c>
      <c r="Q328" s="4" cm="1">
        <f t="array" ref="Q328">INDEX(GMW!$A$2:$NF$150,MATCH(1,(GMW!$NE$2:$NE$150=Q$3)*(GMW!$ND$2:$ND$150=Q$4)*(GMW!$NF$2:$NF$150=Q$1),0),$C328-1966)</f>
        <v>5496366</v>
      </c>
      <c r="R328" s="4" cm="1">
        <f t="array" ref="R328">INDEX(GMW!$A$2:$NF$150,MATCH(1,(GMW!$NE$2:$NE$150=R$3)*(GMW!$ND$2:$ND$150=R$4)*(GMW!$NF$2:$NF$150=R$1),0),$C328-1966)</f>
        <v>-1.5814280000000001</v>
      </c>
      <c r="S328" s="4" cm="1">
        <f t="array" ref="S328">INDEX(GMW!$A$2:$NF$150,MATCH(1,(GMW!$NE$2:$NE$150=S$3)*(GMW!$ND$2:$ND$150=S$4)*(GMW!$NF$2:$NF$150=S$1),0),$C328-1966)</f>
        <v>988523.9</v>
      </c>
      <c r="T328" s="4" cm="1">
        <f t="array" ref="T328">INDEX(GMW!$A$2:$NF$150,MATCH(1,(GMW!$NE$2:$NE$150=T$3)*(GMW!$ND$2:$ND$150=T$4)*(GMW!$NF$2:$NF$150=T$1),0),$C328-1966)</f>
        <v>242.51320000000001</v>
      </c>
      <c r="U328" s="4" cm="1">
        <f t="array" ref="U328">INDEX(GMW!$A$2:$NF$150,MATCH(1,(GMW!$NE$2:$NE$150=U$3)*(GMW!$ND$2:$ND$150=U$4)*(GMW!$NF$2:$NF$150=U$1),0),$C328-1966)</f>
        <v>286459.59999999998</v>
      </c>
      <c r="V328" s="4" cm="1">
        <f t="array" ref="V328">INDEX(GMW!$A$2:$NF$150,MATCH(1,(GMW!$NE$2:$NE$150=V$3)*(GMW!$ND$2:$ND$150=V$4)*(GMW!$NF$2:$NF$150=V$1),0),$C328-1966)</f>
        <v>102903.2</v>
      </c>
      <c r="W328" s="4" cm="1">
        <f t="array" ref="W328">INDEX(GMW!$A$2:$NF$150,MATCH(1,(GMW!$NE$2:$NE$150=W$3)*(GMW!$ND$2:$ND$150=W$4)*(GMW!$NF$2:$NF$150=W$1),0),$C328-1966)</f>
        <v>326051.09999999998</v>
      </c>
      <c r="X328" s="4" cm="1">
        <f t="array" ref="X328">INDEX(GMW!$A$2:$NF$150,MATCH(1,(GMW!$NE$2:$NE$150=X$3)*(GMW!$ND$2:$ND$150=X$4)*(GMW!$NF$2:$NF$150=X$1),0),$C328-1966)</f>
        <v>172191.3</v>
      </c>
      <c r="Y328" s="4" cm="1">
        <f t="array" ref="Y328">INDEX(GMW!$A$2:$NF$150,MATCH(1,(GMW!$NE$2:$NE$150=Y$3)*(GMW!$ND$2:$ND$150=Y$4)*(GMW!$NF$2:$NF$150=Y$1),0),$C328-1966)</f>
        <v>199382.8</v>
      </c>
      <c r="Z328" s="4" cm="1">
        <f t="array" ref="Z328">INDEX(GMW!$A$2:$NF$150,MATCH(1,(GMW!$NE$2:$NE$150=Z$3)*(GMW!$ND$2:$ND$150=Z$4)*(GMW!$NF$2:$NF$150=Z$1),0),$C328-1966)</f>
        <v>116932</v>
      </c>
      <c r="AA328" s="4" cm="1">
        <f t="array" ref="AA328">INDEX(GMW!$A$2:$NF$150,MATCH(1,(GMW!$NE$2:$NE$150=AA$3)*(GMW!$ND$2:$ND$150=AA$4)*(GMW!$NF$2:$NF$150=AA$1),0),$C328-1966)</f>
        <v>988524.3</v>
      </c>
      <c r="AB328" s="4" cm="1">
        <f t="array" ref="AB328">INDEX(GMW!$A$2:$NF$150,MATCH(1,(GMW!$NE$2:$NE$150=AB$3)*(GMW!$ND$2:$ND$150=AB$4)*(GMW!$NF$2:$NF$150=AB$1),0),$C328-1966)</f>
        <v>39295.51</v>
      </c>
      <c r="AC328" s="4" cm="1">
        <f t="array" ref="AC328">INDEX(GMW!$A$2:$NF$150,MATCH(1,(GMW!$NE$2:$NE$150=AC$3)*(GMW!$ND$2:$ND$150=AC$4)*(GMW!$NF$2:$NF$150=AC$1),0),$C328-1966)</f>
        <v>31.939170000000001</v>
      </c>
      <c r="AD328" s="4" cm="1">
        <f t="array" ref="AD328">INDEX(GMW!$A$2:$NF$150,MATCH(1,(GMW!$NE$2:$NE$150=AD$3)*(GMW!$ND$2:$ND$150=AD$4)*(GMW!$NF$2:$NF$150=AD$1),0),$C328-1966)</f>
        <v>714747.2</v>
      </c>
      <c r="AE328" s="4" cm="1">
        <f t="array" ref="AE328">INDEX(GMW!$A$2:$NF$150,MATCH(1,(GMW!$NE$2:$NE$150=AE$3)*(GMW!$ND$2:$ND$150=AE$4)*(GMW!$NF$2:$NF$150=AE$1),0),$C328-1966)</f>
        <v>46601.760000000002</v>
      </c>
      <c r="AF328" s="4" cm="1">
        <f t="array" ref="AF328">INDEX(GMW!$A$2:$NF$150,MATCH(1,(GMW!$NE$2:$NE$150=AF$3)*(GMW!$ND$2:$ND$150=AF$4)*(GMW!$NF$2:$NF$150=AF$1),0),$C328-1966)</f>
        <v>5597090</v>
      </c>
      <c r="AG328" s="4" cm="1">
        <f t="array" ref="AG328">INDEX(GMW!$A$2:$NF$150,MATCH(1,(GMW!$NE$2:$NE$150=AG$3)*(GMW!$ND$2:$ND$150=AG$4)*(GMW!$NF$2:$NF$150=AG$1),0),$C328-1966)</f>
        <v>-1.5794410000000001</v>
      </c>
      <c r="AH328" s="4" cm="1">
        <f t="array" ref="AH328">INDEX(GMW!$A$2:$NF$150,MATCH(1,(GMW!$NE$2:$NE$150=AH$3)*(GMW!$ND$2:$ND$150=AH$4)*(GMW!$NF$2:$NF$150=AH$1),0),$C328-1966)</f>
        <v>992804.9</v>
      </c>
      <c r="AI328" s="4" cm="1">
        <f t="array" ref="AI328">INDEX(GMW!$A$2:$NF$150,MATCH(1,(GMW!$NE$2:$NE$150=AI$3)*(GMW!$ND$2:$ND$150=AI$4)*(GMW!$NF$2:$NF$150=AI$1),0),$C328-1966)</f>
        <v>240.9134</v>
      </c>
      <c r="AJ328" s="4" cm="1">
        <f t="array" ref="AJ328">INDEX(GMW!$A$2:$NF$150,MATCH(1,(GMW!$NE$2:$NE$150=AJ$3)*(GMW!$ND$2:$ND$150=AJ$4)*(GMW!$NF$2:$NF$150=AJ$1),0),$C328-1966)</f>
        <v>293231.8</v>
      </c>
      <c r="AK328" s="4" cm="1">
        <f t="array" ref="AK328">INDEX(GMW!$A$2:$NF$150,MATCH(1,(GMW!$NE$2:$NE$150=AK$3)*(GMW!$ND$2:$ND$150=AK$4)*(GMW!$NF$2:$NF$150=AK$1),0),$C328-1966)</f>
        <v>106468.4</v>
      </c>
      <c r="AL328" s="4" cm="1">
        <f t="array" ref="AL328">INDEX(GMW!$A$2:$NF$150,MATCH(1,(GMW!$NE$2:$NE$150=AL$3)*(GMW!$ND$2:$ND$150=AL$4)*(GMW!$NF$2:$NF$150=AL$1),0),$C328-1966)</f>
        <v>331956.2</v>
      </c>
      <c r="AM328" s="4" cm="1">
        <f t="array" ref="AM328">INDEX(GMW!$A$2:$NF$150,MATCH(1,(GMW!$NE$2:$NE$150=AM$3)*(GMW!$ND$2:$ND$150=AM$4)*(GMW!$NF$2:$NF$150=AM$1),0),$C328-1966)</f>
        <v>176840.7</v>
      </c>
      <c r="AN328" s="4" cm="1">
        <f t="array" ref="AN328">INDEX(GMW!$A$2:$NF$150,MATCH(1,(GMW!$NE$2:$NE$150=AN$3)*(GMW!$ND$2:$ND$150=AN$4)*(GMW!$NF$2:$NF$150=AN$1),0),$C328-1966)</f>
        <v>200193.2</v>
      </c>
      <c r="AO328" s="4" cm="1">
        <f t="array" ref="AO328">INDEX(GMW!$A$2:$NF$150,MATCH(1,(GMW!$NE$2:$NE$150=AO$3)*(GMW!$ND$2:$ND$150=AO$4)*(GMW!$NF$2:$NF$150=AO$1),0),$C328-1966)</f>
        <v>118931.2</v>
      </c>
      <c r="AP328" s="4" cm="1">
        <f t="array" ref="AP328">INDEX(GMW!$A$2:$NF$150,MATCH(1,(GMW!$NE$2:$NE$150=AP$3)*(GMW!$ND$2:$ND$150=AP$4)*(GMW!$NF$2:$NF$150=AP$1),0),$C328-1966)</f>
        <v>992805</v>
      </c>
      <c r="AQ328" s="4" cm="1">
        <f t="array" ref="AQ328">INDEX(GMW!$A$2:$NF$150,MATCH(1,(GMW!$NE$2:$NE$150=AQ$3)*(GMW!$ND$2:$ND$150=AQ$4)*(GMW!$NF$2:$NF$150=AQ$1),0),$C328-1966)</f>
        <v>39417.65</v>
      </c>
      <c r="AR328" s="4" cm="1">
        <f t="array" ref="AR328">INDEX(GMW!$A$2:$NF$150,MATCH(1,(GMW!$NE$2:$NE$150=AR$3)*(GMW!$ND$2:$ND$150=AR$4)*(GMW!$NF$2:$NF$150=AR$1),0),$C328-1966)</f>
        <v>31.939170000000001</v>
      </c>
      <c r="AS328" s="4" cm="1">
        <f t="array" ref="AS328">INDEX(GMW!$A$2:$NF$150,MATCH(1,(GMW!$NE$2:$NE$150=AS$3)*(GMW!$ND$2:$ND$150=AS$4)*(GMW!$NF$2:$NF$150=AS$1),0),$C328-1966)</f>
        <v>717131.3</v>
      </c>
      <c r="AT328" s="4" cm="1">
        <f t="array" ref="AT328">INDEX(GMW!$A$2:$NF$150,MATCH(1,(GMW!$NE$2:$NE$150=AT$3)*(GMW!$ND$2:$ND$150=AT$4)*(GMW!$NF$2:$NF$150=AT$1),0),$C328-1966)</f>
        <v>46741.61</v>
      </c>
      <c r="AU328" s="4" cm="1">
        <f t="array" ref="AU328">INDEX(GMW!$A$2:$NF$150,MATCH(1,(GMW!$NE$2:$NE$150=AU$3)*(GMW!$ND$2:$ND$150=AU$4)*(GMW!$NF$2:$NF$150=AU$1),0),$C328-1966)</f>
        <v>5607680</v>
      </c>
      <c r="AV328" s="4" cm="1">
        <f t="array" ref="AV328">INDEX(GMW!$A$2:$NF$150,MATCH(1,(GMW!$NE$2:$NE$150=AV$3)*(GMW!$ND$2:$ND$150=AV$4)*(GMW!$NF$2:$NF$150=AV$1),0),$C328-1966)</f>
        <v>-1.577863</v>
      </c>
    </row>
    <row r="329" spans="1:48" x14ac:dyDescent="0.25">
      <c r="B329" s="4">
        <f t="shared" si="12"/>
        <v>2053</v>
      </c>
      <c r="C329" s="4">
        <f t="shared" si="13"/>
        <v>2295</v>
      </c>
      <c r="D329" s="4" cm="1">
        <f t="array" ref="D329">INDEX(GMW!$A$2:$NF$150,MATCH(1,(GMW!$NE$2:$NE$150=D$3)*(GMW!$ND$2:$ND$150=D$4)*(GMW!$NF$2:$NF$150=D$1),0),$C329-1966)</f>
        <v>983418.6</v>
      </c>
      <c r="E329" s="4" cm="1">
        <f t="array" ref="E329">INDEX(GMW!$A$2:$NF$150,MATCH(1,(GMW!$NE$2:$NE$150=E$3)*(GMW!$ND$2:$ND$150=E$4)*(GMW!$NF$2:$NF$150=E$1),0),$C329-1966)</f>
        <v>243.8237</v>
      </c>
      <c r="F329" s="4" cm="1">
        <f t="array" ref="F329">INDEX(GMW!$A$2:$NF$150,MATCH(1,(GMW!$NE$2:$NE$150=F$3)*(GMW!$ND$2:$ND$150=F$4)*(GMW!$NF$2:$NF$150=F$1),0),$C329-1966)</f>
        <v>300514</v>
      </c>
      <c r="G329" s="4" cm="1">
        <f t="array" ref="G329">INDEX(GMW!$A$2:$NF$150,MATCH(1,(GMW!$NE$2:$NE$150=G$3)*(GMW!$ND$2:$ND$150=G$4)*(GMW!$NF$2:$NF$150=G$1),0),$C329-1966)</f>
        <v>97903</v>
      </c>
      <c r="H329" s="4" cm="1">
        <f t="array" ref="H329">INDEX(GMW!$A$2:$NF$150,MATCH(1,(GMW!$NE$2:$NE$150=H$3)*(GMW!$ND$2:$ND$150=H$4)*(GMW!$NF$2:$NF$150=H$1),0),$C329-1966)</f>
        <v>338055.9</v>
      </c>
      <c r="I329" s="4" cm="1">
        <f t="array" ref="I329">INDEX(GMW!$A$2:$NF$150,MATCH(1,(GMW!$NE$2:$NE$150=I$3)*(GMW!$ND$2:$ND$150=I$4)*(GMW!$NF$2:$NF$150=I$1),0),$C329-1966)</f>
        <v>179650.9</v>
      </c>
      <c r="J329" s="4" cm="1">
        <f t="array" ref="J329">INDEX(GMW!$A$2:$NF$150,MATCH(1,(GMW!$NE$2:$NE$150=J$3)*(GMW!$ND$2:$ND$150=J$4)*(GMW!$NF$2:$NF$150=J$1),0),$C329-1966)</f>
        <v>197164.4</v>
      </c>
      <c r="K329" s="4" cm="1">
        <f t="array" ref="K329">INDEX(GMW!$A$2:$NF$150,MATCH(1,(GMW!$NE$2:$NE$150=K$3)*(GMW!$ND$2:$ND$150=K$4)*(GMW!$NF$2:$NF$150=K$1),0),$C329-1966)</f>
        <v>113914.7</v>
      </c>
      <c r="L329" s="4" cm="1">
        <f t="array" ref="L329">INDEX(GMW!$A$2:$NF$150,MATCH(1,(GMW!$NE$2:$NE$150=L$3)*(GMW!$ND$2:$ND$150=L$4)*(GMW!$NF$2:$NF$150=L$1),0),$C329-1966)</f>
        <v>983418.4</v>
      </c>
      <c r="M329" s="4" cm="1">
        <f t="array" ref="M329">INDEX(GMW!$A$2:$NF$150,MATCH(1,(GMW!$NE$2:$NE$150=M$3)*(GMW!$ND$2:$ND$150=M$4)*(GMW!$NF$2:$NF$150=M$1),0),$C329-1966)</f>
        <v>39301.58</v>
      </c>
      <c r="N329" s="4" cm="1">
        <f t="array" ref="N329">INDEX(GMW!$A$2:$NF$150,MATCH(1,(GMW!$NE$2:$NE$150=N$3)*(GMW!$ND$2:$ND$150=N$4)*(GMW!$NF$2:$NF$150=N$1),0),$C329-1966)</f>
        <v>31.938420000000001</v>
      </c>
      <c r="O329" s="4" cm="1">
        <f t="array" ref="O329">INDEX(GMW!$A$2:$NF$150,MATCH(1,(GMW!$NE$2:$NE$150=O$3)*(GMW!$ND$2:$ND$150=O$4)*(GMW!$NF$2:$NF$150=O$1),0),$C329-1966)</f>
        <v>714941.3</v>
      </c>
      <c r="P329" s="4" cm="1">
        <f t="array" ref="P329">INDEX(GMW!$A$2:$NF$150,MATCH(1,(GMW!$NE$2:$NE$150=P$3)*(GMW!$ND$2:$ND$150=P$4)*(GMW!$NF$2:$NF$150=P$1),0),$C329-1966)</f>
        <v>46588.4</v>
      </c>
      <c r="Q329" s="4" cm="1">
        <f t="array" ref="Q329">INDEX(GMW!$A$2:$NF$150,MATCH(1,(GMW!$NE$2:$NE$150=Q$3)*(GMW!$ND$2:$ND$150=Q$4)*(GMW!$NF$2:$NF$150=Q$1),0),$C329-1966)</f>
        <v>5522577</v>
      </c>
      <c r="R329" s="4" cm="1">
        <f t="array" ref="R329">INDEX(GMW!$A$2:$NF$150,MATCH(1,(GMW!$NE$2:$NE$150=R$3)*(GMW!$ND$2:$ND$150=R$4)*(GMW!$NF$2:$NF$150=R$1),0),$C329-1966)</f>
        <v>-1.580163</v>
      </c>
      <c r="S329" s="4" cm="1">
        <f t="array" ref="S329">INDEX(GMW!$A$2:$NF$150,MATCH(1,(GMW!$NE$2:$NE$150=S$3)*(GMW!$ND$2:$ND$150=S$4)*(GMW!$NF$2:$NF$150=S$1),0),$C329-1966)</f>
        <v>991655.8</v>
      </c>
      <c r="T329" s="4" cm="1">
        <f t="array" ref="T329">INDEX(GMW!$A$2:$NF$150,MATCH(1,(GMW!$NE$2:$NE$150=T$3)*(GMW!$ND$2:$ND$150=T$4)*(GMW!$NF$2:$NF$150=T$1),0),$C329-1966)</f>
        <v>243.68299999999999</v>
      </c>
      <c r="U329" s="4" cm="1">
        <f t="array" ref="U329">INDEX(GMW!$A$2:$NF$150,MATCH(1,(GMW!$NE$2:$NE$150=U$3)*(GMW!$ND$2:$ND$150=U$4)*(GMW!$NF$2:$NF$150=U$1),0),$C329-1966)</f>
        <v>287293.5</v>
      </c>
      <c r="V329" s="4" cm="1">
        <f t="array" ref="V329">INDEX(GMW!$A$2:$NF$150,MATCH(1,(GMW!$NE$2:$NE$150=V$3)*(GMW!$ND$2:$ND$150=V$4)*(GMW!$NF$2:$NF$150=V$1),0),$C329-1966)</f>
        <v>103146.9</v>
      </c>
      <c r="W329" s="4" cm="1">
        <f t="array" ref="W329">INDEX(GMW!$A$2:$NF$150,MATCH(1,(GMW!$NE$2:$NE$150=W$3)*(GMW!$ND$2:$ND$150=W$4)*(GMW!$NF$2:$NF$150=W$1),0),$C329-1966)</f>
        <v>327122.8</v>
      </c>
      <c r="X329" s="4" cm="1">
        <f t="array" ref="X329">INDEX(GMW!$A$2:$NF$150,MATCH(1,(GMW!$NE$2:$NE$150=X$3)*(GMW!$ND$2:$ND$150=X$4)*(GMW!$NF$2:$NF$150=X$1),0),$C329-1966)</f>
        <v>172719.7</v>
      </c>
      <c r="Y329" s="4" cm="1">
        <f t="array" ref="Y329">INDEX(GMW!$A$2:$NF$150,MATCH(1,(GMW!$NE$2:$NE$150=Y$3)*(GMW!$ND$2:$ND$150=Y$4)*(GMW!$NF$2:$NF$150=Y$1),0),$C329-1966)</f>
        <v>200204.2</v>
      </c>
      <c r="Z329" s="4" cm="1">
        <f t="array" ref="Z329">INDEX(GMW!$A$2:$NF$150,MATCH(1,(GMW!$NE$2:$NE$150=Z$3)*(GMW!$ND$2:$ND$150=Z$4)*(GMW!$NF$2:$NF$150=Z$1),0),$C329-1966)</f>
        <v>117448.6</v>
      </c>
      <c r="AA329" s="4" cm="1">
        <f t="array" ref="AA329">INDEX(GMW!$A$2:$NF$150,MATCH(1,(GMW!$NE$2:$NE$150=AA$3)*(GMW!$ND$2:$ND$150=AA$4)*(GMW!$NF$2:$NF$150=AA$1),0),$C329-1966)</f>
        <v>991655.3</v>
      </c>
      <c r="AB329" s="4" cm="1">
        <f t="array" ref="AB329">INDEX(GMW!$A$2:$NF$150,MATCH(1,(GMW!$NE$2:$NE$150=AB$3)*(GMW!$ND$2:$ND$150=AB$4)*(GMW!$NF$2:$NF$150=AB$1),0),$C329-1966)</f>
        <v>39301.58</v>
      </c>
      <c r="AC329" s="4" cm="1">
        <f t="array" ref="AC329">INDEX(GMW!$A$2:$NF$150,MATCH(1,(GMW!$NE$2:$NE$150=AC$3)*(GMW!$ND$2:$ND$150=AC$4)*(GMW!$NF$2:$NF$150=AC$1),0),$C329-1966)</f>
        <v>31.938420000000001</v>
      </c>
      <c r="AD329" s="4" cm="1">
        <f t="array" ref="AD329">INDEX(GMW!$A$2:$NF$150,MATCH(1,(GMW!$NE$2:$NE$150=AD$3)*(GMW!$ND$2:$ND$150=AD$4)*(GMW!$NF$2:$NF$150=AD$1),0),$C329-1966)</f>
        <v>714941.3</v>
      </c>
      <c r="AE329" s="4" cm="1">
        <f t="array" ref="AE329">INDEX(GMW!$A$2:$NF$150,MATCH(1,(GMW!$NE$2:$NE$150=AE$3)*(GMW!$ND$2:$ND$150=AE$4)*(GMW!$NF$2:$NF$150=AE$1),0),$C329-1966)</f>
        <v>46588.4</v>
      </c>
      <c r="AF329" s="4" cm="1">
        <f t="array" ref="AF329">INDEX(GMW!$A$2:$NF$150,MATCH(1,(GMW!$NE$2:$NE$150=AF$3)*(GMW!$ND$2:$ND$150=AF$4)*(GMW!$NF$2:$NF$150=AF$1),0),$C329-1966)</f>
        <v>5623417</v>
      </c>
      <c r="AG329" s="4" cm="1">
        <f t="array" ref="AG329">INDEX(GMW!$A$2:$NF$150,MATCH(1,(GMW!$NE$2:$NE$150=AG$3)*(GMW!$ND$2:$ND$150=AG$4)*(GMW!$NF$2:$NF$150=AG$1),0),$C329-1966)</f>
        <v>-1.5781780000000001</v>
      </c>
      <c r="AH329" s="4" cm="1">
        <f t="array" ref="AH329">INDEX(GMW!$A$2:$NF$150,MATCH(1,(GMW!$NE$2:$NE$150=AH$3)*(GMW!$ND$2:$ND$150=AH$4)*(GMW!$NF$2:$NF$150=AH$1),0),$C329-1966)</f>
        <v>996107</v>
      </c>
      <c r="AI329" s="4" cm="1">
        <f t="array" ref="AI329">INDEX(GMW!$A$2:$NF$150,MATCH(1,(GMW!$NE$2:$NE$150=AI$3)*(GMW!$ND$2:$ND$150=AI$4)*(GMW!$NF$2:$NF$150=AI$1),0),$C329-1966)</f>
        <v>241.9769</v>
      </c>
      <c r="AJ329" s="4" cm="1">
        <f t="array" ref="AJ329">INDEX(GMW!$A$2:$NF$150,MATCH(1,(GMW!$NE$2:$NE$150=AJ$3)*(GMW!$ND$2:$ND$150=AJ$4)*(GMW!$NF$2:$NF$150=AJ$1),0),$C329-1966)</f>
        <v>294122.3</v>
      </c>
      <c r="AK329" s="4" cm="1">
        <f t="array" ref="AK329">INDEX(GMW!$A$2:$NF$150,MATCH(1,(GMW!$NE$2:$NE$150=AK$3)*(GMW!$ND$2:$ND$150=AK$4)*(GMW!$NF$2:$NF$150=AK$1),0),$C329-1966)</f>
        <v>106737.3</v>
      </c>
      <c r="AL329" s="4" cm="1">
        <f t="array" ref="AL329">INDEX(GMW!$A$2:$NF$150,MATCH(1,(GMW!$NE$2:$NE$150=AL$3)*(GMW!$ND$2:$ND$150=AL$4)*(GMW!$NF$2:$NF$150=AL$1),0),$C329-1966)</f>
        <v>333089</v>
      </c>
      <c r="AM329" s="4" cm="1">
        <f t="array" ref="AM329">INDEX(GMW!$A$2:$NF$150,MATCH(1,(GMW!$NE$2:$NE$150=AM$3)*(GMW!$ND$2:$ND$150=AM$4)*(GMW!$NF$2:$NF$150=AM$1),0),$C329-1966)</f>
        <v>177411.20000000001</v>
      </c>
      <c r="AN329" s="4" cm="1">
        <f t="array" ref="AN329">INDEX(GMW!$A$2:$NF$150,MATCH(1,(GMW!$NE$2:$NE$150=AN$3)*(GMW!$ND$2:$ND$150=AN$4)*(GMW!$NF$2:$NF$150=AN$1),0),$C329-1966)</f>
        <v>201050.1</v>
      </c>
      <c r="AO329" s="4" cm="1">
        <f t="array" ref="AO329">INDEX(GMW!$A$2:$NF$150,MATCH(1,(GMW!$NE$2:$NE$150=AO$3)*(GMW!$ND$2:$ND$150=AO$4)*(GMW!$NF$2:$NF$150=AO$1),0),$C329-1966)</f>
        <v>119475.4</v>
      </c>
      <c r="AP329" s="4" cm="1">
        <f t="array" ref="AP329">INDEX(GMW!$A$2:$NF$150,MATCH(1,(GMW!$NE$2:$NE$150=AP$3)*(GMW!$ND$2:$ND$150=AP$4)*(GMW!$NF$2:$NF$150=AP$1),0),$C329-1966)</f>
        <v>996107.3</v>
      </c>
      <c r="AQ329" s="4" cm="1">
        <f t="array" ref="AQ329">INDEX(GMW!$A$2:$NF$150,MATCH(1,(GMW!$NE$2:$NE$150=AQ$3)*(GMW!$ND$2:$ND$150=AQ$4)*(GMW!$NF$2:$NF$150=AQ$1),0),$C329-1966)</f>
        <v>39431.24</v>
      </c>
      <c r="AR329" s="4" cm="1">
        <f t="array" ref="AR329">INDEX(GMW!$A$2:$NF$150,MATCH(1,(GMW!$NE$2:$NE$150=AR$3)*(GMW!$ND$2:$ND$150=AR$4)*(GMW!$NF$2:$NF$150=AR$1),0),$C329-1966)</f>
        <v>31.938420000000001</v>
      </c>
      <c r="AS329" s="4" cm="1">
        <f t="array" ref="AS329">INDEX(GMW!$A$2:$NF$150,MATCH(1,(GMW!$NE$2:$NE$150=AS$3)*(GMW!$ND$2:$ND$150=AS$4)*(GMW!$NF$2:$NF$150=AS$1),0),$C329-1966)</f>
        <v>717451.1</v>
      </c>
      <c r="AT329" s="4" cm="1">
        <f t="array" ref="AT329">INDEX(GMW!$A$2:$NF$150,MATCH(1,(GMW!$NE$2:$NE$150=AT$3)*(GMW!$ND$2:$ND$150=AT$4)*(GMW!$NF$2:$NF$150=AT$1),0),$C329-1966)</f>
        <v>46736.54</v>
      </c>
      <c r="AU329" s="4" cm="1">
        <f t="array" ref="AU329">INDEX(GMW!$A$2:$NF$150,MATCH(1,(GMW!$NE$2:$NE$150=AU$3)*(GMW!$ND$2:$ND$150=AU$4)*(GMW!$NF$2:$NF$150=AU$1),0),$C329-1966)</f>
        <v>5634647</v>
      </c>
      <c r="AV329" s="4" cm="1">
        <f t="array" ref="AV329">INDEX(GMW!$A$2:$NF$150,MATCH(1,(GMW!$NE$2:$NE$150=AV$3)*(GMW!$ND$2:$ND$150=AV$4)*(GMW!$NF$2:$NF$150=AV$1),0),$C329-1966)</f>
        <v>-1.5766</v>
      </c>
    </row>
    <row r="330" spans="1:48" x14ac:dyDescent="0.25">
      <c r="B330" s="4">
        <f t="shared" si="12"/>
        <v>2053</v>
      </c>
      <c r="C330" s="4">
        <f t="shared" si="13"/>
        <v>2296</v>
      </c>
      <c r="D330" s="4" cm="1">
        <f t="array" ref="D330">INDEX(GMW!$A$2:$NF$150,MATCH(1,(GMW!$NE$2:$NE$150=D$3)*(GMW!$ND$2:$ND$150=D$4)*(GMW!$NF$2:$NF$150=D$1),0),$C330-1966)</f>
        <v>986552.4</v>
      </c>
      <c r="E330" s="4" cm="1">
        <f t="array" ref="E330">INDEX(GMW!$A$2:$NF$150,MATCH(1,(GMW!$NE$2:$NE$150=E$3)*(GMW!$ND$2:$ND$150=E$4)*(GMW!$NF$2:$NF$150=E$1),0),$C330-1966)</f>
        <v>244.8972</v>
      </c>
      <c r="F330" s="4" cm="1">
        <f t="array" ref="F330">INDEX(GMW!$A$2:$NF$150,MATCH(1,(GMW!$NE$2:$NE$150=F$3)*(GMW!$ND$2:$ND$150=F$4)*(GMW!$NF$2:$NF$150=F$1),0),$C330-1966)</f>
        <v>301409.8</v>
      </c>
      <c r="G330" s="4" cm="1">
        <f t="array" ref="G330">INDEX(GMW!$A$2:$NF$150,MATCH(1,(GMW!$NE$2:$NE$150=G$3)*(GMW!$ND$2:$ND$150=G$4)*(GMW!$NF$2:$NF$150=G$1),0),$C330-1966)</f>
        <v>98136.66</v>
      </c>
      <c r="H330" s="4" cm="1">
        <f t="array" ref="H330">INDEX(GMW!$A$2:$NF$150,MATCH(1,(GMW!$NE$2:$NE$150=H$3)*(GMW!$ND$2:$ND$150=H$4)*(GMW!$NF$2:$NF$150=H$1),0),$C330-1966)</f>
        <v>339180.1</v>
      </c>
      <c r="I330" s="4" cm="1">
        <f t="array" ref="I330">INDEX(GMW!$A$2:$NF$150,MATCH(1,(GMW!$NE$2:$NE$150=I$3)*(GMW!$ND$2:$ND$150=I$4)*(GMW!$NF$2:$NF$150=I$1),0),$C330-1966)</f>
        <v>180205.4</v>
      </c>
      <c r="J330" s="4" cm="1">
        <f t="array" ref="J330">INDEX(GMW!$A$2:$NF$150,MATCH(1,(GMW!$NE$2:$NE$150=J$3)*(GMW!$ND$2:$ND$150=J$4)*(GMW!$NF$2:$NF$150=J$1),0),$C330-1966)</f>
        <v>197985.4</v>
      </c>
      <c r="K330" s="4" cm="1">
        <f t="array" ref="K330">INDEX(GMW!$A$2:$NF$150,MATCH(1,(GMW!$NE$2:$NE$150=K$3)*(GMW!$ND$2:$ND$150=K$4)*(GMW!$NF$2:$NF$150=K$1),0),$C330-1966)</f>
        <v>114425.8</v>
      </c>
      <c r="L330" s="4" cm="1">
        <f t="array" ref="L330">INDEX(GMW!$A$2:$NF$150,MATCH(1,(GMW!$NE$2:$NE$150=L$3)*(GMW!$ND$2:$ND$150=L$4)*(GMW!$NF$2:$NF$150=L$1),0),$C330-1966)</f>
        <v>986551.2</v>
      </c>
      <c r="M330" s="4" cm="1">
        <f t="array" ref="M330">INDEX(GMW!$A$2:$NF$150,MATCH(1,(GMW!$NE$2:$NE$150=M$3)*(GMW!$ND$2:$ND$150=M$4)*(GMW!$NF$2:$NF$150=M$1),0),$C330-1966)</f>
        <v>39307.67</v>
      </c>
      <c r="N330" s="4" cm="1">
        <f t="array" ref="N330">INDEX(GMW!$A$2:$NF$150,MATCH(1,(GMW!$NE$2:$NE$150=N$3)*(GMW!$ND$2:$ND$150=N$4)*(GMW!$NF$2:$NF$150=N$1),0),$C330-1966)</f>
        <v>31.937670000000001</v>
      </c>
      <c r="O330" s="4" cm="1">
        <f t="array" ref="O330">INDEX(GMW!$A$2:$NF$150,MATCH(1,(GMW!$NE$2:$NE$150=O$3)*(GMW!$ND$2:$ND$150=O$4)*(GMW!$NF$2:$NF$150=O$1),0),$C330-1966)</f>
        <v>715134.3</v>
      </c>
      <c r="P330" s="4" cm="1">
        <f t="array" ref="P330">INDEX(GMW!$A$2:$NF$150,MATCH(1,(GMW!$NE$2:$NE$150=P$3)*(GMW!$ND$2:$ND$150=P$4)*(GMW!$NF$2:$NF$150=P$1),0),$C330-1966)</f>
        <v>46575.040000000001</v>
      </c>
      <c r="Q330" s="4" cm="1">
        <f t="array" ref="Q330">INDEX(GMW!$A$2:$NF$150,MATCH(1,(GMW!$NE$2:$NE$150=Q$3)*(GMW!$ND$2:$ND$150=Q$4)*(GMW!$NF$2:$NF$150=Q$1),0),$C330-1966)</f>
        <v>5548851</v>
      </c>
      <c r="R330" s="4" cm="1">
        <f t="array" ref="R330">INDEX(GMW!$A$2:$NF$150,MATCH(1,(GMW!$NE$2:$NE$150=R$3)*(GMW!$ND$2:$ND$150=R$4)*(GMW!$NF$2:$NF$150=R$1),0),$C330-1966)</f>
        <v>-1.5788990000000001</v>
      </c>
      <c r="S330" s="4" cm="1">
        <f t="array" ref="S330">INDEX(GMW!$A$2:$NF$150,MATCH(1,(GMW!$NE$2:$NE$150=S$3)*(GMW!$ND$2:$ND$150=S$4)*(GMW!$NF$2:$NF$150=S$1),0),$C330-1966)</f>
        <v>994791.8</v>
      </c>
      <c r="T330" s="4" cm="1">
        <f t="array" ref="T330">INDEX(GMW!$A$2:$NF$150,MATCH(1,(GMW!$NE$2:$NE$150=T$3)*(GMW!$ND$2:$ND$150=T$4)*(GMW!$NF$2:$NF$150=T$1),0),$C330-1966)</f>
        <v>244.72649999999999</v>
      </c>
      <c r="U330" s="4" cm="1">
        <f t="array" ref="U330">INDEX(GMW!$A$2:$NF$150,MATCH(1,(GMW!$NE$2:$NE$150=U$3)*(GMW!$ND$2:$ND$150=U$4)*(GMW!$NF$2:$NF$150=U$1),0),$C330-1966)</f>
        <v>288128.59999999998</v>
      </c>
      <c r="V330" s="4" cm="1">
        <f t="array" ref="V330">INDEX(GMW!$A$2:$NF$150,MATCH(1,(GMW!$NE$2:$NE$150=V$3)*(GMW!$ND$2:$ND$150=V$4)*(GMW!$NF$2:$NF$150=V$1),0),$C330-1966)</f>
        <v>103390.6</v>
      </c>
      <c r="W330" s="4" cm="1">
        <f t="array" ref="W330">INDEX(GMW!$A$2:$NF$150,MATCH(1,(GMW!$NE$2:$NE$150=W$3)*(GMW!$ND$2:$ND$150=W$4)*(GMW!$NF$2:$NF$150=W$1),0),$C330-1966)</f>
        <v>328196.40000000002</v>
      </c>
      <c r="X330" s="4" cm="1">
        <f t="array" ref="X330">INDEX(GMW!$A$2:$NF$150,MATCH(1,(GMW!$NE$2:$NE$150=X$3)*(GMW!$ND$2:$ND$150=X$4)*(GMW!$NF$2:$NF$150=X$1),0),$C330-1966)</f>
        <v>173248.6</v>
      </c>
      <c r="Y330" s="4" cm="1">
        <f t="array" ref="Y330">INDEX(GMW!$A$2:$NF$150,MATCH(1,(GMW!$NE$2:$NE$150=Y$3)*(GMW!$ND$2:$ND$150=Y$4)*(GMW!$NF$2:$NF$150=Y$1),0),$C330-1966)</f>
        <v>201027.8</v>
      </c>
      <c r="Z330" s="4" cm="1">
        <f t="array" ref="Z330">INDEX(GMW!$A$2:$NF$150,MATCH(1,(GMW!$NE$2:$NE$150=Z$3)*(GMW!$ND$2:$ND$150=Z$4)*(GMW!$NF$2:$NF$150=Z$1),0),$C330-1966)</f>
        <v>117966.8</v>
      </c>
      <c r="AA330" s="4" cm="1">
        <f t="array" ref="AA330">INDEX(GMW!$A$2:$NF$150,MATCH(1,(GMW!$NE$2:$NE$150=AA$3)*(GMW!$ND$2:$ND$150=AA$4)*(GMW!$NF$2:$NF$150=AA$1),0),$C330-1966)</f>
        <v>994791.5</v>
      </c>
      <c r="AB330" s="4" cm="1">
        <f t="array" ref="AB330">INDEX(GMW!$A$2:$NF$150,MATCH(1,(GMW!$NE$2:$NE$150=AB$3)*(GMW!$ND$2:$ND$150=AB$4)*(GMW!$NF$2:$NF$150=AB$1),0),$C330-1966)</f>
        <v>39307.67</v>
      </c>
      <c r="AC330" s="4" cm="1">
        <f t="array" ref="AC330">INDEX(GMW!$A$2:$NF$150,MATCH(1,(GMW!$NE$2:$NE$150=AC$3)*(GMW!$ND$2:$ND$150=AC$4)*(GMW!$NF$2:$NF$150=AC$1),0),$C330-1966)</f>
        <v>31.937670000000001</v>
      </c>
      <c r="AD330" s="4" cm="1">
        <f t="array" ref="AD330">INDEX(GMW!$A$2:$NF$150,MATCH(1,(GMW!$NE$2:$NE$150=AD$3)*(GMW!$ND$2:$ND$150=AD$4)*(GMW!$NF$2:$NF$150=AD$1),0),$C330-1966)</f>
        <v>715134.3</v>
      </c>
      <c r="AE330" s="4" cm="1">
        <f t="array" ref="AE330">INDEX(GMW!$A$2:$NF$150,MATCH(1,(GMW!$NE$2:$NE$150=AE$3)*(GMW!$ND$2:$ND$150=AE$4)*(GMW!$NF$2:$NF$150=AE$1),0),$C330-1966)</f>
        <v>46575.040000000001</v>
      </c>
      <c r="AF330" s="4" cm="1">
        <f t="array" ref="AF330">INDEX(GMW!$A$2:$NF$150,MATCH(1,(GMW!$NE$2:$NE$150=AF$3)*(GMW!$ND$2:$ND$150=AF$4)*(GMW!$NF$2:$NF$150=AF$1),0),$C330-1966)</f>
        <v>5649795</v>
      </c>
      <c r="AG330" s="4" cm="1">
        <f t="array" ref="AG330">INDEX(GMW!$A$2:$NF$150,MATCH(1,(GMW!$NE$2:$NE$150=AG$3)*(GMW!$ND$2:$ND$150=AG$4)*(GMW!$NF$2:$NF$150=AG$1),0),$C330-1966)</f>
        <v>-1.5769150000000001</v>
      </c>
      <c r="AH330" s="4" cm="1">
        <f t="array" ref="AH330">INDEX(GMW!$A$2:$NF$150,MATCH(1,(GMW!$NE$2:$NE$150=AH$3)*(GMW!$ND$2:$ND$150=AH$4)*(GMW!$NF$2:$NF$150=AH$1),0),$C330-1966)</f>
        <v>999414.4</v>
      </c>
      <c r="AI330" s="4" cm="1">
        <f t="array" ref="AI330">INDEX(GMW!$A$2:$NF$150,MATCH(1,(GMW!$NE$2:$NE$150=AI$3)*(GMW!$ND$2:$ND$150=AI$4)*(GMW!$NF$2:$NF$150=AI$1),0),$C330-1966)</f>
        <v>243.17400000000001</v>
      </c>
      <c r="AJ330" s="4" cm="1">
        <f t="array" ref="AJ330">INDEX(GMW!$A$2:$NF$150,MATCH(1,(GMW!$NE$2:$NE$150=AJ$3)*(GMW!$ND$2:$ND$150=AJ$4)*(GMW!$NF$2:$NF$150=AJ$1),0),$C330-1966)</f>
        <v>295014.40000000002</v>
      </c>
      <c r="AK330" s="4" cm="1">
        <f t="array" ref="AK330">INDEX(GMW!$A$2:$NF$150,MATCH(1,(GMW!$NE$2:$NE$150=AK$3)*(GMW!$ND$2:$ND$150=AK$4)*(GMW!$NF$2:$NF$150=AK$1),0),$C330-1966)</f>
        <v>107006.39999999999</v>
      </c>
      <c r="AL330" s="4" cm="1">
        <f t="array" ref="AL330">INDEX(GMW!$A$2:$NF$150,MATCH(1,(GMW!$NE$2:$NE$150=AL$3)*(GMW!$ND$2:$ND$150=AL$4)*(GMW!$NF$2:$NF$150=AL$1),0),$C330-1966)</f>
        <v>334224.09999999998</v>
      </c>
      <c r="AM330" s="4" cm="1">
        <f t="array" ref="AM330">INDEX(GMW!$A$2:$NF$150,MATCH(1,(GMW!$NE$2:$NE$150=AM$3)*(GMW!$ND$2:$ND$150=AM$4)*(GMW!$NF$2:$NF$150=AM$1),0),$C330-1966)</f>
        <v>177982.5</v>
      </c>
      <c r="AN330" s="4" cm="1">
        <f t="array" ref="AN330">INDEX(GMW!$A$2:$NF$150,MATCH(1,(GMW!$NE$2:$NE$150=AN$3)*(GMW!$ND$2:$ND$150=AN$4)*(GMW!$NF$2:$NF$150=AN$1),0),$C330-1966)</f>
        <v>201909.5</v>
      </c>
      <c r="AO330" s="4" cm="1">
        <f t="array" ref="AO330">INDEX(GMW!$A$2:$NF$150,MATCH(1,(GMW!$NE$2:$NE$150=AO$3)*(GMW!$ND$2:$ND$150=AO$4)*(GMW!$NF$2:$NF$150=AO$1),0),$C330-1966)</f>
        <v>120021.4</v>
      </c>
      <c r="AP330" s="4" cm="1">
        <f t="array" ref="AP330">INDEX(GMW!$A$2:$NF$150,MATCH(1,(GMW!$NE$2:$NE$150=AP$3)*(GMW!$ND$2:$ND$150=AP$4)*(GMW!$NF$2:$NF$150=AP$1),0),$C330-1966)</f>
        <v>999413.9</v>
      </c>
      <c r="AQ330" s="4" cm="1">
        <f t="array" ref="AQ330">INDEX(GMW!$A$2:$NF$150,MATCH(1,(GMW!$NE$2:$NE$150=AQ$3)*(GMW!$ND$2:$ND$150=AQ$4)*(GMW!$NF$2:$NF$150=AQ$1),0),$C330-1966)</f>
        <v>39444.839999999997</v>
      </c>
      <c r="AR330" s="4" cm="1">
        <f t="array" ref="AR330">INDEX(GMW!$A$2:$NF$150,MATCH(1,(GMW!$NE$2:$NE$150=AR$3)*(GMW!$ND$2:$ND$150=AR$4)*(GMW!$NF$2:$NF$150=AR$1),0),$C330-1966)</f>
        <v>31.937670000000001</v>
      </c>
      <c r="AS330" s="4" cm="1">
        <f t="array" ref="AS330">INDEX(GMW!$A$2:$NF$150,MATCH(1,(GMW!$NE$2:$NE$150=AS$3)*(GMW!$ND$2:$ND$150=AS$4)*(GMW!$NF$2:$NF$150=AS$1),0),$C330-1966)</f>
        <v>717769.7</v>
      </c>
      <c r="AT330" s="4" cm="1">
        <f t="array" ref="AT330">INDEX(GMW!$A$2:$NF$150,MATCH(1,(GMW!$NE$2:$NE$150=AT$3)*(GMW!$ND$2:$ND$150=AT$4)*(GMW!$NF$2:$NF$150=AT$1),0),$C330-1966)</f>
        <v>46731.48</v>
      </c>
      <c r="AU330" s="4" cm="1">
        <f t="array" ref="AU330">INDEX(GMW!$A$2:$NF$150,MATCH(1,(GMW!$NE$2:$NE$150=AU$3)*(GMW!$ND$2:$ND$150=AU$4)*(GMW!$NF$2:$NF$150=AU$1),0),$C330-1966)</f>
        <v>5661680</v>
      </c>
      <c r="AV330" s="4" cm="1">
        <f t="array" ref="AV330">INDEX(GMW!$A$2:$NF$150,MATCH(1,(GMW!$NE$2:$NE$150=AV$3)*(GMW!$ND$2:$ND$150=AV$4)*(GMW!$NF$2:$NF$150=AV$1),0),$C330-1966)</f>
        <v>-1.575339</v>
      </c>
    </row>
    <row r="331" spans="1:48" x14ac:dyDescent="0.25">
      <c r="A331" s="4">
        <v>2054</v>
      </c>
      <c r="B331" s="4">
        <f t="shared" si="12"/>
        <v>2054</v>
      </c>
      <c r="C331" s="4">
        <f t="shared" si="13"/>
        <v>2297</v>
      </c>
      <c r="D331" s="4" cm="1">
        <f t="array" ref="D331">INDEX(GMW!$A$2:$NF$150,MATCH(1,(GMW!$NE$2:$NE$150=D$3)*(GMW!$ND$2:$ND$150=D$4)*(GMW!$NF$2:$NF$150=D$1),0),$C331-1966)</f>
        <v>989690.7</v>
      </c>
      <c r="E331" s="4" cm="1">
        <f t="array" ref="E331">INDEX(GMW!$A$2:$NF$150,MATCH(1,(GMW!$NE$2:$NE$150=E$3)*(GMW!$ND$2:$ND$150=E$4)*(GMW!$NF$2:$NF$150=E$1),0),$C331-1966)</f>
        <v>245.39850000000001</v>
      </c>
      <c r="F331" s="4" cm="1">
        <f t="array" ref="F331">INDEX(GMW!$A$2:$NF$150,MATCH(1,(GMW!$NE$2:$NE$150=F$3)*(GMW!$ND$2:$ND$150=F$4)*(GMW!$NF$2:$NF$150=F$1),0),$C331-1966)</f>
        <v>302306.90000000002</v>
      </c>
      <c r="G331" s="4" cm="1">
        <f t="array" ref="G331">INDEX(GMW!$A$2:$NF$150,MATCH(1,(GMW!$NE$2:$NE$150=G$3)*(GMW!$ND$2:$ND$150=G$4)*(GMW!$NF$2:$NF$150=G$1),0),$C331-1966)</f>
        <v>98370.33</v>
      </c>
      <c r="H331" s="4" cm="1">
        <f t="array" ref="H331">INDEX(GMW!$A$2:$NF$150,MATCH(1,(GMW!$NE$2:$NE$150=H$3)*(GMW!$ND$2:$ND$150=H$4)*(GMW!$NF$2:$NF$150=H$1),0),$C331-1966)</f>
        <v>340306.7</v>
      </c>
      <c r="I331" s="4" cm="1">
        <f t="array" ref="I331">INDEX(GMW!$A$2:$NF$150,MATCH(1,(GMW!$NE$2:$NE$150=I$3)*(GMW!$ND$2:$ND$150=I$4)*(GMW!$NF$2:$NF$150=I$1),0),$C331-1966)</f>
        <v>180760.6</v>
      </c>
      <c r="J331" s="4" cm="1">
        <f t="array" ref="J331">INDEX(GMW!$A$2:$NF$150,MATCH(1,(GMW!$NE$2:$NE$150=J$3)*(GMW!$ND$2:$ND$150=J$4)*(GMW!$NF$2:$NF$150=J$1),0),$C331-1966)</f>
        <v>198808.8</v>
      </c>
      <c r="K331" s="4" cm="1">
        <f t="array" ref="K331">INDEX(GMW!$A$2:$NF$150,MATCH(1,(GMW!$NE$2:$NE$150=K$3)*(GMW!$ND$2:$ND$150=K$4)*(GMW!$NF$2:$NF$150=K$1),0),$C331-1966)</f>
        <v>114938.6</v>
      </c>
      <c r="L331" s="4" cm="1">
        <f t="array" ref="L331">INDEX(GMW!$A$2:$NF$150,MATCH(1,(GMW!$NE$2:$NE$150=L$3)*(GMW!$ND$2:$ND$150=L$4)*(GMW!$NF$2:$NF$150=L$1),0),$C331-1966)</f>
        <v>989689.2</v>
      </c>
      <c r="M331" s="4" cm="1">
        <f t="array" ref="M331">INDEX(GMW!$A$2:$NF$150,MATCH(1,(GMW!$NE$2:$NE$150=M$3)*(GMW!$ND$2:$ND$150=M$4)*(GMW!$NF$2:$NF$150=M$1),0),$C331-1966)</f>
        <v>39313.75</v>
      </c>
      <c r="N331" s="4" cm="1">
        <f t="array" ref="N331">INDEX(GMW!$A$2:$NF$150,MATCH(1,(GMW!$NE$2:$NE$150=N$3)*(GMW!$ND$2:$ND$150=N$4)*(GMW!$NF$2:$NF$150=N$1),0),$C331-1966)</f>
        <v>31.936920000000001</v>
      </c>
      <c r="O331" s="4" cm="1">
        <f t="array" ref="O331">INDEX(GMW!$A$2:$NF$150,MATCH(1,(GMW!$NE$2:$NE$150=O$3)*(GMW!$ND$2:$ND$150=O$4)*(GMW!$NF$2:$NF$150=O$1),0),$C331-1966)</f>
        <v>715326.1</v>
      </c>
      <c r="P331" s="4" cm="1">
        <f t="array" ref="P331">INDEX(GMW!$A$2:$NF$150,MATCH(1,(GMW!$NE$2:$NE$150=P$3)*(GMW!$ND$2:$ND$150=P$4)*(GMW!$NF$2:$NF$150=P$1),0),$C331-1966)</f>
        <v>46561.69</v>
      </c>
      <c r="Q331" s="4" cm="1">
        <f t="array" ref="Q331">INDEX(GMW!$A$2:$NF$150,MATCH(1,(GMW!$NE$2:$NE$150=Q$3)*(GMW!$ND$2:$ND$150=Q$4)*(GMW!$NF$2:$NF$150=Q$1),0),$C331-1966)</f>
        <v>5575188</v>
      </c>
      <c r="R331" s="4" cm="1">
        <f t="array" ref="R331">INDEX(GMW!$A$2:$NF$150,MATCH(1,(GMW!$NE$2:$NE$150=R$3)*(GMW!$ND$2:$ND$150=R$4)*(GMW!$NF$2:$NF$150=R$1),0),$C331-1966)</f>
        <v>-1.577636</v>
      </c>
      <c r="S331" s="4" cm="1">
        <f t="array" ref="S331">INDEX(GMW!$A$2:$NF$150,MATCH(1,(GMW!$NE$2:$NE$150=S$3)*(GMW!$ND$2:$ND$150=S$4)*(GMW!$NF$2:$NF$150=S$1),0),$C331-1966)</f>
        <v>997931.5</v>
      </c>
      <c r="T331" s="4" cm="1">
        <f t="array" ref="T331">INDEX(GMW!$A$2:$NF$150,MATCH(1,(GMW!$NE$2:$NE$150=T$3)*(GMW!$ND$2:$ND$150=T$4)*(GMW!$NF$2:$NF$150=T$1),0),$C331-1966)</f>
        <v>245.13939999999999</v>
      </c>
      <c r="U331" s="4" cm="1">
        <f t="array" ref="U331">INDEX(GMW!$A$2:$NF$150,MATCH(1,(GMW!$NE$2:$NE$150=U$3)*(GMW!$ND$2:$ND$150=U$4)*(GMW!$NF$2:$NF$150=U$1),0),$C331-1966)</f>
        <v>288964.8</v>
      </c>
      <c r="V331" s="4" cm="1">
        <f t="array" ref="V331">INDEX(GMW!$A$2:$NF$150,MATCH(1,(GMW!$NE$2:$NE$150=V$3)*(GMW!$ND$2:$ND$150=V$4)*(GMW!$NF$2:$NF$150=V$1),0),$C331-1966)</f>
        <v>103634.2</v>
      </c>
      <c r="W331" s="4" cm="1">
        <f t="array" ref="W331">INDEX(GMW!$A$2:$NF$150,MATCH(1,(GMW!$NE$2:$NE$150=W$3)*(GMW!$ND$2:$ND$150=W$4)*(GMW!$NF$2:$NF$150=W$1),0),$C331-1966)</f>
        <v>329271.8</v>
      </c>
      <c r="X331" s="4" cm="1">
        <f t="array" ref="X331">INDEX(GMW!$A$2:$NF$150,MATCH(1,(GMW!$NE$2:$NE$150=X$3)*(GMW!$ND$2:$ND$150=X$4)*(GMW!$NF$2:$NF$150=X$1),0),$C331-1966)</f>
        <v>173778</v>
      </c>
      <c r="Y331" s="4" cm="1">
        <f t="array" ref="Y331">INDEX(GMW!$A$2:$NF$150,MATCH(1,(GMW!$NE$2:$NE$150=Y$3)*(GMW!$ND$2:$ND$150=Y$4)*(GMW!$NF$2:$NF$150=Y$1),0),$C331-1966)</f>
        <v>201853.6</v>
      </c>
      <c r="Z331" s="4" cm="1">
        <f t="array" ref="Z331">INDEX(GMW!$A$2:$NF$150,MATCH(1,(GMW!$NE$2:$NE$150=Z$3)*(GMW!$ND$2:$ND$150=Z$4)*(GMW!$NF$2:$NF$150=Z$1),0),$C331-1966)</f>
        <v>118486.6</v>
      </c>
      <c r="AA331" s="4" cm="1">
        <f t="array" ref="AA331">INDEX(GMW!$A$2:$NF$150,MATCH(1,(GMW!$NE$2:$NE$150=AA$3)*(GMW!$ND$2:$ND$150=AA$4)*(GMW!$NF$2:$NF$150=AA$1),0),$C331-1966)</f>
        <v>997929.1</v>
      </c>
      <c r="AB331" s="4" cm="1">
        <f t="array" ref="AB331">INDEX(GMW!$A$2:$NF$150,MATCH(1,(GMW!$NE$2:$NE$150=AB$3)*(GMW!$ND$2:$ND$150=AB$4)*(GMW!$NF$2:$NF$150=AB$1),0),$C331-1966)</f>
        <v>39313.75</v>
      </c>
      <c r="AC331" s="4" cm="1">
        <f t="array" ref="AC331">INDEX(GMW!$A$2:$NF$150,MATCH(1,(GMW!$NE$2:$NE$150=AC$3)*(GMW!$ND$2:$ND$150=AC$4)*(GMW!$NF$2:$NF$150=AC$1),0),$C331-1966)</f>
        <v>31.936920000000001</v>
      </c>
      <c r="AD331" s="4" cm="1">
        <f t="array" ref="AD331">INDEX(GMW!$A$2:$NF$150,MATCH(1,(GMW!$NE$2:$NE$150=AD$3)*(GMW!$ND$2:$ND$150=AD$4)*(GMW!$NF$2:$NF$150=AD$1),0),$C331-1966)</f>
        <v>715326.1</v>
      </c>
      <c r="AE331" s="4" cm="1">
        <f t="array" ref="AE331">INDEX(GMW!$A$2:$NF$150,MATCH(1,(GMW!$NE$2:$NE$150=AE$3)*(GMW!$ND$2:$ND$150=AE$4)*(GMW!$NF$2:$NF$150=AE$1),0),$C331-1966)</f>
        <v>46561.69</v>
      </c>
      <c r="AF331" s="4" cm="1">
        <f t="array" ref="AF331">INDEX(GMW!$A$2:$NF$150,MATCH(1,(GMW!$NE$2:$NE$150=AF$3)*(GMW!$ND$2:$ND$150=AF$4)*(GMW!$NF$2:$NF$150=AF$1),0),$C331-1966)</f>
        <v>5676226</v>
      </c>
      <c r="AG331" s="4" cm="1">
        <f t="array" ref="AG331">INDEX(GMW!$A$2:$NF$150,MATCH(1,(GMW!$NE$2:$NE$150=AG$3)*(GMW!$ND$2:$ND$150=AG$4)*(GMW!$NF$2:$NF$150=AG$1),0),$C331-1966)</f>
        <v>-1.5756540000000001</v>
      </c>
      <c r="AH331" s="4" cm="1">
        <f t="array" ref="AH331">INDEX(GMW!$A$2:$NF$150,MATCH(1,(GMW!$NE$2:$NE$150=AH$3)*(GMW!$ND$2:$ND$150=AH$4)*(GMW!$NF$2:$NF$150=AH$1),0),$C331-1966)</f>
        <v>1002727</v>
      </c>
      <c r="AI331" s="4" cm="1">
        <f t="array" ref="AI331">INDEX(GMW!$A$2:$NF$150,MATCH(1,(GMW!$NE$2:$NE$150=AI$3)*(GMW!$ND$2:$ND$150=AI$4)*(GMW!$NF$2:$NF$150=AI$1),0),$C331-1966)</f>
        <v>243.63570000000001</v>
      </c>
      <c r="AJ331" s="4" cm="1">
        <f t="array" ref="AJ331">INDEX(GMW!$A$2:$NF$150,MATCH(1,(GMW!$NE$2:$NE$150=AJ$3)*(GMW!$ND$2:$ND$150=AJ$4)*(GMW!$NF$2:$NF$150=AJ$1),0),$C331-1966)</f>
        <v>295908</v>
      </c>
      <c r="AK331" s="4" cm="1">
        <f t="array" ref="AK331">INDEX(GMW!$A$2:$NF$150,MATCH(1,(GMW!$NE$2:$NE$150=AK$3)*(GMW!$ND$2:$ND$150=AK$4)*(GMW!$NF$2:$NF$150=AK$1),0),$C331-1966)</f>
        <v>107275.4</v>
      </c>
      <c r="AL331" s="4" cm="1">
        <f t="array" ref="AL331">INDEX(GMW!$A$2:$NF$150,MATCH(1,(GMW!$NE$2:$NE$150=AL$3)*(GMW!$ND$2:$ND$150=AL$4)*(GMW!$NF$2:$NF$150=AL$1),0),$C331-1966)</f>
        <v>335361.7</v>
      </c>
      <c r="AM331" s="4" cm="1">
        <f t="array" ref="AM331">INDEX(GMW!$A$2:$NF$150,MATCH(1,(GMW!$NE$2:$NE$150=AM$3)*(GMW!$ND$2:$ND$150=AM$4)*(GMW!$NF$2:$NF$150=AM$1),0),$C331-1966)</f>
        <v>178554.6</v>
      </c>
      <c r="AN331" s="4" cm="1">
        <f t="array" ref="AN331">INDEX(GMW!$A$2:$NF$150,MATCH(1,(GMW!$NE$2:$NE$150=AN$3)*(GMW!$ND$2:$ND$150=AN$4)*(GMW!$NF$2:$NF$150=AN$1),0),$C331-1966)</f>
        <v>202771.6</v>
      </c>
      <c r="AO331" s="4" cm="1">
        <f t="array" ref="AO331">INDEX(GMW!$A$2:$NF$150,MATCH(1,(GMW!$NE$2:$NE$150=AO$3)*(GMW!$ND$2:$ND$150=AO$4)*(GMW!$NF$2:$NF$150=AO$1),0),$C331-1966)</f>
        <v>120569.3</v>
      </c>
      <c r="AP331" s="4" cm="1">
        <f t="array" ref="AP331">INDEX(GMW!$A$2:$NF$150,MATCH(1,(GMW!$NE$2:$NE$150=AP$3)*(GMW!$ND$2:$ND$150=AP$4)*(GMW!$NF$2:$NF$150=AP$1),0),$C331-1966)</f>
        <v>1002727</v>
      </c>
      <c r="AQ331" s="4" cm="1">
        <f t="array" ref="AQ331">INDEX(GMW!$A$2:$NF$150,MATCH(1,(GMW!$NE$2:$NE$150=AQ$3)*(GMW!$ND$2:$ND$150=AQ$4)*(GMW!$NF$2:$NF$150=AQ$1),0),$C331-1966)</f>
        <v>39458.43</v>
      </c>
      <c r="AR331" s="4" cm="1">
        <f t="array" ref="AR331">INDEX(GMW!$A$2:$NF$150,MATCH(1,(GMW!$NE$2:$NE$150=AR$3)*(GMW!$ND$2:$ND$150=AR$4)*(GMW!$NF$2:$NF$150=AR$1),0),$C331-1966)</f>
        <v>31.936920000000001</v>
      </c>
      <c r="AS331" s="4" cm="1">
        <f t="array" ref="AS331">INDEX(GMW!$A$2:$NF$150,MATCH(1,(GMW!$NE$2:$NE$150=AS$3)*(GMW!$ND$2:$ND$150=AS$4)*(GMW!$NF$2:$NF$150=AS$1),0),$C331-1966)</f>
        <v>718086.8</v>
      </c>
      <c r="AT331" s="4" cm="1">
        <f t="array" ref="AT331">INDEX(GMW!$A$2:$NF$150,MATCH(1,(GMW!$NE$2:$NE$150=AT$3)*(GMW!$ND$2:$ND$150=AT$4)*(GMW!$NF$2:$NF$150=AT$1),0),$C331-1966)</f>
        <v>46726.42</v>
      </c>
      <c r="AU331" s="4" cm="1">
        <f t="array" ref="AU331">INDEX(GMW!$A$2:$NF$150,MATCH(1,(GMW!$NE$2:$NE$150=AU$3)*(GMW!$ND$2:$ND$150=AU$4)*(GMW!$NF$2:$NF$150=AU$1),0),$C331-1966)</f>
        <v>5688779</v>
      </c>
      <c r="AV331" s="4" cm="1">
        <f t="array" ref="AV331">INDEX(GMW!$A$2:$NF$150,MATCH(1,(GMW!$NE$2:$NE$150=AV$3)*(GMW!$ND$2:$ND$150=AV$4)*(GMW!$NF$2:$NF$150=AV$1),0),$C331-1966)</f>
        <v>-1.574079</v>
      </c>
    </row>
    <row r="332" spans="1:48" x14ac:dyDescent="0.25">
      <c r="B332" s="4">
        <f t="shared" ref="B332:B358" si="14">+B328+1</f>
        <v>2054</v>
      </c>
      <c r="C332" s="4">
        <f t="shared" si="13"/>
        <v>2298</v>
      </c>
      <c r="D332" s="4" cm="1">
        <f t="array" ref="D332">INDEX(GMW!$A$2:$NF$150,MATCH(1,(GMW!$NE$2:$NE$150=D$3)*(GMW!$ND$2:$ND$150=D$4)*(GMW!$NF$2:$NF$150=D$1),0),$C332-1966)</f>
        <v>992833.8</v>
      </c>
      <c r="E332" s="4" cm="1">
        <f t="array" ref="E332">INDEX(GMW!$A$2:$NF$150,MATCH(1,(GMW!$NE$2:$NE$150=E$3)*(GMW!$ND$2:$ND$150=E$4)*(GMW!$NF$2:$NF$150=E$1),0),$C332-1966)</f>
        <v>247.57400000000001</v>
      </c>
      <c r="F332" s="4" cm="1">
        <f t="array" ref="F332">INDEX(GMW!$A$2:$NF$150,MATCH(1,(GMW!$NE$2:$NE$150=F$3)*(GMW!$ND$2:$ND$150=F$4)*(GMW!$NF$2:$NF$150=F$1),0),$C332-1966)</f>
        <v>303205.59999999998</v>
      </c>
      <c r="G332" s="4" cm="1">
        <f t="array" ref="G332">INDEX(GMW!$A$2:$NF$150,MATCH(1,(GMW!$NE$2:$NE$150=G$3)*(GMW!$ND$2:$ND$150=G$4)*(GMW!$NF$2:$NF$150=G$1),0),$C332-1966)</f>
        <v>98604.04</v>
      </c>
      <c r="H332" s="4" cm="1">
        <f t="array" ref="H332">INDEX(GMW!$A$2:$NF$150,MATCH(1,(GMW!$NE$2:$NE$150=H$3)*(GMW!$ND$2:$ND$150=H$4)*(GMW!$NF$2:$NF$150=H$1),0),$C332-1966)</f>
        <v>341435.7</v>
      </c>
      <c r="I332" s="4" cm="1">
        <f t="array" ref="I332">INDEX(GMW!$A$2:$NF$150,MATCH(1,(GMW!$NE$2:$NE$150=I$3)*(GMW!$ND$2:$ND$150=I$4)*(GMW!$NF$2:$NF$150=I$1),0),$C332-1966)</f>
        <v>181316.6</v>
      </c>
      <c r="J332" s="4" cm="1">
        <f t="array" ref="J332">INDEX(GMW!$A$2:$NF$150,MATCH(1,(GMW!$NE$2:$NE$150=J$3)*(GMW!$ND$2:$ND$150=J$4)*(GMW!$NF$2:$NF$150=J$1),0),$C332-1966)</f>
        <v>199634.5</v>
      </c>
      <c r="K332" s="4" cm="1">
        <f t="array" ref="K332">INDEX(GMW!$A$2:$NF$150,MATCH(1,(GMW!$NE$2:$NE$150=K$3)*(GMW!$ND$2:$ND$150=K$4)*(GMW!$NF$2:$NF$150=K$1),0),$C332-1966)</f>
        <v>115453</v>
      </c>
      <c r="L332" s="4" cm="1">
        <f t="array" ref="L332">INDEX(GMW!$A$2:$NF$150,MATCH(1,(GMW!$NE$2:$NE$150=L$3)*(GMW!$ND$2:$ND$150=L$4)*(GMW!$NF$2:$NF$150=L$1),0),$C332-1966)</f>
        <v>992832.4</v>
      </c>
      <c r="M332" s="4" cm="1">
        <f t="array" ref="M332">INDEX(GMW!$A$2:$NF$150,MATCH(1,(GMW!$NE$2:$NE$150=M$3)*(GMW!$ND$2:$ND$150=M$4)*(GMW!$NF$2:$NF$150=M$1),0),$C332-1966)</f>
        <v>39319.83</v>
      </c>
      <c r="N332" s="4" cm="1">
        <f t="array" ref="N332">INDEX(GMW!$A$2:$NF$150,MATCH(1,(GMW!$NE$2:$NE$150=N$3)*(GMW!$ND$2:$ND$150=N$4)*(GMW!$NF$2:$NF$150=N$1),0),$C332-1966)</f>
        <v>31.936170000000001</v>
      </c>
      <c r="O332" s="4" cm="1">
        <f t="array" ref="O332">INDEX(GMW!$A$2:$NF$150,MATCH(1,(GMW!$NE$2:$NE$150=O$3)*(GMW!$ND$2:$ND$150=O$4)*(GMW!$NF$2:$NF$150=O$1),0),$C332-1966)</f>
        <v>715516.6</v>
      </c>
      <c r="P332" s="4" cm="1">
        <f t="array" ref="P332">INDEX(GMW!$A$2:$NF$150,MATCH(1,(GMW!$NE$2:$NE$150=P$3)*(GMW!$ND$2:$ND$150=P$4)*(GMW!$NF$2:$NF$150=P$1),0),$C332-1966)</f>
        <v>46548.33</v>
      </c>
      <c r="Q332" s="4" cm="1">
        <f t="array" ref="Q332">INDEX(GMW!$A$2:$NF$150,MATCH(1,(GMW!$NE$2:$NE$150=Q$3)*(GMW!$ND$2:$ND$150=Q$4)*(GMW!$NF$2:$NF$150=Q$1),0),$C332-1966)</f>
        <v>5601590</v>
      </c>
      <c r="R332" s="4" cm="1">
        <f t="array" ref="R332">INDEX(GMW!$A$2:$NF$150,MATCH(1,(GMW!$NE$2:$NE$150=R$3)*(GMW!$ND$2:$ND$150=R$4)*(GMW!$NF$2:$NF$150=R$1),0),$C332-1966)</f>
        <v>-1.5763739999999999</v>
      </c>
      <c r="S332" s="4" cm="1">
        <f t="array" ref="S332">INDEX(GMW!$A$2:$NF$150,MATCH(1,(GMW!$NE$2:$NE$150=S$3)*(GMW!$ND$2:$ND$150=S$4)*(GMW!$NF$2:$NF$150=S$1),0),$C332-1966)</f>
        <v>1001075</v>
      </c>
      <c r="T332" s="4" cm="1">
        <f t="array" ref="T332">INDEX(GMW!$A$2:$NF$150,MATCH(1,(GMW!$NE$2:$NE$150=T$3)*(GMW!$ND$2:$ND$150=T$4)*(GMW!$NF$2:$NF$150=T$1),0),$C332-1966)</f>
        <v>247.36349999999999</v>
      </c>
      <c r="U332" s="4" cm="1">
        <f t="array" ref="U332">INDEX(GMW!$A$2:$NF$150,MATCH(1,(GMW!$NE$2:$NE$150=U$3)*(GMW!$ND$2:$ND$150=U$4)*(GMW!$NF$2:$NF$150=U$1),0),$C332-1966)</f>
        <v>289802.09999999998</v>
      </c>
      <c r="V332" s="4" cm="1">
        <f t="array" ref="V332">INDEX(GMW!$A$2:$NF$150,MATCH(1,(GMW!$NE$2:$NE$150=V$3)*(GMW!$ND$2:$ND$150=V$4)*(GMW!$NF$2:$NF$150=V$1),0),$C332-1966)</f>
        <v>103877.8</v>
      </c>
      <c r="W332" s="4" cm="1">
        <f t="array" ref="W332">INDEX(GMW!$A$2:$NF$150,MATCH(1,(GMW!$NE$2:$NE$150=W$3)*(GMW!$ND$2:$ND$150=W$4)*(GMW!$NF$2:$NF$150=W$1),0),$C332-1966)</f>
        <v>330349.40000000002</v>
      </c>
      <c r="X332" s="4" cm="1">
        <f t="array" ref="X332">INDEX(GMW!$A$2:$NF$150,MATCH(1,(GMW!$NE$2:$NE$150=X$3)*(GMW!$ND$2:$ND$150=X$4)*(GMW!$NF$2:$NF$150=X$1),0),$C332-1966)</f>
        <v>174308.1</v>
      </c>
      <c r="Y332" s="4" cm="1">
        <f t="array" ref="Y332">INDEX(GMW!$A$2:$NF$150,MATCH(1,(GMW!$NE$2:$NE$150=Y$3)*(GMW!$ND$2:$ND$150=Y$4)*(GMW!$NF$2:$NF$150=Y$1),0),$C332-1966)</f>
        <v>202681.7</v>
      </c>
      <c r="Z332" s="4" cm="1">
        <f t="array" ref="Z332">INDEX(GMW!$A$2:$NF$150,MATCH(1,(GMW!$NE$2:$NE$150=Z$3)*(GMW!$ND$2:$ND$150=Z$4)*(GMW!$NF$2:$NF$150=Z$1),0),$C332-1966)</f>
        <v>119008</v>
      </c>
      <c r="AA332" s="4" cm="1">
        <f t="array" ref="AA332">INDEX(GMW!$A$2:$NF$150,MATCH(1,(GMW!$NE$2:$NE$150=AA$3)*(GMW!$ND$2:$ND$150=AA$4)*(GMW!$NF$2:$NF$150=AA$1),0),$C332-1966)</f>
        <v>1001075</v>
      </c>
      <c r="AB332" s="4" cm="1">
        <f t="array" ref="AB332">INDEX(GMW!$A$2:$NF$150,MATCH(1,(GMW!$NE$2:$NE$150=AB$3)*(GMW!$ND$2:$ND$150=AB$4)*(GMW!$NF$2:$NF$150=AB$1),0),$C332-1966)</f>
        <v>39319.83</v>
      </c>
      <c r="AC332" s="4" cm="1">
        <f t="array" ref="AC332">INDEX(GMW!$A$2:$NF$150,MATCH(1,(GMW!$NE$2:$NE$150=AC$3)*(GMW!$ND$2:$ND$150=AC$4)*(GMW!$NF$2:$NF$150=AC$1),0),$C332-1966)</f>
        <v>31.936170000000001</v>
      </c>
      <c r="AD332" s="4" cm="1">
        <f t="array" ref="AD332">INDEX(GMW!$A$2:$NF$150,MATCH(1,(GMW!$NE$2:$NE$150=AD$3)*(GMW!$ND$2:$ND$150=AD$4)*(GMW!$NF$2:$NF$150=AD$1),0),$C332-1966)</f>
        <v>715516.6</v>
      </c>
      <c r="AE332" s="4" cm="1">
        <f t="array" ref="AE332">INDEX(GMW!$A$2:$NF$150,MATCH(1,(GMW!$NE$2:$NE$150=AE$3)*(GMW!$ND$2:$ND$150=AE$4)*(GMW!$NF$2:$NF$150=AE$1),0),$C332-1966)</f>
        <v>46548.33</v>
      </c>
      <c r="AF332" s="4" cm="1">
        <f t="array" ref="AF332">INDEX(GMW!$A$2:$NF$150,MATCH(1,(GMW!$NE$2:$NE$150=AF$3)*(GMW!$ND$2:$ND$150=AF$4)*(GMW!$NF$2:$NF$150=AF$1),0),$C332-1966)</f>
        <v>5702709</v>
      </c>
      <c r="AG332" s="4" cm="1">
        <f t="array" ref="AG332">INDEX(GMW!$A$2:$NF$150,MATCH(1,(GMW!$NE$2:$NE$150=AG$3)*(GMW!$ND$2:$ND$150=AG$4)*(GMW!$NF$2:$NF$150=AG$1),0),$C332-1966)</f>
        <v>-1.5743929999999999</v>
      </c>
      <c r="AH332" s="4" cm="1">
        <f t="array" ref="AH332">INDEX(GMW!$A$2:$NF$150,MATCH(1,(GMW!$NE$2:$NE$150=AH$3)*(GMW!$ND$2:$ND$150=AH$4)*(GMW!$NF$2:$NF$150=AH$1),0),$C332-1966)</f>
        <v>1006045</v>
      </c>
      <c r="AI332" s="4" cm="1">
        <f t="array" ref="AI332">INDEX(GMW!$A$2:$NF$150,MATCH(1,(GMW!$NE$2:$NE$150=AI$3)*(GMW!$ND$2:$ND$150=AI$4)*(GMW!$NF$2:$NF$150=AI$1),0),$C332-1966)</f>
        <v>245.73159999999999</v>
      </c>
      <c r="AJ332" s="4" cm="1">
        <f t="array" ref="AJ332">INDEX(GMW!$A$2:$NF$150,MATCH(1,(GMW!$NE$2:$NE$150=AJ$3)*(GMW!$ND$2:$ND$150=AJ$4)*(GMW!$NF$2:$NF$150=AJ$1),0),$C332-1966)</f>
        <v>296803.20000000001</v>
      </c>
      <c r="AK332" s="4" cm="1">
        <f t="array" ref="AK332">INDEX(GMW!$A$2:$NF$150,MATCH(1,(GMW!$NE$2:$NE$150=AK$3)*(GMW!$ND$2:$ND$150=AK$4)*(GMW!$NF$2:$NF$150=AK$1),0),$C332-1966)</f>
        <v>107544.6</v>
      </c>
      <c r="AL332" s="4" cm="1">
        <f t="array" ref="AL332">INDEX(GMW!$A$2:$NF$150,MATCH(1,(GMW!$NE$2:$NE$150=AL$3)*(GMW!$ND$2:$ND$150=AL$4)*(GMW!$NF$2:$NF$150=AL$1),0),$C332-1966)</f>
        <v>336501.9</v>
      </c>
      <c r="AM332" s="4" cm="1">
        <f t="array" ref="AM332">INDEX(GMW!$A$2:$NF$150,MATCH(1,(GMW!$NE$2:$NE$150=AM$3)*(GMW!$ND$2:$ND$150=AM$4)*(GMW!$NF$2:$NF$150=AM$1),0),$C332-1966)</f>
        <v>179127.6</v>
      </c>
      <c r="AN332" s="4" cm="1">
        <f t="array" ref="AN332">INDEX(GMW!$A$2:$NF$150,MATCH(1,(GMW!$NE$2:$NE$150=AN$3)*(GMW!$ND$2:$ND$150=AN$4)*(GMW!$NF$2:$NF$150=AN$1),0),$C332-1966)</f>
        <v>203636.3</v>
      </c>
      <c r="AO332" s="4" cm="1">
        <f t="array" ref="AO332">INDEX(GMW!$A$2:$NF$150,MATCH(1,(GMW!$NE$2:$NE$150=AO$3)*(GMW!$ND$2:$ND$150=AO$4)*(GMW!$NF$2:$NF$150=AO$1),0),$C332-1966)</f>
        <v>121119</v>
      </c>
      <c r="AP332" s="4" cm="1">
        <f t="array" ref="AP332">INDEX(GMW!$A$2:$NF$150,MATCH(1,(GMW!$NE$2:$NE$150=AP$3)*(GMW!$ND$2:$ND$150=AP$4)*(GMW!$NF$2:$NF$150=AP$1),0),$C332-1966)</f>
        <v>1006046</v>
      </c>
      <c r="AQ332" s="4" cm="1">
        <f t="array" ref="AQ332">INDEX(GMW!$A$2:$NF$150,MATCH(1,(GMW!$NE$2:$NE$150=AQ$3)*(GMW!$ND$2:$ND$150=AQ$4)*(GMW!$NF$2:$NF$150=AQ$1),0),$C332-1966)</f>
        <v>39472.03</v>
      </c>
      <c r="AR332" s="4" cm="1">
        <f t="array" ref="AR332">INDEX(GMW!$A$2:$NF$150,MATCH(1,(GMW!$NE$2:$NE$150=AR$3)*(GMW!$ND$2:$ND$150=AR$4)*(GMW!$NF$2:$NF$150=AR$1),0),$C332-1966)</f>
        <v>31.936170000000001</v>
      </c>
      <c r="AS332" s="4" cm="1">
        <f t="array" ref="AS332">INDEX(GMW!$A$2:$NF$150,MATCH(1,(GMW!$NE$2:$NE$150=AS$3)*(GMW!$ND$2:$ND$150=AS$4)*(GMW!$NF$2:$NF$150=AS$1),0),$C332-1966)</f>
        <v>718402.6</v>
      </c>
      <c r="AT332" s="4" cm="1">
        <f t="array" ref="AT332">INDEX(GMW!$A$2:$NF$150,MATCH(1,(GMW!$NE$2:$NE$150=AT$3)*(GMW!$ND$2:$ND$150=AT$4)*(GMW!$NF$2:$NF$150=AT$1),0),$C332-1966)</f>
        <v>46721.36</v>
      </c>
      <c r="AU332" s="4" cm="1">
        <f t="array" ref="AU332">INDEX(GMW!$A$2:$NF$150,MATCH(1,(GMW!$NE$2:$NE$150=AU$3)*(GMW!$ND$2:$ND$150=AU$4)*(GMW!$NF$2:$NF$150=AU$1),0),$C332-1966)</f>
        <v>5715946</v>
      </c>
      <c r="AV332" s="4" cm="1">
        <f t="array" ref="AV332">INDEX(GMW!$A$2:$NF$150,MATCH(1,(GMW!$NE$2:$NE$150=AV$3)*(GMW!$ND$2:$ND$150=AV$4)*(GMW!$NF$2:$NF$150=AV$1),0),$C332-1966)</f>
        <v>-1.572819</v>
      </c>
    </row>
    <row r="333" spans="1:48" x14ac:dyDescent="0.25">
      <c r="B333" s="4">
        <f t="shared" si="14"/>
        <v>2054</v>
      </c>
      <c r="C333" s="4">
        <f t="shared" si="13"/>
        <v>2299</v>
      </c>
      <c r="D333" s="4" cm="1">
        <f t="array" ref="D333">INDEX(GMW!$A$2:$NF$150,MATCH(1,(GMW!$NE$2:$NE$150=D$3)*(GMW!$ND$2:$ND$150=D$4)*(GMW!$NF$2:$NF$150=D$1),0),$C333-1966)</f>
        <v>995947.7</v>
      </c>
      <c r="E333" s="4" cm="1">
        <f t="array" ref="E333">INDEX(GMW!$A$2:$NF$150,MATCH(1,(GMW!$NE$2:$NE$150=E$3)*(GMW!$ND$2:$ND$150=E$4)*(GMW!$NF$2:$NF$150=E$1),0),$C333-1966)</f>
        <v>248.7002</v>
      </c>
      <c r="F333" s="4" cm="1">
        <f t="array" ref="F333">INDEX(GMW!$A$2:$NF$150,MATCH(1,(GMW!$NE$2:$NE$150=F$3)*(GMW!$ND$2:$ND$150=F$4)*(GMW!$NF$2:$NF$150=F$1),0),$C333-1966)</f>
        <v>304095.59999999998</v>
      </c>
      <c r="G333" s="4" cm="1">
        <f t="array" ref="G333">INDEX(GMW!$A$2:$NF$150,MATCH(1,(GMW!$NE$2:$NE$150=G$3)*(GMW!$ND$2:$ND$150=G$4)*(GMW!$NF$2:$NF$150=G$1),0),$C333-1966)</f>
        <v>98834.41</v>
      </c>
      <c r="H333" s="4" cm="1">
        <f t="array" ref="H333">INDEX(GMW!$A$2:$NF$150,MATCH(1,(GMW!$NE$2:$NE$150=H$3)*(GMW!$ND$2:$ND$150=H$4)*(GMW!$NF$2:$NF$150=H$1),0),$C333-1966)</f>
        <v>342556.4</v>
      </c>
      <c r="I333" s="4" cm="1">
        <f t="array" ref="I333">INDEX(GMW!$A$2:$NF$150,MATCH(1,(GMW!$NE$2:$NE$150=I$3)*(GMW!$ND$2:$ND$150=I$4)*(GMW!$NF$2:$NF$150=I$1),0),$C333-1966)</f>
        <v>181867.2</v>
      </c>
      <c r="J333" s="4" cm="1">
        <f t="array" ref="J333">INDEX(GMW!$A$2:$NF$150,MATCH(1,(GMW!$NE$2:$NE$150=J$3)*(GMW!$ND$2:$ND$150=J$4)*(GMW!$NF$2:$NF$150=J$1),0),$C333-1966)</f>
        <v>200455.9</v>
      </c>
      <c r="K333" s="4" cm="1">
        <f t="array" ref="K333">INDEX(GMW!$A$2:$NF$150,MATCH(1,(GMW!$NE$2:$NE$150=K$3)*(GMW!$ND$2:$ND$150=K$4)*(GMW!$NF$2:$NF$150=K$1),0),$C333-1966)</f>
        <v>115965.2</v>
      </c>
      <c r="L333" s="4" cm="1">
        <f t="array" ref="L333">INDEX(GMW!$A$2:$NF$150,MATCH(1,(GMW!$NE$2:$NE$150=L$3)*(GMW!$ND$2:$ND$150=L$4)*(GMW!$NF$2:$NF$150=L$1),0),$C333-1966)</f>
        <v>995946.8</v>
      </c>
      <c r="M333" s="4" cm="1">
        <f t="array" ref="M333">INDEX(GMW!$A$2:$NF$150,MATCH(1,(GMW!$NE$2:$NE$150=M$3)*(GMW!$ND$2:$ND$150=M$4)*(GMW!$NF$2:$NF$150=M$1),0),$C333-1966)</f>
        <v>39323.879999999997</v>
      </c>
      <c r="N333" s="4" cm="1">
        <f t="array" ref="N333">INDEX(GMW!$A$2:$NF$150,MATCH(1,(GMW!$NE$2:$NE$150=N$3)*(GMW!$ND$2:$ND$150=N$4)*(GMW!$NF$2:$NF$150=N$1),0),$C333-1966)</f>
        <v>31.935420000000001</v>
      </c>
      <c r="O333" s="4" cm="1">
        <f t="array" ref="O333">INDEX(GMW!$A$2:$NF$150,MATCH(1,(GMW!$NE$2:$NE$150=O$3)*(GMW!$ND$2:$ND$150=O$4)*(GMW!$NF$2:$NF$150=O$1),0),$C333-1966)</f>
        <v>715659.2</v>
      </c>
      <c r="P333" s="4" cm="1">
        <f t="array" ref="P333">INDEX(GMW!$A$2:$NF$150,MATCH(1,(GMW!$NE$2:$NE$150=P$3)*(GMW!$ND$2:$ND$150=P$4)*(GMW!$NF$2:$NF$150=P$1),0),$C333-1966)</f>
        <v>46531.96</v>
      </c>
      <c r="Q333" s="4" cm="1">
        <f t="array" ref="Q333">INDEX(GMW!$A$2:$NF$150,MATCH(1,(GMW!$NE$2:$NE$150=Q$3)*(GMW!$ND$2:$ND$150=Q$4)*(GMW!$NF$2:$NF$150=Q$1),0),$C333-1966)</f>
        <v>5628051</v>
      </c>
      <c r="R333" s="4" cm="1">
        <f t="array" ref="R333">INDEX(GMW!$A$2:$NF$150,MATCH(1,(GMW!$NE$2:$NE$150=R$3)*(GMW!$ND$2:$ND$150=R$4)*(GMW!$NF$2:$NF$150=R$1),0),$C333-1966)</f>
        <v>-1.575113</v>
      </c>
      <c r="S333" s="4" cm="1">
        <f t="array" ref="S333">INDEX(GMW!$A$2:$NF$150,MATCH(1,(GMW!$NE$2:$NE$150=S$3)*(GMW!$ND$2:$ND$150=S$4)*(GMW!$NF$2:$NF$150=S$1),0),$C333-1966)</f>
        <v>1004189</v>
      </c>
      <c r="T333" s="4" cm="1">
        <f t="array" ref="T333">INDEX(GMW!$A$2:$NF$150,MATCH(1,(GMW!$NE$2:$NE$150=T$3)*(GMW!$ND$2:$ND$150=T$4)*(GMW!$NF$2:$NF$150=T$1),0),$C333-1966)</f>
        <v>248.5566</v>
      </c>
      <c r="U333" s="4" cm="1">
        <f t="array" ref="U333">INDEX(GMW!$A$2:$NF$150,MATCH(1,(GMW!$NE$2:$NE$150=U$3)*(GMW!$ND$2:$ND$150=U$4)*(GMW!$NF$2:$NF$150=U$1),0),$C333-1966)</f>
        <v>290630.8</v>
      </c>
      <c r="V333" s="4" cm="1">
        <f t="array" ref="V333">INDEX(GMW!$A$2:$NF$150,MATCH(1,(GMW!$NE$2:$NE$150=V$3)*(GMW!$ND$2:$ND$150=V$4)*(GMW!$NF$2:$NF$150=V$1),0),$C333-1966)</f>
        <v>104117.7</v>
      </c>
      <c r="W333" s="4" cm="1">
        <f t="array" ref="W333">INDEX(GMW!$A$2:$NF$150,MATCH(1,(GMW!$NE$2:$NE$150=W$3)*(GMW!$ND$2:$ND$150=W$4)*(GMW!$NF$2:$NF$150=W$1),0),$C333-1966)</f>
        <v>331419</v>
      </c>
      <c r="X333" s="4" cm="1">
        <f t="array" ref="X333">INDEX(GMW!$A$2:$NF$150,MATCH(1,(GMW!$NE$2:$NE$150=X$3)*(GMW!$ND$2:$ND$150=X$4)*(GMW!$NF$2:$NF$150=X$1),0),$C333-1966)</f>
        <v>174832.9</v>
      </c>
      <c r="Y333" s="4" cm="1">
        <f t="array" ref="Y333">INDEX(GMW!$A$2:$NF$150,MATCH(1,(GMW!$NE$2:$NE$150=Y$3)*(GMW!$ND$2:$ND$150=Y$4)*(GMW!$NF$2:$NF$150=Y$1),0),$C333-1966)</f>
        <v>203505.2</v>
      </c>
      <c r="Z333" s="4" cm="1">
        <f t="array" ref="Z333">INDEX(GMW!$A$2:$NF$150,MATCH(1,(GMW!$NE$2:$NE$150=Z$3)*(GMW!$ND$2:$ND$150=Z$4)*(GMW!$NF$2:$NF$150=Z$1),0),$C333-1966)</f>
        <v>119526.9</v>
      </c>
      <c r="AA333" s="4" cm="1">
        <f t="array" ref="AA333">INDEX(GMW!$A$2:$NF$150,MATCH(1,(GMW!$NE$2:$NE$150=AA$3)*(GMW!$ND$2:$ND$150=AA$4)*(GMW!$NF$2:$NF$150=AA$1),0),$C333-1966)</f>
        <v>1004189</v>
      </c>
      <c r="AB333" s="4" cm="1">
        <f t="array" ref="AB333">INDEX(GMW!$A$2:$NF$150,MATCH(1,(GMW!$NE$2:$NE$150=AB$3)*(GMW!$ND$2:$ND$150=AB$4)*(GMW!$NF$2:$NF$150=AB$1),0),$C333-1966)</f>
        <v>39323.879999999997</v>
      </c>
      <c r="AC333" s="4" cm="1">
        <f t="array" ref="AC333">INDEX(GMW!$A$2:$NF$150,MATCH(1,(GMW!$NE$2:$NE$150=AC$3)*(GMW!$ND$2:$ND$150=AC$4)*(GMW!$NF$2:$NF$150=AC$1),0),$C333-1966)</f>
        <v>31.935420000000001</v>
      </c>
      <c r="AD333" s="4" cm="1">
        <f t="array" ref="AD333">INDEX(GMW!$A$2:$NF$150,MATCH(1,(GMW!$NE$2:$NE$150=AD$3)*(GMW!$ND$2:$ND$150=AD$4)*(GMW!$NF$2:$NF$150=AD$1),0),$C333-1966)</f>
        <v>715659.2</v>
      </c>
      <c r="AE333" s="4" cm="1">
        <f t="array" ref="AE333">INDEX(GMW!$A$2:$NF$150,MATCH(1,(GMW!$NE$2:$NE$150=AE$3)*(GMW!$ND$2:$ND$150=AE$4)*(GMW!$NF$2:$NF$150=AE$1),0),$C333-1966)</f>
        <v>46531.96</v>
      </c>
      <c r="AF333" s="4" cm="1">
        <f t="array" ref="AF333">INDEX(GMW!$A$2:$NF$150,MATCH(1,(GMW!$NE$2:$NE$150=AF$3)*(GMW!$ND$2:$ND$150=AF$4)*(GMW!$NF$2:$NF$150=AF$1),0),$C333-1966)</f>
        <v>5729240</v>
      </c>
      <c r="AG333" s="4" cm="1">
        <f t="array" ref="AG333">INDEX(GMW!$A$2:$NF$150,MATCH(1,(GMW!$NE$2:$NE$150=AG$3)*(GMW!$ND$2:$ND$150=AG$4)*(GMW!$NF$2:$NF$150=AG$1),0),$C333-1966)</f>
        <v>-1.573134</v>
      </c>
      <c r="AH333" s="4" cm="1">
        <f t="array" ref="AH333">INDEX(GMW!$A$2:$NF$150,MATCH(1,(GMW!$NE$2:$NE$150=AH$3)*(GMW!$ND$2:$ND$150=AH$4)*(GMW!$NF$2:$NF$150=AH$1),0),$C333-1966)</f>
        <v>1009335</v>
      </c>
      <c r="AI333" s="4" cm="1">
        <f t="array" ref="AI333">INDEX(GMW!$A$2:$NF$150,MATCH(1,(GMW!$NE$2:$NE$150=AI$3)*(GMW!$ND$2:$ND$150=AI$4)*(GMW!$NF$2:$NF$150=AI$1),0),$C333-1966)</f>
        <v>246.81639999999999</v>
      </c>
      <c r="AJ333" s="4" cm="1">
        <f t="array" ref="AJ333">INDEX(GMW!$A$2:$NF$150,MATCH(1,(GMW!$NE$2:$NE$150=AJ$3)*(GMW!$ND$2:$ND$150=AJ$4)*(GMW!$NF$2:$NF$150=AJ$1),0),$C333-1966)</f>
        <v>297690.3</v>
      </c>
      <c r="AK333" s="4" cm="1">
        <f t="array" ref="AK333">INDEX(GMW!$A$2:$NF$150,MATCH(1,(GMW!$NE$2:$NE$150=AK$3)*(GMW!$ND$2:$ND$150=AK$4)*(GMW!$NF$2:$NF$150=AK$1),0),$C333-1966)</f>
        <v>107810.3</v>
      </c>
      <c r="AL333" s="4" cm="1">
        <f t="array" ref="AL333">INDEX(GMW!$A$2:$NF$150,MATCH(1,(GMW!$NE$2:$NE$150=AL$3)*(GMW!$ND$2:$ND$150=AL$4)*(GMW!$NF$2:$NF$150=AL$1),0),$C333-1966)</f>
        <v>337634.4</v>
      </c>
      <c r="AM333" s="4" cm="1">
        <f t="array" ref="AM333">INDEX(GMW!$A$2:$NF$150,MATCH(1,(GMW!$NE$2:$NE$150=AM$3)*(GMW!$ND$2:$ND$150=AM$4)*(GMW!$NF$2:$NF$150=AM$1),0),$C333-1966)</f>
        <v>179695.5</v>
      </c>
      <c r="AN333" s="4" cm="1">
        <f t="array" ref="AN333">INDEX(GMW!$A$2:$NF$150,MATCH(1,(GMW!$NE$2:$NE$150=AN$3)*(GMW!$ND$2:$ND$150=AN$4)*(GMW!$NF$2:$NF$150=AN$1),0),$C333-1966)</f>
        <v>204496.8</v>
      </c>
      <c r="AO333" s="4" cm="1">
        <f t="array" ref="AO333">INDEX(GMW!$A$2:$NF$150,MATCH(1,(GMW!$NE$2:$NE$150=AO$3)*(GMW!$ND$2:$ND$150=AO$4)*(GMW!$NF$2:$NF$150=AO$1),0),$C333-1966)</f>
        <v>121666.5</v>
      </c>
      <c r="AP333" s="4" cm="1">
        <f t="array" ref="AP333">INDEX(GMW!$A$2:$NF$150,MATCH(1,(GMW!$NE$2:$NE$150=AP$3)*(GMW!$ND$2:$ND$150=AP$4)*(GMW!$NF$2:$NF$150=AP$1),0),$C333-1966)</f>
        <v>1009334</v>
      </c>
      <c r="AQ333" s="4" cm="1">
        <f t="array" ref="AQ333">INDEX(GMW!$A$2:$NF$150,MATCH(1,(GMW!$NE$2:$NE$150=AQ$3)*(GMW!$ND$2:$ND$150=AQ$4)*(GMW!$NF$2:$NF$150=AQ$1),0),$C333-1966)</f>
        <v>39483.620000000003</v>
      </c>
      <c r="AR333" s="4" cm="1">
        <f t="array" ref="AR333">INDEX(GMW!$A$2:$NF$150,MATCH(1,(GMW!$NE$2:$NE$150=AR$3)*(GMW!$ND$2:$ND$150=AR$4)*(GMW!$NF$2:$NF$150=AR$1),0),$C333-1966)</f>
        <v>31.935420000000001</v>
      </c>
      <c r="AS333" s="4" cm="1">
        <f t="array" ref="AS333">INDEX(GMW!$A$2:$NF$150,MATCH(1,(GMW!$NE$2:$NE$150=AS$3)*(GMW!$ND$2:$ND$150=AS$4)*(GMW!$NF$2:$NF$150=AS$1),0),$C333-1966)</f>
        <v>718674.6</v>
      </c>
      <c r="AT333" s="4" cm="1">
        <f t="array" ref="AT333">INDEX(GMW!$A$2:$NF$150,MATCH(1,(GMW!$NE$2:$NE$150=AT$3)*(GMW!$ND$2:$ND$150=AT$4)*(GMW!$NF$2:$NF$150=AT$1),0),$C333-1966)</f>
        <v>46713.59</v>
      </c>
      <c r="AU333" s="4" cm="1">
        <f t="array" ref="AU333">INDEX(GMW!$A$2:$NF$150,MATCH(1,(GMW!$NE$2:$NE$150=AU$3)*(GMW!$ND$2:$ND$150=AU$4)*(GMW!$NF$2:$NF$150=AU$1),0),$C333-1966)</f>
        <v>5743175</v>
      </c>
      <c r="AV333" s="4" cm="1">
        <f t="array" ref="AV333">INDEX(GMW!$A$2:$NF$150,MATCH(1,(GMW!$NE$2:$NE$150=AV$3)*(GMW!$ND$2:$ND$150=AV$4)*(GMW!$NF$2:$NF$150=AV$1),0),$C333-1966)</f>
        <v>-1.571561</v>
      </c>
    </row>
    <row r="334" spans="1:48" x14ac:dyDescent="0.25">
      <c r="B334" s="4">
        <f t="shared" si="14"/>
        <v>2054</v>
      </c>
      <c r="C334" s="4">
        <f t="shared" si="13"/>
        <v>2300</v>
      </c>
      <c r="D334" s="4" cm="1">
        <f t="array" ref="D334">INDEX(GMW!$A$2:$NF$150,MATCH(1,(GMW!$NE$2:$NE$150=D$3)*(GMW!$ND$2:$ND$150=D$4)*(GMW!$NF$2:$NF$150=D$1),0),$C334-1966)</f>
        <v>999065.5</v>
      </c>
      <c r="E334" s="4" cm="1">
        <f t="array" ref="E334">INDEX(GMW!$A$2:$NF$150,MATCH(1,(GMW!$NE$2:$NE$150=E$3)*(GMW!$ND$2:$ND$150=E$4)*(GMW!$NF$2:$NF$150=E$1),0),$C334-1966)</f>
        <v>249.79519999999999</v>
      </c>
      <c r="F334" s="4" cm="1">
        <f t="array" ref="F334">INDEX(GMW!$A$2:$NF$150,MATCH(1,(GMW!$NE$2:$NE$150=F$3)*(GMW!$ND$2:$ND$150=F$4)*(GMW!$NF$2:$NF$150=F$1),0),$C334-1966)</f>
        <v>304986.8</v>
      </c>
      <c r="G334" s="4" cm="1">
        <f t="array" ref="G334">INDEX(GMW!$A$2:$NF$150,MATCH(1,(GMW!$NE$2:$NE$150=G$3)*(GMW!$ND$2:$ND$150=G$4)*(GMW!$NF$2:$NF$150=G$1),0),$C334-1966)</f>
        <v>99064.76</v>
      </c>
      <c r="H334" s="4" cm="1">
        <f t="array" ref="H334">INDEX(GMW!$A$2:$NF$150,MATCH(1,(GMW!$NE$2:$NE$150=H$3)*(GMW!$ND$2:$ND$150=H$4)*(GMW!$NF$2:$NF$150=H$1),0),$C334-1966)</f>
        <v>343679.1</v>
      </c>
      <c r="I334" s="4" cm="1">
        <f t="array" ref="I334">INDEX(GMW!$A$2:$NF$150,MATCH(1,(GMW!$NE$2:$NE$150=I$3)*(GMW!$ND$2:$ND$150=I$4)*(GMW!$NF$2:$NF$150=I$1),0),$C334-1966)</f>
        <v>182418.3</v>
      </c>
      <c r="J334" s="4" cm="1">
        <f t="array" ref="J334">INDEX(GMW!$A$2:$NF$150,MATCH(1,(GMW!$NE$2:$NE$150=J$3)*(GMW!$ND$2:$ND$150=J$4)*(GMW!$NF$2:$NF$150=J$1),0),$C334-1966)</f>
        <v>201279.5</v>
      </c>
      <c r="K334" s="4" cm="1">
        <f t="array" ref="K334">INDEX(GMW!$A$2:$NF$150,MATCH(1,(GMW!$NE$2:$NE$150=K$3)*(GMW!$ND$2:$ND$150=K$4)*(GMW!$NF$2:$NF$150=K$1),0),$C334-1966)</f>
        <v>116479</v>
      </c>
      <c r="L334" s="4" cm="1">
        <f t="array" ref="L334">INDEX(GMW!$A$2:$NF$150,MATCH(1,(GMW!$NE$2:$NE$150=L$3)*(GMW!$ND$2:$ND$150=L$4)*(GMW!$NF$2:$NF$150=L$1),0),$C334-1966)</f>
        <v>999065.1</v>
      </c>
      <c r="M334" s="4" cm="1">
        <f t="array" ref="M334">INDEX(GMW!$A$2:$NF$150,MATCH(1,(GMW!$NE$2:$NE$150=M$3)*(GMW!$ND$2:$ND$150=M$4)*(GMW!$NF$2:$NF$150=M$1),0),$C334-1966)</f>
        <v>39327.910000000003</v>
      </c>
      <c r="N334" s="4" cm="1">
        <f t="array" ref="N334">INDEX(GMW!$A$2:$NF$150,MATCH(1,(GMW!$NE$2:$NE$150=N$3)*(GMW!$ND$2:$ND$150=N$4)*(GMW!$NF$2:$NF$150=N$1),0),$C334-1966)</f>
        <v>31.934670000000001</v>
      </c>
      <c r="O334" s="4" cm="1">
        <f t="array" ref="O334">INDEX(GMW!$A$2:$NF$150,MATCH(1,(GMW!$NE$2:$NE$150=O$3)*(GMW!$ND$2:$ND$150=O$4)*(GMW!$NF$2:$NF$150=O$1),0),$C334-1966)</f>
        <v>715799.8</v>
      </c>
      <c r="P334" s="4" cm="1">
        <f t="array" ref="P334">INDEX(GMW!$A$2:$NF$150,MATCH(1,(GMW!$NE$2:$NE$150=P$3)*(GMW!$ND$2:$ND$150=P$4)*(GMW!$NF$2:$NF$150=P$1),0),$C334-1966)</f>
        <v>46515.58</v>
      </c>
      <c r="Q334" s="4" cm="1">
        <f t="array" ref="Q334">INDEX(GMW!$A$2:$NF$150,MATCH(1,(GMW!$NE$2:$NE$150=Q$3)*(GMW!$ND$2:$ND$150=Q$4)*(GMW!$NF$2:$NF$150=Q$1),0),$C334-1966)</f>
        <v>5654572</v>
      </c>
      <c r="R334" s="4" cm="1">
        <f t="array" ref="R334">INDEX(GMW!$A$2:$NF$150,MATCH(1,(GMW!$NE$2:$NE$150=R$3)*(GMW!$ND$2:$ND$150=R$4)*(GMW!$NF$2:$NF$150=R$1),0),$C334-1966)</f>
        <v>-1.5738529999999999</v>
      </c>
      <c r="S334" s="4" cm="1">
        <f t="array" ref="S334">INDEX(GMW!$A$2:$NF$150,MATCH(1,(GMW!$NE$2:$NE$150=S$3)*(GMW!$ND$2:$ND$150=S$4)*(GMW!$NF$2:$NF$150=S$1),0),$C334-1966)</f>
        <v>1007306</v>
      </c>
      <c r="T334" s="4" cm="1">
        <f t="array" ref="T334">INDEX(GMW!$A$2:$NF$150,MATCH(1,(GMW!$NE$2:$NE$150=T$3)*(GMW!$ND$2:$ND$150=T$4)*(GMW!$NF$2:$NF$150=T$1),0),$C334-1966)</f>
        <v>249.62100000000001</v>
      </c>
      <c r="U334" s="4" cm="1">
        <f t="array" ref="U334">INDEX(GMW!$A$2:$NF$150,MATCH(1,(GMW!$NE$2:$NE$150=U$3)*(GMW!$ND$2:$ND$150=U$4)*(GMW!$NF$2:$NF$150=U$1),0),$C334-1966)</f>
        <v>291460.59999999998</v>
      </c>
      <c r="V334" s="4" cm="1">
        <f t="array" ref="V334">INDEX(GMW!$A$2:$NF$150,MATCH(1,(GMW!$NE$2:$NE$150=V$3)*(GMW!$ND$2:$ND$150=V$4)*(GMW!$NF$2:$NF$150=V$1),0),$C334-1966)</f>
        <v>104357.6</v>
      </c>
      <c r="W334" s="4" cm="1">
        <f t="array" ref="W334">INDEX(GMW!$A$2:$NF$150,MATCH(1,(GMW!$NE$2:$NE$150=W$3)*(GMW!$ND$2:$ND$150=W$4)*(GMW!$NF$2:$NF$150=W$1),0),$C334-1966)</f>
        <v>332490.2</v>
      </c>
      <c r="X334" s="4" cm="1">
        <f t="array" ref="X334">INDEX(GMW!$A$2:$NF$150,MATCH(1,(GMW!$NE$2:$NE$150=X$3)*(GMW!$ND$2:$ND$150=X$4)*(GMW!$NF$2:$NF$150=X$1),0),$C334-1966)</f>
        <v>175358.1</v>
      </c>
      <c r="Y334" s="4" cm="1">
        <f t="array" ref="Y334">INDEX(GMW!$A$2:$NF$150,MATCH(1,(GMW!$NE$2:$NE$150=Y$3)*(GMW!$ND$2:$ND$150=Y$4)*(GMW!$NF$2:$NF$150=Y$1),0),$C334-1966)</f>
        <v>204330.7</v>
      </c>
      <c r="Z334" s="4" cm="1">
        <f t="array" ref="Z334">INDEX(GMW!$A$2:$NF$150,MATCH(1,(GMW!$NE$2:$NE$150=Z$3)*(GMW!$ND$2:$ND$150=Z$4)*(GMW!$NF$2:$NF$150=Z$1),0),$C334-1966)</f>
        <v>120047.3</v>
      </c>
      <c r="AA334" s="4" cm="1">
        <f t="array" ref="AA334">INDEX(GMW!$A$2:$NF$150,MATCH(1,(GMW!$NE$2:$NE$150=AA$3)*(GMW!$ND$2:$ND$150=AA$4)*(GMW!$NF$2:$NF$150=AA$1),0),$C334-1966)</f>
        <v>1007305</v>
      </c>
      <c r="AB334" s="4" cm="1">
        <f t="array" ref="AB334">INDEX(GMW!$A$2:$NF$150,MATCH(1,(GMW!$NE$2:$NE$150=AB$3)*(GMW!$ND$2:$ND$150=AB$4)*(GMW!$NF$2:$NF$150=AB$1),0),$C334-1966)</f>
        <v>39327.910000000003</v>
      </c>
      <c r="AC334" s="4" cm="1">
        <f t="array" ref="AC334">INDEX(GMW!$A$2:$NF$150,MATCH(1,(GMW!$NE$2:$NE$150=AC$3)*(GMW!$ND$2:$ND$150=AC$4)*(GMW!$NF$2:$NF$150=AC$1),0),$C334-1966)</f>
        <v>31.934670000000001</v>
      </c>
      <c r="AD334" s="4" cm="1">
        <f t="array" ref="AD334">INDEX(GMW!$A$2:$NF$150,MATCH(1,(GMW!$NE$2:$NE$150=AD$3)*(GMW!$ND$2:$ND$150=AD$4)*(GMW!$NF$2:$NF$150=AD$1),0),$C334-1966)</f>
        <v>715799.8</v>
      </c>
      <c r="AE334" s="4" cm="1">
        <f t="array" ref="AE334">INDEX(GMW!$A$2:$NF$150,MATCH(1,(GMW!$NE$2:$NE$150=AE$3)*(GMW!$ND$2:$ND$150=AE$4)*(GMW!$NF$2:$NF$150=AE$1),0),$C334-1966)</f>
        <v>46515.58</v>
      </c>
      <c r="AF334" s="4" cm="1">
        <f t="array" ref="AF334">INDEX(GMW!$A$2:$NF$150,MATCH(1,(GMW!$NE$2:$NE$150=AF$3)*(GMW!$ND$2:$ND$150=AF$4)*(GMW!$NF$2:$NF$150=AF$1),0),$C334-1966)</f>
        <v>5755819</v>
      </c>
      <c r="AG334" s="4" cm="1">
        <f t="array" ref="AG334">INDEX(GMW!$A$2:$NF$150,MATCH(1,(GMW!$NE$2:$NE$150=AG$3)*(GMW!$ND$2:$ND$150=AG$4)*(GMW!$NF$2:$NF$150=AG$1),0),$C334-1966)</f>
        <v>-1.5718749999999999</v>
      </c>
      <c r="AH334" s="4" cm="1">
        <f t="array" ref="AH334">INDEX(GMW!$A$2:$NF$150,MATCH(1,(GMW!$NE$2:$NE$150=AH$3)*(GMW!$ND$2:$ND$150=AH$4)*(GMW!$NF$2:$NF$150=AH$1),0),$C334-1966)</f>
        <v>1012630</v>
      </c>
      <c r="AI334" s="4" cm="1">
        <f t="array" ref="AI334">INDEX(GMW!$A$2:$NF$150,MATCH(1,(GMW!$NE$2:$NE$150=AI$3)*(GMW!$ND$2:$ND$150=AI$4)*(GMW!$NF$2:$NF$150=AI$1),0),$C334-1966)</f>
        <v>248.03749999999999</v>
      </c>
      <c r="AJ334" s="4" cm="1">
        <f t="array" ref="AJ334">INDEX(GMW!$A$2:$NF$150,MATCH(1,(GMW!$NE$2:$NE$150=AJ$3)*(GMW!$ND$2:$ND$150=AJ$4)*(GMW!$NF$2:$NF$150=AJ$1),0),$C334-1966)</f>
        <v>298578.8</v>
      </c>
      <c r="AK334" s="4" cm="1">
        <f t="array" ref="AK334">INDEX(GMW!$A$2:$NF$150,MATCH(1,(GMW!$NE$2:$NE$150=AK$3)*(GMW!$ND$2:$ND$150=AK$4)*(GMW!$NF$2:$NF$150=AK$1),0),$C334-1966)</f>
        <v>108075.9</v>
      </c>
      <c r="AL334" s="4" cm="1">
        <f t="array" ref="AL334">INDEX(GMW!$A$2:$NF$150,MATCH(1,(GMW!$NE$2:$NE$150=AL$3)*(GMW!$ND$2:$ND$150=AL$4)*(GMW!$NF$2:$NF$150=AL$1),0),$C334-1966)</f>
        <v>338769.1</v>
      </c>
      <c r="AM334" s="4" cm="1">
        <f t="array" ref="AM334">INDEX(GMW!$A$2:$NF$150,MATCH(1,(GMW!$NE$2:$NE$150=AM$3)*(GMW!$ND$2:$ND$150=AM$4)*(GMW!$NF$2:$NF$150=AM$1),0),$C334-1966)</f>
        <v>180264</v>
      </c>
      <c r="AN334" s="4" cm="1">
        <f t="array" ref="AN334">INDEX(GMW!$A$2:$NF$150,MATCH(1,(GMW!$NE$2:$NE$150=AN$3)*(GMW!$ND$2:$ND$150=AN$4)*(GMW!$NF$2:$NF$150=AN$1),0),$C334-1966)</f>
        <v>205359.7</v>
      </c>
      <c r="AO334" s="4" cm="1">
        <f t="array" ref="AO334">INDEX(GMW!$A$2:$NF$150,MATCH(1,(GMW!$NE$2:$NE$150=AO$3)*(GMW!$ND$2:$ND$150=AO$4)*(GMW!$NF$2:$NF$150=AO$1),0),$C334-1966)</f>
        <v>122215.7</v>
      </c>
      <c r="AP334" s="4" cm="1">
        <f t="array" ref="AP334">INDEX(GMW!$A$2:$NF$150,MATCH(1,(GMW!$NE$2:$NE$150=AP$3)*(GMW!$ND$2:$ND$150=AP$4)*(GMW!$NF$2:$NF$150=AP$1),0),$C334-1966)</f>
        <v>1012630</v>
      </c>
      <c r="AQ334" s="4" cm="1">
        <f t="array" ref="AQ334">INDEX(GMW!$A$2:$NF$150,MATCH(1,(GMW!$NE$2:$NE$150=AQ$3)*(GMW!$ND$2:$ND$150=AQ$4)*(GMW!$NF$2:$NF$150=AQ$1),0),$C334-1966)</f>
        <v>39495.21</v>
      </c>
      <c r="AR334" s="4" cm="1">
        <f t="array" ref="AR334">INDEX(GMW!$A$2:$NF$150,MATCH(1,(GMW!$NE$2:$NE$150=AR$3)*(GMW!$ND$2:$ND$150=AR$4)*(GMW!$NF$2:$NF$150=AR$1),0),$C334-1966)</f>
        <v>31.934670000000001</v>
      </c>
      <c r="AS334" s="4" cm="1">
        <f t="array" ref="AS334">INDEX(GMW!$A$2:$NF$150,MATCH(1,(GMW!$NE$2:$NE$150=AS$3)*(GMW!$ND$2:$ND$150=AS$4)*(GMW!$NF$2:$NF$150=AS$1),0),$C334-1966)</f>
        <v>718944.6</v>
      </c>
      <c r="AT334" s="4" cm="1">
        <f t="array" ref="AT334">INDEX(GMW!$A$2:$NF$150,MATCH(1,(GMW!$NE$2:$NE$150=AT$3)*(GMW!$ND$2:$ND$150=AT$4)*(GMW!$NF$2:$NF$150=AT$1),0),$C334-1966)</f>
        <v>46705.83</v>
      </c>
      <c r="AU334" s="4" cm="1">
        <f t="array" ref="AU334">INDEX(GMW!$A$2:$NF$150,MATCH(1,(GMW!$NE$2:$NE$150=AU$3)*(GMW!$ND$2:$ND$150=AU$4)*(GMW!$NF$2:$NF$150=AU$1),0),$C334-1966)</f>
        <v>5770467</v>
      </c>
      <c r="AV334" s="4" cm="1">
        <f t="array" ref="AV334">INDEX(GMW!$A$2:$NF$150,MATCH(1,(GMW!$NE$2:$NE$150=AV$3)*(GMW!$ND$2:$ND$150=AV$4)*(GMW!$NF$2:$NF$150=AV$1),0),$C334-1966)</f>
        <v>-1.5703039999999999</v>
      </c>
    </row>
    <row r="335" spans="1:48" x14ac:dyDescent="0.25">
      <c r="A335" s="4">
        <v>2055</v>
      </c>
      <c r="B335" s="4">
        <f t="shared" si="14"/>
        <v>2055</v>
      </c>
      <c r="C335" s="4">
        <f t="shared" si="13"/>
        <v>2301</v>
      </c>
      <c r="D335" s="4" cm="1">
        <f t="array" ref="D335">INDEX(GMW!$A$2:$NF$150,MATCH(1,(GMW!$NE$2:$NE$150=D$3)*(GMW!$ND$2:$ND$150=D$4)*(GMW!$NF$2:$NF$150=D$1),0),$C335-1966)</f>
        <v>1002187</v>
      </c>
      <c r="E335" s="4" cm="1">
        <f t="array" ref="E335">INDEX(GMW!$A$2:$NF$150,MATCH(1,(GMW!$NE$2:$NE$150=E$3)*(GMW!$ND$2:$ND$150=E$4)*(GMW!$NF$2:$NF$150=E$1),0),$C335-1966)</f>
        <v>250.3065</v>
      </c>
      <c r="F335" s="4" cm="1">
        <f t="array" ref="F335">INDEX(GMW!$A$2:$NF$150,MATCH(1,(GMW!$NE$2:$NE$150=F$3)*(GMW!$ND$2:$ND$150=F$4)*(GMW!$NF$2:$NF$150=F$1),0),$C335-1966)</f>
        <v>305879.40000000002</v>
      </c>
      <c r="G335" s="4" cm="1">
        <f t="array" ref="G335">INDEX(GMW!$A$2:$NF$150,MATCH(1,(GMW!$NE$2:$NE$150=G$3)*(GMW!$ND$2:$ND$150=G$4)*(GMW!$NF$2:$NF$150=G$1),0),$C335-1966)</f>
        <v>99295.06</v>
      </c>
      <c r="H335" s="4" cm="1">
        <f t="array" ref="H335">INDEX(GMW!$A$2:$NF$150,MATCH(1,(GMW!$NE$2:$NE$150=H$3)*(GMW!$ND$2:$ND$150=H$4)*(GMW!$NF$2:$NF$150=H$1),0),$C335-1966)</f>
        <v>344804.1</v>
      </c>
      <c r="I335" s="4" cm="1">
        <f t="array" ref="I335">INDEX(GMW!$A$2:$NF$150,MATCH(1,(GMW!$NE$2:$NE$150=I$3)*(GMW!$ND$2:$ND$150=I$4)*(GMW!$NF$2:$NF$150=I$1),0),$C335-1966)</f>
        <v>182970.1</v>
      </c>
      <c r="J335" s="4" cm="1">
        <f t="array" ref="J335">INDEX(GMW!$A$2:$NF$150,MATCH(1,(GMW!$NE$2:$NE$150=J$3)*(GMW!$ND$2:$ND$150=J$4)*(GMW!$NF$2:$NF$150=J$1),0),$C335-1966)</f>
        <v>202105.4</v>
      </c>
      <c r="K335" s="4" cm="1">
        <f t="array" ref="K335">INDEX(GMW!$A$2:$NF$150,MATCH(1,(GMW!$NE$2:$NE$150=K$3)*(GMW!$ND$2:$ND$150=K$4)*(GMW!$NF$2:$NF$150=K$1),0),$C335-1966)</f>
        <v>116994.4</v>
      </c>
      <c r="L335" s="4" cm="1">
        <f t="array" ref="L335">INDEX(GMW!$A$2:$NF$150,MATCH(1,(GMW!$NE$2:$NE$150=L$3)*(GMW!$ND$2:$ND$150=L$4)*(GMW!$NF$2:$NF$150=L$1),0),$C335-1966)</f>
        <v>1002187</v>
      </c>
      <c r="M335" s="4" cm="1">
        <f t="array" ref="M335">INDEX(GMW!$A$2:$NF$150,MATCH(1,(GMW!$NE$2:$NE$150=M$3)*(GMW!$ND$2:$ND$150=M$4)*(GMW!$NF$2:$NF$150=M$1),0),$C335-1966)</f>
        <v>39331.96</v>
      </c>
      <c r="N335" s="4" cm="1">
        <f t="array" ref="N335">INDEX(GMW!$A$2:$NF$150,MATCH(1,(GMW!$NE$2:$NE$150=N$3)*(GMW!$ND$2:$ND$150=N$4)*(GMW!$NF$2:$NF$150=N$1),0),$C335-1966)</f>
        <v>31.933920000000001</v>
      </c>
      <c r="O335" s="4" cm="1">
        <f t="array" ref="O335">INDEX(GMW!$A$2:$NF$150,MATCH(1,(GMW!$NE$2:$NE$150=O$3)*(GMW!$ND$2:$ND$150=O$4)*(GMW!$NF$2:$NF$150=O$1),0),$C335-1966)</f>
        <v>715938.9</v>
      </c>
      <c r="P335" s="4" cm="1">
        <f t="array" ref="P335">INDEX(GMW!$A$2:$NF$150,MATCH(1,(GMW!$NE$2:$NE$150=P$3)*(GMW!$ND$2:$ND$150=P$4)*(GMW!$NF$2:$NF$150=P$1),0),$C335-1966)</f>
        <v>46499.21</v>
      </c>
      <c r="Q335" s="4" cm="1">
        <f t="array" ref="Q335">INDEX(GMW!$A$2:$NF$150,MATCH(1,(GMW!$NE$2:$NE$150=Q$3)*(GMW!$ND$2:$ND$150=Q$4)*(GMW!$NF$2:$NF$150=Q$1),0),$C335-1966)</f>
        <v>5681154</v>
      </c>
      <c r="R335" s="4" cm="1">
        <f t="array" ref="R335">INDEX(GMW!$A$2:$NF$150,MATCH(1,(GMW!$NE$2:$NE$150=R$3)*(GMW!$ND$2:$ND$150=R$4)*(GMW!$NF$2:$NF$150=R$1),0),$C335-1966)</f>
        <v>-1.572594</v>
      </c>
      <c r="S335" s="4" cm="1">
        <f t="array" ref="S335">INDEX(GMW!$A$2:$NF$150,MATCH(1,(GMW!$NE$2:$NE$150=S$3)*(GMW!$ND$2:$ND$150=S$4)*(GMW!$NF$2:$NF$150=S$1),0),$C335-1966)</f>
        <v>1010426</v>
      </c>
      <c r="T335" s="4" cm="1">
        <f t="array" ref="T335">INDEX(GMW!$A$2:$NF$150,MATCH(1,(GMW!$NE$2:$NE$150=T$3)*(GMW!$ND$2:$ND$150=T$4)*(GMW!$NF$2:$NF$150=T$1),0),$C335-1966)</f>
        <v>250.04220000000001</v>
      </c>
      <c r="U335" s="4" cm="1">
        <f t="array" ref="U335">INDEX(GMW!$A$2:$NF$150,MATCH(1,(GMW!$NE$2:$NE$150=U$3)*(GMW!$ND$2:$ND$150=U$4)*(GMW!$NF$2:$NF$150=U$1),0),$C335-1966)</f>
        <v>292291.40000000002</v>
      </c>
      <c r="V335" s="4" cm="1">
        <f t="array" ref="V335">INDEX(GMW!$A$2:$NF$150,MATCH(1,(GMW!$NE$2:$NE$150=V$3)*(GMW!$ND$2:$ND$150=V$4)*(GMW!$NF$2:$NF$150=V$1),0),$C335-1966)</f>
        <v>104597.4</v>
      </c>
      <c r="W335" s="4" cm="1">
        <f t="array" ref="W335">INDEX(GMW!$A$2:$NF$150,MATCH(1,(GMW!$NE$2:$NE$150=W$3)*(GMW!$ND$2:$ND$150=W$4)*(GMW!$NF$2:$NF$150=W$1),0),$C335-1966)</f>
        <v>333563.3</v>
      </c>
      <c r="X335" s="4" cm="1">
        <f t="array" ref="X335">INDEX(GMW!$A$2:$NF$150,MATCH(1,(GMW!$NE$2:$NE$150=X$3)*(GMW!$ND$2:$ND$150=X$4)*(GMW!$NF$2:$NF$150=X$1),0),$C335-1966)</f>
        <v>175883.7</v>
      </c>
      <c r="Y335" s="4" cm="1">
        <f t="array" ref="Y335">INDEX(GMW!$A$2:$NF$150,MATCH(1,(GMW!$NE$2:$NE$150=Y$3)*(GMW!$ND$2:$ND$150=Y$4)*(GMW!$NF$2:$NF$150=Y$1),0),$C335-1966)</f>
        <v>205158.39999999999</v>
      </c>
      <c r="Z335" s="4" cm="1">
        <f t="array" ref="Z335">INDEX(GMW!$A$2:$NF$150,MATCH(1,(GMW!$NE$2:$NE$150=Z$3)*(GMW!$ND$2:$ND$150=Z$4)*(GMW!$NF$2:$NF$150=Z$1),0),$C335-1966)</f>
        <v>120569.3</v>
      </c>
      <c r="AA335" s="4" cm="1">
        <f t="array" ref="AA335">INDEX(GMW!$A$2:$NF$150,MATCH(1,(GMW!$NE$2:$NE$150=AA$3)*(GMW!$ND$2:$ND$150=AA$4)*(GMW!$NF$2:$NF$150=AA$1),0),$C335-1966)</f>
        <v>1010425</v>
      </c>
      <c r="AB335" s="4" cm="1">
        <f t="array" ref="AB335">INDEX(GMW!$A$2:$NF$150,MATCH(1,(GMW!$NE$2:$NE$150=AB$3)*(GMW!$ND$2:$ND$150=AB$4)*(GMW!$NF$2:$NF$150=AB$1),0),$C335-1966)</f>
        <v>39331.96</v>
      </c>
      <c r="AC335" s="4" cm="1">
        <f t="array" ref="AC335">INDEX(GMW!$A$2:$NF$150,MATCH(1,(GMW!$NE$2:$NE$150=AC$3)*(GMW!$ND$2:$ND$150=AC$4)*(GMW!$NF$2:$NF$150=AC$1),0),$C335-1966)</f>
        <v>31.933920000000001</v>
      </c>
      <c r="AD335" s="4" cm="1">
        <f t="array" ref="AD335">INDEX(GMW!$A$2:$NF$150,MATCH(1,(GMW!$NE$2:$NE$150=AD$3)*(GMW!$ND$2:$ND$150=AD$4)*(GMW!$NF$2:$NF$150=AD$1),0),$C335-1966)</f>
        <v>715938.9</v>
      </c>
      <c r="AE335" s="4" cm="1">
        <f t="array" ref="AE335">INDEX(GMW!$A$2:$NF$150,MATCH(1,(GMW!$NE$2:$NE$150=AE$3)*(GMW!$ND$2:$ND$150=AE$4)*(GMW!$NF$2:$NF$150=AE$1),0),$C335-1966)</f>
        <v>46499.21</v>
      </c>
      <c r="AF335" s="4" cm="1">
        <f t="array" ref="AF335">INDEX(GMW!$A$2:$NF$150,MATCH(1,(GMW!$NE$2:$NE$150=AF$3)*(GMW!$ND$2:$ND$150=AF$4)*(GMW!$NF$2:$NF$150=AF$1),0),$C335-1966)</f>
        <v>5782449</v>
      </c>
      <c r="AG335" s="4" cm="1">
        <f t="array" ref="AG335">INDEX(GMW!$A$2:$NF$150,MATCH(1,(GMW!$NE$2:$NE$150=AG$3)*(GMW!$ND$2:$ND$150=AG$4)*(GMW!$NF$2:$NF$150=AG$1),0),$C335-1966)</f>
        <v>-1.5706180000000001</v>
      </c>
      <c r="AH335" s="4" cm="1">
        <f t="array" ref="AH335">INDEX(GMW!$A$2:$NF$150,MATCH(1,(GMW!$NE$2:$NE$150=AH$3)*(GMW!$ND$2:$ND$150=AH$4)*(GMW!$NF$2:$NF$150=AH$1),0),$C335-1966)</f>
        <v>1015929</v>
      </c>
      <c r="AI335" s="4" cm="1">
        <f t="array" ref="AI335">INDEX(GMW!$A$2:$NF$150,MATCH(1,(GMW!$NE$2:$NE$150=AI$3)*(GMW!$ND$2:$ND$150=AI$4)*(GMW!$NF$2:$NF$150=AI$1),0),$C335-1966)</f>
        <v>248.5085</v>
      </c>
      <c r="AJ335" s="4" cm="1">
        <f t="array" ref="AJ335">INDEX(GMW!$A$2:$NF$150,MATCH(1,(GMW!$NE$2:$NE$150=AJ$3)*(GMW!$ND$2:$ND$150=AJ$4)*(GMW!$NF$2:$NF$150=AJ$1),0),$C335-1966)</f>
        <v>299468.59999999998</v>
      </c>
      <c r="AK335" s="4" cm="1">
        <f t="array" ref="AK335">INDEX(GMW!$A$2:$NF$150,MATCH(1,(GMW!$NE$2:$NE$150=AK$3)*(GMW!$ND$2:$ND$150=AK$4)*(GMW!$NF$2:$NF$150=AK$1),0),$C335-1966)</f>
        <v>108341.6</v>
      </c>
      <c r="AL335" s="4" cm="1">
        <f t="array" ref="AL335">INDEX(GMW!$A$2:$NF$150,MATCH(1,(GMW!$NE$2:$NE$150=AL$3)*(GMW!$ND$2:$ND$150=AL$4)*(GMW!$NF$2:$NF$150=AL$1),0),$C335-1966)</f>
        <v>339906.1</v>
      </c>
      <c r="AM335" s="4" cm="1">
        <f t="array" ref="AM335">INDEX(GMW!$A$2:$NF$150,MATCH(1,(GMW!$NE$2:$NE$150=AM$3)*(GMW!$ND$2:$ND$150=AM$4)*(GMW!$NF$2:$NF$150=AM$1),0),$C335-1966)</f>
        <v>180833.3</v>
      </c>
      <c r="AN335" s="4" cm="1">
        <f t="array" ref="AN335">INDEX(GMW!$A$2:$NF$150,MATCH(1,(GMW!$NE$2:$NE$150=AN$3)*(GMW!$ND$2:$ND$150=AN$4)*(GMW!$NF$2:$NF$150=AN$1),0),$C335-1966)</f>
        <v>206225</v>
      </c>
      <c r="AO335" s="4" cm="1">
        <f t="array" ref="AO335">INDEX(GMW!$A$2:$NF$150,MATCH(1,(GMW!$NE$2:$NE$150=AO$3)*(GMW!$ND$2:$ND$150=AO$4)*(GMW!$NF$2:$NF$150=AO$1),0),$C335-1966)</f>
        <v>122766.6</v>
      </c>
      <c r="AP335" s="4" cm="1">
        <f t="array" ref="AP335">INDEX(GMW!$A$2:$NF$150,MATCH(1,(GMW!$NE$2:$NE$150=AP$3)*(GMW!$ND$2:$ND$150=AP$4)*(GMW!$NF$2:$NF$150=AP$1),0),$C335-1966)</f>
        <v>1015929</v>
      </c>
      <c r="AQ335" s="4" cm="1">
        <f t="array" ref="AQ335">INDEX(GMW!$A$2:$NF$150,MATCH(1,(GMW!$NE$2:$NE$150=AQ$3)*(GMW!$ND$2:$ND$150=AQ$4)*(GMW!$NF$2:$NF$150=AQ$1),0),$C335-1966)</f>
        <v>39506.81</v>
      </c>
      <c r="AR335" s="4" cm="1">
        <f t="array" ref="AR335">INDEX(GMW!$A$2:$NF$150,MATCH(1,(GMW!$NE$2:$NE$150=AR$3)*(GMW!$ND$2:$ND$150=AR$4)*(GMW!$NF$2:$NF$150=AR$1),0),$C335-1966)</f>
        <v>31.933920000000001</v>
      </c>
      <c r="AS335" s="4" cm="1">
        <f t="array" ref="AS335">INDEX(GMW!$A$2:$NF$150,MATCH(1,(GMW!$NE$2:$NE$150=AS$3)*(GMW!$ND$2:$ND$150=AS$4)*(GMW!$NF$2:$NF$150=AS$1),0),$C335-1966)</f>
        <v>719212.6</v>
      </c>
      <c r="AT335" s="4" cm="1">
        <f t="array" ref="AT335">INDEX(GMW!$A$2:$NF$150,MATCH(1,(GMW!$NE$2:$NE$150=AT$3)*(GMW!$ND$2:$ND$150=AT$4)*(GMW!$NF$2:$NF$150=AT$1),0),$C335-1966)</f>
        <v>46698.07</v>
      </c>
      <c r="AU335" s="4" cm="1">
        <f t="array" ref="AU335">INDEX(GMW!$A$2:$NF$150,MATCH(1,(GMW!$NE$2:$NE$150=AU$3)*(GMW!$ND$2:$ND$150=AU$4)*(GMW!$NF$2:$NF$150=AU$1),0),$C335-1966)</f>
        <v>5797823</v>
      </c>
      <c r="AV335" s="4" cm="1">
        <f t="array" ref="AV335">INDEX(GMW!$A$2:$NF$150,MATCH(1,(GMW!$NE$2:$NE$150=AV$3)*(GMW!$ND$2:$ND$150=AV$4)*(GMW!$NF$2:$NF$150=AV$1),0),$C335-1966)</f>
        <v>-1.569048</v>
      </c>
    </row>
    <row r="336" spans="1:48" x14ac:dyDescent="0.25">
      <c r="B336" s="4">
        <f t="shared" si="14"/>
        <v>2055</v>
      </c>
      <c r="C336" s="4">
        <f t="shared" si="13"/>
        <v>2302</v>
      </c>
      <c r="D336" s="4" cm="1">
        <f t="array" ref="D336">INDEX(GMW!$A$2:$NF$150,MATCH(1,(GMW!$NE$2:$NE$150=D$3)*(GMW!$ND$2:$ND$150=D$4)*(GMW!$NF$2:$NF$150=D$1),0),$C336-1966)</f>
        <v>1005313</v>
      </c>
      <c r="E336" s="4" cm="1">
        <f t="array" ref="E336">INDEX(GMW!$A$2:$NF$150,MATCH(1,(GMW!$NE$2:$NE$150=E$3)*(GMW!$ND$2:$ND$150=E$4)*(GMW!$NF$2:$NF$150=E$1),0),$C336-1966)</f>
        <v>252.52549999999999</v>
      </c>
      <c r="F336" s="4" cm="1">
        <f t="array" ref="F336">INDEX(GMW!$A$2:$NF$150,MATCH(1,(GMW!$NE$2:$NE$150=F$3)*(GMW!$ND$2:$ND$150=F$4)*(GMW!$NF$2:$NF$150=F$1),0),$C336-1966)</f>
        <v>306773.3</v>
      </c>
      <c r="G336" s="4" cm="1">
        <f t="array" ref="G336">INDEX(GMW!$A$2:$NF$150,MATCH(1,(GMW!$NE$2:$NE$150=G$3)*(GMW!$ND$2:$ND$150=G$4)*(GMW!$NF$2:$NF$150=G$1),0),$C336-1966)</f>
        <v>99525.33</v>
      </c>
      <c r="H336" s="4" cm="1">
        <f t="array" ref="H336">INDEX(GMW!$A$2:$NF$150,MATCH(1,(GMW!$NE$2:$NE$150=H$3)*(GMW!$ND$2:$ND$150=H$4)*(GMW!$NF$2:$NF$150=H$1),0),$C336-1966)</f>
        <v>345931.1</v>
      </c>
      <c r="I336" s="4" cm="1">
        <f t="array" ref="I336">INDEX(GMW!$A$2:$NF$150,MATCH(1,(GMW!$NE$2:$NE$150=I$3)*(GMW!$ND$2:$ND$150=I$4)*(GMW!$NF$2:$NF$150=I$1),0),$C336-1966)</f>
        <v>183522.5</v>
      </c>
      <c r="J336" s="4" cm="1">
        <f t="array" ref="J336">INDEX(GMW!$A$2:$NF$150,MATCH(1,(GMW!$NE$2:$NE$150=J$3)*(GMW!$ND$2:$ND$150=J$4)*(GMW!$NF$2:$NF$150=J$1),0),$C336-1966)</f>
        <v>202933.6</v>
      </c>
      <c r="K336" s="4" cm="1">
        <f t="array" ref="K336">INDEX(GMW!$A$2:$NF$150,MATCH(1,(GMW!$NE$2:$NE$150=K$3)*(GMW!$ND$2:$ND$150=K$4)*(GMW!$NF$2:$NF$150=K$1),0),$C336-1966)</f>
        <v>117511.4</v>
      </c>
      <c r="L336" s="4" cm="1">
        <f t="array" ref="L336">INDEX(GMW!$A$2:$NF$150,MATCH(1,(GMW!$NE$2:$NE$150=L$3)*(GMW!$ND$2:$ND$150=L$4)*(GMW!$NF$2:$NF$150=L$1),0),$C336-1966)</f>
        <v>1005314</v>
      </c>
      <c r="M336" s="4" cm="1">
        <f t="array" ref="M336">INDEX(GMW!$A$2:$NF$150,MATCH(1,(GMW!$NE$2:$NE$150=M$3)*(GMW!$ND$2:$ND$150=M$4)*(GMW!$NF$2:$NF$150=M$1),0),$C336-1966)</f>
        <v>39336</v>
      </c>
      <c r="N336" s="4" cm="1">
        <f t="array" ref="N336">INDEX(GMW!$A$2:$NF$150,MATCH(1,(GMW!$NE$2:$NE$150=N$3)*(GMW!$ND$2:$ND$150=N$4)*(GMW!$NF$2:$NF$150=N$1),0),$C336-1966)</f>
        <v>31.93317</v>
      </c>
      <c r="O336" s="4" cm="1">
        <f t="array" ref="O336">INDEX(GMW!$A$2:$NF$150,MATCH(1,(GMW!$NE$2:$NE$150=O$3)*(GMW!$ND$2:$ND$150=O$4)*(GMW!$NF$2:$NF$150=O$1),0),$C336-1966)</f>
        <v>716076</v>
      </c>
      <c r="P336" s="4" cm="1">
        <f t="array" ref="P336">INDEX(GMW!$A$2:$NF$150,MATCH(1,(GMW!$NE$2:$NE$150=P$3)*(GMW!$ND$2:$ND$150=P$4)*(GMW!$NF$2:$NF$150=P$1),0),$C336-1966)</f>
        <v>46482.83</v>
      </c>
      <c r="Q336" s="4" cm="1">
        <f t="array" ref="Q336">INDEX(GMW!$A$2:$NF$150,MATCH(1,(GMW!$NE$2:$NE$150=Q$3)*(GMW!$ND$2:$ND$150=Q$4)*(GMW!$NF$2:$NF$150=Q$1),0),$C336-1966)</f>
        <v>5707798</v>
      </c>
      <c r="R336" s="4" cm="1">
        <f t="array" ref="R336">INDEX(GMW!$A$2:$NF$150,MATCH(1,(GMW!$NE$2:$NE$150=R$3)*(GMW!$ND$2:$ND$150=R$4)*(GMW!$NF$2:$NF$150=R$1),0),$C336-1966)</f>
        <v>-1.5713349999999999</v>
      </c>
      <c r="S336" s="4" cm="1">
        <f t="array" ref="S336">INDEX(GMW!$A$2:$NF$150,MATCH(1,(GMW!$NE$2:$NE$150=S$3)*(GMW!$ND$2:$ND$150=S$4)*(GMW!$NF$2:$NF$150=S$1),0),$C336-1966)</f>
        <v>1013550</v>
      </c>
      <c r="T336" s="4" cm="1">
        <f t="array" ref="T336">INDEX(GMW!$A$2:$NF$150,MATCH(1,(GMW!$NE$2:$NE$150=T$3)*(GMW!$ND$2:$ND$150=T$4)*(GMW!$NF$2:$NF$150=T$1),0),$C336-1966)</f>
        <v>252.3107</v>
      </c>
      <c r="U336" s="4" cm="1">
        <f t="array" ref="U336">INDEX(GMW!$A$2:$NF$150,MATCH(1,(GMW!$NE$2:$NE$150=U$3)*(GMW!$ND$2:$ND$150=U$4)*(GMW!$NF$2:$NF$150=U$1),0),$C336-1966)</f>
        <v>293123.09999999998</v>
      </c>
      <c r="V336" s="4" cm="1">
        <f t="array" ref="V336">INDEX(GMW!$A$2:$NF$150,MATCH(1,(GMW!$NE$2:$NE$150=V$3)*(GMW!$ND$2:$ND$150=V$4)*(GMW!$NF$2:$NF$150=V$1),0),$C336-1966)</f>
        <v>104837.1</v>
      </c>
      <c r="W336" s="4" cm="1">
        <f t="array" ref="W336">INDEX(GMW!$A$2:$NF$150,MATCH(1,(GMW!$NE$2:$NE$150=W$3)*(GMW!$ND$2:$ND$150=W$4)*(GMW!$NF$2:$NF$150=W$1),0),$C336-1966)</f>
        <v>334638.2</v>
      </c>
      <c r="X336" s="4" cm="1">
        <f t="array" ref="X336">INDEX(GMW!$A$2:$NF$150,MATCH(1,(GMW!$NE$2:$NE$150=X$3)*(GMW!$ND$2:$ND$150=X$4)*(GMW!$NF$2:$NF$150=X$1),0),$C336-1966)</f>
        <v>176409.9</v>
      </c>
      <c r="Y336" s="4" cm="1">
        <f t="array" ref="Y336">INDEX(GMW!$A$2:$NF$150,MATCH(1,(GMW!$NE$2:$NE$150=Y$3)*(GMW!$ND$2:$ND$150=Y$4)*(GMW!$NF$2:$NF$150=Y$1),0),$C336-1966)</f>
        <v>205988.1</v>
      </c>
      <c r="Z336" s="4" cm="1">
        <f t="array" ref="Z336">INDEX(GMW!$A$2:$NF$150,MATCH(1,(GMW!$NE$2:$NE$150=Z$3)*(GMW!$ND$2:$ND$150=Z$4)*(GMW!$NF$2:$NF$150=Z$1),0),$C336-1966)</f>
        <v>121092.7</v>
      </c>
      <c r="AA336" s="4" cm="1">
        <f t="array" ref="AA336">INDEX(GMW!$A$2:$NF$150,MATCH(1,(GMW!$NE$2:$NE$150=AA$3)*(GMW!$ND$2:$ND$150=AA$4)*(GMW!$NF$2:$NF$150=AA$1),0),$C336-1966)</f>
        <v>1013550</v>
      </c>
      <c r="AB336" s="4" cm="1">
        <f t="array" ref="AB336">INDEX(GMW!$A$2:$NF$150,MATCH(1,(GMW!$NE$2:$NE$150=AB$3)*(GMW!$ND$2:$ND$150=AB$4)*(GMW!$NF$2:$NF$150=AB$1),0),$C336-1966)</f>
        <v>39336</v>
      </c>
      <c r="AC336" s="4" cm="1">
        <f t="array" ref="AC336">INDEX(GMW!$A$2:$NF$150,MATCH(1,(GMW!$NE$2:$NE$150=AC$3)*(GMW!$ND$2:$ND$150=AC$4)*(GMW!$NF$2:$NF$150=AC$1),0),$C336-1966)</f>
        <v>31.93317</v>
      </c>
      <c r="AD336" s="4" cm="1">
        <f t="array" ref="AD336">INDEX(GMW!$A$2:$NF$150,MATCH(1,(GMW!$NE$2:$NE$150=AD$3)*(GMW!$ND$2:$ND$150=AD$4)*(GMW!$NF$2:$NF$150=AD$1),0),$C336-1966)</f>
        <v>716076</v>
      </c>
      <c r="AE336" s="4" cm="1">
        <f t="array" ref="AE336">INDEX(GMW!$A$2:$NF$150,MATCH(1,(GMW!$NE$2:$NE$150=AE$3)*(GMW!$ND$2:$ND$150=AE$4)*(GMW!$NF$2:$NF$150=AE$1),0),$C336-1966)</f>
        <v>46482.83</v>
      </c>
      <c r="AF336" s="4" cm="1">
        <f t="array" ref="AF336">INDEX(GMW!$A$2:$NF$150,MATCH(1,(GMW!$NE$2:$NE$150=AF$3)*(GMW!$ND$2:$ND$150=AF$4)*(GMW!$NF$2:$NF$150=AF$1),0),$C336-1966)</f>
        <v>5809128</v>
      </c>
      <c r="AG336" s="4" cm="1">
        <f t="array" ref="AG336">INDEX(GMW!$A$2:$NF$150,MATCH(1,(GMW!$NE$2:$NE$150=AG$3)*(GMW!$ND$2:$ND$150=AG$4)*(GMW!$NF$2:$NF$150=AG$1),0),$C336-1966)</f>
        <v>-1.569361</v>
      </c>
      <c r="AH336" s="4" cm="1">
        <f t="array" ref="AH336">INDEX(GMW!$A$2:$NF$150,MATCH(1,(GMW!$NE$2:$NE$150=AH$3)*(GMW!$ND$2:$ND$150=AH$4)*(GMW!$NF$2:$NF$150=AH$1),0),$C336-1966)</f>
        <v>1019232</v>
      </c>
      <c r="AI336" s="4" cm="1">
        <f t="array" ref="AI336">INDEX(GMW!$A$2:$NF$150,MATCH(1,(GMW!$NE$2:$NE$150=AI$3)*(GMW!$ND$2:$ND$150=AI$4)*(GMW!$NF$2:$NF$150=AI$1),0),$C336-1966)</f>
        <v>250.6463</v>
      </c>
      <c r="AJ336" s="4" cm="1">
        <f t="array" ref="AJ336">INDEX(GMW!$A$2:$NF$150,MATCH(1,(GMW!$NE$2:$NE$150=AJ$3)*(GMW!$ND$2:$ND$150=AJ$4)*(GMW!$NF$2:$NF$150=AJ$1),0),$C336-1966)</f>
        <v>300359.7</v>
      </c>
      <c r="AK336" s="4" cm="1">
        <f t="array" ref="AK336">INDEX(GMW!$A$2:$NF$150,MATCH(1,(GMW!$NE$2:$NE$150=AK$3)*(GMW!$ND$2:$ND$150=AK$4)*(GMW!$NF$2:$NF$150=AK$1),0),$C336-1966)</f>
        <v>108607.2</v>
      </c>
      <c r="AL336" s="4" cm="1">
        <f t="array" ref="AL336">INDEX(GMW!$A$2:$NF$150,MATCH(1,(GMW!$NE$2:$NE$150=AL$3)*(GMW!$ND$2:$ND$150=AL$4)*(GMW!$NF$2:$NF$150=AL$1),0),$C336-1966)</f>
        <v>341045.3</v>
      </c>
      <c r="AM336" s="4" cm="1">
        <f t="array" ref="AM336">INDEX(GMW!$A$2:$NF$150,MATCH(1,(GMW!$NE$2:$NE$150=AM$3)*(GMW!$ND$2:$ND$150=AM$4)*(GMW!$NF$2:$NF$150=AM$1),0),$C336-1966)</f>
        <v>181403.3</v>
      </c>
      <c r="AN336" s="4" cm="1">
        <f t="array" ref="AN336">INDEX(GMW!$A$2:$NF$150,MATCH(1,(GMW!$NE$2:$NE$150=AN$3)*(GMW!$ND$2:$ND$150=AN$4)*(GMW!$NF$2:$NF$150=AN$1),0),$C336-1966)</f>
        <v>207092.8</v>
      </c>
      <c r="AO336" s="4" cm="1">
        <f t="array" ref="AO336">INDEX(GMW!$A$2:$NF$150,MATCH(1,(GMW!$NE$2:$NE$150=AO$3)*(GMW!$ND$2:$ND$150=AO$4)*(GMW!$NF$2:$NF$150=AO$1),0),$C336-1966)</f>
        <v>123319.3</v>
      </c>
      <c r="AP336" s="4" cm="1">
        <f t="array" ref="AP336">INDEX(GMW!$A$2:$NF$150,MATCH(1,(GMW!$NE$2:$NE$150=AP$3)*(GMW!$ND$2:$ND$150=AP$4)*(GMW!$NF$2:$NF$150=AP$1),0),$C336-1966)</f>
        <v>1019233</v>
      </c>
      <c r="AQ336" s="4" cm="1">
        <f t="array" ref="AQ336">INDEX(GMW!$A$2:$NF$150,MATCH(1,(GMW!$NE$2:$NE$150=AQ$3)*(GMW!$ND$2:$ND$150=AQ$4)*(GMW!$NF$2:$NF$150=AQ$1),0),$C336-1966)</f>
        <v>39518.400000000001</v>
      </c>
      <c r="AR336" s="4" cm="1">
        <f t="array" ref="AR336">INDEX(GMW!$A$2:$NF$150,MATCH(1,(GMW!$NE$2:$NE$150=AR$3)*(GMW!$ND$2:$ND$150=AR$4)*(GMW!$NF$2:$NF$150=AR$1),0),$C336-1966)</f>
        <v>31.93317</v>
      </c>
      <c r="AS336" s="4" cm="1">
        <f t="array" ref="AS336">INDEX(GMW!$A$2:$NF$150,MATCH(1,(GMW!$NE$2:$NE$150=AS$3)*(GMW!$ND$2:$ND$150=AS$4)*(GMW!$NF$2:$NF$150=AS$1),0),$C336-1966)</f>
        <v>719478.2</v>
      </c>
      <c r="AT336" s="4" cm="1">
        <f t="array" ref="AT336">INDEX(GMW!$A$2:$NF$150,MATCH(1,(GMW!$NE$2:$NE$150=AT$3)*(GMW!$ND$2:$ND$150=AT$4)*(GMW!$NF$2:$NF$150=AT$1),0),$C336-1966)</f>
        <v>46690.3</v>
      </c>
      <c r="AU336" s="4" cm="1">
        <f t="array" ref="AU336">INDEX(GMW!$A$2:$NF$150,MATCH(1,(GMW!$NE$2:$NE$150=AU$3)*(GMW!$ND$2:$ND$150=AU$4)*(GMW!$NF$2:$NF$150=AU$1),0),$C336-1966)</f>
        <v>5825242</v>
      </c>
      <c r="AV336" s="4" cm="1">
        <f t="array" ref="AV336">INDEX(GMW!$A$2:$NF$150,MATCH(1,(GMW!$NE$2:$NE$150=AV$3)*(GMW!$ND$2:$ND$150=AV$4)*(GMW!$NF$2:$NF$150=AV$1),0),$C336-1966)</f>
        <v>-1.5677920000000001</v>
      </c>
    </row>
    <row r="337" spans="1:48" x14ac:dyDescent="0.25">
      <c r="B337" s="4">
        <f t="shared" si="14"/>
        <v>2055</v>
      </c>
      <c r="C337" s="4">
        <f t="shared" si="13"/>
        <v>2303</v>
      </c>
      <c r="D337" s="4" cm="1">
        <f t="array" ref="D337">INDEX(GMW!$A$2:$NF$150,MATCH(1,(GMW!$NE$2:$NE$150=D$3)*(GMW!$ND$2:$ND$150=D$4)*(GMW!$NF$2:$NF$150=D$1),0),$C337-1966)</f>
        <v>1008411</v>
      </c>
      <c r="E337" s="4" cm="1">
        <f t="array" ref="E337">INDEX(GMW!$A$2:$NF$150,MATCH(1,(GMW!$NE$2:$NE$150=E$3)*(GMW!$ND$2:$ND$150=E$4)*(GMW!$NF$2:$NF$150=E$1),0),$C337-1966)</f>
        <v>253.67420000000001</v>
      </c>
      <c r="F337" s="4" cm="1">
        <f t="array" ref="F337">INDEX(GMW!$A$2:$NF$150,MATCH(1,(GMW!$NE$2:$NE$150=F$3)*(GMW!$ND$2:$ND$150=F$4)*(GMW!$NF$2:$NF$150=F$1),0),$C337-1966)</f>
        <v>307658.7</v>
      </c>
      <c r="G337" s="4" cm="1">
        <f t="array" ref="G337">INDEX(GMW!$A$2:$NF$150,MATCH(1,(GMW!$NE$2:$NE$150=G$3)*(GMW!$ND$2:$ND$150=G$4)*(GMW!$NF$2:$NF$150=G$1),0),$C337-1966)</f>
        <v>99752.38</v>
      </c>
      <c r="H337" s="4" cm="1">
        <f t="array" ref="H337">INDEX(GMW!$A$2:$NF$150,MATCH(1,(GMW!$NE$2:$NE$150=H$3)*(GMW!$ND$2:$ND$150=H$4)*(GMW!$NF$2:$NF$150=H$1),0),$C337-1966)</f>
        <v>347050.2</v>
      </c>
      <c r="I337" s="4" cm="1">
        <f t="array" ref="I337">INDEX(GMW!$A$2:$NF$150,MATCH(1,(GMW!$NE$2:$NE$150=I$3)*(GMW!$ND$2:$ND$150=I$4)*(GMW!$NF$2:$NF$150=I$1),0),$C337-1966)</f>
        <v>184069.7</v>
      </c>
      <c r="J337" s="4" cm="1">
        <f t="array" ref="J337">INDEX(GMW!$A$2:$NF$150,MATCH(1,(GMW!$NE$2:$NE$150=J$3)*(GMW!$ND$2:$ND$150=J$4)*(GMW!$NF$2:$NF$150=J$1),0),$C337-1966)</f>
        <v>203757.6</v>
      </c>
      <c r="K337" s="4" cm="1">
        <f t="array" ref="K337">INDEX(GMW!$A$2:$NF$150,MATCH(1,(GMW!$NE$2:$NE$150=K$3)*(GMW!$ND$2:$ND$150=K$4)*(GMW!$NF$2:$NF$150=K$1),0),$C337-1966)</f>
        <v>118026.3</v>
      </c>
      <c r="L337" s="4" cm="1">
        <f t="array" ref="L337">INDEX(GMW!$A$2:$NF$150,MATCH(1,(GMW!$NE$2:$NE$150=L$3)*(GMW!$ND$2:$ND$150=L$4)*(GMW!$NF$2:$NF$150=L$1),0),$C337-1966)</f>
        <v>1008412</v>
      </c>
      <c r="M337" s="4" cm="1">
        <f t="array" ref="M337">INDEX(GMW!$A$2:$NF$150,MATCH(1,(GMW!$NE$2:$NE$150=M$3)*(GMW!$ND$2:$ND$150=M$4)*(GMW!$NF$2:$NF$150=M$1),0),$C337-1966)</f>
        <v>39338.11</v>
      </c>
      <c r="N337" s="4" cm="1">
        <f t="array" ref="N337">INDEX(GMW!$A$2:$NF$150,MATCH(1,(GMW!$NE$2:$NE$150=N$3)*(GMW!$ND$2:$ND$150=N$4)*(GMW!$NF$2:$NF$150=N$1),0),$C337-1966)</f>
        <v>31.93242</v>
      </c>
      <c r="O337" s="4" cm="1">
        <f t="array" ref="O337">INDEX(GMW!$A$2:$NF$150,MATCH(1,(GMW!$NE$2:$NE$150=O$3)*(GMW!$ND$2:$ND$150=O$4)*(GMW!$NF$2:$NF$150=O$1),0),$C337-1966)</f>
        <v>716166.1</v>
      </c>
      <c r="P337" s="4" cm="1">
        <f t="array" ref="P337">INDEX(GMW!$A$2:$NF$150,MATCH(1,(GMW!$NE$2:$NE$150=P$3)*(GMW!$ND$2:$ND$150=P$4)*(GMW!$NF$2:$NF$150=P$1),0),$C337-1966)</f>
        <v>46463.53</v>
      </c>
      <c r="Q337" s="4" cm="1">
        <f t="array" ref="Q337">INDEX(GMW!$A$2:$NF$150,MATCH(1,(GMW!$NE$2:$NE$150=Q$3)*(GMW!$ND$2:$ND$150=Q$4)*(GMW!$NF$2:$NF$150=Q$1),0),$C337-1966)</f>
        <v>5734498</v>
      </c>
      <c r="R337" s="4" cm="1">
        <f t="array" ref="R337">INDEX(GMW!$A$2:$NF$150,MATCH(1,(GMW!$NE$2:$NE$150=R$3)*(GMW!$ND$2:$ND$150=R$4)*(GMW!$NF$2:$NF$150=R$1),0),$C337-1966)</f>
        <v>-1.5700780000000001</v>
      </c>
      <c r="S337" s="4" cm="1">
        <f t="array" ref="S337">INDEX(GMW!$A$2:$NF$150,MATCH(1,(GMW!$NE$2:$NE$150=S$3)*(GMW!$ND$2:$ND$150=S$4)*(GMW!$NF$2:$NF$150=S$1),0),$C337-1966)</f>
        <v>1016645</v>
      </c>
      <c r="T337" s="4" cm="1">
        <f t="array" ref="T337">INDEX(GMW!$A$2:$NF$150,MATCH(1,(GMW!$NE$2:$NE$150=T$3)*(GMW!$ND$2:$ND$150=T$4)*(GMW!$NF$2:$NF$150=T$1),0),$C337-1966)</f>
        <v>253.52780000000001</v>
      </c>
      <c r="U337" s="4" cm="1">
        <f t="array" ref="U337">INDEX(GMW!$A$2:$NF$150,MATCH(1,(GMW!$NE$2:$NE$150=U$3)*(GMW!$ND$2:$ND$150=U$4)*(GMW!$NF$2:$NF$150=U$1),0),$C337-1966)</f>
        <v>293946.59999999998</v>
      </c>
      <c r="V337" s="4" cm="1">
        <f t="array" ref="V337">INDEX(GMW!$A$2:$NF$150,MATCH(1,(GMW!$NE$2:$NE$150=V$3)*(GMW!$ND$2:$ND$150=V$4)*(GMW!$NF$2:$NF$150=V$1),0),$C337-1966)</f>
        <v>105073.3</v>
      </c>
      <c r="W337" s="4" cm="1">
        <f t="array" ref="W337">INDEX(GMW!$A$2:$NF$150,MATCH(1,(GMW!$NE$2:$NE$150=W$3)*(GMW!$ND$2:$ND$150=W$4)*(GMW!$NF$2:$NF$150=W$1),0),$C337-1966)</f>
        <v>335705.3</v>
      </c>
      <c r="X337" s="4" cm="1">
        <f t="array" ref="X337">INDEX(GMW!$A$2:$NF$150,MATCH(1,(GMW!$NE$2:$NE$150=X$3)*(GMW!$ND$2:$ND$150=X$4)*(GMW!$NF$2:$NF$150=X$1),0),$C337-1966)</f>
        <v>176930.9</v>
      </c>
      <c r="Y337" s="4" cm="1">
        <f t="array" ref="Y337">INDEX(GMW!$A$2:$NF$150,MATCH(1,(GMW!$NE$2:$NE$150=Y$3)*(GMW!$ND$2:$ND$150=Y$4)*(GMW!$NF$2:$NF$150=Y$1),0),$C337-1966)</f>
        <v>206813.4</v>
      </c>
      <c r="Z337" s="4" cm="1">
        <f t="array" ref="Z337">INDEX(GMW!$A$2:$NF$150,MATCH(1,(GMW!$NE$2:$NE$150=Z$3)*(GMW!$ND$2:$ND$150=Z$4)*(GMW!$NF$2:$NF$150=Z$1),0),$C337-1966)</f>
        <v>121613.8</v>
      </c>
      <c r="AA337" s="4" cm="1">
        <f t="array" ref="AA337">INDEX(GMW!$A$2:$NF$150,MATCH(1,(GMW!$NE$2:$NE$150=AA$3)*(GMW!$ND$2:$ND$150=AA$4)*(GMW!$NF$2:$NF$150=AA$1),0),$C337-1966)</f>
        <v>1016644</v>
      </c>
      <c r="AB337" s="4" cm="1">
        <f t="array" ref="AB337">INDEX(GMW!$A$2:$NF$150,MATCH(1,(GMW!$NE$2:$NE$150=AB$3)*(GMW!$ND$2:$ND$150=AB$4)*(GMW!$NF$2:$NF$150=AB$1),0),$C337-1966)</f>
        <v>39338.11</v>
      </c>
      <c r="AC337" s="4" cm="1">
        <f t="array" ref="AC337">INDEX(GMW!$A$2:$NF$150,MATCH(1,(GMW!$NE$2:$NE$150=AC$3)*(GMW!$ND$2:$ND$150=AC$4)*(GMW!$NF$2:$NF$150=AC$1),0),$C337-1966)</f>
        <v>31.93242</v>
      </c>
      <c r="AD337" s="4" cm="1">
        <f t="array" ref="AD337">INDEX(GMW!$A$2:$NF$150,MATCH(1,(GMW!$NE$2:$NE$150=AD$3)*(GMW!$ND$2:$ND$150=AD$4)*(GMW!$NF$2:$NF$150=AD$1),0),$C337-1966)</f>
        <v>716166.1</v>
      </c>
      <c r="AE337" s="4" cm="1">
        <f t="array" ref="AE337">INDEX(GMW!$A$2:$NF$150,MATCH(1,(GMW!$NE$2:$NE$150=AE$3)*(GMW!$ND$2:$ND$150=AE$4)*(GMW!$NF$2:$NF$150=AE$1),0),$C337-1966)</f>
        <v>46463.53</v>
      </c>
      <c r="AF337" s="4" cm="1">
        <f t="array" ref="AF337">INDEX(GMW!$A$2:$NF$150,MATCH(1,(GMW!$NE$2:$NE$150=AF$3)*(GMW!$ND$2:$ND$150=AF$4)*(GMW!$NF$2:$NF$150=AF$1),0),$C337-1966)</f>
        <v>5835853</v>
      </c>
      <c r="AG337" s="4" cm="1">
        <f t="array" ref="AG337">INDEX(GMW!$A$2:$NF$150,MATCH(1,(GMW!$NE$2:$NE$150=AG$3)*(GMW!$ND$2:$ND$150=AG$4)*(GMW!$NF$2:$NF$150=AG$1),0),$C337-1966)</f>
        <v>-1.568106</v>
      </c>
      <c r="AH337" s="4" cm="1">
        <f t="array" ref="AH337">INDEX(GMW!$A$2:$NF$150,MATCH(1,(GMW!$NE$2:$NE$150=AH$3)*(GMW!$ND$2:$ND$150=AH$4)*(GMW!$NF$2:$NF$150=AH$1),0),$C337-1966)</f>
        <v>1022514</v>
      </c>
      <c r="AI337" s="4" cm="1">
        <f t="array" ref="AI337">INDEX(GMW!$A$2:$NF$150,MATCH(1,(GMW!$NE$2:$NE$150=AI$3)*(GMW!$ND$2:$ND$150=AI$4)*(GMW!$NF$2:$NF$150=AI$1),0),$C337-1966)</f>
        <v>251.7527</v>
      </c>
      <c r="AJ337" s="4" cm="1">
        <f t="array" ref="AJ337">INDEX(GMW!$A$2:$NF$150,MATCH(1,(GMW!$NE$2:$NE$150=AJ$3)*(GMW!$ND$2:$ND$150=AJ$4)*(GMW!$NF$2:$NF$150=AJ$1),0),$C337-1966)</f>
        <v>301244.5</v>
      </c>
      <c r="AK337" s="4" cm="1">
        <f t="array" ref="AK337">INDEX(GMW!$A$2:$NF$150,MATCH(1,(GMW!$NE$2:$NE$150=AK$3)*(GMW!$ND$2:$ND$150=AK$4)*(GMW!$NF$2:$NF$150=AK$1),0),$C337-1966)</f>
        <v>108870</v>
      </c>
      <c r="AL337" s="4" cm="1">
        <f t="array" ref="AL337">INDEX(GMW!$A$2:$NF$150,MATCH(1,(GMW!$NE$2:$NE$150=AL$3)*(GMW!$ND$2:$ND$150=AL$4)*(GMW!$NF$2:$NF$150=AL$1),0),$C337-1966)</f>
        <v>342178.7</v>
      </c>
      <c r="AM337" s="4" cm="1">
        <f t="array" ref="AM337">INDEX(GMW!$A$2:$NF$150,MATCH(1,(GMW!$NE$2:$NE$150=AM$3)*(GMW!$ND$2:$ND$150=AM$4)*(GMW!$NF$2:$NF$150=AM$1),0),$C337-1966)</f>
        <v>181969.2</v>
      </c>
      <c r="AN337" s="4" cm="1">
        <f t="array" ref="AN337">INDEX(GMW!$A$2:$NF$150,MATCH(1,(GMW!$NE$2:$NE$150=AN$3)*(GMW!$ND$2:$ND$150=AN$4)*(GMW!$NF$2:$NF$150=AN$1),0),$C337-1966)</f>
        <v>207957.6</v>
      </c>
      <c r="AO337" s="4" cm="1">
        <f t="array" ref="AO337">INDEX(GMW!$A$2:$NF$150,MATCH(1,(GMW!$NE$2:$NE$150=AO$3)*(GMW!$ND$2:$ND$150=AO$4)*(GMW!$NF$2:$NF$150=AO$1),0),$C337-1966)</f>
        <v>123870.5</v>
      </c>
      <c r="AP337" s="4" cm="1">
        <f t="array" ref="AP337">INDEX(GMW!$A$2:$NF$150,MATCH(1,(GMW!$NE$2:$NE$150=AP$3)*(GMW!$ND$2:$ND$150=AP$4)*(GMW!$NF$2:$NF$150=AP$1),0),$C337-1966)</f>
        <v>1022514</v>
      </c>
      <c r="AQ337" s="4" cm="1">
        <f t="array" ref="AQ337">INDEX(GMW!$A$2:$NF$150,MATCH(1,(GMW!$NE$2:$NE$150=AQ$3)*(GMW!$ND$2:$ND$150=AQ$4)*(GMW!$NF$2:$NF$150=AQ$1),0),$C337-1966)</f>
        <v>39528.400000000001</v>
      </c>
      <c r="AR337" s="4" cm="1">
        <f t="array" ref="AR337">INDEX(GMW!$A$2:$NF$150,MATCH(1,(GMW!$NE$2:$NE$150=AR$3)*(GMW!$ND$2:$ND$150=AR$4)*(GMW!$NF$2:$NF$150=AR$1),0),$C337-1966)</f>
        <v>31.93242</v>
      </c>
      <c r="AS337" s="4" cm="1">
        <f t="array" ref="AS337">INDEX(GMW!$A$2:$NF$150,MATCH(1,(GMW!$NE$2:$NE$150=AS$3)*(GMW!$ND$2:$ND$150=AS$4)*(GMW!$NF$2:$NF$150=AS$1),0),$C337-1966)</f>
        <v>719701.3</v>
      </c>
      <c r="AT337" s="4" cm="1">
        <f t="array" ref="AT337">INDEX(GMW!$A$2:$NF$150,MATCH(1,(GMW!$NE$2:$NE$150=AT$3)*(GMW!$ND$2:$ND$150=AT$4)*(GMW!$NF$2:$NF$150=AT$1),0),$C337-1966)</f>
        <v>46679.94</v>
      </c>
      <c r="AU337" s="4" cm="1">
        <f t="array" ref="AU337">INDEX(GMW!$A$2:$NF$150,MATCH(1,(GMW!$NE$2:$NE$150=AU$3)*(GMW!$ND$2:$ND$150=AU$4)*(GMW!$NF$2:$NF$150=AU$1),0),$C337-1966)</f>
        <v>5852722</v>
      </c>
      <c r="AV337" s="4" cm="1">
        <f t="array" ref="AV337">INDEX(GMW!$A$2:$NF$150,MATCH(1,(GMW!$NE$2:$NE$150=AV$3)*(GMW!$ND$2:$ND$150=AV$4)*(GMW!$NF$2:$NF$150=AV$1),0),$C337-1966)</f>
        <v>-1.566538</v>
      </c>
    </row>
    <row r="338" spans="1:48" x14ac:dyDescent="0.25">
      <c r="B338" s="4">
        <f t="shared" si="14"/>
        <v>2055</v>
      </c>
      <c r="C338" s="4">
        <f t="shared" si="13"/>
        <v>2304</v>
      </c>
      <c r="D338" s="4" cm="1">
        <f t="array" ref="D338">INDEX(GMW!$A$2:$NF$150,MATCH(1,(GMW!$NE$2:$NE$150=D$3)*(GMW!$ND$2:$ND$150=D$4)*(GMW!$NF$2:$NF$150=D$1),0),$C338-1966)</f>
        <v>1011512</v>
      </c>
      <c r="E338" s="4" cm="1">
        <f t="array" ref="E338">INDEX(GMW!$A$2:$NF$150,MATCH(1,(GMW!$NE$2:$NE$150=E$3)*(GMW!$ND$2:$ND$150=E$4)*(GMW!$NF$2:$NF$150=E$1),0),$C338-1966)</f>
        <v>254.791</v>
      </c>
      <c r="F338" s="4" cm="1">
        <f t="array" ref="F338">INDEX(GMW!$A$2:$NF$150,MATCH(1,(GMW!$NE$2:$NE$150=F$3)*(GMW!$ND$2:$ND$150=F$4)*(GMW!$NF$2:$NF$150=F$1),0),$C338-1966)</f>
        <v>308545.3</v>
      </c>
      <c r="G338" s="4" cm="1">
        <f t="array" ref="G338">INDEX(GMW!$A$2:$NF$150,MATCH(1,(GMW!$NE$2:$NE$150=G$3)*(GMW!$ND$2:$ND$150=G$4)*(GMW!$NF$2:$NF$150=G$1),0),$C338-1966)</f>
        <v>99979.35</v>
      </c>
      <c r="H338" s="4" cm="1">
        <f t="array" ref="H338">INDEX(GMW!$A$2:$NF$150,MATCH(1,(GMW!$NE$2:$NE$150=H$3)*(GMW!$ND$2:$ND$150=H$4)*(GMW!$NF$2:$NF$150=H$1),0),$C338-1966)</f>
        <v>348171.1</v>
      </c>
      <c r="I338" s="4" cm="1">
        <f t="array" ref="I338">INDEX(GMW!$A$2:$NF$150,MATCH(1,(GMW!$NE$2:$NE$150=I$3)*(GMW!$ND$2:$ND$150=I$4)*(GMW!$NF$2:$NF$150=I$1),0),$C338-1966)</f>
        <v>184617.3</v>
      </c>
      <c r="J338" s="4" cm="1">
        <f t="array" ref="J338">INDEX(GMW!$A$2:$NF$150,MATCH(1,(GMW!$NE$2:$NE$150=J$3)*(GMW!$ND$2:$ND$150=J$4)*(GMW!$NF$2:$NF$150=J$1),0),$C338-1966)</f>
        <v>204583.8</v>
      </c>
      <c r="K338" s="4" cm="1">
        <f t="array" ref="K338">INDEX(GMW!$A$2:$NF$150,MATCH(1,(GMW!$NE$2:$NE$150=K$3)*(GMW!$ND$2:$ND$150=K$4)*(GMW!$NF$2:$NF$150=K$1),0),$C338-1966)</f>
        <v>118542.7</v>
      </c>
      <c r="L338" s="4" cm="1">
        <f t="array" ref="L338">INDEX(GMW!$A$2:$NF$150,MATCH(1,(GMW!$NE$2:$NE$150=L$3)*(GMW!$ND$2:$ND$150=L$4)*(GMW!$NF$2:$NF$150=L$1),0),$C338-1966)</f>
        <v>1011513</v>
      </c>
      <c r="M338" s="4" cm="1">
        <f t="array" ref="M338">INDEX(GMW!$A$2:$NF$150,MATCH(1,(GMW!$NE$2:$NE$150=M$3)*(GMW!$ND$2:$ND$150=M$4)*(GMW!$NF$2:$NF$150=M$1),0),$C338-1966)</f>
        <v>39340.22</v>
      </c>
      <c r="N338" s="4" cm="1">
        <f t="array" ref="N338">INDEX(GMW!$A$2:$NF$150,MATCH(1,(GMW!$NE$2:$NE$150=N$3)*(GMW!$ND$2:$ND$150=N$4)*(GMW!$NF$2:$NF$150=N$1),0),$C338-1966)</f>
        <v>31.93167</v>
      </c>
      <c r="O338" s="4" cm="1">
        <f t="array" ref="O338">INDEX(GMW!$A$2:$NF$150,MATCH(1,(GMW!$NE$2:$NE$150=O$3)*(GMW!$ND$2:$ND$150=O$4)*(GMW!$NF$2:$NF$150=O$1),0),$C338-1966)</f>
        <v>716253.8</v>
      </c>
      <c r="P338" s="4" cm="1">
        <f t="array" ref="P338">INDEX(GMW!$A$2:$NF$150,MATCH(1,(GMW!$NE$2:$NE$150=P$3)*(GMW!$ND$2:$ND$150=P$4)*(GMW!$NF$2:$NF$150=P$1),0),$C338-1966)</f>
        <v>46444.22</v>
      </c>
      <c r="Q338" s="4" cm="1">
        <f t="array" ref="Q338">INDEX(GMW!$A$2:$NF$150,MATCH(1,(GMW!$NE$2:$NE$150=Q$3)*(GMW!$ND$2:$ND$150=Q$4)*(GMW!$NF$2:$NF$150=Q$1),0),$C338-1966)</f>
        <v>5761256</v>
      </c>
      <c r="R338" s="4" cm="1">
        <f t="array" ref="R338">INDEX(GMW!$A$2:$NF$150,MATCH(1,(GMW!$NE$2:$NE$150=R$3)*(GMW!$ND$2:$ND$150=R$4)*(GMW!$NF$2:$NF$150=R$1),0),$C338-1966)</f>
        <v>-1.5688219999999999</v>
      </c>
      <c r="S338" s="4" cm="1">
        <f t="array" ref="S338">INDEX(GMW!$A$2:$NF$150,MATCH(1,(GMW!$NE$2:$NE$150=S$3)*(GMW!$ND$2:$ND$150=S$4)*(GMW!$NF$2:$NF$150=S$1),0),$C338-1966)</f>
        <v>1019742</v>
      </c>
      <c r="T338" s="4" cm="1">
        <f t="array" ref="T338">INDEX(GMW!$A$2:$NF$150,MATCH(1,(GMW!$NE$2:$NE$150=T$3)*(GMW!$ND$2:$ND$150=T$4)*(GMW!$NF$2:$NF$150=T$1),0),$C338-1966)</f>
        <v>254.61340000000001</v>
      </c>
      <c r="U338" s="4" cm="1">
        <f t="array" ref="U338">INDEX(GMW!$A$2:$NF$150,MATCH(1,(GMW!$NE$2:$NE$150=U$3)*(GMW!$ND$2:$ND$150=U$4)*(GMW!$NF$2:$NF$150=U$1),0),$C338-1966)</f>
        <v>294770.90000000002</v>
      </c>
      <c r="V338" s="4" cm="1">
        <f t="array" ref="V338">INDEX(GMW!$A$2:$NF$150,MATCH(1,(GMW!$NE$2:$NE$150=V$3)*(GMW!$ND$2:$ND$150=V$4)*(GMW!$NF$2:$NF$150=V$1),0),$C338-1966)</f>
        <v>105309.4</v>
      </c>
      <c r="W338" s="4" cm="1">
        <f t="array" ref="W338">INDEX(GMW!$A$2:$NF$150,MATCH(1,(GMW!$NE$2:$NE$150=W$3)*(GMW!$ND$2:$ND$150=W$4)*(GMW!$NF$2:$NF$150=W$1),0),$C338-1966)</f>
        <v>336774</v>
      </c>
      <c r="X338" s="4" cm="1">
        <f t="array" ref="X338">INDEX(GMW!$A$2:$NF$150,MATCH(1,(GMW!$NE$2:$NE$150=X$3)*(GMW!$ND$2:$ND$150=X$4)*(GMW!$NF$2:$NF$150=X$1),0),$C338-1966)</f>
        <v>177452.2</v>
      </c>
      <c r="Y338" s="4" cm="1">
        <f t="array" ref="Y338">INDEX(GMW!$A$2:$NF$150,MATCH(1,(GMW!$NE$2:$NE$150=Y$3)*(GMW!$ND$2:$ND$150=Y$4)*(GMW!$NF$2:$NF$150=Y$1),0),$C338-1966)</f>
        <v>207640.7</v>
      </c>
      <c r="Z338" s="4" cm="1">
        <f t="array" ref="Z338">INDEX(GMW!$A$2:$NF$150,MATCH(1,(GMW!$NE$2:$NE$150=Z$3)*(GMW!$ND$2:$ND$150=Z$4)*(GMW!$NF$2:$NF$150=Z$1),0),$C338-1966)</f>
        <v>122136.3</v>
      </c>
      <c r="AA338" s="4" cm="1">
        <f t="array" ref="AA338">INDEX(GMW!$A$2:$NF$150,MATCH(1,(GMW!$NE$2:$NE$150=AA$3)*(GMW!$ND$2:$ND$150=AA$4)*(GMW!$NF$2:$NF$150=AA$1),0),$C338-1966)</f>
        <v>1019742</v>
      </c>
      <c r="AB338" s="4" cm="1">
        <f t="array" ref="AB338">INDEX(GMW!$A$2:$NF$150,MATCH(1,(GMW!$NE$2:$NE$150=AB$3)*(GMW!$ND$2:$ND$150=AB$4)*(GMW!$NF$2:$NF$150=AB$1),0),$C338-1966)</f>
        <v>39340.22</v>
      </c>
      <c r="AC338" s="4" cm="1">
        <f t="array" ref="AC338">INDEX(GMW!$A$2:$NF$150,MATCH(1,(GMW!$NE$2:$NE$150=AC$3)*(GMW!$ND$2:$ND$150=AC$4)*(GMW!$NF$2:$NF$150=AC$1),0),$C338-1966)</f>
        <v>31.93167</v>
      </c>
      <c r="AD338" s="4" cm="1">
        <f t="array" ref="AD338">INDEX(GMW!$A$2:$NF$150,MATCH(1,(GMW!$NE$2:$NE$150=AD$3)*(GMW!$ND$2:$ND$150=AD$4)*(GMW!$NF$2:$NF$150=AD$1),0),$C338-1966)</f>
        <v>716253.8</v>
      </c>
      <c r="AE338" s="4" cm="1">
        <f t="array" ref="AE338">INDEX(GMW!$A$2:$NF$150,MATCH(1,(GMW!$NE$2:$NE$150=AE$3)*(GMW!$ND$2:$ND$150=AE$4)*(GMW!$NF$2:$NF$150=AE$1),0),$C338-1966)</f>
        <v>46444.22</v>
      </c>
      <c r="AF338" s="4" cm="1">
        <f t="array" ref="AF338">INDEX(GMW!$A$2:$NF$150,MATCH(1,(GMW!$NE$2:$NE$150=AF$3)*(GMW!$ND$2:$ND$150=AF$4)*(GMW!$NF$2:$NF$150=AF$1),0),$C338-1966)</f>
        <v>5862623</v>
      </c>
      <c r="AG338" s="4" cm="1">
        <f t="array" ref="AG338">INDEX(GMW!$A$2:$NF$150,MATCH(1,(GMW!$NE$2:$NE$150=AG$3)*(GMW!$ND$2:$ND$150=AG$4)*(GMW!$NF$2:$NF$150=AG$1),0),$C338-1966)</f>
        <v>-1.566851</v>
      </c>
      <c r="AH338" s="4" cm="1">
        <f t="array" ref="AH338">INDEX(GMW!$A$2:$NF$150,MATCH(1,(GMW!$NE$2:$NE$150=AH$3)*(GMW!$ND$2:$ND$150=AH$4)*(GMW!$NF$2:$NF$150=AH$1),0),$C338-1966)</f>
        <v>1025800</v>
      </c>
      <c r="AI338" s="4" cm="1">
        <f t="array" ref="AI338">INDEX(GMW!$A$2:$NF$150,MATCH(1,(GMW!$NE$2:$NE$150=AI$3)*(GMW!$ND$2:$ND$150=AI$4)*(GMW!$NF$2:$NF$150=AI$1),0),$C338-1966)</f>
        <v>252.9982</v>
      </c>
      <c r="AJ338" s="4" cm="1">
        <f t="array" ref="AJ338">INDEX(GMW!$A$2:$NF$150,MATCH(1,(GMW!$NE$2:$NE$150=AJ$3)*(GMW!$ND$2:$ND$150=AJ$4)*(GMW!$NF$2:$NF$150=AJ$1),0),$C338-1966)</f>
        <v>302130.5</v>
      </c>
      <c r="AK338" s="4" cm="1">
        <f t="array" ref="AK338">INDEX(GMW!$A$2:$NF$150,MATCH(1,(GMW!$NE$2:$NE$150=AK$3)*(GMW!$ND$2:$ND$150=AK$4)*(GMW!$NF$2:$NF$150=AK$1),0),$C338-1966)</f>
        <v>109132.7</v>
      </c>
      <c r="AL338" s="4" cm="1">
        <f t="array" ref="AL338">INDEX(GMW!$A$2:$NF$150,MATCH(1,(GMW!$NE$2:$NE$150=AL$3)*(GMW!$ND$2:$ND$150=AL$4)*(GMW!$NF$2:$NF$150=AL$1),0),$C338-1966)</f>
        <v>343314.2</v>
      </c>
      <c r="AM338" s="4" cm="1">
        <f t="array" ref="AM338">INDEX(GMW!$A$2:$NF$150,MATCH(1,(GMW!$NE$2:$NE$150=AM$3)*(GMW!$ND$2:$ND$150=AM$4)*(GMW!$NF$2:$NF$150=AM$1),0),$C338-1966)</f>
        <v>182535.7</v>
      </c>
      <c r="AN338" s="4" cm="1">
        <f t="array" ref="AN338">INDEX(GMW!$A$2:$NF$150,MATCH(1,(GMW!$NE$2:$NE$150=AN$3)*(GMW!$ND$2:$ND$150=AN$4)*(GMW!$NF$2:$NF$150=AN$1),0),$C338-1966)</f>
        <v>208824.8</v>
      </c>
      <c r="AO338" s="4" cm="1">
        <f t="array" ref="AO338">INDEX(GMW!$A$2:$NF$150,MATCH(1,(GMW!$NE$2:$NE$150=AO$3)*(GMW!$ND$2:$ND$150=AO$4)*(GMW!$NF$2:$NF$150=AO$1),0),$C338-1966)</f>
        <v>124423.4</v>
      </c>
      <c r="AP338" s="4" cm="1">
        <f t="array" ref="AP338">INDEX(GMW!$A$2:$NF$150,MATCH(1,(GMW!$NE$2:$NE$150=AP$3)*(GMW!$ND$2:$ND$150=AP$4)*(GMW!$NF$2:$NF$150=AP$1),0),$C338-1966)</f>
        <v>1025799</v>
      </c>
      <c r="AQ338" s="4" cm="1">
        <f t="array" ref="AQ338">INDEX(GMW!$A$2:$NF$150,MATCH(1,(GMW!$NE$2:$NE$150=AQ$3)*(GMW!$ND$2:$ND$150=AQ$4)*(GMW!$NF$2:$NF$150=AQ$1),0),$C338-1966)</f>
        <v>39538.410000000003</v>
      </c>
      <c r="AR338" s="4" cm="1">
        <f t="array" ref="AR338">INDEX(GMW!$A$2:$NF$150,MATCH(1,(GMW!$NE$2:$NE$150=AR$3)*(GMW!$ND$2:$ND$150=AR$4)*(GMW!$NF$2:$NF$150=AR$1),0),$C338-1966)</f>
        <v>31.93167</v>
      </c>
      <c r="AS338" s="4" cm="1">
        <f t="array" ref="AS338">INDEX(GMW!$A$2:$NF$150,MATCH(1,(GMW!$NE$2:$NE$150=AS$3)*(GMW!$ND$2:$ND$150=AS$4)*(GMW!$NF$2:$NF$150=AS$1),0),$C338-1966)</f>
        <v>719921.7</v>
      </c>
      <c r="AT338" s="4" cm="1">
        <f t="array" ref="AT338">INDEX(GMW!$A$2:$NF$150,MATCH(1,(GMW!$NE$2:$NE$150=AT$3)*(GMW!$ND$2:$ND$150=AT$4)*(GMW!$NF$2:$NF$150=AT$1),0),$C338-1966)</f>
        <v>46669.57</v>
      </c>
      <c r="AU338" s="4" cm="1">
        <f t="array" ref="AU338">INDEX(GMW!$A$2:$NF$150,MATCH(1,(GMW!$NE$2:$NE$150=AU$3)*(GMW!$ND$2:$ND$150=AU$4)*(GMW!$NF$2:$NF$150=AU$1),0),$C338-1966)</f>
        <v>5880263</v>
      </c>
      <c r="AV338" s="4" cm="1">
        <f t="array" ref="AV338">INDEX(GMW!$A$2:$NF$150,MATCH(1,(GMW!$NE$2:$NE$150=AV$3)*(GMW!$ND$2:$ND$150=AV$4)*(GMW!$NF$2:$NF$150=AV$1),0),$C338-1966)</f>
        <v>-1.565285</v>
      </c>
    </row>
    <row r="339" spans="1:48" x14ac:dyDescent="0.25">
      <c r="A339" s="4">
        <v>2056</v>
      </c>
      <c r="B339" s="4">
        <f t="shared" si="14"/>
        <v>2056</v>
      </c>
      <c r="C339" s="4">
        <f t="shared" si="13"/>
        <v>2305</v>
      </c>
      <c r="D339" s="4" cm="1">
        <f t="array" ref="D339">INDEX(GMW!$A$2:$NF$150,MATCH(1,(GMW!$NE$2:$NE$150=D$3)*(GMW!$ND$2:$ND$150=D$4)*(GMW!$NF$2:$NF$150=D$1),0),$C339-1966)</f>
        <v>1014617</v>
      </c>
      <c r="E339" s="4" cm="1">
        <f t="array" ref="E339">INDEX(GMW!$A$2:$NF$150,MATCH(1,(GMW!$NE$2:$NE$150=E$3)*(GMW!$ND$2:$ND$150=E$4)*(GMW!$NF$2:$NF$150=E$1),0),$C339-1966)</f>
        <v>255.3126</v>
      </c>
      <c r="F339" s="4" cm="1">
        <f t="array" ref="F339">INDEX(GMW!$A$2:$NF$150,MATCH(1,(GMW!$NE$2:$NE$150=F$3)*(GMW!$ND$2:$ND$150=F$4)*(GMW!$NF$2:$NF$150=F$1),0),$C339-1966)</f>
        <v>309433.09999999998</v>
      </c>
      <c r="G339" s="4" cm="1">
        <f t="array" ref="G339">INDEX(GMW!$A$2:$NF$150,MATCH(1,(GMW!$NE$2:$NE$150=G$3)*(GMW!$ND$2:$ND$150=G$4)*(GMW!$NF$2:$NF$150=G$1),0),$C339-1966)</f>
        <v>100206.3</v>
      </c>
      <c r="H339" s="4" cm="1">
        <f t="array" ref="H339">INDEX(GMW!$A$2:$NF$150,MATCH(1,(GMW!$NE$2:$NE$150=H$3)*(GMW!$ND$2:$ND$150=H$4)*(GMW!$NF$2:$NF$150=H$1),0),$C339-1966)</f>
        <v>349294.1</v>
      </c>
      <c r="I339" s="4" cm="1">
        <f t="array" ref="I339">INDEX(GMW!$A$2:$NF$150,MATCH(1,(GMW!$NE$2:$NE$150=I$3)*(GMW!$ND$2:$ND$150=I$4)*(GMW!$NF$2:$NF$150=I$1),0),$C339-1966)</f>
        <v>185165.5</v>
      </c>
      <c r="J339" s="4" cm="1">
        <f t="array" ref="J339">INDEX(GMW!$A$2:$NF$150,MATCH(1,(GMW!$NE$2:$NE$150=J$3)*(GMW!$ND$2:$ND$150=J$4)*(GMW!$NF$2:$NF$150=J$1),0),$C339-1966)</f>
        <v>205412</v>
      </c>
      <c r="K339" s="4" cm="1">
        <f t="array" ref="K339">INDEX(GMW!$A$2:$NF$150,MATCH(1,(GMW!$NE$2:$NE$150=K$3)*(GMW!$ND$2:$ND$150=K$4)*(GMW!$NF$2:$NF$150=K$1),0),$C339-1966)</f>
        <v>119060.6</v>
      </c>
      <c r="L339" s="4" cm="1">
        <f t="array" ref="L339">INDEX(GMW!$A$2:$NF$150,MATCH(1,(GMW!$NE$2:$NE$150=L$3)*(GMW!$ND$2:$ND$150=L$4)*(GMW!$NF$2:$NF$150=L$1),0),$C339-1966)</f>
        <v>1014616</v>
      </c>
      <c r="M339" s="4" cm="1">
        <f t="array" ref="M339">INDEX(GMW!$A$2:$NF$150,MATCH(1,(GMW!$NE$2:$NE$150=M$3)*(GMW!$ND$2:$ND$150=M$4)*(GMW!$NF$2:$NF$150=M$1),0),$C339-1966)</f>
        <v>39342.339999999997</v>
      </c>
      <c r="N339" s="4" cm="1">
        <f t="array" ref="N339">INDEX(GMW!$A$2:$NF$150,MATCH(1,(GMW!$NE$2:$NE$150=N$3)*(GMW!$ND$2:$ND$150=N$4)*(GMW!$NF$2:$NF$150=N$1),0),$C339-1966)</f>
        <v>31.93092</v>
      </c>
      <c r="O339" s="4" cm="1">
        <f t="array" ref="O339">INDEX(GMW!$A$2:$NF$150,MATCH(1,(GMW!$NE$2:$NE$150=O$3)*(GMW!$ND$2:$ND$150=O$4)*(GMW!$NF$2:$NF$150=O$1),0),$C339-1966)</f>
        <v>716339.5</v>
      </c>
      <c r="P339" s="4" cm="1">
        <f t="array" ref="P339">INDEX(GMW!$A$2:$NF$150,MATCH(1,(GMW!$NE$2:$NE$150=P$3)*(GMW!$ND$2:$ND$150=P$4)*(GMW!$NF$2:$NF$150=P$1),0),$C339-1966)</f>
        <v>46424.91</v>
      </c>
      <c r="Q339" s="4" cm="1">
        <f t="array" ref="Q339">INDEX(GMW!$A$2:$NF$150,MATCH(1,(GMW!$NE$2:$NE$150=Q$3)*(GMW!$ND$2:$ND$150=Q$4)*(GMW!$NF$2:$NF$150=Q$1),0),$C339-1966)</f>
        <v>5788071</v>
      </c>
      <c r="R339" s="4" cm="1">
        <f t="array" ref="R339">INDEX(GMW!$A$2:$NF$150,MATCH(1,(GMW!$NE$2:$NE$150=R$3)*(GMW!$ND$2:$ND$150=R$4)*(GMW!$NF$2:$NF$150=R$1),0),$C339-1966)</f>
        <v>-1.5675669999999999</v>
      </c>
      <c r="S339" s="4" cm="1">
        <f t="array" ref="S339">INDEX(GMW!$A$2:$NF$150,MATCH(1,(GMW!$NE$2:$NE$150=S$3)*(GMW!$ND$2:$ND$150=S$4)*(GMW!$NF$2:$NF$150=S$1),0),$C339-1966)</f>
        <v>1022842</v>
      </c>
      <c r="T339" s="4" cm="1">
        <f t="array" ref="T339">INDEX(GMW!$A$2:$NF$150,MATCH(1,(GMW!$NE$2:$NE$150=T$3)*(GMW!$ND$2:$ND$150=T$4)*(GMW!$NF$2:$NF$150=T$1),0),$C339-1966)</f>
        <v>255.04300000000001</v>
      </c>
      <c r="U339" s="4" cm="1">
        <f t="array" ref="U339">INDEX(GMW!$A$2:$NF$150,MATCH(1,(GMW!$NE$2:$NE$150=U$3)*(GMW!$ND$2:$ND$150=U$4)*(GMW!$NF$2:$NF$150=U$1),0),$C339-1966)</f>
        <v>295596.09999999998</v>
      </c>
      <c r="V339" s="4" cm="1">
        <f t="array" ref="V339">INDEX(GMW!$A$2:$NF$150,MATCH(1,(GMW!$NE$2:$NE$150=V$3)*(GMW!$ND$2:$ND$150=V$4)*(GMW!$NF$2:$NF$150=V$1),0),$C339-1966)</f>
        <v>105545.3</v>
      </c>
      <c r="W339" s="4" cm="1">
        <f t="array" ref="W339">INDEX(GMW!$A$2:$NF$150,MATCH(1,(GMW!$NE$2:$NE$150=W$3)*(GMW!$ND$2:$ND$150=W$4)*(GMW!$NF$2:$NF$150=W$1),0),$C339-1966)</f>
        <v>337844.4</v>
      </c>
      <c r="X339" s="4" cm="1">
        <f t="array" ref="X339">INDEX(GMW!$A$2:$NF$150,MATCH(1,(GMW!$NE$2:$NE$150=X$3)*(GMW!$ND$2:$ND$150=X$4)*(GMW!$NF$2:$NF$150=X$1),0),$C339-1966)</f>
        <v>177974</v>
      </c>
      <c r="Y339" s="4" cm="1">
        <f t="array" ref="Y339">INDEX(GMW!$A$2:$NF$150,MATCH(1,(GMW!$NE$2:$NE$150=Y$3)*(GMW!$ND$2:$ND$150=Y$4)*(GMW!$NF$2:$NF$150=Y$1),0),$C339-1966)</f>
        <v>208470.1</v>
      </c>
      <c r="Z339" s="4" cm="1">
        <f t="array" ref="Z339">INDEX(GMW!$A$2:$NF$150,MATCH(1,(GMW!$NE$2:$NE$150=Z$3)*(GMW!$ND$2:$ND$150=Z$4)*(GMW!$NF$2:$NF$150=Z$1),0),$C339-1966)</f>
        <v>122660.4</v>
      </c>
      <c r="AA339" s="4" cm="1">
        <f t="array" ref="AA339">INDEX(GMW!$A$2:$NF$150,MATCH(1,(GMW!$NE$2:$NE$150=AA$3)*(GMW!$ND$2:$ND$150=AA$4)*(GMW!$NF$2:$NF$150=AA$1),0),$C339-1966)</f>
        <v>1022841</v>
      </c>
      <c r="AB339" s="4" cm="1">
        <f t="array" ref="AB339">INDEX(GMW!$A$2:$NF$150,MATCH(1,(GMW!$NE$2:$NE$150=AB$3)*(GMW!$ND$2:$ND$150=AB$4)*(GMW!$NF$2:$NF$150=AB$1),0),$C339-1966)</f>
        <v>39342.339999999997</v>
      </c>
      <c r="AC339" s="4" cm="1">
        <f t="array" ref="AC339">INDEX(GMW!$A$2:$NF$150,MATCH(1,(GMW!$NE$2:$NE$150=AC$3)*(GMW!$ND$2:$ND$150=AC$4)*(GMW!$NF$2:$NF$150=AC$1),0),$C339-1966)</f>
        <v>31.93092</v>
      </c>
      <c r="AD339" s="4" cm="1">
        <f t="array" ref="AD339">INDEX(GMW!$A$2:$NF$150,MATCH(1,(GMW!$NE$2:$NE$150=AD$3)*(GMW!$ND$2:$ND$150=AD$4)*(GMW!$NF$2:$NF$150=AD$1),0),$C339-1966)</f>
        <v>716339.5</v>
      </c>
      <c r="AE339" s="4" cm="1">
        <f t="array" ref="AE339">INDEX(GMW!$A$2:$NF$150,MATCH(1,(GMW!$NE$2:$NE$150=AE$3)*(GMW!$ND$2:$ND$150=AE$4)*(GMW!$NF$2:$NF$150=AE$1),0),$C339-1966)</f>
        <v>46424.91</v>
      </c>
      <c r="AF339" s="4" cm="1">
        <f t="array" ref="AF339">INDEX(GMW!$A$2:$NF$150,MATCH(1,(GMW!$NE$2:$NE$150=AF$3)*(GMW!$ND$2:$ND$150=AF$4)*(GMW!$NF$2:$NF$150=AF$1),0),$C339-1966)</f>
        <v>5889441</v>
      </c>
      <c r="AG339" s="4" cm="1">
        <f t="array" ref="AG339">INDEX(GMW!$A$2:$NF$150,MATCH(1,(GMW!$NE$2:$NE$150=AG$3)*(GMW!$ND$2:$ND$150=AG$4)*(GMW!$NF$2:$NF$150=AG$1),0),$C339-1966)</f>
        <v>-1.565598</v>
      </c>
      <c r="AH339" s="4" cm="1">
        <f t="array" ref="AH339">INDEX(GMW!$A$2:$NF$150,MATCH(1,(GMW!$NE$2:$NE$150=AH$3)*(GMW!$ND$2:$ND$150=AH$4)*(GMW!$NF$2:$NF$150=AH$1),0),$C339-1966)</f>
        <v>1029089</v>
      </c>
      <c r="AI339" s="4" cm="1">
        <f t="array" ref="AI339">INDEX(GMW!$A$2:$NF$150,MATCH(1,(GMW!$NE$2:$NE$150=AI$3)*(GMW!$ND$2:$ND$150=AI$4)*(GMW!$NF$2:$NF$150=AI$1),0),$C339-1966)</f>
        <v>253.4786</v>
      </c>
      <c r="AJ339" s="4" cm="1">
        <f t="array" ref="AJ339">INDEX(GMW!$A$2:$NF$150,MATCH(1,(GMW!$NE$2:$NE$150=AJ$3)*(GMW!$ND$2:$ND$150=AJ$4)*(GMW!$NF$2:$NF$150=AJ$1),0),$C339-1966)</f>
        <v>303017.7</v>
      </c>
      <c r="AK339" s="4" cm="1">
        <f t="array" ref="AK339">INDEX(GMW!$A$2:$NF$150,MATCH(1,(GMW!$NE$2:$NE$150=AK$3)*(GMW!$ND$2:$ND$150=AK$4)*(GMW!$NF$2:$NF$150=AK$1),0),$C339-1966)</f>
        <v>109395.4</v>
      </c>
      <c r="AL339" s="4" cm="1">
        <f t="array" ref="AL339">INDEX(GMW!$A$2:$NF$150,MATCH(1,(GMW!$NE$2:$NE$150=AL$3)*(GMW!$ND$2:$ND$150=AL$4)*(GMW!$NF$2:$NF$150=AL$1),0),$C339-1966)</f>
        <v>344451.8</v>
      </c>
      <c r="AM339" s="4" cm="1">
        <f t="array" ref="AM339">INDEX(GMW!$A$2:$NF$150,MATCH(1,(GMW!$NE$2:$NE$150=AM$3)*(GMW!$ND$2:$ND$150=AM$4)*(GMW!$NF$2:$NF$150=AM$1),0),$C339-1966)</f>
        <v>183102.9</v>
      </c>
      <c r="AN339" s="4" cm="1">
        <f t="array" ref="AN339">INDEX(GMW!$A$2:$NF$150,MATCH(1,(GMW!$NE$2:$NE$150=AN$3)*(GMW!$ND$2:$ND$150=AN$4)*(GMW!$NF$2:$NF$150=AN$1),0),$C339-1966)</f>
        <v>209694.2</v>
      </c>
      <c r="AO339" s="4" cm="1">
        <f t="array" ref="AO339">INDEX(GMW!$A$2:$NF$150,MATCH(1,(GMW!$NE$2:$NE$150=AO$3)*(GMW!$ND$2:$ND$150=AO$4)*(GMW!$NF$2:$NF$150=AO$1),0),$C339-1966)</f>
        <v>124977.9</v>
      </c>
      <c r="AP339" s="4" cm="1">
        <f t="array" ref="AP339">INDEX(GMW!$A$2:$NF$150,MATCH(1,(GMW!$NE$2:$NE$150=AP$3)*(GMW!$ND$2:$ND$150=AP$4)*(GMW!$NF$2:$NF$150=AP$1),0),$C339-1966)</f>
        <v>1029089</v>
      </c>
      <c r="AQ339" s="4" cm="1">
        <f t="array" ref="AQ339">INDEX(GMW!$A$2:$NF$150,MATCH(1,(GMW!$NE$2:$NE$150=AQ$3)*(GMW!$ND$2:$ND$150=AQ$4)*(GMW!$NF$2:$NF$150=AQ$1),0),$C339-1966)</f>
        <v>39548.410000000003</v>
      </c>
      <c r="AR339" s="4" cm="1">
        <f t="array" ref="AR339">INDEX(GMW!$A$2:$NF$150,MATCH(1,(GMW!$NE$2:$NE$150=AR$3)*(GMW!$ND$2:$ND$150=AR$4)*(GMW!$NF$2:$NF$150=AR$1),0),$C339-1966)</f>
        <v>31.93092</v>
      </c>
      <c r="AS339" s="4" cm="1">
        <f t="array" ref="AS339">INDEX(GMW!$A$2:$NF$150,MATCH(1,(GMW!$NE$2:$NE$150=AS$3)*(GMW!$ND$2:$ND$150=AS$4)*(GMW!$NF$2:$NF$150=AS$1),0),$C339-1966)</f>
        <v>720139.6</v>
      </c>
      <c r="AT339" s="4" cm="1">
        <f t="array" ref="AT339">INDEX(GMW!$A$2:$NF$150,MATCH(1,(GMW!$NE$2:$NE$150=AT$3)*(GMW!$ND$2:$ND$150=AT$4)*(GMW!$NF$2:$NF$150=AT$1),0),$C339-1966)</f>
        <v>46659.21</v>
      </c>
      <c r="AU339" s="4" cm="1">
        <f t="array" ref="AU339">INDEX(GMW!$A$2:$NF$150,MATCH(1,(GMW!$NE$2:$NE$150=AU$3)*(GMW!$ND$2:$ND$150=AU$4)*(GMW!$NF$2:$NF$150=AU$1),0),$C339-1966)</f>
        <v>5907866</v>
      </c>
      <c r="AV339" s="4" cm="1">
        <f t="array" ref="AV339">INDEX(GMW!$A$2:$NF$150,MATCH(1,(GMW!$NE$2:$NE$150=AV$3)*(GMW!$ND$2:$ND$150=AV$4)*(GMW!$NF$2:$NF$150=AV$1),0),$C339-1966)</f>
        <v>-1.564033</v>
      </c>
    </row>
    <row r="340" spans="1:48" x14ac:dyDescent="0.25">
      <c r="B340" s="4">
        <f t="shared" si="14"/>
        <v>2056</v>
      </c>
      <c r="C340" s="4">
        <f t="shared" si="13"/>
        <v>2306</v>
      </c>
      <c r="D340" s="4" cm="1">
        <f t="array" ref="D340">INDEX(GMW!$A$2:$NF$150,MATCH(1,(GMW!$NE$2:$NE$150=D$3)*(GMW!$ND$2:$ND$150=D$4)*(GMW!$NF$2:$NF$150=D$1),0),$C340-1966)</f>
        <v>1017725</v>
      </c>
      <c r="E340" s="4" cm="1">
        <f t="array" ref="E340">INDEX(GMW!$A$2:$NF$150,MATCH(1,(GMW!$NE$2:$NE$150=E$3)*(GMW!$ND$2:$ND$150=E$4)*(GMW!$NF$2:$NF$150=E$1),0),$C340-1966)</f>
        <v>257.57600000000002</v>
      </c>
      <c r="F340" s="4" cm="1">
        <f t="array" ref="F340">INDEX(GMW!$A$2:$NF$150,MATCH(1,(GMW!$NE$2:$NE$150=F$3)*(GMW!$ND$2:$ND$150=F$4)*(GMW!$NF$2:$NF$150=F$1),0),$C340-1966)</f>
        <v>310322</v>
      </c>
      <c r="G340" s="4" cm="1">
        <f t="array" ref="G340">INDEX(GMW!$A$2:$NF$150,MATCH(1,(GMW!$NE$2:$NE$150=G$3)*(GMW!$ND$2:$ND$150=G$4)*(GMW!$NF$2:$NF$150=G$1),0),$C340-1966)</f>
        <v>100433.1</v>
      </c>
      <c r="H340" s="4" cm="1">
        <f t="array" ref="H340">INDEX(GMW!$A$2:$NF$150,MATCH(1,(GMW!$NE$2:$NE$150=H$3)*(GMW!$ND$2:$ND$150=H$4)*(GMW!$NF$2:$NF$150=H$1),0),$C340-1966)</f>
        <v>350419.20000000001</v>
      </c>
      <c r="I340" s="4" cm="1">
        <f t="array" ref="I340">INDEX(GMW!$A$2:$NF$150,MATCH(1,(GMW!$NE$2:$NE$150=I$3)*(GMW!$ND$2:$ND$150=I$4)*(GMW!$NF$2:$NF$150=I$1),0),$C340-1966)</f>
        <v>185714.3</v>
      </c>
      <c r="J340" s="4" cm="1">
        <f t="array" ref="J340">INDEX(GMW!$A$2:$NF$150,MATCH(1,(GMW!$NE$2:$NE$150=J$3)*(GMW!$ND$2:$ND$150=J$4)*(GMW!$NF$2:$NF$150=J$1),0),$C340-1966)</f>
        <v>206242.5</v>
      </c>
      <c r="K340" s="4" cm="1">
        <f t="array" ref="K340">INDEX(GMW!$A$2:$NF$150,MATCH(1,(GMW!$NE$2:$NE$150=K$3)*(GMW!$ND$2:$ND$150=K$4)*(GMW!$NF$2:$NF$150=K$1),0),$C340-1966)</f>
        <v>119580.1</v>
      </c>
      <c r="L340" s="4" cm="1">
        <f t="array" ref="L340">INDEX(GMW!$A$2:$NF$150,MATCH(1,(GMW!$NE$2:$NE$150=L$3)*(GMW!$ND$2:$ND$150=L$4)*(GMW!$NF$2:$NF$150=L$1),0),$C340-1966)</f>
        <v>1017725</v>
      </c>
      <c r="M340" s="4" cm="1">
        <f t="array" ref="M340">INDEX(GMW!$A$2:$NF$150,MATCH(1,(GMW!$NE$2:$NE$150=M$3)*(GMW!$ND$2:$ND$150=M$4)*(GMW!$NF$2:$NF$150=M$1),0),$C340-1966)</f>
        <v>39344.46</v>
      </c>
      <c r="N340" s="4" cm="1">
        <f t="array" ref="N340">INDEX(GMW!$A$2:$NF$150,MATCH(1,(GMW!$NE$2:$NE$150=N$3)*(GMW!$ND$2:$ND$150=N$4)*(GMW!$NF$2:$NF$150=N$1),0),$C340-1966)</f>
        <v>31.93017</v>
      </c>
      <c r="O340" s="4" cm="1">
        <f t="array" ref="O340">INDEX(GMW!$A$2:$NF$150,MATCH(1,(GMW!$NE$2:$NE$150=O$3)*(GMW!$ND$2:$ND$150=O$4)*(GMW!$NF$2:$NF$150=O$1),0),$C340-1966)</f>
        <v>716423.1</v>
      </c>
      <c r="P340" s="4" cm="1">
        <f t="array" ref="P340">INDEX(GMW!$A$2:$NF$150,MATCH(1,(GMW!$NE$2:$NE$150=P$3)*(GMW!$ND$2:$ND$150=P$4)*(GMW!$NF$2:$NF$150=P$1),0),$C340-1966)</f>
        <v>46405.61</v>
      </c>
      <c r="Q340" s="4" cm="1">
        <f t="array" ref="Q340">INDEX(GMW!$A$2:$NF$150,MATCH(1,(GMW!$NE$2:$NE$150=Q$3)*(GMW!$ND$2:$ND$150=Q$4)*(GMW!$NF$2:$NF$150=Q$1),0),$C340-1966)</f>
        <v>5814945</v>
      </c>
      <c r="R340" s="4" cm="1">
        <f t="array" ref="R340">INDEX(GMW!$A$2:$NF$150,MATCH(1,(GMW!$NE$2:$NE$150=R$3)*(GMW!$ND$2:$ND$150=R$4)*(GMW!$NF$2:$NF$150=R$1),0),$C340-1966)</f>
        <v>-1.5663130000000001</v>
      </c>
      <c r="S340" s="4" cm="1">
        <f t="array" ref="S340">INDEX(GMW!$A$2:$NF$150,MATCH(1,(GMW!$NE$2:$NE$150=S$3)*(GMW!$ND$2:$ND$150=S$4)*(GMW!$NF$2:$NF$150=S$1),0),$C340-1966)</f>
        <v>1025946</v>
      </c>
      <c r="T340" s="4" cm="1">
        <f t="array" ref="T340">INDEX(GMW!$A$2:$NF$150,MATCH(1,(GMW!$NE$2:$NE$150=T$3)*(GMW!$ND$2:$ND$150=T$4)*(GMW!$NF$2:$NF$150=T$1),0),$C340-1966)</f>
        <v>257.3569</v>
      </c>
      <c r="U340" s="4" cm="1">
        <f t="array" ref="U340">INDEX(GMW!$A$2:$NF$150,MATCH(1,(GMW!$NE$2:$NE$150=U$3)*(GMW!$ND$2:$ND$150=U$4)*(GMW!$NF$2:$NF$150=U$1),0),$C340-1966)</f>
        <v>296422.09999999998</v>
      </c>
      <c r="V340" s="4" cm="1">
        <f t="array" ref="V340">INDEX(GMW!$A$2:$NF$150,MATCH(1,(GMW!$NE$2:$NE$150=V$3)*(GMW!$ND$2:$ND$150=V$4)*(GMW!$NF$2:$NF$150=V$1),0),$C340-1966)</f>
        <v>105781.1</v>
      </c>
      <c r="W340" s="4" cm="1">
        <f t="array" ref="W340">INDEX(GMW!$A$2:$NF$150,MATCH(1,(GMW!$NE$2:$NE$150=W$3)*(GMW!$ND$2:$ND$150=W$4)*(GMW!$NF$2:$NF$150=W$1),0),$C340-1966)</f>
        <v>338916.4</v>
      </c>
      <c r="X340" s="4" cm="1">
        <f t="array" ref="X340">INDEX(GMW!$A$2:$NF$150,MATCH(1,(GMW!$NE$2:$NE$150=X$3)*(GMW!$ND$2:$ND$150=X$4)*(GMW!$NF$2:$NF$150=X$1),0),$C340-1966)</f>
        <v>178496.1</v>
      </c>
      <c r="Y340" s="4" cm="1">
        <f t="array" ref="Y340">INDEX(GMW!$A$2:$NF$150,MATCH(1,(GMW!$NE$2:$NE$150=Y$3)*(GMW!$ND$2:$ND$150=Y$4)*(GMW!$NF$2:$NF$150=Y$1),0),$C340-1966)</f>
        <v>209301.4</v>
      </c>
      <c r="Z340" s="4" cm="1">
        <f t="array" ref="Z340">INDEX(GMW!$A$2:$NF$150,MATCH(1,(GMW!$NE$2:$NE$150=Z$3)*(GMW!$ND$2:$ND$150=Z$4)*(GMW!$NF$2:$NF$150=Z$1),0),$C340-1966)</f>
        <v>123185.8</v>
      </c>
      <c r="AA340" s="4" cm="1">
        <f t="array" ref="AA340">INDEX(GMW!$A$2:$NF$150,MATCH(1,(GMW!$NE$2:$NE$150=AA$3)*(GMW!$ND$2:$ND$150=AA$4)*(GMW!$NF$2:$NF$150=AA$1),0),$C340-1966)</f>
        <v>1025945</v>
      </c>
      <c r="AB340" s="4" cm="1">
        <f t="array" ref="AB340">INDEX(GMW!$A$2:$NF$150,MATCH(1,(GMW!$NE$2:$NE$150=AB$3)*(GMW!$ND$2:$ND$150=AB$4)*(GMW!$NF$2:$NF$150=AB$1),0),$C340-1966)</f>
        <v>39344.46</v>
      </c>
      <c r="AC340" s="4" cm="1">
        <f t="array" ref="AC340">INDEX(GMW!$A$2:$NF$150,MATCH(1,(GMW!$NE$2:$NE$150=AC$3)*(GMW!$ND$2:$ND$150=AC$4)*(GMW!$NF$2:$NF$150=AC$1),0),$C340-1966)</f>
        <v>31.93017</v>
      </c>
      <c r="AD340" s="4" cm="1">
        <f t="array" ref="AD340">INDEX(GMW!$A$2:$NF$150,MATCH(1,(GMW!$NE$2:$NE$150=AD$3)*(GMW!$ND$2:$ND$150=AD$4)*(GMW!$NF$2:$NF$150=AD$1),0),$C340-1966)</f>
        <v>716423.1</v>
      </c>
      <c r="AE340" s="4" cm="1">
        <f t="array" ref="AE340">INDEX(GMW!$A$2:$NF$150,MATCH(1,(GMW!$NE$2:$NE$150=AE$3)*(GMW!$ND$2:$ND$150=AE$4)*(GMW!$NF$2:$NF$150=AE$1),0),$C340-1966)</f>
        <v>46405.61</v>
      </c>
      <c r="AF340" s="4" cm="1">
        <f t="array" ref="AF340">INDEX(GMW!$A$2:$NF$150,MATCH(1,(GMW!$NE$2:$NE$150=AF$3)*(GMW!$ND$2:$ND$150=AF$4)*(GMW!$NF$2:$NF$150=AF$1),0),$C340-1966)</f>
        <v>5916306</v>
      </c>
      <c r="AG340" s="4" cm="1">
        <f t="array" ref="AG340">INDEX(GMW!$A$2:$NF$150,MATCH(1,(GMW!$NE$2:$NE$150=AG$3)*(GMW!$ND$2:$ND$150=AG$4)*(GMW!$NF$2:$NF$150=AG$1),0),$C340-1966)</f>
        <v>-1.5643450000000001</v>
      </c>
      <c r="AH340" s="4" cm="1">
        <f t="array" ref="AH340">INDEX(GMW!$A$2:$NF$150,MATCH(1,(GMW!$NE$2:$NE$150=AH$3)*(GMW!$ND$2:$ND$150=AH$4)*(GMW!$NF$2:$NF$150=AH$1),0),$C340-1966)</f>
        <v>1032383</v>
      </c>
      <c r="AI340" s="4" cm="1">
        <f t="array" ref="AI340">INDEX(GMW!$A$2:$NF$150,MATCH(1,(GMW!$NE$2:$NE$150=AI$3)*(GMW!$ND$2:$ND$150=AI$4)*(GMW!$NF$2:$NF$150=AI$1),0),$C340-1966)</f>
        <v>255.6592</v>
      </c>
      <c r="AJ340" s="4" cm="1">
        <f t="array" ref="AJ340">INDEX(GMW!$A$2:$NF$150,MATCH(1,(GMW!$NE$2:$NE$150=AJ$3)*(GMW!$ND$2:$ND$150=AJ$4)*(GMW!$NF$2:$NF$150=AJ$1),0),$C340-1966)</f>
        <v>303906.09999999998</v>
      </c>
      <c r="AK340" s="4" cm="1">
        <f t="array" ref="AK340">INDEX(GMW!$A$2:$NF$150,MATCH(1,(GMW!$NE$2:$NE$150=AK$3)*(GMW!$ND$2:$ND$150=AK$4)*(GMW!$NF$2:$NF$150=AK$1),0),$C340-1966)</f>
        <v>109658</v>
      </c>
      <c r="AL340" s="4" cm="1">
        <f t="array" ref="AL340">INDEX(GMW!$A$2:$NF$150,MATCH(1,(GMW!$NE$2:$NE$150=AL$3)*(GMW!$ND$2:$ND$150=AL$4)*(GMW!$NF$2:$NF$150=AL$1),0),$C340-1966)</f>
        <v>345591.5</v>
      </c>
      <c r="AM340" s="4" cm="1">
        <f t="array" ref="AM340">INDEX(GMW!$A$2:$NF$150,MATCH(1,(GMW!$NE$2:$NE$150=AM$3)*(GMW!$ND$2:$ND$150=AM$4)*(GMW!$NF$2:$NF$150=AM$1),0),$C340-1966)</f>
        <v>183670.6</v>
      </c>
      <c r="AN340" s="4" cm="1">
        <f t="array" ref="AN340">INDEX(GMW!$A$2:$NF$150,MATCH(1,(GMW!$NE$2:$NE$150=AN$3)*(GMW!$ND$2:$ND$150=AN$4)*(GMW!$NF$2:$NF$150=AN$1),0),$C340-1966)</f>
        <v>210566.1</v>
      </c>
      <c r="AO340" s="4" cm="1">
        <f t="array" ref="AO340">INDEX(GMW!$A$2:$NF$150,MATCH(1,(GMW!$NE$2:$NE$150=AO$3)*(GMW!$ND$2:$ND$150=AO$4)*(GMW!$NF$2:$NF$150=AO$1),0),$C340-1966)</f>
        <v>125534.2</v>
      </c>
      <c r="AP340" s="4" cm="1">
        <f t="array" ref="AP340">INDEX(GMW!$A$2:$NF$150,MATCH(1,(GMW!$NE$2:$NE$150=AP$3)*(GMW!$ND$2:$ND$150=AP$4)*(GMW!$NF$2:$NF$150=AP$1),0),$C340-1966)</f>
        <v>1032383</v>
      </c>
      <c r="AQ340" s="4" cm="1">
        <f t="array" ref="AQ340">INDEX(GMW!$A$2:$NF$150,MATCH(1,(GMW!$NE$2:$NE$150=AQ$3)*(GMW!$ND$2:$ND$150=AQ$4)*(GMW!$NF$2:$NF$150=AQ$1),0),$C340-1966)</f>
        <v>39558.410000000003</v>
      </c>
      <c r="AR340" s="4" cm="1">
        <f t="array" ref="AR340">INDEX(GMW!$A$2:$NF$150,MATCH(1,(GMW!$NE$2:$NE$150=AR$3)*(GMW!$ND$2:$ND$150=AR$4)*(GMW!$NF$2:$NF$150=AR$1),0),$C340-1966)</f>
        <v>31.93017</v>
      </c>
      <c r="AS340" s="4" cm="1">
        <f t="array" ref="AS340">INDEX(GMW!$A$2:$NF$150,MATCH(1,(GMW!$NE$2:$NE$150=AS$3)*(GMW!$ND$2:$ND$150=AS$4)*(GMW!$NF$2:$NF$150=AS$1),0),$C340-1966)</f>
        <v>720354.8</v>
      </c>
      <c r="AT340" s="4" cm="1">
        <f t="array" ref="AT340">INDEX(GMW!$A$2:$NF$150,MATCH(1,(GMW!$NE$2:$NE$150=AT$3)*(GMW!$ND$2:$ND$150=AT$4)*(GMW!$NF$2:$NF$150=AT$1),0),$C340-1966)</f>
        <v>46648.84</v>
      </c>
      <c r="AU340" s="4" cm="1">
        <f t="array" ref="AU340">INDEX(GMW!$A$2:$NF$150,MATCH(1,(GMW!$NE$2:$NE$150=AU$3)*(GMW!$ND$2:$ND$150=AU$4)*(GMW!$NF$2:$NF$150=AU$1),0),$C340-1966)</f>
        <v>5935531</v>
      </c>
      <c r="AV340" s="4" cm="1">
        <f t="array" ref="AV340">INDEX(GMW!$A$2:$NF$150,MATCH(1,(GMW!$NE$2:$NE$150=AV$3)*(GMW!$ND$2:$ND$150=AV$4)*(GMW!$NF$2:$NF$150=AV$1),0),$C340-1966)</f>
        <v>-1.562781</v>
      </c>
    </row>
    <row r="341" spans="1:48" x14ac:dyDescent="0.25">
      <c r="B341" s="4">
        <f t="shared" si="14"/>
        <v>2056</v>
      </c>
      <c r="C341" s="4">
        <f t="shared" si="13"/>
        <v>2307</v>
      </c>
      <c r="D341" s="4" cm="1">
        <f t="array" ref="D341">INDEX(GMW!$A$2:$NF$150,MATCH(1,(GMW!$NE$2:$NE$150=D$3)*(GMW!$ND$2:$ND$150=D$4)*(GMW!$NF$2:$NF$150=D$1),0),$C341-1966)</f>
        <v>1020835</v>
      </c>
      <c r="E341" s="4" cm="1">
        <f t="array" ref="E341">INDEX(GMW!$A$2:$NF$150,MATCH(1,(GMW!$NE$2:$NE$150=E$3)*(GMW!$ND$2:$ND$150=E$4)*(GMW!$NF$2:$NF$150=E$1),0),$C341-1966)</f>
        <v>258.74770000000001</v>
      </c>
      <c r="F341" s="4" cm="1">
        <f t="array" ref="F341">INDEX(GMW!$A$2:$NF$150,MATCH(1,(GMW!$NE$2:$NE$150=F$3)*(GMW!$ND$2:$ND$150=F$4)*(GMW!$NF$2:$NF$150=F$1),0),$C341-1966)</f>
        <v>311211.40000000002</v>
      </c>
      <c r="G341" s="4" cm="1">
        <f t="array" ref="G341">INDEX(GMW!$A$2:$NF$150,MATCH(1,(GMW!$NE$2:$NE$150=G$3)*(GMW!$ND$2:$ND$150=G$4)*(GMW!$NF$2:$NF$150=G$1),0),$C341-1966)</f>
        <v>100659.6</v>
      </c>
      <c r="H341" s="4" cm="1">
        <f t="array" ref="H341">INDEX(GMW!$A$2:$NF$150,MATCH(1,(GMW!$NE$2:$NE$150=H$3)*(GMW!$ND$2:$ND$150=H$4)*(GMW!$NF$2:$NF$150=H$1),0),$C341-1966)</f>
        <v>351545.5</v>
      </c>
      <c r="I341" s="4" cm="1">
        <f t="array" ref="I341">INDEX(GMW!$A$2:$NF$150,MATCH(1,(GMW!$NE$2:$NE$150=I$3)*(GMW!$ND$2:$ND$150=I$4)*(GMW!$NF$2:$NF$150=I$1),0),$C341-1966)</f>
        <v>186263.2</v>
      </c>
      <c r="J341" s="4" cm="1">
        <f t="array" ref="J341">INDEX(GMW!$A$2:$NF$150,MATCH(1,(GMW!$NE$2:$NE$150=J$3)*(GMW!$ND$2:$ND$150=J$4)*(GMW!$NF$2:$NF$150=J$1),0),$C341-1966)</f>
        <v>207075</v>
      </c>
      <c r="K341" s="4" cm="1">
        <f t="array" ref="K341">INDEX(GMW!$A$2:$NF$150,MATCH(1,(GMW!$NE$2:$NE$150=K$3)*(GMW!$ND$2:$ND$150=K$4)*(GMW!$NF$2:$NF$150=K$1),0),$C341-1966)</f>
        <v>120101</v>
      </c>
      <c r="L341" s="4" cm="1">
        <f t="array" ref="L341">INDEX(GMW!$A$2:$NF$150,MATCH(1,(GMW!$NE$2:$NE$150=L$3)*(GMW!$ND$2:$ND$150=L$4)*(GMW!$NF$2:$NF$150=L$1),0),$C341-1966)</f>
        <v>1020836</v>
      </c>
      <c r="M341" s="4" cm="1">
        <f t="array" ref="M341">INDEX(GMW!$A$2:$NF$150,MATCH(1,(GMW!$NE$2:$NE$150=M$3)*(GMW!$ND$2:$ND$150=M$4)*(GMW!$NF$2:$NF$150=M$1),0),$C341-1966)</f>
        <v>39346.44</v>
      </c>
      <c r="N341" s="4" cm="1">
        <f t="array" ref="N341">INDEX(GMW!$A$2:$NF$150,MATCH(1,(GMW!$NE$2:$NE$150=N$3)*(GMW!$ND$2:$ND$150=N$4)*(GMW!$NF$2:$NF$150=N$1),0),$C341-1966)</f>
        <v>31.92942</v>
      </c>
      <c r="O341" s="4" cm="1">
        <f t="array" ref="O341">INDEX(GMW!$A$2:$NF$150,MATCH(1,(GMW!$NE$2:$NE$150=O$3)*(GMW!$ND$2:$ND$150=O$4)*(GMW!$NF$2:$NF$150=O$1),0),$C341-1966)</f>
        <v>716513.9</v>
      </c>
      <c r="P341" s="4" cm="1">
        <f t="array" ref="P341">INDEX(GMW!$A$2:$NF$150,MATCH(1,(GMW!$NE$2:$NE$150=P$3)*(GMW!$ND$2:$ND$150=P$4)*(GMW!$NF$2:$NF$150=P$1),0),$C341-1966)</f>
        <v>46386.86</v>
      </c>
      <c r="Q341" s="4" cm="1">
        <f t="array" ref="Q341">INDEX(GMW!$A$2:$NF$150,MATCH(1,(GMW!$NE$2:$NE$150=Q$3)*(GMW!$ND$2:$ND$150=Q$4)*(GMW!$NF$2:$NF$150=Q$1),0),$C341-1966)</f>
        <v>5841878</v>
      </c>
      <c r="R341" s="4" cm="1">
        <f t="array" ref="R341">INDEX(GMW!$A$2:$NF$150,MATCH(1,(GMW!$NE$2:$NE$150=R$3)*(GMW!$ND$2:$ND$150=R$4)*(GMW!$NF$2:$NF$150=R$1),0),$C341-1966)</f>
        <v>-1.5650599999999999</v>
      </c>
      <c r="S341" s="4" cm="1">
        <f t="array" ref="S341">INDEX(GMW!$A$2:$NF$150,MATCH(1,(GMW!$NE$2:$NE$150=S$3)*(GMW!$ND$2:$ND$150=S$4)*(GMW!$NF$2:$NF$150=S$1),0),$C341-1966)</f>
        <v>1029050</v>
      </c>
      <c r="T341" s="4" cm="1">
        <f t="array" ref="T341">INDEX(GMW!$A$2:$NF$150,MATCH(1,(GMW!$NE$2:$NE$150=T$3)*(GMW!$ND$2:$ND$150=T$4)*(GMW!$NF$2:$NF$150=T$1),0),$C341-1966)</f>
        <v>258.59829999999999</v>
      </c>
      <c r="U341" s="4" cm="1">
        <f t="array" ref="U341">INDEX(GMW!$A$2:$NF$150,MATCH(1,(GMW!$NE$2:$NE$150=U$3)*(GMW!$ND$2:$ND$150=U$4)*(GMW!$NF$2:$NF$150=U$1),0),$C341-1966)</f>
        <v>297248.40000000002</v>
      </c>
      <c r="V341" s="4" cm="1">
        <f t="array" ref="V341">INDEX(GMW!$A$2:$NF$150,MATCH(1,(GMW!$NE$2:$NE$150=V$3)*(GMW!$ND$2:$ND$150=V$4)*(GMW!$NF$2:$NF$150=V$1),0),$C341-1966)</f>
        <v>106016.5</v>
      </c>
      <c r="W341" s="4" cm="1">
        <f t="array" ref="W341">INDEX(GMW!$A$2:$NF$150,MATCH(1,(GMW!$NE$2:$NE$150=W$3)*(GMW!$ND$2:$ND$150=W$4)*(GMW!$NF$2:$NF$150=W$1),0),$C341-1966)</f>
        <v>339989.8</v>
      </c>
      <c r="X341" s="4" cm="1">
        <f t="array" ref="X341">INDEX(GMW!$A$2:$NF$150,MATCH(1,(GMW!$NE$2:$NE$150=X$3)*(GMW!$ND$2:$ND$150=X$4)*(GMW!$NF$2:$NF$150=X$1),0),$C341-1966)</f>
        <v>179018.4</v>
      </c>
      <c r="Y341" s="4" cm="1">
        <f t="array" ref="Y341">INDEX(GMW!$A$2:$NF$150,MATCH(1,(GMW!$NE$2:$NE$150=Y$3)*(GMW!$ND$2:$ND$150=Y$4)*(GMW!$NF$2:$NF$150=Y$1),0),$C341-1966)</f>
        <v>210134.39999999999</v>
      </c>
      <c r="Z341" s="4" cm="1">
        <f t="array" ref="Z341">INDEX(GMW!$A$2:$NF$150,MATCH(1,(GMW!$NE$2:$NE$150=Z$3)*(GMW!$ND$2:$ND$150=Z$4)*(GMW!$NF$2:$NF$150=Z$1),0),$C341-1966)</f>
        <v>123712.5</v>
      </c>
      <c r="AA341" s="4" cm="1">
        <f t="array" ref="AA341">INDEX(GMW!$A$2:$NF$150,MATCH(1,(GMW!$NE$2:$NE$150=AA$3)*(GMW!$ND$2:$ND$150=AA$4)*(GMW!$NF$2:$NF$150=AA$1),0),$C341-1966)</f>
        <v>1029049</v>
      </c>
      <c r="AB341" s="4" cm="1">
        <f t="array" ref="AB341">INDEX(GMW!$A$2:$NF$150,MATCH(1,(GMW!$NE$2:$NE$150=AB$3)*(GMW!$ND$2:$ND$150=AB$4)*(GMW!$NF$2:$NF$150=AB$1),0),$C341-1966)</f>
        <v>39346.44</v>
      </c>
      <c r="AC341" s="4" cm="1">
        <f t="array" ref="AC341">INDEX(GMW!$A$2:$NF$150,MATCH(1,(GMW!$NE$2:$NE$150=AC$3)*(GMW!$ND$2:$ND$150=AC$4)*(GMW!$NF$2:$NF$150=AC$1),0),$C341-1966)</f>
        <v>31.92942</v>
      </c>
      <c r="AD341" s="4" cm="1">
        <f t="array" ref="AD341">INDEX(GMW!$A$2:$NF$150,MATCH(1,(GMW!$NE$2:$NE$150=AD$3)*(GMW!$ND$2:$ND$150=AD$4)*(GMW!$NF$2:$NF$150=AD$1),0),$C341-1966)</f>
        <v>716513.9</v>
      </c>
      <c r="AE341" s="4" cm="1">
        <f t="array" ref="AE341">INDEX(GMW!$A$2:$NF$150,MATCH(1,(GMW!$NE$2:$NE$150=AE$3)*(GMW!$ND$2:$ND$150=AE$4)*(GMW!$NF$2:$NF$150=AE$1),0),$C341-1966)</f>
        <v>46386.86</v>
      </c>
      <c r="AF341" s="4" cm="1">
        <f t="array" ref="AF341">INDEX(GMW!$A$2:$NF$150,MATCH(1,(GMW!$NE$2:$NE$150=AF$3)*(GMW!$ND$2:$ND$150=AF$4)*(GMW!$NF$2:$NF$150=AF$1),0),$C341-1966)</f>
        <v>5943218</v>
      </c>
      <c r="AG341" s="4" cm="1">
        <f t="array" ref="AG341">INDEX(GMW!$A$2:$NF$150,MATCH(1,(GMW!$NE$2:$NE$150=AG$3)*(GMW!$ND$2:$ND$150=AG$4)*(GMW!$NF$2:$NF$150=AG$1),0),$C341-1966)</f>
        <v>-1.563094</v>
      </c>
      <c r="AH341" s="4" cm="1">
        <f t="array" ref="AH341">INDEX(GMW!$A$2:$NF$150,MATCH(1,(GMW!$NE$2:$NE$150=AH$3)*(GMW!$ND$2:$ND$150=AH$4)*(GMW!$NF$2:$NF$150=AH$1),0),$C341-1966)</f>
        <v>1035683</v>
      </c>
      <c r="AI341" s="4" cm="1">
        <f t="array" ref="AI341">INDEX(GMW!$A$2:$NF$150,MATCH(1,(GMW!$NE$2:$NE$150=AI$3)*(GMW!$ND$2:$ND$150=AI$4)*(GMW!$NF$2:$NF$150=AI$1),0),$C341-1966)</f>
        <v>256.7878</v>
      </c>
      <c r="AJ341" s="4" cm="1">
        <f t="array" ref="AJ341">INDEX(GMW!$A$2:$NF$150,MATCH(1,(GMW!$NE$2:$NE$150=AJ$3)*(GMW!$ND$2:$ND$150=AJ$4)*(GMW!$NF$2:$NF$150=AJ$1),0),$C341-1966)</f>
        <v>304796.3</v>
      </c>
      <c r="AK341" s="4" cm="1">
        <f t="array" ref="AK341">INDEX(GMW!$A$2:$NF$150,MATCH(1,(GMW!$NE$2:$NE$150=AK$3)*(GMW!$ND$2:$ND$150=AK$4)*(GMW!$NF$2:$NF$150=AK$1),0),$C341-1966)</f>
        <v>109920.8</v>
      </c>
      <c r="AL341" s="4" cm="1">
        <f t="array" ref="AL341">INDEX(GMW!$A$2:$NF$150,MATCH(1,(GMW!$NE$2:$NE$150=AL$3)*(GMW!$ND$2:$ND$150=AL$4)*(GMW!$NF$2:$NF$150=AL$1),0),$C341-1966)</f>
        <v>346733.8</v>
      </c>
      <c r="AM341" s="4" cm="1">
        <f t="array" ref="AM341">INDEX(GMW!$A$2:$NF$150,MATCH(1,(GMW!$NE$2:$NE$150=AM$3)*(GMW!$ND$2:$ND$150=AM$4)*(GMW!$NF$2:$NF$150=AM$1),0),$C341-1966)</f>
        <v>184239.3</v>
      </c>
      <c r="AN341" s="4" cm="1">
        <f t="array" ref="AN341">INDEX(GMW!$A$2:$NF$150,MATCH(1,(GMW!$NE$2:$NE$150=AN$3)*(GMW!$ND$2:$ND$150=AN$4)*(GMW!$NF$2:$NF$150=AN$1),0),$C341-1966)</f>
        <v>211440.6</v>
      </c>
      <c r="AO341" s="4" cm="1">
        <f t="array" ref="AO341">INDEX(GMW!$A$2:$NF$150,MATCH(1,(GMW!$NE$2:$NE$150=AO$3)*(GMW!$ND$2:$ND$150=AO$4)*(GMW!$NF$2:$NF$150=AO$1),0),$C341-1966)</f>
        <v>126092.3</v>
      </c>
      <c r="AP341" s="4" cm="1">
        <f t="array" ref="AP341">INDEX(GMW!$A$2:$NF$150,MATCH(1,(GMW!$NE$2:$NE$150=AP$3)*(GMW!$ND$2:$ND$150=AP$4)*(GMW!$NF$2:$NF$150=AP$1),0),$C341-1966)</f>
        <v>1035684</v>
      </c>
      <c r="AQ341" s="4" cm="1">
        <f t="array" ref="AQ341">INDEX(GMW!$A$2:$NF$150,MATCH(1,(GMW!$NE$2:$NE$150=AQ$3)*(GMW!$ND$2:$ND$150=AQ$4)*(GMW!$NF$2:$NF$150=AQ$1),0),$C341-1966)</f>
        <v>39568.49</v>
      </c>
      <c r="AR341" s="4" cm="1">
        <f t="array" ref="AR341">INDEX(GMW!$A$2:$NF$150,MATCH(1,(GMW!$NE$2:$NE$150=AR$3)*(GMW!$ND$2:$ND$150=AR$4)*(GMW!$NF$2:$NF$150=AR$1),0),$C341-1966)</f>
        <v>31.92942</v>
      </c>
      <c r="AS341" s="4" cm="1">
        <f t="array" ref="AS341">INDEX(GMW!$A$2:$NF$150,MATCH(1,(GMW!$NE$2:$NE$150=AS$3)*(GMW!$ND$2:$ND$150=AS$4)*(GMW!$NF$2:$NF$150=AS$1),0),$C341-1966)</f>
        <v>720579.1</v>
      </c>
      <c r="AT341" s="4" cm="1">
        <f t="array" ref="AT341">INDEX(GMW!$A$2:$NF$150,MATCH(1,(GMW!$NE$2:$NE$150=AT$3)*(GMW!$ND$2:$ND$150=AT$4)*(GMW!$NF$2:$NF$150=AT$1),0),$C341-1966)</f>
        <v>46639.199999999997</v>
      </c>
      <c r="AU341" s="4" cm="1">
        <f t="array" ref="AU341">INDEX(GMW!$A$2:$NF$150,MATCH(1,(GMW!$NE$2:$NE$150=AU$3)*(GMW!$ND$2:$ND$150=AU$4)*(GMW!$NF$2:$NF$150=AU$1),0),$C341-1966)</f>
        <v>5963258</v>
      </c>
      <c r="AV341" s="4" cm="1">
        <f t="array" ref="AV341">INDEX(GMW!$A$2:$NF$150,MATCH(1,(GMW!$NE$2:$NE$150=AV$3)*(GMW!$ND$2:$ND$150=AV$4)*(GMW!$NF$2:$NF$150=AV$1),0),$C341-1966)</f>
        <v>-1.561531</v>
      </c>
    </row>
    <row r="342" spans="1:48" x14ac:dyDescent="0.25">
      <c r="B342" s="4">
        <f t="shared" si="14"/>
        <v>2056</v>
      </c>
      <c r="C342" s="4">
        <f t="shared" si="13"/>
        <v>2308</v>
      </c>
      <c r="D342" s="4" cm="1">
        <f t="array" ref="D342">INDEX(GMW!$A$2:$NF$150,MATCH(1,(GMW!$NE$2:$NE$150=D$3)*(GMW!$ND$2:$ND$150=D$4)*(GMW!$NF$2:$NF$150=D$1),0),$C342-1966)</f>
        <v>1023949</v>
      </c>
      <c r="E342" s="4" cm="1">
        <f t="array" ref="E342">INDEX(GMW!$A$2:$NF$150,MATCH(1,(GMW!$NE$2:$NE$150=E$3)*(GMW!$ND$2:$ND$150=E$4)*(GMW!$NF$2:$NF$150=E$1),0),$C342-1966)</f>
        <v>259.88690000000003</v>
      </c>
      <c r="F342" s="4" cm="1">
        <f t="array" ref="F342">INDEX(GMW!$A$2:$NF$150,MATCH(1,(GMW!$NE$2:$NE$150=F$3)*(GMW!$ND$2:$ND$150=F$4)*(GMW!$NF$2:$NF$150=F$1),0),$C342-1966)</f>
        <v>312102.09999999998</v>
      </c>
      <c r="G342" s="4" cm="1">
        <f t="array" ref="G342">INDEX(GMW!$A$2:$NF$150,MATCH(1,(GMW!$NE$2:$NE$150=G$3)*(GMW!$ND$2:$ND$150=G$4)*(GMW!$NF$2:$NF$150=G$1),0),$C342-1966)</f>
        <v>100886.1</v>
      </c>
      <c r="H342" s="4" cm="1">
        <f t="array" ref="H342">INDEX(GMW!$A$2:$NF$150,MATCH(1,(GMW!$NE$2:$NE$150=H$3)*(GMW!$ND$2:$ND$150=H$4)*(GMW!$NF$2:$NF$150=H$1),0),$C342-1966)</f>
        <v>352674</v>
      </c>
      <c r="I342" s="4" cm="1">
        <f t="array" ref="I342">INDEX(GMW!$A$2:$NF$150,MATCH(1,(GMW!$NE$2:$NE$150=I$3)*(GMW!$ND$2:$ND$150=I$4)*(GMW!$NF$2:$NF$150=I$1),0),$C342-1966)</f>
        <v>186812.7</v>
      </c>
      <c r="J342" s="4" cm="1">
        <f t="array" ref="J342">INDEX(GMW!$A$2:$NF$150,MATCH(1,(GMW!$NE$2:$NE$150=J$3)*(GMW!$ND$2:$ND$150=J$4)*(GMW!$NF$2:$NF$150=J$1),0),$C342-1966)</f>
        <v>207909.6</v>
      </c>
      <c r="K342" s="4" cm="1">
        <f t="array" ref="K342">INDEX(GMW!$A$2:$NF$150,MATCH(1,(GMW!$NE$2:$NE$150=K$3)*(GMW!$ND$2:$ND$150=K$4)*(GMW!$NF$2:$NF$150=K$1),0),$C342-1966)</f>
        <v>120623.5</v>
      </c>
      <c r="L342" s="4" cm="1">
        <f t="array" ref="L342">INDEX(GMW!$A$2:$NF$150,MATCH(1,(GMW!$NE$2:$NE$150=L$3)*(GMW!$ND$2:$ND$150=L$4)*(GMW!$NF$2:$NF$150=L$1),0),$C342-1966)</f>
        <v>1023948</v>
      </c>
      <c r="M342" s="4" cm="1">
        <f t="array" ref="M342">INDEX(GMW!$A$2:$NF$150,MATCH(1,(GMW!$NE$2:$NE$150=M$3)*(GMW!$ND$2:$ND$150=M$4)*(GMW!$NF$2:$NF$150=M$1),0),$C342-1966)</f>
        <v>39348.42</v>
      </c>
      <c r="N342" s="4" cm="1">
        <f t="array" ref="N342">INDEX(GMW!$A$2:$NF$150,MATCH(1,(GMW!$NE$2:$NE$150=N$3)*(GMW!$ND$2:$ND$150=N$4)*(GMW!$NF$2:$NF$150=N$1),0),$C342-1966)</f>
        <v>31.92867</v>
      </c>
      <c r="O342" s="4" cm="1">
        <f t="array" ref="O342">INDEX(GMW!$A$2:$NF$150,MATCH(1,(GMW!$NE$2:$NE$150=O$3)*(GMW!$ND$2:$ND$150=O$4)*(GMW!$NF$2:$NF$150=O$1),0),$C342-1966)</f>
        <v>716603</v>
      </c>
      <c r="P342" s="4" cm="1">
        <f t="array" ref="P342">INDEX(GMW!$A$2:$NF$150,MATCH(1,(GMW!$NE$2:$NE$150=P$3)*(GMW!$ND$2:$ND$150=P$4)*(GMW!$NF$2:$NF$150=P$1),0),$C342-1966)</f>
        <v>46368.11</v>
      </c>
      <c r="Q342" s="4" cm="1">
        <f t="array" ref="Q342">INDEX(GMW!$A$2:$NF$150,MATCH(1,(GMW!$NE$2:$NE$150=Q$3)*(GMW!$ND$2:$ND$150=Q$4)*(GMW!$NF$2:$NF$150=Q$1),0),$C342-1966)</f>
        <v>5868871</v>
      </c>
      <c r="R342" s="4" cm="1">
        <f t="array" ref="R342">INDEX(GMW!$A$2:$NF$150,MATCH(1,(GMW!$NE$2:$NE$150=R$3)*(GMW!$ND$2:$ND$150=R$4)*(GMW!$NF$2:$NF$150=R$1),0),$C342-1966)</f>
        <v>-1.5638080000000001</v>
      </c>
      <c r="S342" s="4" cm="1">
        <f t="array" ref="S342">INDEX(GMW!$A$2:$NF$150,MATCH(1,(GMW!$NE$2:$NE$150=S$3)*(GMW!$ND$2:$ND$150=S$4)*(GMW!$NF$2:$NF$150=S$1),0),$C342-1966)</f>
        <v>1032157</v>
      </c>
      <c r="T342" s="4" cm="1">
        <f t="array" ref="T342">INDEX(GMW!$A$2:$NF$150,MATCH(1,(GMW!$NE$2:$NE$150=T$3)*(GMW!$ND$2:$ND$150=T$4)*(GMW!$NF$2:$NF$150=T$1),0),$C342-1966)</f>
        <v>259.70569999999998</v>
      </c>
      <c r="U342" s="4" cm="1">
        <f t="array" ref="U342">INDEX(GMW!$A$2:$NF$150,MATCH(1,(GMW!$NE$2:$NE$150=U$3)*(GMW!$ND$2:$ND$150=U$4)*(GMW!$NF$2:$NF$150=U$1),0),$C342-1966)</f>
        <v>298075.59999999998</v>
      </c>
      <c r="V342" s="4" cm="1">
        <f t="array" ref="V342">INDEX(GMW!$A$2:$NF$150,MATCH(1,(GMW!$NE$2:$NE$150=V$3)*(GMW!$ND$2:$ND$150=V$4)*(GMW!$NF$2:$NF$150=V$1),0),$C342-1966)</f>
        <v>106251.8</v>
      </c>
      <c r="W342" s="4" cm="1">
        <f t="array" ref="W342">INDEX(GMW!$A$2:$NF$150,MATCH(1,(GMW!$NE$2:$NE$150=W$3)*(GMW!$ND$2:$ND$150=W$4)*(GMW!$NF$2:$NF$150=W$1),0),$C342-1966)</f>
        <v>341064.7</v>
      </c>
      <c r="X342" s="4" cm="1">
        <f t="array" ref="X342">INDEX(GMW!$A$2:$NF$150,MATCH(1,(GMW!$NE$2:$NE$150=X$3)*(GMW!$ND$2:$ND$150=X$4)*(GMW!$NF$2:$NF$150=X$1),0),$C342-1966)</f>
        <v>179541</v>
      </c>
      <c r="Y342" s="4" cm="1">
        <f t="array" ref="Y342">INDEX(GMW!$A$2:$NF$150,MATCH(1,(GMW!$NE$2:$NE$150=Y$3)*(GMW!$ND$2:$ND$150=Y$4)*(GMW!$NF$2:$NF$150=Y$1),0),$C342-1966)</f>
        <v>210969.5</v>
      </c>
      <c r="Z342" s="4" cm="1">
        <f t="array" ref="Z342">INDEX(GMW!$A$2:$NF$150,MATCH(1,(GMW!$NE$2:$NE$150=Z$3)*(GMW!$ND$2:$ND$150=Z$4)*(GMW!$NF$2:$NF$150=Z$1),0),$C342-1966)</f>
        <v>124240.7</v>
      </c>
      <c r="AA342" s="4" cm="1">
        <f t="array" ref="AA342">INDEX(GMW!$A$2:$NF$150,MATCH(1,(GMW!$NE$2:$NE$150=AA$3)*(GMW!$ND$2:$ND$150=AA$4)*(GMW!$NF$2:$NF$150=AA$1),0),$C342-1966)</f>
        <v>1032157</v>
      </c>
      <c r="AB342" s="4" cm="1">
        <f t="array" ref="AB342">INDEX(GMW!$A$2:$NF$150,MATCH(1,(GMW!$NE$2:$NE$150=AB$3)*(GMW!$ND$2:$ND$150=AB$4)*(GMW!$NF$2:$NF$150=AB$1),0),$C342-1966)</f>
        <v>39348.42</v>
      </c>
      <c r="AC342" s="4" cm="1">
        <f t="array" ref="AC342">INDEX(GMW!$A$2:$NF$150,MATCH(1,(GMW!$NE$2:$NE$150=AC$3)*(GMW!$ND$2:$ND$150=AC$4)*(GMW!$NF$2:$NF$150=AC$1),0),$C342-1966)</f>
        <v>31.92867</v>
      </c>
      <c r="AD342" s="4" cm="1">
        <f t="array" ref="AD342">INDEX(GMW!$A$2:$NF$150,MATCH(1,(GMW!$NE$2:$NE$150=AD$3)*(GMW!$ND$2:$ND$150=AD$4)*(GMW!$NF$2:$NF$150=AD$1),0),$C342-1966)</f>
        <v>716603</v>
      </c>
      <c r="AE342" s="4" cm="1">
        <f t="array" ref="AE342">INDEX(GMW!$A$2:$NF$150,MATCH(1,(GMW!$NE$2:$NE$150=AE$3)*(GMW!$ND$2:$ND$150=AE$4)*(GMW!$NF$2:$NF$150=AE$1),0),$C342-1966)</f>
        <v>46368.11</v>
      </c>
      <c r="AF342" s="4" cm="1">
        <f t="array" ref="AF342">INDEX(GMW!$A$2:$NF$150,MATCH(1,(GMW!$NE$2:$NE$150=AF$3)*(GMW!$ND$2:$ND$150=AF$4)*(GMW!$NF$2:$NF$150=AF$1),0),$C342-1966)</f>
        <v>5970179</v>
      </c>
      <c r="AG342" s="4" cm="1">
        <f t="array" ref="AG342">INDEX(GMW!$A$2:$NF$150,MATCH(1,(GMW!$NE$2:$NE$150=AG$3)*(GMW!$ND$2:$ND$150=AG$4)*(GMW!$NF$2:$NF$150=AG$1),0),$C342-1966)</f>
        <v>-1.5618430000000001</v>
      </c>
      <c r="AH342" s="4" cm="1">
        <f t="array" ref="AH342">INDEX(GMW!$A$2:$NF$150,MATCH(1,(GMW!$NE$2:$NE$150=AH$3)*(GMW!$ND$2:$ND$150=AH$4)*(GMW!$NF$2:$NF$150=AH$1),0),$C342-1966)</f>
        <v>1038987</v>
      </c>
      <c r="AI342" s="4" cm="1">
        <f t="array" ref="AI342">INDEX(GMW!$A$2:$NF$150,MATCH(1,(GMW!$NE$2:$NE$150=AI$3)*(GMW!$ND$2:$ND$150=AI$4)*(GMW!$NF$2:$NF$150=AI$1),0),$C342-1966)</f>
        <v>258.0582</v>
      </c>
      <c r="AJ342" s="4" cm="1">
        <f t="array" ref="AJ342">INDEX(GMW!$A$2:$NF$150,MATCH(1,(GMW!$NE$2:$NE$150=AJ$3)*(GMW!$ND$2:$ND$150=AJ$4)*(GMW!$NF$2:$NF$150=AJ$1),0),$C342-1966)</f>
        <v>305687.8</v>
      </c>
      <c r="AK342" s="4" cm="1">
        <f t="array" ref="AK342">INDEX(GMW!$A$2:$NF$150,MATCH(1,(GMW!$NE$2:$NE$150=AK$3)*(GMW!$ND$2:$ND$150=AK$4)*(GMW!$NF$2:$NF$150=AK$1),0),$C342-1966)</f>
        <v>110183.6</v>
      </c>
      <c r="AL342" s="4" cm="1">
        <f t="array" ref="AL342">INDEX(GMW!$A$2:$NF$150,MATCH(1,(GMW!$NE$2:$NE$150=AL$3)*(GMW!$ND$2:$ND$150=AL$4)*(GMW!$NF$2:$NF$150=AL$1),0),$C342-1966)</f>
        <v>347878.40000000002</v>
      </c>
      <c r="AM342" s="4" cm="1">
        <f t="array" ref="AM342">INDEX(GMW!$A$2:$NF$150,MATCH(1,(GMW!$NE$2:$NE$150=AM$3)*(GMW!$ND$2:$ND$150=AM$4)*(GMW!$NF$2:$NF$150=AM$1),0),$C342-1966)</f>
        <v>184808.7</v>
      </c>
      <c r="AN342" s="4" cm="1">
        <f t="array" ref="AN342">INDEX(GMW!$A$2:$NF$150,MATCH(1,(GMW!$NE$2:$NE$150=AN$3)*(GMW!$ND$2:$ND$150=AN$4)*(GMW!$NF$2:$NF$150=AN$1),0),$C342-1966)</f>
        <v>212317.6</v>
      </c>
      <c r="AO342" s="4" cm="1">
        <f t="array" ref="AO342">INDEX(GMW!$A$2:$NF$150,MATCH(1,(GMW!$NE$2:$NE$150=AO$3)*(GMW!$ND$2:$ND$150=AO$4)*(GMW!$NF$2:$NF$150=AO$1),0),$C342-1966)</f>
        <v>126652.2</v>
      </c>
      <c r="AP342" s="4" cm="1">
        <f t="array" ref="AP342">INDEX(GMW!$A$2:$NF$150,MATCH(1,(GMW!$NE$2:$NE$150=AP$3)*(GMW!$ND$2:$ND$150=AP$4)*(GMW!$NF$2:$NF$150=AP$1),0),$C342-1966)</f>
        <v>1038988</v>
      </c>
      <c r="AQ342" s="4" cm="1">
        <f t="array" ref="AQ342">INDEX(GMW!$A$2:$NF$150,MATCH(1,(GMW!$NE$2:$NE$150=AQ$3)*(GMW!$ND$2:$ND$150=AQ$4)*(GMW!$NF$2:$NF$150=AQ$1),0),$C342-1966)</f>
        <v>39578.58</v>
      </c>
      <c r="AR342" s="4" cm="1">
        <f t="array" ref="AR342">INDEX(GMW!$A$2:$NF$150,MATCH(1,(GMW!$NE$2:$NE$150=AR$3)*(GMW!$ND$2:$ND$150=AR$4)*(GMW!$NF$2:$NF$150=AR$1),0),$C342-1966)</f>
        <v>31.92867</v>
      </c>
      <c r="AS342" s="4" cm="1">
        <f t="array" ref="AS342">INDEX(GMW!$A$2:$NF$150,MATCH(1,(GMW!$NE$2:$NE$150=AS$3)*(GMW!$ND$2:$ND$150=AS$4)*(GMW!$NF$2:$NF$150=AS$1),0),$C342-1966)</f>
        <v>720801.2</v>
      </c>
      <c r="AT342" s="4" cm="1">
        <f t="array" ref="AT342">INDEX(GMW!$A$2:$NF$150,MATCH(1,(GMW!$NE$2:$NE$150=AT$3)*(GMW!$ND$2:$ND$150=AT$4)*(GMW!$NF$2:$NF$150=AT$1),0),$C342-1966)</f>
        <v>46629.56</v>
      </c>
      <c r="AU342" s="4" cm="1">
        <f t="array" ref="AU342">INDEX(GMW!$A$2:$NF$150,MATCH(1,(GMW!$NE$2:$NE$150=AU$3)*(GMW!$ND$2:$ND$150=AU$4)*(GMW!$NF$2:$NF$150=AU$1),0),$C342-1966)</f>
        <v>5991049</v>
      </c>
      <c r="AV342" s="4" cm="1">
        <f t="array" ref="AV342">INDEX(GMW!$A$2:$NF$150,MATCH(1,(GMW!$NE$2:$NE$150=AV$3)*(GMW!$ND$2:$ND$150=AV$4)*(GMW!$NF$2:$NF$150=AV$1),0),$C342-1966)</f>
        <v>-1.5602819999999999</v>
      </c>
    </row>
    <row r="343" spans="1:48" x14ac:dyDescent="0.25">
      <c r="A343" s="4">
        <v>2057</v>
      </c>
      <c r="B343" s="4">
        <f t="shared" si="14"/>
        <v>2057</v>
      </c>
      <c r="C343" s="4">
        <f t="shared" si="13"/>
        <v>2309</v>
      </c>
      <c r="D343" s="4" cm="1">
        <f t="array" ref="D343">INDEX(GMW!$A$2:$NF$150,MATCH(1,(GMW!$NE$2:$NE$150=D$3)*(GMW!$ND$2:$ND$150=D$4)*(GMW!$NF$2:$NF$150=D$1),0),$C343-1966)</f>
        <v>1027066</v>
      </c>
      <c r="E343" s="4" cm="1">
        <f t="array" ref="E343">INDEX(GMW!$A$2:$NF$150,MATCH(1,(GMW!$NE$2:$NE$150=E$3)*(GMW!$ND$2:$ND$150=E$4)*(GMW!$NF$2:$NF$150=E$1),0),$C343-1966)</f>
        <v>260.41890000000001</v>
      </c>
      <c r="F343" s="4" cm="1">
        <f t="array" ref="F343">INDEX(GMW!$A$2:$NF$150,MATCH(1,(GMW!$NE$2:$NE$150=F$3)*(GMW!$ND$2:$ND$150=F$4)*(GMW!$NF$2:$NF$150=F$1),0),$C343-1966)</f>
        <v>312994</v>
      </c>
      <c r="G343" s="4" cm="1">
        <f t="array" ref="G343">INDEX(GMW!$A$2:$NF$150,MATCH(1,(GMW!$NE$2:$NE$150=G$3)*(GMW!$ND$2:$ND$150=G$4)*(GMW!$NF$2:$NF$150=G$1),0),$C343-1966)</f>
        <v>101112.6</v>
      </c>
      <c r="H343" s="4" cm="1">
        <f t="array" ref="H343">INDEX(GMW!$A$2:$NF$150,MATCH(1,(GMW!$NE$2:$NE$150=H$3)*(GMW!$ND$2:$ND$150=H$4)*(GMW!$NF$2:$NF$150=H$1),0),$C343-1966)</f>
        <v>353804.5</v>
      </c>
      <c r="I343" s="4" cm="1">
        <f t="array" ref="I343">INDEX(GMW!$A$2:$NF$150,MATCH(1,(GMW!$NE$2:$NE$150=I$3)*(GMW!$ND$2:$ND$150=I$4)*(GMW!$NF$2:$NF$150=I$1),0),$C343-1966)</f>
        <v>187362.8</v>
      </c>
      <c r="J343" s="4" cm="1">
        <f t="array" ref="J343">INDEX(GMW!$A$2:$NF$150,MATCH(1,(GMW!$NE$2:$NE$150=J$3)*(GMW!$ND$2:$ND$150=J$4)*(GMW!$NF$2:$NF$150=J$1),0),$C343-1966)</f>
        <v>208746.4</v>
      </c>
      <c r="K343" s="4" cm="1">
        <f t="array" ref="K343">INDEX(GMW!$A$2:$NF$150,MATCH(1,(GMW!$NE$2:$NE$150=K$3)*(GMW!$ND$2:$ND$150=K$4)*(GMW!$NF$2:$NF$150=K$1),0),$C343-1966)</f>
        <v>121147.5</v>
      </c>
      <c r="L343" s="4" cm="1">
        <f t="array" ref="L343">INDEX(GMW!$A$2:$NF$150,MATCH(1,(GMW!$NE$2:$NE$150=L$3)*(GMW!$ND$2:$ND$150=L$4)*(GMW!$NF$2:$NF$150=L$1),0),$C343-1966)</f>
        <v>1027066</v>
      </c>
      <c r="M343" s="4" cm="1">
        <f t="array" ref="M343">INDEX(GMW!$A$2:$NF$150,MATCH(1,(GMW!$NE$2:$NE$150=M$3)*(GMW!$ND$2:$ND$150=M$4)*(GMW!$NF$2:$NF$150=M$1),0),$C343-1966)</f>
        <v>39350.410000000003</v>
      </c>
      <c r="N343" s="4" cm="1">
        <f t="array" ref="N343">INDEX(GMW!$A$2:$NF$150,MATCH(1,(GMW!$NE$2:$NE$150=N$3)*(GMW!$ND$2:$ND$150=N$4)*(GMW!$NF$2:$NF$150=N$1),0),$C343-1966)</f>
        <v>31.92792</v>
      </c>
      <c r="O343" s="4" cm="1">
        <f t="array" ref="O343">INDEX(GMW!$A$2:$NF$150,MATCH(1,(GMW!$NE$2:$NE$150=O$3)*(GMW!$ND$2:$ND$150=O$4)*(GMW!$NF$2:$NF$150=O$1),0),$C343-1966)</f>
        <v>716690.6</v>
      </c>
      <c r="P343" s="4" cm="1">
        <f t="array" ref="P343">INDEX(GMW!$A$2:$NF$150,MATCH(1,(GMW!$NE$2:$NE$150=P$3)*(GMW!$ND$2:$ND$150=P$4)*(GMW!$NF$2:$NF$150=P$1),0),$C343-1966)</f>
        <v>46349.36</v>
      </c>
      <c r="Q343" s="4" cm="1">
        <f t="array" ref="Q343">INDEX(GMW!$A$2:$NF$150,MATCH(1,(GMW!$NE$2:$NE$150=Q$3)*(GMW!$ND$2:$ND$150=Q$4)*(GMW!$NF$2:$NF$150=Q$1),0),$C343-1966)</f>
        <v>5895924</v>
      </c>
      <c r="R343" s="4" cm="1">
        <f t="array" ref="R343">INDEX(GMW!$A$2:$NF$150,MATCH(1,(GMW!$NE$2:$NE$150=R$3)*(GMW!$ND$2:$ND$150=R$4)*(GMW!$NF$2:$NF$150=R$1),0),$C343-1966)</f>
        <v>-1.562557</v>
      </c>
      <c r="S343" s="4" cm="1">
        <f t="array" ref="S343">INDEX(GMW!$A$2:$NF$150,MATCH(1,(GMW!$NE$2:$NE$150=S$3)*(GMW!$ND$2:$ND$150=S$4)*(GMW!$NF$2:$NF$150=S$1),0),$C343-1966)</f>
        <v>1035268</v>
      </c>
      <c r="T343" s="4" cm="1">
        <f t="array" ref="T343">INDEX(GMW!$A$2:$NF$150,MATCH(1,(GMW!$NE$2:$NE$150=T$3)*(GMW!$ND$2:$ND$150=T$4)*(GMW!$NF$2:$NF$150=T$1),0),$C343-1966)</f>
        <v>260.14389999999997</v>
      </c>
      <c r="U343" s="4" cm="1">
        <f t="array" ref="U343">INDEX(GMW!$A$2:$NF$150,MATCH(1,(GMW!$NE$2:$NE$150=U$3)*(GMW!$ND$2:$ND$150=U$4)*(GMW!$NF$2:$NF$150=U$1),0),$C343-1966)</f>
        <v>298903.8</v>
      </c>
      <c r="V343" s="4" cm="1">
        <f t="array" ref="V343">INDEX(GMW!$A$2:$NF$150,MATCH(1,(GMW!$NE$2:$NE$150=V$3)*(GMW!$ND$2:$ND$150=V$4)*(GMW!$NF$2:$NF$150=V$1),0),$C343-1966)</f>
        <v>106487</v>
      </c>
      <c r="W343" s="4" cm="1">
        <f t="array" ref="W343">INDEX(GMW!$A$2:$NF$150,MATCH(1,(GMW!$NE$2:$NE$150=W$3)*(GMW!$ND$2:$ND$150=W$4)*(GMW!$NF$2:$NF$150=W$1),0),$C343-1966)</f>
        <v>342141.5</v>
      </c>
      <c r="X343" s="4" cm="1">
        <f t="array" ref="X343">INDEX(GMW!$A$2:$NF$150,MATCH(1,(GMW!$NE$2:$NE$150=X$3)*(GMW!$ND$2:$ND$150=X$4)*(GMW!$NF$2:$NF$150=X$1),0),$C343-1966)</f>
        <v>180064.1</v>
      </c>
      <c r="Y343" s="4" cm="1">
        <f t="array" ref="Y343">INDEX(GMW!$A$2:$NF$150,MATCH(1,(GMW!$NE$2:$NE$150=Y$3)*(GMW!$ND$2:$ND$150=Y$4)*(GMW!$NF$2:$NF$150=Y$1),0),$C343-1966)</f>
        <v>211806.6</v>
      </c>
      <c r="Z343" s="4" cm="1">
        <f t="array" ref="Z343">INDEX(GMW!$A$2:$NF$150,MATCH(1,(GMW!$NE$2:$NE$150=Z$3)*(GMW!$ND$2:$ND$150=Z$4)*(GMW!$NF$2:$NF$150=Z$1),0),$C343-1966)</f>
        <v>124770.4</v>
      </c>
      <c r="AA343" s="4" cm="1">
        <f t="array" ref="AA343">INDEX(GMW!$A$2:$NF$150,MATCH(1,(GMW!$NE$2:$NE$150=AA$3)*(GMW!$ND$2:$ND$150=AA$4)*(GMW!$NF$2:$NF$150=AA$1),0),$C343-1966)</f>
        <v>1035268</v>
      </c>
      <c r="AB343" s="4" cm="1">
        <f t="array" ref="AB343">INDEX(GMW!$A$2:$NF$150,MATCH(1,(GMW!$NE$2:$NE$150=AB$3)*(GMW!$ND$2:$ND$150=AB$4)*(GMW!$NF$2:$NF$150=AB$1),0),$C343-1966)</f>
        <v>39350.410000000003</v>
      </c>
      <c r="AC343" s="4" cm="1">
        <f t="array" ref="AC343">INDEX(GMW!$A$2:$NF$150,MATCH(1,(GMW!$NE$2:$NE$150=AC$3)*(GMW!$ND$2:$ND$150=AC$4)*(GMW!$NF$2:$NF$150=AC$1),0),$C343-1966)</f>
        <v>31.92792</v>
      </c>
      <c r="AD343" s="4" cm="1">
        <f t="array" ref="AD343">INDEX(GMW!$A$2:$NF$150,MATCH(1,(GMW!$NE$2:$NE$150=AD$3)*(GMW!$ND$2:$ND$150=AD$4)*(GMW!$NF$2:$NF$150=AD$1),0),$C343-1966)</f>
        <v>716690.6</v>
      </c>
      <c r="AE343" s="4" cm="1">
        <f t="array" ref="AE343">INDEX(GMW!$A$2:$NF$150,MATCH(1,(GMW!$NE$2:$NE$150=AE$3)*(GMW!$ND$2:$ND$150=AE$4)*(GMW!$NF$2:$NF$150=AE$1),0),$C343-1966)</f>
        <v>46349.36</v>
      </c>
      <c r="AF343" s="4" cm="1">
        <f t="array" ref="AF343">INDEX(GMW!$A$2:$NF$150,MATCH(1,(GMW!$NE$2:$NE$150=AF$3)*(GMW!$ND$2:$ND$150=AF$4)*(GMW!$NF$2:$NF$150=AF$1),0),$C343-1966)</f>
        <v>5997188</v>
      </c>
      <c r="AG343" s="4" cm="1">
        <f t="array" ref="AG343">INDEX(GMW!$A$2:$NF$150,MATCH(1,(GMW!$NE$2:$NE$150=AG$3)*(GMW!$ND$2:$ND$150=AG$4)*(GMW!$NF$2:$NF$150=AG$1),0),$C343-1966)</f>
        <v>-1.560594</v>
      </c>
      <c r="AH343" s="4" cm="1">
        <f t="array" ref="AH343">INDEX(GMW!$A$2:$NF$150,MATCH(1,(GMW!$NE$2:$NE$150=AH$3)*(GMW!$ND$2:$ND$150=AH$4)*(GMW!$NF$2:$NF$150=AH$1),0),$C343-1966)</f>
        <v>1042296</v>
      </c>
      <c r="AI343" s="4" cm="1">
        <f t="array" ref="AI343">INDEX(GMW!$A$2:$NF$150,MATCH(1,(GMW!$NE$2:$NE$150=AI$3)*(GMW!$ND$2:$ND$150=AI$4)*(GMW!$NF$2:$NF$150=AI$1),0),$C343-1966)</f>
        <v>258.54820000000001</v>
      </c>
      <c r="AJ343" s="4" cm="1">
        <f t="array" ref="AJ343">INDEX(GMW!$A$2:$NF$150,MATCH(1,(GMW!$NE$2:$NE$150=AJ$3)*(GMW!$ND$2:$ND$150=AJ$4)*(GMW!$NF$2:$NF$150=AJ$1),0),$C343-1966)</f>
        <v>306580.59999999998</v>
      </c>
      <c r="AK343" s="4" cm="1">
        <f t="array" ref="AK343">INDEX(GMW!$A$2:$NF$150,MATCH(1,(GMW!$NE$2:$NE$150=AK$3)*(GMW!$ND$2:$ND$150=AK$4)*(GMW!$NF$2:$NF$150=AK$1),0),$C343-1966)</f>
        <v>110446.3</v>
      </c>
      <c r="AL343" s="4" cm="1">
        <f t="array" ref="AL343">INDEX(GMW!$A$2:$NF$150,MATCH(1,(GMW!$NE$2:$NE$150=AL$3)*(GMW!$ND$2:$ND$150=AL$4)*(GMW!$NF$2:$NF$150=AL$1),0),$C343-1966)</f>
        <v>349025.2</v>
      </c>
      <c r="AM343" s="4" cm="1">
        <f t="array" ref="AM343">INDEX(GMW!$A$2:$NF$150,MATCH(1,(GMW!$NE$2:$NE$150=AM$3)*(GMW!$ND$2:$ND$150=AM$4)*(GMW!$NF$2:$NF$150=AM$1),0),$C343-1966)</f>
        <v>185378.7</v>
      </c>
      <c r="AN343" s="4" cm="1">
        <f t="array" ref="AN343">INDEX(GMW!$A$2:$NF$150,MATCH(1,(GMW!$NE$2:$NE$150=AN$3)*(GMW!$ND$2:$ND$150=AN$4)*(GMW!$NF$2:$NF$150=AN$1),0),$C343-1966)</f>
        <v>213197.2</v>
      </c>
      <c r="AO343" s="4" cm="1">
        <f t="array" ref="AO343">INDEX(GMW!$A$2:$NF$150,MATCH(1,(GMW!$NE$2:$NE$150=AO$3)*(GMW!$ND$2:$ND$150=AO$4)*(GMW!$NF$2:$NF$150=AO$1),0),$C343-1966)</f>
        <v>127213.9</v>
      </c>
      <c r="AP343" s="4" cm="1">
        <f t="array" ref="AP343">INDEX(GMW!$A$2:$NF$150,MATCH(1,(GMW!$NE$2:$NE$150=AP$3)*(GMW!$ND$2:$ND$150=AP$4)*(GMW!$NF$2:$NF$150=AP$1),0),$C343-1966)</f>
        <v>1042295</v>
      </c>
      <c r="AQ343" s="4" cm="1">
        <f t="array" ref="AQ343">INDEX(GMW!$A$2:$NF$150,MATCH(1,(GMW!$NE$2:$NE$150=AQ$3)*(GMW!$ND$2:$ND$150=AQ$4)*(GMW!$NF$2:$NF$150=AQ$1),0),$C343-1966)</f>
        <v>39588.660000000003</v>
      </c>
      <c r="AR343" s="4" cm="1">
        <f t="array" ref="AR343">INDEX(GMW!$A$2:$NF$150,MATCH(1,(GMW!$NE$2:$NE$150=AR$3)*(GMW!$ND$2:$ND$150=AR$4)*(GMW!$NF$2:$NF$150=AR$1),0),$C343-1966)</f>
        <v>31.92792</v>
      </c>
      <c r="AS343" s="4" cm="1">
        <f t="array" ref="AS343">INDEX(GMW!$A$2:$NF$150,MATCH(1,(GMW!$NE$2:$NE$150=AS$3)*(GMW!$ND$2:$ND$150=AS$4)*(GMW!$NF$2:$NF$150=AS$1),0),$C343-1966)</f>
        <v>721021.1</v>
      </c>
      <c r="AT343" s="4" cm="1">
        <f t="array" ref="AT343">INDEX(GMW!$A$2:$NF$150,MATCH(1,(GMW!$NE$2:$NE$150=AT$3)*(GMW!$ND$2:$ND$150=AT$4)*(GMW!$NF$2:$NF$150=AT$1),0),$C343-1966)</f>
        <v>46619.92</v>
      </c>
      <c r="AU343" s="4" cm="1">
        <f t="array" ref="AU343">INDEX(GMW!$A$2:$NF$150,MATCH(1,(GMW!$NE$2:$NE$150=AU$3)*(GMW!$ND$2:$ND$150=AU$4)*(GMW!$NF$2:$NF$150=AU$1),0),$C343-1966)</f>
        <v>6018904</v>
      </c>
      <c r="AV343" s="4" cm="1">
        <f t="array" ref="AV343">INDEX(GMW!$A$2:$NF$150,MATCH(1,(GMW!$NE$2:$NE$150=AV$3)*(GMW!$ND$2:$ND$150=AV$4)*(GMW!$NF$2:$NF$150=AV$1),0),$C343-1966)</f>
        <v>-1.559034</v>
      </c>
    </row>
    <row r="344" spans="1:48" x14ac:dyDescent="0.25">
      <c r="B344" s="4">
        <f t="shared" si="14"/>
        <v>2057</v>
      </c>
      <c r="C344" s="4">
        <f t="shared" si="13"/>
        <v>2310</v>
      </c>
      <c r="D344" s="4" cm="1">
        <f t="array" ref="D344">INDEX(GMW!$A$2:$NF$150,MATCH(1,(GMW!$NE$2:$NE$150=D$3)*(GMW!$ND$2:$ND$150=D$4)*(GMW!$NF$2:$NF$150=D$1),0),$C344-1966)</f>
        <v>1030188</v>
      </c>
      <c r="E344" s="4" cm="1">
        <f t="array" ref="E344">INDEX(GMW!$A$2:$NF$150,MATCH(1,(GMW!$NE$2:$NE$150=E$3)*(GMW!$ND$2:$ND$150=E$4)*(GMW!$NF$2:$NF$150=E$1),0),$C344-1966)</f>
        <v>262.72750000000002</v>
      </c>
      <c r="F344" s="4" cm="1">
        <f t="array" ref="F344">INDEX(GMW!$A$2:$NF$150,MATCH(1,(GMW!$NE$2:$NE$150=F$3)*(GMW!$ND$2:$ND$150=F$4)*(GMW!$NF$2:$NF$150=F$1),0),$C344-1966)</f>
        <v>313887.2</v>
      </c>
      <c r="G344" s="4" cm="1">
        <f t="array" ref="G344">INDEX(GMW!$A$2:$NF$150,MATCH(1,(GMW!$NE$2:$NE$150=G$3)*(GMW!$ND$2:$ND$150=G$4)*(GMW!$NF$2:$NF$150=G$1),0),$C344-1966)</f>
        <v>101339</v>
      </c>
      <c r="H344" s="4" cm="1">
        <f t="array" ref="H344">INDEX(GMW!$A$2:$NF$150,MATCH(1,(GMW!$NE$2:$NE$150=H$3)*(GMW!$ND$2:$ND$150=H$4)*(GMW!$NF$2:$NF$150=H$1),0),$C344-1966)</f>
        <v>354937.2</v>
      </c>
      <c r="I344" s="4" cm="1">
        <f t="array" ref="I344">INDEX(GMW!$A$2:$NF$150,MATCH(1,(GMW!$NE$2:$NE$150=I$3)*(GMW!$ND$2:$ND$150=I$4)*(GMW!$NF$2:$NF$150=I$1),0),$C344-1966)</f>
        <v>187913.5</v>
      </c>
      <c r="J344" s="4" cm="1">
        <f t="array" ref="J344">INDEX(GMW!$A$2:$NF$150,MATCH(1,(GMW!$NE$2:$NE$150=J$3)*(GMW!$ND$2:$ND$150=J$4)*(GMW!$NF$2:$NF$150=J$1),0),$C344-1966)</f>
        <v>209585.5</v>
      </c>
      <c r="K344" s="4" cm="1">
        <f t="array" ref="K344">INDEX(GMW!$A$2:$NF$150,MATCH(1,(GMW!$NE$2:$NE$150=K$3)*(GMW!$ND$2:$ND$150=K$4)*(GMW!$NF$2:$NF$150=K$1),0),$C344-1966)</f>
        <v>121673.2</v>
      </c>
      <c r="L344" s="4" cm="1">
        <f t="array" ref="L344">INDEX(GMW!$A$2:$NF$150,MATCH(1,(GMW!$NE$2:$NE$150=L$3)*(GMW!$ND$2:$ND$150=L$4)*(GMW!$NF$2:$NF$150=L$1),0),$C344-1966)</f>
        <v>1030187</v>
      </c>
      <c r="M344" s="4" cm="1">
        <f t="array" ref="M344">INDEX(GMW!$A$2:$NF$150,MATCH(1,(GMW!$NE$2:$NE$150=M$3)*(GMW!$ND$2:$ND$150=M$4)*(GMW!$NF$2:$NF$150=M$1),0),$C344-1966)</f>
        <v>39352.39</v>
      </c>
      <c r="N344" s="4" cm="1">
        <f t="array" ref="N344">INDEX(GMW!$A$2:$NF$150,MATCH(1,(GMW!$NE$2:$NE$150=N$3)*(GMW!$ND$2:$ND$150=N$4)*(GMW!$NF$2:$NF$150=N$1),0),$C344-1966)</f>
        <v>31.92717</v>
      </c>
      <c r="O344" s="4" cm="1">
        <f t="array" ref="O344">INDEX(GMW!$A$2:$NF$150,MATCH(1,(GMW!$NE$2:$NE$150=O$3)*(GMW!$ND$2:$ND$150=O$4)*(GMW!$NF$2:$NF$150=O$1),0),$C344-1966)</f>
        <v>716776.8</v>
      </c>
      <c r="P344" s="4" cm="1">
        <f t="array" ref="P344">INDEX(GMW!$A$2:$NF$150,MATCH(1,(GMW!$NE$2:$NE$150=P$3)*(GMW!$ND$2:$ND$150=P$4)*(GMW!$NF$2:$NF$150=P$1),0),$C344-1966)</f>
        <v>46330.62</v>
      </c>
      <c r="Q344" s="4" cm="1">
        <f t="array" ref="Q344">INDEX(GMW!$A$2:$NF$150,MATCH(1,(GMW!$NE$2:$NE$150=Q$3)*(GMW!$ND$2:$ND$150=Q$4)*(GMW!$NF$2:$NF$150=Q$1),0),$C344-1966)</f>
        <v>5923038</v>
      </c>
      <c r="R344" s="4" cm="1">
        <f t="array" ref="R344">INDEX(GMW!$A$2:$NF$150,MATCH(1,(GMW!$NE$2:$NE$150=R$3)*(GMW!$ND$2:$ND$150=R$4)*(GMW!$NF$2:$NF$150=R$1),0),$C344-1966)</f>
        <v>-1.561307</v>
      </c>
      <c r="S344" s="4" cm="1">
        <f t="array" ref="S344">INDEX(GMW!$A$2:$NF$150,MATCH(1,(GMW!$NE$2:$NE$150=S$3)*(GMW!$ND$2:$ND$150=S$4)*(GMW!$NF$2:$NF$150=S$1),0),$C344-1966)</f>
        <v>1038381</v>
      </c>
      <c r="T344" s="4" cm="1">
        <f t="array" ref="T344">INDEX(GMW!$A$2:$NF$150,MATCH(1,(GMW!$NE$2:$NE$150=T$3)*(GMW!$ND$2:$ND$150=T$4)*(GMW!$NF$2:$NF$150=T$1),0),$C344-1966)</f>
        <v>262.50409999999999</v>
      </c>
      <c r="U344" s="4" cm="1">
        <f t="array" ref="U344">INDEX(GMW!$A$2:$NF$150,MATCH(1,(GMW!$NE$2:$NE$150=U$3)*(GMW!$ND$2:$ND$150=U$4)*(GMW!$NF$2:$NF$150=U$1),0),$C344-1966)</f>
        <v>299732.90000000002</v>
      </c>
      <c r="V344" s="4" cm="1">
        <f t="array" ref="V344">INDEX(GMW!$A$2:$NF$150,MATCH(1,(GMW!$NE$2:$NE$150=V$3)*(GMW!$ND$2:$ND$150=V$4)*(GMW!$NF$2:$NF$150=V$1),0),$C344-1966)</f>
        <v>106722.1</v>
      </c>
      <c r="W344" s="4" cm="1">
        <f t="array" ref="W344">INDEX(GMW!$A$2:$NF$150,MATCH(1,(GMW!$NE$2:$NE$150=W$3)*(GMW!$ND$2:$ND$150=W$4)*(GMW!$NF$2:$NF$150=W$1),0),$C344-1966)</f>
        <v>343220.1</v>
      </c>
      <c r="X344" s="4" cm="1">
        <f t="array" ref="X344">INDEX(GMW!$A$2:$NF$150,MATCH(1,(GMW!$NE$2:$NE$150=X$3)*(GMW!$ND$2:$ND$150=X$4)*(GMW!$NF$2:$NF$150=X$1),0),$C344-1966)</f>
        <v>180587.7</v>
      </c>
      <c r="Y344" s="4" cm="1">
        <f t="array" ref="Y344">INDEX(GMW!$A$2:$NF$150,MATCH(1,(GMW!$NE$2:$NE$150=Y$3)*(GMW!$ND$2:$ND$150=Y$4)*(GMW!$NF$2:$NF$150=Y$1),0),$C344-1966)</f>
        <v>212646</v>
      </c>
      <c r="Z344" s="4" cm="1">
        <f t="array" ref="Z344">INDEX(GMW!$A$2:$NF$150,MATCH(1,(GMW!$NE$2:$NE$150=Z$3)*(GMW!$ND$2:$ND$150=Z$4)*(GMW!$NF$2:$NF$150=Z$1),0),$C344-1966)</f>
        <v>125301.7</v>
      </c>
      <c r="AA344" s="4" cm="1">
        <f t="array" ref="AA344">INDEX(GMW!$A$2:$NF$150,MATCH(1,(GMW!$NE$2:$NE$150=AA$3)*(GMW!$ND$2:$ND$150=AA$4)*(GMW!$NF$2:$NF$150=AA$1),0),$C344-1966)</f>
        <v>1038381</v>
      </c>
      <c r="AB344" s="4" cm="1">
        <f t="array" ref="AB344">INDEX(GMW!$A$2:$NF$150,MATCH(1,(GMW!$NE$2:$NE$150=AB$3)*(GMW!$ND$2:$ND$150=AB$4)*(GMW!$NF$2:$NF$150=AB$1),0),$C344-1966)</f>
        <v>39352.39</v>
      </c>
      <c r="AC344" s="4" cm="1">
        <f t="array" ref="AC344">INDEX(GMW!$A$2:$NF$150,MATCH(1,(GMW!$NE$2:$NE$150=AC$3)*(GMW!$ND$2:$ND$150=AC$4)*(GMW!$NF$2:$NF$150=AC$1),0),$C344-1966)</f>
        <v>31.92717</v>
      </c>
      <c r="AD344" s="4" cm="1">
        <f t="array" ref="AD344">INDEX(GMW!$A$2:$NF$150,MATCH(1,(GMW!$NE$2:$NE$150=AD$3)*(GMW!$ND$2:$ND$150=AD$4)*(GMW!$NF$2:$NF$150=AD$1),0),$C344-1966)</f>
        <v>716776.8</v>
      </c>
      <c r="AE344" s="4" cm="1">
        <f t="array" ref="AE344">INDEX(GMW!$A$2:$NF$150,MATCH(1,(GMW!$NE$2:$NE$150=AE$3)*(GMW!$ND$2:$ND$150=AE$4)*(GMW!$NF$2:$NF$150=AE$1),0),$C344-1966)</f>
        <v>46330.62</v>
      </c>
      <c r="AF344" s="4" cm="1">
        <f t="array" ref="AF344">INDEX(GMW!$A$2:$NF$150,MATCH(1,(GMW!$NE$2:$NE$150=AF$3)*(GMW!$ND$2:$ND$150=AF$4)*(GMW!$NF$2:$NF$150=AF$1),0),$C344-1966)</f>
        <v>6024248</v>
      </c>
      <c r="AG344" s="4" cm="1">
        <f t="array" ref="AG344">INDEX(GMW!$A$2:$NF$150,MATCH(1,(GMW!$NE$2:$NE$150=AG$3)*(GMW!$ND$2:$ND$150=AG$4)*(GMW!$NF$2:$NF$150=AG$1),0),$C344-1966)</f>
        <v>-1.559345</v>
      </c>
      <c r="AH344" s="4" cm="1">
        <f t="array" ref="AH344">INDEX(GMW!$A$2:$NF$150,MATCH(1,(GMW!$NE$2:$NE$150=AH$3)*(GMW!$ND$2:$ND$150=AH$4)*(GMW!$NF$2:$NF$150=AH$1),0),$C344-1966)</f>
        <v>1045609</v>
      </c>
      <c r="AI344" s="4" cm="1">
        <f t="array" ref="AI344">INDEX(GMW!$A$2:$NF$150,MATCH(1,(GMW!$NE$2:$NE$150=AI$3)*(GMW!$ND$2:$ND$150=AI$4)*(GMW!$NF$2:$NF$150=AI$1),0),$C344-1966)</f>
        <v>260.7724</v>
      </c>
      <c r="AJ344" s="4" cm="1">
        <f t="array" ref="AJ344">INDEX(GMW!$A$2:$NF$150,MATCH(1,(GMW!$NE$2:$NE$150=AJ$3)*(GMW!$ND$2:$ND$150=AJ$4)*(GMW!$NF$2:$NF$150=AJ$1),0),$C344-1966)</f>
        <v>307474.59999999998</v>
      </c>
      <c r="AK344" s="4" cm="1">
        <f t="array" ref="AK344">INDEX(GMW!$A$2:$NF$150,MATCH(1,(GMW!$NE$2:$NE$150=AK$3)*(GMW!$ND$2:$ND$150=AK$4)*(GMW!$NF$2:$NF$150=AK$1),0),$C344-1966)</f>
        <v>110709</v>
      </c>
      <c r="AL344" s="4" cm="1">
        <f t="array" ref="AL344">INDEX(GMW!$A$2:$NF$150,MATCH(1,(GMW!$NE$2:$NE$150=AL$3)*(GMW!$ND$2:$ND$150=AL$4)*(GMW!$NF$2:$NF$150=AL$1),0),$C344-1966)</f>
        <v>350174.3</v>
      </c>
      <c r="AM344" s="4" cm="1">
        <f t="array" ref="AM344">INDEX(GMW!$A$2:$NF$150,MATCH(1,(GMW!$NE$2:$NE$150=AM$3)*(GMW!$ND$2:$ND$150=AM$4)*(GMW!$NF$2:$NF$150=AM$1),0),$C344-1966)</f>
        <v>185949.5</v>
      </c>
      <c r="AN344" s="4" cm="1">
        <f t="array" ref="AN344">INDEX(GMW!$A$2:$NF$150,MATCH(1,(GMW!$NE$2:$NE$150=AN$3)*(GMW!$ND$2:$ND$150=AN$4)*(GMW!$NF$2:$NF$150=AN$1),0),$C344-1966)</f>
        <v>214079.1</v>
      </c>
      <c r="AO344" s="4" cm="1">
        <f t="array" ref="AO344">INDEX(GMW!$A$2:$NF$150,MATCH(1,(GMW!$NE$2:$NE$150=AO$3)*(GMW!$ND$2:$ND$150=AO$4)*(GMW!$NF$2:$NF$150=AO$1),0),$C344-1966)</f>
        <v>127777.3</v>
      </c>
      <c r="AP344" s="4" cm="1">
        <f t="array" ref="AP344">INDEX(GMW!$A$2:$NF$150,MATCH(1,(GMW!$NE$2:$NE$150=AP$3)*(GMW!$ND$2:$ND$150=AP$4)*(GMW!$NF$2:$NF$150=AP$1),0),$C344-1966)</f>
        <v>1045608</v>
      </c>
      <c r="AQ344" s="4" cm="1">
        <f t="array" ref="AQ344">INDEX(GMW!$A$2:$NF$150,MATCH(1,(GMW!$NE$2:$NE$150=AQ$3)*(GMW!$ND$2:$ND$150=AQ$4)*(GMW!$NF$2:$NF$150=AQ$1),0),$C344-1966)</f>
        <v>39598.75</v>
      </c>
      <c r="AR344" s="4" cm="1">
        <f t="array" ref="AR344">INDEX(GMW!$A$2:$NF$150,MATCH(1,(GMW!$NE$2:$NE$150=AR$3)*(GMW!$ND$2:$ND$150=AR$4)*(GMW!$NF$2:$NF$150=AR$1),0),$C344-1966)</f>
        <v>31.92717</v>
      </c>
      <c r="AS344" s="4" cm="1">
        <f t="array" ref="AS344">INDEX(GMW!$A$2:$NF$150,MATCH(1,(GMW!$NE$2:$NE$150=AS$3)*(GMW!$ND$2:$ND$150=AS$4)*(GMW!$NF$2:$NF$150=AS$1),0),$C344-1966)</f>
        <v>721238.8</v>
      </c>
      <c r="AT344" s="4" cm="1">
        <f t="array" ref="AT344">INDEX(GMW!$A$2:$NF$150,MATCH(1,(GMW!$NE$2:$NE$150=AT$3)*(GMW!$ND$2:$ND$150=AT$4)*(GMW!$NF$2:$NF$150=AT$1),0),$C344-1966)</f>
        <v>46610.28</v>
      </c>
      <c r="AU344" s="4" cm="1">
        <f t="array" ref="AU344">INDEX(GMW!$A$2:$NF$150,MATCH(1,(GMW!$NE$2:$NE$150=AU$3)*(GMW!$ND$2:$ND$150=AU$4)*(GMW!$NF$2:$NF$150=AU$1),0),$C344-1966)</f>
        <v>6046824</v>
      </c>
      <c r="AV344" s="4" cm="1">
        <f t="array" ref="AV344">INDEX(GMW!$A$2:$NF$150,MATCH(1,(GMW!$NE$2:$NE$150=AV$3)*(GMW!$ND$2:$ND$150=AV$4)*(GMW!$NF$2:$NF$150=AV$1),0),$C344-1966)</f>
        <v>-1.557787</v>
      </c>
    </row>
    <row r="345" spans="1:48" x14ac:dyDescent="0.25">
      <c r="B345" s="4">
        <f t="shared" si="14"/>
        <v>2057</v>
      </c>
      <c r="C345" s="4">
        <f t="shared" si="13"/>
        <v>2311</v>
      </c>
      <c r="D345" s="4" cm="1">
        <f t="array" ref="D345">INDEX(GMW!$A$2:$NF$150,MATCH(1,(GMW!$NE$2:$NE$150=D$3)*(GMW!$ND$2:$ND$150=D$4)*(GMW!$NF$2:$NF$150=D$1),0),$C345-1966)</f>
        <v>1033337</v>
      </c>
      <c r="E345" s="4" cm="1">
        <f t="array" ref="E345">INDEX(GMW!$A$2:$NF$150,MATCH(1,(GMW!$NE$2:$NE$150=E$3)*(GMW!$ND$2:$ND$150=E$4)*(GMW!$NF$2:$NF$150=E$1),0),$C345-1966)</f>
        <v>263.92270000000002</v>
      </c>
      <c r="F345" s="4" cm="1">
        <f t="array" ref="F345">INDEX(GMW!$A$2:$NF$150,MATCH(1,(GMW!$NE$2:$NE$150=F$3)*(GMW!$ND$2:$ND$150=F$4)*(GMW!$NF$2:$NF$150=F$1),0),$C345-1966)</f>
        <v>314788.7</v>
      </c>
      <c r="G345" s="4" cm="1">
        <f t="array" ref="G345">INDEX(GMW!$A$2:$NF$150,MATCH(1,(GMW!$NE$2:$NE$150=G$3)*(GMW!$ND$2:$ND$150=G$4)*(GMW!$NF$2:$NF$150=G$1),0),$C345-1966)</f>
        <v>101567.7</v>
      </c>
      <c r="H345" s="4" cm="1">
        <f t="array" ref="H345">INDEX(GMW!$A$2:$NF$150,MATCH(1,(GMW!$NE$2:$NE$150=H$3)*(GMW!$ND$2:$ND$150=H$4)*(GMW!$NF$2:$NF$150=H$1),0),$C345-1966)</f>
        <v>356079.4</v>
      </c>
      <c r="I345" s="4" cm="1">
        <f t="array" ref="I345">INDEX(GMW!$A$2:$NF$150,MATCH(1,(GMW!$NE$2:$NE$150=I$3)*(GMW!$ND$2:$ND$150=I$4)*(GMW!$NF$2:$NF$150=I$1),0),$C345-1966)</f>
        <v>188469.1</v>
      </c>
      <c r="J345" s="4" cm="1">
        <f t="array" ref="J345">INDEX(GMW!$A$2:$NF$150,MATCH(1,(GMW!$NE$2:$NE$150=J$3)*(GMW!$ND$2:$ND$150=J$4)*(GMW!$NF$2:$NF$150=J$1),0),$C345-1966)</f>
        <v>210431.8</v>
      </c>
      <c r="K345" s="4" cm="1">
        <f t="array" ref="K345">INDEX(GMW!$A$2:$NF$150,MATCH(1,(GMW!$NE$2:$NE$150=K$3)*(GMW!$ND$2:$ND$150=K$4)*(GMW!$NF$2:$NF$150=K$1),0),$C345-1966)</f>
        <v>122203.3</v>
      </c>
      <c r="L345" s="4" cm="1">
        <f t="array" ref="L345">INDEX(GMW!$A$2:$NF$150,MATCH(1,(GMW!$NE$2:$NE$150=L$3)*(GMW!$ND$2:$ND$150=L$4)*(GMW!$NF$2:$NF$150=L$1),0),$C345-1966)</f>
        <v>1033337</v>
      </c>
      <c r="M345" s="4" cm="1">
        <f t="array" ref="M345">INDEX(GMW!$A$2:$NF$150,MATCH(1,(GMW!$NE$2:$NE$150=M$3)*(GMW!$ND$2:$ND$150=M$4)*(GMW!$NF$2:$NF$150=M$1),0),$C345-1966)</f>
        <v>39355.769999999997</v>
      </c>
      <c r="N345" s="4" cm="1">
        <f t="array" ref="N345">INDEX(GMW!$A$2:$NF$150,MATCH(1,(GMW!$NE$2:$NE$150=N$3)*(GMW!$ND$2:$ND$150=N$4)*(GMW!$NF$2:$NF$150=N$1),0),$C345-1966)</f>
        <v>31.92642</v>
      </c>
      <c r="O345" s="4" cm="1">
        <f t="array" ref="O345">INDEX(GMW!$A$2:$NF$150,MATCH(1,(GMW!$NE$2:$NE$150=O$3)*(GMW!$ND$2:$ND$150=O$4)*(GMW!$NF$2:$NF$150=O$1),0),$C345-1966)</f>
        <v>716916.4</v>
      </c>
      <c r="P345" s="4" cm="1">
        <f t="array" ref="P345">INDEX(GMW!$A$2:$NF$150,MATCH(1,(GMW!$NE$2:$NE$150=P$3)*(GMW!$ND$2:$ND$150=P$4)*(GMW!$NF$2:$NF$150=P$1),0),$C345-1966)</f>
        <v>46315.43</v>
      </c>
      <c r="Q345" s="4" cm="1">
        <f t="array" ref="Q345">INDEX(GMW!$A$2:$NF$150,MATCH(1,(GMW!$NE$2:$NE$150=Q$3)*(GMW!$ND$2:$ND$150=Q$4)*(GMW!$NF$2:$NF$150=Q$1),0),$C345-1966)</f>
        <v>5950217</v>
      </c>
      <c r="R345" s="4" cm="1">
        <f t="array" ref="R345">INDEX(GMW!$A$2:$NF$150,MATCH(1,(GMW!$NE$2:$NE$150=R$3)*(GMW!$ND$2:$ND$150=R$4)*(GMW!$NF$2:$NF$150=R$1),0),$C345-1966)</f>
        <v>-1.5600579999999999</v>
      </c>
      <c r="S345" s="4" cm="1">
        <f t="array" ref="S345">INDEX(GMW!$A$2:$NF$150,MATCH(1,(GMW!$NE$2:$NE$150=S$3)*(GMW!$ND$2:$ND$150=S$4)*(GMW!$NF$2:$NF$150=S$1),0),$C345-1966)</f>
        <v>1041522</v>
      </c>
      <c r="T345" s="4" cm="1">
        <f t="array" ref="T345">INDEX(GMW!$A$2:$NF$150,MATCH(1,(GMW!$NE$2:$NE$150=T$3)*(GMW!$ND$2:$ND$150=T$4)*(GMW!$NF$2:$NF$150=T$1),0),$C345-1966)</f>
        <v>263.77030000000002</v>
      </c>
      <c r="U345" s="4" cm="1">
        <f t="array" ref="U345">INDEX(GMW!$A$2:$NF$150,MATCH(1,(GMW!$NE$2:$NE$150=U$3)*(GMW!$ND$2:$ND$150=U$4)*(GMW!$NF$2:$NF$150=U$1),0),$C345-1966)</f>
        <v>300569.90000000002</v>
      </c>
      <c r="V345" s="4" cm="1">
        <f t="array" ref="V345">INDEX(GMW!$A$2:$NF$150,MATCH(1,(GMW!$NE$2:$NE$150=V$3)*(GMW!$ND$2:$ND$150=V$4)*(GMW!$NF$2:$NF$150=V$1),0),$C345-1966)</f>
        <v>106959.6</v>
      </c>
      <c r="W345" s="4" cm="1">
        <f t="array" ref="W345">INDEX(GMW!$A$2:$NF$150,MATCH(1,(GMW!$NE$2:$NE$150=W$3)*(GMW!$ND$2:$ND$150=W$4)*(GMW!$NF$2:$NF$150=W$1),0),$C345-1966)</f>
        <v>344307.8</v>
      </c>
      <c r="X345" s="4" cm="1">
        <f t="array" ref="X345">INDEX(GMW!$A$2:$NF$150,MATCH(1,(GMW!$NE$2:$NE$150=X$3)*(GMW!$ND$2:$ND$150=X$4)*(GMW!$NF$2:$NF$150=X$1),0),$C345-1966)</f>
        <v>181115.9</v>
      </c>
      <c r="Y345" s="4" cm="1">
        <f t="array" ref="Y345">INDEX(GMW!$A$2:$NF$150,MATCH(1,(GMW!$NE$2:$NE$150=Y$3)*(GMW!$ND$2:$ND$150=Y$4)*(GMW!$NF$2:$NF$150=Y$1),0),$C345-1966)</f>
        <v>213492.3</v>
      </c>
      <c r="Z345" s="4" cm="1">
        <f t="array" ref="Z345">INDEX(GMW!$A$2:$NF$150,MATCH(1,(GMW!$NE$2:$NE$150=Z$3)*(GMW!$ND$2:$ND$150=Z$4)*(GMW!$NF$2:$NF$150=Z$1),0),$C345-1966)</f>
        <v>125837.3</v>
      </c>
      <c r="AA345" s="4" cm="1">
        <f t="array" ref="AA345">INDEX(GMW!$A$2:$NF$150,MATCH(1,(GMW!$NE$2:$NE$150=AA$3)*(GMW!$ND$2:$ND$150=AA$4)*(GMW!$NF$2:$NF$150=AA$1),0),$C345-1966)</f>
        <v>1041522</v>
      </c>
      <c r="AB345" s="4" cm="1">
        <f t="array" ref="AB345">INDEX(GMW!$A$2:$NF$150,MATCH(1,(GMW!$NE$2:$NE$150=AB$3)*(GMW!$ND$2:$ND$150=AB$4)*(GMW!$NF$2:$NF$150=AB$1),0),$C345-1966)</f>
        <v>39355.769999999997</v>
      </c>
      <c r="AC345" s="4" cm="1">
        <f t="array" ref="AC345">INDEX(GMW!$A$2:$NF$150,MATCH(1,(GMW!$NE$2:$NE$150=AC$3)*(GMW!$ND$2:$ND$150=AC$4)*(GMW!$NF$2:$NF$150=AC$1),0),$C345-1966)</f>
        <v>31.92642</v>
      </c>
      <c r="AD345" s="4" cm="1">
        <f t="array" ref="AD345">INDEX(GMW!$A$2:$NF$150,MATCH(1,(GMW!$NE$2:$NE$150=AD$3)*(GMW!$ND$2:$ND$150=AD$4)*(GMW!$NF$2:$NF$150=AD$1),0),$C345-1966)</f>
        <v>716916.4</v>
      </c>
      <c r="AE345" s="4" cm="1">
        <f t="array" ref="AE345">INDEX(GMW!$A$2:$NF$150,MATCH(1,(GMW!$NE$2:$NE$150=AE$3)*(GMW!$ND$2:$ND$150=AE$4)*(GMW!$NF$2:$NF$150=AE$1),0),$C345-1966)</f>
        <v>46315.43</v>
      </c>
      <c r="AF345" s="4" cm="1">
        <f t="array" ref="AF345">INDEX(GMW!$A$2:$NF$150,MATCH(1,(GMW!$NE$2:$NE$150=AF$3)*(GMW!$ND$2:$ND$150=AF$4)*(GMW!$NF$2:$NF$150=AF$1),0),$C345-1966)</f>
        <v>6051361</v>
      </c>
      <c r="AG345" s="4" cm="1">
        <f t="array" ref="AG345">INDEX(GMW!$A$2:$NF$150,MATCH(1,(GMW!$NE$2:$NE$150=AG$3)*(GMW!$ND$2:$ND$150=AG$4)*(GMW!$NF$2:$NF$150=AG$1),0),$C345-1966)</f>
        <v>-1.558098</v>
      </c>
      <c r="AH345" s="4" cm="1">
        <f t="array" ref="AH345">INDEX(GMW!$A$2:$NF$150,MATCH(1,(GMW!$NE$2:$NE$150=AH$3)*(GMW!$ND$2:$ND$150=AH$4)*(GMW!$NF$2:$NF$150=AH$1),0),$C345-1966)</f>
        <v>1048961</v>
      </c>
      <c r="AI345" s="4" cm="1">
        <f t="array" ref="AI345">INDEX(GMW!$A$2:$NF$150,MATCH(1,(GMW!$NE$2:$NE$150=AI$3)*(GMW!$ND$2:$ND$150=AI$4)*(GMW!$NF$2:$NF$150=AI$1),0),$C345-1966)</f>
        <v>261.92349999999999</v>
      </c>
      <c r="AJ345" s="4" cm="1">
        <f t="array" ref="AJ345">INDEX(GMW!$A$2:$NF$150,MATCH(1,(GMW!$NE$2:$NE$150=AJ$3)*(GMW!$ND$2:$ND$150=AJ$4)*(GMW!$NF$2:$NF$150=AJ$1),0),$C345-1966)</f>
        <v>308380</v>
      </c>
      <c r="AK345" s="4" cm="1">
        <f t="array" ref="AK345">INDEX(GMW!$A$2:$NF$150,MATCH(1,(GMW!$NE$2:$NE$150=AK$3)*(GMW!$ND$2:$ND$150=AK$4)*(GMW!$NF$2:$NF$150=AK$1),0),$C345-1966)</f>
        <v>110975.4</v>
      </c>
      <c r="AL345" s="4" cm="1">
        <f t="array" ref="AL345">INDEX(GMW!$A$2:$NF$150,MATCH(1,(GMW!$NE$2:$NE$150=AL$3)*(GMW!$ND$2:$ND$150=AL$4)*(GMW!$NF$2:$NF$150=AL$1),0),$C345-1966)</f>
        <v>351335.9</v>
      </c>
      <c r="AM345" s="4" cm="1">
        <f t="array" ref="AM345">INDEX(GMW!$A$2:$NF$150,MATCH(1,(GMW!$NE$2:$NE$150=AM$3)*(GMW!$ND$2:$ND$150=AM$4)*(GMW!$NF$2:$NF$150=AM$1),0),$C345-1966)</f>
        <v>186527</v>
      </c>
      <c r="AN345" s="4" cm="1">
        <f t="array" ref="AN345">INDEX(GMW!$A$2:$NF$150,MATCH(1,(GMW!$NE$2:$NE$150=AN$3)*(GMW!$ND$2:$ND$150=AN$4)*(GMW!$NF$2:$NF$150=AN$1),0),$C345-1966)</f>
        <v>214970.4</v>
      </c>
      <c r="AO345" s="4" cm="1">
        <f t="array" ref="AO345">INDEX(GMW!$A$2:$NF$150,MATCH(1,(GMW!$NE$2:$NE$150=AO$3)*(GMW!$ND$2:$ND$150=AO$4)*(GMW!$NF$2:$NF$150=AO$1),0),$C345-1966)</f>
        <v>128346.6</v>
      </c>
      <c r="AP345" s="4" cm="1">
        <f t="array" ref="AP345">INDEX(GMW!$A$2:$NF$150,MATCH(1,(GMW!$NE$2:$NE$150=AP$3)*(GMW!$ND$2:$ND$150=AP$4)*(GMW!$NF$2:$NF$150=AP$1),0),$C345-1966)</f>
        <v>1048962</v>
      </c>
      <c r="AQ345" s="4" cm="1">
        <f t="array" ref="AQ345">INDEX(GMW!$A$2:$NF$150,MATCH(1,(GMW!$NE$2:$NE$150=AQ$3)*(GMW!$ND$2:$ND$150=AQ$4)*(GMW!$NF$2:$NF$150=AQ$1),0),$C345-1966)</f>
        <v>39610.83</v>
      </c>
      <c r="AR345" s="4" cm="1">
        <f t="array" ref="AR345">INDEX(GMW!$A$2:$NF$150,MATCH(1,(GMW!$NE$2:$NE$150=AR$3)*(GMW!$ND$2:$ND$150=AR$4)*(GMW!$NF$2:$NF$150=AR$1),0),$C345-1966)</f>
        <v>31.92642</v>
      </c>
      <c r="AS345" s="4" cm="1">
        <f t="array" ref="AS345">INDEX(GMW!$A$2:$NF$150,MATCH(1,(GMW!$NE$2:$NE$150=AS$3)*(GMW!$ND$2:$ND$150=AS$4)*(GMW!$NF$2:$NF$150=AS$1),0),$C345-1966)</f>
        <v>721526.8</v>
      </c>
      <c r="AT345" s="4" cm="1">
        <f t="array" ref="AT345">INDEX(GMW!$A$2:$NF$150,MATCH(1,(GMW!$NE$2:$NE$150=AT$3)*(GMW!$ND$2:$ND$150=AT$4)*(GMW!$NF$2:$NF$150=AT$1),0),$C345-1966)</f>
        <v>46605.31</v>
      </c>
      <c r="AU345" s="4" cm="1">
        <f t="array" ref="AU345">INDEX(GMW!$A$2:$NF$150,MATCH(1,(GMW!$NE$2:$NE$150=AU$3)*(GMW!$ND$2:$ND$150=AU$4)*(GMW!$NF$2:$NF$150=AU$1),0),$C345-1966)</f>
        <v>6074815</v>
      </c>
      <c r="AV345" s="4" cm="1">
        <f t="array" ref="AV345">INDEX(GMW!$A$2:$NF$150,MATCH(1,(GMW!$NE$2:$NE$150=AV$3)*(GMW!$ND$2:$ND$150=AV$4)*(GMW!$NF$2:$NF$150=AV$1),0),$C345-1966)</f>
        <v>-1.55654</v>
      </c>
    </row>
    <row r="346" spans="1:48" x14ac:dyDescent="0.25">
      <c r="B346" s="4">
        <f t="shared" si="14"/>
        <v>2057</v>
      </c>
      <c r="C346" s="4">
        <f t="shared" si="13"/>
        <v>2312</v>
      </c>
      <c r="D346" s="4" cm="1">
        <f t="array" ref="D346">INDEX(GMW!$A$2:$NF$150,MATCH(1,(GMW!$NE$2:$NE$150=D$3)*(GMW!$ND$2:$ND$150=D$4)*(GMW!$NF$2:$NF$150=D$1),0),$C346-1966)</f>
        <v>1036491</v>
      </c>
      <c r="E346" s="4" cm="1">
        <f t="array" ref="E346">INDEX(GMW!$A$2:$NF$150,MATCH(1,(GMW!$NE$2:$NE$150=E$3)*(GMW!$ND$2:$ND$150=E$4)*(GMW!$NF$2:$NF$150=E$1),0),$C346-1966)</f>
        <v>265.08460000000002</v>
      </c>
      <c r="F346" s="4" cm="1">
        <f t="array" ref="F346">INDEX(GMW!$A$2:$NF$150,MATCH(1,(GMW!$NE$2:$NE$150=F$3)*(GMW!$ND$2:$ND$150=F$4)*(GMW!$NF$2:$NF$150=F$1),0),$C346-1966)</f>
        <v>315691.7</v>
      </c>
      <c r="G346" s="4" cm="1">
        <f t="array" ref="G346">INDEX(GMW!$A$2:$NF$150,MATCH(1,(GMW!$NE$2:$NE$150=G$3)*(GMW!$ND$2:$ND$150=G$4)*(GMW!$NF$2:$NF$150=G$1),0),$C346-1966)</f>
        <v>101796.4</v>
      </c>
      <c r="H346" s="4" cm="1">
        <f t="array" ref="H346">INDEX(GMW!$A$2:$NF$150,MATCH(1,(GMW!$NE$2:$NE$150=H$3)*(GMW!$ND$2:$ND$150=H$4)*(GMW!$NF$2:$NF$150=H$1),0),$C346-1966)</f>
        <v>357224.1</v>
      </c>
      <c r="I346" s="4" cm="1">
        <f t="array" ref="I346">INDEX(GMW!$A$2:$NF$150,MATCH(1,(GMW!$NE$2:$NE$150=I$3)*(GMW!$ND$2:$ND$150=I$4)*(GMW!$NF$2:$NF$150=I$1),0),$C346-1966)</f>
        <v>189025.5</v>
      </c>
      <c r="J346" s="4" cm="1">
        <f t="array" ref="J346">INDEX(GMW!$A$2:$NF$150,MATCH(1,(GMW!$NE$2:$NE$150=J$3)*(GMW!$ND$2:$ND$150=J$4)*(GMW!$NF$2:$NF$150=J$1),0),$C346-1966)</f>
        <v>211280.5</v>
      </c>
      <c r="K346" s="4" cm="1">
        <f t="array" ref="K346">INDEX(GMW!$A$2:$NF$150,MATCH(1,(GMW!$NE$2:$NE$150=K$3)*(GMW!$ND$2:$ND$150=K$4)*(GMW!$NF$2:$NF$150=K$1),0),$C346-1966)</f>
        <v>122735.1</v>
      </c>
      <c r="L346" s="4" cm="1">
        <f t="array" ref="L346">INDEX(GMW!$A$2:$NF$150,MATCH(1,(GMW!$NE$2:$NE$150=L$3)*(GMW!$ND$2:$ND$150=L$4)*(GMW!$NF$2:$NF$150=L$1),0),$C346-1966)</f>
        <v>1036489</v>
      </c>
      <c r="M346" s="4" cm="1">
        <f t="array" ref="M346">INDEX(GMW!$A$2:$NF$150,MATCH(1,(GMW!$NE$2:$NE$150=M$3)*(GMW!$ND$2:$ND$150=M$4)*(GMW!$NF$2:$NF$150=M$1),0),$C346-1966)</f>
        <v>39359.14</v>
      </c>
      <c r="N346" s="4" cm="1">
        <f t="array" ref="N346">INDEX(GMW!$A$2:$NF$150,MATCH(1,(GMW!$NE$2:$NE$150=N$3)*(GMW!$ND$2:$ND$150=N$4)*(GMW!$NF$2:$NF$150=N$1),0),$C346-1966)</f>
        <v>31.92567</v>
      </c>
      <c r="O346" s="4" cm="1">
        <f t="array" ref="O346">INDEX(GMW!$A$2:$NF$150,MATCH(1,(GMW!$NE$2:$NE$150=O$3)*(GMW!$ND$2:$ND$150=O$4)*(GMW!$NF$2:$NF$150=O$1),0),$C346-1966)</f>
        <v>717054.8</v>
      </c>
      <c r="P346" s="4" cm="1">
        <f t="array" ref="P346">INDEX(GMW!$A$2:$NF$150,MATCH(1,(GMW!$NE$2:$NE$150=P$3)*(GMW!$ND$2:$ND$150=P$4)*(GMW!$NF$2:$NF$150=P$1),0),$C346-1966)</f>
        <v>46300.24</v>
      </c>
      <c r="Q346" s="4" cm="1">
        <f t="array" ref="Q346">INDEX(GMW!$A$2:$NF$150,MATCH(1,(GMW!$NE$2:$NE$150=Q$3)*(GMW!$ND$2:$ND$150=Q$4)*(GMW!$NF$2:$NF$150=Q$1),0),$C346-1966)</f>
        <v>5977462</v>
      </c>
      <c r="R346" s="4" cm="1">
        <f t="array" ref="R346">INDEX(GMW!$A$2:$NF$150,MATCH(1,(GMW!$NE$2:$NE$150=R$3)*(GMW!$ND$2:$ND$150=R$4)*(GMW!$NF$2:$NF$150=R$1),0),$C346-1966)</f>
        <v>-1.55881</v>
      </c>
      <c r="S346" s="4" cm="1">
        <f t="array" ref="S346">INDEX(GMW!$A$2:$NF$150,MATCH(1,(GMW!$NE$2:$NE$150=S$3)*(GMW!$ND$2:$ND$150=S$4)*(GMW!$NF$2:$NF$150=S$1),0),$C346-1966)</f>
        <v>1044667</v>
      </c>
      <c r="T346" s="4" cm="1">
        <f t="array" ref="T346">INDEX(GMW!$A$2:$NF$150,MATCH(1,(GMW!$NE$2:$NE$150=T$3)*(GMW!$ND$2:$ND$150=T$4)*(GMW!$NF$2:$NF$150=T$1),0),$C346-1966)</f>
        <v>264.89980000000003</v>
      </c>
      <c r="U346" s="4" cm="1">
        <f t="array" ref="U346">INDEX(GMW!$A$2:$NF$150,MATCH(1,(GMW!$NE$2:$NE$150=U$3)*(GMW!$ND$2:$ND$150=U$4)*(GMW!$NF$2:$NF$150=U$1),0),$C346-1966)</f>
        <v>301407.90000000002</v>
      </c>
      <c r="V346" s="4" cm="1">
        <f t="array" ref="V346">INDEX(GMW!$A$2:$NF$150,MATCH(1,(GMW!$NE$2:$NE$150=V$3)*(GMW!$ND$2:$ND$150=V$4)*(GMW!$NF$2:$NF$150=V$1),0),$C346-1966)</f>
        <v>107197</v>
      </c>
      <c r="W346" s="4" cm="1">
        <f t="array" ref="W346">INDEX(GMW!$A$2:$NF$150,MATCH(1,(GMW!$NE$2:$NE$150=W$3)*(GMW!$ND$2:$ND$150=W$4)*(GMW!$NF$2:$NF$150=W$1),0),$C346-1966)</f>
        <v>345397.5</v>
      </c>
      <c r="X346" s="4" cm="1">
        <f t="array" ref="X346">INDEX(GMW!$A$2:$NF$150,MATCH(1,(GMW!$NE$2:$NE$150=X$3)*(GMW!$ND$2:$ND$150=X$4)*(GMW!$NF$2:$NF$150=X$1),0),$C346-1966)</f>
        <v>181644.7</v>
      </c>
      <c r="Y346" s="4" cm="1">
        <f t="array" ref="Y346">INDEX(GMW!$A$2:$NF$150,MATCH(1,(GMW!$NE$2:$NE$150=Y$3)*(GMW!$ND$2:$ND$150=Y$4)*(GMW!$NF$2:$NF$150=Y$1),0),$C346-1966)</f>
        <v>214341</v>
      </c>
      <c r="Z346" s="4" cm="1">
        <f t="array" ref="Z346">INDEX(GMW!$A$2:$NF$150,MATCH(1,(GMW!$NE$2:$NE$150=Z$3)*(GMW!$ND$2:$ND$150=Z$4)*(GMW!$NF$2:$NF$150=Z$1),0),$C346-1966)</f>
        <v>126374.6</v>
      </c>
      <c r="AA346" s="4" cm="1">
        <f t="array" ref="AA346">INDEX(GMW!$A$2:$NF$150,MATCH(1,(GMW!$NE$2:$NE$150=AA$3)*(GMW!$ND$2:$ND$150=AA$4)*(GMW!$NF$2:$NF$150=AA$1),0),$C346-1966)</f>
        <v>1044666</v>
      </c>
      <c r="AB346" s="4" cm="1">
        <f t="array" ref="AB346">INDEX(GMW!$A$2:$NF$150,MATCH(1,(GMW!$NE$2:$NE$150=AB$3)*(GMW!$ND$2:$ND$150=AB$4)*(GMW!$NF$2:$NF$150=AB$1),0),$C346-1966)</f>
        <v>39359.14</v>
      </c>
      <c r="AC346" s="4" cm="1">
        <f t="array" ref="AC346">INDEX(GMW!$A$2:$NF$150,MATCH(1,(GMW!$NE$2:$NE$150=AC$3)*(GMW!$ND$2:$ND$150=AC$4)*(GMW!$NF$2:$NF$150=AC$1),0),$C346-1966)</f>
        <v>31.92567</v>
      </c>
      <c r="AD346" s="4" cm="1">
        <f t="array" ref="AD346">INDEX(GMW!$A$2:$NF$150,MATCH(1,(GMW!$NE$2:$NE$150=AD$3)*(GMW!$ND$2:$ND$150=AD$4)*(GMW!$NF$2:$NF$150=AD$1),0),$C346-1966)</f>
        <v>717054.8</v>
      </c>
      <c r="AE346" s="4" cm="1">
        <f t="array" ref="AE346">INDEX(GMW!$A$2:$NF$150,MATCH(1,(GMW!$NE$2:$NE$150=AE$3)*(GMW!$ND$2:$ND$150=AE$4)*(GMW!$NF$2:$NF$150=AE$1),0),$C346-1966)</f>
        <v>46300.24</v>
      </c>
      <c r="AF346" s="4" cm="1">
        <f t="array" ref="AF346">INDEX(GMW!$A$2:$NF$150,MATCH(1,(GMW!$NE$2:$NE$150=AF$3)*(GMW!$ND$2:$ND$150=AF$4)*(GMW!$NF$2:$NF$150=AF$1),0),$C346-1966)</f>
        <v>6078529</v>
      </c>
      <c r="AG346" s="4" cm="1">
        <f t="array" ref="AG346">INDEX(GMW!$A$2:$NF$150,MATCH(1,(GMW!$NE$2:$NE$150=AG$3)*(GMW!$ND$2:$ND$150=AG$4)*(GMW!$NF$2:$NF$150=AG$1),0),$C346-1966)</f>
        <v>-1.556851</v>
      </c>
      <c r="AH346" s="4" cm="1">
        <f t="array" ref="AH346">INDEX(GMW!$A$2:$NF$150,MATCH(1,(GMW!$NE$2:$NE$150=AH$3)*(GMW!$ND$2:$ND$150=AH$4)*(GMW!$NF$2:$NF$150=AH$1),0),$C346-1966)</f>
        <v>1052318</v>
      </c>
      <c r="AI346" s="4" cm="1">
        <f t="array" ref="AI346">INDEX(GMW!$A$2:$NF$150,MATCH(1,(GMW!$NE$2:$NE$150=AI$3)*(GMW!$ND$2:$ND$150=AI$4)*(GMW!$NF$2:$NF$150=AI$1),0),$C346-1966)</f>
        <v>263.21929999999998</v>
      </c>
      <c r="AJ346" s="4" cm="1">
        <f t="array" ref="AJ346">INDEX(GMW!$A$2:$NF$150,MATCH(1,(GMW!$NE$2:$NE$150=AJ$3)*(GMW!$ND$2:$ND$150=AJ$4)*(GMW!$NF$2:$NF$150=AJ$1),0),$C346-1966)</f>
        <v>309286.90000000002</v>
      </c>
      <c r="AK346" s="4" cm="1">
        <f t="array" ref="AK346">INDEX(GMW!$A$2:$NF$150,MATCH(1,(GMW!$NE$2:$NE$150=AK$3)*(GMW!$ND$2:$ND$150=AK$4)*(GMW!$NF$2:$NF$150=AK$1),0),$C346-1966)</f>
        <v>111241.8</v>
      </c>
      <c r="AL346" s="4" cm="1">
        <f t="array" ref="AL346">INDEX(GMW!$A$2:$NF$150,MATCH(1,(GMW!$NE$2:$NE$150=AL$3)*(GMW!$ND$2:$ND$150=AL$4)*(GMW!$NF$2:$NF$150=AL$1),0),$C346-1966)</f>
        <v>352500.1</v>
      </c>
      <c r="AM346" s="4" cm="1">
        <f t="array" ref="AM346">INDEX(GMW!$A$2:$NF$150,MATCH(1,(GMW!$NE$2:$NE$150=AM$3)*(GMW!$ND$2:$ND$150=AM$4)*(GMW!$NF$2:$NF$150=AM$1),0),$C346-1966)</f>
        <v>187105.3</v>
      </c>
      <c r="AN346" s="4" cm="1">
        <f t="array" ref="AN346">INDEX(GMW!$A$2:$NF$150,MATCH(1,(GMW!$NE$2:$NE$150=AN$3)*(GMW!$ND$2:$ND$150=AN$4)*(GMW!$NF$2:$NF$150=AN$1),0),$C346-1966)</f>
        <v>215864.5</v>
      </c>
      <c r="AO346" s="4" cm="1">
        <f t="array" ref="AO346">INDEX(GMW!$A$2:$NF$150,MATCH(1,(GMW!$NE$2:$NE$150=AO$3)*(GMW!$ND$2:$ND$150=AO$4)*(GMW!$NF$2:$NF$150=AO$1),0),$C346-1966)</f>
        <v>128917.8</v>
      </c>
      <c r="AP346" s="4" cm="1">
        <f t="array" ref="AP346">INDEX(GMW!$A$2:$NF$150,MATCH(1,(GMW!$NE$2:$NE$150=AP$3)*(GMW!$ND$2:$ND$150=AP$4)*(GMW!$NF$2:$NF$150=AP$1),0),$C346-1966)</f>
        <v>1052319</v>
      </c>
      <c r="AQ346" s="4" cm="1">
        <f t="array" ref="AQ346">INDEX(GMW!$A$2:$NF$150,MATCH(1,(GMW!$NE$2:$NE$150=AQ$3)*(GMW!$ND$2:$ND$150=AQ$4)*(GMW!$NF$2:$NF$150=AQ$1),0),$C346-1966)</f>
        <v>39622.910000000003</v>
      </c>
      <c r="AR346" s="4" cm="1">
        <f t="array" ref="AR346">INDEX(GMW!$A$2:$NF$150,MATCH(1,(GMW!$NE$2:$NE$150=AR$3)*(GMW!$ND$2:$ND$150=AR$4)*(GMW!$NF$2:$NF$150=AR$1),0),$C346-1966)</f>
        <v>31.92567</v>
      </c>
      <c r="AS346" s="4" cm="1">
        <f t="array" ref="AS346">INDEX(GMW!$A$2:$NF$150,MATCH(1,(GMW!$NE$2:$NE$150=AS$3)*(GMW!$ND$2:$ND$150=AS$4)*(GMW!$NF$2:$NF$150=AS$1),0),$C346-1966)</f>
        <v>721813</v>
      </c>
      <c r="AT346" s="4" cm="1">
        <f t="array" ref="AT346">INDEX(GMW!$A$2:$NF$150,MATCH(1,(GMW!$NE$2:$NE$150=AT$3)*(GMW!$ND$2:$ND$150=AT$4)*(GMW!$NF$2:$NF$150=AT$1),0),$C346-1966)</f>
        <v>46600.35</v>
      </c>
      <c r="AU346" s="4" cm="1">
        <f t="array" ref="AU346">INDEX(GMW!$A$2:$NF$150,MATCH(1,(GMW!$NE$2:$NE$150=AU$3)*(GMW!$ND$2:$ND$150=AU$4)*(GMW!$NF$2:$NF$150=AU$1),0),$C346-1966)</f>
        <v>6102878</v>
      </c>
      <c r="AV346" s="4" cm="1">
        <f t="array" ref="AV346">INDEX(GMW!$A$2:$NF$150,MATCH(1,(GMW!$NE$2:$NE$150=AV$3)*(GMW!$ND$2:$ND$150=AV$4)*(GMW!$NF$2:$NF$150=AV$1),0),$C346-1966)</f>
        <v>-1.5552950000000001</v>
      </c>
    </row>
    <row r="347" spans="1:48" x14ac:dyDescent="0.25">
      <c r="A347" s="4">
        <v>2058</v>
      </c>
      <c r="B347" s="4">
        <f t="shared" si="14"/>
        <v>2058</v>
      </c>
      <c r="C347" s="4">
        <f t="shared" si="13"/>
        <v>2313</v>
      </c>
      <c r="D347" s="4" cm="1">
        <f t="array" ref="D347">INDEX(GMW!$A$2:$NF$150,MATCH(1,(GMW!$NE$2:$NE$150=D$3)*(GMW!$ND$2:$ND$150=D$4)*(GMW!$NF$2:$NF$150=D$1),0),$C347-1966)</f>
        <v>1039649</v>
      </c>
      <c r="E347" s="4" cm="1">
        <f t="array" ref="E347">INDEX(GMW!$A$2:$NF$150,MATCH(1,(GMW!$NE$2:$NE$150=E$3)*(GMW!$ND$2:$ND$150=E$4)*(GMW!$NF$2:$NF$150=E$1),0),$C347-1966)</f>
        <v>265.62729999999999</v>
      </c>
      <c r="F347" s="4" cm="1">
        <f t="array" ref="F347">INDEX(GMW!$A$2:$NF$150,MATCH(1,(GMW!$NE$2:$NE$150=F$3)*(GMW!$ND$2:$ND$150=F$4)*(GMW!$NF$2:$NF$150=F$1),0),$C347-1966)</f>
        <v>316596</v>
      </c>
      <c r="G347" s="4" cm="1">
        <f t="array" ref="G347">INDEX(GMW!$A$2:$NF$150,MATCH(1,(GMW!$NE$2:$NE$150=G$3)*(GMW!$ND$2:$ND$150=G$4)*(GMW!$NF$2:$NF$150=G$1),0),$C347-1966)</f>
        <v>102025.1</v>
      </c>
      <c r="H347" s="4" cm="1">
        <f t="array" ref="H347">INDEX(GMW!$A$2:$NF$150,MATCH(1,(GMW!$NE$2:$NE$150=H$3)*(GMW!$ND$2:$ND$150=H$4)*(GMW!$NF$2:$NF$150=H$1),0),$C347-1966)</f>
        <v>358370.9</v>
      </c>
      <c r="I347" s="4" cm="1">
        <f t="array" ref="I347">INDEX(GMW!$A$2:$NF$150,MATCH(1,(GMW!$NE$2:$NE$150=I$3)*(GMW!$ND$2:$ND$150=I$4)*(GMW!$NF$2:$NF$150=I$1),0),$C347-1966)</f>
        <v>189582.5</v>
      </c>
      <c r="J347" s="4" cm="1">
        <f t="array" ref="J347">INDEX(GMW!$A$2:$NF$150,MATCH(1,(GMW!$NE$2:$NE$150=J$3)*(GMW!$ND$2:$ND$150=J$4)*(GMW!$NF$2:$NF$150=J$1),0),$C347-1966)</f>
        <v>212131.7</v>
      </c>
      <c r="K347" s="4" cm="1">
        <f t="array" ref="K347">INDEX(GMW!$A$2:$NF$150,MATCH(1,(GMW!$NE$2:$NE$150=K$3)*(GMW!$ND$2:$ND$150=K$4)*(GMW!$NF$2:$NF$150=K$1),0),$C347-1966)</f>
        <v>123268.7</v>
      </c>
      <c r="L347" s="4" cm="1">
        <f t="array" ref="L347">INDEX(GMW!$A$2:$NF$150,MATCH(1,(GMW!$NE$2:$NE$150=L$3)*(GMW!$ND$2:$ND$150=L$4)*(GMW!$NF$2:$NF$150=L$1),0),$C347-1966)</f>
        <v>1039647</v>
      </c>
      <c r="M347" s="4" cm="1">
        <f t="array" ref="M347">INDEX(GMW!$A$2:$NF$150,MATCH(1,(GMW!$NE$2:$NE$150=M$3)*(GMW!$ND$2:$ND$150=M$4)*(GMW!$NF$2:$NF$150=M$1),0),$C347-1966)</f>
        <v>39362.519999999997</v>
      </c>
      <c r="N347" s="4" cm="1">
        <f t="array" ref="N347">INDEX(GMW!$A$2:$NF$150,MATCH(1,(GMW!$NE$2:$NE$150=N$3)*(GMW!$ND$2:$ND$150=N$4)*(GMW!$NF$2:$NF$150=N$1),0),$C347-1966)</f>
        <v>31.92492</v>
      </c>
      <c r="O347" s="4" cm="1">
        <f t="array" ref="O347">INDEX(GMW!$A$2:$NF$150,MATCH(1,(GMW!$NE$2:$NE$150=O$3)*(GMW!$ND$2:$ND$150=O$4)*(GMW!$NF$2:$NF$150=O$1),0),$C347-1966)</f>
        <v>717191.8</v>
      </c>
      <c r="P347" s="4" cm="1">
        <f t="array" ref="P347">INDEX(GMW!$A$2:$NF$150,MATCH(1,(GMW!$NE$2:$NE$150=P$3)*(GMW!$ND$2:$ND$150=P$4)*(GMW!$NF$2:$NF$150=P$1),0),$C347-1966)</f>
        <v>46285.05</v>
      </c>
      <c r="Q347" s="4" cm="1">
        <f t="array" ref="Q347">INDEX(GMW!$A$2:$NF$150,MATCH(1,(GMW!$NE$2:$NE$150=Q$3)*(GMW!$ND$2:$ND$150=Q$4)*(GMW!$NF$2:$NF$150=Q$1),0),$C347-1966)</f>
        <v>6004774</v>
      </c>
      <c r="R347" s="4" cm="1">
        <f t="array" ref="R347">INDEX(GMW!$A$2:$NF$150,MATCH(1,(GMW!$NE$2:$NE$150=R$3)*(GMW!$ND$2:$ND$150=R$4)*(GMW!$NF$2:$NF$150=R$1),0),$C347-1966)</f>
        <v>-1.557563</v>
      </c>
      <c r="S347" s="4" cm="1">
        <f t="array" ref="S347">INDEX(GMW!$A$2:$NF$150,MATCH(1,(GMW!$NE$2:$NE$150=S$3)*(GMW!$ND$2:$ND$150=S$4)*(GMW!$NF$2:$NF$150=S$1),0),$C347-1966)</f>
        <v>1047816</v>
      </c>
      <c r="T347" s="4" cm="1">
        <f t="array" ref="T347">INDEX(GMW!$A$2:$NF$150,MATCH(1,(GMW!$NE$2:$NE$150=T$3)*(GMW!$ND$2:$ND$150=T$4)*(GMW!$NF$2:$NF$150=T$1),0),$C347-1966)</f>
        <v>265.34679999999997</v>
      </c>
      <c r="U347" s="4" cm="1">
        <f t="array" ref="U347">INDEX(GMW!$A$2:$NF$150,MATCH(1,(GMW!$NE$2:$NE$150=U$3)*(GMW!$ND$2:$ND$150=U$4)*(GMW!$NF$2:$NF$150=U$1),0),$C347-1966)</f>
        <v>302247.09999999998</v>
      </c>
      <c r="V347" s="4" cm="1">
        <f t="array" ref="V347">INDEX(GMW!$A$2:$NF$150,MATCH(1,(GMW!$NE$2:$NE$150=V$3)*(GMW!$ND$2:$ND$150=V$4)*(GMW!$NF$2:$NF$150=V$1),0),$C347-1966)</f>
        <v>107434.3</v>
      </c>
      <c r="W347" s="4" cm="1">
        <f t="array" ref="W347">INDEX(GMW!$A$2:$NF$150,MATCH(1,(GMW!$NE$2:$NE$150=W$3)*(GMW!$ND$2:$ND$150=W$4)*(GMW!$NF$2:$NF$150=W$1),0),$C347-1966)</f>
        <v>346489.1</v>
      </c>
      <c r="X347" s="4" cm="1">
        <f t="array" ref="X347">INDEX(GMW!$A$2:$NF$150,MATCH(1,(GMW!$NE$2:$NE$150=X$3)*(GMW!$ND$2:$ND$150=X$4)*(GMW!$NF$2:$NF$150=X$1),0),$C347-1966)</f>
        <v>182174</v>
      </c>
      <c r="Y347" s="4" cm="1">
        <f t="array" ref="Y347">INDEX(GMW!$A$2:$NF$150,MATCH(1,(GMW!$NE$2:$NE$150=Y$3)*(GMW!$ND$2:$ND$150=Y$4)*(GMW!$NF$2:$NF$150=Y$1),0),$C347-1966)</f>
        <v>215191.9</v>
      </c>
      <c r="Z347" s="4" cm="1">
        <f t="array" ref="Z347">INDEX(GMW!$A$2:$NF$150,MATCH(1,(GMW!$NE$2:$NE$150=Z$3)*(GMW!$ND$2:$ND$150=Z$4)*(GMW!$NF$2:$NF$150=Z$1),0),$C347-1966)</f>
        <v>126913.5</v>
      </c>
      <c r="AA347" s="4" cm="1">
        <f t="array" ref="AA347">INDEX(GMW!$A$2:$NF$150,MATCH(1,(GMW!$NE$2:$NE$150=AA$3)*(GMW!$ND$2:$ND$150=AA$4)*(GMW!$NF$2:$NF$150=AA$1),0),$C347-1966)</f>
        <v>1047815</v>
      </c>
      <c r="AB347" s="4" cm="1">
        <f t="array" ref="AB347">INDEX(GMW!$A$2:$NF$150,MATCH(1,(GMW!$NE$2:$NE$150=AB$3)*(GMW!$ND$2:$ND$150=AB$4)*(GMW!$NF$2:$NF$150=AB$1),0),$C347-1966)</f>
        <v>39362.519999999997</v>
      </c>
      <c r="AC347" s="4" cm="1">
        <f t="array" ref="AC347">INDEX(GMW!$A$2:$NF$150,MATCH(1,(GMW!$NE$2:$NE$150=AC$3)*(GMW!$ND$2:$ND$150=AC$4)*(GMW!$NF$2:$NF$150=AC$1),0),$C347-1966)</f>
        <v>31.92492</v>
      </c>
      <c r="AD347" s="4" cm="1">
        <f t="array" ref="AD347">INDEX(GMW!$A$2:$NF$150,MATCH(1,(GMW!$NE$2:$NE$150=AD$3)*(GMW!$ND$2:$ND$150=AD$4)*(GMW!$NF$2:$NF$150=AD$1),0),$C347-1966)</f>
        <v>717191.8</v>
      </c>
      <c r="AE347" s="4" cm="1">
        <f t="array" ref="AE347">INDEX(GMW!$A$2:$NF$150,MATCH(1,(GMW!$NE$2:$NE$150=AE$3)*(GMW!$ND$2:$ND$150=AE$4)*(GMW!$NF$2:$NF$150=AE$1),0),$C347-1966)</f>
        <v>46285.05</v>
      </c>
      <c r="AF347" s="4" cm="1">
        <f t="array" ref="AF347">INDEX(GMW!$A$2:$NF$150,MATCH(1,(GMW!$NE$2:$NE$150=AF$3)*(GMW!$ND$2:$ND$150=AF$4)*(GMW!$NF$2:$NF$150=AF$1),0),$C347-1966)</f>
        <v>6105753</v>
      </c>
      <c r="AG347" s="4" cm="1">
        <f t="array" ref="AG347">INDEX(GMW!$A$2:$NF$150,MATCH(1,(GMW!$NE$2:$NE$150=AG$3)*(GMW!$ND$2:$ND$150=AG$4)*(GMW!$NF$2:$NF$150=AG$1),0),$C347-1966)</f>
        <v>-1.555606</v>
      </c>
      <c r="AH347" s="4" cm="1">
        <f t="array" ref="AH347">INDEX(GMW!$A$2:$NF$150,MATCH(1,(GMW!$NE$2:$NE$150=AH$3)*(GMW!$ND$2:$ND$150=AH$4)*(GMW!$NF$2:$NF$150=AH$1),0),$C347-1966)</f>
        <v>1055681</v>
      </c>
      <c r="AI347" s="4" cm="1">
        <f t="array" ref="AI347">INDEX(GMW!$A$2:$NF$150,MATCH(1,(GMW!$NE$2:$NE$150=AI$3)*(GMW!$ND$2:$ND$150=AI$4)*(GMW!$NF$2:$NF$150=AI$1),0),$C347-1966)</f>
        <v>263.7192</v>
      </c>
      <c r="AJ347" s="4" cm="1">
        <f t="array" ref="AJ347">INDEX(GMW!$A$2:$NF$150,MATCH(1,(GMW!$NE$2:$NE$150=AJ$3)*(GMW!$ND$2:$ND$150=AJ$4)*(GMW!$NF$2:$NF$150=AJ$1),0),$C347-1966)</f>
        <v>310195.3</v>
      </c>
      <c r="AK347" s="4" cm="1">
        <f t="array" ref="AK347">INDEX(GMW!$A$2:$NF$150,MATCH(1,(GMW!$NE$2:$NE$150=AK$3)*(GMW!$ND$2:$ND$150=AK$4)*(GMW!$NF$2:$NF$150=AK$1),0),$C347-1966)</f>
        <v>111508.3</v>
      </c>
      <c r="AL347" s="4" cm="1">
        <f t="array" ref="AL347">INDEX(GMW!$A$2:$NF$150,MATCH(1,(GMW!$NE$2:$NE$150=AL$3)*(GMW!$ND$2:$ND$150=AL$4)*(GMW!$NF$2:$NF$150=AL$1),0),$C347-1966)</f>
        <v>353666.8</v>
      </c>
      <c r="AM347" s="4" cm="1">
        <f t="array" ref="AM347">INDEX(GMW!$A$2:$NF$150,MATCH(1,(GMW!$NE$2:$NE$150=AM$3)*(GMW!$ND$2:$ND$150=AM$4)*(GMW!$NF$2:$NF$150=AM$1),0),$C347-1966)</f>
        <v>187684.5</v>
      </c>
      <c r="AN347" s="4" cm="1">
        <f t="array" ref="AN347">INDEX(GMW!$A$2:$NF$150,MATCH(1,(GMW!$NE$2:$NE$150=AN$3)*(GMW!$ND$2:$ND$150=AN$4)*(GMW!$NF$2:$NF$150=AN$1),0),$C347-1966)</f>
        <v>216761.2</v>
      </c>
      <c r="AO347" s="4" cm="1">
        <f t="array" ref="AO347">INDEX(GMW!$A$2:$NF$150,MATCH(1,(GMW!$NE$2:$NE$150=AO$3)*(GMW!$ND$2:$ND$150=AO$4)*(GMW!$NF$2:$NF$150=AO$1),0),$C347-1966)</f>
        <v>129490.9</v>
      </c>
      <c r="AP347" s="4" cm="1">
        <f t="array" ref="AP347">INDEX(GMW!$A$2:$NF$150,MATCH(1,(GMW!$NE$2:$NE$150=AP$3)*(GMW!$ND$2:$ND$150=AP$4)*(GMW!$NF$2:$NF$150=AP$1),0),$C347-1966)</f>
        <v>1055681</v>
      </c>
      <c r="AQ347" s="4" cm="1">
        <f t="array" ref="AQ347">INDEX(GMW!$A$2:$NF$150,MATCH(1,(GMW!$NE$2:$NE$150=AQ$3)*(GMW!$ND$2:$ND$150=AQ$4)*(GMW!$NF$2:$NF$150=AQ$1),0),$C347-1966)</f>
        <v>39635</v>
      </c>
      <c r="AR347" s="4" cm="1">
        <f t="array" ref="AR347">INDEX(GMW!$A$2:$NF$150,MATCH(1,(GMW!$NE$2:$NE$150=AR$3)*(GMW!$ND$2:$ND$150=AR$4)*(GMW!$NF$2:$NF$150=AR$1),0),$C347-1966)</f>
        <v>31.92492</v>
      </c>
      <c r="AS347" s="4" cm="1">
        <f t="array" ref="AS347">INDEX(GMW!$A$2:$NF$150,MATCH(1,(GMW!$NE$2:$NE$150=AS$3)*(GMW!$ND$2:$ND$150=AS$4)*(GMW!$NF$2:$NF$150=AS$1),0),$C347-1966)</f>
        <v>722097.1</v>
      </c>
      <c r="AT347" s="4" cm="1">
        <f t="array" ref="AT347">INDEX(GMW!$A$2:$NF$150,MATCH(1,(GMW!$NE$2:$NE$150=AT$3)*(GMW!$ND$2:$ND$150=AT$4)*(GMW!$NF$2:$NF$150=AT$1),0),$C347-1966)</f>
        <v>46595.38</v>
      </c>
      <c r="AU347" s="4" cm="1">
        <f t="array" ref="AU347">INDEX(GMW!$A$2:$NF$150,MATCH(1,(GMW!$NE$2:$NE$150=AU$3)*(GMW!$ND$2:$ND$150=AU$4)*(GMW!$NF$2:$NF$150=AU$1),0),$C347-1966)</f>
        <v>6131013</v>
      </c>
      <c r="AV347" s="4" cm="1">
        <f t="array" ref="AV347">INDEX(GMW!$A$2:$NF$150,MATCH(1,(GMW!$NE$2:$NE$150=AV$3)*(GMW!$ND$2:$ND$150=AV$4)*(GMW!$NF$2:$NF$150=AV$1),0),$C347-1966)</f>
        <v>-1.5540510000000001</v>
      </c>
    </row>
    <row r="348" spans="1:48" x14ac:dyDescent="0.25">
      <c r="B348" s="4">
        <f t="shared" si="14"/>
        <v>2058</v>
      </c>
      <c r="C348" s="4">
        <f t="shared" si="13"/>
        <v>2314</v>
      </c>
      <c r="D348" s="4" cm="1">
        <f t="array" ref="D348">INDEX(GMW!$A$2:$NF$150,MATCH(1,(GMW!$NE$2:$NE$150=D$3)*(GMW!$ND$2:$ND$150=D$4)*(GMW!$NF$2:$NF$150=D$1),0),$C348-1966)</f>
        <v>1042811</v>
      </c>
      <c r="E348" s="4" cm="1">
        <f t="array" ref="E348">INDEX(GMW!$A$2:$NF$150,MATCH(1,(GMW!$NE$2:$NE$150=E$3)*(GMW!$ND$2:$ND$150=E$4)*(GMW!$NF$2:$NF$150=E$1),0),$C348-1966)</f>
        <v>267.9821</v>
      </c>
      <c r="F348" s="4" cm="1">
        <f t="array" ref="F348">INDEX(GMW!$A$2:$NF$150,MATCH(1,(GMW!$NE$2:$NE$150=F$3)*(GMW!$ND$2:$ND$150=F$4)*(GMW!$NF$2:$NF$150=F$1),0),$C348-1966)</f>
        <v>317501.7</v>
      </c>
      <c r="G348" s="4" cm="1">
        <f t="array" ref="G348">INDEX(GMW!$A$2:$NF$150,MATCH(1,(GMW!$NE$2:$NE$150=G$3)*(GMW!$ND$2:$ND$150=G$4)*(GMW!$NF$2:$NF$150=G$1),0),$C348-1966)</f>
        <v>102253.8</v>
      </c>
      <c r="H348" s="4" cm="1">
        <f t="array" ref="H348">INDEX(GMW!$A$2:$NF$150,MATCH(1,(GMW!$NE$2:$NE$150=H$3)*(GMW!$ND$2:$ND$150=H$4)*(GMW!$NF$2:$NF$150=H$1),0),$C348-1966)</f>
        <v>359520.1</v>
      </c>
      <c r="I348" s="4" cm="1">
        <f t="array" ref="I348">INDEX(GMW!$A$2:$NF$150,MATCH(1,(GMW!$NE$2:$NE$150=I$3)*(GMW!$ND$2:$ND$150=I$4)*(GMW!$NF$2:$NF$150=I$1),0),$C348-1966)</f>
        <v>190140.2</v>
      </c>
      <c r="J348" s="4" cm="1">
        <f t="array" ref="J348">INDEX(GMW!$A$2:$NF$150,MATCH(1,(GMW!$NE$2:$NE$150=J$3)*(GMW!$ND$2:$ND$150=J$4)*(GMW!$NF$2:$NF$150=J$1),0),$C348-1966)</f>
        <v>212985.2</v>
      </c>
      <c r="K348" s="4" cm="1">
        <f t="array" ref="K348">INDEX(GMW!$A$2:$NF$150,MATCH(1,(GMW!$NE$2:$NE$150=K$3)*(GMW!$ND$2:$ND$150=K$4)*(GMW!$NF$2:$NF$150=K$1),0),$C348-1966)</f>
        <v>123803.9</v>
      </c>
      <c r="L348" s="4" cm="1">
        <f t="array" ref="L348">INDEX(GMW!$A$2:$NF$150,MATCH(1,(GMW!$NE$2:$NE$150=L$3)*(GMW!$ND$2:$ND$150=L$4)*(GMW!$NF$2:$NF$150=L$1),0),$C348-1966)</f>
        <v>1042810</v>
      </c>
      <c r="M348" s="4" cm="1">
        <f t="array" ref="M348">INDEX(GMW!$A$2:$NF$150,MATCH(1,(GMW!$NE$2:$NE$150=M$3)*(GMW!$ND$2:$ND$150=M$4)*(GMW!$NF$2:$NF$150=M$1),0),$C348-1966)</f>
        <v>39365.89</v>
      </c>
      <c r="N348" s="4" cm="1">
        <f t="array" ref="N348">INDEX(GMW!$A$2:$NF$150,MATCH(1,(GMW!$NE$2:$NE$150=N$3)*(GMW!$ND$2:$ND$150=N$4)*(GMW!$NF$2:$NF$150=N$1),0),$C348-1966)</f>
        <v>31.92417</v>
      </c>
      <c r="O348" s="4" cm="1">
        <f t="array" ref="O348">INDEX(GMW!$A$2:$NF$150,MATCH(1,(GMW!$NE$2:$NE$150=O$3)*(GMW!$ND$2:$ND$150=O$4)*(GMW!$NF$2:$NF$150=O$1),0),$C348-1966)</f>
        <v>717327.3</v>
      </c>
      <c r="P348" s="4" cm="1">
        <f t="array" ref="P348">INDEX(GMW!$A$2:$NF$150,MATCH(1,(GMW!$NE$2:$NE$150=P$3)*(GMW!$ND$2:$ND$150=P$4)*(GMW!$NF$2:$NF$150=P$1),0),$C348-1966)</f>
        <v>46269.86</v>
      </c>
      <c r="Q348" s="4" cm="1">
        <f t="array" ref="Q348">INDEX(GMW!$A$2:$NF$150,MATCH(1,(GMW!$NE$2:$NE$150=Q$3)*(GMW!$ND$2:$ND$150=Q$4)*(GMW!$NF$2:$NF$150=Q$1),0),$C348-1966)</f>
        <v>6032153</v>
      </c>
      <c r="R348" s="4" cm="1">
        <f t="array" ref="R348">INDEX(GMW!$A$2:$NF$150,MATCH(1,(GMW!$NE$2:$NE$150=R$3)*(GMW!$ND$2:$ND$150=R$4)*(GMW!$NF$2:$NF$150=R$1),0),$C348-1966)</f>
        <v>-1.556317</v>
      </c>
      <c r="S348" s="4" cm="1">
        <f t="array" ref="S348">INDEX(GMW!$A$2:$NF$150,MATCH(1,(GMW!$NE$2:$NE$150=S$3)*(GMW!$ND$2:$ND$150=S$4)*(GMW!$NF$2:$NF$150=S$1),0),$C348-1966)</f>
        <v>1050969</v>
      </c>
      <c r="T348" s="4" cm="1">
        <f t="array" ref="T348">INDEX(GMW!$A$2:$NF$150,MATCH(1,(GMW!$NE$2:$NE$150=T$3)*(GMW!$ND$2:$ND$150=T$4)*(GMW!$NF$2:$NF$150=T$1),0),$C348-1966)</f>
        <v>267.75420000000003</v>
      </c>
      <c r="U348" s="4" cm="1">
        <f t="array" ref="U348">INDEX(GMW!$A$2:$NF$150,MATCH(1,(GMW!$NE$2:$NE$150=U$3)*(GMW!$ND$2:$ND$150=U$4)*(GMW!$NF$2:$NF$150=U$1),0),$C348-1966)</f>
        <v>303087.2</v>
      </c>
      <c r="V348" s="4" cm="1">
        <f t="array" ref="V348">INDEX(GMW!$A$2:$NF$150,MATCH(1,(GMW!$NE$2:$NE$150=V$3)*(GMW!$ND$2:$ND$150=V$4)*(GMW!$NF$2:$NF$150=V$1),0),$C348-1966)</f>
        <v>107671.6</v>
      </c>
      <c r="W348" s="4" cm="1">
        <f t="array" ref="W348">INDEX(GMW!$A$2:$NF$150,MATCH(1,(GMW!$NE$2:$NE$150=W$3)*(GMW!$ND$2:$ND$150=W$4)*(GMW!$NF$2:$NF$150=W$1),0),$C348-1966)</f>
        <v>347582.8</v>
      </c>
      <c r="X348" s="4" cm="1">
        <f t="array" ref="X348">INDEX(GMW!$A$2:$NF$150,MATCH(1,(GMW!$NE$2:$NE$150=X$3)*(GMW!$ND$2:$ND$150=X$4)*(GMW!$NF$2:$NF$150=X$1),0),$C348-1966)</f>
        <v>182703.9</v>
      </c>
      <c r="Y348" s="4" cm="1">
        <f t="array" ref="Y348">INDEX(GMW!$A$2:$NF$150,MATCH(1,(GMW!$NE$2:$NE$150=Y$3)*(GMW!$ND$2:$ND$150=Y$4)*(GMW!$NF$2:$NF$150=Y$1),0),$C348-1966)</f>
        <v>216045</v>
      </c>
      <c r="Z348" s="4" cm="1">
        <f t="array" ref="Z348">INDEX(GMW!$A$2:$NF$150,MATCH(1,(GMW!$NE$2:$NE$150=Z$3)*(GMW!$ND$2:$ND$150=Z$4)*(GMW!$NF$2:$NF$150=Z$1),0),$C348-1966)</f>
        <v>127454</v>
      </c>
      <c r="AA348" s="4" cm="1">
        <f t="array" ref="AA348">INDEX(GMW!$A$2:$NF$150,MATCH(1,(GMW!$NE$2:$NE$150=AA$3)*(GMW!$ND$2:$ND$150=AA$4)*(GMW!$NF$2:$NF$150=AA$1),0),$C348-1966)</f>
        <v>1050968</v>
      </c>
      <c r="AB348" s="4" cm="1">
        <f t="array" ref="AB348">INDEX(GMW!$A$2:$NF$150,MATCH(1,(GMW!$NE$2:$NE$150=AB$3)*(GMW!$ND$2:$ND$150=AB$4)*(GMW!$NF$2:$NF$150=AB$1),0),$C348-1966)</f>
        <v>39365.89</v>
      </c>
      <c r="AC348" s="4" cm="1">
        <f t="array" ref="AC348">INDEX(GMW!$A$2:$NF$150,MATCH(1,(GMW!$NE$2:$NE$150=AC$3)*(GMW!$ND$2:$ND$150=AC$4)*(GMW!$NF$2:$NF$150=AC$1),0),$C348-1966)</f>
        <v>31.92417</v>
      </c>
      <c r="AD348" s="4" cm="1">
        <f t="array" ref="AD348">INDEX(GMW!$A$2:$NF$150,MATCH(1,(GMW!$NE$2:$NE$150=AD$3)*(GMW!$ND$2:$ND$150=AD$4)*(GMW!$NF$2:$NF$150=AD$1),0),$C348-1966)</f>
        <v>717327.3</v>
      </c>
      <c r="AE348" s="4" cm="1">
        <f t="array" ref="AE348">INDEX(GMW!$A$2:$NF$150,MATCH(1,(GMW!$NE$2:$NE$150=AE$3)*(GMW!$ND$2:$ND$150=AE$4)*(GMW!$NF$2:$NF$150=AE$1),0),$C348-1966)</f>
        <v>46269.86</v>
      </c>
      <c r="AF348" s="4" cm="1">
        <f t="array" ref="AF348">INDEX(GMW!$A$2:$NF$150,MATCH(1,(GMW!$NE$2:$NE$150=AF$3)*(GMW!$ND$2:$ND$150=AF$4)*(GMW!$NF$2:$NF$150=AF$1),0),$C348-1966)</f>
        <v>6133034</v>
      </c>
      <c r="AG348" s="4" cm="1">
        <f t="array" ref="AG348">INDEX(GMW!$A$2:$NF$150,MATCH(1,(GMW!$NE$2:$NE$150=AG$3)*(GMW!$ND$2:$ND$150=AG$4)*(GMW!$NF$2:$NF$150=AG$1),0),$C348-1966)</f>
        <v>-1.5543610000000001</v>
      </c>
      <c r="AH348" s="4" cm="1">
        <f t="array" ref="AH348">INDEX(GMW!$A$2:$NF$150,MATCH(1,(GMW!$NE$2:$NE$150=AH$3)*(GMW!$ND$2:$ND$150=AH$4)*(GMW!$NF$2:$NF$150=AH$1),0),$C348-1966)</f>
        <v>1059049</v>
      </c>
      <c r="AI348" s="4" cm="1">
        <f t="array" ref="AI348">INDEX(GMW!$A$2:$NF$150,MATCH(1,(GMW!$NE$2:$NE$150=AI$3)*(GMW!$ND$2:$ND$150=AI$4)*(GMW!$NF$2:$NF$150=AI$1),0),$C348-1966)</f>
        <v>265.98779999999999</v>
      </c>
      <c r="AJ348" s="4" cm="1">
        <f t="array" ref="AJ348">INDEX(GMW!$A$2:$NF$150,MATCH(1,(GMW!$NE$2:$NE$150=AJ$3)*(GMW!$ND$2:$ND$150=AJ$4)*(GMW!$NF$2:$NF$150=AJ$1),0),$C348-1966)</f>
        <v>311105.2</v>
      </c>
      <c r="AK348" s="4" cm="1">
        <f t="array" ref="AK348">INDEX(GMW!$A$2:$NF$150,MATCH(1,(GMW!$NE$2:$NE$150=AK$3)*(GMW!$ND$2:$ND$150=AK$4)*(GMW!$NF$2:$NF$150=AK$1),0),$C348-1966)</f>
        <v>111774.8</v>
      </c>
      <c r="AL348" s="4" cm="1">
        <f t="array" ref="AL348">INDEX(GMW!$A$2:$NF$150,MATCH(1,(GMW!$NE$2:$NE$150=AL$3)*(GMW!$ND$2:$ND$150=AL$4)*(GMW!$NF$2:$NF$150=AL$1),0),$C348-1966)</f>
        <v>354835.9</v>
      </c>
      <c r="AM348" s="4" cm="1">
        <f t="array" ref="AM348">INDEX(GMW!$A$2:$NF$150,MATCH(1,(GMW!$NE$2:$NE$150=AM$3)*(GMW!$ND$2:$ND$150=AM$4)*(GMW!$NF$2:$NF$150=AM$1),0),$C348-1966)</f>
        <v>188264.5</v>
      </c>
      <c r="AN348" s="4" cm="1">
        <f t="array" ref="AN348">INDEX(GMW!$A$2:$NF$150,MATCH(1,(GMW!$NE$2:$NE$150=AN$3)*(GMW!$ND$2:$ND$150=AN$4)*(GMW!$NF$2:$NF$150=AN$1),0),$C348-1966)</f>
        <v>217660.6</v>
      </c>
      <c r="AO348" s="4" cm="1">
        <f t="array" ref="AO348">INDEX(GMW!$A$2:$NF$150,MATCH(1,(GMW!$NE$2:$NE$150=AO$3)*(GMW!$ND$2:$ND$150=AO$4)*(GMW!$NF$2:$NF$150=AO$1),0),$C348-1966)</f>
        <v>130065.9</v>
      </c>
      <c r="AP348" s="4" cm="1">
        <f t="array" ref="AP348">INDEX(GMW!$A$2:$NF$150,MATCH(1,(GMW!$NE$2:$NE$150=AP$3)*(GMW!$ND$2:$ND$150=AP$4)*(GMW!$NF$2:$NF$150=AP$1),0),$C348-1966)</f>
        <v>1059048</v>
      </c>
      <c r="AQ348" s="4" cm="1">
        <f t="array" ref="AQ348">INDEX(GMW!$A$2:$NF$150,MATCH(1,(GMW!$NE$2:$NE$150=AQ$3)*(GMW!$ND$2:$ND$150=AQ$4)*(GMW!$NF$2:$NF$150=AQ$1),0),$C348-1966)</f>
        <v>39647.089999999997</v>
      </c>
      <c r="AR348" s="4" cm="1">
        <f t="array" ref="AR348">INDEX(GMW!$A$2:$NF$150,MATCH(1,(GMW!$NE$2:$NE$150=AR$3)*(GMW!$ND$2:$ND$150=AR$4)*(GMW!$NF$2:$NF$150=AR$1),0),$C348-1966)</f>
        <v>31.92417</v>
      </c>
      <c r="AS348" s="4" cm="1">
        <f t="array" ref="AS348">INDEX(GMW!$A$2:$NF$150,MATCH(1,(GMW!$NE$2:$NE$150=AS$3)*(GMW!$ND$2:$ND$150=AS$4)*(GMW!$NF$2:$NF$150=AS$1),0),$C348-1966)</f>
        <v>722379.3</v>
      </c>
      <c r="AT348" s="4" cm="1">
        <f t="array" ref="AT348">INDEX(GMW!$A$2:$NF$150,MATCH(1,(GMW!$NE$2:$NE$150=AT$3)*(GMW!$ND$2:$ND$150=AT$4)*(GMW!$NF$2:$NF$150=AT$1),0),$C348-1966)</f>
        <v>46590.41</v>
      </c>
      <c r="AU348" s="4" cm="1">
        <f t="array" ref="AU348">INDEX(GMW!$A$2:$NF$150,MATCH(1,(GMW!$NE$2:$NE$150=AU$3)*(GMW!$ND$2:$ND$150=AU$4)*(GMW!$NF$2:$NF$150=AU$1),0),$C348-1966)</f>
        <v>6159220</v>
      </c>
      <c r="AV348" s="4" cm="1">
        <f t="array" ref="AV348">INDEX(GMW!$A$2:$NF$150,MATCH(1,(GMW!$NE$2:$NE$150=AV$3)*(GMW!$ND$2:$ND$150=AV$4)*(GMW!$NF$2:$NF$150=AV$1),0),$C348-1966)</f>
        <v>-1.552808</v>
      </c>
    </row>
    <row r="349" spans="1:48" x14ac:dyDescent="0.25">
      <c r="B349" s="4">
        <f t="shared" si="14"/>
        <v>2058</v>
      </c>
      <c r="C349" s="4">
        <f t="shared" si="13"/>
        <v>2315</v>
      </c>
      <c r="D349" s="4" cm="1">
        <f t="array" ref="D349">INDEX(GMW!$A$2:$NF$150,MATCH(1,(GMW!$NE$2:$NE$150=D$3)*(GMW!$ND$2:$ND$150=D$4)*(GMW!$NF$2:$NF$150=D$1),0),$C349-1966)</f>
        <v>1045957</v>
      </c>
      <c r="E349" s="4" cm="1">
        <f t="array" ref="E349">INDEX(GMW!$A$2:$NF$150,MATCH(1,(GMW!$NE$2:$NE$150=E$3)*(GMW!$ND$2:$ND$150=E$4)*(GMW!$NF$2:$NF$150=E$1),0),$C349-1966)</f>
        <v>269.2011</v>
      </c>
      <c r="F349" s="4" cm="1">
        <f t="array" ref="F349">INDEX(GMW!$A$2:$NF$150,MATCH(1,(GMW!$NE$2:$NE$150=F$3)*(GMW!$ND$2:$ND$150=F$4)*(GMW!$NF$2:$NF$150=F$1),0),$C349-1966)</f>
        <v>318402.59999999998</v>
      </c>
      <c r="G349" s="4" cm="1">
        <f t="array" ref="G349">INDEX(GMW!$A$2:$NF$150,MATCH(1,(GMW!$NE$2:$NE$150=G$3)*(GMW!$ND$2:$ND$150=G$4)*(GMW!$NF$2:$NF$150=G$1),0),$C349-1966)</f>
        <v>102480.5</v>
      </c>
      <c r="H349" s="4" cm="1">
        <f t="array" ref="H349">INDEX(GMW!$A$2:$NF$150,MATCH(1,(GMW!$NE$2:$NE$150=H$3)*(GMW!$ND$2:$ND$150=H$4)*(GMW!$NF$2:$NF$150=H$1),0),$C349-1966)</f>
        <v>360664.8</v>
      </c>
      <c r="I349" s="4" cm="1">
        <f t="array" ref="I349">INDEX(GMW!$A$2:$NF$150,MATCH(1,(GMW!$NE$2:$NE$150=I$3)*(GMW!$ND$2:$ND$150=I$4)*(GMW!$NF$2:$NF$150=I$1),0),$C349-1966)</f>
        <v>190694.8</v>
      </c>
      <c r="J349" s="4" cm="1">
        <f t="array" ref="J349">INDEX(GMW!$A$2:$NF$150,MATCH(1,(GMW!$NE$2:$NE$150=J$3)*(GMW!$ND$2:$ND$150=J$4)*(GMW!$NF$2:$NF$150=J$1),0),$C349-1966)</f>
        <v>213836.79999999999</v>
      </c>
      <c r="K349" s="4" cm="1">
        <f t="array" ref="K349">INDEX(GMW!$A$2:$NF$150,MATCH(1,(GMW!$NE$2:$NE$150=K$3)*(GMW!$ND$2:$ND$150=K$4)*(GMW!$NF$2:$NF$150=K$1),0),$C349-1966)</f>
        <v>124338.3</v>
      </c>
      <c r="L349" s="4" cm="1">
        <f t="array" ref="L349">INDEX(GMW!$A$2:$NF$150,MATCH(1,(GMW!$NE$2:$NE$150=L$3)*(GMW!$ND$2:$ND$150=L$4)*(GMW!$NF$2:$NF$150=L$1),0),$C349-1966)</f>
        <v>1045956</v>
      </c>
      <c r="M349" s="4" cm="1">
        <f t="array" ref="M349">INDEX(GMW!$A$2:$NF$150,MATCH(1,(GMW!$NE$2:$NE$150=M$3)*(GMW!$ND$2:$ND$150=M$4)*(GMW!$NF$2:$NF$150=M$1),0),$C349-1966)</f>
        <v>39368.04</v>
      </c>
      <c r="N349" s="4" cm="1">
        <f t="array" ref="N349">INDEX(GMW!$A$2:$NF$150,MATCH(1,(GMW!$NE$2:$NE$150=N$3)*(GMW!$ND$2:$ND$150=N$4)*(GMW!$NF$2:$NF$150=N$1),0),$C349-1966)</f>
        <v>31.92342</v>
      </c>
      <c r="O349" s="4" cm="1">
        <f t="array" ref="O349">INDEX(GMW!$A$2:$NF$150,MATCH(1,(GMW!$NE$2:$NE$150=O$3)*(GMW!$ND$2:$ND$150=O$4)*(GMW!$NF$2:$NF$150=O$1),0),$C349-1966)</f>
        <v>717420.8</v>
      </c>
      <c r="P349" s="4" cm="1">
        <f t="array" ref="P349">INDEX(GMW!$A$2:$NF$150,MATCH(1,(GMW!$NE$2:$NE$150=P$3)*(GMW!$ND$2:$ND$150=P$4)*(GMW!$NF$2:$NF$150=P$1),0),$C349-1966)</f>
        <v>46252.05</v>
      </c>
      <c r="Q349" s="4" cm="1">
        <f t="array" ref="Q349">INDEX(GMW!$A$2:$NF$150,MATCH(1,(GMW!$NE$2:$NE$150=Q$3)*(GMW!$ND$2:$ND$150=Q$4)*(GMW!$NF$2:$NF$150=Q$1),0),$C349-1966)</f>
        <v>6059597</v>
      </c>
      <c r="R349" s="4" cm="1">
        <f t="array" ref="R349">INDEX(GMW!$A$2:$NF$150,MATCH(1,(GMW!$NE$2:$NE$150=R$3)*(GMW!$ND$2:$ND$150=R$4)*(GMW!$NF$2:$NF$150=R$1),0),$C349-1966)</f>
        <v>-1.555072</v>
      </c>
      <c r="S349" s="4" cm="1">
        <f t="array" ref="S349">INDEX(GMW!$A$2:$NF$150,MATCH(1,(GMW!$NE$2:$NE$150=S$3)*(GMW!$ND$2:$ND$150=S$4)*(GMW!$NF$2:$NF$150=S$1),0),$C349-1966)</f>
        <v>1054104</v>
      </c>
      <c r="T349" s="4" cm="1">
        <f t="array" ref="T349">INDEX(GMW!$A$2:$NF$150,MATCH(1,(GMW!$NE$2:$NE$150=T$3)*(GMW!$ND$2:$ND$150=T$4)*(GMW!$NF$2:$NF$150=T$1),0),$C349-1966)</f>
        <v>269.04570000000001</v>
      </c>
      <c r="U349" s="4" cm="1">
        <f t="array" ref="U349">INDEX(GMW!$A$2:$NF$150,MATCH(1,(GMW!$NE$2:$NE$150=U$3)*(GMW!$ND$2:$ND$150=U$4)*(GMW!$NF$2:$NF$150=U$1),0),$C349-1966)</f>
        <v>303922.5</v>
      </c>
      <c r="V349" s="4" cm="1">
        <f t="array" ref="V349">INDEX(GMW!$A$2:$NF$150,MATCH(1,(GMW!$NE$2:$NE$150=V$3)*(GMW!$ND$2:$ND$150=V$4)*(GMW!$NF$2:$NF$150=V$1),0),$C349-1966)</f>
        <v>107906.6</v>
      </c>
      <c r="W349" s="4" cm="1">
        <f t="array" ref="W349">INDEX(GMW!$A$2:$NF$150,MATCH(1,(GMW!$NE$2:$NE$150=W$3)*(GMW!$ND$2:$ND$150=W$4)*(GMW!$NF$2:$NF$150=W$1),0),$C349-1966)</f>
        <v>348671.9</v>
      </c>
      <c r="X349" s="4" cm="1">
        <f t="array" ref="X349">INDEX(GMW!$A$2:$NF$150,MATCH(1,(GMW!$NE$2:$NE$150=X$3)*(GMW!$ND$2:$ND$150=X$4)*(GMW!$NF$2:$NF$150=X$1),0),$C349-1966)</f>
        <v>183230.6</v>
      </c>
      <c r="Y349" s="4" cm="1">
        <f t="array" ref="Y349">INDEX(GMW!$A$2:$NF$150,MATCH(1,(GMW!$NE$2:$NE$150=Y$3)*(GMW!$ND$2:$ND$150=Y$4)*(GMW!$NF$2:$NF$150=Y$1),0),$C349-1966)</f>
        <v>216895.9</v>
      </c>
      <c r="Z349" s="4" cm="1">
        <f t="array" ref="Z349">INDEX(GMW!$A$2:$NF$150,MATCH(1,(GMW!$NE$2:$NE$150=Z$3)*(GMW!$ND$2:$ND$150=Z$4)*(GMW!$NF$2:$NF$150=Z$1),0),$C349-1966)</f>
        <v>127993.4</v>
      </c>
      <c r="AA349" s="4" cm="1">
        <f t="array" ref="AA349">INDEX(GMW!$A$2:$NF$150,MATCH(1,(GMW!$NE$2:$NE$150=AA$3)*(GMW!$ND$2:$ND$150=AA$4)*(GMW!$NF$2:$NF$150=AA$1),0),$C349-1966)</f>
        <v>1054103</v>
      </c>
      <c r="AB349" s="4" cm="1">
        <f t="array" ref="AB349">INDEX(GMW!$A$2:$NF$150,MATCH(1,(GMW!$NE$2:$NE$150=AB$3)*(GMW!$ND$2:$ND$150=AB$4)*(GMW!$NF$2:$NF$150=AB$1),0),$C349-1966)</f>
        <v>39368.04</v>
      </c>
      <c r="AC349" s="4" cm="1">
        <f t="array" ref="AC349">INDEX(GMW!$A$2:$NF$150,MATCH(1,(GMW!$NE$2:$NE$150=AC$3)*(GMW!$ND$2:$ND$150=AC$4)*(GMW!$NF$2:$NF$150=AC$1),0),$C349-1966)</f>
        <v>31.92342</v>
      </c>
      <c r="AD349" s="4" cm="1">
        <f t="array" ref="AD349">INDEX(GMW!$A$2:$NF$150,MATCH(1,(GMW!$NE$2:$NE$150=AD$3)*(GMW!$ND$2:$ND$150=AD$4)*(GMW!$NF$2:$NF$150=AD$1),0),$C349-1966)</f>
        <v>717420.8</v>
      </c>
      <c r="AE349" s="4" cm="1">
        <f t="array" ref="AE349">INDEX(GMW!$A$2:$NF$150,MATCH(1,(GMW!$NE$2:$NE$150=AE$3)*(GMW!$ND$2:$ND$150=AE$4)*(GMW!$NF$2:$NF$150=AE$1),0),$C349-1966)</f>
        <v>46252.05</v>
      </c>
      <c r="AF349" s="4" cm="1">
        <f t="array" ref="AF349">INDEX(GMW!$A$2:$NF$150,MATCH(1,(GMW!$NE$2:$NE$150=AF$3)*(GMW!$ND$2:$ND$150=AF$4)*(GMW!$NF$2:$NF$150=AF$1),0),$C349-1966)</f>
        <v>6160367</v>
      </c>
      <c r="AG349" s="4" cm="1">
        <f t="array" ref="AG349">INDEX(GMW!$A$2:$NF$150,MATCH(1,(GMW!$NE$2:$NE$150=AG$3)*(GMW!$ND$2:$ND$150=AG$4)*(GMW!$NF$2:$NF$150=AG$1),0),$C349-1966)</f>
        <v>-1.553118</v>
      </c>
      <c r="AH349" s="4" cm="1">
        <f t="array" ref="AH349">INDEX(GMW!$A$2:$NF$150,MATCH(1,(GMW!$NE$2:$NE$150=AH$3)*(GMW!$ND$2:$ND$150=AH$4)*(GMW!$NF$2:$NF$150=AH$1),0),$C349-1966)</f>
        <v>1062412</v>
      </c>
      <c r="AI349" s="4" cm="1">
        <f t="array" ref="AI349">INDEX(GMW!$A$2:$NF$150,MATCH(1,(GMW!$NE$2:$NE$150=AI$3)*(GMW!$ND$2:$ND$150=AI$4)*(GMW!$NF$2:$NF$150=AI$1),0),$C349-1966)</f>
        <v>267.16199999999998</v>
      </c>
      <c r="AJ349" s="4" cm="1">
        <f t="array" ref="AJ349">INDEX(GMW!$A$2:$NF$150,MATCH(1,(GMW!$NE$2:$NE$150=AJ$3)*(GMW!$ND$2:$ND$150=AJ$4)*(GMW!$NF$2:$NF$150=AJ$1),0),$C349-1966)</f>
        <v>312013.8</v>
      </c>
      <c r="AK349" s="4" cm="1">
        <f t="array" ref="AK349">INDEX(GMW!$A$2:$NF$150,MATCH(1,(GMW!$NE$2:$NE$150=AK$3)*(GMW!$ND$2:$ND$150=AK$4)*(GMW!$NF$2:$NF$150=AK$1),0),$C349-1966)</f>
        <v>112040.3</v>
      </c>
      <c r="AL349" s="4" cm="1">
        <f t="array" ref="AL349">INDEX(GMW!$A$2:$NF$150,MATCH(1,(GMW!$NE$2:$NE$150=AL$3)*(GMW!$ND$2:$ND$150=AL$4)*(GMW!$NF$2:$NF$150=AL$1),0),$C349-1966)</f>
        <v>356004.5</v>
      </c>
      <c r="AM349" s="4" cm="1">
        <f t="array" ref="AM349">INDEX(GMW!$A$2:$NF$150,MATCH(1,(GMW!$NE$2:$NE$150=AM$3)*(GMW!$ND$2:$ND$150=AM$4)*(GMW!$NF$2:$NF$150=AM$1),0),$C349-1966)</f>
        <v>188843.5</v>
      </c>
      <c r="AN349" s="4" cm="1">
        <f t="array" ref="AN349">INDEX(GMW!$A$2:$NF$150,MATCH(1,(GMW!$NE$2:$NE$150=AN$3)*(GMW!$ND$2:$ND$150=AN$4)*(GMW!$NF$2:$NF$150=AN$1),0),$C349-1966)</f>
        <v>218560.5</v>
      </c>
      <c r="AO349" s="4" cm="1">
        <f t="array" ref="AO349">INDEX(GMW!$A$2:$NF$150,MATCH(1,(GMW!$NE$2:$NE$150=AO$3)*(GMW!$ND$2:$ND$150=AO$4)*(GMW!$NF$2:$NF$150=AO$1),0),$C349-1966)</f>
        <v>130641.5</v>
      </c>
      <c r="AP349" s="4" cm="1">
        <f t="array" ref="AP349">INDEX(GMW!$A$2:$NF$150,MATCH(1,(GMW!$NE$2:$NE$150=AP$3)*(GMW!$ND$2:$ND$150=AP$4)*(GMW!$NF$2:$NF$150=AP$1),0),$C349-1966)</f>
        <v>1062412</v>
      </c>
      <c r="AQ349" s="4" cm="1">
        <f t="array" ref="AQ349">INDEX(GMW!$A$2:$NF$150,MATCH(1,(GMW!$NE$2:$NE$150=AQ$3)*(GMW!$ND$2:$ND$150=AQ$4)*(GMW!$NF$2:$NF$150=AQ$1),0),$C349-1966)</f>
        <v>39658.6</v>
      </c>
      <c r="AR349" s="4" cm="1">
        <f t="array" ref="AR349">INDEX(GMW!$A$2:$NF$150,MATCH(1,(GMW!$NE$2:$NE$150=AR$3)*(GMW!$ND$2:$ND$150=AR$4)*(GMW!$NF$2:$NF$150=AR$1),0),$C349-1966)</f>
        <v>31.92342</v>
      </c>
      <c r="AS349" s="4" cm="1">
        <f t="array" ref="AS349">INDEX(GMW!$A$2:$NF$150,MATCH(1,(GMW!$NE$2:$NE$150=AS$3)*(GMW!$ND$2:$ND$150=AS$4)*(GMW!$NF$2:$NF$150=AS$1),0),$C349-1966)</f>
        <v>722638.9</v>
      </c>
      <c r="AT349" s="4" cm="1">
        <f t="array" ref="AT349">INDEX(GMW!$A$2:$NF$150,MATCH(1,(GMW!$NE$2:$NE$150=AT$3)*(GMW!$ND$2:$ND$150=AT$4)*(GMW!$NF$2:$NF$150=AT$1),0),$C349-1966)</f>
        <v>46584.12</v>
      </c>
      <c r="AU349" s="4" cm="1">
        <f t="array" ref="AU349">INDEX(GMW!$A$2:$NF$150,MATCH(1,(GMW!$NE$2:$NE$150=AU$3)*(GMW!$ND$2:$ND$150=AU$4)*(GMW!$NF$2:$NF$150=AU$1),0),$C349-1966)</f>
        <v>6187499</v>
      </c>
      <c r="AV349" s="4" cm="1">
        <f t="array" ref="AV349">INDEX(GMW!$A$2:$NF$150,MATCH(1,(GMW!$NE$2:$NE$150=AV$3)*(GMW!$ND$2:$ND$150=AV$4)*(GMW!$NF$2:$NF$150=AV$1),0),$C349-1966)</f>
        <v>-1.5515650000000001</v>
      </c>
    </row>
    <row r="350" spans="1:48" x14ac:dyDescent="0.25">
      <c r="B350" s="4">
        <f t="shared" si="14"/>
        <v>2058</v>
      </c>
      <c r="C350" s="4">
        <f t="shared" si="13"/>
        <v>2316</v>
      </c>
      <c r="D350" s="4" cm="1">
        <f t="array" ref="D350">INDEX(GMW!$A$2:$NF$150,MATCH(1,(GMW!$NE$2:$NE$150=D$3)*(GMW!$ND$2:$ND$150=D$4)*(GMW!$NF$2:$NF$150=D$1),0),$C350-1966)</f>
        <v>1049107</v>
      </c>
      <c r="E350" s="4" cm="1">
        <f t="array" ref="E350">INDEX(GMW!$A$2:$NF$150,MATCH(1,(GMW!$NE$2:$NE$150=E$3)*(GMW!$ND$2:$ND$150=E$4)*(GMW!$NF$2:$NF$150=E$1),0),$C350-1966)</f>
        <v>270.38630000000001</v>
      </c>
      <c r="F350" s="4" cm="1">
        <f t="array" ref="F350">INDEX(GMW!$A$2:$NF$150,MATCH(1,(GMW!$NE$2:$NE$150=F$3)*(GMW!$ND$2:$ND$150=F$4)*(GMW!$NF$2:$NF$150=F$1),0),$C350-1966)</f>
        <v>319304.7</v>
      </c>
      <c r="G350" s="4" cm="1">
        <f t="array" ref="G350">INDEX(GMW!$A$2:$NF$150,MATCH(1,(GMW!$NE$2:$NE$150=G$3)*(GMW!$ND$2:$ND$150=G$4)*(GMW!$NF$2:$NF$150=G$1),0),$C350-1966)</f>
        <v>102707.1</v>
      </c>
      <c r="H350" s="4" cm="1">
        <f t="array" ref="H350">INDEX(GMW!$A$2:$NF$150,MATCH(1,(GMW!$NE$2:$NE$150=H$3)*(GMW!$ND$2:$ND$150=H$4)*(GMW!$NF$2:$NF$150=H$1),0),$C350-1966)</f>
        <v>361811.8</v>
      </c>
      <c r="I350" s="4" cm="1">
        <f t="array" ref="I350">INDEX(GMW!$A$2:$NF$150,MATCH(1,(GMW!$NE$2:$NE$150=I$3)*(GMW!$ND$2:$ND$150=I$4)*(GMW!$NF$2:$NF$150=I$1),0),$C350-1966)</f>
        <v>191250</v>
      </c>
      <c r="J350" s="4" cm="1">
        <f t="array" ref="J350">INDEX(GMW!$A$2:$NF$150,MATCH(1,(GMW!$NE$2:$NE$150=J$3)*(GMW!$ND$2:$ND$150=J$4)*(GMW!$NF$2:$NF$150=J$1),0),$C350-1966)</f>
        <v>214690.8</v>
      </c>
      <c r="K350" s="4" cm="1">
        <f t="array" ref="K350">INDEX(GMW!$A$2:$NF$150,MATCH(1,(GMW!$NE$2:$NE$150=K$3)*(GMW!$ND$2:$ND$150=K$4)*(GMW!$NF$2:$NF$150=K$1),0),$C350-1966)</f>
        <v>124874.4</v>
      </c>
      <c r="L350" s="4" cm="1">
        <f t="array" ref="L350">INDEX(GMW!$A$2:$NF$150,MATCH(1,(GMW!$NE$2:$NE$150=L$3)*(GMW!$ND$2:$ND$150=L$4)*(GMW!$NF$2:$NF$150=L$1),0),$C350-1966)</f>
        <v>1049107</v>
      </c>
      <c r="M350" s="4" cm="1">
        <f t="array" ref="M350">INDEX(GMW!$A$2:$NF$150,MATCH(1,(GMW!$NE$2:$NE$150=M$3)*(GMW!$ND$2:$ND$150=M$4)*(GMW!$NF$2:$NF$150=M$1),0),$C350-1966)</f>
        <v>39370.18</v>
      </c>
      <c r="N350" s="4" cm="1">
        <f t="array" ref="N350">INDEX(GMW!$A$2:$NF$150,MATCH(1,(GMW!$NE$2:$NE$150=N$3)*(GMW!$ND$2:$ND$150=N$4)*(GMW!$NF$2:$NF$150=N$1),0),$C350-1966)</f>
        <v>31.92267</v>
      </c>
      <c r="O350" s="4" cm="1">
        <f t="array" ref="O350">INDEX(GMW!$A$2:$NF$150,MATCH(1,(GMW!$NE$2:$NE$150=O$3)*(GMW!$ND$2:$ND$150=O$4)*(GMW!$NF$2:$NF$150=O$1),0),$C350-1966)</f>
        <v>717512.7</v>
      </c>
      <c r="P350" s="4" cm="1">
        <f t="array" ref="P350">INDEX(GMW!$A$2:$NF$150,MATCH(1,(GMW!$NE$2:$NE$150=P$3)*(GMW!$ND$2:$ND$150=P$4)*(GMW!$NF$2:$NF$150=P$1),0),$C350-1966)</f>
        <v>46234.239999999998</v>
      </c>
      <c r="Q350" s="4" cm="1">
        <f t="array" ref="Q350">INDEX(GMW!$A$2:$NF$150,MATCH(1,(GMW!$NE$2:$NE$150=Q$3)*(GMW!$ND$2:$ND$150=Q$4)*(GMW!$NF$2:$NF$150=Q$1),0),$C350-1966)</f>
        <v>6087105</v>
      </c>
      <c r="R350" s="4" cm="1">
        <f t="array" ref="R350">INDEX(GMW!$A$2:$NF$150,MATCH(1,(GMW!$NE$2:$NE$150=R$3)*(GMW!$ND$2:$ND$150=R$4)*(GMW!$NF$2:$NF$150=R$1),0),$C350-1966)</f>
        <v>-1.553828</v>
      </c>
      <c r="S350" s="4" cm="1">
        <f t="array" ref="S350">INDEX(GMW!$A$2:$NF$150,MATCH(1,(GMW!$NE$2:$NE$150=S$3)*(GMW!$ND$2:$ND$150=S$4)*(GMW!$NF$2:$NF$150=S$1),0),$C350-1966)</f>
        <v>1057242</v>
      </c>
      <c r="T350" s="4" cm="1">
        <f t="array" ref="T350">INDEX(GMW!$A$2:$NF$150,MATCH(1,(GMW!$NE$2:$NE$150=T$3)*(GMW!$ND$2:$ND$150=T$4)*(GMW!$NF$2:$NF$150=T$1),0),$C350-1966)</f>
        <v>270.19779999999997</v>
      </c>
      <c r="U350" s="4" cm="1">
        <f t="array" ref="U350">INDEX(GMW!$A$2:$NF$150,MATCH(1,(GMW!$NE$2:$NE$150=U$3)*(GMW!$ND$2:$ND$150=U$4)*(GMW!$NF$2:$NF$150=U$1),0),$C350-1966)</f>
        <v>304758.8</v>
      </c>
      <c r="V350" s="4" cm="1">
        <f t="array" ref="V350">INDEX(GMW!$A$2:$NF$150,MATCH(1,(GMW!$NE$2:$NE$150=V$3)*(GMW!$ND$2:$ND$150=V$4)*(GMW!$NF$2:$NF$150=V$1),0),$C350-1966)</f>
        <v>108141.6</v>
      </c>
      <c r="W350" s="4" cm="1">
        <f t="array" ref="W350">INDEX(GMW!$A$2:$NF$150,MATCH(1,(GMW!$NE$2:$NE$150=W$3)*(GMW!$ND$2:$ND$150=W$4)*(GMW!$NF$2:$NF$150=W$1),0),$C350-1966)</f>
        <v>349763.1</v>
      </c>
      <c r="X350" s="4" cm="1">
        <f t="array" ref="X350">INDEX(GMW!$A$2:$NF$150,MATCH(1,(GMW!$NE$2:$NE$150=X$3)*(GMW!$ND$2:$ND$150=X$4)*(GMW!$NF$2:$NF$150=X$1),0),$C350-1966)</f>
        <v>183757.9</v>
      </c>
      <c r="Y350" s="4" cm="1">
        <f t="array" ref="Y350">INDEX(GMW!$A$2:$NF$150,MATCH(1,(GMW!$NE$2:$NE$150=Y$3)*(GMW!$ND$2:$ND$150=Y$4)*(GMW!$NF$2:$NF$150=Y$1),0),$C350-1966)</f>
        <v>217749.1</v>
      </c>
      <c r="Z350" s="4" cm="1">
        <f t="array" ref="Z350">INDEX(GMW!$A$2:$NF$150,MATCH(1,(GMW!$NE$2:$NE$150=Z$3)*(GMW!$ND$2:$ND$150=Z$4)*(GMW!$NF$2:$NF$150=Z$1),0),$C350-1966)</f>
        <v>128534.5</v>
      </c>
      <c r="AA350" s="4" cm="1">
        <f t="array" ref="AA350">INDEX(GMW!$A$2:$NF$150,MATCH(1,(GMW!$NE$2:$NE$150=AA$3)*(GMW!$ND$2:$ND$150=AA$4)*(GMW!$NF$2:$NF$150=AA$1),0),$C350-1966)</f>
        <v>1057243</v>
      </c>
      <c r="AB350" s="4" cm="1">
        <f t="array" ref="AB350">INDEX(GMW!$A$2:$NF$150,MATCH(1,(GMW!$NE$2:$NE$150=AB$3)*(GMW!$ND$2:$ND$150=AB$4)*(GMW!$NF$2:$NF$150=AB$1),0),$C350-1966)</f>
        <v>39370.18</v>
      </c>
      <c r="AC350" s="4" cm="1">
        <f t="array" ref="AC350">INDEX(GMW!$A$2:$NF$150,MATCH(1,(GMW!$NE$2:$NE$150=AC$3)*(GMW!$ND$2:$ND$150=AC$4)*(GMW!$NF$2:$NF$150=AC$1),0),$C350-1966)</f>
        <v>31.92267</v>
      </c>
      <c r="AD350" s="4" cm="1">
        <f t="array" ref="AD350">INDEX(GMW!$A$2:$NF$150,MATCH(1,(GMW!$NE$2:$NE$150=AD$3)*(GMW!$ND$2:$ND$150=AD$4)*(GMW!$NF$2:$NF$150=AD$1),0),$C350-1966)</f>
        <v>717512.7</v>
      </c>
      <c r="AE350" s="4" cm="1">
        <f t="array" ref="AE350">INDEX(GMW!$A$2:$NF$150,MATCH(1,(GMW!$NE$2:$NE$150=AE$3)*(GMW!$ND$2:$ND$150=AE$4)*(GMW!$NF$2:$NF$150=AE$1),0),$C350-1966)</f>
        <v>46234.239999999998</v>
      </c>
      <c r="AF350" s="4" cm="1">
        <f t="array" ref="AF350">INDEX(GMW!$A$2:$NF$150,MATCH(1,(GMW!$NE$2:$NE$150=AF$3)*(GMW!$ND$2:$ND$150=AF$4)*(GMW!$NF$2:$NF$150=AF$1),0),$C350-1966)</f>
        <v>6187754</v>
      </c>
      <c r="AG350" s="4" cm="1">
        <f t="array" ref="AG350">INDEX(GMW!$A$2:$NF$150,MATCH(1,(GMW!$NE$2:$NE$150=AG$3)*(GMW!$ND$2:$ND$150=AG$4)*(GMW!$NF$2:$NF$150=AG$1),0),$C350-1966)</f>
        <v>-1.5518749999999999</v>
      </c>
      <c r="AH350" s="4" cm="1">
        <f t="array" ref="AH350">INDEX(GMW!$A$2:$NF$150,MATCH(1,(GMW!$NE$2:$NE$150=AH$3)*(GMW!$ND$2:$ND$150=AH$4)*(GMW!$NF$2:$NF$150=AH$1),0),$C350-1966)</f>
        <v>1065780</v>
      </c>
      <c r="AI350" s="4" cm="1">
        <f t="array" ref="AI350">INDEX(GMW!$A$2:$NF$150,MATCH(1,(GMW!$NE$2:$NE$150=AI$3)*(GMW!$ND$2:$ND$150=AI$4)*(GMW!$NF$2:$NF$150=AI$1),0),$C350-1966)</f>
        <v>268.4837</v>
      </c>
      <c r="AJ350" s="4" cm="1">
        <f t="array" ref="AJ350">INDEX(GMW!$A$2:$NF$150,MATCH(1,(GMW!$NE$2:$NE$150=AJ$3)*(GMW!$ND$2:$ND$150=AJ$4)*(GMW!$NF$2:$NF$150=AJ$1),0),$C350-1966)</f>
        <v>312924</v>
      </c>
      <c r="AK350" s="4" cm="1">
        <f t="array" ref="AK350">INDEX(GMW!$A$2:$NF$150,MATCH(1,(GMW!$NE$2:$NE$150=AK$3)*(GMW!$ND$2:$ND$150=AK$4)*(GMW!$NF$2:$NF$150=AK$1),0),$C350-1966)</f>
        <v>112305.9</v>
      </c>
      <c r="AL350" s="4" cm="1">
        <f t="array" ref="AL350">INDEX(GMW!$A$2:$NF$150,MATCH(1,(GMW!$NE$2:$NE$150=AL$3)*(GMW!$ND$2:$ND$150=AL$4)*(GMW!$NF$2:$NF$150=AL$1),0),$C350-1966)</f>
        <v>357175.7</v>
      </c>
      <c r="AM350" s="4" cm="1">
        <f t="array" ref="AM350">INDEX(GMW!$A$2:$NF$150,MATCH(1,(GMW!$NE$2:$NE$150=AM$3)*(GMW!$ND$2:$ND$150=AM$4)*(GMW!$NF$2:$NF$150=AM$1),0),$C350-1966)</f>
        <v>189423.4</v>
      </c>
      <c r="AN350" s="4" cm="1">
        <f t="array" ref="AN350">INDEX(GMW!$A$2:$NF$150,MATCH(1,(GMW!$NE$2:$NE$150=AN$3)*(GMW!$ND$2:$ND$150=AN$4)*(GMW!$NF$2:$NF$150=AN$1),0),$C350-1966)</f>
        <v>219463.1</v>
      </c>
      <c r="AO350" s="4" cm="1">
        <f t="array" ref="AO350">INDEX(GMW!$A$2:$NF$150,MATCH(1,(GMW!$NE$2:$NE$150=AO$3)*(GMW!$ND$2:$ND$150=AO$4)*(GMW!$NF$2:$NF$150=AO$1),0),$C350-1966)</f>
        <v>131219</v>
      </c>
      <c r="AP350" s="4" cm="1">
        <f t="array" ref="AP350">INDEX(GMW!$A$2:$NF$150,MATCH(1,(GMW!$NE$2:$NE$150=AP$3)*(GMW!$ND$2:$ND$150=AP$4)*(GMW!$NF$2:$NF$150=AP$1),0),$C350-1966)</f>
        <v>1065780</v>
      </c>
      <c r="AQ350" s="4" cm="1">
        <f t="array" ref="AQ350">INDEX(GMW!$A$2:$NF$150,MATCH(1,(GMW!$NE$2:$NE$150=AQ$3)*(GMW!$ND$2:$ND$150=AQ$4)*(GMW!$NF$2:$NF$150=AQ$1),0),$C350-1966)</f>
        <v>39670.11</v>
      </c>
      <c r="AR350" s="4" cm="1">
        <f t="array" ref="AR350">INDEX(GMW!$A$2:$NF$150,MATCH(1,(GMW!$NE$2:$NE$150=AR$3)*(GMW!$ND$2:$ND$150=AR$4)*(GMW!$NF$2:$NF$150=AR$1),0),$C350-1966)</f>
        <v>31.92267</v>
      </c>
      <c r="AS350" s="4" cm="1">
        <f t="array" ref="AS350">INDEX(GMW!$A$2:$NF$150,MATCH(1,(GMW!$NE$2:$NE$150=AS$3)*(GMW!$ND$2:$ND$150=AS$4)*(GMW!$NF$2:$NF$150=AS$1),0),$C350-1966)</f>
        <v>722896.5</v>
      </c>
      <c r="AT350" s="4" cm="1">
        <f t="array" ref="AT350">INDEX(GMW!$A$2:$NF$150,MATCH(1,(GMW!$NE$2:$NE$150=AT$3)*(GMW!$ND$2:$ND$150=AT$4)*(GMW!$NF$2:$NF$150=AT$1),0),$C350-1966)</f>
        <v>46577.82</v>
      </c>
      <c r="AU350" s="4" cm="1">
        <f t="array" ref="AU350">INDEX(GMW!$A$2:$NF$150,MATCH(1,(GMW!$NE$2:$NE$150=AU$3)*(GMW!$ND$2:$ND$150=AU$4)*(GMW!$NF$2:$NF$150=AU$1),0),$C350-1966)</f>
        <v>6215850</v>
      </c>
      <c r="AV350" s="4" cm="1">
        <f t="array" ref="AV350">INDEX(GMW!$A$2:$NF$150,MATCH(1,(GMW!$NE$2:$NE$150=AV$3)*(GMW!$ND$2:$ND$150=AV$4)*(GMW!$NF$2:$NF$150=AV$1),0),$C350-1966)</f>
        <v>-1.550324</v>
      </c>
    </row>
    <row r="351" spans="1:48" x14ac:dyDescent="0.25">
      <c r="A351" s="4">
        <v>2059</v>
      </c>
      <c r="B351" s="4">
        <f t="shared" si="14"/>
        <v>2059</v>
      </c>
      <c r="C351" s="4">
        <f t="shared" si="13"/>
        <v>2317</v>
      </c>
      <c r="D351" s="4" cm="1">
        <f t="array" ref="D351">INDEX(GMW!$A$2:$NF$150,MATCH(1,(GMW!$NE$2:$NE$150=D$3)*(GMW!$ND$2:$ND$150=D$4)*(GMW!$NF$2:$NF$150=D$1),0),$C351-1966)</f>
        <v>1052261</v>
      </c>
      <c r="E351" s="4" cm="1">
        <f t="array" ref="E351">INDEX(GMW!$A$2:$NF$150,MATCH(1,(GMW!$NE$2:$NE$150=E$3)*(GMW!$ND$2:$ND$150=E$4)*(GMW!$NF$2:$NF$150=E$1),0),$C351-1966)</f>
        <v>270.93979999999999</v>
      </c>
      <c r="F351" s="4" cm="1">
        <f t="array" ref="F351">INDEX(GMW!$A$2:$NF$150,MATCH(1,(GMW!$NE$2:$NE$150=F$3)*(GMW!$ND$2:$ND$150=F$4)*(GMW!$NF$2:$NF$150=F$1),0),$C351-1966)</f>
        <v>320208.2</v>
      </c>
      <c r="G351" s="4" cm="1">
        <f t="array" ref="G351">INDEX(GMW!$A$2:$NF$150,MATCH(1,(GMW!$NE$2:$NE$150=G$3)*(GMW!$ND$2:$ND$150=G$4)*(GMW!$NF$2:$NF$150=G$1),0),$C351-1966)</f>
        <v>102933.7</v>
      </c>
      <c r="H351" s="4" cm="1">
        <f t="array" ref="H351">INDEX(GMW!$A$2:$NF$150,MATCH(1,(GMW!$NE$2:$NE$150=H$3)*(GMW!$ND$2:$ND$150=H$4)*(GMW!$NF$2:$NF$150=H$1),0),$C351-1966)</f>
        <v>362961.1</v>
      </c>
      <c r="I351" s="4" cm="1">
        <f t="array" ref="I351">INDEX(GMW!$A$2:$NF$150,MATCH(1,(GMW!$NE$2:$NE$150=I$3)*(GMW!$ND$2:$ND$150=I$4)*(GMW!$NF$2:$NF$150=I$1),0),$C351-1966)</f>
        <v>191805.8</v>
      </c>
      <c r="J351" s="4" cm="1">
        <f t="array" ref="J351">INDEX(GMW!$A$2:$NF$150,MATCH(1,(GMW!$NE$2:$NE$150=J$3)*(GMW!$ND$2:$ND$150=J$4)*(GMW!$NF$2:$NF$150=J$1),0),$C351-1966)</f>
        <v>215547.1</v>
      </c>
      <c r="K351" s="4" cm="1">
        <f t="array" ref="K351">INDEX(GMW!$A$2:$NF$150,MATCH(1,(GMW!$NE$2:$NE$150=K$3)*(GMW!$ND$2:$ND$150=K$4)*(GMW!$NF$2:$NF$150=K$1),0),$C351-1966)</f>
        <v>125412.1</v>
      </c>
      <c r="L351" s="4" cm="1">
        <f t="array" ref="L351">INDEX(GMW!$A$2:$NF$150,MATCH(1,(GMW!$NE$2:$NE$150=L$3)*(GMW!$ND$2:$ND$150=L$4)*(GMW!$NF$2:$NF$150=L$1),0),$C351-1966)</f>
        <v>1052260</v>
      </c>
      <c r="M351" s="4" cm="1">
        <f t="array" ref="M351">INDEX(GMW!$A$2:$NF$150,MATCH(1,(GMW!$NE$2:$NE$150=M$3)*(GMW!$ND$2:$ND$150=M$4)*(GMW!$NF$2:$NF$150=M$1),0),$C351-1966)</f>
        <v>39372.32</v>
      </c>
      <c r="N351" s="4" cm="1">
        <f t="array" ref="N351">INDEX(GMW!$A$2:$NF$150,MATCH(1,(GMW!$NE$2:$NE$150=N$3)*(GMW!$ND$2:$ND$150=N$4)*(GMW!$NF$2:$NF$150=N$1),0),$C351-1966)</f>
        <v>31.92192</v>
      </c>
      <c r="O351" s="4" cm="1">
        <f t="array" ref="O351">INDEX(GMW!$A$2:$NF$150,MATCH(1,(GMW!$NE$2:$NE$150=O$3)*(GMW!$ND$2:$ND$150=O$4)*(GMW!$NF$2:$NF$150=O$1),0),$C351-1966)</f>
        <v>717603.3</v>
      </c>
      <c r="P351" s="4" cm="1">
        <f t="array" ref="P351">INDEX(GMW!$A$2:$NF$150,MATCH(1,(GMW!$NE$2:$NE$150=P$3)*(GMW!$ND$2:$ND$150=P$4)*(GMW!$NF$2:$NF$150=P$1),0),$C351-1966)</f>
        <v>46216.43</v>
      </c>
      <c r="Q351" s="4" cm="1">
        <f t="array" ref="Q351">INDEX(GMW!$A$2:$NF$150,MATCH(1,(GMW!$NE$2:$NE$150=Q$3)*(GMW!$ND$2:$ND$150=Q$4)*(GMW!$NF$2:$NF$150=Q$1),0),$C351-1966)</f>
        <v>6114679</v>
      </c>
      <c r="R351" s="4" cm="1">
        <f t="array" ref="R351">INDEX(GMW!$A$2:$NF$150,MATCH(1,(GMW!$NE$2:$NE$150=R$3)*(GMW!$ND$2:$ND$150=R$4)*(GMW!$NF$2:$NF$150=R$1),0),$C351-1966)</f>
        <v>-1.5525850000000001</v>
      </c>
      <c r="S351" s="4" cm="1">
        <f t="array" ref="S351">INDEX(GMW!$A$2:$NF$150,MATCH(1,(GMW!$NE$2:$NE$150=S$3)*(GMW!$ND$2:$ND$150=S$4)*(GMW!$NF$2:$NF$150=S$1),0),$C351-1966)</f>
        <v>1060384</v>
      </c>
      <c r="T351" s="4" cm="1">
        <f t="array" ref="T351">INDEX(GMW!$A$2:$NF$150,MATCH(1,(GMW!$NE$2:$NE$150=T$3)*(GMW!$ND$2:$ND$150=T$4)*(GMW!$NF$2:$NF$150=T$1),0),$C351-1966)</f>
        <v>270.65370000000001</v>
      </c>
      <c r="U351" s="4" cm="1">
        <f t="array" ref="U351">INDEX(GMW!$A$2:$NF$150,MATCH(1,(GMW!$NE$2:$NE$150=U$3)*(GMW!$ND$2:$ND$150=U$4)*(GMW!$NF$2:$NF$150=U$1),0),$C351-1966)</f>
        <v>305596.2</v>
      </c>
      <c r="V351" s="4" cm="1">
        <f t="array" ref="V351">INDEX(GMW!$A$2:$NF$150,MATCH(1,(GMW!$NE$2:$NE$150=V$3)*(GMW!$ND$2:$ND$150=V$4)*(GMW!$NF$2:$NF$150=V$1),0),$C351-1966)</f>
        <v>108376.5</v>
      </c>
      <c r="W351" s="4" cm="1">
        <f t="array" ref="W351">INDEX(GMW!$A$2:$NF$150,MATCH(1,(GMW!$NE$2:$NE$150=W$3)*(GMW!$ND$2:$ND$150=W$4)*(GMW!$NF$2:$NF$150=W$1),0),$C351-1966)</f>
        <v>350856.2</v>
      </c>
      <c r="X351" s="4" cm="1">
        <f t="array" ref="X351">INDEX(GMW!$A$2:$NF$150,MATCH(1,(GMW!$NE$2:$NE$150=X$3)*(GMW!$ND$2:$ND$150=X$4)*(GMW!$NF$2:$NF$150=X$1),0),$C351-1966)</f>
        <v>184285.6</v>
      </c>
      <c r="Y351" s="4" cm="1">
        <f t="array" ref="Y351">INDEX(GMW!$A$2:$NF$150,MATCH(1,(GMW!$NE$2:$NE$150=Y$3)*(GMW!$ND$2:$ND$150=Y$4)*(GMW!$NF$2:$NF$150=Y$1),0),$C351-1966)</f>
        <v>218604.6</v>
      </c>
      <c r="Z351" s="4" cm="1">
        <f t="array" ref="Z351">INDEX(GMW!$A$2:$NF$150,MATCH(1,(GMW!$NE$2:$NE$150=Z$3)*(GMW!$ND$2:$ND$150=Z$4)*(GMW!$NF$2:$NF$150=Z$1),0),$C351-1966)</f>
        <v>129077.2</v>
      </c>
      <c r="AA351" s="4" cm="1">
        <f t="array" ref="AA351">INDEX(GMW!$A$2:$NF$150,MATCH(1,(GMW!$NE$2:$NE$150=AA$3)*(GMW!$ND$2:$ND$150=AA$4)*(GMW!$NF$2:$NF$150=AA$1),0),$C351-1966)</f>
        <v>1060383</v>
      </c>
      <c r="AB351" s="4" cm="1">
        <f t="array" ref="AB351">INDEX(GMW!$A$2:$NF$150,MATCH(1,(GMW!$NE$2:$NE$150=AB$3)*(GMW!$ND$2:$ND$150=AB$4)*(GMW!$NF$2:$NF$150=AB$1),0),$C351-1966)</f>
        <v>39372.32</v>
      </c>
      <c r="AC351" s="4" cm="1">
        <f t="array" ref="AC351">INDEX(GMW!$A$2:$NF$150,MATCH(1,(GMW!$NE$2:$NE$150=AC$3)*(GMW!$ND$2:$ND$150=AC$4)*(GMW!$NF$2:$NF$150=AC$1),0),$C351-1966)</f>
        <v>31.92192</v>
      </c>
      <c r="AD351" s="4" cm="1">
        <f t="array" ref="AD351">INDEX(GMW!$A$2:$NF$150,MATCH(1,(GMW!$NE$2:$NE$150=AD$3)*(GMW!$ND$2:$ND$150=AD$4)*(GMW!$NF$2:$NF$150=AD$1),0),$C351-1966)</f>
        <v>717603.3</v>
      </c>
      <c r="AE351" s="4" cm="1">
        <f t="array" ref="AE351">INDEX(GMW!$A$2:$NF$150,MATCH(1,(GMW!$NE$2:$NE$150=AE$3)*(GMW!$ND$2:$ND$150=AE$4)*(GMW!$NF$2:$NF$150=AE$1),0),$C351-1966)</f>
        <v>46216.43</v>
      </c>
      <c r="AF351" s="4" cm="1">
        <f t="array" ref="AF351">INDEX(GMW!$A$2:$NF$150,MATCH(1,(GMW!$NE$2:$NE$150=AF$3)*(GMW!$ND$2:$ND$150=AF$4)*(GMW!$NF$2:$NF$150=AF$1),0),$C351-1966)</f>
        <v>6215196</v>
      </c>
      <c r="AG351" s="4" cm="1">
        <f t="array" ref="AG351">INDEX(GMW!$A$2:$NF$150,MATCH(1,(GMW!$NE$2:$NE$150=AG$3)*(GMW!$ND$2:$ND$150=AG$4)*(GMW!$NF$2:$NF$150=AG$1),0),$C351-1966)</f>
        <v>-1.5506340000000001</v>
      </c>
      <c r="AH351" s="4" cm="1">
        <f t="array" ref="AH351">INDEX(GMW!$A$2:$NF$150,MATCH(1,(GMW!$NE$2:$NE$150=AH$3)*(GMW!$ND$2:$ND$150=AH$4)*(GMW!$NF$2:$NF$150=AH$1),0),$C351-1966)</f>
        <v>1069154</v>
      </c>
      <c r="AI351" s="4" cm="1">
        <f t="array" ref="AI351">INDEX(GMW!$A$2:$NF$150,MATCH(1,(GMW!$NE$2:$NE$150=AI$3)*(GMW!$ND$2:$ND$150=AI$4)*(GMW!$NF$2:$NF$150=AI$1),0),$C351-1966)</f>
        <v>268.99360000000001</v>
      </c>
      <c r="AJ351" s="4" cm="1">
        <f t="array" ref="AJ351">INDEX(GMW!$A$2:$NF$150,MATCH(1,(GMW!$NE$2:$NE$150=AJ$3)*(GMW!$ND$2:$ND$150=AJ$4)*(GMW!$NF$2:$NF$150=AJ$1),0),$C351-1966)</f>
        <v>313835.59999999998</v>
      </c>
      <c r="AK351" s="4" cm="1">
        <f t="array" ref="AK351">INDEX(GMW!$A$2:$NF$150,MATCH(1,(GMW!$NE$2:$NE$150=AK$3)*(GMW!$ND$2:$ND$150=AK$4)*(GMW!$NF$2:$NF$150=AK$1),0),$C351-1966)</f>
        <v>112571.5</v>
      </c>
      <c r="AL351" s="4" cm="1">
        <f t="array" ref="AL351">INDEX(GMW!$A$2:$NF$150,MATCH(1,(GMW!$NE$2:$NE$150=AL$3)*(GMW!$ND$2:$ND$150=AL$4)*(GMW!$NF$2:$NF$150=AL$1),0),$C351-1966)</f>
        <v>358349.1</v>
      </c>
      <c r="AM351" s="4" cm="1">
        <f t="array" ref="AM351">INDEX(GMW!$A$2:$NF$150,MATCH(1,(GMW!$NE$2:$NE$150=AM$3)*(GMW!$ND$2:$ND$150=AM$4)*(GMW!$NF$2:$NF$150=AM$1),0),$C351-1966)</f>
        <v>190004</v>
      </c>
      <c r="AN351" s="4" cm="1">
        <f t="array" ref="AN351">INDEX(GMW!$A$2:$NF$150,MATCH(1,(GMW!$NE$2:$NE$150=AN$3)*(GMW!$ND$2:$ND$150=AN$4)*(GMW!$NF$2:$NF$150=AN$1),0),$C351-1966)</f>
        <v>220368.3</v>
      </c>
      <c r="AO351" s="4" cm="1">
        <f t="array" ref="AO351">INDEX(GMW!$A$2:$NF$150,MATCH(1,(GMW!$NE$2:$NE$150=AO$3)*(GMW!$ND$2:$ND$150=AO$4)*(GMW!$NF$2:$NF$150=AO$1),0),$C351-1966)</f>
        <v>131798.39999999999</v>
      </c>
      <c r="AP351" s="4" cm="1">
        <f t="array" ref="AP351">INDEX(GMW!$A$2:$NF$150,MATCH(1,(GMW!$NE$2:$NE$150=AP$3)*(GMW!$ND$2:$ND$150=AP$4)*(GMW!$NF$2:$NF$150=AP$1),0),$C351-1966)</f>
        <v>1069154</v>
      </c>
      <c r="AQ351" s="4" cm="1">
        <f t="array" ref="AQ351">INDEX(GMW!$A$2:$NF$150,MATCH(1,(GMW!$NE$2:$NE$150=AQ$3)*(GMW!$ND$2:$ND$150=AQ$4)*(GMW!$NF$2:$NF$150=AQ$1),0),$C351-1966)</f>
        <v>39681.620000000003</v>
      </c>
      <c r="AR351" s="4" cm="1">
        <f t="array" ref="AR351">INDEX(GMW!$A$2:$NF$150,MATCH(1,(GMW!$NE$2:$NE$150=AR$3)*(GMW!$ND$2:$ND$150=AR$4)*(GMW!$NF$2:$NF$150=AR$1),0),$C351-1966)</f>
        <v>31.92192</v>
      </c>
      <c r="AS351" s="4" cm="1">
        <f t="array" ref="AS351">INDEX(GMW!$A$2:$NF$150,MATCH(1,(GMW!$NE$2:$NE$150=AS$3)*(GMW!$ND$2:$ND$150=AS$4)*(GMW!$NF$2:$NF$150=AS$1),0),$C351-1966)</f>
        <v>723152.3</v>
      </c>
      <c r="AT351" s="4" cm="1">
        <f t="array" ref="AT351">INDEX(GMW!$A$2:$NF$150,MATCH(1,(GMW!$NE$2:$NE$150=AT$3)*(GMW!$ND$2:$ND$150=AT$4)*(GMW!$NF$2:$NF$150=AT$1),0),$C351-1966)</f>
        <v>46571.53</v>
      </c>
      <c r="AU351" s="4" cm="1">
        <f t="array" ref="AU351">INDEX(GMW!$A$2:$NF$150,MATCH(1,(GMW!$NE$2:$NE$150=AU$3)*(GMW!$ND$2:$ND$150=AU$4)*(GMW!$NF$2:$NF$150=AU$1),0),$C351-1966)</f>
        <v>6244274</v>
      </c>
      <c r="AV351" s="4" cm="1">
        <f t="array" ref="AV351">INDEX(GMW!$A$2:$NF$150,MATCH(1,(GMW!$NE$2:$NE$150=AV$3)*(GMW!$ND$2:$ND$150=AV$4)*(GMW!$NF$2:$NF$150=AV$1),0),$C351-1966)</f>
        <v>-1.5490839999999999</v>
      </c>
    </row>
    <row r="352" spans="1:48" x14ac:dyDescent="0.25">
      <c r="B352" s="4">
        <f t="shared" si="14"/>
        <v>2059</v>
      </c>
      <c r="C352" s="4">
        <f t="shared" si="13"/>
        <v>2318</v>
      </c>
      <c r="D352" s="4" cm="1">
        <f t="array" ref="D352">INDEX(GMW!$A$2:$NF$150,MATCH(1,(GMW!$NE$2:$NE$150=D$3)*(GMW!$ND$2:$ND$150=D$4)*(GMW!$NF$2:$NF$150=D$1),0),$C352-1966)</f>
        <v>1055419</v>
      </c>
      <c r="E352" s="4" cm="1">
        <f t="array" ref="E352">INDEX(GMW!$A$2:$NF$150,MATCH(1,(GMW!$NE$2:$NE$150=E$3)*(GMW!$ND$2:$ND$150=E$4)*(GMW!$NF$2:$NF$150=E$1),0),$C352-1966)</f>
        <v>273.3417</v>
      </c>
      <c r="F352" s="4" cm="1">
        <f t="array" ref="F352">INDEX(GMW!$A$2:$NF$150,MATCH(1,(GMW!$NE$2:$NE$150=F$3)*(GMW!$ND$2:$ND$150=F$4)*(GMW!$NF$2:$NF$150=F$1),0),$C352-1966)</f>
        <v>321113</v>
      </c>
      <c r="G352" s="4" cm="1">
        <f t="array" ref="G352">INDEX(GMW!$A$2:$NF$150,MATCH(1,(GMW!$NE$2:$NE$150=G$3)*(GMW!$ND$2:$ND$150=G$4)*(GMW!$NF$2:$NF$150=G$1),0),$C352-1966)</f>
        <v>103160.3</v>
      </c>
      <c r="H352" s="4" cm="1">
        <f t="array" ref="H352">INDEX(GMW!$A$2:$NF$150,MATCH(1,(GMW!$NE$2:$NE$150=H$3)*(GMW!$ND$2:$ND$150=H$4)*(GMW!$NF$2:$NF$150=H$1),0),$C352-1966)</f>
        <v>364112.4</v>
      </c>
      <c r="I352" s="4" cm="1">
        <f t="array" ref="I352">INDEX(GMW!$A$2:$NF$150,MATCH(1,(GMW!$NE$2:$NE$150=I$3)*(GMW!$ND$2:$ND$150=I$4)*(GMW!$NF$2:$NF$150=I$1),0),$C352-1966)</f>
        <v>192362.3</v>
      </c>
      <c r="J352" s="4" cm="1">
        <f t="array" ref="J352">INDEX(GMW!$A$2:$NF$150,MATCH(1,(GMW!$NE$2:$NE$150=J$3)*(GMW!$ND$2:$ND$150=J$4)*(GMW!$NF$2:$NF$150=J$1),0),$C352-1966)</f>
        <v>216405.8</v>
      </c>
      <c r="K352" s="4" cm="1">
        <f t="array" ref="K352">INDEX(GMW!$A$2:$NF$150,MATCH(1,(GMW!$NE$2:$NE$150=K$3)*(GMW!$ND$2:$ND$150=K$4)*(GMW!$NF$2:$NF$150=K$1),0),$C352-1966)</f>
        <v>125951.5</v>
      </c>
      <c r="L352" s="4" cm="1">
        <f t="array" ref="L352">INDEX(GMW!$A$2:$NF$150,MATCH(1,(GMW!$NE$2:$NE$150=L$3)*(GMW!$ND$2:$ND$150=L$4)*(GMW!$NF$2:$NF$150=L$1),0),$C352-1966)</f>
        <v>1055417</v>
      </c>
      <c r="M352" s="4" cm="1">
        <f t="array" ref="M352">INDEX(GMW!$A$2:$NF$150,MATCH(1,(GMW!$NE$2:$NE$150=M$3)*(GMW!$ND$2:$ND$150=M$4)*(GMW!$NF$2:$NF$150=M$1),0),$C352-1966)</f>
        <v>39374.46</v>
      </c>
      <c r="N352" s="4" cm="1">
        <f t="array" ref="N352">INDEX(GMW!$A$2:$NF$150,MATCH(1,(GMW!$NE$2:$NE$150=N$3)*(GMW!$ND$2:$ND$150=N$4)*(GMW!$NF$2:$NF$150=N$1),0),$C352-1966)</f>
        <v>31.92117</v>
      </c>
      <c r="O352" s="4" cm="1">
        <f t="array" ref="O352">INDEX(GMW!$A$2:$NF$150,MATCH(1,(GMW!$NE$2:$NE$150=O$3)*(GMW!$ND$2:$ND$150=O$4)*(GMW!$NF$2:$NF$150=O$1),0),$C352-1966)</f>
        <v>717692.4</v>
      </c>
      <c r="P352" s="4" cm="1">
        <f t="array" ref="P352">INDEX(GMW!$A$2:$NF$150,MATCH(1,(GMW!$NE$2:$NE$150=P$3)*(GMW!$ND$2:$ND$150=P$4)*(GMW!$NF$2:$NF$150=P$1),0),$C352-1966)</f>
        <v>46198.63</v>
      </c>
      <c r="Q352" s="4" cm="1">
        <f t="array" ref="Q352">INDEX(GMW!$A$2:$NF$150,MATCH(1,(GMW!$NE$2:$NE$150=Q$3)*(GMW!$ND$2:$ND$150=Q$4)*(GMW!$NF$2:$NF$150=Q$1),0),$C352-1966)</f>
        <v>6142320</v>
      </c>
      <c r="R352" s="4" cm="1">
        <f t="array" ref="R352">INDEX(GMW!$A$2:$NF$150,MATCH(1,(GMW!$NE$2:$NE$150=R$3)*(GMW!$ND$2:$ND$150=R$4)*(GMW!$NF$2:$NF$150=R$1),0),$C352-1966)</f>
        <v>-1.5513429999999999</v>
      </c>
      <c r="S352" s="4" cm="1">
        <f t="array" ref="S352">INDEX(GMW!$A$2:$NF$150,MATCH(1,(GMW!$NE$2:$NE$150=S$3)*(GMW!$ND$2:$ND$150=S$4)*(GMW!$NF$2:$NF$150=S$1),0),$C352-1966)</f>
        <v>1063530</v>
      </c>
      <c r="T352" s="4" cm="1">
        <f t="array" ref="T352">INDEX(GMW!$A$2:$NF$150,MATCH(1,(GMW!$NE$2:$NE$150=T$3)*(GMW!$ND$2:$ND$150=T$4)*(GMW!$NF$2:$NF$150=T$1),0),$C352-1966)</f>
        <v>273.10930000000002</v>
      </c>
      <c r="U352" s="4" cm="1">
        <f t="array" ref="U352">INDEX(GMW!$A$2:$NF$150,MATCH(1,(GMW!$NE$2:$NE$150=U$3)*(GMW!$ND$2:$ND$150=U$4)*(GMW!$NF$2:$NF$150=U$1),0),$C352-1966)</f>
        <v>306434.59999999998</v>
      </c>
      <c r="V352" s="4" cm="1">
        <f t="array" ref="V352">INDEX(GMW!$A$2:$NF$150,MATCH(1,(GMW!$NE$2:$NE$150=V$3)*(GMW!$ND$2:$ND$150=V$4)*(GMW!$NF$2:$NF$150=V$1),0),$C352-1966)</f>
        <v>108611.3</v>
      </c>
      <c r="W352" s="4" cm="1">
        <f t="array" ref="W352">INDEX(GMW!$A$2:$NF$150,MATCH(1,(GMW!$NE$2:$NE$150=W$3)*(GMW!$ND$2:$ND$150=W$4)*(GMW!$NF$2:$NF$150=W$1),0),$C352-1966)</f>
        <v>351951.3</v>
      </c>
      <c r="X352" s="4" cm="1">
        <f t="array" ref="X352">INDEX(GMW!$A$2:$NF$150,MATCH(1,(GMW!$NE$2:$NE$150=X$3)*(GMW!$ND$2:$ND$150=X$4)*(GMW!$NF$2:$NF$150=X$1),0),$C352-1966)</f>
        <v>184813.9</v>
      </c>
      <c r="Y352" s="4" cm="1">
        <f t="array" ref="Y352">INDEX(GMW!$A$2:$NF$150,MATCH(1,(GMW!$NE$2:$NE$150=Y$3)*(GMW!$ND$2:$ND$150=Y$4)*(GMW!$NF$2:$NF$150=Y$1),0),$C352-1966)</f>
        <v>219462.3</v>
      </c>
      <c r="Z352" s="4" cm="1">
        <f t="array" ref="Z352">INDEX(GMW!$A$2:$NF$150,MATCH(1,(GMW!$NE$2:$NE$150=Z$3)*(GMW!$ND$2:$ND$150=Z$4)*(GMW!$NF$2:$NF$150=Z$1),0),$C352-1966)</f>
        <v>129621.5</v>
      </c>
      <c r="AA352" s="4" cm="1">
        <f t="array" ref="AA352">INDEX(GMW!$A$2:$NF$150,MATCH(1,(GMW!$NE$2:$NE$150=AA$3)*(GMW!$ND$2:$ND$150=AA$4)*(GMW!$NF$2:$NF$150=AA$1),0),$C352-1966)</f>
        <v>1063530</v>
      </c>
      <c r="AB352" s="4" cm="1">
        <f t="array" ref="AB352">INDEX(GMW!$A$2:$NF$150,MATCH(1,(GMW!$NE$2:$NE$150=AB$3)*(GMW!$ND$2:$ND$150=AB$4)*(GMW!$NF$2:$NF$150=AB$1),0),$C352-1966)</f>
        <v>39374.46</v>
      </c>
      <c r="AC352" s="4" cm="1">
        <f t="array" ref="AC352">INDEX(GMW!$A$2:$NF$150,MATCH(1,(GMW!$NE$2:$NE$150=AC$3)*(GMW!$ND$2:$ND$150=AC$4)*(GMW!$NF$2:$NF$150=AC$1),0),$C352-1966)</f>
        <v>31.92117</v>
      </c>
      <c r="AD352" s="4" cm="1">
        <f t="array" ref="AD352">INDEX(GMW!$A$2:$NF$150,MATCH(1,(GMW!$NE$2:$NE$150=AD$3)*(GMW!$ND$2:$ND$150=AD$4)*(GMW!$NF$2:$NF$150=AD$1),0),$C352-1966)</f>
        <v>717692.4</v>
      </c>
      <c r="AE352" s="4" cm="1">
        <f t="array" ref="AE352">INDEX(GMW!$A$2:$NF$150,MATCH(1,(GMW!$NE$2:$NE$150=AE$3)*(GMW!$ND$2:$ND$150=AE$4)*(GMW!$NF$2:$NF$150=AE$1),0),$C352-1966)</f>
        <v>46198.63</v>
      </c>
      <c r="AF352" s="4" cm="1">
        <f t="array" ref="AF352">INDEX(GMW!$A$2:$NF$150,MATCH(1,(GMW!$NE$2:$NE$150=AF$3)*(GMW!$ND$2:$ND$150=AF$4)*(GMW!$NF$2:$NF$150=AF$1),0),$C352-1966)</f>
        <v>6242693</v>
      </c>
      <c r="AG352" s="4" cm="1">
        <f t="array" ref="AG352">INDEX(GMW!$A$2:$NF$150,MATCH(1,(GMW!$NE$2:$NE$150=AG$3)*(GMW!$ND$2:$ND$150=AG$4)*(GMW!$NF$2:$NF$150=AG$1),0),$C352-1966)</f>
        <v>-1.549393</v>
      </c>
      <c r="AH352" s="4" cm="1">
        <f t="array" ref="AH352">INDEX(GMW!$A$2:$NF$150,MATCH(1,(GMW!$NE$2:$NE$150=AH$3)*(GMW!$ND$2:$ND$150=AH$4)*(GMW!$NF$2:$NF$150=AH$1),0),$C352-1966)</f>
        <v>1072533</v>
      </c>
      <c r="AI352" s="4" cm="1">
        <f t="array" ref="AI352">INDEX(GMW!$A$2:$NF$150,MATCH(1,(GMW!$NE$2:$NE$150=AI$3)*(GMW!$ND$2:$ND$150=AI$4)*(GMW!$NF$2:$NF$150=AI$1),0),$C352-1966)</f>
        <v>271.30759999999998</v>
      </c>
      <c r="AJ352" s="4" cm="1">
        <f t="array" ref="AJ352">INDEX(GMW!$A$2:$NF$150,MATCH(1,(GMW!$NE$2:$NE$150=AJ$3)*(GMW!$ND$2:$ND$150=AJ$4)*(GMW!$NF$2:$NF$150=AJ$1),0),$C352-1966)</f>
        <v>314748.7</v>
      </c>
      <c r="AK352" s="4" cm="1">
        <f t="array" ref="AK352">INDEX(GMW!$A$2:$NF$150,MATCH(1,(GMW!$NE$2:$NE$150=AK$3)*(GMW!$ND$2:$ND$150=AK$4)*(GMW!$NF$2:$NF$150=AK$1),0),$C352-1966)</f>
        <v>112837.2</v>
      </c>
      <c r="AL352" s="4" cm="1">
        <f t="array" ref="AL352">INDEX(GMW!$A$2:$NF$150,MATCH(1,(GMW!$NE$2:$NE$150=AL$3)*(GMW!$ND$2:$ND$150=AL$4)*(GMW!$NF$2:$NF$150=AL$1),0),$C352-1966)</f>
        <v>359525.3</v>
      </c>
      <c r="AM352" s="4" cm="1">
        <f t="array" ref="AM352">INDEX(GMW!$A$2:$NF$150,MATCH(1,(GMW!$NE$2:$NE$150=AM$3)*(GMW!$ND$2:$ND$150=AM$4)*(GMW!$NF$2:$NF$150=AM$1),0),$C352-1966)</f>
        <v>190585.5</v>
      </c>
      <c r="AN352" s="4" cm="1">
        <f t="array" ref="AN352">INDEX(GMW!$A$2:$NF$150,MATCH(1,(GMW!$NE$2:$NE$150=AN$3)*(GMW!$ND$2:$ND$150=AN$4)*(GMW!$NF$2:$NF$150=AN$1),0),$C352-1966)</f>
        <v>221276.2</v>
      </c>
      <c r="AO352" s="4" cm="1">
        <f t="array" ref="AO352">INDEX(GMW!$A$2:$NF$150,MATCH(1,(GMW!$NE$2:$NE$150=AO$3)*(GMW!$ND$2:$ND$150=AO$4)*(GMW!$NF$2:$NF$150=AO$1),0),$C352-1966)</f>
        <v>132379.6</v>
      </c>
      <c r="AP352" s="4" cm="1">
        <f t="array" ref="AP352">INDEX(GMW!$A$2:$NF$150,MATCH(1,(GMW!$NE$2:$NE$150=AP$3)*(GMW!$ND$2:$ND$150=AP$4)*(GMW!$NF$2:$NF$150=AP$1),0),$C352-1966)</f>
        <v>1072533</v>
      </c>
      <c r="AQ352" s="4" cm="1">
        <f t="array" ref="AQ352">INDEX(GMW!$A$2:$NF$150,MATCH(1,(GMW!$NE$2:$NE$150=AQ$3)*(GMW!$ND$2:$ND$150=AQ$4)*(GMW!$NF$2:$NF$150=AQ$1),0),$C352-1966)</f>
        <v>39693.14</v>
      </c>
      <c r="AR352" s="4" cm="1">
        <f t="array" ref="AR352">INDEX(GMW!$A$2:$NF$150,MATCH(1,(GMW!$NE$2:$NE$150=AR$3)*(GMW!$ND$2:$ND$150=AR$4)*(GMW!$NF$2:$NF$150=AR$1),0),$C352-1966)</f>
        <v>31.92117</v>
      </c>
      <c r="AS352" s="4" cm="1">
        <f t="array" ref="AS352">INDEX(GMW!$A$2:$NF$150,MATCH(1,(GMW!$NE$2:$NE$150=AS$3)*(GMW!$ND$2:$ND$150=AS$4)*(GMW!$NF$2:$NF$150=AS$1),0),$C352-1966)</f>
        <v>723405.9</v>
      </c>
      <c r="AT352" s="4" cm="1">
        <f t="array" ref="AT352">INDEX(GMW!$A$2:$NF$150,MATCH(1,(GMW!$NE$2:$NE$150=AT$3)*(GMW!$ND$2:$ND$150=AT$4)*(GMW!$NF$2:$NF$150=AT$1),0),$C352-1966)</f>
        <v>46565.24</v>
      </c>
      <c r="AU352" s="4" cm="1">
        <f t="array" ref="AU352">INDEX(GMW!$A$2:$NF$150,MATCH(1,(GMW!$NE$2:$NE$150=AU$3)*(GMW!$ND$2:$ND$150=AU$4)*(GMW!$NF$2:$NF$150=AU$1),0),$C352-1966)</f>
        <v>6272771</v>
      </c>
      <c r="AV352" s="4" cm="1">
        <f t="array" ref="AV352">INDEX(GMW!$A$2:$NF$150,MATCH(1,(GMW!$NE$2:$NE$150=AV$3)*(GMW!$ND$2:$ND$150=AV$4)*(GMW!$NF$2:$NF$150=AV$1),0),$C352-1966)</f>
        <v>-1.5478449999999999</v>
      </c>
    </row>
    <row r="353" spans="1:48" x14ac:dyDescent="0.25">
      <c r="B353" s="4">
        <f t="shared" si="14"/>
        <v>2059</v>
      </c>
      <c r="C353" s="4">
        <f t="shared" si="13"/>
        <v>2319</v>
      </c>
      <c r="D353" s="4" cm="1">
        <f t="array" ref="D353">INDEX(GMW!$A$2:$NF$150,MATCH(1,(GMW!$NE$2:$NE$150=D$3)*(GMW!$ND$2:$ND$150=D$4)*(GMW!$NF$2:$NF$150=D$1),0),$C353-1966)</f>
        <v>1058604</v>
      </c>
      <c r="E353" s="4" cm="1">
        <f t="array" ref="E353">INDEX(GMW!$A$2:$NF$150,MATCH(1,(GMW!$NE$2:$NE$150=E$3)*(GMW!$ND$2:$ND$150=E$4)*(GMW!$NF$2:$NF$150=E$1),0),$C353-1966)</f>
        <v>274.58510000000001</v>
      </c>
      <c r="F353" s="4" cm="1">
        <f t="array" ref="F353">INDEX(GMW!$A$2:$NF$150,MATCH(1,(GMW!$NE$2:$NE$150=F$3)*(GMW!$ND$2:$ND$150=F$4)*(GMW!$NF$2:$NF$150=F$1),0),$C353-1966)</f>
        <v>322025.90000000002</v>
      </c>
      <c r="G353" s="4" cm="1">
        <f t="array" ref="G353">INDEX(GMW!$A$2:$NF$150,MATCH(1,(GMW!$NE$2:$NE$150=G$3)*(GMW!$ND$2:$ND$150=G$4)*(GMW!$NF$2:$NF$150=G$1),0),$C353-1966)</f>
        <v>103389.1</v>
      </c>
      <c r="H353" s="4" cm="1">
        <f t="array" ref="H353">INDEX(GMW!$A$2:$NF$150,MATCH(1,(GMW!$NE$2:$NE$150=H$3)*(GMW!$ND$2:$ND$150=H$4)*(GMW!$NF$2:$NF$150=H$1),0),$C353-1966)</f>
        <v>365273.2</v>
      </c>
      <c r="I353" s="4" cm="1">
        <f t="array" ref="I353">INDEX(GMW!$A$2:$NF$150,MATCH(1,(GMW!$NE$2:$NE$150=I$3)*(GMW!$ND$2:$ND$150=I$4)*(GMW!$NF$2:$NF$150=I$1),0),$C353-1966)</f>
        <v>192923.5</v>
      </c>
      <c r="J353" s="4" cm="1">
        <f t="array" ref="J353">INDEX(GMW!$A$2:$NF$150,MATCH(1,(GMW!$NE$2:$NE$150=J$3)*(GMW!$ND$2:$ND$150=J$4)*(GMW!$NF$2:$NF$150=J$1),0),$C353-1966)</f>
        <v>217271.5</v>
      </c>
      <c r="K353" s="4" cm="1">
        <f t="array" ref="K353">INDEX(GMW!$A$2:$NF$150,MATCH(1,(GMW!$NE$2:$NE$150=K$3)*(GMW!$ND$2:$ND$150=K$4)*(GMW!$NF$2:$NF$150=K$1),0),$C353-1966)</f>
        <v>126495.3</v>
      </c>
      <c r="L353" s="4" cm="1">
        <f t="array" ref="L353">INDEX(GMW!$A$2:$NF$150,MATCH(1,(GMW!$NE$2:$NE$150=L$3)*(GMW!$ND$2:$ND$150=L$4)*(GMW!$NF$2:$NF$150=L$1),0),$C353-1966)</f>
        <v>1058603</v>
      </c>
      <c r="M353" s="4" cm="1">
        <f t="array" ref="M353">INDEX(GMW!$A$2:$NF$150,MATCH(1,(GMW!$NE$2:$NE$150=M$3)*(GMW!$ND$2:$ND$150=M$4)*(GMW!$NF$2:$NF$150=M$1),0),$C353-1966)</f>
        <v>39377.879999999997</v>
      </c>
      <c r="N353" s="4" cm="1">
        <f t="array" ref="N353">INDEX(GMW!$A$2:$NF$150,MATCH(1,(GMW!$NE$2:$NE$150=N$3)*(GMW!$ND$2:$ND$150=N$4)*(GMW!$NF$2:$NF$150=N$1),0),$C353-1966)</f>
        <v>31.92042</v>
      </c>
      <c r="O353" s="4" cm="1">
        <f t="array" ref="O353">INDEX(GMW!$A$2:$NF$150,MATCH(1,(GMW!$NE$2:$NE$150=O$3)*(GMW!$ND$2:$ND$150=O$4)*(GMW!$NF$2:$NF$150=O$1),0),$C353-1966)</f>
        <v>717813.7</v>
      </c>
      <c r="P353" s="4" cm="1">
        <f t="array" ref="P353">INDEX(GMW!$A$2:$NF$150,MATCH(1,(GMW!$NE$2:$NE$150=P$3)*(GMW!$ND$2:$ND$150=P$4)*(GMW!$NF$2:$NF$150=P$1),0),$C353-1966)</f>
        <v>46183</v>
      </c>
      <c r="Q353" s="4" cm="1">
        <f t="array" ref="Q353">INDEX(GMW!$A$2:$NF$150,MATCH(1,(GMW!$NE$2:$NE$150=Q$3)*(GMW!$ND$2:$ND$150=Q$4)*(GMW!$NF$2:$NF$150=Q$1),0),$C353-1966)</f>
        <v>6170031</v>
      </c>
      <c r="R353" s="4" cm="1">
        <f t="array" ref="R353">INDEX(GMW!$A$2:$NF$150,MATCH(1,(GMW!$NE$2:$NE$150=R$3)*(GMW!$ND$2:$ND$150=R$4)*(GMW!$NF$2:$NF$150=R$1),0),$C353-1966)</f>
        <v>-1.5501020000000001</v>
      </c>
      <c r="S353" s="4" cm="1">
        <f t="array" ref="S353">INDEX(GMW!$A$2:$NF$150,MATCH(1,(GMW!$NE$2:$NE$150=S$3)*(GMW!$ND$2:$ND$150=S$4)*(GMW!$NF$2:$NF$150=S$1),0),$C353-1966)</f>
        <v>1066702</v>
      </c>
      <c r="T353" s="4" cm="1">
        <f t="array" ref="T353">INDEX(GMW!$A$2:$NF$150,MATCH(1,(GMW!$NE$2:$NE$150=T$3)*(GMW!$ND$2:$ND$150=T$4)*(GMW!$NF$2:$NF$150=T$1),0),$C353-1966)</f>
        <v>274.42660000000001</v>
      </c>
      <c r="U353" s="4" cm="1">
        <f t="array" ref="U353">INDEX(GMW!$A$2:$NF$150,MATCH(1,(GMW!$NE$2:$NE$150=U$3)*(GMW!$ND$2:$ND$150=U$4)*(GMW!$NF$2:$NF$150=U$1),0),$C353-1966)</f>
        <v>307280.3</v>
      </c>
      <c r="V353" s="4" cm="1">
        <f t="array" ref="V353">INDEX(GMW!$A$2:$NF$150,MATCH(1,(GMW!$NE$2:$NE$150=V$3)*(GMW!$ND$2:$ND$150=V$4)*(GMW!$NF$2:$NF$150=V$1),0),$C353-1966)</f>
        <v>108848.3</v>
      </c>
      <c r="W353" s="4" cm="1">
        <f t="array" ref="W353">INDEX(GMW!$A$2:$NF$150,MATCH(1,(GMW!$NE$2:$NE$150=W$3)*(GMW!$ND$2:$ND$150=W$4)*(GMW!$NF$2:$NF$150=W$1),0),$C353-1966)</f>
        <v>353054.9</v>
      </c>
      <c r="X353" s="4" cm="1">
        <f t="array" ref="X353">INDEX(GMW!$A$2:$NF$150,MATCH(1,(GMW!$NE$2:$NE$150=X$3)*(GMW!$ND$2:$ND$150=X$4)*(GMW!$NF$2:$NF$150=X$1),0),$C353-1966)</f>
        <v>185346.6</v>
      </c>
      <c r="Y353" s="4" cm="1">
        <f t="array" ref="Y353">INDEX(GMW!$A$2:$NF$150,MATCH(1,(GMW!$NE$2:$NE$150=Y$3)*(GMW!$ND$2:$ND$150=Y$4)*(GMW!$NF$2:$NF$150=Y$1),0),$C353-1966)</f>
        <v>220326.8</v>
      </c>
      <c r="Z353" s="4" cm="1">
        <f t="array" ref="Z353">INDEX(GMW!$A$2:$NF$150,MATCH(1,(GMW!$NE$2:$NE$150=Z$3)*(GMW!$ND$2:$ND$150=Z$4)*(GMW!$NF$2:$NF$150=Z$1),0),$C353-1966)</f>
        <v>130170.1</v>
      </c>
      <c r="AA353" s="4" cm="1">
        <f t="array" ref="AA353">INDEX(GMW!$A$2:$NF$150,MATCH(1,(GMW!$NE$2:$NE$150=AA$3)*(GMW!$ND$2:$ND$150=AA$4)*(GMW!$NF$2:$NF$150=AA$1),0),$C353-1966)</f>
        <v>1066702</v>
      </c>
      <c r="AB353" s="4" cm="1">
        <f t="array" ref="AB353">INDEX(GMW!$A$2:$NF$150,MATCH(1,(GMW!$NE$2:$NE$150=AB$3)*(GMW!$ND$2:$ND$150=AB$4)*(GMW!$NF$2:$NF$150=AB$1),0),$C353-1966)</f>
        <v>39377.879999999997</v>
      </c>
      <c r="AC353" s="4" cm="1">
        <f t="array" ref="AC353">INDEX(GMW!$A$2:$NF$150,MATCH(1,(GMW!$NE$2:$NE$150=AC$3)*(GMW!$ND$2:$ND$150=AC$4)*(GMW!$NF$2:$NF$150=AC$1),0),$C353-1966)</f>
        <v>31.92042</v>
      </c>
      <c r="AD353" s="4" cm="1">
        <f t="array" ref="AD353">INDEX(GMW!$A$2:$NF$150,MATCH(1,(GMW!$NE$2:$NE$150=AD$3)*(GMW!$ND$2:$ND$150=AD$4)*(GMW!$NF$2:$NF$150=AD$1),0),$C353-1966)</f>
        <v>717813.7</v>
      </c>
      <c r="AE353" s="4" cm="1">
        <f t="array" ref="AE353">INDEX(GMW!$A$2:$NF$150,MATCH(1,(GMW!$NE$2:$NE$150=AE$3)*(GMW!$ND$2:$ND$150=AE$4)*(GMW!$NF$2:$NF$150=AE$1),0),$C353-1966)</f>
        <v>46183</v>
      </c>
      <c r="AF353" s="4" cm="1">
        <f t="array" ref="AF353">INDEX(GMW!$A$2:$NF$150,MATCH(1,(GMW!$NE$2:$NE$150=AF$3)*(GMW!$ND$2:$ND$150=AF$4)*(GMW!$NF$2:$NF$150=AF$1),0),$C353-1966)</f>
        <v>6270249</v>
      </c>
      <c r="AG353" s="4" cm="1">
        <f t="array" ref="AG353">INDEX(GMW!$A$2:$NF$150,MATCH(1,(GMW!$NE$2:$NE$150=AG$3)*(GMW!$ND$2:$ND$150=AG$4)*(GMW!$NF$2:$NF$150=AG$1),0),$C353-1966)</f>
        <v>-1.548154</v>
      </c>
      <c r="AH353" s="4" cm="1">
        <f t="array" ref="AH353">INDEX(GMW!$A$2:$NF$150,MATCH(1,(GMW!$NE$2:$NE$150=AH$3)*(GMW!$ND$2:$ND$150=AH$4)*(GMW!$NF$2:$NF$150=AH$1),0),$C353-1966)</f>
        <v>1075953</v>
      </c>
      <c r="AI353" s="4" cm="1">
        <f t="array" ref="AI353">INDEX(GMW!$A$2:$NF$150,MATCH(1,(GMW!$NE$2:$NE$150=AI$3)*(GMW!$ND$2:$ND$150=AI$4)*(GMW!$NF$2:$NF$150=AI$1),0),$C353-1966)</f>
        <v>272.5052</v>
      </c>
      <c r="AJ353" s="4" cm="1">
        <f t="array" ref="AJ353">INDEX(GMW!$A$2:$NF$150,MATCH(1,(GMW!$NE$2:$NE$150=AJ$3)*(GMW!$ND$2:$ND$150=AJ$4)*(GMW!$NF$2:$NF$150=AJ$1),0),$C353-1966)</f>
        <v>315673.90000000002</v>
      </c>
      <c r="AK353" s="4" cm="1">
        <f t="array" ref="AK353">INDEX(GMW!$A$2:$NF$150,MATCH(1,(GMW!$NE$2:$NE$150=AK$3)*(GMW!$ND$2:$ND$150=AK$4)*(GMW!$NF$2:$NF$150=AK$1),0),$C353-1966)</f>
        <v>113106.8</v>
      </c>
      <c r="AL353" s="4" cm="1">
        <f t="array" ref="AL353">INDEX(GMW!$A$2:$NF$150,MATCH(1,(GMW!$NE$2:$NE$150=AL$3)*(GMW!$ND$2:$ND$150=AL$4)*(GMW!$NF$2:$NF$150=AL$1),0),$C353-1966)</f>
        <v>360714.8</v>
      </c>
      <c r="AM353" s="4" cm="1">
        <f t="array" ref="AM353">INDEX(GMW!$A$2:$NF$150,MATCH(1,(GMW!$NE$2:$NE$150=AM$3)*(GMW!$ND$2:$ND$150=AM$4)*(GMW!$NF$2:$NF$150=AM$1),0),$C353-1966)</f>
        <v>191174.2</v>
      </c>
      <c r="AN353" s="4" cm="1">
        <f t="array" ref="AN353">INDEX(GMW!$A$2:$NF$150,MATCH(1,(GMW!$NE$2:$NE$150=AN$3)*(GMW!$ND$2:$ND$150=AN$4)*(GMW!$NF$2:$NF$150=AN$1),0),$C353-1966)</f>
        <v>222194.3</v>
      </c>
      <c r="AO353" s="4" cm="1">
        <f t="array" ref="AO353">INDEX(GMW!$A$2:$NF$150,MATCH(1,(GMW!$NE$2:$NE$150=AO$3)*(GMW!$ND$2:$ND$150=AO$4)*(GMW!$NF$2:$NF$150=AO$1),0),$C353-1966)</f>
        <v>132967.29999999999</v>
      </c>
      <c r="AP353" s="4" cm="1">
        <f t="array" ref="AP353">INDEX(GMW!$A$2:$NF$150,MATCH(1,(GMW!$NE$2:$NE$150=AP$3)*(GMW!$ND$2:$ND$150=AP$4)*(GMW!$NF$2:$NF$150=AP$1),0),$C353-1966)</f>
        <v>1075953</v>
      </c>
      <c r="AQ353" s="4" cm="1">
        <f t="array" ref="AQ353">INDEX(GMW!$A$2:$NF$150,MATCH(1,(GMW!$NE$2:$NE$150=AQ$3)*(GMW!$ND$2:$ND$150=AQ$4)*(GMW!$NF$2:$NF$150=AQ$1),0),$C353-1966)</f>
        <v>39706.71</v>
      </c>
      <c r="AR353" s="4" cm="1">
        <f t="array" ref="AR353">INDEX(GMW!$A$2:$NF$150,MATCH(1,(GMW!$NE$2:$NE$150=AR$3)*(GMW!$ND$2:$ND$150=AR$4)*(GMW!$NF$2:$NF$150=AR$1),0),$C353-1966)</f>
        <v>31.92042</v>
      </c>
      <c r="AS353" s="4" cm="1">
        <f t="array" ref="AS353">INDEX(GMW!$A$2:$NF$150,MATCH(1,(GMW!$NE$2:$NE$150=AS$3)*(GMW!$ND$2:$ND$150=AS$4)*(GMW!$NF$2:$NF$150=AS$1),0),$C353-1966)</f>
        <v>723706.4</v>
      </c>
      <c r="AT353" s="4" cm="1">
        <f t="array" ref="AT353">INDEX(GMW!$A$2:$NF$150,MATCH(1,(GMW!$NE$2:$NE$150=AT$3)*(GMW!$ND$2:$ND$150=AT$4)*(GMW!$NF$2:$NF$150=AT$1),0),$C353-1966)</f>
        <v>46562.09</v>
      </c>
      <c r="AU353" s="4" cm="1">
        <f t="array" ref="AU353">INDEX(GMW!$A$2:$NF$150,MATCH(1,(GMW!$NE$2:$NE$150=AU$3)*(GMW!$ND$2:$ND$150=AU$4)*(GMW!$NF$2:$NF$150=AU$1),0),$C353-1966)</f>
        <v>6301349</v>
      </c>
      <c r="AV353" s="4" cm="1">
        <f t="array" ref="AV353">INDEX(GMW!$A$2:$NF$150,MATCH(1,(GMW!$NE$2:$NE$150=AV$3)*(GMW!$ND$2:$ND$150=AV$4)*(GMW!$NF$2:$NF$150=AV$1),0),$C353-1966)</f>
        <v>-1.5466059999999999</v>
      </c>
    </row>
    <row r="354" spans="1:48" x14ac:dyDescent="0.25">
      <c r="B354" s="4">
        <f t="shared" si="14"/>
        <v>2059</v>
      </c>
      <c r="C354" s="4">
        <f t="shared" si="13"/>
        <v>2320</v>
      </c>
      <c r="D354" s="4" cm="1">
        <f t="array" ref="D354">INDEX(GMW!$A$2:$NF$150,MATCH(1,(GMW!$NE$2:$NE$150=D$3)*(GMW!$ND$2:$ND$150=D$4)*(GMW!$NF$2:$NF$150=D$1),0),$C354-1966)</f>
        <v>1061793</v>
      </c>
      <c r="E354" s="4" cm="1">
        <f t="array" ref="E354">INDEX(GMW!$A$2:$NF$150,MATCH(1,(GMW!$NE$2:$NE$150=E$3)*(GMW!$ND$2:$ND$150=E$4)*(GMW!$NF$2:$NF$150=E$1),0),$C354-1966)</f>
        <v>275.79399999999998</v>
      </c>
      <c r="F354" s="4" cm="1">
        <f t="array" ref="F354">INDEX(GMW!$A$2:$NF$150,MATCH(1,(GMW!$NE$2:$NE$150=F$3)*(GMW!$ND$2:$ND$150=F$4)*(GMW!$NF$2:$NF$150=F$1),0),$C354-1966)</f>
        <v>322940.3</v>
      </c>
      <c r="G354" s="4" cm="1">
        <f t="array" ref="G354">INDEX(GMW!$A$2:$NF$150,MATCH(1,(GMW!$NE$2:$NE$150=G$3)*(GMW!$ND$2:$ND$150=G$4)*(GMW!$NF$2:$NF$150=G$1),0),$C354-1966)</f>
        <v>103617.9</v>
      </c>
      <c r="H354" s="4" cm="1">
        <f t="array" ref="H354">INDEX(GMW!$A$2:$NF$150,MATCH(1,(GMW!$NE$2:$NE$150=H$3)*(GMW!$ND$2:$ND$150=H$4)*(GMW!$NF$2:$NF$150=H$1),0),$C354-1966)</f>
        <v>366436.3</v>
      </c>
      <c r="I354" s="4" cm="1">
        <f t="array" ref="I354">INDEX(GMW!$A$2:$NF$150,MATCH(1,(GMW!$NE$2:$NE$150=I$3)*(GMW!$ND$2:$ND$150=I$4)*(GMW!$NF$2:$NF$150=I$1),0),$C354-1966)</f>
        <v>193485.5</v>
      </c>
      <c r="J354" s="4" cm="1">
        <f t="array" ref="J354">INDEX(GMW!$A$2:$NF$150,MATCH(1,(GMW!$NE$2:$NE$150=J$3)*(GMW!$ND$2:$ND$150=J$4)*(GMW!$NF$2:$NF$150=J$1),0),$C354-1966)</f>
        <v>218139.8</v>
      </c>
      <c r="K354" s="4" cm="1">
        <f t="array" ref="K354">INDEX(GMW!$A$2:$NF$150,MATCH(1,(GMW!$NE$2:$NE$150=K$3)*(GMW!$ND$2:$ND$150=K$4)*(GMW!$NF$2:$NF$150=K$1),0),$C354-1966)</f>
        <v>127040.9</v>
      </c>
      <c r="L354" s="4" cm="1">
        <f t="array" ref="L354">INDEX(GMW!$A$2:$NF$150,MATCH(1,(GMW!$NE$2:$NE$150=L$3)*(GMW!$ND$2:$ND$150=L$4)*(GMW!$NF$2:$NF$150=L$1),0),$C354-1966)</f>
        <v>1061793</v>
      </c>
      <c r="M354" s="4" cm="1">
        <f t="array" ref="M354">INDEX(GMW!$A$2:$NF$150,MATCH(1,(GMW!$NE$2:$NE$150=M$3)*(GMW!$ND$2:$ND$150=M$4)*(GMW!$NF$2:$NF$150=M$1),0),$C354-1966)</f>
        <v>39381.31</v>
      </c>
      <c r="N354" s="4" cm="1">
        <f t="array" ref="N354">INDEX(GMW!$A$2:$NF$150,MATCH(1,(GMW!$NE$2:$NE$150=N$3)*(GMW!$ND$2:$ND$150=N$4)*(GMW!$NF$2:$NF$150=N$1),0),$C354-1966)</f>
        <v>31.91967</v>
      </c>
      <c r="O354" s="4" cm="1">
        <f t="array" ref="O354">INDEX(GMW!$A$2:$NF$150,MATCH(1,(GMW!$NE$2:$NE$150=O$3)*(GMW!$ND$2:$ND$150=O$4)*(GMW!$NF$2:$NF$150=O$1),0),$C354-1966)</f>
        <v>717933.7</v>
      </c>
      <c r="P354" s="4" cm="1">
        <f t="array" ref="P354">INDEX(GMW!$A$2:$NF$150,MATCH(1,(GMW!$NE$2:$NE$150=P$3)*(GMW!$ND$2:$ND$150=P$4)*(GMW!$NF$2:$NF$150=P$1),0),$C354-1966)</f>
        <v>46167.39</v>
      </c>
      <c r="Q354" s="4" cm="1">
        <f t="array" ref="Q354">INDEX(GMW!$A$2:$NF$150,MATCH(1,(GMW!$NE$2:$NE$150=Q$3)*(GMW!$ND$2:$ND$150=Q$4)*(GMW!$NF$2:$NF$150=Q$1),0),$C354-1966)</f>
        <v>6197813</v>
      </c>
      <c r="R354" s="4" cm="1">
        <f t="array" ref="R354">INDEX(GMW!$A$2:$NF$150,MATCH(1,(GMW!$NE$2:$NE$150=R$3)*(GMW!$ND$2:$ND$150=R$4)*(GMW!$NF$2:$NF$150=R$1),0),$C354-1966)</f>
        <v>-1.548862</v>
      </c>
      <c r="S354" s="4" cm="1">
        <f t="array" ref="S354">INDEX(GMW!$A$2:$NF$150,MATCH(1,(GMW!$NE$2:$NE$150=S$3)*(GMW!$ND$2:$ND$150=S$4)*(GMW!$NF$2:$NF$150=S$1),0),$C354-1966)</f>
        <v>1069878</v>
      </c>
      <c r="T354" s="4" cm="1">
        <f t="array" ref="T354">INDEX(GMW!$A$2:$NF$150,MATCH(1,(GMW!$NE$2:$NE$150=T$3)*(GMW!$ND$2:$ND$150=T$4)*(GMW!$NF$2:$NF$150=T$1),0),$C354-1966)</f>
        <v>275.60169999999999</v>
      </c>
      <c r="U354" s="4" cm="1">
        <f t="array" ref="U354">INDEX(GMW!$A$2:$NF$150,MATCH(1,(GMW!$NE$2:$NE$150=U$3)*(GMW!$ND$2:$ND$150=U$4)*(GMW!$NF$2:$NF$150=U$1),0),$C354-1966)</f>
        <v>308127.40000000002</v>
      </c>
      <c r="V354" s="4" cm="1">
        <f t="array" ref="V354">INDEX(GMW!$A$2:$NF$150,MATCH(1,(GMW!$NE$2:$NE$150=V$3)*(GMW!$ND$2:$ND$150=V$4)*(GMW!$NF$2:$NF$150=V$1),0),$C354-1966)</f>
        <v>109085.3</v>
      </c>
      <c r="W354" s="4" cm="1">
        <f t="array" ref="W354">INDEX(GMW!$A$2:$NF$150,MATCH(1,(GMW!$NE$2:$NE$150=W$3)*(GMW!$ND$2:$ND$150=W$4)*(GMW!$NF$2:$NF$150=W$1),0),$C354-1966)</f>
        <v>354160.8</v>
      </c>
      <c r="X354" s="4" cm="1">
        <f t="array" ref="X354">INDEX(GMW!$A$2:$NF$150,MATCH(1,(GMW!$NE$2:$NE$150=X$3)*(GMW!$ND$2:$ND$150=X$4)*(GMW!$NF$2:$NF$150=X$1),0),$C354-1966)</f>
        <v>185879.9</v>
      </c>
      <c r="Y354" s="4" cm="1">
        <f t="array" ref="Y354">INDEX(GMW!$A$2:$NF$150,MATCH(1,(GMW!$NE$2:$NE$150=Y$3)*(GMW!$ND$2:$ND$150=Y$4)*(GMW!$NF$2:$NF$150=Y$1),0),$C354-1966)</f>
        <v>221193.7</v>
      </c>
      <c r="Z354" s="4" cm="1">
        <f t="array" ref="Z354">INDEX(GMW!$A$2:$NF$150,MATCH(1,(GMW!$NE$2:$NE$150=Z$3)*(GMW!$ND$2:$ND$150=Z$4)*(GMW!$NF$2:$NF$150=Z$1),0),$C354-1966)</f>
        <v>130720.4</v>
      </c>
      <c r="AA354" s="4" cm="1">
        <f t="array" ref="AA354">INDEX(GMW!$A$2:$NF$150,MATCH(1,(GMW!$NE$2:$NE$150=AA$3)*(GMW!$ND$2:$ND$150=AA$4)*(GMW!$NF$2:$NF$150=AA$1),0),$C354-1966)</f>
        <v>1069878</v>
      </c>
      <c r="AB354" s="4" cm="1">
        <f t="array" ref="AB354">INDEX(GMW!$A$2:$NF$150,MATCH(1,(GMW!$NE$2:$NE$150=AB$3)*(GMW!$ND$2:$ND$150=AB$4)*(GMW!$NF$2:$NF$150=AB$1),0),$C354-1966)</f>
        <v>39381.31</v>
      </c>
      <c r="AC354" s="4" cm="1">
        <f t="array" ref="AC354">INDEX(GMW!$A$2:$NF$150,MATCH(1,(GMW!$NE$2:$NE$150=AC$3)*(GMW!$ND$2:$ND$150=AC$4)*(GMW!$NF$2:$NF$150=AC$1),0),$C354-1966)</f>
        <v>31.91967</v>
      </c>
      <c r="AD354" s="4" cm="1">
        <f t="array" ref="AD354">INDEX(GMW!$A$2:$NF$150,MATCH(1,(GMW!$NE$2:$NE$150=AD$3)*(GMW!$ND$2:$ND$150=AD$4)*(GMW!$NF$2:$NF$150=AD$1),0),$C354-1966)</f>
        <v>717933.7</v>
      </c>
      <c r="AE354" s="4" cm="1">
        <f t="array" ref="AE354">INDEX(GMW!$A$2:$NF$150,MATCH(1,(GMW!$NE$2:$NE$150=AE$3)*(GMW!$ND$2:$ND$150=AE$4)*(GMW!$NF$2:$NF$150=AE$1),0),$C354-1966)</f>
        <v>46167.39</v>
      </c>
      <c r="AF354" s="4" cm="1">
        <f t="array" ref="AF354">INDEX(GMW!$A$2:$NF$150,MATCH(1,(GMW!$NE$2:$NE$150=AF$3)*(GMW!$ND$2:$ND$150=AF$4)*(GMW!$NF$2:$NF$150=AF$1),0),$C354-1966)</f>
        <v>6297866</v>
      </c>
      <c r="AG354" s="4" cm="1">
        <f t="array" ref="AG354">INDEX(GMW!$A$2:$NF$150,MATCH(1,(GMW!$NE$2:$NE$150=AG$3)*(GMW!$ND$2:$ND$150=AG$4)*(GMW!$NF$2:$NF$150=AG$1),0),$C354-1966)</f>
        <v>-1.546915</v>
      </c>
      <c r="AH354" s="4" cm="1">
        <f t="array" ref="AH354">INDEX(GMW!$A$2:$NF$150,MATCH(1,(GMW!$NE$2:$NE$150=AH$3)*(GMW!$ND$2:$ND$150=AH$4)*(GMW!$NF$2:$NF$150=AH$1),0),$C354-1966)</f>
        <v>1079379</v>
      </c>
      <c r="AI354" s="4" cm="1">
        <f t="array" ref="AI354">INDEX(GMW!$A$2:$NF$150,MATCH(1,(GMW!$NE$2:$NE$150=AI$3)*(GMW!$ND$2:$ND$150=AI$4)*(GMW!$NF$2:$NF$150=AI$1),0),$C354-1966)</f>
        <v>273.85340000000002</v>
      </c>
      <c r="AJ354" s="4" cm="1">
        <f t="array" ref="AJ354">INDEX(GMW!$A$2:$NF$150,MATCH(1,(GMW!$NE$2:$NE$150=AJ$3)*(GMW!$ND$2:$ND$150=AJ$4)*(GMW!$NF$2:$NF$150=AJ$1),0),$C354-1966)</f>
        <v>316600.8</v>
      </c>
      <c r="AK354" s="4" cm="1">
        <f t="array" ref="AK354">INDEX(GMW!$A$2:$NF$150,MATCH(1,(GMW!$NE$2:$NE$150=AK$3)*(GMW!$ND$2:$ND$150=AK$4)*(GMW!$NF$2:$NF$150=AK$1),0),$C354-1966)</f>
        <v>113376.5</v>
      </c>
      <c r="AL354" s="4" cm="1">
        <f t="array" ref="AL354">INDEX(GMW!$A$2:$NF$150,MATCH(1,(GMW!$NE$2:$NE$150=AL$3)*(GMW!$ND$2:$ND$150=AL$4)*(GMW!$NF$2:$NF$150=AL$1),0),$C354-1966)</f>
        <v>361907</v>
      </c>
      <c r="AM354" s="4" cm="1">
        <f t="array" ref="AM354">INDEX(GMW!$A$2:$NF$150,MATCH(1,(GMW!$NE$2:$NE$150=AM$3)*(GMW!$ND$2:$ND$150=AM$4)*(GMW!$NF$2:$NF$150=AM$1),0),$C354-1966)</f>
        <v>191763.8</v>
      </c>
      <c r="AN354" s="4" cm="1">
        <f t="array" ref="AN354">INDEX(GMW!$A$2:$NF$150,MATCH(1,(GMW!$NE$2:$NE$150=AN$3)*(GMW!$ND$2:$ND$150=AN$4)*(GMW!$NF$2:$NF$150=AN$1),0),$C354-1966)</f>
        <v>223115.2</v>
      </c>
      <c r="AO354" s="4" cm="1">
        <f t="array" ref="AO354">INDEX(GMW!$A$2:$NF$150,MATCH(1,(GMW!$NE$2:$NE$150=AO$3)*(GMW!$ND$2:$ND$150=AO$4)*(GMW!$NF$2:$NF$150=AO$1),0),$C354-1966)</f>
        <v>133556.9</v>
      </c>
      <c r="AP354" s="4" cm="1">
        <f t="array" ref="AP354">INDEX(GMW!$A$2:$NF$150,MATCH(1,(GMW!$NE$2:$NE$150=AP$3)*(GMW!$ND$2:$ND$150=AP$4)*(GMW!$NF$2:$NF$150=AP$1),0),$C354-1966)</f>
        <v>1079379</v>
      </c>
      <c r="AQ354" s="4" cm="1">
        <f t="array" ref="AQ354">INDEX(GMW!$A$2:$NF$150,MATCH(1,(GMW!$NE$2:$NE$150=AQ$3)*(GMW!$ND$2:$ND$150=AQ$4)*(GMW!$NF$2:$NF$150=AQ$1),0),$C354-1966)</f>
        <v>39720.300000000003</v>
      </c>
      <c r="AR354" s="4" cm="1">
        <f t="array" ref="AR354">INDEX(GMW!$A$2:$NF$150,MATCH(1,(GMW!$NE$2:$NE$150=AR$3)*(GMW!$ND$2:$ND$150=AR$4)*(GMW!$NF$2:$NF$150=AR$1),0),$C354-1966)</f>
        <v>31.91967</v>
      </c>
      <c r="AS354" s="4" cm="1">
        <f t="array" ref="AS354">INDEX(GMW!$A$2:$NF$150,MATCH(1,(GMW!$NE$2:$NE$150=AS$3)*(GMW!$ND$2:$ND$150=AS$4)*(GMW!$NF$2:$NF$150=AS$1),0),$C354-1966)</f>
        <v>724005.1</v>
      </c>
      <c r="AT354" s="4" cm="1">
        <f t="array" ref="AT354">INDEX(GMW!$A$2:$NF$150,MATCH(1,(GMW!$NE$2:$NE$150=AT$3)*(GMW!$ND$2:$ND$150=AT$4)*(GMW!$NF$2:$NF$150=AT$1),0),$C354-1966)</f>
        <v>46558.95</v>
      </c>
      <c r="AU354" s="4" cm="1">
        <f t="array" ref="AU354">INDEX(GMW!$A$2:$NF$150,MATCH(1,(GMW!$NE$2:$NE$150=AU$3)*(GMW!$ND$2:$ND$150=AU$4)*(GMW!$NF$2:$NF$150=AU$1),0),$C354-1966)</f>
        <v>6330006</v>
      </c>
      <c r="AV354" s="4" cm="1">
        <f t="array" ref="AV354">INDEX(GMW!$A$2:$NF$150,MATCH(1,(GMW!$NE$2:$NE$150=AV$3)*(GMW!$ND$2:$ND$150=AV$4)*(GMW!$NF$2:$NF$150=AV$1),0),$C354-1966)</f>
        <v>-1.545369</v>
      </c>
    </row>
    <row r="355" spans="1:48" x14ac:dyDescent="0.25">
      <c r="A355" s="4">
        <v>2060</v>
      </c>
      <c r="B355" s="4">
        <f t="shared" si="14"/>
        <v>2060</v>
      </c>
      <c r="C355" s="4">
        <f t="shared" si="13"/>
        <v>2321</v>
      </c>
      <c r="D355" s="4" cm="1">
        <f t="array" ref="D355">INDEX(GMW!$A$2:$NF$150,MATCH(1,(GMW!$NE$2:$NE$150=D$3)*(GMW!$ND$2:$ND$150=D$4)*(GMW!$NF$2:$NF$150=D$1),0),$C355-1966)</f>
        <v>1064987</v>
      </c>
      <c r="E355" s="4" cm="1">
        <f t="array" ref="E355">INDEX(GMW!$A$2:$NF$150,MATCH(1,(GMW!$NE$2:$NE$150=E$3)*(GMW!$ND$2:$ND$150=E$4)*(GMW!$NF$2:$NF$150=E$1),0),$C355-1966)</f>
        <v>276.35860000000002</v>
      </c>
      <c r="F355" s="4" cm="1">
        <f t="array" ref="F355">INDEX(GMW!$A$2:$NF$150,MATCH(1,(GMW!$NE$2:$NE$150=F$3)*(GMW!$ND$2:$ND$150=F$4)*(GMW!$NF$2:$NF$150=F$1),0),$C355-1966)</f>
        <v>323856.09999999998</v>
      </c>
      <c r="G355" s="4" cm="1">
        <f t="array" ref="G355">INDEX(GMW!$A$2:$NF$150,MATCH(1,(GMW!$NE$2:$NE$150=G$3)*(GMW!$ND$2:$ND$150=G$4)*(GMW!$NF$2:$NF$150=G$1),0),$C355-1966)</f>
        <v>103846.7</v>
      </c>
      <c r="H355" s="4" cm="1">
        <f t="array" ref="H355">INDEX(GMW!$A$2:$NF$150,MATCH(1,(GMW!$NE$2:$NE$150=H$3)*(GMW!$ND$2:$ND$150=H$4)*(GMW!$NF$2:$NF$150=H$1),0),$C355-1966)</f>
        <v>367601.9</v>
      </c>
      <c r="I355" s="4" cm="1">
        <f t="array" ref="I355">INDEX(GMW!$A$2:$NF$150,MATCH(1,(GMW!$NE$2:$NE$150=I$3)*(GMW!$ND$2:$ND$150=I$4)*(GMW!$NF$2:$NF$150=I$1),0),$C355-1966)</f>
        <v>194048.2</v>
      </c>
      <c r="J355" s="4" cm="1">
        <f t="array" ref="J355">INDEX(GMW!$A$2:$NF$150,MATCH(1,(GMW!$NE$2:$NE$150=J$3)*(GMW!$ND$2:$ND$150=J$4)*(GMW!$NF$2:$NF$150=J$1),0),$C355-1966)</f>
        <v>219010.5</v>
      </c>
      <c r="K355" s="4" cm="1">
        <f t="array" ref="K355">INDEX(GMW!$A$2:$NF$150,MATCH(1,(GMW!$NE$2:$NE$150=K$3)*(GMW!$ND$2:$ND$150=K$4)*(GMW!$NF$2:$NF$150=K$1),0),$C355-1966)</f>
        <v>127588.2</v>
      </c>
      <c r="L355" s="4" cm="1">
        <f t="array" ref="L355">INDEX(GMW!$A$2:$NF$150,MATCH(1,(GMW!$NE$2:$NE$150=L$3)*(GMW!$ND$2:$ND$150=L$4)*(GMW!$NF$2:$NF$150=L$1),0),$C355-1966)</f>
        <v>1064988</v>
      </c>
      <c r="M355" s="4" cm="1">
        <f t="array" ref="M355">INDEX(GMW!$A$2:$NF$150,MATCH(1,(GMW!$NE$2:$NE$150=M$3)*(GMW!$ND$2:$ND$150=M$4)*(GMW!$NF$2:$NF$150=M$1),0),$C355-1966)</f>
        <v>39384.730000000003</v>
      </c>
      <c r="N355" s="4" cm="1">
        <f t="array" ref="N355">INDEX(GMW!$A$2:$NF$150,MATCH(1,(GMW!$NE$2:$NE$150=N$3)*(GMW!$ND$2:$ND$150=N$4)*(GMW!$NF$2:$NF$150=N$1),0),$C355-1966)</f>
        <v>31.91892</v>
      </c>
      <c r="O355" s="4" cm="1">
        <f t="array" ref="O355">INDEX(GMW!$A$2:$NF$150,MATCH(1,(GMW!$NE$2:$NE$150=O$3)*(GMW!$ND$2:$ND$150=O$4)*(GMW!$NF$2:$NF$150=O$1),0),$C355-1966)</f>
        <v>718052</v>
      </c>
      <c r="P355" s="4" cm="1">
        <f t="array" ref="P355">INDEX(GMW!$A$2:$NF$150,MATCH(1,(GMW!$NE$2:$NE$150=P$3)*(GMW!$ND$2:$ND$150=P$4)*(GMW!$NF$2:$NF$150=P$1),0),$C355-1966)</f>
        <v>46151.77</v>
      </c>
      <c r="Q355" s="4" cm="1">
        <f t="array" ref="Q355">INDEX(GMW!$A$2:$NF$150,MATCH(1,(GMW!$NE$2:$NE$150=Q$3)*(GMW!$ND$2:$ND$150=Q$4)*(GMW!$NF$2:$NF$150=Q$1),0),$C355-1966)</f>
        <v>6225666</v>
      </c>
      <c r="R355" s="4" cm="1">
        <f t="array" ref="R355">INDEX(GMW!$A$2:$NF$150,MATCH(1,(GMW!$NE$2:$NE$150=R$3)*(GMW!$ND$2:$ND$150=R$4)*(GMW!$NF$2:$NF$150=R$1),0),$C355-1966)</f>
        <v>-1.5476220000000001</v>
      </c>
      <c r="S355" s="4" cm="1">
        <f t="array" ref="S355">INDEX(GMW!$A$2:$NF$150,MATCH(1,(GMW!$NE$2:$NE$150=S$3)*(GMW!$ND$2:$ND$150=S$4)*(GMW!$NF$2:$NF$150=S$1),0),$C355-1966)</f>
        <v>1073058</v>
      </c>
      <c r="T355" s="4" cm="1">
        <f t="array" ref="T355">INDEX(GMW!$A$2:$NF$150,MATCH(1,(GMW!$NE$2:$NE$150=T$3)*(GMW!$ND$2:$ND$150=T$4)*(GMW!$NF$2:$NF$150=T$1),0),$C355-1966)</f>
        <v>276.0668</v>
      </c>
      <c r="U355" s="4" cm="1">
        <f t="array" ref="U355">INDEX(GMW!$A$2:$NF$150,MATCH(1,(GMW!$NE$2:$NE$150=U$3)*(GMW!$ND$2:$ND$150=U$4)*(GMW!$NF$2:$NF$150=U$1),0),$C355-1966)</f>
        <v>308975.7</v>
      </c>
      <c r="V355" s="4" cm="1">
        <f t="array" ref="V355">INDEX(GMW!$A$2:$NF$150,MATCH(1,(GMW!$NE$2:$NE$150=V$3)*(GMW!$ND$2:$ND$150=V$4)*(GMW!$NF$2:$NF$150=V$1),0),$C355-1966)</f>
        <v>109322.3</v>
      </c>
      <c r="W355" s="4" cm="1">
        <f t="array" ref="W355">INDEX(GMW!$A$2:$NF$150,MATCH(1,(GMW!$NE$2:$NE$150=W$3)*(GMW!$ND$2:$ND$150=W$4)*(GMW!$NF$2:$NF$150=W$1),0),$C355-1966)</f>
        <v>355268.8</v>
      </c>
      <c r="X355" s="4" cm="1">
        <f t="array" ref="X355">INDEX(GMW!$A$2:$NF$150,MATCH(1,(GMW!$NE$2:$NE$150=X$3)*(GMW!$ND$2:$ND$150=X$4)*(GMW!$NF$2:$NF$150=X$1),0),$C355-1966)</f>
        <v>186413.8</v>
      </c>
      <c r="Y355" s="4" cm="1">
        <f t="array" ref="Y355">INDEX(GMW!$A$2:$NF$150,MATCH(1,(GMW!$NE$2:$NE$150=Y$3)*(GMW!$ND$2:$ND$150=Y$4)*(GMW!$NF$2:$NF$150=Y$1),0),$C355-1966)</f>
        <v>222062.9</v>
      </c>
      <c r="Z355" s="4" cm="1">
        <f t="array" ref="Z355">INDEX(GMW!$A$2:$NF$150,MATCH(1,(GMW!$NE$2:$NE$150=Z$3)*(GMW!$ND$2:$ND$150=Z$4)*(GMW!$NF$2:$NF$150=Z$1),0),$C355-1966)</f>
        <v>131272.29999999999</v>
      </c>
      <c r="AA355" s="4" cm="1">
        <f t="array" ref="AA355">INDEX(GMW!$A$2:$NF$150,MATCH(1,(GMW!$NE$2:$NE$150=AA$3)*(GMW!$ND$2:$ND$150=AA$4)*(GMW!$NF$2:$NF$150=AA$1),0),$C355-1966)</f>
        <v>1073058</v>
      </c>
      <c r="AB355" s="4" cm="1">
        <f t="array" ref="AB355">INDEX(GMW!$A$2:$NF$150,MATCH(1,(GMW!$NE$2:$NE$150=AB$3)*(GMW!$ND$2:$ND$150=AB$4)*(GMW!$NF$2:$NF$150=AB$1),0),$C355-1966)</f>
        <v>39384.730000000003</v>
      </c>
      <c r="AC355" s="4" cm="1">
        <f t="array" ref="AC355">INDEX(GMW!$A$2:$NF$150,MATCH(1,(GMW!$NE$2:$NE$150=AC$3)*(GMW!$ND$2:$ND$150=AC$4)*(GMW!$NF$2:$NF$150=AC$1),0),$C355-1966)</f>
        <v>31.91892</v>
      </c>
      <c r="AD355" s="4" cm="1">
        <f t="array" ref="AD355">INDEX(GMW!$A$2:$NF$150,MATCH(1,(GMW!$NE$2:$NE$150=AD$3)*(GMW!$ND$2:$ND$150=AD$4)*(GMW!$NF$2:$NF$150=AD$1),0),$C355-1966)</f>
        <v>718052</v>
      </c>
      <c r="AE355" s="4" cm="1">
        <f t="array" ref="AE355">INDEX(GMW!$A$2:$NF$150,MATCH(1,(GMW!$NE$2:$NE$150=AE$3)*(GMW!$ND$2:$ND$150=AE$4)*(GMW!$NF$2:$NF$150=AE$1),0),$C355-1966)</f>
        <v>46151.77</v>
      </c>
      <c r="AF355" s="4" cm="1">
        <f t="array" ref="AF355">INDEX(GMW!$A$2:$NF$150,MATCH(1,(GMW!$NE$2:$NE$150=AF$3)*(GMW!$ND$2:$ND$150=AF$4)*(GMW!$NF$2:$NF$150=AF$1),0),$C355-1966)</f>
        <v>6325544</v>
      </c>
      <c r="AG355" s="4" cm="1">
        <f t="array" ref="AG355">INDEX(GMW!$A$2:$NF$150,MATCH(1,(GMW!$NE$2:$NE$150=AG$3)*(GMW!$ND$2:$ND$150=AG$4)*(GMW!$NF$2:$NF$150=AG$1),0),$C355-1966)</f>
        <v>-1.5456780000000001</v>
      </c>
      <c r="AH355" s="4" cm="1">
        <f t="array" ref="AH355">INDEX(GMW!$A$2:$NF$150,MATCH(1,(GMW!$NE$2:$NE$150=AH$3)*(GMW!$ND$2:$ND$150=AH$4)*(GMW!$NF$2:$NF$150=AH$1),0),$C355-1966)</f>
        <v>1082811</v>
      </c>
      <c r="AI355" s="4" cm="1">
        <f t="array" ref="AI355">INDEX(GMW!$A$2:$NF$150,MATCH(1,(GMW!$NE$2:$NE$150=AI$3)*(GMW!$ND$2:$ND$150=AI$4)*(GMW!$NF$2:$NF$150=AI$1),0),$C355-1966)</f>
        <v>274.3734</v>
      </c>
      <c r="AJ355" s="4" cm="1">
        <f t="array" ref="AJ355">INDEX(GMW!$A$2:$NF$150,MATCH(1,(GMW!$NE$2:$NE$150=AJ$3)*(GMW!$ND$2:$ND$150=AJ$4)*(GMW!$NF$2:$NF$150=AJ$1),0),$C355-1966)</f>
        <v>317529.3</v>
      </c>
      <c r="AK355" s="4" cm="1">
        <f t="array" ref="AK355">INDEX(GMW!$A$2:$NF$150,MATCH(1,(GMW!$NE$2:$NE$150=AK$3)*(GMW!$ND$2:$ND$150=AK$4)*(GMW!$NF$2:$NF$150=AK$1),0),$C355-1966)</f>
        <v>113646.2</v>
      </c>
      <c r="AL355" s="4" cm="1">
        <f t="array" ref="AL355">INDEX(GMW!$A$2:$NF$150,MATCH(1,(GMW!$NE$2:$NE$150=AL$3)*(GMW!$ND$2:$ND$150=AL$4)*(GMW!$NF$2:$NF$150=AL$1),0),$C355-1966)</f>
        <v>363101.9</v>
      </c>
      <c r="AM355" s="4" cm="1">
        <f t="array" ref="AM355">INDEX(GMW!$A$2:$NF$150,MATCH(1,(GMW!$NE$2:$NE$150=AM$3)*(GMW!$ND$2:$ND$150=AM$4)*(GMW!$NF$2:$NF$150=AM$1),0),$C355-1966)</f>
        <v>192354.3</v>
      </c>
      <c r="AN355" s="4" cm="1">
        <f t="array" ref="AN355">INDEX(GMW!$A$2:$NF$150,MATCH(1,(GMW!$NE$2:$NE$150=AN$3)*(GMW!$ND$2:$ND$150=AN$4)*(GMW!$NF$2:$NF$150=AN$1),0),$C355-1966)</f>
        <v>224038.8</v>
      </c>
      <c r="AO355" s="4" cm="1">
        <f t="array" ref="AO355">INDEX(GMW!$A$2:$NF$150,MATCH(1,(GMW!$NE$2:$NE$150=AO$3)*(GMW!$ND$2:$ND$150=AO$4)*(GMW!$NF$2:$NF$150=AO$1),0),$C355-1966)</f>
        <v>134148.5</v>
      </c>
      <c r="AP355" s="4" cm="1">
        <f t="array" ref="AP355">INDEX(GMW!$A$2:$NF$150,MATCH(1,(GMW!$NE$2:$NE$150=AP$3)*(GMW!$ND$2:$ND$150=AP$4)*(GMW!$NF$2:$NF$150=AP$1),0),$C355-1966)</f>
        <v>1082810</v>
      </c>
      <c r="AQ355" s="4" cm="1">
        <f t="array" ref="AQ355">INDEX(GMW!$A$2:$NF$150,MATCH(1,(GMW!$NE$2:$NE$150=AQ$3)*(GMW!$ND$2:$ND$150=AQ$4)*(GMW!$NF$2:$NF$150=AQ$1),0),$C355-1966)</f>
        <v>39733.870000000003</v>
      </c>
      <c r="AR355" s="4" cm="1">
        <f t="array" ref="AR355">INDEX(GMW!$A$2:$NF$150,MATCH(1,(GMW!$NE$2:$NE$150=AR$3)*(GMW!$ND$2:$ND$150=AR$4)*(GMW!$NF$2:$NF$150=AR$1),0),$C355-1966)</f>
        <v>31.91892</v>
      </c>
      <c r="AS355" s="4" cm="1">
        <f t="array" ref="AS355">INDEX(GMW!$A$2:$NF$150,MATCH(1,(GMW!$NE$2:$NE$150=AS$3)*(GMW!$ND$2:$ND$150=AS$4)*(GMW!$NF$2:$NF$150=AS$1),0),$C355-1966)</f>
        <v>724301.6</v>
      </c>
      <c r="AT355" s="4" cm="1">
        <f t="array" ref="AT355">INDEX(GMW!$A$2:$NF$150,MATCH(1,(GMW!$NE$2:$NE$150=AT$3)*(GMW!$ND$2:$ND$150=AT$4)*(GMW!$NF$2:$NF$150=AT$1),0),$C355-1966)</f>
        <v>46555.8</v>
      </c>
      <c r="AU355" s="4" cm="1">
        <f t="array" ref="AU355">INDEX(GMW!$A$2:$NF$150,MATCH(1,(GMW!$NE$2:$NE$150=AU$3)*(GMW!$ND$2:$ND$150=AU$4)*(GMW!$NF$2:$NF$150=AU$1),0),$C355-1966)</f>
        <v>6358745</v>
      </c>
      <c r="AV355" s="4" cm="1">
        <f t="array" ref="AV355">INDEX(GMW!$A$2:$NF$150,MATCH(1,(GMW!$NE$2:$NE$150=AV$3)*(GMW!$ND$2:$ND$150=AV$4)*(GMW!$NF$2:$NF$150=AV$1),0),$C355-1966)</f>
        <v>-1.544133</v>
      </c>
    </row>
    <row r="356" spans="1:48" x14ac:dyDescent="0.25">
      <c r="B356" s="4">
        <f t="shared" si="14"/>
        <v>2060</v>
      </c>
      <c r="C356" s="4">
        <f t="shared" si="13"/>
        <v>2322</v>
      </c>
      <c r="D356" s="4" cm="1">
        <f t="array" ref="D356">INDEX(GMW!$A$2:$NF$150,MATCH(1,(GMW!$NE$2:$NE$150=D$3)*(GMW!$ND$2:$ND$150=D$4)*(GMW!$NF$2:$NF$150=D$1),0),$C356-1966)</f>
        <v>1068186</v>
      </c>
      <c r="E356" s="4" cm="1">
        <f t="array" ref="E356">INDEX(GMW!$A$2:$NF$150,MATCH(1,(GMW!$NE$2:$NE$150=E$3)*(GMW!$ND$2:$ND$150=E$4)*(GMW!$NF$2:$NF$150=E$1),0),$C356-1966)</f>
        <v>278.80849999999998</v>
      </c>
      <c r="F356" s="4" cm="1">
        <f t="array" ref="F356">INDEX(GMW!$A$2:$NF$150,MATCH(1,(GMW!$NE$2:$NE$150=F$3)*(GMW!$ND$2:$ND$150=F$4)*(GMW!$NF$2:$NF$150=F$1),0),$C356-1966)</f>
        <v>324773.3</v>
      </c>
      <c r="G356" s="4" cm="1">
        <f t="array" ref="G356">INDEX(GMW!$A$2:$NF$150,MATCH(1,(GMW!$NE$2:$NE$150=G$3)*(GMW!$ND$2:$ND$150=G$4)*(GMW!$NF$2:$NF$150=G$1),0),$C356-1966)</f>
        <v>104075.5</v>
      </c>
      <c r="H356" s="4" cm="1">
        <f t="array" ref="H356">INDEX(GMW!$A$2:$NF$150,MATCH(1,(GMW!$NE$2:$NE$150=H$3)*(GMW!$ND$2:$ND$150=H$4)*(GMW!$NF$2:$NF$150=H$1),0),$C356-1966)</f>
        <v>368769.8</v>
      </c>
      <c r="I356" s="4" cm="1">
        <f t="array" ref="I356">INDEX(GMW!$A$2:$NF$150,MATCH(1,(GMW!$NE$2:$NE$150=I$3)*(GMW!$ND$2:$ND$150=I$4)*(GMW!$NF$2:$NF$150=I$1),0),$C356-1966)</f>
        <v>194611.6</v>
      </c>
      <c r="J356" s="4" cm="1">
        <f t="array" ref="J356">INDEX(GMW!$A$2:$NF$150,MATCH(1,(GMW!$NE$2:$NE$150=J$3)*(GMW!$ND$2:$ND$150=J$4)*(GMW!$NF$2:$NF$150=J$1),0),$C356-1966)</f>
        <v>219883.8</v>
      </c>
      <c r="K356" s="4" cm="1">
        <f t="array" ref="K356">INDEX(GMW!$A$2:$NF$150,MATCH(1,(GMW!$NE$2:$NE$150=K$3)*(GMW!$ND$2:$ND$150=K$4)*(GMW!$NF$2:$NF$150=K$1),0),$C356-1966)</f>
        <v>128137.3</v>
      </c>
      <c r="L356" s="4" cm="1">
        <f t="array" ref="L356">INDEX(GMW!$A$2:$NF$150,MATCH(1,(GMW!$NE$2:$NE$150=L$3)*(GMW!$ND$2:$ND$150=L$4)*(GMW!$NF$2:$NF$150=L$1),0),$C356-1966)</f>
        <v>1068185</v>
      </c>
      <c r="M356" s="4" cm="1">
        <f t="array" ref="M356">INDEX(GMW!$A$2:$NF$150,MATCH(1,(GMW!$NE$2:$NE$150=M$3)*(GMW!$ND$2:$ND$150=M$4)*(GMW!$NF$2:$NF$150=M$1),0),$C356-1966)</f>
        <v>39388.15</v>
      </c>
      <c r="N356" s="4" cm="1">
        <f t="array" ref="N356">INDEX(GMW!$A$2:$NF$150,MATCH(1,(GMW!$NE$2:$NE$150=N$3)*(GMW!$ND$2:$ND$150=N$4)*(GMW!$NF$2:$NF$150=N$1),0),$C356-1966)</f>
        <v>31.91817</v>
      </c>
      <c r="O356" s="4" cm="1">
        <f t="array" ref="O356">INDEX(GMW!$A$2:$NF$150,MATCH(1,(GMW!$NE$2:$NE$150=O$3)*(GMW!$ND$2:$ND$150=O$4)*(GMW!$NF$2:$NF$150=O$1),0),$C356-1966)</f>
        <v>718168.8</v>
      </c>
      <c r="P356" s="4" cm="1">
        <f t="array" ref="P356">INDEX(GMW!$A$2:$NF$150,MATCH(1,(GMW!$NE$2:$NE$150=P$3)*(GMW!$ND$2:$ND$150=P$4)*(GMW!$NF$2:$NF$150=P$1),0),$C356-1966)</f>
        <v>46136.15</v>
      </c>
      <c r="Q356" s="4" cm="1">
        <f t="array" ref="Q356">INDEX(GMW!$A$2:$NF$150,MATCH(1,(GMW!$NE$2:$NE$150=Q$3)*(GMW!$ND$2:$ND$150=Q$4)*(GMW!$NF$2:$NF$150=Q$1),0),$C356-1966)</f>
        <v>6253592</v>
      </c>
      <c r="R356" s="4" cm="1">
        <f t="array" ref="R356">INDEX(GMW!$A$2:$NF$150,MATCH(1,(GMW!$NE$2:$NE$150=R$3)*(GMW!$ND$2:$ND$150=R$4)*(GMW!$NF$2:$NF$150=R$1),0),$C356-1966)</f>
        <v>-1.546384</v>
      </c>
      <c r="S356" s="4" cm="1">
        <f t="array" ref="S356">INDEX(GMW!$A$2:$NF$150,MATCH(1,(GMW!$NE$2:$NE$150=S$3)*(GMW!$ND$2:$ND$150=S$4)*(GMW!$NF$2:$NF$150=S$1),0),$C356-1966)</f>
        <v>1076242</v>
      </c>
      <c r="T356" s="4" cm="1">
        <f t="array" ref="T356">INDEX(GMW!$A$2:$NF$150,MATCH(1,(GMW!$NE$2:$NE$150=T$3)*(GMW!$ND$2:$ND$150=T$4)*(GMW!$NF$2:$NF$150=T$1),0),$C356-1966)</f>
        <v>278.57139999999998</v>
      </c>
      <c r="U356" s="4" cm="1">
        <f t="array" ref="U356">INDEX(GMW!$A$2:$NF$150,MATCH(1,(GMW!$NE$2:$NE$150=U$3)*(GMW!$ND$2:$ND$150=U$4)*(GMW!$NF$2:$NF$150=U$1),0),$C356-1966)</f>
        <v>309824.90000000002</v>
      </c>
      <c r="V356" s="4" cm="1">
        <f t="array" ref="V356">INDEX(GMW!$A$2:$NF$150,MATCH(1,(GMW!$NE$2:$NE$150=V$3)*(GMW!$ND$2:$ND$150=V$4)*(GMW!$NF$2:$NF$150=V$1),0),$C356-1966)</f>
        <v>109559.2</v>
      </c>
      <c r="W356" s="4" cm="1">
        <f t="array" ref="W356">INDEX(GMW!$A$2:$NF$150,MATCH(1,(GMW!$NE$2:$NE$150=W$3)*(GMW!$ND$2:$ND$150=W$4)*(GMW!$NF$2:$NF$150=W$1),0),$C356-1966)</f>
        <v>356378.8</v>
      </c>
      <c r="X356" s="4" cm="1">
        <f t="array" ref="X356">INDEX(GMW!$A$2:$NF$150,MATCH(1,(GMW!$NE$2:$NE$150=X$3)*(GMW!$ND$2:$ND$150=X$4)*(GMW!$NF$2:$NF$150=X$1),0),$C356-1966)</f>
        <v>186948.3</v>
      </c>
      <c r="Y356" s="4" cm="1">
        <f t="array" ref="Y356">INDEX(GMW!$A$2:$NF$150,MATCH(1,(GMW!$NE$2:$NE$150=Y$3)*(GMW!$ND$2:$ND$150=Y$4)*(GMW!$NF$2:$NF$150=Y$1),0),$C356-1966)</f>
        <v>222934.5</v>
      </c>
      <c r="Z356" s="4" cm="1">
        <f t="array" ref="Z356">INDEX(GMW!$A$2:$NF$150,MATCH(1,(GMW!$NE$2:$NE$150=Z$3)*(GMW!$ND$2:$ND$150=Z$4)*(GMW!$NF$2:$NF$150=Z$1),0),$C356-1966)</f>
        <v>131825.9</v>
      </c>
      <c r="AA356" s="4" cm="1">
        <f t="array" ref="AA356">INDEX(GMW!$A$2:$NF$150,MATCH(1,(GMW!$NE$2:$NE$150=AA$3)*(GMW!$ND$2:$ND$150=AA$4)*(GMW!$NF$2:$NF$150=AA$1),0),$C356-1966)</f>
        <v>1076241</v>
      </c>
      <c r="AB356" s="4" cm="1">
        <f t="array" ref="AB356">INDEX(GMW!$A$2:$NF$150,MATCH(1,(GMW!$NE$2:$NE$150=AB$3)*(GMW!$ND$2:$ND$150=AB$4)*(GMW!$NF$2:$NF$150=AB$1),0),$C356-1966)</f>
        <v>39388.15</v>
      </c>
      <c r="AC356" s="4" cm="1">
        <f t="array" ref="AC356">INDEX(GMW!$A$2:$NF$150,MATCH(1,(GMW!$NE$2:$NE$150=AC$3)*(GMW!$ND$2:$ND$150=AC$4)*(GMW!$NF$2:$NF$150=AC$1),0),$C356-1966)</f>
        <v>31.91817</v>
      </c>
      <c r="AD356" s="4" cm="1">
        <f t="array" ref="AD356">INDEX(GMW!$A$2:$NF$150,MATCH(1,(GMW!$NE$2:$NE$150=AD$3)*(GMW!$ND$2:$ND$150=AD$4)*(GMW!$NF$2:$NF$150=AD$1),0),$C356-1966)</f>
        <v>718168.8</v>
      </c>
      <c r="AE356" s="4" cm="1">
        <f t="array" ref="AE356">INDEX(GMW!$A$2:$NF$150,MATCH(1,(GMW!$NE$2:$NE$150=AE$3)*(GMW!$ND$2:$ND$150=AE$4)*(GMW!$NF$2:$NF$150=AE$1),0),$C356-1966)</f>
        <v>46136.15</v>
      </c>
      <c r="AF356" s="4" cm="1">
        <f t="array" ref="AF356">INDEX(GMW!$A$2:$NF$150,MATCH(1,(GMW!$NE$2:$NE$150=AF$3)*(GMW!$ND$2:$ND$150=AF$4)*(GMW!$NF$2:$NF$150=AF$1),0),$C356-1966)</f>
        <v>6353284</v>
      </c>
      <c r="AG356" s="4" cm="1">
        <f t="array" ref="AG356">INDEX(GMW!$A$2:$NF$150,MATCH(1,(GMW!$NE$2:$NE$150=AG$3)*(GMW!$ND$2:$ND$150=AG$4)*(GMW!$NF$2:$NF$150=AG$1),0),$C356-1966)</f>
        <v>-1.544441</v>
      </c>
      <c r="AH356" s="4" cm="1">
        <f t="array" ref="AH356">INDEX(GMW!$A$2:$NF$150,MATCH(1,(GMW!$NE$2:$NE$150=AH$3)*(GMW!$ND$2:$ND$150=AH$4)*(GMW!$NF$2:$NF$150=AH$1),0),$C356-1966)</f>
        <v>1086249</v>
      </c>
      <c r="AI356" s="4" cm="1">
        <f t="array" ref="AI356">INDEX(GMW!$A$2:$NF$150,MATCH(1,(GMW!$NE$2:$NE$150=AI$3)*(GMW!$ND$2:$ND$150=AI$4)*(GMW!$NF$2:$NF$150=AI$1),0),$C356-1966)</f>
        <v>276.7337</v>
      </c>
      <c r="AJ356" s="4" cm="1">
        <f t="array" ref="AJ356">INDEX(GMW!$A$2:$NF$150,MATCH(1,(GMW!$NE$2:$NE$150=AJ$3)*(GMW!$ND$2:$ND$150=AJ$4)*(GMW!$NF$2:$NF$150=AJ$1),0),$C356-1966)</f>
        <v>318459.5</v>
      </c>
      <c r="AK356" s="4" cm="1">
        <f t="array" ref="AK356">INDEX(GMW!$A$2:$NF$150,MATCH(1,(GMW!$NE$2:$NE$150=AK$3)*(GMW!$ND$2:$ND$150=AK$4)*(GMW!$NF$2:$NF$150=AK$1),0),$C356-1966)</f>
        <v>113916.1</v>
      </c>
      <c r="AL356" s="4" cm="1">
        <f t="array" ref="AL356">INDEX(GMW!$A$2:$NF$150,MATCH(1,(GMW!$NE$2:$NE$150=AL$3)*(GMW!$ND$2:$ND$150=AL$4)*(GMW!$NF$2:$NF$150=AL$1),0),$C356-1966)</f>
        <v>364299.6</v>
      </c>
      <c r="AM356" s="4" cm="1">
        <f t="array" ref="AM356">INDEX(GMW!$A$2:$NF$150,MATCH(1,(GMW!$NE$2:$NE$150=AM$3)*(GMW!$ND$2:$ND$150=AM$4)*(GMW!$NF$2:$NF$150=AM$1),0),$C356-1966)</f>
        <v>192945.8</v>
      </c>
      <c r="AN356" s="4" cm="1">
        <f t="array" ref="AN356">INDEX(GMW!$A$2:$NF$150,MATCH(1,(GMW!$NE$2:$NE$150=AN$3)*(GMW!$ND$2:$ND$150=AN$4)*(GMW!$NF$2:$NF$150=AN$1),0),$C356-1966)</f>
        <v>224965.2</v>
      </c>
      <c r="AO356" s="4" cm="1">
        <f t="array" ref="AO356">INDEX(GMW!$A$2:$NF$150,MATCH(1,(GMW!$NE$2:$NE$150=AO$3)*(GMW!$ND$2:$ND$150=AO$4)*(GMW!$NF$2:$NF$150=AO$1),0),$C356-1966)</f>
        <v>134742</v>
      </c>
      <c r="AP356" s="4" cm="1">
        <f t="array" ref="AP356">INDEX(GMW!$A$2:$NF$150,MATCH(1,(GMW!$NE$2:$NE$150=AP$3)*(GMW!$ND$2:$ND$150=AP$4)*(GMW!$NF$2:$NF$150=AP$1),0),$C356-1966)</f>
        <v>1086248</v>
      </c>
      <c r="AQ356" s="4" cm="1">
        <f t="array" ref="AQ356">INDEX(GMW!$A$2:$NF$150,MATCH(1,(GMW!$NE$2:$NE$150=AQ$3)*(GMW!$ND$2:$ND$150=AQ$4)*(GMW!$NF$2:$NF$150=AQ$1),0),$C356-1966)</f>
        <v>39747.449999999997</v>
      </c>
      <c r="AR356" s="4" cm="1">
        <f t="array" ref="AR356">INDEX(GMW!$A$2:$NF$150,MATCH(1,(GMW!$NE$2:$NE$150=AR$3)*(GMW!$ND$2:$ND$150=AR$4)*(GMW!$NF$2:$NF$150=AR$1),0),$C356-1966)</f>
        <v>31.91817</v>
      </c>
      <c r="AS356" s="4" cm="1">
        <f t="array" ref="AS356">INDEX(GMW!$A$2:$NF$150,MATCH(1,(GMW!$NE$2:$NE$150=AS$3)*(GMW!$ND$2:$ND$150=AS$4)*(GMW!$NF$2:$NF$150=AS$1),0),$C356-1966)</f>
        <v>724596.1</v>
      </c>
      <c r="AT356" s="4" cm="1">
        <f t="array" ref="AT356">INDEX(GMW!$A$2:$NF$150,MATCH(1,(GMW!$NE$2:$NE$150=AT$3)*(GMW!$ND$2:$ND$150=AT$4)*(GMW!$NF$2:$NF$150=AT$1),0),$C356-1966)</f>
        <v>46552.65</v>
      </c>
      <c r="AU356" s="4" cm="1">
        <f t="array" ref="AU356">INDEX(GMW!$A$2:$NF$150,MATCH(1,(GMW!$NE$2:$NE$150=AU$3)*(GMW!$ND$2:$ND$150=AU$4)*(GMW!$NF$2:$NF$150=AU$1),0),$C356-1966)</f>
        <v>6387565</v>
      </c>
      <c r="AV356" s="4" cm="1">
        <f t="array" ref="AV356">INDEX(GMW!$A$2:$NF$150,MATCH(1,(GMW!$NE$2:$NE$150=AV$3)*(GMW!$ND$2:$ND$150=AV$4)*(GMW!$NF$2:$NF$150=AV$1),0),$C356-1966)</f>
        <v>-1.542897</v>
      </c>
    </row>
    <row r="357" spans="1:48" x14ac:dyDescent="0.25">
      <c r="B357" s="4">
        <f t="shared" si="14"/>
        <v>2060</v>
      </c>
      <c r="C357" s="4">
        <f t="shared" si="13"/>
        <v>2323</v>
      </c>
      <c r="D357" s="4" cm="1">
        <f t="array" ref="D357">INDEX(GMW!$A$2:$NF$150,MATCH(1,(GMW!$NE$2:$NE$150=D$3)*(GMW!$ND$2:$ND$150=D$4)*(GMW!$NF$2:$NF$150=D$1),0),$C357-1966)</f>
        <v>1071389</v>
      </c>
      <c r="E357" s="4" cm="1">
        <f t="array" ref="E357">INDEX(GMW!$A$2:$NF$150,MATCH(1,(GMW!$NE$2:$NE$150=E$3)*(GMW!$ND$2:$ND$150=E$4)*(GMW!$NF$2:$NF$150=E$1),0),$C357-1966)</f>
        <v>280.07679999999999</v>
      </c>
      <c r="F357" s="4" cm="1">
        <f t="array" ref="F357">INDEX(GMW!$A$2:$NF$150,MATCH(1,(GMW!$NE$2:$NE$150=F$3)*(GMW!$ND$2:$ND$150=F$4)*(GMW!$NF$2:$NF$150=F$1),0),$C357-1966)</f>
        <v>325692.09999999998</v>
      </c>
      <c r="G357" s="4" cm="1">
        <f t="array" ref="G357">INDEX(GMW!$A$2:$NF$150,MATCH(1,(GMW!$NE$2:$NE$150=G$3)*(GMW!$ND$2:$ND$150=G$4)*(GMW!$NF$2:$NF$150=G$1),0),$C357-1966)</f>
        <v>104304.4</v>
      </c>
      <c r="H357" s="4" cm="1">
        <f t="array" ref="H357">INDEX(GMW!$A$2:$NF$150,MATCH(1,(GMW!$NE$2:$NE$150=H$3)*(GMW!$ND$2:$ND$150=H$4)*(GMW!$NF$2:$NF$150=H$1),0),$C357-1966)</f>
        <v>369940.1</v>
      </c>
      <c r="I357" s="4" cm="1">
        <f t="array" ref="I357">INDEX(GMW!$A$2:$NF$150,MATCH(1,(GMW!$NE$2:$NE$150=I$3)*(GMW!$ND$2:$ND$150=I$4)*(GMW!$NF$2:$NF$150=I$1),0),$C357-1966)</f>
        <v>195175.8</v>
      </c>
      <c r="J357" s="4" cm="1">
        <f t="array" ref="J357">INDEX(GMW!$A$2:$NF$150,MATCH(1,(GMW!$NE$2:$NE$150=J$3)*(GMW!$ND$2:$ND$150=J$4)*(GMW!$NF$2:$NF$150=J$1),0),$C357-1966)</f>
        <v>220759.5</v>
      </c>
      <c r="K357" s="4" cm="1">
        <f t="array" ref="K357">INDEX(GMW!$A$2:$NF$150,MATCH(1,(GMW!$NE$2:$NE$150=K$3)*(GMW!$ND$2:$ND$150=K$4)*(GMW!$NF$2:$NF$150=K$1),0),$C357-1966)</f>
        <v>128688.1</v>
      </c>
      <c r="L357" s="4" cm="1">
        <f t="array" ref="L357">INDEX(GMW!$A$2:$NF$150,MATCH(1,(GMW!$NE$2:$NE$150=L$3)*(GMW!$ND$2:$ND$150=L$4)*(GMW!$NF$2:$NF$150=L$1),0),$C357-1966)</f>
        <v>1071389</v>
      </c>
      <c r="M357" s="4" cm="1">
        <f t="array" ref="M357">INDEX(GMW!$A$2:$NF$150,MATCH(1,(GMW!$NE$2:$NE$150=M$3)*(GMW!$ND$2:$ND$150=M$4)*(GMW!$NF$2:$NF$150=M$1),0),$C357-1966)</f>
        <v>39391.56</v>
      </c>
      <c r="N357" s="4" cm="1">
        <f t="array" ref="N357">INDEX(GMW!$A$2:$NF$150,MATCH(1,(GMW!$NE$2:$NE$150=N$3)*(GMW!$ND$2:$ND$150=N$4)*(GMW!$NF$2:$NF$150=N$1),0),$C357-1966)</f>
        <v>31.91742</v>
      </c>
      <c r="O357" s="4" cm="1">
        <f t="array" ref="O357">INDEX(GMW!$A$2:$NF$150,MATCH(1,(GMW!$NE$2:$NE$150=O$3)*(GMW!$ND$2:$ND$150=O$4)*(GMW!$NF$2:$NF$150=O$1),0),$C357-1966)</f>
        <v>718284.2</v>
      </c>
      <c r="P357" s="4" cm="1">
        <f t="array" ref="P357">INDEX(GMW!$A$2:$NF$150,MATCH(1,(GMW!$NE$2:$NE$150=P$3)*(GMW!$ND$2:$ND$150=P$4)*(GMW!$NF$2:$NF$150=P$1),0),$C357-1966)</f>
        <v>46120.54</v>
      </c>
      <c r="Q357" s="4" cm="1">
        <f t="array" ref="Q357">INDEX(GMW!$A$2:$NF$150,MATCH(1,(GMW!$NE$2:$NE$150=Q$3)*(GMW!$ND$2:$ND$150=Q$4)*(GMW!$NF$2:$NF$150=Q$1),0),$C357-1966)</f>
        <v>6281591</v>
      </c>
      <c r="R357" s="4" cm="1">
        <f t="array" ref="R357">INDEX(GMW!$A$2:$NF$150,MATCH(1,(GMW!$NE$2:$NE$150=R$3)*(GMW!$ND$2:$ND$150=R$4)*(GMW!$NF$2:$NF$150=R$1),0),$C357-1966)</f>
        <v>-1.545147</v>
      </c>
      <c r="S357" s="4" cm="1">
        <f t="array" ref="S357">INDEX(GMW!$A$2:$NF$150,MATCH(1,(GMW!$NE$2:$NE$150=S$3)*(GMW!$ND$2:$ND$150=S$4)*(GMW!$NF$2:$NF$150=S$1),0),$C357-1966)</f>
        <v>1079430</v>
      </c>
      <c r="T357" s="4" cm="1">
        <f t="array" ref="T357">INDEX(GMW!$A$2:$NF$150,MATCH(1,(GMW!$NE$2:$NE$150=T$3)*(GMW!$ND$2:$ND$150=T$4)*(GMW!$NF$2:$NF$150=T$1),0),$C357-1966)</f>
        <v>279.91520000000003</v>
      </c>
      <c r="U357" s="4" cm="1">
        <f t="array" ref="U357">INDEX(GMW!$A$2:$NF$150,MATCH(1,(GMW!$NE$2:$NE$150=U$3)*(GMW!$ND$2:$ND$150=U$4)*(GMW!$NF$2:$NF$150=U$1),0),$C357-1966)</f>
        <v>310675.5</v>
      </c>
      <c r="V357" s="4" cm="1">
        <f t="array" ref="V357">INDEX(GMW!$A$2:$NF$150,MATCH(1,(GMW!$NE$2:$NE$150=V$3)*(GMW!$ND$2:$ND$150=V$4)*(GMW!$NF$2:$NF$150=V$1),0),$C357-1966)</f>
        <v>109796.1</v>
      </c>
      <c r="W357" s="4" cm="1">
        <f t="array" ref="W357">INDEX(GMW!$A$2:$NF$150,MATCH(1,(GMW!$NE$2:$NE$150=W$3)*(GMW!$ND$2:$ND$150=W$4)*(GMW!$NF$2:$NF$150=W$1),0),$C357-1966)</f>
        <v>357490.9</v>
      </c>
      <c r="X357" s="4" cm="1">
        <f t="array" ref="X357">INDEX(GMW!$A$2:$NF$150,MATCH(1,(GMW!$NE$2:$NE$150=X$3)*(GMW!$ND$2:$ND$150=X$4)*(GMW!$NF$2:$NF$150=X$1),0),$C357-1966)</f>
        <v>187483.4</v>
      </c>
      <c r="Y357" s="4" cm="1">
        <f t="array" ref="Y357">INDEX(GMW!$A$2:$NF$150,MATCH(1,(GMW!$NE$2:$NE$150=Y$3)*(GMW!$ND$2:$ND$150=Y$4)*(GMW!$NF$2:$NF$150=Y$1),0),$C357-1966)</f>
        <v>223808.4</v>
      </c>
      <c r="Z357" s="4" cm="1">
        <f t="array" ref="Z357">INDEX(GMW!$A$2:$NF$150,MATCH(1,(GMW!$NE$2:$NE$150=Z$3)*(GMW!$ND$2:$ND$150=Z$4)*(GMW!$NF$2:$NF$150=Z$1),0),$C357-1966)</f>
        <v>132381.20000000001</v>
      </c>
      <c r="AA357" s="4" cm="1">
        <f t="array" ref="AA357">INDEX(GMW!$A$2:$NF$150,MATCH(1,(GMW!$NE$2:$NE$150=AA$3)*(GMW!$ND$2:$ND$150=AA$4)*(GMW!$NF$2:$NF$150=AA$1),0),$C357-1966)</f>
        <v>1079428</v>
      </c>
      <c r="AB357" s="4" cm="1">
        <f t="array" ref="AB357">INDEX(GMW!$A$2:$NF$150,MATCH(1,(GMW!$NE$2:$NE$150=AB$3)*(GMW!$ND$2:$ND$150=AB$4)*(GMW!$NF$2:$NF$150=AB$1),0),$C357-1966)</f>
        <v>39391.56</v>
      </c>
      <c r="AC357" s="4" cm="1">
        <f t="array" ref="AC357">INDEX(GMW!$A$2:$NF$150,MATCH(1,(GMW!$NE$2:$NE$150=AC$3)*(GMW!$ND$2:$ND$150=AC$4)*(GMW!$NF$2:$NF$150=AC$1),0),$C357-1966)</f>
        <v>31.91742</v>
      </c>
      <c r="AD357" s="4" cm="1">
        <f t="array" ref="AD357">INDEX(GMW!$A$2:$NF$150,MATCH(1,(GMW!$NE$2:$NE$150=AD$3)*(GMW!$ND$2:$ND$150=AD$4)*(GMW!$NF$2:$NF$150=AD$1),0),$C357-1966)</f>
        <v>718284.2</v>
      </c>
      <c r="AE357" s="4" cm="1">
        <f t="array" ref="AE357">INDEX(GMW!$A$2:$NF$150,MATCH(1,(GMW!$NE$2:$NE$150=AE$3)*(GMW!$ND$2:$ND$150=AE$4)*(GMW!$NF$2:$NF$150=AE$1),0),$C357-1966)</f>
        <v>46120.54</v>
      </c>
      <c r="AF357" s="4" cm="1">
        <f t="array" ref="AF357">INDEX(GMW!$A$2:$NF$150,MATCH(1,(GMW!$NE$2:$NE$150=AF$3)*(GMW!$ND$2:$ND$150=AF$4)*(GMW!$NF$2:$NF$150=AF$1),0),$C357-1966)</f>
        <v>6381085</v>
      </c>
      <c r="AG357" s="4" cm="1">
        <f t="array" ref="AG357">INDEX(GMW!$A$2:$NF$150,MATCH(1,(GMW!$NE$2:$NE$150=AG$3)*(GMW!$ND$2:$ND$150=AG$4)*(GMW!$NF$2:$NF$150=AG$1),0),$C357-1966)</f>
        <v>-1.5432060000000001</v>
      </c>
      <c r="AH357" s="4" cm="1">
        <f t="array" ref="AH357">INDEX(GMW!$A$2:$NF$150,MATCH(1,(GMW!$NE$2:$NE$150=AH$3)*(GMW!$ND$2:$ND$150=AH$4)*(GMW!$NF$2:$NF$150=AH$1),0),$C357-1966)</f>
        <v>1089692</v>
      </c>
      <c r="AI357" s="4" cm="1">
        <f t="array" ref="AI357">INDEX(GMW!$A$2:$NF$150,MATCH(1,(GMW!$NE$2:$NE$150=AI$3)*(GMW!$ND$2:$ND$150=AI$4)*(GMW!$NF$2:$NF$150=AI$1),0),$C357-1966)</f>
        <v>277.9554</v>
      </c>
      <c r="AJ357" s="4" cm="1">
        <f t="array" ref="AJ357">INDEX(GMW!$A$2:$NF$150,MATCH(1,(GMW!$NE$2:$NE$150=AJ$3)*(GMW!$ND$2:$ND$150=AJ$4)*(GMW!$NF$2:$NF$150=AJ$1),0),$C357-1966)</f>
        <v>319391.5</v>
      </c>
      <c r="AK357" s="4" cm="1">
        <f t="array" ref="AK357">INDEX(GMW!$A$2:$NF$150,MATCH(1,(GMW!$NE$2:$NE$150=AK$3)*(GMW!$ND$2:$ND$150=AK$4)*(GMW!$NF$2:$NF$150=AK$1),0),$C357-1966)</f>
        <v>114186.1</v>
      </c>
      <c r="AL357" s="4" cm="1">
        <f t="array" ref="AL357">INDEX(GMW!$A$2:$NF$150,MATCH(1,(GMW!$NE$2:$NE$150=AL$3)*(GMW!$ND$2:$ND$150=AL$4)*(GMW!$NF$2:$NF$150=AL$1),0),$C357-1966)</f>
        <v>365499.9</v>
      </c>
      <c r="AM357" s="4" cm="1">
        <f t="array" ref="AM357">INDEX(GMW!$A$2:$NF$150,MATCH(1,(GMW!$NE$2:$NE$150=AM$3)*(GMW!$ND$2:$ND$150=AM$4)*(GMW!$NF$2:$NF$150=AM$1),0),$C357-1966)</f>
        <v>193538.2</v>
      </c>
      <c r="AN357" s="4" cm="1">
        <f t="array" ref="AN357">INDEX(GMW!$A$2:$NF$150,MATCH(1,(GMW!$NE$2:$NE$150=AN$3)*(GMW!$ND$2:$ND$150=AN$4)*(GMW!$NF$2:$NF$150=AN$1),0),$C357-1966)</f>
        <v>225894.6</v>
      </c>
      <c r="AO357" s="4" cm="1">
        <f t="array" ref="AO357">INDEX(GMW!$A$2:$NF$150,MATCH(1,(GMW!$NE$2:$NE$150=AO$3)*(GMW!$ND$2:$ND$150=AO$4)*(GMW!$NF$2:$NF$150=AO$1),0),$C357-1966)</f>
        <v>135337.60000000001</v>
      </c>
      <c r="AP357" s="4" cm="1">
        <f t="array" ref="AP357">INDEX(GMW!$A$2:$NF$150,MATCH(1,(GMW!$NE$2:$NE$150=AP$3)*(GMW!$ND$2:$ND$150=AP$4)*(GMW!$NF$2:$NF$150=AP$1),0),$C357-1966)</f>
        <v>1089692</v>
      </c>
      <c r="AQ357" s="4" cm="1">
        <f t="array" ref="AQ357">INDEX(GMW!$A$2:$NF$150,MATCH(1,(GMW!$NE$2:$NE$150=AQ$3)*(GMW!$ND$2:$ND$150=AQ$4)*(GMW!$NF$2:$NF$150=AQ$1),0),$C357-1966)</f>
        <v>39761.03</v>
      </c>
      <c r="AR357" s="4" cm="1">
        <f t="array" ref="AR357">INDEX(GMW!$A$2:$NF$150,MATCH(1,(GMW!$NE$2:$NE$150=AR$3)*(GMW!$ND$2:$ND$150=AR$4)*(GMW!$NF$2:$NF$150=AR$1),0),$C357-1966)</f>
        <v>31.91742</v>
      </c>
      <c r="AS357" s="4" cm="1">
        <f t="array" ref="AS357">INDEX(GMW!$A$2:$NF$150,MATCH(1,(GMW!$NE$2:$NE$150=AS$3)*(GMW!$ND$2:$ND$150=AS$4)*(GMW!$NF$2:$NF$150=AS$1),0),$C357-1966)</f>
        <v>724888.8</v>
      </c>
      <c r="AT357" s="4" cm="1">
        <f t="array" ref="AT357">INDEX(GMW!$A$2:$NF$150,MATCH(1,(GMW!$NE$2:$NE$150=AT$3)*(GMW!$ND$2:$ND$150=AT$4)*(GMW!$NF$2:$NF$150=AT$1),0),$C357-1966)</f>
        <v>46549.5</v>
      </c>
      <c r="AU357" s="4" cm="1">
        <f t="array" ref="AU357">INDEX(GMW!$A$2:$NF$150,MATCH(1,(GMW!$NE$2:$NE$150=AU$3)*(GMW!$ND$2:$ND$150=AU$4)*(GMW!$NF$2:$NF$150=AU$1),0),$C357-1966)</f>
        <v>6416468</v>
      </c>
      <c r="AV357" s="4" cm="1">
        <f t="array" ref="AV357">INDEX(GMW!$A$2:$NF$150,MATCH(1,(GMW!$NE$2:$NE$150=AV$3)*(GMW!$ND$2:$ND$150=AV$4)*(GMW!$NF$2:$NF$150=AV$1),0),$C357-1966)</f>
        <v>-1.541663</v>
      </c>
    </row>
    <row r="358" spans="1:48" x14ac:dyDescent="0.25">
      <c r="B358" s="4">
        <f t="shared" si="14"/>
        <v>2060</v>
      </c>
      <c r="C358" s="4">
        <f t="shared" si="13"/>
        <v>2324</v>
      </c>
      <c r="D358" s="4" cm="1">
        <f t="array" ref="D358">INDEX(GMW!$A$2:$NF$150,MATCH(1,(GMW!$NE$2:$NE$150=D$3)*(GMW!$ND$2:$ND$150=D$4)*(GMW!$NF$2:$NF$150=D$1),0),$C358-1966)</f>
        <v>1074597</v>
      </c>
      <c r="E358" s="4" cm="1">
        <f t="array" ref="E358">INDEX(GMW!$A$2:$NF$150,MATCH(1,(GMW!$NE$2:$NE$150=E$3)*(GMW!$ND$2:$ND$150=E$4)*(GMW!$NF$2:$NF$150=E$1),0),$C358-1966)</f>
        <v>281.30990000000003</v>
      </c>
      <c r="F358" s="4" cm="1">
        <f t="array" ref="F358">INDEX(GMW!$A$2:$NF$150,MATCH(1,(GMW!$NE$2:$NE$150=F$3)*(GMW!$ND$2:$ND$150=F$4)*(GMW!$NF$2:$NF$150=F$1),0),$C358-1966)</f>
        <v>326612.40000000002</v>
      </c>
      <c r="G358" s="4" cm="1">
        <f t="array" ref="G358">INDEX(GMW!$A$2:$NF$150,MATCH(1,(GMW!$NE$2:$NE$150=G$3)*(GMW!$ND$2:$ND$150=G$4)*(GMW!$NF$2:$NF$150=G$1),0),$C358-1966)</f>
        <v>104533.3</v>
      </c>
      <c r="H358" s="4" cm="1">
        <f t="array" ref="H358">INDEX(GMW!$A$2:$NF$150,MATCH(1,(GMW!$NE$2:$NE$150=H$3)*(GMW!$ND$2:$ND$150=H$4)*(GMW!$NF$2:$NF$150=H$1),0),$C358-1966)</f>
        <v>371112.8</v>
      </c>
      <c r="I358" s="4" cm="1">
        <f t="array" ref="I358">INDEX(GMW!$A$2:$NF$150,MATCH(1,(GMW!$NE$2:$NE$150=I$3)*(GMW!$ND$2:$ND$150=I$4)*(GMW!$NF$2:$NF$150=I$1),0),$C358-1966)</f>
        <v>195740.7</v>
      </c>
      <c r="J358" s="4" cm="1">
        <f t="array" ref="J358">INDEX(GMW!$A$2:$NF$150,MATCH(1,(GMW!$NE$2:$NE$150=J$3)*(GMW!$ND$2:$ND$150=J$4)*(GMW!$NF$2:$NF$150=J$1),0),$C358-1966)</f>
        <v>221637.9</v>
      </c>
      <c r="K358" s="4" cm="1">
        <f t="array" ref="K358">INDEX(GMW!$A$2:$NF$150,MATCH(1,(GMW!$NE$2:$NE$150=K$3)*(GMW!$ND$2:$ND$150=K$4)*(GMW!$NF$2:$NF$150=K$1),0),$C358-1966)</f>
        <v>129240.8</v>
      </c>
      <c r="L358" s="4" cm="1">
        <f t="array" ref="L358">INDEX(GMW!$A$2:$NF$150,MATCH(1,(GMW!$NE$2:$NE$150=L$3)*(GMW!$ND$2:$ND$150=L$4)*(GMW!$NF$2:$NF$150=L$1),0),$C358-1966)</f>
        <v>1074597</v>
      </c>
      <c r="M358" s="4" cm="1">
        <f t="array" ref="M358">INDEX(GMW!$A$2:$NF$150,MATCH(1,(GMW!$NE$2:$NE$150=M$3)*(GMW!$ND$2:$ND$150=M$4)*(GMW!$NF$2:$NF$150=M$1),0),$C358-1966)</f>
        <v>39394.99</v>
      </c>
      <c r="N358" s="4" cm="1">
        <f t="array" ref="N358">INDEX(GMW!$A$2:$NF$150,MATCH(1,(GMW!$NE$2:$NE$150=N$3)*(GMW!$ND$2:$ND$150=N$4)*(GMW!$NF$2:$NF$150=N$1),0),$C358-1966)</f>
        <v>31.91667</v>
      </c>
      <c r="O358" s="4" cm="1">
        <f t="array" ref="O358">INDEX(GMW!$A$2:$NF$150,MATCH(1,(GMW!$NE$2:$NE$150=O$3)*(GMW!$ND$2:$ND$150=O$4)*(GMW!$NF$2:$NF$150=O$1),0),$C358-1966)</f>
        <v>718398.1</v>
      </c>
      <c r="P358" s="4" cm="1">
        <f t="array" ref="P358">INDEX(GMW!$A$2:$NF$150,MATCH(1,(GMW!$NE$2:$NE$150=P$3)*(GMW!$ND$2:$ND$150=P$4)*(GMW!$NF$2:$NF$150=P$1),0),$C358-1966)</f>
        <v>46104.93</v>
      </c>
      <c r="Q358" s="4" cm="1">
        <f t="array" ref="Q358">INDEX(GMW!$A$2:$NF$150,MATCH(1,(GMW!$NE$2:$NE$150=Q$3)*(GMW!$ND$2:$ND$150=Q$4)*(GMW!$NF$2:$NF$150=Q$1),0),$C358-1966)</f>
        <v>6309663</v>
      </c>
      <c r="R358" s="4" cm="1">
        <f t="array" ref="R358">INDEX(GMW!$A$2:$NF$150,MATCH(1,(GMW!$NE$2:$NE$150=R$3)*(GMW!$ND$2:$ND$150=R$4)*(GMW!$NF$2:$NF$150=R$1),0),$C358-1966)</f>
        <v>-1.543911</v>
      </c>
      <c r="S358" s="4" cm="1">
        <f t="array" ref="S358">INDEX(GMW!$A$2:$NF$150,MATCH(1,(GMW!$NE$2:$NE$150=S$3)*(GMW!$ND$2:$ND$150=S$4)*(GMW!$NF$2:$NF$150=S$1),0),$C358-1966)</f>
        <v>1082622</v>
      </c>
      <c r="T358" s="4" cm="1">
        <f t="array" ref="T358">INDEX(GMW!$A$2:$NF$150,MATCH(1,(GMW!$NE$2:$NE$150=T$3)*(GMW!$ND$2:$ND$150=T$4)*(GMW!$NF$2:$NF$150=T$1),0),$C358-1966)</f>
        <v>281.11380000000003</v>
      </c>
      <c r="U358" s="4" cm="1">
        <f t="array" ref="U358">INDEX(GMW!$A$2:$NF$150,MATCH(1,(GMW!$NE$2:$NE$150=U$3)*(GMW!$ND$2:$ND$150=U$4)*(GMW!$NF$2:$NF$150=U$1),0),$C358-1966)</f>
        <v>311527.3</v>
      </c>
      <c r="V358" s="4" cm="1">
        <f t="array" ref="V358">INDEX(GMW!$A$2:$NF$150,MATCH(1,(GMW!$NE$2:$NE$150=V$3)*(GMW!$ND$2:$ND$150=V$4)*(GMW!$NF$2:$NF$150=V$1),0),$C358-1966)</f>
        <v>110033</v>
      </c>
      <c r="W358" s="4" cm="1">
        <f t="array" ref="W358">INDEX(GMW!$A$2:$NF$150,MATCH(1,(GMW!$NE$2:$NE$150=W$3)*(GMW!$ND$2:$ND$150=W$4)*(GMW!$NF$2:$NF$150=W$1),0),$C358-1966)</f>
        <v>358605.2</v>
      </c>
      <c r="X358" s="4" cm="1">
        <f t="array" ref="X358">INDEX(GMW!$A$2:$NF$150,MATCH(1,(GMW!$NE$2:$NE$150=X$3)*(GMW!$ND$2:$ND$150=X$4)*(GMW!$NF$2:$NF$150=X$1),0),$C358-1966)</f>
        <v>188019.1</v>
      </c>
      <c r="Y358" s="4" cm="1">
        <f t="array" ref="Y358">INDEX(GMW!$A$2:$NF$150,MATCH(1,(GMW!$NE$2:$NE$150=Y$3)*(GMW!$ND$2:$ND$150=Y$4)*(GMW!$NF$2:$NF$150=Y$1),0),$C358-1966)</f>
        <v>224684.79999999999</v>
      </c>
      <c r="Z358" s="4" cm="1">
        <f t="array" ref="Z358">INDEX(GMW!$A$2:$NF$150,MATCH(1,(GMW!$NE$2:$NE$150=Z$3)*(GMW!$ND$2:$ND$150=Z$4)*(GMW!$NF$2:$NF$150=Z$1),0),$C358-1966)</f>
        <v>132938.20000000001</v>
      </c>
      <c r="AA358" s="4" cm="1">
        <f t="array" ref="AA358">INDEX(GMW!$A$2:$NF$150,MATCH(1,(GMW!$NE$2:$NE$150=AA$3)*(GMW!$ND$2:$ND$150=AA$4)*(GMW!$NF$2:$NF$150=AA$1),0),$C358-1966)</f>
        <v>1082621</v>
      </c>
      <c r="AB358" s="4" cm="1">
        <f t="array" ref="AB358">INDEX(GMW!$A$2:$NF$150,MATCH(1,(GMW!$NE$2:$NE$150=AB$3)*(GMW!$ND$2:$ND$150=AB$4)*(GMW!$NF$2:$NF$150=AB$1),0),$C358-1966)</f>
        <v>39394.99</v>
      </c>
      <c r="AC358" s="4" cm="1">
        <f t="array" ref="AC358">INDEX(GMW!$A$2:$NF$150,MATCH(1,(GMW!$NE$2:$NE$150=AC$3)*(GMW!$ND$2:$ND$150=AC$4)*(GMW!$NF$2:$NF$150=AC$1),0),$C358-1966)</f>
        <v>31.91667</v>
      </c>
      <c r="AD358" s="4" cm="1">
        <f t="array" ref="AD358">INDEX(GMW!$A$2:$NF$150,MATCH(1,(GMW!$NE$2:$NE$150=AD$3)*(GMW!$ND$2:$ND$150=AD$4)*(GMW!$NF$2:$NF$150=AD$1),0),$C358-1966)</f>
        <v>718398.1</v>
      </c>
      <c r="AE358" s="4" cm="1">
        <f t="array" ref="AE358">INDEX(GMW!$A$2:$NF$150,MATCH(1,(GMW!$NE$2:$NE$150=AE$3)*(GMW!$ND$2:$ND$150=AE$4)*(GMW!$NF$2:$NF$150=AE$1),0),$C358-1966)</f>
        <v>46104.93</v>
      </c>
      <c r="AF358" s="4" cm="1">
        <f t="array" ref="AF358">INDEX(GMW!$A$2:$NF$150,MATCH(1,(GMW!$NE$2:$NE$150=AF$3)*(GMW!$ND$2:$ND$150=AF$4)*(GMW!$NF$2:$NF$150=AF$1),0),$C358-1966)</f>
        <v>6408949</v>
      </c>
      <c r="AG358" s="4" cm="1">
        <f t="array" ref="AG358">INDEX(GMW!$A$2:$NF$150,MATCH(1,(GMW!$NE$2:$NE$150=AG$3)*(GMW!$ND$2:$ND$150=AG$4)*(GMW!$NF$2:$NF$150=AG$1),0),$C358-1966)</f>
        <v>-1.541971</v>
      </c>
      <c r="AH358" s="4" cm="1">
        <f t="array" ref="AH358">INDEX(GMW!$A$2:$NF$150,MATCH(1,(GMW!$NE$2:$NE$150=AH$3)*(GMW!$ND$2:$ND$150=AH$4)*(GMW!$NF$2:$NF$150=AH$1),0),$C358-1966)</f>
        <v>1093142</v>
      </c>
      <c r="AI358" s="4" cm="1">
        <f t="array" ref="AI358">INDEX(GMW!$A$2:$NF$150,MATCH(1,(GMW!$NE$2:$NE$150=AI$3)*(GMW!$ND$2:$ND$150=AI$4)*(GMW!$NF$2:$NF$150=AI$1),0),$C358-1966)</f>
        <v>279.33049999999997</v>
      </c>
      <c r="AJ358" s="4" cm="1">
        <f t="array" ref="AJ358">INDEX(GMW!$A$2:$NF$150,MATCH(1,(GMW!$NE$2:$NE$150=AJ$3)*(GMW!$ND$2:$ND$150=AJ$4)*(GMW!$NF$2:$NF$150=AJ$1),0),$C358-1966)</f>
        <v>320325.3</v>
      </c>
      <c r="AK358" s="4" cm="1">
        <f t="array" ref="AK358">INDEX(GMW!$A$2:$NF$150,MATCH(1,(GMW!$NE$2:$NE$150=AK$3)*(GMW!$ND$2:$ND$150=AK$4)*(GMW!$NF$2:$NF$150=AK$1),0),$C358-1966)</f>
        <v>114456.3</v>
      </c>
      <c r="AL358" s="4" cm="1">
        <f t="array" ref="AL358">INDEX(GMW!$A$2:$NF$150,MATCH(1,(GMW!$NE$2:$NE$150=AL$3)*(GMW!$ND$2:$ND$150=AL$4)*(GMW!$NF$2:$NF$150=AL$1),0),$C358-1966)</f>
        <v>366703</v>
      </c>
      <c r="AM358" s="4" cm="1">
        <f t="array" ref="AM358">INDEX(GMW!$A$2:$NF$150,MATCH(1,(GMW!$NE$2:$NE$150=AM$3)*(GMW!$ND$2:$ND$150=AM$4)*(GMW!$NF$2:$NF$150=AM$1),0),$C358-1966)</f>
        <v>194131.5</v>
      </c>
      <c r="AN358" s="4" cm="1">
        <f t="array" ref="AN358">INDEX(GMW!$A$2:$NF$150,MATCH(1,(GMW!$NE$2:$NE$150=AN$3)*(GMW!$ND$2:$ND$150=AN$4)*(GMW!$NF$2:$NF$150=AN$1),0),$C358-1966)</f>
        <v>226826.9</v>
      </c>
      <c r="AO358" s="4" cm="1">
        <f t="array" ref="AO358">INDEX(GMW!$A$2:$NF$150,MATCH(1,(GMW!$NE$2:$NE$150=AO$3)*(GMW!$ND$2:$ND$150=AO$4)*(GMW!$NF$2:$NF$150=AO$1),0),$C358-1966)</f>
        <v>135935.29999999999</v>
      </c>
      <c r="AP358" s="4" cm="1">
        <f t="array" ref="AP358">INDEX(GMW!$A$2:$NF$150,MATCH(1,(GMW!$NE$2:$NE$150=AP$3)*(GMW!$ND$2:$ND$150=AP$4)*(GMW!$NF$2:$NF$150=AP$1),0),$C358-1966)</f>
        <v>1093142</v>
      </c>
      <c r="AQ358" s="4" cm="1">
        <f t="array" ref="AQ358">INDEX(GMW!$A$2:$NF$150,MATCH(1,(GMW!$NE$2:$NE$150=AQ$3)*(GMW!$ND$2:$ND$150=AQ$4)*(GMW!$NF$2:$NF$150=AQ$1),0),$C358-1966)</f>
        <v>39774.620000000003</v>
      </c>
      <c r="AR358" s="4" cm="1">
        <f t="array" ref="AR358">INDEX(GMW!$A$2:$NF$150,MATCH(1,(GMW!$NE$2:$NE$150=AR$3)*(GMW!$ND$2:$ND$150=AR$4)*(GMW!$NF$2:$NF$150=AR$1),0),$C358-1966)</f>
        <v>31.91667</v>
      </c>
      <c r="AS358" s="4" cm="1">
        <f t="array" ref="AS358">INDEX(GMW!$A$2:$NF$150,MATCH(1,(GMW!$NE$2:$NE$150=AS$3)*(GMW!$ND$2:$ND$150=AS$4)*(GMW!$NF$2:$NF$150=AS$1),0),$C358-1966)</f>
        <v>725179.5</v>
      </c>
      <c r="AT358" s="4" cm="1">
        <f t="array" ref="AT358">INDEX(GMW!$A$2:$NF$150,MATCH(1,(GMW!$NE$2:$NE$150=AT$3)*(GMW!$ND$2:$ND$150=AT$4)*(GMW!$NF$2:$NF$150=AT$1),0),$C358-1966)</f>
        <v>46546.36</v>
      </c>
      <c r="AU358" s="4" cm="1">
        <f t="array" ref="AU358">INDEX(GMW!$A$2:$NF$150,MATCH(1,(GMW!$NE$2:$NE$150=AU$3)*(GMW!$ND$2:$ND$150=AU$4)*(GMW!$NF$2:$NF$150=AU$1),0),$C358-1966)</f>
        <v>6445453</v>
      </c>
      <c r="AV358" s="4" cm="1">
        <f t="array" ref="AV358">INDEX(GMW!$A$2:$NF$150,MATCH(1,(GMW!$NE$2:$NE$150=AV$3)*(GMW!$ND$2:$ND$150=AV$4)*(GMW!$NF$2:$NF$150=AV$1),0),$C358-1966)</f>
        <v>-1.54043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0D6A-EFCC-41E1-97C1-FB8A98582BEB}">
  <dimension ref="A1:NF97"/>
  <sheetViews>
    <sheetView workbookViewId="0">
      <pane xSplit="6" ySplit="1" topLeftCell="G2" activePane="bottomRight" state="frozen"/>
      <selection activeCell="AP9" sqref="AP9"/>
      <selection pane="topRight" activeCell="AP9" sqref="AP9"/>
      <selection pane="bottomLeft" activeCell="AP9" sqref="AP9"/>
      <selection pane="bottomRight" activeCell="I68" sqref="I68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  <c r="CV1" s="17" t="s">
        <v>99</v>
      </c>
      <c r="CW1" s="17" t="s">
        <v>100</v>
      </c>
      <c r="CX1" s="17" t="s">
        <v>101</v>
      </c>
      <c r="CY1" s="17" t="s">
        <v>102</v>
      </c>
      <c r="CZ1" s="17" t="s">
        <v>103</v>
      </c>
      <c r="DA1" s="17" t="s">
        <v>104</v>
      </c>
      <c r="DB1" s="17" t="s">
        <v>105</v>
      </c>
      <c r="DC1" s="17" t="s">
        <v>106</v>
      </c>
      <c r="DD1" s="17" t="s">
        <v>107</v>
      </c>
      <c r="DE1" s="17" t="s">
        <v>108</v>
      </c>
      <c r="DF1" s="17" t="s">
        <v>109</v>
      </c>
      <c r="DG1" s="17" t="s">
        <v>110</v>
      </c>
      <c r="DH1" s="17" t="s">
        <v>111</v>
      </c>
      <c r="DI1" s="17" t="s">
        <v>112</v>
      </c>
      <c r="DJ1" s="17" t="s">
        <v>113</v>
      </c>
      <c r="DK1" s="17" t="s">
        <v>114</v>
      </c>
      <c r="DL1" s="17" t="s">
        <v>115</v>
      </c>
      <c r="DM1" s="17" t="s">
        <v>116</v>
      </c>
      <c r="DN1" s="17" t="s">
        <v>117</v>
      </c>
      <c r="DO1" s="17" t="s">
        <v>118</v>
      </c>
      <c r="DP1" s="17" t="s">
        <v>119</v>
      </c>
      <c r="DQ1" s="17" t="s">
        <v>120</v>
      </c>
      <c r="DR1" s="17" t="s">
        <v>121</v>
      </c>
      <c r="DS1" s="17" t="s">
        <v>122</v>
      </c>
      <c r="DT1" s="17" t="s">
        <v>123</v>
      </c>
      <c r="DU1" s="17" t="s">
        <v>124</v>
      </c>
      <c r="DV1" s="17" t="s">
        <v>125</v>
      </c>
      <c r="DW1" s="17" t="s">
        <v>126</v>
      </c>
      <c r="DX1" s="17" t="s">
        <v>127</v>
      </c>
      <c r="DY1" s="17" t="s">
        <v>128</v>
      </c>
      <c r="DZ1" s="17" t="s">
        <v>129</v>
      </c>
      <c r="EA1" s="17" t="s">
        <v>130</v>
      </c>
      <c r="EB1" s="17" t="s">
        <v>131</v>
      </c>
      <c r="EC1" s="17" t="s">
        <v>132</v>
      </c>
      <c r="ED1" s="17" t="s">
        <v>133</v>
      </c>
      <c r="EE1" s="17" t="s">
        <v>134</v>
      </c>
      <c r="EF1" s="17" t="s">
        <v>135</v>
      </c>
      <c r="EG1" s="17" t="s">
        <v>136</v>
      </c>
      <c r="EH1" s="17" t="s">
        <v>137</v>
      </c>
      <c r="EI1" s="17" t="s">
        <v>138</v>
      </c>
      <c r="EJ1" s="17" t="s">
        <v>139</v>
      </c>
      <c r="EK1" s="17" t="s">
        <v>140</v>
      </c>
      <c r="EL1" s="17" t="s">
        <v>141</v>
      </c>
      <c r="EM1" s="17" t="s">
        <v>142</v>
      </c>
      <c r="EN1" s="17" t="s">
        <v>143</v>
      </c>
      <c r="EO1" s="17" t="s">
        <v>144</v>
      </c>
      <c r="EP1" s="17" t="s">
        <v>145</v>
      </c>
      <c r="EQ1" s="17" t="s">
        <v>146</v>
      </c>
      <c r="ER1" s="17" t="s">
        <v>147</v>
      </c>
      <c r="ES1" s="17" t="s">
        <v>148</v>
      </c>
      <c r="ET1" s="17" t="s">
        <v>149</v>
      </c>
      <c r="EU1" s="17" t="s">
        <v>150</v>
      </c>
      <c r="EV1" s="17" t="s">
        <v>151</v>
      </c>
      <c r="EW1" s="17" t="s">
        <v>152</v>
      </c>
      <c r="EX1" s="17" t="s">
        <v>153</v>
      </c>
      <c r="EY1" s="17" t="s">
        <v>154</v>
      </c>
      <c r="EZ1" s="17" t="s">
        <v>155</v>
      </c>
      <c r="FA1" s="17" t="s">
        <v>156</v>
      </c>
      <c r="FB1" s="17" t="s">
        <v>157</v>
      </c>
      <c r="FC1" s="17" t="s">
        <v>158</v>
      </c>
      <c r="FD1" s="17" t="s">
        <v>159</v>
      </c>
      <c r="FE1" s="17" t="s">
        <v>160</v>
      </c>
      <c r="FF1" s="17" t="s">
        <v>161</v>
      </c>
      <c r="FG1" s="17" t="s">
        <v>162</v>
      </c>
      <c r="FH1" s="17" t="s">
        <v>163</v>
      </c>
      <c r="FI1" s="17" t="s">
        <v>164</v>
      </c>
      <c r="FJ1" s="17" t="s">
        <v>165</v>
      </c>
      <c r="FK1" s="17" t="s">
        <v>166</v>
      </c>
      <c r="FL1" s="17" t="s">
        <v>167</v>
      </c>
      <c r="FM1" s="17" t="s">
        <v>168</v>
      </c>
      <c r="FN1" s="17" t="s">
        <v>169</v>
      </c>
      <c r="FO1" s="17" t="s">
        <v>170</v>
      </c>
      <c r="FP1" s="17" t="s">
        <v>171</v>
      </c>
      <c r="FQ1" s="17" t="s">
        <v>172</v>
      </c>
      <c r="FR1" s="17" t="s">
        <v>173</v>
      </c>
      <c r="FS1" s="17" t="s">
        <v>174</v>
      </c>
      <c r="FT1" s="17" t="s">
        <v>175</v>
      </c>
      <c r="FU1" s="17" t="s">
        <v>176</v>
      </c>
      <c r="FV1" s="17" t="s">
        <v>177</v>
      </c>
      <c r="FW1" s="17" t="s">
        <v>178</v>
      </c>
      <c r="FX1" s="17" t="s">
        <v>179</v>
      </c>
      <c r="FY1" s="17" t="s">
        <v>180</v>
      </c>
      <c r="FZ1" s="17" t="s">
        <v>181</v>
      </c>
      <c r="GA1" s="17" t="s">
        <v>182</v>
      </c>
      <c r="GB1" s="17" t="s">
        <v>183</v>
      </c>
      <c r="GC1" s="17" t="s">
        <v>184</v>
      </c>
      <c r="GD1" s="17" t="s">
        <v>185</v>
      </c>
      <c r="GE1" s="17" t="s">
        <v>186</v>
      </c>
      <c r="GF1" s="17" t="s">
        <v>187</v>
      </c>
      <c r="GG1" s="17" t="s">
        <v>188</v>
      </c>
      <c r="GH1" s="17" t="s">
        <v>189</v>
      </c>
      <c r="GI1" s="17" t="s">
        <v>190</v>
      </c>
      <c r="GJ1" s="17" t="s">
        <v>191</v>
      </c>
      <c r="GK1" s="17" t="s">
        <v>192</v>
      </c>
      <c r="GL1" s="17" t="s">
        <v>193</v>
      </c>
      <c r="GM1" s="17" t="s">
        <v>194</v>
      </c>
      <c r="GN1" s="17" t="s">
        <v>195</v>
      </c>
      <c r="GO1" s="17" t="s">
        <v>196</v>
      </c>
      <c r="GP1" s="17" t="s">
        <v>197</v>
      </c>
      <c r="GQ1" s="17" t="s">
        <v>198</v>
      </c>
      <c r="GR1" s="17" t="s">
        <v>199</v>
      </c>
      <c r="GS1" s="17" t="s">
        <v>200</v>
      </c>
      <c r="GT1" s="17" t="s">
        <v>201</v>
      </c>
      <c r="GU1" s="17" t="s">
        <v>202</v>
      </c>
      <c r="GV1" s="17" t="s">
        <v>203</v>
      </c>
      <c r="GW1" s="17" t="s">
        <v>204</v>
      </c>
      <c r="GX1" s="17" t="s">
        <v>205</v>
      </c>
      <c r="GY1" s="17" t="s">
        <v>206</v>
      </c>
      <c r="GZ1" s="17" t="s">
        <v>207</v>
      </c>
      <c r="HA1" s="17" t="s">
        <v>208</v>
      </c>
      <c r="HB1" s="17" t="s">
        <v>209</v>
      </c>
      <c r="HC1" s="17" t="s">
        <v>210</v>
      </c>
      <c r="HD1" s="17" t="s">
        <v>211</v>
      </c>
      <c r="HE1" s="17" t="s">
        <v>212</v>
      </c>
      <c r="HF1" s="17" t="s">
        <v>213</v>
      </c>
      <c r="HG1" s="17" t="s">
        <v>214</v>
      </c>
      <c r="HH1" s="17" t="s">
        <v>215</v>
      </c>
      <c r="HI1" s="17" t="s">
        <v>216</v>
      </c>
      <c r="HJ1" s="17" t="s">
        <v>217</v>
      </c>
      <c r="HK1" s="17" t="s">
        <v>218</v>
      </c>
      <c r="HL1" s="17" t="s">
        <v>219</v>
      </c>
      <c r="HM1" s="17" t="s">
        <v>220</v>
      </c>
      <c r="HN1" s="17" t="s">
        <v>221</v>
      </c>
      <c r="HO1" s="17" t="s">
        <v>222</v>
      </c>
      <c r="HP1" s="17" t="s">
        <v>223</v>
      </c>
      <c r="HQ1" s="17" t="s">
        <v>224</v>
      </c>
      <c r="HR1" s="17" t="s">
        <v>225</v>
      </c>
      <c r="HS1" s="17" t="s">
        <v>226</v>
      </c>
      <c r="HT1" s="17" t="s">
        <v>227</v>
      </c>
      <c r="HU1" s="17" t="s">
        <v>228</v>
      </c>
      <c r="HV1" s="17" t="s">
        <v>229</v>
      </c>
      <c r="HW1" s="17" t="s">
        <v>230</v>
      </c>
      <c r="HX1" s="17" t="s">
        <v>231</v>
      </c>
      <c r="HY1" s="17" t="s">
        <v>232</v>
      </c>
      <c r="HZ1" s="17" t="s">
        <v>233</v>
      </c>
      <c r="IA1" s="17" t="s">
        <v>234</v>
      </c>
      <c r="IB1" s="17" t="s">
        <v>235</v>
      </c>
      <c r="IC1" s="17" t="s">
        <v>236</v>
      </c>
      <c r="ID1" s="17" t="s">
        <v>237</v>
      </c>
      <c r="IE1" s="17" t="s">
        <v>238</v>
      </c>
      <c r="IF1" s="17" t="s">
        <v>239</v>
      </c>
      <c r="IG1" s="17" t="s">
        <v>240</v>
      </c>
      <c r="IH1" s="17" t="s">
        <v>241</v>
      </c>
      <c r="II1" s="17" t="s">
        <v>242</v>
      </c>
      <c r="IJ1" s="17" t="s">
        <v>243</v>
      </c>
      <c r="IK1" s="17" t="s">
        <v>244</v>
      </c>
      <c r="IL1" s="17" t="s">
        <v>245</v>
      </c>
      <c r="IM1" s="17" t="s">
        <v>246</v>
      </c>
      <c r="IN1" s="17" t="s">
        <v>247</v>
      </c>
      <c r="IO1" s="17" t="s">
        <v>248</v>
      </c>
      <c r="IP1" s="17" t="s">
        <v>249</v>
      </c>
      <c r="IQ1" s="17" t="s">
        <v>250</v>
      </c>
      <c r="IR1" s="17" t="s">
        <v>251</v>
      </c>
      <c r="IS1" s="17" t="s">
        <v>252</v>
      </c>
      <c r="IT1" s="17" t="s">
        <v>253</v>
      </c>
      <c r="IU1" s="17" t="s">
        <v>254</v>
      </c>
      <c r="IV1" s="17" t="s">
        <v>255</v>
      </c>
      <c r="IW1" s="17" t="s">
        <v>256</v>
      </c>
      <c r="IX1" s="17" t="s">
        <v>257</v>
      </c>
      <c r="IY1" s="17" t="s">
        <v>258</v>
      </c>
      <c r="IZ1" s="17" t="s">
        <v>259</v>
      </c>
      <c r="JA1" s="17" t="s">
        <v>260</v>
      </c>
      <c r="JB1" s="17" t="s">
        <v>261</v>
      </c>
      <c r="JC1" s="17" t="s">
        <v>262</v>
      </c>
      <c r="JD1" s="17" t="s">
        <v>263</v>
      </c>
      <c r="JE1" s="17" t="s">
        <v>264</v>
      </c>
      <c r="JF1" s="17" t="s">
        <v>265</v>
      </c>
      <c r="JG1" s="17" t="s">
        <v>266</v>
      </c>
      <c r="JH1" s="17" t="s">
        <v>267</v>
      </c>
      <c r="JI1" s="17" t="s">
        <v>268</v>
      </c>
      <c r="JJ1" s="17" t="s">
        <v>269</v>
      </c>
      <c r="JK1" s="17" t="s">
        <v>270</v>
      </c>
      <c r="JL1" s="17" t="s">
        <v>271</v>
      </c>
      <c r="JM1" s="17" t="s">
        <v>272</v>
      </c>
      <c r="JN1" s="17" t="s">
        <v>273</v>
      </c>
      <c r="JO1" s="17" t="s">
        <v>274</v>
      </c>
      <c r="JP1" s="17" t="s">
        <v>275</v>
      </c>
      <c r="JQ1" s="17" t="s">
        <v>276</v>
      </c>
      <c r="JR1" s="17" t="s">
        <v>277</v>
      </c>
      <c r="JS1" s="17" t="s">
        <v>278</v>
      </c>
      <c r="JT1" s="17" t="s">
        <v>279</v>
      </c>
      <c r="JU1" s="17" t="s">
        <v>280</v>
      </c>
      <c r="JV1" s="17" t="s">
        <v>281</v>
      </c>
      <c r="JW1" s="17" t="s">
        <v>282</v>
      </c>
      <c r="JX1" s="17" t="s">
        <v>283</v>
      </c>
      <c r="JY1" s="17" t="s">
        <v>284</v>
      </c>
      <c r="JZ1" s="17" t="s">
        <v>285</v>
      </c>
      <c r="KA1" s="17" t="s">
        <v>286</v>
      </c>
      <c r="KB1" s="17" t="s">
        <v>287</v>
      </c>
      <c r="KC1" s="17" t="s">
        <v>288</v>
      </c>
      <c r="KD1" s="17" t="s">
        <v>289</v>
      </c>
      <c r="KE1" s="17" t="s">
        <v>290</v>
      </c>
      <c r="KF1" s="17" t="s">
        <v>291</v>
      </c>
      <c r="KG1" s="17" t="s">
        <v>292</v>
      </c>
      <c r="KH1" s="17" t="s">
        <v>293</v>
      </c>
      <c r="KI1" s="17" t="s">
        <v>294</v>
      </c>
      <c r="KJ1" s="17" t="s">
        <v>295</v>
      </c>
      <c r="KK1" s="17" t="s">
        <v>296</v>
      </c>
      <c r="KL1" s="17" t="s">
        <v>297</v>
      </c>
      <c r="KM1" s="17" t="s">
        <v>298</v>
      </c>
      <c r="KN1" s="17" t="s">
        <v>299</v>
      </c>
      <c r="KO1" s="17" t="s">
        <v>300</v>
      </c>
      <c r="KP1" s="17" t="s">
        <v>301</v>
      </c>
      <c r="KQ1" s="17" t="s">
        <v>302</v>
      </c>
      <c r="KR1" s="17" t="s">
        <v>303</v>
      </c>
      <c r="KS1" s="17" t="s">
        <v>304</v>
      </c>
      <c r="KT1" s="17" t="s">
        <v>305</v>
      </c>
      <c r="KU1" s="17" t="s">
        <v>306</v>
      </c>
      <c r="KV1" s="17" t="s">
        <v>307</v>
      </c>
      <c r="KW1" s="17" t="s">
        <v>308</v>
      </c>
      <c r="KX1" s="17" t="s">
        <v>309</v>
      </c>
      <c r="KY1" s="17" t="s">
        <v>310</v>
      </c>
      <c r="KZ1" s="17" t="s">
        <v>311</v>
      </c>
      <c r="LA1" s="17" t="s">
        <v>312</v>
      </c>
      <c r="LB1" s="17" t="s">
        <v>313</v>
      </c>
      <c r="LC1" s="17" t="s">
        <v>314</v>
      </c>
      <c r="LD1" s="17" t="s">
        <v>315</v>
      </c>
      <c r="LE1" s="17" t="s">
        <v>316</v>
      </c>
      <c r="LF1" s="17" t="s">
        <v>317</v>
      </c>
      <c r="LG1" s="17" t="s">
        <v>318</v>
      </c>
      <c r="LH1" s="17" t="s">
        <v>319</v>
      </c>
      <c r="LI1" s="17" t="s">
        <v>320</v>
      </c>
      <c r="LJ1" s="17" t="s">
        <v>321</v>
      </c>
      <c r="LK1" s="17" t="s">
        <v>322</v>
      </c>
      <c r="LL1" s="17" t="s">
        <v>323</v>
      </c>
      <c r="LM1" s="17" t="s">
        <v>324</v>
      </c>
      <c r="LN1" s="17" t="s">
        <v>325</v>
      </c>
      <c r="LO1" s="17" t="s">
        <v>326</v>
      </c>
      <c r="LP1" s="17" t="s">
        <v>327</v>
      </c>
      <c r="LQ1" s="17" t="s">
        <v>328</v>
      </c>
      <c r="LR1" s="17" t="s">
        <v>329</v>
      </c>
      <c r="LS1" s="17" t="s">
        <v>330</v>
      </c>
      <c r="LT1" s="17" t="s">
        <v>331</v>
      </c>
      <c r="LU1" s="17" t="s">
        <v>332</v>
      </c>
      <c r="LV1" s="17" t="s">
        <v>333</v>
      </c>
      <c r="LW1" s="17" t="s">
        <v>334</v>
      </c>
      <c r="LX1" s="17" t="s">
        <v>335</v>
      </c>
      <c r="LY1" s="17" t="s">
        <v>336</v>
      </c>
      <c r="LZ1" s="17" t="s">
        <v>337</v>
      </c>
      <c r="MA1" s="17" t="s">
        <v>338</v>
      </c>
      <c r="MB1" s="17" t="s">
        <v>339</v>
      </c>
      <c r="MC1" s="17" t="s">
        <v>340</v>
      </c>
      <c r="MD1" s="17" t="s">
        <v>341</v>
      </c>
      <c r="ME1" s="17" t="s">
        <v>342</v>
      </c>
      <c r="MF1" s="17" t="s">
        <v>343</v>
      </c>
      <c r="MG1" s="17" t="s">
        <v>344</v>
      </c>
      <c r="MH1" s="17" t="s">
        <v>345</v>
      </c>
      <c r="MI1" s="17" t="s">
        <v>346</v>
      </c>
      <c r="MJ1" s="17" t="s">
        <v>347</v>
      </c>
      <c r="MK1" s="17" t="s">
        <v>348</v>
      </c>
      <c r="ML1" s="17" t="s">
        <v>349</v>
      </c>
      <c r="MM1" s="17" t="s">
        <v>350</v>
      </c>
      <c r="MN1" s="17" t="s">
        <v>351</v>
      </c>
      <c r="MO1" s="17" t="s">
        <v>352</v>
      </c>
      <c r="MP1" s="17" t="s">
        <v>353</v>
      </c>
      <c r="MQ1" s="17" t="s">
        <v>354</v>
      </c>
      <c r="MR1" s="17" t="s">
        <v>355</v>
      </c>
      <c r="MS1" s="17" t="s">
        <v>356</v>
      </c>
      <c r="MT1" s="17" t="s">
        <v>357</v>
      </c>
      <c r="MU1" s="17" t="s">
        <v>358</v>
      </c>
      <c r="MV1" s="17" t="s">
        <v>359</v>
      </c>
      <c r="MW1" s="17" t="s">
        <v>360</v>
      </c>
      <c r="MX1" s="17" t="s">
        <v>361</v>
      </c>
      <c r="MY1" s="17" t="s">
        <v>362</v>
      </c>
      <c r="MZ1" s="17" t="s">
        <v>363</v>
      </c>
      <c r="NA1" s="17" t="s">
        <v>364</v>
      </c>
      <c r="NB1" s="17" t="s">
        <v>365</v>
      </c>
      <c r="NC1" s="17" t="s">
        <v>366</v>
      </c>
      <c r="ND1" s="17" t="s">
        <v>367</v>
      </c>
      <c r="NE1" s="17" t="s">
        <v>368</v>
      </c>
      <c r="NF1" s="17" t="s">
        <v>369</v>
      </c>
    </row>
    <row r="2" spans="1:370" x14ac:dyDescent="0.25">
      <c r="A2" t="s">
        <v>370</v>
      </c>
      <c r="B2" t="s">
        <v>371</v>
      </c>
      <c r="C2" s="1" t="s">
        <v>454</v>
      </c>
      <c r="D2" t="s">
        <v>372</v>
      </c>
      <c r="E2" t="s">
        <v>373</v>
      </c>
      <c r="F2" t="s">
        <v>374</v>
      </c>
      <c r="G2" s="2">
        <v>247921</v>
      </c>
      <c r="H2" s="2">
        <v>248384</v>
      </c>
      <c r="I2" s="2">
        <v>246082</v>
      </c>
      <c r="J2" s="2">
        <v>245140</v>
      </c>
      <c r="K2" s="2">
        <v>238319</v>
      </c>
      <c r="L2" s="2">
        <v>241752</v>
      </c>
      <c r="M2" s="2">
        <v>243197</v>
      </c>
      <c r="N2" s="2">
        <v>239612</v>
      </c>
      <c r="O2" s="2">
        <v>239702</v>
      </c>
      <c r="P2" s="2">
        <v>235807</v>
      </c>
      <c r="Q2" s="2">
        <v>235105</v>
      </c>
      <c r="R2" s="2">
        <v>237747</v>
      </c>
      <c r="S2" s="2">
        <v>241709</v>
      </c>
      <c r="T2" s="2">
        <v>241380</v>
      </c>
      <c r="U2" s="2">
        <v>244367</v>
      </c>
      <c r="V2" s="2">
        <v>249511</v>
      </c>
      <c r="W2" s="2">
        <v>249671</v>
      </c>
      <c r="X2" s="2">
        <v>247936</v>
      </c>
      <c r="Y2" s="2">
        <v>249578</v>
      </c>
      <c r="Z2" s="2">
        <v>253819</v>
      </c>
      <c r="AA2" s="2">
        <v>256193</v>
      </c>
      <c r="AB2" s="2">
        <v>259127</v>
      </c>
      <c r="AC2" s="2">
        <v>262661</v>
      </c>
      <c r="AD2" s="2">
        <v>264972</v>
      </c>
      <c r="AE2" s="2">
        <v>264185</v>
      </c>
      <c r="AF2" s="2">
        <v>275695</v>
      </c>
      <c r="AG2" s="2">
        <v>269599</v>
      </c>
      <c r="AH2" s="2">
        <v>272359</v>
      </c>
      <c r="AI2" s="2">
        <v>269776</v>
      </c>
      <c r="AJ2" s="2">
        <v>264448</v>
      </c>
      <c r="AK2" s="2">
        <v>264139</v>
      </c>
      <c r="AL2" s="2">
        <v>261297</v>
      </c>
      <c r="AM2" s="2">
        <v>261131</v>
      </c>
      <c r="AN2" s="2">
        <v>261739</v>
      </c>
      <c r="AO2" s="2">
        <v>264602</v>
      </c>
      <c r="AP2" s="2">
        <v>264902</v>
      </c>
      <c r="AQ2" s="2">
        <v>265408</v>
      </c>
      <c r="AR2" s="2">
        <v>268196</v>
      </c>
      <c r="AS2" s="2">
        <v>268798</v>
      </c>
      <c r="AT2" s="2">
        <v>270653</v>
      </c>
      <c r="AU2" s="2">
        <v>275877</v>
      </c>
      <c r="AV2" s="2">
        <v>277790</v>
      </c>
      <c r="AW2" s="2">
        <v>280996</v>
      </c>
      <c r="AX2" s="2">
        <v>283096</v>
      </c>
      <c r="AY2" s="2">
        <v>285469</v>
      </c>
      <c r="AZ2" s="2">
        <v>282605</v>
      </c>
      <c r="BA2" s="2">
        <v>284676</v>
      </c>
      <c r="BB2" s="2">
        <v>289829</v>
      </c>
      <c r="BC2" s="2">
        <v>292612</v>
      </c>
      <c r="BD2" s="2">
        <v>298873</v>
      </c>
      <c r="BE2" s="2">
        <v>298814</v>
      </c>
      <c r="BF2" s="2">
        <v>298979</v>
      </c>
      <c r="BG2" s="2">
        <v>302117</v>
      </c>
      <c r="BH2" s="2">
        <v>304797</v>
      </c>
      <c r="BI2" s="2">
        <v>306708</v>
      </c>
      <c r="BJ2" s="2">
        <v>312615</v>
      </c>
      <c r="BK2" s="2">
        <v>314804</v>
      </c>
      <c r="BL2" s="2">
        <v>319478</v>
      </c>
      <c r="BM2" s="2">
        <v>327346</v>
      </c>
      <c r="BN2" s="2">
        <v>331075</v>
      </c>
      <c r="BO2" s="2">
        <v>336442</v>
      </c>
      <c r="BP2" s="2">
        <v>338186</v>
      </c>
      <c r="BQ2" s="2">
        <v>342414</v>
      </c>
      <c r="BR2" s="2">
        <v>345162</v>
      </c>
      <c r="BS2" s="2">
        <v>346836</v>
      </c>
      <c r="BT2" s="2">
        <v>348997</v>
      </c>
      <c r="BU2" s="2">
        <v>349572</v>
      </c>
      <c r="BV2" s="2">
        <v>349523</v>
      </c>
      <c r="BW2" s="2">
        <v>351299</v>
      </c>
      <c r="BX2" s="2">
        <v>353663</v>
      </c>
      <c r="BY2" s="2">
        <v>349780</v>
      </c>
      <c r="BZ2" s="2">
        <v>348006</v>
      </c>
      <c r="CA2" s="2">
        <v>346292</v>
      </c>
      <c r="CB2" s="2">
        <v>345892</v>
      </c>
      <c r="CC2" s="2">
        <v>345216</v>
      </c>
      <c r="CD2" s="2">
        <v>345643</v>
      </c>
      <c r="CE2" s="2">
        <v>345523</v>
      </c>
      <c r="CF2" s="2">
        <v>344987</v>
      </c>
      <c r="CG2" s="2">
        <v>346628</v>
      </c>
      <c r="CH2" s="2">
        <v>349299</v>
      </c>
      <c r="CI2" s="2">
        <v>351046</v>
      </c>
      <c r="CJ2" s="2">
        <v>352612</v>
      </c>
      <c r="CK2" s="2">
        <v>355841</v>
      </c>
      <c r="CL2" s="2">
        <v>358264</v>
      </c>
      <c r="CM2" s="2">
        <v>361793</v>
      </c>
      <c r="CN2" s="2">
        <v>365109</v>
      </c>
      <c r="CO2" s="2">
        <v>368798</v>
      </c>
      <c r="CP2" s="2">
        <v>370401</v>
      </c>
      <c r="CQ2" s="2">
        <v>372307</v>
      </c>
      <c r="CR2" s="2">
        <v>373090</v>
      </c>
      <c r="CS2" s="2">
        <v>377249</v>
      </c>
      <c r="CT2" s="2">
        <v>378442</v>
      </c>
      <c r="CU2" s="2">
        <v>380976</v>
      </c>
      <c r="CV2" s="2">
        <v>382146</v>
      </c>
      <c r="CW2" s="2">
        <v>385671</v>
      </c>
      <c r="CX2" s="2">
        <v>391053</v>
      </c>
      <c r="CY2" s="2">
        <v>397303</v>
      </c>
      <c r="CZ2" s="2">
        <v>401790</v>
      </c>
      <c r="DA2" s="2">
        <v>405233</v>
      </c>
      <c r="DB2" s="2">
        <v>411352</v>
      </c>
      <c r="DC2" s="2">
        <v>414377</v>
      </c>
      <c r="DD2" s="2">
        <v>416909</v>
      </c>
      <c r="DE2" s="2">
        <v>418294</v>
      </c>
      <c r="DF2" s="2">
        <v>421074</v>
      </c>
      <c r="DG2" s="2">
        <v>423875</v>
      </c>
      <c r="DH2" s="2">
        <v>425920</v>
      </c>
      <c r="DI2" s="2">
        <v>432860</v>
      </c>
      <c r="DJ2" s="2">
        <v>439093</v>
      </c>
      <c r="DK2" s="2">
        <v>444540</v>
      </c>
      <c r="DL2" s="2">
        <v>447825</v>
      </c>
      <c r="DM2" s="2">
        <v>450688</v>
      </c>
      <c r="DN2" s="2">
        <v>453447</v>
      </c>
      <c r="DO2" s="2">
        <v>457680</v>
      </c>
      <c r="DP2" s="2">
        <v>459620</v>
      </c>
      <c r="DQ2" s="2">
        <v>462016</v>
      </c>
      <c r="DR2" s="2">
        <v>463404</v>
      </c>
      <c r="DS2" s="2">
        <v>464698</v>
      </c>
      <c r="DT2" s="2">
        <v>466935</v>
      </c>
      <c r="DU2" s="2">
        <v>470277</v>
      </c>
      <c r="DV2" s="2">
        <v>473899</v>
      </c>
      <c r="DW2" s="2">
        <v>477357</v>
      </c>
      <c r="DX2" s="2">
        <v>481552</v>
      </c>
      <c r="DY2" s="2">
        <v>485973</v>
      </c>
      <c r="DZ2" s="2">
        <v>490059</v>
      </c>
      <c r="EA2" s="2">
        <v>492014</v>
      </c>
      <c r="EB2" s="2">
        <v>494824</v>
      </c>
      <c r="EC2" s="2">
        <v>496642</v>
      </c>
      <c r="ED2" s="2">
        <v>499020</v>
      </c>
      <c r="EE2" s="2">
        <v>502702</v>
      </c>
      <c r="EF2" s="2">
        <v>506906</v>
      </c>
      <c r="EG2" s="2">
        <v>511132</v>
      </c>
      <c r="EH2" s="2">
        <v>515935</v>
      </c>
      <c r="EI2" s="2">
        <v>518495</v>
      </c>
      <c r="EJ2" s="2">
        <v>520318</v>
      </c>
      <c r="EK2" s="2">
        <v>521780</v>
      </c>
      <c r="EL2" s="2">
        <v>524569</v>
      </c>
      <c r="EM2" s="2">
        <v>529398</v>
      </c>
      <c r="EN2" s="2">
        <v>533187</v>
      </c>
      <c r="EO2" s="2">
        <v>537052</v>
      </c>
      <c r="EP2" s="2">
        <v>540258</v>
      </c>
      <c r="EQ2" s="2">
        <v>542804</v>
      </c>
      <c r="ER2" s="2">
        <v>539918</v>
      </c>
      <c r="ES2" s="2">
        <v>531619</v>
      </c>
      <c r="ET2" s="2">
        <v>520230</v>
      </c>
      <c r="EU2" s="2">
        <v>509646</v>
      </c>
      <c r="EV2" s="2">
        <v>508009</v>
      </c>
      <c r="EW2" s="2">
        <v>508398</v>
      </c>
      <c r="EX2" s="2">
        <v>509889</v>
      </c>
      <c r="EY2" s="2">
        <v>514595</v>
      </c>
      <c r="EZ2" s="2">
        <v>520128</v>
      </c>
      <c r="FA2" s="2">
        <v>523173</v>
      </c>
      <c r="FB2" s="2">
        <v>523515</v>
      </c>
      <c r="FC2" s="2">
        <v>524955</v>
      </c>
      <c r="FD2" s="2">
        <v>525418</v>
      </c>
      <c r="FE2" s="2">
        <v>527034</v>
      </c>
      <c r="FF2" s="2">
        <v>527698</v>
      </c>
      <c r="FG2" s="2">
        <v>532300</v>
      </c>
      <c r="FH2" s="2">
        <v>531663</v>
      </c>
      <c r="FI2" s="2">
        <v>536720</v>
      </c>
      <c r="FJ2" s="2">
        <v>536188</v>
      </c>
      <c r="FK2" s="2">
        <v>537974</v>
      </c>
      <c r="FL2" s="2">
        <v>541586</v>
      </c>
      <c r="FM2" s="2">
        <v>546064</v>
      </c>
      <c r="FN2" s="2">
        <v>549709</v>
      </c>
      <c r="FO2" s="2">
        <v>554183</v>
      </c>
      <c r="FP2" s="2">
        <v>559331</v>
      </c>
      <c r="FQ2" s="2">
        <v>563694</v>
      </c>
      <c r="FR2" s="2">
        <v>567619</v>
      </c>
      <c r="FS2" s="2">
        <v>569150</v>
      </c>
      <c r="FT2" s="2">
        <v>572673</v>
      </c>
      <c r="FU2" s="2">
        <v>574836</v>
      </c>
      <c r="FV2" s="2">
        <v>578068</v>
      </c>
      <c r="FW2" s="2">
        <v>580110</v>
      </c>
      <c r="FX2" s="2">
        <v>583383</v>
      </c>
      <c r="FY2" s="2">
        <v>585856</v>
      </c>
      <c r="FZ2" s="2">
        <v>589476</v>
      </c>
      <c r="GA2" s="2">
        <v>594423</v>
      </c>
      <c r="GB2" s="2">
        <v>598176</v>
      </c>
      <c r="GC2" s="2">
        <v>601961</v>
      </c>
      <c r="GD2" s="2">
        <v>606396</v>
      </c>
      <c r="GE2" s="2">
        <v>606785</v>
      </c>
      <c r="GF2" s="2">
        <v>607775</v>
      </c>
      <c r="GG2" s="2">
        <v>609653</v>
      </c>
      <c r="GH2" s="2">
        <v>610481</v>
      </c>
      <c r="GI2" s="2">
        <v>614936</v>
      </c>
      <c r="GJ2" s="2">
        <v>616853</v>
      </c>
      <c r="GK2" s="2">
        <v>621227</v>
      </c>
      <c r="GL2" s="2">
        <v>621229</v>
      </c>
      <c r="GM2" s="2">
        <v>604719</v>
      </c>
      <c r="GN2" s="2">
        <v>481769</v>
      </c>
      <c r="GO2" s="2">
        <v>562648</v>
      </c>
      <c r="GP2" s="2">
        <v>570338</v>
      </c>
      <c r="GQ2" s="2">
        <v>564411</v>
      </c>
      <c r="GR2" s="2">
        <v>605353</v>
      </c>
      <c r="GS2" s="2">
        <v>615459</v>
      </c>
      <c r="GT2" s="2">
        <v>624592</v>
      </c>
      <c r="GU2" s="2">
        <v>629149</v>
      </c>
      <c r="GV2" s="2">
        <v>631258</v>
      </c>
      <c r="GW2" s="2">
        <v>631977</v>
      </c>
      <c r="GX2" s="2">
        <v>634044</v>
      </c>
      <c r="GY2" s="2">
        <v>634428</v>
      </c>
      <c r="GZ2" s="2">
        <v>634694</v>
      </c>
      <c r="HA2" s="2">
        <v>634327</v>
      </c>
      <c r="HB2" s="2">
        <v>633011</v>
      </c>
      <c r="HC2" s="2">
        <v>638746</v>
      </c>
      <c r="HD2" s="2">
        <v>641670</v>
      </c>
      <c r="HE2" s="2">
        <v>641675</v>
      </c>
      <c r="HF2" s="2">
        <v>642287</v>
      </c>
      <c r="HG2" s="3">
        <v>645889.69999999995</v>
      </c>
      <c r="HH2" s="3">
        <v>647140.19999999995</v>
      </c>
      <c r="HI2" s="3">
        <v>648105.80000000005</v>
      </c>
      <c r="HJ2" s="3">
        <v>649184.30000000005</v>
      </c>
      <c r="HK2" s="3">
        <v>650710.30000000005</v>
      </c>
      <c r="HL2" s="3">
        <v>652240.30000000005</v>
      </c>
      <c r="HM2" s="3">
        <v>653871</v>
      </c>
      <c r="HN2" s="3">
        <v>655799.6</v>
      </c>
      <c r="HO2" s="3">
        <v>657931</v>
      </c>
      <c r="HP2" s="3">
        <v>660283.5</v>
      </c>
      <c r="HQ2" s="3">
        <v>663056.30000000005</v>
      </c>
      <c r="HR2" s="3">
        <v>666106.4</v>
      </c>
      <c r="HS2" s="3">
        <v>669303.80000000005</v>
      </c>
      <c r="HT2" s="3">
        <v>672449.4</v>
      </c>
      <c r="HU2" s="3">
        <v>675643.4</v>
      </c>
      <c r="HV2" s="3">
        <v>678684</v>
      </c>
      <c r="HW2" s="3">
        <v>681670.2</v>
      </c>
      <c r="HX2" s="3">
        <v>684499.1</v>
      </c>
      <c r="HY2" s="3">
        <v>687305.6</v>
      </c>
      <c r="HZ2" s="3">
        <v>690123.5</v>
      </c>
      <c r="IA2" s="3">
        <v>692815</v>
      </c>
      <c r="IB2" s="3">
        <v>695586.3</v>
      </c>
      <c r="IC2" s="3">
        <v>698368.6</v>
      </c>
      <c r="ID2" s="3">
        <v>701162.1</v>
      </c>
      <c r="IE2" s="3">
        <v>703966.8</v>
      </c>
      <c r="IF2" s="3">
        <v>706782.6</v>
      </c>
      <c r="IG2" s="3">
        <v>709539.1</v>
      </c>
      <c r="IH2" s="3">
        <v>712306.3</v>
      </c>
      <c r="II2" s="3">
        <v>715084.3</v>
      </c>
      <c r="IJ2" s="3">
        <v>717873.1</v>
      </c>
      <c r="IK2" s="3">
        <v>720672.8</v>
      </c>
      <c r="IL2" s="3">
        <v>723519.4</v>
      </c>
      <c r="IM2" s="3">
        <v>726382.9</v>
      </c>
      <c r="IN2" s="3">
        <v>729139.3</v>
      </c>
      <c r="IO2" s="3">
        <v>731906.4</v>
      </c>
      <c r="IP2" s="3">
        <v>734556.9</v>
      </c>
      <c r="IQ2" s="3">
        <v>737326.9</v>
      </c>
      <c r="IR2" s="3">
        <v>740037.6</v>
      </c>
      <c r="IS2" s="3">
        <v>742750.3</v>
      </c>
      <c r="IT2" s="3">
        <v>745421.1</v>
      </c>
      <c r="IU2" s="3">
        <v>748199.8</v>
      </c>
      <c r="IV2" s="3">
        <v>750989.6</v>
      </c>
      <c r="IW2" s="3">
        <v>753790.2</v>
      </c>
      <c r="IX2" s="3">
        <v>756601.4</v>
      </c>
      <c r="IY2" s="3">
        <v>759489.1</v>
      </c>
      <c r="IZ2" s="3">
        <v>762390.9</v>
      </c>
      <c r="JA2" s="3">
        <v>765307</v>
      </c>
      <c r="JB2" s="3">
        <v>768237.1</v>
      </c>
      <c r="JC2" s="3">
        <v>771181.2</v>
      </c>
      <c r="JD2" s="3">
        <v>774139.2</v>
      </c>
      <c r="JE2" s="3">
        <v>777111.4</v>
      </c>
      <c r="JF2" s="3">
        <v>780097.9</v>
      </c>
      <c r="JG2" s="3">
        <v>783163.7</v>
      </c>
      <c r="JH2" s="3">
        <v>786244.5</v>
      </c>
      <c r="JI2" s="3">
        <v>789341.3</v>
      </c>
      <c r="JJ2" s="3">
        <v>792453.8</v>
      </c>
      <c r="JK2" s="3">
        <v>795582.1</v>
      </c>
      <c r="JL2" s="3">
        <v>798726.2</v>
      </c>
      <c r="JM2" s="3">
        <v>801886.2</v>
      </c>
      <c r="JN2" s="3">
        <v>805062.4</v>
      </c>
      <c r="JO2" s="3">
        <v>808254.7</v>
      </c>
      <c r="JP2" s="3">
        <v>811461.8</v>
      </c>
      <c r="JQ2" s="3">
        <v>814683.8</v>
      </c>
      <c r="JR2" s="3">
        <v>817920.8</v>
      </c>
      <c r="JS2" s="3">
        <v>821244.4</v>
      </c>
      <c r="JT2" s="3">
        <v>824584.3</v>
      </c>
      <c r="JU2" s="3">
        <v>827948.8</v>
      </c>
      <c r="JV2" s="3">
        <v>831329.5</v>
      </c>
      <c r="JW2" s="3">
        <v>834726.40000000002</v>
      </c>
      <c r="JX2" s="3">
        <v>838139.3</v>
      </c>
      <c r="JY2" s="3">
        <v>841497.8</v>
      </c>
      <c r="JZ2" s="3">
        <v>844871.2</v>
      </c>
      <c r="KA2" s="3">
        <v>848259.3</v>
      </c>
      <c r="KB2" s="3">
        <v>851662.4</v>
      </c>
      <c r="KC2" s="3">
        <v>854994.2</v>
      </c>
      <c r="KD2" s="3">
        <v>858338.9</v>
      </c>
      <c r="KE2" s="3">
        <v>861696.5</v>
      </c>
      <c r="KF2" s="3">
        <v>865067.1</v>
      </c>
      <c r="KG2" s="3">
        <v>868291.7</v>
      </c>
      <c r="KH2" s="3">
        <v>871526.40000000002</v>
      </c>
      <c r="KI2" s="3">
        <v>874771.5</v>
      </c>
      <c r="KJ2" s="3">
        <v>878026.9</v>
      </c>
      <c r="KK2" s="3">
        <v>881217.8</v>
      </c>
      <c r="KL2" s="3">
        <v>884418</v>
      </c>
      <c r="KM2" s="3">
        <v>887627.3</v>
      </c>
      <c r="KN2" s="3">
        <v>890845.7</v>
      </c>
      <c r="KO2" s="3">
        <v>894069.8</v>
      </c>
      <c r="KP2" s="3">
        <v>897303.1</v>
      </c>
      <c r="KQ2" s="3">
        <v>900545.7</v>
      </c>
      <c r="KR2" s="3">
        <v>903797.6</v>
      </c>
      <c r="KS2" s="3">
        <v>907005</v>
      </c>
      <c r="KT2" s="3">
        <v>910220.9</v>
      </c>
      <c r="KU2" s="3">
        <v>913445.6</v>
      </c>
      <c r="KV2" s="3">
        <v>916678.8</v>
      </c>
      <c r="KW2" s="3">
        <v>919897.59999999998</v>
      </c>
      <c r="KX2" s="3">
        <v>923124.7</v>
      </c>
      <c r="KY2" s="3">
        <v>926360</v>
      </c>
      <c r="KZ2" s="3">
        <v>929603.5</v>
      </c>
      <c r="LA2" s="3">
        <v>932781.9</v>
      </c>
      <c r="LB2" s="3">
        <v>935967.3</v>
      </c>
      <c r="LC2" s="3">
        <v>939159.5</v>
      </c>
      <c r="LD2" s="3">
        <v>942357.4</v>
      </c>
      <c r="LE2" s="3">
        <v>945537</v>
      </c>
      <c r="LF2" s="3">
        <v>948722.1</v>
      </c>
      <c r="LG2" s="3">
        <v>951913.4</v>
      </c>
      <c r="LH2" s="3">
        <v>955110.9</v>
      </c>
      <c r="LI2" s="3">
        <v>958277.2</v>
      </c>
      <c r="LJ2" s="3">
        <v>961449.4</v>
      </c>
      <c r="LK2" s="3">
        <v>964627.4</v>
      </c>
      <c r="LL2" s="3">
        <v>967811.1</v>
      </c>
      <c r="LM2" s="3">
        <v>970924.1</v>
      </c>
      <c r="LN2" s="3">
        <v>974041.59999999998</v>
      </c>
      <c r="LO2" s="3">
        <v>977163.4</v>
      </c>
      <c r="LP2" s="3">
        <v>980289.4</v>
      </c>
      <c r="LQ2" s="3">
        <v>983418.6</v>
      </c>
      <c r="LR2" s="3">
        <v>986552.4</v>
      </c>
      <c r="LS2" s="3">
        <v>989690.7</v>
      </c>
      <c r="LT2" s="3">
        <v>992833.8</v>
      </c>
      <c r="LU2" s="3">
        <v>995947.7</v>
      </c>
      <c r="LV2" s="3">
        <v>999065.5</v>
      </c>
      <c r="LW2" s="3">
        <v>1002187</v>
      </c>
      <c r="LX2" s="3">
        <v>1005313</v>
      </c>
      <c r="LY2" s="3">
        <v>1008411</v>
      </c>
      <c r="LZ2" s="3">
        <v>1011512</v>
      </c>
      <c r="MA2" s="3">
        <v>1014617</v>
      </c>
      <c r="MB2" s="3">
        <v>1017725</v>
      </c>
      <c r="MC2" s="3">
        <v>1020835</v>
      </c>
      <c r="MD2" s="3">
        <v>1023949</v>
      </c>
      <c r="ME2" s="3">
        <v>1027066</v>
      </c>
      <c r="MF2" s="3">
        <v>1030188</v>
      </c>
      <c r="MG2" s="3">
        <v>1033337</v>
      </c>
      <c r="MH2" s="3">
        <v>1036491</v>
      </c>
      <c r="MI2" s="3">
        <v>1039649</v>
      </c>
      <c r="MJ2" s="3">
        <v>1042811</v>
      </c>
      <c r="MK2" s="3">
        <v>1045957</v>
      </c>
      <c r="ML2" s="3">
        <v>1049107</v>
      </c>
      <c r="MM2" s="3">
        <v>1052261</v>
      </c>
      <c r="MN2" s="3">
        <v>1055419</v>
      </c>
      <c r="MO2" s="3">
        <v>1058604</v>
      </c>
      <c r="MP2" s="3">
        <v>1061793</v>
      </c>
      <c r="MQ2" s="3">
        <v>1064987</v>
      </c>
      <c r="MR2" s="3">
        <v>1068186</v>
      </c>
      <c r="MS2" s="3">
        <v>1071389</v>
      </c>
      <c r="MT2" s="3">
        <v>1074597</v>
      </c>
      <c r="MU2" t="s">
        <v>375</v>
      </c>
      <c r="MV2" t="b">
        <v>1</v>
      </c>
      <c r="MW2" s="1" t="s">
        <v>376</v>
      </c>
      <c r="MX2" t="s">
        <v>377</v>
      </c>
      <c r="MY2">
        <v>2024</v>
      </c>
      <c r="MZ2">
        <v>4</v>
      </c>
      <c r="NA2" t="s">
        <v>377</v>
      </c>
      <c r="NB2" t="s">
        <v>378</v>
      </c>
      <c r="NC2" s="1" t="s">
        <v>379</v>
      </c>
      <c r="ND2" t="s">
        <v>380</v>
      </c>
      <c r="NE2" t="s">
        <v>381</v>
      </c>
      <c r="NF2" s="1" t="s">
        <v>455</v>
      </c>
    </row>
    <row r="3" spans="1:370" x14ac:dyDescent="0.25">
      <c r="A3" t="s">
        <v>382</v>
      </c>
      <c r="B3" t="s">
        <v>371</v>
      </c>
      <c r="C3" s="1" t="s">
        <v>454</v>
      </c>
      <c r="D3" t="s">
        <v>383</v>
      </c>
      <c r="E3" t="s">
        <v>384</v>
      </c>
      <c r="F3" t="s">
        <v>374</v>
      </c>
      <c r="G3" s="2">
        <v>1514.625</v>
      </c>
      <c r="H3" s="2">
        <v>1531.125</v>
      </c>
      <c r="I3" s="2">
        <v>1523.075</v>
      </c>
      <c r="J3" s="2">
        <v>1537.5250000000001</v>
      </c>
      <c r="K3" s="2">
        <v>1524.325</v>
      </c>
      <c r="L3" s="2">
        <v>1527.95</v>
      </c>
      <c r="M3" s="2">
        <v>1513.5</v>
      </c>
      <c r="N3" s="2">
        <v>1507.625</v>
      </c>
      <c r="O3" s="2">
        <v>1489.25</v>
      </c>
      <c r="P3" s="2">
        <v>1499.9</v>
      </c>
      <c r="Q3" s="2">
        <v>1525.575</v>
      </c>
      <c r="R3" s="2">
        <v>1546.125</v>
      </c>
      <c r="S3" s="2">
        <v>1580.9</v>
      </c>
      <c r="T3" s="2">
        <v>1592.5</v>
      </c>
      <c r="U3" s="2">
        <v>1601.2249999999999</v>
      </c>
      <c r="V3" s="2">
        <v>1612.8</v>
      </c>
      <c r="W3" s="2">
        <v>1631.925</v>
      </c>
      <c r="X3" s="2">
        <v>1663.625</v>
      </c>
      <c r="Y3" s="2">
        <v>1693.625</v>
      </c>
      <c r="Z3" s="2">
        <v>1693.65</v>
      </c>
      <c r="AA3" s="2">
        <v>1699.075</v>
      </c>
      <c r="AB3" s="2">
        <v>1764.7249999999999</v>
      </c>
      <c r="AC3" s="2">
        <v>1782.4749999999999</v>
      </c>
      <c r="AD3" s="2">
        <v>1806.45</v>
      </c>
      <c r="AE3" s="2">
        <v>1809.675</v>
      </c>
      <c r="AF3" s="2">
        <v>1811.625</v>
      </c>
      <c r="AG3" s="2">
        <v>1825.075</v>
      </c>
      <c r="AH3" s="2">
        <v>1829.625</v>
      </c>
      <c r="AI3" s="2">
        <v>1835.4</v>
      </c>
      <c r="AJ3" s="2">
        <v>1797.575</v>
      </c>
      <c r="AK3" s="2">
        <v>1795.425</v>
      </c>
      <c r="AL3" s="2">
        <v>1828.925</v>
      </c>
      <c r="AM3" s="2">
        <v>1864.75</v>
      </c>
      <c r="AN3" s="2">
        <v>1850.925</v>
      </c>
      <c r="AO3" s="2">
        <v>1873.1</v>
      </c>
      <c r="AP3" s="2">
        <v>1852.7</v>
      </c>
      <c r="AQ3" s="2">
        <v>1823.9</v>
      </c>
      <c r="AR3" s="2">
        <v>1832.2249999999999</v>
      </c>
      <c r="AS3" s="2">
        <v>1825.2249999999999</v>
      </c>
      <c r="AT3" s="2">
        <v>1825.95</v>
      </c>
      <c r="AU3" s="2">
        <v>1850.0250000000001</v>
      </c>
      <c r="AV3" s="2">
        <v>1892.125</v>
      </c>
      <c r="AW3" s="2">
        <v>1929.925</v>
      </c>
      <c r="AX3" s="2">
        <v>1970.2</v>
      </c>
      <c r="AY3" s="2">
        <v>2008.7</v>
      </c>
      <c r="AZ3" s="2">
        <v>2043.425</v>
      </c>
      <c r="BA3" s="2">
        <v>2063.125</v>
      </c>
      <c r="BB3" s="2">
        <v>2080.0500000000002</v>
      </c>
      <c r="BC3" s="2">
        <v>2100.1999999999998</v>
      </c>
      <c r="BD3" s="2">
        <v>2118.6999999999998</v>
      </c>
      <c r="BE3" s="2">
        <v>2151.0500000000002</v>
      </c>
      <c r="BF3" s="2">
        <v>2167.0500000000002</v>
      </c>
      <c r="BG3" s="2">
        <v>2187.2750000000001</v>
      </c>
      <c r="BH3" s="2">
        <v>2197.125</v>
      </c>
      <c r="BI3" s="2">
        <v>2218.15</v>
      </c>
      <c r="BJ3" s="2">
        <v>2230.0500000000002</v>
      </c>
      <c r="BK3" s="2">
        <v>2246.6</v>
      </c>
      <c r="BL3" s="2">
        <v>2270.8249999999998</v>
      </c>
      <c r="BM3" s="2">
        <v>2290.5</v>
      </c>
      <c r="BN3" s="2">
        <v>2329.8249999999998</v>
      </c>
      <c r="BO3" s="2">
        <v>2341.875</v>
      </c>
      <c r="BP3" s="2">
        <v>2372.65</v>
      </c>
      <c r="BQ3" s="2">
        <v>2386.5500000000002</v>
      </c>
      <c r="BR3" s="2">
        <v>2418.35</v>
      </c>
      <c r="BS3" s="2">
        <v>2442.9250000000002</v>
      </c>
      <c r="BT3" s="2">
        <v>2461.5749999999998</v>
      </c>
      <c r="BU3" s="2">
        <v>2479.8000000000002</v>
      </c>
      <c r="BV3" s="2">
        <v>2484.6999999999998</v>
      </c>
      <c r="BW3" s="2">
        <v>2511.85</v>
      </c>
      <c r="BX3" s="2">
        <v>2520.9749999999999</v>
      </c>
      <c r="BY3" s="2">
        <v>2522.65</v>
      </c>
      <c r="BZ3" s="2">
        <v>2499.6750000000002</v>
      </c>
      <c r="CA3" s="2">
        <v>2487.9749999999999</v>
      </c>
      <c r="CB3" s="2">
        <v>2507.375</v>
      </c>
      <c r="CC3" s="2">
        <v>2520.0500000000002</v>
      </c>
      <c r="CD3" s="2">
        <v>2528.8249999999998</v>
      </c>
      <c r="CE3" s="2">
        <v>2559.1</v>
      </c>
      <c r="CF3" s="2">
        <v>2586.85</v>
      </c>
      <c r="CG3" s="2">
        <v>2612.4250000000002</v>
      </c>
      <c r="CH3" s="2">
        <v>2639.65</v>
      </c>
      <c r="CI3" s="2">
        <v>2644.0749999999998</v>
      </c>
      <c r="CJ3" s="2">
        <v>2659.45</v>
      </c>
      <c r="CK3" s="2">
        <v>2672.15</v>
      </c>
      <c r="CL3" s="2">
        <v>2708.5</v>
      </c>
      <c r="CM3" s="2">
        <v>2734.7750000000001</v>
      </c>
      <c r="CN3" s="2">
        <v>2771.85</v>
      </c>
      <c r="CO3" s="2">
        <v>2788.05</v>
      </c>
      <c r="CP3" s="2">
        <v>2819.9749999999999</v>
      </c>
      <c r="CQ3" s="2">
        <v>2830</v>
      </c>
      <c r="CR3" s="2">
        <v>2838.4250000000002</v>
      </c>
      <c r="CS3" s="2">
        <v>2862.5749999999998</v>
      </c>
      <c r="CT3" s="2">
        <v>2882.0250000000001</v>
      </c>
      <c r="CU3" s="2">
        <v>2903.6</v>
      </c>
      <c r="CV3" s="2">
        <v>2952.0250000000001</v>
      </c>
      <c r="CW3" s="2">
        <v>2978.5250000000001</v>
      </c>
      <c r="CX3" s="2">
        <v>3009.45</v>
      </c>
      <c r="CY3" s="2">
        <v>3028.875</v>
      </c>
      <c r="CZ3" s="2">
        <v>3079.3</v>
      </c>
      <c r="DA3" s="2">
        <v>3117.75</v>
      </c>
      <c r="DB3" s="2">
        <v>3144.375</v>
      </c>
      <c r="DC3" s="2">
        <v>3175.9250000000002</v>
      </c>
      <c r="DD3" s="2">
        <v>3205.3249999999998</v>
      </c>
      <c r="DE3" s="2">
        <v>3245.7</v>
      </c>
      <c r="DF3" s="2">
        <v>3297.9250000000002</v>
      </c>
      <c r="DG3" s="2">
        <v>3328.9</v>
      </c>
      <c r="DH3" s="2">
        <v>3356.6750000000002</v>
      </c>
      <c r="DI3" s="2">
        <v>3401.2</v>
      </c>
      <c r="DJ3" s="2">
        <v>3457</v>
      </c>
      <c r="DK3" s="2">
        <v>3469.5250000000001</v>
      </c>
      <c r="DL3" s="2">
        <v>3532.7249999999999</v>
      </c>
      <c r="DM3" s="2">
        <v>3536.3249999999998</v>
      </c>
      <c r="DN3" s="2">
        <v>3557.45</v>
      </c>
      <c r="DO3" s="2">
        <v>3545.7750000000001</v>
      </c>
      <c r="DP3" s="2">
        <v>3567.9250000000002</v>
      </c>
      <c r="DQ3" s="2">
        <v>3553.625</v>
      </c>
      <c r="DR3" s="2">
        <v>3563.4</v>
      </c>
      <c r="DS3" s="2">
        <v>3593.2</v>
      </c>
      <c r="DT3" s="2">
        <v>3615.2</v>
      </c>
      <c r="DU3" s="2">
        <v>3629.9</v>
      </c>
      <c r="DV3" s="2">
        <v>3634.4</v>
      </c>
      <c r="DW3" s="2">
        <v>3653.5250000000001</v>
      </c>
      <c r="DX3" s="2">
        <v>3685.9</v>
      </c>
      <c r="DY3" s="2">
        <v>3747.2</v>
      </c>
      <c r="DZ3" s="2">
        <v>3790.7</v>
      </c>
      <c r="EA3" s="2">
        <v>3812.1750000000002</v>
      </c>
      <c r="EB3" s="2">
        <v>3841.7249999999999</v>
      </c>
      <c r="EC3" s="2">
        <v>3878.15</v>
      </c>
      <c r="ED3" s="2">
        <v>3917.7249999999999</v>
      </c>
      <c r="EE3" s="2">
        <v>3961.1750000000002</v>
      </c>
      <c r="EF3" s="2">
        <v>3980.7</v>
      </c>
      <c r="EG3" s="2">
        <v>4011.9</v>
      </c>
      <c r="EH3" s="2">
        <v>4034.1750000000002</v>
      </c>
      <c r="EI3" s="2">
        <v>4088.45</v>
      </c>
      <c r="EJ3" s="2">
        <v>4099.05</v>
      </c>
      <c r="EK3" s="2">
        <v>4105.1750000000002</v>
      </c>
      <c r="EL3" s="2">
        <v>4140.4750000000004</v>
      </c>
      <c r="EM3" s="2">
        <v>4152.9250000000002</v>
      </c>
      <c r="EN3" s="2">
        <v>4178.3249999999998</v>
      </c>
      <c r="EO3" s="2">
        <v>4202.3999999999996</v>
      </c>
      <c r="EP3" s="2">
        <v>4228.8</v>
      </c>
      <c r="EQ3" s="2">
        <v>4210.75</v>
      </c>
      <c r="ER3" s="2">
        <v>4235.8249999999998</v>
      </c>
      <c r="ES3" s="2">
        <v>4213.5749999999998</v>
      </c>
      <c r="ET3" s="2">
        <v>4121.3500000000004</v>
      </c>
      <c r="EU3" s="2">
        <v>4074.5749999999998</v>
      </c>
      <c r="EV3" s="2">
        <v>4067.2750000000001</v>
      </c>
      <c r="EW3" s="2">
        <v>4081.5749999999998</v>
      </c>
      <c r="EX3" s="2">
        <v>4125.7</v>
      </c>
      <c r="EY3" s="2">
        <v>4145.6750000000002</v>
      </c>
      <c r="EZ3" s="2">
        <v>4185.8</v>
      </c>
      <c r="FA3" s="2">
        <v>4218.0749999999998</v>
      </c>
      <c r="FB3" s="2">
        <v>4240.2250000000004</v>
      </c>
      <c r="FC3" s="2">
        <v>4230.1499999999996</v>
      </c>
      <c r="FD3" s="2">
        <v>4258.7749999999996</v>
      </c>
      <c r="FE3" s="2">
        <v>4257.8249999999998</v>
      </c>
      <c r="FF3" s="2">
        <v>4305.6499999999996</v>
      </c>
      <c r="FG3" s="2">
        <v>4341.75</v>
      </c>
      <c r="FH3" s="2">
        <v>4361.125</v>
      </c>
      <c r="FI3" s="2">
        <v>4367.4250000000002</v>
      </c>
      <c r="FJ3" s="2">
        <v>4372.4750000000004</v>
      </c>
      <c r="FK3" s="2">
        <v>4415.6000000000004</v>
      </c>
      <c r="FL3" s="2">
        <v>4427.4250000000002</v>
      </c>
      <c r="FM3" s="2">
        <v>4465.125</v>
      </c>
      <c r="FN3" s="2">
        <v>4504.0249999999996</v>
      </c>
      <c r="FO3" s="2">
        <v>4488.5</v>
      </c>
      <c r="FP3" s="2">
        <v>4546.4750000000004</v>
      </c>
      <c r="FQ3" s="2">
        <v>4601.7250000000004</v>
      </c>
      <c r="FR3" s="2">
        <v>4625</v>
      </c>
      <c r="FS3" s="2">
        <v>4666.6499999999996</v>
      </c>
      <c r="FT3" s="2">
        <v>4695.55</v>
      </c>
      <c r="FU3" s="2">
        <v>4714.3500000000004</v>
      </c>
      <c r="FV3" s="2">
        <v>4723.05</v>
      </c>
      <c r="FW3" s="2">
        <v>4750.4250000000002</v>
      </c>
      <c r="FX3" s="2">
        <v>4765.6750000000002</v>
      </c>
      <c r="FY3" s="2">
        <v>4799.4750000000004</v>
      </c>
      <c r="FZ3" s="2">
        <v>4826.1000000000004</v>
      </c>
      <c r="GA3" s="2">
        <v>4849.5749999999998</v>
      </c>
      <c r="GB3" s="2">
        <v>4876.7250000000004</v>
      </c>
      <c r="GC3" s="2">
        <v>4915.2</v>
      </c>
      <c r="GD3" s="2">
        <v>4970.6000000000004</v>
      </c>
      <c r="GE3" s="2">
        <v>5011.0249999999996</v>
      </c>
      <c r="GF3" s="2">
        <v>5037.625</v>
      </c>
      <c r="GG3" s="2">
        <v>5069.05</v>
      </c>
      <c r="GH3" s="2">
        <v>5076.2250000000004</v>
      </c>
      <c r="GI3" s="2">
        <v>5107.8999999999996</v>
      </c>
      <c r="GJ3" s="2">
        <v>5150.5749999999998</v>
      </c>
      <c r="GK3" s="2">
        <v>5210.8249999999998</v>
      </c>
      <c r="GL3" s="2">
        <v>5246.35</v>
      </c>
      <c r="GM3" s="2">
        <v>5173.3</v>
      </c>
      <c r="GN3" s="2">
        <v>4764.1499999999996</v>
      </c>
      <c r="GO3" s="2">
        <v>5137.2</v>
      </c>
      <c r="GP3" s="2">
        <v>5192.9250000000002</v>
      </c>
      <c r="GQ3" s="2">
        <v>5264.6</v>
      </c>
      <c r="GR3" s="2">
        <v>5347.25</v>
      </c>
      <c r="GS3" s="2">
        <v>5392.85</v>
      </c>
      <c r="GT3" s="2">
        <v>5490.1</v>
      </c>
      <c r="GU3" s="2">
        <v>5475.9750000000004</v>
      </c>
      <c r="GV3" s="2">
        <v>5479.8</v>
      </c>
      <c r="GW3" s="2">
        <v>5516.7</v>
      </c>
      <c r="GX3" s="2">
        <v>5562.375</v>
      </c>
      <c r="GY3" s="2">
        <v>5600.85</v>
      </c>
      <c r="GZ3" s="2">
        <v>5634.85</v>
      </c>
      <c r="HA3" s="2">
        <v>5695.2250000000004</v>
      </c>
      <c r="HB3" s="2">
        <v>5740.15</v>
      </c>
      <c r="HC3" s="2">
        <v>5763.375</v>
      </c>
      <c r="HD3" s="2">
        <v>5805.9750000000004</v>
      </c>
      <c r="HE3" s="2">
        <v>5850.0749999999998</v>
      </c>
      <c r="HF3" s="2">
        <v>5885.5749999999998</v>
      </c>
      <c r="HG3" s="3">
        <v>5870.8059999999996</v>
      </c>
      <c r="HH3" s="3">
        <v>5899.942</v>
      </c>
      <c r="HI3" s="3">
        <v>5907.3029999999999</v>
      </c>
      <c r="HJ3" s="3">
        <v>5916.1440000000002</v>
      </c>
      <c r="HK3" s="3">
        <v>5937.9930000000004</v>
      </c>
      <c r="HL3" s="3">
        <v>5972.5110000000004</v>
      </c>
      <c r="HM3" s="3">
        <v>6010.44</v>
      </c>
      <c r="HN3" s="3">
        <v>6049.0429999999997</v>
      </c>
      <c r="HO3" s="3">
        <v>6088.7929999999997</v>
      </c>
      <c r="HP3" s="3">
        <v>6130.3509999999997</v>
      </c>
      <c r="HQ3" s="3">
        <v>6171.2070000000003</v>
      </c>
      <c r="HR3" s="3">
        <v>6211.44</v>
      </c>
      <c r="HS3" s="3">
        <v>6252.0410000000002</v>
      </c>
      <c r="HT3" s="3">
        <v>6292.4790000000003</v>
      </c>
      <c r="HU3" s="3">
        <v>6332.3230000000003</v>
      </c>
      <c r="HV3" s="3">
        <v>6370.9570000000003</v>
      </c>
      <c r="HW3" s="3">
        <v>6408.8869999999997</v>
      </c>
      <c r="HX3" s="3">
        <v>6445.9939999999997</v>
      </c>
      <c r="HY3" s="3">
        <v>6481.9489999999996</v>
      </c>
      <c r="HZ3" s="3">
        <v>6517.451</v>
      </c>
      <c r="IA3" s="3">
        <v>6552.3649999999998</v>
      </c>
      <c r="IB3" s="3">
        <v>6586.5370000000003</v>
      </c>
      <c r="IC3" s="3">
        <v>6620.0479999999998</v>
      </c>
      <c r="ID3" s="3">
        <v>6653.0889999999999</v>
      </c>
      <c r="IE3" s="3">
        <v>6685.8220000000001</v>
      </c>
      <c r="IF3" s="3">
        <v>6718.6980000000003</v>
      </c>
      <c r="IG3" s="3">
        <v>6751.7030000000004</v>
      </c>
      <c r="IH3" s="3">
        <v>6784.4579999999996</v>
      </c>
      <c r="II3" s="3">
        <v>6817.0630000000001</v>
      </c>
      <c r="IJ3" s="3">
        <v>6849.7849999999999</v>
      </c>
      <c r="IK3" s="3">
        <v>6882.085</v>
      </c>
      <c r="IL3" s="3">
        <v>6914.625</v>
      </c>
      <c r="IM3" s="3">
        <v>6947.1049999999996</v>
      </c>
      <c r="IN3" s="3">
        <v>6979.6170000000002</v>
      </c>
      <c r="IO3" s="3">
        <v>7012.1040000000003</v>
      </c>
      <c r="IP3" s="3">
        <v>7044.7629999999999</v>
      </c>
      <c r="IQ3" s="3">
        <v>7077.2290000000003</v>
      </c>
      <c r="IR3" s="3">
        <v>7109.8059999999996</v>
      </c>
      <c r="IS3" s="3">
        <v>7142.3540000000003</v>
      </c>
      <c r="IT3" s="3">
        <v>7174.8090000000002</v>
      </c>
      <c r="IU3" s="3">
        <v>7207.4579999999996</v>
      </c>
      <c r="IV3" s="3">
        <v>7240.1239999999998</v>
      </c>
      <c r="IW3" s="3">
        <v>7272.7659999999996</v>
      </c>
      <c r="IX3" s="3">
        <v>7305.7330000000002</v>
      </c>
      <c r="IY3" s="3">
        <v>7338.5389999999998</v>
      </c>
      <c r="IZ3" s="3">
        <v>7371.4870000000001</v>
      </c>
      <c r="JA3" s="3">
        <v>7404.37</v>
      </c>
      <c r="JB3" s="3">
        <v>7437.3630000000003</v>
      </c>
      <c r="JC3" s="3">
        <v>7470.317</v>
      </c>
      <c r="JD3" s="3">
        <v>7503.3029999999999</v>
      </c>
      <c r="JE3" s="3">
        <v>7536.59</v>
      </c>
      <c r="JF3" s="3">
        <v>7569.6030000000001</v>
      </c>
      <c r="JG3" s="3">
        <v>7602.7560000000003</v>
      </c>
      <c r="JH3" s="3">
        <v>7635.8710000000001</v>
      </c>
      <c r="JI3" s="3">
        <v>7669.2150000000001</v>
      </c>
      <c r="JJ3" s="3">
        <v>7702.5720000000001</v>
      </c>
      <c r="JK3" s="3">
        <v>7736.0510000000004</v>
      </c>
      <c r="JL3" s="3">
        <v>7769.616</v>
      </c>
      <c r="JM3" s="3">
        <v>7802.9369999999999</v>
      </c>
      <c r="JN3" s="3">
        <v>7836.6549999999997</v>
      </c>
      <c r="JO3" s="3">
        <v>7870.3559999999998</v>
      </c>
      <c r="JP3" s="3">
        <v>7904.0370000000003</v>
      </c>
      <c r="JQ3" s="3">
        <v>7937.7839999999997</v>
      </c>
      <c r="JR3" s="3">
        <v>7971.652</v>
      </c>
      <c r="JS3" s="3">
        <v>8005.6059999999998</v>
      </c>
      <c r="JT3" s="3">
        <v>8039.6080000000002</v>
      </c>
      <c r="JU3" s="3">
        <v>8073.7479999999996</v>
      </c>
      <c r="JV3" s="3">
        <v>8107.951</v>
      </c>
      <c r="JW3" s="3">
        <v>8142.2070000000003</v>
      </c>
      <c r="JX3" s="3">
        <v>8176.5720000000001</v>
      </c>
      <c r="JY3" s="3">
        <v>8210.9699999999993</v>
      </c>
      <c r="JZ3" s="3">
        <v>8245.4570000000003</v>
      </c>
      <c r="KA3" s="3">
        <v>8280.1880000000001</v>
      </c>
      <c r="KB3" s="3">
        <v>8315.0480000000007</v>
      </c>
      <c r="KC3" s="3">
        <v>8349.8590000000004</v>
      </c>
      <c r="KD3" s="3">
        <v>8384.9040000000005</v>
      </c>
      <c r="KE3" s="3">
        <v>8420.0290000000005</v>
      </c>
      <c r="KF3" s="3">
        <v>8455.1669999999995</v>
      </c>
      <c r="KG3" s="3">
        <v>8490.3819999999996</v>
      </c>
      <c r="KH3" s="3">
        <v>8525.777</v>
      </c>
      <c r="KI3" s="3">
        <v>8561.0669999999991</v>
      </c>
      <c r="KJ3" s="3">
        <v>8596.5310000000009</v>
      </c>
      <c r="KK3" s="3">
        <v>8631.9470000000001</v>
      </c>
      <c r="KL3" s="3">
        <v>8667.5390000000007</v>
      </c>
      <c r="KM3" s="3">
        <v>8703.2440000000006</v>
      </c>
      <c r="KN3" s="3">
        <v>8738.9259999999995</v>
      </c>
      <c r="KO3" s="3">
        <v>8774.6910000000007</v>
      </c>
      <c r="KP3" s="3">
        <v>8810.6919999999991</v>
      </c>
      <c r="KQ3" s="3">
        <v>8846.6440000000002</v>
      </c>
      <c r="KR3" s="3">
        <v>8882.6360000000004</v>
      </c>
      <c r="KS3" s="3">
        <v>8918.7669999999998</v>
      </c>
      <c r="KT3" s="3">
        <v>8954.9310000000005</v>
      </c>
      <c r="KU3" s="3">
        <v>8991.1540000000005</v>
      </c>
      <c r="KV3" s="3">
        <v>9027.66</v>
      </c>
      <c r="KW3" s="3">
        <v>9063.8950000000004</v>
      </c>
      <c r="KX3" s="3">
        <v>9100.5830000000005</v>
      </c>
      <c r="KY3" s="3">
        <v>9137.1980000000003</v>
      </c>
      <c r="KZ3" s="3">
        <v>9173.607</v>
      </c>
      <c r="LA3" s="3">
        <v>9210.3610000000008</v>
      </c>
      <c r="LB3" s="3">
        <v>9247.0310000000009</v>
      </c>
      <c r="LC3" s="3">
        <v>9284.0630000000001</v>
      </c>
      <c r="LD3" s="3">
        <v>9320.9959999999992</v>
      </c>
      <c r="LE3" s="3">
        <v>9357.8970000000008</v>
      </c>
      <c r="LF3" s="3">
        <v>9395.09</v>
      </c>
      <c r="LG3" s="3">
        <v>9432.2999999999993</v>
      </c>
      <c r="LH3" s="3">
        <v>9469.6710000000003</v>
      </c>
      <c r="LI3" s="3">
        <v>9507.17</v>
      </c>
      <c r="LJ3" s="3">
        <v>9544.76</v>
      </c>
      <c r="LK3" s="3">
        <v>9582.5650000000005</v>
      </c>
      <c r="LL3" s="3">
        <v>9620.4380000000001</v>
      </c>
      <c r="LM3" s="3">
        <v>9658.4459999999999</v>
      </c>
      <c r="LN3" s="3">
        <v>9696.5830000000005</v>
      </c>
      <c r="LO3" s="3">
        <v>9734.8449999999993</v>
      </c>
      <c r="LP3" s="3">
        <v>9773.223</v>
      </c>
      <c r="LQ3" s="3">
        <v>9811.7849999999999</v>
      </c>
      <c r="LR3" s="3">
        <v>9850.4869999999992</v>
      </c>
      <c r="LS3" s="3">
        <v>9889.2620000000006</v>
      </c>
      <c r="LT3" s="3">
        <v>9928.116</v>
      </c>
      <c r="LU3" s="3">
        <v>9967.1910000000007</v>
      </c>
      <c r="LV3" s="3">
        <v>10006.379999999999</v>
      </c>
      <c r="LW3" s="3">
        <v>10045.69</v>
      </c>
      <c r="LX3" s="3">
        <v>10085.16</v>
      </c>
      <c r="LY3" s="3">
        <v>10124.780000000001</v>
      </c>
      <c r="LZ3" s="3">
        <v>10164.39</v>
      </c>
      <c r="MA3" s="3">
        <v>10204.299999999999</v>
      </c>
      <c r="MB3" s="3">
        <v>10244.209999999999</v>
      </c>
      <c r="MC3" s="3">
        <v>10284.36</v>
      </c>
      <c r="MD3" s="3">
        <v>10324.67</v>
      </c>
      <c r="ME3" s="3">
        <v>10365.01</v>
      </c>
      <c r="MF3" s="3">
        <v>10405.530000000001</v>
      </c>
      <c r="MG3" s="3">
        <v>10446.280000000001</v>
      </c>
      <c r="MH3" s="3">
        <v>10487.13</v>
      </c>
      <c r="MI3" s="3">
        <v>10528.17</v>
      </c>
      <c r="MJ3" s="3">
        <v>10569.27</v>
      </c>
      <c r="MK3" s="3">
        <v>10610.63</v>
      </c>
      <c r="ML3" s="3">
        <v>10652.04</v>
      </c>
      <c r="MM3" s="3">
        <v>10693.71</v>
      </c>
      <c r="MN3" s="3">
        <v>10735.44</v>
      </c>
      <c r="MO3" s="3">
        <v>10777.29</v>
      </c>
      <c r="MP3" s="3">
        <v>10819.42</v>
      </c>
      <c r="MQ3" s="3">
        <v>10861.6</v>
      </c>
      <c r="MR3" s="3">
        <v>10903.96</v>
      </c>
      <c r="MS3" s="3">
        <v>10946.47</v>
      </c>
      <c r="MT3" s="3">
        <v>10989.07</v>
      </c>
      <c r="MU3" t="s">
        <v>385</v>
      </c>
      <c r="MV3" t="b">
        <v>1</v>
      </c>
      <c r="MW3" s="1" t="s">
        <v>386</v>
      </c>
      <c r="MX3" t="s">
        <v>377</v>
      </c>
      <c r="MY3">
        <v>2024</v>
      </c>
      <c r="MZ3">
        <v>4</v>
      </c>
      <c r="NA3" t="s">
        <v>377</v>
      </c>
      <c r="NB3" s="1" t="s">
        <v>387</v>
      </c>
      <c r="NC3" s="1" t="s">
        <v>388</v>
      </c>
      <c r="ND3" t="s">
        <v>389</v>
      </c>
      <c r="NE3" t="s">
        <v>381</v>
      </c>
      <c r="NF3" s="1" t="s">
        <v>455</v>
      </c>
    </row>
    <row r="4" spans="1:370" x14ac:dyDescent="0.25">
      <c r="A4" t="s">
        <v>370</v>
      </c>
      <c r="B4" t="s">
        <v>447</v>
      </c>
      <c r="C4" s="1" t="s">
        <v>454</v>
      </c>
      <c r="D4" t="s">
        <v>372</v>
      </c>
      <c r="E4" t="s">
        <v>373</v>
      </c>
      <c r="F4" t="s">
        <v>374</v>
      </c>
      <c r="G4" s="2">
        <v>50184</v>
      </c>
      <c r="H4" s="2">
        <v>48537</v>
      </c>
      <c r="I4" s="2">
        <v>47578</v>
      </c>
      <c r="J4" s="2">
        <v>47374</v>
      </c>
      <c r="K4" s="2">
        <v>46939</v>
      </c>
      <c r="L4" s="2">
        <v>44355</v>
      </c>
      <c r="M4" s="2">
        <v>43865</v>
      </c>
      <c r="N4" s="2">
        <v>44059</v>
      </c>
      <c r="O4" s="2">
        <v>42893</v>
      </c>
      <c r="P4" s="2">
        <v>42698</v>
      </c>
      <c r="Q4" s="2">
        <v>42064</v>
      </c>
      <c r="R4" s="2">
        <v>40849</v>
      </c>
      <c r="S4" s="2">
        <v>42896</v>
      </c>
      <c r="T4" s="2">
        <v>42498</v>
      </c>
      <c r="U4" s="2">
        <v>41983</v>
      </c>
      <c r="V4" s="2">
        <v>42271</v>
      </c>
      <c r="W4" s="2">
        <v>41191</v>
      </c>
      <c r="X4" s="2">
        <v>43482</v>
      </c>
      <c r="Y4" s="2">
        <v>43006</v>
      </c>
      <c r="Z4" s="2">
        <v>44597</v>
      </c>
      <c r="AA4" s="2">
        <v>46164</v>
      </c>
      <c r="AB4" s="2">
        <v>46246</v>
      </c>
      <c r="AC4" s="2">
        <v>46206</v>
      </c>
      <c r="AD4" s="2">
        <v>46354</v>
      </c>
      <c r="AE4" s="2">
        <v>48743</v>
      </c>
      <c r="AF4" s="2">
        <v>49861</v>
      </c>
      <c r="AG4" s="2">
        <v>50787</v>
      </c>
      <c r="AH4" s="2">
        <v>51496</v>
      </c>
      <c r="AI4" s="2">
        <v>49012</v>
      </c>
      <c r="AJ4" s="2">
        <v>47095</v>
      </c>
      <c r="AK4" s="2">
        <v>46257</v>
      </c>
      <c r="AL4" s="2">
        <v>45597</v>
      </c>
      <c r="AM4" s="2">
        <v>43073</v>
      </c>
      <c r="AN4" s="2">
        <v>44079</v>
      </c>
      <c r="AO4" s="2">
        <v>44442</v>
      </c>
      <c r="AP4" s="2">
        <v>43901</v>
      </c>
      <c r="AQ4" s="2">
        <v>43821</v>
      </c>
      <c r="AR4" s="2">
        <v>45825</v>
      </c>
      <c r="AS4" s="2">
        <v>47163</v>
      </c>
      <c r="AT4" s="2">
        <v>47683</v>
      </c>
      <c r="AU4" s="2">
        <v>49100</v>
      </c>
      <c r="AV4" s="2">
        <v>48513</v>
      </c>
      <c r="AW4" s="2">
        <v>48978</v>
      </c>
      <c r="AX4" s="2">
        <v>51258</v>
      </c>
      <c r="AY4" s="2">
        <v>52357</v>
      </c>
      <c r="AZ4" s="2">
        <v>52558</v>
      </c>
      <c r="BA4" s="2">
        <v>52636</v>
      </c>
      <c r="BB4" s="2">
        <v>53026</v>
      </c>
      <c r="BC4" s="2">
        <v>57010</v>
      </c>
      <c r="BD4" s="2">
        <v>52362</v>
      </c>
      <c r="BE4" s="2">
        <v>52813</v>
      </c>
      <c r="BF4" s="2">
        <v>52603</v>
      </c>
      <c r="BG4" s="2">
        <v>52036</v>
      </c>
      <c r="BH4" s="2">
        <v>50598</v>
      </c>
      <c r="BI4" s="2">
        <v>53431</v>
      </c>
      <c r="BJ4" s="2">
        <v>56019</v>
      </c>
      <c r="BK4" s="2">
        <v>54611</v>
      </c>
      <c r="BL4" s="2">
        <v>57244</v>
      </c>
      <c r="BM4" s="2">
        <v>62518</v>
      </c>
      <c r="BN4" s="2">
        <v>64025</v>
      </c>
      <c r="BO4" s="2">
        <v>67204</v>
      </c>
      <c r="BP4" s="2">
        <v>68999</v>
      </c>
      <c r="BQ4" s="2">
        <v>69601</v>
      </c>
      <c r="BR4" s="2">
        <v>69526</v>
      </c>
      <c r="BS4" s="2">
        <v>73235</v>
      </c>
      <c r="BT4" s="2">
        <v>71794</v>
      </c>
      <c r="BU4" s="2">
        <v>72584</v>
      </c>
      <c r="BV4" s="2">
        <v>71156</v>
      </c>
      <c r="BW4" s="2">
        <v>71617</v>
      </c>
      <c r="BX4" s="2">
        <v>70596</v>
      </c>
      <c r="BY4" s="2">
        <v>69949</v>
      </c>
      <c r="BZ4" s="2">
        <v>69172</v>
      </c>
      <c r="CA4" s="2">
        <v>66021</v>
      </c>
      <c r="CB4" s="2">
        <v>65035</v>
      </c>
      <c r="CC4" s="2">
        <v>63852</v>
      </c>
      <c r="CD4" s="2">
        <v>64085</v>
      </c>
      <c r="CE4" s="2">
        <v>64254</v>
      </c>
      <c r="CF4" s="2">
        <v>63871</v>
      </c>
      <c r="CG4" s="2">
        <v>64122</v>
      </c>
      <c r="CH4" s="2">
        <v>62577</v>
      </c>
      <c r="CI4" s="2">
        <v>64089</v>
      </c>
      <c r="CJ4" s="2">
        <v>63733</v>
      </c>
      <c r="CK4" s="2">
        <v>63810</v>
      </c>
      <c r="CL4" s="2">
        <v>65142</v>
      </c>
      <c r="CM4" s="2">
        <v>65927</v>
      </c>
      <c r="CN4" s="2">
        <v>64605</v>
      </c>
      <c r="CO4" s="2">
        <v>65040</v>
      </c>
      <c r="CP4" s="2">
        <v>65399</v>
      </c>
      <c r="CQ4" s="2">
        <v>64532</v>
      </c>
      <c r="CR4" s="2">
        <v>64647</v>
      </c>
      <c r="CS4" s="2">
        <v>65098</v>
      </c>
      <c r="CT4" s="2">
        <v>65410</v>
      </c>
      <c r="CU4" s="2">
        <v>67091</v>
      </c>
      <c r="CV4" s="2">
        <v>69362</v>
      </c>
      <c r="CW4" s="2">
        <v>68834</v>
      </c>
      <c r="CX4" s="2">
        <v>66518</v>
      </c>
      <c r="CY4" s="2">
        <v>64163</v>
      </c>
      <c r="CZ4" s="2">
        <v>64841</v>
      </c>
      <c r="DA4" s="2">
        <v>68586</v>
      </c>
      <c r="DB4" s="2">
        <v>70207</v>
      </c>
      <c r="DC4" s="2">
        <v>70769</v>
      </c>
      <c r="DD4" s="2">
        <v>70728</v>
      </c>
      <c r="DE4" s="2">
        <v>70125</v>
      </c>
      <c r="DF4" s="2">
        <v>71589</v>
      </c>
      <c r="DG4" s="2">
        <v>71553</v>
      </c>
      <c r="DH4" s="2">
        <v>71631</v>
      </c>
      <c r="DI4" s="2">
        <v>72785</v>
      </c>
      <c r="DJ4" s="2">
        <v>72122</v>
      </c>
      <c r="DK4" s="2">
        <v>75099</v>
      </c>
      <c r="DL4" s="2">
        <v>79401</v>
      </c>
      <c r="DM4" s="2">
        <v>73900</v>
      </c>
      <c r="DN4" s="2">
        <v>76186</v>
      </c>
      <c r="DO4" s="2">
        <v>76262</v>
      </c>
      <c r="DP4" s="2">
        <v>79060</v>
      </c>
      <c r="DQ4" s="2">
        <v>78994</v>
      </c>
      <c r="DR4" s="2">
        <v>76321</v>
      </c>
      <c r="DS4" s="2">
        <v>76228</v>
      </c>
      <c r="DT4" s="2">
        <v>76226</v>
      </c>
      <c r="DU4" s="2">
        <v>80253</v>
      </c>
      <c r="DV4" s="2">
        <v>84228</v>
      </c>
      <c r="DW4" s="2">
        <v>84514</v>
      </c>
      <c r="DX4" s="2">
        <v>79269</v>
      </c>
      <c r="DY4" s="2">
        <v>80422</v>
      </c>
      <c r="DZ4" s="2">
        <v>80600</v>
      </c>
      <c r="EA4" s="2">
        <v>82986</v>
      </c>
      <c r="EB4" s="2">
        <v>82454</v>
      </c>
      <c r="EC4" s="2">
        <v>83913</v>
      </c>
      <c r="ED4" s="2">
        <v>84243</v>
      </c>
      <c r="EE4" s="2">
        <v>85883</v>
      </c>
      <c r="EF4" s="2">
        <v>87907</v>
      </c>
      <c r="EG4" s="2">
        <v>87059</v>
      </c>
      <c r="EH4" s="2">
        <v>86618</v>
      </c>
      <c r="EI4" s="2">
        <v>87611</v>
      </c>
      <c r="EJ4" s="2">
        <v>87987</v>
      </c>
      <c r="EK4" s="2">
        <v>91024</v>
      </c>
      <c r="EL4" s="2">
        <v>90688</v>
      </c>
      <c r="EM4" s="2">
        <v>91825</v>
      </c>
      <c r="EN4" s="2">
        <v>94089</v>
      </c>
      <c r="EO4" s="2">
        <v>90344</v>
      </c>
      <c r="EP4" s="2">
        <v>96774</v>
      </c>
      <c r="EQ4" s="2">
        <v>92244</v>
      </c>
      <c r="ER4" s="2">
        <v>93278</v>
      </c>
      <c r="ES4" s="2">
        <v>88414</v>
      </c>
      <c r="ET4" s="2">
        <v>86953</v>
      </c>
      <c r="EU4" s="2">
        <v>81803</v>
      </c>
      <c r="EV4" s="2">
        <v>78328</v>
      </c>
      <c r="EW4" s="2">
        <v>78858</v>
      </c>
      <c r="EX4" s="2">
        <v>77537</v>
      </c>
      <c r="EY4" s="2">
        <v>81644</v>
      </c>
      <c r="EZ4" s="2">
        <v>80431</v>
      </c>
      <c r="FA4" s="2">
        <v>83557</v>
      </c>
      <c r="FB4" s="2">
        <v>85811</v>
      </c>
      <c r="FC4" s="2">
        <v>82496</v>
      </c>
      <c r="FD4" s="2">
        <v>81610</v>
      </c>
      <c r="FE4" s="2">
        <v>83476</v>
      </c>
      <c r="FF4" s="2">
        <v>84212</v>
      </c>
      <c r="FG4" s="2">
        <v>85491</v>
      </c>
      <c r="FH4" s="2">
        <v>83307</v>
      </c>
      <c r="FI4" s="2">
        <v>82537</v>
      </c>
      <c r="FJ4" s="2">
        <v>85851</v>
      </c>
      <c r="FK4" s="2">
        <v>83337</v>
      </c>
      <c r="FL4" s="2">
        <v>86815</v>
      </c>
      <c r="FM4" s="2">
        <v>88951</v>
      </c>
      <c r="FN4" s="2">
        <v>88938</v>
      </c>
      <c r="FO4" s="2">
        <v>91937</v>
      </c>
      <c r="FP4" s="2">
        <v>91645</v>
      </c>
      <c r="FQ4" s="2">
        <v>93278</v>
      </c>
      <c r="FR4" s="2">
        <v>95670</v>
      </c>
      <c r="FS4" s="2">
        <v>99019</v>
      </c>
      <c r="FT4" s="2">
        <v>99456</v>
      </c>
      <c r="FU4" s="2">
        <v>98717</v>
      </c>
      <c r="FV4" s="2">
        <v>101962</v>
      </c>
      <c r="FW4" s="2">
        <v>103052</v>
      </c>
      <c r="FX4" s="2">
        <v>103914</v>
      </c>
      <c r="FY4" s="2">
        <v>106846</v>
      </c>
      <c r="FZ4" s="2">
        <v>105866</v>
      </c>
      <c r="GA4" s="2">
        <v>107659</v>
      </c>
      <c r="GB4" s="2">
        <v>108992</v>
      </c>
      <c r="GC4" s="2">
        <v>108030</v>
      </c>
      <c r="GD4" s="2">
        <v>109696</v>
      </c>
      <c r="GE4" s="2">
        <v>109097</v>
      </c>
      <c r="GF4" s="2">
        <v>107829</v>
      </c>
      <c r="GG4" s="2">
        <v>107807</v>
      </c>
      <c r="GH4" s="2">
        <v>107662</v>
      </c>
      <c r="GI4" s="2">
        <v>110948</v>
      </c>
      <c r="GJ4" s="2">
        <v>110046</v>
      </c>
      <c r="GK4" s="2">
        <v>110942</v>
      </c>
      <c r="GL4" s="2">
        <v>109685</v>
      </c>
      <c r="GM4" s="2">
        <v>106217</v>
      </c>
      <c r="GN4" s="2">
        <v>86237</v>
      </c>
      <c r="GO4" s="2">
        <v>100076</v>
      </c>
      <c r="GP4" s="2">
        <v>106348</v>
      </c>
      <c r="GQ4" s="2">
        <v>103493</v>
      </c>
      <c r="GR4" s="2">
        <v>108600</v>
      </c>
      <c r="GS4" s="2">
        <v>108182</v>
      </c>
      <c r="GT4" s="2">
        <v>108845</v>
      </c>
      <c r="GU4" s="2">
        <v>113041</v>
      </c>
      <c r="GV4" s="2">
        <v>112982</v>
      </c>
      <c r="GW4" s="2">
        <v>113281</v>
      </c>
      <c r="GX4" s="2">
        <v>111787</v>
      </c>
      <c r="GY4" s="2">
        <v>115027</v>
      </c>
      <c r="GZ4" s="2">
        <v>113332</v>
      </c>
      <c r="HA4" s="2">
        <v>111560</v>
      </c>
      <c r="HB4" s="2">
        <v>112596</v>
      </c>
      <c r="HC4" s="2">
        <v>113453</v>
      </c>
      <c r="HD4" s="2">
        <v>114689</v>
      </c>
      <c r="HE4" s="2">
        <v>115832</v>
      </c>
      <c r="HF4" s="2">
        <v>115115</v>
      </c>
      <c r="HG4" s="3">
        <v>115682.3</v>
      </c>
      <c r="HH4" s="3">
        <v>115766.3</v>
      </c>
      <c r="HI4" s="3">
        <v>115974.2</v>
      </c>
      <c r="HJ4" s="3">
        <v>116190.3</v>
      </c>
      <c r="HK4" s="3">
        <v>116526.8</v>
      </c>
      <c r="HL4" s="3">
        <v>116904</v>
      </c>
      <c r="HM4" s="3">
        <v>117312.4</v>
      </c>
      <c r="HN4" s="3">
        <v>117735.5</v>
      </c>
      <c r="HO4" s="3">
        <v>118139.9</v>
      </c>
      <c r="HP4" s="3">
        <v>118666</v>
      </c>
      <c r="HQ4" s="3">
        <v>119237.5</v>
      </c>
      <c r="HR4" s="3">
        <v>119871.6</v>
      </c>
      <c r="HS4" s="3">
        <v>120507.6</v>
      </c>
      <c r="HT4" s="3">
        <v>121084.3</v>
      </c>
      <c r="HU4" s="3">
        <v>121707</v>
      </c>
      <c r="HV4" s="3">
        <v>122326.5</v>
      </c>
      <c r="HW4" s="3">
        <v>122954.8</v>
      </c>
      <c r="HX4" s="3">
        <v>123547.1</v>
      </c>
      <c r="HY4" s="3">
        <v>124108.4</v>
      </c>
      <c r="HZ4" s="3">
        <v>124641.2</v>
      </c>
      <c r="IA4" s="3">
        <v>125177.2</v>
      </c>
      <c r="IB4" s="3">
        <v>125741.8</v>
      </c>
      <c r="IC4" s="3">
        <v>126351.7</v>
      </c>
      <c r="ID4" s="3">
        <v>127019.8</v>
      </c>
      <c r="IE4" s="3">
        <v>127691.5</v>
      </c>
      <c r="IF4" s="3">
        <v>128366.8</v>
      </c>
      <c r="IG4" s="3">
        <v>129045.8</v>
      </c>
      <c r="IH4" s="3">
        <v>129728.6</v>
      </c>
      <c r="II4" s="3">
        <v>130415</v>
      </c>
      <c r="IJ4" s="3">
        <v>131105.29999999999</v>
      </c>
      <c r="IK4" s="3">
        <v>131799.20000000001</v>
      </c>
      <c r="IL4" s="3">
        <v>132496.1</v>
      </c>
      <c r="IM4" s="3">
        <v>133176.20000000001</v>
      </c>
      <c r="IN4" s="3">
        <v>133838.1</v>
      </c>
      <c r="IO4" s="3">
        <v>134503.5</v>
      </c>
      <c r="IP4" s="3">
        <v>135148.79999999999</v>
      </c>
      <c r="IQ4" s="3">
        <v>135817.5</v>
      </c>
      <c r="IR4" s="3">
        <v>136476.70000000001</v>
      </c>
      <c r="IS4" s="3">
        <v>137137.70000000001</v>
      </c>
      <c r="IT4" s="3">
        <v>137792.5</v>
      </c>
      <c r="IU4" s="3">
        <v>138468.5</v>
      </c>
      <c r="IV4" s="3">
        <v>139148.1</v>
      </c>
      <c r="IW4" s="3">
        <v>139831.20000000001</v>
      </c>
      <c r="IX4" s="3">
        <v>140517.70000000001</v>
      </c>
      <c r="IY4" s="3">
        <v>141219.9</v>
      </c>
      <c r="IZ4" s="3">
        <v>141926.29999999999</v>
      </c>
      <c r="JA4" s="3">
        <v>142636.79999999999</v>
      </c>
      <c r="JB4" s="3">
        <v>143351.5</v>
      </c>
      <c r="JC4" s="3">
        <v>144070.39999999999</v>
      </c>
      <c r="JD4" s="3">
        <v>144793.4</v>
      </c>
      <c r="JE4" s="3">
        <v>145520.70000000001</v>
      </c>
      <c r="JF4" s="3">
        <v>146252.20000000001</v>
      </c>
      <c r="JG4" s="3">
        <v>147000.1</v>
      </c>
      <c r="JH4" s="3">
        <v>147752.6</v>
      </c>
      <c r="JI4" s="3">
        <v>148509.6</v>
      </c>
      <c r="JJ4" s="3">
        <v>149271.29999999999</v>
      </c>
      <c r="JK4" s="3">
        <v>150037.6</v>
      </c>
      <c r="JL4" s="3">
        <v>150808.6</v>
      </c>
      <c r="JM4" s="3">
        <v>151584.20000000001</v>
      </c>
      <c r="JN4" s="3">
        <v>152364.6</v>
      </c>
      <c r="JO4" s="3">
        <v>153132.5</v>
      </c>
      <c r="JP4" s="3">
        <v>153904.79999999999</v>
      </c>
      <c r="JQ4" s="3">
        <v>154681.4</v>
      </c>
      <c r="JR4" s="3">
        <v>155462.39999999999</v>
      </c>
      <c r="JS4" s="3">
        <v>156261.5</v>
      </c>
      <c r="JT4" s="3">
        <v>157065.20000000001</v>
      </c>
      <c r="JU4" s="3">
        <v>157875.20000000001</v>
      </c>
      <c r="JV4" s="3">
        <v>158689.9</v>
      </c>
      <c r="JW4" s="3">
        <v>159509.29999999999</v>
      </c>
      <c r="JX4" s="3">
        <v>160333.4</v>
      </c>
      <c r="JY4" s="3">
        <v>161148.79999999999</v>
      </c>
      <c r="JZ4" s="3">
        <v>161968.6</v>
      </c>
      <c r="KA4" s="3">
        <v>162792.9</v>
      </c>
      <c r="KB4" s="3">
        <v>163621.70000000001</v>
      </c>
      <c r="KC4" s="3">
        <v>164438.39999999999</v>
      </c>
      <c r="KD4" s="3">
        <v>165259.29999999999</v>
      </c>
      <c r="KE4" s="3">
        <v>166084.29999999999</v>
      </c>
      <c r="KF4" s="3">
        <v>166913.4</v>
      </c>
      <c r="KG4" s="3">
        <v>167716</v>
      </c>
      <c r="KH4" s="3">
        <v>168522.2</v>
      </c>
      <c r="KI4" s="3">
        <v>169331.9</v>
      </c>
      <c r="KJ4" s="3">
        <v>170145.3</v>
      </c>
      <c r="KK4" s="3">
        <v>170947.8</v>
      </c>
      <c r="KL4" s="3">
        <v>171753.7</v>
      </c>
      <c r="KM4" s="3">
        <v>172562.9</v>
      </c>
      <c r="KN4" s="3">
        <v>173375.6</v>
      </c>
      <c r="KO4" s="3">
        <v>174191</v>
      </c>
      <c r="KP4" s="3">
        <v>175009.7</v>
      </c>
      <c r="KQ4" s="3">
        <v>175831.9</v>
      </c>
      <c r="KR4" s="3">
        <v>176657.6</v>
      </c>
      <c r="KS4" s="3">
        <v>177476.2</v>
      </c>
      <c r="KT4" s="3">
        <v>178298.1</v>
      </c>
      <c r="KU4" s="3">
        <v>179123.4</v>
      </c>
      <c r="KV4" s="3">
        <v>179951.9</v>
      </c>
      <c r="KW4" s="3">
        <v>180779.3</v>
      </c>
      <c r="KX4" s="3">
        <v>181609.9</v>
      </c>
      <c r="KY4" s="3">
        <v>182443.9</v>
      </c>
      <c r="KZ4" s="3">
        <v>183281.1</v>
      </c>
      <c r="LA4" s="3">
        <v>184107.1</v>
      </c>
      <c r="LB4" s="3">
        <v>184936.2</v>
      </c>
      <c r="LC4" s="3">
        <v>185747</v>
      </c>
      <c r="LD4" s="3">
        <v>186560.2</v>
      </c>
      <c r="LE4" s="3">
        <v>187371.4</v>
      </c>
      <c r="LF4" s="3">
        <v>188185.2</v>
      </c>
      <c r="LG4" s="3">
        <v>189001.5</v>
      </c>
      <c r="LH4" s="3">
        <v>189820.7</v>
      </c>
      <c r="LI4" s="3">
        <v>190635</v>
      </c>
      <c r="LJ4" s="3">
        <v>191451.9</v>
      </c>
      <c r="LK4" s="3">
        <v>192271.5</v>
      </c>
      <c r="LL4" s="3">
        <v>193093.7</v>
      </c>
      <c r="LM4" s="3">
        <v>193903.3</v>
      </c>
      <c r="LN4" s="3">
        <v>194715.2</v>
      </c>
      <c r="LO4" s="3">
        <v>195529.4</v>
      </c>
      <c r="LP4" s="3">
        <v>196345.9</v>
      </c>
      <c r="LQ4" s="3">
        <v>197164.4</v>
      </c>
      <c r="LR4" s="3">
        <v>197985.4</v>
      </c>
      <c r="LS4" s="3">
        <v>198808.8</v>
      </c>
      <c r="LT4" s="3">
        <v>199634.5</v>
      </c>
      <c r="LU4" s="3">
        <v>200455.9</v>
      </c>
      <c r="LV4" s="3">
        <v>201279.5</v>
      </c>
      <c r="LW4" s="3">
        <v>202105.4</v>
      </c>
      <c r="LX4" s="3">
        <v>202933.6</v>
      </c>
      <c r="LY4" s="3">
        <v>203757.6</v>
      </c>
      <c r="LZ4" s="3">
        <v>204583.8</v>
      </c>
      <c r="MA4" s="3">
        <v>205412</v>
      </c>
      <c r="MB4" s="3">
        <v>206242.5</v>
      </c>
      <c r="MC4" s="3">
        <v>207075</v>
      </c>
      <c r="MD4" s="3">
        <v>207909.6</v>
      </c>
      <c r="ME4" s="3">
        <v>208746.4</v>
      </c>
      <c r="MF4" s="3">
        <v>209585.5</v>
      </c>
      <c r="MG4" s="3">
        <v>210431.8</v>
      </c>
      <c r="MH4" s="3">
        <v>211280.5</v>
      </c>
      <c r="MI4" s="3">
        <v>212131.7</v>
      </c>
      <c r="MJ4" s="3">
        <v>212985.2</v>
      </c>
      <c r="MK4" s="3">
        <v>213836.79999999999</v>
      </c>
      <c r="ML4" s="3">
        <v>214690.8</v>
      </c>
      <c r="MM4" s="3">
        <v>215547.1</v>
      </c>
      <c r="MN4" s="3">
        <v>216405.8</v>
      </c>
      <c r="MO4" s="3">
        <v>217271.5</v>
      </c>
      <c r="MP4" s="3">
        <v>218139.8</v>
      </c>
      <c r="MQ4" s="3">
        <v>219010.5</v>
      </c>
      <c r="MR4" s="3">
        <v>219883.8</v>
      </c>
      <c r="MS4" s="3">
        <v>220759.5</v>
      </c>
      <c r="MT4" s="3">
        <v>221637.9</v>
      </c>
      <c r="MU4" t="s">
        <v>375</v>
      </c>
      <c r="MV4" t="b">
        <v>1</v>
      </c>
      <c r="MW4" s="1" t="s">
        <v>376</v>
      </c>
      <c r="MX4" t="s">
        <v>377</v>
      </c>
      <c r="MY4">
        <v>2024</v>
      </c>
      <c r="MZ4">
        <v>4</v>
      </c>
      <c r="NA4" t="s">
        <v>377</v>
      </c>
      <c r="NB4" t="s">
        <v>448</v>
      </c>
      <c r="NC4" s="1" t="s">
        <v>449</v>
      </c>
      <c r="ND4" t="s">
        <v>380</v>
      </c>
      <c r="NE4" t="s">
        <v>450</v>
      </c>
      <c r="NF4" s="1" t="s">
        <v>455</v>
      </c>
    </row>
    <row r="5" spans="1:370" x14ac:dyDescent="0.25">
      <c r="A5" t="s">
        <v>382</v>
      </c>
      <c r="B5" t="s">
        <v>447</v>
      </c>
      <c r="C5" s="1" t="s">
        <v>454</v>
      </c>
      <c r="D5" t="s">
        <v>383</v>
      </c>
      <c r="E5" t="s">
        <v>384</v>
      </c>
      <c r="F5" t="s">
        <v>374</v>
      </c>
      <c r="G5" s="2">
        <v>261.82499999999999</v>
      </c>
      <c r="H5" s="2">
        <v>261.82499999999999</v>
      </c>
      <c r="I5" s="2">
        <v>259.47500000000002</v>
      </c>
      <c r="J5" s="2">
        <v>257.89999999999998</v>
      </c>
      <c r="K5" s="2">
        <v>255.72499999999999</v>
      </c>
      <c r="L5" s="2">
        <v>254.85</v>
      </c>
      <c r="M5" s="2">
        <v>250.55</v>
      </c>
      <c r="N5" s="2">
        <v>239.4</v>
      </c>
      <c r="O5" s="2">
        <v>230.27500000000001</v>
      </c>
      <c r="P5" s="2">
        <v>225.05</v>
      </c>
      <c r="Q5" s="2">
        <v>233.25</v>
      </c>
      <c r="R5" s="2">
        <v>239</v>
      </c>
      <c r="S5" s="2">
        <v>247.67500000000001</v>
      </c>
      <c r="T5" s="2">
        <v>247.7</v>
      </c>
      <c r="U5" s="2">
        <v>249.32499999999999</v>
      </c>
      <c r="V5" s="2">
        <v>257.45</v>
      </c>
      <c r="W5" s="2">
        <v>265.64999999999998</v>
      </c>
      <c r="X5" s="2">
        <v>277.64999999999998</v>
      </c>
      <c r="Y5" s="2">
        <v>279.625</v>
      </c>
      <c r="Z5" s="2">
        <v>282.64999999999998</v>
      </c>
      <c r="AA5" s="2">
        <v>284.05</v>
      </c>
      <c r="AB5" s="2">
        <v>305.2</v>
      </c>
      <c r="AC5" s="2">
        <v>313.5</v>
      </c>
      <c r="AD5" s="2">
        <v>320.55</v>
      </c>
      <c r="AE5" s="2">
        <v>319.42500000000001</v>
      </c>
      <c r="AF5" s="2">
        <v>320.39999999999998</v>
      </c>
      <c r="AG5" s="2">
        <v>327.8</v>
      </c>
      <c r="AH5" s="2">
        <v>325.35000000000002</v>
      </c>
      <c r="AI5" s="2">
        <v>324.02499999999998</v>
      </c>
      <c r="AJ5" s="2">
        <v>300.47500000000002</v>
      </c>
      <c r="AK5" s="2">
        <v>301.72500000000002</v>
      </c>
      <c r="AL5" s="2">
        <v>311.2</v>
      </c>
      <c r="AM5" s="2">
        <v>315.47500000000002</v>
      </c>
      <c r="AN5" s="2">
        <v>315.55</v>
      </c>
      <c r="AO5" s="2">
        <v>314.57499999999999</v>
      </c>
      <c r="AP5" s="2">
        <v>315.39999999999998</v>
      </c>
      <c r="AQ5" s="2">
        <v>307</v>
      </c>
      <c r="AR5" s="2">
        <v>300.22500000000002</v>
      </c>
      <c r="AS5" s="2">
        <v>294.60000000000002</v>
      </c>
      <c r="AT5" s="2">
        <v>296.57499999999999</v>
      </c>
      <c r="AU5" s="2">
        <v>302.10000000000002</v>
      </c>
      <c r="AV5" s="2">
        <v>311.67500000000001</v>
      </c>
      <c r="AW5" s="2">
        <v>327.82499999999999</v>
      </c>
      <c r="AX5" s="2">
        <v>343.57499999999999</v>
      </c>
      <c r="AY5" s="2">
        <v>353.9</v>
      </c>
      <c r="AZ5" s="2">
        <v>366.82499999999999</v>
      </c>
      <c r="BA5" s="2">
        <v>373.85</v>
      </c>
      <c r="BB5" s="2">
        <v>383.55</v>
      </c>
      <c r="BC5" s="2">
        <v>387.22500000000002</v>
      </c>
      <c r="BD5" s="2">
        <v>395.22500000000002</v>
      </c>
      <c r="BE5" s="2">
        <v>396.55</v>
      </c>
      <c r="BF5" s="2">
        <v>402.6</v>
      </c>
      <c r="BG5" s="2">
        <v>404.6</v>
      </c>
      <c r="BH5" s="2">
        <v>406.67500000000001</v>
      </c>
      <c r="BI5" s="2">
        <v>409.3</v>
      </c>
      <c r="BJ5" s="2">
        <v>410.75</v>
      </c>
      <c r="BK5" s="2">
        <v>406.6</v>
      </c>
      <c r="BL5" s="2">
        <v>413.25</v>
      </c>
      <c r="BM5" s="2">
        <v>420.05</v>
      </c>
      <c r="BN5" s="2">
        <v>420.25</v>
      </c>
      <c r="BO5" s="2">
        <v>417.3</v>
      </c>
      <c r="BP5" s="2">
        <v>424.7</v>
      </c>
      <c r="BQ5" s="2">
        <v>425.75</v>
      </c>
      <c r="BR5" s="2">
        <v>430.82499999999999</v>
      </c>
      <c r="BS5" s="2">
        <v>433.47500000000002</v>
      </c>
      <c r="BT5" s="2">
        <v>434.47500000000002</v>
      </c>
      <c r="BU5" s="2">
        <v>442.42500000000001</v>
      </c>
      <c r="BV5" s="2">
        <v>437.97500000000002</v>
      </c>
      <c r="BW5" s="2">
        <v>445.17500000000001</v>
      </c>
      <c r="BX5" s="2">
        <v>438.07499999999999</v>
      </c>
      <c r="BY5" s="2">
        <v>435.65</v>
      </c>
      <c r="BZ5" s="2">
        <v>427.55</v>
      </c>
      <c r="CA5" s="2">
        <v>416.82499999999999</v>
      </c>
      <c r="CB5" s="2">
        <v>419.22500000000002</v>
      </c>
      <c r="CC5" s="2">
        <v>419.2</v>
      </c>
      <c r="CD5" s="2">
        <v>419.52499999999998</v>
      </c>
      <c r="CE5" s="2">
        <v>425.35</v>
      </c>
      <c r="CF5" s="2">
        <v>434.67500000000001</v>
      </c>
      <c r="CG5" s="2">
        <v>437.15</v>
      </c>
      <c r="CH5" s="2">
        <v>446.2</v>
      </c>
      <c r="CI5" s="2">
        <v>446.42500000000001</v>
      </c>
      <c r="CJ5" s="2">
        <v>453.875</v>
      </c>
      <c r="CK5" s="2">
        <v>458.27499999999998</v>
      </c>
      <c r="CL5" s="2">
        <v>473.65</v>
      </c>
      <c r="CM5" s="2">
        <v>473.92500000000001</v>
      </c>
      <c r="CN5" s="2">
        <v>483.05</v>
      </c>
      <c r="CO5" s="2">
        <v>489.5</v>
      </c>
      <c r="CP5" s="2">
        <v>497.625</v>
      </c>
      <c r="CQ5" s="2">
        <v>507.15</v>
      </c>
      <c r="CR5" s="2">
        <v>507.22500000000002</v>
      </c>
      <c r="CS5" s="2">
        <v>511.3</v>
      </c>
      <c r="CT5" s="2">
        <v>518.65</v>
      </c>
      <c r="CU5" s="2">
        <v>531.92499999999995</v>
      </c>
      <c r="CV5" s="2">
        <v>546.32500000000005</v>
      </c>
      <c r="CW5" s="2">
        <v>557.20000000000005</v>
      </c>
      <c r="CX5" s="2">
        <v>565.32500000000005</v>
      </c>
      <c r="CY5" s="2">
        <v>571.9</v>
      </c>
      <c r="CZ5" s="2">
        <v>581.72500000000002</v>
      </c>
      <c r="DA5" s="2">
        <v>600.9</v>
      </c>
      <c r="DB5" s="2">
        <v>604.27499999999998</v>
      </c>
      <c r="DC5" s="2">
        <v>619.02499999999998</v>
      </c>
      <c r="DD5" s="2">
        <v>639.42499999999995</v>
      </c>
      <c r="DE5" s="2">
        <v>653.35</v>
      </c>
      <c r="DF5" s="2">
        <v>666.22500000000002</v>
      </c>
      <c r="DG5" s="2">
        <v>677.875</v>
      </c>
      <c r="DH5" s="2">
        <v>692.35</v>
      </c>
      <c r="DI5" s="2">
        <v>707.92499999999995</v>
      </c>
      <c r="DJ5" s="2">
        <v>714.5</v>
      </c>
      <c r="DK5" s="2">
        <v>732.2</v>
      </c>
      <c r="DL5" s="2">
        <v>743.65</v>
      </c>
      <c r="DM5" s="2">
        <v>745.77499999999998</v>
      </c>
      <c r="DN5" s="2">
        <v>749.6</v>
      </c>
      <c r="DO5" s="2">
        <v>747.72500000000002</v>
      </c>
      <c r="DP5" s="2">
        <v>745.82500000000005</v>
      </c>
      <c r="DQ5" s="2">
        <v>736.47500000000002</v>
      </c>
      <c r="DR5" s="2">
        <v>728.72500000000002</v>
      </c>
      <c r="DS5" s="2">
        <v>726.42499999999995</v>
      </c>
      <c r="DT5" s="2">
        <v>726.55</v>
      </c>
      <c r="DU5" s="2">
        <v>727.97500000000002</v>
      </c>
      <c r="DV5" s="2">
        <v>727.57500000000005</v>
      </c>
      <c r="DW5" s="2">
        <v>732.9</v>
      </c>
      <c r="DX5" s="2">
        <v>747.2</v>
      </c>
      <c r="DY5" s="2">
        <v>769.82500000000005</v>
      </c>
      <c r="DZ5" s="2">
        <v>781.8</v>
      </c>
      <c r="EA5" s="2">
        <v>779.875</v>
      </c>
      <c r="EB5" s="2">
        <v>798.2</v>
      </c>
      <c r="EC5" s="2">
        <v>811.75</v>
      </c>
      <c r="ED5" s="2">
        <v>823.6</v>
      </c>
      <c r="EE5" s="2">
        <v>835.72500000000002</v>
      </c>
      <c r="EF5" s="2">
        <v>848.125</v>
      </c>
      <c r="EG5" s="2">
        <v>860.375</v>
      </c>
      <c r="EH5" s="2">
        <v>863.95</v>
      </c>
      <c r="EI5" s="2">
        <v>881.05</v>
      </c>
      <c r="EJ5" s="2">
        <v>878.45</v>
      </c>
      <c r="EK5" s="2">
        <v>871.875</v>
      </c>
      <c r="EL5" s="2">
        <v>867.9</v>
      </c>
      <c r="EM5" s="2">
        <v>867.92499999999995</v>
      </c>
      <c r="EN5" s="2">
        <v>874.27499999999998</v>
      </c>
      <c r="EO5" s="2">
        <v>870.6</v>
      </c>
      <c r="EP5" s="2">
        <v>865.72500000000002</v>
      </c>
      <c r="EQ5" s="2">
        <v>854.35</v>
      </c>
      <c r="ER5" s="2">
        <v>851.77499999999998</v>
      </c>
      <c r="ES5" s="2">
        <v>835.5</v>
      </c>
      <c r="ET5" s="2">
        <v>790.6</v>
      </c>
      <c r="EU5" s="2">
        <v>740.52499999999998</v>
      </c>
      <c r="EV5" s="2">
        <v>722.625</v>
      </c>
      <c r="EW5" s="2">
        <v>725.3</v>
      </c>
      <c r="EX5" s="2">
        <v>726.52499999999998</v>
      </c>
      <c r="EY5" s="2">
        <v>723.92499999999995</v>
      </c>
      <c r="EZ5" s="2">
        <v>747.2</v>
      </c>
      <c r="FA5" s="2">
        <v>750.1</v>
      </c>
      <c r="FB5" s="2">
        <v>759.52499999999998</v>
      </c>
      <c r="FC5" s="2">
        <v>755.2</v>
      </c>
      <c r="FD5" s="2">
        <v>766.97500000000002</v>
      </c>
      <c r="FE5" s="2">
        <v>790.55</v>
      </c>
      <c r="FF5" s="2">
        <v>805.97500000000002</v>
      </c>
      <c r="FG5" s="2">
        <v>822.52499999999998</v>
      </c>
      <c r="FH5" s="2">
        <v>835.05</v>
      </c>
      <c r="FI5" s="2">
        <v>833.42499999999995</v>
      </c>
      <c r="FJ5" s="2">
        <v>843.22500000000002</v>
      </c>
      <c r="FK5" s="2">
        <v>853.17499999999995</v>
      </c>
      <c r="FL5" s="2">
        <v>859.875</v>
      </c>
      <c r="FM5" s="2">
        <v>873.35</v>
      </c>
      <c r="FN5" s="2">
        <v>883.8</v>
      </c>
      <c r="FO5" s="2">
        <v>888.77499999999998</v>
      </c>
      <c r="FP5" s="2">
        <v>913.77499999999998</v>
      </c>
      <c r="FQ5" s="2">
        <v>929.875</v>
      </c>
      <c r="FR5" s="2">
        <v>942.22500000000002</v>
      </c>
      <c r="FS5" s="2">
        <v>944.4</v>
      </c>
      <c r="FT5" s="2">
        <v>957.65</v>
      </c>
      <c r="FU5" s="2">
        <v>967.6</v>
      </c>
      <c r="FV5" s="2">
        <v>966.7</v>
      </c>
      <c r="FW5" s="2">
        <v>976.8</v>
      </c>
      <c r="FX5" s="2">
        <v>981.25</v>
      </c>
      <c r="FY5" s="2">
        <v>990.25</v>
      </c>
      <c r="FZ5" s="2">
        <v>999.42499999999995</v>
      </c>
      <c r="GA5" s="2">
        <v>1011.275</v>
      </c>
      <c r="GB5" s="2">
        <v>1021.875</v>
      </c>
      <c r="GC5" s="2">
        <v>1029.45</v>
      </c>
      <c r="GD5" s="2">
        <v>1053.825</v>
      </c>
      <c r="GE5" s="2">
        <v>1069.6500000000001</v>
      </c>
      <c r="GF5" s="2">
        <v>1081.925</v>
      </c>
      <c r="GG5" s="2">
        <v>1085.625</v>
      </c>
      <c r="GH5" s="2">
        <v>1086.075</v>
      </c>
      <c r="GI5" s="2">
        <v>1094.175</v>
      </c>
      <c r="GJ5" s="2">
        <v>1110.825</v>
      </c>
      <c r="GK5" s="2">
        <v>1123.5</v>
      </c>
      <c r="GL5" s="2">
        <v>1121.3499999999999</v>
      </c>
      <c r="GM5" s="2">
        <v>1119.5</v>
      </c>
      <c r="GN5" s="2">
        <v>1049.2750000000001</v>
      </c>
      <c r="GO5" s="2">
        <v>1104.2249999999999</v>
      </c>
      <c r="GP5" s="2">
        <v>1140.575</v>
      </c>
      <c r="GQ5" s="2">
        <v>1158.05</v>
      </c>
      <c r="GR5" s="2">
        <v>1167.8499999999999</v>
      </c>
      <c r="GS5" s="2">
        <v>1160.7249999999999</v>
      </c>
      <c r="GT5" s="2">
        <v>1166.7750000000001</v>
      </c>
      <c r="GU5" s="2">
        <v>1186.1500000000001</v>
      </c>
      <c r="GV5" s="2">
        <v>1190.5</v>
      </c>
      <c r="GW5" s="2">
        <v>1185.375</v>
      </c>
      <c r="GX5" s="2">
        <v>1185.75</v>
      </c>
      <c r="GY5" s="2">
        <v>1195.875</v>
      </c>
      <c r="GZ5" s="2">
        <v>1222.3499999999999</v>
      </c>
      <c r="HA5" s="2">
        <v>1233.55</v>
      </c>
      <c r="HB5" s="2">
        <v>1249.1500000000001</v>
      </c>
      <c r="HC5" s="2">
        <v>1266.2750000000001</v>
      </c>
      <c r="HD5" s="2">
        <v>1275.7249999999999</v>
      </c>
      <c r="HE5" s="2">
        <v>1285.0250000000001</v>
      </c>
      <c r="HF5" s="2">
        <v>1284.05</v>
      </c>
      <c r="HG5" s="3">
        <v>1298.827</v>
      </c>
      <c r="HH5" s="3">
        <v>1283.5999999999999</v>
      </c>
      <c r="HI5" s="3">
        <v>1280.771</v>
      </c>
      <c r="HJ5" s="3">
        <v>1285.3440000000001</v>
      </c>
      <c r="HK5" s="3">
        <v>1293.665</v>
      </c>
      <c r="HL5" s="3">
        <v>1304.078</v>
      </c>
      <c r="HM5" s="3">
        <v>1315.432</v>
      </c>
      <c r="HN5" s="3">
        <v>1327.8869999999999</v>
      </c>
      <c r="HO5" s="3">
        <v>1342.057</v>
      </c>
      <c r="HP5" s="3">
        <v>1358.0440000000001</v>
      </c>
      <c r="HQ5" s="3">
        <v>1375.992</v>
      </c>
      <c r="HR5" s="3">
        <v>1393.5509999999999</v>
      </c>
      <c r="HS5" s="3">
        <v>1410.932</v>
      </c>
      <c r="HT5" s="3">
        <v>1427.973</v>
      </c>
      <c r="HU5" s="3">
        <v>1444.5070000000001</v>
      </c>
      <c r="HV5" s="3">
        <v>1460.645</v>
      </c>
      <c r="HW5" s="3">
        <v>1476.133</v>
      </c>
      <c r="HX5" s="3">
        <v>1490.9269999999999</v>
      </c>
      <c r="HY5" s="3">
        <v>1504.41</v>
      </c>
      <c r="HZ5" s="3">
        <v>1517.1610000000001</v>
      </c>
      <c r="IA5" s="3">
        <v>1529.127</v>
      </c>
      <c r="IB5" s="3">
        <v>1540.6020000000001</v>
      </c>
      <c r="IC5" s="3">
        <v>1551.6959999999999</v>
      </c>
      <c r="ID5" s="3">
        <v>1562.2270000000001</v>
      </c>
      <c r="IE5" s="3">
        <v>1572.4480000000001</v>
      </c>
      <c r="IF5" s="3">
        <v>1582.412</v>
      </c>
      <c r="IG5" s="3">
        <v>1592.289</v>
      </c>
      <c r="IH5" s="3">
        <v>1602.11</v>
      </c>
      <c r="II5" s="3">
        <v>1611.8779999999999</v>
      </c>
      <c r="IJ5" s="3">
        <v>1621.547</v>
      </c>
      <c r="IK5" s="3">
        <v>1631.203</v>
      </c>
      <c r="IL5" s="3">
        <v>1640.857</v>
      </c>
      <c r="IM5" s="3">
        <v>1650.491</v>
      </c>
      <c r="IN5" s="3">
        <v>1660.1010000000001</v>
      </c>
      <c r="IO5" s="3">
        <v>1669.741</v>
      </c>
      <c r="IP5" s="3">
        <v>1679.4090000000001</v>
      </c>
      <c r="IQ5" s="3">
        <v>1689.106</v>
      </c>
      <c r="IR5" s="3">
        <v>1698.8040000000001</v>
      </c>
      <c r="IS5" s="3">
        <v>1708.4760000000001</v>
      </c>
      <c r="IT5" s="3">
        <v>1718.1189999999999</v>
      </c>
      <c r="IU5" s="3">
        <v>1727.749</v>
      </c>
      <c r="IV5" s="3">
        <v>1737.39</v>
      </c>
      <c r="IW5" s="3">
        <v>1747.0450000000001</v>
      </c>
      <c r="IX5" s="3">
        <v>1756.712</v>
      </c>
      <c r="IY5" s="3">
        <v>1766.338</v>
      </c>
      <c r="IZ5" s="3">
        <v>1776.0119999999999</v>
      </c>
      <c r="JA5" s="3">
        <v>1785.6880000000001</v>
      </c>
      <c r="JB5" s="3">
        <v>1795.405</v>
      </c>
      <c r="JC5" s="3">
        <v>1805.1279999999999</v>
      </c>
      <c r="JD5" s="3">
        <v>1814.874</v>
      </c>
      <c r="JE5" s="3">
        <v>1824.7090000000001</v>
      </c>
      <c r="JF5" s="3">
        <v>1834.4939999999999</v>
      </c>
      <c r="JG5" s="3">
        <v>1844.329</v>
      </c>
      <c r="JH5" s="3">
        <v>1854.1690000000001</v>
      </c>
      <c r="JI5" s="3">
        <v>1864.0809999999999</v>
      </c>
      <c r="JJ5" s="3">
        <v>1874.0119999999999</v>
      </c>
      <c r="JK5" s="3">
        <v>1883.9870000000001</v>
      </c>
      <c r="JL5" s="3">
        <v>1894.001</v>
      </c>
      <c r="JM5" s="3">
        <v>1903.97</v>
      </c>
      <c r="JN5" s="3">
        <v>1914.0519999999999</v>
      </c>
      <c r="JO5" s="3">
        <v>1924.1469999999999</v>
      </c>
      <c r="JP5" s="3">
        <v>1934.251</v>
      </c>
      <c r="JQ5" s="3">
        <v>1944.3889999999999</v>
      </c>
      <c r="JR5" s="3">
        <v>1954.5719999999999</v>
      </c>
      <c r="JS5" s="3">
        <v>1964.7919999999999</v>
      </c>
      <c r="JT5" s="3">
        <v>1975.04</v>
      </c>
      <c r="JU5" s="3">
        <v>1985.338</v>
      </c>
      <c r="JV5" s="3">
        <v>1995.6669999999999</v>
      </c>
      <c r="JW5" s="3">
        <v>2006.0260000000001</v>
      </c>
      <c r="JX5" s="3">
        <v>2016.4280000000001</v>
      </c>
      <c r="JY5" s="3">
        <v>2026.854</v>
      </c>
      <c r="JZ5" s="3">
        <v>2037.318</v>
      </c>
      <c r="KA5" s="3">
        <v>2047.86</v>
      </c>
      <c r="KB5" s="3">
        <v>2058.4490000000001</v>
      </c>
      <c r="KC5" s="3">
        <v>2069.0430000000001</v>
      </c>
      <c r="KD5" s="3">
        <v>2079.712</v>
      </c>
      <c r="KE5" s="3">
        <v>2090.4169999999999</v>
      </c>
      <c r="KF5" s="3">
        <v>2101.1410000000001</v>
      </c>
      <c r="KG5" s="3">
        <v>2111.902</v>
      </c>
      <c r="KH5" s="3">
        <v>2122.7240000000002</v>
      </c>
      <c r="KI5" s="3">
        <v>2133.5369999999998</v>
      </c>
      <c r="KJ5" s="3">
        <v>2144.41</v>
      </c>
      <c r="KK5" s="3">
        <v>2155.2869999999998</v>
      </c>
      <c r="KL5" s="3">
        <v>2166.2260000000001</v>
      </c>
      <c r="KM5" s="3">
        <v>2177.2089999999998</v>
      </c>
      <c r="KN5" s="3">
        <v>2188.203</v>
      </c>
      <c r="KO5" s="3">
        <v>2199.2359999999999</v>
      </c>
      <c r="KP5" s="3">
        <v>2210.3440000000001</v>
      </c>
      <c r="KQ5" s="3">
        <v>2221.4569999999999</v>
      </c>
      <c r="KR5" s="3">
        <v>2232.5970000000002</v>
      </c>
      <c r="KS5" s="3">
        <v>2243.79</v>
      </c>
      <c r="KT5" s="3">
        <v>2255.0079999999998</v>
      </c>
      <c r="KU5" s="3">
        <v>2266.2570000000001</v>
      </c>
      <c r="KV5" s="3">
        <v>2277.5949999999998</v>
      </c>
      <c r="KW5" s="3">
        <v>2288.8829999999998</v>
      </c>
      <c r="KX5" s="3">
        <v>2300.3009999999999</v>
      </c>
      <c r="KY5" s="3">
        <v>2311.7190000000001</v>
      </c>
      <c r="KZ5" s="3">
        <v>2323.1010000000001</v>
      </c>
      <c r="LA5" s="3">
        <v>2334.5880000000002</v>
      </c>
      <c r="LB5" s="3">
        <v>2346.0720000000001</v>
      </c>
      <c r="LC5" s="3">
        <v>2357.665</v>
      </c>
      <c r="LD5" s="3">
        <v>2369.25</v>
      </c>
      <c r="LE5" s="3">
        <v>2380.8449999999998</v>
      </c>
      <c r="LF5" s="3">
        <v>2392.5309999999999</v>
      </c>
      <c r="LG5" s="3">
        <v>2404.239</v>
      </c>
      <c r="LH5" s="3">
        <v>2416.0059999999999</v>
      </c>
      <c r="LI5" s="3">
        <v>2427.8240000000001</v>
      </c>
      <c r="LJ5" s="3">
        <v>2439.6819999999998</v>
      </c>
      <c r="LK5" s="3">
        <v>2451.6129999999998</v>
      </c>
      <c r="LL5" s="3">
        <v>2463.5790000000002</v>
      </c>
      <c r="LM5" s="3">
        <v>2475.5990000000002</v>
      </c>
      <c r="LN5" s="3">
        <v>2487.6680000000001</v>
      </c>
      <c r="LO5" s="3">
        <v>2499.7890000000002</v>
      </c>
      <c r="LP5" s="3">
        <v>2511.9569999999999</v>
      </c>
      <c r="LQ5" s="3">
        <v>2524.19</v>
      </c>
      <c r="LR5" s="3">
        <v>2536.4789999999998</v>
      </c>
      <c r="LS5" s="3">
        <v>2548.8029999999999</v>
      </c>
      <c r="LT5" s="3">
        <v>2561.1669999999999</v>
      </c>
      <c r="LU5" s="3">
        <v>2573.6060000000002</v>
      </c>
      <c r="LV5" s="3">
        <v>2586.0940000000001</v>
      </c>
      <c r="LW5" s="3">
        <v>2598.63</v>
      </c>
      <c r="LX5" s="3">
        <v>2611.2269999999999</v>
      </c>
      <c r="LY5" s="3">
        <v>2623.8829999999998</v>
      </c>
      <c r="LZ5" s="3">
        <v>2636.5529999999999</v>
      </c>
      <c r="MA5" s="3">
        <v>2649.3209999999999</v>
      </c>
      <c r="MB5" s="3">
        <v>2662.1060000000002</v>
      </c>
      <c r="MC5" s="3">
        <v>2674.9760000000001</v>
      </c>
      <c r="MD5" s="3">
        <v>2687.9029999999998</v>
      </c>
      <c r="ME5" s="3">
        <v>2700.8580000000002</v>
      </c>
      <c r="MF5" s="3">
        <v>2713.8789999999999</v>
      </c>
      <c r="MG5" s="3">
        <v>2726.9789999999998</v>
      </c>
      <c r="MH5" s="3">
        <v>2740.125</v>
      </c>
      <c r="MI5" s="3">
        <v>2753.3420000000001</v>
      </c>
      <c r="MJ5" s="3">
        <v>2766.5920000000001</v>
      </c>
      <c r="MK5" s="3">
        <v>2779.9279999999999</v>
      </c>
      <c r="ML5" s="3">
        <v>2793.3</v>
      </c>
      <c r="MM5" s="3">
        <v>2806.7559999999999</v>
      </c>
      <c r="MN5" s="3">
        <v>2820.2510000000002</v>
      </c>
      <c r="MO5" s="3">
        <v>2833.797</v>
      </c>
      <c r="MP5" s="3">
        <v>2847.4360000000001</v>
      </c>
      <c r="MQ5" s="3">
        <v>2861.1060000000002</v>
      </c>
      <c r="MR5" s="3">
        <v>2874.8429999999998</v>
      </c>
      <c r="MS5" s="3">
        <v>2888.6439999999998</v>
      </c>
      <c r="MT5" s="3">
        <v>2902.4859999999999</v>
      </c>
      <c r="MU5" t="s">
        <v>385</v>
      </c>
      <c r="MV5" t="b">
        <v>1</v>
      </c>
      <c r="MW5" s="1" t="s">
        <v>386</v>
      </c>
      <c r="MX5" t="s">
        <v>377</v>
      </c>
      <c r="MY5">
        <v>2024</v>
      </c>
      <c r="MZ5">
        <v>4</v>
      </c>
      <c r="NA5" t="s">
        <v>377</v>
      </c>
      <c r="NB5" s="1" t="s">
        <v>451</v>
      </c>
      <c r="NC5" s="1" t="s">
        <v>452</v>
      </c>
      <c r="ND5" t="s">
        <v>389</v>
      </c>
      <c r="NE5" t="s">
        <v>450</v>
      </c>
      <c r="NF5" s="1" t="s">
        <v>455</v>
      </c>
    </row>
    <row r="6" spans="1:370" x14ac:dyDescent="0.25">
      <c r="A6" t="s">
        <v>370</v>
      </c>
      <c r="B6" t="s">
        <v>390</v>
      </c>
      <c r="C6" s="1" t="s">
        <v>454</v>
      </c>
      <c r="D6" t="s">
        <v>372</v>
      </c>
      <c r="E6" t="s">
        <v>373</v>
      </c>
      <c r="F6" t="s">
        <v>374</v>
      </c>
      <c r="G6" s="2">
        <v>16141.32</v>
      </c>
      <c r="H6" s="2">
        <v>15761.6</v>
      </c>
      <c r="I6" s="2">
        <v>15887.1</v>
      </c>
      <c r="J6" s="2">
        <v>16340.84</v>
      </c>
      <c r="K6" s="2">
        <v>16527.48</v>
      </c>
      <c r="L6" s="2">
        <v>17109.93</v>
      </c>
      <c r="M6" s="2">
        <v>16784.919999999998</v>
      </c>
      <c r="N6" s="2">
        <v>17497.7</v>
      </c>
      <c r="O6" s="2">
        <v>16895.939999999999</v>
      </c>
      <c r="P6" s="2">
        <v>16410.02</v>
      </c>
      <c r="Q6" s="2">
        <v>17291.75</v>
      </c>
      <c r="R6" s="2">
        <v>16514.61</v>
      </c>
      <c r="S6" s="2">
        <v>16797.79</v>
      </c>
      <c r="T6" s="2">
        <v>17249.91</v>
      </c>
      <c r="U6" s="2">
        <v>17314.27</v>
      </c>
      <c r="V6" s="2">
        <v>17288.53</v>
      </c>
      <c r="W6" s="2">
        <v>16509.78</v>
      </c>
      <c r="X6" s="2">
        <v>17850.060000000001</v>
      </c>
      <c r="Y6" s="2">
        <v>17277.27</v>
      </c>
      <c r="Z6" s="2">
        <v>17983.61</v>
      </c>
      <c r="AA6" s="2">
        <v>18171.86</v>
      </c>
      <c r="AB6" s="2">
        <v>18430.91</v>
      </c>
      <c r="AC6" s="2">
        <v>17861.330000000002</v>
      </c>
      <c r="AD6" s="2">
        <v>17591.02</v>
      </c>
      <c r="AE6" s="2">
        <v>18372.98</v>
      </c>
      <c r="AF6" s="2">
        <v>18646.509999999998</v>
      </c>
      <c r="AG6" s="2">
        <v>18905.560000000001</v>
      </c>
      <c r="AH6" s="2">
        <v>18569.28</v>
      </c>
      <c r="AI6" s="2">
        <v>18319.89</v>
      </c>
      <c r="AJ6" s="2">
        <v>18007.75</v>
      </c>
      <c r="AK6" s="2">
        <v>17697.21</v>
      </c>
      <c r="AL6" s="2">
        <v>17259.57</v>
      </c>
      <c r="AM6" s="2">
        <v>16474.38</v>
      </c>
      <c r="AN6" s="2">
        <v>16442.2</v>
      </c>
      <c r="AO6" s="2">
        <v>16635.28</v>
      </c>
      <c r="AP6" s="2">
        <v>16595.060000000001</v>
      </c>
      <c r="AQ6" s="2">
        <v>16825.14</v>
      </c>
      <c r="AR6" s="2">
        <v>16926.509999999998</v>
      </c>
      <c r="AS6" s="2">
        <v>17586.189999999999</v>
      </c>
      <c r="AT6" s="2">
        <v>17439.77</v>
      </c>
      <c r="AU6" s="2">
        <v>17069.71</v>
      </c>
      <c r="AV6" s="2">
        <v>17183.95</v>
      </c>
      <c r="AW6" s="2">
        <v>17130.849999999999</v>
      </c>
      <c r="AX6" s="2">
        <v>18360.11</v>
      </c>
      <c r="AY6" s="2">
        <v>18355.29</v>
      </c>
      <c r="AZ6" s="2">
        <v>19235.400000000001</v>
      </c>
      <c r="BA6" s="2">
        <v>19655.34</v>
      </c>
      <c r="BB6" s="2">
        <v>20369.73</v>
      </c>
      <c r="BC6" s="2">
        <v>22601.39</v>
      </c>
      <c r="BD6" s="2">
        <v>20033.46</v>
      </c>
      <c r="BE6" s="2">
        <v>20541.89</v>
      </c>
      <c r="BF6" s="2">
        <v>20672.22</v>
      </c>
      <c r="BG6" s="2">
        <v>20701.18</v>
      </c>
      <c r="BH6" s="2">
        <v>19684.310000000001</v>
      </c>
      <c r="BI6" s="2">
        <v>20858.86</v>
      </c>
      <c r="BJ6" s="2">
        <v>21504.07</v>
      </c>
      <c r="BK6" s="2">
        <v>20059.2</v>
      </c>
      <c r="BL6" s="2">
        <v>20730.150000000001</v>
      </c>
      <c r="BM6" s="2">
        <v>22463.02</v>
      </c>
      <c r="BN6" s="2">
        <v>23907.89</v>
      </c>
      <c r="BO6" s="2">
        <v>24942.46</v>
      </c>
      <c r="BP6" s="2">
        <v>26202.3</v>
      </c>
      <c r="BQ6" s="2">
        <v>27618.21</v>
      </c>
      <c r="BR6" s="2">
        <v>28400.17</v>
      </c>
      <c r="BS6" s="2">
        <v>29542.55</v>
      </c>
      <c r="BT6" s="2">
        <v>29964.1</v>
      </c>
      <c r="BU6" s="2">
        <v>30734.81</v>
      </c>
      <c r="BV6" s="2">
        <v>29954.45</v>
      </c>
      <c r="BW6" s="2">
        <v>30036.51</v>
      </c>
      <c r="BX6" s="2">
        <v>30549.77</v>
      </c>
      <c r="BY6" s="2">
        <v>29954.45</v>
      </c>
      <c r="BZ6" s="2">
        <v>29571.51</v>
      </c>
      <c r="CA6" s="2">
        <v>29000.32</v>
      </c>
      <c r="CB6" s="2">
        <v>27787.15</v>
      </c>
      <c r="CC6" s="2">
        <v>26511.22</v>
      </c>
      <c r="CD6" s="2">
        <v>27193.43</v>
      </c>
      <c r="CE6" s="2">
        <v>27336.63</v>
      </c>
      <c r="CF6" s="2">
        <v>26749.35</v>
      </c>
      <c r="CG6" s="2">
        <v>26705.91</v>
      </c>
      <c r="CH6" s="2">
        <v>25526.53</v>
      </c>
      <c r="CI6" s="2">
        <v>26155.64</v>
      </c>
      <c r="CJ6" s="2">
        <v>25249.78</v>
      </c>
      <c r="CK6" s="2">
        <v>25272.31</v>
      </c>
      <c r="CL6" s="2">
        <v>25779.14</v>
      </c>
      <c r="CM6" s="2">
        <v>26289.18</v>
      </c>
      <c r="CN6" s="2">
        <v>26165.29</v>
      </c>
      <c r="CO6" s="2">
        <v>27072.76</v>
      </c>
      <c r="CP6" s="2">
        <v>27940</v>
      </c>
      <c r="CQ6" s="2">
        <v>27405.82</v>
      </c>
      <c r="CR6" s="2">
        <v>28374.43</v>
      </c>
      <c r="CS6" s="2">
        <v>29775.85</v>
      </c>
      <c r="CT6" s="2">
        <v>30244.07</v>
      </c>
      <c r="CU6" s="2">
        <v>31153.14</v>
      </c>
      <c r="CV6" s="2">
        <v>32063.83</v>
      </c>
      <c r="CW6" s="2">
        <v>32398.49</v>
      </c>
      <c r="CX6" s="2">
        <v>32279.43</v>
      </c>
      <c r="CY6" s="2">
        <v>35462</v>
      </c>
      <c r="CZ6" s="2">
        <v>37021</v>
      </c>
      <c r="DA6" s="2">
        <v>39279</v>
      </c>
      <c r="DB6" s="2">
        <v>40300</v>
      </c>
      <c r="DC6" s="2">
        <v>40946</v>
      </c>
      <c r="DD6" s="2">
        <v>40781</v>
      </c>
      <c r="DE6" s="2">
        <v>40414</v>
      </c>
      <c r="DF6" s="2">
        <v>41424</v>
      </c>
      <c r="DG6" s="2">
        <v>41135</v>
      </c>
      <c r="DH6" s="2">
        <v>41175</v>
      </c>
      <c r="DI6" s="2">
        <v>42369</v>
      </c>
      <c r="DJ6" s="2">
        <v>41945</v>
      </c>
      <c r="DK6" s="2">
        <v>43624</v>
      </c>
      <c r="DL6" s="2">
        <v>46153</v>
      </c>
      <c r="DM6" s="2">
        <v>43061</v>
      </c>
      <c r="DN6" s="2">
        <v>44611</v>
      </c>
      <c r="DO6" s="2">
        <v>44343</v>
      </c>
      <c r="DP6" s="2">
        <v>44742</v>
      </c>
      <c r="DQ6" s="2">
        <v>44742</v>
      </c>
      <c r="DR6" s="2">
        <v>42863</v>
      </c>
      <c r="DS6" s="2">
        <v>42091</v>
      </c>
      <c r="DT6" s="2">
        <v>41670</v>
      </c>
      <c r="DU6" s="2">
        <v>43962</v>
      </c>
      <c r="DV6" s="2">
        <v>45720</v>
      </c>
      <c r="DW6" s="2">
        <v>45673</v>
      </c>
      <c r="DX6" s="2">
        <v>41335</v>
      </c>
      <c r="DY6" s="2">
        <v>42368</v>
      </c>
      <c r="DZ6" s="2">
        <v>42114</v>
      </c>
      <c r="EA6" s="2">
        <v>42450</v>
      </c>
      <c r="EB6" s="2">
        <v>39055</v>
      </c>
      <c r="EC6" s="2">
        <v>41359</v>
      </c>
      <c r="ED6" s="2">
        <v>42269</v>
      </c>
      <c r="EE6" s="2">
        <v>42057</v>
      </c>
      <c r="EF6" s="2">
        <v>43213.5</v>
      </c>
      <c r="EG6" s="2">
        <v>44370</v>
      </c>
      <c r="EH6" s="2">
        <v>44148</v>
      </c>
      <c r="EI6" s="2">
        <v>46400</v>
      </c>
      <c r="EJ6" s="2">
        <v>44590</v>
      </c>
      <c r="EK6" s="2">
        <v>48023</v>
      </c>
      <c r="EL6" s="2">
        <v>48119</v>
      </c>
      <c r="EM6" s="2">
        <v>50429</v>
      </c>
      <c r="EN6" s="2">
        <v>51135</v>
      </c>
      <c r="EO6" s="2">
        <v>48885</v>
      </c>
      <c r="EP6" s="2">
        <v>52991</v>
      </c>
      <c r="EQ6" s="2">
        <v>49124</v>
      </c>
      <c r="ER6" s="2">
        <v>50990</v>
      </c>
      <c r="ES6" s="2">
        <v>49052</v>
      </c>
      <c r="ET6" s="2">
        <v>47384</v>
      </c>
      <c r="EU6" s="2">
        <v>43119</v>
      </c>
      <c r="EV6" s="2">
        <v>40877</v>
      </c>
      <c r="EW6" s="2">
        <v>39978</v>
      </c>
      <c r="EX6" s="2">
        <v>39618</v>
      </c>
      <c r="EY6" s="2">
        <v>41479</v>
      </c>
      <c r="EZ6" s="2">
        <v>40858</v>
      </c>
      <c r="FA6" s="2">
        <v>42697</v>
      </c>
      <c r="FB6" s="2">
        <v>45515</v>
      </c>
      <c r="FC6" s="2">
        <v>42330</v>
      </c>
      <c r="FD6" s="2">
        <v>44742</v>
      </c>
      <c r="FE6" s="2">
        <v>46218</v>
      </c>
      <c r="FF6" s="2">
        <v>47373</v>
      </c>
      <c r="FG6" s="2">
        <v>49127</v>
      </c>
      <c r="FH6" s="2">
        <v>47014</v>
      </c>
      <c r="FI6" s="2">
        <v>47249</v>
      </c>
      <c r="FJ6" s="2">
        <v>49989</v>
      </c>
      <c r="FK6" s="2">
        <v>48539</v>
      </c>
      <c r="FL6" s="2">
        <v>49510</v>
      </c>
      <c r="FM6" s="2">
        <v>51243</v>
      </c>
      <c r="FN6" s="2">
        <v>51038</v>
      </c>
      <c r="FO6" s="2">
        <v>52059</v>
      </c>
      <c r="FP6" s="2">
        <v>52215</v>
      </c>
      <c r="FQ6" s="2">
        <v>52581</v>
      </c>
      <c r="FR6" s="2">
        <v>54474</v>
      </c>
      <c r="FS6" s="2">
        <v>57960</v>
      </c>
      <c r="FT6" s="2">
        <v>56395</v>
      </c>
      <c r="FU6" s="2">
        <v>56508</v>
      </c>
      <c r="FV6" s="2">
        <v>60238</v>
      </c>
      <c r="FW6" s="2">
        <v>61684</v>
      </c>
      <c r="FX6" s="2">
        <v>61499</v>
      </c>
      <c r="FY6" s="2">
        <v>62975</v>
      </c>
      <c r="FZ6" s="2">
        <v>60645</v>
      </c>
      <c r="GA6" s="2">
        <v>62040</v>
      </c>
      <c r="GB6" s="2">
        <v>61730</v>
      </c>
      <c r="GC6" s="2">
        <v>60681</v>
      </c>
      <c r="GD6" s="2">
        <v>61713</v>
      </c>
      <c r="GE6" s="2">
        <v>61342</v>
      </c>
      <c r="GF6" s="2">
        <v>60055</v>
      </c>
      <c r="GG6" s="2">
        <v>60115</v>
      </c>
      <c r="GH6" s="2">
        <v>60536</v>
      </c>
      <c r="GI6" s="2">
        <v>61201</v>
      </c>
      <c r="GJ6" s="2">
        <v>62181</v>
      </c>
      <c r="GK6" s="2">
        <v>61932</v>
      </c>
      <c r="GL6" s="2">
        <v>61994</v>
      </c>
      <c r="GM6" s="2">
        <v>60599</v>
      </c>
      <c r="GN6" s="2">
        <v>48951</v>
      </c>
      <c r="GO6" s="2">
        <v>54710</v>
      </c>
      <c r="GP6" s="2">
        <v>57775</v>
      </c>
      <c r="GQ6" s="2">
        <v>53828</v>
      </c>
      <c r="GR6" s="2">
        <v>57987</v>
      </c>
      <c r="GS6" s="2">
        <v>56998</v>
      </c>
      <c r="GT6" s="2">
        <v>57178</v>
      </c>
      <c r="GU6" s="2">
        <v>58903</v>
      </c>
      <c r="GV6" s="2">
        <v>60332</v>
      </c>
      <c r="GW6" s="2">
        <v>60887</v>
      </c>
      <c r="GX6" s="2">
        <v>59248</v>
      </c>
      <c r="GY6" s="2">
        <v>62765</v>
      </c>
      <c r="GZ6" s="2">
        <v>63006</v>
      </c>
      <c r="HA6" s="2">
        <v>61551</v>
      </c>
      <c r="HB6" s="2">
        <v>62681</v>
      </c>
      <c r="HC6" s="2">
        <v>62527</v>
      </c>
      <c r="HD6" s="2">
        <v>63634</v>
      </c>
      <c r="HE6" s="2">
        <v>65023</v>
      </c>
      <c r="HF6" s="2">
        <v>63820</v>
      </c>
      <c r="HG6" s="3">
        <v>63851.91</v>
      </c>
      <c r="HH6" s="3">
        <v>63839.13</v>
      </c>
      <c r="HI6" s="3">
        <v>63871.05</v>
      </c>
      <c r="HJ6" s="3">
        <v>63826.35</v>
      </c>
      <c r="HK6" s="3">
        <v>63858.21</v>
      </c>
      <c r="HL6" s="3">
        <v>63890.18</v>
      </c>
      <c r="HM6" s="3">
        <v>63947.7</v>
      </c>
      <c r="HN6" s="3">
        <v>63992.46</v>
      </c>
      <c r="HO6" s="3">
        <v>64062.84</v>
      </c>
      <c r="HP6" s="3">
        <v>64203.77</v>
      </c>
      <c r="HQ6" s="3">
        <v>64479.83</v>
      </c>
      <c r="HR6" s="3">
        <v>64879.65</v>
      </c>
      <c r="HS6" s="3">
        <v>65359.76</v>
      </c>
      <c r="HT6" s="3">
        <v>65856.5</v>
      </c>
      <c r="HU6" s="3">
        <v>66350.399999999994</v>
      </c>
      <c r="HV6" s="3">
        <v>66841.41</v>
      </c>
      <c r="HW6" s="3">
        <v>67309.3</v>
      </c>
      <c r="HX6" s="3">
        <v>67767.02</v>
      </c>
      <c r="HY6" s="3">
        <v>68207.490000000005</v>
      </c>
      <c r="HZ6" s="3">
        <v>68633.8</v>
      </c>
      <c r="IA6" s="3">
        <v>69069.61</v>
      </c>
      <c r="IB6" s="3">
        <v>69490.94</v>
      </c>
      <c r="IC6" s="3">
        <v>69914.83</v>
      </c>
      <c r="ID6" s="3">
        <v>70341.31</v>
      </c>
      <c r="IE6" s="3">
        <v>70770.39</v>
      </c>
      <c r="IF6" s="3">
        <v>71202.09</v>
      </c>
      <c r="IG6" s="3">
        <v>71636.42</v>
      </c>
      <c r="IH6" s="3">
        <v>72073.41</v>
      </c>
      <c r="II6" s="3">
        <v>72513.05</v>
      </c>
      <c r="IJ6" s="3">
        <v>72955.38</v>
      </c>
      <c r="IK6" s="3">
        <v>73400.41</v>
      </c>
      <c r="IL6" s="3">
        <v>73848.160000000003</v>
      </c>
      <c r="IM6" s="3">
        <v>74265.97</v>
      </c>
      <c r="IN6" s="3">
        <v>74674.039999999994</v>
      </c>
      <c r="IO6" s="3">
        <v>75084.37</v>
      </c>
      <c r="IP6" s="3">
        <v>75483.92</v>
      </c>
      <c r="IQ6" s="3">
        <v>75896.89</v>
      </c>
      <c r="IR6" s="3">
        <v>76304.95</v>
      </c>
      <c r="IS6" s="3">
        <v>76714.36</v>
      </c>
      <c r="IT6" s="3">
        <v>77120.63</v>
      </c>
      <c r="IU6" s="3">
        <v>77539.22</v>
      </c>
      <c r="IV6" s="3">
        <v>77960.160000000003</v>
      </c>
      <c r="IW6" s="3">
        <v>78383.41</v>
      </c>
      <c r="IX6" s="3">
        <v>78808.990000000005</v>
      </c>
      <c r="IY6" s="3">
        <v>79243.759999999995</v>
      </c>
      <c r="IZ6" s="3">
        <v>79681.25</v>
      </c>
      <c r="JA6" s="3">
        <v>80121.48</v>
      </c>
      <c r="JB6" s="3">
        <v>80564.44</v>
      </c>
      <c r="JC6" s="3">
        <v>81010.14</v>
      </c>
      <c r="JD6" s="3">
        <v>81458.59</v>
      </c>
      <c r="JE6" s="3">
        <v>81909.83</v>
      </c>
      <c r="JF6" s="3">
        <v>82363.86</v>
      </c>
      <c r="JG6" s="3">
        <v>82827.55</v>
      </c>
      <c r="JH6" s="3">
        <v>83294.2</v>
      </c>
      <c r="JI6" s="3">
        <v>83763.86</v>
      </c>
      <c r="JJ6" s="3">
        <v>84236.55</v>
      </c>
      <c r="JK6" s="3">
        <v>84712.3</v>
      </c>
      <c r="JL6" s="3">
        <v>85191.08</v>
      </c>
      <c r="JM6" s="3">
        <v>85672.95</v>
      </c>
      <c r="JN6" s="3">
        <v>86157.94</v>
      </c>
      <c r="JO6" s="3">
        <v>86628.81</v>
      </c>
      <c r="JP6" s="3">
        <v>87102.49</v>
      </c>
      <c r="JQ6" s="3">
        <v>87579</v>
      </c>
      <c r="JR6" s="3">
        <v>88058.34</v>
      </c>
      <c r="JS6" s="3">
        <v>88548.27</v>
      </c>
      <c r="JT6" s="3">
        <v>89041.19</v>
      </c>
      <c r="JU6" s="3">
        <v>89538.06</v>
      </c>
      <c r="JV6" s="3">
        <v>90037.98</v>
      </c>
      <c r="JW6" s="3">
        <v>90540.94</v>
      </c>
      <c r="JX6" s="3">
        <v>91046.95</v>
      </c>
      <c r="JY6" s="3">
        <v>91548.34</v>
      </c>
      <c r="JZ6" s="3">
        <v>92052.66</v>
      </c>
      <c r="KA6" s="3">
        <v>92559.9</v>
      </c>
      <c r="KB6" s="3">
        <v>93070.080000000002</v>
      </c>
      <c r="KC6" s="3">
        <v>93573.78</v>
      </c>
      <c r="KD6" s="3">
        <v>94080.2</v>
      </c>
      <c r="KE6" s="3">
        <v>94589.34</v>
      </c>
      <c r="KF6" s="3">
        <v>95101.22</v>
      </c>
      <c r="KG6" s="3">
        <v>95598.35</v>
      </c>
      <c r="KH6" s="3">
        <v>96097.9</v>
      </c>
      <c r="KI6" s="3">
        <v>96599.86</v>
      </c>
      <c r="KJ6" s="3">
        <v>97104.25</v>
      </c>
      <c r="KK6" s="3">
        <v>97602.8</v>
      </c>
      <c r="KL6" s="3">
        <v>98103.65</v>
      </c>
      <c r="KM6" s="3">
        <v>98606.8</v>
      </c>
      <c r="KN6" s="3">
        <v>99112.24</v>
      </c>
      <c r="KO6" s="3">
        <v>99619.62</v>
      </c>
      <c r="KP6" s="3">
        <v>100129.3</v>
      </c>
      <c r="KQ6" s="3">
        <v>100641.3</v>
      </c>
      <c r="KR6" s="3">
        <v>101155.7</v>
      </c>
      <c r="KS6" s="3">
        <v>101666.4</v>
      </c>
      <c r="KT6" s="3">
        <v>102179.4</v>
      </c>
      <c r="KU6" s="3">
        <v>102694.7</v>
      </c>
      <c r="KV6" s="3">
        <v>103212.2</v>
      </c>
      <c r="KW6" s="3">
        <v>103729.4</v>
      </c>
      <c r="KX6" s="3">
        <v>104248.9</v>
      </c>
      <c r="KY6" s="3">
        <v>104770.7</v>
      </c>
      <c r="KZ6" s="3">
        <v>105294.7</v>
      </c>
      <c r="LA6" s="3">
        <v>105812.6</v>
      </c>
      <c r="LB6" s="3">
        <v>106332.7</v>
      </c>
      <c r="LC6" s="3">
        <v>106833.60000000001</v>
      </c>
      <c r="LD6" s="3">
        <v>107336.2</v>
      </c>
      <c r="LE6" s="3">
        <v>107837.9</v>
      </c>
      <c r="LF6" s="3">
        <v>108341.4</v>
      </c>
      <c r="LG6" s="3">
        <v>108846.6</v>
      </c>
      <c r="LH6" s="3">
        <v>109353.8</v>
      </c>
      <c r="LI6" s="3">
        <v>109858.5</v>
      </c>
      <c r="LJ6" s="3">
        <v>110364.9</v>
      </c>
      <c r="LK6" s="3">
        <v>110873.2</v>
      </c>
      <c r="LL6" s="3">
        <v>111383.3</v>
      </c>
      <c r="LM6" s="3">
        <v>111886.39999999999</v>
      </c>
      <c r="LN6" s="3">
        <v>112391.1</v>
      </c>
      <c r="LO6" s="3">
        <v>112897.4</v>
      </c>
      <c r="LP6" s="3">
        <v>113405.3</v>
      </c>
      <c r="LQ6" s="3">
        <v>113914.7</v>
      </c>
      <c r="LR6" s="3">
        <v>114425.8</v>
      </c>
      <c r="LS6" s="3">
        <v>114938.6</v>
      </c>
      <c r="LT6" s="3">
        <v>115453</v>
      </c>
      <c r="LU6" s="3">
        <v>115965.2</v>
      </c>
      <c r="LV6" s="3">
        <v>116479</v>
      </c>
      <c r="LW6" s="3">
        <v>116994.4</v>
      </c>
      <c r="LX6" s="3">
        <v>117511.4</v>
      </c>
      <c r="LY6" s="3">
        <v>118026.3</v>
      </c>
      <c r="LZ6" s="3">
        <v>118542.7</v>
      </c>
      <c r="MA6" s="3">
        <v>119060.6</v>
      </c>
      <c r="MB6" s="3">
        <v>119580.1</v>
      </c>
      <c r="MC6" s="3">
        <v>120101</v>
      </c>
      <c r="MD6" s="3">
        <v>120623.5</v>
      </c>
      <c r="ME6" s="3">
        <v>121147.5</v>
      </c>
      <c r="MF6" s="3">
        <v>121673.2</v>
      </c>
      <c r="MG6" s="3">
        <v>122203.3</v>
      </c>
      <c r="MH6" s="3">
        <v>122735.1</v>
      </c>
      <c r="MI6" s="3">
        <v>123268.7</v>
      </c>
      <c r="MJ6" s="3">
        <v>123803.9</v>
      </c>
      <c r="MK6" s="3">
        <v>124338.3</v>
      </c>
      <c r="ML6" s="3">
        <v>124874.4</v>
      </c>
      <c r="MM6" s="3">
        <v>125412.1</v>
      </c>
      <c r="MN6" s="3">
        <v>125951.5</v>
      </c>
      <c r="MO6" s="3">
        <v>126495.3</v>
      </c>
      <c r="MP6" s="3">
        <v>127040.9</v>
      </c>
      <c r="MQ6" s="3">
        <v>127588.2</v>
      </c>
      <c r="MR6" s="3">
        <v>128137.3</v>
      </c>
      <c r="MS6" s="3">
        <v>128688.1</v>
      </c>
      <c r="MT6" s="3">
        <v>129240.8</v>
      </c>
      <c r="MU6" t="s">
        <v>375</v>
      </c>
      <c r="MV6" t="b">
        <v>1</v>
      </c>
      <c r="MW6" s="1" t="s">
        <v>376</v>
      </c>
      <c r="MX6" t="s">
        <v>377</v>
      </c>
      <c r="MY6">
        <v>2024</v>
      </c>
      <c r="MZ6">
        <v>4</v>
      </c>
      <c r="NA6" t="s">
        <v>377</v>
      </c>
      <c r="NB6" t="s">
        <v>391</v>
      </c>
      <c r="NC6" s="1" t="s">
        <v>392</v>
      </c>
      <c r="ND6" t="s">
        <v>380</v>
      </c>
      <c r="NE6" t="s">
        <v>393</v>
      </c>
      <c r="NF6" s="1" t="s">
        <v>455</v>
      </c>
    </row>
    <row r="7" spans="1:370" x14ac:dyDescent="0.25">
      <c r="A7" t="s">
        <v>382</v>
      </c>
      <c r="B7" t="s">
        <v>390</v>
      </c>
      <c r="C7" s="1" t="s">
        <v>454</v>
      </c>
      <c r="D7" t="s">
        <v>383</v>
      </c>
      <c r="E7" t="s">
        <v>384</v>
      </c>
      <c r="F7" t="s">
        <v>374</v>
      </c>
      <c r="G7" s="2">
        <v>102.5</v>
      </c>
      <c r="H7" s="2">
        <v>106.3</v>
      </c>
      <c r="I7" s="2">
        <v>107.95</v>
      </c>
      <c r="J7" s="2">
        <v>108.75</v>
      </c>
      <c r="K7" s="2">
        <v>108.65</v>
      </c>
      <c r="L7" s="2">
        <v>108.45</v>
      </c>
      <c r="M7" s="2">
        <v>107.35</v>
      </c>
      <c r="N7" s="2">
        <v>104.52500000000001</v>
      </c>
      <c r="O7" s="2">
        <v>98.55</v>
      </c>
      <c r="P7" s="2">
        <v>96.2</v>
      </c>
      <c r="Q7" s="2">
        <v>97.224999999999994</v>
      </c>
      <c r="R7" s="2">
        <v>98.375</v>
      </c>
      <c r="S7" s="2">
        <v>100.47499999999999</v>
      </c>
      <c r="T7" s="2">
        <v>101.825</v>
      </c>
      <c r="U7" s="2">
        <v>104.05</v>
      </c>
      <c r="V7" s="2">
        <v>106.05</v>
      </c>
      <c r="W7" s="2">
        <v>109.925</v>
      </c>
      <c r="X7" s="2">
        <v>112.95</v>
      </c>
      <c r="Y7" s="2">
        <v>115.2</v>
      </c>
      <c r="Z7" s="2">
        <v>118.72499999999999</v>
      </c>
      <c r="AA7" s="2">
        <v>119.75</v>
      </c>
      <c r="AB7" s="2">
        <v>129.02500000000001</v>
      </c>
      <c r="AC7" s="2">
        <v>133.42500000000001</v>
      </c>
      <c r="AD7" s="2">
        <v>137.72499999999999</v>
      </c>
      <c r="AE7" s="2">
        <v>140.9</v>
      </c>
      <c r="AF7" s="2">
        <v>140.75</v>
      </c>
      <c r="AG7" s="2">
        <v>144.92500000000001</v>
      </c>
      <c r="AH7" s="2">
        <v>145.32499999999999</v>
      </c>
      <c r="AI7" s="2">
        <v>146.9</v>
      </c>
      <c r="AJ7" s="2">
        <v>140.1</v>
      </c>
      <c r="AK7" s="2">
        <v>141.02500000000001</v>
      </c>
      <c r="AL7" s="2">
        <v>143.97499999999999</v>
      </c>
      <c r="AM7" s="2">
        <v>146.9</v>
      </c>
      <c r="AN7" s="2">
        <v>149.875</v>
      </c>
      <c r="AO7" s="2">
        <v>153.375</v>
      </c>
      <c r="AP7" s="2">
        <v>156.94999999999999</v>
      </c>
      <c r="AQ7" s="2">
        <v>153.65</v>
      </c>
      <c r="AR7" s="2">
        <v>148.875</v>
      </c>
      <c r="AS7" s="2">
        <v>144.6</v>
      </c>
      <c r="AT7" s="2">
        <v>142.1</v>
      </c>
      <c r="AU7" s="2">
        <v>139.97499999999999</v>
      </c>
      <c r="AV7" s="2">
        <v>141.92500000000001</v>
      </c>
      <c r="AW7" s="2">
        <v>147.9</v>
      </c>
      <c r="AX7" s="2">
        <v>156.82499999999999</v>
      </c>
      <c r="AY7" s="2">
        <v>161.82499999999999</v>
      </c>
      <c r="AZ7" s="2">
        <v>169.375</v>
      </c>
      <c r="BA7" s="2">
        <v>174.55</v>
      </c>
      <c r="BB7" s="2">
        <v>178.67500000000001</v>
      </c>
      <c r="BC7" s="2">
        <v>180.67500000000001</v>
      </c>
      <c r="BD7" s="2">
        <v>183.25</v>
      </c>
      <c r="BE7" s="2">
        <v>181.17500000000001</v>
      </c>
      <c r="BF7" s="2">
        <v>184.45</v>
      </c>
      <c r="BG7" s="2">
        <v>182.625</v>
      </c>
      <c r="BH7" s="2">
        <v>178.92500000000001</v>
      </c>
      <c r="BI7" s="2">
        <v>176.875</v>
      </c>
      <c r="BJ7" s="2">
        <v>178.57499999999999</v>
      </c>
      <c r="BK7" s="2">
        <v>174.35</v>
      </c>
      <c r="BL7" s="2">
        <v>177.875</v>
      </c>
      <c r="BM7" s="2">
        <v>182.8</v>
      </c>
      <c r="BN7" s="2">
        <v>182.57499999999999</v>
      </c>
      <c r="BO7" s="2">
        <v>184.05</v>
      </c>
      <c r="BP7" s="2">
        <v>188.15</v>
      </c>
      <c r="BQ7" s="2">
        <v>189.32499999999999</v>
      </c>
      <c r="BR7" s="2">
        <v>191.97499999999999</v>
      </c>
      <c r="BS7" s="2">
        <v>195.05</v>
      </c>
      <c r="BT7" s="2">
        <v>197.67500000000001</v>
      </c>
      <c r="BU7" s="2">
        <v>202.7</v>
      </c>
      <c r="BV7" s="2">
        <v>200.67500000000001</v>
      </c>
      <c r="BW7" s="2">
        <v>203.25</v>
      </c>
      <c r="BX7" s="2">
        <v>200.6</v>
      </c>
      <c r="BY7" s="2">
        <v>202</v>
      </c>
      <c r="BZ7" s="2">
        <v>198.82499999999999</v>
      </c>
      <c r="CA7" s="2">
        <v>194.85</v>
      </c>
      <c r="CB7" s="2">
        <v>193.875</v>
      </c>
      <c r="CC7" s="2">
        <v>192.2</v>
      </c>
      <c r="CD7" s="2">
        <v>192.1</v>
      </c>
      <c r="CE7" s="2">
        <v>191.35</v>
      </c>
      <c r="CF7" s="2">
        <v>197.52500000000001</v>
      </c>
      <c r="CG7" s="2">
        <v>200.55</v>
      </c>
      <c r="CH7" s="2">
        <v>205.8</v>
      </c>
      <c r="CI7" s="2">
        <v>207.85</v>
      </c>
      <c r="CJ7" s="2">
        <v>211.92500000000001</v>
      </c>
      <c r="CK7" s="2">
        <v>213.65</v>
      </c>
      <c r="CL7" s="2">
        <v>221.35</v>
      </c>
      <c r="CM7" s="2">
        <v>223.67500000000001</v>
      </c>
      <c r="CN7" s="2">
        <v>227.17500000000001</v>
      </c>
      <c r="CO7" s="2">
        <v>231.05</v>
      </c>
      <c r="CP7" s="2">
        <v>240.07499999999999</v>
      </c>
      <c r="CQ7" s="2">
        <v>248.95</v>
      </c>
      <c r="CR7" s="2">
        <v>251.32499999999999</v>
      </c>
      <c r="CS7" s="2">
        <v>252.92500000000001</v>
      </c>
      <c r="CT7" s="2">
        <v>257.82499999999999</v>
      </c>
      <c r="CU7" s="2">
        <v>264.35000000000002</v>
      </c>
      <c r="CV7" s="2">
        <v>271.39999999999998</v>
      </c>
      <c r="CW7" s="2">
        <v>279.95</v>
      </c>
      <c r="CX7" s="2">
        <v>287.05</v>
      </c>
      <c r="CY7" s="2">
        <v>293.7</v>
      </c>
      <c r="CZ7" s="2">
        <v>299.82499999999999</v>
      </c>
      <c r="DA7" s="2">
        <v>313</v>
      </c>
      <c r="DB7" s="2">
        <v>315</v>
      </c>
      <c r="DC7" s="2">
        <v>325.22500000000002</v>
      </c>
      <c r="DD7" s="2">
        <v>336.22500000000002</v>
      </c>
      <c r="DE7" s="2">
        <v>341.52499999999998</v>
      </c>
      <c r="DF7" s="2">
        <v>351.5</v>
      </c>
      <c r="DG7" s="2">
        <v>359.27499999999998</v>
      </c>
      <c r="DH7" s="2">
        <v>368.82499999999999</v>
      </c>
      <c r="DI7" s="2">
        <v>379.375</v>
      </c>
      <c r="DJ7" s="2">
        <v>381.07499999999999</v>
      </c>
      <c r="DK7" s="2">
        <v>395.02499999999998</v>
      </c>
      <c r="DL7" s="2">
        <v>407.35</v>
      </c>
      <c r="DM7" s="2">
        <v>411.8</v>
      </c>
      <c r="DN7" s="2">
        <v>413.35</v>
      </c>
      <c r="DO7" s="2">
        <v>409.65</v>
      </c>
      <c r="DP7" s="2">
        <v>401.17500000000001</v>
      </c>
      <c r="DQ7" s="2">
        <v>396.42500000000001</v>
      </c>
      <c r="DR7" s="2">
        <v>385.02499999999998</v>
      </c>
      <c r="DS7" s="2">
        <v>375.8</v>
      </c>
      <c r="DT7" s="2">
        <v>371.57499999999999</v>
      </c>
      <c r="DU7" s="2">
        <v>370.35</v>
      </c>
      <c r="DV7" s="2">
        <v>365.375</v>
      </c>
      <c r="DW7" s="2">
        <v>367.17500000000001</v>
      </c>
      <c r="DX7" s="2">
        <v>377.32499999999999</v>
      </c>
      <c r="DY7" s="2">
        <v>385.32499999999999</v>
      </c>
      <c r="DZ7" s="2">
        <v>390.17500000000001</v>
      </c>
      <c r="EA7" s="2">
        <v>386.32499999999999</v>
      </c>
      <c r="EB7" s="2">
        <v>395.97500000000002</v>
      </c>
      <c r="EC7" s="2">
        <v>407.3</v>
      </c>
      <c r="ED7" s="2">
        <v>415.67500000000001</v>
      </c>
      <c r="EE7" s="2">
        <v>421.7</v>
      </c>
      <c r="EF7" s="2">
        <v>428.52499999999998</v>
      </c>
      <c r="EG7" s="2">
        <v>437.45</v>
      </c>
      <c r="EH7" s="2">
        <v>440.82499999999999</v>
      </c>
      <c r="EI7" s="2">
        <v>455.625</v>
      </c>
      <c r="EJ7" s="2">
        <v>463.57499999999999</v>
      </c>
      <c r="EK7" s="2">
        <v>471.52499999999998</v>
      </c>
      <c r="EL7" s="2">
        <v>476.52499999999998</v>
      </c>
      <c r="EM7" s="2">
        <v>485.1</v>
      </c>
      <c r="EN7" s="2">
        <v>495.875</v>
      </c>
      <c r="EO7" s="2">
        <v>503.65</v>
      </c>
      <c r="EP7" s="2">
        <v>511.42500000000001</v>
      </c>
      <c r="EQ7" s="2">
        <v>513.45000000000005</v>
      </c>
      <c r="ER7" s="2">
        <v>514.5</v>
      </c>
      <c r="ES7" s="2">
        <v>504.9</v>
      </c>
      <c r="ET7" s="2">
        <v>475.47500000000002</v>
      </c>
      <c r="EU7" s="2">
        <v>439.65</v>
      </c>
      <c r="EV7" s="2">
        <v>426.27499999999998</v>
      </c>
      <c r="EW7" s="2">
        <v>423.8</v>
      </c>
      <c r="EX7" s="2">
        <v>426.65</v>
      </c>
      <c r="EY7" s="2">
        <v>429.67500000000001</v>
      </c>
      <c r="EZ7" s="2">
        <v>443.82499999999999</v>
      </c>
      <c r="FA7" s="2">
        <v>455.92500000000001</v>
      </c>
      <c r="FB7" s="2">
        <v>464.85</v>
      </c>
      <c r="FC7" s="2">
        <v>464.32499999999999</v>
      </c>
      <c r="FD7" s="2">
        <v>476.42500000000001</v>
      </c>
      <c r="FE7" s="2">
        <v>498.85</v>
      </c>
      <c r="FF7" s="2">
        <v>511.65</v>
      </c>
      <c r="FG7" s="2">
        <v>524.82500000000005</v>
      </c>
      <c r="FH7" s="2">
        <v>536.67499999999995</v>
      </c>
      <c r="FI7" s="2">
        <v>534.9</v>
      </c>
      <c r="FJ7" s="2">
        <v>540.72500000000002</v>
      </c>
      <c r="FK7" s="2">
        <v>549.07500000000005</v>
      </c>
      <c r="FL7" s="2">
        <v>551.9</v>
      </c>
      <c r="FM7" s="2">
        <v>562.04999999999995</v>
      </c>
      <c r="FN7" s="2">
        <v>575.54999999999995</v>
      </c>
      <c r="FO7" s="2">
        <v>584.85</v>
      </c>
      <c r="FP7" s="2">
        <v>601.6</v>
      </c>
      <c r="FQ7" s="2">
        <v>614.625</v>
      </c>
      <c r="FR7" s="2">
        <v>619.97500000000002</v>
      </c>
      <c r="FS7" s="2">
        <v>620.27499999999998</v>
      </c>
      <c r="FT7" s="2">
        <v>624.6</v>
      </c>
      <c r="FU7" s="2">
        <v>628.4</v>
      </c>
      <c r="FV7" s="2">
        <v>625.625</v>
      </c>
      <c r="FW7" s="2">
        <v>626.15</v>
      </c>
      <c r="FX7" s="2">
        <v>631.47500000000002</v>
      </c>
      <c r="FY7" s="2">
        <v>641</v>
      </c>
      <c r="FZ7" s="2">
        <v>646.15</v>
      </c>
      <c r="GA7" s="2">
        <v>652.6</v>
      </c>
      <c r="GB7" s="2">
        <v>659.95</v>
      </c>
      <c r="GC7" s="2">
        <v>666.3</v>
      </c>
      <c r="GD7" s="2">
        <v>682.22500000000002</v>
      </c>
      <c r="GE7" s="2">
        <v>701.32500000000005</v>
      </c>
      <c r="GF7" s="2">
        <v>709.27499999999998</v>
      </c>
      <c r="GG7" s="2">
        <v>713.65</v>
      </c>
      <c r="GH7" s="2">
        <v>720.1</v>
      </c>
      <c r="GI7" s="2">
        <v>724.95</v>
      </c>
      <c r="GJ7" s="2">
        <v>738.75</v>
      </c>
      <c r="GK7" s="2">
        <v>745.875</v>
      </c>
      <c r="GL7" s="2">
        <v>742.57500000000005</v>
      </c>
      <c r="GM7" s="2">
        <v>728.47500000000002</v>
      </c>
      <c r="GN7" s="2">
        <v>669.9</v>
      </c>
      <c r="GO7" s="2">
        <v>699.2</v>
      </c>
      <c r="GP7" s="2">
        <v>717.9</v>
      </c>
      <c r="GQ7" s="2">
        <v>734.47500000000002</v>
      </c>
      <c r="GR7" s="2">
        <v>750.35</v>
      </c>
      <c r="GS7" s="2">
        <v>747.05</v>
      </c>
      <c r="GT7" s="2">
        <v>753.32500000000005</v>
      </c>
      <c r="GU7" s="2">
        <v>777.67499999999995</v>
      </c>
      <c r="GV7" s="2">
        <v>791.47500000000002</v>
      </c>
      <c r="GW7" s="2">
        <v>806.27499999999998</v>
      </c>
      <c r="GX7" s="2">
        <v>817.5</v>
      </c>
      <c r="GY7" s="2">
        <v>828.2</v>
      </c>
      <c r="GZ7" s="2">
        <v>847.9</v>
      </c>
      <c r="HA7" s="2">
        <v>850.22500000000002</v>
      </c>
      <c r="HB7" s="2">
        <v>858.22500000000002</v>
      </c>
      <c r="HC7" s="2">
        <v>867.75</v>
      </c>
      <c r="HD7" s="2">
        <v>876.02499999999998</v>
      </c>
      <c r="HE7" s="2">
        <v>884.7</v>
      </c>
      <c r="HF7" s="2">
        <v>878.1</v>
      </c>
      <c r="HG7" s="3">
        <v>888.04129999999998</v>
      </c>
      <c r="HH7" s="3">
        <v>876.41319999999996</v>
      </c>
      <c r="HI7" s="3">
        <v>873.24739999999997</v>
      </c>
      <c r="HJ7" s="3">
        <v>875.15449999999998</v>
      </c>
      <c r="HK7" s="3">
        <v>879.59050000000002</v>
      </c>
      <c r="HL7" s="3">
        <v>885.57399999999996</v>
      </c>
      <c r="HM7" s="3">
        <v>892.60019999999997</v>
      </c>
      <c r="HN7" s="3">
        <v>901.25480000000005</v>
      </c>
      <c r="HO7" s="3">
        <v>912.05820000000006</v>
      </c>
      <c r="HP7" s="3">
        <v>925.24480000000005</v>
      </c>
      <c r="HQ7" s="3">
        <v>941.03420000000006</v>
      </c>
      <c r="HR7" s="3">
        <v>956.71979999999996</v>
      </c>
      <c r="HS7" s="3">
        <v>972.34199999999998</v>
      </c>
      <c r="HT7" s="3">
        <v>987.6549</v>
      </c>
      <c r="HU7" s="3">
        <v>1002.397</v>
      </c>
      <c r="HV7" s="3">
        <v>1016.915</v>
      </c>
      <c r="HW7" s="3">
        <v>1030.579</v>
      </c>
      <c r="HX7" s="3">
        <v>1043.4970000000001</v>
      </c>
      <c r="HY7" s="3">
        <v>1055.1210000000001</v>
      </c>
      <c r="HZ7" s="3">
        <v>1065.9860000000001</v>
      </c>
      <c r="IA7" s="3">
        <v>1076.085</v>
      </c>
      <c r="IB7" s="3">
        <v>1085.703</v>
      </c>
      <c r="IC7" s="3">
        <v>1094.943</v>
      </c>
      <c r="ID7" s="3">
        <v>1103.7840000000001</v>
      </c>
      <c r="IE7" s="3">
        <v>1112.319</v>
      </c>
      <c r="IF7" s="3">
        <v>1120.5999999999999</v>
      </c>
      <c r="IG7" s="3">
        <v>1128.796</v>
      </c>
      <c r="IH7" s="3">
        <v>1136.904</v>
      </c>
      <c r="II7" s="3">
        <v>1144.961</v>
      </c>
      <c r="IJ7" s="3">
        <v>1152.922</v>
      </c>
      <c r="IK7" s="3">
        <v>1160.8699999999999</v>
      </c>
      <c r="IL7" s="3">
        <v>1168.806</v>
      </c>
      <c r="IM7" s="3">
        <v>1176.7280000000001</v>
      </c>
      <c r="IN7" s="3">
        <v>1184.634</v>
      </c>
      <c r="IO7" s="3">
        <v>1192.5260000000001</v>
      </c>
      <c r="IP7" s="3">
        <v>1200.4000000000001</v>
      </c>
      <c r="IQ7" s="3">
        <v>1208.2560000000001</v>
      </c>
      <c r="IR7" s="3">
        <v>1216.0940000000001</v>
      </c>
      <c r="IS7" s="3">
        <v>1223.905</v>
      </c>
      <c r="IT7" s="3">
        <v>1231.694</v>
      </c>
      <c r="IU7" s="3">
        <v>1239.472</v>
      </c>
      <c r="IV7" s="3">
        <v>1247.2619999999999</v>
      </c>
      <c r="IW7" s="3">
        <v>1255.066</v>
      </c>
      <c r="IX7" s="3">
        <v>1262.883</v>
      </c>
      <c r="IY7" s="3">
        <v>1270.692</v>
      </c>
      <c r="IZ7" s="3">
        <v>1278.5450000000001</v>
      </c>
      <c r="JA7" s="3">
        <v>1286.4059999999999</v>
      </c>
      <c r="JB7" s="3">
        <v>1294.3050000000001</v>
      </c>
      <c r="JC7" s="3">
        <v>1302.2170000000001</v>
      </c>
      <c r="JD7" s="3">
        <v>1310.153</v>
      </c>
      <c r="JE7" s="3">
        <v>1318.1610000000001</v>
      </c>
      <c r="JF7" s="3">
        <v>1326.1410000000001</v>
      </c>
      <c r="JG7" s="3">
        <v>1334.165</v>
      </c>
      <c r="JH7" s="3">
        <v>1342.201</v>
      </c>
      <c r="JI7" s="3">
        <v>1350.297</v>
      </c>
      <c r="JJ7" s="3">
        <v>1358.414</v>
      </c>
      <c r="JK7" s="3">
        <v>1366.5719999999999</v>
      </c>
      <c r="JL7" s="3">
        <v>1374.7660000000001</v>
      </c>
      <c r="JM7" s="3">
        <v>1382.9349999999999</v>
      </c>
      <c r="JN7" s="3">
        <v>1391.194</v>
      </c>
      <c r="JO7" s="3">
        <v>1399.471</v>
      </c>
      <c r="JP7" s="3">
        <v>1407.7619999999999</v>
      </c>
      <c r="JQ7" s="3">
        <v>1416.086</v>
      </c>
      <c r="JR7" s="3">
        <v>1424.451</v>
      </c>
      <c r="JS7" s="3">
        <v>1432.8510000000001</v>
      </c>
      <c r="JT7" s="3">
        <v>1441.279</v>
      </c>
      <c r="JU7" s="3">
        <v>1449.752</v>
      </c>
      <c r="JV7" s="3">
        <v>1458.2560000000001</v>
      </c>
      <c r="JW7" s="3">
        <v>1466.79</v>
      </c>
      <c r="JX7" s="3">
        <v>1475.3630000000001</v>
      </c>
      <c r="JY7" s="3">
        <v>1483.962</v>
      </c>
      <c r="JZ7" s="3">
        <v>1492.597</v>
      </c>
      <c r="KA7" s="3">
        <v>1501.297</v>
      </c>
      <c r="KB7" s="3">
        <v>1510.04</v>
      </c>
      <c r="KC7" s="3">
        <v>1518.7950000000001</v>
      </c>
      <c r="KD7" s="3">
        <v>1527.6130000000001</v>
      </c>
      <c r="KE7" s="3">
        <v>1536.4659999999999</v>
      </c>
      <c r="KF7" s="3">
        <v>1545.3409999999999</v>
      </c>
      <c r="KG7" s="3">
        <v>1554.251</v>
      </c>
      <c r="KH7" s="3">
        <v>1563.2149999999999</v>
      </c>
      <c r="KI7" s="3">
        <v>1572.18</v>
      </c>
      <c r="KJ7" s="3">
        <v>1581.1980000000001</v>
      </c>
      <c r="KK7" s="3">
        <v>1590.2270000000001</v>
      </c>
      <c r="KL7" s="3">
        <v>1599.31</v>
      </c>
      <c r="KM7" s="3">
        <v>1608.434</v>
      </c>
      <c r="KN7" s="3">
        <v>1617.5740000000001</v>
      </c>
      <c r="KO7" s="3">
        <v>1626.751</v>
      </c>
      <c r="KP7" s="3">
        <v>1635.9929999999999</v>
      </c>
      <c r="KQ7" s="3">
        <v>1645.2460000000001</v>
      </c>
      <c r="KR7" s="3">
        <v>1654.528</v>
      </c>
      <c r="KS7" s="3">
        <v>1663.857</v>
      </c>
      <c r="KT7" s="3">
        <v>1673.213</v>
      </c>
      <c r="KU7" s="3">
        <v>1682.6010000000001</v>
      </c>
      <c r="KV7" s="3">
        <v>1692.0630000000001</v>
      </c>
      <c r="KW7" s="3">
        <v>1701.4960000000001</v>
      </c>
      <c r="KX7" s="3">
        <v>1711.0340000000001</v>
      </c>
      <c r="KY7" s="3">
        <v>1720.5809999999999</v>
      </c>
      <c r="KZ7" s="3">
        <v>1730.11</v>
      </c>
      <c r="LA7" s="3">
        <v>1739.7249999999999</v>
      </c>
      <c r="LB7" s="3">
        <v>1749.346</v>
      </c>
      <c r="LC7" s="3">
        <v>1759.057</v>
      </c>
      <c r="LD7" s="3">
        <v>1768.771</v>
      </c>
      <c r="LE7" s="3">
        <v>1778.5</v>
      </c>
      <c r="LF7" s="3">
        <v>1788.306</v>
      </c>
      <c r="LG7" s="3">
        <v>1798.1369999999999</v>
      </c>
      <c r="LH7" s="3">
        <v>1808.021</v>
      </c>
      <c r="LI7" s="3">
        <v>1817.951</v>
      </c>
      <c r="LJ7" s="3">
        <v>1827.92</v>
      </c>
      <c r="LK7" s="3">
        <v>1837.952</v>
      </c>
      <c r="LL7" s="3">
        <v>1848.019</v>
      </c>
      <c r="LM7" s="3">
        <v>1858.135</v>
      </c>
      <c r="LN7" s="3">
        <v>1868.297</v>
      </c>
      <c r="LO7" s="3">
        <v>1878.5060000000001</v>
      </c>
      <c r="LP7" s="3">
        <v>1888.759</v>
      </c>
      <c r="LQ7" s="3">
        <v>1899.07</v>
      </c>
      <c r="LR7" s="3">
        <v>1909.432</v>
      </c>
      <c r="LS7" s="3">
        <v>1919.829</v>
      </c>
      <c r="LT7" s="3">
        <v>1930.2650000000001</v>
      </c>
      <c r="LU7" s="3">
        <v>1940.7660000000001</v>
      </c>
      <c r="LV7" s="3">
        <v>1951.3130000000001</v>
      </c>
      <c r="LW7" s="3">
        <v>1961.905</v>
      </c>
      <c r="LX7" s="3">
        <v>1972.5519999999999</v>
      </c>
      <c r="LY7" s="3">
        <v>1983.252</v>
      </c>
      <c r="LZ7" s="3">
        <v>1993.972</v>
      </c>
      <c r="MA7" s="3">
        <v>2004.7750000000001</v>
      </c>
      <c r="MB7" s="3">
        <v>2015.6</v>
      </c>
      <c r="MC7" s="3">
        <v>2026.498</v>
      </c>
      <c r="MD7" s="3">
        <v>2037.4480000000001</v>
      </c>
      <c r="ME7" s="3">
        <v>2048.4290000000001</v>
      </c>
      <c r="MF7" s="3">
        <v>2059.4690000000001</v>
      </c>
      <c r="MG7" s="3">
        <v>2070.578</v>
      </c>
      <c r="MH7" s="3">
        <v>2081.73</v>
      </c>
      <c r="MI7" s="3">
        <v>2092.9459999999999</v>
      </c>
      <c r="MJ7" s="3">
        <v>2104.1959999999999</v>
      </c>
      <c r="MK7" s="3">
        <v>2115.5210000000002</v>
      </c>
      <c r="ML7" s="3">
        <v>2126.8820000000001</v>
      </c>
      <c r="MM7" s="3">
        <v>2138.317</v>
      </c>
      <c r="MN7" s="3">
        <v>2149.79</v>
      </c>
      <c r="MO7" s="3">
        <v>2161.3119999999999</v>
      </c>
      <c r="MP7" s="3">
        <v>2172.913</v>
      </c>
      <c r="MQ7" s="3">
        <v>2184.5479999999998</v>
      </c>
      <c r="MR7" s="3">
        <v>2196.2440000000001</v>
      </c>
      <c r="MS7" s="3">
        <v>2207.9969999999998</v>
      </c>
      <c r="MT7" s="3">
        <v>2219.7919999999999</v>
      </c>
      <c r="MU7" t="s">
        <v>385</v>
      </c>
      <c r="MV7" t="b">
        <v>1</v>
      </c>
      <c r="MW7" s="1" t="s">
        <v>386</v>
      </c>
      <c r="MX7" t="s">
        <v>377</v>
      </c>
      <c r="MY7">
        <v>2024</v>
      </c>
      <c r="MZ7">
        <v>4</v>
      </c>
      <c r="NA7" t="s">
        <v>377</v>
      </c>
      <c r="NB7" s="1" t="s">
        <v>394</v>
      </c>
      <c r="NC7" s="1" t="s">
        <v>395</v>
      </c>
      <c r="ND7" t="s">
        <v>389</v>
      </c>
      <c r="NE7" t="s">
        <v>393</v>
      </c>
      <c r="NF7" s="1" t="s">
        <v>455</v>
      </c>
    </row>
    <row r="8" spans="1:370" x14ac:dyDescent="0.25">
      <c r="A8" t="s">
        <v>370</v>
      </c>
      <c r="B8" t="s">
        <v>396</v>
      </c>
      <c r="C8" s="1" t="s">
        <v>454</v>
      </c>
      <c r="D8" t="s">
        <v>372</v>
      </c>
      <c r="E8" t="s">
        <v>373</v>
      </c>
      <c r="F8" t="s">
        <v>374</v>
      </c>
      <c r="G8" s="2">
        <v>35902</v>
      </c>
      <c r="H8" s="2">
        <v>36730</v>
      </c>
      <c r="I8" s="2">
        <v>37647</v>
      </c>
      <c r="J8" s="2">
        <v>37940</v>
      </c>
      <c r="K8" s="2">
        <v>38873</v>
      </c>
      <c r="L8" s="2">
        <v>40111</v>
      </c>
      <c r="M8" s="2">
        <v>40403</v>
      </c>
      <c r="N8" s="2">
        <v>39579</v>
      </c>
      <c r="O8" s="2">
        <v>39298</v>
      </c>
      <c r="P8" s="2">
        <v>37742</v>
      </c>
      <c r="Q8" s="2">
        <v>37667</v>
      </c>
      <c r="R8" s="2">
        <v>39562</v>
      </c>
      <c r="S8" s="2">
        <v>40307</v>
      </c>
      <c r="T8" s="2">
        <v>41824</v>
      </c>
      <c r="U8" s="2">
        <v>42139</v>
      </c>
      <c r="V8" s="2">
        <v>43631</v>
      </c>
      <c r="W8" s="2">
        <v>43666</v>
      </c>
      <c r="X8" s="2">
        <v>44615</v>
      </c>
      <c r="Y8" s="2">
        <v>46225</v>
      </c>
      <c r="Z8" s="2">
        <v>44466</v>
      </c>
      <c r="AA8" s="2">
        <v>44831</v>
      </c>
      <c r="AB8" s="2">
        <v>45606</v>
      </c>
      <c r="AC8" s="2">
        <v>45784</v>
      </c>
      <c r="AD8" s="2">
        <v>45705</v>
      </c>
      <c r="AE8" s="2">
        <v>42206</v>
      </c>
      <c r="AF8" s="2">
        <v>49782</v>
      </c>
      <c r="AG8" s="2">
        <v>48026</v>
      </c>
      <c r="AH8" s="2">
        <v>48391</v>
      </c>
      <c r="AI8" s="2">
        <v>49049</v>
      </c>
      <c r="AJ8" s="2">
        <v>47032</v>
      </c>
      <c r="AK8" s="2">
        <v>45832</v>
      </c>
      <c r="AL8" s="2">
        <v>45526</v>
      </c>
      <c r="AM8" s="2">
        <v>45162</v>
      </c>
      <c r="AN8" s="2">
        <v>45719</v>
      </c>
      <c r="AO8" s="2">
        <v>47827</v>
      </c>
      <c r="AP8" s="2">
        <v>47597</v>
      </c>
      <c r="AQ8" s="2">
        <v>46524</v>
      </c>
      <c r="AR8" s="2">
        <v>47505</v>
      </c>
      <c r="AS8" s="2">
        <v>46534</v>
      </c>
      <c r="AT8" s="2">
        <v>47361</v>
      </c>
      <c r="AU8" s="2">
        <v>47208</v>
      </c>
      <c r="AV8" s="2">
        <v>47152</v>
      </c>
      <c r="AW8" s="2">
        <v>48076</v>
      </c>
      <c r="AX8" s="2">
        <v>48814</v>
      </c>
      <c r="AY8" s="2">
        <v>49935</v>
      </c>
      <c r="AZ8" s="2">
        <v>49818</v>
      </c>
      <c r="BA8" s="2">
        <v>51338</v>
      </c>
      <c r="BB8" s="2">
        <v>52470</v>
      </c>
      <c r="BC8" s="2">
        <v>52943</v>
      </c>
      <c r="BD8" s="2">
        <v>54969</v>
      </c>
      <c r="BE8" s="2">
        <v>53412</v>
      </c>
      <c r="BF8" s="2">
        <v>53746</v>
      </c>
      <c r="BG8" s="2">
        <v>54907</v>
      </c>
      <c r="BH8" s="2">
        <v>55692</v>
      </c>
      <c r="BI8" s="2">
        <v>55751</v>
      </c>
      <c r="BJ8" s="2">
        <v>57267</v>
      </c>
      <c r="BK8" s="2">
        <v>58816</v>
      </c>
      <c r="BL8" s="2">
        <v>58324</v>
      </c>
      <c r="BM8" s="2">
        <v>60470</v>
      </c>
      <c r="BN8" s="2">
        <v>60226</v>
      </c>
      <c r="BO8" s="2">
        <v>59215</v>
      </c>
      <c r="BP8" s="2">
        <v>60427</v>
      </c>
      <c r="BQ8" s="2">
        <v>60771</v>
      </c>
      <c r="BR8" s="2">
        <v>59544</v>
      </c>
      <c r="BS8" s="2">
        <v>62278</v>
      </c>
      <c r="BT8" s="2">
        <v>61292</v>
      </c>
      <c r="BU8" s="2">
        <v>62836</v>
      </c>
      <c r="BV8" s="2">
        <v>64551</v>
      </c>
      <c r="BW8" s="2">
        <v>65996</v>
      </c>
      <c r="BX8" s="2">
        <v>65850</v>
      </c>
      <c r="BY8" s="2">
        <v>65770</v>
      </c>
      <c r="BZ8" s="2">
        <v>66306</v>
      </c>
      <c r="CA8" s="2">
        <v>63795</v>
      </c>
      <c r="CB8" s="2">
        <v>65908</v>
      </c>
      <c r="CC8" s="2">
        <v>66928</v>
      </c>
      <c r="CD8" s="2">
        <v>66730</v>
      </c>
      <c r="CE8" s="2">
        <v>67452</v>
      </c>
      <c r="CF8" s="2">
        <v>69112</v>
      </c>
      <c r="CG8" s="2">
        <v>67730</v>
      </c>
      <c r="CH8" s="2">
        <v>70437</v>
      </c>
      <c r="CI8" s="2">
        <v>71260</v>
      </c>
      <c r="CJ8" s="2">
        <v>70281</v>
      </c>
      <c r="CK8" s="2">
        <v>71508</v>
      </c>
      <c r="CL8" s="2">
        <v>73485</v>
      </c>
      <c r="CM8" s="2">
        <v>76223</v>
      </c>
      <c r="CN8" s="2">
        <v>76462</v>
      </c>
      <c r="CO8" s="2">
        <v>78722</v>
      </c>
      <c r="CP8" s="2">
        <v>80741</v>
      </c>
      <c r="CQ8" s="2">
        <v>84205</v>
      </c>
      <c r="CR8" s="2">
        <v>83113</v>
      </c>
      <c r="CS8" s="2">
        <v>85876</v>
      </c>
      <c r="CT8" s="2">
        <v>87077</v>
      </c>
      <c r="CU8" s="2">
        <v>88955</v>
      </c>
      <c r="CV8" s="2">
        <v>90326</v>
      </c>
      <c r="CW8" s="2">
        <v>91405</v>
      </c>
      <c r="CX8" s="2">
        <v>93750</v>
      </c>
      <c r="CY8" s="2">
        <v>100801</v>
      </c>
      <c r="CZ8" s="2">
        <v>102215</v>
      </c>
      <c r="DA8" s="2">
        <v>101393</v>
      </c>
      <c r="DB8" s="2">
        <v>104896</v>
      </c>
      <c r="DC8" s="2">
        <v>105551</v>
      </c>
      <c r="DD8" s="2">
        <v>105685</v>
      </c>
      <c r="DE8" s="2">
        <v>105377</v>
      </c>
      <c r="DF8" s="2">
        <v>105093</v>
      </c>
      <c r="DG8" s="2">
        <v>105270</v>
      </c>
      <c r="DH8" s="2">
        <v>105502</v>
      </c>
      <c r="DI8" s="2">
        <v>111906</v>
      </c>
      <c r="DJ8" s="2">
        <v>113832</v>
      </c>
      <c r="DK8" s="2">
        <v>115740</v>
      </c>
      <c r="DL8" s="2">
        <v>119664</v>
      </c>
      <c r="DM8" s="2">
        <v>120347</v>
      </c>
      <c r="DN8" s="2">
        <v>123350</v>
      </c>
      <c r="DO8" s="2">
        <v>128331</v>
      </c>
      <c r="DP8" s="2">
        <v>122946</v>
      </c>
      <c r="DQ8" s="2">
        <v>120189</v>
      </c>
      <c r="DR8" s="2">
        <v>121471</v>
      </c>
      <c r="DS8" s="2">
        <v>123243</v>
      </c>
      <c r="DT8" s="2">
        <v>126845</v>
      </c>
      <c r="DU8" s="2">
        <v>125921</v>
      </c>
      <c r="DV8" s="2">
        <v>121583</v>
      </c>
      <c r="DW8" s="2">
        <v>127354</v>
      </c>
      <c r="DX8" s="2">
        <v>125080</v>
      </c>
      <c r="DY8" s="2">
        <v>125141</v>
      </c>
      <c r="DZ8" s="2">
        <v>128517</v>
      </c>
      <c r="EA8" s="2">
        <v>129631</v>
      </c>
      <c r="EB8" s="2">
        <v>131555</v>
      </c>
      <c r="EC8" s="2">
        <v>133247</v>
      </c>
      <c r="ED8" s="2">
        <v>137509</v>
      </c>
      <c r="EE8" s="2">
        <v>134823</v>
      </c>
      <c r="EF8" s="2">
        <v>142803</v>
      </c>
      <c r="EG8" s="2">
        <v>144425</v>
      </c>
      <c r="EH8" s="2">
        <v>150107</v>
      </c>
      <c r="EI8" s="2">
        <v>167747</v>
      </c>
      <c r="EJ8" s="2">
        <v>172981</v>
      </c>
      <c r="EK8" s="2">
        <v>152518</v>
      </c>
      <c r="EL8" s="2">
        <v>151637</v>
      </c>
      <c r="EM8" s="2">
        <v>152960</v>
      </c>
      <c r="EN8" s="2">
        <v>158494</v>
      </c>
      <c r="EO8" s="2">
        <v>158973</v>
      </c>
      <c r="EP8" s="2">
        <v>164392</v>
      </c>
      <c r="EQ8" s="2">
        <v>164284</v>
      </c>
      <c r="ER8" s="2">
        <v>164307</v>
      </c>
      <c r="ES8" s="2">
        <v>164942</v>
      </c>
      <c r="ET8" s="2">
        <v>158580</v>
      </c>
      <c r="EU8" s="2">
        <v>148383</v>
      </c>
      <c r="EV8" s="2">
        <v>146862</v>
      </c>
      <c r="EW8" s="2">
        <v>146171</v>
      </c>
      <c r="EX8" s="2">
        <v>152995</v>
      </c>
      <c r="EY8" s="2">
        <v>152875</v>
      </c>
      <c r="EZ8" s="2">
        <v>157927</v>
      </c>
      <c r="FA8" s="2">
        <v>159590</v>
      </c>
      <c r="FB8" s="2">
        <v>162838</v>
      </c>
      <c r="FC8" s="2">
        <v>169542</v>
      </c>
      <c r="FD8" s="2">
        <v>167089</v>
      </c>
      <c r="FE8" s="2">
        <v>169000</v>
      </c>
      <c r="FF8" s="2">
        <v>171534</v>
      </c>
      <c r="FG8" s="2">
        <v>175688</v>
      </c>
      <c r="FH8" s="2">
        <v>167444</v>
      </c>
      <c r="FI8" s="2">
        <v>171661</v>
      </c>
      <c r="FJ8" s="2">
        <v>167437</v>
      </c>
      <c r="FK8" s="2">
        <v>171074</v>
      </c>
      <c r="FL8" s="2">
        <v>172720</v>
      </c>
      <c r="FM8" s="2">
        <v>172146</v>
      </c>
      <c r="FN8" s="2">
        <v>168273</v>
      </c>
      <c r="FO8" s="2">
        <v>169362</v>
      </c>
      <c r="FP8" s="2">
        <v>171923</v>
      </c>
      <c r="FQ8" s="2">
        <v>172435</v>
      </c>
      <c r="FR8" s="2">
        <v>177395</v>
      </c>
      <c r="FS8" s="2">
        <v>176739</v>
      </c>
      <c r="FT8" s="2">
        <v>182297</v>
      </c>
      <c r="FU8" s="2">
        <v>176534</v>
      </c>
      <c r="FV8" s="2">
        <v>181607</v>
      </c>
      <c r="FW8" s="2">
        <v>180917</v>
      </c>
      <c r="FX8" s="2">
        <v>186367</v>
      </c>
      <c r="FY8" s="2">
        <v>181291</v>
      </c>
      <c r="FZ8" s="2">
        <v>188453</v>
      </c>
      <c r="GA8" s="2">
        <v>191572</v>
      </c>
      <c r="GB8" s="2">
        <v>196710</v>
      </c>
      <c r="GC8" s="2">
        <v>201489</v>
      </c>
      <c r="GD8" s="2">
        <v>197125</v>
      </c>
      <c r="GE8" s="2">
        <v>201006</v>
      </c>
      <c r="GF8" s="2">
        <v>202164</v>
      </c>
      <c r="GG8" s="2">
        <v>204858</v>
      </c>
      <c r="GH8" s="2">
        <v>203100</v>
      </c>
      <c r="GI8" s="2">
        <v>200811</v>
      </c>
      <c r="GJ8" s="2">
        <v>198311</v>
      </c>
      <c r="GK8" s="2">
        <v>210040</v>
      </c>
      <c r="GL8" s="2">
        <v>218197</v>
      </c>
      <c r="GM8" s="2">
        <v>199459</v>
      </c>
      <c r="GN8" s="2">
        <v>173361</v>
      </c>
      <c r="GO8" s="2">
        <v>173434</v>
      </c>
      <c r="GP8" s="2">
        <v>183541</v>
      </c>
      <c r="GQ8" s="2">
        <v>178763</v>
      </c>
      <c r="GR8" s="2">
        <v>191113</v>
      </c>
      <c r="GS8" s="2">
        <v>181773</v>
      </c>
      <c r="GT8" s="2">
        <v>201720</v>
      </c>
      <c r="GU8" s="2">
        <v>191621</v>
      </c>
      <c r="GV8" s="2">
        <v>205098</v>
      </c>
      <c r="GW8" s="2">
        <v>224767</v>
      </c>
      <c r="GX8" s="2">
        <v>226565</v>
      </c>
      <c r="GY8" s="2">
        <v>211150</v>
      </c>
      <c r="GZ8" s="2">
        <v>211716</v>
      </c>
      <c r="HA8" s="2">
        <v>209440</v>
      </c>
      <c r="HB8" s="2">
        <v>212201</v>
      </c>
      <c r="HC8" s="2">
        <v>212549</v>
      </c>
      <c r="HD8" s="2">
        <v>208746</v>
      </c>
      <c r="HE8" s="2">
        <v>208624</v>
      </c>
      <c r="HF8" s="2">
        <v>204779</v>
      </c>
      <c r="HG8" s="3">
        <v>213021.5</v>
      </c>
      <c r="HH8" s="3">
        <v>210222.1</v>
      </c>
      <c r="HI8" s="3">
        <v>209084.4</v>
      </c>
      <c r="HJ8" s="3">
        <v>207561.3</v>
      </c>
      <c r="HK8" s="3">
        <v>206979.5</v>
      </c>
      <c r="HL8" s="3">
        <v>207128.3</v>
      </c>
      <c r="HM8" s="3">
        <v>207607.3</v>
      </c>
      <c r="HN8" s="3">
        <v>208159</v>
      </c>
      <c r="HO8" s="3">
        <v>208855</v>
      </c>
      <c r="HP8" s="3">
        <v>209614.6</v>
      </c>
      <c r="HQ8" s="3">
        <v>210392.8</v>
      </c>
      <c r="HR8" s="3">
        <v>211138.1</v>
      </c>
      <c r="HS8" s="3">
        <v>211922.2</v>
      </c>
      <c r="HT8" s="3">
        <v>212691.9</v>
      </c>
      <c r="HU8" s="3">
        <v>213457.6</v>
      </c>
      <c r="HV8" s="3">
        <v>214227</v>
      </c>
      <c r="HW8" s="3">
        <v>215000.2</v>
      </c>
      <c r="HX8" s="3">
        <v>215777</v>
      </c>
      <c r="HY8" s="3">
        <v>216550.8</v>
      </c>
      <c r="HZ8" s="3">
        <v>217340.2</v>
      </c>
      <c r="IA8" s="3">
        <v>218114.8</v>
      </c>
      <c r="IB8" s="3">
        <v>218900.6</v>
      </c>
      <c r="IC8" s="3">
        <v>219689.8</v>
      </c>
      <c r="ID8" s="3">
        <v>220482.4</v>
      </c>
      <c r="IE8" s="3">
        <v>221278.8</v>
      </c>
      <c r="IF8" s="3">
        <v>222078.5</v>
      </c>
      <c r="IG8" s="3">
        <v>222882</v>
      </c>
      <c r="IH8" s="3">
        <v>223688.9</v>
      </c>
      <c r="II8" s="3">
        <v>224499.5</v>
      </c>
      <c r="IJ8" s="3">
        <v>225313.7</v>
      </c>
      <c r="IK8" s="3">
        <v>226131.4</v>
      </c>
      <c r="IL8" s="3">
        <v>226952.8</v>
      </c>
      <c r="IM8" s="3">
        <v>227746.8</v>
      </c>
      <c r="IN8" s="3">
        <v>228508.3</v>
      </c>
      <c r="IO8" s="3">
        <v>229273</v>
      </c>
      <c r="IP8" s="3">
        <v>230002.5</v>
      </c>
      <c r="IQ8" s="3">
        <v>230768.1</v>
      </c>
      <c r="IR8" s="3">
        <v>231515.9</v>
      </c>
      <c r="IS8" s="3">
        <v>232264.1</v>
      </c>
      <c r="IT8" s="3">
        <v>232999.8</v>
      </c>
      <c r="IU8" s="3">
        <v>233768</v>
      </c>
      <c r="IV8" s="3">
        <v>234539.7</v>
      </c>
      <c r="IW8" s="3">
        <v>235314.6</v>
      </c>
      <c r="IX8" s="3">
        <v>236092.6</v>
      </c>
      <c r="IY8" s="3">
        <v>236893.9</v>
      </c>
      <c r="IZ8" s="3">
        <v>237699.3</v>
      </c>
      <c r="JA8" s="3">
        <v>238509.1</v>
      </c>
      <c r="JB8" s="3">
        <v>239323</v>
      </c>
      <c r="JC8" s="3">
        <v>240141.1</v>
      </c>
      <c r="JD8" s="3">
        <v>240963.6</v>
      </c>
      <c r="JE8" s="3">
        <v>241790.2</v>
      </c>
      <c r="JF8" s="3">
        <v>242621.2</v>
      </c>
      <c r="JG8" s="3">
        <v>243475.9</v>
      </c>
      <c r="JH8" s="3">
        <v>244335.3</v>
      </c>
      <c r="JI8" s="3">
        <v>245199.3</v>
      </c>
      <c r="JJ8" s="3">
        <v>246068.2</v>
      </c>
      <c r="JK8" s="3">
        <v>246941.8</v>
      </c>
      <c r="JL8" s="3">
        <v>247820.1</v>
      </c>
      <c r="JM8" s="3">
        <v>248703.2</v>
      </c>
      <c r="JN8" s="3">
        <v>249591.1</v>
      </c>
      <c r="JO8" s="3">
        <v>250499.8</v>
      </c>
      <c r="JP8" s="3">
        <v>251413</v>
      </c>
      <c r="JQ8" s="3">
        <v>252330.8</v>
      </c>
      <c r="JR8" s="3">
        <v>253253</v>
      </c>
      <c r="JS8" s="3">
        <v>254201.5</v>
      </c>
      <c r="JT8" s="3">
        <v>255154.8</v>
      </c>
      <c r="JU8" s="3">
        <v>256115.8</v>
      </c>
      <c r="JV8" s="3">
        <v>257081.60000000001</v>
      </c>
      <c r="JW8" s="3">
        <v>258052.4</v>
      </c>
      <c r="JX8" s="3">
        <v>259028</v>
      </c>
      <c r="JY8" s="3">
        <v>259987.4</v>
      </c>
      <c r="JZ8" s="3">
        <v>260951.2</v>
      </c>
      <c r="KA8" s="3">
        <v>261919.5</v>
      </c>
      <c r="KB8" s="3">
        <v>262892.5</v>
      </c>
      <c r="KC8" s="3">
        <v>263843.90000000002</v>
      </c>
      <c r="KD8" s="3">
        <v>264799.40000000002</v>
      </c>
      <c r="KE8" s="3">
        <v>265758.8</v>
      </c>
      <c r="KF8" s="3">
        <v>266722.2</v>
      </c>
      <c r="KG8" s="3">
        <v>267641.7</v>
      </c>
      <c r="KH8" s="3">
        <v>268564.3</v>
      </c>
      <c r="KI8" s="3">
        <v>269490.09999999998</v>
      </c>
      <c r="KJ8" s="3">
        <v>270418.90000000002</v>
      </c>
      <c r="KK8" s="3">
        <v>271328.59999999998</v>
      </c>
      <c r="KL8" s="3">
        <v>272241.09999999998</v>
      </c>
      <c r="KM8" s="3">
        <v>273156.3</v>
      </c>
      <c r="KN8" s="3">
        <v>274074.40000000002</v>
      </c>
      <c r="KO8" s="3">
        <v>274994.2</v>
      </c>
      <c r="KP8" s="3">
        <v>275916.90000000002</v>
      </c>
      <c r="KQ8" s="3">
        <v>276842.5</v>
      </c>
      <c r="KR8" s="3">
        <v>277770.90000000002</v>
      </c>
      <c r="KS8" s="3">
        <v>278686</v>
      </c>
      <c r="KT8" s="3">
        <v>279603.7</v>
      </c>
      <c r="KU8" s="3">
        <v>280524.09999999998</v>
      </c>
      <c r="KV8" s="3">
        <v>281447.3</v>
      </c>
      <c r="KW8" s="3">
        <v>282365.90000000002</v>
      </c>
      <c r="KX8" s="3">
        <v>283287.3</v>
      </c>
      <c r="KY8" s="3">
        <v>284211.3</v>
      </c>
      <c r="KZ8" s="3">
        <v>285137.59999999998</v>
      </c>
      <c r="LA8" s="3">
        <v>286044.5</v>
      </c>
      <c r="LB8" s="3">
        <v>286953.59999999998</v>
      </c>
      <c r="LC8" s="3">
        <v>287865.7</v>
      </c>
      <c r="LD8" s="3">
        <v>288779.7</v>
      </c>
      <c r="LE8" s="3">
        <v>289688.2</v>
      </c>
      <c r="LF8" s="3">
        <v>290598.40000000002</v>
      </c>
      <c r="LG8" s="3">
        <v>291510.59999999998</v>
      </c>
      <c r="LH8" s="3">
        <v>292424.7</v>
      </c>
      <c r="LI8" s="3">
        <v>293329.5</v>
      </c>
      <c r="LJ8" s="3">
        <v>294236.2</v>
      </c>
      <c r="LK8" s="3">
        <v>295144.59999999998</v>
      </c>
      <c r="LL8" s="3">
        <v>296054.90000000002</v>
      </c>
      <c r="LM8" s="3">
        <v>296944</v>
      </c>
      <c r="LN8" s="3">
        <v>297834.5</v>
      </c>
      <c r="LO8" s="3">
        <v>298726.40000000002</v>
      </c>
      <c r="LP8" s="3">
        <v>299619.7</v>
      </c>
      <c r="LQ8" s="3">
        <v>300514</v>
      </c>
      <c r="LR8" s="3">
        <v>301409.8</v>
      </c>
      <c r="LS8" s="3">
        <v>302306.90000000002</v>
      </c>
      <c r="LT8" s="3">
        <v>303205.59999999998</v>
      </c>
      <c r="LU8" s="3">
        <v>304095.59999999998</v>
      </c>
      <c r="LV8" s="3">
        <v>304986.8</v>
      </c>
      <c r="LW8" s="3">
        <v>305879.40000000002</v>
      </c>
      <c r="LX8" s="3">
        <v>306773.3</v>
      </c>
      <c r="LY8" s="3">
        <v>307658.7</v>
      </c>
      <c r="LZ8" s="3">
        <v>308545.3</v>
      </c>
      <c r="MA8" s="3">
        <v>309433.09999999998</v>
      </c>
      <c r="MB8" s="3">
        <v>310322</v>
      </c>
      <c r="MC8" s="3">
        <v>311211.40000000002</v>
      </c>
      <c r="MD8" s="3">
        <v>312102.09999999998</v>
      </c>
      <c r="ME8" s="3">
        <v>312994</v>
      </c>
      <c r="MF8" s="3">
        <v>313887.2</v>
      </c>
      <c r="MG8" s="3">
        <v>314788.7</v>
      </c>
      <c r="MH8" s="3">
        <v>315691.7</v>
      </c>
      <c r="MI8" s="3">
        <v>316596</v>
      </c>
      <c r="MJ8" s="3">
        <v>317501.7</v>
      </c>
      <c r="MK8" s="3">
        <v>318402.59999999998</v>
      </c>
      <c r="ML8" s="3">
        <v>319304.7</v>
      </c>
      <c r="MM8" s="3">
        <v>320208.2</v>
      </c>
      <c r="MN8" s="3">
        <v>321113</v>
      </c>
      <c r="MO8" s="3">
        <v>322025.90000000002</v>
      </c>
      <c r="MP8" s="3">
        <v>322940.3</v>
      </c>
      <c r="MQ8" s="3">
        <v>323856.09999999998</v>
      </c>
      <c r="MR8" s="3">
        <v>324773.3</v>
      </c>
      <c r="MS8" s="3">
        <v>325692.09999999998</v>
      </c>
      <c r="MT8" s="3">
        <v>326612.40000000002</v>
      </c>
      <c r="MU8" t="s">
        <v>375</v>
      </c>
      <c r="MV8" t="b">
        <v>1</v>
      </c>
      <c r="MW8" s="1" t="s">
        <v>376</v>
      </c>
      <c r="MX8" t="s">
        <v>377</v>
      </c>
      <c r="MY8">
        <v>2024</v>
      </c>
      <c r="MZ8">
        <v>4</v>
      </c>
      <c r="NA8" t="s">
        <v>377</v>
      </c>
      <c r="NB8" t="s">
        <v>397</v>
      </c>
      <c r="NC8" s="1" t="s">
        <v>398</v>
      </c>
      <c r="ND8" t="s">
        <v>380</v>
      </c>
      <c r="NE8" t="s">
        <v>399</v>
      </c>
      <c r="NF8" s="1" t="s">
        <v>455</v>
      </c>
    </row>
    <row r="9" spans="1:370" x14ac:dyDescent="0.25">
      <c r="A9" t="s">
        <v>382</v>
      </c>
      <c r="B9" t="s">
        <v>396</v>
      </c>
      <c r="C9" s="1" t="s">
        <v>454</v>
      </c>
      <c r="D9" t="s">
        <v>383</v>
      </c>
      <c r="E9" t="s">
        <v>384</v>
      </c>
      <c r="F9" t="s">
        <v>374</v>
      </c>
      <c r="G9" s="2">
        <v>59.75</v>
      </c>
      <c r="H9" s="2">
        <v>62.625</v>
      </c>
      <c r="I9" s="2">
        <v>62.85</v>
      </c>
      <c r="J9" s="2">
        <v>65.924999999999997</v>
      </c>
      <c r="K9" s="2">
        <v>66.8</v>
      </c>
      <c r="L9" s="2">
        <v>70.05</v>
      </c>
      <c r="M9" s="2">
        <v>66.275000000000006</v>
      </c>
      <c r="N9" s="2">
        <v>68</v>
      </c>
      <c r="O9" s="2">
        <v>68.474999999999994</v>
      </c>
      <c r="P9" s="2">
        <v>66.474999999999994</v>
      </c>
      <c r="Q9" s="2">
        <v>65.349999999999994</v>
      </c>
      <c r="R9" s="2">
        <v>69.05</v>
      </c>
      <c r="S9" s="2">
        <v>68.575000000000003</v>
      </c>
      <c r="T9" s="2">
        <v>69.275000000000006</v>
      </c>
      <c r="U9" s="2">
        <v>71.275000000000006</v>
      </c>
      <c r="V9" s="2">
        <v>72</v>
      </c>
      <c r="W9" s="2">
        <v>70.849999999999994</v>
      </c>
      <c r="X9" s="2">
        <v>72.75</v>
      </c>
      <c r="Y9" s="2">
        <v>73.325000000000003</v>
      </c>
      <c r="Z9" s="2">
        <v>70.974999999999994</v>
      </c>
      <c r="AA9" s="2">
        <v>72.650000000000006</v>
      </c>
      <c r="AB9" s="2">
        <v>80.224999999999994</v>
      </c>
      <c r="AC9" s="2">
        <v>81.099999999999994</v>
      </c>
      <c r="AD9" s="2">
        <v>84.325000000000003</v>
      </c>
      <c r="AE9" s="2">
        <v>84.375</v>
      </c>
      <c r="AF9" s="2">
        <v>84.6</v>
      </c>
      <c r="AG9" s="2">
        <v>87.65</v>
      </c>
      <c r="AH9" s="2">
        <v>93.174999999999997</v>
      </c>
      <c r="AI9" s="2">
        <v>95.775000000000006</v>
      </c>
      <c r="AJ9" s="2">
        <v>97.575000000000003</v>
      </c>
      <c r="AK9" s="2">
        <v>97.375</v>
      </c>
      <c r="AL9" s="2">
        <v>96.775000000000006</v>
      </c>
      <c r="AM9" s="2">
        <v>98.6</v>
      </c>
      <c r="AN9" s="2">
        <v>99.125</v>
      </c>
      <c r="AO9" s="2">
        <v>97.025000000000006</v>
      </c>
      <c r="AP9" s="2">
        <v>97.45</v>
      </c>
      <c r="AQ9" s="2">
        <v>93.224999999999994</v>
      </c>
      <c r="AR9" s="2">
        <v>93.775000000000006</v>
      </c>
      <c r="AS9" s="2">
        <v>89.625</v>
      </c>
      <c r="AT9" s="2">
        <v>85.525000000000006</v>
      </c>
      <c r="AU9" s="2">
        <v>86.9</v>
      </c>
      <c r="AV9" s="2">
        <v>87.15</v>
      </c>
      <c r="AW9" s="2">
        <v>88.474999999999994</v>
      </c>
      <c r="AX9" s="2">
        <v>90.25</v>
      </c>
      <c r="AY9" s="2">
        <v>92.125</v>
      </c>
      <c r="AZ9" s="2">
        <v>94.424999999999997</v>
      </c>
      <c r="BA9" s="2">
        <v>96.5</v>
      </c>
      <c r="BB9" s="2">
        <v>98.474999999999994</v>
      </c>
      <c r="BC9" s="2">
        <v>98.724999999999994</v>
      </c>
      <c r="BD9" s="2">
        <v>98.525000000000006</v>
      </c>
      <c r="BE9" s="2">
        <v>97.075000000000003</v>
      </c>
      <c r="BF9" s="2">
        <v>99.974999999999994</v>
      </c>
      <c r="BG9" s="2">
        <v>103.125</v>
      </c>
      <c r="BH9" s="2">
        <v>104.22499999999999</v>
      </c>
      <c r="BI9" s="2">
        <v>106.6</v>
      </c>
      <c r="BJ9" s="2">
        <v>110.6</v>
      </c>
      <c r="BK9" s="2">
        <v>110.7</v>
      </c>
      <c r="BL9" s="2">
        <v>115.25</v>
      </c>
      <c r="BM9" s="2">
        <v>120.25</v>
      </c>
      <c r="BN9" s="2">
        <v>124.75</v>
      </c>
      <c r="BO9" s="2">
        <v>131.67500000000001</v>
      </c>
      <c r="BP9" s="2">
        <v>135.35</v>
      </c>
      <c r="BQ9" s="2">
        <v>138.02500000000001</v>
      </c>
      <c r="BR9" s="2">
        <v>142.25</v>
      </c>
      <c r="BS9" s="2">
        <v>146.47499999999999</v>
      </c>
      <c r="BT9" s="2">
        <v>152.9</v>
      </c>
      <c r="BU9" s="2">
        <v>154.44999999999999</v>
      </c>
      <c r="BV9" s="2">
        <v>156.80000000000001</v>
      </c>
      <c r="BW9" s="2">
        <v>163.6</v>
      </c>
      <c r="BX9" s="2">
        <v>165.65</v>
      </c>
      <c r="BY9" s="2">
        <v>166.9</v>
      </c>
      <c r="BZ9" s="2">
        <v>168.375</v>
      </c>
      <c r="CA9" s="2">
        <v>169.4</v>
      </c>
      <c r="CB9" s="2">
        <v>175.57499999999999</v>
      </c>
      <c r="CC9" s="2">
        <v>179.72499999999999</v>
      </c>
      <c r="CD9" s="2">
        <v>183.77500000000001</v>
      </c>
      <c r="CE9" s="2">
        <v>187.1</v>
      </c>
      <c r="CF9" s="2">
        <v>187.17500000000001</v>
      </c>
      <c r="CG9" s="2">
        <v>191.15</v>
      </c>
      <c r="CH9" s="2">
        <v>192.1</v>
      </c>
      <c r="CI9" s="2">
        <v>192.55</v>
      </c>
      <c r="CJ9" s="2">
        <v>194.85</v>
      </c>
      <c r="CK9" s="2">
        <v>194.32499999999999</v>
      </c>
      <c r="CL9" s="2">
        <v>200.57499999999999</v>
      </c>
      <c r="CM9" s="2">
        <v>202.55</v>
      </c>
      <c r="CN9" s="2">
        <v>209.4</v>
      </c>
      <c r="CO9" s="2">
        <v>217.22499999999999</v>
      </c>
      <c r="CP9" s="2">
        <v>222.25</v>
      </c>
      <c r="CQ9" s="2">
        <v>226.52500000000001</v>
      </c>
      <c r="CR9" s="2">
        <v>229.7</v>
      </c>
      <c r="CS9" s="2">
        <v>239.65</v>
      </c>
      <c r="CT9" s="2">
        <v>243.05</v>
      </c>
      <c r="CU9" s="2">
        <v>245.97499999999999</v>
      </c>
      <c r="CV9" s="2">
        <v>249.97499999999999</v>
      </c>
      <c r="CW9" s="2">
        <v>252</v>
      </c>
      <c r="CX9" s="2">
        <v>267.72500000000002</v>
      </c>
      <c r="CY9" s="2">
        <v>272.8</v>
      </c>
      <c r="CZ9" s="2">
        <v>283.7</v>
      </c>
      <c r="DA9" s="2">
        <v>290.27499999999998</v>
      </c>
      <c r="DB9" s="2">
        <v>289.85000000000002</v>
      </c>
      <c r="DC9" s="2">
        <v>291.2</v>
      </c>
      <c r="DD9" s="2">
        <v>288</v>
      </c>
      <c r="DE9" s="2">
        <v>286.67500000000001</v>
      </c>
      <c r="DF9" s="2">
        <v>297.32499999999999</v>
      </c>
      <c r="DG9" s="2">
        <v>296.35000000000002</v>
      </c>
      <c r="DH9" s="2">
        <v>300.02499999999998</v>
      </c>
      <c r="DI9" s="2">
        <v>309.07499999999999</v>
      </c>
      <c r="DJ9" s="2">
        <v>315.67500000000001</v>
      </c>
      <c r="DK9" s="2">
        <v>320.22500000000002</v>
      </c>
      <c r="DL9" s="2">
        <v>329.97500000000002</v>
      </c>
      <c r="DM9" s="2">
        <v>337.9</v>
      </c>
      <c r="DN9" s="2">
        <v>334.52499999999998</v>
      </c>
      <c r="DO9" s="2">
        <v>330.32499999999999</v>
      </c>
      <c r="DP9" s="2">
        <v>320.625</v>
      </c>
      <c r="DQ9" s="2">
        <v>304.22500000000002</v>
      </c>
      <c r="DR9" s="2">
        <v>293.64999999999998</v>
      </c>
      <c r="DS9" s="2">
        <v>300.05</v>
      </c>
      <c r="DT9" s="2">
        <v>309</v>
      </c>
      <c r="DU9" s="2">
        <v>309.97500000000002</v>
      </c>
      <c r="DV9" s="2">
        <v>305.39999999999998</v>
      </c>
      <c r="DW9" s="2">
        <v>304.45</v>
      </c>
      <c r="DX9" s="2">
        <v>305</v>
      </c>
      <c r="DY9" s="2">
        <v>313.32499999999999</v>
      </c>
      <c r="DZ9" s="2">
        <v>327.42500000000001</v>
      </c>
      <c r="EA9" s="2">
        <v>334.82499999999999</v>
      </c>
      <c r="EB9" s="2">
        <v>341.85</v>
      </c>
      <c r="EC9" s="2">
        <v>342.97500000000002</v>
      </c>
      <c r="ED9" s="2">
        <v>351.125</v>
      </c>
      <c r="EE9" s="2">
        <v>357.7</v>
      </c>
      <c r="EF9" s="2">
        <v>365.7</v>
      </c>
      <c r="EG9" s="2">
        <v>365.625</v>
      </c>
      <c r="EH9" s="2">
        <v>376.95</v>
      </c>
      <c r="EI9" s="2">
        <v>392.25</v>
      </c>
      <c r="EJ9" s="2">
        <v>399.52499999999998</v>
      </c>
      <c r="EK9" s="2">
        <v>399</v>
      </c>
      <c r="EL9" s="2">
        <v>414.15</v>
      </c>
      <c r="EM9" s="2">
        <v>422.35</v>
      </c>
      <c r="EN9" s="2">
        <v>428.75</v>
      </c>
      <c r="EO9" s="2">
        <v>442.15</v>
      </c>
      <c r="EP9" s="2">
        <v>452.3</v>
      </c>
      <c r="EQ9" s="2">
        <v>459.5</v>
      </c>
      <c r="ER9" s="2">
        <v>473</v>
      </c>
      <c r="ES9" s="2">
        <v>470.9</v>
      </c>
      <c r="ET9" s="2">
        <v>443.2</v>
      </c>
      <c r="EU9" s="2">
        <v>407.82499999999999</v>
      </c>
      <c r="EV9" s="2">
        <v>410.5</v>
      </c>
      <c r="EW9" s="2">
        <v>425.67500000000001</v>
      </c>
      <c r="EX9" s="2">
        <v>449.125</v>
      </c>
      <c r="EY9" s="2">
        <v>459.22500000000002</v>
      </c>
      <c r="EZ9" s="2">
        <v>469.32499999999999</v>
      </c>
      <c r="FA9" s="2">
        <v>482.75</v>
      </c>
      <c r="FB9" s="2">
        <v>495.95</v>
      </c>
      <c r="FC9" s="2">
        <v>500.2</v>
      </c>
      <c r="FD9" s="2">
        <v>508.67500000000001</v>
      </c>
      <c r="FE9" s="2">
        <v>515.67499999999995</v>
      </c>
      <c r="FF9" s="2">
        <v>519.6</v>
      </c>
      <c r="FG9" s="2">
        <v>525.92499999999995</v>
      </c>
      <c r="FH9" s="2">
        <v>531.125</v>
      </c>
      <c r="FI9" s="2">
        <v>534.375</v>
      </c>
      <c r="FJ9" s="2">
        <v>534.875</v>
      </c>
      <c r="FK9" s="2">
        <v>537.65</v>
      </c>
      <c r="FL9" s="2">
        <v>542.52499999999998</v>
      </c>
      <c r="FM9" s="2">
        <v>547.17499999999995</v>
      </c>
      <c r="FN9" s="2">
        <v>562.95000000000005</v>
      </c>
      <c r="FO9" s="2">
        <v>557.54999999999995</v>
      </c>
      <c r="FP9" s="2">
        <v>569.6</v>
      </c>
      <c r="FQ9" s="2">
        <v>571.95000000000005</v>
      </c>
      <c r="FR9" s="2">
        <v>576.67499999999995</v>
      </c>
      <c r="FS9" s="2">
        <v>572.125</v>
      </c>
      <c r="FT9" s="2">
        <v>573.65</v>
      </c>
      <c r="FU9" s="2">
        <v>569.02499999999998</v>
      </c>
      <c r="FV9" s="2">
        <v>568.25</v>
      </c>
      <c r="FW9" s="2">
        <v>566.625</v>
      </c>
      <c r="FX9" s="2">
        <v>571.02499999999998</v>
      </c>
      <c r="FY9" s="2">
        <v>580.27499999999998</v>
      </c>
      <c r="FZ9" s="2">
        <v>575.95000000000005</v>
      </c>
      <c r="GA9" s="2">
        <v>589.97500000000002</v>
      </c>
      <c r="GB9" s="2">
        <v>591.97500000000002</v>
      </c>
      <c r="GC9" s="2">
        <v>595.45000000000005</v>
      </c>
      <c r="GD9" s="2">
        <v>610.875</v>
      </c>
      <c r="GE9" s="2">
        <v>614.82500000000005</v>
      </c>
      <c r="GF9" s="2">
        <v>618.17499999999995</v>
      </c>
      <c r="GG9" s="2">
        <v>610.45000000000005</v>
      </c>
      <c r="GH9" s="2">
        <v>612.97500000000002</v>
      </c>
      <c r="GI9" s="2">
        <v>618.72500000000002</v>
      </c>
      <c r="GJ9" s="2">
        <v>615.6</v>
      </c>
      <c r="GK9" s="2">
        <v>615.72500000000002</v>
      </c>
      <c r="GL9" s="2">
        <v>619.47500000000002</v>
      </c>
      <c r="GM9" s="2">
        <v>592.95000000000005</v>
      </c>
      <c r="GN9" s="2">
        <v>467.75</v>
      </c>
      <c r="GO9" s="2">
        <v>526.25</v>
      </c>
      <c r="GP9" s="2">
        <v>558.4</v>
      </c>
      <c r="GQ9" s="2">
        <v>558.85</v>
      </c>
      <c r="GR9" s="2">
        <v>563.29999999999995</v>
      </c>
      <c r="GS9" s="2">
        <v>564.57500000000005</v>
      </c>
      <c r="GT9" s="2">
        <v>597.57500000000005</v>
      </c>
      <c r="GU9" s="2">
        <v>590.54999999999995</v>
      </c>
      <c r="GV9" s="2">
        <v>608.42499999999995</v>
      </c>
      <c r="GW9" s="2">
        <v>629.375</v>
      </c>
      <c r="GX9" s="2">
        <v>627.57500000000005</v>
      </c>
      <c r="GY9" s="2">
        <v>630.625</v>
      </c>
      <c r="GZ9" s="2">
        <v>622.9</v>
      </c>
      <c r="HA9" s="2">
        <v>630.375</v>
      </c>
      <c r="HB9" s="2">
        <v>639.9</v>
      </c>
      <c r="HC9" s="2">
        <v>642.95000000000005</v>
      </c>
      <c r="HD9" s="2">
        <v>644.6</v>
      </c>
      <c r="HE9" s="2">
        <v>659.55</v>
      </c>
      <c r="HF9" s="2">
        <v>659.3</v>
      </c>
      <c r="HG9" s="3">
        <v>664.12279999999998</v>
      </c>
      <c r="HH9" s="3">
        <v>659.2636</v>
      </c>
      <c r="HI9" s="3">
        <v>651.14</v>
      </c>
      <c r="HJ9" s="3">
        <v>627.97209999999995</v>
      </c>
      <c r="HK9" s="3">
        <v>609.06230000000005</v>
      </c>
      <c r="HL9" s="3">
        <v>607.22</v>
      </c>
      <c r="HM9" s="3">
        <v>610.07079999999996</v>
      </c>
      <c r="HN9" s="3">
        <v>613.67669999999998</v>
      </c>
      <c r="HO9" s="3">
        <v>617.88729999999998</v>
      </c>
      <c r="HP9" s="3">
        <v>622.42679999999996</v>
      </c>
      <c r="HQ9" s="3">
        <v>627.1182</v>
      </c>
      <c r="HR9" s="3">
        <v>631.91499999999996</v>
      </c>
      <c r="HS9" s="3">
        <v>636.84059999999999</v>
      </c>
      <c r="HT9" s="3">
        <v>641.82899999999995</v>
      </c>
      <c r="HU9" s="3">
        <v>646.84429999999998</v>
      </c>
      <c r="HV9" s="3">
        <v>651.90620000000001</v>
      </c>
      <c r="HW9" s="3">
        <v>656.98990000000003</v>
      </c>
      <c r="HX9" s="3">
        <v>662.06679999999994</v>
      </c>
      <c r="HY9" s="3">
        <v>667.11320000000001</v>
      </c>
      <c r="HZ9" s="3">
        <v>672.12800000000004</v>
      </c>
      <c r="IA9" s="3">
        <v>677.10969999999998</v>
      </c>
      <c r="IB9" s="3">
        <v>682.05740000000003</v>
      </c>
      <c r="IC9" s="3">
        <v>686.96950000000004</v>
      </c>
      <c r="ID9" s="3">
        <v>691.84490000000005</v>
      </c>
      <c r="IE9" s="3">
        <v>696.68219999999997</v>
      </c>
      <c r="IF9" s="3">
        <v>701.49130000000002</v>
      </c>
      <c r="IG9" s="3">
        <v>706.27139999999997</v>
      </c>
      <c r="IH9" s="3">
        <v>711.02089999999998</v>
      </c>
      <c r="II9" s="3">
        <v>715.73919999999998</v>
      </c>
      <c r="IJ9" s="3">
        <v>720.42520000000002</v>
      </c>
      <c r="IK9" s="3">
        <v>725.10019999999997</v>
      </c>
      <c r="IL9" s="3">
        <v>729.71590000000003</v>
      </c>
      <c r="IM9" s="3">
        <v>734.29669999999999</v>
      </c>
      <c r="IN9" s="3">
        <v>738.84109999999998</v>
      </c>
      <c r="IO9" s="3">
        <v>743.34829999999999</v>
      </c>
      <c r="IP9" s="3">
        <v>747.81700000000001</v>
      </c>
      <c r="IQ9" s="3">
        <v>752.24649999999997</v>
      </c>
      <c r="IR9" s="3">
        <v>756.63549999999998</v>
      </c>
      <c r="IS9" s="3">
        <v>760.98329999999999</v>
      </c>
      <c r="IT9" s="3">
        <v>765.2885</v>
      </c>
      <c r="IU9" s="3">
        <v>769.55039999999997</v>
      </c>
      <c r="IV9" s="3">
        <v>773.76800000000003</v>
      </c>
      <c r="IW9" s="3">
        <v>777.94010000000003</v>
      </c>
      <c r="IX9" s="3">
        <v>782.06590000000006</v>
      </c>
      <c r="IY9" s="3">
        <v>786.16039999999998</v>
      </c>
      <c r="IZ9" s="3">
        <v>790.27530000000002</v>
      </c>
      <c r="JA9" s="3">
        <v>794.38840000000005</v>
      </c>
      <c r="JB9" s="3">
        <v>798.51869999999997</v>
      </c>
      <c r="JC9" s="3">
        <v>802.6499</v>
      </c>
      <c r="JD9" s="3">
        <v>806.78970000000004</v>
      </c>
      <c r="JE9" s="3">
        <v>810.96730000000002</v>
      </c>
      <c r="JF9" s="3">
        <v>815.12049999999999</v>
      </c>
      <c r="JG9" s="3">
        <v>819.29420000000005</v>
      </c>
      <c r="JH9" s="3">
        <v>823.46910000000003</v>
      </c>
      <c r="JI9" s="3">
        <v>827.6739</v>
      </c>
      <c r="JJ9" s="3">
        <v>831.88530000000003</v>
      </c>
      <c r="JK9" s="3">
        <v>836.11519999999996</v>
      </c>
      <c r="JL9" s="3">
        <v>840.35979999999995</v>
      </c>
      <c r="JM9" s="3">
        <v>844.58339999999998</v>
      </c>
      <c r="JN9" s="3">
        <v>848.85519999999997</v>
      </c>
      <c r="JO9" s="3">
        <v>853.13059999999996</v>
      </c>
      <c r="JP9" s="3">
        <v>857.40890000000002</v>
      </c>
      <c r="JQ9" s="3">
        <v>861.7</v>
      </c>
      <c r="JR9" s="3">
        <v>866.0095</v>
      </c>
      <c r="JS9" s="3">
        <v>870.33360000000005</v>
      </c>
      <c r="JT9" s="3">
        <v>874.66830000000004</v>
      </c>
      <c r="JU9" s="3">
        <v>879.02369999999996</v>
      </c>
      <c r="JV9" s="3">
        <v>883.39120000000003</v>
      </c>
      <c r="JW9" s="3">
        <v>887.77</v>
      </c>
      <c r="JX9" s="3">
        <v>892.16610000000003</v>
      </c>
      <c r="JY9" s="3">
        <v>896.57119999999998</v>
      </c>
      <c r="JZ9" s="3">
        <v>900.99159999999995</v>
      </c>
      <c r="KA9" s="3">
        <v>905.44420000000002</v>
      </c>
      <c r="KB9" s="3">
        <v>909.9162</v>
      </c>
      <c r="KC9" s="3">
        <v>914.3886</v>
      </c>
      <c r="KD9" s="3">
        <v>918.89210000000003</v>
      </c>
      <c r="KE9" s="3">
        <v>923.40989999999999</v>
      </c>
      <c r="KF9" s="3">
        <v>927.93470000000002</v>
      </c>
      <c r="KG9" s="3">
        <v>932.47339999999997</v>
      </c>
      <c r="KH9" s="3">
        <v>937.03769999999997</v>
      </c>
      <c r="KI9" s="3">
        <v>941.596</v>
      </c>
      <c r="KJ9" s="3">
        <v>946.17899999999997</v>
      </c>
      <c r="KK9" s="3">
        <v>950.76250000000005</v>
      </c>
      <c r="KL9" s="3">
        <v>955.37080000000003</v>
      </c>
      <c r="KM9" s="3">
        <v>959.9973</v>
      </c>
      <c r="KN9" s="3">
        <v>964.62699999999995</v>
      </c>
      <c r="KO9" s="3">
        <v>969.27149999999995</v>
      </c>
      <c r="KP9" s="3">
        <v>973.9479</v>
      </c>
      <c r="KQ9" s="3">
        <v>978.62429999999995</v>
      </c>
      <c r="KR9" s="3">
        <v>983.31089999999995</v>
      </c>
      <c r="KS9" s="3">
        <v>988.01880000000006</v>
      </c>
      <c r="KT9" s="3">
        <v>992.73599999999999</v>
      </c>
      <c r="KU9" s="3">
        <v>997.46559999999999</v>
      </c>
      <c r="KV9" s="3">
        <v>1002.232</v>
      </c>
      <c r="KW9" s="3">
        <v>1006.974</v>
      </c>
      <c r="KX9" s="3">
        <v>1011.773</v>
      </c>
      <c r="KY9" s="3">
        <v>1016.569</v>
      </c>
      <c r="KZ9" s="3">
        <v>1021.348</v>
      </c>
      <c r="LA9" s="3">
        <v>1026.172</v>
      </c>
      <c r="LB9" s="3">
        <v>1030.991</v>
      </c>
      <c r="LC9" s="3">
        <v>1035.857</v>
      </c>
      <c r="LD9" s="3">
        <v>1040.7180000000001</v>
      </c>
      <c r="LE9" s="3">
        <v>1045.5809999999999</v>
      </c>
      <c r="LF9" s="3">
        <v>1050.4829999999999</v>
      </c>
      <c r="LG9" s="3">
        <v>1055.3920000000001</v>
      </c>
      <c r="LH9" s="3">
        <v>1060.325</v>
      </c>
      <c r="LI9" s="3">
        <v>1065.279</v>
      </c>
      <c r="LJ9" s="3">
        <v>1070.249</v>
      </c>
      <c r="LK9" s="3">
        <v>1075.249</v>
      </c>
      <c r="LL9" s="3">
        <v>1080.2619999999999</v>
      </c>
      <c r="LM9" s="3">
        <v>1085.297</v>
      </c>
      <c r="LN9" s="3">
        <v>1090.3520000000001</v>
      </c>
      <c r="LO9" s="3">
        <v>1095.4269999999999</v>
      </c>
      <c r="LP9" s="3">
        <v>1100.5219999999999</v>
      </c>
      <c r="LQ9" s="3">
        <v>1105.643</v>
      </c>
      <c r="LR9" s="3">
        <v>1110.7860000000001</v>
      </c>
      <c r="LS9" s="3">
        <v>1115.944</v>
      </c>
      <c r="LT9" s="3">
        <v>1121.116</v>
      </c>
      <c r="LU9" s="3">
        <v>1126.32</v>
      </c>
      <c r="LV9" s="3">
        <v>1131.5429999999999</v>
      </c>
      <c r="LW9" s="3">
        <v>1136.7860000000001</v>
      </c>
      <c r="LX9" s="3">
        <v>1142.0530000000001</v>
      </c>
      <c r="LY9" s="3">
        <v>1147.3440000000001</v>
      </c>
      <c r="LZ9" s="3">
        <v>1152.6389999999999</v>
      </c>
      <c r="MA9" s="3">
        <v>1157.9749999999999</v>
      </c>
      <c r="MB9" s="3">
        <v>1163.317</v>
      </c>
      <c r="MC9" s="3">
        <v>1168.694</v>
      </c>
      <c r="MD9" s="3">
        <v>1174.0940000000001</v>
      </c>
      <c r="ME9" s="3">
        <v>1179.5039999999999</v>
      </c>
      <c r="MF9" s="3">
        <v>1184.941</v>
      </c>
      <c r="MG9" s="3">
        <v>1190.4110000000001</v>
      </c>
      <c r="MH9" s="3">
        <v>1195.8979999999999</v>
      </c>
      <c r="MI9" s="3">
        <v>1201.415</v>
      </c>
      <c r="MJ9" s="3">
        <v>1206.944</v>
      </c>
      <c r="MK9" s="3">
        <v>1212.509</v>
      </c>
      <c r="ML9" s="3">
        <v>1218.087</v>
      </c>
      <c r="MM9" s="3">
        <v>1223.701</v>
      </c>
      <c r="MN9" s="3">
        <v>1229.329</v>
      </c>
      <c r="MO9" s="3">
        <v>1234.9770000000001</v>
      </c>
      <c r="MP9" s="3">
        <v>1240.664</v>
      </c>
      <c r="MQ9" s="3">
        <v>1246.3630000000001</v>
      </c>
      <c r="MR9" s="3">
        <v>1252.0889999999999</v>
      </c>
      <c r="MS9" s="3">
        <v>1257.8389999999999</v>
      </c>
      <c r="MT9" s="3">
        <v>1263.607</v>
      </c>
      <c r="MU9" t="s">
        <v>385</v>
      </c>
      <c r="MV9" t="b">
        <v>1</v>
      </c>
      <c r="MW9" s="1" t="s">
        <v>386</v>
      </c>
      <c r="MX9" t="s">
        <v>377</v>
      </c>
      <c r="MY9">
        <v>2024</v>
      </c>
      <c r="MZ9">
        <v>4</v>
      </c>
      <c r="NA9" t="s">
        <v>377</v>
      </c>
      <c r="NB9" s="1" t="s">
        <v>400</v>
      </c>
      <c r="NC9" s="1" t="s">
        <v>401</v>
      </c>
      <c r="ND9" t="s">
        <v>389</v>
      </c>
      <c r="NE9" t="s">
        <v>399</v>
      </c>
      <c r="NF9" s="1" t="s">
        <v>455</v>
      </c>
    </row>
    <row r="10" spans="1:370" x14ac:dyDescent="0.25">
      <c r="A10" t="s">
        <v>370</v>
      </c>
      <c r="B10" s="1" t="s">
        <v>435</v>
      </c>
      <c r="C10" s="1" t="s">
        <v>454</v>
      </c>
      <c r="D10" t="s">
        <v>372</v>
      </c>
      <c r="E10" t="s">
        <v>373</v>
      </c>
      <c r="F10" t="s">
        <v>374</v>
      </c>
      <c r="G10" s="2">
        <v>13911.1</v>
      </c>
      <c r="H10" s="2">
        <v>14383.87</v>
      </c>
      <c r="I10" s="2">
        <v>14134.28</v>
      </c>
      <c r="J10" s="2">
        <v>14654.81</v>
      </c>
      <c r="K10" s="2">
        <v>16014.87</v>
      </c>
      <c r="L10" s="2">
        <v>15888.81</v>
      </c>
      <c r="M10" s="2">
        <v>16274.34</v>
      </c>
      <c r="N10" s="2">
        <v>15142.34</v>
      </c>
      <c r="O10" s="2">
        <v>15222.87</v>
      </c>
      <c r="P10" s="2">
        <v>15136.16</v>
      </c>
      <c r="Q10" s="2">
        <v>15232.16</v>
      </c>
      <c r="R10" s="2">
        <v>16077.4</v>
      </c>
      <c r="S10" s="2">
        <v>16502.87</v>
      </c>
      <c r="T10" s="2">
        <v>17543.099999999999</v>
      </c>
      <c r="U10" s="2">
        <v>16388.57</v>
      </c>
      <c r="V10" s="2">
        <v>16747.04</v>
      </c>
      <c r="W10" s="2">
        <v>17034.98</v>
      </c>
      <c r="X10" s="2">
        <v>17530.21</v>
      </c>
      <c r="Y10" s="2">
        <v>18027.45</v>
      </c>
      <c r="Z10" s="2">
        <v>17529.04</v>
      </c>
      <c r="AA10" s="2">
        <v>17137.45</v>
      </c>
      <c r="AB10" s="2">
        <v>18068.150000000001</v>
      </c>
      <c r="AC10" s="2">
        <v>16110.09</v>
      </c>
      <c r="AD10" s="2">
        <v>16562.86</v>
      </c>
      <c r="AE10" s="2">
        <v>12034.5</v>
      </c>
      <c r="AF10" s="2">
        <v>17701.14</v>
      </c>
      <c r="AG10" s="2">
        <v>14802.85</v>
      </c>
      <c r="AH10" s="2">
        <v>16132.91</v>
      </c>
      <c r="AI10" s="2">
        <v>17320.91</v>
      </c>
      <c r="AJ10" s="2">
        <v>16153.44</v>
      </c>
      <c r="AK10" s="2">
        <v>15567.97</v>
      </c>
      <c r="AL10" s="2">
        <v>15568.44</v>
      </c>
      <c r="AM10" s="2">
        <v>12698.02</v>
      </c>
      <c r="AN10" s="2">
        <v>13291.79</v>
      </c>
      <c r="AO10" s="2">
        <v>13837.25</v>
      </c>
      <c r="AP10" s="2">
        <v>14265.79</v>
      </c>
      <c r="AQ10" s="2">
        <v>14239.55</v>
      </c>
      <c r="AR10" s="2">
        <v>14329.72</v>
      </c>
      <c r="AS10" s="2">
        <v>12844.9</v>
      </c>
      <c r="AT10" s="2">
        <v>13139.37</v>
      </c>
      <c r="AU10" s="2">
        <v>13361.43</v>
      </c>
      <c r="AV10" s="2">
        <v>12684.37</v>
      </c>
      <c r="AW10" s="2">
        <v>13444.37</v>
      </c>
      <c r="AX10" s="2">
        <v>12600.25</v>
      </c>
      <c r="AY10" s="2">
        <v>14020.54</v>
      </c>
      <c r="AZ10" s="2">
        <v>14567.07</v>
      </c>
      <c r="BA10" s="2">
        <v>13787.42</v>
      </c>
      <c r="BB10" s="2">
        <v>15603.78</v>
      </c>
      <c r="BC10" s="2">
        <v>14844.18</v>
      </c>
      <c r="BD10" s="2">
        <v>15294.36</v>
      </c>
      <c r="BE10" s="2">
        <v>15276.48</v>
      </c>
      <c r="BF10" s="2">
        <v>14510.18</v>
      </c>
      <c r="BG10" s="2">
        <v>14486.36</v>
      </c>
      <c r="BH10" s="2">
        <v>15815.12</v>
      </c>
      <c r="BI10" s="2">
        <v>15054.83</v>
      </c>
      <c r="BJ10" s="2">
        <v>16708.36</v>
      </c>
      <c r="BK10" s="2">
        <v>18528.419999999998</v>
      </c>
      <c r="BL10" s="2">
        <v>17568.18</v>
      </c>
      <c r="BM10" s="2">
        <v>18760.650000000001</v>
      </c>
      <c r="BN10" s="2">
        <v>18302.36</v>
      </c>
      <c r="BO10" s="2">
        <v>18628.419999999998</v>
      </c>
      <c r="BP10" s="2">
        <v>19847.419999999998</v>
      </c>
      <c r="BQ10" s="2">
        <v>21800.78</v>
      </c>
      <c r="BR10" s="2">
        <v>22991.19</v>
      </c>
      <c r="BS10" s="2">
        <v>26502.79</v>
      </c>
      <c r="BT10" s="2">
        <v>25986.32</v>
      </c>
      <c r="BU10" s="2">
        <v>25721.19</v>
      </c>
      <c r="BV10" s="2">
        <v>26584.37</v>
      </c>
      <c r="BW10" s="2">
        <v>26486.07</v>
      </c>
      <c r="BX10" s="2">
        <v>27016.07</v>
      </c>
      <c r="BY10" s="2">
        <v>28534.959999999999</v>
      </c>
      <c r="BZ10" s="2">
        <v>28512.19</v>
      </c>
      <c r="CA10" s="2">
        <v>28390.49</v>
      </c>
      <c r="CB10" s="2">
        <v>29084.43</v>
      </c>
      <c r="CC10" s="2">
        <v>28134.07</v>
      </c>
      <c r="CD10" s="2">
        <v>27742.07</v>
      </c>
      <c r="CE10" s="2">
        <v>29177.19</v>
      </c>
      <c r="CF10" s="2">
        <v>28744.6</v>
      </c>
      <c r="CG10" s="2">
        <v>27811.31</v>
      </c>
      <c r="CH10" s="2">
        <v>28771.54</v>
      </c>
      <c r="CI10" s="2">
        <v>29509.31</v>
      </c>
      <c r="CJ10" s="2">
        <v>29054.54</v>
      </c>
      <c r="CK10" s="2">
        <v>26145.06</v>
      </c>
      <c r="CL10" s="2">
        <v>26150</v>
      </c>
      <c r="CM10" s="2">
        <v>28757.77</v>
      </c>
      <c r="CN10" s="2">
        <v>28745.7</v>
      </c>
      <c r="CO10" s="2">
        <v>29943.23</v>
      </c>
      <c r="CP10" s="2">
        <v>31436.17</v>
      </c>
      <c r="CQ10" s="2">
        <v>33597.47</v>
      </c>
      <c r="CR10" s="2">
        <v>35269.360000000001</v>
      </c>
      <c r="CS10" s="2">
        <v>37229.83</v>
      </c>
      <c r="CT10" s="2">
        <v>36407.699999999997</v>
      </c>
      <c r="CU10" s="2">
        <v>38859.06</v>
      </c>
      <c r="CV10" s="2">
        <v>40237.589999999997</v>
      </c>
      <c r="CW10" s="2">
        <v>41370.83</v>
      </c>
      <c r="CX10" s="2">
        <v>41113</v>
      </c>
      <c r="CY10" s="2">
        <v>47312</v>
      </c>
      <c r="CZ10" s="2">
        <v>49077</v>
      </c>
      <c r="DA10" s="2">
        <v>46468</v>
      </c>
      <c r="DB10" s="2">
        <v>49699</v>
      </c>
      <c r="DC10" s="2">
        <v>49018</v>
      </c>
      <c r="DD10" s="2">
        <v>48801</v>
      </c>
      <c r="DE10" s="2">
        <v>49164</v>
      </c>
      <c r="DF10" s="2">
        <v>48941</v>
      </c>
      <c r="DG10" s="2">
        <v>48191</v>
      </c>
      <c r="DH10" s="2">
        <v>50236</v>
      </c>
      <c r="DI10" s="2">
        <v>53818</v>
      </c>
      <c r="DJ10" s="2">
        <v>53036</v>
      </c>
      <c r="DK10" s="2">
        <v>55236</v>
      </c>
      <c r="DL10" s="2">
        <v>56441</v>
      </c>
      <c r="DM10" s="2">
        <v>57547</v>
      </c>
      <c r="DN10" s="2">
        <v>61784</v>
      </c>
      <c r="DO10" s="2">
        <v>62604</v>
      </c>
      <c r="DP10" s="2">
        <v>60790</v>
      </c>
      <c r="DQ10" s="2">
        <v>56263</v>
      </c>
      <c r="DR10" s="2">
        <v>54782</v>
      </c>
      <c r="DS10" s="2">
        <v>58201</v>
      </c>
      <c r="DT10" s="2">
        <v>61012</v>
      </c>
      <c r="DU10" s="2">
        <v>60535</v>
      </c>
      <c r="DV10" s="2">
        <v>55055</v>
      </c>
      <c r="DW10" s="2">
        <v>60127</v>
      </c>
      <c r="DX10" s="2">
        <v>57243</v>
      </c>
      <c r="DY10" s="2">
        <v>57598</v>
      </c>
      <c r="DZ10" s="2">
        <v>60770</v>
      </c>
      <c r="EA10" s="2">
        <v>58977</v>
      </c>
      <c r="EB10" s="2">
        <v>61445</v>
      </c>
      <c r="EC10" s="2">
        <v>63187</v>
      </c>
      <c r="ED10" s="2">
        <v>63597</v>
      </c>
      <c r="EE10" s="2">
        <v>62404</v>
      </c>
      <c r="EF10" s="2">
        <v>69622</v>
      </c>
      <c r="EG10" s="2">
        <v>74283</v>
      </c>
      <c r="EH10" s="2">
        <v>76075</v>
      </c>
      <c r="EI10" s="2">
        <v>90963</v>
      </c>
      <c r="EJ10" s="2">
        <v>96110</v>
      </c>
      <c r="EK10" s="2">
        <v>72582</v>
      </c>
      <c r="EL10" s="2">
        <v>72635</v>
      </c>
      <c r="EM10" s="2">
        <v>72659</v>
      </c>
      <c r="EN10" s="2">
        <v>75457</v>
      </c>
      <c r="EO10" s="2">
        <v>75142</v>
      </c>
      <c r="EP10" s="2">
        <v>75960</v>
      </c>
      <c r="EQ10" s="2">
        <v>76125</v>
      </c>
      <c r="ER10" s="2">
        <v>78115</v>
      </c>
      <c r="ES10" s="2">
        <v>77283</v>
      </c>
      <c r="ET10" s="2">
        <v>66295</v>
      </c>
      <c r="EU10" s="2">
        <v>61223</v>
      </c>
      <c r="EV10" s="2">
        <v>63530</v>
      </c>
      <c r="EW10" s="2">
        <v>66740</v>
      </c>
      <c r="EX10" s="2">
        <v>69559</v>
      </c>
      <c r="EY10" s="2">
        <v>68793</v>
      </c>
      <c r="EZ10" s="2">
        <v>73351</v>
      </c>
      <c r="FA10" s="2">
        <v>75631</v>
      </c>
      <c r="FB10" s="2">
        <v>75516</v>
      </c>
      <c r="FC10" s="2">
        <v>82899</v>
      </c>
      <c r="FD10" s="2">
        <v>77247</v>
      </c>
      <c r="FE10" s="2">
        <v>79055</v>
      </c>
      <c r="FF10" s="2">
        <v>82546</v>
      </c>
      <c r="FG10" s="2">
        <v>82827</v>
      </c>
      <c r="FH10" s="2">
        <v>76721</v>
      </c>
      <c r="FI10" s="2">
        <v>80308</v>
      </c>
      <c r="FJ10" s="2">
        <v>79657</v>
      </c>
      <c r="FK10" s="2">
        <v>78390</v>
      </c>
      <c r="FL10" s="2">
        <v>80561</v>
      </c>
      <c r="FM10" s="2">
        <v>80735</v>
      </c>
      <c r="FN10" s="2">
        <v>79648</v>
      </c>
      <c r="FO10" s="2">
        <v>79393</v>
      </c>
      <c r="FP10" s="2">
        <v>83041</v>
      </c>
      <c r="FQ10" s="2">
        <v>81331</v>
      </c>
      <c r="FR10" s="2">
        <v>82852</v>
      </c>
      <c r="FS10" s="2">
        <v>82894</v>
      </c>
      <c r="FT10" s="2">
        <v>85562</v>
      </c>
      <c r="FU10" s="2">
        <v>82221</v>
      </c>
      <c r="FV10" s="2">
        <v>84336</v>
      </c>
      <c r="FW10" s="2">
        <v>81123</v>
      </c>
      <c r="FX10" s="2">
        <v>86230</v>
      </c>
      <c r="FY10" s="2">
        <v>83151</v>
      </c>
      <c r="FZ10" s="2">
        <v>86737</v>
      </c>
      <c r="GA10" s="2">
        <v>86199</v>
      </c>
      <c r="GB10" s="2">
        <v>86884</v>
      </c>
      <c r="GC10" s="2">
        <v>89058</v>
      </c>
      <c r="GD10" s="2">
        <v>90091</v>
      </c>
      <c r="GE10" s="2">
        <v>91944</v>
      </c>
      <c r="GF10" s="2">
        <v>89256</v>
      </c>
      <c r="GG10" s="2">
        <v>89300</v>
      </c>
      <c r="GH10" s="2">
        <v>87750</v>
      </c>
      <c r="GI10" s="2">
        <v>91240</v>
      </c>
      <c r="GJ10" s="2">
        <v>88505</v>
      </c>
      <c r="GK10" s="2">
        <v>89995</v>
      </c>
      <c r="GL10" s="2">
        <v>99624</v>
      </c>
      <c r="GM10" s="2">
        <v>84316</v>
      </c>
      <c r="GN10" s="2">
        <v>73698</v>
      </c>
      <c r="GO10" s="2">
        <v>77079</v>
      </c>
      <c r="GP10" s="2">
        <v>83241</v>
      </c>
      <c r="GQ10" s="2">
        <v>76485</v>
      </c>
      <c r="GR10" s="2">
        <v>88635</v>
      </c>
      <c r="GS10" s="2">
        <v>79442</v>
      </c>
      <c r="GT10" s="2">
        <v>88057</v>
      </c>
      <c r="GU10" s="2">
        <v>79755</v>
      </c>
      <c r="GV10" s="2">
        <v>83449</v>
      </c>
      <c r="GW10" s="2">
        <v>98222</v>
      </c>
      <c r="GX10" s="2">
        <v>101136</v>
      </c>
      <c r="GY10" s="2">
        <v>87398</v>
      </c>
      <c r="GZ10" s="2">
        <v>87193</v>
      </c>
      <c r="HA10" s="2">
        <v>83160</v>
      </c>
      <c r="HB10" s="2">
        <v>86003</v>
      </c>
      <c r="HC10" s="2">
        <v>82999</v>
      </c>
      <c r="HD10" s="2">
        <v>79136</v>
      </c>
      <c r="HE10" s="2">
        <v>79947</v>
      </c>
      <c r="HF10" s="2">
        <v>75593</v>
      </c>
      <c r="HG10" s="3">
        <v>78863.960000000006</v>
      </c>
      <c r="HH10" s="3">
        <v>76532.990000000005</v>
      </c>
      <c r="HI10" s="3">
        <v>75001.37</v>
      </c>
      <c r="HJ10" s="3">
        <v>73106.27</v>
      </c>
      <c r="HK10" s="3">
        <v>72180.289999999994</v>
      </c>
      <c r="HL10" s="3">
        <v>71973.56</v>
      </c>
      <c r="HM10" s="3">
        <v>72055.94</v>
      </c>
      <c r="HN10" s="3">
        <v>72199.7</v>
      </c>
      <c r="HO10" s="3">
        <v>72398.23</v>
      </c>
      <c r="HP10" s="3">
        <v>72626.3</v>
      </c>
      <c r="HQ10" s="3">
        <v>72869.59</v>
      </c>
      <c r="HR10" s="3">
        <v>73077.3</v>
      </c>
      <c r="HS10" s="3">
        <v>73285.539999999994</v>
      </c>
      <c r="HT10" s="3">
        <v>73476.100000000006</v>
      </c>
      <c r="HU10" s="3">
        <v>73659.77</v>
      </c>
      <c r="HV10" s="3">
        <v>73843.92</v>
      </c>
      <c r="HW10" s="3">
        <v>74028.55</v>
      </c>
      <c r="HX10" s="3">
        <v>74213.600000000006</v>
      </c>
      <c r="HY10" s="3">
        <v>74399.149999999994</v>
      </c>
      <c r="HZ10" s="3">
        <v>74603.75</v>
      </c>
      <c r="IA10" s="3">
        <v>74827.56</v>
      </c>
      <c r="IB10" s="3">
        <v>75059.53</v>
      </c>
      <c r="IC10" s="3">
        <v>75292.210000000006</v>
      </c>
      <c r="ID10" s="3">
        <v>75525.62</v>
      </c>
      <c r="IE10" s="3">
        <v>75759.75</v>
      </c>
      <c r="IF10" s="3">
        <v>75994.600000000006</v>
      </c>
      <c r="IG10" s="3">
        <v>76230.19</v>
      </c>
      <c r="IH10" s="3">
        <v>76466.5</v>
      </c>
      <c r="II10" s="3">
        <v>76703.55</v>
      </c>
      <c r="IJ10" s="3">
        <v>76941.33</v>
      </c>
      <c r="IK10" s="3">
        <v>77179.839999999997</v>
      </c>
      <c r="IL10" s="3">
        <v>77419.100000000006</v>
      </c>
      <c r="IM10" s="3">
        <v>77648.09</v>
      </c>
      <c r="IN10" s="3">
        <v>77865.09</v>
      </c>
      <c r="IO10" s="3">
        <v>78082.720000000001</v>
      </c>
      <c r="IP10" s="3">
        <v>78287.41</v>
      </c>
      <c r="IQ10" s="3">
        <v>78504.34</v>
      </c>
      <c r="IR10" s="3">
        <v>78714.45</v>
      </c>
      <c r="IS10" s="3">
        <v>78924.259999999995</v>
      </c>
      <c r="IT10" s="3">
        <v>79129.149999999994</v>
      </c>
      <c r="IU10" s="3">
        <v>79344.98</v>
      </c>
      <c r="IV10" s="3">
        <v>79561.490000000005</v>
      </c>
      <c r="IW10" s="3">
        <v>79778.63</v>
      </c>
      <c r="IX10" s="3">
        <v>79996.38</v>
      </c>
      <c r="IY10" s="3">
        <v>80221.7</v>
      </c>
      <c r="IZ10" s="3">
        <v>80447.990000000005</v>
      </c>
      <c r="JA10" s="3">
        <v>80675.25</v>
      </c>
      <c r="JB10" s="3">
        <v>80903.45</v>
      </c>
      <c r="JC10" s="3">
        <v>81132.59</v>
      </c>
      <c r="JD10" s="3">
        <v>81362.66</v>
      </c>
      <c r="JE10" s="3">
        <v>81593.679999999993</v>
      </c>
      <c r="JF10" s="3">
        <v>81825.66</v>
      </c>
      <c r="JG10" s="3">
        <v>82065.399999999994</v>
      </c>
      <c r="JH10" s="3">
        <v>82306.16</v>
      </c>
      <c r="JI10" s="3">
        <v>82548.03</v>
      </c>
      <c r="JJ10" s="3">
        <v>82790.990000000005</v>
      </c>
      <c r="JK10" s="3">
        <v>83035.03</v>
      </c>
      <c r="JL10" s="3">
        <v>83280.14</v>
      </c>
      <c r="JM10" s="3">
        <v>83526.34</v>
      </c>
      <c r="JN10" s="3">
        <v>83773.66</v>
      </c>
      <c r="JO10" s="3">
        <v>84037.98</v>
      </c>
      <c r="JP10" s="3">
        <v>84303.38</v>
      </c>
      <c r="JQ10" s="3">
        <v>84569.83</v>
      </c>
      <c r="JR10" s="3">
        <v>84837.34</v>
      </c>
      <c r="JS10" s="3">
        <v>85113.37</v>
      </c>
      <c r="JT10" s="3">
        <v>85390.56</v>
      </c>
      <c r="JU10" s="3">
        <v>85669.8</v>
      </c>
      <c r="JV10" s="3">
        <v>85950.23</v>
      </c>
      <c r="JW10" s="3">
        <v>86231.81</v>
      </c>
      <c r="JX10" s="3">
        <v>86514.54</v>
      </c>
      <c r="JY10" s="3">
        <v>86791.13</v>
      </c>
      <c r="JZ10" s="3">
        <v>87068.76</v>
      </c>
      <c r="KA10" s="3">
        <v>87347.4</v>
      </c>
      <c r="KB10" s="3">
        <v>87627.08</v>
      </c>
      <c r="KC10" s="3">
        <v>87898.9</v>
      </c>
      <c r="KD10" s="3">
        <v>88171.56</v>
      </c>
      <c r="KE10" s="3">
        <v>88445.05</v>
      </c>
      <c r="KF10" s="3">
        <v>88719.37</v>
      </c>
      <c r="KG10" s="3">
        <v>88978.2</v>
      </c>
      <c r="KH10" s="3">
        <v>89237.61</v>
      </c>
      <c r="KI10" s="3">
        <v>89497.600000000006</v>
      </c>
      <c r="KJ10" s="3">
        <v>89758.16</v>
      </c>
      <c r="KK10" s="3">
        <v>90011.66</v>
      </c>
      <c r="KL10" s="3">
        <v>90265.63</v>
      </c>
      <c r="KM10" s="3">
        <v>90520.07</v>
      </c>
      <c r="KN10" s="3">
        <v>90774.95</v>
      </c>
      <c r="KO10" s="3">
        <v>91029.96</v>
      </c>
      <c r="KP10" s="3">
        <v>91285.42</v>
      </c>
      <c r="KQ10" s="3">
        <v>91541.36</v>
      </c>
      <c r="KR10" s="3">
        <v>91797.78</v>
      </c>
      <c r="KS10" s="3">
        <v>92049.19</v>
      </c>
      <c r="KT10" s="3">
        <v>92301</v>
      </c>
      <c r="KU10" s="3">
        <v>92553.24</v>
      </c>
      <c r="KV10" s="3">
        <v>92805.87</v>
      </c>
      <c r="KW10" s="3">
        <v>93056.58</v>
      </c>
      <c r="KX10" s="3">
        <v>93307.65</v>
      </c>
      <c r="KY10" s="3">
        <v>93559.09</v>
      </c>
      <c r="KZ10" s="3">
        <v>93810.880000000005</v>
      </c>
      <c r="LA10" s="3">
        <v>94055.65</v>
      </c>
      <c r="LB10" s="3">
        <v>94300.66</v>
      </c>
      <c r="LC10" s="3">
        <v>94546.84</v>
      </c>
      <c r="LD10" s="3">
        <v>94793.13</v>
      </c>
      <c r="LE10" s="3">
        <v>95037.14</v>
      </c>
      <c r="LF10" s="3">
        <v>95281.25</v>
      </c>
      <c r="LG10" s="3">
        <v>95525.53</v>
      </c>
      <c r="LH10" s="3">
        <v>95769.98</v>
      </c>
      <c r="LI10" s="3">
        <v>96010.86</v>
      </c>
      <c r="LJ10" s="3">
        <v>96251.88</v>
      </c>
      <c r="LK10" s="3">
        <v>96493.02</v>
      </c>
      <c r="LL10" s="3">
        <v>96734.3</v>
      </c>
      <c r="LM10" s="3">
        <v>96968.07</v>
      </c>
      <c r="LN10" s="3">
        <v>97201.84</v>
      </c>
      <c r="LO10" s="3">
        <v>97435.61</v>
      </c>
      <c r="LP10" s="3">
        <v>97669.37</v>
      </c>
      <c r="LQ10" s="3">
        <v>97903</v>
      </c>
      <c r="LR10" s="3">
        <v>98136.66</v>
      </c>
      <c r="LS10" s="3">
        <v>98370.33</v>
      </c>
      <c r="LT10" s="3">
        <v>98604.04</v>
      </c>
      <c r="LU10" s="3">
        <v>98834.41</v>
      </c>
      <c r="LV10" s="3">
        <v>99064.76</v>
      </c>
      <c r="LW10" s="3">
        <v>99295.06</v>
      </c>
      <c r="LX10" s="3">
        <v>99525.33</v>
      </c>
      <c r="LY10" s="3">
        <v>99752.38</v>
      </c>
      <c r="LZ10" s="3">
        <v>99979.35</v>
      </c>
      <c r="MA10" s="3">
        <v>100206.3</v>
      </c>
      <c r="MB10" s="3">
        <v>100433.1</v>
      </c>
      <c r="MC10" s="3">
        <v>100659.6</v>
      </c>
      <c r="MD10" s="3">
        <v>100886.1</v>
      </c>
      <c r="ME10" s="3">
        <v>101112.6</v>
      </c>
      <c r="MF10" s="3">
        <v>101339</v>
      </c>
      <c r="MG10" s="3">
        <v>101567.7</v>
      </c>
      <c r="MH10" s="3">
        <v>101796.4</v>
      </c>
      <c r="MI10" s="3">
        <v>102025.1</v>
      </c>
      <c r="MJ10" s="3">
        <v>102253.8</v>
      </c>
      <c r="MK10" s="3">
        <v>102480.5</v>
      </c>
      <c r="ML10" s="3">
        <v>102707.1</v>
      </c>
      <c r="MM10" s="3">
        <v>102933.7</v>
      </c>
      <c r="MN10" s="3">
        <v>103160.3</v>
      </c>
      <c r="MO10" s="3">
        <v>103389.1</v>
      </c>
      <c r="MP10" s="3">
        <v>103617.9</v>
      </c>
      <c r="MQ10" s="3">
        <v>103846.7</v>
      </c>
      <c r="MR10" s="3">
        <v>104075.5</v>
      </c>
      <c r="MS10" s="3">
        <v>104304.4</v>
      </c>
      <c r="MT10" s="3">
        <v>104533.3</v>
      </c>
      <c r="MU10" t="s">
        <v>409</v>
      </c>
      <c r="MV10" t="b">
        <v>1</v>
      </c>
      <c r="MW10" s="1" t="s">
        <v>376</v>
      </c>
      <c r="MX10" t="s">
        <v>377</v>
      </c>
      <c r="MY10">
        <v>2024</v>
      </c>
      <c r="MZ10">
        <v>4</v>
      </c>
      <c r="NA10" t="s">
        <v>377</v>
      </c>
      <c r="NB10" s="1" t="s">
        <v>436</v>
      </c>
      <c r="NC10" s="1" t="s">
        <v>437</v>
      </c>
      <c r="ND10" t="s">
        <v>380</v>
      </c>
      <c r="NE10" t="s">
        <v>438</v>
      </c>
      <c r="NF10" s="1" t="s">
        <v>455</v>
      </c>
    </row>
    <row r="11" spans="1:370" x14ac:dyDescent="0.25">
      <c r="A11" t="s">
        <v>382</v>
      </c>
      <c r="B11" s="1" t="s">
        <v>435</v>
      </c>
      <c r="C11" s="1" t="s">
        <v>454</v>
      </c>
      <c r="D11" t="s">
        <v>383</v>
      </c>
      <c r="E11" t="s">
        <v>384</v>
      </c>
      <c r="F11" t="s">
        <v>374</v>
      </c>
      <c r="G11" s="2">
        <v>38.698999999999998</v>
      </c>
      <c r="H11" s="2">
        <v>40.999000000000002</v>
      </c>
      <c r="I11" s="2">
        <v>40.973999999999997</v>
      </c>
      <c r="J11" s="2">
        <v>44.149000000000001</v>
      </c>
      <c r="K11" s="2">
        <v>44.298999999999999</v>
      </c>
      <c r="L11" s="2">
        <v>46.448999999999998</v>
      </c>
      <c r="M11" s="2">
        <v>43.698999999999998</v>
      </c>
      <c r="N11" s="2">
        <v>44.473999999999997</v>
      </c>
      <c r="O11" s="2">
        <v>44.399000000000001</v>
      </c>
      <c r="P11" s="2">
        <v>42.223999999999997</v>
      </c>
      <c r="Q11" s="2">
        <v>43.024000000000001</v>
      </c>
      <c r="R11" s="2">
        <v>45.548999999999999</v>
      </c>
      <c r="S11" s="2">
        <v>45.048999999999999</v>
      </c>
      <c r="T11" s="2">
        <v>45.348999999999997</v>
      </c>
      <c r="U11" s="2">
        <v>46.524000000000001</v>
      </c>
      <c r="V11" s="2">
        <v>47.323999999999998</v>
      </c>
      <c r="W11" s="2">
        <v>46.423999999999999</v>
      </c>
      <c r="X11" s="2">
        <v>47.624000000000002</v>
      </c>
      <c r="Y11" s="2">
        <v>47.848999999999997</v>
      </c>
      <c r="Z11" s="2">
        <v>45.848999999999997</v>
      </c>
      <c r="AA11" s="2">
        <v>46.598999999999997</v>
      </c>
      <c r="AB11" s="2">
        <v>52.698999999999998</v>
      </c>
      <c r="AC11" s="2">
        <v>52.948999999999998</v>
      </c>
      <c r="AD11" s="2">
        <v>55.024000000000001</v>
      </c>
      <c r="AE11" s="2">
        <v>54.899000000000001</v>
      </c>
      <c r="AF11" s="2">
        <v>55.073999999999998</v>
      </c>
      <c r="AG11" s="2">
        <v>57.548999999999999</v>
      </c>
      <c r="AH11" s="2">
        <v>61.673999999999999</v>
      </c>
      <c r="AI11" s="2">
        <v>64.024000000000001</v>
      </c>
      <c r="AJ11" s="2">
        <v>64.924000000000007</v>
      </c>
      <c r="AK11" s="2">
        <v>64.399000000000001</v>
      </c>
      <c r="AL11" s="2">
        <v>64.024000000000001</v>
      </c>
      <c r="AM11" s="2">
        <v>64.498999999999995</v>
      </c>
      <c r="AN11" s="2">
        <v>64.774000000000001</v>
      </c>
      <c r="AO11" s="2">
        <v>63.048999999999999</v>
      </c>
      <c r="AP11" s="2">
        <v>63.399000000000001</v>
      </c>
      <c r="AQ11" s="2">
        <v>60.323999999999998</v>
      </c>
      <c r="AR11" s="2">
        <v>61.024000000000001</v>
      </c>
      <c r="AS11" s="2">
        <v>57.774000000000001</v>
      </c>
      <c r="AT11" s="2">
        <v>54.899000000000001</v>
      </c>
      <c r="AU11" s="2">
        <v>55.973999999999997</v>
      </c>
      <c r="AV11" s="2">
        <v>55.598999999999997</v>
      </c>
      <c r="AW11" s="2">
        <v>56.624000000000002</v>
      </c>
      <c r="AX11" s="2">
        <v>58.198999999999998</v>
      </c>
      <c r="AY11" s="2">
        <v>58.274000000000001</v>
      </c>
      <c r="AZ11" s="2">
        <v>59.423999999999999</v>
      </c>
      <c r="BA11" s="2">
        <v>61.548999999999999</v>
      </c>
      <c r="BB11" s="2">
        <v>63.173999999999999</v>
      </c>
      <c r="BC11" s="2">
        <v>59.5</v>
      </c>
      <c r="BD11" s="2">
        <v>59.774999999999999</v>
      </c>
      <c r="BE11" s="2">
        <v>58.25</v>
      </c>
      <c r="BF11" s="2">
        <v>58.825000000000003</v>
      </c>
      <c r="BG11" s="2">
        <v>59.174999999999997</v>
      </c>
      <c r="BH11" s="2">
        <v>60.9</v>
      </c>
      <c r="BI11" s="2">
        <v>62.674999999999997</v>
      </c>
      <c r="BJ11" s="2">
        <v>65.5</v>
      </c>
      <c r="BK11" s="2">
        <v>65.275000000000006</v>
      </c>
      <c r="BL11" s="2">
        <v>68.7</v>
      </c>
      <c r="BM11" s="2">
        <v>72.674999999999997</v>
      </c>
      <c r="BN11" s="2">
        <v>74.974999999999994</v>
      </c>
      <c r="BO11" s="2">
        <v>80.2</v>
      </c>
      <c r="BP11" s="2">
        <v>82.7</v>
      </c>
      <c r="BQ11" s="2">
        <v>84.35</v>
      </c>
      <c r="BR11" s="2">
        <v>87.075000000000003</v>
      </c>
      <c r="BS11" s="2">
        <v>88.224999999999994</v>
      </c>
      <c r="BT11" s="2">
        <v>92.974999999999994</v>
      </c>
      <c r="BU11" s="2">
        <v>94.1</v>
      </c>
      <c r="BV11" s="2">
        <v>95.25</v>
      </c>
      <c r="BW11" s="2">
        <v>99.65</v>
      </c>
      <c r="BX11" s="2">
        <v>100.85</v>
      </c>
      <c r="BY11" s="2">
        <v>101.5</v>
      </c>
      <c r="BZ11" s="2">
        <v>100.02500000000001</v>
      </c>
      <c r="CA11" s="2">
        <v>101.8</v>
      </c>
      <c r="CB11" s="2">
        <v>105.85</v>
      </c>
      <c r="CC11" s="2">
        <v>108.97499999999999</v>
      </c>
      <c r="CD11" s="2">
        <v>110.625</v>
      </c>
      <c r="CE11" s="2">
        <v>113.02500000000001</v>
      </c>
      <c r="CF11" s="2">
        <v>112.875</v>
      </c>
      <c r="CG11" s="2">
        <v>116.875</v>
      </c>
      <c r="CH11" s="2">
        <v>117.675</v>
      </c>
      <c r="CI11" s="2">
        <v>117.125</v>
      </c>
      <c r="CJ11" s="2">
        <v>118.52500000000001</v>
      </c>
      <c r="CK11" s="2">
        <v>118.47499999999999</v>
      </c>
      <c r="CL11" s="2">
        <v>123.02500000000001</v>
      </c>
      <c r="CM11" s="2">
        <v>123.8</v>
      </c>
      <c r="CN11" s="2">
        <v>128.92500000000001</v>
      </c>
      <c r="CO11" s="2">
        <v>136.05000000000001</v>
      </c>
      <c r="CP11" s="2">
        <v>138.69999999999999</v>
      </c>
      <c r="CQ11" s="2">
        <v>142.22499999999999</v>
      </c>
      <c r="CR11" s="2">
        <v>144.02500000000001</v>
      </c>
      <c r="CS11" s="2">
        <v>150.97499999999999</v>
      </c>
      <c r="CT11" s="2">
        <v>152.07499999999999</v>
      </c>
      <c r="CU11" s="2">
        <v>154.85</v>
      </c>
      <c r="CV11" s="2">
        <v>158.25</v>
      </c>
      <c r="CW11" s="2">
        <v>160.77500000000001</v>
      </c>
      <c r="CX11" s="2">
        <v>169.5</v>
      </c>
      <c r="CY11" s="2">
        <v>175.32499999999999</v>
      </c>
      <c r="CZ11" s="2">
        <v>184.35</v>
      </c>
      <c r="DA11" s="2">
        <v>189.27500000000001</v>
      </c>
      <c r="DB11" s="2">
        <v>189.45</v>
      </c>
      <c r="DC11" s="2">
        <v>190.67500000000001</v>
      </c>
      <c r="DD11" s="2">
        <v>185.625</v>
      </c>
      <c r="DE11" s="2">
        <v>185.625</v>
      </c>
      <c r="DF11" s="2">
        <v>194.875</v>
      </c>
      <c r="DG11" s="2">
        <v>188.875</v>
      </c>
      <c r="DH11" s="2">
        <v>191.22499999999999</v>
      </c>
      <c r="DI11" s="2">
        <v>197.75</v>
      </c>
      <c r="DJ11" s="2">
        <v>203.42500000000001</v>
      </c>
      <c r="DK11" s="2">
        <v>208.2</v>
      </c>
      <c r="DL11" s="2">
        <v>214.45</v>
      </c>
      <c r="DM11" s="2">
        <v>223.02500000000001</v>
      </c>
      <c r="DN11" s="2">
        <v>218.97499999999999</v>
      </c>
      <c r="DO11" s="2">
        <v>216.7</v>
      </c>
      <c r="DP11" s="2">
        <v>207.42500000000001</v>
      </c>
      <c r="DQ11" s="2">
        <v>195.1</v>
      </c>
      <c r="DR11" s="2">
        <v>189.85</v>
      </c>
      <c r="DS11" s="2">
        <v>190.05</v>
      </c>
      <c r="DT11" s="2">
        <v>196.77500000000001</v>
      </c>
      <c r="DU11" s="2">
        <v>197.67500000000001</v>
      </c>
      <c r="DV11" s="2">
        <v>192.27500000000001</v>
      </c>
      <c r="DW11" s="2">
        <v>194.375</v>
      </c>
      <c r="DX11" s="2">
        <v>194.75</v>
      </c>
      <c r="DY11" s="2">
        <v>199.8</v>
      </c>
      <c r="DZ11" s="2">
        <v>208.7</v>
      </c>
      <c r="EA11" s="2">
        <v>212.35</v>
      </c>
      <c r="EB11" s="2">
        <v>215.95</v>
      </c>
      <c r="EC11" s="2">
        <v>218.5</v>
      </c>
      <c r="ED11" s="2">
        <v>221.97499999999999</v>
      </c>
      <c r="EE11" s="2">
        <v>226.47499999999999</v>
      </c>
      <c r="EF11" s="2">
        <v>233.27500000000001</v>
      </c>
      <c r="EG11" s="2">
        <v>235.4</v>
      </c>
      <c r="EH11" s="2">
        <v>243</v>
      </c>
      <c r="EI11" s="2">
        <v>252.65</v>
      </c>
      <c r="EJ11" s="2">
        <v>257.02499999999998</v>
      </c>
      <c r="EK11" s="2">
        <v>257.60000000000002</v>
      </c>
      <c r="EL11" s="2">
        <v>265.2</v>
      </c>
      <c r="EM11" s="2">
        <v>268.07499999999999</v>
      </c>
      <c r="EN11" s="2">
        <v>272.375</v>
      </c>
      <c r="EO11" s="2">
        <v>279.5</v>
      </c>
      <c r="EP11" s="2">
        <v>284.42500000000001</v>
      </c>
      <c r="EQ11" s="2">
        <v>288.64999999999998</v>
      </c>
      <c r="ER11" s="2">
        <v>298.3</v>
      </c>
      <c r="ES11" s="2">
        <v>298.22500000000002</v>
      </c>
      <c r="ET11" s="2">
        <v>273.92500000000001</v>
      </c>
      <c r="EU11" s="2">
        <v>244.05</v>
      </c>
      <c r="EV11" s="2">
        <v>241.75</v>
      </c>
      <c r="EW11" s="2">
        <v>252.45</v>
      </c>
      <c r="EX11" s="2">
        <v>271.52499999999998</v>
      </c>
      <c r="EY11" s="2">
        <v>280.27499999999998</v>
      </c>
      <c r="EZ11" s="2">
        <v>287</v>
      </c>
      <c r="FA11" s="2">
        <v>293.625</v>
      </c>
      <c r="FB11" s="2">
        <v>302.22500000000002</v>
      </c>
      <c r="FC11" s="2">
        <v>305.64999999999998</v>
      </c>
      <c r="FD11" s="2">
        <v>309.95</v>
      </c>
      <c r="FE11" s="2">
        <v>311.57499999999999</v>
      </c>
      <c r="FF11" s="2">
        <v>317.42500000000001</v>
      </c>
      <c r="FG11" s="2">
        <v>320.67500000000001</v>
      </c>
      <c r="FH11" s="2">
        <v>324</v>
      </c>
      <c r="FI11" s="2">
        <v>326</v>
      </c>
      <c r="FJ11" s="2">
        <v>320.95</v>
      </c>
      <c r="FK11" s="2">
        <v>325</v>
      </c>
      <c r="FL11" s="2">
        <v>328.65</v>
      </c>
      <c r="FM11" s="2">
        <v>328.82499999999999</v>
      </c>
      <c r="FN11" s="2">
        <v>339.57499999999999</v>
      </c>
      <c r="FO11" s="2">
        <v>337.27499999999998</v>
      </c>
      <c r="FP11" s="2">
        <v>343.7</v>
      </c>
      <c r="FQ11" s="2">
        <v>346.02499999999998</v>
      </c>
      <c r="FR11" s="2">
        <v>350.42500000000001</v>
      </c>
      <c r="FS11" s="2">
        <v>342.02499999999998</v>
      </c>
      <c r="FT11" s="2">
        <v>344.72500000000002</v>
      </c>
      <c r="FU11" s="2">
        <v>341.57499999999999</v>
      </c>
      <c r="FV11" s="2">
        <v>338.9</v>
      </c>
      <c r="FW11" s="2">
        <v>335.92500000000001</v>
      </c>
      <c r="FX11" s="2">
        <v>335.97500000000002</v>
      </c>
      <c r="FY11" s="2">
        <v>345.32499999999999</v>
      </c>
      <c r="FZ11" s="2">
        <v>346.52499999999998</v>
      </c>
      <c r="GA11" s="2">
        <v>347.52499999999998</v>
      </c>
      <c r="GB11" s="2">
        <v>347.77499999999998</v>
      </c>
      <c r="GC11" s="2">
        <v>351.15</v>
      </c>
      <c r="GD11" s="2">
        <v>359.57499999999999</v>
      </c>
      <c r="GE11" s="2">
        <v>361.55</v>
      </c>
      <c r="GF11" s="2">
        <v>367.125</v>
      </c>
      <c r="GG11" s="2">
        <v>360.42500000000001</v>
      </c>
      <c r="GH11" s="2">
        <v>361.375</v>
      </c>
      <c r="GI11" s="2">
        <v>362.95</v>
      </c>
      <c r="GJ11" s="2">
        <v>356.45</v>
      </c>
      <c r="GK11" s="2">
        <v>358.47500000000002</v>
      </c>
      <c r="GL11" s="2">
        <v>355.17500000000001</v>
      </c>
      <c r="GM11" s="2">
        <v>347.42500000000001</v>
      </c>
      <c r="GN11" s="2">
        <v>264</v>
      </c>
      <c r="GO11" s="2">
        <v>321.17500000000001</v>
      </c>
      <c r="GP11" s="2">
        <v>343.15</v>
      </c>
      <c r="GQ11" s="2">
        <v>345.3</v>
      </c>
      <c r="GR11" s="2">
        <v>343.75</v>
      </c>
      <c r="GS11" s="2">
        <v>344.6</v>
      </c>
      <c r="GT11" s="2">
        <v>363.85</v>
      </c>
      <c r="GU11" s="2">
        <v>355.75</v>
      </c>
      <c r="GV11" s="2">
        <v>365.45</v>
      </c>
      <c r="GW11" s="2">
        <v>380.15</v>
      </c>
      <c r="GX11" s="2">
        <v>374.8</v>
      </c>
      <c r="GY11" s="2">
        <v>378.52499999999998</v>
      </c>
      <c r="GZ11" s="2">
        <v>367.47500000000002</v>
      </c>
      <c r="HA11" s="2">
        <v>374.77499999999998</v>
      </c>
      <c r="HB11" s="2">
        <v>375.52499999999998</v>
      </c>
      <c r="HC11" s="2">
        <v>375.45</v>
      </c>
      <c r="HD11" s="2">
        <v>377.85</v>
      </c>
      <c r="HE11" s="2">
        <v>387.35</v>
      </c>
      <c r="HF11" s="2">
        <v>378.35</v>
      </c>
      <c r="HG11" s="3">
        <v>382.02670000000001</v>
      </c>
      <c r="HH11" s="3">
        <v>374.79469999999998</v>
      </c>
      <c r="HI11" s="3">
        <v>363.93819999999999</v>
      </c>
      <c r="HJ11" s="3">
        <v>337.82990000000001</v>
      </c>
      <c r="HK11" s="3">
        <v>315.8603</v>
      </c>
      <c r="HL11" s="3">
        <v>310.8553</v>
      </c>
      <c r="HM11" s="3">
        <v>310.45999999999998</v>
      </c>
      <c r="HN11" s="3">
        <v>310.7937</v>
      </c>
      <c r="HO11" s="3">
        <v>311.76620000000003</v>
      </c>
      <c r="HP11" s="3">
        <v>313.18049999999999</v>
      </c>
      <c r="HQ11" s="3">
        <v>314.85899999999998</v>
      </c>
      <c r="HR11" s="3">
        <v>316.73680000000002</v>
      </c>
      <c r="HS11" s="3">
        <v>318.83760000000001</v>
      </c>
      <c r="HT11" s="3">
        <v>321.09539999999998</v>
      </c>
      <c r="HU11" s="3">
        <v>323.4282</v>
      </c>
      <c r="HV11" s="3">
        <v>325.83569999999997</v>
      </c>
      <c r="HW11" s="3">
        <v>328.29390000000001</v>
      </c>
      <c r="HX11" s="3">
        <v>330.7747</v>
      </c>
      <c r="HY11" s="3">
        <v>333.2559</v>
      </c>
      <c r="HZ11" s="3">
        <v>335.7373</v>
      </c>
      <c r="IA11" s="3">
        <v>338.21870000000001</v>
      </c>
      <c r="IB11" s="3">
        <v>340.69979999999998</v>
      </c>
      <c r="IC11" s="3">
        <v>343.18029999999999</v>
      </c>
      <c r="ID11" s="3">
        <v>345.65989999999999</v>
      </c>
      <c r="IE11" s="3">
        <v>348.13830000000002</v>
      </c>
      <c r="IF11" s="3">
        <v>350.61529999999999</v>
      </c>
      <c r="IG11" s="3">
        <v>353.09059999999999</v>
      </c>
      <c r="IH11" s="3">
        <v>355.56380000000001</v>
      </c>
      <c r="II11" s="3">
        <v>358.03469999999999</v>
      </c>
      <c r="IJ11" s="3">
        <v>360.50310000000002</v>
      </c>
      <c r="IK11" s="3">
        <v>362.96850000000001</v>
      </c>
      <c r="IL11" s="3">
        <v>365.4307</v>
      </c>
      <c r="IM11" s="3">
        <v>367.88940000000002</v>
      </c>
      <c r="IN11" s="3">
        <v>370.34429999999998</v>
      </c>
      <c r="IO11" s="3">
        <v>372.79520000000002</v>
      </c>
      <c r="IP11" s="3">
        <v>375.24160000000001</v>
      </c>
      <c r="IQ11" s="3">
        <v>377.68329999999997</v>
      </c>
      <c r="IR11" s="3">
        <v>380.12009999999998</v>
      </c>
      <c r="IS11" s="3">
        <v>382.55149999999998</v>
      </c>
      <c r="IT11" s="3">
        <v>384.97730000000001</v>
      </c>
      <c r="IU11" s="3">
        <v>387.3972</v>
      </c>
      <c r="IV11" s="3">
        <v>389.8109</v>
      </c>
      <c r="IW11" s="3">
        <v>392.21800000000002</v>
      </c>
      <c r="IX11" s="3">
        <v>394.6182</v>
      </c>
      <c r="IY11" s="3">
        <v>397.0129</v>
      </c>
      <c r="IZ11" s="3">
        <v>399.42090000000002</v>
      </c>
      <c r="JA11" s="3">
        <v>401.83089999999999</v>
      </c>
      <c r="JB11" s="3">
        <v>404.2525</v>
      </c>
      <c r="JC11" s="3">
        <v>406.67759999999998</v>
      </c>
      <c r="JD11" s="3">
        <v>409.10989999999998</v>
      </c>
      <c r="JE11" s="3">
        <v>411.56439999999998</v>
      </c>
      <c r="JF11" s="3">
        <v>414.0095</v>
      </c>
      <c r="JG11" s="3">
        <v>416.46780000000001</v>
      </c>
      <c r="JH11" s="3">
        <v>418.92970000000003</v>
      </c>
      <c r="JI11" s="3">
        <v>421.40989999999999</v>
      </c>
      <c r="JJ11" s="3">
        <v>423.8963</v>
      </c>
      <c r="JK11" s="3">
        <v>426.39519999999999</v>
      </c>
      <c r="JL11" s="3">
        <v>428.90449999999998</v>
      </c>
      <c r="JM11" s="3">
        <v>431.40600000000001</v>
      </c>
      <c r="JN11" s="3">
        <v>433.93520000000001</v>
      </c>
      <c r="JO11" s="3">
        <v>436.46910000000003</v>
      </c>
      <c r="JP11" s="3">
        <v>439.00760000000002</v>
      </c>
      <c r="JQ11" s="3">
        <v>441.55549999999999</v>
      </c>
      <c r="JR11" s="3">
        <v>444.11590000000001</v>
      </c>
      <c r="JS11" s="3">
        <v>446.68680000000001</v>
      </c>
      <c r="JT11" s="3">
        <v>449.26609999999999</v>
      </c>
      <c r="JU11" s="3">
        <v>451.85899999999998</v>
      </c>
      <c r="JV11" s="3">
        <v>454.46120000000002</v>
      </c>
      <c r="JW11" s="3">
        <v>457.07220000000001</v>
      </c>
      <c r="JX11" s="3">
        <v>459.69510000000002</v>
      </c>
      <c r="JY11" s="3">
        <v>462.32569999999998</v>
      </c>
      <c r="JZ11" s="3">
        <v>464.96710000000002</v>
      </c>
      <c r="KA11" s="3">
        <v>467.62830000000002</v>
      </c>
      <c r="KB11" s="3">
        <v>470.30250000000001</v>
      </c>
      <c r="KC11" s="3">
        <v>472.98</v>
      </c>
      <c r="KD11" s="3">
        <v>475.67660000000001</v>
      </c>
      <c r="KE11" s="3">
        <v>478.38369999999998</v>
      </c>
      <c r="KF11" s="3">
        <v>481.09750000000003</v>
      </c>
      <c r="KG11" s="3">
        <v>483.82159999999999</v>
      </c>
      <c r="KH11" s="3">
        <v>486.56200000000001</v>
      </c>
      <c r="KI11" s="3">
        <v>489.30239999999998</v>
      </c>
      <c r="KJ11" s="3">
        <v>492.05869999999999</v>
      </c>
      <c r="KK11" s="3">
        <v>494.8184</v>
      </c>
      <c r="KL11" s="3">
        <v>497.59410000000003</v>
      </c>
      <c r="KM11" s="3">
        <v>500.38240000000002</v>
      </c>
      <c r="KN11" s="3">
        <v>503.17529999999999</v>
      </c>
      <c r="KO11" s="3">
        <v>505.97919999999999</v>
      </c>
      <c r="KP11" s="3">
        <v>508.80279999999999</v>
      </c>
      <c r="KQ11" s="3">
        <v>511.62950000000001</v>
      </c>
      <c r="KR11" s="3">
        <v>514.46479999999997</v>
      </c>
      <c r="KS11" s="3">
        <v>517.31420000000003</v>
      </c>
      <c r="KT11" s="3">
        <v>520.17160000000001</v>
      </c>
      <c r="KU11" s="3">
        <v>523.03869999999995</v>
      </c>
      <c r="KV11" s="3">
        <v>525.92830000000004</v>
      </c>
      <c r="KW11" s="3">
        <v>528.80830000000003</v>
      </c>
      <c r="KX11" s="3">
        <v>531.721</v>
      </c>
      <c r="KY11" s="3">
        <v>534.63559999999995</v>
      </c>
      <c r="KZ11" s="3">
        <v>537.5444</v>
      </c>
      <c r="LA11" s="3">
        <v>540.4796</v>
      </c>
      <c r="LB11" s="3">
        <v>543.41610000000003</v>
      </c>
      <c r="LC11" s="3">
        <v>546.38</v>
      </c>
      <c r="LD11" s="3">
        <v>549.34450000000004</v>
      </c>
      <c r="LE11" s="3">
        <v>552.3134</v>
      </c>
      <c r="LF11" s="3">
        <v>555.3057</v>
      </c>
      <c r="LG11" s="3">
        <v>558.30539999999996</v>
      </c>
      <c r="LH11" s="3">
        <v>561.32090000000005</v>
      </c>
      <c r="LI11" s="3">
        <v>564.35040000000004</v>
      </c>
      <c r="LJ11" s="3">
        <v>567.39160000000004</v>
      </c>
      <c r="LK11" s="3">
        <v>570.45209999999997</v>
      </c>
      <c r="LL11" s="3">
        <v>573.52290000000005</v>
      </c>
      <c r="LM11" s="3">
        <v>576.60829999999999</v>
      </c>
      <c r="LN11" s="3">
        <v>579.7079</v>
      </c>
      <c r="LO11" s="3">
        <v>582.82140000000004</v>
      </c>
      <c r="LP11" s="3">
        <v>585.94830000000002</v>
      </c>
      <c r="LQ11" s="3">
        <v>589.09280000000001</v>
      </c>
      <c r="LR11" s="3">
        <v>592.25229999999999</v>
      </c>
      <c r="LS11" s="3">
        <v>595.42269999999996</v>
      </c>
      <c r="LT11" s="3">
        <v>598.60450000000003</v>
      </c>
      <c r="LU11" s="3">
        <v>601.80629999999996</v>
      </c>
      <c r="LV11" s="3">
        <v>605.02149999999995</v>
      </c>
      <c r="LW11" s="3">
        <v>608.25040000000001</v>
      </c>
      <c r="LX11" s="3">
        <v>611.49599999999998</v>
      </c>
      <c r="LY11" s="3">
        <v>614.7577</v>
      </c>
      <c r="LZ11" s="3">
        <v>618.02499999999998</v>
      </c>
      <c r="MA11" s="3">
        <v>621.31769999999995</v>
      </c>
      <c r="MB11" s="3">
        <v>624.61659999999995</v>
      </c>
      <c r="MC11" s="3">
        <v>627.93769999999995</v>
      </c>
      <c r="MD11" s="3">
        <v>631.27480000000003</v>
      </c>
      <c r="ME11" s="3">
        <v>634.62070000000006</v>
      </c>
      <c r="MF11" s="3">
        <v>637.9846</v>
      </c>
      <c r="MG11" s="3">
        <v>641.36929999999995</v>
      </c>
      <c r="MH11" s="3">
        <v>644.7672</v>
      </c>
      <c r="MI11" s="3">
        <v>648.18420000000003</v>
      </c>
      <c r="MJ11" s="3">
        <v>651.61120000000005</v>
      </c>
      <c r="MK11" s="3">
        <v>655.06129999999996</v>
      </c>
      <c r="ML11" s="3">
        <v>658.52189999999996</v>
      </c>
      <c r="MM11" s="3">
        <v>662.005</v>
      </c>
      <c r="MN11" s="3">
        <v>665.49950000000001</v>
      </c>
      <c r="MO11" s="3">
        <v>669.00850000000003</v>
      </c>
      <c r="MP11" s="3">
        <v>672.54169999999999</v>
      </c>
      <c r="MQ11" s="3">
        <v>676.08510000000001</v>
      </c>
      <c r="MR11" s="3">
        <v>679.64670000000001</v>
      </c>
      <c r="MS11" s="3">
        <v>683.22550000000001</v>
      </c>
      <c r="MT11" s="3">
        <v>686.81679999999994</v>
      </c>
      <c r="MU11" t="s">
        <v>385</v>
      </c>
      <c r="MV11" t="b">
        <v>1</v>
      </c>
      <c r="MW11" s="1" t="s">
        <v>386</v>
      </c>
      <c r="MX11" t="s">
        <v>377</v>
      </c>
      <c r="MY11">
        <v>2024</v>
      </c>
      <c r="MZ11">
        <v>4</v>
      </c>
      <c r="NA11" t="s">
        <v>377</v>
      </c>
      <c r="NB11" s="1" t="s">
        <v>439</v>
      </c>
      <c r="NC11" s="1" t="s">
        <v>440</v>
      </c>
      <c r="ND11" t="s">
        <v>389</v>
      </c>
      <c r="NE11" t="s">
        <v>438</v>
      </c>
      <c r="NF11" s="1" t="s">
        <v>455</v>
      </c>
    </row>
    <row r="12" spans="1:370" x14ac:dyDescent="0.25">
      <c r="A12" t="s">
        <v>370</v>
      </c>
      <c r="B12" t="s">
        <v>402</v>
      </c>
      <c r="C12" s="1" t="s">
        <v>454</v>
      </c>
      <c r="D12" t="s">
        <v>372</v>
      </c>
      <c r="E12" t="s">
        <v>373</v>
      </c>
      <c r="F12" t="s">
        <v>374</v>
      </c>
      <c r="G12" s="2">
        <v>34501</v>
      </c>
      <c r="H12" s="2">
        <v>34693</v>
      </c>
      <c r="I12" s="2">
        <v>35714</v>
      </c>
      <c r="J12" s="2">
        <v>36306</v>
      </c>
      <c r="K12" s="2">
        <v>35237</v>
      </c>
      <c r="L12" s="2">
        <v>36120</v>
      </c>
      <c r="M12" s="2">
        <v>35827</v>
      </c>
      <c r="N12" s="2">
        <v>35382</v>
      </c>
      <c r="O12" s="2">
        <v>33882</v>
      </c>
      <c r="P12" s="2">
        <v>32123</v>
      </c>
      <c r="Q12" s="2">
        <v>33900</v>
      </c>
      <c r="R12" s="2">
        <v>33217</v>
      </c>
      <c r="S12" s="2">
        <v>32702</v>
      </c>
      <c r="T12" s="2">
        <v>35374</v>
      </c>
      <c r="U12" s="2">
        <v>35764</v>
      </c>
      <c r="V12" s="2">
        <v>35806</v>
      </c>
      <c r="W12" s="2">
        <v>35437</v>
      </c>
      <c r="X12" s="2">
        <v>36298</v>
      </c>
      <c r="Y12" s="2">
        <v>35391</v>
      </c>
      <c r="Z12" s="2">
        <v>34937</v>
      </c>
      <c r="AA12" s="2">
        <v>37167</v>
      </c>
      <c r="AB12" s="2">
        <v>37390</v>
      </c>
      <c r="AC12" s="2">
        <v>37335</v>
      </c>
      <c r="AD12" s="2">
        <v>35142</v>
      </c>
      <c r="AE12" s="2">
        <v>37420</v>
      </c>
      <c r="AF12" s="2">
        <v>40615</v>
      </c>
      <c r="AG12" s="2">
        <v>41427</v>
      </c>
      <c r="AH12" s="2">
        <v>41252</v>
      </c>
      <c r="AI12" s="2">
        <v>41769</v>
      </c>
      <c r="AJ12" s="2">
        <v>40270</v>
      </c>
      <c r="AK12" s="2">
        <v>36904</v>
      </c>
      <c r="AL12" s="2">
        <v>36054</v>
      </c>
      <c r="AM12" s="2">
        <v>34504</v>
      </c>
      <c r="AN12" s="2">
        <v>36432</v>
      </c>
      <c r="AO12" s="2">
        <v>40446</v>
      </c>
      <c r="AP12" s="2">
        <v>39200</v>
      </c>
      <c r="AQ12" s="2">
        <v>38853</v>
      </c>
      <c r="AR12" s="2">
        <v>40506</v>
      </c>
      <c r="AS12" s="2">
        <v>39271</v>
      </c>
      <c r="AT12" s="2">
        <v>38776</v>
      </c>
      <c r="AU12" s="2">
        <v>40491</v>
      </c>
      <c r="AV12" s="2">
        <v>41549</v>
      </c>
      <c r="AW12" s="2">
        <v>41802</v>
      </c>
      <c r="AX12" s="2">
        <v>43271</v>
      </c>
      <c r="AY12" s="2">
        <v>43672</v>
      </c>
      <c r="AZ12" s="2">
        <v>45571</v>
      </c>
      <c r="BA12" s="2">
        <v>45901</v>
      </c>
      <c r="BB12" s="2">
        <v>47773</v>
      </c>
      <c r="BC12" s="2">
        <v>47820</v>
      </c>
      <c r="BD12" s="2">
        <v>46572</v>
      </c>
      <c r="BE12" s="2">
        <v>45666</v>
      </c>
      <c r="BF12" s="2">
        <v>47146</v>
      </c>
      <c r="BG12" s="2">
        <v>48298</v>
      </c>
      <c r="BH12" s="2">
        <v>49988</v>
      </c>
      <c r="BI12" s="2">
        <v>50344</v>
      </c>
      <c r="BJ12" s="2">
        <v>51050</v>
      </c>
      <c r="BK12" s="2">
        <v>50423</v>
      </c>
      <c r="BL12" s="2">
        <v>52940</v>
      </c>
      <c r="BM12" s="2">
        <v>55384</v>
      </c>
      <c r="BN12" s="2">
        <v>56457</v>
      </c>
      <c r="BO12" s="2">
        <v>57025</v>
      </c>
      <c r="BP12" s="2">
        <v>59388</v>
      </c>
      <c r="BQ12" s="2">
        <v>60945</v>
      </c>
      <c r="BR12" s="2">
        <v>64442</v>
      </c>
      <c r="BS12" s="2">
        <v>65266</v>
      </c>
      <c r="BT12" s="2">
        <v>63935</v>
      </c>
      <c r="BU12" s="2">
        <v>65429</v>
      </c>
      <c r="BV12" s="2">
        <v>64379</v>
      </c>
      <c r="BW12" s="2">
        <v>65982</v>
      </c>
      <c r="BX12" s="2">
        <v>65805</v>
      </c>
      <c r="BY12" s="2">
        <v>64692</v>
      </c>
      <c r="BZ12" s="2">
        <v>63581</v>
      </c>
      <c r="CA12" s="2">
        <v>61468</v>
      </c>
      <c r="CB12" s="2">
        <v>61739</v>
      </c>
      <c r="CC12" s="2">
        <v>62111</v>
      </c>
      <c r="CD12" s="2">
        <v>63016</v>
      </c>
      <c r="CE12" s="2">
        <v>64113</v>
      </c>
      <c r="CF12" s="2">
        <v>67044</v>
      </c>
      <c r="CG12" s="2">
        <v>66329</v>
      </c>
      <c r="CH12" s="2">
        <v>67108</v>
      </c>
      <c r="CI12" s="2">
        <v>67657</v>
      </c>
      <c r="CJ12" s="2">
        <v>67128</v>
      </c>
      <c r="CK12" s="2">
        <v>68591</v>
      </c>
      <c r="CL12" s="2">
        <v>69458</v>
      </c>
      <c r="CM12" s="2">
        <v>71093</v>
      </c>
      <c r="CN12" s="2">
        <v>71729</v>
      </c>
      <c r="CO12" s="2">
        <v>71371</v>
      </c>
      <c r="CP12" s="2">
        <v>74297</v>
      </c>
      <c r="CQ12" s="2">
        <v>73011</v>
      </c>
      <c r="CR12" s="2">
        <v>75654</v>
      </c>
      <c r="CS12" s="2">
        <v>77304</v>
      </c>
      <c r="CT12" s="2">
        <v>77893</v>
      </c>
      <c r="CU12" s="2">
        <v>80910</v>
      </c>
      <c r="CV12" s="2">
        <v>81887</v>
      </c>
      <c r="CW12" s="2">
        <v>83534</v>
      </c>
      <c r="CX12" s="2">
        <v>85481</v>
      </c>
      <c r="CY12" s="2">
        <v>87548</v>
      </c>
      <c r="CZ12" s="2">
        <v>92186</v>
      </c>
      <c r="DA12" s="2">
        <v>91282</v>
      </c>
      <c r="DB12" s="2">
        <v>93433</v>
      </c>
      <c r="DC12" s="2">
        <v>95868</v>
      </c>
      <c r="DD12" s="2">
        <v>98132</v>
      </c>
      <c r="DE12" s="2">
        <v>98822</v>
      </c>
      <c r="DF12" s="2">
        <v>98825</v>
      </c>
      <c r="DG12" s="2">
        <v>101888</v>
      </c>
      <c r="DH12" s="2">
        <v>103093</v>
      </c>
      <c r="DI12" s="2">
        <v>106806</v>
      </c>
      <c r="DJ12" s="2">
        <v>108843</v>
      </c>
      <c r="DK12" s="2">
        <v>110301</v>
      </c>
      <c r="DL12" s="2">
        <v>113789</v>
      </c>
      <c r="DM12" s="2">
        <v>116055</v>
      </c>
      <c r="DN12" s="2">
        <v>120091</v>
      </c>
      <c r="DO12" s="2">
        <v>122754</v>
      </c>
      <c r="DP12" s="2">
        <v>123401</v>
      </c>
      <c r="DQ12" s="2">
        <v>121607</v>
      </c>
      <c r="DR12" s="2">
        <v>120993</v>
      </c>
      <c r="DS12" s="2">
        <v>125120</v>
      </c>
      <c r="DT12" s="2">
        <v>130137</v>
      </c>
      <c r="DU12" s="2">
        <v>128297</v>
      </c>
      <c r="DV12" s="2">
        <v>128358</v>
      </c>
      <c r="DW12" s="2">
        <v>129063</v>
      </c>
      <c r="DX12" s="2">
        <v>128433</v>
      </c>
      <c r="DY12" s="2">
        <v>129523</v>
      </c>
      <c r="DZ12" s="2">
        <v>133300</v>
      </c>
      <c r="EA12" s="2">
        <v>133996</v>
      </c>
      <c r="EB12" s="2">
        <v>137259</v>
      </c>
      <c r="EC12" s="2">
        <v>141008</v>
      </c>
      <c r="ED12" s="2">
        <v>143089</v>
      </c>
      <c r="EE12" s="2">
        <v>142425</v>
      </c>
      <c r="EF12" s="2">
        <v>148309</v>
      </c>
      <c r="EG12" s="2">
        <v>149958</v>
      </c>
      <c r="EH12" s="2">
        <v>153800</v>
      </c>
      <c r="EI12" s="2">
        <v>170751</v>
      </c>
      <c r="EJ12" s="2">
        <v>174542</v>
      </c>
      <c r="EK12" s="2">
        <v>156126</v>
      </c>
      <c r="EL12" s="2">
        <v>155938</v>
      </c>
      <c r="EM12" s="2">
        <v>160014</v>
      </c>
      <c r="EN12" s="2">
        <v>159398</v>
      </c>
      <c r="EO12" s="2">
        <v>164710</v>
      </c>
      <c r="EP12" s="2">
        <v>164064</v>
      </c>
      <c r="EQ12" s="2">
        <v>164791</v>
      </c>
      <c r="ER12" s="2">
        <v>163780</v>
      </c>
      <c r="ES12" s="2">
        <v>160848</v>
      </c>
      <c r="ET12" s="2">
        <v>152350</v>
      </c>
      <c r="EU12" s="2">
        <v>146327</v>
      </c>
      <c r="EV12" s="2">
        <v>146677</v>
      </c>
      <c r="EW12" s="2">
        <v>150636</v>
      </c>
      <c r="EX12" s="2">
        <v>153109</v>
      </c>
      <c r="EY12" s="2">
        <v>155913</v>
      </c>
      <c r="EZ12" s="2">
        <v>160853</v>
      </c>
      <c r="FA12" s="2">
        <v>166050</v>
      </c>
      <c r="FB12" s="2">
        <v>167478</v>
      </c>
      <c r="FC12" s="2">
        <v>163551</v>
      </c>
      <c r="FD12" s="2">
        <v>168441</v>
      </c>
      <c r="FE12" s="2">
        <v>168134</v>
      </c>
      <c r="FF12" s="2">
        <v>169238</v>
      </c>
      <c r="FG12" s="2">
        <v>170581</v>
      </c>
      <c r="FH12" s="2">
        <v>173796</v>
      </c>
      <c r="FI12" s="2">
        <v>172124</v>
      </c>
      <c r="FJ12" s="2">
        <v>169344</v>
      </c>
      <c r="FK12" s="2">
        <v>169789</v>
      </c>
      <c r="FL12" s="2">
        <v>178386</v>
      </c>
      <c r="FM12" s="2">
        <v>177941</v>
      </c>
      <c r="FN12" s="2">
        <v>181946</v>
      </c>
      <c r="FO12" s="2">
        <v>179155</v>
      </c>
      <c r="FP12" s="2">
        <v>180159</v>
      </c>
      <c r="FQ12" s="2">
        <v>186677</v>
      </c>
      <c r="FR12" s="2">
        <v>198146</v>
      </c>
      <c r="FS12" s="2">
        <v>196687</v>
      </c>
      <c r="FT12" s="2">
        <v>192342</v>
      </c>
      <c r="FU12" s="2">
        <v>192126</v>
      </c>
      <c r="FV12" s="2">
        <v>199855</v>
      </c>
      <c r="FW12" s="2">
        <v>199056</v>
      </c>
      <c r="FX12" s="2">
        <v>201432</v>
      </c>
      <c r="FY12" s="2">
        <v>208250</v>
      </c>
      <c r="FZ12" s="2">
        <v>203353</v>
      </c>
      <c r="GA12" s="2">
        <v>205761</v>
      </c>
      <c r="GB12" s="2">
        <v>211268</v>
      </c>
      <c r="GC12" s="2">
        <v>212304</v>
      </c>
      <c r="GD12" s="2">
        <v>208444</v>
      </c>
      <c r="GE12" s="2">
        <v>212313</v>
      </c>
      <c r="GF12" s="2">
        <v>213752</v>
      </c>
      <c r="GG12" s="2">
        <v>214831</v>
      </c>
      <c r="GH12" s="2">
        <v>222831</v>
      </c>
      <c r="GI12" s="2">
        <v>238575</v>
      </c>
      <c r="GJ12" s="2">
        <v>216413</v>
      </c>
      <c r="GK12" s="2">
        <v>219598</v>
      </c>
      <c r="GL12" s="2">
        <v>212636</v>
      </c>
      <c r="GM12" s="2">
        <v>204826</v>
      </c>
      <c r="GN12" s="2">
        <v>154302</v>
      </c>
      <c r="GO12" s="2">
        <v>180964</v>
      </c>
      <c r="GP12" s="2">
        <v>206192</v>
      </c>
      <c r="GQ12" s="2">
        <v>190277</v>
      </c>
      <c r="GR12" s="2">
        <v>193365</v>
      </c>
      <c r="GS12" s="2">
        <v>201109</v>
      </c>
      <c r="GT12" s="2">
        <v>204893</v>
      </c>
      <c r="GU12" s="2">
        <v>225154</v>
      </c>
      <c r="GV12" s="2">
        <v>226514</v>
      </c>
      <c r="GW12" s="2">
        <v>219547</v>
      </c>
      <c r="GX12" s="2">
        <v>220951</v>
      </c>
      <c r="GY12" s="2">
        <v>220520</v>
      </c>
      <c r="GZ12" s="2">
        <v>223212</v>
      </c>
      <c r="HA12" s="2">
        <v>217677</v>
      </c>
      <c r="HB12" s="2">
        <v>219773</v>
      </c>
      <c r="HC12" s="2">
        <v>218879</v>
      </c>
      <c r="HD12" s="2">
        <v>230891</v>
      </c>
      <c r="HE12" s="2">
        <v>224352</v>
      </c>
      <c r="HF12" s="2">
        <v>230754</v>
      </c>
      <c r="HG12" s="3">
        <v>229677.4</v>
      </c>
      <c r="HH12" s="3">
        <v>228092.7</v>
      </c>
      <c r="HI12" s="3">
        <v>227432.4</v>
      </c>
      <c r="HJ12" s="3">
        <v>226646</v>
      </c>
      <c r="HK12" s="3">
        <v>226289.3</v>
      </c>
      <c r="HL12" s="3">
        <v>226618.7</v>
      </c>
      <c r="HM12" s="3">
        <v>227260.5</v>
      </c>
      <c r="HN12" s="3">
        <v>227907.9</v>
      </c>
      <c r="HO12" s="3">
        <v>228491.7</v>
      </c>
      <c r="HP12" s="3">
        <v>229145.9</v>
      </c>
      <c r="HQ12" s="3">
        <v>229913.1</v>
      </c>
      <c r="HR12" s="3">
        <v>230726.6</v>
      </c>
      <c r="HS12" s="3">
        <v>231598.8</v>
      </c>
      <c r="HT12" s="3">
        <v>232443.7</v>
      </c>
      <c r="HU12" s="3">
        <v>233285.9</v>
      </c>
      <c r="HV12" s="3">
        <v>234110.7</v>
      </c>
      <c r="HW12" s="3">
        <v>234918</v>
      </c>
      <c r="HX12" s="3">
        <v>235748.7</v>
      </c>
      <c r="HY12" s="3">
        <v>236571.2</v>
      </c>
      <c r="HZ12" s="3">
        <v>237409.2</v>
      </c>
      <c r="IA12" s="3">
        <v>238274.3</v>
      </c>
      <c r="IB12" s="3">
        <v>239155.8</v>
      </c>
      <c r="IC12" s="3">
        <v>240079.8</v>
      </c>
      <c r="ID12" s="3">
        <v>241007.8</v>
      </c>
      <c r="IE12" s="3">
        <v>241939.7</v>
      </c>
      <c r="IF12" s="3">
        <v>242900.9</v>
      </c>
      <c r="IG12" s="3">
        <v>243866.3</v>
      </c>
      <c r="IH12" s="3">
        <v>244836.1</v>
      </c>
      <c r="II12" s="3">
        <v>245810.2</v>
      </c>
      <c r="IJ12" s="3">
        <v>246788.5</v>
      </c>
      <c r="IK12" s="3">
        <v>247771.3</v>
      </c>
      <c r="IL12" s="3">
        <v>248758.3</v>
      </c>
      <c r="IM12" s="3">
        <v>249713.4</v>
      </c>
      <c r="IN12" s="3">
        <v>250636</v>
      </c>
      <c r="IO12" s="3">
        <v>251562.4</v>
      </c>
      <c r="IP12" s="3">
        <v>252453.6</v>
      </c>
      <c r="IQ12" s="3">
        <v>253382</v>
      </c>
      <c r="IR12" s="3">
        <v>254292.6</v>
      </c>
      <c r="IS12" s="3">
        <v>255204.3</v>
      </c>
      <c r="IT12" s="3">
        <v>256103.8</v>
      </c>
      <c r="IU12" s="3">
        <v>257036.79999999999</v>
      </c>
      <c r="IV12" s="3">
        <v>257973.8</v>
      </c>
      <c r="IW12" s="3">
        <v>258914.6</v>
      </c>
      <c r="IX12" s="3">
        <v>259859.4</v>
      </c>
      <c r="IY12" s="3">
        <v>260828.1</v>
      </c>
      <c r="IZ12" s="3">
        <v>261801.60000000001</v>
      </c>
      <c r="JA12" s="3">
        <v>262780</v>
      </c>
      <c r="JB12" s="3">
        <v>263763.40000000002</v>
      </c>
      <c r="JC12" s="3">
        <v>264751.5</v>
      </c>
      <c r="JD12" s="3">
        <v>265744.59999999998</v>
      </c>
      <c r="JE12" s="3">
        <v>266742.59999999998</v>
      </c>
      <c r="JF12" s="3">
        <v>267745.59999999998</v>
      </c>
      <c r="JG12" s="3">
        <v>268773.40000000002</v>
      </c>
      <c r="JH12" s="3">
        <v>269806.5</v>
      </c>
      <c r="JI12" s="3">
        <v>270845.09999999998</v>
      </c>
      <c r="JJ12" s="3">
        <v>271889.3</v>
      </c>
      <c r="JK12" s="3">
        <v>272938.7</v>
      </c>
      <c r="JL12" s="3">
        <v>273993.7</v>
      </c>
      <c r="JM12" s="3">
        <v>275054.09999999998</v>
      </c>
      <c r="JN12" s="3">
        <v>276120.2</v>
      </c>
      <c r="JO12" s="3">
        <v>277206.7</v>
      </c>
      <c r="JP12" s="3">
        <v>278298.40000000002</v>
      </c>
      <c r="JQ12" s="3">
        <v>279395.59999999998</v>
      </c>
      <c r="JR12" s="3">
        <v>280497.90000000002</v>
      </c>
      <c r="JS12" s="3">
        <v>281627.8</v>
      </c>
      <c r="JT12" s="3">
        <v>282763.5</v>
      </c>
      <c r="JU12" s="3">
        <v>283907.59999999998</v>
      </c>
      <c r="JV12" s="3">
        <v>285057.40000000002</v>
      </c>
      <c r="JW12" s="3">
        <v>286212.90000000002</v>
      </c>
      <c r="JX12" s="3">
        <v>287374.3</v>
      </c>
      <c r="JY12" s="3">
        <v>288519.5</v>
      </c>
      <c r="JZ12" s="3">
        <v>289670.09999999998</v>
      </c>
      <c r="KA12" s="3">
        <v>290826.09999999998</v>
      </c>
      <c r="KB12" s="3">
        <v>291987.40000000002</v>
      </c>
      <c r="KC12" s="3">
        <v>293127.40000000002</v>
      </c>
      <c r="KD12" s="3">
        <v>294272.3</v>
      </c>
      <c r="KE12" s="3">
        <v>295421.8</v>
      </c>
      <c r="KF12" s="3">
        <v>296576.3</v>
      </c>
      <c r="KG12" s="3">
        <v>297686.09999999998</v>
      </c>
      <c r="KH12" s="3">
        <v>298799.8</v>
      </c>
      <c r="KI12" s="3">
        <v>299917.40000000002</v>
      </c>
      <c r="KJ12" s="3">
        <v>301039.3</v>
      </c>
      <c r="KK12" s="3">
        <v>302141.5</v>
      </c>
      <c r="KL12" s="3">
        <v>303247.59999999998</v>
      </c>
      <c r="KM12" s="3">
        <v>304357.3</v>
      </c>
      <c r="KN12" s="3">
        <v>305470.5</v>
      </c>
      <c r="KO12" s="3">
        <v>306586.3</v>
      </c>
      <c r="KP12" s="3">
        <v>307705.7</v>
      </c>
      <c r="KQ12" s="3">
        <v>308828.59999999998</v>
      </c>
      <c r="KR12" s="3">
        <v>309955.3</v>
      </c>
      <c r="KS12" s="3">
        <v>311068.79999999999</v>
      </c>
      <c r="KT12" s="3">
        <v>312185.8</v>
      </c>
      <c r="KU12" s="3">
        <v>313306.40000000002</v>
      </c>
      <c r="KV12" s="3">
        <v>314430.3</v>
      </c>
      <c r="KW12" s="3">
        <v>315550.59999999998</v>
      </c>
      <c r="KX12" s="3">
        <v>316674.2</v>
      </c>
      <c r="KY12" s="3">
        <v>317801</v>
      </c>
      <c r="KZ12" s="3">
        <v>318931.3</v>
      </c>
      <c r="LA12" s="3">
        <v>320042</v>
      </c>
      <c r="LB12" s="3">
        <v>321155.7</v>
      </c>
      <c r="LC12" s="3">
        <v>322285.3</v>
      </c>
      <c r="LD12" s="3">
        <v>323417.59999999998</v>
      </c>
      <c r="LE12" s="3">
        <v>324545</v>
      </c>
      <c r="LF12" s="3">
        <v>325675</v>
      </c>
      <c r="LG12" s="3">
        <v>326807.90000000002</v>
      </c>
      <c r="LH12" s="3">
        <v>327943.5</v>
      </c>
      <c r="LI12" s="3">
        <v>329070.2</v>
      </c>
      <c r="LJ12" s="3">
        <v>330199.7</v>
      </c>
      <c r="LK12" s="3">
        <v>331331.90000000002</v>
      </c>
      <c r="LL12" s="3">
        <v>332466.59999999998</v>
      </c>
      <c r="LM12" s="3">
        <v>333580.09999999998</v>
      </c>
      <c r="LN12" s="3">
        <v>334695.8</v>
      </c>
      <c r="LO12" s="3">
        <v>335813.8</v>
      </c>
      <c r="LP12" s="3">
        <v>336933.8</v>
      </c>
      <c r="LQ12" s="3">
        <v>338055.9</v>
      </c>
      <c r="LR12" s="3">
        <v>339180.1</v>
      </c>
      <c r="LS12" s="3">
        <v>340306.7</v>
      </c>
      <c r="LT12" s="3">
        <v>341435.7</v>
      </c>
      <c r="LU12" s="3">
        <v>342556.4</v>
      </c>
      <c r="LV12" s="3">
        <v>343679.1</v>
      </c>
      <c r="LW12" s="3">
        <v>344804.1</v>
      </c>
      <c r="LX12" s="3">
        <v>345931.1</v>
      </c>
      <c r="LY12" s="3">
        <v>347050.2</v>
      </c>
      <c r="LZ12" s="3">
        <v>348171.1</v>
      </c>
      <c r="MA12" s="3">
        <v>349294.1</v>
      </c>
      <c r="MB12" s="3">
        <v>350419.20000000001</v>
      </c>
      <c r="MC12" s="3">
        <v>351545.5</v>
      </c>
      <c r="MD12" s="3">
        <v>352674</v>
      </c>
      <c r="ME12" s="3">
        <v>353804.5</v>
      </c>
      <c r="MF12" s="3">
        <v>354937.2</v>
      </c>
      <c r="MG12" s="3">
        <v>356079.4</v>
      </c>
      <c r="MH12" s="3">
        <v>357224.1</v>
      </c>
      <c r="MI12" s="3">
        <v>358370.9</v>
      </c>
      <c r="MJ12" s="3">
        <v>359520.1</v>
      </c>
      <c r="MK12" s="3">
        <v>360664.8</v>
      </c>
      <c r="ML12" s="3">
        <v>361811.8</v>
      </c>
      <c r="MM12" s="3">
        <v>362961.1</v>
      </c>
      <c r="MN12" s="3">
        <v>364112.4</v>
      </c>
      <c r="MO12" s="3">
        <v>365273.2</v>
      </c>
      <c r="MP12" s="3">
        <v>366436.3</v>
      </c>
      <c r="MQ12" s="3">
        <v>367601.9</v>
      </c>
      <c r="MR12" s="3">
        <v>368769.8</v>
      </c>
      <c r="MS12" s="3">
        <v>369940.1</v>
      </c>
      <c r="MT12" s="3">
        <v>371112.8</v>
      </c>
      <c r="MU12" t="s">
        <v>375</v>
      </c>
      <c r="MV12" t="b">
        <v>1</v>
      </c>
      <c r="MW12" s="1" t="s">
        <v>376</v>
      </c>
      <c r="MX12" t="s">
        <v>377</v>
      </c>
      <c r="MY12">
        <v>2024</v>
      </c>
      <c r="MZ12">
        <v>4</v>
      </c>
      <c r="NA12" t="s">
        <v>377</v>
      </c>
      <c r="NB12" t="s">
        <v>403</v>
      </c>
      <c r="NC12" s="1" t="s">
        <v>404</v>
      </c>
      <c r="ND12" t="s">
        <v>380</v>
      </c>
      <c r="NE12" t="s">
        <v>405</v>
      </c>
      <c r="NF12" s="1" t="s">
        <v>455</v>
      </c>
    </row>
    <row r="13" spans="1:370" x14ac:dyDescent="0.25">
      <c r="A13" t="s">
        <v>382</v>
      </c>
      <c r="B13" t="s">
        <v>402</v>
      </c>
      <c r="C13" s="1" t="s">
        <v>454</v>
      </c>
      <c r="D13" t="s">
        <v>383</v>
      </c>
      <c r="E13" t="s">
        <v>384</v>
      </c>
      <c r="F13" t="s">
        <v>374</v>
      </c>
      <c r="G13" s="2">
        <v>79.275000000000006</v>
      </c>
      <c r="H13" s="2">
        <v>77</v>
      </c>
      <c r="I13" s="2">
        <v>74.849999999999994</v>
      </c>
      <c r="J13" s="2">
        <v>75.424999999999997</v>
      </c>
      <c r="K13" s="2">
        <v>72.849999999999994</v>
      </c>
      <c r="L13" s="2">
        <v>76.724999999999994</v>
      </c>
      <c r="M13" s="2">
        <v>75.375</v>
      </c>
      <c r="N13" s="2">
        <v>74.625</v>
      </c>
      <c r="O13" s="2">
        <v>67.150000000000006</v>
      </c>
      <c r="P13" s="2">
        <v>61.774999999999999</v>
      </c>
      <c r="Q13" s="2">
        <v>66.900000000000006</v>
      </c>
      <c r="R13" s="2">
        <v>70.474999999999994</v>
      </c>
      <c r="S13" s="2">
        <v>74.875</v>
      </c>
      <c r="T13" s="2">
        <v>78.125</v>
      </c>
      <c r="U13" s="2">
        <v>81.325000000000003</v>
      </c>
      <c r="V13" s="2">
        <v>84.05</v>
      </c>
      <c r="W13" s="2">
        <v>87.974999999999994</v>
      </c>
      <c r="X13" s="2">
        <v>88.8</v>
      </c>
      <c r="Y13" s="2">
        <v>87.575000000000003</v>
      </c>
      <c r="Z13" s="2">
        <v>88.825000000000003</v>
      </c>
      <c r="AA13" s="2">
        <v>94.775000000000006</v>
      </c>
      <c r="AB13" s="2">
        <v>95.075000000000003</v>
      </c>
      <c r="AC13" s="2">
        <v>96.3</v>
      </c>
      <c r="AD13" s="2">
        <v>97.625</v>
      </c>
      <c r="AE13" s="2">
        <v>97.375</v>
      </c>
      <c r="AF13" s="2">
        <v>97.9</v>
      </c>
      <c r="AG13" s="2">
        <v>96.4</v>
      </c>
      <c r="AH13" s="2">
        <v>98.5</v>
      </c>
      <c r="AI13" s="2">
        <v>98.575000000000003</v>
      </c>
      <c r="AJ13" s="2">
        <v>91.4</v>
      </c>
      <c r="AK13" s="2">
        <v>84.825000000000003</v>
      </c>
      <c r="AL13" s="2">
        <v>89.375</v>
      </c>
      <c r="AM13" s="2">
        <v>93.2</v>
      </c>
      <c r="AN13" s="2">
        <v>93.325000000000003</v>
      </c>
      <c r="AO13" s="2">
        <v>92.275000000000006</v>
      </c>
      <c r="AP13" s="2">
        <v>94.9</v>
      </c>
      <c r="AQ13" s="2">
        <v>92.2</v>
      </c>
      <c r="AR13" s="2">
        <v>90.7</v>
      </c>
      <c r="AS13" s="2">
        <v>94.9</v>
      </c>
      <c r="AT13" s="2">
        <v>91.174999999999997</v>
      </c>
      <c r="AU13" s="2">
        <v>93.25</v>
      </c>
      <c r="AV13" s="2">
        <v>100.425</v>
      </c>
      <c r="AW13" s="2">
        <v>108.25</v>
      </c>
      <c r="AX13" s="2">
        <v>113.575</v>
      </c>
      <c r="AY13" s="2">
        <v>122.7</v>
      </c>
      <c r="AZ13" s="2">
        <v>127.825</v>
      </c>
      <c r="BA13" s="2">
        <v>131.15</v>
      </c>
      <c r="BB13" s="2">
        <v>134.97499999999999</v>
      </c>
      <c r="BC13" s="2">
        <v>132</v>
      </c>
      <c r="BD13" s="2">
        <v>138.5</v>
      </c>
      <c r="BE13" s="2">
        <v>137.15</v>
      </c>
      <c r="BF13" s="2">
        <v>142.52500000000001</v>
      </c>
      <c r="BG13" s="2">
        <v>142.375</v>
      </c>
      <c r="BH13" s="2">
        <v>148.44999999999999</v>
      </c>
      <c r="BI13" s="2">
        <v>152.55000000000001</v>
      </c>
      <c r="BJ13" s="2">
        <v>153.75</v>
      </c>
      <c r="BK13" s="2">
        <v>152.82499999999999</v>
      </c>
      <c r="BL13" s="2">
        <v>156.65</v>
      </c>
      <c r="BM13" s="2">
        <v>159.72499999999999</v>
      </c>
      <c r="BN13" s="2">
        <v>163.375</v>
      </c>
      <c r="BO13" s="2">
        <v>162.625</v>
      </c>
      <c r="BP13" s="2">
        <v>160.75</v>
      </c>
      <c r="BQ13" s="2">
        <v>164.52500000000001</v>
      </c>
      <c r="BR13" s="2">
        <v>169.55</v>
      </c>
      <c r="BS13" s="2">
        <v>170.35</v>
      </c>
      <c r="BT13" s="2">
        <v>171.15</v>
      </c>
      <c r="BU13" s="2">
        <v>170.92500000000001</v>
      </c>
      <c r="BV13" s="2">
        <v>174</v>
      </c>
      <c r="BW13" s="2">
        <v>179.52500000000001</v>
      </c>
      <c r="BX13" s="2">
        <v>179.22499999999999</v>
      </c>
      <c r="BY13" s="2">
        <v>178.5</v>
      </c>
      <c r="BZ13" s="2">
        <v>173.7</v>
      </c>
      <c r="CA13" s="2">
        <v>171.72499999999999</v>
      </c>
      <c r="CB13" s="2">
        <v>174.77500000000001</v>
      </c>
      <c r="CC13" s="2">
        <v>179.7</v>
      </c>
      <c r="CD13" s="2">
        <v>183.67500000000001</v>
      </c>
      <c r="CE13" s="2">
        <v>185</v>
      </c>
      <c r="CF13" s="2">
        <v>188.05</v>
      </c>
      <c r="CG13" s="2">
        <v>191</v>
      </c>
      <c r="CH13" s="2">
        <v>195.57499999999999</v>
      </c>
      <c r="CI13" s="2">
        <v>199.82499999999999</v>
      </c>
      <c r="CJ13" s="2">
        <v>203.95</v>
      </c>
      <c r="CK13" s="2">
        <v>206.625</v>
      </c>
      <c r="CL13" s="2">
        <v>214.92500000000001</v>
      </c>
      <c r="CM13" s="2">
        <v>219.95</v>
      </c>
      <c r="CN13" s="2">
        <v>228.15</v>
      </c>
      <c r="CO13" s="2">
        <v>234.55</v>
      </c>
      <c r="CP13" s="2">
        <v>241.15</v>
      </c>
      <c r="CQ13" s="2">
        <v>246.45</v>
      </c>
      <c r="CR13" s="2">
        <v>248.77500000000001</v>
      </c>
      <c r="CS13" s="2">
        <v>249.65</v>
      </c>
      <c r="CT13" s="2">
        <v>252.82499999999999</v>
      </c>
      <c r="CU13" s="2">
        <v>261.05</v>
      </c>
      <c r="CV13" s="2">
        <v>266.89999999999998</v>
      </c>
      <c r="CW13" s="2">
        <v>275.55</v>
      </c>
      <c r="CX13" s="2">
        <v>280.97500000000002</v>
      </c>
      <c r="CY13" s="2">
        <v>292.97500000000002</v>
      </c>
      <c r="CZ13" s="2">
        <v>302.8</v>
      </c>
      <c r="DA13" s="2">
        <v>313.97500000000002</v>
      </c>
      <c r="DB13" s="2">
        <v>320.75</v>
      </c>
      <c r="DC13" s="2">
        <v>332.77499999999998</v>
      </c>
      <c r="DD13" s="2">
        <v>340.4</v>
      </c>
      <c r="DE13" s="2">
        <v>345</v>
      </c>
      <c r="DF13" s="2">
        <v>356.17500000000001</v>
      </c>
      <c r="DG13" s="2">
        <v>366.22500000000002</v>
      </c>
      <c r="DH13" s="2">
        <v>376.75</v>
      </c>
      <c r="DI13" s="2">
        <v>390.375</v>
      </c>
      <c r="DJ13" s="2">
        <v>400.35</v>
      </c>
      <c r="DK13" s="2">
        <v>415.47500000000002</v>
      </c>
      <c r="DL13" s="2">
        <v>428.7</v>
      </c>
      <c r="DM13" s="2">
        <v>444.125</v>
      </c>
      <c r="DN13" s="2">
        <v>444.77499999999998</v>
      </c>
      <c r="DO13" s="2">
        <v>439.02499999999998</v>
      </c>
      <c r="DP13" s="2">
        <v>424.97500000000002</v>
      </c>
      <c r="DQ13" s="2">
        <v>415.35</v>
      </c>
      <c r="DR13" s="2">
        <v>411.05</v>
      </c>
      <c r="DS13" s="2">
        <v>422.72500000000002</v>
      </c>
      <c r="DT13" s="2">
        <v>436.875</v>
      </c>
      <c r="DU13" s="2">
        <v>442.45</v>
      </c>
      <c r="DV13" s="2">
        <v>450.375</v>
      </c>
      <c r="DW13" s="2">
        <v>448.42500000000001</v>
      </c>
      <c r="DX13" s="2">
        <v>454.95</v>
      </c>
      <c r="DY13" s="2">
        <v>462.07499999999999</v>
      </c>
      <c r="DZ13" s="2">
        <v>476.75</v>
      </c>
      <c r="EA13" s="2">
        <v>490.125</v>
      </c>
      <c r="EB13" s="2">
        <v>509.42500000000001</v>
      </c>
      <c r="EC13" s="2">
        <v>516.47500000000002</v>
      </c>
      <c r="ED13" s="2">
        <v>528.52499999999998</v>
      </c>
      <c r="EE13" s="2">
        <v>533.07500000000005</v>
      </c>
      <c r="EF13" s="2">
        <v>540.20000000000005</v>
      </c>
      <c r="EG13" s="2">
        <v>543.22500000000002</v>
      </c>
      <c r="EH13" s="2">
        <v>560.75</v>
      </c>
      <c r="EI13" s="2">
        <v>572.27499999999998</v>
      </c>
      <c r="EJ13" s="2">
        <v>577.97500000000002</v>
      </c>
      <c r="EK13" s="2">
        <v>583.75</v>
      </c>
      <c r="EL13" s="2">
        <v>583</v>
      </c>
      <c r="EM13" s="2">
        <v>591.5</v>
      </c>
      <c r="EN13" s="2">
        <v>594.65</v>
      </c>
      <c r="EO13" s="2">
        <v>597.97500000000002</v>
      </c>
      <c r="EP13" s="2">
        <v>592.32500000000005</v>
      </c>
      <c r="EQ13" s="2">
        <v>594.54999999999995</v>
      </c>
      <c r="ER13" s="2">
        <v>588.92499999999995</v>
      </c>
      <c r="ES13" s="2">
        <v>581.47500000000002</v>
      </c>
      <c r="ET13" s="2">
        <v>560.45000000000005</v>
      </c>
      <c r="EU13" s="2">
        <v>507.17500000000001</v>
      </c>
      <c r="EV13" s="2">
        <v>486.6</v>
      </c>
      <c r="EW13" s="2">
        <v>506.67500000000001</v>
      </c>
      <c r="EX13" s="2">
        <v>531.32500000000005</v>
      </c>
      <c r="EY13" s="2">
        <v>544.67499999999995</v>
      </c>
      <c r="EZ13" s="2">
        <v>569.52499999999998</v>
      </c>
      <c r="FA13" s="2">
        <v>589.45000000000005</v>
      </c>
      <c r="FB13" s="2">
        <v>591.6</v>
      </c>
      <c r="FC13" s="2">
        <v>594.5</v>
      </c>
      <c r="FD13" s="2">
        <v>596.72500000000002</v>
      </c>
      <c r="FE13" s="2">
        <v>603.32500000000005</v>
      </c>
      <c r="FF13" s="2">
        <v>611.25</v>
      </c>
      <c r="FG13" s="2">
        <v>614.27499999999998</v>
      </c>
      <c r="FH13" s="2">
        <v>616.54999999999995</v>
      </c>
      <c r="FI13" s="2">
        <v>619.875</v>
      </c>
      <c r="FJ13" s="2">
        <v>614.02499999999998</v>
      </c>
      <c r="FK13" s="2">
        <v>613.5</v>
      </c>
      <c r="FL13" s="2">
        <v>622.4</v>
      </c>
      <c r="FM13" s="2">
        <v>626.875</v>
      </c>
      <c r="FN13" s="2">
        <v>631.82500000000005</v>
      </c>
      <c r="FO13" s="2">
        <v>639.97500000000002</v>
      </c>
      <c r="FP13" s="2">
        <v>654.54999999999995</v>
      </c>
      <c r="FQ13" s="2">
        <v>655.8</v>
      </c>
      <c r="FR13" s="2">
        <v>673</v>
      </c>
      <c r="FS13" s="2">
        <v>683.02499999999998</v>
      </c>
      <c r="FT13" s="2">
        <v>688.375</v>
      </c>
      <c r="FU13" s="2">
        <v>693.07500000000005</v>
      </c>
      <c r="FV13" s="2">
        <v>695.02499999999998</v>
      </c>
      <c r="FW13" s="2">
        <v>694.2</v>
      </c>
      <c r="FX13" s="2">
        <v>695.1</v>
      </c>
      <c r="FY13" s="2">
        <v>700.17499999999995</v>
      </c>
      <c r="FZ13" s="2">
        <v>710.25</v>
      </c>
      <c r="GA13" s="2">
        <v>721.25</v>
      </c>
      <c r="GB13" s="2">
        <v>728.1</v>
      </c>
      <c r="GC13" s="2">
        <v>730.9</v>
      </c>
      <c r="GD13" s="2">
        <v>751.35</v>
      </c>
      <c r="GE13" s="2">
        <v>754.45</v>
      </c>
      <c r="GF13" s="2">
        <v>755.42499999999995</v>
      </c>
      <c r="GG13" s="2">
        <v>766.05</v>
      </c>
      <c r="GH13" s="2">
        <v>774.05</v>
      </c>
      <c r="GI13" s="2">
        <v>773.57500000000005</v>
      </c>
      <c r="GJ13" s="2">
        <v>777.85</v>
      </c>
      <c r="GK13" s="2">
        <v>774.47500000000002</v>
      </c>
      <c r="GL13" s="2">
        <v>759.95</v>
      </c>
      <c r="GM13" s="2">
        <v>732.42499999999995</v>
      </c>
      <c r="GN13" s="2">
        <v>607.22500000000002</v>
      </c>
      <c r="GO13" s="2">
        <v>708.875</v>
      </c>
      <c r="GP13" s="2">
        <v>760.25</v>
      </c>
      <c r="GQ13" s="2">
        <v>775.55</v>
      </c>
      <c r="GR13" s="2">
        <v>791.17499999999995</v>
      </c>
      <c r="GS13" s="2">
        <v>807.55</v>
      </c>
      <c r="GT13" s="2">
        <v>846.57500000000005</v>
      </c>
      <c r="GU13" s="2">
        <v>873.57500000000005</v>
      </c>
      <c r="GV13" s="2">
        <v>886.25</v>
      </c>
      <c r="GW13" s="2">
        <v>873.92499999999995</v>
      </c>
      <c r="GX13" s="2">
        <v>863.875</v>
      </c>
      <c r="GY13" s="2">
        <v>862.125</v>
      </c>
      <c r="GZ13" s="2">
        <v>855.32500000000005</v>
      </c>
      <c r="HA13" s="2">
        <v>865.1</v>
      </c>
      <c r="HB13" s="2">
        <v>874.07500000000005</v>
      </c>
      <c r="HC13" s="2">
        <v>887.17499999999995</v>
      </c>
      <c r="HD13" s="2">
        <v>903.5</v>
      </c>
      <c r="HE13" s="2">
        <v>926.85</v>
      </c>
      <c r="HF13" s="2">
        <v>922.45</v>
      </c>
      <c r="HG13" s="3">
        <v>977.35029999999995</v>
      </c>
      <c r="HH13" s="3">
        <v>967.36599999999999</v>
      </c>
      <c r="HI13" s="3">
        <v>907.07039999999995</v>
      </c>
      <c r="HJ13" s="3">
        <v>848.63139999999999</v>
      </c>
      <c r="HK13" s="3">
        <v>836.12670000000003</v>
      </c>
      <c r="HL13" s="3">
        <v>841.72159999999997</v>
      </c>
      <c r="HM13" s="3">
        <v>850.53740000000005</v>
      </c>
      <c r="HN13" s="3">
        <v>859.51099999999997</v>
      </c>
      <c r="HO13" s="3">
        <v>868.56119999999999</v>
      </c>
      <c r="HP13" s="3">
        <v>877.51559999999995</v>
      </c>
      <c r="HQ13" s="3">
        <v>886.27369999999996</v>
      </c>
      <c r="HR13" s="3">
        <v>894.90989999999999</v>
      </c>
      <c r="HS13" s="3">
        <v>903.3954</v>
      </c>
      <c r="HT13" s="3">
        <v>911.76310000000001</v>
      </c>
      <c r="HU13" s="3">
        <v>920.13750000000005</v>
      </c>
      <c r="HV13" s="3">
        <v>928.63040000000001</v>
      </c>
      <c r="HW13" s="3">
        <v>937.28449999999998</v>
      </c>
      <c r="HX13" s="3">
        <v>945.98850000000004</v>
      </c>
      <c r="HY13" s="3">
        <v>954.67460000000005</v>
      </c>
      <c r="HZ13" s="3">
        <v>963.30460000000005</v>
      </c>
      <c r="IA13" s="3">
        <v>971.85239999999999</v>
      </c>
      <c r="IB13" s="3">
        <v>980.32749999999999</v>
      </c>
      <c r="IC13" s="3">
        <v>988.73030000000006</v>
      </c>
      <c r="ID13" s="3">
        <v>997.06050000000005</v>
      </c>
      <c r="IE13" s="3">
        <v>1005.3150000000001</v>
      </c>
      <c r="IF13" s="3">
        <v>1013.496</v>
      </c>
      <c r="IG13" s="3">
        <v>1021.6</v>
      </c>
      <c r="IH13" s="3">
        <v>1029.623</v>
      </c>
      <c r="II13" s="3">
        <v>1037.5630000000001</v>
      </c>
      <c r="IJ13" s="3">
        <v>1045.4169999999999</v>
      </c>
      <c r="IK13" s="3">
        <v>1053.183</v>
      </c>
      <c r="IL13" s="3">
        <v>1060.856</v>
      </c>
      <c r="IM13" s="3">
        <v>1068.4349999999999</v>
      </c>
      <c r="IN13" s="3">
        <v>1075.9169999999999</v>
      </c>
      <c r="IO13" s="3">
        <v>1083.299</v>
      </c>
      <c r="IP13" s="3">
        <v>1090.579</v>
      </c>
      <c r="IQ13" s="3">
        <v>1097.7560000000001</v>
      </c>
      <c r="IR13" s="3">
        <v>1104.826</v>
      </c>
      <c r="IS13" s="3">
        <v>1111.787</v>
      </c>
      <c r="IT13" s="3">
        <v>1118.636</v>
      </c>
      <c r="IU13" s="3">
        <v>1125.3710000000001</v>
      </c>
      <c r="IV13" s="3">
        <v>1131.989</v>
      </c>
      <c r="IW13" s="3">
        <v>1138.4870000000001</v>
      </c>
      <c r="IX13" s="3">
        <v>1144.864</v>
      </c>
      <c r="IY13" s="3">
        <v>1151.0540000000001</v>
      </c>
      <c r="IZ13" s="3">
        <v>1157.2760000000001</v>
      </c>
      <c r="JA13" s="3">
        <v>1163.4970000000001</v>
      </c>
      <c r="JB13" s="3">
        <v>1169.7449999999999</v>
      </c>
      <c r="JC13" s="3">
        <v>1175.9960000000001</v>
      </c>
      <c r="JD13" s="3">
        <v>1182.2619999999999</v>
      </c>
      <c r="JE13" s="3">
        <v>1188.5840000000001</v>
      </c>
      <c r="JF13" s="3">
        <v>1194.873</v>
      </c>
      <c r="JG13" s="3">
        <v>1201.193</v>
      </c>
      <c r="JH13" s="3">
        <v>1207.5170000000001</v>
      </c>
      <c r="JI13" s="3">
        <v>1213.8869999999999</v>
      </c>
      <c r="JJ13" s="3">
        <v>1220.268</v>
      </c>
      <c r="JK13" s="3">
        <v>1226.6780000000001</v>
      </c>
      <c r="JL13" s="3">
        <v>1233.1110000000001</v>
      </c>
      <c r="JM13" s="3">
        <v>1239.5150000000001</v>
      </c>
      <c r="JN13" s="3">
        <v>1245.992</v>
      </c>
      <c r="JO13" s="3">
        <v>1252.4760000000001</v>
      </c>
      <c r="JP13" s="3">
        <v>1258.9659999999999</v>
      </c>
      <c r="JQ13" s="3">
        <v>1265.4760000000001</v>
      </c>
      <c r="JR13" s="3">
        <v>1272.0160000000001</v>
      </c>
      <c r="JS13" s="3">
        <v>1278.578</v>
      </c>
      <c r="JT13" s="3">
        <v>1285.1579999999999</v>
      </c>
      <c r="JU13" s="3">
        <v>1291.77</v>
      </c>
      <c r="JV13" s="3">
        <v>1298.402</v>
      </c>
      <c r="JW13" s="3">
        <v>1305.0519999999999</v>
      </c>
      <c r="JX13" s="3">
        <v>1311.729</v>
      </c>
      <c r="JY13" s="3">
        <v>1318.421</v>
      </c>
      <c r="JZ13" s="3">
        <v>1325.1379999999999</v>
      </c>
      <c r="KA13" s="3">
        <v>1331.904</v>
      </c>
      <c r="KB13" s="3">
        <v>1338.7</v>
      </c>
      <c r="KC13" s="3">
        <v>1345.498</v>
      </c>
      <c r="KD13" s="3">
        <v>1352.345</v>
      </c>
      <c r="KE13" s="3">
        <v>1359.2139999999999</v>
      </c>
      <c r="KF13" s="3">
        <v>1366.095</v>
      </c>
      <c r="KG13" s="3">
        <v>1372.999</v>
      </c>
      <c r="KH13" s="3">
        <v>1379.941</v>
      </c>
      <c r="KI13" s="3">
        <v>1386.877</v>
      </c>
      <c r="KJ13" s="3">
        <v>1393.8520000000001</v>
      </c>
      <c r="KK13" s="3">
        <v>1400.829</v>
      </c>
      <c r="KL13" s="3">
        <v>1407.8440000000001</v>
      </c>
      <c r="KM13" s="3">
        <v>1414.8869999999999</v>
      </c>
      <c r="KN13" s="3">
        <v>1421.9380000000001</v>
      </c>
      <c r="KO13" s="3">
        <v>1429.0119999999999</v>
      </c>
      <c r="KP13" s="3">
        <v>1436.135</v>
      </c>
      <c r="KQ13" s="3">
        <v>1443.26</v>
      </c>
      <c r="KR13" s="3">
        <v>1450.402</v>
      </c>
      <c r="KS13" s="3">
        <v>1457.577</v>
      </c>
      <c r="KT13" s="3">
        <v>1464.768</v>
      </c>
      <c r="KU13" s="3">
        <v>1471.979</v>
      </c>
      <c r="KV13" s="3">
        <v>1479.2449999999999</v>
      </c>
      <c r="KW13" s="3">
        <v>1486.48</v>
      </c>
      <c r="KX13" s="3">
        <v>1493.798</v>
      </c>
      <c r="KY13" s="3">
        <v>1501.114</v>
      </c>
      <c r="KZ13" s="3">
        <v>1508.4069999999999</v>
      </c>
      <c r="LA13" s="3">
        <v>1515.768</v>
      </c>
      <c r="LB13" s="3">
        <v>1523.125</v>
      </c>
      <c r="LC13" s="3">
        <v>1530.5519999999999</v>
      </c>
      <c r="LD13" s="3">
        <v>1537.9739999999999</v>
      </c>
      <c r="LE13" s="3">
        <v>1545.4</v>
      </c>
      <c r="LF13" s="3">
        <v>1552.885</v>
      </c>
      <c r="LG13" s="3">
        <v>1560.385</v>
      </c>
      <c r="LH13" s="3">
        <v>1567.921</v>
      </c>
      <c r="LI13" s="3">
        <v>1575.49</v>
      </c>
      <c r="LJ13" s="3">
        <v>1583.0830000000001</v>
      </c>
      <c r="LK13" s="3">
        <v>1590.7239999999999</v>
      </c>
      <c r="LL13" s="3">
        <v>1598.3869999999999</v>
      </c>
      <c r="LM13" s="3">
        <v>1606.0830000000001</v>
      </c>
      <c r="LN13" s="3">
        <v>1613.8119999999999</v>
      </c>
      <c r="LO13" s="3">
        <v>1621.5719999999999</v>
      </c>
      <c r="LP13" s="3">
        <v>1629.3610000000001</v>
      </c>
      <c r="LQ13" s="3">
        <v>1637.194</v>
      </c>
      <c r="LR13" s="3">
        <v>1645.06</v>
      </c>
      <c r="LS13" s="3">
        <v>1652.9490000000001</v>
      </c>
      <c r="LT13" s="3">
        <v>1660.8630000000001</v>
      </c>
      <c r="LU13" s="3">
        <v>1668.825</v>
      </c>
      <c r="LV13" s="3">
        <v>1676.818</v>
      </c>
      <c r="LW13" s="3">
        <v>1684.8409999999999</v>
      </c>
      <c r="LX13" s="3">
        <v>1692.902</v>
      </c>
      <c r="LY13" s="3">
        <v>1701.002</v>
      </c>
      <c r="LZ13" s="3">
        <v>1709.1089999999999</v>
      </c>
      <c r="MA13" s="3">
        <v>1717.279</v>
      </c>
      <c r="MB13" s="3">
        <v>1725.46</v>
      </c>
      <c r="MC13" s="3">
        <v>1733.694</v>
      </c>
      <c r="MD13" s="3">
        <v>1741.9649999999999</v>
      </c>
      <c r="ME13" s="3">
        <v>1750.2529999999999</v>
      </c>
      <c r="MF13" s="3">
        <v>1758.5830000000001</v>
      </c>
      <c r="MG13" s="3">
        <v>1766.9639999999999</v>
      </c>
      <c r="MH13" s="3">
        <v>1775.373</v>
      </c>
      <c r="MI13" s="3">
        <v>1783.828</v>
      </c>
      <c r="MJ13" s="3">
        <v>1792.3019999999999</v>
      </c>
      <c r="MK13" s="3">
        <v>1800.8330000000001</v>
      </c>
      <c r="ML13" s="3">
        <v>1809.385</v>
      </c>
      <c r="MM13" s="3">
        <v>1817.991</v>
      </c>
      <c r="MN13" s="3">
        <v>1826.62</v>
      </c>
      <c r="MO13" s="3">
        <v>1835.2829999999999</v>
      </c>
      <c r="MP13" s="3">
        <v>1844.0039999999999</v>
      </c>
      <c r="MQ13" s="3">
        <v>1852.7460000000001</v>
      </c>
      <c r="MR13" s="3">
        <v>1861.53</v>
      </c>
      <c r="MS13" s="3">
        <v>1870.3530000000001</v>
      </c>
      <c r="MT13" s="3">
        <v>1879.204</v>
      </c>
      <c r="MU13" t="s">
        <v>385</v>
      </c>
      <c r="MV13" t="b">
        <v>1</v>
      </c>
      <c r="MW13" s="1" t="s">
        <v>386</v>
      </c>
      <c r="MX13" t="s">
        <v>377</v>
      </c>
      <c r="MY13">
        <v>2024</v>
      </c>
      <c r="MZ13">
        <v>4</v>
      </c>
      <c r="NA13" t="s">
        <v>377</v>
      </c>
      <c r="NB13" s="1" t="s">
        <v>406</v>
      </c>
      <c r="NC13" s="1" t="s">
        <v>407</v>
      </c>
      <c r="ND13" t="s">
        <v>389</v>
      </c>
      <c r="NE13" t="s">
        <v>405</v>
      </c>
      <c r="NF13" s="1" t="s">
        <v>455</v>
      </c>
    </row>
    <row r="14" spans="1:370" x14ac:dyDescent="0.25">
      <c r="A14" t="s">
        <v>370</v>
      </c>
      <c r="B14" s="1" t="s">
        <v>408</v>
      </c>
      <c r="C14" s="1" t="s">
        <v>454</v>
      </c>
      <c r="D14" t="s">
        <v>372</v>
      </c>
      <c r="E14" t="s">
        <v>373</v>
      </c>
      <c r="F14" t="s">
        <v>374</v>
      </c>
      <c r="G14" s="2">
        <v>-2641.15</v>
      </c>
      <c r="H14" s="2">
        <v>-4462.875</v>
      </c>
      <c r="I14" s="2">
        <v>-5844.55</v>
      </c>
      <c r="J14" s="2">
        <v>-3867.7750000000001</v>
      </c>
      <c r="K14" s="2">
        <v>-2134.15</v>
      </c>
      <c r="L14" s="2">
        <v>-2173.0749999999998</v>
      </c>
      <c r="M14" s="2">
        <v>-1830.175</v>
      </c>
      <c r="N14" s="2">
        <v>-2998.1</v>
      </c>
      <c r="O14" s="2">
        <v>75.2</v>
      </c>
      <c r="P14" s="2">
        <v>-88.974999999999994</v>
      </c>
      <c r="Q14" s="2">
        <v>146.25</v>
      </c>
      <c r="R14" s="2">
        <v>58.125</v>
      </c>
      <c r="S14" s="2">
        <v>206.125</v>
      </c>
      <c r="T14" s="2">
        <v>1742.2</v>
      </c>
      <c r="U14" s="2">
        <v>2026.2</v>
      </c>
      <c r="V14" s="2">
        <v>2946.05</v>
      </c>
      <c r="W14" s="2">
        <v>5013.7749999999996</v>
      </c>
      <c r="X14" s="2">
        <v>5804.7749999999996</v>
      </c>
      <c r="Y14" s="2">
        <v>5769.5749999999998</v>
      </c>
      <c r="Z14" s="2">
        <v>6059.4250000000002</v>
      </c>
      <c r="AA14" s="2">
        <v>7081.6750000000002</v>
      </c>
      <c r="AB14" s="2">
        <v>9653.2999999999993</v>
      </c>
      <c r="AC14" s="2">
        <v>7523.625</v>
      </c>
      <c r="AD14" s="2">
        <v>6482.5</v>
      </c>
      <c r="AE14" s="2">
        <v>8583.4249999999993</v>
      </c>
      <c r="AF14" s="2">
        <v>10011.58</v>
      </c>
      <c r="AG14" s="2">
        <v>11078.58</v>
      </c>
      <c r="AH14" s="2">
        <v>11307.47</v>
      </c>
      <c r="AI14" s="2">
        <v>11899.42</v>
      </c>
      <c r="AJ14" s="2">
        <v>11463.22</v>
      </c>
      <c r="AK14" s="2">
        <v>10143</v>
      </c>
      <c r="AL14" s="2">
        <v>9975.9</v>
      </c>
      <c r="AM14" s="2">
        <v>9966.7250000000004</v>
      </c>
      <c r="AN14" s="2">
        <v>11496.63</v>
      </c>
      <c r="AO14" s="2">
        <v>14028.85</v>
      </c>
      <c r="AP14" s="2">
        <v>13017.85</v>
      </c>
      <c r="AQ14" s="2">
        <v>13541.75</v>
      </c>
      <c r="AR14" s="2">
        <v>14790.67</v>
      </c>
      <c r="AS14" s="2">
        <v>14659.58</v>
      </c>
      <c r="AT14" s="2">
        <v>16134.38</v>
      </c>
      <c r="AU14" s="2">
        <v>18293.38</v>
      </c>
      <c r="AV14" s="2">
        <v>17976.5</v>
      </c>
      <c r="AW14" s="2">
        <v>18257.5</v>
      </c>
      <c r="AX14" s="2">
        <v>19691.45</v>
      </c>
      <c r="AY14" s="2">
        <v>20075.45</v>
      </c>
      <c r="AZ14" s="2">
        <v>19098.849999999999</v>
      </c>
      <c r="BA14" s="2">
        <v>19652.900000000001</v>
      </c>
      <c r="BB14" s="2">
        <v>19128.2</v>
      </c>
      <c r="BC14" s="2">
        <v>19211.25</v>
      </c>
      <c r="BD14" s="2">
        <v>21573.72</v>
      </c>
      <c r="BE14" s="2">
        <v>21823.57</v>
      </c>
      <c r="BF14" s="2">
        <v>21130.7</v>
      </c>
      <c r="BG14" s="2">
        <v>22871.68</v>
      </c>
      <c r="BH14" s="2">
        <v>22973.88</v>
      </c>
      <c r="BI14" s="2">
        <v>21676.2</v>
      </c>
      <c r="BJ14" s="2">
        <v>22789.1</v>
      </c>
      <c r="BK14" s="2">
        <v>23610.880000000001</v>
      </c>
      <c r="BL14" s="2">
        <v>25227.9</v>
      </c>
      <c r="BM14" s="2">
        <v>26315</v>
      </c>
      <c r="BN14" s="2">
        <v>26475.05</v>
      </c>
      <c r="BO14" s="2">
        <v>28135.82</v>
      </c>
      <c r="BP14" s="2">
        <v>30195.9</v>
      </c>
      <c r="BQ14" s="2">
        <v>31354.05</v>
      </c>
      <c r="BR14" s="2">
        <v>32341.200000000001</v>
      </c>
      <c r="BS14" s="2">
        <v>33410.1</v>
      </c>
      <c r="BT14" s="2">
        <v>32296.22</v>
      </c>
      <c r="BU14" s="2">
        <v>34148.129999999997</v>
      </c>
      <c r="BV14" s="2">
        <v>32768.230000000003</v>
      </c>
      <c r="BW14" s="2">
        <v>32999.379999999997</v>
      </c>
      <c r="BX14" s="2">
        <v>32710.38</v>
      </c>
      <c r="BY14" s="2">
        <v>31575.32</v>
      </c>
      <c r="BZ14" s="2">
        <v>30069.38</v>
      </c>
      <c r="CA14" s="2">
        <v>29387.32</v>
      </c>
      <c r="CB14" s="2">
        <v>28073.43</v>
      </c>
      <c r="CC14" s="2">
        <v>28178.53</v>
      </c>
      <c r="CD14" s="2">
        <v>29591.4</v>
      </c>
      <c r="CE14" s="2">
        <v>30605.3</v>
      </c>
      <c r="CF14" s="2">
        <v>31482.47</v>
      </c>
      <c r="CG14" s="2">
        <v>31584.53</v>
      </c>
      <c r="CH14" s="2">
        <v>33977.300000000003</v>
      </c>
      <c r="CI14" s="2">
        <v>34355.379999999997</v>
      </c>
      <c r="CJ14" s="2">
        <v>32568.43</v>
      </c>
      <c r="CK14" s="2">
        <v>33693.4</v>
      </c>
      <c r="CL14" s="2">
        <v>34200.480000000003</v>
      </c>
      <c r="CM14" s="2">
        <v>37147.129999999997</v>
      </c>
      <c r="CN14" s="2">
        <v>37454.129999999997</v>
      </c>
      <c r="CO14" s="2">
        <v>37628.019999999997</v>
      </c>
      <c r="CP14" s="2">
        <v>39375.129999999997</v>
      </c>
      <c r="CQ14" s="2">
        <v>39671</v>
      </c>
      <c r="CR14" s="2">
        <v>42270.879999999997</v>
      </c>
      <c r="CS14" s="2">
        <v>42334.07</v>
      </c>
      <c r="CT14" s="2">
        <v>44506.879999999997</v>
      </c>
      <c r="CU14" s="2">
        <v>46582.93</v>
      </c>
      <c r="CV14" s="2">
        <v>45830.1</v>
      </c>
      <c r="CW14" s="2">
        <v>48422.93</v>
      </c>
      <c r="CX14" s="2">
        <v>48077.02</v>
      </c>
      <c r="CY14" s="2">
        <v>50256</v>
      </c>
      <c r="CZ14" s="2">
        <v>51441</v>
      </c>
      <c r="DA14" s="2">
        <v>50566</v>
      </c>
      <c r="DB14" s="2">
        <v>52786</v>
      </c>
      <c r="DC14" s="2">
        <v>53658</v>
      </c>
      <c r="DD14" s="2">
        <v>54959</v>
      </c>
      <c r="DE14" s="2">
        <v>58149</v>
      </c>
      <c r="DF14" s="2">
        <v>57208</v>
      </c>
      <c r="DG14" s="2">
        <v>58048</v>
      </c>
      <c r="DH14" s="2">
        <v>59611</v>
      </c>
      <c r="DI14" s="2">
        <v>65111</v>
      </c>
      <c r="DJ14" s="2">
        <v>66052</v>
      </c>
      <c r="DK14" s="2">
        <v>65553</v>
      </c>
      <c r="DL14" s="2">
        <v>66895</v>
      </c>
      <c r="DM14" s="2">
        <v>70427</v>
      </c>
      <c r="DN14" s="2">
        <v>72056</v>
      </c>
      <c r="DO14" s="2">
        <v>74487</v>
      </c>
      <c r="DP14" s="2">
        <v>73505</v>
      </c>
      <c r="DQ14" s="2">
        <v>74535</v>
      </c>
      <c r="DR14" s="2">
        <v>69343</v>
      </c>
      <c r="DS14" s="2">
        <v>74228</v>
      </c>
      <c r="DT14" s="2">
        <v>79161</v>
      </c>
      <c r="DU14" s="2">
        <v>77493</v>
      </c>
      <c r="DV14" s="2">
        <v>76969</v>
      </c>
      <c r="DW14" s="2">
        <v>78703</v>
      </c>
      <c r="DX14" s="2">
        <v>75192</v>
      </c>
      <c r="DY14" s="2">
        <v>74904</v>
      </c>
      <c r="DZ14" s="2">
        <v>79338</v>
      </c>
      <c r="EA14" s="2">
        <v>77941</v>
      </c>
      <c r="EB14" s="2">
        <v>77887</v>
      </c>
      <c r="EC14" s="2">
        <v>79148</v>
      </c>
      <c r="ED14" s="2">
        <v>81734</v>
      </c>
      <c r="EE14" s="2">
        <v>82790</v>
      </c>
      <c r="EF14" s="2">
        <v>86229</v>
      </c>
      <c r="EG14" s="2">
        <v>88825</v>
      </c>
      <c r="EH14" s="2">
        <v>91515</v>
      </c>
      <c r="EI14" s="2">
        <v>105809</v>
      </c>
      <c r="EJ14" s="2">
        <v>111157</v>
      </c>
      <c r="EK14" s="2">
        <v>91230</v>
      </c>
      <c r="EL14" s="2">
        <v>92435</v>
      </c>
      <c r="EM14" s="2">
        <v>95543</v>
      </c>
      <c r="EN14" s="2">
        <v>95581</v>
      </c>
      <c r="EO14" s="2">
        <v>98433</v>
      </c>
      <c r="EP14" s="2">
        <v>96673</v>
      </c>
      <c r="EQ14" s="2">
        <v>97977</v>
      </c>
      <c r="ER14" s="2">
        <v>97795</v>
      </c>
      <c r="ES14" s="2">
        <v>95161</v>
      </c>
      <c r="ET14" s="2">
        <v>84918</v>
      </c>
      <c r="EU14" s="2">
        <v>81533</v>
      </c>
      <c r="EV14" s="2">
        <v>85394</v>
      </c>
      <c r="EW14" s="2">
        <v>88112</v>
      </c>
      <c r="EX14" s="2">
        <v>90863</v>
      </c>
      <c r="EY14" s="2">
        <v>93414</v>
      </c>
      <c r="EZ14" s="2">
        <v>96050</v>
      </c>
      <c r="FA14" s="2">
        <v>97316</v>
      </c>
      <c r="FB14" s="2">
        <v>100101</v>
      </c>
      <c r="FC14" s="2">
        <v>97424</v>
      </c>
      <c r="FD14" s="2">
        <v>100107</v>
      </c>
      <c r="FE14" s="2">
        <v>98100</v>
      </c>
      <c r="FF14" s="2">
        <v>98016</v>
      </c>
      <c r="FG14" s="2">
        <v>100193</v>
      </c>
      <c r="FH14" s="2">
        <v>100882</v>
      </c>
      <c r="FI14" s="2">
        <v>100203</v>
      </c>
      <c r="FJ14" s="2">
        <v>96520</v>
      </c>
      <c r="FK14" s="2">
        <v>100176</v>
      </c>
      <c r="FL14" s="2">
        <v>103770</v>
      </c>
      <c r="FM14" s="2">
        <v>106146</v>
      </c>
      <c r="FN14" s="2">
        <v>111418</v>
      </c>
      <c r="FO14" s="2">
        <v>108038</v>
      </c>
      <c r="FP14" s="2">
        <v>108961</v>
      </c>
      <c r="FQ14" s="2">
        <v>111450</v>
      </c>
      <c r="FR14" s="2">
        <v>118783</v>
      </c>
      <c r="FS14" s="2">
        <v>118324</v>
      </c>
      <c r="FT14" s="2">
        <v>113544</v>
      </c>
      <c r="FU14" s="2">
        <v>113955</v>
      </c>
      <c r="FV14" s="2">
        <v>117926</v>
      </c>
      <c r="FW14" s="2">
        <v>119982</v>
      </c>
      <c r="FX14" s="2">
        <v>122574</v>
      </c>
      <c r="FY14" s="2">
        <v>126354</v>
      </c>
      <c r="FZ14" s="2">
        <v>121164</v>
      </c>
      <c r="GA14" s="2">
        <v>121544</v>
      </c>
      <c r="GB14" s="2">
        <v>126552</v>
      </c>
      <c r="GC14" s="2">
        <v>125967</v>
      </c>
      <c r="GD14" s="2">
        <v>122163</v>
      </c>
      <c r="GE14" s="2">
        <v>122798</v>
      </c>
      <c r="GF14" s="2">
        <v>123826</v>
      </c>
      <c r="GG14" s="2">
        <v>123605</v>
      </c>
      <c r="GH14" s="2">
        <v>126985</v>
      </c>
      <c r="GI14" s="2">
        <v>148116</v>
      </c>
      <c r="GJ14" s="2">
        <v>124867</v>
      </c>
      <c r="GK14" s="2">
        <v>128411</v>
      </c>
      <c r="GL14" s="2">
        <v>121545</v>
      </c>
      <c r="GM14" s="2">
        <v>115930</v>
      </c>
      <c r="GN14" s="2">
        <v>92529</v>
      </c>
      <c r="GO14" s="2">
        <v>117558</v>
      </c>
      <c r="GP14" s="2">
        <v>139216</v>
      </c>
      <c r="GQ14" s="2">
        <v>125031</v>
      </c>
      <c r="GR14" s="2">
        <v>123719</v>
      </c>
      <c r="GS14" s="2">
        <v>123215</v>
      </c>
      <c r="GT14" s="2">
        <v>120610</v>
      </c>
      <c r="GU14" s="2">
        <v>138745</v>
      </c>
      <c r="GV14" s="2">
        <v>134773</v>
      </c>
      <c r="GW14" s="2">
        <v>124116</v>
      </c>
      <c r="GX14" s="2">
        <v>126036</v>
      </c>
      <c r="GY14" s="2">
        <v>125242</v>
      </c>
      <c r="GZ14" s="2">
        <v>127028</v>
      </c>
      <c r="HA14" s="2">
        <v>122809</v>
      </c>
      <c r="HB14" s="2">
        <v>121837</v>
      </c>
      <c r="HC14" s="2">
        <v>120434</v>
      </c>
      <c r="HD14" s="2">
        <v>132247</v>
      </c>
      <c r="HE14" s="2">
        <v>123759</v>
      </c>
      <c r="HF14" s="2">
        <v>128355</v>
      </c>
      <c r="HG14" s="3">
        <v>127377.60000000001</v>
      </c>
      <c r="HH14" s="3">
        <v>125813.1</v>
      </c>
      <c r="HI14" s="3">
        <v>125040.2</v>
      </c>
      <c r="HJ14" s="3">
        <v>124178.1</v>
      </c>
      <c r="HK14" s="3">
        <v>123663.7</v>
      </c>
      <c r="HL14" s="3">
        <v>123750.3</v>
      </c>
      <c r="HM14" s="3">
        <v>124053.7</v>
      </c>
      <c r="HN14" s="3">
        <v>124358.1</v>
      </c>
      <c r="HO14" s="3">
        <v>124606.6</v>
      </c>
      <c r="HP14" s="3">
        <v>124893.4</v>
      </c>
      <c r="HQ14" s="3">
        <v>125268.3</v>
      </c>
      <c r="HR14" s="3">
        <v>125656.4</v>
      </c>
      <c r="HS14" s="3">
        <v>126077.5</v>
      </c>
      <c r="HT14" s="3">
        <v>126480.9</v>
      </c>
      <c r="HU14" s="3">
        <v>126879.4</v>
      </c>
      <c r="HV14" s="3">
        <v>127266.3</v>
      </c>
      <c r="HW14" s="3">
        <v>127641.5</v>
      </c>
      <c r="HX14" s="3">
        <v>128017.9</v>
      </c>
      <c r="HY14" s="3">
        <v>128396</v>
      </c>
      <c r="HZ14" s="3">
        <v>128787.4</v>
      </c>
      <c r="IA14" s="3">
        <v>129199.6</v>
      </c>
      <c r="IB14" s="3">
        <v>129625.9</v>
      </c>
      <c r="IC14" s="3">
        <v>130092.6</v>
      </c>
      <c r="ID14" s="3">
        <v>130560.9</v>
      </c>
      <c r="IE14" s="3">
        <v>131030.9</v>
      </c>
      <c r="IF14" s="3">
        <v>131502.6</v>
      </c>
      <c r="IG14" s="3">
        <v>131976</v>
      </c>
      <c r="IH14" s="3">
        <v>132451.20000000001</v>
      </c>
      <c r="II14" s="3">
        <v>132928</v>
      </c>
      <c r="IJ14" s="3">
        <v>133406.5</v>
      </c>
      <c r="IK14" s="3">
        <v>133886.79999999999</v>
      </c>
      <c r="IL14" s="3">
        <v>134368.79999999999</v>
      </c>
      <c r="IM14" s="3">
        <v>134863</v>
      </c>
      <c r="IN14" s="3">
        <v>135337</v>
      </c>
      <c r="IO14" s="3">
        <v>135812.70000000001</v>
      </c>
      <c r="IP14" s="3">
        <v>136266.5</v>
      </c>
      <c r="IQ14" s="3">
        <v>136742.20000000001</v>
      </c>
      <c r="IR14" s="3">
        <v>137206.6</v>
      </c>
      <c r="IS14" s="3">
        <v>137671.1</v>
      </c>
      <c r="IT14" s="3">
        <v>138127.6</v>
      </c>
      <c r="IU14" s="3">
        <v>138603.79999999999</v>
      </c>
      <c r="IV14" s="3">
        <v>139081.79999999999</v>
      </c>
      <c r="IW14" s="3">
        <v>139561.5</v>
      </c>
      <c r="IX14" s="3">
        <v>140043</v>
      </c>
      <c r="IY14" s="3">
        <v>140538.29999999999</v>
      </c>
      <c r="IZ14" s="3">
        <v>141035.9</v>
      </c>
      <c r="JA14" s="3">
        <v>141535.79999999999</v>
      </c>
      <c r="JB14" s="3">
        <v>142038.1</v>
      </c>
      <c r="JC14" s="3">
        <v>142542.6</v>
      </c>
      <c r="JD14" s="3">
        <v>143049.5</v>
      </c>
      <c r="JE14" s="3">
        <v>143558.70000000001</v>
      </c>
      <c r="JF14" s="3">
        <v>144070.20000000001</v>
      </c>
      <c r="JG14" s="3">
        <v>144596</v>
      </c>
      <c r="JH14" s="3">
        <v>145124.29999999999</v>
      </c>
      <c r="JI14" s="3">
        <v>145655.29999999999</v>
      </c>
      <c r="JJ14" s="3">
        <v>146188.9</v>
      </c>
      <c r="JK14" s="3">
        <v>146725</v>
      </c>
      <c r="JL14" s="3">
        <v>147263.79999999999</v>
      </c>
      <c r="JM14" s="3">
        <v>147805.20000000001</v>
      </c>
      <c r="JN14" s="3">
        <v>148349.20000000001</v>
      </c>
      <c r="JO14" s="3">
        <v>148910.79999999999</v>
      </c>
      <c r="JP14" s="3">
        <v>149474.79999999999</v>
      </c>
      <c r="JQ14" s="3">
        <v>150041.5</v>
      </c>
      <c r="JR14" s="3">
        <v>150610.6</v>
      </c>
      <c r="JS14" s="3">
        <v>151195.5</v>
      </c>
      <c r="JT14" s="3">
        <v>151783.20000000001</v>
      </c>
      <c r="JU14" s="3">
        <v>152375.20000000001</v>
      </c>
      <c r="JV14" s="3">
        <v>152969.9</v>
      </c>
      <c r="JW14" s="3">
        <v>153567.4</v>
      </c>
      <c r="JX14" s="3">
        <v>154167.70000000001</v>
      </c>
      <c r="JY14" s="3">
        <v>154757.70000000001</v>
      </c>
      <c r="JZ14" s="3">
        <v>155350.20000000001</v>
      </c>
      <c r="KA14" s="3">
        <v>155945.29999999999</v>
      </c>
      <c r="KB14" s="3">
        <v>156542.79999999999</v>
      </c>
      <c r="KC14" s="3">
        <v>157127</v>
      </c>
      <c r="KD14" s="3">
        <v>157713.4</v>
      </c>
      <c r="KE14" s="3">
        <v>158302</v>
      </c>
      <c r="KF14" s="3">
        <v>158892.70000000001</v>
      </c>
      <c r="KG14" s="3">
        <v>159456.4</v>
      </c>
      <c r="KH14" s="3">
        <v>160021.70000000001</v>
      </c>
      <c r="KI14" s="3">
        <v>160588.70000000001</v>
      </c>
      <c r="KJ14" s="3">
        <v>161157.5</v>
      </c>
      <c r="KK14" s="3">
        <v>161714.1</v>
      </c>
      <c r="KL14" s="3">
        <v>162272.29999999999</v>
      </c>
      <c r="KM14" s="3">
        <v>162831.9</v>
      </c>
      <c r="KN14" s="3">
        <v>163393</v>
      </c>
      <c r="KO14" s="3">
        <v>163955</v>
      </c>
      <c r="KP14" s="3">
        <v>164518.39999999999</v>
      </c>
      <c r="KQ14" s="3">
        <v>165083.29999999999</v>
      </c>
      <c r="KR14" s="3">
        <v>165649.70000000001</v>
      </c>
      <c r="KS14" s="3">
        <v>166207.70000000001</v>
      </c>
      <c r="KT14" s="3">
        <v>166767.1</v>
      </c>
      <c r="KU14" s="3">
        <v>167327.9</v>
      </c>
      <c r="KV14" s="3">
        <v>167890.1</v>
      </c>
      <c r="KW14" s="3">
        <v>168449.4</v>
      </c>
      <c r="KX14" s="3">
        <v>169010</v>
      </c>
      <c r="KY14" s="3">
        <v>169571.9</v>
      </c>
      <c r="KZ14" s="3">
        <v>170135.1</v>
      </c>
      <c r="LA14" s="3">
        <v>170686.2</v>
      </c>
      <c r="LB14" s="3">
        <v>171238.3</v>
      </c>
      <c r="LC14" s="3">
        <v>171805.2</v>
      </c>
      <c r="LD14" s="3">
        <v>172373.1</v>
      </c>
      <c r="LE14" s="3">
        <v>172937.4</v>
      </c>
      <c r="LF14" s="3">
        <v>173502.7</v>
      </c>
      <c r="LG14" s="3">
        <v>174069</v>
      </c>
      <c r="LH14" s="3">
        <v>174636.3</v>
      </c>
      <c r="LI14" s="3">
        <v>175197.7</v>
      </c>
      <c r="LJ14" s="3">
        <v>175760.2</v>
      </c>
      <c r="LK14" s="3">
        <v>176323.6</v>
      </c>
      <c r="LL14" s="3">
        <v>176887.9</v>
      </c>
      <c r="LM14" s="3">
        <v>177439.2</v>
      </c>
      <c r="LN14" s="3">
        <v>177991.1</v>
      </c>
      <c r="LO14" s="3">
        <v>178543.8</v>
      </c>
      <c r="LP14" s="3">
        <v>179097.1</v>
      </c>
      <c r="LQ14" s="3">
        <v>179650.9</v>
      </c>
      <c r="LR14" s="3">
        <v>180205.4</v>
      </c>
      <c r="LS14" s="3">
        <v>180760.6</v>
      </c>
      <c r="LT14" s="3">
        <v>181316.6</v>
      </c>
      <c r="LU14" s="3">
        <v>181867.2</v>
      </c>
      <c r="LV14" s="3">
        <v>182418.3</v>
      </c>
      <c r="LW14" s="3">
        <v>182970.1</v>
      </c>
      <c r="LX14" s="3">
        <v>183522.5</v>
      </c>
      <c r="LY14" s="3">
        <v>184069.7</v>
      </c>
      <c r="LZ14" s="3">
        <v>184617.3</v>
      </c>
      <c r="MA14" s="3">
        <v>185165.5</v>
      </c>
      <c r="MB14" s="3">
        <v>185714.3</v>
      </c>
      <c r="MC14" s="3">
        <v>186263.2</v>
      </c>
      <c r="MD14" s="3">
        <v>186812.7</v>
      </c>
      <c r="ME14" s="3">
        <v>187362.8</v>
      </c>
      <c r="MF14" s="3">
        <v>187913.5</v>
      </c>
      <c r="MG14" s="3">
        <v>188469.1</v>
      </c>
      <c r="MH14" s="3">
        <v>189025.5</v>
      </c>
      <c r="MI14" s="3">
        <v>189582.5</v>
      </c>
      <c r="MJ14" s="3">
        <v>190140.2</v>
      </c>
      <c r="MK14" s="3">
        <v>190694.8</v>
      </c>
      <c r="ML14" s="3">
        <v>191250</v>
      </c>
      <c r="MM14" s="3">
        <v>191805.8</v>
      </c>
      <c r="MN14" s="3">
        <v>192362.3</v>
      </c>
      <c r="MO14" s="3">
        <v>192923.5</v>
      </c>
      <c r="MP14" s="3">
        <v>193485.5</v>
      </c>
      <c r="MQ14" s="3">
        <v>194048.2</v>
      </c>
      <c r="MR14" s="3">
        <v>194611.6</v>
      </c>
      <c r="MS14" s="3">
        <v>195175.8</v>
      </c>
      <c r="MT14" s="3">
        <v>195740.7</v>
      </c>
      <c r="MU14" t="s">
        <v>409</v>
      </c>
      <c r="MV14" t="b">
        <v>1</v>
      </c>
      <c r="MW14" s="1" t="s">
        <v>376</v>
      </c>
      <c r="MX14" t="s">
        <v>377</v>
      </c>
      <c r="MY14">
        <v>2024</v>
      </c>
      <c r="MZ14">
        <v>4</v>
      </c>
      <c r="NA14" t="s">
        <v>377</v>
      </c>
      <c r="NB14" s="1" t="s">
        <v>410</v>
      </c>
      <c r="NC14" s="1" t="s">
        <v>411</v>
      </c>
      <c r="ND14" t="s">
        <v>380</v>
      </c>
      <c r="NE14" t="s">
        <v>412</v>
      </c>
      <c r="NF14" s="1" t="s">
        <v>455</v>
      </c>
    </row>
    <row r="15" spans="1:370" x14ac:dyDescent="0.25">
      <c r="A15" t="s">
        <v>382</v>
      </c>
      <c r="B15" s="1" t="s">
        <v>408</v>
      </c>
      <c r="C15" s="1" t="s">
        <v>454</v>
      </c>
      <c r="D15" t="s">
        <v>383</v>
      </c>
      <c r="E15" t="s">
        <v>384</v>
      </c>
      <c r="F15" t="s">
        <v>374</v>
      </c>
      <c r="G15" s="2">
        <v>32.774999999999999</v>
      </c>
      <c r="H15" s="2">
        <v>27.574999999999999</v>
      </c>
      <c r="I15" s="2">
        <v>26.15</v>
      </c>
      <c r="J15" s="2">
        <v>24.3</v>
      </c>
      <c r="K15" s="2">
        <v>29.925000000000001</v>
      </c>
      <c r="L15" s="2">
        <v>27.475000000000001</v>
      </c>
      <c r="M15" s="2">
        <v>26.85</v>
      </c>
      <c r="N15" s="2">
        <v>24.6</v>
      </c>
      <c r="O15" s="2">
        <v>21.074999999999999</v>
      </c>
      <c r="P15" s="2">
        <v>18.899999999999999</v>
      </c>
      <c r="Q15" s="2">
        <v>20.6</v>
      </c>
      <c r="R15" s="2">
        <v>22.1</v>
      </c>
      <c r="S15" s="2">
        <v>25.35</v>
      </c>
      <c r="T15" s="2">
        <v>25.7</v>
      </c>
      <c r="U15" s="2">
        <v>26.35</v>
      </c>
      <c r="V15" s="2">
        <v>26.25</v>
      </c>
      <c r="W15" s="2">
        <v>22.625</v>
      </c>
      <c r="X15" s="2">
        <v>26.625</v>
      </c>
      <c r="Y15" s="2">
        <v>26.7</v>
      </c>
      <c r="Z15" s="2">
        <v>29.35</v>
      </c>
      <c r="AA15" s="2">
        <v>33.049999999999997</v>
      </c>
      <c r="AB15" s="2">
        <v>35.924999999999997</v>
      </c>
      <c r="AC15" s="2">
        <v>33.924999999999997</v>
      </c>
      <c r="AD15" s="2">
        <v>35.274999999999999</v>
      </c>
      <c r="AE15" s="2">
        <v>33.274999999999999</v>
      </c>
      <c r="AF15" s="2">
        <v>36.024999999999999</v>
      </c>
      <c r="AG15" s="2">
        <v>35.25</v>
      </c>
      <c r="AH15" s="2">
        <v>36.875</v>
      </c>
      <c r="AI15" s="2">
        <v>37.700000000000003</v>
      </c>
      <c r="AJ15" s="2">
        <v>37.25</v>
      </c>
      <c r="AK15" s="2">
        <v>36.024999999999999</v>
      </c>
      <c r="AL15" s="2">
        <v>38.225000000000001</v>
      </c>
      <c r="AM15" s="2">
        <v>39.6</v>
      </c>
      <c r="AN15" s="2">
        <v>42.325000000000003</v>
      </c>
      <c r="AO15" s="2">
        <v>43</v>
      </c>
      <c r="AP15" s="2">
        <v>45.424999999999997</v>
      </c>
      <c r="AQ15" s="2">
        <v>43.875</v>
      </c>
      <c r="AR15" s="2">
        <v>46.174999999999997</v>
      </c>
      <c r="AS15" s="2">
        <v>45.35</v>
      </c>
      <c r="AT15" s="2">
        <v>43.274999999999999</v>
      </c>
      <c r="AU15" s="2">
        <v>50.1</v>
      </c>
      <c r="AV15" s="2">
        <v>51.325000000000003</v>
      </c>
      <c r="AW15" s="2">
        <v>53.875</v>
      </c>
      <c r="AX15" s="2">
        <v>61.424999999999997</v>
      </c>
      <c r="AY15" s="2">
        <v>67.25</v>
      </c>
      <c r="AZ15" s="2">
        <v>70.599999999999994</v>
      </c>
      <c r="BA15" s="2">
        <v>73.45</v>
      </c>
      <c r="BB15" s="2">
        <v>75.2</v>
      </c>
      <c r="BC15" s="2">
        <v>77.375</v>
      </c>
      <c r="BD15" s="2">
        <v>78.599999999999994</v>
      </c>
      <c r="BE15" s="2">
        <v>79.45</v>
      </c>
      <c r="BF15" s="2">
        <v>81.2</v>
      </c>
      <c r="BG15" s="2">
        <v>83.3</v>
      </c>
      <c r="BH15" s="2">
        <v>84.875</v>
      </c>
      <c r="BI15" s="2">
        <v>82.474999999999994</v>
      </c>
      <c r="BJ15" s="2">
        <v>85.924999999999997</v>
      </c>
      <c r="BK15" s="2">
        <v>87.4</v>
      </c>
      <c r="BL15" s="2">
        <v>89</v>
      </c>
      <c r="BM15" s="2">
        <v>86.2</v>
      </c>
      <c r="BN15" s="2">
        <v>89.974999999999994</v>
      </c>
      <c r="BO15" s="2">
        <v>89.575000000000003</v>
      </c>
      <c r="BP15" s="2">
        <v>87.4</v>
      </c>
      <c r="BQ15" s="2">
        <v>89.9</v>
      </c>
      <c r="BR15" s="2">
        <v>92.1</v>
      </c>
      <c r="BS15" s="2">
        <v>90</v>
      </c>
      <c r="BT15" s="2">
        <v>93.55</v>
      </c>
      <c r="BU15" s="2">
        <v>91.9</v>
      </c>
      <c r="BV15" s="2">
        <v>93.875</v>
      </c>
      <c r="BW15" s="2">
        <v>91.1</v>
      </c>
      <c r="BX15" s="2">
        <v>95.95</v>
      </c>
      <c r="BY15" s="2">
        <v>97.325000000000003</v>
      </c>
      <c r="BZ15" s="2">
        <v>98.375</v>
      </c>
      <c r="CA15" s="2">
        <v>93.55</v>
      </c>
      <c r="CB15" s="2">
        <v>94.4</v>
      </c>
      <c r="CC15" s="2">
        <v>96.95</v>
      </c>
      <c r="CD15" s="2">
        <v>100.75</v>
      </c>
      <c r="CE15" s="2">
        <v>103.27500000000001</v>
      </c>
      <c r="CF15" s="2">
        <v>107.75</v>
      </c>
      <c r="CG15" s="2">
        <v>108.77500000000001</v>
      </c>
      <c r="CH15" s="2">
        <v>109.3</v>
      </c>
      <c r="CI15" s="2">
        <v>113.4</v>
      </c>
      <c r="CJ15" s="2">
        <v>117.22499999999999</v>
      </c>
      <c r="CK15" s="2">
        <v>119.77500000000001</v>
      </c>
      <c r="CL15" s="2">
        <v>122.325</v>
      </c>
      <c r="CM15" s="2">
        <v>126.925</v>
      </c>
      <c r="CN15" s="2">
        <v>135.07499999999999</v>
      </c>
      <c r="CO15" s="2">
        <v>137.92500000000001</v>
      </c>
      <c r="CP15" s="2">
        <v>146.85</v>
      </c>
      <c r="CQ15" s="2">
        <v>150.85</v>
      </c>
      <c r="CR15" s="2">
        <v>155.42500000000001</v>
      </c>
      <c r="CS15" s="2">
        <v>153.44999999999999</v>
      </c>
      <c r="CT15" s="2">
        <v>155.4</v>
      </c>
      <c r="CU15" s="2">
        <v>161.125</v>
      </c>
      <c r="CV15" s="2">
        <v>165.4</v>
      </c>
      <c r="CW15" s="2">
        <v>171.8</v>
      </c>
      <c r="CX15" s="2">
        <v>176.05</v>
      </c>
      <c r="CY15" s="2">
        <v>185.57499999999999</v>
      </c>
      <c r="CZ15" s="2">
        <v>195.125</v>
      </c>
      <c r="DA15" s="2">
        <v>203.27500000000001</v>
      </c>
      <c r="DB15" s="2">
        <v>206.9</v>
      </c>
      <c r="DC15" s="2">
        <v>215.5</v>
      </c>
      <c r="DD15" s="2">
        <v>221.55</v>
      </c>
      <c r="DE15" s="2">
        <v>223.75</v>
      </c>
      <c r="DF15" s="2">
        <v>233.45</v>
      </c>
      <c r="DG15" s="2">
        <v>237.57499999999999</v>
      </c>
      <c r="DH15" s="2">
        <v>249.5</v>
      </c>
      <c r="DI15" s="2">
        <v>260.95</v>
      </c>
      <c r="DJ15" s="2">
        <v>271.95</v>
      </c>
      <c r="DK15" s="2">
        <v>280.55</v>
      </c>
      <c r="DL15" s="2">
        <v>290.95</v>
      </c>
      <c r="DM15" s="2">
        <v>301.97500000000002</v>
      </c>
      <c r="DN15" s="2">
        <v>300.875</v>
      </c>
      <c r="DO15" s="2">
        <v>291.85000000000002</v>
      </c>
      <c r="DP15" s="2">
        <v>280.82499999999999</v>
      </c>
      <c r="DQ15" s="2">
        <v>276.85000000000002</v>
      </c>
      <c r="DR15" s="2">
        <v>271.89999999999998</v>
      </c>
      <c r="DS15" s="2">
        <v>280.67500000000001</v>
      </c>
      <c r="DT15" s="2">
        <v>294.07499999999999</v>
      </c>
      <c r="DU15" s="2">
        <v>300.85000000000002</v>
      </c>
      <c r="DV15" s="2">
        <v>302</v>
      </c>
      <c r="DW15" s="2">
        <v>304.10000000000002</v>
      </c>
      <c r="DX15" s="2">
        <v>308.45</v>
      </c>
      <c r="DY15" s="2">
        <v>310.39999999999998</v>
      </c>
      <c r="DZ15" s="2">
        <v>325.07499999999999</v>
      </c>
      <c r="EA15" s="2">
        <v>331.7</v>
      </c>
      <c r="EB15" s="2">
        <v>350.125</v>
      </c>
      <c r="EC15" s="2">
        <v>355.15</v>
      </c>
      <c r="ED15" s="2">
        <v>362.47500000000002</v>
      </c>
      <c r="EE15" s="2">
        <v>368.7</v>
      </c>
      <c r="EF15" s="2">
        <v>375.35</v>
      </c>
      <c r="EG15" s="2">
        <v>377.25</v>
      </c>
      <c r="EH15" s="2">
        <v>389.8</v>
      </c>
      <c r="EI15" s="2">
        <v>400.75</v>
      </c>
      <c r="EJ15" s="2">
        <v>405.25</v>
      </c>
      <c r="EK15" s="2">
        <v>408.05</v>
      </c>
      <c r="EL15" s="2">
        <v>410.45</v>
      </c>
      <c r="EM15" s="2">
        <v>415.65</v>
      </c>
      <c r="EN15" s="2">
        <v>416.82499999999999</v>
      </c>
      <c r="EO15" s="2">
        <v>419.92500000000001</v>
      </c>
      <c r="EP15" s="2">
        <v>414.875</v>
      </c>
      <c r="EQ15" s="2">
        <v>415.72500000000002</v>
      </c>
      <c r="ER15" s="2">
        <v>413.625</v>
      </c>
      <c r="ES15" s="2">
        <v>405.7</v>
      </c>
      <c r="ET15" s="2">
        <v>378.125</v>
      </c>
      <c r="EU15" s="2">
        <v>330.75</v>
      </c>
      <c r="EV15" s="2">
        <v>317.17500000000001</v>
      </c>
      <c r="EW15" s="2">
        <v>336.77499999999998</v>
      </c>
      <c r="EX15" s="2">
        <v>360.375</v>
      </c>
      <c r="EY15" s="2">
        <v>371.27499999999998</v>
      </c>
      <c r="EZ15" s="2">
        <v>392.07499999999999</v>
      </c>
      <c r="FA15" s="2">
        <v>408.42500000000001</v>
      </c>
      <c r="FB15" s="2">
        <v>414.5</v>
      </c>
      <c r="FC15" s="2">
        <v>416.8</v>
      </c>
      <c r="FD15" s="2">
        <v>417.875</v>
      </c>
      <c r="FE15" s="2">
        <v>424.07499999999999</v>
      </c>
      <c r="FF15" s="2">
        <v>432.17500000000001</v>
      </c>
      <c r="FG15" s="2">
        <v>438.05</v>
      </c>
      <c r="FH15" s="2">
        <v>439.55</v>
      </c>
      <c r="FI15" s="2">
        <v>443.15</v>
      </c>
      <c r="FJ15" s="2">
        <v>439.82499999999999</v>
      </c>
      <c r="FK15" s="2">
        <v>443.9</v>
      </c>
      <c r="FL15" s="2">
        <v>451.52499999999998</v>
      </c>
      <c r="FM15" s="2">
        <v>456.1</v>
      </c>
      <c r="FN15" s="2">
        <v>460.9</v>
      </c>
      <c r="FO15" s="2">
        <v>466.7</v>
      </c>
      <c r="FP15" s="2">
        <v>483.3</v>
      </c>
      <c r="FQ15" s="2">
        <v>485.32499999999999</v>
      </c>
      <c r="FR15" s="2">
        <v>496.7</v>
      </c>
      <c r="FS15" s="2">
        <v>508.52499999999998</v>
      </c>
      <c r="FT15" s="2">
        <v>513.42499999999995</v>
      </c>
      <c r="FU15" s="2">
        <v>515.65</v>
      </c>
      <c r="FV15" s="2">
        <v>514.4</v>
      </c>
      <c r="FW15" s="2">
        <v>513.07500000000005</v>
      </c>
      <c r="FX15" s="2">
        <v>513.72500000000002</v>
      </c>
      <c r="FY15" s="2">
        <v>514.92499999999995</v>
      </c>
      <c r="FZ15" s="2">
        <v>526.77499999999998</v>
      </c>
      <c r="GA15" s="2">
        <v>532.20000000000005</v>
      </c>
      <c r="GB15" s="2">
        <v>540.02499999999998</v>
      </c>
      <c r="GC15" s="2">
        <v>539.29999999999995</v>
      </c>
      <c r="GD15" s="2">
        <v>560.97500000000002</v>
      </c>
      <c r="GE15" s="2">
        <v>568.42499999999995</v>
      </c>
      <c r="GF15" s="2">
        <v>568.9</v>
      </c>
      <c r="GG15" s="2">
        <v>578.25</v>
      </c>
      <c r="GH15" s="2">
        <v>587.02499999999998</v>
      </c>
      <c r="GI15" s="2">
        <v>583.67499999999995</v>
      </c>
      <c r="GJ15" s="2">
        <v>586.70000000000005</v>
      </c>
      <c r="GK15" s="2">
        <v>584.82500000000005</v>
      </c>
      <c r="GL15" s="2">
        <v>571.57500000000005</v>
      </c>
      <c r="GM15" s="2">
        <v>556.29999999999995</v>
      </c>
      <c r="GN15" s="2">
        <v>472.4</v>
      </c>
      <c r="GO15" s="2">
        <v>567.54999999999995</v>
      </c>
      <c r="GP15" s="2">
        <v>608.42499999999995</v>
      </c>
      <c r="GQ15" s="2">
        <v>619.9</v>
      </c>
      <c r="GR15" s="2">
        <v>626.6</v>
      </c>
      <c r="GS15" s="2">
        <v>626.70000000000005</v>
      </c>
      <c r="GT15" s="2">
        <v>660.4</v>
      </c>
      <c r="GU15" s="2">
        <v>684.7</v>
      </c>
      <c r="GV15" s="2">
        <v>691</v>
      </c>
      <c r="GW15" s="2">
        <v>674.3</v>
      </c>
      <c r="GX15" s="2">
        <v>667.02499999999998</v>
      </c>
      <c r="GY15" s="2">
        <v>666.17499999999995</v>
      </c>
      <c r="GZ15" s="2">
        <v>659.35</v>
      </c>
      <c r="HA15" s="2">
        <v>666.6</v>
      </c>
      <c r="HB15" s="2">
        <v>669.35</v>
      </c>
      <c r="HC15" s="2">
        <v>682.27499999999998</v>
      </c>
      <c r="HD15" s="2">
        <v>695.7</v>
      </c>
      <c r="HE15" s="2">
        <v>714.97500000000002</v>
      </c>
      <c r="HF15" s="2">
        <v>706.25</v>
      </c>
      <c r="HG15" s="3">
        <v>759.06920000000002</v>
      </c>
      <c r="HH15" s="3">
        <v>747.04970000000003</v>
      </c>
      <c r="HI15" s="3">
        <v>684.88199999999995</v>
      </c>
      <c r="HJ15" s="3">
        <v>624.4117</v>
      </c>
      <c r="HK15" s="3">
        <v>609.65499999999997</v>
      </c>
      <c r="HL15" s="3">
        <v>612.52779999999996</v>
      </c>
      <c r="HM15" s="3">
        <v>618.38710000000003</v>
      </c>
      <c r="HN15" s="3">
        <v>624.43100000000004</v>
      </c>
      <c r="HO15" s="3">
        <v>630.67849999999999</v>
      </c>
      <c r="HP15" s="3">
        <v>637.04639999999995</v>
      </c>
      <c r="HQ15" s="3">
        <v>643.43510000000003</v>
      </c>
      <c r="HR15" s="3">
        <v>649.91020000000003</v>
      </c>
      <c r="HS15" s="3">
        <v>656.43870000000004</v>
      </c>
      <c r="HT15" s="3">
        <v>663.00670000000002</v>
      </c>
      <c r="HU15" s="3">
        <v>669.61410000000001</v>
      </c>
      <c r="HV15" s="3">
        <v>676.26089999999999</v>
      </c>
      <c r="HW15" s="3">
        <v>682.94669999999996</v>
      </c>
      <c r="HX15" s="3">
        <v>689.58450000000005</v>
      </c>
      <c r="HY15" s="3">
        <v>696.17169999999999</v>
      </c>
      <c r="HZ15" s="3">
        <v>702.70540000000005</v>
      </c>
      <c r="IA15" s="3">
        <v>709.18290000000002</v>
      </c>
      <c r="IB15" s="3">
        <v>715.60140000000001</v>
      </c>
      <c r="IC15" s="3">
        <v>721.95830000000001</v>
      </c>
      <c r="ID15" s="3">
        <v>728.25059999999996</v>
      </c>
      <c r="IE15" s="3">
        <v>734.47569999999996</v>
      </c>
      <c r="IF15" s="3">
        <v>740.6309</v>
      </c>
      <c r="IG15" s="3">
        <v>746.71339999999998</v>
      </c>
      <c r="IH15" s="3">
        <v>752.72059999999999</v>
      </c>
      <c r="II15" s="3">
        <v>758.64970000000005</v>
      </c>
      <c r="IJ15" s="3">
        <v>764.49789999999996</v>
      </c>
      <c r="IK15" s="3">
        <v>770.26279999999997</v>
      </c>
      <c r="IL15" s="3">
        <v>775.94169999999997</v>
      </c>
      <c r="IM15" s="3">
        <v>781.5317</v>
      </c>
      <c r="IN15" s="3">
        <v>787.03060000000005</v>
      </c>
      <c r="IO15" s="3">
        <v>792.43550000000005</v>
      </c>
      <c r="IP15" s="3">
        <v>797.74400000000003</v>
      </c>
      <c r="IQ15" s="3">
        <v>802.95360000000005</v>
      </c>
      <c r="IR15" s="3">
        <v>808.06179999999995</v>
      </c>
      <c r="IS15" s="3">
        <v>813.06600000000003</v>
      </c>
      <c r="IT15" s="3">
        <v>817.96410000000003</v>
      </c>
      <c r="IU15" s="3">
        <v>822.75340000000006</v>
      </c>
      <c r="IV15" s="3">
        <v>827.4316</v>
      </c>
      <c r="IW15" s="3">
        <v>831.99649999999997</v>
      </c>
      <c r="IX15" s="3">
        <v>836.44590000000005</v>
      </c>
      <c r="IY15" s="3">
        <v>840.75289999999995</v>
      </c>
      <c r="IZ15" s="3">
        <v>845.08119999999997</v>
      </c>
      <c r="JA15" s="3">
        <v>849.40679999999998</v>
      </c>
      <c r="JB15" s="3">
        <v>853.75009999999997</v>
      </c>
      <c r="JC15" s="3">
        <v>858.09389999999996</v>
      </c>
      <c r="JD15" s="3">
        <v>862.44619999999998</v>
      </c>
      <c r="JE15" s="3">
        <v>866.83810000000005</v>
      </c>
      <c r="JF15" s="3">
        <v>871.20360000000005</v>
      </c>
      <c r="JG15" s="3">
        <v>875.59010000000001</v>
      </c>
      <c r="JH15" s="3">
        <v>879.97720000000004</v>
      </c>
      <c r="JI15" s="3">
        <v>884.39570000000003</v>
      </c>
      <c r="JJ15" s="3">
        <v>888.82060000000001</v>
      </c>
      <c r="JK15" s="3">
        <v>893.26480000000004</v>
      </c>
      <c r="JL15" s="3">
        <v>897.72379999999998</v>
      </c>
      <c r="JM15" s="3">
        <v>902.15970000000004</v>
      </c>
      <c r="JN15" s="3">
        <v>906.64649999999995</v>
      </c>
      <c r="JO15" s="3">
        <v>911.13639999999998</v>
      </c>
      <c r="JP15" s="3">
        <v>915.62900000000002</v>
      </c>
      <c r="JQ15" s="3">
        <v>920.13430000000005</v>
      </c>
      <c r="JR15" s="3">
        <v>924.65890000000002</v>
      </c>
      <c r="JS15" s="3">
        <v>929.19839999999999</v>
      </c>
      <c r="JT15" s="3">
        <v>933.74850000000004</v>
      </c>
      <c r="JU15" s="3">
        <v>938.31979999999999</v>
      </c>
      <c r="JV15" s="3">
        <v>942.90369999999996</v>
      </c>
      <c r="JW15" s="3">
        <v>947.49869999999999</v>
      </c>
      <c r="JX15" s="3">
        <v>952.11159999999995</v>
      </c>
      <c r="JY15" s="3">
        <v>956.73350000000005</v>
      </c>
      <c r="JZ15" s="3">
        <v>961.37109999999996</v>
      </c>
      <c r="KA15" s="3">
        <v>966.04229999999995</v>
      </c>
      <c r="KB15" s="3">
        <v>970.73360000000002</v>
      </c>
      <c r="KC15" s="3">
        <v>975.42460000000005</v>
      </c>
      <c r="KD15" s="3">
        <v>980.1481</v>
      </c>
      <c r="KE15" s="3">
        <v>984.88620000000003</v>
      </c>
      <c r="KF15" s="3">
        <v>989.63109999999995</v>
      </c>
      <c r="KG15" s="3">
        <v>994.39030000000002</v>
      </c>
      <c r="KH15" s="3">
        <v>999.17579999999998</v>
      </c>
      <c r="KI15" s="3">
        <v>1003.954</v>
      </c>
      <c r="KJ15" s="3">
        <v>1008.759</v>
      </c>
      <c r="KK15" s="3">
        <v>1013.563</v>
      </c>
      <c r="KL15" s="3">
        <v>1018.393</v>
      </c>
      <c r="KM15" s="3">
        <v>1023.241</v>
      </c>
      <c r="KN15" s="3">
        <v>1028.0930000000001</v>
      </c>
      <c r="KO15" s="3">
        <v>1032.9590000000001</v>
      </c>
      <c r="KP15" s="3">
        <v>1037.8589999999999</v>
      </c>
      <c r="KQ15" s="3">
        <v>1042.758</v>
      </c>
      <c r="KR15" s="3">
        <v>1047.6669999999999</v>
      </c>
      <c r="KS15" s="3">
        <v>1052.598</v>
      </c>
      <c r="KT15" s="3">
        <v>1057.539</v>
      </c>
      <c r="KU15" s="3">
        <v>1062.492</v>
      </c>
      <c r="KV15" s="3">
        <v>1067.4829999999999</v>
      </c>
      <c r="KW15" s="3">
        <v>1072.4490000000001</v>
      </c>
      <c r="KX15" s="3">
        <v>1077.473</v>
      </c>
      <c r="KY15" s="3">
        <v>1082.4939999999999</v>
      </c>
      <c r="KZ15" s="3">
        <v>1087.4960000000001</v>
      </c>
      <c r="LA15" s="3">
        <v>1092.5450000000001</v>
      </c>
      <c r="LB15" s="3">
        <v>1097.5889999999999</v>
      </c>
      <c r="LC15" s="3">
        <v>1102.681</v>
      </c>
      <c r="LD15" s="3">
        <v>1107.768</v>
      </c>
      <c r="LE15" s="3">
        <v>1112.856</v>
      </c>
      <c r="LF15" s="3">
        <v>1117.9839999999999</v>
      </c>
      <c r="LG15" s="3">
        <v>1123.1210000000001</v>
      </c>
      <c r="LH15" s="3">
        <v>1128.2809999999999</v>
      </c>
      <c r="LI15" s="3">
        <v>1133.463</v>
      </c>
      <c r="LJ15" s="3">
        <v>1138.6610000000001</v>
      </c>
      <c r="LK15" s="3">
        <v>1143.8910000000001</v>
      </c>
      <c r="LL15" s="3">
        <v>1149.134</v>
      </c>
      <c r="LM15" s="3">
        <v>1154.3989999999999</v>
      </c>
      <c r="LN15" s="3">
        <v>1159.6859999999999</v>
      </c>
      <c r="LO15" s="3">
        <v>1164.9929999999999</v>
      </c>
      <c r="LP15" s="3">
        <v>1170.319</v>
      </c>
      <c r="LQ15" s="3">
        <v>1175.674</v>
      </c>
      <c r="LR15" s="3">
        <v>1181.0509999999999</v>
      </c>
      <c r="LS15" s="3">
        <v>1186.442</v>
      </c>
      <c r="LT15" s="3">
        <v>1191.8489999999999</v>
      </c>
      <c r="LU15" s="3">
        <v>1197.288</v>
      </c>
      <c r="LV15" s="3">
        <v>1202.7470000000001</v>
      </c>
      <c r="LW15" s="3">
        <v>1208.2260000000001</v>
      </c>
      <c r="LX15" s="3">
        <v>1213.73</v>
      </c>
      <c r="LY15" s="3">
        <v>1219.259</v>
      </c>
      <c r="LZ15" s="3">
        <v>1224.7919999999999</v>
      </c>
      <c r="MA15" s="3">
        <v>1230.367</v>
      </c>
      <c r="MB15" s="3">
        <v>1235.9480000000001</v>
      </c>
      <c r="MC15" s="3">
        <v>1241.5650000000001</v>
      </c>
      <c r="MD15" s="3">
        <v>1247.2059999999999</v>
      </c>
      <c r="ME15" s="3">
        <v>1252.857</v>
      </c>
      <c r="MF15" s="3">
        <v>1258.5360000000001</v>
      </c>
      <c r="MG15" s="3">
        <v>1264.249</v>
      </c>
      <c r="MH15" s="3">
        <v>1269.98</v>
      </c>
      <c r="MI15" s="3">
        <v>1275.742</v>
      </c>
      <c r="MJ15" s="3">
        <v>1281.5150000000001</v>
      </c>
      <c r="MK15" s="3">
        <v>1287.327</v>
      </c>
      <c r="ML15" s="3">
        <v>1293.1510000000001</v>
      </c>
      <c r="MM15" s="3">
        <v>1299.0119999999999</v>
      </c>
      <c r="MN15" s="3">
        <v>1304.8869999999999</v>
      </c>
      <c r="MO15" s="3">
        <v>1310.7840000000001</v>
      </c>
      <c r="MP15" s="3">
        <v>1316.72</v>
      </c>
      <c r="MQ15" s="3">
        <v>1322.6690000000001</v>
      </c>
      <c r="MR15" s="3">
        <v>1328.645</v>
      </c>
      <c r="MS15" s="3">
        <v>1334.6469999999999</v>
      </c>
      <c r="MT15" s="3">
        <v>1340.6669999999999</v>
      </c>
      <c r="MU15" t="s">
        <v>413</v>
      </c>
      <c r="MV15" t="b">
        <v>1</v>
      </c>
      <c r="MW15" s="1" t="s">
        <v>386</v>
      </c>
      <c r="MX15" t="s">
        <v>377</v>
      </c>
      <c r="MY15">
        <v>2024</v>
      </c>
      <c r="MZ15">
        <v>4</v>
      </c>
      <c r="NA15" t="s">
        <v>377</v>
      </c>
      <c r="NB15" s="1" t="s">
        <v>414</v>
      </c>
      <c r="NC15" s="1" t="s">
        <v>415</v>
      </c>
      <c r="ND15" t="s">
        <v>389</v>
      </c>
      <c r="NE15" t="s">
        <v>412</v>
      </c>
      <c r="NF15" s="1" t="s">
        <v>455</v>
      </c>
    </row>
    <row r="16" spans="1:370" x14ac:dyDescent="0.25">
      <c r="A16" t="s">
        <v>370</v>
      </c>
      <c r="B16" t="s">
        <v>416</v>
      </c>
      <c r="C16" s="1" t="s">
        <v>454</v>
      </c>
      <c r="D16" t="s">
        <v>417</v>
      </c>
      <c r="E16" t="s">
        <v>377</v>
      </c>
      <c r="F16" t="s">
        <v>374</v>
      </c>
      <c r="G16" s="2">
        <v>11.88749</v>
      </c>
      <c r="H16" s="2">
        <v>12.304600000000001</v>
      </c>
      <c r="I16" s="2">
        <v>12.51315</v>
      </c>
      <c r="J16" s="2">
        <v>13.008459999999999</v>
      </c>
      <c r="K16" s="2">
        <v>13.47771</v>
      </c>
      <c r="L16" s="2">
        <v>14.23371</v>
      </c>
      <c r="M16" s="2">
        <v>14.572609999999999</v>
      </c>
      <c r="N16" s="2">
        <v>15.250400000000001</v>
      </c>
      <c r="O16" s="2">
        <v>16.058540000000001</v>
      </c>
      <c r="P16" s="2">
        <v>17.466270000000002</v>
      </c>
      <c r="Q16" s="2">
        <v>18.222280000000001</v>
      </c>
      <c r="R16" s="2">
        <v>18.847930000000002</v>
      </c>
      <c r="S16" s="2">
        <v>19.42145</v>
      </c>
      <c r="T16" s="2">
        <v>20.125319999999999</v>
      </c>
      <c r="U16" s="2">
        <v>20.594560000000001</v>
      </c>
      <c r="V16" s="2">
        <v>21.506979999999999</v>
      </c>
      <c r="W16" s="2">
        <v>22.471530000000001</v>
      </c>
      <c r="X16" s="2">
        <v>23.410019999999999</v>
      </c>
      <c r="Y16" s="2">
        <v>23.82713</v>
      </c>
      <c r="Z16" s="2">
        <v>24.139949999999999</v>
      </c>
      <c r="AA16" s="2">
        <v>24.452780000000001</v>
      </c>
      <c r="AB16" s="2">
        <v>25.078440000000001</v>
      </c>
      <c r="AC16" s="2">
        <v>25.469480000000001</v>
      </c>
      <c r="AD16" s="2">
        <v>25.860510000000001</v>
      </c>
      <c r="AE16" s="2">
        <v>26.43403</v>
      </c>
      <c r="AF16" s="2">
        <v>27.268239999999999</v>
      </c>
      <c r="AG16" s="2">
        <v>28.910589999999999</v>
      </c>
      <c r="AH16" s="2">
        <v>29.718730000000001</v>
      </c>
      <c r="AI16" s="2">
        <v>30.605080000000001</v>
      </c>
      <c r="AJ16" s="2">
        <v>32.247430000000001</v>
      </c>
      <c r="AK16" s="2">
        <v>32.951300000000003</v>
      </c>
      <c r="AL16" s="2">
        <v>33.550879999999999</v>
      </c>
      <c r="AM16" s="2">
        <v>34.385100000000001</v>
      </c>
      <c r="AN16" s="2">
        <v>36.079590000000003</v>
      </c>
      <c r="AO16" s="2">
        <v>36.731310000000001</v>
      </c>
      <c r="AP16" s="2">
        <v>37.435180000000003</v>
      </c>
      <c r="AQ16" s="2">
        <v>37.878349999999998</v>
      </c>
      <c r="AR16" s="2">
        <v>39.181800000000003</v>
      </c>
      <c r="AS16" s="2">
        <v>39.416420000000002</v>
      </c>
      <c r="AT16" s="2">
        <v>39.885669999999998</v>
      </c>
      <c r="AU16" s="2">
        <v>40.172429999999999</v>
      </c>
      <c r="AV16" s="2">
        <v>40.85022</v>
      </c>
      <c r="AW16" s="2">
        <v>41.293399999999998</v>
      </c>
      <c r="AX16" s="2">
        <v>41.762639999999998</v>
      </c>
      <c r="AY16" s="2">
        <v>41.86692</v>
      </c>
      <c r="AZ16" s="2">
        <v>42.779339999999998</v>
      </c>
      <c r="BA16" s="2">
        <v>42.98789</v>
      </c>
      <c r="BB16" s="2">
        <v>43.431060000000002</v>
      </c>
      <c r="BC16" s="2">
        <v>43.874229999999997</v>
      </c>
      <c r="BD16" s="2">
        <v>44.995199999999997</v>
      </c>
      <c r="BE16" s="2">
        <v>45.125549999999997</v>
      </c>
      <c r="BF16" s="2">
        <v>45.490519999999997</v>
      </c>
      <c r="BG16" s="2">
        <v>45.646929999999998</v>
      </c>
      <c r="BH16" s="2">
        <v>46.3508</v>
      </c>
      <c r="BI16" s="2">
        <v>46.533279999999998</v>
      </c>
      <c r="BJ16" s="2">
        <v>46.924320000000002</v>
      </c>
      <c r="BK16" s="2">
        <v>47.237139999999997</v>
      </c>
      <c r="BL16" s="2">
        <v>47.836730000000003</v>
      </c>
      <c r="BM16" s="2">
        <v>47.888869999999997</v>
      </c>
      <c r="BN16" s="2">
        <v>48.436320000000002</v>
      </c>
      <c r="BO16" s="2">
        <v>48.566670000000002</v>
      </c>
      <c r="BP16" s="2">
        <v>49.5</v>
      </c>
      <c r="BQ16" s="2">
        <v>49.9</v>
      </c>
      <c r="BR16" s="2">
        <v>50.466670000000001</v>
      </c>
      <c r="BS16" s="2">
        <v>51</v>
      </c>
      <c r="BT16" s="2">
        <v>52.133339999999997</v>
      </c>
      <c r="BU16" s="2">
        <v>52.466670000000001</v>
      </c>
      <c r="BV16" s="2">
        <v>53.266669999999998</v>
      </c>
      <c r="BW16" s="2">
        <v>53.933329999999998</v>
      </c>
      <c r="BX16" s="2">
        <v>55.6</v>
      </c>
      <c r="BY16" s="2">
        <v>56.4</v>
      </c>
      <c r="BZ16" s="2">
        <v>57.466670000000001</v>
      </c>
      <c r="CA16" s="2">
        <v>57.666670000000003</v>
      </c>
      <c r="CB16" s="2">
        <v>60.266669999999998</v>
      </c>
      <c r="CC16" s="2">
        <v>60.833329999999997</v>
      </c>
      <c r="CD16" s="2">
        <v>61.466670000000001</v>
      </c>
      <c r="CE16" s="2">
        <v>61.7</v>
      </c>
      <c r="CF16" s="2">
        <v>62.833329999999997</v>
      </c>
      <c r="CG16" s="2">
        <v>62.733330000000002</v>
      </c>
      <c r="CH16" s="2">
        <v>63.133339999999997</v>
      </c>
      <c r="CI16" s="2">
        <v>63.2</v>
      </c>
      <c r="CJ16" s="2">
        <v>64.433329999999998</v>
      </c>
      <c r="CK16" s="2">
        <v>64.5</v>
      </c>
      <c r="CL16" s="2">
        <v>64.666659999999993</v>
      </c>
      <c r="CM16" s="2">
        <v>64.766670000000005</v>
      </c>
      <c r="CN16" s="2">
        <v>65.7</v>
      </c>
      <c r="CO16" s="2">
        <v>65.633330000000001</v>
      </c>
      <c r="CP16" s="2">
        <v>65.8</v>
      </c>
      <c r="CQ16" s="2">
        <v>66.333340000000007</v>
      </c>
      <c r="CR16" s="2">
        <v>67.266670000000005</v>
      </c>
      <c r="CS16" s="2">
        <v>67.400000000000006</v>
      </c>
      <c r="CT16" s="2">
        <v>67.733329999999995</v>
      </c>
      <c r="CU16" s="2">
        <v>68.099999999999994</v>
      </c>
      <c r="CV16" s="2">
        <v>68.866669999999999</v>
      </c>
      <c r="CW16" s="2">
        <v>68.933329999999998</v>
      </c>
      <c r="CX16" s="2">
        <v>69.366669999999999</v>
      </c>
      <c r="CY16" s="2">
        <v>69.366669999999999</v>
      </c>
      <c r="CZ16" s="2">
        <v>70</v>
      </c>
      <c r="DA16" s="2">
        <v>70.266670000000005</v>
      </c>
      <c r="DB16" s="2">
        <v>70.633330000000001</v>
      </c>
      <c r="DC16" s="2">
        <v>70.5</v>
      </c>
      <c r="DD16" s="2">
        <v>71.266670000000005</v>
      </c>
      <c r="DE16" s="2">
        <v>71.233329999999995</v>
      </c>
      <c r="DF16" s="2">
        <v>71.633330000000001</v>
      </c>
      <c r="DG16" s="2">
        <v>71.599999999999994</v>
      </c>
      <c r="DH16" s="2">
        <v>72.3</v>
      </c>
      <c r="DI16" s="2">
        <v>72.133330000000001</v>
      </c>
      <c r="DJ16" s="2">
        <v>72.433329999999998</v>
      </c>
      <c r="DK16" s="2">
        <v>72.133330000000001</v>
      </c>
      <c r="DL16" s="2">
        <v>72.766670000000005</v>
      </c>
      <c r="DM16" s="2">
        <v>72.7</v>
      </c>
      <c r="DN16" s="2">
        <v>73.166659999999993</v>
      </c>
      <c r="DO16" s="2">
        <v>72.766670000000005</v>
      </c>
      <c r="DP16" s="2">
        <v>73.833340000000007</v>
      </c>
      <c r="DQ16" s="2">
        <v>73.866669999999999</v>
      </c>
      <c r="DR16" s="2">
        <v>73.900000000000006</v>
      </c>
      <c r="DS16" s="2">
        <v>73.866669999999999</v>
      </c>
      <c r="DT16" s="2">
        <v>74.533330000000007</v>
      </c>
      <c r="DU16" s="2">
        <v>74.599999999999994</v>
      </c>
      <c r="DV16" s="2">
        <v>75</v>
      </c>
      <c r="DW16" s="2">
        <v>75</v>
      </c>
      <c r="DX16" s="2">
        <v>75.466669999999993</v>
      </c>
      <c r="DY16" s="2">
        <v>75.599999999999994</v>
      </c>
      <c r="DZ16" s="2">
        <v>76.033330000000007</v>
      </c>
      <c r="EA16" s="2">
        <v>75.966669999999993</v>
      </c>
      <c r="EB16" s="2">
        <v>76.533330000000007</v>
      </c>
      <c r="EC16" s="2">
        <v>76.566670000000002</v>
      </c>
      <c r="ED16" s="2">
        <v>77.099999999999994</v>
      </c>
      <c r="EE16" s="2">
        <v>77.233329999999995</v>
      </c>
      <c r="EF16" s="2">
        <v>78</v>
      </c>
      <c r="EG16" s="2">
        <v>78.400000000000006</v>
      </c>
      <c r="EH16" s="2">
        <v>78.766670000000005</v>
      </c>
      <c r="EI16" s="2">
        <v>78.733329999999995</v>
      </c>
      <c r="EJ16" s="2">
        <v>79.8</v>
      </c>
      <c r="EK16" s="2">
        <v>80.3</v>
      </c>
      <c r="EL16" s="2">
        <v>80.900000000000006</v>
      </c>
      <c r="EM16" s="2">
        <v>81</v>
      </c>
      <c r="EN16" s="2">
        <v>81.8</v>
      </c>
      <c r="EO16" s="2">
        <v>81.733329999999995</v>
      </c>
      <c r="EP16" s="2">
        <v>82.6</v>
      </c>
      <c r="EQ16" s="2">
        <v>82.933329999999998</v>
      </c>
      <c r="ER16" s="2">
        <v>84.6</v>
      </c>
      <c r="ES16" s="2">
        <v>85.633330000000001</v>
      </c>
      <c r="ET16" s="2">
        <v>85.733329999999995</v>
      </c>
      <c r="EU16" s="2">
        <v>85.433329999999998</v>
      </c>
      <c r="EV16" s="2">
        <v>86.366669999999999</v>
      </c>
      <c r="EW16" s="2">
        <v>86.933329999999998</v>
      </c>
      <c r="EX16" s="2">
        <v>87.566670000000002</v>
      </c>
      <c r="EY16" s="2">
        <v>88.233329999999995</v>
      </c>
      <c r="EZ16" s="2">
        <v>89.366669999999999</v>
      </c>
      <c r="FA16" s="2">
        <v>89.633330000000001</v>
      </c>
      <c r="FB16" s="2">
        <v>90.5</v>
      </c>
      <c r="FC16" s="2">
        <v>91.833340000000007</v>
      </c>
      <c r="FD16" s="2">
        <v>93.3</v>
      </c>
      <c r="FE16" s="2">
        <v>93.833340000000007</v>
      </c>
      <c r="FF16" s="2">
        <v>94.733329999999995</v>
      </c>
      <c r="FG16" s="2">
        <v>95.033330000000007</v>
      </c>
      <c r="FH16" s="2">
        <v>95.8</v>
      </c>
      <c r="FI16" s="2">
        <v>96.066670000000002</v>
      </c>
      <c r="FJ16" s="2">
        <v>97.266670000000005</v>
      </c>
      <c r="FK16" s="2">
        <v>97.666659999999993</v>
      </c>
      <c r="FL16" s="2">
        <v>98.366669999999999</v>
      </c>
      <c r="FM16" s="2">
        <v>98.7</v>
      </c>
      <c r="FN16" s="2">
        <v>99.3</v>
      </c>
      <c r="FO16" s="2">
        <v>99.4</v>
      </c>
      <c r="FP16" s="2">
        <v>100.1</v>
      </c>
      <c r="FQ16" s="2">
        <v>100.13330000000001</v>
      </c>
      <c r="FR16" s="2">
        <v>100.2</v>
      </c>
      <c r="FS16" s="2">
        <v>99.5</v>
      </c>
      <c r="FT16" s="2">
        <v>100.0667</v>
      </c>
      <c r="FU16" s="2">
        <v>100.16670000000001</v>
      </c>
      <c r="FV16" s="2">
        <v>100.3</v>
      </c>
      <c r="FW16" s="2">
        <v>99.833340000000007</v>
      </c>
      <c r="FX16" s="2">
        <v>100.4</v>
      </c>
      <c r="FY16" s="2">
        <v>100.86669999999999</v>
      </c>
      <c r="FZ16" s="2">
        <v>101.5</v>
      </c>
      <c r="GA16" s="2">
        <v>102</v>
      </c>
      <c r="GB16" s="2">
        <v>103.16670000000001</v>
      </c>
      <c r="GC16" s="2">
        <v>103.7</v>
      </c>
      <c r="GD16" s="2">
        <v>104.5667</v>
      </c>
      <c r="GE16" s="2">
        <v>104.7667</v>
      </c>
      <c r="GF16" s="2">
        <v>105.66670000000001</v>
      </c>
      <c r="GG16" s="2">
        <v>106.3</v>
      </c>
      <c r="GH16" s="2">
        <v>106.9333</v>
      </c>
      <c r="GI16" s="2">
        <v>106.7</v>
      </c>
      <c r="GJ16" s="2">
        <v>107.8</v>
      </c>
      <c r="GK16" s="2">
        <v>108.2667</v>
      </c>
      <c r="GL16" s="2">
        <v>108.4333</v>
      </c>
      <c r="GM16" s="2">
        <v>108.4667</v>
      </c>
      <c r="GN16" s="2">
        <v>108.5333</v>
      </c>
      <c r="GO16" s="2">
        <v>108.9333</v>
      </c>
      <c r="GP16" s="2">
        <v>109.0667</v>
      </c>
      <c r="GQ16" s="2">
        <v>109.16670000000001</v>
      </c>
      <c r="GR16" s="2">
        <v>110.7333</v>
      </c>
      <c r="GS16" s="2">
        <v>111.9333</v>
      </c>
      <c r="GT16" s="2">
        <v>114.4</v>
      </c>
      <c r="GU16" s="2">
        <v>115.9333</v>
      </c>
      <c r="GV16" s="2">
        <v>120.86669999999999</v>
      </c>
      <c r="GW16" s="2">
        <v>123.13330000000001</v>
      </c>
      <c r="GX16" s="2">
        <v>126.7</v>
      </c>
      <c r="GY16" s="2">
        <v>127.7333</v>
      </c>
      <c r="GZ16" s="2">
        <v>131.0667</v>
      </c>
      <c r="HA16" s="2">
        <v>131.4</v>
      </c>
      <c r="HB16" s="2">
        <v>131.9667</v>
      </c>
      <c r="HC16" s="2">
        <v>132.26669999999999</v>
      </c>
      <c r="HD16" s="2">
        <v>133.83330000000001</v>
      </c>
      <c r="HE16" s="2">
        <v>134.1</v>
      </c>
      <c r="HF16" s="2">
        <v>135.23330000000001</v>
      </c>
      <c r="HG16" s="3">
        <v>135.9528</v>
      </c>
      <c r="HH16" s="3">
        <v>137.9324</v>
      </c>
      <c r="HI16" s="3">
        <v>138.49889999999999</v>
      </c>
      <c r="HJ16" s="3">
        <v>139.2379</v>
      </c>
      <c r="HK16" s="3">
        <v>139.70169999999999</v>
      </c>
      <c r="HL16" s="3">
        <v>141.0763</v>
      </c>
      <c r="HM16" s="3">
        <v>141.7296</v>
      </c>
      <c r="HN16" s="3">
        <v>142.52670000000001</v>
      </c>
      <c r="HO16" s="3">
        <v>142.9419</v>
      </c>
      <c r="HP16" s="3">
        <v>144.31059999999999</v>
      </c>
      <c r="HQ16" s="3">
        <v>144.98320000000001</v>
      </c>
      <c r="HR16" s="3">
        <v>145.78749999999999</v>
      </c>
      <c r="HS16" s="3">
        <v>146.20609999999999</v>
      </c>
      <c r="HT16" s="3">
        <v>147.58529999999999</v>
      </c>
      <c r="HU16" s="3">
        <v>148.26920000000001</v>
      </c>
      <c r="HV16" s="3">
        <v>149.06039999999999</v>
      </c>
      <c r="HW16" s="3">
        <v>149.4111</v>
      </c>
      <c r="HX16" s="3">
        <v>150.77340000000001</v>
      </c>
      <c r="HY16" s="3">
        <v>151.44550000000001</v>
      </c>
      <c r="HZ16" s="3">
        <v>152.22380000000001</v>
      </c>
      <c r="IA16" s="3">
        <v>152.5763</v>
      </c>
      <c r="IB16" s="3">
        <v>153.9246</v>
      </c>
      <c r="IC16" s="3">
        <v>154.58789999999999</v>
      </c>
      <c r="ID16" s="3">
        <v>155.34559999999999</v>
      </c>
      <c r="IE16" s="3">
        <v>155.67269999999999</v>
      </c>
      <c r="IF16" s="3">
        <v>157.041</v>
      </c>
      <c r="IG16" s="3">
        <v>157.71199999999999</v>
      </c>
      <c r="IH16" s="3">
        <v>158.45650000000001</v>
      </c>
      <c r="II16" s="3">
        <v>158.77930000000001</v>
      </c>
      <c r="IJ16" s="3">
        <v>160.17760000000001</v>
      </c>
      <c r="IK16" s="3">
        <v>160.87370000000001</v>
      </c>
      <c r="IL16" s="3">
        <v>161.62110000000001</v>
      </c>
      <c r="IM16" s="3">
        <v>161.94489999999999</v>
      </c>
      <c r="IN16" s="3">
        <v>163.3715</v>
      </c>
      <c r="IO16" s="3">
        <v>164.0899</v>
      </c>
      <c r="IP16" s="3">
        <v>164.8374</v>
      </c>
      <c r="IQ16" s="3">
        <v>165.1645</v>
      </c>
      <c r="IR16" s="3">
        <v>166.6241</v>
      </c>
      <c r="IS16" s="3">
        <v>167.3691</v>
      </c>
      <c r="IT16" s="3">
        <v>168.11869999999999</v>
      </c>
      <c r="IU16" s="3">
        <v>168.44909999999999</v>
      </c>
      <c r="IV16" s="3">
        <v>169.94239999999999</v>
      </c>
      <c r="IW16" s="3">
        <v>170.71549999999999</v>
      </c>
      <c r="IX16" s="3">
        <v>171.46709999999999</v>
      </c>
      <c r="IY16" s="3">
        <v>171.81809999999999</v>
      </c>
      <c r="IZ16" s="3">
        <v>173.34129999999999</v>
      </c>
      <c r="JA16" s="3">
        <v>174.12979999999999</v>
      </c>
      <c r="JB16" s="3">
        <v>174.8964</v>
      </c>
      <c r="JC16" s="3">
        <v>175.2544</v>
      </c>
      <c r="JD16" s="3">
        <v>176.8081</v>
      </c>
      <c r="JE16" s="3">
        <v>177.61240000000001</v>
      </c>
      <c r="JF16" s="3">
        <v>178.39429999999999</v>
      </c>
      <c r="JG16" s="3">
        <v>178.7595</v>
      </c>
      <c r="JH16" s="3">
        <v>180.3442</v>
      </c>
      <c r="JI16" s="3">
        <v>181.16460000000001</v>
      </c>
      <c r="JJ16" s="3">
        <v>181.9622</v>
      </c>
      <c r="JK16" s="3">
        <v>182.3347</v>
      </c>
      <c r="JL16" s="3">
        <v>183.9511</v>
      </c>
      <c r="JM16" s="3">
        <v>184.78790000000001</v>
      </c>
      <c r="JN16" s="3">
        <v>185.60149999999999</v>
      </c>
      <c r="JO16" s="3">
        <v>185.98140000000001</v>
      </c>
      <c r="JP16" s="3">
        <v>187.6302</v>
      </c>
      <c r="JQ16" s="3">
        <v>188.4837</v>
      </c>
      <c r="JR16" s="3">
        <v>189.3135</v>
      </c>
      <c r="JS16" s="3">
        <v>189.70099999999999</v>
      </c>
      <c r="JT16" s="3">
        <v>191.3828</v>
      </c>
      <c r="JU16" s="3">
        <v>192.2534</v>
      </c>
      <c r="JV16" s="3">
        <v>193.09979999999999</v>
      </c>
      <c r="JW16" s="3">
        <v>193.49510000000001</v>
      </c>
      <c r="JX16" s="3">
        <v>195.21039999999999</v>
      </c>
      <c r="JY16" s="3">
        <v>196.0984</v>
      </c>
      <c r="JZ16" s="3">
        <v>196.96180000000001</v>
      </c>
      <c r="KA16" s="3">
        <v>197.36500000000001</v>
      </c>
      <c r="KB16" s="3">
        <v>199.1146</v>
      </c>
      <c r="KC16" s="3">
        <v>200.0204</v>
      </c>
      <c r="KD16" s="3">
        <v>200.90100000000001</v>
      </c>
      <c r="KE16" s="3">
        <v>201.31229999999999</v>
      </c>
      <c r="KF16" s="3">
        <v>203.09690000000001</v>
      </c>
      <c r="KG16" s="3">
        <v>204.02080000000001</v>
      </c>
      <c r="KH16" s="3">
        <v>204.91900000000001</v>
      </c>
      <c r="KI16" s="3">
        <v>205.33850000000001</v>
      </c>
      <c r="KJ16" s="3">
        <v>207.15880000000001</v>
      </c>
      <c r="KK16" s="3">
        <v>208.10120000000001</v>
      </c>
      <c r="KL16" s="3">
        <v>209.01740000000001</v>
      </c>
      <c r="KM16" s="3">
        <v>209.4453</v>
      </c>
      <c r="KN16" s="3">
        <v>211.30199999999999</v>
      </c>
      <c r="KO16" s="3">
        <v>212.26320000000001</v>
      </c>
      <c r="KP16" s="3">
        <v>213.1978</v>
      </c>
      <c r="KQ16" s="3">
        <v>213.63419999999999</v>
      </c>
      <c r="KR16" s="3">
        <v>215.52809999999999</v>
      </c>
      <c r="KS16" s="3">
        <v>216.5085</v>
      </c>
      <c r="KT16" s="3">
        <v>217.46170000000001</v>
      </c>
      <c r="KU16" s="3">
        <v>217.90690000000001</v>
      </c>
      <c r="KV16" s="3">
        <v>219.83860000000001</v>
      </c>
      <c r="KW16" s="3">
        <v>220.83869999999999</v>
      </c>
      <c r="KX16" s="3">
        <v>221.8109</v>
      </c>
      <c r="KY16" s="3">
        <v>222.26499999999999</v>
      </c>
      <c r="KZ16" s="3">
        <v>224.2354</v>
      </c>
      <c r="LA16" s="3">
        <v>225.25540000000001</v>
      </c>
      <c r="LB16" s="3">
        <v>226.24719999999999</v>
      </c>
      <c r="LC16" s="3">
        <v>226.71029999999999</v>
      </c>
      <c r="LD16" s="3">
        <v>228.7201</v>
      </c>
      <c r="LE16" s="3">
        <v>229.76060000000001</v>
      </c>
      <c r="LF16" s="3">
        <v>230.77209999999999</v>
      </c>
      <c r="LG16" s="3">
        <v>231.24449999999999</v>
      </c>
      <c r="LH16" s="3">
        <v>233.2945</v>
      </c>
      <c r="LI16" s="3">
        <v>234.35579999999999</v>
      </c>
      <c r="LJ16" s="3">
        <v>235.38749999999999</v>
      </c>
      <c r="LK16" s="3">
        <v>235.86940000000001</v>
      </c>
      <c r="LL16" s="3">
        <v>237.96039999999999</v>
      </c>
      <c r="LM16" s="3">
        <v>239.0429</v>
      </c>
      <c r="LN16" s="3">
        <v>240.09530000000001</v>
      </c>
      <c r="LO16" s="3">
        <v>240.58680000000001</v>
      </c>
      <c r="LP16" s="3">
        <v>242.71960000000001</v>
      </c>
      <c r="LQ16" s="3">
        <v>243.8237</v>
      </c>
      <c r="LR16" s="3">
        <v>244.8972</v>
      </c>
      <c r="LS16" s="3">
        <v>245.39850000000001</v>
      </c>
      <c r="LT16" s="3">
        <v>247.57400000000001</v>
      </c>
      <c r="LU16" s="3">
        <v>248.7002</v>
      </c>
      <c r="LV16" s="3">
        <v>249.79519999999999</v>
      </c>
      <c r="LW16" s="3">
        <v>250.3065</v>
      </c>
      <c r="LX16" s="3">
        <v>252.52549999999999</v>
      </c>
      <c r="LY16" s="3">
        <v>253.67420000000001</v>
      </c>
      <c r="LZ16" s="3">
        <v>254.791</v>
      </c>
      <c r="MA16" s="3">
        <v>255.3126</v>
      </c>
      <c r="MB16" s="3">
        <v>257.57600000000002</v>
      </c>
      <c r="MC16" s="3">
        <v>258.74770000000001</v>
      </c>
      <c r="MD16" s="3">
        <v>259.88690000000003</v>
      </c>
      <c r="ME16" s="3">
        <v>260.41890000000001</v>
      </c>
      <c r="MF16" s="3">
        <v>262.72750000000002</v>
      </c>
      <c r="MG16" s="3">
        <v>263.92270000000002</v>
      </c>
      <c r="MH16" s="3">
        <v>265.08460000000002</v>
      </c>
      <c r="MI16" s="3">
        <v>265.62729999999999</v>
      </c>
      <c r="MJ16" s="3">
        <v>267.9821</v>
      </c>
      <c r="MK16" s="3">
        <v>269.2011</v>
      </c>
      <c r="ML16" s="3">
        <v>270.38630000000001</v>
      </c>
      <c r="MM16" s="3">
        <v>270.93979999999999</v>
      </c>
      <c r="MN16" s="3">
        <v>273.3417</v>
      </c>
      <c r="MO16" s="3">
        <v>274.58510000000001</v>
      </c>
      <c r="MP16" s="3">
        <v>275.79399999999998</v>
      </c>
      <c r="MQ16" s="3">
        <v>276.35860000000002</v>
      </c>
      <c r="MR16" s="3">
        <v>278.80849999999998</v>
      </c>
      <c r="MS16" s="3">
        <v>280.07679999999999</v>
      </c>
      <c r="MT16" s="3">
        <v>281.30990000000003</v>
      </c>
      <c r="MU16" t="s">
        <v>375</v>
      </c>
      <c r="MV16" t="b">
        <v>0</v>
      </c>
      <c r="MW16" t="s">
        <v>377</v>
      </c>
      <c r="MX16">
        <v>2015</v>
      </c>
      <c r="MY16">
        <v>2024</v>
      </c>
      <c r="MZ16">
        <v>4</v>
      </c>
      <c r="NA16" t="s">
        <v>377</v>
      </c>
      <c r="NB16" s="1" t="s">
        <v>418</v>
      </c>
      <c r="NC16" s="1" t="s">
        <v>419</v>
      </c>
      <c r="ND16" t="s">
        <v>380</v>
      </c>
      <c r="NE16" t="s">
        <v>420</v>
      </c>
      <c r="NF16" s="1" t="s">
        <v>455</v>
      </c>
    </row>
    <row r="17" spans="1:370" x14ac:dyDescent="0.25">
      <c r="A17" t="s">
        <v>382</v>
      </c>
      <c r="B17" t="s">
        <v>416</v>
      </c>
      <c r="C17" s="1" t="s">
        <v>454</v>
      </c>
      <c r="D17" t="s">
        <v>417</v>
      </c>
      <c r="E17" t="s">
        <v>377</v>
      </c>
      <c r="F17" t="s">
        <v>374</v>
      </c>
      <c r="G17" s="2">
        <v>43.033329999999999</v>
      </c>
      <c r="H17" s="2">
        <v>43.933329999999998</v>
      </c>
      <c r="I17" s="2">
        <v>44.8</v>
      </c>
      <c r="J17" s="2">
        <v>45.933329999999998</v>
      </c>
      <c r="K17" s="2">
        <v>47.3</v>
      </c>
      <c r="L17" s="2">
        <v>48.566670000000002</v>
      </c>
      <c r="M17" s="2">
        <v>49.933329999999998</v>
      </c>
      <c r="N17" s="2">
        <v>51.466670000000001</v>
      </c>
      <c r="O17" s="2">
        <v>52.566670000000002</v>
      </c>
      <c r="P17" s="2">
        <v>53.2</v>
      </c>
      <c r="Q17" s="2">
        <v>54.266669999999998</v>
      </c>
      <c r="R17" s="2">
        <v>55.266669999999998</v>
      </c>
      <c r="S17" s="2">
        <v>55.9</v>
      </c>
      <c r="T17" s="2">
        <v>56.4</v>
      </c>
      <c r="U17" s="2">
        <v>57.3</v>
      </c>
      <c r="V17" s="2">
        <v>58.133339999999997</v>
      </c>
      <c r="W17" s="2">
        <v>59.2</v>
      </c>
      <c r="X17" s="2">
        <v>60.233330000000002</v>
      </c>
      <c r="Y17" s="2">
        <v>61.066670000000002</v>
      </c>
      <c r="Z17" s="2">
        <v>61.966670000000001</v>
      </c>
      <c r="AA17" s="2">
        <v>63.033329999999999</v>
      </c>
      <c r="AB17" s="2">
        <v>64.466669999999993</v>
      </c>
      <c r="AC17" s="2">
        <v>65.966669999999993</v>
      </c>
      <c r="AD17" s="2">
        <v>67.5</v>
      </c>
      <c r="AE17" s="2">
        <v>69.2</v>
      </c>
      <c r="AF17" s="2">
        <v>71.400000000000006</v>
      </c>
      <c r="AG17" s="2">
        <v>73.7</v>
      </c>
      <c r="AH17" s="2">
        <v>76.033330000000007</v>
      </c>
      <c r="AI17" s="2">
        <v>79.033330000000007</v>
      </c>
      <c r="AJ17" s="2">
        <v>81.7</v>
      </c>
      <c r="AK17" s="2">
        <v>83.233329999999995</v>
      </c>
      <c r="AL17" s="2">
        <v>85.566670000000002</v>
      </c>
      <c r="AM17" s="2">
        <v>87.933329999999998</v>
      </c>
      <c r="AN17" s="2">
        <v>89.766670000000005</v>
      </c>
      <c r="AO17" s="2">
        <v>92.266670000000005</v>
      </c>
      <c r="AP17" s="2">
        <v>93.766670000000005</v>
      </c>
      <c r="AQ17" s="2">
        <v>94.6</v>
      </c>
      <c r="AR17" s="2">
        <v>95.966669999999993</v>
      </c>
      <c r="AS17" s="2">
        <v>97.633330000000001</v>
      </c>
      <c r="AT17" s="2">
        <v>97.933329999999998</v>
      </c>
      <c r="AU17" s="2">
        <v>98</v>
      </c>
      <c r="AV17" s="2">
        <v>99.133330000000001</v>
      </c>
      <c r="AW17" s="2">
        <v>100.1</v>
      </c>
      <c r="AX17" s="2">
        <v>101.1</v>
      </c>
      <c r="AY17" s="2">
        <v>102.5333</v>
      </c>
      <c r="AZ17" s="2">
        <v>103.5</v>
      </c>
      <c r="BA17" s="2">
        <v>104.4</v>
      </c>
      <c r="BB17" s="2">
        <v>105.3</v>
      </c>
      <c r="BC17" s="2">
        <v>106.2667</v>
      </c>
      <c r="BD17" s="2">
        <v>107.2333</v>
      </c>
      <c r="BE17" s="2">
        <v>107.9</v>
      </c>
      <c r="BF17" s="2">
        <v>109</v>
      </c>
      <c r="BG17" s="2">
        <v>109.5667</v>
      </c>
      <c r="BH17" s="2">
        <v>109.0333</v>
      </c>
      <c r="BI17" s="2">
        <v>109.7</v>
      </c>
      <c r="BJ17" s="2">
        <v>110.4667</v>
      </c>
      <c r="BK17" s="2">
        <v>111.8</v>
      </c>
      <c r="BL17" s="2">
        <v>113.0667</v>
      </c>
      <c r="BM17" s="2">
        <v>114.2667</v>
      </c>
      <c r="BN17" s="2">
        <v>115.33329999999999</v>
      </c>
      <c r="BO17" s="2">
        <v>116.2333</v>
      </c>
      <c r="BP17" s="2">
        <v>117.5667</v>
      </c>
      <c r="BQ17" s="2">
        <v>119</v>
      </c>
      <c r="BR17" s="2">
        <v>120.3</v>
      </c>
      <c r="BS17" s="2">
        <v>121.66670000000001</v>
      </c>
      <c r="BT17" s="2">
        <v>123.63330000000001</v>
      </c>
      <c r="BU17" s="2">
        <v>124.6</v>
      </c>
      <c r="BV17" s="2">
        <v>125.86669999999999</v>
      </c>
      <c r="BW17" s="2">
        <v>128.0333</v>
      </c>
      <c r="BX17" s="2">
        <v>129.30000000000001</v>
      </c>
      <c r="BY17" s="2">
        <v>131.5333</v>
      </c>
      <c r="BZ17" s="2">
        <v>133.76669999999999</v>
      </c>
      <c r="CA17" s="2">
        <v>134.76669999999999</v>
      </c>
      <c r="CB17" s="2">
        <v>135.5667</v>
      </c>
      <c r="CC17" s="2">
        <v>136.6</v>
      </c>
      <c r="CD17" s="2">
        <v>137.73330000000001</v>
      </c>
      <c r="CE17" s="2">
        <v>138.66669999999999</v>
      </c>
      <c r="CF17" s="2">
        <v>139.73330000000001</v>
      </c>
      <c r="CG17" s="2">
        <v>140.80000000000001</v>
      </c>
      <c r="CH17" s="2">
        <v>142.0333</v>
      </c>
      <c r="CI17" s="2">
        <v>143.0667</v>
      </c>
      <c r="CJ17" s="2">
        <v>144.1</v>
      </c>
      <c r="CK17" s="2">
        <v>144.76669999999999</v>
      </c>
      <c r="CL17" s="2">
        <v>145.9667</v>
      </c>
      <c r="CM17" s="2">
        <v>146.69999999999999</v>
      </c>
      <c r="CN17" s="2">
        <v>147.5333</v>
      </c>
      <c r="CO17" s="2">
        <v>148.9</v>
      </c>
      <c r="CP17" s="2">
        <v>149.76669999999999</v>
      </c>
      <c r="CQ17" s="2">
        <v>150.86670000000001</v>
      </c>
      <c r="CR17" s="2">
        <v>152.1</v>
      </c>
      <c r="CS17" s="2">
        <v>152.86670000000001</v>
      </c>
      <c r="CT17" s="2">
        <v>153.69999999999999</v>
      </c>
      <c r="CU17" s="2">
        <v>155.0667</v>
      </c>
      <c r="CV17" s="2">
        <v>156.4</v>
      </c>
      <c r="CW17" s="2">
        <v>157.30000000000001</v>
      </c>
      <c r="CX17" s="2">
        <v>158.66669999999999</v>
      </c>
      <c r="CY17" s="2">
        <v>159.63329999999999</v>
      </c>
      <c r="CZ17" s="2">
        <v>160</v>
      </c>
      <c r="DA17" s="2">
        <v>160.80000000000001</v>
      </c>
      <c r="DB17" s="2">
        <v>161.66669999999999</v>
      </c>
      <c r="DC17" s="2">
        <v>162</v>
      </c>
      <c r="DD17" s="2">
        <v>162.5333</v>
      </c>
      <c r="DE17" s="2">
        <v>163.36670000000001</v>
      </c>
      <c r="DF17" s="2">
        <v>164.13329999999999</v>
      </c>
      <c r="DG17" s="2">
        <v>164.73330000000001</v>
      </c>
      <c r="DH17" s="2">
        <v>165.9667</v>
      </c>
      <c r="DI17" s="2">
        <v>167.2</v>
      </c>
      <c r="DJ17" s="2">
        <v>168.4333</v>
      </c>
      <c r="DK17" s="2">
        <v>170.1</v>
      </c>
      <c r="DL17" s="2">
        <v>171.4333</v>
      </c>
      <c r="DM17" s="2">
        <v>173</v>
      </c>
      <c r="DN17" s="2">
        <v>174.23330000000001</v>
      </c>
      <c r="DO17" s="2">
        <v>175.9</v>
      </c>
      <c r="DP17" s="2">
        <v>177.13329999999999</v>
      </c>
      <c r="DQ17" s="2">
        <v>177.63329999999999</v>
      </c>
      <c r="DR17" s="2">
        <v>177.5</v>
      </c>
      <c r="DS17" s="2">
        <v>178.0667</v>
      </c>
      <c r="DT17" s="2">
        <v>179.4667</v>
      </c>
      <c r="DU17" s="2">
        <v>180.4333</v>
      </c>
      <c r="DV17" s="2">
        <v>181.5</v>
      </c>
      <c r="DW17" s="2">
        <v>183.36670000000001</v>
      </c>
      <c r="DX17" s="2">
        <v>183.0667</v>
      </c>
      <c r="DY17" s="2">
        <v>184.4333</v>
      </c>
      <c r="DZ17" s="2">
        <v>185.13329999999999</v>
      </c>
      <c r="EA17" s="2">
        <v>186.7</v>
      </c>
      <c r="EB17" s="2">
        <v>188.16669999999999</v>
      </c>
      <c r="EC17" s="2">
        <v>189.36670000000001</v>
      </c>
      <c r="ED17" s="2">
        <v>191.4</v>
      </c>
      <c r="EE17" s="2">
        <v>192.36670000000001</v>
      </c>
      <c r="EF17" s="2">
        <v>193.66669999999999</v>
      </c>
      <c r="EG17" s="2">
        <v>196.6</v>
      </c>
      <c r="EH17" s="2">
        <v>198.4333</v>
      </c>
      <c r="EI17" s="2">
        <v>199.4667</v>
      </c>
      <c r="EJ17" s="2">
        <v>201.26669999999999</v>
      </c>
      <c r="EK17" s="2">
        <v>203.16669999999999</v>
      </c>
      <c r="EL17" s="2">
        <v>202.33330000000001</v>
      </c>
      <c r="EM17" s="2">
        <v>204.31700000000001</v>
      </c>
      <c r="EN17" s="2">
        <v>206.631</v>
      </c>
      <c r="EO17" s="2">
        <v>207.93899999999999</v>
      </c>
      <c r="EP17" s="2">
        <v>210.4897</v>
      </c>
      <c r="EQ17" s="2">
        <v>212.7697</v>
      </c>
      <c r="ER17" s="2">
        <v>215.5377</v>
      </c>
      <c r="ES17" s="2">
        <v>218.86099999999999</v>
      </c>
      <c r="ET17" s="2">
        <v>213.84870000000001</v>
      </c>
      <c r="EU17" s="2">
        <v>212.3777</v>
      </c>
      <c r="EV17" s="2">
        <v>213.50700000000001</v>
      </c>
      <c r="EW17" s="2">
        <v>215.34399999999999</v>
      </c>
      <c r="EX17" s="2">
        <v>217.03</v>
      </c>
      <c r="EY17" s="2">
        <v>217.374</v>
      </c>
      <c r="EZ17" s="2">
        <v>217.29730000000001</v>
      </c>
      <c r="FA17" s="2">
        <v>217.93430000000001</v>
      </c>
      <c r="FB17" s="2">
        <v>219.69900000000001</v>
      </c>
      <c r="FC17" s="2">
        <v>222.0437</v>
      </c>
      <c r="FD17" s="2">
        <v>224.56829999999999</v>
      </c>
      <c r="FE17" s="2">
        <v>226.03270000000001</v>
      </c>
      <c r="FF17" s="2">
        <v>227.04730000000001</v>
      </c>
      <c r="FG17" s="2">
        <v>228.32599999999999</v>
      </c>
      <c r="FH17" s="2">
        <v>228.80799999999999</v>
      </c>
      <c r="FI17" s="2">
        <v>229.84100000000001</v>
      </c>
      <c r="FJ17" s="2">
        <v>231.36930000000001</v>
      </c>
      <c r="FK17" s="2">
        <v>232.29929999999999</v>
      </c>
      <c r="FL17" s="2">
        <v>232.04499999999999</v>
      </c>
      <c r="FM17" s="2">
        <v>233.3</v>
      </c>
      <c r="FN17" s="2">
        <v>234.1627</v>
      </c>
      <c r="FO17" s="2">
        <v>235.62100000000001</v>
      </c>
      <c r="FP17" s="2">
        <v>236.8723</v>
      </c>
      <c r="FQ17" s="2">
        <v>237.47829999999999</v>
      </c>
      <c r="FR17" s="2">
        <v>236.88829999999999</v>
      </c>
      <c r="FS17" s="2">
        <v>235.35499999999999</v>
      </c>
      <c r="FT17" s="2">
        <v>236.96</v>
      </c>
      <c r="FU17" s="2">
        <v>237.85499999999999</v>
      </c>
      <c r="FV17" s="2">
        <v>237.83699999999999</v>
      </c>
      <c r="FW17" s="2">
        <v>237.6893</v>
      </c>
      <c r="FX17" s="2">
        <v>239.59030000000001</v>
      </c>
      <c r="FY17" s="2">
        <v>240.60730000000001</v>
      </c>
      <c r="FZ17" s="2">
        <v>242.13470000000001</v>
      </c>
      <c r="GA17" s="2">
        <v>243.83869999999999</v>
      </c>
      <c r="GB17" s="2">
        <v>244.12</v>
      </c>
      <c r="GC17" s="2">
        <v>245.28700000000001</v>
      </c>
      <c r="GD17" s="2">
        <v>247.23830000000001</v>
      </c>
      <c r="GE17" s="2">
        <v>249.32169999999999</v>
      </c>
      <c r="GF17" s="2">
        <v>250.679</v>
      </c>
      <c r="GG17" s="2">
        <v>251.68629999999999</v>
      </c>
      <c r="GH17" s="2">
        <v>252.71100000000001</v>
      </c>
      <c r="GI17" s="2">
        <v>253.38570000000001</v>
      </c>
      <c r="GJ17" s="2">
        <v>255.2473</v>
      </c>
      <c r="GK17" s="2">
        <v>256.08929999999998</v>
      </c>
      <c r="GL17" s="2">
        <v>257.88799999999998</v>
      </c>
      <c r="GM17" s="2">
        <v>258.8177</v>
      </c>
      <c r="GN17" s="2">
        <v>256.29199999999997</v>
      </c>
      <c r="GO17" s="2">
        <v>259.2217</v>
      </c>
      <c r="GP17" s="2">
        <v>261.0917</v>
      </c>
      <c r="GQ17" s="2">
        <v>263.68630000000002</v>
      </c>
      <c r="GR17" s="2">
        <v>268.5797</v>
      </c>
      <c r="GS17" s="2">
        <v>272.88630000000001</v>
      </c>
      <c r="GT17" s="2">
        <v>278.71929999999998</v>
      </c>
      <c r="GU17" s="2">
        <v>284.84469999999999</v>
      </c>
      <c r="GV17" s="2">
        <v>291.65100000000001</v>
      </c>
      <c r="GW17" s="2">
        <v>295.5077</v>
      </c>
      <c r="GX17" s="2">
        <v>298.49829999999997</v>
      </c>
      <c r="GY17" s="2">
        <v>301.19170000000003</v>
      </c>
      <c r="GZ17" s="2">
        <v>303.42430000000002</v>
      </c>
      <c r="HA17" s="2">
        <v>306.04230000000001</v>
      </c>
      <c r="HB17" s="2">
        <v>308.1583</v>
      </c>
      <c r="HC17" s="2">
        <v>310.97430000000003</v>
      </c>
      <c r="HD17" s="2">
        <v>313.09570000000002</v>
      </c>
      <c r="HE17" s="2">
        <v>314.18270000000001</v>
      </c>
      <c r="HF17" s="2">
        <v>316.53870000000001</v>
      </c>
      <c r="HG17" s="3">
        <v>319.67739999999998</v>
      </c>
      <c r="HH17" s="3">
        <v>324.59739999999999</v>
      </c>
      <c r="HI17" s="3">
        <v>327.17759999999998</v>
      </c>
      <c r="HJ17" s="3">
        <v>328.72910000000002</v>
      </c>
      <c r="HK17" s="3">
        <v>330.17590000000001</v>
      </c>
      <c r="HL17" s="3">
        <v>331.76170000000002</v>
      </c>
      <c r="HM17" s="3">
        <v>333.51119999999997</v>
      </c>
      <c r="HN17" s="3">
        <v>335.37790000000001</v>
      </c>
      <c r="HO17" s="3">
        <v>337.44799999999998</v>
      </c>
      <c r="HP17" s="3">
        <v>339.53960000000001</v>
      </c>
      <c r="HQ17" s="3">
        <v>341.63600000000002</v>
      </c>
      <c r="HR17" s="3">
        <v>343.71039999999999</v>
      </c>
      <c r="HS17" s="3">
        <v>345.77159999999998</v>
      </c>
      <c r="HT17" s="3">
        <v>347.81389999999999</v>
      </c>
      <c r="HU17" s="3">
        <v>349.89210000000003</v>
      </c>
      <c r="HV17" s="3">
        <v>351.95400000000001</v>
      </c>
      <c r="HW17" s="3">
        <v>353.99759999999998</v>
      </c>
      <c r="HX17" s="3">
        <v>356.03039999999999</v>
      </c>
      <c r="HY17" s="3">
        <v>358.06810000000002</v>
      </c>
      <c r="HZ17" s="3">
        <v>360.11</v>
      </c>
      <c r="IA17" s="3">
        <v>362.14940000000001</v>
      </c>
      <c r="IB17" s="3">
        <v>364.17869999999999</v>
      </c>
      <c r="IC17" s="3">
        <v>366.20159999999998</v>
      </c>
      <c r="ID17" s="3">
        <v>368.22219999999999</v>
      </c>
      <c r="IE17" s="3">
        <v>370.23820000000001</v>
      </c>
      <c r="IF17" s="3">
        <v>372.2647</v>
      </c>
      <c r="IG17" s="3">
        <v>374.30110000000002</v>
      </c>
      <c r="IH17" s="3">
        <v>376.34980000000002</v>
      </c>
      <c r="II17" s="3">
        <v>378.40870000000001</v>
      </c>
      <c r="IJ17" s="3">
        <v>380.47859999999997</v>
      </c>
      <c r="IK17" s="3">
        <v>382.56049999999999</v>
      </c>
      <c r="IL17" s="3">
        <v>384.65449999999998</v>
      </c>
      <c r="IM17" s="3">
        <v>386.75979999999998</v>
      </c>
      <c r="IN17" s="3">
        <v>388.8768</v>
      </c>
      <c r="IO17" s="3">
        <v>391.00470000000001</v>
      </c>
      <c r="IP17" s="3">
        <v>393.1454</v>
      </c>
      <c r="IQ17" s="3">
        <v>395.29689999999999</v>
      </c>
      <c r="IR17" s="3">
        <v>397.46140000000003</v>
      </c>
      <c r="IS17" s="3">
        <v>399.63729999999998</v>
      </c>
      <c r="IT17" s="3">
        <v>401.82549999999998</v>
      </c>
      <c r="IU17" s="3">
        <v>404.02530000000002</v>
      </c>
      <c r="IV17" s="3">
        <v>406.23719999999997</v>
      </c>
      <c r="IW17" s="3">
        <v>408.46179999999998</v>
      </c>
      <c r="IX17" s="3">
        <v>410.69909999999999</v>
      </c>
      <c r="IY17" s="3">
        <v>412.94799999999998</v>
      </c>
      <c r="IZ17" s="3">
        <v>415.21030000000002</v>
      </c>
      <c r="JA17" s="3">
        <v>417.48390000000001</v>
      </c>
      <c r="JB17" s="3">
        <v>419.77030000000002</v>
      </c>
      <c r="JC17" s="3">
        <v>422.06970000000001</v>
      </c>
      <c r="JD17" s="3">
        <v>424.38189999999997</v>
      </c>
      <c r="JE17" s="3">
        <v>426.7063</v>
      </c>
      <c r="JF17" s="3">
        <v>429.04430000000002</v>
      </c>
      <c r="JG17" s="3">
        <v>431.39409999999998</v>
      </c>
      <c r="JH17" s="3">
        <v>433.75850000000003</v>
      </c>
      <c r="JI17" s="3">
        <v>436.13529999999997</v>
      </c>
      <c r="JJ17" s="3">
        <v>438.52480000000003</v>
      </c>
      <c r="JK17" s="3">
        <v>440.92840000000001</v>
      </c>
      <c r="JL17" s="3">
        <v>443.34429999999998</v>
      </c>
      <c r="JM17" s="3">
        <v>445.77370000000002</v>
      </c>
      <c r="JN17" s="3">
        <v>448.21719999999999</v>
      </c>
      <c r="JO17" s="3">
        <v>450.67399999999998</v>
      </c>
      <c r="JP17" s="3">
        <v>453.1438</v>
      </c>
      <c r="JQ17" s="3">
        <v>455.62740000000002</v>
      </c>
      <c r="JR17" s="3">
        <v>458.12520000000001</v>
      </c>
      <c r="JS17" s="3">
        <v>460.63619999999997</v>
      </c>
      <c r="JT17" s="3">
        <v>463.16129999999998</v>
      </c>
      <c r="JU17" s="3">
        <v>465.69990000000001</v>
      </c>
      <c r="JV17" s="3">
        <v>468.2525</v>
      </c>
      <c r="JW17" s="3">
        <v>470.81900000000002</v>
      </c>
      <c r="JX17" s="3">
        <v>473.39949999999999</v>
      </c>
      <c r="JY17" s="3">
        <v>475.99430000000001</v>
      </c>
      <c r="JZ17" s="3">
        <v>478.60309999999998</v>
      </c>
      <c r="KA17" s="3">
        <v>481.226</v>
      </c>
      <c r="KB17" s="3">
        <v>483.86419999999998</v>
      </c>
      <c r="KC17" s="3">
        <v>486.51639999999998</v>
      </c>
      <c r="KD17" s="3">
        <v>489.18259999999998</v>
      </c>
      <c r="KE17" s="3">
        <v>491.86399999999998</v>
      </c>
      <c r="KF17" s="3">
        <v>494.55970000000002</v>
      </c>
      <c r="KG17" s="3">
        <v>497.2706</v>
      </c>
      <c r="KH17" s="3">
        <v>499.99630000000002</v>
      </c>
      <c r="KI17" s="3">
        <v>502.73680000000002</v>
      </c>
      <c r="KJ17" s="3">
        <v>505.49239999999998</v>
      </c>
      <c r="KK17" s="3">
        <v>508.26280000000003</v>
      </c>
      <c r="KL17" s="3">
        <v>511.0487</v>
      </c>
      <c r="KM17" s="3">
        <v>513.85019999999997</v>
      </c>
      <c r="KN17" s="3">
        <v>516.66669999999999</v>
      </c>
      <c r="KO17" s="3">
        <v>519.49869999999999</v>
      </c>
      <c r="KP17" s="3">
        <v>522.34590000000003</v>
      </c>
      <c r="KQ17" s="3">
        <v>525.20929999999998</v>
      </c>
      <c r="KR17" s="3">
        <v>528.08780000000002</v>
      </c>
      <c r="KS17" s="3">
        <v>530.98239999999998</v>
      </c>
      <c r="KT17" s="3">
        <v>533.89260000000002</v>
      </c>
      <c r="KU17" s="3">
        <v>536.81880000000001</v>
      </c>
      <c r="KV17" s="3">
        <v>539.76120000000003</v>
      </c>
      <c r="KW17" s="3">
        <v>542.71960000000001</v>
      </c>
      <c r="KX17" s="3">
        <v>545.69470000000001</v>
      </c>
      <c r="KY17" s="3">
        <v>548.68489999999997</v>
      </c>
      <c r="KZ17" s="3">
        <v>551.69259999999997</v>
      </c>
      <c r="LA17" s="3">
        <v>554.71659999999997</v>
      </c>
      <c r="LB17" s="3">
        <v>557.75649999999996</v>
      </c>
      <c r="LC17" s="3">
        <v>560.81370000000004</v>
      </c>
      <c r="LD17" s="3">
        <v>563.88779999999997</v>
      </c>
      <c r="LE17" s="3">
        <v>566.97820000000002</v>
      </c>
      <c r="LF17" s="3">
        <v>570.08569999999997</v>
      </c>
      <c r="LG17" s="3">
        <v>573.21079999999995</v>
      </c>
      <c r="LH17" s="3">
        <v>576.35249999999996</v>
      </c>
      <c r="LI17" s="3">
        <v>579.51210000000003</v>
      </c>
      <c r="LJ17" s="3">
        <v>582.68820000000005</v>
      </c>
      <c r="LK17" s="3">
        <v>585.8818</v>
      </c>
      <c r="LL17" s="3">
        <v>589.0933</v>
      </c>
      <c r="LM17" s="3">
        <v>592.322</v>
      </c>
      <c r="LN17" s="3">
        <v>595.56870000000004</v>
      </c>
      <c r="LO17" s="3">
        <v>598.83259999999996</v>
      </c>
      <c r="LP17" s="3">
        <v>602.11509999999998</v>
      </c>
      <c r="LQ17" s="3">
        <v>605.4153</v>
      </c>
      <c r="LR17" s="3">
        <v>608.73339999999996</v>
      </c>
      <c r="LS17" s="3">
        <v>612.07039999999995</v>
      </c>
      <c r="LT17" s="3">
        <v>615.42539999999997</v>
      </c>
      <c r="LU17" s="3">
        <v>618.79809999999998</v>
      </c>
      <c r="LV17" s="3">
        <v>622.18960000000004</v>
      </c>
      <c r="LW17" s="3">
        <v>625.6001</v>
      </c>
      <c r="LX17" s="3">
        <v>629.02940000000001</v>
      </c>
      <c r="LY17" s="3">
        <v>632.47760000000005</v>
      </c>
      <c r="LZ17" s="3">
        <v>635.94449999999995</v>
      </c>
      <c r="MA17" s="3">
        <v>639.42939999999999</v>
      </c>
      <c r="MB17" s="3">
        <v>642.93370000000004</v>
      </c>
      <c r="MC17" s="3">
        <v>646.4579</v>
      </c>
      <c r="MD17" s="3">
        <v>650.00170000000003</v>
      </c>
      <c r="ME17" s="3">
        <v>653.56510000000003</v>
      </c>
      <c r="MF17" s="3">
        <v>657.14750000000004</v>
      </c>
      <c r="MG17" s="3">
        <v>660.74890000000005</v>
      </c>
      <c r="MH17" s="3">
        <v>664.37099999999998</v>
      </c>
      <c r="MI17" s="3">
        <v>668.01260000000002</v>
      </c>
      <c r="MJ17" s="3">
        <v>671.67399999999998</v>
      </c>
      <c r="MK17" s="3">
        <v>675.35550000000001</v>
      </c>
      <c r="ML17" s="3">
        <v>679.05740000000003</v>
      </c>
      <c r="MM17" s="3">
        <v>682.77919999999995</v>
      </c>
      <c r="MN17" s="3">
        <v>686.52160000000003</v>
      </c>
      <c r="MO17" s="3">
        <v>690.28480000000002</v>
      </c>
      <c r="MP17" s="3">
        <v>694.0684</v>
      </c>
      <c r="MQ17" s="3">
        <v>697.87289999999996</v>
      </c>
      <c r="MR17" s="3">
        <v>701.69780000000003</v>
      </c>
      <c r="MS17" s="3">
        <v>705.54390000000001</v>
      </c>
      <c r="MT17" s="3">
        <v>709.41020000000003</v>
      </c>
      <c r="MU17" t="s">
        <v>421</v>
      </c>
      <c r="MV17" t="b">
        <v>1</v>
      </c>
      <c r="MW17" t="s">
        <v>377</v>
      </c>
      <c r="MX17" s="1" t="s">
        <v>422</v>
      </c>
      <c r="MY17">
        <v>2024</v>
      </c>
      <c r="MZ17">
        <v>4</v>
      </c>
      <c r="NA17" t="s">
        <v>377</v>
      </c>
      <c r="NB17" t="s">
        <v>423</v>
      </c>
      <c r="NC17" s="1" t="s">
        <v>424</v>
      </c>
      <c r="ND17" t="s">
        <v>389</v>
      </c>
      <c r="NE17" t="s">
        <v>420</v>
      </c>
      <c r="NF17" s="1" t="s">
        <v>455</v>
      </c>
    </row>
    <row r="18" spans="1:370" x14ac:dyDescent="0.25">
      <c r="A18" t="s">
        <v>370</v>
      </c>
      <c r="B18" t="s">
        <v>425</v>
      </c>
      <c r="C18" s="1" t="s">
        <v>454</v>
      </c>
      <c r="D18" t="s">
        <v>426</v>
      </c>
      <c r="E18" t="s">
        <v>377</v>
      </c>
      <c r="F18" t="s">
        <v>374</v>
      </c>
      <c r="G18" s="2">
        <v>2.4031669999999998</v>
      </c>
      <c r="H18" s="2">
        <v>2.5304329999999999</v>
      </c>
      <c r="I18" s="2">
        <v>2.4792999999999998</v>
      </c>
      <c r="J18" s="2">
        <v>2.378533</v>
      </c>
      <c r="K18" s="2">
        <v>2.2806329999999999</v>
      </c>
      <c r="L18" s="2">
        <v>2.3986670000000001</v>
      </c>
      <c r="M18" s="2">
        <v>2.3511669999999998</v>
      </c>
      <c r="N18" s="2">
        <v>2.3298000000000001</v>
      </c>
      <c r="O18" s="2">
        <v>2.3923329999999998</v>
      </c>
      <c r="P18" s="2">
        <v>2.3241999999999998</v>
      </c>
      <c r="Q18" s="2">
        <v>2.128333</v>
      </c>
      <c r="R18" s="2">
        <v>2.0428000000000002</v>
      </c>
      <c r="S18" s="2">
        <v>1.9990000000000001</v>
      </c>
      <c r="T18" s="2">
        <v>1.8062670000000001</v>
      </c>
      <c r="U18" s="2">
        <v>1.7666999999999999</v>
      </c>
      <c r="V18" s="2">
        <v>1.6509670000000001</v>
      </c>
      <c r="W18" s="2">
        <v>1.713633</v>
      </c>
      <c r="X18" s="2">
        <v>1.719033</v>
      </c>
      <c r="Y18" s="2">
        <v>1.7351669999999999</v>
      </c>
      <c r="Z18" s="2">
        <v>1.8139670000000001</v>
      </c>
      <c r="AA18" s="2">
        <v>1.9278329999999999</v>
      </c>
      <c r="AB18" s="2">
        <v>1.8355669999999999</v>
      </c>
      <c r="AC18" s="2">
        <v>1.931767</v>
      </c>
      <c r="AD18" s="2">
        <v>1.9837670000000001</v>
      </c>
      <c r="AE18" s="2">
        <v>2.0156000000000001</v>
      </c>
      <c r="AF18" s="2">
        <v>2.080867</v>
      </c>
      <c r="AG18" s="2">
        <v>2.2327669999999999</v>
      </c>
      <c r="AH18" s="2">
        <v>2.1594000000000002</v>
      </c>
      <c r="AI18" s="2">
        <v>2.2539669999999998</v>
      </c>
      <c r="AJ18" s="2">
        <v>2.2853669999999999</v>
      </c>
      <c r="AK18" s="2">
        <v>2.3817330000000001</v>
      </c>
      <c r="AL18" s="2">
        <v>2.3863669999999999</v>
      </c>
      <c r="AM18" s="2">
        <v>2.310467</v>
      </c>
      <c r="AN18" s="2">
        <v>2.0807669999999998</v>
      </c>
      <c r="AO18" s="2">
        <v>1.838133</v>
      </c>
      <c r="AP18" s="2">
        <v>1.8838999999999999</v>
      </c>
      <c r="AQ18" s="2">
        <v>1.847167</v>
      </c>
      <c r="AR18" s="2">
        <v>1.780467</v>
      </c>
      <c r="AS18" s="2">
        <v>1.7252000000000001</v>
      </c>
      <c r="AT18" s="2">
        <v>1.649767</v>
      </c>
      <c r="AU18" s="2">
        <v>1.532233</v>
      </c>
      <c r="AV18" s="2">
        <v>1.5545</v>
      </c>
      <c r="AW18" s="2">
        <v>1.5094669999999999</v>
      </c>
      <c r="AX18" s="2">
        <v>1.470167</v>
      </c>
      <c r="AY18" s="2">
        <v>1.4350000000000001</v>
      </c>
      <c r="AZ18" s="2">
        <v>1.396833</v>
      </c>
      <c r="BA18" s="2">
        <v>1.298033</v>
      </c>
      <c r="BB18" s="2">
        <v>1.216367</v>
      </c>
      <c r="BC18" s="2">
        <v>1.114933</v>
      </c>
      <c r="BD18" s="2">
        <v>1.2578670000000001</v>
      </c>
      <c r="BE18" s="2">
        <v>1.3756999999999999</v>
      </c>
      <c r="BF18" s="2">
        <v>1.4362330000000001</v>
      </c>
      <c r="BG18" s="2">
        <v>1.440067</v>
      </c>
      <c r="BH18" s="2">
        <v>1.5093669999999999</v>
      </c>
      <c r="BI18" s="2">
        <v>1.488767</v>
      </c>
      <c r="BJ18" s="2">
        <v>1.4303999999999999</v>
      </c>
      <c r="BK18" s="2">
        <v>1.542033</v>
      </c>
      <c r="BL18" s="2">
        <v>1.641767</v>
      </c>
      <c r="BM18" s="2">
        <v>1.6178669999999999</v>
      </c>
      <c r="BN18" s="2">
        <v>1.7549330000000001</v>
      </c>
      <c r="BO18" s="2">
        <v>1.7961</v>
      </c>
      <c r="BP18" s="2">
        <v>1.8416330000000001</v>
      </c>
      <c r="BQ18" s="2">
        <v>1.6952670000000001</v>
      </c>
      <c r="BR18" s="2">
        <v>1.7918000000000001</v>
      </c>
      <c r="BS18" s="2">
        <v>1.747833</v>
      </c>
      <c r="BT18" s="2">
        <v>1.6283000000000001</v>
      </c>
      <c r="BU18" s="2">
        <v>1.5971329999999999</v>
      </c>
      <c r="BV18" s="2">
        <v>1.5854330000000001</v>
      </c>
      <c r="BW18" s="2">
        <v>1.6577</v>
      </c>
      <c r="BX18" s="2">
        <v>1.6748670000000001</v>
      </c>
      <c r="BY18" s="2">
        <v>1.8621669999999999</v>
      </c>
      <c r="BZ18" s="2">
        <v>1.9452670000000001</v>
      </c>
      <c r="CA18" s="2">
        <v>1.908933</v>
      </c>
      <c r="CB18" s="2">
        <v>1.7084330000000001</v>
      </c>
      <c r="CC18" s="2">
        <v>1.6864330000000001</v>
      </c>
      <c r="CD18" s="2">
        <v>1.7757000000000001</v>
      </c>
      <c r="CE18" s="2">
        <v>1.771533</v>
      </c>
      <c r="CF18" s="2">
        <v>1.808033</v>
      </c>
      <c r="CG18" s="2">
        <v>1.905233</v>
      </c>
      <c r="CH18" s="2">
        <v>1.5795999999999999</v>
      </c>
      <c r="CI18" s="2">
        <v>1.477867</v>
      </c>
      <c r="CJ18" s="2">
        <v>1.535067</v>
      </c>
      <c r="CK18" s="2">
        <v>1.5044999999999999</v>
      </c>
      <c r="CL18" s="2">
        <v>1.4915670000000001</v>
      </c>
      <c r="CM18" s="2">
        <v>1.4884999999999999</v>
      </c>
      <c r="CN18" s="2">
        <v>1.503933</v>
      </c>
      <c r="CO18" s="2">
        <v>1.5513669999999999</v>
      </c>
      <c r="CP18" s="2">
        <v>1.5846</v>
      </c>
      <c r="CQ18" s="2">
        <v>1.5824</v>
      </c>
      <c r="CR18" s="2">
        <v>1.5963670000000001</v>
      </c>
      <c r="CS18" s="2">
        <v>1.573933</v>
      </c>
      <c r="CT18" s="2">
        <v>1.56</v>
      </c>
      <c r="CU18" s="2">
        <v>1.5313669999999999</v>
      </c>
      <c r="CV18" s="2">
        <v>1.523833</v>
      </c>
      <c r="CW18" s="2">
        <v>1.5546</v>
      </c>
      <c r="CX18" s="2">
        <v>1.6378330000000001</v>
      </c>
      <c r="CY18" s="2">
        <v>1.629867</v>
      </c>
      <c r="CZ18" s="2">
        <v>1.6358330000000001</v>
      </c>
      <c r="DA18" s="2">
        <v>1.6250329999999999</v>
      </c>
      <c r="DB18" s="2">
        <v>1.660533</v>
      </c>
      <c r="DC18" s="2">
        <v>1.6459999999999999</v>
      </c>
      <c r="DD18" s="2">
        <v>1.6535329999999999</v>
      </c>
      <c r="DE18" s="2">
        <v>1.652633</v>
      </c>
      <c r="DF18" s="2">
        <v>1.6758999999999999</v>
      </c>
      <c r="DG18" s="2">
        <v>1.6335</v>
      </c>
      <c r="DH18" s="2">
        <v>1.606967</v>
      </c>
      <c r="DI18" s="2">
        <v>1.6021000000000001</v>
      </c>
      <c r="DJ18" s="2">
        <v>1.6306</v>
      </c>
      <c r="DK18" s="2">
        <v>1.606733</v>
      </c>
      <c r="DL18" s="2">
        <v>1.5333669999999999</v>
      </c>
      <c r="DM18" s="2">
        <v>1.4784330000000001</v>
      </c>
      <c r="DN18" s="2">
        <v>1.4463999999999999</v>
      </c>
      <c r="DO18" s="2">
        <v>1.4583999999999999</v>
      </c>
      <c r="DP18" s="2">
        <v>1.4207669999999999</v>
      </c>
      <c r="DQ18" s="2">
        <v>1.437967</v>
      </c>
      <c r="DR18" s="2">
        <v>1.4428000000000001</v>
      </c>
      <c r="DS18" s="2">
        <v>1.425967</v>
      </c>
      <c r="DT18" s="2">
        <v>1.4630000000000001</v>
      </c>
      <c r="DU18" s="2">
        <v>1.5494669999999999</v>
      </c>
      <c r="DV18" s="2">
        <v>1.5720000000000001</v>
      </c>
      <c r="DW18" s="2">
        <v>1.603</v>
      </c>
      <c r="DX18" s="2">
        <v>1.6194329999999999</v>
      </c>
      <c r="DY18" s="2">
        <v>1.6107670000000001</v>
      </c>
      <c r="DZ18" s="2">
        <v>1.7064999999999999</v>
      </c>
      <c r="EA18" s="2">
        <v>1.8391329999999999</v>
      </c>
      <c r="EB18" s="2">
        <v>1.8051999999999999</v>
      </c>
      <c r="EC18" s="2">
        <v>1.8189</v>
      </c>
      <c r="ED18" s="2">
        <v>1.8647670000000001</v>
      </c>
      <c r="EE18" s="2">
        <v>1.890433</v>
      </c>
      <c r="EF18" s="2">
        <v>1.8559000000000001</v>
      </c>
      <c r="EG18" s="2">
        <v>1.7844329999999999</v>
      </c>
      <c r="EH18" s="2">
        <v>1.7481</v>
      </c>
      <c r="EI18" s="2">
        <v>1.752767</v>
      </c>
      <c r="EJ18" s="2">
        <v>1.827167</v>
      </c>
      <c r="EK18" s="2">
        <v>1.8746</v>
      </c>
      <c r="EL18" s="2">
        <v>1.9169</v>
      </c>
      <c r="EM18" s="2">
        <v>1.9546330000000001</v>
      </c>
      <c r="EN18" s="2">
        <v>1.9869669999999999</v>
      </c>
      <c r="EO18" s="2">
        <v>2.0211329999999998</v>
      </c>
      <c r="EP18" s="2">
        <v>2.0444</v>
      </c>
      <c r="EQ18" s="2">
        <v>1.9789330000000001</v>
      </c>
      <c r="ER18" s="2">
        <v>1.9705330000000001</v>
      </c>
      <c r="ES18" s="2">
        <v>1.8918330000000001</v>
      </c>
      <c r="ET18" s="2">
        <v>1.5699000000000001</v>
      </c>
      <c r="EU18" s="2">
        <v>1.4345669999999999</v>
      </c>
      <c r="EV18" s="2">
        <v>1.550333</v>
      </c>
      <c r="EW18" s="2">
        <v>1.6411</v>
      </c>
      <c r="EX18" s="2">
        <v>1.6345000000000001</v>
      </c>
      <c r="EY18" s="2">
        <v>1.5609999999999999</v>
      </c>
      <c r="EZ18" s="2">
        <v>1.4909330000000001</v>
      </c>
      <c r="FA18" s="2">
        <v>1.5512330000000001</v>
      </c>
      <c r="FB18" s="2">
        <v>1.580867</v>
      </c>
      <c r="FC18" s="2">
        <v>1.6028</v>
      </c>
      <c r="FD18" s="2">
        <v>1.629033</v>
      </c>
      <c r="FE18" s="2">
        <v>1.6092</v>
      </c>
      <c r="FF18" s="2">
        <v>1.5716330000000001</v>
      </c>
      <c r="FG18" s="2">
        <v>1.571167</v>
      </c>
      <c r="FH18" s="2">
        <v>1.583</v>
      </c>
      <c r="FI18" s="2">
        <v>1.5808</v>
      </c>
      <c r="FJ18" s="2">
        <v>1.606133</v>
      </c>
      <c r="FK18" s="2">
        <v>1.5503670000000001</v>
      </c>
      <c r="FL18" s="2">
        <v>1.5359670000000001</v>
      </c>
      <c r="FM18" s="2">
        <v>1.5514669999999999</v>
      </c>
      <c r="FN18" s="2">
        <v>1.6191</v>
      </c>
      <c r="FO18" s="2">
        <v>1.6553</v>
      </c>
      <c r="FP18" s="2">
        <v>1.6831</v>
      </c>
      <c r="FQ18" s="2">
        <v>1.6694329999999999</v>
      </c>
      <c r="FR18" s="2">
        <v>1.5829329999999999</v>
      </c>
      <c r="FS18" s="2">
        <v>1.514467</v>
      </c>
      <c r="FT18" s="2">
        <v>1.5335000000000001</v>
      </c>
      <c r="FU18" s="2">
        <v>1.548967</v>
      </c>
      <c r="FV18" s="2">
        <v>1.5170669999999999</v>
      </c>
      <c r="FW18" s="2">
        <v>1.430833</v>
      </c>
      <c r="FX18" s="2">
        <v>1.434633</v>
      </c>
      <c r="FY18" s="2">
        <v>1.312767</v>
      </c>
      <c r="FZ18" s="2">
        <v>1.2416</v>
      </c>
      <c r="GA18" s="2">
        <v>1.239633</v>
      </c>
      <c r="GB18" s="2">
        <v>1.279933</v>
      </c>
      <c r="GC18" s="2">
        <v>1.3090999999999999</v>
      </c>
      <c r="GD18" s="2">
        <v>1.327267</v>
      </c>
      <c r="GE18" s="2">
        <v>1.3920999999999999</v>
      </c>
      <c r="GF18" s="2">
        <v>1.361</v>
      </c>
      <c r="GG18" s="2">
        <v>1.3037000000000001</v>
      </c>
      <c r="GH18" s="2">
        <v>1.285833</v>
      </c>
      <c r="GI18" s="2">
        <v>1.302767</v>
      </c>
      <c r="GJ18" s="2">
        <v>1.2851999999999999</v>
      </c>
      <c r="GK18" s="2">
        <v>1.2325999999999999</v>
      </c>
      <c r="GL18" s="2">
        <v>1.287933</v>
      </c>
      <c r="GM18" s="2">
        <v>1.279733</v>
      </c>
      <c r="GN18" s="2">
        <v>1.2412000000000001</v>
      </c>
      <c r="GO18" s="2">
        <v>1.2924329999999999</v>
      </c>
      <c r="GP18" s="2">
        <v>1.3208</v>
      </c>
      <c r="GQ18" s="2">
        <v>1.378733</v>
      </c>
      <c r="GR18" s="2">
        <v>1.3986670000000001</v>
      </c>
      <c r="GS18" s="2">
        <v>1.3779669999999999</v>
      </c>
      <c r="GT18" s="2">
        <v>1.3481669999999999</v>
      </c>
      <c r="GU18" s="2">
        <v>1.3424</v>
      </c>
      <c r="GV18" s="2">
        <v>1.2549999999999999</v>
      </c>
      <c r="GW18" s="2">
        <v>1.177133</v>
      </c>
      <c r="GX18" s="2">
        <v>1.1745000000000001</v>
      </c>
      <c r="GY18" s="2">
        <v>1.215133</v>
      </c>
      <c r="GZ18" s="2">
        <v>1.2518670000000001</v>
      </c>
      <c r="HA18" s="2">
        <v>1.2659</v>
      </c>
      <c r="HB18" s="2">
        <v>1.2417</v>
      </c>
      <c r="HC18" s="2">
        <v>1.2679670000000001</v>
      </c>
      <c r="HD18" s="2">
        <v>1.2618670000000001</v>
      </c>
      <c r="HE18" s="2">
        <v>1.300467</v>
      </c>
      <c r="HF18" s="2">
        <v>1.2814000000000001</v>
      </c>
      <c r="HG18" s="2">
        <v>1.2601329999999999</v>
      </c>
      <c r="HH18" s="3">
        <v>1.276241</v>
      </c>
      <c r="HI18" s="3">
        <v>1.2868459999999999</v>
      </c>
      <c r="HJ18" s="3">
        <v>1.286538</v>
      </c>
      <c r="HK18" s="3">
        <v>1.2862309999999999</v>
      </c>
      <c r="HL18" s="3">
        <v>1.2859229999999999</v>
      </c>
      <c r="HM18" s="3">
        <v>1.285615</v>
      </c>
      <c r="HN18" s="3">
        <v>1.285307</v>
      </c>
      <c r="HO18" s="3">
        <v>1.284999</v>
      </c>
      <c r="HP18" s="3">
        <v>1.2850729999999999</v>
      </c>
      <c r="HQ18" s="3">
        <v>1.2855289999999999</v>
      </c>
      <c r="HR18" s="3">
        <v>1.2859860000000001</v>
      </c>
      <c r="HS18" s="3">
        <v>1.2864409999999999</v>
      </c>
      <c r="HT18" s="3">
        <v>1.286897</v>
      </c>
      <c r="HU18" s="3">
        <v>1.287353</v>
      </c>
      <c r="HV18" s="3">
        <v>1.2878099999999999</v>
      </c>
      <c r="HW18" s="3">
        <v>1.288265</v>
      </c>
      <c r="HX18" s="3">
        <v>1.288721</v>
      </c>
      <c r="HY18" s="3">
        <v>1.289655</v>
      </c>
      <c r="HZ18" s="3">
        <v>1.291066</v>
      </c>
      <c r="IA18" s="3">
        <v>1.2919369999999999</v>
      </c>
      <c r="IB18" s="3">
        <v>1.2922670000000001</v>
      </c>
      <c r="IC18" s="3">
        <v>1.292594</v>
      </c>
      <c r="ID18" s="3">
        <v>1.2939639999999999</v>
      </c>
      <c r="IE18" s="3">
        <v>1.296373</v>
      </c>
      <c r="IF18" s="3">
        <v>1.298775</v>
      </c>
      <c r="IG18" s="3">
        <v>1.301172</v>
      </c>
      <c r="IH18" s="3">
        <v>1.303563</v>
      </c>
      <c r="II18" s="3">
        <v>1.3059480000000001</v>
      </c>
      <c r="IJ18" s="3">
        <v>1.308327</v>
      </c>
      <c r="IK18" s="3">
        <v>1.3112490000000001</v>
      </c>
      <c r="IL18" s="3">
        <v>1.314713</v>
      </c>
      <c r="IM18" s="3">
        <v>1.3181700000000001</v>
      </c>
      <c r="IN18" s="3">
        <v>1.321618</v>
      </c>
      <c r="IO18" s="3">
        <v>1.3250580000000001</v>
      </c>
      <c r="IP18" s="3">
        <v>1.3284910000000001</v>
      </c>
      <c r="IQ18" s="3">
        <v>1.331917</v>
      </c>
      <c r="IR18" s="3">
        <v>1.3353349999999999</v>
      </c>
      <c r="IS18" s="3">
        <v>1.3387450000000001</v>
      </c>
      <c r="IT18" s="3">
        <v>1.3421479999999999</v>
      </c>
      <c r="IU18" s="3">
        <v>1.345542</v>
      </c>
      <c r="IV18" s="3">
        <v>1.348929</v>
      </c>
      <c r="IW18" s="3">
        <v>1.352309</v>
      </c>
      <c r="IX18" s="3">
        <v>1.3556809999999999</v>
      </c>
      <c r="IY18" s="3">
        <v>1.3590439999999999</v>
      </c>
      <c r="IZ18" s="3">
        <v>1.3624000000000001</v>
      </c>
      <c r="JA18" s="3">
        <v>1.365748</v>
      </c>
      <c r="JB18" s="3">
        <v>1.369089</v>
      </c>
      <c r="JC18" s="3">
        <v>1.3724229999999999</v>
      </c>
      <c r="JD18" s="3">
        <v>1.375748</v>
      </c>
      <c r="JE18" s="3">
        <v>1.3790659999999999</v>
      </c>
      <c r="JF18" s="3">
        <v>1.3823749999999999</v>
      </c>
      <c r="JG18" s="3">
        <v>1.385678</v>
      </c>
      <c r="JH18" s="3">
        <v>1.388973</v>
      </c>
      <c r="JI18" s="3">
        <v>1.3915470000000001</v>
      </c>
      <c r="JJ18" s="3">
        <v>1.3934029999999999</v>
      </c>
      <c r="JK18" s="3">
        <v>1.3952530000000001</v>
      </c>
      <c r="JL18" s="3">
        <v>1.397098</v>
      </c>
      <c r="JM18" s="3">
        <v>1.39838</v>
      </c>
      <c r="JN18" s="3">
        <v>1.399098</v>
      </c>
      <c r="JO18" s="3">
        <v>1.3998120000000001</v>
      </c>
      <c r="JP18" s="3">
        <v>1.4005240000000001</v>
      </c>
      <c r="JQ18" s="3">
        <v>1.401233</v>
      </c>
      <c r="JR18" s="3">
        <v>1.4015010000000001</v>
      </c>
      <c r="JS18" s="3">
        <v>1.4013310000000001</v>
      </c>
      <c r="JT18" s="3">
        <v>1.40116</v>
      </c>
      <c r="JU18" s="3">
        <v>1.4009860000000001</v>
      </c>
      <c r="JV18" s="3">
        <v>1.400811</v>
      </c>
      <c r="JW18" s="3">
        <v>1.4006339999999999</v>
      </c>
      <c r="JX18" s="3">
        <v>1.400455</v>
      </c>
      <c r="JY18" s="3">
        <v>1.4002749999999999</v>
      </c>
      <c r="JZ18" s="3">
        <v>1.4000919999999999</v>
      </c>
      <c r="KA18" s="3">
        <v>1.4</v>
      </c>
      <c r="KB18" s="3">
        <v>1.4</v>
      </c>
      <c r="KC18" s="3">
        <v>1.4</v>
      </c>
      <c r="KD18" s="3">
        <v>1.4</v>
      </c>
      <c r="KE18" s="3">
        <v>1.4</v>
      </c>
      <c r="KF18" s="3">
        <v>1.4</v>
      </c>
      <c r="KG18" s="3">
        <v>1.4</v>
      </c>
      <c r="KH18" s="3">
        <v>1.4</v>
      </c>
      <c r="KI18" s="3">
        <v>1.4</v>
      </c>
      <c r="KJ18" s="3">
        <v>1.4</v>
      </c>
      <c r="KK18" s="3">
        <v>1.4</v>
      </c>
      <c r="KL18" s="3">
        <v>1.4</v>
      </c>
      <c r="KM18" s="3">
        <v>1.4</v>
      </c>
      <c r="KN18" s="3">
        <v>1.4</v>
      </c>
      <c r="KO18" s="3">
        <v>1.4</v>
      </c>
      <c r="KP18" s="3">
        <v>1.4</v>
      </c>
      <c r="KQ18" s="3">
        <v>1.4</v>
      </c>
      <c r="KR18" s="3">
        <v>1.4</v>
      </c>
      <c r="KS18" s="3">
        <v>1.4</v>
      </c>
      <c r="KT18" s="3">
        <v>1.4</v>
      </c>
      <c r="KU18" s="3">
        <v>1.4</v>
      </c>
      <c r="KV18" s="3">
        <v>1.4</v>
      </c>
      <c r="KW18" s="3">
        <v>1.4</v>
      </c>
      <c r="KX18" s="3">
        <v>1.4</v>
      </c>
      <c r="KY18" s="3">
        <v>1.4</v>
      </c>
      <c r="KZ18" s="3">
        <v>1.4</v>
      </c>
      <c r="LA18" s="3">
        <v>1.4</v>
      </c>
      <c r="LB18" s="3">
        <v>1.4</v>
      </c>
      <c r="LC18" s="3">
        <v>1.4</v>
      </c>
      <c r="LD18" s="3">
        <v>1.4</v>
      </c>
      <c r="LE18" s="3">
        <v>1.4</v>
      </c>
      <c r="LF18" s="3">
        <v>1.4</v>
      </c>
      <c r="LG18" s="3">
        <v>1.4</v>
      </c>
      <c r="LH18" s="3">
        <v>1.4</v>
      </c>
      <c r="LI18" s="3">
        <v>1.4</v>
      </c>
      <c r="LJ18" s="3">
        <v>1.4</v>
      </c>
      <c r="LK18" s="3">
        <v>1.4</v>
      </c>
      <c r="LL18" s="3">
        <v>1.4</v>
      </c>
      <c r="LM18" s="3">
        <v>1.4</v>
      </c>
      <c r="LN18" s="3">
        <v>1.4</v>
      </c>
      <c r="LO18" s="3">
        <v>1.4</v>
      </c>
      <c r="LP18" s="3">
        <v>1.4</v>
      </c>
      <c r="LQ18" s="3">
        <v>1.4</v>
      </c>
      <c r="LR18" s="3">
        <v>1.4</v>
      </c>
      <c r="LS18" s="3">
        <v>1.4</v>
      </c>
      <c r="LT18" s="3">
        <v>1.4</v>
      </c>
      <c r="LU18" s="3">
        <v>1.4</v>
      </c>
      <c r="LV18" s="3">
        <v>1.4</v>
      </c>
      <c r="LW18" s="3">
        <v>1.4</v>
      </c>
      <c r="LX18" s="3">
        <v>1.4</v>
      </c>
      <c r="LY18" s="3">
        <v>1.4</v>
      </c>
      <c r="LZ18" s="3">
        <v>1.4</v>
      </c>
      <c r="MA18" s="3">
        <v>1.4</v>
      </c>
      <c r="MB18" s="3">
        <v>1.4</v>
      </c>
      <c r="MC18" s="3">
        <v>1.4</v>
      </c>
      <c r="MD18" s="3">
        <v>1.4</v>
      </c>
      <c r="ME18" s="3">
        <v>1.4</v>
      </c>
      <c r="MF18" s="3">
        <v>1.4</v>
      </c>
      <c r="MG18" s="3">
        <v>1.4</v>
      </c>
      <c r="MH18" s="3">
        <v>1.4</v>
      </c>
      <c r="MI18" s="3">
        <v>1.4</v>
      </c>
      <c r="MJ18" s="3">
        <v>1.4</v>
      </c>
      <c r="MK18" s="3">
        <v>1.4</v>
      </c>
      <c r="ML18" s="3">
        <v>1.4</v>
      </c>
      <c r="MM18" s="3">
        <v>1.4</v>
      </c>
      <c r="MN18" s="3">
        <v>1.4</v>
      </c>
      <c r="MO18" s="3">
        <v>1.4</v>
      </c>
      <c r="MP18" s="3">
        <v>1.4</v>
      </c>
      <c r="MQ18" s="3">
        <v>1.4</v>
      </c>
      <c r="MR18" s="3">
        <v>1.4</v>
      </c>
      <c r="MS18" s="3">
        <v>1.4</v>
      </c>
      <c r="MT18" s="3">
        <v>1.4</v>
      </c>
      <c r="MU18" t="s">
        <v>427</v>
      </c>
      <c r="MV18" t="b">
        <v>0</v>
      </c>
      <c r="MW18" t="s">
        <v>377</v>
      </c>
      <c r="MX18" t="s">
        <v>377</v>
      </c>
      <c r="MY18">
        <v>2025</v>
      </c>
      <c r="MZ18">
        <v>1</v>
      </c>
      <c r="NA18" t="s">
        <v>377</v>
      </c>
      <c r="NB18" t="s">
        <v>428</v>
      </c>
      <c r="NC18" s="1" t="s">
        <v>429</v>
      </c>
      <c r="ND18" t="s">
        <v>380</v>
      </c>
      <c r="NE18" t="s">
        <v>430</v>
      </c>
      <c r="NF18" s="1" t="s">
        <v>455</v>
      </c>
    </row>
    <row r="19" spans="1:370" x14ac:dyDescent="0.25">
      <c r="A19" t="s">
        <v>382</v>
      </c>
      <c r="B19" t="s">
        <v>431</v>
      </c>
      <c r="C19" s="1" t="s">
        <v>454</v>
      </c>
      <c r="D19" t="s">
        <v>432</v>
      </c>
      <c r="E19" t="s">
        <v>377</v>
      </c>
      <c r="F19" t="s">
        <v>374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1</v>
      </c>
      <c r="BD19" s="2">
        <v>1</v>
      </c>
      <c r="BE19" s="2">
        <v>1</v>
      </c>
      <c r="BF19" s="2">
        <v>1</v>
      </c>
      <c r="BG19" s="2">
        <v>1</v>
      </c>
      <c r="BH19" s="2">
        <v>1</v>
      </c>
      <c r="BI19" s="2">
        <v>1</v>
      </c>
      <c r="BJ19" s="2">
        <v>1</v>
      </c>
      <c r="BK19" s="2">
        <v>1</v>
      </c>
      <c r="BL19" s="2">
        <v>1</v>
      </c>
      <c r="BM19" s="2">
        <v>1</v>
      </c>
      <c r="BN19" s="2">
        <v>1</v>
      </c>
      <c r="BO19" s="2">
        <v>1</v>
      </c>
      <c r="BP19" s="2">
        <v>1</v>
      </c>
      <c r="BQ19" s="2">
        <v>1</v>
      </c>
      <c r="BR19" s="2">
        <v>1</v>
      </c>
      <c r="BS19" s="2">
        <v>1</v>
      </c>
      <c r="BT19" s="2">
        <v>1</v>
      </c>
      <c r="BU19" s="2">
        <v>1</v>
      </c>
      <c r="BV19" s="2">
        <v>1</v>
      </c>
      <c r="BW19" s="2">
        <v>1</v>
      </c>
      <c r="BX19" s="2">
        <v>1</v>
      </c>
      <c r="BY19" s="2">
        <v>1</v>
      </c>
      <c r="BZ19" s="2">
        <v>1</v>
      </c>
      <c r="CA19" s="2">
        <v>1</v>
      </c>
      <c r="CB19" s="2">
        <v>1</v>
      </c>
      <c r="CC19" s="2">
        <v>1</v>
      </c>
      <c r="CD19" s="2">
        <v>1</v>
      </c>
      <c r="CE19" s="2">
        <v>1</v>
      </c>
      <c r="CF19" s="2">
        <v>1</v>
      </c>
      <c r="CG19" s="2">
        <v>1</v>
      </c>
      <c r="CH19" s="2">
        <v>1</v>
      </c>
      <c r="CI19" s="2">
        <v>1</v>
      </c>
      <c r="CJ19" s="2">
        <v>1</v>
      </c>
      <c r="CK19" s="2">
        <v>1</v>
      </c>
      <c r="CL19" s="2">
        <v>1</v>
      </c>
      <c r="CM19" s="2">
        <v>1</v>
      </c>
      <c r="CN19" s="2">
        <v>1</v>
      </c>
      <c r="CO19" s="2">
        <v>1</v>
      </c>
      <c r="CP19" s="2">
        <v>1</v>
      </c>
      <c r="CQ19" s="2">
        <v>1</v>
      </c>
      <c r="CR19" s="2">
        <v>1</v>
      </c>
      <c r="CS19" s="2">
        <v>1</v>
      </c>
      <c r="CT19" s="2">
        <v>1</v>
      </c>
      <c r="CU19" s="2">
        <v>1</v>
      </c>
      <c r="CV19" s="2">
        <v>1</v>
      </c>
      <c r="CW19" s="2">
        <v>1</v>
      </c>
      <c r="CX19" s="2">
        <v>1</v>
      </c>
      <c r="CY19" s="2">
        <v>1</v>
      </c>
      <c r="CZ19" s="2">
        <v>1</v>
      </c>
      <c r="DA19" s="2">
        <v>1</v>
      </c>
      <c r="DB19" s="2">
        <v>1</v>
      </c>
      <c r="DC19" s="2">
        <v>1</v>
      </c>
      <c r="DD19" s="2">
        <v>1</v>
      </c>
      <c r="DE19" s="2">
        <v>1</v>
      </c>
      <c r="DF19" s="2">
        <v>1</v>
      </c>
      <c r="DG19" s="2">
        <v>1</v>
      </c>
      <c r="DH19" s="2">
        <v>1</v>
      </c>
      <c r="DI19" s="2">
        <v>1</v>
      </c>
      <c r="DJ19" s="2">
        <v>1</v>
      </c>
      <c r="DK19" s="2">
        <v>1</v>
      </c>
      <c r="DL19" s="2">
        <v>1</v>
      </c>
      <c r="DM19" s="2">
        <v>1</v>
      </c>
      <c r="DN19" s="2">
        <v>1</v>
      </c>
      <c r="DO19" s="2">
        <v>1</v>
      </c>
      <c r="DP19" s="2">
        <v>1</v>
      </c>
      <c r="DQ19" s="2">
        <v>1</v>
      </c>
      <c r="DR19" s="2">
        <v>1</v>
      </c>
      <c r="DS19" s="2">
        <v>1</v>
      </c>
      <c r="DT19" s="2">
        <v>1</v>
      </c>
      <c r="DU19" s="2">
        <v>1</v>
      </c>
      <c r="DV19" s="2">
        <v>1</v>
      </c>
      <c r="DW19" s="2">
        <v>1</v>
      </c>
      <c r="DX19" s="2">
        <v>1</v>
      </c>
      <c r="DY19" s="2">
        <v>1</v>
      </c>
      <c r="DZ19" s="2">
        <v>1</v>
      </c>
      <c r="EA19" s="2">
        <v>1</v>
      </c>
      <c r="EB19" s="2">
        <v>1</v>
      </c>
      <c r="EC19" s="2">
        <v>1</v>
      </c>
      <c r="ED19" s="2">
        <v>1</v>
      </c>
      <c r="EE19" s="2">
        <v>1</v>
      </c>
      <c r="EF19" s="2">
        <v>1</v>
      </c>
      <c r="EG19" s="2">
        <v>1</v>
      </c>
      <c r="EH19" s="2">
        <v>1</v>
      </c>
      <c r="EI19" s="2">
        <v>1</v>
      </c>
      <c r="EJ19" s="2">
        <v>1</v>
      </c>
      <c r="EK19" s="2">
        <v>1</v>
      </c>
      <c r="EL19" s="2">
        <v>1</v>
      </c>
      <c r="EM19" s="2">
        <v>1</v>
      </c>
      <c r="EN19" s="2">
        <v>1</v>
      </c>
      <c r="EO19" s="2">
        <v>1</v>
      </c>
      <c r="EP19" s="2">
        <v>1</v>
      </c>
      <c r="EQ19" s="2">
        <v>1</v>
      </c>
      <c r="ER19" s="2">
        <v>1</v>
      </c>
      <c r="ES19" s="2">
        <v>1</v>
      </c>
      <c r="ET19" s="2">
        <v>1</v>
      </c>
      <c r="EU19" s="2">
        <v>1</v>
      </c>
      <c r="EV19" s="2">
        <v>1</v>
      </c>
      <c r="EW19" s="2">
        <v>1</v>
      </c>
      <c r="EX19" s="2">
        <v>1</v>
      </c>
      <c r="EY19" s="2">
        <v>1</v>
      </c>
      <c r="EZ19" s="2">
        <v>1</v>
      </c>
      <c r="FA19" s="2">
        <v>1</v>
      </c>
      <c r="FB19" s="2">
        <v>1</v>
      </c>
      <c r="FC19" s="2">
        <v>1</v>
      </c>
      <c r="FD19" s="2">
        <v>1</v>
      </c>
      <c r="FE19" s="2">
        <v>1</v>
      </c>
      <c r="FF19" s="2">
        <v>1</v>
      </c>
      <c r="FG19" s="2">
        <v>1</v>
      </c>
      <c r="FH19" s="2">
        <v>1</v>
      </c>
      <c r="FI19" s="2">
        <v>1</v>
      </c>
      <c r="FJ19" s="2">
        <v>1</v>
      </c>
      <c r="FK19" s="2">
        <v>1</v>
      </c>
      <c r="FL19" s="2">
        <v>1</v>
      </c>
      <c r="FM19" s="2">
        <v>1</v>
      </c>
      <c r="FN19" s="2">
        <v>1</v>
      </c>
      <c r="FO19" s="2">
        <v>1</v>
      </c>
      <c r="FP19" s="2">
        <v>1</v>
      </c>
      <c r="FQ19" s="2">
        <v>1</v>
      </c>
      <c r="FR19" s="2">
        <v>1</v>
      </c>
      <c r="FS19" s="2">
        <v>1</v>
      </c>
      <c r="FT19" s="2">
        <v>1</v>
      </c>
      <c r="FU19" s="2">
        <v>1</v>
      </c>
      <c r="FV19" s="2">
        <v>1</v>
      </c>
      <c r="FW19" s="2">
        <v>1</v>
      </c>
      <c r="FX19" s="2">
        <v>1</v>
      </c>
      <c r="FY19" s="2">
        <v>1</v>
      </c>
      <c r="FZ19" s="2">
        <v>1</v>
      </c>
      <c r="GA19" s="2">
        <v>1</v>
      </c>
      <c r="GB19" s="2">
        <v>1</v>
      </c>
      <c r="GC19" s="2">
        <v>1</v>
      </c>
      <c r="GD19" s="2">
        <v>1</v>
      </c>
      <c r="GE19" s="2">
        <v>1</v>
      </c>
      <c r="GF19" s="2">
        <v>1</v>
      </c>
      <c r="GG19" s="2">
        <v>1</v>
      </c>
      <c r="GH19" s="2">
        <v>1</v>
      </c>
      <c r="GI19" s="2">
        <v>1</v>
      </c>
      <c r="GJ19" s="2">
        <v>1</v>
      </c>
      <c r="GK19" s="2">
        <v>1</v>
      </c>
      <c r="GL19" s="2">
        <v>1</v>
      </c>
      <c r="GM19" s="2">
        <v>1</v>
      </c>
      <c r="GN19" s="2">
        <v>1</v>
      </c>
      <c r="GO19" s="2">
        <v>1</v>
      </c>
      <c r="GP19" s="2">
        <v>1</v>
      </c>
      <c r="GQ19" s="2">
        <v>1</v>
      </c>
      <c r="GR19" s="2">
        <v>1</v>
      </c>
      <c r="GS19" s="2">
        <v>1</v>
      </c>
      <c r="GT19" s="2">
        <v>1</v>
      </c>
      <c r="GU19" s="2">
        <v>1</v>
      </c>
      <c r="GV19" s="2">
        <v>1</v>
      </c>
      <c r="GW19" s="2">
        <v>1</v>
      </c>
      <c r="GX19" s="2">
        <v>1</v>
      </c>
      <c r="GY19" s="2">
        <v>1</v>
      </c>
      <c r="GZ19" s="2">
        <v>1</v>
      </c>
      <c r="HA19" s="2">
        <v>1</v>
      </c>
      <c r="HB19" s="2">
        <v>1</v>
      </c>
      <c r="HC19" s="2">
        <v>1</v>
      </c>
      <c r="HD19" s="2">
        <v>1</v>
      </c>
      <c r="HE19" s="2">
        <v>1</v>
      </c>
      <c r="HF19" s="2">
        <v>1</v>
      </c>
      <c r="HG19" s="2">
        <v>1</v>
      </c>
      <c r="HH19" s="3">
        <v>1</v>
      </c>
      <c r="HI19" s="3">
        <v>1</v>
      </c>
      <c r="HJ19" s="3">
        <v>1</v>
      </c>
      <c r="HK19" s="3">
        <v>1</v>
      </c>
      <c r="HL19" s="3">
        <v>1</v>
      </c>
      <c r="HM19" s="3">
        <v>1</v>
      </c>
      <c r="HN19" s="3">
        <v>1</v>
      </c>
      <c r="HO19" s="3">
        <v>1</v>
      </c>
      <c r="HP19" s="3">
        <v>1</v>
      </c>
      <c r="HQ19" s="3">
        <v>1</v>
      </c>
      <c r="HR19" s="3">
        <v>1</v>
      </c>
      <c r="HS19" s="3">
        <v>1</v>
      </c>
      <c r="HT19" s="3">
        <v>1</v>
      </c>
      <c r="HU19" s="3">
        <v>1</v>
      </c>
      <c r="HV19" s="3">
        <v>1</v>
      </c>
      <c r="HW19" s="3">
        <v>1</v>
      </c>
      <c r="HX19" s="3">
        <v>1</v>
      </c>
      <c r="HY19" s="3">
        <v>1</v>
      </c>
      <c r="HZ19" s="3">
        <v>1</v>
      </c>
      <c r="IA19" s="3">
        <v>1</v>
      </c>
      <c r="IB19" s="3">
        <v>1</v>
      </c>
      <c r="IC19" s="3">
        <v>1</v>
      </c>
      <c r="ID19" s="3">
        <v>1</v>
      </c>
      <c r="IE19" s="3">
        <v>1</v>
      </c>
      <c r="IF19" s="3">
        <v>1</v>
      </c>
      <c r="IG19" s="3">
        <v>1</v>
      </c>
      <c r="IH19" s="3">
        <v>1</v>
      </c>
      <c r="II19" s="3">
        <v>1</v>
      </c>
      <c r="IJ19" s="3">
        <v>1</v>
      </c>
      <c r="IK19" s="3">
        <v>1</v>
      </c>
      <c r="IL19" s="3">
        <v>1</v>
      </c>
      <c r="IM19" s="3">
        <v>1</v>
      </c>
      <c r="IN19" s="3">
        <v>1</v>
      </c>
      <c r="IO19" s="3">
        <v>1</v>
      </c>
      <c r="IP19" s="3">
        <v>1</v>
      </c>
      <c r="IQ19" s="3">
        <v>1</v>
      </c>
      <c r="IR19" s="3">
        <v>1</v>
      </c>
      <c r="IS19" s="3">
        <v>1</v>
      </c>
      <c r="IT19" s="3">
        <v>1</v>
      </c>
      <c r="IU19" s="3">
        <v>1</v>
      </c>
      <c r="IV19" s="3">
        <v>1</v>
      </c>
      <c r="IW19" s="3">
        <v>1</v>
      </c>
      <c r="IX19" s="3">
        <v>1</v>
      </c>
      <c r="IY19" s="3">
        <v>1</v>
      </c>
      <c r="IZ19" s="3">
        <v>1</v>
      </c>
      <c r="JA19" s="3">
        <v>1</v>
      </c>
      <c r="JB19" s="3">
        <v>1</v>
      </c>
      <c r="JC19" s="3">
        <v>1</v>
      </c>
      <c r="JD19" s="3">
        <v>1</v>
      </c>
      <c r="JE19" s="3">
        <v>1</v>
      </c>
      <c r="JF19" s="3">
        <v>1</v>
      </c>
      <c r="JG19" s="3">
        <v>1</v>
      </c>
      <c r="JH19" s="3">
        <v>1</v>
      </c>
      <c r="JI19" s="3">
        <v>1</v>
      </c>
      <c r="JJ19" s="3">
        <v>1</v>
      </c>
      <c r="JK19" s="3">
        <v>1</v>
      </c>
      <c r="JL19" s="3">
        <v>1</v>
      </c>
      <c r="JM19" s="3">
        <v>1</v>
      </c>
      <c r="JN19" s="3">
        <v>1</v>
      </c>
      <c r="JO19" s="3">
        <v>1</v>
      </c>
      <c r="JP19" s="3">
        <v>1</v>
      </c>
      <c r="JQ19" s="3">
        <v>1</v>
      </c>
      <c r="JR19" s="3">
        <v>1</v>
      </c>
      <c r="JS19" s="3">
        <v>1</v>
      </c>
      <c r="JT19" s="3">
        <v>1</v>
      </c>
      <c r="JU19" s="3">
        <v>1</v>
      </c>
      <c r="JV19" s="3">
        <v>1</v>
      </c>
      <c r="JW19" s="3">
        <v>1</v>
      </c>
      <c r="JX19" s="3">
        <v>1</v>
      </c>
      <c r="JY19" s="3">
        <v>1</v>
      </c>
      <c r="JZ19" s="3">
        <v>1</v>
      </c>
      <c r="KA19" s="3">
        <v>1</v>
      </c>
      <c r="KB19" s="3">
        <v>1</v>
      </c>
      <c r="KC19" s="3">
        <v>1</v>
      </c>
      <c r="KD19" s="3">
        <v>1</v>
      </c>
      <c r="KE19" s="3">
        <v>1</v>
      </c>
      <c r="KF19" s="3">
        <v>1</v>
      </c>
      <c r="KG19" s="3">
        <v>1</v>
      </c>
      <c r="KH19" s="3">
        <v>1</v>
      </c>
      <c r="KI19" s="3">
        <v>1</v>
      </c>
      <c r="KJ19" s="3">
        <v>1</v>
      </c>
      <c r="KK19" s="3">
        <v>1</v>
      </c>
      <c r="KL19" s="3">
        <v>1</v>
      </c>
      <c r="KM19" s="3">
        <v>1</v>
      </c>
      <c r="KN19" s="3">
        <v>1</v>
      </c>
      <c r="KO19" s="3">
        <v>1</v>
      </c>
      <c r="KP19" s="3">
        <v>1</v>
      </c>
      <c r="KQ19" s="3">
        <v>1</v>
      </c>
      <c r="KR19" s="3">
        <v>1</v>
      </c>
      <c r="KS19" s="3">
        <v>1</v>
      </c>
      <c r="KT19" s="3">
        <v>1</v>
      </c>
      <c r="KU19" s="3">
        <v>1</v>
      </c>
      <c r="KV19" s="3">
        <v>1</v>
      </c>
      <c r="KW19" s="3">
        <v>1</v>
      </c>
      <c r="KX19" s="3">
        <v>1</v>
      </c>
      <c r="KY19" s="3">
        <v>1</v>
      </c>
      <c r="KZ19" s="3">
        <v>1</v>
      </c>
      <c r="LA19" s="3">
        <v>1</v>
      </c>
      <c r="LB19" s="3">
        <v>1</v>
      </c>
      <c r="LC19" s="3">
        <v>1</v>
      </c>
      <c r="LD19" s="3">
        <v>1</v>
      </c>
      <c r="LE19" s="3">
        <v>1</v>
      </c>
      <c r="LF19" s="3">
        <v>1</v>
      </c>
      <c r="LG19" s="3">
        <v>1</v>
      </c>
      <c r="LH19" s="3">
        <v>1</v>
      </c>
      <c r="LI19" s="3">
        <v>1</v>
      </c>
      <c r="LJ19" s="3">
        <v>1</v>
      </c>
      <c r="LK19" s="3">
        <v>1</v>
      </c>
      <c r="LL19" s="3">
        <v>1</v>
      </c>
      <c r="LM19" s="3">
        <v>1</v>
      </c>
      <c r="LN19" s="3">
        <v>1</v>
      </c>
      <c r="LO19" s="3">
        <v>1</v>
      </c>
      <c r="LP19" s="3">
        <v>1</v>
      </c>
      <c r="LQ19" s="3">
        <v>1</v>
      </c>
      <c r="LR19" s="3">
        <v>1</v>
      </c>
      <c r="LS19" s="3">
        <v>1</v>
      </c>
      <c r="LT19" s="3">
        <v>1</v>
      </c>
      <c r="LU19" s="3">
        <v>1</v>
      </c>
      <c r="LV19" s="3">
        <v>1</v>
      </c>
      <c r="LW19" s="3">
        <v>1</v>
      </c>
      <c r="LX19" s="3">
        <v>1</v>
      </c>
      <c r="LY19" s="3">
        <v>1</v>
      </c>
      <c r="LZ19" s="3">
        <v>1</v>
      </c>
      <c r="MA19" s="3">
        <v>1</v>
      </c>
      <c r="MB19" s="3">
        <v>1</v>
      </c>
      <c r="MC19" s="3">
        <v>1</v>
      </c>
      <c r="MD19" s="3">
        <v>1</v>
      </c>
      <c r="ME19" s="3">
        <v>1</v>
      </c>
      <c r="MF19" s="3">
        <v>1</v>
      </c>
      <c r="MG19" s="3">
        <v>1</v>
      </c>
      <c r="MH19" s="3">
        <v>1</v>
      </c>
      <c r="MI19" s="3">
        <v>1</v>
      </c>
      <c r="MJ19" s="3">
        <v>1</v>
      </c>
      <c r="MK19" s="3">
        <v>1</v>
      </c>
      <c r="ML19" s="3">
        <v>1</v>
      </c>
      <c r="MM19" s="3">
        <v>1</v>
      </c>
      <c r="MN19" s="3">
        <v>1</v>
      </c>
      <c r="MO19" s="3">
        <v>1</v>
      </c>
      <c r="MP19" s="3">
        <v>1</v>
      </c>
      <c r="MQ19" s="3">
        <v>1</v>
      </c>
      <c r="MR19" s="3">
        <v>1</v>
      </c>
      <c r="MS19" s="3">
        <v>1</v>
      </c>
      <c r="MT19" s="3">
        <v>1</v>
      </c>
      <c r="MU19" t="s">
        <v>433</v>
      </c>
      <c r="MV19" t="b">
        <v>0</v>
      </c>
      <c r="MW19" t="s">
        <v>377</v>
      </c>
      <c r="MX19" t="s">
        <v>377</v>
      </c>
      <c r="MY19">
        <v>2025</v>
      </c>
      <c r="MZ19">
        <v>1</v>
      </c>
      <c r="NA19" t="s">
        <v>377</v>
      </c>
      <c r="NB19" s="1" t="s">
        <v>434</v>
      </c>
      <c r="NC19" t="s">
        <v>377</v>
      </c>
      <c r="ND19" t="s">
        <v>389</v>
      </c>
      <c r="NE19" t="s">
        <v>430</v>
      </c>
      <c r="NF19" s="1" t="s">
        <v>455</v>
      </c>
    </row>
    <row r="20" spans="1:370" x14ac:dyDescent="0.25">
      <c r="A20" t="s">
        <v>370</v>
      </c>
      <c r="B20" t="s">
        <v>456</v>
      </c>
      <c r="C20" s="1" t="s">
        <v>454</v>
      </c>
      <c r="D20" t="s">
        <v>372</v>
      </c>
      <c r="E20" t="s">
        <v>373</v>
      </c>
      <c r="F20" t="s">
        <v>374</v>
      </c>
      <c r="G20" s="2">
        <v>247921</v>
      </c>
      <c r="H20" s="2">
        <v>248795.6</v>
      </c>
      <c r="I20" s="2">
        <v>249192.3</v>
      </c>
      <c r="J20" s="2">
        <v>249852.3</v>
      </c>
      <c r="K20" s="2">
        <v>250711.6</v>
      </c>
      <c r="L20" s="2">
        <v>251453.3</v>
      </c>
      <c r="M20" s="2">
        <v>252524.5</v>
      </c>
      <c r="N20" s="2">
        <v>253154.3</v>
      </c>
      <c r="O20" s="2">
        <v>253236.2</v>
      </c>
      <c r="P20" s="2">
        <v>253757</v>
      </c>
      <c r="Q20" s="2">
        <v>254266.6</v>
      </c>
      <c r="R20" s="2">
        <v>254664</v>
      </c>
      <c r="S20" s="2">
        <v>254816</v>
      </c>
      <c r="T20" s="2">
        <v>255097.2</v>
      </c>
      <c r="U20" s="2">
        <v>255283</v>
      </c>
      <c r="V20" s="2">
        <v>255551.9</v>
      </c>
      <c r="W20" s="2">
        <v>255798.9</v>
      </c>
      <c r="X20" s="2">
        <v>255979.1</v>
      </c>
      <c r="Y20" s="2">
        <v>256187.3</v>
      </c>
      <c r="Z20" s="2">
        <v>256207</v>
      </c>
      <c r="AA20" s="2">
        <v>256193</v>
      </c>
      <c r="AB20" s="2">
        <v>257406</v>
      </c>
      <c r="AC20" s="2">
        <v>258678.39999999999</v>
      </c>
      <c r="AD20" s="2">
        <v>260270.3</v>
      </c>
      <c r="AE20" s="2">
        <v>261655.1</v>
      </c>
      <c r="AF20" s="2">
        <v>262767.09999999998</v>
      </c>
      <c r="AG20" s="2">
        <v>264311.90000000002</v>
      </c>
      <c r="AH20" s="2">
        <v>265866.3</v>
      </c>
      <c r="AI20" s="2">
        <v>268225.3</v>
      </c>
      <c r="AJ20" s="2">
        <v>269618.2</v>
      </c>
      <c r="AK20" s="2">
        <v>270906.90000000002</v>
      </c>
      <c r="AL20" s="2">
        <v>272236.7</v>
      </c>
      <c r="AM20" s="2">
        <v>273376.7</v>
      </c>
      <c r="AN20" s="2">
        <v>274189.09999999998</v>
      </c>
      <c r="AO20" s="2">
        <v>274557.90000000002</v>
      </c>
      <c r="AP20" s="2">
        <v>274762</v>
      </c>
      <c r="AQ20" s="2">
        <v>275104</v>
      </c>
      <c r="AR20" s="2">
        <v>275639.3</v>
      </c>
      <c r="AS20" s="2">
        <v>276062.8</v>
      </c>
      <c r="AT20" s="2">
        <v>276606.5</v>
      </c>
      <c r="AU20" s="2">
        <v>277254.8</v>
      </c>
      <c r="AV20" s="2">
        <v>278705.59999999998</v>
      </c>
      <c r="AW20" s="2">
        <v>281386.40000000002</v>
      </c>
      <c r="AX20" s="2">
        <v>284241.7</v>
      </c>
      <c r="AY20" s="2">
        <v>286851.90000000002</v>
      </c>
      <c r="AZ20" s="2">
        <v>289238.09999999998</v>
      </c>
      <c r="BA20" s="2">
        <v>291277.90000000002</v>
      </c>
      <c r="BB20" s="2">
        <v>293467</v>
      </c>
      <c r="BC20" s="2">
        <v>295399.5</v>
      </c>
      <c r="BD20" s="2">
        <v>297253.2</v>
      </c>
      <c r="BE20" s="2">
        <v>299226.5</v>
      </c>
      <c r="BF20" s="2">
        <v>301203.09999999998</v>
      </c>
      <c r="BG20" s="2">
        <v>303115.59999999998</v>
      </c>
      <c r="BH20" s="2">
        <v>304797</v>
      </c>
      <c r="BI20" s="2">
        <v>306863.7</v>
      </c>
      <c r="BJ20" s="2">
        <v>308796.2</v>
      </c>
      <c r="BK20" s="2">
        <v>310597.5</v>
      </c>
      <c r="BL20" s="2">
        <v>313078.09999999998</v>
      </c>
      <c r="BM20" s="2">
        <v>315712.2</v>
      </c>
      <c r="BN20" s="2">
        <v>318346.7</v>
      </c>
      <c r="BO20" s="2">
        <v>321347.3</v>
      </c>
      <c r="BP20" s="2">
        <v>324058.90000000002</v>
      </c>
      <c r="BQ20" s="2">
        <v>327016.59999999998</v>
      </c>
      <c r="BR20" s="2">
        <v>330086.90000000002</v>
      </c>
      <c r="BS20" s="2">
        <v>333453.59999999998</v>
      </c>
      <c r="BT20" s="2">
        <v>336162.5</v>
      </c>
      <c r="BU20" s="2">
        <v>338615.3</v>
      </c>
      <c r="BV20" s="2">
        <v>341204.8</v>
      </c>
      <c r="BW20" s="2">
        <v>343262.3</v>
      </c>
      <c r="BX20" s="2">
        <v>345587.5</v>
      </c>
      <c r="BY20" s="2">
        <v>347648.4</v>
      </c>
      <c r="BZ20" s="2">
        <v>349155.1</v>
      </c>
      <c r="CA20" s="2">
        <v>349599.8</v>
      </c>
      <c r="CB20" s="2">
        <v>350779.4</v>
      </c>
      <c r="CC20" s="2">
        <v>351731.6</v>
      </c>
      <c r="CD20" s="2">
        <v>352724.7</v>
      </c>
      <c r="CE20" s="2">
        <v>355136.2</v>
      </c>
      <c r="CF20" s="2">
        <v>356223.3</v>
      </c>
      <c r="CG20" s="2">
        <v>356162.6</v>
      </c>
      <c r="CH20" s="2">
        <v>356797.5</v>
      </c>
      <c r="CI20" s="2">
        <v>359456.2</v>
      </c>
      <c r="CJ20" s="2">
        <v>360765.6</v>
      </c>
      <c r="CK20" s="2">
        <v>362638.6</v>
      </c>
      <c r="CL20" s="2">
        <v>364708.6</v>
      </c>
      <c r="CM20" s="2">
        <v>367476.4</v>
      </c>
      <c r="CN20" s="2">
        <v>369402.9</v>
      </c>
      <c r="CO20" s="2">
        <v>372359.1</v>
      </c>
      <c r="CP20" s="2">
        <v>376023.1</v>
      </c>
      <c r="CQ20" s="2">
        <v>377130.7</v>
      </c>
      <c r="CR20" s="2">
        <v>379828.6</v>
      </c>
      <c r="CS20" s="2">
        <v>382034.4</v>
      </c>
      <c r="CT20" s="2">
        <v>384510.9</v>
      </c>
      <c r="CU20" s="2">
        <v>386665.7</v>
      </c>
      <c r="CV20" s="2">
        <v>390383.3</v>
      </c>
      <c r="CW20" s="2">
        <v>392124.9</v>
      </c>
      <c r="CX20" s="2">
        <v>395313.7</v>
      </c>
      <c r="CY20" s="2">
        <v>398137.5</v>
      </c>
      <c r="CZ20" s="2">
        <v>401790</v>
      </c>
      <c r="DA20" s="2">
        <v>403525.4</v>
      </c>
      <c r="DB20" s="2">
        <v>404659</v>
      </c>
      <c r="DC20" s="2">
        <v>407458.6</v>
      </c>
      <c r="DD20" s="2">
        <v>410117.8</v>
      </c>
      <c r="DE20" s="2">
        <v>413020.8</v>
      </c>
      <c r="DF20" s="2">
        <v>414237.5</v>
      </c>
      <c r="DG20" s="2">
        <v>418633.6</v>
      </c>
      <c r="DH20" s="2">
        <v>421081</v>
      </c>
      <c r="DI20" s="2">
        <v>424298.3</v>
      </c>
      <c r="DJ20" s="2">
        <v>427761.1</v>
      </c>
      <c r="DK20" s="2">
        <v>426391.7</v>
      </c>
      <c r="DL20" s="2">
        <v>430966.1</v>
      </c>
      <c r="DM20" s="2">
        <v>434245.8</v>
      </c>
      <c r="DN20" s="2">
        <v>438874.7</v>
      </c>
      <c r="DO20" s="2">
        <v>441485</v>
      </c>
      <c r="DP20" s="2">
        <v>445913.7</v>
      </c>
      <c r="DQ20" s="2">
        <v>448067</v>
      </c>
      <c r="DR20" s="2">
        <v>450476.7</v>
      </c>
      <c r="DS20" s="2">
        <v>453318.6</v>
      </c>
      <c r="DT20" s="2">
        <v>454633.9</v>
      </c>
      <c r="DU20" s="2">
        <v>459691.7</v>
      </c>
      <c r="DV20" s="2">
        <v>461937.7</v>
      </c>
      <c r="DW20" s="2">
        <v>464823.3</v>
      </c>
      <c r="DX20" s="2">
        <v>468109.3</v>
      </c>
      <c r="DY20" s="2">
        <v>471388.4</v>
      </c>
      <c r="DZ20" s="2">
        <v>472083.4</v>
      </c>
      <c r="EA20" s="2">
        <v>477050.3</v>
      </c>
      <c r="EB20" s="2">
        <v>478935.3</v>
      </c>
      <c r="EC20" s="2">
        <v>481606.7</v>
      </c>
      <c r="ED20" s="2">
        <v>487824.2</v>
      </c>
      <c r="EE20" s="2">
        <v>491443.7</v>
      </c>
      <c r="EF20" s="2">
        <v>493452.2</v>
      </c>
      <c r="EG20" s="2">
        <v>498290.1</v>
      </c>
      <c r="EH20" s="2">
        <v>501515.9</v>
      </c>
      <c r="EI20" s="2">
        <v>505074.1</v>
      </c>
      <c r="EJ20" s="2">
        <v>508093.1</v>
      </c>
      <c r="EK20" s="2">
        <v>511498</v>
      </c>
      <c r="EL20" s="2">
        <v>515389</v>
      </c>
      <c r="EM20" s="2">
        <v>517232.5</v>
      </c>
      <c r="EN20" s="2">
        <v>521524.9</v>
      </c>
      <c r="EO20" s="2">
        <v>523719.4</v>
      </c>
      <c r="EP20" s="2">
        <v>525015.1</v>
      </c>
      <c r="EQ20" s="2">
        <v>531697.80000000005</v>
      </c>
      <c r="ER20" s="2">
        <v>530216.80000000005</v>
      </c>
      <c r="ES20" s="2">
        <v>534172.1</v>
      </c>
      <c r="ET20" s="2">
        <v>535804.5</v>
      </c>
      <c r="EU20" s="2">
        <v>533759.80000000005</v>
      </c>
      <c r="EV20" s="2">
        <v>536113.80000000005</v>
      </c>
      <c r="EW20" s="2">
        <v>534851.30000000005</v>
      </c>
      <c r="EX20" s="2">
        <v>535730.69999999995</v>
      </c>
      <c r="EY20" s="2">
        <v>537208.69999999995</v>
      </c>
      <c r="EZ20" s="2">
        <v>539485.5</v>
      </c>
      <c r="FA20" s="2">
        <v>542141.19999999995</v>
      </c>
      <c r="FB20" s="2">
        <v>544782</v>
      </c>
      <c r="FC20" s="2">
        <v>545464.80000000005</v>
      </c>
      <c r="FD20" s="2">
        <v>542351.6</v>
      </c>
      <c r="FE20" s="2">
        <v>547245.6</v>
      </c>
      <c r="FF20" s="2">
        <v>548040.19999999995</v>
      </c>
      <c r="FG20" s="2">
        <v>550730.30000000005</v>
      </c>
      <c r="FH20" s="2">
        <v>553420.6</v>
      </c>
      <c r="FI20" s="2">
        <v>558403.6</v>
      </c>
      <c r="FJ20" s="2">
        <v>559890.80000000005</v>
      </c>
      <c r="FK20" s="2">
        <v>561308.9</v>
      </c>
      <c r="FL20" s="2">
        <v>563203.4</v>
      </c>
      <c r="FM20" s="2">
        <v>568069.19999999995</v>
      </c>
      <c r="FN20" s="2">
        <v>567452.4</v>
      </c>
      <c r="FO20" s="2">
        <v>570704.19999999995</v>
      </c>
      <c r="FP20" s="2">
        <v>573375.1</v>
      </c>
      <c r="FQ20" s="2">
        <v>575130.80000000005</v>
      </c>
      <c r="FR20" s="2">
        <v>576747.80000000005</v>
      </c>
      <c r="FS20" s="2">
        <v>579090.6</v>
      </c>
      <c r="FT20" s="2">
        <v>580661.4</v>
      </c>
      <c r="FU20" s="2">
        <v>581505.30000000005</v>
      </c>
      <c r="FV20" s="2">
        <v>589483.80000000005</v>
      </c>
      <c r="FW20" s="2">
        <v>589164.4</v>
      </c>
      <c r="FX20" s="2">
        <v>591347.30000000005</v>
      </c>
      <c r="FY20" s="2">
        <v>593632.6</v>
      </c>
      <c r="FZ20" s="2">
        <v>596720.30000000005</v>
      </c>
      <c r="GA20" s="2">
        <v>600298.30000000005</v>
      </c>
      <c r="GB20" s="2">
        <v>604180</v>
      </c>
      <c r="GC20" s="2">
        <v>601563.30000000005</v>
      </c>
      <c r="GD20" s="2">
        <v>603499.6</v>
      </c>
      <c r="GE20" s="2">
        <v>606894.1</v>
      </c>
      <c r="GF20" s="2">
        <v>608265.19999999995</v>
      </c>
      <c r="GG20" s="2">
        <v>614132.80000000005</v>
      </c>
      <c r="GH20" s="2">
        <v>614948.4</v>
      </c>
      <c r="GI20" s="2">
        <v>620625.69999999995</v>
      </c>
      <c r="GJ20" s="2">
        <v>622076.1</v>
      </c>
      <c r="GK20" s="2">
        <v>621355.9</v>
      </c>
      <c r="GL20" s="2">
        <v>621632.30000000005</v>
      </c>
      <c r="GM20" s="2">
        <v>615319.30000000005</v>
      </c>
      <c r="GN20" s="2">
        <v>539738.5</v>
      </c>
      <c r="GO20" s="2">
        <v>569337.4</v>
      </c>
      <c r="GP20" s="2">
        <v>594547.5</v>
      </c>
      <c r="GQ20" s="2">
        <v>584308.69999999995</v>
      </c>
      <c r="GR20" s="2">
        <v>604378.1</v>
      </c>
      <c r="GS20" s="2">
        <v>614598.80000000005</v>
      </c>
      <c r="GT20" s="2">
        <v>616163.69999999995</v>
      </c>
      <c r="GU20" s="2">
        <v>617362.19999999995</v>
      </c>
      <c r="GV20" s="2">
        <v>619843.5</v>
      </c>
      <c r="GW20" s="2">
        <v>621072.1</v>
      </c>
      <c r="GX20" s="2">
        <v>624162.6</v>
      </c>
      <c r="GY20" s="2">
        <v>628265.6</v>
      </c>
      <c r="GZ20" s="2">
        <v>629361.4</v>
      </c>
      <c r="HA20" s="3">
        <v>628663.1</v>
      </c>
      <c r="HB20" s="3">
        <v>631659.5</v>
      </c>
      <c r="HC20" s="3">
        <v>638150.9</v>
      </c>
      <c r="HD20" s="3">
        <v>640407.30000000005</v>
      </c>
      <c r="HE20" s="3">
        <v>646654.9</v>
      </c>
      <c r="HF20" s="3">
        <v>645443.6</v>
      </c>
      <c r="HG20" s="3">
        <v>649760.69999999995</v>
      </c>
      <c r="HH20" s="3">
        <v>651663.30000000005</v>
      </c>
      <c r="HI20" s="3">
        <v>653590.9</v>
      </c>
      <c r="HJ20" s="3">
        <v>655545.4</v>
      </c>
      <c r="HK20" s="3">
        <v>657638.69999999995</v>
      </c>
      <c r="HL20" s="3">
        <v>659779.6</v>
      </c>
      <c r="HM20" s="3">
        <v>661917.30000000005</v>
      </c>
      <c r="HN20" s="3">
        <v>664151.9</v>
      </c>
      <c r="HO20" s="3">
        <v>666314.6</v>
      </c>
      <c r="HP20" s="3">
        <v>668574.9</v>
      </c>
      <c r="HQ20" s="3">
        <v>670903.69999999995</v>
      </c>
      <c r="HR20" s="3">
        <v>673270.1</v>
      </c>
      <c r="HS20" s="3">
        <v>675708.6</v>
      </c>
      <c r="HT20" s="3">
        <v>678119.8</v>
      </c>
      <c r="HU20" s="3">
        <v>680510.3</v>
      </c>
      <c r="HV20" s="3">
        <v>682872.2</v>
      </c>
      <c r="HW20" s="3">
        <v>685260.5</v>
      </c>
      <c r="HX20" s="3">
        <v>687617.9</v>
      </c>
      <c r="HY20" s="3">
        <v>690014.9</v>
      </c>
      <c r="HZ20" s="3">
        <v>692387.9</v>
      </c>
      <c r="IA20" s="3">
        <v>694806.9</v>
      </c>
      <c r="IB20" s="3">
        <v>697239.1</v>
      </c>
      <c r="IC20" s="3">
        <v>699741</v>
      </c>
      <c r="ID20" s="3">
        <v>702260.7</v>
      </c>
      <c r="IE20" s="3">
        <v>704812.3</v>
      </c>
      <c r="IF20" s="3">
        <v>707380.6</v>
      </c>
      <c r="IG20" s="3">
        <v>709967.1</v>
      </c>
      <c r="IH20" s="3">
        <v>712632.3</v>
      </c>
      <c r="II20" s="3">
        <v>715312.9</v>
      </c>
      <c r="IJ20" s="3">
        <v>717995.5</v>
      </c>
      <c r="IK20" s="3">
        <v>720725.3</v>
      </c>
      <c r="IL20" s="3">
        <v>723519.2</v>
      </c>
      <c r="IM20" s="3">
        <v>726382.8</v>
      </c>
      <c r="IN20" s="3">
        <v>729138.9</v>
      </c>
      <c r="IO20" s="3">
        <v>731906.1</v>
      </c>
      <c r="IP20" s="3">
        <v>734557</v>
      </c>
      <c r="IQ20" s="3">
        <v>737326.5</v>
      </c>
      <c r="IR20" s="3">
        <v>740037.9</v>
      </c>
      <c r="IS20" s="3">
        <v>742750.2</v>
      </c>
      <c r="IT20" s="3">
        <v>745421.2</v>
      </c>
      <c r="IU20" s="3">
        <v>748199.5</v>
      </c>
      <c r="IV20" s="3">
        <v>750989.6</v>
      </c>
      <c r="IW20" s="3">
        <v>753790.2</v>
      </c>
      <c r="IX20" s="3">
        <v>756601.2</v>
      </c>
      <c r="IY20" s="3">
        <v>759489.3</v>
      </c>
      <c r="IZ20" s="3">
        <v>762390.6</v>
      </c>
      <c r="JA20" s="3">
        <v>765306.6</v>
      </c>
      <c r="JB20" s="3">
        <v>768236.7</v>
      </c>
      <c r="JC20" s="3">
        <v>771180.3</v>
      </c>
      <c r="JD20" s="3">
        <v>774137.3</v>
      </c>
      <c r="JE20" s="3">
        <v>777110.9</v>
      </c>
      <c r="JF20" s="3">
        <v>780098.1</v>
      </c>
      <c r="JG20" s="3">
        <v>783164</v>
      </c>
      <c r="JH20" s="3">
        <v>786244.2</v>
      </c>
      <c r="JI20" s="3">
        <v>789341.1</v>
      </c>
      <c r="JJ20" s="3">
        <v>792454.6</v>
      </c>
      <c r="JK20" s="3">
        <v>795582.8</v>
      </c>
      <c r="JL20" s="3">
        <v>798725.5</v>
      </c>
      <c r="JM20" s="3">
        <v>801886.1</v>
      </c>
      <c r="JN20" s="3">
        <v>805062.2</v>
      </c>
      <c r="JO20" s="3">
        <v>808253.9</v>
      </c>
      <c r="JP20" s="3">
        <v>811460.7</v>
      </c>
      <c r="JQ20" s="3">
        <v>814683.3</v>
      </c>
      <c r="JR20" s="3">
        <v>817921</v>
      </c>
      <c r="JS20" s="3">
        <v>821243.6</v>
      </c>
      <c r="JT20" s="3">
        <v>824584.5</v>
      </c>
      <c r="JU20" s="3">
        <v>827948.4</v>
      </c>
      <c r="JV20" s="3">
        <v>831330</v>
      </c>
      <c r="JW20" s="3">
        <v>834724.6</v>
      </c>
      <c r="JX20" s="3">
        <v>838138.8</v>
      </c>
      <c r="JY20" s="3">
        <v>841496.9</v>
      </c>
      <c r="JZ20" s="3">
        <v>844871.9</v>
      </c>
      <c r="KA20" s="3">
        <v>848258.7</v>
      </c>
      <c r="KB20" s="3">
        <v>851662.3</v>
      </c>
      <c r="KC20" s="3">
        <v>854994</v>
      </c>
      <c r="KD20" s="3">
        <v>858338.7</v>
      </c>
      <c r="KE20" s="3">
        <v>861695.7</v>
      </c>
      <c r="KF20" s="3">
        <v>865066.6</v>
      </c>
      <c r="KG20" s="3">
        <v>868290.9</v>
      </c>
      <c r="KH20" s="3">
        <v>871526.40000000002</v>
      </c>
      <c r="KI20" s="3">
        <v>874771.4</v>
      </c>
      <c r="KJ20" s="3">
        <v>878026</v>
      </c>
      <c r="KK20" s="3">
        <v>881217.9</v>
      </c>
      <c r="KL20" s="3">
        <v>884418.1</v>
      </c>
      <c r="KM20" s="3">
        <v>887628.1</v>
      </c>
      <c r="KN20" s="3">
        <v>890844.8</v>
      </c>
      <c r="KO20" s="3">
        <v>894069.6</v>
      </c>
      <c r="KP20" s="3">
        <v>897301.9</v>
      </c>
      <c r="KQ20" s="3">
        <v>900545.8</v>
      </c>
      <c r="KR20" s="3">
        <v>903796.3</v>
      </c>
      <c r="KS20" s="3">
        <v>907004.1</v>
      </c>
      <c r="KT20" s="3">
        <v>910220.6</v>
      </c>
      <c r="KU20" s="3">
        <v>913444.1</v>
      </c>
      <c r="KV20" s="3">
        <v>916679.1</v>
      </c>
      <c r="KW20" s="3">
        <v>919897.5</v>
      </c>
      <c r="KX20" s="3">
        <v>923125.4</v>
      </c>
      <c r="KY20" s="3">
        <v>926359.3</v>
      </c>
      <c r="KZ20" s="3">
        <v>929601.9</v>
      </c>
      <c r="LA20" s="3">
        <v>932782.1</v>
      </c>
      <c r="LB20" s="3">
        <v>935967.7</v>
      </c>
      <c r="LC20" s="3">
        <v>939158.8</v>
      </c>
      <c r="LD20" s="3">
        <v>942357.3</v>
      </c>
      <c r="LE20" s="3">
        <v>945535.9</v>
      </c>
      <c r="LF20" s="3">
        <v>948720.8</v>
      </c>
      <c r="LG20" s="3">
        <v>951912.8</v>
      </c>
      <c r="LH20" s="3">
        <v>955110</v>
      </c>
      <c r="LI20" s="3">
        <v>958276.9</v>
      </c>
      <c r="LJ20" s="3">
        <v>961448.7</v>
      </c>
      <c r="LK20" s="3">
        <v>964627.4</v>
      </c>
      <c r="LL20" s="3">
        <v>967811</v>
      </c>
      <c r="LM20" s="3">
        <v>970923.6</v>
      </c>
      <c r="LN20" s="3">
        <v>974041.7</v>
      </c>
      <c r="LO20" s="3">
        <v>977162.3</v>
      </c>
      <c r="LP20" s="3">
        <v>980289.1</v>
      </c>
      <c r="LQ20" s="3">
        <v>983418.4</v>
      </c>
      <c r="LR20" s="3">
        <v>986551.2</v>
      </c>
      <c r="LS20" s="3">
        <v>989689.2</v>
      </c>
      <c r="LT20" s="3">
        <v>992832.4</v>
      </c>
      <c r="LU20" s="3">
        <v>995946.8</v>
      </c>
      <c r="LV20" s="3">
        <v>999065.1</v>
      </c>
      <c r="LW20" s="3">
        <v>1002187</v>
      </c>
      <c r="LX20" s="3">
        <v>1005314</v>
      </c>
      <c r="LY20" s="3">
        <v>1008412</v>
      </c>
      <c r="LZ20" s="3">
        <v>1011513</v>
      </c>
      <c r="MA20" s="3">
        <v>1014616</v>
      </c>
      <c r="MB20" s="3">
        <v>1017725</v>
      </c>
      <c r="MC20" s="3">
        <v>1020836</v>
      </c>
      <c r="MD20" s="3">
        <v>1023948</v>
      </c>
      <c r="ME20" s="3">
        <v>1027066</v>
      </c>
      <c r="MF20" s="3">
        <v>1030187</v>
      </c>
      <c r="MG20" s="3">
        <v>1033337</v>
      </c>
      <c r="MH20" s="3">
        <v>1036489</v>
      </c>
      <c r="MI20" s="3">
        <v>1039647</v>
      </c>
      <c r="MJ20" s="3">
        <v>1042810</v>
      </c>
      <c r="MK20" s="3">
        <v>1045956</v>
      </c>
      <c r="ML20" s="3">
        <v>1049107</v>
      </c>
      <c r="MM20" s="3">
        <v>1052260</v>
      </c>
      <c r="MN20" s="3">
        <v>1055417</v>
      </c>
      <c r="MO20" s="3">
        <v>1058603</v>
      </c>
      <c r="MP20" s="3">
        <v>1061793</v>
      </c>
      <c r="MQ20" s="3">
        <v>1064988</v>
      </c>
      <c r="MR20" s="3">
        <v>1068185</v>
      </c>
      <c r="MS20" s="3">
        <v>1071389</v>
      </c>
      <c r="MT20" s="3">
        <v>1074597</v>
      </c>
      <c r="MU20" t="s">
        <v>457</v>
      </c>
      <c r="MV20" t="b">
        <v>0</v>
      </c>
      <c r="MW20" s="1" t="s">
        <v>376</v>
      </c>
      <c r="MX20" t="s">
        <v>377</v>
      </c>
      <c r="MY20">
        <v>2023</v>
      </c>
      <c r="MZ20">
        <v>2</v>
      </c>
      <c r="NA20" t="s">
        <v>377</v>
      </c>
      <c r="NB20" t="s">
        <v>458</v>
      </c>
      <c r="NC20" t="s">
        <v>377</v>
      </c>
      <c r="ND20" t="s">
        <v>380</v>
      </c>
      <c r="NE20" t="s">
        <v>459</v>
      </c>
      <c r="NF20" s="1" t="s">
        <v>455</v>
      </c>
    </row>
    <row r="21" spans="1:370" x14ac:dyDescent="0.25">
      <c r="A21" t="s">
        <v>382</v>
      </c>
      <c r="B21" t="s">
        <v>456</v>
      </c>
      <c r="C21" s="1" t="s">
        <v>454</v>
      </c>
      <c r="D21" t="s">
        <v>383</v>
      </c>
      <c r="E21" t="s">
        <v>384</v>
      </c>
      <c r="F21" t="s">
        <v>374</v>
      </c>
      <c r="G21" s="2">
        <v>1459.875</v>
      </c>
      <c r="H21" s="2">
        <v>1471.825</v>
      </c>
      <c r="I21" s="2">
        <v>1484.175</v>
      </c>
      <c r="J21" s="2">
        <v>1496.95</v>
      </c>
      <c r="K21" s="2">
        <v>1509.9</v>
      </c>
      <c r="L21" s="2">
        <v>1522.95</v>
      </c>
      <c r="M21" s="2">
        <v>1535.8</v>
      </c>
      <c r="N21" s="2">
        <v>1548.5</v>
      </c>
      <c r="O21" s="2">
        <v>1560.925</v>
      </c>
      <c r="P21" s="2">
        <v>1573.2</v>
      </c>
      <c r="Q21" s="2">
        <v>1585.4</v>
      </c>
      <c r="R21" s="2">
        <v>1597.55</v>
      </c>
      <c r="S21" s="2">
        <v>1609.55</v>
      </c>
      <c r="T21" s="2">
        <v>1621.575</v>
      </c>
      <c r="U21" s="2">
        <v>1633.85</v>
      </c>
      <c r="V21" s="2">
        <v>1646.3</v>
      </c>
      <c r="W21" s="2">
        <v>1659.25</v>
      </c>
      <c r="X21" s="2">
        <v>1672.625</v>
      </c>
      <c r="Y21" s="2">
        <v>1686.3</v>
      </c>
      <c r="Z21" s="2">
        <v>1700.4</v>
      </c>
      <c r="AA21" s="2">
        <v>1714.85</v>
      </c>
      <c r="AB21" s="2">
        <v>1729.55</v>
      </c>
      <c r="AC21" s="2">
        <v>1744.65</v>
      </c>
      <c r="AD21" s="2">
        <v>1760.05</v>
      </c>
      <c r="AE21" s="2">
        <v>1776</v>
      </c>
      <c r="AF21" s="2">
        <v>1791.4749999999999</v>
      </c>
      <c r="AG21" s="2">
        <v>1806.075</v>
      </c>
      <c r="AH21" s="2">
        <v>1819.5250000000001</v>
      </c>
      <c r="AI21" s="2">
        <v>1831.6</v>
      </c>
      <c r="AJ21" s="2">
        <v>1842</v>
      </c>
      <c r="AK21" s="2">
        <v>1850.7750000000001</v>
      </c>
      <c r="AL21" s="2">
        <v>1860.05</v>
      </c>
      <c r="AM21" s="2">
        <v>1866</v>
      </c>
      <c r="AN21" s="2">
        <v>1877.75</v>
      </c>
      <c r="AO21" s="2">
        <v>1890.325</v>
      </c>
      <c r="AP21" s="2">
        <v>1903.7249999999999</v>
      </c>
      <c r="AQ21" s="2">
        <v>1917.7249999999999</v>
      </c>
      <c r="AR21" s="2">
        <v>1932.175</v>
      </c>
      <c r="AS21" s="2">
        <v>1947.0250000000001</v>
      </c>
      <c r="AT21" s="2">
        <v>1962.2249999999999</v>
      </c>
      <c r="AU21" s="2">
        <v>1977.375</v>
      </c>
      <c r="AV21" s="2">
        <v>1992.9</v>
      </c>
      <c r="AW21" s="2">
        <v>2008.85</v>
      </c>
      <c r="AX21" s="2">
        <v>2025.45</v>
      </c>
      <c r="AY21" s="2">
        <v>2042.7</v>
      </c>
      <c r="AZ21" s="2">
        <v>2060.625</v>
      </c>
      <c r="BA21" s="2">
        <v>2078.9499999999998</v>
      </c>
      <c r="BB21" s="2">
        <v>2097.6</v>
      </c>
      <c r="BC21" s="2">
        <v>2116.3249999999998</v>
      </c>
      <c r="BD21" s="2">
        <v>2135.1</v>
      </c>
      <c r="BE21" s="2">
        <v>2153.8249999999998</v>
      </c>
      <c r="BF21" s="2">
        <v>2172.4250000000002</v>
      </c>
      <c r="BG21" s="2">
        <v>2190.8000000000002</v>
      </c>
      <c r="BH21" s="2">
        <v>2208.9749999999999</v>
      </c>
      <c r="BI21" s="2">
        <v>2227.0500000000002</v>
      </c>
      <c r="BJ21" s="2">
        <v>2245.1999999999998</v>
      </c>
      <c r="BK21" s="2">
        <v>2263.3249999999998</v>
      </c>
      <c r="BL21" s="2">
        <v>2281.4</v>
      </c>
      <c r="BM21" s="2">
        <v>2299.4499999999998</v>
      </c>
      <c r="BN21" s="2">
        <v>2317.625</v>
      </c>
      <c r="BO21" s="2">
        <v>2335.7750000000001</v>
      </c>
      <c r="BP21" s="2">
        <v>2354.0749999999998</v>
      </c>
      <c r="BQ21" s="2">
        <v>2372.4250000000002</v>
      </c>
      <c r="BR21" s="2">
        <v>2390.9</v>
      </c>
      <c r="BS21" s="2">
        <v>2409.4250000000002</v>
      </c>
      <c r="BT21" s="2">
        <v>2427.9749999999999</v>
      </c>
      <c r="BU21" s="2">
        <v>2446.5250000000001</v>
      </c>
      <c r="BV21" s="2">
        <v>2465</v>
      </c>
      <c r="BW21" s="2">
        <v>2483.3000000000002</v>
      </c>
      <c r="BX21" s="2">
        <v>2501.3000000000002</v>
      </c>
      <c r="BY21" s="2">
        <v>2518.85</v>
      </c>
      <c r="BZ21" s="2">
        <v>2535.9</v>
      </c>
      <c r="CA21" s="2">
        <v>2552.5749999999998</v>
      </c>
      <c r="CB21" s="2">
        <v>2568.85</v>
      </c>
      <c r="CC21" s="2">
        <v>2584.85</v>
      </c>
      <c r="CD21" s="2">
        <v>2600.85</v>
      </c>
      <c r="CE21" s="2">
        <v>2616.875</v>
      </c>
      <c r="CF21" s="2">
        <v>2633.1</v>
      </c>
      <c r="CG21" s="2">
        <v>2649.65</v>
      </c>
      <c r="CH21" s="2">
        <v>2666.45</v>
      </c>
      <c r="CI21" s="2">
        <v>2683.5</v>
      </c>
      <c r="CJ21" s="2">
        <v>2701</v>
      </c>
      <c r="CK21" s="2">
        <v>2718.8</v>
      </c>
      <c r="CL21" s="2">
        <v>2736.85</v>
      </c>
      <c r="CM21" s="2">
        <v>2755.1750000000002</v>
      </c>
      <c r="CN21" s="2">
        <v>2773.7249999999999</v>
      </c>
      <c r="CO21" s="2">
        <v>2792.6750000000002</v>
      </c>
      <c r="CP21" s="2">
        <v>2811.9749999999999</v>
      </c>
      <c r="CQ21" s="2">
        <v>2831.4749999999999</v>
      </c>
      <c r="CR21" s="2">
        <v>2851.35</v>
      </c>
      <c r="CS21" s="2">
        <v>2871.4749999999999</v>
      </c>
      <c r="CT21" s="2">
        <v>2892.125</v>
      </c>
      <c r="CU21" s="2">
        <v>2913.2249999999999</v>
      </c>
      <c r="CV21" s="2">
        <v>2935.65</v>
      </c>
      <c r="CW21" s="2">
        <v>2959.7</v>
      </c>
      <c r="CX21" s="2">
        <v>2985.3249999999998</v>
      </c>
      <c r="CY21" s="2">
        <v>3012.45</v>
      </c>
      <c r="CZ21" s="2">
        <v>3040.9</v>
      </c>
      <c r="DA21" s="2">
        <v>3070.7249999999999</v>
      </c>
      <c r="DB21" s="2">
        <v>3101.65</v>
      </c>
      <c r="DC21" s="2">
        <v>3133.5</v>
      </c>
      <c r="DD21" s="2">
        <v>3166.35</v>
      </c>
      <c r="DE21" s="2">
        <v>3199.8</v>
      </c>
      <c r="DF21" s="2">
        <v>3233.9</v>
      </c>
      <c r="DG21" s="2">
        <v>3268.7</v>
      </c>
      <c r="DH21" s="2">
        <v>3303.9250000000002</v>
      </c>
      <c r="DI21" s="2">
        <v>3339.625</v>
      </c>
      <c r="DJ21" s="2">
        <v>3375.875</v>
      </c>
      <c r="DK21" s="2">
        <v>3412.5</v>
      </c>
      <c r="DL21" s="2">
        <v>3448.1750000000002</v>
      </c>
      <c r="DM21" s="2">
        <v>3482.375</v>
      </c>
      <c r="DN21" s="2">
        <v>3514.85</v>
      </c>
      <c r="DO21" s="2">
        <v>3545.6</v>
      </c>
      <c r="DP21" s="2">
        <v>3574.625</v>
      </c>
      <c r="DQ21" s="2">
        <v>3601.9250000000002</v>
      </c>
      <c r="DR21" s="2">
        <v>3627.7249999999999</v>
      </c>
      <c r="DS21" s="2">
        <v>3652.1750000000002</v>
      </c>
      <c r="DT21" s="2">
        <v>3675.7249999999999</v>
      </c>
      <c r="DU21" s="2">
        <v>3698.7750000000001</v>
      </c>
      <c r="DV21" s="2">
        <v>3721.55</v>
      </c>
      <c r="DW21" s="2">
        <v>3744.3</v>
      </c>
      <c r="DX21" s="2">
        <v>3767.25</v>
      </c>
      <c r="DY21" s="2">
        <v>3790.25</v>
      </c>
      <c r="DZ21" s="2">
        <v>3813.5749999999998</v>
      </c>
      <c r="EA21" s="2">
        <v>3837.35</v>
      </c>
      <c r="EB21" s="2">
        <v>3861.45</v>
      </c>
      <c r="EC21" s="2">
        <v>3886.0250000000001</v>
      </c>
      <c r="ED21" s="2">
        <v>3910.85</v>
      </c>
      <c r="EE21" s="2">
        <v>3935.1</v>
      </c>
      <c r="EF21" s="2">
        <v>3958.5</v>
      </c>
      <c r="EG21" s="2">
        <v>3981.375</v>
      </c>
      <c r="EH21" s="2">
        <v>4003.55</v>
      </c>
      <c r="EI21" s="2">
        <v>4024.9</v>
      </c>
      <c r="EJ21" s="2">
        <v>4045.65</v>
      </c>
      <c r="EK21" s="2">
        <v>4065.4</v>
      </c>
      <c r="EL21" s="2">
        <v>4084.1</v>
      </c>
      <c r="EM21" s="2">
        <v>4103.2749999999996</v>
      </c>
      <c r="EN21" s="2">
        <v>4123.2</v>
      </c>
      <c r="EO21" s="2">
        <v>4143.8500000000004</v>
      </c>
      <c r="EP21" s="2">
        <v>4164.5749999999998</v>
      </c>
      <c r="EQ21" s="2">
        <v>4185.45</v>
      </c>
      <c r="ER21" s="2">
        <v>4206</v>
      </c>
      <c r="ES21" s="2">
        <v>4225.95</v>
      </c>
      <c r="ET21" s="2">
        <v>4244.9250000000002</v>
      </c>
      <c r="EU21" s="2">
        <v>4262.55</v>
      </c>
      <c r="EV21" s="2">
        <v>4279.125</v>
      </c>
      <c r="EW21" s="2">
        <v>4294.75</v>
      </c>
      <c r="EX21" s="2">
        <v>4309.875</v>
      </c>
      <c r="EY21" s="2">
        <v>4325.0749999999998</v>
      </c>
      <c r="EZ21" s="2">
        <v>4340.55</v>
      </c>
      <c r="FA21" s="2">
        <v>4356.625</v>
      </c>
      <c r="FB21" s="2">
        <v>4373.125</v>
      </c>
      <c r="FC21" s="2">
        <v>4390.125</v>
      </c>
      <c r="FD21" s="2">
        <v>4407.625</v>
      </c>
      <c r="FE21" s="2">
        <v>4425.6499999999996</v>
      </c>
      <c r="FF21" s="2">
        <v>4444.0749999999998</v>
      </c>
      <c r="FG21" s="2">
        <v>4462.875</v>
      </c>
      <c r="FH21" s="2">
        <v>4482.2250000000004</v>
      </c>
      <c r="FI21" s="2">
        <v>4501.95</v>
      </c>
      <c r="FJ21" s="2">
        <v>4522</v>
      </c>
      <c r="FK21" s="2">
        <v>4542.55</v>
      </c>
      <c r="FL21" s="2">
        <v>4563.375</v>
      </c>
      <c r="FM21" s="2">
        <v>4584.3999999999996</v>
      </c>
      <c r="FN21" s="2">
        <v>4605.7250000000004</v>
      </c>
      <c r="FO21" s="2">
        <v>4627.3500000000004</v>
      </c>
      <c r="FP21" s="2">
        <v>4649.2749999999996</v>
      </c>
      <c r="FQ21" s="2">
        <v>4671.7</v>
      </c>
      <c r="FR21" s="2">
        <v>4694.4250000000002</v>
      </c>
      <c r="FS21" s="2">
        <v>4717.45</v>
      </c>
      <c r="FT21" s="2">
        <v>4740.75</v>
      </c>
      <c r="FU21" s="2">
        <v>4764.2</v>
      </c>
      <c r="FV21" s="2">
        <v>4787.75</v>
      </c>
      <c r="FW21" s="2">
        <v>4811.3</v>
      </c>
      <c r="FX21" s="2">
        <v>4834.9250000000002</v>
      </c>
      <c r="FY21" s="2">
        <v>4858.5249999999996</v>
      </c>
      <c r="FZ21" s="2">
        <v>4882.0249999999996</v>
      </c>
      <c r="GA21" s="2">
        <v>4905.55</v>
      </c>
      <c r="GB21" s="2">
        <v>4929.2749999999996</v>
      </c>
      <c r="GC21" s="2">
        <v>4953.625</v>
      </c>
      <c r="GD21" s="2">
        <v>4978.5749999999998</v>
      </c>
      <c r="GE21" s="2">
        <v>5004.125</v>
      </c>
      <c r="GF21" s="2">
        <v>5030.4250000000002</v>
      </c>
      <c r="GG21" s="2">
        <v>5057.0249999999996</v>
      </c>
      <c r="GH21" s="2">
        <v>5083.7749999999996</v>
      </c>
      <c r="GI21" s="2">
        <v>5110.75</v>
      </c>
      <c r="GJ21" s="2">
        <v>5137.7749999999996</v>
      </c>
      <c r="GK21" s="2">
        <v>5164.75</v>
      </c>
      <c r="GL21" s="2">
        <v>5191</v>
      </c>
      <c r="GM21" s="2">
        <v>5216.8249999999998</v>
      </c>
      <c r="GN21" s="2">
        <v>5242.6000000000004</v>
      </c>
      <c r="GO21" s="2">
        <v>5267.95</v>
      </c>
      <c r="GP21" s="2">
        <v>5293.5749999999998</v>
      </c>
      <c r="GQ21" s="2">
        <v>5319.4250000000002</v>
      </c>
      <c r="GR21" s="2">
        <v>5345.7250000000004</v>
      </c>
      <c r="GS21" s="2">
        <v>5373.25</v>
      </c>
      <c r="GT21" s="2">
        <v>5401.5249999999996</v>
      </c>
      <c r="GU21" s="2">
        <v>5430.5</v>
      </c>
      <c r="GV21" s="2">
        <v>5460.15</v>
      </c>
      <c r="GW21" s="2">
        <v>5490.375</v>
      </c>
      <c r="GX21" s="2">
        <v>5521.2250000000004</v>
      </c>
      <c r="GY21" s="2">
        <v>5552.05</v>
      </c>
      <c r="GZ21" s="2">
        <v>5583.2749999999996</v>
      </c>
      <c r="HA21" s="2">
        <v>5614.9250000000002</v>
      </c>
      <c r="HB21" s="2">
        <v>5647.05</v>
      </c>
      <c r="HC21" s="2">
        <v>5679.5249999999996</v>
      </c>
      <c r="HD21" s="2">
        <v>5712.4750000000004</v>
      </c>
      <c r="HE21" s="2">
        <v>5745.3249999999998</v>
      </c>
      <c r="HF21" s="2">
        <v>5778.3249999999998</v>
      </c>
      <c r="HG21" s="3">
        <v>5817.2219999999998</v>
      </c>
      <c r="HH21" s="3">
        <v>5855.9340000000002</v>
      </c>
      <c r="HI21" s="3">
        <v>5894.424</v>
      </c>
      <c r="HJ21" s="3">
        <v>5932.1970000000001</v>
      </c>
      <c r="HK21" s="3">
        <v>5969.5460000000003</v>
      </c>
      <c r="HL21" s="3">
        <v>6006.643</v>
      </c>
      <c r="HM21" s="3">
        <v>6043.7290000000003</v>
      </c>
      <c r="HN21" s="3">
        <v>6080.826</v>
      </c>
      <c r="HO21" s="3">
        <v>6117.7539999999999</v>
      </c>
      <c r="HP21" s="3">
        <v>6154.7629999999999</v>
      </c>
      <c r="HQ21" s="3">
        <v>6191.7510000000002</v>
      </c>
      <c r="HR21" s="3">
        <v>6228.8270000000002</v>
      </c>
      <c r="HS21" s="3">
        <v>6265.7929999999997</v>
      </c>
      <c r="HT21" s="3">
        <v>6302.7139999999999</v>
      </c>
      <c r="HU21" s="3">
        <v>6339.5919999999996</v>
      </c>
      <c r="HV21" s="3">
        <v>6376.3680000000004</v>
      </c>
      <c r="HW21" s="3">
        <v>6412.8689999999997</v>
      </c>
      <c r="HX21" s="3">
        <v>6448.8559999999998</v>
      </c>
      <c r="HY21" s="3">
        <v>6484.1049999999996</v>
      </c>
      <c r="HZ21" s="3">
        <v>6518.8</v>
      </c>
      <c r="IA21" s="3">
        <v>6552.9059999999999</v>
      </c>
      <c r="IB21" s="3">
        <v>6586.3190000000004</v>
      </c>
      <c r="IC21" s="3">
        <v>6619.8289999999997</v>
      </c>
      <c r="ID21" s="3">
        <v>6653.0780000000004</v>
      </c>
      <c r="IE21" s="3">
        <v>6685.799</v>
      </c>
      <c r="IF21" s="3">
        <v>6718.6750000000002</v>
      </c>
      <c r="IG21" s="3">
        <v>6751.6859999999997</v>
      </c>
      <c r="IH21" s="3">
        <v>6784.4480000000003</v>
      </c>
      <c r="II21" s="3">
        <v>6817.04</v>
      </c>
      <c r="IJ21" s="3">
        <v>6849.7749999999996</v>
      </c>
      <c r="IK21" s="3">
        <v>6882.0680000000002</v>
      </c>
      <c r="IL21" s="3">
        <v>6914.607</v>
      </c>
      <c r="IM21" s="3">
        <v>6947.0950000000003</v>
      </c>
      <c r="IN21" s="3">
        <v>6979.6059999999998</v>
      </c>
      <c r="IO21" s="3">
        <v>7012.0860000000002</v>
      </c>
      <c r="IP21" s="3">
        <v>7044.7460000000001</v>
      </c>
      <c r="IQ21" s="3">
        <v>7077.2049999999999</v>
      </c>
      <c r="IR21" s="3">
        <v>7109.7820000000002</v>
      </c>
      <c r="IS21" s="3">
        <v>7142.3360000000002</v>
      </c>
      <c r="IT21" s="3">
        <v>7174.7849999999999</v>
      </c>
      <c r="IU21" s="3">
        <v>7207.4480000000003</v>
      </c>
      <c r="IV21" s="3">
        <v>7240.107</v>
      </c>
      <c r="IW21" s="3">
        <v>7272.741</v>
      </c>
      <c r="IX21" s="3">
        <v>7305.723</v>
      </c>
      <c r="IY21" s="3">
        <v>7338.5209999999997</v>
      </c>
      <c r="IZ21" s="3">
        <v>7371.4740000000002</v>
      </c>
      <c r="JA21" s="3">
        <v>7404.3509999999997</v>
      </c>
      <c r="JB21" s="3">
        <v>7437.3559999999998</v>
      </c>
      <c r="JC21" s="3">
        <v>7470.299</v>
      </c>
      <c r="JD21" s="3">
        <v>7503.277</v>
      </c>
      <c r="JE21" s="3">
        <v>7536.5720000000001</v>
      </c>
      <c r="JF21" s="3">
        <v>7569.5940000000001</v>
      </c>
      <c r="JG21" s="3">
        <v>7602.741</v>
      </c>
      <c r="JH21" s="3">
        <v>7635.85</v>
      </c>
      <c r="JI21" s="3">
        <v>7669.1909999999998</v>
      </c>
      <c r="JJ21" s="3">
        <v>7702.5649999999996</v>
      </c>
      <c r="JK21" s="3">
        <v>7736.03</v>
      </c>
      <c r="JL21" s="3">
        <v>7769.6059999999998</v>
      </c>
      <c r="JM21" s="3">
        <v>7802.9040000000005</v>
      </c>
      <c r="JN21" s="3">
        <v>7836.6279999999997</v>
      </c>
      <c r="JO21" s="3">
        <v>7870.3389999999999</v>
      </c>
      <c r="JP21" s="3">
        <v>7904.0140000000001</v>
      </c>
      <c r="JQ21" s="3">
        <v>7937.7650000000003</v>
      </c>
      <c r="JR21" s="3">
        <v>7971.6319999999996</v>
      </c>
      <c r="JS21" s="3">
        <v>8005.5820000000003</v>
      </c>
      <c r="JT21" s="3">
        <v>8039.58</v>
      </c>
      <c r="JU21" s="3">
        <v>8073.7250000000004</v>
      </c>
      <c r="JV21" s="3">
        <v>8107.9380000000001</v>
      </c>
      <c r="JW21" s="3">
        <v>8142.183</v>
      </c>
      <c r="JX21" s="3">
        <v>8176.5529999999999</v>
      </c>
      <c r="JY21" s="3">
        <v>8210.9509999999991</v>
      </c>
      <c r="JZ21" s="3">
        <v>8245.4380000000001</v>
      </c>
      <c r="KA21" s="3">
        <v>8280.1669999999995</v>
      </c>
      <c r="KB21" s="3">
        <v>8315.0400000000009</v>
      </c>
      <c r="KC21" s="3">
        <v>8349.8379999999997</v>
      </c>
      <c r="KD21" s="3">
        <v>8384.89</v>
      </c>
      <c r="KE21" s="3">
        <v>8420.0130000000008</v>
      </c>
      <c r="KF21" s="3">
        <v>8455.152</v>
      </c>
      <c r="KG21" s="3">
        <v>8490.3520000000008</v>
      </c>
      <c r="KH21" s="3">
        <v>8525.7510000000002</v>
      </c>
      <c r="KI21" s="3">
        <v>8561.0409999999993</v>
      </c>
      <c r="KJ21" s="3">
        <v>8596.5069999999996</v>
      </c>
      <c r="KK21" s="3">
        <v>8631.9189999999999</v>
      </c>
      <c r="KL21" s="3">
        <v>8667.5059999999994</v>
      </c>
      <c r="KM21" s="3">
        <v>8703.2129999999997</v>
      </c>
      <c r="KN21" s="3">
        <v>8738.9050000000007</v>
      </c>
      <c r="KO21" s="3">
        <v>8774.6669999999995</v>
      </c>
      <c r="KP21" s="3">
        <v>8810.6769999999997</v>
      </c>
      <c r="KQ21" s="3">
        <v>8846.6309999999994</v>
      </c>
      <c r="KR21" s="3">
        <v>8882.6170000000002</v>
      </c>
      <c r="KS21" s="3">
        <v>8918.7520000000004</v>
      </c>
      <c r="KT21" s="3">
        <v>8954.9130000000005</v>
      </c>
      <c r="KU21" s="3">
        <v>8991.1219999999994</v>
      </c>
      <c r="KV21" s="3">
        <v>9027.6489999999994</v>
      </c>
      <c r="KW21" s="3">
        <v>9063.8610000000008</v>
      </c>
      <c r="KX21" s="3">
        <v>9100.5650000000005</v>
      </c>
      <c r="KY21" s="3">
        <v>9137.1949999999997</v>
      </c>
      <c r="KZ21" s="3">
        <v>9173.5779999999995</v>
      </c>
      <c r="LA21" s="3">
        <v>9210.3430000000008</v>
      </c>
      <c r="LB21" s="3">
        <v>9247.0120000000006</v>
      </c>
      <c r="LC21" s="3">
        <v>9284.0519999999997</v>
      </c>
      <c r="LD21" s="3">
        <v>9320.982</v>
      </c>
      <c r="LE21" s="3">
        <v>9357.8629999999994</v>
      </c>
      <c r="LF21" s="3">
        <v>9395.0640000000003</v>
      </c>
      <c r="LG21" s="3">
        <v>9432.2759999999998</v>
      </c>
      <c r="LH21" s="3">
        <v>9469.6360000000004</v>
      </c>
      <c r="LI21" s="3">
        <v>9507.152</v>
      </c>
      <c r="LJ21" s="3">
        <v>9544.7270000000008</v>
      </c>
      <c r="LK21" s="3">
        <v>9582.5400000000009</v>
      </c>
      <c r="LL21" s="3">
        <v>9620.4120000000003</v>
      </c>
      <c r="LM21" s="3">
        <v>9658.4249999999993</v>
      </c>
      <c r="LN21" s="3">
        <v>9696.56</v>
      </c>
      <c r="LO21" s="3">
        <v>9734.8169999999991</v>
      </c>
      <c r="LP21" s="3">
        <v>9773.1980000000003</v>
      </c>
      <c r="LQ21" s="3">
        <v>9811.7489999999998</v>
      </c>
      <c r="LR21" s="3">
        <v>9850.4699999999993</v>
      </c>
      <c r="LS21" s="3">
        <v>9889.2309999999998</v>
      </c>
      <c r="LT21" s="3">
        <v>9928.0879999999997</v>
      </c>
      <c r="LU21" s="3">
        <v>9967.1740000000009</v>
      </c>
      <c r="LV21" s="3">
        <v>10006.36</v>
      </c>
      <c r="LW21" s="3">
        <v>10045.65</v>
      </c>
      <c r="LX21" s="3">
        <v>10085.129999999999</v>
      </c>
      <c r="LY21" s="3">
        <v>10124.75</v>
      </c>
      <c r="LZ21" s="3">
        <v>10164.36</v>
      </c>
      <c r="MA21" s="3">
        <v>10204.27</v>
      </c>
      <c r="MB21" s="3">
        <v>10244.18</v>
      </c>
      <c r="MC21" s="3">
        <v>10284.33</v>
      </c>
      <c r="MD21" s="3">
        <v>10324.65</v>
      </c>
      <c r="ME21" s="3">
        <v>10364.969999999999</v>
      </c>
      <c r="MF21" s="3">
        <v>10405.5</v>
      </c>
      <c r="MG21" s="3">
        <v>10446.25</v>
      </c>
      <c r="MH21" s="3">
        <v>10487.09</v>
      </c>
      <c r="MI21" s="3">
        <v>10528.15</v>
      </c>
      <c r="MJ21" s="3">
        <v>10569.24</v>
      </c>
      <c r="MK21" s="3">
        <v>10610.59</v>
      </c>
      <c r="ML21" s="3">
        <v>10652.01</v>
      </c>
      <c r="MM21" s="3">
        <v>10693.69</v>
      </c>
      <c r="MN21" s="3">
        <v>10735.41</v>
      </c>
      <c r="MO21" s="3">
        <v>10777.27</v>
      </c>
      <c r="MP21" s="3">
        <v>10819.39</v>
      </c>
      <c r="MQ21" s="3">
        <v>10861.57</v>
      </c>
      <c r="MR21" s="3">
        <v>10903.91</v>
      </c>
      <c r="MS21" s="3">
        <v>10946.44</v>
      </c>
      <c r="MT21" s="3">
        <v>10989.04</v>
      </c>
      <c r="MU21" t="s">
        <v>460</v>
      </c>
      <c r="MV21" t="b">
        <v>1</v>
      </c>
      <c r="MW21" s="1" t="s">
        <v>386</v>
      </c>
      <c r="MX21" t="s">
        <v>377</v>
      </c>
      <c r="MY21">
        <v>2024</v>
      </c>
      <c r="MZ21">
        <v>4</v>
      </c>
      <c r="NA21" t="s">
        <v>377</v>
      </c>
      <c r="NB21" s="1" t="s">
        <v>461</v>
      </c>
      <c r="NC21" s="1" t="s">
        <v>462</v>
      </c>
      <c r="ND21" t="s">
        <v>389</v>
      </c>
      <c r="NE21" t="s">
        <v>459</v>
      </c>
      <c r="NF21" s="1" t="s">
        <v>455</v>
      </c>
    </row>
    <row r="22" spans="1:370" x14ac:dyDescent="0.25">
      <c r="A22" t="s">
        <v>370</v>
      </c>
      <c r="B22" t="s">
        <v>463</v>
      </c>
      <c r="C22" s="1" t="s">
        <v>454</v>
      </c>
      <c r="D22" t="s">
        <v>464</v>
      </c>
      <c r="E22" t="s">
        <v>465</v>
      </c>
      <c r="F22" t="s">
        <v>374</v>
      </c>
      <c r="G22" s="2">
        <v>24868.799999999999</v>
      </c>
      <c r="H22" s="2">
        <v>24915.84</v>
      </c>
      <c r="I22" s="2">
        <v>24863.040000000001</v>
      </c>
      <c r="J22" s="2">
        <v>24851.52</v>
      </c>
      <c r="K22" s="2">
        <v>24870.720000000001</v>
      </c>
      <c r="L22" s="2">
        <v>24901.439999999999</v>
      </c>
      <c r="M22" s="2">
        <v>24983.040000000001</v>
      </c>
      <c r="N22" s="2">
        <v>24999.360000000001</v>
      </c>
      <c r="O22" s="2">
        <v>24931.95</v>
      </c>
      <c r="P22" s="2">
        <v>24933.439999999999</v>
      </c>
      <c r="Q22" s="2">
        <v>24936.61</v>
      </c>
      <c r="R22" s="2">
        <v>24926.22</v>
      </c>
      <c r="S22" s="2">
        <v>24878.6</v>
      </c>
      <c r="T22" s="2">
        <v>24856.21</v>
      </c>
      <c r="U22" s="2">
        <v>24835.7</v>
      </c>
      <c r="V22" s="2">
        <v>24830.34</v>
      </c>
      <c r="W22" s="2">
        <v>24822.09</v>
      </c>
      <c r="X22" s="2">
        <v>24810.03</v>
      </c>
      <c r="Y22" s="2">
        <v>24802.79</v>
      </c>
      <c r="Z22" s="2">
        <v>24768.06</v>
      </c>
      <c r="AA22" s="2">
        <v>24729.5</v>
      </c>
      <c r="AB22" s="2">
        <v>24699.32</v>
      </c>
      <c r="AC22" s="2">
        <v>24680.26</v>
      </c>
      <c r="AD22" s="2">
        <v>24705.84</v>
      </c>
      <c r="AE22" s="2">
        <v>24702.22</v>
      </c>
      <c r="AF22" s="2">
        <v>24677.96</v>
      </c>
      <c r="AG22" s="2">
        <v>24712.89</v>
      </c>
      <c r="AH22" s="2">
        <v>24744.68</v>
      </c>
      <c r="AI22" s="2">
        <v>24743.78</v>
      </c>
      <c r="AJ22" s="2">
        <v>24765.69</v>
      </c>
      <c r="AK22" s="2">
        <v>24771.64</v>
      </c>
      <c r="AL22" s="2">
        <v>24781.01</v>
      </c>
      <c r="AM22" s="2">
        <v>24763.56</v>
      </c>
      <c r="AN22" s="2">
        <v>24726.78</v>
      </c>
      <c r="AO22" s="2">
        <v>24632.53</v>
      </c>
      <c r="AP22" s="2">
        <v>24515.73</v>
      </c>
      <c r="AQ22" s="2">
        <v>24419.16</v>
      </c>
      <c r="AR22" s="2">
        <v>24342.41</v>
      </c>
      <c r="AS22" s="2">
        <v>24252.19</v>
      </c>
      <c r="AT22" s="2">
        <v>24177.07</v>
      </c>
      <c r="AU22" s="2">
        <v>24117.35</v>
      </c>
      <c r="AV22" s="2">
        <v>24159.88</v>
      </c>
      <c r="AW22" s="2">
        <v>24360.79</v>
      </c>
      <c r="AX22" s="2">
        <v>24580.71</v>
      </c>
      <c r="AY22" s="2">
        <v>24768.04</v>
      </c>
      <c r="AZ22" s="2">
        <v>24896.55</v>
      </c>
      <c r="BA22" s="2">
        <v>24953.56</v>
      </c>
      <c r="BB22" s="2">
        <v>25025.06</v>
      </c>
      <c r="BC22" s="2">
        <v>25063.97</v>
      </c>
      <c r="BD22" s="2">
        <v>25088.41</v>
      </c>
      <c r="BE22" s="2">
        <v>25124.61</v>
      </c>
      <c r="BF22" s="2">
        <v>25154.47</v>
      </c>
      <c r="BG22" s="2">
        <v>25177.1</v>
      </c>
      <c r="BH22" s="2">
        <v>25207.87</v>
      </c>
      <c r="BI22" s="2">
        <v>25292.04</v>
      </c>
      <c r="BJ22" s="2">
        <v>25345.43</v>
      </c>
      <c r="BK22" s="2">
        <v>25374.39</v>
      </c>
      <c r="BL22" s="2">
        <v>25458.55</v>
      </c>
      <c r="BM22" s="2">
        <v>25548.15</v>
      </c>
      <c r="BN22" s="2">
        <v>25625.98</v>
      </c>
      <c r="BO22" s="2">
        <v>25709.24</v>
      </c>
      <c r="BP22" s="2">
        <v>25756.3</v>
      </c>
      <c r="BQ22" s="2">
        <v>25833.22</v>
      </c>
      <c r="BR22" s="2">
        <v>25926.44</v>
      </c>
      <c r="BS22" s="2">
        <v>26035.95</v>
      </c>
      <c r="BT22" s="2">
        <v>26075.77</v>
      </c>
      <c r="BU22" s="2">
        <v>26100.2</v>
      </c>
      <c r="BV22" s="2">
        <v>26155.4</v>
      </c>
      <c r="BW22" s="2">
        <v>26158.12</v>
      </c>
      <c r="BX22" s="2">
        <v>26187.98</v>
      </c>
      <c r="BY22" s="2">
        <v>26198.85</v>
      </c>
      <c r="BZ22" s="2">
        <v>26161.74</v>
      </c>
      <c r="CA22" s="2">
        <v>26096.58</v>
      </c>
      <c r="CB22" s="2">
        <v>26034.13</v>
      </c>
      <c r="CC22" s="2">
        <v>25927.35</v>
      </c>
      <c r="CD22" s="2">
        <v>25807.88</v>
      </c>
      <c r="CE22" s="2">
        <v>25767.16</v>
      </c>
      <c r="CF22" s="2">
        <v>25685.71</v>
      </c>
      <c r="CG22" s="2">
        <v>25633.22</v>
      </c>
      <c r="CH22" s="2">
        <v>25582.54</v>
      </c>
      <c r="CI22" s="2">
        <v>25598.83</v>
      </c>
      <c r="CJ22" s="2">
        <v>25542.720000000001</v>
      </c>
      <c r="CK22" s="2">
        <v>25554.639999999999</v>
      </c>
      <c r="CL22" s="2">
        <v>25588.28</v>
      </c>
      <c r="CM22" s="2">
        <v>25618.31</v>
      </c>
      <c r="CN22" s="2">
        <v>25621.98</v>
      </c>
      <c r="CO22" s="2">
        <v>25660.18</v>
      </c>
      <c r="CP22" s="2">
        <v>25618.23</v>
      </c>
      <c r="CQ22" s="2">
        <v>25688.3</v>
      </c>
      <c r="CR22" s="2">
        <v>25760.29</v>
      </c>
      <c r="CS22" s="2">
        <v>25865.29</v>
      </c>
      <c r="CT22" s="2">
        <v>25926.53</v>
      </c>
      <c r="CU22" s="2">
        <v>25951.1</v>
      </c>
      <c r="CV22" s="2">
        <v>26052.73</v>
      </c>
      <c r="CW22" s="2">
        <v>26107.59</v>
      </c>
      <c r="CX22" s="2">
        <v>26238.12</v>
      </c>
      <c r="CY22" s="2">
        <v>26331.05</v>
      </c>
      <c r="CZ22" s="2">
        <v>26479.759999999998</v>
      </c>
      <c r="DA22" s="2">
        <v>26497.87</v>
      </c>
      <c r="DB22" s="2">
        <v>26533.5</v>
      </c>
      <c r="DC22" s="2">
        <v>26581.17</v>
      </c>
      <c r="DD22" s="2">
        <v>26652.18</v>
      </c>
      <c r="DE22" s="2">
        <v>26816.94</v>
      </c>
      <c r="DF22" s="2">
        <v>26967.14</v>
      </c>
      <c r="DG22" s="2">
        <v>27115.86</v>
      </c>
      <c r="DH22" s="2">
        <v>27165.4</v>
      </c>
      <c r="DI22" s="2">
        <v>27271.56</v>
      </c>
      <c r="DJ22" s="2">
        <v>27381.66</v>
      </c>
      <c r="DK22" s="2">
        <v>27446.58</v>
      </c>
      <c r="DL22" s="2">
        <v>27497.38</v>
      </c>
      <c r="DM22" s="2">
        <v>27560.54</v>
      </c>
      <c r="DN22" s="2">
        <v>27557.41</v>
      </c>
      <c r="DO22" s="2">
        <v>27619.7</v>
      </c>
      <c r="DP22" s="2">
        <v>27716.25</v>
      </c>
      <c r="DQ22" s="2">
        <v>27741.9</v>
      </c>
      <c r="DR22" s="2">
        <v>27856.85</v>
      </c>
      <c r="DS22" s="2">
        <v>27846.400000000001</v>
      </c>
      <c r="DT22" s="2">
        <v>27980.35</v>
      </c>
      <c r="DU22" s="2">
        <v>28025.95</v>
      </c>
      <c r="DV22" s="2">
        <v>28144.7</v>
      </c>
      <c r="DW22" s="2">
        <v>28148.5</v>
      </c>
      <c r="DX22" s="2">
        <v>28208.35</v>
      </c>
      <c r="DY22" s="2">
        <v>28270.1</v>
      </c>
      <c r="DZ22" s="2">
        <v>28272.95</v>
      </c>
      <c r="EA22" s="2">
        <v>28398.35</v>
      </c>
      <c r="EB22" s="2">
        <v>28411.65</v>
      </c>
      <c r="EC22" s="2">
        <v>28423.05</v>
      </c>
      <c r="ED22" s="2">
        <v>28591.200000000001</v>
      </c>
      <c r="EE22" s="2">
        <v>28694.75</v>
      </c>
      <c r="EF22" s="2">
        <v>28727.05</v>
      </c>
      <c r="EG22" s="2">
        <v>28846.75</v>
      </c>
      <c r="EH22" s="2">
        <v>28924.65</v>
      </c>
      <c r="EI22" s="2">
        <v>29119.4</v>
      </c>
      <c r="EJ22" s="2">
        <v>29251.45</v>
      </c>
      <c r="EK22" s="2">
        <v>29332.2</v>
      </c>
      <c r="EL22" s="2">
        <v>29369.25</v>
      </c>
      <c r="EM22" s="2">
        <v>29353.1</v>
      </c>
      <c r="EN22" s="2">
        <v>29431</v>
      </c>
      <c r="EO22" s="2">
        <v>29516.5</v>
      </c>
      <c r="EP22" s="2">
        <v>29624.799999999999</v>
      </c>
      <c r="EQ22" s="2">
        <v>29740.7</v>
      </c>
      <c r="ER22" s="2">
        <v>29831.9</v>
      </c>
      <c r="ES22" s="2">
        <v>29849</v>
      </c>
      <c r="ET22" s="2">
        <v>29954.45</v>
      </c>
      <c r="EU22" s="2">
        <v>30020.95</v>
      </c>
      <c r="EV22" s="2">
        <v>29958.25</v>
      </c>
      <c r="EW22" s="2">
        <v>29966.799999999999</v>
      </c>
      <c r="EX22" s="2">
        <v>29977.25</v>
      </c>
      <c r="EY22" s="2">
        <v>29946.28</v>
      </c>
      <c r="EZ22" s="2">
        <v>30064.32</v>
      </c>
      <c r="FA22" s="2">
        <v>30214.47</v>
      </c>
      <c r="FB22" s="2">
        <v>30172</v>
      </c>
      <c r="FC22" s="2">
        <v>30247.99</v>
      </c>
      <c r="FD22" s="2">
        <v>30291.69</v>
      </c>
      <c r="FE22" s="2">
        <v>30251.91</v>
      </c>
      <c r="FF22" s="2">
        <v>30341.88</v>
      </c>
      <c r="FG22" s="2">
        <v>30401.54</v>
      </c>
      <c r="FH22" s="2">
        <v>30554.01</v>
      </c>
      <c r="FI22" s="2">
        <v>30611.78</v>
      </c>
      <c r="FJ22" s="2">
        <v>30757.61</v>
      </c>
      <c r="FK22" s="2">
        <v>30705.53</v>
      </c>
      <c r="FL22" s="2">
        <v>30782.23</v>
      </c>
      <c r="FM22" s="2">
        <v>30915.759999999998</v>
      </c>
      <c r="FN22" s="2">
        <v>30974.48</v>
      </c>
      <c r="FO22" s="2">
        <v>31068.23</v>
      </c>
      <c r="FP22" s="2">
        <v>31091.9</v>
      </c>
      <c r="FQ22" s="2">
        <v>31135.8</v>
      </c>
      <c r="FR22" s="2">
        <v>31168.34</v>
      </c>
      <c r="FS22" s="2">
        <v>31358.76</v>
      </c>
      <c r="FT22" s="2">
        <v>31367.1</v>
      </c>
      <c r="FU22" s="2">
        <v>31511.93</v>
      </c>
      <c r="FV22" s="2">
        <v>31658.79</v>
      </c>
      <c r="FW22" s="2">
        <v>31707.79</v>
      </c>
      <c r="FX22" s="2">
        <v>31852.02</v>
      </c>
      <c r="FY22" s="2">
        <v>31905.89</v>
      </c>
      <c r="FZ22" s="2">
        <v>31926.45</v>
      </c>
      <c r="GA22" s="2">
        <v>31987.06</v>
      </c>
      <c r="GB22" s="2">
        <v>32079.200000000001</v>
      </c>
      <c r="GC22" s="2">
        <v>32038.75</v>
      </c>
      <c r="GD22" s="2">
        <v>32172.99</v>
      </c>
      <c r="GE22" s="2">
        <v>32326.48</v>
      </c>
      <c r="GF22" s="2">
        <v>32330.01</v>
      </c>
      <c r="GG22" s="2">
        <v>32396.79</v>
      </c>
      <c r="GH22" s="2">
        <v>32557.35</v>
      </c>
      <c r="GI22" s="2">
        <v>32606.04</v>
      </c>
      <c r="GJ22" s="2">
        <v>32820.32</v>
      </c>
      <c r="GK22" s="2">
        <v>32758.05</v>
      </c>
      <c r="GL22" s="2">
        <v>32880.550000000003</v>
      </c>
      <c r="GM22" s="2">
        <v>32925.550000000003</v>
      </c>
      <c r="GN22" s="2">
        <v>32577.98</v>
      </c>
      <c r="GO22" s="2">
        <v>32598.09</v>
      </c>
      <c r="GP22" s="2">
        <v>32611.49</v>
      </c>
      <c r="GQ22" s="2">
        <v>32536.81</v>
      </c>
      <c r="GR22" s="2">
        <v>32609.360000000001</v>
      </c>
      <c r="GS22" s="2">
        <v>32800.83</v>
      </c>
      <c r="GT22" s="2">
        <v>32757.52</v>
      </c>
      <c r="GU22" s="2">
        <v>32684.639999999999</v>
      </c>
      <c r="GV22" s="2">
        <v>32893.699999999997</v>
      </c>
      <c r="GW22" s="2">
        <v>32793.96</v>
      </c>
      <c r="GX22" s="2">
        <v>33052.89</v>
      </c>
      <c r="GY22" s="2">
        <v>33290.730000000003</v>
      </c>
      <c r="GZ22" s="2">
        <v>33394.300000000003</v>
      </c>
      <c r="HA22" s="2">
        <v>33352.1</v>
      </c>
      <c r="HB22" s="2">
        <v>33294.559999999998</v>
      </c>
      <c r="HC22" s="3">
        <v>33419.230000000003</v>
      </c>
      <c r="HD22" s="3">
        <v>33522.800000000003</v>
      </c>
      <c r="HE22" s="3">
        <v>33835.440000000002</v>
      </c>
      <c r="HF22" s="3">
        <v>33962.980000000003</v>
      </c>
      <c r="HG22" s="3">
        <v>34010.44</v>
      </c>
      <c r="HH22" s="3">
        <v>34078.46</v>
      </c>
      <c r="HI22" s="3">
        <v>34150.019999999997</v>
      </c>
      <c r="HJ22" s="3">
        <v>34225.15</v>
      </c>
      <c r="HK22" s="3">
        <v>34312.800000000003</v>
      </c>
      <c r="HL22" s="3">
        <v>34400.699999999997</v>
      </c>
      <c r="HM22" s="3">
        <v>34488.800000000003</v>
      </c>
      <c r="HN22" s="3">
        <v>34580.57</v>
      </c>
      <c r="HO22" s="3">
        <v>34667.019999999997</v>
      </c>
      <c r="HP22" s="3">
        <v>34757.160000000003</v>
      </c>
      <c r="HQ22" s="3">
        <v>34852.43</v>
      </c>
      <c r="HR22" s="3">
        <v>34950.019999999997</v>
      </c>
      <c r="HS22" s="3">
        <v>35047.879999999997</v>
      </c>
      <c r="HT22" s="3">
        <v>35142.51</v>
      </c>
      <c r="HU22" s="3">
        <v>35230.36</v>
      </c>
      <c r="HV22" s="3">
        <v>35314.910000000003</v>
      </c>
      <c r="HW22" s="3">
        <v>35396.14</v>
      </c>
      <c r="HX22" s="3">
        <v>35474</v>
      </c>
      <c r="HY22" s="3">
        <v>35549.39</v>
      </c>
      <c r="HZ22" s="3">
        <v>35622.269999999997</v>
      </c>
      <c r="IA22" s="3">
        <v>35693.519999999997</v>
      </c>
      <c r="IB22" s="3">
        <v>35764.9</v>
      </c>
      <c r="IC22" s="3">
        <v>35836.43</v>
      </c>
      <c r="ID22" s="3">
        <v>35908.1</v>
      </c>
      <c r="IE22" s="3">
        <v>35976.32</v>
      </c>
      <c r="IF22" s="3">
        <v>36044.69</v>
      </c>
      <c r="IG22" s="3">
        <v>36113.18</v>
      </c>
      <c r="IH22" s="3">
        <v>36181.79</v>
      </c>
      <c r="II22" s="3">
        <v>36250.53</v>
      </c>
      <c r="IJ22" s="3">
        <v>36315.78</v>
      </c>
      <c r="IK22" s="3">
        <v>36381.15</v>
      </c>
      <c r="IL22" s="3">
        <v>36448.449999999997</v>
      </c>
      <c r="IM22" s="3">
        <v>36517.49</v>
      </c>
      <c r="IN22" s="3">
        <v>36577.129999999997</v>
      </c>
      <c r="IO22" s="3">
        <v>36636.61</v>
      </c>
      <c r="IP22" s="3">
        <v>36686.199999999997</v>
      </c>
      <c r="IQ22" s="3">
        <v>36739.39</v>
      </c>
      <c r="IR22" s="3">
        <v>36787.129999999997</v>
      </c>
      <c r="IS22" s="3">
        <v>36834.19</v>
      </c>
      <c r="IT22" s="3">
        <v>36877.269999999997</v>
      </c>
      <c r="IU22" s="3">
        <v>36923.019999999997</v>
      </c>
      <c r="IV22" s="3">
        <v>36968.769999999997</v>
      </c>
      <c r="IW22" s="3">
        <v>37014.53</v>
      </c>
      <c r="IX22" s="3">
        <v>37060.28</v>
      </c>
      <c r="IY22" s="3">
        <v>37106.019999999997</v>
      </c>
      <c r="IZ22" s="3">
        <v>37151.78</v>
      </c>
      <c r="JA22" s="3">
        <v>37197.53</v>
      </c>
      <c r="JB22" s="3">
        <v>37243.29</v>
      </c>
      <c r="JC22" s="3">
        <v>37289.040000000001</v>
      </c>
      <c r="JD22" s="3">
        <v>37334.79</v>
      </c>
      <c r="JE22" s="3">
        <v>37380.550000000003</v>
      </c>
      <c r="JF22" s="3">
        <v>37426.300000000003</v>
      </c>
      <c r="JG22" s="3">
        <v>37472.050000000003</v>
      </c>
      <c r="JH22" s="3">
        <v>37517.81</v>
      </c>
      <c r="JI22" s="3">
        <v>37563.56</v>
      </c>
      <c r="JJ22" s="3">
        <v>37609.32</v>
      </c>
      <c r="JK22" s="3">
        <v>37655.07</v>
      </c>
      <c r="JL22" s="3">
        <v>37700.82</v>
      </c>
      <c r="JM22" s="3">
        <v>37746.57</v>
      </c>
      <c r="JN22" s="3">
        <v>37792.32</v>
      </c>
      <c r="JO22" s="3">
        <v>37838.07</v>
      </c>
      <c r="JP22" s="3">
        <v>37883.83</v>
      </c>
      <c r="JQ22" s="3">
        <v>37929.58</v>
      </c>
      <c r="JR22" s="3">
        <v>37975.339999999997</v>
      </c>
      <c r="JS22" s="3">
        <v>38026.42</v>
      </c>
      <c r="JT22" s="3">
        <v>38077.51</v>
      </c>
      <c r="JU22" s="3">
        <v>38129.21</v>
      </c>
      <c r="JV22" s="3">
        <v>38180.93</v>
      </c>
      <c r="JW22" s="3">
        <v>38232.639999999999</v>
      </c>
      <c r="JX22" s="3">
        <v>38284.36</v>
      </c>
      <c r="JY22" s="3">
        <v>38331.129999999997</v>
      </c>
      <c r="JZ22" s="3">
        <v>38377.910000000003</v>
      </c>
      <c r="KA22" s="3">
        <v>38424.68</v>
      </c>
      <c r="KB22" s="3">
        <v>38471.46</v>
      </c>
      <c r="KC22" s="3">
        <v>38512.300000000003</v>
      </c>
      <c r="KD22" s="3">
        <v>38553.14</v>
      </c>
      <c r="KE22" s="3">
        <v>38593.97</v>
      </c>
      <c r="KF22" s="3">
        <v>38634.800000000003</v>
      </c>
      <c r="KG22" s="3">
        <v>38664.75</v>
      </c>
      <c r="KH22" s="3">
        <v>38694.68</v>
      </c>
      <c r="KI22" s="3">
        <v>38724.61</v>
      </c>
      <c r="KJ22" s="3">
        <v>38754.550000000003</v>
      </c>
      <c r="KK22" s="3">
        <v>38779.410000000003</v>
      </c>
      <c r="KL22" s="3">
        <v>38804.269999999997</v>
      </c>
      <c r="KM22" s="3">
        <v>38829.14</v>
      </c>
      <c r="KN22" s="3">
        <v>38853.99</v>
      </c>
      <c r="KO22" s="3">
        <v>38878.61</v>
      </c>
      <c r="KP22" s="3">
        <v>38903.21</v>
      </c>
      <c r="KQ22" s="3">
        <v>38927.82</v>
      </c>
      <c r="KR22" s="3">
        <v>38952.43</v>
      </c>
      <c r="KS22" s="3">
        <v>38973.46</v>
      </c>
      <c r="KT22" s="3">
        <v>38994.5</v>
      </c>
      <c r="KU22" s="3">
        <v>39015.54</v>
      </c>
      <c r="KV22" s="3">
        <v>39036.58</v>
      </c>
      <c r="KW22" s="3">
        <v>39056.11</v>
      </c>
      <c r="KX22" s="3">
        <v>39075.65</v>
      </c>
      <c r="KY22" s="3">
        <v>39095.18</v>
      </c>
      <c r="KZ22" s="3">
        <v>39114.720000000001</v>
      </c>
      <c r="LA22" s="3">
        <v>39129.53</v>
      </c>
      <c r="LB22" s="3">
        <v>39144.339999999997</v>
      </c>
      <c r="LC22" s="3">
        <v>39159.15</v>
      </c>
      <c r="LD22" s="3">
        <v>39173.96</v>
      </c>
      <c r="LE22" s="3">
        <v>39187.25</v>
      </c>
      <c r="LF22" s="3">
        <v>39200.54</v>
      </c>
      <c r="LG22" s="3">
        <v>39213.839999999997</v>
      </c>
      <c r="LH22" s="3">
        <v>39227.129999999997</v>
      </c>
      <c r="LI22" s="3">
        <v>39238.04</v>
      </c>
      <c r="LJ22" s="3">
        <v>39248.959999999999</v>
      </c>
      <c r="LK22" s="3">
        <v>39259.89</v>
      </c>
      <c r="LL22" s="3">
        <v>39270.800000000003</v>
      </c>
      <c r="LM22" s="3">
        <v>39276.980000000003</v>
      </c>
      <c r="LN22" s="3">
        <v>39283.160000000003</v>
      </c>
      <c r="LO22" s="3">
        <v>39289.339999999997</v>
      </c>
      <c r="LP22" s="3">
        <v>39295.51</v>
      </c>
      <c r="LQ22" s="3">
        <v>39301.58</v>
      </c>
      <c r="LR22" s="3">
        <v>39307.67</v>
      </c>
      <c r="LS22" s="3">
        <v>39313.75</v>
      </c>
      <c r="LT22" s="3">
        <v>39319.83</v>
      </c>
      <c r="LU22" s="3">
        <v>39323.879999999997</v>
      </c>
      <c r="LV22" s="3">
        <v>39327.910000000003</v>
      </c>
      <c r="LW22" s="3">
        <v>39331.96</v>
      </c>
      <c r="LX22" s="3">
        <v>39336</v>
      </c>
      <c r="LY22" s="3">
        <v>39338.11</v>
      </c>
      <c r="LZ22" s="3">
        <v>39340.22</v>
      </c>
      <c r="MA22" s="3">
        <v>39342.339999999997</v>
      </c>
      <c r="MB22" s="3">
        <v>39344.46</v>
      </c>
      <c r="MC22" s="3">
        <v>39346.44</v>
      </c>
      <c r="MD22" s="3">
        <v>39348.42</v>
      </c>
      <c r="ME22" s="3">
        <v>39350.410000000003</v>
      </c>
      <c r="MF22" s="3">
        <v>39352.39</v>
      </c>
      <c r="MG22" s="3">
        <v>39355.769999999997</v>
      </c>
      <c r="MH22" s="3">
        <v>39359.14</v>
      </c>
      <c r="MI22" s="3">
        <v>39362.519999999997</v>
      </c>
      <c r="MJ22" s="3">
        <v>39365.89</v>
      </c>
      <c r="MK22" s="3">
        <v>39368.04</v>
      </c>
      <c r="ML22" s="3">
        <v>39370.18</v>
      </c>
      <c r="MM22" s="3">
        <v>39372.32</v>
      </c>
      <c r="MN22" s="3">
        <v>39374.46</v>
      </c>
      <c r="MO22" s="3">
        <v>39377.879999999997</v>
      </c>
      <c r="MP22" s="3">
        <v>39381.31</v>
      </c>
      <c r="MQ22" s="3">
        <v>39384.730000000003</v>
      </c>
      <c r="MR22" s="3">
        <v>39388.15</v>
      </c>
      <c r="MS22" s="3">
        <v>39391.56</v>
      </c>
      <c r="MT22" s="3">
        <v>39394.99</v>
      </c>
      <c r="MU22" t="s">
        <v>457</v>
      </c>
      <c r="MV22" t="b">
        <v>0</v>
      </c>
      <c r="MW22" t="s">
        <v>377</v>
      </c>
      <c r="MX22" t="s">
        <v>377</v>
      </c>
      <c r="MY22">
        <v>2023</v>
      </c>
      <c r="MZ22">
        <v>4</v>
      </c>
      <c r="NA22" t="s">
        <v>377</v>
      </c>
      <c r="NB22" t="s">
        <v>457</v>
      </c>
      <c r="NC22" t="s">
        <v>377</v>
      </c>
      <c r="ND22" t="s">
        <v>380</v>
      </c>
      <c r="NE22" t="s">
        <v>466</v>
      </c>
      <c r="NF22" s="1" t="s">
        <v>455</v>
      </c>
    </row>
    <row r="23" spans="1:370" x14ac:dyDescent="0.25">
      <c r="A23" t="s">
        <v>382</v>
      </c>
      <c r="B23" t="s">
        <v>463</v>
      </c>
      <c r="C23" s="1" t="s">
        <v>454</v>
      </c>
      <c r="D23" t="s">
        <v>464</v>
      </c>
      <c r="E23" t="s">
        <v>465</v>
      </c>
      <c r="F23" t="s">
        <v>374</v>
      </c>
      <c r="G23" s="2">
        <v>84116.2</v>
      </c>
      <c r="H23" s="2">
        <v>85009.2</v>
      </c>
      <c r="I23" s="2">
        <v>85445.02</v>
      </c>
      <c r="J23" s="2">
        <v>86318.38</v>
      </c>
      <c r="K23" s="2">
        <v>87068.02</v>
      </c>
      <c r="L23" s="2">
        <v>87250.34</v>
      </c>
      <c r="M23" s="2">
        <v>87877.36</v>
      </c>
      <c r="N23" s="2">
        <v>88283.16</v>
      </c>
      <c r="O23" s="2">
        <v>88592.88</v>
      </c>
      <c r="P23" s="2">
        <v>89150.54</v>
      </c>
      <c r="Q23" s="2">
        <v>89626.880000000005</v>
      </c>
      <c r="R23" s="2">
        <v>89792.2</v>
      </c>
      <c r="S23" s="2">
        <v>90489.76</v>
      </c>
      <c r="T23" s="2">
        <v>91221.31</v>
      </c>
      <c r="U23" s="2">
        <v>91976.55</v>
      </c>
      <c r="V23" s="2">
        <v>92426.17</v>
      </c>
      <c r="W23" s="2">
        <v>92993.04</v>
      </c>
      <c r="X23" s="2">
        <v>93932.66</v>
      </c>
      <c r="Y23" s="2">
        <v>94451.06</v>
      </c>
      <c r="Z23" s="2">
        <v>95449.91</v>
      </c>
      <c r="AA23" s="2">
        <v>96057.29</v>
      </c>
      <c r="AB23" s="2">
        <v>97018.52</v>
      </c>
      <c r="AC23" s="2">
        <v>97610.21</v>
      </c>
      <c r="AD23" s="2">
        <v>98484.95</v>
      </c>
      <c r="AE23" s="2">
        <v>99342.91</v>
      </c>
      <c r="AF23" s="2">
        <v>99291.01</v>
      </c>
      <c r="AG23" s="2">
        <v>100135.2</v>
      </c>
      <c r="AH23" s="2">
        <v>100822.5</v>
      </c>
      <c r="AI23" s="2">
        <v>101442.2</v>
      </c>
      <c r="AJ23" s="2">
        <v>101638</v>
      </c>
      <c r="AK23" s="2">
        <v>101982.7</v>
      </c>
      <c r="AL23" s="2">
        <v>102298.1</v>
      </c>
      <c r="AM23" s="2">
        <v>103099.8</v>
      </c>
      <c r="AN23" s="2">
        <v>103655.1</v>
      </c>
      <c r="AO23" s="2">
        <v>103357.5</v>
      </c>
      <c r="AP23" s="2">
        <v>103875.1</v>
      </c>
      <c r="AQ23" s="2">
        <v>104187.7</v>
      </c>
      <c r="AR23" s="2">
        <v>104905.8</v>
      </c>
      <c r="AS23" s="2">
        <v>105305.2</v>
      </c>
      <c r="AT23" s="2">
        <v>105728.4</v>
      </c>
      <c r="AU23" s="2">
        <v>105433.60000000001</v>
      </c>
      <c r="AV23" s="2">
        <v>105948.1</v>
      </c>
      <c r="AW23" s="2">
        <v>106842.5</v>
      </c>
      <c r="AX23" s="2">
        <v>106915.3</v>
      </c>
      <c r="AY23" s="2">
        <v>107261</v>
      </c>
      <c r="AZ23" s="2">
        <v>108233.2</v>
      </c>
      <c r="BA23" s="2">
        <v>108545.4</v>
      </c>
      <c r="BB23" s="2">
        <v>108957.8</v>
      </c>
      <c r="BC23" s="2">
        <v>109654.8</v>
      </c>
      <c r="BD23" s="2">
        <v>109856.2</v>
      </c>
      <c r="BE23" s="2">
        <v>110184.2</v>
      </c>
      <c r="BF23" s="2">
        <v>110876.4</v>
      </c>
      <c r="BG23" s="2">
        <v>111578.6</v>
      </c>
      <c r="BH23" s="2">
        <v>112277.4</v>
      </c>
      <c r="BI23" s="2">
        <v>112851</v>
      </c>
      <c r="BJ23" s="2">
        <v>113216.3</v>
      </c>
      <c r="BK23" s="2">
        <v>113705.8</v>
      </c>
      <c r="BL23" s="2">
        <v>114282.4</v>
      </c>
      <c r="BM23" s="2">
        <v>114697</v>
      </c>
      <c r="BN23" s="2">
        <v>115208.1</v>
      </c>
      <c r="BO23" s="2">
        <v>115628</v>
      </c>
      <c r="BP23" s="2">
        <v>115888.1</v>
      </c>
      <c r="BQ23" s="2">
        <v>116529.5</v>
      </c>
      <c r="BR23" s="2">
        <v>117094</v>
      </c>
      <c r="BS23" s="2">
        <v>117840.8</v>
      </c>
      <c r="BT23" s="2">
        <v>118267.7</v>
      </c>
      <c r="BU23" s="2">
        <v>118619</v>
      </c>
      <c r="BV23" s="2">
        <v>119042.7</v>
      </c>
      <c r="BW23" s="2">
        <v>120337</v>
      </c>
      <c r="BX23" s="2">
        <v>120282.9</v>
      </c>
      <c r="BY23" s="2">
        <v>120462.3</v>
      </c>
      <c r="BZ23" s="2">
        <v>120673.1</v>
      </c>
      <c r="CA23" s="2">
        <v>120696.1</v>
      </c>
      <c r="CB23" s="2">
        <v>120985.3</v>
      </c>
      <c r="CC23" s="2">
        <v>120975.2</v>
      </c>
      <c r="CD23" s="2">
        <v>121335.1</v>
      </c>
      <c r="CE23" s="2">
        <v>122017.8</v>
      </c>
      <c r="CF23" s="2">
        <v>122790.2</v>
      </c>
      <c r="CG23" s="2">
        <v>123216.4</v>
      </c>
      <c r="CH23" s="2">
        <v>123032.4</v>
      </c>
      <c r="CI23" s="2">
        <v>123196.8</v>
      </c>
      <c r="CJ23" s="2">
        <v>123798.1</v>
      </c>
      <c r="CK23" s="2">
        <v>124151.4</v>
      </c>
      <c r="CL23" s="2">
        <v>124478.5</v>
      </c>
      <c r="CM23" s="2">
        <v>125285.3</v>
      </c>
      <c r="CN23" s="2">
        <v>125406.3</v>
      </c>
      <c r="CO23" s="2">
        <v>125876.2</v>
      </c>
      <c r="CP23" s="2">
        <v>126618.4</v>
      </c>
      <c r="CQ23" s="2">
        <v>126861.1</v>
      </c>
      <c r="CR23" s="2">
        <v>126929.2</v>
      </c>
      <c r="CS23" s="2">
        <v>127242.6</v>
      </c>
      <c r="CT23" s="2">
        <v>127442.7</v>
      </c>
      <c r="CU23" s="2">
        <v>127758</v>
      </c>
      <c r="CV23" s="2">
        <v>128432.3</v>
      </c>
      <c r="CW23" s="2">
        <v>129121.7</v>
      </c>
      <c r="CX23" s="2">
        <v>129843.1</v>
      </c>
      <c r="CY23" s="2">
        <v>130411.3</v>
      </c>
      <c r="CZ23" s="2">
        <v>130946.5</v>
      </c>
      <c r="DA23" s="2">
        <v>131422.9</v>
      </c>
      <c r="DB23" s="2">
        <v>131753.79999999999</v>
      </c>
      <c r="DC23" s="2">
        <v>131994.5</v>
      </c>
      <c r="DD23" s="2">
        <v>132185.1</v>
      </c>
      <c r="DE23" s="2">
        <v>132672.29999999999</v>
      </c>
      <c r="DF23" s="2">
        <v>133279.5</v>
      </c>
      <c r="DG23" s="2">
        <v>133745.4</v>
      </c>
      <c r="DH23" s="2">
        <v>133984.4</v>
      </c>
      <c r="DI23" s="2">
        <v>134349.5</v>
      </c>
      <c r="DJ23" s="2">
        <v>134835.9</v>
      </c>
      <c r="DK23" s="2">
        <v>135127</v>
      </c>
      <c r="DL23" s="2">
        <v>135320.79999999999</v>
      </c>
      <c r="DM23" s="2">
        <v>135198.6</v>
      </c>
      <c r="DN23" s="2">
        <v>135689.1</v>
      </c>
      <c r="DO23" s="2">
        <v>136519.4</v>
      </c>
      <c r="DP23" s="2">
        <v>136156.1</v>
      </c>
      <c r="DQ23" s="2">
        <v>136380.70000000001</v>
      </c>
      <c r="DR23" s="2">
        <v>136926.39999999999</v>
      </c>
      <c r="DS23" s="2">
        <v>137055.5</v>
      </c>
      <c r="DT23" s="2">
        <v>137523.6</v>
      </c>
      <c r="DU23" s="2">
        <v>137812.6</v>
      </c>
      <c r="DV23" s="2">
        <v>137835.5</v>
      </c>
      <c r="DW23" s="2">
        <v>138676</v>
      </c>
      <c r="DX23" s="2">
        <v>139306.1</v>
      </c>
      <c r="DY23" s="2">
        <v>139130.20000000001</v>
      </c>
      <c r="DZ23" s="2">
        <v>139445.1</v>
      </c>
      <c r="EA23" s="2">
        <v>139464.9</v>
      </c>
      <c r="EB23" s="2">
        <v>139748</v>
      </c>
      <c r="EC23" s="2">
        <v>140160.79999999999</v>
      </c>
      <c r="ED23" s="2">
        <v>140586.29999999999</v>
      </c>
      <c r="EE23" s="2">
        <v>140830.79999999999</v>
      </c>
      <c r="EF23" s="2">
        <v>141668.6</v>
      </c>
      <c r="EG23" s="2">
        <v>142219.9</v>
      </c>
      <c r="EH23" s="2">
        <v>142513.79999999999</v>
      </c>
      <c r="EI23" s="2">
        <v>143011.1</v>
      </c>
      <c r="EJ23" s="2">
        <v>143529.1</v>
      </c>
      <c r="EK23" s="2">
        <v>143987.6</v>
      </c>
      <c r="EL23" s="2">
        <v>144753.20000000001</v>
      </c>
      <c r="EM23" s="2">
        <v>145383.79999999999</v>
      </c>
      <c r="EN23" s="2">
        <v>145055.1</v>
      </c>
      <c r="EO23" s="2">
        <v>145393.29999999999</v>
      </c>
      <c r="EP23" s="2">
        <v>145937.5</v>
      </c>
      <c r="EQ23" s="2">
        <v>146154.6</v>
      </c>
      <c r="ER23" s="2">
        <v>146394.4</v>
      </c>
      <c r="ES23" s="2">
        <v>146805.20000000001</v>
      </c>
      <c r="ET23" s="2">
        <v>146963</v>
      </c>
      <c r="EU23" s="2">
        <v>146555.79999999999</v>
      </c>
      <c r="EV23" s="2">
        <v>146901.29999999999</v>
      </c>
      <c r="EW23" s="2">
        <v>146483</v>
      </c>
      <c r="EX23" s="2">
        <v>145902.20000000001</v>
      </c>
      <c r="EY23" s="2">
        <v>146022.9</v>
      </c>
      <c r="EZ23" s="2">
        <v>146407.20000000001</v>
      </c>
      <c r="FA23" s="2">
        <v>146234.9</v>
      </c>
      <c r="FB23" s="2">
        <v>146142</v>
      </c>
      <c r="FC23" s="2">
        <v>145661.79999999999</v>
      </c>
      <c r="FD23" s="2">
        <v>145835.79999999999</v>
      </c>
      <c r="FE23" s="2">
        <v>146110</v>
      </c>
      <c r="FF23" s="2">
        <v>146420.5</v>
      </c>
      <c r="FG23" s="2">
        <v>146986.4</v>
      </c>
      <c r="FH23" s="2">
        <v>147225.5</v>
      </c>
      <c r="FI23" s="2">
        <v>147369.20000000001</v>
      </c>
      <c r="FJ23" s="2">
        <v>147921</v>
      </c>
      <c r="FK23" s="2">
        <v>147809.1</v>
      </c>
      <c r="FL23" s="2">
        <v>148024.79999999999</v>
      </c>
      <c r="FM23" s="2">
        <v>148121.60000000001</v>
      </c>
      <c r="FN23" s="2">
        <v>147593</v>
      </c>
      <c r="FO23" s="2">
        <v>148179.20000000001</v>
      </c>
      <c r="FP23" s="2">
        <v>148178</v>
      </c>
      <c r="FQ23" s="2">
        <v>148660.4</v>
      </c>
      <c r="FR23" s="2">
        <v>149032.5</v>
      </c>
      <c r="FS23" s="2">
        <v>149407.9</v>
      </c>
      <c r="FT23" s="2">
        <v>149904.4</v>
      </c>
      <c r="FU23" s="2">
        <v>149660.20000000001</v>
      </c>
      <c r="FV23" s="2">
        <v>150251.9</v>
      </c>
      <c r="FW23" s="2">
        <v>151376.70000000001</v>
      </c>
      <c r="FX23" s="2">
        <v>151662.6</v>
      </c>
      <c r="FY23" s="2">
        <v>152194.29999999999</v>
      </c>
      <c r="FZ23" s="2">
        <v>152321.79999999999</v>
      </c>
      <c r="GA23" s="2">
        <v>152612.70000000001</v>
      </c>
      <c r="GB23" s="2">
        <v>152956.9</v>
      </c>
      <c r="GC23" s="2">
        <v>153485.6</v>
      </c>
      <c r="GD23" s="2">
        <v>153262.29999999999</v>
      </c>
      <c r="GE23" s="2">
        <v>154225.5</v>
      </c>
      <c r="GF23" s="2">
        <v>154711.9</v>
      </c>
      <c r="GG23" s="2">
        <v>154813.4</v>
      </c>
      <c r="GH23" s="2">
        <v>155641.20000000001</v>
      </c>
      <c r="GI23" s="2">
        <v>155727.29999999999</v>
      </c>
      <c r="GJ23" s="2">
        <v>155629.70000000001</v>
      </c>
      <c r="GK23" s="2">
        <v>156583.4</v>
      </c>
      <c r="GL23" s="2">
        <v>157279.5</v>
      </c>
      <c r="GM23" s="2">
        <v>156586.9</v>
      </c>
      <c r="GN23" s="2">
        <v>151169.5</v>
      </c>
      <c r="GO23" s="2">
        <v>153296.6</v>
      </c>
      <c r="GP23" s="2">
        <v>153736.6</v>
      </c>
      <c r="GQ23" s="2">
        <v>153197.79999999999</v>
      </c>
      <c r="GR23" s="2">
        <v>153894.79999999999</v>
      </c>
      <c r="GS23" s="2">
        <v>154439.20000000001</v>
      </c>
      <c r="GT23" s="2">
        <v>155086.70000000001</v>
      </c>
      <c r="GU23" s="2">
        <v>156757</v>
      </c>
      <c r="GV23" s="2">
        <v>156941.70000000001</v>
      </c>
      <c r="GW23" s="2">
        <v>157262.20000000001</v>
      </c>
      <c r="GX23" s="2">
        <v>157538.1</v>
      </c>
      <c r="GY23" s="2">
        <v>159092.5</v>
      </c>
      <c r="GZ23" s="2">
        <v>159602.70000000001</v>
      </c>
      <c r="HA23" s="2">
        <v>160274</v>
      </c>
      <c r="HB23" s="2">
        <v>160485.5</v>
      </c>
      <c r="HC23" s="2">
        <v>160324.6</v>
      </c>
      <c r="HD23" s="2">
        <v>160670.6</v>
      </c>
      <c r="HE23" s="2">
        <v>161224.79999999999</v>
      </c>
      <c r="HF23" s="2">
        <v>161150.79999999999</v>
      </c>
      <c r="HG23" s="2">
        <v>163196.29999999999</v>
      </c>
      <c r="HH23" s="3">
        <v>163356.70000000001</v>
      </c>
      <c r="HI23" s="3">
        <v>163552.5</v>
      </c>
      <c r="HJ23" s="3">
        <v>163737.29999999999</v>
      </c>
      <c r="HK23" s="3">
        <v>163916.20000000001</v>
      </c>
      <c r="HL23" s="3">
        <v>164082.70000000001</v>
      </c>
      <c r="HM23" s="3">
        <v>164224.6</v>
      </c>
      <c r="HN23" s="3">
        <v>164346.70000000001</v>
      </c>
      <c r="HO23" s="3">
        <v>164447.70000000001</v>
      </c>
      <c r="HP23" s="3">
        <v>164533.29999999999</v>
      </c>
      <c r="HQ23" s="3">
        <v>164615.20000000001</v>
      </c>
      <c r="HR23" s="3">
        <v>164688.5</v>
      </c>
      <c r="HS23" s="3">
        <v>164757.20000000001</v>
      </c>
      <c r="HT23" s="3">
        <v>164836.5</v>
      </c>
      <c r="HU23" s="3">
        <v>164946.29999999999</v>
      </c>
      <c r="HV23" s="3">
        <v>165086.29999999999</v>
      </c>
      <c r="HW23" s="3">
        <v>165246.29999999999</v>
      </c>
      <c r="HX23" s="3">
        <v>165419.5</v>
      </c>
      <c r="HY23" s="3">
        <v>165596.29999999999</v>
      </c>
      <c r="HZ23" s="3">
        <v>165774.70000000001</v>
      </c>
      <c r="IA23" s="3">
        <v>165953.9</v>
      </c>
      <c r="IB23" s="3">
        <v>166132.9</v>
      </c>
      <c r="IC23" s="3">
        <v>166311.20000000001</v>
      </c>
      <c r="ID23" s="3">
        <v>166488</v>
      </c>
      <c r="IE23" s="3">
        <v>166665.1</v>
      </c>
      <c r="IF23" s="3">
        <v>166840.6</v>
      </c>
      <c r="IG23" s="3">
        <v>167013.9</v>
      </c>
      <c r="IH23" s="3">
        <v>167185.60000000001</v>
      </c>
      <c r="II23" s="3">
        <v>167357.79999999999</v>
      </c>
      <c r="IJ23" s="3">
        <v>167530.5</v>
      </c>
      <c r="IK23" s="3">
        <v>167702.29999999999</v>
      </c>
      <c r="IL23" s="3">
        <v>167873.3</v>
      </c>
      <c r="IM23" s="3">
        <v>168044.3</v>
      </c>
      <c r="IN23" s="3">
        <v>168215.7</v>
      </c>
      <c r="IO23" s="3">
        <v>168387.20000000001</v>
      </c>
      <c r="IP23" s="3">
        <v>168558.7</v>
      </c>
      <c r="IQ23" s="3">
        <v>168730.1</v>
      </c>
      <c r="IR23" s="3">
        <v>168898.3</v>
      </c>
      <c r="IS23" s="3">
        <v>169064</v>
      </c>
      <c r="IT23" s="3">
        <v>169230.2</v>
      </c>
      <c r="IU23" s="3">
        <v>169397.6</v>
      </c>
      <c r="IV23" s="3">
        <v>169565.6</v>
      </c>
      <c r="IW23" s="3">
        <v>169733.6</v>
      </c>
      <c r="IX23" s="3">
        <v>169901.7</v>
      </c>
      <c r="IY23" s="3">
        <v>170068</v>
      </c>
      <c r="IZ23" s="3">
        <v>170234</v>
      </c>
      <c r="JA23" s="3">
        <v>170400.8</v>
      </c>
      <c r="JB23" s="3">
        <v>170567.1</v>
      </c>
      <c r="JC23" s="3">
        <v>170733.2</v>
      </c>
      <c r="JD23" s="3">
        <v>170899.4</v>
      </c>
      <c r="JE23" s="3">
        <v>171065.9</v>
      </c>
      <c r="JF23" s="3">
        <v>171232.4</v>
      </c>
      <c r="JG23" s="3">
        <v>171400</v>
      </c>
      <c r="JH23" s="3">
        <v>171570.6</v>
      </c>
      <c r="JI23" s="3">
        <v>171736.6</v>
      </c>
      <c r="JJ23" s="3">
        <v>171904.8</v>
      </c>
      <c r="JK23" s="3">
        <v>172069.8</v>
      </c>
      <c r="JL23" s="3">
        <v>172233.3</v>
      </c>
      <c r="JM23" s="3">
        <v>172398.6</v>
      </c>
      <c r="JN23" s="3">
        <v>172564</v>
      </c>
      <c r="JO23" s="3">
        <v>172724.1</v>
      </c>
      <c r="JP23" s="3">
        <v>172884.1</v>
      </c>
      <c r="JQ23" s="3">
        <v>173043.8</v>
      </c>
      <c r="JR23" s="3">
        <v>173203</v>
      </c>
      <c r="JS23" s="3">
        <v>173362.7</v>
      </c>
      <c r="JT23" s="3">
        <v>173522.5</v>
      </c>
      <c r="JU23" s="3">
        <v>173682.9</v>
      </c>
      <c r="JV23" s="3">
        <v>173843</v>
      </c>
      <c r="JW23" s="3">
        <v>174003.9</v>
      </c>
      <c r="JX23" s="3">
        <v>174164.9</v>
      </c>
      <c r="JY23" s="3">
        <v>174326</v>
      </c>
      <c r="JZ23" s="3">
        <v>174487.5</v>
      </c>
      <c r="KA23" s="3">
        <v>174649.4</v>
      </c>
      <c r="KB23" s="3">
        <v>174811.1</v>
      </c>
      <c r="KC23" s="3">
        <v>174972.79999999999</v>
      </c>
      <c r="KD23" s="3">
        <v>175134.9</v>
      </c>
      <c r="KE23" s="3">
        <v>175293.6</v>
      </c>
      <c r="KF23" s="3">
        <v>175454.6</v>
      </c>
      <c r="KG23" s="3">
        <v>175614.4</v>
      </c>
      <c r="KH23" s="3">
        <v>175773.1</v>
      </c>
      <c r="KI23" s="3">
        <v>175930.6</v>
      </c>
      <c r="KJ23" s="3">
        <v>176084.4</v>
      </c>
      <c r="KK23" s="3">
        <v>176240</v>
      </c>
      <c r="KL23" s="3">
        <v>176394.8</v>
      </c>
      <c r="KM23" s="3">
        <v>176548.3</v>
      </c>
      <c r="KN23" s="3">
        <v>176697.8</v>
      </c>
      <c r="KO23" s="3">
        <v>176849.6</v>
      </c>
      <c r="KP23" s="3">
        <v>176999.9</v>
      </c>
      <c r="KQ23" s="3">
        <v>177147.2</v>
      </c>
      <c r="KR23" s="3">
        <v>177296.6</v>
      </c>
      <c r="KS23" s="3">
        <v>177445.7</v>
      </c>
      <c r="KT23" s="3">
        <v>177590.9</v>
      </c>
      <c r="KU23" s="3">
        <v>177738.6</v>
      </c>
      <c r="KV23" s="3">
        <v>177882.8</v>
      </c>
      <c r="KW23" s="3">
        <v>178029.9</v>
      </c>
      <c r="KX23" s="3">
        <v>178175.8</v>
      </c>
      <c r="KY23" s="3">
        <v>178318.1</v>
      </c>
      <c r="KZ23" s="3">
        <v>178462.6</v>
      </c>
      <c r="LA23" s="3">
        <v>178603.3</v>
      </c>
      <c r="LB23" s="3">
        <v>178741.6</v>
      </c>
      <c r="LC23" s="3">
        <v>178881.5</v>
      </c>
      <c r="LD23" s="3">
        <v>179017.9</v>
      </c>
      <c r="LE23" s="3">
        <v>179157.1</v>
      </c>
      <c r="LF23" s="3">
        <v>179293.6</v>
      </c>
      <c r="LG23" s="3">
        <v>179432.9</v>
      </c>
      <c r="LH23" s="3">
        <v>179569.6</v>
      </c>
      <c r="LI23" s="3">
        <v>179706.6</v>
      </c>
      <c r="LJ23" s="3">
        <v>179846.6</v>
      </c>
      <c r="LK23" s="3">
        <v>179983.8</v>
      </c>
      <c r="LL23" s="3">
        <v>180124.1</v>
      </c>
      <c r="LM23" s="3">
        <v>180261.8</v>
      </c>
      <c r="LN23" s="3">
        <v>180402.6</v>
      </c>
      <c r="LO23" s="3">
        <v>180540.6</v>
      </c>
      <c r="LP23" s="3">
        <v>180678.9</v>
      </c>
      <c r="LQ23" s="3">
        <v>180820.3</v>
      </c>
      <c r="LR23" s="3">
        <v>180958.9</v>
      </c>
      <c r="LS23" s="3">
        <v>181100.6</v>
      </c>
      <c r="LT23" s="3">
        <v>181239.6</v>
      </c>
      <c r="LU23" s="3">
        <v>181378.9</v>
      </c>
      <c r="LV23" s="3">
        <v>181521.2</v>
      </c>
      <c r="LW23" s="3">
        <v>181660.7</v>
      </c>
      <c r="LX23" s="3">
        <v>181803.6</v>
      </c>
      <c r="LY23" s="3">
        <v>181943.6</v>
      </c>
      <c r="LZ23" s="3">
        <v>182086.8</v>
      </c>
      <c r="MA23" s="3">
        <v>182227.3</v>
      </c>
      <c r="MB23" s="3">
        <v>182368</v>
      </c>
      <c r="MC23" s="3">
        <v>182511.7</v>
      </c>
      <c r="MD23" s="3">
        <v>182652.7</v>
      </c>
      <c r="ME23" s="3">
        <v>182796.9</v>
      </c>
      <c r="MF23" s="3">
        <v>182938.2</v>
      </c>
      <c r="MG23" s="3">
        <v>183080</v>
      </c>
      <c r="MH23" s="3">
        <v>183224.9</v>
      </c>
      <c r="MI23" s="3">
        <v>183366.8</v>
      </c>
      <c r="MJ23" s="3">
        <v>183512</v>
      </c>
      <c r="MK23" s="3">
        <v>183654.39999999999</v>
      </c>
      <c r="ML23" s="3">
        <v>183799.8</v>
      </c>
      <c r="MM23" s="3">
        <v>183942.8</v>
      </c>
      <c r="MN23" s="3">
        <v>184085.6</v>
      </c>
      <c r="MO23" s="3">
        <v>184232</v>
      </c>
      <c r="MP23" s="3">
        <v>184375.1</v>
      </c>
      <c r="MQ23" s="3">
        <v>184521.7</v>
      </c>
      <c r="MR23" s="3">
        <v>184665.3</v>
      </c>
      <c r="MS23" s="3">
        <v>184809.4</v>
      </c>
      <c r="MT23" s="3">
        <v>184956.5</v>
      </c>
      <c r="MU23" t="s">
        <v>433</v>
      </c>
      <c r="MV23" t="b">
        <v>0</v>
      </c>
      <c r="MW23" t="s">
        <v>377</v>
      </c>
      <c r="MX23" t="s">
        <v>377</v>
      </c>
      <c r="MY23">
        <v>2025</v>
      </c>
      <c r="MZ23">
        <v>1</v>
      </c>
      <c r="NA23" t="s">
        <v>377</v>
      </c>
      <c r="NB23" s="1" t="s">
        <v>467</v>
      </c>
      <c r="NC23" t="s">
        <v>377</v>
      </c>
      <c r="ND23" t="s">
        <v>389</v>
      </c>
      <c r="NE23" t="s">
        <v>466</v>
      </c>
      <c r="NF23" s="1" t="s">
        <v>455</v>
      </c>
    </row>
    <row r="24" spans="1:370" x14ac:dyDescent="0.25">
      <c r="A24" t="s">
        <v>370</v>
      </c>
      <c r="B24" t="s">
        <v>468</v>
      </c>
      <c r="C24" s="1" t="s">
        <v>454</v>
      </c>
      <c r="D24" t="s">
        <v>469</v>
      </c>
      <c r="E24" t="s">
        <v>377</v>
      </c>
      <c r="F24" t="s">
        <v>374</v>
      </c>
      <c r="G24" s="2">
        <v>1E-3</v>
      </c>
      <c r="H24" s="2">
        <v>1E-3</v>
      </c>
      <c r="I24" s="2">
        <v>1E-3</v>
      </c>
      <c r="J24" s="2">
        <v>1E-3</v>
      </c>
      <c r="K24" s="2">
        <v>1E-3</v>
      </c>
      <c r="L24" s="2">
        <v>1E-3</v>
      </c>
      <c r="M24" s="2">
        <v>1E-3</v>
      </c>
      <c r="N24" s="2">
        <v>1E-3</v>
      </c>
      <c r="O24" s="2">
        <v>1E-3</v>
      </c>
      <c r="P24" s="2">
        <v>1E-3</v>
      </c>
      <c r="Q24" s="2">
        <v>1E-3</v>
      </c>
      <c r="R24" s="2">
        <v>1E-3</v>
      </c>
      <c r="S24" s="2">
        <v>1E-3</v>
      </c>
      <c r="T24" s="2">
        <v>1E-3</v>
      </c>
      <c r="U24" s="2">
        <v>1E-3</v>
      </c>
      <c r="V24" s="2">
        <v>1E-3</v>
      </c>
      <c r="W24" s="2">
        <v>1E-3</v>
      </c>
      <c r="X24" s="2">
        <v>1E-3</v>
      </c>
      <c r="Y24" s="2">
        <v>1E-3</v>
      </c>
      <c r="Z24" s="2">
        <v>1E-3</v>
      </c>
      <c r="AA24" s="2">
        <v>1E-3</v>
      </c>
      <c r="AB24" s="2">
        <v>1E-3</v>
      </c>
      <c r="AC24" s="2">
        <v>1E-3</v>
      </c>
      <c r="AD24" s="2">
        <v>1E-3</v>
      </c>
      <c r="AE24" s="2">
        <v>1E-3</v>
      </c>
      <c r="AF24" s="2">
        <v>1E-3</v>
      </c>
      <c r="AG24" s="2">
        <v>1E-3</v>
      </c>
      <c r="AH24" s="2">
        <v>1E-3</v>
      </c>
      <c r="AI24" s="2">
        <v>1E-3</v>
      </c>
      <c r="AJ24" s="2">
        <v>1E-3</v>
      </c>
      <c r="AK24" s="2">
        <v>1E-3</v>
      </c>
      <c r="AL24" s="2">
        <v>1E-3</v>
      </c>
      <c r="AM24" s="2">
        <v>1E-3</v>
      </c>
      <c r="AN24" s="2">
        <v>1E-3</v>
      </c>
      <c r="AO24" s="2">
        <v>1E-3</v>
      </c>
      <c r="AP24" s="2">
        <v>1E-3</v>
      </c>
      <c r="AQ24" s="2">
        <v>1E-3</v>
      </c>
      <c r="AR24" s="2">
        <v>1E-3</v>
      </c>
      <c r="AS24" s="2">
        <v>1E-3</v>
      </c>
      <c r="AT24" s="2">
        <v>1E-3</v>
      </c>
      <c r="AU24" s="2">
        <v>1E-3</v>
      </c>
      <c r="AV24" s="2">
        <v>1E-3</v>
      </c>
      <c r="AW24" s="2">
        <v>1E-3</v>
      </c>
      <c r="AX24" s="2">
        <v>1E-3</v>
      </c>
      <c r="AY24" s="2">
        <v>1E-3</v>
      </c>
      <c r="AZ24" s="2">
        <v>1E-3</v>
      </c>
      <c r="BA24" s="2">
        <v>1E-3</v>
      </c>
      <c r="BB24" s="2">
        <v>1E-3</v>
      </c>
      <c r="BC24" s="2">
        <v>1E-3</v>
      </c>
      <c r="BD24" s="2">
        <v>1E-3</v>
      </c>
      <c r="BE24" s="2">
        <v>1E-3</v>
      </c>
      <c r="BF24" s="2">
        <v>1E-3</v>
      </c>
      <c r="BG24" s="2">
        <v>33.56044</v>
      </c>
      <c r="BH24" s="2">
        <v>33.529319999999998</v>
      </c>
      <c r="BI24" s="2">
        <v>33.508580000000002</v>
      </c>
      <c r="BJ24" s="2">
        <v>33.49821</v>
      </c>
      <c r="BK24" s="2">
        <v>33.49821</v>
      </c>
      <c r="BL24" s="2">
        <v>33.508580000000002</v>
      </c>
      <c r="BM24" s="2">
        <v>33.529319999999998</v>
      </c>
      <c r="BN24" s="2">
        <v>33.56044</v>
      </c>
      <c r="BO24" s="2">
        <v>33.640830000000001</v>
      </c>
      <c r="BP24" s="2">
        <v>33.677129999999998</v>
      </c>
      <c r="BQ24" s="2">
        <v>33.708260000000003</v>
      </c>
      <c r="BR24" s="2">
        <v>33.734189999999998</v>
      </c>
      <c r="BS24" s="2">
        <v>33.780859999999997</v>
      </c>
      <c r="BT24" s="2">
        <v>33.786050000000003</v>
      </c>
      <c r="BU24" s="2">
        <v>33.775669999999998</v>
      </c>
      <c r="BV24" s="2">
        <v>33.749740000000003</v>
      </c>
      <c r="BW24" s="2">
        <v>33.708260000000003</v>
      </c>
      <c r="BX24" s="2">
        <v>33.651200000000003</v>
      </c>
      <c r="BY24" s="2">
        <v>33.578600000000002</v>
      </c>
      <c r="BZ24" s="2">
        <v>33.490430000000003</v>
      </c>
      <c r="CA24" s="2">
        <v>33.282980000000002</v>
      </c>
      <c r="CB24" s="2">
        <v>33.205179999999999</v>
      </c>
      <c r="CC24" s="2">
        <v>33.153320000000001</v>
      </c>
      <c r="CD24" s="2">
        <v>33.127389999999998</v>
      </c>
      <c r="CE24" s="2">
        <v>33.205179999999999</v>
      </c>
      <c r="CF24" s="2">
        <v>33.200000000000003</v>
      </c>
      <c r="CG24" s="2">
        <v>33</v>
      </c>
      <c r="CH24" s="2">
        <v>32.9</v>
      </c>
      <c r="CI24" s="2">
        <v>33</v>
      </c>
      <c r="CJ24" s="2">
        <v>33</v>
      </c>
      <c r="CK24" s="2">
        <v>33</v>
      </c>
      <c r="CL24" s="2">
        <v>33</v>
      </c>
      <c r="CM24" s="2">
        <v>33.1</v>
      </c>
      <c r="CN24" s="2">
        <v>33.1</v>
      </c>
      <c r="CO24" s="2">
        <v>33.200000000000003</v>
      </c>
      <c r="CP24" s="2">
        <v>33.5</v>
      </c>
      <c r="CQ24" s="2">
        <v>33.299999999999997</v>
      </c>
      <c r="CR24" s="2">
        <v>33.299999999999997</v>
      </c>
      <c r="CS24" s="2">
        <v>33.200000000000003</v>
      </c>
      <c r="CT24" s="2">
        <v>33.200000000000003</v>
      </c>
      <c r="CU24" s="2">
        <v>33.200000000000003</v>
      </c>
      <c r="CV24" s="2">
        <v>33.299999999999997</v>
      </c>
      <c r="CW24" s="2">
        <v>33.200000000000003</v>
      </c>
      <c r="CX24" s="2">
        <v>33.200000000000003</v>
      </c>
      <c r="CY24" s="2">
        <v>33.200000000000003</v>
      </c>
      <c r="CZ24" s="2">
        <v>33.200000000000003</v>
      </c>
      <c r="DA24" s="2">
        <v>33.200000000000003</v>
      </c>
      <c r="DB24" s="2">
        <v>33.1</v>
      </c>
      <c r="DC24" s="2">
        <v>33.200000000000003</v>
      </c>
      <c r="DD24" s="2">
        <v>33.200000000000003</v>
      </c>
      <c r="DE24" s="2">
        <v>33.1</v>
      </c>
      <c r="DF24" s="2">
        <v>32.799999999999997</v>
      </c>
      <c r="DG24" s="2">
        <v>32.9</v>
      </c>
      <c r="DH24" s="2">
        <v>32.9</v>
      </c>
      <c r="DI24" s="2">
        <v>32.9</v>
      </c>
      <c r="DJ24" s="2">
        <v>32.9</v>
      </c>
      <c r="DK24" s="2">
        <v>32.4</v>
      </c>
      <c r="DL24" s="2">
        <v>32.6</v>
      </c>
      <c r="DM24" s="2">
        <v>32.6</v>
      </c>
      <c r="DN24" s="2">
        <v>32.799999999999997</v>
      </c>
      <c r="DO24" s="2">
        <v>32.700000000000003</v>
      </c>
      <c r="DP24" s="2">
        <v>32.799999999999997</v>
      </c>
      <c r="DQ24" s="2">
        <v>32.700000000000003</v>
      </c>
      <c r="DR24" s="2">
        <v>32.5</v>
      </c>
      <c r="DS24" s="2">
        <v>32.5</v>
      </c>
      <c r="DT24" s="2">
        <v>32.200000000000003</v>
      </c>
      <c r="DU24" s="2">
        <v>32.4</v>
      </c>
      <c r="DV24" s="2">
        <v>32.200000000000003</v>
      </c>
      <c r="DW24" s="2">
        <v>32.200000000000003</v>
      </c>
      <c r="DX24" s="2">
        <v>32.200000000000003</v>
      </c>
      <c r="DY24" s="2">
        <v>32.200000000000003</v>
      </c>
      <c r="DZ24" s="2">
        <v>32</v>
      </c>
      <c r="EA24" s="2">
        <v>32.1</v>
      </c>
      <c r="EB24" s="2">
        <v>32</v>
      </c>
      <c r="EC24" s="2">
        <v>32</v>
      </c>
      <c r="ED24" s="2">
        <v>32.200000000000003</v>
      </c>
      <c r="EE24" s="2">
        <v>32.200000000000003</v>
      </c>
      <c r="EF24" s="2">
        <v>32.1</v>
      </c>
      <c r="EG24" s="2">
        <v>32.200000000000003</v>
      </c>
      <c r="EH24" s="2">
        <v>32.200000000000003</v>
      </c>
      <c r="EI24" s="2">
        <v>32.1</v>
      </c>
      <c r="EJ24" s="2">
        <v>32</v>
      </c>
      <c r="EK24" s="2">
        <v>32</v>
      </c>
      <c r="EL24" s="2">
        <v>32.1</v>
      </c>
      <c r="EM24" s="2">
        <v>32.1</v>
      </c>
      <c r="EN24" s="2">
        <v>32.200000000000003</v>
      </c>
      <c r="EO24" s="2">
        <v>32.1</v>
      </c>
      <c r="EP24" s="2">
        <v>31.9</v>
      </c>
      <c r="EQ24" s="2">
        <v>32.200000000000003</v>
      </c>
      <c r="ER24" s="2">
        <v>31.8</v>
      </c>
      <c r="ES24" s="2">
        <v>32</v>
      </c>
      <c r="ET24" s="2">
        <v>31.9</v>
      </c>
      <c r="EU24" s="2">
        <v>31.5</v>
      </c>
      <c r="EV24" s="2">
        <v>31.7</v>
      </c>
      <c r="EW24" s="2">
        <v>31.5</v>
      </c>
      <c r="EX24" s="2">
        <v>31.5</v>
      </c>
      <c r="EY24" s="2">
        <v>31.6</v>
      </c>
      <c r="EZ24" s="2">
        <v>31.6</v>
      </c>
      <c r="FA24" s="2">
        <v>31.6</v>
      </c>
      <c r="FB24" s="2">
        <v>31.8</v>
      </c>
      <c r="FC24" s="2">
        <v>31.7</v>
      </c>
      <c r="FD24" s="2">
        <v>31.3</v>
      </c>
      <c r="FE24" s="2">
        <v>31.7</v>
      </c>
      <c r="FF24" s="2">
        <v>31.6</v>
      </c>
      <c r="FG24" s="2">
        <v>31.7</v>
      </c>
      <c r="FH24" s="2">
        <v>31.7</v>
      </c>
      <c r="FI24" s="2">
        <v>32</v>
      </c>
      <c r="FJ24" s="2">
        <v>31.9</v>
      </c>
      <c r="FK24" s="2">
        <v>32</v>
      </c>
      <c r="FL24" s="2">
        <v>32</v>
      </c>
      <c r="FM24" s="2">
        <v>32.200000000000003</v>
      </c>
      <c r="FN24" s="2">
        <v>32</v>
      </c>
      <c r="FO24" s="2">
        <v>32.1</v>
      </c>
      <c r="FP24" s="2">
        <v>32.200000000000003</v>
      </c>
      <c r="FQ24" s="2">
        <v>32.200000000000003</v>
      </c>
      <c r="FR24" s="2">
        <v>32.200000000000003</v>
      </c>
      <c r="FS24" s="2">
        <v>32.1</v>
      </c>
      <c r="FT24" s="2">
        <v>32.1</v>
      </c>
      <c r="FU24" s="2">
        <v>31.9</v>
      </c>
      <c r="FV24" s="2">
        <v>32.299999999999997</v>
      </c>
      <c r="FW24" s="2">
        <v>32.1</v>
      </c>
      <c r="FX24" s="2">
        <v>32</v>
      </c>
      <c r="FY24" s="2">
        <v>32</v>
      </c>
      <c r="FZ24" s="2">
        <v>32.1</v>
      </c>
      <c r="GA24" s="2">
        <v>32.200000000000003</v>
      </c>
      <c r="GB24" s="2">
        <v>32.299999999999997</v>
      </c>
      <c r="GC24" s="2">
        <v>32</v>
      </c>
      <c r="GD24" s="2">
        <v>31.9</v>
      </c>
      <c r="GE24" s="2">
        <v>31.9</v>
      </c>
      <c r="GF24" s="2">
        <v>31.9</v>
      </c>
      <c r="GG24" s="2">
        <v>32.200000000000003</v>
      </c>
      <c r="GH24" s="2">
        <v>32</v>
      </c>
      <c r="GI24" s="2">
        <v>32.299999999999997</v>
      </c>
      <c r="GJ24" s="2">
        <v>32.1</v>
      </c>
      <c r="GK24" s="2">
        <v>32</v>
      </c>
      <c r="GL24" s="2">
        <v>31.8</v>
      </c>
      <c r="GM24" s="2">
        <v>31.2</v>
      </c>
      <c r="GN24" s="2">
        <v>25.9</v>
      </c>
      <c r="GO24" s="2">
        <v>28.2</v>
      </c>
      <c r="GP24" s="2">
        <v>30.2</v>
      </c>
      <c r="GQ24" s="2">
        <v>29.5</v>
      </c>
      <c r="GR24" s="2">
        <v>31</v>
      </c>
      <c r="GS24" s="2">
        <v>31.6</v>
      </c>
      <c r="GT24" s="2">
        <v>31.7</v>
      </c>
      <c r="GU24" s="2">
        <v>31.8</v>
      </c>
      <c r="GV24" s="2">
        <v>31.7</v>
      </c>
      <c r="GW24" s="2">
        <v>31.8</v>
      </c>
      <c r="GX24" s="2">
        <v>31.7</v>
      </c>
      <c r="GY24" s="2">
        <v>31.7</v>
      </c>
      <c r="GZ24" s="2">
        <v>31.6</v>
      </c>
      <c r="HA24" s="2">
        <v>31.5</v>
      </c>
      <c r="HB24" s="2">
        <v>31.7</v>
      </c>
      <c r="HC24" s="2">
        <v>32</v>
      </c>
      <c r="HD24" s="2">
        <v>32</v>
      </c>
      <c r="HE24" s="2">
        <v>32.1</v>
      </c>
      <c r="HF24" s="2">
        <v>31.8</v>
      </c>
      <c r="HG24" s="3">
        <v>32</v>
      </c>
      <c r="HH24" s="3">
        <v>32</v>
      </c>
      <c r="HI24" s="3">
        <v>32</v>
      </c>
      <c r="HJ24" s="3">
        <v>32</v>
      </c>
      <c r="HK24" s="3">
        <v>32</v>
      </c>
      <c r="HL24" s="3">
        <v>32</v>
      </c>
      <c r="HM24" s="3">
        <v>32</v>
      </c>
      <c r="HN24" s="3">
        <v>32</v>
      </c>
      <c r="HO24" s="3">
        <v>31.999790000000001</v>
      </c>
      <c r="HP24" s="3">
        <v>31.999580000000002</v>
      </c>
      <c r="HQ24" s="3">
        <v>31.999369999999999</v>
      </c>
      <c r="HR24" s="3">
        <v>31.999169999999999</v>
      </c>
      <c r="HS24" s="3">
        <v>31.99896</v>
      </c>
      <c r="HT24" s="3">
        <v>31.998750000000001</v>
      </c>
      <c r="HU24" s="3">
        <v>31.998539999999998</v>
      </c>
      <c r="HV24" s="3">
        <v>31.998329999999999</v>
      </c>
      <c r="HW24" s="3">
        <v>31.99813</v>
      </c>
      <c r="HX24" s="3">
        <v>31.997920000000001</v>
      </c>
      <c r="HY24" s="3">
        <v>31.997710000000001</v>
      </c>
      <c r="HZ24" s="3">
        <v>31.997499999999999</v>
      </c>
      <c r="IA24" s="3">
        <v>31.99729</v>
      </c>
      <c r="IB24" s="3">
        <v>31.99708</v>
      </c>
      <c r="IC24" s="3">
        <v>31.996880000000001</v>
      </c>
      <c r="ID24" s="3">
        <v>31.996670000000002</v>
      </c>
      <c r="IE24" s="3">
        <v>31.996459999999999</v>
      </c>
      <c r="IF24" s="3">
        <v>31.99625</v>
      </c>
      <c r="IG24" s="3">
        <v>31.996040000000001</v>
      </c>
      <c r="IH24" s="3">
        <v>31.995830000000002</v>
      </c>
      <c r="II24" s="3">
        <v>31.995619999999999</v>
      </c>
      <c r="IJ24" s="3">
        <v>31.995419999999999</v>
      </c>
      <c r="IK24" s="3">
        <v>31.99521</v>
      </c>
      <c r="IL24" s="3">
        <v>31.995000000000001</v>
      </c>
      <c r="IM24" s="3">
        <v>31.994430000000001</v>
      </c>
      <c r="IN24" s="3">
        <v>31.993849999999998</v>
      </c>
      <c r="IO24" s="3">
        <v>31.993279999999999</v>
      </c>
      <c r="IP24" s="3">
        <v>31.992709999999999</v>
      </c>
      <c r="IQ24" s="3">
        <v>31.992139999999999</v>
      </c>
      <c r="IR24" s="3">
        <v>31.99156</v>
      </c>
      <c r="IS24" s="3">
        <v>31.99099</v>
      </c>
      <c r="IT24" s="3">
        <v>31.99042</v>
      </c>
      <c r="IU24" s="3">
        <v>31.989840000000001</v>
      </c>
      <c r="IV24" s="3">
        <v>31.989270000000001</v>
      </c>
      <c r="IW24" s="3">
        <v>31.988700000000001</v>
      </c>
      <c r="IX24" s="3">
        <v>31.988119999999999</v>
      </c>
      <c r="IY24" s="3">
        <v>31.987549999999999</v>
      </c>
      <c r="IZ24" s="3">
        <v>31.986979999999999</v>
      </c>
      <c r="JA24" s="3">
        <v>31.986409999999999</v>
      </c>
      <c r="JB24" s="3">
        <v>31.98583</v>
      </c>
      <c r="JC24" s="3">
        <v>31.98526</v>
      </c>
      <c r="JD24" s="3">
        <v>31.984690000000001</v>
      </c>
      <c r="JE24" s="3">
        <v>31.984110000000001</v>
      </c>
      <c r="JF24" s="3">
        <v>31.983540000000001</v>
      </c>
      <c r="JG24" s="3">
        <v>31.982970000000002</v>
      </c>
      <c r="JH24" s="3">
        <v>31.982399999999998</v>
      </c>
      <c r="JI24" s="3">
        <v>31.981819999999999</v>
      </c>
      <c r="JJ24" s="3">
        <v>31.981249999999999</v>
      </c>
      <c r="JK24" s="3">
        <v>31.98068</v>
      </c>
      <c r="JL24" s="3">
        <v>31.9801</v>
      </c>
      <c r="JM24" s="3">
        <v>31.97953</v>
      </c>
      <c r="JN24" s="3">
        <v>31.978960000000001</v>
      </c>
      <c r="JO24" s="3">
        <v>31.978390000000001</v>
      </c>
      <c r="JP24" s="3">
        <v>31.977810000000002</v>
      </c>
      <c r="JQ24" s="3">
        <v>31.977239999999998</v>
      </c>
      <c r="JR24" s="3">
        <v>31.976669999999999</v>
      </c>
      <c r="JS24" s="3">
        <v>31.975919999999999</v>
      </c>
      <c r="JT24" s="3">
        <v>31.975169999999999</v>
      </c>
      <c r="JU24" s="3">
        <v>31.974419999999999</v>
      </c>
      <c r="JV24" s="3">
        <v>31.973669999999998</v>
      </c>
      <c r="JW24" s="3">
        <v>31.972919999999998</v>
      </c>
      <c r="JX24" s="3">
        <v>31.972169999999998</v>
      </c>
      <c r="JY24" s="3">
        <v>31.971419999999998</v>
      </c>
      <c r="JZ24" s="3">
        <v>31.970669999999998</v>
      </c>
      <c r="KA24" s="3">
        <v>31.969919999999998</v>
      </c>
      <c r="KB24" s="3">
        <v>31.969169999999998</v>
      </c>
      <c r="KC24" s="3">
        <v>31.968419999999998</v>
      </c>
      <c r="KD24" s="3">
        <v>31.967669999999998</v>
      </c>
      <c r="KE24" s="3">
        <v>31.966920000000002</v>
      </c>
      <c r="KF24" s="3">
        <v>31.966170000000002</v>
      </c>
      <c r="KG24" s="3">
        <v>31.965420000000002</v>
      </c>
      <c r="KH24" s="3">
        <v>31.964670000000002</v>
      </c>
      <c r="KI24" s="3">
        <v>31.963920000000002</v>
      </c>
      <c r="KJ24" s="3">
        <v>31.963170000000002</v>
      </c>
      <c r="KK24" s="3">
        <v>31.962420000000002</v>
      </c>
      <c r="KL24" s="3">
        <v>31.961670000000002</v>
      </c>
      <c r="KM24" s="3">
        <v>31.960920000000002</v>
      </c>
      <c r="KN24" s="3">
        <v>31.960170000000002</v>
      </c>
      <c r="KO24" s="3">
        <v>31.959420000000001</v>
      </c>
      <c r="KP24" s="3">
        <v>31.958670000000001</v>
      </c>
      <c r="KQ24" s="3">
        <v>31.957920000000001</v>
      </c>
      <c r="KR24" s="3">
        <v>31.957170000000001</v>
      </c>
      <c r="KS24" s="3">
        <v>31.956420000000001</v>
      </c>
      <c r="KT24" s="3">
        <v>31.955670000000001</v>
      </c>
      <c r="KU24" s="3">
        <v>31.954920000000001</v>
      </c>
      <c r="KV24" s="3">
        <v>31.954170000000001</v>
      </c>
      <c r="KW24" s="3">
        <v>31.953420000000001</v>
      </c>
      <c r="KX24" s="3">
        <v>31.952670000000001</v>
      </c>
      <c r="KY24" s="3">
        <v>31.951920000000001</v>
      </c>
      <c r="KZ24" s="3">
        <v>31.951170000000001</v>
      </c>
      <c r="LA24" s="3">
        <v>31.950420000000001</v>
      </c>
      <c r="LB24" s="3">
        <v>31.949670000000001</v>
      </c>
      <c r="LC24" s="3">
        <v>31.948920000000001</v>
      </c>
      <c r="LD24" s="3">
        <v>31.948170000000001</v>
      </c>
      <c r="LE24" s="3">
        <v>31.947420000000001</v>
      </c>
      <c r="LF24" s="3">
        <v>31.946670000000001</v>
      </c>
      <c r="LG24" s="3">
        <v>31.945920000000001</v>
      </c>
      <c r="LH24" s="3">
        <v>31.945170000000001</v>
      </c>
      <c r="LI24" s="3">
        <v>31.944420000000001</v>
      </c>
      <c r="LJ24" s="3">
        <v>31.943670000000001</v>
      </c>
      <c r="LK24" s="3">
        <v>31.942920000000001</v>
      </c>
      <c r="LL24" s="3">
        <v>31.942170000000001</v>
      </c>
      <c r="LM24" s="3">
        <v>31.941420000000001</v>
      </c>
      <c r="LN24" s="3">
        <v>31.940670000000001</v>
      </c>
      <c r="LO24" s="3">
        <v>31.939920000000001</v>
      </c>
      <c r="LP24" s="3">
        <v>31.939170000000001</v>
      </c>
      <c r="LQ24" s="3">
        <v>31.938420000000001</v>
      </c>
      <c r="LR24" s="3">
        <v>31.937670000000001</v>
      </c>
      <c r="LS24" s="3">
        <v>31.936920000000001</v>
      </c>
      <c r="LT24" s="3">
        <v>31.936170000000001</v>
      </c>
      <c r="LU24" s="3">
        <v>31.935420000000001</v>
      </c>
      <c r="LV24" s="3">
        <v>31.934670000000001</v>
      </c>
      <c r="LW24" s="3">
        <v>31.933920000000001</v>
      </c>
      <c r="LX24" s="3">
        <v>31.93317</v>
      </c>
      <c r="LY24" s="3">
        <v>31.93242</v>
      </c>
      <c r="LZ24" s="3">
        <v>31.93167</v>
      </c>
      <c r="MA24" s="3">
        <v>31.93092</v>
      </c>
      <c r="MB24" s="3">
        <v>31.93017</v>
      </c>
      <c r="MC24" s="3">
        <v>31.92942</v>
      </c>
      <c r="MD24" s="3">
        <v>31.92867</v>
      </c>
      <c r="ME24" s="3">
        <v>31.92792</v>
      </c>
      <c r="MF24" s="3">
        <v>31.92717</v>
      </c>
      <c r="MG24" s="3">
        <v>31.92642</v>
      </c>
      <c r="MH24" s="3">
        <v>31.92567</v>
      </c>
      <c r="MI24" s="3">
        <v>31.92492</v>
      </c>
      <c r="MJ24" s="3">
        <v>31.92417</v>
      </c>
      <c r="MK24" s="3">
        <v>31.92342</v>
      </c>
      <c r="ML24" s="3">
        <v>31.92267</v>
      </c>
      <c r="MM24" s="3">
        <v>31.92192</v>
      </c>
      <c r="MN24" s="3">
        <v>31.92117</v>
      </c>
      <c r="MO24" s="3">
        <v>31.92042</v>
      </c>
      <c r="MP24" s="3">
        <v>31.91967</v>
      </c>
      <c r="MQ24" s="3">
        <v>31.91892</v>
      </c>
      <c r="MR24" s="3">
        <v>31.91817</v>
      </c>
      <c r="MS24" s="3">
        <v>31.91742</v>
      </c>
      <c r="MT24" s="3">
        <v>31.91667</v>
      </c>
      <c r="MU24" t="s">
        <v>470</v>
      </c>
      <c r="MV24" t="b">
        <v>0</v>
      </c>
      <c r="MW24" t="s">
        <v>377</v>
      </c>
      <c r="MX24" t="s">
        <v>377</v>
      </c>
      <c r="MY24">
        <v>2024</v>
      </c>
      <c r="MZ24">
        <v>4</v>
      </c>
      <c r="NA24" t="s">
        <v>377</v>
      </c>
      <c r="NB24" t="s">
        <v>471</v>
      </c>
      <c r="NC24" t="s">
        <v>472</v>
      </c>
      <c r="ND24" t="s">
        <v>380</v>
      </c>
      <c r="NE24" t="s">
        <v>473</v>
      </c>
      <c r="NF24" s="1" t="s">
        <v>455</v>
      </c>
    </row>
    <row r="25" spans="1:370" x14ac:dyDescent="0.25">
      <c r="A25" t="s">
        <v>382</v>
      </c>
      <c r="B25" t="s">
        <v>468</v>
      </c>
      <c r="C25" s="1" t="s">
        <v>454</v>
      </c>
      <c r="D25" t="s">
        <v>469</v>
      </c>
      <c r="E25" t="s">
        <v>377</v>
      </c>
      <c r="F25" t="s">
        <v>374</v>
      </c>
      <c r="G25" s="2">
        <v>36.9</v>
      </c>
      <c r="H25" s="2">
        <v>36.9</v>
      </c>
      <c r="I25" s="2">
        <v>36.833329999999997</v>
      </c>
      <c r="J25" s="2">
        <v>36.766669999999998</v>
      </c>
      <c r="K25" s="2">
        <v>36.6</v>
      </c>
      <c r="L25" s="2">
        <v>36.5</v>
      </c>
      <c r="M25" s="2">
        <v>36.466670000000001</v>
      </c>
      <c r="N25" s="2">
        <v>36.166670000000003</v>
      </c>
      <c r="O25" s="2">
        <v>35.866660000000003</v>
      </c>
      <c r="P25" s="2">
        <v>35.866660000000003</v>
      </c>
      <c r="Q25" s="2">
        <v>36.033329999999999</v>
      </c>
      <c r="R25" s="2">
        <v>36.133339999999997</v>
      </c>
      <c r="S25" s="2">
        <v>36.233330000000002</v>
      </c>
      <c r="T25" s="2">
        <v>36.1</v>
      </c>
      <c r="U25" s="2">
        <v>36.066670000000002</v>
      </c>
      <c r="V25" s="2">
        <v>35.9</v>
      </c>
      <c r="W25" s="2">
        <v>35.833329999999997</v>
      </c>
      <c r="X25" s="2">
        <v>36</v>
      </c>
      <c r="Y25" s="2">
        <v>35.866660000000003</v>
      </c>
      <c r="Z25" s="2">
        <v>35.9</v>
      </c>
      <c r="AA25" s="2">
        <v>35.566670000000002</v>
      </c>
      <c r="AB25" s="2">
        <v>35.833329999999997</v>
      </c>
      <c r="AC25" s="2">
        <v>35.799999999999997</v>
      </c>
      <c r="AD25" s="2">
        <v>35.733330000000002</v>
      </c>
      <c r="AE25" s="2">
        <v>35.700000000000003</v>
      </c>
      <c r="AF25" s="2">
        <v>35.5</v>
      </c>
      <c r="AG25" s="2">
        <v>35.6</v>
      </c>
      <c r="AH25" s="2">
        <v>35.6</v>
      </c>
      <c r="AI25" s="2">
        <v>35.366660000000003</v>
      </c>
      <c r="AJ25" s="2">
        <v>35.1</v>
      </c>
      <c r="AK25" s="2">
        <v>35.033329999999999</v>
      </c>
      <c r="AL25" s="2">
        <v>35.266669999999998</v>
      </c>
      <c r="AM25" s="2">
        <v>35.299999999999997</v>
      </c>
      <c r="AN25" s="2">
        <v>35.266669999999998</v>
      </c>
      <c r="AO25" s="2">
        <v>35.133339999999997</v>
      </c>
      <c r="AP25" s="2">
        <v>35</v>
      </c>
      <c r="AQ25" s="2">
        <v>34.700000000000003</v>
      </c>
      <c r="AR25" s="2">
        <v>34.799999999999997</v>
      </c>
      <c r="AS25" s="2">
        <v>34.766669999999998</v>
      </c>
      <c r="AT25" s="2">
        <v>34.633339999999997</v>
      </c>
      <c r="AU25" s="2">
        <v>34.700000000000003</v>
      </c>
      <c r="AV25" s="2">
        <v>34.866660000000003</v>
      </c>
      <c r="AW25" s="2">
        <v>34.933329999999998</v>
      </c>
      <c r="AX25" s="2">
        <v>35.133339999999997</v>
      </c>
      <c r="AY25" s="2">
        <v>35.166670000000003</v>
      </c>
      <c r="AZ25" s="2">
        <v>35.133339999999997</v>
      </c>
      <c r="BA25" s="2">
        <v>35.066670000000002</v>
      </c>
      <c r="BB25" s="2">
        <v>35</v>
      </c>
      <c r="BC25" s="2">
        <v>34.866660000000003</v>
      </c>
      <c r="BD25" s="2">
        <v>34.9</v>
      </c>
      <c r="BE25" s="2">
        <v>34.799999999999997</v>
      </c>
      <c r="BF25" s="2">
        <v>34.833329999999997</v>
      </c>
      <c r="BG25" s="2">
        <v>34.833329999999997</v>
      </c>
      <c r="BH25" s="2">
        <v>34.633339999999997</v>
      </c>
      <c r="BI25" s="2">
        <v>34.633339999999997</v>
      </c>
      <c r="BJ25" s="2">
        <v>34.633339999999997</v>
      </c>
      <c r="BK25" s="2">
        <v>34.766669999999998</v>
      </c>
      <c r="BL25" s="2">
        <v>34.733330000000002</v>
      </c>
      <c r="BM25" s="2">
        <v>34.733330000000002</v>
      </c>
      <c r="BN25" s="2">
        <v>34.733330000000002</v>
      </c>
      <c r="BO25" s="2">
        <v>34.6</v>
      </c>
      <c r="BP25" s="2">
        <v>34.6</v>
      </c>
      <c r="BQ25" s="2">
        <v>34.533329999999999</v>
      </c>
      <c r="BR25" s="2">
        <v>34.6</v>
      </c>
      <c r="BS25" s="2">
        <v>34.566670000000002</v>
      </c>
      <c r="BT25" s="2">
        <v>34.466670000000001</v>
      </c>
      <c r="BU25" s="2">
        <v>34.466670000000001</v>
      </c>
      <c r="BV25" s="2">
        <v>34.433329999999998</v>
      </c>
      <c r="BW25" s="2">
        <v>34.433329999999998</v>
      </c>
      <c r="BX25" s="2">
        <v>34.299999999999997</v>
      </c>
      <c r="BY25" s="2">
        <v>34.233330000000002</v>
      </c>
      <c r="BZ25" s="2">
        <v>34.166670000000003</v>
      </c>
      <c r="CA25" s="2">
        <v>34.1</v>
      </c>
      <c r="CB25" s="2">
        <v>34.066670000000002</v>
      </c>
      <c r="CC25" s="2">
        <v>34.1</v>
      </c>
      <c r="CD25" s="2">
        <v>34.1</v>
      </c>
      <c r="CE25" s="2">
        <v>34.1</v>
      </c>
      <c r="CF25" s="2">
        <v>34.266669999999998</v>
      </c>
      <c r="CG25" s="2">
        <v>34.233330000000002</v>
      </c>
      <c r="CH25" s="2">
        <v>34.200000000000003</v>
      </c>
      <c r="CI25" s="2">
        <v>34.233330000000002</v>
      </c>
      <c r="CJ25" s="2">
        <v>34.333329999999997</v>
      </c>
      <c r="CK25" s="2">
        <v>34.366660000000003</v>
      </c>
      <c r="CL25" s="2">
        <v>34.433329999999998</v>
      </c>
      <c r="CM25" s="2">
        <v>34.366660000000003</v>
      </c>
      <c r="CN25" s="2">
        <v>34.5</v>
      </c>
      <c r="CO25" s="2">
        <v>34.533329999999999</v>
      </c>
      <c r="CP25" s="2">
        <v>34.5</v>
      </c>
      <c r="CQ25" s="2">
        <v>34.433329999999998</v>
      </c>
      <c r="CR25" s="2">
        <v>34.233330000000002</v>
      </c>
      <c r="CS25" s="2">
        <v>34.299999999999997</v>
      </c>
      <c r="CT25" s="2">
        <v>34.233330000000002</v>
      </c>
      <c r="CU25" s="2">
        <v>34.133339999999997</v>
      </c>
      <c r="CV25" s="2">
        <v>34.299999999999997</v>
      </c>
      <c r="CW25" s="2">
        <v>34.366660000000003</v>
      </c>
      <c r="CX25" s="2">
        <v>34.4</v>
      </c>
      <c r="CY25" s="2">
        <v>34.4</v>
      </c>
      <c r="CZ25" s="2">
        <v>34.466670000000001</v>
      </c>
      <c r="DA25" s="2">
        <v>34.566670000000002</v>
      </c>
      <c r="DB25" s="2">
        <v>34.566670000000002</v>
      </c>
      <c r="DC25" s="2">
        <v>34.5</v>
      </c>
      <c r="DD25" s="2">
        <v>34.433329999999998</v>
      </c>
      <c r="DE25" s="2">
        <v>34.433329999999998</v>
      </c>
      <c r="DF25" s="2">
        <v>34.466670000000001</v>
      </c>
      <c r="DG25" s="2">
        <v>34.4</v>
      </c>
      <c r="DH25" s="2">
        <v>34.366660000000003</v>
      </c>
      <c r="DI25" s="2">
        <v>34.366660000000003</v>
      </c>
      <c r="DJ25" s="2">
        <v>34.4</v>
      </c>
      <c r="DK25" s="2">
        <v>34.4</v>
      </c>
      <c r="DL25" s="2">
        <v>34.333329999999997</v>
      </c>
      <c r="DM25" s="2">
        <v>34.266669999999998</v>
      </c>
      <c r="DN25" s="2">
        <v>34.133339999999997</v>
      </c>
      <c r="DO25" s="2">
        <v>34.1</v>
      </c>
      <c r="DP25" s="2">
        <v>34</v>
      </c>
      <c r="DQ25" s="2">
        <v>33.9</v>
      </c>
      <c r="DR25" s="2">
        <v>33.766669999999998</v>
      </c>
      <c r="DS25" s="2">
        <v>33.833329999999997</v>
      </c>
      <c r="DT25" s="2">
        <v>33.9</v>
      </c>
      <c r="DU25" s="2">
        <v>33.866660000000003</v>
      </c>
      <c r="DV25" s="2">
        <v>33.799999999999997</v>
      </c>
      <c r="DW25" s="2">
        <v>33.666670000000003</v>
      </c>
      <c r="DX25" s="2">
        <v>33.633339999999997</v>
      </c>
      <c r="DY25" s="2">
        <v>33.633339999999997</v>
      </c>
      <c r="DZ25" s="2">
        <v>33.700000000000003</v>
      </c>
      <c r="EA25" s="2">
        <v>33.733330000000002</v>
      </c>
      <c r="EB25" s="2">
        <v>33.700000000000003</v>
      </c>
      <c r="EC25" s="2">
        <v>33.700000000000003</v>
      </c>
      <c r="ED25" s="2">
        <v>33.766669999999998</v>
      </c>
      <c r="EE25" s="2">
        <v>33.733330000000002</v>
      </c>
      <c r="EF25" s="2">
        <v>33.733330000000002</v>
      </c>
      <c r="EG25" s="2">
        <v>33.733330000000002</v>
      </c>
      <c r="EH25" s="2">
        <v>33.799999999999997</v>
      </c>
      <c r="EI25" s="2">
        <v>33.833329999999997</v>
      </c>
      <c r="EJ25" s="2">
        <v>33.833329999999997</v>
      </c>
      <c r="EK25" s="2">
        <v>33.833329999999997</v>
      </c>
      <c r="EL25" s="2">
        <v>33.866660000000003</v>
      </c>
      <c r="EM25" s="2">
        <v>33.799999999999997</v>
      </c>
      <c r="EN25" s="2">
        <v>33.833329999999997</v>
      </c>
      <c r="EO25" s="2">
        <v>33.799999999999997</v>
      </c>
      <c r="EP25" s="2">
        <v>33.799999999999997</v>
      </c>
      <c r="EQ25" s="2">
        <v>33.733330000000002</v>
      </c>
      <c r="ER25" s="2">
        <v>33.700000000000003</v>
      </c>
      <c r="ES25" s="2">
        <v>33.6</v>
      </c>
      <c r="ET25" s="2">
        <v>33.433329999999998</v>
      </c>
      <c r="EU25" s="2">
        <v>33.233330000000002</v>
      </c>
      <c r="EV25" s="2">
        <v>33.033329999999999</v>
      </c>
      <c r="EW25" s="2">
        <v>33.1</v>
      </c>
      <c r="EX25" s="2">
        <v>33.166670000000003</v>
      </c>
      <c r="EY25" s="2">
        <v>33.233330000000002</v>
      </c>
      <c r="EZ25" s="2">
        <v>33.366660000000003</v>
      </c>
      <c r="FA25" s="2">
        <v>33.466670000000001</v>
      </c>
      <c r="FB25" s="2">
        <v>33.533329999999999</v>
      </c>
      <c r="FC25" s="2">
        <v>33.466670000000001</v>
      </c>
      <c r="FD25" s="2">
        <v>33.6</v>
      </c>
      <c r="FE25" s="2">
        <v>33.6</v>
      </c>
      <c r="FF25" s="2">
        <v>33.666670000000003</v>
      </c>
      <c r="FG25" s="2">
        <v>33.733330000000002</v>
      </c>
      <c r="FH25" s="2">
        <v>33.666670000000003</v>
      </c>
      <c r="FI25" s="2">
        <v>33.666670000000003</v>
      </c>
      <c r="FJ25" s="2">
        <v>33.666670000000003</v>
      </c>
      <c r="FK25" s="2">
        <v>33.700000000000003</v>
      </c>
      <c r="FL25" s="2">
        <v>33.666670000000003</v>
      </c>
      <c r="FM25" s="2">
        <v>33.6</v>
      </c>
      <c r="FN25" s="2">
        <v>33.6</v>
      </c>
      <c r="FO25" s="2">
        <v>33.533329999999999</v>
      </c>
      <c r="FP25" s="2">
        <v>33.700000000000003</v>
      </c>
      <c r="FQ25" s="2">
        <v>33.700000000000003</v>
      </c>
      <c r="FR25" s="2">
        <v>33.766669999999998</v>
      </c>
      <c r="FS25" s="2">
        <v>33.733330000000002</v>
      </c>
      <c r="FT25" s="2">
        <v>33.6</v>
      </c>
      <c r="FU25" s="2">
        <v>33.733330000000002</v>
      </c>
      <c r="FV25" s="2">
        <v>33.733330000000002</v>
      </c>
      <c r="FW25" s="2">
        <v>33.633339999999997</v>
      </c>
      <c r="FX25" s="2">
        <v>33.6</v>
      </c>
      <c r="FY25" s="2">
        <v>33.566670000000002</v>
      </c>
      <c r="FZ25" s="2">
        <v>33.566670000000002</v>
      </c>
      <c r="GA25" s="2">
        <v>33.566670000000002</v>
      </c>
      <c r="GB25" s="2">
        <v>33.666670000000003</v>
      </c>
      <c r="GC25" s="2">
        <v>33.633339999999997</v>
      </c>
      <c r="GD25" s="2">
        <v>33.733330000000002</v>
      </c>
      <c r="GE25" s="2">
        <v>33.700000000000003</v>
      </c>
      <c r="GF25" s="2">
        <v>33.733330000000002</v>
      </c>
      <c r="GG25" s="2">
        <v>33.733330000000002</v>
      </c>
      <c r="GH25" s="2">
        <v>33.700000000000003</v>
      </c>
      <c r="GI25" s="2">
        <v>33.700000000000003</v>
      </c>
      <c r="GJ25" s="2">
        <v>33.633339999999997</v>
      </c>
      <c r="GK25" s="2">
        <v>33.566670000000002</v>
      </c>
      <c r="GL25" s="2">
        <v>33.566670000000002</v>
      </c>
      <c r="GM25" s="2">
        <v>33.566670000000002</v>
      </c>
      <c r="GN25" s="2">
        <v>33.866660000000003</v>
      </c>
      <c r="GO25" s="2">
        <v>34.066670000000002</v>
      </c>
      <c r="GP25" s="2">
        <v>34.233330000000002</v>
      </c>
      <c r="GQ25" s="2">
        <v>34.266669999999998</v>
      </c>
      <c r="GR25" s="2">
        <v>34.333329999999997</v>
      </c>
      <c r="GS25" s="2">
        <v>34.233330000000002</v>
      </c>
      <c r="GT25" s="2">
        <v>34.200000000000003</v>
      </c>
      <c r="GU25" s="2">
        <v>34.066670000000002</v>
      </c>
      <c r="GV25" s="2">
        <v>34.066670000000002</v>
      </c>
      <c r="GW25" s="2">
        <v>34.033329999999999</v>
      </c>
      <c r="GX25" s="2">
        <v>33.9</v>
      </c>
      <c r="GY25" s="2">
        <v>33.966670000000001</v>
      </c>
      <c r="GZ25" s="2">
        <v>33.833329999999997</v>
      </c>
      <c r="HA25" s="2">
        <v>33.799999999999997</v>
      </c>
      <c r="HB25" s="2">
        <v>33.766669999999998</v>
      </c>
      <c r="HC25" s="2">
        <v>33.666670000000003</v>
      </c>
      <c r="HD25" s="2">
        <v>33.700000000000003</v>
      </c>
      <c r="HE25" s="2">
        <v>33.700000000000003</v>
      </c>
      <c r="HF25" s="2">
        <v>33.666670000000003</v>
      </c>
      <c r="HG25" s="3">
        <v>33.793590000000002</v>
      </c>
      <c r="HH25" s="3">
        <v>33.789009999999998</v>
      </c>
      <c r="HI25" s="3">
        <v>33.784410000000001</v>
      </c>
      <c r="HJ25" s="3">
        <v>33.779820000000001</v>
      </c>
      <c r="HK25" s="3">
        <v>33.775239999999997</v>
      </c>
      <c r="HL25" s="3">
        <v>33.770659999999999</v>
      </c>
      <c r="HM25" s="3">
        <v>33.76605</v>
      </c>
      <c r="HN25" s="3">
        <v>33.762790000000003</v>
      </c>
      <c r="HO25" s="3">
        <v>33.759520000000002</v>
      </c>
      <c r="HP25" s="3">
        <v>33.756250000000001</v>
      </c>
      <c r="HQ25" s="3">
        <v>33.752980000000001</v>
      </c>
      <c r="HR25" s="3">
        <v>33.74971</v>
      </c>
      <c r="HS25" s="3">
        <v>33.74644</v>
      </c>
      <c r="HT25" s="3">
        <v>33.743169999999999</v>
      </c>
      <c r="HU25" s="3">
        <v>33.739899999999999</v>
      </c>
      <c r="HV25" s="3">
        <v>33.736620000000002</v>
      </c>
      <c r="HW25" s="3">
        <v>33.733350000000002</v>
      </c>
      <c r="HX25" s="3">
        <v>33.730089999999997</v>
      </c>
      <c r="HY25" s="3">
        <v>33.726819999999996</v>
      </c>
      <c r="HZ25" s="3">
        <v>33.723550000000003</v>
      </c>
      <c r="IA25" s="3">
        <v>33.720280000000002</v>
      </c>
      <c r="IB25" s="3">
        <v>33.717010000000002</v>
      </c>
      <c r="IC25" s="3">
        <v>33.713740000000001</v>
      </c>
      <c r="ID25" s="3">
        <v>33.710479999999997</v>
      </c>
      <c r="IE25" s="3">
        <v>33.7072</v>
      </c>
      <c r="IF25" s="3">
        <v>33.703949999999999</v>
      </c>
      <c r="IG25" s="3">
        <v>33.700690000000002</v>
      </c>
      <c r="IH25" s="3">
        <v>33.697420000000001</v>
      </c>
      <c r="II25" s="3">
        <v>33.69415</v>
      </c>
      <c r="IJ25" s="3">
        <v>33.690890000000003</v>
      </c>
      <c r="IK25" s="3">
        <v>33.687620000000003</v>
      </c>
      <c r="IL25" s="3">
        <v>33.684359999999998</v>
      </c>
      <c r="IM25" s="3">
        <v>33.681089999999998</v>
      </c>
      <c r="IN25" s="3">
        <v>33.677819999999997</v>
      </c>
      <c r="IO25" s="3">
        <v>33.67456</v>
      </c>
      <c r="IP25" s="3">
        <v>33.671300000000002</v>
      </c>
      <c r="IQ25" s="3">
        <v>33.668050000000001</v>
      </c>
      <c r="IR25" s="3">
        <v>33.66478</v>
      </c>
      <c r="IS25" s="3">
        <v>33.66151</v>
      </c>
      <c r="IT25" s="3">
        <v>33.658250000000002</v>
      </c>
      <c r="IU25" s="3">
        <v>33.654989999999998</v>
      </c>
      <c r="IV25" s="3">
        <v>33.651739999999997</v>
      </c>
      <c r="IW25" s="3">
        <v>33.648470000000003</v>
      </c>
      <c r="IX25" s="3">
        <v>33.645209999999999</v>
      </c>
      <c r="IY25" s="3">
        <v>33.641950000000001</v>
      </c>
      <c r="IZ25" s="3">
        <v>33.638689999999997</v>
      </c>
      <c r="JA25" s="3">
        <v>33.635440000000003</v>
      </c>
      <c r="JB25" s="3">
        <v>33.632179999999998</v>
      </c>
      <c r="JC25" s="3">
        <v>33.628909999999998</v>
      </c>
      <c r="JD25" s="3">
        <v>33.62565</v>
      </c>
      <c r="JE25" s="3">
        <v>33.622410000000002</v>
      </c>
      <c r="JF25" s="3">
        <v>33.619140000000002</v>
      </c>
      <c r="JG25" s="3">
        <v>33.615879999999997</v>
      </c>
      <c r="JH25" s="3">
        <v>33.612630000000003</v>
      </c>
      <c r="JI25" s="3">
        <v>33.609369999999998</v>
      </c>
      <c r="JJ25" s="3">
        <v>33.606119999999997</v>
      </c>
      <c r="JK25" s="3">
        <v>33.602870000000003</v>
      </c>
      <c r="JL25" s="3">
        <v>33.599600000000002</v>
      </c>
      <c r="JM25" s="3">
        <v>33.596350000000001</v>
      </c>
      <c r="JN25" s="3">
        <v>33.5931</v>
      </c>
      <c r="JO25" s="3">
        <v>33.589829999999999</v>
      </c>
      <c r="JP25" s="3">
        <v>33.586579999999998</v>
      </c>
      <c r="JQ25" s="3">
        <v>33.583320000000001</v>
      </c>
      <c r="JR25" s="3">
        <v>33.580060000000003</v>
      </c>
      <c r="JS25" s="3">
        <v>33.576819999999998</v>
      </c>
      <c r="JT25" s="3">
        <v>33.573569999999997</v>
      </c>
      <c r="JU25" s="3">
        <v>33.570300000000003</v>
      </c>
      <c r="JV25" s="3">
        <v>33.567070000000001</v>
      </c>
      <c r="JW25" s="3">
        <v>33.56382</v>
      </c>
      <c r="JX25" s="3">
        <v>33.560560000000002</v>
      </c>
      <c r="JY25" s="3">
        <v>33.557310000000001</v>
      </c>
      <c r="JZ25" s="3">
        <v>33.55406</v>
      </c>
      <c r="KA25" s="3">
        <v>33.550800000000002</v>
      </c>
      <c r="KB25" s="3">
        <v>33.547550000000001</v>
      </c>
      <c r="KC25" s="3">
        <v>33.5443</v>
      </c>
      <c r="KD25" s="3">
        <v>33.541040000000002</v>
      </c>
      <c r="KE25" s="3">
        <v>33.537790000000001</v>
      </c>
      <c r="KF25" s="3">
        <v>33.534550000000003</v>
      </c>
      <c r="KG25" s="3">
        <v>33.531280000000002</v>
      </c>
      <c r="KH25" s="3">
        <v>33.52805</v>
      </c>
      <c r="KI25" s="3">
        <v>33.524799999999999</v>
      </c>
      <c r="KJ25" s="3">
        <v>33.521540000000002</v>
      </c>
      <c r="KK25" s="3">
        <v>33.51829</v>
      </c>
      <c r="KL25" s="3">
        <v>33.515039999999999</v>
      </c>
      <c r="KM25" s="3">
        <v>33.511780000000002</v>
      </c>
      <c r="KN25" s="3">
        <v>33.50853</v>
      </c>
      <c r="KO25" s="3">
        <v>33.505270000000003</v>
      </c>
      <c r="KP25" s="3">
        <v>33.502020000000002</v>
      </c>
      <c r="KQ25" s="3">
        <v>33.49877</v>
      </c>
      <c r="KR25" s="3">
        <v>33.495519999999999</v>
      </c>
      <c r="KS25" s="3">
        <v>33.492260000000002</v>
      </c>
      <c r="KT25" s="3">
        <v>33.48903</v>
      </c>
      <c r="KU25" s="3">
        <v>33.485770000000002</v>
      </c>
      <c r="KV25" s="3">
        <v>33.482520000000001</v>
      </c>
      <c r="KW25" s="3">
        <v>33.47927</v>
      </c>
      <c r="KX25" s="3">
        <v>33.476019999999998</v>
      </c>
      <c r="KY25" s="3">
        <v>33.472760000000001</v>
      </c>
      <c r="KZ25" s="3">
        <v>33.46951</v>
      </c>
      <c r="LA25" s="3">
        <v>33.466250000000002</v>
      </c>
      <c r="LB25" s="3">
        <v>33.463000000000001</v>
      </c>
      <c r="LC25" s="3">
        <v>33.45975</v>
      </c>
      <c r="LD25" s="3">
        <v>33.456499999999998</v>
      </c>
      <c r="LE25" s="3">
        <v>33.453240000000001</v>
      </c>
      <c r="LF25" s="3">
        <v>33.44999</v>
      </c>
      <c r="LG25" s="3">
        <v>33.446739999999998</v>
      </c>
      <c r="LH25" s="3">
        <v>33.443489999999997</v>
      </c>
      <c r="LI25" s="3">
        <v>33.440240000000003</v>
      </c>
      <c r="LJ25" s="3">
        <v>33.436990000000002</v>
      </c>
      <c r="LK25" s="3">
        <v>33.43374</v>
      </c>
      <c r="LL25" s="3">
        <v>33.430489999999999</v>
      </c>
      <c r="LM25" s="3">
        <v>33.427239999999998</v>
      </c>
      <c r="LN25" s="3">
        <v>33.423990000000003</v>
      </c>
      <c r="LO25" s="3">
        <v>33.420740000000002</v>
      </c>
      <c r="LP25" s="3">
        <v>33.417490000000001</v>
      </c>
      <c r="LQ25" s="3">
        <v>33.414239999999999</v>
      </c>
      <c r="LR25" s="3">
        <v>33.410989999999998</v>
      </c>
      <c r="LS25" s="3">
        <v>33.407739999999997</v>
      </c>
      <c r="LT25" s="3">
        <v>33.404499999999999</v>
      </c>
      <c r="LU25" s="3">
        <v>33.401249999999997</v>
      </c>
      <c r="LV25" s="3">
        <v>33.398000000000003</v>
      </c>
      <c r="LW25" s="3">
        <v>33.394759999999998</v>
      </c>
      <c r="LX25" s="3">
        <v>33.391509999999997</v>
      </c>
      <c r="LY25" s="3">
        <v>33.388260000000002</v>
      </c>
      <c r="LZ25" s="3">
        <v>33.385019999999997</v>
      </c>
      <c r="MA25" s="3">
        <v>33.381770000000003</v>
      </c>
      <c r="MB25" s="3">
        <v>33.378520000000002</v>
      </c>
      <c r="MC25" s="3">
        <v>33.375279999999997</v>
      </c>
      <c r="MD25" s="3">
        <v>33.372030000000002</v>
      </c>
      <c r="ME25" s="3">
        <v>33.368789999999997</v>
      </c>
      <c r="MF25" s="3">
        <v>33.365549999999999</v>
      </c>
      <c r="MG25" s="3">
        <v>33.362299999999998</v>
      </c>
      <c r="MH25" s="3">
        <v>33.359059999999999</v>
      </c>
      <c r="MI25" s="3">
        <v>33.355820000000001</v>
      </c>
      <c r="MJ25" s="3">
        <v>33.352580000000003</v>
      </c>
      <c r="MK25" s="3">
        <v>33.349330000000002</v>
      </c>
      <c r="ML25" s="3">
        <v>33.346089999999997</v>
      </c>
      <c r="MM25" s="3">
        <v>33.342849999999999</v>
      </c>
      <c r="MN25" s="3">
        <v>33.33961</v>
      </c>
      <c r="MO25" s="3">
        <v>33.336359999999999</v>
      </c>
      <c r="MP25" s="3">
        <v>33.333120000000001</v>
      </c>
      <c r="MQ25" s="3">
        <v>33.329880000000003</v>
      </c>
      <c r="MR25" s="3">
        <v>33.326639999999998</v>
      </c>
      <c r="MS25" s="3">
        <v>33.323410000000003</v>
      </c>
      <c r="MT25" s="3">
        <v>33.320169999999997</v>
      </c>
      <c r="MU25" t="s">
        <v>421</v>
      </c>
      <c r="MV25" t="b">
        <v>1</v>
      </c>
      <c r="MW25" t="s">
        <v>377</v>
      </c>
      <c r="MX25" t="s">
        <v>377</v>
      </c>
      <c r="MY25">
        <v>2024</v>
      </c>
      <c r="MZ25">
        <v>4</v>
      </c>
      <c r="NA25" t="s">
        <v>377</v>
      </c>
      <c r="NB25" t="s">
        <v>474</v>
      </c>
      <c r="NC25" t="s">
        <v>475</v>
      </c>
      <c r="ND25" t="s">
        <v>389</v>
      </c>
      <c r="NE25" t="s">
        <v>473</v>
      </c>
      <c r="NF25" s="1" t="s">
        <v>455</v>
      </c>
    </row>
    <row r="26" spans="1:370" x14ac:dyDescent="0.25">
      <c r="A26" t="s">
        <v>370</v>
      </c>
      <c r="B26" t="s">
        <v>476</v>
      </c>
      <c r="C26" s="1" t="s">
        <v>454</v>
      </c>
      <c r="D26" t="s">
        <v>477</v>
      </c>
      <c r="E26" t="s">
        <v>377</v>
      </c>
      <c r="F26" t="s">
        <v>374</v>
      </c>
      <c r="G26" s="2">
        <v>284961.7</v>
      </c>
      <c r="H26" s="2">
        <v>285664.3</v>
      </c>
      <c r="I26" s="2">
        <v>286372.7</v>
      </c>
      <c r="J26" s="2">
        <v>287086.90000000002</v>
      </c>
      <c r="K26" s="2">
        <v>287816.59999999998</v>
      </c>
      <c r="L26" s="2">
        <v>288543.59999999998</v>
      </c>
      <c r="M26" s="2">
        <v>289232.5</v>
      </c>
      <c r="N26" s="2">
        <v>289883.3</v>
      </c>
      <c r="O26" s="2">
        <v>290563.3</v>
      </c>
      <c r="P26" s="2">
        <v>291258.2</v>
      </c>
      <c r="Q26" s="2">
        <v>291879.90000000002</v>
      </c>
      <c r="R26" s="2">
        <v>292428.59999999998</v>
      </c>
      <c r="S26" s="2">
        <v>292999.90000000002</v>
      </c>
      <c r="T26" s="2">
        <v>293600.3</v>
      </c>
      <c r="U26" s="2">
        <v>294143.09999999998</v>
      </c>
      <c r="V26" s="2">
        <v>294628.40000000002</v>
      </c>
      <c r="W26" s="2">
        <v>295115.2</v>
      </c>
      <c r="X26" s="2">
        <v>295625.2</v>
      </c>
      <c r="Y26" s="2">
        <v>296130.2</v>
      </c>
      <c r="Z26" s="2">
        <v>296630.2</v>
      </c>
      <c r="AA26" s="2">
        <v>297110.90000000002</v>
      </c>
      <c r="AB26" s="2">
        <v>297594.09999999998</v>
      </c>
      <c r="AC26" s="2">
        <v>298124.7</v>
      </c>
      <c r="AD26" s="2">
        <v>298702.8</v>
      </c>
      <c r="AE26" s="2">
        <v>299240.8</v>
      </c>
      <c r="AF26" s="2">
        <v>299760.5</v>
      </c>
      <c r="AG26" s="2">
        <v>300380.2</v>
      </c>
      <c r="AH26" s="2">
        <v>301099.8</v>
      </c>
      <c r="AI26" s="2">
        <v>305710.09999999998</v>
      </c>
      <c r="AJ26" s="2">
        <v>306399.5</v>
      </c>
      <c r="AK26" s="2">
        <v>307054.90000000002</v>
      </c>
      <c r="AL26" s="2">
        <v>307760.8</v>
      </c>
      <c r="AM26" s="2">
        <v>308462.7</v>
      </c>
      <c r="AN26" s="2">
        <v>309145.40000000002</v>
      </c>
      <c r="AO26" s="2">
        <v>309685.09999999998</v>
      </c>
      <c r="AP26" s="2">
        <v>310237.59999999998</v>
      </c>
      <c r="AQ26" s="2">
        <v>310773</v>
      </c>
      <c r="AR26" s="2">
        <v>311304.09999999998</v>
      </c>
      <c r="AS26" s="2">
        <v>312006</v>
      </c>
      <c r="AT26" s="2">
        <v>312752.59999999998</v>
      </c>
      <c r="AU26" s="2">
        <v>313469.8</v>
      </c>
      <c r="AV26" s="2">
        <v>314170.8</v>
      </c>
      <c r="AW26" s="2">
        <v>315042.90000000002</v>
      </c>
      <c r="AX26" s="2">
        <v>315991.8</v>
      </c>
      <c r="AY26" s="2">
        <v>316899.40000000002</v>
      </c>
      <c r="AZ26" s="2">
        <v>317778.5</v>
      </c>
      <c r="BA26" s="2">
        <v>318840.40000000002</v>
      </c>
      <c r="BB26" s="2">
        <v>320011.8</v>
      </c>
      <c r="BC26" s="2">
        <v>321121.7</v>
      </c>
      <c r="BD26" s="2">
        <v>322191.09999999998</v>
      </c>
      <c r="BE26" s="2">
        <v>323401.40000000002</v>
      </c>
      <c r="BF26" s="2">
        <v>324774</v>
      </c>
      <c r="BG26" s="2">
        <v>326094.3</v>
      </c>
      <c r="BH26" s="2">
        <v>327353.40000000002</v>
      </c>
      <c r="BI26" s="2">
        <v>328357.09999999998</v>
      </c>
      <c r="BJ26" s="2">
        <v>329500.79999999999</v>
      </c>
      <c r="BK26" s="2">
        <v>330621.3</v>
      </c>
      <c r="BL26" s="2">
        <v>331686.3</v>
      </c>
      <c r="BM26" s="2">
        <v>332802</v>
      </c>
      <c r="BN26" s="2">
        <v>333979.8</v>
      </c>
      <c r="BO26" s="2">
        <v>335165.2</v>
      </c>
      <c r="BP26" s="2">
        <v>336326.1</v>
      </c>
      <c r="BQ26" s="2">
        <v>337543.9</v>
      </c>
      <c r="BR26" s="2">
        <v>338746.7</v>
      </c>
      <c r="BS26" s="2">
        <v>339988.5</v>
      </c>
      <c r="BT26" s="2">
        <v>341236.8</v>
      </c>
      <c r="BU26" s="2">
        <v>342391.9</v>
      </c>
      <c r="BV26" s="2">
        <v>343453.9</v>
      </c>
      <c r="BW26" s="2">
        <v>344556.3</v>
      </c>
      <c r="BX26" s="2">
        <v>345697</v>
      </c>
      <c r="BY26" s="2">
        <v>346798.8</v>
      </c>
      <c r="BZ26" s="2">
        <v>347801.59999999998</v>
      </c>
      <c r="CA26" s="2">
        <v>348823.9</v>
      </c>
      <c r="CB26" s="2">
        <v>349887.5</v>
      </c>
      <c r="CC26" s="2">
        <v>350817.9</v>
      </c>
      <c r="CD26" s="2">
        <v>351700.9</v>
      </c>
      <c r="CE26" s="2">
        <v>352599.9</v>
      </c>
      <c r="CF26" s="2">
        <v>353518.7</v>
      </c>
      <c r="CG26" s="2">
        <v>354372.5</v>
      </c>
      <c r="CH26" s="2">
        <v>355187.5</v>
      </c>
      <c r="CI26" s="2">
        <v>356014.8</v>
      </c>
      <c r="CJ26" s="2">
        <v>356858.4</v>
      </c>
      <c r="CK26" s="2">
        <v>357701.2</v>
      </c>
      <c r="CL26" s="2">
        <v>358513.9</v>
      </c>
      <c r="CM26" s="2">
        <v>359335.7</v>
      </c>
      <c r="CN26" s="2">
        <v>360170.3</v>
      </c>
      <c r="CO26" s="2">
        <v>361006.9</v>
      </c>
      <c r="CP26" s="2">
        <v>361822.1</v>
      </c>
      <c r="CQ26" s="2">
        <v>362716.5</v>
      </c>
      <c r="CR26" s="2">
        <v>363618.8</v>
      </c>
      <c r="CS26" s="2">
        <v>364289.3</v>
      </c>
      <c r="CT26" s="2">
        <v>364765.5</v>
      </c>
      <c r="CU26" s="2">
        <v>365321.5</v>
      </c>
      <c r="CV26" s="2">
        <v>365954.9</v>
      </c>
      <c r="CW26" s="2">
        <v>366558.6</v>
      </c>
      <c r="CX26" s="2">
        <v>366961.8</v>
      </c>
      <c r="CY26" s="2">
        <v>367339.3</v>
      </c>
      <c r="CZ26" s="2">
        <v>367799.4</v>
      </c>
      <c r="DA26" s="2">
        <v>368335.6</v>
      </c>
      <c r="DB26" s="2">
        <v>368931.3</v>
      </c>
      <c r="DC26" s="2">
        <v>369398.2</v>
      </c>
      <c r="DD26" s="2">
        <v>369844.5</v>
      </c>
      <c r="DE26" s="2">
        <v>370802</v>
      </c>
      <c r="DF26" s="2">
        <v>372081.5</v>
      </c>
      <c r="DG26" s="2">
        <v>373129.6</v>
      </c>
      <c r="DH26" s="2">
        <v>374054.2</v>
      </c>
      <c r="DI26" s="2">
        <v>375671.4</v>
      </c>
      <c r="DJ26" s="2">
        <v>377878.1</v>
      </c>
      <c r="DK26" s="2">
        <v>379754.3</v>
      </c>
      <c r="DL26" s="2">
        <v>381403.9</v>
      </c>
      <c r="DM26" s="2">
        <v>383917.8</v>
      </c>
      <c r="DN26" s="2">
        <v>387283.8</v>
      </c>
      <c r="DO26" s="2">
        <v>390395</v>
      </c>
      <c r="DP26" s="2">
        <v>393176.9</v>
      </c>
      <c r="DQ26" s="2">
        <v>396657.2</v>
      </c>
      <c r="DR26" s="2">
        <v>400820.9</v>
      </c>
      <c r="DS26" s="2">
        <v>404886</v>
      </c>
      <c r="DT26" s="2">
        <v>408691.4</v>
      </c>
      <c r="DU26" s="2">
        <v>412809</v>
      </c>
      <c r="DV26" s="2">
        <v>417228.1</v>
      </c>
      <c r="DW26" s="2">
        <v>421703</v>
      </c>
      <c r="DX26" s="2">
        <v>426072.3</v>
      </c>
      <c r="DY26" s="2">
        <v>430408.7</v>
      </c>
      <c r="DZ26" s="2">
        <v>434658.5</v>
      </c>
      <c r="EA26" s="2">
        <v>439119.6</v>
      </c>
      <c r="EB26" s="2">
        <v>443630.4</v>
      </c>
      <c r="EC26" s="2">
        <v>448052.4</v>
      </c>
      <c r="ED26" s="2">
        <v>451995.5</v>
      </c>
      <c r="EE26" s="2">
        <v>456140.6</v>
      </c>
      <c r="EF26" s="2">
        <v>460499.9</v>
      </c>
      <c r="EG26" s="2">
        <v>464348.4</v>
      </c>
      <c r="EH26" s="2">
        <v>467732.7</v>
      </c>
      <c r="EI26" s="2">
        <v>471209.7</v>
      </c>
      <c r="EJ26" s="2">
        <v>474891.1</v>
      </c>
      <c r="EK26" s="2">
        <v>478299.1</v>
      </c>
      <c r="EL26" s="2">
        <v>481504.5</v>
      </c>
      <c r="EM26" s="2">
        <v>484819.3</v>
      </c>
      <c r="EN26" s="2">
        <v>488229</v>
      </c>
      <c r="EO26" s="2">
        <v>491140.7</v>
      </c>
      <c r="EP26" s="2">
        <v>493808</v>
      </c>
      <c r="EQ26" s="2">
        <v>496596.4</v>
      </c>
      <c r="ER26" s="2">
        <v>499491.3</v>
      </c>
      <c r="ES26" s="2">
        <v>501833.9</v>
      </c>
      <c r="ET26" s="2">
        <v>503890.9</v>
      </c>
      <c r="EU26" s="2">
        <v>506081.4</v>
      </c>
      <c r="EV26" s="2">
        <v>508390.9</v>
      </c>
      <c r="EW26" s="2">
        <v>510449.5</v>
      </c>
      <c r="EX26" s="2">
        <v>512183.3</v>
      </c>
      <c r="EY26" s="2">
        <v>513913.4</v>
      </c>
      <c r="EZ26" s="2">
        <v>515780.1</v>
      </c>
      <c r="FA26" s="2">
        <v>517750.8</v>
      </c>
      <c r="FB26" s="2">
        <v>519733.6</v>
      </c>
      <c r="FC26" s="3">
        <v>521714.2</v>
      </c>
      <c r="FD26" s="3">
        <v>523693.2</v>
      </c>
      <c r="FE26" s="3">
        <v>524728.5</v>
      </c>
      <c r="FF26" s="3">
        <v>525755.5</v>
      </c>
      <c r="FG26" s="3">
        <v>526774</v>
      </c>
      <c r="FH26" s="3">
        <v>527783.9</v>
      </c>
      <c r="FI26" s="3">
        <v>529038</v>
      </c>
      <c r="FJ26" s="3">
        <v>530285.6</v>
      </c>
      <c r="FK26" s="3">
        <v>531526.9</v>
      </c>
      <c r="FL26" s="3">
        <v>532761.80000000005</v>
      </c>
      <c r="FM26" s="3">
        <v>534300.9</v>
      </c>
      <c r="FN26" s="3">
        <v>535835.69999999995</v>
      </c>
      <c r="FO26" s="3">
        <v>537365.9</v>
      </c>
      <c r="FP26" s="3">
        <v>538891.4</v>
      </c>
      <c r="FQ26" s="3">
        <v>540637</v>
      </c>
      <c r="FR26" s="3">
        <v>542379.1</v>
      </c>
      <c r="FS26" s="3">
        <v>544117.5</v>
      </c>
      <c r="FT26" s="3">
        <v>545852.30000000005</v>
      </c>
      <c r="FU26" s="3">
        <v>547637.4</v>
      </c>
      <c r="FV26" s="3">
        <v>549419.80000000005</v>
      </c>
      <c r="FW26" s="3">
        <v>551200.30000000005</v>
      </c>
      <c r="FX26" s="3">
        <v>552979</v>
      </c>
      <c r="FY26" s="3">
        <v>554462.69999999995</v>
      </c>
      <c r="FZ26" s="3">
        <v>555943.9</v>
      </c>
      <c r="GA26" s="3">
        <v>557423</v>
      </c>
      <c r="GB26" s="3">
        <v>558899.9</v>
      </c>
      <c r="GC26" s="3">
        <v>560513.80000000005</v>
      </c>
      <c r="GD26" s="3">
        <v>562125.9</v>
      </c>
      <c r="GE26" s="3">
        <v>563736.6</v>
      </c>
      <c r="GF26" s="3">
        <v>565345.4</v>
      </c>
      <c r="GG26" s="3">
        <v>566909.9</v>
      </c>
      <c r="GH26" s="3">
        <v>568472.69999999995</v>
      </c>
      <c r="GI26" s="3">
        <v>570033.9</v>
      </c>
      <c r="GJ26" s="3">
        <v>571593.6</v>
      </c>
      <c r="GK26" s="3">
        <v>573134.1</v>
      </c>
      <c r="GL26" s="3">
        <v>574673.30000000005</v>
      </c>
      <c r="GM26" s="3">
        <v>576211.30000000005</v>
      </c>
      <c r="GN26" s="3">
        <v>577748.19999999995</v>
      </c>
      <c r="GO26" s="3">
        <v>578591.1</v>
      </c>
      <c r="GP26" s="3">
        <v>579431.1</v>
      </c>
      <c r="GQ26" s="3">
        <v>580268.4</v>
      </c>
      <c r="GR26" s="3">
        <v>581102.9</v>
      </c>
      <c r="GS26" s="3">
        <v>583171.1</v>
      </c>
      <c r="GT26" s="3">
        <v>585240</v>
      </c>
      <c r="GU26" s="3">
        <v>587309.80000000005</v>
      </c>
      <c r="GV26" s="3">
        <v>589380.30000000005</v>
      </c>
      <c r="GW26" s="3">
        <v>591841.19999999995</v>
      </c>
      <c r="GX26" s="3">
        <v>594303.80000000005</v>
      </c>
      <c r="GY26" s="3">
        <v>596768</v>
      </c>
      <c r="GZ26" s="3">
        <v>599234.1</v>
      </c>
      <c r="HA26" s="3">
        <v>602787.80000000005</v>
      </c>
      <c r="HB26" s="3">
        <v>606344.4</v>
      </c>
      <c r="HC26" s="3">
        <v>609906.30000000005</v>
      </c>
      <c r="HD26" s="3">
        <v>613472.69999999995</v>
      </c>
      <c r="HE26" s="3">
        <v>616083.80000000005</v>
      </c>
      <c r="HF26" s="3">
        <v>618696.5</v>
      </c>
      <c r="HG26" s="3">
        <v>621311</v>
      </c>
      <c r="HH26" s="3">
        <v>623927.4</v>
      </c>
      <c r="HI26" s="3">
        <v>625898.6</v>
      </c>
      <c r="HJ26" s="3">
        <v>627869.1</v>
      </c>
      <c r="HK26" s="3">
        <v>629837.4</v>
      </c>
      <c r="HL26" s="3">
        <v>631803.4</v>
      </c>
      <c r="HM26" s="3">
        <v>633448.5</v>
      </c>
      <c r="HN26" s="3">
        <v>635090.1</v>
      </c>
      <c r="HO26" s="3">
        <v>636727.9</v>
      </c>
      <c r="HP26" s="3">
        <v>638362</v>
      </c>
      <c r="HQ26" s="3">
        <v>639634.30000000005</v>
      </c>
      <c r="HR26" s="3">
        <v>640901.1</v>
      </c>
      <c r="HS26" s="3">
        <v>642162.6</v>
      </c>
      <c r="HT26" s="3">
        <v>643418.9</v>
      </c>
      <c r="HU26" s="3">
        <v>644552.69999999995</v>
      </c>
      <c r="HV26" s="3">
        <v>645680.69999999995</v>
      </c>
      <c r="HW26" s="3">
        <v>646802.4</v>
      </c>
      <c r="HX26" s="3">
        <v>647918</v>
      </c>
      <c r="HY26" s="3">
        <v>648994.6</v>
      </c>
      <c r="HZ26" s="3">
        <v>650064.4</v>
      </c>
      <c r="IA26" s="3">
        <v>651127.19999999995</v>
      </c>
      <c r="IB26" s="3">
        <v>652183</v>
      </c>
      <c r="IC26" s="3">
        <v>653296.4</v>
      </c>
      <c r="ID26" s="3">
        <v>654403.4</v>
      </c>
      <c r="IE26" s="3">
        <v>655498.6</v>
      </c>
      <c r="IF26" s="3">
        <v>656582.40000000002</v>
      </c>
      <c r="IG26" s="3">
        <v>657583.4</v>
      </c>
      <c r="IH26" s="3">
        <v>658571.9</v>
      </c>
      <c r="II26" s="3">
        <v>659547.69999999995</v>
      </c>
      <c r="IJ26" s="3">
        <v>660510.80000000005</v>
      </c>
      <c r="IK26" s="3">
        <v>661437.9</v>
      </c>
      <c r="IL26" s="3">
        <v>662351.80000000005</v>
      </c>
      <c r="IM26" s="3">
        <v>663252.1</v>
      </c>
      <c r="IN26" s="3">
        <v>664139.4</v>
      </c>
      <c r="IO26" s="3">
        <v>664995.6</v>
      </c>
      <c r="IP26" s="3">
        <v>665837.80000000005</v>
      </c>
      <c r="IQ26" s="3">
        <v>666665.80000000005</v>
      </c>
      <c r="IR26" s="3">
        <v>667479.80000000005</v>
      </c>
      <c r="IS26" s="3">
        <v>668319.80000000005</v>
      </c>
      <c r="IT26" s="3">
        <v>669146</v>
      </c>
      <c r="IU26" s="3">
        <v>669958.30000000005</v>
      </c>
      <c r="IV26" s="3">
        <v>670757.30000000005</v>
      </c>
      <c r="IW26" s="3">
        <v>671403</v>
      </c>
      <c r="IX26" s="3">
        <v>672034</v>
      </c>
      <c r="IY26" s="3">
        <v>672658</v>
      </c>
      <c r="IZ26" s="3">
        <v>673275.1</v>
      </c>
      <c r="JA26" s="3">
        <v>674035.7</v>
      </c>
      <c r="JB26" s="3">
        <v>674790.1</v>
      </c>
      <c r="JC26" s="3">
        <v>675538.2</v>
      </c>
      <c r="JD26" s="3">
        <v>676279.9</v>
      </c>
      <c r="JE26" s="3">
        <v>677006.8</v>
      </c>
      <c r="JF26" s="3">
        <v>677728.6</v>
      </c>
      <c r="JG26" s="3">
        <v>678445</v>
      </c>
      <c r="JH26" s="3">
        <v>679156.4</v>
      </c>
      <c r="JI26" s="3">
        <v>679973.9</v>
      </c>
      <c r="JJ26" s="3">
        <v>680788.9</v>
      </c>
      <c r="JK26" s="3">
        <v>681600.9</v>
      </c>
      <c r="JL26" s="3">
        <v>682410.4</v>
      </c>
      <c r="JM26" s="3">
        <v>683267.6</v>
      </c>
      <c r="JN26" s="3">
        <v>684123.1</v>
      </c>
      <c r="JO26" s="3">
        <v>684977.3</v>
      </c>
      <c r="JP26" s="3">
        <v>685830</v>
      </c>
      <c r="JQ26" s="3">
        <v>686739.4</v>
      </c>
      <c r="JR26" s="3">
        <v>687647.8</v>
      </c>
      <c r="JS26" s="3">
        <v>688555</v>
      </c>
      <c r="JT26" s="3">
        <v>689461.2</v>
      </c>
      <c r="JU26" s="3">
        <v>690428.6</v>
      </c>
      <c r="JV26" s="3">
        <v>691395.1</v>
      </c>
      <c r="JW26" s="3">
        <v>692360.9</v>
      </c>
      <c r="JX26" s="3">
        <v>693326.1</v>
      </c>
      <c r="JY26" s="3">
        <v>694234.6</v>
      </c>
      <c r="JZ26" s="3">
        <v>695142.1</v>
      </c>
      <c r="KA26" s="3">
        <v>696048.6</v>
      </c>
      <c r="KB26" s="3">
        <v>696954</v>
      </c>
      <c r="KC26" s="3">
        <v>697642.3</v>
      </c>
      <c r="KD26" s="3">
        <v>698327.8</v>
      </c>
      <c r="KE26" s="3">
        <v>699010.9</v>
      </c>
      <c r="KF26" s="3">
        <v>699691.4</v>
      </c>
      <c r="KG26" s="3">
        <v>700237.3</v>
      </c>
      <c r="KH26" s="3">
        <v>700780.3</v>
      </c>
      <c r="KI26" s="3">
        <v>701320.6</v>
      </c>
      <c r="KJ26" s="3">
        <v>701858</v>
      </c>
      <c r="KK26" s="3">
        <v>702391.7</v>
      </c>
      <c r="KL26" s="3">
        <v>702922.6</v>
      </c>
      <c r="KM26" s="3">
        <v>703450.9</v>
      </c>
      <c r="KN26" s="3">
        <v>703976.6</v>
      </c>
      <c r="KO26" s="3">
        <v>704521.9</v>
      </c>
      <c r="KP26" s="3">
        <v>705065.1</v>
      </c>
      <c r="KQ26" s="3">
        <v>705605.9</v>
      </c>
      <c r="KR26" s="3">
        <v>706144.8</v>
      </c>
      <c r="KS26" s="3">
        <v>706653.3</v>
      </c>
      <c r="KT26" s="3">
        <v>707160</v>
      </c>
      <c r="KU26" s="3">
        <v>707665.1</v>
      </c>
      <c r="KV26" s="3">
        <v>708168.4</v>
      </c>
      <c r="KW26" s="3">
        <v>708659.7</v>
      </c>
      <c r="KX26" s="3">
        <v>709149.1</v>
      </c>
      <c r="KY26" s="3">
        <v>709636.6</v>
      </c>
      <c r="KZ26" s="3">
        <v>710121.9</v>
      </c>
      <c r="LA26" s="3">
        <v>710490.7</v>
      </c>
      <c r="LB26" s="3">
        <v>710857.2</v>
      </c>
      <c r="LC26" s="3">
        <v>711221</v>
      </c>
      <c r="LD26" s="3">
        <v>711582.6</v>
      </c>
      <c r="LE26" s="3">
        <v>711911.9</v>
      </c>
      <c r="LF26" s="3">
        <v>712238.9</v>
      </c>
      <c r="LG26" s="3">
        <v>712565.8</v>
      </c>
      <c r="LH26" s="3">
        <v>712892.3</v>
      </c>
      <c r="LI26" s="3">
        <v>713176.4</v>
      </c>
      <c r="LJ26" s="3">
        <v>713460.1</v>
      </c>
      <c r="LK26" s="3">
        <v>713743.4</v>
      </c>
      <c r="LL26" s="3">
        <v>714026.3</v>
      </c>
      <c r="LM26" s="3">
        <v>714208.7</v>
      </c>
      <c r="LN26" s="3">
        <v>714389.6</v>
      </c>
      <c r="LO26" s="3">
        <v>714569</v>
      </c>
      <c r="LP26" s="3">
        <v>714747.2</v>
      </c>
      <c r="LQ26" s="3">
        <v>714941.3</v>
      </c>
      <c r="LR26" s="3">
        <v>715134.3</v>
      </c>
      <c r="LS26" s="3">
        <v>715326.1</v>
      </c>
      <c r="LT26" s="3">
        <v>715516.6</v>
      </c>
      <c r="LU26" s="3">
        <v>715659.2</v>
      </c>
      <c r="LV26" s="3">
        <v>715799.8</v>
      </c>
      <c r="LW26" s="3">
        <v>715938.9</v>
      </c>
      <c r="LX26" s="3">
        <v>716076</v>
      </c>
      <c r="LY26" s="3">
        <v>716166.1</v>
      </c>
      <c r="LZ26" s="3">
        <v>716253.8</v>
      </c>
      <c r="MA26" s="3">
        <v>716339.5</v>
      </c>
      <c r="MB26" s="3">
        <v>716423.1</v>
      </c>
      <c r="MC26" s="3">
        <v>716513.9</v>
      </c>
      <c r="MD26" s="3">
        <v>716603</v>
      </c>
      <c r="ME26" s="3">
        <v>716690.6</v>
      </c>
      <c r="MF26" s="3">
        <v>716776.8</v>
      </c>
      <c r="MG26" s="3">
        <v>716916.4</v>
      </c>
      <c r="MH26" s="3">
        <v>717054.8</v>
      </c>
      <c r="MI26" s="3">
        <v>717191.8</v>
      </c>
      <c r="MJ26" s="3">
        <v>717327.3</v>
      </c>
      <c r="MK26" s="3">
        <v>717420.8</v>
      </c>
      <c r="ML26" s="3">
        <v>717512.7</v>
      </c>
      <c r="MM26" s="3">
        <v>717603.3</v>
      </c>
      <c r="MN26" s="3">
        <v>717692.4</v>
      </c>
      <c r="MO26" s="3">
        <v>717813.7</v>
      </c>
      <c r="MP26" s="3">
        <v>717933.7</v>
      </c>
      <c r="MQ26" s="3">
        <v>718052</v>
      </c>
      <c r="MR26" s="3">
        <v>718168.8</v>
      </c>
      <c r="MS26" s="3">
        <v>718284.2</v>
      </c>
      <c r="MT26" s="3">
        <v>718398.1</v>
      </c>
      <c r="MU26" s="1" t="s">
        <v>478</v>
      </c>
      <c r="MV26" t="b">
        <v>0</v>
      </c>
      <c r="MW26" t="s">
        <v>377</v>
      </c>
      <c r="MX26" t="s">
        <v>377</v>
      </c>
      <c r="MY26">
        <v>2010</v>
      </c>
      <c r="MZ26">
        <v>4</v>
      </c>
      <c r="NA26" t="s">
        <v>377</v>
      </c>
      <c r="NB26" s="1" t="s">
        <v>479</v>
      </c>
      <c r="NC26" t="s">
        <v>377</v>
      </c>
      <c r="ND26" t="s">
        <v>380</v>
      </c>
      <c r="NE26" t="s">
        <v>480</v>
      </c>
      <c r="NF26" s="1" t="s">
        <v>455</v>
      </c>
    </row>
    <row r="27" spans="1:370" x14ac:dyDescent="0.25">
      <c r="A27" t="s">
        <v>382</v>
      </c>
      <c r="B27" t="s">
        <v>476</v>
      </c>
      <c r="C27" s="1" t="s">
        <v>454</v>
      </c>
      <c r="D27" t="s">
        <v>477</v>
      </c>
      <c r="E27" t="s">
        <v>377</v>
      </c>
      <c r="F27" t="s">
        <v>374</v>
      </c>
      <c r="G27" s="2">
        <v>1517300</v>
      </c>
      <c r="H27" s="2">
        <v>1528430</v>
      </c>
      <c r="I27" s="2">
        <v>1539447</v>
      </c>
      <c r="J27" s="2">
        <v>1550380</v>
      </c>
      <c r="K27" s="2">
        <v>1561544</v>
      </c>
      <c r="L27" s="2">
        <v>1572618</v>
      </c>
      <c r="M27" s="2">
        <v>1583587</v>
      </c>
      <c r="N27" s="2">
        <v>1594368</v>
      </c>
      <c r="O27" s="2">
        <v>1604975</v>
      </c>
      <c r="P27" s="2">
        <v>1615876</v>
      </c>
      <c r="Q27" s="2">
        <v>1627595</v>
      </c>
      <c r="R27" s="2">
        <v>1639344</v>
      </c>
      <c r="S27" s="2">
        <v>1651186</v>
      </c>
      <c r="T27" s="2">
        <v>1662781</v>
      </c>
      <c r="U27" s="2">
        <v>1674600</v>
      </c>
      <c r="V27" s="2">
        <v>1685842</v>
      </c>
      <c r="W27" s="2">
        <v>1697415</v>
      </c>
      <c r="X27" s="2">
        <v>1709026</v>
      </c>
      <c r="Y27" s="2">
        <v>1720489</v>
      </c>
      <c r="Z27" s="2">
        <v>1731775</v>
      </c>
      <c r="AA27" s="2">
        <v>1743218</v>
      </c>
      <c r="AB27" s="2">
        <v>1754906</v>
      </c>
      <c r="AC27" s="2">
        <v>1766193</v>
      </c>
      <c r="AD27" s="2">
        <v>1776697</v>
      </c>
      <c r="AE27" s="2">
        <v>1787786</v>
      </c>
      <c r="AF27" s="2">
        <v>1799096</v>
      </c>
      <c r="AG27" s="2">
        <v>1809622</v>
      </c>
      <c r="AH27" s="2">
        <v>1818908</v>
      </c>
      <c r="AI27" s="2">
        <v>1828814</v>
      </c>
      <c r="AJ27" s="2">
        <v>1838838</v>
      </c>
      <c r="AK27" s="2">
        <v>1847637</v>
      </c>
      <c r="AL27" s="2">
        <v>1854505</v>
      </c>
      <c r="AM27" s="2">
        <v>1861262</v>
      </c>
      <c r="AN27" s="2">
        <v>1868527</v>
      </c>
      <c r="AO27" s="2">
        <v>1875074</v>
      </c>
      <c r="AP27" s="2">
        <v>1880176</v>
      </c>
      <c r="AQ27" s="2">
        <v>1885360</v>
      </c>
      <c r="AR27" s="2">
        <v>1890862</v>
      </c>
      <c r="AS27" s="2">
        <v>1895804</v>
      </c>
      <c r="AT27" s="2">
        <v>1900073</v>
      </c>
      <c r="AU27" s="2">
        <v>1904380</v>
      </c>
      <c r="AV27" s="2">
        <v>1908728</v>
      </c>
      <c r="AW27" s="2">
        <v>1913042</v>
      </c>
      <c r="AX27" s="2">
        <v>1917721</v>
      </c>
      <c r="AY27" s="2">
        <v>1922262</v>
      </c>
      <c r="AZ27" s="2">
        <v>1926825</v>
      </c>
      <c r="BA27" s="2">
        <v>1931784</v>
      </c>
      <c r="BB27" s="2">
        <v>1937304</v>
      </c>
      <c r="BC27" s="2">
        <v>1942438</v>
      </c>
      <c r="BD27" s="2">
        <v>1947545</v>
      </c>
      <c r="BE27" s="2">
        <v>1953338</v>
      </c>
      <c r="BF27" s="2">
        <v>1959846</v>
      </c>
      <c r="BG27" s="2">
        <v>1966232</v>
      </c>
      <c r="BH27" s="2">
        <v>1972343</v>
      </c>
      <c r="BI27" s="2">
        <v>1978625</v>
      </c>
      <c r="BJ27" s="2">
        <v>1983879</v>
      </c>
      <c r="BK27" s="2">
        <v>1989214</v>
      </c>
      <c r="BL27" s="2">
        <v>1994500</v>
      </c>
      <c r="BM27" s="2">
        <v>1999754</v>
      </c>
      <c r="BN27" s="2">
        <v>2004977</v>
      </c>
      <c r="BO27" s="2">
        <v>2010336</v>
      </c>
      <c r="BP27" s="2">
        <v>2015361</v>
      </c>
      <c r="BQ27" s="2">
        <v>2020636</v>
      </c>
      <c r="BR27" s="2">
        <v>2025547</v>
      </c>
      <c r="BS27" s="2">
        <v>2030535</v>
      </c>
      <c r="BT27" s="2">
        <v>2035419</v>
      </c>
      <c r="BU27" s="2">
        <v>2040520</v>
      </c>
      <c r="BV27" s="2">
        <v>2046066</v>
      </c>
      <c r="BW27" s="2">
        <v>2051657</v>
      </c>
      <c r="BX27" s="2">
        <v>2058355</v>
      </c>
      <c r="BY27" s="2">
        <v>2065193</v>
      </c>
      <c r="BZ27" s="2">
        <v>2072128</v>
      </c>
      <c r="CA27" s="2">
        <v>2078969</v>
      </c>
      <c r="CB27" s="2">
        <v>2086794</v>
      </c>
      <c r="CC27" s="2">
        <v>2094982</v>
      </c>
      <c r="CD27" s="2">
        <v>2103684</v>
      </c>
      <c r="CE27" s="2">
        <v>2112242</v>
      </c>
      <c r="CF27" s="2">
        <v>2120966</v>
      </c>
      <c r="CG27" s="2">
        <v>2129678</v>
      </c>
      <c r="CH27" s="2">
        <v>2138499</v>
      </c>
      <c r="CI27" s="2">
        <v>2147292</v>
      </c>
      <c r="CJ27" s="2">
        <v>2155566</v>
      </c>
      <c r="CK27" s="2">
        <v>2163878</v>
      </c>
      <c r="CL27" s="2">
        <v>2172937</v>
      </c>
      <c r="CM27" s="2">
        <v>2182001</v>
      </c>
      <c r="CN27" s="2">
        <v>2191041</v>
      </c>
      <c r="CO27" s="2">
        <v>2199857</v>
      </c>
      <c r="CP27" s="2">
        <v>2209330</v>
      </c>
      <c r="CQ27" s="2">
        <v>2219008</v>
      </c>
      <c r="CR27" s="2">
        <v>2228550</v>
      </c>
      <c r="CS27" s="2">
        <v>2238256</v>
      </c>
      <c r="CT27" s="2">
        <v>2248534</v>
      </c>
      <c r="CU27" s="2">
        <v>2258375</v>
      </c>
      <c r="CV27" s="2">
        <v>2268537</v>
      </c>
      <c r="CW27" s="2">
        <v>2278978</v>
      </c>
      <c r="CX27" s="2">
        <v>2290563</v>
      </c>
      <c r="CY27" s="2">
        <v>2302105</v>
      </c>
      <c r="CZ27" s="2">
        <v>2313620</v>
      </c>
      <c r="DA27" s="2">
        <v>2325132</v>
      </c>
      <c r="DB27" s="2">
        <v>2336570</v>
      </c>
      <c r="DC27" s="2">
        <v>2348016</v>
      </c>
      <c r="DD27" s="2">
        <v>2359426</v>
      </c>
      <c r="DE27" s="2">
        <v>2370437</v>
      </c>
      <c r="DF27" s="2">
        <v>2380888</v>
      </c>
      <c r="DG27" s="2">
        <v>2391732</v>
      </c>
      <c r="DH27" s="2">
        <v>2402668</v>
      </c>
      <c r="DI27" s="2">
        <v>2413076</v>
      </c>
      <c r="DJ27" s="2">
        <v>2422702</v>
      </c>
      <c r="DK27" s="2">
        <v>2432773</v>
      </c>
      <c r="DL27" s="2">
        <v>2442911</v>
      </c>
      <c r="DM27" s="2">
        <v>2451326</v>
      </c>
      <c r="DN27" s="2">
        <v>2458811</v>
      </c>
      <c r="DO27" s="2">
        <v>2466759</v>
      </c>
      <c r="DP27" s="2">
        <v>2475092</v>
      </c>
      <c r="DQ27" s="2">
        <v>2482132</v>
      </c>
      <c r="DR27" s="2">
        <v>2487682</v>
      </c>
      <c r="DS27" s="2">
        <v>2493975</v>
      </c>
      <c r="DT27" s="2">
        <v>2500526</v>
      </c>
      <c r="DU27" s="2">
        <v>2506532</v>
      </c>
      <c r="DV27" s="2">
        <v>2511770</v>
      </c>
      <c r="DW27" s="2">
        <v>2516441</v>
      </c>
      <c r="DX27" s="2">
        <v>2520432</v>
      </c>
      <c r="DY27" s="2">
        <v>2526653</v>
      </c>
      <c r="DZ27" s="2">
        <v>2533189</v>
      </c>
      <c r="EA27" s="2">
        <v>2538906</v>
      </c>
      <c r="EB27" s="2">
        <v>2544753</v>
      </c>
      <c r="EC27" s="2">
        <v>2551412</v>
      </c>
      <c r="ED27" s="2">
        <v>2559398</v>
      </c>
      <c r="EE27" s="2">
        <v>2566722</v>
      </c>
      <c r="EF27" s="2">
        <v>2573882</v>
      </c>
      <c r="EG27" s="2">
        <v>2582496</v>
      </c>
      <c r="EH27" s="2">
        <v>2591956</v>
      </c>
      <c r="EI27" s="2">
        <v>2601500</v>
      </c>
      <c r="EJ27" s="2">
        <v>2610340</v>
      </c>
      <c r="EK27" s="2">
        <v>2620021</v>
      </c>
      <c r="EL27" s="2">
        <v>2629582</v>
      </c>
      <c r="EM27" s="2">
        <v>2639225</v>
      </c>
      <c r="EN27" s="2">
        <v>2648220</v>
      </c>
      <c r="EO27" s="2">
        <v>2657782</v>
      </c>
      <c r="EP27" s="2">
        <v>2666627</v>
      </c>
      <c r="EQ27" s="2">
        <v>2675549</v>
      </c>
      <c r="ER27" s="2">
        <v>2684169</v>
      </c>
      <c r="ES27" s="2">
        <v>2692561</v>
      </c>
      <c r="ET27" s="2">
        <v>2700800</v>
      </c>
      <c r="EU27" s="2">
        <v>2709326</v>
      </c>
      <c r="EV27" s="2">
        <v>2717939</v>
      </c>
      <c r="EW27" s="2">
        <v>2725673</v>
      </c>
      <c r="EX27" s="2">
        <v>2732768</v>
      </c>
      <c r="EY27" s="2">
        <v>2739821</v>
      </c>
      <c r="EZ27" s="2">
        <v>2746964</v>
      </c>
      <c r="FA27" s="2">
        <v>2753561</v>
      </c>
      <c r="FB27" s="2">
        <v>2760984</v>
      </c>
      <c r="FC27" s="3">
        <v>2766579</v>
      </c>
      <c r="FD27" s="3">
        <v>2773862</v>
      </c>
      <c r="FE27" s="3">
        <v>2781221</v>
      </c>
      <c r="FF27" s="3">
        <v>2785643</v>
      </c>
      <c r="FG27" s="3">
        <v>2790270</v>
      </c>
      <c r="FH27" s="3">
        <v>2794966</v>
      </c>
      <c r="FI27" s="3">
        <v>2799500</v>
      </c>
      <c r="FJ27" s="3">
        <v>2804876</v>
      </c>
      <c r="FK27" s="3">
        <v>2809959</v>
      </c>
      <c r="FL27" s="3">
        <v>2814920</v>
      </c>
      <c r="FM27" s="3">
        <v>2820049</v>
      </c>
      <c r="FN27" s="3">
        <v>2825337</v>
      </c>
      <c r="FO27" s="3">
        <v>2830832</v>
      </c>
      <c r="FP27" s="3">
        <v>2836306</v>
      </c>
      <c r="FQ27" s="3">
        <v>2841713</v>
      </c>
      <c r="FR27" s="3">
        <v>2847656</v>
      </c>
      <c r="FS27" s="3">
        <v>2853482</v>
      </c>
      <c r="FT27" s="3">
        <v>2859080</v>
      </c>
      <c r="FU27" s="3">
        <v>2864717</v>
      </c>
      <c r="FV27" s="3">
        <v>2870080</v>
      </c>
      <c r="FW27" s="3">
        <v>2875242</v>
      </c>
      <c r="FX27" s="3">
        <v>2880855</v>
      </c>
      <c r="FY27" s="3">
        <v>2886094</v>
      </c>
      <c r="FZ27" s="3">
        <v>2890681</v>
      </c>
      <c r="GA27" s="3">
        <v>2895065</v>
      </c>
      <c r="GB27" s="3">
        <v>2899360</v>
      </c>
      <c r="GC27" s="3">
        <v>2903579</v>
      </c>
      <c r="GD27" s="3">
        <v>2907139</v>
      </c>
      <c r="GE27" s="3">
        <v>2910557</v>
      </c>
      <c r="GF27" s="3">
        <v>2913914</v>
      </c>
      <c r="GG27" s="3">
        <v>2917319</v>
      </c>
      <c r="GH27" s="3">
        <v>2920175</v>
      </c>
      <c r="GI27" s="3">
        <v>2923004</v>
      </c>
      <c r="GJ27" s="3">
        <v>2925738</v>
      </c>
      <c r="GK27" s="3">
        <v>2928552</v>
      </c>
      <c r="GL27" s="3">
        <v>2931346</v>
      </c>
      <c r="GM27" s="3">
        <v>2934204</v>
      </c>
      <c r="GN27" s="3">
        <v>2937008</v>
      </c>
      <c r="GO27" s="3">
        <v>2937990</v>
      </c>
      <c r="GP27" s="3">
        <v>2938959</v>
      </c>
      <c r="GQ27" s="3">
        <v>2939183</v>
      </c>
      <c r="GR27" s="3">
        <v>2940097</v>
      </c>
      <c r="GS27" s="3">
        <v>2942186</v>
      </c>
      <c r="GT27" s="3">
        <v>2945429</v>
      </c>
      <c r="GU27" s="3">
        <v>2949079</v>
      </c>
      <c r="GV27" s="3">
        <v>2952932</v>
      </c>
      <c r="GW27" s="3">
        <v>2957714</v>
      </c>
      <c r="GX27" s="3">
        <v>2962880</v>
      </c>
      <c r="GY27" s="3">
        <v>2968437</v>
      </c>
      <c r="GZ27" s="3">
        <v>2974519</v>
      </c>
      <c r="HA27" s="3">
        <v>2980467</v>
      </c>
      <c r="HB27" s="3">
        <v>2986326</v>
      </c>
      <c r="HC27" s="3">
        <v>2992741</v>
      </c>
      <c r="HD27" s="3">
        <v>2999617</v>
      </c>
      <c r="HE27" s="3">
        <v>3006435</v>
      </c>
      <c r="HF27" s="3">
        <v>3010545</v>
      </c>
      <c r="HG27" s="3">
        <v>3014321</v>
      </c>
      <c r="HH27" s="3">
        <v>3017736</v>
      </c>
      <c r="HI27" s="3">
        <v>3020679</v>
      </c>
      <c r="HJ27" s="3">
        <v>3022853</v>
      </c>
      <c r="HK27" s="3">
        <v>3024811</v>
      </c>
      <c r="HL27" s="3">
        <v>3026590</v>
      </c>
      <c r="HM27" s="3">
        <v>3028271</v>
      </c>
      <c r="HN27" s="3">
        <v>3029856</v>
      </c>
      <c r="HO27" s="3">
        <v>3031339</v>
      </c>
      <c r="HP27" s="3">
        <v>3032625</v>
      </c>
      <c r="HQ27" s="3">
        <v>3033836</v>
      </c>
      <c r="HR27" s="3">
        <v>3035229</v>
      </c>
      <c r="HS27" s="3">
        <v>3036588</v>
      </c>
      <c r="HT27" s="3">
        <v>3037941</v>
      </c>
      <c r="HU27" s="3">
        <v>3039296</v>
      </c>
      <c r="HV27" s="3">
        <v>3041012</v>
      </c>
      <c r="HW27" s="3">
        <v>3042760</v>
      </c>
      <c r="HX27" s="3">
        <v>3044597</v>
      </c>
      <c r="HY27" s="3">
        <v>3046496</v>
      </c>
      <c r="HZ27" s="3">
        <v>3049128</v>
      </c>
      <c r="IA27" s="3">
        <v>3051820</v>
      </c>
      <c r="IB27" s="3">
        <v>3054509</v>
      </c>
      <c r="IC27" s="3">
        <v>3057288</v>
      </c>
      <c r="ID27" s="3">
        <v>3060877</v>
      </c>
      <c r="IE27" s="3">
        <v>3064567</v>
      </c>
      <c r="IF27" s="3">
        <v>3068361</v>
      </c>
      <c r="IG27" s="3">
        <v>3072134</v>
      </c>
      <c r="IH27" s="3">
        <v>3075981</v>
      </c>
      <c r="II27" s="3">
        <v>3079818</v>
      </c>
      <c r="IJ27" s="3">
        <v>3083649</v>
      </c>
      <c r="IK27" s="3">
        <v>3087477</v>
      </c>
      <c r="IL27" s="3">
        <v>3091279</v>
      </c>
      <c r="IM27" s="3">
        <v>3095079</v>
      </c>
      <c r="IN27" s="3">
        <v>3098876</v>
      </c>
      <c r="IO27" s="3">
        <v>3102666</v>
      </c>
      <c r="IP27" s="3">
        <v>3106069</v>
      </c>
      <c r="IQ27" s="3">
        <v>3109466</v>
      </c>
      <c r="IR27" s="3">
        <v>3112861</v>
      </c>
      <c r="IS27" s="3">
        <v>3116251</v>
      </c>
      <c r="IT27" s="3">
        <v>3119168</v>
      </c>
      <c r="IU27" s="3">
        <v>3122079</v>
      </c>
      <c r="IV27" s="3">
        <v>3124979</v>
      </c>
      <c r="IW27" s="3">
        <v>3127872</v>
      </c>
      <c r="IX27" s="3">
        <v>3130401</v>
      </c>
      <c r="IY27" s="3">
        <v>3132913</v>
      </c>
      <c r="IZ27" s="3">
        <v>3135413</v>
      </c>
      <c r="JA27" s="3">
        <v>3137895</v>
      </c>
      <c r="JB27" s="3">
        <v>3141685</v>
      </c>
      <c r="JC27" s="3">
        <v>3145459</v>
      </c>
      <c r="JD27" s="3">
        <v>3149216</v>
      </c>
      <c r="JE27" s="3">
        <v>3152954</v>
      </c>
      <c r="JF27" s="3">
        <v>3157404</v>
      </c>
      <c r="JG27" s="3">
        <v>3161838</v>
      </c>
      <c r="JH27" s="3">
        <v>3166257</v>
      </c>
      <c r="JI27" s="3">
        <v>3170660</v>
      </c>
      <c r="JJ27" s="3">
        <v>3175043</v>
      </c>
      <c r="JK27" s="3">
        <v>3179411</v>
      </c>
      <c r="JL27" s="3">
        <v>3183766</v>
      </c>
      <c r="JM27" s="3">
        <v>3188106</v>
      </c>
      <c r="JN27" s="3">
        <v>3192482</v>
      </c>
      <c r="JO27" s="3">
        <v>3196843</v>
      </c>
      <c r="JP27" s="3">
        <v>3201189</v>
      </c>
      <c r="JQ27" s="3">
        <v>3205520</v>
      </c>
      <c r="JR27" s="3">
        <v>3210127</v>
      </c>
      <c r="JS27" s="3">
        <v>3214719</v>
      </c>
      <c r="JT27" s="3">
        <v>3219290</v>
      </c>
      <c r="JU27" s="3">
        <v>3223843</v>
      </c>
      <c r="JV27" s="3">
        <v>3228094</v>
      </c>
      <c r="JW27" s="3">
        <v>3232325</v>
      </c>
      <c r="JX27" s="3">
        <v>3236543</v>
      </c>
      <c r="JY27" s="3">
        <v>3240747</v>
      </c>
      <c r="JZ27" s="3">
        <v>3244913</v>
      </c>
      <c r="KA27" s="3">
        <v>3249069</v>
      </c>
      <c r="KB27" s="3">
        <v>3253207</v>
      </c>
      <c r="KC27" s="3">
        <v>3257330</v>
      </c>
      <c r="KD27" s="3">
        <v>3261271</v>
      </c>
      <c r="KE27" s="3">
        <v>3265196</v>
      </c>
      <c r="KF27" s="3">
        <v>3269103</v>
      </c>
      <c r="KG27" s="3">
        <v>3272994</v>
      </c>
      <c r="KH27" s="3">
        <v>3276432</v>
      </c>
      <c r="KI27" s="3">
        <v>3279858</v>
      </c>
      <c r="KJ27" s="3">
        <v>3283273</v>
      </c>
      <c r="KK27" s="3">
        <v>3286671</v>
      </c>
      <c r="KL27" s="3">
        <v>3290098</v>
      </c>
      <c r="KM27" s="3">
        <v>3293518</v>
      </c>
      <c r="KN27" s="3">
        <v>3296926</v>
      </c>
      <c r="KO27" s="3">
        <v>3300327</v>
      </c>
      <c r="KP27" s="3">
        <v>3303609</v>
      </c>
      <c r="KQ27" s="3">
        <v>3306886</v>
      </c>
      <c r="KR27" s="3">
        <v>3310154</v>
      </c>
      <c r="KS27" s="3">
        <v>3313415</v>
      </c>
      <c r="KT27" s="3">
        <v>3316716</v>
      </c>
      <c r="KU27" s="3">
        <v>3320011</v>
      </c>
      <c r="KV27" s="3">
        <v>3323301</v>
      </c>
      <c r="KW27" s="3">
        <v>3326589</v>
      </c>
      <c r="KX27" s="3">
        <v>3330126</v>
      </c>
      <c r="KY27" s="3">
        <v>3333662</v>
      </c>
      <c r="KZ27" s="3">
        <v>3337197</v>
      </c>
      <c r="LA27" s="3">
        <v>3340732</v>
      </c>
      <c r="LB27" s="3">
        <v>3343972</v>
      </c>
      <c r="LC27" s="3">
        <v>3347210</v>
      </c>
      <c r="LD27" s="3">
        <v>3350450</v>
      </c>
      <c r="LE27" s="3">
        <v>3353689</v>
      </c>
      <c r="LF27" s="3">
        <v>3356880</v>
      </c>
      <c r="LG27" s="3">
        <v>3360073</v>
      </c>
      <c r="LH27" s="3">
        <v>3363271</v>
      </c>
      <c r="LI27" s="3">
        <v>3366478</v>
      </c>
      <c r="LJ27" s="3">
        <v>3369652</v>
      </c>
      <c r="LK27" s="3">
        <v>3372833</v>
      </c>
      <c r="LL27" s="3">
        <v>3376023</v>
      </c>
      <c r="LM27" s="3">
        <v>3379221</v>
      </c>
      <c r="LN27" s="3">
        <v>3382187</v>
      </c>
      <c r="LO27" s="3">
        <v>3385162</v>
      </c>
      <c r="LP27" s="3">
        <v>3388145</v>
      </c>
      <c r="LQ27" s="3">
        <v>3391137</v>
      </c>
      <c r="LR27" s="3">
        <v>3393789</v>
      </c>
      <c r="LS27" s="3">
        <v>3396447</v>
      </c>
      <c r="LT27" s="3">
        <v>3399116</v>
      </c>
      <c r="LU27" s="3">
        <v>3401790</v>
      </c>
      <c r="LV27" s="3">
        <v>3403950</v>
      </c>
      <c r="LW27" s="3">
        <v>3406118</v>
      </c>
      <c r="LX27" s="3">
        <v>3408289</v>
      </c>
      <c r="LY27" s="3">
        <v>3410467</v>
      </c>
      <c r="LZ27" s="3">
        <v>3412598</v>
      </c>
      <c r="MA27" s="3">
        <v>3414736</v>
      </c>
      <c r="MB27" s="3">
        <v>3416878</v>
      </c>
      <c r="MC27" s="3">
        <v>3419026</v>
      </c>
      <c r="MD27" s="3">
        <v>3421295</v>
      </c>
      <c r="ME27" s="3">
        <v>3423570</v>
      </c>
      <c r="MF27" s="3">
        <v>3425850</v>
      </c>
      <c r="MG27" s="3">
        <v>3428137</v>
      </c>
      <c r="MH27" s="3">
        <v>3430649</v>
      </c>
      <c r="MI27" s="3">
        <v>3433168</v>
      </c>
      <c r="MJ27" s="3">
        <v>3435694</v>
      </c>
      <c r="MK27" s="3">
        <v>3438227</v>
      </c>
      <c r="ML27" s="3">
        <v>3440871</v>
      </c>
      <c r="MM27" s="3">
        <v>3443524</v>
      </c>
      <c r="MN27" s="3">
        <v>3446184</v>
      </c>
      <c r="MO27" s="3">
        <v>3448852</v>
      </c>
      <c r="MP27" s="3">
        <v>3451686</v>
      </c>
      <c r="MQ27" s="3">
        <v>3454529</v>
      </c>
      <c r="MR27" s="3">
        <v>3457382</v>
      </c>
      <c r="MS27" s="3">
        <v>3460244</v>
      </c>
      <c r="MT27" s="3">
        <v>3463113</v>
      </c>
      <c r="MU27" t="s">
        <v>481</v>
      </c>
      <c r="MV27" t="b">
        <v>0</v>
      </c>
      <c r="MW27" t="s">
        <v>377</v>
      </c>
      <c r="MX27" t="s">
        <v>377</v>
      </c>
      <c r="MY27">
        <v>2010</v>
      </c>
      <c r="MZ27">
        <v>4</v>
      </c>
      <c r="NA27" t="s">
        <v>377</v>
      </c>
      <c r="NB27" s="1" t="s">
        <v>479</v>
      </c>
      <c r="NC27" s="1" t="s">
        <v>482</v>
      </c>
      <c r="ND27" t="s">
        <v>389</v>
      </c>
      <c r="NE27" t="s">
        <v>480</v>
      </c>
      <c r="NF27" s="1" t="s">
        <v>455</v>
      </c>
    </row>
    <row r="28" spans="1:370" x14ac:dyDescent="0.25">
      <c r="A28" t="s">
        <v>370</v>
      </c>
      <c r="B28" s="1" t="s">
        <v>483</v>
      </c>
      <c r="C28" s="1" t="s">
        <v>454</v>
      </c>
      <c r="D28" t="s">
        <v>464</v>
      </c>
      <c r="E28" t="s">
        <v>465</v>
      </c>
      <c r="F28" t="s">
        <v>374</v>
      </c>
      <c r="G28" s="2">
        <v>35306.44</v>
      </c>
      <c r="H28" s="2">
        <v>35326.230000000003</v>
      </c>
      <c r="I28" s="2">
        <v>35328.269999999997</v>
      </c>
      <c r="J28" s="2">
        <v>35330.32</v>
      </c>
      <c r="K28" s="2">
        <v>35332.36</v>
      </c>
      <c r="L28" s="2">
        <v>35334.400000000001</v>
      </c>
      <c r="M28" s="2">
        <v>35332.83</v>
      </c>
      <c r="N28" s="2">
        <v>35331.26</v>
      </c>
      <c r="O28" s="2">
        <v>35329.69</v>
      </c>
      <c r="P28" s="2">
        <v>35328.120000000003</v>
      </c>
      <c r="Q28" s="2">
        <v>35326.550000000003</v>
      </c>
      <c r="R28" s="2">
        <v>35324.97</v>
      </c>
      <c r="S28" s="2">
        <v>35323.4</v>
      </c>
      <c r="T28" s="2">
        <v>35321.83</v>
      </c>
      <c r="U28" s="2">
        <v>35361.64</v>
      </c>
      <c r="V28" s="2">
        <v>35401.440000000002</v>
      </c>
      <c r="W28" s="2">
        <v>35441.24</v>
      </c>
      <c r="X28" s="2">
        <v>35481.040000000001</v>
      </c>
      <c r="Y28" s="2">
        <v>35520.99</v>
      </c>
      <c r="Z28" s="2">
        <v>35560.94</v>
      </c>
      <c r="AA28" s="2">
        <v>35600.879999999997</v>
      </c>
      <c r="AB28" s="2">
        <v>35640.83</v>
      </c>
      <c r="AC28" s="2">
        <v>35694.160000000003</v>
      </c>
      <c r="AD28" s="2">
        <v>35747.49</v>
      </c>
      <c r="AE28" s="2">
        <v>35800.82</v>
      </c>
      <c r="AF28" s="2">
        <v>35854.15</v>
      </c>
      <c r="AG28" s="2">
        <v>35910.339999999997</v>
      </c>
      <c r="AH28" s="2">
        <v>35966.53</v>
      </c>
      <c r="AI28" s="2">
        <v>36022.71</v>
      </c>
      <c r="AJ28" s="2">
        <v>36078.9</v>
      </c>
      <c r="AK28" s="2">
        <v>36128.85</v>
      </c>
      <c r="AL28" s="2">
        <v>36178.800000000003</v>
      </c>
      <c r="AM28" s="2">
        <v>36228.74</v>
      </c>
      <c r="AN28" s="2">
        <v>36278.69</v>
      </c>
      <c r="AO28" s="2">
        <v>36323.99</v>
      </c>
      <c r="AP28" s="2">
        <v>36369.29</v>
      </c>
      <c r="AQ28" s="2">
        <v>36414.58</v>
      </c>
      <c r="AR28" s="2">
        <v>36459.879999999997</v>
      </c>
      <c r="AS28" s="2">
        <v>36529.379999999997</v>
      </c>
      <c r="AT28" s="2">
        <v>36598.879999999997</v>
      </c>
      <c r="AU28" s="2">
        <v>36668.379999999997</v>
      </c>
      <c r="AV28" s="2">
        <v>36737.879999999997</v>
      </c>
      <c r="AW28" s="2">
        <v>36812.129999999997</v>
      </c>
      <c r="AX28" s="2">
        <v>36886.379999999997</v>
      </c>
      <c r="AY28" s="2">
        <v>36960.639999999999</v>
      </c>
      <c r="AZ28" s="2">
        <v>37034.89</v>
      </c>
      <c r="BA28" s="2">
        <v>37051.96</v>
      </c>
      <c r="BB28" s="2">
        <v>37069.040000000001</v>
      </c>
      <c r="BC28" s="2">
        <v>37086.11</v>
      </c>
      <c r="BD28" s="2">
        <v>37103.18</v>
      </c>
      <c r="BE28" s="2">
        <v>37127.25</v>
      </c>
      <c r="BF28" s="2">
        <v>37151.31</v>
      </c>
      <c r="BG28" s="2">
        <v>37175.379999999997</v>
      </c>
      <c r="BH28" s="2">
        <v>37199.440000000002</v>
      </c>
      <c r="BI28" s="2">
        <v>37215.519999999997</v>
      </c>
      <c r="BJ28" s="2">
        <v>37231.589999999997</v>
      </c>
      <c r="BK28" s="2">
        <v>37247.67</v>
      </c>
      <c r="BL28" s="2">
        <v>37263.75</v>
      </c>
      <c r="BM28" s="2">
        <v>37271.879999999997</v>
      </c>
      <c r="BN28" s="2">
        <v>37280.01</v>
      </c>
      <c r="BO28" s="2">
        <v>37288.14</v>
      </c>
      <c r="BP28" s="2">
        <v>37296.269999999997</v>
      </c>
      <c r="BQ28" s="2">
        <v>37302.879999999997</v>
      </c>
      <c r="BR28" s="2">
        <v>37309.5</v>
      </c>
      <c r="BS28" s="2">
        <v>37316.11</v>
      </c>
      <c r="BT28" s="2">
        <v>37322.720000000001</v>
      </c>
      <c r="BU28" s="2">
        <v>37331.61</v>
      </c>
      <c r="BV28" s="2">
        <v>37340.49</v>
      </c>
      <c r="BW28" s="2">
        <v>37349.370000000003</v>
      </c>
      <c r="BX28" s="2">
        <v>37358.25</v>
      </c>
      <c r="BY28" s="2">
        <v>37361.620000000003</v>
      </c>
      <c r="BZ28" s="2">
        <v>37364.980000000003</v>
      </c>
      <c r="CA28" s="2">
        <v>37368.35</v>
      </c>
      <c r="CB28" s="2">
        <v>37371.71</v>
      </c>
      <c r="CC28" s="2">
        <v>37363.21</v>
      </c>
      <c r="CD28" s="2">
        <v>37354.699999999997</v>
      </c>
      <c r="CE28" s="2">
        <v>37346.19</v>
      </c>
      <c r="CF28" s="2">
        <v>37337.68</v>
      </c>
      <c r="CG28" s="2">
        <v>37336.699999999997</v>
      </c>
      <c r="CH28" s="2">
        <v>37335.71</v>
      </c>
      <c r="CI28" s="2">
        <v>37334.730000000003</v>
      </c>
      <c r="CJ28" s="2">
        <v>37333.75</v>
      </c>
      <c r="CK28" s="2">
        <v>37354.300000000003</v>
      </c>
      <c r="CL28" s="2">
        <v>37374.86</v>
      </c>
      <c r="CM28" s="2">
        <v>37395.42</v>
      </c>
      <c r="CN28" s="2">
        <v>37415.980000000003</v>
      </c>
      <c r="CO28" s="2">
        <v>37446.46</v>
      </c>
      <c r="CP28" s="2">
        <v>37476.949999999997</v>
      </c>
      <c r="CQ28" s="2">
        <v>37507.440000000002</v>
      </c>
      <c r="CR28" s="2">
        <v>37537.93</v>
      </c>
      <c r="CS28" s="2">
        <v>37568.18</v>
      </c>
      <c r="CT28" s="2">
        <v>37598.43</v>
      </c>
      <c r="CU28" s="2">
        <v>37628.68</v>
      </c>
      <c r="CV28" s="2">
        <v>37658.92</v>
      </c>
      <c r="CW28" s="2">
        <v>37688.15</v>
      </c>
      <c r="CX28" s="2">
        <v>37717.370000000003</v>
      </c>
      <c r="CY28" s="2">
        <v>37746.6</v>
      </c>
      <c r="CZ28" s="2">
        <v>37775.82</v>
      </c>
      <c r="DA28" s="2">
        <v>37810.339999999997</v>
      </c>
      <c r="DB28" s="2">
        <v>37844.86</v>
      </c>
      <c r="DC28" s="2">
        <v>37879.370000000003</v>
      </c>
      <c r="DD28" s="2">
        <v>37913.89</v>
      </c>
      <c r="DE28" s="2">
        <v>37965.89</v>
      </c>
      <c r="DF28" s="2">
        <v>38017.89</v>
      </c>
      <c r="DG28" s="2">
        <v>38069.9</v>
      </c>
      <c r="DH28" s="2">
        <v>38121.9</v>
      </c>
      <c r="DI28" s="2">
        <v>38185.07</v>
      </c>
      <c r="DJ28" s="2">
        <v>38248.25</v>
      </c>
      <c r="DK28" s="2">
        <v>38311.42</v>
      </c>
      <c r="DL28" s="2">
        <v>38374.589999999997</v>
      </c>
      <c r="DM28" s="2">
        <v>38439.32</v>
      </c>
      <c r="DN28" s="2">
        <v>38504.06</v>
      </c>
      <c r="DO28" s="2">
        <v>38568.79</v>
      </c>
      <c r="DP28" s="2">
        <v>38633.53</v>
      </c>
      <c r="DQ28" s="2">
        <v>38700.120000000003</v>
      </c>
      <c r="DR28" s="2">
        <v>38766.71</v>
      </c>
      <c r="DS28" s="2">
        <v>38833.300000000003</v>
      </c>
      <c r="DT28" s="2">
        <v>38899.89</v>
      </c>
      <c r="DU28" s="2">
        <v>38967.660000000003</v>
      </c>
      <c r="DV28" s="2">
        <v>39035.449999999997</v>
      </c>
      <c r="DW28" s="2">
        <v>39103.230000000003</v>
      </c>
      <c r="DX28" s="2">
        <v>39171</v>
      </c>
      <c r="DY28" s="2">
        <v>39243.78</v>
      </c>
      <c r="DZ28" s="2">
        <v>39316.550000000003</v>
      </c>
      <c r="EA28" s="2">
        <v>39389.32</v>
      </c>
      <c r="EB28" s="2">
        <v>39462.089999999997</v>
      </c>
      <c r="EC28" s="2">
        <v>39569.49</v>
      </c>
      <c r="ED28" s="2">
        <v>39676.89</v>
      </c>
      <c r="EE28" s="2">
        <v>39784.29</v>
      </c>
      <c r="EF28" s="2">
        <v>39891.69</v>
      </c>
      <c r="EG28" s="2">
        <v>39994.71</v>
      </c>
      <c r="EH28" s="2">
        <v>40097.72</v>
      </c>
      <c r="EI28" s="2">
        <v>40200.74</v>
      </c>
      <c r="EJ28" s="2">
        <v>40303.760000000002</v>
      </c>
      <c r="EK28" s="2">
        <v>40400.61</v>
      </c>
      <c r="EL28" s="2">
        <v>40497.449999999997</v>
      </c>
      <c r="EM28" s="2">
        <v>40594.300000000003</v>
      </c>
      <c r="EN28" s="2">
        <v>40691.14</v>
      </c>
      <c r="EO28" s="2">
        <v>40766.639999999999</v>
      </c>
      <c r="EP28" s="2">
        <v>40842.14</v>
      </c>
      <c r="EQ28" s="2">
        <v>40917.64</v>
      </c>
      <c r="ER28" s="2">
        <v>40993.14</v>
      </c>
      <c r="ES28" s="2">
        <v>41046.550000000003</v>
      </c>
      <c r="ET28" s="2">
        <v>41099.949999999997</v>
      </c>
      <c r="EU28" s="2">
        <v>41153.360000000001</v>
      </c>
      <c r="EV28" s="2">
        <v>41206.769999999997</v>
      </c>
      <c r="EW28" s="2">
        <v>41266.04</v>
      </c>
      <c r="EX28" s="2">
        <v>41325.32</v>
      </c>
      <c r="EY28" s="2">
        <v>41384.6</v>
      </c>
      <c r="EZ28" s="2">
        <v>41443.879999999997</v>
      </c>
      <c r="FA28" s="2">
        <v>41510.57</v>
      </c>
      <c r="FB28" s="2">
        <v>41577.269999999997</v>
      </c>
      <c r="FC28" s="2">
        <v>41643.96</v>
      </c>
      <c r="FD28" s="2">
        <v>41710.660000000003</v>
      </c>
      <c r="FE28" s="2">
        <v>41702.699999999997</v>
      </c>
      <c r="FF28" s="2">
        <v>41694.75</v>
      </c>
      <c r="FG28" s="2">
        <v>41686.79</v>
      </c>
      <c r="FH28" s="2">
        <v>41678.83</v>
      </c>
      <c r="FI28" s="2">
        <v>41690.699999999997</v>
      </c>
      <c r="FJ28" s="2">
        <v>41702.559999999998</v>
      </c>
      <c r="FK28" s="2">
        <v>41714.43</v>
      </c>
      <c r="FL28" s="2">
        <v>41726.29</v>
      </c>
      <c r="FM28" s="2">
        <v>41762.39</v>
      </c>
      <c r="FN28" s="2">
        <v>41798.5</v>
      </c>
      <c r="FO28" s="2">
        <v>41834.6</v>
      </c>
      <c r="FP28" s="2">
        <v>41870.699999999997</v>
      </c>
      <c r="FQ28" s="2">
        <v>41924.199999999997</v>
      </c>
      <c r="FR28" s="2">
        <v>41977.71</v>
      </c>
      <c r="FS28" s="2">
        <v>42031.21</v>
      </c>
      <c r="FT28" s="2">
        <v>42084.71</v>
      </c>
      <c r="FU28" s="2">
        <v>42142.32</v>
      </c>
      <c r="FV28" s="2">
        <v>42199.92</v>
      </c>
      <c r="FW28" s="2">
        <v>42257.52</v>
      </c>
      <c r="FX28" s="2">
        <v>42315.13</v>
      </c>
      <c r="FY28" s="2">
        <v>42350.28</v>
      </c>
      <c r="FZ28" s="2">
        <v>42385.43</v>
      </c>
      <c r="GA28" s="2">
        <v>42420.58</v>
      </c>
      <c r="GB28" s="2">
        <v>42455.73</v>
      </c>
      <c r="GC28" s="2">
        <v>42501.440000000002</v>
      </c>
      <c r="GD28" s="2">
        <v>42547.14</v>
      </c>
      <c r="GE28" s="2">
        <v>42592.85</v>
      </c>
      <c r="GF28" s="2">
        <v>42638.559999999998</v>
      </c>
      <c r="GG28" s="2">
        <v>42681.03</v>
      </c>
      <c r="GH28" s="2">
        <v>42723.5</v>
      </c>
      <c r="GI28" s="2">
        <v>42765.97</v>
      </c>
      <c r="GJ28" s="2">
        <v>42808.44</v>
      </c>
      <c r="GK28" s="2">
        <v>42849.57</v>
      </c>
      <c r="GL28" s="2">
        <v>42890.7</v>
      </c>
      <c r="GM28" s="2">
        <v>42931.82</v>
      </c>
      <c r="GN28" s="2">
        <v>42972.95</v>
      </c>
      <c r="GO28" s="2">
        <v>42962.59</v>
      </c>
      <c r="GP28" s="2">
        <v>42952.22</v>
      </c>
      <c r="GQ28" s="2">
        <v>42941.86</v>
      </c>
      <c r="GR28" s="2">
        <v>42931.5</v>
      </c>
      <c r="GS28" s="2">
        <v>43012.37</v>
      </c>
      <c r="GT28" s="2">
        <v>43093.23</v>
      </c>
      <c r="GU28" s="2">
        <v>43174.1</v>
      </c>
      <c r="GV28" s="2">
        <v>43254.96</v>
      </c>
      <c r="GW28" s="2">
        <v>43364.39</v>
      </c>
      <c r="GX28" s="2">
        <v>43473.83</v>
      </c>
      <c r="GY28" s="2">
        <v>43583.26</v>
      </c>
      <c r="GZ28" s="2">
        <v>43692.7</v>
      </c>
      <c r="HA28" s="3">
        <v>43881.21</v>
      </c>
      <c r="HB28" s="3">
        <v>44069.59</v>
      </c>
      <c r="HC28" s="3">
        <v>44257.98</v>
      </c>
      <c r="HD28" s="3">
        <v>44446.36</v>
      </c>
      <c r="HE28" s="3">
        <v>44565.279999999999</v>
      </c>
      <c r="HF28" s="3">
        <v>44684.2</v>
      </c>
      <c r="HG28" s="3">
        <v>44803.11</v>
      </c>
      <c r="HH28" s="3">
        <v>44922.03</v>
      </c>
      <c r="HI28" s="3">
        <v>44994.49</v>
      </c>
      <c r="HJ28" s="3">
        <v>45066.95</v>
      </c>
      <c r="HK28" s="3">
        <v>45139.42</v>
      </c>
      <c r="HL28" s="3">
        <v>45211.88</v>
      </c>
      <c r="HM28" s="3">
        <v>45261.59</v>
      </c>
      <c r="HN28" s="3">
        <v>45311.31</v>
      </c>
      <c r="HO28" s="3">
        <v>45361.02</v>
      </c>
      <c r="HP28" s="3">
        <v>45410.73</v>
      </c>
      <c r="HQ28" s="3">
        <v>45435.040000000001</v>
      </c>
      <c r="HR28" s="3">
        <v>45459.34</v>
      </c>
      <c r="HS28" s="3">
        <v>45483.64</v>
      </c>
      <c r="HT28" s="3">
        <v>45507.94</v>
      </c>
      <c r="HU28" s="3">
        <v>45524</v>
      </c>
      <c r="HV28" s="3">
        <v>45540.07</v>
      </c>
      <c r="HW28" s="3">
        <v>45556.13</v>
      </c>
      <c r="HX28" s="3">
        <v>45572.19</v>
      </c>
      <c r="HY28" s="3">
        <v>45586</v>
      </c>
      <c r="HZ28" s="3">
        <v>45599.82</v>
      </c>
      <c r="IA28" s="3">
        <v>45613.64</v>
      </c>
      <c r="IB28" s="3">
        <v>45627.46</v>
      </c>
      <c r="IC28" s="3">
        <v>45645.75</v>
      </c>
      <c r="ID28" s="3">
        <v>45664.04</v>
      </c>
      <c r="IE28" s="3">
        <v>45682.32</v>
      </c>
      <c r="IF28" s="3">
        <v>45700.61</v>
      </c>
      <c r="IG28" s="3">
        <v>45714.02</v>
      </c>
      <c r="IH28" s="3">
        <v>45727.43</v>
      </c>
      <c r="II28" s="3">
        <v>45740.84</v>
      </c>
      <c r="IJ28" s="3">
        <v>45754.25</v>
      </c>
      <c r="IK28" s="3">
        <v>45766.09</v>
      </c>
      <c r="IL28" s="3">
        <v>45777.919999999998</v>
      </c>
      <c r="IM28" s="3">
        <v>45789.75</v>
      </c>
      <c r="IN28" s="3">
        <v>45801.59</v>
      </c>
      <c r="IO28" s="3">
        <v>45812.25</v>
      </c>
      <c r="IP28" s="3">
        <v>45822.91</v>
      </c>
      <c r="IQ28" s="3">
        <v>45833.57</v>
      </c>
      <c r="IR28" s="3">
        <v>45844.23</v>
      </c>
      <c r="IS28" s="3">
        <v>45857.62</v>
      </c>
      <c r="IT28" s="3">
        <v>45871.01</v>
      </c>
      <c r="IU28" s="3">
        <v>45884.39</v>
      </c>
      <c r="IV28" s="3">
        <v>45897.79</v>
      </c>
      <c r="IW28" s="3">
        <v>45901.72</v>
      </c>
      <c r="IX28" s="3">
        <v>45905.65</v>
      </c>
      <c r="IY28" s="3">
        <v>45909.58</v>
      </c>
      <c r="IZ28" s="3">
        <v>45913.52</v>
      </c>
      <c r="JA28" s="3">
        <v>45927.7</v>
      </c>
      <c r="JB28" s="3">
        <v>45941.89</v>
      </c>
      <c r="JC28" s="3">
        <v>45956.08</v>
      </c>
      <c r="JD28" s="3">
        <v>45970.27</v>
      </c>
      <c r="JE28" s="3">
        <v>45983.8</v>
      </c>
      <c r="JF28" s="3">
        <v>45997.34</v>
      </c>
      <c r="JG28" s="3">
        <v>46010.87</v>
      </c>
      <c r="JH28" s="3">
        <v>46024.41</v>
      </c>
      <c r="JI28" s="3">
        <v>46045.33</v>
      </c>
      <c r="JJ28" s="3">
        <v>46066.26</v>
      </c>
      <c r="JK28" s="3">
        <v>46087.18</v>
      </c>
      <c r="JL28" s="3">
        <v>46108.11</v>
      </c>
      <c r="JM28" s="3">
        <v>46132.37</v>
      </c>
      <c r="JN28" s="3">
        <v>46156.63</v>
      </c>
      <c r="JO28" s="3">
        <v>46180.89</v>
      </c>
      <c r="JP28" s="3">
        <v>46205.14</v>
      </c>
      <c r="JQ28" s="3">
        <v>46233.3</v>
      </c>
      <c r="JR28" s="3">
        <v>46261.46</v>
      </c>
      <c r="JS28" s="3">
        <v>46289.61</v>
      </c>
      <c r="JT28" s="3">
        <v>46317.77</v>
      </c>
      <c r="JU28" s="3">
        <v>46350.09</v>
      </c>
      <c r="JV28" s="3">
        <v>46382.41</v>
      </c>
      <c r="JW28" s="3">
        <v>46414.74</v>
      </c>
      <c r="JX28" s="3">
        <v>46447.07</v>
      </c>
      <c r="JY28" s="3">
        <v>46475.68</v>
      </c>
      <c r="JZ28" s="3">
        <v>46504.29</v>
      </c>
      <c r="KA28" s="3">
        <v>46532.91</v>
      </c>
      <c r="KB28" s="3">
        <v>46561.52</v>
      </c>
      <c r="KC28" s="3">
        <v>46575.78</v>
      </c>
      <c r="KD28" s="3">
        <v>46590.04</v>
      </c>
      <c r="KE28" s="3">
        <v>46604.31</v>
      </c>
      <c r="KF28" s="3">
        <v>46618.57</v>
      </c>
      <c r="KG28" s="3">
        <v>46624.05</v>
      </c>
      <c r="KH28" s="3">
        <v>46629.52</v>
      </c>
      <c r="KI28" s="3">
        <v>46635</v>
      </c>
      <c r="KJ28" s="3">
        <v>46640.47</v>
      </c>
      <c r="KK28" s="3">
        <v>46645.86</v>
      </c>
      <c r="KL28" s="3">
        <v>46651.24</v>
      </c>
      <c r="KM28" s="3">
        <v>46656.62</v>
      </c>
      <c r="KN28" s="3">
        <v>46662</v>
      </c>
      <c r="KO28" s="3">
        <v>46668.82</v>
      </c>
      <c r="KP28" s="3">
        <v>46675.64</v>
      </c>
      <c r="KQ28" s="3">
        <v>46682.45</v>
      </c>
      <c r="KR28" s="3">
        <v>46689.27</v>
      </c>
      <c r="KS28" s="3">
        <v>46694.19</v>
      </c>
      <c r="KT28" s="3">
        <v>46699.11</v>
      </c>
      <c r="KU28" s="3">
        <v>46704.03</v>
      </c>
      <c r="KV28" s="3">
        <v>46708.95</v>
      </c>
      <c r="KW28" s="3">
        <v>46713.2</v>
      </c>
      <c r="KX28" s="3">
        <v>46717.440000000002</v>
      </c>
      <c r="KY28" s="3">
        <v>46721.69</v>
      </c>
      <c r="KZ28" s="3">
        <v>46725.93</v>
      </c>
      <c r="LA28" s="3">
        <v>46722.65</v>
      </c>
      <c r="LB28" s="3">
        <v>46719.37</v>
      </c>
      <c r="LC28" s="3">
        <v>46716.08</v>
      </c>
      <c r="LD28" s="3">
        <v>46712.800000000003</v>
      </c>
      <c r="LE28" s="3">
        <v>46707.55</v>
      </c>
      <c r="LF28" s="3">
        <v>46702.3</v>
      </c>
      <c r="LG28" s="3">
        <v>46697.05</v>
      </c>
      <c r="LH28" s="3">
        <v>46691.79</v>
      </c>
      <c r="LI28" s="3">
        <v>46683.77</v>
      </c>
      <c r="LJ28" s="3">
        <v>46675.75</v>
      </c>
      <c r="LK28" s="3">
        <v>46667.73</v>
      </c>
      <c r="LL28" s="3">
        <v>46659.71</v>
      </c>
      <c r="LM28" s="3">
        <v>46645.22</v>
      </c>
      <c r="LN28" s="3">
        <v>46630.73</v>
      </c>
      <c r="LO28" s="3">
        <v>46616.24</v>
      </c>
      <c r="LP28" s="3">
        <v>46601.760000000002</v>
      </c>
      <c r="LQ28" s="3">
        <v>46588.4</v>
      </c>
      <c r="LR28" s="3">
        <v>46575.040000000001</v>
      </c>
      <c r="LS28" s="3">
        <v>46561.69</v>
      </c>
      <c r="LT28" s="3">
        <v>46548.33</v>
      </c>
      <c r="LU28" s="3">
        <v>46531.96</v>
      </c>
      <c r="LV28" s="3">
        <v>46515.58</v>
      </c>
      <c r="LW28" s="3">
        <v>46499.21</v>
      </c>
      <c r="LX28" s="3">
        <v>46482.83</v>
      </c>
      <c r="LY28" s="3">
        <v>46463.53</v>
      </c>
      <c r="LZ28" s="3">
        <v>46444.22</v>
      </c>
      <c r="MA28" s="3">
        <v>46424.91</v>
      </c>
      <c r="MB28" s="3">
        <v>46405.61</v>
      </c>
      <c r="MC28" s="3">
        <v>46386.86</v>
      </c>
      <c r="MD28" s="3">
        <v>46368.11</v>
      </c>
      <c r="ME28" s="3">
        <v>46349.36</v>
      </c>
      <c r="MF28" s="3">
        <v>46330.62</v>
      </c>
      <c r="MG28" s="3">
        <v>46315.43</v>
      </c>
      <c r="MH28" s="3">
        <v>46300.24</v>
      </c>
      <c r="MI28" s="3">
        <v>46285.05</v>
      </c>
      <c r="MJ28" s="3">
        <v>46269.86</v>
      </c>
      <c r="MK28" s="3">
        <v>46252.05</v>
      </c>
      <c r="ML28" s="3">
        <v>46234.239999999998</v>
      </c>
      <c r="MM28" s="3">
        <v>46216.43</v>
      </c>
      <c r="MN28" s="3">
        <v>46198.63</v>
      </c>
      <c r="MO28" s="3">
        <v>46183</v>
      </c>
      <c r="MP28" s="3">
        <v>46167.39</v>
      </c>
      <c r="MQ28" s="3">
        <v>46151.77</v>
      </c>
      <c r="MR28" s="3">
        <v>46136.15</v>
      </c>
      <c r="MS28" s="3">
        <v>46120.54</v>
      </c>
      <c r="MT28" s="3">
        <v>46104.93</v>
      </c>
      <c r="MU28" s="1" t="s">
        <v>484</v>
      </c>
      <c r="MV28" t="b">
        <v>0</v>
      </c>
      <c r="MW28" t="s">
        <v>377</v>
      </c>
      <c r="MX28" t="s">
        <v>377</v>
      </c>
      <c r="MY28">
        <v>2023</v>
      </c>
      <c r="MZ28">
        <v>2</v>
      </c>
      <c r="NA28" t="s">
        <v>377</v>
      </c>
      <c r="NB28" s="1" t="s">
        <v>485</v>
      </c>
      <c r="NC28" t="s">
        <v>377</v>
      </c>
      <c r="ND28" t="s">
        <v>380</v>
      </c>
      <c r="NE28" s="1" t="s">
        <v>486</v>
      </c>
      <c r="NF28" s="1" t="s">
        <v>455</v>
      </c>
    </row>
    <row r="29" spans="1:370" x14ac:dyDescent="0.25">
      <c r="A29" t="s">
        <v>382</v>
      </c>
      <c r="B29" s="1" t="s">
        <v>483</v>
      </c>
      <c r="C29" s="1" t="s">
        <v>454</v>
      </c>
      <c r="D29" t="s">
        <v>464</v>
      </c>
      <c r="E29" t="s">
        <v>465</v>
      </c>
      <c r="F29" t="s">
        <v>374</v>
      </c>
      <c r="G29" s="2">
        <v>132477.5</v>
      </c>
      <c r="H29" s="2">
        <v>133087.5</v>
      </c>
      <c r="I29" s="2">
        <v>133665.29999999999</v>
      </c>
      <c r="J29" s="2">
        <v>134250</v>
      </c>
      <c r="K29" s="2">
        <v>134842.70000000001</v>
      </c>
      <c r="L29" s="2">
        <v>135439</v>
      </c>
      <c r="M29" s="2">
        <v>136022.79999999999</v>
      </c>
      <c r="N29" s="2">
        <v>136597.79999999999</v>
      </c>
      <c r="O29" s="2">
        <v>137167.6</v>
      </c>
      <c r="P29" s="2">
        <v>137723.4</v>
      </c>
      <c r="Q29" s="2">
        <v>138373.29999999999</v>
      </c>
      <c r="R29" s="2">
        <v>139015.70000000001</v>
      </c>
      <c r="S29" s="2">
        <v>139661.79999999999</v>
      </c>
      <c r="T29" s="2">
        <v>140288.9</v>
      </c>
      <c r="U29" s="2">
        <v>140921.9</v>
      </c>
      <c r="V29" s="2">
        <v>141486.9</v>
      </c>
      <c r="W29" s="2">
        <v>142075.6</v>
      </c>
      <c r="X29" s="2">
        <v>142676.5</v>
      </c>
      <c r="Y29" s="2">
        <v>143266.1</v>
      </c>
      <c r="Z29" s="2">
        <v>143856.4</v>
      </c>
      <c r="AA29" s="2">
        <v>144455.6</v>
      </c>
      <c r="AB29" s="2">
        <v>145050</v>
      </c>
      <c r="AC29" s="2">
        <v>145650</v>
      </c>
      <c r="AD29" s="2">
        <v>146224</v>
      </c>
      <c r="AE29" s="2">
        <v>146811.29999999999</v>
      </c>
      <c r="AF29" s="2">
        <v>147415.9</v>
      </c>
      <c r="AG29" s="2">
        <v>148001.60000000001</v>
      </c>
      <c r="AH29" s="2">
        <v>148546.4</v>
      </c>
      <c r="AI29" s="2">
        <v>149104.79999999999</v>
      </c>
      <c r="AJ29" s="2">
        <v>149668.20000000001</v>
      </c>
      <c r="AK29" s="2">
        <v>150231.6</v>
      </c>
      <c r="AL29" s="2">
        <v>150698</v>
      </c>
      <c r="AM29" s="2">
        <v>151135</v>
      </c>
      <c r="AN29" s="2">
        <v>151556.9</v>
      </c>
      <c r="AO29" s="2">
        <v>151991.79999999999</v>
      </c>
      <c r="AP29" s="2">
        <v>152395.79999999999</v>
      </c>
      <c r="AQ29" s="2">
        <v>152778.9</v>
      </c>
      <c r="AR29" s="2">
        <v>153172</v>
      </c>
      <c r="AS29" s="2">
        <v>153546.4</v>
      </c>
      <c r="AT29" s="2">
        <v>153899.79999999999</v>
      </c>
      <c r="AU29" s="2">
        <v>154260</v>
      </c>
      <c r="AV29" s="2">
        <v>154617.1</v>
      </c>
      <c r="AW29" s="2">
        <v>154961.9</v>
      </c>
      <c r="AX29" s="2">
        <v>155333.5</v>
      </c>
      <c r="AY29" s="2">
        <v>155707.4</v>
      </c>
      <c r="AZ29" s="2">
        <v>156097</v>
      </c>
      <c r="BA29" s="2">
        <v>156463.79999999999</v>
      </c>
      <c r="BB29" s="2">
        <v>156842.5</v>
      </c>
      <c r="BC29" s="2">
        <v>157215.29999999999</v>
      </c>
      <c r="BD29" s="2">
        <v>157583.70000000001</v>
      </c>
      <c r="BE29" s="2">
        <v>157973.6</v>
      </c>
      <c r="BF29" s="2">
        <v>158379.5</v>
      </c>
      <c r="BG29" s="2">
        <v>158790</v>
      </c>
      <c r="BH29" s="2">
        <v>159190.39999999999</v>
      </c>
      <c r="BI29" s="2">
        <v>159590.29999999999</v>
      </c>
      <c r="BJ29" s="2">
        <v>159885.5</v>
      </c>
      <c r="BK29" s="2">
        <v>160191.1</v>
      </c>
      <c r="BL29" s="2">
        <v>160509.79999999999</v>
      </c>
      <c r="BM29" s="2">
        <v>160803.5</v>
      </c>
      <c r="BN29" s="2">
        <v>161074.5</v>
      </c>
      <c r="BO29" s="2">
        <v>161371.20000000001</v>
      </c>
      <c r="BP29" s="2">
        <v>161650.6</v>
      </c>
      <c r="BQ29" s="2">
        <v>161924.9</v>
      </c>
      <c r="BR29" s="2">
        <v>162164.5</v>
      </c>
      <c r="BS29" s="2">
        <v>162419.20000000001</v>
      </c>
      <c r="BT29" s="2">
        <v>162666.70000000001</v>
      </c>
      <c r="BU29" s="2">
        <v>162916.6</v>
      </c>
      <c r="BV29" s="2">
        <v>163194.29999999999</v>
      </c>
      <c r="BW29" s="2">
        <v>163494.9</v>
      </c>
      <c r="BX29" s="2">
        <v>163843.20000000001</v>
      </c>
      <c r="BY29" s="2">
        <v>164230.1</v>
      </c>
      <c r="BZ29" s="2">
        <v>164629.5</v>
      </c>
      <c r="CA29" s="2">
        <v>164991.20000000001</v>
      </c>
      <c r="CB29" s="2">
        <v>165408.20000000001</v>
      </c>
      <c r="CC29" s="2">
        <v>165925</v>
      </c>
      <c r="CD29" s="2">
        <v>166433.70000000001</v>
      </c>
      <c r="CE29" s="2">
        <v>166937.60000000001</v>
      </c>
      <c r="CF29" s="2">
        <v>167445.6</v>
      </c>
      <c r="CG29" s="2">
        <v>167954.2</v>
      </c>
      <c r="CH29" s="2">
        <v>168467.9</v>
      </c>
      <c r="CI29" s="2">
        <v>168982.6</v>
      </c>
      <c r="CJ29" s="2">
        <v>169453.8</v>
      </c>
      <c r="CK29" s="2">
        <v>169921.1</v>
      </c>
      <c r="CL29" s="2">
        <v>170445.8</v>
      </c>
      <c r="CM29" s="2">
        <v>170973.5</v>
      </c>
      <c r="CN29" s="2">
        <v>171490.3</v>
      </c>
      <c r="CO29" s="2">
        <v>171993.3</v>
      </c>
      <c r="CP29" s="2">
        <v>172542.1</v>
      </c>
      <c r="CQ29" s="2">
        <v>173109.8</v>
      </c>
      <c r="CR29" s="2">
        <v>173680.8</v>
      </c>
      <c r="CS29" s="2">
        <v>174238.6</v>
      </c>
      <c r="CT29" s="2">
        <v>174826.8</v>
      </c>
      <c r="CU29" s="2">
        <v>175378.3</v>
      </c>
      <c r="CV29" s="2">
        <v>175962.9</v>
      </c>
      <c r="CW29" s="2">
        <v>176548.6</v>
      </c>
      <c r="CX29" s="2">
        <v>177198.6</v>
      </c>
      <c r="CY29" s="2">
        <v>177854.9</v>
      </c>
      <c r="CZ29" s="2">
        <v>178510</v>
      </c>
      <c r="DA29" s="2">
        <v>179159.2</v>
      </c>
      <c r="DB29" s="2">
        <v>179831.9</v>
      </c>
      <c r="DC29" s="2">
        <v>180484.5</v>
      </c>
      <c r="DD29" s="2">
        <v>181112.4</v>
      </c>
      <c r="DE29" s="2">
        <v>181755.6</v>
      </c>
      <c r="DF29" s="2">
        <v>182383.6</v>
      </c>
      <c r="DG29" s="2">
        <v>183031.3</v>
      </c>
      <c r="DH29" s="2">
        <v>183638.6</v>
      </c>
      <c r="DI29" s="2">
        <v>184288.1</v>
      </c>
      <c r="DJ29" s="2">
        <v>184941.7</v>
      </c>
      <c r="DK29" s="2">
        <v>185585.8</v>
      </c>
      <c r="DL29" s="2">
        <v>186226.2</v>
      </c>
      <c r="DM29" s="2">
        <v>186813</v>
      </c>
      <c r="DN29" s="2">
        <v>187416.1</v>
      </c>
      <c r="DO29" s="2">
        <v>188027.3</v>
      </c>
      <c r="DP29" s="2">
        <v>188641.4</v>
      </c>
      <c r="DQ29" s="2">
        <v>189228.4</v>
      </c>
      <c r="DR29" s="2">
        <v>189779.8</v>
      </c>
      <c r="DS29" s="2">
        <v>190364.7</v>
      </c>
      <c r="DT29" s="2">
        <v>190957</v>
      </c>
      <c r="DU29" s="2">
        <v>191540</v>
      </c>
      <c r="DV29" s="2">
        <v>192082.9</v>
      </c>
      <c r="DW29" s="2">
        <v>192615.8</v>
      </c>
      <c r="DX29" s="2">
        <v>193055.7</v>
      </c>
      <c r="DY29" s="2">
        <v>193615.8</v>
      </c>
      <c r="DZ29" s="2">
        <v>194223.8</v>
      </c>
      <c r="EA29" s="2">
        <v>194795.4</v>
      </c>
      <c r="EB29" s="2">
        <v>195369.8</v>
      </c>
      <c r="EC29" s="2">
        <v>195950.2</v>
      </c>
      <c r="ED29" s="2">
        <v>196546.4</v>
      </c>
      <c r="EE29" s="2">
        <v>197143.2</v>
      </c>
      <c r="EF29" s="2">
        <v>197728.3</v>
      </c>
      <c r="EG29" s="2">
        <v>198347.8</v>
      </c>
      <c r="EH29" s="2">
        <v>198925.3</v>
      </c>
      <c r="EI29" s="2">
        <v>199497.4</v>
      </c>
      <c r="EJ29" s="2">
        <v>200116.1</v>
      </c>
      <c r="EK29" s="2">
        <v>200699.1</v>
      </c>
      <c r="EL29" s="2">
        <v>201194</v>
      </c>
      <c r="EM29" s="2">
        <v>201716.2</v>
      </c>
      <c r="EN29" s="2">
        <v>202223.4</v>
      </c>
      <c r="EO29" s="2">
        <v>202723.9</v>
      </c>
      <c r="EP29" s="2">
        <v>203143.8</v>
      </c>
      <c r="EQ29" s="2">
        <v>203574.9</v>
      </c>
      <c r="ER29" s="2">
        <v>203994.7</v>
      </c>
      <c r="ES29" s="2">
        <v>204409</v>
      </c>
      <c r="ET29" s="2">
        <v>204830.6</v>
      </c>
      <c r="EU29" s="2">
        <v>205238.1</v>
      </c>
      <c r="EV29" s="2">
        <v>205654</v>
      </c>
      <c r="EW29" s="2">
        <v>206060.79999999999</v>
      </c>
      <c r="EX29" s="2">
        <v>206479.5</v>
      </c>
      <c r="EY29" s="2">
        <v>206893</v>
      </c>
      <c r="EZ29" s="2">
        <v>207317.7</v>
      </c>
      <c r="FA29" s="2">
        <v>207680.7</v>
      </c>
      <c r="FB29" s="2">
        <v>208094.5</v>
      </c>
      <c r="FC29" s="2">
        <v>208489.9</v>
      </c>
      <c r="FD29" s="2">
        <v>208887.7</v>
      </c>
      <c r="FE29" s="2">
        <v>209290.5</v>
      </c>
      <c r="FF29" s="2">
        <v>209471.8</v>
      </c>
      <c r="FG29" s="2">
        <v>209668.1</v>
      </c>
      <c r="FH29" s="2">
        <v>209869.2</v>
      </c>
      <c r="FI29" s="2">
        <v>210054.8</v>
      </c>
      <c r="FJ29" s="2">
        <v>210303.9</v>
      </c>
      <c r="FK29" s="2">
        <v>210531.1</v>
      </c>
      <c r="FL29" s="2">
        <v>210749.3</v>
      </c>
      <c r="FM29" s="2">
        <v>210980.3</v>
      </c>
      <c r="FN29" s="2">
        <v>211223.4</v>
      </c>
      <c r="FO29" s="2">
        <v>211482.2</v>
      </c>
      <c r="FP29" s="2">
        <v>211739.6</v>
      </c>
      <c r="FQ29" s="2">
        <v>211992.3</v>
      </c>
      <c r="FR29" s="2">
        <v>212285.1</v>
      </c>
      <c r="FS29" s="2">
        <v>212569.5</v>
      </c>
      <c r="FT29" s="2">
        <v>212837</v>
      </c>
      <c r="FU29" s="2">
        <v>213107.7</v>
      </c>
      <c r="FV29" s="2">
        <v>213358.1</v>
      </c>
      <c r="FW29" s="2">
        <v>213593.7</v>
      </c>
      <c r="FX29" s="2">
        <v>213863.9</v>
      </c>
      <c r="FY29" s="2">
        <v>214107.3</v>
      </c>
      <c r="FZ29" s="2">
        <v>214303.6</v>
      </c>
      <c r="GA29" s="2">
        <v>214485.6</v>
      </c>
      <c r="GB29" s="2">
        <v>214662.3</v>
      </c>
      <c r="GC29" s="2">
        <v>214834.3</v>
      </c>
      <c r="GD29" s="2">
        <v>214958.5</v>
      </c>
      <c r="GE29" s="2">
        <v>215073.5</v>
      </c>
      <c r="GF29" s="2">
        <v>215185</v>
      </c>
      <c r="GG29" s="2">
        <v>215301.1</v>
      </c>
      <c r="GH29" s="2">
        <v>215378</v>
      </c>
      <c r="GI29" s="2">
        <v>215454</v>
      </c>
      <c r="GJ29" s="2">
        <v>215524.1</v>
      </c>
      <c r="GK29" s="2">
        <v>215600.7</v>
      </c>
      <c r="GL29" s="2">
        <v>215676</v>
      </c>
      <c r="GM29" s="2">
        <v>215756.3</v>
      </c>
      <c r="GN29" s="2">
        <v>215832.8</v>
      </c>
      <c r="GO29" s="2">
        <v>215776.1</v>
      </c>
      <c r="GP29" s="2">
        <v>215718.9</v>
      </c>
      <c r="GQ29" s="2">
        <v>215607.8</v>
      </c>
      <c r="GR29" s="2">
        <v>215547.8</v>
      </c>
      <c r="GS29" s="2">
        <v>215574.7</v>
      </c>
      <c r="GT29" s="2">
        <v>215686.8</v>
      </c>
      <c r="GU29" s="2">
        <v>215829.3</v>
      </c>
      <c r="GV29" s="2">
        <v>215987.1</v>
      </c>
      <c r="GW29" s="3">
        <v>216213.7</v>
      </c>
      <c r="GX29" s="3">
        <v>216468.7</v>
      </c>
      <c r="GY29" s="3">
        <v>216752.7</v>
      </c>
      <c r="GZ29" s="3">
        <v>217075.4</v>
      </c>
      <c r="HA29" s="3">
        <v>217388.79999999999</v>
      </c>
      <c r="HB29" s="3">
        <v>217695.9</v>
      </c>
      <c r="HC29" s="3">
        <v>218043.5</v>
      </c>
      <c r="HD29" s="3">
        <v>218424.9</v>
      </c>
      <c r="HE29" s="3">
        <v>218802.1</v>
      </c>
      <c r="HF29" s="3">
        <v>218982.39999999999</v>
      </c>
      <c r="HG29" s="3">
        <v>219138.6</v>
      </c>
      <c r="HH29" s="3">
        <v>219268.7</v>
      </c>
      <c r="HI29" s="3">
        <v>219365.2</v>
      </c>
      <c r="HJ29" s="3">
        <v>219406.3</v>
      </c>
      <c r="HK29" s="3">
        <v>219432.1</v>
      </c>
      <c r="HL29" s="3">
        <v>219445.3</v>
      </c>
      <c r="HM29" s="3">
        <v>219452.2</v>
      </c>
      <c r="HN29" s="3">
        <v>219452.5</v>
      </c>
      <c r="HO29" s="3">
        <v>219445.9</v>
      </c>
      <c r="HP29" s="3">
        <v>219425.6</v>
      </c>
      <c r="HQ29" s="3">
        <v>219400.3</v>
      </c>
      <c r="HR29" s="3">
        <v>219388.6</v>
      </c>
      <c r="HS29" s="3">
        <v>219374.8</v>
      </c>
      <c r="HT29" s="3">
        <v>219361.2</v>
      </c>
      <c r="HU29" s="3">
        <v>219348</v>
      </c>
      <c r="HV29" s="3">
        <v>219361.5</v>
      </c>
      <c r="HW29" s="3">
        <v>219377.7</v>
      </c>
      <c r="HX29" s="3">
        <v>219400.9</v>
      </c>
      <c r="HY29" s="3">
        <v>219428.1</v>
      </c>
      <c r="HZ29" s="3">
        <v>219508</v>
      </c>
      <c r="IA29" s="3">
        <v>219591.9</v>
      </c>
      <c r="IB29" s="3">
        <v>219675.4</v>
      </c>
      <c r="IC29" s="3">
        <v>219765</v>
      </c>
      <c r="ID29" s="3">
        <v>219912.4</v>
      </c>
      <c r="IE29" s="3">
        <v>220066.7</v>
      </c>
      <c r="IF29" s="3">
        <v>220228.1</v>
      </c>
      <c r="IG29" s="3">
        <v>220387.5</v>
      </c>
      <c r="IH29" s="3">
        <v>220551.5</v>
      </c>
      <c r="II29" s="3">
        <v>220714.5</v>
      </c>
      <c r="IJ29" s="3">
        <v>220876.4</v>
      </c>
      <c r="IK29" s="3">
        <v>221037.4</v>
      </c>
      <c r="IL29" s="3">
        <v>221196.2</v>
      </c>
      <c r="IM29" s="3">
        <v>221354.1</v>
      </c>
      <c r="IN29" s="3">
        <v>221511</v>
      </c>
      <c r="IO29" s="3">
        <v>221666.9</v>
      </c>
      <c r="IP29" s="3">
        <v>221794.1</v>
      </c>
      <c r="IQ29" s="3">
        <v>221920.3</v>
      </c>
      <c r="IR29" s="3">
        <v>222045.5</v>
      </c>
      <c r="IS29" s="3">
        <v>222169.5</v>
      </c>
      <c r="IT29" s="3">
        <v>222259</v>
      </c>
      <c r="IU29" s="3">
        <v>222347.1</v>
      </c>
      <c r="IV29" s="3">
        <v>222433.7</v>
      </c>
      <c r="IW29" s="3">
        <v>222518.8</v>
      </c>
      <c r="IX29" s="3">
        <v>222577.2</v>
      </c>
      <c r="IY29" s="3">
        <v>222633.60000000001</v>
      </c>
      <c r="IZ29" s="3">
        <v>222688.1</v>
      </c>
      <c r="JA29" s="3">
        <v>222740.6</v>
      </c>
      <c r="JB29" s="3">
        <v>222885.3</v>
      </c>
      <c r="JC29" s="3">
        <v>223028</v>
      </c>
      <c r="JD29" s="3">
        <v>223168.8</v>
      </c>
      <c r="JE29" s="3">
        <v>223307.7</v>
      </c>
      <c r="JF29" s="3">
        <v>223496.1</v>
      </c>
      <c r="JG29" s="3">
        <v>223682.7</v>
      </c>
      <c r="JH29" s="3">
        <v>223867.5</v>
      </c>
      <c r="JI29" s="3">
        <v>224050.4</v>
      </c>
      <c r="JJ29" s="3">
        <v>224231.1</v>
      </c>
      <c r="JK29" s="3">
        <v>224410.1</v>
      </c>
      <c r="JL29" s="3">
        <v>224587.2</v>
      </c>
      <c r="JM29" s="3">
        <v>224762.6</v>
      </c>
      <c r="JN29" s="3">
        <v>224939.9</v>
      </c>
      <c r="JO29" s="3">
        <v>225115.6</v>
      </c>
      <c r="JP29" s="3">
        <v>225289.60000000001</v>
      </c>
      <c r="JQ29" s="3">
        <v>225462.1</v>
      </c>
      <c r="JR29" s="3">
        <v>225653.7</v>
      </c>
      <c r="JS29" s="3">
        <v>225843.9</v>
      </c>
      <c r="JT29" s="3">
        <v>226032.5</v>
      </c>
      <c r="JU29" s="3">
        <v>226219.5</v>
      </c>
      <c r="JV29" s="3">
        <v>226384.9</v>
      </c>
      <c r="JW29" s="3">
        <v>226548.9</v>
      </c>
      <c r="JX29" s="3">
        <v>226711.5</v>
      </c>
      <c r="JY29" s="3">
        <v>226872.8</v>
      </c>
      <c r="JZ29" s="3">
        <v>227031.6</v>
      </c>
      <c r="KA29" s="3">
        <v>227189.2</v>
      </c>
      <c r="KB29" s="3">
        <v>227345.6</v>
      </c>
      <c r="KC29" s="3">
        <v>227500.79999999999</v>
      </c>
      <c r="KD29" s="3">
        <v>227643.4</v>
      </c>
      <c r="KE29" s="3">
        <v>227785</v>
      </c>
      <c r="KF29" s="3">
        <v>227925.6</v>
      </c>
      <c r="KG29" s="3">
        <v>228065.2</v>
      </c>
      <c r="KH29" s="3">
        <v>228173.3</v>
      </c>
      <c r="KI29" s="3">
        <v>228280.6</v>
      </c>
      <c r="KJ29" s="3">
        <v>228387.1</v>
      </c>
      <c r="KK29" s="3">
        <v>228492.7</v>
      </c>
      <c r="KL29" s="3">
        <v>228600.2</v>
      </c>
      <c r="KM29" s="3">
        <v>228707.1</v>
      </c>
      <c r="KN29" s="3">
        <v>228813.4</v>
      </c>
      <c r="KO29" s="3">
        <v>228919</v>
      </c>
      <c r="KP29" s="3">
        <v>229016.5</v>
      </c>
      <c r="KQ29" s="3">
        <v>229113.5</v>
      </c>
      <c r="KR29" s="3">
        <v>229209.9</v>
      </c>
      <c r="KS29" s="3">
        <v>229305.8</v>
      </c>
      <c r="KT29" s="3">
        <v>229404.4</v>
      </c>
      <c r="KU29" s="3">
        <v>229502.6</v>
      </c>
      <c r="KV29" s="3">
        <v>229600.4</v>
      </c>
      <c r="KW29" s="3">
        <v>229697.9</v>
      </c>
      <c r="KX29" s="3">
        <v>229812.4</v>
      </c>
      <c r="KY29" s="3">
        <v>229926.6</v>
      </c>
      <c r="KZ29" s="3">
        <v>230040.7</v>
      </c>
      <c r="LA29" s="3">
        <v>230154.6</v>
      </c>
      <c r="LB29" s="3">
        <v>230247.9</v>
      </c>
      <c r="LC29" s="3">
        <v>230341</v>
      </c>
      <c r="LD29" s="3">
        <v>230434</v>
      </c>
      <c r="LE29" s="3">
        <v>230526.7</v>
      </c>
      <c r="LF29" s="3">
        <v>230615.8</v>
      </c>
      <c r="LG29" s="3">
        <v>230704.7</v>
      </c>
      <c r="LH29" s="3">
        <v>230793.7</v>
      </c>
      <c r="LI29" s="3">
        <v>230883</v>
      </c>
      <c r="LJ29" s="3">
        <v>230969.7</v>
      </c>
      <c r="LK29" s="3">
        <v>231056.6</v>
      </c>
      <c r="LL29" s="3">
        <v>231143.8</v>
      </c>
      <c r="LM29" s="3">
        <v>231231.2</v>
      </c>
      <c r="LN29" s="3">
        <v>231302.5</v>
      </c>
      <c r="LO29" s="3">
        <v>231374.2</v>
      </c>
      <c r="LP29" s="3">
        <v>231446.2</v>
      </c>
      <c r="LQ29" s="3">
        <v>231518.6</v>
      </c>
      <c r="LR29" s="3">
        <v>231567.6</v>
      </c>
      <c r="LS29" s="3">
        <v>231616.9</v>
      </c>
      <c r="LT29" s="3">
        <v>231666.7</v>
      </c>
      <c r="LU29" s="3">
        <v>231716.8</v>
      </c>
      <c r="LV29" s="3">
        <v>231731.9</v>
      </c>
      <c r="LW29" s="3">
        <v>231747.5</v>
      </c>
      <c r="LX29" s="3">
        <v>231763.4</v>
      </c>
      <c r="LY29" s="3">
        <v>231779.8</v>
      </c>
      <c r="LZ29" s="3">
        <v>231793.1</v>
      </c>
      <c r="MA29" s="3">
        <v>231806.9</v>
      </c>
      <c r="MB29" s="3">
        <v>231821.1</v>
      </c>
      <c r="MC29" s="3">
        <v>231835.8</v>
      </c>
      <c r="MD29" s="3">
        <v>231858.7</v>
      </c>
      <c r="ME29" s="3">
        <v>231882.1</v>
      </c>
      <c r="MF29" s="3">
        <v>231905.9</v>
      </c>
      <c r="MG29" s="3">
        <v>231930.2</v>
      </c>
      <c r="MH29" s="3">
        <v>231969.7</v>
      </c>
      <c r="MI29" s="3">
        <v>232009.60000000001</v>
      </c>
      <c r="MJ29" s="3">
        <v>232050</v>
      </c>
      <c r="MK29" s="3">
        <v>232090.8</v>
      </c>
      <c r="ML29" s="3">
        <v>232139</v>
      </c>
      <c r="MM29" s="3">
        <v>232187.7</v>
      </c>
      <c r="MN29" s="3">
        <v>232236.79999999999</v>
      </c>
      <c r="MO29" s="3">
        <v>232286.3</v>
      </c>
      <c r="MP29" s="3">
        <v>232346.8</v>
      </c>
      <c r="MQ29" s="3">
        <v>232407.7</v>
      </c>
      <c r="MR29" s="3">
        <v>232469</v>
      </c>
      <c r="MS29" s="3">
        <v>232530.7</v>
      </c>
      <c r="MT29" s="3">
        <v>232592.6</v>
      </c>
      <c r="MU29" t="s">
        <v>487</v>
      </c>
      <c r="MV29" t="b">
        <v>0</v>
      </c>
      <c r="MW29" t="s">
        <v>377</v>
      </c>
      <c r="MX29" t="s">
        <v>377</v>
      </c>
      <c r="MY29">
        <v>2022</v>
      </c>
      <c r="MZ29">
        <v>2</v>
      </c>
      <c r="NA29" t="s">
        <v>377</v>
      </c>
      <c r="NB29" s="1" t="s">
        <v>488</v>
      </c>
      <c r="NC29" s="1" t="s">
        <v>489</v>
      </c>
      <c r="ND29" t="s">
        <v>389</v>
      </c>
      <c r="NE29" s="1" t="s">
        <v>486</v>
      </c>
      <c r="NF29" s="1" t="s">
        <v>455</v>
      </c>
    </row>
    <row r="30" spans="1:370" x14ac:dyDescent="0.25">
      <c r="A30" t="s">
        <v>370</v>
      </c>
      <c r="B30" t="s">
        <v>490</v>
      </c>
      <c r="C30" s="1" t="s">
        <v>454</v>
      </c>
      <c r="D30" t="s">
        <v>372</v>
      </c>
      <c r="E30" t="s">
        <v>373</v>
      </c>
      <c r="F30" t="s">
        <v>374</v>
      </c>
      <c r="G30" s="2">
        <v>1059724</v>
      </c>
      <c r="H30" s="2">
        <v>1069549</v>
      </c>
      <c r="I30" s="2">
        <v>1079374</v>
      </c>
      <c r="J30" s="2">
        <v>1089199</v>
      </c>
      <c r="K30" s="2">
        <v>1096685</v>
      </c>
      <c r="L30" s="2">
        <v>1104171</v>
      </c>
      <c r="M30" s="2">
        <v>1111657</v>
      </c>
      <c r="N30" s="2">
        <v>1119143</v>
      </c>
      <c r="O30" s="2">
        <v>1126434</v>
      </c>
      <c r="P30" s="2">
        <v>1133725</v>
      </c>
      <c r="Q30" s="2">
        <v>1141016</v>
      </c>
      <c r="R30" s="2">
        <v>1148307</v>
      </c>
      <c r="S30" s="2">
        <v>1155052</v>
      </c>
      <c r="T30" s="2">
        <v>1161797</v>
      </c>
      <c r="U30" s="2">
        <v>1168542</v>
      </c>
      <c r="V30" s="2">
        <v>1175287</v>
      </c>
      <c r="W30" s="2">
        <v>1181448</v>
      </c>
      <c r="X30" s="2">
        <v>1187608</v>
      </c>
      <c r="Y30" s="2">
        <v>1193768</v>
      </c>
      <c r="Z30" s="2">
        <v>1199928</v>
      </c>
      <c r="AA30" s="2">
        <v>1207570</v>
      </c>
      <c r="AB30" s="2">
        <v>1215212</v>
      </c>
      <c r="AC30" s="2">
        <v>1222854</v>
      </c>
      <c r="AD30" s="2">
        <v>1230496</v>
      </c>
      <c r="AE30" s="2">
        <v>1236422</v>
      </c>
      <c r="AF30" s="2">
        <v>1242348</v>
      </c>
      <c r="AG30" s="2">
        <v>1248275</v>
      </c>
      <c r="AH30" s="2">
        <v>1254201</v>
      </c>
      <c r="AI30" s="2">
        <v>1258841</v>
      </c>
      <c r="AJ30" s="2">
        <v>1263481</v>
      </c>
      <c r="AK30" s="2">
        <v>1268120</v>
      </c>
      <c r="AL30" s="2">
        <v>1272760</v>
      </c>
      <c r="AM30" s="2">
        <v>1274943</v>
      </c>
      <c r="AN30" s="2">
        <v>1277127</v>
      </c>
      <c r="AO30" s="2">
        <v>1279310</v>
      </c>
      <c r="AP30" s="2">
        <v>1281494</v>
      </c>
      <c r="AQ30" s="2">
        <v>1284379</v>
      </c>
      <c r="AR30" s="2">
        <v>1287264</v>
      </c>
      <c r="AS30" s="2">
        <v>1290149</v>
      </c>
      <c r="AT30" s="2">
        <v>1293034</v>
      </c>
      <c r="AU30" s="2">
        <v>1296465</v>
      </c>
      <c r="AV30" s="2">
        <v>1299896</v>
      </c>
      <c r="AW30" s="2">
        <v>1303327</v>
      </c>
      <c r="AX30" s="2">
        <v>1306758</v>
      </c>
      <c r="AY30" s="2">
        <v>1312997</v>
      </c>
      <c r="AZ30" s="2">
        <v>1319235</v>
      </c>
      <c r="BA30" s="2">
        <v>1325473</v>
      </c>
      <c r="BB30" s="2">
        <v>1331712</v>
      </c>
      <c r="BC30" s="2">
        <v>1338418</v>
      </c>
      <c r="BD30" s="2">
        <v>1345124</v>
      </c>
      <c r="BE30" s="2">
        <v>1351830</v>
      </c>
      <c r="BF30" s="2">
        <v>1358536</v>
      </c>
      <c r="BG30" s="2">
        <v>1363956</v>
      </c>
      <c r="BH30" s="2">
        <v>1369375</v>
      </c>
      <c r="BI30" s="2">
        <v>1374794</v>
      </c>
      <c r="BJ30" s="2">
        <v>1380214</v>
      </c>
      <c r="BK30" s="2">
        <v>1387973</v>
      </c>
      <c r="BL30" s="2">
        <v>1395732</v>
      </c>
      <c r="BM30" s="2">
        <v>1403490</v>
      </c>
      <c r="BN30" s="2">
        <v>1411249</v>
      </c>
      <c r="BO30" s="2">
        <v>1422400</v>
      </c>
      <c r="BP30" s="2">
        <v>1433551</v>
      </c>
      <c r="BQ30" s="2">
        <v>1444702</v>
      </c>
      <c r="BR30" s="2">
        <v>1455853</v>
      </c>
      <c r="BS30" s="2">
        <v>1469148</v>
      </c>
      <c r="BT30" s="2">
        <v>1482443</v>
      </c>
      <c r="BU30" s="2">
        <v>1495739</v>
      </c>
      <c r="BV30" s="2">
        <v>1509034</v>
      </c>
      <c r="BW30" s="2">
        <v>1523928</v>
      </c>
      <c r="BX30" s="2">
        <v>1538822</v>
      </c>
      <c r="BY30" s="2">
        <v>1553715</v>
      </c>
      <c r="BZ30" s="2">
        <v>1568609</v>
      </c>
      <c r="CA30" s="2">
        <v>1581320</v>
      </c>
      <c r="CB30" s="2">
        <v>1594030</v>
      </c>
      <c r="CC30" s="2">
        <v>1606740</v>
      </c>
      <c r="CD30" s="2">
        <v>1619451</v>
      </c>
      <c r="CE30" s="2">
        <v>1627093</v>
      </c>
      <c r="CF30" s="2">
        <v>1634735</v>
      </c>
      <c r="CG30" s="2">
        <v>1642377</v>
      </c>
      <c r="CH30" s="2">
        <v>1650018</v>
      </c>
      <c r="CI30" s="2">
        <v>1657777</v>
      </c>
      <c r="CJ30" s="2">
        <v>1665536</v>
      </c>
      <c r="CK30" s="2">
        <v>1673295</v>
      </c>
      <c r="CL30" s="2">
        <v>1681054</v>
      </c>
      <c r="CM30" s="2">
        <v>1690294</v>
      </c>
      <c r="CN30" s="2">
        <v>1699535</v>
      </c>
      <c r="CO30" s="2">
        <v>1708775</v>
      </c>
      <c r="CP30" s="2">
        <v>1718015</v>
      </c>
      <c r="CQ30" s="2">
        <v>1728542</v>
      </c>
      <c r="CR30" s="2">
        <v>1739070</v>
      </c>
      <c r="CS30" s="2">
        <v>1749597</v>
      </c>
      <c r="CT30" s="2">
        <v>1760124</v>
      </c>
      <c r="CU30" s="2">
        <v>1770924</v>
      </c>
      <c r="CV30" s="2">
        <v>1781724</v>
      </c>
      <c r="CW30" s="2">
        <v>1792524</v>
      </c>
      <c r="CX30" s="2">
        <v>1803324</v>
      </c>
      <c r="CY30" s="2">
        <v>1817243</v>
      </c>
      <c r="CZ30" s="2">
        <v>1831162</v>
      </c>
      <c r="DA30" s="2">
        <v>1845081</v>
      </c>
      <c r="DB30" s="2">
        <v>1859000</v>
      </c>
      <c r="DC30" s="2">
        <v>1878500</v>
      </c>
      <c r="DD30" s="2">
        <v>1898000</v>
      </c>
      <c r="DE30" s="2">
        <v>1917500</v>
      </c>
      <c r="DF30" s="2">
        <v>1937000</v>
      </c>
      <c r="DG30" s="2">
        <v>1955250</v>
      </c>
      <c r="DH30" s="2">
        <v>1973500</v>
      </c>
      <c r="DI30" s="2">
        <v>1991750</v>
      </c>
      <c r="DJ30" s="2">
        <v>2010000</v>
      </c>
      <c r="DK30" s="2">
        <v>2031000</v>
      </c>
      <c r="DL30" s="2">
        <v>2052000</v>
      </c>
      <c r="DM30" s="2">
        <v>2073000</v>
      </c>
      <c r="DN30" s="2">
        <v>2094000</v>
      </c>
      <c r="DO30" s="2">
        <v>2112500</v>
      </c>
      <c r="DP30" s="2">
        <v>2131000</v>
      </c>
      <c r="DQ30" s="2">
        <v>2149500</v>
      </c>
      <c r="DR30" s="2">
        <v>2168000</v>
      </c>
      <c r="DS30" s="2">
        <v>2183500</v>
      </c>
      <c r="DT30" s="2">
        <v>2199000</v>
      </c>
      <c r="DU30" s="2">
        <v>2214500</v>
      </c>
      <c r="DV30" s="2">
        <v>2230000</v>
      </c>
      <c r="DW30" s="2">
        <v>2243250</v>
      </c>
      <c r="DX30" s="2">
        <v>2256500</v>
      </c>
      <c r="DY30" s="2">
        <v>2269750</v>
      </c>
      <c r="DZ30" s="2">
        <v>2283000</v>
      </c>
      <c r="EA30" s="2">
        <v>2297000</v>
      </c>
      <c r="EB30" s="2">
        <v>2311000</v>
      </c>
      <c r="EC30" s="2">
        <v>2325000</v>
      </c>
      <c r="ED30" s="2">
        <v>2339000</v>
      </c>
      <c r="EE30" s="2">
        <v>2354500</v>
      </c>
      <c r="EF30" s="2">
        <v>2370000</v>
      </c>
      <c r="EG30" s="2">
        <v>2385500</v>
      </c>
      <c r="EH30" s="2">
        <v>2401000</v>
      </c>
      <c r="EI30" s="2">
        <v>2418000</v>
      </c>
      <c r="EJ30" s="2">
        <v>2435000</v>
      </c>
      <c r="EK30" s="2">
        <v>2452000</v>
      </c>
      <c r="EL30" s="2">
        <v>2469000</v>
      </c>
      <c r="EM30" s="2">
        <v>2490000</v>
      </c>
      <c r="EN30" s="2">
        <v>2511000</v>
      </c>
      <c r="EO30" s="2">
        <v>2532000</v>
      </c>
      <c r="EP30" s="2">
        <v>2553000</v>
      </c>
      <c r="EQ30" s="2">
        <v>2570000</v>
      </c>
      <c r="ER30" s="2">
        <v>2587000</v>
      </c>
      <c r="ES30" s="2">
        <v>2604000</v>
      </c>
      <c r="ET30" s="2">
        <v>2621000</v>
      </c>
      <c r="EU30" s="2">
        <v>2627250</v>
      </c>
      <c r="EV30" s="2">
        <v>2633500</v>
      </c>
      <c r="EW30" s="2">
        <v>2639750</v>
      </c>
      <c r="EX30" s="2">
        <v>2646000</v>
      </c>
      <c r="EY30" s="2">
        <v>2654000</v>
      </c>
      <c r="EZ30" s="2">
        <v>2662000</v>
      </c>
      <c r="FA30" s="2">
        <v>2670000</v>
      </c>
      <c r="FB30" s="2">
        <v>2678000</v>
      </c>
      <c r="FC30" s="2">
        <v>2685500</v>
      </c>
      <c r="FD30" s="2">
        <v>2693000</v>
      </c>
      <c r="FE30" s="2">
        <v>2700500</v>
      </c>
      <c r="FF30" s="2">
        <v>2708000</v>
      </c>
      <c r="FG30" s="2">
        <v>2716000</v>
      </c>
      <c r="FH30" s="2">
        <v>2724000</v>
      </c>
      <c r="FI30" s="2">
        <v>2732000</v>
      </c>
      <c r="FJ30" s="2">
        <v>2740000</v>
      </c>
      <c r="FK30" s="2">
        <v>2749250</v>
      </c>
      <c r="FL30" s="2">
        <v>2758500</v>
      </c>
      <c r="FM30" s="2">
        <v>2767750</v>
      </c>
      <c r="FN30" s="2">
        <v>2777000</v>
      </c>
      <c r="FO30" s="2">
        <v>2789750</v>
      </c>
      <c r="FP30" s="2">
        <v>2802500</v>
      </c>
      <c r="FQ30" s="2">
        <v>2815250</v>
      </c>
      <c r="FR30" s="2">
        <v>2828000</v>
      </c>
      <c r="FS30" s="2">
        <v>2844250</v>
      </c>
      <c r="FT30" s="2">
        <v>2860500</v>
      </c>
      <c r="FU30" s="2">
        <v>2876750</v>
      </c>
      <c r="FV30" s="2">
        <v>2893000</v>
      </c>
      <c r="FW30" s="2">
        <v>2911750</v>
      </c>
      <c r="FX30" s="2">
        <v>2930500</v>
      </c>
      <c r="FY30" s="2">
        <v>2949250</v>
      </c>
      <c r="FZ30" s="2">
        <v>2968000</v>
      </c>
      <c r="GA30" s="2">
        <v>2985500</v>
      </c>
      <c r="GB30" s="2">
        <v>3003000</v>
      </c>
      <c r="GC30" s="2">
        <v>3020500</v>
      </c>
      <c r="GD30" s="2">
        <v>3038000</v>
      </c>
      <c r="GE30" s="2">
        <v>3052750</v>
      </c>
      <c r="GF30" s="2">
        <v>3067500</v>
      </c>
      <c r="GG30" s="2">
        <v>3082250</v>
      </c>
      <c r="GH30" s="2">
        <v>3097000</v>
      </c>
      <c r="GI30" s="2">
        <v>3111500</v>
      </c>
      <c r="GJ30" s="2">
        <v>3126000</v>
      </c>
      <c r="GK30" s="2">
        <v>3140500</v>
      </c>
      <c r="GL30" s="2">
        <v>3155000</v>
      </c>
      <c r="GM30" s="2">
        <v>3160000</v>
      </c>
      <c r="GN30" s="2">
        <v>3165000</v>
      </c>
      <c r="GO30" s="2">
        <v>3170000</v>
      </c>
      <c r="GP30" s="2">
        <v>3175000</v>
      </c>
      <c r="GQ30" s="2">
        <v>3182750</v>
      </c>
      <c r="GR30" s="2">
        <v>3190500</v>
      </c>
      <c r="GS30" s="2">
        <v>3198250</v>
      </c>
      <c r="GT30" s="2">
        <v>3206000</v>
      </c>
      <c r="GU30" s="2">
        <v>3218250</v>
      </c>
      <c r="GV30" s="2">
        <v>3230500</v>
      </c>
      <c r="GW30" s="2">
        <v>3242750</v>
      </c>
      <c r="GX30" s="2">
        <v>3255000</v>
      </c>
      <c r="GY30" s="2">
        <v>3266250</v>
      </c>
      <c r="GZ30" s="2">
        <v>3277500</v>
      </c>
      <c r="HA30" s="2">
        <v>3288750</v>
      </c>
      <c r="HB30" s="2">
        <v>3300000</v>
      </c>
      <c r="HC30" s="3">
        <v>3309858</v>
      </c>
      <c r="HD30" s="3">
        <v>3320974</v>
      </c>
      <c r="HE30" s="3">
        <v>3333449</v>
      </c>
      <c r="HF30" s="3">
        <v>3345046</v>
      </c>
      <c r="HG30" s="3">
        <v>3356967</v>
      </c>
      <c r="HH30" s="3">
        <v>3368621</v>
      </c>
      <c r="HI30" s="3">
        <v>3380021</v>
      </c>
      <c r="HJ30" s="3">
        <v>3391169</v>
      </c>
      <c r="HK30" s="3">
        <v>3402179</v>
      </c>
      <c r="HL30" s="3">
        <v>3413098</v>
      </c>
      <c r="HM30" s="3">
        <v>3423952</v>
      </c>
      <c r="HN30" s="3">
        <v>3434760</v>
      </c>
      <c r="HO30" s="3">
        <v>3445504</v>
      </c>
      <c r="HP30" s="3">
        <v>3456305</v>
      </c>
      <c r="HQ30" s="3">
        <v>3467230</v>
      </c>
      <c r="HR30" s="3">
        <v>3478325</v>
      </c>
      <c r="HS30" s="3">
        <v>3489593</v>
      </c>
      <c r="HT30" s="3">
        <v>3500975</v>
      </c>
      <c r="HU30" s="3">
        <v>3512519</v>
      </c>
      <c r="HV30" s="3">
        <v>3524215</v>
      </c>
      <c r="HW30" s="3">
        <v>3536073</v>
      </c>
      <c r="HX30" s="3">
        <v>3548084</v>
      </c>
      <c r="HY30" s="3">
        <v>3560225</v>
      </c>
      <c r="HZ30" s="3">
        <v>3572477</v>
      </c>
      <c r="IA30" s="3">
        <v>3584847</v>
      </c>
      <c r="IB30" s="3">
        <v>3597366</v>
      </c>
      <c r="IC30" s="3">
        <v>3610076</v>
      </c>
      <c r="ID30" s="3">
        <v>3623030</v>
      </c>
      <c r="IE30" s="3">
        <v>3636224</v>
      </c>
      <c r="IF30" s="3">
        <v>3649657</v>
      </c>
      <c r="IG30" s="3">
        <v>3663326</v>
      </c>
      <c r="IH30" s="3">
        <v>3677227</v>
      </c>
      <c r="II30" s="3">
        <v>3691360</v>
      </c>
      <c r="IJ30" s="3">
        <v>3705721</v>
      </c>
      <c r="IK30" s="3">
        <v>3720309</v>
      </c>
      <c r="IL30" s="3">
        <v>3735120</v>
      </c>
      <c r="IM30" s="3">
        <v>3750140</v>
      </c>
      <c r="IN30" s="3">
        <v>3765350</v>
      </c>
      <c r="IO30" s="3">
        <v>3780747</v>
      </c>
      <c r="IP30" s="3">
        <v>3796313</v>
      </c>
      <c r="IQ30" s="3">
        <v>3812062</v>
      </c>
      <c r="IR30" s="3">
        <v>3827982</v>
      </c>
      <c r="IS30" s="3">
        <v>3844070</v>
      </c>
      <c r="IT30" s="3">
        <v>3860319</v>
      </c>
      <c r="IU30" s="3">
        <v>3876740</v>
      </c>
      <c r="IV30" s="3">
        <v>3893334</v>
      </c>
      <c r="IW30" s="3">
        <v>3910099</v>
      </c>
      <c r="IX30" s="3">
        <v>3927033</v>
      </c>
      <c r="IY30" s="3">
        <v>3944146</v>
      </c>
      <c r="IZ30" s="3">
        <v>3961437</v>
      </c>
      <c r="JA30" s="3">
        <v>3978905</v>
      </c>
      <c r="JB30" s="3">
        <v>3996550</v>
      </c>
      <c r="JC30" s="3">
        <v>4014370</v>
      </c>
      <c r="JD30" s="3">
        <v>4032365</v>
      </c>
      <c r="JE30" s="3">
        <v>4050535</v>
      </c>
      <c r="JF30" s="3">
        <v>4068878</v>
      </c>
      <c r="JG30" s="3">
        <v>4087405</v>
      </c>
      <c r="JH30" s="3">
        <v>4106114</v>
      </c>
      <c r="JI30" s="3">
        <v>4125006</v>
      </c>
      <c r="JJ30" s="3">
        <v>4144079</v>
      </c>
      <c r="JK30" s="3">
        <v>4163333</v>
      </c>
      <c r="JL30" s="3">
        <v>4182768</v>
      </c>
      <c r="JM30" s="3">
        <v>4202384</v>
      </c>
      <c r="JN30" s="3">
        <v>4222180</v>
      </c>
      <c r="JO30" s="3">
        <v>4242139</v>
      </c>
      <c r="JP30" s="3">
        <v>4262260</v>
      </c>
      <c r="JQ30" s="3">
        <v>4282544</v>
      </c>
      <c r="JR30" s="3">
        <v>4302990</v>
      </c>
      <c r="JS30" s="3">
        <v>4323609</v>
      </c>
      <c r="JT30" s="3">
        <v>4344401</v>
      </c>
      <c r="JU30" s="3">
        <v>4365367</v>
      </c>
      <c r="JV30" s="3">
        <v>4386507</v>
      </c>
      <c r="JW30" s="3">
        <v>4407820</v>
      </c>
      <c r="JX30" s="3">
        <v>4429307</v>
      </c>
      <c r="JY30" s="3">
        <v>4450957</v>
      </c>
      <c r="JZ30" s="3">
        <v>4472769</v>
      </c>
      <c r="KA30" s="3">
        <v>4494744</v>
      </c>
      <c r="KB30" s="3">
        <v>4516881</v>
      </c>
      <c r="KC30" s="3">
        <v>4539167</v>
      </c>
      <c r="KD30" s="3">
        <v>4561602</v>
      </c>
      <c r="KE30" s="3">
        <v>4584186</v>
      </c>
      <c r="KF30" s="3">
        <v>4606920</v>
      </c>
      <c r="KG30" s="3">
        <v>4629778</v>
      </c>
      <c r="KH30" s="3">
        <v>4652760</v>
      </c>
      <c r="KI30" s="3">
        <v>4675868</v>
      </c>
      <c r="KJ30" s="3">
        <v>4699100</v>
      </c>
      <c r="KK30" s="3">
        <v>4722446</v>
      </c>
      <c r="KL30" s="3">
        <v>4745906</v>
      </c>
      <c r="KM30" s="3">
        <v>4769479</v>
      </c>
      <c r="KN30" s="3">
        <v>4793167</v>
      </c>
      <c r="KO30" s="3">
        <v>4816969</v>
      </c>
      <c r="KP30" s="3">
        <v>4840885</v>
      </c>
      <c r="KQ30" s="3">
        <v>4864915</v>
      </c>
      <c r="KR30" s="3">
        <v>4889060</v>
      </c>
      <c r="KS30" s="3">
        <v>4913312</v>
      </c>
      <c r="KT30" s="3">
        <v>4937671</v>
      </c>
      <c r="KU30" s="3">
        <v>4962137</v>
      </c>
      <c r="KV30" s="3">
        <v>4986710</v>
      </c>
      <c r="KW30" s="3">
        <v>5011388</v>
      </c>
      <c r="KX30" s="3">
        <v>5036171</v>
      </c>
      <c r="KY30" s="3">
        <v>5061059</v>
      </c>
      <c r="KZ30" s="3">
        <v>5086052</v>
      </c>
      <c r="LA30" s="3">
        <v>5111140</v>
      </c>
      <c r="LB30" s="3">
        <v>5136322</v>
      </c>
      <c r="LC30" s="3">
        <v>5161578</v>
      </c>
      <c r="LD30" s="3">
        <v>5186908</v>
      </c>
      <c r="LE30" s="3">
        <v>5212309</v>
      </c>
      <c r="LF30" s="3">
        <v>5237782</v>
      </c>
      <c r="LG30" s="3">
        <v>5263329</v>
      </c>
      <c r="LH30" s="3">
        <v>5288950</v>
      </c>
      <c r="LI30" s="3">
        <v>5314642</v>
      </c>
      <c r="LJ30" s="3">
        <v>5340404</v>
      </c>
      <c r="LK30" s="3">
        <v>5366237</v>
      </c>
      <c r="LL30" s="3">
        <v>5392141</v>
      </c>
      <c r="LM30" s="3">
        <v>5418106</v>
      </c>
      <c r="LN30" s="3">
        <v>5444131</v>
      </c>
      <c r="LO30" s="3">
        <v>5470218</v>
      </c>
      <c r="LP30" s="3">
        <v>5496366</v>
      </c>
      <c r="LQ30" s="3">
        <v>5522577</v>
      </c>
      <c r="LR30" s="3">
        <v>5548851</v>
      </c>
      <c r="LS30" s="3">
        <v>5575188</v>
      </c>
      <c r="LT30" s="3">
        <v>5601590</v>
      </c>
      <c r="LU30" s="3">
        <v>5628051</v>
      </c>
      <c r="LV30" s="3">
        <v>5654572</v>
      </c>
      <c r="LW30" s="3">
        <v>5681154</v>
      </c>
      <c r="LX30" s="3">
        <v>5707798</v>
      </c>
      <c r="LY30" s="3">
        <v>5734498</v>
      </c>
      <c r="LZ30" s="3">
        <v>5761256</v>
      </c>
      <c r="MA30" s="3">
        <v>5788071</v>
      </c>
      <c r="MB30" s="3">
        <v>5814945</v>
      </c>
      <c r="MC30" s="3">
        <v>5841878</v>
      </c>
      <c r="MD30" s="3">
        <v>5868871</v>
      </c>
      <c r="ME30" s="3">
        <v>5895924</v>
      </c>
      <c r="MF30" s="3">
        <v>5923038</v>
      </c>
      <c r="MG30" s="3">
        <v>5950217</v>
      </c>
      <c r="MH30" s="3">
        <v>5977462</v>
      </c>
      <c r="MI30" s="3">
        <v>6004774</v>
      </c>
      <c r="MJ30" s="3">
        <v>6032153</v>
      </c>
      <c r="MK30" s="3">
        <v>6059597</v>
      </c>
      <c r="ML30" s="3">
        <v>6087105</v>
      </c>
      <c r="MM30" s="3">
        <v>6114679</v>
      </c>
      <c r="MN30" s="3">
        <v>6142320</v>
      </c>
      <c r="MO30" s="3">
        <v>6170031</v>
      </c>
      <c r="MP30" s="3">
        <v>6197813</v>
      </c>
      <c r="MQ30" s="3">
        <v>6225666</v>
      </c>
      <c r="MR30" s="3">
        <v>6253592</v>
      </c>
      <c r="MS30" s="3">
        <v>6281591</v>
      </c>
      <c r="MT30" s="3">
        <v>6309663</v>
      </c>
      <c r="MU30" t="s">
        <v>375</v>
      </c>
      <c r="MV30" t="b">
        <v>0</v>
      </c>
      <c r="MW30" s="1" t="s">
        <v>376</v>
      </c>
      <c r="MX30" t="s">
        <v>377</v>
      </c>
      <c r="MY30">
        <v>2023</v>
      </c>
      <c r="MZ30">
        <v>4</v>
      </c>
      <c r="NA30" t="s">
        <v>377</v>
      </c>
      <c r="NB30" s="1" t="s">
        <v>491</v>
      </c>
      <c r="NC30" s="1" t="s">
        <v>492</v>
      </c>
      <c r="ND30" t="s">
        <v>380</v>
      </c>
      <c r="NE30" t="s">
        <v>493</v>
      </c>
      <c r="NF30" s="1" t="s">
        <v>455</v>
      </c>
    </row>
    <row r="31" spans="1:370" x14ac:dyDescent="0.25">
      <c r="A31" t="s">
        <v>382</v>
      </c>
      <c r="B31" t="s">
        <v>490</v>
      </c>
      <c r="C31" s="1" t="s">
        <v>454</v>
      </c>
      <c r="D31" t="s">
        <v>383</v>
      </c>
      <c r="E31" t="s">
        <v>384</v>
      </c>
      <c r="F31" t="s">
        <v>374</v>
      </c>
      <c r="G31" s="2">
        <v>7013.4080000000004</v>
      </c>
      <c r="H31" s="2">
        <v>7090.1989999999996</v>
      </c>
      <c r="I31" s="2">
        <v>7168.2569999999996</v>
      </c>
      <c r="J31" s="2">
        <v>7246</v>
      </c>
      <c r="K31" s="2">
        <v>7318.1</v>
      </c>
      <c r="L31" s="2">
        <v>7390.2</v>
      </c>
      <c r="M31" s="2">
        <v>7462.3</v>
      </c>
      <c r="N31" s="2">
        <v>7534.4</v>
      </c>
      <c r="O31" s="2">
        <v>7583.0249999999996</v>
      </c>
      <c r="P31" s="2">
        <v>7631.65</v>
      </c>
      <c r="Q31" s="2">
        <v>7680.2749999999996</v>
      </c>
      <c r="R31" s="2">
        <v>7728.9</v>
      </c>
      <c r="S31" s="2">
        <v>7781.5249999999996</v>
      </c>
      <c r="T31" s="2">
        <v>7834.15</v>
      </c>
      <c r="U31" s="2">
        <v>7886.7749999999996</v>
      </c>
      <c r="V31" s="2">
        <v>7939.4</v>
      </c>
      <c r="W31" s="2">
        <v>8005.05</v>
      </c>
      <c r="X31" s="2">
        <v>8070.7</v>
      </c>
      <c r="Y31" s="2">
        <v>8136.35</v>
      </c>
      <c r="Z31" s="2">
        <v>8202</v>
      </c>
      <c r="AA31" s="2">
        <v>8287.35</v>
      </c>
      <c r="AB31" s="2">
        <v>8372.7000000000007</v>
      </c>
      <c r="AC31" s="2">
        <v>8458.0499999999993</v>
      </c>
      <c r="AD31" s="2">
        <v>8543.4</v>
      </c>
      <c r="AE31" s="2">
        <v>8641.2250000000004</v>
      </c>
      <c r="AF31" s="2">
        <v>8739.0499999999993</v>
      </c>
      <c r="AG31" s="2">
        <v>8836.875</v>
      </c>
      <c r="AH31" s="2">
        <v>8934.7000000000007</v>
      </c>
      <c r="AI31" s="2">
        <v>9022.0249999999996</v>
      </c>
      <c r="AJ31" s="2">
        <v>9109.35</v>
      </c>
      <c r="AK31" s="2">
        <v>9196.6749999999993</v>
      </c>
      <c r="AL31" s="2">
        <v>9284</v>
      </c>
      <c r="AM31" s="2">
        <v>9377.5249999999996</v>
      </c>
      <c r="AN31" s="2">
        <v>9471.0499999999993</v>
      </c>
      <c r="AO31" s="2">
        <v>9564.5750000000007</v>
      </c>
      <c r="AP31" s="2">
        <v>9658.1</v>
      </c>
      <c r="AQ31" s="2">
        <v>9731.9750000000004</v>
      </c>
      <c r="AR31" s="2">
        <v>9805.85</v>
      </c>
      <c r="AS31" s="2">
        <v>9879.7250000000004</v>
      </c>
      <c r="AT31" s="2">
        <v>9953.6</v>
      </c>
      <c r="AU31" s="2">
        <v>10017.15</v>
      </c>
      <c r="AV31" s="2">
        <v>10080.700000000001</v>
      </c>
      <c r="AW31" s="2">
        <v>10144.25</v>
      </c>
      <c r="AX31" s="2">
        <v>10207.799999999999</v>
      </c>
      <c r="AY31" s="2">
        <v>10304.15</v>
      </c>
      <c r="AZ31" s="2">
        <v>10400.5</v>
      </c>
      <c r="BA31" s="2">
        <v>10496.85</v>
      </c>
      <c r="BB31" s="2">
        <v>10593.2</v>
      </c>
      <c r="BC31" s="2">
        <v>10696.47</v>
      </c>
      <c r="BD31" s="2">
        <v>10799.75</v>
      </c>
      <c r="BE31" s="2">
        <v>10903.03</v>
      </c>
      <c r="BF31" s="2">
        <v>11006.3</v>
      </c>
      <c r="BG31" s="2">
        <v>11090.83</v>
      </c>
      <c r="BH31" s="2">
        <v>11175.35</v>
      </c>
      <c r="BI31" s="2">
        <v>11259.88</v>
      </c>
      <c r="BJ31" s="2">
        <v>11344.4</v>
      </c>
      <c r="BK31" s="2">
        <v>11420.55</v>
      </c>
      <c r="BL31" s="2">
        <v>11496.7</v>
      </c>
      <c r="BM31" s="2">
        <v>11572.85</v>
      </c>
      <c r="BN31" s="2">
        <v>11649</v>
      </c>
      <c r="BO31" s="2">
        <v>11728.55</v>
      </c>
      <c r="BP31" s="2">
        <v>11808.1</v>
      </c>
      <c r="BQ31" s="2">
        <v>11887.65</v>
      </c>
      <c r="BR31" s="2">
        <v>11967.2</v>
      </c>
      <c r="BS31" s="2">
        <v>12050.28</v>
      </c>
      <c r="BT31" s="2">
        <v>12133.35</v>
      </c>
      <c r="BU31" s="2">
        <v>12216.42</v>
      </c>
      <c r="BV31" s="2">
        <v>12299.5</v>
      </c>
      <c r="BW31" s="2">
        <v>12378.88</v>
      </c>
      <c r="BX31" s="2">
        <v>12458.25</v>
      </c>
      <c r="BY31" s="2">
        <v>12537.63</v>
      </c>
      <c r="BZ31" s="2">
        <v>12617</v>
      </c>
      <c r="CA31" s="2">
        <v>12673.67</v>
      </c>
      <c r="CB31" s="2">
        <v>12730.35</v>
      </c>
      <c r="CC31" s="2">
        <v>12787.03</v>
      </c>
      <c r="CD31" s="2">
        <v>12843.7</v>
      </c>
      <c r="CE31" s="2">
        <v>12896.67</v>
      </c>
      <c r="CF31" s="2">
        <v>12949.65</v>
      </c>
      <c r="CG31" s="2">
        <v>13002.63</v>
      </c>
      <c r="CH31" s="2">
        <v>13055.6</v>
      </c>
      <c r="CI31" s="2">
        <v>13125</v>
      </c>
      <c r="CJ31" s="2">
        <v>13194.4</v>
      </c>
      <c r="CK31" s="2">
        <v>13263.8</v>
      </c>
      <c r="CL31" s="2">
        <v>13333.2</v>
      </c>
      <c r="CM31" s="2">
        <v>13412.28</v>
      </c>
      <c r="CN31" s="2">
        <v>13491.35</v>
      </c>
      <c r="CO31" s="2">
        <v>13570.42</v>
      </c>
      <c r="CP31" s="2">
        <v>13649.5</v>
      </c>
      <c r="CQ31" s="2">
        <v>13748.17</v>
      </c>
      <c r="CR31" s="2">
        <v>13846.85</v>
      </c>
      <c r="CS31" s="2">
        <v>13945.53</v>
      </c>
      <c r="CT31" s="2">
        <v>14044.2</v>
      </c>
      <c r="CU31" s="2">
        <v>14159.47</v>
      </c>
      <c r="CV31" s="2">
        <v>14274.75</v>
      </c>
      <c r="CW31" s="2">
        <v>14390.03</v>
      </c>
      <c r="CX31" s="2">
        <v>14505.3</v>
      </c>
      <c r="CY31" s="2">
        <v>14638.55</v>
      </c>
      <c r="CZ31" s="2">
        <v>14771.8</v>
      </c>
      <c r="DA31" s="2">
        <v>14905.05</v>
      </c>
      <c r="DB31" s="2">
        <v>15038.3</v>
      </c>
      <c r="DC31" s="2">
        <v>15189</v>
      </c>
      <c r="DD31" s="2">
        <v>15339.7</v>
      </c>
      <c r="DE31" s="2">
        <v>15490.4</v>
      </c>
      <c r="DF31" s="2">
        <v>15641.1</v>
      </c>
      <c r="DG31" s="2">
        <v>15804.33</v>
      </c>
      <c r="DH31" s="2">
        <v>15967.55</v>
      </c>
      <c r="DI31" s="2">
        <v>16130.78</v>
      </c>
      <c r="DJ31" s="2">
        <v>16294</v>
      </c>
      <c r="DK31" s="2">
        <v>16470.13</v>
      </c>
      <c r="DL31" s="2">
        <v>16646.25</v>
      </c>
      <c r="DM31" s="2">
        <v>16822.38</v>
      </c>
      <c r="DN31" s="2">
        <v>16998.5</v>
      </c>
      <c r="DO31" s="2">
        <v>17128.95</v>
      </c>
      <c r="DP31" s="2">
        <v>17259.400000000001</v>
      </c>
      <c r="DQ31" s="2">
        <v>17389.849999999999</v>
      </c>
      <c r="DR31" s="2">
        <v>17520.3</v>
      </c>
      <c r="DS31" s="2">
        <v>17602.18</v>
      </c>
      <c r="DT31" s="2">
        <v>17684.05</v>
      </c>
      <c r="DU31" s="2">
        <v>17765.93</v>
      </c>
      <c r="DV31" s="2">
        <v>17847.8</v>
      </c>
      <c r="DW31" s="2">
        <v>17926.650000000001</v>
      </c>
      <c r="DX31" s="2">
        <v>18005.5</v>
      </c>
      <c r="DY31" s="2">
        <v>18084.349999999999</v>
      </c>
      <c r="DZ31" s="2">
        <v>18163.2</v>
      </c>
      <c r="EA31" s="2">
        <v>18248.97</v>
      </c>
      <c r="EB31" s="2">
        <v>18334.75</v>
      </c>
      <c r="EC31" s="2">
        <v>18420.53</v>
      </c>
      <c r="ED31" s="2">
        <v>18506.3</v>
      </c>
      <c r="EE31" s="2">
        <v>18603.3</v>
      </c>
      <c r="EF31" s="2">
        <v>18700.3</v>
      </c>
      <c r="EG31" s="2">
        <v>18797.3</v>
      </c>
      <c r="EH31" s="2">
        <v>18894.3</v>
      </c>
      <c r="EI31" s="2">
        <v>19016.849999999999</v>
      </c>
      <c r="EJ31" s="2">
        <v>19139.400000000001</v>
      </c>
      <c r="EK31" s="2">
        <v>19261.95</v>
      </c>
      <c r="EL31" s="2">
        <v>19384.5</v>
      </c>
      <c r="EM31" s="2">
        <v>19520.8</v>
      </c>
      <c r="EN31" s="2">
        <v>19657.099999999999</v>
      </c>
      <c r="EO31" s="2">
        <v>19793.400000000001</v>
      </c>
      <c r="EP31" s="2">
        <v>19929.7</v>
      </c>
      <c r="EQ31" s="2">
        <v>20048.97</v>
      </c>
      <c r="ER31" s="2">
        <v>20168.25</v>
      </c>
      <c r="ES31" s="2">
        <v>20287.53</v>
      </c>
      <c r="ET31" s="2">
        <v>20406.8</v>
      </c>
      <c r="EU31" s="2">
        <v>20439.5</v>
      </c>
      <c r="EV31" s="2">
        <v>20472.2</v>
      </c>
      <c r="EW31" s="2">
        <v>20504.900000000001</v>
      </c>
      <c r="EX31" s="2">
        <v>20537.599999999999</v>
      </c>
      <c r="EY31" s="2">
        <v>20585.07</v>
      </c>
      <c r="EZ31" s="2">
        <v>20632.55</v>
      </c>
      <c r="FA31" s="2">
        <v>20680.03</v>
      </c>
      <c r="FB31" s="2">
        <v>20727.5</v>
      </c>
      <c r="FC31" s="2">
        <v>20803</v>
      </c>
      <c r="FD31" s="2">
        <v>20878.5</v>
      </c>
      <c r="FE31" s="2">
        <v>20954</v>
      </c>
      <c r="FF31" s="2">
        <v>21029.5</v>
      </c>
      <c r="FG31" s="2">
        <v>21129.97</v>
      </c>
      <c r="FH31" s="2">
        <v>21230.45</v>
      </c>
      <c r="FI31" s="2">
        <v>21330.93</v>
      </c>
      <c r="FJ31" s="2">
        <v>21431.4</v>
      </c>
      <c r="FK31" s="2">
        <v>21543.13</v>
      </c>
      <c r="FL31" s="2">
        <v>21654.85</v>
      </c>
      <c r="FM31" s="2">
        <v>21766.57</v>
      </c>
      <c r="FN31" s="2">
        <v>21878.3</v>
      </c>
      <c r="FO31" s="2">
        <v>22013.55</v>
      </c>
      <c r="FP31" s="2">
        <v>22148.799999999999</v>
      </c>
      <c r="FQ31" s="2">
        <v>22284.05</v>
      </c>
      <c r="FR31" s="2">
        <v>22419.3</v>
      </c>
      <c r="FS31" s="2">
        <v>22548.93</v>
      </c>
      <c r="FT31" s="2">
        <v>22678.55</v>
      </c>
      <c r="FU31" s="2">
        <v>22808.18</v>
      </c>
      <c r="FV31" s="2">
        <v>22937.8</v>
      </c>
      <c r="FW31" s="2">
        <v>23056.28</v>
      </c>
      <c r="FX31" s="2">
        <v>23174.75</v>
      </c>
      <c r="FY31" s="2">
        <v>23293.22</v>
      </c>
      <c r="FZ31" s="2">
        <v>23411.7</v>
      </c>
      <c r="GA31" s="2">
        <v>23531.4</v>
      </c>
      <c r="GB31" s="2">
        <v>23651.1</v>
      </c>
      <c r="GC31" s="2">
        <v>23770.799999999999</v>
      </c>
      <c r="GD31" s="2">
        <v>23890.5</v>
      </c>
      <c r="GE31" s="2">
        <v>24034.6</v>
      </c>
      <c r="GF31" s="2">
        <v>24178.7</v>
      </c>
      <c r="GG31" s="2">
        <v>24322.799999999999</v>
      </c>
      <c r="GH31" s="2">
        <v>24466.9</v>
      </c>
      <c r="GI31" s="2">
        <v>24612.22</v>
      </c>
      <c r="GJ31" s="2">
        <v>24757.55</v>
      </c>
      <c r="GK31" s="2">
        <v>24902.880000000001</v>
      </c>
      <c r="GL31" s="2">
        <v>25048.2</v>
      </c>
      <c r="GM31" s="2">
        <v>25139.07</v>
      </c>
      <c r="GN31" s="2">
        <v>25229.95</v>
      </c>
      <c r="GO31" s="2">
        <v>25320.82</v>
      </c>
      <c r="GP31" s="2">
        <v>25411.7</v>
      </c>
      <c r="GQ31" s="2">
        <v>25512.7</v>
      </c>
      <c r="GR31" s="2">
        <v>25613.7</v>
      </c>
      <c r="GS31" s="2">
        <v>25714.7</v>
      </c>
      <c r="GT31" s="2">
        <v>25815.7</v>
      </c>
      <c r="GU31" s="2">
        <v>25936.880000000001</v>
      </c>
      <c r="GV31" s="2">
        <v>26058.05</v>
      </c>
      <c r="GW31" s="2">
        <v>26179.22</v>
      </c>
      <c r="GX31" s="2">
        <v>26300.400000000001</v>
      </c>
      <c r="GY31" s="2">
        <v>26442</v>
      </c>
      <c r="GZ31" s="2">
        <v>26583.599999999999</v>
      </c>
      <c r="HA31" s="2">
        <v>26725.200000000001</v>
      </c>
      <c r="HB31" s="2">
        <v>26866.799999999999</v>
      </c>
      <c r="HC31" s="3">
        <v>27015.919999999998</v>
      </c>
      <c r="HD31" s="3">
        <v>27165.95</v>
      </c>
      <c r="HE31" s="3">
        <v>27317.25</v>
      </c>
      <c r="HF31" s="3">
        <v>27454.45</v>
      </c>
      <c r="HG31" s="3">
        <v>27594.45</v>
      </c>
      <c r="HH31" s="3">
        <v>27715.57</v>
      </c>
      <c r="HI31" s="3">
        <v>27826.75</v>
      </c>
      <c r="HJ31" s="3">
        <v>27933.3</v>
      </c>
      <c r="HK31" s="3">
        <v>28037.87</v>
      </c>
      <c r="HL31" s="3">
        <v>28142.01</v>
      </c>
      <c r="HM31" s="3">
        <v>28246.76</v>
      </c>
      <c r="HN31" s="3">
        <v>28353.71</v>
      </c>
      <c r="HO31" s="3">
        <v>28464.92</v>
      </c>
      <c r="HP31" s="3">
        <v>28582.62</v>
      </c>
      <c r="HQ31" s="3">
        <v>28709.200000000001</v>
      </c>
      <c r="HR31" s="3">
        <v>28844.28</v>
      </c>
      <c r="HS31" s="3">
        <v>28987.51</v>
      </c>
      <c r="HT31" s="3">
        <v>29138.32</v>
      </c>
      <c r="HU31" s="3">
        <v>29295.88</v>
      </c>
      <c r="HV31" s="3">
        <v>29459.74</v>
      </c>
      <c r="HW31" s="3">
        <v>29628.82</v>
      </c>
      <c r="HX31" s="3">
        <v>29802.18</v>
      </c>
      <c r="HY31" s="3">
        <v>29978.36</v>
      </c>
      <c r="HZ31" s="3">
        <v>30156.48</v>
      </c>
      <c r="IA31" s="3">
        <v>30335.66</v>
      </c>
      <c r="IB31" s="3">
        <v>30515.37</v>
      </c>
      <c r="IC31" s="3">
        <v>30695.14</v>
      </c>
      <c r="ID31" s="3">
        <v>30874.560000000001</v>
      </c>
      <c r="IE31" s="3">
        <v>31053.27</v>
      </c>
      <c r="IF31" s="3">
        <v>31231.01</v>
      </c>
      <c r="IG31" s="3">
        <v>31407.67</v>
      </c>
      <c r="IH31" s="3">
        <v>31583.17</v>
      </c>
      <c r="II31" s="3">
        <v>31757.439999999999</v>
      </c>
      <c r="IJ31" s="3">
        <v>31930.38</v>
      </c>
      <c r="IK31" s="3">
        <v>32101.99</v>
      </c>
      <c r="IL31" s="3">
        <v>32272.25</v>
      </c>
      <c r="IM31" s="3">
        <v>32441.16</v>
      </c>
      <c r="IN31" s="3">
        <v>32608.71</v>
      </c>
      <c r="IO31" s="3">
        <v>32774.879999999997</v>
      </c>
      <c r="IP31" s="3">
        <v>32939.660000000003</v>
      </c>
      <c r="IQ31" s="3">
        <v>33103.040000000001</v>
      </c>
      <c r="IR31" s="3">
        <v>33265.03</v>
      </c>
      <c r="IS31" s="3">
        <v>33425.589999999997</v>
      </c>
      <c r="IT31" s="3">
        <v>33584.71</v>
      </c>
      <c r="IU31" s="3">
        <v>33742.410000000003</v>
      </c>
      <c r="IV31" s="3">
        <v>33898.699999999997</v>
      </c>
      <c r="IW31" s="3">
        <v>34053.61</v>
      </c>
      <c r="IX31" s="3">
        <v>34207.160000000003</v>
      </c>
      <c r="IY31" s="3">
        <v>34359.370000000003</v>
      </c>
      <c r="IZ31" s="3">
        <v>34510.29</v>
      </c>
      <c r="JA31" s="3">
        <v>34659.93</v>
      </c>
      <c r="JB31" s="3">
        <v>34808.36</v>
      </c>
      <c r="JC31" s="3">
        <v>34955.589999999997</v>
      </c>
      <c r="JD31" s="3">
        <v>35101.660000000003</v>
      </c>
      <c r="JE31" s="3">
        <v>35246.660000000003</v>
      </c>
      <c r="JF31" s="3">
        <v>35390.550000000003</v>
      </c>
      <c r="JG31" s="3">
        <v>35533.410000000003</v>
      </c>
      <c r="JH31" s="3">
        <v>35675.25</v>
      </c>
      <c r="JI31" s="3">
        <v>35816.129999999997</v>
      </c>
      <c r="JJ31" s="3">
        <v>35956.1</v>
      </c>
      <c r="JK31" s="3">
        <v>36095.18</v>
      </c>
      <c r="JL31" s="3">
        <v>36233.440000000002</v>
      </c>
      <c r="JM31" s="3">
        <v>36370.839999999997</v>
      </c>
      <c r="JN31" s="3">
        <v>36507.5</v>
      </c>
      <c r="JO31" s="3">
        <v>36643.410000000003</v>
      </c>
      <c r="JP31" s="3">
        <v>36778.61</v>
      </c>
      <c r="JQ31" s="3">
        <v>36913.129999999997</v>
      </c>
      <c r="JR31" s="3">
        <v>37047.019999999997</v>
      </c>
      <c r="JS31" s="3">
        <v>37180.300000000003</v>
      </c>
      <c r="JT31" s="3">
        <v>37313.019999999997</v>
      </c>
      <c r="JU31" s="3">
        <v>37445.21</v>
      </c>
      <c r="JV31" s="3">
        <v>37576.910000000003</v>
      </c>
      <c r="JW31" s="3">
        <v>37708.14</v>
      </c>
      <c r="JX31" s="3">
        <v>37838.949999999997</v>
      </c>
      <c r="JY31" s="3">
        <v>37969.35</v>
      </c>
      <c r="JZ31" s="3">
        <v>38099.379999999997</v>
      </c>
      <c r="KA31" s="3">
        <v>38229.06</v>
      </c>
      <c r="KB31" s="3">
        <v>38358.44</v>
      </c>
      <c r="KC31" s="3">
        <v>38487.5</v>
      </c>
      <c r="KD31" s="3">
        <v>38616.269999999997</v>
      </c>
      <c r="KE31" s="3">
        <v>38744.76</v>
      </c>
      <c r="KF31" s="3">
        <v>38872.959999999999</v>
      </c>
      <c r="KG31" s="3">
        <v>39000.89</v>
      </c>
      <c r="KH31" s="3">
        <v>39128.57</v>
      </c>
      <c r="KI31" s="3">
        <v>39255.96</v>
      </c>
      <c r="KJ31" s="3">
        <v>39383.1</v>
      </c>
      <c r="KK31" s="3">
        <v>39509.96</v>
      </c>
      <c r="KL31" s="3">
        <v>39636.57</v>
      </c>
      <c r="KM31" s="3">
        <v>39762.949999999997</v>
      </c>
      <c r="KN31" s="3">
        <v>39889.08</v>
      </c>
      <c r="KO31" s="3">
        <v>40014.959999999999</v>
      </c>
      <c r="KP31" s="3">
        <v>40140.639999999999</v>
      </c>
      <c r="KQ31" s="3">
        <v>40266.1</v>
      </c>
      <c r="KR31" s="3">
        <v>40391.32</v>
      </c>
      <c r="KS31" s="3">
        <v>40516.339999999997</v>
      </c>
      <c r="KT31" s="3">
        <v>40641.14</v>
      </c>
      <c r="KU31" s="3">
        <v>40765.730000000003</v>
      </c>
      <c r="KV31" s="3">
        <v>40890.15</v>
      </c>
      <c r="KW31" s="3">
        <v>41014.339999999997</v>
      </c>
      <c r="KX31" s="3">
        <v>41138.379999999997</v>
      </c>
      <c r="KY31" s="3">
        <v>41262.239999999998</v>
      </c>
      <c r="KZ31" s="3">
        <v>41385.870000000003</v>
      </c>
      <c r="LA31" s="3">
        <v>41509.33</v>
      </c>
      <c r="LB31" s="3">
        <v>41632.589999999997</v>
      </c>
      <c r="LC31" s="3">
        <v>41755.699999999997</v>
      </c>
      <c r="LD31" s="3">
        <v>41878.65</v>
      </c>
      <c r="LE31" s="3">
        <v>42001.41</v>
      </c>
      <c r="LF31" s="3">
        <v>42124.03</v>
      </c>
      <c r="LG31" s="3">
        <v>42246.5</v>
      </c>
      <c r="LH31" s="3">
        <v>42368.83</v>
      </c>
      <c r="LI31" s="3">
        <v>42491.05</v>
      </c>
      <c r="LJ31" s="3">
        <v>42613.16</v>
      </c>
      <c r="LK31" s="3">
        <v>42735.18</v>
      </c>
      <c r="LL31" s="3">
        <v>42857.120000000003</v>
      </c>
      <c r="LM31" s="3">
        <v>42978.98</v>
      </c>
      <c r="LN31" s="3">
        <v>43100.79</v>
      </c>
      <c r="LO31" s="3">
        <v>43222.54</v>
      </c>
      <c r="LP31" s="3">
        <v>43344.23</v>
      </c>
      <c r="LQ31" s="3">
        <v>43465.91</v>
      </c>
      <c r="LR31" s="3">
        <v>43587.57</v>
      </c>
      <c r="LS31" s="3">
        <v>43709.21</v>
      </c>
      <c r="LT31" s="3">
        <v>43830.84</v>
      </c>
      <c r="LU31" s="3">
        <v>43952.46</v>
      </c>
      <c r="LV31" s="3">
        <v>44074.09</v>
      </c>
      <c r="LW31" s="3">
        <v>44195.73</v>
      </c>
      <c r="LX31" s="3">
        <v>44317.4</v>
      </c>
      <c r="LY31" s="3">
        <v>44439.1</v>
      </c>
      <c r="LZ31" s="3">
        <v>44560.82</v>
      </c>
      <c r="MA31" s="3">
        <v>44682.59</v>
      </c>
      <c r="MB31" s="3">
        <v>44804.39</v>
      </c>
      <c r="MC31" s="3">
        <v>44926.25</v>
      </c>
      <c r="MD31" s="3">
        <v>45048.18</v>
      </c>
      <c r="ME31" s="3">
        <v>45170.17</v>
      </c>
      <c r="MF31" s="3">
        <v>45292.22</v>
      </c>
      <c r="MG31" s="3">
        <v>45414.37</v>
      </c>
      <c r="MH31" s="3">
        <v>45536.61</v>
      </c>
      <c r="MI31" s="3">
        <v>45658.96</v>
      </c>
      <c r="MJ31" s="3">
        <v>45781.4</v>
      </c>
      <c r="MK31" s="3">
        <v>45903.97</v>
      </c>
      <c r="ML31" s="3">
        <v>46026.65</v>
      </c>
      <c r="MM31" s="3">
        <v>46149.46</v>
      </c>
      <c r="MN31" s="3">
        <v>46272.4</v>
      </c>
      <c r="MO31" s="3">
        <v>46395.46</v>
      </c>
      <c r="MP31" s="3">
        <v>46518.69</v>
      </c>
      <c r="MQ31" s="3">
        <v>46642.05</v>
      </c>
      <c r="MR31" s="3">
        <v>46765.57</v>
      </c>
      <c r="MS31" s="3">
        <v>46889.25</v>
      </c>
      <c r="MT31" s="3">
        <v>47013.07</v>
      </c>
      <c r="MU31" t="s">
        <v>385</v>
      </c>
      <c r="MV31" t="b">
        <v>0</v>
      </c>
      <c r="MW31" s="1" t="s">
        <v>386</v>
      </c>
      <c r="MX31" t="s">
        <v>377</v>
      </c>
      <c r="MY31">
        <v>2023</v>
      </c>
      <c r="MZ31">
        <v>4</v>
      </c>
      <c r="NA31" t="s">
        <v>377</v>
      </c>
      <c r="NB31" t="s">
        <v>494</v>
      </c>
      <c r="NC31" s="1" t="s">
        <v>495</v>
      </c>
      <c r="ND31" t="s">
        <v>389</v>
      </c>
      <c r="NE31" t="s">
        <v>493</v>
      </c>
      <c r="NF31" s="1" t="s">
        <v>455</v>
      </c>
    </row>
    <row r="32" spans="1:370" x14ac:dyDescent="0.25">
      <c r="A32" t="s">
        <v>370</v>
      </c>
      <c r="B32" t="s">
        <v>496</v>
      </c>
      <c r="C32" s="1" t="s">
        <v>454</v>
      </c>
      <c r="D32" t="s">
        <v>497</v>
      </c>
      <c r="E32" t="s">
        <v>377</v>
      </c>
      <c r="F32" t="s">
        <v>374</v>
      </c>
      <c r="G32" s="2">
        <v>-1.921214</v>
      </c>
      <c r="H32" s="2">
        <v>-1.9221969999999999</v>
      </c>
      <c r="I32" s="2">
        <v>-1.9231799999999999</v>
      </c>
      <c r="J32" s="2">
        <v>-1.924164</v>
      </c>
      <c r="K32" s="2">
        <v>-1.925149</v>
      </c>
      <c r="L32" s="2">
        <v>-1.926134</v>
      </c>
      <c r="M32" s="2">
        <v>-1.927119</v>
      </c>
      <c r="N32" s="2">
        <v>-1.928105</v>
      </c>
      <c r="O32" s="2">
        <v>-1.929092</v>
      </c>
      <c r="P32" s="2">
        <v>-1.9300790000000001</v>
      </c>
      <c r="Q32" s="2">
        <v>-1.9310670000000001</v>
      </c>
      <c r="R32" s="2">
        <v>-1.9320550000000001</v>
      </c>
      <c r="S32" s="2">
        <v>-1.9330430000000001</v>
      </c>
      <c r="T32" s="2">
        <v>-1.934032</v>
      </c>
      <c r="U32" s="2">
        <v>-1.935022</v>
      </c>
      <c r="V32" s="2">
        <v>-1.9360120000000001</v>
      </c>
      <c r="W32" s="2">
        <v>-1.9370019999999999</v>
      </c>
      <c r="X32" s="2">
        <v>-1.9379930000000001</v>
      </c>
      <c r="Y32" s="2">
        <v>-1.938985</v>
      </c>
      <c r="Z32" s="2">
        <v>-1.9399770000000001</v>
      </c>
      <c r="AA32" s="2">
        <v>-1.9409700000000001</v>
      </c>
      <c r="AB32" s="2">
        <v>-1.9378249999999999</v>
      </c>
      <c r="AC32" s="2">
        <v>-1.9346859999999999</v>
      </c>
      <c r="AD32" s="2">
        <v>-1.9315519999999999</v>
      </c>
      <c r="AE32" s="2">
        <v>-1.928423</v>
      </c>
      <c r="AF32" s="2">
        <v>-1.9252990000000001</v>
      </c>
      <c r="AG32" s="2">
        <v>-1.92218</v>
      </c>
      <c r="AH32" s="2">
        <v>-1.9190659999999999</v>
      </c>
      <c r="AI32" s="2">
        <v>-1.915958</v>
      </c>
      <c r="AJ32" s="2">
        <v>-1.9128540000000001</v>
      </c>
      <c r="AK32" s="2">
        <v>-1.9097550000000001</v>
      </c>
      <c r="AL32" s="2">
        <v>-1.9066609999999999</v>
      </c>
      <c r="AM32" s="2">
        <v>-1.903573</v>
      </c>
      <c r="AN32" s="2">
        <v>-1.9004890000000001</v>
      </c>
      <c r="AO32" s="2">
        <v>-1.89741</v>
      </c>
      <c r="AP32" s="2">
        <v>-1.8943369999999999</v>
      </c>
      <c r="AQ32" s="2">
        <v>-1.8912679999999999</v>
      </c>
      <c r="AR32" s="2">
        <v>-1.888204</v>
      </c>
      <c r="AS32" s="2">
        <v>-1.8851450000000001</v>
      </c>
      <c r="AT32" s="2">
        <v>-1.882091</v>
      </c>
      <c r="AU32" s="2">
        <v>-1.879043</v>
      </c>
      <c r="AV32" s="2">
        <v>-1.8759980000000001</v>
      </c>
      <c r="AW32" s="2">
        <v>-1.872959</v>
      </c>
      <c r="AX32" s="2">
        <v>-1.8699250000000001</v>
      </c>
      <c r="AY32" s="2">
        <v>-1.8668960000000001</v>
      </c>
      <c r="AZ32" s="2">
        <v>-1.863872</v>
      </c>
      <c r="BA32" s="2">
        <v>-1.860852</v>
      </c>
      <c r="BB32" s="2">
        <v>-1.8578380000000001</v>
      </c>
      <c r="BC32" s="2">
        <v>-1.8548279999999999</v>
      </c>
      <c r="BD32" s="2">
        <v>-1.8518239999999999</v>
      </c>
      <c r="BE32" s="2">
        <v>-1.848824</v>
      </c>
      <c r="BF32" s="2">
        <v>-1.8458289999999999</v>
      </c>
      <c r="BG32" s="2">
        <v>-1.8428389999999999</v>
      </c>
      <c r="BH32" s="2">
        <v>-1.839853</v>
      </c>
      <c r="BI32" s="2">
        <v>-1.837037</v>
      </c>
      <c r="BJ32" s="2">
        <v>-1.8342240000000001</v>
      </c>
      <c r="BK32" s="2">
        <v>-1.8314159999999999</v>
      </c>
      <c r="BL32" s="2">
        <v>-1.8286119999999999</v>
      </c>
      <c r="BM32" s="2">
        <v>-1.8258129999999999</v>
      </c>
      <c r="BN32" s="2">
        <v>-1.823018</v>
      </c>
      <c r="BO32" s="2">
        <v>-1.820227</v>
      </c>
      <c r="BP32" s="2">
        <v>-1.8174399999999999</v>
      </c>
      <c r="BQ32" s="2">
        <v>-1.8146580000000001</v>
      </c>
      <c r="BR32" s="2">
        <v>-1.8118799999999999</v>
      </c>
      <c r="BS32" s="2">
        <v>-1.8091060000000001</v>
      </c>
      <c r="BT32" s="2">
        <v>-1.8063359999999999</v>
      </c>
      <c r="BU32" s="2">
        <v>-1.803571</v>
      </c>
      <c r="BV32" s="2">
        <v>-1.80081</v>
      </c>
      <c r="BW32" s="2">
        <v>-1.7980529999999999</v>
      </c>
      <c r="BX32" s="2">
        <v>-1.7952999999999999</v>
      </c>
      <c r="BY32" s="2">
        <v>-1.7925519999999999</v>
      </c>
      <c r="BZ32" s="2">
        <v>-1.7898069999999999</v>
      </c>
      <c r="CA32" s="2">
        <v>-1.787067</v>
      </c>
      <c r="CB32" s="2">
        <v>-1.7843309999999999</v>
      </c>
      <c r="CC32" s="2">
        <v>-1.7816000000000001</v>
      </c>
      <c r="CD32" s="2">
        <v>-1.778872</v>
      </c>
      <c r="CE32" s="2">
        <v>-1.776149</v>
      </c>
      <c r="CF32" s="2">
        <v>-1.7734300000000001</v>
      </c>
      <c r="CG32" s="2">
        <v>-1.770715</v>
      </c>
      <c r="CH32" s="2">
        <v>-1.7680039999999999</v>
      </c>
      <c r="CI32" s="2">
        <v>-1.7652969999999999</v>
      </c>
      <c r="CJ32" s="2">
        <v>-1.7625949999999999</v>
      </c>
      <c r="CK32" s="2">
        <v>-1.7598959999999999</v>
      </c>
      <c r="CL32" s="2">
        <v>-1.7572019999999999</v>
      </c>
      <c r="CM32" s="2">
        <v>-1.7545120000000001</v>
      </c>
      <c r="CN32" s="2">
        <v>-1.7518260000000001</v>
      </c>
      <c r="CO32" s="2">
        <v>-1.749144</v>
      </c>
      <c r="CP32" s="2">
        <v>-1.7464660000000001</v>
      </c>
      <c r="CQ32" s="2">
        <v>-1.743792</v>
      </c>
      <c r="CR32" s="2">
        <v>-1.741123</v>
      </c>
      <c r="CS32" s="2">
        <v>-1.7384569999999999</v>
      </c>
      <c r="CT32" s="2">
        <v>-1.735795</v>
      </c>
      <c r="CU32" s="2">
        <v>-1.7331380000000001</v>
      </c>
      <c r="CV32" s="2">
        <v>-1.7304850000000001</v>
      </c>
      <c r="CW32" s="2">
        <v>-1.7278359999999999</v>
      </c>
      <c r="CX32" s="2">
        <v>-1.72519</v>
      </c>
      <c r="CY32" s="2">
        <v>-1.7225490000000001</v>
      </c>
      <c r="CZ32" s="2">
        <v>-1.7199120000000001</v>
      </c>
      <c r="DA32" s="2">
        <v>-1.71888</v>
      </c>
      <c r="DB32" s="2">
        <v>-1.717849</v>
      </c>
      <c r="DC32" s="2">
        <v>-1.716818</v>
      </c>
      <c r="DD32" s="2">
        <v>-1.7157880000000001</v>
      </c>
      <c r="DE32" s="2">
        <v>-1.7147589999999999</v>
      </c>
      <c r="DF32" s="2">
        <v>-1.71373</v>
      </c>
      <c r="DG32" s="2">
        <v>-1.7127019999999999</v>
      </c>
      <c r="DH32" s="2">
        <v>-1.7116750000000001</v>
      </c>
      <c r="DI32" s="2">
        <v>-1.7106479999999999</v>
      </c>
      <c r="DJ32" s="2">
        <v>-1.709622</v>
      </c>
      <c r="DK32" s="2">
        <v>-1.708596</v>
      </c>
      <c r="DL32" s="2">
        <v>-1.7075709999999999</v>
      </c>
      <c r="DM32" s="2">
        <v>-1.7065459999999999</v>
      </c>
      <c r="DN32" s="2">
        <v>-1.7055229999999999</v>
      </c>
      <c r="DO32" s="2">
        <v>-1.704499</v>
      </c>
      <c r="DP32" s="2">
        <v>-1.7034769999999999</v>
      </c>
      <c r="DQ32" s="2">
        <v>-1.7024550000000001</v>
      </c>
      <c r="DR32" s="2">
        <v>-1.7014339999999999</v>
      </c>
      <c r="DS32" s="2">
        <v>-1.700413</v>
      </c>
      <c r="DT32" s="2">
        <v>-1.6993929999999999</v>
      </c>
      <c r="DU32" s="2">
        <v>-1.6983729999999999</v>
      </c>
      <c r="DV32" s="2">
        <v>-1.697354</v>
      </c>
      <c r="DW32" s="2">
        <v>-1.6963360000000001</v>
      </c>
      <c r="DX32" s="2">
        <v>-1.6953180000000001</v>
      </c>
      <c r="DY32" s="2">
        <v>-1.6943010000000001</v>
      </c>
      <c r="DZ32" s="2">
        <v>-1.6932849999999999</v>
      </c>
      <c r="EA32" s="2">
        <v>-1.692269</v>
      </c>
      <c r="EB32" s="2">
        <v>-1.691254</v>
      </c>
      <c r="EC32" s="2">
        <v>-1.690239</v>
      </c>
      <c r="ED32" s="2">
        <v>-1.689225</v>
      </c>
      <c r="EE32" s="2">
        <v>-1.6882109999999999</v>
      </c>
      <c r="EF32" s="2">
        <v>-1.6871989999999999</v>
      </c>
      <c r="EG32" s="2">
        <v>-1.686186</v>
      </c>
      <c r="EH32" s="2">
        <v>-1.6851750000000001</v>
      </c>
      <c r="EI32" s="2">
        <v>-1.684164</v>
      </c>
      <c r="EJ32" s="2">
        <v>-1.6831529999999999</v>
      </c>
      <c r="EK32" s="2">
        <v>-1.6821440000000001</v>
      </c>
      <c r="EL32" s="2">
        <v>-1.6811339999999999</v>
      </c>
      <c r="EM32" s="2">
        <v>-1.680966</v>
      </c>
      <c r="EN32" s="2">
        <v>-1.680798</v>
      </c>
      <c r="EO32" s="2">
        <v>-1.6806300000000001</v>
      </c>
      <c r="EP32" s="2">
        <v>-1.6804619999999999</v>
      </c>
      <c r="EQ32" s="2">
        <v>-1.6804619999999999</v>
      </c>
      <c r="ER32" s="2">
        <v>-1.6806300000000001</v>
      </c>
      <c r="ES32" s="2">
        <v>-1.680966</v>
      </c>
      <c r="ET32" s="2">
        <v>-1.6813020000000001</v>
      </c>
      <c r="EU32" s="2">
        <v>-1.6815549999999999</v>
      </c>
      <c r="EV32" s="2">
        <v>-1.681719</v>
      </c>
      <c r="EW32" s="2">
        <v>-1.681762</v>
      </c>
      <c r="EX32" s="2">
        <v>-1.681762</v>
      </c>
      <c r="EY32" s="2">
        <v>-1.6818040000000001</v>
      </c>
      <c r="EZ32" s="2">
        <v>-1.6818470000000001</v>
      </c>
      <c r="FA32" s="2">
        <v>-1.6818900000000001</v>
      </c>
      <c r="FB32" s="2">
        <v>-1.681932</v>
      </c>
      <c r="FC32" s="2">
        <v>-1.681975</v>
      </c>
      <c r="FD32" s="2">
        <v>-1.682018</v>
      </c>
      <c r="FE32" s="2">
        <v>-1.6820600000000001</v>
      </c>
      <c r="FF32" s="2">
        <v>-1.6821029999999999</v>
      </c>
      <c r="FG32" s="2">
        <v>-1.6821459999999999</v>
      </c>
      <c r="FH32" s="2">
        <v>-1.682188</v>
      </c>
      <c r="FI32" s="2">
        <v>-1.682231</v>
      </c>
      <c r="FJ32" s="2">
        <v>-1.682274</v>
      </c>
      <c r="FK32" s="2">
        <v>-1.6823159999999999</v>
      </c>
      <c r="FL32" s="2">
        <v>-1.6823589999999999</v>
      </c>
      <c r="FM32" s="2">
        <v>-1.682402</v>
      </c>
      <c r="FN32" s="2">
        <v>-1.6824440000000001</v>
      </c>
      <c r="FO32" s="2">
        <v>-1.6824870000000001</v>
      </c>
      <c r="FP32" s="2">
        <v>-1.6825300000000001</v>
      </c>
      <c r="FQ32" s="2">
        <v>-1.682572</v>
      </c>
      <c r="FR32" s="2">
        <v>-1.682615</v>
      </c>
      <c r="FS32" s="2">
        <v>-1.682658</v>
      </c>
      <c r="FT32" s="2">
        <v>-1.682701</v>
      </c>
      <c r="FU32" s="2">
        <v>-1.6827430000000001</v>
      </c>
      <c r="FV32" s="2">
        <v>-1.6827859999999999</v>
      </c>
      <c r="FW32" s="2">
        <v>-1.6828289999999999</v>
      </c>
      <c r="FX32" s="2">
        <v>-1.682871</v>
      </c>
      <c r="FY32" s="2">
        <v>-1.682914</v>
      </c>
      <c r="FZ32" s="2">
        <v>-1.682957</v>
      </c>
      <c r="GA32" s="2">
        <v>-1.6829989999999999</v>
      </c>
      <c r="GB32" s="2">
        <v>-1.6830419999999999</v>
      </c>
      <c r="GC32" s="2">
        <v>-1.6830849999999999</v>
      </c>
      <c r="GD32" s="2">
        <v>-1.683128</v>
      </c>
      <c r="GE32" s="2">
        <v>-1.6831700000000001</v>
      </c>
      <c r="GF32" s="2">
        <v>-1.6832130000000001</v>
      </c>
      <c r="GG32" s="2">
        <v>-1.6832560000000001</v>
      </c>
      <c r="GH32" s="2">
        <v>-1.683298</v>
      </c>
      <c r="GI32" s="2">
        <v>-1.683341</v>
      </c>
      <c r="GJ32" s="2">
        <v>-1.683384</v>
      </c>
      <c r="GK32" s="2">
        <v>-1.6834260000000001</v>
      </c>
      <c r="GL32" s="2">
        <v>-1.6834690000000001</v>
      </c>
      <c r="GM32" s="2">
        <v>-1.6843109999999999</v>
      </c>
      <c r="GN32" s="2">
        <v>-1.6885220000000001</v>
      </c>
      <c r="GO32" s="2">
        <v>-1.691899</v>
      </c>
      <c r="GP32" s="2">
        <v>-1.694437</v>
      </c>
      <c r="GQ32" s="2">
        <v>-1.6961310000000001</v>
      </c>
      <c r="GR32" s="2">
        <v>-1.697403</v>
      </c>
      <c r="GS32" s="2">
        <v>-1.6982520000000001</v>
      </c>
      <c r="GT32" s="2">
        <v>-1.6982520000000001</v>
      </c>
      <c r="GU32" s="2">
        <v>-1.6982520000000001</v>
      </c>
      <c r="GV32" s="2">
        <v>-1.698167</v>
      </c>
      <c r="GW32" s="2">
        <v>-1.6980820000000001</v>
      </c>
      <c r="GX32" s="2">
        <v>-1.697997</v>
      </c>
      <c r="GY32" s="2">
        <v>-1.6979120000000001</v>
      </c>
      <c r="GZ32" s="2">
        <v>-1.697827</v>
      </c>
      <c r="HA32" s="3">
        <v>-1.6977420000000001</v>
      </c>
      <c r="HB32" s="3">
        <v>-1.697657</v>
      </c>
      <c r="HC32" s="3">
        <v>-1.697657</v>
      </c>
      <c r="HD32" s="3">
        <v>-1.697657</v>
      </c>
      <c r="HE32" s="3">
        <v>-1.697657</v>
      </c>
      <c r="HF32" s="3">
        <v>-1.697657</v>
      </c>
      <c r="HG32" s="3">
        <v>-1.697657</v>
      </c>
      <c r="HH32" s="3">
        <v>-1.6977420000000001</v>
      </c>
      <c r="HI32" s="3">
        <v>-1.697827</v>
      </c>
      <c r="HJ32" s="3">
        <v>-1.6979120000000001</v>
      </c>
      <c r="HK32" s="3">
        <v>-1.697997</v>
      </c>
      <c r="HL32" s="3">
        <v>-1.697997</v>
      </c>
      <c r="HM32" s="3">
        <v>-1.697997</v>
      </c>
      <c r="HN32" s="3">
        <v>-1.6979120000000001</v>
      </c>
      <c r="HO32" s="3">
        <v>-1.697827</v>
      </c>
      <c r="HP32" s="3">
        <v>-1.697657</v>
      </c>
      <c r="HQ32" s="3">
        <v>-1.697487</v>
      </c>
      <c r="HR32" s="3">
        <v>-1.6973180000000001</v>
      </c>
      <c r="HS32" s="3">
        <v>-1.697063</v>
      </c>
      <c r="HT32" s="3">
        <v>-1.696809</v>
      </c>
      <c r="HU32" s="3">
        <v>-1.696469</v>
      </c>
      <c r="HV32" s="3">
        <v>-1.6961299999999999</v>
      </c>
      <c r="HW32" s="3">
        <v>-1.6957059999999999</v>
      </c>
      <c r="HX32" s="3">
        <v>-1.695282</v>
      </c>
      <c r="HY32" s="3">
        <v>-1.6947730000000001</v>
      </c>
      <c r="HZ32" s="3">
        <v>-1.6942649999999999</v>
      </c>
      <c r="IA32" s="3">
        <v>-1.6936720000000001</v>
      </c>
      <c r="IB32" s="3">
        <v>-1.693079</v>
      </c>
      <c r="IC32" s="3">
        <v>-1.692402</v>
      </c>
      <c r="ID32" s="3">
        <v>-1.6917249999999999</v>
      </c>
      <c r="IE32" s="3">
        <v>-1.6909639999999999</v>
      </c>
      <c r="IF32" s="3">
        <v>-1.6902029999999999</v>
      </c>
      <c r="IG32" s="3">
        <v>-1.6894420000000001</v>
      </c>
      <c r="IH32" s="3">
        <v>-1.6885969999999999</v>
      </c>
      <c r="II32" s="3">
        <v>-1.6877530000000001</v>
      </c>
      <c r="IJ32" s="3">
        <v>-1.6868669999999999</v>
      </c>
      <c r="IK32" s="3">
        <v>-1.6859390000000001</v>
      </c>
      <c r="IL32" s="3">
        <v>-1.684979</v>
      </c>
      <c r="IM32" s="3">
        <v>-1.6839679999999999</v>
      </c>
      <c r="IN32" s="3">
        <v>-1.682958</v>
      </c>
      <c r="IO32" s="3">
        <v>-1.681948</v>
      </c>
      <c r="IP32" s="3">
        <v>-1.680939</v>
      </c>
      <c r="IQ32" s="3">
        <v>-1.679846</v>
      </c>
      <c r="IR32" s="3">
        <v>-1.6787540000000001</v>
      </c>
      <c r="IS32" s="3">
        <v>-1.6776629999999999</v>
      </c>
      <c r="IT32" s="3">
        <v>-1.676572</v>
      </c>
      <c r="IU32" s="3">
        <v>-1.6753990000000001</v>
      </c>
      <c r="IV32" s="3">
        <v>-1.674226</v>
      </c>
      <c r="IW32" s="3">
        <v>-1.673054</v>
      </c>
      <c r="IX32" s="3">
        <v>-1.671883</v>
      </c>
      <c r="IY32" s="3">
        <v>-1.6706289999999999</v>
      </c>
      <c r="IZ32" s="3">
        <v>-1.669376</v>
      </c>
      <c r="JA32" s="3">
        <v>-1.6681239999999999</v>
      </c>
      <c r="JB32" s="3">
        <v>-1.666873</v>
      </c>
      <c r="JC32" s="3">
        <v>-1.6656230000000001</v>
      </c>
      <c r="JD32" s="3">
        <v>-1.664374</v>
      </c>
      <c r="JE32" s="3">
        <v>-1.663125</v>
      </c>
      <c r="JF32" s="3">
        <v>-1.661878</v>
      </c>
      <c r="JG32" s="3">
        <v>-1.6605479999999999</v>
      </c>
      <c r="JH32" s="3">
        <v>-1.6592199999999999</v>
      </c>
      <c r="JI32" s="3">
        <v>-1.6578930000000001</v>
      </c>
      <c r="JJ32" s="3">
        <v>-1.656566</v>
      </c>
      <c r="JK32" s="3">
        <v>-1.655241</v>
      </c>
      <c r="JL32" s="3">
        <v>-1.6539170000000001</v>
      </c>
      <c r="JM32" s="3">
        <v>-1.6525939999999999</v>
      </c>
      <c r="JN32" s="3">
        <v>-1.6512720000000001</v>
      </c>
      <c r="JO32" s="3">
        <v>-1.6499509999999999</v>
      </c>
      <c r="JP32" s="3">
        <v>-1.648631</v>
      </c>
      <c r="JQ32" s="3">
        <v>-1.6473120000000001</v>
      </c>
      <c r="JR32" s="3">
        <v>-1.645994</v>
      </c>
      <c r="JS32" s="3">
        <v>-1.6446769999999999</v>
      </c>
      <c r="JT32" s="3">
        <v>-1.6433610000000001</v>
      </c>
      <c r="JU32" s="3">
        <v>-1.642047</v>
      </c>
      <c r="JV32" s="3">
        <v>-1.640733</v>
      </c>
      <c r="JW32" s="3">
        <v>-1.639421</v>
      </c>
      <c r="JX32" s="3">
        <v>-1.638109</v>
      </c>
      <c r="JY32" s="3">
        <v>-1.6367989999999999</v>
      </c>
      <c r="JZ32" s="3">
        <v>-1.635489</v>
      </c>
      <c r="KA32" s="3">
        <v>-1.6341810000000001</v>
      </c>
      <c r="KB32" s="3">
        <v>-1.632873</v>
      </c>
      <c r="KC32" s="3">
        <v>-1.631567</v>
      </c>
      <c r="KD32" s="3">
        <v>-1.6302620000000001</v>
      </c>
      <c r="KE32" s="3">
        <v>-1.6289579999999999</v>
      </c>
      <c r="KF32" s="3">
        <v>-1.6276539999999999</v>
      </c>
      <c r="KG32" s="3">
        <v>-1.626352</v>
      </c>
      <c r="KH32" s="3">
        <v>-1.625051</v>
      </c>
      <c r="KI32" s="3">
        <v>-1.6237509999999999</v>
      </c>
      <c r="KJ32" s="3">
        <v>-1.622452</v>
      </c>
      <c r="KK32" s="3">
        <v>-1.621154</v>
      </c>
      <c r="KL32" s="3">
        <v>-1.6198570000000001</v>
      </c>
      <c r="KM32" s="3">
        <v>-1.6185609999999999</v>
      </c>
      <c r="KN32" s="3">
        <v>-1.617267</v>
      </c>
      <c r="KO32" s="3">
        <v>-1.6159730000000001</v>
      </c>
      <c r="KP32" s="3">
        <v>-1.6146799999999999</v>
      </c>
      <c r="KQ32" s="3">
        <v>-1.613388</v>
      </c>
      <c r="KR32" s="3">
        <v>-1.612098</v>
      </c>
      <c r="KS32" s="3">
        <v>-1.610808</v>
      </c>
      <c r="KT32" s="3">
        <v>-1.6095189999999999</v>
      </c>
      <c r="KU32" s="3">
        <v>-1.6082320000000001</v>
      </c>
      <c r="KV32" s="3">
        <v>-1.6069450000000001</v>
      </c>
      <c r="KW32" s="3">
        <v>-1.6056589999999999</v>
      </c>
      <c r="KX32" s="3">
        <v>-1.6043750000000001</v>
      </c>
      <c r="KY32" s="3">
        <v>-1.603091</v>
      </c>
      <c r="KZ32" s="3">
        <v>-1.601809</v>
      </c>
      <c r="LA32" s="3">
        <v>-1.600528</v>
      </c>
      <c r="LB32" s="3">
        <v>-1.5992470000000001</v>
      </c>
      <c r="LC32" s="3">
        <v>-1.5979680000000001</v>
      </c>
      <c r="LD32" s="3">
        <v>-1.596689</v>
      </c>
      <c r="LE32" s="3">
        <v>-1.5954120000000001</v>
      </c>
      <c r="LF32" s="3">
        <v>-1.594136</v>
      </c>
      <c r="LG32" s="3">
        <v>-1.5928599999999999</v>
      </c>
      <c r="LH32" s="3">
        <v>-1.5915859999999999</v>
      </c>
      <c r="LI32" s="3">
        <v>-1.5903130000000001</v>
      </c>
      <c r="LJ32" s="3">
        <v>-1.5890409999999999</v>
      </c>
      <c r="LK32" s="3">
        <v>-1.587769</v>
      </c>
      <c r="LL32" s="3">
        <v>-1.5864990000000001</v>
      </c>
      <c r="LM32" s="3">
        <v>-1.5852299999999999</v>
      </c>
      <c r="LN32" s="3">
        <v>-1.5839620000000001</v>
      </c>
      <c r="LO32" s="3">
        <v>-1.582695</v>
      </c>
      <c r="LP32" s="3">
        <v>-1.5814280000000001</v>
      </c>
      <c r="LQ32" s="3">
        <v>-1.580163</v>
      </c>
      <c r="LR32" s="3">
        <v>-1.5788990000000001</v>
      </c>
      <c r="LS32" s="3">
        <v>-1.577636</v>
      </c>
      <c r="LT32" s="3">
        <v>-1.5763739999999999</v>
      </c>
      <c r="LU32" s="3">
        <v>-1.575113</v>
      </c>
      <c r="LV32" s="3">
        <v>-1.5738529999999999</v>
      </c>
      <c r="LW32" s="3">
        <v>-1.572594</v>
      </c>
      <c r="LX32" s="3">
        <v>-1.5713349999999999</v>
      </c>
      <c r="LY32" s="3">
        <v>-1.5700780000000001</v>
      </c>
      <c r="LZ32" s="3">
        <v>-1.5688219999999999</v>
      </c>
      <c r="MA32" s="3">
        <v>-1.5675669999999999</v>
      </c>
      <c r="MB32" s="3">
        <v>-1.5663130000000001</v>
      </c>
      <c r="MC32" s="3">
        <v>-1.5650599999999999</v>
      </c>
      <c r="MD32" s="3">
        <v>-1.5638080000000001</v>
      </c>
      <c r="ME32" s="3">
        <v>-1.562557</v>
      </c>
      <c r="MF32" s="3">
        <v>-1.561307</v>
      </c>
      <c r="MG32" s="3">
        <v>-1.5600579999999999</v>
      </c>
      <c r="MH32" s="3">
        <v>-1.55881</v>
      </c>
      <c r="MI32" s="3">
        <v>-1.557563</v>
      </c>
      <c r="MJ32" s="3">
        <v>-1.556317</v>
      </c>
      <c r="MK32" s="3">
        <v>-1.555072</v>
      </c>
      <c r="ML32" s="3">
        <v>-1.553828</v>
      </c>
      <c r="MM32" s="3">
        <v>-1.5525850000000001</v>
      </c>
      <c r="MN32" s="3">
        <v>-1.5513429999999999</v>
      </c>
      <c r="MO32" s="3">
        <v>-1.5501020000000001</v>
      </c>
      <c r="MP32" s="3">
        <v>-1.548862</v>
      </c>
      <c r="MQ32" s="3">
        <v>-1.5476220000000001</v>
      </c>
      <c r="MR32" s="3">
        <v>-1.546384</v>
      </c>
      <c r="MS32" s="3">
        <v>-1.545147</v>
      </c>
      <c r="MT32" s="3">
        <v>-1.543911</v>
      </c>
      <c r="MU32" t="s">
        <v>498</v>
      </c>
      <c r="MV32" t="b">
        <v>0</v>
      </c>
      <c r="MW32" t="s">
        <v>377</v>
      </c>
      <c r="MX32" t="s">
        <v>377</v>
      </c>
      <c r="MY32">
        <v>2023</v>
      </c>
      <c r="MZ32">
        <v>2</v>
      </c>
      <c r="NA32" t="s">
        <v>377</v>
      </c>
      <c r="NB32" s="1" t="s">
        <v>499</v>
      </c>
      <c r="NC32" t="s">
        <v>377</v>
      </c>
      <c r="ND32" t="s">
        <v>380</v>
      </c>
      <c r="NE32" t="s">
        <v>500</v>
      </c>
      <c r="NF32" s="1" t="s">
        <v>455</v>
      </c>
    </row>
    <row r="33" spans="1:370" x14ac:dyDescent="0.25">
      <c r="A33" t="s">
        <v>382</v>
      </c>
      <c r="B33" t="s">
        <v>496</v>
      </c>
      <c r="C33" s="1" t="s">
        <v>454</v>
      </c>
      <c r="D33" t="s">
        <v>497</v>
      </c>
      <c r="E33" t="s">
        <v>377</v>
      </c>
      <c r="F33" t="s">
        <v>374</v>
      </c>
      <c r="G33" s="2">
        <v>-3.2320519999999999</v>
      </c>
      <c r="H33" s="2">
        <v>-6.307607</v>
      </c>
      <c r="I33" s="2">
        <v>-6.3057920000000003</v>
      </c>
      <c r="J33" s="2">
        <v>-6.3071820000000001</v>
      </c>
      <c r="K33" s="2">
        <v>-6.5312809999999999</v>
      </c>
      <c r="L33" s="2">
        <v>-6.5254960000000004</v>
      </c>
      <c r="M33" s="2">
        <v>-6.524311</v>
      </c>
      <c r="N33" s="2">
        <v>-6.5168419999999996</v>
      </c>
      <c r="O33" s="2">
        <v>-6.5088850000000003</v>
      </c>
      <c r="P33" s="2">
        <v>-6.5077699999999998</v>
      </c>
      <c r="Q33" s="2">
        <v>-6.5091789999999996</v>
      </c>
      <c r="R33" s="2">
        <v>-6.5071539999999999</v>
      </c>
      <c r="S33" s="2">
        <v>-6.5090709999999996</v>
      </c>
      <c r="T33" s="2">
        <v>-6.5069569999999999</v>
      </c>
      <c r="U33" s="2">
        <v>-6.5065770000000001</v>
      </c>
      <c r="V33" s="2">
        <v>-6.5015970000000003</v>
      </c>
      <c r="W33" s="2">
        <v>-6.4989509999999999</v>
      </c>
      <c r="X33" s="2">
        <v>-6.5032639999999997</v>
      </c>
      <c r="Y33" s="2">
        <v>-6.4990100000000002</v>
      </c>
      <c r="Z33" s="2">
        <v>-6.5008800000000004</v>
      </c>
      <c r="AA33" s="2">
        <v>-6.4932309999999998</v>
      </c>
      <c r="AB33" s="2">
        <v>-6.49932</v>
      </c>
      <c r="AC33" s="2">
        <v>-6.4971500000000004</v>
      </c>
      <c r="AD33" s="2">
        <v>-6.4960079999999998</v>
      </c>
      <c r="AE33" s="2">
        <v>-6.4951720000000002</v>
      </c>
      <c r="AF33" s="2">
        <v>-6.4861300000000002</v>
      </c>
      <c r="AG33" s="2">
        <v>-6.4880969999999998</v>
      </c>
      <c r="AH33" s="2">
        <v>-6.4884170000000001</v>
      </c>
      <c r="AI33" s="2">
        <v>-6.4458719999999996</v>
      </c>
      <c r="AJ33" s="2">
        <v>-6.4396500000000003</v>
      </c>
      <c r="AK33" s="2">
        <v>-6.4387449999999999</v>
      </c>
      <c r="AL33" s="2">
        <v>-6.4428109999999998</v>
      </c>
      <c r="AM33" s="2">
        <v>-6.448067</v>
      </c>
      <c r="AN33" s="2">
        <v>-6.4475879999999997</v>
      </c>
      <c r="AO33" s="2">
        <v>-6.4393419999999999</v>
      </c>
      <c r="AP33" s="2">
        <v>-6.4356220000000004</v>
      </c>
      <c r="AQ33" s="2">
        <v>-6.4272580000000001</v>
      </c>
      <c r="AR33" s="2">
        <v>-6.4282510000000004</v>
      </c>
      <c r="AS33" s="2">
        <v>-6.4245419999999998</v>
      </c>
      <c r="AT33" s="2">
        <v>-6.4188980000000004</v>
      </c>
      <c r="AU33" s="2">
        <v>-6.4126450000000004</v>
      </c>
      <c r="AV33" s="2">
        <v>-6.4129750000000003</v>
      </c>
      <c r="AW33" s="2">
        <v>-6.4135910000000003</v>
      </c>
      <c r="AX33" s="2">
        <v>-6.4113920000000002</v>
      </c>
      <c r="AY33" s="2">
        <v>-6.4074669999999996</v>
      </c>
      <c r="AZ33" s="2">
        <v>-6.4065450000000004</v>
      </c>
      <c r="BA33" s="2">
        <v>-6.4009819999999999</v>
      </c>
      <c r="BB33" s="2">
        <v>-6.3959770000000002</v>
      </c>
      <c r="BC33" s="2">
        <v>-6.3913820000000001</v>
      </c>
      <c r="BD33" s="2">
        <v>-6.3872980000000004</v>
      </c>
      <c r="BE33" s="2">
        <v>-6.381615</v>
      </c>
      <c r="BF33" s="2">
        <v>-6.3807410000000004</v>
      </c>
      <c r="BG33" s="2">
        <v>-6.3794029999999999</v>
      </c>
      <c r="BH33" s="2">
        <v>-6.3741479999999999</v>
      </c>
      <c r="BI33" s="2">
        <v>-6.3720119999999998</v>
      </c>
      <c r="BJ33" s="2">
        <v>-6.3687199999999997</v>
      </c>
      <c r="BK33" s="2">
        <v>-6.3686790000000002</v>
      </c>
      <c r="BL33" s="2">
        <v>-6.3659280000000003</v>
      </c>
      <c r="BM33" s="2">
        <v>-6.362965</v>
      </c>
      <c r="BN33" s="2">
        <v>-6.3605689999999999</v>
      </c>
      <c r="BO33" s="2">
        <v>-6.3551739999999999</v>
      </c>
      <c r="BP33" s="2">
        <v>-6.3512750000000002</v>
      </c>
      <c r="BQ33" s="2">
        <v>-6.3483210000000003</v>
      </c>
      <c r="BR33" s="2">
        <v>-6.3474300000000001</v>
      </c>
      <c r="BS33" s="2">
        <v>-6.3456580000000002</v>
      </c>
      <c r="BT33" s="2">
        <v>-6.3409040000000001</v>
      </c>
      <c r="BU33" s="2">
        <v>-6.3376799999999998</v>
      </c>
      <c r="BV33" s="2">
        <v>-6.3343059999999998</v>
      </c>
      <c r="BW33" s="2">
        <v>-6.3363490000000002</v>
      </c>
      <c r="BX33" s="2">
        <v>-6.3287870000000002</v>
      </c>
      <c r="BY33" s="2">
        <v>-6.3239089999999996</v>
      </c>
      <c r="BZ33" s="2">
        <v>-6.3194179999999998</v>
      </c>
      <c r="CA33" s="2">
        <v>-6.3141470000000002</v>
      </c>
      <c r="CB33" s="2">
        <v>-6.310721</v>
      </c>
      <c r="CC33" s="2">
        <v>-6.3069660000000001</v>
      </c>
      <c r="CD33" s="2">
        <v>-6.304678</v>
      </c>
      <c r="CE33" s="2">
        <v>-6.3041119999999999</v>
      </c>
      <c r="CF33" s="2">
        <v>-6.3070320000000004</v>
      </c>
      <c r="CG33" s="2">
        <v>-6.3042040000000004</v>
      </c>
      <c r="CH33" s="2">
        <v>-6.2980960000000001</v>
      </c>
      <c r="CI33" s="2">
        <v>-6.2950239999999997</v>
      </c>
      <c r="CJ33" s="2">
        <v>-6.2955189999999996</v>
      </c>
      <c r="CK33" s="2">
        <v>-6.2933700000000004</v>
      </c>
      <c r="CL33" s="2">
        <v>-6.2916530000000002</v>
      </c>
      <c r="CM33" s="2">
        <v>-6.2898339999999999</v>
      </c>
      <c r="CN33" s="2">
        <v>-6.2882579999999999</v>
      </c>
      <c r="CO33" s="2">
        <v>-6.2864800000000001</v>
      </c>
      <c r="CP33" s="2">
        <v>-6.2847590000000002</v>
      </c>
      <c r="CQ33" s="2">
        <v>-6.2797929999999997</v>
      </c>
      <c r="CR33" s="2">
        <v>-6.2716260000000004</v>
      </c>
      <c r="CS33" s="2">
        <v>-6.2697570000000002</v>
      </c>
      <c r="CT33" s="2">
        <v>-6.2646569999999997</v>
      </c>
      <c r="CU33" s="2">
        <v>-6.2593920000000001</v>
      </c>
      <c r="CV33" s="2">
        <v>-6.260904</v>
      </c>
      <c r="CW33" s="2">
        <v>-6.2600990000000003</v>
      </c>
      <c r="CX33" s="2">
        <v>-6.2583659999999997</v>
      </c>
      <c r="CY33" s="2">
        <v>-6.2547620000000004</v>
      </c>
      <c r="CZ33" s="2">
        <v>-6.2520629999999997</v>
      </c>
      <c r="DA33" s="2">
        <v>-6.2493189999999998</v>
      </c>
      <c r="DB33" s="2">
        <v>-6.2436360000000004</v>
      </c>
      <c r="DC33" s="2">
        <v>-6.2360709999999999</v>
      </c>
      <c r="DD33" s="2">
        <v>-6.2283590000000002</v>
      </c>
      <c r="DE33" s="2">
        <v>-6.2231820000000004</v>
      </c>
      <c r="DF33" s="2">
        <v>-6.2190510000000003</v>
      </c>
      <c r="DG33" s="2">
        <v>-6.212224</v>
      </c>
      <c r="DH33" s="2">
        <v>-6.2051920000000003</v>
      </c>
      <c r="DI33" s="2">
        <v>-6.1992070000000004</v>
      </c>
      <c r="DJ33" s="2">
        <v>-6.194261</v>
      </c>
      <c r="DK33" s="2">
        <v>-6.1877880000000003</v>
      </c>
      <c r="DL33" s="2">
        <v>-6.1801570000000003</v>
      </c>
      <c r="DM33" s="2">
        <v>-6.1713839999999998</v>
      </c>
      <c r="DN33" s="2">
        <v>-6.1647069999999999</v>
      </c>
      <c r="DO33" s="2">
        <v>-6.1621300000000003</v>
      </c>
      <c r="DP33" s="2">
        <v>-6.1526480000000001</v>
      </c>
      <c r="DQ33" s="2">
        <v>-6.146382</v>
      </c>
      <c r="DR33" s="2">
        <v>-6.1413250000000001</v>
      </c>
      <c r="DS33" s="2">
        <v>-6.1385719999999999</v>
      </c>
      <c r="DT33" s="2">
        <v>-6.1372410000000004</v>
      </c>
      <c r="DU33" s="2">
        <v>-6.1332579999999997</v>
      </c>
      <c r="DV33" s="2">
        <v>-6.1274540000000002</v>
      </c>
      <c r="DW33" s="2">
        <v>-6.1241880000000002</v>
      </c>
      <c r="DX33" s="2">
        <v>-6.1218700000000004</v>
      </c>
      <c r="DY33" s="2">
        <v>-6.1165219999999998</v>
      </c>
      <c r="DZ33" s="2">
        <v>-6.1146599999999998</v>
      </c>
      <c r="EA33" s="2">
        <v>-6.1106480000000003</v>
      </c>
      <c r="EB33" s="2">
        <v>-6.1066079999999996</v>
      </c>
      <c r="EC33" s="2">
        <v>-6.1038059999999996</v>
      </c>
      <c r="ED33" s="2">
        <v>-6.1024399999999996</v>
      </c>
      <c r="EE33" s="2">
        <v>-6.0984069999999999</v>
      </c>
      <c r="EF33" s="2">
        <v>-6.0980030000000003</v>
      </c>
      <c r="EG33" s="2">
        <v>-6.0965449999999999</v>
      </c>
      <c r="EH33" s="2">
        <v>-6.095548</v>
      </c>
      <c r="EI33" s="2">
        <v>-6.095072</v>
      </c>
      <c r="EJ33" s="2">
        <v>-6.0944219999999998</v>
      </c>
      <c r="EK33" s="2">
        <v>-6.0939030000000001</v>
      </c>
      <c r="EL33" s="2">
        <v>-6.0957819999999998</v>
      </c>
      <c r="EM33" s="2">
        <v>-6.0949790000000004</v>
      </c>
      <c r="EN33" s="2">
        <v>-6.0917320000000004</v>
      </c>
      <c r="EO33" s="2">
        <v>-6.090096</v>
      </c>
      <c r="EP33" s="2">
        <v>-6.0900439999999998</v>
      </c>
      <c r="EQ33" s="2">
        <v>-6.0872140000000003</v>
      </c>
      <c r="ER33" s="2">
        <v>-6.0850099999999996</v>
      </c>
      <c r="ES33" s="2">
        <v>-6.082408</v>
      </c>
      <c r="ET33" s="2">
        <v>-6.0775940000000004</v>
      </c>
      <c r="EU33" s="2">
        <v>-6.0699880000000004</v>
      </c>
      <c r="EV33" s="2">
        <v>-6.0650130000000004</v>
      </c>
      <c r="EW33" s="2">
        <v>-6.0620370000000001</v>
      </c>
      <c r="EX33" s="2">
        <v>-6.0583689999999999</v>
      </c>
      <c r="EY33" s="2">
        <v>-6.0578099999999999</v>
      </c>
      <c r="EZ33" s="2">
        <v>-6.0597690000000002</v>
      </c>
      <c r="FA33" s="2">
        <v>-6.0584980000000002</v>
      </c>
      <c r="FB33" s="2">
        <v>-6.0568569999999999</v>
      </c>
      <c r="FC33" s="2">
        <v>-6.0506279999999997</v>
      </c>
      <c r="FD33" s="2">
        <v>-6.0514530000000004</v>
      </c>
      <c r="FE33" s="2">
        <v>-6.0500340000000001</v>
      </c>
      <c r="FF33" s="2">
        <v>-6.049982</v>
      </c>
      <c r="FG33" s="2">
        <v>-6.0509849999999998</v>
      </c>
      <c r="FH33" s="2">
        <v>-6.0479849999999997</v>
      </c>
      <c r="FI33" s="2">
        <v>-6.045782</v>
      </c>
      <c r="FJ33" s="2">
        <v>-6.0453150000000004</v>
      </c>
      <c r="FK33" s="2">
        <v>-6.0424759999999997</v>
      </c>
      <c r="FL33" s="2">
        <v>-6.0397939999999997</v>
      </c>
      <c r="FM33" s="2">
        <v>-6.0359150000000001</v>
      </c>
      <c r="FN33" s="2">
        <v>-6.0305260000000001</v>
      </c>
      <c r="FO33" s="2">
        <v>-6.0286980000000003</v>
      </c>
      <c r="FP33" s="2">
        <v>-6.0289529999999996</v>
      </c>
      <c r="FQ33" s="2">
        <v>-6.0280110000000002</v>
      </c>
      <c r="FR33" s="2">
        <v>-6.0278159999999996</v>
      </c>
      <c r="FS33" s="2">
        <v>-6.0256590000000001</v>
      </c>
      <c r="FT33" s="2">
        <v>-6.0220330000000004</v>
      </c>
      <c r="FU33" s="2">
        <v>-6.0203230000000003</v>
      </c>
      <c r="FV33" s="2">
        <v>-6.0196610000000002</v>
      </c>
      <c r="FW33" s="2">
        <v>-6.0193690000000002</v>
      </c>
      <c r="FX33" s="2">
        <v>-6.016667</v>
      </c>
      <c r="FY33" s="2">
        <v>-6.0150350000000001</v>
      </c>
      <c r="FZ33" s="2">
        <v>-6.0123530000000001</v>
      </c>
      <c r="GA33" s="2">
        <v>-6.0103780000000002</v>
      </c>
      <c r="GB33" s="2">
        <v>-6.0105789999999999</v>
      </c>
      <c r="GC33" s="2">
        <v>-6.0088689999999998</v>
      </c>
      <c r="GD33" s="2">
        <v>-6.0064390000000003</v>
      </c>
      <c r="GE33" s="2">
        <v>-6.0063529999999998</v>
      </c>
      <c r="GF33" s="2">
        <v>-6.0056390000000004</v>
      </c>
      <c r="GG33" s="2">
        <v>-6.0026190000000001</v>
      </c>
      <c r="GH33" s="2">
        <v>-6.0019859999999996</v>
      </c>
      <c r="GI33" s="2">
        <v>-5.9988619999999999</v>
      </c>
      <c r="GJ33" s="2">
        <v>-5.9937560000000003</v>
      </c>
      <c r="GK33" s="2">
        <v>-5.9930519999999996</v>
      </c>
      <c r="GL33" s="2">
        <v>-5.9927099999999998</v>
      </c>
      <c r="GM33" s="2">
        <v>-5.986713</v>
      </c>
      <c r="GN33" s="2">
        <v>-5.9660690000000001</v>
      </c>
      <c r="GO33" s="2">
        <v>-5.9755370000000001</v>
      </c>
      <c r="GP33" s="2">
        <v>-5.9770960000000004</v>
      </c>
      <c r="GQ33" s="2">
        <v>-5.9719480000000003</v>
      </c>
      <c r="GR33" s="2">
        <v>-5.9725999999999999</v>
      </c>
      <c r="GS33" s="2">
        <v>-5.9692290000000003</v>
      </c>
      <c r="GT33" s="2">
        <v>-5.9674269999999998</v>
      </c>
      <c r="GU33" s="2">
        <v>-5.9678550000000001</v>
      </c>
      <c r="GV33" s="2">
        <v>-5.9646439999999998</v>
      </c>
      <c r="GW33" s="2">
        <v>-5.9612740000000004</v>
      </c>
      <c r="GX33" s="2">
        <v>-5.9557149999999996</v>
      </c>
      <c r="GY33" s="2">
        <v>-5.9592559999999999</v>
      </c>
      <c r="GZ33" s="2">
        <v>-5.9548610000000002</v>
      </c>
      <c r="HA33" s="2">
        <v>-5.952979</v>
      </c>
      <c r="HB33" s="2">
        <v>-5.9491649999999998</v>
      </c>
      <c r="HC33" s="2">
        <v>-5.9425189999999999</v>
      </c>
      <c r="HD33" s="2">
        <v>-5.9405409999999996</v>
      </c>
      <c r="HE33" s="2">
        <v>-5.9388300000000003</v>
      </c>
      <c r="HF33" s="2">
        <v>-5.9339760000000004</v>
      </c>
      <c r="HG33" s="3">
        <v>-5.9396100000000001</v>
      </c>
      <c r="HH33" s="3">
        <v>-5.9352400000000003</v>
      </c>
      <c r="HI33" s="3">
        <v>-5.9309320000000003</v>
      </c>
      <c r="HJ33" s="3">
        <v>-5.9266550000000002</v>
      </c>
      <c r="HK33" s="3">
        <v>-5.922428</v>
      </c>
      <c r="HL33" s="3">
        <v>-5.9182119999999996</v>
      </c>
      <c r="HM33" s="3">
        <v>-5.9139330000000001</v>
      </c>
      <c r="HN33" s="3">
        <v>-5.9096380000000002</v>
      </c>
      <c r="HO33" s="3">
        <v>-5.905335</v>
      </c>
      <c r="HP33" s="3">
        <v>-5.9010290000000003</v>
      </c>
      <c r="HQ33" s="3">
        <v>-5.8967890000000001</v>
      </c>
      <c r="HR33" s="3">
        <v>-5.8926040000000004</v>
      </c>
      <c r="HS33" s="3">
        <v>-5.8885129999999997</v>
      </c>
      <c r="HT33" s="3">
        <v>-5.8845640000000001</v>
      </c>
      <c r="HU33" s="3">
        <v>-5.8808280000000002</v>
      </c>
      <c r="HV33" s="3">
        <v>-5.8773049999999998</v>
      </c>
      <c r="HW33" s="3">
        <v>-5.8739759999999999</v>
      </c>
      <c r="HX33" s="3">
        <v>-5.8708400000000003</v>
      </c>
      <c r="HY33" s="3">
        <v>-5.8678850000000002</v>
      </c>
      <c r="HZ33" s="3">
        <v>-5.8650599999999997</v>
      </c>
      <c r="IA33" s="3">
        <v>-5.8623599999999998</v>
      </c>
      <c r="IB33" s="3">
        <v>-5.8597910000000004</v>
      </c>
      <c r="IC33" s="3">
        <v>-5.8572230000000003</v>
      </c>
      <c r="ID33" s="3">
        <v>-5.8547070000000003</v>
      </c>
      <c r="IE33" s="3">
        <v>-5.8522780000000001</v>
      </c>
      <c r="IF33" s="3">
        <v>-5.8498299999999999</v>
      </c>
      <c r="IG33" s="3">
        <v>-5.8473600000000001</v>
      </c>
      <c r="IH33" s="3">
        <v>-5.8449270000000002</v>
      </c>
      <c r="II33" s="3">
        <v>-5.8425219999999998</v>
      </c>
      <c r="IJ33" s="3">
        <v>-5.8401079999999999</v>
      </c>
      <c r="IK33" s="3">
        <v>-5.8377549999999996</v>
      </c>
      <c r="IL33" s="3">
        <v>-5.8353669999999997</v>
      </c>
      <c r="IM33" s="3">
        <v>-5.832992</v>
      </c>
      <c r="IN33" s="3">
        <v>-5.8306180000000003</v>
      </c>
      <c r="IO33" s="3">
        <v>-5.8282530000000001</v>
      </c>
      <c r="IP33" s="3">
        <v>-5.8258669999999997</v>
      </c>
      <c r="IQ33" s="3">
        <v>-5.823512</v>
      </c>
      <c r="IR33" s="3">
        <v>-5.8211349999999999</v>
      </c>
      <c r="IS33" s="3">
        <v>-5.8187559999999996</v>
      </c>
      <c r="IT33" s="3">
        <v>-5.8163989999999997</v>
      </c>
      <c r="IU33" s="3">
        <v>-5.8140229999999997</v>
      </c>
      <c r="IV33" s="3">
        <v>-5.8116539999999999</v>
      </c>
      <c r="IW33" s="3">
        <v>-5.8092920000000001</v>
      </c>
      <c r="IX33" s="3">
        <v>-5.8068920000000004</v>
      </c>
      <c r="IY33" s="3">
        <v>-5.804513</v>
      </c>
      <c r="IZ33" s="3">
        <v>-5.8021200000000004</v>
      </c>
      <c r="JA33" s="3">
        <v>-5.7997449999999997</v>
      </c>
      <c r="JB33" s="3">
        <v>-5.7973590000000002</v>
      </c>
      <c r="JC33" s="3">
        <v>-5.7949840000000004</v>
      </c>
      <c r="JD33" s="3">
        <v>-5.7926120000000001</v>
      </c>
      <c r="JE33" s="3">
        <v>-5.7902079999999998</v>
      </c>
      <c r="JF33" s="3">
        <v>-5.7878470000000002</v>
      </c>
      <c r="JG33" s="3">
        <v>-5.7854789999999996</v>
      </c>
      <c r="JH33" s="3">
        <v>-5.7831349999999997</v>
      </c>
      <c r="JI33" s="3">
        <v>-5.7807510000000004</v>
      </c>
      <c r="JJ33" s="3">
        <v>-5.7783819999999997</v>
      </c>
      <c r="JK33" s="3">
        <v>-5.7759929999999997</v>
      </c>
      <c r="JL33" s="3">
        <v>-5.7735960000000004</v>
      </c>
      <c r="JM33" s="3">
        <v>-5.7712459999999997</v>
      </c>
      <c r="JN33" s="3">
        <v>-5.7688540000000001</v>
      </c>
      <c r="JO33" s="3">
        <v>-5.7664530000000003</v>
      </c>
      <c r="JP33" s="3">
        <v>-5.7640640000000003</v>
      </c>
      <c r="JQ33" s="3">
        <v>-5.7616740000000002</v>
      </c>
      <c r="JR33" s="3">
        <v>-5.7592759999999998</v>
      </c>
      <c r="JS33" s="3">
        <v>-5.7568789999999996</v>
      </c>
      <c r="JT33" s="3">
        <v>-5.754486</v>
      </c>
      <c r="JU33" s="3">
        <v>-5.7520870000000004</v>
      </c>
      <c r="JV33" s="3">
        <v>-5.7496900000000002</v>
      </c>
      <c r="JW33" s="3">
        <v>-5.7472989999999999</v>
      </c>
      <c r="JX33" s="3">
        <v>-5.7449050000000002</v>
      </c>
      <c r="JY33" s="3">
        <v>-5.7425189999999997</v>
      </c>
      <c r="JZ33" s="3">
        <v>-5.7401330000000002</v>
      </c>
      <c r="KA33" s="3">
        <v>-5.73773</v>
      </c>
      <c r="KB33" s="3">
        <v>-5.735322</v>
      </c>
      <c r="KC33" s="3">
        <v>-5.7329309999999998</v>
      </c>
      <c r="KD33" s="3">
        <v>-5.730524</v>
      </c>
      <c r="KE33" s="3">
        <v>-5.7281060000000004</v>
      </c>
      <c r="KF33" s="3">
        <v>-5.7257059999999997</v>
      </c>
      <c r="KG33" s="3">
        <v>-5.7233029999999996</v>
      </c>
      <c r="KH33" s="3">
        <v>-5.7208860000000001</v>
      </c>
      <c r="KI33" s="3">
        <v>-5.7184879999999998</v>
      </c>
      <c r="KJ33" s="3">
        <v>-5.7160669999999998</v>
      </c>
      <c r="KK33" s="3">
        <v>-5.7136690000000003</v>
      </c>
      <c r="KL33" s="3">
        <v>-5.7112590000000001</v>
      </c>
      <c r="KM33" s="3">
        <v>-5.7088419999999998</v>
      </c>
      <c r="KN33" s="3">
        <v>-5.7064240000000002</v>
      </c>
      <c r="KO33" s="3">
        <v>-5.7040160000000002</v>
      </c>
      <c r="KP33" s="3">
        <v>-5.701587</v>
      </c>
      <c r="KQ33" s="3">
        <v>-5.6991639999999997</v>
      </c>
      <c r="KR33" s="3">
        <v>-5.6967549999999996</v>
      </c>
      <c r="KS33" s="3">
        <v>-5.6943400000000004</v>
      </c>
      <c r="KT33" s="3">
        <v>-5.6919190000000004</v>
      </c>
      <c r="KU33" s="3">
        <v>-5.6895110000000004</v>
      </c>
      <c r="KV33" s="3">
        <v>-5.6870700000000003</v>
      </c>
      <c r="KW33" s="3">
        <v>-5.6846810000000003</v>
      </c>
      <c r="KX33" s="3">
        <v>-5.6822489999999997</v>
      </c>
      <c r="KY33" s="3">
        <v>-5.6798229999999998</v>
      </c>
      <c r="KZ33" s="3">
        <v>-5.6774389999999997</v>
      </c>
      <c r="LA33" s="3">
        <v>-5.675014</v>
      </c>
      <c r="LB33" s="3">
        <v>-5.6726010000000002</v>
      </c>
      <c r="LC33" s="3">
        <v>-5.670166</v>
      </c>
      <c r="LD33" s="3">
        <v>-5.6677400000000002</v>
      </c>
      <c r="LE33" s="3">
        <v>-5.6653390000000003</v>
      </c>
      <c r="LF33" s="3">
        <v>-5.6629079999999998</v>
      </c>
      <c r="LG33" s="3">
        <v>-5.6604970000000003</v>
      </c>
      <c r="LH33" s="3">
        <v>-5.6580709999999996</v>
      </c>
      <c r="LI33" s="3">
        <v>-5.6556439999999997</v>
      </c>
      <c r="LJ33" s="3">
        <v>-5.6532299999999998</v>
      </c>
      <c r="LK33" s="3">
        <v>-5.6507949999999996</v>
      </c>
      <c r="LL33" s="3">
        <v>-5.6483759999999998</v>
      </c>
      <c r="LM33" s="3">
        <v>-5.6459450000000002</v>
      </c>
      <c r="LN33" s="3">
        <v>-5.6435240000000002</v>
      </c>
      <c r="LO33" s="3">
        <v>-5.6410920000000004</v>
      </c>
      <c r="LP33" s="3">
        <v>-5.6386609999999999</v>
      </c>
      <c r="LQ33" s="3">
        <v>-5.636234</v>
      </c>
      <c r="LR33" s="3">
        <v>-5.6337950000000001</v>
      </c>
      <c r="LS33" s="3">
        <v>-5.6313719999999998</v>
      </c>
      <c r="LT33" s="3">
        <v>-5.6289429999999996</v>
      </c>
      <c r="LU33" s="3">
        <v>-5.6265049999999999</v>
      </c>
      <c r="LV33" s="3">
        <v>-5.6240779999999999</v>
      </c>
      <c r="LW33" s="3">
        <v>-5.6216419999999996</v>
      </c>
      <c r="LX33" s="3">
        <v>-5.6192130000000002</v>
      </c>
      <c r="LY33" s="3">
        <v>-5.616771</v>
      </c>
      <c r="LZ33" s="3">
        <v>-5.6143539999999996</v>
      </c>
      <c r="MA33" s="3">
        <v>-5.6119089999999998</v>
      </c>
      <c r="MB33" s="3">
        <v>-5.6094780000000002</v>
      </c>
      <c r="MC33" s="3">
        <v>-5.6070450000000003</v>
      </c>
      <c r="MD33" s="3">
        <v>-5.6045999999999996</v>
      </c>
      <c r="ME33" s="3">
        <v>-5.602176</v>
      </c>
      <c r="MF33" s="3">
        <v>-5.599736</v>
      </c>
      <c r="MG33" s="3">
        <v>-5.5972879999999998</v>
      </c>
      <c r="MH33" s="3">
        <v>-5.5948539999999998</v>
      </c>
      <c r="MI33" s="3">
        <v>-5.592403</v>
      </c>
      <c r="MJ33" s="3">
        <v>-5.5899720000000004</v>
      </c>
      <c r="MK33" s="3">
        <v>-5.5875180000000002</v>
      </c>
      <c r="ML33" s="3">
        <v>-5.585083</v>
      </c>
      <c r="MM33" s="3">
        <v>-5.5826279999999997</v>
      </c>
      <c r="MN33" s="3">
        <v>-5.5801790000000002</v>
      </c>
      <c r="MO33" s="3">
        <v>-5.577744</v>
      </c>
      <c r="MP33" s="3">
        <v>-5.575285</v>
      </c>
      <c r="MQ33" s="3">
        <v>-5.5728470000000003</v>
      </c>
      <c r="MR33" s="3">
        <v>-5.5703950000000004</v>
      </c>
      <c r="MS33" s="3">
        <v>-5.5679429999999996</v>
      </c>
      <c r="MT33" s="3">
        <v>-5.5655070000000002</v>
      </c>
      <c r="MU33" t="s">
        <v>501</v>
      </c>
      <c r="MV33" t="b">
        <v>0</v>
      </c>
      <c r="MW33" t="s">
        <v>377</v>
      </c>
      <c r="MX33" t="s">
        <v>377</v>
      </c>
      <c r="MY33">
        <v>2024</v>
      </c>
      <c r="MZ33">
        <v>4</v>
      </c>
      <c r="NA33" t="s">
        <v>377</v>
      </c>
      <c r="NB33" s="1" t="s">
        <v>502</v>
      </c>
      <c r="NC33" t="s">
        <v>377</v>
      </c>
      <c r="ND33" t="s">
        <v>389</v>
      </c>
      <c r="NE33" t="s">
        <v>500</v>
      </c>
      <c r="NF33" s="1" t="s">
        <v>455</v>
      </c>
    </row>
    <row r="34" spans="1:370" x14ac:dyDescent="0.25">
      <c r="A34" t="s">
        <v>370</v>
      </c>
      <c r="B34" t="s">
        <v>371</v>
      </c>
      <c r="C34" s="1" t="s">
        <v>525</v>
      </c>
      <c r="D34" t="s">
        <v>372</v>
      </c>
      <c r="E34" t="s">
        <v>373</v>
      </c>
      <c r="F34" t="s">
        <v>374</v>
      </c>
      <c r="G34" s="2">
        <v>247921</v>
      </c>
      <c r="H34" s="2">
        <v>248384</v>
      </c>
      <c r="I34" s="2">
        <v>246082</v>
      </c>
      <c r="J34" s="2">
        <v>245140</v>
      </c>
      <c r="K34" s="2">
        <v>238319</v>
      </c>
      <c r="L34" s="2">
        <v>241752</v>
      </c>
      <c r="M34" s="2">
        <v>243197</v>
      </c>
      <c r="N34" s="2">
        <v>239612</v>
      </c>
      <c r="O34" s="2">
        <v>239702</v>
      </c>
      <c r="P34" s="2">
        <v>235807</v>
      </c>
      <c r="Q34" s="2">
        <v>235105</v>
      </c>
      <c r="R34" s="2">
        <v>237747</v>
      </c>
      <c r="S34" s="2">
        <v>241709</v>
      </c>
      <c r="T34" s="2">
        <v>241380</v>
      </c>
      <c r="U34" s="2">
        <v>244367</v>
      </c>
      <c r="V34" s="2">
        <v>249511</v>
      </c>
      <c r="W34" s="2">
        <v>249671</v>
      </c>
      <c r="X34" s="2">
        <v>247936</v>
      </c>
      <c r="Y34" s="2">
        <v>249578</v>
      </c>
      <c r="Z34" s="2">
        <v>253819</v>
      </c>
      <c r="AA34" s="2">
        <v>256193</v>
      </c>
      <c r="AB34" s="2">
        <v>259127</v>
      </c>
      <c r="AC34" s="2">
        <v>262661</v>
      </c>
      <c r="AD34" s="2">
        <v>264972</v>
      </c>
      <c r="AE34" s="2">
        <v>264185</v>
      </c>
      <c r="AF34" s="2">
        <v>275695</v>
      </c>
      <c r="AG34" s="2">
        <v>269599</v>
      </c>
      <c r="AH34" s="2">
        <v>272359</v>
      </c>
      <c r="AI34" s="2">
        <v>269776</v>
      </c>
      <c r="AJ34" s="2">
        <v>264448</v>
      </c>
      <c r="AK34" s="2">
        <v>264139</v>
      </c>
      <c r="AL34" s="2">
        <v>261297</v>
      </c>
      <c r="AM34" s="2">
        <v>261131</v>
      </c>
      <c r="AN34" s="2">
        <v>261739</v>
      </c>
      <c r="AO34" s="2">
        <v>264602</v>
      </c>
      <c r="AP34" s="2">
        <v>264902</v>
      </c>
      <c r="AQ34" s="2">
        <v>265408</v>
      </c>
      <c r="AR34" s="2">
        <v>268196</v>
      </c>
      <c r="AS34" s="2">
        <v>268798</v>
      </c>
      <c r="AT34" s="2">
        <v>270653</v>
      </c>
      <c r="AU34" s="2">
        <v>275877</v>
      </c>
      <c r="AV34" s="2">
        <v>277790</v>
      </c>
      <c r="AW34" s="2">
        <v>280996</v>
      </c>
      <c r="AX34" s="2">
        <v>283096</v>
      </c>
      <c r="AY34" s="2">
        <v>285469</v>
      </c>
      <c r="AZ34" s="2">
        <v>282605</v>
      </c>
      <c r="BA34" s="2">
        <v>284676</v>
      </c>
      <c r="BB34" s="2">
        <v>289829</v>
      </c>
      <c r="BC34" s="2">
        <v>292612</v>
      </c>
      <c r="BD34" s="2">
        <v>298873</v>
      </c>
      <c r="BE34" s="2">
        <v>298814</v>
      </c>
      <c r="BF34" s="2">
        <v>298979</v>
      </c>
      <c r="BG34" s="2">
        <v>302117</v>
      </c>
      <c r="BH34" s="2">
        <v>304797</v>
      </c>
      <c r="BI34" s="2">
        <v>306708</v>
      </c>
      <c r="BJ34" s="2">
        <v>312615</v>
      </c>
      <c r="BK34" s="2">
        <v>314804</v>
      </c>
      <c r="BL34" s="2">
        <v>319478</v>
      </c>
      <c r="BM34" s="2">
        <v>327346</v>
      </c>
      <c r="BN34" s="2">
        <v>331075</v>
      </c>
      <c r="BO34" s="2">
        <v>336442</v>
      </c>
      <c r="BP34" s="2">
        <v>338186</v>
      </c>
      <c r="BQ34" s="2">
        <v>342414</v>
      </c>
      <c r="BR34" s="2">
        <v>345162</v>
      </c>
      <c r="BS34" s="2">
        <v>346836</v>
      </c>
      <c r="BT34" s="2">
        <v>348997</v>
      </c>
      <c r="BU34" s="2">
        <v>349572</v>
      </c>
      <c r="BV34" s="2">
        <v>349523</v>
      </c>
      <c r="BW34" s="2">
        <v>351299</v>
      </c>
      <c r="BX34" s="2">
        <v>353663</v>
      </c>
      <c r="BY34" s="2">
        <v>349780</v>
      </c>
      <c r="BZ34" s="2">
        <v>348006</v>
      </c>
      <c r="CA34" s="2">
        <v>346292</v>
      </c>
      <c r="CB34" s="2">
        <v>345892</v>
      </c>
      <c r="CC34" s="2">
        <v>345216</v>
      </c>
      <c r="CD34" s="2">
        <v>345643</v>
      </c>
      <c r="CE34" s="2">
        <v>345523</v>
      </c>
      <c r="CF34" s="2">
        <v>344987</v>
      </c>
      <c r="CG34" s="2">
        <v>346628</v>
      </c>
      <c r="CH34" s="2">
        <v>349299</v>
      </c>
      <c r="CI34" s="2">
        <v>351046</v>
      </c>
      <c r="CJ34" s="2">
        <v>352612</v>
      </c>
      <c r="CK34" s="2">
        <v>355841</v>
      </c>
      <c r="CL34" s="2">
        <v>358264</v>
      </c>
      <c r="CM34" s="2">
        <v>361793</v>
      </c>
      <c r="CN34" s="2">
        <v>365109</v>
      </c>
      <c r="CO34" s="2">
        <v>368798</v>
      </c>
      <c r="CP34" s="2">
        <v>370401</v>
      </c>
      <c r="CQ34" s="2">
        <v>372307</v>
      </c>
      <c r="CR34" s="2">
        <v>373090</v>
      </c>
      <c r="CS34" s="2">
        <v>377249</v>
      </c>
      <c r="CT34" s="2">
        <v>378442</v>
      </c>
      <c r="CU34" s="2">
        <v>380976</v>
      </c>
      <c r="CV34" s="2">
        <v>382146</v>
      </c>
      <c r="CW34" s="2">
        <v>385671</v>
      </c>
      <c r="CX34" s="2">
        <v>391053</v>
      </c>
      <c r="CY34" s="2">
        <v>397303</v>
      </c>
      <c r="CZ34" s="2">
        <v>401790</v>
      </c>
      <c r="DA34" s="2">
        <v>405233</v>
      </c>
      <c r="DB34" s="2">
        <v>411352</v>
      </c>
      <c r="DC34" s="2">
        <v>414377</v>
      </c>
      <c r="DD34" s="2">
        <v>416909</v>
      </c>
      <c r="DE34" s="2">
        <v>418294</v>
      </c>
      <c r="DF34" s="2">
        <v>421074</v>
      </c>
      <c r="DG34" s="2">
        <v>423875</v>
      </c>
      <c r="DH34" s="2">
        <v>425920</v>
      </c>
      <c r="DI34" s="2">
        <v>432860</v>
      </c>
      <c r="DJ34" s="2">
        <v>439093</v>
      </c>
      <c r="DK34" s="2">
        <v>444540</v>
      </c>
      <c r="DL34" s="2">
        <v>447825</v>
      </c>
      <c r="DM34" s="2">
        <v>450688</v>
      </c>
      <c r="DN34" s="2">
        <v>453447</v>
      </c>
      <c r="DO34" s="2">
        <v>457680</v>
      </c>
      <c r="DP34" s="2">
        <v>459620</v>
      </c>
      <c r="DQ34" s="2">
        <v>462016</v>
      </c>
      <c r="DR34" s="2">
        <v>463404</v>
      </c>
      <c r="DS34" s="2">
        <v>464698</v>
      </c>
      <c r="DT34" s="2">
        <v>466935</v>
      </c>
      <c r="DU34" s="2">
        <v>470277</v>
      </c>
      <c r="DV34" s="2">
        <v>473899</v>
      </c>
      <c r="DW34" s="2">
        <v>477357</v>
      </c>
      <c r="DX34" s="2">
        <v>481552</v>
      </c>
      <c r="DY34" s="2">
        <v>485973</v>
      </c>
      <c r="DZ34" s="2">
        <v>490059</v>
      </c>
      <c r="EA34" s="2">
        <v>492014</v>
      </c>
      <c r="EB34" s="2">
        <v>494824</v>
      </c>
      <c r="EC34" s="2">
        <v>496642</v>
      </c>
      <c r="ED34" s="2">
        <v>499020</v>
      </c>
      <c r="EE34" s="2">
        <v>502702</v>
      </c>
      <c r="EF34" s="2">
        <v>506906</v>
      </c>
      <c r="EG34" s="2">
        <v>511132</v>
      </c>
      <c r="EH34" s="2">
        <v>515935</v>
      </c>
      <c r="EI34" s="2">
        <v>518495</v>
      </c>
      <c r="EJ34" s="2">
        <v>520318</v>
      </c>
      <c r="EK34" s="2">
        <v>521780</v>
      </c>
      <c r="EL34" s="2">
        <v>524569</v>
      </c>
      <c r="EM34" s="2">
        <v>529398</v>
      </c>
      <c r="EN34" s="2">
        <v>533187</v>
      </c>
      <c r="EO34" s="2">
        <v>537052</v>
      </c>
      <c r="EP34" s="2">
        <v>540258</v>
      </c>
      <c r="EQ34" s="2">
        <v>542804</v>
      </c>
      <c r="ER34" s="2">
        <v>539918</v>
      </c>
      <c r="ES34" s="2">
        <v>531619</v>
      </c>
      <c r="ET34" s="2">
        <v>520230</v>
      </c>
      <c r="EU34" s="2">
        <v>509646</v>
      </c>
      <c r="EV34" s="2">
        <v>508009</v>
      </c>
      <c r="EW34" s="2">
        <v>508398</v>
      </c>
      <c r="EX34" s="2">
        <v>509889</v>
      </c>
      <c r="EY34" s="2">
        <v>514595</v>
      </c>
      <c r="EZ34" s="2">
        <v>520128</v>
      </c>
      <c r="FA34" s="2">
        <v>523173</v>
      </c>
      <c r="FB34" s="2">
        <v>523515</v>
      </c>
      <c r="FC34" s="2">
        <v>524955</v>
      </c>
      <c r="FD34" s="2">
        <v>525418</v>
      </c>
      <c r="FE34" s="2">
        <v>527034</v>
      </c>
      <c r="FF34" s="2">
        <v>527698</v>
      </c>
      <c r="FG34" s="2">
        <v>532300</v>
      </c>
      <c r="FH34" s="2">
        <v>531663</v>
      </c>
      <c r="FI34" s="2">
        <v>536720</v>
      </c>
      <c r="FJ34" s="2">
        <v>536188</v>
      </c>
      <c r="FK34" s="2">
        <v>537974</v>
      </c>
      <c r="FL34" s="2">
        <v>541586</v>
      </c>
      <c r="FM34" s="2">
        <v>546064</v>
      </c>
      <c r="FN34" s="2">
        <v>549709</v>
      </c>
      <c r="FO34" s="2">
        <v>554183</v>
      </c>
      <c r="FP34" s="2">
        <v>559331</v>
      </c>
      <c r="FQ34" s="2">
        <v>563694</v>
      </c>
      <c r="FR34" s="2">
        <v>567619</v>
      </c>
      <c r="FS34" s="2">
        <v>569150</v>
      </c>
      <c r="FT34" s="2">
        <v>572673</v>
      </c>
      <c r="FU34" s="2">
        <v>574836</v>
      </c>
      <c r="FV34" s="2">
        <v>578068</v>
      </c>
      <c r="FW34" s="2">
        <v>580110</v>
      </c>
      <c r="FX34" s="2">
        <v>583383</v>
      </c>
      <c r="FY34" s="2">
        <v>585856</v>
      </c>
      <c r="FZ34" s="2">
        <v>589476</v>
      </c>
      <c r="GA34" s="2">
        <v>594423</v>
      </c>
      <c r="GB34" s="2">
        <v>598176</v>
      </c>
      <c r="GC34" s="2">
        <v>601961</v>
      </c>
      <c r="GD34" s="2">
        <v>606396</v>
      </c>
      <c r="GE34" s="2">
        <v>606785</v>
      </c>
      <c r="GF34" s="2">
        <v>607775</v>
      </c>
      <c r="GG34" s="2">
        <v>609653</v>
      </c>
      <c r="GH34" s="2">
        <v>610481</v>
      </c>
      <c r="GI34" s="2">
        <v>614936</v>
      </c>
      <c r="GJ34" s="2">
        <v>616853</v>
      </c>
      <c r="GK34" s="2">
        <v>621227</v>
      </c>
      <c r="GL34" s="2">
        <v>621229</v>
      </c>
      <c r="GM34" s="2">
        <v>604719</v>
      </c>
      <c r="GN34" s="2">
        <v>481769</v>
      </c>
      <c r="GO34" s="2">
        <v>562648</v>
      </c>
      <c r="GP34" s="2">
        <v>570338</v>
      </c>
      <c r="GQ34" s="2">
        <v>564411</v>
      </c>
      <c r="GR34" s="2">
        <v>605353</v>
      </c>
      <c r="GS34" s="2">
        <v>615459</v>
      </c>
      <c r="GT34" s="2">
        <v>624592</v>
      </c>
      <c r="GU34" s="2">
        <v>629149</v>
      </c>
      <c r="GV34" s="2">
        <v>631258</v>
      </c>
      <c r="GW34" s="2">
        <v>631977</v>
      </c>
      <c r="GX34" s="2">
        <v>634044</v>
      </c>
      <c r="GY34" s="2">
        <v>634807</v>
      </c>
      <c r="GZ34" s="2">
        <v>634866</v>
      </c>
      <c r="HA34" s="2">
        <v>634052</v>
      </c>
      <c r="HB34" s="2">
        <v>632365</v>
      </c>
      <c r="HC34" s="2">
        <v>637729</v>
      </c>
      <c r="HD34" s="2">
        <v>640592</v>
      </c>
      <c r="HE34" s="2">
        <v>640417</v>
      </c>
      <c r="HF34" s="2">
        <v>641065</v>
      </c>
      <c r="HG34" s="3">
        <v>643013.5</v>
      </c>
      <c r="HH34" s="3">
        <v>645036.80000000005</v>
      </c>
      <c r="HI34" s="3">
        <v>647093.9</v>
      </c>
      <c r="HJ34" s="3">
        <v>649337.30000000005</v>
      </c>
      <c r="HK34" s="3">
        <v>651902.6</v>
      </c>
      <c r="HL34" s="3">
        <v>654217.69999999995</v>
      </c>
      <c r="HM34" s="3">
        <v>656769.30000000005</v>
      </c>
      <c r="HN34" s="3">
        <v>659363.1</v>
      </c>
      <c r="HO34" s="3">
        <v>662033.6</v>
      </c>
      <c r="HP34" s="3">
        <v>664864.1</v>
      </c>
      <c r="HQ34" s="3">
        <v>667889</v>
      </c>
      <c r="HR34" s="3">
        <v>670961.30000000005</v>
      </c>
      <c r="HS34" s="3">
        <v>674047.8</v>
      </c>
      <c r="HT34" s="3">
        <v>677181.9</v>
      </c>
      <c r="HU34" s="3">
        <v>680229.3</v>
      </c>
      <c r="HV34" s="3">
        <v>683188.4</v>
      </c>
      <c r="HW34" s="3">
        <v>685989.4</v>
      </c>
      <c r="HX34" s="3">
        <v>688699.1</v>
      </c>
      <c r="HY34" s="3">
        <v>691316.1</v>
      </c>
      <c r="HZ34" s="3">
        <v>694081.4</v>
      </c>
      <c r="IA34" s="3">
        <v>696857.7</v>
      </c>
      <c r="IB34" s="3">
        <v>699645.1</v>
      </c>
      <c r="IC34" s="3">
        <v>702443.7</v>
      </c>
      <c r="ID34" s="3">
        <v>705218.4</v>
      </c>
      <c r="IE34" s="3">
        <v>708004</v>
      </c>
      <c r="IF34" s="3">
        <v>710836</v>
      </c>
      <c r="IG34" s="3">
        <v>713608.3</v>
      </c>
      <c r="IH34" s="3">
        <v>716391.3</v>
      </c>
      <c r="II34" s="3">
        <v>719185.3</v>
      </c>
      <c r="IJ34" s="3">
        <v>721990.1</v>
      </c>
      <c r="IK34" s="3">
        <v>724841.9</v>
      </c>
      <c r="IL34" s="3">
        <v>727705.1</v>
      </c>
      <c r="IM34" s="3">
        <v>730664.9</v>
      </c>
      <c r="IN34" s="3">
        <v>733518.8</v>
      </c>
      <c r="IO34" s="3">
        <v>736379.1</v>
      </c>
      <c r="IP34" s="3">
        <v>739122.9</v>
      </c>
      <c r="IQ34" s="3">
        <v>741985.3</v>
      </c>
      <c r="IR34" s="3">
        <v>744784.1</v>
      </c>
      <c r="IS34" s="3">
        <v>747578.1</v>
      </c>
      <c r="IT34" s="3">
        <v>750349.7</v>
      </c>
      <c r="IU34" s="3">
        <v>753220.7</v>
      </c>
      <c r="IV34" s="3">
        <v>756101.3</v>
      </c>
      <c r="IW34" s="3">
        <v>758991.1</v>
      </c>
      <c r="IX34" s="3">
        <v>761890.1</v>
      </c>
      <c r="IY34" s="3">
        <v>764864.4</v>
      </c>
      <c r="IZ34" s="3">
        <v>767851.5</v>
      </c>
      <c r="JA34" s="3">
        <v>770851.3</v>
      </c>
      <c r="JB34" s="3">
        <v>773863.8</v>
      </c>
      <c r="JC34" s="3">
        <v>776888.9</v>
      </c>
      <c r="JD34" s="3">
        <v>779926.5</v>
      </c>
      <c r="JE34" s="3">
        <v>782977</v>
      </c>
      <c r="JF34" s="3">
        <v>786040.4</v>
      </c>
      <c r="JG34" s="3">
        <v>789182.1</v>
      </c>
      <c r="JH34" s="3">
        <v>792337.6</v>
      </c>
      <c r="JI34" s="3">
        <v>795507.7</v>
      </c>
      <c r="JJ34" s="3">
        <v>798692.3</v>
      </c>
      <c r="JK34" s="3">
        <v>801891.5</v>
      </c>
      <c r="JL34" s="3">
        <v>805105.1</v>
      </c>
      <c r="JM34" s="3">
        <v>808333.4</v>
      </c>
      <c r="JN34" s="3">
        <v>811576.8</v>
      </c>
      <c r="JO34" s="3">
        <v>814834.9</v>
      </c>
      <c r="JP34" s="3">
        <v>818106.6</v>
      </c>
      <c r="JQ34" s="3">
        <v>821391.8</v>
      </c>
      <c r="JR34" s="3">
        <v>824690.5</v>
      </c>
      <c r="JS34" s="3">
        <v>828075.3</v>
      </c>
      <c r="JT34" s="3">
        <v>831474.8</v>
      </c>
      <c r="JU34" s="3">
        <v>834897.8</v>
      </c>
      <c r="JV34" s="3">
        <v>838335.7</v>
      </c>
      <c r="JW34" s="3">
        <v>841788.5</v>
      </c>
      <c r="JX34" s="3">
        <v>845256.1</v>
      </c>
      <c r="JY34" s="3">
        <v>848667.4</v>
      </c>
      <c r="JZ34" s="3">
        <v>852092.3</v>
      </c>
      <c r="KA34" s="3">
        <v>855530.8</v>
      </c>
      <c r="KB34" s="3">
        <v>858982.9</v>
      </c>
      <c r="KC34" s="3">
        <v>862361.8</v>
      </c>
      <c r="KD34" s="3">
        <v>865752.4</v>
      </c>
      <c r="KE34" s="3">
        <v>869154.6</v>
      </c>
      <c r="KF34" s="3">
        <v>872568.6</v>
      </c>
      <c r="KG34" s="3">
        <v>875833.9</v>
      </c>
      <c r="KH34" s="3">
        <v>879108.3</v>
      </c>
      <c r="KI34" s="3">
        <v>882391.7</v>
      </c>
      <c r="KJ34" s="3">
        <v>885684.3</v>
      </c>
      <c r="KK34" s="3">
        <v>888910.6</v>
      </c>
      <c r="KL34" s="3">
        <v>892144.8</v>
      </c>
      <c r="KM34" s="3">
        <v>895387.1</v>
      </c>
      <c r="KN34" s="3">
        <v>898637.3</v>
      </c>
      <c r="KO34" s="3">
        <v>901892</v>
      </c>
      <c r="KP34" s="3">
        <v>905154.7</v>
      </c>
      <c r="KQ34" s="3">
        <v>908425.6</v>
      </c>
      <c r="KR34" s="3">
        <v>911704.8</v>
      </c>
      <c r="KS34" s="3">
        <v>914937.6</v>
      </c>
      <c r="KT34" s="3">
        <v>918178.1</v>
      </c>
      <c r="KU34" s="3">
        <v>921426.1</v>
      </c>
      <c r="KV34" s="3">
        <v>924681.6</v>
      </c>
      <c r="KW34" s="3">
        <v>927921.4</v>
      </c>
      <c r="KX34" s="3">
        <v>931168.4</v>
      </c>
      <c r="KY34" s="3">
        <v>934422.5</v>
      </c>
      <c r="KZ34" s="3">
        <v>937683.8</v>
      </c>
      <c r="LA34" s="3">
        <v>940878.3</v>
      </c>
      <c r="LB34" s="3">
        <v>944078.7</v>
      </c>
      <c r="LC34" s="3">
        <v>947284.8</v>
      </c>
      <c r="LD34" s="3">
        <v>950496</v>
      </c>
      <c r="LE34" s="3">
        <v>953687.9</v>
      </c>
      <c r="LF34" s="3">
        <v>956884.7</v>
      </c>
      <c r="LG34" s="3">
        <v>960086.9</v>
      </c>
      <c r="LH34" s="3">
        <v>963294.7</v>
      </c>
      <c r="LI34" s="3">
        <v>966470.1</v>
      </c>
      <c r="LJ34" s="3">
        <v>969650.8</v>
      </c>
      <c r="LK34" s="3">
        <v>972836.5</v>
      </c>
      <c r="LL34" s="3">
        <v>976027.3</v>
      </c>
      <c r="LM34" s="3">
        <v>979145.9</v>
      </c>
      <c r="LN34" s="3">
        <v>982268.3</v>
      </c>
      <c r="LO34" s="3">
        <v>985394.3</v>
      </c>
      <c r="LP34" s="3">
        <v>988523.9</v>
      </c>
      <c r="LQ34" s="3">
        <v>991655.8</v>
      </c>
      <c r="LR34" s="3">
        <v>994791.8</v>
      </c>
      <c r="LS34" s="3">
        <v>997931.5</v>
      </c>
      <c r="LT34" s="3">
        <v>1001075</v>
      </c>
      <c r="LU34" s="3">
        <v>1004189</v>
      </c>
      <c r="LV34" s="3">
        <v>1007306</v>
      </c>
      <c r="LW34" s="3">
        <v>1010426</v>
      </c>
      <c r="LX34" s="3">
        <v>1013550</v>
      </c>
      <c r="LY34" s="3">
        <v>1016645</v>
      </c>
      <c r="LZ34" s="3">
        <v>1019742</v>
      </c>
      <c r="MA34" s="3">
        <v>1022842</v>
      </c>
      <c r="MB34" s="3">
        <v>1025946</v>
      </c>
      <c r="MC34" s="3">
        <v>1029050</v>
      </c>
      <c r="MD34" s="3">
        <v>1032157</v>
      </c>
      <c r="ME34" s="3">
        <v>1035268</v>
      </c>
      <c r="MF34" s="3">
        <v>1038381</v>
      </c>
      <c r="MG34" s="3">
        <v>1041522</v>
      </c>
      <c r="MH34" s="3">
        <v>1044667</v>
      </c>
      <c r="MI34" s="3">
        <v>1047816</v>
      </c>
      <c r="MJ34" s="3">
        <v>1050969</v>
      </c>
      <c r="MK34" s="3">
        <v>1054104</v>
      </c>
      <c r="ML34" s="3">
        <v>1057242</v>
      </c>
      <c r="MM34" s="3">
        <v>1060384</v>
      </c>
      <c r="MN34" s="3">
        <v>1063530</v>
      </c>
      <c r="MO34" s="3">
        <v>1066702</v>
      </c>
      <c r="MP34" s="3">
        <v>1069878</v>
      </c>
      <c r="MQ34" s="3">
        <v>1073058</v>
      </c>
      <c r="MR34" s="3">
        <v>1076242</v>
      </c>
      <c r="MS34" s="3">
        <v>1079430</v>
      </c>
      <c r="MT34" s="3">
        <v>1082622</v>
      </c>
      <c r="MU34" t="s">
        <v>375</v>
      </c>
      <c r="MV34" t="b">
        <v>1</v>
      </c>
      <c r="MW34" s="1" t="s">
        <v>376</v>
      </c>
      <c r="MX34" t="s">
        <v>377</v>
      </c>
      <c r="MY34">
        <v>2024</v>
      </c>
      <c r="MZ34">
        <v>4</v>
      </c>
      <c r="NA34" t="s">
        <v>377</v>
      </c>
      <c r="NB34" t="s">
        <v>378</v>
      </c>
      <c r="NC34" s="1" t="s">
        <v>379</v>
      </c>
      <c r="ND34" t="s">
        <v>380</v>
      </c>
      <c r="NE34" t="s">
        <v>381</v>
      </c>
      <c r="NF34" s="1" t="s">
        <v>526</v>
      </c>
    </row>
    <row r="35" spans="1:370" x14ac:dyDescent="0.25">
      <c r="A35" t="s">
        <v>382</v>
      </c>
      <c r="B35" t="s">
        <v>371</v>
      </c>
      <c r="C35" s="1" t="s">
        <v>525</v>
      </c>
      <c r="D35" t="s">
        <v>383</v>
      </c>
      <c r="E35" t="s">
        <v>384</v>
      </c>
      <c r="F35" t="s">
        <v>374</v>
      </c>
      <c r="G35" s="2">
        <v>1514.625</v>
      </c>
      <c r="H35" s="2">
        <v>1531.125</v>
      </c>
      <c r="I35" s="2">
        <v>1523.075</v>
      </c>
      <c r="J35" s="2">
        <v>1537.5250000000001</v>
      </c>
      <c r="K35" s="2">
        <v>1524.325</v>
      </c>
      <c r="L35" s="2">
        <v>1527.95</v>
      </c>
      <c r="M35" s="2">
        <v>1513.5</v>
      </c>
      <c r="N35" s="2">
        <v>1507.625</v>
      </c>
      <c r="O35" s="2">
        <v>1489.25</v>
      </c>
      <c r="P35" s="2">
        <v>1499.9</v>
      </c>
      <c r="Q35" s="2">
        <v>1525.575</v>
      </c>
      <c r="R35" s="2">
        <v>1546.125</v>
      </c>
      <c r="S35" s="2">
        <v>1580.9</v>
      </c>
      <c r="T35" s="2">
        <v>1592.5</v>
      </c>
      <c r="U35" s="2">
        <v>1601.2249999999999</v>
      </c>
      <c r="V35" s="2">
        <v>1612.8</v>
      </c>
      <c r="W35" s="2">
        <v>1631.925</v>
      </c>
      <c r="X35" s="2">
        <v>1663.625</v>
      </c>
      <c r="Y35" s="2">
        <v>1693.625</v>
      </c>
      <c r="Z35" s="2">
        <v>1693.65</v>
      </c>
      <c r="AA35" s="2">
        <v>1699.075</v>
      </c>
      <c r="AB35" s="2">
        <v>1764.7249999999999</v>
      </c>
      <c r="AC35" s="2">
        <v>1782.4749999999999</v>
      </c>
      <c r="AD35" s="2">
        <v>1806.45</v>
      </c>
      <c r="AE35" s="2">
        <v>1809.675</v>
      </c>
      <c r="AF35" s="2">
        <v>1811.625</v>
      </c>
      <c r="AG35" s="2">
        <v>1825.075</v>
      </c>
      <c r="AH35" s="2">
        <v>1829.625</v>
      </c>
      <c r="AI35" s="2">
        <v>1835.4</v>
      </c>
      <c r="AJ35" s="2">
        <v>1797.575</v>
      </c>
      <c r="AK35" s="2">
        <v>1795.425</v>
      </c>
      <c r="AL35" s="2">
        <v>1828.925</v>
      </c>
      <c r="AM35" s="2">
        <v>1864.75</v>
      </c>
      <c r="AN35" s="2">
        <v>1850.925</v>
      </c>
      <c r="AO35" s="2">
        <v>1873.1</v>
      </c>
      <c r="AP35" s="2">
        <v>1852.7</v>
      </c>
      <c r="AQ35" s="2">
        <v>1823.9</v>
      </c>
      <c r="AR35" s="2">
        <v>1832.2249999999999</v>
      </c>
      <c r="AS35" s="2">
        <v>1825.2249999999999</v>
      </c>
      <c r="AT35" s="2">
        <v>1825.95</v>
      </c>
      <c r="AU35" s="2">
        <v>1850.0250000000001</v>
      </c>
      <c r="AV35" s="2">
        <v>1892.125</v>
      </c>
      <c r="AW35" s="2">
        <v>1929.925</v>
      </c>
      <c r="AX35" s="2">
        <v>1970.2</v>
      </c>
      <c r="AY35" s="2">
        <v>2008.7</v>
      </c>
      <c r="AZ35" s="2">
        <v>2043.425</v>
      </c>
      <c r="BA35" s="2">
        <v>2063.125</v>
      </c>
      <c r="BB35" s="2">
        <v>2080.0500000000002</v>
      </c>
      <c r="BC35" s="2">
        <v>2100.1999999999998</v>
      </c>
      <c r="BD35" s="2">
        <v>2118.6999999999998</v>
      </c>
      <c r="BE35" s="2">
        <v>2151.0500000000002</v>
      </c>
      <c r="BF35" s="2">
        <v>2167.0500000000002</v>
      </c>
      <c r="BG35" s="2">
        <v>2187.2750000000001</v>
      </c>
      <c r="BH35" s="2">
        <v>2197.125</v>
      </c>
      <c r="BI35" s="2">
        <v>2218.15</v>
      </c>
      <c r="BJ35" s="2">
        <v>2230.0500000000002</v>
      </c>
      <c r="BK35" s="2">
        <v>2246.6</v>
      </c>
      <c r="BL35" s="2">
        <v>2270.8249999999998</v>
      </c>
      <c r="BM35" s="2">
        <v>2290.5</v>
      </c>
      <c r="BN35" s="2">
        <v>2329.8249999999998</v>
      </c>
      <c r="BO35" s="2">
        <v>2341.875</v>
      </c>
      <c r="BP35" s="2">
        <v>2372.65</v>
      </c>
      <c r="BQ35" s="2">
        <v>2386.5500000000002</v>
      </c>
      <c r="BR35" s="2">
        <v>2418.35</v>
      </c>
      <c r="BS35" s="2">
        <v>2442.9250000000002</v>
      </c>
      <c r="BT35" s="2">
        <v>2461.5749999999998</v>
      </c>
      <c r="BU35" s="2">
        <v>2479.8000000000002</v>
      </c>
      <c r="BV35" s="2">
        <v>2484.6999999999998</v>
      </c>
      <c r="BW35" s="2">
        <v>2511.85</v>
      </c>
      <c r="BX35" s="2">
        <v>2520.9749999999999</v>
      </c>
      <c r="BY35" s="2">
        <v>2522.65</v>
      </c>
      <c r="BZ35" s="2">
        <v>2499.6750000000002</v>
      </c>
      <c r="CA35" s="2">
        <v>2487.9749999999999</v>
      </c>
      <c r="CB35" s="2">
        <v>2507.375</v>
      </c>
      <c r="CC35" s="2">
        <v>2520.0500000000002</v>
      </c>
      <c r="CD35" s="2">
        <v>2528.8249999999998</v>
      </c>
      <c r="CE35" s="2">
        <v>2559.1</v>
      </c>
      <c r="CF35" s="2">
        <v>2586.85</v>
      </c>
      <c r="CG35" s="2">
        <v>2612.4250000000002</v>
      </c>
      <c r="CH35" s="2">
        <v>2639.65</v>
      </c>
      <c r="CI35" s="2">
        <v>2644.0749999999998</v>
      </c>
      <c r="CJ35" s="2">
        <v>2659.45</v>
      </c>
      <c r="CK35" s="2">
        <v>2672.15</v>
      </c>
      <c r="CL35" s="2">
        <v>2708.5</v>
      </c>
      <c r="CM35" s="2">
        <v>2734.7750000000001</v>
      </c>
      <c r="CN35" s="2">
        <v>2771.85</v>
      </c>
      <c r="CO35" s="2">
        <v>2788.05</v>
      </c>
      <c r="CP35" s="2">
        <v>2819.9749999999999</v>
      </c>
      <c r="CQ35" s="2">
        <v>2830</v>
      </c>
      <c r="CR35" s="2">
        <v>2838.4250000000002</v>
      </c>
      <c r="CS35" s="2">
        <v>2862.5749999999998</v>
      </c>
      <c r="CT35" s="2">
        <v>2882.0250000000001</v>
      </c>
      <c r="CU35" s="2">
        <v>2903.6</v>
      </c>
      <c r="CV35" s="2">
        <v>2952.0250000000001</v>
      </c>
      <c r="CW35" s="2">
        <v>2978.5250000000001</v>
      </c>
      <c r="CX35" s="2">
        <v>3009.45</v>
      </c>
      <c r="CY35" s="2">
        <v>3028.875</v>
      </c>
      <c r="CZ35" s="2">
        <v>3079.3</v>
      </c>
      <c r="DA35" s="2">
        <v>3117.75</v>
      </c>
      <c r="DB35" s="2">
        <v>3144.375</v>
      </c>
      <c r="DC35" s="2">
        <v>3175.9250000000002</v>
      </c>
      <c r="DD35" s="2">
        <v>3205.3249999999998</v>
      </c>
      <c r="DE35" s="2">
        <v>3245.7</v>
      </c>
      <c r="DF35" s="2">
        <v>3297.9250000000002</v>
      </c>
      <c r="DG35" s="2">
        <v>3328.9</v>
      </c>
      <c r="DH35" s="2">
        <v>3356.6750000000002</v>
      </c>
      <c r="DI35" s="2">
        <v>3401.2</v>
      </c>
      <c r="DJ35" s="2">
        <v>3457</v>
      </c>
      <c r="DK35" s="2">
        <v>3469.5250000000001</v>
      </c>
      <c r="DL35" s="2">
        <v>3532.7249999999999</v>
      </c>
      <c r="DM35" s="2">
        <v>3536.3249999999998</v>
      </c>
      <c r="DN35" s="2">
        <v>3557.45</v>
      </c>
      <c r="DO35" s="2">
        <v>3545.7750000000001</v>
      </c>
      <c r="DP35" s="2">
        <v>3567.9250000000002</v>
      </c>
      <c r="DQ35" s="2">
        <v>3553.625</v>
      </c>
      <c r="DR35" s="2">
        <v>3563.4</v>
      </c>
      <c r="DS35" s="2">
        <v>3593.2</v>
      </c>
      <c r="DT35" s="2">
        <v>3615.2</v>
      </c>
      <c r="DU35" s="2">
        <v>3629.9</v>
      </c>
      <c r="DV35" s="2">
        <v>3634.4</v>
      </c>
      <c r="DW35" s="2">
        <v>3653.5250000000001</v>
      </c>
      <c r="DX35" s="2">
        <v>3685.9</v>
      </c>
      <c r="DY35" s="2">
        <v>3747.2</v>
      </c>
      <c r="DZ35" s="2">
        <v>3790.7</v>
      </c>
      <c r="EA35" s="2">
        <v>3812.1750000000002</v>
      </c>
      <c r="EB35" s="2">
        <v>3841.7249999999999</v>
      </c>
      <c r="EC35" s="2">
        <v>3878.15</v>
      </c>
      <c r="ED35" s="2">
        <v>3917.7249999999999</v>
      </c>
      <c r="EE35" s="2">
        <v>3961.1750000000002</v>
      </c>
      <c r="EF35" s="2">
        <v>3980.7</v>
      </c>
      <c r="EG35" s="2">
        <v>4011.9</v>
      </c>
      <c r="EH35" s="2">
        <v>4034.1750000000002</v>
      </c>
      <c r="EI35" s="2">
        <v>4088.45</v>
      </c>
      <c r="EJ35" s="2">
        <v>4099.05</v>
      </c>
      <c r="EK35" s="2">
        <v>4105.1750000000002</v>
      </c>
      <c r="EL35" s="2">
        <v>4140.4750000000004</v>
      </c>
      <c r="EM35" s="2">
        <v>4152.9250000000002</v>
      </c>
      <c r="EN35" s="2">
        <v>4178.3249999999998</v>
      </c>
      <c r="EO35" s="2">
        <v>4202.3999999999996</v>
      </c>
      <c r="EP35" s="2">
        <v>4228.8</v>
      </c>
      <c r="EQ35" s="2">
        <v>4210.75</v>
      </c>
      <c r="ER35" s="2">
        <v>4235.8249999999998</v>
      </c>
      <c r="ES35" s="2">
        <v>4213.5749999999998</v>
      </c>
      <c r="ET35" s="2">
        <v>4121.3500000000004</v>
      </c>
      <c r="EU35" s="2">
        <v>4074.5749999999998</v>
      </c>
      <c r="EV35" s="2">
        <v>4067.2750000000001</v>
      </c>
      <c r="EW35" s="2">
        <v>4081.5749999999998</v>
      </c>
      <c r="EX35" s="2">
        <v>4125.7</v>
      </c>
      <c r="EY35" s="2">
        <v>4145.6750000000002</v>
      </c>
      <c r="EZ35" s="2">
        <v>4185.8</v>
      </c>
      <c r="FA35" s="2">
        <v>4218.0749999999998</v>
      </c>
      <c r="FB35" s="2">
        <v>4240.2250000000004</v>
      </c>
      <c r="FC35" s="2">
        <v>4230.1499999999996</v>
      </c>
      <c r="FD35" s="2">
        <v>4258.7749999999996</v>
      </c>
      <c r="FE35" s="2">
        <v>4257.8249999999998</v>
      </c>
      <c r="FF35" s="2">
        <v>4305.6499999999996</v>
      </c>
      <c r="FG35" s="2">
        <v>4341.75</v>
      </c>
      <c r="FH35" s="2">
        <v>4361.125</v>
      </c>
      <c r="FI35" s="2">
        <v>4367.4250000000002</v>
      </c>
      <c r="FJ35" s="2">
        <v>4372.4750000000004</v>
      </c>
      <c r="FK35" s="2">
        <v>4415.6000000000004</v>
      </c>
      <c r="FL35" s="2">
        <v>4427.4250000000002</v>
      </c>
      <c r="FM35" s="2">
        <v>4465.125</v>
      </c>
      <c r="FN35" s="2">
        <v>4504.0249999999996</v>
      </c>
      <c r="FO35" s="2">
        <v>4488.5</v>
      </c>
      <c r="FP35" s="2">
        <v>4546.4750000000004</v>
      </c>
      <c r="FQ35" s="2">
        <v>4601.7250000000004</v>
      </c>
      <c r="FR35" s="2">
        <v>4625</v>
      </c>
      <c r="FS35" s="2">
        <v>4666.6499999999996</v>
      </c>
      <c r="FT35" s="2">
        <v>4695.55</v>
      </c>
      <c r="FU35" s="2">
        <v>4714.3500000000004</v>
      </c>
      <c r="FV35" s="2">
        <v>4723.05</v>
      </c>
      <c r="FW35" s="2">
        <v>4750.4250000000002</v>
      </c>
      <c r="FX35" s="2">
        <v>4765.6750000000002</v>
      </c>
      <c r="FY35" s="2">
        <v>4799.4750000000004</v>
      </c>
      <c r="FZ35" s="2">
        <v>4826.1000000000004</v>
      </c>
      <c r="GA35" s="2">
        <v>4849.5749999999998</v>
      </c>
      <c r="GB35" s="2">
        <v>4876.7250000000004</v>
      </c>
      <c r="GC35" s="2">
        <v>4915.2</v>
      </c>
      <c r="GD35" s="2">
        <v>4970.6000000000004</v>
      </c>
      <c r="GE35" s="2">
        <v>5011.0249999999996</v>
      </c>
      <c r="GF35" s="2">
        <v>5037.625</v>
      </c>
      <c r="GG35" s="2">
        <v>5069.05</v>
      </c>
      <c r="GH35" s="2">
        <v>5076.2250000000004</v>
      </c>
      <c r="GI35" s="2">
        <v>5107.8999999999996</v>
      </c>
      <c r="GJ35" s="2">
        <v>5150.5749999999998</v>
      </c>
      <c r="GK35" s="2">
        <v>5210.8249999999998</v>
      </c>
      <c r="GL35" s="2">
        <v>5246.35</v>
      </c>
      <c r="GM35" s="2">
        <v>5173.3</v>
      </c>
      <c r="GN35" s="2">
        <v>4764.1499999999996</v>
      </c>
      <c r="GO35" s="2">
        <v>5137.2</v>
      </c>
      <c r="GP35" s="2">
        <v>5192.9250000000002</v>
      </c>
      <c r="GQ35" s="2">
        <v>5264.6</v>
      </c>
      <c r="GR35" s="2">
        <v>5347.25</v>
      </c>
      <c r="GS35" s="2">
        <v>5392.85</v>
      </c>
      <c r="GT35" s="2">
        <v>5490.1</v>
      </c>
      <c r="GU35" s="2">
        <v>5475.9750000000004</v>
      </c>
      <c r="GV35" s="2">
        <v>5479.8</v>
      </c>
      <c r="GW35" s="2">
        <v>5516.7</v>
      </c>
      <c r="GX35" s="2">
        <v>5562.375</v>
      </c>
      <c r="GY35" s="2">
        <v>5600.85</v>
      </c>
      <c r="GZ35" s="2">
        <v>5634.85</v>
      </c>
      <c r="HA35" s="2">
        <v>5695.2250000000004</v>
      </c>
      <c r="HB35" s="2">
        <v>5740.15</v>
      </c>
      <c r="HC35" s="2">
        <v>5763.375</v>
      </c>
      <c r="HD35" s="2">
        <v>5805.9750000000004</v>
      </c>
      <c r="HE35" s="2">
        <v>5850.0749999999998</v>
      </c>
      <c r="HF35" s="2">
        <v>5884.0749999999998</v>
      </c>
      <c r="HG35" s="3">
        <v>5898.73</v>
      </c>
      <c r="HH35" s="3">
        <v>5927.2420000000002</v>
      </c>
      <c r="HI35" s="3">
        <v>5956.2309999999998</v>
      </c>
      <c r="HJ35" s="3">
        <v>5986.518</v>
      </c>
      <c r="HK35" s="3">
        <v>6024.8130000000001</v>
      </c>
      <c r="HL35" s="3">
        <v>6068.7669999999998</v>
      </c>
      <c r="HM35" s="3">
        <v>6116.1869999999999</v>
      </c>
      <c r="HN35" s="3">
        <v>6164.7259999999997</v>
      </c>
      <c r="HO35" s="3">
        <v>6212.5429999999997</v>
      </c>
      <c r="HP35" s="3">
        <v>6257.1620000000003</v>
      </c>
      <c r="HQ35" s="3">
        <v>6298.152</v>
      </c>
      <c r="HR35" s="3">
        <v>6335.5069999999996</v>
      </c>
      <c r="HS35" s="3">
        <v>6369.2460000000001</v>
      </c>
      <c r="HT35" s="3">
        <v>6401.125</v>
      </c>
      <c r="HU35" s="3">
        <v>6432.2349999999997</v>
      </c>
      <c r="HV35" s="3">
        <v>6463.0209999999997</v>
      </c>
      <c r="HW35" s="3">
        <v>6493.8530000000001</v>
      </c>
      <c r="HX35" s="3">
        <v>6524.7219999999998</v>
      </c>
      <c r="HY35" s="3">
        <v>6555.6270000000004</v>
      </c>
      <c r="HZ35" s="3">
        <v>6586.5680000000002</v>
      </c>
      <c r="IA35" s="3">
        <v>6617.5420000000004</v>
      </c>
      <c r="IB35" s="3">
        <v>6648.5510000000004</v>
      </c>
      <c r="IC35" s="3">
        <v>6679.5919999999996</v>
      </c>
      <c r="ID35" s="3">
        <v>6710.6639999999998</v>
      </c>
      <c r="IE35" s="3">
        <v>6741.768</v>
      </c>
      <c r="IF35" s="3">
        <v>6772.9</v>
      </c>
      <c r="IG35" s="3">
        <v>6804.0630000000001</v>
      </c>
      <c r="IH35" s="3">
        <v>6835.2520000000004</v>
      </c>
      <c r="II35" s="3">
        <v>6866.5069999999996</v>
      </c>
      <c r="IJ35" s="3">
        <v>6897.8680000000004</v>
      </c>
      <c r="IK35" s="3">
        <v>6929.3329999999996</v>
      </c>
      <c r="IL35" s="3">
        <v>6960.9009999999998</v>
      </c>
      <c r="IM35" s="3">
        <v>6992.5749999999998</v>
      </c>
      <c r="IN35" s="3">
        <v>7024.3549999999996</v>
      </c>
      <c r="IO35" s="3">
        <v>7056.2389999999996</v>
      </c>
      <c r="IP35" s="3">
        <v>7088.2280000000001</v>
      </c>
      <c r="IQ35" s="3">
        <v>7120.3239999999996</v>
      </c>
      <c r="IR35" s="3">
        <v>7152.5230000000001</v>
      </c>
      <c r="IS35" s="3">
        <v>7184.83</v>
      </c>
      <c r="IT35" s="3">
        <v>7217.241</v>
      </c>
      <c r="IU35" s="3">
        <v>7249.7579999999998</v>
      </c>
      <c r="IV35" s="3">
        <v>7282.3919999999998</v>
      </c>
      <c r="IW35" s="3">
        <v>7315.152</v>
      </c>
      <c r="IX35" s="3">
        <v>7348.0510000000004</v>
      </c>
      <c r="IY35" s="3">
        <v>7381.0959999999995</v>
      </c>
      <c r="IZ35" s="3">
        <v>7414.2250000000004</v>
      </c>
      <c r="JA35" s="3">
        <v>7447.3140000000003</v>
      </c>
      <c r="JB35" s="3">
        <v>7480.49</v>
      </c>
      <c r="JC35" s="3">
        <v>7513.6459999999997</v>
      </c>
      <c r="JD35" s="3">
        <v>7546.8440000000001</v>
      </c>
      <c r="JE35" s="3">
        <v>7580.2879999999996</v>
      </c>
      <c r="JF35" s="3">
        <v>7613.5079999999998</v>
      </c>
      <c r="JG35" s="3">
        <v>7646.8630000000003</v>
      </c>
      <c r="JH35" s="3">
        <v>7680.2139999999999</v>
      </c>
      <c r="JI35" s="3">
        <v>7713.7349999999997</v>
      </c>
      <c r="JJ35" s="3">
        <v>7747.31</v>
      </c>
      <c r="JK35" s="3">
        <v>7780.9989999999998</v>
      </c>
      <c r="JL35" s="3">
        <v>7814.7709999999997</v>
      </c>
      <c r="JM35" s="3">
        <v>7848.3440000000001</v>
      </c>
      <c r="JN35" s="3">
        <v>7882.2489999999998</v>
      </c>
      <c r="JO35" s="3">
        <v>7916.1409999999996</v>
      </c>
      <c r="JP35" s="3">
        <v>7950.08</v>
      </c>
      <c r="JQ35" s="3">
        <v>7984.0420000000004</v>
      </c>
      <c r="JR35" s="3">
        <v>8018.1210000000001</v>
      </c>
      <c r="JS35" s="3">
        <v>8052.3</v>
      </c>
      <c r="JT35" s="3">
        <v>8086.52</v>
      </c>
      <c r="JU35" s="3">
        <v>8120.902</v>
      </c>
      <c r="JV35" s="3">
        <v>8155.3230000000003</v>
      </c>
      <c r="JW35" s="3">
        <v>8189.8140000000003</v>
      </c>
      <c r="JX35" s="3">
        <v>8224.393</v>
      </c>
      <c r="JY35" s="3">
        <v>8259.0390000000007</v>
      </c>
      <c r="JZ35" s="3">
        <v>8293.7829999999994</v>
      </c>
      <c r="KA35" s="3">
        <v>8328.73</v>
      </c>
      <c r="KB35" s="3">
        <v>8363.7929999999997</v>
      </c>
      <c r="KC35" s="3">
        <v>8398.8649999999998</v>
      </c>
      <c r="KD35" s="3">
        <v>8434.1470000000008</v>
      </c>
      <c r="KE35" s="3">
        <v>8469.5169999999998</v>
      </c>
      <c r="KF35" s="3">
        <v>8504.9110000000001</v>
      </c>
      <c r="KG35" s="3">
        <v>8540.366</v>
      </c>
      <c r="KH35" s="3">
        <v>8576.0139999999992</v>
      </c>
      <c r="KI35" s="3">
        <v>8611.5689999999995</v>
      </c>
      <c r="KJ35" s="3">
        <v>8647.2520000000004</v>
      </c>
      <c r="KK35" s="3">
        <v>8682.9480000000003</v>
      </c>
      <c r="KL35" s="3">
        <v>8718.777</v>
      </c>
      <c r="KM35" s="3">
        <v>8754.7530000000006</v>
      </c>
      <c r="KN35" s="3">
        <v>8790.7000000000007</v>
      </c>
      <c r="KO35" s="3">
        <v>8826.723</v>
      </c>
      <c r="KP35" s="3">
        <v>8862.9629999999997</v>
      </c>
      <c r="KQ35" s="3">
        <v>8899.1640000000007</v>
      </c>
      <c r="KR35" s="3">
        <v>8935.4230000000007</v>
      </c>
      <c r="KS35" s="3">
        <v>8971.8140000000003</v>
      </c>
      <c r="KT35" s="3">
        <v>9008.2489999999998</v>
      </c>
      <c r="KU35" s="3">
        <v>9044.77</v>
      </c>
      <c r="KV35" s="3">
        <v>9081.5049999999992</v>
      </c>
      <c r="KW35" s="3">
        <v>9118.0630000000001</v>
      </c>
      <c r="KX35" s="3">
        <v>9154.9689999999991</v>
      </c>
      <c r="KY35" s="3">
        <v>9191.8520000000008</v>
      </c>
      <c r="KZ35" s="3">
        <v>9228.5750000000007</v>
      </c>
      <c r="LA35" s="3">
        <v>9265.5769999999993</v>
      </c>
      <c r="LB35" s="3">
        <v>9302.5450000000001</v>
      </c>
      <c r="LC35" s="3">
        <v>9339.8250000000007</v>
      </c>
      <c r="LD35" s="3">
        <v>9377.0580000000009</v>
      </c>
      <c r="LE35" s="3">
        <v>9414.2489999999998</v>
      </c>
      <c r="LF35" s="3">
        <v>9451.7189999999991</v>
      </c>
      <c r="LG35" s="3">
        <v>9489.2270000000008</v>
      </c>
      <c r="LH35" s="3">
        <v>9526.875</v>
      </c>
      <c r="LI35" s="3">
        <v>9564.6540000000005</v>
      </c>
      <c r="LJ35" s="3">
        <v>9602.5460000000003</v>
      </c>
      <c r="LK35" s="3">
        <v>9640.652</v>
      </c>
      <c r="LL35" s="3">
        <v>9678.7999999999993</v>
      </c>
      <c r="LM35" s="3">
        <v>9717.116</v>
      </c>
      <c r="LN35" s="3">
        <v>9755.5470000000005</v>
      </c>
      <c r="LO35" s="3">
        <v>9794.1110000000008</v>
      </c>
      <c r="LP35" s="3">
        <v>9832.7909999999993</v>
      </c>
      <c r="LQ35" s="3">
        <v>9871.6880000000001</v>
      </c>
      <c r="LR35" s="3">
        <v>9910.6370000000006</v>
      </c>
      <c r="LS35" s="3">
        <v>9949.7379999999994</v>
      </c>
      <c r="LT35" s="3">
        <v>9988.9179999999997</v>
      </c>
      <c r="LU35" s="3">
        <v>10028.290000000001</v>
      </c>
      <c r="LV35" s="3">
        <v>10067.790000000001</v>
      </c>
      <c r="LW35" s="3">
        <v>10107.379999999999</v>
      </c>
      <c r="LX35" s="3">
        <v>10147.19</v>
      </c>
      <c r="LY35" s="3">
        <v>10187.120000000001</v>
      </c>
      <c r="LZ35" s="3">
        <v>10227.049999999999</v>
      </c>
      <c r="MA35" s="3">
        <v>10267.290000000001</v>
      </c>
      <c r="MB35" s="3">
        <v>10307.540000000001</v>
      </c>
      <c r="MC35" s="3">
        <v>10348</v>
      </c>
      <c r="MD35" s="3">
        <v>10388.6</v>
      </c>
      <c r="ME35" s="3">
        <v>10429.290000000001</v>
      </c>
      <c r="MF35" s="3">
        <v>10470.15</v>
      </c>
      <c r="MG35" s="3">
        <v>10511.24</v>
      </c>
      <c r="MH35" s="3">
        <v>10552.41</v>
      </c>
      <c r="MI35" s="3">
        <v>10593.77</v>
      </c>
      <c r="MJ35" s="3">
        <v>10635.27</v>
      </c>
      <c r="MK35" s="3">
        <v>10676.91</v>
      </c>
      <c r="ML35" s="3">
        <v>10718.67</v>
      </c>
      <c r="MM35" s="3">
        <v>10760.68</v>
      </c>
      <c r="MN35" s="3">
        <v>10802.77</v>
      </c>
      <c r="MO35" s="3">
        <v>10844.97</v>
      </c>
      <c r="MP35" s="3">
        <v>10887.46</v>
      </c>
      <c r="MQ35" s="3">
        <v>10929.96</v>
      </c>
      <c r="MR35" s="3">
        <v>10972.68</v>
      </c>
      <c r="MS35" s="3">
        <v>11015.57</v>
      </c>
      <c r="MT35" s="3">
        <v>11058.54</v>
      </c>
      <c r="MU35" t="s">
        <v>385</v>
      </c>
      <c r="MV35" t="b">
        <v>1</v>
      </c>
      <c r="MW35" s="1" t="s">
        <v>386</v>
      </c>
      <c r="MX35" t="s">
        <v>377</v>
      </c>
      <c r="MY35">
        <v>2024</v>
      </c>
      <c r="MZ35">
        <v>4</v>
      </c>
      <c r="NA35" t="s">
        <v>377</v>
      </c>
      <c r="NB35" s="1" t="s">
        <v>387</v>
      </c>
      <c r="NC35" s="1" t="s">
        <v>388</v>
      </c>
      <c r="ND35" t="s">
        <v>389</v>
      </c>
      <c r="NE35" t="s">
        <v>381</v>
      </c>
      <c r="NF35" s="1" t="s">
        <v>526</v>
      </c>
    </row>
    <row r="36" spans="1:370" x14ac:dyDescent="0.25">
      <c r="A36" t="s">
        <v>370</v>
      </c>
      <c r="B36" t="s">
        <v>447</v>
      </c>
      <c r="C36" s="1" t="s">
        <v>525</v>
      </c>
      <c r="D36" t="s">
        <v>372</v>
      </c>
      <c r="E36" t="s">
        <v>373</v>
      </c>
      <c r="F36" t="s">
        <v>374</v>
      </c>
      <c r="G36" s="2">
        <v>50184</v>
      </c>
      <c r="H36" s="2">
        <v>48537</v>
      </c>
      <c r="I36" s="2">
        <v>47578</v>
      </c>
      <c r="J36" s="2">
        <v>47374</v>
      </c>
      <c r="K36" s="2">
        <v>46939</v>
      </c>
      <c r="L36" s="2">
        <v>44355</v>
      </c>
      <c r="M36" s="2">
        <v>43865</v>
      </c>
      <c r="N36" s="2">
        <v>44059</v>
      </c>
      <c r="O36" s="2">
        <v>42893</v>
      </c>
      <c r="P36" s="2">
        <v>42698</v>
      </c>
      <c r="Q36" s="2">
        <v>42064</v>
      </c>
      <c r="R36" s="2">
        <v>40849</v>
      </c>
      <c r="S36" s="2">
        <v>42896</v>
      </c>
      <c r="T36" s="2">
        <v>42498</v>
      </c>
      <c r="U36" s="2">
        <v>41983</v>
      </c>
      <c r="V36" s="2">
        <v>42271</v>
      </c>
      <c r="W36" s="2">
        <v>41191</v>
      </c>
      <c r="X36" s="2">
        <v>43482</v>
      </c>
      <c r="Y36" s="2">
        <v>43006</v>
      </c>
      <c r="Z36" s="2">
        <v>44597</v>
      </c>
      <c r="AA36" s="2">
        <v>46164</v>
      </c>
      <c r="AB36" s="2">
        <v>46246</v>
      </c>
      <c r="AC36" s="2">
        <v>46206</v>
      </c>
      <c r="AD36" s="2">
        <v>46354</v>
      </c>
      <c r="AE36" s="2">
        <v>48743</v>
      </c>
      <c r="AF36" s="2">
        <v>49861</v>
      </c>
      <c r="AG36" s="2">
        <v>50787</v>
      </c>
      <c r="AH36" s="2">
        <v>51496</v>
      </c>
      <c r="AI36" s="2">
        <v>49012</v>
      </c>
      <c r="AJ36" s="2">
        <v>47095</v>
      </c>
      <c r="AK36" s="2">
        <v>46257</v>
      </c>
      <c r="AL36" s="2">
        <v>45597</v>
      </c>
      <c r="AM36" s="2">
        <v>43073</v>
      </c>
      <c r="AN36" s="2">
        <v>44079</v>
      </c>
      <c r="AO36" s="2">
        <v>44442</v>
      </c>
      <c r="AP36" s="2">
        <v>43901</v>
      </c>
      <c r="AQ36" s="2">
        <v>43821</v>
      </c>
      <c r="AR36" s="2">
        <v>45825</v>
      </c>
      <c r="AS36" s="2">
        <v>47163</v>
      </c>
      <c r="AT36" s="2">
        <v>47683</v>
      </c>
      <c r="AU36" s="2">
        <v>49100</v>
      </c>
      <c r="AV36" s="2">
        <v>48513</v>
      </c>
      <c r="AW36" s="2">
        <v>48978</v>
      </c>
      <c r="AX36" s="2">
        <v>51258</v>
      </c>
      <c r="AY36" s="2">
        <v>52357</v>
      </c>
      <c r="AZ36" s="2">
        <v>52558</v>
      </c>
      <c r="BA36" s="2">
        <v>52636</v>
      </c>
      <c r="BB36" s="2">
        <v>53026</v>
      </c>
      <c r="BC36" s="2">
        <v>57010</v>
      </c>
      <c r="BD36" s="2">
        <v>52362</v>
      </c>
      <c r="BE36" s="2">
        <v>52813</v>
      </c>
      <c r="BF36" s="2">
        <v>52603</v>
      </c>
      <c r="BG36" s="2">
        <v>52036</v>
      </c>
      <c r="BH36" s="2">
        <v>50598</v>
      </c>
      <c r="BI36" s="2">
        <v>53431</v>
      </c>
      <c r="BJ36" s="2">
        <v>56019</v>
      </c>
      <c r="BK36" s="2">
        <v>54611</v>
      </c>
      <c r="BL36" s="2">
        <v>57244</v>
      </c>
      <c r="BM36" s="2">
        <v>62518</v>
      </c>
      <c r="BN36" s="2">
        <v>64025</v>
      </c>
      <c r="BO36" s="2">
        <v>67204</v>
      </c>
      <c r="BP36" s="2">
        <v>68999</v>
      </c>
      <c r="BQ36" s="2">
        <v>69601</v>
      </c>
      <c r="BR36" s="2">
        <v>69526</v>
      </c>
      <c r="BS36" s="2">
        <v>73235</v>
      </c>
      <c r="BT36" s="2">
        <v>71794</v>
      </c>
      <c r="BU36" s="2">
        <v>72584</v>
      </c>
      <c r="BV36" s="2">
        <v>71156</v>
      </c>
      <c r="BW36" s="2">
        <v>71617</v>
      </c>
      <c r="BX36" s="2">
        <v>70596</v>
      </c>
      <c r="BY36" s="2">
        <v>69949</v>
      </c>
      <c r="BZ36" s="2">
        <v>69172</v>
      </c>
      <c r="CA36" s="2">
        <v>66021</v>
      </c>
      <c r="CB36" s="2">
        <v>65035</v>
      </c>
      <c r="CC36" s="2">
        <v>63852</v>
      </c>
      <c r="CD36" s="2">
        <v>64085</v>
      </c>
      <c r="CE36" s="2">
        <v>64254</v>
      </c>
      <c r="CF36" s="2">
        <v>63871</v>
      </c>
      <c r="CG36" s="2">
        <v>64122</v>
      </c>
      <c r="CH36" s="2">
        <v>62577</v>
      </c>
      <c r="CI36" s="2">
        <v>64089</v>
      </c>
      <c r="CJ36" s="2">
        <v>63733</v>
      </c>
      <c r="CK36" s="2">
        <v>63810</v>
      </c>
      <c r="CL36" s="2">
        <v>65142</v>
      </c>
      <c r="CM36" s="2">
        <v>65927</v>
      </c>
      <c r="CN36" s="2">
        <v>64605</v>
      </c>
      <c r="CO36" s="2">
        <v>65040</v>
      </c>
      <c r="CP36" s="2">
        <v>65399</v>
      </c>
      <c r="CQ36" s="2">
        <v>64532</v>
      </c>
      <c r="CR36" s="2">
        <v>64647</v>
      </c>
      <c r="CS36" s="2">
        <v>65098</v>
      </c>
      <c r="CT36" s="2">
        <v>65410</v>
      </c>
      <c r="CU36" s="2">
        <v>67091</v>
      </c>
      <c r="CV36" s="2">
        <v>69362</v>
      </c>
      <c r="CW36" s="2">
        <v>68834</v>
      </c>
      <c r="CX36" s="2">
        <v>66518</v>
      </c>
      <c r="CY36" s="2">
        <v>64163</v>
      </c>
      <c r="CZ36" s="2">
        <v>64841</v>
      </c>
      <c r="DA36" s="2">
        <v>68586</v>
      </c>
      <c r="DB36" s="2">
        <v>70207</v>
      </c>
      <c r="DC36" s="2">
        <v>70769</v>
      </c>
      <c r="DD36" s="2">
        <v>70728</v>
      </c>
      <c r="DE36" s="2">
        <v>70125</v>
      </c>
      <c r="DF36" s="2">
        <v>71589</v>
      </c>
      <c r="DG36" s="2">
        <v>71553</v>
      </c>
      <c r="DH36" s="2">
        <v>71631</v>
      </c>
      <c r="DI36" s="2">
        <v>72785</v>
      </c>
      <c r="DJ36" s="2">
        <v>72122</v>
      </c>
      <c r="DK36" s="2">
        <v>75099</v>
      </c>
      <c r="DL36" s="2">
        <v>79401</v>
      </c>
      <c r="DM36" s="2">
        <v>73900</v>
      </c>
      <c r="DN36" s="2">
        <v>76186</v>
      </c>
      <c r="DO36" s="2">
        <v>76262</v>
      </c>
      <c r="DP36" s="2">
        <v>79060</v>
      </c>
      <c r="DQ36" s="2">
        <v>78994</v>
      </c>
      <c r="DR36" s="2">
        <v>76321</v>
      </c>
      <c r="DS36" s="2">
        <v>76228</v>
      </c>
      <c r="DT36" s="2">
        <v>76226</v>
      </c>
      <c r="DU36" s="2">
        <v>80253</v>
      </c>
      <c r="DV36" s="2">
        <v>84228</v>
      </c>
      <c r="DW36" s="2">
        <v>84514</v>
      </c>
      <c r="DX36" s="2">
        <v>79269</v>
      </c>
      <c r="DY36" s="2">
        <v>80422</v>
      </c>
      <c r="DZ36" s="2">
        <v>80600</v>
      </c>
      <c r="EA36" s="2">
        <v>82986</v>
      </c>
      <c r="EB36" s="2">
        <v>82454</v>
      </c>
      <c r="EC36" s="2">
        <v>83913</v>
      </c>
      <c r="ED36" s="2">
        <v>84243</v>
      </c>
      <c r="EE36" s="2">
        <v>85883</v>
      </c>
      <c r="EF36" s="2">
        <v>87907</v>
      </c>
      <c r="EG36" s="2">
        <v>87059</v>
      </c>
      <c r="EH36" s="2">
        <v>86618</v>
      </c>
      <c r="EI36" s="2">
        <v>87611</v>
      </c>
      <c r="EJ36" s="2">
        <v>87987</v>
      </c>
      <c r="EK36" s="2">
        <v>91024</v>
      </c>
      <c r="EL36" s="2">
        <v>90688</v>
      </c>
      <c r="EM36" s="2">
        <v>91825</v>
      </c>
      <c r="EN36" s="2">
        <v>94089</v>
      </c>
      <c r="EO36" s="2">
        <v>90344</v>
      </c>
      <c r="EP36" s="2">
        <v>96774</v>
      </c>
      <c r="EQ36" s="2">
        <v>92244</v>
      </c>
      <c r="ER36" s="2">
        <v>93278</v>
      </c>
      <c r="ES36" s="2">
        <v>88414</v>
      </c>
      <c r="ET36" s="2">
        <v>86953</v>
      </c>
      <c r="EU36" s="2">
        <v>81803</v>
      </c>
      <c r="EV36" s="2">
        <v>78328</v>
      </c>
      <c r="EW36" s="2">
        <v>78858</v>
      </c>
      <c r="EX36" s="2">
        <v>77537</v>
      </c>
      <c r="EY36" s="2">
        <v>81644</v>
      </c>
      <c r="EZ36" s="2">
        <v>80431</v>
      </c>
      <c r="FA36" s="2">
        <v>83557</v>
      </c>
      <c r="FB36" s="2">
        <v>85811</v>
      </c>
      <c r="FC36" s="2">
        <v>82496</v>
      </c>
      <c r="FD36" s="2">
        <v>81610</v>
      </c>
      <c r="FE36" s="2">
        <v>83476</v>
      </c>
      <c r="FF36" s="2">
        <v>84212</v>
      </c>
      <c r="FG36" s="2">
        <v>85491</v>
      </c>
      <c r="FH36" s="2">
        <v>83307</v>
      </c>
      <c r="FI36" s="2">
        <v>82537</v>
      </c>
      <c r="FJ36" s="2">
        <v>85851</v>
      </c>
      <c r="FK36" s="2">
        <v>83337</v>
      </c>
      <c r="FL36" s="2">
        <v>86815</v>
      </c>
      <c r="FM36" s="2">
        <v>88951</v>
      </c>
      <c r="FN36" s="2">
        <v>88938</v>
      </c>
      <c r="FO36" s="2">
        <v>91937</v>
      </c>
      <c r="FP36" s="2">
        <v>91645</v>
      </c>
      <c r="FQ36" s="2">
        <v>93278</v>
      </c>
      <c r="FR36" s="2">
        <v>95670</v>
      </c>
      <c r="FS36" s="2">
        <v>99019</v>
      </c>
      <c r="FT36" s="2">
        <v>99456</v>
      </c>
      <c r="FU36" s="2">
        <v>98717</v>
      </c>
      <c r="FV36" s="2">
        <v>101962</v>
      </c>
      <c r="FW36" s="2">
        <v>103052</v>
      </c>
      <c r="FX36" s="2">
        <v>103914</v>
      </c>
      <c r="FY36" s="2">
        <v>106846</v>
      </c>
      <c r="FZ36" s="2">
        <v>105866</v>
      </c>
      <c r="GA36" s="2">
        <v>107659</v>
      </c>
      <c r="GB36" s="2">
        <v>108992</v>
      </c>
      <c r="GC36" s="2">
        <v>108030</v>
      </c>
      <c r="GD36" s="2">
        <v>109696</v>
      </c>
      <c r="GE36" s="2">
        <v>109097</v>
      </c>
      <c r="GF36" s="2">
        <v>107829</v>
      </c>
      <c r="GG36" s="2">
        <v>107807</v>
      </c>
      <c r="GH36" s="2">
        <v>107662</v>
      </c>
      <c r="GI36" s="2">
        <v>110948</v>
      </c>
      <c r="GJ36" s="2">
        <v>110046</v>
      </c>
      <c r="GK36" s="2">
        <v>110942</v>
      </c>
      <c r="GL36" s="2">
        <v>109685</v>
      </c>
      <c r="GM36" s="2">
        <v>106217</v>
      </c>
      <c r="GN36" s="2">
        <v>86237</v>
      </c>
      <c r="GO36" s="2">
        <v>100076</v>
      </c>
      <c r="GP36" s="2">
        <v>106348</v>
      </c>
      <c r="GQ36" s="2">
        <v>103493</v>
      </c>
      <c r="GR36" s="2">
        <v>108600</v>
      </c>
      <c r="GS36" s="2">
        <v>108182</v>
      </c>
      <c r="GT36" s="2">
        <v>108845</v>
      </c>
      <c r="GU36" s="2">
        <v>113041</v>
      </c>
      <c r="GV36" s="2">
        <v>112982</v>
      </c>
      <c r="GW36" s="2">
        <v>113281</v>
      </c>
      <c r="GX36" s="2">
        <v>111787</v>
      </c>
      <c r="GY36" s="2">
        <v>114813</v>
      </c>
      <c r="GZ36" s="2">
        <v>113461</v>
      </c>
      <c r="HA36" s="2">
        <v>111648</v>
      </c>
      <c r="HB36" s="2">
        <v>112622</v>
      </c>
      <c r="HC36" s="2">
        <v>113684</v>
      </c>
      <c r="HD36" s="2">
        <v>114460</v>
      </c>
      <c r="HE36" s="2">
        <v>115571</v>
      </c>
      <c r="HF36" s="2">
        <v>114538</v>
      </c>
      <c r="HG36" s="3">
        <v>113394.5</v>
      </c>
      <c r="HH36" s="3">
        <v>114065</v>
      </c>
      <c r="HI36" s="3">
        <v>115056.2</v>
      </c>
      <c r="HJ36" s="3">
        <v>115982.39999999999</v>
      </c>
      <c r="HK36" s="3">
        <v>116866.8</v>
      </c>
      <c r="HL36" s="3">
        <v>117765.6</v>
      </c>
      <c r="HM36" s="3">
        <v>118622.2</v>
      </c>
      <c r="HN36" s="3">
        <v>119408.2</v>
      </c>
      <c r="HO36" s="3">
        <v>120062.39999999999</v>
      </c>
      <c r="HP36" s="3">
        <v>120693.5</v>
      </c>
      <c r="HQ36" s="3">
        <v>121376.1</v>
      </c>
      <c r="HR36" s="3">
        <v>122029.6</v>
      </c>
      <c r="HS36" s="3">
        <v>122704.1</v>
      </c>
      <c r="HT36" s="3">
        <v>123345.60000000001</v>
      </c>
      <c r="HU36" s="3">
        <v>123961.5</v>
      </c>
      <c r="HV36" s="3">
        <v>124550.39999999999</v>
      </c>
      <c r="HW36" s="3">
        <v>125095.4</v>
      </c>
      <c r="HX36" s="3">
        <v>125616.2</v>
      </c>
      <c r="HY36" s="3">
        <v>126130.7</v>
      </c>
      <c r="HZ36" s="3">
        <v>126648.5</v>
      </c>
      <c r="IA36" s="3">
        <v>127175.9</v>
      </c>
      <c r="IB36" s="3">
        <v>127758.6</v>
      </c>
      <c r="IC36" s="3">
        <v>128384.3</v>
      </c>
      <c r="ID36" s="3">
        <v>129065.4</v>
      </c>
      <c r="IE36" s="3">
        <v>129750.1</v>
      </c>
      <c r="IF36" s="3">
        <v>130438.6</v>
      </c>
      <c r="IG36" s="3">
        <v>131130.9</v>
      </c>
      <c r="IH36" s="3">
        <v>131826.9</v>
      </c>
      <c r="II36" s="3">
        <v>132526.79999999999</v>
      </c>
      <c r="IJ36" s="3">
        <v>133230.5</v>
      </c>
      <c r="IK36" s="3">
        <v>133938</v>
      </c>
      <c r="IL36" s="3">
        <v>134648.5</v>
      </c>
      <c r="IM36" s="3">
        <v>135349.9</v>
      </c>
      <c r="IN36" s="3">
        <v>136033.20000000001</v>
      </c>
      <c r="IO36" s="3">
        <v>136719.1</v>
      </c>
      <c r="IP36" s="3">
        <v>137384.79999999999</v>
      </c>
      <c r="IQ36" s="3">
        <v>138073.9</v>
      </c>
      <c r="IR36" s="3">
        <v>138752.70000000001</v>
      </c>
      <c r="IS36" s="3">
        <v>139432</v>
      </c>
      <c r="IT36" s="3">
        <v>140108.5</v>
      </c>
      <c r="IU36" s="3">
        <v>140805</v>
      </c>
      <c r="IV36" s="3">
        <v>141504.79999999999</v>
      </c>
      <c r="IW36" s="3">
        <v>142207.79999999999</v>
      </c>
      <c r="IX36" s="3">
        <v>142914</v>
      </c>
      <c r="IY36" s="3">
        <v>143635.79999999999</v>
      </c>
      <c r="IZ36" s="3">
        <v>144361.60000000001</v>
      </c>
      <c r="JA36" s="3">
        <v>145091.20000000001</v>
      </c>
      <c r="JB36" s="3">
        <v>145824.79999999999</v>
      </c>
      <c r="JC36" s="3">
        <v>146562.29999999999</v>
      </c>
      <c r="JD36" s="3">
        <v>147303.79999999999</v>
      </c>
      <c r="JE36" s="3">
        <v>148049.20000000001</v>
      </c>
      <c r="JF36" s="3">
        <v>148798.6</v>
      </c>
      <c r="JG36" s="3">
        <v>149564.5</v>
      </c>
      <c r="JH36" s="3">
        <v>150334.6</v>
      </c>
      <c r="JI36" s="3">
        <v>151109.1</v>
      </c>
      <c r="JJ36" s="3">
        <v>151888</v>
      </c>
      <c r="JK36" s="3">
        <v>152671.29999999999</v>
      </c>
      <c r="JL36" s="3">
        <v>153459.1</v>
      </c>
      <c r="JM36" s="3">
        <v>154251.29999999999</v>
      </c>
      <c r="JN36" s="3">
        <v>155048</v>
      </c>
      <c r="JO36" s="3">
        <v>155829.29999999999</v>
      </c>
      <c r="JP36" s="3">
        <v>156614.5</v>
      </c>
      <c r="JQ36" s="3">
        <v>157403.9</v>
      </c>
      <c r="JR36" s="3">
        <v>158197.29999999999</v>
      </c>
      <c r="JS36" s="3">
        <v>159008.79999999999</v>
      </c>
      <c r="JT36" s="3">
        <v>159824.6</v>
      </c>
      <c r="JU36" s="3">
        <v>160646.5</v>
      </c>
      <c r="JV36" s="3">
        <v>161472.79999999999</v>
      </c>
      <c r="JW36" s="3">
        <v>162303.6</v>
      </c>
      <c r="JX36" s="3">
        <v>163138.79999999999</v>
      </c>
      <c r="JY36" s="3">
        <v>163964.70000000001</v>
      </c>
      <c r="JZ36" s="3">
        <v>164794.79999999999</v>
      </c>
      <c r="KA36" s="3">
        <v>165629.20000000001</v>
      </c>
      <c r="KB36" s="3">
        <v>166467.70000000001</v>
      </c>
      <c r="KC36" s="3">
        <v>167293.70000000001</v>
      </c>
      <c r="KD36" s="3">
        <v>168123.5</v>
      </c>
      <c r="KE36" s="3">
        <v>168957.1</v>
      </c>
      <c r="KF36" s="3">
        <v>169794.7</v>
      </c>
      <c r="KG36" s="3">
        <v>170604.79999999999</v>
      </c>
      <c r="KH36" s="3">
        <v>171418.3</v>
      </c>
      <c r="KI36" s="3">
        <v>172235.1</v>
      </c>
      <c r="KJ36" s="3">
        <v>173055.1</v>
      </c>
      <c r="KK36" s="3">
        <v>173863.9</v>
      </c>
      <c r="KL36" s="3">
        <v>174675.7</v>
      </c>
      <c r="KM36" s="3">
        <v>175490.5</v>
      </c>
      <c r="KN36" s="3">
        <v>176308.6</v>
      </c>
      <c r="KO36" s="3">
        <v>177129</v>
      </c>
      <c r="KP36" s="3">
        <v>177952.6</v>
      </c>
      <c r="KQ36" s="3">
        <v>178779.4</v>
      </c>
      <c r="KR36" s="3">
        <v>179609.4</v>
      </c>
      <c r="KS36" s="3">
        <v>180431.8</v>
      </c>
      <c r="KT36" s="3">
        <v>181257.2</v>
      </c>
      <c r="KU36" s="3">
        <v>182085.7</v>
      </c>
      <c r="KV36" s="3">
        <v>182917.2</v>
      </c>
      <c r="KW36" s="3">
        <v>183747.20000000001</v>
      </c>
      <c r="KX36" s="3">
        <v>184580.2</v>
      </c>
      <c r="KY36" s="3">
        <v>185416.3</v>
      </c>
      <c r="KZ36" s="3">
        <v>186255.3</v>
      </c>
      <c r="LA36" s="3">
        <v>187082.6</v>
      </c>
      <c r="LB36" s="3">
        <v>187912.7</v>
      </c>
      <c r="LC36" s="3">
        <v>188729</v>
      </c>
      <c r="LD36" s="3">
        <v>189547.8</v>
      </c>
      <c r="LE36" s="3">
        <v>190364.1</v>
      </c>
      <c r="LF36" s="3">
        <v>191182.8</v>
      </c>
      <c r="LG36" s="3">
        <v>192004.2</v>
      </c>
      <c r="LH36" s="3">
        <v>192828</v>
      </c>
      <c r="LI36" s="3">
        <v>193646.7</v>
      </c>
      <c r="LJ36" s="3">
        <v>194467.8</v>
      </c>
      <c r="LK36" s="3">
        <v>195291.6</v>
      </c>
      <c r="LL36" s="3">
        <v>196117.6</v>
      </c>
      <c r="LM36" s="3">
        <v>196930.7</v>
      </c>
      <c r="LN36" s="3">
        <v>197745.9</v>
      </c>
      <c r="LO36" s="3">
        <v>198563.20000000001</v>
      </c>
      <c r="LP36" s="3">
        <v>199382.8</v>
      </c>
      <c r="LQ36" s="3">
        <v>200204.2</v>
      </c>
      <c r="LR36" s="3">
        <v>201027.8</v>
      </c>
      <c r="LS36" s="3">
        <v>201853.6</v>
      </c>
      <c r="LT36" s="3">
        <v>202681.7</v>
      </c>
      <c r="LU36" s="3">
        <v>203505.2</v>
      </c>
      <c r="LV36" s="3">
        <v>204330.7</v>
      </c>
      <c r="LW36" s="3">
        <v>205158.39999999999</v>
      </c>
      <c r="LX36" s="3">
        <v>205988.1</v>
      </c>
      <c r="LY36" s="3">
        <v>206813.4</v>
      </c>
      <c r="LZ36" s="3">
        <v>207640.7</v>
      </c>
      <c r="MA36" s="3">
        <v>208470.1</v>
      </c>
      <c r="MB36" s="3">
        <v>209301.4</v>
      </c>
      <c r="MC36" s="3">
        <v>210134.39999999999</v>
      </c>
      <c r="MD36" s="3">
        <v>210969.5</v>
      </c>
      <c r="ME36" s="3">
        <v>211806.6</v>
      </c>
      <c r="MF36" s="3">
        <v>212646</v>
      </c>
      <c r="MG36" s="3">
        <v>213492.3</v>
      </c>
      <c r="MH36" s="3">
        <v>214341</v>
      </c>
      <c r="MI36" s="3">
        <v>215191.9</v>
      </c>
      <c r="MJ36" s="3">
        <v>216045</v>
      </c>
      <c r="MK36" s="3">
        <v>216895.9</v>
      </c>
      <c r="ML36" s="3">
        <v>217749.1</v>
      </c>
      <c r="MM36" s="3">
        <v>218604.6</v>
      </c>
      <c r="MN36" s="3">
        <v>219462.3</v>
      </c>
      <c r="MO36" s="3">
        <v>220326.8</v>
      </c>
      <c r="MP36" s="3">
        <v>221193.7</v>
      </c>
      <c r="MQ36" s="3">
        <v>222062.9</v>
      </c>
      <c r="MR36" s="3">
        <v>222934.5</v>
      </c>
      <c r="MS36" s="3">
        <v>223808.4</v>
      </c>
      <c r="MT36" s="3">
        <v>224684.79999999999</v>
      </c>
      <c r="MU36" t="s">
        <v>375</v>
      </c>
      <c r="MV36" t="b">
        <v>1</v>
      </c>
      <c r="MW36" s="1" t="s">
        <v>376</v>
      </c>
      <c r="MX36" t="s">
        <v>377</v>
      </c>
      <c r="MY36">
        <v>2024</v>
      </c>
      <c r="MZ36">
        <v>4</v>
      </c>
      <c r="NA36" t="s">
        <v>377</v>
      </c>
      <c r="NB36" t="s">
        <v>448</v>
      </c>
      <c r="NC36" s="1" t="s">
        <v>449</v>
      </c>
      <c r="ND36" t="s">
        <v>380</v>
      </c>
      <c r="NE36" t="s">
        <v>450</v>
      </c>
      <c r="NF36" s="1" t="s">
        <v>526</v>
      </c>
    </row>
    <row r="37" spans="1:370" x14ac:dyDescent="0.25">
      <c r="A37" t="s">
        <v>382</v>
      </c>
      <c r="B37" t="s">
        <v>447</v>
      </c>
      <c r="C37" s="1" t="s">
        <v>525</v>
      </c>
      <c r="D37" t="s">
        <v>383</v>
      </c>
      <c r="E37" t="s">
        <v>384</v>
      </c>
      <c r="F37" t="s">
        <v>374</v>
      </c>
      <c r="G37" s="2">
        <v>261.82499999999999</v>
      </c>
      <c r="H37" s="2">
        <v>261.82499999999999</v>
      </c>
      <c r="I37" s="2">
        <v>259.47500000000002</v>
      </c>
      <c r="J37" s="2">
        <v>257.89999999999998</v>
      </c>
      <c r="K37" s="2">
        <v>255.72499999999999</v>
      </c>
      <c r="L37" s="2">
        <v>254.85</v>
      </c>
      <c r="M37" s="2">
        <v>250.55</v>
      </c>
      <c r="N37" s="2">
        <v>239.4</v>
      </c>
      <c r="O37" s="2">
        <v>230.27500000000001</v>
      </c>
      <c r="P37" s="2">
        <v>225.05</v>
      </c>
      <c r="Q37" s="2">
        <v>233.25</v>
      </c>
      <c r="R37" s="2">
        <v>239</v>
      </c>
      <c r="S37" s="2">
        <v>247.67500000000001</v>
      </c>
      <c r="T37" s="2">
        <v>247.7</v>
      </c>
      <c r="U37" s="2">
        <v>249.32499999999999</v>
      </c>
      <c r="V37" s="2">
        <v>257.45</v>
      </c>
      <c r="W37" s="2">
        <v>265.64999999999998</v>
      </c>
      <c r="X37" s="2">
        <v>277.64999999999998</v>
      </c>
      <c r="Y37" s="2">
        <v>279.625</v>
      </c>
      <c r="Z37" s="2">
        <v>282.64999999999998</v>
      </c>
      <c r="AA37" s="2">
        <v>284.05</v>
      </c>
      <c r="AB37" s="2">
        <v>305.2</v>
      </c>
      <c r="AC37" s="2">
        <v>313.5</v>
      </c>
      <c r="AD37" s="2">
        <v>320.55</v>
      </c>
      <c r="AE37" s="2">
        <v>319.42500000000001</v>
      </c>
      <c r="AF37" s="2">
        <v>320.39999999999998</v>
      </c>
      <c r="AG37" s="2">
        <v>327.8</v>
      </c>
      <c r="AH37" s="2">
        <v>325.35000000000002</v>
      </c>
      <c r="AI37" s="2">
        <v>324.02499999999998</v>
      </c>
      <c r="AJ37" s="2">
        <v>300.47500000000002</v>
      </c>
      <c r="AK37" s="2">
        <v>301.72500000000002</v>
      </c>
      <c r="AL37" s="2">
        <v>311.2</v>
      </c>
      <c r="AM37" s="2">
        <v>315.47500000000002</v>
      </c>
      <c r="AN37" s="2">
        <v>315.55</v>
      </c>
      <c r="AO37" s="2">
        <v>314.57499999999999</v>
      </c>
      <c r="AP37" s="2">
        <v>315.39999999999998</v>
      </c>
      <c r="AQ37" s="2">
        <v>307</v>
      </c>
      <c r="AR37" s="2">
        <v>300.22500000000002</v>
      </c>
      <c r="AS37" s="2">
        <v>294.60000000000002</v>
      </c>
      <c r="AT37" s="2">
        <v>296.57499999999999</v>
      </c>
      <c r="AU37" s="2">
        <v>302.10000000000002</v>
      </c>
      <c r="AV37" s="2">
        <v>311.67500000000001</v>
      </c>
      <c r="AW37" s="2">
        <v>327.82499999999999</v>
      </c>
      <c r="AX37" s="2">
        <v>343.57499999999999</v>
      </c>
      <c r="AY37" s="2">
        <v>353.9</v>
      </c>
      <c r="AZ37" s="2">
        <v>366.82499999999999</v>
      </c>
      <c r="BA37" s="2">
        <v>373.85</v>
      </c>
      <c r="BB37" s="2">
        <v>383.55</v>
      </c>
      <c r="BC37" s="2">
        <v>387.22500000000002</v>
      </c>
      <c r="BD37" s="2">
        <v>395.22500000000002</v>
      </c>
      <c r="BE37" s="2">
        <v>396.55</v>
      </c>
      <c r="BF37" s="2">
        <v>402.6</v>
      </c>
      <c r="BG37" s="2">
        <v>404.6</v>
      </c>
      <c r="BH37" s="2">
        <v>406.67500000000001</v>
      </c>
      <c r="BI37" s="2">
        <v>409.3</v>
      </c>
      <c r="BJ37" s="2">
        <v>410.75</v>
      </c>
      <c r="BK37" s="2">
        <v>406.6</v>
      </c>
      <c r="BL37" s="2">
        <v>413.25</v>
      </c>
      <c r="BM37" s="2">
        <v>420.05</v>
      </c>
      <c r="BN37" s="2">
        <v>420.25</v>
      </c>
      <c r="BO37" s="2">
        <v>417.3</v>
      </c>
      <c r="BP37" s="2">
        <v>424.7</v>
      </c>
      <c r="BQ37" s="2">
        <v>425.75</v>
      </c>
      <c r="BR37" s="2">
        <v>430.82499999999999</v>
      </c>
      <c r="BS37" s="2">
        <v>433.47500000000002</v>
      </c>
      <c r="BT37" s="2">
        <v>434.47500000000002</v>
      </c>
      <c r="BU37" s="2">
        <v>442.42500000000001</v>
      </c>
      <c r="BV37" s="2">
        <v>437.97500000000002</v>
      </c>
      <c r="BW37" s="2">
        <v>445.17500000000001</v>
      </c>
      <c r="BX37" s="2">
        <v>438.07499999999999</v>
      </c>
      <c r="BY37" s="2">
        <v>435.65</v>
      </c>
      <c r="BZ37" s="2">
        <v>427.55</v>
      </c>
      <c r="CA37" s="2">
        <v>416.82499999999999</v>
      </c>
      <c r="CB37" s="2">
        <v>419.22500000000002</v>
      </c>
      <c r="CC37" s="2">
        <v>419.2</v>
      </c>
      <c r="CD37" s="2">
        <v>419.52499999999998</v>
      </c>
      <c r="CE37" s="2">
        <v>425.35</v>
      </c>
      <c r="CF37" s="2">
        <v>434.67500000000001</v>
      </c>
      <c r="CG37" s="2">
        <v>437.15</v>
      </c>
      <c r="CH37" s="2">
        <v>446.2</v>
      </c>
      <c r="CI37" s="2">
        <v>446.42500000000001</v>
      </c>
      <c r="CJ37" s="2">
        <v>453.875</v>
      </c>
      <c r="CK37" s="2">
        <v>458.27499999999998</v>
      </c>
      <c r="CL37" s="2">
        <v>473.65</v>
      </c>
      <c r="CM37" s="2">
        <v>473.92500000000001</v>
      </c>
      <c r="CN37" s="2">
        <v>483.05</v>
      </c>
      <c r="CO37" s="2">
        <v>489.5</v>
      </c>
      <c r="CP37" s="2">
        <v>497.625</v>
      </c>
      <c r="CQ37" s="2">
        <v>507.15</v>
      </c>
      <c r="CR37" s="2">
        <v>507.22500000000002</v>
      </c>
      <c r="CS37" s="2">
        <v>511.3</v>
      </c>
      <c r="CT37" s="2">
        <v>518.65</v>
      </c>
      <c r="CU37" s="2">
        <v>531.92499999999995</v>
      </c>
      <c r="CV37" s="2">
        <v>546.32500000000005</v>
      </c>
      <c r="CW37" s="2">
        <v>557.20000000000005</v>
      </c>
      <c r="CX37" s="2">
        <v>565.32500000000005</v>
      </c>
      <c r="CY37" s="2">
        <v>571.9</v>
      </c>
      <c r="CZ37" s="2">
        <v>581.72500000000002</v>
      </c>
      <c r="DA37" s="2">
        <v>600.9</v>
      </c>
      <c r="DB37" s="2">
        <v>604.27499999999998</v>
      </c>
      <c r="DC37" s="2">
        <v>619.02499999999998</v>
      </c>
      <c r="DD37" s="2">
        <v>639.42499999999995</v>
      </c>
      <c r="DE37" s="2">
        <v>653.35</v>
      </c>
      <c r="DF37" s="2">
        <v>666.22500000000002</v>
      </c>
      <c r="DG37" s="2">
        <v>677.875</v>
      </c>
      <c r="DH37" s="2">
        <v>692.35</v>
      </c>
      <c r="DI37" s="2">
        <v>707.92499999999995</v>
      </c>
      <c r="DJ37" s="2">
        <v>714.5</v>
      </c>
      <c r="DK37" s="2">
        <v>732.2</v>
      </c>
      <c r="DL37" s="2">
        <v>743.65</v>
      </c>
      <c r="DM37" s="2">
        <v>745.77499999999998</v>
      </c>
      <c r="DN37" s="2">
        <v>749.6</v>
      </c>
      <c r="DO37" s="2">
        <v>747.72500000000002</v>
      </c>
      <c r="DP37" s="2">
        <v>745.82500000000005</v>
      </c>
      <c r="DQ37" s="2">
        <v>736.47500000000002</v>
      </c>
      <c r="DR37" s="2">
        <v>728.72500000000002</v>
      </c>
      <c r="DS37" s="2">
        <v>726.42499999999995</v>
      </c>
      <c r="DT37" s="2">
        <v>726.55</v>
      </c>
      <c r="DU37" s="2">
        <v>727.97500000000002</v>
      </c>
      <c r="DV37" s="2">
        <v>727.57500000000005</v>
      </c>
      <c r="DW37" s="2">
        <v>732.9</v>
      </c>
      <c r="DX37" s="2">
        <v>747.2</v>
      </c>
      <c r="DY37" s="2">
        <v>769.82500000000005</v>
      </c>
      <c r="DZ37" s="2">
        <v>781.8</v>
      </c>
      <c r="EA37" s="2">
        <v>779.875</v>
      </c>
      <c r="EB37" s="2">
        <v>798.2</v>
      </c>
      <c r="EC37" s="2">
        <v>811.75</v>
      </c>
      <c r="ED37" s="2">
        <v>823.6</v>
      </c>
      <c r="EE37" s="2">
        <v>835.72500000000002</v>
      </c>
      <c r="EF37" s="2">
        <v>848.125</v>
      </c>
      <c r="EG37" s="2">
        <v>860.375</v>
      </c>
      <c r="EH37" s="2">
        <v>863.95</v>
      </c>
      <c r="EI37" s="2">
        <v>881.05</v>
      </c>
      <c r="EJ37" s="2">
        <v>878.45</v>
      </c>
      <c r="EK37" s="2">
        <v>871.875</v>
      </c>
      <c r="EL37" s="2">
        <v>867.9</v>
      </c>
      <c r="EM37" s="2">
        <v>867.92499999999995</v>
      </c>
      <c r="EN37" s="2">
        <v>874.27499999999998</v>
      </c>
      <c r="EO37" s="2">
        <v>870.6</v>
      </c>
      <c r="EP37" s="2">
        <v>865.72500000000002</v>
      </c>
      <c r="EQ37" s="2">
        <v>854.35</v>
      </c>
      <c r="ER37" s="2">
        <v>851.77499999999998</v>
      </c>
      <c r="ES37" s="2">
        <v>835.5</v>
      </c>
      <c r="ET37" s="2">
        <v>790.6</v>
      </c>
      <c r="EU37" s="2">
        <v>740.52499999999998</v>
      </c>
      <c r="EV37" s="2">
        <v>722.625</v>
      </c>
      <c r="EW37" s="2">
        <v>725.3</v>
      </c>
      <c r="EX37" s="2">
        <v>726.52499999999998</v>
      </c>
      <c r="EY37" s="2">
        <v>723.92499999999995</v>
      </c>
      <c r="EZ37" s="2">
        <v>747.2</v>
      </c>
      <c r="FA37" s="2">
        <v>750.1</v>
      </c>
      <c r="FB37" s="2">
        <v>759.52499999999998</v>
      </c>
      <c r="FC37" s="2">
        <v>755.2</v>
      </c>
      <c r="FD37" s="2">
        <v>766.97500000000002</v>
      </c>
      <c r="FE37" s="2">
        <v>790.55</v>
      </c>
      <c r="FF37" s="2">
        <v>805.97500000000002</v>
      </c>
      <c r="FG37" s="2">
        <v>822.52499999999998</v>
      </c>
      <c r="FH37" s="2">
        <v>835.05</v>
      </c>
      <c r="FI37" s="2">
        <v>833.42499999999995</v>
      </c>
      <c r="FJ37" s="2">
        <v>843.22500000000002</v>
      </c>
      <c r="FK37" s="2">
        <v>853.17499999999995</v>
      </c>
      <c r="FL37" s="2">
        <v>859.875</v>
      </c>
      <c r="FM37" s="2">
        <v>873.35</v>
      </c>
      <c r="FN37" s="2">
        <v>883.8</v>
      </c>
      <c r="FO37" s="2">
        <v>888.77499999999998</v>
      </c>
      <c r="FP37" s="2">
        <v>913.77499999999998</v>
      </c>
      <c r="FQ37" s="2">
        <v>929.875</v>
      </c>
      <c r="FR37" s="2">
        <v>942.22500000000002</v>
      </c>
      <c r="FS37" s="2">
        <v>944.4</v>
      </c>
      <c r="FT37" s="2">
        <v>957.65</v>
      </c>
      <c r="FU37" s="2">
        <v>967.6</v>
      </c>
      <c r="FV37" s="2">
        <v>966.7</v>
      </c>
      <c r="FW37" s="2">
        <v>976.8</v>
      </c>
      <c r="FX37" s="2">
        <v>981.25</v>
      </c>
      <c r="FY37" s="2">
        <v>990.25</v>
      </c>
      <c r="FZ37" s="2">
        <v>999.42499999999995</v>
      </c>
      <c r="GA37" s="2">
        <v>1011.275</v>
      </c>
      <c r="GB37" s="2">
        <v>1021.875</v>
      </c>
      <c r="GC37" s="2">
        <v>1029.45</v>
      </c>
      <c r="GD37" s="2">
        <v>1053.825</v>
      </c>
      <c r="GE37" s="2">
        <v>1069.6500000000001</v>
      </c>
      <c r="GF37" s="2">
        <v>1081.925</v>
      </c>
      <c r="GG37" s="2">
        <v>1085.625</v>
      </c>
      <c r="GH37" s="2">
        <v>1086.075</v>
      </c>
      <c r="GI37" s="2">
        <v>1094.175</v>
      </c>
      <c r="GJ37" s="2">
        <v>1110.825</v>
      </c>
      <c r="GK37" s="2">
        <v>1123.5</v>
      </c>
      <c r="GL37" s="2">
        <v>1121.3499999999999</v>
      </c>
      <c r="GM37" s="2">
        <v>1119.5</v>
      </c>
      <c r="GN37" s="2">
        <v>1049.2750000000001</v>
      </c>
      <c r="GO37" s="2">
        <v>1104.2249999999999</v>
      </c>
      <c r="GP37" s="2">
        <v>1140.575</v>
      </c>
      <c r="GQ37" s="2">
        <v>1158.05</v>
      </c>
      <c r="GR37" s="2">
        <v>1167.8499999999999</v>
      </c>
      <c r="GS37" s="2">
        <v>1160.7249999999999</v>
      </c>
      <c r="GT37" s="2">
        <v>1166.7750000000001</v>
      </c>
      <c r="GU37" s="2">
        <v>1186.1500000000001</v>
      </c>
      <c r="GV37" s="2">
        <v>1190.5</v>
      </c>
      <c r="GW37" s="2">
        <v>1185.375</v>
      </c>
      <c r="GX37" s="2">
        <v>1185.75</v>
      </c>
      <c r="GY37" s="2">
        <v>1195.875</v>
      </c>
      <c r="GZ37" s="2">
        <v>1222.3499999999999</v>
      </c>
      <c r="HA37" s="2">
        <v>1233.55</v>
      </c>
      <c r="HB37" s="2">
        <v>1249.1500000000001</v>
      </c>
      <c r="HC37" s="2">
        <v>1266.2750000000001</v>
      </c>
      <c r="HD37" s="2">
        <v>1275.7249999999999</v>
      </c>
      <c r="HE37" s="2">
        <v>1285.0250000000001</v>
      </c>
      <c r="HF37" s="2">
        <v>1282.925</v>
      </c>
      <c r="HG37" s="3">
        <v>1294.1690000000001</v>
      </c>
      <c r="HH37" s="3">
        <v>1297.4469999999999</v>
      </c>
      <c r="HI37" s="3">
        <v>1303.059</v>
      </c>
      <c r="HJ37" s="3">
        <v>1312.558</v>
      </c>
      <c r="HK37" s="3">
        <v>1327.0360000000001</v>
      </c>
      <c r="HL37" s="3">
        <v>1343.835</v>
      </c>
      <c r="HM37" s="3">
        <v>1362.998</v>
      </c>
      <c r="HN37" s="3">
        <v>1383.08</v>
      </c>
      <c r="HO37" s="3">
        <v>1402.627</v>
      </c>
      <c r="HP37" s="3">
        <v>1421.0619999999999</v>
      </c>
      <c r="HQ37" s="3">
        <v>1437.758</v>
      </c>
      <c r="HR37" s="3">
        <v>1452.5519999999999</v>
      </c>
      <c r="HS37" s="3">
        <v>1464.175</v>
      </c>
      <c r="HT37" s="3">
        <v>1474.7670000000001</v>
      </c>
      <c r="HU37" s="3">
        <v>1485.078</v>
      </c>
      <c r="HV37" s="3">
        <v>1495.3810000000001</v>
      </c>
      <c r="HW37" s="3">
        <v>1505.8879999999999</v>
      </c>
      <c r="HX37" s="3">
        <v>1516.415</v>
      </c>
      <c r="HY37" s="3">
        <v>1526.9280000000001</v>
      </c>
      <c r="HZ37" s="3">
        <v>1537.521</v>
      </c>
      <c r="IA37" s="3">
        <v>1548.0930000000001</v>
      </c>
      <c r="IB37" s="3">
        <v>1558.49</v>
      </c>
      <c r="IC37" s="3">
        <v>1568.6120000000001</v>
      </c>
      <c r="ID37" s="3">
        <v>1578.414</v>
      </c>
      <c r="IE37" s="3">
        <v>1588.077</v>
      </c>
      <c r="IF37" s="3">
        <v>1597.769</v>
      </c>
      <c r="IG37" s="3">
        <v>1607.4860000000001</v>
      </c>
      <c r="IH37" s="3">
        <v>1617.1790000000001</v>
      </c>
      <c r="II37" s="3">
        <v>1626.8989999999999</v>
      </c>
      <c r="IJ37" s="3">
        <v>1636.673</v>
      </c>
      <c r="IK37" s="3">
        <v>1646.432</v>
      </c>
      <c r="IL37" s="3">
        <v>1656.19</v>
      </c>
      <c r="IM37" s="3">
        <v>1665.9280000000001</v>
      </c>
      <c r="IN37" s="3">
        <v>1675.6420000000001</v>
      </c>
      <c r="IO37" s="3">
        <v>1685.385</v>
      </c>
      <c r="IP37" s="3">
        <v>1695.1559999999999</v>
      </c>
      <c r="IQ37" s="3">
        <v>1704.9559999999999</v>
      </c>
      <c r="IR37" s="3">
        <v>1714.7560000000001</v>
      </c>
      <c r="IS37" s="3">
        <v>1724.529</v>
      </c>
      <c r="IT37" s="3">
        <v>1734.2750000000001</v>
      </c>
      <c r="IU37" s="3">
        <v>1744.0060000000001</v>
      </c>
      <c r="IV37" s="3">
        <v>1753.75</v>
      </c>
      <c r="IW37" s="3">
        <v>1763.5060000000001</v>
      </c>
      <c r="IX37" s="3">
        <v>1773.2760000000001</v>
      </c>
      <c r="IY37" s="3">
        <v>1783.0450000000001</v>
      </c>
      <c r="IZ37" s="3">
        <v>1792.8489999999999</v>
      </c>
      <c r="JA37" s="3">
        <v>1802.66</v>
      </c>
      <c r="JB37" s="3">
        <v>1812.509</v>
      </c>
      <c r="JC37" s="3">
        <v>1822.367</v>
      </c>
      <c r="JD37" s="3">
        <v>1832.2529999999999</v>
      </c>
      <c r="JE37" s="3">
        <v>1842.2149999999999</v>
      </c>
      <c r="JF37" s="3">
        <v>1852.1379999999999</v>
      </c>
      <c r="JG37" s="3">
        <v>1862.11</v>
      </c>
      <c r="JH37" s="3">
        <v>1872.098</v>
      </c>
      <c r="JI37" s="3">
        <v>1882.144</v>
      </c>
      <c r="JJ37" s="3">
        <v>1892.2180000000001</v>
      </c>
      <c r="JK37" s="3">
        <v>1902.337</v>
      </c>
      <c r="JL37" s="3">
        <v>1912.4929999999999</v>
      </c>
      <c r="JM37" s="3">
        <v>1922.615</v>
      </c>
      <c r="JN37" s="3">
        <v>1932.837</v>
      </c>
      <c r="JO37" s="3">
        <v>1943.0709999999999</v>
      </c>
      <c r="JP37" s="3">
        <v>1953.3340000000001</v>
      </c>
      <c r="JQ37" s="3">
        <v>1963.6189999999999</v>
      </c>
      <c r="JR37" s="3">
        <v>1973.9480000000001</v>
      </c>
      <c r="JS37" s="3">
        <v>1984.319</v>
      </c>
      <c r="JT37" s="3">
        <v>1994.7159999999999</v>
      </c>
      <c r="JU37" s="3">
        <v>2005.171</v>
      </c>
      <c r="JV37" s="3">
        <v>2015.6510000000001</v>
      </c>
      <c r="JW37" s="3">
        <v>2026.1659999999999</v>
      </c>
      <c r="JX37" s="3">
        <v>2036.7190000000001</v>
      </c>
      <c r="JY37" s="3">
        <v>2047.306</v>
      </c>
      <c r="JZ37" s="3">
        <v>2057.9340000000002</v>
      </c>
      <c r="KA37" s="3">
        <v>2068.6289999999999</v>
      </c>
      <c r="KB37" s="3">
        <v>2079.3710000000001</v>
      </c>
      <c r="KC37" s="3">
        <v>2090.13</v>
      </c>
      <c r="KD37" s="3">
        <v>2100.96</v>
      </c>
      <c r="KE37" s="3">
        <v>2111.8290000000002</v>
      </c>
      <c r="KF37" s="3">
        <v>2122.721</v>
      </c>
      <c r="KG37" s="3">
        <v>2133.645</v>
      </c>
      <c r="KH37" s="3">
        <v>2144.6350000000002</v>
      </c>
      <c r="KI37" s="3">
        <v>2155.62</v>
      </c>
      <c r="KJ37" s="3">
        <v>2166.652</v>
      </c>
      <c r="KK37" s="3">
        <v>2177.7060000000001</v>
      </c>
      <c r="KL37" s="3">
        <v>2188.8110000000001</v>
      </c>
      <c r="KM37" s="3">
        <v>2199.9699999999998</v>
      </c>
      <c r="KN37" s="3">
        <v>2211.1390000000001</v>
      </c>
      <c r="KO37" s="3">
        <v>2222.3440000000001</v>
      </c>
      <c r="KP37" s="3">
        <v>2233.6219999999998</v>
      </c>
      <c r="KQ37" s="3">
        <v>2244.9079999999999</v>
      </c>
      <c r="KR37" s="3">
        <v>2256.2260000000001</v>
      </c>
      <c r="KS37" s="3">
        <v>2267.5949999999998</v>
      </c>
      <c r="KT37" s="3">
        <v>2278.9920000000002</v>
      </c>
      <c r="KU37" s="3">
        <v>2290.4299999999998</v>
      </c>
      <c r="KV37" s="3">
        <v>2301.9389999999999</v>
      </c>
      <c r="KW37" s="3">
        <v>2313.4209999999998</v>
      </c>
      <c r="KX37" s="3">
        <v>2325.009</v>
      </c>
      <c r="KY37" s="3">
        <v>2336.6089999999999</v>
      </c>
      <c r="KZ37" s="3">
        <v>2348.1869999999999</v>
      </c>
      <c r="LA37" s="3">
        <v>2359.8539999999998</v>
      </c>
      <c r="LB37" s="3">
        <v>2371.529</v>
      </c>
      <c r="LC37" s="3">
        <v>2383.3029999999999</v>
      </c>
      <c r="LD37" s="3">
        <v>2395.0830000000001</v>
      </c>
      <c r="LE37" s="3">
        <v>2406.8690000000001</v>
      </c>
      <c r="LF37" s="3">
        <v>2418.7449999999999</v>
      </c>
      <c r="LG37" s="3">
        <v>2430.6489999999999</v>
      </c>
      <c r="LH37" s="3">
        <v>2442.6080000000002</v>
      </c>
      <c r="LI37" s="3">
        <v>2454.6179999999999</v>
      </c>
      <c r="LJ37" s="3">
        <v>2466.6759999999999</v>
      </c>
      <c r="LK37" s="3">
        <v>2478.8069999999998</v>
      </c>
      <c r="LL37" s="3">
        <v>2490.9670000000001</v>
      </c>
      <c r="LM37" s="3">
        <v>2503.19</v>
      </c>
      <c r="LN37" s="3">
        <v>2515.46</v>
      </c>
      <c r="LO37" s="3">
        <v>2527.7849999999999</v>
      </c>
      <c r="LP37" s="3">
        <v>2540.1559999999999</v>
      </c>
      <c r="LQ37" s="3">
        <v>2552.6039999999998</v>
      </c>
      <c r="LR37" s="3">
        <v>2565.0830000000001</v>
      </c>
      <c r="LS37" s="3">
        <v>2577.6210000000001</v>
      </c>
      <c r="LT37" s="3">
        <v>2590.1979999999999</v>
      </c>
      <c r="LU37" s="3">
        <v>2602.8440000000001</v>
      </c>
      <c r="LV37" s="3">
        <v>2615.5430000000001</v>
      </c>
      <c r="LW37" s="3">
        <v>2628.2860000000001</v>
      </c>
      <c r="LX37" s="3">
        <v>2641.1039999999998</v>
      </c>
      <c r="LY37" s="3">
        <v>2653.971</v>
      </c>
      <c r="LZ37" s="3">
        <v>2666.8580000000002</v>
      </c>
      <c r="MA37" s="3">
        <v>2679.846</v>
      </c>
      <c r="MB37" s="3">
        <v>2692.855</v>
      </c>
      <c r="MC37" s="3">
        <v>2705.94</v>
      </c>
      <c r="MD37" s="3">
        <v>2719.0810000000001</v>
      </c>
      <c r="ME37" s="3">
        <v>2732.268</v>
      </c>
      <c r="MF37" s="3">
        <v>2745.5149999999999</v>
      </c>
      <c r="MG37" s="3">
        <v>2758.8440000000001</v>
      </c>
      <c r="MH37" s="3">
        <v>2772.2130000000002</v>
      </c>
      <c r="MI37" s="3">
        <v>2785.6529999999998</v>
      </c>
      <c r="MJ37" s="3">
        <v>2799.1509999999998</v>
      </c>
      <c r="MK37" s="3">
        <v>2812.703</v>
      </c>
      <c r="ML37" s="3">
        <v>2826.3110000000001</v>
      </c>
      <c r="MM37" s="3">
        <v>2840</v>
      </c>
      <c r="MN37" s="3">
        <v>2853.7350000000001</v>
      </c>
      <c r="MO37" s="3">
        <v>2867.518</v>
      </c>
      <c r="MP37" s="3">
        <v>2881.3960000000002</v>
      </c>
      <c r="MQ37" s="3">
        <v>2895.3020000000001</v>
      </c>
      <c r="MR37" s="3">
        <v>2909.2829999999999</v>
      </c>
      <c r="MS37" s="3">
        <v>2923.3319999999999</v>
      </c>
      <c r="MT37" s="3">
        <v>2937.424</v>
      </c>
      <c r="MU37" t="s">
        <v>385</v>
      </c>
      <c r="MV37" t="b">
        <v>1</v>
      </c>
      <c r="MW37" s="1" t="s">
        <v>386</v>
      </c>
      <c r="MX37" t="s">
        <v>377</v>
      </c>
      <c r="MY37">
        <v>2024</v>
      </c>
      <c r="MZ37">
        <v>4</v>
      </c>
      <c r="NA37" t="s">
        <v>377</v>
      </c>
      <c r="NB37" s="1" t="s">
        <v>451</v>
      </c>
      <c r="NC37" s="1" t="s">
        <v>452</v>
      </c>
      <c r="ND37" t="s">
        <v>389</v>
      </c>
      <c r="NE37" t="s">
        <v>450</v>
      </c>
      <c r="NF37" s="1" t="s">
        <v>526</v>
      </c>
    </row>
    <row r="38" spans="1:370" x14ac:dyDescent="0.25">
      <c r="A38" t="s">
        <v>370</v>
      </c>
      <c r="B38" t="s">
        <v>390</v>
      </c>
      <c r="C38" s="1" t="s">
        <v>525</v>
      </c>
      <c r="D38" t="s">
        <v>372</v>
      </c>
      <c r="E38" t="s">
        <v>373</v>
      </c>
      <c r="F38" t="s">
        <v>374</v>
      </c>
      <c r="G38" s="2">
        <v>16141.32</v>
      </c>
      <c r="H38" s="2">
        <v>15761.6</v>
      </c>
      <c r="I38" s="2">
        <v>15887.1</v>
      </c>
      <c r="J38" s="2">
        <v>16340.84</v>
      </c>
      <c r="K38" s="2">
        <v>16527.48</v>
      </c>
      <c r="L38" s="2">
        <v>17109.93</v>
      </c>
      <c r="M38" s="2">
        <v>16784.919999999998</v>
      </c>
      <c r="N38" s="2">
        <v>17497.7</v>
      </c>
      <c r="O38" s="2">
        <v>16895.939999999999</v>
      </c>
      <c r="P38" s="2">
        <v>16410.02</v>
      </c>
      <c r="Q38" s="2">
        <v>17291.75</v>
      </c>
      <c r="R38" s="2">
        <v>16514.61</v>
      </c>
      <c r="S38" s="2">
        <v>16797.79</v>
      </c>
      <c r="T38" s="2">
        <v>17249.91</v>
      </c>
      <c r="U38" s="2">
        <v>17314.27</v>
      </c>
      <c r="V38" s="2">
        <v>17288.53</v>
      </c>
      <c r="W38" s="2">
        <v>16509.78</v>
      </c>
      <c r="X38" s="2">
        <v>17850.060000000001</v>
      </c>
      <c r="Y38" s="2">
        <v>17277.27</v>
      </c>
      <c r="Z38" s="2">
        <v>17983.61</v>
      </c>
      <c r="AA38" s="2">
        <v>18171.86</v>
      </c>
      <c r="AB38" s="2">
        <v>18430.91</v>
      </c>
      <c r="AC38" s="2">
        <v>17861.330000000002</v>
      </c>
      <c r="AD38" s="2">
        <v>17591.02</v>
      </c>
      <c r="AE38" s="2">
        <v>18372.98</v>
      </c>
      <c r="AF38" s="2">
        <v>18646.509999999998</v>
      </c>
      <c r="AG38" s="2">
        <v>18905.560000000001</v>
      </c>
      <c r="AH38" s="2">
        <v>18569.28</v>
      </c>
      <c r="AI38" s="2">
        <v>18319.89</v>
      </c>
      <c r="AJ38" s="2">
        <v>18007.75</v>
      </c>
      <c r="AK38" s="2">
        <v>17697.21</v>
      </c>
      <c r="AL38" s="2">
        <v>17259.57</v>
      </c>
      <c r="AM38" s="2">
        <v>16474.38</v>
      </c>
      <c r="AN38" s="2">
        <v>16442.2</v>
      </c>
      <c r="AO38" s="2">
        <v>16635.28</v>
      </c>
      <c r="AP38" s="2">
        <v>16595.060000000001</v>
      </c>
      <c r="AQ38" s="2">
        <v>16825.14</v>
      </c>
      <c r="AR38" s="2">
        <v>16926.509999999998</v>
      </c>
      <c r="AS38" s="2">
        <v>17586.189999999999</v>
      </c>
      <c r="AT38" s="2">
        <v>17439.77</v>
      </c>
      <c r="AU38" s="2">
        <v>17069.71</v>
      </c>
      <c r="AV38" s="2">
        <v>17183.95</v>
      </c>
      <c r="AW38" s="2">
        <v>17130.849999999999</v>
      </c>
      <c r="AX38" s="2">
        <v>18360.11</v>
      </c>
      <c r="AY38" s="2">
        <v>18355.29</v>
      </c>
      <c r="AZ38" s="2">
        <v>19235.400000000001</v>
      </c>
      <c r="BA38" s="2">
        <v>19655.34</v>
      </c>
      <c r="BB38" s="2">
        <v>20369.73</v>
      </c>
      <c r="BC38" s="2">
        <v>22601.39</v>
      </c>
      <c r="BD38" s="2">
        <v>20033.46</v>
      </c>
      <c r="BE38" s="2">
        <v>20541.89</v>
      </c>
      <c r="BF38" s="2">
        <v>20672.22</v>
      </c>
      <c r="BG38" s="2">
        <v>20701.18</v>
      </c>
      <c r="BH38" s="2">
        <v>19684.310000000001</v>
      </c>
      <c r="BI38" s="2">
        <v>20858.86</v>
      </c>
      <c r="BJ38" s="2">
        <v>21504.07</v>
      </c>
      <c r="BK38" s="2">
        <v>20059.2</v>
      </c>
      <c r="BL38" s="2">
        <v>20730.150000000001</v>
      </c>
      <c r="BM38" s="2">
        <v>22463.02</v>
      </c>
      <c r="BN38" s="2">
        <v>23907.89</v>
      </c>
      <c r="BO38" s="2">
        <v>24942.46</v>
      </c>
      <c r="BP38" s="2">
        <v>26202.3</v>
      </c>
      <c r="BQ38" s="2">
        <v>27618.21</v>
      </c>
      <c r="BR38" s="2">
        <v>28400.17</v>
      </c>
      <c r="BS38" s="2">
        <v>29542.55</v>
      </c>
      <c r="BT38" s="2">
        <v>29964.1</v>
      </c>
      <c r="BU38" s="2">
        <v>30734.81</v>
      </c>
      <c r="BV38" s="2">
        <v>29954.45</v>
      </c>
      <c r="BW38" s="2">
        <v>30036.51</v>
      </c>
      <c r="BX38" s="2">
        <v>30549.77</v>
      </c>
      <c r="BY38" s="2">
        <v>29954.45</v>
      </c>
      <c r="BZ38" s="2">
        <v>29571.51</v>
      </c>
      <c r="CA38" s="2">
        <v>29000.32</v>
      </c>
      <c r="CB38" s="2">
        <v>27787.15</v>
      </c>
      <c r="CC38" s="2">
        <v>26511.22</v>
      </c>
      <c r="CD38" s="2">
        <v>27193.43</v>
      </c>
      <c r="CE38" s="2">
        <v>27336.63</v>
      </c>
      <c r="CF38" s="2">
        <v>26749.35</v>
      </c>
      <c r="CG38" s="2">
        <v>26705.91</v>
      </c>
      <c r="CH38" s="2">
        <v>25526.53</v>
      </c>
      <c r="CI38" s="2">
        <v>26155.64</v>
      </c>
      <c r="CJ38" s="2">
        <v>25249.78</v>
      </c>
      <c r="CK38" s="2">
        <v>25272.31</v>
      </c>
      <c r="CL38" s="2">
        <v>25779.14</v>
      </c>
      <c r="CM38" s="2">
        <v>26289.18</v>
      </c>
      <c r="CN38" s="2">
        <v>26165.29</v>
      </c>
      <c r="CO38" s="2">
        <v>27072.76</v>
      </c>
      <c r="CP38" s="2">
        <v>27940</v>
      </c>
      <c r="CQ38" s="2">
        <v>27405.82</v>
      </c>
      <c r="CR38" s="2">
        <v>28374.43</v>
      </c>
      <c r="CS38" s="2">
        <v>29775.85</v>
      </c>
      <c r="CT38" s="2">
        <v>30244.07</v>
      </c>
      <c r="CU38" s="2">
        <v>31153.14</v>
      </c>
      <c r="CV38" s="2">
        <v>32063.83</v>
      </c>
      <c r="CW38" s="2">
        <v>32398.49</v>
      </c>
      <c r="CX38" s="2">
        <v>32279.43</v>
      </c>
      <c r="CY38" s="2">
        <v>35462</v>
      </c>
      <c r="CZ38" s="2">
        <v>37021</v>
      </c>
      <c r="DA38" s="2">
        <v>39279</v>
      </c>
      <c r="DB38" s="2">
        <v>40300</v>
      </c>
      <c r="DC38" s="2">
        <v>40946</v>
      </c>
      <c r="DD38" s="2">
        <v>40781</v>
      </c>
      <c r="DE38" s="2">
        <v>40414</v>
      </c>
      <c r="DF38" s="2">
        <v>41424</v>
      </c>
      <c r="DG38" s="2">
        <v>41135</v>
      </c>
      <c r="DH38" s="2">
        <v>41175</v>
      </c>
      <c r="DI38" s="2">
        <v>42369</v>
      </c>
      <c r="DJ38" s="2">
        <v>41945</v>
      </c>
      <c r="DK38" s="2">
        <v>43624</v>
      </c>
      <c r="DL38" s="2">
        <v>46153</v>
      </c>
      <c r="DM38" s="2">
        <v>43061</v>
      </c>
      <c r="DN38" s="2">
        <v>44611</v>
      </c>
      <c r="DO38" s="2">
        <v>44343</v>
      </c>
      <c r="DP38" s="2">
        <v>44742</v>
      </c>
      <c r="DQ38" s="2">
        <v>44742</v>
      </c>
      <c r="DR38" s="2">
        <v>42863</v>
      </c>
      <c r="DS38" s="2">
        <v>42091</v>
      </c>
      <c r="DT38" s="2">
        <v>41670</v>
      </c>
      <c r="DU38" s="2">
        <v>43962</v>
      </c>
      <c r="DV38" s="2">
        <v>45720</v>
      </c>
      <c r="DW38" s="2">
        <v>45673</v>
      </c>
      <c r="DX38" s="2">
        <v>41335</v>
      </c>
      <c r="DY38" s="2">
        <v>42368</v>
      </c>
      <c r="DZ38" s="2">
        <v>42114</v>
      </c>
      <c r="EA38" s="2">
        <v>42450</v>
      </c>
      <c r="EB38" s="2">
        <v>39055</v>
      </c>
      <c r="EC38" s="2">
        <v>41359</v>
      </c>
      <c r="ED38" s="2">
        <v>42269</v>
      </c>
      <c r="EE38" s="2">
        <v>42057</v>
      </c>
      <c r="EF38" s="2">
        <v>43213.5</v>
      </c>
      <c r="EG38" s="2">
        <v>44370</v>
      </c>
      <c r="EH38" s="2">
        <v>44148</v>
      </c>
      <c r="EI38" s="2">
        <v>46400</v>
      </c>
      <c r="EJ38" s="2">
        <v>44590</v>
      </c>
      <c r="EK38" s="2">
        <v>48023</v>
      </c>
      <c r="EL38" s="2">
        <v>48119</v>
      </c>
      <c r="EM38" s="2">
        <v>50429</v>
      </c>
      <c r="EN38" s="2">
        <v>51135</v>
      </c>
      <c r="EO38" s="2">
        <v>48885</v>
      </c>
      <c r="EP38" s="2">
        <v>52991</v>
      </c>
      <c r="EQ38" s="2">
        <v>49124</v>
      </c>
      <c r="ER38" s="2">
        <v>50990</v>
      </c>
      <c r="ES38" s="2">
        <v>49052</v>
      </c>
      <c r="ET38" s="2">
        <v>47384</v>
      </c>
      <c r="EU38" s="2">
        <v>43119</v>
      </c>
      <c r="EV38" s="2">
        <v>40877</v>
      </c>
      <c r="EW38" s="2">
        <v>39978</v>
      </c>
      <c r="EX38" s="2">
        <v>39618</v>
      </c>
      <c r="EY38" s="2">
        <v>41479</v>
      </c>
      <c r="EZ38" s="2">
        <v>40858</v>
      </c>
      <c r="FA38" s="2">
        <v>42697</v>
      </c>
      <c r="FB38" s="2">
        <v>45515</v>
      </c>
      <c r="FC38" s="2">
        <v>42330</v>
      </c>
      <c r="FD38" s="2">
        <v>44742</v>
      </c>
      <c r="FE38" s="2">
        <v>46218</v>
      </c>
      <c r="FF38" s="2">
        <v>47373</v>
      </c>
      <c r="FG38" s="2">
        <v>49127</v>
      </c>
      <c r="FH38" s="2">
        <v>47014</v>
      </c>
      <c r="FI38" s="2">
        <v>47249</v>
      </c>
      <c r="FJ38" s="2">
        <v>49989</v>
      </c>
      <c r="FK38" s="2">
        <v>48539</v>
      </c>
      <c r="FL38" s="2">
        <v>49510</v>
      </c>
      <c r="FM38" s="2">
        <v>51243</v>
      </c>
      <c r="FN38" s="2">
        <v>51038</v>
      </c>
      <c r="FO38" s="2">
        <v>52059</v>
      </c>
      <c r="FP38" s="2">
        <v>52215</v>
      </c>
      <c r="FQ38" s="2">
        <v>52581</v>
      </c>
      <c r="FR38" s="2">
        <v>54474</v>
      </c>
      <c r="FS38" s="2">
        <v>57960</v>
      </c>
      <c r="FT38" s="2">
        <v>56395</v>
      </c>
      <c r="FU38" s="2">
        <v>56508</v>
      </c>
      <c r="FV38" s="2">
        <v>60238</v>
      </c>
      <c r="FW38" s="2">
        <v>61684</v>
      </c>
      <c r="FX38" s="2">
        <v>61499</v>
      </c>
      <c r="FY38" s="2">
        <v>62975</v>
      </c>
      <c r="FZ38" s="2">
        <v>60645</v>
      </c>
      <c r="GA38" s="2">
        <v>62040</v>
      </c>
      <c r="GB38" s="2">
        <v>61730</v>
      </c>
      <c r="GC38" s="2">
        <v>60681</v>
      </c>
      <c r="GD38" s="2">
        <v>61713</v>
      </c>
      <c r="GE38" s="2">
        <v>61342</v>
      </c>
      <c r="GF38" s="2">
        <v>60055</v>
      </c>
      <c r="GG38" s="2">
        <v>60115</v>
      </c>
      <c r="GH38" s="2">
        <v>60536</v>
      </c>
      <c r="GI38" s="2">
        <v>61201</v>
      </c>
      <c r="GJ38" s="2">
        <v>62181</v>
      </c>
      <c r="GK38" s="2">
        <v>61932</v>
      </c>
      <c r="GL38" s="2">
        <v>61994</v>
      </c>
      <c r="GM38" s="2">
        <v>60599</v>
      </c>
      <c r="GN38" s="2">
        <v>48951</v>
      </c>
      <c r="GO38" s="2">
        <v>54710</v>
      </c>
      <c r="GP38" s="2">
        <v>57775</v>
      </c>
      <c r="GQ38" s="2">
        <v>53828</v>
      </c>
      <c r="GR38" s="2">
        <v>57987</v>
      </c>
      <c r="GS38" s="2">
        <v>56998</v>
      </c>
      <c r="GT38" s="2">
        <v>57178</v>
      </c>
      <c r="GU38" s="2">
        <v>58903</v>
      </c>
      <c r="GV38" s="2">
        <v>60332</v>
      </c>
      <c r="GW38" s="2">
        <v>60887</v>
      </c>
      <c r="GX38" s="2">
        <v>59248</v>
      </c>
      <c r="GY38" s="2">
        <v>62590</v>
      </c>
      <c r="GZ38" s="2">
        <v>63199</v>
      </c>
      <c r="HA38" s="2">
        <v>61724</v>
      </c>
      <c r="HB38" s="2">
        <v>62795</v>
      </c>
      <c r="HC38" s="2">
        <v>62349</v>
      </c>
      <c r="HD38" s="2">
        <v>63236</v>
      </c>
      <c r="HE38" s="2">
        <v>64412</v>
      </c>
      <c r="HF38" s="2">
        <v>62338</v>
      </c>
      <c r="HG38" s="3">
        <v>63578.53</v>
      </c>
      <c r="HH38" s="3">
        <v>63756.54</v>
      </c>
      <c r="HI38" s="3">
        <v>63966.93</v>
      </c>
      <c r="HJ38" s="3">
        <v>64171.65</v>
      </c>
      <c r="HK38" s="3">
        <v>64511.7</v>
      </c>
      <c r="HL38" s="3">
        <v>64879.45</v>
      </c>
      <c r="HM38" s="3">
        <v>65294.7</v>
      </c>
      <c r="HN38" s="3">
        <v>65686.47</v>
      </c>
      <c r="HO38" s="3">
        <v>66060.86</v>
      </c>
      <c r="HP38" s="3">
        <v>66437.399999999994</v>
      </c>
      <c r="HQ38" s="3">
        <v>66869.23</v>
      </c>
      <c r="HR38" s="3">
        <v>67357.429999999993</v>
      </c>
      <c r="HS38" s="3">
        <v>67869.34</v>
      </c>
      <c r="HT38" s="3">
        <v>68385.16</v>
      </c>
      <c r="HU38" s="3">
        <v>68898.03</v>
      </c>
      <c r="HV38" s="3">
        <v>69380.33</v>
      </c>
      <c r="HW38" s="3">
        <v>69810.48</v>
      </c>
      <c r="HX38" s="3">
        <v>70236.34</v>
      </c>
      <c r="HY38" s="3">
        <v>70657.75</v>
      </c>
      <c r="HZ38" s="3">
        <v>71081.7</v>
      </c>
      <c r="IA38" s="3">
        <v>71515.289999999994</v>
      </c>
      <c r="IB38" s="3">
        <v>71951.53</v>
      </c>
      <c r="IC38" s="3">
        <v>72390.44</v>
      </c>
      <c r="ID38" s="3">
        <v>72832.02</v>
      </c>
      <c r="IE38" s="3">
        <v>73276.289999999994</v>
      </c>
      <c r="IF38" s="3">
        <v>73723.28</v>
      </c>
      <c r="IG38" s="3">
        <v>74172.990000000005</v>
      </c>
      <c r="IH38" s="3">
        <v>74625.45</v>
      </c>
      <c r="II38" s="3">
        <v>75080.66</v>
      </c>
      <c r="IJ38" s="3">
        <v>75538.66</v>
      </c>
      <c r="IK38" s="3">
        <v>75999.44</v>
      </c>
      <c r="IL38" s="3">
        <v>76463.03</v>
      </c>
      <c r="IM38" s="3">
        <v>76898.289999999994</v>
      </c>
      <c r="IN38" s="3">
        <v>77323.600000000006</v>
      </c>
      <c r="IO38" s="3">
        <v>77750.77</v>
      </c>
      <c r="IP38" s="3">
        <v>78166.83</v>
      </c>
      <c r="IQ38" s="3">
        <v>78596.56</v>
      </c>
      <c r="IR38" s="3">
        <v>79020.75</v>
      </c>
      <c r="IS38" s="3">
        <v>79445.600000000006</v>
      </c>
      <c r="IT38" s="3">
        <v>79869.240000000005</v>
      </c>
      <c r="IU38" s="3">
        <v>80304.62</v>
      </c>
      <c r="IV38" s="3">
        <v>80742.23</v>
      </c>
      <c r="IW38" s="3">
        <v>81182.03</v>
      </c>
      <c r="IX38" s="3">
        <v>81624.03</v>
      </c>
      <c r="IY38" s="3">
        <v>82075.320000000007</v>
      </c>
      <c r="IZ38" s="3">
        <v>82529.23</v>
      </c>
      <c r="JA38" s="3">
        <v>82985.759999999995</v>
      </c>
      <c r="JB38" s="3">
        <v>83444.92</v>
      </c>
      <c r="JC38" s="3">
        <v>83906.71</v>
      </c>
      <c r="JD38" s="3">
        <v>84371.13</v>
      </c>
      <c r="JE38" s="3">
        <v>84838.23</v>
      </c>
      <c r="JF38" s="3">
        <v>85308.02</v>
      </c>
      <c r="JG38" s="3">
        <v>85787.61</v>
      </c>
      <c r="JH38" s="3">
        <v>86270.04</v>
      </c>
      <c r="JI38" s="3">
        <v>86755.39</v>
      </c>
      <c r="JJ38" s="3">
        <v>87243.67</v>
      </c>
      <c r="JK38" s="3">
        <v>87734.89</v>
      </c>
      <c r="JL38" s="3">
        <v>88229.07</v>
      </c>
      <c r="JM38" s="3">
        <v>88726.23</v>
      </c>
      <c r="JN38" s="3">
        <v>89226.41</v>
      </c>
      <c r="JO38" s="3">
        <v>89709.53</v>
      </c>
      <c r="JP38" s="3">
        <v>90195.32</v>
      </c>
      <c r="JQ38" s="3">
        <v>90683.78</v>
      </c>
      <c r="JR38" s="3">
        <v>91174.93</v>
      </c>
      <c r="JS38" s="3">
        <v>91676.77</v>
      </c>
      <c r="JT38" s="3">
        <v>92181.48</v>
      </c>
      <c r="JU38" s="3">
        <v>92690.03</v>
      </c>
      <c r="JV38" s="3">
        <v>93201.48</v>
      </c>
      <c r="JW38" s="3">
        <v>93715.82</v>
      </c>
      <c r="JX38" s="3">
        <v>94233.07</v>
      </c>
      <c r="JY38" s="3">
        <v>94745.3</v>
      </c>
      <c r="JZ38" s="3">
        <v>95260.3</v>
      </c>
      <c r="KA38" s="3">
        <v>95778.08</v>
      </c>
      <c r="KB38" s="3">
        <v>96298.64</v>
      </c>
      <c r="KC38" s="3">
        <v>96812.25</v>
      </c>
      <c r="KD38" s="3">
        <v>97328.43</v>
      </c>
      <c r="KE38" s="3">
        <v>97847.16</v>
      </c>
      <c r="KF38" s="3">
        <v>98368.49</v>
      </c>
      <c r="KG38" s="3">
        <v>98874.33</v>
      </c>
      <c r="KH38" s="3">
        <v>99382.39</v>
      </c>
      <c r="KI38" s="3">
        <v>99892.72</v>
      </c>
      <c r="KJ38" s="3">
        <v>100405.3</v>
      </c>
      <c r="KK38" s="3">
        <v>100911.6</v>
      </c>
      <c r="KL38" s="3">
        <v>101420.1</v>
      </c>
      <c r="KM38" s="3">
        <v>101930.6</v>
      </c>
      <c r="KN38" s="3">
        <v>102443.3</v>
      </c>
      <c r="KO38" s="3">
        <v>102957.8</v>
      </c>
      <c r="KP38" s="3">
        <v>103474.4</v>
      </c>
      <c r="KQ38" s="3">
        <v>103993.2</v>
      </c>
      <c r="KR38" s="3">
        <v>104514.2</v>
      </c>
      <c r="KS38" s="3">
        <v>105031.1</v>
      </c>
      <c r="KT38" s="3">
        <v>105550.1</v>
      </c>
      <c r="KU38" s="3">
        <v>106071.3</v>
      </c>
      <c r="KV38" s="3">
        <v>106594.5</v>
      </c>
      <c r="KW38" s="3">
        <v>107117.2</v>
      </c>
      <c r="KX38" s="3">
        <v>107642</v>
      </c>
      <c r="KY38" s="3">
        <v>108168.9</v>
      </c>
      <c r="KZ38" s="3">
        <v>108697.9</v>
      </c>
      <c r="LA38" s="3">
        <v>109220.3</v>
      </c>
      <c r="LB38" s="3">
        <v>109744.8</v>
      </c>
      <c r="LC38" s="3">
        <v>110254.6</v>
      </c>
      <c r="LD38" s="3">
        <v>110766.2</v>
      </c>
      <c r="LE38" s="3">
        <v>111276.6</v>
      </c>
      <c r="LF38" s="3">
        <v>111788.7</v>
      </c>
      <c r="LG38" s="3">
        <v>112302.6</v>
      </c>
      <c r="LH38" s="3">
        <v>112818.2</v>
      </c>
      <c r="LI38" s="3">
        <v>113331.1</v>
      </c>
      <c r="LJ38" s="3">
        <v>113845.7</v>
      </c>
      <c r="LK38" s="3">
        <v>114362.1</v>
      </c>
      <c r="LL38" s="3">
        <v>114880.1</v>
      </c>
      <c r="LM38" s="3">
        <v>115390.8</v>
      </c>
      <c r="LN38" s="3">
        <v>115903</v>
      </c>
      <c r="LO38" s="3">
        <v>116416.7</v>
      </c>
      <c r="LP38" s="3">
        <v>116932</v>
      </c>
      <c r="LQ38" s="3">
        <v>117448.6</v>
      </c>
      <c r="LR38" s="3">
        <v>117966.8</v>
      </c>
      <c r="LS38" s="3">
        <v>118486.6</v>
      </c>
      <c r="LT38" s="3">
        <v>119008</v>
      </c>
      <c r="LU38" s="3">
        <v>119526.9</v>
      </c>
      <c r="LV38" s="3">
        <v>120047.3</v>
      </c>
      <c r="LW38" s="3">
        <v>120569.3</v>
      </c>
      <c r="LX38" s="3">
        <v>121092.7</v>
      </c>
      <c r="LY38" s="3">
        <v>121613.8</v>
      </c>
      <c r="LZ38" s="3">
        <v>122136.3</v>
      </c>
      <c r="MA38" s="3">
        <v>122660.4</v>
      </c>
      <c r="MB38" s="3">
        <v>123185.8</v>
      </c>
      <c r="MC38" s="3">
        <v>123712.5</v>
      </c>
      <c r="MD38" s="3">
        <v>124240.7</v>
      </c>
      <c r="ME38" s="3">
        <v>124770.4</v>
      </c>
      <c r="MF38" s="3">
        <v>125301.7</v>
      </c>
      <c r="MG38" s="3">
        <v>125837.3</v>
      </c>
      <c r="MH38" s="3">
        <v>126374.6</v>
      </c>
      <c r="MI38" s="3">
        <v>126913.5</v>
      </c>
      <c r="MJ38" s="3">
        <v>127454</v>
      </c>
      <c r="MK38" s="3">
        <v>127993.4</v>
      </c>
      <c r="ML38" s="3">
        <v>128534.5</v>
      </c>
      <c r="MM38" s="3">
        <v>129077.2</v>
      </c>
      <c r="MN38" s="3">
        <v>129621.5</v>
      </c>
      <c r="MO38" s="3">
        <v>130170.1</v>
      </c>
      <c r="MP38" s="3">
        <v>130720.4</v>
      </c>
      <c r="MQ38" s="3">
        <v>131272.29999999999</v>
      </c>
      <c r="MR38" s="3">
        <v>131825.9</v>
      </c>
      <c r="MS38" s="3">
        <v>132381.20000000001</v>
      </c>
      <c r="MT38" s="3">
        <v>132938.20000000001</v>
      </c>
      <c r="MU38" t="s">
        <v>375</v>
      </c>
      <c r="MV38" t="b">
        <v>1</v>
      </c>
      <c r="MW38" s="1" t="s">
        <v>376</v>
      </c>
      <c r="MX38" t="s">
        <v>377</v>
      </c>
      <c r="MY38">
        <v>2024</v>
      </c>
      <c r="MZ38">
        <v>4</v>
      </c>
      <c r="NA38" t="s">
        <v>377</v>
      </c>
      <c r="NB38" t="s">
        <v>391</v>
      </c>
      <c r="NC38" s="1" t="s">
        <v>392</v>
      </c>
      <c r="ND38" t="s">
        <v>380</v>
      </c>
      <c r="NE38" t="s">
        <v>393</v>
      </c>
      <c r="NF38" s="1" t="s">
        <v>526</v>
      </c>
    </row>
    <row r="39" spans="1:370" x14ac:dyDescent="0.25">
      <c r="A39" t="s">
        <v>382</v>
      </c>
      <c r="B39" t="s">
        <v>390</v>
      </c>
      <c r="C39" s="1" t="s">
        <v>525</v>
      </c>
      <c r="D39" t="s">
        <v>383</v>
      </c>
      <c r="E39" t="s">
        <v>384</v>
      </c>
      <c r="F39" t="s">
        <v>374</v>
      </c>
      <c r="G39" s="2">
        <v>102.5</v>
      </c>
      <c r="H39" s="2">
        <v>106.3</v>
      </c>
      <c r="I39" s="2">
        <v>107.95</v>
      </c>
      <c r="J39" s="2">
        <v>108.75</v>
      </c>
      <c r="K39" s="2">
        <v>108.65</v>
      </c>
      <c r="L39" s="2">
        <v>108.45</v>
      </c>
      <c r="M39" s="2">
        <v>107.35</v>
      </c>
      <c r="N39" s="2">
        <v>104.52500000000001</v>
      </c>
      <c r="O39" s="2">
        <v>98.55</v>
      </c>
      <c r="P39" s="2">
        <v>96.2</v>
      </c>
      <c r="Q39" s="2">
        <v>97.224999999999994</v>
      </c>
      <c r="R39" s="2">
        <v>98.375</v>
      </c>
      <c r="S39" s="2">
        <v>100.47499999999999</v>
      </c>
      <c r="T39" s="2">
        <v>101.825</v>
      </c>
      <c r="U39" s="2">
        <v>104.05</v>
      </c>
      <c r="V39" s="2">
        <v>106.05</v>
      </c>
      <c r="W39" s="2">
        <v>109.925</v>
      </c>
      <c r="X39" s="2">
        <v>112.95</v>
      </c>
      <c r="Y39" s="2">
        <v>115.2</v>
      </c>
      <c r="Z39" s="2">
        <v>118.72499999999999</v>
      </c>
      <c r="AA39" s="2">
        <v>119.75</v>
      </c>
      <c r="AB39" s="2">
        <v>129.02500000000001</v>
      </c>
      <c r="AC39" s="2">
        <v>133.42500000000001</v>
      </c>
      <c r="AD39" s="2">
        <v>137.72499999999999</v>
      </c>
      <c r="AE39" s="2">
        <v>140.9</v>
      </c>
      <c r="AF39" s="2">
        <v>140.75</v>
      </c>
      <c r="AG39" s="2">
        <v>144.92500000000001</v>
      </c>
      <c r="AH39" s="2">
        <v>145.32499999999999</v>
      </c>
      <c r="AI39" s="2">
        <v>146.9</v>
      </c>
      <c r="AJ39" s="2">
        <v>140.1</v>
      </c>
      <c r="AK39" s="2">
        <v>141.02500000000001</v>
      </c>
      <c r="AL39" s="2">
        <v>143.97499999999999</v>
      </c>
      <c r="AM39" s="2">
        <v>146.9</v>
      </c>
      <c r="AN39" s="2">
        <v>149.875</v>
      </c>
      <c r="AO39" s="2">
        <v>153.375</v>
      </c>
      <c r="AP39" s="2">
        <v>156.94999999999999</v>
      </c>
      <c r="AQ39" s="2">
        <v>153.65</v>
      </c>
      <c r="AR39" s="2">
        <v>148.875</v>
      </c>
      <c r="AS39" s="2">
        <v>144.6</v>
      </c>
      <c r="AT39" s="2">
        <v>142.1</v>
      </c>
      <c r="AU39" s="2">
        <v>139.97499999999999</v>
      </c>
      <c r="AV39" s="2">
        <v>141.92500000000001</v>
      </c>
      <c r="AW39" s="2">
        <v>147.9</v>
      </c>
      <c r="AX39" s="2">
        <v>156.82499999999999</v>
      </c>
      <c r="AY39" s="2">
        <v>161.82499999999999</v>
      </c>
      <c r="AZ39" s="2">
        <v>169.375</v>
      </c>
      <c r="BA39" s="2">
        <v>174.55</v>
      </c>
      <c r="BB39" s="2">
        <v>178.67500000000001</v>
      </c>
      <c r="BC39" s="2">
        <v>180.67500000000001</v>
      </c>
      <c r="BD39" s="2">
        <v>183.25</v>
      </c>
      <c r="BE39" s="2">
        <v>181.17500000000001</v>
      </c>
      <c r="BF39" s="2">
        <v>184.45</v>
      </c>
      <c r="BG39" s="2">
        <v>182.625</v>
      </c>
      <c r="BH39" s="2">
        <v>178.92500000000001</v>
      </c>
      <c r="BI39" s="2">
        <v>176.875</v>
      </c>
      <c r="BJ39" s="2">
        <v>178.57499999999999</v>
      </c>
      <c r="BK39" s="2">
        <v>174.35</v>
      </c>
      <c r="BL39" s="2">
        <v>177.875</v>
      </c>
      <c r="BM39" s="2">
        <v>182.8</v>
      </c>
      <c r="BN39" s="2">
        <v>182.57499999999999</v>
      </c>
      <c r="BO39" s="2">
        <v>184.05</v>
      </c>
      <c r="BP39" s="2">
        <v>188.15</v>
      </c>
      <c r="BQ39" s="2">
        <v>189.32499999999999</v>
      </c>
      <c r="BR39" s="2">
        <v>191.97499999999999</v>
      </c>
      <c r="BS39" s="2">
        <v>195.05</v>
      </c>
      <c r="BT39" s="2">
        <v>197.67500000000001</v>
      </c>
      <c r="BU39" s="2">
        <v>202.7</v>
      </c>
      <c r="BV39" s="2">
        <v>200.67500000000001</v>
      </c>
      <c r="BW39" s="2">
        <v>203.25</v>
      </c>
      <c r="BX39" s="2">
        <v>200.6</v>
      </c>
      <c r="BY39" s="2">
        <v>202</v>
      </c>
      <c r="BZ39" s="2">
        <v>198.82499999999999</v>
      </c>
      <c r="CA39" s="2">
        <v>194.85</v>
      </c>
      <c r="CB39" s="2">
        <v>193.875</v>
      </c>
      <c r="CC39" s="2">
        <v>192.2</v>
      </c>
      <c r="CD39" s="2">
        <v>192.1</v>
      </c>
      <c r="CE39" s="2">
        <v>191.35</v>
      </c>
      <c r="CF39" s="2">
        <v>197.52500000000001</v>
      </c>
      <c r="CG39" s="2">
        <v>200.55</v>
      </c>
      <c r="CH39" s="2">
        <v>205.8</v>
      </c>
      <c r="CI39" s="2">
        <v>207.85</v>
      </c>
      <c r="CJ39" s="2">
        <v>211.92500000000001</v>
      </c>
      <c r="CK39" s="2">
        <v>213.65</v>
      </c>
      <c r="CL39" s="2">
        <v>221.35</v>
      </c>
      <c r="CM39" s="2">
        <v>223.67500000000001</v>
      </c>
      <c r="CN39" s="2">
        <v>227.17500000000001</v>
      </c>
      <c r="CO39" s="2">
        <v>231.05</v>
      </c>
      <c r="CP39" s="2">
        <v>240.07499999999999</v>
      </c>
      <c r="CQ39" s="2">
        <v>248.95</v>
      </c>
      <c r="CR39" s="2">
        <v>251.32499999999999</v>
      </c>
      <c r="CS39" s="2">
        <v>252.92500000000001</v>
      </c>
      <c r="CT39" s="2">
        <v>257.82499999999999</v>
      </c>
      <c r="CU39" s="2">
        <v>264.35000000000002</v>
      </c>
      <c r="CV39" s="2">
        <v>271.39999999999998</v>
      </c>
      <c r="CW39" s="2">
        <v>279.95</v>
      </c>
      <c r="CX39" s="2">
        <v>287.05</v>
      </c>
      <c r="CY39" s="2">
        <v>293.7</v>
      </c>
      <c r="CZ39" s="2">
        <v>299.82499999999999</v>
      </c>
      <c r="DA39" s="2">
        <v>313</v>
      </c>
      <c r="DB39" s="2">
        <v>315</v>
      </c>
      <c r="DC39" s="2">
        <v>325.22500000000002</v>
      </c>
      <c r="DD39" s="2">
        <v>336.22500000000002</v>
      </c>
      <c r="DE39" s="2">
        <v>341.52499999999998</v>
      </c>
      <c r="DF39" s="2">
        <v>351.5</v>
      </c>
      <c r="DG39" s="2">
        <v>359.27499999999998</v>
      </c>
      <c r="DH39" s="2">
        <v>368.82499999999999</v>
      </c>
      <c r="DI39" s="2">
        <v>379.375</v>
      </c>
      <c r="DJ39" s="2">
        <v>381.07499999999999</v>
      </c>
      <c r="DK39" s="2">
        <v>395.02499999999998</v>
      </c>
      <c r="DL39" s="2">
        <v>407.35</v>
      </c>
      <c r="DM39" s="2">
        <v>411.8</v>
      </c>
      <c r="DN39" s="2">
        <v>413.35</v>
      </c>
      <c r="DO39" s="2">
        <v>409.65</v>
      </c>
      <c r="DP39" s="2">
        <v>401.17500000000001</v>
      </c>
      <c r="DQ39" s="2">
        <v>396.42500000000001</v>
      </c>
      <c r="DR39" s="2">
        <v>385.02499999999998</v>
      </c>
      <c r="DS39" s="2">
        <v>375.8</v>
      </c>
      <c r="DT39" s="2">
        <v>371.57499999999999</v>
      </c>
      <c r="DU39" s="2">
        <v>370.35</v>
      </c>
      <c r="DV39" s="2">
        <v>365.375</v>
      </c>
      <c r="DW39" s="2">
        <v>367.17500000000001</v>
      </c>
      <c r="DX39" s="2">
        <v>377.32499999999999</v>
      </c>
      <c r="DY39" s="2">
        <v>385.32499999999999</v>
      </c>
      <c r="DZ39" s="2">
        <v>390.17500000000001</v>
      </c>
      <c r="EA39" s="2">
        <v>386.32499999999999</v>
      </c>
      <c r="EB39" s="2">
        <v>395.97500000000002</v>
      </c>
      <c r="EC39" s="2">
        <v>407.3</v>
      </c>
      <c r="ED39" s="2">
        <v>415.67500000000001</v>
      </c>
      <c r="EE39" s="2">
        <v>421.7</v>
      </c>
      <c r="EF39" s="2">
        <v>428.52499999999998</v>
      </c>
      <c r="EG39" s="2">
        <v>437.45</v>
      </c>
      <c r="EH39" s="2">
        <v>440.82499999999999</v>
      </c>
      <c r="EI39" s="2">
        <v>455.625</v>
      </c>
      <c r="EJ39" s="2">
        <v>463.57499999999999</v>
      </c>
      <c r="EK39" s="2">
        <v>471.52499999999998</v>
      </c>
      <c r="EL39" s="2">
        <v>476.52499999999998</v>
      </c>
      <c r="EM39" s="2">
        <v>485.1</v>
      </c>
      <c r="EN39" s="2">
        <v>495.875</v>
      </c>
      <c r="EO39" s="2">
        <v>503.65</v>
      </c>
      <c r="EP39" s="2">
        <v>511.42500000000001</v>
      </c>
      <c r="EQ39" s="2">
        <v>513.45000000000005</v>
      </c>
      <c r="ER39" s="2">
        <v>514.5</v>
      </c>
      <c r="ES39" s="2">
        <v>504.9</v>
      </c>
      <c r="ET39" s="2">
        <v>475.47500000000002</v>
      </c>
      <c r="EU39" s="2">
        <v>439.65</v>
      </c>
      <c r="EV39" s="2">
        <v>426.27499999999998</v>
      </c>
      <c r="EW39" s="2">
        <v>423.8</v>
      </c>
      <c r="EX39" s="2">
        <v>426.65</v>
      </c>
      <c r="EY39" s="2">
        <v>429.67500000000001</v>
      </c>
      <c r="EZ39" s="2">
        <v>443.82499999999999</v>
      </c>
      <c r="FA39" s="2">
        <v>455.92500000000001</v>
      </c>
      <c r="FB39" s="2">
        <v>464.85</v>
      </c>
      <c r="FC39" s="2">
        <v>464.32499999999999</v>
      </c>
      <c r="FD39" s="2">
        <v>476.42500000000001</v>
      </c>
      <c r="FE39" s="2">
        <v>498.85</v>
      </c>
      <c r="FF39" s="2">
        <v>511.65</v>
      </c>
      <c r="FG39" s="2">
        <v>524.82500000000005</v>
      </c>
      <c r="FH39" s="2">
        <v>536.67499999999995</v>
      </c>
      <c r="FI39" s="2">
        <v>534.9</v>
      </c>
      <c r="FJ39" s="2">
        <v>540.72500000000002</v>
      </c>
      <c r="FK39" s="2">
        <v>549.07500000000005</v>
      </c>
      <c r="FL39" s="2">
        <v>551.9</v>
      </c>
      <c r="FM39" s="2">
        <v>562.04999999999995</v>
      </c>
      <c r="FN39" s="2">
        <v>575.54999999999995</v>
      </c>
      <c r="FO39" s="2">
        <v>584.85</v>
      </c>
      <c r="FP39" s="2">
        <v>601.6</v>
      </c>
      <c r="FQ39" s="2">
        <v>614.625</v>
      </c>
      <c r="FR39" s="2">
        <v>619.97500000000002</v>
      </c>
      <c r="FS39" s="2">
        <v>620.27499999999998</v>
      </c>
      <c r="FT39" s="2">
        <v>624.6</v>
      </c>
      <c r="FU39" s="2">
        <v>628.4</v>
      </c>
      <c r="FV39" s="2">
        <v>625.625</v>
      </c>
      <c r="FW39" s="2">
        <v>626.15</v>
      </c>
      <c r="FX39" s="2">
        <v>631.47500000000002</v>
      </c>
      <c r="FY39" s="2">
        <v>641</v>
      </c>
      <c r="FZ39" s="2">
        <v>646.15</v>
      </c>
      <c r="GA39" s="2">
        <v>652.6</v>
      </c>
      <c r="GB39" s="2">
        <v>659.95</v>
      </c>
      <c r="GC39" s="2">
        <v>666.3</v>
      </c>
      <c r="GD39" s="2">
        <v>682.22500000000002</v>
      </c>
      <c r="GE39" s="2">
        <v>701.32500000000005</v>
      </c>
      <c r="GF39" s="2">
        <v>709.27499999999998</v>
      </c>
      <c r="GG39" s="2">
        <v>713.65</v>
      </c>
      <c r="GH39" s="2">
        <v>720.1</v>
      </c>
      <c r="GI39" s="2">
        <v>724.95</v>
      </c>
      <c r="GJ39" s="2">
        <v>738.75</v>
      </c>
      <c r="GK39" s="2">
        <v>745.875</v>
      </c>
      <c r="GL39" s="2">
        <v>742.57500000000005</v>
      </c>
      <c r="GM39" s="2">
        <v>728.47500000000002</v>
      </c>
      <c r="GN39" s="2">
        <v>669.9</v>
      </c>
      <c r="GO39" s="2">
        <v>699.2</v>
      </c>
      <c r="GP39" s="2">
        <v>717.9</v>
      </c>
      <c r="GQ39" s="2">
        <v>734.47500000000002</v>
      </c>
      <c r="GR39" s="2">
        <v>750.35</v>
      </c>
      <c r="GS39" s="2">
        <v>747.05</v>
      </c>
      <c r="GT39" s="2">
        <v>753.32500000000005</v>
      </c>
      <c r="GU39" s="2">
        <v>777.67499999999995</v>
      </c>
      <c r="GV39" s="2">
        <v>791.47500000000002</v>
      </c>
      <c r="GW39" s="2">
        <v>806.27499999999998</v>
      </c>
      <c r="GX39" s="2">
        <v>817.5</v>
      </c>
      <c r="GY39" s="2">
        <v>828.2</v>
      </c>
      <c r="GZ39" s="2">
        <v>847.9</v>
      </c>
      <c r="HA39" s="2">
        <v>850.22500000000002</v>
      </c>
      <c r="HB39" s="2">
        <v>858.22500000000002</v>
      </c>
      <c r="HC39" s="2">
        <v>867.75</v>
      </c>
      <c r="HD39" s="2">
        <v>876.02499999999998</v>
      </c>
      <c r="HE39" s="2">
        <v>884.7</v>
      </c>
      <c r="HF39" s="2">
        <v>877.42499999999995</v>
      </c>
      <c r="HG39" s="3">
        <v>886.36249999999995</v>
      </c>
      <c r="HH39" s="3">
        <v>888.50400000000002</v>
      </c>
      <c r="HI39" s="3">
        <v>892.38279999999997</v>
      </c>
      <c r="HJ39" s="3">
        <v>899.20540000000005</v>
      </c>
      <c r="HK39" s="3">
        <v>910.3211</v>
      </c>
      <c r="HL39" s="3">
        <v>923.25189999999998</v>
      </c>
      <c r="HM39" s="3">
        <v>938.3374</v>
      </c>
      <c r="HN39" s="3">
        <v>954.74440000000004</v>
      </c>
      <c r="HO39" s="3">
        <v>971.02660000000003</v>
      </c>
      <c r="HP39" s="3">
        <v>986.75080000000003</v>
      </c>
      <c r="HQ39" s="3">
        <v>1001.241</v>
      </c>
      <c r="HR39" s="3">
        <v>1014.31</v>
      </c>
      <c r="HS39" s="3">
        <v>1024.5250000000001</v>
      </c>
      <c r="HT39" s="3">
        <v>1033.665</v>
      </c>
      <c r="HU39" s="3">
        <v>1042.375</v>
      </c>
      <c r="HV39" s="3">
        <v>1051.1679999999999</v>
      </c>
      <c r="HW39" s="3">
        <v>1059.9480000000001</v>
      </c>
      <c r="HX39" s="3">
        <v>1068.713</v>
      </c>
      <c r="HY39" s="3">
        <v>1077.461</v>
      </c>
      <c r="HZ39" s="3">
        <v>1086.191</v>
      </c>
      <c r="IA39" s="3">
        <v>1094.9000000000001</v>
      </c>
      <c r="IB39" s="3">
        <v>1103.4390000000001</v>
      </c>
      <c r="IC39" s="3">
        <v>1111.7059999999999</v>
      </c>
      <c r="ID39" s="3">
        <v>1119.818</v>
      </c>
      <c r="IE39" s="3">
        <v>1127.7940000000001</v>
      </c>
      <c r="IF39" s="3">
        <v>1135.8019999999999</v>
      </c>
      <c r="IG39" s="3">
        <v>1143.837</v>
      </c>
      <c r="IH39" s="3">
        <v>1151.817</v>
      </c>
      <c r="II39" s="3">
        <v>1159.825</v>
      </c>
      <c r="IJ39" s="3">
        <v>1167.8889999999999</v>
      </c>
      <c r="IK39" s="3">
        <v>1175.94</v>
      </c>
      <c r="IL39" s="3">
        <v>1183.979</v>
      </c>
      <c r="IM39" s="3">
        <v>1192.0039999999999</v>
      </c>
      <c r="IN39" s="3">
        <v>1200.0129999999999</v>
      </c>
      <c r="IO39" s="3">
        <v>1208.0070000000001</v>
      </c>
      <c r="IP39" s="3">
        <v>1215.9839999999999</v>
      </c>
      <c r="IQ39" s="3">
        <v>1223.942</v>
      </c>
      <c r="IR39" s="3">
        <v>1231.8810000000001</v>
      </c>
      <c r="IS39" s="3">
        <v>1239.7929999999999</v>
      </c>
      <c r="IT39" s="3">
        <v>1247.683</v>
      </c>
      <c r="IU39" s="3">
        <v>1255.5619999999999</v>
      </c>
      <c r="IV39" s="3">
        <v>1263.454</v>
      </c>
      <c r="IW39" s="3">
        <v>1271.3589999999999</v>
      </c>
      <c r="IX39" s="3">
        <v>1279.277</v>
      </c>
      <c r="IY39" s="3">
        <v>1287.201</v>
      </c>
      <c r="IZ39" s="3">
        <v>1295.1579999999999</v>
      </c>
      <c r="JA39" s="3">
        <v>1303.1279999999999</v>
      </c>
      <c r="JB39" s="3">
        <v>1311.133</v>
      </c>
      <c r="JC39" s="3">
        <v>1319.153</v>
      </c>
      <c r="JD39" s="3">
        <v>1327.201</v>
      </c>
      <c r="JE39" s="3">
        <v>1335.3109999999999</v>
      </c>
      <c r="JF39" s="3">
        <v>1343.4010000000001</v>
      </c>
      <c r="JG39" s="3">
        <v>1351.5350000000001</v>
      </c>
      <c r="JH39" s="3">
        <v>1359.6880000000001</v>
      </c>
      <c r="JI39" s="3">
        <v>1367.8910000000001</v>
      </c>
      <c r="JJ39" s="3">
        <v>1376.1220000000001</v>
      </c>
      <c r="JK39" s="3">
        <v>1384.394</v>
      </c>
      <c r="JL39" s="3">
        <v>1392.701</v>
      </c>
      <c r="JM39" s="3">
        <v>1400.991</v>
      </c>
      <c r="JN39" s="3">
        <v>1409.3610000000001</v>
      </c>
      <c r="JO39" s="3">
        <v>1417.749</v>
      </c>
      <c r="JP39" s="3">
        <v>1426.165</v>
      </c>
      <c r="JQ39" s="3">
        <v>1434.605</v>
      </c>
      <c r="JR39" s="3">
        <v>1443.086</v>
      </c>
      <c r="JS39" s="3">
        <v>1451.605</v>
      </c>
      <c r="JT39" s="3">
        <v>1460.1510000000001</v>
      </c>
      <c r="JU39" s="3">
        <v>1468.7470000000001</v>
      </c>
      <c r="JV39" s="3">
        <v>1477.37</v>
      </c>
      <c r="JW39" s="3">
        <v>1486.0260000000001</v>
      </c>
      <c r="JX39" s="3">
        <v>1494.7190000000001</v>
      </c>
      <c r="JY39" s="3">
        <v>1503.444</v>
      </c>
      <c r="JZ39" s="3">
        <v>1512.2070000000001</v>
      </c>
      <c r="KA39" s="3">
        <v>1521.028</v>
      </c>
      <c r="KB39" s="3">
        <v>1529.8910000000001</v>
      </c>
      <c r="KC39" s="3">
        <v>1538.7750000000001</v>
      </c>
      <c r="KD39" s="3">
        <v>1547.7190000000001</v>
      </c>
      <c r="KE39" s="3">
        <v>1556.7</v>
      </c>
      <c r="KF39" s="3">
        <v>1565.7059999999999</v>
      </c>
      <c r="KG39" s="3">
        <v>1574.7439999999999</v>
      </c>
      <c r="KH39" s="3">
        <v>1583.8389999999999</v>
      </c>
      <c r="KI39" s="3">
        <v>1592.9380000000001</v>
      </c>
      <c r="KJ39" s="3">
        <v>1602.08</v>
      </c>
      <c r="KK39" s="3">
        <v>1611.2470000000001</v>
      </c>
      <c r="KL39" s="3">
        <v>1620.4590000000001</v>
      </c>
      <c r="KM39" s="3">
        <v>1629.72</v>
      </c>
      <c r="KN39" s="3">
        <v>1638.9960000000001</v>
      </c>
      <c r="KO39" s="3">
        <v>1648.307</v>
      </c>
      <c r="KP39" s="3">
        <v>1657.681</v>
      </c>
      <c r="KQ39" s="3">
        <v>1667.068</v>
      </c>
      <c r="KR39" s="3">
        <v>1676.4880000000001</v>
      </c>
      <c r="KS39" s="3">
        <v>1685.954</v>
      </c>
      <c r="KT39" s="3">
        <v>1695.4490000000001</v>
      </c>
      <c r="KU39" s="3">
        <v>1704.982</v>
      </c>
      <c r="KV39" s="3">
        <v>1714.577</v>
      </c>
      <c r="KW39" s="3">
        <v>1724.16</v>
      </c>
      <c r="KX39" s="3">
        <v>1733.83</v>
      </c>
      <c r="KY39" s="3">
        <v>1743.518</v>
      </c>
      <c r="KZ39" s="3">
        <v>1753.1969999999999</v>
      </c>
      <c r="LA39" s="3">
        <v>1762.951</v>
      </c>
      <c r="LB39" s="3">
        <v>1772.72</v>
      </c>
      <c r="LC39" s="3">
        <v>1782.57</v>
      </c>
      <c r="LD39" s="3">
        <v>1792.434</v>
      </c>
      <c r="LE39" s="3">
        <v>1802.3109999999999</v>
      </c>
      <c r="LF39" s="3">
        <v>1812.2629999999999</v>
      </c>
      <c r="LG39" s="3">
        <v>1822.2449999999999</v>
      </c>
      <c r="LH39" s="3">
        <v>1832.2760000000001</v>
      </c>
      <c r="LI39" s="3">
        <v>1842.354</v>
      </c>
      <c r="LJ39" s="3">
        <v>1852.4760000000001</v>
      </c>
      <c r="LK39" s="3">
        <v>1862.662</v>
      </c>
      <c r="LL39" s="3">
        <v>1872.8779999999999</v>
      </c>
      <c r="LM39" s="3">
        <v>1883.15</v>
      </c>
      <c r="LN39" s="3">
        <v>1893.4659999999999</v>
      </c>
      <c r="LO39" s="3">
        <v>1903.8309999999999</v>
      </c>
      <c r="LP39" s="3">
        <v>1914.24</v>
      </c>
      <c r="LQ39" s="3">
        <v>1924.7159999999999</v>
      </c>
      <c r="LR39" s="3">
        <v>1935.223</v>
      </c>
      <c r="LS39" s="3">
        <v>1945.7840000000001</v>
      </c>
      <c r="LT39" s="3">
        <v>1956.383</v>
      </c>
      <c r="LU39" s="3">
        <v>1967.0429999999999</v>
      </c>
      <c r="LV39" s="3">
        <v>1977.751</v>
      </c>
      <c r="LW39" s="3">
        <v>1988.501</v>
      </c>
      <c r="LX39" s="3">
        <v>1999.317</v>
      </c>
      <c r="LY39" s="3">
        <v>2010.1790000000001</v>
      </c>
      <c r="LZ39" s="3">
        <v>2021.0650000000001</v>
      </c>
      <c r="MA39" s="3">
        <v>2032.0360000000001</v>
      </c>
      <c r="MB39" s="3">
        <v>2043.0319999999999</v>
      </c>
      <c r="MC39" s="3">
        <v>2054.0940000000001</v>
      </c>
      <c r="MD39" s="3">
        <v>2065.2069999999999</v>
      </c>
      <c r="ME39" s="3">
        <v>2076.3649999999998</v>
      </c>
      <c r="MF39" s="3">
        <v>2087.5770000000002</v>
      </c>
      <c r="MG39" s="3">
        <v>2098.86</v>
      </c>
      <c r="MH39" s="3">
        <v>2110.183</v>
      </c>
      <c r="MI39" s="3">
        <v>2121.569</v>
      </c>
      <c r="MJ39" s="3">
        <v>2133.0079999999998</v>
      </c>
      <c r="MK39" s="3">
        <v>2144.4969999999998</v>
      </c>
      <c r="ML39" s="3">
        <v>2156.038</v>
      </c>
      <c r="MM39" s="3">
        <v>2167.65</v>
      </c>
      <c r="MN39" s="3">
        <v>2179.306</v>
      </c>
      <c r="MO39" s="3">
        <v>2191.0079999999998</v>
      </c>
      <c r="MP39" s="3">
        <v>2202.7919999999999</v>
      </c>
      <c r="MQ39" s="3">
        <v>2214.6060000000002</v>
      </c>
      <c r="MR39" s="3">
        <v>2226.4870000000001</v>
      </c>
      <c r="MS39" s="3">
        <v>2238.4290000000001</v>
      </c>
      <c r="MT39" s="3">
        <v>2250.4140000000002</v>
      </c>
      <c r="MU39" t="s">
        <v>385</v>
      </c>
      <c r="MV39" t="b">
        <v>1</v>
      </c>
      <c r="MW39" s="1" t="s">
        <v>386</v>
      </c>
      <c r="MX39" t="s">
        <v>377</v>
      </c>
      <c r="MY39">
        <v>2024</v>
      </c>
      <c r="MZ39">
        <v>4</v>
      </c>
      <c r="NA39" t="s">
        <v>377</v>
      </c>
      <c r="NB39" s="1" t="s">
        <v>394</v>
      </c>
      <c r="NC39" s="1" t="s">
        <v>395</v>
      </c>
      <c r="ND39" t="s">
        <v>389</v>
      </c>
      <c r="NE39" t="s">
        <v>393</v>
      </c>
      <c r="NF39" s="1" t="s">
        <v>526</v>
      </c>
    </row>
    <row r="40" spans="1:370" x14ac:dyDescent="0.25">
      <c r="A40" t="s">
        <v>370</v>
      </c>
      <c r="B40" t="s">
        <v>396</v>
      </c>
      <c r="C40" s="1" t="s">
        <v>525</v>
      </c>
      <c r="D40" t="s">
        <v>372</v>
      </c>
      <c r="E40" t="s">
        <v>373</v>
      </c>
      <c r="F40" t="s">
        <v>374</v>
      </c>
      <c r="G40" s="2">
        <v>35902</v>
      </c>
      <c r="H40" s="2">
        <v>36730</v>
      </c>
      <c r="I40" s="2">
        <v>37647</v>
      </c>
      <c r="J40" s="2">
        <v>37940</v>
      </c>
      <c r="K40" s="2">
        <v>38873</v>
      </c>
      <c r="L40" s="2">
        <v>40111</v>
      </c>
      <c r="M40" s="2">
        <v>40403</v>
      </c>
      <c r="N40" s="2">
        <v>39579</v>
      </c>
      <c r="O40" s="2">
        <v>39298</v>
      </c>
      <c r="P40" s="2">
        <v>37742</v>
      </c>
      <c r="Q40" s="2">
        <v>37667</v>
      </c>
      <c r="R40" s="2">
        <v>39562</v>
      </c>
      <c r="S40" s="2">
        <v>40307</v>
      </c>
      <c r="T40" s="2">
        <v>41824</v>
      </c>
      <c r="U40" s="2">
        <v>42139</v>
      </c>
      <c r="V40" s="2">
        <v>43631</v>
      </c>
      <c r="W40" s="2">
        <v>43666</v>
      </c>
      <c r="X40" s="2">
        <v>44615</v>
      </c>
      <c r="Y40" s="2">
        <v>46225</v>
      </c>
      <c r="Z40" s="2">
        <v>44466</v>
      </c>
      <c r="AA40" s="2">
        <v>44831</v>
      </c>
      <c r="AB40" s="2">
        <v>45606</v>
      </c>
      <c r="AC40" s="2">
        <v>45784</v>
      </c>
      <c r="AD40" s="2">
        <v>45705</v>
      </c>
      <c r="AE40" s="2">
        <v>42206</v>
      </c>
      <c r="AF40" s="2">
        <v>49782</v>
      </c>
      <c r="AG40" s="2">
        <v>48026</v>
      </c>
      <c r="AH40" s="2">
        <v>48391</v>
      </c>
      <c r="AI40" s="2">
        <v>49049</v>
      </c>
      <c r="AJ40" s="2">
        <v>47032</v>
      </c>
      <c r="AK40" s="2">
        <v>45832</v>
      </c>
      <c r="AL40" s="2">
        <v>45526</v>
      </c>
      <c r="AM40" s="2">
        <v>45162</v>
      </c>
      <c r="AN40" s="2">
        <v>45719</v>
      </c>
      <c r="AO40" s="2">
        <v>47827</v>
      </c>
      <c r="AP40" s="2">
        <v>47597</v>
      </c>
      <c r="AQ40" s="2">
        <v>46524</v>
      </c>
      <c r="AR40" s="2">
        <v>47505</v>
      </c>
      <c r="AS40" s="2">
        <v>46534</v>
      </c>
      <c r="AT40" s="2">
        <v>47361</v>
      </c>
      <c r="AU40" s="2">
        <v>47208</v>
      </c>
      <c r="AV40" s="2">
        <v>47152</v>
      </c>
      <c r="AW40" s="2">
        <v>48076</v>
      </c>
      <c r="AX40" s="2">
        <v>48814</v>
      </c>
      <c r="AY40" s="2">
        <v>49935</v>
      </c>
      <c r="AZ40" s="2">
        <v>49818</v>
      </c>
      <c r="BA40" s="2">
        <v>51338</v>
      </c>
      <c r="BB40" s="2">
        <v>52470</v>
      </c>
      <c r="BC40" s="2">
        <v>52943</v>
      </c>
      <c r="BD40" s="2">
        <v>54969</v>
      </c>
      <c r="BE40" s="2">
        <v>53412</v>
      </c>
      <c r="BF40" s="2">
        <v>53746</v>
      </c>
      <c r="BG40" s="2">
        <v>54907</v>
      </c>
      <c r="BH40" s="2">
        <v>55692</v>
      </c>
      <c r="BI40" s="2">
        <v>55751</v>
      </c>
      <c r="BJ40" s="2">
        <v>57267</v>
      </c>
      <c r="BK40" s="2">
        <v>58816</v>
      </c>
      <c r="BL40" s="2">
        <v>58324</v>
      </c>
      <c r="BM40" s="2">
        <v>60470</v>
      </c>
      <c r="BN40" s="2">
        <v>60226</v>
      </c>
      <c r="BO40" s="2">
        <v>59215</v>
      </c>
      <c r="BP40" s="2">
        <v>60427</v>
      </c>
      <c r="BQ40" s="2">
        <v>60771</v>
      </c>
      <c r="BR40" s="2">
        <v>59544</v>
      </c>
      <c r="BS40" s="2">
        <v>62278</v>
      </c>
      <c r="BT40" s="2">
        <v>61292</v>
      </c>
      <c r="BU40" s="2">
        <v>62836</v>
      </c>
      <c r="BV40" s="2">
        <v>64551</v>
      </c>
      <c r="BW40" s="2">
        <v>65996</v>
      </c>
      <c r="BX40" s="2">
        <v>65850</v>
      </c>
      <c r="BY40" s="2">
        <v>65770</v>
      </c>
      <c r="BZ40" s="2">
        <v>66306</v>
      </c>
      <c r="CA40" s="2">
        <v>63795</v>
      </c>
      <c r="CB40" s="2">
        <v>65908</v>
      </c>
      <c r="CC40" s="2">
        <v>66928</v>
      </c>
      <c r="CD40" s="2">
        <v>66730</v>
      </c>
      <c r="CE40" s="2">
        <v>67452</v>
      </c>
      <c r="CF40" s="2">
        <v>69112</v>
      </c>
      <c r="CG40" s="2">
        <v>67730</v>
      </c>
      <c r="CH40" s="2">
        <v>70437</v>
      </c>
      <c r="CI40" s="2">
        <v>71260</v>
      </c>
      <c r="CJ40" s="2">
        <v>70281</v>
      </c>
      <c r="CK40" s="2">
        <v>71508</v>
      </c>
      <c r="CL40" s="2">
        <v>73485</v>
      </c>
      <c r="CM40" s="2">
        <v>76223</v>
      </c>
      <c r="CN40" s="2">
        <v>76462</v>
      </c>
      <c r="CO40" s="2">
        <v>78722</v>
      </c>
      <c r="CP40" s="2">
        <v>80741</v>
      </c>
      <c r="CQ40" s="2">
        <v>84205</v>
      </c>
      <c r="CR40" s="2">
        <v>83113</v>
      </c>
      <c r="CS40" s="2">
        <v>85876</v>
      </c>
      <c r="CT40" s="2">
        <v>87077</v>
      </c>
      <c r="CU40" s="2">
        <v>88955</v>
      </c>
      <c r="CV40" s="2">
        <v>90326</v>
      </c>
      <c r="CW40" s="2">
        <v>91405</v>
      </c>
      <c r="CX40" s="2">
        <v>93750</v>
      </c>
      <c r="CY40" s="2">
        <v>100801</v>
      </c>
      <c r="CZ40" s="2">
        <v>102215</v>
      </c>
      <c r="DA40" s="2">
        <v>101393</v>
      </c>
      <c r="DB40" s="2">
        <v>104896</v>
      </c>
      <c r="DC40" s="2">
        <v>105551</v>
      </c>
      <c r="DD40" s="2">
        <v>105685</v>
      </c>
      <c r="DE40" s="2">
        <v>105377</v>
      </c>
      <c r="DF40" s="2">
        <v>105093</v>
      </c>
      <c r="DG40" s="2">
        <v>105270</v>
      </c>
      <c r="DH40" s="2">
        <v>105502</v>
      </c>
      <c r="DI40" s="2">
        <v>111906</v>
      </c>
      <c r="DJ40" s="2">
        <v>113832</v>
      </c>
      <c r="DK40" s="2">
        <v>115740</v>
      </c>
      <c r="DL40" s="2">
        <v>119664</v>
      </c>
      <c r="DM40" s="2">
        <v>120347</v>
      </c>
      <c r="DN40" s="2">
        <v>123350</v>
      </c>
      <c r="DO40" s="2">
        <v>128331</v>
      </c>
      <c r="DP40" s="2">
        <v>122946</v>
      </c>
      <c r="DQ40" s="2">
        <v>120189</v>
      </c>
      <c r="DR40" s="2">
        <v>121471</v>
      </c>
      <c r="DS40" s="2">
        <v>123243</v>
      </c>
      <c r="DT40" s="2">
        <v>126845</v>
      </c>
      <c r="DU40" s="2">
        <v>125921</v>
      </c>
      <c r="DV40" s="2">
        <v>121583</v>
      </c>
      <c r="DW40" s="2">
        <v>127354</v>
      </c>
      <c r="DX40" s="2">
        <v>125080</v>
      </c>
      <c r="DY40" s="2">
        <v>125141</v>
      </c>
      <c r="DZ40" s="2">
        <v>128517</v>
      </c>
      <c r="EA40" s="2">
        <v>129631</v>
      </c>
      <c r="EB40" s="2">
        <v>131555</v>
      </c>
      <c r="EC40" s="2">
        <v>133247</v>
      </c>
      <c r="ED40" s="2">
        <v>137509</v>
      </c>
      <c r="EE40" s="2">
        <v>134823</v>
      </c>
      <c r="EF40" s="2">
        <v>142803</v>
      </c>
      <c r="EG40" s="2">
        <v>144425</v>
      </c>
      <c r="EH40" s="2">
        <v>150107</v>
      </c>
      <c r="EI40" s="2">
        <v>167747</v>
      </c>
      <c r="EJ40" s="2">
        <v>172981</v>
      </c>
      <c r="EK40" s="2">
        <v>152518</v>
      </c>
      <c r="EL40" s="2">
        <v>151637</v>
      </c>
      <c r="EM40" s="2">
        <v>152960</v>
      </c>
      <c r="EN40" s="2">
        <v>158494</v>
      </c>
      <c r="EO40" s="2">
        <v>158973</v>
      </c>
      <c r="EP40" s="2">
        <v>164392</v>
      </c>
      <c r="EQ40" s="2">
        <v>164284</v>
      </c>
      <c r="ER40" s="2">
        <v>164307</v>
      </c>
      <c r="ES40" s="2">
        <v>164942</v>
      </c>
      <c r="ET40" s="2">
        <v>158580</v>
      </c>
      <c r="EU40" s="2">
        <v>148383</v>
      </c>
      <c r="EV40" s="2">
        <v>146862</v>
      </c>
      <c r="EW40" s="2">
        <v>146171</v>
      </c>
      <c r="EX40" s="2">
        <v>152995</v>
      </c>
      <c r="EY40" s="2">
        <v>152875</v>
      </c>
      <c r="EZ40" s="2">
        <v>157927</v>
      </c>
      <c r="FA40" s="2">
        <v>159590</v>
      </c>
      <c r="FB40" s="2">
        <v>162838</v>
      </c>
      <c r="FC40" s="2">
        <v>169542</v>
      </c>
      <c r="FD40" s="2">
        <v>167089</v>
      </c>
      <c r="FE40" s="2">
        <v>169000</v>
      </c>
      <c r="FF40" s="2">
        <v>171534</v>
      </c>
      <c r="FG40" s="2">
        <v>175688</v>
      </c>
      <c r="FH40" s="2">
        <v>167444</v>
      </c>
      <c r="FI40" s="2">
        <v>171661</v>
      </c>
      <c r="FJ40" s="2">
        <v>167437</v>
      </c>
      <c r="FK40" s="2">
        <v>171074</v>
      </c>
      <c r="FL40" s="2">
        <v>172720</v>
      </c>
      <c r="FM40" s="2">
        <v>172146</v>
      </c>
      <c r="FN40" s="2">
        <v>168273</v>
      </c>
      <c r="FO40" s="2">
        <v>169362</v>
      </c>
      <c r="FP40" s="2">
        <v>171923</v>
      </c>
      <c r="FQ40" s="2">
        <v>172435</v>
      </c>
      <c r="FR40" s="2">
        <v>177395</v>
      </c>
      <c r="FS40" s="2">
        <v>176739</v>
      </c>
      <c r="FT40" s="2">
        <v>182297</v>
      </c>
      <c r="FU40" s="2">
        <v>176534</v>
      </c>
      <c r="FV40" s="2">
        <v>181607</v>
      </c>
      <c r="FW40" s="2">
        <v>180917</v>
      </c>
      <c r="FX40" s="2">
        <v>186367</v>
      </c>
      <c r="FY40" s="2">
        <v>181291</v>
      </c>
      <c r="FZ40" s="2">
        <v>188453</v>
      </c>
      <c r="GA40" s="2">
        <v>191572</v>
      </c>
      <c r="GB40" s="2">
        <v>196710</v>
      </c>
      <c r="GC40" s="2">
        <v>201489</v>
      </c>
      <c r="GD40" s="2">
        <v>197125</v>
      </c>
      <c r="GE40" s="2">
        <v>201006</v>
      </c>
      <c r="GF40" s="2">
        <v>202164</v>
      </c>
      <c r="GG40" s="2">
        <v>204858</v>
      </c>
      <c r="GH40" s="2">
        <v>203100</v>
      </c>
      <c r="GI40" s="2">
        <v>200811</v>
      </c>
      <c r="GJ40" s="2">
        <v>198311</v>
      </c>
      <c r="GK40" s="2">
        <v>210040</v>
      </c>
      <c r="GL40" s="2">
        <v>218197</v>
      </c>
      <c r="GM40" s="2">
        <v>199459</v>
      </c>
      <c r="GN40" s="2">
        <v>173361</v>
      </c>
      <c r="GO40" s="2">
        <v>173434</v>
      </c>
      <c r="GP40" s="2">
        <v>183541</v>
      </c>
      <c r="GQ40" s="2">
        <v>178763</v>
      </c>
      <c r="GR40" s="2">
        <v>191113</v>
      </c>
      <c r="GS40" s="2">
        <v>181773</v>
      </c>
      <c r="GT40" s="2">
        <v>201720</v>
      </c>
      <c r="GU40" s="2">
        <v>191621</v>
      </c>
      <c r="GV40" s="2">
        <v>205098</v>
      </c>
      <c r="GW40" s="2">
        <v>224767</v>
      </c>
      <c r="GX40" s="2">
        <v>226565</v>
      </c>
      <c r="GY40" s="2">
        <v>207779</v>
      </c>
      <c r="GZ40" s="2">
        <v>206455</v>
      </c>
      <c r="HA40" s="2">
        <v>202563</v>
      </c>
      <c r="HB40" s="2">
        <v>204388</v>
      </c>
      <c r="HC40" s="2">
        <v>204633</v>
      </c>
      <c r="HD40" s="2">
        <v>202272</v>
      </c>
      <c r="HE40" s="2">
        <v>200740</v>
      </c>
      <c r="HF40" s="2">
        <v>195744</v>
      </c>
      <c r="HG40" s="3">
        <v>196913.3</v>
      </c>
      <c r="HH40" s="3">
        <v>197434.1</v>
      </c>
      <c r="HI40" s="3">
        <v>197765</v>
      </c>
      <c r="HJ40" s="3">
        <v>198112.7</v>
      </c>
      <c r="HK40" s="3">
        <v>198523.1</v>
      </c>
      <c r="HL40" s="3">
        <v>199002.5</v>
      </c>
      <c r="HM40" s="3">
        <v>199624</v>
      </c>
      <c r="HN40" s="3">
        <v>200264.3</v>
      </c>
      <c r="HO40" s="3">
        <v>200986.1</v>
      </c>
      <c r="HP40" s="3">
        <v>201678.8</v>
      </c>
      <c r="HQ40" s="3">
        <v>202394.6</v>
      </c>
      <c r="HR40" s="3">
        <v>203032.6</v>
      </c>
      <c r="HS40" s="3">
        <v>203693.4</v>
      </c>
      <c r="HT40" s="3">
        <v>204353.5</v>
      </c>
      <c r="HU40" s="3">
        <v>205024.2</v>
      </c>
      <c r="HV40" s="3">
        <v>205705.60000000001</v>
      </c>
      <c r="HW40" s="3">
        <v>206390.1</v>
      </c>
      <c r="HX40" s="3">
        <v>207077.7</v>
      </c>
      <c r="HY40" s="3">
        <v>207762.4</v>
      </c>
      <c r="HZ40" s="3">
        <v>208463.6</v>
      </c>
      <c r="IA40" s="3">
        <v>209190.39999999999</v>
      </c>
      <c r="IB40" s="3">
        <v>209928.5</v>
      </c>
      <c r="IC40" s="3">
        <v>210669.9</v>
      </c>
      <c r="ID40" s="3">
        <v>211414.5</v>
      </c>
      <c r="IE40" s="3">
        <v>212162.6</v>
      </c>
      <c r="IF40" s="3">
        <v>212913.8</v>
      </c>
      <c r="IG40" s="3">
        <v>213668.5</v>
      </c>
      <c r="IH40" s="3">
        <v>214426.6</v>
      </c>
      <c r="II40" s="3">
        <v>215188</v>
      </c>
      <c r="IJ40" s="3">
        <v>215952.9</v>
      </c>
      <c r="IK40" s="3">
        <v>216721.1</v>
      </c>
      <c r="IL40" s="3">
        <v>217492.8</v>
      </c>
      <c r="IM40" s="3">
        <v>218261</v>
      </c>
      <c r="IN40" s="3">
        <v>218998.7</v>
      </c>
      <c r="IO40" s="3">
        <v>219738.3</v>
      </c>
      <c r="IP40" s="3">
        <v>220444.3</v>
      </c>
      <c r="IQ40" s="3">
        <v>221184.3</v>
      </c>
      <c r="IR40" s="3">
        <v>221906</v>
      </c>
      <c r="IS40" s="3">
        <v>222626.2</v>
      </c>
      <c r="IT40" s="3">
        <v>223340</v>
      </c>
      <c r="IU40" s="3">
        <v>224082.2</v>
      </c>
      <c r="IV40" s="3">
        <v>224827.3</v>
      </c>
      <c r="IW40" s="3">
        <v>225574.7</v>
      </c>
      <c r="IX40" s="3">
        <v>226324.8</v>
      </c>
      <c r="IY40" s="3">
        <v>227096.5</v>
      </c>
      <c r="IZ40" s="3">
        <v>227871.7</v>
      </c>
      <c r="JA40" s="3">
        <v>228650.5</v>
      </c>
      <c r="JB40" s="3">
        <v>229432.8</v>
      </c>
      <c r="JC40" s="3">
        <v>230218.7</v>
      </c>
      <c r="JD40" s="3">
        <v>231008.1</v>
      </c>
      <c r="JE40" s="3">
        <v>231801.1</v>
      </c>
      <c r="JF40" s="3">
        <v>232597.7</v>
      </c>
      <c r="JG40" s="3">
        <v>233416.7</v>
      </c>
      <c r="JH40" s="3">
        <v>234239.5</v>
      </c>
      <c r="JI40" s="3">
        <v>235066.5</v>
      </c>
      <c r="JJ40" s="3">
        <v>235897.4</v>
      </c>
      <c r="JK40" s="3">
        <v>236732.4</v>
      </c>
      <c r="JL40" s="3">
        <v>237571.6</v>
      </c>
      <c r="JM40" s="3">
        <v>238414.8</v>
      </c>
      <c r="JN40" s="3">
        <v>239262.2</v>
      </c>
      <c r="JO40" s="3">
        <v>240130.3</v>
      </c>
      <c r="JP40" s="3">
        <v>241002.6</v>
      </c>
      <c r="JQ40" s="3">
        <v>241878.6</v>
      </c>
      <c r="JR40" s="3">
        <v>242758.39999999999</v>
      </c>
      <c r="JS40" s="3">
        <v>243662.9</v>
      </c>
      <c r="JT40" s="3">
        <v>244571.6</v>
      </c>
      <c r="JU40" s="3">
        <v>245486.9</v>
      </c>
      <c r="JV40" s="3">
        <v>246406.6</v>
      </c>
      <c r="JW40" s="3">
        <v>247330.5</v>
      </c>
      <c r="JX40" s="3">
        <v>248258.5</v>
      </c>
      <c r="JY40" s="3">
        <v>249170.5</v>
      </c>
      <c r="JZ40" s="3">
        <v>250086.5</v>
      </c>
      <c r="KA40" s="3">
        <v>251006.3</v>
      </c>
      <c r="KB40" s="3">
        <v>251929.9</v>
      </c>
      <c r="KC40" s="3">
        <v>252832.7</v>
      </c>
      <c r="KD40" s="3">
        <v>253738.7</v>
      </c>
      <c r="KE40" s="3">
        <v>254648.1</v>
      </c>
      <c r="KF40" s="3">
        <v>255560.9</v>
      </c>
      <c r="KG40" s="3">
        <v>256431.3</v>
      </c>
      <c r="KH40" s="3">
        <v>257304.2</v>
      </c>
      <c r="KI40" s="3">
        <v>258179.7</v>
      </c>
      <c r="KJ40" s="3">
        <v>259057.8</v>
      </c>
      <c r="KK40" s="3">
        <v>259917.1</v>
      </c>
      <c r="KL40" s="3">
        <v>260778.6</v>
      </c>
      <c r="KM40" s="3">
        <v>261642.4</v>
      </c>
      <c r="KN40" s="3">
        <v>262508.5</v>
      </c>
      <c r="KO40" s="3">
        <v>263376</v>
      </c>
      <c r="KP40" s="3">
        <v>264245.59999999998</v>
      </c>
      <c r="KQ40" s="3">
        <v>265117.59999999998</v>
      </c>
      <c r="KR40" s="3">
        <v>265992</v>
      </c>
      <c r="KS40" s="3">
        <v>266853.2</v>
      </c>
      <c r="KT40" s="3">
        <v>267716.59999999998</v>
      </c>
      <c r="KU40" s="3">
        <v>268582.09999999998</v>
      </c>
      <c r="KV40" s="3">
        <v>269449.8</v>
      </c>
      <c r="KW40" s="3">
        <v>270313.09999999998</v>
      </c>
      <c r="KX40" s="3">
        <v>271178.3</v>
      </c>
      <c r="KY40" s="3">
        <v>272045.59999999998</v>
      </c>
      <c r="KZ40" s="3">
        <v>272914.90000000002</v>
      </c>
      <c r="LA40" s="3">
        <v>273765.3</v>
      </c>
      <c r="LB40" s="3">
        <v>274617.3</v>
      </c>
      <c r="LC40" s="3">
        <v>275472.09999999998</v>
      </c>
      <c r="LD40" s="3">
        <v>276328.3</v>
      </c>
      <c r="LE40" s="3">
        <v>277178.90000000002</v>
      </c>
      <c r="LF40" s="3">
        <v>278030.90000000002</v>
      </c>
      <c r="LG40" s="3">
        <v>278884.59999999998</v>
      </c>
      <c r="LH40" s="3">
        <v>279739.90000000002</v>
      </c>
      <c r="LI40" s="3">
        <v>280585.90000000002</v>
      </c>
      <c r="LJ40" s="3">
        <v>281433.5</v>
      </c>
      <c r="LK40" s="3">
        <v>282282.5</v>
      </c>
      <c r="LL40" s="3">
        <v>283133.2</v>
      </c>
      <c r="LM40" s="3">
        <v>283963.09999999998</v>
      </c>
      <c r="LN40" s="3">
        <v>284794.2</v>
      </c>
      <c r="LO40" s="3">
        <v>285626.3</v>
      </c>
      <c r="LP40" s="3">
        <v>286459.59999999998</v>
      </c>
      <c r="LQ40" s="3">
        <v>287293.5</v>
      </c>
      <c r="LR40" s="3">
        <v>288128.59999999998</v>
      </c>
      <c r="LS40" s="3">
        <v>288964.8</v>
      </c>
      <c r="LT40" s="3">
        <v>289802.09999999998</v>
      </c>
      <c r="LU40" s="3">
        <v>290630.8</v>
      </c>
      <c r="LV40" s="3">
        <v>291460.59999999998</v>
      </c>
      <c r="LW40" s="3">
        <v>292291.40000000002</v>
      </c>
      <c r="LX40" s="3">
        <v>293123.09999999998</v>
      </c>
      <c r="LY40" s="3">
        <v>293946.59999999998</v>
      </c>
      <c r="LZ40" s="3">
        <v>294770.90000000002</v>
      </c>
      <c r="MA40" s="3">
        <v>295596.09999999998</v>
      </c>
      <c r="MB40" s="3">
        <v>296422.09999999998</v>
      </c>
      <c r="MC40" s="3">
        <v>297248.40000000002</v>
      </c>
      <c r="MD40" s="3">
        <v>298075.59999999998</v>
      </c>
      <c r="ME40" s="3">
        <v>298903.8</v>
      </c>
      <c r="MF40" s="3">
        <v>299732.90000000002</v>
      </c>
      <c r="MG40" s="3">
        <v>300569.90000000002</v>
      </c>
      <c r="MH40" s="3">
        <v>301407.90000000002</v>
      </c>
      <c r="MI40" s="3">
        <v>302247.09999999998</v>
      </c>
      <c r="MJ40" s="3">
        <v>303087.2</v>
      </c>
      <c r="MK40" s="3">
        <v>303922.5</v>
      </c>
      <c r="ML40" s="3">
        <v>304758.8</v>
      </c>
      <c r="MM40" s="3">
        <v>305596.2</v>
      </c>
      <c r="MN40" s="3">
        <v>306434.59999999998</v>
      </c>
      <c r="MO40" s="3">
        <v>307280.3</v>
      </c>
      <c r="MP40" s="3">
        <v>308127.40000000002</v>
      </c>
      <c r="MQ40" s="3">
        <v>308975.7</v>
      </c>
      <c r="MR40" s="3">
        <v>309824.90000000002</v>
      </c>
      <c r="MS40" s="3">
        <v>310675.5</v>
      </c>
      <c r="MT40" s="3">
        <v>311527.3</v>
      </c>
      <c r="MU40" t="s">
        <v>375</v>
      </c>
      <c r="MV40" t="b">
        <v>1</v>
      </c>
      <c r="MW40" s="1" t="s">
        <v>376</v>
      </c>
      <c r="MX40" t="s">
        <v>377</v>
      </c>
      <c r="MY40">
        <v>2024</v>
      </c>
      <c r="MZ40">
        <v>4</v>
      </c>
      <c r="NA40" t="s">
        <v>377</v>
      </c>
      <c r="NB40" t="s">
        <v>397</v>
      </c>
      <c r="NC40" s="1" t="s">
        <v>398</v>
      </c>
      <c r="ND40" t="s">
        <v>380</v>
      </c>
      <c r="NE40" t="s">
        <v>399</v>
      </c>
      <c r="NF40" s="1" t="s">
        <v>526</v>
      </c>
    </row>
    <row r="41" spans="1:370" x14ac:dyDescent="0.25">
      <c r="A41" t="s">
        <v>382</v>
      </c>
      <c r="B41" t="s">
        <v>396</v>
      </c>
      <c r="C41" s="1" t="s">
        <v>525</v>
      </c>
      <c r="D41" t="s">
        <v>383</v>
      </c>
      <c r="E41" t="s">
        <v>384</v>
      </c>
      <c r="F41" t="s">
        <v>374</v>
      </c>
      <c r="G41" s="2">
        <v>59.75</v>
      </c>
      <c r="H41" s="2">
        <v>62.625</v>
      </c>
      <c r="I41" s="2">
        <v>62.85</v>
      </c>
      <c r="J41" s="2">
        <v>65.924999999999997</v>
      </c>
      <c r="K41" s="2">
        <v>66.8</v>
      </c>
      <c r="L41" s="2">
        <v>70.05</v>
      </c>
      <c r="M41" s="2">
        <v>66.275000000000006</v>
      </c>
      <c r="N41" s="2">
        <v>68</v>
      </c>
      <c r="O41" s="2">
        <v>68.474999999999994</v>
      </c>
      <c r="P41" s="2">
        <v>66.474999999999994</v>
      </c>
      <c r="Q41" s="2">
        <v>65.349999999999994</v>
      </c>
      <c r="R41" s="2">
        <v>69.05</v>
      </c>
      <c r="S41" s="2">
        <v>68.575000000000003</v>
      </c>
      <c r="T41" s="2">
        <v>69.275000000000006</v>
      </c>
      <c r="U41" s="2">
        <v>71.275000000000006</v>
      </c>
      <c r="V41" s="2">
        <v>72</v>
      </c>
      <c r="W41" s="2">
        <v>70.849999999999994</v>
      </c>
      <c r="X41" s="2">
        <v>72.75</v>
      </c>
      <c r="Y41" s="2">
        <v>73.325000000000003</v>
      </c>
      <c r="Z41" s="2">
        <v>70.974999999999994</v>
      </c>
      <c r="AA41" s="2">
        <v>72.650000000000006</v>
      </c>
      <c r="AB41" s="2">
        <v>80.224999999999994</v>
      </c>
      <c r="AC41" s="2">
        <v>81.099999999999994</v>
      </c>
      <c r="AD41" s="2">
        <v>84.325000000000003</v>
      </c>
      <c r="AE41" s="2">
        <v>84.375</v>
      </c>
      <c r="AF41" s="2">
        <v>84.6</v>
      </c>
      <c r="AG41" s="2">
        <v>87.65</v>
      </c>
      <c r="AH41" s="2">
        <v>93.174999999999997</v>
      </c>
      <c r="AI41" s="2">
        <v>95.775000000000006</v>
      </c>
      <c r="AJ41" s="2">
        <v>97.575000000000003</v>
      </c>
      <c r="AK41" s="2">
        <v>97.375</v>
      </c>
      <c r="AL41" s="2">
        <v>96.775000000000006</v>
      </c>
      <c r="AM41" s="2">
        <v>98.6</v>
      </c>
      <c r="AN41" s="2">
        <v>99.125</v>
      </c>
      <c r="AO41" s="2">
        <v>97.025000000000006</v>
      </c>
      <c r="AP41" s="2">
        <v>97.45</v>
      </c>
      <c r="AQ41" s="2">
        <v>93.224999999999994</v>
      </c>
      <c r="AR41" s="2">
        <v>93.775000000000006</v>
      </c>
      <c r="AS41" s="2">
        <v>89.625</v>
      </c>
      <c r="AT41" s="2">
        <v>85.525000000000006</v>
      </c>
      <c r="AU41" s="2">
        <v>86.9</v>
      </c>
      <c r="AV41" s="2">
        <v>87.15</v>
      </c>
      <c r="AW41" s="2">
        <v>88.474999999999994</v>
      </c>
      <c r="AX41" s="2">
        <v>90.25</v>
      </c>
      <c r="AY41" s="2">
        <v>92.125</v>
      </c>
      <c r="AZ41" s="2">
        <v>94.424999999999997</v>
      </c>
      <c r="BA41" s="2">
        <v>96.5</v>
      </c>
      <c r="BB41" s="2">
        <v>98.474999999999994</v>
      </c>
      <c r="BC41" s="2">
        <v>98.724999999999994</v>
      </c>
      <c r="BD41" s="2">
        <v>98.525000000000006</v>
      </c>
      <c r="BE41" s="2">
        <v>97.075000000000003</v>
      </c>
      <c r="BF41" s="2">
        <v>99.974999999999994</v>
      </c>
      <c r="BG41" s="2">
        <v>103.125</v>
      </c>
      <c r="BH41" s="2">
        <v>104.22499999999999</v>
      </c>
      <c r="BI41" s="2">
        <v>106.6</v>
      </c>
      <c r="BJ41" s="2">
        <v>110.6</v>
      </c>
      <c r="BK41" s="2">
        <v>110.7</v>
      </c>
      <c r="BL41" s="2">
        <v>115.25</v>
      </c>
      <c r="BM41" s="2">
        <v>120.25</v>
      </c>
      <c r="BN41" s="2">
        <v>124.75</v>
      </c>
      <c r="BO41" s="2">
        <v>131.67500000000001</v>
      </c>
      <c r="BP41" s="2">
        <v>135.35</v>
      </c>
      <c r="BQ41" s="2">
        <v>138.02500000000001</v>
      </c>
      <c r="BR41" s="2">
        <v>142.25</v>
      </c>
      <c r="BS41" s="2">
        <v>146.47499999999999</v>
      </c>
      <c r="BT41" s="2">
        <v>152.9</v>
      </c>
      <c r="BU41" s="2">
        <v>154.44999999999999</v>
      </c>
      <c r="BV41" s="2">
        <v>156.80000000000001</v>
      </c>
      <c r="BW41" s="2">
        <v>163.6</v>
      </c>
      <c r="BX41" s="2">
        <v>165.65</v>
      </c>
      <c r="BY41" s="2">
        <v>166.9</v>
      </c>
      <c r="BZ41" s="2">
        <v>168.375</v>
      </c>
      <c r="CA41" s="2">
        <v>169.4</v>
      </c>
      <c r="CB41" s="2">
        <v>175.57499999999999</v>
      </c>
      <c r="CC41" s="2">
        <v>179.72499999999999</v>
      </c>
      <c r="CD41" s="2">
        <v>183.77500000000001</v>
      </c>
      <c r="CE41" s="2">
        <v>187.1</v>
      </c>
      <c r="CF41" s="2">
        <v>187.17500000000001</v>
      </c>
      <c r="CG41" s="2">
        <v>191.15</v>
      </c>
      <c r="CH41" s="2">
        <v>192.1</v>
      </c>
      <c r="CI41" s="2">
        <v>192.55</v>
      </c>
      <c r="CJ41" s="2">
        <v>194.85</v>
      </c>
      <c r="CK41" s="2">
        <v>194.32499999999999</v>
      </c>
      <c r="CL41" s="2">
        <v>200.57499999999999</v>
      </c>
      <c r="CM41" s="2">
        <v>202.55</v>
      </c>
      <c r="CN41" s="2">
        <v>209.4</v>
      </c>
      <c r="CO41" s="2">
        <v>217.22499999999999</v>
      </c>
      <c r="CP41" s="2">
        <v>222.25</v>
      </c>
      <c r="CQ41" s="2">
        <v>226.52500000000001</v>
      </c>
      <c r="CR41" s="2">
        <v>229.7</v>
      </c>
      <c r="CS41" s="2">
        <v>239.65</v>
      </c>
      <c r="CT41" s="2">
        <v>243.05</v>
      </c>
      <c r="CU41" s="2">
        <v>245.97499999999999</v>
      </c>
      <c r="CV41" s="2">
        <v>249.97499999999999</v>
      </c>
      <c r="CW41" s="2">
        <v>252</v>
      </c>
      <c r="CX41" s="2">
        <v>267.72500000000002</v>
      </c>
      <c r="CY41" s="2">
        <v>272.8</v>
      </c>
      <c r="CZ41" s="2">
        <v>283.7</v>
      </c>
      <c r="DA41" s="2">
        <v>290.27499999999998</v>
      </c>
      <c r="DB41" s="2">
        <v>289.85000000000002</v>
      </c>
      <c r="DC41" s="2">
        <v>291.2</v>
      </c>
      <c r="DD41" s="2">
        <v>288</v>
      </c>
      <c r="DE41" s="2">
        <v>286.67500000000001</v>
      </c>
      <c r="DF41" s="2">
        <v>297.32499999999999</v>
      </c>
      <c r="DG41" s="2">
        <v>296.35000000000002</v>
      </c>
      <c r="DH41" s="2">
        <v>300.02499999999998</v>
      </c>
      <c r="DI41" s="2">
        <v>309.07499999999999</v>
      </c>
      <c r="DJ41" s="2">
        <v>315.67500000000001</v>
      </c>
      <c r="DK41" s="2">
        <v>320.22500000000002</v>
      </c>
      <c r="DL41" s="2">
        <v>329.97500000000002</v>
      </c>
      <c r="DM41" s="2">
        <v>337.9</v>
      </c>
      <c r="DN41" s="2">
        <v>334.52499999999998</v>
      </c>
      <c r="DO41" s="2">
        <v>330.32499999999999</v>
      </c>
      <c r="DP41" s="2">
        <v>320.625</v>
      </c>
      <c r="DQ41" s="2">
        <v>304.22500000000002</v>
      </c>
      <c r="DR41" s="2">
        <v>293.64999999999998</v>
      </c>
      <c r="DS41" s="2">
        <v>300.05</v>
      </c>
      <c r="DT41" s="2">
        <v>309</v>
      </c>
      <c r="DU41" s="2">
        <v>309.97500000000002</v>
      </c>
      <c r="DV41" s="2">
        <v>305.39999999999998</v>
      </c>
      <c r="DW41" s="2">
        <v>304.45</v>
      </c>
      <c r="DX41" s="2">
        <v>305</v>
      </c>
      <c r="DY41" s="2">
        <v>313.32499999999999</v>
      </c>
      <c r="DZ41" s="2">
        <v>327.42500000000001</v>
      </c>
      <c r="EA41" s="2">
        <v>334.82499999999999</v>
      </c>
      <c r="EB41" s="2">
        <v>341.85</v>
      </c>
      <c r="EC41" s="2">
        <v>342.97500000000002</v>
      </c>
      <c r="ED41" s="2">
        <v>351.125</v>
      </c>
      <c r="EE41" s="2">
        <v>357.7</v>
      </c>
      <c r="EF41" s="2">
        <v>365.7</v>
      </c>
      <c r="EG41" s="2">
        <v>365.625</v>
      </c>
      <c r="EH41" s="2">
        <v>376.95</v>
      </c>
      <c r="EI41" s="2">
        <v>392.25</v>
      </c>
      <c r="EJ41" s="2">
        <v>399.52499999999998</v>
      </c>
      <c r="EK41" s="2">
        <v>399</v>
      </c>
      <c r="EL41" s="2">
        <v>414.15</v>
      </c>
      <c r="EM41" s="2">
        <v>422.35</v>
      </c>
      <c r="EN41" s="2">
        <v>428.75</v>
      </c>
      <c r="EO41" s="2">
        <v>442.15</v>
      </c>
      <c r="EP41" s="2">
        <v>452.3</v>
      </c>
      <c r="EQ41" s="2">
        <v>459.5</v>
      </c>
      <c r="ER41" s="2">
        <v>473</v>
      </c>
      <c r="ES41" s="2">
        <v>470.9</v>
      </c>
      <c r="ET41" s="2">
        <v>443.2</v>
      </c>
      <c r="EU41" s="2">
        <v>407.82499999999999</v>
      </c>
      <c r="EV41" s="2">
        <v>410.5</v>
      </c>
      <c r="EW41" s="2">
        <v>425.67500000000001</v>
      </c>
      <c r="EX41" s="2">
        <v>449.125</v>
      </c>
      <c r="EY41" s="2">
        <v>459.22500000000002</v>
      </c>
      <c r="EZ41" s="2">
        <v>469.32499999999999</v>
      </c>
      <c r="FA41" s="2">
        <v>482.75</v>
      </c>
      <c r="FB41" s="2">
        <v>495.95</v>
      </c>
      <c r="FC41" s="2">
        <v>500.2</v>
      </c>
      <c r="FD41" s="2">
        <v>508.67500000000001</v>
      </c>
      <c r="FE41" s="2">
        <v>515.67499999999995</v>
      </c>
      <c r="FF41" s="2">
        <v>519.6</v>
      </c>
      <c r="FG41" s="2">
        <v>525.92499999999995</v>
      </c>
      <c r="FH41" s="2">
        <v>531.125</v>
      </c>
      <c r="FI41" s="2">
        <v>534.375</v>
      </c>
      <c r="FJ41" s="2">
        <v>534.875</v>
      </c>
      <c r="FK41" s="2">
        <v>537.65</v>
      </c>
      <c r="FL41" s="2">
        <v>542.52499999999998</v>
      </c>
      <c r="FM41" s="2">
        <v>547.17499999999995</v>
      </c>
      <c r="FN41" s="2">
        <v>562.95000000000005</v>
      </c>
      <c r="FO41" s="2">
        <v>557.54999999999995</v>
      </c>
      <c r="FP41" s="2">
        <v>569.6</v>
      </c>
      <c r="FQ41" s="2">
        <v>571.95000000000005</v>
      </c>
      <c r="FR41" s="2">
        <v>576.67499999999995</v>
      </c>
      <c r="FS41" s="2">
        <v>572.125</v>
      </c>
      <c r="FT41" s="2">
        <v>573.65</v>
      </c>
      <c r="FU41" s="2">
        <v>569.02499999999998</v>
      </c>
      <c r="FV41" s="2">
        <v>568.25</v>
      </c>
      <c r="FW41" s="2">
        <v>566.625</v>
      </c>
      <c r="FX41" s="2">
        <v>571.02499999999998</v>
      </c>
      <c r="FY41" s="2">
        <v>580.27499999999998</v>
      </c>
      <c r="FZ41" s="2">
        <v>575.95000000000005</v>
      </c>
      <c r="GA41" s="2">
        <v>589.97500000000002</v>
      </c>
      <c r="GB41" s="2">
        <v>591.97500000000002</v>
      </c>
      <c r="GC41" s="2">
        <v>595.45000000000005</v>
      </c>
      <c r="GD41" s="2">
        <v>610.875</v>
      </c>
      <c r="GE41" s="2">
        <v>614.82500000000005</v>
      </c>
      <c r="GF41" s="2">
        <v>618.17499999999995</v>
      </c>
      <c r="GG41" s="2">
        <v>610.45000000000005</v>
      </c>
      <c r="GH41" s="2">
        <v>612.97500000000002</v>
      </c>
      <c r="GI41" s="2">
        <v>618.72500000000002</v>
      </c>
      <c r="GJ41" s="2">
        <v>615.6</v>
      </c>
      <c r="GK41" s="2">
        <v>615.72500000000002</v>
      </c>
      <c r="GL41" s="2">
        <v>619.47500000000002</v>
      </c>
      <c r="GM41" s="2">
        <v>592.95000000000005</v>
      </c>
      <c r="GN41" s="2">
        <v>467.75</v>
      </c>
      <c r="GO41" s="2">
        <v>526.25</v>
      </c>
      <c r="GP41" s="2">
        <v>558.4</v>
      </c>
      <c r="GQ41" s="2">
        <v>558.85</v>
      </c>
      <c r="GR41" s="2">
        <v>563.29999999999995</v>
      </c>
      <c r="GS41" s="2">
        <v>564.57500000000005</v>
      </c>
      <c r="GT41" s="2">
        <v>597.57500000000005</v>
      </c>
      <c r="GU41" s="2">
        <v>590.54999999999995</v>
      </c>
      <c r="GV41" s="2">
        <v>608.42499999999995</v>
      </c>
      <c r="GW41" s="2">
        <v>629.375</v>
      </c>
      <c r="GX41" s="2">
        <v>627.57500000000005</v>
      </c>
      <c r="GY41" s="2">
        <v>630.625</v>
      </c>
      <c r="GZ41" s="2">
        <v>622.9</v>
      </c>
      <c r="HA41" s="2">
        <v>630.375</v>
      </c>
      <c r="HB41" s="2">
        <v>639.9</v>
      </c>
      <c r="HC41" s="2">
        <v>642.95000000000005</v>
      </c>
      <c r="HD41" s="2">
        <v>644.6</v>
      </c>
      <c r="HE41" s="2">
        <v>659.55</v>
      </c>
      <c r="HF41" s="2">
        <v>658.7</v>
      </c>
      <c r="HG41" s="3">
        <v>661.80470000000003</v>
      </c>
      <c r="HH41" s="3">
        <v>667.32539999999995</v>
      </c>
      <c r="HI41" s="3">
        <v>670.61959999999999</v>
      </c>
      <c r="HJ41" s="3">
        <v>671.27009999999996</v>
      </c>
      <c r="HK41" s="3">
        <v>672.95719999999994</v>
      </c>
      <c r="HL41" s="3">
        <v>675.41639999999995</v>
      </c>
      <c r="HM41" s="3">
        <v>679.56939999999997</v>
      </c>
      <c r="HN41" s="3">
        <v>685.55020000000002</v>
      </c>
      <c r="HO41" s="3">
        <v>692.92960000000005</v>
      </c>
      <c r="HP41" s="3">
        <v>700.43700000000001</v>
      </c>
      <c r="HQ41" s="3">
        <v>708.01139999999998</v>
      </c>
      <c r="HR41" s="3">
        <v>715.39059999999995</v>
      </c>
      <c r="HS41" s="3">
        <v>722.37540000000001</v>
      </c>
      <c r="HT41" s="3">
        <v>728.98969999999997</v>
      </c>
      <c r="HU41" s="3">
        <v>735.37639999999999</v>
      </c>
      <c r="HV41" s="3">
        <v>741.53219999999999</v>
      </c>
      <c r="HW41" s="3">
        <v>747.5489</v>
      </c>
      <c r="HX41" s="3">
        <v>753.50789999999995</v>
      </c>
      <c r="HY41" s="3">
        <v>759.42539999999997</v>
      </c>
      <c r="HZ41" s="3">
        <v>765.30359999999996</v>
      </c>
      <c r="IA41" s="3">
        <v>771.13720000000001</v>
      </c>
      <c r="IB41" s="3">
        <v>776.91970000000003</v>
      </c>
      <c r="IC41" s="3">
        <v>782.65940000000001</v>
      </c>
      <c r="ID41" s="3">
        <v>788.35739999999998</v>
      </c>
      <c r="IE41" s="3">
        <v>794.01279999999997</v>
      </c>
      <c r="IF41" s="3">
        <v>799.63959999999997</v>
      </c>
      <c r="IG41" s="3">
        <v>805.23699999999997</v>
      </c>
      <c r="IH41" s="3">
        <v>810.80309999999997</v>
      </c>
      <c r="II41" s="3">
        <v>816.33759999999995</v>
      </c>
      <c r="IJ41" s="3">
        <v>821.83900000000006</v>
      </c>
      <c r="IK41" s="3">
        <v>827.32730000000004</v>
      </c>
      <c r="IL41" s="3">
        <v>832.75329999999997</v>
      </c>
      <c r="IM41" s="3">
        <v>838.14070000000004</v>
      </c>
      <c r="IN41" s="3">
        <v>843.48979999999995</v>
      </c>
      <c r="IO41" s="3">
        <v>848.79970000000003</v>
      </c>
      <c r="IP41" s="3">
        <v>854.06880000000001</v>
      </c>
      <c r="IQ41" s="3">
        <v>859.2953</v>
      </c>
      <c r="IR41" s="3">
        <v>864.4796</v>
      </c>
      <c r="IS41" s="3">
        <v>869.6146</v>
      </c>
      <c r="IT41" s="3">
        <v>874.69269999999995</v>
      </c>
      <c r="IU41" s="3">
        <v>879.71910000000003</v>
      </c>
      <c r="IV41" s="3">
        <v>884.70590000000004</v>
      </c>
      <c r="IW41" s="3">
        <v>889.66639999999995</v>
      </c>
      <c r="IX41" s="3">
        <v>894.58920000000001</v>
      </c>
      <c r="IY41" s="3">
        <v>899.49</v>
      </c>
      <c r="IZ41" s="3">
        <v>904.40890000000002</v>
      </c>
      <c r="JA41" s="3">
        <v>909.33109999999999</v>
      </c>
      <c r="JB41" s="3">
        <v>914.27139999999997</v>
      </c>
      <c r="JC41" s="3">
        <v>919.21730000000002</v>
      </c>
      <c r="JD41" s="3">
        <v>924.17629999999997</v>
      </c>
      <c r="JE41" s="3">
        <v>929.17319999999995</v>
      </c>
      <c r="JF41" s="3">
        <v>934.15089999999998</v>
      </c>
      <c r="JG41" s="3">
        <v>939.15269999999998</v>
      </c>
      <c r="JH41" s="3">
        <v>944.16210000000001</v>
      </c>
      <c r="JI41" s="3">
        <v>949.20029999999997</v>
      </c>
      <c r="JJ41" s="3">
        <v>954.25319999999999</v>
      </c>
      <c r="JK41" s="3">
        <v>959.32809999999995</v>
      </c>
      <c r="JL41" s="3">
        <v>964.42129999999997</v>
      </c>
      <c r="JM41" s="3">
        <v>969.49800000000005</v>
      </c>
      <c r="JN41" s="3">
        <v>974.62350000000004</v>
      </c>
      <c r="JO41" s="3">
        <v>979.75570000000005</v>
      </c>
      <c r="JP41" s="3">
        <v>984.90170000000001</v>
      </c>
      <c r="JQ41" s="3">
        <v>990.05849999999998</v>
      </c>
      <c r="JR41" s="3">
        <v>995.23810000000003</v>
      </c>
      <c r="JS41" s="3">
        <v>1000.438</v>
      </c>
      <c r="JT41" s="3">
        <v>1005.651</v>
      </c>
      <c r="JU41" s="3">
        <v>1010.893</v>
      </c>
      <c r="JV41" s="3">
        <v>1016.148</v>
      </c>
      <c r="JW41" s="3">
        <v>1021.419</v>
      </c>
      <c r="JX41" s="3">
        <v>1026.71</v>
      </c>
      <c r="JY41" s="3">
        <v>1032.0170000000001</v>
      </c>
      <c r="JZ41" s="3">
        <v>1037.345</v>
      </c>
      <c r="KA41" s="3">
        <v>1042.7059999999999</v>
      </c>
      <c r="KB41" s="3">
        <v>1048.0909999999999</v>
      </c>
      <c r="KC41" s="3">
        <v>1053.4849999999999</v>
      </c>
      <c r="KD41" s="3">
        <v>1058.913</v>
      </c>
      <c r="KE41" s="3">
        <v>1064.3610000000001</v>
      </c>
      <c r="KF41" s="3">
        <v>1069.82</v>
      </c>
      <c r="KG41" s="3">
        <v>1075.296</v>
      </c>
      <c r="KH41" s="3">
        <v>1080.8040000000001</v>
      </c>
      <c r="KI41" s="3">
        <v>1086.309</v>
      </c>
      <c r="KJ41" s="3">
        <v>1091.8389999999999</v>
      </c>
      <c r="KK41" s="3">
        <v>1097.3789999999999</v>
      </c>
      <c r="KL41" s="3">
        <v>1102.944</v>
      </c>
      <c r="KM41" s="3">
        <v>1108.5360000000001</v>
      </c>
      <c r="KN41" s="3">
        <v>1114.133</v>
      </c>
      <c r="KO41" s="3">
        <v>1119.748</v>
      </c>
      <c r="KP41" s="3">
        <v>1125.4000000000001</v>
      </c>
      <c r="KQ41" s="3">
        <v>1131.0550000000001</v>
      </c>
      <c r="KR41" s="3">
        <v>1136.7260000000001</v>
      </c>
      <c r="KS41" s="3">
        <v>1142.422</v>
      </c>
      <c r="KT41" s="3">
        <v>1148.133</v>
      </c>
      <c r="KU41" s="3">
        <v>1153.8630000000001</v>
      </c>
      <c r="KV41" s="3">
        <v>1159.6300000000001</v>
      </c>
      <c r="KW41" s="3">
        <v>1165.3820000000001</v>
      </c>
      <c r="KX41" s="3">
        <v>1171.1880000000001</v>
      </c>
      <c r="KY41" s="3">
        <v>1176.999</v>
      </c>
      <c r="KZ41" s="3">
        <v>1182.799</v>
      </c>
      <c r="LA41" s="3">
        <v>1188.644</v>
      </c>
      <c r="LB41" s="3">
        <v>1194.492</v>
      </c>
      <c r="LC41" s="3">
        <v>1200.3900000000001</v>
      </c>
      <c r="LD41" s="3">
        <v>1206.2909999999999</v>
      </c>
      <c r="LE41" s="3">
        <v>1212.1949999999999</v>
      </c>
      <c r="LF41" s="3">
        <v>1218.143</v>
      </c>
      <c r="LG41" s="3">
        <v>1224.106</v>
      </c>
      <c r="LH41" s="3">
        <v>1230.095</v>
      </c>
      <c r="LI41" s="3">
        <v>1236.1110000000001</v>
      </c>
      <c r="LJ41" s="3">
        <v>1242.1500000000001</v>
      </c>
      <c r="LK41" s="3">
        <v>1248.2260000000001</v>
      </c>
      <c r="LL41" s="3">
        <v>1254.316</v>
      </c>
      <c r="LM41" s="3">
        <v>1260.4369999999999</v>
      </c>
      <c r="LN41" s="3">
        <v>1266.5820000000001</v>
      </c>
      <c r="LO41" s="3">
        <v>1272.7539999999999</v>
      </c>
      <c r="LP41" s="3">
        <v>1278.95</v>
      </c>
      <c r="LQ41" s="3">
        <v>1285.183</v>
      </c>
      <c r="LR41" s="3">
        <v>1291.433</v>
      </c>
      <c r="LS41" s="3">
        <v>1297.711</v>
      </c>
      <c r="LT41" s="3">
        <v>1304.009</v>
      </c>
      <c r="LU41" s="3">
        <v>1310.3409999999999</v>
      </c>
      <c r="LV41" s="3">
        <v>1316.7</v>
      </c>
      <c r="LW41" s="3">
        <v>1323.08</v>
      </c>
      <c r="LX41" s="3">
        <v>1329.498</v>
      </c>
      <c r="LY41" s="3">
        <v>1335.941</v>
      </c>
      <c r="LZ41" s="3">
        <v>1342.394</v>
      </c>
      <c r="MA41" s="3">
        <v>1348.8969999999999</v>
      </c>
      <c r="MB41" s="3">
        <v>1355.41</v>
      </c>
      <c r="MC41" s="3">
        <v>1361.961</v>
      </c>
      <c r="MD41" s="3">
        <v>1368.54</v>
      </c>
      <c r="ME41" s="3">
        <v>1375.1410000000001</v>
      </c>
      <c r="MF41" s="3">
        <v>1381.7739999999999</v>
      </c>
      <c r="MG41" s="3">
        <v>1388.4469999999999</v>
      </c>
      <c r="MH41" s="3">
        <v>1395.14</v>
      </c>
      <c r="MI41" s="3">
        <v>1401.8679999999999</v>
      </c>
      <c r="MJ41" s="3">
        <v>1408.625</v>
      </c>
      <c r="MK41" s="3">
        <v>1415.4090000000001</v>
      </c>
      <c r="ML41" s="3">
        <v>1422.22</v>
      </c>
      <c r="MM41" s="3">
        <v>1429.0730000000001</v>
      </c>
      <c r="MN41" s="3">
        <v>1435.9480000000001</v>
      </c>
      <c r="MO41" s="3">
        <v>1442.847</v>
      </c>
      <c r="MP41" s="3">
        <v>1449.7940000000001</v>
      </c>
      <c r="MQ41" s="3">
        <v>1456.7550000000001</v>
      </c>
      <c r="MR41" s="3">
        <v>1463.7529999999999</v>
      </c>
      <c r="MS41" s="3">
        <v>1470.7840000000001</v>
      </c>
      <c r="MT41" s="3">
        <v>1477.838</v>
      </c>
      <c r="MU41" t="s">
        <v>385</v>
      </c>
      <c r="MV41" t="b">
        <v>1</v>
      </c>
      <c r="MW41" s="1" t="s">
        <v>386</v>
      </c>
      <c r="MX41" t="s">
        <v>377</v>
      </c>
      <c r="MY41">
        <v>2024</v>
      </c>
      <c r="MZ41">
        <v>4</v>
      </c>
      <c r="NA41" t="s">
        <v>377</v>
      </c>
      <c r="NB41" s="1" t="s">
        <v>400</v>
      </c>
      <c r="NC41" s="1" t="s">
        <v>401</v>
      </c>
      <c r="ND41" t="s">
        <v>389</v>
      </c>
      <c r="NE41" t="s">
        <v>399</v>
      </c>
      <c r="NF41" s="1" t="s">
        <v>526</v>
      </c>
    </row>
    <row r="42" spans="1:370" x14ac:dyDescent="0.25">
      <c r="A42" t="s">
        <v>370</v>
      </c>
      <c r="B42" s="1" t="s">
        <v>435</v>
      </c>
      <c r="C42" s="1" t="s">
        <v>525</v>
      </c>
      <c r="D42" t="s">
        <v>372</v>
      </c>
      <c r="E42" t="s">
        <v>373</v>
      </c>
      <c r="F42" t="s">
        <v>374</v>
      </c>
      <c r="G42" s="2">
        <v>13911.1</v>
      </c>
      <c r="H42" s="2">
        <v>14383.87</v>
      </c>
      <c r="I42" s="2">
        <v>14134.28</v>
      </c>
      <c r="J42" s="2">
        <v>14654.81</v>
      </c>
      <c r="K42" s="2">
        <v>16014.87</v>
      </c>
      <c r="L42" s="2">
        <v>15888.81</v>
      </c>
      <c r="M42" s="2">
        <v>16274.34</v>
      </c>
      <c r="N42" s="2">
        <v>15142.34</v>
      </c>
      <c r="O42" s="2">
        <v>15222.87</v>
      </c>
      <c r="P42" s="2">
        <v>15136.16</v>
      </c>
      <c r="Q42" s="2">
        <v>15232.16</v>
      </c>
      <c r="R42" s="2">
        <v>16077.4</v>
      </c>
      <c r="S42" s="2">
        <v>16502.87</v>
      </c>
      <c r="T42" s="2">
        <v>17543.099999999999</v>
      </c>
      <c r="U42" s="2">
        <v>16388.57</v>
      </c>
      <c r="V42" s="2">
        <v>16747.04</v>
      </c>
      <c r="W42" s="2">
        <v>17034.98</v>
      </c>
      <c r="X42" s="2">
        <v>17530.21</v>
      </c>
      <c r="Y42" s="2">
        <v>18027.45</v>
      </c>
      <c r="Z42" s="2">
        <v>17529.04</v>
      </c>
      <c r="AA42" s="2">
        <v>17137.45</v>
      </c>
      <c r="AB42" s="2">
        <v>18068.150000000001</v>
      </c>
      <c r="AC42" s="2">
        <v>16110.09</v>
      </c>
      <c r="AD42" s="2">
        <v>16562.86</v>
      </c>
      <c r="AE42" s="2">
        <v>12034.5</v>
      </c>
      <c r="AF42" s="2">
        <v>17701.14</v>
      </c>
      <c r="AG42" s="2">
        <v>14802.85</v>
      </c>
      <c r="AH42" s="2">
        <v>16132.91</v>
      </c>
      <c r="AI42" s="2">
        <v>17320.91</v>
      </c>
      <c r="AJ42" s="2">
        <v>16153.44</v>
      </c>
      <c r="AK42" s="2">
        <v>15567.97</v>
      </c>
      <c r="AL42" s="2">
        <v>15568.44</v>
      </c>
      <c r="AM42" s="2">
        <v>12698.02</v>
      </c>
      <c r="AN42" s="2">
        <v>13291.79</v>
      </c>
      <c r="AO42" s="2">
        <v>13837.25</v>
      </c>
      <c r="AP42" s="2">
        <v>14265.79</v>
      </c>
      <c r="AQ42" s="2">
        <v>14239.55</v>
      </c>
      <c r="AR42" s="2">
        <v>14329.72</v>
      </c>
      <c r="AS42" s="2">
        <v>12844.9</v>
      </c>
      <c r="AT42" s="2">
        <v>13139.37</v>
      </c>
      <c r="AU42" s="2">
        <v>13361.43</v>
      </c>
      <c r="AV42" s="2">
        <v>12684.37</v>
      </c>
      <c r="AW42" s="2">
        <v>13444.37</v>
      </c>
      <c r="AX42" s="2">
        <v>12600.25</v>
      </c>
      <c r="AY42" s="2">
        <v>14020.54</v>
      </c>
      <c r="AZ42" s="2">
        <v>14567.07</v>
      </c>
      <c r="BA42" s="2">
        <v>13787.42</v>
      </c>
      <c r="BB42" s="2">
        <v>15603.78</v>
      </c>
      <c r="BC42" s="2">
        <v>14844.18</v>
      </c>
      <c r="BD42" s="2">
        <v>15294.36</v>
      </c>
      <c r="BE42" s="2">
        <v>15276.48</v>
      </c>
      <c r="BF42" s="2">
        <v>14510.18</v>
      </c>
      <c r="BG42" s="2">
        <v>14486.36</v>
      </c>
      <c r="BH42" s="2">
        <v>15815.12</v>
      </c>
      <c r="BI42" s="2">
        <v>15054.83</v>
      </c>
      <c r="BJ42" s="2">
        <v>16708.36</v>
      </c>
      <c r="BK42" s="2">
        <v>18528.419999999998</v>
      </c>
      <c r="BL42" s="2">
        <v>17568.18</v>
      </c>
      <c r="BM42" s="2">
        <v>18760.650000000001</v>
      </c>
      <c r="BN42" s="2">
        <v>18302.36</v>
      </c>
      <c r="BO42" s="2">
        <v>18628.419999999998</v>
      </c>
      <c r="BP42" s="2">
        <v>19847.419999999998</v>
      </c>
      <c r="BQ42" s="2">
        <v>21800.78</v>
      </c>
      <c r="BR42" s="2">
        <v>22991.19</v>
      </c>
      <c r="BS42" s="2">
        <v>26502.79</v>
      </c>
      <c r="BT42" s="2">
        <v>25986.32</v>
      </c>
      <c r="BU42" s="2">
        <v>25721.19</v>
      </c>
      <c r="BV42" s="2">
        <v>26584.37</v>
      </c>
      <c r="BW42" s="2">
        <v>26486.07</v>
      </c>
      <c r="BX42" s="2">
        <v>27016.07</v>
      </c>
      <c r="BY42" s="2">
        <v>28534.959999999999</v>
      </c>
      <c r="BZ42" s="2">
        <v>28512.19</v>
      </c>
      <c r="CA42" s="2">
        <v>28390.49</v>
      </c>
      <c r="CB42" s="2">
        <v>29084.43</v>
      </c>
      <c r="CC42" s="2">
        <v>28134.07</v>
      </c>
      <c r="CD42" s="2">
        <v>27742.07</v>
      </c>
      <c r="CE42" s="2">
        <v>29177.19</v>
      </c>
      <c r="CF42" s="2">
        <v>28744.6</v>
      </c>
      <c r="CG42" s="2">
        <v>27811.31</v>
      </c>
      <c r="CH42" s="2">
        <v>28771.54</v>
      </c>
      <c r="CI42" s="2">
        <v>29509.31</v>
      </c>
      <c r="CJ42" s="2">
        <v>29054.54</v>
      </c>
      <c r="CK42" s="2">
        <v>26145.06</v>
      </c>
      <c r="CL42" s="2">
        <v>26150</v>
      </c>
      <c r="CM42" s="2">
        <v>28757.77</v>
      </c>
      <c r="CN42" s="2">
        <v>28745.7</v>
      </c>
      <c r="CO42" s="2">
        <v>29943.23</v>
      </c>
      <c r="CP42" s="2">
        <v>31436.17</v>
      </c>
      <c r="CQ42" s="2">
        <v>33597.47</v>
      </c>
      <c r="CR42" s="2">
        <v>35269.360000000001</v>
      </c>
      <c r="CS42" s="2">
        <v>37229.83</v>
      </c>
      <c r="CT42" s="2">
        <v>36407.699999999997</v>
      </c>
      <c r="CU42" s="2">
        <v>38859.06</v>
      </c>
      <c r="CV42" s="2">
        <v>40237.589999999997</v>
      </c>
      <c r="CW42" s="2">
        <v>41370.83</v>
      </c>
      <c r="CX42" s="2">
        <v>41113</v>
      </c>
      <c r="CY42" s="2">
        <v>47312</v>
      </c>
      <c r="CZ42" s="2">
        <v>49077</v>
      </c>
      <c r="DA42" s="2">
        <v>46468</v>
      </c>
      <c r="DB42" s="2">
        <v>49699</v>
      </c>
      <c r="DC42" s="2">
        <v>49018</v>
      </c>
      <c r="DD42" s="2">
        <v>48801</v>
      </c>
      <c r="DE42" s="2">
        <v>49164</v>
      </c>
      <c r="DF42" s="2">
        <v>48941</v>
      </c>
      <c r="DG42" s="2">
        <v>48191</v>
      </c>
      <c r="DH42" s="2">
        <v>50236</v>
      </c>
      <c r="DI42" s="2">
        <v>53818</v>
      </c>
      <c r="DJ42" s="2">
        <v>53036</v>
      </c>
      <c r="DK42" s="2">
        <v>55236</v>
      </c>
      <c r="DL42" s="2">
        <v>56441</v>
      </c>
      <c r="DM42" s="2">
        <v>57547</v>
      </c>
      <c r="DN42" s="2">
        <v>61784</v>
      </c>
      <c r="DO42" s="2">
        <v>62604</v>
      </c>
      <c r="DP42" s="2">
        <v>60790</v>
      </c>
      <c r="DQ42" s="2">
        <v>56263</v>
      </c>
      <c r="DR42" s="2">
        <v>54782</v>
      </c>
      <c r="DS42" s="2">
        <v>58201</v>
      </c>
      <c r="DT42" s="2">
        <v>61012</v>
      </c>
      <c r="DU42" s="2">
        <v>60535</v>
      </c>
      <c r="DV42" s="2">
        <v>55055</v>
      </c>
      <c r="DW42" s="2">
        <v>60127</v>
      </c>
      <c r="DX42" s="2">
        <v>57243</v>
      </c>
      <c r="DY42" s="2">
        <v>57598</v>
      </c>
      <c r="DZ42" s="2">
        <v>60770</v>
      </c>
      <c r="EA42" s="2">
        <v>58977</v>
      </c>
      <c r="EB42" s="2">
        <v>61445</v>
      </c>
      <c r="EC42" s="2">
        <v>63187</v>
      </c>
      <c r="ED42" s="2">
        <v>63597</v>
      </c>
      <c r="EE42" s="2">
        <v>62404</v>
      </c>
      <c r="EF42" s="2">
        <v>69622</v>
      </c>
      <c r="EG42" s="2">
        <v>74283</v>
      </c>
      <c r="EH42" s="2">
        <v>76075</v>
      </c>
      <c r="EI42" s="2">
        <v>90963</v>
      </c>
      <c r="EJ42" s="2">
        <v>96110</v>
      </c>
      <c r="EK42" s="2">
        <v>72582</v>
      </c>
      <c r="EL42" s="2">
        <v>72635</v>
      </c>
      <c r="EM42" s="2">
        <v>72659</v>
      </c>
      <c r="EN42" s="2">
        <v>75457</v>
      </c>
      <c r="EO42" s="2">
        <v>75142</v>
      </c>
      <c r="EP42" s="2">
        <v>75960</v>
      </c>
      <c r="EQ42" s="2">
        <v>76125</v>
      </c>
      <c r="ER42" s="2">
        <v>78115</v>
      </c>
      <c r="ES42" s="2">
        <v>77283</v>
      </c>
      <c r="ET42" s="2">
        <v>66295</v>
      </c>
      <c r="EU42" s="2">
        <v>61223</v>
      </c>
      <c r="EV42" s="2">
        <v>63530</v>
      </c>
      <c r="EW42" s="2">
        <v>66740</v>
      </c>
      <c r="EX42" s="2">
        <v>69559</v>
      </c>
      <c r="EY42" s="2">
        <v>68793</v>
      </c>
      <c r="EZ42" s="2">
        <v>73351</v>
      </c>
      <c r="FA42" s="2">
        <v>75631</v>
      </c>
      <c r="FB42" s="2">
        <v>75516</v>
      </c>
      <c r="FC42" s="2">
        <v>82899</v>
      </c>
      <c r="FD42" s="2">
        <v>77247</v>
      </c>
      <c r="FE42" s="2">
        <v>79055</v>
      </c>
      <c r="FF42" s="2">
        <v>82546</v>
      </c>
      <c r="FG42" s="2">
        <v>82827</v>
      </c>
      <c r="FH42" s="2">
        <v>76721</v>
      </c>
      <c r="FI42" s="2">
        <v>80308</v>
      </c>
      <c r="FJ42" s="2">
        <v>79657</v>
      </c>
      <c r="FK42" s="2">
        <v>78390</v>
      </c>
      <c r="FL42" s="2">
        <v>80561</v>
      </c>
      <c r="FM42" s="2">
        <v>80735</v>
      </c>
      <c r="FN42" s="2">
        <v>79648</v>
      </c>
      <c r="FO42" s="2">
        <v>79393</v>
      </c>
      <c r="FP42" s="2">
        <v>83041</v>
      </c>
      <c r="FQ42" s="2">
        <v>81331</v>
      </c>
      <c r="FR42" s="2">
        <v>82852</v>
      </c>
      <c r="FS42" s="2">
        <v>82894</v>
      </c>
      <c r="FT42" s="2">
        <v>85562</v>
      </c>
      <c r="FU42" s="2">
        <v>82221</v>
      </c>
      <c r="FV42" s="2">
        <v>84336</v>
      </c>
      <c r="FW42" s="2">
        <v>81123</v>
      </c>
      <c r="FX42" s="2">
        <v>86230</v>
      </c>
      <c r="FY42" s="2">
        <v>83151</v>
      </c>
      <c r="FZ42" s="2">
        <v>86737</v>
      </c>
      <c r="GA42" s="2">
        <v>86199</v>
      </c>
      <c r="GB42" s="2">
        <v>86884</v>
      </c>
      <c r="GC42" s="2">
        <v>89058</v>
      </c>
      <c r="GD42" s="2">
        <v>90091</v>
      </c>
      <c r="GE42" s="2">
        <v>91944</v>
      </c>
      <c r="GF42" s="2">
        <v>89256</v>
      </c>
      <c r="GG42" s="2">
        <v>89300</v>
      </c>
      <c r="GH42" s="2">
        <v>87750</v>
      </c>
      <c r="GI42" s="2">
        <v>91240</v>
      </c>
      <c r="GJ42" s="2">
        <v>88505</v>
      </c>
      <c r="GK42" s="2">
        <v>89995</v>
      </c>
      <c r="GL42" s="2">
        <v>99624</v>
      </c>
      <c r="GM42" s="2">
        <v>84316</v>
      </c>
      <c r="GN42" s="2">
        <v>73698</v>
      </c>
      <c r="GO42" s="2">
        <v>77079</v>
      </c>
      <c r="GP42" s="2">
        <v>83241</v>
      </c>
      <c r="GQ42" s="2">
        <v>76485</v>
      </c>
      <c r="GR42" s="2">
        <v>88635</v>
      </c>
      <c r="GS42" s="2">
        <v>79442</v>
      </c>
      <c r="GT42" s="2">
        <v>88057</v>
      </c>
      <c r="GU42" s="2">
        <v>79755</v>
      </c>
      <c r="GV42" s="2">
        <v>83449</v>
      </c>
      <c r="GW42" s="2">
        <v>98222</v>
      </c>
      <c r="GX42" s="2">
        <v>101136</v>
      </c>
      <c r="GY42" s="2">
        <v>87198</v>
      </c>
      <c r="GZ42" s="2">
        <v>87228</v>
      </c>
      <c r="HA42" s="2">
        <v>83531</v>
      </c>
      <c r="HB42" s="2">
        <v>85834</v>
      </c>
      <c r="HC42" s="2">
        <v>82683</v>
      </c>
      <c r="HD42" s="2">
        <v>78994</v>
      </c>
      <c r="HE42" s="2">
        <v>79804</v>
      </c>
      <c r="HF42" s="2">
        <v>75407</v>
      </c>
      <c r="HG42" s="3">
        <v>76131.13</v>
      </c>
      <c r="HH42" s="3">
        <v>76218.149999999994</v>
      </c>
      <c r="HI42" s="3">
        <v>76140.98</v>
      </c>
      <c r="HJ42" s="3">
        <v>76067.3</v>
      </c>
      <c r="HK42" s="3">
        <v>76031.839999999997</v>
      </c>
      <c r="HL42" s="3">
        <v>76011.77</v>
      </c>
      <c r="HM42" s="3">
        <v>76098.77</v>
      </c>
      <c r="HN42" s="3">
        <v>76212.55</v>
      </c>
      <c r="HO42" s="3">
        <v>76376.38</v>
      </c>
      <c r="HP42" s="3">
        <v>76525.34</v>
      </c>
      <c r="HQ42" s="3">
        <v>76705.14</v>
      </c>
      <c r="HR42" s="3">
        <v>76862.429999999993</v>
      </c>
      <c r="HS42" s="3">
        <v>77043.03</v>
      </c>
      <c r="HT42" s="3">
        <v>77220.240000000005</v>
      </c>
      <c r="HU42" s="3">
        <v>77405.55</v>
      </c>
      <c r="HV42" s="3">
        <v>77599.070000000007</v>
      </c>
      <c r="HW42" s="3">
        <v>77793.09</v>
      </c>
      <c r="HX42" s="3">
        <v>77987.55</v>
      </c>
      <c r="HY42" s="3">
        <v>78182.53</v>
      </c>
      <c r="HZ42" s="3">
        <v>78397.53</v>
      </c>
      <c r="IA42" s="3">
        <v>78632.73</v>
      </c>
      <c r="IB42" s="3">
        <v>78876.479999999996</v>
      </c>
      <c r="IC42" s="3">
        <v>79121</v>
      </c>
      <c r="ID42" s="3">
        <v>79366.27</v>
      </c>
      <c r="IE42" s="3">
        <v>79612.31</v>
      </c>
      <c r="IF42" s="3">
        <v>79859.11</v>
      </c>
      <c r="IG42" s="3">
        <v>80106.67</v>
      </c>
      <c r="IH42" s="3">
        <v>80355.009999999995</v>
      </c>
      <c r="II42" s="3">
        <v>80604.100000000006</v>
      </c>
      <c r="IJ42" s="3">
        <v>80853.98</v>
      </c>
      <c r="IK42" s="3">
        <v>81104.63</v>
      </c>
      <c r="IL42" s="3">
        <v>81356.05</v>
      </c>
      <c r="IM42" s="3">
        <v>81605.59</v>
      </c>
      <c r="IN42" s="3">
        <v>81842.73</v>
      </c>
      <c r="IO42" s="3">
        <v>82080.03</v>
      </c>
      <c r="IP42" s="3">
        <v>82303.8</v>
      </c>
      <c r="IQ42" s="3">
        <v>82540.23</v>
      </c>
      <c r="IR42" s="3">
        <v>82769.02</v>
      </c>
      <c r="IS42" s="3">
        <v>82996.759999999995</v>
      </c>
      <c r="IT42" s="3">
        <v>83221.47</v>
      </c>
      <c r="IU42" s="3">
        <v>83456.66</v>
      </c>
      <c r="IV42" s="3">
        <v>83692.38</v>
      </c>
      <c r="IW42" s="3">
        <v>83928.55</v>
      </c>
      <c r="IX42" s="3">
        <v>84165.2</v>
      </c>
      <c r="IY42" s="3">
        <v>84409.600000000006</v>
      </c>
      <c r="IZ42" s="3">
        <v>84654.84</v>
      </c>
      <c r="JA42" s="3">
        <v>84900.92</v>
      </c>
      <c r="JB42" s="3">
        <v>85147.81</v>
      </c>
      <c r="JC42" s="3">
        <v>85395.51</v>
      </c>
      <c r="JD42" s="3">
        <v>85644.01</v>
      </c>
      <c r="JE42" s="3">
        <v>85893.34</v>
      </c>
      <c r="JF42" s="3">
        <v>86143.51</v>
      </c>
      <c r="JG42" s="3">
        <v>86401.66</v>
      </c>
      <c r="JH42" s="3">
        <v>86660.73</v>
      </c>
      <c r="JI42" s="3">
        <v>86920.8</v>
      </c>
      <c r="JJ42" s="3">
        <v>87181.85</v>
      </c>
      <c r="JK42" s="3">
        <v>87443.88</v>
      </c>
      <c r="JL42" s="3">
        <v>87706.87</v>
      </c>
      <c r="JM42" s="3">
        <v>87970.85</v>
      </c>
      <c r="JN42" s="3">
        <v>88235.85</v>
      </c>
      <c r="JO42" s="3">
        <v>88518.61</v>
      </c>
      <c r="JP42" s="3">
        <v>88802.32</v>
      </c>
      <c r="JQ42" s="3">
        <v>89086.98</v>
      </c>
      <c r="JR42" s="3">
        <v>89372.6</v>
      </c>
      <c r="JS42" s="3">
        <v>89667.02</v>
      </c>
      <c r="JT42" s="3">
        <v>89962.5</v>
      </c>
      <c r="JU42" s="3">
        <v>90259.98</v>
      </c>
      <c r="JV42" s="3">
        <v>90558.55</v>
      </c>
      <c r="JW42" s="3">
        <v>90858.17</v>
      </c>
      <c r="JX42" s="3">
        <v>91158.86</v>
      </c>
      <c r="JY42" s="3">
        <v>91452.91</v>
      </c>
      <c r="JZ42" s="3">
        <v>91747.91</v>
      </c>
      <c r="KA42" s="3">
        <v>92043.83</v>
      </c>
      <c r="KB42" s="3">
        <v>92340.68</v>
      </c>
      <c r="KC42" s="3">
        <v>92629.11</v>
      </c>
      <c r="KD42" s="3">
        <v>92918.27</v>
      </c>
      <c r="KE42" s="3">
        <v>93208.15</v>
      </c>
      <c r="KF42" s="3">
        <v>93498.77</v>
      </c>
      <c r="KG42" s="3">
        <v>93772.93</v>
      </c>
      <c r="KH42" s="3">
        <v>94047.55</v>
      </c>
      <c r="KI42" s="3">
        <v>94322.63</v>
      </c>
      <c r="KJ42" s="3">
        <v>94598.19</v>
      </c>
      <c r="KK42" s="3">
        <v>94866.16</v>
      </c>
      <c r="KL42" s="3">
        <v>95134.48</v>
      </c>
      <c r="KM42" s="3">
        <v>95403.16</v>
      </c>
      <c r="KN42" s="3">
        <v>95672.2</v>
      </c>
      <c r="KO42" s="3">
        <v>95941.21</v>
      </c>
      <c r="KP42" s="3">
        <v>96210.58</v>
      </c>
      <c r="KQ42" s="3">
        <v>96480.31</v>
      </c>
      <c r="KR42" s="3">
        <v>96750.43</v>
      </c>
      <c r="KS42" s="3">
        <v>97015.14</v>
      </c>
      <c r="KT42" s="3">
        <v>97280.16</v>
      </c>
      <c r="KU42" s="3">
        <v>97545.48</v>
      </c>
      <c r="KV42" s="3">
        <v>97811.11</v>
      </c>
      <c r="KW42" s="3">
        <v>98074.59</v>
      </c>
      <c r="KX42" s="3">
        <v>98338.33</v>
      </c>
      <c r="KY42" s="3">
        <v>98602.33</v>
      </c>
      <c r="KZ42" s="3">
        <v>98866.6</v>
      </c>
      <c r="LA42" s="3">
        <v>99123.34</v>
      </c>
      <c r="LB42" s="3">
        <v>99380.22</v>
      </c>
      <c r="LC42" s="3">
        <v>99638.22</v>
      </c>
      <c r="LD42" s="3">
        <v>99896.27</v>
      </c>
      <c r="LE42" s="3">
        <v>100151.8</v>
      </c>
      <c r="LF42" s="3">
        <v>100407.4</v>
      </c>
      <c r="LG42" s="3">
        <v>100663.1</v>
      </c>
      <c r="LH42" s="3">
        <v>100918.9</v>
      </c>
      <c r="LI42" s="3">
        <v>101170.8</v>
      </c>
      <c r="LJ42" s="3">
        <v>101422.8</v>
      </c>
      <c r="LK42" s="3">
        <v>101674.9</v>
      </c>
      <c r="LL42" s="3">
        <v>101927.1</v>
      </c>
      <c r="LM42" s="3">
        <v>102171.2</v>
      </c>
      <c r="LN42" s="3">
        <v>102415.3</v>
      </c>
      <c r="LO42" s="3">
        <v>102659.3</v>
      </c>
      <c r="LP42" s="3">
        <v>102903.2</v>
      </c>
      <c r="LQ42" s="3">
        <v>103146.9</v>
      </c>
      <c r="LR42" s="3">
        <v>103390.6</v>
      </c>
      <c r="LS42" s="3">
        <v>103634.2</v>
      </c>
      <c r="LT42" s="3">
        <v>103877.8</v>
      </c>
      <c r="LU42" s="3">
        <v>104117.7</v>
      </c>
      <c r="LV42" s="3">
        <v>104357.6</v>
      </c>
      <c r="LW42" s="3">
        <v>104597.4</v>
      </c>
      <c r="LX42" s="3">
        <v>104837.1</v>
      </c>
      <c r="LY42" s="3">
        <v>105073.3</v>
      </c>
      <c r="LZ42" s="3">
        <v>105309.4</v>
      </c>
      <c r="MA42" s="3">
        <v>105545.3</v>
      </c>
      <c r="MB42" s="3">
        <v>105781.1</v>
      </c>
      <c r="MC42" s="3">
        <v>106016.5</v>
      </c>
      <c r="MD42" s="3">
        <v>106251.8</v>
      </c>
      <c r="ME42" s="3">
        <v>106487</v>
      </c>
      <c r="MF42" s="3">
        <v>106722.1</v>
      </c>
      <c r="MG42" s="3">
        <v>106959.6</v>
      </c>
      <c r="MH42" s="3">
        <v>107197</v>
      </c>
      <c r="MI42" s="3">
        <v>107434.3</v>
      </c>
      <c r="MJ42" s="3">
        <v>107671.6</v>
      </c>
      <c r="MK42" s="3">
        <v>107906.6</v>
      </c>
      <c r="ML42" s="3">
        <v>108141.6</v>
      </c>
      <c r="MM42" s="3">
        <v>108376.5</v>
      </c>
      <c r="MN42" s="3">
        <v>108611.3</v>
      </c>
      <c r="MO42" s="3">
        <v>108848.3</v>
      </c>
      <c r="MP42" s="3">
        <v>109085.3</v>
      </c>
      <c r="MQ42" s="3">
        <v>109322.3</v>
      </c>
      <c r="MR42" s="3">
        <v>109559.2</v>
      </c>
      <c r="MS42" s="3">
        <v>109796.1</v>
      </c>
      <c r="MT42" s="3">
        <v>110033</v>
      </c>
      <c r="MU42" t="s">
        <v>409</v>
      </c>
      <c r="MV42" t="b">
        <v>1</v>
      </c>
      <c r="MW42" s="1" t="s">
        <v>376</v>
      </c>
      <c r="MX42" t="s">
        <v>377</v>
      </c>
      <c r="MY42">
        <v>2024</v>
      </c>
      <c r="MZ42">
        <v>4</v>
      </c>
      <c r="NA42" t="s">
        <v>377</v>
      </c>
      <c r="NB42" s="1" t="s">
        <v>436</v>
      </c>
      <c r="NC42" s="1" t="s">
        <v>437</v>
      </c>
      <c r="ND42" t="s">
        <v>380</v>
      </c>
      <c r="NE42" t="s">
        <v>438</v>
      </c>
      <c r="NF42" s="1" t="s">
        <v>526</v>
      </c>
    </row>
    <row r="43" spans="1:370" x14ac:dyDescent="0.25">
      <c r="A43" t="s">
        <v>382</v>
      </c>
      <c r="B43" s="1" t="s">
        <v>435</v>
      </c>
      <c r="C43" s="1" t="s">
        <v>525</v>
      </c>
      <c r="D43" t="s">
        <v>383</v>
      </c>
      <c r="E43" t="s">
        <v>384</v>
      </c>
      <c r="F43" t="s">
        <v>374</v>
      </c>
      <c r="G43" s="2">
        <v>38.700000000000003</v>
      </c>
      <c r="H43" s="2">
        <v>41</v>
      </c>
      <c r="I43" s="2">
        <v>40.975000000000001</v>
      </c>
      <c r="J43" s="2">
        <v>44.15</v>
      </c>
      <c r="K43" s="2">
        <v>44.3</v>
      </c>
      <c r="L43" s="2">
        <v>46.45</v>
      </c>
      <c r="M43" s="2">
        <v>43.7</v>
      </c>
      <c r="N43" s="2">
        <v>44.475000000000001</v>
      </c>
      <c r="O43" s="2">
        <v>44.4</v>
      </c>
      <c r="P43" s="2">
        <v>42.225000000000001</v>
      </c>
      <c r="Q43" s="2">
        <v>43.024999999999999</v>
      </c>
      <c r="R43" s="2">
        <v>45.55</v>
      </c>
      <c r="S43" s="2">
        <v>45.05</v>
      </c>
      <c r="T43" s="2">
        <v>45.35</v>
      </c>
      <c r="U43" s="2">
        <v>46.524999999999999</v>
      </c>
      <c r="V43" s="2">
        <v>47.325000000000003</v>
      </c>
      <c r="W43" s="2">
        <v>46.424999999999997</v>
      </c>
      <c r="X43" s="2">
        <v>47.625</v>
      </c>
      <c r="Y43" s="2">
        <v>47.85</v>
      </c>
      <c r="Z43" s="2">
        <v>45.85</v>
      </c>
      <c r="AA43" s="2">
        <v>46.6</v>
      </c>
      <c r="AB43" s="2">
        <v>52.7</v>
      </c>
      <c r="AC43" s="2">
        <v>52.95</v>
      </c>
      <c r="AD43" s="2">
        <v>55.024999999999999</v>
      </c>
      <c r="AE43" s="2">
        <v>54.9</v>
      </c>
      <c r="AF43" s="2">
        <v>55.075000000000003</v>
      </c>
      <c r="AG43" s="2">
        <v>57.55</v>
      </c>
      <c r="AH43" s="2">
        <v>61.674999999999997</v>
      </c>
      <c r="AI43" s="2">
        <v>64.025000000000006</v>
      </c>
      <c r="AJ43" s="2">
        <v>64.924999999999997</v>
      </c>
      <c r="AK43" s="2">
        <v>64.400000000000006</v>
      </c>
      <c r="AL43" s="2">
        <v>64.025000000000006</v>
      </c>
      <c r="AM43" s="2">
        <v>64.5</v>
      </c>
      <c r="AN43" s="2">
        <v>64.775000000000006</v>
      </c>
      <c r="AO43" s="2">
        <v>63.05</v>
      </c>
      <c r="AP43" s="2">
        <v>63.4</v>
      </c>
      <c r="AQ43" s="2">
        <v>60.325000000000003</v>
      </c>
      <c r="AR43" s="2">
        <v>61.024999999999999</v>
      </c>
      <c r="AS43" s="2">
        <v>57.774999999999999</v>
      </c>
      <c r="AT43" s="2">
        <v>54.9</v>
      </c>
      <c r="AU43" s="2">
        <v>55.975000000000001</v>
      </c>
      <c r="AV43" s="2">
        <v>55.6</v>
      </c>
      <c r="AW43" s="2">
        <v>56.625</v>
      </c>
      <c r="AX43" s="2">
        <v>58.2</v>
      </c>
      <c r="AY43" s="2">
        <v>58.274999999999999</v>
      </c>
      <c r="AZ43" s="2">
        <v>59.424999999999997</v>
      </c>
      <c r="BA43" s="2">
        <v>61.55</v>
      </c>
      <c r="BB43" s="2">
        <v>63.174999999999997</v>
      </c>
      <c r="BC43" s="2">
        <v>63.075000000000003</v>
      </c>
      <c r="BD43" s="2">
        <v>59.774999999999999</v>
      </c>
      <c r="BE43" s="2">
        <v>58.25</v>
      </c>
      <c r="BF43" s="2">
        <v>58.825000000000003</v>
      </c>
      <c r="BG43" s="2">
        <v>59.174999999999997</v>
      </c>
      <c r="BH43" s="2">
        <v>60.9</v>
      </c>
      <c r="BI43" s="2">
        <v>62.674999999999997</v>
      </c>
      <c r="BJ43" s="2">
        <v>65.5</v>
      </c>
      <c r="BK43" s="2">
        <v>65.275000000000006</v>
      </c>
      <c r="BL43" s="2">
        <v>68.7</v>
      </c>
      <c r="BM43" s="2">
        <v>72.674999999999997</v>
      </c>
      <c r="BN43" s="2">
        <v>74.974999999999994</v>
      </c>
      <c r="BO43" s="2">
        <v>80.2</v>
      </c>
      <c r="BP43" s="2">
        <v>82.7</v>
      </c>
      <c r="BQ43" s="2">
        <v>84.35</v>
      </c>
      <c r="BR43" s="2">
        <v>87.075000000000003</v>
      </c>
      <c r="BS43" s="2">
        <v>88.224999999999994</v>
      </c>
      <c r="BT43" s="2">
        <v>92.974999999999994</v>
      </c>
      <c r="BU43" s="2">
        <v>94.1</v>
      </c>
      <c r="BV43" s="2">
        <v>95.25</v>
      </c>
      <c r="BW43" s="2">
        <v>99.65</v>
      </c>
      <c r="BX43" s="2">
        <v>100.85</v>
      </c>
      <c r="BY43" s="2">
        <v>101.5</v>
      </c>
      <c r="BZ43" s="2">
        <v>100.02500000000001</v>
      </c>
      <c r="CA43" s="2">
        <v>101.8</v>
      </c>
      <c r="CB43" s="2">
        <v>105.85</v>
      </c>
      <c r="CC43" s="2">
        <v>108.97499999999999</v>
      </c>
      <c r="CD43" s="2">
        <v>110.625</v>
      </c>
      <c r="CE43" s="2">
        <v>113.02500000000001</v>
      </c>
      <c r="CF43" s="2">
        <v>112.875</v>
      </c>
      <c r="CG43" s="2">
        <v>116.875</v>
      </c>
      <c r="CH43" s="2">
        <v>117.675</v>
      </c>
      <c r="CI43" s="2">
        <v>117.125</v>
      </c>
      <c r="CJ43" s="2">
        <v>118.52500000000001</v>
      </c>
      <c r="CK43" s="2">
        <v>118.47499999999999</v>
      </c>
      <c r="CL43" s="2">
        <v>123.02500000000001</v>
      </c>
      <c r="CM43" s="2">
        <v>123.8</v>
      </c>
      <c r="CN43" s="2">
        <v>128.92500000000001</v>
      </c>
      <c r="CO43" s="2">
        <v>136.05000000000001</v>
      </c>
      <c r="CP43" s="2">
        <v>138.69999999999999</v>
      </c>
      <c r="CQ43" s="2">
        <v>142.22499999999999</v>
      </c>
      <c r="CR43" s="2">
        <v>144.02500000000001</v>
      </c>
      <c r="CS43" s="2">
        <v>150.97499999999999</v>
      </c>
      <c r="CT43" s="2">
        <v>152.07499999999999</v>
      </c>
      <c r="CU43" s="2">
        <v>154.85</v>
      </c>
      <c r="CV43" s="2">
        <v>158.25</v>
      </c>
      <c r="CW43" s="2">
        <v>160.77500000000001</v>
      </c>
      <c r="CX43" s="2">
        <v>169.5</v>
      </c>
      <c r="CY43" s="2">
        <v>175.32499999999999</v>
      </c>
      <c r="CZ43" s="2">
        <v>184.35</v>
      </c>
      <c r="DA43" s="2">
        <v>189.27500000000001</v>
      </c>
      <c r="DB43" s="2">
        <v>189.45</v>
      </c>
      <c r="DC43" s="2">
        <v>190.67500000000001</v>
      </c>
      <c r="DD43" s="2">
        <v>185.625</v>
      </c>
      <c r="DE43" s="2">
        <v>185.625</v>
      </c>
      <c r="DF43" s="2">
        <v>194.875</v>
      </c>
      <c r="DG43" s="2">
        <v>188.875</v>
      </c>
      <c r="DH43" s="2">
        <v>191.22499999999999</v>
      </c>
      <c r="DI43" s="2">
        <v>197.75</v>
      </c>
      <c r="DJ43" s="2">
        <v>203.42500000000001</v>
      </c>
      <c r="DK43" s="2">
        <v>208.2</v>
      </c>
      <c r="DL43" s="2">
        <v>214.45</v>
      </c>
      <c r="DM43" s="2">
        <v>223.02500000000001</v>
      </c>
      <c r="DN43" s="2">
        <v>218.97499999999999</v>
      </c>
      <c r="DO43" s="2">
        <v>216.7</v>
      </c>
      <c r="DP43" s="2">
        <v>207.42500000000001</v>
      </c>
      <c r="DQ43" s="2">
        <v>195.1</v>
      </c>
      <c r="DR43" s="2">
        <v>189.85</v>
      </c>
      <c r="DS43" s="2">
        <v>190.05</v>
      </c>
      <c r="DT43" s="2">
        <v>196.77500000000001</v>
      </c>
      <c r="DU43" s="2">
        <v>197.67500000000001</v>
      </c>
      <c r="DV43" s="2">
        <v>192.27500000000001</v>
      </c>
      <c r="DW43" s="2">
        <v>194.375</v>
      </c>
      <c r="DX43" s="2">
        <v>194.75</v>
      </c>
      <c r="DY43" s="2">
        <v>199.8</v>
      </c>
      <c r="DZ43" s="2">
        <v>208.7</v>
      </c>
      <c r="EA43" s="2">
        <v>212.35</v>
      </c>
      <c r="EB43" s="2">
        <v>215.95</v>
      </c>
      <c r="EC43" s="2">
        <v>218.5</v>
      </c>
      <c r="ED43" s="2">
        <v>221.97499999999999</v>
      </c>
      <c r="EE43" s="2">
        <v>226.47499999999999</v>
      </c>
      <c r="EF43" s="2">
        <v>233.27500000000001</v>
      </c>
      <c r="EG43" s="2">
        <v>235.4</v>
      </c>
      <c r="EH43" s="2">
        <v>243</v>
      </c>
      <c r="EI43" s="2">
        <v>252.65</v>
      </c>
      <c r="EJ43" s="2">
        <v>257.02499999999998</v>
      </c>
      <c r="EK43" s="2">
        <v>257.60000000000002</v>
      </c>
      <c r="EL43" s="2">
        <v>265.2</v>
      </c>
      <c r="EM43" s="2">
        <v>268.07499999999999</v>
      </c>
      <c r="EN43" s="2">
        <v>272.375</v>
      </c>
      <c r="EO43" s="2">
        <v>279.5</v>
      </c>
      <c r="EP43" s="2">
        <v>284.42500000000001</v>
      </c>
      <c r="EQ43" s="2">
        <v>288.64999999999998</v>
      </c>
      <c r="ER43" s="2">
        <v>298.3</v>
      </c>
      <c r="ES43" s="2">
        <v>298.22500000000002</v>
      </c>
      <c r="ET43" s="2">
        <v>273.92500000000001</v>
      </c>
      <c r="EU43" s="2">
        <v>244.05</v>
      </c>
      <c r="EV43" s="2">
        <v>241.75</v>
      </c>
      <c r="EW43" s="2">
        <v>252.45</v>
      </c>
      <c r="EX43" s="2">
        <v>271.52499999999998</v>
      </c>
      <c r="EY43" s="2">
        <v>280.27499999999998</v>
      </c>
      <c r="EZ43" s="2">
        <v>287</v>
      </c>
      <c r="FA43" s="2">
        <v>293.625</v>
      </c>
      <c r="FB43" s="2">
        <v>302.22500000000002</v>
      </c>
      <c r="FC43" s="2">
        <v>305.64999999999998</v>
      </c>
      <c r="FD43" s="2">
        <v>309.95</v>
      </c>
      <c r="FE43" s="2">
        <v>311.57499999999999</v>
      </c>
      <c r="FF43" s="2">
        <v>317.42500000000001</v>
      </c>
      <c r="FG43" s="2">
        <v>320.67500000000001</v>
      </c>
      <c r="FH43" s="2">
        <v>324</v>
      </c>
      <c r="FI43" s="2">
        <v>326</v>
      </c>
      <c r="FJ43" s="2">
        <v>320.95</v>
      </c>
      <c r="FK43" s="2">
        <v>325</v>
      </c>
      <c r="FL43" s="2">
        <v>328.65</v>
      </c>
      <c r="FM43" s="2">
        <v>328.82499999999999</v>
      </c>
      <c r="FN43" s="2">
        <v>339.57499999999999</v>
      </c>
      <c r="FO43" s="2">
        <v>337.27499999999998</v>
      </c>
      <c r="FP43" s="2">
        <v>343.7</v>
      </c>
      <c r="FQ43" s="2">
        <v>346.02499999999998</v>
      </c>
      <c r="FR43" s="2">
        <v>350.42500000000001</v>
      </c>
      <c r="FS43" s="2">
        <v>342.02499999999998</v>
      </c>
      <c r="FT43" s="2">
        <v>344.72500000000002</v>
      </c>
      <c r="FU43" s="2">
        <v>341.57499999999999</v>
      </c>
      <c r="FV43" s="2">
        <v>338.9</v>
      </c>
      <c r="FW43" s="2">
        <v>335.92500000000001</v>
      </c>
      <c r="FX43" s="2">
        <v>335.97500000000002</v>
      </c>
      <c r="FY43" s="2">
        <v>345.32499999999999</v>
      </c>
      <c r="FZ43" s="2">
        <v>346.52499999999998</v>
      </c>
      <c r="GA43" s="2">
        <v>347.52499999999998</v>
      </c>
      <c r="GB43" s="2">
        <v>347.77499999999998</v>
      </c>
      <c r="GC43" s="2">
        <v>351.15</v>
      </c>
      <c r="GD43" s="2">
        <v>359.57499999999999</v>
      </c>
      <c r="GE43" s="2">
        <v>361.55</v>
      </c>
      <c r="GF43" s="2">
        <v>367.125</v>
      </c>
      <c r="GG43" s="2">
        <v>360.42500000000001</v>
      </c>
      <c r="GH43" s="2">
        <v>361.375</v>
      </c>
      <c r="GI43" s="2">
        <v>362.95</v>
      </c>
      <c r="GJ43" s="2">
        <v>356.45</v>
      </c>
      <c r="GK43" s="2">
        <v>358.47500000000002</v>
      </c>
      <c r="GL43" s="2">
        <v>355.17500000000001</v>
      </c>
      <c r="GM43" s="2">
        <v>347.42500000000001</v>
      </c>
      <c r="GN43" s="2">
        <v>264</v>
      </c>
      <c r="GO43" s="2">
        <v>321.17500000000001</v>
      </c>
      <c r="GP43" s="2">
        <v>343.15</v>
      </c>
      <c r="GQ43" s="2">
        <v>345.3</v>
      </c>
      <c r="GR43" s="2">
        <v>343.75</v>
      </c>
      <c r="GS43" s="2">
        <v>344.6</v>
      </c>
      <c r="GT43" s="2">
        <v>363.85</v>
      </c>
      <c r="GU43" s="2">
        <v>355.75</v>
      </c>
      <c r="GV43" s="2">
        <v>365.45</v>
      </c>
      <c r="GW43" s="2">
        <v>380.15</v>
      </c>
      <c r="GX43" s="2">
        <v>374.8</v>
      </c>
      <c r="GY43" s="2">
        <v>378.52499999999998</v>
      </c>
      <c r="GZ43" s="2">
        <v>367.47500000000002</v>
      </c>
      <c r="HA43" s="2">
        <v>374.77499999999998</v>
      </c>
      <c r="HB43" s="2">
        <v>375.52499999999998</v>
      </c>
      <c r="HC43" s="2">
        <v>375.45</v>
      </c>
      <c r="HD43" s="2">
        <v>377.85</v>
      </c>
      <c r="HE43" s="2">
        <v>387.35</v>
      </c>
      <c r="HF43" s="2">
        <v>378.05</v>
      </c>
      <c r="HG43" s="3">
        <v>381.34120000000001</v>
      </c>
      <c r="HH43" s="3">
        <v>384.4984</v>
      </c>
      <c r="HI43" s="3">
        <v>385.06709999999998</v>
      </c>
      <c r="HJ43" s="3">
        <v>382.78660000000002</v>
      </c>
      <c r="HK43" s="3">
        <v>381.42309999999998</v>
      </c>
      <c r="HL43" s="3">
        <v>380.72660000000002</v>
      </c>
      <c r="HM43" s="3">
        <v>381.63630000000001</v>
      </c>
      <c r="HN43" s="3">
        <v>384.34339999999997</v>
      </c>
      <c r="HO43" s="3">
        <v>388.47949999999997</v>
      </c>
      <c r="HP43" s="3">
        <v>392.85079999999999</v>
      </c>
      <c r="HQ43" s="3">
        <v>397.39749999999998</v>
      </c>
      <c r="HR43" s="3">
        <v>401.83879999999999</v>
      </c>
      <c r="HS43" s="3">
        <v>405.97890000000001</v>
      </c>
      <c r="HT43" s="3">
        <v>409.8424</v>
      </c>
      <c r="HU43" s="3">
        <v>413.52960000000002</v>
      </c>
      <c r="HV43" s="3">
        <v>417.0163</v>
      </c>
      <c r="HW43" s="3">
        <v>420.39499999999998</v>
      </c>
      <c r="HX43" s="3">
        <v>423.74270000000001</v>
      </c>
      <c r="HY43" s="3">
        <v>427.07440000000003</v>
      </c>
      <c r="HZ43" s="3">
        <v>430.38929999999999</v>
      </c>
      <c r="IA43" s="3">
        <v>433.68639999999999</v>
      </c>
      <c r="IB43" s="3">
        <v>436.96510000000001</v>
      </c>
      <c r="IC43" s="3">
        <v>440.23899999999998</v>
      </c>
      <c r="ID43" s="3">
        <v>443.50749999999999</v>
      </c>
      <c r="IE43" s="3">
        <v>446.77050000000003</v>
      </c>
      <c r="IF43" s="3">
        <v>450.02719999999999</v>
      </c>
      <c r="IG43" s="3">
        <v>453.27719999999999</v>
      </c>
      <c r="IH43" s="3">
        <v>456.52010000000001</v>
      </c>
      <c r="II43" s="3">
        <v>459.75529999999998</v>
      </c>
      <c r="IJ43" s="3">
        <v>462.98219999999998</v>
      </c>
      <c r="IK43" s="3">
        <v>466.20049999999998</v>
      </c>
      <c r="IL43" s="3">
        <v>469.40960000000001</v>
      </c>
      <c r="IM43" s="3">
        <v>472.60899999999998</v>
      </c>
      <c r="IN43" s="3">
        <v>475.79820000000001</v>
      </c>
      <c r="IO43" s="3">
        <v>478.97669999999999</v>
      </c>
      <c r="IP43" s="3">
        <v>482.14400000000001</v>
      </c>
      <c r="IQ43" s="3">
        <v>485.2996</v>
      </c>
      <c r="IR43" s="3">
        <v>488.44290000000001</v>
      </c>
      <c r="IS43" s="3">
        <v>491.57350000000002</v>
      </c>
      <c r="IT43" s="3">
        <v>494.69080000000002</v>
      </c>
      <c r="IU43" s="3">
        <v>497.79430000000002</v>
      </c>
      <c r="IV43" s="3">
        <v>500.88350000000003</v>
      </c>
      <c r="IW43" s="3">
        <v>503.9579</v>
      </c>
      <c r="IX43" s="3">
        <v>507.017</v>
      </c>
      <c r="IY43" s="3">
        <v>510.0684</v>
      </c>
      <c r="IZ43" s="3">
        <v>513.13250000000005</v>
      </c>
      <c r="JA43" s="3">
        <v>516.20090000000005</v>
      </c>
      <c r="JB43" s="3">
        <v>519.28210000000001</v>
      </c>
      <c r="JC43" s="3">
        <v>522.36879999999996</v>
      </c>
      <c r="JD43" s="3">
        <v>525.46550000000002</v>
      </c>
      <c r="JE43" s="3">
        <v>528.58619999999996</v>
      </c>
      <c r="JF43" s="3">
        <v>531.69839999999999</v>
      </c>
      <c r="JG43" s="3">
        <v>534.82680000000005</v>
      </c>
      <c r="JH43" s="3">
        <v>537.96199999999999</v>
      </c>
      <c r="JI43" s="3">
        <v>541.11599999999999</v>
      </c>
      <c r="JJ43" s="3">
        <v>544.28089999999997</v>
      </c>
      <c r="JK43" s="3">
        <v>547.46079999999995</v>
      </c>
      <c r="JL43" s="3">
        <v>550.65350000000001</v>
      </c>
      <c r="JM43" s="3">
        <v>553.83939999999996</v>
      </c>
      <c r="JN43" s="3">
        <v>557.05560000000003</v>
      </c>
      <c r="JO43" s="3">
        <v>560.27809999999999</v>
      </c>
      <c r="JP43" s="3">
        <v>563.51089999999999</v>
      </c>
      <c r="JQ43" s="3">
        <v>566.75250000000005</v>
      </c>
      <c r="JR43" s="3">
        <v>570.0095</v>
      </c>
      <c r="JS43" s="3">
        <v>573.2808</v>
      </c>
      <c r="JT43" s="3">
        <v>576.56200000000001</v>
      </c>
      <c r="JU43" s="3">
        <v>579.86210000000005</v>
      </c>
      <c r="JV43" s="3">
        <v>583.1721</v>
      </c>
      <c r="JW43" s="3">
        <v>586.49429999999995</v>
      </c>
      <c r="JX43" s="3">
        <v>589.83000000000004</v>
      </c>
      <c r="JY43" s="3">
        <v>593.17769999999996</v>
      </c>
      <c r="JZ43" s="3">
        <v>596.53989999999999</v>
      </c>
      <c r="KA43" s="3">
        <v>599.92380000000003</v>
      </c>
      <c r="KB43" s="3">
        <v>603.32339999999999</v>
      </c>
      <c r="KC43" s="3">
        <v>606.73099999999999</v>
      </c>
      <c r="KD43" s="3">
        <v>610.16110000000003</v>
      </c>
      <c r="KE43" s="3">
        <v>613.60490000000004</v>
      </c>
      <c r="KF43" s="3">
        <v>617.05790000000002</v>
      </c>
      <c r="KG43" s="3">
        <v>620.52279999999996</v>
      </c>
      <c r="KH43" s="3">
        <v>624.00900000000001</v>
      </c>
      <c r="KI43" s="3">
        <v>627.49599999999998</v>
      </c>
      <c r="KJ43" s="3">
        <v>630.99969999999996</v>
      </c>
      <c r="KK43" s="3">
        <v>634.51179999999999</v>
      </c>
      <c r="KL43" s="3">
        <v>638.0412</v>
      </c>
      <c r="KM43" s="3">
        <v>641.58870000000002</v>
      </c>
      <c r="KN43" s="3">
        <v>645.14170000000001</v>
      </c>
      <c r="KO43" s="3">
        <v>648.70770000000005</v>
      </c>
      <c r="KP43" s="3">
        <v>652.29740000000004</v>
      </c>
      <c r="KQ43" s="3">
        <v>655.89160000000004</v>
      </c>
      <c r="KR43" s="3">
        <v>659.49770000000001</v>
      </c>
      <c r="KS43" s="3">
        <v>663.12120000000004</v>
      </c>
      <c r="KT43" s="3">
        <v>666.75549999999998</v>
      </c>
      <c r="KU43" s="3">
        <v>670.40369999999996</v>
      </c>
      <c r="KV43" s="3">
        <v>674.07560000000001</v>
      </c>
      <c r="KW43" s="3">
        <v>677.74189999999999</v>
      </c>
      <c r="KX43" s="3">
        <v>681.44179999999994</v>
      </c>
      <c r="KY43" s="3">
        <v>685.14769999999999</v>
      </c>
      <c r="KZ43" s="3">
        <v>688.84939999999995</v>
      </c>
      <c r="LA43" s="3">
        <v>692.57960000000003</v>
      </c>
      <c r="LB43" s="3">
        <v>696.31489999999997</v>
      </c>
      <c r="LC43" s="3">
        <v>700.08140000000003</v>
      </c>
      <c r="LD43" s="3">
        <v>703.85209999999995</v>
      </c>
      <c r="LE43" s="3">
        <v>707.62750000000005</v>
      </c>
      <c r="LF43" s="3">
        <v>711.4316</v>
      </c>
      <c r="LG43" s="3">
        <v>715.24649999999997</v>
      </c>
      <c r="LH43" s="3">
        <v>719.0797</v>
      </c>
      <c r="LI43" s="3">
        <v>722.9307</v>
      </c>
      <c r="LJ43" s="3">
        <v>726.79819999999995</v>
      </c>
      <c r="LK43" s="3">
        <v>730.68979999999999</v>
      </c>
      <c r="LL43" s="3">
        <v>734.59249999999997</v>
      </c>
      <c r="LM43" s="3">
        <v>738.51599999999996</v>
      </c>
      <c r="LN43" s="3">
        <v>742.45630000000006</v>
      </c>
      <c r="LO43" s="3">
        <v>746.41470000000004</v>
      </c>
      <c r="LP43" s="3">
        <v>750.39</v>
      </c>
      <c r="LQ43" s="3">
        <v>754.39009999999996</v>
      </c>
      <c r="LR43" s="3">
        <v>758.40219999999999</v>
      </c>
      <c r="LS43" s="3">
        <v>762.43409999999994</v>
      </c>
      <c r="LT43" s="3">
        <v>766.48019999999997</v>
      </c>
      <c r="LU43" s="3">
        <v>770.54920000000004</v>
      </c>
      <c r="LV43" s="3">
        <v>774.63620000000003</v>
      </c>
      <c r="LW43" s="3">
        <v>778.73910000000001</v>
      </c>
      <c r="LX43" s="3">
        <v>782.86659999999995</v>
      </c>
      <c r="LY43" s="3">
        <v>787.01170000000002</v>
      </c>
      <c r="LZ43" s="3">
        <v>791.16510000000005</v>
      </c>
      <c r="MA43" s="3">
        <v>795.35109999999997</v>
      </c>
      <c r="MB43" s="3">
        <v>799.54570000000001</v>
      </c>
      <c r="MC43" s="3">
        <v>803.76549999999997</v>
      </c>
      <c r="MD43" s="3">
        <v>808.00450000000001</v>
      </c>
      <c r="ME43" s="3">
        <v>812.25990000000002</v>
      </c>
      <c r="MF43" s="3">
        <v>816.53610000000003</v>
      </c>
      <c r="MG43" s="3">
        <v>820.83889999999997</v>
      </c>
      <c r="MH43" s="3">
        <v>825.15660000000003</v>
      </c>
      <c r="MI43" s="3">
        <v>829.49779999999998</v>
      </c>
      <c r="MJ43" s="3">
        <v>833.85879999999997</v>
      </c>
      <c r="MK43" s="3">
        <v>838.23879999999997</v>
      </c>
      <c r="ML43" s="3">
        <v>842.63810000000001</v>
      </c>
      <c r="MM43" s="3">
        <v>847.06449999999995</v>
      </c>
      <c r="MN43" s="3">
        <v>851.50699999999995</v>
      </c>
      <c r="MO43" s="3">
        <v>855.96640000000002</v>
      </c>
      <c r="MP43" s="3">
        <v>860.45740000000001</v>
      </c>
      <c r="MQ43" s="3">
        <v>864.95899999999995</v>
      </c>
      <c r="MR43" s="3">
        <v>869.48590000000002</v>
      </c>
      <c r="MS43" s="3">
        <v>874.03579999999999</v>
      </c>
      <c r="MT43" s="3">
        <v>878.60130000000004</v>
      </c>
      <c r="MU43" t="s">
        <v>385</v>
      </c>
      <c r="MV43" t="b">
        <v>1</v>
      </c>
      <c r="MW43" s="1" t="s">
        <v>386</v>
      </c>
      <c r="MX43" t="s">
        <v>377</v>
      </c>
      <c r="MY43">
        <v>2024</v>
      </c>
      <c r="MZ43">
        <v>4</v>
      </c>
      <c r="NA43" t="s">
        <v>377</v>
      </c>
      <c r="NB43" s="1" t="s">
        <v>439</v>
      </c>
      <c r="NC43" s="1" t="s">
        <v>440</v>
      </c>
      <c r="ND43" t="s">
        <v>389</v>
      </c>
      <c r="NE43" t="s">
        <v>438</v>
      </c>
      <c r="NF43" s="1" t="s">
        <v>526</v>
      </c>
    </row>
    <row r="44" spans="1:370" x14ac:dyDescent="0.25">
      <c r="A44" t="s">
        <v>370</v>
      </c>
      <c r="B44" t="s">
        <v>402</v>
      </c>
      <c r="C44" s="1" t="s">
        <v>525</v>
      </c>
      <c r="D44" t="s">
        <v>372</v>
      </c>
      <c r="E44" t="s">
        <v>373</v>
      </c>
      <c r="F44" t="s">
        <v>374</v>
      </c>
      <c r="G44" s="2">
        <v>34501</v>
      </c>
      <c r="H44" s="2">
        <v>34693</v>
      </c>
      <c r="I44" s="2">
        <v>35714</v>
      </c>
      <c r="J44" s="2">
        <v>36306</v>
      </c>
      <c r="K44" s="2">
        <v>35237</v>
      </c>
      <c r="L44" s="2">
        <v>36120</v>
      </c>
      <c r="M44" s="2">
        <v>35827</v>
      </c>
      <c r="N44" s="2">
        <v>35382</v>
      </c>
      <c r="O44" s="2">
        <v>33882</v>
      </c>
      <c r="P44" s="2">
        <v>32123</v>
      </c>
      <c r="Q44" s="2">
        <v>33900</v>
      </c>
      <c r="R44" s="2">
        <v>33217</v>
      </c>
      <c r="S44" s="2">
        <v>32702</v>
      </c>
      <c r="T44" s="2">
        <v>35374</v>
      </c>
      <c r="U44" s="2">
        <v>35764</v>
      </c>
      <c r="V44" s="2">
        <v>35806</v>
      </c>
      <c r="W44" s="2">
        <v>35437</v>
      </c>
      <c r="X44" s="2">
        <v>36298</v>
      </c>
      <c r="Y44" s="2">
        <v>35391</v>
      </c>
      <c r="Z44" s="2">
        <v>34937</v>
      </c>
      <c r="AA44" s="2">
        <v>37167</v>
      </c>
      <c r="AB44" s="2">
        <v>37390</v>
      </c>
      <c r="AC44" s="2">
        <v>37335</v>
      </c>
      <c r="AD44" s="2">
        <v>35142</v>
      </c>
      <c r="AE44" s="2">
        <v>37420</v>
      </c>
      <c r="AF44" s="2">
        <v>40615</v>
      </c>
      <c r="AG44" s="2">
        <v>41427</v>
      </c>
      <c r="AH44" s="2">
        <v>41252</v>
      </c>
      <c r="AI44" s="2">
        <v>41769</v>
      </c>
      <c r="AJ44" s="2">
        <v>40270</v>
      </c>
      <c r="AK44" s="2">
        <v>36904</v>
      </c>
      <c r="AL44" s="2">
        <v>36054</v>
      </c>
      <c r="AM44" s="2">
        <v>34504</v>
      </c>
      <c r="AN44" s="2">
        <v>36432</v>
      </c>
      <c r="AO44" s="2">
        <v>40446</v>
      </c>
      <c r="AP44" s="2">
        <v>39200</v>
      </c>
      <c r="AQ44" s="2">
        <v>38853</v>
      </c>
      <c r="AR44" s="2">
        <v>40506</v>
      </c>
      <c r="AS44" s="2">
        <v>39271</v>
      </c>
      <c r="AT44" s="2">
        <v>38776</v>
      </c>
      <c r="AU44" s="2">
        <v>40491</v>
      </c>
      <c r="AV44" s="2">
        <v>41549</v>
      </c>
      <c r="AW44" s="2">
        <v>41802</v>
      </c>
      <c r="AX44" s="2">
        <v>43271</v>
      </c>
      <c r="AY44" s="2">
        <v>43672</v>
      </c>
      <c r="AZ44" s="2">
        <v>45571</v>
      </c>
      <c r="BA44" s="2">
        <v>45901</v>
      </c>
      <c r="BB44" s="2">
        <v>47773</v>
      </c>
      <c r="BC44" s="2">
        <v>47820</v>
      </c>
      <c r="BD44" s="2">
        <v>46572</v>
      </c>
      <c r="BE44" s="2">
        <v>45666</v>
      </c>
      <c r="BF44" s="2">
        <v>47146</v>
      </c>
      <c r="BG44" s="2">
        <v>48298</v>
      </c>
      <c r="BH44" s="2">
        <v>49988</v>
      </c>
      <c r="BI44" s="2">
        <v>50344</v>
      </c>
      <c r="BJ44" s="2">
        <v>51050</v>
      </c>
      <c r="BK44" s="2">
        <v>50423</v>
      </c>
      <c r="BL44" s="2">
        <v>52940</v>
      </c>
      <c r="BM44" s="2">
        <v>55384</v>
      </c>
      <c r="BN44" s="2">
        <v>56457</v>
      </c>
      <c r="BO44" s="2">
        <v>57025</v>
      </c>
      <c r="BP44" s="2">
        <v>59388</v>
      </c>
      <c r="BQ44" s="2">
        <v>60945</v>
      </c>
      <c r="BR44" s="2">
        <v>64442</v>
      </c>
      <c r="BS44" s="2">
        <v>65266</v>
      </c>
      <c r="BT44" s="2">
        <v>63935</v>
      </c>
      <c r="BU44" s="2">
        <v>65429</v>
      </c>
      <c r="BV44" s="2">
        <v>64379</v>
      </c>
      <c r="BW44" s="2">
        <v>65982</v>
      </c>
      <c r="BX44" s="2">
        <v>65805</v>
      </c>
      <c r="BY44" s="2">
        <v>64692</v>
      </c>
      <c r="BZ44" s="2">
        <v>63581</v>
      </c>
      <c r="CA44" s="2">
        <v>61468</v>
      </c>
      <c r="CB44" s="2">
        <v>61739</v>
      </c>
      <c r="CC44" s="2">
        <v>62111</v>
      </c>
      <c r="CD44" s="2">
        <v>63016</v>
      </c>
      <c r="CE44" s="2">
        <v>64113</v>
      </c>
      <c r="CF44" s="2">
        <v>67044</v>
      </c>
      <c r="CG44" s="2">
        <v>66329</v>
      </c>
      <c r="CH44" s="2">
        <v>67108</v>
      </c>
      <c r="CI44" s="2">
        <v>67657</v>
      </c>
      <c r="CJ44" s="2">
        <v>67128</v>
      </c>
      <c r="CK44" s="2">
        <v>68591</v>
      </c>
      <c r="CL44" s="2">
        <v>69458</v>
      </c>
      <c r="CM44" s="2">
        <v>71093</v>
      </c>
      <c r="CN44" s="2">
        <v>71729</v>
      </c>
      <c r="CO44" s="2">
        <v>71371</v>
      </c>
      <c r="CP44" s="2">
        <v>74297</v>
      </c>
      <c r="CQ44" s="2">
        <v>73011</v>
      </c>
      <c r="CR44" s="2">
        <v>75654</v>
      </c>
      <c r="CS44" s="2">
        <v>77304</v>
      </c>
      <c r="CT44" s="2">
        <v>77893</v>
      </c>
      <c r="CU44" s="2">
        <v>80910</v>
      </c>
      <c r="CV44" s="2">
        <v>81887</v>
      </c>
      <c r="CW44" s="2">
        <v>83534</v>
      </c>
      <c r="CX44" s="2">
        <v>85481</v>
      </c>
      <c r="CY44" s="2">
        <v>87548</v>
      </c>
      <c r="CZ44" s="2">
        <v>92186</v>
      </c>
      <c r="DA44" s="2">
        <v>91282</v>
      </c>
      <c r="DB44" s="2">
        <v>93433</v>
      </c>
      <c r="DC44" s="2">
        <v>95868</v>
      </c>
      <c r="DD44" s="2">
        <v>98132</v>
      </c>
      <c r="DE44" s="2">
        <v>98822</v>
      </c>
      <c r="DF44" s="2">
        <v>98825</v>
      </c>
      <c r="DG44" s="2">
        <v>101888</v>
      </c>
      <c r="DH44" s="2">
        <v>103093</v>
      </c>
      <c r="DI44" s="2">
        <v>106806</v>
      </c>
      <c r="DJ44" s="2">
        <v>108843</v>
      </c>
      <c r="DK44" s="2">
        <v>110301</v>
      </c>
      <c r="DL44" s="2">
        <v>113789</v>
      </c>
      <c r="DM44" s="2">
        <v>116055</v>
      </c>
      <c r="DN44" s="2">
        <v>120091</v>
      </c>
      <c r="DO44" s="2">
        <v>122754</v>
      </c>
      <c r="DP44" s="2">
        <v>123401</v>
      </c>
      <c r="DQ44" s="2">
        <v>121607</v>
      </c>
      <c r="DR44" s="2">
        <v>120993</v>
      </c>
      <c r="DS44" s="2">
        <v>125120</v>
      </c>
      <c r="DT44" s="2">
        <v>130137</v>
      </c>
      <c r="DU44" s="2">
        <v>128297</v>
      </c>
      <c r="DV44" s="2">
        <v>128358</v>
      </c>
      <c r="DW44" s="2">
        <v>129063</v>
      </c>
      <c r="DX44" s="2">
        <v>128433</v>
      </c>
      <c r="DY44" s="2">
        <v>129523</v>
      </c>
      <c r="DZ44" s="2">
        <v>133300</v>
      </c>
      <c r="EA44" s="2">
        <v>133996</v>
      </c>
      <c r="EB44" s="2">
        <v>137259</v>
      </c>
      <c r="EC44" s="2">
        <v>141008</v>
      </c>
      <c r="ED44" s="2">
        <v>143089</v>
      </c>
      <c r="EE44" s="2">
        <v>142425</v>
      </c>
      <c r="EF44" s="2">
        <v>148309</v>
      </c>
      <c r="EG44" s="2">
        <v>149958</v>
      </c>
      <c r="EH44" s="2">
        <v>153800</v>
      </c>
      <c r="EI44" s="2">
        <v>170751</v>
      </c>
      <c r="EJ44" s="2">
        <v>174542</v>
      </c>
      <c r="EK44" s="2">
        <v>156126</v>
      </c>
      <c r="EL44" s="2">
        <v>155938</v>
      </c>
      <c r="EM44" s="2">
        <v>160014</v>
      </c>
      <c r="EN44" s="2">
        <v>159398</v>
      </c>
      <c r="EO44" s="2">
        <v>164710</v>
      </c>
      <c r="EP44" s="2">
        <v>164064</v>
      </c>
      <c r="EQ44" s="2">
        <v>164791</v>
      </c>
      <c r="ER44" s="2">
        <v>163780</v>
      </c>
      <c r="ES44" s="2">
        <v>160848</v>
      </c>
      <c r="ET44" s="2">
        <v>152350</v>
      </c>
      <c r="EU44" s="2">
        <v>146327</v>
      </c>
      <c r="EV44" s="2">
        <v>146677</v>
      </c>
      <c r="EW44" s="2">
        <v>150636</v>
      </c>
      <c r="EX44" s="2">
        <v>153109</v>
      </c>
      <c r="EY44" s="2">
        <v>155913</v>
      </c>
      <c r="EZ44" s="2">
        <v>160853</v>
      </c>
      <c r="FA44" s="2">
        <v>166050</v>
      </c>
      <c r="FB44" s="2">
        <v>167478</v>
      </c>
      <c r="FC44" s="2">
        <v>163551</v>
      </c>
      <c r="FD44" s="2">
        <v>168441</v>
      </c>
      <c r="FE44" s="2">
        <v>168134</v>
      </c>
      <c r="FF44" s="2">
        <v>169238</v>
      </c>
      <c r="FG44" s="2">
        <v>170581</v>
      </c>
      <c r="FH44" s="2">
        <v>173796</v>
      </c>
      <c r="FI44" s="2">
        <v>172124</v>
      </c>
      <c r="FJ44" s="2">
        <v>169344</v>
      </c>
      <c r="FK44" s="2">
        <v>169789</v>
      </c>
      <c r="FL44" s="2">
        <v>178386</v>
      </c>
      <c r="FM44" s="2">
        <v>177941</v>
      </c>
      <c r="FN44" s="2">
        <v>181946</v>
      </c>
      <c r="FO44" s="2">
        <v>179155</v>
      </c>
      <c r="FP44" s="2">
        <v>180159</v>
      </c>
      <c r="FQ44" s="2">
        <v>186677</v>
      </c>
      <c r="FR44" s="2">
        <v>198146</v>
      </c>
      <c r="FS44" s="2">
        <v>196687</v>
      </c>
      <c r="FT44" s="2">
        <v>192342</v>
      </c>
      <c r="FU44" s="2">
        <v>192126</v>
      </c>
      <c r="FV44" s="2">
        <v>199855</v>
      </c>
      <c r="FW44" s="2">
        <v>199056</v>
      </c>
      <c r="FX44" s="2">
        <v>201432</v>
      </c>
      <c r="FY44" s="2">
        <v>208250</v>
      </c>
      <c r="FZ44" s="2">
        <v>203353</v>
      </c>
      <c r="GA44" s="2">
        <v>205761</v>
      </c>
      <c r="GB44" s="2">
        <v>211268</v>
      </c>
      <c r="GC44" s="2">
        <v>212304</v>
      </c>
      <c r="GD44" s="2">
        <v>208444</v>
      </c>
      <c r="GE44" s="2">
        <v>212313</v>
      </c>
      <c r="GF44" s="2">
        <v>213752</v>
      </c>
      <c r="GG44" s="2">
        <v>214831</v>
      </c>
      <c r="GH44" s="2">
        <v>222831</v>
      </c>
      <c r="GI44" s="2">
        <v>238575</v>
      </c>
      <c r="GJ44" s="2">
        <v>216413</v>
      </c>
      <c r="GK44" s="2">
        <v>219598</v>
      </c>
      <c r="GL44" s="2">
        <v>212636</v>
      </c>
      <c r="GM44" s="2">
        <v>204826</v>
      </c>
      <c r="GN44" s="2">
        <v>154302</v>
      </c>
      <c r="GO44" s="2">
        <v>180964</v>
      </c>
      <c r="GP44" s="2">
        <v>206192</v>
      </c>
      <c r="GQ44" s="2">
        <v>190277</v>
      </c>
      <c r="GR44" s="2">
        <v>193365</v>
      </c>
      <c r="GS44" s="2">
        <v>201109</v>
      </c>
      <c r="GT44" s="2">
        <v>204893</v>
      </c>
      <c r="GU44" s="2">
        <v>225154</v>
      </c>
      <c r="GV44" s="2">
        <v>226514</v>
      </c>
      <c r="GW44" s="2">
        <v>219547</v>
      </c>
      <c r="GX44" s="2">
        <v>220951</v>
      </c>
      <c r="GY44" s="2">
        <v>214716</v>
      </c>
      <c r="GZ44" s="2">
        <v>216209</v>
      </c>
      <c r="HA44" s="2">
        <v>210205</v>
      </c>
      <c r="HB44" s="2">
        <v>211333</v>
      </c>
      <c r="HC44" s="2">
        <v>209539</v>
      </c>
      <c r="HD44" s="2">
        <v>221213</v>
      </c>
      <c r="HE44" s="2">
        <v>215589</v>
      </c>
      <c r="HF44" s="2">
        <v>220061</v>
      </c>
      <c r="HG44" s="3">
        <v>215184.6</v>
      </c>
      <c r="HH44" s="3">
        <v>216200.7</v>
      </c>
      <c r="HI44" s="3">
        <v>217132.1</v>
      </c>
      <c r="HJ44" s="3">
        <v>217974.2</v>
      </c>
      <c r="HK44" s="3">
        <v>218773.3</v>
      </c>
      <c r="HL44" s="3">
        <v>219522.5</v>
      </c>
      <c r="HM44" s="3">
        <v>220266</v>
      </c>
      <c r="HN44" s="3">
        <v>220961.1</v>
      </c>
      <c r="HO44" s="3">
        <v>221545.1</v>
      </c>
      <c r="HP44" s="3">
        <v>222131.7</v>
      </c>
      <c r="HQ44" s="3">
        <v>222823.7</v>
      </c>
      <c r="HR44" s="3">
        <v>223549.3</v>
      </c>
      <c r="HS44" s="3">
        <v>224348.9</v>
      </c>
      <c r="HT44" s="3">
        <v>225134</v>
      </c>
      <c r="HU44" s="3">
        <v>225922.6</v>
      </c>
      <c r="HV44" s="3">
        <v>226706.7</v>
      </c>
      <c r="HW44" s="3">
        <v>227473.7</v>
      </c>
      <c r="HX44" s="3">
        <v>228262.9</v>
      </c>
      <c r="HY44" s="3">
        <v>229044.5</v>
      </c>
      <c r="HZ44" s="3">
        <v>229840.8</v>
      </c>
      <c r="IA44" s="3">
        <v>230670.6</v>
      </c>
      <c r="IB44" s="3">
        <v>231516.2</v>
      </c>
      <c r="IC44" s="3">
        <v>232402.6</v>
      </c>
      <c r="ID44" s="3">
        <v>233292.79999999999</v>
      </c>
      <c r="IE44" s="3">
        <v>234186.8</v>
      </c>
      <c r="IF44" s="3">
        <v>235108.7</v>
      </c>
      <c r="IG44" s="3">
        <v>236034.5</v>
      </c>
      <c r="IH44" s="3">
        <v>236964.6</v>
      </c>
      <c r="II44" s="3">
        <v>237898.7</v>
      </c>
      <c r="IJ44" s="3">
        <v>238837.1</v>
      </c>
      <c r="IK44" s="3">
        <v>239779.4</v>
      </c>
      <c r="IL44" s="3">
        <v>240726.2</v>
      </c>
      <c r="IM44" s="3">
        <v>241665.5</v>
      </c>
      <c r="IN44" s="3">
        <v>242574.4</v>
      </c>
      <c r="IO44" s="3">
        <v>243485.8</v>
      </c>
      <c r="IP44" s="3">
        <v>244363.5</v>
      </c>
      <c r="IQ44" s="3">
        <v>245276.5</v>
      </c>
      <c r="IR44" s="3">
        <v>246171.3</v>
      </c>
      <c r="IS44" s="3">
        <v>247065.3</v>
      </c>
      <c r="IT44" s="3">
        <v>247953.2</v>
      </c>
      <c r="IU44" s="3">
        <v>248870.5</v>
      </c>
      <c r="IV44" s="3">
        <v>249791.3</v>
      </c>
      <c r="IW44" s="3">
        <v>250715.2</v>
      </c>
      <c r="IX44" s="3">
        <v>251642.3</v>
      </c>
      <c r="IY44" s="3">
        <v>252592.1</v>
      </c>
      <c r="IZ44" s="3">
        <v>253546</v>
      </c>
      <c r="JA44" s="3">
        <v>254504.2</v>
      </c>
      <c r="JB44" s="3">
        <v>255466.6</v>
      </c>
      <c r="JC44" s="3">
        <v>256433.3</v>
      </c>
      <c r="JD44" s="3">
        <v>257404.1</v>
      </c>
      <c r="JE44" s="3">
        <v>258379.3</v>
      </c>
      <c r="JF44" s="3">
        <v>259358.9</v>
      </c>
      <c r="JG44" s="3">
        <v>260361.8</v>
      </c>
      <c r="JH44" s="3">
        <v>261369.5</v>
      </c>
      <c r="JI44" s="3">
        <v>262381.8</v>
      </c>
      <c r="JJ44" s="3">
        <v>263399.09999999998</v>
      </c>
      <c r="JK44" s="3">
        <v>264421.3</v>
      </c>
      <c r="JL44" s="3">
        <v>265448.09999999998</v>
      </c>
      <c r="JM44" s="3">
        <v>266479.90000000002</v>
      </c>
      <c r="JN44" s="3">
        <v>267516.7</v>
      </c>
      <c r="JO44" s="3">
        <v>268572.7</v>
      </c>
      <c r="JP44" s="3">
        <v>269633.3</v>
      </c>
      <c r="JQ44" s="3">
        <v>270698.59999999998</v>
      </c>
      <c r="JR44" s="3">
        <v>271768.59999999998</v>
      </c>
      <c r="JS44" s="3">
        <v>272864.59999999998</v>
      </c>
      <c r="JT44" s="3">
        <v>273965.59999999998</v>
      </c>
      <c r="JU44" s="3">
        <v>275074.3</v>
      </c>
      <c r="JV44" s="3">
        <v>276188</v>
      </c>
      <c r="JW44" s="3">
        <v>277307</v>
      </c>
      <c r="JX44" s="3">
        <v>278430.90000000002</v>
      </c>
      <c r="JY44" s="3">
        <v>279539.09999999998</v>
      </c>
      <c r="JZ44" s="3">
        <v>280651.90000000002</v>
      </c>
      <c r="KA44" s="3">
        <v>281769.59999999998</v>
      </c>
      <c r="KB44" s="3">
        <v>282892</v>
      </c>
      <c r="KC44" s="3">
        <v>283993.59999999998</v>
      </c>
      <c r="KD44" s="3">
        <v>285099.3</v>
      </c>
      <c r="KE44" s="3">
        <v>286209.2</v>
      </c>
      <c r="KF44" s="3">
        <v>287323.40000000002</v>
      </c>
      <c r="KG44" s="3">
        <v>288394.3</v>
      </c>
      <c r="KH44" s="3">
        <v>289468.7</v>
      </c>
      <c r="KI44" s="3">
        <v>290546.40000000002</v>
      </c>
      <c r="KJ44" s="3">
        <v>291627.7</v>
      </c>
      <c r="KK44" s="3">
        <v>292690.09999999998</v>
      </c>
      <c r="KL44" s="3">
        <v>293755.59999999998</v>
      </c>
      <c r="KM44" s="3">
        <v>294824.09999999998</v>
      </c>
      <c r="KN44" s="3">
        <v>295895.7</v>
      </c>
      <c r="KO44" s="3">
        <v>296969.40000000002</v>
      </c>
      <c r="KP44" s="3">
        <v>298046.09999999998</v>
      </c>
      <c r="KQ44" s="3">
        <v>299126</v>
      </c>
      <c r="KR44" s="3">
        <v>300209.2</v>
      </c>
      <c r="KS44" s="3">
        <v>301279.3</v>
      </c>
      <c r="KT44" s="3">
        <v>302352.40000000002</v>
      </c>
      <c r="KU44" s="3">
        <v>303428.40000000002</v>
      </c>
      <c r="KV44" s="3">
        <v>304507.5</v>
      </c>
      <c r="KW44" s="3">
        <v>305582.7</v>
      </c>
      <c r="KX44" s="3">
        <v>306660.59999999998</v>
      </c>
      <c r="KY44" s="3">
        <v>307741.5</v>
      </c>
      <c r="KZ44" s="3">
        <v>308825.3</v>
      </c>
      <c r="LA44" s="3">
        <v>309889.90000000002</v>
      </c>
      <c r="LB44" s="3">
        <v>310957</v>
      </c>
      <c r="LC44" s="3">
        <v>312039.2</v>
      </c>
      <c r="LD44" s="3">
        <v>313123.7</v>
      </c>
      <c r="LE44" s="3">
        <v>314203.3</v>
      </c>
      <c r="LF44" s="3">
        <v>315285.2</v>
      </c>
      <c r="LG44" s="3">
        <v>316369.40000000002</v>
      </c>
      <c r="LH44" s="3">
        <v>317456.2</v>
      </c>
      <c r="LI44" s="3">
        <v>318534.2</v>
      </c>
      <c r="LJ44" s="3">
        <v>319614.5</v>
      </c>
      <c r="LK44" s="3">
        <v>320697.2</v>
      </c>
      <c r="LL44" s="3">
        <v>321782.2</v>
      </c>
      <c r="LM44" s="3">
        <v>322846.59999999998</v>
      </c>
      <c r="LN44" s="3">
        <v>323912.90000000002</v>
      </c>
      <c r="LO44" s="3">
        <v>324981.09999999998</v>
      </c>
      <c r="LP44" s="3">
        <v>326051.09999999998</v>
      </c>
      <c r="LQ44" s="3">
        <v>327122.8</v>
      </c>
      <c r="LR44" s="3">
        <v>328196.40000000002</v>
      </c>
      <c r="LS44" s="3">
        <v>329271.8</v>
      </c>
      <c r="LT44" s="3">
        <v>330349.40000000002</v>
      </c>
      <c r="LU44" s="3">
        <v>331419</v>
      </c>
      <c r="LV44" s="3">
        <v>332490.2</v>
      </c>
      <c r="LW44" s="3">
        <v>333563.3</v>
      </c>
      <c r="LX44" s="3">
        <v>334638.2</v>
      </c>
      <c r="LY44" s="3">
        <v>335705.3</v>
      </c>
      <c r="LZ44" s="3">
        <v>336774</v>
      </c>
      <c r="MA44" s="3">
        <v>337844.4</v>
      </c>
      <c r="MB44" s="3">
        <v>338916.4</v>
      </c>
      <c r="MC44" s="3">
        <v>339989.8</v>
      </c>
      <c r="MD44" s="3">
        <v>341064.7</v>
      </c>
      <c r="ME44" s="3">
        <v>342141.5</v>
      </c>
      <c r="MF44" s="3">
        <v>343220.1</v>
      </c>
      <c r="MG44" s="3">
        <v>344307.8</v>
      </c>
      <c r="MH44" s="3">
        <v>345397.5</v>
      </c>
      <c r="MI44" s="3">
        <v>346489.1</v>
      </c>
      <c r="MJ44" s="3">
        <v>347582.8</v>
      </c>
      <c r="MK44" s="3">
        <v>348671.9</v>
      </c>
      <c r="ML44" s="3">
        <v>349763.1</v>
      </c>
      <c r="MM44" s="3">
        <v>350856.2</v>
      </c>
      <c r="MN44" s="3">
        <v>351951.3</v>
      </c>
      <c r="MO44" s="3">
        <v>353054.9</v>
      </c>
      <c r="MP44" s="3">
        <v>354160.8</v>
      </c>
      <c r="MQ44" s="3">
        <v>355268.8</v>
      </c>
      <c r="MR44" s="3">
        <v>356378.8</v>
      </c>
      <c r="MS44" s="3">
        <v>357490.9</v>
      </c>
      <c r="MT44" s="3">
        <v>358605.2</v>
      </c>
      <c r="MU44" t="s">
        <v>375</v>
      </c>
      <c r="MV44" t="b">
        <v>1</v>
      </c>
      <c r="MW44" s="1" t="s">
        <v>376</v>
      </c>
      <c r="MX44" t="s">
        <v>377</v>
      </c>
      <c r="MY44">
        <v>2024</v>
      </c>
      <c r="MZ44">
        <v>4</v>
      </c>
      <c r="NA44" t="s">
        <v>377</v>
      </c>
      <c r="NB44" t="s">
        <v>403</v>
      </c>
      <c r="NC44" s="1" t="s">
        <v>404</v>
      </c>
      <c r="ND44" t="s">
        <v>380</v>
      </c>
      <c r="NE44" t="s">
        <v>405</v>
      </c>
      <c r="NF44" s="1" t="s">
        <v>526</v>
      </c>
    </row>
    <row r="45" spans="1:370" x14ac:dyDescent="0.25">
      <c r="A45" t="s">
        <v>382</v>
      </c>
      <c r="B45" t="s">
        <v>402</v>
      </c>
      <c r="C45" s="1" t="s">
        <v>525</v>
      </c>
      <c r="D45" t="s">
        <v>383</v>
      </c>
      <c r="E45" t="s">
        <v>384</v>
      </c>
      <c r="F45" t="s">
        <v>374</v>
      </c>
      <c r="G45" s="2">
        <v>79.275000000000006</v>
      </c>
      <c r="H45" s="2">
        <v>77</v>
      </c>
      <c r="I45" s="2">
        <v>74.849999999999994</v>
      </c>
      <c r="J45" s="2">
        <v>75.424999999999997</v>
      </c>
      <c r="K45" s="2">
        <v>72.849999999999994</v>
      </c>
      <c r="L45" s="2">
        <v>76.724999999999994</v>
      </c>
      <c r="M45" s="2">
        <v>75.375</v>
      </c>
      <c r="N45" s="2">
        <v>74.625</v>
      </c>
      <c r="O45" s="2">
        <v>67.150000000000006</v>
      </c>
      <c r="P45" s="2">
        <v>61.774999999999999</v>
      </c>
      <c r="Q45" s="2">
        <v>66.900000000000006</v>
      </c>
      <c r="R45" s="2">
        <v>70.474999999999994</v>
      </c>
      <c r="S45" s="2">
        <v>74.875</v>
      </c>
      <c r="T45" s="2">
        <v>78.125</v>
      </c>
      <c r="U45" s="2">
        <v>81.325000000000003</v>
      </c>
      <c r="V45" s="2">
        <v>84.05</v>
      </c>
      <c r="W45" s="2">
        <v>87.974999999999994</v>
      </c>
      <c r="X45" s="2">
        <v>88.8</v>
      </c>
      <c r="Y45" s="2">
        <v>87.575000000000003</v>
      </c>
      <c r="Z45" s="2">
        <v>88.825000000000003</v>
      </c>
      <c r="AA45" s="2">
        <v>94.775000000000006</v>
      </c>
      <c r="AB45" s="2">
        <v>95.075000000000003</v>
      </c>
      <c r="AC45" s="2">
        <v>96.3</v>
      </c>
      <c r="AD45" s="2">
        <v>97.625</v>
      </c>
      <c r="AE45" s="2">
        <v>97.375</v>
      </c>
      <c r="AF45" s="2">
        <v>97.9</v>
      </c>
      <c r="AG45" s="2">
        <v>96.4</v>
      </c>
      <c r="AH45" s="2">
        <v>98.5</v>
      </c>
      <c r="AI45" s="2">
        <v>98.575000000000003</v>
      </c>
      <c r="AJ45" s="2">
        <v>91.4</v>
      </c>
      <c r="AK45" s="2">
        <v>84.825000000000003</v>
      </c>
      <c r="AL45" s="2">
        <v>89.375</v>
      </c>
      <c r="AM45" s="2">
        <v>93.2</v>
      </c>
      <c r="AN45" s="2">
        <v>93.325000000000003</v>
      </c>
      <c r="AO45" s="2">
        <v>92.275000000000006</v>
      </c>
      <c r="AP45" s="2">
        <v>94.9</v>
      </c>
      <c r="AQ45" s="2">
        <v>92.2</v>
      </c>
      <c r="AR45" s="2">
        <v>90.7</v>
      </c>
      <c r="AS45" s="2">
        <v>94.9</v>
      </c>
      <c r="AT45" s="2">
        <v>91.174999999999997</v>
      </c>
      <c r="AU45" s="2">
        <v>93.25</v>
      </c>
      <c r="AV45" s="2">
        <v>100.425</v>
      </c>
      <c r="AW45" s="2">
        <v>108.25</v>
      </c>
      <c r="AX45" s="2">
        <v>113.575</v>
      </c>
      <c r="AY45" s="2">
        <v>122.7</v>
      </c>
      <c r="AZ45" s="2">
        <v>127.825</v>
      </c>
      <c r="BA45" s="2">
        <v>131.15</v>
      </c>
      <c r="BB45" s="2">
        <v>134.97499999999999</v>
      </c>
      <c r="BC45" s="2">
        <v>132</v>
      </c>
      <c r="BD45" s="2">
        <v>138.5</v>
      </c>
      <c r="BE45" s="2">
        <v>137.15</v>
      </c>
      <c r="BF45" s="2">
        <v>142.52500000000001</v>
      </c>
      <c r="BG45" s="2">
        <v>142.375</v>
      </c>
      <c r="BH45" s="2">
        <v>148.44999999999999</v>
      </c>
      <c r="BI45" s="2">
        <v>152.55000000000001</v>
      </c>
      <c r="BJ45" s="2">
        <v>153.75</v>
      </c>
      <c r="BK45" s="2">
        <v>152.82499999999999</v>
      </c>
      <c r="BL45" s="2">
        <v>156.65</v>
      </c>
      <c r="BM45" s="2">
        <v>159.72499999999999</v>
      </c>
      <c r="BN45" s="2">
        <v>163.375</v>
      </c>
      <c r="BO45" s="2">
        <v>162.625</v>
      </c>
      <c r="BP45" s="2">
        <v>160.75</v>
      </c>
      <c r="BQ45" s="2">
        <v>164.52500000000001</v>
      </c>
      <c r="BR45" s="2">
        <v>169.55</v>
      </c>
      <c r="BS45" s="2">
        <v>170.35</v>
      </c>
      <c r="BT45" s="2">
        <v>171.15</v>
      </c>
      <c r="BU45" s="2">
        <v>170.92500000000001</v>
      </c>
      <c r="BV45" s="2">
        <v>174</v>
      </c>
      <c r="BW45" s="2">
        <v>179.52500000000001</v>
      </c>
      <c r="BX45" s="2">
        <v>179.22499999999999</v>
      </c>
      <c r="BY45" s="2">
        <v>178.5</v>
      </c>
      <c r="BZ45" s="2">
        <v>173.7</v>
      </c>
      <c r="CA45" s="2">
        <v>171.72499999999999</v>
      </c>
      <c r="CB45" s="2">
        <v>174.77500000000001</v>
      </c>
      <c r="CC45" s="2">
        <v>179.7</v>
      </c>
      <c r="CD45" s="2">
        <v>183.67500000000001</v>
      </c>
      <c r="CE45" s="2">
        <v>185</v>
      </c>
      <c r="CF45" s="2">
        <v>188.05</v>
      </c>
      <c r="CG45" s="2">
        <v>191</v>
      </c>
      <c r="CH45" s="2">
        <v>195.57499999999999</v>
      </c>
      <c r="CI45" s="2">
        <v>199.82499999999999</v>
      </c>
      <c r="CJ45" s="2">
        <v>203.95</v>
      </c>
      <c r="CK45" s="2">
        <v>206.625</v>
      </c>
      <c r="CL45" s="2">
        <v>214.92500000000001</v>
      </c>
      <c r="CM45" s="2">
        <v>219.95</v>
      </c>
      <c r="CN45" s="2">
        <v>228.15</v>
      </c>
      <c r="CO45" s="2">
        <v>234.55</v>
      </c>
      <c r="CP45" s="2">
        <v>241.15</v>
      </c>
      <c r="CQ45" s="2">
        <v>246.45</v>
      </c>
      <c r="CR45" s="2">
        <v>248.77500000000001</v>
      </c>
      <c r="CS45" s="2">
        <v>249.65</v>
      </c>
      <c r="CT45" s="2">
        <v>252.82499999999999</v>
      </c>
      <c r="CU45" s="2">
        <v>261.05</v>
      </c>
      <c r="CV45" s="2">
        <v>266.89999999999998</v>
      </c>
      <c r="CW45" s="2">
        <v>275.55</v>
      </c>
      <c r="CX45" s="2">
        <v>280.97500000000002</v>
      </c>
      <c r="CY45" s="2">
        <v>292.97500000000002</v>
      </c>
      <c r="CZ45" s="2">
        <v>302.8</v>
      </c>
      <c r="DA45" s="2">
        <v>313.97500000000002</v>
      </c>
      <c r="DB45" s="2">
        <v>320.75</v>
      </c>
      <c r="DC45" s="2">
        <v>332.77499999999998</v>
      </c>
      <c r="DD45" s="2">
        <v>340.4</v>
      </c>
      <c r="DE45" s="2">
        <v>345</v>
      </c>
      <c r="DF45" s="2">
        <v>356.17500000000001</v>
      </c>
      <c r="DG45" s="2">
        <v>366.22500000000002</v>
      </c>
      <c r="DH45" s="2">
        <v>376.75</v>
      </c>
      <c r="DI45" s="2">
        <v>390.375</v>
      </c>
      <c r="DJ45" s="2">
        <v>400.35</v>
      </c>
      <c r="DK45" s="2">
        <v>415.47500000000002</v>
      </c>
      <c r="DL45" s="2">
        <v>428.7</v>
      </c>
      <c r="DM45" s="2">
        <v>444.125</v>
      </c>
      <c r="DN45" s="2">
        <v>444.77499999999998</v>
      </c>
      <c r="DO45" s="2">
        <v>439.02499999999998</v>
      </c>
      <c r="DP45" s="2">
        <v>424.97500000000002</v>
      </c>
      <c r="DQ45" s="2">
        <v>415.35</v>
      </c>
      <c r="DR45" s="2">
        <v>411.05</v>
      </c>
      <c r="DS45" s="2">
        <v>422.72500000000002</v>
      </c>
      <c r="DT45" s="2">
        <v>436.875</v>
      </c>
      <c r="DU45" s="2">
        <v>442.45</v>
      </c>
      <c r="DV45" s="2">
        <v>450.375</v>
      </c>
      <c r="DW45" s="2">
        <v>448.42500000000001</v>
      </c>
      <c r="DX45" s="2">
        <v>454.95</v>
      </c>
      <c r="DY45" s="2">
        <v>462.07499999999999</v>
      </c>
      <c r="DZ45" s="2">
        <v>476.75</v>
      </c>
      <c r="EA45" s="2">
        <v>490.125</v>
      </c>
      <c r="EB45" s="2">
        <v>509.42500000000001</v>
      </c>
      <c r="EC45" s="2">
        <v>516.47500000000002</v>
      </c>
      <c r="ED45" s="2">
        <v>528.52499999999998</v>
      </c>
      <c r="EE45" s="2">
        <v>533.07500000000005</v>
      </c>
      <c r="EF45" s="2">
        <v>540.20000000000005</v>
      </c>
      <c r="EG45" s="2">
        <v>543.22500000000002</v>
      </c>
      <c r="EH45" s="2">
        <v>560.75</v>
      </c>
      <c r="EI45" s="2">
        <v>572.27499999999998</v>
      </c>
      <c r="EJ45" s="2">
        <v>577.97500000000002</v>
      </c>
      <c r="EK45" s="2">
        <v>583.75</v>
      </c>
      <c r="EL45" s="2">
        <v>583</v>
      </c>
      <c r="EM45" s="2">
        <v>591.5</v>
      </c>
      <c r="EN45" s="2">
        <v>594.65</v>
      </c>
      <c r="EO45" s="2">
        <v>597.97500000000002</v>
      </c>
      <c r="EP45" s="2">
        <v>592.32500000000005</v>
      </c>
      <c r="EQ45" s="2">
        <v>594.54999999999995</v>
      </c>
      <c r="ER45" s="2">
        <v>588.92499999999995</v>
      </c>
      <c r="ES45" s="2">
        <v>581.47500000000002</v>
      </c>
      <c r="ET45" s="2">
        <v>560.45000000000005</v>
      </c>
      <c r="EU45" s="2">
        <v>507.17500000000001</v>
      </c>
      <c r="EV45" s="2">
        <v>486.6</v>
      </c>
      <c r="EW45" s="2">
        <v>506.67500000000001</v>
      </c>
      <c r="EX45" s="2">
        <v>531.32500000000005</v>
      </c>
      <c r="EY45" s="2">
        <v>544.67499999999995</v>
      </c>
      <c r="EZ45" s="2">
        <v>569.52499999999998</v>
      </c>
      <c r="FA45" s="2">
        <v>589.45000000000005</v>
      </c>
      <c r="FB45" s="2">
        <v>591.6</v>
      </c>
      <c r="FC45" s="2">
        <v>594.5</v>
      </c>
      <c r="FD45" s="2">
        <v>596.72500000000002</v>
      </c>
      <c r="FE45" s="2">
        <v>603.32500000000005</v>
      </c>
      <c r="FF45" s="2">
        <v>611.25</v>
      </c>
      <c r="FG45" s="2">
        <v>614.27499999999998</v>
      </c>
      <c r="FH45" s="2">
        <v>616.54999999999995</v>
      </c>
      <c r="FI45" s="2">
        <v>619.875</v>
      </c>
      <c r="FJ45" s="2">
        <v>614.02499999999998</v>
      </c>
      <c r="FK45" s="2">
        <v>613.5</v>
      </c>
      <c r="FL45" s="2">
        <v>622.4</v>
      </c>
      <c r="FM45" s="2">
        <v>626.875</v>
      </c>
      <c r="FN45" s="2">
        <v>631.82500000000005</v>
      </c>
      <c r="FO45" s="2">
        <v>639.97500000000002</v>
      </c>
      <c r="FP45" s="2">
        <v>654.54999999999995</v>
      </c>
      <c r="FQ45" s="2">
        <v>655.8</v>
      </c>
      <c r="FR45" s="2">
        <v>673</v>
      </c>
      <c r="FS45" s="2">
        <v>683.02499999999998</v>
      </c>
      <c r="FT45" s="2">
        <v>688.375</v>
      </c>
      <c r="FU45" s="2">
        <v>693.07500000000005</v>
      </c>
      <c r="FV45" s="2">
        <v>695.02499999999998</v>
      </c>
      <c r="FW45" s="2">
        <v>694.2</v>
      </c>
      <c r="FX45" s="2">
        <v>695.1</v>
      </c>
      <c r="FY45" s="2">
        <v>700.17499999999995</v>
      </c>
      <c r="FZ45" s="2">
        <v>710.25</v>
      </c>
      <c r="GA45" s="2">
        <v>721.25</v>
      </c>
      <c r="GB45" s="2">
        <v>728.1</v>
      </c>
      <c r="GC45" s="2">
        <v>730.9</v>
      </c>
      <c r="GD45" s="2">
        <v>751.35</v>
      </c>
      <c r="GE45" s="2">
        <v>754.45</v>
      </c>
      <c r="GF45" s="2">
        <v>755.42499999999995</v>
      </c>
      <c r="GG45" s="2">
        <v>766.05</v>
      </c>
      <c r="GH45" s="2">
        <v>774.05</v>
      </c>
      <c r="GI45" s="2">
        <v>773.57500000000005</v>
      </c>
      <c r="GJ45" s="2">
        <v>777.85</v>
      </c>
      <c r="GK45" s="2">
        <v>774.47500000000002</v>
      </c>
      <c r="GL45" s="2">
        <v>759.95</v>
      </c>
      <c r="GM45" s="2">
        <v>732.42499999999995</v>
      </c>
      <c r="GN45" s="2">
        <v>607.22500000000002</v>
      </c>
      <c r="GO45" s="2">
        <v>708.875</v>
      </c>
      <c r="GP45" s="2">
        <v>760.25</v>
      </c>
      <c r="GQ45" s="2">
        <v>775.55</v>
      </c>
      <c r="GR45" s="2">
        <v>791.17499999999995</v>
      </c>
      <c r="GS45" s="2">
        <v>807.55</v>
      </c>
      <c r="GT45" s="2">
        <v>846.57500000000005</v>
      </c>
      <c r="GU45" s="2">
        <v>873.57500000000005</v>
      </c>
      <c r="GV45" s="2">
        <v>886.25</v>
      </c>
      <c r="GW45" s="2">
        <v>873.92499999999995</v>
      </c>
      <c r="GX45" s="2">
        <v>863.875</v>
      </c>
      <c r="GY45" s="2">
        <v>862.125</v>
      </c>
      <c r="GZ45" s="2">
        <v>855.32500000000005</v>
      </c>
      <c r="HA45" s="2">
        <v>865.1</v>
      </c>
      <c r="HB45" s="2">
        <v>874.07500000000005</v>
      </c>
      <c r="HC45" s="2">
        <v>887.17499999999995</v>
      </c>
      <c r="HD45" s="2">
        <v>903.5</v>
      </c>
      <c r="HE45" s="2">
        <v>926.85</v>
      </c>
      <c r="HF45" s="2">
        <v>924.05</v>
      </c>
      <c r="HG45" s="3">
        <v>961.40110000000004</v>
      </c>
      <c r="HH45" s="3">
        <v>943.74860000000001</v>
      </c>
      <c r="HI45" s="3">
        <v>944.58640000000003</v>
      </c>
      <c r="HJ45" s="3">
        <v>950.05579999999998</v>
      </c>
      <c r="HK45" s="3">
        <v>959.04060000000004</v>
      </c>
      <c r="HL45" s="3">
        <v>969.69659999999999</v>
      </c>
      <c r="HM45" s="3">
        <v>979.71879999999999</v>
      </c>
      <c r="HN45" s="3">
        <v>988.90599999999995</v>
      </c>
      <c r="HO45" s="3">
        <v>997.93150000000003</v>
      </c>
      <c r="HP45" s="3">
        <v>1005.487</v>
      </c>
      <c r="HQ45" s="3">
        <v>1013.35</v>
      </c>
      <c r="HR45" s="3">
        <v>1021.587</v>
      </c>
      <c r="HS45" s="3">
        <v>1030.3130000000001</v>
      </c>
      <c r="HT45" s="3">
        <v>1039.3630000000001</v>
      </c>
      <c r="HU45" s="3">
        <v>1048.7539999999999</v>
      </c>
      <c r="HV45" s="3">
        <v>1058.5619999999999</v>
      </c>
      <c r="HW45" s="3">
        <v>1068.922</v>
      </c>
      <c r="HX45" s="3">
        <v>1079.68</v>
      </c>
      <c r="HY45" s="3">
        <v>1090.548</v>
      </c>
      <c r="HZ45" s="3">
        <v>1101.403</v>
      </c>
      <c r="IA45" s="3">
        <v>1112.1400000000001</v>
      </c>
      <c r="IB45" s="3">
        <v>1122.731</v>
      </c>
      <c r="IC45" s="3">
        <v>1133.174</v>
      </c>
      <c r="ID45" s="3">
        <v>1143.4649999999999</v>
      </c>
      <c r="IE45" s="3">
        <v>1153.5989999999999</v>
      </c>
      <c r="IF45" s="3">
        <v>1163.5740000000001</v>
      </c>
      <c r="IG45" s="3">
        <v>1173.3879999999999</v>
      </c>
      <c r="IH45" s="3">
        <v>1183.06</v>
      </c>
      <c r="II45" s="3">
        <v>1192.586</v>
      </c>
      <c r="IJ45" s="3">
        <v>1202.0129999999999</v>
      </c>
      <c r="IK45" s="3">
        <v>1211.336</v>
      </c>
      <c r="IL45" s="3">
        <v>1220.5540000000001</v>
      </c>
      <c r="IM45" s="3">
        <v>1229.6600000000001</v>
      </c>
      <c r="IN45" s="3">
        <v>1238.654</v>
      </c>
      <c r="IO45" s="3">
        <v>1247.5309999999999</v>
      </c>
      <c r="IP45" s="3">
        <v>1256.289</v>
      </c>
      <c r="IQ45" s="3">
        <v>1264.9259999999999</v>
      </c>
      <c r="IR45" s="3">
        <v>1273.4369999999999</v>
      </c>
      <c r="IS45" s="3">
        <v>1281.817</v>
      </c>
      <c r="IT45" s="3">
        <v>1290.066</v>
      </c>
      <c r="IU45" s="3">
        <v>1298.18</v>
      </c>
      <c r="IV45" s="3">
        <v>1306.1559999999999</v>
      </c>
      <c r="IW45" s="3">
        <v>1313.9880000000001</v>
      </c>
      <c r="IX45" s="3">
        <v>1321.674</v>
      </c>
      <c r="IY45" s="3">
        <v>1329.3630000000001</v>
      </c>
      <c r="IZ45" s="3">
        <v>1337.0820000000001</v>
      </c>
      <c r="JA45" s="3">
        <v>1344.809</v>
      </c>
      <c r="JB45" s="3">
        <v>1352.569</v>
      </c>
      <c r="JC45" s="3">
        <v>1360.34</v>
      </c>
      <c r="JD45" s="3">
        <v>1368.134</v>
      </c>
      <c r="JE45" s="3">
        <v>1375.99</v>
      </c>
      <c r="JF45" s="3">
        <v>1383.819</v>
      </c>
      <c r="JG45" s="3">
        <v>1391.6890000000001</v>
      </c>
      <c r="JH45" s="3">
        <v>1399.5740000000001</v>
      </c>
      <c r="JI45" s="3">
        <v>1407.5070000000001</v>
      </c>
      <c r="JJ45" s="3">
        <v>1415.4649999999999</v>
      </c>
      <c r="JK45" s="3">
        <v>1423.4590000000001</v>
      </c>
      <c r="JL45" s="3">
        <v>1431.4849999999999</v>
      </c>
      <c r="JM45" s="3">
        <v>1439.49</v>
      </c>
      <c r="JN45" s="3">
        <v>1447.5709999999999</v>
      </c>
      <c r="JO45" s="3">
        <v>1455.6669999999999</v>
      </c>
      <c r="JP45" s="3">
        <v>1463.787</v>
      </c>
      <c r="JQ45" s="3">
        <v>1471.9280000000001</v>
      </c>
      <c r="JR45" s="3">
        <v>1480.106</v>
      </c>
      <c r="JS45" s="3">
        <v>1488.319</v>
      </c>
      <c r="JT45" s="3">
        <v>1496.556</v>
      </c>
      <c r="JU45" s="3">
        <v>1504.838</v>
      </c>
      <c r="JV45" s="3">
        <v>1513.144</v>
      </c>
      <c r="JW45" s="3">
        <v>1521.48</v>
      </c>
      <c r="JX45" s="3">
        <v>1529.848</v>
      </c>
      <c r="JY45" s="3">
        <v>1538.2449999999999</v>
      </c>
      <c r="JZ45" s="3">
        <v>1546.6769999999999</v>
      </c>
      <c r="KA45" s="3">
        <v>1555.163</v>
      </c>
      <c r="KB45" s="3">
        <v>1563.6869999999999</v>
      </c>
      <c r="KC45" s="3">
        <v>1572.23</v>
      </c>
      <c r="KD45" s="3">
        <v>1580.828</v>
      </c>
      <c r="KE45" s="3">
        <v>1589.46</v>
      </c>
      <c r="KF45" s="3">
        <v>1598.1120000000001</v>
      </c>
      <c r="KG45" s="3">
        <v>1606.7940000000001</v>
      </c>
      <c r="KH45" s="3">
        <v>1615.528</v>
      </c>
      <c r="KI45" s="3">
        <v>1624.261</v>
      </c>
      <c r="KJ45" s="3">
        <v>1633.0360000000001</v>
      </c>
      <c r="KK45" s="3">
        <v>1641.829</v>
      </c>
      <c r="KL45" s="3">
        <v>1650.6659999999999</v>
      </c>
      <c r="KM45" s="3">
        <v>1659.546</v>
      </c>
      <c r="KN45" s="3">
        <v>1668.4380000000001</v>
      </c>
      <c r="KO45" s="3">
        <v>1677.3620000000001</v>
      </c>
      <c r="KP45" s="3">
        <v>1686.3440000000001</v>
      </c>
      <c r="KQ45" s="3">
        <v>1695.335</v>
      </c>
      <c r="KR45" s="3">
        <v>1704.354</v>
      </c>
      <c r="KS45" s="3">
        <v>1713.4169999999999</v>
      </c>
      <c r="KT45" s="3">
        <v>1722.5050000000001</v>
      </c>
      <c r="KU45" s="3">
        <v>1731.626</v>
      </c>
      <c r="KV45" s="3">
        <v>1740.806</v>
      </c>
      <c r="KW45" s="3">
        <v>1749.9690000000001</v>
      </c>
      <c r="KX45" s="3">
        <v>1759.2159999999999</v>
      </c>
      <c r="KY45" s="3">
        <v>1768.4770000000001</v>
      </c>
      <c r="KZ45" s="3">
        <v>1777.723</v>
      </c>
      <c r="LA45" s="3">
        <v>1787.0419999999999</v>
      </c>
      <c r="LB45" s="3">
        <v>1796.3710000000001</v>
      </c>
      <c r="LC45" s="3">
        <v>1805.777</v>
      </c>
      <c r="LD45" s="3">
        <v>1815.193</v>
      </c>
      <c r="LE45" s="3">
        <v>1824.6179999999999</v>
      </c>
      <c r="LF45" s="3">
        <v>1834.114</v>
      </c>
      <c r="LG45" s="3">
        <v>1843.636</v>
      </c>
      <c r="LH45" s="3">
        <v>1853.203</v>
      </c>
      <c r="LI45" s="3">
        <v>1862.8130000000001</v>
      </c>
      <c r="LJ45" s="3">
        <v>1872.463</v>
      </c>
      <c r="LK45" s="3">
        <v>1882.172</v>
      </c>
      <c r="LL45" s="3">
        <v>1891.9069999999999</v>
      </c>
      <c r="LM45" s="3">
        <v>1901.6949999999999</v>
      </c>
      <c r="LN45" s="3">
        <v>1911.5219999999999</v>
      </c>
      <c r="LO45" s="3">
        <v>1921.393</v>
      </c>
      <c r="LP45" s="3">
        <v>1931.306</v>
      </c>
      <c r="LQ45" s="3">
        <v>1941.279</v>
      </c>
      <c r="LR45" s="3">
        <v>1951.2819999999999</v>
      </c>
      <c r="LS45" s="3">
        <v>1961.3320000000001</v>
      </c>
      <c r="LT45" s="3">
        <v>1971.4159999999999</v>
      </c>
      <c r="LU45" s="3">
        <v>1981.558</v>
      </c>
      <c r="LV45" s="3">
        <v>1991.742</v>
      </c>
      <c r="LW45" s="3">
        <v>2001.9649999999999</v>
      </c>
      <c r="LX45" s="3">
        <v>2012.249</v>
      </c>
      <c r="LY45" s="3">
        <v>2022.575</v>
      </c>
      <c r="LZ45" s="3">
        <v>2032.921</v>
      </c>
      <c r="MA45" s="3">
        <v>2043.347</v>
      </c>
      <c r="MB45" s="3">
        <v>2053.7919999999999</v>
      </c>
      <c r="MC45" s="3">
        <v>2064.3009999999999</v>
      </c>
      <c r="MD45" s="3">
        <v>2074.855</v>
      </c>
      <c r="ME45" s="3">
        <v>2085.4490000000001</v>
      </c>
      <c r="MF45" s="3">
        <v>2096.0940000000001</v>
      </c>
      <c r="MG45" s="3">
        <v>2106.8049999999998</v>
      </c>
      <c r="MH45" s="3">
        <v>2117.5509999999999</v>
      </c>
      <c r="MI45" s="3">
        <v>2128.355</v>
      </c>
      <c r="MJ45" s="3">
        <v>2139.2069999999999</v>
      </c>
      <c r="MK45" s="3">
        <v>2150.1060000000002</v>
      </c>
      <c r="ML45" s="3">
        <v>2161.0500000000002</v>
      </c>
      <c r="MM45" s="3">
        <v>2172.0630000000001</v>
      </c>
      <c r="MN45" s="3">
        <v>2183.1129999999998</v>
      </c>
      <c r="MO45" s="3">
        <v>2194.2040000000002</v>
      </c>
      <c r="MP45" s="3">
        <v>2205.3739999999998</v>
      </c>
      <c r="MQ45" s="3">
        <v>2216.5680000000002</v>
      </c>
      <c r="MR45" s="3">
        <v>2227.8240000000001</v>
      </c>
      <c r="MS45" s="3">
        <v>2239.1370000000002</v>
      </c>
      <c r="MT45" s="3">
        <v>2250.4870000000001</v>
      </c>
      <c r="MU45" t="s">
        <v>385</v>
      </c>
      <c r="MV45" t="b">
        <v>1</v>
      </c>
      <c r="MW45" s="1" t="s">
        <v>386</v>
      </c>
      <c r="MX45" t="s">
        <v>377</v>
      </c>
      <c r="MY45">
        <v>2024</v>
      </c>
      <c r="MZ45">
        <v>4</v>
      </c>
      <c r="NA45" t="s">
        <v>377</v>
      </c>
      <c r="NB45" s="1" t="s">
        <v>406</v>
      </c>
      <c r="NC45" s="1" t="s">
        <v>407</v>
      </c>
      <c r="ND45" t="s">
        <v>389</v>
      </c>
      <c r="NE45" t="s">
        <v>405</v>
      </c>
      <c r="NF45" s="1" t="s">
        <v>526</v>
      </c>
    </row>
    <row r="46" spans="1:370" x14ac:dyDescent="0.25">
      <c r="A46" t="s">
        <v>370</v>
      </c>
      <c r="B46" s="1" t="s">
        <v>408</v>
      </c>
      <c r="C46" s="1" t="s">
        <v>525</v>
      </c>
      <c r="D46" t="s">
        <v>372</v>
      </c>
      <c r="E46" t="s">
        <v>373</v>
      </c>
      <c r="F46" t="s">
        <v>374</v>
      </c>
      <c r="G46" s="2">
        <v>-2641.15</v>
      </c>
      <c r="H46" s="2">
        <v>-4462.875</v>
      </c>
      <c r="I46" s="2">
        <v>-5844.55</v>
      </c>
      <c r="J46" s="2">
        <v>-3867.7750000000001</v>
      </c>
      <c r="K46" s="2">
        <v>-2134.15</v>
      </c>
      <c r="L46" s="2">
        <v>-2173.0749999999998</v>
      </c>
      <c r="M46" s="2">
        <v>-1830.175</v>
      </c>
      <c r="N46" s="2">
        <v>-2998.1</v>
      </c>
      <c r="O46" s="2">
        <v>75.2</v>
      </c>
      <c r="P46" s="2">
        <v>-88.974999999999994</v>
      </c>
      <c r="Q46" s="2">
        <v>146.25</v>
      </c>
      <c r="R46" s="2">
        <v>58.125</v>
      </c>
      <c r="S46" s="2">
        <v>206.125</v>
      </c>
      <c r="T46" s="2">
        <v>1742.2</v>
      </c>
      <c r="U46" s="2">
        <v>2026.2</v>
      </c>
      <c r="V46" s="2">
        <v>2946.05</v>
      </c>
      <c r="W46" s="2">
        <v>5013.7749999999996</v>
      </c>
      <c r="X46" s="2">
        <v>5804.7749999999996</v>
      </c>
      <c r="Y46" s="2">
        <v>5769.5749999999998</v>
      </c>
      <c r="Z46" s="2">
        <v>6059.4250000000002</v>
      </c>
      <c r="AA46" s="2">
        <v>7081.6750000000002</v>
      </c>
      <c r="AB46" s="2">
        <v>9653.2999999999993</v>
      </c>
      <c r="AC46" s="2">
        <v>7523.625</v>
      </c>
      <c r="AD46" s="2">
        <v>6482.5</v>
      </c>
      <c r="AE46" s="2">
        <v>8583.4249999999993</v>
      </c>
      <c r="AF46" s="2">
        <v>10011.58</v>
      </c>
      <c r="AG46" s="2">
        <v>11078.58</v>
      </c>
      <c r="AH46" s="2">
        <v>11307.47</v>
      </c>
      <c r="AI46" s="2">
        <v>11899.42</v>
      </c>
      <c r="AJ46" s="2">
        <v>11463.22</v>
      </c>
      <c r="AK46" s="2">
        <v>10143</v>
      </c>
      <c r="AL46" s="2">
        <v>9975.9</v>
      </c>
      <c r="AM46" s="2">
        <v>9966.7250000000004</v>
      </c>
      <c r="AN46" s="2">
        <v>11496.63</v>
      </c>
      <c r="AO46" s="2">
        <v>14028.85</v>
      </c>
      <c r="AP46" s="2">
        <v>13017.85</v>
      </c>
      <c r="AQ46" s="2">
        <v>13541.75</v>
      </c>
      <c r="AR46" s="2">
        <v>14790.67</v>
      </c>
      <c r="AS46" s="2">
        <v>14659.58</v>
      </c>
      <c r="AT46" s="2">
        <v>16134.38</v>
      </c>
      <c r="AU46" s="2">
        <v>18293.38</v>
      </c>
      <c r="AV46" s="2">
        <v>17976.5</v>
      </c>
      <c r="AW46" s="2">
        <v>18257.5</v>
      </c>
      <c r="AX46" s="2">
        <v>19691.45</v>
      </c>
      <c r="AY46" s="2">
        <v>20075.45</v>
      </c>
      <c r="AZ46" s="2">
        <v>19098.849999999999</v>
      </c>
      <c r="BA46" s="2">
        <v>19652.900000000001</v>
      </c>
      <c r="BB46" s="2">
        <v>19128.2</v>
      </c>
      <c r="BC46" s="2">
        <v>19211.25</v>
      </c>
      <c r="BD46" s="2">
        <v>21573.72</v>
      </c>
      <c r="BE46" s="2">
        <v>21823.57</v>
      </c>
      <c r="BF46" s="2">
        <v>21130.7</v>
      </c>
      <c r="BG46" s="2">
        <v>22871.68</v>
      </c>
      <c r="BH46" s="2">
        <v>22973.88</v>
      </c>
      <c r="BI46" s="2">
        <v>21676.2</v>
      </c>
      <c r="BJ46" s="2">
        <v>22789.1</v>
      </c>
      <c r="BK46" s="2">
        <v>23610.880000000001</v>
      </c>
      <c r="BL46" s="2">
        <v>25227.9</v>
      </c>
      <c r="BM46" s="2">
        <v>26315</v>
      </c>
      <c r="BN46" s="2">
        <v>26475.05</v>
      </c>
      <c r="BO46" s="2">
        <v>28135.82</v>
      </c>
      <c r="BP46" s="2">
        <v>30195.9</v>
      </c>
      <c r="BQ46" s="2">
        <v>31354.05</v>
      </c>
      <c r="BR46" s="2">
        <v>32341.200000000001</v>
      </c>
      <c r="BS46" s="2">
        <v>33410.1</v>
      </c>
      <c r="BT46" s="2">
        <v>32296.22</v>
      </c>
      <c r="BU46" s="2">
        <v>34148.129999999997</v>
      </c>
      <c r="BV46" s="2">
        <v>32768.230000000003</v>
      </c>
      <c r="BW46" s="2">
        <v>32999.379999999997</v>
      </c>
      <c r="BX46" s="2">
        <v>32710.38</v>
      </c>
      <c r="BY46" s="2">
        <v>31575.32</v>
      </c>
      <c r="BZ46" s="2">
        <v>30069.38</v>
      </c>
      <c r="CA46" s="2">
        <v>29387.32</v>
      </c>
      <c r="CB46" s="2">
        <v>28073.43</v>
      </c>
      <c r="CC46" s="2">
        <v>28178.53</v>
      </c>
      <c r="CD46" s="2">
        <v>29591.4</v>
      </c>
      <c r="CE46" s="2">
        <v>30605.3</v>
      </c>
      <c r="CF46" s="2">
        <v>31482.47</v>
      </c>
      <c r="CG46" s="2">
        <v>31584.53</v>
      </c>
      <c r="CH46" s="2">
        <v>33977.300000000003</v>
      </c>
      <c r="CI46" s="2">
        <v>34355.379999999997</v>
      </c>
      <c r="CJ46" s="2">
        <v>32568.43</v>
      </c>
      <c r="CK46" s="2">
        <v>33693.4</v>
      </c>
      <c r="CL46" s="2">
        <v>34200.480000000003</v>
      </c>
      <c r="CM46" s="2">
        <v>37147.129999999997</v>
      </c>
      <c r="CN46" s="2">
        <v>37454.129999999997</v>
      </c>
      <c r="CO46" s="2">
        <v>37628.019999999997</v>
      </c>
      <c r="CP46" s="2">
        <v>39375.129999999997</v>
      </c>
      <c r="CQ46" s="2">
        <v>39671</v>
      </c>
      <c r="CR46" s="2">
        <v>42270.879999999997</v>
      </c>
      <c r="CS46" s="2">
        <v>42334.07</v>
      </c>
      <c r="CT46" s="2">
        <v>44506.879999999997</v>
      </c>
      <c r="CU46" s="2">
        <v>46582.93</v>
      </c>
      <c r="CV46" s="2">
        <v>45830.1</v>
      </c>
      <c r="CW46" s="2">
        <v>48422.93</v>
      </c>
      <c r="CX46" s="2">
        <v>48077.02</v>
      </c>
      <c r="CY46" s="2">
        <v>50256</v>
      </c>
      <c r="CZ46" s="2">
        <v>51441</v>
      </c>
      <c r="DA46" s="2">
        <v>50566</v>
      </c>
      <c r="DB46" s="2">
        <v>52786</v>
      </c>
      <c r="DC46" s="2">
        <v>53658</v>
      </c>
      <c r="DD46" s="2">
        <v>54959</v>
      </c>
      <c r="DE46" s="2">
        <v>58149</v>
      </c>
      <c r="DF46" s="2">
        <v>57208</v>
      </c>
      <c r="DG46" s="2">
        <v>58048</v>
      </c>
      <c r="DH46" s="2">
        <v>59611</v>
      </c>
      <c r="DI46" s="2">
        <v>65111</v>
      </c>
      <c r="DJ46" s="2">
        <v>66052</v>
      </c>
      <c r="DK46" s="2">
        <v>65553</v>
      </c>
      <c r="DL46" s="2">
        <v>66895</v>
      </c>
      <c r="DM46" s="2">
        <v>70427</v>
      </c>
      <c r="DN46" s="2">
        <v>72056</v>
      </c>
      <c r="DO46" s="2">
        <v>74487</v>
      </c>
      <c r="DP46" s="2">
        <v>73505</v>
      </c>
      <c r="DQ46" s="2">
        <v>74535</v>
      </c>
      <c r="DR46" s="2">
        <v>69343</v>
      </c>
      <c r="DS46" s="2">
        <v>74228</v>
      </c>
      <c r="DT46" s="2">
        <v>79161</v>
      </c>
      <c r="DU46" s="2">
        <v>77493</v>
      </c>
      <c r="DV46" s="2">
        <v>76969</v>
      </c>
      <c r="DW46" s="2">
        <v>78703</v>
      </c>
      <c r="DX46" s="2">
        <v>75192</v>
      </c>
      <c r="DY46" s="2">
        <v>74904</v>
      </c>
      <c r="DZ46" s="2">
        <v>79338</v>
      </c>
      <c r="EA46" s="2">
        <v>77941</v>
      </c>
      <c r="EB46" s="2">
        <v>77887</v>
      </c>
      <c r="EC46" s="2">
        <v>79148</v>
      </c>
      <c r="ED46" s="2">
        <v>81734</v>
      </c>
      <c r="EE46" s="2">
        <v>82790</v>
      </c>
      <c r="EF46" s="2">
        <v>86229</v>
      </c>
      <c r="EG46" s="2">
        <v>88825</v>
      </c>
      <c r="EH46" s="2">
        <v>91515</v>
      </c>
      <c r="EI46" s="2">
        <v>105809</v>
      </c>
      <c r="EJ46" s="2">
        <v>111157</v>
      </c>
      <c r="EK46" s="2">
        <v>91230</v>
      </c>
      <c r="EL46" s="2">
        <v>92435</v>
      </c>
      <c r="EM46" s="2">
        <v>95543</v>
      </c>
      <c r="EN46" s="2">
        <v>95581</v>
      </c>
      <c r="EO46" s="2">
        <v>98433</v>
      </c>
      <c r="EP46" s="2">
        <v>96673</v>
      </c>
      <c r="EQ46" s="2">
        <v>97977</v>
      </c>
      <c r="ER46" s="2">
        <v>97795</v>
      </c>
      <c r="ES46" s="2">
        <v>95161</v>
      </c>
      <c r="ET46" s="2">
        <v>84918</v>
      </c>
      <c r="EU46" s="2">
        <v>81533</v>
      </c>
      <c r="EV46" s="2">
        <v>85394</v>
      </c>
      <c r="EW46" s="2">
        <v>88112</v>
      </c>
      <c r="EX46" s="2">
        <v>90863</v>
      </c>
      <c r="EY46" s="2">
        <v>93414</v>
      </c>
      <c r="EZ46" s="2">
        <v>96050</v>
      </c>
      <c r="FA46" s="2">
        <v>97316</v>
      </c>
      <c r="FB46" s="2">
        <v>100101</v>
      </c>
      <c r="FC46" s="2">
        <v>97424</v>
      </c>
      <c r="FD46" s="2">
        <v>100107</v>
      </c>
      <c r="FE46" s="2">
        <v>98100</v>
      </c>
      <c r="FF46" s="2">
        <v>98016</v>
      </c>
      <c r="FG46" s="2">
        <v>100193</v>
      </c>
      <c r="FH46" s="2">
        <v>100882</v>
      </c>
      <c r="FI46" s="2">
        <v>100203</v>
      </c>
      <c r="FJ46" s="2">
        <v>96520</v>
      </c>
      <c r="FK46" s="2">
        <v>100176</v>
      </c>
      <c r="FL46" s="2">
        <v>103770</v>
      </c>
      <c r="FM46" s="2">
        <v>106146</v>
      </c>
      <c r="FN46" s="2">
        <v>111418</v>
      </c>
      <c r="FO46" s="2">
        <v>108038</v>
      </c>
      <c r="FP46" s="2">
        <v>108961</v>
      </c>
      <c r="FQ46" s="2">
        <v>111450</v>
      </c>
      <c r="FR46" s="2">
        <v>118783</v>
      </c>
      <c r="FS46" s="2">
        <v>118324</v>
      </c>
      <c r="FT46" s="2">
        <v>113544</v>
      </c>
      <c r="FU46" s="2">
        <v>113955</v>
      </c>
      <c r="FV46" s="2">
        <v>117926</v>
      </c>
      <c r="FW46" s="2">
        <v>119982</v>
      </c>
      <c r="FX46" s="2">
        <v>122574</v>
      </c>
      <c r="FY46" s="2">
        <v>126354</v>
      </c>
      <c r="FZ46" s="2">
        <v>121164</v>
      </c>
      <c r="GA46" s="2">
        <v>121544</v>
      </c>
      <c r="GB46" s="2">
        <v>126552</v>
      </c>
      <c r="GC46" s="2">
        <v>125967</v>
      </c>
      <c r="GD46" s="2">
        <v>122163</v>
      </c>
      <c r="GE46" s="2">
        <v>122798</v>
      </c>
      <c r="GF46" s="2">
        <v>123826</v>
      </c>
      <c r="GG46" s="2">
        <v>123605</v>
      </c>
      <c r="GH46" s="2">
        <v>126985</v>
      </c>
      <c r="GI46" s="2">
        <v>148116</v>
      </c>
      <c r="GJ46" s="2">
        <v>124867</v>
      </c>
      <c r="GK46" s="2">
        <v>128411</v>
      </c>
      <c r="GL46" s="2">
        <v>121545</v>
      </c>
      <c r="GM46" s="2">
        <v>115930</v>
      </c>
      <c r="GN46" s="2">
        <v>92529</v>
      </c>
      <c r="GO46" s="2">
        <v>117558</v>
      </c>
      <c r="GP46" s="2">
        <v>139216</v>
      </c>
      <c r="GQ46" s="2">
        <v>125031</v>
      </c>
      <c r="GR46" s="2">
        <v>123719</v>
      </c>
      <c r="GS46" s="2">
        <v>123215</v>
      </c>
      <c r="GT46" s="2">
        <v>120610</v>
      </c>
      <c r="GU46" s="2">
        <v>138745</v>
      </c>
      <c r="GV46" s="2">
        <v>134773</v>
      </c>
      <c r="GW46" s="2">
        <v>124116</v>
      </c>
      <c r="GX46" s="2">
        <v>126036</v>
      </c>
      <c r="GY46" s="2">
        <v>119594</v>
      </c>
      <c r="GZ46" s="2">
        <v>121649</v>
      </c>
      <c r="HA46" s="2">
        <v>117435</v>
      </c>
      <c r="HB46" s="2">
        <v>116004</v>
      </c>
      <c r="HC46" s="2">
        <v>114831</v>
      </c>
      <c r="HD46" s="2">
        <v>126624</v>
      </c>
      <c r="HE46" s="2">
        <v>118794</v>
      </c>
      <c r="HF46" s="2">
        <v>121890</v>
      </c>
      <c r="HG46" s="3">
        <v>117082.6</v>
      </c>
      <c r="HH46" s="3">
        <v>117599.7</v>
      </c>
      <c r="HI46" s="3">
        <v>118053.3</v>
      </c>
      <c r="HJ46" s="3">
        <v>118420</v>
      </c>
      <c r="HK46" s="3">
        <v>118722.8</v>
      </c>
      <c r="HL46" s="3">
        <v>118972.1</v>
      </c>
      <c r="HM46" s="3">
        <v>119263.8</v>
      </c>
      <c r="HN46" s="3">
        <v>119526.7</v>
      </c>
      <c r="HO46" s="3">
        <v>119729.60000000001</v>
      </c>
      <c r="HP46" s="3">
        <v>119933.4</v>
      </c>
      <c r="HQ46" s="3">
        <v>120233.4</v>
      </c>
      <c r="HR46" s="3">
        <v>120557.8</v>
      </c>
      <c r="HS46" s="3">
        <v>120931.7</v>
      </c>
      <c r="HT46" s="3">
        <v>121300.4</v>
      </c>
      <c r="HU46" s="3">
        <v>121670.5</v>
      </c>
      <c r="HV46" s="3">
        <v>122041.60000000001</v>
      </c>
      <c r="HW46" s="3">
        <v>122401.4</v>
      </c>
      <c r="HX46" s="3">
        <v>122762.3</v>
      </c>
      <c r="HY46" s="3">
        <v>123124.9</v>
      </c>
      <c r="HZ46" s="3">
        <v>123500.3</v>
      </c>
      <c r="IA46" s="3">
        <v>123895.5</v>
      </c>
      <c r="IB46" s="3">
        <v>124304.4</v>
      </c>
      <c r="IC46" s="3">
        <v>124751.9</v>
      </c>
      <c r="ID46" s="3">
        <v>125201</v>
      </c>
      <c r="IE46" s="3">
        <v>125651.7</v>
      </c>
      <c r="IF46" s="3">
        <v>126104.1</v>
      </c>
      <c r="IG46" s="3">
        <v>126558</v>
      </c>
      <c r="IH46" s="3">
        <v>127013.7</v>
      </c>
      <c r="II46" s="3">
        <v>127470.9</v>
      </c>
      <c r="IJ46" s="3">
        <v>127929.8</v>
      </c>
      <c r="IK46" s="3">
        <v>128390.3</v>
      </c>
      <c r="IL46" s="3">
        <v>128852.6</v>
      </c>
      <c r="IM46" s="3">
        <v>129340.6</v>
      </c>
      <c r="IN46" s="3">
        <v>129809.5</v>
      </c>
      <c r="IO46" s="3">
        <v>130279.4</v>
      </c>
      <c r="IP46" s="3">
        <v>130728.3</v>
      </c>
      <c r="IQ46" s="3">
        <v>131198</v>
      </c>
      <c r="IR46" s="3">
        <v>131656.1</v>
      </c>
      <c r="IS46" s="3">
        <v>132113.20000000001</v>
      </c>
      <c r="IT46" s="3">
        <v>132566</v>
      </c>
      <c r="IU46" s="3">
        <v>133036.1</v>
      </c>
      <c r="IV46" s="3">
        <v>133507.6</v>
      </c>
      <c r="IW46" s="3">
        <v>133980.5</v>
      </c>
      <c r="IX46" s="3">
        <v>134454.70000000001</v>
      </c>
      <c r="IY46" s="3">
        <v>134942</v>
      </c>
      <c r="IZ46" s="3">
        <v>135431.20000000001</v>
      </c>
      <c r="JA46" s="3">
        <v>135922.4</v>
      </c>
      <c r="JB46" s="3">
        <v>136415.5</v>
      </c>
      <c r="JC46" s="3">
        <v>136910.6</v>
      </c>
      <c r="JD46" s="3">
        <v>137407.5</v>
      </c>
      <c r="JE46" s="3">
        <v>137906.5</v>
      </c>
      <c r="JF46" s="3">
        <v>138407.5</v>
      </c>
      <c r="JG46" s="3">
        <v>138921.9</v>
      </c>
      <c r="JH46" s="3">
        <v>139438.5</v>
      </c>
      <c r="JI46" s="3">
        <v>139957.29999999999</v>
      </c>
      <c r="JJ46" s="3">
        <v>140478.39999999999</v>
      </c>
      <c r="JK46" s="3">
        <v>141001.79999999999</v>
      </c>
      <c r="JL46" s="3">
        <v>141527.29999999999</v>
      </c>
      <c r="JM46" s="3">
        <v>142055.20000000001</v>
      </c>
      <c r="JN46" s="3">
        <v>142585.4</v>
      </c>
      <c r="JO46" s="3">
        <v>143132.20000000001</v>
      </c>
      <c r="JP46" s="3">
        <v>143681.1</v>
      </c>
      <c r="JQ46" s="3">
        <v>144232.20000000001</v>
      </c>
      <c r="JR46" s="3">
        <v>144785.5</v>
      </c>
      <c r="JS46" s="3">
        <v>145353.70000000001</v>
      </c>
      <c r="JT46" s="3">
        <v>145924.20000000001</v>
      </c>
      <c r="JU46" s="3">
        <v>146498.70000000001</v>
      </c>
      <c r="JV46" s="3">
        <v>147075.6</v>
      </c>
      <c r="JW46" s="3">
        <v>147654.9</v>
      </c>
      <c r="JX46" s="3">
        <v>148236.5</v>
      </c>
      <c r="JY46" s="3">
        <v>148808.1</v>
      </c>
      <c r="JZ46" s="3">
        <v>149381.79999999999</v>
      </c>
      <c r="KA46" s="3">
        <v>149957.79999999999</v>
      </c>
      <c r="KB46" s="3">
        <v>150535.9</v>
      </c>
      <c r="KC46" s="3">
        <v>151100.9</v>
      </c>
      <c r="KD46" s="3">
        <v>151667.79999999999</v>
      </c>
      <c r="KE46" s="3">
        <v>152236.5</v>
      </c>
      <c r="KF46" s="3">
        <v>152807.1</v>
      </c>
      <c r="KG46" s="3">
        <v>153351.4</v>
      </c>
      <c r="KH46" s="3">
        <v>153897.1</v>
      </c>
      <c r="KI46" s="3">
        <v>154444.20000000001</v>
      </c>
      <c r="KJ46" s="3">
        <v>154992.70000000001</v>
      </c>
      <c r="KK46" s="3">
        <v>155529.4</v>
      </c>
      <c r="KL46" s="3">
        <v>156067.29999999999</v>
      </c>
      <c r="KM46" s="3">
        <v>156606.39999999999</v>
      </c>
      <c r="KN46" s="3">
        <v>157146.70000000001</v>
      </c>
      <c r="KO46" s="3">
        <v>157687.6</v>
      </c>
      <c r="KP46" s="3">
        <v>158229.6</v>
      </c>
      <c r="KQ46" s="3">
        <v>158772.9</v>
      </c>
      <c r="KR46" s="3">
        <v>159317.5</v>
      </c>
      <c r="KS46" s="3">
        <v>159853.70000000001</v>
      </c>
      <c r="KT46" s="3">
        <v>160391.1</v>
      </c>
      <c r="KU46" s="3">
        <v>160929.60000000001</v>
      </c>
      <c r="KV46" s="3">
        <v>161469.20000000001</v>
      </c>
      <c r="KW46" s="3">
        <v>162005.9</v>
      </c>
      <c r="KX46" s="3">
        <v>162543.6</v>
      </c>
      <c r="KY46" s="3">
        <v>163082.4</v>
      </c>
      <c r="KZ46" s="3">
        <v>163622.29999999999</v>
      </c>
      <c r="LA46" s="3">
        <v>164150.20000000001</v>
      </c>
      <c r="LB46" s="3">
        <v>164679</v>
      </c>
      <c r="LC46" s="3">
        <v>165221.79999999999</v>
      </c>
      <c r="LD46" s="3">
        <v>165765.4</v>
      </c>
      <c r="LE46" s="3">
        <v>166305.5</v>
      </c>
      <c r="LF46" s="3">
        <v>166846.29999999999</v>
      </c>
      <c r="LG46" s="3">
        <v>167388</v>
      </c>
      <c r="LH46" s="3">
        <v>167930.5</v>
      </c>
      <c r="LI46" s="3">
        <v>168467.3</v>
      </c>
      <c r="LJ46" s="3">
        <v>169004.9</v>
      </c>
      <c r="LK46" s="3">
        <v>169543.2</v>
      </c>
      <c r="LL46" s="3">
        <v>170082.3</v>
      </c>
      <c r="LM46" s="3">
        <v>170608.8</v>
      </c>
      <c r="LN46" s="3">
        <v>171135.8</v>
      </c>
      <c r="LO46" s="3">
        <v>171663.3</v>
      </c>
      <c r="LP46" s="3">
        <v>172191.3</v>
      </c>
      <c r="LQ46" s="3">
        <v>172719.7</v>
      </c>
      <c r="LR46" s="3">
        <v>173248.6</v>
      </c>
      <c r="LS46" s="3">
        <v>173778</v>
      </c>
      <c r="LT46" s="3">
        <v>174308.1</v>
      </c>
      <c r="LU46" s="3">
        <v>174832.9</v>
      </c>
      <c r="LV46" s="3">
        <v>175358.1</v>
      </c>
      <c r="LW46" s="3">
        <v>175883.7</v>
      </c>
      <c r="LX46" s="3">
        <v>176409.9</v>
      </c>
      <c r="LY46" s="3">
        <v>176930.9</v>
      </c>
      <c r="LZ46" s="3">
        <v>177452.2</v>
      </c>
      <c r="MA46" s="3">
        <v>177974</v>
      </c>
      <c r="MB46" s="3">
        <v>178496.1</v>
      </c>
      <c r="MC46" s="3">
        <v>179018.4</v>
      </c>
      <c r="MD46" s="3">
        <v>179541</v>
      </c>
      <c r="ME46" s="3">
        <v>180064.1</v>
      </c>
      <c r="MF46" s="3">
        <v>180587.7</v>
      </c>
      <c r="MG46" s="3">
        <v>181115.9</v>
      </c>
      <c r="MH46" s="3">
        <v>181644.7</v>
      </c>
      <c r="MI46" s="3">
        <v>182174</v>
      </c>
      <c r="MJ46" s="3">
        <v>182703.9</v>
      </c>
      <c r="MK46" s="3">
        <v>183230.6</v>
      </c>
      <c r="ML46" s="3">
        <v>183757.9</v>
      </c>
      <c r="MM46" s="3">
        <v>184285.6</v>
      </c>
      <c r="MN46" s="3">
        <v>184813.9</v>
      </c>
      <c r="MO46" s="3">
        <v>185346.6</v>
      </c>
      <c r="MP46" s="3">
        <v>185879.9</v>
      </c>
      <c r="MQ46" s="3">
        <v>186413.8</v>
      </c>
      <c r="MR46" s="3">
        <v>186948.3</v>
      </c>
      <c r="MS46" s="3">
        <v>187483.4</v>
      </c>
      <c r="MT46" s="3">
        <v>188019.1</v>
      </c>
      <c r="MU46" t="s">
        <v>409</v>
      </c>
      <c r="MV46" t="b">
        <v>1</v>
      </c>
      <c r="MW46" s="1" t="s">
        <v>376</v>
      </c>
      <c r="MX46" t="s">
        <v>377</v>
      </c>
      <c r="MY46">
        <v>2024</v>
      </c>
      <c r="MZ46">
        <v>4</v>
      </c>
      <c r="NA46" t="s">
        <v>377</v>
      </c>
      <c r="NB46" s="1" t="s">
        <v>410</v>
      </c>
      <c r="NC46" s="1" t="s">
        <v>411</v>
      </c>
      <c r="ND46" t="s">
        <v>380</v>
      </c>
      <c r="NE46" t="s">
        <v>412</v>
      </c>
      <c r="NF46" s="1" t="s">
        <v>526</v>
      </c>
    </row>
    <row r="47" spans="1:370" x14ac:dyDescent="0.25">
      <c r="A47" t="s">
        <v>382</v>
      </c>
      <c r="B47" s="1" t="s">
        <v>408</v>
      </c>
      <c r="C47" s="1" t="s">
        <v>525</v>
      </c>
      <c r="D47" t="s">
        <v>383</v>
      </c>
      <c r="E47" t="s">
        <v>384</v>
      </c>
      <c r="F47" t="s">
        <v>374</v>
      </c>
      <c r="G47" s="2">
        <v>36.024999999999999</v>
      </c>
      <c r="H47" s="2">
        <v>34.5</v>
      </c>
      <c r="I47" s="2">
        <v>33.825000000000003</v>
      </c>
      <c r="J47" s="2">
        <v>33.75</v>
      </c>
      <c r="K47" s="2">
        <v>34.049999999999997</v>
      </c>
      <c r="L47" s="2">
        <v>34.35</v>
      </c>
      <c r="M47" s="2">
        <v>33.725000000000001</v>
      </c>
      <c r="N47" s="2">
        <v>32.424999999999997</v>
      </c>
      <c r="O47" s="2">
        <v>28.375</v>
      </c>
      <c r="P47" s="2">
        <v>25.824999999999999</v>
      </c>
      <c r="Q47" s="2">
        <v>28.4</v>
      </c>
      <c r="R47" s="2">
        <v>30.125</v>
      </c>
      <c r="S47" s="2">
        <v>32.924999999999997</v>
      </c>
      <c r="T47" s="2">
        <v>34.225000000000001</v>
      </c>
      <c r="U47" s="2">
        <v>35.524999999999999</v>
      </c>
      <c r="V47" s="2">
        <v>36.4</v>
      </c>
      <c r="W47" s="2">
        <v>36.375</v>
      </c>
      <c r="X47" s="2">
        <v>38.174999999999997</v>
      </c>
      <c r="Y47" s="2">
        <v>37.875</v>
      </c>
      <c r="Z47" s="2">
        <v>39.274999999999999</v>
      </c>
      <c r="AA47" s="2">
        <v>42.6</v>
      </c>
      <c r="AB47" s="2">
        <v>43.774999999999999</v>
      </c>
      <c r="AC47" s="2">
        <v>43.424999999999997</v>
      </c>
      <c r="AD47" s="2">
        <v>44.274999999999999</v>
      </c>
      <c r="AE47" s="2">
        <v>43.524999999999999</v>
      </c>
      <c r="AF47" s="2">
        <v>44.75</v>
      </c>
      <c r="AG47" s="2">
        <v>43.875</v>
      </c>
      <c r="AH47" s="2">
        <v>45.3</v>
      </c>
      <c r="AI47" s="2">
        <v>45.725000000000001</v>
      </c>
      <c r="AJ47" s="2">
        <v>43.65</v>
      </c>
      <c r="AK47" s="2">
        <v>41.225000000000001</v>
      </c>
      <c r="AL47" s="2">
        <v>43.65</v>
      </c>
      <c r="AM47" s="2">
        <v>45.3</v>
      </c>
      <c r="AN47" s="2">
        <v>47.325000000000003</v>
      </c>
      <c r="AO47" s="2">
        <v>47.625</v>
      </c>
      <c r="AP47" s="2">
        <v>49.9</v>
      </c>
      <c r="AQ47" s="2">
        <v>48.125</v>
      </c>
      <c r="AR47" s="2">
        <v>49.125</v>
      </c>
      <c r="AS47" s="2">
        <v>49.625</v>
      </c>
      <c r="AT47" s="2">
        <v>47.2</v>
      </c>
      <c r="AU47" s="2">
        <v>52.174999999999997</v>
      </c>
      <c r="AV47" s="2">
        <v>54.7</v>
      </c>
      <c r="AW47" s="2">
        <v>58.225000000000001</v>
      </c>
      <c r="AX47" s="2">
        <v>64.3</v>
      </c>
      <c r="AY47" s="2">
        <v>69.825000000000003</v>
      </c>
      <c r="AZ47" s="2">
        <v>73.05</v>
      </c>
      <c r="BA47" s="2">
        <v>75.45</v>
      </c>
      <c r="BB47" s="2">
        <v>77.325000000000003</v>
      </c>
      <c r="BC47" s="2">
        <v>77.775000000000006</v>
      </c>
      <c r="BD47" s="2">
        <v>80.275000000000006</v>
      </c>
      <c r="BE47" s="2">
        <v>80.599999999999994</v>
      </c>
      <c r="BF47" s="2">
        <v>83.075000000000003</v>
      </c>
      <c r="BG47" s="2">
        <v>83.724999999999994</v>
      </c>
      <c r="BH47" s="2">
        <v>87.525000000000006</v>
      </c>
      <c r="BI47" s="2">
        <v>88.2</v>
      </c>
      <c r="BJ47" s="2">
        <v>89.6</v>
      </c>
      <c r="BK47" s="2">
        <v>89.15</v>
      </c>
      <c r="BL47" s="2">
        <v>90.974999999999994</v>
      </c>
      <c r="BM47" s="2">
        <v>91.424999999999997</v>
      </c>
      <c r="BN47" s="2">
        <v>93.875</v>
      </c>
      <c r="BO47" s="2">
        <v>93.525000000000006</v>
      </c>
      <c r="BP47" s="2">
        <v>92.2</v>
      </c>
      <c r="BQ47" s="2">
        <v>94.575000000000003</v>
      </c>
      <c r="BR47" s="2">
        <v>97.45</v>
      </c>
      <c r="BS47" s="2">
        <v>97.075000000000003</v>
      </c>
      <c r="BT47" s="2">
        <v>98.45</v>
      </c>
      <c r="BU47" s="2">
        <v>97.474999999999994</v>
      </c>
      <c r="BV47" s="2">
        <v>99.5</v>
      </c>
      <c r="BW47" s="2">
        <v>100.47499999999999</v>
      </c>
      <c r="BX47" s="2">
        <v>101.875</v>
      </c>
      <c r="BY47" s="2">
        <v>101.85</v>
      </c>
      <c r="BZ47" s="2">
        <v>100.65</v>
      </c>
      <c r="CA47" s="2">
        <v>98.174999999999997</v>
      </c>
      <c r="CB47" s="2">
        <v>99.6</v>
      </c>
      <c r="CC47" s="2">
        <v>103.2</v>
      </c>
      <c r="CD47" s="2">
        <v>106.15</v>
      </c>
      <c r="CE47" s="2">
        <v>108</v>
      </c>
      <c r="CF47" s="2">
        <v>111.25</v>
      </c>
      <c r="CG47" s="2">
        <v>113.15</v>
      </c>
      <c r="CH47" s="2">
        <v>115.35</v>
      </c>
      <c r="CI47" s="2">
        <v>118.825</v>
      </c>
      <c r="CJ47" s="2">
        <v>121.9</v>
      </c>
      <c r="CK47" s="2">
        <v>123.75</v>
      </c>
      <c r="CL47" s="2">
        <v>128.27500000000001</v>
      </c>
      <c r="CM47" s="2">
        <v>131.85</v>
      </c>
      <c r="CN47" s="2">
        <v>138.32499999999999</v>
      </c>
      <c r="CO47" s="2">
        <v>142.625</v>
      </c>
      <c r="CP47" s="2">
        <v>148.75</v>
      </c>
      <c r="CQ47" s="2">
        <v>151.92500000000001</v>
      </c>
      <c r="CR47" s="2">
        <v>154.75</v>
      </c>
      <c r="CS47" s="2">
        <v>154.42500000000001</v>
      </c>
      <c r="CT47" s="2">
        <v>156.19999999999999</v>
      </c>
      <c r="CU47" s="2">
        <v>161.82499999999999</v>
      </c>
      <c r="CV47" s="2">
        <v>165.95</v>
      </c>
      <c r="CW47" s="2">
        <v>171.85</v>
      </c>
      <c r="CX47" s="2">
        <v>176.02500000000001</v>
      </c>
      <c r="CY47" s="2">
        <v>184.32499999999999</v>
      </c>
      <c r="CZ47" s="2">
        <v>192.22499999999999</v>
      </c>
      <c r="DA47" s="2">
        <v>199.55</v>
      </c>
      <c r="DB47" s="2">
        <v>203.72499999999999</v>
      </c>
      <c r="DC47" s="2">
        <v>211.55</v>
      </c>
      <c r="DD47" s="2">
        <v>216.8</v>
      </c>
      <c r="DE47" s="2">
        <v>219.17500000000001</v>
      </c>
      <c r="DF47" s="2">
        <v>227.55</v>
      </c>
      <c r="DG47" s="2">
        <v>233.92500000000001</v>
      </c>
      <c r="DH47" s="2">
        <v>242.75</v>
      </c>
      <c r="DI47" s="2">
        <v>252.65</v>
      </c>
      <c r="DJ47" s="2">
        <v>261.02499999999998</v>
      </c>
      <c r="DK47" s="2">
        <v>270.27499999999998</v>
      </c>
      <c r="DL47" s="2">
        <v>279.39999999999998</v>
      </c>
      <c r="DM47" s="2">
        <v>289.75</v>
      </c>
      <c r="DN47" s="2">
        <v>289.39999999999998</v>
      </c>
      <c r="DO47" s="2">
        <v>282.39999999999998</v>
      </c>
      <c r="DP47" s="2">
        <v>271.47500000000002</v>
      </c>
      <c r="DQ47" s="2">
        <v>266.92500000000001</v>
      </c>
      <c r="DR47" s="2">
        <v>263.8</v>
      </c>
      <c r="DS47" s="2">
        <v>270.10000000000002</v>
      </c>
      <c r="DT47" s="2">
        <v>282.47500000000002</v>
      </c>
      <c r="DU47" s="2">
        <v>288.45</v>
      </c>
      <c r="DV47" s="2">
        <v>290.75</v>
      </c>
      <c r="DW47" s="2">
        <v>291.85000000000002</v>
      </c>
      <c r="DX47" s="2">
        <v>297.27499999999998</v>
      </c>
      <c r="DY47" s="2">
        <v>299.27499999999998</v>
      </c>
      <c r="DZ47" s="2">
        <v>311.625</v>
      </c>
      <c r="EA47" s="2">
        <v>318.97500000000002</v>
      </c>
      <c r="EB47" s="2">
        <v>335.375</v>
      </c>
      <c r="EC47" s="2">
        <v>340.15</v>
      </c>
      <c r="ED47" s="2">
        <v>347.52499999999998</v>
      </c>
      <c r="EE47" s="2">
        <v>353.27499999999998</v>
      </c>
      <c r="EF47" s="2">
        <v>359.52499999999998</v>
      </c>
      <c r="EG47" s="2">
        <v>361.35</v>
      </c>
      <c r="EH47" s="2">
        <v>373.3</v>
      </c>
      <c r="EI47" s="2">
        <v>384.47500000000002</v>
      </c>
      <c r="EJ47" s="2">
        <v>388.72500000000002</v>
      </c>
      <c r="EK47" s="2">
        <v>390.82499999999999</v>
      </c>
      <c r="EL47" s="2">
        <v>394.27499999999998</v>
      </c>
      <c r="EM47" s="2">
        <v>399.45</v>
      </c>
      <c r="EN47" s="2">
        <v>400.5</v>
      </c>
      <c r="EO47" s="2">
        <v>403.92500000000001</v>
      </c>
      <c r="EP47" s="2">
        <v>398.55</v>
      </c>
      <c r="EQ47" s="2">
        <v>399.95</v>
      </c>
      <c r="ER47" s="2">
        <v>399.17500000000001</v>
      </c>
      <c r="ES47" s="2">
        <v>391.55</v>
      </c>
      <c r="ET47" s="2">
        <v>359.9</v>
      </c>
      <c r="EU47" s="2">
        <v>314.7</v>
      </c>
      <c r="EV47" s="2">
        <v>302.02499999999998</v>
      </c>
      <c r="EW47" s="2">
        <v>321.625</v>
      </c>
      <c r="EX47" s="2">
        <v>345.95</v>
      </c>
      <c r="EY47" s="2">
        <v>356.22500000000002</v>
      </c>
      <c r="EZ47" s="2">
        <v>376.35</v>
      </c>
      <c r="FA47" s="2">
        <v>392.77499999999998</v>
      </c>
      <c r="FB47" s="2">
        <v>400.65</v>
      </c>
      <c r="FC47" s="2">
        <v>401.92500000000001</v>
      </c>
      <c r="FD47" s="2">
        <v>404.17500000000001</v>
      </c>
      <c r="FE47" s="2">
        <v>412</v>
      </c>
      <c r="FF47" s="2">
        <v>420.625</v>
      </c>
      <c r="FG47" s="2">
        <v>429.8</v>
      </c>
      <c r="FH47" s="2">
        <v>431.22500000000002</v>
      </c>
      <c r="FI47" s="2">
        <v>435.42500000000001</v>
      </c>
      <c r="FJ47" s="2">
        <v>433.02499999999998</v>
      </c>
      <c r="FK47" s="2">
        <v>438.9</v>
      </c>
      <c r="FL47" s="2">
        <v>446.77499999999998</v>
      </c>
      <c r="FM47" s="2">
        <v>451.85</v>
      </c>
      <c r="FN47" s="2">
        <v>457.95</v>
      </c>
      <c r="FO47" s="2">
        <v>463.72500000000002</v>
      </c>
      <c r="FP47" s="2">
        <v>483.27499999999998</v>
      </c>
      <c r="FQ47" s="2">
        <v>485.875</v>
      </c>
      <c r="FR47" s="2">
        <v>496.6</v>
      </c>
      <c r="FS47" s="2">
        <v>508.65</v>
      </c>
      <c r="FT47" s="2">
        <v>513.6</v>
      </c>
      <c r="FU47" s="2">
        <v>515.75</v>
      </c>
      <c r="FV47" s="2">
        <v>514.47500000000002</v>
      </c>
      <c r="FW47" s="2">
        <v>513.42499999999995</v>
      </c>
      <c r="FX47" s="2">
        <v>513.95000000000005</v>
      </c>
      <c r="FY47" s="2">
        <v>515.32500000000005</v>
      </c>
      <c r="FZ47" s="2">
        <v>526.92499999999995</v>
      </c>
      <c r="GA47" s="2">
        <v>532.29999999999995</v>
      </c>
      <c r="GB47" s="2">
        <v>539.97500000000002</v>
      </c>
      <c r="GC47" s="2">
        <v>539.22500000000002</v>
      </c>
      <c r="GD47" s="2">
        <v>560.97500000000002</v>
      </c>
      <c r="GE47" s="2">
        <v>568.9</v>
      </c>
      <c r="GF47" s="2">
        <v>569.25</v>
      </c>
      <c r="GG47" s="2">
        <v>578.42499999999995</v>
      </c>
      <c r="GH47" s="2">
        <v>588.4</v>
      </c>
      <c r="GI47" s="2">
        <v>584.77499999999998</v>
      </c>
      <c r="GJ47" s="2">
        <v>587.79999999999995</v>
      </c>
      <c r="GK47" s="2">
        <v>586.1</v>
      </c>
      <c r="GL47" s="2">
        <v>573</v>
      </c>
      <c r="GM47" s="2">
        <v>558.02499999999998</v>
      </c>
      <c r="GN47" s="2">
        <v>473.92500000000001</v>
      </c>
      <c r="GO47" s="2">
        <v>568.125</v>
      </c>
      <c r="GP47" s="2">
        <v>609.22500000000002</v>
      </c>
      <c r="GQ47" s="2">
        <v>621.125</v>
      </c>
      <c r="GR47" s="2">
        <v>627.9</v>
      </c>
      <c r="GS47" s="2">
        <v>627.82500000000005</v>
      </c>
      <c r="GT47" s="2">
        <v>662.45</v>
      </c>
      <c r="GU47" s="2">
        <v>688.27499999999998</v>
      </c>
      <c r="GV47" s="2">
        <v>695.375</v>
      </c>
      <c r="GW47" s="2">
        <v>676.75</v>
      </c>
      <c r="GX47" s="2">
        <v>669.2</v>
      </c>
      <c r="GY47" s="2">
        <v>667.9</v>
      </c>
      <c r="GZ47" s="2">
        <v>661.85</v>
      </c>
      <c r="HA47" s="2">
        <v>668.77499999999998</v>
      </c>
      <c r="HB47" s="2">
        <v>671.47500000000002</v>
      </c>
      <c r="HC47" s="2">
        <v>685.625</v>
      </c>
      <c r="HD47" s="2">
        <v>698.9</v>
      </c>
      <c r="HE47" s="2">
        <v>718.95</v>
      </c>
      <c r="HF47" s="2">
        <v>710.125</v>
      </c>
      <c r="HG47" s="3">
        <v>743.12</v>
      </c>
      <c r="HH47" s="3">
        <v>723.43230000000005</v>
      </c>
      <c r="HI47" s="3">
        <v>722.39800000000002</v>
      </c>
      <c r="HJ47" s="3">
        <v>725.83609999999999</v>
      </c>
      <c r="HK47" s="3">
        <v>732.56899999999996</v>
      </c>
      <c r="HL47" s="3">
        <v>740.50279999999998</v>
      </c>
      <c r="HM47" s="3">
        <v>747.56849999999997</v>
      </c>
      <c r="HN47" s="3">
        <v>753.82600000000002</v>
      </c>
      <c r="HO47" s="3">
        <v>760.0489</v>
      </c>
      <c r="HP47" s="3">
        <v>765.01739999999995</v>
      </c>
      <c r="HQ47" s="3">
        <v>770.51170000000002</v>
      </c>
      <c r="HR47" s="3">
        <v>776.58699999999999</v>
      </c>
      <c r="HS47" s="3">
        <v>783.35630000000003</v>
      </c>
      <c r="HT47" s="3">
        <v>790.60649999999998</v>
      </c>
      <c r="HU47" s="3">
        <v>798.23019999999997</v>
      </c>
      <c r="HV47" s="3">
        <v>806.19200000000001</v>
      </c>
      <c r="HW47" s="3">
        <v>814.58389999999997</v>
      </c>
      <c r="HX47" s="3">
        <v>823.27589999999998</v>
      </c>
      <c r="HY47" s="3">
        <v>832.04480000000001</v>
      </c>
      <c r="HZ47" s="3">
        <v>840.80399999999997</v>
      </c>
      <c r="IA47" s="3">
        <v>849.47019999999998</v>
      </c>
      <c r="IB47" s="3">
        <v>858.00459999999998</v>
      </c>
      <c r="IC47" s="3">
        <v>866.40160000000003</v>
      </c>
      <c r="ID47" s="3">
        <v>874.65520000000004</v>
      </c>
      <c r="IE47" s="3">
        <v>882.75940000000003</v>
      </c>
      <c r="IF47" s="3">
        <v>890.70860000000005</v>
      </c>
      <c r="IG47" s="3">
        <v>898.50199999999995</v>
      </c>
      <c r="IH47" s="3">
        <v>906.15769999999998</v>
      </c>
      <c r="II47" s="3">
        <v>913.67250000000001</v>
      </c>
      <c r="IJ47" s="3">
        <v>921.0933</v>
      </c>
      <c r="IK47" s="3">
        <v>928.41610000000003</v>
      </c>
      <c r="IL47" s="3">
        <v>935.63909999999998</v>
      </c>
      <c r="IM47" s="3">
        <v>942.75649999999996</v>
      </c>
      <c r="IN47" s="3">
        <v>949.76760000000002</v>
      </c>
      <c r="IO47" s="3">
        <v>956.66780000000006</v>
      </c>
      <c r="IP47" s="3">
        <v>963.45420000000001</v>
      </c>
      <c r="IQ47" s="3">
        <v>970.12339999999995</v>
      </c>
      <c r="IR47" s="3">
        <v>976.67240000000004</v>
      </c>
      <c r="IS47" s="3">
        <v>983.09640000000002</v>
      </c>
      <c r="IT47" s="3">
        <v>989.39400000000001</v>
      </c>
      <c r="IU47" s="3">
        <v>995.56209999999999</v>
      </c>
      <c r="IV47" s="3">
        <v>1001.598</v>
      </c>
      <c r="IW47" s="3">
        <v>1007.497</v>
      </c>
      <c r="IX47" s="3">
        <v>1013.256</v>
      </c>
      <c r="IY47" s="3">
        <v>1019.039</v>
      </c>
      <c r="IZ47" s="3">
        <v>1024.8440000000001</v>
      </c>
      <c r="JA47" s="3">
        <v>1030.654</v>
      </c>
      <c r="JB47" s="3">
        <v>1036.4880000000001</v>
      </c>
      <c r="JC47" s="3">
        <v>1042.329</v>
      </c>
      <c r="JD47" s="3">
        <v>1048.1880000000001</v>
      </c>
      <c r="JE47" s="3">
        <v>1054.0920000000001</v>
      </c>
      <c r="JF47" s="3">
        <v>1059.9749999999999</v>
      </c>
      <c r="JG47" s="3">
        <v>1065.8889999999999</v>
      </c>
      <c r="JH47" s="3">
        <v>1071.8130000000001</v>
      </c>
      <c r="JI47" s="3">
        <v>1077.7719999999999</v>
      </c>
      <c r="JJ47" s="3">
        <v>1083.75</v>
      </c>
      <c r="JK47" s="3">
        <v>1089.7539999999999</v>
      </c>
      <c r="JL47" s="3">
        <v>1095.7819999999999</v>
      </c>
      <c r="JM47" s="3">
        <v>1101.7929999999999</v>
      </c>
      <c r="JN47" s="3">
        <v>1107.8610000000001</v>
      </c>
      <c r="JO47" s="3">
        <v>1113.9390000000001</v>
      </c>
      <c r="JP47" s="3">
        <v>1120.0350000000001</v>
      </c>
      <c r="JQ47" s="3">
        <v>1126.146</v>
      </c>
      <c r="JR47" s="3">
        <v>1132.2840000000001</v>
      </c>
      <c r="JS47" s="3">
        <v>1138.4480000000001</v>
      </c>
      <c r="JT47" s="3">
        <v>1144.6289999999999</v>
      </c>
      <c r="JU47" s="3">
        <v>1150.8440000000001</v>
      </c>
      <c r="JV47" s="3">
        <v>1157.076</v>
      </c>
      <c r="JW47" s="3">
        <v>1163.33</v>
      </c>
      <c r="JX47" s="3">
        <v>1169.607</v>
      </c>
      <c r="JY47" s="3">
        <v>1175.9059999999999</v>
      </c>
      <c r="JZ47" s="3">
        <v>1182.23</v>
      </c>
      <c r="KA47" s="3">
        <v>1188.5940000000001</v>
      </c>
      <c r="KB47" s="3">
        <v>1194.9870000000001</v>
      </c>
      <c r="KC47" s="3">
        <v>1201.393</v>
      </c>
      <c r="KD47" s="3">
        <v>1207.8399999999999</v>
      </c>
      <c r="KE47" s="3">
        <v>1214.3119999999999</v>
      </c>
      <c r="KF47" s="3">
        <v>1220.798</v>
      </c>
      <c r="KG47" s="3">
        <v>1227.306</v>
      </c>
      <c r="KH47" s="3">
        <v>1233.8530000000001</v>
      </c>
      <c r="KI47" s="3">
        <v>1240.3979999999999</v>
      </c>
      <c r="KJ47" s="3">
        <v>1246.9739999999999</v>
      </c>
      <c r="KK47" s="3">
        <v>1253.5630000000001</v>
      </c>
      <c r="KL47" s="3">
        <v>1260.184</v>
      </c>
      <c r="KM47" s="3">
        <v>1266.837</v>
      </c>
      <c r="KN47" s="3">
        <v>1273.499</v>
      </c>
      <c r="KO47" s="3">
        <v>1280.183</v>
      </c>
      <c r="KP47" s="3">
        <v>1286.9110000000001</v>
      </c>
      <c r="KQ47" s="3">
        <v>1293.645</v>
      </c>
      <c r="KR47" s="3">
        <v>1300.3989999999999</v>
      </c>
      <c r="KS47" s="3">
        <v>1307.1849999999999</v>
      </c>
      <c r="KT47" s="3">
        <v>1313.99</v>
      </c>
      <c r="KU47" s="3">
        <v>1320.819</v>
      </c>
      <c r="KV47" s="3">
        <v>1327.691</v>
      </c>
      <c r="KW47" s="3">
        <v>1334.55</v>
      </c>
      <c r="KX47" s="3">
        <v>1341.472</v>
      </c>
      <c r="KY47" s="3">
        <v>1348.403</v>
      </c>
      <c r="KZ47" s="3">
        <v>1355.3219999999999</v>
      </c>
      <c r="LA47" s="3">
        <v>1362.2950000000001</v>
      </c>
      <c r="LB47" s="3">
        <v>1369.2750000000001</v>
      </c>
      <c r="LC47" s="3">
        <v>1376.3130000000001</v>
      </c>
      <c r="LD47" s="3">
        <v>1383.357</v>
      </c>
      <c r="LE47" s="3">
        <v>1390.4069999999999</v>
      </c>
      <c r="LF47" s="3">
        <v>1397.51</v>
      </c>
      <c r="LG47" s="3">
        <v>1404.6320000000001</v>
      </c>
      <c r="LH47" s="3">
        <v>1411.787</v>
      </c>
      <c r="LI47" s="3">
        <v>1418.9739999999999</v>
      </c>
      <c r="LJ47" s="3">
        <v>1426.19</v>
      </c>
      <c r="LK47" s="3">
        <v>1433.45</v>
      </c>
      <c r="LL47" s="3">
        <v>1440.729</v>
      </c>
      <c r="LM47" s="3">
        <v>1448.047</v>
      </c>
      <c r="LN47" s="3">
        <v>1455.394</v>
      </c>
      <c r="LO47" s="3">
        <v>1462.7729999999999</v>
      </c>
      <c r="LP47" s="3">
        <v>1470.183</v>
      </c>
      <c r="LQ47" s="3">
        <v>1477.6379999999999</v>
      </c>
      <c r="LR47" s="3">
        <v>1485.114</v>
      </c>
      <c r="LS47" s="3">
        <v>1492.625</v>
      </c>
      <c r="LT47" s="3">
        <v>1500.1610000000001</v>
      </c>
      <c r="LU47" s="3">
        <v>1507.74</v>
      </c>
      <c r="LV47" s="3">
        <v>1515.35</v>
      </c>
      <c r="LW47" s="3">
        <v>1522.9880000000001</v>
      </c>
      <c r="LX47" s="3">
        <v>1530.672</v>
      </c>
      <c r="LY47" s="3">
        <v>1538.386</v>
      </c>
      <c r="LZ47" s="3">
        <v>1546.115</v>
      </c>
      <c r="MA47" s="3">
        <v>1553.903</v>
      </c>
      <c r="MB47" s="3">
        <v>1561.7049999999999</v>
      </c>
      <c r="MC47" s="3">
        <v>1569.5540000000001</v>
      </c>
      <c r="MD47" s="3">
        <v>1577.4369999999999</v>
      </c>
      <c r="ME47" s="3">
        <v>1585.3489999999999</v>
      </c>
      <c r="MF47" s="3">
        <v>1593.298</v>
      </c>
      <c r="MG47" s="3">
        <v>1601.296</v>
      </c>
      <c r="MH47" s="3">
        <v>1609.32</v>
      </c>
      <c r="MI47" s="3">
        <v>1617.3869999999999</v>
      </c>
      <c r="MJ47" s="3">
        <v>1625.489</v>
      </c>
      <c r="MK47" s="3">
        <v>1633.626</v>
      </c>
      <c r="ML47" s="3">
        <v>1641.796</v>
      </c>
      <c r="MM47" s="3">
        <v>1650.0170000000001</v>
      </c>
      <c r="MN47" s="3">
        <v>1658.2650000000001</v>
      </c>
      <c r="MO47" s="3">
        <v>1666.5429999999999</v>
      </c>
      <c r="MP47" s="3">
        <v>1674.88</v>
      </c>
      <c r="MQ47" s="3">
        <v>1683.2339999999999</v>
      </c>
      <c r="MR47" s="3">
        <v>1691.634</v>
      </c>
      <c r="MS47" s="3">
        <v>1700.076</v>
      </c>
      <c r="MT47" s="3">
        <v>1708.5450000000001</v>
      </c>
      <c r="MU47" t="s">
        <v>413</v>
      </c>
      <c r="MV47" t="b">
        <v>1</v>
      </c>
      <c r="MW47" s="1" t="s">
        <v>386</v>
      </c>
      <c r="MX47" t="s">
        <v>377</v>
      </c>
      <c r="MY47">
        <v>2024</v>
      </c>
      <c r="MZ47">
        <v>4</v>
      </c>
      <c r="NA47" t="s">
        <v>377</v>
      </c>
      <c r="NB47" s="1" t="s">
        <v>414</v>
      </c>
      <c r="NC47" s="1" t="s">
        <v>415</v>
      </c>
      <c r="ND47" t="s">
        <v>389</v>
      </c>
      <c r="NE47" t="s">
        <v>412</v>
      </c>
      <c r="NF47" s="1" t="s">
        <v>526</v>
      </c>
    </row>
    <row r="48" spans="1:370" x14ac:dyDescent="0.25">
      <c r="A48" t="s">
        <v>370</v>
      </c>
      <c r="B48" t="s">
        <v>416</v>
      </c>
      <c r="C48" s="1" t="s">
        <v>525</v>
      </c>
      <c r="D48" t="s">
        <v>417</v>
      </c>
      <c r="E48" t="s">
        <v>377</v>
      </c>
      <c r="F48" t="s">
        <v>374</v>
      </c>
      <c r="G48" s="2">
        <v>11.88749</v>
      </c>
      <c r="H48" s="2">
        <v>12.304600000000001</v>
      </c>
      <c r="I48" s="2">
        <v>12.51315</v>
      </c>
      <c r="J48" s="2">
        <v>13.008459999999999</v>
      </c>
      <c r="K48" s="2">
        <v>13.47771</v>
      </c>
      <c r="L48" s="2">
        <v>14.23371</v>
      </c>
      <c r="M48" s="2">
        <v>14.572609999999999</v>
      </c>
      <c r="N48" s="2">
        <v>15.250400000000001</v>
      </c>
      <c r="O48" s="2">
        <v>16.058540000000001</v>
      </c>
      <c r="P48" s="2">
        <v>17.466270000000002</v>
      </c>
      <c r="Q48" s="2">
        <v>18.222280000000001</v>
      </c>
      <c r="R48" s="2">
        <v>18.847930000000002</v>
      </c>
      <c r="S48" s="2">
        <v>19.42145</v>
      </c>
      <c r="T48" s="2">
        <v>20.125319999999999</v>
      </c>
      <c r="U48" s="2">
        <v>20.594560000000001</v>
      </c>
      <c r="V48" s="2">
        <v>21.506979999999999</v>
      </c>
      <c r="W48" s="2">
        <v>22.471530000000001</v>
      </c>
      <c r="X48" s="2">
        <v>23.410019999999999</v>
      </c>
      <c r="Y48" s="2">
        <v>23.82713</v>
      </c>
      <c r="Z48" s="2">
        <v>24.139949999999999</v>
      </c>
      <c r="AA48" s="2">
        <v>24.452780000000001</v>
      </c>
      <c r="AB48" s="2">
        <v>25.078440000000001</v>
      </c>
      <c r="AC48" s="2">
        <v>25.469480000000001</v>
      </c>
      <c r="AD48" s="2">
        <v>25.860510000000001</v>
      </c>
      <c r="AE48" s="2">
        <v>26.43403</v>
      </c>
      <c r="AF48" s="2">
        <v>27.268239999999999</v>
      </c>
      <c r="AG48" s="2">
        <v>28.910589999999999</v>
      </c>
      <c r="AH48" s="2">
        <v>29.718730000000001</v>
      </c>
      <c r="AI48" s="2">
        <v>30.605080000000001</v>
      </c>
      <c r="AJ48" s="2">
        <v>32.247430000000001</v>
      </c>
      <c r="AK48" s="2">
        <v>32.951300000000003</v>
      </c>
      <c r="AL48" s="2">
        <v>33.550879999999999</v>
      </c>
      <c r="AM48" s="2">
        <v>34.385100000000001</v>
      </c>
      <c r="AN48" s="2">
        <v>36.079590000000003</v>
      </c>
      <c r="AO48" s="2">
        <v>36.731310000000001</v>
      </c>
      <c r="AP48" s="2">
        <v>37.435180000000003</v>
      </c>
      <c r="AQ48" s="2">
        <v>37.878349999999998</v>
      </c>
      <c r="AR48" s="2">
        <v>39.181800000000003</v>
      </c>
      <c r="AS48" s="2">
        <v>39.416420000000002</v>
      </c>
      <c r="AT48" s="2">
        <v>39.885669999999998</v>
      </c>
      <c r="AU48" s="2">
        <v>40.172429999999999</v>
      </c>
      <c r="AV48" s="2">
        <v>40.85022</v>
      </c>
      <c r="AW48" s="2">
        <v>41.293399999999998</v>
      </c>
      <c r="AX48" s="2">
        <v>41.762639999999998</v>
      </c>
      <c r="AY48" s="2">
        <v>41.86692</v>
      </c>
      <c r="AZ48" s="2">
        <v>42.779339999999998</v>
      </c>
      <c r="BA48" s="2">
        <v>42.98789</v>
      </c>
      <c r="BB48" s="2">
        <v>43.431060000000002</v>
      </c>
      <c r="BC48" s="2">
        <v>43.874229999999997</v>
      </c>
      <c r="BD48" s="2">
        <v>44.995199999999997</v>
      </c>
      <c r="BE48" s="2">
        <v>45.125549999999997</v>
      </c>
      <c r="BF48" s="2">
        <v>45.490519999999997</v>
      </c>
      <c r="BG48" s="2">
        <v>45.646929999999998</v>
      </c>
      <c r="BH48" s="2">
        <v>46.3508</v>
      </c>
      <c r="BI48" s="2">
        <v>46.533279999999998</v>
      </c>
      <c r="BJ48" s="2">
        <v>46.924320000000002</v>
      </c>
      <c r="BK48" s="2">
        <v>47.237139999999997</v>
      </c>
      <c r="BL48" s="2">
        <v>47.836730000000003</v>
      </c>
      <c r="BM48" s="2">
        <v>47.888869999999997</v>
      </c>
      <c r="BN48" s="2">
        <v>48.436320000000002</v>
      </c>
      <c r="BO48" s="2">
        <v>48.566670000000002</v>
      </c>
      <c r="BP48" s="2">
        <v>49.5</v>
      </c>
      <c r="BQ48" s="2">
        <v>49.9</v>
      </c>
      <c r="BR48" s="2">
        <v>50.466670000000001</v>
      </c>
      <c r="BS48" s="2">
        <v>51</v>
      </c>
      <c r="BT48" s="2">
        <v>52.133339999999997</v>
      </c>
      <c r="BU48" s="2">
        <v>52.466670000000001</v>
      </c>
      <c r="BV48" s="2">
        <v>53.266669999999998</v>
      </c>
      <c r="BW48" s="2">
        <v>53.933329999999998</v>
      </c>
      <c r="BX48" s="2">
        <v>55.6</v>
      </c>
      <c r="BY48" s="2">
        <v>56.4</v>
      </c>
      <c r="BZ48" s="2">
        <v>57.466670000000001</v>
      </c>
      <c r="CA48" s="2">
        <v>57.666670000000003</v>
      </c>
      <c r="CB48" s="2">
        <v>60.266669999999998</v>
      </c>
      <c r="CC48" s="2">
        <v>60.833329999999997</v>
      </c>
      <c r="CD48" s="2">
        <v>61.466670000000001</v>
      </c>
      <c r="CE48" s="2">
        <v>61.7</v>
      </c>
      <c r="CF48" s="2">
        <v>62.833329999999997</v>
      </c>
      <c r="CG48" s="2">
        <v>62.733330000000002</v>
      </c>
      <c r="CH48" s="2">
        <v>63.133339999999997</v>
      </c>
      <c r="CI48" s="2">
        <v>63.2</v>
      </c>
      <c r="CJ48" s="2">
        <v>64.433329999999998</v>
      </c>
      <c r="CK48" s="2">
        <v>64.5</v>
      </c>
      <c r="CL48" s="2">
        <v>64.666659999999993</v>
      </c>
      <c r="CM48" s="2">
        <v>64.766670000000005</v>
      </c>
      <c r="CN48" s="2">
        <v>65.7</v>
      </c>
      <c r="CO48" s="2">
        <v>65.633330000000001</v>
      </c>
      <c r="CP48" s="2">
        <v>65.8</v>
      </c>
      <c r="CQ48" s="2">
        <v>66.333340000000007</v>
      </c>
      <c r="CR48" s="2">
        <v>67.266670000000005</v>
      </c>
      <c r="CS48" s="2">
        <v>67.400000000000006</v>
      </c>
      <c r="CT48" s="2">
        <v>67.733329999999995</v>
      </c>
      <c r="CU48" s="2">
        <v>68.099999999999994</v>
      </c>
      <c r="CV48" s="2">
        <v>68.866669999999999</v>
      </c>
      <c r="CW48" s="2">
        <v>68.933329999999998</v>
      </c>
      <c r="CX48" s="2">
        <v>69.366669999999999</v>
      </c>
      <c r="CY48" s="2">
        <v>69.366669999999999</v>
      </c>
      <c r="CZ48" s="2">
        <v>70</v>
      </c>
      <c r="DA48" s="2">
        <v>70.266670000000005</v>
      </c>
      <c r="DB48" s="2">
        <v>70.633330000000001</v>
      </c>
      <c r="DC48" s="2">
        <v>70.5</v>
      </c>
      <c r="DD48" s="2">
        <v>71.266670000000005</v>
      </c>
      <c r="DE48" s="2">
        <v>71.233329999999995</v>
      </c>
      <c r="DF48" s="2">
        <v>71.633330000000001</v>
      </c>
      <c r="DG48" s="2">
        <v>71.599999999999994</v>
      </c>
      <c r="DH48" s="2">
        <v>72.3</v>
      </c>
      <c r="DI48" s="2">
        <v>72.133330000000001</v>
      </c>
      <c r="DJ48" s="2">
        <v>72.433329999999998</v>
      </c>
      <c r="DK48" s="2">
        <v>72.133330000000001</v>
      </c>
      <c r="DL48" s="2">
        <v>72.766670000000005</v>
      </c>
      <c r="DM48" s="2">
        <v>72.7</v>
      </c>
      <c r="DN48" s="2">
        <v>73.166659999999993</v>
      </c>
      <c r="DO48" s="2">
        <v>72.766670000000005</v>
      </c>
      <c r="DP48" s="2">
        <v>73.833340000000007</v>
      </c>
      <c r="DQ48" s="2">
        <v>73.866669999999999</v>
      </c>
      <c r="DR48" s="2">
        <v>73.900000000000006</v>
      </c>
      <c r="DS48" s="2">
        <v>73.866669999999999</v>
      </c>
      <c r="DT48" s="2">
        <v>74.533330000000007</v>
      </c>
      <c r="DU48" s="2">
        <v>74.599999999999994</v>
      </c>
      <c r="DV48" s="2">
        <v>75</v>
      </c>
      <c r="DW48" s="2">
        <v>75</v>
      </c>
      <c r="DX48" s="2">
        <v>75.466669999999993</v>
      </c>
      <c r="DY48" s="2">
        <v>75.599999999999994</v>
      </c>
      <c r="DZ48" s="2">
        <v>76.033330000000007</v>
      </c>
      <c r="EA48" s="2">
        <v>75.966669999999993</v>
      </c>
      <c r="EB48" s="2">
        <v>76.533330000000007</v>
      </c>
      <c r="EC48" s="2">
        <v>76.566670000000002</v>
      </c>
      <c r="ED48" s="2">
        <v>77.099999999999994</v>
      </c>
      <c r="EE48" s="2">
        <v>77.233329999999995</v>
      </c>
      <c r="EF48" s="2">
        <v>78</v>
      </c>
      <c r="EG48" s="2">
        <v>78.400000000000006</v>
      </c>
      <c r="EH48" s="2">
        <v>78.766670000000005</v>
      </c>
      <c r="EI48" s="2">
        <v>78.733329999999995</v>
      </c>
      <c r="EJ48" s="2">
        <v>79.8</v>
      </c>
      <c r="EK48" s="2">
        <v>80.3</v>
      </c>
      <c r="EL48" s="2">
        <v>80.900000000000006</v>
      </c>
      <c r="EM48" s="2">
        <v>81</v>
      </c>
      <c r="EN48" s="2">
        <v>81.8</v>
      </c>
      <c r="EO48" s="2">
        <v>81.733329999999995</v>
      </c>
      <c r="EP48" s="2">
        <v>82.6</v>
      </c>
      <c r="EQ48" s="2">
        <v>82.933329999999998</v>
      </c>
      <c r="ER48" s="2">
        <v>84.6</v>
      </c>
      <c r="ES48" s="2">
        <v>85.633330000000001</v>
      </c>
      <c r="ET48" s="2">
        <v>85.733329999999995</v>
      </c>
      <c r="EU48" s="2">
        <v>85.433329999999998</v>
      </c>
      <c r="EV48" s="2">
        <v>86.366669999999999</v>
      </c>
      <c r="EW48" s="2">
        <v>86.933329999999998</v>
      </c>
      <c r="EX48" s="2">
        <v>87.566670000000002</v>
      </c>
      <c r="EY48" s="2">
        <v>88.233329999999995</v>
      </c>
      <c r="EZ48" s="2">
        <v>89.366669999999999</v>
      </c>
      <c r="FA48" s="2">
        <v>89.633330000000001</v>
      </c>
      <c r="FB48" s="2">
        <v>90.5</v>
      </c>
      <c r="FC48" s="2">
        <v>91.833340000000007</v>
      </c>
      <c r="FD48" s="2">
        <v>93.3</v>
      </c>
      <c r="FE48" s="2">
        <v>93.833340000000007</v>
      </c>
      <c r="FF48" s="2">
        <v>94.733329999999995</v>
      </c>
      <c r="FG48" s="2">
        <v>95.033330000000007</v>
      </c>
      <c r="FH48" s="2">
        <v>95.8</v>
      </c>
      <c r="FI48" s="2">
        <v>96.066670000000002</v>
      </c>
      <c r="FJ48" s="2">
        <v>97.266670000000005</v>
      </c>
      <c r="FK48" s="2">
        <v>97.666659999999993</v>
      </c>
      <c r="FL48" s="2">
        <v>98.366669999999999</v>
      </c>
      <c r="FM48" s="2">
        <v>98.7</v>
      </c>
      <c r="FN48" s="2">
        <v>99.3</v>
      </c>
      <c r="FO48" s="2">
        <v>99.4</v>
      </c>
      <c r="FP48" s="2">
        <v>100.1</v>
      </c>
      <c r="FQ48" s="2">
        <v>100.13330000000001</v>
      </c>
      <c r="FR48" s="2">
        <v>100.2</v>
      </c>
      <c r="FS48" s="2">
        <v>99.5</v>
      </c>
      <c r="FT48" s="2">
        <v>100.0667</v>
      </c>
      <c r="FU48" s="2">
        <v>100.16670000000001</v>
      </c>
      <c r="FV48" s="2">
        <v>100.3</v>
      </c>
      <c r="FW48" s="2">
        <v>99.833340000000007</v>
      </c>
      <c r="FX48" s="2">
        <v>100.4</v>
      </c>
      <c r="FY48" s="2">
        <v>100.86669999999999</v>
      </c>
      <c r="FZ48" s="2">
        <v>101.5</v>
      </c>
      <c r="GA48" s="2">
        <v>102</v>
      </c>
      <c r="GB48" s="2">
        <v>103.16670000000001</v>
      </c>
      <c r="GC48" s="2">
        <v>103.7</v>
      </c>
      <c r="GD48" s="2">
        <v>104.5667</v>
      </c>
      <c r="GE48" s="2">
        <v>104.7667</v>
      </c>
      <c r="GF48" s="2">
        <v>105.66670000000001</v>
      </c>
      <c r="GG48" s="2">
        <v>106.3</v>
      </c>
      <c r="GH48" s="2">
        <v>106.9333</v>
      </c>
      <c r="GI48" s="2">
        <v>106.7</v>
      </c>
      <c r="GJ48" s="2">
        <v>107.8</v>
      </c>
      <c r="GK48" s="2">
        <v>108.2667</v>
      </c>
      <c r="GL48" s="2">
        <v>108.4333</v>
      </c>
      <c r="GM48" s="2">
        <v>108.4667</v>
      </c>
      <c r="GN48" s="2">
        <v>108.5333</v>
      </c>
      <c r="GO48" s="2">
        <v>108.9333</v>
      </c>
      <c r="GP48" s="2">
        <v>109.0667</v>
      </c>
      <c r="GQ48" s="2">
        <v>109.16670000000001</v>
      </c>
      <c r="GR48" s="2">
        <v>110.7333</v>
      </c>
      <c r="GS48" s="2">
        <v>111.9333</v>
      </c>
      <c r="GT48" s="2">
        <v>114.4</v>
      </c>
      <c r="GU48" s="2">
        <v>115.9333</v>
      </c>
      <c r="GV48" s="2">
        <v>120.86669999999999</v>
      </c>
      <c r="GW48" s="2">
        <v>123.13330000000001</v>
      </c>
      <c r="GX48" s="2">
        <v>126.7</v>
      </c>
      <c r="GY48" s="2">
        <v>127.7333</v>
      </c>
      <c r="GZ48" s="2">
        <v>131.0667</v>
      </c>
      <c r="HA48" s="2">
        <v>131.4</v>
      </c>
      <c r="HB48" s="2">
        <v>131.9667</v>
      </c>
      <c r="HC48" s="2">
        <v>132.26669999999999</v>
      </c>
      <c r="HD48" s="2">
        <v>133.83330000000001</v>
      </c>
      <c r="HE48" s="2">
        <v>134.1</v>
      </c>
      <c r="HF48" s="2">
        <v>135.23330000000001</v>
      </c>
      <c r="HG48" s="3">
        <v>135.96260000000001</v>
      </c>
      <c r="HH48" s="3">
        <v>138.07429999999999</v>
      </c>
      <c r="HI48" s="3">
        <v>138.74209999999999</v>
      </c>
      <c r="HJ48" s="3">
        <v>139.53399999999999</v>
      </c>
      <c r="HK48" s="3">
        <v>140.20269999999999</v>
      </c>
      <c r="HL48" s="3">
        <v>141.53479999999999</v>
      </c>
      <c r="HM48" s="3">
        <v>142.13409999999999</v>
      </c>
      <c r="HN48" s="3">
        <v>142.84719999999999</v>
      </c>
      <c r="HO48" s="3">
        <v>143.2193</v>
      </c>
      <c r="HP48" s="3">
        <v>144.60079999999999</v>
      </c>
      <c r="HQ48" s="3">
        <v>145.2895</v>
      </c>
      <c r="HR48" s="3">
        <v>146.07839999999999</v>
      </c>
      <c r="HS48" s="3">
        <v>146.4496</v>
      </c>
      <c r="HT48" s="3">
        <v>147.82849999999999</v>
      </c>
      <c r="HU48" s="3">
        <v>148.51580000000001</v>
      </c>
      <c r="HV48" s="3">
        <v>149.2792</v>
      </c>
      <c r="HW48" s="3">
        <v>149.5855</v>
      </c>
      <c r="HX48" s="3">
        <v>150.9323</v>
      </c>
      <c r="HY48" s="3">
        <v>151.59180000000001</v>
      </c>
      <c r="HZ48" s="3">
        <v>152.31469999999999</v>
      </c>
      <c r="IA48" s="3">
        <v>152.58869999999999</v>
      </c>
      <c r="IB48" s="3">
        <v>153.93279999999999</v>
      </c>
      <c r="IC48" s="3">
        <v>154.59469999999999</v>
      </c>
      <c r="ID48" s="3">
        <v>155.30950000000001</v>
      </c>
      <c r="IE48" s="3">
        <v>155.57900000000001</v>
      </c>
      <c r="IF48" s="3">
        <v>156.94990000000001</v>
      </c>
      <c r="IG48" s="3">
        <v>157.63290000000001</v>
      </c>
      <c r="IH48" s="3">
        <v>158.34190000000001</v>
      </c>
      <c r="II48" s="3">
        <v>158.61179999999999</v>
      </c>
      <c r="IJ48" s="3">
        <v>160.01849999999999</v>
      </c>
      <c r="IK48" s="3">
        <v>160.73519999999999</v>
      </c>
      <c r="IL48" s="3">
        <v>161.4579</v>
      </c>
      <c r="IM48" s="3">
        <v>161.74539999999999</v>
      </c>
      <c r="IN48" s="3">
        <v>163.19880000000001</v>
      </c>
      <c r="IO48" s="3">
        <v>163.9537</v>
      </c>
      <c r="IP48" s="3">
        <v>164.68129999999999</v>
      </c>
      <c r="IQ48" s="3">
        <v>164.97210000000001</v>
      </c>
      <c r="IR48" s="3">
        <v>166.4615</v>
      </c>
      <c r="IS48" s="3">
        <v>167.24760000000001</v>
      </c>
      <c r="IT48" s="3">
        <v>167.9768</v>
      </c>
      <c r="IU48" s="3">
        <v>168.27119999999999</v>
      </c>
      <c r="IV48" s="3">
        <v>169.7979</v>
      </c>
      <c r="IW48" s="3">
        <v>170.61689999999999</v>
      </c>
      <c r="IX48" s="3">
        <v>171.3475</v>
      </c>
      <c r="IY48" s="3">
        <v>171.63659999999999</v>
      </c>
      <c r="IZ48" s="3">
        <v>173.19380000000001</v>
      </c>
      <c r="JA48" s="3">
        <v>174.02930000000001</v>
      </c>
      <c r="JB48" s="3">
        <v>174.77449999999999</v>
      </c>
      <c r="JC48" s="3">
        <v>175.0694</v>
      </c>
      <c r="JD48" s="3">
        <v>176.65770000000001</v>
      </c>
      <c r="JE48" s="3">
        <v>177.50980000000001</v>
      </c>
      <c r="JF48" s="3">
        <v>178.27</v>
      </c>
      <c r="JG48" s="3">
        <v>178.57079999999999</v>
      </c>
      <c r="JH48" s="3">
        <v>180.1909</v>
      </c>
      <c r="JI48" s="3">
        <v>181.06</v>
      </c>
      <c r="JJ48" s="3">
        <v>181.83539999999999</v>
      </c>
      <c r="JK48" s="3">
        <v>182.1422</v>
      </c>
      <c r="JL48" s="3">
        <v>183.79470000000001</v>
      </c>
      <c r="JM48" s="3">
        <v>184.68119999999999</v>
      </c>
      <c r="JN48" s="3">
        <v>185.47210000000001</v>
      </c>
      <c r="JO48" s="3">
        <v>185.785</v>
      </c>
      <c r="JP48" s="3">
        <v>187.47059999999999</v>
      </c>
      <c r="JQ48" s="3">
        <v>188.3749</v>
      </c>
      <c r="JR48" s="3">
        <v>189.1815</v>
      </c>
      <c r="JS48" s="3">
        <v>189.50069999999999</v>
      </c>
      <c r="JT48" s="3">
        <v>191.22</v>
      </c>
      <c r="JU48" s="3">
        <v>192.14240000000001</v>
      </c>
      <c r="JV48" s="3">
        <v>192.96510000000001</v>
      </c>
      <c r="JW48" s="3">
        <v>193.29069999999999</v>
      </c>
      <c r="JX48" s="3">
        <v>195.0444</v>
      </c>
      <c r="JY48" s="3">
        <v>195.98519999999999</v>
      </c>
      <c r="JZ48" s="3">
        <v>196.8244</v>
      </c>
      <c r="KA48" s="3">
        <v>197.1566</v>
      </c>
      <c r="KB48" s="3">
        <v>198.9453</v>
      </c>
      <c r="KC48" s="3">
        <v>199.9049</v>
      </c>
      <c r="KD48" s="3">
        <v>200.76089999999999</v>
      </c>
      <c r="KE48" s="3">
        <v>201.09970000000001</v>
      </c>
      <c r="KF48" s="3">
        <v>202.92420000000001</v>
      </c>
      <c r="KG48" s="3">
        <v>203.90299999999999</v>
      </c>
      <c r="KH48" s="3">
        <v>204.77619999999999</v>
      </c>
      <c r="KI48" s="3">
        <v>205.1217</v>
      </c>
      <c r="KJ48" s="3">
        <v>206.98269999999999</v>
      </c>
      <c r="KK48" s="3">
        <v>207.9811</v>
      </c>
      <c r="KL48" s="3">
        <v>208.8717</v>
      </c>
      <c r="KM48" s="3">
        <v>209.22409999999999</v>
      </c>
      <c r="KN48" s="3">
        <v>211.1223</v>
      </c>
      <c r="KO48" s="3">
        <v>212.14070000000001</v>
      </c>
      <c r="KP48" s="3">
        <v>213.04910000000001</v>
      </c>
      <c r="KQ48" s="3">
        <v>213.40860000000001</v>
      </c>
      <c r="KR48" s="3">
        <v>215.34479999999999</v>
      </c>
      <c r="KS48" s="3">
        <v>216.3835</v>
      </c>
      <c r="KT48" s="3">
        <v>217.31010000000001</v>
      </c>
      <c r="KU48" s="3">
        <v>217.67679999999999</v>
      </c>
      <c r="KV48" s="3">
        <v>219.65170000000001</v>
      </c>
      <c r="KW48" s="3">
        <v>220.71119999999999</v>
      </c>
      <c r="KX48" s="3">
        <v>221.65629999999999</v>
      </c>
      <c r="KY48" s="3">
        <v>222.03030000000001</v>
      </c>
      <c r="KZ48" s="3">
        <v>224.04470000000001</v>
      </c>
      <c r="LA48" s="3">
        <v>225.12540000000001</v>
      </c>
      <c r="LB48" s="3">
        <v>226.08940000000001</v>
      </c>
      <c r="LC48" s="3">
        <v>226.4709</v>
      </c>
      <c r="LD48" s="3">
        <v>228.5256</v>
      </c>
      <c r="LE48" s="3">
        <v>229.62790000000001</v>
      </c>
      <c r="LF48" s="3">
        <v>230.6112</v>
      </c>
      <c r="LG48" s="3">
        <v>231.00030000000001</v>
      </c>
      <c r="LH48" s="3">
        <v>233.09610000000001</v>
      </c>
      <c r="LI48" s="3">
        <v>234.22049999999999</v>
      </c>
      <c r="LJ48" s="3">
        <v>235.2234</v>
      </c>
      <c r="LK48" s="3">
        <v>235.62029999999999</v>
      </c>
      <c r="LL48" s="3">
        <v>237.75800000000001</v>
      </c>
      <c r="LM48" s="3">
        <v>238.9049</v>
      </c>
      <c r="LN48" s="3">
        <v>239.92789999999999</v>
      </c>
      <c r="LO48" s="3">
        <v>240.33269999999999</v>
      </c>
      <c r="LP48" s="3">
        <v>242.51320000000001</v>
      </c>
      <c r="LQ48" s="3">
        <v>243.68299999999999</v>
      </c>
      <c r="LR48" s="3">
        <v>244.72649999999999</v>
      </c>
      <c r="LS48" s="3">
        <v>245.13939999999999</v>
      </c>
      <c r="LT48" s="3">
        <v>247.36349999999999</v>
      </c>
      <c r="LU48" s="3">
        <v>248.5566</v>
      </c>
      <c r="LV48" s="3">
        <v>249.62100000000001</v>
      </c>
      <c r="LW48" s="3">
        <v>250.04220000000001</v>
      </c>
      <c r="LX48" s="3">
        <v>252.3107</v>
      </c>
      <c r="LY48" s="3">
        <v>253.52780000000001</v>
      </c>
      <c r="LZ48" s="3">
        <v>254.61340000000001</v>
      </c>
      <c r="MA48" s="3">
        <v>255.04300000000001</v>
      </c>
      <c r="MB48" s="3">
        <v>257.3569</v>
      </c>
      <c r="MC48" s="3">
        <v>258.59829999999999</v>
      </c>
      <c r="MD48" s="3">
        <v>259.70569999999998</v>
      </c>
      <c r="ME48" s="3">
        <v>260.14389999999997</v>
      </c>
      <c r="MF48" s="3">
        <v>262.50409999999999</v>
      </c>
      <c r="MG48" s="3">
        <v>263.77030000000002</v>
      </c>
      <c r="MH48" s="3">
        <v>264.89980000000003</v>
      </c>
      <c r="MI48" s="3">
        <v>265.34679999999997</v>
      </c>
      <c r="MJ48" s="3">
        <v>267.75420000000003</v>
      </c>
      <c r="MK48" s="3">
        <v>269.04570000000001</v>
      </c>
      <c r="ML48" s="3">
        <v>270.19779999999997</v>
      </c>
      <c r="MM48" s="3">
        <v>270.65370000000001</v>
      </c>
      <c r="MN48" s="3">
        <v>273.10930000000002</v>
      </c>
      <c r="MO48" s="3">
        <v>274.42660000000001</v>
      </c>
      <c r="MP48" s="3">
        <v>275.60169999999999</v>
      </c>
      <c r="MQ48" s="3">
        <v>276.0668</v>
      </c>
      <c r="MR48" s="3">
        <v>278.57139999999998</v>
      </c>
      <c r="MS48" s="3">
        <v>279.91520000000003</v>
      </c>
      <c r="MT48" s="3">
        <v>281.11380000000003</v>
      </c>
      <c r="MU48" t="s">
        <v>375</v>
      </c>
      <c r="MV48" t="b">
        <v>0</v>
      </c>
      <c r="MW48" t="s">
        <v>377</v>
      </c>
      <c r="MX48">
        <v>2015</v>
      </c>
      <c r="MY48">
        <v>2024</v>
      </c>
      <c r="MZ48">
        <v>4</v>
      </c>
      <c r="NA48" t="s">
        <v>377</v>
      </c>
      <c r="NB48" s="1" t="s">
        <v>418</v>
      </c>
      <c r="NC48" s="1" t="s">
        <v>419</v>
      </c>
      <c r="ND48" t="s">
        <v>380</v>
      </c>
      <c r="NE48" t="s">
        <v>420</v>
      </c>
      <c r="NF48" s="1" t="s">
        <v>526</v>
      </c>
    </row>
    <row r="49" spans="1:370" x14ac:dyDescent="0.25">
      <c r="A49" t="s">
        <v>382</v>
      </c>
      <c r="B49" t="s">
        <v>416</v>
      </c>
      <c r="C49" s="1" t="s">
        <v>525</v>
      </c>
      <c r="D49" t="s">
        <v>417</v>
      </c>
      <c r="E49" t="s">
        <v>377</v>
      </c>
      <c r="F49" t="s">
        <v>374</v>
      </c>
      <c r="G49" s="2">
        <v>43.033329999999999</v>
      </c>
      <c r="H49" s="2">
        <v>43.933329999999998</v>
      </c>
      <c r="I49" s="2">
        <v>44.8</v>
      </c>
      <c r="J49" s="2">
        <v>45.933329999999998</v>
      </c>
      <c r="K49" s="2">
        <v>47.3</v>
      </c>
      <c r="L49" s="2">
        <v>48.566670000000002</v>
      </c>
      <c r="M49" s="2">
        <v>49.933329999999998</v>
      </c>
      <c r="N49" s="2">
        <v>51.466670000000001</v>
      </c>
      <c r="O49" s="2">
        <v>52.566670000000002</v>
      </c>
      <c r="P49" s="2">
        <v>53.2</v>
      </c>
      <c r="Q49" s="2">
        <v>54.266669999999998</v>
      </c>
      <c r="R49" s="2">
        <v>55.266669999999998</v>
      </c>
      <c r="S49" s="2">
        <v>55.9</v>
      </c>
      <c r="T49" s="2">
        <v>56.4</v>
      </c>
      <c r="U49" s="2">
        <v>57.3</v>
      </c>
      <c r="V49" s="2">
        <v>58.133339999999997</v>
      </c>
      <c r="W49" s="2">
        <v>59.2</v>
      </c>
      <c r="X49" s="2">
        <v>60.233330000000002</v>
      </c>
      <c r="Y49" s="2">
        <v>61.066670000000002</v>
      </c>
      <c r="Z49" s="2">
        <v>61.966670000000001</v>
      </c>
      <c r="AA49" s="2">
        <v>63.033329999999999</v>
      </c>
      <c r="AB49" s="2">
        <v>64.466669999999993</v>
      </c>
      <c r="AC49" s="2">
        <v>65.966669999999993</v>
      </c>
      <c r="AD49" s="2">
        <v>67.5</v>
      </c>
      <c r="AE49" s="2">
        <v>69.2</v>
      </c>
      <c r="AF49" s="2">
        <v>71.400000000000006</v>
      </c>
      <c r="AG49" s="2">
        <v>73.7</v>
      </c>
      <c r="AH49" s="2">
        <v>76.033330000000007</v>
      </c>
      <c r="AI49" s="2">
        <v>79.033330000000007</v>
      </c>
      <c r="AJ49" s="2">
        <v>81.7</v>
      </c>
      <c r="AK49" s="2">
        <v>83.233329999999995</v>
      </c>
      <c r="AL49" s="2">
        <v>85.566670000000002</v>
      </c>
      <c r="AM49" s="2">
        <v>87.933329999999998</v>
      </c>
      <c r="AN49" s="2">
        <v>89.766670000000005</v>
      </c>
      <c r="AO49" s="2">
        <v>92.266670000000005</v>
      </c>
      <c r="AP49" s="2">
        <v>93.766670000000005</v>
      </c>
      <c r="AQ49" s="2">
        <v>94.6</v>
      </c>
      <c r="AR49" s="2">
        <v>95.966669999999993</v>
      </c>
      <c r="AS49" s="2">
        <v>97.633330000000001</v>
      </c>
      <c r="AT49" s="2">
        <v>97.933329999999998</v>
      </c>
      <c r="AU49" s="2">
        <v>98</v>
      </c>
      <c r="AV49" s="2">
        <v>99.133330000000001</v>
      </c>
      <c r="AW49" s="2">
        <v>100.1</v>
      </c>
      <c r="AX49" s="2">
        <v>101.1</v>
      </c>
      <c r="AY49" s="2">
        <v>102.5333</v>
      </c>
      <c r="AZ49" s="2">
        <v>103.5</v>
      </c>
      <c r="BA49" s="2">
        <v>104.4</v>
      </c>
      <c r="BB49" s="2">
        <v>105.3</v>
      </c>
      <c r="BC49" s="2">
        <v>106.2667</v>
      </c>
      <c r="BD49" s="2">
        <v>107.2333</v>
      </c>
      <c r="BE49" s="2">
        <v>107.9</v>
      </c>
      <c r="BF49" s="2">
        <v>109</v>
      </c>
      <c r="BG49" s="2">
        <v>109.5667</v>
      </c>
      <c r="BH49" s="2">
        <v>109.0333</v>
      </c>
      <c r="BI49" s="2">
        <v>109.7</v>
      </c>
      <c r="BJ49" s="2">
        <v>110.4667</v>
      </c>
      <c r="BK49" s="2">
        <v>111.8</v>
      </c>
      <c r="BL49" s="2">
        <v>113.0667</v>
      </c>
      <c r="BM49" s="2">
        <v>114.2667</v>
      </c>
      <c r="BN49" s="2">
        <v>115.33329999999999</v>
      </c>
      <c r="BO49" s="2">
        <v>116.2333</v>
      </c>
      <c r="BP49" s="2">
        <v>117.5667</v>
      </c>
      <c r="BQ49" s="2">
        <v>119</v>
      </c>
      <c r="BR49" s="2">
        <v>120.3</v>
      </c>
      <c r="BS49" s="2">
        <v>121.66670000000001</v>
      </c>
      <c r="BT49" s="2">
        <v>123.63330000000001</v>
      </c>
      <c r="BU49" s="2">
        <v>124.6</v>
      </c>
      <c r="BV49" s="2">
        <v>125.86669999999999</v>
      </c>
      <c r="BW49" s="2">
        <v>128.0333</v>
      </c>
      <c r="BX49" s="2">
        <v>129.30000000000001</v>
      </c>
      <c r="BY49" s="2">
        <v>131.5333</v>
      </c>
      <c r="BZ49" s="2">
        <v>133.76669999999999</v>
      </c>
      <c r="CA49" s="2">
        <v>134.76669999999999</v>
      </c>
      <c r="CB49" s="2">
        <v>135.5667</v>
      </c>
      <c r="CC49" s="2">
        <v>136.6</v>
      </c>
      <c r="CD49" s="2">
        <v>137.73330000000001</v>
      </c>
      <c r="CE49" s="2">
        <v>138.66669999999999</v>
      </c>
      <c r="CF49" s="2">
        <v>139.73330000000001</v>
      </c>
      <c r="CG49" s="2">
        <v>140.80000000000001</v>
      </c>
      <c r="CH49" s="2">
        <v>142.0333</v>
      </c>
      <c r="CI49" s="2">
        <v>143.0667</v>
      </c>
      <c r="CJ49" s="2">
        <v>144.1</v>
      </c>
      <c r="CK49" s="2">
        <v>144.76669999999999</v>
      </c>
      <c r="CL49" s="2">
        <v>145.9667</v>
      </c>
      <c r="CM49" s="2">
        <v>146.69999999999999</v>
      </c>
      <c r="CN49" s="2">
        <v>147.5333</v>
      </c>
      <c r="CO49" s="2">
        <v>148.9</v>
      </c>
      <c r="CP49" s="2">
        <v>149.76669999999999</v>
      </c>
      <c r="CQ49" s="2">
        <v>150.86670000000001</v>
      </c>
      <c r="CR49" s="2">
        <v>152.1</v>
      </c>
      <c r="CS49" s="2">
        <v>152.86670000000001</v>
      </c>
      <c r="CT49" s="2">
        <v>153.69999999999999</v>
      </c>
      <c r="CU49" s="2">
        <v>155.0667</v>
      </c>
      <c r="CV49" s="2">
        <v>156.4</v>
      </c>
      <c r="CW49" s="2">
        <v>157.30000000000001</v>
      </c>
      <c r="CX49" s="2">
        <v>158.66669999999999</v>
      </c>
      <c r="CY49" s="2">
        <v>159.63329999999999</v>
      </c>
      <c r="CZ49" s="2">
        <v>160</v>
      </c>
      <c r="DA49" s="2">
        <v>160.80000000000001</v>
      </c>
      <c r="DB49" s="2">
        <v>161.66669999999999</v>
      </c>
      <c r="DC49" s="2">
        <v>162</v>
      </c>
      <c r="DD49" s="2">
        <v>162.5333</v>
      </c>
      <c r="DE49" s="2">
        <v>163.36670000000001</v>
      </c>
      <c r="DF49" s="2">
        <v>164.13329999999999</v>
      </c>
      <c r="DG49" s="2">
        <v>164.73330000000001</v>
      </c>
      <c r="DH49" s="2">
        <v>165.9667</v>
      </c>
      <c r="DI49" s="2">
        <v>167.2</v>
      </c>
      <c r="DJ49" s="2">
        <v>168.4333</v>
      </c>
      <c r="DK49" s="2">
        <v>170.1</v>
      </c>
      <c r="DL49" s="2">
        <v>171.4333</v>
      </c>
      <c r="DM49" s="2">
        <v>173</v>
      </c>
      <c r="DN49" s="2">
        <v>174.23330000000001</v>
      </c>
      <c r="DO49" s="2">
        <v>175.9</v>
      </c>
      <c r="DP49" s="2">
        <v>177.13329999999999</v>
      </c>
      <c r="DQ49" s="2">
        <v>177.63329999999999</v>
      </c>
      <c r="DR49" s="2">
        <v>177.5</v>
      </c>
      <c r="DS49" s="2">
        <v>178.0667</v>
      </c>
      <c r="DT49" s="2">
        <v>179.4667</v>
      </c>
      <c r="DU49" s="2">
        <v>180.4333</v>
      </c>
      <c r="DV49" s="2">
        <v>181.5</v>
      </c>
      <c r="DW49" s="2">
        <v>183.36670000000001</v>
      </c>
      <c r="DX49" s="2">
        <v>183.0667</v>
      </c>
      <c r="DY49" s="2">
        <v>184.4333</v>
      </c>
      <c r="DZ49" s="2">
        <v>185.13329999999999</v>
      </c>
      <c r="EA49" s="2">
        <v>186.7</v>
      </c>
      <c r="EB49" s="2">
        <v>188.16669999999999</v>
      </c>
      <c r="EC49" s="2">
        <v>189.36670000000001</v>
      </c>
      <c r="ED49" s="2">
        <v>191.4</v>
      </c>
      <c r="EE49" s="2">
        <v>192.36670000000001</v>
      </c>
      <c r="EF49" s="2">
        <v>193.66669999999999</v>
      </c>
      <c r="EG49" s="2">
        <v>196.6</v>
      </c>
      <c r="EH49" s="2">
        <v>198.4333</v>
      </c>
      <c r="EI49" s="2">
        <v>199.4667</v>
      </c>
      <c r="EJ49" s="2">
        <v>201.26669999999999</v>
      </c>
      <c r="EK49" s="2">
        <v>203.16669999999999</v>
      </c>
      <c r="EL49" s="2">
        <v>202.33330000000001</v>
      </c>
      <c r="EM49" s="2">
        <v>204.31700000000001</v>
      </c>
      <c r="EN49" s="2">
        <v>206.631</v>
      </c>
      <c r="EO49" s="2">
        <v>207.93899999999999</v>
      </c>
      <c r="EP49" s="2">
        <v>210.4897</v>
      </c>
      <c r="EQ49" s="2">
        <v>212.7697</v>
      </c>
      <c r="ER49" s="2">
        <v>215.5377</v>
      </c>
      <c r="ES49" s="2">
        <v>218.86099999999999</v>
      </c>
      <c r="ET49" s="2">
        <v>213.84870000000001</v>
      </c>
      <c r="EU49" s="2">
        <v>212.3777</v>
      </c>
      <c r="EV49" s="2">
        <v>213.50700000000001</v>
      </c>
      <c r="EW49" s="2">
        <v>215.34399999999999</v>
      </c>
      <c r="EX49" s="2">
        <v>217.03</v>
      </c>
      <c r="EY49" s="2">
        <v>217.374</v>
      </c>
      <c r="EZ49" s="2">
        <v>217.29730000000001</v>
      </c>
      <c r="FA49" s="2">
        <v>217.93430000000001</v>
      </c>
      <c r="FB49" s="2">
        <v>219.69900000000001</v>
      </c>
      <c r="FC49" s="2">
        <v>222.0437</v>
      </c>
      <c r="FD49" s="2">
        <v>224.56829999999999</v>
      </c>
      <c r="FE49" s="2">
        <v>226.03270000000001</v>
      </c>
      <c r="FF49" s="2">
        <v>227.04730000000001</v>
      </c>
      <c r="FG49" s="2">
        <v>228.32599999999999</v>
      </c>
      <c r="FH49" s="2">
        <v>228.80799999999999</v>
      </c>
      <c r="FI49" s="2">
        <v>229.84100000000001</v>
      </c>
      <c r="FJ49" s="2">
        <v>231.36930000000001</v>
      </c>
      <c r="FK49" s="2">
        <v>232.29929999999999</v>
      </c>
      <c r="FL49" s="2">
        <v>232.04499999999999</v>
      </c>
      <c r="FM49" s="2">
        <v>233.3</v>
      </c>
      <c r="FN49" s="2">
        <v>234.1627</v>
      </c>
      <c r="FO49" s="2">
        <v>235.62100000000001</v>
      </c>
      <c r="FP49" s="2">
        <v>236.8723</v>
      </c>
      <c r="FQ49" s="2">
        <v>237.47829999999999</v>
      </c>
      <c r="FR49" s="2">
        <v>236.88829999999999</v>
      </c>
      <c r="FS49" s="2">
        <v>235.35499999999999</v>
      </c>
      <c r="FT49" s="2">
        <v>236.96</v>
      </c>
      <c r="FU49" s="2">
        <v>237.85499999999999</v>
      </c>
      <c r="FV49" s="2">
        <v>237.83699999999999</v>
      </c>
      <c r="FW49" s="2">
        <v>237.6893</v>
      </c>
      <c r="FX49" s="2">
        <v>239.59030000000001</v>
      </c>
      <c r="FY49" s="2">
        <v>240.60730000000001</v>
      </c>
      <c r="FZ49" s="2">
        <v>242.13470000000001</v>
      </c>
      <c r="GA49" s="2">
        <v>243.83869999999999</v>
      </c>
      <c r="GB49" s="2">
        <v>244.12</v>
      </c>
      <c r="GC49" s="2">
        <v>245.28700000000001</v>
      </c>
      <c r="GD49" s="2">
        <v>247.23830000000001</v>
      </c>
      <c r="GE49" s="2">
        <v>249.32169999999999</v>
      </c>
      <c r="GF49" s="2">
        <v>250.679</v>
      </c>
      <c r="GG49" s="2">
        <v>251.68629999999999</v>
      </c>
      <c r="GH49" s="2">
        <v>252.71100000000001</v>
      </c>
      <c r="GI49" s="2">
        <v>253.38570000000001</v>
      </c>
      <c r="GJ49" s="2">
        <v>255.2473</v>
      </c>
      <c r="GK49" s="2">
        <v>256.08929999999998</v>
      </c>
      <c r="GL49" s="2">
        <v>257.88799999999998</v>
      </c>
      <c r="GM49" s="2">
        <v>258.8177</v>
      </c>
      <c r="GN49" s="2">
        <v>256.29199999999997</v>
      </c>
      <c r="GO49" s="2">
        <v>259.2217</v>
      </c>
      <c r="GP49" s="2">
        <v>261.0917</v>
      </c>
      <c r="GQ49" s="2">
        <v>263.68630000000002</v>
      </c>
      <c r="GR49" s="2">
        <v>268.5797</v>
      </c>
      <c r="GS49" s="2">
        <v>272.88630000000001</v>
      </c>
      <c r="GT49" s="2">
        <v>278.71929999999998</v>
      </c>
      <c r="GU49" s="2">
        <v>284.84469999999999</v>
      </c>
      <c r="GV49" s="2">
        <v>291.65100000000001</v>
      </c>
      <c r="GW49" s="2">
        <v>295.5077</v>
      </c>
      <c r="GX49" s="2">
        <v>298.49829999999997</v>
      </c>
      <c r="GY49" s="2">
        <v>301.19170000000003</v>
      </c>
      <c r="GZ49" s="2">
        <v>303.42430000000002</v>
      </c>
      <c r="HA49" s="2">
        <v>306.04230000000001</v>
      </c>
      <c r="HB49" s="2">
        <v>308.1583</v>
      </c>
      <c r="HC49" s="2">
        <v>310.97430000000003</v>
      </c>
      <c r="HD49" s="2">
        <v>313.09570000000002</v>
      </c>
      <c r="HE49" s="2">
        <v>314.18270000000001</v>
      </c>
      <c r="HF49" s="2">
        <v>316.53870000000001</v>
      </c>
      <c r="HG49" s="3">
        <v>319.43490000000003</v>
      </c>
      <c r="HH49" s="3">
        <v>322.8716</v>
      </c>
      <c r="HI49" s="3">
        <v>324.53710000000001</v>
      </c>
      <c r="HJ49" s="3">
        <v>325.91899999999998</v>
      </c>
      <c r="HK49" s="3">
        <v>327.50450000000001</v>
      </c>
      <c r="HL49" s="3">
        <v>329.19970000000001</v>
      </c>
      <c r="HM49" s="3">
        <v>330.80959999999999</v>
      </c>
      <c r="HN49" s="3">
        <v>332.6558</v>
      </c>
      <c r="HO49" s="3">
        <v>334.67779999999999</v>
      </c>
      <c r="HP49" s="3">
        <v>336.76280000000003</v>
      </c>
      <c r="HQ49" s="3">
        <v>338.8408</v>
      </c>
      <c r="HR49" s="3">
        <v>340.89460000000003</v>
      </c>
      <c r="HS49" s="3">
        <v>342.93889999999999</v>
      </c>
      <c r="HT49" s="3">
        <v>344.96460000000002</v>
      </c>
      <c r="HU49" s="3">
        <v>347.02569999999997</v>
      </c>
      <c r="HV49" s="3">
        <v>349.07069999999999</v>
      </c>
      <c r="HW49" s="3">
        <v>351.09750000000003</v>
      </c>
      <c r="HX49" s="3">
        <v>353.11380000000003</v>
      </c>
      <c r="HY49" s="3">
        <v>355.13479999999998</v>
      </c>
      <c r="HZ49" s="3">
        <v>357.15960000000001</v>
      </c>
      <c r="IA49" s="3">
        <v>359.18239999999997</v>
      </c>
      <c r="IB49" s="3">
        <v>361.19510000000002</v>
      </c>
      <c r="IC49" s="3">
        <v>363.20159999999998</v>
      </c>
      <c r="ID49" s="3">
        <v>365.20569999999998</v>
      </c>
      <c r="IE49" s="3">
        <v>367.20510000000002</v>
      </c>
      <c r="IF49" s="3">
        <v>369.21510000000001</v>
      </c>
      <c r="IG49" s="3">
        <v>371.23509999999999</v>
      </c>
      <c r="IH49" s="3">
        <v>373.26679999999999</v>
      </c>
      <c r="II49" s="3">
        <v>375.30889999999999</v>
      </c>
      <c r="IJ49" s="3">
        <v>377.36200000000002</v>
      </c>
      <c r="IK49" s="3">
        <v>379.42669999999998</v>
      </c>
      <c r="IL49" s="3">
        <v>381.50360000000001</v>
      </c>
      <c r="IM49" s="3">
        <v>383.59179999999998</v>
      </c>
      <c r="IN49" s="3">
        <v>385.69159999999999</v>
      </c>
      <c r="IO49" s="3">
        <v>387.80189999999999</v>
      </c>
      <c r="IP49" s="3">
        <v>389.92520000000002</v>
      </c>
      <c r="IQ49" s="3">
        <v>392.05930000000001</v>
      </c>
      <c r="IR49" s="3">
        <v>394.20580000000001</v>
      </c>
      <c r="IS49" s="3">
        <v>396.36369999999999</v>
      </c>
      <c r="IT49" s="3">
        <v>398.53429999999997</v>
      </c>
      <c r="IU49" s="3">
        <v>400.71620000000001</v>
      </c>
      <c r="IV49" s="3">
        <v>402.90980000000002</v>
      </c>
      <c r="IW49" s="3">
        <v>405.11619999999999</v>
      </c>
      <c r="IX49" s="3">
        <v>407.33519999999999</v>
      </c>
      <c r="IY49" s="3">
        <v>409.56580000000002</v>
      </c>
      <c r="IZ49" s="3">
        <v>411.80939999999998</v>
      </c>
      <c r="JA49" s="3">
        <v>414.06459999999998</v>
      </c>
      <c r="JB49" s="3">
        <v>416.3322</v>
      </c>
      <c r="JC49" s="3">
        <v>418.61290000000002</v>
      </c>
      <c r="JD49" s="3">
        <v>420.90589999999997</v>
      </c>
      <c r="JE49" s="3">
        <v>423.21159999999998</v>
      </c>
      <c r="JF49" s="3">
        <v>425.53070000000002</v>
      </c>
      <c r="JG49" s="3">
        <v>427.86110000000002</v>
      </c>
      <c r="JH49" s="3">
        <v>430.20620000000002</v>
      </c>
      <c r="JI49" s="3">
        <v>432.56380000000001</v>
      </c>
      <c r="JJ49" s="3">
        <v>434.93369999999999</v>
      </c>
      <c r="JK49" s="3">
        <v>437.31729999999999</v>
      </c>
      <c r="JL49" s="3">
        <v>439.71370000000002</v>
      </c>
      <c r="JM49" s="3">
        <v>442.1232</v>
      </c>
      <c r="JN49" s="3">
        <v>444.54680000000002</v>
      </c>
      <c r="JO49" s="3">
        <v>446.98329999999999</v>
      </c>
      <c r="JP49" s="3">
        <v>449.43290000000002</v>
      </c>
      <c r="JQ49" s="3">
        <v>451.89640000000003</v>
      </c>
      <c r="JR49" s="3">
        <v>454.37360000000001</v>
      </c>
      <c r="JS49" s="3">
        <v>456.86410000000001</v>
      </c>
      <c r="JT49" s="3">
        <v>459.3689</v>
      </c>
      <c r="JU49" s="3">
        <v>461.88639999999998</v>
      </c>
      <c r="JV49" s="3">
        <v>464.41789999999997</v>
      </c>
      <c r="JW49" s="3">
        <v>466.96359999999999</v>
      </c>
      <c r="JX49" s="3">
        <v>469.52319999999997</v>
      </c>
      <c r="JY49" s="3">
        <v>472.0967</v>
      </c>
      <c r="JZ49" s="3">
        <v>474.68419999999998</v>
      </c>
      <c r="KA49" s="3">
        <v>477.28570000000002</v>
      </c>
      <c r="KB49" s="3">
        <v>479.9024</v>
      </c>
      <c r="KC49" s="3">
        <v>482.53300000000002</v>
      </c>
      <c r="KD49" s="3">
        <v>485.17720000000003</v>
      </c>
      <c r="KE49" s="3">
        <v>487.83690000000001</v>
      </c>
      <c r="KF49" s="3">
        <v>490.51069999999999</v>
      </c>
      <c r="KG49" s="3">
        <v>493.19920000000002</v>
      </c>
      <c r="KH49" s="3">
        <v>495.90249999999997</v>
      </c>
      <c r="KI49" s="3">
        <v>498.6207</v>
      </c>
      <c r="KJ49" s="3">
        <v>501.35379999999998</v>
      </c>
      <c r="KK49" s="3">
        <v>504.10160000000002</v>
      </c>
      <c r="KL49" s="3">
        <v>506.8648</v>
      </c>
      <c r="KM49" s="3">
        <v>509.64339999999999</v>
      </c>
      <c r="KN49" s="3">
        <v>512.43679999999995</v>
      </c>
      <c r="KO49" s="3">
        <v>515.24559999999997</v>
      </c>
      <c r="KP49" s="3">
        <v>518.06949999999995</v>
      </c>
      <c r="KQ49" s="3">
        <v>520.90920000000006</v>
      </c>
      <c r="KR49" s="3">
        <v>523.76419999999996</v>
      </c>
      <c r="KS49" s="3">
        <v>526.63509999999997</v>
      </c>
      <c r="KT49" s="3">
        <v>529.52149999999995</v>
      </c>
      <c r="KU49" s="3">
        <v>532.42359999999996</v>
      </c>
      <c r="KV49" s="3">
        <v>535.34190000000001</v>
      </c>
      <c r="KW49" s="3">
        <v>538.27639999999997</v>
      </c>
      <c r="KX49" s="3">
        <v>541.22699999999998</v>
      </c>
      <c r="KY49" s="3">
        <v>544.19290000000001</v>
      </c>
      <c r="KZ49" s="3">
        <v>547.17610000000002</v>
      </c>
      <c r="LA49" s="3">
        <v>550.17529999999999</v>
      </c>
      <c r="LB49" s="3">
        <v>553.19029999999998</v>
      </c>
      <c r="LC49" s="3">
        <v>556.22249999999997</v>
      </c>
      <c r="LD49" s="3">
        <v>559.27170000000001</v>
      </c>
      <c r="LE49" s="3">
        <v>562.33690000000001</v>
      </c>
      <c r="LF49" s="3">
        <v>565.41890000000001</v>
      </c>
      <c r="LG49" s="3">
        <v>568.51840000000004</v>
      </c>
      <c r="LH49" s="3">
        <v>571.63459999999998</v>
      </c>
      <c r="LI49" s="3">
        <v>574.7681</v>
      </c>
      <c r="LJ49" s="3">
        <v>577.91840000000002</v>
      </c>
      <c r="LK49" s="3">
        <v>581.0856</v>
      </c>
      <c r="LL49" s="3">
        <v>584.27089999999998</v>
      </c>
      <c r="LM49" s="3">
        <v>587.47329999999999</v>
      </c>
      <c r="LN49" s="3">
        <v>590.69330000000002</v>
      </c>
      <c r="LO49" s="3">
        <v>593.9307</v>
      </c>
      <c r="LP49" s="3">
        <v>597.1866</v>
      </c>
      <c r="LQ49" s="3">
        <v>600.4597</v>
      </c>
      <c r="LR49" s="3">
        <v>603.7509</v>
      </c>
      <c r="LS49" s="3">
        <v>607.06029999999998</v>
      </c>
      <c r="LT49" s="3">
        <v>610.38810000000001</v>
      </c>
      <c r="LU49" s="3">
        <v>613.73329999999999</v>
      </c>
      <c r="LV49" s="3">
        <v>617.09709999999995</v>
      </c>
      <c r="LW49" s="3">
        <v>620.4796</v>
      </c>
      <c r="LX49" s="3">
        <v>623.88099999999997</v>
      </c>
      <c r="LY49" s="3">
        <v>627.30079999999998</v>
      </c>
      <c r="LZ49" s="3">
        <v>630.73929999999996</v>
      </c>
      <c r="MA49" s="3">
        <v>634.19590000000005</v>
      </c>
      <c r="MB49" s="3">
        <v>637.67160000000001</v>
      </c>
      <c r="MC49" s="3">
        <v>641.16729999999995</v>
      </c>
      <c r="MD49" s="3">
        <v>644.68190000000004</v>
      </c>
      <c r="ME49" s="3">
        <v>648.21659999999997</v>
      </c>
      <c r="MF49" s="3">
        <v>651.76949999999999</v>
      </c>
      <c r="MG49" s="3">
        <v>655.34169999999995</v>
      </c>
      <c r="MH49" s="3">
        <v>658.93409999999994</v>
      </c>
      <c r="MI49" s="3">
        <v>662.54600000000005</v>
      </c>
      <c r="MJ49" s="3">
        <v>666.17750000000001</v>
      </c>
      <c r="MK49" s="3">
        <v>669.8288</v>
      </c>
      <c r="ML49" s="3">
        <v>673.50059999999996</v>
      </c>
      <c r="MM49" s="3">
        <v>677.19179999999994</v>
      </c>
      <c r="MN49" s="3">
        <v>680.90419999999995</v>
      </c>
      <c r="MO49" s="3">
        <v>684.63649999999996</v>
      </c>
      <c r="MP49" s="3">
        <v>688.38919999999996</v>
      </c>
      <c r="MQ49" s="3">
        <v>692.16250000000002</v>
      </c>
      <c r="MR49" s="3">
        <v>695.95640000000003</v>
      </c>
      <c r="MS49" s="3">
        <v>699.77080000000001</v>
      </c>
      <c r="MT49" s="3">
        <v>703.60580000000004</v>
      </c>
      <c r="MU49" t="s">
        <v>421</v>
      </c>
      <c r="MV49" t="b">
        <v>1</v>
      </c>
      <c r="MW49" t="s">
        <v>377</v>
      </c>
      <c r="MX49" s="1" t="s">
        <v>422</v>
      </c>
      <c r="MY49">
        <v>2024</v>
      </c>
      <c r="MZ49">
        <v>4</v>
      </c>
      <c r="NA49" t="s">
        <v>377</v>
      </c>
      <c r="NB49" t="s">
        <v>423</v>
      </c>
      <c r="NC49" s="1" t="s">
        <v>424</v>
      </c>
      <c r="ND49" t="s">
        <v>389</v>
      </c>
      <c r="NE49" t="s">
        <v>420</v>
      </c>
      <c r="NF49" s="1" t="s">
        <v>526</v>
      </c>
    </row>
    <row r="50" spans="1:370" x14ac:dyDescent="0.25">
      <c r="A50" t="s">
        <v>370</v>
      </c>
      <c r="B50" t="s">
        <v>425</v>
      </c>
      <c r="C50" s="1" t="s">
        <v>525</v>
      </c>
      <c r="D50" t="s">
        <v>426</v>
      </c>
      <c r="E50" t="s">
        <v>377</v>
      </c>
      <c r="F50" t="s">
        <v>374</v>
      </c>
      <c r="G50" s="2">
        <v>2.4031669999999998</v>
      </c>
      <c r="H50" s="2">
        <v>2.5304329999999999</v>
      </c>
      <c r="I50" s="2">
        <v>2.4792999999999998</v>
      </c>
      <c r="J50" s="2">
        <v>2.378533</v>
      </c>
      <c r="K50" s="2">
        <v>2.2806329999999999</v>
      </c>
      <c r="L50" s="2">
        <v>2.3986670000000001</v>
      </c>
      <c r="M50" s="2">
        <v>2.3511669999999998</v>
      </c>
      <c r="N50" s="2">
        <v>2.3298000000000001</v>
      </c>
      <c r="O50" s="2">
        <v>2.3923329999999998</v>
      </c>
      <c r="P50" s="2">
        <v>2.3241999999999998</v>
      </c>
      <c r="Q50" s="2">
        <v>2.128333</v>
      </c>
      <c r="R50" s="2">
        <v>2.0428000000000002</v>
      </c>
      <c r="S50" s="2">
        <v>1.9990000000000001</v>
      </c>
      <c r="T50" s="2">
        <v>1.8062670000000001</v>
      </c>
      <c r="U50" s="2">
        <v>1.7666999999999999</v>
      </c>
      <c r="V50" s="2">
        <v>1.6509670000000001</v>
      </c>
      <c r="W50" s="2">
        <v>1.713633</v>
      </c>
      <c r="X50" s="2">
        <v>1.719033</v>
      </c>
      <c r="Y50" s="2">
        <v>1.7351669999999999</v>
      </c>
      <c r="Z50" s="2">
        <v>1.8139670000000001</v>
      </c>
      <c r="AA50" s="2">
        <v>1.9278329999999999</v>
      </c>
      <c r="AB50" s="2">
        <v>1.8355669999999999</v>
      </c>
      <c r="AC50" s="2">
        <v>1.931767</v>
      </c>
      <c r="AD50" s="2">
        <v>1.9837670000000001</v>
      </c>
      <c r="AE50" s="2">
        <v>2.0156000000000001</v>
      </c>
      <c r="AF50" s="2">
        <v>2.080867</v>
      </c>
      <c r="AG50" s="2">
        <v>2.2327669999999999</v>
      </c>
      <c r="AH50" s="2">
        <v>2.1594000000000002</v>
      </c>
      <c r="AI50" s="2">
        <v>2.2539669999999998</v>
      </c>
      <c r="AJ50" s="2">
        <v>2.2853669999999999</v>
      </c>
      <c r="AK50" s="2">
        <v>2.3817330000000001</v>
      </c>
      <c r="AL50" s="2">
        <v>2.3863669999999999</v>
      </c>
      <c r="AM50" s="2">
        <v>2.310467</v>
      </c>
      <c r="AN50" s="2">
        <v>2.0807669999999998</v>
      </c>
      <c r="AO50" s="2">
        <v>1.838133</v>
      </c>
      <c r="AP50" s="2">
        <v>1.8838999999999999</v>
      </c>
      <c r="AQ50" s="2">
        <v>1.847167</v>
      </c>
      <c r="AR50" s="2">
        <v>1.780467</v>
      </c>
      <c r="AS50" s="2">
        <v>1.7252000000000001</v>
      </c>
      <c r="AT50" s="2">
        <v>1.649767</v>
      </c>
      <c r="AU50" s="2">
        <v>1.532233</v>
      </c>
      <c r="AV50" s="2">
        <v>1.5545</v>
      </c>
      <c r="AW50" s="2">
        <v>1.5094669999999999</v>
      </c>
      <c r="AX50" s="2">
        <v>1.470167</v>
      </c>
      <c r="AY50" s="2">
        <v>1.4350000000000001</v>
      </c>
      <c r="AZ50" s="2">
        <v>1.396833</v>
      </c>
      <c r="BA50" s="2">
        <v>1.298033</v>
      </c>
      <c r="BB50" s="2">
        <v>1.216367</v>
      </c>
      <c r="BC50" s="2">
        <v>1.114933</v>
      </c>
      <c r="BD50" s="2">
        <v>1.2578670000000001</v>
      </c>
      <c r="BE50" s="2">
        <v>1.3756999999999999</v>
      </c>
      <c r="BF50" s="2">
        <v>1.4362330000000001</v>
      </c>
      <c r="BG50" s="2">
        <v>1.440067</v>
      </c>
      <c r="BH50" s="2">
        <v>1.5093669999999999</v>
      </c>
      <c r="BI50" s="2">
        <v>1.488767</v>
      </c>
      <c r="BJ50" s="2">
        <v>1.4303999999999999</v>
      </c>
      <c r="BK50" s="2">
        <v>1.542033</v>
      </c>
      <c r="BL50" s="2">
        <v>1.641767</v>
      </c>
      <c r="BM50" s="2">
        <v>1.6178669999999999</v>
      </c>
      <c r="BN50" s="2">
        <v>1.7549330000000001</v>
      </c>
      <c r="BO50" s="2">
        <v>1.7961</v>
      </c>
      <c r="BP50" s="2">
        <v>1.8416330000000001</v>
      </c>
      <c r="BQ50" s="2">
        <v>1.6952670000000001</v>
      </c>
      <c r="BR50" s="2">
        <v>1.7918000000000001</v>
      </c>
      <c r="BS50" s="2">
        <v>1.747833</v>
      </c>
      <c r="BT50" s="2">
        <v>1.6283000000000001</v>
      </c>
      <c r="BU50" s="2">
        <v>1.5971329999999999</v>
      </c>
      <c r="BV50" s="2">
        <v>1.5854330000000001</v>
      </c>
      <c r="BW50" s="2">
        <v>1.6577</v>
      </c>
      <c r="BX50" s="2">
        <v>1.6748670000000001</v>
      </c>
      <c r="BY50" s="2">
        <v>1.8621669999999999</v>
      </c>
      <c r="BZ50" s="2">
        <v>1.9452670000000001</v>
      </c>
      <c r="CA50" s="2">
        <v>1.908933</v>
      </c>
      <c r="CB50" s="2">
        <v>1.7084330000000001</v>
      </c>
      <c r="CC50" s="2">
        <v>1.6864330000000001</v>
      </c>
      <c r="CD50" s="2">
        <v>1.7757000000000001</v>
      </c>
      <c r="CE50" s="2">
        <v>1.771533</v>
      </c>
      <c r="CF50" s="2">
        <v>1.808033</v>
      </c>
      <c r="CG50" s="2">
        <v>1.905233</v>
      </c>
      <c r="CH50" s="2">
        <v>1.5795999999999999</v>
      </c>
      <c r="CI50" s="2">
        <v>1.477867</v>
      </c>
      <c r="CJ50" s="2">
        <v>1.535067</v>
      </c>
      <c r="CK50" s="2">
        <v>1.5044999999999999</v>
      </c>
      <c r="CL50" s="2">
        <v>1.4915670000000001</v>
      </c>
      <c r="CM50" s="2">
        <v>1.4884999999999999</v>
      </c>
      <c r="CN50" s="2">
        <v>1.503933</v>
      </c>
      <c r="CO50" s="2">
        <v>1.5513669999999999</v>
      </c>
      <c r="CP50" s="2">
        <v>1.5846</v>
      </c>
      <c r="CQ50" s="2">
        <v>1.5824</v>
      </c>
      <c r="CR50" s="2">
        <v>1.5963670000000001</v>
      </c>
      <c r="CS50" s="2">
        <v>1.573933</v>
      </c>
      <c r="CT50" s="2">
        <v>1.56</v>
      </c>
      <c r="CU50" s="2">
        <v>1.5313669999999999</v>
      </c>
      <c r="CV50" s="2">
        <v>1.523833</v>
      </c>
      <c r="CW50" s="2">
        <v>1.5546</v>
      </c>
      <c r="CX50" s="2">
        <v>1.6378330000000001</v>
      </c>
      <c r="CY50" s="2">
        <v>1.629867</v>
      </c>
      <c r="CZ50" s="2">
        <v>1.6358330000000001</v>
      </c>
      <c r="DA50" s="2">
        <v>1.6250329999999999</v>
      </c>
      <c r="DB50" s="2">
        <v>1.660533</v>
      </c>
      <c r="DC50" s="2">
        <v>1.6459999999999999</v>
      </c>
      <c r="DD50" s="2">
        <v>1.6535329999999999</v>
      </c>
      <c r="DE50" s="2">
        <v>1.652633</v>
      </c>
      <c r="DF50" s="2">
        <v>1.6758999999999999</v>
      </c>
      <c r="DG50" s="2">
        <v>1.6335</v>
      </c>
      <c r="DH50" s="2">
        <v>1.606967</v>
      </c>
      <c r="DI50" s="2">
        <v>1.6021000000000001</v>
      </c>
      <c r="DJ50" s="2">
        <v>1.6306</v>
      </c>
      <c r="DK50" s="2">
        <v>1.606733</v>
      </c>
      <c r="DL50" s="2">
        <v>1.5333669999999999</v>
      </c>
      <c r="DM50" s="2">
        <v>1.4784330000000001</v>
      </c>
      <c r="DN50" s="2">
        <v>1.4463999999999999</v>
      </c>
      <c r="DO50" s="2">
        <v>1.4583999999999999</v>
      </c>
      <c r="DP50" s="2">
        <v>1.4207669999999999</v>
      </c>
      <c r="DQ50" s="2">
        <v>1.437967</v>
      </c>
      <c r="DR50" s="2">
        <v>1.4428000000000001</v>
      </c>
      <c r="DS50" s="2">
        <v>1.425967</v>
      </c>
      <c r="DT50" s="2">
        <v>1.4630000000000001</v>
      </c>
      <c r="DU50" s="2">
        <v>1.5494669999999999</v>
      </c>
      <c r="DV50" s="2">
        <v>1.5720000000000001</v>
      </c>
      <c r="DW50" s="2">
        <v>1.603</v>
      </c>
      <c r="DX50" s="2">
        <v>1.6194329999999999</v>
      </c>
      <c r="DY50" s="2">
        <v>1.6107670000000001</v>
      </c>
      <c r="DZ50" s="2">
        <v>1.7064999999999999</v>
      </c>
      <c r="EA50" s="2">
        <v>1.8391329999999999</v>
      </c>
      <c r="EB50" s="2">
        <v>1.8051999999999999</v>
      </c>
      <c r="EC50" s="2">
        <v>1.8189</v>
      </c>
      <c r="ED50" s="2">
        <v>1.8647670000000001</v>
      </c>
      <c r="EE50" s="2">
        <v>1.890433</v>
      </c>
      <c r="EF50" s="2">
        <v>1.8559000000000001</v>
      </c>
      <c r="EG50" s="2">
        <v>1.7844329999999999</v>
      </c>
      <c r="EH50" s="2">
        <v>1.7481</v>
      </c>
      <c r="EI50" s="2">
        <v>1.752767</v>
      </c>
      <c r="EJ50" s="2">
        <v>1.827167</v>
      </c>
      <c r="EK50" s="2">
        <v>1.8746</v>
      </c>
      <c r="EL50" s="2">
        <v>1.9169</v>
      </c>
      <c r="EM50" s="2">
        <v>1.9546330000000001</v>
      </c>
      <c r="EN50" s="2">
        <v>1.9869669999999999</v>
      </c>
      <c r="EO50" s="2">
        <v>2.0211329999999998</v>
      </c>
      <c r="EP50" s="2">
        <v>2.0444</v>
      </c>
      <c r="EQ50" s="2">
        <v>1.9789330000000001</v>
      </c>
      <c r="ER50" s="2">
        <v>1.9705330000000001</v>
      </c>
      <c r="ES50" s="2">
        <v>1.8918330000000001</v>
      </c>
      <c r="ET50" s="2">
        <v>1.5699000000000001</v>
      </c>
      <c r="EU50" s="2">
        <v>1.4345669999999999</v>
      </c>
      <c r="EV50" s="2">
        <v>1.550333</v>
      </c>
      <c r="EW50" s="2">
        <v>1.6411</v>
      </c>
      <c r="EX50" s="2">
        <v>1.6345000000000001</v>
      </c>
      <c r="EY50" s="2">
        <v>1.5609999999999999</v>
      </c>
      <c r="EZ50" s="2">
        <v>1.4909330000000001</v>
      </c>
      <c r="FA50" s="2">
        <v>1.5512330000000001</v>
      </c>
      <c r="FB50" s="2">
        <v>1.580867</v>
      </c>
      <c r="FC50" s="2">
        <v>1.6028</v>
      </c>
      <c r="FD50" s="2">
        <v>1.629033</v>
      </c>
      <c r="FE50" s="2">
        <v>1.6092</v>
      </c>
      <c r="FF50" s="2">
        <v>1.5716330000000001</v>
      </c>
      <c r="FG50" s="2">
        <v>1.571167</v>
      </c>
      <c r="FH50" s="2">
        <v>1.583</v>
      </c>
      <c r="FI50" s="2">
        <v>1.5808</v>
      </c>
      <c r="FJ50" s="2">
        <v>1.606133</v>
      </c>
      <c r="FK50" s="2">
        <v>1.5503670000000001</v>
      </c>
      <c r="FL50" s="2">
        <v>1.5359670000000001</v>
      </c>
      <c r="FM50" s="2">
        <v>1.5514669999999999</v>
      </c>
      <c r="FN50" s="2">
        <v>1.6191</v>
      </c>
      <c r="FO50" s="2">
        <v>1.6553</v>
      </c>
      <c r="FP50" s="2">
        <v>1.6831</v>
      </c>
      <c r="FQ50" s="2">
        <v>1.6694329999999999</v>
      </c>
      <c r="FR50" s="2">
        <v>1.5829329999999999</v>
      </c>
      <c r="FS50" s="2">
        <v>1.514467</v>
      </c>
      <c r="FT50" s="2">
        <v>1.5335000000000001</v>
      </c>
      <c r="FU50" s="2">
        <v>1.548967</v>
      </c>
      <c r="FV50" s="2">
        <v>1.5170669999999999</v>
      </c>
      <c r="FW50" s="2">
        <v>1.430833</v>
      </c>
      <c r="FX50" s="2">
        <v>1.434633</v>
      </c>
      <c r="FY50" s="2">
        <v>1.312767</v>
      </c>
      <c r="FZ50" s="2">
        <v>1.2416</v>
      </c>
      <c r="GA50" s="2">
        <v>1.239633</v>
      </c>
      <c r="GB50" s="2">
        <v>1.279933</v>
      </c>
      <c r="GC50" s="2">
        <v>1.3090999999999999</v>
      </c>
      <c r="GD50" s="2">
        <v>1.327267</v>
      </c>
      <c r="GE50" s="2">
        <v>1.3920999999999999</v>
      </c>
      <c r="GF50" s="2">
        <v>1.361</v>
      </c>
      <c r="GG50" s="2">
        <v>1.3037000000000001</v>
      </c>
      <c r="GH50" s="2">
        <v>1.285833</v>
      </c>
      <c r="GI50" s="2">
        <v>1.302767</v>
      </c>
      <c r="GJ50" s="2">
        <v>1.2851999999999999</v>
      </c>
      <c r="GK50" s="2">
        <v>1.2325999999999999</v>
      </c>
      <c r="GL50" s="2">
        <v>1.287933</v>
      </c>
      <c r="GM50" s="2">
        <v>1.279733</v>
      </c>
      <c r="GN50" s="2">
        <v>1.2412000000000001</v>
      </c>
      <c r="GO50" s="2">
        <v>1.2924329999999999</v>
      </c>
      <c r="GP50" s="2">
        <v>1.3208</v>
      </c>
      <c r="GQ50" s="2">
        <v>1.378733</v>
      </c>
      <c r="GR50" s="2">
        <v>1.3986670000000001</v>
      </c>
      <c r="GS50" s="2">
        <v>1.3779669999999999</v>
      </c>
      <c r="GT50" s="2">
        <v>1.3481669999999999</v>
      </c>
      <c r="GU50" s="2">
        <v>1.3424</v>
      </c>
      <c r="GV50" s="2">
        <v>1.2549999999999999</v>
      </c>
      <c r="GW50" s="2">
        <v>1.177133</v>
      </c>
      <c r="GX50" s="2">
        <v>1.1745000000000001</v>
      </c>
      <c r="GY50" s="2">
        <v>1.215133</v>
      </c>
      <c r="GZ50" s="2">
        <v>1.2518670000000001</v>
      </c>
      <c r="HA50" s="2">
        <v>1.2659</v>
      </c>
      <c r="HB50" s="2">
        <v>1.2417</v>
      </c>
      <c r="HC50" s="2">
        <v>1.2679670000000001</v>
      </c>
      <c r="HD50" s="2">
        <v>1.2618670000000001</v>
      </c>
      <c r="HE50" s="2">
        <v>1.300467</v>
      </c>
      <c r="HF50" s="2">
        <v>1.2814000000000001</v>
      </c>
      <c r="HG50" s="3">
        <v>1.265441</v>
      </c>
      <c r="HH50" s="3">
        <v>1.26525</v>
      </c>
      <c r="HI50" s="3">
        <v>1.2463</v>
      </c>
      <c r="HJ50" s="3">
        <v>1.2466299999999999</v>
      </c>
      <c r="HK50" s="3">
        <v>1.2472920000000001</v>
      </c>
      <c r="HL50" s="3">
        <v>1.2479530000000001</v>
      </c>
      <c r="HM50" s="3">
        <v>1.248613</v>
      </c>
      <c r="HN50" s="3">
        <v>1.2496229999999999</v>
      </c>
      <c r="HO50" s="3">
        <v>1.2512019999999999</v>
      </c>
      <c r="HP50" s="3">
        <v>1.2530060000000001</v>
      </c>
      <c r="HQ50" s="3">
        <v>1.2555069999999999</v>
      </c>
      <c r="HR50" s="3">
        <v>1.2589399999999999</v>
      </c>
      <c r="HS50" s="3">
        <v>1.2626090000000001</v>
      </c>
      <c r="HT50" s="3">
        <v>1.266748</v>
      </c>
      <c r="HU50" s="3">
        <v>1.271355</v>
      </c>
      <c r="HV50" s="3">
        <v>1.275965</v>
      </c>
      <c r="HW50" s="3">
        <v>1.2805789999999999</v>
      </c>
      <c r="HX50" s="3">
        <v>1.2851950000000001</v>
      </c>
      <c r="HY50" s="3">
        <v>1.2898149999999999</v>
      </c>
      <c r="HZ50" s="3">
        <v>1.296063</v>
      </c>
      <c r="IA50" s="3">
        <v>1.3025789999999999</v>
      </c>
      <c r="IB50" s="3">
        <v>1.3077179999999999</v>
      </c>
      <c r="IC50" s="3">
        <v>1.3128310000000001</v>
      </c>
      <c r="ID50" s="3">
        <v>1.3179190000000001</v>
      </c>
      <c r="IE50" s="3">
        <v>1.322981</v>
      </c>
      <c r="IF50" s="3">
        <v>1.328017</v>
      </c>
      <c r="IG50" s="3">
        <v>1.333029</v>
      </c>
      <c r="IH50" s="3">
        <v>1.3380129999999999</v>
      </c>
      <c r="II50" s="3">
        <v>1.3429720000000001</v>
      </c>
      <c r="IJ50" s="3">
        <v>1.3466149999999999</v>
      </c>
      <c r="IK50" s="3">
        <v>1.348949</v>
      </c>
      <c r="IL50" s="3">
        <v>1.351267</v>
      </c>
      <c r="IM50" s="3">
        <v>1.3535680000000001</v>
      </c>
      <c r="IN50" s="3">
        <v>1.3558520000000001</v>
      </c>
      <c r="IO50" s="3">
        <v>1.3581190000000001</v>
      </c>
      <c r="IP50" s="3">
        <v>1.3603700000000001</v>
      </c>
      <c r="IQ50" s="3">
        <v>1.362603</v>
      </c>
      <c r="IR50" s="3">
        <v>1.3648210000000001</v>
      </c>
      <c r="IS50" s="3">
        <v>1.3670230000000001</v>
      </c>
      <c r="IT50" s="3">
        <v>1.3692070000000001</v>
      </c>
      <c r="IU50" s="3">
        <v>1.371375</v>
      </c>
      <c r="IV50" s="3">
        <v>1.3735269999999999</v>
      </c>
      <c r="IW50" s="3">
        <v>1.3756619999999999</v>
      </c>
      <c r="IX50" s="3">
        <v>1.3777809999999999</v>
      </c>
      <c r="IY50" s="3">
        <v>1.3798820000000001</v>
      </c>
      <c r="IZ50" s="3">
        <v>1.3819669999999999</v>
      </c>
      <c r="JA50" s="3">
        <v>1.3840349999999999</v>
      </c>
      <c r="JB50" s="3">
        <v>1.3860870000000001</v>
      </c>
      <c r="JC50" s="3">
        <v>1.388123</v>
      </c>
      <c r="JD50" s="3">
        <v>1.3901410000000001</v>
      </c>
      <c r="JE50" s="3">
        <v>1.392144</v>
      </c>
      <c r="JF50" s="3">
        <v>1.394129</v>
      </c>
      <c r="JG50" s="3">
        <v>1.3960980000000001</v>
      </c>
      <c r="JH50" s="3">
        <v>1.39805</v>
      </c>
      <c r="JI50" s="3">
        <v>1.39927</v>
      </c>
      <c r="JJ50" s="3">
        <v>1.3997599999999999</v>
      </c>
      <c r="JK50" s="3">
        <v>1.400002</v>
      </c>
      <c r="JL50" s="3">
        <v>1.400002</v>
      </c>
      <c r="JM50" s="3">
        <v>1.4000010000000001</v>
      </c>
      <c r="JN50" s="3">
        <v>1.4000010000000001</v>
      </c>
      <c r="JO50" s="3">
        <v>1.4000010000000001</v>
      </c>
      <c r="JP50" s="3">
        <v>1.4000010000000001</v>
      </c>
      <c r="JQ50" s="3">
        <v>1.4</v>
      </c>
      <c r="JR50" s="3">
        <v>1.4</v>
      </c>
      <c r="JS50" s="3">
        <v>1.4</v>
      </c>
      <c r="JT50" s="3">
        <v>1.4</v>
      </c>
      <c r="JU50" s="3">
        <v>1.4</v>
      </c>
      <c r="JV50" s="3">
        <v>1.4</v>
      </c>
      <c r="JW50" s="3">
        <v>1.4</v>
      </c>
      <c r="JX50" s="3">
        <v>1.4</v>
      </c>
      <c r="JY50" s="3">
        <v>1.4</v>
      </c>
      <c r="JZ50" s="3">
        <v>1.4</v>
      </c>
      <c r="KA50" s="3">
        <v>1.4</v>
      </c>
      <c r="KB50" s="3">
        <v>1.4</v>
      </c>
      <c r="KC50" s="3">
        <v>1.4</v>
      </c>
      <c r="KD50" s="3">
        <v>1.4</v>
      </c>
      <c r="KE50" s="3">
        <v>1.4</v>
      </c>
      <c r="KF50" s="3">
        <v>1.4</v>
      </c>
      <c r="KG50" s="3">
        <v>1.4</v>
      </c>
      <c r="KH50" s="3">
        <v>1.4</v>
      </c>
      <c r="KI50" s="3">
        <v>1.4</v>
      </c>
      <c r="KJ50" s="3">
        <v>1.4</v>
      </c>
      <c r="KK50" s="3">
        <v>1.4</v>
      </c>
      <c r="KL50" s="3">
        <v>1.4</v>
      </c>
      <c r="KM50" s="3">
        <v>1.4</v>
      </c>
      <c r="KN50" s="3">
        <v>1.4</v>
      </c>
      <c r="KO50" s="3">
        <v>1.4</v>
      </c>
      <c r="KP50" s="3">
        <v>1.4</v>
      </c>
      <c r="KQ50" s="3">
        <v>1.4</v>
      </c>
      <c r="KR50" s="3">
        <v>1.4</v>
      </c>
      <c r="KS50" s="3">
        <v>1.4</v>
      </c>
      <c r="KT50" s="3">
        <v>1.4</v>
      </c>
      <c r="KU50" s="3">
        <v>1.4</v>
      </c>
      <c r="KV50" s="3">
        <v>1.4</v>
      </c>
      <c r="KW50" s="3">
        <v>1.4</v>
      </c>
      <c r="KX50" s="3">
        <v>1.4</v>
      </c>
      <c r="KY50" s="3">
        <v>1.4</v>
      </c>
      <c r="KZ50" s="3">
        <v>1.4</v>
      </c>
      <c r="LA50" s="3">
        <v>1.4</v>
      </c>
      <c r="LB50" s="3">
        <v>1.4</v>
      </c>
      <c r="LC50" s="3">
        <v>1.4</v>
      </c>
      <c r="LD50" s="3">
        <v>1.4</v>
      </c>
      <c r="LE50" s="3">
        <v>1.4</v>
      </c>
      <c r="LF50" s="3">
        <v>1.4</v>
      </c>
      <c r="LG50" s="3">
        <v>1.4</v>
      </c>
      <c r="LH50" s="3">
        <v>1.4</v>
      </c>
      <c r="LI50" s="3">
        <v>1.4</v>
      </c>
      <c r="LJ50" s="3">
        <v>1.4</v>
      </c>
      <c r="LK50" s="3">
        <v>1.4</v>
      </c>
      <c r="LL50" s="3">
        <v>1.4</v>
      </c>
      <c r="LM50" s="3">
        <v>1.4</v>
      </c>
      <c r="LN50" s="3">
        <v>1.4</v>
      </c>
      <c r="LO50" s="3">
        <v>1.4</v>
      </c>
      <c r="LP50" s="3">
        <v>1.4</v>
      </c>
      <c r="LQ50" s="3">
        <v>1.4</v>
      </c>
      <c r="LR50" s="3">
        <v>1.4</v>
      </c>
      <c r="LS50" s="3">
        <v>1.4</v>
      </c>
      <c r="LT50" s="3">
        <v>1.4</v>
      </c>
      <c r="LU50" s="3">
        <v>1.4</v>
      </c>
      <c r="LV50" s="3">
        <v>1.4</v>
      </c>
      <c r="LW50" s="3">
        <v>1.4</v>
      </c>
      <c r="LX50" s="3">
        <v>1.4</v>
      </c>
      <c r="LY50" s="3">
        <v>1.4</v>
      </c>
      <c r="LZ50" s="3">
        <v>1.4</v>
      </c>
      <c r="MA50" s="3">
        <v>1.4</v>
      </c>
      <c r="MB50" s="3">
        <v>1.4</v>
      </c>
      <c r="MC50" s="3">
        <v>1.4</v>
      </c>
      <c r="MD50" s="3">
        <v>1.4</v>
      </c>
      <c r="ME50" s="3">
        <v>1.4</v>
      </c>
      <c r="MF50" s="3">
        <v>1.4</v>
      </c>
      <c r="MG50" s="3">
        <v>1.4</v>
      </c>
      <c r="MH50" s="3">
        <v>1.4</v>
      </c>
      <c r="MI50" s="3">
        <v>1.4</v>
      </c>
      <c r="MJ50" s="3">
        <v>1.4</v>
      </c>
      <c r="MK50" s="3">
        <v>1.4</v>
      </c>
      <c r="ML50" s="3">
        <v>1.4</v>
      </c>
      <c r="MM50" s="3">
        <v>1.4</v>
      </c>
      <c r="MN50" s="3">
        <v>1.4</v>
      </c>
      <c r="MO50" s="3">
        <v>1.4</v>
      </c>
      <c r="MP50" s="3">
        <v>1.4</v>
      </c>
      <c r="MQ50" s="3">
        <v>1.4</v>
      </c>
      <c r="MR50" s="3">
        <v>1.4</v>
      </c>
      <c r="MS50" s="3">
        <v>1.4</v>
      </c>
      <c r="MT50" s="3">
        <v>1.4</v>
      </c>
      <c r="MU50" t="s">
        <v>427</v>
      </c>
      <c r="MV50" t="b">
        <v>0</v>
      </c>
      <c r="MW50" t="s">
        <v>377</v>
      </c>
      <c r="MX50" t="s">
        <v>377</v>
      </c>
      <c r="MY50">
        <v>2024</v>
      </c>
      <c r="MZ50">
        <v>4</v>
      </c>
      <c r="NA50" t="s">
        <v>377</v>
      </c>
      <c r="NB50" t="s">
        <v>428</v>
      </c>
      <c r="NC50" s="1" t="s">
        <v>429</v>
      </c>
      <c r="ND50" t="s">
        <v>380</v>
      </c>
      <c r="NE50" t="s">
        <v>430</v>
      </c>
      <c r="NF50" s="1" t="s">
        <v>526</v>
      </c>
    </row>
    <row r="51" spans="1:370" x14ac:dyDescent="0.25">
      <c r="A51" t="s">
        <v>382</v>
      </c>
      <c r="B51" t="s">
        <v>431</v>
      </c>
      <c r="C51" s="1" t="s">
        <v>525</v>
      </c>
      <c r="D51" t="s">
        <v>432</v>
      </c>
      <c r="E51" t="s">
        <v>377</v>
      </c>
      <c r="F51" t="s">
        <v>374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2">
        <v>1</v>
      </c>
      <c r="AN51" s="2">
        <v>1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1</v>
      </c>
      <c r="AX51" s="2">
        <v>1</v>
      </c>
      <c r="AY51" s="2">
        <v>1</v>
      </c>
      <c r="AZ51" s="2">
        <v>1</v>
      </c>
      <c r="BA51" s="2">
        <v>1</v>
      </c>
      <c r="BB51" s="2">
        <v>1</v>
      </c>
      <c r="BC51" s="2">
        <v>1</v>
      </c>
      <c r="BD51" s="2">
        <v>1</v>
      </c>
      <c r="BE51" s="2">
        <v>1</v>
      </c>
      <c r="BF51" s="2">
        <v>1</v>
      </c>
      <c r="BG51" s="2">
        <v>1</v>
      </c>
      <c r="BH51" s="2">
        <v>1</v>
      </c>
      <c r="BI51" s="2">
        <v>1</v>
      </c>
      <c r="BJ51" s="2">
        <v>1</v>
      </c>
      <c r="BK51" s="2">
        <v>1</v>
      </c>
      <c r="BL51" s="2">
        <v>1</v>
      </c>
      <c r="BM51" s="2">
        <v>1</v>
      </c>
      <c r="BN51" s="2">
        <v>1</v>
      </c>
      <c r="BO51" s="2">
        <v>1</v>
      </c>
      <c r="BP51" s="2">
        <v>1</v>
      </c>
      <c r="BQ51" s="2">
        <v>1</v>
      </c>
      <c r="BR51" s="2">
        <v>1</v>
      </c>
      <c r="BS51" s="2">
        <v>1</v>
      </c>
      <c r="BT51" s="2">
        <v>1</v>
      </c>
      <c r="BU51" s="2">
        <v>1</v>
      </c>
      <c r="BV51" s="2">
        <v>1</v>
      </c>
      <c r="BW51" s="2">
        <v>1</v>
      </c>
      <c r="BX51" s="2">
        <v>1</v>
      </c>
      <c r="BY51" s="2">
        <v>1</v>
      </c>
      <c r="BZ51" s="2">
        <v>1</v>
      </c>
      <c r="CA51" s="2">
        <v>1</v>
      </c>
      <c r="CB51" s="2">
        <v>1</v>
      </c>
      <c r="CC51" s="2">
        <v>1</v>
      </c>
      <c r="CD51" s="2">
        <v>1</v>
      </c>
      <c r="CE51" s="2">
        <v>1</v>
      </c>
      <c r="CF51" s="2">
        <v>1</v>
      </c>
      <c r="CG51" s="2">
        <v>1</v>
      </c>
      <c r="CH51" s="2">
        <v>1</v>
      </c>
      <c r="CI51" s="2">
        <v>1</v>
      </c>
      <c r="CJ51" s="2">
        <v>1</v>
      </c>
      <c r="CK51" s="2">
        <v>1</v>
      </c>
      <c r="CL51" s="2">
        <v>1</v>
      </c>
      <c r="CM51" s="2">
        <v>1</v>
      </c>
      <c r="CN51" s="2">
        <v>1</v>
      </c>
      <c r="CO51" s="2">
        <v>1</v>
      </c>
      <c r="CP51" s="2">
        <v>1</v>
      </c>
      <c r="CQ51" s="2">
        <v>1</v>
      </c>
      <c r="CR51" s="2">
        <v>1</v>
      </c>
      <c r="CS51" s="2">
        <v>1</v>
      </c>
      <c r="CT51" s="2">
        <v>1</v>
      </c>
      <c r="CU51" s="2">
        <v>1</v>
      </c>
      <c r="CV51" s="2">
        <v>1</v>
      </c>
      <c r="CW51" s="2">
        <v>1</v>
      </c>
      <c r="CX51" s="2">
        <v>1</v>
      </c>
      <c r="CY51" s="2">
        <v>1</v>
      </c>
      <c r="CZ51" s="2">
        <v>1</v>
      </c>
      <c r="DA51" s="2">
        <v>1</v>
      </c>
      <c r="DB51" s="2">
        <v>1</v>
      </c>
      <c r="DC51" s="2">
        <v>1</v>
      </c>
      <c r="DD51" s="2">
        <v>1</v>
      </c>
      <c r="DE51" s="2">
        <v>1</v>
      </c>
      <c r="DF51" s="2">
        <v>1</v>
      </c>
      <c r="DG51" s="2">
        <v>1</v>
      </c>
      <c r="DH51" s="2">
        <v>1</v>
      </c>
      <c r="DI51" s="2">
        <v>1</v>
      </c>
      <c r="DJ51" s="2">
        <v>1</v>
      </c>
      <c r="DK51" s="2">
        <v>1</v>
      </c>
      <c r="DL51" s="2">
        <v>1</v>
      </c>
      <c r="DM51" s="2">
        <v>1</v>
      </c>
      <c r="DN51" s="2">
        <v>1</v>
      </c>
      <c r="DO51" s="2">
        <v>1</v>
      </c>
      <c r="DP51" s="2">
        <v>1</v>
      </c>
      <c r="DQ51" s="2">
        <v>1</v>
      </c>
      <c r="DR51" s="2">
        <v>1</v>
      </c>
      <c r="DS51" s="2">
        <v>1</v>
      </c>
      <c r="DT51" s="2">
        <v>1</v>
      </c>
      <c r="DU51" s="2">
        <v>1</v>
      </c>
      <c r="DV51" s="2">
        <v>1</v>
      </c>
      <c r="DW51" s="2">
        <v>1</v>
      </c>
      <c r="DX51" s="2">
        <v>1</v>
      </c>
      <c r="DY51" s="2">
        <v>1</v>
      </c>
      <c r="DZ51" s="2">
        <v>1</v>
      </c>
      <c r="EA51" s="2">
        <v>1</v>
      </c>
      <c r="EB51" s="2">
        <v>1</v>
      </c>
      <c r="EC51" s="2">
        <v>1</v>
      </c>
      <c r="ED51" s="2">
        <v>1</v>
      </c>
      <c r="EE51" s="2">
        <v>1</v>
      </c>
      <c r="EF51" s="2">
        <v>1</v>
      </c>
      <c r="EG51" s="2">
        <v>1</v>
      </c>
      <c r="EH51" s="2">
        <v>1</v>
      </c>
      <c r="EI51" s="2">
        <v>1</v>
      </c>
      <c r="EJ51" s="2">
        <v>1</v>
      </c>
      <c r="EK51" s="2">
        <v>1</v>
      </c>
      <c r="EL51" s="2">
        <v>1</v>
      </c>
      <c r="EM51" s="2">
        <v>1</v>
      </c>
      <c r="EN51" s="2">
        <v>1</v>
      </c>
      <c r="EO51" s="2">
        <v>1</v>
      </c>
      <c r="EP51" s="2">
        <v>1</v>
      </c>
      <c r="EQ51" s="2">
        <v>1</v>
      </c>
      <c r="ER51" s="2">
        <v>1</v>
      </c>
      <c r="ES51" s="2">
        <v>1</v>
      </c>
      <c r="ET51" s="2">
        <v>1</v>
      </c>
      <c r="EU51" s="2">
        <v>1</v>
      </c>
      <c r="EV51" s="2">
        <v>1</v>
      </c>
      <c r="EW51" s="2">
        <v>1</v>
      </c>
      <c r="EX51" s="2">
        <v>1</v>
      </c>
      <c r="EY51" s="2">
        <v>1</v>
      </c>
      <c r="EZ51" s="2">
        <v>1</v>
      </c>
      <c r="FA51" s="2">
        <v>1</v>
      </c>
      <c r="FB51" s="2">
        <v>1</v>
      </c>
      <c r="FC51" s="2">
        <v>1</v>
      </c>
      <c r="FD51" s="2">
        <v>1</v>
      </c>
      <c r="FE51" s="2">
        <v>1</v>
      </c>
      <c r="FF51" s="2">
        <v>1</v>
      </c>
      <c r="FG51" s="2">
        <v>1</v>
      </c>
      <c r="FH51" s="2">
        <v>1</v>
      </c>
      <c r="FI51" s="2">
        <v>1</v>
      </c>
      <c r="FJ51" s="2">
        <v>1</v>
      </c>
      <c r="FK51" s="2">
        <v>1</v>
      </c>
      <c r="FL51" s="2">
        <v>1</v>
      </c>
      <c r="FM51" s="2">
        <v>1</v>
      </c>
      <c r="FN51" s="2">
        <v>1</v>
      </c>
      <c r="FO51" s="2">
        <v>1</v>
      </c>
      <c r="FP51" s="2">
        <v>1</v>
      </c>
      <c r="FQ51" s="2">
        <v>1</v>
      </c>
      <c r="FR51" s="2">
        <v>1</v>
      </c>
      <c r="FS51" s="2">
        <v>1</v>
      </c>
      <c r="FT51" s="2">
        <v>1</v>
      </c>
      <c r="FU51" s="2">
        <v>1</v>
      </c>
      <c r="FV51" s="2">
        <v>1</v>
      </c>
      <c r="FW51" s="2">
        <v>1</v>
      </c>
      <c r="FX51" s="2">
        <v>1</v>
      </c>
      <c r="FY51" s="2">
        <v>1</v>
      </c>
      <c r="FZ51" s="2">
        <v>1</v>
      </c>
      <c r="GA51" s="2">
        <v>1</v>
      </c>
      <c r="GB51" s="2">
        <v>1</v>
      </c>
      <c r="GC51" s="2">
        <v>1</v>
      </c>
      <c r="GD51" s="2">
        <v>1</v>
      </c>
      <c r="GE51" s="2">
        <v>1</v>
      </c>
      <c r="GF51" s="2">
        <v>1</v>
      </c>
      <c r="GG51" s="2">
        <v>1</v>
      </c>
      <c r="GH51" s="2">
        <v>1</v>
      </c>
      <c r="GI51" s="2">
        <v>1</v>
      </c>
      <c r="GJ51" s="2">
        <v>1</v>
      </c>
      <c r="GK51" s="2">
        <v>1</v>
      </c>
      <c r="GL51" s="2">
        <v>1</v>
      </c>
      <c r="GM51" s="2">
        <v>1</v>
      </c>
      <c r="GN51" s="2">
        <v>1</v>
      </c>
      <c r="GO51" s="2">
        <v>1</v>
      </c>
      <c r="GP51" s="2">
        <v>1</v>
      </c>
      <c r="GQ51" s="2">
        <v>1</v>
      </c>
      <c r="GR51" s="2">
        <v>1</v>
      </c>
      <c r="GS51" s="2">
        <v>1</v>
      </c>
      <c r="GT51" s="2">
        <v>1</v>
      </c>
      <c r="GU51" s="2">
        <v>1</v>
      </c>
      <c r="GV51" s="2">
        <v>1</v>
      </c>
      <c r="GW51" s="2">
        <v>1</v>
      </c>
      <c r="GX51" s="2">
        <v>1</v>
      </c>
      <c r="GY51" s="2">
        <v>1</v>
      </c>
      <c r="GZ51" s="2">
        <v>1</v>
      </c>
      <c r="HA51" s="2">
        <v>1</v>
      </c>
      <c r="HB51" s="2">
        <v>1</v>
      </c>
      <c r="HC51" s="2">
        <v>1</v>
      </c>
      <c r="HD51" s="2">
        <v>1</v>
      </c>
      <c r="HE51" s="2">
        <v>1</v>
      </c>
      <c r="HF51" s="2">
        <v>1</v>
      </c>
      <c r="HG51" s="3">
        <v>1</v>
      </c>
      <c r="HH51" s="3">
        <v>1</v>
      </c>
      <c r="HI51" s="3">
        <v>1</v>
      </c>
      <c r="HJ51" s="3">
        <v>1</v>
      </c>
      <c r="HK51" s="3">
        <v>1</v>
      </c>
      <c r="HL51" s="3">
        <v>1</v>
      </c>
      <c r="HM51" s="3">
        <v>1</v>
      </c>
      <c r="HN51" s="3">
        <v>1</v>
      </c>
      <c r="HO51" s="3">
        <v>1</v>
      </c>
      <c r="HP51" s="3">
        <v>1</v>
      </c>
      <c r="HQ51" s="3">
        <v>1</v>
      </c>
      <c r="HR51" s="3">
        <v>1</v>
      </c>
      <c r="HS51" s="3">
        <v>1</v>
      </c>
      <c r="HT51" s="3">
        <v>1</v>
      </c>
      <c r="HU51" s="3">
        <v>1</v>
      </c>
      <c r="HV51" s="3">
        <v>1</v>
      </c>
      <c r="HW51" s="3">
        <v>1</v>
      </c>
      <c r="HX51" s="3">
        <v>1</v>
      </c>
      <c r="HY51" s="3">
        <v>1</v>
      </c>
      <c r="HZ51" s="3">
        <v>1</v>
      </c>
      <c r="IA51" s="3">
        <v>1</v>
      </c>
      <c r="IB51" s="3">
        <v>1</v>
      </c>
      <c r="IC51" s="3">
        <v>1</v>
      </c>
      <c r="ID51" s="3">
        <v>1</v>
      </c>
      <c r="IE51" s="3">
        <v>1</v>
      </c>
      <c r="IF51" s="3">
        <v>1</v>
      </c>
      <c r="IG51" s="3">
        <v>1</v>
      </c>
      <c r="IH51" s="3">
        <v>1</v>
      </c>
      <c r="II51" s="3">
        <v>1</v>
      </c>
      <c r="IJ51" s="3">
        <v>1</v>
      </c>
      <c r="IK51" s="3">
        <v>1</v>
      </c>
      <c r="IL51" s="3">
        <v>1</v>
      </c>
      <c r="IM51" s="3">
        <v>1</v>
      </c>
      <c r="IN51" s="3">
        <v>1</v>
      </c>
      <c r="IO51" s="3">
        <v>1</v>
      </c>
      <c r="IP51" s="3">
        <v>1</v>
      </c>
      <c r="IQ51" s="3">
        <v>1</v>
      </c>
      <c r="IR51" s="3">
        <v>1</v>
      </c>
      <c r="IS51" s="3">
        <v>1</v>
      </c>
      <c r="IT51" s="3">
        <v>1</v>
      </c>
      <c r="IU51" s="3">
        <v>1</v>
      </c>
      <c r="IV51" s="3">
        <v>1</v>
      </c>
      <c r="IW51" s="3">
        <v>1</v>
      </c>
      <c r="IX51" s="3">
        <v>1</v>
      </c>
      <c r="IY51" s="3">
        <v>1</v>
      </c>
      <c r="IZ51" s="3">
        <v>1</v>
      </c>
      <c r="JA51" s="3">
        <v>1</v>
      </c>
      <c r="JB51" s="3">
        <v>1</v>
      </c>
      <c r="JC51" s="3">
        <v>1</v>
      </c>
      <c r="JD51" s="3">
        <v>1</v>
      </c>
      <c r="JE51" s="3">
        <v>1</v>
      </c>
      <c r="JF51" s="3">
        <v>1</v>
      </c>
      <c r="JG51" s="3">
        <v>1</v>
      </c>
      <c r="JH51" s="3">
        <v>1</v>
      </c>
      <c r="JI51" s="3">
        <v>1</v>
      </c>
      <c r="JJ51" s="3">
        <v>1</v>
      </c>
      <c r="JK51" s="3">
        <v>1</v>
      </c>
      <c r="JL51" s="3">
        <v>1</v>
      </c>
      <c r="JM51" s="3">
        <v>1</v>
      </c>
      <c r="JN51" s="3">
        <v>1</v>
      </c>
      <c r="JO51" s="3">
        <v>1</v>
      </c>
      <c r="JP51" s="3">
        <v>1</v>
      </c>
      <c r="JQ51" s="3">
        <v>1</v>
      </c>
      <c r="JR51" s="3">
        <v>1</v>
      </c>
      <c r="JS51" s="3">
        <v>1</v>
      </c>
      <c r="JT51" s="3">
        <v>1</v>
      </c>
      <c r="JU51" s="3">
        <v>1</v>
      </c>
      <c r="JV51" s="3">
        <v>1</v>
      </c>
      <c r="JW51" s="3">
        <v>1</v>
      </c>
      <c r="JX51" s="3">
        <v>1</v>
      </c>
      <c r="JY51" s="3">
        <v>1</v>
      </c>
      <c r="JZ51" s="3">
        <v>1</v>
      </c>
      <c r="KA51" s="3">
        <v>1</v>
      </c>
      <c r="KB51" s="3">
        <v>1</v>
      </c>
      <c r="KC51" s="3">
        <v>1</v>
      </c>
      <c r="KD51" s="3">
        <v>1</v>
      </c>
      <c r="KE51" s="3">
        <v>1</v>
      </c>
      <c r="KF51" s="3">
        <v>1</v>
      </c>
      <c r="KG51" s="3">
        <v>1</v>
      </c>
      <c r="KH51" s="3">
        <v>1</v>
      </c>
      <c r="KI51" s="3">
        <v>1</v>
      </c>
      <c r="KJ51" s="3">
        <v>1</v>
      </c>
      <c r="KK51" s="3">
        <v>1</v>
      </c>
      <c r="KL51" s="3">
        <v>1</v>
      </c>
      <c r="KM51" s="3">
        <v>1</v>
      </c>
      <c r="KN51" s="3">
        <v>1</v>
      </c>
      <c r="KO51" s="3">
        <v>1</v>
      </c>
      <c r="KP51" s="3">
        <v>1</v>
      </c>
      <c r="KQ51" s="3">
        <v>1</v>
      </c>
      <c r="KR51" s="3">
        <v>1</v>
      </c>
      <c r="KS51" s="3">
        <v>1</v>
      </c>
      <c r="KT51" s="3">
        <v>1</v>
      </c>
      <c r="KU51" s="3">
        <v>1</v>
      </c>
      <c r="KV51" s="3">
        <v>1</v>
      </c>
      <c r="KW51" s="3">
        <v>1</v>
      </c>
      <c r="KX51" s="3">
        <v>1</v>
      </c>
      <c r="KY51" s="3">
        <v>1</v>
      </c>
      <c r="KZ51" s="3">
        <v>1</v>
      </c>
      <c r="LA51" s="3">
        <v>1</v>
      </c>
      <c r="LB51" s="3">
        <v>1</v>
      </c>
      <c r="LC51" s="3">
        <v>1</v>
      </c>
      <c r="LD51" s="3">
        <v>1</v>
      </c>
      <c r="LE51" s="3">
        <v>1</v>
      </c>
      <c r="LF51" s="3">
        <v>1</v>
      </c>
      <c r="LG51" s="3">
        <v>1</v>
      </c>
      <c r="LH51" s="3">
        <v>1</v>
      </c>
      <c r="LI51" s="3">
        <v>1</v>
      </c>
      <c r="LJ51" s="3">
        <v>1</v>
      </c>
      <c r="LK51" s="3">
        <v>1</v>
      </c>
      <c r="LL51" s="3">
        <v>1</v>
      </c>
      <c r="LM51" s="3">
        <v>1</v>
      </c>
      <c r="LN51" s="3">
        <v>1</v>
      </c>
      <c r="LO51" s="3">
        <v>1</v>
      </c>
      <c r="LP51" s="3">
        <v>1</v>
      </c>
      <c r="LQ51" s="3">
        <v>1</v>
      </c>
      <c r="LR51" s="3">
        <v>1</v>
      </c>
      <c r="LS51" s="3">
        <v>1</v>
      </c>
      <c r="LT51" s="3">
        <v>1</v>
      </c>
      <c r="LU51" s="3">
        <v>1</v>
      </c>
      <c r="LV51" s="3">
        <v>1</v>
      </c>
      <c r="LW51" s="3">
        <v>1</v>
      </c>
      <c r="LX51" s="3">
        <v>1</v>
      </c>
      <c r="LY51" s="3">
        <v>1</v>
      </c>
      <c r="LZ51" s="3">
        <v>1</v>
      </c>
      <c r="MA51" s="3">
        <v>1</v>
      </c>
      <c r="MB51" s="3">
        <v>1</v>
      </c>
      <c r="MC51" s="3">
        <v>1</v>
      </c>
      <c r="MD51" s="3">
        <v>1</v>
      </c>
      <c r="ME51" s="3">
        <v>1</v>
      </c>
      <c r="MF51" s="3">
        <v>1</v>
      </c>
      <c r="MG51" s="3">
        <v>1</v>
      </c>
      <c r="MH51" s="3">
        <v>1</v>
      </c>
      <c r="MI51" s="3">
        <v>1</v>
      </c>
      <c r="MJ51" s="3">
        <v>1</v>
      </c>
      <c r="MK51" s="3">
        <v>1</v>
      </c>
      <c r="ML51" s="3">
        <v>1</v>
      </c>
      <c r="MM51" s="3">
        <v>1</v>
      </c>
      <c r="MN51" s="3">
        <v>1</v>
      </c>
      <c r="MO51" s="3">
        <v>1</v>
      </c>
      <c r="MP51" s="3">
        <v>1</v>
      </c>
      <c r="MQ51" s="3">
        <v>1</v>
      </c>
      <c r="MR51" s="3">
        <v>1</v>
      </c>
      <c r="MS51" s="3">
        <v>1</v>
      </c>
      <c r="MT51" s="3">
        <v>1</v>
      </c>
      <c r="MU51" t="s">
        <v>433</v>
      </c>
      <c r="MV51" t="b">
        <v>0</v>
      </c>
      <c r="MW51" t="s">
        <v>377</v>
      </c>
      <c r="MX51" t="s">
        <v>377</v>
      </c>
      <c r="MY51">
        <v>2024</v>
      </c>
      <c r="MZ51">
        <v>4</v>
      </c>
      <c r="NA51" t="s">
        <v>377</v>
      </c>
      <c r="NB51" s="1" t="s">
        <v>434</v>
      </c>
      <c r="NC51" t="s">
        <v>377</v>
      </c>
      <c r="ND51" t="s">
        <v>389</v>
      </c>
      <c r="NE51" t="s">
        <v>430</v>
      </c>
      <c r="NF51" s="1" t="s">
        <v>526</v>
      </c>
    </row>
    <row r="52" spans="1:370" x14ac:dyDescent="0.25">
      <c r="A52" t="s">
        <v>370</v>
      </c>
      <c r="B52" t="s">
        <v>456</v>
      </c>
      <c r="C52" s="1" t="s">
        <v>525</v>
      </c>
      <c r="D52" t="s">
        <v>372</v>
      </c>
      <c r="E52" t="s">
        <v>373</v>
      </c>
      <c r="F52" t="s">
        <v>374</v>
      </c>
      <c r="G52" s="2">
        <v>247921</v>
      </c>
      <c r="H52" s="2">
        <v>248795.6</v>
      </c>
      <c r="I52" s="2">
        <v>249192.3</v>
      </c>
      <c r="J52" s="2">
        <v>249852.3</v>
      </c>
      <c r="K52" s="2">
        <v>250711.6</v>
      </c>
      <c r="L52" s="2">
        <v>251453.3</v>
      </c>
      <c r="M52" s="2">
        <v>252524.5</v>
      </c>
      <c r="N52" s="2">
        <v>253154.3</v>
      </c>
      <c r="O52" s="2">
        <v>253236.2</v>
      </c>
      <c r="P52" s="2">
        <v>253757</v>
      </c>
      <c r="Q52" s="2">
        <v>254266.6</v>
      </c>
      <c r="R52" s="2">
        <v>254664</v>
      </c>
      <c r="S52" s="2">
        <v>254816</v>
      </c>
      <c r="T52" s="2">
        <v>255097.2</v>
      </c>
      <c r="U52" s="2">
        <v>255283</v>
      </c>
      <c r="V52" s="2">
        <v>255551.9</v>
      </c>
      <c r="W52" s="2">
        <v>255798.9</v>
      </c>
      <c r="X52" s="2">
        <v>255979.1</v>
      </c>
      <c r="Y52" s="2">
        <v>256187.3</v>
      </c>
      <c r="Z52" s="2">
        <v>256207</v>
      </c>
      <c r="AA52" s="2">
        <v>256193</v>
      </c>
      <c r="AB52" s="2">
        <v>257406</v>
      </c>
      <c r="AC52" s="2">
        <v>258678.39999999999</v>
      </c>
      <c r="AD52" s="2">
        <v>260270.3</v>
      </c>
      <c r="AE52" s="2">
        <v>261655.1</v>
      </c>
      <c r="AF52" s="2">
        <v>262767.09999999998</v>
      </c>
      <c r="AG52" s="2">
        <v>264311.90000000002</v>
      </c>
      <c r="AH52" s="2">
        <v>265866.3</v>
      </c>
      <c r="AI52" s="2">
        <v>268225.3</v>
      </c>
      <c r="AJ52" s="2">
        <v>269618.2</v>
      </c>
      <c r="AK52" s="2">
        <v>270906.90000000002</v>
      </c>
      <c r="AL52" s="2">
        <v>272236.7</v>
      </c>
      <c r="AM52" s="2">
        <v>273376.7</v>
      </c>
      <c r="AN52" s="2">
        <v>274189.09999999998</v>
      </c>
      <c r="AO52" s="2">
        <v>274557.90000000002</v>
      </c>
      <c r="AP52" s="2">
        <v>274762</v>
      </c>
      <c r="AQ52" s="2">
        <v>275104</v>
      </c>
      <c r="AR52" s="2">
        <v>275639.3</v>
      </c>
      <c r="AS52" s="2">
        <v>276062.8</v>
      </c>
      <c r="AT52" s="2">
        <v>276606.5</v>
      </c>
      <c r="AU52" s="2">
        <v>277254.8</v>
      </c>
      <c r="AV52" s="2">
        <v>278705.59999999998</v>
      </c>
      <c r="AW52" s="2">
        <v>281386.40000000002</v>
      </c>
      <c r="AX52" s="2">
        <v>284241.7</v>
      </c>
      <c r="AY52" s="2">
        <v>286851.90000000002</v>
      </c>
      <c r="AZ52" s="2">
        <v>289238.09999999998</v>
      </c>
      <c r="BA52" s="2">
        <v>291277.90000000002</v>
      </c>
      <c r="BB52" s="2">
        <v>293467</v>
      </c>
      <c r="BC52" s="2">
        <v>295399.5</v>
      </c>
      <c r="BD52" s="2">
        <v>297253.2</v>
      </c>
      <c r="BE52" s="2">
        <v>299226.5</v>
      </c>
      <c r="BF52" s="2">
        <v>301203.09999999998</v>
      </c>
      <c r="BG52" s="2">
        <v>303115.59999999998</v>
      </c>
      <c r="BH52" s="2">
        <v>304797</v>
      </c>
      <c r="BI52" s="2">
        <v>306863.7</v>
      </c>
      <c r="BJ52" s="2">
        <v>308796.2</v>
      </c>
      <c r="BK52" s="2">
        <v>310597.5</v>
      </c>
      <c r="BL52" s="2">
        <v>313078.09999999998</v>
      </c>
      <c r="BM52" s="2">
        <v>315712.2</v>
      </c>
      <c r="BN52" s="2">
        <v>318346.7</v>
      </c>
      <c r="BO52" s="2">
        <v>321347.3</v>
      </c>
      <c r="BP52" s="2">
        <v>324058.90000000002</v>
      </c>
      <c r="BQ52" s="2">
        <v>327016.59999999998</v>
      </c>
      <c r="BR52" s="2">
        <v>330086.90000000002</v>
      </c>
      <c r="BS52" s="2">
        <v>333453.59999999998</v>
      </c>
      <c r="BT52" s="2">
        <v>336162.5</v>
      </c>
      <c r="BU52" s="2">
        <v>338615.3</v>
      </c>
      <c r="BV52" s="2">
        <v>341204.8</v>
      </c>
      <c r="BW52" s="2">
        <v>343262.3</v>
      </c>
      <c r="BX52" s="2">
        <v>345587.5</v>
      </c>
      <c r="BY52" s="2">
        <v>347648.4</v>
      </c>
      <c r="BZ52" s="2">
        <v>349155.1</v>
      </c>
      <c r="CA52" s="2">
        <v>349599.8</v>
      </c>
      <c r="CB52" s="2">
        <v>350779.4</v>
      </c>
      <c r="CC52" s="2">
        <v>351731.6</v>
      </c>
      <c r="CD52" s="2">
        <v>352724.7</v>
      </c>
      <c r="CE52" s="2">
        <v>355136.2</v>
      </c>
      <c r="CF52" s="2">
        <v>356223.3</v>
      </c>
      <c r="CG52" s="2">
        <v>356162.6</v>
      </c>
      <c r="CH52" s="2">
        <v>356797.5</v>
      </c>
      <c r="CI52" s="2">
        <v>359456.2</v>
      </c>
      <c r="CJ52" s="2">
        <v>360765.6</v>
      </c>
      <c r="CK52" s="2">
        <v>362638.6</v>
      </c>
      <c r="CL52" s="2">
        <v>364708.6</v>
      </c>
      <c r="CM52" s="2">
        <v>367476.4</v>
      </c>
      <c r="CN52" s="2">
        <v>369402.9</v>
      </c>
      <c r="CO52" s="2">
        <v>372359.1</v>
      </c>
      <c r="CP52" s="2">
        <v>376023.1</v>
      </c>
      <c r="CQ52" s="2">
        <v>377130.7</v>
      </c>
      <c r="CR52" s="2">
        <v>379828.6</v>
      </c>
      <c r="CS52" s="2">
        <v>382034.4</v>
      </c>
      <c r="CT52" s="2">
        <v>384510.9</v>
      </c>
      <c r="CU52" s="2">
        <v>386665.7</v>
      </c>
      <c r="CV52" s="2">
        <v>390383.3</v>
      </c>
      <c r="CW52" s="2">
        <v>392124.9</v>
      </c>
      <c r="CX52" s="2">
        <v>395313.7</v>
      </c>
      <c r="CY52" s="2">
        <v>398137.5</v>
      </c>
      <c r="CZ52" s="2">
        <v>401790</v>
      </c>
      <c r="DA52" s="2">
        <v>403525.4</v>
      </c>
      <c r="DB52" s="2">
        <v>404659</v>
      </c>
      <c r="DC52" s="2">
        <v>407458.6</v>
      </c>
      <c r="DD52" s="2">
        <v>410117.8</v>
      </c>
      <c r="DE52" s="2">
        <v>413020.8</v>
      </c>
      <c r="DF52" s="2">
        <v>414237.5</v>
      </c>
      <c r="DG52" s="2">
        <v>418633.6</v>
      </c>
      <c r="DH52" s="2">
        <v>421081</v>
      </c>
      <c r="DI52" s="2">
        <v>424298.3</v>
      </c>
      <c r="DJ52" s="2">
        <v>427761.1</v>
      </c>
      <c r="DK52" s="2">
        <v>426391.7</v>
      </c>
      <c r="DL52" s="2">
        <v>430966.1</v>
      </c>
      <c r="DM52" s="2">
        <v>434245.8</v>
      </c>
      <c r="DN52" s="2">
        <v>438874.7</v>
      </c>
      <c r="DO52" s="2">
        <v>441485</v>
      </c>
      <c r="DP52" s="2">
        <v>445913.7</v>
      </c>
      <c r="DQ52" s="2">
        <v>448067</v>
      </c>
      <c r="DR52" s="2">
        <v>450476.7</v>
      </c>
      <c r="DS52" s="2">
        <v>453318.6</v>
      </c>
      <c r="DT52" s="2">
        <v>454633.9</v>
      </c>
      <c r="DU52" s="2">
        <v>459691.7</v>
      </c>
      <c r="DV52" s="2">
        <v>461937.7</v>
      </c>
      <c r="DW52" s="2">
        <v>464823.3</v>
      </c>
      <c r="DX52" s="2">
        <v>468109.3</v>
      </c>
      <c r="DY52" s="2">
        <v>471388.4</v>
      </c>
      <c r="DZ52" s="2">
        <v>472083.4</v>
      </c>
      <c r="EA52" s="2">
        <v>477050.3</v>
      </c>
      <c r="EB52" s="2">
        <v>478935.3</v>
      </c>
      <c r="EC52" s="2">
        <v>481606.7</v>
      </c>
      <c r="ED52" s="2">
        <v>487824.2</v>
      </c>
      <c r="EE52" s="2">
        <v>491443.7</v>
      </c>
      <c r="EF52" s="2">
        <v>493452.2</v>
      </c>
      <c r="EG52" s="2">
        <v>498290.1</v>
      </c>
      <c r="EH52" s="2">
        <v>501515.9</v>
      </c>
      <c r="EI52" s="2">
        <v>505074.1</v>
      </c>
      <c r="EJ52" s="2">
        <v>508093.1</v>
      </c>
      <c r="EK52" s="2">
        <v>511498</v>
      </c>
      <c r="EL52" s="2">
        <v>515389</v>
      </c>
      <c r="EM52" s="2">
        <v>517232.5</v>
      </c>
      <c r="EN52" s="2">
        <v>521524.9</v>
      </c>
      <c r="EO52" s="2">
        <v>523719.4</v>
      </c>
      <c r="EP52" s="2">
        <v>525015.1</v>
      </c>
      <c r="EQ52" s="2">
        <v>531697.80000000005</v>
      </c>
      <c r="ER52" s="2">
        <v>530216.80000000005</v>
      </c>
      <c r="ES52" s="2">
        <v>534172.1</v>
      </c>
      <c r="ET52" s="2">
        <v>535804.5</v>
      </c>
      <c r="EU52" s="2">
        <v>533759.80000000005</v>
      </c>
      <c r="EV52" s="2">
        <v>536113.80000000005</v>
      </c>
      <c r="EW52" s="2">
        <v>534851.30000000005</v>
      </c>
      <c r="EX52" s="2">
        <v>535730.69999999995</v>
      </c>
      <c r="EY52" s="2">
        <v>537208.69999999995</v>
      </c>
      <c r="EZ52" s="2">
        <v>539485.5</v>
      </c>
      <c r="FA52" s="2">
        <v>542141.19999999995</v>
      </c>
      <c r="FB52" s="2">
        <v>544782</v>
      </c>
      <c r="FC52" s="2">
        <v>545464.80000000005</v>
      </c>
      <c r="FD52" s="2">
        <v>542351.6</v>
      </c>
      <c r="FE52" s="2">
        <v>547245.6</v>
      </c>
      <c r="FF52" s="2">
        <v>548040.19999999995</v>
      </c>
      <c r="FG52" s="2">
        <v>550730.30000000005</v>
      </c>
      <c r="FH52" s="2">
        <v>553420.6</v>
      </c>
      <c r="FI52" s="2">
        <v>558403.6</v>
      </c>
      <c r="FJ52" s="2">
        <v>559890.80000000005</v>
      </c>
      <c r="FK52" s="2">
        <v>561308.9</v>
      </c>
      <c r="FL52" s="2">
        <v>563203.4</v>
      </c>
      <c r="FM52" s="2">
        <v>568069.19999999995</v>
      </c>
      <c r="FN52" s="2">
        <v>567452.4</v>
      </c>
      <c r="FO52" s="2">
        <v>570704.19999999995</v>
      </c>
      <c r="FP52" s="2">
        <v>573375.1</v>
      </c>
      <c r="FQ52" s="2">
        <v>575130.80000000005</v>
      </c>
      <c r="FR52" s="2">
        <v>576747.80000000005</v>
      </c>
      <c r="FS52" s="2">
        <v>579090.6</v>
      </c>
      <c r="FT52" s="2">
        <v>580661.4</v>
      </c>
      <c r="FU52" s="2">
        <v>581505.30000000005</v>
      </c>
      <c r="FV52" s="2">
        <v>589483.80000000005</v>
      </c>
      <c r="FW52" s="2">
        <v>589164.4</v>
      </c>
      <c r="FX52" s="2">
        <v>591347.30000000005</v>
      </c>
      <c r="FY52" s="2">
        <v>593632.6</v>
      </c>
      <c r="FZ52" s="2">
        <v>596720.30000000005</v>
      </c>
      <c r="GA52" s="2">
        <v>600298.30000000005</v>
      </c>
      <c r="GB52" s="2">
        <v>604180</v>
      </c>
      <c r="GC52" s="2">
        <v>601563.30000000005</v>
      </c>
      <c r="GD52" s="2">
        <v>603499.6</v>
      </c>
      <c r="GE52" s="2">
        <v>606894.1</v>
      </c>
      <c r="GF52" s="2">
        <v>608265.19999999995</v>
      </c>
      <c r="GG52" s="2">
        <v>614132.80000000005</v>
      </c>
      <c r="GH52" s="2">
        <v>614948.4</v>
      </c>
      <c r="GI52" s="2">
        <v>620590.19999999995</v>
      </c>
      <c r="GJ52" s="2">
        <v>622087.9</v>
      </c>
      <c r="GK52" s="2">
        <v>621344.1</v>
      </c>
      <c r="GL52" s="2">
        <v>621632.30000000005</v>
      </c>
      <c r="GM52" s="2">
        <v>615272.80000000005</v>
      </c>
      <c r="GN52" s="2">
        <v>539738.5</v>
      </c>
      <c r="GO52" s="2">
        <v>569315.6</v>
      </c>
      <c r="GP52" s="2">
        <v>594558.80000000005</v>
      </c>
      <c r="GQ52" s="2">
        <v>584241.6</v>
      </c>
      <c r="GR52" s="2">
        <v>604412.80000000005</v>
      </c>
      <c r="GS52" s="2">
        <v>614493.69999999995</v>
      </c>
      <c r="GT52" s="2">
        <v>616175.4</v>
      </c>
      <c r="GU52" s="2">
        <v>617268</v>
      </c>
      <c r="GV52" s="2">
        <v>619878.80000000005</v>
      </c>
      <c r="GW52" s="2">
        <v>620906.80000000005</v>
      </c>
      <c r="GX52" s="2">
        <v>624197.9</v>
      </c>
      <c r="GY52" s="2">
        <v>628224.80000000005</v>
      </c>
      <c r="GZ52" s="2">
        <v>630809.5</v>
      </c>
      <c r="HA52" s="3">
        <v>628564.19999999995</v>
      </c>
      <c r="HB52" s="3">
        <v>630612.80000000005</v>
      </c>
      <c r="HC52" s="3">
        <v>638391.4</v>
      </c>
      <c r="HD52" s="3">
        <v>640919.30000000005</v>
      </c>
      <c r="HE52" s="3">
        <v>646929.4</v>
      </c>
      <c r="HF52" s="3">
        <v>646080.4</v>
      </c>
      <c r="HG52" s="3">
        <v>649314.1</v>
      </c>
      <c r="HH52" s="3">
        <v>651120.4</v>
      </c>
      <c r="HI52" s="3">
        <v>653146.6</v>
      </c>
      <c r="HJ52" s="3">
        <v>655401.6</v>
      </c>
      <c r="HK52" s="3">
        <v>657931</v>
      </c>
      <c r="HL52" s="3">
        <v>660364.4</v>
      </c>
      <c r="HM52" s="3">
        <v>662938.80000000005</v>
      </c>
      <c r="HN52" s="3">
        <v>665473.19999999995</v>
      </c>
      <c r="HO52" s="3">
        <v>667995</v>
      </c>
      <c r="HP52" s="3">
        <v>670454.69999999995</v>
      </c>
      <c r="HQ52" s="3">
        <v>672935</v>
      </c>
      <c r="HR52" s="3">
        <v>675409.1</v>
      </c>
      <c r="HS52" s="3">
        <v>677887.6</v>
      </c>
      <c r="HT52" s="3">
        <v>680403.3</v>
      </c>
      <c r="HU52" s="3">
        <v>682909.3</v>
      </c>
      <c r="HV52" s="3">
        <v>685382.8</v>
      </c>
      <c r="HW52" s="3">
        <v>687829.1</v>
      </c>
      <c r="HX52" s="3">
        <v>690238.7</v>
      </c>
      <c r="HY52" s="3">
        <v>692664.1</v>
      </c>
      <c r="HZ52" s="3">
        <v>695095.9</v>
      </c>
      <c r="IA52" s="3">
        <v>697639.4</v>
      </c>
      <c r="IB52" s="3">
        <v>700193.6</v>
      </c>
      <c r="IC52" s="3">
        <v>702818.8</v>
      </c>
      <c r="ID52" s="3">
        <v>705459.19999999995</v>
      </c>
      <c r="IE52" s="3">
        <v>708154.8</v>
      </c>
      <c r="IF52" s="3">
        <v>710866.8</v>
      </c>
      <c r="IG52" s="3">
        <v>713608.9</v>
      </c>
      <c r="IH52" s="3">
        <v>716369.8</v>
      </c>
      <c r="II52" s="3">
        <v>719176.3</v>
      </c>
      <c r="IJ52" s="3">
        <v>722031</v>
      </c>
      <c r="IK52" s="3">
        <v>724878.4</v>
      </c>
      <c r="IL52" s="3">
        <v>727704.4</v>
      </c>
      <c r="IM52" s="3">
        <v>730664.7</v>
      </c>
      <c r="IN52" s="3">
        <v>733518.1</v>
      </c>
      <c r="IO52" s="3">
        <v>736379.2</v>
      </c>
      <c r="IP52" s="3">
        <v>739121.8</v>
      </c>
      <c r="IQ52" s="3">
        <v>741985.6</v>
      </c>
      <c r="IR52" s="3">
        <v>744783.8</v>
      </c>
      <c r="IS52" s="3">
        <v>747576.9</v>
      </c>
      <c r="IT52" s="3">
        <v>750348.9</v>
      </c>
      <c r="IU52" s="3">
        <v>753219.6</v>
      </c>
      <c r="IV52" s="3">
        <v>756100.6</v>
      </c>
      <c r="IW52" s="3">
        <v>758991.1</v>
      </c>
      <c r="IX52" s="3">
        <v>761889.8</v>
      </c>
      <c r="IY52" s="3">
        <v>764865.2</v>
      </c>
      <c r="IZ52" s="3">
        <v>767850.7</v>
      </c>
      <c r="JA52" s="3">
        <v>770850.8</v>
      </c>
      <c r="JB52" s="3">
        <v>773863.4</v>
      </c>
      <c r="JC52" s="3">
        <v>776887.8</v>
      </c>
      <c r="JD52" s="3">
        <v>779926.3</v>
      </c>
      <c r="JE52" s="3">
        <v>782976.6</v>
      </c>
      <c r="JF52" s="3">
        <v>786040.3</v>
      </c>
      <c r="JG52" s="3">
        <v>789182.2</v>
      </c>
      <c r="JH52" s="3">
        <v>792337.5</v>
      </c>
      <c r="JI52" s="3">
        <v>795507.6</v>
      </c>
      <c r="JJ52" s="3">
        <v>798692.8</v>
      </c>
      <c r="JK52" s="3">
        <v>801892.2</v>
      </c>
      <c r="JL52" s="3">
        <v>805104.4</v>
      </c>
      <c r="JM52" s="3">
        <v>808333.3</v>
      </c>
      <c r="JN52" s="3">
        <v>811576.8</v>
      </c>
      <c r="JO52" s="3">
        <v>814834</v>
      </c>
      <c r="JP52" s="3">
        <v>818106.7</v>
      </c>
      <c r="JQ52" s="3">
        <v>821392.4</v>
      </c>
      <c r="JR52" s="3">
        <v>824690.7</v>
      </c>
      <c r="JS52" s="3">
        <v>828073.9</v>
      </c>
      <c r="JT52" s="3">
        <v>831474.3</v>
      </c>
      <c r="JU52" s="3">
        <v>834896.6</v>
      </c>
      <c r="JV52" s="3">
        <v>838335.4</v>
      </c>
      <c r="JW52" s="3">
        <v>841786.7</v>
      </c>
      <c r="JX52" s="3">
        <v>845254.6</v>
      </c>
      <c r="JY52" s="3">
        <v>848666.5</v>
      </c>
      <c r="JZ52" s="3">
        <v>852092.1</v>
      </c>
      <c r="KA52" s="3">
        <v>855529.9</v>
      </c>
      <c r="KB52" s="3">
        <v>858981.5</v>
      </c>
      <c r="KC52" s="3">
        <v>862362.4</v>
      </c>
      <c r="KD52" s="3">
        <v>865753.3</v>
      </c>
      <c r="KE52" s="3">
        <v>869153.4</v>
      </c>
      <c r="KF52" s="3">
        <v>872568.4</v>
      </c>
      <c r="KG52" s="3">
        <v>875833.2</v>
      </c>
      <c r="KH52" s="3">
        <v>879108.5</v>
      </c>
      <c r="KI52" s="3">
        <v>882391.1</v>
      </c>
      <c r="KJ52" s="3">
        <v>885682.4</v>
      </c>
      <c r="KK52" s="3">
        <v>888910.6</v>
      </c>
      <c r="KL52" s="3">
        <v>892143.8</v>
      </c>
      <c r="KM52" s="3">
        <v>895387.1</v>
      </c>
      <c r="KN52" s="3">
        <v>898636.1</v>
      </c>
      <c r="KO52" s="3">
        <v>901891.8</v>
      </c>
      <c r="KP52" s="3">
        <v>905154</v>
      </c>
      <c r="KQ52" s="3">
        <v>908426.3</v>
      </c>
      <c r="KR52" s="3">
        <v>911703.6</v>
      </c>
      <c r="KS52" s="3">
        <v>914936.8</v>
      </c>
      <c r="KT52" s="3">
        <v>918177</v>
      </c>
      <c r="KU52" s="3">
        <v>921425.3</v>
      </c>
      <c r="KV52" s="3">
        <v>924681.4</v>
      </c>
      <c r="KW52" s="3">
        <v>927920.8</v>
      </c>
      <c r="KX52" s="3">
        <v>931168.9</v>
      </c>
      <c r="KY52" s="3">
        <v>934422.1</v>
      </c>
      <c r="KZ52" s="3">
        <v>937683.1</v>
      </c>
      <c r="LA52" s="3">
        <v>940879.2</v>
      </c>
      <c r="LB52" s="3">
        <v>944078.9</v>
      </c>
      <c r="LC52" s="3">
        <v>947285.1</v>
      </c>
      <c r="LD52" s="3">
        <v>950496.8</v>
      </c>
      <c r="LE52" s="3">
        <v>953688.3</v>
      </c>
      <c r="LF52" s="3">
        <v>956885.1</v>
      </c>
      <c r="LG52" s="3">
        <v>960086.2</v>
      </c>
      <c r="LH52" s="3">
        <v>963294.4</v>
      </c>
      <c r="LI52" s="3">
        <v>966469.9</v>
      </c>
      <c r="LJ52" s="3">
        <v>969650.4</v>
      </c>
      <c r="LK52" s="3">
        <v>972836.7</v>
      </c>
      <c r="LL52" s="3">
        <v>976026.9</v>
      </c>
      <c r="LM52" s="3">
        <v>979146.4</v>
      </c>
      <c r="LN52" s="3">
        <v>982268.4</v>
      </c>
      <c r="LO52" s="3">
        <v>985394.6</v>
      </c>
      <c r="LP52" s="3">
        <v>988524.3</v>
      </c>
      <c r="LQ52" s="3">
        <v>991655.3</v>
      </c>
      <c r="LR52" s="3">
        <v>994791.5</v>
      </c>
      <c r="LS52" s="3">
        <v>997929.1</v>
      </c>
      <c r="LT52" s="3">
        <v>1001075</v>
      </c>
      <c r="LU52" s="3">
        <v>1004189</v>
      </c>
      <c r="LV52" s="3">
        <v>1007305</v>
      </c>
      <c r="LW52" s="3">
        <v>1010425</v>
      </c>
      <c r="LX52" s="3">
        <v>1013550</v>
      </c>
      <c r="LY52" s="3">
        <v>1016644</v>
      </c>
      <c r="LZ52" s="3">
        <v>1019742</v>
      </c>
      <c r="MA52" s="3">
        <v>1022841</v>
      </c>
      <c r="MB52" s="3">
        <v>1025945</v>
      </c>
      <c r="MC52" s="3">
        <v>1029049</v>
      </c>
      <c r="MD52" s="3">
        <v>1032157</v>
      </c>
      <c r="ME52" s="3">
        <v>1035268</v>
      </c>
      <c r="MF52" s="3">
        <v>1038381</v>
      </c>
      <c r="MG52" s="3">
        <v>1041522</v>
      </c>
      <c r="MH52" s="3">
        <v>1044666</v>
      </c>
      <c r="MI52" s="3">
        <v>1047815</v>
      </c>
      <c r="MJ52" s="3">
        <v>1050968</v>
      </c>
      <c r="MK52" s="3">
        <v>1054103</v>
      </c>
      <c r="ML52" s="3">
        <v>1057243</v>
      </c>
      <c r="MM52" s="3">
        <v>1060383</v>
      </c>
      <c r="MN52" s="3">
        <v>1063530</v>
      </c>
      <c r="MO52" s="3">
        <v>1066702</v>
      </c>
      <c r="MP52" s="3">
        <v>1069878</v>
      </c>
      <c r="MQ52" s="3">
        <v>1073058</v>
      </c>
      <c r="MR52" s="3">
        <v>1076241</v>
      </c>
      <c r="MS52" s="3">
        <v>1079428</v>
      </c>
      <c r="MT52" s="3">
        <v>1082621</v>
      </c>
      <c r="MU52" t="s">
        <v>457</v>
      </c>
      <c r="MV52" t="b">
        <v>0</v>
      </c>
      <c r="MW52" s="1" t="s">
        <v>376</v>
      </c>
      <c r="MX52" t="s">
        <v>377</v>
      </c>
      <c r="MY52">
        <v>2023</v>
      </c>
      <c r="MZ52">
        <v>2</v>
      </c>
      <c r="NA52" t="s">
        <v>377</v>
      </c>
      <c r="NB52" t="s">
        <v>458</v>
      </c>
      <c r="NC52" t="s">
        <v>377</v>
      </c>
      <c r="ND52" t="s">
        <v>380</v>
      </c>
      <c r="NE52" t="s">
        <v>459</v>
      </c>
      <c r="NF52" s="1" t="s">
        <v>526</v>
      </c>
    </row>
    <row r="53" spans="1:370" x14ac:dyDescent="0.25">
      <c r="A53" t="s">
        <v>382</v>
      </c>
      <c r="B53" t="s">
        <v>456</v>
      </c>
      <c r="C53" s="1" t="s">
        <v>525</v>
      </c>
      <c r="D53" t="s">
        <v>383</v>
      </c>
      <c r="E53" t="s">
        <v>384</v>
      </c>
      <c r="F53" t="s">
        <v>374</v>
      </c>
      <c r="G53" s="2">
        <v>1459.875</v>
      </c>
      <c r="H53" s="2">
        <v>1471.825</v>
      </c>
      <c r="I53" s="2">
        <v>1484.175</v>
      </c>
      <c r="J53" s="2">
        <v>1496.95</v>
      </c>
      <c r="K53" s="2">
        <v>1509.9</v>
      </c>
      <c r="L53" s="2">
        <v>1522.95</v>
      </c>
      <c r="M53" s="2">
        <v>1535.8</v>
      </c>
      <c r="N53" s="2">
        <v>1548.5</v>
      </c>
      <c r="O53" s="2">
        <v>1560.925</v>
      </c>
      <c r="P53" s="2">
        <v>1573.2</v>
      </c>
      <c r="Q53" s="2">
        <v>1585.4</v>
      </c>
      <c r="R53" s="2">
        <v>1597.55</v>
      </c>
      <c r="S53" s="2">
        <v>1609.55</v>
      </c>
      <c r="T53" s="2">
        <v>1621.575</v>
      </c>
      <c r="U53" s="2">
        <v>1633.85</v>
      </c>
      <c r="V53" s="2">
        <v>1646.3</v>
      </c>
      <c r="W53" s="2">
        <v>1659.25</v>
      </c>
      <c r="X53" s="2">
        <v>1672.625</v>
      </c>
      <c r="Y53" s="2">
        <v>1686.3</v>
      </c>
      <c r="Z53" s="2">
        <v>1700.4</v>
      </c>
      <c r="AA53" s="2">
        <v>1714.85</v>
      </c>
      <c r="AB53" s="2">
        <v>1729.55</v>
      </c>
      <c r="AC53" s="2">
        <v>1744.65</v>
      </c>
      <c r="AD53" s="2">
        <v>1760.05</v>
      </c>
      <c r="AE53" s="2">
        <v>1776</v>
      </c>
      <c r="AF53" s="2">
        <v>1791.4749999999999</v>
      </c>
      <c r="AG53" s="2">
        <v>1806.075</v>
      </c>
      <c r="AH53" s="2">
        <v>1819.5250000000001</v>
      </c>
      <c r="AI53" s="2">
        <v>1831.6</v>
      </c>
      <c r="AJ53" s="2">
        <v>1842</v>
      </c>
      <c r="AK53" s="2">
        <v>1850.7750000000001</v>
      </c>
      <c r="AL53" s="2">
        <v>1860.05</v>
      </c>
      <c r="AM53" s="2">
        <v>1866</v>
      </c>
      <c r="AN53" s="2">
        <v>1877.75</v>
      </c>
      <c r="AO53" s="2">
        <v>1890.325</v>
      </c>
      <c r="AP53" s="2">
        <v>1903.7249999999999</v>
      </c>
      <c r="AQ53" s="2">
        <v>1917.7249999999999</v>
      </c>
      <c r="AR53" s="2">
        <v>1932.175</v>
      </c>
      <c r="AS53" s="2">
        <v>1947.0250000000001</v>
      </c>
      <c r="AT53" s="2">
        <v>1962.2249999999999</v>
      </c>
      <c r="AU53" s="2">
        <v>1977.375</v>
      </c>
      <c r="AV53" s="2">
        <v>1992.9</v>
      </c>
      <c r="AW53" s="2">
        <v>2008.85</v>
      </c>
      <c r="AX53" s="2">
        <v>2025.45</v>
      </c>
      <c r="AY53" s="2">
        <v>2042.7</v>
      </c>
      <c r="AZ53" s="2">
        <v>2060.625</v>
      </c>
      <c r="BA53" s="2">
        <v>2078.9499999999998</v>
      </c>
      <c r="BB53" s="2">
        <v>2097.6</v>
      </c>
      <c r="BC53" s="2">
        <v>2116.3249999999998</v>
      </c>
      <c r="BD53" s="2">
        <v>2135.1</v>
      </c>
      <c r="BE53" s="2">
        <v>2153.8249999999998</v>
      </c>
      <c r="BF53" s="2">
        <v>2172.4250000000002</v>
      </c>
      <c r="BG53" s="2">
        <v>2190.8000000000002</v>
      </c>
      <c r="BH53" s="2">
        <v>2208.9749999999999</v>
      </c>
      <c r="BI53" s="2">
        <v>2227.0500000000002</v>
      </c>
      <c r="BJ53" s="2">
        <v>2245.1999999999998</v>
      </c>
      <c r="BK53" s="2">
        <v>2263.3249999999998</v>
      </c>
      <c r="BL53" s="2">
        <v>2281.4</v>
      </c>
      <c r="BM53" s="2">
        <v>2299.4499999999998</v>
      </c>
      <c r="BN53" s="2">
        <v>2317.625</v>
      </c>
      <c r="BO53" s="2">
        <v>2335.7750000000001</v>
      </c>
      <c r="BP53" s="2">
        <v>2354.0749999999998</v>
      </c>
      <c r="BQ53" s="2">
        <v>2372.4250000000002</v>
      </c>
      <c r="BR53" s="2">
        <v>2390.9</v>
      </c>
      <c r="BS53" s="2">
        <v>2409.4250000000002</v>
      </c>
      <c r="BT53" s="2">
        <v>2427.9749999999999</v>
      </c>
      <c r="BU53" s="2">
        <v>2446.5250000000001</v>
      </c>
      <c r="BV53" s="2">
        <v>2465</v>
      </c>
      <c r="BW53" s="2">
        <v>2483.3000000000002</v>
      </c>
      <c r="BX53" s="2">
        <v>2501.3000000000002</v>
      </c>
      <c r="BY53" s="2">
        <v>2518.85</v>
      </c>
      <c r="BZ53" s="2">
        <v>2535.9</v>
      </c>
      <c r="CA53" s="2">
        <v>2552.5749999999998</v>
      </c>
      <c r="CB53" s="2">
        <v>2568.85</v>
      </c>
      <c r="CC53" s="2">
        <v>2584.85</v>
      </c>
      <c r="CD53" s="2">
        <v>2600.85</v>
      </c>
      <c r="CE53" s="2">
        <v>2616.875</v>
      </c>
      <c r="CF53" s="2">
        <v>2633.1</v>
      </c>
      <c r="CG53" s="2">
        <v>2649.65</v>
      </c>
      <c r="CH53" s="2">
        <v>2666.45</v>
      </c>
      <c r="CI53" s="2">
        <v>2683.5</v>
      </c>
      <c r="CJ53" s="2">
        <v>2701</v>
      </c>
      <c r="CK53" s="2">
        <v>2718.8</v>
      </c>
      <c r="CL53" s="2">
        <v>2736.85</v>
      </c>
      <c r="CM53" s="2">
        <v>2755.1750000000002</v>
      </c>
      <c r="CN53" s="2">
        <v>2773.7249999999999</v>
      </c>
      <c r="CO53" s="2">
        <v>2792.6750000000002</v>
      </c>
      <c r="CP53" s="2">
        <v>2811.9749999999999</v>
      </c>
      <c r="CQ53" s="2">
        <v>2831.4749999999999</v>
      </c>
      <c r="CR53" s="2">
        <v>2851.35</v>
      </c>
      <c r="CS53" s="2">
        <v>2871.4749999999999</v>
      </c>
      <c r="CT53" s="2">
        <v>2892.125</v>
      </c>
      <c r="CU53" s="2">
        <v>2913.2249999999999</v>
      </c>
      <c r="CV53" s="2">
        <v>2935.65</v>
      </c>
      <c r="CW53" s="2">
        <v>2959.7</v>
      </c>
      <c r="CX53" s="2">
        <v>2985.3249999999998</v>
      </c>
      <c r="CY53" s="2">
        <v>3012.45</v>
      </c>
      <c r="CZ53" s="2">
        <v>3040.9</v>
      </c>
      <c r="DA53" s="2">
        <v>3070.7249999999999</v>
      </c>
      <c r="DB53" s="2">
        <v>3101.65</v>
      </c>
      <c r="DC53" s="2">
        <v>3133.5</v>
      </c>
      <c r="DD53" s="2">
        <v>3166.35</v>
      </c>
      <c r="DE53" s="2">
        <v>3199.8</v>
      </c>
      <c r="DF53" s="2">
        <v>3233.9</v>
      </c>
      <c r="DG53" s="2">
        <v>3268.7</v>
      </c>
      <c r="DH53" s="2">
        <v>3303.9250000000002</v>
      </c>
      <c r="DI53" s="2">
        <v>3339.625</v>
      </c>
      <c r="DJ53" s="2">
        <v>3375.875</v>
      </c>
      <c r="DK53" s="2">
        <v>3412.5</v>
      </c>
      <c r="DL53" s="2">
        <v>3448.1750000000002</v>
      </c>
      <c r="DM53" s="2">
        <v>3482.375</v>
      </c>
      <c r="DN53" s="2">
        <v>3514.85</v>
      </c>
      <c r="DO53" s="2">
        <v>3545.6</v>
      </c>
      <c r="DP53" s="2">
        <v>3574.625</v>
      </c>
      <c r="DQ53" s="2">
        <v>3601.9250000000002</v>
      </c>
      <c r="DR53" s="2">
        <v>3627.7249999999999</v>
      </c>
      <c r="DS53" s="2">
        <v>3652.1750000000002</v>
      </c>
      <c r="DT53" s="2">
        <v>3675.7249999999999</v>
      </c>
      <c r="DU53" s="2">
        <v>3698.7750000000001</v>
      </c>
      <c r="DV53" s="2">
        <v>3721.55</v>
      </c>
      <c r="DW53" s="2">
        <v>3744.3</v>
      </c>
      <c r="DX53" s="2">
        <v>3767.25</v>
      </c>
      <c r="DY53" s="2">
        <v>3790.25</v>
      </c>
      <c r="DZ53" s="2">
        <v>3813.5749999999998</v>
      </c>
      <c r="EA53" s="2">
        <v>3837.35</v>
      </c>
      <c r="EB53" s="2">
        <v>3861.45</v>
      </c>
      <c r="EC53" s="2">
        <v>3886.0250000000001</v>
      </c>
      <c r="ED53" s="2">
        <v>3910.85</v>
      </c>
      <c r="EE53" s="2">
        <v>3935.1</v>
      </c>
      <c r="EF53" s="2">
        <v>3958.5</v>
      </c>
      <c r="EG53" s="2">
        <v>3981.375</v>
      </c>
      <c r="EH53" s="2">
        <v>4003.55</v>
      </c>
      <c r="EI53" s="2">
        <v>4024.9</v>
      </c>
      <c r="EJ53" s="2">
        <v>4045.65</v>
      </c>
      <c r="EK53" s="2">
        <v>4065.4</v>
      </c>
      <c r="EL53" s="2">
        <v>4084.1</v>
      </c>
      <c r="EM53" s="2">
        <v>4103.2749999999996</v>
      </c>
      <c r="EN53" s="2">
        <v>4123.2</v>
      </c>
      <c r="EO53" s="2">
        <v>4143.8500000000004</v>
      </c>
      <c r="EP53" s="2">
        <v>4164.5749999999998</v>
      </c>
      <c r="EQ53" s="2">
        <v>4185.45</v>
      </c>
      <c r="ER53" s="2">
        <v>4206</v>
      </c>
      <c r="ES53" s="2">
        <v>4225.95</v>
      </c>
      <c r="ET53" s="2">
        <v>4244.9250000000002</v>
      </c>
      <c r="EU53" s="2">
        <v>4262.55</v>
      </c>
      <c r="EV53" s="2">
        <v>4279.125</v>
      </c>
      <c r="EW53" s="2">
        <v>4294.75</v>
      </c>
      <c r="EX53" s="2">
        <v>4309.875</v>
      </c>
      <c r="EY53" s="2">
        <v>4325.0749999999998</v>
      </c>
      <c r="EZ53" s="2">
        <v>4340.55</v>
      </c>
      <c r="FA53" s="2">
        <v>4356.625</v>
      </c>
      <c r="FB53" s="2">
        <v>4373.125</v>
      </c>
      <c r="FC53" s="2">
        <v>4390.125</v>
      </c>
      <c r="FD53" s="2">
        <v>4407.625</v>
      </c>
      <c r="FE53" s="2">
        <v>4425.6499999999996</v>
      </c>
      <c r="FF53" s="2">
        <v>4444.0749999999998</v>
      </c>
      <c r="FG53" s="2">
        <v>4462.875</v>
      </c>
      <c r="FH53" s="2">
        <v>4482.2250000000004</v>
      </c>
      <c r="FI53" s="2">
        <v>4501.95</v>
      </c>
      <c r="FJ53" s="2">
        <v>4522</v>
      </c>
      <c r="FK53" s="2">
        <v>4542.55</v>
      </c>
      <c r="FL53" s="2">
        <v>4563.375</v>
      </c>
      <c r="FM53" s="2">
        <v>4584.3999999999996</v>
      </c>
      <c r="FN53" s="2">
        <v>4605.7250000000004</v>
      </c>
      <c r="FO53" s="2">
        <v>4627.3500000000004</v>
      </c>
      <c r="FP53" s="2">
        <v>4649.2749999999996</v>
      </c>
      <c r="FQ53" s="2">
        <v>4671.7</v>
      </c>
      <c r="FR53" s="2">
        <v>4694.4250000000002</v>
      </c>
      <c r="FS53" s="2">
        <v>4717.45</v>
      </c>
      <c r="FT53" s="2">
        <v>4740.75</v>
      </c>
      <c r="FU53" s="2">
        <v>4764.2</v>
      </c>
      <c r="FV53" s="2">
        <v>4787.75</v>
      </c>
      <c r="FW53" s="2">
        <v>4811.3</v>
      </c>
      <c r="FX53" s="2">
        <v>4834.9250000000002</v>
      </c>
      <c r="FY53" s="2">
        <v>4858.5249999999996</v>
      </c>
      <c r="FZ53" s="2">
        <v>4882.0249999999996</v>
      </c>
      <c r="GA53" s="2">
        <v>4905.55</v>
      </c>
      <c r="GB53" s="2">
        <v>4929.2749999999996</v>
      </c>
      <c r="GC53" s="2">
        <v>4953.625</v>
      </c>
      <c r="GD53" s="2">
        <v>4978.5749999999998</v>
      </c>
      <c r="GE53" s="2">
        <v>5004.125</v>
      </c>
      <c r="GF53" s="2">
        <v>5030.4250000000002</v>
      </c>
      <c r="GG53" s="2">
        <v>5057.0249999999996</v>
      </c>
      <c r="GH53" s="2">
        <v>5083.7749999999996</v>
      </c>
      <c r="GI53" s="2">
        <v>5110.75</v>
      </c>
      <c r="GJ53" s="2">
        <v>5137.7749999999996</v>
      </c>
      <c r="GK53" s="2">
        <v>5164.75</v>
      </c>
      <c r="GL53" s="2">
        <v>5191</v>
      </c>
      <c r="GM53" s="2">
        <v>5216.8249999999998</v>
      </c>
      <c r="GN53" s="2">
        <v>5242.6000000000004</v>
      </c>
      <c r="GO53" s="2">
        <v>5267.95</v>
      </c>
      <c r="GP53" s="2">
        <v>5293.5749999999998</v>
      </c>
      <c r="GQ53" s="2">
        <v>5319.4250000000002</v>
      </c>
      <c r="GR53" s="2">
        <v>5345.7250000000004</v>
      </c>
      <c r="GS53" s="2">
        <v>5373.25</v>
      </c>
      <c r="GT53" s="2">
        <v>5401.5249999999996</v>
      </c>
      <c r="GU53" s="2">
        <v>5430.5</v>
      </c>
      <c r="GV53" s="2">
        <v>5460.15</v>
      </c>
      <c r="GW53" s="2">
        <v>5490.375</v>
      </c>
      <c r="GX53" s="2">
        <v>5521.2250000000004</v>
      </c>
      <c r="GY53" s="2">
        <v>5552.05</v>
      </c>
      <c r="GZ53" s="2">
        <v>5583.2749999999996</v>
      </c>
      <c r="HA53" s="2">
        <v>5614.9250000000002</v>
      </c>
      <c r="HB53" s="2">
        <v>5647.05</v>
      </c>
      <c r="HC53" s="2">
        <v>5679.5249999999996</v>
      </c>
      <c r="HD53" s="2">
        <v>5712.4750000000004</v>
      </c>
      <c r="HE53" s="2">
        <v>5745.3249999999998</v>
      </c>
      <c r="HF53" s="2">
        <v>5778.3249999999998</v>
      </c>
      <c r="HG53" s="3">
        <v>5817.2219999999998</v>
      </c>
      <c r="HH53" s="3">
        <v>5857.308</v>
      </c>
      <c r="HI53" s="3">
        <v>5897.3980000000001</v>
      </c>
      <c r="HJ53" s="3">
        <v>5937.3590000000004</v>
      </c>
      <c r="HK53" s="3">
        <v>5977.4129999999996</v>
      </c>
      <c r="HL53" s="3">
        <v>6017.3879999999999</v>
      </c>
      <c r="HM53" s="3">
        <v>6057.2709999999997</v>
      </c>
      <c r="HN53" s="3">
        <v>6096.9750000000004</v>
      </c>
      <c r="HO53" s="3">
        <v>6136.4579999999996</v>
      </c>
      <c r="HP53" s="3">
        <v>6175.942</v>
      </c>
      <c r="HQ53" s="3">
        <v>6215.3029999999999</v>
      </c>
      <c r="HR53" s="3">
        <v>6254.5950000000003</v>
      </c>
      <c r="HS53" s="3">
        <v>6293.6409999999996</v>
      </c>
      <c r="HT53" s="3">
        <v>6332.5129999999999</v>
      </c>
      <c r="HU53" s="3">
        <v>6371.2179999999998</v>
      </c>
      <c r="HV53" s="3">
        <v>6409.7110000000002</v>
      </c>
      <c r="HW53" s="3">
        <v>6447.7129999999997</v>
      </c>
      <c r="HX53" s="3">
        <v>6484.91</v>
      </c>
      <c r="HY53" s="3">
        <v>6521.1279999999997</v>
      </c>
      <c r="HZ53" s="3">
        <v>6556.57</v>
      </c>
      <c r="IA53" s="3">
        <v>6590.8810000000003</v>
      </c>
      <c r="IB53" s="3">
        <v>6624.4930000000004</v>
      </c>
      <c r="IC53" s="3">
        <v>6658.1850000000004</v>
      </c>
      <c r="ID53" s="3">
        <v>6691.607</v>
      </c>
      <c r="IE53" s="3">
        <v>6724.549</v>
      </c>
      <c r="IF53" s="3">
        <v>6757.6040000000003</v>
      </c>
      <c r="IG53" s="3">
        <v>6790.7929999999997</v>
      </c>
      <c r="IH53" s="3">
        <v>6823.7449999999999</v>
      </c>
      <c r="II53" s="3">
        <v>6856.5450000000001</v>
      </c>
      <c r="IJ53" s="3">
        <v>6889.45</v>
      </c>
      <c r="IK53" s="3">
        <v>6921.9369999999999</v>
      </c>
      <c r="IL53" s="3">
        <v>6954.6779999999999</v>
      </c>
      <c r="IM53" s="3">
        <v>6987.3329999999996</v>
      </c>
      <c r="IN53" s="3">
        <v>7020.0330000000004</v>
      </c>
      <c r="IO53" s="3">
        <v>7052.7150000000001</v>
      </c>
      <c r="IP53" s="3">
        <v>7085.5630000000001</v>
      </c>
      <c r="IQ53" s="3">
        <v>7118.2169999999996</v>
      </c>
      <c r="IR53" s="3">
        <v>7150.9690000000001</v>
      </c>
      <c r="IS53" s="3">
        <v>7183.7129999999997</v>
      </c>
      <c r="IT53" s="3">
        <v>7216.3559999999998</v>
      </c>
      <c r="IU53" s="3">
        <v>7249.1940000000004</v>
      </c>
      <c r="IV53" s="3">
        <v>7282.049</v>
      </c>
      <c r="IW53" s="3">
        <v>7314.8940000000002</v>
      </c>
      <c r="IX53" s="3">
        <v>7348.0240000000003</v>
      </c>
      <c r="IY53" s="3">
        <v>7381.0339999999997</v>
      </c>
      <c r="IZ53" s="3">
        <v>7414.1840000000002</v>
      </c>
      <c r="JA53" s="3">
        <v>7447.259</v>
      </c>
      <c r="JB53" s="3">
        <v>7480.442</v>
      </c>
      <c r="JC53" s="3">
        <v>7513.59</v>
      </c>
      <c r="JD53" s="3">
        <v>7546.7809999999999</v>
      </c>
      <c r="JE53" s="3">
        <v>7580.2470000000003</v>
      </c>
      <c r="JF53" s="3">
        <v>7613.4750000000004</v>
      </c>
      <c r="JG53" s="3">
        <v>7646.8289999999997</v>
      </c>
      <c r="JH53" s="3">
        <v>7680.1580000000004</v>
      </c>
      <c r="JI53" s="3">
        <v>7713.7079999999996</v>
      </c>
      <c r="JJ53" s="3">
        <v>7747.268</v>
      </c>
      <c r="JK53" s="3">
        <v>7780.9570000000003</v>
      </c>
      <c r="JL53" s="3">
        <v>7814.7290000000003</v>
      </c>
      <c r="JM53" s="3">
        <v>7848.28</v>
      </c>
      <c r="JN53" s="3">
        <v>7882.2139999999999</v>
      </c>
      <c r="JO53" s="3">
        <v>7916.1289999999999</v>
      </c>
      <c r="JP53" s="3">
        <v>7950.0379999999996</v>
      </c>
      <c r="JQ53" s="3">
        <v>7983.9930000000004</v>
      </c>
      <c r="JR53" s="3">
        <v>8018.08</v>
      </c>
      <c r="JS53" s="3">
        <v>8052.259</v>
      </c>
      <c r="JT53" s="3">
        <v>8086.4859999999999</v>
      </c>
      <c r="JU53" s="3">
        <v>8120.8609999999999</v>
      </c>
      <c r="JV53" s="3">
        <v>8155.2820000000002</v>
      </c>
      <c r="JW53" s="3">
        <v>8189.7730000000001</v>
      </c>
      <c r="JX53" s="3">
        <v>8224.3590000000004</v>
      </c>
      <c r="JY53" s="3">
        <v>8258.99</v>
      </c>
      <c r="JZ53" s="3">
        <v>8293.7279999999992</v>
      </c>
      <c r="KA53" s="3">
        <v>8328.69</v>
      </c>
      <c r="KB53" s="3">
        <v>8363.7759999999998</v>
      </c>
      <c r="KC53" s="3">
        <v>8398.8340000000007</v>
      </c>
      <c r="KD53" s="3">
        <v>8434.1239999999998</v>
      </c>
      <c r="KE53" s="3">
        <v>8469.4860000000008</v>
      </c>
      <c r="KF53" s="3">
        <v>8504.8799999999992</v>
      </c>
      <c r="KG53" s="3">
        <v>8540.3439999999991</v>
      </c>
      <c r="KH53" s="3">
        <v>8575.9840000000004</v>
      </c>
      <c r="KI53" s="3">
        <v>8611.5310000000009</v>
      </c>
      <c r="KJ53" s="3">
        <v>8647.2309999999998</v>
      </c>
      <c r="KK53" s="3">
        <v>8682.9179999999997</v>
      </c>
      <c r="KL53" s="3">
        <v>8718.7569999999996</v>
      </c>
      <c r="KM53" s="3">
        <v>8754.7250000000004</v>
      </c>
      <c r="KN53" s="3">
        <v>8790.6620000000003</v>
      </c>
      <c r="KO53" s="3">
        <v>8826.6939999999995</v>
      </c>
      <c r="KP53" s="3">
        <v>8862.9359999999997</v>
      </c>
      <c r="KQ53" s="3">
        <v>8899.1620000000003</v>
      </c>
      <c r="KR53" s="3">
        <v>8935.4050000000007</v>
      </c>
      <c r="KS53" s="3">
        <v>8971.7970000000005</v>
      </c>
      <c r="KT53" s="3">
        <v>9008.232</v>
      </c>
      <c r="KU53" s="3">
        <v>9044.7440000000006</v>
      </c>
      <c r="KV53" s="3">
        <v>9081.4889999999996</v>
      </c>
      <c r="KW53" s="3">
        <v>9118.0130000000008</v>
      </c>
      <c r="KX53" s="3">
        <v>9154.9709999999995</v>
      </c>
      <c r="KY53" s="3">
        <v>9191.8459999999995</v>
      </c>
      <c r="KZ53" s="3">
        <v>9228.5609999999997</v>
      </c>
      <c r="LA53" s="3">
        <v>9265.5640000000003</v>
      </c>
      <c r="LB53" s="3">
        <v>9302.5319999999992</v>
      </c>
      <c r="LC53" s="3">
        <v>9339.8320000000003</v>
      </c>
      <c r="LD53" s="3">
        <v>9377.0550000000003</v>
      </c>
      <c r="LE53" s="3">
        <v>9414.2379999999994</v>
      </c>
      <c r="LF53" s="3">
        <v>9451.7080000000005</v>
      </c>
      <c r="LG53" s="3">
        <v>9489.2170000000006</v>
      </c>
      <c r="LH53" s="3">
        <v>9526.866</v>
      </c>
      <c r="LI53" s="3">
        <v>9564.6460000000006</v>
      </c>
      <c r="LJ53" s="3">
        <v>9602.5380000000005</v>
      </c>
      <c r="LK53" s="3">
        <v>9640.6460000000006</v>
      </c>
      <c r="LL53" s="3">
        <v>9678.7929999999997</v>
      </c>
      <c r="LM53" s="3">
        <v>9717.1020000000008</v>
      </c>
      <c r="LN53" s="3">
        <v>9755.5419999999995</v>
      </c>
      <c r="LO53" s="3">
        <v>9794.098</v>
      </c>
      <c r="LP53" s="3">
        <v>9832.7870000000003</v>
      </c>
      <c r="LQ53" s="3">
        <v>9871.6579999999994</v>
      </c>
      <c r="LR53" s="3">
        <v>9910.6450000000004</v>
      </c>
      <c r="LS53" s="3">
        <v>9949.7369999999992</v>
      </c>
      <c r="LT53" s="3">
        <v>9988.8979999999992</v>
      </c>
      <c r="LU53" s="3">
        <v>10028.290000000001</v>
      </c>
      <c r="LV53" s="3">
        <v>10067.790000000001</v>
      </c>
      <c r="LW53" s="3">
        <v>10107.41</v>
      </c>
      <c r="LX53" s="3">
        <v>10147.200000000001</v>
      </c>
      <c r="LY53" s="3">
        <v>10187.129999999999</v>
      </c>
      <c r="LZ53" s="3">
        <v>10227.07</v>
      </c>
      <c r="MA53" s="3">
        <v>10267.299999999999</v>
      </c>
      <c r="MB53" s="3">
        <v>10307.52</v>
      </c>
      <c r="MC53" s="3">
        <v>10348</v>
      </c>
      <c r="MD53" s="3">
        <v>10388.620000000001</v>
      </c>
      <c r="ME53" s="3">
        <v>10429.299999999999</v>
      </c>
      <c r="MF53" s="3">
        <v>10470.16</v>
      </c>
      <c r="MG53" s="3">
        <v>10511.24</v>
      </c>
      <c r="MH53" s="3">
        <v>10552.42</v>
      </c>
      <c r="MI53" s="3">
        <v>10593.79</v>
      </c>
      <c r="MJ53" s="3">
        <v>10635.27</v>
      </c>
      <c r="MK53" s="3">
        <v>10676.94</v>
      </c>
      <c r="ML53" s="3">
        <v>10718.7</v>
      </c>
      <c r="MM53" s="3">
        <v>10760.69</v>
      </c>
      <c r="MN53" s="3">
        <v>10802.79</v>
      </c>
      <c r="MO53" s="3">
        <v>10844.99</v>
      </c>
      <c r="MP53" s="3">
        <v>10887.47</v>
      </c>
      <c r="MQ53" s="3">
        <v>10929.98</v>
      </c>
      <c r="MR53" s="3">
        <v>10972.7</v>
      </c>
      <c r="MS53" s="3">
        <v>11015.58</v>
      </c>
      <c r="MT53" s="3">
        <v>11058.55</v>
      </c>
      <c r="MU53" t="s">
        <v>460</v>
      </c>
      <c r="MV53" t="b">
        <v>1</v>
      </c>
      <c r="MW53" s="1" t="s">
        <v>386</v>
      </c>
      <c r="MX53" t="s">
        <v>377</v>
      </c>
      <c r="MY53">
        <v>2024</v>
      </c>
      <c r="MZ53">
        <v>4</v>
      </c>
      <c r="NA53" t="s">
        <v>377</v>
      </c>
      <c r="NB53" s="1" t="s">
        <v>461</v>
      </c>
      <c r="NC53" s="1" t="s">
        <v>462</v>
      </c>
      <c r="ND53" t="s">
        <v>389</v>
      </c>
      <c r="NE53" t="s">
        <v>459</v>
      </c>
      <c r="NF53" s="1" t="s">
        <v>526</v>
      </c>
    </row>
    <row r="54" spans="1:370" x14ac:dyDescent="0.25">
      <c r="A54" t="s">
        <v>370</v>
      </c>
      <c r="B54" t="s">
        <v>463</v>
      </c>
      <c r="C54" s="1" t="s">
        <v>525</v>
      </c>
      <c r="D54" t="s">
        <v>464</v>
      </c>
      <c r="E54" t="s">
        <v>465</v>
      </c>
      <c r="F54" t="s">
        <v>374</v>
      </c>
      <c r="G54" s="2">
        <v>24868.799999999999</v>
      </c>
      <c r="H54" s="2">
        <v>24915.84</v>
      </c>
      <c r="I54" s="2">
        <v>24863.040000000001</v>
      </c>
      <c r="J54" s="2">
        <v>24851.52</v>
      </c>
      <c r="K54" s="2">
        <v>24870.720000000001</v>
      </c>
      <c r="L54" s="2">
        <v>24901.439999999999</v>
      </c>
      <c r="M54" s="2">
        <v>24983.040000000001</v>
      </c>
      <c r="N54" s="2">
        <v>24999.360000000001</v>
      </c>
      <c r="O54" s="2">
        <v>24931.95</v>
      </c>
      <c r="P54" s="2">
        <v>24933.439999999999</v>
      </c>
      <c r="Q54" s="2">
        <v>24936.61</v>
      </c>
      <c r="R54" s="2">
        <v>24926.22</v>
      </c>
      <c r="S54" s="2">
        <v>24878.6</v>
      </c>
      <c r="T54" s="2">
        <v>24856.21</v>
      </c>
      <c r="U54" s="2">
        <v>24835.7</v>
      </c>
      <c r="V54" s="2">
        <v>24830.34</v>
      </c>
      <c r="W54" s="2">
        <v>24822.09</v>
      </c>
      <c r="X54" s="2">
        <v>24810.03</v>
      </c>
      <c r="Y54" s="2">
        <v>24802.79</v>
      </c>
      <c r="Z54" s="2">
        <v>24768.06</v>
      </c>
      <c r="AA54" s="2">
        <v>24729.5</v>
      </c>
      <c r="AB54" s="2">
        <v>24699.32</v>
      </c>
      <c r="AC54" s="2">
        <v>24680.26</v>
      </c>
      <c r="AD54" s="2">
        <v>24705.84</v>
      </c>
      <c r="AE54" s="2">
        <v>24702.22</v>
      </c>
      <c r="AF54" s="2">
        <v>24677.96</v>
      </c>
      <c r="AG54" s="2">
        <v>24712.89</v>
      </c>
      <c r="AH54" s="2">
        <v>24744.68</v>
      </c>
      <c r="AI54" s="2">
        <v>24743.78</v>
      </c>
      <c r="AJ54" s="2">
        <v>24765.69</v>
      </c>
      <c r="AK54" s="2">
        <v>24771.64</v>
      </c>
      <c r="AL54" s="2">
        <v>24781.01</v>
      </c>
      <c r="AM54" s="2">
        <v>24763.56</v>
      </c>
      <c r="AN54" s="2">
        <v>24726.78</v>
      </c>
      <c r="AO54" s="2">
        <v>24632.53</v>
      </c>
      <c r="AP54" s="2">
        <v>24515.73</v>
      </c>
      <c r="AQ54" s="2">
        <v>24419.16</v>
      </c>
      <c r="AR54" s="2">
        <v>24342.41</v>
      </c>
      <c r="AS54" s="2">
        <v>24252.19</v>
      </c>
      <c r="AT54" s="2">
        <v>24177.07</v>
      </c>
      <c r="AU54" s="2">
        <v>24117.35</v>
      </c>
      <c r="AV54" s="2">
        <v>24159.88</v>
      </c>
      <c r="AW54" s="2">
        <v>24360.79</v>
      </c>
      <c r="AX54" s="2">
        <v>24580.71</v>
      </c>
      <c r="AY54" s="2">
        <v>24768.04</v>
      </c>
      <c r="AZ54" s="2">
        <v>24896.55</v>
      </c>
      <c r="BA54" s="2">
        <v>24953.56</v>
      </c>
      <c r="BB54" s="2">
        <v>25025.06</v>
      </c>
      <c r="BC54" s="2">
        <v>25063.97</v>
      </c>
      <c r="BD54" s="2">
        <v>25088.41</v>
      </c>
      <c r="BE54" s="2">
        <v>25124.61</v>
      </c>
      <c r="BF54" s="2">
        <v>25154.47</v>
      </c>
      <c r="BG54" s="2">
        <v>25177.1</v>
      </c>
      <c r="BH54" s="2">
        <v>25207.87</v>
      </c>
      <c r="BI54" s="2">
        <v>25292.04</v>
      </c>
      <c r="BJ54" s="2">
        <v>25345.43</v>
      </c>
      <c r="BK54" s="2">
        <v>25374.39</v>
      </c>
      <c r="BL54" s="2">
        <v>25458.55</v>
      </c>
      <c r="BM54" s="2">
        <v>25548.15</v>
      </c>
      <c r="BN54" s="2">
        <v>25625.98</v>
      </c>
      <c r="BO54" s="2">
        <v>25709.24</v>
      </c>
      <c r="BP54" s="2">
        <v>25756.3</v>
      </c>
      <c r="BQ54" s="2">
        <v>25833.22</v>
      </c>
      <c r="BR54" s="2">
        <v>25926.44</v>
      </c>
      <c r="BS54" s="2">
        <v>26035.95</v>
      </c>
      <c r="BT54" s="2">
        <v>26075.77</v>
      </c>
      <c r="BU54" s="2">
        <v>26100.2</v>
      </c>
      <c r="BV54" s="2">
        <v>26155.4</v>
      </c>
      <c r="BW54" s="2">
        <v>26158.12</v>
      </c>
      <c r="BX54" s="2">
        <v>26187.98</v>
      </c>
      <c r="BY54" s="2">
        <v>26198.85</v>
      </c>
      <c r="BZ54" s="2">
        <v>26161.74</v>
      </c>
      <c r="CA54" s="2">
        <v>26096.58</v>
      </c>
      <c r="CB54" s="2">
        <v>26034.13</v>
      </c>
      <c r="CC54" s="2">
        <v>25927.35</v>
      </c>
      <c r="CD54" s="2">
        <v>25807.88</v>
      </c>
      <c r="CE54" s="2">
        <v>25767.16</v>
      </c>
      <c r="CF54" s="2">
        <v>25685.71</v>
      </c>
      <c r="CG54" s="2">
        <v>25633.22</v>
      </c>
      <c r="CH54" s="2">
        <v>25582.54</v>
      </c>
      <c r="CI54" s="2">
        <v>25598.83</v>
      </c>
      <c r="CJ54" s="2">
        <v>25542.720000000001</v>
      </c>
      <c r="CK54" s="2">
        <v>25554.639999999999</v>
      </c>
      <c r="CL54" s="2">
        <v>25588.28</v>
      </c>
      <c r="CM54" s="2">
        <v>25618.31</v>
      </c>
      <c r="CN54" s="2">
        <v>25621.98</v>
      </c>
      <c r="CO54" s="2">
        <v>25660.18</v>
      </c>
      <c r="CP54" s="2">
        <v>25618.23</v>
      </c>
      <c r="CQ54" s="2">
        <v>25688.3</v>
      </c>
      <c r="CR54" s="2">
        <v>25760.29</v>
      </c>
      <c r="CS54" s="2">
        <v>25865.29</v>
      </c>
      <c r="CT54" s="2">
        <v>25926.53</v>
      </c>
      <c r="CU54" s="2">
        <v>25951.1</v>
      </c>
      <c r="CV54" s="2">
        <v>26052.73</v>
      </c>
      <c r="CW54" s="2">
        <v>26107.59</v>
      </c>
      <c r="CX54" s="2">
        <v>26238.12</v>
      </c>
      <c r="CY54" s="2">
        <v>26331.05</v>
      </c>
      <c r="CZ54" s="2">
        <v>26479.759999999998</v>
      </c>
      <c r="DA54" s="2">
        <v>26497.87</v>
      </c>
      <c r="DB54" s="2">
        <v>26533.5</v>
      </c>
      <c r="DC54" s="2">
        <v>26581.17</v>
      </c>
      <c r="DD54" s="2">
        <v>26652.18</v>
      </c>
      <c r="DE54" s="2">
        <v>26816.94</v>
      </c>
      <c r="DF54" s="2">
        <v>26967.14</v>
      </c>
      <c r="DG54" s="2">
        <v>27115.86</v>
      </c>
      <c r="DH54" s="2">
        <v>27165.4</v>
      </c>
      <c r="DI54" s="2">
        <v>27271.56</v>
      </c>
      <c r="DJ54" s="2">
        <v>27381.66</v>
      </c>
      <c r="DK54" s="2">
        <v>27446.58</v>
      </c>
      <c r="DL54" s="2">
        <v>27497.38</v>
      </c>
      <c r="DM54" s="2">
        <v>27560.54</v>
      </c>
      <c r="DN54" s="2">
        <v>27557.41</v>
      </c>
      <c r="DO54" s="2">
        <v>27619.7</v>
      </c>
      <c r="DP54" s="2">
        <v>27716.25</v>
      </c>
      <c r="DQ54" s="2">
        <v>27741.9</v>
      </c>
      <c r="DR54" s="2">
        <v>27856.85</v>
      </c>
      <c r="DS54" s="2">
        <v>27846.400000000001</v>
      </c>
      <c r="DT54" s="2">
        <v>27980.35</v>
      </c>
      <c r="DU54" s="2">
        <v>28025.95</v>
      </c>
      <c r="DV54" s="2">
        <v>28144.7</v>
      </c>
      <c r="DW54" s="2">
        <v>28148.5</v>
      </c>
      <c r="DX54" s="2">
        <v>28208.35</v>
      </c>
      <c r="DY54" s="2">
        <v>28270.1</v>
      </c>
      <c r="DZ54" s="2">
        <v>28272.95</v>
      </c>
      <c r="EA54" s="2">
        <v>28398.35</v>
      </c>
      <c r="EB54" s="2">
        <v>28411.65</v>
      </c>
      <c r="EC54" s="2">
        <v>28423.05</v>
      </c>
      <c r="ED54" s="2">
        <v>28591.200000000001</v>
      </c>
      <c r="EE54" s="2">
        <v>28694.75</v>
      </c>
      <c r="EF54" s="2">
        <v>28727.05</v>
      </c>
      <c r="EG54" s="2">
        <v>28846.75</v>
      </c>
      <c r="EH54" s="2">
        <v>28924.65</v>
      </c>
      <c r="EI54" s="2">
        <v>29119.4</v>
      </c>
      <c r="EJ54" s="2">
        <v>29251.45</v>
      </c>
      <c r="EK54" s="2">
        <v>29332.2</v>
      </c>
      <c r="EL54" s="2">
        <v>29369.25</v>
      </c>
      <c r="EM54" s="2">
        <v>29353.1</v>
      </c>
      <c r="EN54" s="2">
        <v>29431</v>
      </c>
      <c r="EO54" s="2">
        <v>29516.5</v>
      </c>
      <c r="EP54" s="2">
        <v>29624.799999999999</v>
      </c>
      <c r="EQ54" s="2">
        <v>29740.7</v>
      </c>
      <c r="ER54" s="2">
        <v>29831.9</v>
      </c>
      <c r="ES54" s="2">
        <v>29849</v>
      </c>
      <c r="ET54" s="2">
        <v>29954.45</v>
      </c>
      <c r="EU54" s="2">
        <v>30020.95</v>
      </c>
      <c r="EV54" s="2">
        <v>29958.25</v>
      </c>
      <c r="EW54" s="2">
        <v>29966.799999999999</v>
      </c>
      <c r="EX54" s="2">
        <v>29977.25</v>
      </c>
      <c r="EY54" s="2">
        <v>29946.28</v>
      </c>
      <c r="EZ54" s="2">
        <v>30064.32</v>
      </c>
      <c r="FA54" s="2">
        <v>30214.47</v>
      </c>
      <c r="FB54" s="2">
        <v>30172</v>
      </c>
      <c r="FC54" s="2">
        <v>30247.99</v>
      </c>
      <c r="FD54" s="2">
        <v>30291.69</v>
      </c>
      <c r="FE54" s="2">
        <v>30251.91</v>
      </c>
      <c r="FF54" s="2">
        <v>30341.88</v>
      </c>
      <c r="FG54" s="2">
        <v>30401.54</v>
      </c>
      <c r="FH54" s="2">
        <v>30554.01</v>
      </c>
      <c r="FI54" s="2">
        <v>30611.78</v>
      </c>
      <c r="FJ54" s="2">
        <v>30757.61</v>
      </c>
      <c r="FK54" s="2">
        <v>30705.53</v>
      </c>
      <c r="FL54" s="2">
        <v>30782.23</v>
      </c>
      <c r="FM54" s="2">
        <v>30915.759999999998</v>
      </c>
      <c r="FN54" s="2">
        <v>30974.48</v>
      </c>
      <c r="FO54" s="2">
        <v>31068.23</v>
      </c>
      <c r="FP54" s="2">
        <v>31091.9</v>
      </c>
      <c r="FQ54" s="2">
        <v>31135.8</v>
      </c>
      <c r="FR54" s="2">
        <v>31168.34</v>
      </c>
      <c r="FS54" s="2">
        <v>31358.76</v>
      </c>
      <c r="FT54" s="2">
        <v>31367.1</v>
      </c>
      <c r="FU54" s="2">
        <v>31511.93</v>
      </c>
      <c r="FV54" s="2">
        <v>31658.79</v>
      </c>
      <c r="FW54" s="2">
        <v>31707.79</v>
      </c>
      <c r="FX54" s="2">
        <v>31852.02</v>
      </c>
      <c r="FY54" s="2">
        <v>31905.89</v>
      </c>
      <c r="FZ54" s="2">
        <v>31926.45</v>
      </c>
      <c r="GA54" s="2">
        <v>31987.06</v>
      </c>
      <c r="GB54" s="2">
        <v>32079.200000000001</v>
      </c>
      <c r="GC54" s="2">
        <v>32038.75</v>
      </c>
      <c r="GD54" s="2">
        <v>32172.99</v>
      </c>
      <c r="GE54" s="2">
        <v>32326.48</v>
      </c>
      <c r="GF54" s="2">
        <v>32330.01</v>
      </c>
      <c r="GG54" s="2">
        <v>32396.79</v>
      </c>
      <c r="GH54" s="2">
        <v>32557.35</v>
      </c>
      <c r="GI54" s="2">
        <v>32603.17</v>
      </c>
      <c r="GJ54" s="2">
        <v>32821.269999999997</v>
      </c>
      <c r="GK54" s="2">
        <v>32757.1</v>
      </c>
      <c r="GL54" s="2">
        <v>32880.550000000003</v>
      </c>
      <c r="GM54" s="2">
        <v>32921.72</v>
      </c>
      <c r="GN54" s="2">
        <v>32577.98</v>
      </c>
      <c r="GO54" s="2">
        <v>32596.17</v>
      </c>
      <c r="GP54" s="2">
        <v>32612.45</v>
      </c>
      <c r="GQ54" s="2">
        <v>32531.06</v>
      </c>
      <c r="GR54" s="2">
        <v>32612.240000000002</v>
      </c>
      <c r="GS54" s="2">
        <v>32792.199999999997</v>
      </c>
      <c r="GT54" s="2">
        <v>32758.48</v>
      </c>
      <c r="GU54" s="2">
        <v>32676.97</v>
      </c>
      <c r="GV54" s="2">
        <v>32896.58</v>
      </c>
      <c r="GW54" s="2">
        <v>32780.54</v>
      </c>
      <c r="GX54" s="2">
        <v>33055.769999999997</v>
      </c>
      <c r="GY54" s="2">
        <v>33283.050000000003</v>
      </c>
      <c r="GZ54" s="2">
        <v>33398.129999999997</v>
      </c>
      <c r="HA54" s="2">
        <v>33331</v>
      </c>
      <c r="HB54" s="2">
        <v>33297.440000000002</v>
      </c>
      <c r="HC54" s="3">
        <v>33412.519999999997</v>
      </c>
      <c r="HD54" s="3">
        <v>33527.599999999999</v>
      </c>
      <c r="HE54" s="3">
        <v>33812.42</v>
      </c>
      <c r="HF54" s="3">
        <v>33961.07</v>
      </c>
      <c r="HG54" s="3">
        <v>33914.54</v>
      </c>
      <c r="HH54" s="3">
        <v>33973.15</v>
      </c>
      <c r="HI54" s="3">
        <v>34048.160000000003</v>
      </c>
      <c r="HJ54" s="3">
        <v>34138.449999999997</v>
      </c>
      <c r="HK54" s="3">
        <v>34248.089999999997</v>
      </c>
      <c r="HL54" s="3">
        <v>34347.839999999997</v>
      </c>
      <c r="HM54" s="3">
        <v>34456.43</v>
      </c>
      <c r="HN54" s="3">
        <v>34560.17</v>
      </c>
      <c r="HO54" s="3">
        <v>34656.94</v>
      </c>
      <c r="HP54" s="3">
        <v>34747.94</v>
      </c>
      <c r="HQ54" s="3">
        <v>34840</v>
      </c>
      <c r="HR54" s="3">
        <v>34930.589999999997</v>
      </c>
      <c r="HS54" s="3">
        <v>35016.17</v>
      </c>
      <c r="HT54" s="3">
        <v>35103.699999999997</v>
      </c>
      <c r="HU54" s="3">
        <v>35189.71</v>
      </c>
      <c r="HV54" s="3">
        <v>35272.410000000003</v>
      </c>
      <c r="HW54" s="3">
        <v>35350</v>
      </c>
      <c r="HX54" s="3">
        <v>35424.239999999998</v>
      </c>
      <c r="HY54" s="3">
        <v>35496.86</v>
      </c>
      <c r="HZ54" s="3">
        <v>35569.629999999997</v>
      </c>
      <c r="IA54" s="3">
        <v>35646.11</v>
      </c>
      <c r="IB54" s="3">
        <v>35722.74</v>
      </c>
      <c r="IC54" s="3">
        <v>35799.550000000003</v>
      </c>
      <c r="ID54" s="3">
        <v>35876.519999999997</v>
      </c>
      <c r="IE54" s="3">
        <v>35951.86</v>
      </c>
      <c r="IF54" s="3">
        <v>36027.360000000001</v>
      </c>
      <c r="IG54" s="3">
        <v>36099.410000000003</v>
      </c>
      <c r="IH54" s="3">
        <v>36171.61</v>
      </c>
      <c r="II54" s="3">
        <v>36243.96</v>
      </c>
      <c r="IJ54" s="3">
        <v>36316.44</v>
      </c>
      <c r="IK54" s="3">
        <v>36387.25</v>
      </c>
      <c r="IL54" s="3">
        <v>36452.75</v>
      </c>
      <c r="IM54" s="3">
        <v>36520.97</v>
      </c>
      <c r="IN54" s="3">
        <v>36580.07</v>
      </c>
      <c r="IO54" s="3">
        <v>36638.83</v>
      </c>
      <c r="IP54" s="3">
        <v>36687.89</v>
      </c>
      <c r="IQ54" s="3">
        <v>36740.559999999998</v>
      </c>
      <c r="IR54" s="3">
        <v>36787.620000000003</v>
      </c>
      <c r="IS54" s="3">
        <v>36833.629999999997</v>
      </c>
      <c r="IT54" s="3">
        <v>36877.269999999997</v>
      </c>
      <c r="IU54" s="3">
        <v>36923.019999999997</v>
      </c>
      <c r="IV54" s="3">
        <v>36968.769999999997</v>
      </c>
      <c r="IW54" s="3">
        <v>37014.53</v>
      </c>
      <c r="IX54" s="3">
        <v>37060.28</v>
      </c>
      <c r="IY54" s="3">
        <v>37106.019999999997</v>
      </c>
      <c r="IZ54" s="3">
        <v>37151.78</v>
      </c>
      <c r="JA54" s="3">
        <v>37197.53</v>
      </c>
      <c r="JB54" s="3">
        <v>37243.29</v>
      </c>
      <c r="JC54" s="3">
        <v>37289.040000000001</v>
      </c>
      <c r="JD54" s="3">
        <v>37334.79</v>
      </c>
      <c r="JE54" s="3">
        <v>37380.550000000003</v>
      </c>
      <c r="JF54" s="3">
        <v>37426.300000000003</v>
      </c>
      <c r="JG54" s="3">
        <v>37472.050000000003</v>
      </c>
      <c r="JH54" s="3">
        <v>37517.81</v>
      </c>
      <c r="JI54" s="3">
        <v>37563.56</v>
      </c>
      <c r="JJ54" s="3">
        <v>37609.32</v>
      </c>
      <c r="JK54" s="3">
        <v>37655.07</v>
      </c>
      <c r="JL54" s="3">
        <v>37700.82</v>
      </c>
      <c r="JM54" s="3">
        <v>37746.57</v>
      </c>
      <c r="JN54" s="3">
        <v>37792.32</v>
      </c>
      <c r="JO54" s="3">
        <v>37838.07</v>
      </c>
      <c r="JP54" s="3">
        <v>37883.83</v>
      </c>
      <c r="JQ54" s="3">
        <v>37929.58</v>
      </c>
      <c r="JR54" s="3">
        <v>37975.339999999997</v>
      </c>
      <c r="JS54" s="3">
        <v>38026.42</v>
      </c>
      <c r="JT54" s="3">
        <v>38077.51</v>
      </c>
      <c r="JU54" s="3">
        <v>38129.21</v>
      </c>
      <c r="JV54" s="3">
        <v>38180.93</v>
      </c>
      <c r="JW54" s="3">
        <v>38232.639999999999</v>
      </c>
      <c r="JX54" s="3">
        <v>38284.36</v>
      </c>
      <c r="JY54" s="3">
        <v>38331.129999999997</v>
      </c>
      <c r="JZ54" s="3">
        <v>38377.910000000003</v>
      </c>
      <c r="KA54" s="3">
        <v>38424.68</v>
      </c>
      <c r="KB54" s="3">
        <v>38471.46</v>
      </c>
      <c r="KC54" s="3">
        <v>38512.300000000003</v>
      </c>
      <c r="KD54" s="3">
        <v>38553.14</v>
      </c>
      <c r="KE54" s="3">
        <v>38593.97</v>
      </c>
      <c r="KF54" s="3">
        <v>38634.800000000003</v>
      </c>
      <c r="KG54" s="3">
        <v>38664.75</v>
      </c>
      <c r="KH54" s="3">
        <v>38694.68</v>
      </c>
      <c r="KI54" s="3">
        <v>38724.61</v>
      </c>
      <c r="KJ54" s="3">
        <v>38754.550000000003</v>
      </c>
      <c r="KK54" s="3">
        <v>38779.410000000003</v>
      </c>
      <c r="KL54" s="3">
        <v>38804.269999999997</v>
      </c>
      <c r="KM54" s="3">
        <v>38829.14</v>
      </c>
      <c r="KN54" s="3">
        <v>38853.99</v>
      </c>
      <c r="KO54" s="3">
        <v>38878.61</v>
      </c>
      <c r="KP54" s="3">
        <v>38903.21</v>
      </c>
      <c r="KQ54" s="3">
        <v>38927.82</v>
      </c>
      <c r="KR54" s="3">
        <v>38952.43</v>
      </c>
      <c r="KS54" s="3">
        <v>38973.46</v>
      </c>
      <c r="KT54" s="3">
        <v>38994.5</v>
      </c>
      <c r="KU54" s="3">
        <v>39015.54</v>
      </c>
      <c r="KV54" s="3">
        <v>39036.58</v>
      </c>
      <c r="KW54" s="3">
        <v>39056.11</v>
      </c>
      <c r="KX54" s="3">
        <v>39075.65</v>
      </c>
      <c r="KY54" s="3">
        <v>39095.18</v>
      </c>
      <c r="KZ54" s="3">
        <v>39114.720000000001</v>
      </c>
      <c r="LA54" s="3">
        <v>39129.53</v>
      </c>
      <c r="LB54" s="3">
        <v>39144.339999999997</v>
      </c>
      <c r="LC54" s="3">
        <v>39159.15</v>
      </c>
      <c r="LD54" s="3">
        <v>39173.96</v>
      </c>
      <c r="LE54" s="3">
        <v>39187.25</v>
      </c>
      <c r="LF54" s="3">
        <v>39200.54</v>
      </c>
      <c r="LG54" s="3">
        <v>39213.839999999997</v>
      </c>
      <c r="LH54" s="3">
        <v>39227.129999999997</v>
      </c>
      <c r="LI54" s="3">
        <v>39238.04</v>
      </c>
      <c r="LJ54" s="3">
        <v>39248.959999999999</v>
      </c>
      <c r="LK54" s="3">
        <v>39259.89</v>
      </c>
      <c r="LL54" s="3">
        <v>39270.800000000003</v>
      </c>
      <c r="LM54" s="3">
        <v>39276.980000000003</v>
      </c>
      <c r="LN54" s="3">
        <v>39283.160000000003</v>
      </c>
      <c r="LO54" s="3">
        <v>39289.339999999997</v>
      </c>
      <c r="LP54" s="3">
        <v>39295.51</v>
      </c>
      <c r="LQ54" s="3">
        <v>39301.58</v>
      </c>
      <c r="LR54" s="3">
        <v>39307.67</v>
      </c>
      <c r="LS54" s="3">
        <v>39313.75</v>
      </c>
      <c r="LT54" s="3">
        <v>39319.83</v>
      </c>
      <c r="LU54" s="3">
        <v>39323.879999999997</v>
      </c>
      <c r="LV54" s="3">
        <v>39327.910000000003</v>
      </c>
      <c r="LW54" s="3">
        <v>39331.96</v>
      </c>
      <c r="LX54" s="3">
        <v>39336</v>
      </c>
      <c r="LY54" s="3">
        <v>39338.11</v>
      </c>
      <c r="LZ54" s="3">
        <v>39340.22</v>
      </c>
      <c r="MA54" s="3">
        <v>39342.339999999997</v>
      </c>
      <c r="MB54" s="3">
        <v>39344.46</v>
      </c>
      <c r="MC54" s="3">
        <v>39346.44</v>
      </c>
      <c r="MD54" s="3">
        <v>39348.42</v>
      </c>
      <c r="ME54" s="3">
        <v>39350.410000000003</v>
      </c>
      <c r="MF54" s="3">
        <v>39352.39</v>
      </c>
      <c r="MG54" s="3">
        <v>39355.769999999997</v>
      </c>
      <c r="MH54" s="3">
        <v>39359.14</v>
      </c>
      <c r="MI54" s="3">
        <v>39362.519999999997</v>
      </c>
      <c r="MJ54" s="3">
        <v>39365.89</v>
      </c>
      <c r="MK54" s="3">
        <v>39368.04</v>
      </c>
      <c r="ML54" s="3">
        <v>39370.18</v>
      </c>
      <c r="MM54" s="3">
        <v>39372.32</v>
      </c>
      <c r="MN54" s="3">
        <v>39374.46</v>
      </c>
      <c r="MO54" s="3">
        <v>39377.879999999997</v>
      </c>
      <c r="MP54" s="3">
        <v>39381.31</v>
      </c>
      <c r="MQ54" s="3">
        <v>39384.730000000003</v>
      </c>
      <c r="MR54" s="3">
        <v>39388.15</v>
      </c>
      <c r="MS54" s="3">
        <v>39391.56</v>
      </c>
      <c r="MT54" s="3">
        <v>39394.99</v>
      </c>
      <c r="MU54" t="s">
        <v>457</v>
      </c>
      <c r="MV54" t="b">
        <v>0</v>
      </c>
      <c r="MW54" t="s">
        <v>377</v>
      </c>
      <c r="MX54" t="s">
        <v>377</v>
      </c>
      <c r="MY54">
        <v>2023</v>
      </c>
      <c r="MZ54">
        <v>4</v>
      </c>
      <c r="NA54" t="s">
        <v>377</v>
      </c>
      <c r="NB54" t="s">
        <v>457</v>
      </c>
      <c r="NC54" t="s">
        <v>377</v>
      </c>
      <c r="ND54" t="s">
        <v>380</v>
      </c>
      <c r="NE54" t="s">
        <v>466</v>
      </c>
      <c r="NF54" s="1" t="s">
        <v>526</v>
      </c>
    </row>
    <row r="55" spans="1:370" x14ac:dyDescent="0.25">
      <c r="A55" t="s">
        <v>382</v>
      </c>
      <c r="B55" t="s">
        <v>463</v>
      </c>
      <c r="C55" s="1" t="s">
        <v>525</v>
      </c>
      <c r="D55" t="s">
        <v>464</v>
      </c>
      <c r="E55" t="s">
        <v>465</v>
      </c>
      <c r="F55" t="s">
        <v>374</v>
      </c>
      <c r="G55" s="2">
        <v>84116.2</v>
      </c>
      <c r="H55" s="2">
        <v>85009.2</v>
      </c>
      <c r="I55" s="2">
        <v>85445.02</v>
      </c>
      <c r="J55" s="2">
        <v>86318.38</v>
      </c>
      <c r="K55" s="2">
        <v>87068.02</v>
      </c>
      <c r="L55" s="2">
        <v>87250.34</v>
      </c>
      <c r="M55" s="2">
        <v>87877.36</v>
      </c>
      <c r="N55" s="2">
        <v>88283.16</v>
      </c>
      <c r="O55" s="2">
        <v>88592.88</v>
      </c>
      <c r="P55" s="2">
        <v>89150.54</v>
      </c>
      <c r="Q55" s="2">
        <v>89626.880000000005</v>
      </c>
      <c r="R55" s="2">
        <v>89792.2</v>
      </c>
      <c r="S55" s="2">
        <v>90489.76</v>
      </c>
      <c r="T55" s="2">
        <v>91221.31</v>
      </c>
      <c r="U55" s="2">
        <v>91976.55</v>
      </c>
      <c r="V55" s="2">
        <v>92426.17</v>
      </c>
      <c r="W55" s="2">
        <v>92993.04</v>
      </c>
      <c r="X55" s="2">
        <v>93932.66</v>
      </c>
      <c r="Y55" s="2">
        <v>94451.06</v>
      </c>
      <c r="Z55" s="2">
        <v>95449.91</v>
      </c>
      <c r="AA55" s="2">
        <v>96057.29</v>
      </c>
      <c r="AB55" s="2">
        <v>97018.52</v>
      </c>
      <c r="AC55" s="2">
        <v>97610.21</v>
      </c>
      <c r="AD55" s="2">
        <v>98484.95</v>
      </c>
      <c r="AE55" s="2">
        <v>99342.91</v>
      </c>
      <c r="AF55" s="2">
        <v>99291.01</v>
      </c>
      <c r="AG55" s="2">
        <v>100135.2</v>
      </c>
      <c r="AH55" s="2">
        <v>100822.5</v>
      </c>
      <c r="AI55" s="2">
        <v>101442.2</v>
      </c>
      <c r="AJ55" s="2">
        <v>101638</v>
      </c>
      <c r="AK55" s="2">
        <v>101982.7</v>
      </c>
      <c r="AL55" s="2">
        <v>102298.1</v>
      </c>
      <c r="AM55" s="2">
        <v>103099.8</v>
      </c>
      <c r="AN55" s="2">
        <v>103655.1</v>
      </c>
      <c r="AO55" s="2">
        <v>103357.5</v>
      </c>
      <c r="AP55" s="2">
        <v>103875.1</v>
      </c>
      <c r="AQ55" s="2">
        <v>104187.7</v>
      </c>
      <c r="AR55" s="2">
        <v>104905.8</v>
      </c>
      <c r="AS55" s="2">
        <v>105305.2</v>
      </c>
      <c r="AT55" s="2">
        <v>105728.4</v>
      </c>
      <c r="AU55" s="2">
        <v>105433.60000000001</v>
      </c>
      <c r="AV55" s="2">
        <v>105948.1</v>
      </c>
      <c r="AW55" s="2">
        <v>106842.5</v>
      </c>
      <c r="AX55" s="2">
        <v>106915.3</v>
      </c>
      <c r="AY55" s="2">
        <v>107261</v>
      </c>
      <c r="AZ55" s="2">
        <v>108233.2</v>
      </c>
      <c r="BA55" s="2">
        <v>108545.4</v>
      </c>
      <c r="BB55" s="2">
        <v>108957.8</v>
      </c>
      <c r="BC55" s="2">
        <v>109654.8</v>
      </c>
      <c r="BD55" s="2">
        <v>109856.2</v>
      </c>
      <c r="BE55" s="2">
        <v>110184.2</v>
      </c>
      <c r="BF55" s="2">
        <v>110876.4</v>
      </c>
      <c r="BG55" s="2">
        <v>111578.6</v>
      </c>
      <c r="BH55" s="2">
        <v>112277.4</v>
      </c>
      <c r="BI55" s="2">
        <v>112851</v>
      </c>
      <c r="BJ55" s="2">
        <v>113216.3</v>
      </c>
      <c r="BK55" s="2">
        <v>113705.8</v>
      </c>
      <c r="BL55" s="2">
        <v>114282.4</v>
      </c>
      <c r="BM55" s="2">
        <v>114697</v>
      </c>
      <c r="BN55" s="2">
        <v>115208.1</v>
      </c>
      <c r="BO55" s="2">
        <v>115628</v>
      </c>
      <c r="BP55" s="2">
        <v>115888.1</v>
      </c>
      <c r="BQ55" s="2">
        <v>116529.5</v>
      </c>
      <c r="BR55" s="2">
        <v>117094</v>
      </c>
      <c r="BS55" s="2">
        <v>117840.8</v>
      </c>
      <c r="BT55" s="2">
        <v>118267.7</v>
      </c>
      <c r="BU55" s="2">
        <v>118619</v>
      </c>
      <c r="BV55" s="2">
        <v>119042.7</v>
      </c>
      <c r="BW55" s="2">
        <v>120337</v>
      </c>
      <c r="BX55" s="2">
        <v>120282.9</v>
      </c>
      <c r="BY55" s="2">
        <v>120462.3</v>
      </c>
      <c r="BZ55" s="2">
        <v>120673.1</v>
      </c>
      <c r="CA55" s="2">
        <v>120696.1</v>
      </c>
      <c r="CB55" s="2">
        <v>120985.3</v>
      </c>
      <c r="CC55" s="2">
        <v>120975.2</v>
      </c>
      <c r="CD55" s="2">
        <v>121335.1</v>
      </c>
      <c r="CE55" s="2">
        <v>122017.8</v>
      </c>
      <c r="CF55" s="2">
        <v>122790.2</v>
      </c>
      <c r="CG55" s="2">
        <v>123216.4</v>
      </c>
      <c r="CH55" s="2">
        <v>123032.4</v>
      </c>
      <c r="CI55" s="2">
        <v>123196.8</v>
      </c>
      <c r="CJ55" s="2">
        <v>123798.1</v>
      </c>
      <c r="CK55" s="2">
        <v>124151.4</v>
      </c>
      <c r="CL55" s="2">
        <v>124478.5</v>
      </c>
      <c r="CM55" s="2">
        <v>125285.3</v>
      </c>
      <c r="CN55" s="2">
        <v>125406.3</v>
      </c>
      <c r="CO55" s="2">
        <v>125876.2</v>
      </c>
      <c r="CP55" s="2">
        <v>126618.4</v>
      </c>
      <c r="CQ55" s="2">
        <v>126861.1</v>
      </c>
      <c r="CR55" s="2">
        <v>126929.2</v>
      </c>
      <c r="CS55" s="2">
        <v>127242.6</v>
      </c>
      <c r="CT55" s="2">
        <v>127442.7</v>
      </c>
      <c r="CU55" s="2">
        <v>127758</v>
      </c>
      <c r="CV55" s="2">
        <v>128432.3</v>
      </c>
      <c r="CW55" s="2">
        <v>129121.7</v>
      </c>
      <c r="CX55" s="2">
        <v>129843.1</v>
      </c>
      <c r="CY55" s="2">
        <v>130411.3</v>
      </c>
      <c r="CZ55" s="2">
        <v>130946.5</v>
      </c>
      <c r="DA55" s="2">
        <v>131422.9</v>
      </c>
      <c r="DB55" s="2">
        <v>131753.79999999999</v>
      </c>
      <c r="DC55" s="2">
        <v>131994.5</v>
      </c>
      <c r="DD55" s="2">
        <v>132185.1</v>
      </c>
      <c r="DE55" s="2">
        <v>132672.29999999999</v>
      </c>
      <c r="DF55" s="2">
        <v>133279.5</v>
      </c>
      <c r="DG55" s="2">
        <v>133745.4</v>
      </c>
      <c r="DH55" s="2">
        <v>133984.4</v>
      </c>
      <c r="DI55" s="2">
        <v>134349.5</v>
      </c>
      <c r="DJ55" s="2">
        <v>134835.9</v>
      </c>
      <c r="DK55" s="2">
        <v>135127</v>
      </c>
      <c r="DL55" s="2">
        <v>135320.79999999999</v>
      </c>
      <c r="DM55" s="2">
        <v>135198.6</v>
      </c>
      <c r="DN55" s="2">
        <v>135689.1</v>
      </c>
      <c r="DO55" s="2">
        <v>136519.4</v>
      </c>
      <c r="DP55" s="2">
        <v>136156.1</v>
      </c>
      <c r="DQ55" s="2">
        <v>136380.70000000001</v>
      </c>
      <c r="DR55" s="2">
        <v>136926.39999999999</v>
      </c>
      <c r="DS55" s="2">
        <v>137055.5</v>
      </c>
      <c r="DT55" s="2">
        <v>137523.6</v>
      </c>
      <c r="DU55" s="2">
        <v>137812.6</v>
      </c>
      <c r="DV55" s="2">
        <v>137835.5</v>
      </c>
      <c r="DW55" s="2">
        <v>138676</v>
      </c>
      <c r="DX55" s="2">
        <v>139306.1</v>
      </c>
      <c r="DY55" s="2">
        <v>139130.20000000001</v>
      </c>
      <c r="DZ55" s="2">
        <v>139445.1</v>
      </c>
      <c r="EA55" s="2">
        <v>139464.9</v>
      </c>
      <c r="EB55" s="2">
        <v>139748</v>
      </c>
      <c r="EC55" s="2">
        <v>140160.79999999999</v>
      </c>
      <c r="ED55" s="2">
        <v>140586.29999999999</v>
      </c>
      <c r="EE55" s="2">
        <v>140830.79999999999</v>
      </c>
      <c r="EF55" s="2">
        <v>141668.6</v>
      </c>
      <c r="EG55" s="2">
        <v>142219.9</v>
      </c>
      <c r="EH55" s="2">
        <v>142513.79999999999</v>
      </c>
      <c r="EI55" s="2">
        <v>143011.1</v>
      </c>
      <c r="EJ55" s="2">
        <v>143529.1</v>
      </c>
      <c r="EK55" s="2">
        <v>143987.6</v>
      </c>
      <c r="EL55" s="2">
        <v>144753.20000000001</v>
      </c>
      <c r="EM55" s="2">
        <v>145383.79999999999</v>
      </c>
      <c r="EN55" s="2">
        <v>145055.1</v>
      </c>
      <c r="EO55" s="2">
        <v>145393.29999999999</v>
      </c>
      <c r="EP55" s="2">
        <v>145937.5</v>
      </c>
      <c r="EQ55" s="2">
        <v>146154.6</v>
      </c>
      <c r="ER55" s="2">
        <v>146394.4</v>
      </c>
      <c r="ES55" s="2">
        <v>146805.20000000001</v>
      </c>
      <c r="ET55" s="2">
        <v>146963</v>
      </c>
      <c r="EU55" s="2">
        <v>146555.79999999999</v>
      </c>
      <c r="EV55" s="2">
        <v>146901.29999999999</v>
      </c>
      <c r="EW55" s="2">
        <v>146483</v>
      </c>
      <c r="EX55" s="2">
        <v>145902.20000000001</v>
      </c>
      <c r="EY55" s="2">
        <v>146022.9</v>
      </c>
      <c r="EZ55" s="2">
        <v>146407.20000000001</v>
      </c>
      <c r="FA55" s="2">
        <v>146234.9</v>
      </c>
      <c r="FB55" s="2">
        <v>146142</v>
      </c>
      <c r="FC55" s="2">
        <v>145661.79999999999</v>
      </c>
      <c r="FD55" s="2">
        <v>145835.79999999999</v>
      </c>
      <c r="FE55" s="2">
        <v>146110</v>
      </c>
      <c r="FF55" s="2">
        <v>146420.5</v>
      </c>
      <c r="FG55" s="2">
        <v>146986.4</v>
      </c>
      <c r="FH55" s="2">
        <v>147225.5</v>
      </c>
      <c r="FI55" s="2">
        <v>147369.20000000001</v>
      </c>
      <c r="FJ55" s="2">
        <v>147921</v>
      </c>
      <c r="FK55" s="2">
        <v>147809.1</v>
      </c>
      <c r="FL55" s="2">
        <v>148024.79999999999</v>
      </c>
      <c r="FM55" s="2">
        <v>148121.60000000001</v>
      </c>
      <c r="FN55" s="2">
        <v>147593</v>
      </c>
      <c r="FO55" s="2">
        <v>148179.20000000001</v>
      </c>
      <c r="FP55" s="2">
        <v>148178</v>
      </c>
      <c r="FQ55" s="2">
        <v>148660.4</v>
      </c>
      <c r="FR55" s="2">
        <v>149032.5</v>
      </c>
      <c r="FS55" s="2">
        <v>149407.9</v>
      </c>
      <c r="FT55" s="2">
        <v>149904.4</v>
      </c>
      <c r="FU55" s="2">
        <v>149660.20000000001</v>
      </c>
      <c r="FV55" s="2">
        <v>150251.9</v>
      </c>
      <c r="FW55" s="2">
        <v>151376.70000000001</v>
      </c>
      <c r="FX55" s="2">
        <v>151662.6</v>
      </c>
      <c r="FY55" s="2">
        <v>152194.29999999999</v>
      </c>
      <c r="FZ55" s="2">
        <v>152321.79999999999</v>
      </c>
      <c r="GA55" s="2">
        <v>152612.70000000001</v>
      </c>
      <c r="GB55" s="2">
        <v>152956.9</v>
      </c>
      <c r="GC55" s="2">
        <v>153485.6</v>
      </c>
      <c r="GD55" s="2">
        <v>153262.29999999999</v>
      </c>
      <c r="GE55" s="2">
        <v>154225.5</v>
      </c>
      <c r="GF55" s="2">
        <v>154711.9</v>
      </c>
      <c r="GG55" s="2">
        <v>154813.4</v>
      </c>
      <c r="GH55" s="2">
        <v>155641.20000000001</v>
      </c>
      <c r="GI55" s="2">
        <v>155727.29999999999</v>
      </c>
      <c r="GJ55" s="2">
        <v>155629.70000000001</v>
      </c>
      <c r="GK55" s="2">
        <v>156583.4</v>
      </c>
      <c r="GL55" s="2">
        <v>157279.5</v>
      </c>
      <c r="GM55" s="2">
        <v>156586.9</v>
      </c>
      <c r="GN55" s="2">
        <v>151169.5</v>
      </c>
      <c r="GO55" s="2">
        <v>153296.6</v>
      </c>
      <c r="GP55" s="2">
        <v>153736.6</v>
      </c>
      <c r="GQ55" s="2">
        <v>153197.79999999999</v>
      </c>
      <c r="GR55" s="2">
        <v>153894.79999999999</v>
      </c>
      <c r="GS55" s="2">
        <v>154439.20000000001</v>
      </c>
      <c r="GT55" s="2">
        <v>155086.70000000001</v>
      </c>
      <c r="GU55" s="2">
        <v>156757</v>
      </c>
      <c r="GV55" s="2">
        <v>156941.70000000001</v>
      </c>
      <c r="GW55" s="2">
        <v>157262.20000000001</v>
      </c>
      <c r="GX55" s="2">
        <v>157538.1</v>
      </c>
      <c r="GY55" s="2">
        <v>159092.5</v>
      </c>
      <c r="GZ55" s="2">
        <v>159602.70000000001</v>
      </c>
      <c r="HA55" s="2">
        <v>160274</v>
      </c>
      <c r="HB55" s="2">
        <v>160485.5</v>
      </c>
      <c r="HC55" s="2">
        <v>160324.6</v>
      </c>
      <c r="HD55" s="2">
        <v>160670.6</v>
      </c>
      <c r="HE55" s="2">
        <v>161224.79999999999</v>
      </c>
      <c r="HF55" s="2">
        <v>161150.79999999999</v>
      </c>
      <c r="HG55" s="3">
        <v>163152.70000000001</v>
      </c>
      <c r="HH55" s="3">
        <v>163232.5</v>
      </c>
      <c r="HI55" s="3">
        <v>163442.29999999999</v>
      </c>
      <c r="HJ55" s="3">
        <v>163655.70000000001</v>
      </c>
      <c r="HK55" s="3">
        <v>163857</v>
      </c>
      <c r="HL55" s="3">
        <v>164025.1</v>
      </c>
      <c r="HM55" s="3">
        <v>164167</v>
      </c>
      <c r="HN55" s="3">
        <v>164289.1</v>
      </c>
      <c r="HO55" s="3">
        <v>164394.79999999999</v>
      </c>
      <c r="HP55" s="3">
        <v>164488.4</v>
      </c>
      <c r="HQ55" s="3">
        <v>164571.9</v>
      </c>
      <c r="HR55" s="3">
        <v>164654.9</v>
      </c>
      <c r="HS55" s="3">
        <v>164728.29999999999</v>
      </c>
      <c r="HT55" s="3">
        <v>164815.6</v>
      </c>
      <c r="HU55" s="3">
        <v>164936.5</v>
      </c>
      <c r="HV55" s="3">
        <v>165086.1</v>
      </c>
      <c r="HW55" s="3">
        <v>165246.1</v>
      </c>
      <c r="HX55" s="3">
        <v>165419.29999999999</v>
      </c>
      <c r="HY55" s="3">
        <v>165596.1</v>
      </c>
      <c r="HZ55" s="3">
        <v>165774.5</v>
      </c>
      <c r="IA55" s="3">
        <v>165953.70000000001</v>
      </c>
      <c r="IB55" s="3">
        <v>166132.79999999999</v>
      </c>
      <c r="IC55" s="3">
        <v>166311</v>
      </c>
      <c r="ID55" s="3">
        <v>166487.79999999999</v>
      </c>
      <c r="IE55" s="3">
        <v>166664.9</v>
      </c>
      <c r="IF55" s="3">
        <v>166840.29999999999</v>
      </c>
      <c r="IG55" s="3">
        <v>167013.6</v>
      </c>
      <c r="IH55" s="3">
        <v>167185.4</v>
      </c>
      <c r="II55" s="3">
        <v>167357.6</v>
      </c>
      <c r="IJ55" s="3">
        <v>167530.29999999999</v>
      </c>
      <c r="IK55" s="3">
        <v>167702.20000000001</v>
      </c>
      <c r="IL55" s="3">
        <v>167873.2</v>
      </c>
      <c r="IM55" s="3">
        <v>168044.1</v>
      </c>
      <c r="IN55" s="3">
        <v>168215.6</v>
      </c>
      <c r="IO55" s="3">
        <v>168387.1</v>
      </c>
      <c r="IP55" s="3">
        <v>168558.6</v>
      </c>
      <c r="IQ55" s="3">
        <v>168730</v>
      </c>
      <c r="IR55" s="3">
        <v>168898.1</v>
      </c>
      <c r="IS55" s="3">
        <v>169063.8</v>
      </c>
      <c r="IT55" s="3">
        <v>169230</v>
      </c>
      <c r="IU55" s="3">
        <v>169397.5</v>
      </c>
      <c r="IV55" s="3">
        <v>169565.4</v>
      </c>
      <c r="IW55" s="3">
        <v>169733.4</v>
      </c>
      <c r="IX55" s="3">
        <v>169901.5</v>
      </c>
      <c r="IY55" s="3">
        <v>170067.9</v>
      </c>
      <c r="IZ55" s="3">
        <v>170233.9</v>
      </c>
      <c r="JA55" s="3">
        <v>170400.6</v>
      </c>
      <c r="JB55" s="3">
        <v>170567</v>
      </c>
      <c r="JC55" s="3">
        <v>170733</v>
      </c>
      <c r="JD55" s="3">
        <v>170899.20000000001</v>
      </c>
      <c r="JE55" s="3">
        <v>171065.8</v>
      </c>
      <c r="JF55" s="3">
        <v>171232.2</v>
      </c>
      <c r="JG55" s="3">
        <v>171399.8</v>
      </c>
      <c r="JH55" s="3">
        <v>171570.3</v>
      </c>
      <c r="JI55" s="3">
        <v>171736.4</v>
      </c>
      <c r="JJ55" s="3">
        <v>171904.7</v>
      </c>
      <c r="JK55" s="3">
        <v>172069.5</v>
      </c>
      <c r="JL55" s="3">
        <v>172233.1</v>
      </c>
      <c r="JM55" s="3">
        <v>172398.3</v>
      </c>
      <c r="JN55" s="3">
        <v>172563.8</v>
      </c>
      <c r="JO55" s="3">
        <v>172724</v>
      </c>
      <c r="JP55" s="3">
        <v>172884</v>
      </c>
      <c r="JQ55" s="3">
        <v>173043.6</v>
      </c>
      <c r="JR55" s="3">
        <v>173202.8</v>
      </c>
      <c r="JS55" s="3">
        <v>173362.5</v>
      </c>
      <c r="JT55" s="3">
        <v>173522.4</v>
      </c>
      <c r="JU55" s="3">
        <v>173682.8</v>
      </c>
      <c r="JV55" s="3">
        <v>173842.9</v>
      </c>
      <c r="JW55" s="3">
        <v>174003.8</v>
      </c>
      <c r="JX55" s="3">
        <v>174164.6</v>
      </c>
      <c r="JY55" s="3">
        <v>174325.9</v>
      </c>
      <c r="JZ55" s="3">
        <v>174487.3</v>
      </c>
      <c r="KA55" s="3">
        <v>174649.2</v>
      </c>
      <c r="KB55" s="3">
        <v>174810.9</v>
      </c>
      <c r="KC55" s="3">
        <v>174972.6</v>
      </c>
      <c r="KD55" s="3">
        <v>175134.8</v>
      </c>
      <c r="KE55" s="3">
        <v>175293.4</v>
      </c>
      <c r="KF55" s="3">
        <v>175454.4</v>
      </c>
      <c r="KG55" s="3">
        <v>175614.2</v>
      </c>
      <c r="KH55" s="3">
        <v>175772.9</v>
      </c>
      <c r="KI55" s="3">
        <v>175930.4</v>
      </c>
      <c r="KJ55" s="3">
        <v>176084.3</v>
      </c>
      <c r="KK55" s="3">
        <v>176239.8</v>
      </c>
      <c r="KL55" s="3">
        <v>176394.6</v>
      </c>
      <c r="KM55" s="3">
        <v>176548.1</v>
      </c>
      <c r="KN55" s="3">
        <v>176697.7</v>
      </c>
      <c r="KO55" s="3">
        <v>176849.3</v>
      </c>
      <c r="KP55" s="3">
        <v>176999.7</v>
      </c>
      <c r="KQ55" s="3">
        <v>177147</v>
      </c>
      <c r="KR55" s="3">
        <v>177296.6</v>
      </c>
      <c r="KS55" s="3">
        <v>177445.5</v>
      </c>
      <c r="KT55" s="3">
        <v>177590.6</v>
      </c>
      <c r="KU55" s="3">
        <v>177738.5</v>
      </c>
      <c r="KV55" s="3">
        <v>177882.6</v>
      </c>
      <c r="KW55" s="3">
        <v>178029.7</v>
      </c>
      <c r="KX55" s="3">
        <v>178175.6</v>
      </c>
      <c r="KY55" s="3">
        <v>178318</v>
      </c>
      <c r="KZ55" s="3">
        <v>178462.4</v>
      </c>
      <c r="LA55" s="3">
        <v>178603</v>
      </c>
      <c r="LB55" s="3">
        <v>178741.4</v>
      </c>
      <c r="LC55" s="3">
        <v>178881.3</v>
      </c>
      <c r="LD55" s="3">
        <v>179017.7</v>
      </c>
      <c r="LE55" s="3">
        <v>179157</v>
      </c>
      <c r="LF55" s="3">
        <v>179293.4</v>
      </c>
      <c r="LG55" s="3">
        <v>179432.6</v>
      </c>
      <c r="LH55" s="3">
        <v>179569.4</v>
      </c>
      <c r="LI55" s="3">
        <v>179706.4</v>
      </c>
      <c r="LJ55" s="3">
        <v>179846.3</v>
      </c>
      <c r="LK55" s="3">
        <v>179983.6</v>
      </c>
      <c r="LL55" s="3">
        <v>180123.9</v>
      </c>
      <c r="LM55" s="3">
        <v>180261.6</v>
      </c>
      <c r="LN55" s="3">
        <v>180402.4</v>
      </c>
      <c r="LO55" s="3">
        <v>180540.3</v>
      </c>
      <c r="LP55" s="3">
        <v>180678.8</v>
      </c>
      <c r="LQ55" s="3">
        <v>180820.1</v>
      </c>
      <c r="LR55" s="3">
        <v>180958.7</v>
      </c>
      <c r="LS55" s="3">
        <v>181100.5</v>
      </c>
      <c r="LT55" s="3">
        <v>181239.5</v>
      </c>
      <c r="LU55" s="3">
        <v>181378.8</v>
      </c>
      <c r="LV55" s="3">
        <v>181521</v>
      </c>
      <c r="LW55" s="3">
        <v>181660.6</v>
      </c>
      <c r="LX55" s="3">
        <v>181803.4</v>
      </c>
      <c r="LY55" s="3">
        <v>181943.4</v>
      </c>
      <c r="LZ55" s="3">
        <v>182086.5</v>
      </c>
      <c r="MA55" s="3">
        <v>182227.20000000001</v>
      </c>
      <c r="MB55" s="3">
        <v>182367.8</v>
      </c>
      <c r="MC55" s="3">
        <v>182511.5</v>
      </c>
      <c r="MD55" s="3">
        <v>182652.6</v>
      </c>
      <c r="ME55" s="3">
        <v>182796.7</v>
      </c>
      <c r="MF55" s="3">
        <v>182938</v>
      </c>
      <c r="MG55" s="3">
        <v>183079.8</v>
      </c>
      <c r="MH55" s="3">
        <v>183224.6</v>
      </c>
      <c r="MI55" s="3">
        <v>183366.6</v>
      </c>
      <c r="MJ55" s="3">
        <v>183511.8</v>
      </c>
      <c r="MK55" s="3">
        <v>183654.2</v>
      </c>
      <c r="ML55" s="3">
        <v>183799.7</v>
      </c>
      <c r="MM55" s="3">
        <v>183942.5</v>
      </c>
      <c r="MN55" s="3">
        <v>184085.4</v>
      </c>
      <c r="MO55" s="3">
        <v>184231.8</v>
      </c>
      <c r="MP55" s="3">
        <v>184374.9</v>
      </c>
      <c r="MQ55" s="3">
        <v>184521.5</v>
      </c>
      <c r="MR55" s="3">
        <v>184665.2</v>
      </c>
      <c r="MS55" s="3">
        <v>184809.2</v>
      </c>
      <c r="MT55" s="3">
        <v>184956.3</v>
      </c>
      <c r="MU55" t="s">
        <v>433</v>
      </c>
      <c r="MV55" t="b">
        <v>0</v>
      </c>
      <c r="MW55" t="s">
        <v>377</v>
      </c>
      <c r="MX55" t="s">
        <v>377</v>
      </c>
      <c r="MY55">
        <v>2024</v>
      </c>
      <c r="MZ55">
        <v>4</v>
      </c>
      <c r="NA55" t="s">
        <v>377</v>
      </c>
      <c r="NB55" s="1" t="s">
        <v>467</v>
      </c>
      <c r="NC55" t="s">
        <v>377</v>
      </c>
      <c r="ND55" t="s">
        <v>389</v>
      </c>
      <c r="NE55" t="s">
        <v>466</v>
      </c>
      <c r="NF55" s="1" t="s">
        <v>526</v>
      </c>
    </row>
    <row r="56" spans="1:370" x14ac:dyDescent="0.25">
      <c r="A56" t="s">
        <v>370</v>
      </c>
      <c r="B56" t="s">
        <v>468</v>
      </c>
      <c r="C56" s="1" t="s">
        <v>525</v>
      </c>
      <c r="D56" t="s">
        <v>469</v>
      </c>
      <c r="E56" t="s">
        <v>377</v>
      </c>
      <c r="F56" t="s">
        <v>374</v>
      </c>
      <c r="G56" s="2">
        <v>1E-3</v>
      </c>
      <c r="H56" s="2">
        <v>1E-3</v>
      </c>
      <c r="I56" s="2">
        <v>1E-3</v>
      </c>
      <c r="J56" s="2">
        <v>1E-3</v>
      </c>
      <c r="K56" s="2">
        <v>1E-3</v>
      </c>
      <c r="L56" s="2">
        <v>1E-3</v>
      </c>
      <c r="M56" s="2">
        <v>1E-3</v>
      </c>
      <c r="N56" s="2">
        <v>1E-3</v>
      </c>
      <c r="O56" s="2">
        <v>1E-3</v>
      </c>
      <c r="P56" s="2">
        <v>1E-3</v>
      </c>
      <c r="Q56" s="2">
        <v>1E-3</v>
      </c>
      <c r="R56" s="2">
        <v>1E-3</v>
      </c>
      <c r="S56" s="2">
        <v>1E-3</v>
      </c>
      <c r="T56" s="2">
        <v>1E-3</v>
      </c>
      <c r="U56" s="2">
        <v>1E-3</v>
      </c>
      <c r="V56" s="2">
        <v>1E-3</v>
      </c>
      <c r="W56" s="2">
        <v>1E-3</v>
      </c>
      <c r="X56" s="2">
        <v>1E-3</v>
      </c>
      <c r="Y56" s="2">
        <v>1E-3</v>
      </c>
      <c r="Z56" s="2">
        <v>1E-3</v>
      </c>
      <c r="AA56" s="2">
        <v>1E-3</v>
      </c>
      <c r="AB56" s="2">
        <v>1E-3</v>
      </c>
      <c r="AC56" s="2">
        <v>1E-3</v>
      </c>
      <c r="AD56" s="2">
        <v>1E-3</v>
      </c>
      <c r="AE56" s="2">
        <v>1E-3</v>
      </c>
      <c r="AF56" s="2">
        <v>1E-3</v>
      </c>
      <c r="AG56" s="2">
        <v>1E-3</v>
      </c>
      <c r="AH56" s="2">
        <v>1E-3</v>
      </c>
      <c r="AI56" s="2">
        <v>1E-3</v>
      </c>
      <c r="AJ56" s="2">
        <v>1E-3</v>
      </c>
      <c r="AK56" s="2">
        <v>1E-3</v>
      </c>
      <c r="AL56" s="2">
        <v>1E-3</v>
      </c>
      <c r="AM56" s="2">
        <v>1E-3</v>
      </c>
      <c r="AN56" s="2">
        <v>1E-3</v>
      </c>
      <c r="AO56" s="2">
        <v>1E-3</v>
      </c>
      <c r="AP56" s="2">
        <v>1E-3</v>
      </c>
      <c r="AQ56" s="2">
        <v>1E-3</v>
      </c>
      <c r="AR56" s="2">
        <v>1E-3</v>
      </c>
      <c r="AS56" s="2">
        <v>1E-3</v>
      </c>
      <c r="AT56" s="2">
        <v>1E-3</v>
      </c>
      <c r="AU56" s="2">
        <v>1E-3</v>
      </c>
      <c r="AV56" s="2">
        <v>1E-3</v>
      </c>
      <c r="AW56" s="2">
        <v>1E-3</v>
      </c>
      <c r="AX56" s="2">
        <v>1E-3</v>
      </c>
      <c r="AY56" s="2">
        <v>1E-3</v>
      </c>
      <c r="AZ56" s="2">
        <v>1E-3</v>
      </c>
      <c r="BA56" s="2">
        <v>1E-3</v>
      </c>
      <c r="BB56" s="2">
        <v>1E-3</v>
      </c>
      <c r="BC56" s="2">
        <v>1E-3</v>
      </c>
      <c r="BD56" s="2">
        <v>1E-3</v>
      </c>
      <c r="BE56" s="2">
        <v>1E-3</v>
      </c>
      <c r="BF56" s="2">
        <v>1E-3</v>
      </c>
      <c r="BG56" s="2">
        <v>33.56044</v>
      </c>
      <c r="BH56" s="2">
        <v>33.529319999999998</v>
      </c>
      <c r="BI56" s="2">
        <v>33.508580000000002</v>
      </c>
      <c r="BJ56" s="2">
        <v>33.49821</v>
      </c>
      <c r="BK56" s="2">
        <v>33.49821</v>
      </c>
      <c r="BL56" s="2">
        <v>33.508580000000002</v>
      </c>
      <c r="BM56" s="2">
        <v>33.529319999999998</v>
      </c>
      <c r="BN56" s="2">
        <v>33.56044</v>
      </c>
      <c r="BO56" s="2">
        <v>33.640830000000001</v>
      </c>
      <c r="BP56" s="2">
        <v>33.677129999999998</v>
      </c>
      <c r="BQ56" s="2">
        <v>33.708260000000003</v>
      </c>
      <c r="BR56" s="2">
        <v>33.734189999999998</v>
      </c>
      <c r="BS56" s="2">
        <v>33.780859999999997</v>
      </c>
      <c r="BT56" s="2">
        <v>33.786050000000003</v>
      </c>
      <c r="BU56" s="2">
        <v>33.775669999999998</v>
      </c>
      <c r="BV56" s="2">
        <v>33.749740000000003</v>
      </c>
      <c r="BW56" s="2">
        <v>33.708260000000003</v>
      </c>
      <c r="BX56" s="2">
        <v>33.651200000000003</v>
      </c>
      <c r="BY56" s="2">
        <v>33.578600000000002</v>
      </c>
      <c r="BZ56" s="2">
        <v>33.490430000000003</v>
      </c>
      <c r="CA56" s="2">
        <v>33.282980000000002</v>
      </c>
      <c r="CB56" s="2">
        <v>33.205179999999999</v>
      </c>
      <c r="CC56" s="2">
        <v>33.153320000000001</v>
      </c>
      <c r="CD56" s="2">
        <v>33.127389999999998</v>
      </c>
      <c r="CE56" s="2">
        <v>33.205179999999999</v>
      </c>
      <c r="CF56" s="2">
        <v>33.200000000000003</v>
      </c>
      <c r="CG56" s="2">
        <v>33</v>
      </c>
      <c r="CH56" s="2">
        <v>32.9</v>
      </c>
      <c r="CI56" s="2">
        <v>33</v>
      </c>
      <c r="CJ56" s="2">
        <v>33</v>
      </c>
      <c r="CK56" s="2">
        <v>33</v>
      </c>
      <c r="CL56" s="2">
        <v>33</v>
      </c>
      <c r="CM56" s="2">
        <v>33.1</v>
      </c>
      <c r="CN56" s="2">
        <v>33.1</v>
      </c>
      <c r="CO56" s="2">
        <v>33.200000000000003</v>
      </c>
      <c r="CP56" s="2">
        <v>33.5</v>
      </c>
      <c r="CQ56" s="2">
        <v>33.299999999999997</v>
      </c>
      <c r="CR56" s="2">
        <v>33.299999999999997</v>
      </c>
      <c r="CS56" s="2">
        <v>33.200000000000003</v>
      </c>
      <c r="CT56" s="2">
        <v>33.200000000000003</v>
      </c>
      <c r="CU56" s="2">
        <v>33.200000000000003</v>
      </c>
      <c r="CV56" s="2">
        <v>33.299999999999997</v>
      </c>
      <c r="CW56" s="2">
        <v>33.200000000000003</v>
      </c>
      <c r="CX56" s="2">
        <v>33.200000000000003</v>
      </c>
      <c r="CY56" s="2">
        <v>33.200000000000003</v>
      </c>
      <c r="CZ56" s="2">
        <v>33.200000000000003</v>
      </c>
      <c r="DA56" s="2">
        <v>33.200000000000003</v>
      </c>
      <c r="DB56" s="2">
        <v>33.1</v>
      </c>
      <c r="DC56" s="2">
        <v>33.200000000000003</v>
      </c>
      <c r="DD56" s="2">
        <v>33.200000000000003</v>
      </c>
      <c r="DE56" s="2">
        <v>33.1</v>
      </c>
      <c r="DF56" s="2">
        <v>32.799999999999997</v>
      </c>
      <c r="DG56" s="2">
        <v>32.9</v>
      </c>
      <c r="DH56" s="2">
        <v>32.9</v>
      </c>
      <c r="DI56" s="2">
        <v>32.9</v>
      </c>
      <c r="DJ56" s="2">
        <v>32.9</v>
      </c>
      <c r="DK56" s="2">
        <v>32.4</v>
      </c>
      <c r="DL56" s="2">
        <v>32.6</v>
      </c>
      <c r="DM56" s="2">
        <v>32.6</v>
      </c>
      <c r="DN56" s="2">
        <v>32.799999999999997</v>
      </c>
      <c r="DO56" s="2">
        <v>32.700000000000003</v>
      </c>
      <c r="DP56" s="2">
        <v>32.799999999999997</v>
      </c>
      <c r="DQ56" s="2">
        <v>32.700000000000003</v>
      </c>
      <c r="DR56" s="2">
        <v>32.5</v>
      </c>
      <c r="DS56" s="2">
        <v>32.5</v>
      </c>
      <c r="DT56" s="2">
        <v>32.200000000000003</v>
      </c>
      <c r="DU56" s="2">
        <v>32.4</v>
      </c>
      <c r="DV56" s="2">
        <v>32.200000000000003</v>
      </c>
      <c r="DW56" s="2">
        <v>32.200000000000003</v>
      </c>
      <c r="DX56" s="2">
        <v>32.200000000000003</v>
      </c>
      <c r="DY56" s="2">
        <v>32.200000000000003</v>
      </c>
      <c r="DZ56" s="2">
        <v>32</v>
      </c>
      <c r="EA56" s="2">
        <v>32.1</v>
      </c>
      <c r="EB56" s="2">
        <v>32</v>
      </c>
      <c r="EC56" s="2">
        <v>32</v>
      </c>
      <c r="ED56" s="2">
        <v>32.200000000000003</v>
      </c>
      <c r="EE56" s="2">
        <v>32.200000000000003</v>
      </c>
      <c r="EF56" s="2">
        <v>32.1</v>
      </c>
      <c r="EG56" s="2">
        <v>32.200000000000003</v>
      </c>
      <c r="EH56" s="2">
        <v>32.200000000000003</v>
      </c>
      <c r="EI56" s="2">
        <v>32.1</v>
      </c>
      <c r="EJ56" s="2">
        <v>32</v>
      </c>
      <c r="EK56" s="2">
        <v>32</v>
      </c>
      <c r="EL56" s="2">
        <v>32.1</v>
      </c>
      <c r="EM56" s="2">
        <v>32.1</v>
      </c>
      <c r="EN56" s="2">
        <v>32.200000000000003</v>
      </c>
      <c r="EO56" s="2">
        <v>32.1</v>
      </c>
      <c r="EP56" s="2">
        <v>31.9</v>
      </c>
      <c r="EQ56" s="2">
        <v>32.200000000000003</v>
      </c>
      <c r="ER56" s="2">
        <v>31.8</v>
      </c>
      <c r="ES56" s="2">
        <v>32</v>
      </c>
      <c r="ET56" s="2">
        <v>31.9</v>
      </c>
      <c r="EU56" s="2">
        <v>31.5</v>
      </c>
      <c r="EV56" s="2">
        <v>31.7</v>
      </c>
      <c r="EW56" s="2">
        <v>31.5</v>
      </c>
      <c r="EX56" s="2">
        <v>31.5</v>
      </c>
      <c r="EY56" s="2">
        <v>31.6</v>
      </c>
      <c r="EZ56" s="2">
        <v>31.6</v>
      </c>
      <c r="FA56" s="2">
        <v>31.6</v>
      </c>
      <c r="FB56" s="2">
        <v>31.8</v>
      </c>
      <c r="FC56" s="2">
        <v>31.7</v>
      </c>
      <c r="FD56" s="2">
        <v>31.3</v>
      </c>
      <c r="FE56" s="2">
        <v>31.7</v>
      </c>
      <c r="FF56" s="2">
        <v>31.6</v>
      </c>
      <c r="FG56" s="2">
        <v>31.7</v>
      </c>
      <c r="FH56" s="2">
        <v>31.7</v>
      </c>
      <c r="FI56" s="2">
        <v>32</v>
      </c>
      <c r="FJ56" s="2">
        <v>31.9</v>
      </c>
      <c r="FK56" s="2">
        <v>32</v>
      </c>
      <c r="FL56" s="2">
        <v>32</v>
      </c>
      <c r="FM56" s="2">
        <v>32.200000000000003</v>
      </c>
      <c r="FN56" s="2">
        <v>32</v>
      </c>
      <c r="FO56" s="2">
        <v>32.1</v>
      </c>
      <c r="FP56" s="2">
        <v>32.200000000000003</v>
      </c>
      <c r="FQ56" s="2">
        <v>32.200000000000003</v>
      </c>
      <c r="FR56" s="2">
        <v>32.200000000000003</v>
      </c>
      <c r="FS56" s="2">
        <v>32.1</v>
      </c>
      <c r="FT56" s="2">
        <v>32.1</v>
      </c>
      <c r="FU56" s="2">
        <v>31.9</v>
      </c>
      <c r="FV56" s="2">
        <v>32.299999999999997</v>
      </c>
      <c r="FW56" s="2">
        <v>32.1</v>
      </c>
      <c r="FX56" s="2">
        <v>32</v>
      </c>
      <c r="FY56" s="2">
        <v>32</v>
      </c>
      <c r="FZ56" s="2">
        <v>32.1</v>
      </c>
      <c r="GA56" s="2">
        <v>32.200000000000003</v>
      </c>
      <c r="GB56" s="2">
        <v>32.299999999999997</v>
      </c>
      <c r="GC56" s="2">
        <v>32</v>
      </c>
      <c r="GD56" s="2">
        <v>31.9</v>
      </c>
      <c r="GE56" s="2">
        <v>31.9</v>
      </c>
      <c r="GF56" s="2">
        <v>31.9</v>
      </c>
      <c r="GG56" s="2">
        <v>32.200000000000003</v>
      </c>
      <c r="GH56" s="2">
        <v>32</v>
      </c>
      <c r="GI56" s="2">
        <v>32.299999999999997</v>
      </c>
      <c r="GJ56" s="2">
        <v>32.1</v>
      </c>
      <c r="GK56" s="2">
        <v>32</v>
      </c>
      <c r="GL56" s="2">
        <v>31.8</v>
      </c>
      <c r="GM56" s="2">
        <v>31.2</v>
      </c>
      <c r="GN56" s="2">
        <v>25.9</v>
      </c>
      <c r="GO56" s="2">
        <v>28.2</v>
      </c>
      <c r="GP56" s="2">
        <v>30.2</v>
      </c>
      <c r="GQ56" s="2">
        <v>29.5</v>
      </c>
      <c r="GR56" s="2">
        <v>31</v>
      </c>
      <c r="GS56" s="2">
        <v>31.6</v>
      </c>
      <c r="GT56" s="2">
        <v>31.7</v>
      </c>
      <c r="GU56" s="2">
        <v>31.8</v>
      </c>
      <c r="GV56" s="2">
        <v>31.7</v>
      </c>
      <c r="GW56" s="2">
        <v>31.8</v>
      </c>
      <c r="GX56" s="2">
        <v>31.7</v>
      </c>
      <c r="GY56" s="2">
        <v>31.7</v>
      </c>
      <c r="GZ56" s="2">
        <v>31.7</v>
      </c>
      <c r="HA56" s="2">
        <v>31.5</v>
      </c>
      <c r="HB56" s="2">
        <v>31.6</v>
      </c>
      <c r="HC56" s="2">
        <v>32</v>
      </c>
      <c r="HD56" s="2">
        <v>32</v>
      </c>
      <c r="HE56" s="2">
        <v>32.1</v>
      </c>
      <c r="HF56" s="2">
        <v>31.8</v>
      </c>
      <c r="HG56" s="3">
        <v>32</v>
      </c>
      <c r="HH56" s="3">
        <v>32</v>
      </c>
      <c r="HI56" s="3">
        <v>32</v>
      </c>
      <c r="HJ56" s="3">
        <v>32</v>
      </c>
      <c r="HK56" s="3">
        <v>32</v>
      </c>
      <c r="HL56" s="3">
        <v>32</v>
      </c>
      <c r="HM56" s="3">
        <v>32</v>
      </c>
      <c r="HN56" s="3">
        <v>32</v>
      </c>
      <c r="HO56" s="3">
        <v>31.999790000000001</v>
      </c>
      <c r="HP56" s="3">
        <v>31.999580000000002</v>
      </c>
      <c r="HQ56" s="3">
        <v>31.999369999999999</v>
      </c>
      <c r="HR56" s="3">
        <v>31.999169999999999</v>
      </c>
      <c r="HS56" s="3">
        <v>31.99896</v>
      </c>
      <c r="HT56" s="3">
        <v>31.998750000000001</v>
      </c>
      <c r="HU56" s="3">
        <v>31.998539999999998</v>
      </c>
      <c r="HV56" s="3">
        <v>31.998329999999999</v>
      </c>
      <c r="HW56" s="3">
        <v>31.99813</v>
      </c>
      <c r="HX56" s="3">
        <v>31.997920000000001</v>
      </c>
      <c r="HY56" s="3">
        <v>31.997710000000001</v>
      </c>
      <c r="HZ56" s="3">
        <v>31.997499999999999</v>
      </c>
      <c r="IA56" s="3">
        <v>31.99729</v>
      </c>
      <c r="IB56" s="3">
        <v>31.99708</v>
      </c>
      <c r="IC56" s="3">
        <v>31.996880000000001</v>
      </c>
      <c r="ID56" s="3">
        <v>31.996670000000002</v>
      </c>
      <c r="IE56" s="3">
        <v>31.996459999999999</v>
      </c>
      <c r="IF56" s="3">
        <v>31.99625</v>
      </c>
      <c r="IG56" s="3">
        <v>31.996040000000001</v>
      </c>
      <c r="IH56" s="3">
        <v>31.995830000000002</v>
      </c>
      <c r="II56" s="3">
        <v>31.995619999999999</v>
      </c>
      <c r="IJ56" s="3">
        <v>31.995419999999999</v>
      </c>
      <c r="IK56" s="3">
        <v>31.99521</v>
      </c>
      <c r="IL56" s="3">
        <v>31.995000000000001</v>
      </c>
      <c r="IM56" s="3">
        <v>31.994430000000001</v>
      </c>
      <c r="IN56" s="3">
        <v>31.993849999999998</v>
      </c>
      <c r="IO56" s="3">
        <v>31.993279999999999</v>
      </c>
      <c r="IP56" s="3">
        <v>31.992709999999999</v>
      </c>
      <c r="IQ56" s="3">
        <v>31.992139999999999</v>
      </c>
      <c r="IR56" s="3">
        <v>31.99156</v>
      </c>
      <c r="IS56" s="3">
        <v>31.99099</v>
      </c>
      <c r="IT56" s="3">
        <v>31.99042</v>
      </c>
      <c r="IU56" s="3">
        <v>31.989840000000001</v>
      </c>
      <c r="IV56" s="3">
        <v>31.989270000000001</v>
      </c>
      <c r="IW56" s="3">
        <v>31.988700000000001</v>
      </c>
      <c r="IX56" s="3">
        <v>31.988119999999999</v>
      </c>
      <c r="IY56" s="3">
        <v>31.987549999999999</v>
      </c>
      <c r="IZ56" s="3">
        <v>31.986979999999999</v>
      </c>
      <c r="JA56" s="3">
        <v>31.986409999999999</v>
      </c>
      <c r="JB56" s="3">
        <v>31.98583</v>
      </c>
      <c r="JC56" s="3">
        <v>31.98526</v>
      </c>
      <c r="JD56" s="3">
        <v>31.984690000000001</v>
      </c>
      <c r="JE56" s="3">
        <v>31.984110000000001</v>
      </c>
      <c r="JF56" s="3">
        <v>31.983540000000001</v>
      </c>
      <c r="JG56" s="3">
        <v>31.982970000000002</v>
      </c>
      <c r="JH56" s="3">
        <v>31.982399999999998</v>
      </c>
      <c r="JI56" s="3">
        <v>31.981819999999999</v>
      </c>
      <c r="JJ56" s="3">
        <v>31.981249999999999</v>
      </c>
      <c r="JK56" s="3">
        <v>31.98068</v>
      </c>
      <c r="JL56" s="3">
        <v>31.9801</v>
      </c>
      <c r="JM56" s="3">
        <v>31.97953</v>
      </c>
      <c r="JN56" s="3">
        <v>31.978960000000001</v>
      </c>
      <c r="JO56" s="3">
        <v>31.978390000000001</v>
      </c>
      <c r="JP56" s="3">
        <v>31.977810000000002</v>
      </c>
      <c r="JQ56" s="3">
        <v>31.977239999999998</v>
      </c>
      <c r="JR56" s="3">
        <v>31.976669999999999</v>
      </c>
      <c r="JS56" s="3">
        <v>31.975919999999999</v>
      </c>
      <c r="JT56" s="3">
        <v>31.975169999999999</v>
      </c>
      <c r="JU56" s="3">
        <v>31.974419999999999</v>
      </c>
      <c r="JV56" s="3">
        <v>31.973669999999998</v>
      </c>
      <c r="JW56" s="3">
        <v>31.972919999999998</v>
      </c>
      <c r="JX56" s="3">
        <v>31.972169999999998</v>
      </c>
      <c r="JY56" s="3">
        <v>31.971419999999998</v>
      </c>
      <c r="JZ56" s="3">
        <v>31.970669999999998</v>
      </c>
      <c r="KA56" s="3">
        <v>31.969919999999998</v>
      </c>
      <c r="KB56" s="3">
        <v>31.969169999999998</v>
      </c>
      <c r="KC56" s="3">
        <v>31.968419999999998</v>
      </c>
      <c r="KD56" s="3">
        <v>31.967669999999998</v>
      </c>
      <c r="KE56" s="3">
        <v>31.966920000000002</v>
      </c>
      <c r="KF56" s="3">
        <v>31.966170000000002</v>
      </c>
      <c r="KG56" s="3">
        <v>31.965420000000002</v>
      </c>
      <c r="KH56" s="3">
        <v>31.964670000000002</v>
      </c>
      <c r="KI56" s="3">
        <v>31.963920000000002</v>
      </c>
      <c r="KJ56" s="3">
        <v>31.963170000000002</v>
      </c>
      <c r="KK56" s="3">
        <v>31.962420000000002</v>
      </c>
      <c r="KL56" s="3">
        <v>31.961670000000002</v>
      </c>
      <c r="KM56" s="3">
        <v>31.960920000000002</v>
      </c>
      <c r="KN56" s="3">
        <v>31.960170000000002</v>
      </c>
      <c r="KO56" s="3">
        <v>31.959420000000001</v>
      </c>
      <c r="KP56" s="3">
        <v>31.958670000000001</v>
      </c>
      <c r="KQ56" s="3">
        <v>31.957920000000001</v>
      </c>
      <c r="KR56" s="3">
        <v>31.957170000000001</v>
      </c>
      <c r="KS56" s="3">
        <v>31.956420000000001</v>
      </c>
      <c r="KT56" s="3">
        <v>31.955670000000001</v>
      </c>
      <c r="KU56" s="3">
        <v>31.954920000000001</v>
      </c>
      <c r="KV56" s="3">
        <v>31.954170000000001</v>
      </c>
      <c r="KW56" s="3">
        <v>31.953420000000001</v>
      </c>
      <c r="KX56" s="3">
        <v>31.952670000000001</v>
      </c>
      <c r="KY56" s="3">
        <v>31.951920000000001</v>
      </c>
      <c r="KZ56" s="3">
        <v>31.951170000000001</v>
      </c>
      <c r="LA56" s="3">
        <v>31.950420000000001</v>
      </c>
      <c r="LB56" s="3">
        <v>31.949670000000001</v>
      </c>
      <c r="LC56" s="3">
        <v>31.948920000000001</v>
      </c>
      <c r="LD56" s="3">
        <v>31.948170000000001</v>
      </c>
      <c r="LE56" s="3">
        <v>31.947420000000001</v>
      </c>
      <c r="LF56" s="3">
        <v>31.946670000000001</v>
      </c>
      <c r="LG56" s="3">
        <v>31.945920000000001</v>
      </c>
      <c r="LH56" s="3">
        <v>31.945170000000001</v>
      </c>
      <c r="LI56" s="3">
        <v>31.944420000000001</v>
      </c>
      <c r="LJ56" s="3">
        <v>31.943670000000001</v>
      </c>
      <c r="LK56" s="3">
        <v>31.942920000000001</v>
      </c>
      <c r="LL56" s="3">
        <v>31.942170000000001</v>
      </c>
      <c r="LM56" s="3">
        <v>31.941420000000001</v>
      </c>
      <c r="LN56" s="3">
        <v>31.940670000000001</v>
      </c>
      <c r="LO56" s="3">
        <v>31.939920000000001</v>
      </c>
      <c r="LP56" s="3">
        <v>31.939170000000001</v>
      </c>
      <c r="LQ56" s="3">
        <v>31.938420000000001</v>
      </c>
      <c r="LR56" s="3">
        <v>31.937670000000001</v>
      </c>
      <c r="LS56" s="3">
        <v>31.936920000000001</v>
      </c>
      <c r="LT56" s="3">
        <v>31.936170000000001</v>
      </c>
      <c r="LU56" s="3">
        <v>31.935420000000001</v>
      </c>
      <c r="LV56" s="3">
        <v>31.934670000000001</v>
      </c>
      <c r="LW56" s="3">
        <v>31.933920000000001</v>
      </c>
      <c r="LX56" s="3">
        <v>31.93317</v>
      </c>
      <c r="LY56" s="3">
        <v>31.93242</v>
      </c>
      <c r="LZ56" s="3">
        <v>31.93167</v>
      </c>
      <c r="MA56" s="3">
        <v>31.93092</v>
      </c>
      <c r="MB56" s="3">
        <v>31.93017</v>
      </c>
      <c r="MC56" s="3">
        <v>31.92942</v>
      </c>
      <c r="MD56" s="3">
        <v>31.92867</v>
      </c>
      <c r="ME56" s="3">
        <v>31.92792</v>
      </c>
      <c r="MF56" s="3">
        <v>31.92717</v>
      </c>
      <c r="MG56" s="3">
        <v>31.92642</v>
      </c>
      <c r="MH56" s="3">
        <v>31.92567</v>
      </c>
      <c r="MI56" s="3">
        <v>31.92492</v>
      </c>
      <c r="MJ56" s="3">
        <v>31.92417</v>
      </c>
      <c r="MK56" s="3">
        <v>31.92342</v>
      </c>
      <c r="ML56" s="3">
        <v>31.92267</v>
      </c>
      <c r="MM56" s="3">
        <v>31.92192</v>
      </c>
      <c r="MN56" s="3">
        <v>31.92117</v>
      </c>
      <c r="MO56" s="3">
        <v>31.92042</v>
      </c>
      <c r="MP56" s="3">
        <v>31.91967</v>
      </c>
      <c r="MQ56" s="3">
        <v>31.91892</v>
      </c>
      <c r="MR56" s="3">
        <v>31.91817</v>
      </c>
      <c r="MS56" s="3">
        <v>31.91742</v>
      </c>
      <c r="MT56" s="3">
        <v>31.91667</v>
      </c>
      <c r="MU56" t="s">
        <v>470</v>
      </c>
      <c r="MV56" t="b">
        <v>0</v>
      </c>
      <c r="MW56" t="s">
        <v>377</v>
      </c>
      <c r="MX56" t="s">
        <v>377</v>
      </c>
      <c r="MY56">
        <v>2024</v>
      </c>
      <c r="MZ56">
        <v>4</v>
      </c>
      <c r="NA56" t="s">
        <v>377</v>
      </c>
      <c r="NB56" t="s">
        <v>471</v>
      </c>
      <c r="NC56" t="s">
        <v>472</v>
      </c>
      <c r="ND56" t="s">
        <v>380</v>
      </c>
      <c r="NE56" t="s">
        <v>473</v>
      </c>
      <c r="NF56" s="1" t="s">
        <v>526</v>
      </c>
    </row>
    <row r="57" spans="1:370" x14ac:dyDescent="0.25">
      <c r="A57" t="s">
        <v>382</v>
      </c>
      <c r="B57" t="s">
        <v>468</v>
      </c>
      <c r="C57" s="1" t="s">
        <v>525</v>
      </c>
      <c r="D57" t="s">
        <v>469</v>
      </c>
      <c r="E57" t="s">
        <v>377</v>
      </c>
      <c r="F57" t="s">
        <v>374</v>
      </c>
      <c r="G57" s="2">
        <v>36.9</v>
      </c>
      <c r="H57" s="2">
        <v>36.9</v>
      </c>
      <c r="I57" s="2">
        <v>36.833329999999997</v>
      </c>
      <c r="J57" s="2">
        <v>36.766669999999998</v>
      </c>
      <c r="K57" s="2">
        <v>36.6</v>
      </c>
      <c r="L57" s="2">
        <v>36.5</v>
      </c>
      <c r="M57" s="2">
        <v>36.466670000000001</v>
      </c>
      <c r="N57" s="2">
        <v>36.166670000000003</v>
      </c>
      <c r="O57" s="2">
        <v>35.866660000000003</v>
      </c>
      <c r="P57" s="2">
        <v>35.866660000000003</v>
      </c>
      <c r="Q57" s="2">
        <v>36.033329999999999</v>
      </c>
      <c r="R57" s="2">
        <v>36.133339999999997</v>
      </c>
      <c r="S57" s="2">
        <v>36.233330000000002</v>
      </c>
      <c r="T57" s="2">
        <v>36.1</v>
      </c>
      <c r="U57" s="2">
        <v>36.066670000000002</v>
      </c>
      <c r="V57" s="2">
        <v>35.9</v>
      </c>
      <c r="W57" s="2">
        <v>35.833329999999997</v>
      </c>
      <c r="X57" s="2">
        <v>36</v>
      </c>
      <c r="Y57" s="2">
        <v>35.866660000000003</v>
      </c>
      <c r="Z57" s="2">
        <v>35.9</v>
      </c>
      <c r="AA57" s="2">
        <v>35.566670000000002</v>
      </c>
      <c r="AB57" s="2">
        <v>35.833329999999997</v>
      </c>
      <c r="AC57" s="2">
        <v>35.799999999999997</v>
      </c>
      <c r="AD57" s="2">
        <v>35.733330000000002</v>
      </c>
      <c r="AE57" s="2">
        <v>35.700000000000003</v>
      </c>
      <c r="AF57" s="2">
        <v>35.5</v>
      </c>
      <c r="AG57" s="2">
        <v>35.6</v>
      </c>
      <c r="AH57" s="2">
        <v>35.6</v>
      </c>
      <c r="AI57" s="2">
        <v>35.366660000000003</v>
      </c>
      <c r="AJ57" s="2">
        <v>35.1</v>
      </c>
      <c r="AK57" s="2">
        <v>35.033329999999999</v>
      </c>
      <c r="AL57" s="2">
        <v>35.266669999999998</v>
      </c>
      <c r="AM57" s="2">
        <v>35.299999999999997</v>
      </c>
      <c r="AN57" s="2">
        <v>35.266669999999998</v>
      </c>
      <c r="AO57" s="2">
        <v>35.133339999999997</v>
      </c>
      <c r="AP57" s="2">
        <v>35</v>
      </c>
      <c r="AQ57" s="2">
        <v>34.700000000000003</v>
      </c>
      <c r="AR57" s="2">
        <v>34.799999999999997</v>
      </c>
      <c r="AS57" s="2">
        <v>34.766669999999998</v>
      </c>
      <c r="AT57" s="2">
        <v>34.633339999999997</v>
      </c>
      <c r="AU57" s="2">
        <v>34.700000000000003</v>
      </c>
      <c r="AV57" s="2">
        <v>34.866660000000003</v>
      </c>
      <c r="AW57" s="2">
        <v>34.933329999999998</v>
      </c>
      <c r="AX57" s="2">
        <v>35.133339999999997</v>
      </c>
      <c r="AY57" s="2">
        <v>35.166670000000003</v>
      </c>
      <c r="AZ57" s="2">
        <v>35.133339999999997</v>
      </c>
      <c r="BA57" s="2">
        <v>35.066670000000002</v>
      </c>
      <c r="BB57" s="2">
        <v>35</v>
      </c>
      <c r="BC57" s="2">
        <v>34.866660000000003</v>
      </c>
      <c r="BD57" s="2">
        <v>34.9</v>
      </c>
      <c r="BE57" s="2">
        <v>34.799999999999997</v>
      </c>
      <c r="BF57" s="2">
        <v>34.833329999999997</v>
      </c>
      <c r="BG57" s="2">
        <v>34.833329999999997</v>
      </c>
      <c r="BH57" s="2">
        <v>34.633339999999997</v>
      </c>
      <c r="BI57" s="2">
        <v>34.633339999999997</v>
      </c>
      <c r="BJ57" s="2">
        <v>34.633339999999997</v>
      </c>
      <c r="BK57" s="2">
        <v>34.766669999999998</v>
      </c>
      <c r="BL57" s="2">
        <v>34.733330000000002</v>
      </c>
      <c r="BM57" s="2">
        <v>34.733330000000002</v>
      </c>
      <c r="BN57" s="2">
        <v>34.733330000000002</v>
      </c>
      <c r="BO57" s="2">
        <v>34.6</v>
      </c>
      <c r="BP57" s="2">
        <v>34.6</v>
      </c>
      <c r="BQ57" s="2">
        <v>34.533329999999999</v>
      </c>
      <c r="BR57" s="2">
        <v>34.6</v>
      </c>
      <c r="BS57" s="2">
        <v>34.566670000000002</v>
      </c>
      <c r="BT57" s="2">
        <v>34.466670000000001</v>
      </c>
      <c r="BU57" s="2">
        <v>34.466670000000001</v>
      </c>
      <c r="BV57" s="2">
        <v>34.433329999999998</v>
      </c>
      <c r="BW57" s="2">
        <v>34.433329999999998</v>
      </c>
      <c r="BX57" s="2">
        <v>34.299999999999997</v>
      </c>
      <c r="BY57" s="2">
        <v>34.233330000000002</v>
      </c>
      <c r="BZ57" s="2">
        <v>34.166670000000003</v>
      </c>
      <c r="CA57" s="2">
        <v>34.1</v>
      </c>
      <c r="CB57" s="2">
        <v>34.066670000000002</v>
      </c>
      <c r="CC57" s="2">
        <v>34.1</v>
      </c>
      <c r="CD57" s="2">
        <v>34.1</v>
      </c>
      <c r="CE57" s="2">
        <v>34.1</v>
      </c>
      <c r="CF57" s="2">
        <v>34.266669999999998</v>
      </c>
      <c r="CG57" s="2">
        <v>34.233330000000002</v>
      </c>
      <c r="CH57" s="2">
        <v>34.200000000000003</v>
      </c>
      <c r="CI57" s="2">
        <v>34.233330000000002</v>
      </c>
      <c r="CJ57" s="2">
        <v>34.333329999999997</v>
      </c>
      <c r="CK57" s="2">
        <v>34.366660000000003</v>
      </c>
      <c r="CL57" s="2">
        <v>34.433329999999998</v>
      </c>
      <c r="CM57" s="2">
        <v>34.366660000000003</v>
      </c>
      <c r="CN57" s="2">
        <v>34.5</v>
      </c>
      <c r="CO57" s="2">
        <v>34.533329999999999</v>
      </c>
      <c r="CP57" s="2">
        <v>34.5</v>
      </c>
      <c r="CQ57" s="2">
        <v>34.433329999999998</v>
      </c>
      <c r="CR57" s="2">
        <v>34.233330000000002</v>
      </c>
      <c r="CS57" s="2">
        <v>34.299999999999997</v>
      </c>
      <c r="CT57" s="2">
        <v>34.233330000000002</v>
      </c>
      <c r="CU57" s="2">
        <v>34.133339999999997</v>
      </c>
      <c r="CV57" s="2">
        <v>34.299999999999997</v>
      </c>
      <c r="CW57" s="2">
        <v>34.366660000000003</v>
      </c>
      <c r="CX57" s="2">
        <v>34.4</v>
      </c>
      <c r="CY57" s="2">
        <v>34.4</v>
      </c>
      <c r="CZ57" s="2">
        <v>34.466670000000001</v>
      </c>
      <c r="DA57" s="2">
        <v>34.566670000000002</v>
      </c>
      <c r="DB57" s="2">
        <v>34.566670000000002</v>
      </c>
      <c r="DC57" s="2">
        <v>34.5</v>
      </c>
      <c r="DD57" s="2">
        <v>34.433329999999998</v>
      </c>
      <c r="DE57" s="2">
        <v>34.433329999999998</v>
      </c>
      <c r="DF57" s="2">
        <v>34.466670000000001</v>
      </c>
      <c r="DG57" s="2">
        <v>34.4</v>
      </c>
      <c r="DH57" s="2">
        <v>34.366660000000003</v>
      </c>
      <c r="DI57" s="2">
        <v>34.366660000000003</v>
      </c>
      <c r="DJ57" s="2">
        <v>34.4</v>
      </c>
      <c r="DK57" s="2">
        <v>34.4</v>
      </c>
      <c r="DL57" s="2">
        <v>34.333329999999997</v>
      </c>
      <c r="DM57" s="2">
        <v>34.266669999999998</v>
      </c>
      <c r="DN57" s="2">
        <v>34.133339999999997</v>
      </c>
      <c r="DO57" s="2">
        <v>34.1</v>
      </c>
      <c r="DP57" s="2">
        <v>34</v>
      </c>
      <c r="DQ57" s="2">
        <v>33.9</v>
      </c>
      <c r="DR57" s="2">
        <v>33.766669999999998</v>
      </c>
      <c r="DS57" s="2">
        <v>33.833329999999997</v>
      </c>
      <c r="DT57" s="2">
        <v>33.9</v>
      </c>
      <c r="DU57" s="2">
        <v>33.866660000000003</v>
      </c>
      <c r="DV57" s="2">
        <v>33.799999999999997</v>
      </c>
      <c r="DW57" s="2">
        <v>33.666670000000003</v>
      </c>
      <c r="DX57" s="2">
        <v>33.633339999999997</v>
      </c>
      <c r="DY57" s="2">
        <v>33.633339999999997</v>
      </c>
      <c r="DZ57" s="2">
        <v>33.700000000000003</v>
      </c>
      <c r="EA57" s="2">
        <v>33.733330000000002</v>
      </c>
      <c r="EB57" s="2">
        <v>33.700000000000003</v>
      </c>
      <c r="EC57" s="2">
        <v>33.700000000000003</v>
      </c>
      <c r="ED57" s="2">
        <v>33.766669999999998</v>
      </c>
      <c r="EE57" s="2">
        <v>33.733330000000002</v>
      </c>
      <c r="EF57" s="2">
        <v>33.733330000000002</v>
      </c>
      <c r="EG57" s="2">
        <v>33.733330000000002</v>
      </c>
      <c r="EH57" s="2">
        <v>33.799999999999997</v>
      </c>
      <c r="EI57" s="2">
        <v>33.833329999999997</v>
      </c>
      <c r="EJ57" s="2">
        <v>33.833329999999997</v>
      </c>
      <c r="EK57" s="2">
        <v>33.833329999999997</v>
      </c>
      <c r="EL57" s="2">
        <v>33.866660000000003</v>
      </c>
      <c r="EM57" s="2">
        <v>33.799999999999997</v>
      </c>
      <c r="EN57" s="2">
        <v>33.833329999999997</v>
      </c>
      <c r="EO57" s="2">
        <v>33.799999999999997</v>
      </c>
      <c r="EP57" s="2">
        <v>33.799999999999997</v>
      </c>
      <c r="EQ57" s="2">
        <v>33.733330000000002</v>
      </c>
      <c r="ER57" s="2">
        <v>33.700000000000003</v>
      </c>
      <c r="ES57" s="2">
        <v>33.6</v>
      </c>
      <c r="ET57" s="2">
        <v>33.433329999999998</v>
      </c>
      <c r="EU57" s="2">
        <v>33.233330000000002</v>
      </c>
      <c r="EV57" s="2">
        <v>33.033329999999999</v>
      </c>
      <c r="EW57" s="2">
        <v>33.1</v>
      </c>
      <c r="EX57" s="2">
        <v>33.166670000000003</v>
      </c>
      <c r="EY57" s="2">
        <v>33.233330000000002</v>
      </c>
      <c r="EZ57" s="2">
        <v>33.366660000000003</v>
      </c>
      <c r="FA57" s="2">
        <v>33.466670000000001</v>
      </c>
      <c r="FB57" s="2">
        <v>33.533329999999999</v>
      </c>
      <c r="FC57" s="2">
        <v>33.466670000000001</v>
      </c>
      <c r="FD57" s="2">
        <v>33.6</v>
      </c>
      <c r="FE57" s="2">
        <v>33.6</v>
      </c>
      <c r="FF57" s="2">
        <v>33.666670000000003</v>
      </c>
      <c r="FG57" s="2">
        <v>33.733330000000002</v>
      </c>
      <c r="FH57" s="2">
        <v>33.666670000000003</v>
      </c>
      <c r="FI57" s="2">
        <v>33.666670000000003</v>
      </c>
      <c r="FJ57" s="2">
        <v>33.666670000000003</v>
      </c>
      <c r="FK57" s="2">
        <v>33.700000000000003</v>
      </c>
      <c r="FL57" s="2">
        <v>33.666670000000003</v>
      </c>
      <c r="FM57" s="2">
        <v>33.6</v>
      </c>
      <c r="FN57" s="2">
        <v>33.6</v>
      </c>
      <c r="FO57" s="2">
        <v>33.533329999999999</v>
      </c>
      <c r="FP57" s="2">
        <v>33.700000000000003</v>
      </c>
      <c r="FQ57" s="2">
        <v>33.700000000000003</v>
      </c>
      <c r="FR57" s="2">
        <v>33.766669999999998</v>
      </c>
      <c r="FS57" s="2">
        <v>33.733330000000002</v>
      </c>
      <c r="FT57" s="2">
        <v>33.6</v>
      </c>
      <c r="FU57" s="2">
        <v>33.733330000000002</v>
      </c>
      <c r="FV57" s="2">
        <v>33.733330000000002</v>
      </c>
      <c r="FW57" s="2">
        <v>33.633339999999997</v>
      </c>
      <c r="FX57" s="2">
        <v>33.6</v>
      </c>
      <c r="FY57" s="2">
        <v>33.566670000000002</v>
      </c>
      <c r="FZ57" s="2">
        <v>33.566670000000002</v>
      </c>
      <c r="GA57" s="2">
        <v>33.566670000000002</v>
      </c>
      <c r="GB57" s="2">
        <v>33.666670000000003</v>
      </c>
      <c r="GC57" s="2">
        <v>33.633339999999997</v>
      </c>
      <c r="GD57" s="2">
        <v>33.733330000000002</v>
      </c>
      <c r="GE57" s="2">
        <v>33.700000000000003</v>
      </c>
      <c r="GF57" s="2">
        <v>33.733330000000002</v>
      </c>
      <c r="GG57" s="2">
        <v>33.733330000000002</v>
      </c>
      <c r="GH57" s="2">
        <v>33.700000000000003</v>
      </c>
      <c r="GI57" s="2">
        <v>33.700000000000003</v>
      </c>
      <c r="GJ57" s="2">
        <v>33.633339999999997</v>
      </c>
      <c r="GK57" s="2">
        <v>33.566670000000002</v>
      </c>
      <c r="GL57" s="2">
        <v>33.566670000000002</v>
      </c>
      <c r="GM57" s="2">
        <v>33.566670000000002</v>
      </c>
      <c r="GN57" s="2">
        <v>33.866660000000003</v>
      </c>
      <c r="GO57" s="2">
        <v>34.066670000000002</v>
      </c>
      <c r="GP57" s="2">
        <v>34.233330000000002</v>
      </c>
      <c r="GQ57" s="2">
        <v>34.266669999999998</v>
      </c>
      <c r="GR57" s="2">
        <v>34.333329999999997</v>
      </c>
      <c r="GS57" s="2">
        <v>34.233330000000002</v>
      </c>
      <c r="GT57" s="2">
        <v>34.200000000000003</v>
      </c>
      <c r="GU57" s="2">
        <v>34.066670000000002</v>
      </c>
      <c r="GV57" s="2">
        <v>34.066670000000002</v>
      </c>
      <c r="GW57" s="2">
        <v>34.033329999999999</v>
      </c>
      <c r="GX57" s="2">
        <v>33.9</v>
      </c>
      <c r="GY57" s="2">
        <v>33.966670000000001</v>
      </c>
      <c r="GZ57" s="2">
        <v>33.833329999999997</v>
      </c>
      <c r="HA57" s="2">
        <v>33.799999999999997</v>
      </c>
      <c r="HB57" s="2">
        <v>33.766669999999998</v>
      </c>
      <c r="HC57" s="2">
        <v>33.666670000000003</v>
      </c>
      <c r="HD57" s="2">
        <v>33.700000000000003</v>
      </c>
      <c r="HE57" s="2">
        <v>33.700000000000003</v>
      </c>
      <c r="HF57" s="2">
        <v>33.666670000000003</v>
      </c>
      <c r="HG57" s="3">
        <v>33.793590000000002</v>
      </c>
      <c r="HH57" s="3">
        <v>33.789009999999998</v>
      </c>
      <c r="HI57" s="3">
        <v>33.784410000000001</v>
      </c>
      <c r="HJ57" s="3">
        <v>33.779820000000001</v>
      </c>
      <c r="HK57" s="3">
        <v>33.775239999999997</v>
      </c>
      <c r="HL57" s="3">
        <v>33.770659999999999</v>
      </c>
      <c r="HM57" s="3">
        <v>33.76605</v>
      </c>
      <c r="HN57" s="3">
        <v>33.762790000000003</v>
      </c>
      <c r="HO57" s="3">
        <v>33.759520000000002</v>
      </c>
      <c r="HP57" s="3">
        <v>33.756250000000001</v>
      </c>
      <c r="HQ57" s="3">
        <v>33.752980000000001</v>
      </c>
      <c r="HR57" s="3">
        <v>33.74971</v>
      </c>
      <c r="HS57" s="3">
        <v>33.74644</v>
      </c>
      <c r="HT57" s="3">
        <v>33.743169999999999</v>
      </c>
      <c r="HU57" s="3">
        <v>33.739899999999999</v>
      </c>
      <c r="HV57" s="3">
        <v>33.736620000000002</v>
      </c>
      <c r="HW57" s="3">
        <v>33.733350000000002</v>
      </c>
      <c r="HX57" s="3">
        <v>33.730089999999997</v>
      </c>
      <c r="HY57" s="3">
        <v>33.726819999999996</v>
      </c>
      <c r="HZ57" s="3">
        <v>33.723550000000003</v>
      </c>
      <c r="IA57" s="3">
        <v>33.720280000000002</v>
      </c>
      <c r="IB57" s="3">
        <v>33.717010000000002</v>
      </c>
      <c r="IC57" s="3">
        <v>33.713740000000001</v>
      </c>
      <c r="ID57" s="3">
        <v>33.710479999999997</v>
      </c>
      <c r="IE57" s="3">
        <v>33.7072</v>
      </c>
      <c r="IF57" s="3">
        <v>33.703949999999999</v>
      </c>
      <c r="IG57" s="3">
        <v>33.700690000000002</v>
      </c>
      <c r="IH57" s="3">
        <v>33.697420000000001</v>
      </c>
      <c r="II57" s="3">
        <v>33.69415</v>
      </c>
      <c r="IJ57" s="3">
        <v>33.690890000000003</v>
      </c>
      <c r="IK57" s="3">
        <v>33.687620000000003</v>
      </c>
      <c r="IL57" s="3">
        <v>33.684359999999998</v>
      </c>
      <c r="IM57" s="3">
        <v>33.681089999999998</v>
      </c>
      <c r="IN57" s="3">
        <v>33.677819999999997</v>
      </c>
      <c r="IO57" s="3">
        <v>33.67456</v>
      </c>
      <c r="IP57" s="3">
        <v>33.671300000000002</v>
      </c>
      <c r="IQ57" s="3">
        <v>33.668050000000001</v>
      </c>
      <c r="IR57" s="3">
        <v>33.66478</v>
      </c>
      <c r="IS57" s="3">
        <v>33.66151</v>
      </c>
      <c r="IT57" s="3">
        <v>33.658250000000002</v>
      </c>
      <c r="IU57" s="3">
        <v>33.654989999999998</v>
      </c>
      <c r="IV57" s="3">
        <v>33.651739999999997</v>
      </c>
      <c r="IW57" s="3">
        <v>33.648470000000003</v>
      </c>
      <c r="IX57" s="3">
        <v>33.645209999999999</v>
      </c>
      <c r="IY57" s="3">
        <v>33.641950000000001</v>
      </c>
      <c r="IZ57" s="3">
        <v>33.638689999999997</v>
      </c>
      <c r="JA57" s="3">
        <v>33.635440000000003</v>
      </c>
      <c r="JB57" s="3">
        <v>33.632179999999998</v>
      </c>
      <c r="JC57" s="3">
        <v>33.628909999999998</v>
      </c>
      <c r="JD57" s="3">
        <v>33.62565</v>
      </c>
      <c r="JE57" s="3">
        <v>33.622410000000002</v>
      </c>
      <c r="JF57" s="3">
        <v>33.619140000000002</v>
      </c>
      <c r="JG57" s="3">
        <v>33.615879999999997</v>
      </c>
      <c r="JH57" s="3">
        <v>33.612630000000003</v>
      </c>
      <c r="JI57" s="3">
        <v>33.609369999999998</v>
      </c>
      <c r="JJ57" s="3">
        <v>33.606119999999997</v>
      </c>
      <c r="JK57" s="3">
        <v>33.602870000000003</v>
      </c>
      <c r="JL57" s="3">
        <v>33.599600000000002</v>
      </c>
      <c r="JM57" s="3">
        <v>33.596350000000001</v>
      </c>
      <c r="JN57" s="3">
        <v>33.5931</v>
      </c>
      <c r="JO57" s="3">
        <v>33.589829999999999</v>
      </c>
      <c r="JP57" s="3">
        <v>33.586579999999998</v>
      </c>
      <c r="JQ57" s="3">
        <v>33.583320000000001</v>
      </c>
      <c r="JR57" s="3">
        <v>33.580060000000003</v>
      </c>
      <c r="JS57" s="3">
        <v>33.576819999999998</v>
      </c>
      <c r="JT57" s="3">
        <v>33.573569999999997</v>
      </c>
      <c r="JU57" s="3">
        <v>33.570300000000003</v>
      </c>
      <c r="JV57" s="3">
        <v>33.567070000000001</v>
      </c>
      <c r="JW57" s="3">
        <v>33.56382</v>
      </c>
      <c r="JX57" s="3">
        <v>33.560560000000002</v>
      </c>
      <c r="JY57" s="3">
        <v>33.557310000000001</v>
      </c>
      <c r="JZ57" s="3">
        <v>33.55406</v>
      </c>
      <c r="KA57" s="3">
        <v>33.550800000000002</v>
      </c>
      <c r="KB57" s="3">
        <v>33.547550000000001</v>
      </c>
      <c r="KC57" s="3">
        <v>33.5443</v>
      </c>
      <c r="KD57" s="3">
        <v>33.541040000000002</v>
      </c>
      <c r="KE57" s="3">
        <v>33.537790000000001</v>
      </c>
      <c r="KF57" s="3">
        <v>33.534550000000003</v>
      </c>
      <c r="KG57" s="3">
        <v>33.531280000000002</v>
      </c>
      <c r="KH57" s="3">
        <v>33.52805</v>
      </c>
      <c r="KI57" s="3">
        <v>33.524799999999999</v>
      </c>
      <c r="KJ57" s="3">
        <v>33.521540000000002</v>
      </c>
      <c r="KK57" s="3">
        <v>33.51829</v>
      </c>
      <c r="KL57" s="3">
        <v>33.515039999999999</v>
      </c>
      <c r="KM57" s="3">
        <v>33.511780000000002</v>
      </c>
      <c r="KN57" s="3">
        <v>33.50853</v>
      </c>
      <c r="KO57" s="3">
        <v>33.505270000000003</v>
      </c>
      <c r="KP57" s="3">
        <v>33.502020000000002</v>
      </c>
      <c r="KQ57" s="3">
        <v>33.49877</v>
      </c>
      <c r="KR57" s="3">
        <v>33.495519999999999</v>
      </c>
      <c r="KS57" s="3">
        <v>33.492260000000002</v>
      </c>
      <c r="KT57" s="3">
        <v>33.48903</v>
      </c>
      <c r="KU57" s="3">
        <v>33.485770000000002</v>
      </c>
      <c r="KV57" s="3">
        <v>33.482520000000001</v>
      </c>
      <c r="KW57" s="3">
        <v>33.47927</v>
      </c>
      <c r="KX57" s="3">
        <v>33.476019999999998</v>
      </c>
      <c r="KY57" s="3">
        <v>33.472760000000001</v>
      </c>
      <c r="KZ57" s="3">
        <v>33.46951</v>
      </c>
      <c r="LA57" s="3">
        <v>33.466250000000002</v>
      </c>
      <c r="LB57" s="3">
        <v>33.463000000000001</v>
      </c>
      <c r="LC57" s="3">
        <v>33.45975</v>
      </c>
      <c r="LD57" s="3">
        <v>33.456499999999998</v>
      </c>
      <c r="LE57" s="3">
        <v>33.453240000000001</v>
      </c>
      <c r="LF57" s="3">
        <v>33.44999</v>
      </c>
      <c r="LG57" s="3">
        <v>33.446739999999998</v>
      </c>
      <c r="LH57" s="3">
        <v>33.443489999999997</v>
      </c>
      <c r="LI57" s="3">
        <v>33.440240000000003</v>
      </c>
      <c r="LJ57" s="3">
        <v>33.436990000000002</v>
      </c>
      <c r="LK57" s="3">
        <v>33.43374</v>
      </c>
      <c r="LL57" s="3">
        <v>33.430489999999999</v>
      </c>
      <c r="LM57" s="3">
        <v>33.427239999999998</v>
      </c>
      <c r="LN57" s="3">
        <v>33.423990000000003</v>
      </c>
      <c r="LO57" s="3">
        <v>33.420740000000002</v>
      </c>
      <c r="LP57" s="3">
        <v>33.417490000000001</v>
      </c>
      <c r="LQ57" s="3">
        <v>33.414239999999999</v>
      </c>
      <c r="LR57" s="3">
        <v>33.410989999999998</v>
      </c>
      <c r="LS57" s="3">
        <v>33.407739999999997</v>
      </c>
      <c r="LT57" s="3">
        <v>33.404499999999999</v>
      </c>
      <c r="LU57" s="3">
        <v>33.401249999999997</v>
      </c>
      <c r="LV57" s="3">
        <v>33.398000000000003</v>
      </c>
      <c r="LW57" s="3">
        <v>33.394759999999998</v>
      </c>
      <c r="LX57" s="3">
        <v>33.391509999999997</v>
      </c>
      <c r="LY57" s="3">
        <v>33.388260000000002</v>
      </c>
      <c r="LZ57" s="3">
        <v>33.385019999999997</v>
      </c>
      <c r="MA57" s="3">
        <v>33.381770000000003</v>
      </c>
      <c r="MB57" s="3">
        <v>33.378520000000002</v>
      </c>
      <c r="MC57" s="3">
        <v>33.375279999999997</v>
      </c>
      <c r="MD57" s="3">
        <v>33.372030000000002</v>
      </c>
      <c r="ME57" s="3">
        <v>33.368789999999997</v>
      </c>
      <c r="MF57" s="3">
        <v>33.365549999999999</v>
      </c>
      <c r="MG57" s="3">
        <v>33.362299999999998</v>
      </c>
      <c r="MH57" s="3">
        <v>33.359059999999999</v>
      </c>
      <c r="MI57" s="3">
        <v>33.355820000000001</v>
      </c>
      <c r="MJ57" s="3">
        <v>33.352580000000003</v>
      </c>
      <c r="MK57" s="3">
        <v>33.349330000000002</v>
      </c>
      <c r="ML57" s="3">
        <v>33.346089999999997</v>
      </c>
      <c r="MM57" s="3">
        <v>33.342849999999999</v>
      </c>
      <c r="MN57" s="3">
        <v>33.33961</v>
      </c>
      <c r="MO57" s="3">
        <v>33.336359999999999</v>
      </c>
      <c r="MP57" s="3">
        <v>33.333120000000001</v>
      </c>
      <c r="MQ57" s="3">
        <v>33.329880000000003</v>
      </c>
      <c r="MR57" s="3">
        <v>33.326639999999998</v>
      </c>
      <c r="MS57" s="3">
        <v>33.323410000000003</v>
      </c>
      <c r="MT57" s="3">
        <v>33.320169999999997</v>
      </c>
      <c r="MU57" t="s">
        <v>421</v>
      </c>
      <c r="MV57" t="b">
        <v>1</v>
      </c>
      <c r="MW57" t="s">
        <v>377</v>
      </c>
      <c r="MX57" t="s">
        <v>377</v>
      </c>
      <c r="MY57">
        <v>2024</v>
      </c>
      <c r="MZ57">
        <v>4</v>
      </c>
      <c r="NA57" t="s">
        <v>377</v>
      </c>
      <c r="NB57" t="s">
        <v>474</v>
      </c>
      <c r="NC57" t="s">
        <v>475</v>
      </c>
      <c r="ND57" t="s">
        <v>389</v>
      </c>
      <c r="NE57" t="s">
        <v>473</v>
      </c>
      <c r="NF57" s="1" t="s">
        <v>526</v>
      </c>
    </row>
    <row r="58" spans="1:370" x14ac:dyDescent="0.25">
      <c r="A58" t="s">
        <v>370</v>
      </c>
      <c r="B58" t="s">
        <v>476</v>
      </c>
      <c r="C58" s="1" t="s">
        <v>525</v>
      </c>
      <c r="D58" t="s">
        <v>477</v>
      </c>
      <c r="E58" t="s">
        <v>377</v>
      </c>
      <c r="F58" t="s">
        <v>374</v>
      </c>
      <c r="G58" s="2">
        <v>284961.7</v>
      </c>
      <c r="H58" s="2">
        <v>285664.3</v>
      </c>
      <c r="I58" s="2">
        <v>286372.7</v>
      </c>
      <c r="J58" s="2">
        <v>287086.90000000002</v>
      </c>
      <c r="K58" s="2">
        <v>287816.59999999998</v>
      </c>
      <c r="L58" s="2">
        <v>288543.59999999998</v>
      </c>
      <c r="M58" s="2">
        <v>289232.5</v>
      </c>
      <c r="N58" s="2">
        <v>289883.3</v>
      </c>
      <c r="O58" s="2">
        <v>290563.3</v>
      </c>
      <c r="P58" s="2">
        <v>291258.2</v>
      </c>
      <c r="Q58" s="2">
        <v>291879.90000000002</v>
      </c>
      <c r="R58" s="2">
        <v>292428.59999999998</v>
      </c>
      <c r="S58" s="2">
        <v>292999.90000000002</v>
      </c>
      <c r="T58" s="2">
        <v>293600.3</v>
      </c>
      <c r="U58" s="2">
        <v>294143.09999999998</v>
      </c>
      <c r="V58" s="2">
        <v>294628.40000000002</v>
      </c>
      <c r="W58" s="2">
        <v>295115.2</v>
      </c>
      <c r="X58" s="2">
        <v>295625.2</v>
      </c>
      <c r="Y58" s="2">
        <v>296130.2</v>
      </c>
      <c r="Z58" s="2">
        <v>296630.2</v>
      </c>
      <c r="AA58" s="2">
        <v>297110.90000000002</v>
      </c>
      <c r="AB58" s="2">
        <v>297594.09999999998</v>
      </c>
      <c r="AC58" s="2">
        <v>298124.7</v>
      </c>
      <c r="AD58" s="2">
        <v>298702.8</v>
      </c>
      <c r="AE58" s="2">
        <v>299240.8</v>
      </c>
      <c r="AF58" s="2">
        <v>299760.5</v>
      </c>
      <c r="AG58" s="2">
        <v>300380.2</v>
      </c>
      <c r="AH58" s="2">
        <v>301099.8</v>
      </c>
      <c r="AI58" s="2">
        <v>305710.09999999998</v>
      </c>
      <c r="AJ58" s="2">
        <v>306399.5</v>
      </c>
      <c r="AK58" s="2">
        <v>307054.90000000002</v>
      </c>
      <c r="AL58" s="2">
        <v>307760.8</v>
      </c>
      <c r="AM58" s="2">
        <v>308462.7</v>
      </c>
      <c r="AN58" s="2">
        <v>309145.40000000002</v>
      </c>
      <c r="AO58" s="2">
        <v>309685.09999999998</v>
      </c>
      <c r="AP58" s="2">
        <v>310237.59999999998</v>
      </c>
      <c r="AQ58" s="2">
        <v>310773</v>
      </c>
      <c r="AR58" s="2">
        <v>311304.09999999998</v>
      </c>
      <c r="AS58" s="2">
        <v>312006</v>
      </c>
      <c r="AT58" s="2">
        <v>312752.59999999998</v>
      </c>
      <c r="AU58" s="2">
        <v>313469.8</v>
      </c>
      <c r="AV58" s="2">
        <v>314170.8</v>
      </c>
      <c r="AW58" s="2">
        <v>315042.90000000002</v>
      </c>
      <c r="AX58" s="2">
        <v>315991.8</v>
      </c>
      <c r="AY58" s="2">
        <v>316899.40000000002</v>
      </c>
      <c r="AZ58" s="2">
        <v>317778.5</v>
      </c>
      <c r="BA58" s="2">
        <v>318840.40000000002</v>
      </c>
      <c r="BB58" s="2">
        <v>320011.8</v>
      </c>
      <c r="BC58" s="2">
        <v>321121.7</v>
      </c>
      <c r="BD58" s="2">
        <v>322191.09999999998</v>
      </c>
      <c r="BE58" s="2">
        <v>323401.40000000002</v>
      </c>
      <c r="BF58" s="2">
        <v>324774</v>
      </c>
      <c r="BG58" s="2">
        <v>326094.3</v>
      </c>
      <c r="BH58" s="2">
        <v>327353.40000000002</v>
      </c>
      <c r="BI58" s="2">
        <v>328357.09999999998</v>
      </c>
      <c r="BJ58" s="2">
        <v>329500.79999999999</v>
      </c>
      <c r="BK58" s="2">
        <v>330621.3</v>
      </c>
      <c r="BL58" s="2">
        <v>331686.3</v>
      </c>
      <c r="BM58" s="2">
        <v>332802</v>
      </c>
      <c r="BN58" s="2">
        <v>333979.8</v>
      </c>
      <c r="BO58" s="2">
        <v>335165.2</v>
      </c>
      <c r="BP58" s="2">
        <v>336326.1</v>
      </c>
      <c r="BQ58" s="2">
        <v>337543.9</v>
      </c>
      <c r="BR58" s="2">
        <v>338746.7</v>
      </c>
      <c r="BS58" s="2">
        <v>339988.5</v>
      </c>
      <c r="BT58" s="2">
        <v>341236.8</v>
      </c>
      <c r="BU58" s="2">
        <v>342391.9</v>
      </c>
      <c r="BV58" s="2">
        <v>343453.9</v>
      </c>
      <c r="BW58" s="2">
        <v>344556.3</v>
      </c>
      <c r="BX58" s="2">
        <v>345697</v>
      </c>
      <c r="BY58" s="2">
        <v>346798.8</v>
      </c>
      <c r="BZ58" s="2">
        <v>347801.59999999998</v>
      </c>
      <c r="CA58" s="2">
        <v>348823.9</v>
      </c>
      <c r="CB58" s="2">
        <v>349887.5</v>
      </c>
      <c r="CC58" s="2">
        <v>350817.9</v>
      </c>
      <c r="CD58" s="2">
        <v>351700.9</v>
      </c>
      <c r="CE58" s="2">
        <v>352599.9</v>
      </c>
      <c r="CF58" s="2">
        <v>353518.7</v>
      </c>
      <c r="CG58" s="2">
        <v>354372.5</v>
      </c>
      <c r="CH58" s="2">
        <v>355187.5</v>
      </c>
      <c r="CI58" s="2">
        <v>356014.8</v>
      </c>
      <c r="CJ58" s="2">
        <v>356858.4</v>
      </c>
      <c r="CK58" s="2">
        <v>357701.2</v>
      </c>
      <c r="CL58" s="2">
        <v>358513.9</v>
      </c>
      <c r="CM58" s="2">
        <v>359335.7</v>
      </c>
      <c r="CN58" s="2">
        <v>360170.3</v>
      </c>
      <c r="CO58" s="2">
        <v>361006.9</v>
      </c>
      <c r="CP58" s="2">
        <v>361822.1</v>
      </c>
      <c r="CQ58" s="2">
        <v>362716.5</v>
      </c>
      <c r="CR58" s="2">
        <v>363618.8</v>
      </c>
      <c r="CS58" s="2">
        <v>364289.3</v>
      </c>
      <c r="CT58" s="2">
        <v>364765.5</v>
      </c>
      <c r="CU58" s="2">
        <v>365321.5</v>
      </c>
      <c r="CV58" s="2">
        <v>365954.9</v>
      </c>
      <c r="CW58" s="2">
        <v>366558.6</v>
      </c>
      <c r="CX58" s="2">
        <v>366961.8</v>
      </c>
      <c r="CY58" s="2">
        <v>367339.3</v>
      </c>
      <c r="CZ58" s="2">
        <v>367799.4</v>
      </c>
      <c r="DA58" s="2">
        <v>368335.6</v>
      </c>
      <c r="DB58" s="2">
        <v>368931.3</v>
      </c>
      <c r="DC58" s="2">
        <v>369398.2</v>
      </c>
      <c r="DD58" s="2">
        <v>369844.5</v>
      </c>
      <c r="DE58" s="2">
        <v>370802</v>
      </c>
      <c r="DF58" s="2">
        <v>372081.5</v>
      </c>
      <c r="DG58" s="2">
        <v>373129.6</v>
      </c>
      <c r="DH58" s="2">
        <v>374054.2</v>
      </c>
      <c r="DI58" s="2">
        <v>375671.4</v>
      </c>
      <c r="DJ58" s="2">
        <v>377878.1</v>
      </c>
      <c r="DK58" s="2">
        <v>379754.3</v>
      </c>
      <c r="DL58" s="2">
        <v>381403.9</v>
      </c>
      <c r="DM58" s="2">
        <v>383917.8</v>
      </c>
      <c r="DN58" s="2">
        <v>387283.8</v>
      </c>
      <c r="DO58" s="2">
        <v>390395</v>
      </c>
      <c r="DP58" s="2">
        <v>393176.9</v>
      </c>
      <c r="DQ58" s="2">
        <v>396657.2</v>
      </c>
      <c r="DR58" s="2">
        <v>400820.9</v>
      </c>
      <c r="DS58" s="2">
        <v>404886</v>
      </c>
      <c r="DT58" s="2">
        <v>408691.4</v>
      </c>
      <c r="DU58" s="2">
        <v>412809</v>
      </c>
      <c r="DV58" s="2">
        <v>417228.1</v>
      </c>
      <c r="DW58" s="2">
        <v>421703</v>
      </c>
      <c r="DX58" s="2">
        <v>426072.3</v>
      </c>
      <c r="DY58" s="2">
        <v>430408.7</v>
      </c>
      <c r="DZ58" s="2">
        <v>434658.5</v>
      </c>
      <c r="EA58" s="2">
        <v>439119.6</v>
      </c>
      <c r="EB58" s="2">
        <v>443630.4</v>
      </c>
      <c r="EC58" s="2">
        <v>448052.4</v>
      </c>
      <c r="ED58" s="2">
        <v>451995.5</v>
      </c>
      <c r="EE58" s="2">
        <v>456140.6</v>
      </c>
      <c r="EF58" s="2">
        <v>460499.9</v>
      </c>
      <c r="EG58" s="2">
        <v>464348.4</v>
      </c>
      <c r="EH58" s="2">
        <v>467732.7</v>
      </c>
      <c r="EI58" s="2">
        <v>471209.7</v>
      </c>
      <c r="EJ58" s="2">
        <v>474891.1</v>
      </c>
      <c r="EK58" s="2">
        <v>478299.1</v>
      </c>
      <c r="EL58" s="2">
        <v>481504.5</v>
      </c>
      <c r="EM58" s="2">
        <v>484819.3</v>
      </c>
      <c r="EN58" s="2">
        <v>488229</v>
      </c>
      <c r="EO58" s="2">
        <v>491140.7</v>
      </c>
      <c r="EP58" s="2">
        <v>493808</v>
      </c>
      <c r="EQ58" s="2">
        <v>496596.4</v>
      </c>
      <c r="ER58" s="2">
        <v>499491.3</v>
      </c>
      <c r="ES58" s="2">
        <v>501833.9</v>
      </c>
      <c r="ET58" s="2">
        <v>503890.9</v>
      </c>
      <c r="EU58" s="2">
        <v>506081.4</v>
      </c>
      <c r="EV58" s="2">
        <v>508390.9</v>
      </c>
      <c r="EW58" s="2">
        <v>510449.5</v>
      </c>
      <c r="EX58" s="2">
        <v>512183.3</v>
      </c>
      <c r="EY58" s="2">
        <v>513913.4</v>
      </c>
      <c r="EZ58" s="2">
        <v>515780.1</v>
      </c>
      <c r="FA58" s="2">
        <v>517750.8</v>
      </c>
      <c r="FB58" s="2">
        <v>519733.6</v>
      </c>
      <c r="FC58" s="3">
        <v>521714.2</v>
      </c>
      <c r="FD58" s="3">
        <v>523693.2</v>
      </c>
      <c r="FE58" s="3">
        <v>524728.5</v>
      </c>
      <c r="FF58" s="3">
        <v>525755.5</v>
      </c>
      <c r="FG58" s="3">
        <v>526774</v>
      </c>
      <c r="FH58" s="3">
        <v>527783.9</v>
      </c>
      <c r="FI58" s="3">
        <v>529038</v>
      </c>
      <c r="FJ58" s="3">
        <v>530285.6</v>
      </c>
      <c r="FK58" s="3">
        <v>531526.9</v>
      </c>
      <c r="FL58" s="3">
        <v>532761.80000000005</v>
      </c>
      <c r="FM58" s="3">
        <v>534300.9</v>
      </c>
      <c r="FN58" s="3">
        <v>535835.69999999995</v>
      </c>
      <c r="FO58" s="3">
        <v>537365.9</v>
      </c>
      <c r="FP58" s="3">
        <v>538891.4</v>
      </c>
      <c r="FQ58" s="3">
        <v>540637</v>
      </c>
      <c r="FR58" s="3">
        <v>542379.1</v>
      </c>
      <c r="FS58" s="3">
        <v>544117.5</v>
      </c>
      <c r="FT58" s="3">
        <v>545852.30000000005</v>
      </c>
      <c r="FU58" s="3">
        <v>547637.4</v>
      </c>
      <c r="FV58" s="3">
        <v>549419.80000000005</v>
      </c>
      <c r="FW58" s="3">
        <v>551200.30000000005</v>
      </c>
      <c r="FX58" s="3">
        <v>552979</v>
      </c>
      <c r="FY58" s="3">
        <v>554462.69999999995</v>
      </c>
      <c r="FZ58" s="3">
        <v>555943.9</v>
      </c>
      <c r="GA58" s="3">
        <v>557423</v>
      </c>
      <c r="GB58" s="3">
        <v>558899.9</v>
      </c>
      <c r="GC58" s="3">
        <v>560513.80000000005</v>
      </c>
      <c r="GD58" s="3">
        <v>562125.9</v>
      </c>
      <c r="GE58" s="3">
        <v>563736.6</v>
      </c>
      <c r="GF58" s="3">
        <v>565345.4</v>
      </c>
      <c r="GG58" s="3">
        <v>566909.9</v>
      </c>
      <c r="GH58" s="3">
        <v>568472.69999999995</v>
      </c>
      <c r="GI58" s="3">
        <v>570033.9</v>
      </c>
      <c r="GJ58" s="3">
        <v>571593.6</v>
      </c>
      <c r="GK58" s="3">
        <v>573134.1</v>
      </c>
      <c r="GL58" s="3">
        <v>574673.30000000005</v>
      </c>
      <c r="GM58" s="3">
        <v>576211.30000000005</v>
      </c>
      <c r="GN58" s="3">
        <v>577748.19999999995</v>
      </c>
      <c r="GO58" s="3">
        <v>578591.1</v>
      </c>
      <c r="GP58" s="3">
        <v>579431.1</v>
      </c>
      <c r="GQ58" s="3">
        <v>580268.4</v>
      </c>
      <c r="GR58" s="3">
        <v>581102.9</v>
      </c>
      <c r="GS58" s="3">
        <v>583171.1</v>
      </c>
      <c r="GT58" s="3">
        <v>585240</v>
      </c>
      <c r="GU58" s="3">
        <v>587309.80000000005</v>
      </c>
      <c r="GV58" s="3">
        <v>589380.30000000005</v>
      </c>
      <c r="GW58" s="3">
        <v>591841.19999999995</v>
      </c>
      <c r="GX58" s="3">
        <v>594303.80000000005</v>
      </c>
      <c r="GY58" s="3">
        <v>596768</v>
      </c>
      <c r="GZ58" s="3">
        <v>599234.1</v>
      </c>
      <c r="HA58" s="3">
        <v>602787.80000000005</v>
      </c>
      <c r="HB58" s="3">
        <v>606344.4</v>
      </c>
      <c r="HC58" s="3">
        <v>609906.30000000005</v>
      </c>
      <c r="HD58" s="3">
        <v>613472.69999999995</v>
      </c>
      <c r="HE58" s="3">
        <v>616083.80000000005</v>
      </c>
      <c r="HF58" s="3">
        <v>618696.5</v>
      </c>
      <c r="HG58" s="3">
        <v>621311</v>
      </c>
      <c r="HH58" s="3">
        <v>623927.4</v>
      </c>
      <c r="HI58" s="3">
        <v>625898.6</v>
      </c>
      <c r="HJ58" s="3">
        <v>627869.1</v>
      </c>
      <c r="HK58" s="3">
        <v>629837.4</v>
      </c>
      <c r="HL58" s="3">
        <v>631803.4</v>
      </c>
      <c r="HM58" s="3">
        <v>633448.5</v>
      </c>
      <c r="HN58" s="3">
        <v>635090.1</v>
      </c>
      <c r="HO58" s="3">
        <v>636727.9</v>
      </c>
      <c r="HP58" s="3">
        <v>638362</v>
      </c>
      <c r="HQ58" s="3">
        <v>639634.30000000005</v>
      </c>
      <c r="HR58" s="3">
        <v>640901.1</v>
      </c>
      <c r="HS58" s="3">
        <v>642162.6</v>
      </c>
      <c r="HT58" s="3">
        <v>643418.9</v>
      </c>
      <c r="HU58" s="3">
        <v>644552.69999999995</v>
      </c>
      <c r="HV58" s="3">
        <v>645680.69999999995</v>
      </c>
      <c r="HW58" s="3">
        <v>646802.4</v>
      </c>
      <c r="HX58" s="3">
        <v>647918</v>
      </c>
      <c r="HY58" s="3">
        <v>648994.6</v>
      </c>
      <c r="HZ58" s="3">
        <v>650064.4</v>
      </c>
      <c r="IA58" s="3">
        <v>651127.19999999995</v>
      </c>
      <c r="IB58" s="3">
        <v>652183</v>
      </c>
      <c r="IC58" s="3">
        <v>653296.4</v>
      </c>
      <c r="ID58" s="3">
        <v>654403.4</v>
      </c>
      <c r="IE58" s="3">
        <v>655498.6</v>
      </c>
      <c r="IF58" s="3">
        <v>656582.40000000002</v>
      </c>
      <c r="IG58" s="3">
        <v>657583.4</v>
      </c>
      <c r="IH58" s="3">
        <v>658571.9</v>
      </c>
      <c r="II58" s="3">
        <v>659547.69999999995</v>
      </c>
      <c r="IJ58" s="3">
        <v>660510.80000000005</v>
      </c>
      <c r="IK58" s="3">
        <v>661437.9</v>
      </c>
      <c r="IL58" s="3">
        <v>662351.80000000005</v>
      </c>
      <c r="IM58" s="3">
        <v>663252.1</v>
      </c>
      <c r="IN58" s="3">
        <v>664139.4</v>
      </c>
      <c r="IO58" s="3">
        <v>664995.6</v>
      </c>
      <c r="IP58" s="3">
        <v>665837.80000000005</v>
      </c>
      <c r="IQ58" s="3">
        <v>666665.80000000005</v>
      </c>
      <c r="IR58" s="3">
        <v>667479.80000000005</v>
      </c>
      <c r="IS58" s="3">
        <v>668319.80000000005</v>
      </c>
      <c r="IT58" s="3">
        <v>669146</v>
      </c>
      <c r="IU58" s="3">
        <v>669958.30000000005</v>
      </c>
      <c r="IV58" s="3">
        <v>670757.30000000005</v>
      </c>
      <c r="IW58" s="3">
        <v>671403</v>
      </c>
      <c r="IX58" s="3">
        <v>672034</v>
      </c>
      <c r="IY58" s="3">
        <v>672658</v>
      </c>
      <c r="IZ58" s="3">
        <v>673275.1</v>
      </c>
      <c r="JA58" s="3">
        <v>674035.7</v>
      </c>
      <c r="JB58" s="3">
        <v>674790.1</v>
      </c>
      <c r="JC58" s="3">
        <v>675538.2</v>
      </c>
      <c r="JD58" s="3">
        <v>676279.9</v>
      </c>
      <c r="JE58" s="3">
        <v>677006.8</v>
      </c>
      <c r="JF58" s="3">
        <v>677728.6</v>
      </c>
      <c r="JG58" s="3">
        <v>678445</v>
      </c>
      <c r="JH58" s="3">
        <v>679156.4</v>
      </c>
      <c r="JI58" s="3">
        <v>679973.9</v>
      </c>
      <c r="JJ58" s="3">
        <v>680788.9</v>
      </c>
      <c r="JK58" s="3">
        <v>681600.9</v>
      </c>
      <c r="JL58" s="3">
        <v>682410.4</v>
      </c>
      <c r="JM58" s="3">
        <v>683267.6</v>
      </c>
      <c r="JN58" s="3">
        <v>684123.1</v>
      </c>
      <c r="JO58" s="3">
        <v>684977.3</v>
      </c>
      <c r="JP58" s="3">
        <v>685830</v>
      </c>
      <c r="JQ58" s="3">
        <v>686739.4</v>
      </c>
      <c r="JR58" s="3">
        <v>687647.8</v>
      </c>
      <c r="JS58" s="3">
        <v>688555</v>
      </c>
      <c r="JT58" s="3">
        <v>689461.2</v>
      </c>
      <c r="JU58" s="3">
        <v>690428.6</v>
      </c>
      <c r="JV58" s="3">
        <v>691395.1</v>
      </c>
      <c r="JW58" s="3">
        <v>692360.9</v>
      </c>
      <c r="JX58" s="3">
        <v>693326.1</v>
      </c>
      <c r="JY58" s="3">
        <v>694234.6</v>
      </c>
      <c r="JZ58" s="3">
        <v>695142.1</v>
      </c>
      <c r="KA58" s="3">
        <v>696048.6</v>
      </c>
      <c r="KB58" s="3">
        <v>696954</v>
      </c>
      <c r="KC58" s="3">
        <v>697642.3</v>
      </c>
      <c r="KD58" s="3">
        <v>698327.8</v>
      </c>
      <c r="KE58" s="3">
        <v>699010.9</v>
      </c>
      <c r="KF58" s="3">
        <v>699691.4</v>
      </c>
      <c r="KG58" s="3">
        <v>700237.3</v>
      </c>
      <c r="KH58" s="3">
        <v>700780.3</v>
      </c>
      <c r="KI58" s="3">
        <v>701320.6</v>
      </c>
      <c r="KJ58" s="3">
        <v>701858</v>
      </c>
      <c r="KK58" s="3">
        <v>702391.7</v>
      </c>
      <c r="KL58" s="3">
        <v>702922.6</v>
      </c>
      <c r="KM58" s="3">
        <v>703450.9</v>
      </c>
      <c r="KN58" s="3">
        <v>703976.6</v>
      </c>
      <c r="KO58" s="3">
        <v>704521.9</v>
      </c>
      <c r="KP58" s="3">
        <v>705065.1</v>
      </c>
      <c r="KQ58" s="3">
        <v>705605.9</v>
      </c>
      <c r="KR58" s="3">
        <v>706144.8</v>
      </c>
      <c r="KS58" s="3">
        <v>706653.3</v>
      </c>
      <c r="KT58" s="3">
        <v>707160</v>
      </c>
      <c r="KU58" s="3">
        <v>707665.1</v>
      </c>
      <c r="KV58" s="3">
        <v>708168.4</v>
      </c>
      <c r="KW58" s="3">
        <v>708659.7</v>
      </c>
      <c r="KX58" s="3">
        <v>709149.1</v>
      </c>
      <c r="KY58" s="3">
        <v>709636.6</v>
      </c>
      <c r="KZ58" s="3">
        <v>710121.9</v>
      </c>
      <c r="LA58" s="3">
        <v>710490.7</v>
      </c>
      <c r="LB58" s="3">
        <v>710857.2</v>
      </c>
      <c r="LC58" s="3">
        <v>711221</v>
      </c>
      <c r="LD58" s="3">
        <v>711582.6</v>
      </c>
      <c r="LE58" s="3">
        <v>711911.9</v>
      </c>
      <c r="LF58" s="3">
        <v>712238.9</v>
      </c>
      <c r="LG58" s="3">
        <v>712565.8</v>
      </c>
      <c r="LH58" s="3">
        <v>712892.3</v>
      </c>
      <c r="LI58" s="3">
        <v>713176.4</v>
      </c>
      <c r="LJ58" s="3">
        <v>713460.1</v>
      </c>
      <c r="LK58" s="3">
        <v>713743.4</v>
      </c>
      <c r="LL58" s="3">
        <v>714026.3</v>
      </c>
      <c r="LM58" s="3">
        <v>714208.7</v>
      </c>
      <c r="LN58" s="3">
        <v>714389.6</v>
      </c>
      <c r="LO58" s="3">
        <v>714569</v>
      </c>
      <c r="LP58" s="3">
        <v>714747.2</v>
      </c>
      <c r="LQ58" s="3">
        <v>714941.3</v>
      </c>
      <c r="LR58" s="3">
        <v>715134.3</v>
      </c>
      <c r="LS58" s="3">
        <v>715326.1</v>
      </c>
      <c r="LT58" s="3">
        <v>715516.6</v>
      </c>
      <c r="LU58" s="3">
        <v>715659.2</v>
      </c>
      <c r="LV58" s="3">
        <v>715799.8</v>
      </c>
      <c r="LW58" s="3">
        <v>715938.9</v>
      </c>
      <c r="LX58" s="3">
        <v>716076</v>
      </c>
      <c r="LY58" s="3">
        <v>716166.1</v>
      </c>
      <c r="LZ58" s="3">
        <v>716253.8</v>
      </c>
      <c r="MA58" s="3">
        <v>716339.5</v>
      </c>
      <c r="MB58" s="3">
        <v>716423.1</v>
      </c>
      <c r="MC58" s="3">
        <v>716513.9</v>
      </c>
      <c r="MD58" s="3">
        <v>716603</v>
      </c>
      <c r="ME58" s="3">
        <v>716690.6</v>
      </c>
      <c r="MF58" s="3">
        <v>716776.8</v>
      </c>
      <c r="MG58" s="3">
        <v>716916.4</v>
      </c>
      <c r="MH58" s="3">
        <v>717054.8</v>
      </c>
      <c r="MI58" s="3">
        <v>717191.8</v>
      </c>
      <c r="MJ58" s="3">
        <v>717327.3</v>
      </c>
      <c r="MK58" s="3">
        <v>717420.8</v>
      </c>
      <c r="ML58" s="3">
        <v>717512.7</v>
      </c>
      <c r="MM58" s="3">
        <v>717603.3</v>
      </c>
      <c r="MN58" s="3">
        <v>717692.4</v>
      </c>
      <c r="MO58" s="3">
        <v>717813.7</v>
      </c>
      <c r="MP58" s="3">
        <v>717933.7</v>
      </c>
      <c r="MQ58" s="3">
        <v>718052</v>
      </c>
      <c r="MR58" s="3">
        <v>718168.8</v>
      </c>
      <c r="MS58" s="3">
        <v>718284.2</v>
      </c>
      <c r="MT58" s="3">
        <v>718398.1</v>
      </c>
      <c r="MU58" s="1" t="s">
        <v>478</v>
      </c>
      <c r="MV58" t="b">
        <v>0</v>
      </c>
      <c r="MW58" t="s">
        <v>377</v>
      </c>
      <c r="MX58" t="s">
        <v>377</v>
      </c>
      <c r="MY58">
        <v>2010</v>
      </c>
      <c r="MZ58">
        <v>4</v>
      </c>
      <c r="NA58" t="s">
        <v>377</v>
      </c>
      <c r="NB58" s="1" t="s">
        <v>479</v>
      </c>
      <c r="NC58" t="s">
        <v>377</v>
      </c>
      <c r="ND58" t="s">
        <v>380</v>
      </c>
      <c r="NE58" t="s">
        <v>480</v>
      </c>
      <c r="NF58" s="1" t="s">
        <v>526</v>
      </c>
    </row>
    <row r="59" spans="1:370" x14ac:dyDescent="0.25">
      <c r="A59" t="s">
        <v>382</v>
      </c>
      <c r="B59" t="s">
        <v>476</v>
      </c>
      <c r="C59" s="1" t="s">
        <v>525</v>
      </c>
      <c r="D59" t="s">
        <v>477</v>
      </c>
      <c r="E59" t="s">
        <v>377</v>
      </c>
      <c r="F59" t="s">
        <v>374</v>
      </c>
      <c r="G59" s="2">
        <v>1517300</v>
      </c>
      <c r="H59" s="2">
        <v>1528430</v>
      </c>
      <c r="I59" s="2">
        <v>1539447</v>
      </c>
      <c r="J59" s="2">
        <v>1550380</v>
      </c>
      <c r="K59" s="2">
        <v>1561544</v>
      </c>
      <c r="L59" s="2">
        <v>1572618</v>
      </c>
      <c r="M59" s="2">
        <v>1583587</v>
      </c>
      <c r="N59" s="2">
        <v>1594368</v>
      </c>
      <c r="O59" s="2">
        <v>1604975</v>
      </c>
      <c r="P59" s="2">
        <v>1615876</v>
      </c>
      <c r="Q59" s="2">
        <v>1627595</v>
      </c>
      <c r="R59" s="2">
        <v>1639344</v>
      </c>
      <c r="S59" s="2">
        <v>1651186</v>
      </c>
      <c r="T59" s="2">
        <v>1662781</v>
      </c>
      <c r="U59" s="2">
        <v>1674600</v>
      </c>
      <c r="V59" s="2">
        <v>1685842</v>
      </c>
      <c r="W59" s="2">
        <v>1697415</v>
      </c>
      <c r="X59" s="2">
        <v>1709026</v>
      </c>
      <c r="Y59" s="2">
        <v>1720489</v>
      </c>
      <c r="Z59" s="2">
        <v>1731775</v>
      </c>
      <c r="AA59" s="2">
        <v>1743218</v>
      </c>
      <c r="AB59" s="2">
        <v>1754906</v>
      </c>
      <c r="AC59" s="2">
        <v>1766193</v>
      </c>
      <c r="AD59" s="2">
        <v>1776697</v>
      </c>
      <c r="AE59" s="2">
        <v>1787786</v>
      </c>
      <c r="AF59" s="2">
        <v>1799096</v>
      </c>
      <c r="AG59" s="2">
        <v>1809622</v>
      </c>
      <c r="AH59" s="2">
        <v>1818908</v>
      </c>
      <c r="AI59" s="2">
        <v>1828814</v>
      </c>
      <c r="AJ59" s="2">
        <v>1838838</v>
      </c>
      <c r="AK59" s="2">
        <v>1847637</v>
      </c>
      <c r="AL59" s="2">
        <v>1854505</v>
      </c>
      <c r="AM59" s="2">
        <v>1861262</v>
      </c>
      <c r="AN59" s="2">
        <v>1868527</v>
      </c>
      <c r="AO59" s="2">
        <v>1875074</v>
      </c>
      <c r="AP59" s="2">
        <v>1880176</v>
      </c>
      <c r="AQ59" s="2">
        <v>1885360</v>
      </c>
      <c r="AR59" s="2">
        <v>1890862</v>
      </c>
      <c r="AS59" s="2">
        <v>1895804</v>
      </c>
      <c r="AT59" s="2">
        <v>1900073</v>
      </c>
      <c r="AU59" s="2">
        <v>1904380</v>
      </c>
      <c r="AV59" s="2">
        <v>1908728</v>
      </c>
      <c r="AW59" s="2">
        <v>1913042</v>
      </c>
      <c r="AX59" s="2">
        <v>1917721</v>
      </c>
      <c r="AY59" s="2">
        <v>1922262</v>
      </c>
      <c r="AZ59" s="2">
        <v>1926825</v>
      </c>
      <c r="BA59" s="2">
        <v>1931784</v>
      </c>
      <c r="BB59" s="2">
        <v>1937304</v>
      </c>
      <c r="BC59" s="2">
        <v>1942438</v>
      </c>
      <c r="BD59" s="2">
        <v>1947545</v>
      </c>
      <c r="BE59" s="2">
        <v>1953338</v>
      </c>
      <c r="BF59" s="2">
        <v>1959846</v>
      </c>
      <c r="BG59" s="2">
        <v>1966232</v>
      </c>
      <c r="BH59" s="2">
        <v>1972343</v>
      </c>
      <c r="BI59" s="2">
        <v>1978625</v>
      </c>
      <c r="BJ59" s="2">
        <v>1983879</v>
      </c>
      <c r="BK59" s="2">
        <v>1989214</v>
      </c>
      <c r="BL59" s="2">
        <v>1994500</v>
      </c>
      <c r="BM59" s="2">
        <v>1999754</v>
      </c>
      <c r="BN59" s="2">
        <v>2004977</v>
      </c>
      <c r="BO59" s="2">
        <v>2010336</v>
      </c>
      <c r="BP59" s="2">
        <v>2015361</v>
      </c>
      <c r="BQ59" s="2">
        <v>2020636</v>
      </c>
      <c r="BR59" s="2">
        <v>2025547</v>
      </c>
      <c r="BS59" s="2">
        <v>2030535</v>
      </c>
      <c r="BT59" s="2">
        <v>2035419</v>
      </c>
      <c r="BU59" s="2">
        <v>2040520</v>
      </c>
      <c r="BV59" s="2">
        <v>2046066</v>
      </c>
      <c r="BW59" s="2">
        <v>2051657</v>
      </c>
      <c r="BX59" s="2">
        <v>2058355</v>
      </c>
      <c r="BY59" s="2">
        <v>2065193</v>
      </c>
      <c r="BZ59" s="2">
        <v>2072128</v>
      </c>
      <c r="CA59" s="2">
        <v>2078969</v>
      </c>
      <c r="CB59" s="2">
        <v>2086794</v>
      </c>
      <c r="CC59" s="2">
        <v>2094982</v>
      </c>
      <c r="CD59" s="2">
        <v>2103684</v>
      </c>
      <c r="CE59" s="2">
        <v>2112242</v>
      </c>
      <c r="CF59" s="2">
        <v>2120966</v>
      </c>
      <c r="CG59" s="2">
        <v>2129678</v>
      </c>
      <c r="CH59" s="2">
        <v>2138499</v>
      </c>
      <c r="CI59" s="2">
        <v>2147292</v>
      </c>
      <c r="CJ59" s="2">
        <v>2155566</v>
      </c>
      <c r="CK59" s="2">
        <v>2163878</v>
      </c>
      <c r="CL59" s="2">
        <v>2172937</v>
      </c>
      <c r="CM59" s="2">
        <v>2182001</v>
      </c>
      <c r="CN59" s="2">
        <v>2191041</v>
      </c>
      <c r="CO59" s="2">
        <v>2199857</v>
      </c>
      <c r="CP59" s="2">
        <v>2209330</v>
      </c>
      <c r="CQ59" s="2">
        <v>2219008</v>
      </c>
      <c r="CR59" s="2">
        <v>2228550</v>
      </c>
      <c r="CS59" s="2">
        <v>2238256</v>
      </c>
      <c r="CT59" s="2">
        <v>2248534</v>
      </c>
      <c r="CU59" s="2">
        <v>2258375</v>
      </c>
      <c r="CV59" s="2">
        <v>2268537</v>
      </c>
      <c r="CW59" s="2">
        <v>2278978</v>
      </c>
      <c r="CX59" s="2">
        <v>2290563</v>
      </c>
      <c r="CY59" s="2">
        <v>2302105</v>
      </c>
      <c r="CZ59" s="2">
        <v>2313620</v>
      </c>
      <c r="DA59" s="2">
        <v>2325132</v>
      </c>
      <c r="DB59" s="2">
        <v>2336570</v>
      </c>
      <c r="DC59" s="2">
        <v>2348016</v>
      </c>
      <c r="DD59" s="2">
        <v>2359426</v>
      </c>
      <c r="DE59" s="2">
        <v>2370437</v>
      </c>
      <c r="DF59" s="2">
        <v>2380888</v>
      </c>
      <c r="DG59" s="2">
        <v>2391732</v>
      </c>
      <c r="DH59" s="2">
        <v>2402668</v>
      </c>
      <c r="DI59" s="2">
        <v>2413076</v>
      </c>
      <c r="DJ59" s="2">
        <v>2422702</v>
      </c>
      <c r="DK59" s="2">
        <v>2432773</v>
      </c>
      <c r="DL59" s="2">
        <v>2442911</v>
      </c>
      <c r="DM59" s="2">
        <v>2451326</v>
      </c>
      <c r="DN59" s="2">
        <v>2458811</v>
      </c>
      <c r="DO59" s="2">
        <v>2466759</v>
      </c>
      <c r="DP59" s="2">
        <v>2475092</v>
      </c>
      <c r="DQ59" s="2">
        <v>2482132</v>
      </c>
      <c r="DR59" s="2">
        <v>2487682</v>
      </c>
      <c r="DS59" s="2">
        <v>2493975</v>
      </c>
      <c r="DT59" s="2">
        <v>2500526</v>
      </c>
      <c r="DU59" s="2">
        <v>2506532</v>
      </c>
      <c r="DV59" s="2">
        <v>2511770</v>
      </c>
      <c r="DW59" s="2">
        <v>2516441</v>
      </c>
      <c r="DX59" s="2">
        <v>2520432</v>
      </c>
      <c r="DY59" s="2">
        <v>2526653</v>
      </c>
      <c r="DZ59" s="2">
        <v>2533189</v>
      </c>
      <c r="EA59" s="2">
        <v>2538906</v>
      </c>
      <c r="EB59" s="2">
        <v>2544753</v>
      </c>
      <c r="EC59" s="2">
        <v>2551412</v>
      </c>
      <c r="ED59" s="2">
        <v>2559398</v>
      </c>
      <c r="EE59" s="2">
        <v>2566722</v>
      </c>
      <c r="EF59" s="2">
        <v>2573882</v>
      </c>
      <c r="EG59" s="2">
        <v>2582496</v>
      </c>
      <c r="EH59" s="2">
        <v>2591956</v>
      </c>
      <c r="EI59" s="2">
        <v>2601500</v>
      </c>
      <c r="EJ59" s="2">
        <v>2610340</v>
      </c>
      <c r="EK59" s="2">
        <v>2620021</v>
      </c>
      <c r="EL59" s="2">
        <v>2629582</v>
      </c>
      <c r="EM59" s="2">
        <v>2639225</v>
      </c>
      <c r="EN59" s="2">
        <v>2648220</v>
      </c>
      <c r="EO59" s="2">
        <v>2657782</v>
      </c>
      <c r="EP59" s="2">
        <v>2666627</v>
      </c>
      <c r="EQ59" s="2">
        <v>2675549</v>
      </c>
      <c r="ER59" s="2">
        <v>2684169</v>
      </c>
      <c r="ES59" s="2">
        <v>2692561</v>
      </c>
      <c r="ET59" s="2">
        <v>2700800</v>
      </c>
      <c r="EU59" s="2">
        <v>2709326</v>
      </c>
      <c r="EV59" s="2">
        <v>2717939</v>
      </c>
      <c r="EW59" s="2">
        <v>2725673</v>
      </c>
      <c r="EX59" s="2">
        <v>2732768</v>
      </c>
      <c r="EY59" s="2">
        <v>2739821</v>
      </c>
      <c r="EZ59" s="2">
        <v>2746964</v>
      </c>
      <c r="FA59" s="2">
        <v>2753561</v>
      </c>
      <c r="FB59" s="2">
        <v>2760984</v>
      </c>
      <c r="FC59" s="3">
        <v>2766579</v>
      </c>
      <c r="FD59" s="3">
        <v>2773862</v>
      </c>
      <c r="FE59" s="3">
        <v>2781221</v>
      </c>
      <c r="FF59" s="3">
        <v>2785643</v>
      </c>
      <c r="FG59" s="3">
        <v>2790270</v>
      </c>
      <c r="FH59" s="3">
        <v>2794966</v>
      </c>
      <c r="FI59" s="3">
        <v>2799500</v>
      </c>
      <c r="FJ59" s="3">
        <v>2804876</v>
      </c>
      <c r="FK59" s="3">
        <v>2809959</v>
      </c>
      <c r="FL59" s="3">
        <v>2814920</v>
      </c>
      <c r="FM59" s="3">
        <v>2820049</v>
      </c>
      <c r="FN59" s="3">
        <v>2825337</v>
      </c>
      <c r="FO59" s="3">
        <v>2830832</v>
      </c>
      <c r="FP59" s="3">
        <v>2836306</v>
      </c>
      <c r="FQ59" s="3">
        <v>2841713</v>
      </c>
      <c r="FR59" s="3">
        <v>2847656</v>
      </c>
      <c r="FS59" s="3">
        <v>2853482</v>
      </c>
      <c r="FT59" s="3">
        <v>2859080</v>
      </c>
      <c r="FU59" s="3">
        <v>2864717</v>
      </c>
      <c r="FV59" s="3">
        <v>2870080</v>
      </c>
      <c r="FW59" s="3">
        <v>2875242</v>
      </c>
      <c r="FX59" s="3">
        <v>2880855</v>
      </c>
      <c r="FY59" s="3">
        <v>2886094</v>
      </c>
      <c r="FZ59" s="3">
        <v>2890681</v>
      </c>
      <c r="GA59" s="3">
        <v>2895065</v>
      </c>
      <c r="GB59" s="3">
        <v>2899360</v>
      </c>
      <c r="GC59" s="3">
        <v>2903579</v>
      </c>
      <c r="GD59" s="3">
        <v>2907139</v>
      </c>
      <c r="GE59" s="3">
        <v>2910557</v>
      </c>
      <c r="GF59" s="3">
        <v>2913914</v>
      </c>
      <c r="GG59" s="3">
        <v>2917319</v>
      </c>
      <c r="GH59" s="3">
        <v>2920175</v>
      </c>
      <c r="GI59" s="3">
        <v>2923004</v>
      </c>
      <c r="GJ59" s="3">
        <v>2925738</v>
      </c>
      <c r="GK59" s="3">
        <v>2928552</v>
      </c>
      <c r="GL59" s="3">
        <v>2931346</v>
      </c>
      <c r="GM59" s="3">
        <v>2934204</v>
      </c>
      <c r="GN59" s="3">
        <v>2937008</v>
      </c>
      <c r="GO59" s="3">
        <v>2937990</v>
      </c>
      <c r="GP59" s="3">
        <v>2938959</v>
      </c>
      <c r="GQ59" s="3">
        <v>2939183</v>
      </c>
      <c r="GR59" s="3">
        <v>2940097</v>
      </c>
      <c r="GS59" s="3">
        <v>2942186</v>
      </c>
      <c r="GT59" s="3">
        <v>2945429</v>
      </c>
      <c r="GU59" s="3">
        <v>2949079</v>
      </c>
      <c r="GV59" s="3">
        <v>2952932</v>
      </c>
      <c r="GW59" s="3">
        <v>2957714</v>
      </c>
      <c r="GX59" s="3">
        <v>2962880</v>
      </c>
      <c r="GY59" s="3">
        <v>2968437</v>
      </c>
      <c r="GZ59" s="3">
        <v>2974519</v>
      </c>
      <c r="HA59" s="3">
        <v>2980467</v>
      </c>
      <c r="HB59" s="3">
        <v>2986326</v>
      </c>
      <c r="HC59" s="3">
        <v>2992741</v>
      </c>
      <c r="HD59" s="3">
        <v>2999617</v>
      </c>
      <c r="HE59" s="3">
        <v>3006435</v>
      </c>
      <c r="HF59" s="3">
        <v>3010545</v>
      </c>
      <c r="HG59" s="3">
        <v>3014321</v>
      </c>
      <c r="HH59" s="3">
        <v>3017736</v>
      </c>
      <c r="HI59" s="3">
        <v>3020679</v>
      </c>
      <c r="HJ59" s="3">
        <v>3022853</v>
      </c>
      <c r="HK59" s="3">
        <v>3024811</v>
      </c>
      <c r="HL59" s="3">
        <v>3026590</v>
      </c>
      <c r="HM59" s="3">
        <v>3028271</v>
      </c>
      <c r="HN59" s="3">
        <v>3029856</v>
      </c>
      <c r="HO59" s="3">
        <v>3031339</v>
      </c>
      <c r="HP59" s="3">
        <v>3032625</v>
      </c>
      <c r="HQ59" s="3">
        <v>3033836</v>
      </c>
      <c r="HR59" s="3">
        <v>3035229</v>
      </c>
      <c r="HS59" s="3">
        <v>3036588</v>
      </c>
      <c r="HT59" s="3">
        <v>3037941</v>
      </c>
      <c r="HU59" s="3">
        <v>3039296</v>
      </c>
      <c r="HV59" s="3">
        <v>3041012</v>
      </c>
      <c r="HW59" s="3">
        <v>3042760</v>
      </c>
      <c r="HX59" s="3">
        <v>3044597</v>
      </c>
      <c r="HY59" s="3">
        <v>3046496</v>
      </c>
      <c r="HZ59" s="3">
        <v>3049128</v>
      </c>
      <c r="IA59" s="3">
        <v>3051820</v>
      </c>
      <c r="IB59" s="3">
        <v>3054509</v>
      </c>
      <c r="IC59" s="3">
        <v>3057288</v>
      </c>
      <c r="ID59" s="3">
        <v>3060877</v>
      </c>
      <c r="IE59" s="3">
        <v>3064567</v>
      </c>
      <c r="IF59" s="3">
        <v>3068361</v>
      </c>
      <c r="IG59" s="3">
        <v>3072134</v>
      </c>
      <c r="IH59" s="3">
        <v>3075981</v>
      </c>
      <c r="II59" s="3">
        <v>3079818</v>
      </c>
      <c r="IJ59" s="3">
        <v>3083649</v>
      </c>
      <c r="IK59" s="3">
        <v>3087477</v>
      </c>
      <c r="IL59" s="3">
        <v>3091279</v>
      </c>
      <c r="IM59" s="3">
        <v>3095079</v>
      </c>
      <c r="IN59" s="3">
        <v>3098876</v>
      </c>
      <c r="IO59" s="3">
        <v>3102666</v>
      </c>
      <c r="IP59" s="3">
        <v>3106069</v>
      </c>
      <c r="IQ59" s="3">
        <v>3109466</v>
      </c>
      <c r="IR59" s="3">
        <v>3112861</v>
      </c>
      <c r="IS59" s="3">
        <v>3116251</v>
      </c>
      <c r="IT59" s="3">
        <v>3119168</v>
      </c>
      <c r="IU59" s="3">
        <v>3122079</v>
      </c>
      <c r="IV59" s="3">
        <v>3124979</v>
      </c>
      <c r="IW59" s="3">
        <v>3127872</v>
      </c>
      <c r="IX59" s="3">
        <v>3130401</v>
      </c>
      <c r="IY59" s="3">
        <v>3132913</v>
      </c>
      <c r="IZ59" s="3">
        <v>3135413</v>
      </c>
      <c r="JA59" s="3">
        <v>3137895</v>
      </c>
      <c r="JB59" s="3">
        <v>3141685</v>
      </c>
      <c r="JC59" s="3">
        <v>3145459</v>
      </c>
      <c r="JD59" s="3">
        <v>3149216</v>
      </c>
      <c r="JE59" s="3">
        <v>3152954</v>
      </c>
      <c r="JF59" s="3">
        <v>3157404</v>
      </c>
      <c r="JG59" s="3">
        <v>3161838</v>
      </c>
      <c r="JH59" s="3">
        <v>3166257</v>
      </c>
      <c r="JI59" s="3">
        <v>3170660</v>
      </c>
      <c r="JJ59" s="3">
        <v>3175043</v>
      </c>
      <c r="JK59" s="3">
        <v>3179411</v>
      </c>
      <c r="JL59" s="3">
        <v>3183766</v>
      </c>
      <c r="JM59" s="3">
        <v>3188106</v>
      </c>
      <c r="JN59" s="3">
        <v>3192482</v>
      </c>
      <c r="JO59" s="3">
        <v>3196843</v>
      </c>
      <c r="JP59" s="3">
        <v>3201189</v>
      </c>
      <c r="JQ59" s="3">
        <v>3205520</v>
      </c>
      <c r="JR59" s="3">
        <v>3210127</v>
      </c>
      <c r="JS59" s="3">
        <v>3214719</v>
      </c>
      <c r="JT59" s="3">
        <v>3219290</v>
      </c>
      <c r="JU59" s="3">
        <v>3223843</v>
      </c>
      <c r="JV59" s="3">
        <v>3228094</v>
      </c>
      <c r="JW59" s="3">
        <v>3232325</v>
      </c>
      <c r="JX59" s="3">
        <v>3236543</v>
      </c>
      <c r="JY59" s="3">
        <v>3240747</v>
      </c>
      <c r="JZ59" s="3">
        <v>3244913</v>
      </c>
      <c r="KA59" s="3">
        <v>3249069</v>
      </c>
      <c r="KB59" s="3">
        <v>3253207</v>
      </c>
      <c r="KC59" s="3">
        <v>3257330</v>
      </c>
      <c r="KD59" s="3">
        <v>3261271</v>
      </c>
      <c r="KE59" s="3">
        <v>3265196</v>
      </c>
      <c r="KF59" s="3">
        <v>3269103</v>
      </c>
      <c r="KG59" s="3">
        <v>3272994</v>
      </c>
      <c r="KH59" s="3">
        <v>3276432</v>
      </c>
      <c r="KI59" s="3">
        <v>3279858</v>
      </c>
      <c r="KJ59" s="3">
        <v>3283273</v>
      </c>
      <c r="KK59" s="3">
        <v>3286671</v>
      </c>
      <c r="KL59" s="3">
        <v>3290098</v>
      </c>
      <c r="KM59" s="3">
        <v>3293518</v>
      </c>
      <c r="KN59" s="3">
        <v>3296926</v>
      </c>
      <c r="KO59" s="3">
        <v>3300327</v>
      </c>
      <c r="KP59" s="3">
        <v>3303609</v>
      </c>
      <c r="KQ59" s="3">
        <v>3306886</v>
      </c>
      <c r="KR59" s="3">
        <v>3310154</v>
      </c>
      <c r="KS59" s="3">
        <v>3313415</v>
      </c>
      <c r="KT59" s="3">
        <v>3316716</v>
      </c>
      <c r="KU59" s="3">
        <v>3320011</v>
      </c>
      <c r="KV59" s="3">
        <v>3323301</v>
      </c>
      <c r="KW59" s="3">
        <v>3326589</v>
      </c>
      <c r="KX59" s="3">
        <v>3330126</v>
      </c>
      <c r="KY59" s="3">
        <v>3333662</v>
      </c>
      <c r="KZ59" s="3">
        <v>3337197</v>
      </c>
      <c r="LA59" s="3">
        <v>3340732</v>
      </c>
      <c r="LB59" s="3">
        <v>3343972</v>
      </c>
      <c r="LC59" s="3">
        <v>3347210</v>
      </c>
      <c r="LD59" s="3">
        <v>3350450</v>
      </c>
      <c r="LE59" s="3">
        <v>3353689</v>
      </c>
      <c r="LF59" s="3">
        <v>3356880</v>
      </c>
      <c r="LG59" s="3">
        <v>3360073</v>
      </c>
      <c r="LH59" s="3">
        <v>3363271</v>
      </c>
      <c r="LI59" s="3">
        <v>3366478</v>
      </c>
      <c r="LJ59" s="3">
        <v>3369652</v>
      </c>
      <c r="LK59" s="3">
        <v>3372833</v>
      </c>
      <c r="LL59" s="3">
        <v>3376023</v>
      </c>
      <c r="LM59" s="3">
        <v>3379221</v>
      </c>
      <c r="LN59" s="3">
        <v>3382187</v>
      </c>
      <c r="LO59" s="3">
        <v>3385162</v>
      </c>
      <c r="LP59" s="3">
        <v>3388145</v>
      </c>
      <c r="LQ59" s="3">
        <v>3391137</v>
      </c>
      <c r="LR59" s="3">
        <v>3393789</v>
      </c>
      <c r="LS59" s="3">
        <v>3396447</v>
      </c>
      <c r="LT59" s="3">
        <v>3399116</v>
      </c>
      <c r="LU59" s="3">
        <v>3401790</v>
      </c>
      <c r="LV59" s="3">
        <v>3403950</v>
      </c>
      <c r="LW59" s="3">
        <v>3406118</v>
      </c>
      <c r="LX59" s="3">
        <v>3408289</v>
      </c>
      <c r="LY59" s="3">
        <v>3410467</v>
      </c>
      <c r="LZ59" s="3">
        <v>3412598</v>
      </c>
      <c r="MA59" s="3">
        <v>3414736</v>
      </c>
      <c r="MB59" s="3">
        <v>3416878</v>
      </c>
      <c r="MC59" s="3">
        <v>3419026</v>
      </c>
      <c r="MD59" s="3">
        <v>3421295</v>
      </c>
      <c r="ME59" s="3">
        <v>3423570</v>
      </c>
      <c r="MF59" s="3">
        <v>3425850</v>
      </c>
      <c r="MG59" s="3">
        <v>3428137</v>
      </c>
      <c r="MH59" s="3">
        <v>3430649</v>
      </c>
      <c r="MI59" s="3">
        <v>3433168</v>
      </c>
      <c r="MJ59" s="3">
        <v>3435694</v>
      </c>
      <c r="MK59" s="3">
        <v>3438227</v>
      </c>
      <c r="ML59" s="3">
        <v>3440871</v>
      </c>
      <c r="MM59" s="3">
        <v>3443524</v>
      </c>
      <c r="MN59" s="3">
        <v>3446184</v>
      </c>
      <c r="MO59" s="3">
        <v>3448852</v>
      </c>
      <c r="MP59" s="3">
        <v>3451686</v>
      </c>
      <c r="MQ59" s="3">
        <v>3454529</v>
      </c>
      <c r="MR59" s="3">
        <v>3457382</v>
      </c>
      <c r="MS59" s="3">
        <v>3460244</v>
      </c>
      <c r="MT59" s="3">
        <v>3463113</v>
      </c>
      <c r="MU59" t="s">
        <v>481</v>
      </c>
      <c r="MV59" t="b">
        <v>0</v>
      </c>
      <c r="MW59" t="s">
        <v>377</v>
      </c>
      <c r="MX59" t="s">
        <v>377</v>
      </c>
      <c r="MY59">
        <v>2010</v>
      </c>
      <c r="MZ59">
        <v>4</v>
      </c>
      <c r="NA59" t="s">
        <v>377</v>
      </c>
      <c r="NB59" s="1" t="s">
        <v>479</v>
      </c>
      <c r="NC59" s="1" t="s">
        <v>482</v>
      </c>
      <c r="ND59" t="s">
        <v>389</v>
      </c>
      <c r="NE59" t="s">
        <v>480</v>
      </c>
      <c r="NF59" s="1" t="s">
        <v>526</v>
      </c>
    </row>
    <row r="60" spans="1:370" x14ac:dyDescent="0.25">
      <c r="A60" t="s">
        <v>370</v>
      </c>
      <c r="B60" s="1" t="s">
        <v>483</v>
      </c>
      <c r="C60" s="1" t="s">
        <v>525</v>
      </c>
      <c r="D60" t="s">
        <v>464</v>
      </c>
      <c r="E60" t="s">
        <v>465</v>
      </c>
      <c r="F60" t="s">
        <v>374</v>
      </c>
      <c r="G60" s="2">
        <v>35306.44</v>
      </c>
      <c r="H60" s="2">
        <v>35326.230000000003</v>
      </c>
      <c r="I60" s="2">
        <v>35328.269999999997</v>
      </c>
      <c r="J60" s="2">
        <v>35330.32</v>
      </c>
      <c r="K60" s="2">
        <v>35332.36</v>
      </c>
      <c r="L60" s="2">
        <v>35334.400000000001</v>
      </c>
      <c r="M60" s="2">
        <v>35332.83</v>
      </c>
      <c r="N60" s="2">
        <v>35331.26</v>
      </c>
      <c r="O60" s="2">
        <v>35329.69</v>
      </c>
      <c r="P60" s="2">
        <v>35328.120000000003</v>
      </c>
      <c r="Q60" s="2">
        <v>35326.550000000003</v>
      </c>
      <c r="R60" s="2">
        <v>35324.97</v>
      </c>
      <c r="S60" s="2">
        <v>35323.4</v>
      </c>
      <c r="T60" s="2">
        <v>35321.83</v>
      </c>
      <c r="U60" s="2">
        <v>35361.64</v>
      </c>
      <c r="V60" s="2">
        <v>35401.440000000002</v>
      </c>
      <c r="W60" s="2">
        <v>35441.24</v>
      </c>
      <c r="X60" s="2">
        <v>35481.040000000001</v>
      </c>
      <c r="Y60" s="2">
        <v>35520.99</v>
      </c>
      <c r="Z60" s="2">
        <v>35560.94</v>
      </c>
      <c r="AA60" s="2">
        <v>35600.879999999997</v>
      </c>
      <c r="AB60" s="2">
        <v>35640.83</v>
      </c>
      <c r="AC60" s="2">
        <v>35694.160000000003</v>
      </c>
      <c r="AD60" s="2">
        <v>35747.49</v>
      </c>
      <c r="AE60" s="2">
        <v>35800.82</v>
      </c>
      <c r="AF60" s="2">
        <v>35854.15</v>
      </c>
      <c r="AG60" s="2">
        <v>35910.339999999997</v>
      </c>
      <c r="AH60" s="2">
        <v>35966.53</v>
      </c>
      <c r="AI60" s="2">
        <v>36022.71</v>
      </c>
      <c r="AJ60" s="2">
        <v>36078.9</v>
      </c>
      <c r="AK60" s="2">
        <v>36128.85</v>
      </c>
      <c r="AL60" s="2">
        <v>36178.800000000003</v>
      </c>
      <c r="AM60" s="2">
        <v>36228.74</v>
      </c>
      <c r="AN60" s="2">
        <v>36278.69</v>
      </c>
      <c r="AO60" s="2">
        <v>36323.99</v>
      </c>
      <c r="AP60" s="2">
        <v>36369.29</v>
      </c>
      <c r="AQ60" s="2">
        <v>36414.58</v>
      </c>
      <c r="AR60" s="2">
        <v>36459.879999999997</v>
      </c>
      <c r="AS60" s="2">
        <v>36529.379999999997</v>
      </c>
      <c r="AT60" s="2">
        <v>36598.879999999997</v>
      </c>
      <c r="AU60" s="2">
        <v>36668.379999999997</v>
      </c>
      <c r="AV60" s="2">
        <v>36737.879999999997</v>
      </c>
      <c r="AW60" s="2">
        <v>36812.129999999997</v>
      </c>
      <c r="AX60" s="2">
        <v>36886.379999999997</v>
      </c>
      <c r="AY60" s="2">
        <v>36960.639999999999</v>
      </c>
      <c r="AZ60" s="2">
        <v>37034.89</v>
      </c>
      <c r="BA60" s="2">
        <v>37051.96</v>
      </c>
      <c r="BB60" s="2">
        <v>37069.040000000001</v>
      </c>
      <c r="BC60" s="2">
        <v>37086.11</v>
      </c>
      <c r="BD60" s="2">
        <v>37103.18</v>
      </c>
      <c r="BE60" s="2">
        <v>37127.25</v>
      </c>
      <c r="BF60" s="2">
        <v>37151.31</v>
      </c>
      <c r="BG60" s="2">
        <v>37175.379999999997</v>
      </c>
      <c r="BH60" s="2">
        <v>37199.440000000002</v>
      </c>
      <c r="BI60" s="2">
        <v>37215.519999999997</v>
      </c>
      <c r="BJ60" s="2">
        <v>37231.589999999997</v>
      </c>
      <c r="BK60" s="2">
        <v>37247.67</v>
      </c>
      <c r="BL60" s="2">
        <v>37263.75</v>
      </c>
      <c r="BM60" s="2">
        <v>37271.879999999997</v>
      </c>
      <c r="BN60" s="2">
        <v>37280.01</v>
      </c>
      <c r="BO60" s="2">
        <v>37288.14</v>
      </c>
      <c r="BP60" s="2">
        <v>37296.269999999997</v>
      </c>
      <c r="BQ60" s="2">
        <v>37302.879999999997</v>
      </c>
      <c r="BR60" s="2">
        <v>37309.5</v>
      </c>
      <c r="BS60" s="2">
        <v>37316.11</v>
      </c>
      <c r="BT60" s="2">
        <v>37322.720000000001</v>
      </c>
      <c r="BU60" s="2">
        <v>37331.61</v>
      </c>
      <c r="BV60" s="2">
        <v>37340.49</v>
      </c>
      <c r="BW60" s="2">
        <v>37349.370000000003</v>
      </c>
      <c r="BX60" s="2">
        <v>37358.25</v>
      </c>
      <c r="BY60" s="2">
        <v>37361.620000000003</v>
      </c>
      <c r="BZ60" s="2">
        <v>37364.980000000003</v>
      </c>
      <c r="CA60" s="2">
        <v>37368.35</v>
      </c>
      <c r="CB60" s="2">
        <v>37371.71</v>
      </c>
      <c r="CC60" s="2">
        <v>37363.21</v>
      </c>
      <c r="CD60" s="2">
        <v>37354.699999999997</v>
      </c>
      <c r="CE60" s="2">
        <v>37346.19</v>
      </c>
      <c r="CF60" s="2">
        <v>37337.68</v>
      </c>
      <c r="CG60" s="2">
        <v>37336.699999999997</v>
      </c>
      <c r="CH60" s="2">
        <v>37335.71</v>
      </c>
      <c r="CI60" s="2">
        <v>37334.730000000003</v>
      </c>
      <c r="CJ60" s="2">
        <v>37333.75</v>
      </c>
      <c r="CK60" s="2">
        <v>37354.300000000003</v>
      </c>
      <c r="CL60" s="2">
        <v>37374.86</v>
      </c>
      <c r="CM60" s="2">
        <v>37395.42</v>
      </c>
      <c r="CN60" s="2">
        <v>37415.980000000003</v>
      </c>
      <c r="CO60" s="2">
        <v>37446.46</v>
      </c>
      <c r="CP60" s="2">
        <v>37476.949999999997</v>
      </c>
      <c r="CQ60" s="2">
        <v>37507.440000000002</v>
      </c>
      <c r="CR60" s="2">
        <v>37537.93</v>
      </c>
      <c r="CS60" s="2">
        <v>37568.18</v>
      </c>
      <c r="CT60" s="2">
        <v>37598.43</v>
      </c>
      <c r="CU60" s="2">
        <v>37628.68</v>
      </c>
      <c r="CV60" s="2">
        <v>37658.92</v>
      </c>
      <c r="CW60" s="2">
        <v>37688.15</v>
      </c>
      <c r="CX60" s="2">
        <v>37717.370000000003</v>
      </c>
      <c r="CY60" s="2">
        <v>37746.6</v>
      </c>
      <c r="CZ60" s="2">
        <v>37775.82</v>
      </c>
      <c r="DA60" s="2">
        <v>37810.339999999997</v>
      </c>
      <c r="DB60" s="2">
        <v>37844.86</v>
      </c>
      <c r="DC60" s="2">
        <v>37879.370000000003</v>
      </c>
      <c r="DD60" s="2">
        <v>37913.89</v>
      </c>
      <c r="DE60" s="2">
        <v>37965.89</v>
      </c>
      <c r="DF60" s="2">
        <v>38017.89</v>
      </c>
      <c r="DG60" s="2">
        <v>38069.9</v>
      </c>
      <c r="DH60" s="2">
        <v>38121.9</v>
      </c>
      <c r="DI60" s="2">
        <v>38185.07</v>
      </c>
      <c r="DJ60" s="2">
        <v>38248.25</v>
      </c>
      <c r="DK60" s="2">
        <v>38311.42</v>
      </c>
      <c r="DL60" s="2">
        <v>38374.589999999997</v>
      </c>
      <c r="DM60" s="2">
        <v>38439.32</v>
      </c>
      <c r="DN60" s="2">
        <v>38504.06</v>
      </c>
      <c r="DO60" s="2">
        <v>38568.79</v>
      </c>
      <c r="DP60" s="2">
        <v>38633.53</v>
      </c>
      <c r="DQ60" s="2">
        <v>38700.120000000003</v>
      </c>
      <c r="DR60" s="2">
        <v>38766.71</v>
      </c>
      <c r="DS60" s="2">
        <v>38833.300000000003</v>
      </c>
      <c r="DT60" s="2">
        <v>38899.89</v>
      </c>
      <c r="DU60" s="2">
        <v>38967.660000000003</v>
      </c>
      <c r="DV60" s="2">
        <v>39035.449999999997</v>
      </c>
      <c r="DW60" s="2">
        <v>39103.230000000003</v>
      </c>
      <c r="DX60" s="2">
        <v>39171</v>
      </c>
      <c r="DY60" s="2">
        <v>39243.78</v>
      </c>
      <c r="DZ60" s="2">
        <v>39316.550000000003</v>
      </c>
      <c r="EA60" s="2">
        <v>39389.32</v>
      </c>
      <c r="EB60" s="2">
        <v>39462.089999999997</v>
      </c>
      <c r="EC60" s="2">
        <v>39569.49</v>
      </c>
      <c r="ED60" s="2">
        <v>39676.89</v>
      </c>
      <c r="EE60" s="2">
        <v>39784.29</v>
      </c>
      <c r="EF60" s="2">
        <v>39891.69</v>
      </c>
      <c r="EG60" s="2">
        <v>39994.71</v>
      </c>
      <c r="EH60" s="2">
        <v>40097.72</v>
      </c>
      <c r="EI60" s="2">
        <v>40200.74</v>
      </c>
      <c r="EJ60" s="2">
        <v>40303.760000000002</v>
      </c>
      <c r="EK60" s="2">
        <v>40400.61</v>
      </c>
      <c r="EL60" s="2">
        <v>40497.449999999997</v>
      </c>
      <c r="EM60" s="2">
        <v>40594.300000000003</v>
      </c>
      <c r="EN60" s="2">
        <v>40691.14</v>
      </c>
      <c r="EO60" s="2">
        <v>40766.639999999999</v>
      </c>
      <c r="EP60" s="2">
        <v>40842.14</v>
      </c>
      <c r="EQ60" s="2">
        <v>40917.64</v>
      </c>
      <c r="ER60" s="2">
        <v>40993.14</v>
      </c>
      <c r="ES60" s="2">
        <v>41046.550000000003</v>
      </c>
      <c r="ET60" s="2">
        <v>41099.949999999997</v>
      </c>
      <c r="EU60" s="2">
        <v>41153.360000000001</v>
      </c>
      <c r="EV60" s="2">
        <v>41206.769999999997</v>
      </c>
      <c r="EW60" s="2">
        <v>41266.04</v>
      </c>
      <c r="EX60" s="2">
        <v>41325.32</v>
      </c>
      <c r="EY60" s="2">
        <v>41384.6</v>
      </c>
      <c r="EZ60" s="2">
        <v>41443.879999999997</v>
      </c>
      <c r="FA60" s="2">
        <v>41510.57</v>
      </c>
      <c r="FB60" s="2">
        <v>41577.269999999997</v>
      </c>
      <c r="FC60" s="2">
        <v>41643.96</v>
      </c>
      <c r="FD60" s="2">
        <v>41710.660000000003</v>
      </c>
      <c r="FE60" s="2">
        <v>41702.699999999997</v>
      </c>
      <c r="FF60" s="2">
        <v>41694.75</v>
      </c>
      <c r="FG60" s="2">
        <v>41686.79</v>
      </c>
      <c r="FH60" s="2">
        <v>41678.83</v>
      </c>
      <c r="FI60" s="2">
        <v>41690.699999999997</v>
      </c>
      <c r="FJ60" s="2">
        <v>41702.559999999998</v>
      </c>
      <c r="FK60" s="2">
        <v>41714.43</v>
      </c>
      <c r="FL60" s="2">
        <v>41726.29</v>
      </c>
      <c r="FM60" s="2">
        <v>41762.39</v>
      </c>
      <c r="FN60" s="2">
        <v>41798.5</v>
      </c>
      <c r="FO60" s="2">
        <v>41834.6</v>
      </c>
      <c r="FP60" s="2">
        <v>41870.699999999997</v>
      </c>
      <c r="FQ60" s="2">
        <v>41924.199999999997</v>
      </c>
      <c r="FR60" s="2">
        <v>41977.71</v>
      </c>
      <c r="FS60" s="2">
        <v>42031.21</v>
      </c>
      <c r="FT60" s="2">
        <v>42084.71</v>
      </c>
      <c r="FU60" s="2">
        <v>42142.32</v>
      </c>
      <c r="FV60" s="2">
        <v>42199.92</v>
      </c>
      <c r="FW60" s="2">
        <v>42257.52</v>
      </c>
      <c r="FX60" s="2">
        <v>42315.13</v>
      </c>
      <c r="FY60" s="2">
        <v>42350.28</v>
      </c>
      <c r="FZ60" s="2">
        <v>42385.43</v>
      </c>
      <c r="GA60" s="2">
        <v>42420.58</v>
      </c>
      <c r="GB60" s="2">
        <v>42455.73</v>
      </c>
      <c r="GC60" s="2">
        <v>42501.440000000002</v>
      </c>
      <c r="GD60" s="2">
        <v>42547.14</v>
      </c>
      <c r="GE60" s="2">
        <v>42592.85</v>
      </c>
      <c r="GF60" s="2">
        <v>42638.559999999998</v>
      </c>
      <c r="GG60" s="2">
        <v>42681.03</v>
      </c>
      <c r="GH60" s="2">
        <v>42723.5</v>
      </c>
      <c r="GI60" s="2">
        <v>42765.97</v>
      </c>
      <c r="GJ60" s="2">
        <v>42808.44</v>
      </c>
      <c r="GK60" s="2">
        <v>42849.57</v>
      </c>
      <c r="GL60" s="2">
        <v>42890.7</v>
      </c>
      <c r="GM60" s="2">
        <v>42931.82</v>
      </c>
      <c r="GN60" s="2">
        <v>42972.95</v>
      </c>
      <c r="GO60" s="2">
        <v>42962.59</v>
      </c>
      <c r="GP60" s="2">
        <v>42952.22</v>
      </c>
      <c r="GQ60" s="2">
        <v>42941.86</v>
      </c>
      <c r="GR60" s="2">
        <v>42931.5</v>
      </c>
      <c r="GS60" s="2">
        <v>43012.37</v>
      </c>
      <c r="GT60" s="2">
        <v>43093.23</v>
      </c>
      <c r="GU60" s="2">
        <v>43174.1</v>
      </c>
      <c r="GV60" s="2">
        <v>43254.96</v>
      </c>
      <c r="GW60" s="2">
        <v>43364.39</v>
      </c>
      <c r="GX60" s="2">
        <v>43473.83</v>
      </c>
      <c r="GY60" s="2">
        <v>43583.26</v>
      </c>
      <c r="GZ60" s="2">
        <v>43692.7</v>
      </c>
      <c r="HA60" s="3">
        <v>43881.21</v>
      </c>
      <c r="HB60" s="3">
        <v>44069.59</v>
      </c>
      <c r="HC60" s="3">
        <v>44257.98</v>
      </c>
      <c r="HD60" s="3">
        <v>44446.36</v>
      </c>
      <c r="HE60" s="3">
        <v>44565.279999999999</v>
      </c>
      <c r="HF60" s="3">
        <v>44684.2</v>
      </c>
      <c r="HG60" s="3">
        <v>44803.11</v>
      </c>
      <c r="HH60" s="3">
        <v>44922.03</v>
      </c>
      <c r="HI60" s="3">
        <v>44994.49</v>
      </c>
      <c r="HJ60" s="3">
        <v>45066.95</v>
      </c>
      <c r="HK60" s="3">
        <v>45139.42</v>
      </c>
      <c r="HL60" s="3">
        <v>45211.88</v>
      </c>
      <c r="HM60" s="3">
        <v>45261.59</v>
      </c>
      <c r="HN60" s="3">
        <v>45311.31</v>
      </c>
      <c r="HO60" s="3">
        <v>45361.02</v>
      </c>
      <c r="HP60" s="3">
        <v>45410.73</v>
      </c>
      <c r="HQ60" s="3">
        <v>45435.040000000001</v>
      </c>
      <c r="HR60" s="3">
        <v>45459.34</v>
      </c>
      <c r="HS60" s="3">
        <v>45483.64</v>
      </c>
      <c r="HT60" s="3">
        <v>45507.94</v>
      </c>
      <c r="HU60" s="3">
        <v>45524</v>
      </c>
      <c r="HV60" s="3">
        <v>45540.07</v>
      </c>
      <c r="HW60" s="3">
        <v>45556.13</v>
      </c>
      <c r="HX60" s="3">
        <v>45572.19</v>
      </c>
      <c r="HY60" s="3">
        <v>45586</v>
      </c>
      <c r="HZ60" s="3">
        <v>45599.82</v>
      </c>
      <c r="IA60" s="3">
        <v>45613.64</v>
      </c>
      <c r="IB60" s="3">
        <v>45627.46</v>
      </c>
      <c r="IC60" s="3">
        <v>45645.75</v>
      </c>
      <c r="ID60" s="3">
        <v>45664.04</v>
      </c>
      <c r="IE60" s="3">
        <v>45682.32</v>
      </c>
      <c r="IF60" s="3">
        <v>45700.61</v>
      </c>
      <c r="IG60" s="3">
        <v>45714.02</v>
      </c>
      <c r="IH60" s="3">
        <v>45727.43</v>
      </c>
      <c r="II60" s="3">
        <v>45740.84</v>
      </c>
      <c r="IJ60" s="3">
        <v>45754.25</v>
      </c>
      <c r="IK60" s="3">
        <v>45766.09</v>
      </c>
      <c r="IL60" s="3">
        <v>45777.919999999998</v>
      </c>
      <c r="IM60" s="3">
        <v>45789.75</v>
      </c>
      <c r="IN60" s="3">
        <v>45801.59</v>
      </c>
      <c r="IO60" s="3">
        <v>45812.25</v>
      </c>
      <c r="IP60" s="3">
        <v>45822.91</v>
      </c>
      <c r="IQ60" s="3">
        <v>45833.57</v>
      </c>
      <c r="IR60" s="3">
        <v>45844.23</v>
      </c>
      <c r="IS60" s="3">
        <v>45857.62</v>
      </c>
      <c r="IT60" s="3">
        <v>45871.01</v>
      </c>
      <c r="IU60" s="3">
        <v>45884.39</v>
      </c>
      <c r="IV60" s="3">
        <v>45897.79</v>
      </c>
      <c r="IW60" s="3">
        <v>45901.72</v>
      </c>
      <c r="IX60" s="3">
        <v>45905.65</v>
      </c>
      <c r="IY60" s="3">
        <v>45909.58</v>
      </c>
      <c r="IZ60" s="3">
        <v>45913.52</v>
      </c>
      <c r="JA60" s="3">
        <v>45927.7</v>
      </c>
      <c r="JB60" s="3">
        <v>45941.89</v>
      </c>
      <c r="JC60" s="3">
        <v>45956.08</v>
      </c>
      <c r="JD60" s="3">
        <v>45970.27</v>
      </c>
      <c r="JE60" s="3">
        <v>45983.8</v>
      </c>
      <c r="JF60" s="3">
        <v>45997.34</v>
      </c>
      <c r="JG60" s="3">
        <v>46010.87</v>
      </c>
      <c r="JH60" s="3">
        <v>46024.41</v>
      </c>
      <c r="JI60" s="3">
        <v>46045.33</v>
      </c>
      <c r="JJ60" s="3">
        <v>46066.26</v>
      </c>
      <c r="JK60" s="3">
        <v>46087.18</v>
      </c>
      <c r="JL60" s="3">
        <v>46108.11</v>
      </c>
      <c r="JM60" s="3">
        <v>46132.37</v>
      </c>
      <c r="JN60" s="3">
        <v>46156.63</v>
      </c>
      <c r="JO60" s="3">
        <v>46180.89</v>
      </c>
      <c r="JP60" s="3">
        <v>46205.14</v>
      </c>
      <c r="JQ60" s="3">
        <v>46233.3</v>
      </c>
      <c r="JR60" s="3">
        <v>46261.46</v>
      </c>
      <c r="JS60" s="3">
        <v>46289.61</v>
      </c>
      <c r="JT60" s="3">
        <v>46317.77</v>
      </c>
      <c r="JU60" s="3">
        <v>46350.09</v>
      </c>
      <c r="JV60" s="3">
        <v>46382.41</v>
      </c>
      <c r="JW60" s="3">
        <v>46414.74</v>
      </c>
      <c r="JX60" s="3">
        <v>46447.07</v>
      </c>
      <c r="JY60" s="3">
        <v>46475.68</v>
      </c>
      <c r="JZ60" s="3">
        <v>46504.29</v>
      </c>
      <c r="KA60" s="3">
        <v>46532.91</v>
      </c>
      <c r="KB60" s="3">
        <v>46561.52</v>
      </c>
      <c r="KC60" s="3">
        <v>46575.78</v>
      </c>
      <c r="KD60" s="3">
        <v>46590.04</v>
      </c>
      <c r="KE60" s="3">
        <v>46604.31</v>
      </c>
      <c r="KF60" s="3">
        <v>46618.57</v>
      </c>
      <c r="KG60" s="3">
        <v>46624.05</v>
      </c>
      <c r="KH60" s="3">
        <v>46629.52</v>
      </c>
      <c r="KI60" s="3">
        <v>46635</v>
      </c>
      <c r="KJ60" s="3">
        <v>46640.47</v>
      </c>
      <c r="KK60" s="3">
        <v>46645.86</v>
      </c>
      <c r="KL60" s="3">
        <v>46651.24</v>
      </c>
      <c r="KM60" s="3">
        <v>46656.62</v>
      </c>
      <c r="KN60" s="3">
        <v>46662</v>
      </c>
      <c r="KO60" s="3">
        <v>46668.82</v>
      </c>
      <c r="KP60" s="3">
        <v>46675.64</v>
      </c>
      <c r="KQ60" s="3">
        <v>46682.45</v>
      </c>
      <c r="KR60" s="3">
        <v>46689.27</v>
      </c>
      <c r="KS60" s="3">
        <v>46694.19</v>
      </c>
      <c r="KT60" s="3">
        <v>46699.11</v>
      </c>
      <c r="KU60" s="3">
        <v>46704.03</v>
      </c>
      <c r="KV60" s="3">
        <v>46708.95</v>
      </c>
      <c r="KW60" s="3">
        <v>46713.2</v>
      </c>
      <c r="KX60" s="3">
        <v>46717.440000000002</v>
      </c>
      <c r="KY60" s="3">
        <v>46721.69</v>
      </c>
      <c r="KZ60" s="3">
        <v>46725.93</v>
      </c>
      <c r="LA60" s="3">
        <v>46722.65</v>
      </c>
      <c r="LB60" s="3">
        <v>46719.37</v>
      </c>
      <c r="LC60" s="3">
        <v>46716.08</v>
      </c>
      <c r="LD60" s="3">
        <v>46712.800000000003</v>
      </c>
      <c r="LE60" s="3">
        <v>46707.55</v>
      </c>
      <c r="LF60" s="3">
        <v>46702.3</v>
      </c>
      <c r="LG60" s="3">
        <v>46697.05</v>
      </c>
      <c r="LH60" s="3">
        <v>46691.79</v>
      </c>
      <c r="LI60" s="3">
        <v>46683.77</v>
      </c>
      <c r="LJ60" s="3">
        <v>46675.75</v>
      </c>
      <c r="LK60" s="3">
        <v>46667.73</v>
      </c>
      <c r="LL60" s="3">
        <v>46659.71</v>
      </c>
      <c r="LM60" s="3">
        <v>46645.22</v>
      </c>
      <c r="LN60" s="3">
        <v>46630.73</v>
      </c>
      <c r="LO60" s="3">
        <v>46616.24</v>
      </c>
      <c r="LP60" s="3">
        <v>46601.760000000002</v>
      </c>
      <c r="LQ60" s="3">
        <v>46588.4</v>
      </c>
      <c r="LR60" s="3">
        <v>46575.040000000001</v>
      </c>
      <c r="LS60" s="3">
        <v>46561.69</v>
      </c>
      <c r="LT60" s="3">
        <v>46548.33</v>
      </c>
      <c r="LU60" s="3">
        <v>46531.96</v>
      </c>
      <c r="LV60" s="3">
        <v>46515.58</v>
      </c>
      <c r="LW60" s="3">
        <v>46499.21</v>
      </c>
      <c r="LX60" s="3">
        <v>46482.83</v>
      </c>
      <c r="LY60" s="3">
        <v>46463.53</v>
      </c>
      <c r="LZ60" s="3">
        <v>46444.22</v>
      </c>
      <c r="MA60" s="3">
        <v>46424.91</v>
      </c>
      <c r="MB60" s="3">
        <v>46405.61</v>
      </c>
      <c r="MC60" s="3">
        <v>46386.86</v>
      </c>
      <c r="MD60" s="3">
        <v>46368.11</v>
      </c>
      <c r="ME60" s="3">
        <v>46349.36</v>
      </c>
      <c r="MF60" s="3">
        <v>46330.62</v>
      </c>
      <c r="MG60" s="3">
        <v>46315.43</v>
      </c>
      <c r="MH60" s="3">
        <v>46300.24</v>
      </c>
      <c r="MI60" s="3">
        <v>46285.05</v>
      </c>
      <c r="MJ60" s="3">
        <v>46269.86</v>
      </c>
      <c r="MK60" s="3">
        <v>46252.05</v>
      </c>
      <c r="ML60" s="3">
        <v>46234.239999999998</v>
      </c>
      <c r="MM60" s="3">
        <v>46216.43</v>
      </c>
      <c r="MN60" s="3">
        <v>46198.63</v>
      </c>
      <c r="MO60" s="3">
        <v>46183</v>
      </c>
      <c r="MP60" s="3">
        <v>46167.39</v>
      </c>
      <c r="MQ60" s="3">
        <v>46151.77</v>
      </c>
      <c r="MR60" s="3">
        <v>46136.15</v>
      </c>
      <c r="MS60" s="3">
        <v>46120.54</v>
      </c>
      <c r="MT60" s="3">
        <v>46104.93</v>
      </c>
      <c r="MU60" s="1" t="s">
        <v>484</v>
      </c>
      <c r="MV60" t="b">
        <v>0</v>
      </c>
      <c r="MW60" t="s">
        <v>377</v>
      </c>
      <c r="MX60" t="s">
        <v>377</v>
      </c>
      <c r="MY60">
        <v>2023</v>
      </c>
      <c r="MZ60">
        <v>2</v>
      </c>
      <c r="NA60" t="s">
        <v>377</v>
      </c>
      <c r="NB60" s="1" t="s">
        <v>485</v>
      </c>
      <c r="NC60" t="s">
        <v>377</v>
      </c>
      <c r="ND60" t="s">
        <v>380</v>
      </c>
      <c r="NE60" s="1" t="s">
        <v>486</v>
      </c>
      <c r="NF60" s="1" t="s">
        <v>526</v>
      </c>
    </row>
    <row r="61" spans="1:370" x14ac:dyDescent="0.25">
      <c r="A61" t="s">
        <v>382</v>
      </c>
      <c r="B61" s="1" t="s">
        <v>483</v>
      </c>
      <c r="C61" s="1" t="s">
        <v>525</v>
      </c>
      <c r="D61" t="s">
        <v>464</v>
      </c>
      <c r="E61" t="s">
        <v>465</v>
      </c>
      <c r="F61" t="s">
        <v>374</v>
      </c>
      <c r="G61" s="2">
        <v>132477.5</v>
      </c>
      <c r="H61" s="2">
        <v>133087.5</v>
      </c>
      <c r="I61" s="2">
        <v>133665.29999999999</v>
      </c>
      <c r="J61" s="2">
        <v>134250</v>
      </c>
      <c r="K61" s="2">
        <v>134842.70000000001</v>
      </c>
      <c r="L61" s="2">
        <v>135439</v>
      </c>
      <c r="M61" s="2">
        <v>136022.79999999999</v>
      </c>
      <c r="N61" s="2">
        <v>136597.79999999999</v>
      </c>
      <c r="O61" s="2">
        <v>137167.6</v>
      </c>
      <c r="P61" s="2">
        <v>137723.4</v>
      </c>
      <c r="Q61" s="2">
        <v>138373.29999999999</v>
      </c>
      <c r="R61" s="2">
        <v>139015.70000000001</v>
      </c>
      <c r="S61" s="2">
        <v>139661.79999999999</v>
      </c>
      <c r="T61" s="2">
        <v>140288.9</v>
      </c>
      <c r="U61" s="2">
        <v>140921.9</v>
      </c>
      <c r="V61" s="2">
        <v>141486.9</v>
      </c>
      <c r="W61" s="2">
        <v>142075.6</v>
      </c>
      <c r="X61" s="2">
        <v>142676.5</v>
      </c>
      <c r="Y61" s="2">
        <v>143266.1</v>
      </c>
      <c r="Z61" s="2">
        <v>143856.4</v>
      </c>
      <c r="AA61" s="2">
        <v>144455.6</v>
      </c>
      <c r="AB61" s="2">
        <v>145050</v>
      </c>
      <c r="AC61" s="2">
        <v>145650</v>
      </c>
      <c r="AD61" s="2">
        <v>146224</v>
      </c>
      <c r="AE61" s="2">
        <v>146811.29999999999</v>
      </c>
      <c r="AF61" s="2">
        <v>147415.9</v>
      </c>
      <c r="AG61" s="2">
        <v>148001.60000000001</v>
      </c>
      <c r="AH61" s="2">
        <v>148546.4</v>
      </c>
      <c r="AI61" s="2">
        <v>149104.79999999999</v>
      </c>
      <c r="AJ61" s="2">
        <v>149668.20000000001</v>
      </c>
      <c r="AK61" s="2">
        <v>150231.6</v>
      </c>
      <c r="AL61" s="2">
        <v>150698</v>
      </c>
      <c r="AM61" s="2">
        <v>151135</v>
      </c>
      <c r="AN61" s="2">
        <v>151556.9</v>
      </c>
      <c r="AO61" s="2">
        <v>151991.79999999999</v>
      </c>
      <c r="AP61" s="2">
        <v>152395.79999999999</v>
      </c>
      <c r="AQ61" s="2">
        <v>152778.9</v>
      </c>
      <c r="AR61" s="2">
        <v>153172</v>
      </c>
      <c r="AS61" s="2">
        <v>153546.4</v>
      </c>
      <c r="AT61" s="2">
        <v>153899.79999999999</v>
      </c>
      <c r="AU61" s="2">
        <v>154260</v>
      </c>
      <c r="AV61" s="2">
        <v>154617.1</v>
      </c>
      <c r="AW61" s="2">
        <v>154961.9</v>
      </c>
      <c r="AX61" s="2">
        <v>155333.5</v>
      </c>
      <c r="AY61" s="2">
        <v>155707.4</v>
      </c>
      <c r="AZ61" s="2">
        <v>156097</v>
      </c>
      <c r="BA61" s="2">
        <v>156463.79999999999</v>
      </c>
      <c r="BB61" s="2">
        <v>156842.5</v>
      </c>
      <c r="BC61" s="2">
        <v>157215.29999999999</v>
      </c>
      <c r="BD61" s="2">
        <v>157583.70000000001</v>
      </c>
      <c r="BE61" s="2">
        <v>157973.6</v>
      </c>
      <c r="BF61" s="2">
        <v>158379.5</v>
      </c>
      <c r="BG61" s="2">
        <v>158790</v>
      </c>
      <c r="BH61" s="2">
        <v>159190.39999999999</v>
      </c>
      <c r="BI61" s="2">
        <v>159590.29999999999</v>
      </c>
      <c r="BJ61" s="2">
        <v>159885.5</v>
      </c>
      <c r="BK61" s="2">
        <v>160191.1</v>
      </c>
      <c r="BL61" s="2">
        <v>160509.79999999999</v>
      </c>
      <c r="BM61" s="2">
        <v>160803.5</v>
      </c>
      <c r="BN61" s="2">
        <v>161074.5</v>
      </c>
      <c r="BO61" s="2">
        <v>161371.20000000001</v>
      </c>
      <c r="BP61" s="2">
        <v>161650.6</v>
      </c>
      <c r="BQ61" s="2">
        <v>161924.9</v>
      </c>
      <c r="BR61" s="2">
        <v>162164.5</v>
      </c>
      <c r="BS61" s="2">
        <v>162419.20000000001</v>
      </c>
      <c r="BT61" s="2">
        <v>162666.70000000001</v>
      </c>
      <c r="BU61" s="2">
        <v>162916.6</v>
      </c>
      <c r="BV61" s="2">
        <v>163194.29999999999</v>
      </c>
      <c r="BW61" s="2">
        <v>163494.9</v>
      </c>
      <c r="BX61" s="2">
        <v>163843.20000000001</v>
      </c>
      <c r="BY61" s="2">
        <v>164230.1</v>
      </c>
      <c r="BZ61" s="2">
        <v>164629.5</v>
      </c>
      <c r="CA61" s="2">
        <v>164991.20000000001</v>
      </c>
      <c r="CB61" s="2">
        <v>165408.20000000001</v>
      </c>
      <c r="CC61" s="2">
        <v>165925</v>
      </c>
      <c r="CD61" s="2">
        <v>166433.70000000001</v>
      </c>
      <c r="CE61" s="2">
        <v>166937.60000000001</v>
      </c>
      <c r="CF61" s="2">
        <v>167445.6</v>
      </c>
      <c r="CG61" s="2">
        <v>167954.2</v>
      </c>
      <c r="CH61" s="2">
        <v>168467.9</v>
      </c>
      <c r="CI61" s="2">
        <v>168982.6</v>
      </c>
      <c r="CJ61" s="2">
        <v>169453.8</v>
      </c>
      <c r="CK61" s="2">
        <v>169921.1</v>
      </c>
      <c r="CL61" s="2">
        <v>170445.8</v>
      </c>
      <c r="CM61" s="2">
        <v>170973.5</v>
      </c>
      <c r="CN61" s="2">
        <v>171490.3</v>
      </c>
      <c r="CO61" s="2">
        <v>171993.3</v>
      </c>
      <c r="CP61" s="2">
        <v>172542.1</v>
      </c>
      <c r="CQ61" s="2">
        <v>173109.8</v>
      </c>
      <c r="CR61" s="2">
        <v>173680.8</v>
      </c>
      <c r="CS61" s="2">
        <v>174238.6</v>
      </c>
      <c r="CT61" s="2">
        <v>174826.8</v>
      </c>
      <c r="CU61" s="2">
        <v>175378.3</v>
      </c>
      <c r="CV61" s="2">
        <v>175962.9</v>
      </c>
      <c r="CW61" s="2">
        <v>176548.6</v>
      </c>
      <c r="CX61" s="2">
        <v>177198.6</v>
      </c>
      <c r="CY61" s="2">
        <v>177854.9</v>
      </c>
      <c r="CZ61" s="2">
        <v>178510</v>
      </c>
      <c r="DA61" s="2">
        <v>179159.2</v>
      </c>
      <c r="DB61" s="2">
        <v>179831.9</v>
      </c>
      <c r="DC61" s="2">
        <v>180484.5</v>
      </c>
      <c r="DD61" s="2">
        <v>181112.4</v>
      </c>
      <c r="DE61" s="2">
        <v>181755.6</v>
      </c>
      <c r="DF61" s="2">
        <v>182383.6</v>
      </c>
      <c r="DG61" s="2">
        <v>183031.3</v>
      </c>
      <c r="DH61" s="2">
        <v>183638.6</v>
      </c>
      <c r="DI61" s="2">
        <v>184288.1</v>
      </c>
      <c r="DJ61" s="2">
        <v>184941.7</v>
      </c>
      <c r="DK61" s="2">
        <v>185585.8</v>
      </c>
      <c r="DL61" s="2">
        <v>186226.2</v>
      </c>
      <c r="DM61" s="2">
        <v>186813</v>
      </c>
      <c r="DN61" s="2">
        <v>187416.1</v>
      </c>
      <c r="DO61" s="2">
        <v>188027.3</v>
      </c>
      <c r="DP61" s="2">
        <v>188641.4</v>
      </c>
      <c r="DQ61" s="2">
        <v>189228.4</v>
      </c>
      <c r="DR61" s="2">
        <v>189779.8</v>
      </c>
      <c r="DS61" s="2">
        <v>190364.7</v>
      </c>
      <c r="DT61" s="2">
        <v>190957</v>
      </c>
      <c r="DU61" s="2">
        <v>191540</v>
      </c>
      <c r="DV61" s="2">
        <v>192082.9</v>
      </c>
      <c r="DW61" s="2">
        <v>192615.8</v>
      </c>
      <c r="DX61" s="2">
        <v>193055.7</v>
      </c>
      <c r="DY61" s="2">
        <v>193615.8</v>
      </c>
      <c r="DZ61" s="2">
        <v>194223.8</v>
      </c>
      <c r="EA61" s="2">
        <v>194795.4</v>
      </c>
      <c r="EB61" s="2">
        <v>195369.8</v>
      </c>
      <c r="EC61" s="2">
        <v>195950.2</v>
      </c>
      <c r="ED61" s="2">
        <v>196546.4</v>
      </c>
      <c r="EE61" s="2">
        <v>197143.2</v>
      </c>
      <c r="EF61" s="2">
        <v>197728.3</v>
      </c>
      <c r="EG61" s="2">
        <v>198347.8</v>
      </c>
      <c r="EH61" s="2">
        <v>198925.3</v>
      </c>
      <c r="EI61" s="2">
        <v>199497.4</v>
      </c>
      <c r="EJ61" s="2">
        <v>200116.1</v>
      </c>
      <c r="EK61" s="2">
        <v>200699.1</v>
      </c>
      <c r="EL61" s="2">
        <v>201194</v>
      </c>
      <c r="EM61" s="2">
        <v>201716.2</v>
      </c>
      <c r="EN61" s="2">
        <v>202223.4</v>
      </c>
      <c r="EO61" s="2">
        <v>202723.9</v>
      </c>
      <c r="EP61" s="2">
        <v>203143.8</v>
      </c>
      <c r="EQ61" s="2">
        <v>203574.9</v>
      </c>
      <c r="ER61" s="2">
        <v>203994.7</v>
      </c>
      <c r="ES61" s="2">
        <v>204409</v>
      </c>
      <c r="ET61" s="2">
        <v>204830.6</v>
      </c>
      <c r="EU61" s="2">
        <v>205238.1</v>
      </c>
      <c r="EV61" s="2">
        <v>205654</v>
      </c>
      <c r="EW61" s="2">
        <v>206060.79999999999</v>
      </c>
      <c r="EX61" s="2">
        <v>206479.5</v>
      </c>
      <c r="EY61" s="2">
        <v>206893</v>
      </c>
      <c r="EZ61" s="2">
        <v>207317.7</v>
      </c>
      <c r="FA61" s="2">
        <v>207680.7</v>
      </c>
      <c r="FB61" s="2">
        <v>208094.5</v>
      </c>
      <c r="FC61" s="2">
        <v>208489.9</v>
      </c>
      <c r="FD61" s="2">
        <v>208887.7</v>
      </c>
      <c r="FE61" s="2">
        <v>209290.5</v>
      </c>
      <c r="FF61" s="2">
        <v>209471.8</v>
      </c>
      <c r="FG61" s="2">
        <v>209668.1</v>
      </c>
      <c r="FH61" s="2">
        <v>209869.2</v>
      </c>
      <c r="FI61" s="2">
        <v>210054.8</v>
      </c>
      <c r="FJ61" s="2">
        <v>210303.9</v>
      </c>
      <c r="FK61" s="2">
        <v>210531.1</v>
      </c>
      <c r="FL61" s="2">
        <v>210749.3</v>
      </c>
      <c r="FM61" s="2">
        <v>210980.3</v>
      </c>
      <c r="FN61" s="2">
        <v>211223.4</v>
      </c>
      <c r="FO61" s="2">
        <v>211482.2</v>
      </c>
      <c r="FP61" s="2">
        <v>211739.6</v>
      </c>
      <c r="FQ61" s="2">
        <v>211992.3</v>
      </c>
      <c r="FR61" s="2">
        <v>212285.1</v>
      </c>
      <c r="FS61" s="2">
        <v>212569.5</v>
      </c>
      <c r="FT61" s="2">
        <v>212837</v>
      </c>
      <c r="FU61" s="2">
        <v>213107.7</v>
      </c>
      <c r="FV61" s="2">
        <v>213358.1</v>
      </c>
      <c r="FW61" s="2">
        <v>213593.7</v>
      </c>
      <c r="FX61" s="2">
        <v>213863.9</v>
      </c>
      <c r="FY61" s="2">
        <v>214107.3</v>
      </c>
      <c r="FZ61" s="2">
        <v>214303.6</v>
      </c>
      <c r="GA61" s="2">
        <v>214485.6</v>
      </c>
      <c r="GB61" s="2">
        <v>214662.3</v>
      </c>
      <c r="GC61" s="2">
        <v>214834.3</v>
      </c>
      <c r="GD61" s="2">
        <v>214958.5</v>
      </c>
      <c r="GE61" s="2">
        <v>215073.5</v>
      </c>
      <c r="GF61" s="2">
        <v>215185</v>
      </c>
      <c r="GG61" s="2">
        <v>215301.1</v>
      </c>
      <c r="GH61" s="2">
        <v>215378</v>
      </c>
      <c r="GI61" s="2">
        <v>215454</v>
      </c>
      <c r="GJ61" s="2">
        <v>215524.1</v>
      </c>
      <c r="GK61" s="2">
        <v>215600.7</v>
      </c>
      <c r="GL61" s="2">
        <v>215676</v>
      </c>
      <c r="GM61" s="2">
        <v>215756.3</v>
      </c>
      <c r="GN61" s="2">
        <v>215832.8</v>
      </c>
      <c r="GO61" s="2">
        <v>215776.1</v>
      </c>
      <c r="GP61" s="2">
        <v>215718.9</v>
      </c>
      <c r="GQ61" s="2">
        <v>215607.8</v>
      </c>
      <c r="GR61" s="2">
        <v>215547.8</v>
      </c>
      <c r="GS61" s="2">
        <v>215574.7</v>
      </c>
      <c r="GT61" s="2">
        <v>215686.8</v>
      </c>
      <c r="GU61" s="2">
        <v>215829.3</v>
      </c>
      <c r="GV61" s="2">
        <v>215987.1</v>
      </c>
      <c r="GW61" s="3">
        <v>216213.7</v>
      </c>
      <c r="GX61" s="3">
        <v>216468.7</v>
      </c>
      <c r="GY61" s="3">
        <v>216752.7</v>
      </c>
      <c r="GZ61" s="3">
        <v>217075.4</v>
      </c>
      <c r="HA61" s="3">
        <v>217388.79999999999</v>
      </c>
      <c r="HB61" s="3">
        <v>217695.9</v>
      </c>
      <c r="HC61" s="3">
        <v>218043.5</v>
      </c>
      <c r="HD61" s="3">
        <v>218424.9</v>
      </c>
      <c r="HE61" s="3">
        <v>218802.1</v>
      </c>
      <c r="HF61" s="3">
        <v>218982.39999999999</v>
      </c>
      <c r="HG61" s="3">
        <v>219138.6</v>
      </c>
      <c r="HH61" s="3">
        <v>219268.7</v>
      </c>
      <c r="HI61" s="3">
        <v>219365.2</v>
      </c>
      <c r="HJ61" s="3">
        <v>219406.3</v>
      </c>
      <c r="HK61" s="3">
        <v>219432.1</v>
      </c>
      <c r="HL61" s="3">
        <v>219445.3</v>
      </c>
      <c r="HM61" s="3">
        <v>219452.2</v>
      </c>
      <c r="HN61" s="3">
        <v>219452.5</v>
      </c>
      <c r="HO61" s="3">
        <v>219445.9</v>
      </c>
      <c r="HP61" s="3">
        <v>219425.6</v>
      </c>
      <c r="HQ61" s="3">
        <v>219400.3</v>
      </c>
      <c r="HR61" s="3">
        <v>219388.6</v>
      </c>
      <c r="HS61" s="3">
        <v>219374.8</v>
      </c>
      <c r="HT61" s="3">
        <v>219361.2</v>
      </c>
      <c r="HU61" s="3">
        <v>219348</v>
      </c>
      <c r="HV61" s="3">
        <v>219361.5</v>
      </c>
      <c r="HW61" s="3">
        <v>219377.7</v>
      </c>
      <c r="HX61" s="3">
        <v>219400.9</v>
      </c>
      <c r="HY61" s="3">
        <v>219428.1</v>
      </c>
      <c r="HZ61" s="3">
        <v>219508</v>
      </c>
      <c r="IA61" s="3">
        <v>219591.9</v>
      </c>
      <c r="IB61" s="3">
        <v>219675.4</v>
      </c>
      <c r="IC61" s="3">
        <v>219765</v>
      </c>
      <c r="ID61" s="3">
        <v>219912.4</v>
      </c>
      <c r="IE61" s="3">
        <v>220066.7</v>
      </c>
      <c r="IF61" s="3">
        <v>220228.1</v>
      </c>
      <c r="IG61" s="3">
        <v>220387.5</v>
      </c>
      <c r="IH61" s="3">
        <v>220551.5</v>
      </c>
      <c r="II61" s="3">
        <v>220714.5</v>
      </c>
      <c r="IJ61" s="3">
        <v>220876.4</v>
      </c>
      <c r="IK61" s="3">
        <v>221037.4</v>
      </c>
      <c r="IL61" s="3">
        <v>221196.2</v>
      </c>
      <c r="IM61" s="3">
        <v>221354.1</v>
      </c>
      <c r="IN61" s="3">
        <v>221511</v>
      </c>
      <c r="IO61" s="3">
        <v>221666.9</v>
      </c>
      <c r="IP61" s="3">
        <v>221794.1</v>
      </c>
      <c r="IQ61" s="3">
        <v>221920.3</v>
      </c>
      <c r="IR61" s="3">
        <v>222045.5</v>
      </c>
      <c r="IS61" s="3">
        <v>222169.5</v>
      </c>
      <c r="IT61" s="3">
        <v>222259</v>
      </c>
      <c r="IU61" s="3">
        <v>222347.1</v>
      </c>
      <c r="IV61" s="3">
        <v>222433.7</v>
      </c>
      <c r="IW61" s="3">
        <v>222518.8</v>
      </c>
      <c r="IX61" s="3">
        <v>222577.2</v>
      </c>
      <c r="IY61" s="3">
        <v>222633.60000000001</v>
      </c>
      <c r="IZ61" s="3">
        <v>222688.1</v>
      </c>
      <c r="JA61" s="3">
        <v>222740.6</v>
      </c>
      <c r="JB61" s="3">
        <v>222885.3</v>
      </c>
      <c r="JC61" s="3">
        <v>223028</v>
      </c>
      <c r="JD61" s="3">
        <v>223168.8</v>
      </c>
      <c r="JE61" s="3">
        <v>223307.7</v>
      </c>
      <c r="JF61" s="3">
        <v>223496.1</v>
      </c>
      <c r="JG61" s="3">
        <v>223682.7</v>
      </c>
      <c r="JH61" s="3">
        <v>223867.5</v>
      </c>
      <c r="JI61" s="3">
        <v>224050.4</v>
      </c>
      <c r="JJ61" s="3">
        <v>224231.1</v>
      </c>
      <c r="JK61" s="3">
        <v>224410.1</v>
      </c>
      <c r="JL61" s="3">
        <v>224587.2</v>
      </c>
      <c r="JM61" s="3">
        <v>224762.6</v>
      </c>
      <c r="JN61" s="3">
        <v>224939.9</v>
      </c>
      <c r="JO61" s="3">
        <v>225115.6</v>
      </c>
      <c r="JP61" s="3">
        <v>225289.60000000001</v>
      </c>
      <c r="JQ61" s="3">
        <v>225462.1</v>
      </c>
      <c r="JR61" s="3">
        <v>225653.7</v>
      </c>
      <c r="JS61" s="3">
        <v>225843.9</v>
      </c>
      <c r="JT61" s="3">
        <v>226032.5</v>
      </c>
      <c r="JU61" s="3">
        <v>226219.5</v>
      </c>
      <c r="JV61" s="3">
        <v>226384.9</v>
      </c>
      <c r="JW61" s="3">
        <v>226548.9</v>
      </c>
      <c r="JX61" s="3">
        <v>226711.5</v>
      </c>
      <c r="JY61" s="3">
        <v>226872.8</v>
      </c>
      <c r="JZ61" s="3">
        <v>227031.6</v>
      </c>
      <c r="KA61" s="3">
        <v>227189.2</v>
      </c>
      <c r="KB61" s="3">
        <v>227345.6</v>
      </c>
      <c r="KC61" s="3">
        <v>227500.79999999999</v>
      </c>
      <c r="KD61" s="3">
        <v>227643.4</v>
      </c>
      <c r="KE61" s="3">
        <v>227785</v>
      </c>
      <c r="KF61" s="3">
        <v>227925.6</v>
      </c>
      <c r="KG61" s="3">
        <v>228065.2</v>
      </c>
      <c r="KH61" s="3">
        <v>228173.3</v>
      </c>
      <c r="KI61" s="3">
        <v>228280.6</v>
      </c>
      <c r="KJ61" s="3">
        <v>228387.1</v>
      </c>
      <c r="KK61" s="3">
        <v>228492.7</v>
      </c>
      <c r="KL61" s="3">
        <v>228600.2</v>
      </c>
      <c r="KM61" s="3">
        <v>228707.1</v>
      </c>
      <c r="KN61" s="3">
        <v>228813.4</v>
      </c>
      <c r="KO61" s="3">
        <v>228919</v>
      </c>
      <c r="KP61" s="3">
        <v>229016.5</v>
      </c>
      <c r="KQ61" s="3">
        <v>229113.5</v>
      </c>
      <c r="KR61" s="3">
        <v>229209.9</v>
      </c>
      <c r="KS61" s="3">
        <v>229305.8</v>
      </c>
      <c r="KT61" s="3">
        <v>229404.4</v>
      </c>
      <c r="KU61" s="3">
        <v>229502.6</v>
      </c>
      <c r="KV61" s="3">
        <v>229600.4</v>
      </c>
      <c r="KW61" s="3">
        <v>229697.9</v>
      </c>
      <c r="KX61" s="3">
        <v>229812.4</v>
      </c>
      <c r="KY61" s="3">
        <v>229926.6</v>
      </c>
      <c r="KZ61" s="3">
        <v>230040.7</v>
      </c>
      <c r="LA61" s="3">
        <v>230154.6</v>
      </c>
      <c r="LB61" s="3">
        <v>230247.9</v>
      </c>
      <c r="LC61" s="3">
        <v>230341</v>
      </c>
      <c r="LD61" s="3">
        <v>230434</v>
      </c>
      <c r="LE61" s="3">
        <v>230526.7</v>
      </c>
      <c r="LF61" s="3">
        <v>230615.8</v>
      </c>
      <c r="LG61" s="3">
        <v>230704.7</v>
      </c>
      <c r="LH61" s="3">
        <v>230793.7</v>
      </c>
      <c r="LI61" s="3">
        <v>230883</v>
      </c>
      <c r="LJ61" s="3">
        <v>230969.7</v>
      </c>
      <c r="LK61" s="3">
        <v>231056.6</v>
      </c>
      <c r="LL61" s="3">
        <v>231143.8</v>
      </c>
      <c r="LM61" s="3">
        <v>231231.2</v>
      </c>
      <c r="LN61" s="3">
        <v>231302.5</v>
      </c>
      <c r="LO61" s="3">
        <v>231374.2</v>
      </c>
      <c r="LP61" s="3">
        <v>231446.2</v>
      </c>
      <c r="LQ61" s="3">
        <v>231518.6</v>
      </c>
      <c r="LR61" s="3">
        <v>231567.6</v>
      </c>
      <c r="LS61" s="3">
        <v>231616.9</v>
      </c>
      <c r="LT61" s="3">
        <v>231666.7</v>
      </c>
      <c r="LU61" s="3">
        <v>231716.8</v>
      </c>
      <c r="LV61" s="3">
        <v>231731.9</v>
      </c>
      <c r="LW61" s="3">
        <v>231747.5</v>
      </c>
      <c r="LX61" s="3">
        <v>231763.4</v>
      </c>
      <c r="LY61" s="3">
        <v>231779.8</v>
      </c>
      <c r="LZ61" s="3">
        <v>231793.1</v>
      </c>
      <c r="MA61" s="3">
        <v>231806.9</v>
      </c>
      <c r="MB61" s="3">
        <v>231821.1</v>
      </c>
      <c r="MC61" s="3">
        <v>231835.8</v>
      </c>
      <c r="MD61" s="3">
        <v>231858.7</v>
      </c>
      <c r="ME61" s="3">
        <v>231882.1</v>
      </c>
      <c r="MF61" s="3">
        <v>231905.9</v>
      </c>
      <c r="MG61" s="3">
        <v>231930.2</v>
      </c>
      <c r="MH61" s="3">
        <v>231969.7</v>
      </c>
      <c r="MI61" s="3">
        <v>232009.60000000001</v>
      </c>
      <c r="MJ61" s="3">
        <v>232050</v>
      </c>
      <c r="MK61" s="3">
        <v>232090.8</v>
      </c>
      <c r="ML61" s="3">
        <v>232139</v>
      </c>
      <c r="MM61" s="3">
        <v>232187.7</v>
      </c>
      <c r="MN61" s="3">
        <v>232236.79999999999</v>
      </c>
      <c r="MO61" s="3">
        <v>232286.3</v>
      </c>
      <c r="MP61" s="3">
        <v>232346.8</v>
      </c>
      <c r="MQ61" s="3">
        <v>232407.7</v>
      </c>
      <c r="MR61" s="3">
        <v>232469</v>
      </c>
      <c r="MS61" s="3">
        <v>232530.7</v>
      </c>
      <c r="MT61" s="3">
        <v>232592.6</v>
      </c>
      <c r="MU61" t="s">
        <v>487</v>
      </c>
      <c r="MV61" t="b">
        <v>0</v>
      </c>
      <c r="MW61" t="s">
        <v>377</v>
      </c>
      <c r="MX61" t="s">
        <v>377</v>
      </c>
      <c r="MY61">
        <v>2022</v>
      </c>
      <c r="MZ61">
        <v>2</v>
      </c>
      <c r="NA61" t="s">
        <v>377</v>
      </c>
      <c r="NB61" s="1" t="s">
        <v>488</v>
      </c>
      <c r="NC61" s="1" t="s">
        <v>489</v>
      </c>
      <c r="ND61" t="s">
        <v>389</v>
      </c>
      <c r="NE61" s="1" t="s">
        <v>486</v>
      </c>
      <c r="NF61" s="1" t="s">
        <v>526</v>
      </c>
    </row>
    <row r="62" spans="1:370" x14ac:dyDescent="0.25">
      <c r="A62" t="s">
        <v>370</v>
      </c>
      <c r="B62" t="s">
        <v>490</v>
      </c>
      <c r="C62" s="1" t="s">
        <v>525</v>
      </c>
      <c r="D62" t="s">
        <v>372</v>
      </c>
      <c r="E62" t="s">
        <v>373</v>
      </c>
      <c r="F62" t="s">
        <v>374</v>
      </c>
      <c r="G62" s="2">
        <v>1059724</v>
      </c>
      <c r="H62" s="2">
        <v>1069549</v>
      </c>
      <c r="I62" s="2">
        <v>1079374</v>
      </c>
      <c r="J62" s="2">
        <v>1089199</v>
      </c>
      <c r="K62" s="2">
        <v>1096685</v>
      </c>
      <c r="L62" s="2">
        <v>1104171</v>
      </c>
      <c r="M62" s="2">
        <v>1111657</v>
      </c>
      <c r="N62" s="2">
        <v>1119143</v>
      </c>
      <c r="O62" s="2">
        <v>1126434</v>
      </c>
      <c r="P62" s="2">
        <v>1133725</v>
      </c>
      <c r="Q62" s="2">
        <v>1141016</v>
      </c>
      <c r="R62" s="2">
        <v>1148307</v>
      </c>
      <c r="S62" s="2">
        <v>1155052</v>
      </c>
      <c r="T62" s="2">
        <v>1161797</v>
      </c>
      <c r="U62" s="2">
        <v>1168542</v>
      </c>
      <c r="V62" s="2">
        <v>1175287</v>
      </c>
      <c r="W62" s="2">
        <v>1181448</v>
      </c>
      <c r="X62" s="2">
        <v>1187608</v>
      </c>
      <c r="Y62" s="2">
        <v>1193768</v>
      </c>
      <c r="Z62" s="2">
        <v>1199928</v>
      </c>
      <c r="AA62" s="2">
        <v>1207570</v>
      </c>
      <c r="AB62" s="2">
        <v>1215212</v>
      </c>
      <c r="AC62" s="2">
        <v>1222854</v>
      </c>
      <c r="AD62" s="2">
        <v>1230496</v>
      </c>
      <c r="AE62" s="2">
        <v>1236422</v>
      </c>
      <c r="AF62" s="2">
        <v>1242348</v>
      </c>
      <c r="AG62" s="2">
        <v>1248275</v>
      </c>
      <c r="AH62" s="2">
        <v>1254201</v>
      </c>
      <c r="AI62" s="2">
        <v>1258841</v>
      </c>
      <c r="AJ62" s="2">
        <v>1263481</v>
      </c>
      <c r="AK62" s="2">
        <v>1268120</v>
      </c>
      <c r="AL62" s="2">
        <v>1272760</v>
      </c>
      <c r="AM62" s="2">
        <v>1274943</v>
      </c>
      <c r="AN62" s="2">
        <v>1277127</v>
      </c>
      <c r="AO62" s="2">
        <v>1279310</v>
      </c>
      <c r="AP62" s="2">
        <v>1281494</v>
      </c>
      <c r="AQ62" s="2">
        <v>1284379</v>
      </c>
      <c r="AR62" s="2">
        <v>1287264</v>
      </c>
      <c r="AS62" s="2">
        <v>1290149</v>
      </c>
      <c r="AT62" s="2">
        <v>1293034</v>
      </c>
      <c r="AU62" s="2">
        <v>1296465</v>
      </c>
      <c r="AV62" s="2">
        <v>1299896</v>
      </c>
      <c r="AW62" s="2">
        <v>1303327</v>
      </c>
      <c r="AX62" s="2">
        <v>1306758</v>
      </c>
      <c r="AY62" s="2">
        <v>1312997</v>
      </c>
      <c r="AZ62" s="2">
        <v>1319235</v>
      </c>
      <c r="BA62" s="2">
        <v>1325473</v>
      </c>
      <c r="BB62" s="2">
        <v>1331712</v>
      </c>
      <c r="BC62" s="2">
        <v>1338418</v>
      </c>
      <c r="BD62" s="2">
        <v>1345124</v>
      </c>
      <c r="BE62" s="2">
        <v>1351830</v>
      </c>
      <c r="BF62" s="2">
        <v>1358536</v>
      </c>
      <c r="BG62" s="2">
        <v>1363956</v>
      </c>
      <c r="BH62" s="2">
        <v>1369375</v>
      </c>
      <c r="BI62" s="2">
        <v>1374794</v>
      </c>
      <c r="BJ62" s="2">
        <v>1380214</v>
      </c>
      <c r="BK62" s="2">
        <v>1387973</v>
      </c>
      <c r="BL62" s="2">
        <v>1395732</v>
      </c>
      <c r="BM62" s="2">
        <v>1403490</v>
      </c>
      <c r="BN62" s="2">
        <v>1411249</v>
      </c>
      <c r="BO62" s="2">
        <v>1422400</v>
      </c>
      <c r="BP62" s="2">
        <v>1433551</v>
      </c>
      <c r="BQ62" s="2">
        <v>1444702</v>
      </c>
      <c r="BR62" s="2">
        <v>1455853</v>
      </c>
      <c r="BS62" s="2">
        <v>1469148</v>
      </c>
      <c r="BT62" s="2">
        <v>1482443</v>
      </c>
      <c r="BU62" s="2">
        <v>1495739</v>
      </c>
      <c r="BV62" s="2">
        <v>1509034</v>
      </c>
      <c r="BW62" s="2">
        <v>1523928</v>
      </c>
      <c r="BX62" s="2">
        <v>1538822</v>
      </c>
      <c r="BY62" s="2">
        <v>1553715</v>
      </c>
      <c r="BZ62" s="2">
        <v>1568609</v>
      </c>
      <c r="CA62" s="2">
        <v>1581320</v>
      </c>
      <c r="CB62" s="2">
        <v>1594030</v>
      </c>
      <c r="CC62" s="2">
        <v>1606740</v>
      </c>
      <c r="CD62" s="2">
        <v>1619451</v>
      </c>
      <c r="CE62" s="2">
        <v>1627093</v>
      </c>
      <c r="CF62" s="2">
        <v>1634735</v>
      </c>
      <c r="CG62" s="2">
        <v>1642377</v>
      </c>
      <c r="CH62" s="2">
        <v>1650018</v>
      </c>
      <c r="CI62" s="2">
        <v>1657777</v>
      </c>
      <c r="CJ62" s="2">
        <v>1665536</v>
      </c>
      <c r="CK62" s="2">
        <v>1673295</v>
      </c>
      <c r="CL62" s="2">
        <v>1681054</v>
      </c>
      <c r="CM62" s="2">
        <v>1690294</v>
      </c>
      <c r="CN62" s="2">
        <v>1699535</v>
      </c>
      <c r="CO62" s="2">
        <v>1708775</v>
      </c>
      <c r="CP62" s="2">
        <v>1718015</v>
      </c>
      <c r="CQ62" s="2">
        <v>1728542</v>
      </c>
      <c r="CR62" s="2">
        <v>1739070</v>
      </c>
      <c r="CS62" s="2">
        <v>1749597</v>
      </c>
      <c r="CT62" s="2">
        <v>1760124</v>
      </c>
      <c r="CU62" s="2">
        <v>1770924</v>
      </c>
      <c r="CV62" s="2">
        <v>1781724</v>
      </c>
      <c r="CW62" s="2">
        <v>1792524</v>
      </c>
      <c r="CX62" s="2">
        <v>1803324</v>
      </c>
      <c r="CY62" s="2">
        <v>1817243</v>
      </c>
      <c r="CZ62" s="2">
        <v>1831162</v>
      </c>
      <c r="DA62" s="2">
        <v>1845081</v>
      </c>
      <c r="DB62" s="2">
        <v>1859000</v>
      </c>
      <c r="DC62" s="2">
        <v>1878500</v>
      </c>
      <c r="DD62" s="2">
        <v>1898000</v>
      </c>
      <c r="DE62" s="2">
        <v>1917500</v>
      </c>
      <c r="DF62" s="2">
        <v>1937000</v>
      </c>
      <c r="DG62" s="2">
        <v>1955250</v>
      </c>
      <c r="DH62" s="2">
        <v>1973500</v>
      </c>
      <c r="DI62" s="2">
        <v>1991750</v>
      </c>
      <c r="DJ62" s="2">
        <v>2010000</v>
      </c>
      <c r="DK62" s="2">
        <v>2031000</v>
      </c>
      <c r="DL62" s="2">
        <v>2052000</v>
      </c>
      <c r="DM62" s="2">
        <v>2073000</v>
      </c>
      <c r="DN62" s="2">
        <v>2094000</v>
      </c>
      <c r="DO62" s="2">
        <v>2112500</v>
      </c>
      <c r="DP62" s="2">
        <v>2131000</v>
      </c>
      <c r="DQ62" s="2">
        <v>2149500</v>
      </c>
      <c r="DR62" s="2">
        <v>2168000</v>
      </c>
      <c r="DS62" s="2">
        <v>2183500</v>
      </c>
      <c r="DT62" s="2">
        <v>2199000</v>
      </c>
      <c r="DU62" s="2">
        <v>2214500</v>
      </c>
      <c r="DV62" s="2">
        <v>2230000</v>
      </c>
      <c r="DW62" s="2">
        <v>2243250</v>
      </c>
      <c r="DX62" s="2">
        <v>2256500</v>
      </c>
      <c r="DY62" s="2">
        <v>2269750</v>
      </c>
      <c r="DZ62" s="2">
        <v>2283000</v>
      </c>
      <c r="EA62" s="2">
        <v>2297000</v>
      </c>
      <c r="EB62" s="2">
        <v>2311000</v>
      </c>
      <c r="EC62" s="2">
        <v>2325000</v>
      </c>
      <c r="ED62" s="2">
        <v>2339000</v>
      </c>
      <c r="EE62" s="2">
        <v>2354500</v>
      </c>
      <c r="EF62" s="2">
        <v>2370000</v>
      </c>
      <c r="EG62" s="2">
        <v>2385500</v>
      </c>
      <c r="EH62" s="2">
        <v>2401000</v>
      </c>
      <c r="EI62" s="2">
        <v>2418000</v>
      </c>
      <c r="EJ62" s="2">
        <v>2435000</v>
      </c>
      <c r="EK62" s="2">
        <v>2452000</v>
      </c>
      <c r="EL62" s="2">
        <v>2469000</v>
      </c>
      <c r="EM62" s="2">
        <v>2490000</v>
      </c>
      <c r="EN62" s="2">
        <v>2511000</v>
      </c>
      <c r="EO62" s="2">
        <v>2532000</v>
      </c>
      <c r="EP62" s="2">
        <v>2553000</v>
      </c>
      <c r="EQ62" s="2">
        <v>2570000</v>
      </c>
      <c r="ER62" s="2">
        <v>2587000</v>
      </c>
      <c r="ES62" s="2">
        <v>2604000</v>
      </c>
      <c r="ET62" s="2">
        <v>2621000</v>
      </c>
      <c r="EU62" s="2">
        <v>2627250</v>
      </c>
      <c r="EV62" s="2">
        <v>2633500</v>
      </c>
      <c r="EW62" s="2">
        <v>2639750</v>
      </c>
      <c r="EX62" s="2">
        <v>2646000</v>
      </c>
      <c r="EY62" s="2">
        <v>2654000</v>
      </c>
      <c r="EZ62" s="2">
        <v>2662000</v>
      </c>
      <c r="FA62" s="2">
        <v>2670000</v>
      </c>
      <c r="FB62" s="2">
        <v>2678000</v>
      </c>
      <c r="FC62" s="2">
        <v>2685500</v>
      </c>
      <c r="FD62" s="2">
        <v>2693000</v>
      </c>
      <c r="FE62" s="2">
        <v>2700500</v>
      </c>
      <c r="FF62" s="2">
        <v>2708000</v>
      </c>
      <c r="FG62" s="2">
        <v>2716000</v>
      </c>
      <c r="FH62" s="2">
        <v>2724000</v>
      </c>
      <c r="FI62" s="2">
        <v>2732000</v>
      </c>
      <c r="FJ62" s="2">
        <v>2740000</v>
      </c>
      <c r="FK62" s="2">
        <v>2749250</v>
      </c>
      <c r="FL62" s="2">
        <v>2758500</v>
      </c>
      <c r="FM62" s="2">
        <v>2767750</v>
      </c>
      <c r="FN62" s="2">
        <v>2777000</v>
      </c>
      <c r="FO62" s="2">
        <v>2789750</v>
      </c>
      <c r="FP62" s="2">
        <v>2802500</v>
      </c>
      <c r="FQ62" s="2">
        <v>2815250</v>
      </c>
      <c r="FR62" s="2">
        <v>2828000</v>
      </c>
      <c r="FS62" s="2">
        <v>2844250</v>
      </c>
      <c r="FT62" s="2">
        <v>2860500</v>
      </c>
      <c r="FU62" s="2">
        <v>2876750</v>
      </c>
      <c r="FV62" s="2">
        <v>2893000</v>
      </c>
      <c r="FW62" s="2">
        <v>2911750</v>
      </c>
      <c r="FX62" s="2">
        <v>2930500</v>
      </c>
      <c r="FY62" s="2">
        <v>2949250</v>
      </c>
      <c r="FZ62" s="2">
        <v>2968000</v>
      </c>
      <c r="GA62" s="2">
        <v>2985500</v>
      </c>
      <c r="GB62" s="2">
        <v>3003000</v>
      </c>
      <c r="GC62" s="2">
        <v>3020500</v>
      </c>
      <c r="GD62" s="2">
        <v>3038000</v>
      </c>
      <c r="GE62" s="2">
        <v>3052750</v>
      </c>
      <c r="GF62" s="2">
        <v>3067500</v>
      </c>
      <c r="GG62" s="2">
        <v>3082250</v>
      </c>
      <c r="GH62" s="2">
        <v>3097000</v>
      </c>
      <c r="GI62" s="2">
        <v>3111500</v>
      </c>
      <c r="GJ62" s="2">
        <v>3126000</v>
      </c>
      <c r="GK62" s="2">
        <v>3140500</v>
      </c>
      <c r="GL62" s="2">
        <v>3155000</v>
      </c>
      <c r="GM62" s="2">
        <v>3160000</v>
      </c>
      <c r="GN62" s="2">
        <v>3165000</v>
      </c>
      <c r="GO62" s="2">
        <v>3170000</v>
      </c>
      <c r="GP62" s="2">
        <v>3175000</v>
      </c>
      <c r="GQ62" s="2">
        <v>3182750</v>
      </c>
      <c r="GR62" s="2">
        <v>3190500</v>
      </c>
      <c r="GS62" s="2">
        <v>3198250</v>
      </c>
      <c r="GT62" s="2">
        <v>3206000</v>
      </c>
      <c r="GU62" s="2">
        <v>3218250</v>
      </c>
      <c r="GV62" s="2">
        <v>3230500</v>
      </c>
      <c r="GW62" s="2">
        <v>3242750</v>
      </c>
      <c r="GX62" s="2">
        <v>3255000</v>
      </c>
      <c r="GY62" s="2">
        <v>3266250</v>
      </c>
      <c r="GZ62" s="2">
        <v>3277500</v>
      </c>
      <c r="HA62" s="2">
        <v>3288750</v>
      </c>
      <c r="HB62" s="2">
        <v>3300000</v>
      </c>
      <c r="HC62" s="3">
        <v>3310114</v>
      </c>
      <c r="HD62" s="3">
        <v>3321145</v>
      </c>
      <c r="HE62" s="3">
        <v>3333516</v>
      </c>
      <c r="HF62" s="3">
        <v>3344683</v>
      </c>
      <c r="HG62" s="3">
        <v>3354436</v>
      </c>
      <c r="HH62" s="3">
        <v>3364431</v>
      </c>
      <c r="HI62" s="3">
        <v>3374984</v>
      </c>
      <c r="HJ62" s="3">
        <v>3386004</v>
      </c>
      <c r="HK62" s="3">
        <v>3397425</v>
      </c>
      <c r="HL62" s="3">
        <v>3409252</v>
      </c>
      <c r="HM62" s="3">
        <v>3421428</v>
      </c>
      <c r="HN62" s="3">
        <v>3433875</v>
      </c>
      <c r="HO62" s="3">
        <v>3446455</v>
      </c>
      <c r="HP62" s="3">
        <v>3459138</v>
      </c>
      <c r="HQ62" s="3">
        <v>3471997</v>
      </c>
      <c r="HR62" s="3">
        <v>3484997</v>
      </c>
      <c r="HS62" s="3">
        <v>3498167</v>
      </c>
      <c r="HT62" s="3">
        <v>3511481</v>
      </c>
      <c r="HU62" s="3">
        <v>3524922</v>
      </c>
      <c r="HV62" s="3">
        <v>3538471</v>
      </c>
      <c r="HW62" s="3">
        <v>3552109</v>
      </c>
      <c r="HX62" s="3">
        <v>3565834</v>
      </c>
      <c r="HY62" s="3">
        <v>3579640</v>
      </c>
      <c r="HZ62" s="3">
        <v>3593528</v>
      </c>
      <c r="IA62" s="3">
        <v>3607506</v>
      </c>
      <c r="IB62" s="3">
        <v>3621625</v>
      </c>
      <c r="IC62" s="3">
        <v>3635926</v>
      </c>
      <c r="ID62" s="3">
        <v>3650459</v>
      </c>
      <c r="IE62" s="3">
        <v>3665222</v>
      </c>
      <c r="IF62" s="3">
        <v>3680212</v>
      </c>
      <c r="IG62" s="3">
        <v>3695427</v>
      </c>
      <c r="IH62" s="3">
        <v>3710865</v>
      </c>
      <c r="II62" s="3">
        <v>3726525</v>
      </c>
      <c r="IJ62" s="3">
        <v>3742404</v>
      </c>
      <c r="IK62" s="3">
        <v>3758501</v>
      </c>
      <c r="IL62" s="3">
        <v>3774813</v>
      </c>
      <c r="IM62" s="3">
        <v>3791310</v>
      </c>
      <c r="IN62" s="3">
        <v>3807974</v>
      </c>
      <c r="IO62" s="3">
        <v>3824804</v>
      </c>
      <c r="IP62" s="3">
        <v>3841779</v>
      </c>
      <c r="IQ62" s="3">
        <v>3858914</v>
      </c>
      <c r="IR62" s="3">
        <v>3876199</v>
      </c>
      <c r="IS62" s="3">
        <v>3893630</v>
      </c>
      <c r="IT62" s="3">
        <v>3911201</v>
      </c>
      <c r="IU62" s="3">
        <v>3928925</v>
      </c>
      <c r="IV62" s="3">
        <v>3946802</v>
      </c>
      <c r="IW62" s="3">
        <v>3964830</v>
      </c>
      <c r="IX62" s="3">
        <v>3983008</v>
      </c>
      <c r="IY62" s="3">
        <v>4001346</v>
      </c>
      <c r="IZ62" s="3">
        <v>4019843</v>
      </c>
      <c r="JA62" s="3">
        <v>4038499</v>
      </c>
      <c r="JB62" s="3">
        <v>4057312</v>
      </c>
      <c r="JC62" s="3">
        <v>4076283</v>
      </c>
      <c r="JD62" s="3">
        <v>4095412</v>
      </c>
      <c r="JE62" s="3">
        <v>4114697</v>
      </c>
      <c r="JF62" s="3">
        <v>4134138</v>
      </c>
      <c r="JG62" s="3">
        <v>4153745</v>
      </c>
      <c r="JH62" s="3">
        <v>4173518</v>
      </c>
      <c r="JI62" s="3">
        <v>4193456</v>
      </c>
      <c r="JJ62" s="3">
        <v>4213559</v>
      </c>
      <c r="JK62" s="3">
        <v>4233827</v>
      </c>
      <c r="JL62" s="3">
        <v>4254260</v>
      </c>
      <c r="JM62" s="3">
        <v>4274857</v>
      </c>
      <c r="JN62" s="3">
        <v>4295618</v>
      </c>
      <c r="JO62" s="3">
        <v>4316523</v>
      </c>
      <c r="JP62" s="3">
        <v>4337572</v>
      </c>
      <c r="JQ62" s="3">
        <v>4358765</v>
      </c>
      <c r="JR62" s="3">
        <v>4380103</v>
      </c>
      <c r="JS62" s="3">
        <v>4401596</v>
      </c>
      <c r="JT62" s="3">
        <v>4423244</v>
      </c>
      <c r="JU62" s="3">
        <v>4445048</v>
      </c>
      <c r="JV62" s="3">
        <v>4467008</v>
      </c>
      <c r="JW62" s="3">
        <v>4489125</v>
      </c>
      <c r="JX62" s="3">
        <v>4511398</v>
      </c>
      <c r="JY62" s="3">
        <v>4533817</v>
      </c>
      <c r="JZ62" s="3">
        <v>4556381</v>
      </c>
      <c r="KA62" s="3">
        <v>4579090</v>
      </c>
      <c r="KB62" s="3">
        <v>4601945</v>
      </c>
      <c r="KC62" s="3">
        <v>4624932</v>
      </c>
      <c r="KD62" s="3">
        <v>4648052</v>
      </c>
      <c r="KE62" s="3">
        <v>4671304</v>
      </c>
      <c r="KF62" s="3">
        <v>4694688</v>
      </c>
      <c r="KG62" s="3">
        <v>4718180</v>
      </c>
      <c r="KH62" s="3">
        <v>4741779</v>
      </c>
      <c r="KI62" s="3">
        <v>4765486</v>
      </c>
      <c r="KJ62" s="3">
        <v>4789302</v>
      </c>
      <c r="KK62" s="3">
        <v>4813214</v>
      </c>
      <c r="KL62" s="3">
        <v>4837223</v>
      </c>
      <c r="KM62" s="3">
        <v>4861329</v>
      </c>
      <c r="KN62" s="3">
        <v>4885533</v>
      </c>
      <c r="KO62" s="3">
        <v>4909835</v>
      </c>
      <c r="KP62" s="3">
        <v>4934233</v>
      </c>
      <c r="KQ62" s="3">
        <v>4958730</v>
      </c>
      <c r="KR62" s="3">
        <v>4983326</v>
      </c>
      <c r="KS62" s="3">
        <v>5008011</v>
      </c>
      <c r="KT62" s="3">
        <v>5032787</v>
      </c>
      <c r="KU62" s="3">
        <v>5057655</v>
      </c>
      <c r="KV62" s="3">
        <v>5082613</v>
      </c>
      <c r="KW62" s="3">
        <v>5107660</v>
      </c>
      <c r="KX62" s="3">
        <v>5132796</v>
      </c>
      <c r="KY62" s="3">
        <v>5158021</v>
      </c>
      <c r="KZ62" s="3">
        <v>5183335</v>
      </c>
      <c r="LA62" s="3">
        <v>5208727</v>
      </c>
      <c r="LB62" s="3">
        <v>5234198</v>
      </c>
      <c r="LC62" s="3">
        <v>5259732</v>
      </c>
      <c r="LD62" s="3">
        <v>5285329</v>
      </c>
      <c r="LE62" s="3">
        <v>5310985</v>
      </c>
      <c r="LF62" s="3">
        <v>5336702</v>
      </c>
      <c r="LG62" s="3">
        <v>5362482</v>
      </c>
      <c r="LH62" s="3">
        <v>5388326</v>
      </c>
      <c r="LI62" s="3">
        <v>5414227</v>
      </c>
      <c r="LJ62" s="3">
        <v>5440187</v>
      </c>
      <c r="LK62" s="3">
        <v>5466206</v>
      </c>
      <c r="LL62" s="3">
        <v>5492285</v>
      </c>
      <c r="LM62" s="3">
        <v>5518412</v>
      </c>
      <c r="LN62" s="3">
        <v>5544588</v>
      </c>
      <c r="LO62" s="3">
        <v>5570814</v>
      </c>
      <c r="LP62" s="3">
        <v>5597090</v>
      </c>
      <c r="LQ62" s="3">
        <v>5623417</v>
      </c>
      <c r="LR62" s="3">
        <v>5649795</v>
      </c>
      <c r="LS62" s="3">
        <v>5676226</v>
      </c>
      <c r="LT62" s="3">
        <v>5702709</v>
      </c>
      <c r="LU62" s="3">
        <v>5729240</v>
      </c>
      <c r="LV62" s="3">
        <v>5755819</v>
      </c>
      <c r="LW62" s="3">
        <v>5782449</v>
      </c>
      <c r="LX62" s="3">
        <v>5809128</v>
      </c>
      <c r="LY62" s="3">
        <v>5835853</v>
      </c>
      <c r="LZ62" s="3">
        <v>5862623</v>
      </c>
      <c r="MA62" s="3">
        <v>5889441</v>
      </c>
      <c r="MB62" s="3">
        <v>5916306</v>
      </c>
      <c r="MC62" s="3">
        <v>5943218</v>
      </c>
      <c r="MD62" s="3">
        <v>5970179</v>
      </c>
      <c r="ME62" s="3">
        <v>5997188</v>
      </c>
      <c r="MF62" s="3">
        <v>6024248</v>
      </c>
      <c r="MG62" s="3">
        <v>6051361</v>
      </c>
      <c r="MH62" s="3">
        <v>6078529</v>
      </c>
      <c r="MI62" s="3">
        <v>6105753</v>
      </c>
      <c r="MJ62" s="3">
        <v>6133034</v>
      </c>
      <c r="MK62" s="3">
        <v>6160367</v>
      </c>
      <c r="ML62" s="3">
        <v>6187754</v>
      </c>
      <c r="MM62" s="3">
        <v>6215196</v>
      </c>
      <c r="MN62" s="3">
        <v>6242693</v>
      </c>
      <c r="MO62" s="3">
        <v>6270249</v>
      </c>
      <c r="MP62" s="3">
        <v>6297866</v>
      </c>
      <c r="MQ62" s="3">
        <v>6325544</v>
      </c>
      <c r="MR62" s="3">
        <v>6353284</v>
      </c>
      <c r="MS62" s="3">
        <v>6381085</v>
      </c>
      <c r="MT62" s="3">
        <v>6408949</v>
      </c>
      <c r="MU62" t="s">
        <v>375</v>
      </c>
      <c r="MV62" t="b">
        <v>0</v>
      </c>
      <c r="MW62" s="1" t="s">
        <v>376</v>
      </c>
      <c r="MX62" t="s">
        <v>377</v>
      </c>
      <c r="MY62">
        <v>2023</v>
      </c>
      <c r="MZ62">
        <v>4</v>
      </c>
      <c r="NA62" t="s">
        <v>377</v>
      </c>
      <c r="NB62" s="1" t="s">
        <v>491</v>
      </c>
      <c r="NC62" s="1" t="s">
        <v>492</v>
      </c>
      <c r="ND62" t="s">
        <v>380</v>
      </c>
      <c r="NE62" t="s">
        <v>493</v>
      </c>
      <c r="NF62" s="1" t="s">
        <v>526</v>
      </c>
    </row>
    <row r="63" spans="1:370" x14ac:dyDescent="0.25">
      <c r="A63" t="s">
        <v>382</v>
      </c>
      <c r="B63" t="s">
        <v>490</v>
      </c>
      <c r="C63" s="1" t="s">
        <v>525</v>
      </c>
      <c r="D63" t="s">
        <v>383</v>
      </c>
      <c r="E63" t="s">
        <v>384</v>
      </c>
      <c r="F63" t="s">
        <v>374</v>
      </c>
      <c r="G63" s="2">
        <v>7013.4080000000004</v>
      </c>
      <c r="H63" s="2">
        <v>7090.1989999999996</v>
      </c>
      <c r="I63" s="2">
        <v>7168.2569999999996</v>
      </c>
      <c r="J63" s="2">
        <v>7246</v>
      </c>
      <c r="K63" s="2">
        <v>7318.1</v>
      </c>
      <c r="L63" s="2">
        <v>7390.2</v>
      </c>
      <c r="M63" s="2">
        <v>7462.3</v>
      </c>
      <c r="N63" s="2">
        <v>7534.4</v>
      </c>
      <c r="O63" s="2">
        <v>7583.0249999999996</v>
      </c>
      <c r="P63" s="2">
        <v>7631.65</v>
      </c>
      <c r="Q63" s="2">
        <v>7680.2749999999996</v>
      </c>
      <c r="R63" s="2">
        <v>7728.9</v>
      </c>
      <c r="S63" s="2">
        <v>7781.5249999999996</v>
      </c>
      <c r="T63" s="2">
        <v>7834.15</v>
      </c>
      <c r="U63" s="2">
        <v>7886.7749999999996</v>
      </c>
      <c r="V63" s="2">
        <v>7939.4</v>
      </c>
      <c r="W63" s="2">
        <v>8005.05</v>
      </c>
      <c r="X63" s="2">
        <v>8070.7</v>
      </c>
      <c r="Y63" s="2">
        <v>8136.35</v>
      </c>
      <c r="Z63" s="2">
        <v>8202</v>
      </c>
      <c r="AA63" s="2">
        <v>8287.35</v>
      </c>
      <c r="AB63" s="2">
        <v>8372.7000000000007</v>
      </c>
      <c r="AC63" s="2">
        <v>8458.0499999999993</v>
      </c>
      <c r="AD63" s="2">
        <v>8543.4</v>
      </c>
      <c r="AE63" s="2">
        <v>8641.2250000000004</v>
      </c>
      <c r="AF63" s="2">
        <v>8739.0499999999993</v>
      </c>
      <c r="AG63" s="2">
        <v>8836.875</v>
      </c>
      <c r="AH63" s="2">
        <v>8934.7000000000007</v>
      </c>
      <c r="AI63" s="2">
        <v>9022.0249999999996</v>
      </c>
      <c r="AJ63" s="2">
        <v>9109.35</v>
      </c>
      <c r="AK63" s="2">
        <v>9196.6749999999993</v>
      </c>
      <c r="AL63" s="2">
        <v>9284</v>
      </c>
      <c r="AM63" s="2">
        <v>9377.5249999999996</v>
      </c>
      <c r="AN63" s="2">
        <v>9471.0499999999993</v>
      </c>
      <c r="AO63" s="2">
        <v>9564.5750000000007</v>
      </c>
      <c r="AP63" s="2">
        <v>9658.1</v>
      </c>
      <c r="AQ63" s="2">
        <v>9731.9750000000004</v>
      </c>
      <c r="AR63" s="2">
        <v>9805.85</v>
      </c>
      <c r="AS63" s="2">
        <v>9879.7250000000004</v>
      </c>
      <c r="AT63" s="2">
        <v>9953.6</v>
      </c>
      <c r="AU63" s="2">
        <v>10017.15</v>
      </c>
      <c r="AV63" s="2">
        <v>10080.700000000001</v>
      </c>
      <c r="AW63" s="2">
        <v>10144.25</v>
      </c>
      <c r="AX63" s="2">
        <v>10207.799999999999</v>
      </c>
      <c r="AY63" s="2">
        <v>10304.15</v>
      </c>
      <c r="AZ63" s="2">
        <v>10400.5</v>
      </c>
      <c r="BA63" s="2">
        <v>10496.85</v>
      </c>
      <c r="BB63" s="2">
        <v>10593.2</v>
      </c>
      <c r="BC63" s="2">
        <v>10696.47</v>
      </c>
      <c r="BD63" s="2">
        <v>10799.75</v>
      </c>
      <c r="BE63" s="2">
        <v>10903.03</v>
      </c>
      <c r="BF63" s="2">
        <v>11006.3</v>
      </c>
      <c r="BG63" s="2">
        <v>11090.83</v>
      </c>
      <c r="BH63" s="2">
        <v>11175.35</v>
      </c>
      <c r="BI63" s="2">
        <v>11259.88</v>
      </c>
      <c r="BJ63" s="2">
        <v>11344.4</v>
      </c>
      <c r="BK63" s="2">
        <v>11420.55</v>
      </c>
      <c r="BL63" s="2">
        <v>11496.7</v>
      </c>
      <c r="BM63" s="2">
        <v>11572.85</v>
      </c>
      <c r="BN63" s="2">
        <v>11649</v>
      </c>
      <c r="BO63" s="2">
        <v>11728.55</v>
      </c>
      <c r="BP63" s="2">
        <v>11808.1</v>
      </c>
      <c r="BQ63" s="2">
        <v>11887.65</v>
      </c>
      <c r="BR63" s="2">
        <v>11967.2</v>
      </c>
      <c r="BS63" s="2">
        <v>12050.28</v>
      </c>
      <c r="BT63" s="2">
        <v>12133.35</v>
      </c>
      <c r="BU63" s="2">
        <v>12216.42</v>
      </c>
      <c r="BV63" s="2">
        <v>12299.5</v>
      </c>
      <c r="BW63" s="2">
        <v>12378.88</v>
      </c>
      <c r="BX63" s="2">
        <v>12458.25</v>
      </c>
      <c r="BY63" s="2">
        <v>12537.63</v>
      </c>
      <c r="BZ63" s="2">
        <v>12617</v>
      </c>
      <c r="CA63" s="2">
        <v>12673.67</v>
      </c>
      <c r="CB63" s="2">
        <v>12730.35</v>
      </c>
      <c r="CC63" s="2">
        <v>12787.03</v>
      </c>
      <c r="CD63" s="2">
        <v>12843.7</v>
      </c>
      <c r="CE63" s="2">
        <v>12896.67</v>
      </c>
      <c r="CF63" s="2">
        <v>12949.65</v>
      </c>
      <c r="CG63" s="2">
        <v>13002.63</v>
      </c>
      <c r="CH63" s="2">
        <v>13055.6</v>
      </c>
      <c r="CI63" s="2">
        <v>13125</v>
      </c>
      <c r="CJ63" s="2">
        <v>13194.4</v>
      </c>
      <c r="CK63" s="2">
        <v>13263.8</v>
      </c>
      <c r="CL63" s="2">
        <v>13333.2</v>
      </c>
      <c r="CM63" s="2">
        <v>13412.28</v>
      </c>
      <c r="CN63" s="2">
        <v>13491.35</v>
      </c>
      <c r="CO63" s="2">
        <v>13570.42</v>
      </c>
      <c r="CP63" s="2">
        <v>13649.5</v>
      </c>
      <c r="CQ63" s="2">
        <v>13748.17</v>
      </c>
      <c r="CR63" s="2">
        <v>13846.85</v>
      </c>
      <c r="CS63" s="2">
        <v>13945.53</v>
      </c>
      <c r="CT63" s="2">
        <v>14044.2</v>
      </c>
      <c r="CU63" s="2">
        <v>14159.47</v>
      </c>
      <c r="CV63" s="2">
        <v>14274.75</v>
      </c>
      <c r="CW63" s="2">
        <v>14390.03</v>
      </c>
      <c r="CX63" s="2">
        <v>14505.3</v>
      </c>
      <c r="CY63" s="2">
        <v>14638.55</v>
      </c>
      <c r="CZ63" s="2">
        <v>14771.8</v>
      </c>
      <c r="DA63" s="2">
        <v>14905.05</v>
      </c>
      <c r="DB63" s="2">
        <v>15038.3</v>
      </c>
      <c r="DC63" s="2">
        <v>15189</v>
      </c>
      <c r="DD63" s="2">
        <v>15339.7</v>
      </c>
      <c r="DE63" s="2">
        <v>15490.4</v>
      </c>
      <c r="DF63" s="2">
        <v>15641.1</v>
      </c>
      <c r="DG63" s="2">
        <v>15804.33</v>
      </c>
      <c r="DH63" s="2">
        <v>15967.55</v>
      </c>
      <c r="DI63" s="2">
        <v>16130.78</v>
      </c>
      <c r="DJ63" s="2">
        <v>16294</v>
      </c>
      <c r="DK63" s="2">
        <v>16470.13</v>
      </c>
      <c r="DL63" s="2">
        <v>16646.25</v>
      </c>
      <c r="DM63" s="2">
        <v>16822.38</v>
      </c>
      <c r="DN63" s="2">
        <v>16998.5</v>
      </c>
      <c r="DO63" s="2">
        <v>17128.95</v>
      </c>
      <c r="DP63" s="2">
        <v>17259.400000000001</v>
      </c>
      <c r="DQ63" s="2">
        <v>17389.849999999999</v>
      </c>
      <c r="DR63" s="2">
        <v>17520.3</v>
      </c>
      <c r="DS63" s="2">
        <v>17602.18</v>
      </c>
      <c r="DT63" s="2">
        <v>17684.05</v>
      </c>
      <c r="DU63" s="2">
        <v>17765.93</v>
      </c>
      <c r="DV63" s="2">
        <v>17847.8</v>
      </c>
      <c r="DW63" s="2">
        <v>17926.650000000001</v>
      </c>
      <c r="DX63" s="2">
        <v>18005.5</v>
      </c>
      <c r="DY63" s="2">
        <v>18084.349999999999</v>
      </c>
      <c r="DZ63" s="2">
        <v>18163.2</v>
      </c>
      <c r="EA63" s="2">
        <v>18248.97</v>
      </c>
      <c r="EB63" s="2">
        <v>18334.75</v>
      </c>
      <c r="EC63" s="2">
        <v>18420.53</v>
      </c>
      <c r="ED63" s="2">
        <v>18506.3</v>
      </c>
      <c r="EE63" s="2">
        <v>18603.3</v>
      </c>
      <c r="EF63" s="2">
        <v>18700.3</v>
      </c>
      <c r="EG63" s="2">
        <v>18797.3</v>
      </c>
      <c r="EH63" s="2">
        <v>18894.3</v>
      </c>
      <c r="EI63" s="2">
        <v>19016.849999999999</v>
      </c>
      <c r="EJ63" s="2">
        <v>19139.400000000001</v>
      </c>
      <c r="EK63" s="2">
        <v>19261.95</v>
      </c>
      <c r="EL63" s="2">
        <v>19384.5</v>
      </c>
      <c r="EM63" s="2">
        <v>19520.8</v>
      </c>
      <c r="EN63" s="2">
        <v>19657.099999999999</v>
      </c>
      <c r="EO63" s="2">
        <v>19793.400000000001</v>
      </c>
      <c r="EP63" s="2">
        <v>19929.7</v>
      </c>
      <c r="EQ63" s="2">
        <v>20048.97</v>
      </c>
      <c r="ER63" s="2">
        <v>20168.25</v>
      </c>
      <c r="ES63" s="2">
        <v>20287.53</v>
      </c>
      <c r="ET63" s="2">
        <v>20406.8</v>
      </c>
      <c r="EU63" s="2">
        <v>20439.5</v>
      </c>
      <c r="EV63" s="2">
        <v>20472.2</v>
      </c>
      <c r="EW63" s="2">
        <v>20504.900000000001</v>
      </c>
      <c r="EX63" s="2">
        <v>20537.599999999999</v>
      </c>
      <c r="EY63" s="2">
        <v>20585.07</v>
      </c>
      <c r="EZ63" s="2">
        <v>20632.55</v>
      </c>
      <c r="FA63" s="2">
        <v>20680.03</v>
      </c>
      <c r="FB63" s="2">
        <v>20727.5</v>
      </c>
      <c r="FC63" s="2">
        <v>20803</v>
      </c>
      <c r="FD63" s="2">
        <v>20878.5</v>
      </c>
      <c r="FE63" s="2">
        <v>20954</v>
      </c>
      <c r="FF63" s="2">
        <v>21029.5</v>
      </c>
      <c r="FG63" s="2">
        <v>21129.97</v>
      </c>
      <c r="FH63" s="2">
        <v>21230.45</v>
      </c>
      <c r="FI63" s="2">
        <v>21330.93</v>
      </c>
      <c r="FJ63" s="2">
        <v>21431.4</v>
      </c>
      <c r="FK63" s="2">
        <v>21543.13</v>
      </c>
      <c r="FL63" s="2">
        <v>21654.85</v>
      </c>
      <c r="FM63" s="2">
        <v>21766.57</v>
      </c>
      <c r="FN63" s="2">
        <v>21878.3</v>
      </c>
      <c r="FO63" s="2">
        <v>22013.55</v>
      </c>
      <c r="FP63" s="2">
        <v>22148.799999999999</v>
      </c>
      <c r="FQ63" s="2">
        <v>22284.05</v>
      </c>
      <c r="FR63" s="2">
        <v>22419.3</v>
      </c>
      <c r="FS63" s="2">
        <v>22548.93</v>
      </c>
      <c r="FT63" s="2">
        <v>22678.55</v>
      </c>
      <c r="FU63" s="2">
        <v>22808.18</v>
      </c>
      <c r="FV63" s="2">
        <v>22937.8</v>
      </c>
      <c r="FW63" s="2">
        <v>23056.28</v>
      </c>
      <c r="FX63" s="2">
        <v>23174.75</v>
      </c>
      <c r="FY63" s="2">
        <v>23293.22</v>
      </c>
      <c r="FZ63" s="2">
        <v>23411.7</v>
      </c>
      <c r="GA63" s="2">
        <v>23531.4</v>
      </c>
      <c r="GB63" s="2">
        <v>23651.1</v>
      </c>
      <c r="GC63" s="2">
        <v>23770.799999999999</v>
      </c>
      <c r="GD63" s="2">
        <v>23890.5</v>
      </c>
      <c r="GE63" s="2">
        <v>24034.6</v>
      </c>
      <c r="GF63" s="2">
        <v>24178.7</v>
      </c>
      <c r="GG63" s="2">
        <v>24322.799999999999</v>
      </c>
      <c r="GH63" s="2">
        <v>24466.9</v>
      </c>
      <c r="GI63" s="2">
        <v>24612.22</v>
      </c>
      <c r="GJ63" s="2">
        <v>24757.55</v>
      </c>
      <c r="GK63" s="2">
        <v>24902.880000000001</v>
      </c>
      <c r="GL63" s="2">
        <v>25048.2</v>
      </c>
      <c r="GM63" s="2">
        <v>25139.07</v>
      </c>
      <c r="GN63" s="2">
        <v>25229.95</v>
      </c>
      <c r="GO63" s="2">
        <v>25320.82</v>
      </c>
      <c r="GP63" s="2">
        <v>25411.7</v>
      </c>
      <c r="GQ63" s="2">
        <v>25512.7</v>
      </c>
      <c r="GR63" s="2">
        <v>25613.7</v>
      </c>
      <c r="GS63" s="2">
        <v>25714.7</v>
      </c>
      <c r="GT63" s="2">
        <v>25815.7</v>
      </c>
      <c r="GU63" s="2">
        <v>25936.880000000001</v>
      </c>
      <c r="GV63" s="2">
        <v>26058.05</v>
      </c>
      <c r="GW63" s="2">
        <v>26179.22</v>
      </c>
      <c r="GX63" s="2">
        <v>26300.400000000001</v>
      </c>
      <c r="GY63" s="2">
        <v>26442</v>
      </c>
      <c r="GZ63" s="2">
        <v>26583.599999999999</v>
      </c>
      <c r="HA63" s="2">
        <v>26725.200000000001</v>
      </c>
      <c r="HB63" s="2">
        <v>26866.799999999999</v>
      </c>
      <c r="HC63" s="3">
        <v>27015.919999999998</v>
      </c>
      <c r="HD63" s="3">
        <v>27165.95</v>
      </c>
      <c r="HE63" s="3">
        <v>27317.25</v>
      </c>
      <c r="HF63" s="3">
        <v>27453.78</v>
      </c>
      <c r="HG63" s="3">
        <v>27592.12</v>
      </c>
      <c r="HH63" s="3">
        <v>27725.39</v>
      </c>
      <c r="HI63" s="3">
        <v>27855.43</v>
      </c>
      <c r="HJ63" s="3">
        <v>27985.25</v>
      </c>
      <c r="HK63" s="3">
        <v>28119.1</v>
      </c>
      <c r="HL63" s="3">
        <v>28258.66</v>
      </c>
      <c r="HM63" s="3">
        <v>28405.88</v>
      </c>
      <c r="HN63" s="3">
        <v>28561.85</v>
      </c>
      <c r="HO63" s="3">
        <v>28726.14</v>
      </c>
      <c r="HP63" s="3">
        <v>28897.94</v>
      </c>
      <c r="HQ63" s="3">
        <v>29075.74</v>
      </c>
      <c r="HR63" s="3">
        <v>29257.91</v>
      </c>
      <c r="HS63" s="3">
        <v>29441.439999999999</v>
      </c>
      <c r="HT63" s="3">
        <v>29625.16</v>
      </c>
      <c r="HU63" s="3">
        <v>29808.58</v>
      </c>
      <c r="HV63" s="3">
        <v>29991.77</v>
      </c>
      <c r="HW63" s="3">
        <v>30174.66</v>
      </c>
      <c r="HX63" s="3">
        <v>30357.200000000001</v>
      </c>
      <c r="HY63" s="3">
        <v>30539.35</v>
      </c>
      <c r="HZ63" s="3">
        <v>30721.06</v>
      </c>
      <c r="IA63" s="3">
        <v>30902.27</v>
      </c>
      <c r="IB63" s="3">
        <v>31082.79</v>
      </c>
      <c r="IC63" s="3">
        <v>31262.31</v>
      </c>
      <c r="ID63" s="3">
        <v>31440.68</v>
      </c>
      <c r="IE63" s="3">
        <v>31617.75</v>
      </c>
      <c r="IF63" s="3">
        <v>31793.55</v>
      </c>
      <c r="IG63" s="3">
        <v>31968.1</v>
      </c>
      <c r="IH63" s="3">
        <v>32141.360000000001</v>
      </c>
      <c r="II63" s="3">
        <v>32313.33</v>
      </c>
      <c r="IJ63" s="3">
        <v>32484.09</v>
      </c>
      <c r="IK63" s="3">
        <v>32653.61</v>
      </c>
      <c r="IL63" s="3">
        <v>32821.89</v>
      </c>
      <c r="IM63" s="3">
        <v>32988.910000000003</v>
      </c>
      <c r="IN63" s="3">
        <v>33154.660000000003</v>
      </c>
      <c r="IO63" s="3">
        <v>33319.129999999997</v>
      </c>
      <c r="IP63" s="3">
        <v>33482.29</v>
      </c>
      <c r="IQ63" s="3">
        <v>33644.15</v>
      </c>
      <c r="IR63" s="3">
        <v>33804.69</v>
      </c>
      <c r="IS63" s="3">
        <v>33963.89</v>
      </c>
      <c r="IT63" s="3">
        <v>34121.730000000003</v>
      </c>
      <c r="IU63" s="3">
        <v>34278.21</v>
      </c>
      <c r="IV63" s="3">
        <v>34433.370000000003</v>
      </c>
      <c r="IW63" s="3">
        <v>34587.22</v>
      </c>
      <c r="IX63" s="3">
        <v>34739.79</v>
      </c>
      <c r="IY63" s="3">
        <v>34891.089999999997</v>
      </c>
      <c r="IZ63" s="3">
        <v>35041.17</v>
      </c>
      <c r="JA63" s="3">
        <v>35190.050000000003</v>
      </c>
      <c r="JB63" s="3">
        <v>35337.78</v>
      </c>
      <c r="JC63" s="3">
        <v>35484.379999999997</v>
      </c>
      <c r="JD63" s="3">
        <v>35629.879999999997</v>
      </c>
      <c r="JE63" s="3">
        <v>35774.379999999997</v>
      </c>
      <c r="JF63" s="3">
        <v>35917.839999999997</v>
      </c>
      <c r="JG63" s="3">
        <v>36060.32</v>
      </c>
      <c r="JH63" s="3">
        <v>36201.839999999997</v>
      </c>
      <c r="JI63" s="3">
        <v>36342.47</v>
      </c>
      <c r="JJ63" s="3">
        <v>36482.239999999998</v>
      </c>
      <c r="JK63" s="3">
        <v>36621.19</v>
      </c>
      <c r="JL63" s="3">
        <v>36759.360000000001</v>
      </c>
      <c r="JM63" s="3">
        <v>36896.74</v>
      </c>
      <c r="JN63" s="3">
        <v>37033.42</v>
      </c>
      <c r="JO63" s="3">
        <v>37169.410000000003</v>
      </c>
      <c r="JP63" s="3">
        <v>37304.75</v>
      </c>
      <c r="JQ63" s="3">
        <v>37439.449999999997</v>
      </c>
      <c r="JR63" s="3">
        <v>37573.57</v>
      </c>
      <c r="JS63" s="3">
        <v>37707.14</v>
      </c>
      <c r="JT63" s="3">
        <v>37840.19</v>
      </c>
      <c r="JU63" s="3">
        <v>37972.76</v>
      </c>
      <c r="JV63" s="3">
        <v>38104.879999999997</v>
      </c>
      <c r="JW63" s="3">
        <v>38236.589999999997</v>
      </c>
      <c r="JX63" s="3">
        <v>38367.910000000003</v>
      </c>
      <c r="JY63" s="3">
        <v>38498.879999999997</v>
      </c>
      <c r="JZ63" s="3">
        <v>38629.5</v>
      </c>
      <c r="KA63" s="3">
        <v>38759.839999999997</v>
      </c>
      <c r="KB63" s="3">
        <v>38889.9</v>
      </c>
      <c r="KC63" s="3">
        <v>39019.68</v>
      </c>
      <c r="KD63" s="3">
        <v>39149.21</v>
      </c>
      <c r="KE63" s="3">
        <v>39278.51</v>
      </c>
      <c r="KF63" s="3">
        <v>39407.550000000003</v>
      </c>
      <c r="KG63" s="3">
        <v>39536.36</v>
      </c>
      <c r="KH63" s="3">
        <v>39664.949999999997</v>
      </c>
      <c r="KI63" s="3">
        <v>39793.300000000003</v>
      </c>
      <c r="KJ63" s="3">
        <v>39921.410000000003</v>
      </c>
      <c r="KK63" s="3">
        <v>40049.29</v>
      </c>
      <c r="KL63" s="3">
        <v>40176.949999999997</v>
      </c>
      <c r="KM63" s="3">
        <v>40304.410000000003</v>
      </c>
      <c r="KN63" s="3">
        <v>40431.65</v>
      </c>
      <c r="KO63" s="3">
        <v>40558.68</v>
      </c>
      <c r="KP63" s="3">
        <v>40685.519999999997</v>
      </c>
      <c r="KQ63" s="3">
        <v>40812.17</v>
      </c>
      <c r="KR63" s="3">
        <v>40938.61</v>
      </c>
      <c r="KS63" s="3">
        <v>41064.879999999997</v>
      </c>
      <c r="KT63" s="3">
        <v>41190.949999999997</v>
      </c>
      <c r="KU63" s="3">
        <v>41316.839999999997</v>
      </c>
      <c r="KV63" s="3">
        <v>41442.58</v>
      </c>
      <c r="KW63" s="3">
        <v>41568.129999999997</v>
      </c>
      <c r="KX63" s="3">
        <v>41693.53</v>
      </c>
      <c r="KY63" s="3">
        <v>41818.78</v>
      </c>
      <c r="KZ63" s="3">
        <v>41943.83</v>
      </c>
      <c r="LA63" s="3">
        <v>42068.71</v>
      </c>
      <c r="LB63" s="3">
        <v>42193.43</v>
      </c>
      <c r="LC63" s="3">
        <v>42318.02</v>
      </c>
      <c r="LD63" s="3">
        <v>42442.46</v>
      </c>
      <c r="LE63" s="3">
        <v>42566.75</v>
      </c>
      <c r="LF63" s="3">
        <v>42690.9</v>
      </c>
      <c r="LG63" s="3">
        <v>42814.93</v>
      </c>
      <c r="LH63" s="3">
        <v>42938.84</v>
      </c>
      <c r="LI63" s="3">
        <v>43062.65</v>
      </c>
      <c r="LJ63" s="3">
        <v>43186.37</v>
      </c>
      <c r="LK63" s="3">
        <v>43310.02</v>
      </c>
      <c r="LL63" s="3">
        <v>43433.599999999999</v>
      </c>
      <c r="LM63" s="3">
        <v>43557.120000000003</v>
      </c>
      <c r="LN63" s="3">
        <v>43680.59</v>
      </c>
      <c r="LO63" s="3">
        <v>43804.04</v>
      </c>
      <c r="LP63" s="3">
        <v>43927.44</v>
      </c>
      <c r="LQ63" s="3">
        <v>44050.85</v>
      </c>
      <c r="LR63" s="3">
        <v>44174.239999999998</v>
      </c>
      <c r="LS63" s="3">
        <v>44297.64</v>
      </c>
      <c r="LT63" s="3">
        <v>44421.03</v>
      </c>
      <c r="LU63" s="3">
        <v>44544.43</v>
      </c>
      <c r="LV63" s="3">
        <v>44667.86</v>
      </c>
      <c r="LW63" s="3">
        <v>44791.3</v>
      </c>
      <c r="LX63" s="3">
        <v>44914.8</v>
      </c>
      <c r="LY63" s="3">
        <v>45038.34</v>
      </c>
      <c r="LZ63" s="3">
        <v>45161.9</v>
      </c>
      <c r="MA63" s="3">
        <v>45285.53</v>
      </c>
      <c r="MB63" s="3">
        <v>45409.21</v>
      </c>
      <c r="MC63" s="3">
        <v>45532.95</v>
      </c>
      <c r="MD63" s="3">
        <v>45656.78</v>
      </c>
      <c r="ME63" s="3">
        <v>45780.67</v>
      </c>
      <c r="MF63" s="3">
        <v>45904.65</v>
      </c>
      <c r="MG63" s="3">
        <v>46028.74</v>
      </c>
      <c r="MH63" s="3">
        <v>46152.93</v>
      </c>
      <c r="MI63" s="3">
        <v>46277.23</v>
      </c>
      <c r="MJ63" s="3">
        <v>46401.64</v>
      </c>
      <c r="MK63" s="3">
        <v>46526.19</v>
      </c>
      <c r="ML63" s="3">
        <v>46650.86</v>
      </c>
      <c r="MM63" s="3">
        <v>46775.67</v>
      </c>
      <c r="MN63" s="3">
        <v>46900.62</v>
      </c>
      <c r="MO63" s="3">
        <v>47025.71</v>
      </c>
      <c r="MP63" s="3">
        <v>47150.97</v>
      </c>
      <c r="MQ63" s="3">
        <v>47276.38</v>
      </c>
      <c r="MR63" s="3">
        <v>47401.95</v>
      </c>
      <c r="MS63" s="3">
        <v>47527.7</v>
      </c>
      <c r="MT63" s="3">
        <v>47653.61</v>
      </c>
      <c r="MU63" t="s">
        <v>385</v>
      </c>
      <c r="MV63" t="b">
        <v>0</v>
      </c>
      <c r="MW63" s="1" t="s">
        <v>386</v>
      </c>
      <c r="MX63" t="s">
        <v>377</v>
      </c>
      <c r="MY63">
        <v>2023</v>
      </c>
      <c r="MZ63">
        <v>4</v>
      </c>
      <c r="NA63" t="s">
        <v>377</v>
      </c>
      <c r="NB63" t="s">
        <v>494</v>
      </c>
      <c r="NC63" s="1" t="s">
        <v>495</v>
      </c>
      <c r="ND63" t="s">
        <v>389</v>
      </c>
      <c r="NE63" t="s">
        <v>493</v>
      </c>
      <c r="NF63" s="1" t="s">
        <v>526</v>
      </c>
    </row>
    <row r="64" spans="1:370" x14ac:dyDescent="0.25">
      <c r="A64" t="s">
        <v>370</v>
      </c>
      <c r="B64" t="s">
        <v>496</v>
      </c>
      <c r="C64" s="1" t="s">
        <v>525</v>
      </c>
      <c r="D64" t="s">
        <v>497</v>
      </c>
      <c r="E64" t="s">
        <v>377</v>
      </c>
      <c r="F64" t="s">
        <v>374</v>
      </c>
      <c r="G64" s="2">
        <v>-1.921214</v>
      </c>
      <c r="H64" s="2">
        <v>-1.9221969999999999</v>
      </c>
      <c r="I64" s="2">
        <v>-1.9231799999999999</v>
      </c>
      <c r="J64" s="2">
        <v>-1.924164</v>
      </c>
      <c r="K64" s="2">
        <v>-1.925149</v>
      </c>
      <c r="L64" s="2">
        <v>-1.926134</v>
      </c>
      <c r="M64" s="2">
        <v>-1.927119</v>
      </c>
      <c r="N64" s="2">
        <v>-1.928105</v>
      </c>
      <c r="O64" s="2">
        <v>-1.929092</v>
      </c>
      <c r="P64" s="2">
        <v>-1.9300790000000001</v>
      </c>
      <c r="Q64" s="2">
        <v>-1.9310670000000001</v>
      </c>
      <c r="R64" s="2">
        <v>-1.9320550000000001</v>
      </c>
      <c r="S64" s="2">
        <v>-1.9330430000000001</v>
      </c>
      <c r="T64" s="2">
        <v>-1.934032</v>
      </c>
      <c r="U64" s="2">
        <v>-1.935022</v>
      </c>
      <c r="V64" s="2">
        <v>-1.9360120000000001</v>
      </c>
      <c r="W64" s="2">
        <v>-1.9370019999999999</v>
      </c>
      <c r="X64" s="2">
        <v>-1.9379930000000001</v>
      </c>
      <c r="Y64" s="2">
        <v>-1.938985</v>
      </c>
      <c r="Z64" s="2">
        <v>-1.9399770000000001</v>
      </c>
      <c r="AA64" s="2">
        <v>-1.9409700000000001</v>
      </c>
      <c r="AB64" s="2">
        <v>-1.9378249999999999</v>
      </c>
      <c r="AC64" s="2">
        <v>-1.9346859999999999</v>
      </c>
      <c r="AD64" s="2">
        <v>-1.9315519999999999</v>
      </c>
      <c r="AE64" s="2">
        <v>-1.928423</v>
      </c>
      <c r="AF64" s="2">
        <v>-1.9252990000000001</v>
      </c>
      <c r="AG64" s="2">
        <v>-1.92218</v>
      </c>
      <c r="AH64" s="2">
        <v>-1.9190659999999999</v>
      </c>
      <c r="AI64" s="2">
        <v>-1.915958</v>
      </c>
      <c r="AJ64" s="2">
        <v>-1.9128540000000001</v>
      </c>
      <c r="AK64" s="2">
        <v>-1.9097550000000001</v>
      </c>
      <c r="AL64" s="2">
        <v>-1.9066609999999999</v>
      </c>
      <c r="AM64" s="2">
        <v>-1.903573</v>
      </c>
      <c r="AN64" s="2">
        <v>-1.9004890000000001</v>
      </c>
      <c r="AO64" s="2">
        <v>-1.89741</v>
      </c>
      <c r="AP64" s="2">
        <v>-1.8943369999999999</v>
      </c>
      <c r="AQ64" s="2">
        <v>-1.8912679999999999</v>
      </c>
      <c r="AR64" s="2">
        <v>-1.888204</v>
      </c>
      <c r="AS64" s="2">
        <v>-1.8851450000000001</v>
      </c>
      <c r="AT64" s="2">
        <v>-1.882091</v>
      </c>
      <c r="AU64" s="2">
        <v>-1.879043</v>
      </c>
      <c r="AV64" s="2">
        <v>-1.8759980000000001</v>
      </c>
      <c r="AW64" s="2">
        <v>-1.872959</v>
      </c>
      <c r="AX64" s="2">
        <v>-1.8699250000000001</v>
      </c>
      <c r="AY64" s="2">
        <v>-1.8668960000000001</v>
      </c>
      <c r="AZ64" s="2">
        <v>-1.863872</v>
      </c>
      <c r="BA64" s="2">
        <v>-1.860852</v>
      </c>
      <c r="BB64" s="2">
        <v>-1.8578380000000001</v>
      </c>
      <c r="BC64" s="2">
        <v>-1.8548279999999999</v>
      </c>
      <c r="BD64" s="2">
        <v>-1.8518239999999999</v>
      </c>
      <c r="BE64" s="2">
        <v>-1.848824</v>
      </c>
      <c r="BF64" s="2">
        <v>-1.8458289999999999</v>
      </c>
      <c r="BG64" s="2">
        <v>-1.8428389999999999</v>
      </c>
      <c r="BH64" s="2">
        <v>-1.839853</v>
      </c>
      <c r="BI64" s="2">
        <v>-1.837037</v>
      </c>
      <c r="BJ64" s="2">
        <v>-1.8342240000000001</v>
      </c>
      <c r="BK64" s="2">
        <v>-1.8314159999999999</v>
      </c>
      <c r="BL64" s="2">
        <v>-1.8286119999999999</v>
      </c>
      <c r="BM64" s="2">
        <v>-1.8258129999999999</v>
      </c>
      <c r="BN64" s="2">
        <v>-1.823018</v>
      </c>
      <c r="BO64" s="2">
        <v>-1.820227</v>
      </c>
      <c r="BP64" s="2">
        <v>-1.8174399999999999</v>
      </c>
      <c r="BQ64" s="2">
        <v>-1.8146580000000001</v>
      </c>
      <c r="BR64" s="2">
        <v>-1.8118799999999999</v>
      </c>
      <c r="BS64" s="2">
        <v>-1.8091060000000001</v>
      </c>
      <c r="BT64" s="2">
        <v>-1.8063359999999999</v>
      </c>
      <c r="BU64" s="2">
        <v>-1.803571</v>
      </c>
      <c r="BV64" s="2">
        <v>-1.80081</v>
      </c>
      <c r="BW64" s="2">
        <v>-1.7980529999999999</v>
      </c>
      <c r="BX64" s="2">
        <v>-1.7952999999999999</v>
      </c>
      <c r="BY64" s="2">
        <v>-1.7925519999999999</v>
      </c>
      <c r="BZ64" s="2">
        <v>-1.7898069999999999</v>
      </c>
      <c r="CA64" s="2">
        <v>-1.787067</v>
      </c>
      <c r="CB64" s="2">
        <v>-1.7843309999999999</v>
      </c>
      <c r="CC64" s="2">
        <v>-1.7816000000000001</v>
      </c>
      <c r="CD64" s="2">
        <v>-1.778872</v>
      </c>
      <c r="CE64" s="2">
        <v>-1.776149</v>
      </c>
      <c r="CF64" s="2">
        <v>-1.7734300000000001</v>
      </c>
      <c r="CG64" s="2">
        <v>-1.770715</v>
      </c>
      <c r="CH64" s="2">
        <v>-1.7680039999999999</v>
      </c>
      <c r="CI64" s="2">
        <v>-1.7652969999999999</v>
      </c>
      <c r="CJ64" s="2">
        <v>-1.7625949999999999</v>
      </c>
      <c r="CK64" s="2">
        <v>-1.7598959999999999</v>
      </c>
      <c r="CL64" s="2">
        <v>-1.7572019999999999</v>
      </c>
      <c r="CM64" s="2">
        <v>-1.7545120000000001</v>
      </c>
      <c r="CN64" s="2">
        <v>-1.7518260000000001</v>
      </c>
      <c r="CO64" s="2">
        <v>-1.749144</v>
      </c>
      <c r="CP64" s="2">
        <v>-1.7464660000000001</v>
      </c>
      <c r="CQ64" s="2">
        <v>-1.743792</v>
      </c>
      <c r="CR64" s="2">
        <v>-1.741123</v>
      </c>
      <c r="CS64" s="2">
        <v>-1.7384569999999999</v>
      </c>
      <c r="CT64" s="2">
        <v>-1.735795</v>
      </c>
      <c r="CU64" s="2">
        <v>-1.7331380000000001</v>
      </c>
      <c r="CV64" s="2">
        <v>-1.7304850000000001</v>
      </c>
      <c r="CW64" s="2">
        <v>-1.7278359999999999</v>
      </c>
      <c r="CX64" s="2">
        <v>-1.72519</v>
      </c>
      <c r="CY64" s="2">
        <v>-1.7225490000000001</v>
      </c>
      <c r="CZ64" s="2">
        <v>-1.7199120000000001</v>
      </c>
      <c r="DA64" s="2">
        <v>-1.71888</v>
      </c>
      <c r="DB64" s="2">
        <v>-1.717849</v>
      </c>
      <c r="DC64" s="2">
        <v>-1.716818</v>
      </c>
      <c r="DD64" s="2">
        <v>-1.7157880000000001</v>
      </c>
      <c r="DE64" s="2">
        <v>-1.7147589999999999</v>
      </c>
      <c r="DF64" s="2">
        <v>-1.71373</v>
      </c>
      <c r="DG64" s="2">
        <v>-1.7127019999999999</v>
      </c>
      <c r="DH64" s="2">
        <v>-1.7116750000000001</v>
      </c>
      <c r="DI64" s="2">
        <v>-1.7106479999999999</v>
      </c>
      <c r="DJ64" s="2">
        <v>-1.709622</v>
      </c>
      <c r="DK64" s="2">
        <v>-1.708596</v>
      </c>
      <c r="DL64" s="2">
        <v>-1.7075709999999999</v>
      </c>
      <c r="DM64" s="2">
        <v>-1.7065459999999999</v>
      </c>
      <c r="DN64" s="2">
        <v>-1.7055229999999999</v>
      </c>
      <c r="DO64" s="2">
        <v>-1.704499</v>
      </c>
      <c r="DP64" s="2">
        <v>-1.7034769999999999</v>
      </c>
      <c r="DQ64" s="2">
        <v>-1.7024550000000001</v>
      </c>
      <c r="DR64" s="2">
        <v>-1.7014339999999999</v>
      </c>
      <c r="DS64" s="2">
        <v>-1.700413</v>
      </c>
      <c r="DT64" s="2">
        <v>-1.6993929999999999</v>
      </c>
      <c r="DU64" s="2">
        <v>-1.6983729999999999</v>
      </c>
      <c r="DV64" s="2">
        <v>-1.697354</v>
      </c>
      <c r="DW64" s="2">
        <v>-1.6963360000000001</v>
      </c>
      <c r="DX64" s="2">
        <v>-1.6953180000000001</v>
      </c>
      <c r="DY64" s="2">
        <v>-1.6943010000000001</v>
      </c>
      <c r="DZ64" s="2">
        <v>-1.6932849999999999</v>
      </c>
      <c r="EA64" s="2">
        <v>-1.692269</v>
      </c>
      <c r="EB64" s="2">
        <v>-1.691254</v>
      </c>
      <c r="EC64" s="2">
        <v>-1.690239</v>
      </c>
      <c r="ED64" s="2">
        <v>-1.689225</v>
      </c>
      <c r="EE64" s="2">
        <v>-1.6882109999999999</v>
      </c>
      <c r="EF64" s="2">
        <v>-1.6871989999999999</v>
      </c>
      <c r="EG64" s="2">
        <v>-1.686186</v>
      </c>
      <c r="EH64" s="2">
        <v>-1.6851750000000001</v>
      </c>
      <c r="EI64" s="2">
        <v>-1.684164</v>
      </c>
      <c r="EJ64" s="2">
        <v>-1.6831529999999999</v>
      </c>
      <c r="EK64" s="2">
        <v>-1.6821440000000001</v>
      </c>
      <c r="EL64" s="2">
        <v>-1.6811339999999999</v>
      </c>
      <c r="EM64" s="2">
        <v>-1.680966</v>
      </c>
      <c r="EN64" s="2">
        <v>-1.680798</v>
      </c>
      <c r="EO64" s="2">
        <v>-1.6806300000000001</v>
      </c>
      <c r="EP64" s="2">
        <v>-1.6804619999999999</v>
      </c>
      <c r="EQ64" s="2">
        <v>-1.6804619999999999</v>
      </c>
      <c r="ER64" s="2">
        <v>-1.6806300000000001</v>
      </c>
      <c r="ES64" s="2">
        <v>-1.680966</v>
      </c>
      <c r="ET64" s="2">
        <v>-1.6813020000000001</v>
      </c>
      <c r="EU64" s="2">
        <v>-1.6815549999999999</v>
      </c>
      <c r="EV64" s="2">
        <v>-1.681719</v>
      </c>
      <c r="EW64" s="2">
        <v>-1.681762</v>
      </c>
      <c r="EX64" s="2">
        <v>-1.681762</v>
      </c>
      <c r="EY64" s="2">
        <v>-1.6818040000000001</v>
      </c>
      <c r="EZ64" s="2">
        <v>-1.6818470000000001</v>
      </c>
      <c r="FA64" s="2">
        <v>-1.6818900000000001</v>
      </c>
      <c r="FB64" s="2">
        <v>-1.681932</v>
      </c>
      <c r="FC64" s="2">
        <v>-1.681975</v>
      </c>
      <c r="FD64" s="2">
        <v>-1.682018</v>
      </c>
      <c r="FE64" s="2">
        <v>-1.6820600000000001</v>
      </c>
      <c r="FF64" s="2">
        <v>-1.6821029999999999</v>
      </c>
      <c r="FG64" s="2">
        <v>-1.6821459999999999</v>
      </c>
      <c r="FH64" s="2">
        <v>-1.682188</v>
      </c>
      <c r="FI64" s="2">
        <v>-1.682231</v>
      </c>
      <c r="FJ64" s="2">
        <v>-1.682274</v>
      </c>
      <c r="FK64" s="2">
        <v>-1.6823159999999999</v>
      </c>
      <c r="FL64" s="2">
        <v>-1.6823589999999999</v>
      </c>
      <c r="FM64" s="2">
        <v>-1.682402</v>
      </c>
      <c r="FN64" s="2">
        <v>-1.6824440000000001</v>
      </c>
      <c r="FO64" s="2">
        <v>-1.6824870000000001</v>
      </c>
      <c r="FP64" s="2">
        <v>-1.6825300000000001</v>
      </c>
      <c r="FQ64" s="2">
        <v>-1.682572</v>
      </c>
      <c r="FR64" s="2">
        <v>-1.682615</v>
      </c>
      <c r="FS64" s="2">
        <v>-1.682658</v>
      </c>
      <c r="FT64" s="2">
        <v>-1.682701</v>
      </c>
      <c r="FU64" s="2">
        <v>-1.6827430000000001</v>
      </c>
      <c r="FV64" s="2">
        <v>-1.6827859999999999</v>
      </c>
      <c r="FW64" s="2">
        <v>-1.6828289999999999</v>
      </c>
      <c r="FX64" s="2">
        <v>-1.682871</v>
      </c>
      <c r="FY64" s="2">
        <v>-1.682914</v>
      </c>
      <c r="FZ64" s="2">
        <v>-1.682957</v>
      </c>
      <c r="GA64" s="2">
        <v>-1.6829989999999999</v>
      </c>
      <c r="GB64" s="2">
        <v>-1.6830419999999999</v>
      </c>
      <c r="GC64" s="2">
        <v>-1.6830849999999999</v>
      </c>
      <c r="GD64" s="2">
        <v>-1.683128</v>
      </c>
      <c r="GE64" s="2">
        <v>-1.6831700000000001</v>
      </c>
      <c r="GF64" s="2">
        <v>-1.6832130000000001</v>
      </c>
      <c r="GG64" s="2">
        <v>-1.6832560000000001</v>
      </c>
      <c r="GH64" s="2">
        <v>-1.683298</v>
      </c>
      <c r="GI64" s="2">
        <v>-1.683341</v>
      </c>
      <c r="GJ64" s="2">
        <v>-1.683384</v>
      </c>
      <c r="GK64" s="2">
        <v>-1.6834260000000001</v>
      </c>
      <c r="GL64" s="2">
        <v>-1.6834690000000001</v>
      </c>
      <c r="GM64" s="2">
        <v>-1.6843109999999999</v>
      </c>
      <c r="GN64" s="2">
        <v>-1.6885220000000001</v>
      </c>
      <c r="GO64" s="2">
        <v>-1.691899</v>
      </c>
      <c r="GP64" s="2">
        <v>-1.694437</v>
      </c>
      <c r="GQ64" s="2">
        <v>-1.6961310000000001</v>
      </c>
      <c r="GR64" s="2">
        <v>-1.697403</v>
      </c>
      <c r="GS64" s="2">
        <v>-1.6982520000000001</v>
      </c>
      <c r="GT64" s="2">
        <v>-1.6982520000000001</v>
      </c>
      <c r="GU64" s="2">
        <v>-1.6982520000000001</v>
      </c>
      <c r="GV64" s="2">
        <v>-1.698167</v>
      </c>
      <c r="GW64" s="2">
        <v>-1.6980820000000001</v>
      </c>
      <c r="GX64" s="2">
        <v>-1.697997</v>
      </c>
      <c r="GY64" s="2">
        <v>-1.697827</v>
      </c>
      <c r="GZ64" s="2">
        <v>-1.6976579999999999</v>
      </c>
      <c r="HA64" s="3">
        <v>-1.6974880000000001</v>
      </c>
      <c r="HB64" s="3">
        <v>-1.6973180000000001</v>
      </c>
      <c r="HC64" s="3">
        <v>-1.697149</v>
      </c>
      <c r="HD64" s="3">
        <v>-1.696979</v>
      </c>
      <c r="HE64" s="3">
        <v>-1.696809</v>
      </c>
      <c r="HF64" s="3">
        <v>-1.6966399999999999</v>
      </c>
      <c r="HG64" s="3">
        <v>-1.6964699999999999</v>
      </c>
      <c r="HH64" s="3">
        <v>-1.6962999999999999</v>
      </c>
      <c r="HI64" s="3">
        <v>-1.6961310000000001</v>
      </c>
      <c r="HJ64" s="3">
        <v>-1.6959610000000001</v>
      </c>
      <c r="HK64" s="3">
        <v>-1.695791</v>
      </c>
      <c r="HL64" s="3">
        <v>-1.695622</v>
      </c>
      <c r="HM64" s="3">
        <v>-1.695452</v>
      </c>
      <c r="HN64" s="3">
        <v>-1.6952830000000001</v>
      </c>
      <c r="HO64" s="3">
        <v>-1.6950289999999999</v>
      </c>
      <c r="HP64" s="3">
        <v>-1.694774</v>
      </c>
      <c r="HQ64" s="3">
        <v>-1.69452</v>
      </c>
      <c r="HR64" s="3">
        <v>-1.694266</v>
      </c>
      <c r="HS64" s="3">
        <v>-1.693927</v>
      </c>
      <c r="HT64" s="3">
        <v>-1.6935880000000001</v>
      </c>
      <c r="HU64" s="3">
        <v>-1.6932499999999999</v>
      </c>
      <c r="HV64" s="3">
        <v>-1.6929110000000001</v>
      </c>
      <c r="HW64" s="3">
        <v>-1.6925300000000001</v>
      </c>
      <c r="HX64" s="3">
        <v>-1.6921489999999999</v>
      </c>
      <c r="HY64" s="3">
        <v>-1.6917260000000001</v>
      </c>
      <c r="HZ64" s="3">
        <v>-1.691303</v>
      </c>
      <c r="IA64" s="3">
        <v>-1.690796</v>
      </c>
      <c r="IB64" s="3">
        <v>-1.6902889999999999</v>
      </c>
      <c r="IC64" s="3">
        <v>-1.689697</v>
      </c>
      <c r="ID64" s="3">
        <v>-1.689106</v>
      </c>
      <c r="IE64" s="3">
        <v>-1.6884300000000001</v>
      </c>
      <c r="IF64" s="3">
        <v>-1.6877549999999999</v>
      </c>
      <c r="IG64" s="3">
        <v>-1.686995</v>
      </c>
      <c r="IH64" s="3">
        <v>-1.6862360000000001</v>
      </c>
      <c r="II64" s="3">
        <v>-1.685435</v>
      </c>
      <c r="IJ64" s="3">
        <v>-1.6845920000000001</v>
      </c>
      <c r="IK64" s="3">
        <v>-1.6837500000000001</v>
      </c>
      <c r="IL64" s="3">
        <v>-1.6828620000000001</v>
      </c>
      <c r="IM64" s="3">
        <v>-1.6818519999999999</v>
      </c>
      <c r="IN64" s="3">
        <v>-1.6808430000000001</v>
      </c>
      <c r="IO64" s="3">
        <v>-1.679834</v>
      </c>
      <c r="IP64" s="3">
        <v>-1.6788270000000001</v>
      </c>
      <c r="IQ64" s="3">
        <v>-1.677735</v>
      </c>
      <c r="IR64" s="3">
        <v>-1.6766449999999999</v>
      </c>
      <c r="IS64" s="3">
        <v>-1.6755549999999999</v>
      </c>
      <c r="IT64" s="3">
        <v>-1.674466</v>
      </c>
      <c r="IU64" s="3">
        <v>-1.6732940000000001</v>
      </c>
      <c r="IV64" s="3">
        <v>-1.6721220000000001</v>
      </c>
      <c r="IW64" s="3">
        <v>-1.670952</v>
      </c>
      <c r="IX64" s="3">
        <v>-1.6697820000000001</v>
      </c>
      <c r="IY64" s="3">
        <v>-1.6685300000000001</v>
      </c>
      <c r="IZ64" s="3">
        <v>-1.667279</v>
      </c>
      <c r="JA64" s="3">
        <v>-1.6660280000000001</v>
      </c>
      <c r="JB64" s="3">
        <v>-1.664779</v>
      </c>
      <c r="JC64" s="3">
        <v>-1.66353</v>
      </c>
      <c r="JD64" s="3">
        <v>-1.662282</v>
      </c>
      <c r="JE64" s="3">
        <v>-1.661036</v>
      </c>
      <c r="JF64" s="3">
        <v>-1.6597900000000001</v>
      </c>
      <c r="JG64" s="3">
        <v>-1.6584620000000001</v>
      </c>
      <c r="JH64" s="3">
        <v>-1.657135</v>
      </c>
      <c r="JI64" s="3">
        <v>-1.65581</v>
      </c>
      <c r="JJ64" s="3">
        <v>-1.654485</v>
      </c>
      <c r="JK64" s="3">
        <v>-1.6531610000000001</v>
      </c>
      <c r="JL64" s="3">
        <v>-1.6518390000000001</v>
      </c>
      <c r="JM64" s="3">
        <v>-1.650517</v>
      </c>
      <c r="JN64" s="3">
        <v>-1.649197</v>
      </c>
      <c r="JO64" s="3">
        <v>-1.647878</v>
      </c>
      <c r="JP64" s="3">
        <v>-1.6465590000000001</v>
      </c>
      <c r="JQ64" s="3">
        <v>-1.6452420000000001</v>
      </c>
      <c r="JR64" s="3">
        <v>-1.643926</v>
      </c>
      <c r="JS64" s="3">
        <v>-1.642611</v>
      </c>
      <c r="JT64" s="3">
        <v>-1.641297</v>
      </c>
      <c r="JU64" s="3">
        <v>-1.6399840000000001</v>
      </c>
      <c r="JV64" s="3">
        <v>-1.6386719999999999</v>
      </c>
      <c r="JW64" s="3">
        <v>-1.6373610000000001</v>
      </c>
      <c r="JX64" s="3">
        <v>-1.6360509999999999</v>
      </c>
      <c r="JY64" s="3">
        <v>-1.6347419999999999</v>
      </c>
      <c r="JZ64" s="3">
        <v>-1.6334340000000001</v>
      </c>
      <c r="KA64" s="3">
        <v>-1.6321270000000001</v>
      </c>
      <c r="KB64" s="3">
        <v>-1.630822</v>
      </c>
      <c r="KC64" s="3">
        <v>-1.6295170000000001</v>
      </c>
      <c r="KD64" s="3">
        <v>-1.6282129999999999</v>
      </c>
      <c r="KE64" s="3">
        <v>-1.626911</v>
      </c>
      <c r="KF64" s="3">
        <v>-1.6256090000000001</v>
      </c>
      <c r="KG64" s="3">
        <v>-1.624309</v>
      </c>
      <c r="KH64" s="3">
        <v>-1.6230089999999999</v>
      </c>
      <c r="KI64" s="3">
        <v>-1.6217109999999999</v>
      </c>
      <c r="KJ64" s="3">
        <v>-1.620414</v>
      </c>
      <c r="KK64" s="3">
        <v>-1.6191169999999999</v>
      </c>
      <c r="KL64" s="3">
        <v>-1.6178220000000001</v>
      </c>
      <c r="KM64" s="3">
        <v>-1.616528</v>
      </c>
      <c r="KN64" s="3">
        <v>-1.6152340000000001</v>
      </c>
      <c r="KO64" s="3">
        <v>-1.613942</v>
      </c>
      <c r="KP64" s="3">
        <v>-1.6126510000000001</v>
      </c>
      <c r="KQ64" s="3">
        <v>-1.611361</v>
      </c>
      <c r="KR64" s="3">
        <v>-1.6100719999999999</v>
      </c>
      <c r="KS64" s="3">
        <v>-1.608784</v>
      </c>
      <c r="KT64" s="3">
        <v>-1.607497</v>
      </c>
      <c r="KU64" s="3">
        <v>-1.6062110000000001</v>
      </c>
      <c r="KV64" s="3">
        <v>-1.6049260000000001</v>
      </c>
      <c r="KW64" s="3">
        <v>-1.603642</v>
      </c>
      <c r="KX64" s="3">
        <v>-1.6023590000000001</v>
      </c>
      <c r="KY64" s="3">
        <v>-1.6010770000000001</v>
      </c>
      <c r="KZ64" s="3">
        <v>-1.599796</v>
      </c>
      <c r="LA64" s="3">
        <v>-1.598516</v>
      </c>
      <c r="LB64" s="3">
        <v>-1.5972379999999999</v>
      </c>
      <c r="LC64" s="3">
        <v>-1.59596</v>
      </c>
      <c r="LD64" s="3">
        <v>-1.5946830000000001</v>
      </c>
      <c r="LE64" s="3">
        <v>-1.593407</v>
      </c>
      <c r="LF64" s="3">
        <v>-1.592133</v>
      </c>
      <c r="LG64" s="3">
        <v>-1.590859</v>
      </c>
      <c r="LH64" s="3">
        <v>-1.5895859999999999</v>
      </c>
      <c r="LI64" s="3">
        <v>-1.5883149999999999</v>
      </c>
      <c r="LJ64" s="3">
        <v>-1.5870439999999999</v>
      </c>
      <c r="LK64" s="3">
        <v>-1.585774</v>
      </c>
      <c r="LL64" s="3">
        <v>-1.584506</v>
      </c>
      <c r="LM64" s="3">
        <v>-1.5832379999999999</v>
      </c>
      <c r="LN64" s="3">
        <v>-1.581971</v>
      </c>
      <c r="LO64" s="3">
        <v>-1.5807059999999999</v>
      </c>
      <c r="LP64" s="3">
        <v>-1.5794410000000001</v>
      </c>
      <c r="LQ64" s="3">
        <v>-1.5781780000000001</v>
      </c>
      <c r="LR64" s="3">
        <v>-1.5769150000000001</v>
      </c>
      <c r="LS64" s="3">
        <v>-1.5756540000000001</v>
      </c>
      <c r="LT64" s="3">
        <v>-1.5743929999999999</v>
      </c>
      <c r="LU64" s="3">
        <v>-1.573134</v>
      </c>
      <c r="LV64" s="3">
        <v>-1.5718749999999999</v>
      </c>
      <c r="LW64" s="3">
        <v>-1.5706180000000001</v>
      </c>
      <c r="LX64" s="3">
        <v>-1.569361</v>
      </c>
      <c r="LY64" s="3">
        <v>-1.568106</v>
      </c>
      <c r="LZ64" s="3">
        <v>-1.566851</v>
      </c>
      <c r="MA64" s="3">
        <v>-1.565598</v>
      </c>
      <c r="MB64" s="3">
        <v>-1.5643450000000001</v>
      </c>
      <c r="MC64" s="3">
        <v>-1.563094</v>
      </c>
      <c r="MD64" s="3">
        <v>-1.5618430000000001</v>
      </c>
      <c r="ME64" s="3">
        <v>-1.560594</v>
      </c>
      <c r="MF64" s="3">
        <v>-1.559345</v>
      </c>
      <c r="MG64" s="3">
        <v>-1.558098</v>
      </c>
      <c r="MH64" s="3">
        <v>-1.556851</v>
      </c>
      <c r="MI64" s="3">
        <v>-1.555606</v>
      </c>
      <c r="MJ64" s="3">
        <v>-1.5543610000000001</v>
      </c>
      <c r="MK64" s="3">
        <v>-1.553118</v>
      </c>
      <c r="ML64" s="3">
        <v>-1.5518749999999999</v>
      </c>
      <c r="MM64" s="3">
        <v>-1.5506340000000001</v>
      </c>
      <c r="MN64" s="3">
        <v>-1.549393</v>
      </c>
      <c r="MO64" s="3">
        <v>-1.548154</v>
      </c>
      <c r="MP64" s="3">
        <v>-1.546915</v>
      </c>
      <c r="MQ64" s="3">
        <v>-1.5456780000000001</v>
      </c>
      <c r="MR64" s="3">
        <v>-1.544441</v>
      </c>
      <c r="MS64" s="3">
        <v>-1.5432060000000001</v>
      </c>
      <c r="MT64" s="3">
        <v>-1.541971</v>
      </c>
      <c r="MU64" t="s">
        <v>498</v>
      </c>
      <c r="MV64" t="b">
        <v>0</v>
      </c>
      <c r="MW64" t="s">
        <v>377</v>
      </c>
      <c r="MX64" t="s">
        <v>377</v>
      </c>
      <c r="MY64">
        <v>2023</v>
      </c>
      <c r="MZ64">
        <v>2</v>
      </c>
      <c r="NA64" t="s">
        <v>377</v>
      </c>
      <c r="NB64" s="1" t="s">
        <v>499</v>
      </c>
      <c r="NC64" t="s">
        <v>377</v>
      </c>
      <c r="ND64" t="s">
        <v>380</v>
      </c>
      <c r="NE64" t="s">
        <v>500</v>
      </c>
      <c r="NF64" s="1" t="s">
        <v>526</v>
      </c>
    </row>
    <row r="65" spans="1:370" x14ac:dyDescent="0.25">
      <c r="A65" t="s">
        <v>382</v>
      </c>
      <c r="B65" t="s">
        <v>496</v>
      </c>
      <c r="C65" s="1" t="s">
        <v>525</v>
      </c>
      <c r="D65" t="s">
        <v>497</v>
      </c>
      <c r="E65" t="s">
        <v>377</v>
      </c>
      <c r="F65" t="s">
        <v>374</v>
      </c>
      <c r="G65" s="2">
        <v>-3.2320519999999999</v>
      </c>
      <c r="H65" s="2">
        <v>-6.307607</v>
      </c>
      <c r="I65" s="2">
        <v>-6.3057920000000003</v>
      </c>
      <c r="J65" s="2">
        <v>-6.3071820000000001</v>
      </c>
      <c r="K65" s="2">
        <v>-6.5312809999999999</v>
      </c>
      <c r="L65" s="2">
        <v>-6.5254960000000004</v>
      </c>
      <c r="M65" s="2">
        <v>-6.524311</v>
      </c>
      <c r="N65" s="2">
        <v>-6.5168419999999996</v>
      </c>
      <c r="O65" s="2">
        <v>-6.5088850000000003</v>
      </c>
      <c r="P65" s="2">
        <v>-6.5077699999999998</v>
      </c>
      <c r="Q65" s="2">
        <v>-6.5091789999999996</v>
      </c>
      <c r="R65" s="2">
        <v>-6.5071539999999999</v>
      </c>
      <c r="S65" s="2">
        <v>-6.5090709999999996</v>
      </c>
      <c r="T65" s="2">
        <v>-6.5069569999999999</v>
      </c>
      <c r="U65" s="2">
        <v>-6.5065770000000001</v>
      </c>
      <c r="V65" s="2">
        <v>-6.5015970000000003</v>
      </c>
      <c r="W65" s="2">
        <v>-6.4989509999999999</v>
      </c>
      <c r="X65" s="2">
        <v>-6.5032639999999997</v>
      </c>
      <c r="Y65" s="2">
        <v>-6.4990100000000002</v>
      </c>
      <c r="Z65" s="2">
        <v>-6.5008800000000004</v>
      </c>
      <c r="AA65" s="2">
        <v>-6.4932309999999998</v>
      </c>
      <c r="AB65" s="2">
        <v>-6.49932</v>
      </c>
      <c r="AC65" s="2">
        <v>-6.4971500000000004</v>
      </c>
      <c r="AD65" s="2">
        <v>-6.4960079999999998</v>
      </c>
      <c r="AE65" s="2">
        <v>-6.4951720000000002</v>
      </c>
      <c r="AF65" s="2">
        <v>-6.4861300000000002</v>
      </c>
      <c r="AG65" s="2">
        <v>-6.4880969999999998</v>
      </c>
      <c r="AH65" s="2">
        <v>-6.4884170000000001</v>
      </c>
      <c r="AI65" s="2">
        <v>-6.4458719999999996</v>
      </c>
      <c r="AJ65" s="2">
        <v>-6.4396500000000003</v>
      </c>
      <c r="AK65" s="2">
        <v>-6.4387449999999999</v>
      </c>
      <c r="AL65" s="2">
        <v>-6.4428109999999998</v>
      </c>
      <c r="AM65" s="2">
        <v>-6.448067</v>
      </c>
      <c r="AN65" s="2">
        <v>-6.4475879999999997</v>
      </c>
      <c r="AO65" s="2">
        <v>-6.4393419999999999</v>
      </c>
      <c r="AP65" s="2">
        <v>-6.4356220000000004</v>
      </c>
      <c r="AQ65" s="2">
        <v>-6.4272580000000001</v>
      </c>
      <c r="AR65" s="2">
        <v>-6.4282510000000004</v>
      </c>
      <c r="AS65" s="2">
        <v>-6.4245419999999998</v>
      </c>
      <c r="AT65" s="2">
        <v>-6.4188980000000004</v>
      </c>
      <c r="AU65" s="2">
        <v>-6.4126450000000004</v>
      </c>
      <c r="AV65" s="2">
        <v>-6.4129750000000003</v>
      </c>
      <c r="AW65" s="2">
        <v>-6.4135910000000003</v>
      </c>
      <c r="AX65" s="2">
        <v>-6.4113920000000002</v>
      </c>
      <c r="AY65" s="2">
        <v>-6.4074669999999996</v>
      </c>
      <c r="AZ65" s="2">
        <v>-6.4065450000000004</v>
      </c>
      <c r="BA65" s="2">
        <v>-6.4009819999999999</v>
      </c>
      <c r="BB65" s="2">
        <v>-6.3959770000000002</v>
      </c>
      <c r="BC65" s="2">
        <v>-6.3913820000000001</v>
      </c>
      <c r="BD65" s="2">
        <v>-6.3872980000000004</v>
      </c>
      <c r="BE65" s="2">
        <v>-6.381615</v>
      </c>
      <c r="BF65" s="2">
        <v>-6.3807410000000004</v>
      </c>
      <c r="BG65" s="2">
        <v>-6.3794029999999999</v>
      </c>
      <c r="BH65" s="2">
        <v>-6.3741479999999999</v>
      </c>
      <c r="BI65" s="2">
        <v>-6.3720119999999998</v>
      </c>
      <c r="BJ65" s="2">
        <v>-6.3687199999999997</v>
      </c>
      <c r="BK65" s="2">
        <v>-6.3686790000000002</v>
      </c>
      <c r="BL65" s="2">
        <v>-6.3659280000000003</v>
      </c>
      <c r="BM65" s="2">
        <v>-6.362965</v>
      </c>
      <c r="BN65" s="2">
        <v>-6.3605689999999999</v>
      </c>
      <c r="BO65" s="2">
        <v>-6.3551739999999999</v>
      </c>
      <c r="BP65" s="2">
        <v>-6.3512750000000002</v>
      </c>
      <c r="BQ65" s="2">
        <v>-6.3483210000000003</v>
      </c>
      <c r="BR65" s="2">
        <v>-6.3474300000000001</v>
      </c>
      <c r="BS65" s="2">
        <v>-6.3456580000000002</v>
      </c>
      <c r="BT65" s="2">
        <v>-6.3409040000000001</v>
      </c>
      <c r="BU65" s="2">
        <v>-6.3376799999999998</v>
      </c>
      <c r="BV65" s="2">
        <v>-6.3343059999999998</v>
      </c>
      <c r="BW65" s="2">
        <v>-6.3363490000000002</v>
      </c>
      <c r="BX65" s="2">
        <v>-6.3287870000000002</v>
      </c>
      <c r="BY65" s="2">
        <v>-6.3239089999999996</v>
      </c>
      <c r="BZ65" s="2">
        <v>-6.3194179999999998</v>
      </c>
      <c r="CA65" s="2">
        <v>-6.3141470000000002</v>
      </c>
      <c r="CB65" s="2">
        <v>-6.310721</v>
      </c>
      <c r="CC65" s="2">
        <v>-6.3069660000000001</v>
      </c>
      <c r="CD65" s="2">
        <v>-6.304678</v>
      </c>
      <c r="CE65" s="2">
        <v>-6.3041119999999999</v>
      </c>
      <c r="CF65" s="2">
        <v>-6.3070320000000004</v>
      </c>
      <c r="CG65" s="2">
        <v>-6.3042040000000004</v>
      </c>
      <c r="CH65" s="2">
        <v>-6.2980960000000001</v>
      </c>
      <c r="CI65" s="2">
        <v>-6.2950239999999997</v>
      </c>
      <c r="CJ65" s="2">
        <v>-6.2955189999999996</v>
      </c>
      <c r="CK65" s="2">
        <v>-6.2933700000000004</v>
      </c>
      <c r="CL65" s="2">
        <v>-6.2916530000000002</v>
      </c>
      <c r="CM65" s="2">
        <v>-6.2898339999999999</v>
      </c>
      <c r="CN65" s="2">
        <v>-6.2882579999999999</v>
      </c>
      <c r="CO65" s="2">
        <v>-6.2864800000000001</v>
      </c>
      <c r="CP65" s="2">
        <v>-6.2847590000000002</v>
      </c>
      <c r="CQ65" s="2">
        <v>-6.2797929999999997</v>
      </c>
      <c r="CR65" s="2">
        <v>-6.2716260000000004</v>
      </c>
      <c r="CS65" s="2">
        <v>-6.2697570000000002</v>
      </c>
      <c r="CT65" s="2">
        <v>-6.2646569999999997</v>
      </c>
      <c r="CU65" s="2">
        <v>-6.2593920000000001</v>
      </c>
      <c r="CV65" s="2">
        <v>-6.260904</v>
      </c>
      <c r="CW65" s="2">
        <v>-6.2600990000000003</v>
      </c>
      <c r="CX65" s="2">
        <v>-6.2583659999999997</v>
      </c>
      <c r="CY65" s="2">
        <v>-6.2547620000000004</v>
      </c>
      <c r="CZ65" s="2">
        <v>-6.2520629999999997</v>
      </c>
      <c r="DA65" s="2">
        <v>-6.2493189999999998</v>
      </c>
      <c r="DB65" s="2">
        <v>-6.2436360000000004</v>
      </c>
      <c r="DC65" s="2">
        <v>-6.2360709999999999</v>
      </c>
      <c r="DD65" s="2">
        <v>-6.2283590000000002</v>
      </c>
      <c r="DE65" s="2">
        <v>-6.2231820000000004</v>
      </c>
      <c r="DF65" s="2">
        <v>-6.2190510000000003</v>
      </c>
      <c r="DG65" s="2">
        <v>-6.212224</v>
      </c>
      <c r="DH65" s="2">
        <v>-6.2051920000000003</v>
      </c>
      <c r="DI65" s="2">
        <v>-6.1992070000000004</v>
      </c>
      <c r="DJ65" s="2">
        <v>-6.194261</v>
      </c>
      <c r="DK65" s="2">
        <v>-6.1877880000000003</v>
      </c>
      <c r="DL65" s="2">
        <v>-6.1801570000000003</v>
      </c>
      <c r="DM65" s="2">
        <v>-6.1713839999999998</v>
      </c>
      <c r="DN65" s="2">
        <v>-6.1647069999999999</v>
      </c>
      <c r="DO65" s="2">
        <v>-6.1621300000000003</v>
      </c>
      <c r="DP65" s="2">
        <v>-6.1526480000000001</v>
      </c>
      <c r="DQ65" s="2">
        <v>-6.146382</v>
      </c>
      <c r="DR65" s="2">
        <v>-6.1413250000000001</v>
      </c>
      <c r="DS65" s="2">
        <v>-6.1385719999999999</v>
      </c>
      <c r="DT65" s="2">
        <v>-6.1372410000000004</v>
      </c>
      <c r="DU65" s="2">
        <v>-6.1332579999999997</v>
      </c>
      <c r="DV65" s="2">
        <v>-6.1274540000000002</v>
      </c>
      <c r="DW65" s="2">
        <v>-6.1241880000000002</v>
      </c>
      <c r="DX65" s="2">
        <v>-6.1218700000000004</v>
      </c>
      <c r="DY65" s="2">
        <v>-6.1165219999999998</v>
      </c>
      <c r="DZ65" s="2">
        <v>-6.1146599999999998</v>
      </c>
      <c r="EA65" s="2">
        <v>-6.1106480000000003</v>
      </c>
      <c r="EB65" s="2">
        <v>-6.1066079999999996</v>
      </c>
      <c r="EC65" s="2">
        <v>-6.1038059999999996</v>
      </c>
      <c r="ED65" s="2">
        <v>-6.1024399999999996</v>
      </c>
      <c r="EE65" s="2">
        <v>-6.0984069999999999</v>
      </c>
      <c r="EF65" s="2">
        <v>-6.0980030000000003</v>
      </c>
      <c r="EG65" s="2">
        <v>-6.0965449999999999</v>
      </c>
      <c r="EH65" s="2">
        <v>-6.095548</v>
      </c>
      <c r="EI65" s="2">
        <v>-6.095072</v>
      </c>
      <c r="EJ65" s="2">
        <v>-6.0944219999999998</v>
      </c>
      <c r="EK65" s="2">
        <v>-6.0939030000000001</v>
      </c>
      <c r="EL65" s="2">
        <v>-6.0957819999999998</v>
      </c>
      <c r="EM65" s="2">
        <v>-6.0949790000000004</v>
      </c>
      <c r="EN65" s="2">
        <v>-6.0917320000000004</v>
      </c>
      <c r="EO65" s="2">
        <v>-6.090096</v>
      </c>
      <c r="EP65" s="2">
        <v>-6.0900439999999998</v>
      </c>
      <c r="EQ65" s="2">
        <v>-6.0872140000000003</v>
      </c>
      <c r="ER65" s="2">
        <v>-6.0850099999999996</v>
      </c>
      <c r="ES65" s="2">
        <v>-6.082408</v>
      </c>
      <c r="ET65" s="2">
        <v>-6.0775940000000004</v>
      </c>
      <c r="EU65" s="2">
        <v>-6.0699880000000004</v>
      </c>
      <c r="EV65" s="2">
        <v>-6.0650130000000004</v>
      </c>
      <c r="EW65" s="2">
        <v>-6.0620370000000001</v>
      </c>
      <c r="EX65" s="2">
        <v>-6.0583689999999999</v>
      </c>
      <c r="EY65" s="2">
        <v>-6.0578099999999999</v>
      </c>
      <c r="EZ65" s="2">
        <v>-6.0597690000000002</v>
      </c>
      <c r="FA65" s="2">
        <v>-6.0584980000000002</v>
      </c>
      <c r="FB65" s="2">
        <v>-6.0568569999999999</v>
      </c>
      <c r="FC65" s="2">
        <v>-6.0506279999999997</v>
      </c>
      <c r="FD65" s="2">
        <v>-6.0514530000000004</v>
      </c>
      <c r="FE65" s="2">
        <v>-6.0500340000000001</v>
      </c>
      <c r="FF65" s="2">
        <v>-6.049982</v>
      </c>
      <c r="FG65" s="2">
        <v>-6.0509849999999998</v>
      </c>
      <c r="FH65" s="2">
        <v>-6.0479849999999997</v>
      </c>
      <c r="FI65" s="2">
        <v>-6.045782</v>
      </c>
      <c r="FJ65" s="2">
        <v>-6.0453150000000004</v>
      </c>
      <c r="FK65" s="2">
        <v>-6.0424759999999997</v>
      </c>
      <c r="FL65" s="2">
        <v>-6.0397939999999997</v>
      </c>
      <c r="FM65" s="2">
        <v>-6.0359150000000001</v>
      </c>
      <c r="FN65" s="2">
        <v>-6.0305260000000001</v>
      </c>
      <c r="FO65" s="2">
        <v>-6.0286980000000003</v>
      </c>
      <c r="FP65" s="2">
        <v>-6.0289529999999996</v>
      </c>
      <c r="FQ65" s="2">
        <v>-6.0280110000000002</v>
      </c>
      <c r="FR65" s="2">
        <v>-6.0278159999999996</v>
      </c>
      <c r="FS65" s="2">
        <v>-6.0256590000000001</v>
      </c>
      <c r="FT65" s="2">
        <v>-6.0220330000000004</v>
      </c>
      <c r="FU65" s="2">
        <v>-6.0203230000000003</v>
      </c>
      <c r="FV65" s="2">
        <v>-6.0196610000000002</v>
      </c>
      <c r="FW65" s="2">
        <v>-6.0193690000000002</v>
      </c>
      <c r="FX65" s="2">
        <v>-6.016667</v>
      </c>
      <c r="FY65" s="2">
        <v>-6.0150350000000001</v>
      </c>
      <c r="FZ65" s="2">
        <v>-6.0123530000000001</v>
      </c>
      <c r="GA65" s="2">
        <v>-6.0103780000000002</v>
      </c>
      <c r="GB65" s="2">
        <v>-6.0105789999999999</v>
      </c>
      <c r="GC65" s="2">
        <v>-6.0088689999999998</v>
      </c>
      <c r="GD65" s="2">
        <v>-6.0064390000000003</v>
      </c>
      <c r="GE65" s="2">
        <v>-6.0063529999999998</v>
      </c>
      <c r="GF65" s="2">
        <v>-6.0056390000000004</v>
      </c>
      <c r="GG65" s="2">
        <v>-6.0026190000000001</v>
      </c>
      <c r="GH65" s="2">
        <v>-6.0019859999999996</v>
      </c>
      <c r="GI65" s="2">
        <v>-5.9988619999999999</v>
      </c>
      <c r="GJ65" s="2">
        <v>-5.9937560000000003</v>
      </c>
      <c r="GK65" s="2">
        <v>-5.9930519999999996</v>
      </c>
      <c r="GL65" s="2">
        <v>-5.9927099999999998</v>
      </c>
      <c r="GM65" s="2">
        <v>-5.986713</v>
      </c>
      <c r="GN65" s="2">
        <v>-5.9660690000000001</v>
      </c>
      <c r="GO65" s="2">
        <v>-5.9755370000000001</v>
      </c>
      <c r="GP65" s="2">
        <v>-5.9770960000000004</v>
      </c>
      <c r="GQ65" s="2">
        <v>-5.9719480000000003</v>
      </c>
      <c r="GR65" s="2">
        <v>-5.9725999999999999</v>
      </c>
      <c r="GS65" s="2">
        <v>-5.9692290000000003</v>
      </c>
      <c r="GT65" s="2">
        <v>-5.9674269999999998</v>
      </c>
      <c r="GU65" s="2">
        <v>-5.9678550000000001</v>
      </c>
      <c r="GV65" s="2">
        <v>-5.9646439999999998</v>
      </c>
      <c r="GW65" s="2">
        <v>-5.9612740000000004</v>
      </c>
      <c r="GX65" s="2">
        <v>-5.9557149999999996</v>
      </c>
      <c r="GY65" s="2">
        <v>-5.9592559999999999</v>
      </c>
      <c r="GZ65" s="2">
        <v>-5.9548610000000002</v>
      </c>
      <c r="HA65" s="2">
        <v>-5.952979</v>
      </c>
      <c r="HB65" s="2">
        <v>-5.9491649999999998</v>
      </c>
      <c r="HC65" s="2">
        <v>-5.9425189999999999</v>
      </c>
      <c r="HD65" s="2">
        <v>-5.9405409999999996</v>
      </c>
      <c r="HE65" s="3">
        <v>-5.9388300000000003</v>
      </c>
      <c r="HF65" s="3">
        <v>-5.9339760000000004</v>
      </c>
      <c r="HG65" s="3">
        <v>-5.9394260000000001</v>
      </c>
      <c r="HH65" s="3">
        <v>-5.934488</v>
      </c>
      <c r="HI65" s="3">
        <v>-5.9300649999999999</v>
      </c>
      <c r="HJ65" s="3">
        <v>-5.9256909999999996</v>
      </c>
      <c r="HK65" s="3">
        <v>-5.9212920000000002</v>
      </c>
      <c r="HL65" s="3">
        <v>-5.9168450000000004</v>
      </c>
      <c r="HM65" s="3">
        <v>-5.9123970000000003</v>
      </c>
      <c r="HN65" s="3">
        <v>-5.9080219999999999</v>
      </c>
      <c r="HO65" s="3">
        <v>-5.9037230000000003</v>
      </c>
      <c r="HP65" s="3">
        <v>-5.8994759999999999</v>
      </c>
      <c r="HQ65" s="3">
        <v>-5.8952980000000004</v>
      </c>
      <c r="HR65" s="3">
        <v>-5.8912069999999996</v>
      </c>
      <c r="HS65" s="3">
        <v>-5.8871830000000003</v>
      </c>
      <c r="HT65" s="3">
        <v>-5.8832800000000001</v>
      </c>
      <c r="HU65" s="3">
        <v>-5.8795669999999998</v>
      </c>
      <c r="HV65" s="3">
        <v>-5.876023</v>
      </c>
      <c r="HW65" s="3">
        <v>-5.8726200000000004</v>
      </c>
      <c r="HX65" s="3">
        <v>-5.8694110000000004</v>
      </c>
      <c r="HY65" s="3">
        <v>-5.8663869999999996</v>
      </c>
      <c r="HZ65" s="3">
        <v>-5.8635020000000004</v>
      </c>
      <c r="IA65" s="3">
        <v>-5.8608070000000003</v>
      </c>
      <c r="IB65" s="3">
        <v>-5.8582299999999998</v>
      </c>
      <c r="IC65" s="3">
        <v>-5.8556520000000001</v>
      </c>
      <c r="ID65" s="3">
        <v>-5.853116</v>
      </c>
      <c r="IE65" s="3">
        <v>-5.8506549999999997</v>
      </c>
      <c r="IF65" s="3">
        <v>-5.8481769999999997</v>
      </c>
      <c r="IG65" s="3">
        <v>-5.8456770000000002</v>
      </c>
      <c r="IH65" s="3">
        <v>-5.8432060000000003</v>
      </c>
      <c r="II65" s="3">
        <v>-5.8407660000000003</v>
      </c>
      <c r="IJ65" s="3">
        <v>-5.8383200000000004</v>
      </c>
      <c r="IK65" s="3">
        <v>-5.8359310000000004</v>
      </c>
      <c r="IL65" s="3">
        <v>-5.8335090000000003</v>
      </c>
      <c r="IM65" s="3">
        <v>-5.8311060000000001</v>
      </c>
      <c r="IN65" s="3">
        <v>-5.8287009999999997</v>
      </c>
      <c r="IO65" s="3">
        <v>-5.8263049999999996</v>
      </c>
      <c r="IP65" s="3">
        <v>-5.8238919999999998</v>
      </c>
      <c r="IQ65" s="3">
        <v>-5.8215089999999998</v>
      </c>
      <c r="IR65" s="3">
        <v>-5.8191069999999998</v>
      </c>
      <c r="IS65" s="3">
        <v>-5.8167039999999997</v>
      </c>
      <c r="IT65" s="3">
        <v>-5.8143200000000004</v>
      </c>
      <c r="IU65" s="3">
        <v>-5.811922</v>
      </c>
      <c r="IV65" s="3">
        <v>-5.8095290000000004</v>
      </c>
      <c r="IW65" s="3">
        <v>-5.8071409999999997</v>
      </c>
      <c r="IX65" s="3">
        <v>-5.8047279999999999</v>
      </c>
      <c r="IY65" s="3">
        <v>-5.8023249999999997</v>
      </c>
      <c r="IZ65" s="3">
        <v>-5.7999109999999998</v>
      </c>
      <c r="JA65" s="3">
        <v>-5.7975159999999999</v>
      </c>
      <c r="JB65" s="3">
        <v>-5.7951129999999997</v>
      </c>
      <c r="JC65" s="3">
        <v>-5.7927200000000001</v>
      </c>
      <c r="JD65" s="3">
        <v>-5.7903279999999997</v>
      </c>
      <c r="JE65" s="3">
        <v>-5.7879110000000003</v>
      </c>
      <c r="JF65" s="3">
        <v>-5.7855319999999999</v>
      </c>
      <c r="JG65" s="3">
        <v>-5.7831489999999999</v>
      </c>
      <c r="JH65" s="3">
        <v>-5.7807870000000001</v>
      </c>
      <c r="JI65" s="3">
        <v>-5.7783889999999998</v>
      </c>
      <c r="JJ65" s="3">
        <v>-5.7760059999999998</v>
      </c>
      <c r="JK65" s="3">
        <v>-5.7736020000000003</v>
      </c>
      <c r="JL65" s="3">
        <v>-5.7711920000000001</v>
      </c>
      <c r="JM65" s="3">
        <v>-5.7688249999999996</v>
      </c>
      <c r="JN65" s="3">
        <v>-5.7664200000000001</v>
      </c>
      <c r="JO65" s="3">
        <v>-5.7640099999999999</v>
      </c>
      <c r="JP65" s="3">
        <v>-5.7616050000000003</v>
      </c>
      <c r="JQ65" s="3">
        <v>-5.7592040000000004</v>
      </c>
      <c r="JR65" s="3">
        <v>-5.7567959999999996</v>
      </c>
      <c r="JS65" s="3">
        <v>-5.7543889999999998</v>
      </c>
      <c r="JT65" s="3">
        <v>-5.7519850000000003</v>
      </c>
      <c r="JU65" s="3">
        <v>-5.749574</v>
      </c>
      <c r="JV65" s="3">
        <v>-5.7471690000000004</v>
      </c>
      <c r="JW65" s="3">
        <v>-5.7447670000000004</v>
      </c>
      <c r="JX65" s="3">
        <v>-5.7423659999999996</v>
      </c>
      <c r="JY65" s="3">
        <v>-5.7399699999999996</v>
      </c>
      <c r="JZ65" s="3">
        <v>-5.7375730000000003</v>
      </c>
      <c r="KA65" s="3">
        <v>-5.735163</v>
      </c>
      <c r="KB65" s="3">
        <v>-5.7327490000000001</v>
      </c>
      <c r="KC65" s="3">
        <v>-5.7303480000000002</v>
      </c>
      <c r="KD65" s="3">
        <v>-5.7279340000000003</v>
      </c>
      <c r="KE65" s="3">
        <v>-5.7255089999999997</v>
      </c>
      <c r="KF65" s="3">
        <v>-5.7231009999999998</v>
      </c>
      <c r="KG65" s="3">
        <v>-5.7206900000000003</v>
      </c>
      <c r="KH65" s="3">
        <v>-5.718267</v>
      </c>
      <c r="KI65" s="3">
        <v>-5.7158610000000003</v>
      </c>
      <c r="KJ65" s="3">
        <v>-5.7134359999999997</v>
      </c>
      <c r="KK65" s="3">
        <v>-5.7110300000000001</v>
      </c>
      <c r="KL65" s="3">
        <v>-5.7086160000000001</v>
      </c>
      <c r="KM65" s="3">
        <v>-5.7061919999999997</v>
      </c>
      <c r="KN65" s="3">
        <v>-5.7037680000000002</v>
      </c>
      <c r="KO65" s="3">
        <v>-5.7013540000000003</v>
      </c>
      <c r="KP65" s="3">
        <v>-5.6989239999999999</v>
      </c>
      <c r="KQ65" s="3">
        <v>-5.6964940000000004</v>
      </c>
      <c r="KR65" s="3">
        <v>-5.6940819999999999</v>
      </c>
      <c r="KS65" s="3">
        <v>-5.6916630000000001</v>
      </c>
      <c r="KT65" s="3">
        <v>-5.6892370000000003</v>
      </c>
      <c r="KU65" s="3">
        <v>-5.6868210000000001</v>
      </c>
      <c r="KV65" s="3">
        <v>-5.6843810000000001</v>
      </c>
      <c r="KW65" s="3">
        <v>-5.6819839999999999</v>
      </c>
      <c r="KX65" s="3">
        <v>-5.6795520000000002</v>
      </c>
      <c r="KY65" s="3">
        <v>-5.6771229999999999</v>
      </c>
      <c r="KZ65" s="3">
        <v>-5.6747310000000004</v>
      </c>
      <c r="LA65" s="3">
        <v>-5.6723049999999997</v>
      </c>
      <c r="LB65" s="3">
        <v>-5.6698880000000003</v>
      </c>
      <c r="LC65" s="3">
        <v>-5.6674519999999999</v>
      </c>
      <c r="LD65" s="3">
        <v>-5.6650210000000003</v>
      </c>
      <c r="LE65" s="3">
        <v>-5.662617</v>
      </c>
      <c r="LF65" s="3">
        <v>-5.6601840000000001</v>
      </c>
      <c r="LG65" s="3">
        <v>-5.657769</v>
      </c>
      <c r="LH65" s="3">
        <v>-5.6553420000000001</v>
      </c>
      <c r="LI65" s="3">
        <v>-5.6529129999999999</v>
      </c>
      <c r="LJ65" s="3">
        <v>-5.6504950000000003</v>
      </c>
      <c r="LK65" s="3">
        <v>-5.6480569999999997</v>
      </c>
      <c r="LL65" s="3">
        <v>-5.6456379999999999</v>
      </c>
      <c r="LM65" s="3">
        <v>-5.643205</v>
      </c>
      <c r="LN65" s="3">
        <v>-5.6407809999999996</v>
      </c>
      <c r="LO65" s="3">
        <v>-5.6383479999999997</v>
      </c>
      <c r="LP65" s="3">
        <v>-5.6359149999999998</v>
      </c>
      <c r="LQ65" s="3">
        <v>-5.6334850000000003</v>
      </c>
      <c r="LR65" s="3">
        <v>-5.6310479999999998</v>
      </c>
      <c r="LS65" s="3">
        <v>-5.6286209999999999</v>
      </c>
      <c r="LT65" s="3">
        <v>-5.6261910000000004</v>
      </c>
      <c r="LU65" s="3">
        <v>-5.6237510000000004</v>
      </c>
      <c r="LV65" s="3">
        <v>-5.6213240000000004</v>
      </c>
      <c r="LW65" s="3">
        <v>-5.618887</v>
      </c>
      <c r="LX65" s="3">
        <v>-5.6164560000000003</v>
      </c>
      <c r="LY65" s="3">
        <v>-5.6140150000000002</v>
      </c>
      <c r="LZ65" s="3">
        <v>-5.6115950000000003</v>
      </c>
      <c r="MA65" s="3">
        <v>-5.6091499999999996</v>
      </c>
      <c r="MB65" s="3">
        <v>-5.6067169999999997</v>
      </c>
      <c r="MC65" s="3">
        <v>-5.6042839999999998</v>
      </c>
      <c r="MD65" s="3">
        <v>-5.6018410000000003</v>
      </c>
      <c r="ME65" s="3">
        <v>-5.5994140000000003</v>
      </c>
      <c r="MF65" s="3">
        <v>-5.5969720000000001</v>
      </c>
      <c r="MG65" s="3">
        <v>-5.5945239999999998</v>
      </c>
      <c r="MH65" s="3">
        <v>-5.5920899999999998</v>
      </c>
      <c r="MI65" s="3">
        <v>-5.5896410000000003</v>
      </c>
      <c r="MJ65" s="3">
        <v>-5.5872039999999998</v>
      </c>
      <c r="MK65" s="3">
        <v>-5.5847540000000002</v>
      </c>
      <c r="ML65" s="3">
        <v>-5.5823179999999999</v>
      </c>
      <c r="MM65" s="3">
        <v>-5.5798629999999996</v>
      </c>
      <c r="MN65" s="3">
        <v>-5.577413</v>
      </c>
      <c r="MO65" s="3">
        <v>-5.5749779999999998</v>
      </c>
      <c r="MP65" s="3">
        <v>-5.5725189999999998</v>
      </c>
      <c r="MQ65" s="3">
        <v>-5.5700830000000003</v>
      </c>
      <c r="MR65" s="3">
        <v>-5.5676300000000003</v>
      </c>
      <c r="MS65" s="3">
        <v>-5.5651760000000001</v>
      </c>
      <c r="MT65" s="3">
        <v>-5.5627399999999998</v>
      </c>
      <c r="MU65" t="s">
        <v>501</v>
      </c>
      <c r="MV65" t="b">
        <v>0</v>
      </c>
      <c r="MW65" t="s">
        <v>377</v>
      </c>
      <c r="MX65" t="s">
        <v>377</v>
      </c>
      <c r="MY65">
        <v>2024</v>
      </c>
      <c r="MZ65">
        <v>2</v>
      </c>
      <c r="NA65" t="s">
        <v>377</v>
      </c>
      <c r="NB65" s="1" t="s">
        <v>502</v>
      </c>
      <c r="NC65" t="s">
        <v>377</v>
      </c>
      <c r="ND65" t="s">
        <v>389</v>
      </c>
      <c r="NE65" t="s">
        <v>500</v>
      </c>
      <c r="NF65" s="1" t="s">
        <v>526</v>
      </c>
    </row>
    <row r="66" spans="1:370" x14ac:dyDescent="0.25">
      <c r="A66" t="s">
        <v>370</v>
      </c>
      <c r="B66" t="s">
        <v>371</v>
      </c>
      <c r="C66" s="1" t="s">
        <v>527</v>
      </c>
      <c r="D66" t="s">
        <v>372</v>
      </c>
      <c r="E66" t="s">
        <v>373</v>
      </c>
      <c r="F66" t="s">
        <v>374</v>
      </c>
      <c r="G66" s="2">
        <v>247921</v>
      </c>
      <c r="H66" s="2">
        <v>248384</v>
      </c>
      <c r="I66" s="2">
        <v>246082</v>
      </c>
      <c r="J66" s="2">
        <v>245140</v>
      </c>
      <c r="K66" s="2">
        <v>238319</v>
      </c>
      <c r="L66" s="2">
        <v>241752</v>
      </c>
      <c r="M66" s="2">
        <v>243197</v>
      </c>
      <c r="N66" s="2">
        <v>239612</v>
      </c>
      <c r="O66" s="2">
        <v>239702</v>
      </c>
      <c r="P66" s="2">
        <v>235807</v>
      </c>
      <c r="Q66" s="2">
        <v>235105</v>
      </c>
      <c r="R66" s="2">
        <v>237747</v>
      </c>
      <c r="S66" s="2">
        <v>241709</v>
      </c>
      <c r="T66" s="2">
        <v>241380</v>
      </c>
      <c r="U66" s="2">
        <v>244367</v>
      </c>
      <c r="V66" s="2">
        <v>249511</v>
      </c>
      <c r="W66" s="2">
        <v>249671</v>
      </c>
      <c r="X66" s="2">
        <v>247936</v>
      </c>
      <c r="Y66" s="2">
        <v>249578</v>
      </c>
      <c r="Z66" s="2">
        <v>253819</v>
      </c>
      <c r="AA66" s="2">
        <v>256193</v>
      </c>
      <c r="AB66" s="2">
        <v>259127</v>
      </c>
      <c r="AC66" s="2">
        <v>262661</v>
      </c>
      <c r="AD66" s="2">
        <v>264972</v>
      </c>
      <c r="AE66" s="2">
        <v>264185</v>
      </c>
      <c r="AF66" s="2">
        <v>275695</v>
      </c>
      <c r="AG66" s="2">
        <v>269599</v>
      </c>
      <c r="AH66" s="2">
        <v>272359</v>
      </c>
      <c r="AI66" s="2">
        <v>269776</v>
      </c>
      <c r="AJ66" s="2">
        <v>264448</v>
      </c>
      <c r="AK66" s="2">
        <v>264139</v>
      </c>
      <c r="AL66" s="2">
        <v>261297</v>
      </c>
      <c r="AM66" s="2">
        <v>261131</v>
      </c>
      <c r="AN66" s="2">
        <v>261739</v>
      </c>
      <c r="AO66" s="2">
        <v>264602</v>
      </c>
      <c r="AP66" s="2">
        <v>264902</v>
      </c>
      <c r="AQ66" s="2">
        <v>265408</v>
      </c>
      <c r="AR66" s="2">
        <v>268196</v>
      </c>
      <c r="AS66" s="2">
        <v>268798</v>
      </c>
      <c r="AT66" s="2">
        <v>270653</v>
      </c>
      <c r="AU66" s="2">
        <v>275877</v>
      </c>
      <c r="AV66" s="2">
        <v>277790</v>
      </c>
      <c r="AW66" s="2">
        <v>280996</v>
      </c>
      <c r="AX66" s="2">
        <v>283096</v>
      </c>
      <c r="AY66" s="2">
        <v>285469</v>
      </c>
      <c r="AZ66" s="2">
        <v>282605</v>
      </c>
      <c r="BA66" s="2">
        <v>284676</v>
      </c>
      <c r="BB66" s="2">
        <v>289829</v>
      </c>
      <c r="BC66" s="2">
        <v>292612</v>
      </c>
      <c r="BD66" s="2">
        <v>298873</v>
      </c>
      <c r="BE66" s="2">
        <v>298814</v>
      </c>
      <c r="BF66" s="2">
        <v>298979</v>
      </c>
      <c r="BG66" s="2">
        <v>302117</v>
      </c>
      <c r="BH66" s="2">
        <v>304797</v>
      </c>
      <c r="BI66" s="2">
        <v>306708</v>
      </c>
      <c r="BJ66" s="2">
        <v>312615</v>
      </c>
      <c r="BK66" s="2">
        <v>314804</v>
      </c>
      <c r="BL66" s="2">
        <v>319478</v>
      </c>
      <c r="BM66" s="2">
        <v>327346</v>
      </c>
      <c r="BN66" s="2">
        <v>331075</v>
      </c>
      <c r="BO66" s="2">
        <v>336442</v>
      </c>
      <c r="BP66" s="2">
        <v>338186</v>
      </c>
      <c r="BQ66" s="2">
        <v>342414</v>
      </c>
      <c r="BR66" s="2">
        <v>345162</v>
      </c>
      <c r="BS66" s="2">
        <v>346836</v>
      </c>
      <c r="BT66" s="2">
        <v>348997</v>
      </c>
      <c r="BU66" s="2">
        <v>349572</v>
      </c>
      <c r="BV66" s="2">
        <v>349523</v>
      </c>
      <c r="BW66" s="2">
        <v>351299</v>
      </c>
      <c r="BX66" s="2">
        <v>353663</v>
      </c>
      <c r="BY66" s="2">
        <v>349780</v>
      </c>
      <c r="BZ66" s="2">
        <v>348006</v>
      </c>
      <c r="CA66" s="2">
        <v>346292</v>
      </c>
      <c r="CB66" s="2">
        <v>345892</v>
      </c>
      <c r="CC66" s="2">
        <v>345216</v>
      </c>
      <c r="CD66" s="2">
        <v>345643</v>
      </c>
      <c r="CE66" s="2">
        <v>345523</v>
      </c>
      <c r="CF66" s="2">
        <v>344987</v>
      </c>
      <c r="CG66" s="2">
        <v>346628</v>
      </c>
      <c r="CH66" s="2">
        <v>349299</v>
      </c>
      <c r="CI66" s="2">
        <v>351046</v>
      </c>
      <c r="CJ66" s="2">
        <v>352612</v>
      </c>
      <c r="CK66" s="2">
        <v>355841</v>
      </c>
      <c r="CL66" s="2">
        <v>358264</v>
      </c>
      <c r="CM66" s="2">
        <v>361793</v>
      </c>
      <c r="CN66" s="2">
        <v>365109</v>
      </c>
      <c r="CO66" s="2">
        <v>368798</v>
      </c>
      <c r="CP66" s="2">
        <v>370401</v>
      </c>
      <c r="CQ66" s="2">
        <v>372307</v>
      </c>
      <c r="CR66" s="2">
        <v>373090</v>
      </c>
      <c r="CS66" s="2">
        <v>377249</v>
      </c>
      <c r="CT66" s="2">
        <v>378442</v>
      </c>
      <c r="CU66" s="2">
        <v>380976</v>
      </c>
      <c r="CV66" s="2">
        <v>382146</v>
      </c>
      <c r="CW66" s="2">
        <v>385671</v>
      </c>
      <c r="CX66" s="2">
        <v>391053</v>
      </c>
      <c r="CY66" s="2">
        <v>397303</v>
      </c>
      <c r="CZ66" s="2">
        <v>401790</v>
      </c>
      <c r="DA66" s="2">
        <v>405233</v>
      </c>
      <c r="DB66" s="2">
        <v>411352</v>
      </c>
      <c r="DC66" s="2">
        <v>414377</v>
      </c>
      <c r="DD66" s="2">
        <v>416909</v>
      </c>
      <c r="DE66" s="2">
        <v>418294</v>
      </c>
      <c r="DF66" s="2">
        <v>421074</v>
      </c>
      <c r="DG66" s="2">
        <v>423875</v>
      </c>
      <c r="DH66" s="2">
        <v>425920</v>
      </c>
      <c r="DI66" s="2">
        <v>432860</v>
      </c>
      <c r="DJ66" s="2">
        <v>439093</v>
      </c>
      <c r="DK66" s="2">
        <v>444540</v>
      </c>
      <c r="DL66" s="2">
        <v>447825</v>
      </c>
      <c r="DM66" s="2">
        <v>450688</v>
      </c>
      <c r="DN66" s="2">
        <v>453447</v>
      </c>
      <c r="DO66" s="2">
        <v>457680</v>
      </c>
      <c r="DP66" s="2">
        <v>459620</v>
      </c>
      <c r="DQ66" s="2">
        <v>462016</v>
      </c>
      <c r="DR66" s="2">
        <v>463404</v>
      </c>
      <c r="DS66" s="2">
        <v>464698</v>
      </c>
      <c r="DT66" s="2">
        <v>466935</v>
      </c>
      <c r="DU66" s="2">
        <v>470277</v>
      </c>
      <c r="DV66" s="2">
        <v>473899</v>
      </c>
      <c r="DW66" s="2">
        <v>477357</v>
      </c>
      <c r="DX66" s="2">
        <v>481552</v>
      </c>
      <c r="DY66" s="2">
        <v>485973</v>
      </c>
      <c r="DZ66" s="2">
        <v>490059</v>
      </c>
      <c r="EA66" s="2">
        <v>492014</v>
      </c>
      <c r="EB66" s="2">
        <v>494824</v>
      </c>
      <c r="EC66" s="2">
        <v>496642</v>
      </c>
      <c r="ED66" s="2">
        <v>499020</v>
      </c>
      <c r="EE66" s="2">
        <v>502702</v>
      </c>
      <c r="EF66" s="2">
        <v>506906</v>
      </c>
      <c r="EG66" s="2">
        <v>511132</v>
      </c>
      <c r="EH66" s="2">
        <v>515935</v>
      </c>
      <c r="EI66" s="2">
        <v>518495</v>
      </c>
      <c r="EJ66" s="2">
        <v>520318</v>
      </c>
      <c r="EK66" s="2">
        <v>521780</v>
      </c>
      <c r="EL66" s="2">
        <v>524569</v>
      </c>
      <c r="EM66" s="2">
        <v>529398</v>
      </c>
      <c r="EN66" s="2">
        <v>533187</v>
      </c>
      <c r="EO66" s="2">
        <v>537052</v>
      </c>
      <c r="EP66" s="2">
        <v>540258</v>
      </c>
      <c r="EQ66" s="2">
        <v>542804</v>
      </c>
      <c r="ER66" s="2">
        <v>539918</v>
      </c>
      <c r="ES66" s="2">
        <v>531619</v>
      </c>
      <c r="ET66" s="2">
        <v>520230</v>
      </c>
      <c r="EU66" s="2">
        <v>509646</v>
      </c>
      <c r="EV66" s="2">
        <v>508009</v>
      </c>
      <c r="EW66" s="2">
        <v>508398</v>
      </c>
      <c r="EX66" s="2">
        <v>509889</v>
      </c>
      <c r="EY66" s="2">
        <v>514595</v>
      </c>
      <c r="EZ66" s="2">
        <v>520128</v>
      </c>
      <c r="FA66" s="2">
        <v>523173</v>
      </c>
      <c r="FB66" s="2">
        <v>523515</v>
      </c>
      <c r="FC66" s="2">
        <v>524955</v>
      </c>
      <c r="FD66" s="2">
        <v>525418</v>
      </c>
      <c r="FE66" s="2">
        <v>527034</v>
      </c>
      <c r="FF66" s="2">
        <v>527698</v>
      </c>
      <c r="FG66" s="2">
        <v>532300</v>
      </c>
      <c r="FH66" s="2">
        <v>531663</v>
      </c>
      <c r="FI66" s="2">
        <v>536720</v>
      </c>
      <c r="FJ66" s="2">
        <v>536188</v>
      </c>
      <c r="FK66" s="2">
        <v>537974</v>
      </c>
      <c r="FL66" s="2">
        <v>541586</v>
      </c>
      <c r="FM66" s="2">
        <v>546064</v>
      </c>
      <c r="FN66" s="2">
        <v>549709</v>
      </c>
      <c r="FO66" s="2">
        <v>554183</v>
      </c>
      <c r="FP66" s="2">
        <v>559331</v>
      </c>
      <c r="FQ66" s="2">
        <v>563694</v>
      </c>
      <c r="FR66" s="2">
        <v>567619</v>
      </c>
      <c r="FS66" s="2">
        <v>569150</v>
      </c>
      <c r="FT66" s="2">
        <v>572673</v>
      </c>
      <c r="FU66" s="2">
        <v>574836</v>
      </c>
      <c r="FV66" s="2">
        <v>578068</v>
      </c>
      <c r="FW66" s="2">
        <v>580110</v>
      </c>
      <c r="FX66" s="2">
        <v>583383</v>
      </c>
      <c r="FY66" s="2">
        <v>585856</v>
      </c>
      <c r="FZ66" s="2">
        <v>589476</v>
      </c>
      <c r="GA66" s="2">
        <v>594423</v>
      </c>
      <c r="GB66" s="2">
        <v>598176</v>
      </c>
      <c r="GC66" s="2">
        <v>601961</v>
      </c>
      <c r="GD66" s="2">
        <v>606396</v>
      </c>
      <c r="GE66" s="2">
        <v>606785</v>
      </c>
      <c r="GF66" s="2">
        <v>607775</v>
      </c>
      <c r="GG66" s="2">
        <v>609653</v>
      </c>
      <c r="GH66" s="2">
        <v>610481</v>
      </c>
      <c r="GI66" s="2">
        <v>614936</v>
      </c>
      <c r="GJ66" s="2">
        <v>616853</v>
      </c>
      <c r="GK66" s="2">
        <v>621227</v>
      </c>
      <c r="GL66" s="2">
        <v>621229</v>
      </c>
      <c r="GM66" s="2">
        <v>604719</v>
      </c>
      <c r="GN66" s="2">
        <v>481769</v>
      </c>
      <c r="GO66" s="2">
        <v>562648</v>
      </c>
      <c r="GP66" s="2">
        <v>570338</v>
      </c>
      <c r="GQ66" s="2">
        <v>564411</v>
      </c>
      <c r="GR66" s="2">
        <v>605353</v>
      </c>
      <c r="GS66" s="2">
        <v>615459</v>
      </c>
      <c r="GT66" s="2">
        <v>624592</v>
      </c>
      <c r="GU66" s="2">
        <v>629149</v>
      </c>
      <c r="GV66" s="2">
        <v>631258</v>
      </c>
      <c r="GW66" s="2">
        <v>631977</v>
      </c>
      <c r="GX66" s="2">
        <v>634044</v>
      </c>
      <c r="GY66" s="2">
        <v>634807</v>
      </c>
      <c r="GZ66" s="2">
        <v>634866</v>
      </c>
      <c r="HA66" s="2">
        <v>634052</v>
      </c>
      <c r="HB66" s="2">
        <v>632365</v>
      </c>
      <c r="HC66" s="2">
        <v>637023</v>
      </c>
      <c r="HD66" s="2">
        <v>639269</v>
      </c>
      <c r="HE66" s="2">
        <v>639452</v>
      </c>
      <c r="HF66" s="3">
        <v>640033.9</v>
      </c>
      <c r="HG66" s="3">
        <v>642502.80000000005</v>
      </c>
      <c r="HH66" s="3">
        <v>644937.6</v>
      </c>
      <c r="HI66" s="3">
        <v>647364.9</v>
      </c>
      <c r="HJ66" s="3">
        <v>649965.9</v>
      </c>
      <c r="HK66" s="3">
        <v>652793.59999999998</v>
      </c>
      <c r="HL66" s="3">
        <v>655438.30000000005</v>
      </c>
      <c r="HM66" s="3">
        <v>658256.80000000005</v>
      </c>
      <c r="HN66" s="3">
        <v>661119.80000000005</v>
      </c>
      <c r="HO66" s="3">
        <v>664028.9</v>
      </c>
      <c r="HP66" s="3">
        <v>667017.30000000005</v>
      </c>
      <c r="HQ66" s="3">
        <v>669985.4</v>
      </c>
      <c r="HR66" s="3">
        <v>672866.2</v>
      </c>
      <c r="HS66" s="3">
        <v>675692.3</v>
      </c>
      <c r="HT66" s="3">
        <v>678563.9</v>
      </c>
      <c r="HU66" s="3">
        <v>681379.9</v>
      </c>
      <c r="HV66" s="3">
        <v>684207.7</v>
      </c>
      <c r="HW66" s="3">
        <v>686978.8</v>
      </c>
      <c r="HX66" s="3">
        <v>689692.3</v>
      </c>
      <c r="HY66" s="3">
        <v>692382.1</v>
      </c>
      <c r="HZ66" s="3">
        <v>695151.6</v>
      </c>
      <c r="IA66" s="3">
        <v>697932.3</v>
      </c>
      <c r="IB66" s="3">
        <v>700723.9</v>
      </c>
      <c r="IC66" s="3">
        <v>703526.9</v>
      </c>
      <c r="ID66" s="3">
        <v>706340.9</v>
      </c>
      <c r="IE66" s="3">
        <v>709166.3</v>
      </c>
      <c r="IF66" s="3">
        <v>712003</v>
      </c>
      <c r="IG66" s="3">
        <v>714815.4</v>
      </c>
      <c r="IH66" s="3">
        <v>717603.2</v>
      </c>
      <c r="II66" s="3">
        <v>720401.8</v>
      </c>
      <c r="IJ66" s="3">
        <v>723211.4</v>
      </c>
      <c r="IK66" s="3">
        <v>726104.3</v>
      </c>
      <c r="IL66" s="3">
        <v>728936.1</v>
      </c>
      <c r="IM66" s="3">
        <v>731901.3</v>
      </c>
      <c r="IN66" s="3">
        <v>734844.9</v>
      </c>
      <c r="IO66" s="3">
        <v>737737.9</v>
      </c>
      <c r="IP66" s="3">
        <v>740574.7</v>
      </c>
      <c r="IQ66" s="3">
        <v>743531.7</v>
      </c>
      <c r="IR66" s="3">
        <v>746379.2</v>
      </c>
      <c r="IS66" s="3">
        <v>749194.3</v>
      </c>
      <c r="IT66" s="3">
        <v>751947.3</v>
      </c>
      <c r="IU66" s="3">
        <v>754776.3</v>
      </c>
      <c r="IV66" s="3">
        <v>757614.1</v>
      </c>
      <c r="IW66" s="3">
        <v>760460.3</v>
      </c>
      <c r="IX66" s="3">
        <v>763314.9</v>
      </c>
      <c r="IY66" s="3">
        <v>766244.2</v>
      </c>
      <c r="IZ66" s="3">
        <v>769185.3</v>
      </c>
      <c r="JA66" s="3">
        <v>772138.3</v>
      </c>
      <c r="JB66" s="3">
        <v>775103.1</v>
      </c>
      <c r="JC66" s="3">
        <v>778079.6</v>
      </c>
      <c r="JD66" s="3">
        <v>781068</v>
      </c>
      <c r="JE66" s="3">
        <v>784068.4</v>
      </c>
      <c r="JF66" s="3">
        <v>787080.8</v>
      </c>
      <c r="JG66" s="3">
        <v>790170.8</v>
      </c>
      <c r="JH66" s="3">
        <v>793273.8</v>
      </c>
      <c r="JI66" s="3">
        <v>796390.5</v>
      </c>
      <c r="JJ66" s="3">
        <v>799521</v>
      </c>
      <c r="JK66" s="3">
        <v>802665.1</v>
      </c>
      <c r="JL66" s="3">
        <v>805822.9</v>
      </c>
      <c r="JM66" s="3">
        <v>808994.8</v>
      </c>
      <c r="JN66" s="3">
        <v>812180.8</v>
      </c>
      <c r="JO66" s="3">
        <v>815380.7</v>
      </c>
      <c r="JP66" s="3">
        <v>818593.1</v>
      </c>
      <c r="JQ66" s="3">
        <v>821818.4</v>
      </c>
      <c r="JR66" s="3">
        <v>825056.4</v>
      </c>
      <c r="JS66" s="3">
        <v>828208.4</v>
      </c>
      <c r="JT66" s="3">
        <v>831371.5</v>
      </c>
      <c r="JU66" s="3">
        <v>834545.9</v>
      </c>
      <c r="JV66" s="3">
        <v>837731.4</v>
      </c>
      <c r="JW66" s="3">
        <v>840928.2</v>
      </c>
      <c r="JX66" s="3">
        <v>844136.1</v>
      </c>
      <c r="JY66" s="3">
        <v>847355</v>
      </c>
      <c r="JZ66" s="3">
        <v>850585.2</v>
      </c>
      <c r="KA66" s="3">
        <v>853826.3</v>
      </c>
      <c r="KB66" s="3">
        <v>857078.4</v>
      </c>
      <c r="KC66" s="3">
        <v>860341.3</v>
      </c>
      <c r="KD66" s="3">
        <v>863614.9</v>
      </c>
      <c r="KE66" s="3">
        <v>866898.9</v>
      </c>
      <c r="KF66" s="3">
        <v>870193.7</v>
      </c>
      <c r="KG66" s="3">
        <v>873498.9</v>
      </c>
      <c r="KH66" s="3">
        <v>876814.7</v>
      </c>
      <c r="KI66" s="3">
        <v>880141.1</v>
      </c>
      <c r="KJ66" s="3">
        <v>883478</v>
      </c>
      <c r="KK66" s="3">
        <v>886825.5</v>
      </c>
      <c r="KL66" s="3">
        <v>890183.8</v>
      </c>
      <c r="KM66" s="3">
        <v>893552.5</v>
      </c>
      <c r="KN66" s="3">
        <v>896931.9</v>
      </c>
      <c r="KO66" s="3">
        <v>900322.1</v>
      </c>
      <c r="KP66" s="3">
        <v>903722.9</v>
      </c>
      <c r="KQ66" s="3">
        <v>907134.7</v>
      </c>
      <c r="KR66" s="3">
        <v>910557</v>
      </c>
      <c r="KS66" s="3">
        <v>913990.3</v>
      </c>
      <c r="KT66" s="3">
        <v>917434.6</v>
      </c>
      <c r="KU66" s="3">
        <v>920889.9</v>
      </c>
      <c r="KV66" s="3">
        <v>924356</v>
      </c>
      <c r="KW66" s="3">
        <v>927833.2</v>
      </c>
      <c r="KX66" s="3">
        <v>931321.1</v>
      </c>
      <c r="KY66" s="3">
        <v>934819.9</v>
      </c>
      <c r="KZ66" s="3">
        <v>938329.7</v>
      </c>
      <c r="LA66" s="3">
        <v>941850.2</v>
      </c>
      <c r="LB66" s="3">
        <v>945381.4</v>
      </c>
      <c r="LC66" s="3">
        <v>948923.3</v>
      </c>
      <c r="LD66" s="3">
        <v>952475.1</v>
      </c>
      <c r="LE66" s="3">
        <v>956036.4</v>
      </c>
      <c r="LF66" s="3">
        <v>959607.7</v>
      </c>
      <c r="LG66" s="3">
        <v>962957.7</v>
      </c>
      <c r="LH66" s="3">
        <v>966314.7</v>
      </c>
      <c r="LI66" s="3">
        <v>969639.3</v>
      </c>
      <c r="LJ66" s="3">
        <v>972970.3</v>
      </c>
      <c r="LK66" s="3">
        <v>976307.6</v>
      </c>
      <c r="LL66" s="3">
        <v>979651.6</v>
      </c>
      <c r="LM66" s="3">
        <v>982932.4</v>
      </c>
      <c r="LN66" s="3">
        <v>986218.1</v>
      </c>
      <c r="LO66" s="3">
        <v>989509</v>
      </c>
      <c r="LP66" s="3">
        <v>992804.9</v>
      </c>
      <c r="LQ66" s="3">
        <v>996107</v>
      </c>
      <c r="LR66" s="3">
        <v>999414.4</v>
      </c>
      <c r="LS66" s="3">
        <v>1002727</v>
      </c>
      <c r="LT66" s="3">
        <v>1006045</v>
      </c>
      <c r="LU66" s="3">
        <v>1009335</v>
      </c>
      <c r="LV66" s="3">
        <v>1012630</v>
      </c>
      <c r="LW66" s="3">
        <v>1015929</v>
      </c>
      <c r="LX66" s="3">
        <v>1019232</v>
      </c>
      <c r="LY66" s="3">
        <v>1022514</v>
      </c>
      <c r="LZ66" s="3">
        <v>1025800</v>
      </c>
      <c r="MA66" s="3">
        <v>1029089</v>
      </c>
      <c r="MB66" s="3">
        <v>1032383</v>
      </c>
      <c r="MC66" s="3">
        <v>1035683</v>
      </c>
      <c r="MD66" s="3">
        <v>1038987</v>
      </c>
      <c r="ME66" s="3">
        <v>1042296</v>
      </c>
      <c r="MF66" s="3">
        <v>1045609</v>
      </c>
      <c r="MG66" s="3">
        <v>1048961</v>
      </c>
      <c r="MH66" s="3">
        <v>1052318</v>
      </c>
      <c r="MI66" s="3">
        <v>1055681</v>
      </c>
      <c r="MJ66" s="3">
        <v>1059049</v>
      </c>
      <c r="MK66" s="3">
        <v>1062412</v>
      </c>
      <c r="ML66" s="3">
        <v>1065780</v>
      </c>
      <c r="MM66" s="3">
        <v>1069154</v>
      </c>
      <c r="MN66" s="3">
        <v>1072533</v>
      </c>
      <c r="MO66" s="3">
        <v>1075953</v>
      </c>
      <c r="MP66" s="3">
        <v>1079379</v>
      </c>
      <c r="MQ66" s="3">
        <v>1082811</v>
      </c>
      <c r="MR66" s="3">
        <v>1086249</v>
      </c>
      <c r="MS66" s="3">
        <v>1089692</v>
      </c>
      <c r="MT66" s="3">
        <v>1093142</v>
      </c>
      <c r="MU66" t="s">
        <v>375</v>
      </c>
      <c r="MV66" t="b">
        <v>1</v>
      </c>
      <c r="MW66" s="1" t="s">
        <v>376</v>
      </c>
      <c r="MX66" t="s">
        <v>377</v>
      </c>
      <c r="MY66">
        <v>2024</v>
      </c>
      <c r="MZ66">
        <v>3</v>
      </c>
      <c r="NA66" t="s">
        <v>377</v>
      </c>
      <c r="NB66" t="s">
        <v>378</v>
      </c>
      <c r="NC66" s="1" t="s">
        <v>379</v>
      </c>
      <c r="ND66" t="s">
        <v>380</v>
      </c>
      <c r="NE66" t="s">
        <v>381</v>
      </c>
      <c r="NF66" s="1" t="s">
        <v>528</v>
      </c>
    </row>
    <row r="67" spans="1:370" x14ac:dyDescent="0.25">
      <c r="A67" t="s">
        <v>382</v>
      </c>
      <c r="B67" t="s">
        <v>371</v>
      </c>
      <c r="C67" s="1" t="s">
        <v>527</v>
      </c>
      <c r="D67" t="s">
        <v>383</v>
      </c>
      <c r="E67" t="s">
        <v>384</v>
      </c>
      <c r="F67" t="s">
        <v>374</v>
      </c>
      <c r="G67" s="2">
        <v>1514.625</v>
      </c>
      <c r="H67" s="2">
        <v>1531.125</v>
      </c>
      <c r="I67" s="2">
        <v>1523.075</v>
      </c>
      <c r="J67" s="2">
        <v>1537.5250000000001</v>
      </c>
      <c r="K67" s="2">
        <v>1524.325</v>
      </c>
      <c r="L67" s="2">
        <v>1527.95</v>
      </c>
      <c r="M67" s="2">
        <v>1513.5</v>
      </c>
      <c r="N67" s="2">
        <v>1507.625</v>
      </c>
      <c r="O67" s="2">
        <v>1489.25</v>
      </c>
      <c r="P67" s="2">
        <v>1499.9</v>
      </c>
      <c r="Q67" s="2">
        <v>1525.575</v>
      </c>
      <c r="R67" s="2">
        <v>1546.125</v>
      </c>
      <c r="S67" s="2">
        <v>1580.9</v>
      </c>
      <c r="T67" s="2">
        <v>1592.5</v>
      </c>
      <c r="U67" s="2">
        <v>1601.2249999999999</v>
      </c>
      <c r="V67" s="2">
        <v>1612.8</v>
      </c>
      <c r="W67" s="2">
        <v>1631.925</v>
      </c>
      <c r="X67" s="2">
        <v>1663.625</v>
      </c>
      <c r="Y67" s="2">
        <v>1693.625</v>
      </c>
      <c r="Z67" s="2">
        <v>1693.65</v>
      </c>
      <c r="AA67" s="2">
        <v>1699.075</v>
      </c>
      <c r="AB67" s="2">
        <v>1764.7249999999999</v>
      </c>
      <c r="AC67" s="2">
        <v>1782.4749999999999</v>
      </c>
      <c r="AD67" s="2">
        <v>1806.45</v>
      </c>
      <c r="AE67" s="2">
        <v>1809.675</v>
      </c>
      <c r="AF67" s="2">
        <v>1811.625</v>
      </c>
      <c r="AG67" s="2">
        <v>1825.075</v>
      </c>
      <c r="AH67" s="2">
        <v>1829.625</v>
      </c>
      <c r="AI67" s="2">
        <v>1835.4</v>
      </c>
      <c r="AJ67" s="2">
        <v>1797.575</v>
      </c>
      <c r="AK67" s="2">
        <v>1795.425</v>
      </c>
      <c r="AL67" s="2">
        <v>1828.925</v>
      </c>
      <c r="AM67" s="2">
        <v>1864.75</v>
      </c>
      <c r="AN67" s="2">
        <v>1850.925</v>
      </c>
      <c r="AO67" s="2">
        <v>1873.1</v>
      </c>
      <c r="AP67" s="2">
        <v>1852.7</v>
      </c>
      <c r="AQ67" s="2">
        <v>1823.9</v>
      </c>
      <c r="AR67" s="2">
        <v>1832.2249999999999</v>
      </c>
      <c r="AS67" s="2">
        <v>1825.2249999999999</v>
      </c>
      <c r="AT67" s="2">
        <v>1825.95</v>
      </c>
      <c r="AU67" s="2">
        <v>1850.0250000000001</v>
      </c>
      <c r="AV67" s="2">
        <v>1892.125</v>
      </c>
      <c r="AW67" s="2">
        <v>1929.925</v>
      </c>
      <c r="AX67" s="2">
        <v>1970.2</v>
      </c>
      <c r="AY67" s="2">
        <v>2008.7</v>
      </c>
      <c r="AZ67" s="2">
        <v>2043.425</v>
      </c>
      <c r="BA67" s="2">
        <v>2063.125</v>
      </c>
      <c r="BB67" s="2">
        <v>2080.0500000000002</v>
      </c>
      <c r="BC67" s="2">
        <v>2100.1999999999998</v>
      </c>
      <c r="BD67" s="2">
        <v>2118.6999999999998</v>
      </c>
      <c r="BE67" s="2">
        <v>2151.0500000000002</v>
      </c>
      <c r="BF67" s="2">
        <v>2167.0500000000002</v>
      </c>
      <c r="BG67" s="2">
        <v>2187.2750000000001</v>
      </c>
      <c r="BH67" s="2">
        <v>2197.125</v>
      </c>
      <c r="BI67" s="2">
        <v>2218.15</v>
      </c>
      <c r="BJ67" s="2">
        <v>2230.0500000000002</v>
      </c>
      <c r="BK67" s="2">
        <v>2246.6</v>
      </c>
      <c r="BL67" s="2">
        <v>2270.8249999999998</v>
      </c>
      <c r="BM67" s="2">
        <v>2290.5</v>
      </c>
      <c r="BN67" s="2">
        <v>2329.8249999999998</v>
      </c>
      <c r="BO67" s="2">
        <v>2341.875</v>
      </c>
      <c r="BP67" s="2">
        <v>2372.65</v>
      </c>
      <c r="BQ67" s="2">
        <v>2386.5500000000002</v>
      </c>
      <c r="BR67" s="2">
        <v>2418.35</v>
      </c>
      <c r="BS67" s="2">
        <v>2442.9250000000002</v>
      </c>
      <c r="BT67" s="2">
        <v>2461.5749999999998</v>
      </c>
      <c r="BU67" s="2">
        <v>2479.8000000000002</v>
      </c>
      <c r="BV67" s="2">
        <v>2484.6999999999998</v>
      </c>
      <c r="BW67" s="2">
        <v>2511.85</v>
      </c>
      <c r="BX67" s="2">
        <v>2520.9749999999999</v>
      </c>
      <c r="BY67" s="2">
        <v>2522.65</v>
      </c>
      <c r="BZ67" s="2">
        <v>2499.6750000000002</v>
      </c>
      <c r="CA67" s="2">
        <v>2487.9749999999999</v>
      </c>
      <c r="CB67" s="2">
        <v>2507.375</v>
      </c>
      <c r="CC67" s="2">
        <v>2520.0500000000002</v>
      </c>
      <c r="CD67" s="2">
        <v>2528.8249999999998</v>
      </c>
      <c r="CE67" s="2">
        <v>2559.1</v>
      </c>
      <c r="CF67" s="2">
        <v>2586.85</v>
      </c>
      <c r="CG67" s="2">
        <v>2612.4250000000002</v>
      </c>
      <c r="CH67" s="2">
        <v>2639.65</v>
      </c>
      <c r="CI67" s="2">
        <v>2644.0749999999998</v>
      </c>
      <c r="CJ67" s="2">
        <v>2659.45</v>
      </c>
      <c r="CK67" s="2">
        <v>2672.15</v>
      </c>
      <c r="CL67" s="2">
        <v>2708.5</v>
      </c>
      <c r="CM67" s="2">
        <v>2734.7750000000001</v>
      </c>
      <c r="CN67" s="2">
        <v>2771.85</v>
      </c>
      <c r="CO67" s="2">
        <v>2788.05</v>
      </c>
      <c r="CP67" s="2">
        <v>2819.9749999999999</v>
      </c>
      <c r="CQ67" s="2">
        <v>2830</v>
      </c>
      <c r="CR67" s="2">
        <v>2838.4250000000002</v>
      </c>
      <c r="CS67" s="2">
        <v>2862.5749999999998</v>
      </c>
      <c r="CT67" s="2">
        <v>2882.0250000000001</v>
      </c>
      <c r="CU67" s="2">
        <v>2903.6</v>
      </c>
      <c r="CV67" s="2">
        <v>2952.0250000000001</v>
      </c>
      <c r="CW67" s="2">
        <v>2978.5250000000001</v>
      </c>
      <c r="CX67" s="2">
        <v>3009.45</v>
      </c>
      <c r="CY67" s="2">
        <v>3028.875</v>
      </c>
      <c r="CZ67" s="2">
        <v>3079.3</v>
      </c>
      <c r="DA67" s="2">
        <v>3117.75</v>
      </c>
      <c r="DB67" s="2">
        <v>3144.375</v>
      </c>
      <c r="DC67" s="2">
        <v>3175.9250000000002</v>
      </c>
      <c r="DD67" s="2">
        <v>3205.3249999999998</v>
      </c>
      <c r="DE67" s="2">
        <v>3245.7</v>
      </c>
      <c r="DF67" s="2">
        <v>3297.9250000000002</v>
      </c>
      <c r="DG67" s="2">
        <v>3328.9</v>
      </c>
      <c r="DH67" s="2">
        <v>3356.6750000000002</v>
      </c>
      <c r="DI67" s="2">
        <v>3401.2</v>
      </c>
      <c r="DJ67" s="2">
        <v>3457</v>
      </c>
      <c r="DK67" s="2">
        <v>3469.5250000000001</v>
      </c>
      <c r="DL67" s="2">
        <v>3532.7249999999999</v>
      </c>
      <c r="DM67" s="2">
        <v>3536.3249999999998</v>
      </c>
      <c r="DN67" s="2">
        <v>3557.45</v>
      </c>
      <c r="DO67" s="2">
        <v>3545.7750000000001</v>
      </c>
      <c r="DP67" s="2">
        <v>3567.9250000000002</v>
      </c>
      <c r="DQ67" s="2">
        <v>3553.625</v>
      </c>
      <c r="DR67" s="2">
        <v>3563.4</v>
      </c>
      <c r="DS67" s="2">
        <v>3593.2</v>
      </c>
      <c r="DT67" s="2">
        <v>3615.2</v>
      </c>
      <c r="DU67" s="2">
        <v>3629.9</v>
      </c>
      <c r="DV67" s="2">
        <v>3634.4</v>
      </c>
      <c r="DW67" s="2">
        <v>3653.5250000000001</v>
      </c>
      <c r="DX67" s="2">
        <v>3685.9</v>
      </c>
      <c r="DY67" s="2">
        <v>3747.2</v>
      </c>
      <c r="DZ67" s="2">
        <v>3790.7</v>
      </c>
      <c r="EA67" s="2">
        <v>3812.1750000000002</v>
      </c>
      <c r="EB67" s="2">
        <v>3841.7249999999999</v>
      </c>
      <c r="EC67" s="2">
        <v>3878.15</v>
      </c>
      <c r="ED67" s="2">
        <v>3917.7249999999999</v>
      </c>
      <c r="EE67" s="2">
        <v>3961.1750000000002</v>
      </c>
      <c r="EF67" s="2">
        <v>3980.7</v>
      </c>
      <c r="EG67" s="2">
        <v>4011.9</v>
      </c>
      <c r="EH67" s="2">
        <v>4034.1750000000002</v>
      </c>
      <c r="EI67" s="2">
        <v>4088.45</v>
      </c>
      <c r="EJ67" s="2">
        <v>4099.05</v>
      </c>
      <c r="EK67" s="2">
        <v>4105.1750000000002</v>
      </c>
      <c r="EL67" s="2">
        <v>4140.4750000000004</v>
      </c>
      <c r="EM67" s="2">
        <v>4152.9250000000002</v>
      </c>
      <c r="EN67" s="2">
        <v>4178.3249999999998</v>
      </c>
      <c r="EO67" s="2">
        <v>4202.3999999999996</v>
      </c>
      <c r="EP67" s="2">
        <v>4228.8</v>
      </c>
      <c r="EQ67" s="2">
        <v>4210.75</v>
      </c>
      <c r="ER67" s="2">
        <v>4235.8249999999998</v>
      </c>
      <c r="ES67" s="2">
        <v>4213.5749999999998</v>
      </c>
      <c r="ET67" s="2">
        <v>4121.3500000000004</v>
      </c>
      <c r="EU67" s="2">
        <v>4074.5749999999998</v>
      </c>
      <c r="EV67" s="2">
        <v>4067.2750000000001</v>
      </c>
      <c r="EW67" s="2">
        <v>4081.5749999999998</v>
      </c>
      <c r="EX67" s="2">
        <v>4125.7</v>
      </c>
      <c r="EY67" s="2">
        <v>4145.6750000000002</v>
      </c>
      <c r="EZ67" s="2">
        <v>4185.8</v>
      </c>
      <c r="FA67" s="2">
        <v>4218.0749999999998</v>
      </c>
      <c r="FB67" s="2">
        <v>4240.2250000000004</v>
      </c>
      <c r="FC67" s="2">
        <v>4230.1499999999996</v>
      </c>
      <c r="FD67" s="2">
        <v>4258.7749999999996</v>
      </c>
      <c r="FE67" s="2">
        <v>4257.8249999999998</v>
      </c>
      <c r="FF67" s="2">
        <v>4305.6499999999996</v>
      </c>
      <c r="FG67" s="2">
        <v>4341.75</v>
      </c>
      <c r="FH67" s="2">
        <v>4361.125</v>
      </c>
      <c r="FI67" s="2">
        <v>4367.4250000000002</v>
      </c>
      <c r="FJ67" s="2">
        <v>4372.4750000000004</v>
      </c>
      <c r="FK67" s="2">
        <v>4415.6000000000004</v>
      </c>
      <c r="FL67" s="2">
        <v>4427.4250000000002</v>
      </c>
      <c r="FM67" s="2">
        <v>4465.125</v>
      </c>
      <c r="FN67" s="2">
        <v>4504.0249999999996</v>
      </c>
      <c r="FO67" s="2">
        <v>4488.5</v>
      </c>
      <c r="FP67" s="2">
        <v>4546.4750000000004</v>
      </c>
      <c r="FQ67" s="2">
        <v>4601.7250000000004</v>
      </c>
      <c r="FR67" s="2">
        <v>4625</v>
      </c>
      <c r="FS67" s="2">
        <v>4666.6499999999996</v>
      </c>
      <c r="FT67" s="2">
        <v>4695.55</v>
      </c>
      <c r="FU67" s="2">
        <v>4714.3500000000004</v>
      </c>
      <c r="FV67" s="2">
        <v>4723.05</v>
      </c>
      <c r="FW67" s="2">
        <v>4750.4250000000002</v>
      </c>
      <c r="FX67" s="2">
        <v>4765.6750000000002</v>
      </c>
      <c r="FY67" s="2">
        <v>4799.4750000000004</v>
      </c>
      <c r="FZ67" s="2">
        <v>4826.1000000000004</v>
      </c>
      <c r="GA67" s="2">
        <v>4849.5749999999998</v>
      </c>
      <c r="GB67" s="2">
        <v>4876.7250000000004</v>
      </c>
      <c r="GC67" s="2">
        <v>4915.2</v>
      </c>
      <c r="GD67" s="2">
        <v>4970.6000000000004</v>
      </c>
      <c r="GE67" s="2">
        <v>5011.0249999999996</v>
      </c>
      <c r="GF67" s="2">
        <v>5037.625</v>
      </c>
      <c r="GG67" s="2">
        <v>5069.05</v>
      </c>
      <c r="GH67" s="2">
        <v>5076.2250000000004</v>
      </c>
      <c r="GI67" s="2">
        <v>5107.8999999999996</v>
      </c>
      <c r="GJ67" s="2">
        <v>5150.5749999999998</v>
      </c>
      <c r="GK67" s="2">
        <v>5210.8249999999998</v>
      </c>
      <c r="GL67" s="2">
        <v>5246.35</v>
      </c>
      <c r="GM67" s="2">
        <v>5173.3</v>
      </c>
      <c r="GN67" s="2">
        <v>4764.1499999999996</v>
      </c>
      <c r="GO67" s="2">
        <v>5137.2</v>
      </c>
      <c r="GP67" s="2">
        <v>5192.9250000000002</v>
      </c>
      <c r="GQ67" s="2">
        <v>5264.6</v>
      </c>
      <c r="GR67" s="2">
        <v>5347.25</v>
      </c>
      <c r="GS67" s="2">
        <v>5392.85</v>
      </c>
      <c r="GT67" s="2">
        <v>5490.1</v>
      </c>
      <c r="GU67" s="2">
        <v>5475.9750000000004</v>
      </c>
      <c r="GV67" s="2">
        <v>5479.8</v>
      </c>
      <c r="GW67" s="2">
        <v>5516.7</v>
      </c>
      <c r="GX67" s="2">
        <v>5562.375</v>
      </c>
      <c r="GY67" s="2">
        <v>5600.85</v>
      </c>
      <c r="GZ67" s="2">
        <v>5634.85</v>
      </c>
      <c r="HA67" s="2">
        <v>5695.2250000000004</v>
      </c>
      <c r="HB67" s="2">
        <v>5740.15</v>
      </c>
      <c r="HC67" s="2">
        <v>5763.375</v>
      </c>
      <c r="HD67" s="2">
        <v>5805.9750000000004</v>
      </c>
      <c r="HE67" s="2">
        <v>5850.0749999999998</v>
      </c>
      <c r="HF67" s="3">
        <v>5886.3540000000003</v>
      </c>
      <c r="HG67" s="3">
        <v>5921.518</v>
      </c>
      <c r="HH67" s="3">
        <v>5958.52</v>
      </c>
      <c r="HI67" s="3">
        <v>5996.6729999999998</v>
      </c>
      <c r="HJ67" s="3">
        <v>6037.2330000000002</v>
      </c>
      <c r="HK67" s="3">
        <v>6079.2039999999997</v>
      </c>
      <c r="HL67" s="3">
        <v>6121.4380000000001</v>
      </c>
      <c r="HM67" s="3">
        <v>6163.68</v>
      </c>
      <c r="HN67" s="3">
        <v>6205.8360000000002</v>
      </c>
      <c r="HO67" s="3">
        <v>6247.4</v>
      </c>
      <c r="HP67" s="3">
        <v>6287.9070000000002</v>
      </c>
      <c r="HQ67" s="3">
        <v>6326.2560000000003</v>
      </c>
      <c r="HR67" s="3">
        <v>6359.8860000000004</v>
      </c>
      <c r="HS67" s="3">
        <v>6384.8770000000004</v>
      </c>
      <c r="HT67" s="3">
        <v>6409.2079999999996</v>
      </c>
      <c r="HU67" s="3">
        <v>6435.5950000000003</v>
      </c>
      <c r="HV67" s="3">
        <v>6464.1390000000001</v>
      </c>
      <c r="HW67" s="3">
        <v>6494.1760000000004</v>
      </c>
      <c r="HX67" s="3">
        <v>6525.2139999999999</v>
      </c>
      <c r="HY67" s="3">
        <v>6556.6869999999999</v>
      </c>
      <c r="HZ67" s="3">
        <v>6588.2349999999997</v>
      </c>
      <c r="IA67" s="3">
        <v>6619.7219999999998</v>
      </c>
      <c r="IB67" s="3">
        <v>6650.9840000000004</v>
      </c>
      <c r="IC67" s="3">
        <v>6682.0739999999996</v>
      </c>
      <c r="ID67" s="3">
        <v>6712.9350000000004</v>
      </c>
      <c r="IE67" s="3">
        <v>6743.6440000000002</v>
      </c>
      <c r="IF67" s="3">
        <v>6774.3540000000003</v>
      </c>
      <c r="IG67" s="3">
        <v>6805.1540000000005</v>
      </c>
      <c r="IH67" s="3">
        <v>6836.0940000000001</v>
      </c>
      <c r="II67" s="3">
        <v>6867.1940000000004</v>
      </c>
      <c r="IJ67" s="3">
        <v>6898.46</v>
      </c>
      <c r="IK67" s="3">
        <v>6929.9170000000004</v>
      </c>
      <c r="IL67" s="3">
        <v>6961.5150000000003</v>
      </c>
      <c r="IM67" s="3">
        <v>6993.2259999999997</v>
      </c>
      <c r="IN67" s="3">
        <v>7025.0190000000002</v>
      </c>
      <c r="IO67" s="3">
        <v>7056.884</v>
      </c>
      <c r="IP67" s="3">
        <v>7088.8440000000001</v>
      </c>
      <c r="IQ67" s="3">
        <v>7120.893</v>
      </c>
      <c r="IR67" s="3">
        <v>7153.03</v>
      </c>
      <c r="IS67" s="3">
        <v>7185.2179999999998</v>
      </c>
      <c r="IT67" s="3">
        <v>7217.53</v>
      </c>
      <c r="IU67" s="3">
        <v>7249.9269999999997</v>
      </c>
      <c r="IV67" s="3">
        <v>7282.4120000000003</v>
      </c>
      <c r="IW67" s="3">
        <v>7314.9840000000004</v>
      </c>
      <c r="IX67" s="3">
        <v>7347.6970000000001</v>
      </c>
      <c r="IY67" s="3">
        <v>7380.5789999999997</v>
      </c>
      <c r="IZ67" s="3">
        <v>7413.7479999999996</v>
      </c>
      <c r="JA67" s="3">
        <v>7446.875</v>
      </c>
      <c r="JB67" s="3">
        <v>7480.0249999999996</v>
      </c>
      <c r="JC67" s="3">
        <v>7513.19</v>
      </c>
      <c r="JD67" s="3">
        <v>7546.4030000000002</v>
      </c>
      <c r="JE67" s="3">
        <v>7579.79</v>
      </c>
      <c r="JF67" s="3">
        <v>7613.0379999999996</v>
      </c>
      <c r="JG67" s="3">
        <v>7646.3770000000004</v>
      </c>
      <c r="JH67" s="3">
        <v>7679.7629999999999</v>
      </c>
      <c r="JI67" s="3">
        <v>7713.2659999999996</v>
      </c>
      <c r="JJ67" s="3">
        <v>7746.8220000000001</v>
      </c>
      <c r="JK67" s="3">
        <v>7780.5</v>
      </c>
      <c r="JL67" s="3">
        <v>7814.259</v>
      </c>
      <c r="JM67" s="3">
        <v>7847.91</v>
      </c>
      <c r="JN67" s="3">
        <v>7881.7640000000001</v>
      </c>
      <c r="JO67" s="3">
        <v>7915.665</v>
      </c>
      <c r="JP67" s="3">
        <v>7949.6040000000003</v>
      </c>
      <c r="JQ67" s="3">
        <v>7983.567</v>
      </c>
      <c r="JR67" s="3">
        <v>8017.6310000000003</v>
      </c>
      <c r="JS67" s="3">
        <v>8051.8090000000002</v>
      </c>
      <c r="JT67" s="3">
        <v>8086.0360000000001</v>
      </c>
      <c r="JU67" s="3">
        <v>8120.3940000000002</v>
      </c>
      <c r="JV67" s="3">
        <v>8154.8280000000004</v>
      </c>
      <c r="JW67" s="3">
        <v>8189.3249999999998</v>
      </c>
      <c r="JX67" s="3">
        <v>8223.9089999999997</v>
      </c>
      <c r="JY67" s="3">
        <v>8258.5540000000001</v>
      </c>
      <c r="JZ67" s="3">
        <v>8293.3029999999999</v>
      </c>
      <c r="KA67" s="3">
        <v>8328.24</v>
      </c>
      <c r="KB67" s="3">
        <v>8363.2980000000007</v>
      </c>
      <c r="KC67" s="3">
        <v>8398.4</v>
      </c>
      <c r="KD67" s="3">
        <v>8433.6620000000003</v>
      </c>
      <c r="KE67" s="3">
        <v>8469.0210000000006</v>
      </c>
      <c r="KF67" s="3">
        <v>8504.4030000000002</v>
      </c>
      <c r="KG67" s="3">
        <v>8539.8960000000006</v>
      </c>
      <c r="KH67" s="3">
        <v>8575.509</v>
      </c>
      <c r="KI67" s="3">
        <v>8611.0840000000007</v>
      </c>
      <c r="KJ67" s="3">
        <v>8646.7800000000007</v>
      </c>
      <c r="KK67" s="3">
        <v>8682.4549999999999</v>
      </c>
      <c r="KL67" s="3">
        <v>8718.2909999999993</v>
      </c>
      <c r="KM67" s="3">
        <v>8754.2379999999994</v>
      </c>
      <c r="KN67" s="3">
        <v>8790.2139999999999</v>
      </c>
      <c r="KO67" s="3">
        <v>8826.2340000000004</v>
      </c>
      <c r="KP67" s="3">
        <v>8862.4560000000001</v>
      </c>
      <c r="KQ67" s="3">
        <v>8898.6880000000001</v>
      </c>
      <c r="KR67" s="3">
        <v>8934.9439999999995</v>
      </c>
      <c r="KS67" s="3">
        <v>8971.3009999999995</v>
      </c>
      <c r="KT67" s="3">
        <v>9007.7849999999999</v>
      </c>
      <c r="KU67" s="3">
        <v>9044.3130000000001</v>
      </c>
      <c r="KV67" s="3">
        <v>9081.0210000000006</v>
      </c>
      <c r="KW67" s="3">
        <v>9117.5869999999995</v>
      </c>
      <c r="KX67" s="3">
        <v>9154.4770000000008</v>
      </c>
      <c r="KY67" s="3">
        <v>9191.35</v>
      </c>
      <c r="KZ67" s="3">
        <v>9228.1270000000004</v>
      </c>
      <c r="LA67" s="3">
        <v>9265.0949999999993</v>
      </c>
      <c r="LB67" s="3">
        <v>9302.0920000000006</v>
      </c>
      <c r="LC67" s="3">
        <v>9339.33</v>
      </c>
      <c r="LD67" s="3">
        <v>9376.5920000000006</v>
      </c>
      <c r="LE67" s="3">
        <v>9413.7960000000003</v>
      </c>
      <c r="LF67" s="3">
        <v>9451.27</v>
      </c>
      <c r="LG67" s="3">
        <v>9488.7919999999995</v>
      </c>
      <c r="LH67" s="3">
        <v>9526.4549999999999</v>
      </c>
      <c r="LI67" s="3">
        <v>9564.2489999999998</v>
      </c>
      <c r="LJ67" s="3">
        <v>9602.1389999999992</v>
      </c>
      <c r="LK67" s="3">
        <v>9640.2260000000006</v>
      </c>
      <c r="LL67" s="3">
        <v>9678.3539999999994</v>
      </c>
      <c r="LM67" s="3">
        <v>9716.7060000000001</v>
      </c>
      <c r="LN67" s="3">
        <v>9755.1389999999992</v>
      </c>
      <c r="LO67" s="3">
        <v>9793.6859999999997</v>
      </c>
      <c r="LP67" s="3">
        <v>9832.3960000000006</v>
      </c>
      <c r="LQ67" s="3">
        <v>9871.2960000000003</v>
      </c>
      <c r="LR67" s="3">
        <v>9910.2289999999994</v>
      </c>
      <c r="LS67" s="3">
        <v>9949.3539999999994</v>
      </c>
      <c r="LT67" s="3">
        <v>9988.5030000000006</v>
      </c>
      <c r="LU67" s="3">
        <v>10027.91</v>
      </c>
      <c r="LV67" s="3">
        <v>10067.4</v>
      </c>
      <c r="LW67" s="3">
        <v>10107</v>
      </c>
      <c r="LX67" s="3">
        <v>10146.82</v>
      </c>
      <c r="LY67" s="3">
        <v>10186.73</v>
      </c>
      <c r="LZ67" s="3">
        <v>10226.700000000001</v>
      </c>
      <c r="MA67" s="3">
        <v>10266.89</v>
      </c>
      <c r="MB67" s="3">
        <v>10307.15</v>
      </c>
      <c r="MC67" s="3">
        <v>10347.620000000001</v>
      </c>
      <c r="MD67" s="3">
        <v>10388.209999999999</v>
      </c>
      <c r="ME67" s="3">
        <v>10428.93</v>
      </c>
      <c r="MF67" s="3">
        <v>10469.81</v>
      </c>
      <c r="MG67" s="3">
        <v>10510.84</v>
      </c>
      <c r="MH67" s="3">
        <v>10552.07</v>
      </c>
      <c r="MI67" s="3">
        <v>10593.39</v>
      </c>
      <c r="MJ67" s="3">
        <v>10634.89</v>
      </c>
      <c r="MK67" s="3">
        <v>10676.54</v>
      </c>
      <c r="ML67" s="3">
        <v>10718.3</v>
      </c>
      <c r="MM67" s="3">
        <v>10760.27</v>
      </c>
      <c r="MN67" s="3">
        <v>10802.34</v>
      </c>
      <c r="MO67" s="3">
        <v>10844.59</v>
      </c>
      <c r="MP67" s="3">
        <v>10887.02</v>
      </c>
      <c r="MQ67" s="3">
        <v>10929.57</v>
      </c>
      <c r="MR67" s="3">
        <v>10972.28</v>
      </c>
      <c r="MS67" s="3">
        <v>11015.13</v>
      </c>
      <c r="MT67" s="3">
        <v>11058.12</v>
      </c>
      <c r="MU67" t="s">
        <v>385</v>
      </c>
      <c r="MV67" t="b">
        <v>1</v>
      </c>
      <c r="MW67" s="1" t="s">
        <v>386</v>
      </c>
      <c r="MX67" t="s">
        <v>377</v>
      </c>
      <c r="MY67">
        <v>2024</v>
      </c>
      <c r="MZ67">
        <v>3</v>
      </c>
      <c r="NA67" t="s">
        <v>377</v>
      </c>
      <c r="NB67" s="1" t="s">
        <v>387</v>
      </c>
      <c r="NC67" s="1" t="s">
        <v>388</v>
      </c>
      <c r="ND67" t="s">
        <v>389</v>
      </c>
      <c r="NE67" t="s">
        <v>381</v>
      </c>
      <c r="NF67" s="1" t="s">
        <v>528</v>
      </c>
    </row>
    <row r="68" spans="1:370" x14ac:dyDescent="0.25">
      <c r="A68" t="s">
        <v>370</v>
      </c>
      <c r="B68" t="s">
        <v>447</v>
      </c>
      <c r="C68" s="1" t="s">
        <v>527</v>
      </c>
      <c r="D68" t="s">
        <v>372</v>
      </c>
      <c r="E68" t="s">
        <v>373</v>
      </c>
      <c r="F68" t="s">
        <v>374</v>
      </c>
      <c r="G68" s="2">
        <v>50184</v>
      </c>
      <c r="H68" s="2">
        <v>48537</v>
      </c>
      <c r="I68" s="2">
        <v>47578</v>
      </c>
      <c r="J68" s="2">
        <v>47374</v>
      </c>
      <c r="K68" s="2">
        <v>46939</v>
      </c>
      <c r="L68" s="2">
        <v>44355</v>
      </c>
      <c r="M68" s="2">
        <v>43865</v>
      </c>
      <c r="N68" s="2">
        <v>44059</v>
      </c>
      <c r="O68" s="2">
        <v>42893</v>
      </c>
      <c r="P68" s="2">
        <v>42698</v>
      </c>
      <c r="Q68" s="2">
        <v>42064</v>
      </c>
      <c r="R68" s="2">
        <v>40849</v>
      </c>
      <c r="S68" s="2">
        <v>42896</v>
      </c>
      <c r="T68" s="2">
        <v>42498</v>
      </c>
      <c r="U68" s="2">
        <v>41983</v>
      </c>
      <c r="V68" s="2">
        <v>42271</v>
      </c>
      <c r="W68" s="2">
        <v>41191</v>
      </c>
      <c r="X68" s="2">
        <v>43482</v>
      </c>
      <c r="Y68" s="2">
        <v>43006</v>
      </c>
      <c r="Z68" s="2">
        <v>44597</v>
      </c>
      <c r="AA68" s="2">
        <v>46164</v>
      </c>
      <c r="AB68" s="2">
        <v>46246</v>
      </c>
      <c r="AC68" s="2">
        <v>46206</v>
      </c>
      <c r="AD68" s="2">
        <v>46354</v>
      </c>
      <c r="AE68" s="2">
        <v>48743</v>
      </c>
      <c r="AF68" s="2">
        <v>49861</v>
      </c>
      <c r="AG68" s="2">
        <v>50787</v>
      </c>
      <c r="AH68" s="2">
        <v>51496</v>
      </c>
      <c r="AI68" s="2">
        <v>49012</v>
      </c>
      <c r="AJ68" s="2">
        <v>47095</v>
      </c>
      <c r="AK68" s="2">
        <v>46257</v>
      </c>
      <c r="AL68" s="2">
        <v>45597</v>
      </c>
      <c r="AM68" s="2">
        <v>43073</v>
      </c>
      <c r="AN68" s="2">
        <v>44079</v>
      </c>
      <c r="AO68" s="2">
        <v>44442</v>
      </c>
      <c r="AP68" s="2">
        <v>43901</v>
      </c>
      <c r="AQ68" s="2">
        <v>43821</v>
      </c>
      <c r="AR68" s="2">
        <v>45825</v>
      </c>
      <c r="AS68" s="2">
        <v>47163</v>
      </c>
      <c r="AT68" s="2">
        <v>47683</v>
      </c>
      <c r="AU68" s="2">
        <v>49100</v>
      </c>
      <c r="AV68" s="2">
        <v>48513</v>
      </c>
      <c r="AW68" s="2">
        <v>48978</v>
      </c>
      <c r="AX68" s="2">
        <v>51258</v>
      </c>
      <c r="AY68" s="2">
        <v>52357</v>
      </c>
      <c r="AZ68" s="2">
        <v>52558</v>
      </c>
      <c r="BA68" s="2">
        <v>52636</v>
      </c>
      <c r="BB68" s="2">
        <v>53026</v>
      </c>
      <c r="BC68" s="2">
        <v>57010</v>
      </c>
      <c r="BD68" s="2">
        <v>52362</v>
      </c>
      <c r="BE68" s="2">
        <v>52813</v>
      </c>
      <c r="BF68" s="2">
        <v>52603</v>
      </c>
      <c r="BG68" s="2">
        <v>52036</v>
      </c>
      <c r="BH68" s="2">
        <v>50598</v>
      </c>
      <c r="BI68" s="2">
        <v>53431</v>
      </c>
      <c r="BJ68" s="2">
        <v>56019</v>
      </c>
      <c r="BK68" s="2">
        <v>54611</v>
      </c>
      <c r="BL68" s="2">
        <v>57244</v>
      </c>
      <c r="BM68" s="2">
        <v>62518</v>
      </c>
      <c r="BN68" s="2">
        <v>64025</v>
      </c>
      <c r="BO68" s="2">
        <v>67204</v>
      </c>
      <c r="BP68" s="2">
        <v>68999</v>
      </c>
      <c r="BQ68" s="2">
        <v>69601</v>
      </c>
      <c r="BR68" s="2">
        <v>69526</v>
      </c>
      <c r="BS68" s="2">
        <v>73235</v>
      </c>
      <c r="BT68" s="2">
        <v>71794</v>
      </c>
      <c r="BU68" s="2">
        <v>72584</v>
      </c>
      <c r="BV68" s="2">
        <v>71156</v>
      </c>
      <c r="BW68" s="2">
        <v>71617</v>
      </c>
      <c r="BX68" s="2">
        <v>70596</v>
      </c>
      <c r="BY68" s="2">
        <v>69949</v>
      </c>
      <c r="BZ68" s="2">
        <v>69172</v>
      </c>
      <c r="CA68" s="2">
        <v>66021</v>
      </c>
      <c r="CB68" s="2">
        <v>65035</v>
      </c>
      <c r="CC68" s="2">
        <v>63852</v>
      </c>
      <c r="CD68" s="2">
        <v>64085</v>
      </c>
      <c r="CE68" s="2">
        <v>64254</v>
      </c>
      <c r="CF68" s="2">
        <v>63871</v>
      </c>
      <c r="CG68" s="2">
        <v>64122</v>
      </c>
      <c r="CH68" s="2">
        <v>62577</v>
      </c>
      <c r="CI68" s="2">
        <v>64089</v>
      </c>
      <c r="CJ68" s="2">
        <v>63733</v>
      </c>
      <c r="CK68" s="2">
        <v>63810</v>
      </c>
      <c r="CL68" s="2">
        <v>65142</v>
      </c>
      <c r="CM68" s="2">
        <v>65927</v>
      </c>
      <c r="CN68" s="2">
        <v>64605</v>
      </c>
      <c r="CO68" s="2">
        <v>65040</v>
      </c>
      <c r="CP68" s="2">
        <v>65399</v>
      </c>
      <c r="CQ68" s="2">
        <v>64532</v>
      </c>
      <c r="CR68" s="2">
        <v>64647</v>
      </c>
      <c r="CS68" s="2">
        <v>65098</v>
      </c>
      <c r="CT68" s="2">
        <v>65410</v>
      </c>
      <c r="CU68" s="2">
        <v>67091</v>
      </c>
      <c r="CV68" s="2">
        <v>69362</v>
      </c>
      <c r="CW68" s="2">
        <v>68834</v>
      </c>
      <c r="CX68" s="2">
        <v>66518</v>
      </c>
      <c r="CY68" s="2">
        <v>64163</v>
      </c>
      <c r="CZ68" s="2">
        <v>64841</v>
      </c>
      <c r="DA68" s="2">
        <v>68586</v>
      </c>
      <c r="DB68" s="2">
        <v>70207</v>
      </c>
      <c r="DC68" s="2">
        <v>70769</v>
      </c>
      <c r="DD68" s="2">
        <v>70728</v>
      </c>
      <c r="DE68" s="2">
        <v>70125</v>
      </c>
      <c r="DF68" s="2">
        <v>71589</v>
      </c>
      <c r="DG68" s="2">
        <v>71553</v>
      </c>
      <c r="DH68" s="2">
        <v>71631</v>
      </c>
      <c r="DI68" s="2">
        <v>72785</v>
      </c>
      <c r="DJ68" s="2">
        <v>72122</v>
      </c>
      <c r="DK68" s="2">
        <v>75099</v>
      </c>
      <c r="DL68" s="2">
        <v>79401</v>
      </c>
      <c r="DM68" s="2">
        <v>73900</v>
      </c>
      <c r="DN68" s="2">
        <v>76186</v>
      </c>
      <c r="DO68" s="2">
        <v>76262</v>
      </c>
      <c r="DP68" s="2">
        <v>79060</v>
      </c>
      <c r="DQ68" s="2">
        <v>78994</v>
      </c>
      <c r="DR68" s="2">
        <v>76321</v>
      </c>
      <c r="DS68" s="2">
        <v>76228</v>
      </c>
      <c r="DT68" s="2">
        <v>76226</v>
      </c>
      <c r="DU68" s="2">
        <v>80253</v>
      </c>
      <c r="DV68" s="2">
        <v>84228</v>
      </c>
      <c r="DW68" s="2">
        <v>84514</v>
      </c>
      <c r="DX68" s="2">
        <v>79269</v>
      </c>
      <c r="DY68" s="2">
        <v>80422</v>
      </c>
      <c r="DZ68" s="2">
        <v>80600</v>
      </c>
      <c r="EA68" s="2">
        <v>82986</v>
      </c>
      <c r="EB68" s="2">
        <v>82454</v>
      </c>
      <c r="EC68" s="2">
        <v>83913</v>
      </c>
      <c r="ED68" s="2">
        <v>84243</v>
      </c>
      <c r="EE68" s="2">
        <v>85883</v>
      </c>
      <c r="EF68" s="2">
        <v>87907</v>
      </c>
      <c r="EG68" s="2">
        <v>87059</v>
      </c>
      <c r="EH68" s="2">
        <v>86618</v>
      </c>
      <c r="EI68" s="2">
        <v>87611</v>
      </c>
      <c r="EJ68" s="2">
        <v>87987</v>
      </c>
      <c r="EK68" s="2">
        <v>91024</v>
      </c>
      <c r="EL68" s="2">
        <v>90688</v>
      </c>
      <c r="EM68" s="2">
        <v>91825</v>
      </c>
      <c r="EN68" s="2">
        <v>94089</v>
      </c>
      <c r="EO68" s="2">
        <v>90344</v>
      </c>
      <c r="EP68" s="2">
        <v>96774</v>
      </c>
      <c r="EQ68" s="2">
        <v>92244</v>
      </c>
      <c r="ER68" s="2">
        <v>93278</v>
      </c>
      <c r="ES68" s="2">
        <v>88414</v>
      </c>
      <c r="ET68" s="2">
        <v>86953</v>
      </c>
      <c r="EU68" s="2">
        <v>81803</v>
      </c>
      <c r="EV68" s="2">
        <v>78328</v>
      </c>
      <c r="EW68" s="2">
        <v>78858</v>
      </c>
      <c r="EX68" s="2">
        <v>77537</v>
      </c>
      <c r="EY68" s="2">
        <v>81644</v>
      </c>
      <c r="EZ68" s="2">
        <v>80431</v>
      </c>
      <c r="FA68" s="2">
        <v>83557</v>
      </c>
      <c r="FB68" s="2">
        <v>85811</v>
      </c>
      <c r="FC68" s="2">
        <v>82496</v>
      </c>
      <c r="FD68" s="2">
        <v>81610</v>
      </c>
      <c r="FE68" s="2">
        <v>83476</v>
      </c>
      <c r="FF68" s="2">
        <v>84212</v>
      </c>
      <c r="FG68" s="2">
        <v>85491</v>
      </c>
      <c r="FH68" s="2">
        <v>83307</v>
      </c>
      <c r="FI68" s="2">
        <v>82537</v>
      </c>
      <c r="FJ68" s="2">
        <v>85851</v>
      </c>
      <c r="FK68" s="2">
        <v>83337</v>
      </c>
      <c r="FL68" s="2">
        <v>86815</v>
      </c>
      <c r="FM68" s="2">
        <v>88951</v>
      </c>
      <c r="FN68" s="2">
        <v>88938</v>
      </c>
      <c r="FO68" s="2">
        <v>91937</v>
      </c>
      <c r="FP68" s="2">
        <v>91645</v>
      </c>
      <c r="FQ68" s="2">
        <v>93278</v>
      </c>
      <c r="FR68" s="2">
        <v>95670</v>
      </c>
      <c r="FS68" s="2">
        <v>99019</v>
      </c>
      <c r="FT68" s="2">
        <v>99456</v>
      </c>
      <c r="FU68" s="2">
        <v>98717</v>
      </c>
      <c r="FV68" s="2">
        <v>101962</v>
      </c>
      <c r="FW68" s="2">
        <v>103052</v>
      </c>
      <c r="FX68" s="2">
        <v>103914</v>
      </c>
      <c r="FY68" s="2">
        <v>106846</v>
      </c>
      <c r="FZ68" s="2">
        <v>105866</v>
      </c>
      <c r="GA68" s="2">
        <v>107659</v>
      </c>
      <c r="GB68" s="2">
        <v>108992</v>
      </c>
      <c r="GC68" s="2">
        <v>108030</v>
      </c>
      <c r="GD68" s="2">
        <v>109696</v>
      </c>
      <c r="GE68" s="2">
        <v>109097</v>
      </c>
      <c r="GF68" s="2">
        <v>107829</v>
      </c>
      <c r="GG68" s="2">
        <v>107807</v>
      </c>
      <c r="GH68" s="2">
        <v>107662</v>
      </c>
      <c r="GI68" s="2">
        <v>110948</v>
      </c>
      <c r="GJ68" s="2">
        <v>110046</v>
      </c>
      <c r="GK68" s="2">
        <v>110942</v>
      </c>
      <c r="GL68" s="2">
        <v>109685</v>
      </c>
      <c r="GM68" s="2">
        <v>106217</v>
      </c>
      <c r="GN68" s="2">
        <v>86237</v>
      </c>
      <c r="GO68" s="2">
        <v>100076</v>
      </c>
      <c r="GP68" s="2">
        <v>106348</v>
      </c>
      <c r="GQ68" s="2">
        <v>103493</v>
      </c>
      <c r="GR68" s="2">
        <v>108600</v>
      </c>
      <c r="GS68" s="2">
        <v>108182</v>
      </c>
      <c r="GT68" s="2">
        <v>108845</v>
      </c>
      <c r="GU68" s="2">
        <v>113041</v>
      </c>
      <c r="GV68" s="2">
        <v>112982</v>
      </c>
      <c r="GW68" s="2">
        <v>113281</v>
      </c>
      <c r="GX68" s="2">
        <v>111787</v>
      </c>
      <c r="GY68" s="2">
        <v>114813</v>
      </c>
      <c r="GZ68" s="2">
        <v>113461</v>
      </c>
      <c r="HA68" s="2">
        <v>111648</v>
      </c>
      <c r="HB68" s="2">
        <v>112622</v>
      </c>
      <c r="HC68" s="2">
        <v>113771</v>
      </c>
      <c r="HD68" s="2">
        <v>114554</v>
      </c>
      <c r="HE68" s="2">
        <v>116001</v>
      </c>
      <c r="HF68" s="3">
        <v>113193</v>
      </c>
      <c r="HG68" s="3">
        <v>113354.2</v>
      </c>
      <c r="HH68" s="3">
        <v>114094.3</v>
      </c>
      <c r="HI68" s="3">
        <v>115138.1</v>
      </c>
      <c r="HJ68" s="3">
        <v>116133.4</v>
      </c>
      <c r="HK68" s="3">
        <v>117097.2</v>
      </c>
      <c r="HL68" s="3">
        <v>118076.9</v>
      </c>
      <c r="HM68" s="3">
        <v>119006.7</v>
      </c>
      <c r="HN68" s="3">
        <v>119861.4</v>
      </c>
      <c r="HO68" s="3">
        <v>120575.8</v>
      </c>
      <c r="HP68" s="3">
        <v>121235</v>
      </c>
      <c r="HQ68" s="3">
        <v>121892.1</v>
      </c>
      <c r="HR68" s="3">
        <v>122469.7</v>
      </c>
      <c r="HS68" s="3">
        <v>123046.8</v>
      </c>
      <c r="HT68" s="3">
        <v>123590.5</v>
      </c>
      <c r="HU68" s="3">
        <v>124114.5</v>
      </c>
      <c r="HV68" s="3">
        <v>124644</v>
      </c>
      <c r="HW68" s="3">
        <v>125183.1</v>
      </c>
      <c r="HX68" s="3">
        <v>125704.7</v>
      </c>
      <c r="HY68" s="3">
        <v>126226.9</v>
      </c>
      <c r="HZ68" s="3">
        <v>126752.4</v>
      </c>
      <c r="IA68" s="3">
        <v>127287.8</v>
      </c>
      <c r="IB68" s="3">
        <v>127876.3</v>
      </c>
      <c r="IC68" s="3">
        <v>128506.4</v>
      </c>
      <c r="ID68" s="3">
        <v>129189.6</v>
      </c>
      <c r="IE68" s="3">
        <v>129876.6</v>
      </c>
      <c r="IF68" s="3">
        <v>130567.3</v>
      </c>
      <c r="IG68" s="3">
        <v>131261.9</v>
      </c>
      <c r="IH68" s="3">
        <v>131960.20000000001</v>
      </c>
      <c r="II68" s="3">
        <v>132662.39999999999</v>
      </c>
      <c r="IJ68" s="3">
        <v>133368.4</v>
      </c>
      <c r="IK68" s="3">
        <v>134078.29999999999</v>
      </c>
      <c r="IL68" s="3">
        <v>134791.20000000001</v>
      </c>
      <c r="IM68" s="3">
        <v>135494.1</v>
      </c>
      <c r="IN68" s="3">
        <v>136194.6</v>
      </c>
      <c r="IO68" s="3">
        <v>136887.29999999999</v>
      </c>
      <c r="IP68" s="3">
        <v>137570.9</v>
      </c>
      <c r="IQ68" s="3">
        <v>138278.29999999999</v>
      </c>
      <c r="IR68" s="3">
        <v>138966.79999999999</v>
      </c>
      <c r="IS68" s="3">
        <v>139650.79999999999</v>
      </c>
      <c r="IT68" s="3">
        <v>140324.70000000001</v>
      </c>
      <c r="IU68" s="3">
        <v>141014.1</v>
      </c>
      <c r="IV68" s="3">
        <v>141706.70000000001</v>
      </c>
      <c r="IW68" s="3">
        <v>142402.20000000001</v>
      </c>
      <c r="IX68" s="3">
        <v>143100.79999999999</v>
      </c>
      <c r="IY68" s="3">
        <v>143815</v>
      </c>
      <c r="IZ68" s="3">
        <v>144532.79999999999</v>
      </c>
      <c r="JA68" s="3">
        <v>145254.39999999999</v>
      </c>
      <c r="JB68" s="3">
        <v>145979.70000000001</v>
      </c>
      <c r="JC68" s="3">
        <v>146708.79999999999</v>
      </c>
      <c r="JD68" s="3">
        <v>147441.70000000001</v>
      </c>
      <c r="JE68" s="3">
        <v>148178.4</v>
      </c>
      <c r="JF68" s="3">
        <v>148918.9</v>
      </c>
      <c r="JG68" s="3">
        <v>149675.70000000001</v>
      </c>
      <c r="JH68" s="3">
        <v>150436.5</v>
      </c>
      <c r="JI68" s="3">
        <v>151201.60000000001</v>
      </c>
      <c r="JJ68" s="3">
        <v>151970.9</v>
      </c>
      <c r="JK68" s="3">
        <v>152744.5</v>
      </c>
      <c r="JL68" s="3">
        <v>153522.29999999999</v>
      </c>
      <c r="JM68" s="3">
        <v>154304.4</v>
      </c>
      <c r="JN68" s="3">
        <v>155090.9</v>
      </c>
      <c r="JO68" s="3">
        <v>155861.4</v>
      </c>
      <c r="JP68" s="3">
        <v>156635.70000000001</v>
      </c>
      <c r="JQ68" s="3">
        <v>157414</v>
      </c>
      <c r="JR68" s="3">
        <v>158196.20000000001</v>
      </c>
      <c r="JS68" s="3">
        <v>158963.4</v>
      </c>
      <c r="JT68" s="3">
        <v>159734.1</v>
      </c>
      <c r="JU68" s="3">
        <v>160508.6</v>
      </c>
      <c r="JV68" s="3">
        <v>161286.6</v>
      </c>
      <c r="JW68" s="3">
        <v>162068.20000000001</v>
      </c>
      <c r="JX68" s="3">
        <v>162853.5</v>
      </c>
      <c r="JY68" s="3">
        <v>163642.4</v>
      </c>
      <c r="JZ68" s="3">
        <v>164435</v>
      </c>
      <c r="KA68" s="3">
        <v>165231.20000000001</v>
      </c>
      <c r="KB68" s="3">
        <v>166031.1</v>
      </c>
      <c r="KC68" s="3">
        <v>166834.5</v>
      </c>
      <c r="KD68" s="3">
        <v>167641.60000000001</v>
      </c>
      <c r="KE68" s="3">
        <v>168452.2</v>
      </c>
      <c r="KF68" s="3">
        <v>169266.5</v>
      </c>
      <c r="KG68" s="3">
        <v>170084.3</v>
      </c>
      <c r="KH68" s="3">
        <v>170905.7</v>
      </c>
      <c r="KI68" s="3">
        <v>171730.9</v>
      </c>
      <c r="KJ68" s="3">
        <v>172559.6</v>
      </c>
      <c r="KK68" s="3">
        <v>173391.9</v>
      </c>
      <c r="KL68" s="3">
        <v>174228</v>
      </c>
      <c r="KM68" s="3">
        <v>175067.7</v>
      </c>
      <c r="KN68" s="3">
        <v>175911</v>
      </c>
      <c r="KO68" s="3">
        <v>176758.2</v>
      </c>
      <c r="KP68" s="3">
        <v>177609</v>
      </c>
      <c r="KQ68" s="3">
        <v>178463.6</v>
      </c>
      <c r="KR68" s="3">
        <v>179321.9</v>
      </c>
      <c r="KS68" s="3">
        <v>180184</v>
      </c>
      <c r="KT68" s="3">
        <v>181049.9</v>
      </c>
      <c r="KU68" s="3">
        <v>181919.5</v>
      </c>
      <c r="KV68" s="3">
        <v>182793.1</v>
      </c>
      <c r="KW68" s="3">
        <v>183670.39999999999</v>
      </c>
      <c r="KX68" s="3">
        <v>184551.7</v>
      </c>
      <c r="KY68" s="3">
        <v>185436.7</v>
      </c>
      <c r="KZ68" s="3">
        <v>186325.6</v>
      </c>
      <c r="LA68" s="3">
        <v>187218.3</v>
      </c>
      <c r="LB68" s="3">
        <v>188114.8</v>
      </c>
      <c r="LC68" s="3">
        <v>188998.5</v>
      </c>
      <c r="LD68" s="3">
        <v>189885.8</v>
      </c>
      <c r="LE68" s="3">
        <v>190776.5</v>
      </c>
      <c r="LF68" s="3">
        <v>191670.7</v>
      </c>
      <c r="LG68" s="3">
        <v>192522.3</v>
      </c>
      <c r="LH68" s="3">
        <v>193376.8</v>
      </c>
      <c r="LI68" s="3">
        <v>194226.4</v>
      </c>
      <c r="LJ68" s="3">
        <v>195078.6</v>
      </c>
      <c r="LK68" s="3">
        <v>195933.7</v>
      </c>
      <c r="LL68" s="3">
        <v>196791.5</v>
      </c>
      <c r="LM68" s="3">
        <v>197638.2</v>
      </c>
      <c r="LN68" s="3">
        <v>198487.4</v>
      </c>
      <c r="LO68" s="3">
        <v>199339.1</v>
      </c>
      <c r="LP68" s="3">
        <v>200193.2</v>
      </c>
      <c r="LQ68" s="3">
        <v>201050.1</v>
      </c>
      <c r="LR68" s="3">
        <v>201909.5</v>
      </c>
      <c r="LS68" s="3">
        <v>202771.6</v>
      </c>
      <c r="LT68" s="3">
        <v>203636.3</v>
      </c>
      <c r="LU68" s="3">
        <v>204496.8</v>
      </c>
      <c r="LV68" s="3">
        <v>205359.7</v>
      </c>
      <c r="LW68" s="3">
        <v>206225</v>
      </c>
      <c r="LX68" s="3">
        <v>207092.8</v>
      </c>
      <c r="LY68" s="3">
        <v>207957.6</v>
      </c>
      <c r="LZ68" s="3">
        <v>208824.8</v>
      </c>
      <c r="MA68" s="3">
        <v>209694.2</v>
      </c>
      <c r="MB68" s="3">
        <v>210566.1</v>
      </c>
      <c r="MC68" s="3">
        <v>211440.6</v>
      </c>
      <c r="MD68" s="3">
        <v>212317.6</v>
      </c>
      <c r="ME68" s="3">
        <v>213197.2</v>
      </c>
      <c r="MF68" s="3">
        <v>214079.1</v>
      </c>
      <c r="MG68" s="3">
        <v>214970.4</v>
      </c>
      <c r="MH68" s="3">
        <v>215864.5</v>
      </c>
      <c r="MI68" s="3">
        <v>216761.2</v>
      </c>
      <c r="MJ68" s="3">
        <v>217660.6</v>
      </c>
      <c r="MK68" s="3">
        <v>218560.5</v>
      </c>
      <c r="ML68" s="3">
        <v>219463.1</v>
      </c>
      <c r="MM68" s="3">
        <v>220368.3</v>
      </c>
      <c r="MN68" s="3">
        <v>221276.2</v>
      </c>
      <c r="MO68" s="3">
        <v>222194.3</v>
      </c>
      <c r="MP68" s="3">
        <v>223115.2</v>
      </c>
      <c r="MQ68" s="3">
        <v>224038.8</v>
      </c>
      <c r="MR68" s="3">
        <v>224965.2</v>
      </c>
      <c r="MS68" s="3">
        <v>225894.6</v>
      </c>
      <c r="MT68" s="3">
        <v>226826.9</v>
      </c>
      <c r="MU68" t="s">
        <v>375</v>
      </c>
      <c r="MV68" t="b">
        <v>1</v>
      </c>
      <c r="MW68" s="1" t="s">
        <v>376</v>
      </c>
      <c r="MX68" t="s">
        <v>377</v>
      </c>
      <c r="MY68">
        <v>2024</v>
      </c>
      <c r="MZ68">
        <v>3</v>
      </c>
      <c r="NA68" t="s">
        <v>377</v>
      </c>
      <c r="NB68" t="s">
        <v>448</v>
      </c>
      <c r="NC68" s="1" t="s">
        <v>449</v>
      </c>
      <c r="ND68" t="s">
        <v>380</v>
      </c>
      <c r="NE68" t="s">
        <v>450</v>
      </c>
      <c r="NF68" s="1" t="s">
        <v>528</v>
      </c>
    </row>
    <row r="69" spans="1:370" x14ac:dyDescent="0.25">
      <c r="A69" t="s">
        <v>382</v>
      </c>
      <c r="B69" t="s">
        <v>447</v>
      </c>
      <c r="C69" s="1" t="s">
        <v>527</v>
      </c>
      <c r="D69" t="s">
        <v>383</v>
      </c>
      <c r="E69" t="s">
        <v>384</v>
      </c>
      <c r="F69" t="s">
        <v>374</v>
      </c>
      <c r="G69" s="2">
        <v>261.82499999999999</v>
      </c>
      <c r="H69" s="2">
        <v>261.82499999999999</v>
      </c>
      <c r="I69" s="2">
        <v>259.47500000000002</v>
      </c>
      <c r="J69" s="2">
        <v>257.89999999999998</v>
      </c>
      <c r="K69" s="2">
        <v>255.72499999999999</v>
      </c>
      <c r="L69" s="2">
        <v>254.85</v>
      </c>
      <c r="M69" s="2">
        <v>250.55</v>
      </c>
      <c r="N69" s="2">
        <v>239.4</v>
      </c>
      <c r="O69" s="2">
        <v>230.27500000000001</v>
      </c>
      <c r="P69" s="2">
        <v>225.05</v>
      </c>
      <c r="Q69" s="2">
        <v>233.25</v>
      </c>
      <c r="R69" s="2">
        <v>239</v>
      </c>
      <c r="S69" s="2">
        <v>247.67500000000001</v>
      </c>
      <c r="T69" s="2">
        <v>247.7</v>
      </c>
      <c r="U69" s="2">
        <v>249.32499999999999</v>
      </c>
      <c r="V69" s="2">
        <v>257.45</v>
      </c>
      <c r="W69" s="2">
        <v>265.64999999999998</v>
      </c>
      <c r="X69" s="2">
        <v>277.64999999999998</v>
      </c>
      <c r="Y69" s="2">
        <v>279.625</v>
      </c>
      <c r="Z69" s="2">
        <v>282.64999999999998</v>
      </c>
      <c r="AA69" s="2">
        <v>284.05</v>
      </c>
      <c r="AB69" s="2">
        <v>305.2</v>
      </c>
      <c r="AC69" s="2">
        <v>313.5</v>
      </c>
      <c r="AD69" s="2">
        <v>320.55</v>
      </c>
      <c r="AE69" s="2">
        <v>319.42500000000001</v>
      </c>
      <c r="AF69" s="2">
        <v>320.39999999999998</v>
      </c>
      <c r="AG69" s="2">
        <v>327.8</v>
      </c>
      <c r="AH69" s="2">
        <v>325.35000000000002</v>
      </c>
      <c r="AI69" s="2">
        <v>324.02499999999998</v>
      </c>
      <c r="AJ69" s="2">
        <v>300.47500000000002</v>
      </c>
      <c r="AK69" s="2">
        <v>301.72500000000002</v>
      </c>
      <c r="AL69" s="2">
        <v>311.2</v>
      </c>
      <c r="AM69" s="2">
        <v>315.47500000000002</v>
      </c>
      <c r="AN69" s="2">
        <v>315.55</v>
      </c>
      <c r="AO69" s="2">
        <v>314.57499999999999</v>
      </c>
      <c r="AP69" s="2">
        <v>315.39999999999998</v>
      </c>
      <c r="AQ69" s="2">
        <v>307</v>
      </c>
      <c r="AR69" s="2">
        <v>300.22500000000002</v>
      </c>
      <c r="AS69" s="2">
        <v>294.60000000000002</v>
      </c>
      <c r="AT69" s="2">
        <v>296.57499999999999</v>
      </c>
      <c r="AU69" s="2">
        <v>302.10000000000002</v>
      </c>
      <c r="AV69" s="2">
        <v>311.67500000000001</v>
      </c>
      <c r="AW69" s="2">
        <v>327.82499999999999</v>
      </c>
      <c r="AX69" s="2">
        <v>343.57499999999999</v>
      </c>
      <c r="AY69" s="2">
        <v>353.9</v>
      </c>
      <c r="AZ69" s="2">
        <v>366.82499999999999</v>
      </c>
      <c r="BA69" s="2">
        <v>373.85</v>
      </c>
      <c r="BB69" s="2">
        <v>383.55</v>
      </c>
      <c r="BC69" s="2">
        <v>387.22500000000002</v>
      </c>
      <c r="BD69" s="2">
        <v>395.22500000000002</v>
      </c>
      <c r="BE69" s="2">
        <v>396.55</v>
      </c>
      <c r="BF69" s="2">
        <v>402.6</v>
      </c>
      <c r="BG69" s="2">
        <v>404.6</v>
      </c>
      <c r="BH69" s="2">
        <v>406.67500000000001</v>
      </c>
      <c r="BI69" s="2">
        <v>409.3</v>
      </c>
      <c r="BJ69" s="2">
        <v>410.75</v>
      </c>
      <c r="BK69" s="2">
        <v>406.6</v>
      </c>
      <c r="BL69" s="2">
        <v>413.25</v>
      </c>
      <c r="BM69" s="2">
        <v>420.05</v>
      </c>
      <c r="BN69" s="2">
        <v>420.25</v>
      </c>
      <c r="BO69" s="2">
        <v>417.3</v>
      </c>
      <c r="BP69" s="2">
        <v>424.7</v>
      </c>
      <c r="BQ69" s="2">
        <v>425.75</v>
      </c>
      <c r="BR69" s="2">
        <v>430.82499999999999</v>
      </c>
      <c r="BS69" s="2">
        <v>433.47500000000002</v>
      </c>
      <c r="BT69" s="2">
        <v>434.47500000000002</v>
      </c>
      <c r="BU69" s="2">
        <v>442.42500000000001</v>
      </c>
      <c r="BV69" s="2">
        <v>437.97500000000002</v>
      </c>
      <c r="BW69" s="2">
        <v>445.17500000000001</v>
      </c>
      <c r="BX69" s="2">
        <v>438.07499999999999</v>
      </c>
      <c r="BY69" s="2">
        <v>435.65</v>
      </c>
      <c r="BZ69" s="2">
        <v>427.55</v>
      </c>
      <c r="CA69" s="2">
        <v>416.82499999999999</v>
      </c>
      <c r="CB69" s="2">
        <v>419.22500000000002</v>
      </c>
      <c r="CC69" s="2">
        <v>419.2</v>
      </c>
      <c r="CD69" s="2">
        <v>419.52499999999998</v>
      </c>
      <c r="CE69" s="2">
        <v>425.35</v>
      </c>
      <c r="CF69" s="2">
        <v>434.67500000000001</v>
      </c>
      <c r="CG69" s="2">
        <v>437.15</v>
      </c>
      <c r="CH69" s="2">
        <v>446.2</v>
      </c>
      <c r="CI69" s="2">
        <v>446.42500000000001</v>
      </c>
      <c r="CJ69" s="2">
        <v>453.875</v>
      </c>
      <c r="CK69" s="2">
        <v>458.27499999999998</v>
      </c>
      <c r="CL69" s="2">
        <v>473.65</v>
      </c>
      <c r="CM69" s="2">
        <v>473.92500000000001</v>
      </c>
      <c r="CN69" s="2">
        <v>483.05</v>
      </c>
      <c r="CO69" s="2">
        <v>489.5</v>
      </c>
      <c r="CP69" s="2">
        <v>497.625</v>
      </c>
      <c r="CQ69" s="2">
        <v>507.15</v>
      </c>
      <c r="CR69" s="2">
        <v>507.22500000000002</v>
      </c>
      <c r="CS69" s="2">
        <v>511.3</v>
      </c>
      <c r="CT69" s="2">
        <v>518.65</v>
      </c>
      <c r="CU69" s="2">
        <v>531.92499999999995</v>
      </c>
      <c r="CV69" s="2">
        <v>546.32500000000005</v>
      </c>
      <c r="CW69" s="2">
        <v>557.20000000000005</v>
      </c>
      <c r="CX69" s="2">
        <v>565.32500000000005</v>
      </c>
      <c r="CY69" s="2">
        <v>571.9</v>
      </c>
      <c r="CZ69" s="2">
        <v>581.72500000000002</v>
      </c>
      <c r="DA69" s="2">
        <v>600.9</v>
      </c>
      <c r="DB69" s="2">
        <v>604.27499999999998</v>
      </c>
      <c r="DC69" s="2">
        <v>619.02499999999998</v>
      </c>
      <c r="DD69" s="2">
        <v>639.42499999999995</v>
      </c>
      <c r="DE69" s="2">
        <v>653.35</v>
      </c>
      <c r="DF69" s="2">
        <v>666.22500000000002</v>
      </c>
      <c r="DG69" s="2">
        <v>677.875</v>
      </c>
      <c r="DH69" s="2">
        <v>692.35</v>
      </c>
      <c r="DI69" s="2">
        <v>707.92499999999995</v>
      </c>
      <c r="DJ69" s="2">
        <v>714.5</v>
      </c>
      <c r="DK69" s="2">
        <v>732.2</v>
      </c>
      <c r="DL69" s="2">
        <v>743.65</v>
      </c>
      <c r="DM69" s="2">
        <v>745.77499999999998</v>
      </c>
      <c r="DN69" s="2">
        <v>749.6</v>
      </c>
      <c r="DO69" s="2">
        <v>747.72500000000002</v>
      </c>
      <c r="DP69" s="2">
        <v>745.82500000000005</v>
      </c>
      <c r="DQ69" s="2">
        <v>736.47500000000002</v>
      </c>
      <c r="DR69" s="2">
        <v>728.72500000000002</v>
      </c>
      <c r="DS69" s="2">
        <v>726.42499999999995</v>
      </c>
      <c r="DT69" s="2">
        <v>726.55</v>
      </c>
      <c r="DU69" s="2">
        <v>727.97500000000002</v>
      </c>
      <c r="DV69" s="2">
        <v>727.57500000000005</v>
      </c>
      <c r="DW69" s="2">
        <v>732.9</v>
      </c>
      <c r="DX69" s="2">
        <v>747.2</v>
      </c>
      <c r="DY69" s="2">
        <v>769.82500000000005</v>
      </c>
      <c r="DZ69" s="2">
        <v>781.8</v>
      </c>
      <c r="EA69" s="2">
        <v>779.875</v>
      </c>
      <c r="EB69" s="2">
        <v>798.2</v>
      </c>
      <c r="EC69" s="2">
        <v>811.75</v>
      </c>
      <c r="ED69" s="2">
        <v>823.6</v>
      </c>
      <c r="EE69" s="2">
        <v>835.72500000000002</v>
      </c>
      <c r="EF69" s="2">
        <v>848.125</v>
      </c>
      <c r="EG69" s="2">
        <v>860.375</v>
      </c>
      <c r="EH69" s="2">
        <v>863.95</v>
      </c>
      <c r="EI69" s="2">
        <v>881.05</v>
      </c>
      <c r="EJ69" s="2">
        <v>878.45</v>
      </c>
      <c r="EK69" s="2">
        <v>871.875</v>
      </c>
      <c r="EL69" s="2">
        <v>867.9</v>
      </c>
      <c r="EM69" s="2">
        <v>867.92499999999995</v>
      </c>
      <c r="EN69" s="2">
        <v>874.27499999999998</v>
      </c>
      <c r="EO69" s="2">
        <v>870.6</v>
      </c>
      <c r="EP69" s="2">
        <v>865.72500000000002</v>
      </c>
      <c r="EQ69" s="2">
        <v>854.35</v>
      </c>
      <c r="ER69" s="2">
        <v>851.77499999999998</v>
      </c>
      <c r="ES69" s="2">
        <v>835.5</v>
      </c>
      <c r="ET69" s="2">
        <v>790.6</v>
      </c>
      <c r="EU69" s="2">
        <v>740.52499999999998</v>
      </c>
      <c r="EV69" s="2">
        <v>722.625</v>
      </c>
      <c r="EW69" s="2">
        <v>725.3</v>
      </c>
      <c r="EX69" s="2">
        <v>726.52499999999998</v>
      </c>
      <c r="EY69" s="2">
        <v>723.92499999999995</v>
      </c>
      <c r="EZ69" s="2">
        <v>747.2</v>
      </c>
      <c r="FA69" s="2">
        <v>750.1</v>
      </c>
      <c r="FB69" s="2">
        <v>759.52499999999998</v>
      </c>
      <c r="FC69" s="2">
        <v>755.2</v>
      </c>
      <c r="FD69" s="2">
        <v>766.97500000000002</v>
      </c>
      <c r="FE69" s="2">
        <v>790.55</v>
      </c>
      <c r="FF69" s="2">
        <v>805.97500000000002</v>
      </c>
      <c r="FG69" s="2">
        <v>822.52499999999998</v>
      </c>
      <c r="FH69" s="2">
        <v>835.05</v>
      </c>
      <c r="FI69" s="2">
        <v>833.42499999999995</v>
      </c>
      <c r="FJ69" s="2">
        <v>843.22500000000002</v>
      </c>
      <c r="FK69" s="2">
        <v>853.17499999999995</v>
      </c>
      <c r="FL69" s="2">
        <v>859.875</v>
      </c>
      <c r="FM69" s="2">
        <v>873.35</v>
      </c>
      <c r="FN69" s="2">
        <v>883.8</v>
      </c>
      <c r="FO69" s="2">
        <v>888.77499999999998</v>
      </c>
      <c r="FP69" s="2">
        <v>913.77499999999998</v>
      </c>
      <c r="FQ69" s="2">
        <v>929.875</v>
      </c>
      <c r="FR69" s="2">
        <v>942.22500000000002</v>
      </c>
      <c r="FS69" s="2">
        <v>944.4</v>
      </c>
      <c r="FT69" s="2">
        <v>957.65</v>
      </c>
      <c r="FU69" s="2">
        <v>967.6</v>
      </c>
      <c r="FV69" s="2">
        <v>966.7</v>
      </c>
      <c r="FW69" s="2">
        <v>976.8</v>
      </c>
      <c r="FX69" s="2">
        <v>981.25</v>
      </c>
      <c r="FY69" s="2">
        <v>990.25</v>
      </c>
      <c r="FZ69" s="2">
        <v>999.42499999999995</v>
      </c>
      <c r="GA69" s="2">
        <v>1011.275</v>
      </c>
      <c r="GB69" s="2">
        <v>1021.875</v>
      </c>
      <c r="GC69" s="2">
        <v>1029.45</v>
      </c>
      <c r="GD69" s="2">
        <v>1053.825</v>
      </c>
      <c r="GE69" s="2">
        <v>1069.6500000000001</v>
      </c>
      <c r="GF69" s="2">
        <v>1081.925</v>
      </c>
      <c r="GG69" s="2">
        <v>1085.625</v>
      </c>
      <c r="GH69" s="2">
        <v>1086.075</v>
      </c>
      <c r="GI69" s="2">
        <v>1094.175</v>
      </c>
      <c r="GJ69" s="2">
        <v>1110.825</v>
      </c>
      <c r="GK69" s="2">
        <v>1123.5</v>
      </c>
      <c r="GL69" s="2">
        <v>1121.3499999999999</v>
      </c>
      <c r="GM69" s="2">
        <v>1119.5</v>
      </c>
      <c r="GN69" s="2">
        <v>1049.2750000000001</v>
      </c>
      <c r="GO69" s="2">
        <v>1104.2249999999999</v>
      </c>
      <c r="GP69" s="2">
        <v>1140.575</v>
      </c>
      <c r="GQ69" s="2">
        <v>1158.05</v>
      </c>
      <c r="GR69" s="2">
        <v>1167.8499999999999</v>
      </c>
      <c r="GS69" s="2">
        <v>1160.7249999999999</v>
      </c>
      <c r="GT69" s="2">
        <v>1166.7750000000001</v>
      </c>
      <c r="GU69" s="2">
        <v>1186.1500000000001</v>
      </c>
      <c r="GV69" s="2">
        <v>1190.5</v>
      </c>
      <c r="GW69" s="2">
        <v>1185.375</v>
      </c>
      <c r="GX69" s="2">
        <v>1185.75</v>
      </c>
      <c r="GY69" s="2">
        <v>1195.875</v>
      </c>
      <c r="GZ69" s="2">
        <v>1222.3499999999999</v>
      </c>
      <c r="HA69" s="2">
        <v>1233.55</v>
      </c>
      <c r="HB69" s="2">
        <v>1249.1500000000001</v>
      </c>
      <c r="HC69" s="2">
        <v>1266.2750000000001</v>
      </c>
      <c r="HD69" s="2">
        <v>1275.7249999999999</v>
      </c>
      <c r="HE69" s="2">
        <v>1285.0250000000001</v>
      </c>
      <c r="HF69" s="3">
        <v>1293.6859999999999</v>
      </c>
      <c r="HG69" s="3">
        <v>1305.556</v>
      </c>
      <c r="HH69" s="3">
        <v>1319.306</v>
      </c>
      <c r="HI69" s="3">
        <v>1335.3779999999999</v>
      </c>
      <c r="HJ69" s="3">
        <v>1352.2860000000001</v>
      </c>
      <c r="HK69" s="3">
        <v>1369.0809999999999</v>
      </c>
      <c r="HL69" s="3">
        <v>1384.9580000000001</v>
      </c>
      <c r="HM69" s="3">
        <v>1400.845</v>
      </c>
      <c r="HN69" s="3">
        <v>1416.288</v>
      </c>
      <c r="HO69" s="3">
        <v>1431.72</v>
      </c>
      <c r="HP69" s="3">
        <v>1446.809</v>
      </c>
      <c r="HQ69" s="3">
        <v>1461.2370000000001</v>
      </c>
      <c r="HR69" s="3">
        <v>1472.9449999999999</v>
      </c>
      <c r="HS69" s="3">
        <v>1480.7349999999999</v>
      </c>
      <c r="HT69" s="3">
        <v>1486.73</v>
      </c>
      <c r="HU69" s="3">
        <v>1493.335</v>
      </c>
      <c r="HV69" s="3">
        <v>1501.2850000000001</v>
      </c>
      <c r="HW69" s="3">
        <v>1511.3309999999999</v>
      </c>
      <c r="HX69" s="3">
        <v>1522.58</v>
      </c>
      <c r="HY69" s="3">
        <v>1533.961</v>
      </c>
      <c r="HZ69" s="3">
        <v>1545.0450000000001</v>
      </c>
      <c r="IA69" s="3">
        <v>1555.5650000000001</v>
      </c>
      <c r="IB69" s="3">
        <v>1565.6949999999999</v>
      </c>
      <c r="IC69" s="3">
        <v>1575.5820000000001</v>
      </c>
      <c r="ID69" s="3">
        <v>1585.171</v>
      </c>
      <c r="IE69" s="3">
        <v>1594.61</v>
      </c>
      <c r="IF69" s="3">
        <v>1604.0709999999999</v>
      </c>
      <c r="IG69" s="3">
        <v>1613.663</v>
      </c>
      <c r="IH69" s="3">
        <v>1623.403</v>
      </c>
      <c r="II69" s="3">
        <v>1633.1610000000001</v>
      </c>
      <c r="IJ69" s="3">
        <v>1642.9670000000001</v>
      </c>
      <c r="IK69" s="3">
        <v>1652.758</v>
      </c>
      <c r="IL69" s="3">
        <v>1662.5509999999999</v>
      </c>
      <c r="IM69" s="3">
        <v>1672.3209999999999</v>
      </c>
      <c r="IN69" s="3">
        <v>1682.068</v>
      </c>
      <c r="IO69" s="3">
        <v>1691.845</v>
      </c>
      <c r="IP69" s="3">
        <v>1701.6489999999999</v>
      </c>
      <c r="IQ69" s="3">
        <v>1711.4829999999999</v>
      </c>
      <c r="IR69" s="3">
        <v>1721.317</v>
      </c>
      <c r="IS69" s="3">
        <v>1731.1310000000001</v>
      </c>
      <c r="IT69" s="3">
        <v>1740.9169999999999</v>
      </c>
      <c r="IU69" s="3">
        <v>1750.675</v>
      </c>
      <c r="IV69" s="3">
        <v>1760.4179999999999</v>
      </c>
      <c r="IW69" s="3">
        <v>1770.1410000000001</v>
      </c>
      <c r="IX69" s="3">
        <v>1779.857</v>
      </c>
      <c r="IY69" s="3">
        <v>1789.5630000000001</v>
      </c>
      <c r="IZ69" s="3">
        <v>1799.355</v>
      </c>
      <c r="JA69" s="3">
        <v>1809.152</v>
      </c>
      <c r="JB69" s="3">
        <v>1818.97</v>
      </c>
      <c r="JC69" s="3">
        <v>1828.806</v>
      </c>
      <c r="JD69" s="3">
        <v>1838.672</v>
      </c>
      <c r="JE69" s="3">
        <v>1848.5940000000001</v>
      </c>
      <c r="JF69" s="3">
        <v>1858.5</v>
      </c>
      <c r="JG69" s="3">
        <v>1868.442</v>
      </c>
      <c r="JH69" s="3">
        <v>1878.412</v>
      </c>
      <c r="JI69" s="3">
        <v>1888.4259999999999</v>
      </c>
      <c r="JJ69" s="3">
        <v>1898.47</v>
      </c>
      <c r="JK69" s="3">
        <v>1908.558</v>
      </c>
      <c r="JL69" s="3">
        <v>1918.682</v>
      </c>
      <c r="JM69" s="3">
        <v>1928.797</v>
      </c>
      <c r="JN69" s="3">
        <v>1938.9760000000001</v>
      </c>
      <c r="JO69" s="3">
        <v>1949.184</v>
      </c>
      <c r="JP69" s="3">
        <v>1959.4159999999999</v>
      </c>
      <c r="JQ69" s="3">
        <v>1969.671</v>
      </c>
      <c r="JR69" s="3">
        <v>1979.9670000000001</v>
      </c>
      <c r="JS69" s="3">
        <v>1990.307</v>
      </c>
      <c r="JT69" s="3">
        <v>2000.675</v>
      </c>
      <c r="JU69" s="3">
        <v>2011.0909999999999</v>
      </c>
      <c r="JV69" s="3">
        <v>2021.5429999999999</v>
      </c>
      <c r="JW69" s="3">
        <v>2032.027</v>
      </c>
      <c r="JX69" s="3">
        <v>2042.549</v>
      </c>
      <c r="JY69" s="3">
        <v>2053.1019999999999</v>
      </c>
      <c r="JZ69" s="3">
        <v>2063.6970000000001</v>
      </c>
      <c r="KA69" s="3">
        <v>2074.355</v>
      </c>
      <c r="KB69" s="3">
        <v>2085.06</v>
      </c>
      <c r="KC69" s="3">
        <v>2095.7930000000001</v>
      </c>
      <c r="KD69" s="3">
        <v>2106.5819999999999</v>
      </c>
      <c r="KE69" s="3">
        <v>2117.4119999999998</v>
      </c>
      <c r="KF69" s="3">
        <v>2128.2649999999999</v>
      </c>
      <c r="KG69" s="3">
        <v>2139.1610000000001</v>
      </c>
      <c r="KH69" s="3">
        <v>2150.105</v>
      </c>
      <c r="KI69" s="3">
        <v>2161.056</v>
      </c>
      <c r="KJ69" s="3">
        <v>2172.0549999999998</v>
      </c>
      <c r="KK69" s="3">
        <v>2183.0639999999999</v>
      </c>
      <c r="KL69" s="3">
        <v>2194.1320000000001</v>
      </c>
      <c r="KM69" s="3">
        <v>2205.2429999999999</v>
      </c>
      <c r="KN69" s="3">
        <v>2216.38</v>
      </c>
      <c r="KO69" s="3">
        <v>2227.5439999999999</v>
      </c>
      <c r="KP69" s="3">
        <v>2238.777</v>
      </c>
      <c r="KQ69" s="3">
        <v>2250.029</v>
      </c>
      <c r="KR69" s="3">
        <v>2261.3040000000001</v>
      </c>
      <c r="KS69" s="3">
        <v>2272.6219999999998</v>
      </c>
      <c r="KT69" s="3">
        <v>2283.989</v>
      </c>
      <c r="KU69" s="3">
        <v>2295.3850000000002</v>
      </c>
      <c r="KV69" s="3">
        <v>2306.8429999999998</v>
      </c>
      <c r="KW69" s="3">
        <v>2318.2829999999999</v>
      </c>
      <c r="KX69" s="3">
        <v>2329.8220000000001</v>
      </c>
      <c r="KY69" s="3">
        <v>2341.375</v>
      </c>
      <c r="KZ69" s="3">
        <v>2352.92</v>
      </c>
      <c r="LA69" s="3">
        <v>2364.5320000000002</v>
      </c>
      <c r="LB69" s="3">
        <v>2376.1680000000001</v>
      </c>
      <c r="LC69" s="3">
        <v>2387.8850000000002</v>
      </c>
      <c r="LD69" s="3">
        <v>2399.6239999999998</v>
      </c>
      <c r="LE69" s="3">
        <v>2411.3649999999998</v>
      </c>
      <c r="LF69" s="3">
        <v>2423.194</v>
      </c>
      <c r="LG69" s="3">
        <v>2435.0529999999999</v>
      </c>
      <c r="LH69" s="3">
        <v>2446.9659999999999</v>
      </c>
      <c r="LI69" s="3">
        <v>2458.9299999999998</v>
      </c>
      <c r="LJ69" s="3">
        <v>2470.9369999999999</v>
      </c>
      <c r="LK69" s="3">
        <v>2483.0120000000002</v>
      </c>
      <c r="LL69" s="3">
        <v>2495.116</v>
      </c>
      <c r="LM69" s="3">
        <v>2507.2950000000001</v>
      </c>
      <c r="LN69" s="3">
        <v>2519.5129999999999</v>
      </c>
      <c r="LO69" s="3">
        <v>2531.7800000000002</v>
      </c>
      <c r="LP69" s="3">
        <v>2544.107</v>
      </c>
      <c r="LQ69" s="3">
        <v>2556.5010000000002</v>
      </c>
      <c r="LR69" s="3">
        <v>2568.922</v>
      </c>
      <c r="LS69" s="3">
        <v>2581.4110000000001</v>
      </c>
      <c r="LT69" s="3">
        <v>2593.9250000000002</v>
      </c>
      <c r="LU69" s="3">
        <v>2606.5239999999999</v>
      </c>
      <c r="LV69" s="3">
        <v>2619.163</v>
      </c>
      <c r="LW69" s="3">
        <v>2631.85</v>
      </c>
      <c r="LX69" s="3">
        <v>2644.614</v>
      </c>
      <c r="LY69" s="3">
        <v>2657.4189999999999</v>
      </c>
      <c r="LZ69" s="3">
        <v>2670.259</v>
      </c>
      <c r="MA69" s="3">
        <v>2683.174</v>
      </c>
      <c r="MB69" s="3">
        <v>2696.1289999999999</v>
      </c>
      <c r="MC69" s="3">
        <v>2709.1550000000002</v>
      </c>
      <c r="MD69" s="3">
        <v>2722.2310000000002</v>
      </c>
      <c r="ME69" s="3">
        <v>2735.364</v>
      </c>
      <c r="MF69" s="3">
        <v>2748.5549999999998</v>
      </c>
      <c r="MG69" s="3">
        <v>2761.808</v>
      </c>
      <c r="MH69" s="3">
        <v>2775.1280000000002</v>
      </c>
      <c r="MI69" s="3">
        <v>2788.4949999999999</v>
      </c>
      <c r="MJ69" s="3">
        <v>2801.93</v>
      </c>
      <c r="MK69" s="3">
        <v>2815.4209999999998</v>
      </c>
      <c r="ML69" s="3">
        <v>2828.9630000000002</v>
      </c>
      <c r="MM69" s="3">
        <v>2842.578</v>
      </c>
      <c r="MN69" s="3">
        <v>2856.24</v>
      </c>
      <c r="MO69" s="3">
        <v>2869.97</v>
      </c>
      <c r="MP69" s="3">
        <v>2883.768</v>
      </c>
      <c r="MQ69" s="3">
        <v>2897.6170000000002</v>
      </c>
      <c r="MR69" s="3">
        <v>2911.527</v>
      </c>
      <c r="MS69" s="3">
        <v>2925.4969999999998</v>
      </c>
      <c r="MT69" s="3">
        <v>2939.5239999999999</v>
      </c>
      <c r="MU69" t="s">
        <v>385</v>
      </c>
      <c r="MV69" t="b">
        <v>1</v>
      </c>
      <c r="MW69" s="1" t="s">
        <v>386</v>
      </c>
      <c r="MX69" t="s">
        <v>377</v>
      </c>
      <c r="MY69">
        <v>2024</v>
      </c>
      <c r="MZ69">
        <v>3</v>
      </c>
      <c r="NA69" t="s">
        <v>377</v>
      </c>
      <c r="NB69" s="1" t="s">
        <v>451</v>
      </c>
      <c r="NC69" s="1" t="s">
        <v>452</v>
      </c>
      <c r="ND69" t="s">
        <v>389</v>
      </c>
      <c r="NE69" t="s">
        <v>450</v>
      </c>
      <c r="NF69" s="1" t="s">
        <v>528</v>
      </c>
    </row>
    <row r="70" spans="1:370" x14ac:dyDescent="0.25">
      <c r="A70" t="s">
        <v>370</v>
      </c>
      <c r="B70" t="s">
        <v>390</v>
      </c>
      <c r="C70" s="1" t="s">
        <v>527</v>
      </c>
      <c r="D70" t="s">
        <v>372</v>
      </c>
      <c r="E70" t="s">
        <v>373</v>
      </c>
      <c r="F70" t="s">
        <v>374</v>
      </c>
      <c r="G70" s="2">
        <v>16141.32</v>
      </c>
      <c r="H70" s="2">
        <v>15761.6</v>
      </c>
      <c r="I70" s="2">
        <v>15887.1</v>
      </c>
      <c r="J70" s="2">
        <v>16340.84</v>
      </c>
      <c r="K70" s="2">
        <v>16527.48</v>
      </c>
      <c r="L70" s="2">
        <v>17109.93</v>
      </c>
      <c r="M70" s="2">
        <v>16784.919999999998</v>
      </c>
      <c r="N70" s="2">
        <v>17497.7</v>
      </c>
      <c r="O70" s="2">
        <v>16895.939999999999</v>
      </c>
      <c r="P70" s="2">
        <v>16410.02</v>
      </c>
      <c r="Q70" s="2">
        <v>17291.75</v>
      </c>
      <c r="R70" s="2">
        <v>16514.61</v>
      </c>
      <c r="S70" s="2">
        <v>16797.79</v>
      </c>
      <c r="T70" s="2">
        <v>17249.91</v>
      </c>
      <c r="U70" s="2">
        <v>17314.27</v>
      </c>
      <c r="V70" s="2">
        <v>17288.53</v>
      </c>
      <c r="W70" s="2">
        <v>16509.78</v>
      </c>
      <c r="X70" s="2">
        <v>17850.060000000001</v>
      </c>
      <c r="Y70" s="2">
        <v>17277.27</v>
      </c>
      <c r="Z70" s="2">
        <v>17983.61</v>
      </c>
      <c r="AA70" s="2">
        <v>18171.86</v>
      </c>
      <c r="AB70" s="2">
        <v>18430.91</v>
      </c>
      <c r="AC70" s="2">
        <v>17861.330000000002</v>
      </c>
      <c r="AD70" s="2">
        <v>17591.02</v>
      </c>
      <c r="AE70" s="2">
        <v>18372.98</v>
      </c>
      <c r="AF70" s="2">
        <v>18646.509999999998</v>
      </c>
      <c r="AG70" s="2">
        <v>18905.560000000001</v>
      </c>
      <c r="AH70" s="2">
        <v>18569.28</v>
      </c>
      <c r="AI70" s="2">
        <v>18319.89</v>
      </c>
      <c r="AJ70" s="2">
        <v>18007.75</v>
      </c>
      <c r="AK70" s="2">
        <v>17697.21</v>
      </c>
      <c r="AL70" s="2">
        <v>17259.57</v>
      </c>
      <c r="AM70" s="2">
        <v>16474.38</v>
      </c>
      <c r="AN70" s="2">
        <v>16442.2</v>
      </c>
      <c r="AO70" s="2">
        <v>16635.28</v>
      </c>
      <c r="AP70" s="2">
        <v>16595.060000000001</v>
      </c>
      <c r="AQ70" s="2">
        <v>16825.14</v>
      </c>
      <c r="AR70" s="2">
        <v>16926.509999999998</v>
      </c>
      <c r="AS70" s="2">
        <v>17586.189999999999</v>
      </c>
      <c r="AT70" s="2">
        <v>17439.77</v>
      </c>
      <c r="AU70" s="2">
        <v>17069.71</v>
      </c>
      <c r="AV70" s="2">
        <v>17183.95</v>
      </c>
      <c r="AW70" s="2">
        <v>17130.849999999999</v>
      </c>
      <c r="AX70" s="2">
        <v>18360.11</v>
      </c>
      <c r="AY70" s="2">
        <v>18355.29</v>
      </c>
      <c r="AZ70" s="2">
        <v>19235.400000000001</v>
      </c>
      <c r="BA70" s="2">
        <v>19655.34</v>
      </c>
      <c r="BB70" s="2">
        <v>20369.73</v>
      </c>
      <c r="BC70" s="2">
        <v>22601.39</v>
      </c>
      <c r="BD70" s="2">
        <v>20033.46</v>
      </c>
      <c r="BE70" s="2">
        <v>20541.89</v>
      </c>
      <c r="BF70" s="2">
        <v>20672.22</v>
      </c>
      <c r="BG70" s="2">
        <v>20701.18</v>
      </c>
      <c r="BH70" s="2">
        <v>19684.310000000001</v>
      </c>
      <c r="BI70" s="2">
        <v>20858.86</v>
      </c>
      <c r="BJ70" s="2">
        <v>21504.07</v>
      </c>
      <c r="BK70" s="2">
        <v>20059.2</v>
      </c>
      <c r="BL70" s="2">
        <v>20730.150000000001</v>
      </c>
      <c r="BM70" s="2">
        <v>22463.02</v>
      </c>
      <c r="BN70" s="2">
        <v>23907.89</v>
      </c>
      <c r="BO70" s="2">
        <v>24942.46</v>
      </c>
      <c r="BP70" s="2">
        <v>26202.3</v>
      </c>
      <c r="BQ70" s="2">
        <v>27618.21</v>
      </c>
      <c r="BR70" s="2">
        <v>28400.17</v>
      </c>
      <c r="BS70" s="2">
        <v>29542.55</v>
      </c>
      <c r="BT70" s="2">
        <v>29964.1</v>
      </c>
      <c r="BU70" s="2">
        <v>30734.81</v>
      </c>
      <c r="BV70" s="2">
        <v>29954.45</v>
      </c>
      <c r="BW70" s="2">
        <v>30036.51</v>
      </c>
      <c r="BX70" s="2">
        <v>30549.77</v>
      </c>
      <c r="BY70" s="2">
        <v>29954.45</v>
      </c>
      <c r="BZ70" s="2">
        <v>29571.51</v>
      </c>
      <c r="CA70" s="2">
        <v>29000.32</v>
      </c>
      <c r="CB70" s="2">
        <v>27787.15</v>
      </c>
      <c r="CC70" s="2">
        <v>26511.22</v>
      </c>
      <c r="CD70" s="2">
        <v>27193.43</v>
      </c>
      <c r="CE70" s="2">
        <v>27336.63</v>
      </c>
      <c r="CF70" s="2">
        <v>26749.35</v>
      </c>
      <c r="CG70" s="2">
        <v>26705.91</v>
      </c>
      <c r="CH70" s="2">
        <v>25526.53</v>
      </c>
      <c r="CI70" s="2">
        <v>26155.64</v>
      </c>
      <c r="CJ70" s="2">
        <v>25249.78</v>
      </c>
      <c r="CK70" s="2">
        <v>25272.31</v>
      </c>
      <c r="CL70" s="2">
        <v>25779.14</v>
      </c>
      <c r="CM70" s="2">
        <v>26289.18</v>
      </c>
      <c r="CN70" s="2">
        <v>26165.29</v>
      </c>
      <c r="CO70" s="2">
        <v>27072.76</v>
      </c>
      <c r="CP70" s="2">
        <v>27940</v>
      </c>
      <c r="CQ70" s="2">
        <v>27405.82</v>
      </c>
      <c r="CR70" s="2">
        <v>28374.43</v>
      </c>
      <c r="CS70" s="2">
        <v>29775.85</v>
      </c>
      <c r="CT70" s="2">
        <v>30244.07</v>
      </c>
      <c r="CU70" s="2">
        <v>31153.14</v>
      </c>
      <c r="CV70" s="2">
        <v>32063.83</v>
      </c>
      <c r="CW70" s="2">
        <v>32398.49</v>
      </c>
      <c r="CX70" s="2">
        <v>32279.43</v>
      </c>
      <c r="CY70" s="2">
        <v>35462</v>
      </c>
      <c r="CZ70" s="2">
        <v>37021</v>
      </c>
      <c r="DA70" s="2">
        <v>39279</v>
      </c>
      <c r="DB70" s="2">
        <v>40300</v>
      </c>
      <c r="DC70" s="2">
        <v>40946</v>
      </c>
      <c r="DD70" s="2">
        <v>40781</v>
      </c>
      <c r="DE70" s="2">
        <v>40414</v>
      </c>
      <c r="DF70" s="2">
        <v>41424</v>
      </c>
      <c r="DG70" s="2">
        <v>41135</v>
      </c>
      <c r="DH70" s="2">
        <v>41175</v>
      </c>
      <c r="DI70" s="2">
        <v>42369</v>
      </c>
      <c r="DJ70" s="2">
        <v>41945</v>
      </c>
      <c r="DK70" s="2">
        <v>43624</v>
      </c>
      <c r="DL70" s="2">
        <v>46153</v>
      </c>
      <c r="DM70" s="2">
        <v>43061</v>
      </c>
      <c r="DN70" s="2">
        <v>44611</v>
      </c>
      <c r="DO70" s="2">
        <v>44343</v>
      </c>
      <c r="DP70" s="2">
        <v>44742</v>
      </c>
      <c r="DQ70" s="2">
        <v>44742</v>
      </c>
      <c r="DR70" s="2">
        <v>42863</v>
      </c>
      <c r="DS70" s="2">
        <v>42091</v>
      </c>
      <c r="DT70" s="2">
        <v>41670</v>
      </c>
      <c r="DU70" s="2">
        <v>43962</v>
      </c>
      <c r="DV70" s="2">
        <v>45720</v>
      </c>
      <c r="DW70" s="2">
        <v>45673</v>
      </c>
      <c r="DX70" s="2">
        <v>41335</v>
      </c>
      <c r="DY70" s="2">
        <v>42368</v>
      </c>
      <c r="DZ70" s="2">
        <v>42114</v>
      </c>
      <c r="EA70" s="2">
        <v>42450</v>
      </c>
      <c r="EB70" s="2">
        <v>39055</v>
      </c>
      <c r="EC70" s="2">
        <v>41359</v>
      </c>
      <c r="ED70" s="2">
        <v>42269</v>
      </c>
      <c r="EE70" s="2">
        <v>42057</v>
      </c>
      <c r="EF70" s="2">
        <v>43213.5</v>
      </c>
      <c r="EG70" s="2">
        <v>44370</v>
      </c>
      <c r="EH70" s="2">
        <v>44148</v>
      </c>
      <c r="EI70" s="2">
        <v>46400</v>
      </c>
      <c r="EJ70" s="2">
        <v>44590</v>
      </c>
      <c r="EK70" s="2">
        <v>48023</v>
      </c>
      <c r="EL70" s="2">
        <v>48119</v>
      </c>
      <c r="EM70" s="2">
        <v>50429</v>
      </c>
      <c r="EN70" s="2">
        <v>51135</v>
      </c>
      <c r="EO70" s="2">
        <v>48885</v>
      </c>
      <c r="EP70" s="2">
        <v>52991</v>
      </c>
      <c r="EQ70" s="2">
        <v>49124</v>
      </c>
      <c r="ER70" s="2">
        <v>50990</v>
      </c>
      <c r="ES70" s="2">
        <v>49052</v>
      </c>
      <c r="ET70" s="2">
        <v>47384</v>
      </c>
      <c r="EU70" s="2">
        <v>43119</v>
      </c>
      <c r="EV70" s="2">
        <v>40877</v>
      </c>
      <c r="EW70" s="2">
        <v>39978</v>
      </c>
      <c r="EX70" s="2">
        <v>39618</v>
      </c>
      <c r="EY70" s="2">
        <v>41479</v>
      </c>
      <c r="EZ70" s="2">
        <v>40858</v>
      </c>
      <c r="FA70" s="2">
        <v>42697</v>
      </c>
      <c r="FB70" s="2">
        <v>45515</v>
      </c>
      <c r="FC70" s="2">
        <v>42330</v>
      </c>
      <c r="FD70" s="2">
        <v>44742</v>
      </c>
      <c r="FE70" s="2">
        <v>46218</v>
      </c>
      <c r="FF70" s="2">
        <v>47373</v>
      </c>
      <c r="FG70" s="2">
        <v>49127</v>
      </c>
      <c r="FH70" s="2">
        <v>47014</v>
      </c>
      <c r="FI70" s="2">
        <v>47249</v>
      </c>
      <c r="FJ70" s="2">
        <v>49989</v>
      </c>
      <c r="FK70" s="2">
        <v>48539</v>
      </c>
      <c r="FL70" s="2">
        <v>49510</v>
      </c>
      <c r="FM70" s="2">
        <v>51243</v>
      </c>
      <c r="FN70" s="2">
        <v>51038</v>
      </c>
      <c r="FO70" s="2">
        <v>52059</v>
      </c>
      <c r="FP70" s="2">
        <v>52215</v>
      </c>
      <c r="FQ70" s="2">
        <v>52581</v>
      </c>
      <c r="FR70" s="2">
        <v>54474</v>
      </c>
      <c r="FS70" s="2">
        <v>57960</v>
      </c>
      <c r="FT70" s="2">
        <v>56395</v>
      </c>
      <c r="FU70" s="2">
        <v>56508</v>
      </c>
      <c r="FV70" s="2">
        <v>60238</v>
      </c>
      <c r="FW70" s="2">
        <v>61684</v>
      </c>
      <c r="FX70" s="2">
        <v>61499</v>
      </c>
      <c r="FY70" s="2">
        <v>62975</v>
      </c>
      <c r="FZ70" s="2">
        <v>60645</v>
      </c>
      <c r="GA70" s="2">
        <v>62040</v>
      </c>
      <c r="GB70" s="2">
        <v>61730</v>
      </c>
      <c r="GC70" s="2">
        <v>60681</v>
      </c>
      <c r="GD70" s="2">
        <v>61713</v>
      </c>
      <c r="GE70" s="2">
        <v>61342</v>
      </c>
      <c r="GF70" s="2">
        <v>60055</v>
      </c>
      <c r="GG70" s="2">
        <v>60115</v>
      </c>
      <c r="GH70" s="2">
        <v>60536</v>
      </c>
      <c r="GI70" s="2">
        <v>61201</v>
      </c>
      <c r="GJ70" s="2">
        <v>62181</v>
      </c>
      <c r="GK70" s="2">
        <v>61932</v>
      </c>
      <c r="GL70" s="2">
        <v>61994</v>
      </c>
      <c r="GM70" s="2">
        <v>60599</v>
      </c>
      <c r="GN70" s="2">
        <v>48951</v>
      </c>
      <c r="GO70" s="2">
        <v>54710</v>
      </c>
      <c r="GP70" s="2">
        <v>57775</v>
      </c>
      <c r="GQ70" s="2">
        <v>53828</v>
      </c>
      <c r="GR70" s="2">
        <v>57987</v>
      </c>
      <c r="GS70" s="2">
        <v>56998</v>
      </c>
      <c r="GT70" s="2">
        <v>57178</v>
      </c>
      <c r="GU70" s="2">
        <v>58903</v>
      </c>
      <c r="GV70" s="2">
        <v>60332</v>
      </c>
      <c r="GW70" s="2">
        <v>60887</v>
      </c>
      <c r="GX70" s="2">
        <v>59248</v>
      </c>
      <c r="GY70" s="2">
        <v>62590</v>
      </c>
      <c r="GZ70" s="2">
        <v>63199</v>
      </c>
      <c r="HA70" s="2">
        <v>61724</v>
      </c>
      <c r="HB70" s="2">
        <v>62795</v>
      </c>
      <c r="HC70" s="2">
        <v>62978</v>
      </c>
      <c r="HD70" s="2">
        <v>64099</v>
      </c>
      <c r="HE70" s="2">
        <v>65327</v>
      </c>
      <c r="HF70" s="3">
        <v>64366.69</v>
      </c>
      <c r="HG70" s="3">
        <v>64431.09</v>
      </c>
      <c r="HH70" s="3">
        <v>64650.15</v>
      </c>
      <c r="HI70" s="3">
        <v>64934.61</v>
      </c>
      <c r="HJ70" s="3">
        <v>65226.83</v>
      </c>
      <c r="HK70" s="3">
        <v>65657.279999999999</v>
      </c>
      <c r="HL70" s="3">
        <v>66116.899999999994</v>
      </c>
      <c r="HM70" s="3">
        <v>66612.789999999994</v>
      </c>
      <c r="HN70" s="3">
        <v>67079.09</v>
      </c>
      <c r="HO70" s="3">
        <v>67515.100000000006</v>
      </c>
      <c r="HP70" s="3">
        <v>67920.17</v>
      </c>
      <c r="HQ70" s="3">
        <v>68327.679999999993</v>
      </c>
      <c r="HR70" s="3">
        <v>68737.69</v>
      </c>
      <c r="HS70" s="3">
        <v>69150.11</v>
      </c>
      <c r="HT70" s="3">
        <v>69565.02</v>
      </c>
      <c r="HU70" s="3">
        <v>69982.399999999994</v>
      </c>
      <c r="HV70" s="3">
        <v>70402.3</v>
      </c>
      <c r="HW70" s="3">
        <v>70824.710000000006</v>
      </c>
      <c r="HX70" s="3">
        <v>71249.66</v>
      </c>
      <c r="HY70" s="3">
        <v>71677.16</v>
      </c>
      <c r="HZ70" s="3">
        <v>72107.22</v>
      </c>
      <c r="IA70" s="3">
        <v>72547.070000000007</v>
      </c>
      <c r="IB70" s="3">
        <v>72989.61</v>
      </c>
      <c r="IC70" s="3">
        <v>73434.84</v>
      </c>
      <c r="ID70" s="3">
        <v>73882.8</v>
      </c>
      <c r="IE70" s="3">
        <v>74333.48</v>
      </c>
      <c r="IF70" s="3">
        <v>74786.92</v>
      </c>
      <c r="IG70" s="3">
        <v>75243.12</v>
      </c>
      <c r="IH70" s="3">
        <v>75702.100000000006</v>
      </c>
      <c r="II70" s="3">
        <v>76163.88</v>
      </c>
      <c r="IJ70" s="3">
        <v>76628.479999999996</v>
      </c>
      <c r="IK70" s="3">
        <v>77095.92</v>
      </c>
      <c r="IL70" s="3">
        <v>77566.2</v>
      </c>
      <c r="IM70" s="3">
        <v>78007.77</v>
      </c>
      <c r="IN70" s="3">
        <v>78448.27</v>
      </c>
      <c r="IO70" s="3">
        <v>78884.600000000006</v>
      </c>
      <c r="IP70" s="3">
        <v>79316.12</v>
      </c>
      <c r="IQ70" s="3">
        <v>79761.7</v>
      </c>
      <c r="IR70" s="3">
        <v>80196.78</v>
      </c>
      <c r="IS70" s="3">
        <v>80629.570000000007</v>
      </c>
      <c r="IT70" s="3">
        <v>81056.88</v>
      </c>
      <c r="IU70" s="3">
        <v>81493.55</v>
      </c>
      <c r="IV70" s="3">
        <v>81932.38</v>
      </c>
      <c r="IW70" s="3">
        <v>82373.320000000007</v>
      </c>
      <c r="IX70" s="3">
        <v>82816.39</v>
      </c>
      <c r="IY70" s="3">
        <v>83268.78</v>
      </c>
      <c r="IZ70" s="3">
        <v>83723.710000000006</v>
      </c>
      <c r="JA70" s="3">
        <v>84181.19</v>
      </c>
      <c r="JB70" s="3">
        <v>84641.2</v>
      </c>
      <c r="JC70" s="3">
        <v>85103.8</v>
      </c>
      <c r="JD70" s="3">
        <v>85568.95</v>
      </c>
      <c r="JE70" s="3">
        <v>86036.7</v>
      </c>
      <c r="JF70" s="3">
        <v>86507.05</v>
      </c>
      <c r="JG70" s="3">
        <v>86987.25</v>
      </c>
      <c r="JH70" s="3">
        <v>87470.2</v>
      </c>
      <c r="JI70" s="3">
        <v>87956.01</v>
      </c>
      <c r="JJ70" s="3">
        <v>88444.68</v>
      </c>
      <c r="JK70" s="3">
        <v>88936.21</v>
      </c>
      <c r="JL70" s="3">
        <v>89430.63</v>
      </c>
      <c r="JM70" s="3">
        <v>89927.97</v>
      </c>
      <c r="JN70" s="3">
        <v>90428.25</v>
      </c>
      <c r="JO70" s="3">
        <v>90911.13</v>
      </c>
      <c r="JP70" s="3">
        <v>91396.57</v>
      </c>
      <c r="JQ70" s="3">
        <v>91884.63</v>
      </c>
      <c r="JR70" s="3">
        <v>92375.3</v>
      </c>
      <c r="JS70" s="3">
        <v>92857.53</v>
      </c>
      <c r="JT70" s="3">
        <v>93342.17</v>
      </c>
      <c r="JU70" s="3">
        <v>93829.27</v>
      </c>
      <c r="JV70" s="3">
        <v>94318.77</v>
      </c>
      <c r="JW70" s="3">
        <v>94810.74</v>
      </c>
      <c r="JX70" s="3">
        <v>95305.15</v>
      </c>
      <c r="JY70" s="3">
        <v>95802</v>
      </c>
      <c r="JZ70" s="3">
        <v>96301.33</v>
      </c>
      <c r="KA70" s="3">
        <v>96803.1</v>
      </c>
      <c r="KB70" s="3">
        <v>97307.34</v>
      </c>
      <c r="KC70" s="3">
        <v>97814.02</v>
      </c>
      <c r="KD70" s="3">
        <v>98323.13</v>
      </c>
      <c r="KE70" s="3">
        <v>98834.67</v>
      </c>
      <c r="KF70" s="3">
        <v>99348.68</v>
      </c>
      <c r="KG70" s="3">
        <v>99865.12</v>
      </c>
      <c r="KH70" s="3">
        <v>100384</v>
      </c>
      <c r="KI70" s="3">
        <v>100905.4</v>
      </c>
      <c r="KJ70" s="3">
        <v>101429.2</v>
      </c>
      <c r="KK70" s="3">
        <v>101955.5</v>
      </c>
      <c r="KL70" s="3">
        <v>102484.4</v>
      </c>
      <c r="KM70" s="3">
        <v>103015.7</v>
      </c>
      <c r="KN70" s="3">
        <v>103549.5</v>
      </c>
      <c r="KO70" s="3">
        <v>104085.9</v>
      </c>
      <c r="KP70" s="3">
        <v>104624.8</v>
      </c>
      <c r="KQ70" s="3">
        <v>105166.2</v>
      </c>
      <c r="KR70" s="3">
        <v>105710.2</v>
      </c>
      <c r="KS70" s="3">
        <v>106256.8</v>
      </c>
      <c r="KT70" s="3">
        <v>106806</v>
      </c>
      <c r="KU70" s="3">
        <v>107357.7</v>
      </c>
      <c r="KV70" s="3">
        <v>107912.1</v>
      </c>
      <c r="KW70" s="3">
        <v>108469.1</v>
      </c>
      <c r="KX70" s="3">
        <v>109028.8</v>
      </c>
      <c r="KY70" s="3">
        <v>109591</v>
      </c>
      <c r="KZ70" s="3">
        <v>110155.9</v>
      </c>
      <c r="LA70" s="3">
        <v>110723.4</v>
      </c>
      <c r="LB70" s="3">
        <v>111293.5</v>
      </c>
      <c r="LC70" s="3">
        <v>111849.60000000001</v>
      </c>
      <c r="LD70" s="3">
        <v>112408.1</v>
      </c>
      <c r="LE70" s="3">
        <v>112968.9</v>
      </c>
      <c r="LF70" s="3">
        <v>113532.1</v>
      </c>
      <c r="LG70" s="3">
        <v>114070.3</v>
      </c>
      <c r="LH70" s="3">
        <v>114610.6</v>
      </c>
      <c r="LI70" s="3">
        <v>115148.2</v>
      </c>
      <c r="LJ70" s="3">
        <v>115687.7</v>
      </c>
      <c r="LK70" s="3">
        <v>116229.1</v>
      </c>
      <c r="LL70" s="3">
        <v>116772.5</v>
      </c>
      <c r="LM70" s="3">
        <v>117309.5</v>
      </c>
      <c r="LN70" s="3">
        <v>117848.3</v>
      </c>
      <c r="LO70" s="3">
        <v>118388.9</v>
      </c>
      <c r="LP70" s="3">
        <v>118931.2</v>
      </c>
      <c r="LQ70" s="3">
        <v>119475.4</v>
      </c>
      <c r="LR70" s="3">
        <v>120021.4</v>
      </c>
      <c r="LS70" s="3">
        <v>120569.3</v>
      </c>
      <c r="LT70" s="3">
        <v>121119</v>
      </c>
      <c r="LU70" s="3">
        <v>121666.5</v>
      </c>
      <c r="LV70" s="3">
        <v>122215.7</v>
      </c>
      <c r="LW70" s="3">
        <v>122766.6</v>
      </c>
      <c r="LX70" s="3">
        <v>123319.3</v>
      </c>
      <c r="LY70" s="3">
        <v>123870.5</v>
      </c>
      <c r="LZ70" s="3">
        <v>124423.4</v>
      </c>
      <c r="MA70" s="3">
        <v>124977.9</v>
      </c>
      <c r="MB70" s="3">
        <v>125534.2</v>
      </c>
      <c r="MC70" s="3">
        <v>126092.3</v>
      </c>
      <c r="MD70" s="3">
        <v>126652.2</v>
      </c>
      <c r="ME70" s="3">
        <v>127213.9</v>
      </c>
      <c r="MF70" s="3">
        <v>127777.3</v>
      </c>
      <c r="MG70" s="3">
        <v>128346.6</v>
      </c>
      <c r="MH70" s="3">
        <v>128917.8</v>
      </c>
      <c r="MI70" s="3">
        <v>129490.9</v>
      </c>
      <c r="MJ70" s="3">
        <v>130065.9</v>
      </c>
      <c r="MK70" s="3">
        <v>130641.5</v>
      </c>
      <c r="ML70" s="3">
        <v>131219</v>
      </c>
      <c r="MM70" s="3">
        <v>131798.39999999999</v>
      </c>
      <c r="MN70" s="3">
        <v>132379.6</v>
      </c>
      <c r="MO70" s="3">
        <v>132967.29999999999</v>
      </c>
      <c r="MP70" s="3">
        <v>133556.9</v>
      </c>
      <c r="MQ70" s="3">
        <v>134148.5</v>
      </c>
      <c r="MR70" s="3">
        <v>134742</v>
      </c>
      <c r="MS70" s="3">
        <v>135337.60000000001</v>
      </c>
      <c r="MT70" s="3">
        <v>135935.29999999999</v>
      </c>
      <c r="MU70" t="s">
        <v>375</v>
      </c>
      <c r="MV70" t="b">
        <v>1</v>
      </c>
      <c r="MW70" s="1" t="s">
        <v>376</v>
      </c>
      <c r="MX70" t="s">
        <v>377</v>
      </c>
      <c r="MY70">
        <v>2024</v>
      </c>
      <c r="MZ70">
        <v>3</v>
      </c>
      <c r="NA70" t="s">
        <v>377</v>
      </c>
      <c r="NB70" t="s">
        <v>391</v>
      </c>
      <c r="NC70" s="1" t="s">
        <v>392</v>
      </c>
      <c r="ND70" t="s">
        <v>380</v>
      </c>
      <c r="NE70" t="s">
        <v>393</v>
      </c>
      <c r="NF70" s="1" t="s">
        <v>528</v>
      </c>
    </row>
    <row r="71" spans="1:370" x14ac:dyDescent="0.25">
      <c r="A71" t="s">
        <v>382</v>
      </c>
      <c r="B71" t="s">
        <v>390</v>
      </c>
      <c r="C71" s="1" t="s">
        <v>527</v>
      </c>
      <c r="D71" t="s">
        <v>383</v>
      </c>
      <c r="E71" t="s">
        <v>384</v>
      </c>
      <c r="F71" t="s">
        <v>374</v>
      </c>
      <c r="G71" s="2">
        <v>102.5</v>
      </c>
      <c r="H71" s="2">
        <v>106.3</v>
      </c>
      <c r="I71" s="2">
        <v>107.95</v>
      </c>
      <c r="J71" s="2">
        <v>108.75</v>
      </c>
      <c r="K71" s="2">
        <v>108.65</v>
      </c>
      <c r="L71" s="2">
        <v>108.45</v>
      </c>
      <c r="M71" s="2">
        <v>107.35</v>
      </c>
      <c r="N71" s="2">
        <v>104.52500000000001</v>
      </c>
      <c r="O71" s="2">
        <v>98.55</v>
      </c>
      <c r="P71" s="2">
        <v>96.2</v>
      </c>
      <c r="Q71" s="2">
        <v>97.224999999999994</v>
      </c>
      <c r="R71" s="2">
        <v>98.375</v>
      </c>
      <c r="S71" s="2">
        <v>100.47499999999999</v>
      </c>
      <c r="T71" s="2">
        <v>101.825</v>
      </c>
      <c r="U71" s="2">
        <v>104.05</v>
      </c>
      <c r="V71" s="2">
        <v>106.05</v>
      </c>
      <c r="W71" s="2">
        <v>109.925</v>
      </c>
      <c r="X71" s="2">
        <v>112.95</v>
      </c>
      <c r="Y71" s="2">
        <v>115.2</v>
      </c>
      <c r="Z71" s="2">
        <v>118.72499999999999</v>
      </c>
      <c r="AA71" s="2">
        <v>119.75</v>
      </c>
      <c r="AB71" s="2">
        <v>129.02500000000001</v>
      </c>
      <c r="AC71" s="2">
        <v>133.42500000000001</v>
      </c>
      <c r="AD71" s="2">
        <v>137.72499999999999</v>
      </c>
      <c r="AE71" s="2">
        <v>140.9</v>
      </c>
      <c r="AF71" s="2">
        <v>140.75</v>
      </c>
      <c r="AG71" s="2">
        <v>144.92500000000001</v>
      </c>
      <c r="AH71" s="2">
        <v>145.32499999999999</v>
      </c>
      <c r="AI71" s="2">
        <v>146.9</v>
      </c>
      <c r="AJ71" s="2">
        <v>140.1</v>
      </c>
      <c r="AK71" s="2">
        <v>141.02500000000001</v>
      </c>
      <c r="AL71" s="2">
        <v>143.97499999999999</v>
      </c>
      <c r="AM71" s="2">
        <v>146.9</v>
      </c>
      <c r="AN71" s="2">
        <v>149.875</v>
      </c>
      <c r="AO71" s="2">
        <v>153.375</v>
      </c>
      <c r="AP71" s="2">
        <v>156.94999999999999</v>
      </c>
      <c r="AQ71" s="2">
        <v>153.65</v>
      </c>
      <c r="AR71" s="2">
        <v>148.875</v>
      </c>
      <c r="AS71" s="2">
        <v>144.6</v>
      </c>
      <c r="AT71" s="2">
        <v>142.1</v>
      </c>
      <c r="AU71" s="2">
        <v>139.97499999999999</v>
      </c>
      <c r="AV71" s="2">
        <v>141.92500000000001</v>
      </c>
      <c r="AW71" s="2">
        <v>147.9</v>
      </c>
      <c r="AX71" s="2">
        <v>156.82499999999999</v>
      </c>
      <c r="AY71" s="2">
        <v>161.82499999999999</v>
      </c>
      <c r="AZ71" s="2">
        <v>169.375</v>
      </c>
      <c r="BA71" s="2">
        <v>174.55</v>
      </c>
      <c r="BB71" s="2">
        <v>178.67500000000001</v>
      </c>
      <c r="BC71" s="2">
        <v>180.67500000000001</v>
      </c>
      <c r="BD71" s="2">
        <v>183.25</v>
      </c>
      <c r="BE71" s="2">
        <v>181.17500000000001</v>
      </c>
      <c r="BF71" s="2">
        <v>184.45</v>
      </c>
      <c r="BG71" s="2">
        <v>182.625</v>
      </c>
      <c r="BH71" s="2">
        <v>178.92500000000001</v>
      </c>
      <c r="BI71" s="2">
        <v>176.875</v>
      </c>
      <c r="BJ71" s="2">
        <v>178.57499999999999</v>
      </c>
      <c r="BK71" s="2">
        <v>174.35</v>
      </c>
      <c r="BL71" s="2">
        <v>177.875</v>
      </c>
      <c r="BM71" s="2">
        <v>182.8</v>
      </c>
      <c r="BN71" s="2">
        <v>182.57499999999999</v>
      </c>
      <c r="BO71" s="2">
        <v>184.05</v>
      </c>
      <c r="BP71" s="2">
        <v>188.15</v>
      </c>
      <c r="BQ71" s="2">
        <v>189.32499999999999</v>
      </c>
      <c r="BR71" s="2">
        <v>191.97499999999999</v>
      </c>
      <c r="BS71" s="2">
        <v>195.05</v>
      </c>
      <c r="BT71" s="2">
        <v>197.67500000000001</v>
      </c>
      <c r="BU71" s="2">
        <v>202.7</v>
      </c>
      <c r="BV71" s="2">
        <v>200.67500000000001</v>
      </c>
      <c r="BW71" s="2">
        <v>203.25</v>
      </c>
      <c r="BX71" s="2">
        <v>200.6</v>
      </c>
      <c r="BY71" s="2">
        <v>202</v>
      </c>
      <c r="BZ71" s="2">
        <v>198.82499999999999</v>
      </c>
      <c r="CA71" s="2">
        <v>194.85</v>
      </c>
      <c r="CB71" s="2">
        <v>193.875</v>
      </c>
      <c r="CC71" s="2">
        <v>192.2</v>
      </c>
      <c r="CD71" s="2">
        <v>192.1</v>
      </c>
      <c r="CE71" s="2">
        <v>191.35</v>
      </c>
      <c r="CF71" s="2">
        <v>197.52500000000001</v>
      </c>
      <c r="CG71" s="2">
        <v>200.55</v>
      </c>
      <c r="CH71" s="2">
        <v>205.8</v>
      </c>
      <c r="CI71" s="2">
        <v>207.85</v>
      </c>
      <c r="CJ71" s="2">
        <v>211.92500000000001</v>
      </c>
      <c r="CK71" s="2">
        <v>213.65</v>
      </c>
      <c r="CL71" s="2">
        <v>221.35</v>
      </c>
      <c r="CM71" s="2">
        <v>223.67500000000001</v>
      </c>
      <c r="CN71" s="2">
        <v>227.17500000000001</v>
      </c>
      <c r="CO71" s="2">
        <v>231.05</v>
      </c>
      <c r="CP71" s="2">
        <v>240.07499999999999</v>
      </c>
      <c r="CQ71" s="2">
        <v>248.95</v>
      </c>
      <c r="CR71" s="2">
        <v>251.32499999999999</v>
      </c>
      <c r="CS71" s="2">
        <v>252.92500000000001</v>
      </c>
      <c r="CT71" s="2">
        <v>257.82499999999999</v>
      </c>
      <c r="CU71" s="2">
        <v>264.35000000000002</v>
      </c>
      <c r="CV71" s="2">
        <v>271.39999999999998</v>
      </c>
      <c r="CW71" s="2">
        <v>279.95</v>
      </c>
      <c r="CX71" s="2">
        <v>287.05</v>
      </c>
      <c r="CY71" s="2">
        <v>293.7</v>
      </c>
      <c r="CZ71" s="2">
        <v>299.82499999999999</v>
      </c>
      <c r="DA71" s="2">
        <v>313</v>
      </c>
      <c r="DB71" s="2">
        <v>315</v>
      </c>
      <c r="DC71" s="2">
        <v>325.22500000000002</v>
      </c>
      <c r="DD71" s="2">
        <v>336.22500000000002</v>
      </c>
      <c r="DE71" s="2">
        <v>341.52499999999998</v>
      </c>
      <c r="DF71" s="2">
        <v>351.5</v>
      </c>
      <c r="DG71" s="2">
        <v>359.27499999999998</v>
      </c>
      <c r="DH71" s="2">
        <v>368.82499999999999</v>
      </c>
      <c r="DI71" s="2">
        <v>379.375</v>
      </c>
      <c r="DJ71" s="2">
        <v>381.07499999999999</v>
      </c>
      <c r="DK71" s="2">
        <v>395.02499999999998</v>
      </c>
      <c r="DL71" s="2">
        <v>407.35</v>
      </c>
      <c r="DM71" s="2">
        <v>411.8</v>
      </c>
      <c r="DN71" s="2">
        <v>413.35</v>
      </c>
      <c r="DO71" s="2">
        <v>409.65</v>
      </c>
      <c r="DP71" s="2">
        <v>401.17500000000001</v>
      </c>
      <c r="DQ71" s="2">
        <v>396.42500000000001</v>
      </c>
      <c r="DR71" s="2">
        <v>385.02499999999998</v>
      </c>
      <c r="DS71" s="2">
        <v>375.8</v>
      </c>
      <c r="DT71" s="2">
        <v>371.57499999999999</v>
      </c>
      <c r="DU71" s="2">
        <v>370.35</v>
      </c>
      <c r="DV71" s="2">
        <v>365.375</v>
      </c>
      <c r="DW71" s="2">
        <v>367.17500000000001</v>
      </c>
      <c r="DX71" s="2">
        <v>377.32499999999999</v>
      </c>
      <c r="DY71" s="2">
        <v>385.32499999999999</v>
      </c>
      <c r="DZ71" s="2">
        <v>390.17500000000001</v>
      </c>
      <c r="EA71" s="2">
        <v>386.32499999999999</v>
      </c>
      <c r="EB71" s="2">
        <v>395.97500000000002</v>
      </c>
      <c r="EC71" s="2">
        <v>407.3</v>
      </c>
      <c r="ED71" s="2">
        <v>415.67500000000001</v>
      </c>
      <c r="EE71" s="2">
        <v>421.7</v>
      </c>
      <c r="EF71" s="2">
        <v>428.52499999999998</v>
      </c>
      <c r="EG71" s="2">
        <v>437.45</v>
      </c>
      <c r="EH71" s="2">
        <v>440.82499999999999</v>
      </c>
      <c r="EI71" s="2">
        <v>455.625</v>
      </c>
      <c r="EJ71" s="2">
        <v>463.57499999999999</v>
      </c>
      <c r="EK71" s="2">
        <v>471.52499999999998</v>
      </c>
      <c r="EL71" s="2">
        <v>476.52499999999998</v>
      </c>
      <c r="EM71" s="2">
        <v>485.1</v>
      </c>
      <c r="EN71" s="2">
        <v>495.875</v>
      </c>
      <c r="EO71" s="2">
        <v>503.65</v>
      </c>
      <c r="EP71" s="2">
        <v>511.42500000000001</v>
      </c>
      <c r="EQ71" s="2">
        <v>513.45000000000005</v>
      </c>
      <c r="ER71" s="2">
        <v>514.5</v>
      </c>
      <c r="ES71" s="2">
        <v>504.9</v>
      </c>
      <c r="ET71" s="2">
        <v>475.47500000000002</v>
      </c>
      <c r="EU71" s="2">
        <v>439.65</v>
      </c>
      <c r="EV71" s="2">
        <v>426.27499999999998</v>
      </c>
      <c r="EW71" s="2">
        <v>423.8</v>
      </c>
      <c r="EX71" s="2">
        <v>426.65</v>
      </c>
      <c r="EY71" s="2">
        <v>429.67500000000001</v>
      </c>
      <c r="EZ71" s="2">
        <v>443.82499999999999</v>
      </c>
      <c r="FA71" s="2">
        <v>455.92500000000001</v>
      </c>
      <c r="FB71" s="2">
        <v>464.85</v>
      </c>
      <c r="FC71" s="2">
        <v>464.32499999999999</v>
      </c>
      <c r="FD71" s="2">
        <v>476.42500000000001</v>
      </c>
      <c r="FE71" s="2">
        <v>498.85</v>
      </c>
      <c r="FF71" s="2">
        <v>511.65</v>
      </c>
      <c r="FG71" s="2">
        <v>524.82500000000005</v>
      </c>
      <c r="FH71" s="2">
        <v>536.67499999999995</v>
      </c>
      <c r="FI71" s="2">
        <v>534.9</v>
      </c>
      <c r="FJ71" s="2">
        <v>540.72500000000002</v>
      </c>
      <c r="FK71" s="2">
        <v>549.07500000000005</v>
      </c>
      <c r="FL71" s="2">
        <v>551.9</v>
      </c>
      <c r="FM71" s="2">
        <v>562.04999999999995</v>
      </c>
      <c r="FN71" s="2">
        <v>575.54999999999995</v>
      </c>
      <c r="FO71" s="2">
        <v>584.85</v>
      </c>
      <c r="FP71" s="2">
        <v>601.6</v>
      </c>
      <c r="FQ71" s="2">
        <v>614.625</v>
      </c>
      <c r="FR71" s="2">
        <v>619.97500000000002</v>
      </c>
      <c r="FS71" s="2">
        <v>620.27499999999998</v>
      </c>
      <c r="FT71" s="2">
        <v>624.6</v>
      </c>
      <c r="FU71" s="2">
        <v>628.4</v>
      </c>
      <c r="FV71" s="2">
        <v>625.625</v>
      </c>
      <c r="FW71" s="2">
        <v>626.15</v>
      </c>
      <c r="FX71" s="2">
        <v>631.47500000000002</v>
      </c>
      <c r="FY71" s="2">
        <v>641</v>
      </c>
      <c r="FZ71" s="2">
        <v>646.15</v>
      </c>
      <c r="GA71" s="2">
        <v>652.6</v>
      </c>
      <c r="GB71" s="2">
        <v>659.95</v>
      </c>
      <c r="GC71" s="2">
        <v>666.3</v>
      </c>
      <c r="GD71" s="2">
        <v>682.22500000000002</v>
      </c>
      <c r="GE71" s="2">
        <v>701.32500000000005</v>
      </c>
      <c r="GF71" s="2">
        <v>709.27499999999998</v>
      </c>
      <c r="GG71" s="2">
        <v>713.65</v>
      </c>
      <c r="GH71" s="2">
        <v>720.1</v>
      </c>
      <c r="GI71" s="2">
        <v>724.95</v>
      </c>
      <c r="GJ71" s="2">
        <v>738.75</v>
      </c>
      <c r="GK71" s="2">
        <v>745.875</v>
      </c>
      <c r="GL71" s="2">
        <v>742.57500000000005</v>
      </c>
      <c r="GM71" s="2">
        <v>728.47500000000002</v>
      </c>
      <c r="GN71" s="2">
        <v>669.9</v>
      </c>
      <c r="GO71" s="2">
        <v>699.2</v>
      </c>
      <c r="GP71" s="2">
        <v>717.9</v>
      </c>
      <c r="GQ71" s="2">
        <v>734.47500000000002</v>
      </c>
      <c r="GR71" s="2">
        <v>750.35</v>
      </c>
      <c r="GS71" s="2">
        <v>747.05</v>
      </c>
      <c r="GT71" s="2">
        <v>753.32500000000005</v>
      </c>
      <c r="GU71" s="2">
        <v>777.67499999999995</v>
      </c>
      <c r="GV71" s="2">
        <v>791.47500000000002</v>
      </c>
      <c r="GW71" s="2">
        <v>806.27499999999998</v>
      </c>
      <c r="GX71" s="2">
        <v>817.5</v>
      </c>
      <c r="GY71" s="2">
        <v>828.2</v>
      </c>
      <c r="GZ71" s="2">
        <v>847.9</v>
      </c>
      <c r="HA71" s="2">
        <v>850.22500000000002</v>
      </c>
      <c r="HB71" s="2">
        <v>858.22500000000002</v>
      </c>
      <c r="HC71" s="2">
        <v>867.75</v>
      </c>
      <c r="HD71" s="2">
        <v>876.02499999999998</v>
      </c>
      <c r="HE71" s="2">
        <v>884.7</v>
      </c>
      <c r="HF71" s="3">
        <v>885.98</v>
      </c>
      <c r="HG71" s="3">
        <v>894.60239999999999</v>
      </c>
      <c r="HH71" s="3">
        <v>905.49490000000003</v>
      </c>
      <c r="HI71" s="3">
        <v>918.97699999999998</v>
      </c>
      <c r="HJ71" s="3">
        <v>932.92340000000002</v>
      </c>
      <c r="HK71" s="3">
        <v>947.01459999999997</v>
      </c>
      <c r="HL71" s="3">
        <v>960.54809999999998</v>
      </c>
      <c r="HM71" s="3">
        <v>973.74530000000004</v>
      </c>
      <c r="HN71" s="3">
        <v>986.52700000000004</v>
      </c>
      <c r="HO71" s="3">
        <v>999.26620000000003</v>
      </c>
      <c r="HP71" s="3">
        <v>1011.772</v>
      </c>
      <c r="HQ71" s="3">
        <v>1023.699</v>
      </c>
      <c r="HR71" s="3">
        <v>1033.4849999999999</v>
      </c>
      <c r="HS71" s="3">
        <v>1039.788</v>
      </c>
      <c r="HT71" s="3">
        <v>1044.364</v>
      </c>
      <c r="HU71" s="3">
        <v>1049.4780000000001</v>
      </c>
      <c r="HV71" s="3">
        <v>1056.056</v>
      </c>
      <c r="HW71" s="3">
        <v>1064.48</v>
      </c>
      <c r="HX71" s="3">
        <v>1074.001</v>
      </c>
      <c r="HY71" s="3">
        <v>1083.604</v>
      </c>
      <c r="HZ71" s="3">
        <v>1092.826</v>
      </c>
      <c r="IA71" s="3">
        <v>1101.479</v>
      </c>
      <c r="IB71" s="3">
        <v>1109.7460000000001</v>
      </c>
      <c r="IC71" s="3">
        <v>1117.7739999999999</v>
      </c>
      <c r="ID71" s="3">
        <v>1125.6679999999999</v>
      </c>
      <c r="IE71" s="3">
        <v>1133.4159999999999</v>
      </c>
      <c r="IF71" s="3">
        <v>1141.1880000000001</v>
      </c>
      <c r="IG71" s="3">
        <v>1149.0940000000001</v>
      </c>
      <c r="IH71" s="3">
        <v>1157.116</v>
      </c>
      <c r="II71" s="3">
        <v>1165.1579999999999</v>
      </c>
      <c r="IJ71" s="3">
        <v>1173.249</v>
      </c>
      <c r="IK71" s="3">
        <v>1181.328</v>
      </c>
      <c r="IL71" s="3">
        <v>1189.3969999999999</v>
      </c>
      <c r="IM71" s="3">
        <v>1197.45</v>
      </c>
      <c r="IN71" s="3">
        <v>1205.4870000000001</v>
      </c>
      <c r="IO71" s="3">
        <v>1213.511</v>
      </c>
      <c r="IP71" s="3">
        <v>1221.5160000000001</v>
      </c>
      <c r="IQ71" s="3">
        <v>1229.5029999999999</v>
      </c>
      <c r="IR71" s="3">
        <v>1237.472</v>
      </c>
      <c r="IS71" s="3">
        <v>1245.42</v>
      </c>
      <c r="IT71" s="3">
        <v>1253.346</v>
      </c>
      <c r="IU71" s="3">
        <v>1261.251</v>
      </c>
      <c r="IV71" s="3">
        <v>1269.1469999999999</v>
      </c>
      <c r="IW71" s="3">
        <v>1277.029</v>
      </c>
      <c r="IX71" s="3">
        <v>1284.9100000000001</v>
      </c>
      <c r="IY71" s="3">
        <v>1292.788</v>
      </c>
      <c r="IZ71" s="3">
        <v>1300.7349999999999</v>
      </c>
      <c r="JA71" s="3">
        <v>1308.694</v>
      </c>
      <c r="JB71" s="3">
        <v>1316.6759999999999</v>
      </c>
      <c r="JC71" s="3">
        <v>1324.6790000000001</v>
      </c>
      <c r="JD71" s="3">
        <v>1332.711</v>
      </c>
      <c r="JE71" s="3">
        <v>1340.7919999999999</v>
      </c>
      <c r="JF71" s="3">
        <v>1348.8679999999999</v>
      </c>
      <c r="JG71" s="3">
        <v>1356.979</v>
      </c>
      <c r="JH71" s="3">
        <v>1365.1179999999999</v>
      </c>
      <c r="JI71" s="3">
        <v>1373.297</v>
      </c>
      <c r="JJ71" s="3">
        <v>1381.5050000000001</v>
      </c>
      <c r="JK71" s="3">
        <v>1389.7529999999999</v>
      </c>
      <c r="JL71" s="3">
        <v>1398.0360000000001</v>
      </c>
      <c r="JM71" s="3">
        <v>1406.319</v>
      </c>
      <c r="JN71" s="3">
        <v>1414.6569999999999</v>
      </c>
      <c r="JO71" s="3">
        <v>1423.0239999999999</v>
      </c>
      <c r="JP71" s="3">
        <v>1431.4169999999999</v>
      </c>
      <c r="JQ71" s="3">
        <v>1439.8340000000001</v>
      </c>
      <c r="JR71" s="3">
        <v>1448.289</v>
      </c>
      <c r="JS71" s="3">
        <v>1456.7840000000001</v>
      </c>
      <c r="JT71" s="3">
        <v>1465.307</v>
      </c>
      <c r="JU71" s="3">
        <v>1473.874</v>
      </c>
      <c r="JV71" s="3">
        <v>1482.4749999999999</v>
      </c>
      <c r="JW71" s="3">
        <v>1491.107</v>
      </c>
      <c r="JX71" s="3">
        <v>1499.7750000000001</v>
      </c>
      <c r="JY71" s="3">
        <v>1508.4739999999999</v>
      </c>
      <c r="JZ71" s="3">
        <v>1517.212</v>
      </c>
      <c r="KA71" s="3">
        <v>1526.0039999999999</v>
      </c>
      <c r="KB71" s="3">
        <v>1534.8389999999999</v>
      </c>
      <c r="KC71" s="3">
        <v>1543.702</v>
      </c>
      <c r="KD71" s="3">
        <v>1552.614</v>
      </c>
      <c r="KE71" s="3">
        <v>1561.5650000000001</v>
      </c>
      <c r="KF71" s="3">
        <v>1570.5409999999999</v>
      </c>
      <c r="KG71" s="3">
        <v>1579.557</v>
      </c>
      <c r="KH71" s="3">
        <v>1588.616</v>
      </c>
      <c r="KI71" s="3">
        <v>1597.6890000000001</v>
      </c>
      <c r="KJ71" s="3">
        <v>1606.8050000000001</v>
      </c>
      <c r="KK71" s="3">
        <v>1615.9369999999999</v>
      </c>
      <c r="KL71" s="3">
        <v>1625.12</v>
      </c>
      <c r="KM71" s="3">
        <v>1634.3440000000001</v>
      </c>
      <c r="KN71" s="3">
        <v>1643.595</v>
      </c>
      <c r="KO71" s="3">
        <v>1652.874</v>
      </c>
      <c r="KP71" s="3">
        <v>1662.212</v>
      </c>
      <c r="KQ71" s="3">
        <v>1671.5730000000001</v>
      </c>
      <c r="KR71" s="3">
        <v>1680.9590000000001</v>
      </c>
      <c r="KS71" s="3">
        <v>1690.385</v>
      </c>
      <c r="KT71" s="3">
        <v>1699.856</v>
      </c>
      <c r="KU71" s="3">
        <v>1709.357</v>
      </c>
      <c r="KV71" s="3">
        <v>1718.912</v>
      </c>
      <c r="KW71" s="3">
        <v>1728.462</v>
      </c>
      <c r="KX71" s="3">
        <v>1738.0940000000001</v>
      </c>
      <c r="KY71" s="3">
        <v>1747.7449999999999</v>
      </c>
      <c r="KZ71" s="3">
        <v>1757.3979999999999</v>
      </c>
      <c r="LA71" s="3">
        <v>1767.1089999999999</v>
      </c>
      <c r="LB71" s="3">
        <v>1776.847</v>
      </c>
      <c r="LC71" s="3">
        <v>1786.653</v>
      </c>
      <c r="LD71" s="3">
        <v>1796.4839999999999</v>
      </c>
      <c r="LE71" s="3">
        <v>1806.326</v>
      </c>
      <c r="LF71" s="3">
        <v>1816.241</v>
      </c>
      <c r="LG71" s="3">
        <v>1826.1869999999999</v>
      </c>
      <c r="LH71" s="3">
        <v>1836.182</v>
      </c>
      <c r="LI71" s="3">
        <v>1846.2239999999999</v>
      </c>
      <c r="LJ71" s="3">
        <v>1856.306</v>
      </c>
      <c r="LK71" s="3">
        <v>1866.4480000000001</v>
      </c>
      <c r="LL71" s="3">
        <v>1876.62</v>
      </c>
      <c r="LM71" s="3">
        <v>1886.857</v>
      </c>
      <c r="LN71" s="3">
        <v>1897.1320000000001</v>
      </c>
      <c r="LO71" s="3">
        <v>1907.452</v>
      </c>
      <c r="LP71" s="3">
        <v>1917.826</v>
      </c>
      <c r="LQ71" s="3">
        <v>1928.259</v>
      </c>
      <c r="LR71" s="3">
        <v>1938.721</v>
      </c>
      <c r="LS71" s="3">
        <v>1949.2429999999999</v>
      </c>
      <c r="LT71" s="3">
        <v>1959.7929999999999</v>
      </c>
      <c r="LU71" s="3">
        <v>1970.415</v>
      </c>
      <c r="LV71" s="3">
        <v>1981.076</v>
      </c>
      <c r="LW71" s="3">
        <v>1991.7829999999999</v>
      </c>
      <c r="LX71" s="3">
        <v>2002.556</v>
      </c>
      <c r="LY71" s="3">
        <v>2013.3689999999999</v>
      </c>
      <c r="LZ71" s="3">
        <v>2024.2170000000001</v>
      </c>
      <c r="MA71" s="3">
        <v>2035.1310000000001</v>
      </c>
      <c r="MB71" s="3">
        <v>2046.0840000000001</v>
      </c>
      <c r="MC71" s="3">
        <v>2057.1</v>
      </c>
      <c r="MD71" s="3">
        <v>2068.163</v>
      </c>
      <c r="ME71" s="3">
        <v>2079.277</v>
      </c>
      <c r="MF71" s="3">
        <v>2090.4450000000002</v>
      </c>
      <c r="MG71" s="3">
        <v>2101.6689999999999</v>
      </c>
      <c r="MH71" s="3">
        <v>2112.953</v>
      </c>
      <c r="MI71" s="3">
        <v>2124.2809999999999</v>
      </c>
      <c r="MJ71" s="3">
        <v>2135.67</v>
      </c>
      <c r="MK71" s="3">
        <v>2147.1109999999999</v>
      </c>
      <c r="ML71" s="3">
        <v>2158.6</v>
      </c>
      <c r="MM71" s="3">
        <v>2170.154</v>
      </c>
      <c r="MN71" s="3">
        <v>2181.7530000000002</v>
      </c>
      <c r="MO71" s="3">
        <v>2193.4119999999998</v>
      </c>
      <c r="MP71" s="3">
        <v>2205.1329999999998</v>
      </c>
      <c r="MQ71" s="3">
        <v>2216.902</v>
      </c>
      <c r="MR71" s="3">
        <v>2228.7269999999999</v>
      </c>
      <c r="MS71" s="3">
        <v>2240.607</v>
      </c>
      <c r="MT71" s="3">
        <v>2252.54</v>
      </c>
      <c r="MU71" t="s">
        <v>385</v>
      </c>
      <c r="MV71" t="b">
        <v>1</v>
      </c>
      <c r="MW71" s="1" t="s">
        <v>386</v>
      </c>
      <c r="MX71" t="s">
        <v>377</v>
      </c>
      <c r="MY71">
        <v>2024</v>
      </c>
      <c r="MZ71">
        <v>3</v>
      </c>
      <c r="NA71" t="s">
        <v>377</v>
      </c>
      <c r="NB71" s="1" t="s">
        <v>394</v>
      </c>
      <c r="NC71" s="1" t="s">
        <v>395</v>
      </c>
      <c r="ND71" t="s">
        <v>389</v>
      </c>
      <c r="NE71" t="s">
        <v>393</v>
      </c>
      <c r="NF71" s="1" t="s">
        <v>528</v>
      </c>
    </row>
    <row r="72" spans="1:370" x14ac:dyDescent="0.25">
      <c r="A72" t="s">
        <v>370</v>
      </c>
      <c r="B72" t="s">
        <v>396</v>
      </c>
      <c r="C72" s="1" t="s">
        <v>527</v>
      </c>
      <c r="D72" t="s">
        <v>372</v>
      </c>
      <c r="E72" t="s">
        <v>373</v>
      </c>
      <c r="F72" t="s">
        <v>374</v>
      </c>
      <c r="G72" s="2">
        <v>35902</v>
      </c>
      <c r="H72" s="2">
        <v>36730</v>
      </c>
      <c r="I72" s="2">
        <v>37647</v>
      </c>
      <c r="J72" s="2">
        <v>37940</v>
      </c>
      <c r="K72" s="2">
        <v>38873</v>
      </c>
      <c r="L72" s="2">
        <v>40111</v>
      </c>
      <c r="M72" s="2">
        <v>40403</v>
      </c>
      <c r="N72" s="2">
        <v>39579</v>
      </c>
      <c r="O72" s="2">
        <v>39298</v>
      </c>
      <c r="P72" s="2">
        <v>37742</v>
      </c>
      <c r="Q72" s="2">
        <v>37667</v>
      </c>
      <c r="R72" s="2">
        <v>39562</v>
      </c>
      <c r="S72" s="2">
        <v>40307</v>
      </c>
      <c r="T72" s="2">
        <v>41824</v>
      </c>
      <c r="U72" s="2">
        <v>42139</v>
      </c>
      <c r="V72" s="2">
        <v>43631</v>
      </c>
      <c r="W72" s="2">
        <v>43666</v>
      </c>
      <c r="X72" s="2">
        <v>44615</v>
      </c>
      <c r="Y72" s="2">
        <v>46225</v>
      </c>
      <c r="Z72" s="2">
        <v>44466</v>
      </c>
      <c r="AA72" s="2">
        <v>44831</v>
      </c>
      <c r="AB72" s="2">
        <v>45606</v>
      </c>
      <c r="AC72" s="2">
        <v>45784</v>
      </c>
      <c r="AD72" s="2">
        <v>45705</v>
      </c>
      <c r="AE72" s="2">
        <v>42206</v>
      </c>
      <c r="AF72" s="2">
        <v>49782</v>
      </c>
      <c r="AG72" s="2">
        <v>48026</v>
      </c>
      <c r="AH72" s="2">
        <v>48391</v>
      </c>
      <c r="AI72" s="2">
        <v>49049</v>
      </c>
      <c r="AJ72" s="2">
        <v>47032</v>
      </c>
      <c r="AK72" s="2">
        <v>45832</v>
      </c>
      <c r="AL72" s="2">
        <v>45526</v>
      </c>
      <c r="AM72" s="2">
        <v>45162</v>
      </c>
      <c r="AN72" s="2">
        <v>45719</v>
      </c>
      <c r="AO72" s="2">
        <v>47827</v>
      </c>
      <c r="AP72" s="2">
        <v>47597</v>
      </c>
      <c r="AQ72" s="2">
        <v>46524</v>
      </c>
      <c r="AR72" s="2">
        <v>47505</v>
      </c>
      <c r="AS72" s="2">
        <v>46534</v>
      </c>
      <c r="AT72" s="2">
        <v>47361</v>
      </c>
      <c r="AU72" s="2">
        <v>47208</v>
      </c>
      <c r="AV72" s="2">
        <v>47152</v>
      </c>
      <c r="AW72" s="2">
        <v>48076</v>
      </c>
      <c r="AX72" s="2">
        <v>48814</v>
      </c>
      <c r="AY72" s="2">
        <v>49935</v>
      </c>
      <c r="AZ72" s="2">
        <v>49818</v>
      </c>
      <c r="BA72" s="2">
        <v>51338</v>
      </c>
      <c r="BB72" s="2">
        <v>52470</v>
      </c>
      <c r="BC72" s="2">
        <v>52943</v>
      </c>
      <c r="BD72" s="2">
        <v>54969</v>
      </c>
      <c r="BE72" s="2">
        <v>53412</v>
      </c>
      <c r="BF72" s="2">
        <v>53746</v>
      </c>
      <c r="BG72" s="2">
        <v>54907</v>
      </c>
      <c r="BH72" s="2">
        <v>55692</v>
      </c>
      <c r="BI72" s="2">
        <v>55751</v>
      </c>
      <c r="BJ72" s="2">
        <v>57267</v>
      </c>
      <c r="BK72" s="2">
        <v>58816</v>
      </c>
      <c r="BL72" s="2">
        <v>58324</v>
      </c>
      <c r="BM72" s="2">
        <v>60470</v>
      </c>
      <c r="BN72" s="2">
        <v>60226</v>
      </c>
      <c r="BO72" s="2">
        <v>59215</v>
      </c>
      <c r="BP72" s="2">
        <v>60427</v>
      </c>
      <c r="BQ72" s="2">
        <v>60771</v>
      </c>
      <c r="BR72" s="2">
        <v>59544</v>
      </c>
      <c r="BS72" s="2">
        <v>62278</v>
      </c>
      <c r="BT72" s="2">
        <v>61292</v>
      </c>
      <c r="BU72" s="2">
        <v>62836</v>
      </c>
      <c r="BV72" s="2">
        <v>64551</v>
      </c>
      <c r="BW72" s="2">
        <v>65996</v>
      </c>
      <c r="BX72" s="2">
        <v>65850</v>
      </c>
      <c r="BY72" s="2">
        <v>65770</v>
      </c>
      <c r="BZ72" s="2">
        <v>66306</v>
      </c>
      <c r="CA72" s="2">
        <v>63795</v>
      </c>
      <c r="CB72" s="2">
        <v>65908</v>
      </c>
      <c r="CC72" s="2">
        <v>66928</v>
      </c>
      <c r="CD72" s="2">
        <v>66730</v>
      </c>
      <c r="CE72" s="2">
        <v>67452</v>
      </c>
      <c r="CF72" s="2">
        <v>69112</v>
      </c>
      <c r="CG72" s="2">
        <v>67730</v>
      </c>
      <c r="CH72" s="2">
        <v>70437</v>
      </c>
      <c r="CI72" s="2">
        <v>71260</v>
      </c>
      <c r="CJ72" s="2">
        <v>70281</v>
      </c>
      <c r="CK72" s="2">
        <v>71508</v>
      </c>
      <c r="CL72" s="2">
        <v>73485</v>
      </c>
      <c r="CM72" s="2">
        <v>76223</v>
      </c>
      <c r="CN72" s="2">
        <v>76462</v>
      </c>
      <c r="CO72" s="2">
        <v>78722</v>
      </c>
      <c r="CP72" s="2">
        <v>80741</v>
      </c>
      <c r="CQ72" s="2">
        <v>84205</v>
      </c>
      <c r="CR72" s="2">
        <v>83113</v>
      </c>
      <c r="CS72" s="2">
        <v>85876</v>
      </c>
      <c r="CT72" s="2">
        <v>87077</v>
      </c>
      <c r="CU72" s="2">
        <v>88955</v>
      </c>
      <c r="CV72" s="2">
        <v>90326</v>
      </c>
      <c r="CW72" s="2">
        <v>91405</v>
      </c>
      <c r="CX72" s="2">
        <v>93750</v>
      </c>
      <c r="CY72" s="2">
        <v>100801</v>
      </c>
      <c r="CZ72" s="2">
        <v>102215</v>
      </c>
      <c r="DA72" s="2">
        <v>101393</v>
      </c>
      <c r="DB72" s="2">
        <v>104896</v>
      </c>
      <c r="DC72" s="2">
        <v>105551</v>
      </c>
      <c r="DD72" s="2">
        <v>105685</v>
      </c>
      <c r="DE72" s="2">
        <v>105377</v>
      </c>
      <c r="DF72" s="2">
        <v>105093</v>
      </c>
      <c r="DG72" s="2">
        <v>105270</v>
      </c>
      <c r="DH72" s="2">
        <v>105502</v>
      </c>
      <c r="DI72" s="2">
        <v>111906</v>
      </c>
      <c r="DJ72" s="2">
        <v>113832</v>
      </c>
      <c r="DK72" s="2">
        <v>115740</v>
      </c>
      <c r="DL72" s="2">
        <v>119664</v>
      </c>
      <c r="DM72" s="2">
        <v>120347</v>
      </c>
      <c r="DN72" s="2">
        <v>123350</v>
      </c>
      <c r="DO72" s="2">
        <v>128331</v>
      </c>
      <c r="DP72" s="2">
        <v>122946</v>
      </c>
      <c r="DQ72" s="2">
        <v>120189</v>
      </c>
      <c r="DR72" s="2">
        <v>121471</v>
      </c>
      <c r="DS72" s="2">
        <v>123243</v>
      </c>
      <c r="DT72" s="2">
        <v>126845</v>
      </c>
      <c r="DU72" s="2">
        <v>125921</v>
      </c>
      <c r="DV72" s="2">
        <v>121583</v>
      </c>
      <c r="DW72" s="2">
        <v>127354</v>
      </c>
      <c r="DX72" s="2">
        <v>125080</v>
      </c>
      <c r="DY72" s="2">
        <v>125141</v>
      </c>
      <c r="DZ72" s="2">
        <v>128517</v>
      </c>
      <c r="EA72" s="2">
        <v>129631</v>
      </c>
      <c r="EB72" s="2">
        <v>131555</v>
      </c>
      <c r="EC72" s="2">
        <v>133247</v>
      </c>
      <c r="ED72" s="2">
        <v>137509</v>
      </c>
      <c r="EE72" s="2">
        <v>134823</v>
      </c>
      <c r="EF72" s="2">
        <v>142803</v>
      </c>
      <c r="EG72" s="2">
        <v>144425</v>
      </c>
      <c r="EH72" s="2">
        <v>150107</v>
      </c>
      <c r="EI72" s="2">
        <v>167747</v>
      </c>
      <c r="EJ72" s="2">
        <v>172981</v>
      </c>
      <c r="EK72" s="2">
        <v>152518</v>
      </c>
      <c r="EL72" s="2">
        <v>151637</v>
      </c>
      <c r="EM72" s="2">
        <v>152960</v>
      </c>
      <c r="EN72" s="2">
        <v>158494</v>
      </c>
      <c r="EO72" s="2">
        <v>158973</v>
      </c>
      <c r="EP72" s="2">
        <v>164392</v>
      </c>
      <c r="EQ72" s="2">
        <v>164284</v>
      </c>
      <c r="ER72" s="2">
        <v>164307</v>
      </c>
      <c r="ES72" s="2">
        <v>164942</v>
      </c>
      <c r="ET72" s="2">
        <v>158580</v>
      </c>
      <c r="EU72" s="2">
        <v>148383</v>
      </c>
      <c r="EV72" s="2">
        <v>146862</v>
      </c>
      <c r="EW72" s="2">
        <v>146171</v>
      </c>
      <c r="EX72" s="2">
        <v>152995</v>
      </c>
      <c r="EY72" s="2">
        <v>152875</v>
      </c>
      <c r="EZ72" s="2">
        <v>157927</v>
      </c>
      <c r="FA72" s="2">
        <v>159590</v>
      </c>
      <c r="FB72" s="2">
        <v>162838</v>
      </c>
      <c r="FC72" s="2">
        <v>169542</v>
      </c>
      <c r="FD72" s="2">
        <v>167089</v>
      </c>
      <c r="FE72" s="2">
        <v>169000</v>
      </c>
      <c r="FF72" s="2">
        <v>171534</v>
      </c>
      <c r="FG72" s="2">
        <v>175688</v>
      </c>
      <c r="FH72" s="2">
        <v>167444</v>
      </c>
      <c r="FI72" s="2">
        <v>171661</v>
      </c>
      <c r="FJ72" s="2">
        <v>167437</v>
      </c>
      <c r="FK72" s="2">
        <v>171074</v>
      </c>
      <c r="FL72" s="2">
        <v>172720</v>
      </c>
      <c r="FM72" s="2">
        <v>172146</v>
      </c>
      <c r="FN72" s="2">
        <v>168273</v>
      </c>
      <c r="FO72" s="2">
        <v>169362</v>
      </c>
      <c r="FP72" s="2">
        <v>171923</v>
      </c>
      <c r="FQ72" s="2">
        <v>172435</v>
      </c>
      <c r="FR72" s="2">
        <v>177395</v>
      </c>
      <c r="FS72" s="2">
        <v>176739</v>
      </c>
      <c r="FT72" s="2">
        <v>182297</v>
      </c>
      <c r="FU72" s="2">
        <v>176534</v>
      </c>
      <c r="FV72" s="2">
        <v>181607</v>
      </c>
      <c r="FW72" s="2">
        <v>180917</v>
      </c>
      <c r="FX72" s="2">
        <v>186367</v>
      </c>
      <c r="FY72" s="2">
        <v>181291</v>
      </c>
      <c r="FZ72" s="2">
        <v>188453</v>
      </c>
      <c r="GA72" s="2">
        <v>191572</v>
      </c>
      <c r="GB72" s="2">
        <v>196710</v>
      </c>
      <c r="GC72" s="2">
        <v>201489</v>
      </c>
      <c r="GD72" s="2">
        <v>197125</v>
      </c>
      <c r="GE72" s="2">
        <v>201006</v>
      </c>
      <c r="GF72" s="2">
        <v>202164</v>
      </c>
      <c r="GG72" s="2">
        <v>204858</v>
      </c>
      <c r="GH72" s="2">
        <v>203100</v>
      </c>
      <c r="GI72" s="2">
        <v>200811</v>
      </c>
      <c r="GJ72" s="2">
        <v>198311</v>
      </c>
      <c r="GK72" s="2">
        <v>210040</v>
      </c>
      <c r="GL72" s="2">
        <v>218197</v>
      </c>
      <c r="GM72" s="2">
        <v>199459</v>
      </c>
      <c r="GN72" s="2">
        <v>173361</v>
      </c>
      <c r="GO72" s="2">
        <v>173434</v>
      </c>
      <c r="GP72" s="2">
        <v>183541</v>
      </c>
      <c r="GQ72" s="2">
        <v>178763</v>
      </c>
      <c r="GR72" s="2">
        <v>191113</v>
      </c>
      <c r="GS72" s="2">
        <v>181773</v>
      </c>
      <c r="GT72" s="2">
        <v>201720</v>
      </c>
      <c r="GU72" s="2">
        <v>191621</v>
      </c>
      <c r="GV72" s="2">
        <v>205098</v>
      </c>
      <c r="GW72" s="2">
        <v>224767</v>
      </c>
      <c r="GX72" s="2">
        <v>226565</v>
      </c>
      <c r="GY72" s="2">
        <v>207779</v>
      </c>
      <c r="GZ72" s="2">
        <v>206455</v>
      </c>
      <c r="HA72" s="2">
        <v>202563</v>
      </c>
      <c r="HB72" s="2">
        <v>204388</v>
      </c>
      <c r="HC72" s="2">
        <v>203465</v>
      </c>
      <c r="HD72" s="2">
        <v>201650</v>
      </c>
      <c r="HE72" s="2">
        <v>200609</v>
      </c>
      <c r="HF72" s="3">
        <v>197242.8</v>
      </c>
      <c r="HG72" s="3">
        <v>199580.5</v>
      </c>
      <c r="HH72" s="3">
        <v>200403.5</v>
      </c>
      <c r="HI72" s="3">
        <v>201205.5</v>
      </c>
      <c r="HJ72" s="3">
        <v>202003.9</v>
      </c>
      <c r="HK72" s="3">
        <v>202775.6</v>
      </c>
      <c r="HL72" s="3">
        <v>203553.5</v>
      </c>
      <c r="HM72" s="3">
        <v>204342</v>
      </c>
      <c r="HN72" s="3">
        <v>205107.7</v>
      </c>
      <c r="HO72" s="3">
        <v>205926.2</v>
      </c>
      <c r="HP72" s="3">
        <v>206715.4</v>
      </c>
      <c r="HQ72" s="3">
        <v>207489.8</v>
      </c>
      <c r="HR72" s="3">
        <v>208169.60000000001</v>
      </c>
      <c r="HS72" s="3">
        <v>208849.4</v>
      </c>
      <c r="HT72" s="3">
        <v>209528.4</v>
      </c>
      <c r="HU72" s="3">
        <v>210210.6</v>
      </c>
      <c r="HV72" s="3">
        <v>210895.9</v>
      </c>
      <c r="HW72" s="3">
        <v>211584.3</v>
      </c>
      <c r="HX72" s="3">
        <v>212275.8</v>
      </c>
      <c r="HY72" s="3">
        <v>212964.4</v>
      </c>
      <c r="HZ72" s="3">
        <v>213670.3</v>
      </c>
      <c r="IA72" s="3">
        <v>214402.5</v>
      </c>
      <c r="IB72" s="3">
        <v>215146.3</v>
      </c>
      <c r="IC72" s="3">
        <v>215893.3</v>
      </c>
      <c r="ID72" s="3">
        <v>216643.7</v>
      </c>
      <c r="IE72" s="3">
        <v>217397.6</v>
      </c>
      <c r="IF72" s="3">
        <v>218154.9</v>
      </c>
      <c r="IG72" s="3">
        <v>218915.8</v>
      </c>
      <c r="IH72" s="3">
        <v>219679.9</v>
      </c>
      <c r="II72" s="3">
        <v>220447.5</v>
      </c>
      <c r="IJ72" s="3">
        <v>221218.7</v>
      </c>
      <c r="IK72" s="3">
        <v>221993.3</v>
      </c>
      <c r="IL72" s="3">
        <v>222771.4</v>
      </c>
      <c r="IM72" s="3">
        <v>223546.2</v>
      </c>
      <c r="IN72" s="3">
        <v>224314.5</v>
      </c>
      <c r="IO72" s="3">
        <v>225068.1</v>
      </c>
      <c r="IP72" s="3">
        <v>225805.3</v>
      </c>
      <c r="IQ72" s="3">
        <v>226577.5</v>
      </c>
      <c r="IR72" s="3">
        <v>227317.7</v>
      </c>
      <c r="IS72" s="3">
        <v>228048.3</v>
      </c>
      <c r="IT72" s="3">
        <v>228760.9</v>
      </c>
      <c r="IU72" s="3">
        <v>229495.5</v>
      </c>
      <c r="IV72" s="3">
        <v>230232.8</v>
      </c>
      <c r="IW72" s="3">
        <v>230972.3</v>
      </c>
      <c r="IX72" s="3">
        <v>231714.3</v>
      </c>
      <c r="IY72" s="3">
        <v>232478</v>
      </c>
      <c r="IZ72" s="3">
        <v>233245.2</v>
      </c>
      <c r="JA72" s="3">
        <v>234015.7</v>
      </c>
      <c r="JB72" s="3">
        <v>234789.6</v>
      </c>
      <c r="JC72" s="3">
        <v>235566.9</v>
      </c>
      <c r="JD72" s="3">
        <v>236347.7</v>
      </c>
      <c r="JE72" s="3">
        <v>237131.8</v>
      </c>
      <c r="JF72" s="3">
        <v>237919.3</v>
      </c>
      <c r="JG72" s="3">
        <v>238729.3</v>
      </c>
      <c r="JH72" s="3">
        <v>239543.1</v>
      </c>
      <c r="JI72" s="3">
        <v>240360.9</v>
      </c>
      <c r="JJ72" s="3">
        <v>241182.5</v>
      </c>
      <c r="JK72" s="3">
        <v>242008</v>
      </c>
      <c r="JL72" s="3">
        <v>242837.5</v>
      </c>
      <c r="JM72" s="3">
        <v>243670.9</v>
      </c>
      <c r="JN72" s="3">
        <v>244508.4</v>
      </c>
      <c r="JO72" s="3">
        <v>245368</v>
      </c>
      <c r="JP72" s="3">
        <v>246231.3</v>
      </c>
      <c r="JQ72" s="3">
        <v>247098.4</v>
      </c>
      <c r="JR72" s="3">
        <v>247969.1</v>
      </c>
      <c r="JS72" s="3">
        <v>248815</v>
      </c>
      <c r="JT72" s="3">
        <v>249664</v>
      </c>
      <c r="JU72" s="3">
        <v>250516.5</v>
      </c>
      <c r="JV72" s="3">
        <v>251372.2</v>
      </c>
      <c r="JW72" s="3">
        <v>252231.2</v>
      </c>
      <c r="JX72" s="3">
        <v>253093.3</v>
      </c>
      <c r="JY72" s="3">
        <v>253958.8</v>
      </c>
      <c r="JZ72" s="3">
        <v>254827.5</v>
      </c>
      <c r="KA72" s="3">
        <v>255699.5</v>
      </c>
      <c r="KB72" s="3">
        <v>256574.7</v>
      </c>
      <c r="KC72" s="3">
        <v>257453</v>
      </c>
      <c r="KD72" s="3">
        <v>258334.4</v>
      </c>
      <c r="KE72" s="3">
        <v>259218.9</v>
      </c>
      <c r="KF72" s="3">
        <v>260106.6</v>
      </c>
      <c r="KG72" s="3">
        <v>260997.2</v>
      </c>
      <c r="KH72" s="3">
        <v>261890.9</v>
      </c>
      <c r="KI72" s="3">
        <v>262787.90000000002</v>
      </c>
      <c r="KJ72" s="3">
        <v>263687.8</v>
      </c>
      <c r="KK72" s="3">
        <v>264590.8</v>
      </c>
      <c r="KL72" s="3">
        <v>265497</v>
      </c>
      <c r="KM72" s="3">
        <v>266406.2</v>
      </c>
      <c r="KN72" s="3">
        <v>267318.59999999998</v>
      </c>
      <c r="KO72" s="3">
        <v>268234</v>
      </c>
      <c r="KP72" s="3">
        <v>269152.59999999998</v>
      </c>
      <c r="KQ72" s="3">
        <v>270074.3</v>
      </c>
      <c r="KR72" s="3">
        <v>270999.09999999998</v>
      </c>
      <c r="KS72" s="3">
        <v>271927.09999999998</v>
      </c>
      <c r="KT72" s="3">
        <v>272858.3</v>
      </c>
      <c r="KU72" s="3">
        <v>273792.8</v>
      </c>
      <c r="KV72" s="3">
        <v>274730.2</v>
      </c>
      <c r="KW72" s="3">
        <v>275671.09999999998</v>
      </c>
      <c r="KX72" s="3">
        <v>276614.90000000002</v>
      </c>
      <c r="KY72" s="3">
        <v>277561.90000000002</v>
      </c>
      <c r="KZ72" s="3">
        <v>278512.09999999998</v>
      </c>
      <c r="LA72" s="3">
        <v>279465.40000000002</v>
      </c>
      <c r="LB72" s="3">
        <v>280421.8</v>
      </c>
      <c r="LC72" s="3">
        <v>281381.40000000002</v>
      </c>
      <c r="LD72" s="3">
        <v>282343.8</v>
      </c>
      <c r="LE72" s="3">
        <v>283309</v>
      </c>
      <c r="LF72" s="3">
        <v>284277</v>
      </c>
      <c r="LG72" s="3">
        <v>285181.2</v>
      </c>
      <c r="LH72" s="3">
        <v>286087.40000000002</v>
      </c>
      <c r="LI72" s="3">
        <v>286984.09999999998</v>
      </c>
      <c r="LJ72" s="3">
        <v>287882.8</v>
      </c>
      <c r="LK72" s="3">
        <v>288783.3</v>
      </c>
      <c r="LL72" s="3">
        <v>289685.90000000002</v>
      </c>
      <c r="LM72" s="3">
        <v>290570.09999999998</v>
      </c>
      <c r="LN72" s="3">
        <v>291455.8</v>
      </c>
      <c r="LO72" s="3">
        <v>292343</v>
      </c>
      <c r="LP72" s="3">
        <v>293231.8</v>
      </c>
      <c r="LQ72" s="3">
        <v>294122.3</v>
      </c>
      <c r="LR72" s="3">
        <v>295014.40000000002</v>
      </c>
      <c r="LS72" s="3">
        <v>295908</v>
      </c>
      <c r="LT72" s="3">
        <v>296803.20000000001</v>
      </c>
      <c r="LU72" s="3">
        <v>297690.3</v>
      </c>
      <c r="LV72" s="3">
        <v>298578.8</v>
      </c>
      <c r="LW72" s="3">
        <v>299468.59999999998</v>
      </c>
      <c r="LX72" s="3">
        <v>300359.7</v>
      </c>
      <c r="LY72" s="3">
        <v>301244.5</v>
      </c>
      <c r="LZ72" s="3">
        <v>302130.5</v>
      </c>
      <c r="MA72" s="3">
        <v>303017.7</v>
      </c>
      <c r="MB72" s="3">
        <v>303906.09999999998</v>
      </c>
      <c r="MC72" s="3">
        <v>304796.3</v>
      </c>
      <c r="MD72" s="3">
        <v>305687.8</v>
      </c>
      <c r="ME72" s="3">
        <v>306580.59999999998</v>
      </c>
      <c r="MF72" s="3">
        <v>307474.59999999998</v>
      </c>
      <c r="MG72" s="3">
        <v>308380</v>
      </c>
      <c r="MH72" s="3">
        <v>309286.90000000002</v>
      </c>
      <c r="MI72" s="3">
        <v>310195.3</v>
      </c>
      <c r="MJ72" s="3">
        <v>311105.2</v>
      </c>
      <c r="MK72" s="3">
        <v>312013.8</v>
      </c>
      <c r="ML72" s="3">
        <v>312924</v>
      </c>
      <c r="MM72" s="3">
        <v>313835.59999999998</v>
      </c>
      <c r="MN72" s="3">
        <v>314748.7</v>
      </c>
      <c r="MO72" s="3">
        <v>315673.90000000002</v>
      </c>
      <c r="MP72" s="3">
        <v>316600.8</v>
      </c>
      <c r="MQ72" s="3">
        <v>317529.3</v>
      </c>
      <c r="MR72" s="3">
        <v>318459.5</v>
      </c>
      <c r="MS72" s="3">
        <v>319391.5</v>
      </c>
      <c r="MT72" s="3">
        <v>320325.3</v>
      </c>
      <c r="MU72" t="s">
        <v>375</v>
      </c>
      <c r="MV72" t="b">
        <v>1</v>
      </c>
      <c r="MW72" s="1" t="s">
        <v>376</v>
      </c>
      <c r="MX72" t="s">
        <v>377</v>
      </c>
      <c r="MY72">
        <v>2024</v>
      </c>
      <c r="MZ72">
        <v>3</v>
      </c>
      <c r="NA72" t="s">
        <v>377</v>
      </c>
      <c r="NB72" t="s">
        <v>397</v>
      </c>
      <c r="NC72" s="1" t="s">
        <v>398</v>
      </c>
      <c r="ND72" t="s">
        <v>380</v>
      </c>
      <c r="NE72" t="s">
        <v>399</v>
      </c>
      <c r="NF72" s="1" t="s">
        <v>528</v>
      </c>
    </row>
    <row r="73" spans="1:370" x14ac:dyDescent="0.25">
      <c r="A73" t="s">
        <v>382</v>
      </c>
      <c r="B73" t="s">
        <v>396</v>
      </c>
      <c r="C73" s="1" t="s">
        <v>527</v>
      </c>
      <c r="D73" t="s">
        <v>383</v>
      </c>
      <c r="E73" t="s">
        <v>384</v>
      </c>
      <c r="F73" t="s">
        <v>374</v>
      </c>
      <c r="G73" s="2">
        <v>59.75</v>
      </c>
      <c r="H73" s="2">
        <v>62.625</v>
      </c>
      <c r="I73" s="2">
        <v>62.85</v>
      </c>
      <c r="J73" s="2">
        <v>65.924999999999997</v>
      </c>
      <c r="K73" s="2">
        <v>66.8</v>
      </c>
      <c r="L73" s="2">
        <v>70.05</v>
      </c>
      <c r="M73" s="2">
        <v>66.275000000000006</v>
      </c>
      <c r="N73" s="2">
        <v>68</v>
      </c>
      <c r="O73" s="2">
        <v>68.474999999999994</v>
      </c>
      <c r="P73" s="2">
        <v>66.474999999999994</v>
      </c>
      <c r="Q73" s="2">
        <v>65.349999999999994</v>
      </c>
      <c r="R73" s="2">
        <v>69.05</v>
      </c>
      <c r="S73" s="2">
        <v>68.575000000000003</v>
      </c>
      <c r="T73" s="2">
        <v>69.275000000000006</v>
      </c>
      <c r="U73" s="2">
        <v>71.275000000000006</v>
      </c>
      <c r="V73" s="2">
        <v>72</v>
      </c>
      <c r="W73" s="2">
        <v>70.849999999999994</v>
      </c>
      <c r="X73" s="2">
        <v>72.75</v>
      </c>
      <c r="Y73" s="2">
        <v>73.325000000000003</v>
      </c>
      <c r="Z73" s="2">
        <v>70.974999999999994</v>
      </c>
      <c r="AA73" s="2">
        <v>72.650000000000006</v>
      </c>
      <c r="AB73" s="2">
        <v>80.224999999999994</v>
      </c>
      <c r="AC73" s="2">
        <v>81.099999999999994</v>
      </c>
      <c r="AD73" s="2">
        <v>84.325000000000003</v>
      </c>
      <c r="AE73" s="2">
        <v>84.375</v>
      </c>
      <c r="AF73" s="2">
        <v>84.6</v>
      </c>
      <c r="AG73" s="2">
        <v>87.65</v>
      </c>
      <c r="AH73" s="2">
        <v>93.174999999999997</v>
      </c>
      <c r="AI73" s="2">
        <v>95.775000000000006</v>
      </c>
      <c r="AJ73" s="2">
        <v>97.575000000000003</v>
      </c>
      <c r="AK73" s="2">
        <v>97.375</v>
      </c>
      <c r="AL73" s="2">
        <v>96.775000000000006</v>
      </c>
      <c r="AM73" s="2">
        <v>98.6</v>
      </c>
      <c r="AN73" s="2">
        <v>99.125</v>
      </c>
      <c r="AO73" s="2">
        <v>97.025000000000006</v>
      </c>
      <c r="AP73" s="2">
        <v>97.45</v>
      </c>
      <c r="AQ73" s="2">
        <v>93.224999999999994</v>
      </c>
      <c r="AR73" s="2">
        <v>93.775000000000006</v>
      </c>
      <c r="AS73" s="2">
        <v>89.625</v>
      </c>
      <c r="AT73" s="2">
        <v>85.525000000000006</v>
      </c>
      <c r="AU73" s="2">
        <v>86.9</v>
      </c>
      <c r="AV73" s="2">
        <v>87.15</v>
      </c>
      <c r="AW73" s="2">
        <v>88.474999999999994</v>
      </c>
      <c r="AX73" s="2">
        <v>90.25</v>
      </c>
      <c r="AY73" s="2">
        <v>92.125</v>
      </c>
      <c r="AZ73" s="2">
        <v>94.424999999999997</v>
      </c>
      <c r="BA73" s="2">
        <v>96.5</v>
      </c>
      <c r="BB73" s="2">
        <v>98.474999999999994</v>
      </c>
      <c r="BC73" s="2">
        <v>98.724999999999994</v>
      </c>
      <c r="BD73" s="2">
        <v>98.525000000000006</v>
      </c>
      <c r="BE73" s="2">
        <v>97.075000000000003</v>
      </c>
      <c r="BF73" s="2">
        <v>99.974999999999994</v>
      </c>
      <c r="BG73" s="2">
        <v>103.125</v>
      </c>
      <c r="BH73" s="2">
        <v>104.22499999999999</v>
      </c>
      <c r="BI73" s="2">
        <v>106.6</v>
      </c>
      <c r="BJ73" s="2">
        <v>110.6</v>
      </c>
      <c r="BK73" s="2">
        <v>110.7</v>
      </c>
      <c r="BL73" s="2">
        <v>115.25</v>
      </c>
      <c r="BM73" s="2">
        <v>120.25</v>
      </c>
      <c r="BN73" s="2">
        <v>124.75</v>
      </c>
      <c r="BO73" s="2">
        <v>131.67500000000001</v>
      </c>
      <c r="BP73" s="2">
        <v>135.35</v>
      </c>
      <c r="BQ73" s="2">
        <v>138.02500000000001</v>
      </c>
      <c r="BR73" s="2">
        <v>142.25</v>
      </c>
      <c r="BS73" s="2">
        <v>146.47499999999999</v>
      </c>
      <c r="BT73" s="2">
        <v>152.9</v>
      </c>
      <c r="BU73" s="2">
        <v>154.44999999999999</v>
      </c>
      <c r="BV73" s="2">
        <v>156.80000000000001</v>
      </c>
      <c r="BW73" s="2">
        <v>163.6</v>
      </c>
      <c r="BX73" s="2">
        <v>165.65</v>
      </c>
      <c r="BY73" s="2">
        <v>166.9</v>
      </c>
      <c r="BZ73" s="2">
        <v>168.375</v>
      </c>
      <c r="CA73" s="2">
        <v>169.4</v>
      </c>
      <c r="CB73" s="2">
        <v>175.57499999999999</v>
      </c>
      <c r="CC73" s="2">
        <v>179.72499999999999</v>
      </c>
      <c r="CD73" s="2">
        <v>183.77500000000001</v>
      </c>
      <c r="CE73" s="2">
        <v>187.1</v>
      </c>
      <c r="CF73" s="2">
        <v>187.17500000000001</v>
      </c>
      <c r="CG73" s="2">
        <v>191.15</v>
      </c>
      <c r="CH73" s="2">
        <v>192.1</v>
      </c>
      <c r="CI73" s="2">
        <v>192.55</v>
      </c>
      <c r="CJ73" s="2">
        <v>194.85</v>
      </c>
      <c r="CK73" s="2">
        <v>194.32499999999999</v>
      </c>
      <c r="CL73" s="2">
        <v>200.57499999999999</v>
      </c>
      <c r="CM73" s="2">
        <v>202.55</v>
      </c>
      <c r="CN73" s="2">
        <v>209.4</v>
      </c>
      <c r="CO73" s="2">
        <v>217.22499999999999</v>
      </c>
      <c r="CP73" s="2">
        <v>222.25</v>
      </c>
      <c r="CQ73" s="2">
        <v>226.52500000000001</v>
      </c>
      <c r="CR73" s="2">
        <v>229.7</v>
      </c>
      <c r="CS73" s="2">
        <v>239.65</v>
      </c>
      <c r="CT73" s="2">
        <v>243.05</v>
      </c>
      <c r="CU73" s="2">
        <v>245.97499999999999</v>
      </c>
      <c r="CV73" s="2">
        <v>249.97499999999999</v>
      </c>
      <c r="CW73" s="2">
        <v>252</v>
      </c>
      <c r="CX73" s="2">
        <v>267.72500000000002</v>
      </c>
      <c r="CY73" s="2">
        <v>272.8</v>
      </c>
      <c r="CZ73" s="2">
        <v>283.7</v>
      </c>
      <c r="DA73" s="2">
        <v>290.27499999999998</v>
      </c>
      <c r="DB73" s="2">
        <v>289.85000000000002</v>
      </c>
      <c r="DC73" s="2">
        <v>291.2</v>
      </c>
      <c r="DD73" s="2">
        <v>288</v>
      </c>
      <c r="DE73" s="2">
        <v>286.67500000000001</v>
      </c>
      <c r="DF73" s="2">
        <v>297.32499999999999</v>
      </c>
      <c r="DG73" s="2">
        <v>296.35000000000002</v>
      </c>
      <c r="DH73" s="2">
        <v>300.02499999999998</v>
      </c>
      <c r="DI73" s="2">
        <v>309.07499999999999</v>
      </c>
      <c r="DJ73" s="2">
        <v>315.67500000000001</v>
      </c>
      <c r="DK73" s="2">
        <v>320.22500000000002</v>
      </c>
      <c r="DL73" s="2">
        <v>329.97500000000002</v>
      </c>
      <c r="DM73" s="2">
        <v>337.9</v>
      </c>
      <c r="DN73" s="2">
        <v>334.52499999999998</v>
      </c>
      <c r="DO73" s="2">
        <v>330.32499999999999</v>
      </c>
      <c r="DP73" s="2">
        <v>320.625</v>
      </c>
      <c r="DQ73" s="2">
        <v>304.22500000000002</v>
      </c>
      <c r="DR73" s="2">
        <v>293.64999999999998</v>
      </c>
      <c r="DS73" s="2">
        <v>300.05</v>
      </c>
      <c r="DT73" s="2">
        <v>309</v>
      </c>
      <c r="DU73" s="2">
        <v>309.97500000000002</v>
      </c>
      <c r="DV73" s="2">
        <v>305.39999999999998</v>
      </c>
      <c r="DW73" s="2">
        <v>304.45</v>
      </c>
      <c r="DX73" s="2">
        <v>305</v>
      </c>
      <c r="DY73" s="2">
        <v>313.32499999999999</v>
      </c>
      <c r="DZ73" s="2">
        <v>327.42500000000001</v>
      </c>
      <c r="EA73" s="2">
        <v>334.82499999999999</v>
      </c>
      <c r="EB73" s="2">
        <v>341.85</v>
      </c>
      <c r="EC73" s="2">
        <v>342.97500000000002</v>
      </c>
      <c r="ED73" s="2">
        <v>351.125</v>
      </c>
      <c r="EE73" s="2">
        <v>357.7</v>
      </c>
      <c r="EF73" s="2">
        <v>365.7</v>
      </c>
      <c r="EG73" s="2">
        <v>365.625</v>
      </c>
      <c r="EH73" s="2">
        <v>376.95</v>
      </c>
      <c r="EI73" s="2">
        <v>392.25</v>
      </c>
      <c r="EJ73" s="2">
        <v>399.52499999999998</v>
      </c>
      <c r="EK73" s="2">
        <v>399</v>
      </c>
      <c r="EL73" s="2">
        <v>414.15</v>
      </c>
      <c r="EM73" s="2">
        <v>422.35</v>
      </c>
      <c r="EN73" s="2">
        <v>428.75</v>
      </c>
      <c r="EO73" s="2">
        <v>442.15</v>
      </c>
      <c r="EP73" s="2">
        <v>452.3</v>
      </c>
      <c r="EQ73" s="2">
        <v>459.5</v>
      </c>
      <c r="ER73" s="2">
        <v>473</v>
      </c>
      <c r="ES73" s="2">
        <v>470.9</v>
      </c>
      <c r="ET73" s="2">
        <v>443.2</v>
      </c>
      <c r="EU73" s="2">
        <v>407.82499999999999</v>
      </c>
      <c r="EV73" s="2">
        <v>410.5</v>
      </c>
      <c r="EW73" s="2">
        <v>425.67500000000001</v>
      </c>
      <c r="EX73" s="2">
        <v>449.125</v>
      </c>
      <c r="EY73" s="2">
        <v>459.22500000000002</v>
      </c>
      <c r="EZ73" s="2">
        <v>469.32499999999999</v>
      </c>
      <c r="FA73" s="2">
        <v>482.75</v>
      </c>
      <c r="FB73" s="2">
        <v>495.95</v>
      </c>
      <c r="FC73" s="2">
        <v>500.2</v>
      </c>
      <c r="FD73" s="2">
        <v>508.67500000000001</v>
      </c>
      <c r="FE73" s="2">
        <v>515.67499999999995</v>
      </c>
      <c r="FF73" s="2">
        <v>519.6</v>
      </c>
      <c r="FG73" s="2">
        <v>525.92499999999995</v>
      </c>
      <c r="FH73" s="2">
        <v>531.125</v>
      </c>
      <c r="FI73" s="2">
        <v>534.375</v>
      </c>
      <c r="FJ73" s="2">
        <v>534.875</v>
      </c>
      <c r="FK73" s="2">
        <v>537.65</v>
      </c>
      <c r="FL73" s="2">
        <v>542.52499999999998</v>
      </c>
      <c r="FM73" s="2">
        <v>547.17499999999995</v>
      </c>
      <c r="FN73" s="2">
        <v>562.95000000000005</v>
      </c>
      <c r="FO73" s="2">
        <v>557.54999999999995</v>
      </c>
      <c r="FP73" s="2">
        <v>569.6</v>
      </c>
      <c r="FQ73" s="2">
        <v>571.95000000000005</v>
      </c>
      <c r="FR73" s="2">
        <v>576.67499999999995</v>
      </c>
      <c r="FS73" s="2">
        <v>572.125</v>
      </c>
      <c r="FT73" s="2">
        <v>573.65</v>
      </c>
      <c r="FU73" s="2">
        <v>569.02499999999998</v>
      </c>
      <c r="FV73" s="2">
        <v>568.25</v>
      </c>
      <c r="FW73" s="2">
        <v>566.625</v>
      </c>
      <c r="FX73" s="2">
        <v>571.02499999999998</v>
      </c>
      <c r="FY73" s="2">
        <v>580.27499999999998</v>
      </c>
      <c r="FZ73" s="2">
        <v>575.95000000000005</v>
      </c>
      <c r="GA73" s="2">
        <v>589.97500000000002</v>
      </c>
      <c r="GB73" s="2">
        <v>591.97500000000002</v>
      </c>
      <c r="GC73" s="2">
        <v>595.45000000000005</v>
      </c>
      <c r="GD73" s="2">
        <v>610.875</v>
      </c>
      <c r="GE73" s="2">
        <v>614.82500000000005</v>
      </c>
      <c r="GF73" s="2">
        <v>618.17499999999995</v>
      </c>
      <c r="GG73" s="2">
        <v>610.45000000000005</v>
      </c>
      <c r="GH73" s="2">
        <v>612.97500000000002</v>
      </c>
      <c r="GI73" s="2">
        <v>618.72500000000002</v>
      </c>
      <c r="GJ73" s="2">
        <v>615.6</v>
      </c>
      <c r="GK73" s="2">
        <v>615.72500000000002</v>
      </c>
      <c r="GL73" s="2">
        <v>619.47500000000002</v>
      </c>
      <c r="GM73" s="2">
        <v>592.95000000000005</v>
      </c>
      <c r="GN73" s="2">
        <v>467.75</v>
      </c>
      <c r="GO73" s="2">
        <v>526.25</v>
      </c>
      <c r="GP73" s="2">
        <v>558.4</v>
      </c>
      <c r="GQ73" s="2">
        <v>558.85</v>
      </c>
      <c r="GR73" s="2">
        <v>563.29999999999995</v>
      </c>
      <c r="GS73" s="2">
        <v>564.57500000000005</v>
      </c>
      <c r="GT73" s="2">
        <v>597.57500000000005</v>
      </c>
      <c r="GU73" s="2">
        <v>590.54999999999995</v>
      </c>
      <c r="GV73" s="2">
        <v>608.42499999999995</v>
      </c>
      <c r="GW73" s="2">
        <v>629.375</v>
      </c>
      <c r="GX73" s="2">
        <v>627.57500000000005</v>
      </c>
      <c r="GY73" s="2">
        <v>630.625</v>
      </c>
      <c r="GZ73" s="2">
        <v>622.9</v>
      </c>
      <c r="HA73" s="2">
        <v>630.375</v>
      </c>
      <c r="HB73" s="2">
        <v>639.9</v>
      </c>
      <c r="HC73" s="2">
        <v>642.95000000000005</v>
      </c>
      <c r="HD73" s="2">
        <v>644.6</v>
      </c>
      <c r="HE73" s="2">
        <v>659.55</v>
      </c>
      <c r="HF73" s="3">
        <v>661.92970000000003</v>
      </c>
      <c r="HG73" s="3">
        <v>667.46810000000005</v>
      </c>
      <c r="HH73" s="3">
        <v>674.36789999999996</v>
      </c>
      <c r="HI73" s="3">
        <v>681.53089999999997</v>
      </c>
      <c r="HJ73" s="3">
        <v>685.93989999999997</v>
      </c>
      <c r="HK73" s="3">
        <v>689.98400000000004</v>
      </c>
      <c r="HL73" s="3">
        <v>694.39239999999995</v>
      </c>
      <c r="HM73" s="3">
        <v>698.99969999999996</v>
      </c>
      <c r="HN73" s="3">
        <v>704.11289999999997</v>
      </c>
      <c r="HO73" s="3">
        <v>709.71410000000003</v>
      </c>
      <c r="HP73" s="3">
        <v>715.60220000000004</v>
      </c>
      <c r="HQ73" s="3">
        <v>721.62789999999995</v>
      </c>
      <c r="HR73" s="3">
        <v>727.71540000000005</v>
      </c>
      <c r="HS73" s="3">
        <v>733.84429999999998</v>
      </c>
      <c r="HT73" s="3">
        <v>739.97280000000001</v>
      </c>
      <c r="HU73" s="3">
        <v>746.05780000000004</v>
      </c>
      <c r="HV73" s="3">
        <v>752.08050000000003</v>
      </c>
      <c r="HW73" s="3">
        <v>758.06629999999996</v>
      </c>
      <c r="HX73" s="3">
        <v>764.02009999999996</v>
      </c>
      <c r="HY73" s="3">
        <v>769.94209999999998</v>
      </c>
      <c r="HZ73" s="3">
        <v>775.83389999999997</v>
      </c>
      <c r="IA73" s="3">
        <v>781.69159999999999</v>
      </c>
      <c r="IB73" s="3">
        <v>787.50779999999997</v>
      </c>
      <c r="IC73" s="3">
        <v>793.27800000000002</v>
      </c>
      <c r="ID73" s="3">
        <v>799.00229999999999</v>
      </c>
      <c r="IE73" s="3">
        <v>804.67989999999998</v>
      </c>
      <c r="IF73" s="3">
        <v>810.32449999999994</v>
      </c>
      <c r="IG73" s="3">
        <v>815.93600000000004</v>
      </c>
      <c r="IH73" s="3">
        <v>821.51120000000003</v>
      </c>
      <c r="II73" s="3">
        <v>827.05110000000002</v>
      </c>
      <c r="IJ73" s="3">
        <v>832.55269999999996</v>
      </c>
      <c r="IK73" s="3">
        <v>838.03750000000002</v>
      </c>
      <c r="IL73" s="3">
        <v>843.4547</v>
      </c>
      <c r="IM73" s="3">
        <v>848.82929999999999</v>
      </c>
      <c r="IN73" s="3">
        <v>854.16030000000001</v>
      </c>
      <c r="IO73" s="3">
        <v>859.4479</v>
      </c>
      <c r="IP73" s="3">
        <v>864.68910000000005</v>
      </c>
      <c r="IQ73" s="3">
        <v>869.88329999999996</v>
      </c>
      <c r="IR73" s="3">
        <v>875.02980000000002</v>
      </c>
      <c r="IS73" s="3">
        <v>880.12239999999997</v>
      </c>
      <c r="IT73" s="3">
        <v>885.15359999999998</v>
      </c>
      <c r="IU73" s="3">
        <v>890.13350000000003</v>
      </c>
      <c r="IV73" s="3">
        <v>895.08249999999998</v>
      </c>
      <c r="IW73" s="3">
        <v>900.01250000000005</v>
      </c>
      <c r="IX73" s="3">
        <v>904.9357</v>
      </c>
      <c r="IY73" s="3">
        <v>909.79989999999998</v>
      </c>
      <c r="IZ73" s="3">
        <v>914.70690000000002</v>
      </c>
      <c r="JA73" s="3">
        <v>919.61590000000001</v>
      </c>
      <c r="JB73" s="3">
        <v>924.53510000000006</v>
      </c>
      <c r="JC73" s="3">
        <v>929.46339999999998</v>
      </c>
      <c r="JD73" s="3">
        <v>934.40499999999997</v>
      </c>
      <c r="JE73" s="3">
        <v>939.37540000000001</v>
      </c>
      <c r="JF73" s="3">
        <v>944.33609999999999</v>
      </c>
      <c r="JG73" s="3">
        <v>949.3152</v>
      </c>
      <c r="JH73" s="3">
        <v>954.30769999999995</v>
      </c>
      <c r="JI73" s="3">
        <v>959.322</v>
      </c>
      <c r="JJ73" s="3">
        <v>964.35059999999999</v>
      </c>
      <c r="JK73" s="3">
        <v>969.40170000000001</v>
      </c>
      <c r="JL73" s="3">
        <v>974.4701</v>
      </c>
      <c r="JM73" s="3">
        <v>979.53250000000003</v>
      </c>
      <c r="JN73" s="3">
        <v>984.6277</v>
      </c>
      <c r="JO73" s="3">
        <v>989.7364</v>
      </c>
      <c r="JP73" s="3">
        <v>994.85739999999998</v>
      </c>
      <c r="JQ73" s="3">
        <v>999.98860000000002</v>
      </c>
      <c r="JR73" s="3">
        <v>1005.14</v>
      </c>
      <c r="JS73" s="3">
        <v>1010.314</v>
      </c>
      <c r="JT73" s="3">
        <v>1015.501</v>
      </c>
      <c r="JU73" s="3">
        <v>1020.712</v>
      </c>
      <c r="JV73" s="3">
        <v>1025.94</v>
      </c>
      <c r="JW73" s="3">
        <v>1031.183</v>
      </c>
      <c r="JX73" s="3">
        <v>1036.4459999999999</v>
      </c>
      <c r="JY73" s="3">
        <v>1041.7239999999999</v>
      </c>
      <c r="JZ73" s="3">
        <v>1047.0219999999999</v>
      </c>
      <c r="KA73" s="3">
        <v>1052.3520000000001</v>
      </c>
      <c r="KB73" s="3">
        <v>1057.7049999999999</v>
      </c>
      <c r="KC73" s="3">
        <v>1063.0709999999999</v>
      </c>
      <c r="KD73" s="3">
        <v>1068.4649999999999</v>
      </c>
      <c r="KE73" s="3">
        <v>1073.8789999999999</v>
      </c>
      <c r="KF73" s="3">
        <v>1079.3040000000001</v>
      </c>
      <c r="KG73" s="3">
        <v>1084.751</v>
      </c>
      <c r="KH73" s="3">
        <v>1090.221</v>
      </c>
      <c r="KI73" s="3">
        <v>1095.694</v>
      </c>
      <c r="KJ73" s="3">
        <v>1101.19</v>
      </c>
      <c r="KK73" s="3">
        <v>1106.692</v>
      </c>
      <c r="KL73" s="3">
        <v>1112.222</v>
      </c>
      <c r="KM73" s="3">
        <v>1117.7739999999999</v>
      </c>
      <c r="KN73" s="3">
        <v>1123.337</v>
      </c>
      <c r="KO73" s="3">
        <v>1128.914</v>
      </c>
      <c r="KP73" s="3">
        <v>1134.5260000000001</v>
      </c>
      <c r="KQ73" s="3">
        <v>1140.146</v>
      </c>
      <c r="KR73" s="3">
        <v>1145.777</v>
      </c>
      <c r="KS73" s="3">
        <v>1151.4290000000001</v>
      </c>
      <c r="KT73" s="3">
        <v>1157.106</v>
      </c>
      <c r="KU73" s="3">
        <v>1162.796</v>
      </c>
      <c r="KV73" s="3">
        <v>1168.518</v>
      </c>
      <c r="KW73" s="3">
        <v>1174.229</v>
      </c>
      <c r="KX73" s="3">
        <v>1179.99</v>
      </c>
      <c r="KY73" s="3">
        <v>1185.758</v>
      </c>
      <c r="KZ73" s="3">
        <v>1191.521</v>
      </c>
      <c r="LA73" s="3">
        <v>1197.316</v>
      </c>
      <c r="LB73" s="3">
        <v>1203.124</v>
      </c>
      <c r="LC73" s="3">
        <v>1208.971</v>
      </c>
      <c r="LD73" s="3">
        <v>1214.829</v>
      </c>
      <c r="LE73" s="3">
        <v>1220.6880000000001</v>
      </c>
      <c r="LF73" s="3">
        <v>1226.5899999999999</v>
      </c>
      <c r="LG73" s="3">
        <v>1232.5070000000001</v>
      </c>
      <c r="LH73" s="3">
        <v>1238.451</v>
      </c>
      <c r="LI73" s="3">
        <v>1244.42</v>
      </c>
      <c r="LJ73" s="3">
        <v>1250.4090000000001</v>
      </c>
      <c r="LK73" s="3">
        <v>1256.433</v>
      </c>
      <c r="LL73" s="3">
        <v>1262.47</v>
      </c>
      <c r="LM73" s="3">
        <v>1268.5450000000001</v>
      </c>
      <c r="LN73" s="3">
        <v>1274.6389999999999</v>
      </c>
      <c r="LO73" s="3">
        <v>1280.7570000000001</v>
      </c>
      <c r="LP73" s="3">
        <v>1286.904</v>
      </c>
      <c r="LQ73" s="3">
        <v>1293.085</v>
      </c>
      <c r="LR73" s="3">
        <v>1299.278</v>
      </c>
      <c r="LS73" s="3">
        <v>1305.5060000000001</v>
      </c>
      <c r="LT73" s="3">
        <v>1311.7449999999999</v>
      </c>
      <c r="LU73" s="3">
        <v>1318.0260000000001</v>
      </c>
      <c r="LV73" s="3">
        <v>1324.328</v>
      </c>
      <c r="LW73" s="3">
        <v>1330.653</v>
      </c>
      <c r="LX73" s="3">
        <v>1337.0150000000001</v>
      </c>
      <c r="LY73" s="3">
        <v>1343.3979999999999</v>
      </c>
      <c r="LZ73" s="3">
        <v>1349.798</v>
      </c>
      <c r="MA73" s="3">
        <v>1356.2349999999999</v>
      </c>
      <c r="MB73" s="3">
        <v>1362.692</v>
      </c>
      <c r="MC73" s="3">
        <v>1369.183</v>
      </c>
      <c r="MD73" s="3">
        <v>1375.7</v>
      </c>
      <c r="ME73" s="3">
        <v>1382.2439999999999</v>
      </c>
      <c r="MF73" s="3">
        <v>1388.817</v>
      </c>
      <c r="MG73" s="3">
        <v>1395.421</v>
      </c>
      <c r="MH73" s="3">
        <v>1402.058</v>
      </c>
      <c r="MI73" s="3">
        <v>1408.7170000000001</v>
      </c>
      <c r="MJ73" s="3">
        <v>1415.41</v>
      </c>
      <c r="MK73" s="3">
        <v>1422.1320000000001</v>
      </c>
      <c r="ML73" s="3">
        <v>1428.877</v>
      </c>
      <c r="MM73" s="3">
        <v>1435.6590000000001</v>
      </c>
      <c r="MN73" s="3">
        <v>1442.4649999999999</v>
      </c>
      <c r="MO73" s="3">
        <v>1449.3030000000001</v>
      </c>
      <c r="MP73" s="3">
        <v>1456.1759999999999</v>
      </c>
      <c r="MQ73" s="3">
        <v>1463.0730000000001</v>
      </c>
      <c r="MR73" s="3">
        <v>1470.001</v>
      </c>
      <c r="MS73" s="3">
        <v>1476.9580000000001</v>
      </c>
      <c r="MT73" s="3">
        <v>1483.942</v>
      </c>
      <c r="MU73" t="s">
        <v>385</v>
      </c>
      <c r="MV73" t="b">
        <v>1</v>
      </c>
      <c r="MW73" s="1" t="s">
        <v>386</v>
      </c>
      <c r="MX73" t="s">
        <v>377</v>
      </c>
      <c r="MY73">
        <v>2024</v>
      </c>
      <c r="MZ73">
        <v>3</v>
      </c>
      <c r="NA73" t="s">
        <v>377</v>
      </c>
      <c r="NB73" s="1" t="s">
        <v>400</v>
      </c>
      <c r="NC73" s="1" t="s">
        <v>401</v>
      </c>
      <c r="ND73" t="s">
        <v>389</v>
      </c>
      <c r="NE73" t="s">
        <v>399</v>
      </c>
      <c r="NF73" s="1" t="s">
        <v>528</v>
      </c>
    </row>
    <row r="74" spans="1:370" x14ac:dyDescent="0.25">
      <c r="A74" t="s">
        <v>370</v>
      </c>
      <c r="B74" s="1" t="s">
        <v>435</v>
      </c>
      <c r="C74" s="1" t="s">
        <v>527</v>
      </c>
      <c r="D74" t="s">
        <v>372</v>
      </c>
      <c r="E74" t="s">
        <v>373</v>
      </c>
      <c r="F74" t="s">
        <v>374</v>
      </c>
      <c r="G74" s="2">
        <v>13911.1</v>
      </c>
      <c r="H74" s="2">
        <v>14383.87</v>
      </c>
      <c r="I74" s="2">
        <v>14134.28</v>
      </c>
      <c r="J74" s="2">
        <v>14654.81</v>
      </c>
      <c r="K74" s="2">
        <v>16014.87</v>
      </c>
      <c r="L74" s="2">
        <v>15888.81</v>
      </c>
      <c r="M74" s="2">
        <v>16274.34</v>
      </c>
      <c r="N74" s="2">
        <v>15142.34</v>
      </c>
      <c r="O74" s="2">
        <v>15222.87</v>
      </c>
      <c r="P74" s="2">
        <v>15136.16</v>
      </c>
      <c r="Q74" s="2">
        <v>15232.16</v>
      </c>
      <c r="R74" s="2">
        <v>16077.4</v>
      </c>
      <c r="S74" s="2">
        <v>16502.87</v>
      </c>
      <c r="T74" s="2">
        <v>17543.099999999999</v>
      </c>
      <c r="U74" s="2">
        <v>16388.57</v>
      </c>
      <c r="V74" s="2">
        <v>16747.04</v>
      </c>
      <c r="W74" s="2">
        <v>17034.98</v>
      </c>
      <c r="X74" s="2">
        <v>17530.21</v>
      </c>
      <c r="Y74" s="2">
        <v>18027.45</v>
      </c>
      <c r="Z74" s="2">
        <v>17529.04</v>
      </c>
      <c r="AA74" s="2">
        <v>17137.45</v>
      </c>
      <c r="AB74" s="2">
        <v>18068.150000000001</v>
      </c>
      <c r="AC74" s="2">
        <v>16110.09</v>
      </c>
      <c r="AD74" s="2">
        <v>16562.86</v>
      </c>
      <c r="AE74" s="2">
        <v>12034.5</v>
      </c>
      <c r="AF74" s="2">
        <v>17701.14</v>
      </c>
      <c r="AG74" s="2">
        <v>14802.85</v>
      </c>
      <c r="AH74" s="2">
        <v>16132.91</v>
      </c>
      <c r="AI74" s="2">
        <v>17320.91</v>
      </c>
      <c r="AJ74" s="2">
        <v>16153.44</v>
      </c>
      <c r="AK74" s="2">
        <v>15567.97</v>
      </c>
      <c r="AL74" s="2">
        <v>15568.44</v>
      </c>
      <c r="AM74" s="2">
        <v>12698.02</v>
      </c>
      <c r="AN74" s="2">
        <v>13291.79</v>
      </c>
      <c r="AO74" s="2">
        <v>13837.25</v>
      </c>
      <c r="AP74" s="2">
        <v>14265.79</v>
      </c>
      <c r="AQ74" s="2">
        <v>14239.55</v>
      </c>
      <c r="AR74" s="2">
        <v>14329.72</v>
      </c>
      <c r="AS74" s="2">
        <v>12844.9</v>
      </c>
      <c r="AT74" s="2">
        <v>13139.37</v>
      </c>
      <c r="AU74" s="2">
        <v>13361.43</v>
      </c>
      <c r="AV74" s="2">
        <v>12684.37</v>
      </c>
      <c r="AW74" s="2">
        <v>13444.37</v>
      </c>
      <c r="AX74" s="2">
        <v>12600.25</v>
      </c>
      <c r="AY74" s="2">
        <v>14020.54</v>
      </c>
      <c r="AZ74" s="2">
        <v>14567.07</v>
      </c>
      <c r="BA74" s="2">
        <v>13787.42</v>
      </c>
      <c r="BB74" s="2">
        <v>15603.78</v>
      </c>
      <c r="BC74" s="2">
        <v>14844.18</v>
      </c>
      <c r="BD74" s="2">
        <v>15294.36</v>
      </c>
      <c r="BE74" s="2">
        <v>15276.48</v>
      </c>
      <c r="BF74" s="2">
        <v>14510.18</v>
      </c>
      <c r="BG74" s="2">
        <v>14486.36</v>
      </c>
      <c r="BH74" s="2">
        <v>15815.12</v>
      </c>
      <c r="BI74" s="2">
        <v>15054.83</v>
      </c>
      <c r="BJ74" s="2">
        <v>16708.36</v>
      </c>
      <c r="BK74" s="2">
        <v>18528.419999999998</v>
      </c>
      <c r="BL74" s="2">
        <v>17568.18</v>
      </c>
      <c r="BM74" s="2">
        <v>18760.650000000001</v>
      </c>
      <c r="BN74" s="2">
        <v>18302.36</v>
      </c>
      <c r="BO74" s="2">
        <v>18628.419999999998</v>
      </c>
      <c r="BP74" s="2">
        <v>19847.419999999998</v>
      </c>
      <c r="BQ74" s="2">
        <v>21800.78</v>
      </c>
      <c r="BR74" s="2">
        <v>22991.19</v>
      </c>
      <c r="BS74" s="2">
        <v>26502.79</v>
      </c>
      <c r="BT74" s="2">
        <v>25986.32</v>
      </c>
      <c r="BU74" s="2">
        <v>25721.19</v>
      </c>
      <c r="BV74" s="2">
        <v>26584.37</v>
      </c>
      <c r="BW74" s="2">
        <v>26486.07</v>
      </c>
      <c r="BX74" s="2">
        <v>27016.07</v>
      </c>
      <c r="BY74" s="2">
        <v>28534.959999999999</v>
      </c>
      <c r="BZ74" s="2">
        <v>28512.19</v>
      </c>
      <c r="CA74" s="2">
        <v>28390.49</v>
      </c>
      <c r="CB74" s="2">
        <v>29084.43</v>
      </c>
      <c r="CC74" s="2">
        <v>28134.07</v>
      </c>
      <c r="CD74" s="2">
        <v>27742.07</v>
      </c>
      <c r="CE74" s="2">
        <v>29177.19</v>
      </c>
      <c r="CF74" s="2">
        <v>28744.6</v>
      </c>
      <c r="CG74" s="2">
        <v>27811.31</v>
      </c>
      <c r="CH74" s="2">
        <v>28771.54</v>
      </c>
      <c r="CI74" s="2">
        <v>29509.31</v>
      </c>
      <c r="CJ74" s="2">
        <v>29054.54</v>
      </c>
      <c r="CK74" s="2">
        <v>26145.06</v>
      </c>
      <c r="CL74" s="2">
        <v>26150</v>
      </c>
      <c r="CM74" s="2">
        <v>28757.77</v>
      </c>
      <c r="CN74" s="2">
        <v>28745.7</v>
      </c>
      <c r="CO74" s="2">
        <v>29943.23</v>
      </c>
      <c r="CP74" s="2">
        <v>31436.17</v>
      </c>
      <c r="CQ74" s="2">
        <v>33597.47</v>
      </c>
      <c r="CR74" s="2">
        <v>35269.360000000001</v>
      </c>
      <c r="CS74" s="2">
        <v>37229.83</v>
      </c>
      <c r="CT74" s="2">
        <v>36407.699999999997</v>
      </c>
      <c r="CU74" s="2">
        <v>38859.06</v>
      </c>
      <c r="CV74" s="2">
        <v>40237.589999999997</v>
      </c>
      <c r="CW74" s="2">
        <v>41370.83</v>
      </c>
      <c r="CX74" s="2">
        <v>41113</v>
      </c>
      <c r="CY74" s="2">
        <v>47312</v>
      </c>
      <c r="CZ74" s="2">
        <v>49077</v>
      </c>
      <c r="DA74" s="2">
        <v>46468</v>
      </c>
      <c r="DB74" s="2">
        <v>49699</v>
      </c>
      <c r="DC74" s="2">
        <v>49018</v>
      </c>
      <c r="DD74" s="2">
        <v>48801</v>
      </c>
      <c r="DE74" s="2">
        <v>49164</v>
      </c>
      <c r="DF74" s="2">
        <v>48941</v>
      </c>
      <c r="DG74" s="2">
        <v>48191</v>
      </c>
      <c r="DH74" s="2">
        <v>50236</v>
      </c>
      <c r="DI74" s="2">
        <v>53818</v>
      </c>
      <c r="DJ74" s="2">
        <v>53036</v>
      </c>
      <c r="DK74" s="2">
        <v>55236</v>
      </c>
      <c r="DL74" s="2">
        <v>56441</v>
      </c>
      <c r="DM74" s="2">
        <v>57547</v>
      </c>
      <c r="DN74" s="2">
        <v>61784</v>
      </c>
      <c r="DO74" s="2">
        <v>62604</v>
      </c>
      <c r="DP74" s="2">
        <v>60790</v>
      </c>
      <c r="DQ74" s="2">
        <v>56263</v>
      </c>
      <c r="DR74" s="2">
        <v>54782</v>
      </c>
      <c r="DS74" s="2">
        <v>58201</v>
      </c>
      <c r="DT74" s="2">
        <v>61012</v>
      </c>
      <c r="DU74" s="2">
        <v>60535</v>
      </c>
      <c r="DV74" s="2">
        <v>55055</v>
      </c>
      <c r="DW74" s="2">
        <v>60127</v>
      </c>
      <c r="DX74" s="2">
        <v>57243</v>
      </c>
      <c r="DY74" s="2">
        <v>57598</v>
      </c>
      <c r="DZ74" s="2">
        <v>60770</v>
      </c>
      <c r="EA74" s="2">
        <v>58977</v>
      </c>
      <c r="EB74" s="2">
        <v>61445</v>
      </c>
      <c r="EC74" s="2">
        <v>63187</v>
      </c>
      <c r="ED74" s="2">
        <v>63597</v>
      </c>
      <c r="EE74" s="2">
        <v>62404</v>
      </c>
      <c r="EF74" s="2">
        <v>69622</v>
      </c>
      <c r="EG74" s="2">
        <v>74283</v>
      </c>
      <c r="EH74" s="2">
        <v>76075</v>
      </c>
      <c r="EI74" s="2">
        <v>90963</v>
      </c>
      <c r="EJ74" s="2">
        <v>96110</v>
      </c>
      <c r="EK74" s="2">
        <v>72582</v>
      </c>
      <c r="EL74" s="2">
        <v>72635</v>
      </c>
      <c r="EM74" s="2">
        <v>72659</v>
      </c>
      <c r="EN74" s="2">
        <v>75457</v>
      </c>
      <c r="EO74" s="2">
        <v>75142</v>
      </c>
      <c r="EP74" s="2">
        <v>75960</v>
      </c>
      <c r="EQ74" s="2">
        <v>76125</v>
      </c>
      <c r="ER74" s="2">
        <v>78115</v>
      </c>
      <c r="ES74" s="2">
        <v>77283</v>
      </c>
      <c r="ET74" s="2">
        <v>66295</v>
      </c>
      <c r="EU74" s="2">
        <v>61223</v>
      </c>
      <c r="EV74" s="2">
        <v>63530</v>
      </c>
      <c r="EW74" s="2">
        <v>66740</v>
      </c>
      <c r="EX74" s="2">
        <v>69559</v>
      </c>
      <c r="EY74" s="2">
        <v>68793</v>
      </c>
      <c r="EZ74" s="2">
        <v>73351</v>
      </c>
      <c r="FA74" s="2">
        <v>75631</v>
      </c>
      <c r="FB74" s="2">
        <v>75516</v>
      </c>
      <c r="FC74" s="2">
        <v>82899</v>
      </c>
      <c r="FD74" s="2">
        <v>77247</v>
      </c>
      <c r="FE74" s="2">
        <v>79055</v>
      </c>
      <c r="FF74" s="2">
        <v>82546</v>
      </c>
      <c r="FG74" s="2">
        <v>82827</v>
      </c>
      <c r="FH74" s="2">
        <v>76721</v>
      </c>
      <c r="FI74" s="2">
        <v>80308</v>
      </c>
      <c r="FJ74" s="2">
        <v>79657</v>
      </c>
      <c r="FK74" s="2">
        <v>78390</v>
      </c>
      <c r="FL74" s="2">
        <v>80561</v>
      </c>
      <c r="FM74" s="2">
        <v>80735</v>
      </c>
      <c r="FN74" s="2">
        <v>79648</v>
      </c>
      <c r="FO74" s="2">
        <v>79393</v>
      </c>
      <c r="FP74" s="2">
        <v>83041</v>
      </c>
      <c r="FQ74" s="2">
        <v>81331</v>
      </c>
      <c r="FR74" s="2">
        <v>82852</v>
      </c>
      <c r="FS74" s="2">
        <v>82894</v>
      </c>
      <c r="FT74" s="2">
        <v>85562</v>
      </c>
      <c r="FU74" s="2">
        <v>82221</v>
      </c>
      <c r="FV74" s="2">
        <v>84336</v>
      </c>
      <c r="FW74" s="2">
        <v>81123</v>
      </c>
      <c r="FX74" s="2">
        <v>86230</v>
      </c>
      <c r="FY74" s="2">
        <v>83151</v>
      </c>
      <c r="FZ74" s="2">
        <v>86737</v>
      </c>
      <c r="GA74" s="2">
        <v>86199</v>
      </c>
      <c r="GB74" s="2">
        <v>86884</v>
      </c>
      <c r="GC74" s="2">
        <v>89058</v>
      </c>
      <c r="GD74" s="2">
        <v>90091</v>
      </c>
      <c r="GE74" s="2">
        <v>91944</v>
      </c>
      <c r="GF74" s="2">
        <v>89256</v>
      </c>
      <c r="GG74" s="2">
        <v>89300</v>
      </c>
      <c r="GH74" s="2">
        <v>87750</v>
      </c>
      <c r="GI74" s="2">
        <v>91240</v>
      </c>
      <c r="GJ74" s="2">
        <v>88505</v>
      </c>
      <c r="GK74" s="2">
        <v>89995</v>
      </c>
      <c r="GL74" s="2">
        <v>99624</v>
      </c>
      <c r="GM74" s="2">
        <v>84316</v>
      </c>
      <c r="GN74" s="2">
        <v>73698</v>
      </c>
      <c r="GO74" s="2">
        <v>77079</v>
      </c>
      <c r="GP74" s="2">
        <v>83241</v>
      </c>
      <c r="GQ74" s="2">
        <v>76485</v>
      </c>
      <c r="GR74" s="2">
        <v>88635</v>
      </c>
      <c r="GS74" s="2">
        <v>79442</v>
      </c>
      <c r="GT74" s="2">
        <v>88057</v>
      </c>
      <c r="GU74" s="2">
        <v>79755</v>
      </c>
      <c r="GV74" s="2">
        <v>83449</v>
      </c>
      <c r="GW74" s="2">
        <v>98222</v>
      </c>
      <c r="GX74" s="2">
        <v>101136</v>
      </c>
      <c r="GY74" s="2">
        <v>87773</v>
      </c>
      <c r="GZ74" s="2">
        <v>87565</v>
      </c>
      <c r="HA74" s="2">
        <v>83540</v>
      </c>
      <c r="HB74" s="2">
        <v>85942</v>
      </c>
      <c r="HC74" s="2">
        <v>83080</v>
      </c>
      <c r="HD74" s="2">
        <v>78745</v>
      </c>
      <c r="HE74" s="2">
        <v>78078</v>
      </c>
      <c r="HF74" s="3">
        <v>75696.67</v>
      </c>
      <c r="HG74" s="3">
        <v>76472.570000000007</v>
      </c>
      <c r="HH74" s="3">
        <v>76766.45</v>
      </c>
      <c r="HI74" s="3">
        <v>77041.850000000006</v>
      </c>
      <c r="HJ74" s="3">
        <v>77321.679999999993</v>
      </c>
      <c r="HK74" s="3">
        <v>77571.740000000005</v>
      </c>
      <c r="HL74" s="3">
        <v>77807.259999999995</v>
      </c>
      <c r="HM74" s="3">
        <v>78051.89</v>
      </c>
      <c r="HN74" s="3">
        <v>78293.48</v>
      </c>
      <c r="HO74" s="3">
        <v>78555.75</v>
      </c>
      <c r="HP74" s="3">
        <v>78803.210000000006</v>
      </c>
      <c r="HQ74" s="3">
        <v>79043.55</v>
      </c>
      <c r="HR74" s="3">
        <v>79245.13</v>
      </c>
      <c r="HS74" s="3">
        <v>79447.199999999997</v>
      </c>
      <c r="HT74" s="3">
        <v>79645.83</v>
      </c>
      <c r="HU74" s="3">
        <v>79844.92</v>
      </c>
      <c r="HV74" s="3">
        <v>80044.55</v>
      </c>
      <c r="HW74" s="3">
        <v>80244.66</v>
      </c>
      <c r="HX74" s="3">
        <v>80445.259999999995</v>
      </c>
      <c r="HY74" s="3">
        <v>80646.38</v>
      </c>
      <c r="HZ74" s="3">
        <v>80868.160000000003</v>
      </c>
      <c r="IA74" s="3">
        <v>81110.77</v>
      </c>
      <c r="IB74" s="3">
        <v>81362.2</v>
      </c>
      <c r="IC74" s="3">
        <v>81614.429999999993</v>
      </c>
      <c r="ID74" s="3">
        <v>81867.429999999993</v>
      </c>
      <c r="IE74" s="3">
        <v>82121.22</v>
      </c>
      <c r="IF74" s="3">
        <v>82375.8</v>
      </c>
      <c r="IG74" s="3">
        <v>82631.16</v>
      </c>
      <c r="IH74" s="3">
        <v>82887.320000000007</v>
      </c>
      <c r="II74" s="3">
        <v>83144.27</v>
      </c>
      <c r="IJ74" s="3">
        <v>83402.02</v>
      </c>
      <c r="IK74" s="3">
        <v>83660.56</v>
      </c>
      <c r="IL74" s="3">
        <v>83919.91</v>
      </c>
      <c r="IM74" s="3">
        <v>84177.37</v>
      </c>
      <c r="IN74" s="3">
        <v>84431.73</v>
      </c>
      <c r="IO74" s="3">
        <v>84679.71</v>
      </c>
      <c r="IP74" s="3">
        <v>84920.639999999999</v>
      </c>
      <c r="IQ74" s="3">
        <v>85174.8</v>
      </c>
      <c r="IR74" s="3">
        <v>85415.81</v>
      </c>
      <c r="IS74" s="3">
        <v>85652.55</v>
      </c>
      <c r="IT74" s="3">
        <v>85881.64</v>
      </c>
      <c r="IU74" s="3">
        <v>86118.88</v>
      </c>
      <c r="IV74" s="3">
        <v>86356.55</v>
      </c>
      <c r="IW74" s="3">
        <v>86594.61</v>
      </c>
      <c r="IX74" s="3">
        <v>86833.07</v>
      </c>
      <c r="IY74" s="3">
        <v>87079.47</v>
      </c>
      <c r="IZ74" s="3">
        <v>87326.63</v>
      </c>
      <c r="JA74" s="3">
        <v>87574.57</v>
      </c>
      <c r="JB74" s="3">
        <v>87823.24</v>
      </c>
      <c r="JC74" s="3">
        <v>88072.69</v>
      </c>
      <c r="JD74" s="3">
        <v>88322.880000000005</v>
      </c>
      <c r="JE74" s="3">
        <v>88573.84</v>
      </c>
      <c r="JF74" s="3">
        <v>88825.55</v>
      </c>
      <c r="JG74" s="3">
        <v>89085.45</v>
      </c>
      <c r="JH74" s="3">
        <v>89346.2</v>
      </c>
      <c r="JI74" s="3">
        <v>89607.9</v>
      </c>
      <c r="JJ74" s="3">
        <v>89870.52</v>
      </c>
      <c r="JK74" s="3">
        <v>90134.06</v>
      </c>
      <c r="JL74" s="3">
        <v>90398.54</v>
      </c>
      <c r="JM74" s="3">
        <v>90663.97</v>
      </c>
      <c r="JN74" s="3">
        <v>90930.35</v>
      </c>
      <c r="JO74" s="3">
        <v>91215.87</v>
      </c>
      <c r="JP74" s="3">
        <v>91502.27</v>
      </c>
      <c r="JQ74" s="3">
        <v>91789.59</v>
      </c>
      <c r="JR74" s="3">
        <v>92077.8</v>
      </c>
      <c r="JS74" s="3">
        <v>92355.91</v>
      </c>
      <c r="JT74" s="3">
        <v>92634.76</v>
      </c>
      <c r="JU74" s="3">
        <v>92914.35</v>
      </c>
      <c r="JV74" s="3">
        <v>93194.68</v>
      </c>
      <c r="JW74" s="3">
        <v>93475.76</v>
      </c>
      <c r="JX74" s="3">
        <v>93757.55</v>
      </c>
      <c r="JY74" s="3">
        <v>94040.07</v>
      </c>
      <c r="JZ74" s="3">
        <v>94323.33</v>
      </c>
      <c r="KA74" s="3">
        <v>94607.28</v>
      </c>
      <c r="KB74" s="3">
        <v>94891.95</v>
      </c>
      <c r="KC74" s="3">
        <v>95177.279999999999</v>
      </c>
      <c r="KD74" s="3">
        <v>95463.29</v>
      </c>
      <c r="KE74" s="3">
        <v>95749.93</v>
      </c>
      <c r="KF74" s="3">
        <v>96037.24</v>
      </c>
      <c r="KG74" s="3">
        <v>96325.19</v>
      </c>
      <c r="KH74" s="3">
        <v>96613.77</v>
      </c>
      <c r="KI74" s="3">
        <v>96903.02</v>
      </c>
      <c r="KJ74" s="3">
        <v>97192.88</v>
      </c>
      <c r="KK74" s="3">
        <v>97483.4</v>
      </c>
      <c r="KL74" s="3">
        <v>97774.56</v>
      </c>
      <c r="KM74" s="3">
        <v>98066.35</v>
      </c>
      <c r="KN74" s="3">
        <v>98358.78</v>
      </c>
      <c r="KO74" s="3">
        <v>98651.87</v>
      </c>
      <c r="KP74" s="3">
        <v>98945.59</v>
      </c>
      <c r="KQ74" s="3">
        <v>99239.98</v>
      </c>
      <c r="KR74" s="3">
        <v>99534.98</v>
      </c>
      <c r="KS74" s="3">
        <v>99830.66</v>
      </c>
      <c r="KT74" s="3">
        <v>100127</v>
      </c>
      <c r="KU74" s="3">
        <v>100424</v>
      </c>
      <c r="KV74" s="3">
        <v>100721.60000000001</v>
      </c>
      <c r="KW74" s="3">
        <v>101020</v>
      </c>
      <c r="KX74" s="3">
        <v>101318.9</v>
      </c>
      <c r="KY74" s="3">
        <v>101618.5</v>
      </c>
      <c r="KZ74" s="3">
        <v>101918.7</v>
      </c>
      <c r="LA74" s="3">
        <v>102219.6</v>
      </c>
      <c r="LB74" s="3">
        <v>102521</v>
      </c>
      <c r="LC74" s="3">
        <v>102823.1</v>
      </c>
      <c r="LD74" s="3">
        <v>103125.7</v>
      </c>
      <c r="LE74" s="3">
        <v>103428.8</v>
      </c>
      <c r="LF74" s="3">
        <v>103732.4</v>
      </c>
      <c r="LG74" s="3">
        <v>104011.6</v>
      </c>
      <c r="LH74" s="3">
        <v>104291</v>
      </c>
      <c r="LI74" s="3">
        <v>104566.3</v>
      </c>
      <c r="LJ74" s="3">
        <v>104841.9</v>
      </c>
      <c r="LK74" s="3">
        <v>105117.6</v>
      </c>
      <c r="LL74" s="3">
        <v>105393.60000000001</v>
      </c>
      <c r="LM74" s="3">
        <v>105662.2</v>
      </c>
      <c r="LN74" s="3">
        <v>105930.9</v>
      </c>
      <c r="LO74" s="3">
        <v>106199.6</v>
      </c>
      <c r="LP74" s="3">
        <v>106468.4</v>
      </c>
      <c r="LQ74" s="3">
        <v>106737.3</v>
      </c>
      <c r="LR74" s="3">
        <v>107006.39999999999</v>
      </c>
      <c r="LS74" s="3">
        <v>107275.4</v>
      </c>
      <c r="LT74" s="3">
        <v>107544.6</v>
      </c>
      <c r="LU74" s="3">
        <v>107810.3</v>
      </c>
      <c r="LV74" s="3">
        <v>108075.9</v>
      </c>
      <c r="LW74" s="3">
        <v>108341.6</v>
      </c>
      <c r="LX74" s="3">
        <v>108607.2</v>
      </c>
      <c r="LY74" s="3">
        <v>108870</v>
      </c>
      <c r="LZ74" s="3">
        <v>109132.7</v>
      </c>
      <c r="MA74" s="3">
        <v>109395.4</v>
      </c>
      <c r="MB74" s="3">
        <v>109658</v>
      </c>
      <c r="MC74" s="3">
        <v>109920.8</v>
      </c>
      <c r="MD74" s="3">
        <v>110183.6</v>
      </c>
      <c r="ME74" s="3">
        <v>110446.3</v>
      </c>
      <c r="MF74" s="3">
        <v>110709</v>
      </c>
      <c r="MG74" s="3">
        <v>110975.4</v>
      </c>
      <c r="MH74" s="3">
        <v>111241.8</v>
      </c>
      <c r="MI74" s="3">
        <v>111508.3</v>
      </c>
      <c r="MJ74" s="3">
        <v>111774.8</v>
      </c>
      <c r="MK74" s="3">
        <v>112040.3</v>
      </c>
      <c r="ML74" s="3">
        <v>112305.9</v>
      </c>
      <c r="MM74" s="3">
        <v>112571.5</v>
      </c>
      <c r="MN74" s="3">
        <v>112837.2</v>
      </c>
      <c r="MO74" s="3">
        <v>113106.8</v>
      </c>
      <c r="MP74" s="3">
        <v>113376.5</v>
      </c>
      <c r="MQ74" s="3">
        <v>113646.2</v>
      </c>
      <c r="MR74" s="3">
        <v>113916.1</v>
      </c>
      <c r="MS74" s="3">
        <v>114186.1</v>
      </c>
      <c r="MT74" s="3">
        <v>114456.3</v>
      </c>
      <c r="MU74" t="s">
        <v>409</v>
      </c>
      <c r="MV74" t="b">
        <v>1</v>
      </c>
      <c r="MW74" s="1" t="s">
        <v>376</v>
      </c>
      <c r="MX74" t="s">
        <v>377</v>
      </c>
      <c r="MY74">
        <v>2024</v>
      </c>
      <c r="MZ74">
        <v>3</v>
      </c>
      <c r="NA74" t="s">
        <v>377</v>
      </c>
      <c r="NB74" s="1" t="s">
        <v>436</v>
      </c>
      <c r="NC74" s="1" t="s">
        <v>437</v>
      </c>
      <c r="ND74" t="s">
        <v>380</v>
      </c>
      <c r="NE74" t="s">
        <v>438</v>
      </c>
      <c r="NF74" s="1" t="s">
        <v>528</v>
      </c>
    </row>
    <row r="75" spans="1:370" x14ac:dyDescent="0.25">
      <c r="A75" t="s">
        <v>382</v>
      </c>
      <c r="B75" s="1" t="s">
        <v>435</v>
      </c>
      <c r="C75" s="1" t="s">
        <v>527</v>
      </c>
      <c r="D75" t="s">
        <v>383</v>
      </c>
      <c r="E75" t="s">
        <v>384</v>
      </c>
      <c r="F75" t="s">
        <v>374</v>
      </c>
      <c r="G75" s="2">
        <v>38.700000000000003</v>
      </c>
      <c r="H75" s="2">
        <v>41</v>
      </c>
      <c r="I75" s="2">
        <v>40.975000000000001</v>
      </c>
      <c r="J75" s="2">
        <v>44.15</v>
      </c>
      <c r="K75" s="2">
        <v>44.3</v>
      </c>
      <c r="L75" s="2">
        <v>46.45</v>
      </c>
      <c r="M75" s="2">
        <v>43.7</v>
      </c>
      <c r="N75" s="2">
        <v>44.475000000000001</v>
      </c>
      <c r="O75" s="2">
        <v>44.4</v>
      </c>
      <c r="P75" s="2">
        <v>42.225000000000001</v>
      </c>
      <c r="Q75" s="2">
        <v>43.024999999999999</v>
      </c>
      <c r="R75" s="2">
        <v>45.55</v>
      </c>
      <c r="S75" s="2">
        <v>45.05</v>
      </c>
      <c r="T75" s="2">
        <v>45.35</v>
      </c>
      <c r="U75" s="2">
        <v>46.524999999999999</v>
      </c>
      <c r="V75" s="2">
        <v>47.325000000000003</v>
      </c>
      <c r="W75" s="2">
        <v>46.424999999999997</v>
      </c>
      <c r="X75" s="2">
        <v>47.625</v>
      </c>
      <c r="Y75" s="2">
        <v>47.85</v>
      </c>
      <c r="Z75" s="2">
        <v>45.85</v>
      </c>
      <c r="AA75" s="2">
        <v>46.6</v>
      </c>
      <c r="AB75" s="2">
        <v>52.7</v>
      </c>
      <c r="AC75" s="2">
        <v>52.95</v>
      </c>
      <c r="AD75" s="2">
        <v>55.024999999999999</v>
      </c>
      <c r="AE75" s="2">
        <v>54.9</v>
      </c>
      <c r="AF75" s="2">
        <v>55.075000000000003</v>
      </c>
      <c r="AG75" s="2">
        <v>57.55</v>
      </c>
      <c r="AH75" s="2">
        <v>61.674999999999997</v>
      </c>
      <c r="AI75" s="2">
        <v>64.025000000000006</v>
      </c>
      <c r="AJ75" s="2">
        <v>64.924999999999997</v>
      </c>
      <c r="AK75" s="2">
        <v>64.400000000000006</v>
      </c>
      <c r="AL75" s="2">
        <v>64.025000000000006</v>
      </c>
      <c r="AM75" s="2">
        <v>64.5</v>
      </c>
      <c r="AN75" s="2">
        <v>64.775000000000006</v>
      </c>
      <c r="AO75" s="2">
        <v>63.05</v>
      </c>
      <c r="AP75" s="2">
        <v>63.4</v>
      </c>
      <c r="AQ75" s="2">
        <v>60.325000000000003</v>
      </c>
      <c r="AR75" s="2">
        <v>61.024999999999999</v>
      </c>
      <c r="AS75" s="2">
        <v>57.774999999999999</v>
      </c>
      <c r="AT75" s="2">
        <v>54.9</v>
      </c>
      <c r="AU75" s="2">
        <v>55.975000000000001</v>
      </c>
      <c r="AV75" s="2">
        <v>55.6</v>
      </c>
      <c r="AW75" s="2">
        <v>56.625</v>
      </c>
      <c r="AX75" s="2">
        <v>58.2</v>
      </c>
      <c r="AY75" s="2">
        <v>58.274999999999999</v>
      </c>
      <c r="AZ75" s="2">
        <v>59.424999999999997</v>
      </c>
      <c r="BA75" s="2">
        <v>61.55</v>
      </c>
      <c r="BB75" s="2">
        <v>63.174999999999997</v>
      </c>
      <c r="BC75" s="2">
        <v>63.075000000000003</v>
      </c>
      <c r="BD75" s="2">
        <v>59.774999999999999</v>
      </c>
      <c r="BE75" s="2">
        <v>58.25</v>
      </c>
      <c r="BF75" s="2">
        <v>58.825000000000003</v>
      </c>
      <c r="BG75" s="2">
        <v>59.174999999999997</v>
      </c>
      <c r="BH75" s="2">
        <v>60.9</v>
      </c>
      <c r="BI75" s="2">
        <v>62.674999999999997</v>
      </c>
      <c r="BJ75" s="2">
        <v>65.5</v>
      </c>
      <c r="BK75" s="2">
        <v>65.275000000000006</v>
      </c>
      <c r="BL75" s="2">
        <v>68.7</v>
      </c>
      <c r="BM75" s="2">
        <v>72.674999999999997</v>
      </c>
      <c r="BN75" s="2">
        <v>74.974999999999994</v>
      </c>
      <c r="BO75" s="2">
        <v>80.2</v>
      </c>
      <c r="BP75" s="2">
        <v>82.7</v>
      </c>
      <c r="BQ75" s="2">
        <v>84.35</v>
      </c>
      <c r="BR75" s="2">
        <v>87.075000000000003</v>
      </c>
      <c r="BS75" s="2">
        <v>88.224999999999994</v>
      </c>
      <c r="BT75" s="2">
        <v>92.974999999999994</v>
      </c>
      <c r="BU75" s="2">
        <v>94.1</v>
      </c>
      <c r="BV75" s="2">
        <v>95.25</v>
      </c>
      <c r="BW75" s="2">
        <v>99.65</v>
      </c>
      <c r="BX75" s="2">
        <v>100.85</v>
      </c>
      <c r="BY75" s="2">
        <v>101.5</v>
      </c>
      <c r="BZ75" s="2">
        <v>100.02500000000001</v>
      </c>
      <c r="CA75" s="2">
        <v>101.8</v>
      </c>
      <c r="CB75" s="2">
        <v>105.85</v>
      </c>
      <c r="CC75" s="2">
        <v>108.97499999999999</v>
      </c>
      <c r="CD75" s="2">
        <v>110.625</v>
      </c>
      <c r="CE75" s="2">
        <v>113.02500000000001</v>
      </c>
      <c r="CF75" s="2">
        <v>112.875</v>
      </c>
      <c r="CG75" s="2">
        <v>116.875</v>
      </c>
      <c r="CH75" s="2">
        <v>117.675</v>
      </c>
      <c r="CI75" s="2">
        <v>117.125</v>
      </c>
      <c r="CJ75" s="2">
        <v>118.52500000000001</v>
      </c>
      <c r="CK75" s="2">
        <v>118.47499999999999</v>
      </c>
      <c r="CL75" s="2">
        <v>123.02500000000001</v>
      </c>
      <c r="CM75" s="2">
        <v>123.8</v>
      </c>
      <c r="CN75" s="2">
        <v>128.92500000000001</v>
      </c>
      <c r="CO75" s="2">
        <v>136.05000000000001</v>
      </c>
      <c r="CP75" s="2">
        <v>138.69999999999999</v>
      </c>
      <c r="CQ75" s="2">
        <v>142.22499999999999</v>
      </c>
      <c r="CR75" s="2">
        <v>144.02500000000001</v>
      </c>
      <c r="CS75" s="2">
        <v>150.97499999999999</v>
      </c>
      <c r="CT75" s="2">
        <v>152.07499999999999</v>
      </c>
      <c r="CU75" s="2">
        <v>154.85</v>
      </c>
      <c r="CV75" s="2">
        <v>158.25</v>
      </c>
      <c r="CW75" s="2">
        <v>160.77500000000001</v>
      </c>
      <c r="CX75" s="2">
        <v>169.5</v>
      </c>
      <c r="CY75" s="2">
        <v>175.32499999999999</v>
      </c>
      <c r="CZ75" s="2">
        <v>184.35</v>
      </c>
      <c r="DA75" s="2">
        <v>189.27500000000001</v>
      </c>
      <c r="DB75" s="2">
        <v>189.45</v>
      </c>
      <c r="DC75" s="2">
        <v>190.67500000000001</v>
      </c>
      <c r="DD75" s="2">
        <v>185.625</v>
      </c>
      <c r="DE75" s="2">
        <v>185.625</v>
      </c>
      <c r="DF75" s="2">
        <v>194.875</v>
      </c>
      <c r="DG75" s="2">
        <v>188.875</v>
      </c>
      <c r="DH75" s="2">
        <v>191.22499999999999</v>
      </c>
      <c r="DI75" s="2">
        <v>197.75</v>
      </c>
      <c r="DJ75" s="2">
        <v>203.42500000000001</v>
      </c>
      <c r="DK75" s="2">
        <v>208.2</v>
      </c>
      <c r="DL75" s="2">
        <v>214.45</v>
      </c>
      <c r="DM75" s="2">
        <v>223.02500000000001</v>
      </c>
      <c r="DN75" s="2">
        <v>218.97499999999999</v>
      </c>
      <c r="DO75" s="2">
        <v>216.7</v>
      </c>
      <c r="DP75" s="2">
        <v>207.42500000000001</v>
      </c>
      <c r="DQ75" s="2">
        <v>195.1</v>
      </c>
      <c r="DR75" s="2">
        <v>189.85</v>
      </c>
      <c r="DS75" s="2">
        <v>190.05</v>
      </c>
      <c r="DT75" s="2">
        <v>196.77500000000001</v>
      </c>
      <c r="DU75" s="2">
        <v>197.67500000000001</v>
      </c>
      <c r="DV75" s="2">
        <v>192.27500000000001</v>
      </c>
      <c r="DW75" s="2">
        <v>194.375</v>
      </c>
      <c r="DX75" s="2">
        <v>194.75</v>
      </c>
      <c r="DY75" s="2">
        <v>199.8</v>
      </c>
      <c r="DZ75" s="2">
        <v>208.7</v>
      </c>
      <c r="EA75" s="2">
        <v>212.35</v>
      </c>
      <c r="EB75" s="2">
        <v>215.95</v>
      </c>
      <c r="EC75" s="2">
        <v>218.5</v>
      </c>
      <c r="ED75" s="2">
        <v>221.97499999999999</v>
      </c>
      <c r="EE75" s="2">
        <v>226.47499999999999</v>
      </c>
      <c r="EF75" s="2">
        <v>233.27500000000001</v>
      </c>
      <c r="EG75" s="2">
        <v>235.4</v>
      </c>
      <c r="EH75" s="2">
        <v>243</v>
      </c>
      <c r="EI75" s="2">
        <v>252.65</v>
      </c>
      <c r="EJ75" s="2">
        <v>257.02499999999998</v>
      </c>
      <c r="EK75" s="2">
        <v>257.60000000000002</v>
      </c>
      <c r="EL75" s="2">
        <v>265.2</v>
      </c>
      <c r="EM75" s="2">
        <v>268.07499999999999</v>
      </c>
      <c r="EN75" s="2">
        <v>272.375</v>
      </c>
      <c r="EO75" s="2">
        <v>279.5</v>
      </c>
      <c r="EP75" s="2">
        <v>284.42500000000001</v>
      </c>
      <c r="EQ75" s="2">
        <v>288.64999999999998</v>
      </c>
      <c r="ER75" s="2">
        <v>298.3</v>
      </c>
      <c r="ES75" s="2">
        <v>298.22500000000002</v>
      </c>
      <c r="ET75" s="2">
        <v>273.92500000000001</v>
      </c>
      <c r="EU75" s="2">
        <v>244.05</v>
      </c>
      <c r="EV75" s="2">
        <v>241.75</v>
      </c>
      <c r="EW75" s="2">
        <v>252.45</v>
      </c>
      <c r="EX75" s="2">
        <v>271.52499999999998</v>
      </c>
      <c r="EY75" s="2">
        <v>280.27499999999998</v>
      </c>
      <c r="EZ75" s="2">
        <v>287</v>
      </c>
      <c r="FA75" s="2">
        <v>293.625</v>
      </c>
      <c r="FB75" s="2">
        <v>302.22500000000002</v>
      </c>
      <c r="FC75" s="2">
        <v>305.64999999999998</v>
      </c>
      <c r="FD75" s="2">
        <v>309.95</v>
      </c>
      <c r="FE75" s="2">
        <v>311.57499999999999</v>
      </c>
      <c r="FF75" s="2">
        <v>317.42500000000001</v>
      </c>
      <c r="FG75" s="2">
        <v>320.67500000000001</v>
      </c>
      <c r="FH75" s="2">
        <v>324</v>
      </c>
      <c r="FI75" s="2">
        <v>326</v>
      </c>
      <c r="FJ75" s="2">
        <v>320.95</v>
      </c>
      <c r="FK75" s="2">
        <v>325</v>
      </c>
      <c r="FL75" s="2">
        <v>328.65</v>
      </c>
      <c r="FM75" s="2">
        <v>328.82499999999999</v>
      </c>
      <c r="FN75" s="2">
        <v>339.57499999999999</v>
      </c>
      <c r="FO75" s="2">
        <v>337.27499999999998</v>
      </c>
      <c r="FP75" s="2">
        <v>343.7</v>
      </c>
      <c r="FQ75" s="2">
        <v>346.02499999999998</v>
      </c>
      <c r="FR75" s="2">
        <v>350.42500000000001</v>
      </c>
      <c r="FS75" s="2">
        <v>342.02499999999998</v>
      </c>
      <c r="FT75" s="2">
        <v>344.72500000000002</v>
      </c>
      <c r="FU75" s="2">
        <v>341.57499999999999</v>
      </c>
      <c r="FV75" s="2">
        <v>338.9</v>
      </c>
      <c r="FW75" s="2">
        <v>335.92500000000001</v>
      </c>
      <c r="FX75" s="2">
        <v>335.97500000000002</v>
      </c>
      <c r="FY75" s="2">
        <v>345.32499999999999</v>
      </c>
      <c r="FZ75" s="2">
        <v>346.52499999999998</v>
      </c>
      <c r="GA75" s="2">
        <v>347.52499999999998</v>
      </c>
      <c r="GB75" s="2">
        <v>347.77499999999998</v>
      </c>
      <c r="GC75" s="2">
        <v>351.15</v>
      </c>
      <c r="GD75" s="2">
        <v>359.57499999999999</v>
      </c>
      <c r="GE75" s="2">
        <v>361.55</v>
      </c>
      <c r="GF75" s="2">
        <v>367.125</v>
      </c>
      <c r="GG75" s="2">
        <v>360.42500000000001</v>
      </c>
      <c r="GH75" s="2">
        <v>361.375</v>
      </c>
      <c r="GI75" s="2">
        <v>362.95</v>
      </c>
      <c r="GJ75" s="2">
        <v>356.45</v>
      </c>
      <c r="GK75" s="2">
        <v>358.47500000000002</v>
      </c>
      <c r="GL75" s="2">
        <v>355.17500000000001</v>
      </c>
      <c r="GM75" s="2">
        <v>347.42500000000001</v>
      </c>
      <c r="GN75" s="2">
        <v>264</v>
      </c>
      <c r="GO75" s="2">
        <v>321.17500000000001</v>
      </c>
      <c r="GP75" s="2">
        <v>343.15</v>
      </c>
      <c r="GQ75" s="2">
        <v>345.3</v>
      </c>
      <c r="GR75" s="2">
        <v>343.75</v>
      </c>
      <c r="GS75" s="2">
        <v>344.6</v>
      </c>
      <c r="GT75" s="2">
        <v>363.85</v>
      </c>
      <c r="GU75" s="2">
        <v>355.75</v>
      </c>
      <c r="GV75" s="2">
        <v>365.45</v>
      </c>
      <c r="GW75" s="2">
        <v>380.15</v>
      </c>
      <c r="GX75" s="2">
        <v>374.8</v>
      </c>
      <c r="GY75" s="2">
        <v>378.52499999999998</v>
      </c>
      <c r="GZ75" s="2">
        <v>367.47500000000002</v>
      </c>
      <c r="HA75" s="2">
        <v>374.77499999999998</v>
      </c>
      <c r="HB75" s="2">
        <v>375.52499999999998</v>
      </c>
      <c r="HC75" s="2">
        <v>375.45</v>
      </c>
      <c r="HD75" s="2">
        <v>377.85</v>
      </c>
      <c r="HE75" s="2">
        <v>387.35</v>
      </c>
      <c r="HF75" s="3">
        <v>385.39859999999999</v>
      </c>
      <c r="HG75" s="3">
        <v>388.99090000000001</v>
      </c>
      <c r="HH75" s="3">
        <v>393.35980000000001</v>
      </c>
      <c r="HI75" s="3">
        <v>397.70510000000002</v>
      </c>
      <c r="HJ75" s="3">
        <v>399.07130000000001</v>
      </c>
      <c r="HK75" s="3">
        <v>399.93290000000002</v>
      </c>
      <c r="HL75" s="3">
        <v>401.04140000000001</v>
      </c>
      <c r="HM75" s="3">
        <v>402.31150000000002</v>
      </c>
      <c r="HN75" s="3">
        <v>404.09089999999998</v>
      </c>
      <c r="HO75" s="3">
        <v>406.40559999999999</v>
      </c>
      <c r="HP75" s="3">
        <v>409.16030000000001</v>
      </c>
      <c r="HQ75" s="3">
        <v>412.161</v>
      </c>
      <c r="HR75" s="3">
        <v>415.31380000000001</v>
      </c>
      <c r="HS75" s="3">
        <v>418.60120000000001</v>
      </c>
      <c r="HT75" s="3">
        <v>421.9821</v>
      </c>
      <c r="HU75" s="3">
        <v>425.37079999999997</v>
      </c>
      <c r="HV75" s="3">
        <v>428.72739999999999</v>
      </c>
      <c r="HW75" s="3">
        <v>432.07810000000001</v>
      </c>
      <c r="HX75" s="3">
        <v>435.42329999999998</v>
      </c>
      <c r="HY75" s="3">
        <v>438.76249999999999</v>
      </c>
      <c r="HZ75" s="3">
        <v>442.09399999999999</v>
      </c>
      <c r="IA75" s="3">
        <v>445.41849999999999</v>
      </c>
      <c r="IB75" s="3">
        <v>448.73410000000001</v>
      </c>
      <c r="IC75" s="3">
        <v>452.04160000000002</v>
      </c>
      <c r="ID75" s="3">
        <v>455.33909999999997</v>
      </c>
      <c r="IE75" s="3">
        <v>458.62729999999999</v>
      </c>
      <c r="IF75" s="3">
        <v>461.90440000000001</v>
      </c>
      <c r="IG75" s="3">
        <v>465.17110000000002</v>
      </c>
      <c r="IH75" s="3">
        <v>468.4255</v>
      </c>
      <c r="II75" s="3">
        <v>471.66840000000002</v>
      </c>
      <c r="IJ75" s="3">
        <v>474.89780000000002</v>
      </c>
      <c r="IK75" s="3">
        <v>478.11450000000002</v>
      </c>
      <c r="IL75" s="3">
        <v>481.31659999999999</v>
      </c>
      <c r="IM75" s="3">
        <v>484.50479999999999</v>
      </c>
      <c r="IN75" s="3">
        <v>487.6773</v>
      </c>
      <c r="IO75" s="3">
        <v>490.8347</v>
      </c>
      <c r="IP75" s="3">
        <v>493.97519999999997</v>
      </c>
      <c r="IQ75" s="3">
        <v>497.09949999999998</v>
      </c>
      <c r="IR75" s="3">
        <v>500.20569999999998</v>
      </c>
      <c r="IS75" s="3">
        <v>503.29450000000003</v>
      </c>
      <c r="IT75" s="3">
        <v>506.36529999999999</v>
      </c>
      <c r="IU75" s="3">
        <v>509.4228</v>
      </c>
      <c r="IV75" s="3">
        <v>512.47439999999995</v>
      </c>
      <c r="IW75" s="3">
        <v>515.51840000000004</v>
      </c>
      <c r="IX75" s="3">
        <v>518.55579999999998</v>
      </c>
      <c r="IY75" s="3">
        <v>521.57280000000003</v>
      </c>
      <c r="IZ75" s="3">
        <v>524.6164</v>
      </c>
      <c r="JA75" s="3">
        <v>527.66319999999996</v>
      </c>
      <c r="JB75" s="3">
        <v>530.71780000000001</v>
      </c>
      <c r="JC75" s="3">
        <v>533.77980000000002</v>
      </c>
      <c r="JD75" s="3">
        <v>536.85149999999999</v>
      </c>
      <c r="JE75" s="3">
        <v>539.94169999999997</v>
      </c>
      <c r="JF75" s="3">
        <v>543.02850000000001</v>
      </c>
      <c r="JG75" s="3">
        <v>546.12789999999995</v>
      </c>
      <c r="JH75" s="3">
        <v>549.23710000000005</v>
      </c>
      <c r="JI75" s="3">
        <v>552.36080000000004</v>
      </c>
      <c r="JJ75" s="3">
        <v>555.49490000000003</v>
      </c>
      <c r="JK75" s="3">
        <v>558.64390000000003</v>
      </c>
      <c r="JL75" s="3">
        <v>561.80510000000004</v>
      </c>
      <c r="JM75" s="3">
        <v>564.96489999999994</v>
      </c>
      <c r="JN75" s="3">
        <v>568.14559999999994</v>
      </c>
      <c r="JO75" s="3">
        <v>571.33619999999996</v>
      </c>
      <c r="JP75" s="3">
        <v>574.53599999999994</v>
      </c>
      <c r="JQ75" s="3">
        <v>577.74379999999996</v>
      </c>
      <c r="JR75" s="3">
        <v>580.96529999999996</v>
      </c>
      <c r="JS75" s="3">
        <v>584.20169999999996</v>
      </c>
      <c r="JT75" s="3">
        <v>587.44799999999998</v>
      </c>
      <c r="JU75" s="3">
        <v>590.71029999999996</v>
      </c>
      <c r="JV75" s="3">
        <v>593.98450000000003</v>
      </c>
      <c r="JW75" s="3">
        <v>597.26990000000001</v>
      </c>
      <c r="JX75" s="3">
        <v>600.56820000000005</v>
      </c>
      <c r="JY75" s="3">
        <v>603.87739999999997</v>
      </c>
      <c r="JZ75" s="3">
        <v>607.20090000000005</v>
      </c>
      <c r="KA75" s="3">
        <v>610.54449999999997</v>
      </c>
      <c r="KB75" s="3">
        <v>613.90369999999996</v>
      </c>
      <c r="KC75" s="3">
        <v>617.27279999999996</v>
      </c>
      <c r="KD75" s="3">
        <v>620.66030000000001</v>
      </c>
      <c r="KE75" s="3">
        <v>624.06150000000002</v>
      </c>
      <c r="KF75" s="3">
        <v>627.47119999999995</v>
      </c>
      <c r="KG75" s="3">
        <v>630.89559999999994</v>
      </c>
      <c r="KH75" s="3">
        <v>634.3356</v>
      </c>
      <c r="KI75" s="3">
        <v>637.77970000000005</v>
      </c>
      <c r="KJ75" s="3">
        <v>641.23929999999996</v>
      </c>
      <c r="KK75" s="3">
        <v>644.70420000000001</v>
      </c>
      <c r="KL75" s="3">
        <v>648.18769999999995</v>
      </c>
      <c r="KM75" s="3">
        <v>651.68629999999996</v>
      </c>
      <c r="KN75" s="3">
        <v>655.19380000000001</v>
      </c>
      <c r="KO75" s="3">
        <v>658.71140000000003</v>
      </c>
      <c r="KP75" s="3">
        <v>662.25099999999998</v>
      </c>
      <c r="KQ75" s="3">
        <v>665.798</v>
      </c>
      <c r="KR75" s="3">
        <v>669.35379999999998</v>
      </c>
      <c r="KS75" s="3">
        <v>672.92380000000003</v>
      </c>
      <c r="KT75" s="3">
        <v>676.51030000000003</v>
      </c>
      <c r="KU75" s="3">
        <v>680.10699999999997</v>
      </c>
      <c r="KV75" s="3">
        <v>683.7242</v>
      </c>
      <c r="KW75" s="3">
        <v>687.33749999999998</v>
      </c>
      <c r="KX75" s="3">
        <v>690.98220000000003</v>
      </c>
      <c r="KY75" s="3">
        <v>694.6327</v>
      </c>
      <c r="KZ75" s="3">
        <v>698.28279999999995</v>
      </c>
      <c r="LA75" s="3">
        <v>701.95429999999999</v>
      </c>
      <c r="LB75" s="3">
        <v>705.63499999999999</v>
      </c>
      <c r="LC75" s="3">
        <v>709.34090000000003</v>
      </c>
      <c r="LD75" s="3">
        <v>713.05579999999998</v>
      </c>
      <c r="LE75" s="3">
        <v>716.77319999999997</v>
      </c>
      <c r="LF75" s="3">
        <v>720.51819999999998</v>
      </c>
      <c r="LG75" s="3">
        <v>724.274</v>
      </c>
      <c r="LH75" s="3">
        <v>728.04769999999996</v>
      </c>
      <c r="LI75" s="3">
        <v>731.83860000000004</v>
      </c>
      <c r="LJ75" s="3">
        <v>735.64380000000006</v>
      </c>
      <c r="LK75" s="3">
        <v>739.47119999999995</v>
      </c>
      <c r="LL75" s="3">
        <v>743.30899999999997</v>
      </c>
      <c r="LM75" s="3">
        <v>747.17150000000004</v>
      </c>
      <c r="LN75" s="3">
        <v>751.0471</v>
      </c>
      <c r="LO75" s="3">
        <v>754.93899999999996</v>
      </c>
      <c r="LP75" s="3">
        <v>758.85050000000001</v>
      </c>
      <c r="LQ75" s="3">
        <v>762.78420000000006</v>
      </c>
      <c r="LR75" s="3">
        <v>766.72770000000003</v>
      </c>
      <c r="LS75" s="3">
        <v>770.69359999999995</v>
      </c>
      <c r="LT75" s="3">
        <v>774.66849999999999</v>
      </c>
      <c r="LU75" s="3">
        <v>778.67079999999999</v>
      </c>
      <c r="LV75" s="3">
        <v>782.68690000000004</v>
      </c>
      <c r="LW75" s="3">
        <v>786.71950000000004</v>
      </c>
      <c r="LX75" s="3">
        <v>790.77650000000006</v>
      </c>
      <c r="LY75" s="3">
        <v>794.84799999999996</v>
      </c>
      <c r="LZ75" s="3">
        <v>798.9316</v>
      </c>
      <c r="MA75" s="3">
        <v>803.03980000000001</v>
      </c>
      <c r="MB75" s="3">
        <v>807.1617</v>
      </c>
      <c r="MC75" s="3">
        <v>811.30690000000004</v>
      </c>
      <c r="MD75" s="3">
        <v>815.4692</v>
      </c>
      <c r="ME75" s="3">
        <v>819.65020000000004</v>
      </c>
      <c r="MF75" s="3">
        <v>823.85069999999996</v>
      </c>
      <c r="MG75" s="3">
        <v>828.07169999999996</v>
      </c>
      <c r="MH75" s="3">
        <v>832.31460000000004</v>
      </c>
      <c r="MI75" s="3">
        <v>836.57349999999997</v>
      </c>
      <c r="MJ75" s="3">
        <v>840.8546</v>
      </c>
      <c r="MK75" s="3">
        <v>845.15499999999997</v>
      </c>
      <c r="ML75" s="3">
        <v>849.47220000000004</v>
      </c>
      <c r="MM75" s="3">
        <v>853.81349999999998</v>
      </c>
      <c r="MN75" s="3">
        <v>858.17110000000002</v>
      </c>
      <c r="MO75" s="3">
        <v>862.55060000000003</v>
      </c>
      <c r="MP75" s="3">
        <v>866.9529</v>
      </c>
      <c r="MQ75" s="3">
        <v>871.37239999999997</v>
      </c>
      <c r="MR75" s="3">
        <v>875.81259999999997</v>
      </c>
      <c r="MS75" s="3">
        <v>880.27250000000004</v>
      </c>
      <c r="MT75" s="3">
        <v>884.75130000000001</v>
      </c>
      <c r="MU75" t="s">
        <v>385</v>
      </c>
      <c r="MV75" t="b">
        <v>1</v>
      </c>
      <c r="MW75" s="1" t="s">
        <v>386</v>
      </c>
      <c r="MX75" t="s">
        <v>377</v>
      </c>
      <c r="MY75">
        <v>2024</v>
      </c>
      <c r="MZ75">
        <v>3</v>
      </c>
      <c r="NA75" t="s">
        <v>377</v>
      </c>
      <c r="NB75" s="1" t="s">
        <v>439</v>
      </c>
      <c r="NC75" s="1" t="s">
        <v>440</v>
      </c>
      <c r="ND75" t="s">
        <v>389</v>
      </c>
      <c r="NE75" t="s">
        <v>438</v>
      </c>
      <c r="NF75" s="1" t="s">
        <v>528</v>
      </c>
    </row>
    <row r="76" spans="1:370" x14ac:dyDescent="0.25">
      <c r="A76" t="s">
        <v>370</v>
      </c>
      <c r="B76" t="s">
        <v>402</v>
      </c>
      <c r="C76" s="1" t="s">
        <v>527</v>
      </c>
      <c r="D76" t="s">
        <v>372</v>
      </c>
      <c r="E76" t="s">
        <v>373</v>
      </c>
      <c r="F76" t="s">
        <v>374</v>
      </c>
      <c r="G76" s="2">
        <v>34501</v>
      </c>
      <c r="H76" s="2">
        <v>34693</v>
      </c>
      <c r="I76" s="2">
        <v>35714</v>
      </c>
      <c r="J76" s="2">
        <v>36306</v>
      </c>
      <c r="K76" s="2">
        <v>35237</v>
      </c>
      <c r="L76" s="2">
        <v>36120</v>
      </c>
      <c r="M76" s="2">
        <v>35827</v>
      </c>
      <c r="N76" s="2">
        <v>35382</v>
      </c>
      <c r="O76" s="2">
        <v>33882</v>
      </c>
      <c r="P76" s="2">
        <v>32123</v>
      </c>
      <c r="Q76" s="2">
        <v>33900</v>
      </c>
      <c r="R76" s="2">
        <v>33217</v>
      </c>
      <c r="S76" s="2">
        <v>32702</v>
      </c>
      <c r="T76" s="2">
        <v>35374</v>
      </c>
      <c r="U76" s="2">
        <v>35764</v>
      </c>
      <c r="V76" s="2">
        <v>35806</v>
      </c>
      <c r="W76" s="2">
        <v>35437</v>
      </c>
      <c r="X76" s="2">
        <v>36298</v>
      </c>
      <c r="Y76" s="2">
        <v>35391</v>
      </c>
      <c r="Z76" s="2">
        <v>34937</v>
      </c>
      <c r="AA76" s="2">
        <v>37167</v>
      </c>
      <c r="AB76" s="2">
        <v>37390</v>
      </c>
      <c r="AC76" s="2">
        <v>37335</v>
      </c>
      <c r="AD76" s="2">
        <v>35142</v>
      </c>
      <c r="AE76" s="2">
        <v>37420</v>
      </c>
      <c r="AF76" s="2">
        <v>40615</v>
      </c>
      <c r="AG76" s="2">
        <v>41427</v>
      </c>
      <c r="AH76" s="2">
        <v>41252</v>
      </c>
      <c r="AI76" s="2">
        <v>41769</v>
      </c>
      <c r="AJ76" s="2">
        <v>40270</v>
      </c>
      <c r="AK76" s="2">
        <v>36904</v>
      </c>
      <c r="AL76" s="2">
        <v>36054</v>
      </c>
      <c r="AM76" s="2">
        <v>34504</v>
      </c>
      <c r="AN76" s="2">
        <v>36432</v>
      </c>
      <c r="AO76" s="2">
        <v>40446</v>
      </c>
      <c r="AP76" s="2">
        <v>39200</v>
      </c>
      <c r="AQ76" s="2">
        <v>38853</v>
      </c>
      <c r="AR76" s="2">
        <v>40506</v>
      </c>
      <c r="AS76" s="2">
        <v>39271</v>
      </c>
      <c r="AT76" s="2">
        <v>38776</v>
      </c>
      <c r="AU76" s="2">
        <v>40491</v>
      </c>
      <c r="AV76" s="2">
        <v>41549</v>
      </c>
      <c r="AW76" s="2">
        <v>41802</v>
      </c>
      <c r="AX76" s="2">
        <v>43271</v>
      </c>
      <c r="AY76" s="2">
        <v>43672</v>
      </c>
      <c r="AZ76" s="2">
        <v>45571</v>
      </c>
      <c r="BA76" s="2">
        <v>45901</v>
      </c>
      <c r="BB76" s="2">
        <v>47773</v>
      </c>
      <c r="BC76" s="2">
        <v>47820</v>
      </c>
      <c r="BD76" s="2">
        <v>46572</v>
      </c>
      <c r="BE76" s="2">
        <v>45666</v>
      </c>
      <c r="BF76" s="2">
        <v>47146</v>
      </c>
      <c r="BG76" s="2">
        <v>48298</v>
      </c>
      <c r="BH76" s="2">
        <v>49988</v>
      </c>
      <c r="BI76" s="2">
        <v>50344</v>
      </c>
      <c r="BJ76" s="2">
        <v>51050</v>
      </c>
      <c r="BK76" s="2">
        <v>50423</v>
      </c>
      <c r="BL76" s="2">
        <v>52940</v>
      </c>
      <c r="BM76" s="2">
        <v>55384</v>
      </c>
      <c r="BN76" s="2">
        <v>56457</v>
      </c>
      <c r="BO76" s="2">
        <v>57025</v>
      </c>
      <c r="BP76" s="2">
        <v>59388</v>
      </c>
      <c r="BQ76" s="2">
        <v>60945</v>
      </c>
      <c r="BR76" s="2">
        <v>64442</v>
      </c>
      <c r="BS76" s="2">
        <v>65266</v>
      </c>
      <c r="BT76" s="2">
        <v>63935</v>
      </c>
      <c r="BU76" s="2">
        <v>65429</v>
      </c>
      <c r="BV76" s="2">
        <v>64379</v>
      </c>
      <c r="BW76" s="2">
        <v>65982</v>
      </c>
      <c r="BX76" s="2">
        <v>65805</v>
      </c>
      <c r="BY76" s="2">
        <v>64692</v>
      </c>
      <c r="BZ76" s="2">
        <v>63581</v>
      </c>
      <c r="CA76" s="2">
        <v>61468</v>
      </c>
      <c r="CB76" s="2">
        <v>61739</v>
      </c>
      <c r="CC76" s="2">
        <v>62111</v>
      </c>
      <c r="CD76" s="2">
        <v>63016</v>
      </c>
      <c r="CE76" s="2">
        <v>64113</v>
      </c>
      <c r="CF76" s="2">
        <v>67044</v>
      </c>
      <c r="CG76" s="2">
        <v>66329</v>
      </c>
      <c r="CH76" s="2">
        <v>67108</v>
      </c>
      <c r="CI76" s="2">
        <v>67657</v>
      </c>
      <c r="CJ76" s="2">
        <v>67128</v>
      </c>
      <c r="CK76" s="2">
        <v>68591</v>
      </c>
      <c r="CL76" s="2">
        <v>69458</v>
      </c>
      <c r="CM76" s="2">
        <v>71093</v>
      </c>
      <c r="CN76" s="2">
        <v>71729</v>
      </c>
      <c r="CO76" s="2">
        <v>71371</v>
      </c>
      <c r="CP76" s="2">
        <v>74297</v>
      </c>
      <c r="CQ76" s="2">
        <v>73011</v>
      </c>
      <c r="CR76" s="2">
        <v>75654</v>
      </c>
      <c r="CS76" s="2">
        <v>77304</v>
      </c>
      <c r="CT76" s="2">
        <v>77893</v>
      </c>
      <c r="CU76" s="2">
        <v>80910</v>
      </c>
      <c r="CV76" s="2">
        <v>81887</v>
      </c>
      <c r="CW76" s="2">
        <v>83534</v>
      </c>
      <c r="CX76" s="2">
        <v>85481</v>
      </c>
      <c r="CY76" s="2">
        <v>87548</v>
      </c>
      <c r="CZ76" s="2">
        <v>92186</v>
      </c>
      <c r="DA76" s="2">
        <v>91282</v>
      </c>
      <c r="DB76" s="2">
        <v>93433</v>
      </c>
      <c r="DC76" s="2">
        <v>95868</v>
      </c>
      <c r="DD76" s="2">
        <v>98132</v>
      </c>
      <c r="DE76" s="2">
        <v>98822</v>
      </c>
      <c r="DF76" s="2">
        <v>98825</v>
      </c>
      <c r="DG76" s="2">
        <v>101888</v>
      </c>
      <c r="DH76" s="2">
        <v>103093</v>
      </c>
      <c r="DI76" s="2">
        <v>106806</v>
      </c>
      <c r="DJ76" s="2">
        <v>108843</v>
      </c>
      <c r="DK76" s="2">
        <v>110301</v>
      </c>
      <c r="DL76" s="2">
        <v>113789</v>
      </c>
      <c r="DM76" s="2">
        <v>116055</v>
      </c>
      <c r="DN76" s="2">
        <v>120091</v>
      </c>
      <c r="DO76" s="2">
        <v>122754</v>
      </c>
      <c r="DP76" s="2">
        <v>123401</v>
      </c>
      <c r="DQ76" s="2">
        <v>121607</v>
      </c>
      <c r="DR76" s="2">
        <v>120993</v>
      </c>
      <c r="DS76" s="2">
        <v>125120</v>
      </c>
      <c r="DT76" s="2">
        <v>130137</v>
      </c>
      <c r="DU76" s="2">
        <v>128297</v>
      </c>
      <c r="DV76" s="2">
        <v>128358</v>
      </c>
      <c r="DW76" s="2">
        <v>129063</v>
      </c>
      <c r="DX76" s="2">
        <v>128433</v>
      </c>
      <c r="DY76" s="2">
        <v>129523</v>
      </c>
      <c r="DZ76" s="2">
        <v>133300</v>
      </c>
      <c r="EA76" s="2">
        <v>133996</v>
      </c>
      <c r="EB76" s="2">
        <v>137259</v>
      </c>
      <c r="EC76" s="2">
        <v>141008</v>
      </c>
      <c r="ED76" s="2">
        <v>143089</v>
      </c>
      <c r="EE76" s="2">
        <v>142425</v>
      </c>
      <c r="EF76" s="2">
        <v>148309</v>
      </c>
      <c r="EG76" s="2">
        <v>149958</v>
      </c>
      <c r="EH76" s="2">
        <v>153800</v>
      </c>
      <c r="EI76" s="2">
        <v>170751</v>
      </c>
      <c r="EJ76" s="2">
        <v>174542</v>
      </c>
      <c r="EK76" s="2">
        <v>156126</v>
      </c>
      <c r="EL76" s="2">
        <v>155938</v>
      </c>
      <c r="EM76" s="2">
        <v>160014</v>
      </c>
      <c r="EN76" s="2">
        <v>159398</v>
      </c>
      <c r="EO76" s="2">
        <v>164710</v>
      </c>
      <c r="EP76" s="2">
        <v>164064</v>
      </c>
      <c r="EQ76" s="2">
        <v>164791</v>
      </c>
      <c r="ER76" s="2">
        <v>163780</v>
      </c>
      <c r="ES76" s="2">
        <v>160848</v>
      </c>
      <c r="ET76" s="2">
        <v>152350</v>
      </c>
      <c r="EU76" s="2">
        <v>146327</v>
      </c>
      <c r="EV76" s="2">
        <v>146677</v>
      </c>
      <c r="EW76" s="2">
        <v>150636</v>
      </c>
      <c r="EX76" s="2">
        <v>153109</v>
      </c>
      <c r="EY76" s="2">
        <v>155913</v>
      </c>
      <c r="EZ76" s="2">
        <v>160853</v>
      </c>
      <c r="FA76" s="2">
        <v>166050</v>
      </c>
      <c r="FB76" s="2">
        <v>167478</v>
      </c>
      <c r="FC76" s="2">
        <v>163551</v>
      </c>
      <c r="FD76" s="2">
        <v>168441</v>
      </c>
      <c r="FE76" s="2">
        <v>168134</v>
      </c>
      <c r="FF76" s="2">
        <v>169238</v>
      </c>
      <c r="FG76" s="2">
        <v>170581</v>
      </c>
      <c r="FH76" s="2">
        <v>173796</v>
      </c>
      <c r="FI76" s="2">
        <v>172124</v>
      </c>
      <c r="FJ76" s="2">
        <v>169344</v>
      </c>
      <c r="FK76" s="2">
        <v>169789</v>
      </c>
      <c r="FL76" s="2">
        <v>178386</v>
      </c>
      <c r="FM76" s="2">
        <v>177941</v>
      </c>
      <c r="FN76" s="2">
        <v>181946</v>
      </c>
      <c r="FO76" s="2">
        <v>179155</v>
      </c>
      <c r="FP76" s="2">
        <v>180159</v>
      </c>
      <c r="FQ76" s="2">
        <v>186677</v>
      </c>
      <c r="FR76" s="2">
        <v>198146</v>
      </c>
      <c r="FS76" s="2">
        <v>196687</v>
      </c>
      <c r="FT76" s="2">
        <v>192342</v>
      </c>
      <c r="FU76" s="2">
        <v>192126</v>
      </c>
      <c r="FV76" s="2">
        <v>199855</v>
      </c>
      <c r="FW76" s="2">
        <v>199056</v>
      </c>
      <c r="FX76" s="2">
        <v>201432</v>
      </c>
      <c r="FY76" s="2">
        <v>208250</v>
      </c>
      <c r="FZ76" s="2">
        <v>203353</v>
      </c>
      <c r="GA76" s="2">
        <v>205761</v>
      </c>
      <c r="GB76" s="2">
        <v>211268</v>
      </c>
      <c r="GC76" s="2">
        <v>212304</v>
      </c>
      <c r="GD76" s="2">
        <v>208444</v>
      </c>
      <c r="GE76" s="2">
        <v>212313</v>
      </c>
      <c r="GF76" s="2">
        <v>213752</v>
      </c>
      <c r="GG76" s="2">
        <v>214831</v>
      </c>
      <c r="GH76" s="2">
        <v>222831</v>
      </c>
      <c r="GI76" s="2">
        <v>238575</v>
      </c>
      <c r="GJ76" s="2">
        <v>216413</v>
      </c>
      <c r="GK76" s="2">
        <v>219598</v>
      </c>
      <c r="GL76" s="2">
        <v>212636</v>
      </c>
      <c r="GM76" s="2">
        <v>204826</v>
      </c>
      <c r="GN76" s="2">
        <v>154302</v>
      </c>
      <c r="GO76" s="2">
        <v>180964</v>
      </c>
      <c r="GP76" s="2">
        <v>206192</v>
      </c>
      <c r="GQ76" s="2">
        <v>190277</v>
      </c>
      <c r="GR76" s="2">
        <v>193365</v>
      </c>
      <c r="GS76" s="2">
        <v>201109</v>
      </c>
      <c r="GT76" s="2">
        <v>204893</v>
      </c>
      <c r="GU76" s="2">
        <v>225154</v>
      </c>
      <c r="GV76" s="2">
        <v>226514</v>
      </c>
      <c r="GW76" s="2">
        <v>219547</v>
      </c>
      <c r="GX76" s="2">
        <v>220951</v>
      </c>
      <c r="GY76" s="2">
        <v>214716</v>
      </c>
      <c r="GZ76" s="2">
        <v>216209</v>
      </c>
      <c r="HA76" s="2">
        <v>210205</v>
      </c>
      <c r="HB76" s="2">
        <v>211333</v>
      </c>
      <c r="HC76" s="2">
        <v>209546</v>
      </c>
      <c r="HD76" s="2">
        <v>221621</v>
      </c>
      <c r="HE76" s="2">
        <v>216145</v>
      </c>
      <c r="HF76" s="3">
        <v>216137.5</v>
      </c>
      <c r="HG76" s="3">
        <v>217649.6</v>
      </c>
      <c r="HH76" s="3">
        <v>218748.3</v>
      </c>
      <c r="HI76" s="3">
        <v>219828.7</v>
      </c>
      <c r="HJ76" s="3">
        <v>220856.1</v>
      </c>
      <c r="HK76" s="3">
        <v>221845.5</v>
      </c>
      <c r="HL76" s="3">
        <v>222785.5</v>
      </c>
      <c r="HM76" s="3">
        <v>223709.9</v>
      </c>
      <c r="HN76" s="3">
        <v>224593.8</v>
      </c>
      <c r="HO76" s="3">
        <v>225366.9</v>
      </c>
      <c r="HP76" s="3">
        <v>226143.5</v>
      </c>
      <c r="HQ76" s="3">
        <v>226922.9</v>
      </c>
      <c r="HR76" s="3">
        <v>227705.1</v>
      </c>
      <c r="HS76" s="3">
        <v>228538.1</v>
      </c>
      <c r="HT76" s="3">
        <v>229344.1</v>
      </c>
      <c r="HU76" s="3">
        <v>230153.7</v>
      </c>
      <c r="HV76" s="3">
        <v>230946.5</v>
      </c>
      <c r="HW76" s="3">
        <v>231722.1</v>
      </c>
      <c r="HX76" s="3">
        <v>232519.6</v>
      </c>
      <c r="HY76" s="3">
        <v>233309.6</v>
      </c>
      <c r="HZ76" s="3">
        <v>234114.5</v>
      </c>
      <c r="IA76" s="3">
        <v>234953.60000000001</v>
      </c>
      <c r="IB76" s="3">
        <v>235808.7</v>
      </c>
      <c r="IC76" s="3">
        <v>236705.6</v>
      </c>
      <c r="ID76" s="3">
        <v>237606.3</v>
      </c>
      <c r="IE76" s="3">
        <v>238510.9</v>
      </c>
      <c r="IF76" s="3">
        <v>239443.1</v>
      </c>
      <c r="IG76" s="3">
        <v>240379.6</v>
      </c>
      <c r="IH76" s="3">
        <v>241320.1</v>
      </c>
      <c r="II76" s="3">
        <v>242264.8</v>
      </c>
      <c r="IJ76" s="3">
        <v>243213.6</v>
      </c>
      <c r="IK76" s="3">
        <v>244166.7</v>
      </c>
      <c r="IL76" s="3">
        <v>245123.9</v>
      </c>
      <c r="IM76" s="3">
        <v>246071.8</v>
      </c>
      <c r="IN76" s="3">
        <v>247013.8</v>
      </c>
      <c r="IO76" s="3">
        <v>247941.2</v>
      </c>
      <c r="IP76" s="3">
        <v>248852.6</v>
      </c>
      <c r="IQ76" s="3">
        <v>249800</v>
      </c>
      <c r="IR76" s="3">
        <v>250715.5</v>
      </c>
      <c r="IS76" s="3">
        <v>251621.8</v>
      </c>
      <c r="IT76" s="3">
        <v>252510.4</v>
      </c>
      <c r="IU76" s="3">
        <v>253421.8</v>
      </c>
      <c r="IV76" s="3">
        <v>254336.3</v>
      </c>
      <c r="IW76" s="3">
        <v>255253.7</v>
      </c>
      <c r="IX76" s="3">
        <v>256174.1</v>
      </c>
      <c r="IY76" s="3">
        <v>257117.1</v>
      </c>
      <c r="IZ76" s="3">
        <v>258064</v>
      </c>
      <c r="JA76" s="3">
        <v>259015.1</v>
      </c>
      <c r="JB76" s="3">
        <v>259969.9</v>
      </c>
      <c r="JC76" s="3">
        <v>260928.8</v>
      </c>
      <c r="JD76" s="3">
        <v>261891.8</v>
      </c>
      <c r="JE76" s="3">
        <v>262858.7</v>
      </c>
      <c r="JF76" s="3">
        <v>263829.7</v>
      </c>
      <c r="JG76" s="3">
        <v>264824.2</v>
      </c>
      <c r="JH76" s="3">
        <v>265823.09999999998</v>
      </c>
      <c r="JI76" s="3">
        <v>266826.5</v>
      </c>
      <c r="JJ76" s="3">
        <v>267834.59999999998</v>
      </c>
      <c r="JK76" s="3">
        <v>268847.2</v>
      </c>
      <c r="JL76" s="3">
        <v>269864.40000000002</v>
      </c>
      <c r="JM76" s="3">
        <v>270886.3</v>
      </c>
      <c r="JN76" s="3">
        <v>271913</v>
      </c>
      <c r="JO76" s="3">
        <v>272958.90000000002</v>
      </c>
      <c r="JP76" s="3">
        <v>274009.09999999998</v>
      </c>
      <c r="JQ76" s="3">
        <v>275063.8</v>
      </c>
      <c r="JR76" s="3">
        <v>276123</v>
      </c>
      <c r="JS76" s="3">
        <v>277157.3</v>
      </c>
      <c r="JT76" s="3">
        <v>278195.5</v>
      </c>
      <c r="JU76" s="3">
        <v>279237.7</v>
      </c>
      <c r="JV76" s="3">
        <v>280283.90000000002</v>
      </c>
      <c r="JW76" s="3">
        <v>281334.09999999998</v>
      </c>
      <c r="JX76" s="3">
        <v>282388.3</v>
      </c>
      <c r="JY76" s="3">
        <v>283446.40000000002</v>
      </c>
      <c r="JZ76" s="3">
        <v>284508.5</v>
      </c>
      <c r="KA76" s="3">
        <v>285574.5</v>
      </c>
      <c r="KB76" s="3">
        <v>286644.5</v>
      </c>
      <c r="KC76" s="3">
        <v>287718.3</v>
      </c>
      <c r="KD76" s="3">
        <v>288796.09999999998</v>
      </c>
      <c r="KE76" s="3">
        <v>289877.5</v>
      </c>
      <c r="KF76" s="3">
        <v>290962.90000000002</v>
      </c>
      <c r="KG76" s="3">
        <v>292052.09999999998</v>
      </c>
      <c r="KH76" s="3">
        <v>293145.2</v>
      </c>
      <c r="KI76" s="3">
        <v>294242.09999999998</v>
      </c>
      <c r="KJ76" s="3">
        <v>295342.8</v>
      </c>
      <c r="KK76" s="3">
        <v>296447.40000000002</v>
      </c>
      <c r="KL76" s="3">
        <v>297555.90000000002</v>
      </c>
      <c r="KM76" s="3">
        <v>298668.3</v>
      </c>
      <c r="KN76" s="3">
        <v>299784.40000000002</v>
      </c>
      <c r="KO76" s="3">
        <v>300904.7</v>
      </c>
      <c r="KP76" s="3">
        <v>302028.79999999999</v>
      </c>
      <c r="KQ76" s="3">
        <v>303156.8</v>
      </c>
      <c r="KR76" s="3">
        <v>304288.8</v>
      </c>
      <c r="KS76" s="3">
        <v>305424.7</v>
      </c>
      <c r="KT76" s="3">
        <v>306564.59999999998</v>
      </c>
      <c r="KU76" s="3">
        <v>307708.5</v>
      </c>
      <c r="KV76" s="3">
        <v>308856.5</v>
      </c>
      <c r="KW76" s="3">
        <v>310008.5</v>
      </c>
      <c r="KX76" s="3">
        <v>311164.5</v>
      </c>
      <c r="KY76" s="3">
        <v>312324.40000000002</v>
      </c>
      <c r="KZ76" s="3">
        <v>313488.5</v>
      </c>
      <c r="LA76" s="3">
        <v>314656.5</v>
      </c>
      <c r="LB76" s="3">
        <v>315828.40000000002</v>
      </c>
      <c r="LC76" s="3">
        <v>317021.2</v>
      </c>
      <c r="LD76" s="3">
        <v>318217.8</v>
      </c>
      <c r="LE76" s="3">
        <v>319418.2</v>
      </c>
      <c r="LF76" s="3">
        <v>320622.3</v>
      </c>
      <c r="LG76" s="3">
        <v>321761</v>
      </c>
      <c r="LH76" s="3">
        <v>322902.7</v>
      </c>
      <c r="LI76" s="3">
        <v>324035.40000000002</v>
      </c>
      <c r="LJ76" s="3">
        <v>325170.90000000002</v>
      </c>
      <c r="LK76" s="3">
        <v>326309.09999999998</v>
      </c>
      <c r="LL76" s="3">
        <v>327450.2</v>
      </c>
      <c r="LM76" s="3">
        <v>328573.09999999998</v>
      </c>
      <c r="LN76" s="3">
        <v>329698.40000000002</v>
      </c>
      <c r="LO76" s="3">
        <v>330826.2</v>
      </c>
      <c r="LP76" s="3">
        <v>331956.2</v>
      </c>
      <c r="LQ76" s="3">
        <v>333089</v>
      </c>
      <c r="LR76" s="3">
        <v>334224.09999999998</v>
      </c>
      <c r="LS76" s="3">
        <v>335361.7</v>
      </c>
      <c r="LT76" s="3">
        <v>336501.9</v>
      </c>
      <c r="LU76" s="3">
        <v>337634.4</v>
      </c>
      <c r="LV76" s="3">
        <v>338769.1</v>
      </c>
      <c r="LW76" s="3">
        <v>339906.1</v>
      </c>
      <c r="LX76" s="3">
        <v>341045.3</v>
      </c>
      <c r="LY76" s="3">
        <v>342178.7</v>
      </c>
      <c r="LZ76" s="3">
        <v>343314.2</v>
      </c>
      <c r="MA76" s="3">
        <v>344451.8</v>
      </c>
      <c r="MB76" s="3">
        <v>345591.5</v>
      </c>
      <c r="MC76" s="3">
        <v>346733.8</v>
      </c>
      <c r="MD76" s="3">
        <v>347878.40000000002</v>
      </c>
      <c r="ME76" s="3">
        <v>349025.2</v>
      </c>
      <c r="MF76" s="3">
        <v>350174.3</v>
      </c>
      <c r="MG76" s="3">
        <v>351335.9</v>
      </c>
      <c r="MH76" s="3">
        <v>352500.1</v>
      </c>
      <c r="MI76" s="3">
        <v>353666.8</v>
      </c>
      <c r="MJ76" s="3">
        <v>354835.9</v>
      </c>
      <c r="MK76" s="3">
        <v>356004.5</v>
      </c>
      <c r="ML76" s="3">
        <v>357175.7</v>
      </c>
      <c r="MM76" s="3">
        <v>358349.1</v>
      </c>
      <c r="MN76" s="3">
        <v>359525.3</v>
      </c>
      <c r="MO76" s="3">
        <v>360714.8</v>
      </c>
      <c r="MP76" s="3">
        <v>361907</v>
      </c>
      <c r="MQ76" s="3">
        <v>363101.9</v>
      </c>
      <c r="MR76" s="3">
        <v>364299.6</v>
      </c>
      <c r="MS76" s="3">
        <v>365499.9</v>
      </c>
      <c r="MT76" s="3">
        <v>366703</v>
      </c>
      <c r="MU76" t="s">
        <v>375</v>
      </c>
      <c r="MV76" t="b">
        <v>1</v>
      </c>
      <c r="MW76" s="1" t="s">
        <v>376</v>
      </c>
      <c r="MX76" t="s">
        <v>377</v>
      </c>
      <c r="MY76">
        <v>2024</v>
      </c>
      <c r="MZ76">
        <v>3</v>
      </c>
      <c r="NA76" t="s">
        <v>377</v>
      </c>
      <c r="NB76" t="s">
        <v>403</v>
      </c>
      <c r="NC76" s="1" t="s">
        <v>404</v>
      </c>
      <c r="ND76" t="s">
        <v>380</v>
      </c>
      <c r="NE76" t="s">
        <v>405</v>
      </c>
      <c r="NF76" s="1" t="s">
        <v>528</v>
      </c>
    </row>
    <row r="77" spans="1:370" x14ac:dyDescent="0.25">
      <c r="A77" t="s">
        <v>382</v>
      </c>
      <c r="B77" t="s">
        <v>402</v>
      </c>
      <c r="C77" s="1" t="s">
        <v>527</v>
      </c>
      <c r="D77" t="s">
        <v>383</v>
      </c>
      <c r="E77" t="s">
        <v>384</v>
      </c>
      <c r="F77" t="s">
        <v>374</v>
      </c>
      <c r="G77" s="2">
        <v>79.275000000000006</v>
      </c>
      <c r="H77" s="2">
        <v>77</v>
      </c>
      <c r="I77" s="2">
        <v>74.849999999999994</v>
      </c>
      <c r="J77" s="2">
        <v>75.424999999999997</v>
      </c>
      <c r="K77" s="2">
        <v>72.849999999999994</v>
      </c>
      <c r="L77" s="2">
        <v>76.724999999999994</v>
      </c>
      <c r="M77" s="2">
        <v>75.375</v>
      </c>
      <c r="N77" s="2">
        <v>74.625</v>
      </c>
      <c r="O77" s="2">
        <v>67.150000000000006</v>
      </c>
      <c r="P77" s="2">
        <v>61.774999999999999</v>
      </c>
      <c r="Q77" s="2">
        <v>66.900000000000006</v>
      </c>
      <c r="R77" s="2">
        <v>70.474999999999994</v>
      </c>
      <c r="S77" s="2">
        <v>74.875</v>
      </c>
      <c r="T77" s="2">
        <v>78.125</v>
      </c>
      <c r="U77" s="2">
        <v>81.325000000000003</v>
      </c>
      <c r="V77" s="2">
        <v>84.05</v>
      </c>
      <c r="W77" s="2">
        <v>87.974999999999994</v>
      </c>
      <c r="X77" s="2">
        <v>88.8</v>
      </c>
      <c r="Y77" s="2">
        <v>87.575000000000003</v>
      </c>
      <c r="Z77" s="2">
        <v>88.825000000000003</v>
      </c>
      <c r="AA77" s="2">
        <v>94.775000000000006</v>
      </c>
      <c r="AB77" s="2">
        <v>95.075000000000003</v>
      </c>
      <c r="AC77" s="2">
        <v>96.3</v>
      </c>
      <c r="AD77" s="2">
        <v>97.625</v>
      </c>
      <c r="AE77" s="2">
        <v>97.375</v>
      </c>
      <c r="AF77" s="2">
        <v>97.9</v>
      </c>
      <c r="AG77" s="2">
        <v>96.4</v>
      </c>
      <c r="AH77" s="2">
        <v>98.5</v>
      </c>
      <c r="AI77" s="2">
        <v>98.575000000000003</v>
      </c>
      <c r="AJ77" s="2">
        <v>91.4</v>
      </c>
      <c r="AK77" s="2">
        <v>84.825000000000003</v>
      </c>
      <c r="AL77" s="2">
        <v>89.375</v>
      </c>
      <c r="AM77" s="2">
        <v>93.2</v>
      </c>
      <c r="AN77" s="2">
        <v>93.325000000000003</v>
      </c>
      <c r="AO77" s="2">
        <v>92.275000000000006</v>
      </c>
      <c r="AP77" s="2">
        <v>94.9</v>
      </c>
      <c r="AQ77" s="2">
        <v>92.2</v>
      </c>
      <c r="AR77" s="2">
        <v>90.7</v>
      </c>
      <c r="AS77" s="2">
        <v>94.9</v>
      </c>
      <c r="AT77" s="2">
        <v>91.174999999999997</v>
      </c>
      <c r="AU77" s="2">
        <v>93.25</v>
      </c>
      <c r="AV77" s="2">
        <v>100.425</v>
      </c>
      <c r="AW77" s="2">
        <v>108.25</v>
      </c>
      <c r="AX77" s="2">
        <v>113.575</v>
      </c>
      <c r="AY77" s="2">
        <v>122.7</v>
      </c>
      <c r="AZ77" s="2">
        <v>127.825</v>
      </c>
      <c r="BA77" s="2">
        <v>131.15</v>
      </c>
      <c r="BB77" s="2">
        <v>134.97499999999999</v>
      </c>
      <c r="BC77" s="2">
        <v>132</v>
      </c>
      <c r="BD77" s="2">
        <v>138.5</v>
      </c>
      <c r="BE77" s="2">
        <v>137.15</v>
      </c>
      <c r="BF77" s="2">
        <v>142.52500000000001</v>
      </c>
      <c r="BG77" s="2">
        <v>142.375</v>
      </c>
      <c r="BH77" s="2">
        <v>148.44999999999999</v>
      </c>
      <c r="BI77" s="2">
        <v>152.55000000000001</v>
      </c>
      <c r="BJ77" s="2">
        <v>153.75</v>
      </c>
      <c r="BK77" s="2">
        <v>152.82499999999999</v>
      </c>
      <c r="BL77" s="2">
        <v>156.65</v>
      </c>
      <c r="BM77" s="2">
        <v>159.72499999999999</v>
      </c>
      <c r="BN77" s="2">
        <v>163.375</v>
      </c>
      <c r="BO77" s="2">
        <v>162.625</v>
      </c>
      <c r="BP77" s="2">
        <v>160.75</v>
      </c>
      <c r="BQ77" s="2">
        <v>164.52500000000001</v>
      </c>
      <c r="BR77" s="2">
        <v>169.55</v>
      </c>
      <c r="BS77" s="2">
        <v>170.35</v>
      </c>
      <c r="BT77" s="2">
        <v>171.15</v>
      </c>
      <c r="BU77" s="2">
        <v>170.92500000000001</v>
      </c>
      <c r="BV77" s="2">
        <v>174</v>
      </c>
      <c r="BW77" s="2">
        <v>179.52500000000001</v>
      </c>
      <c r="BX77" s="2">
        <v>179.22499999999999</v>
      </c>
      <c r="BY77" s="2">
        <v>178.5</v>
      </c>
      <c r="BZ77" s="2">
        <v>173.7</v>
      </c>
      <c r="CA77" s="2">
        <v>171.72499999999999</v>
      </c>
      <c r="CB77" s="2">
        <v>174.77500000000001</v>
      </c>
      <c r="CC77" s="2">
        <v>179.7</v>
      </c>
      <c r="CD77" s="2">
        <v>183.67500000000001</v>
      </c>
      <c r="CE77" s="2">
        <v>185</v>
      </c>
      <c r="CF77" s="2">
        <v>188.05</v>
      </c>
      <c r="CG77" s="2">
        <v>191</v>
      </c>
      <c r="CH77" s="2">
        <v>195.57499999999999</v>
      </c>
      <c r="CI77" s="2">
        <v>199.82499999999999</v>
      </c>
      <c r="CJ77" s="2">
        <v>203.95</v>
      </c>
      <c r="CK77" s="2">
        <v>206.625</v>
      </c>
      <c r="CL77" s="2">
        <v>214.92500000000001</v>
      </c>
      <c r="CM77" s="2">
        <v>219.95</v>
      </c>
      <c r="CN77" s="2">
        <v>228.15</v>
      </c>
      <c r="CO77" s="2">
        <v>234.55</v>
      </c>
      <c r="CP77" s="2">
        <v>241.15</v>
      </c>
      <c r="CQ77" s="2">
        <v>246.45</v>
      </c>
      <c r="CR77" s="2">
        <v>248.77500000000001</v>
      </c>
      <c r="CS77" s="2">
        <v>249.65</v>
      </c>
      <c r="CT77" s="2">
        <v>252.82499999999999</v>
      </c>
      <c r="CU77" s="2">
        <v>261.05</v>
      </c>
      <c r="CV77" s="2">
        <v>266.89999999999998</v>
      </c>
      <c r="CW77" s="2">
        <v>275.55</v>
      </c>
      <c r="CX77" s="2">
        <v>280.97500000000002</v>
      </c>
      <c r="CY77" s="2">
        <v>292.97500000000002</v>
      </c>
      <c r="CZ77" s="2">
        <v>302.8</v>
      </c>
      <c r="DA77" s="2">
        <v>313.97500000000002</v>
      </c>
      <c r="DB77" s="2">
        <v>320.75</v>
      </c>
      <c r="DC77" s="2">
        <v>332.77499999999998</v>
      </c>
      <c r="DD77" s="2">
        <v>340.4</v>
      </c>
      <c r="DE77" s="2">
        <v>345</v>
      </c>
      <c r="DF77" s="2">
        <v>356.17500000000001</v>
      </c>
      <c r="DG77" s="2">
        <v>366.22500000000002</v>
      </c>
      <c r="DH77" s="2">
        <v>376.75</v>
      </c>
      <c r="DI77" s="2">
        <v>390.375</v>
      </c>
      <c r="DJ77" s="2">
        <v>400.35</v>
      </c>
      <c r="DK77" s="2">
        <v>415.47500000000002</v>
      </c>
      <c r="DL77" s="2">
        <v>428.7</v>
      </c>
      <c r="DM77" s="2">
        <v>444.125</v>
      </c>
      <c r="DN77" s="2">
        <v>444.77499999999998</v>
      </c>
      <c r="DO77" s="2">
        <v>439.02499999999998</v>
      </c>
      <c r="DP77" s="2">
        <v>424.97500000000002</v>
      </c>
      <c r="DQ77" s="2">
        <v>415.35</v>
      </c>
      <c r="DR77" s="2">
        <v>411.05</v>
      </c>
      <c r="DS77" s="2">
        <v>422.72500000000002</v>
      </c>
      <c r="DT77" s="2">
        <v>436.875</v>
      </c>
      <c r="DU77" s="2">
        <v>442.45</v>
      </c>
      <c r="DV77" s="2">
        <v>450.375</v>
      </c>
      <c r="DW77" s="2">
        <v>448.42500000000001</v>
      </c>
      <c r="DX77" s="2">
        <v>454.95</v>
      </c>
      <c r="DY77" s="2">
        <v>462.07499999999999</v>
      </c>
      <c r="DZ77" s="2">
        <v>476.75</v>
      </c>
      <c r="EA77" s="2">
        <v>490.125</v>
      </c>
      <c r="EB77" s="2">
        <v>509.42500000000001</v>
      </c>
      <c r="EC77" s="2">
        <v>516.47500000000002</v>
      </c>
      <c r="ED77" s="2">
        <v>528.52499999999998</v>
      </c>
      <c r="EE77" s="2">
        <v>533.07500000000005</v>
      </c>
      <c r="EF77" s="2">
        <v>540.20000000000005</v>
      </c>
      <c r="EG77" s="2">
        <v>543.22500000000002</v>
      </c>
      <c r="EH77" s="2">
        <v>560.75</v>
      </c>
      <c r="EI77" s="2">
        <v>572.27499999999998</v>
      </c>
      <c r="EJ77" s="2">
        <v>577.97500000000002</v>
      </c>
      <c r="EK77" s="2">
        <v>583.75</v>
      </c>
      <c r="EL77" s="2">
        <v>583</v>
      </c>
      <c r="EM77" s="2">
        <v>591.5</v>
      </c>
      <c r="EN77" s="2">
        <v>594.65</v>
      </c>
      <c r="EO77" s="2">
        <v>597.97500000000002</v>
      </c>
      <c r="EP77" s="2">
        <v>592.32500000000005</v>
      </c>
      <c r="EQ77" s="2">
        <v>594.54999999999995</v>
      </c>
      <c r="ER77" s="2">
        <v>588.92499999999995</v>
      </c>
      <c r="ES77" s="2">
        <v>581.47500000000002</v>
      </c>
      <c r="ET77" s="2">
        <v>560.45000000000005</v>
      </c>
      <c r="EU77" s="2">
        <v>507.17500000000001</v>
      </c>
      <c r="EV77" s="2">
        <v>486.6</v>
      </c>
      <c r="EW77" s="2">
        <v>506.67500000000001</v>
      </c>
      <c r="EX77" s="2">
        <v>531.32500000000005</v>
      </c>
      <c r="EY77" s="2">
        <v>544.67499999999995</v>
      </c>
      <c r="EZ77" s="2">
        <v>569.52499999999998</v>
      </c>
      <c r="FA77" s="2">
        <v>589.45000000000005</v>
      </c>
      <c r="FB77" s="2">
        <v>591.6</v>
      </c>
      <c r="FC77" s="2">
        <v>594.5</v>
      </c>
      <c r="FD77" s="2">
        <v>596.72500000000002</v>
      </c>
      <c r="FE77" s="2">
        <v>603.32500000000005</v>
      </c>
      <c r="FF77" s="2">
        <v>611.25</v>
      </c>
      <c r="FG77" s="2">
        <v>614.27499999999998</v>
      </c>
      <c r="FH77" s="2">
        <v>616.54999999999995</v>
      </c>
      <c r="FI77" s="2">
        <v>619.875</v>
      </c>
      <c r="FJ77" s="2">
        <v>614.02499999999998</v>
      </c>
      <c r="FK77" s="2">
        <v>613.5</v>
      </c>
      <c r="FL77" s="2">
        <v>622.4</v>
      </c>
      <c r="FM77" s="2">
        <v>626.875</v>
      </c>
      <c r="FN77" s="2">
        <v>631.82500000000005</v>
      </c>
      <c r="FO77" s="2">
        <v>639.97500000000002</v>
      </c>
      <c r="FP77" s="2">
        <v>654.54999999999995</v>
      </c>
      <c r="FQ77" s="2">
        <v>655.8</v>
      </c>
      <c r="FR77" s="2">
        <v>673</v>
      </c>
      <c r="FS77" s="2">
        <v>683.02499999999998</v>
      </c>
      <c r="FT77" s="2">
        <v>688.375</v>
      </c>
      <c r="FU77" s="2">
        <v>693.07500000000005</v>
      </c>
      <c r="FV77" s="2">
        <v>695.02499999999998</v>
      </c>
      <c r="FW77" s="2">
        <v>694.2</v>
      </c>
      <c r="FX77" s="2">
        <v>695.1</v>
      </c>
      <c r="FY77" s="2">
        <v>700.17499999999995</v>
      </c>
      <c r="FZ77" s="2">
        <v>710.25</v>
      </c>
      <c r="GA77" s="2">
        <v>721.25</v>
      </c>
      <c r="GB77" s="2">
        <v>728.1</v>
      </c>
      <c r="GC77" s="2">
        <v>730.9</v>
      </c>
      <c r="GD77" s="2">
        <v>751.35</v>
      </c>
      <c r="GE77" s="2">
        <v>754.45</v>
      </c>
      <c r="GF77" s="2">
        <v>755.42499999999995</v>
      </c>
      <c r="GG77" s="2">
        <v>766.05</v>
      </c>
      <c r="GH77" s="2">
        <v>774.05</v>
      </c>
      <c r="GI77" s="2">
        <v>773.57500000000005</v>
      </c>
      <c r="GJ77" s="2">
        <v>777.85</v>
      </c>
      <c r="GK77" s="2">
        <v>774.47500000000002</v>
      </c>
      <c r="GL77" s="2">
        <v>759.95</v>
      </c>
      <c r="GM77" s="2">
        <v>732.42499999999995</v>
      </c>
      <c r="GN77" s="2">
        <v>607.22500000000002</v>
      </c>
      <c r="GO77" s="2">
        <v>708.875</v>
      </c>
      <c r="GP77" s="2">
        <v>760.25</v>
      </c>
      <c r="GQ77" s="2">
        <v>775.55</v>
      </c>
      <c r="GR77" s="2">
        <v>791.17499999999995</v>
      </c>
      <c r="GS77" s="2">
        <v>807.55</v>
      </c>
      <c r="GT77" s="2">
        <v>846.57500000000005</v>
      </c>
      <c r="GU77" s="2">
        <v>873.57500000000005</v>
      </c>
      <c r="GV77" s="2">
        <v>886.25</v>
      </c>
      <c r="GW77" s="2">
        <v>873.92499999999995</v>
      </c>
      <c r="GX77" s="2">
        <v>863.875</v>
      </c>
      <c r="GY77" s="2">
        <v>862.125</v>
      </c>
      <c r="GZ77" s="2">
        <v>855.32500000000005</v>
      </c>
      <c r="HA77" s="2">
        <v>865.1</v>
      </c>
      <c r="HB77" s="2">
        <v>874.07500000000005</v>
      </c>
      <c r="HC77" s="2">
        <v>887.17499999999995</v>
      </c>
      <c r="HD77" s="2">
        <v>903.5</v>
      </c>
      <c r="HE77" s="2">
        <v>926.85</v>
      </c>
      <c r="HF77" s="3">
        <v>928.52530000000002</v>
      </c>
      <c r="HG77" s="3">
        <v>943.27200000000005</v>
      </c>
      <c r="HH77" s="3">
        <v>959.75239999999997</v>
      </c>
      <c r="HI77" s="3">
        <v>976.6105</v>
      </c>
      <c r="HJ77" s="3">
        <v>992.44050000000004</v>
      </c>
      <c r="HK77" s="3">
        <v>1003.139</v>
      </c>
      <c r="HL77" s="3">
        <v>1010.1609999999999</v>
      </c>
      <c r="HM77" s="3">
        <v>1014.377</v>
      </c>
      <c r="HN77" s="3">
        <v>1018.347</v>
      </c>
      <c r="HO77" s="3">
        <v>1023.198</v>
      </c>
      <c r="HP77" s="3">
        <v>1029.193</v>
      </c>
      <c r="HQ77" s="3">
        <v>1036.299</v>
      </c>
      <c r="HR77" s="3">
        <v>1044.117</v>
      </c>
      <c r="HS77" s="3">
        <v>1052.4380000000001</v>
      </c>
      <c r="HT77" s="3">
        <v>1061.231</v>
      </c>
      <c r="HU77" s="3">
        <v>1070.6289999999999</v>
      </c>
      <c r="HV77" s="3">
        <v>1080.655</v>
      </c>
      <c r="HW77" s="3">
        <v>1091.2449999999999</v>
      </c>
      <c r="HX77" s="3">
        <v>1102.2249999999999</v>
      </c>
      <c r="HY77" s="3">
        <v>1113.307</v>
      </c>
      <c r="HZ77" s="3">
        <v>1124.3789999999999</v>
      </c>
      <c r="IA77" s="3">
        <v>1135.33</v>
      </c>
      <c r="IB77" s="3">
        <v>1146.133</v>
      </c>
      <c r="IC77" s="3">
        <v>1156.7850000000001</v>
      </c>
      <c r="ID77" s="3">
        <v>1167.2829999999999</v>
      </c>
      <c r="IE77" s="3">
        <v>1177.6210000000001</v>
      </c>
      <c r="IF77" s="3">
        <v>1187.797</v>
      </c>
      <c r="IG77" s="3">
        <v>1197.81</v>
      </c>
      <c r="IH77" s="3">
        <v>1207.6780000000001</v>
      </c>
      <c r="II77" s="3">
        <v>1217.3979999999999</v>
      </c>
      <c r="IJ77" s="3">
        <v>1227.018</v>
      </c>
      <c r="IK77" s="3">
        <v>1236.5340000000001</v>
      </c>
      <c r="IL77" s="3">
        <v>1245.943</v>
      </c>
      <c r="IM77" s="3">
        <v>1255.24</v>
      </c>
      <c r="IN77" s="3">
        <v>1264.423</v>
      </c>
      <c r="IO77" s="3">
        <v>1273.4880000000001</v>
      </c>
      <c r="IP77" s="3">
        <v>1282.432</v>
      </c>
      <c r="IQ77" s="3">
        <v>1291.25</v>
      </c>
      <c r="IR77" s="3">
        <v>1299.94</v>
      </c>
      <c r="IS77" s="3">
        <v>1308.4960000000001</v>
      </c>
      <c r="IT77" s="3">
        <v>1316.9169999999999</v>
      </c>
      <c r="IU77" s="3">
        <v>1325.1990000000001</v>
      </c>
      <c r="IV77" s="3">
        <v>1333.3389999999999</v>
      </c>
      <c r="IW77" s="3">
        <v>1341.3320000000001</v>
      </c>
      <c r="IX77" s="3">
        <v>1349.1769999999999</v>
      </c>
      <c r="IY77" s="3">
        <v>1356.7929999999999</v>
      </c>
      <c r="IZ77" s="3">
        <v>1364.4760000000001</v>
      </c>
      <c r="JA77" s="3">
        <v>1372.1659999999999</v>
      </c>
      <c r="JB77" s="3">
        <v>1379.874</v>
      </c>
      <c r="JC77" s="3">
        <v>1387.6</v>
      </c>
      <c r="JD77" s="3">
        <v>1395.348</v>
      </c>
      <c r="JE77" s="3">
        <v>1403.143</v>
      </c>
      <c r="JF77" s="3">
        <v>1410.9269999999999</v>
      </c>
      <c r="JG77" s="3">
        <v>1418.741</v>
      </c>
      <c r="JH77" s="3">
        <v>1426.578</v>
      </c>
      <c r="JI77" s="3">
        <v>1434.451</v>
      </c>
      <c r="JJ77" s="3">
        <v>1442.3489999999999</v>
      </c>
      <c r="JK77" s="3">
        <v>1450.2829999999999</v>
      </c>
      <c r="JL77" s="3">
        <v>1458.248</v>
      </c>
      <c r="JM77" s="3">
        <v>1466.2059999999999</v>
      </c>
      <c r="JN77" s="3">
        <v>1474.2180000000001</v>
      </c>
      <c r="JO77" s="3">
        <v>1482.251</v>
      </c>
      <c r="JP77" s="3">
        <v>1490.307</v>
      </c>
      <c r="JQ77" s="3">
        <v>1498.3820000000001</v>
      </c>
      <c r="JR77" s="3">
        <v>1506.489</v>
      </c>
      <c r="JS77" s="3">
        <v>1514.635</v>
      </c>
      <c r="JT77" s="3">
        <v>1522.8019999999999</v>
      </c>
      <c r="JU77" s="3">
        <v>1531.01</v>
      </c>
      <c r="JV77" s="3">
        <v>1539.2460000000001</v>
      </c>
      <c r="JW77" s="3">
        <v>1547.509</v>
      </c>
      <c r="JX77" s="3">
        <v>1555.8040000000001</v>
      </c>
      <c r="JY77" s="3">
        <v>1564.125</v>
      </c>
      <c r="JZ77" s="3">
        <v>1572.48</v>
      </c>
      <c r="KA77" s="3">
        <v>1580.8869999999999</v>
      </c>
      <c r="KB77" s="3">
        <v>1589.329</v>
      </c>
      <c r="KC77" s="3">
        <v>1597.797</v>
      </c>
      <c r="KD77" s="3">
        <v>1606.31</v>
      </c>
      <c r="KE77" s="3">
        <v>1614.856</v>
      </c>
      <c r="KF77" s="3">
        <v>1623.422</v>
      </c>
      <c r="KG77" s="3">
        <v>1632.0239999999999</v>
      </c>
      <c r="KH77" s="3">
        <v>1640.665</v>
      </c>
      <c r="KI77" s="3">
        <v>1649.3119999999999</v>
      </c>
      <c r="KJ77" s="3">
        <v>1658</v>
      </c>
      <c r="KK77" s="3">
        <v>1666.6959999999999</v>
      </c>
      <c r="KL77" s="3">
        <v>1675.44</v>
      </c>
      <c r="KM77" s="3">
        <v>1684.221</v>
      </c>
      <c r="KN77" s="3">
        <v>1693.0229999999999</v>
      </c>
      <c r="KO77" s="3">
        <v>1701.8489999999999</v>
      </c>
      <c r="KP77" s="3">
        <v>1710.729</v>
      </c>
      <c r="KQ77" s="3">
        <v>1719.626</v>
      </c>
      <c r="KR77" s="3">
        <v>1728.5440000000001</v>
      </c>
      <c r="KS77" s="3">
        <v>1737.4960000000001</v>
      </c>
      <c r="KT77" s="3">
        <v>1746.489</v>
      </c>
      <c r="KU77" s="3">
        <v>1755.5070000000001</v>
      </c>
      <c r="KV77" s="3">
        <v>1764.575</v>
      </c>
      <c r="KW77" s="3">
        <v>1773.6289999999999</v>
      </c>
      <c r="KX77" s="3">
        <v>1782.7639999999999</v>
      </c>
      <c r="KY77" s="3">
        <v>1791.9110000000001</v>
      </c>
      <c r="KZ77" s="3">
        <v>1801.0550000000001</v>
      </c>
      <c r="LA77" s="3">
        <v>1810.252</v>
      </c>
      <c r="LB77" s="3">
        <v>1819.47</v>
      </c>
      <c r="LC77" s="3">
        <v>1828.751</v>
      </c>
      <c r="LD77" s="3">
        <v>1838.0530000000001</v>
      </c>
      <c r="LE77" s="3">
        <v>1847.36</v>
      </c>
      <c r="LF77" s="3">
        <v>1856.7360000000001</v>
      </c>
      <c r="LG77" s="3">
        <v>1866.136</v>
      </c>
      <c r="LH77" s="3">
        <v>1875.5820000000001</v>
      </c>
      <c r="LI77" s="3">
        <v>1885.069</v>
      </c>
      <c r="LJ77" s="3">
        <v>1894.5909999999999</v>
      </c>
      <c r="LK77" s="3">
        <v>1904.1669999999999</v>
      </c>
      <c r="LL77" s="3">
        <v>1913.769</v>
      </c>
      <c r="LM77" s="3">
        <v>1923.432</v>
      </c>
      <c r="LN77" s="3">
        <v>1933.126</v>
      </c>
      <c r="LO77" s="3">
        <v>1942.86</v>
      </c>
      <c r="LP77" s="3">
        <v>1952.6420000000001</v>
      </c>
      <c r="LQ77" s="3">
        <v>1962.479</v>
      </c>
      <c r="LR77" s="3">
        <v>1972.338</v>
      </c>
      <c r="LS77" s="3">
        <v>1982.2529999999999</v>
      </c>
      <c r="LT77" s="3">
        <v>1992.19</v>
      </c>
      <c r="LU77" s="3">
        <v>2002.1949999999999</v>
      </c>
      <c r="LV77" s="3">
        <v>2012.232</v>
      </c>
      <c r="LW77" s="3">
        <v>2022.31</v>
      </c>
      <c r="LX77" s="3">
        <v>2032.4490000000001</v>
      </c>
      <c r="LY77" s="3">
        <v>2042.6210000000001</v>
      </c>
      <c r="LZ77" s="3">
        <v>2052.8240000000001</v>
      </c>
      <c r="MA77" s="3">
        <v>2063.087</v>
      </c>
      <c r="MB77" s="3">
        <v>2073.384</v>
      </c>
      <c r="MC77" s="3">
        <v>2083.7370000000001</v>
      </c>
      <c r="MD77" s="3">
        <v>2094.1320000000001</v>
      </c>
      <c r="ME77" s="3">
        <v>2104.5729999999999</v>
      </c>
      <c r="MF77" s="3">
        <v>2115.06</v>
      </c>
      <c r="MG77" s="3">
        <v>2125.5990000000002</v>
      </c>
      <c r="MH77" s="3">
        <v>2136.192</v>
      </c>
      <c r="MI77" s="3">
        <v>2146.8229999999999</v>
      </c>
      <c r="MJ77" s="3">
        <v>2157.5100000000002</v>
      </c>
      <c r="MK77" s="3">
        <v>2168.2429999999999</v>
      </c>
      <c r="ML77" s="3">
        <v>2179.0169999999998</v>
      </c>
      <c r="MM77" s="3">
        <v>2189.8510000000001</v>
      </c>
      <c r="MN77" s="3">
        <v>2200.723</v>
      </c>
      <c r="MO77" s="3">
        <v>2211.65</v>
      </c>
      <c r="MP77" s="3">
        <v>2222.6329999999998</v>
      </c>
      <c r="MQ77" s="3">
        <v>2233.6579999999999</v>
      </c>
      <c r="MR77" s="3">
        <v>2244.7330000000002</v>
      </c>
      <c r="MS77" s="3">
        <v>2255.857</v>
      </c>
      <c r="MT77" s="3">
        <v>2267.0259999999998</v>
      </c>
      <c r="MU77" t="s">
        <v>385</v>
      </c>
      <c r="MV77" t="b">
        <v>1</v>
      </c>
      <c r="MW77" s="1" t="s">
        <v>386</v>
      </c>
      <c r="MX77" t="s">
        <v>377</v>
      </c>
      <c r="MY77">
        <v>2024</v>
      </c>
      <c r="MZ77">
        <v>3</v>
      </c>
      <c r="NA77" t="s">
        <v>377</v>
      </c>
      <c r="NB77" s="1" t="s">
        <v>406</v>
      </c>
      <c r="NC77" s="1" t="s">
        <v>407</v>
      </c>
      <c r="ND77" t="s">
        <v>389</v>
      </c>
      <c r="NE77" t="s">
        <v>405</v>
      </c>
      <c r="NF77" s="1" t="s">
        <v>528</v>
      </c>
    </row>
    <row r="78" spans="1:370" x14ac:dyDescent="0.25">
      <c r="A78" t="s">
        <v>370</v>
      </c>
      <c r="B78" s="1" t="s">
        <v>408</v>
      </c>
      <c r="C78" s="1" t="s">
        <v>527</v>
      </c>
      <c r="D78" t="s">
        <v>372</v>
      </c>
      <c r="E78" t="s">
        <v>373</v>
      </c>
      <c r="F78" t="s">
        <v>374</v>
      </c>
      <c r="G78" s="2">
        <v>-2641.15</v>
      </c>
      <c r="H78" s="2">
        <v>-4462.875</v>
      </c>
      <c r="I78" s="2">
        <v>-5844.55</v>
      </c>
      <c r="J78" s="2">
        <v>-3867.7750000000001</v>
      </c>
      <c r="K78" s="2">
        <v>-2134.15</v>
      </c>
      <c r="L78" s="2">
        <v>-2173.0749999999998</v>
      </c>
      <c r="M78" s="2">
        <v>-1830.175</v>
      </c>
      <c r="N78" s="2">
        <v>-2998.1</v>
      </c>
      <c r="O78" s="2">
        <v>75.2</v>
      </c>
      <c r="P78" s="2">
        <v>-88.974999999999994</v>
      </c>
      <c r="Q78" s="2">
        <v>146.25</v>
      </c>
      <c r="R78" s="2">
        <v>58.125</v>
      </c>
      <c r="S78" s="2">
        <v>206.125</v>
      </c>
      <c r="T78" s="2">
        <v>1742.2</v>
      </c>
      <c r="U78" s="2">
        <v>2026.2</v>
      </c>
      <c r="V78" s="2">
        <v>2946.05</v>
      </c>
      <c r="W78" s="2">
        <v>5013.7749999999996</v>
      </c>
      <c r="X78" s="2">
        <v>5804.7749999999996</v>
      </c>
      <c r="Y78" s="2">
        <v>5769.5749999999998</v>
      </c>
      <c r="Z78" s="2">
        <v>6059.4250000000002</v>
      </c>
      <c r="AA78" s="2">
        <v>7081.6750000000002</v>
      </c>
      <c r="AB78" s="2">
        <v>9653.2999999999993</v>
      </c>
      <c r="AC78" s="2">
        <v>7523.625</v>
      </c>
      <c r="AD78" s="2">
        <v>6482.5</v>
      </c>
      <c r="AE78" s="2">
        <v>8583.4249999999993</v>
      </c>
      <c r="AF78" s="2">
        <v>10011.58</v>
      </c>
      <c r="AG78" s="2">
        <v>11078.58</v>
      </c>
      <c r="AH78" s="2">
        <v>11307.47</v>
      </c>
      <c r="AI78" s="2">
        <v>11899.42</v>
      </c>
      <c r="AJ78" s="2">
        <v>11463.22</v>
      </c>
      <c r="AK78" s="2">
        <v>10143</v>
      </c>
      <c r="AL78" s="2">
        <v>9975.9</v>
      </c>
      <c r="AM78" s="2">
        <v>9966.7250000000004</v>
      </c>
      <c r="AN78" s="2">
        <v>11496.63</v>
      </c>
      <c r="AO78" s="2">
        <v>14028.85</v>
      </c>
      <c r="AP78" s="2">
        <v>13017.85</v>
      </c>
      <c r="AQ78" s="2">
        <v>13541.75</v>
      </c>
      <c r="AR78" s="2">
        <v>14790.67</v>
      </c>
      <c r="AS78" s="2">
        <v>14659.58</v>
      </c>
      <c r="AT78" s="2">
        <v>16134.38</v>
      </c>
      <c r="AU78" s="2">
        <v>18293.38</v>
      </c>
      <c r="AV78" s="2">
        <v>17976.5</v>
      </c>
      <c r="AW78" s="2">
        <v>18257.5</v>
      </c>
      <c r="AX78" s="2">
        <v>19691.45</v>
      </c>
      <c r="AY78" s="2">
        <v>20075.45</v>
      </c>
      <c r="AZ78" s="2">
        <v>19098.849999999999</v>
      </c>
      <c r="BA78" s="2">
        <v>19652.900000000001</v>
      </c>
      <c r="BB78" s="2">
        <v>19128.2</v>
      </c>
      <c r="BC78" s="2">
        <v>19211.25</v>
      </c>
      <c r="BD78" s="2">
        <v>21573.72</v>
      </c>
      <c r="BE78" s="2">
        <v>21823.57</v>
      </c>
      <c r="BF78" s="2">
        <v>21130.7</v>
      </c>
      <c r="BG78" s="2">
        <v>22871.68</v>
      </c>
      <c r="BH78" s="2">
        <v>22973.88</v>
      </c>
      <c r="BI78" s="2">
        <v>21676.2</v>
      </c>
      <c r="BJ78" s="2">
        <v>22789.1</v>
      </c>
      <c r="BK78" s="2">
        <v>23610.880000000001</v>
      </c>
      <c r="BL78" s="2">
        <v>25227.9</v>
      </c>
      <c r="BM78" s="2">
        <v>26315</v>
      </c>
      <c r="BN78" s="2">
        <v>26475.05</v>
      </c>
      <c r="BO78" s="2">
        <v>28135.82</v>
      </c>
      <c r="BP78" s="2">
        <v>30195.9</v>
      </c>
      <c r="BQ78" s="2">
        <v>31354.05</v>
      </c>
      <c r="BR78" s="2">
        <v>32341.200000000001</v>
      </c>
      <c r="BS78" s="2">
        <v>33410.1</v>
      </c>
      <c r="BT78" s="2">
        <v>32296.22</v>
      </c>
      <c r="BU78" s="2">
        <v>34148.129999999997</v>
      </c>
      <c r="BV78" s="2">
        <v>32768.230000000003</v>
      </c>
      <c r="BW78" s="2">
        <v>32999.379999999997</v>
      </c>
      <c r="BX78" s="2">
        <v>32710.38</v>
      </c>
      <c r="BY78" s="2">
        <v>31575.32</v>
      </c>
      <c r="BZ78" s="2">
        <v>30069.38</v>
      </c>
      <c r="CA78" s="2">
        <v>29387.32</v>
      </c>
      <c r="CB78" s="2">
        <v>28073.43</v>
      </c>
      <c r="CC78" s="2">
        <v>28178.53</v>
      </c>
      <c r="CD78" s="2">
        <v>29591.4</v>
      </c>
      <c r="CE78" s="2">
        <v>30605.3</v>
      </c>
      <c r="CF78" s="2">
        <v>31482.47</v>
      </c>
      <c r="CG78" s="2">
        <v>31584.53</v>
      </c>
      <c r="CH78" s="2">
        <v>33977.300000000003</v>
      </c>
      <c r="CI78" s="2">
        <v>34355.379999999997</v>
      </c>
      <c r="CJ78" s="2">
        <v>32568.43</v>
      </c>
      <c r="CK78" s="2">
        <v>33693.4</v>
      </c>
      <c r="CL78" s="2">
        <v>34200.480000000003</v>
      </c>
      <c r="CM78" s="2">
        <v>37147.129999999997</v>
      </c>
      <c r="CN78" s="2">
        <v>37454.129999999997</v>
      </c>
      <c r="CO78" s="2">
        <v>37628.019999999997</v>
      </c>
      <c r="CP78" s="2">
        <v>39375.129999999997</v>
      </c>
      <c r="CQ78" s="2">
        <v>39671</v>
      </c>
      <c r="CR78" s="2">
        <v>42270.879999999997</v>
      </c>
      <c r="CS78" s="2">
        <v>42334.07</v>
      </c>
      <c r="CT78" s="2">
        <v>44506.879999999997</v>
      </c>
      <c r="CU78" s="2">
        <v>46582.93</v>
      </c>
      <c r="CV78" s="2">
        <v>45830.1</v>
      </c>
      <c r="CW78" s="2">
        <v>48422.93</v>
      </c>
      <c r="CX78" s="2">
        <v>48077.02</v>
      </c>
      <c r="CY78" s="2">
        <v>50256</v>
      </c>
      <c r="CZ78" s="2">
        <v>51441</v>
      </c>
      <c r="DA78" s="2">
        <v>50566</v>
      </c>
      <c r="DB78" s="2">
        <v>52786</v>
      </c>
      <c r="DC78" s="2">
        <v>53658</v>
      </c>
      <c r="DD78" s="2">
        <v>54959</v>
      </c>
      <c r="DE78" s="2">
        <v>58149</v>
      </c>
      <c r="DF78" s="2">
        <v>57208</v>
      </c>
      <c r="DG78" s="2">
        <v>58048</v>
      </c>
      <c r="DH78" s="2">
        <v>59611</v>
      </c>
      <c r="DI78" s="2">
        <v>65111</v>
      </c>
      <c r="DJ78" s="2">
        <v>66052</v>
      </c>
      <c r="DK78" s="2">
        <v>65553</v>
      </c>
      <c r="DL78" s="2">
        <v>66895</v>
      </c>
      <c r="DM78" s="2">
        <v>70427</v>
      </c>
      <c r="DN78" s="2">
        <v>72056</v>
      </c>
      <c r="DO78" s="2">
        <v>74487</v>
      </c>
      <c r="DP78" s="2">
        <v>73505</v>
      </c>
      <c r="DQ78" s="2">
        <v>74535</v>
      </c>
      <c r="DR78" s="2">
        <v>69343</v>
      </c>
      <c r="DS78" s="2">
        <v>74228</v>
      </c>
      <c r="DT78" s="2">
        <v>79161</v>
      </c>
      <c r="DU78" s="2">
        <v>77493</v>
      </c>
      <c r="DV78" s="2">
        <v>76969</v>
      </c>
      <c r="DW78" s="2">
        <v>78703</v>
      </c>
      <c r="DX78" s="2">
        <v>75192</v>
      </c>
      <c r="DY78" s="2">
        <v>74904</v>
      </c>
      <c r="DZ78" s="2">
        <v>79338</v>
      </c>
      <c r="EA78" s="2">
        <v>77941</v>
      </c>
      <c r="EB78" s="2">
        <v>77887</v>
      </c>
      <c r="EC78" s="2">
        <v>79148</v>
      </c>
      <c r="ED78" s="2">
        <v>81734</v>
      </c>
      <c r="EE78" s="2">
        <v>82790</v>
      </c>
      <c r="EF78" s="2">
        <v>86229</v>
      </c>
      <c r="EG78" s="2">
        <v>88825</v>
      </c>
      <c r="EH78" s="2">
        <v>91515</v>
      </c>
      <c r="EI78" s="2">
        <v>105809</v>
      </c>
      <c r="EJ78" s="2">
        <v>111157</v>
      </c>
      <c r="EK78" s="2">
        <v>91230</v>
      </c>
      <c r="EL78" s="2">
        <v>92435</v>
      </c>
      <c r="EM78" s="2">
        <v>95543</v>
      </c>
      <c r="EN78" s="2">
        <v>95581</v>
      </c>
      <c r="EO78" s="2">
        <v>98433</v>
      </c>
      <c r="EP78" s="2">
        <v>96673</v>
      </c>
      <c r="EQ78" s="2">
        <v>97977</v>
      </c>
      <c r="ER78" s="2">
        <v>97795</v>
      </c>
      <c r="ES78" s="2">
        <v>95161</v>
      </c>
      <c r="ET78" s="2">
        <v>84918</v>
      </c>
      <c r="EU78" s="2">
        <v>81533</v>
      </c>
      <c r="EV78" s="2">
        <v>85394</v>
      </c>
      <c r="EW78" s="2">
        <v>88112</v>
      </c>
      <c r="EX78" s="2">
        <v>90863</v>
      </c>
      <c r="EY78" s="2">
        <v>93414</v>
      </c>
      <c r="EZ78" s="2">
        <v>96050</v>
      </c>
      <c r="FA78" s="2">
        <v>97316</v>
      </c>
      <c r="FB78" s="2">
        <v>100101</v>
      </c>
      <c r="FC78" s="2">
        <v>97424</v>
      </c>
      <c r="FD78" s="2">
        <v>100107</v>
      </c>
      <c r="FE78" s="2">
        <v>98100</v>
      </c>
      <c r="FF78" s="2">
        <v>98016</v>
      </c>
      <c r="FG78" s="2">
        <v>100193</v>
      </c>
      <c r="FH78" s="2">
        <v>100882</v>
      </c>
      <c r="FI78" s="2">
        <v>100203</v>
      </c>
      <c r="FJ78" s="2">
        <v>96520</v>
      </c>
      <c r="FK78" s="2">
        <v>100176</v>
      </c>
      <c r="FL78" s="2">
        <v>103770</v>
      </c>
      <c r="FM78" s="2">
        <v>106146</v>
      </c>
      <c r="FN78" s="2">
        <v>111418</v>
      </c>
      <c r="FO78" s="2">
        <v>108038</v>
      </c>
      <c r="FP78" s="2">
        <v>108961</v>
      </c>
      <c r="FQ78" s="2">
        <v>111450</v>
      </c>
      <c r="FR78" s="2">
        <v>118783</v>
      </c>
      <c r="FS78" s="2">
        <v>118324</v>
      </c>
      <c r="FT78" s="2">
        <v>113544</v>
      </c>
      <c r="FU78" s="2">
        <v>113955</v>
      </c>
      <c r="FV78" s="2">
        <v>117926</v>
      </c>
      <c r="FW78" s="2">
        <v>119982</v>
      </c>
      <c r="FX78" s="2">
        <v>122574</v>
      </c>
      <c r="FY78" s="2">
        <v>126354</v>
      </c>
      <c r="FZ78" s="2">
        <v>121164</v>
      </c>
      <c r="GA78" s="2">
        <v>121544</v>
      </c>
      <c r="GB78" s="2">
        <v>126552</v>
      </c>
      <c r="GC78" s="2">
        <v>125967</v>
      </c>
      <c r="GD78" s="2">
        <v>122163</v>
      </c>
      <c r="GE78" s="2">
        <v>122798</v>
      </c>
      <c r="GF78" s="2">
        <v>123826</v>
      </c>
      <c r="GG78" s="2">
        <v>123605</v>
      </c>
      <c r="GH78" s="2">
        <v>126985</v>
      </c>
      <c r="GI78" s="2">
        <v>148116</v>
      </c>
      <c r="GJ78" s="2">
        <v>124867</v>
      </c>
      <c r="GK78" s="2">
        <v>128411</v>
      </c>
      <c r="GL78" s="2">
        <v>121545</v>
      </c>
      <c r="GM78" s="2">
        <v>115930</v>
      </c>
      <c r="GN78" s="2">
        <v>92529</v>
      </c>
      <c r="GO78" s="2">
        <v>117558</v>
      </c>
      <c r="GP78" s="2">
        <v>139216</v>
      </c>
      <c r="GQ78" s="2">
        <v>125031</v>
      </c>
      <c r="GR78" s="2">
        <v>123719</v>
      </c>
      <c r="GS78" s="2">
        <v>123215</v>
      </c>
      <c r="GT78" s="2">
        <v>120610</v>
      </c>
      <c r="GU78" s="2">
        <v>138745</v>
      </c>
      <c r="GV78" s="2">
        <v>134773</v>
      </c>
      <c r="GW78" s="2">
        <v>124116</v>
      </c>
      <c r="GX78" s="2">
        <v>126036</v>
      </c>
      <c r="GY78" s="2">
        <v>119596</v>
      </c>
      <c r="GZ78" s="2">
        <v>121782</v>
      </c>
      <c r="HA78" s="2">
        <v>117076</v>
      </c>
      <c r="HB78" s="2">
        <v>115852</v>
      </c>
      <c r="HC78" s="2">
        <v>114540</v>
      </c>
      <c r="HD78" s="2">
        <v>126616</v>
      </c>
      <c r="HE78" s="2">
        <v>116530</v>
      </c>
      <c r="HF78" s="3">
        <v>117913.1</v>
      </c>
      <c r="HG78" s="3">
        <v>118532.5</v>
      </c>
      <c r="HH78" s="3">
        <v>119127.2</v>
      </c>
      <c r="HI78" s="3">
        <v>119717.7</v>
      </c>
      <c r="HJ78" s="3">
        <v>120257.2</v>
      </c>
      <c r="HK78" s="3">
        <v>120745</v>
      </c>
      <c r="HL78" s="3">
        <v>121179.8</v>
      </c>
      <c r="HM78" s="3">
        <v>121646.6</v>
      </c>
      <c r="HN78" s="3">
        <v>122085</v>
      </c>
      <c r="HO78" s="3">
        <v>122463.2</v>
      </c>
      <c r="HP78" s="3">
        <v>122843.1</v>
      </c>
      <c r="HQ78" s="3">
        <v>123224</v>
      </c>
      <c r="HR78" s="3">
        <v>123605.7</v>
      </c>
      <c r="HS78" s="3">
        <v>124013.9</v>
      </c>
      <c r="HT78" s="3">
        <v>124404.4</v>
      </c>
      <c r="HU78" s="3">
        <v>124796.3</v>
      </c>
      <c r="HV78" s="3">
        <v>125177.1</v>
      </c>
      <c r="HW78" s="3">
        <v>125546.2</v>
      </c>
      <c r="HX78" s="3">
        <v>125916.3</v>
      </c>
      <c r="HY78" s="3">
        <v>126288.2</v>
      </c>
      <c r="HZ78" s="3">
        <v>126673.2</v>
      </c>
      <c r="IA78" s="3">
        <v>127078.6</v>
      </c>
      <c r="IB78" s="3">
        <v>127497.9</v>
      </c>
      <c r="IC78" s="3">
        <v>127956.9</v>
      </c>
      <c r="ID78" s="3">
        <v>128417.60000000001</v>
      </c>
      <c r="IE78" s="3">
        <v>128879.9</v>
      </c>
      <c r="IF78" s="3">
        <v>129343.8</v>
      </c>
      <c r="IG78" s="3">
        <v>129809.5</v>
      </c>
      <c r="IH78" s="3">
        <v>130276.8</v>
      </c>
      <c r="II78" s="3">
        <v>130745.8</v>
      </c>
      <c r="IJ78" s="3">
        <v>131216.5</v>
      </c>
      <c r="IK78" s="3">
        <v>131688.9</v>
      </c>
      <c r="IL78" s="3">
        <v>132162.9</v>
      </c>
      <c r="IM78" s="3">
        <v>132660.9</v>
      </c>
      <c r="IN78" s="3">
        <v>133154.70000000001</v>
      </c>
      <c r="IO78" s="3">
        <v>133638.9</v>
      </c>
      <c r="IP78" s="3">
        <v>134112.70000000001</v>
      </c>
      <c r="IQ78" s="3">
        <v>134608</v>
      </c>
      <c r="IR78" s="3">
        <v>135083.1</v>
      </c>
      <c r="IS78" s="3">
        <v>135552</v>
      </c>
      <c r="IT78" s="3">
        <v>136009.5</v>
      </c>
      <c r="IU78" s="3">
        <v>136480.4</v>
      </c>
      <c r="IV78" s="3">
        <v>136952.6</v>
      </c>
      <c r="IW78" s="3">
        <v>137426</v>
      </c>
      <c r="IX78" s="3">
        <v>137900.6</v>
      </c>
      <c r="IY78" s="3">
        <v>138388.5</v>
      </c>
      <c r="IZ78" s="3">
        <v>138878.1</v>
      </c>
      <c r="JA78" s="3">
        <v>139369.70000000001</v>
      </c>
      <c r="JB78" s="3">
        <v>139863</v>
      </c>
      <c r="JC78" s="3">
        <v>140358.1</v>
      </c>
      <c r="JD78" s="3">
        <v>140855.1</v>
      </c>
      <c r="JE78" s="3">
        <v>141353.9</v>
      </c>
      <c r="JF78" s="3">
        <v>141854.6</v>
      </c>
      <c r="JG78" s="3">
        <v>142368.9</v>
      </c>
      <c r="JH78" s="3">
        <v>142885.29999999999</v>
      </c>
      <c r="JI78" s="3">
        <v>143403.79999999999</v>
      </c>
      <c r="JJ78" s="3">
        <v>143924.5</v>
      </c>
      <c r="JK78" s="3">
        <v>144447.29999999999</v>
      </c>
      <c r="JL78" s="3">
        <v>144972.29999999999</v>
      </c>
      <c r="JM78" s="3">
        <v>145499.4</v>
      </c>
      <c r="JN78" s="3">
        <v>146028.79999999999</v>
      </c>
      <c r="JO78" s="3">
        <v>146574.9</v>
      </c>
      <c r="JP78" s="3">
        <v>147123</v>
      </c>
      <c r="JQ78" s="3">
        <v>147673.29999999999</v>
      </c>
      <c r="JR78" s="3">
        <v>148225.60000000001</v>
      </c>
      <c r="JS78" s="3">
        <v>148762.20000000001</v>
      </c>
      <c r="JT78" s="3">
        <v>149300.6</v>
      </c>
      <c r="JU78" s="3">
        <v>149840.79999999999</v>
      </c>
      <c r="JV78" s="3">
        <v>150382.79999999999</v>
      </c>
      <c r="JW78" s="3">
        <v>150926.6</v>
      </c>
      <c r="JX78" s="3">
        <v>151472.20000000001</v>
      </c>
      <c r="JY78" s="3">
        <v>152019.5</v>
      </c>
      <c r="JZ78" s="3">
        <v>152568.6</v>
      </c>
      <c r="KA78" s="3">
        <v>153119.4</v>
      </c>
      <c r="KB78" s="3">
        <v>153672</v>
      </c>
      <c r="KC78" s="3">
        <v>154226.29999999999</v>
      </c>
      <c r="KD78" s="3">
        <v>154782.29999999999</v>
      </c>
      <c r="KE78" s="3">
        <v>155339.9</v>
      </c>
      <c r="KF78" s="3">
        <v>155899.20000000001</v>
      </c>
      <c r="KG78" s="3">
        <v>156460.20000000001</v>
      </c>
      <c r="KH78" s="3">
        <v>157022.79999999999</v>
      </c>
      <c r="KI78" s="3">
        <v>157587.1</v>
      </c>
      <c r="KJ78" s="3">
        <v>158153.1</v>
      </c>
      <c r="KK78" s="3">
        <v>158720.70000000001</v>
      </c>
      <c r="KL78" s="3">
        <v>159290</v>
      </c>
      <c r="KM78" s="3">
        <v>159860.9</v>
      </c>
      <c r="KN78" s="3">
        <v>160433.5</v>
      </c>
      <c r="KO78" s="3">
        <v>161007.9</v>
      </c>
      <c r="KP78" s="3">
        <v>161583.9</v>
      </c>
      <c r="KQ78" s="3">
        <v>162161.5</v>
      </c>
      <c r="KR78" s="3">
        <v>162740.9</v>
      </c>
      <c r="KS78" s="3">
        <v>163322</v>
      </c>
      <c r="KT78" s="3">
        <v>163904.79999999999</v>
      </c>
      <c r="KU78" s="3">
        <v>164489.29999999999</v>
      </c>
      <c r="KV78" s="3">
        <v>165075.5</v>
      </c>
      <c r="KW78" s="3">
        <v>165663.5</v>
      </c>
      <c r="KX78" s="3">
        <v>166253.1</v>
      </c>
      <c r="KY78" s="3">
        <v>166844.4</v>
      </c>
      <c r="KZ78" s="3">
        <v>167437.5</v>
      </c>
      <c r="LA78" s="3">
        <v>168032.2</v>
      </c>
      <c r="LB78" s="3">
        <v>168628.6</v>
      </c>
      <c r="LC78" s="3">
        <v>169243.5</v>
      </c>
      <c r="LD78" s="3">
        <v>169860</v>
      </c>
      <c r="LE78" s="3">
        <v>170478.2</v>
      </c>
      <c r="LF78" s="3">
        <v>171097.9</v>
      </c>
      <c r="LG78" s="3">
        <v>171678.1</v>
      </c>
      <c r="LH78" s="3">
        <v>172259.5</v>
      </c>
      <c r="LI78" s="3">
        <v>172834.9</v>
      </c>
      <c r="LJ78" s="3">
        <v>173411.4</v>
      </c>
      <c r="LK78" s="3">
        <v>173988.8</v>
      </c>
      <c r="LL78" s="3">
        <v>174567.3</v>
      </c>
      <c r="LM78" s="3">
        <v>175134.5</v>
      </c>
      <c r="LN78" s="3">
        <v>175702.39999999999</v>
      </c>
      <c r="LO78" s="3">
        <v>176271.2</v>
      </c>
      <c r="LP78" s="3">
        <v>176840.7</v>
      </c>
      <c r="LQ78" s="3">
        <v>177411.20000000001</v>
      </c>
      <c r="LR78" s="3">
        <v>177982.5</v>
      </c>
      <c r="LS78" s="3">
        <v>178554.6</v>
      </c>
      <c r="LT78" s="3">
        <v>179127.6</v>
      </c>
      <c r="LU78" s="3">
        <v>179695.5</v>
      </c>
      <c r="LV78" s="3">
        <v>180264</v>
      </c>
      <c r="LW78" s="3">
        <v>180833.3</v>
      </c>
      <c r="LX78" s="3">
        <v>181403.3</v>
      </c>
      <c r="LY78" s="3">
        <v>181969.2</v>
      </c>
      <c r="LZ78" s="3">
        <v>182535.7</v>
      </c>
      <c r="MA78" s="3">
        <v>183102.9</v>
      </c>
      <c r="MB78" s="3">
        <v>183670.6</v>
      </c>
      <c r="MC78" s="3">
        <v>184239.3</v>
      </c>
      <c r="MD78" s="3">
        <v>184808.7</v>
      </c>
      <c r="ME78" s="3">
        <v>185378.7</v>
      </c>
      <c r="MF78" s="3">
        <v>185949.5</v>
      </c>
      <c r="MG78" s="3">
        <v>186527</v>
      </c>
      <c r="MH78" s="3">
        <v>187105.3</v>
      </c>
      <c r="MI78" s="3">
        <v>187684.5</v>
      </c>
      <c r="MJ78" s="3">
        <v>188264.5</v>
      </c>
      <c r="MK78" s="3">
        <v>188843.5</v>
      </c>
      <c r="ML78" s="3">
        <v>189423.4</v>
      </c>
      <c r="MM78" s="3">
        <v>190004</v>
      </c>
      <c r="MN78" s="3">
        <v>190585.5</v>
      </c>
      <c r="MO78" s="3">
        <v>191174.2</v>
      </c>
      <c r="MP78" s="3">
        <v>191763.8</v>
      </c>
      <c r="MQ78" s="3">
        <v>192354.3</v>
      </c>
      <c r="MR78" s="3">
        <v>192945.8</v>
      </c>
      <c r="MS78" s="3">
        <v>193538.2</v>
      </c>
      <c r="MT78" s="3">
        <v>194131.5</v>
      </c>
      <c r="MU78" t="s">
        <v>409</v>
      </c>
      <c r="MV78" t="b">
        <v>1</v>
      </c>
      <c r="MW78" s="1" t="s">
        <v>376</v>
      </c>
      <c r="MX78" t="s">
        <v>377</v>
      </c>
      <c r="MY78">
        <v>2024</v>
      </c>
      <c r="MZ78">
        <v>3</v>
      </c>
      <c r="NA78" t="s">
        <v>377</v>
      </c>
      <c r="NB78" s="1" t="s">
        <v>410</v>
      </c>
      <c r="NC78" s="1" t="s">
        <v>411</v>
      </c>
      <c r="ND78" t="s">
        <v>380</v>
      </c>
      <c r="NE78" t="s">
        <v>412</v>
      </c>
      <c r="NF78" s="1" t="s">
        <v>528</v>
      </c>
    </row>
    <row r="79" spans="1:370" x14ac:dyDescent="0.25">
      <c r="A79" t="s">
        <v>382</v>
      </c>
      <c r="B79" s="1" t="s">
        <v>408</v>
      </c>
      <c r="C79" s="1" t="s">
        <v>527</v>
      </c>
      <c r="D79" t="s">
        <v>383</v>
      </c>
      <c r="E79" t="s">
        <v>384</v>
      </c>
      <c r="F79" t="s">
        <v>374</v>
      </c>
      <c r="G79" s="2">
        <v>36.024999999999999</v>
      </c>
      <c r="H79" s="2">
        <v>34.5</v>
      </c>
      <c r="I79" s="2">
        <v>33.825000000000003</v>
      </c>
      <c r="J79" s="2">
        <v>33.75</v>
      </c>
      <c r="K79" s="2">
        <v>34.049999999999997</v>
      </c>
      <c r="L79" s="2">
        <v>34.35</v>
      </c>
      <c r="M79" s="2">
        <v>33.725000000000001</v>
      </c>
      <c r="N79" s="2">
        <v>32.424999999999997</v>
      </c>
      <c r="O79" s="2">
        <v>28.375</v>
      </c>
      <c r="P79" s="2">
        <v>25.824999999999999</v>
      </c>
      <c r="Q79" s="2">
        <v>28.4</v>
      </c>
      <c r="R79" s="2">
        <v>30.125</v>
      </c>
      <c r="S79" s="2">
        <v>32.924999999999997</v>
      </c>
      <c r="T79" s="2">
        <v>34.225000000000001</v>
      </c>
      <c r="U79" s="2">
        <v>35.524999999999999</v>
      </c>
      <c r="V79" s="2">
        <v>36.4</v>
      </c>
      <c r="W79" s="2">
        <v>36.375</v>
      </c>
      <c r="X79" s="2">
        <v>38.174999999999997</v>
      </c>
      <c r="Y79" s="2">
        <v>37.875</v>
      </c>
      <c r="Z79" s="2">
        <v>39.274999999999999</v>
      </c>
      <c r="AA79" s="2">
        <v>42.6</v>
      </c>
      <c r="AB79" s="2">
        <v>43.774999999999999</v>
      </c>
      <c r="AC79" s="2">
        <v>43.424999999999997</v>
      </c>
      <c r="AD79" s="2">
        <v>44.274999999999999</v>
      </c>
      <c r="AE79" s="2">
        <v>43.524999999999999</v>
      </c>
      <c r="AF79" s="2">
        <v>44.75</v>
      </c>
      <c r="AG79" s="2">
        <v>43.875</v>
      </c>
      <c r="AH79" s="2">
        <v>45.3</v>
      </c>
      <c r="AI79" s="2">
        <v>45.725000000000001</v>
      </c>
      <c r="AJ79" s="2">
        <v>43.65</v>
      </c>
      <c r="AK79" s="2">
        <v>41.225000000000001</v>
      </c>
      <c r="AL79" s="2">
        <v>43.65</v>
      </c>
      <c r="AM79" s="2">
        <v>45.3</v>
      </c>
      <c r="AN79" s="2">
        <v>47.325000000000003</v>
      </c>
      <c r="AO79" s="2">
        <v>47.625</v>
      </c>
      <c r="AP79" s="2">
        <v>49.9</v>
      </c>
      <c r="AQ79" s="2">
        <v>48.125</v>
      </c>
      <c r="AR79" s="2">
        <v>49.125</v>
      </c>
      <c r="AS79" s="2">
        <v>49.625</v>
      </c>
      <c r="AT79" s="2">
        <v>47.2</v>
      </c>
      <c r="AU79" s="2">
        <v>52.174999999999997</v>
      </c>
      <c r="AV79" s="2">
        <v>54.7</v>
      </c>
      <c r="AW79" s="2">
        <v>58.225000000000001</v>
      </c>
      <c r="AX79" s="2">
        <v>64.3</v>
      </c>
      <c r="AY79" s="2">
        <v>69.825000000000003</v>
      </c>
      <c r="AZ79" s="2">
        <v>73.05</v>
      </c>
      <c r="BA79" s="2">
        <v>75.45</v>
      </c>
      <c r="BB79" s="2">
        <v>77.325000000000003</v>
      </c>
      <c r="BC79" s="2">
        <v>77.775000000000006</v>
      </c>
      <c r="BD79" s="2">
        <v>80.275000000000006</v>
      </c>
      <c r="BE79" s="2">
        <v>80.599999999999994</v>
      </c>
      <c r="BF79" s="2">
        <v>83.075000000000003</v>
      </c>
      <c r="BG79" s="2">
        <v>83.724999999999994</v>
      </c>
      <c r="BH79" s="2">
        <v>87.525000000000006</v>
      </c>
      <c r="BI79" s="2">
        <v>88.2</v>
      </c>
      <c r="BJ79" s="2">
        <v>89.6</v>
      </c>
      <c r="BK79" s="2">
        <v>89.15</v>
      </c>
      <c r="BL79" s="2">
        <v>90.974999999999994</v>
      </c>
      <c r="BM79" s="2">
        <v>91.424999999999997</v>
      </c>
      <c r="BN79" s="2">
        <v>93.875</v>
      </c>
      <c r="BO79" s="2">
        <v>93.525000000000006</v>
      </c>
      <c r="BP79" s="2">
        <v>92.2</v>
      </c>
      <c r="BQ79" s="2">
        <v>94.575000000000003</v>
      </c>
      <c r="BR79" s="2">
        <v>97.45</v>
      </c>
      <c r="BS79" s="2">
        <v>97.075000000000003</v>
      </c>
      <c r="BT79" s="2">
        <v>98.45</v>
      </c>
      <c r="BU79" s="2">
        <v>97.474999999999994</v>
      </c>
      <c r="BV79" s="2">
        <v>99.5</v>
      </c>
      <c r="BW79" s="2">
        <v>100.47499999999999</v>
      </c>
      <c r="BX79" s="2">
        <v>101.875</v>
      </c>
      <c r="BY79" s="2">
        <v>101.85</v>
      </c>
      <c r="BZ79" s="2">
        <v>100.65</v>
      </c>
      <c r="CA79" s="2">
        <v>98.174999999999997</v>
      </c>
      <c r="CB79" s="2">
        <v>99.6</v>
      </c>
      <c r="CC79" s="2">
        <v>103.2</v>
      </c>
      <c r="CD79" s="2">
        <v>106.15</v>
      </c>
      <c r="CE79" s="2">
        <v>108</v>
      </c>
      <c r="CF79" s="2">
        <v>111.25</v>
      </c>
      <c r="CG79" s="2">
        <v>113.15</v>
      </c>
      <c r="CH79" s="2">
        <v>115.35</v>
      </c>
      <c r="CI79" s="2">
        <v>118.825</v>
      </c>
      <c r="CJ79" s="2">
        <v>121.9</v>
      </c>
      <c r="CK79" s="2">
        <v>123.75</v>
      </c>
      <c r="CL79" s="2">
        <v>128.27500000000001</v>
      </c>
      <c r="CM79" s="2">
        <v>131.85</v>
      </c>
      <c r="CN79" s="2">
        <v>138.32499999999999</v>
      </c>
      <c r="CO79" s="2">
        <v>142.625</v>
      </c>
      <c r="CP79" s="2">
        <v>148.75</v>
      </c>
      <c r="CQ79" s="2">
        <v>151.92500000000001</v>
      </c>
      <c r="CR79" s="2">
        <v>154.75</v>
      </c>
      <c r="CS79" s="2">
        <v>154.42500000000001</v>
      </c>
      <c r="CT79" s="2">
        <v>156.19999999999999</v>
      </c>
      <c r="CU79" s="2">
        <v>161.82499999999999</v>
      </c>
      <c r="CV79" s="2">
        <v>165.95</v>
      </c>
      <c r="CW79" s="2">
        <v>171.85</v>
      </c>
      <c r="CX79" s="2">
        <v>176.02500000000001</v>
      </c>
      <c r="CY79" s="2">
        <v>184.32499999999999</v>
      </c>
      <c r="CZ79" s="2">
        <v>192.22499999999999</v>
      </c>
      <c r="DA79" s="2">
        <v>199.55</v>
      </c>
      <c r="DB79" s="2">
        <v>203.72499999999999</v>
      </c>
      <c r="DC79" s="2">
        <v>211.55</v>
      </c>
      <c r="DD79" s="2">
        <v>216.8</v>
      </c>
      <c r="DE79" s="2">
        <v>219.17500000000001</v>
      </c>
      <c r="DF79" s="2">
        <v>227.55</v>
      </c>
      <c r="DG79" s="2">
        <v>233.92500000000001</v>
      </c>
      <c r="DH79" s="2">
        <v>242.75</v>
      </c>
      <c r="DI79" s="2">
        <v>252.65</v>
      </c>
      <c r="DJ79" s="2">
        <v>261.02499999999998</v>
      </c>
      <c r="DK79" s="2">
        <v>270.27499999999998</v>
      </c>
      <c r="DL79" s="2">
        <v>279.39999999999998</v>
      </c>
      <c r="DM79" s="2">
        <v>289.75</v>
      </c>
      <c r="DN79" s="2">
        <v>289.39999999999998</v>
      </c>
      <c r="DO79" s="2">
        <v>282.39999999999998</v>
      </c>
      <c r="DP79" s="2">
        <v>271.47500000000002</v>
      </c>
      <c r="DQ79" s="2">
        <v>266.92500000000001</v>
      </c>
      <c r="DR79" s="2">
        <v>263.8</v>
      </c>
      <c r="DS79" s="2">
        <v>270.10000000000002</v>
      </c>
      <c r="DT79" s="2">
        <v>282.47500000000002</v>
      </c>
      <c r="DU79" s="2">
        <v>288.45</v>
      </c>
      <c r="DV79" s="2">
        <v>290.75</v>
      </c>
      <c r="DW79" s="2">
        <v>291.85000000000002</v>
      </c>
      <c r="DX79" s="2">
        <v>297.27499999999998</v>
      </c>
      <c r="DY79" s="2">
        <v>299.27499999999998</v>
      </c>
      <c r="DZ79" s="2">
        <v>311.625</v>
      </c>
      <c r="EA79" s="2">
        <v>318.97500000000002</v>
      </c>
      <c r="EB79" s="2">
        <v>335.375</v>
      </c>
      <c r="EC79" s="2">
        <v>340.15</v>
      </c>
      <c r="ED79" s="2">
        <v>347.52499999999998</v>
      </c>
      <c r="EE79" s="2">
        <v>353.27499999999998</v>
      </c>
      <c r="EF79" s="2">
        <v>359.52499999999998</v>
      </c>
      <c r="EG79" s="2">
        <v>361.35</v>
      </c>
      <c r="EH79" s="2">
        <v>373.3</v>
      </c>
      <c r="EI79" s="2">
        <v>384.47500000000002</v>
      </c>
      <c r="EJ79" s="2">
        <v>388.72500000000002</v>
      </c>
      <c r="EK79" s="2">
        <v>390.82499999999999</v>
      </c>
      <c r="EL79" s="2">
        <v>394.27499999999998</v>
      </c>
      <c r="EM79" s="2">
        <v>399.45</v>
      </c>
      <c r="EN79" s="2">
        <v>400.5</v>
      </c>
      <c r="EO79" s="2">
        <v>403.92500000000001</v>
      </c>
      <c r="EP79" s="2">
        <v>398.55</v>
      </c>
      <c r="EQ79" s="2">
        <v>399.95</v>
      </c>
      <c r="ER79" s="2">
        <v>399.17500000000001</v>
      </c>
      <c r="ES79" s="2">
        <v>391.55</v>
      </c>
      <c r="ET79" s="2">
        <v>359.9</v>
      </c>
      <c r="EU79" s="2">
        <v>314.7</v>
      </c>
      <c r="EV79" s="2">
        <v>302.02499999999998</v>
      </c>
      <c r="EW79" s="2">
        <v>321.625</v>
      </c>
      <c r="EX79" s="2">
        <v>345.95</v>
      </c>
      <c r="EY79" s="2">
        <v>356.22500000000002</v>
      </c>
      <c r="EZ79" s="2">
        <v>376.35</v>
      </c>
      <c r="FA79" s="2">
        <v>392.77499999999998</v>
      </c>
      <c r="FB79" s="2">
        <v>400.65</v>
      </c>
      <c r="FC79" s="2">
        <v>401.92500000000001</v>
      </c>
      <c r="FD79" s="2">
        <v>404.17500000000001</v>
      </c>
      <c r="FE79" s="2">
        <v>412</v>
      </c>
      <c r="FF79" s="2">
        <v>420.625</v>
      </c>
      <c r="FG79" s="2">
        <v>429.8</v>
      </c>
      <c r="FH79" s="2">
        <v>431.22500000000002</v>
      </c>
      <c r="FI79" s="2">
        <v>435.42500000000001</v>
      </c>
      <c r="FJ79" s="2">
        <v>433.02499999999998</v>
      </c>
      <c r="FK79" s="2">
        <v>438.9</v>
      </c>
      <c r="FL79" s="2">
        <v>446.77499999999998</v>
      </c>
      <c r="FM79" s="2">
        <v>451.85</v>
      </c>
      <c r="FN79" s="2">
        <v>457.95</v>
      </c>
      <c r="FO79" s="2">
        <v>463.72500000000002</v>
      </c>
      <c r="FP79" s="2">
        <v>483.27499999999998</v>
      </c>
      <c r="FQ79" s="2">
        <v>485.875</v>
      </c>
      <c r="FR79" s="2">
        <v>496.6</v>
      </c>
      <c r="FS79" s="2">
        <v>508.65</v>
      </c>
      <c r="FT79" s="2">
        <v>513.6</v>
      </c>
      <c r="FU79" s="2">
        <v>515.75</v>
      </c>
      <c r="FV79" s="2">
        <v>514.47500000000002</v>
      </c>
      <c r="FW79" s="2">
        <v>513.42499999999995</v>
      </c>
      <c r="FX79" s="2">
        <v>513.95000000000005</v>
      </c>
      <c r="FY79" s="2">
        <v>515.32500000000005</v>
      </c>
      <c r="FZ79" s="2">
        <v>526.92499999999995</v>
      </c>
      <c r="GA79" s="2">
        <v>532.29999999999995</v>
      </c>
      <c r="GB79" s="2">
        <v>539.97500000000002</v>
      </c>
      <c r="GC79" s="2">
        <v>539.22500000000002</v>
      </c>
      <c r="GD79" s="2">
        <v>560.97500000000002</v>
      </c>
      <c r="GE79" s="2">
        <v>568.9</v>
      </c>
      <c r="GF79" s="2">
        <v>569.25</v>
      </c>
      <c r="GG79" s="2">
        <v>578.42499999999995</v>
      </c>
      <c r="GH79" s="2">
        <v>588.4</v>
      </c>
      <c r="GI79" s="2">
        <v>584.77499999999998</v>
      </c>
      <c r="GJ79" s="2">
        <v>587.79999999999995</v>
      </c>
      <c r="GK79" s="2">
        <v>586.1</v>
      </c>
      <c r="GL79" s="2">
        <v>573</v>
      </c>
      <c r="GM79" s="2">
        <v>558.02499999999998</v>
      </c>
      <c r="GN79" s="2">
        <v>473.92500000000001</v>
      </c>
      <c r="GO79" s="2">
        <v>568.125</v>
      </c>
      <c r="GP79" s="2">
        <v>609.22500000000002</v>
      </c>
      <c r="GQ79" s="2">
        <v>621.125</v>
      </c>
      <c r="GR79" s="2">
        <v>627.9</v>
      </c>
      <c r="GS79" s="2">
        <v>627.82500000000005</v>
      </c>
      <c r="GT79" s="2">
        <v>662.45</v>
      </c>
      <c r="GU79" s="2">
        <v>688.27499999999998</v>
      </c>
      <c r="GV79" s="2">
        <v>695.375</v>
      </c>
      <c r="GW79" s="2">
        <v>676.75</v>
      </c>
      <c r="GX79" s="2">
        <v>669.2</v>
      </c>
      <c r="GY79" s="2">
        <v>667.9</v>
      </c>
      <c r="GZ79" s="2">
        <v>661.85</v>
      </c>
      <c r="HA79" s="2">
        <v>668.77499999999998</v>
      </c>
      <c r="HB79" s="2">
        <v>671.47500000000002</v>
      </c>
      <c r="HC79" s="2">
        <v>685.625</v>
      </c>
      <c r="HD79" s="2">
        <v>698.9</v>
      </c>
      <c r="HE79" s="2">
        <v>718.95</v>
      </c>
      <c r="HF79" s="3">
        <v>714.96270000000004</v>
      </c>
      <c r="HG79" s="3">
        <v>727.23500000000001</v>
      </c>
      <c r="HH79" s="3">
        <v>741.36620000000005</v>
      </c>
      <c r="HI79" s="3">
        <v>755.83879999999999</v>
      </c>
      <c r="HJ79" s="3">
        <v>769.19290000000001</v>
      </c>
      <c r="HK79" s="3">
        <v>777.25</v>
      </c>
      <c r="HL79" s="3">
        <v>781.48889999999994</v>
      </c>
      <c r="HM79" s="3">
        <v>782.87339999999995</v>
      </c>
      <c r="HN79" s="3">
        <v>784.12080000000003</v>
      </c>
      <c r="HO79" s="3">
        <v>786.35410000000002</v>
      </c>
      <c r="HP79" s="3">
        <v>789.85929999999996</v>
      </c>
      <c r="HQ79" s="3">
        <v>794.61109999999996</v>
      </c>
      <c r="HR79" s="3">
        <v>800.28250000000003</v>
      </c>
      <c r="HS79" s="3">
        <v>806.66139999999996</v>
      </c>
      <c r="HT79" s="3">
        <v>813.66030000000001</v>
      </c>
      <c r="HU79" s="3">
        <v>821.30470000000003</v>
      </c>
      <c r="HV79" s="3">
        <v>829.49680000000001</v>
      </c>
      <c r="HW79" s="3">
        <v>838.13130000000001</v>
      </c>
      <c r="HX79" s="3">
        <v>847.07449999999994</v>
      </c>
      <c r="HY79" s="3">
        <v>856.09690000000001</v>
      </c>
      <c r="HZ79" s="3">
        <v>865.10929999999996</v>
      </c>
      <c r="IA79" s="3">
        <v>874.02589999999998</v>
      </c>
      <c r="IB79" s="3">
        <v>882.80719999999997</v>
      </c>
      <c r="IC79" s="3">
        <v>891.44690000000003</v>
      </c>
      <c r="ID79" s="3">
        <v>899.93899999999996</v>
      </c>
      <c r="IE79" s="3">
        <v>908.27750000000003</v>
      </c>
      <c r="IF79" s="3">
        <v>916.45650000000001</v>
      </c>
      <c r="IG79" s="3">
        <v>924.47529999999995</v>
      </c>
      <c r="IH79" s="3">
        <v>932.35220000000004</v>
      </c>
      <c r="II79" s="3">
        <v>940.08420000000001</v>
      </c>
      <c r="IJ79" s="3">
        <v>947.71950000000004</v>
      </c>
      <c r="IK79" s="3">
        <v>955.25400000000002</v>
      </c>
      <c r="IL79" s="3">
        <v>962.6857</v>
      </c>
      <c r="IM79" s="3">
        <v>970.00900000000001</v>
      </c>
      <c r="IN79" s="3">
        <v>977.22280000000001</v>
      </c>
      <c r="IO79" s="3">
        <v>984.32240000000002</v>
      </c>
      <c r="IP79" s="3">
        <v>991.30510000000004</v>
      </c>
      <c r="IQ79" s="3">
        <v>998.16690000000006</v>
      </c>
      <c r="IR79" s="3">
        <v>1004.905</v>
      </c>
      <c r="IS79" s="3">
        <v>1011.515</v>
      </c>
      <c r="IT79" s="3">
        <v>1017.995</v>
      </c>
      <c r="IU79" s="3">
        <v>1024.3409999999999</v>
      </c>
      <c r="IV79" s="3">
        <v>1030.5509999999999</v>
      </c>
      <c r="IW79" s="3">
        <v>1036.6199999999999</v>
      </c>
      <c r="IX79" s="3">
        <v>1042.547</v>
      </c>
      <c r="IY79" s="3">
        <v>1048.2539999999999</v>
      </c>
      <c r="IZ79" s="3">
        <v>1054.011</v>
      </c>
      <c r="JA79" s="3">
        <v>1059.771</v>
      </c>
      <c r="JB79" s="3">
        <v>1065.5440000000001</v>
      </c>
      <c r="JC79" s="3">
        <v>1071.329</v>
      </c>
      <c r="JD79" s="3">
        <v>1077.1300000000001</v>
      </c>
      <c r="JE79" s="3">
        <v>1082.9649999999999</v>
      </c>
      <c r="JF79" s="3">
        <v>1088.79</v>
      </c>
      <c r="JG79" s="3">
        <v>1094.6369999999999</v>
      </c>
      <c r="JH79" s="3">
        <v>1100.5</v>
      </c>
      <c r="JI79" s="3">
        <v>1106.3889999999999</v>
      </c>
      <c r="JJ79" s="3">
        <v>1112.296</v>
      </c>
      <c r="JK79" s="3">
        <v>1118.229</v>
      </c>
      <c r="JL79" s="3">
        <v>1124.184</v>
      </c>
      <c r="JM79" s="3">
        <v>1130.1320000000001</v>
      </c>
      <c r="JN79" s="3">
        <v>1136.1199999999999</v>
      </c>
      <c r="JO79" s="3">
        <v>1142.123</v>
      </c>
      <c r="JP79" s="3">
        <v>1148.1420000000001</v>
      </c>
      <c r="JQ79" s="3">
        <v>1154.174</v>
      </c>
      <c r="JR79" s="3">
        <v>1160.229</v>
      </c>
      <c r="JS79" s="3">
        <v>1166.3119999999999</v>
      </c>
      <c r="JT79" s="3">
        <v>1172.4100000000001</v>
      </c>
      <c r="JU79" s="3">
        <v>1178.538</v>
      </c>
      <c r="JV79" s="3">
        <v>1184.6859999999999</v>
      </c>
      <c r="JW79" s="3">
        <v>1190.8530000000001</v>
      </c>
      <c r="JX79" s="3">
        <v>1197.0429999999999</v>
      </c>
      <c r="JY79" s="3">
        <v>1203.251</v>
      </c>
      <c r="JZ79" s="3">
        <v>1209.4839999999999</v>
      </c>
      <c r="KA79" s="3">
        <v>1215.7550000000001</v>
      </c>
      <c r="KB79" s="3">
        <v>1222.0519999999999</v>
      </c>
      <c r="KC79" s="3">
        <v>1228.367</v>
      </c>
      <c r="KD79" s="3">
        <v>1234.7139999999999</v>
      </c>
      <c r="KE79" s="3">
        <v>1241.086</v>
      </c>
      <c r="KF79" s="3">
        <v>1247.471</v>
      </c>
      <c r="KG79" s="3">
        <v>1253.883</v>
      </c>
      <c r="KH79" s="3">
        <v>1260.3219999999999</v>
      </c>
      <c r="KI79" s="3">
        <v>1266.7650000000001</v>
      </c>
      <c r="KJ79" s="3">
        <v>1273.2370000000001</v>
      </c>
      <c r="KK79" s="3">
        <v>1279.7139999999999</v>
      </c>
      <c r="KL79" s="3">
        <v>1286.2260000000001</v>
      </c>
      <c r="KM79" s="3">
        <v>1292.7650000000001</v>
      </c>
      <c r="KN79" s="3">
        <v>1299.318</v>
      </c>
      <c r="KO79" s="3">
        <v>1305.8879999999999</v>
      </c>
      <c r="KP79" s="3">
        <v>1312.498</v>
      </c>
      <c r="KQ79" s="3">
        <v>1319.1189999999999</v>
      </c>
      <c r="KR79" s="3">
        <v>1325.7550000000001</v>
      </c>
      <c r="KS79" s="3">
        <v>1332.415</v>
      </c>
      <c r="KT79" s="3">
        <v>1339.105</v>
      </c>
      <c r="KU79" s="3">
        <v>1345.8119999999999</v>
      </c>
      <c r="KV79" s="3">
        <v>1352.556</v>
      </c>
      <c r="KW79" s="3">
        <v>1359.288</v>
      </c>
      <c r="KX79" s="3">
        <v>1366.08</v>
      </c>
      <c r="KY79" s="3">
        <v>1372.8789999999999</v>
      </c>
      <c r="KZ79" s="3">
        <v>1379.675</v>
      </c>
      <c r="LA79" s="3">
        <v>1386.509</v>
      </c>
      <c r="LB79" s="3">
        <v>1393.3579999999999</v>
      </c>
      <c r="LC79" s="3">
        <v>1400.2529999999999</v>
      </c>
      <c r="LD79" s="3">
        <v>1407.163</v>
      </c>
      <c r="LE79" s="3">
        <v>1414.075</v>
      </c>
      <c r="LF79" s="3">
        <v>1421.038</v>
      </c>
      <c r="LG79" s="3">
        <v>1428.018</v>
      </c>
      <c r="LH79" s="3">
        <v>1435.0309999999999</v>
      </c>
      <c r="LI79" s="3">
        <v>1442.0740000000001</v>
      </c>
      <c r="LJ79" s="3">
        <v>1449.1420000000001</v>
      </c>
      <c r="LK79" s="3">
        <v>1456.25</v>
      </c>
      <c r="LL79" s="3">
        <v>1463.375</v>
      </c>
      <c r="LM79" s="3">
        <v>1470.546</v>
      </c>
      <c r="LN79" s="3">
        <v>1477.739</v>
      </c>
      <c r="LO79" s="3">
        <v>1484.96</v>
      </c>
      <c r="LP79" s="3">
        <v>1492.2170000000001</v>
      </c>
      <c r="LQ79" s="3">
        <v>1499.5129999999999</v>
      </c>
      <c r="LR79" s="3">
        <v>1506.825</v>
      </c>
      <c r="LS79" s="3">
        <v>1514.1780000000001</v>
      </c>
      <c r="LT79" s="3">
        <v>1521.546</v>
      </c>
      <c r="LU79" s="3">
        <v>1528.9639999999999</v>
      </c>
      <c r="LV79" s="3">
        <v>1536.405</v>
      </c>
      <c r="LW79" s="3">
        <v>1543.875</v>
      </c>
      <c r="LX79" s="3">
        <v>1551.39</v>
      </c>
      <c r="LY79" s="3">
        <v>1558.9290000000001</v>
      </c>
      <c r="LZ79" s="3">
        <v>1566.489</v>
      </c>
      <c r="MA79" s="3">
        <v>1574.0940000000001</v>
      </c>
      <c r="MB79" s="3">
        <v>1581.722</v>
      </c>
      <c r="MC79" s="3">
        <v>1589.3920000000001</v>
      </c>
      <c r="MD79" s="3">
        <v>1597.0920000000001</v>
      </c>
      <c r="ME79" s="3">
        <v>1604.825</v>
      </c>
      <c r="MF79" s="3">
        <v>1612.5909999999999</v>
      </c>
      <c r="MG79" s="3">
        <v>1620.395</v>
      </c>
      <c r="MH79" s="3">
        <v>1628.239</v>
      </c>
      <c r="MI79" s="3">
        <v>1636.11</v>
      </c>
      <c r="MJ79" s="3">
        <v>1644.021</v>
      </c>
      <c r="MK79" s="3">
        <v>1651.9659999999999</v>
      </c>
      <c r="ML79" s="3">
        <v>1659.94</v>
      </c>
      <c r="MM79" s="3">
        <v>1667.9580000000001</v>
      </c>
      <c r="MN79" s="3">
        <v>1676.0039999999999</v>
      </c>
      <c r="MO79" s="3">
        <v>1684.0889999999999</v>
      </c>
      <c r="MP79" s="3">
        <v>1692.2149999999999</v>
      </c>
      <c r="MQ79" s="3">
        <v>1700.3720000000001</v>
      </c>
      <c r="MR79" s="3">
        <v>1708.5640000000001</v>
      </c>
      <c r="MS79" s="3">
        <v>1716.7919999999999</v>
      </c>
      <c r="MT79" s="3">
        <v>1725.0519999999999</v>
      </c>
      <c r="MU79" t="s">
        <v>413</v>
      </c>
      <c r="MV79" t="b">
        <v>1</v>
      </c>
      <c r="MW79" s="1" t="s">
        <v>386</v>
      </c>
      <c r="MX79" t="s">
        <v>377</v>
      </c>
      <c r="MY79">
        <v>2024</v>
      </c>
      <c r="MZ79">
        <v>3</v>
      </c>
      <c r="NA79" t="s">
        <v>377</v>
      </c>
      <c r="NB79" s="1" t="s">
        <v>414</v>
      </c>
      <c r="NC79" s="1" t="s">
        <v>415</v>
      </c>
      <c r="ND79" t="s">
        <v>389</v>
      </c>
      <c r="NE79" t="s">
        <v>412</v>
      </c>
      <c r="NF79" s="1" t="s">
        <v>528</v>
      </c>
    </row>
    <row r="80" spans="1:370" x14ac:dyDescent="0.25">
      <c r="A80" t="s">
        <v>370</v>
      </c>
      <c r="B80" t="s">
        <v>416</v>
      </c>
      <c r="C80" s="1" t="s">
        <v>527</v>
      </c>
      <c r="D80" t="s">
        <v>417</v>
      </c>
      <c r="E80" t="s">
        <v>377</v>
      </c>
      <c r="F80" t="s">
        <v>374</v>
      </c>
      <c r="G80" s="2">
        <v>11.88749</v>
      </c>
      <c r="H80" s="2">
        <v>12.304600000000001</v>
      </c>
      <c r="I80" s="2">
        <v>12.51315</v>
      </c>
      <c r="J80" s="2">
        <v>13.008459999999999</v>
      </c>
      <c r="K80" s="2">
        <v>13.47771</v>
      </c>
      <c r="L80" s="2">
        <v>14.23371</v>
      </c>
      <c r="M80" s="2">
        <v>14.572609999999999</v>
      </c>
      <c r="N80" s="2">
        <v>15.250400000000001</v>
      </c>
      <c r="O80" s="2">
        <v>16.058540000000001</v>
      </c>
      <c r="P80" s="2">
        <v>17.466270000000002</v>
      </c>
      <c r="Q80" s="2">
        <v>18.222280000000001</v>
      </c>
      <c r="R80" s="2">
        <v>18.847930000000002</v>
      </c>
      <c r="S80" s="2">
        <v>19.42145</v>
      </c>
      <c r="T80" s="2">
        <v>20.125319999999999</v>
      </c>
      <c r="U80" s="2">
        <v>20.594560000000001</v>
      </c>
      <c r="V80" s="2">
        <v>21.506979999999999</v>
      </c>
      <c r="W80" s="2">
        <v>22.471530000000001</v>
      </c>
      <c r="X80" s="2">
        <v>23.410019999999999</v>
      </c>
      <c r="Y80" s="2">
        <v>23.82713</v>
      </c>
      <c r="Z80" s="2">
        <v>24.139949999999999</v>
      </c>
      <c r="AA80" s="2">
        <v>24.452780000000001</v>
      </c>
      <c r="AB80" s="2">
        <v>25.078440000000001</v>
      </c>
      <c r="AC80" s="2">
        <v>25.469480000000001</v>
      </c>
      <c r="AD80" s="2">
        <v>25.860510000000001</v>
      </c>
      <c r="AE80" s="2">
        <v>26.43403</v>
      </c>
      <c r="AF80" s="2">
        <v>27.268239999999999</v>
      </c>
      <c r="AG80" s="2">
        <v>28.910589999999999</v>
      </c>
      <c r="AH80" s="2">
        <v>29.718730000000001</v>
      </c>
      <c r="AI80" s="2">
        <v>30.605080000000001</v>
      </c>
      <c r="AJ80" s="2">
        <v>32.247430000000001</v>
      </c>
      <c r="AK80" s="2">
        <v>32.951300000000003</v>
      </c>
      <c r="AL80" s="2">
        <v>33.550879999999999</v>
      </c>
      <c r="AM80" s="2">
        <v>34.385100000000001</v>
      </c>
      <c r="AN80" s="2">
        <v>36.079590000000003</v>
      </c>
      <c r="AO80" s="2">
        <v>36.731310000000001</v>
      </c>
      <c r="AP80" s="2">
        <v>37.435180000000003</v>
      </c>
      <c r="AQ80" s="2">
        <v>37.878349999999998</v>
      </c>
      <c r="AR80" s="2">
        <v>39.181800000000003</v>
      </c>
      <c r="AS80" s="2">
        <v>39.416420000000002</v>
      </c>
      <c r="AT80" s="2">
        <v>39.885669999999998</v>
      </c>
      <c r="AU80" s="2">
        <v>40.172429999999999</v>
      </c>
      <c r="AV80" s="2">
        <v>40.85022</v>
      </c>
      <c r="AW80" s="2">
        <v>41.293399999999998</v>
      </c>
      <c r="AX80" s="2">
        <v>41.762639999999998</v>
      </c>
      <c r="AY80" s="2">
        <v>41.86692</v>
      </c>
      <c r="AZ80" s="2">
        <v>42.779339999999998</v>
      </c>
      <c r="BA80" s="2">
        <v>42.98789</v>
      </c>
      <c r="BB80" s="2">
        <v>43.431060000000002</v>
      </c>
      <c r="BC80" s="2">
        <v>43.874229999999997</v>
      </c>
      <c r="BD80" s="2">
        <v>44.995199999999997</v>
      </c>
      <c r="BE80" s="2">
        <v>45.125549999999997</v>
      </c>
      <c r="BF80" s="2">
        <v>45.490519999999997</v>
      </c>
      <c r="BG80" s="2">
        <v>45.646929999999998</v>
      </c>
      <c r="BH80" s="2">
        <v>46.3508</v>
      </c>
      <c r="BI80" s="2">
        <v>46.533279999999998</v>
      </c>
      <c r="BJ80" s="2">
        <v>46.924320000000002</v>
      </c>
      <c r="BK80" s="2">
        <v>47.237139999999997</v>
      </c>
      <c r="BL80" s="2">
        <v>47.836730000000003</v>
      </c>
      <c r="BM80" s="2">
        <v>47.888869999999997</v>
      </c>
      <c r="BN80" s="2">
        <v>48.436320000000002</v>
      </c>
      <c r="BO80" s="2">
        <v>48.566670000000002</v>
      </c>
      <c r="BP80" s="2">
        <v>49.5</v>
      </c>
      <c r="BQ80" s="2">
        <v>49.9</v>
      </c>
      <c r="BR80" s="2">
        <v>50.466670000000001</v>
      </c>
      <c r="BS80" s="2">
        <v>51</v>
      </c>
      <c r="BT80" s="2">
        <v>52.133339999999997</v>
      </c>
      <c r="BU80" s="2">
        <v>52.466670000000001</v>
      </c>
      <c r="BV80" s="2">
        <v>53.266669999999998</v>
      </c>
      <c r="BW80" s="2">
        <v>53.933329999999998</v>
      </c>
      <c r="BX80" s="2">
        <v>55.6</v>
      </c>
      <c r="BY80" s="2">
        <v>56.4</v>
      </c>
      <c r="BZ80" s="2">
        <v>57.466670000000001</v>
      </c>
      <c r="CA80" s="2">
        <v>57.666670000000003</v>
      </c>
      <c r="CB80" s="2">
        <v>60.266669999999998</v>
      </c>
      <c r="CC80" s="2">
        <v>60.833329999999997</v>
      </c>
      <c r="CD80" s="2">
        <v>61.466670000000001</v>
      </c>
      <c r="CE80" s="2">
        <v>61.7</v>
      </c>
      <c r="CF80" s="2">
        <v>62.833329999999997</v>
      </c>
      <c r="CG80" s="2">
        <v>62.733330000000002</v>
      </c>
      <c r="CH80" s="2">
        <v>63.133339999999997</v>
      </c>
      <c r="CI80" s="2">
        <v>63.2</v>
      </c>
      <c r="CJ80" s="2">
        <v>64.433329999999998</v>
      </c>
      <c r="CK80" s="2">
        <v>64.5</v>
      </c>
      <c r="CL80" s="2">
        <v>64.666659999999993</v>
      </c>
      <c r="CM80" s="2">
        <v>64.766670000000005</v>
      </c>
      <c r="CN80" s="2">
        <v>65.7</v>
      </c>
      <c r="CO80" s="2">
        <v>65.633330000000001</v>
      </c>
      <c r="CP80" s="2">
        <v>65.8</v>
      </c>
      <c r="CQ80" s="2">
        <v>66.333340000000007</v>
      </c>
      <c r="CR80" s="2">
        <v>67.266670000000005</v>
      </c>
      <c r="CS80" s="2">
        <v>67.400000000000006</v>
      </c>
      <c r="CT80" s="2">
        <v>67.733329999999995</v>
      </c>
      <c r="CU80" s="2">
        <v>68.099999999999994</v>
      </c>
      <c r="CV80" s="2">
        <v>68.866669999999999</v>
      </c>
      <c r="CW80" s="2">
        <v>68.933329999999998</v>
      </c>
      <c r="CX80" s="2">
        <v>69.366669999999999</v>
      </c>
      <c r="CY80" s="2">
        <v>69.366669999999999</v>
      </c>
      <c r="CZ80" s="2">
        <v>70</v>
      </c>
      <c r="DA80" s="2">
        <v>70.266670000000005</v>
      </c>
      <c r="DB80" s="2">
        <v>70.633330000000001</v>
      </c>
      <c r="DC80" s="2">
        <v>70.5</v>
      </c>
      <c r="DD80" s="2">
        <v>71.266670000000005</v>
      </c>
      <c r="DE80" s="2">
        <v>71.233329999999995</v>
      </c>
      <c r="DF80" s="2">
        <v>71.633330000000001</v>
      </c>
      <c r="DG80" s="2">
        <v>71.599999999999994</v>
      </c>
      <c r="DH80" s="2">
        <v>72.3</v>
      </c>
      <c r="DI80" s="2">
        <v>72.133330000000001</v>
      </c>
      <c r="DJ80" s="2">
        <v>72.433329999999998</v>
      </c>
      <c r="DK80" s="2">
        <v>72.133330000000001</v>
      </c>
      <c r="DL80" s="2">
        <v>72.766670000000005</v>
      </c>
      <c r="DM80" s="2">
        <v>72.7</v>
      </c>
      <c r="DN80" s="2">
        <v>73.166659999999993</v>
      </c>
      <c r="DO80" s="2">
        <v>72.766670000000005</v>
      </c>
      <c r="DP80" s="2">
        <v>73.833340000000007</v>
      </c>
      <c r="DQ80" s="2">
        <v>73.866669999999999</v>
      </c>
      <c r="DR80" s="2">
        <v>73.900000000000006</v>
      </c>
      <c r="DS80" s="2">
        <v>73.866669999999999</v>
      </c>
      <c r="DT80" s="2">
        <v>74.533330000000007</v>
      </c>
      <c r="DU80" s="2">
        <v>74.599999999999994</v>
      </c>
      <c r="DV80" s="2">
        <v>75</v>
      </c>
      <c r="DW80" s="2">
        <v>75</v>
      </c>
      <c r="DX80" s="2">
        <v>75.466669999999993</v>
      </c>
      <c r="DY80" s="2">
        <v>75.599999999999994</v>
      </c>
      <c r="DZ80" s="2">
        <v>76.033330000000007</v>
      </c>
      <c r="EA80" s="2">
        <v>75.966669999999993</v>
      </c>
      <c r="EB80" s="2">
        <v>76.533330000000007</v>
      </c>
      <c r="EC80" s="2">
        <v>76.566670000000002</v>
      </c>
      <c r="ED80" s="2">
        <v>77.099999999999994</v>
      </c>
      <c r="EE80" s="2">
        <v>77.233329999999995</v>
      </c>
      <c r="EF80" s="2">
        <v>78</v>
      </c>
      <c r="EG80" s="2">
        <v>78.400000000000006</v>
      </c>
      <c r="EH80" s="2">
        <v>78.766670000000005</v>
      </c>
      <c r="EI80" s="2">
        <v>78.733329999999995</v>
      </c>
      <c r="EJ80" s="2">
        <v>79.8</v>
      </c>
      <c r="EK80" s="2">
        <v>80.3</v>
      </c>
      <c r="EL80" s="2">
        <v>80.900000000000006</v>
      </c>
      <c r="EM80" s="2">
        <v>81</v>
      </c>
      <c r="EN80" s="2">
        <v>81.8</v>
      </c>
      <c r="EO80" s="2">
        <v>81.733329999999995</v>
      </c>
      <c r="EP80" s="2">
        <v>82.6</v>
      </c>
      <c r="EQ80" s="2">
        <v>82.933329999999998</v>
      </c>
      <c r="ER80" s="2">
        <v>84.6</v>
      </c>
      <c r="ES80" s="2">
        <v>85.633330000000001</v>
      </c>
      <c r="ET80" s="2">
        <v>85.733329999999995</v>
      </c>
      <c r="EU80" s="2">
        <v>85.433329999999998</v>
      </c>
      <c r="EV80" s="2">
        <v>86.366669999999999</v>
      </c>
      <c r="EW80" s="2">
        <v>86.933329999999998</v>
      </c>
      <c r="EX80" s="2">
        <v>87.566670000000002</v>
      </c>
      <c r="EY80" s="2">
        <v>88.233329999999995</v>
      </c>
      <c r="EZ80" s="2">
        <v>89.366669999999999</v>
      </c>
      <c r="FA80" s="2">
        <v>89.633330000000001</v>
      </c>
      <c r="FB80" s="2">
        <v>90.5</v>
      </c>
      <c r="FC80" s="2">
        <v>91.833340000000007</v>
      </c>
      <c r="FD80" s="2">
        <v>93.3</v>
      </c>
      <c r="FE80" s="2">
        <v>93.833340000000007</v>
      </c>
      <c r="FF80" s="2">
        <v>94.733329999999995</v>
      </c>
      <c r="FG80" s="2">
        <v>95.033330000000007</v>
      </c>
      <c r="FH80" s="2">
        <v>95.8</v>
      </c>
      <c r="FI80" s="2">
        <v>96.066670000000002</v>
      </c>
      <c r="FJ80" s="2">
        <v>97.266670000000005</v>
      </c>
      <c r="FK80" s="2">
        <v>97.666659999999993</v>
      </c>
      <c r="FL80" s="2">
        <v>98.366669999999999</v>
      </c>
      <c r="FM80" s="2">
        <v>98.7</v>
      </c>
      <c r="FN80" s="2">
        <v>99.3</v>
      </c>
      <c r="FO80" s="2">
        <v>99.4</v>
      </c>
      <c r="FP80" s="2">
        <v>100.1</v>
      </c>
      <c r="FQ80" s="2">
        <v>100.13330000000001</v>
      </c>
      <c r="FR80" s="2">
        <v>100.2</v>
      </c>
      <c r="FS80" s="2">
        <v>99.5</v>
      </c>
      <c r="FT80" s="2">
        <v>100.0667</v>
      </c>
      <c r="FU80" s="2">
        <v>100.16670000000001</v>
      </c>
      <c r="FV80" s="2">
        <v>100.3</v>
      </c>
      <c r="FW80" s="2">
        <v>99.833340000000007</v>
      </c>
      <c r="FX80" s="2">
        <v>100.4</v>
      </c>
      <c r="FY80" s="2">
        <v>100.86669999999999</v>
      </c>
      <c r="FZ80" s="2">
        <v>101.5</v>
      </c>
      <c r="GA80" s="2">
        <v>102</v>
      </c>
      <c r="GB80" s="2">
        <v>103.16670000000001</v>
      </c>
      <c r="GC80" s="2">
        <v>103.7</v>
      </c>
      <c r="GD80" s="2">
        <v>104.5667</v>
      </c>
      <c r="GE80" s="2">
        <v>104.7667</v>
      </c>
      <c r="GF80" s="2">
        <v>105.66670000000001</v>
      </c>
      <c r="GG80" s="2">
        <v>106.3</v>
      </c>
      <c r="GH80" s="2">
        <v>106.9333</v>
      </c>
      <c r="GI80" s="2">
        <v>106.7</v>
      </c>
      <c r="GJ80" s="2">
        <v>107.8</v>
      </c>
      <c r="GK80" s="2">
        <v>108.2667</v>
      </c>
      <c r="GL80" s="2">
        <v>108.4333</v>
      </c>
      <c r="GM80" s="2">
        <v>108.4667</v>
      </c>
      <c r="GN80" s="2">
        <v>108.5333</v>
      </c>
      <c r="GO80" s="2">
        <v>108.9333</v>
      </c>
      <c r="GP80" s="2">
        <v>109.0667</v>
      </c>
      <c r="GQ80" s="2">
        <v>109.16670000000001</v>
      </c>
      <c r="GR80" s="2">
        <v>110.7333</v>
      </c>
      <c r="GS80" s="2">
        <v>111.9333</v>
      </c>
      <c r="GT80" s="2">
        <v>114.4</v>
      </c>
      <c r="GU80" s="2">
        <v>115.9333</v>
      </c>
      <c r="GV80" s="2">
        <v>120.86669999999999</v>
      </c>
      <c r="GW80" s="2">
        <v>123.13330000000001</v>
      </c>
      <c r="GX80" s="2">
        <v>126.7</v>
      </c>
      <c r="GY80" s="2">
        <v>127.7333</v>
      </c>
      <c r="GZ80" s="2">
        <v>131.0667</v>
      </c>
      <c r="HA80" s="2">
        <v>131.4</v>
      </c>
      <c r="HB80" s="2">
        <v>131.9667</v>
      </c>
      <c r="HC80" s="2">
        <v>132.26669999999999</v>
      </c>
      <c r="HD80" s="2">
        <v>133.83330000000001</v>
      </c>
      <c r="HE80" s="2">
        <v>134.1</v>
      </c>
      <c r="HF80" s="3">
        <v>135.33109999999999</v>
      </c>
      <c r="HG80" s="3">
        <v>135.8252</v>
      </c>
      <c r="HH80" s="3">
        <v>137.63630000000001</v>
      </c>
      <c r="HI80" s="3">
        <v>138.46209999999999</v>
      </c>
      <c r="HJ80" s="3">
        <v>139.37899999999999</v>
      </c>
      <c r="HK80" s="3">
        <v>139.6713</v>
      </c>
      <c r="HL80" s="3">
        <v>140.9349</v>
      </c>
      <c r="HM80" s="3">
        <v>141.52000000000001</v>
      </c>
      <c r="HN80" s="3">
        <v>142.25579999999999</v>
      </c>
      <c r="HO80" s="3">
        <v>142.51910000000001</v>
      </c>
      <c r="HP80" s="3">
        <v>143.75120000000001</v>
      </c>
      <c r="HQ80" s="3">
        <v>144.35169999999999</v>
      </c>
      <c r="HR80" s="3">
        <v>145.08439999999999</v>
      </c>
      <c r="HS80" s="3">
        <v>145.41390000000001</v>
      </c>
      <c r="HT80" s="3">
        <v>146.71639999999999</v>
      </c>
      <c r="HU80" s="3">
        <v>147.3905</v>
      </c>
      <c r="HV80" s="3">
        <v>148.1788</v>
      </c>
      <c r="HW80" s="3">
        <v>148.4725</v>
      </c>
      <c r="HX80" s="3">
        <v>149.76779999999999</v>
      </c>
      <c r="HY80" s="3">
        <v>150.43389999999999</v>
      </c>
      <c r="HZ80" s="3">
        <v>151.1986</v>
      </c>
      <c r="IA80" s="3">
        <v>151.4736</v>
      </c>
      <c r="IB80" s="3">
        <v>152.7766</v>
      </c>
      <c r="IC80" s="3">
        <v>153.45099999999999</v>
      </c>
      <c r="ID80" s="3">
        <v>154.21019999999999</v>
      </c>
      <c r="IE80" s="3">
        <v>154.50309999999999</v>
      </c>
      <c r="IF80" s="3">
        <v>155.8322</v>
      </c>
      <c r="IG80" s="3">
        <v>156.52010000000001</v>
      </c>
      <c r="IH80" s="3">
        <v>157.2944</v>
      </c>
      <c r="II80" s="3">
        <v>157.59309999999999</v>
      </c>
      <c r="IJ80" s="3">
        <v>158.94880000000001</v>
      </c>
      <c r="IK80" s="3">
        <v>159.65049999999999</v>
      </c>
      <c r="IL80" s="3">
        <v>160.44030000000001</v>
      </c>
      <c r="IM80" s="3">
        <v>160.745</v>
      </c>
      <c r="IN80" s="3">
        <v>162.12780000000001</v>
      </c>
      <c r="IO80" s="3">
        <v>162.84350000000001</v>
      </c>
      <c r="IP80" s="3">
        <v>163.6491</v>
      </c>
      <c r="IQ80" s="3">
        <v>163.9599</v>
      </c>
      <c r="IR80" s="3">
        <v>165.37029999999999</v>
      </c>
      <c r="IS80" s="3">
        <v>166.10040000000001</v>
      </c>
      <c r="IT80" s="3">
        <v>166.9221</v>
      </c>
      <c r="IU80" s="3">
        <v>167.23910000000001</v>
      </c>
      <c r="IV80" s="3">
        <v>168.67769999999999</v>
      </c>
      <c r="IW80" s="3">
        <v>169.42240000000001</v>
      </c>
      <c r="IX80" s="3">
        <v>170.26050000000001</v>
      </c>
      <c r="IY80" s="3">
        <v>170.5838</v>
      </c>
      <c r="IZ80" s="3">
        <v>172.0513</v>
      </c>
      <c r="JA80" s="3">
        <v>172.8108</v>
      </c>
      <c r="JB80" s="3">
        <v>173.66579999999999</v>
      </c>
      <c r="JC80" s="3">
        <v>173.99549999999999</v>
      </c>
      <c r="JD80" s="3">
        <v>175.4923</v>
      </c>
      <c r="JE80" s="3">
        <v>176.267</v>
      </c>
      <c r="JF80" s="3">
        <v>177.13910000000001</v>
      </c>
      <c r="JG80" s="3">
        <v>177.47540000000001</v>
      </c>
      <c r="JH80" s="3">
        <v>179.00219999999999</v>
      </c>
      <c r="JI80" s="3">
        <v>179.79239999999999</v>
      </c>
      <c r="JJ80" s="3">
        <v>180.68190000000001</v>
      </c>
      <c r="JK80" s="3">
        <v>181.0249</v>
      </c>
      <c r="JL80" s="3">
        <v>182.5822</v>
      </c>
      <c r="JM80" s="3">
        <v>183.38820000000001</v>
      </c>
      <c r="JN80" s="3">
        <v>184.2955</v>
      </c>
      <c r="JO80" s="3">
        <v>184.6454</v>
      </c>
      <c r="JP80" s="3">
        <v>186.23390000000001</v>
      </c>
      <c r="JQ80" s="3">
        <v>187.05600000000001</v>
      </c>
      <c r="JR80" s="3">
        <v>187.98140000000001</v>
      </c>
      <c r="JS80" s="3">
        <v>188.3383</v>
      </c>
      <c r="JT80" s="3">
        <v>189.95849999999999</v>
      </c>
      <c r="JU80" s="3">
        <v>190.7971</v>
      </c>
      <c r="JV80" s="3">
        <v>191.74100000000001</v>
      </c>
      <c r="JW80" s="3">
        <v>192.10509999999999</v>
      </c>
      <c r="JX80" s="3">
        <v>193.7577</v>
      </c>
      <c r="JY80" s="3">
        <v>194.613</v>
      </c>
      <c r="JZ80" s="3">
        <v>195.57589999999999</v>
      </c>
      <c r="KA80" s="3">
        <v>195.94720000000001</v>
      </c>
      <c r="KB80" s="3">
        <v>197.63290000000001</v>
      </c>
      <c r="KC80" s="3">
        <v>198.50530000000001</v>
      </c>
      <c r="KD80" s="3">
        <v>199.48740000000001</v>
      </c>
      <c r="KE80" s="3">
        <v>199.86619999999999</v>
      </c>
      <c r="KF80" s="3">
        <v>201.5855</v>
      </c>
      <c r="KG80" s="3">
        <v>202.47540000000001</v>
      </c>
      <c r="KH80" s="3">
        <v>203.47710000000001</v>
      </c>
      <c r="KI80" s="3">
        <v>203.86349999999999</v>
      </c>
      <c r="KJ80" s="3">
        <v>205.6172</v>
      </c>
      <c r="KK80" s="3">
        <v>206.5249</v>
      </c>
      <c r="KL80" s="3">
        <v>207.54660000000001</v>
      </c>
      <c r="KM80" s="3">
        <v>207.9408</v>
      </c>
      <c r="KN80" s="3">
        <v>209.7296</v>
      </c>
      <c r="KO80" s="3">
        <v>210.65539999999999</v>
      </c>
      <c r="KP80" s="3">
        <v>211.69759999999999</v>
      </c>
      <c r="KQ80" s="3">
        <v>212.09960000000001</v>
      </c>
      <c r="KR80" s="3">
        <v>213.92420000000001</v>
      </c>
      <c r="KS80" s="3">
        <v>214.86850000000001</v>
      </c>
      <c r="KT80" s="3">
        <v>215.9315</v>
      </c>
      <c r="KU80" s="3">
        <v>216.3416</v>
      </c>
      <c r="KV80" s="3">
        <v>218.20269999999999</v>
      </c>
      <c r="KW80" s="3">
        <v>219.16589999999999</v>
      </c>
      <c r="KX80" s="3">
        <v>220.25020000000001</v>
      </c>
      <c r="KY80" s="3">
        <v>220.66839999999999</v>
      </c>
      <c r="KZ80" s="3">
        <v>222.5667</v>
      </c>
      <c r="LA80" s="3">
        <v>223.54920000000001</v>
      </c>
      <c r="LB80" s="3">
        <v>224.65520000000001</v>
      </c>
      <c r="LC80" s="3">
        <v>225.08179999999999</v>
      </c>
      <c r="LD80" s="3">
        <v>227.0181</v>
      </c>
      <c r="LE80" s="3">
        <v>228.02019999999999</v>
      </c>
      <c r="LF80" s="3">
        <v>229.14830000000001</v>
      </c>
      <c r="LG80" s="3">
        <v>229.58340000000001</v>
      </c>
      <c r="LH80" s="3">
        <v>231.55840000000001</v>
      </c>
      <c r="LI80" s="3">
        <v>232.5806</v>
      </c>
      <c r="LJ80" s="3">
        <v>233.7312</v>
      </c>
      <c r="LK80" s="3">
        <v>234.17509999999999</v>
      </c>
      <c r="LL80" s="3">
        <v>236.18960000000001</v>
      </c>
      <c r="LM80" s="3">
        <v>237.23220000000001</v>
      </c>
      <c r="LN80" s="3">
        <v>238.4059</v>
      </c>
      <c r="LO80" s="3">
        <v>238.8586</v>
      </c>
      <c r="LP80" s="3">
        <v>240.9134</v>
      </c>
      <c r="LQ80" s="3">
        <v>241.9769</v>
      </c>
      <c r="LR80" s="3">
        <v>243.17400000000001</v>
      </c>
      <c r="LS80" s="3">
        <v>243.63570000000001</v>
      </c>
      <c r="LT80" s="3">
        <v>245.73159999999999</v>
      </c>
      <c r="LU80" s="3">
        <v>246.81639999999999</v>
      </c>
      <c r="LV80" s="3">
        <v>248.03749999999999</v>
      </c>
      <c r="LW80" s="3">
        <v>248.5085</v>
      </c>
      <c r="LX80" s="3">
        <v>250.6463</v>
      </c>
      <c r="LY80" s="3">
        <v>251.7527</v>
      </c>
      <c r="LZ80" s="3">
        <v>252.9982</v>
      </c>
      <c r="MA80" s="3">
        <v>253.4786</v>
      </c>
      <c r="MB80" s="3">
        <v>255.6592</v>
      </c>
      <c r="MC80" s="3">
        <v>256.7878</v>
      </c>
      <c r="MD80" s="3">
        <v>258.0582</v>
      </c>
      <c r="ME80" s="3">
        <v>258.54820000000001</v>
      </c>
      <c r="MF80" s="3">
        <v>260.7724</v>
      </c>
      <c r="MG80" s="3">
        <v>261.92349999999999</v>
      </c>
      <c r="MH80" s="3">
        <v>263.21929999999998</v>
      </c>
      <c r="MI80" s="3">
        <v>263.7192</v>
      </c>
      <c r="MJ80" s="3">
        <v>265.98779999999999</v>
      </c>
      <c r="MK80" s="3">
        <v>267.16199999999998</v>
      </c>
      <c r="ML80" s="3">
        <v>268.4837</v>
      </c>
      <c r="MM80" s="3">
        <v>268.99360000000001</v>
      </c>
      <c r="MN80" s="3">
        <v>271.30759999999998</v>
      </c>
      <c r="MO80" s="3">
        <v>272.5052</v>
      </c>
      <c r="MP80" s="3">
        <v>273.85340000000002</v>
      </c>
      <c r="MQ80" s="3">
        <v>274.3734</v>
      </c>
      <c r="MR80" s="3">
        <v>276.7337</v>
      </c>
      <c r="MS80" s="3">
        <v>277.9554</v>
      </c>
      <c r="MT80" s="3">
        <v>279.33049999999997</v>
      </c>
      <c r="MU80" t="s">
        <v>375</v>
      </c>
      <c r="MV80" t="b">
        <v>0</v>
      </c>
      <c r="MW80" t="s">
        <v>377</v>
      </c>
      <c r="MX80">
        <v>2015</v>
      </c>
      <c r="MY80">
        <v>2024</v>
      </c>
      <c r="MZ80">
        <v>3</v>
      </c>
      <c r="NA80" t="s">
        <v>377</v>
      </c>
      <c r="NB80" s="1" t="s">
        <v>418</v>
      </c>
      <c r="NC80" s="1" t="s">
        <v>419</v>
      </c>
      <c r="ND80" t="s">
        <v>380</v>
      </c>
      <c r="NE80" t="s">
        <v>420</v>
      </c>
      <c r="NF80" s="1" t="s">
        <v>528</v>
      </c>
    </row>
    <row r="81" spans="1:370" x14ac:dyDescent="0.25">
      <c r="A81" t="s">
        <v>382</v>
      </c>
      <c r="B81" t="s">
        <v>416</v>
      </c>
      <c r="C81" s="1" t="s">
        <v>527</v>
      </c>
      <c r="D81" t="s">
        <v>417</v>
      </c>
      <c r="E81" t="s">
        <v>377</v>
      </c>
      <c r="F81" t="s">
        <v>374</v>
      </c>
      <c r="G81" s="2">
        <v>43.033329999999999</v>
      </c>
      <c r="H81" s="2">
        <v>43.933329999999998</v>
      </c>
      <c r="I81" s="2">
        <v>44.8</v>
      </c>
      <c r="J81" s="2">
        <v>45.933329999999998</v>
      </c>
      <c r="K81" s="2">
        <v>47.3</v>
      </c>
      <c r="L81" s="2">
        <v>48.566670000000002</v>
      </c>
      <c r="M81" s="2">
        <v>49.933329999999998</v>
      </c>
      <c r="N81" s="2">
        <v>51.466670000000001</v>
      </c>
      <c r="O81" s="2">
        <v>52.566670000000002</v>
      </c>
      <c r="P81" s="2">
        <v>53.2</v>
      </c>
      <c r="Q81" s="2">
        <v>54.266669999999998</v>
      </c>
      <c r="R81" s="2">
        <v>55.266669999999998</v>
      </c>
      <c r="S81" s="2">
        <v>55.9</v>
      </c>
      <c r="T81" s="2">
        <v>56.4</v>
      </c>
      <c r="U81" s="2">
        <v>57.3</v>
      </c>
      <c r="V81" s="2">
        <v>58.133339999999997</v>
      </c>
      <c r="W81" s="2">
        <v>59.2</v>
      </c>
      <c r="X81" s="2">
        <v>60.233330000000002</v>
      </c>
      <c r="Y81" s="2">
        <v>61.066670000000002</v>
      </c>
      <c r="Z81" s="2">
        <v>61.966670000000001</v>
      </c>
      <c r="AA81" s="2">
        <v>63.033329999999999</v>
      </c>
      <c r="AB81" s="2">
        <v>64.466669999999993</v>
      </c>
      <c r="AC81" s="2">
        <v>65.966669999999993</v>
      </c>
      <c r="AD81" s="2">
        <v>67.5</v>
      </c>
      <c r="AE81" s="2">
        <v>69.2</v>
      </c>
      <c r="AF81" s="2">
        <v>71.400000000000006</v>
      </c>
      <c r="AG81" s="2">
        <v>73.7</v>
      </c>
      <c r="AH81" s="2">
        <v>76.033330000000007</v>
      </c>
      <c r="AI81" s="2">
        <v>79.033330000000007</v>
      </c>
      <c r="AJ81" s="2">
        <v>81.7</v>
      </c>
      <c r="AK81" s="2">
        <v>83.233329999999995</v>
      </c>
      <c r="AL81" s="2">
        <v>85.566670000000002</v>
      </c>
      <c r="AM81" s="2">
        <v>87.933329999999998</v>
      </c>
      <c r="AN81" s="2">
        <v>89.766670000000005</v>
      </c>
      <c r="AO81" s="2">
        <v>92.266670000000005</v>
      </c>
      <c r="AP81" s="2">
        <v>93.766670000000005</v>
      </c>
      <c r="AQ81" s="2">
        <v>94.6</v>
      </c>
      <c r="AR81" s="2">
        <v>95.966669999999993</v>
      </c>
      <c r="AS81" s="2">
        <v>97.633330000000001</v>
      </c>
      <c r="AT81" s="2">
        <v>97.933329999999998</v>
      </c>
      <c r="AU81" s="2">
        <v>98</v>
      </c>
      <c r="AV81" s="2">
        <v>99.133330000000001</v>
      </c>
      <c r="AW81" s="2">
        <v>100.1</v>
      </c>
      <c r="AX81" s="2">
        <v>101.1</v>
      </c>
      <c r="AY81" s="2">
        <v>102.5333</v>
      </c>
      <c r="AZ81" s="2">
        <v>103.5</v>
      </c>
      <c r="BA81" s="2">
        <v>104.4</v>
      </c>
      <c r="BB81" s="2">
        <v>105.3</v>
      </c>
      <c r="BC81" s="2">
        <v>106.2667</v>
      </c>
      <c r="BD81" s="2">
        <v>107.2333</v>
      </c>
      <c r="BE81" s="2">
        <v>107.9</v>
      </c>
      <c r="BF81" s="2">
        <v>109</v>
      </c>
      <c r="BG81" s="2">
        <v>109.5667</v>
      </c>
      <c r="BH81" s="2">
        <v>109.0333</v>
      </c>
      <c r="BI81" s="2">
        <v>109.7</v>
      </c>
      <c r="BJ81" s="2">
        <v>110.4667</v>
      </c>
      <c r="BK81" s="2">
        <v>111.8</v>
      </c>
      <c r="BL81" s="2">
        <v>113.0667</v>
      </c>
      <c r="BM81" s="2">
        <v>114.2667</v>
      </c>
      <c r="BN81" s="2">
        <v>115.33329999999999</v>
      </c>
      <c r="BO81" s="2">
        <v>116.2333</v>
      </c>
      <c r="BP81" s="2">
        <v>117.5667</v>
      </c>
      <c r="BQ81" s="2">
        <v>119</v>
      </c>
      <c r="BR81" s="2">
        <v>120.3</v>
      </c>
      <c r="BS81" s="2">
        <v>121.66670000000001</v>
      </c>
      <c r="BT81" s="2">
        <v>123.63330000000001</v>
      </c>
      <c r="BU81" s="2">
        <v>124.6</v>
      </c>
      <c r="BV81" s="2">
        <v>125.86669999999999</v>
      </c>
      <c r="BW81" s="2">
        <v>128.0333</v>
      </c>
      <c r="BX81" s="2">
        <v>129.30000000000001</v>
      </c>
      <c r="BY81" s="2">
        <v>131.5333</v>
      </c>
      <c r="BZ81" s="2">
        <v>133.76669999999999</v>
      </c>
      <c r="CA81" s="2">
        <v>134.76669999999999</v>
      </c>
      <c r="CB81" s="2">
        <v>135.5667</v>
      </c>
      <c r="CC81" s="2">
        <v>136.6</v>
      </c>
      <c r="CD81" s="2">
        <v>137.73330000000001</v>
      </c>
      <c r="CE81" s="2">
        <v>138.66669999999999</v>
      </c>
      <c r="CF81" s="2">
        <v>139.73330000000001</v>
      </c>
      <c r="CG81" s="2">
        <v>140.80000000000001</v>
      </c>
      <c r="CH81" s="2">
        <v>142.0333</v>
      </c>
      <c r="CI81" s="2">
        <v>143.0667</v>
      </c>
      <c r="CJ81" s="2">
        <v>144.1</v>
      </c>
      <c r="CK81" s="2">
        <v>144.76669999999999</v>
      </c>
      <c r="CL81" s="2">
        <v>145.9667</v>
      </c>
      <c r="CM81" s="2">
        <v>146.69999999999999</v>
      </c>
      <c r="CN81" s="2">
        <v>147.5333</v>
      </c>
      <c r="CO81" s="2">
        <v>148.9</v>
      </c>
      <c r="CP81" s="2">
        <v>149.76669999999999</v>
      </c>
      <c r="CQ81" s="2">
        <v>150.86670000000001</v>
      </c>
      <c r="CR81" s="2">
        <v>152.1</v>
      </c>
      <c r="CS81" s="2">
        <v>152.86670000000001</v>
      </c>
      <c r="CT81" s="2">
        <v>153.69999999999999</v>
      </c>
      <c r="CU81" s="2">
        <v>155.0667</v>
      </c>
      <c r="CV81" s="2">
        <v>156.4</v>
      </c>
      <c r="CW81" s="2">
        <v>157.30000000000001</v>
      </c>
      <c r="CX81" s="2">
        <v>158.66669999999999</v>
      </c>
      <c r="CY81" s="2">
        <v>159.63329999999999</v>
      </c>
      <c r="CZ81" s="2">
        <v>160</v>
      </c>
      <c r="DA81" s="2">
        <v>160.80000000000001</v>
      </c>
      <c r="DB81" s="2">
        <v>161.66669999999999</v>
      </c>
      <c r="DC81" s="2">
        <v>162</v>
      </c>
      <c r="DD81" s="2">
        <v>162.5333</v>
      </c>
      <c r="DE81" s="2">
        <v>163.36670000000001</v>
      </c>
      <c r="DF81" s="2">
        <v>164.13329999999999</v>
      </c>
      <c r="DG81" s="2">
        <v>164.73330000000001</v>
      </c>
      <c r="DH81" s="2">
        <v>165.9667</v>
      </c>
      <c r="DI81" s="2">
        <v>167.2</v>
      </c>
      <c r="DJ81" s="2">
        <v>168.4333</v>
      </c>
      <c r="DK81" s="2">
        <v>170.1</v>
      </c>
      <c r="DL81" s="2">
        <v>171.4333</v>
      </c>
      <c r="DM81" s="2">
        <v>173</v>
      </c>
      <c r="DN81" s="2">
        <v>174.23330000000001</v>
      </c>
      <c r="DO81" s="2">
        <v>175.9</v>
      </c>
      <c r="DP81" s="2">
        <v>177.13329999999999</v>
      </c>
      <c r="DQ81" s="2">
        <v>177.63329999999999</v>
      </c>
      <c r="DR81" s="2">
        <v>177.5</v>
      </c>
      <c r="DS81" s="2">
        <v>178.0667</v>
      </c>
      <c r="DT81" s="2">
        <v>179.4667</v>
      </c>
      <c r="DU81" s="2">
        <v>180.4333</v>
      </c>
      <c r="DV81" s="2">
        <v>181.5</v>
      </c>
      <c r="DW81" s="2">
        <v>183.36670000000001</v>
      </c>
      <c r="DX81" s="2">
        <v>183.0667</v>
      </c>
      <c r="DY81" s="2">
        <v>184.4333</v>
      </c>
      <c r="DZ81" s="2">
        <v>185.13329999999999</v>
      </c>
      <c r="EA81" s="2">
        <v>186.7</v>
      </c>
      <c r="EB81" s="2">
        <v>188.16669999999999</v>
      </c>
      <c r="EC81" s="2">
        <v>189.36670000000001</v>
      </c>
      <c r="ED81" s="2">
        <v>191.4</v>
      </c>
      <c r="EE81" s="2">
        <v>192.36670000000001</v>
      </c>
      <c r="EF81" s="2">
        <v>193.66669999999999</v>
      </c>
      <c r="EG81" s="2">
        <v>196.6</v>
      </c>
      <c r="EH81" s="2">
        <v>198.4333</v>
      </c>
      <c r="EI81" s="2">
        <v>199.4667</v>
      </c>
      <c r="EJ81" s="2">
        <v>201.26669999999999</v>
      </c>
      <c r="EK81" s="2">
        <v>203.16669999999999</v>
      </c>
      <c r="EL81" s="2">
        <v>202.33330000000001</v>
      </c>
      <c r="EM81" s="2">
        <v>204.31700000000001</v>
      </c>
      <c r="EN81" s="2">
        <v>206.631</v>
      </c>
      <c r="EO81" s="2">
        <v>207.93899999999999</v>
      </c>
      <c r="EP81" s="2">
        <v>210.4897</v>
      </c>
      <c r="EQ81" s="2">
        <v>212.7697</v>
      </c>
      <c r="ER81" s="2">
        <v>215.5377</v>
      </c>
      <c r="ES81" s="2">
        <v>218.86099999999999</v>
      </c>
      <c r="ET81" s="2">
        <v>213.84870000000001</v>
      </c>
      <c r="EU81" s="2">
        <v>212.3777</v>
      </c>
      <c r="EV81" s="2">
        <v>213.50700000000001</v>
      </c>
      <c r="EW81" s="2">
        <v>215.34399999999999</v>
      </c>
      <c r="EX81" s="2">
        <v>217.03</v>
      </c>
      <c r="EY81" s="2">
        <v>217.374</v>
      </c>
      <c r="EZ81" s="2">
        <v>217.29730000000001</v>
      </c>
      <c r="FA81" s="2">
        <v>217.93430000000001</v>
      </c>
      <c r="FB81" s="2">
        <v>219.69900000000001</v>
      </c>
      <c r="FC81" s="2">
        <v>222.0437</v>
      </c>
      <c r="FD81" s="2">
        <v>224.56829999999999</v>
      </c>
      <c r="FE81" s="2">
        <v>226.03270000000001</v>
      </c>
      <c r="FF81" s="2">
        <v>227.04730000000001</v>
      </c>
      <c r="FG81" s="2">
        <v>228.32599999999999</v>
      </c>
      <c r="FH81" s="2">
        <v>228.80799999999999</v>
      </c>
      <c r="FI81" s="2">
        <v>229.84100000000001</v>
      </c>
      <c r="FJ81" s="2">
        <v>231.36930000000001</v>
      </c>
      <c r="FK81" s="2">
        <v>232.29929999999999</v>
      </c>
      <c r="FL81" s="2">
        <v>232.04499999999999</v>
      </c>
      <c r="FM81" s="2">
        <v>233.3</v>
      </c>
      <c r="FN81" s="2">
        <v>234.1627</v>
      </c>
      <c r="FO81" s="2">
        <v>235.62100000000001</v>
      </c>
      <c r="FP81" s="2">
        <v>236.8723</v>
      </c>
      <c r="FQ81" s="2">
        <v>237.47829999999999</v>
      </c>
      <c r="FR81" s="2">
        <v>236.88829999999999</v>
      </c>
      <c r="FS81" s="2">
        <v>235.35499999999999</v>
      </c>
      <c r="FT81" s="2">
        <v>236.96</v>
      </c>
      <c r="FU81" s="2">
        <v>237.85499999999999</v>
      </c>
      <c r="FV81" s="2">
        <v>237.83699999999999</v>
      </c>
      <c r="FW81" s="2">
        <v>237.6893</v>
      </c>
      <c r="FX81" s="2">
        <v>239.59030000000001</v>
      </c>
      <c r="FY81" s="2">
        <v>240.60730000000001</v>
      </c>
      <c r="FZ81" s="2">
        <v>242.13470000000001</v>
      </c>
      <c r="GA81" s="2">
        <v>243.83869999999999</v>
      </c>
      <c r="GB81" s="2">
        <v>244.12</v>
      </c>
      <c r="GC81" s="2">
        <v>245.28700000000001</v>
      </c>
      <c r="GD81" s="2">
        <v>247.23830000000001</v>
      </c>
      <c r="GE81" s="2">
        <v>249.32169999999999</v>
      </c>
      <c r="GF81" s="2">
        <v>250.679</v>
      </c>
      <c r="GG81" s="2">
        <v>251.68629999999999</v>
      </c>
      <c r="GH81" s="2">
        <v>252.71100000000001</v>
      </c>
      <c r="GI81" s="2">
        <v>253.38570000000001</v>
      </c>
      <c r="GJ81" s="2">
        <v>255.2473</v>
      </c>
      <c r="GK81" s="2">
        <v>256.08929999999998</v>
      </c>
      <c r="GL81" s="2">
        <v>257.88799999999998</v>
      </c>
      <c r="GM81" s="2">
        <v>258.76729999999998</v>
      </c>
      <c r="GN81" s="2">
        <v>256.32600000000002</v>
      </c>
      <c r="GO81" s="2">
        <v>259.24169999999998</v>
      </c>
      <c r="GP81" s="2">
        <v>261.04969999999997</v>
      </c>
      <c r="GQ81" s="2">
        <v>263.6703</v>
      </c>
      <c r="GR81" s="2">
        <v>268.62270000000001</v>
      </c>
      <c r="GS81" s="2">
        <v>272.89</v>
      </c>
      <c r="GT81" s="2">
        <v>278.68029999999999</v>
      </c>
      <c r="GU81" s="2">
        <v>284.82600000000002</v>
      </c>
      <c r="GV81" s="2">
        <v>291.7063</v>
      </c>
      <c r="GW81" s="2">
        <v>295.50900000000001</v>
      </c>
      <c r="GX81" s="2">
        <v>298.44099999999997</v>
      </c>
      <c r="GY81" s="2">
        <v>301.20299999999997</v>
      </c>
      <c r="GZ81" s="2">
        <v>303.4667</v>
      </c>
      <c r="HA81" s="2">
        <v>306.03429999999997</v>
      </c>
      <c r="HB81" s="2">
        <v>308.09899999999999</v>
      </c>
      <c r="HC81" s="2">
        <v>310.98970000000003</v>
      </c>
      <c r="HD81" s="2">
        <v>313.16030000000001</v>
      </c>
      <c r="HE81" s="2">
        <v>314.11369999999999</v>
      </c>
      <c r="HF81" s="3">
        <v>316.49759999999998</v>
      </c>
      <c r="HG81" s="3">
        <v>318.82990000000001</v>
      </c>
      <c r="HH81" s="3">
        <v>320.84269999999998</v>
      </c>
      <c r="HI81" s="3">
        <v>322.70299999999997</v>
      </c>
      <c r="HJ81" s="3">
        <v>324.34230000000002</v>
      </c>
      <c r="HK81" s="3">
        <v>326.28230000000002</v>
      </c>
      <c r="HL81" s="3">
        <v>328.17939999999999</v>
      </c>
      <c r="HM81" s="3">
        <v>330.00130000000001</v>
      </c>
      <c r="HN81" s="3">
        <v>331.90859999999998</v>
      </c>
      <c r="HO81" s="3">
        <v>333.8657</v>
      </c>
      <c r="HP81" s="3">
        <v>335.85750000000002</v>
      </c>
      <c r="HQ81" s="3">
        <v>337.88549999999998</v>
      </c>
      <c r="HR81" s="3">
        <v>339.99149999999997</v>
      </c>
      <c r="HS81" s="3">
        <v>342.04509999999999</v>
      </c>
      <c r="HT81" s="3">
        <v>344.12329999999997</v>
      </c>
      <c r="HU81" s="3">
        <v>346.178</v>
      </c>
      <c r="HV81" s="3">
        <v>348.21589999999998</v>
      </c>
      <c r="HW81" s="3">
        <v>350.23559999999998</v>
      </c>
      <c r="HX81" s="3">
        <v>352.24529999999999</v>
      </c>
      <c r="HY81" s="3">
        <v>354.25900000000001</v>
      </c>
      <c r="HZ81" s="3">
        <v>356.27699999999999</v>
      </c>
      <c r="IA81" s="3">
        <v>358.2928</v>
      </c>
      <c r="IB81" s="3">
        <v>360.29849999999999</v>
      </c>
      <c r="IC81" s="3">
        <v>362.29849999999999</v>
      </c>
      <c r="ID81" s="3">
        <v>364.29570000000001</v>
      </c>
      <c r="IE81" s="3">
        <v>366.28859999999997</v>
      </c>
      <c r="IF81" s="3">
        <v>368.2921</v>
      </c>
      <c r="IG81" s="3">
        <v>370.30520000000001</v>
      </c>
      <c r="IH81" s="3">
        <v>372.33019999999999</v>
      </c>
      <c r="II81" s="3">
        <v>374.3657</v>
      </c>
      <c r="IJ81" s="3">
        <v>376.41219999999998</v>
      </c>
      <c r="IK81" s="3">
        <v>378.46980000000002</v>
      </c>
      <c r="IL81" s="3">
        <v>380.53969999999998</v>
      </c>
      <c r="IM81" s="3">
        <v>382.62090000000001</v>
      </c>
      <c r="IN81" s="3">
        <v>384.71319999999997</v>
      </c>
      <c r="IO81" s="3">
        <v>386.81700000000001</v>
      </c>
      <c r="IP81" s="3">
        <v>388.93270000000001</v>
      </c>
      <c r="IQ81" s="3">
        <v>391.0598</v>
      </c>
      <c r="IR81" s="3">
        <v>393.19920000000002</v>
      </c>
      <c r="IS81" s="3">
        <v>395.34980000000002</v>
      </c>
      <c r="IT81" s="3">
        <v>397.51310000000001</v>
      </c>
      <c r="IU81" s="3">
        <v>399.68759999999997</v>
      </c>
      <c r="IV81" s="3">
        <v>401.87380000000002</v>
      </c>
      <c r="IW81" s="3">
        <v>404.07299999999998</v>
      </c>
      <c r="IX81" s="3">
        <v>406.28429999999997</v>
      </c>
      <c r="IY81" s="3">
        <v>408.50749999999999</v>
      </c>
      <c r="IZ81" s="3">
        <v>410.74299999999999</v>
      </c>
      <c r="JA81" s="3">
        <v>412.99059999999997</v>
      </c>
      <c r="JB81" s="3">
        <v>415.25049999999999</v>
      </c>
      <c r="JC81" s="3">
        <v>417.52390000000003</v>
      </c>
      <c r="JD81" s="3">
        <v>419.8091</v>
      </c>
      <c r="JE81" s="3">
        <v>422.1071</v>
      </c>
      <c r="JF81" s="3">
        <v>424.41789999999997</v>
      </c>
      <c r="JG81" s="3">
        <v>426.74090000000001</v>
      </c>
      <c r="JH81" s="3">
        <v>429.0779</v>
      </c>
      <c r="JI81" s="3">
        <v>431.4273</v>
      </c>
      <c r="JJ81" s="3">
        <v>433.78930000000003</v>
      </c>
      <c r="JK81" s="3">
        <v>436.16489999999999</v>
      </c>
      <c r="JL81" s="3">
        <v>438.55309999999997</v>
      </c>
      <c r="JM81" s="3">
        <v>440.95420000000001</v>
      </c>
      <c r="JN81" s="3">
        <v>443.36959999999999</v>
      </c>
      <c r="JO81" s="3">
        <v>445.798</v>
      </c>
      <c r="JP81" s="3">
        <v>448.2396</v>
      </c>
      <c r="JQ81" s="3">
        <v>450.69459999999998</v>
      </c>
      <c r="JR81" s="3">
        <v>453.16309999999999</v>
      </c>
      <c r="JS81" s="3">
        <v>455.64490000000001</v>
      </c>
      <c r="JT81" s="3">
        <v>458.14109999999999</v>
      </c>
      <c r="JU81" s="3">
        <v>460.65019999999998</v>
      </c>
      <c r="JV81" s="3">
        <v>463.17349999999999</v>
      </c>
      <c r="JW81" s="3">
        <v>465.71010000000001</v>
      </c>
      <c r="JX81" s="3">
        <v>468.26089999999999</v>
      </c>
      <c r="JY81" s="3">
        <v>470.8254</v>
      </c>
      <c r="JZ81" s="3">
        <v>473.40429999999998</v>
      </c>
      <c r="KA81" s="3">
        <v>475.99709999999999</v>
      </c>
      <c r="KB81" s="3">
        <v>478.60449999999997</v>
      </c>
      <c r="KC81" s="3">
        <v>481.22620000000001</v>
      </c>
      <c r="KD81" s="3">
        <v>483.86169999999998</v>
      </c>
      <c r="KE81" s="3">
        <v>486.51190000000003</v>
      </c>
      <c r="KF81" s="3">
        <v>489.17649999999998</v>
      </c>
      <c r="KG81" s="3">
        <v>491.85559999999998</v>
      </c>
      <c r="KH81" s="3">
        <v>494.54969999999997</v>
      </c>
      <c r="KI81" s="3">
        <v>497.25880000000001</v>
      </c>
      <c r="KJ81" s="3">
        <v>499.98219999999998</v>
      </c>
      <c r="KK81" s="3">
        <v>502.72030000000001</v>
      </c>
      <c r="KL81" s="3">
        <v>505.4742</v>
      </c>
      <c r="KM81" s="3">
        <v>508.24279999999999</v>
      </c>
      <c r="KN81" s="3">
        <v>511.02629999999999</v>
      </c>
      <c r="KO81" s="3">
        <v>513.82539999999995</v>
      </c>
      <c r="KP81" s="3">
        <v>516.6395</v>
      </c>
      <c r="KQ81" s="3">
        <v>519.46910000000003</v>
      </c>
      <c r="KR81" s="3">
        <v>522.3143</v>
      </c>
      <c r="KS81" s="3">
        <v>525.17539999999997</v>
      </c>
      <c r="KT81" s="3">
        <v>528.05160000000001</v>
      </c>
      <c r="KU81" s="3">
        <v>530.94380000000001</v>
      </c>
      <c r="KV81" s="3">
        <v>533.8519</v>
      </c>
      <c r="KW81" s="3">
        <v>536.77589999999998</v>
      </c>
      <c r="KX81" s="3">
        <v>539.71600000000001</v>
      </c>
      <c r="KY81" s="3">
        <v>542.67169999999999</v>
      </c>
      <c r="KZ81" s="3">
        <v>545.64400000000001</v>
      </c>
      <c r="LA81" s="3">
        <v>548.63279999999997</v>
      </c>
      <c r="LB81" s="3">
        <v>551.63760000000002</v>
      </c>
      <c r="LC81" s="3">
        <v>554.65880000000004</v>
      </c>
      <c r="LD81" s="3">
        <v>557.69669999999996</v>
      </c>
      <c r="LE81" s="3">
        <v>560.75099999999998</v>
      </c>
      <c r="LF81" s="3">
        <v>563.82230000000004</v>
      </c>
      <c r="LG81" s="3">
        <v>566.91079999999999</v>
      </c>
      <c r="LH81" s="3">
        <v>570.01610000000005</v>
      </c>
      <c r="LI81" s="3">
        <v>573.13810000000001</v>
      </c>
      <c r="LJ81" s="3">
        <v>576.27689999999996</v>
      </c>
      <c r="LK81" s="3">
        <v>579.43280000000004</v>
      </c>
      <c r="LL81" s="3">
        <v>582.60649999999998</v>
      </c>
      <c r="LM81" s="3">
        <v>585.79750000000001</v>
      </c>
      <c r="LN81" s="3">
        <v>589.00570000000005</v>
      </c>
      <c r="LO81" s="3">
        <v>592.23180000000002</v>
      </c>
      <c r="LP81" s="3">
        <v>595.19569999999999</v>
      </c>
      <c r="LQ81" s="3">
        <v>598.45590000000004</v>
      </c>
      <c r="LR81" s="3">
        <v>601.73360000000002</v>
      </c>
      <c r="LS81" s="3">
        <v>605.02949999999998</v>
      </c>
      <c r="LT81" s="3">
        <v>608.34339999999997</v>
      </c>
      <c r="LU81" s="3">
        <v>611.67560000000003</v>
      </c>
      <c r="LV81" s="3">
        <v>615.02549999999997</v>
      </c>
      <c r="LW81" s="3">
        <v>618.39449999999999</v>
      </c>
      <c r="LX81" s="3">
        <v>621.78160000000003</v>
      </c>
      <c r="LY81" s="3">
        <v>625.18730000000005</v>
      </c>
      <c r="LZ81" s="3">
        <v>628.61159999999995</v>
      </c>
      <c r="MA81" s="3">
        <v>632.05430000000001</v>
      </c>
      <c r="MB81" s="3">
        <v>635.51599999999996</v>
      </c>
      <c r="MC81" s="3">
        <v>638.99710000000005</v>
      </c>
      <c r="MD81" s="3">
        <v>642.49680000000001</v>
      </c>
      <c r="ME81" s="3">
        <v>646.01589999999999</v>
      </c>
      <c r="MF81" s="3">
        <v>649.55449999999996</v>
      </c>
      <c r="MG81" s="3">
        <v>653.11199999999997</v>
      </c>
      <c r="MH81" s="3">
        <v>656.68889999999999</v>
      </c>
      <c r="MI81" s="3">
        <v>660.28579999999999</v>
      </c>
      <c r="MJ81" s="3">
        <v>663.90229999999997</v>
      </c>
      <c r="MK81" s="3">
        <v>667.53869999999995</v>
      </c>
      <c r="ML81" s="3">
        <v>671.19489999999996</v>
      </c>
      <c r="MM81" s="3">
        <v>674.87099999999998</v>
      </c>
      <c r="MN81" s="3">
        <v>678.56740000000002</v>
      </c>
      <c r="MO81" s="3">
        <v>682.28390000000002</v>
      </c>
      <c r="MP81" s="3">
        <v>686.02089999999998</v>
      </c>
      <c r="MQ81" s="3">
        <v>689.77829999999994</v>
      </c>
      <c r="MR81" s="3">
        <v>693.55640000000005</v>
      </c>
      <c r="MS81" s="3">
        <v>697.35500000000002</v>
      </c>
      <c r="MT81" s="3">
        <v>701.17470000000003</v>
      </c>
      <c r="MU81" t="s">
        <v>421</v>
      </c>
      <c r="MV81" t="b">
        <v>1</v>
      </c>
      <c r="MW81" t="s">
        <v>377</v>
      </c>
      <c r="MX81" s="1" t="s">
        <v>422</v>
      </c>
      <c r="MY81">
        <v>2024</v>
      </c>
      <c r="MZ81">
        <v>3</v>
      </c>
      <c r="NA81" t="s">
        <v>377</v>
      </c>
      <c r="NB81" t="s">
        <v>423</v>
      </c>
      <c r="NC81" s="1" t="s">
        <v>424</v>
      </c>
      <c r="ND81" t="s">
        <v>389</v>
      </c>
      <c r="NE81" t="s">
        <v>420</v>
      </c>
      <c r="NF81" s="1" t="s">
        <v>528</v>
      </c>
    </row>
    <row r="82" spans="1:370" x14ac:dyDescent="0.25">
      <c r="A82" t="s">
        <v>370</v>
      </c>
      <c r="B82" t="s">
        <v>425</v>
      </c>
      <c r="C82" s="1" t="s">
        <v>527</v>
      </c>
      <c r="D82" t="s">
        <v>426</v>
      </c>
      <c r="E82" t="s">
        <v>377</v>
      </c>
      <c r="F82" t="s">
        <v>374</v>
      </c>
      <c r="G82" s="2">
        <v>2.4031669999999998</v>
      </c>
      <c r="H82" s="2">
        <v>2.5304329999999999</v>
      </c>
      <c r="I82" s="2">
        <v>2.4792999999999998</v>
      </c>
      <c r="J82" s="2">
        <v>2.378533</v>
      </c>
      <c r="K82" s="2">
        <v>2.2806329999999999</v>
      </c>
      <c r="L82" s="2">
        <v>2.3986670000000001</v>
      </c>
      <c r="M82" s="2">
        <v>2.3511669999999998</v>
      </c>
      <c r="N82" s="2">
        <v>2.3298000000000001</v>
      </c>
      <c r="O82" s="2">
        <v>2.3923329999999998</v>
      </c>
      <c r="P82" s="2">
        <v>2.3241999999999998</v>
      </c>
      <c r="Q82" s="2">
        <v>2.128333</v>
      </c>
      <c r="R82" s="2">
        <v>2.0428000000000002</v>
      </c>
      <c r="S82" s="2">
        <v>1.9990000000000001</v>
      </c>
      <c r="T82" s="2">
        <v>1.8062670000000001</v>
      </c>
      <c r="U82" s="2">
        <v>1.7666999999999999</v>
      </c>
      <c r="V82" s="2">
        <v>1.6509670000000001</v>
      </c>
      <c r="W82" s="2">
        <v>1.713633</v>
      </c>
      <c r="X82" s="2">
        <v>1.719033</v>
      </c>
      <c r="Y82" s="2">
        <v>1.7351669999999999</v>
      </c>
      <c r="Z82" s="2">
        <v>1.8139670000000001</v>
      </c>
      <c r="AA82" s="2">
        <v>1.9278329999999999</v>
      </c>
      <c r="AB82" s="2">
        <v>1.8355669999999999</v>
      </c>
      <c r="AC82" s="2">
        <v>1.931767</v>
      </c>
      <c r="AD82" s="2">
        <v>1.9837670000000001</v>
      </c>
      <c r="AE82" s="2">
        <v>2.0156000000000001</v>
      </c>
      <c r="AF82" s="2">
        <v>2.080867</v>
      </c>
      <c r="AG82" s="2">
        <v>2.2327669999999999</v>
      </c>
      <c r="AH82" s="2">
        <v>2.1594000000000002</v>
      </c>
      <c r="AI82" s="2">
        <v>2.2539669999999998</v>
      </c>
      <c r="AJ82" s="2">
        <v>2.2853669999999999</v>
      </c>
      <c r="AK82" s="2">
        <v>2.3817330000000001</v>
      </c>
      <c r="AL82" s="2">
        <v>2.3863669999999999</v>
      </c>
      <c r="AM82" s="2">
        <v>2.310467</v>
      </c>
      <c r="AN82" s="2">
        <v>2.0807669999999998</v>
      </c>
      <c r="AO82" s="2">
        <v>1.838133</v>
      </c>
      <c r="AP82" s="2">
        <v>1.8838999999999999</v>
      </c>
      <c r="AQ82" s="2">
        <v>1.847167</v>
      </c>
      <c r="AR82" s="2">
        <v>1.780467</v>
      </c>
      <c r="AS82" s="2">
        <v>1.7252000000000001</v>
      </c>
      <c r="AT82" s="2">
        <v>1.649767</v>
      </c>
      <c r="AU82" s="2">
        <v>1.532233</v>
      </c>
      <c r="AV82" s="2">
        <v>1.5545</v>
      </c>
      <c r="AW82" s="2">
        <v>1.5094669999999999</v>
      </c>
      <c r="AX82" s="2">
        <v>1.470167</v>
      </c>
      <c r="AY82" s="2">
        <v>1.4350000000000001</v>
      </c>
      <c r="AZ82" s="2">
        <v>1.396833</v>
      </c>
      <c r="BA82" s="2">
        <v>1.298033</v>
      </c>
      <c r="BB82" s="2">
        <v>1.216367</v>
      </c>
      <c r="BC82" s="2">
        <v>1.114933</v>
      </c>
      <c r="BD82" s="2">
        <v>1.2578670000000001</v>
      </c>
      <c r="BE82" s="2">
        <v>1.3756999999999999</v>
      </c>
      <c r="BF82" s="2">
        <v>1.4362330000000001</v>
      </c>
      <c r="BG82" s="2">
        <v>1.440067</v>
      </c>
      <c r="BH82" s="2">
        <v>1.5093669999999999</v>
      </c>
      <c r="BI82" s="2">
        <v>1.488767</v>
      </c>
      <c r="BJ82" s="2">
        <v>1.4303999999999999</v>
      </c>
      <c r="BK82" s="2">
        <v>1.542033</v>
      </c>
      <c r="BL82" s="2">
        <v>1.641767</v>
      </c>
      <c r="BM82" s="2">
        <v>1.6178669999999999</v>
      </c>
      <c r="BN82" s="2">
        <v>1.7549330000000001</v>
      </c>
      <c r="BO82" s="2">
        <v>1.7961</v>
      </c>
      <c r="BP82" s="2">
        <v>1.8416330000000001</v>
      </c>
      <c r="BQ82" s="2">
        <v>1.6952670000000001</v>
      </c>
      <c r="BR82" s="2">
        <v>1.7918000000000001</v>
      </c>
      <c r="BS82" s="2">
        <v>1.747833</v>
      </c>
      <c r="BT82" s="2">
        <v>1.6283000000000001</v>
      </c>
      <c r="BU82" s="2">
        <v>1.5971329999999999</v>
      </c>
      <c r="BV82" s="2">
        <v>1.5854330000000001</v>
      </c>
      <c r="BW82" s="2">
        <v>1.6577</v>
      </c>
      <c r="BX82" s="2">
        <v>1.6748670000000001</v>
      </c>
      <c r="BY82" s="2">
        <v>1.8621669999999999</v>
      </c>
      <c r="BZ82" s="2">
        <v>1.9452670000000001</v>
      </c>
      <c r="CA82" s="2">
        <v>1.908933</v>
      </c>
      <c r="CB82" s="2">
        <v>1.7084330000000001</v>
      </c>
      <c r="CC82" s="2">
        <v>1.6864330000000001</v>
      </c>
      <c r="CD82" s="2">
        <v>1.7757000000000001</v>
      </c>
      <c r="CE82" s="2">
        <v>1.771533</v>
      </c>
      <c r="CF82" s="2">
        <v>1.808033</v>
      </c>
      <c r="CG82" s="2">
        <v>1.905233</v>
      </c>
      <c r="CH82" s="2">
        <v>1.5795999999999999</v>
      </c>
      <c r="CI82" s="2">
        <v>1.477867</v>
      </c>
      <c r="CJ82" s="2">
        <v>1.535067</v>
      </c>
      <c r="CK82" s="2">
        <v>1.5044999999999999</v>
      </c>
      <c r="CL82" s="2">
        <v>1.4915670000000001</v>
      </c>
      <c r="CM82" s="2">
        <v>1.4884999999999999</v>
      </c>
      <c r="CN82" s="2">
        <v>1.503933</v>
      </c>
      <c r="CO82" s="2">
        <v>1.5513669999999999</v>
      </c>
      <c r="CP82" s="2">
        <v>1.5846</v>
      </c>
      <c r="CQ82" s="2">
        <v>1.5824</v>
      </c>
      <c r="CR82" s="2">
        <v>1.5963670000000001</v>
      </c>
      <c r="CS82" s="2">
        <v>1.573933</v>
      </c>
      <c r="CT82" s="2">
        <v>1.56</v>
      </c>
      <c r="CU82" s="2">
        <v>1.5313669999999999</v>
      </c>
      <c r="CV82" s="2">
        <v>1.523833</v>
      </c>
      <c r="CW82" s="2">
        <v>1.5546</v>
      </c>
      <c r="CX82" s="2">
        <v>1.6378330000000001</v>
      </c>
      <c r="CY82" s="2">
        <v>1.629867</v>
      </c>
      <c r="CZ82" s="2">
        <v>1.6358330000000001</v>
      </c>
      <c r="DA82" s="2">
        <v>1.6250329999999999</v>
      </c>
      <c r="DB82" s="2">
        <v>1.660533</v>
      </c>
      <c r="DC82" s="2">
        <v>1.6459999999999999</v>
      </c>
      <c r="DD82" s="2">
        <v>1.6535329999999999</v>
      </c>
      <c r="DE82" s="2">
        <v>1.652633</v>
      </c>
      <c r="DF82" s="2">
        <v>1.6758999999999999</v>
      </c>
      <c r="DG82" s="2">
        <v>1.6335</v>
      </c>
      <c r="DH82" s="2">
        <v>1.606967</v>
      </c>
      <c r="DI82" s="2">
        <v>1.6021000000000001</v>
      </c>
      <c r="DJ82" s="2">
        <v>1.6306</v>
      </c>
      <c r="DK82" s="2">
        <v>1.606733</v>
      </c>
      <c r="DL82" s="2">
        <v>1.5333669999999999</v>
      </c>
      <c r="DM82" s="2">
        <v>1.4784330000000001</v>
      </c>
      <c r="DN82" s="2">
        <v>1.4463999999999999</v>
      </c>
      <c r="DO82" s="2">
        <v>1.4583999999999999</v>
      </c>
      <c r="DP82" s="2">
        <v>1.4207669999999999</v>
      </c>
      <c r="DQ82" s="2">
        <v>1.437967</v>
      </c>
      <c r="DR82" s="2">
        <v>1.4428000000000001</v>
      </c>
      <c r="DS82" s="2">
        <v>1.425967</v>
      </c>
      <c r="DT82" s="2">
        <v>1.4630000000000001</v>
      </c>
      <c r="DU82" s="2">
        <v>1.5494669999999999</v>
      </c>
      <c r="DV82" s="2">
        <v>1.5720000000000001</v>
      </c>
      <c r="DW82" s="2">
        <v>1.603</v>
      </c>
      <c r="DX82" s="2">
        <v>1.6194329999999999</v>
      </c>
      <c r="DY82" s="2">
        <v>1.6107670000000001</v>
      </c>
      <c r="DZ82" s="2">
        <v>1.7064999999999999</v>
      </c>
      <c r="EA82" s="2">
        <v>1.8391329999999999</v>
      </c>
      <c r="EB82" s="2">
        <v>1.8051999999999999</v>
      </c>
      <c r="EC82" s="2">
        <v>1.8189</v>
      </c>
      <c r="ED82" s="2">
        <v>1.8647670000000001</v>
      </c>
      <c r="EE82" s="2">
        <v>1.890433</v>
      </c>
      <c r="EF82" s="2">
        <v>1.8559000000000001</v>
      </c>
      <c r="EG82" s="2">
        <v>1.7844329999999999</v>
      </c>
      <c r="EH82" s="2">
        <v>1.7481</v>
      </c>
      <c r="EI82" s="2">
        <v>1.752767</v>
      </c>
      <c r="EJ82" s="2">
        <v>1.827167</v>
      </c>
      <c r="EK82" s="2">
        <v>1.8746</v>
      </c>
      <c r="EL82" s="2">
        <v>1.9169</v>
      </c>
      <c r="EM82" s="2">
        <v>1.9546330000000001</v>
      </c>
      <c r="EN82" s="2">
        <v>1.9869669999999999</v>
      </c>
      <c r="EO82" s="2">
        <v>2.0211329999999998</v>
      </c>
      <c r="EP82" s="2">
        <v>2.0444</v>
      </c>
      <c r="EQ82" s="2">
        <v>1.9789330000000001</v>
      </c>
      <c r="ER82" s="2">
        <v>1.9705330000000001</v>
      </c>
      <c r="ES82" s="2">
        <v>1.8918330000000001</v>
      </c>
      <c r="ET82" s="2">
        <v>1.5699000000000001</v>
      </c>
      <c r="EU82" s="2">
        <v>1.4345669999999999</v>
      </c>
      <c r="EV82" s="2">
        <v>1.550333</v>
      </c>
      <c r="EW82" s="2">
        <v>1.6411</v>
      </c>
      <c r="EX82" s="2">
        <v>1.6345000000000001</v>
      </c>
      <c r="EY82" s="2">
        <v>1.5609999999999999</v>
      </c>
      <c r="EZ82" s="2">
        <v>1.4909330000000001</v>
      </c>
      <c r="FA82" s="2">
        <v>1.5512330000000001</v>
      </c>
      <c r="FB82" s="2">
        <v>1.580867</v>
      </c>
      <c r="FC82" s="2">
        <v>1.6028</v>
      </c>
      <c r="FD82" s="2">
        <v>1.629033</v>
      </c>
      <c r="FE82" s="2">
        <v>1.6092</v>
      </c>
      <c r="FF82" s="2">
        <v>1.5716330000000001</v>
      </c>
      <c r="FG82" s="2">
        <v>1.571167</v>
      </c>
      <c r="FH82" s="2">
        <v>1.583</v>
      </c>
      <c r="FI82" s="2">
        <v>1.5808</v>
      </c>
      <c r="FJ82" s="2">
        <v>1.606133</v>
      </c>
      <c r="FK82" s="2">
        <v>1.5503670000000001</v>
      </c>
      <c r="FL82" s="2">
        <v>1.5359670000000001</v>
      </c>
      <c r="FM82" s="2">
        <v>1.5514669999999999</v>
      </c>
      <c r="FN82" s="2">
        <v>1.6191</v>
      </c>
      <c r="FO82" s="2">
        <v>1.6553</v>
      </c>
      <c r="FP82" s="2">
        <v>1.6831</v>
      </c>
      <c r="FQ82" s="2">
        <v>1.6694329999999999</v>
      </c>
      <c r="FR82" s="2">
        <v>1.5829329999999999</v>
      </c>
      <c r="FS82" s="2">
        <v>1.514467</v>
      </c>
      <c r="FT82" s="2">
        <v>1.5335000000000001</v>
      </c>
      <c r="FU82" s="2">
        <v>1.548967</v>
      </c>
      <c r="FV82" s="2">
        <v>1.5170669999999999</v>
      </c>
      <c r="FW82" s="2">
        <v>1.430833</v>
      </c>
      <c r="FX82" s="2">
        <v>1.434633</v>
      </c>
      <c r="FY82" s="2">
        <v>1.312767</v>
      </c>
      <c r="FZ82" s="2">
        <v>1.2416</v>
      </c>
      <c r="GA82" s="2">
        <v>1.239633</v>
      </c>
      <c r="GB82" s="2">
        <v>1.279933</v>
      </c>
      <c r="GC82" s="2">
        <v>1.3090999999999999</v>
      </c>
      <c r="GD82" s="2">
        <v>1.327267</v>
      </c>
      <c r="GE82" s="2">
        <v>1.3920999999999999</v>
      </c>
      <c r="GF82" s="2">
        <v>1.361</v>
      </c>
      <c r="GG82" s="2">
        <v>1.3037000000000001</v>
      </c>
      <c r="GH82" s="2">
        <v>1.285833</v>
      </c>
      <c r="GI82" s="2">
        <v>1.302767</v>
      </c>
      <c r="GJ82" s="2">
        <v>1.2851999999999999</v>
      </c>
      <c r="GK82" s="2">
        <v>1.2325999999999999</v>
      </c>
      <c r="GL82" s="2">
        <v>1.287933</v>
      </c>
      <c r="GM82" s="2">
        <v>1.279733</v>
      </c>
      <c r="GN82" s="2">
        <v>1.2412000000000001</v>
      </c>
      <c r="GO82" s="2">
        <v>1.2924329999999999</v>
      </c>
      <c r="GP82" s="2">
        <v>1.3208</v>
      </c>
      <c r="GQ82" s="2">
        <v>1.378733</v>
      </c>
      <c r="GR82" s="2">
        <v>1.3986670000000001</v>
      </c>
      <c r="GS82" s="2">
        <v>1.3779669999999999</v>
      </c>
      <c r="GT82" s="2">
        <v>1.3481669999999999</v>
      </c>
      <c r="GU82" s="2">
        <v>1.3424</v>
      </c>
      <c r="GV82" s="2">
        <v>1.2549999999999999</v>
      </c>
      <c r="GW82" s="2">
        <v>1.177133</v>
      </c>
      <c r="GX82" s="2">
        <v>1.1745000000000001</v>
      </c>
      <c r="GY82" s="2">
        <v>1.215133</v>
      </c>
      <c r="GZ82" s="2">
        <v>1.2518670000000001</v>
      </c>
      <c r="HA82" s="2">
        <v>1.2659</v>
      </c>
      <c r="HB82" s="2">
        <v>1.2417</v>
      </c>
      <c r="HC82" s="2">
        <v>1.2679670000000001</v>
      </c>
      <c r="HD82" s="2">
        <v>1.2618670000000001</v>
      </c>
      <c r="HE82" s="2">
        <v>1.300467</v>
      </c>
      <c r="HF82" s="2">
        <v>1.2814000000000001</v>
      </c>
      <c r="HG82" s="3">
        <v>1.244092</v>
      </c>
      <c r="HH82" s="3">
        <v>1.239412</v>
      </c>
      <c r="HI82" s="3">
        <v>1.2461629999999999</v>
      </c>
      <c r="HJ82" s="3">
        <v>1.252475</v>
      </c>
      <c r="HK82" s="3">
        <v>1.257549</v>
      </c>
      <c r="HL82" s="3">
        <v>1.2608349999999999</v>
      </c>
      <c r="HM82" s="3">
        <v>1.263207</v>
      </c>
      <c r="HN82" s="3">
        <v>1.2655799999999999</v>
      </c>
      <c r="HO82" s="3">
        <v>1.267954</v>
      </c>
      <c r="HP82" s="3">
        <v>1.2703279999999999</v>
      </c>
      <c r="HQ82" s="3">
        <v>1.2727029999999999</v>
      </c>
      <c r="HR82" s="3">
        <v>1.27508</v>
      </c>
      <c r="HS82" s="3">
        <v>1.2774559999999999</v>
      </c>
      <c r="HT82" s="3">
        <v>1.2798339999999999</v>
      </c>
      <c r="HU82" s="3">
        <v>1.2822119999999999</v>
      </c>
      <c r="HV82" s="3">
        <v>1.2848580000000001</v>
      </c>
      <c r="HW82" s="3">
        <v>1.287771</v>
      </c>
      <c r="HX82" s="3">
        <v>1.2906850000000001</v>
      </c>
      <c r="HY82" s="3">
        <v>1.2936000000000001</v>
      </c>
      <c r="HZ82" s="3">
        <v>1.2975289999999999</v>
      </c>
      <c r="IA82" s="3">
        <v>1.301534</v>
      </c>
      <c r="IB82" s="3">
        <v>1.3045929999999999</v>
      </c>
      <c r="IC82" s="3">
        <v>1.307639</v>
      </c>
      <c r="ID82" s="3">
        <v>1.310673</v>
      </c>
      <c r="IE82" s="3">
        <v>1.313696</v>
      </c>
      <c r="IF82" s="3">
        <v>1.3167070000000001</v>
      </c>
      <c r="IG82" s="3">
        <v>1.319707</v>
      </c>
      <c r="IH82" s="3">
        <v>1.322695</v>
      </c>
      <c r="II82" s="3">
        <v>1.3256699999999999</v>
      </c>
      <c r="IJ82" s="3">
        <v>1.328633</v>
      </c>
      <c r="IK82" s="3">
        <v>1.3315840000000001</v>
      </c>
      <c r="IL82" s="3">
        <v>1.334525</v>
      </c>
      <c r="IM82" s="3">
        <v>1.3374539999999999</v>
      </c>
      <c r="IN82" s="3">
        <v>1.3403700000000001</v>
      </c>
      <c r="IO82" s="3">
        <v>1.3432740000000001</v>
      </c>
      <c r="IP82" s="3">
        <v>1.346166</v>
      </c>
      <c r="IQ82" s="3">
        <v>1.3490470000000001</v>
      </c>
      <c r="IR82" s="3">
        <v>1.3519159999999999</v>
      </c>
      <c r="IS82" s="3">
        <v>1.3547739999999999</v>
      </c>
      <c r="IT82" s="3">
        <v>1.35762</v>
      </c>
      <c r="IU82" s="3">
        <v>1.3604529999999999</v>
      </c>
      <c r="IV82" s="3">
        <v>1.3632740000000001</v>
      </c>
      <c r="IW82" s="3">
        <v>1.3660840000000001</v>
      </c>
      <c r="IX82" s="3">
        <v>1.3688819999999999</v>
      </c>
      <c r="IY82" s="3">
        <v>1.3716680000000001</v>
      </c>
      <c r="IZ82" s="3">
        <v>1.3744430000000001</v>
      </c>
      <c r="JA82" s="3">
        <v>1.377205</v>
      </c>
      <c r="JB82" s="3">
        <v>1.379956</v>
      </c>
      <c r="JC82" s="3">
        <v>1.382695</v>
      </c>
      <c r="JD82" s="3">
        <v>1.3854219999999999</v>
      </c>
      <c r="JE82" s="3">
        <v>1.388137</v>
      </c>
      <c r="JF82" s="3">
        <v>1.3908400000000001</v>
      </c>
      <c r="JG82" s="3">
        <v>1.393532</v>
      </c>
      <c r="JH82" s="3">
        <v>1.396212</v>
      </c>
      <c r="JI82" s="3">
        <v>1.398164</v>
      </c>
      <c r="JJ82" s="3">
        <v>1.3993899999999999</v>
      </c>
      <c r="JK82" s="3">
        <v>1.400002</v>
      </c>
      <c r="JL82" s="3">
        <v>1.400002</v>
      </c>
      <c r="JM82" s="3">
        <v>1.4000010000000001</v>
      </c>
      <c r="JN82" s="3">
        <v>1.4000010000000001</v>
      </c>
      <c r="JO82" s="3">
        <v>1.4000010000000001</v>
      </c>
      <c r="JP82" s="3">
        <v>1.4000010000000001</v>
      </c>
      <c r="JQ82" s="3">
        <v>1.4</v>
      </c>
      <c r="JR82" s="3">
        <v>1.4</v>
      </c>
      <c r="JS82" s="3">
        <v>1.4</v>
      </c>
      <c r="JT82" s="3">
        <v>1.4</v>
      </c>
      <c r="JU82" s="3">
        <v>1.4</v>
      </c>
      <c r="JV82" s="3">
        <v>1.4</v>
      </c>
      <c r="JW82" s="3">
        <v>1.4</v>
      </c>
      <c r="JX82" s="3">
        <v>1.4</v>
      </c>
      <c r="JY82" s="3">
        <v>1.4</v>
      </c>
      <c r="JZ82" s="3">
        <v>1.4</v>
      </c>
      <c r="KA82" s="3">
        <v>1.4</v>
      </c>
      <c r="KB82" s="3">
        <v>1.4</v>
      </c>
      <c r="KC82" s="3">
        <v>1.4</v>
      </c>
      <c r="KD82" s="3">
        <v>1.4</v>
      </c>
      <c r="KE82" s="3">
        <v>1.4</v>
      </c>
      <c r="KF82" s="3">
        <v>1.4</v>
      </c>
      <c r="KG82" s="3">
        <v>1.4</v>
      </c>
      <c r="KH82" s="3">
        <v>1.4</v>
      </c>
      <c r="KI82" s="3">
        <v>1.4</v>
      </c>
      <c r="KJ82" s="3">
        <v>1.4</v>
      </c>
      <c r="KK82" s="3">
        <v>1.4</v>
      </c>
      <c r="KL82" s="3">
        <v>1.4</v>
      </c>
      <c r="KM82" s="3">
        <v>1.4</v>
      </c>
      <c r="KN82" s="3">
        <v>1.4</v>
      </c>
      <c r="KO82" s="3">
        <v>1.4</v>
      </c>
      <c r="KP82" s="3">
        <v>1.4</v>
      </c>
      <c r="KQ82" s="3">
        <v>1.4</v>
      </c>
      <c r="KR82" s="3">
        <v>1.4</v>
      </c>
      <c r="KS82" s="3">
        <v>1.4</v>
      </c>
      <c r="KT82" s="3">
        <v>1.4</v>
      </c>
      <c r="KU82" s="3">
        <v>1.4</v>
      </c>
      <c r="KV82" s="3">
        <v>1.4</v>
      </c>
      <c r="KW82" s="3">
        <v>1.4</v>
      </c>
      <c r="KX82" s="3">
        <v>1.4</v>
      </c>
      <c r="KY82" s="3">
        <v>1.4</v>
      </c>
      <c r="KZ82" s="3">
        <v>1.4</v>
      </c>
      <c r="LA82" s="3">
        <v>1.4</v>
      </c>
      <c r="LB82" s="3">
        <v>1.4</v>
      </c>
      <c r="LC82" s="3">
        <v>1.4</v>
      </c>
      <c r="LD82" s="3">
        <v>1.4</v>
      </c>
      <c r="LE82" s="3">
        <v>1.4</v>
      </c>
      <c r="LF82" s="3">
        <v>1.4</v>
      </c>
      <c r="LG82" s="3">
        <v>1.4</v>
      </c>
      <c r="LH82" s="3">
        <v>1.4</v>
      </c>
      <c r="LI82" s="3">
        <v>1.4</v>
      </c>
      <c r="LJ82" s="3">
        <v>1.4</v>
      </c>
      <c r="LK82" s="3">
        <v>1.4</v>
      </c>
      <c r="LL82" s="3">
        <v>1.4</v>
      </c>
      <c r="LM82" s="3">
        <v>1.4</v>
      </c>
      <c r="LN82" s="3">
        <v>1.4</v>
      </c>
      <c r="LO82" s="3">
        <v>1.4</v>
      </c>
      <c r="LP82" s="3">
        <v>1.4</v>
      </c>
      <c r="LQ82" s="3">
        <v>1.4</v>
      </c>
      <c r="LR82" s="3">
        <v>1.4</v>
      </c>
      <c r="LS82" s="3">
        <v>1.4</v>
      </c>
      <c r="LT82" s="3">
        <v>1.4</v>
      </c>
      <c r="LU82" s="3">
        <v>1.4</v>
      </c>
      <c r="LV82" s="3">
        <v>1.4</v>
      </c>
      <c r="LW82" s="3">
        <v>1.4</v>
      </c>
      <c r="LX82" s="3">
        <v>1.4</v>
      </c>
      <c r="LY82" s="3">
        <v>1.4</v>
      </c>
      <c r="LZ82" s="3">
        <v>1.4</v>
      </c>
      <c r="MA82" s="3">
        <v>1.4</v>
      </c>
      <c r="MB82" s="3">
        <v>1.4</v>
      </c>
      <c r="MC82" s="3">
        <v>1.4</v>
      </c>
      <c r="MD82" s="3">
        <v>1.4</v>
      </c>
      <c r="ME82" s="3">
        <v>1.4</v>
      </c>
      <c r="MF82" s="3">
        <v>1.4</v>
      </c>
      <c r="MG82" s="3">
        <v>1.4</v>
      </c>
      <c r="MH82" s="3">
        <v>1.4</v>
      </c>
      <c r="MI82" s="3">
        <v>1.4</v>
      </c>
      <c r="MJ82" s="3">
        <v>1.4</v>
      </c>
      <c r="MK82" s="3">
        <v>1.4</v>
      </c>
      <c r="ML82" s="3">
        <v>1.4</v>
      </c>
      <c r="MM82" s="3">
        <v>1.4</v>
      </c>
      <c r="MN82" s="3">
        <v>1.4</v>
      </c>
      <c r="MO82" s="3">
        <v>1.4</v>
      </c>
      <c r="MP82" s="3">
        <v>1.4</v>
      </c>
      <c r="MQ82" s="3">
        <v>1.4</v>
      </c>
      <c r="MR82" s="3">
        <v>1.4</v>
      </c>
      <c r="MS82" s="3">
        <v>1.4</v>
      </c>
      <c r="MT82" s="3">
        <v>1.4</v>
      </c>
      <c r="MU82" t="s">
        <v>427</v>
      </c>
      <c r="MV82" t="b">
        <v>0</v>
      </c>
      <c r="MW82" t="s">
        <v>377</v>
      </c>
      <c r="MX82" t="s">
        <v>377</v>
      </c>
      <c r="MY82">
        <v>2024</v>
      </c>
      <c r="MZ82">
        <v>4</v>
      </c>
      <c r="NA82" t="s">
        <v>377</v>
      </c>
      <c r="NB82" t="s">
        <v>428</v>
      </c>
      <c r="NC82" s="1" t="s">
        <v>429</v>
      </c>
      <c r="ND82" t="s">
        <v>380</v>
      </c>
      <c r="NE82" t="s">
        <v>430</v>
      </c>
      <c r="NF82" s="1" t="s">
        <v>528</v>
      </c>
    </row>
    <row r="83" spans="1:370" x14ac:dyDescent="0.25">
      <c r="A83" t="s">
        <v>382</v>
      </c>
      <c r="B83" t="s">
        <v>431</v>
      </c>
      <c r="C83" s="1" t="s">
        <v>527</v>
      </c>
      <c r="D83" t="s">
        <v>432</v>
      </c>
      <c r="E83" t="s">
        <v>377</v>
      </c>
      <c r="F83" t="s">
        <v>374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  <c r="AN83" s="2">
        <v>1</v>
      </c>
      <c r="AO83" s="2">
        <v>1</v>
      </c>
      <c r="AP83" s="2">
        <v>1</v>
      </c>
      <c r="AQ83" s="2">
        <v>1</v>
      </c>
      <c r="AR83" s="2">
        <v>1</v>
      </c>
      <c r="AS83" s="2">
        <v>1</v>
      </c>
      <c r="AT83" s="2">
        <v>1</v>
      </c>
      <c r="AU83" s="2">
        <v>1</v>
      </c>
      <c r="AV83" s="2">
        <v>1</v>
      </c>
      <c r="AW83" s="2">
        <v>1</v>
      </c>
      <c r="AX83" s="2">
        <v>1</v>
      </c>
      <c r="AY83" s="2">
        <v>1</v>
      </c>
      <c r="AZ83" s="2">
        <v>1</v>
      </c>
      <c r="BA83" s="2">
        <v>1</v>
      </c>
      <c r="BB83" s="2">
        <v>1</v>
      </c>
      <c r="BC83" s="2">
        <v>1</v>
      </c>
      <c r="BD83" s="2">
        <v>1</v>
      </c>
      <c r="BE83" s="2">
        <v>1</v>
      </c>
      <c r="BF83" s="2">
        <v>1</v>
      </c>
      <c r="BG83" s="2">
        <v>1</v>
      </c>
      <c r="BH83" s="2">
        <v>1</v>
      </c>
      <c r="BI83" s="2">
        <v>1</v>
      </c>
      <c r="BJ83" s="2">
        <v>1</v>
      </c>
      <c r="BK83" s="2">
        <v>1</v>
      </c>
      <c r="BL83" s="2">
        <v>1</v>
      </c>
      <c r="BM83" s="2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1</v>
      </c>
      <c r="CH83" s="2">
        <v>1</v>
      </c>
      <c r="CI83" s="2">
        <v>1</v>
      </c>
      <c r="CJ83" s="2">
        <v>1</v>
      </c>
      <c r="CK83" s="2">
        <v>1</v>
      </c>
      <c r="CL83" s="2">
        <v>1</v>
      </c>
      <c r="CM83" s="2">
        <v>1</v>
      </c>
      <c r="CN83" s="2">
        <v>1</v>
      </c>
      <c r="CO83" s="2">
        <v>1</v>
      </c>
      <c r="CP83" s="2">
        <v>1</v>
      </c>
      <c r="CQ83" s="2">
        <v>1</v>
      </c>
      <c r="CR83" s="2">
        <v>1</v>
      </c>
      <c r="CS83" s="2">
        <v>1</v>
      </c>
      <c r="CT83" s="2">
        <v>1</v>
      </c>
      <c r="CU83" s="2">
        <v>1</v>
      </c>
      <c r="CV83" s="2">
        <v>1</v>
      </c>
      <c r="CW83" s="2">
        <v>1</v>
      </c>
      <c r="CX83" s="2">
        <v>1</v>
      </c>
      <c r="CY83" s="2">
        <v>1</v>
      </c>
      <c r="CZ83" s="2">
        <v>1</v>
      </c>
      <c r="DA83" s="2">
        <v>1</v>
      </c>
      <c r="DB83" s="2">
        <v>1</v>
      </c>
      <c r="DC83" s="2">
        <v>1</v>
      </c>
      <c r="DD83" s="2">
        <v>1</v>
      </c>
      <c r="DE83" s="2">
        <v>1</v>
      </c>
      <c r="DF83" s="2">
        <v>1</v>
      </c>
      <c r="DG83" s="2">
        <v>1</v>
      </c>
      <c r="DH83" s="2">
        <v>1</v>
      </c>
      <c r="DI83" s="2">
        <v>1</v>
      </c>
      <c r="DJ83" s="2">
        <v>1</v>
      </c>
      <c r="DK83" s="2">
        <v>1</v>
      </c>
      <c r="DL83" s="2">
        <v>1</v>
      </c>
      <c r="DM83" s="2">
        <v>1</v>
      </c>
      <c r="DN83" s="2">
        <v>1</v>
      </c>
      <c r="DO83" s="2">
        <v>1</v>
      </c>
      <c r="DP83" s="2">
        <v>1</v>
      </c>
      <c r="DQ83" s="2">
        <v>1</v>
      </c>
      <c r="DR83" s="2">
        <v>1</v>
      </c>
      <c r="DS83" s="2">
        <v>1</v>
      </c>
      <c r="DT83" s="2">
        <v>1</v>
      </c>
      <c r="DU83" s="2">
        <v>1</v>
      </c>
      <c r="DV83" s="2">
        <v>1</v>
      </c>
      <c r="DW83" s="2">
        <v>1</v>
      </c>
      <c r="DX83" s="2">
        <v>1</v>
      </c>
      <c r="DY83" s="2">
        <v>1</v>
      </c>
      <c r="DZ83" s="2">
        <v>1</v>
      </c>
      <c r="EA83" s="2">
        <v>1</v>
      </c>
      <c r="EB83" s="2">
        <v>1</v>
      </c>
      <c r="EC83" s="2">
        <v>1</v>
      </c>
      <c r="ED83" s="2">
        <v>1</v>
      </c>
      <c r="EE83" s="2">
        <v>1</v>
      </c>
      <c r="EF83" s="2">
        <v>1</v>
      </c>
      <c r="EG83" s="2">
        <v>1</v>
      </c>
      <c r="EH83" s="2">
        <v>1</v>
      </c>
      <c r="EI83" s="2">
        <v>1</v>
      </c>
      <c r="EJ83" s="2">
        <v>1</v>
      </c>
      <c r="EK83" s="2">
        <v>1</v>
      </c>
      <c r="EL83" s="2">
        <v>1</v>
      </c>
      <c r="EM83" s="2">
        <v>1</v>
      </c>
      <c r="EN83" s="2">
        <v>1</v>
      </c>
      <c r="EO83" s="2">
        <v>1</v>
      </c>
      <c r="EP83" s="2">
        <v>1</v>
      </c>
      <c r="EQ83" s="2">
        <v>1</v>
      </c>
      <c r="ER83" s="2">
        <v>1</v>
      </c>
      <c r="ES83" s="2">
        <v>1</v>
      </c>
      <c r="ET83" s="2">
        <v>1</v>
      </c>
      <c r="EU83" s="2">
        <v>1</v>
      </c>
      <c r="EV83" s="2">
        <v>1</v>
      </c>
      <c r="EW83" s="2">
        <v>1</v>
      </c>
      <c r="EX83" s="2">
        <v>1</v>
      </c>
      <c r="EY83" s="2">
        <v>1</v>
      </c>
      <c r="EZ83" s="2">
        <v>1</v>
      </c>
      <c r="FA83" s="2">
        <v>1</v>
      </c>
      <c r="FB83" s="2">
        <v>1</v>
      </c>
      <c r="FC83" s="2">
        <v>1</v>
      </c>
      <c r="FD83" s="2">
        <v>1</v>
      </c>
      <c r="FE83" s="2">
        <v>1</v>
      </c>
      <c r="FF83" s="2">
        <v>1</v>
      </c>
      <c r="FG83" s="2">
        <v>1</v>
      </c>
      <c r="FH83" s="2">
        <v>1</v>
      </c>
      <c r="FI83" s="2">
        <v>1</v>
      </c>
      <c r="FJ83" s="2">
        <v>1</v>
      </c>
      <c r="FK83" s="2">
        <v>1</v>
      </c>
      <c r="FL83" s="2">
        <v>1</v>
      </c>
      <c r="FM83" s="2">
        <v>1</v>
      </c>
      <c r="FN83" s="2">
        <v>1</v>
      </c>
      <c r="FO83" s="2">
        <v>1</v>
      </c>
      <c r="FP83" s="2">
        <v>1</v>
      </c>
      <c r="FQ83" s="2">
        <v>1</v>
      </c>
      <c r="FR83" s="2">
        <v>1</v>
      </c>
      <c r="FS83" s="2">
        <v>1</v>
      </c>
      <c r="FT83" s="2">
        <v>1</v>
      </c>
      <c r="FU83" s="2">
        <v>1</v>
      </c>
      <c r="FV83" s="2">
        <v>1</v>
      </c>
      <c r="FW83" s="2">
        <v>1</v>
      </c>
      <c r="FX83" s="2">
        <v>1</v>
      </c>
      <c r="FY83" s="2">
        <v>1</v>
      </c>
      <c r="FZ83" s="2">
        <v>1</v>
      </c>
      <c r="GA83" s="2">
        <v>1</v>
      </c>
      <c r="GB83" s="2">
        <v>1</v>
      </c>
      <c r="GC83" s="2">
        <v>1</v>
      </c>
      <c r="GD83" s="2">
        <v>1</v>
      </c>
      <c r="GE83" s="2">
        <v>1</v>
      </c>
      <c r="GF83" s="2">
        <v>1</v>
      </c>
      <c r="GG83" s="2">
        <v>1</v>
      </c>
      <c r="GH83" s="2">
        <v>1</v>
      </c>
      <c r="GI83" s="2">
        <v>1</v>
      </c>
      <c r="GJ83" s="2">
        <v>1</v>
      </c>
      <c r="GK83" s="2">
        <v>1</v>
      </c>
      <c r="GL83" s="2">
        <v>1</v>
      </c>
      <c r="GM83" s="2">
        <v>1</v>
      </c>
      <c r="GN83" s="2">
        <v>1</v>
      </c>
      <c r="GO83" s="2">
        <v>1</v>
      </c>
      <c r="GP83" s="2">
        <v>1</v>
      </c>
      <c r="GQ83" s="2">
        <v>1</v>
      </c>
      <c r="GR83" s="2">
        <v>1</v>
      </c>
      <c r="GS83" s="2">
        <v>1</v>
      </c>
      <c r="GT83" s="2">
        <v>1</v>
      </c>
      <c r="GU83" s="2">
        <v>1</v>
      </c>
      <c r="GV83" s="2">
        <v>1</v>
      </c>
      <c r="GW83" s="2">
        <v>1</v>
      </c>
      <c r="GX83" s="2">
        <v>1</v>
      </c>
      <c r="GY83" s="2">
        <v>1</v>
      </c>
      <c r="GZ83" s="2">
        <v>1</v>
      </c>
      <c r="HA83" s="2">
        <v>1</v>
      </c>
      <c r="HB83" s="2">
        <v>1</v>
      </c>
      <c r="HC83" s="2">
        <v>1</v>
      </c>
      <c r="HD83" s="2">
        <v>1</v>
      </c>
      <c r="HE83" s="2">
        <v>1</v>
      </c>
      <c r="HF83" s="2">
        <v>1</v>
      </c>
      <c r="HG83" s="3">
        <v>1</v>
      </c>
      <c r="HH83" s="3">
        <v>1</v>
      </c>
      <c r="HI83" s="3">
        <v>1</v>
      </c>
      <c r="HJ83" s="3">
        <v>1</v>
      </c>
      <c r="HK83" s="3">
        <v>1</v>
      </c>
      <c r="HL83" s="3">
        <v>1</v>
      </c>
      <c r="HM83" s="3">
        <v>1</v>
      </c>
      <c r="HN83" s="3">
        <v>1</v>
      </c>
      <c r="HO83" s="3">
        <v>1</v>
      </c>
      <c r="HP83" s="3">
        <v>1</v>
      </c>
      <c r="HQ83" s="3">
        <v>1</v>
      </c>
      <c r="HR83" s="3">
        <v>1</v>
      </c>
      <c r="HS83" s="3">
        <v>1</v>
      </c>
      <c r="HT83" s="3">
        <v>1</v>
      </c>
      <c r="HU83" s="3">
        <v>1</v>
      </c>
      <c r="HV83" s="3">
        <v>1</v>
      </c>
      <c r="HW83" s="3">
        <v>1</v>
      </c>
      <c r="HX83" s="3">
        <v>1</v>
      </c>
      <c r="HY83" s="3">
        <v>1</v>
      </c>
      <c r="HZ83" s="3">
        <v>1</v>
      </c>
      <c r="IA83" s="3">
        <v>1</v>
      </c>
      <c r="IB83" s="3">
        <v>1</v>
      </c>
      <c r="IC83" s="3">
        <v>1</v>
      </c>
      <c r="ID83" s="3">
        <v>1</v>
      </c>
      <c r="IE83" s="3">
        <v>1</v>
      </c>
      <c r="IF83" s="3">
        <v>1</v>
      </c>
      <c r="IG83" s="3">
        <v>1</v>
      </c>
      <c r="IH83" s="3">
        <v>1</v>
      </c>
      <c r="II83" s="3">
        <v>1</v>
      </c>
      <c r="IJ83" s="3">
        <v>1</v>
      </c>
      <c r="IK83" s="3">
        <v>1</v>
      </c>
      <c r="IL83" s="3">
        <v>1</v>
      </c>
      <c r="IM83" s="3">
        <v>1</v>
      </c>
      <c r="IN83" s="3">
        <v>1</v>
      </c>
      <c r="IO83" s="3">
        <v>1</v>
      </c>
      <c r="IP83" s="3">
        <v>1</v>
      </c>
      <c r="IQ83" s="3">
        <v>1</v>
      </c>
      <c r="IR83" s="3">
        <v>1</v>
      </c>
      <c r="IS83" s="3">
        <v>1</v>
      </c>
      <c r="IT83" s="3">
        <v>1</v>
      </c>
      <c r="IU83" s="3">
        <v>1</v>
      </c>
      <c r="IV83" s="3">
        <v>1</v>
      </c>
      <c r="IW83" s="3">
        <v>1</v>
      </c>
      <c r="IX83" s="3">
        <v>1</v>
      </c>
      <c r="IY83" s="3">
        <v>1</v>
      </c>
      <c r="IZ83" s="3">
        <v>1</v>
      </c>
      <c r="JA83" s="3">
        <v>1</v>
      </c>
      <c r="JB83" s="3">
        <v>1</v>
      </c>
      <c r="JC83" s="3">
        <v>1</v>
      </c>
      <c r="JD83" s="3">
        <v>1</v>
      </c>
      <c r="JE83" s="3">
        <v>1</v>
      </c>
      <c r="JF83" s="3">
        <v>1</v>
      </c>
      <c r="JG83" s="3">
        <v>1</v>
      </c>
      <c r="JH83" s="3">
        <v>1</v>
      </c>
      <c r="JI83" s="3">
        <v>1</v>
      </c>
      <c r="JJ83" s="3">
        <v>1</v>
      </c>
      <c r="JK83" s="3">
        <v>1</v>
      </c>
      <c r="JL83" s="3">
        <v>1</v>
      </c>
      <c r="JM83" s="3">
        <v>1</v>
      </c>
      <c r="JN83" s="3">
        <v>1</v>
      </c>
      <c r="JO83" s="3">
        <v>1</v>
      </c>
      <c r="JP83" s="3">
        <v>1</v>
      </c>
      <c r="JQ83" s="3">
        <v>1</v>
      </c>
      <c r="JR83" s="3">
        <v>1</v>
      </c>
      <c r="JS83" s="3">
        <v>1</v>
      </c>
      <c r="JT83" s="3">
        <v>1</v>
      </c>
      <c r="JU83" s="3">
        <v>1</v>
      </c>
      <c r="JV83" s="3">
        <v>1</v>
      </c>
      <c r="JW83" s="3">
        <v>1</v>
      </c>
      <c r="JX83" s="3">
        <v>1</v>
      </c>
      <c r="JY83" s="3">
        <v>1</v>
      </c>
      <c r="JZ83" s="3">
        <v>1</v>
      </c>
      <c r="KA83" s="3">
        <v>1</v>
      </c>
      <c r="KB83" s="3">
        <v>1</v>
      </c>
      <c r="KC83" s="3">
        <v>1</v>
      </c>
      <c r="KD83" s="3">
        <v>1</v>
      </c>
      <c r="KE83" s="3">
        <v>1</v>
      </c>
      <c r="KF83" s="3">
        <v>1</v>
      </c>
      <c r="KG83" s="3">
        <v>1</v>
      </c>
      <c r="KH83" s="3">
        <v>1</v>
      </c>
      <c r="KI83" s="3">
        <v>1</v>
      </c>
      <c r="KJ83" s="3">
        <v>1</v>
      </c>
      <c r="KK83" s="3">
        <v>1</v>
      </c>
      <c r="KL83" s="3">
        <v>1</v>
      </c>
      <c r="KM83" s="3">
        <v>1</v>
      </c>
      <c r="KN83" s="3">
        <v>1</v>
      </c>
      <c r="KO83" s="3">
        <v>1</v>
      </c>
      <c r="KP83" s="3">
        <v>1</v>
      </c>
      <c r="KQ83" s="3">
        <v>1</v>
      </c>
      <c r="KR83" s="3">
        <v>1</v>
      </c>
      <c r="KS83" s="3">
        <v>1</v>
      </c>
      <c r="KT83" s="3">
        <v>1</v>
      </c>
      <c r="KU83" s="3">
        <v>1</v>
      </c>
      <c r="KV83" s="3">
        <v>1</v>
      </c>
      <c r="KW83" s="3">
        <v>1</v>
      </c>
      <c r="KX83" s="3">
        <v>1</v>
      </c>
      <c r="KY83" s="3">
        <v>1</v>
      </c>
      <c r="KZ83" s="3">
        <v>1</v>
      </c>
      <c r="LA83" s="3">
        <v>1</v>
      </c>
      <c r="LB83" s="3">
        <v>1</v>
      </c>
      <c r="LC83" s="3">
        <v>1</v>
      </c>
      <c r="LD83" s="3">
        <v>1</v>
      </c>
      <c r="LE83" s="3">
        <v>1</v>
      </c>
      <c r="LF83" s="3">
        <v>1</v>
      </c>
      <c r="LG83" s="3">
        <v>1</v>
      </c>
      <c r="LH83" s="3">
        <v>1</v>
      </c>
      <c r="LI83" s="3">
        <v>1</v>
      </c>
      <c r="LJ83" s="3">
        <v>1</v>
      </c>
      <c r="LK83" s="3">
        <v>1</v>
      </c>
      <c r="LL83" s="3">
        <v>1</v>
      </c>
      <c r="LM83" s="3">
        <v>1</v>
      </c>
      <c r="LN83" s="3">
        <v>1</v>
      </c>
      <c r="LO83" s="3">
        <v>1</v>
      </c>
      <c r="LP83" s="3">
        <v>1</v>
      </c>
      <c r="LQ83" s="3">
        <v>1</v>
      </c>
      <c r="LR83" s="3">
        <v>1</v>
      </c>
      <c r="LS83" s="3">
        <v>1</v>
      </c>
      <c r="LT83" s="3">
        <v>1</v>
      </c>
      <c r="LU83" s="3">
        <v>1</v>
      </c>
      <c r="LV83" s="3">
        <v>1</v>
      </c>
      <c r="LW83" s="3">
        <v>1</v>
      </c>
      <c r="LX83" s="3">
        <v>1</v>
      </c>
      <c r="LY83" s="3">
        <v>1</v>
      </c>
      <c r="LZ83" s="3">
        <v>1</v>
      </c>
      <c r="MA83" s="3">
        <v>1</v>
      </c>
      <c r="MB83" s="3">
        <v>1</v>
      </c>
      <c r="MC83" s="3">
        <v>1</v>
      </c>
      <c r="MD83" s="3">
        <v>1</v>
      </c>
      <c r="ME83" s="3">
        <v>1</v>
      </c>
      <c r="MF83" s="3">
        <v>1</v>
      </c>
      <c r="MG83" s="3">
        <v>1</v>
      </c>
      <c r="MH83" s="3">
        <v>1</v>
      </c>
      <c r="MI83" s="3">
        <v>1</v>
      </c>
      <c r="MJ83" s="3">
        <v>1</v>
      </c>
      <c r="MK83" s="3">
        <v>1</v>
      </c>
      <c r="ML83" s="3">
        <v>1</v>
      </c>
      <c r="MM83" s="3">
        <v>1</v>
      </c>
      <c r="MN83" s="3">
        <v>1</v>
      </c>
      <c r="MO83" s="3">
        <v>1</v>
      </c>
      <c r="MP83" s="3">
        <v>1</v>
      </c>
      <c r="MQ83" s="3">
        <v>1</v>
      </c>
      <c r="MR83" s="3">
        <v>1</v>
      </c>
      <c r="MS83" s="3">
        <v>1</v>
      </c>
      <c r="MT83" s="3">
        <v>1</v>
      </c>
      <c r="MU83" t="s">
        <v>433</v>
      </c>
      <c r="MV83" t="b">
        <v>0</v>
      </c>
      <c r="MW83" t="s">
        <v>377</v>
      </c>
      <c r="MX83" t="s">
        <v>377</v>
      </c>
      <c r="MY83">
        <v>2024</v>
      </c>
      <c r="MZ83">
        <v>4</v>
      </c>
      <c r="NA83" t="s">
        <v>377</v>
      </c>
      <c r="NB83" s="1" t="s">
        <v>434</v>
      </c>
      <c r="NC83" t="s">
        <v>377</v>
      </c>
      <c r="ND83" t="s">
        <v>389</v>
      </c>
      <c r="NE83" t="s">
        <v>430</v>
      </c>
      <c r="NF83" s="1" t="s">
        <v>528</v>
      </c>
    </row>
    <row r="84" spans="1:370" x14ac:dyDescent="0.25">
      <c r="A84" t="s">
        <v>370</v>
      </c>
      <c r="B84" t="s">
        <v>456</v>
      </c>
      <c r="C84" s="1" t="s">
        <v>527</v>
      </c>
      <c r="D84" t="s">
        <v>372</v>
      </c>
      <c r="E84" t="s">
        <v>373</v>
      </c>
      <c r="F84" t="s">
        <v>374</v>
      </c>
      <c r="G84" s="2">
        <v>247921</v>
      </c>
      <c r="H84" s="2">
        <v>248795.6</v>
      </c>
      <c r="I84" s="2">
        <v>249192.3</v>
      </c>
      <c r="J84" s="2">
        <v>249852.3</v>
      </c>
      <c r="K84" s="2">
        <v>250711.6</v>
      </c>
      <c r="L84" s="2">
        <v>251453.3</v>
      </c>
      <c r="M84" s="2">
        <v>252524.5</v>
      </c>
      <c r="N84" s="2">
        <v>253154.3</v>
      </c>
      <c r="O84" s="2">
        <v>253236.2</v>
      </c>
      <c r="P84" s="2">
        <v>253757</v>
      </c>
      <c r="Q84" s="2">
        <v>254266.6</v>
      </c>
      <c r="R84" s="2">
        <v>254664</v>
      </c>
      <c r="S84" s="2">
        <v>254816</v>
      </c>
      <c r="T84" s="2">
        <v>255097.2</v>
      </c>
      <c r="U84" s="2">
        <v>255283</v>
      </c>
      <c r="V84" s="2">
        <v>255551.9</v>
      </c>
      <c r="W84" s="2">
        <v>255798.9</v>
      </c>
      <c r="X84" s="2">
        <v>255979.1</v>
      </c>
      <c r="Y84" s="2">
        <v>256187.3</v>
      </c>
      <c r="Z84" s="2">
        <v>256207</v>
      </c>
      <c r="AA84" s="2">
        <v>256193</v>
      </c>
      <c r="AB84" s="2">
        <v>257406</v>
      </c>
      <c r="AC84" s="2">
        <v>258678.39999999999</v>
      </c>
      <c r="AD84" s="2">
        <v>260270.3</v>
      </c>
      <c r="AE84" s="2">
        <v>261655.1</v>
      </c>
      <c r="AF84" s="2">
        <v>262767.09999999998</v>
      </c>
      <c r="AG84" s="2">
        <v>264311.90000000002</v>
      </c>
      <c r="AH84" s="2">
        <v>265866.3</v>
      </c>
      <c r="AI84" s="2">
        <v>268225.3</v>
      </c>
      <c r="AJ84" s="2">
        <v>269618.2</v>
      </c>
      <c r="AK84" s="2">
        <v>270906.90000000002</v>
      </c>
      <c r="AL84" s="2">
        <v>272236.7</v>
      </c>
      <c r="AM84" s="2">
        <v>273376.7</v>
      </c>
      <c r="AN84" s="2">
        <v>274189.09999999998</v>
      </c>
      <c r="AO84" s="2">
        <v>274557.90000000002</v>
      </c>
      <c r="AP84" s="2">
        <v>274762</v>
      </c>
      <c r="AQ84" s="2">
        <v>275104</v>
      </c>
      <c r="AR84" s="2">
        <v>275639.3</v>
      </c>
      <c r="AS84" s="2">
        <v>276062.8</v>
      </c>
      <c r="AT84" s="2">
        <v>276606.5</v>
      </c>
      <c r="AU84" s="2">
        <v>277254.8</v>
      </c>
      <c r="AV84" s="2">
        <v>278705.59999999998</v>
      </c>
      <c r="AW84" s="2">
        <v>281386.40000000002</v>
      </c>
      <c r="AX84" s="2">
        <v>284241.7</v>
      </c>
      <c r="AY84" s="2">
        <v>286851.90000000002</v>
      </c>
      <c r="AZ84" s="2">
        <v>289238.09999999998</v>
      </c>
      <c r="BA84" s="2">
        <v>291277.90000000002</v>
      </c>
      <c r="BB84" s="2">
        <v>293467</v>
      </c>
      <c r="BC84" s="2">
        <v>295399.5</v>
      </c>
      <c r="BD84" s="2">
        <v>297253.2</v>
      </c>
      <c r="BE84" s="2">
        <v>299226.5</v>
      </c>
      <c r="BF84" s="2">
        <v>301203.09999999998</v>
      </c>
      <c r="BG84" s="2">
        <v>303115.59999999998</v>
      </c>
      <c r="BH84" s="2">
        <v>304797</v>
      </c>
      <c r="BI84" s="2">
        <v>306863.7</v>
      </c>
      <c r="BJ84" s="2">
        <v>308796.2</v>
      </c>
      <c r="BK84" s="2">
        <v>310597.5</v>
      </c>
      <c r="BL84" s="2">
        <v>313078.09999999998</v>
      </c>
      <c r="BM84" s="2">
        <v>315712.2</v>
      </c>
      <c r="BN84" s="2">
        <v>318346.7</v>
      </c>
      <c r="BO84" s="2">
        <v>321347.3</v>
      </c>
      <c r="BP84" s="2">
        <v>324058.90000000002</v>
      </c>
      <c r="BQ84" s="2">
        <v>327016.59999999998</v>
      </c>
      <c r="BR84" s="2">
        <v>330086.90000000002</v>
      </c>
      <c r="BS84" s="2">
        <v>333453.59999999998</v>
      </c>
      <c r="BT84" s="2">
        <v>336162.5</v>
      </c>
      <c r="BU84" s="2">
        <v>338615.3</v>
      </c>
      <c r="BV84" s="2">
        <v>341204.8</v>
      </c>
      <c r="BW84" s="2">
        <v>343262.3</v>
      </c>
      <c r="BX84" s="2">
        <v>345587.5</v>
      </c>
      <c r="BY84" s="2">
        <v>347648.4</v>
      </c>
      <c r="BZ84" s="2">
        <v>349155.1</v>
      </c>
      <c r="CA84" s="2">
        <v>349599.8</v>
      </c>
      <c r="CB84" s="2">
        <v>350779.4</v>
      </c>
      <c r="CC84" s="2">
        <v>351731.6</v>
      </c>
      <c r="CD84" s="2">
        <v>352724.7</v>
      </c>
      <c r="CE84" s="2">
        <v>355136.2</v>
      </c>
      <c r="CF84" s="2">
        <v>356223.3</v>
      </c>
      <c r="CG84" s="2">
        <v>356162.6</v>
      </c>
      <c r="CH84" s="2">
        <v>356797.5</v>
      </c>
      <c r="CI84" s="2">
        <v>359456.2</v>
      </c>
      <c r="CJ84" s="2">
        <v>360765.6</v>
      </c>
      <c r="CK84" s="2">
        <v>362638.6</v>
      </c>
      <c r="CL84" s="2">
        <v>364708.6</v>
      </c>
      <c r="CM84" s="2">
        <v>367476.4</v>
      </c>
      <c r="CN84" s="2">
        <v>369402.9</v>
      </c>
      <c r="CO84" s="2">
        <v>372359.1</v>
      </c>
      <c r="CP84" s="2">
        <v>376023.1</v>
      </c>
      <c r="CQ84" s="2">
        <v>377130.7</v>
      </c>
      <c r="CR84" s="2">
        <v>379828.6</v>
      </c>
      <c r="CS84" s="2">
        <v>382034.4</v>
      </c>
      <c r="CT84" s="2">
        <v>384510.9</v>
      </c>
      <c r="CU84" s="2">
        <v>386665.7</v>
      </c>
      <c r="CV84" s="2">
        <v>390383.3</v>
      </c>
      <c r="CW84" s="2">
        <v>392124.9</v>
      </c>
      <c r="CX84" s="2">
        <v>395313.7</v>
      </c>
      <c r="CY84" s="2">
        <v>398137.5</v>
      </c>
      <c r="CZ84" s="2">
        <v>401790</v>
      </c>
      <c r="DA84" s="2">
        <v>403525.4</v>
      </c>
      <c r="DB84" s="2">
        <v>404659</v>
      </c>
      <c r="DC84" s="2">
        <v>407458.6</v>
      </c>
      <c r="DD84" s="2">
        <v>410117.8</v>
      </c>
      <c r="DE84" s="2">
        <v>413020.8</v>
      </c>
      <c r="DF84" s="2">
        <v>414237.5</v>
      </c>
      <c r="DG84" s="2">
        <v>418633.6</v>
      </c>
      <c r="DH84" s="2">
        <v>421081</v>
      </c>
      <c r="DI84" s="2">
        <v>424298.3</v>
      </c>
      <c r="DJ84" s="2">
        <v>427761.1</v>
      </c>
      <c r="DK84" s="2">
        <v>426391.7</v>
      </c>
      <c r="DL84" s="2">
        <v>430966.1</v>
      </c>
      <c r="DM84" s="2">
        <v>434245.8</v>
      </c>
      <c r="DN84" s="2">
        <v>438874.7</v>
      </c>
      <c r="DO84" s="2">
        <v>441485</v>
      </c>
      <c r="DP84" s="2">
        <v>445913.7</v>
      </c>
      <c r="DQ84" s="2">
        <v>448067</v>
      </c>
      <c r="DR84" s="2">
        <v>450476.7</v>
      </c>
      <c r="DS84" s="2">
        <v>453318.6</v>
      </c>
      <c r="DT84" s="2">
        <v>454633.9</v>
      </c>
      <c r="DU84" s="2">
        <v>459691.7</v>
      </c>
      <c r="DV84" s="2">
        <v>461937.7</v>
      </c>
      <c r="DW84" s="2">
        <v>464823.3</v>
      </c>
      <c r="DX84" s="2">
        <v>468109.3</v>
      </c>
      <c r="DY84" s="2">
        <v>471388.4</v>
      </c>
      <c r="DZ84" s="2">
        <v>472083.4</v>
      </c>
      <c r="EA84" s="2">
        <v>477050.3</v>
      </c>
      <c r="EB84" s="2">
        <v>478935.3</v>
      </c>
      <c r="EC84" s="2">
        <v>481606.7</v>
      </c>
      <c r="ED84" s="2">
        <v>487824.2</v>
      </c>
      <c r="EE84" s="2">
        <v>491443.7</v>
      </c>
      <c r="EF84" s="2">
        <v>493452.2</v>
      </c>
      <c r="EG84" s="2">
        <v>498290.1</v>
      </c>
      <c r="EH84" s="2">
        <v>501515.9</v>
      </c>
      <c r="EI84" s="2">
        <v>505074.1</v>
      </c>
      <c r="EJ84" s="2">
        <v>508093.1</v>
      </c>
      <c r="EK84" s="2">
        <v>511498</v>
      </c>
      <c r="EL84" s="2">
        <v>515389</v>
      </c>
      <c r="EM84" s="2">
        <v>517232.5</v>
      </c>
      <c r="EN84" s="2">
        <v>521524.9</v>
      </c>
      <c r="EO84" s="2">
        <v>523719.4</v>
      </c>
      <c r="EP84" s="2">
        <v>525015.1</v>
      </c>
      <c r="EQ84" s="2">
        <v>531697.80000000005</v>
      </c>
      <c r="ER84" s="2">
        <v>530216.80000000005</v>
      </c>
      <c r="ES84" s="2">
        <v>534172.1</v>
      </c>
      <c r="ET84" s="2">
        <v>535804.5</v>
      </c>
      <c r="EU84" s="2">
        <v>533759.80000000005</v>
      </c>
      <c r="EV84" s="2">
        <v>536113.80000000005</v>
      </c>
      <c r="EW84" s="2">
        <v>534851.30000000005</v>
      </c>
      <c r="EX84" s="2">
        <v>535730.69999999995</v>
      </c>
      <c r="EY84" s="2">
        <v>537208.69999999995</v>
      </c>
      <c r="EZ84" s="2">
        <v>539485.5</v>
      </c>
      <c r="FA84" s="2">
        <v>542141.19999999995</v>
      </c>
      <c r="FB84" s="2">
        <v>544782</v>
      </c>
      <c r="FC84" s="2">
        <v>545464.80000000005</v>
      </c>
      <c r="FD84" s="2">
        <v>542351.6</v>
      </c>
      <c r="FE84" s="2">
        <v>547245.6</v>
      </c>
      <c r="FF84" s="2">
        <v>548040.19999999995</v>
      </c>
      <c r="FG84" s="2">
        <v>550730.30000000005</v>
      </c>
      <c r="FH84" s="2">
        <v>553420.6</v>
      </c>
      <c r="FI84" s="2">
        <v>558403.6</v>
      </c>
      <c r="FJ84" s="2">
        <v>559890.80000000005</v>
      </c>
      <c r="FK84" s="2">
        <v>561308.9</v>
      </c>
      <c r="FL84" s="2">
        <v>563203.4</v>
      </c>
      <c r="FM84" s="2">
        <v>568069.19999999995</v>
      </c>
      <c r="FN84" s="2">
        <v>567452.4</v>
      </c>
      <c r="FO84" s="2">
        <v>570704.19999999995</v>
      </c>
      <c r="FP84" s="2">
        <v>573375.1</v>
      </c>
      <c r="FQ84" s="2">
        <v>575130.80000000005</v>
      </c>
      <c r="FR84" s="2">
        <v>576747.80000000005</v>
      </c>
      <c r="FS84" s="2">
        <v>579090.6</v>
      </c>
      <c r="FT84" s="2">
        <v>580661.4</v>
      </c>
      <c r="FU84" s="2">
        <v>581505.30000000005</v>
      </c>
      <c r="FV84" s="2">
        <v>589483.80000000005</v>
      </c>
      <c r="FW84" s="2">
        <v>589164.4</v>
      </c>
      <c r="FX84" s="2">
        <v>591347.30000000005</v>
      </c>
      <c r="FY84" s="2">
        <v>593632.6</v>
      </c>
      <c r="FZ84" s="2">
        <v>596720.30000000005</v>
      </c>
      <c r="GA84" s="2">
        <v>600298.30000000005</v>
      </c>
      <c r="GB84" s="2">
        <v>604180</v>
      </c>
      <c r="GC84" s="2">
        <v>601563.30000000005</v>
      </c>
      <c r="GD84" s="2">
        <v>603499.6</v>
      </c>
      <c r="GE84" s="2">
        <v>606894.1</v>
      </c>
      <c r="GF84" s="2">
        <v>608265.19999999995</v>
      </c>
      <c r="GG84" s="2">
        <v>614132.80000000005</v>
      </c>
      <c r="GH84" s="2">
        <v>614948.4</v>
      </c>
      <c r="GI84" s="2">
        <v>620590.19999999995</v>
      </c>
      <c r="GJ84" s="2">
        <v>622087.9</v>
      </c>
      <c r="GK84" s="2">
        <v>621344.1</v>
      </c>
      <c r="GL84" s="2">
        <v>621632.30000000005</v>
      </c>
      <c r="GM84" s="2">
        <v>615272.80000000005</v>
      </c>
      <c r="GN84" s="2">
        <v>539738.5</v>
      </c>
      <c r="GO84" s="2">
        <v>569315.6</v>
      </c>
      <c r="GP84" s="2">
        <v>594558.80000000005</v>
      </c>
      <c r="GQ84" s="2">
        <v>584241.6</v>
      </c>
      <c r="GR84" s="2">
        <v>604412.80000000005</v>
      </c>
      <c r="GS84" s="2">
        <v>614493.69999999995</v>
      </c>
      <c r="GT84" s="2">
        <v>616175.4</v>
      </c>
      <c r="GU84" s="2">
        <v>617268</v>
      </c>
      <c r="GV84" s="2">
        <v>619878.80000000005</v>
      </c>
      <c r="GW84" s="2">
        <v>620906.80000000005</v>
      </c>
      <c r="GX84" s="2">
        <v>624197.9</v>
      </c>
      <c r="GY84" s="2">
        <v>628224.80000000005</v>
      </c>
      <c r="GZ84" s="2">
        <v>630809.5</v>
      </c>
      <c r="HA84" s="3">
        <v>628563.6</v>
      </c>
      <c r="HB84" s="3">
        <v>630611.6</v>
      </c>
      <c r="HC84" s="3">
        <v>638390.80000000005</v>
      </c>
      <c r="HD84" s="3">
        <v>640927.9</v>
      </c>
      <c r="HE84" s="3">
        <v>646957.80000000005</v>
      </c>
      <c r="HF84" s="3">
        <v>646701.80000000005</v>
      </c>
      <c r="HG84" s="3">
        <v>648669.1</v>
      </c>
      <c r="HH84" s="3">
        <v>650558.1</v>
      </c>
      <c r="HI84" s="3">
        <v>652585</v>
      </c>
      <c r="HJ84" s="3">
        <v>654891.80000000005</v>
      </c>
      <c r="HK84" s="3">
        <v>657461.19999999995</v>
      </c>
      <c r="HL84" s="3">
        <v>659897.30000000005</v>
      </c>
      <c r="HM84" s="3">
        <v>662477.5</v>
      </c>
      <c r="HN84" s="3">
        <v>665112.80000000005</v>
      </c>
      <c r="HO84" s="3">
        <v>667681.6</v>
      </c>
      <c r="HP84" s="3">
        <v>670308.9</v>
      </c>
      <c r="HQ84" s="3">
        <v>672957.4</v>
      </c>
      <c r="HR84" s="3">
        <v>675552.1</v>
      </c>
      <c r="HS84" s="3">
        <v>678112</v>
      </c>
      <c r="HT84" s="3">
        <v>680701.8</v>
      </c>
      <c r="HU84" s="3">
        <v>683282.6</v>
      </c>
      <c r="HV84" s="3">
        <v>685867.9</v>
      </c>
      <c r="HW84" s="3">
        <v>688416.4</v>
      </c>
      <c r="HX84" s="3">
        <v>690928.3</v>
      </c>
      <c r="HY84" s="3">
        <v>693484.9</v>
      </c>
      <c r="HZ84" s="3">
        <v>696096.9</v>
      </c>
      <c r="IA84" s="3">
        <v>698716.8</v>
      </c>
      <c r="IB84" s="3">
        <v>701346.4</v>
      </c>
      <c r="IC84" s="3">
        <v>704004.1</v>
      </c>
      <c r="ID84" s="3">
        <v>706678</v>
      </c>
      <c r="IE84" s="3">
        <v>709368.8</v>
      </c>
      <c r="IF84" s="3">
        <v>712077.3</v>
      </c>
      <c r="IG84" s="3">
        <v>714838.3</v>
      </c>
      <c r="IH84" s="3">
        <v>717594.4</v>
      </c>
      <c r="II84" s="3">
        <v>720429.1</v>
      </c>
      <c r="IJ84" s="3">
        <v>723294.3</v>
      </c>
      <c r="IK84" s="3">
        <v>726205.5</v>
      </c>
      <c r="IL84" s="3">
        <v>729104.1</v>
      </c>
      <c r="IM84" s="3">
        <v>732073.6</v>
      </c>
      <c r="IN84" s="3">
        <v>734987.3</v>
      </c>
      <c r="IO84" s="3">
        <v>737874.4</v>
      </c>
      <c r="IP84" s="3">
        <v>740681.2</v>
      </c>
      <c r="IQ84" s="3">
        <v>743608.5</v>
      </c>
      <c r="IR84" s="3">
        <v>746443.4</v>
      </c>
      <c r="IS84" s="3">
        <v>749214.9</v>
      </c>
      <c r="IT84" s="3">
        <v>751947.8</v>
      </c>
      <c r="IU84" s="3">
        <v>754775.7</v>
      </c>
      <c r="IV84" s="3">
        <v>757614.2</v>
      </c>
      <c r="IW84" s="3">
        <v>760461.2</v>
      </c>
      <c r="IX84" s="3">
        <v>763315.3</v>
      </c>
      <c r="IY84" s="3">
        <v>766243.6</v>
      </c>
      <c r="IZ84" s="3">
        <v>769184.6</v>
      </c>
      <c r="JA84" s="3">
        <v>772137.7</v>
      </c>
      <c r="JB84" s="3">
        <v>775103.6</v>
      </c>
      <c r="JC84" s="3">
        <v>778080.1</v>
      </c>
      <c r="JD84" s="3">
        <v>781068.1</v>
      </c>
      <c r="JE84" s="3">
        <v>784068.3</v>
      </c>
      <c r="JF84" s="3">
        <v>787080.7</v>
      </c>
      <c r="JG84" s="3">
        <v>790171</v>
      </c>
      <c r="JH84" s="3">
        <v>793273.5</v>
      </c>
      <c r="JI84" s="3">
        <v>796390.40000000002</v>
      </c>
      <c r="JJ84" s="3">
        <v>799520.4</v>
      </c>
      <c r="JK84" s="3">
        <v>802664.2</v>
      </c>
      <c r="JL84" s="3">
        <v>805822.6</v>
      </c>
      <c r="JM84" s="3">
        <v>808995</v>
      </c>
      <c r="JN84" s="3">
        <v>812180.7</v>
      </c>
      <c r="JO84" s="3">
        <v>815379.7</v>
      </c>
      <c r="JP84" s="3">
        <v>818593.7</v>
      </c>
      <c r="JQ84" s="3">
        <v>821818.7</v>
      </c>
      <c r="JR84" s="3">
        <v>825056.4</v>
      </c>
      <c r="JS84" s="3">
        <v>828207.4</v>
      </c>
      <c r="JT84" s="3">
        <v>831371.3</v>
      </c>
      <c r="JU84" s="3">
        <v>834545.6</v>
      </c>
      <c r="JV84" s="3">
        <v>837730.4</v>
      </c>
      <c r="JW84" s="3">
        <v>840927.4</v>
      </c>
      <c r="JX84" s="3">
        <v>844136.5</v>
      </c>
      <c r="JY84" s="3">
        <v>847353.9</v>
      </c>
      <c r="JZ84" s="3">
        <v>850585.2</v>
      </c>
      <c r="KA84" s="3">
        <v>853826.3</v>
      </c>
      <c r="KB84" s="3">
        <v>857077.4</v>
      </c>
      <c r="KC84" s="3">
        <v>860340.8</v>
      </c>
      <c r="KD84" s="3">
        <v>863614.2</v>
      </c>
      <c r="KE84" s="3">
        <v>866898.4</v>
      </c>
      <c r="KF84" s="3">
        <v>870193.4</v>
      </c>
      <c r="KG84" s="3">
        <v>873498.4</v>
      </c>
      <c r="KH84" s="3">
        <v>876813.5</v>
      </c>
      <c r="KI84" s="3">
        <v>880139.5</v>
      </c>
      <c r="KJ84" s="3">
        <v>883478.1</v>
      </c>
      <c r="KK84" s="3">
        <v>886825.1</v>
      </c>
      <c r="KL84" s="3">
        <v>890183.1</v>
      </c>
      <c r="KM84" s="3">
        <v>893551.3</v>
      </c>
      <c r="KN84" s="3">
        <v>896931.4</v>
      </c>
      <c r="KO84" s="3">
        <v>900320.8</v>
      </c>
      <c r="KP84" s="3">
        <v>903723.1</v>
      </c>
      <c r="KQ84" s="3">
        <v>907135.5</v>
      </c>
      <c r="KR84" s="3">
        <v>910556.6</v>
      </c>
      <c r="KS84" s="3">
        <v>913991.4</v>
      </c>
      <c r="KT84" s="3">
        <v>917433.9</v>
      </c>
      <c r="KU84" s="3">
        <v>920890.3</v>
      </c>
      <c r="KV84" s="3">
        <v>924355.2</v>
      </c>
      <c r="KW84" s="3">
        <v>927832.3</v>
      </c>
      <c r="KX84" s="3">
        <v>931320.8</v>
      </c>
      <c r="KY84" s="3">
        <v>934819.6</v>
      </c>
      <c r="KZ84" s="3">
        <v>938329.8</v>
      </c>
      <c r="LA84" s="3">
        <v>941849.59999999998</v>
      </c>
      <c r="LB84" s="3">
        <v>945380.9</v>
      </c>
      <c r="LC84" s="3">
        <v>948922.6</v>
      </c>
      <c r="LD84" s="3">
        <v>952474.9</v>
      </c>
      <c r="LE84" s="3">
        <v>956035.9</v>
      </c>
      <c r="LF84" s="3">
        <v>959607.5</v>
      </c>
      <c r="LG84" s="3">
        <v>962957.3</v>
      </c>
      <c r="LH84" s="3">
        <v>966314.2</v>
      </c>
      <c r="LI84" s="3">
        <v>969638.40000000002</v>
      </c>
      <c r="LJ84" s="3">
        <v>972970.3</v>
      </c>
      <c r="LK84" s="3">
        <v>976306.2</v>
      </c>
      <c r="LL84" s="3">
        <v>979649.9</v>
      </c>
      <c r="LM84" s="3">
        <v>982932.8</v>
      </c>
      <c r="LN84" s="3">
        <v>986218.2</v>
      </c>
      <c r="LO84" s="3">
        <v>989508.9</v>
      </c>
      <c r="LP84" s="3">
        <v>992805</v>
      </c>
      <c r="LQ84" s="3">
        <v>996107.3</v>
      </c>
      <c r="LR84" s="3">
        <v>999413.9</v>
      </c>
      <c r="LS84" s="3">
        <v>1002727</v>
      </c>
      <c r="LT84" s="3">
        <v>1006046</v>
      </c>
      <c r="LU84" s="3">
        <v>1009334</v>
      </c>
      <c r="LV84" s="3">
        <v>1012630</v>
      </c>
      <c r="LW84" s="3">
        <v>1015929</v>
      </c>
      <c r="LX84" s="3">
        <v>1019233</v>
      </c>
      <c r="LY84" s="3">
        <v>1022514</v>
      </c>
      <c r="LZ84" s="3">
        <v>1025799</v>
      </c>
      <c r="MA84" s="3">
        <v>1029089</v>
      </c>
      <c r="MB84" s="3">
        <v>1032383</v>
      </c>
      <c r="MC84" s="3">
        <v>1035684</v>
      </c>
      <c r="MD84" s="3">
        <v>1038988</v>
      </c>
      <c r="ME84" s="3">
        <v>1042295</v>
      </c>
      <c r="MF84" s="3">
        <v>1045608</v>
      </c>
      <c r="MG84" s="3">
        <v>1048962</v>
      </c>
      <c r="MH84" s="3">
        <v>1052319</v>
      </c>
      <c r="MI84" s="3">
        <v>1055681</v>
      </c>
      <c r="MJ84" s="3">
        <v>1059048</v>
      </c>
      <c r="MK84" s="3">
        <v>1062412</v>
      </c>
      <c r="ML84" s="3">
        <v>1065780</v>
      </c>
      <c r="MM84" s="3">
        <v>1069154</v>
      </c>
      <c r="MN84" s="3">
        <v>1072533</v>
      </c>
      <c r="MO84" s="3">
        <v>1075953</v>
      </c>
      <c r="MP84" s="3">
        <v>1079379</v>
      </c>
      <c r="MQ84" s="3">
        <v>1082810</v>
      </c>
      <c r="MR84" s="3">
        <v>1086248</v>
      </c>
      <c r="MS84" s="3">
        <v>1089692</v>
      </c>
      <c r="MT84" s="3">
        <v>1093142</v>
      </c>
      <c r="MU84" t="s">
        <v>457</v>
      </c>
      <c r="MV84" t="b">
        <v>0</v>
      </c>
      <c r="MW84" s="1" t="s">
        <v>376</v>
      </c>
      <c r="MX84" t="s">
        <v>377</v>
      </c>
      <c r="MY84">
        <v>2023</v>
      </c>
      <c r="MZ84">
        <v>2</v>
      </c>
      <c r="NA84" t="s">
        <v>377</v>
      </c>
      <c r="NB84" t="s">
        <v>458</v>
      </c>
      <c r="NC84" t="s">
        <v>377</v>
      </c>
      <c r="ND84" t="s">
        <v>380</v>
      </c>
      <c r="NE84" t="s">
        <v>459</v>
      </c>
      <c r="NF84" s="1" t="s">
        <v>528</v>
      </c>
    </row>
    <row r="85" spans="1:370" x14ac:dyDescent="0.25">
      <c r="A85" t="s">
        <v>382</v>
      </c>
      <c r="B85" t="s">
        <v>456</v>
      </c>
      <c r="C85" s="1" t="s">
        <v>527</v>
      </c>
      <c r="D85" t="s">
        <v>383</v>
      </c>
      <c r="E85" t="s">
        <v>384</v>
      </c>
      <c r="F85" t="s">
        <v>374</v>
      </c>
      <c r="G85" s="2">
        <v>1460.25</v>
      </c>
      <c r="H85" s="2">
        <v>1472.35</v>
      </c>
      <c r="I85" s="2">
        <v>1484.85</v>
      </c>
      <c r="J85" s="2">
        <v>1497.75</v>
      </c>
      <c r="K85" s="2">
        <v>1510.85</v>
      </c>
      <c r="L85" s="2">
        <v>1524</v>
      </c>
      <c r="M85" s="2">
        <v>1536.925</v>
      </c>
      <c r="N85" s="2">
        <v>1549.7</v>
      </c>
      <c r="O85" s="2">
        <v>1562.2249999999999</v>
      </c>
      <c r="P85" s="2">
        <v>1574.6</v>
      </c>
      <c r="Q85" s="2">
        <v>1586.925</v>
      </c>
      <c r="R85" s="2">
        <v>1599.2249999999999</v>
      </c>
      <c r="S85" s="2">
        <v>1611.4</v>
      </c>
      <c r="T85" s="2">
        <v>1623.6</v>
      </c>
      <c r="U85" s="2">
        <v>1636.1</v>
      </c>
      <c r="V85" s="2">
        <v>1648.7249999999999</v>
      </c>
      <c r="W85" s="2">
        <v>1661.875</v>
      </c>
      <c r="X85" s="2">
        <v>1675.425</v>
      </c>
      <c r="Y85" s="2">
        <v>1689.2750000000001</v>
      </c>
      <c r="Z85" s="2">
        <v>1703.55</v>
      </c>
      <c r="AA85" s="2">
        <v>1718.15</v>
      </c>
      <c r="AB85" s="2">
        <v>1732.9749999999999</v>
      </c>
      <c r="AC85" s="2">
        <v>1748.175</v>
      </c>
      <c r="AD85" s="2">
        <v>1763.7</v>
      </c>
      <c r="AE85" s="2">
        <v>1779.7750000000001</v>
      </c>
      <c r="AF85" s="2">
        <v>1795.4</v>
      </c>
      <c r="AG85" s="2">
        <v>1810.3</v>
      </c>
      <c r="AH85" s="2">
        <v>1824.2</v>
      </c>
      <c r="AI85" s="2">
        <v>1836.7750000000001</v>
      </c>
      <c r="AJ85" s="2">
        <v>1847.875</v>
      </c>
      <c r="AK85" s="2">
        <v>1857.4749999999999</v>
      </c>
      <c r="AL85" s="2">
        <v>1867.5</v>
      </c>
      <c r="AM85" s="2">
        <v>1878.0250000000001</v>
      </c>
      <c r="AN85" s="2">
        <v>1890.125</v>
      </c>
      <c r="AO85" s="2">
        <v>1902.9749999999999</v>
      </c>
      <c r="AP85" s="2">
        <v>1916.5250000000001</v>
      </c>
      <c r="AQ85" s="2">
        <v>1930.625</v>
      </c>
      <c r="AR85" s="2">
        <v>1945.1</v>
      </c>
      <c r="AS85" s="2">
        <v>1959.875</v>
      </c>
      <c r="AT85" s="2">
        <v>1974.9749999999999</v>
      </c>
      <c r="AU85" s="2">
        <v>1990.075</v>
      </c>
      <c r="AV85" s="2">
        <v>2005.575</v>
      </c>
      <c r="AW85" s="2">
        <v>2021.55</v>
      </c>
      <c r="AX85" s="2">
        <v>2038.2249999999999</v>
      </c>
      <c r="AY85" s="2">
        <v>2055.6</v>
      </c>
      <c r="AZ85" s="2">
        <v>2073.6750000000002</v>
      </c>
      <c r="BA85" s="2">
        <v>2092.1999999999998</v>
      </c>
      <c r="BB85" s="2">
        <v>2111.125</v>
      </c>
      <c r="BC85" s="2">
        <v>2130.1999999999998</v>
      </c>
      <c r="BD85" s="2">
        <v>2149.375</v>
      </c>
      <c r="BE85" s="2">
        <v>2168.5749999999998</v>
      </c>
      <c r="BF85" s="2">
        <v>2187.6750000000002</v>
      </c>
      <c r="BG85" s="2">
        <v>2206.625</v>
      </c>
      <c r="BH85" s="2">
        <v>2225.4250000000002</v>
      </c>
      <c r="BI85" s="2">
        <v>2244.1750000000002</v>
      </c>
      <c r="BJ85" s="2">
        <v>2262.85</v>
      </c>
      <c r="BK85" s="2">
        <v>2281.4250000000002</v>
      </c>
      <c r="BL85" s="2">
        <v>2299.875</v>
      </c>
      <c r="BM85" s="2">
        <v>2318.2249999999999</v>
      </c>
      <c r="BN85" s="2">
        <v>2336.6750000000002</v>
      </c>
      <c r="BO85" s="2">
        <v>2355.0250000000001</v>
      </c>
      <c r="BP85" s="2">
        <v>2373.5</v>
      </c>
      <c r="BQ85" s="2">
        <v>2392.0250000000001</v>
      </c>
      <c r="BR85" s="2">
        <v>2410.65</v>
      </c>
      <c r="BS85" s="2">
        <v>2429.2750000000001</v>
      </c>
      <c r="BT85" s="2">
        <v>2447.875</v>
      </c>
      <c r="BU85" s="2">
        <v>2464.1750000000002</v>
      </c>
      <c r="BV85" s="2">
        <v>2483.0749999999998</v>
      </c>
      <c r="BW85" s="2">
        <v>2501.65</v>
      </c>
      <c r="BX85" s="2">
        <v>2519.8000000000002</v>
      </c>
      <c r="BY85" s="2">
        <v>2537.35</v>
      </c>
      <c r="BZ85" s="2">
        <v>2554.3000000000002</v>
      </c>
      <c r="CA85" s="2">
        <v>2570.75</v>
      </c>
      <c r="CB85" s="2">
        <v>2586.7249999999999</v>
      </c>
      <c r="CC85" s="2">
        <v>2602.35</v>
      </c>
      <c r="CD85" s="2">
        <v>2617.9</v>
      </c>
      <c r="CE85" s="2">
        <v>2633.45</v>
      </c>
      <c r="CF85" s="2">
        <v>2649.15</v>
      </c>
      <c r="CG85" s="2">
        <v>2665.2</v>
      </c>
      <c r="CH85" s="2">
        <v>2681.45</v>
      </c>
      <c r="CI85" s="2">
        <v>2697.95</v>
      </c>
      <c r="CJ85" s="2">
        <v>2714.9250000000002</v>
      </c>
      <c r="CK85" s="2">
        <v>2732.125</v>
      </c>
      <c r="CL85" s="2">
        <v>2749.5749999999998</v>
      </c>
      <c r="CM85" s="2">
        <v>2767.2249999999999</v>
      </c>
      <c r="CN85" s="2">
        <v>2785.0749999999998</v>
      </c>
      <c r="CO85" s="2">
        <v>2803.3</v>
      </c>
      <c r="CP85" s="2">
        <v>2821.8</v>
      </c>
      <c r="CQ85" s="2">
        <v>2840.45</v>
      </c>
      <c r="CR85" s="2">
        <v>2859.45</v>
      </c>
      <c r="CS85" s="2">
        <v>2878.6750000000002</v>
      </c>
      <c r="CT85" s="2">
        <v>2898.4</v>
      </c>
      <c r="CU85" s="2">
        <v>2918.55</v>
      </c>
      <c r="CV85" s="2">
        <v>2940.0250000000001</v>
      </c>
      <c r="CW85" s="2">
        <v>2963.125</v>
      </c>
      <c r="CX85" s="2">
        <v>2987.7750000000001</v>
      </c>
      <c r="CY85" s="2">
        <v>3013.95</v>
      </c>
      <c r="CZ85" s="2">
        <v>3041.5</v>
      </c>
      <c r="DA85" s="2">
        <v>3070.5250000000001</v>
      </c>
      <c r="DB85" s="2">
        <v>3100.7750000000001</v>
      </c>
      <c r="DC85" s="2">
        <v>3132.125</v>
      </c>
      <c r="DD85" s="2">
        <v>3164.75</v>
      </c>
      <c r="DE85" s="2">
        <v>3198.2249999999999</v>
      </c>
      <c r="DF85" s="2">
        <v>3232.625</v>
      </c>
      <c r="DG85" s="2">
        <v>3267.875</v>
      </c>
      <c r="DH85" s="2">
        <v>3303.8</v>
      </c>
      <c r="DI85" s="2">
        <v>3340.25</v>
      </c>
      <c r="DJ85" s="2">
        <v>3377.25</v>
      </c>
      <c r="DK85" s="2">
        <v>3414.4749999999999</v>
      </c>
      <c r="DL85" s="2">
        <v>3450.65</v>
      </c>
      <c r="DM85" s="2">
        <v>3485.1750000000002</v>
      </c>
      <c r="DN85" s="2">
        <v>3517.85</v>
      </c>
      <c r="DO85" s="2">
        <v>3548.75</v>
      </c>
      <c r="DP85" s="2">
        <v>3577.875</v>
      </c>
      <c r="DQ85" s="2">
        <v>3605.3249999999998</v>
      </c>
      <c r="DR85" s="2">
        <v>3631.3</v>
      </c>
      <c r="DS85" s="2">
        <v>3656</v>
      </c>
      <c r="DT85" s="2">
        <v>3679.85</v>
      </c>
      <c r="DU85" s="2">
        <v>3703.2750000000001</v>
      </c>
      <c r="DV85" s="2">
        <v>3726.375</v>
      </c>
      <c r="DW85" s="2">
        <v>3749.45</v>
      </c>
      <c r="DX85" s="2">
        <v>3772.7</v>
      </c>
      <c r="DY85" s="2">
        <v>3795.9749999999999</v>
      </c>
      <c r="DZ85" s="2">
        <v>3819.6</v>
      </c>
      <c r="EA85" s="2">
        <v>3843.7</v>
      </c>
      <c r="EB85" s="2">
        <v>3868.25</v>
      </c>
      <c r="EC85" s="2">
        <v>3893.375</v>
      </c>
      <c r="ED85" s="2">
        <v>3918.9</v>
      </c>
      <c r="EE85" s="2">
        <v>3943.95</v>
      </c>
      <c r="EF85" s="2">
        <v>3968.3</v>
      </c>
      <c r="EG85" s="2">
        <v>3992.2</v>
      </c>
      <c r="EH85" s="2">
        <v>4015.5</v>
      </c>
      <c r="EI85" s="2">
        <v>4038.15</v>
      </c>
      <c r="EJ85" s="2">
        <v>4060.2</v>
      </c>
      <c r="EK85" s="2">
        <v>4081.2</v>
      </c>
      <c r="EL85" s="2">
        <v>4101.1000000000004</v>
      </c>
      <c r="EM85" s="2">
        <v>4121.2250000000004</v>
      </c>
      <c r="EN85" s="2">
        <v>4141.6499999999996</v>
      </c>
      <c r="EO85" s="2">
        <v>4162.3999999999996</v>
      </c>
      <c r="EP85" s="2">
        <v>4183.2</v>
      </c>
      <c r="EQ85" s="2">
        <v>4203.8999999999996</v>
      </c>
      <c r="ER85" s="2">
        <v>4223.9750000000004</v>
      </c>
      <c r="ES85" s="2">
        <v>4243.3</v>
      </c>
      <c r="ET85" s="2">
        <v>4261.6499999999996</v>
      </c>
      <c r="EU85" s="2">
        <v>4278.625</v>
      </c>
      <c r="EV85" s="2">
        <v>4294.6000000000004</v>
      </c>
      <c r="EW85" s="2">
        <v>4309.7250000000004</v>
      </c>
      <c r="EX85" s="2">
        <v>4324.5</v>
      </c>
      <c r="EY85" s="2">
        <v>4339.4750000000004</v>
      </c>
      <c r="EZ85" s="2">
        <v>4354.8999999999996</v>
      </c>
      <c r="FA85" s="2">
        <v>4371.125</v>
      </c>
      <c r="FB85" s="2">
        <v>4387.9750000000004</v>
      </c>
      <c r="FC85" s="2">
        <v>4405.45</v>
      </c>
      <c r="FD85" s="2">
        <v>4423.5749999999998</v>
      </c>
      <c r="FE85" s="2">
        <v>4442.2749999999996</v>
      </c>
      <c r="FF85" s="2">
        <v>4461.3500000000004</v>
      </c>
      <c r="FG85" s="2">
        <v>4480.7749999999996</v>
      </c>
      <c r="FH85" s="2">
        <v>4500.6000000000004</v>
      </c>
      <c r="FI85" s="2">
        <v>4520.6499999999996</v>
      </c>
      <c r="FJ85" s="2">
        <v>4540.95</v>
      </c>
      <c r="FK85" s="2">
        <v>4561.6000000000004</v>
      </c>
      <c r="FL85" s="2">
        <v>4582.3500000000004</v>
      </c>
      <c r="FM85" s="2">
        <v>4603.1750000000002</v>
      </c>
      <c r="FN85" s="2">
        <v>4624.2250000000004</v>
      </c>
      <c r="FO85" s="2">
        <v>4645.5</v>
      </c>
      <c r="FP85" s="2">
        <v>4666.95</v>
      </c>
      <c r="FQ85" s="2">
        <v>4688.8</v>
      </c>
      <c r="FR85" s="2">
        <v>4710.8249999999998</v>
      </c>
      <c r="FS85" s="2">
        <v>4733</v>
      </c>
      <c r="FT85" s="2">
        <v>4755.2749999999996</v>
      </c>
      <c r="FU85" s="2">
        <v>4777.5249999999996</v>
      </c>
      <c r="FV85" s="2">
        <v>4799.6750000000002</v>
      </c>
      <c r="FW85" s="2">
        <v>4821.7250000000004</v>
      </c>
      <c r="FX85" s="2">
        <v>4843.8</v>
      </c>
      <c r="FY85" s="2">
        <v>4865.8</v>
      </c>
      <c r="FZ85" s="2">
        <v>4887.8249999999998</v>
      </c>
      <c r="GA85" s="2">
        <v>4910.0249999999996</v>
      </c>
      <c r="GB85" s="2">
        <v>4932.5749999999998</v>
      </c>
      <c r="GC85" s="2">
        <v>4955.8999999999996</v>
      </c>
      <c r="GD85" s="2">
        <v>4979.95</v>
      </c>
      <c r="GE85" s="2">
        <v>5004.8</v>
      </c>
      <c r="GF85" s="2">
        <v>5030.4250000000002</v>
      </c>
      <c r="GG85" s="2">
        <v>5056.5249999999996</v>
      </c>
      <c r="GH85" s="2">
        <v>5082.875</v>
      </c>
      <c r="GI85" s="2">
        <v>5109.4750000000004</v>
      </c>
      <c r="GJ85" s="2">
        <v>5136.3500000000004</v>
      </c>
      <c r="GK85" s="2">
        <v>5163.2749999999996</v>
      </c>
      <c r="GL85" s="2">
        <v>5189.5249999999996</v>
      </c>
      <c r="GM85" s="2">
        <v>5215.45</v>
      </c>
      <c r="GN85" s="2">
        <v>5241.2749999999996</v>
      </c>
      <c r="GO85" s="2">
        <v>5266.4250000000002</v>
      </c>
      <c r="GP85" s="2">
        <v>5291.7749999999996</v>
      </c>
      <c r="GQ85" s="2">
        <v>5315.4</v>
      </c>
      <c r="GR85" s="2">
        <v>5339</v>
      </c>
      <c r="GS85" s="2">
        <v>5363.65</v>
      </c>
      <c r="GT85" s="2">
        <v>5389.55</v>
      </c>
      <c r="GU85" s="2">
        <v>5416.9250000000002</v>
      </c>
      <c r="GV85" s="2">
        <v>5445.0249999999996</v>
      </c>
      <c r="GW85" s="2">
        <v>5473.2</v>
      </c>
      <c r="GX85" s="2">
        <v>5501.1750000000002</v>
      </c>
      <c r="GY85" s="2">
        <v>5529.1</v>
      </c>
      <c r="GZ85" s="2">
        <v>5556.9</v>
      </c>
      <c r="HA85" s="2">
        <v>5584.7</v>
      </c>
      <c r="HB85" s="2">
        <v>5613.0249999999996</v>
      </c>
      <c r="HC85" s="2">
        <v>5641.65</v>
      </c>
      <c r="HD85" s="2">
        <v>5670.6750000000002</v>
      </c>
      <c r="HE85" s="2">
        <v>5700.15</v>
      </c>
      <c r="HF85" s="3">
        <v>5754.567</v>
      </c>
      <c r="HG85" s="3">
        <v>5798.1679999999997</v>
      </c>
      <c r="HH85" s="3">
        <v>5841.5259999999998</v>
      </c>
      <c r="HI85" s="3">
        <v>5884.09</v>
      </c>
      <c r="HJ85" s="3">
        <v>5926.26</v>
      </c>
      <c r="HK85" s="3">
        <v>5968.3559999999998</v>
      </c>
      <c r="HL85" s="3">
        <v>6009.9780000000001</v>
      </c>
      <c r="HM85" s="3">
        <v>6051.22</v>
      </c>
      <c r="HN85" s="3">
        <v>6092.0280000000002</v>
      </c>
      <c r="HO85" s="3">
        <v>6132.55</v>
      </c>
      <c r="HP85" s="3">
        <v>6172.9979999999996</v>
      </c>
      <c r="HQ85" s="3">
        <v>6213.2879999999996</v>
      </c>
      <c r="HR85" s="3">
        <v>6253.2709999999997</v>
      </c>
      <c r="HS85" s="3">
        <v>6292.9089999999997</v>
      </c>
      <c r="HT85" s="3">
        <v>6332.1869999999999</v>
      </c>
      <c r="HU85" s="3">
        <v>6371.2</v>
      </c>
      <c r="HV85" s="3">
        <v>6409.7060000000001</v>
      </c>
      <c r="HW85" s="3">
        <v>6447.7129999999997</v>
      </c>
      <c r="HX85" s="3">
        <v>6484.8860000000004</v>
      </c>
      <c r="HY85" s="3">
        <v>6521.0649999999996</v>
      </c>
      <c r="HZ85" s="3">
        <v>6556.57</v>
      </c>
      <c r="IA85" s="3">
        <v>6590.8869999999997</v>
      </c>
      <c r="IB85" s="3">
        <v>6624.5439999999999</v>
      </c>
      <c r="IC85" s="3">
        <v>6658.16</v>
      </c>
      <c r="ID85" s="3">
        <v>6691.5240000000003</v>
      </c>
      <c r="IE85" s="3">
        <v>6724.53</v>
      </c>
      <c r="IF85" s="3">
        <v>6757.5780000000004</v>
      </c>
      <c r="IG85" s="3">
        <v>6790.7030000000004</v>
      </c>
      <c r="IH85" s="3">
        <v>6823.7060000000001</v>
      </c>
      <c r="II85" s="3">
        <v>6856.5</v>
      </c>
      <c r="IJ85" s="3">
        <v>6889.3450000000003</v>
      </c>
      <c r="IK85" s="3">
        <v>6921.91</v>
      </c>
      <c r="IL85" s="3">
        <v>6954.625</v>
      </c>
      <c r="IM85" s="3">
        <v>6987.2870000000003</v>
      </c>
      <c r="IN85" s="3">
        <v>7019.9859999999999</v>
      </c>
      <c r="IO85" s="3">
        <v>7052.674</v>
      </c>
      <c r="IP85" s="3">
        <v>7085.5029999999997</v>
      </c>
      <c r="IQ85" s="3">
        <v>7118.1769999999997</v>
      </c>
      <c r="IR85" s="3">
        <v>7150.9080000000004</v>
      </c>
      <c r="IS85" s="3">
        <v>7183.6310000000003</v>
      </c>
      <c r="IT85" s="3">
        <v>7216.3490000000002</v>
      </c>
      <c r="IU85" s="3">
        <v>7249.1390000000001</v>
      </c>
      <c r="IV85" s="3">
        <v>7281.9170000000004</v>
      </c>
      <c r="IW85" s="3">
        <v>7314.643</v>
      </c>
      <c r="IX85" s="3">
        <v>7347.7020000000002</v>
      </c>
      <c r="IY85" s="3">
        <v>7380.5690000000004</v>
      </c>
      <c r="IZ85" s="3">
        <v>7413.7389999999996</v>
      </c>
      <c r="JA85" s="3">
        <v>7446.8609999999999</v>
      </c>
      <c r="JB85" s="3">
        <v>7480.0069999999996</v>
      </c>
      <c r="JC85" s="3">
        <v>7513.174</v>
      </c>
      <c r="JD85" s="3">
        <v>7546.3779999999997</v>
      </c>
      <c r="JE85" s="3">
        <v>7579.7910000000002</v>
      </c>
      <c r="JF85" s="3">
        <v>7613.0320000000002</v>
      </c>
      <c r="JG85" s="3">
        <v>7646.3689999999997</v>
      </c>
      <c r="JH85" s="3">
        <v>7679.7479999999996</v>
      </c>
      <c r="JI85" s="3">
        <v>7713.2520000000004</v>
      </c>
      <c r="JJ85" s="3">
        <v>7746.81</v>
      </c>
      <c r="JK85" s="3">
        <v>7780.4970000000003</v>
      </c>
      <c r="JL85" s="3">
        <v>7814.259</v>
      </c>
      <c r="JM85" s="3">
        <v>7847.8829999999998</v>
      </c>
      <c r="JN85" s="3">
        <v>7881.7489999999998</v>
      </c>
      <c r="JO85" s="3">
        <v>7915.6530000000002</v>
      </c>
      <c r="JP85" s="3">
        <v>7949.5910000000003</v>
      </c>
      <c r="JQ85" s="3">
        <v>7983.5590000000002</v>
      </c>
      <c r="JR85" s="3">
        <v>8017.6210000000001</v>
      </c>
      <c r="JS85" s="3">
        <v>8051.8059999999996</v>
      </c>
      <c r="JT85" s="3">
        <v>8086.0230000000001</v>
      </c>
      <c r="JU85" s="3">
        <v>8120.3810000000003</v>
      </c>
      <c r="JV85" s="3">
        <v>8154.8149999999996</v>
      </c>
      <c r="JW85" s="3">
        <v>8189.32</v>
      </c>
      <c r="JX85" s="3">
        <v>8223.8970000000008</v>
      </c>
      <c r="JY85" s="3">
        <v>8258.5409999999993</v>
      </c>
      <c r="JZ85" s="3">
        <v>8293.2839999999997</v>
      </c>
      <c r="KA85" s="3">
        <v>8328.2219999999998</v>
      </c>
      <c r="KB85" s="3">
        <v>8363.2900000000009</v>
      </c>
      <c r="KC85" s="3">
        <v>8398.3770000000004</v>
      </c>
      <c r="KD85" s="3">
        <v>8433.6489999999994</v>
      </c>
      <c r="KE85" s="3">
        <v>8469.01</v>
      </c>
      <c r="KF85" s="3">
        <v>8504.3850000000002</v>
      </c>
      <c r="KG85" s="3">
        <v>8539.8709999999992</v>
      </c>
      <c r="KH85" s="3">
        <v>8575.5020000000004</v>
      </c>
      <c r="KI85" s="3">
        <v>8611.0709999999999</v>
      </c>
      <c r="KJ85" s="3">
        <v>8646.7620000000006</v>
      </c>
      <c r="KK85" s="3">
        <v>8682.4380000000001</v>
      </c>
      <c r="KL85" s="3">
        <v>8718.2669999999998</v>
      </c>
      <c r="KM85" s="3">
        <v>8754.24</v>
      </c>
      <c r="KN85" s="3">
        <v>8790.1929999999993</v>
      </c>
      <c r="KO85" s="3">
        <v>8826.2150000000001</v>
      </c>
      <c r="KP85" s="3">
        <v>8862.4369999999999</v>
      </c>
      <c r="KQ85" s="3">
        <v>8898.67</v>
      </c>
      <c r="KR85" s="3">
        <v>8934.9279999999999</v>
      </c>
      <c r="KS85" s="3">
        <v>8971.3009999999995</v>
      </c>
      <c r="KT85" s="3">
        <v>9007.7690000000002</v>
      </c>
      <c r="KU85" s="3">
        <v>9044.2960000000003</v>
      </c>
      <c r="KV85" s="3">
        <v>9081.0040000000008</v>
      </c>
      <c r="KW85" s="3">
        <v>9117.5689999999995</v>
      </c>
      <c r="KX85" s="3">
        <v>9154.4740000000002</v>
      </c>
      <c r="KY85" s="3">
        <v>9191.3459999999995</v>
      </c>
      <c r="KZ85" s="3">
        <v>9228.1119999999992</v>
      </c>
      <c r="LA85" s="3">
        <v>9265.0869999999995</v>
      </c>
      <c r="LB85" s="3">
        <v>9302.0709999999999</v>
      </c>
      <c r="LC85" s="3">
        <v>9339.3240000000005</v>
      </c>
      <c r="LD85" s="3">
        <v>9376.5990000000002</v>
      </c>
      <c r="LE85" s="3">
        <v>9413.7800000000007</v>
      </c>
      <c r="LF85" s="3">
        <v>9451.2669999999998</v>
      </c>
      <c r="LG85" s="3">
        <v>9488.7729999999992</v>
      </c>
      <c r="LH85" s="3">
        <v>9526.4480000000003</v>
      </c>
      <c r="LI85" s="3">
        <v>9564.2260000000006</v>
      </c>
      <c r="LJ85" s="3">
        <v>9602.1170000000002</v>
      </c>
      <c r="LK85" s="3">
        <v>9640.2039999999997</v>
      </c>
      <c r="LL85" s="3">
        <v>9678.3510000000006</v>
      </c>
      <c r="LM85" s="3">
        <v>9716.6929999999993</v>
      </c>
      <c r="LN85" s="3">
        <v>9755.1239999999998</v>
      </c>
      <c r="LO85" s="3">
        <v>9793.6779999999999</v>
      </c>
      <c r="LP85" s="3">
        <v>9832.375</v>
      </c>
      <c r="LQ85" s="3">
        <v>9871.2909999999993</v>
      </c>
      <c r="LR85" s="3">
        <v>9910.2090000000007</v>
      </c>
      <c r="LS85" s="3">
        <v>9949.3379999999997</v>
      </c>
      <c r="LT85" s="3">
        <v>9988.5079999999998</v>
      </c>
      <c r="LU85" s="3">
        <v>10027.9</v>
      </c>
      <c r="LV85" s="3">
        <v>10067.39</v>
      </c>
      <c r="LW85" s="3">
        <v>10106.98</v>
      </c>
      <c r="LX85" s="3">
        <v>10146.81</v>
      </c>
      <c r="LY85" s="3">
        <v>10186.709999999999</v>
      </c>
      <c r="LZ85" s="3">
        <v>10226.67</v>
      </c>
      <c r="MA85" s="3">
        <v>10266.89</v>
      </c>
      <c r="MB85" s="3">
        <v>10307.15</v>
      </c>
      <c r="MC85" s="3">
        <v>10347.6</v>
      </c>
      <c r="MD85" s="3">
        <v>10388.19</v>
      </c>
      <c r="ME85" s="3">
        <v>10428.91</v>
      </c>
      <c r="MF85" s="3">
        <v>10469.780000000001</v>
      </c>
      <c r="MG85" s="3">
        <v>10510.84</v>
      </c>
      <c r="MH85" s="3">
        <v>10552.03</v>
      </c>
      <c r="MI85" s="3">
        <v>10593.37</v>
      </c>
      <c r="MJ85" s="3">
        <v>10634.88</v>
      </c>
      <c r="MK85" s="3">
        <v>10676.51</v>
      </c>
      <c r="ML85" s="3">
        <v>10718.28</v>
      </c>
      <c r="MM85" s="3">
        <v>10760.26</v>
      </c>
      <c r="MN85" s="3">
        <v>10802.34</v>
      </c>
      <c r="MO85" s="3">
        <v>10844.57</v>
      </c>
      <c r="MP85" s="3">
        <v>10887.02</v>
      </c>
      <c r="MQ85" s="3">
        <v>10929.56</v>
      </c>
      <c r="MR85" s="3">
        <v>10972.26</v>
      </c>
      <c r="MS85" s="3">
        <v>11015.12</v>
      </c>
      <c r="MT85" s="3">
        <v>11058.12</v>
      </c>
      <c r="MU85" t="s">
        <v>460</v>
      </c>
      <c r="MV85" t="b">
        <v>1</v>
      </c>
      <c r="MW85" s="1" t="s">
        <v>386</v>
      </c>
      <c r="MX85" t="s">
        <v>377</v>
      </c>
      <c r="MY85">
        <v>2024</v>
      </c>
      <c r="MZ85">
        <v>3</v>
      </c>
      <c r="NA85" t="s">
        <v>377</v>
      </c>
      <c r="NB85" s="1" t="s">
        <v>461</v>
      </c>
      <c r="NC85" s="1" t="s">
        <v>462</v>
      </c>
      <c r="ND85" t="s">
        <v>389</v>
      </c>
      <c r="NE85" t="s">
        <v>459</v>
      </c>
      <c r="NF85" s="1" t="s">
        <v>528</v>
      </c>
    </row>
    <row r="86" spans="1:370" x14ac:dyDescent="0.25">
      <c r="A86" t="s">
        <v>370</v>
      </c>
      <c r="B86" t="s">
        <v>463</v>
      </c>
      <c r="C86" s="1" t="s">
        <v>527</v>
      </c>
      <c r="D86" t="s">
        <v>464</v>
      </c>
      <c r="E86" t="s">
        <v>465</v>
      </c>
      <c r="F86" t="s">
        <v>374</v>
      </c>
      <c r="G86" s="2">
        <v>24868.799999999999</v>
      </c>
      <c r="H86" s="2">
        <v>24915.84</v>
      </c>
      <c r="I86" s="2">
        <v>24863.040000000001</v>
      </c>
      <c r="J86" s="2">
        <v>24851.52</v>
      </c>
      <c r="K86" s="2">
        <v>24870.720000000001</v>
      </c>
      <c r="L86" s="2">
        <v>24901.439999999999</v>
      </c>
      <c r="M86" s="2">
        <v>24983.040000000001</v>
      </c>
      <c r="N86" s="2">
        <v>24999.360000000001</v>
      </c>
      <c r="O86" s="2">
        <v>24931.95</v>
      </c>
      <c r="P86" s="2">
        <v>24933.439999999999</v>
      </c>
      <c r="Q86" s="2">
        <v>24936.61</v>
      </c>
      <c r="R86" s="2">
        <v>24926.22</v>
      </c>
      <c r="S86" s="2">
        <v>24878.6</v>
      </c>
      <c r="T86" s="2">
        <v>24856.21</v>
      </c>
      <c r="U86" s="2">
        <v>24835.7</v>
      </c>
      <c r="V86" s="2">
        <v>24830.34</v>
      </c>
      <c r="W86" s="2">
        <v>24822.09</v>
      </c>
      <c r="X86" s="2">
        <v>24810.03</v>
      </c>
      <c r="Y86" s="2">
        <v>24802.79</v>
      </c>
      <c r="Z86" s="2">
        <v>24768.06</v>
      </c>
      <c r="AA86" s="2">
        <v>24729.5</v>
      </c>
      <c r="AB86" s="2">
        <v>24699.32</v>
      </c>
      <c r="AC86" s="2">
        <v>24680.26</v>
      </c>
      <c r="AD86" s="2">
        <v>24705.84</v>
      </c>
      <c r="AE86" s="2">
        <v>24702.22</v>
      </c>
      <c r="AF86" s="2">
        <v>24677.96</v>
      </c>
      <c r="AG86" s="2">
        <v>24712.89</v>
      </c>
      <c r="AH86" s="2">
        <v>24744.68</v>
      </c>
      <c r="AI86" s="2">
        <v>24743.78</v>
      </c>
      <c r="AJ86" s="2">
        <v>24765.69</v>
      </c>
      <c r="AK86" s="2">
        <v>24771.64</v>
      </c>
      <c r="AL86" s="2">
        <v>24781.01</v>
      </c>
      <c r="AM86" s="2">
        <v>24763.56</v>
      </c>
      <c r="AN86" s="2">
        <v>24726.78</v>
      </c>
      <c r="AO86" s="2">
        <v>24632.53</v>
      </c>
      <c r="AP86" s="2">
        <v>24515.73</v>
      </c>
      <c r="AQ86" s="2">
        <v>24419.16</v>
      </c>
      <c r="AR86" s="2">
        <v>24342.41</v>
      </c>
      <c r="AS86" s="2">
        <v>24252.19</v>
      </c>
      <c r="AT86" s="2">
        <v>24177.07</v>
      </c>
      <c r="AU86" s="2">
        <v>24117.35</v>
      </c>
      <c r="AV86" s="2">
        <v>24159.88</v>
      </c>
      <c r="AW86" s="2">
        <v>24360.79</v>
      </c>
      <c r="AX86" s="2">
        <v>24580.71</v>
      </c>
      <c r="AY86" s="2">
        <v>24768.04</v>
      </c>
      <c r="AZ86" s="2">
        <v>24896.55</v>
      </c>
      <c r="BA86" s="2">
        <v>24953.56</v>
      </c>
      <c r="BB86" s="2">
        <v>25025.06</v>
      </c>
      <c r="BC86" s="2">
        <v>25063.97</v>
      </c>
      <c r="BD86" s="2">
        <v>25088.41</v>
      </c>
      <c r="BE86" s="2">
        <v>25124.61</v>
      </c>
      <c r="BF86" s="2">
        <v>25154.47</v>
      </c>
      <c r="BG86" s="2">
        <v>25177.1</v>
      </c>
      <c r="BH86" s="2">
        <v>25207.87</v>
      </c>
      <c r="BI86" s="2">
        <v>25292.04</v>
      </c>
      <c r="BJ86" s="2">
        <v>25345.43</v>
      </c>
      <c r="BK86" s="2">
        <v>25374.39</v>
      </c>
      <c r="BL86" s="2">
        <v>25458.55</v>
      </c>
      <c r="BM86" s="2">
        <v>25548.15</v>
      </c>
      <c r="BN86" s="2">
        <v>25625.98</v>
      </c>
      <c r="BO86" s="2">
        <v>25709.24</v>
      </c>
      <c r="BP86" s="2">
        <v>25756.3</v>
      </c>
      <c r="BQ86" s="2">
        <v>25833.22</v>
      </c>
      <c r="BR86" s="2">
        <v>25926.44</v>
      </c>
      <c r="BS86" s="2">
        <v>26035.95</v>
      </c>
      <c r="BT86" s="2">
        <v>26075.77</v>
      </c>
      <c r="BU86" s="2">
        <v>26100.2</v>
      </c>
      <c r="BV86" s="2">
        <v>26155.4</v>
      </c>
      <c r="BW86" s="2">
        <v>26158.12</v>
      </c>
      <c r="BX86" s="2">
        <v>26187.98</v>
      </c>
      <c r="BY86" s="2">
        <v>26198.85</v>
      </c>
      <c r="BZ86" s="2">
        <v>26161.74</v>
      </c>
      <c r="CA86" s="2">
        <v>26096.58</v>
      </c>
      <c r="CB86" s="2">
        <v>26034.13</v>
      </c>
      <c r="CC86" s="2">
        <v>25927.35</v>
      </c>
      <c r="CD86" s="2">
        <v>25807.88</v>
      </c>
      <c r="CE86" s="2">
        <v>25767.16</v>
      </c>
      <c r="CF86" s="2">
        <v>25685.71</v>
      </c>
      <c r="CG86" s="2">
        <v>25633.22</v>
      </c>
      <c r="CH86" s="2">
        <v>25582.54</v>
      </c>
      <c r="CI86" s="2">
        <v>25598.83</v>
      </c>
      <c r="CJ86" s="2">
        <v>25542.720000000001</v>
      </c>
      <c r="CK86" s="2">
        <v>25554.639999999999</v>
      </c>
      <c r="CL86" s="2">
        <v>25588.28</v>
      </c>
      <c r="CM86" s="2">
        <v>25618.31</v>
      </c>
      <c r="CN86" s="2">
        <v>25621.98</v>
      </c>
      <c r="CO86" s="2">
        <v>25660.18</v>
      </c>
      <c r="CP86" s="2">
        <v>25618.23</v>
      </c>
      <c r="CQ86" s="2">
        <v>25688.3</v>
      </c>
      <c r="CR86" s="2">
        <v>25760.29</v>
      </c>
      <c r="CS86" s="2">
        <v>25865.29</v>
      </c>
      <c r="CT86" s="2">
        <v>25926.53</v>
      </c>
      <c r="CU86" s="2">
        <v>25951.1</v>
      </c>
      <c r="CV86" s="2">
        <v>26052.73</v>
      </c>
      <c r="CW86" s="2">
        <v>26107.59</v>
      </c>
      <c r="CX86" s="2">
        <v>26238.12</v>
      </c>
      <c r="CY86" s="2">
        <v>26331.05</v>
      </c>
      <c r="CZ86" s="2">
        <v>26479.759999999998</v>
      </c>
      <c r="DA86" s="2">
        <v>26497.87</v>
      </c>
      <c r="DB86" s="2">
        <v>26533.5</v>
      </c>
      <c r="DC86" s="2">
        <v>26581.17</v>
      </c>
      <c r="DD86" s="2">
        <v>26652.18</v>
      </c>
      <c r="DE86" s="2">
        <v>26816.94</v>
      </c>
      <c r="DF86" s="2">
        <v>26967.14</v>
      </c>
      <c r="DG86" s="2">
        <v>27115.86</v>
      </c>
      <c r="DH86" s="2">
        <v>27165.4</v>
      </c>
      <c r="DI86" s="2">
        <v>27271.56</v>
      </c>
      <c r="DJ86" s="2">
        <v>27381.66</v>
      </c>
      <c r="DK86" s="2">
        <v>27446.58</v>
      </c>
      <c r="DL86" s="2">
        <v>27497.38</v>
      </c>
      <c r="DM86" s="2">
        <v>27560.54</v>
      </c>
      <c r="DN86" s="2">
        <v>27557.41</v>
      </c>
      <c r="DO86" s="2">
        <v>27619.7</v>
      </c>
      <c r="DP86" s="2">
        <v>27716.25</v>
      </c>
      <c r="DQ86" s="2">
        <v>27741.9</v>
      </c>
      <c r="DR86" s="2">
        <v>27856.85</v>
      </c>
      <c r="DS86" s="2">
        <v>27846.400000000001</v>
      </c>
      <c r="DT86" s="2">
        <v>27980.35</v>
      </c>
      <c r="DU86" s="2">
        <v>28025.95</v>
      </c>
      <c r="DV86" s="2">
        <v>28144.7</v>
      </c>
      <c r="DW86" s="2">
        <v>28148.5</v>
      </c>
      <c r="DX86" s="2">
        <v>28208.35</v>
      </c>
      <c r="DY86" s="2">
        <v>28270.1</v>
      </c>
      <c r="DZ86" s="2">
        <v>28272.95</v>
      </c>
      <c r="EA86" s="2">
        <v>28398.35</v>
      </c>
      <c r="EB86" s="2">
        <v>28411.65</v>
      </c>
      <c r="EC86" s="2">
        <v>28423.05</v>
      </c>
      <c r="ED86" s="2">
        <v>28591.200000000001</v>
      </c>
      <c r="EE86" s="2">
        <v>28694.75</v>
      </c>
      <c r="EF86" s="2">
        <v>28727.05</v>
      </c>
      <c r="EG86" s="2">
        <v>28846.75</v>
      </c>
      <c r="EH86" s="2">
        <v>28924.65</v>
      </c>
      <c r="EI86" s="2">
        <v>29119.4</v>
      </c>
      <c r="EJ86" s="2">
        <v>29251.45</v>
      </c>
      <c r="EK86" s="2">
        <v>29332.2</v>
      </c>
      <c r="EL86" s="2">
        <v>29369.25</v>
      </c>
      <c r="EM86" s="2">
        <v>29353.1</v>
      </c>
      <c r="EN86" s="2">
        <v>29431</v>
      </c>
      <c r="EO86" s="2">
        <v>29516.5</v>
      </c>
      <c r="EP86" s="2">
        <v>29624.799999999999</v>
      </c>
      <c r="EQ86" s="2">
        <v>29740.7</v>
      </c>
      <c r="ER86" s="2">
        <v>29831.9</v>
      </c>
      <c r="ES86" s="2">
        <v>29849</v>
      </c>
      <c r="ET86" s="2">
        <v>29954.45</v>
      </c>
      <c r="EU86" s="2">
        <v>30020.95</v>
      </c>
      <c r="EV86" s="2">
        <v>29958.25</v>
      </c>
      <c r="EW86" s="2">
        <v>29966.799999999999</v>
      </c>
      <c r="EX86" s="2">
        <v>29977.25</v>
      </c>
      <c r="EY86" s="2">
        <v>29946.28</v>
      </c>
      <c r="EZ86" s="2">
        <v>30064.32</v>
      </c>
      <c r="FA86" s="2">
        <v>30214.47</v>
      </c>
      <c r="FB86" s="2">
        <v>30172</v>
      </c>
      <c r="FC86" s="2">
        <v>30247.99</v>
      </c>
      <c r="FD86" s="2">
        <v>30291.69</v>
      </c>
      <c r="FE86" s="2">
        <v>30251.91</v>
      </c>
      <c r="FF86" s="2">
        <v>30341.88</v>
      </c>
      <c r="FG86" s="2">
        <v>30401.54</v>
      </c>
      <c r="FH86" s="2">
        <v>30554.01</v>
      </c>
      <c r="FI86" s="2">
        <v>30611.78</v>
      </c>
      <c r="FJ86" s="2">
        <v>30757.61</v>
      </c>
      <c r="FK86" s="2">
        <v>30705.53</v>
      </c>
      <c r="FL86" s="2">
        <v>30782.23</v>
      </c>
      <c r="FM86" s="2">
        <v>30915.759999999998</v>
      </c>
      <c r="FN86" s="2">
        <v>30974.48</v>
      </c>
      <c r="FO86" s="2">
        <v>31068.23</v>
      </c>
      <c r="FP86" s="2">
        <v>31091.9</v>
      </c>
      <c r="FQ86" s="2">
        <v>31135.8</v>
      </c>
      <c r="FR86" s="2">
        <v>31168.34</v>
      </c>
      <c r="FS86" s="2">
        <v>31358.76</v>
      </c>
      <c r="FT86" s="2">
        <v>31367.1</v>
      </c>
      <c r="FU86" s="2">
        <v>31511.93</v>
      </c>
      <c r="FV86" s="2">
        <v>31658.79</v>
      </c>
      <c r="FW86" s="2">
        <v>31707.79</v>
      </c>
      <c r="FX86" s="2">
        <v>31852.02</v>
      </c>
      <c r="FY86" s="2">
        <v>31905.89</v>
      </c>
      <c r="FZ86" s="2">
        <v>31926.45</v>
      </c>
      <c r="GA86" s="2">
        <v>31987.06</v>
      </c>
      <c r="GB86" s="2">
        <v>32079.200000000001</v>
      </c>
      <c r="GC86" s="2">
        <v>32038.75</v>
      </c>
      <c r="GD86" s="2">
        <v>32172.99</v>
      </c>
      <c r="GE86" s="2">
        <v>32326.48</v>
      </c>
      <c r="GF86" s="2">
        <v>32330.01</v>
      </c>
      <c r="GG86" s="2">
        <v>32396.79</v>
      </c>
      <c r="GH86" s="2">
        <v>32557.35</v>
      </c>
      <c r="GI86" s="2">
        <v>32603.17</v>
      </c>
      <c r="GJ86" s="2">
        <v>32821.269999999997</v>
      </c>
      <c r="GK86" s="2">
        <v>32757.1</v>
      </c>
      <c r="GL86" s="2">
        <v>32880.550000000003</v>
      </c>
      <c r="GM86" s="2">
        <v>32921.72</v>
      </c>
      <c r="GN86" s="2">
        <v>32577.98</v>
      </c>
      <c r="GO86" s="2">
        <v>32596.17</v>
      </c>
      <c r="GP86" s="2">
        <v>32612.45</v>
      </c>
      <c r="GQ86" s="2">
        <v>32531.06</v>
      </c>
      <c r="GR86" s="2">
        <v>32612.240000000002</v>
      </c>
      <c r="GS86" s="2">
        <v>32792.199999999997</v>
      </c>
      <c r="GT86" s="2">
        <v>32758.48</v>
      </c>
      <c r="GU86" s="2">
        <v>32676.97</v>
      </c>
      <c r="GV86" s="2">
        <v>32896.58</v>
      </c>
      <c r="GW86" s="2">
        <v>32780.54</v>
      </c>
      <c r="GX86" s="2">
        <v>33055.769999999997</v>
      </c>
      <c r="GY86" s="2">
        <v>33283.050000000003</v>
      </c>
      <c r="GZ86" s="2">
        <v>33398.129999999997</v>
      </c>
      <c r="HA86" s="2">
        <v>33331</v>
      </c>
      <c r="HB86" s="2">
        <v>33297.440000000002</v>
      </c>
      <c r="HC86" s="3">
        <v>33412.519999999997</v>
      </c>
      <c r="HD86" s="3">
        <v>33527.599999999999</v>
      </c>
      <c r="HE86" s="3">
        <v>33812.42</v>
      </c>
      <c r="HF86" s="3">
        <v>33792.35</v>
      </c>
      <c r="HG86" s="3">
        <v>33858.49</v>
      </c>
      <c r="HH86" s="3">
        <v>33919.089999999997</v>
      </c>
      <c r="HI86" s="3">
        <v>33989.08</v>
      </c>
      <c r="HJ86" s="3">
        <v>34078.07</v>
      </c>
      <c r="HK86" s="3">
        <v>34180.699999999997</v>
      </c>
      <c r="HL86" s="3">
        <v>34270</v>
      </c>
      <c r="HM86" s="3">
        <v>34368.06</v>
      </c>
      <c r="HN86" s="3">
        <v>34468.089999999997</v>
      </c>
      <c r="HO86" s="3">
        <v>34561.160000000003</v>
      </c>
      <c r="HP86" s="3">
        <v>34657.949999999997</v>
      </c>
      <c r="HQ86" s="3">
        <v>34753.25</v>
      </c>
      <c r="HR86" s="3">
        <v>34843.61</v>
      </c>
      <c r="HS86" s="3">
        <v>34930.71</v>
      </c>
      <c r="HT86" s="3">
        <v>35019.79</v>
      </c>
      <c r="HU86" s="3">
        <v>35105.589999999997</v>
      </c>
      <c r="HV86" s="3">
        <v>35191.589999999997</v>
      </c>
      <c r="HW86" s="3">
        <v>35274.300000000003</v>
      </c>
      <c r="HX86" s="3">
        <v>35353.660000000003</v>
      </c>
      <c r="HY86" s="3">
        <v>35431.440000000002</v>
      </c>
      <c r="HZ86" s="3">
        <v>35512.93</v>
      </c>
      <c r="IA86" s="3">
        <v>35594.61</v>
      </c>
      <c r="IB86" s="3">
        <v>35676.480000000003</v>
      </c>
      <c r="IC86" s="3">
        <v>35754.97</v>
      </c>
      <c r="ID86" s="3">
        <v>35833.629999999997</v>
      </c>
      <c r="IE86" s="3">
        <v>35912.46</v>
      </c>
      <c r="IF86" s="3">
        <v>35991.480000000003</v>
      </c>
      <c r="IG86" s="3">
        <v>36068.85</v>
      </c>
      <c r="IH86" s="3">
        <v>36144.589999999997</v>
      </c>
      <c r="II86" s="3">
        <v>36220.5</v>
      </c>
      <c r="IJ86" s="3">
        <v>36292.94</v>
      </c>
      <c r="IK86" s="3">
        <v>36365.53</v>
      </c>
      <c r="IL86" s="3">
        <v>36430.99</v>
      </c>
      <c r="IM86" s="3">
        <v>36499.040000000001</v>
      </c>
      <c r="IN86" s="3">
        <v>36561.879999999997</v>
      </c>
      <c r="IO86" s="3">
        <v>36621.730000000003</v>
      </c>
      <c r="IP86" s="3">
        <v>36674.660000000003</v>
      </c>
      <c r="IQ86" s="3">
        <v>36731.24</v>
      </c>
      <c r="IR86" s="3">
        <v>36780.089999999997</v>
      </c>
      <c r="IS86" s="3">
        <v>36823.17</v>
      </c>
      <c r="IT86" s="3">
        <v>36862.800000000003</v>
      </c>
      <c r="IU86" s="3">
        <v>36904.339999999997</v>
      </c>
      <c r="IV86" s="3">
        <v>36945.879999999997</v>
      </c>
      <c r="IW86" s="3">
        <v>36987.410000000003</v>
      </c>
      <c r="IX86" s="3">
        <v>37028.949999999997</v>
      </c>
      <c r="IY86" s="3">
        <v>37070.480000000003</v>
      </c>
      <c r="IZ86" s="3">
        <v>37112.019999999997</v>
      </c>
      <c r="JA86" s="3">
        <v>37153.56</v>
      </c>
      <c r="JB86" s="3">
        <v>37195.089999999997</v>
      </c>
      <c r="JC86" s="3">
        <v>37236.629999999997</v>
      </c>
      <c r="JD86" s="3">
        <v>37278.17</v>
      </c>
      <c r="JE86" s="3">
        <v>37319.71</v>
      </c>
      <c r="JF86" s="3">
        <v>37361.24</v>
      </c>
      <c r="JG86" s="3">
        <v>37402.78</v>
      </c>
      <c r="JH86" s="3">
        <v>37444.32</v>
      </c>
      <c r="JI86" s="3">
        <v>37485.86</v>
      </c>
      <c r="JJ86" s="3">
        <v>37527.4</v>
      </c>
      <c r="JK86" s="3">
        <v>37568.93</v>
      </c>
      <c r="JL86" s="3">
        <v>37610.46</v>
      </c>
      <c r="JM86" s="3">
        <v>37652</v>
      </c>
      <c r="JN86" s="3">
        <v>37693.54</v>
      </c>
      <c r="JO86" s="3">
        <v>37735.08</v>
      </c>
      <c r="JP86" s="3">
        <v>37776.61</v>
      </c>
      <c r="JQ86" s="3">
        <v>37818.15</v>
      </c>
      <c r="JR86" s="3">
        <v>37859.69</v>
      </c>
      <c r="JS86" s="3">
        <v>37894.49</v>
      </c>
      <c r="JT86" s="3">
        <v>37929.29</v>
      </c>
      <c r="JU86" s="3">
        <v>37964.1</v>
      </c>
      <c r="JV86" s="3">
        <v>37998.9</v>
      </c>
      <c r="JW86" s="3">
        <v>38033.71</v>
      </c>
      <c r="JX86" s="3">
        <v>38068.51</v>
      </c>
      <c r="JY86" s="3">
        <v>38103.31</v>
      </c>
      <c r="JZ86" s="3">
        <v>38138.120000000003</v>
      </c>
      <c r="KA86" s="3">
        <v>38172.92</v>
      </c>
      <c r="KB86" s="3">
        <v>38207.72</v>
      </c>
      <c r="KC86" s="3">
        <v>38242.519999999997</v>
      </c>
      <c r="KD86" s="3">
        <v>38277.33</v>
      </c>
      <c r="KE86" s="3">
        <v>38312.129999999997</v>
      </c>
      <c r="KF86" s="3">
        <v>38346.94</v>
      </c>
      <c r="KG86" s="3">
        <v>38381.74</v>
      </c>
      <c r="KH86" s="3">
        <v>38416.54</v>
      </c>
      <c r="KI86" s="3">
        <v>38451.35</v>
      </c>
      <c r="KJ86" s="3">
        <v>38486.15</v>
      </c>
      <c r="KK86" s="3">
        <v>38520.949999999997</v>
      </c>
      <c r="KL86" s="3">
        <v>38555.760000000002</v>
      </c>
      <c r="KM86" s="3">
        <v>38590.559999999998</v>
      </c>
      <c r="KN86" s="3">
        <v>38625.360000000001</v>
      </c>
      <c r="KO86" s="3">
        <v>38660.17</v>
      </c>
      <c r="KP86" s="3">
        <v>38694.97</v>
      </c>
      <c r="KQ86" s="3">
        <v>38729.78</v>
      </c>
      <c r="KR86" s="3">
        <v>38764.58</v>
      </c>
      <c r="KS86" s="3">
        <v>38799.379999999997</v>
      </c>
      <c r="KT86" s="3">
        <v>38834.18</v>
      </c>
      <c r="KU86" s="3">
        <v>38868.99</v>
      </c>
      <c r="KV86" s="3">
        <v>38903.79</v>
      </c>
      <c r="KW86" s="3">
        <v>38938.6</v>
      </c>
      <c r="KX86" s="3">
        <v>38973.4</v>
      </c>
      <c r="KY86" s="3">
        <v>39008.199999999997</v>
      </c>
      <c r="KZ86" s="3">
        <v>39043.01</v>
      </c>
      <c r="LA86" s="3">
        <v>39077.81</v>
      </c>
      <c r="LB86" s="3">
        <v>39112.61</v>
      </c>
      <c r="LC86" s="3">
        <v>39147.410000000003</v>
      </c>
      <c r="LD86" s="3">
        <v>39182.21</v>
      </c>
      <c r="LE86" s="3">
        <v>39217.019999999997</v>
      </c>
      <c r="LF86" s="3">
        <v>39251.83</v>
      </c>
      <c r="LG86" s="3">
        <v>39272.089999999997</v>
      </c>
      <c r="LH86" s="3">
        <v>39292.339999999997</v>
      </c>
      <c r="LI86" s="3">
        <v>39310.14</v>
      </c>
      <c r="LJ86" s="3">
        <v>39327.94</v>
      </c>
      <c r="LK86" s="3">
        <v>39345.72</v>
      </c>
      <c r="LL86" s="3">
        <v>39363.519999999997</v>
      </c>
      <c r="LM86" s="3">
        <v>39377.06</v>
      </c>
      <c r="LN86" s="3">
        <v>39390.589999999997</v>
      </c>
      <c r="LO86" s="3">
        <v>39404.120000000003</v>
      </c>
      <c r="LP86" s="3">
        <v>39417.65</v>
      </c>
      <c r="LQ86" s="3">
        <v>39431.24</v>
      </c>
      <c r="LR86" s="3">
        <v>39444.839999999997</v>
      </c>
      <c r="LS86" s="3">
        <v>39458.43</v>
      </c>
      <c r="LT86" s="3">
        <v>39472.03</v>
      </c>
      <c r="LU86" s="3">
        <v>39483.620000000003</v>
      </c>
      <c r="LV86" s="3">
        <v>39495.21</v>
      </c>
      <c r="LW86" s="3">
        <v>39506.81</v>
      </c>
      <c r="LX86" s="3">
        <v>39518.400000000001</v>
      </c>
      <c r="LY86" s="3">
        <v>39528.400000000001</v>
      </c>
      <c r="LZ86" s="3">
        <v>39538.410000000003</v>
      </c>
      <c r="MA86" s="3">
        <v>39548.410000000003</v>
      </c>
      <c r="MB86" s="3">
        <v>39558.410000000003</v>
      </c>
      <c r="MC86" s="3">
        <v>39568.49</v>
      </c>
      <c r="MD86" s="3">
        <v>39578.58</v>
      </c>
      <c r="ME86" s="3">
        <v>39588.660000000003</v>
      </c>
      <c r="MF86" s="3">
        <v>39598.75</v>
      </c>
      <c r="MG86" s="3">
        <v>39610.83</v>
      </c>
      <c r="MH86" s="3">
        <v>39622.910000000003</v>
      </c>
      <c r="MI86" s="3">
        <v>39635</v>
      </c>
      <c r="MJ86" s="3">
        <v>39647.089999999997</v>
      </c>
      <c r="MK86" s="3">
        <v>39658.6</v>
      </c>
      <c r="ML86" s="3">
        <v>39670.11</v>
      </c>
      <c r="MM86" s="3">
        <v>39681.620000000003</v>
      </c>
      <c r="MN86" s="3">
        <v>39693.14</v>
      </c>
      <c r="MO86" s="3">
        <v>39706.71</v>
      </c>
      <c r="MP86" s="3">
        <v>39720.300000000003</v>
      </c>
      <c r="MQ86" s="3">
        <v>39733.870000000003</v>
      </c>
      <c r="MR86" s="3">
        <v>39747.449999999997</v>
      </c>
      <c r="MS86" s="3">
        <v>39761.03</v>
      </c>
      <c r="MT86" s="3">
        <v>39774.620000000003</v>
      </c>
      <c r="MU86" t="s">
        <v>457</v>
      </c>
      <c r="MV86" t="b">
        <v>0</v>
      </c>
      <c r="MW86" t="s">
        <v>377</v>
      </c>
      <c r="MX86" t="s">
        <v>377</v>
      </c>
      <c r="MY86">
        <v>2023</v>
      </c>
      <c r="MZ86">
        <v>4</v>
      </c>
      <c r="NA86" t="s">
        <v>377</v>
      </c>
      <c r="NB86" t="s">
        <v>457</v>
      </c>
      <c r="NC86" t="s">
        <v>377</v>
      </c>
      <c r="ND86" t="s">
        <v>380</v>
      </c>
      <c r="NE86" t="s">
        <v>466</v>
      </c>
      <c r="NF86" s="1" t="s">
        <v>528</v>
      </c>
    </row>
    <row r="87" spans="1:370" x14ac:dyDescent="0.25">
      <c r="A87" t="s">
        <v>382</v>
      </c>
      <c r="B87" t="s">
        <v>463</v>
      </c>
      <c r="C87" s="1" t="s">
        <v>527</v>
      </c>
      <c r="D87" t="s">
        <v>464</v>
      </c>
      <c r="E87" t="s">
        <v>465</v>
      </c>
      <c r="F87" t="s">
        <v>374</v>
      </c>
      <c r="G87" s="2">
        <v>84116.2</v>
      </c>
      <c r="H87" s="2">
        <v>85009.2</v>
      </c>
      <c r="I87" s="2">
        <v>85445.02</v>
      </c>
      <c r="J87" s="2">
        <v>86318.38</v>
      </c>
      <c r="K87" s="2">
        <v>87068.02</v>
      </c>
      <c r="L87" s="2">
        <v>87250.34</v>
      </c>
      <c r="M87" s="2">
        <v>87877.36</v>
      </c>
      <c r="N87" s="2">
        <v>88283.16</v>
      </c>
      <c r="O87" s="2">
        <v>88592.88</v>
      </c>
      <c r="P87" s="2">
        <v>89150.54</v>
      </c>
      <c r="Q87" s="2">
        <v>89626.880000000005</v>
      </c>
      <c r="R87" s="2">
        <v>89792.2</v>
      </c>
      <c r="S87" s="2">
        <v>90489.76</v>
      </c>
      <c r="T87" s="2">
        <v>91221.31</v>
      </c>
      <c r="U87" s="2">
        <v>91976.55</v>
      </c>
      <c r="V87" s="2">
        <v>92426.17</v>
      </c>
      <c r="W87" s="2">
        <v>92993.04</v>
      </c>
      <c r="X87" s="2">
        <v>93932.66</v>
      </c>
      <c r="Y87" s="2">
        <v>94451.06</v>
      </c>
      <c r="Z87" s="2">
        <v>95449.91</v>
      </c>
      <c r="AA87" s="2">
        <v>96057.29</v>
      </c>
      <c r="AB87" s="2">
        <v>97018.52</v>
      </c>
      <c r="AC87" s="2">
        <v>97610.21</v>
      </c>
      <c r="AD87" s="2">
        <v>98484.95</v>
      </c>
      <c r="AE87" s="2">
        <v>99343</v>
      </c>
      <c r="AF87" s="2">
        <v>99291.19</v>
      </c>
      <c r="AG87" s="2">
        <v>100135.2</v>
      </c>
      <c r="AH87" s="2">
        <v>100822.2</v>
      </c>
      <c r="AI87" s="2">
        <v>101441.4</v>
      </c>
      <c r="AJ87" s="2">
        <v>101636.8</v>
      </c>
      <c r="AK87" s="2">
        <v>101981.4</v>
      </c>
      <c r="AL87" s="2">
        <v>102296.9</v>
      </c>
      <c r="AM87" s="2">
        <v>103098.6</v>
      </c>
      <c r="AN87" s="2">
        <v>103653.9</v>
      </c>
      <c r="AO87" s="2">
        <v>103356.4</v>
      </c>
      <c r="AP87" s="2">
        <v>103874.3</v>
      </c>
      <c r="AQ87" s="2">
        <v>104187.3</v>
      </c>
      <c r="AR87" s="2">
        <v>104905.8</v>
      </c>
      <c r="AS87" s="2">
        <v>105305.3</v>
      </c>
      <c r="AT87" s="2">
        <v>105728.5</v>
      </c>
      <c r="AU87" s="2">
        <v>105433.60000000001</v>
      </c>
      <c r="AV87" s="2">
        <v>105948.1</v>
      </c>
      <c r="AW87" s="2">
        <v>106842.5</v>
      </c>
      <c r="AX87" s="2">
        <v>106915.3</v>
      </c>
      <c r="AY87" s="2">
        <v>107261.3</v>
      </c>
      <c r="AZ87" s="2">
        <v>108233.7</v>
      </c>
      <c r="BA87" s="2">
        <v>108545.5</v>
      </c>
      <c r="BB87" s="2">
        <v>108956.8</v>
      </c>
      <c r="BC87" s="2">
        <v>109653.7</v>
      </c>
      <c r="BD87" s="2">
        <v>109855.3</v>
      </c>
      <c r="BE87" s="2">
        <v>110180.8</v>
      </c>
      <c r="BF87" s="2">
        <v>110867.8</v>
      </c>
      <c r="BG87" s="2">
        <v>111564.1</v>
      </c>
      <c r="BH87" s="2">
        <v>112258</v>
      </c>
      <c r="BI87" s="2">
        <v>112828.2</v>
      </c>
      <c r="BJ87" s="2">
        <v>113191.6</v>
      </c>
      <c r="BK87" s="2">
        <v>113677.8</v>
      </c>
      <c r="BL87" s="2">
        <v>114250.5</v>
      </c>
      <c r="BM87" s="2">
        <v>114664.7</v>
      </c>
      <c r="BN87" s="2">
        <v>115178.8</v>
      </c>
      <c r="BO87" s="2">
        <v>115600.8</v>
      </c>
      <c r="BP87" s="2">
        <v>115861.6</v>
      </c>
      <c r="BQ87" s="2">
        <v>116506.3</v>
      </c>
      <c r="BR87" s="2">
        <v>117077.2</v>
      </c>
      <c r="BS87" s="2">
        <v>117830.3</v>
      </c>
      <c r="BT87" s="2">
        <v>118262.5</v>
      </c>
      <c r="BU87" s="2">
        <v>118619.2</v>
      </c>
      <c r="BV87" s="2">
        <v>119048.3</v>
      </c>
      <c r="BW87" s="2">
        <v>120348.8</v>
      </c>
      <c r="BX87" s="2">
        <v>120301</v>
      </c>
      <c r="BY87" s="2">
        <v>120484.6</v>
      </c>
      <c r="BZ87" s="2">
        <v>120697.5</v>
      </c>
      <c r="CA87" s="2">
        <v>120723.8</v>
      </c>
      <c r="CB87" s="2">
        <v>121017.4</v>
      </c>
      <c r="CC87" s="2">
        <v>121008.1</v>
      </c>
      <c r="CD87" s="2">
        <v>121365.4</v>
      </c>
      <c r="CE87" s="2">
        <v>122047</v>
      </c>
      <c r="CF87" s="2">
        <v>122819.7</v>
      </c>
      <c r="CG87" s="2">
        <v>123242.5</v>
      </c>
      <c r="CH87" s="2">
        <v>123051.6</v>
      </c>
      <c r="CI87" s="2">
        <v>123210.1</v>
      </c>
      <c r="CJ87" s="2">
        <v>123807</v>
      </c>
      <c r="CK87" s="2">
        <v>124153.1</v>
      </c>
      <c r="CL87" s="2">
        <v>124470.2</v>
      </c>
      <c r="CM87" s="2">
        <v>125267.6</v>
      </c>
      <c r="CN87" s="2">
        <v>125380.3</v>
      </c>
      <c r="CO87" s="2">
        <v>125840.1</v>
      </c>
      <c r="CP87" s="2">
        <v>126570.4</v>
      </c>
      <c r="CQ87" s="2">
        <v>126801.3</v>
      </c>
      <c r="CR87" s="2">
        <v>126858.3</v>
      </c>
      <c r="CS87" s="2">
        <v>127160.5</v>
      </c>
      <c r="CT87" s="2">
        <v>127349.3</v>
      </c>
      <c r="CU87" s="2">
        <v>127652.3</v>
      </c>
      <c r="CV87" s="2">
        <v>128314</v>
      </c>
      <c r="CW87" s="2">
        <v>128992.9</v>
      </c>
      <c r="CX87" s="2">
        <v>129706</v>
      </c>
      <c r="CY87" s="2">
        <v>130264.7</v>
      </c>
      <c r="CZ87" s="2">
        <v>130789.4</v>
      </c>
      <c r="DA87" s="2">
        <v>131258.5</v>
      </c>
      <c r="DB87" s="2">
        <v>131585.4</v>
      </c>
      <c r="DC87" s="2">
        <v>131820.9</v>
      </c>
      <c r="DD87" s="2">
        <v>132005</v>
      </c>
      <c r="DE87" s="2">
        <v>132488.70000000001</v>
      </c>
      <c r="DF87" s="2">
        <v>133095.79999999999</v>
      </c>
      <c r="DG87" s="2">
        <v>133560.6</v>
      </c>
      <c r="DH87" s="2">
        <v>133797.4</v>
      </c>
      <c r="DI87" s="2">
        <v>134163</v>
      </c>
      <c r="DJ87" s="2">
        <v>134652.79999999999</v>
      </c>
      <c r="DK87" s="2">
        <v>134946.79999999999</v>
      </c>
      <c r="DL87" s="2">
        <v>135142.29999999999</v>
      </c>
      <c r="DM87" s="2">
        <v>135024.4</v>
      </c>
      <c r="DN87" s="2">
        <v>135520.4</v>
      </c>
      <c r="DO87" s="2">
        <v>136355.1</v>
      </c>
      <c r="DP87" s="2">
        <v>135996.9</v>
      </c>
      <c r="DQ87" s="2">
        <v>136227.9</v>
      </c>
      <c r="DR87" s="2">
        <v>136781.70000000001</v>
      </c>
      <c r="DS87" s="2">
        <v>136918.79999999999</v>
      </c>
      <c r="DT87" s="2">
        <v>137393.60000000001</v>
      </c>
      <c r="DU87" s="2">
        <v>137691.4</v>
      </c>
      <c r="DV87" s="2">
        <v>137725.20000000001</v>
      </c>
      <c r="DW87" s="2">
        <v>138575.9</v>
      </c>
      <c r="DX87" s="2">
        <v>139215.70000000001</v>
      </c>
      <c r="DY87" s="2">
        <v>139050.29999999999</v>
      </c>
      <c r="DZ87" s="2">
        <v>139375.79999999999</v>
      </c>
      <c r="EA87" s="2">
        <v>139406</v>
      </c>
      <c r="EB87" s="2">
        <v>139699.29999999999</v>
      </c>
      <c r="EC87" s="2">
        <v>140123.1</v>
      </c>
      <c r="ED87" s="2">
        <v>140560.70000000001</v>
      </c>
      <c r="EE87" s="2">
        <v>140816.70000000001</v>
      </c>
      <c r="EF87" s="2">
        <v>141665.60000000001</v>
      </c>
      <c r="EG87" s="2">
        <v>142230</v>
      </c>
      <c r="EH87" s="2">
        <v>142539</v>
      </c>
      <c r="EI87" s="2">
        <v>143050.20000000001</v>
      </c>
      <c r="EJ87" s="2">
        <v>143581.6</v>
      </c>
      <c r="EK87" s="2">
        <v>144056.29999999999</v>
      </c>
      <c r="EL87" s="2">
        <v>144841.29999999999</v>
      </c>
      <c r="EM87" s="2">
        <v>145492.9</v>
      </c>
      <c r="EN87" s="2">
        <v>145183.29999999999</v>
      </c>
      <c r="EO87" s="2">
        <v>145537.70000000001</v>
      </c>
      <c r="EP87" s="2">
        <v>146094.9</v>
      </c>
      <c r="EQ87" s="2">
        <v>146326.39999999999</v>
      </c>
      <c r="ER87" s="2">
        <v>146582.1</v>
      </c>
      <c r="ES87" s="2">
        <v>147004.6</v>
      </c>
      <c r="ET87" s="2">
        <v>147169.4</v>
      </c>
      <c r="EU87" s="2">
        <v>146770.29999999999</v>
      </c>
      <c r="EV87" s="2">
        <v>147126.79999999999</v>
      </c>
      <c r="EW87" s="2">
        <v>146713.29999999999</v>
      </c>
      <c r="EX87" s="2">
        <v>146132.4</v>
      </c>
      <c r="EY87" s="2">
        <v>146255</v>
      </c>
      <c r="EZ87" s="2">
        <v>146643.70000000001</v>
      </c>
      <c r="FA87" s="2">
        <v>146472.20000000001</v>
      </c>
      <c r="FB87" s="2">
        <v>146377.79999999999</v>
      </c>
      <c r="FC87" s="2">
        <v>145897.29999999999</v>
      </c>
      <c r="FD87" s="2">
        <v>146073.1</v>
      </c>
      <c r="FE87" s="2">
        <v>146344.5</v>
      </c>
      <c r="FF87" s="2">
        <v>146647.29999999999</v>
      </c>
      <c r="FG87" s="2">
        <v>147208.20000000001</v>
      </c>
      <c r="FH87" s="2">
        <v>147443.5</v>
      </c>
      <c r="FI87" s="2">
        <v>147577.9</v>
      </c>
      <c r="FJ87" s="2">
        <v>148115.5</v>
      </c>
      <c r="FK87" s="2">
        <v>147990.79999999999</v>
      </c>
      <c r="FL87" s="2">
        <v>148196.29999999999</v>
      </c>
      <c r="FM87" s="2">
        <v>148276.70000000001</v>
      </c>
      <c r="FN87" s="2">
        <v>147725</v>
      </c>
      <c r="FO87" s="2">
        <v>148289.79999999999</v>
      </c>
      <c r="FP87" s="2">
        <v>148269.29999999999</v>
      </c>
      <c r="FQ87" s="2">
        <v>148730.29999999999</v>
      </c>
      <c r="FR87" s="2">
        <v>149078.6</v>
      </c>
      <c r="FS87" s="2">
        <v>149429.4</v>
      </c>
      <c r="FT87" s="2">
        <v>149902.1</v>
      </c>
      <c r="FU87" s="2">
        <v>149635.70000000001</v>
      </c>
      <c r="FV87" s="2">
        <v>150206.70000000001</v>
      </c>
      <c r="FW87" s="2">
        <v>151308.4</v>
      </c>
      <c r="FX87" s="2">
        <v>151570.79999999999</v>
      </c>
      <c r="FY87" s="2">
        <v>152083.70000000001</v>
      </c>
      <c r="FZ87" s="2">
        <v>152197.4</v>
      </c>
      <c r="GA87" s="2">
        <v>152472.20000000001</v>
      </c>
      <c r="GB87" s="2">
        <v>152798.1</v>
      </c>
      <c r="GC87" s="2">
        <v>153314.20000000001</v>
      </c>
      <c r="GD87" s="2">
        <v>153085.20000000001</v>
      </c>
      <c r="GE87" s="2">
        <v>154038.1</v>
      </c>
      <c r="GF87" s="2">
        <v>154512.4</v>
      </c>
      <c r="GG87" s="2">
        <v>154610</v>
      </c>
      <c r="GH87" s="2">
        <v>155440.6</v>
      </c>
      <c r="GI87" s="2">
        <v>155528.20000000001</v>
      </c>
      <c r="GJ87" s="2">
        <v>155429.29999999999</v>
      </c>
      <c r="GK87" s="2">
        <v>156386.1</v>
      </c>
      <c r="GL87" s="2">
        <v>157091.4</v>
      </c>
      <c r="GM87" s="2">
        <v>156383.70000000001</v>
      </c>
      <c r="GN87" s="2">
        <v>150999.9</v>
      </c>
      <c r="GO87" s="2">
        <v>153193.29999999999</v>
      </c>
      <c r="GP87" s="2">
        <v>153576.79999999999</v>
      </c>
      <c r="GQ87" s="2">
        <v>153015.70000000001</v>
      </c>
      <c r="GR87" s="2">
        <v>153787.20000000001</v>
      </c>
      <c r="GS87" s="2">
        <v>154362</v>
      </c>
      <c r="GT87" s="2">
        <v>154921.4</v>
      </c>
      <c r="GU87" s="2">
        <v>156590.9</v>
      </c>
      <c r="GV87" s="2">
        <v>156813.6</v>
      </c>
      <c r="GW87" s="2">
        <v>157188.5</v>
      </c>
      <c r="GX87" s="2">
        <v>157404.9</v>
      </c>
      <c r="GY87" s="2">
        <v>158909.9</v>
      </c>
      <c r="GZ87" s="2">
        <v>159450.9</v>
      </c>
      <c r="HA87" s="2">
        <v>160204.70000000001</v>
      </c>
      <c r="HB87" s="2">
        <v>160352.5</v>
      </c>
      <c r="HC87" s="2">
        <v>160132.1</v>
      </c>
      <c r="HD87" s="2">
        <v>160495.29999999999</v>
      </c>
      <c r="HE87" s="2">
        <v>161122.70000000001</v>
      </c>
      <c r="HF87" s="3">
        <v>161023.9</v>
      </c>
      <c r="HG87" s="3">
        <v>161457.1</v>
      </c>
      <c r="HH87" s="3">
        <v>161801.29999999999</v>
      </c>
      <c r="HI87" s="3">
        <v>162044.70000000001</v>
      </c>
      <c r="HJ87" s="3">
        <v>162277.9</v>
      </c>
      <c r="HK87" s="3">
        <v>162467.29999999999</v>
      </c>
      <c r="HL87" s="3">
        <v>162637</v>
      </c>
      <c r="HM87" s="3">
        <v>162771.70000000001</v>
      </c>
      <c r="HN87" s="3">
        <v>162876.79999999999</v>
      </c>
      <c r="HO87" s="3">
        <v>162980.6</v>
      </c>
      <c r="HP87" s="3">
        <v>163079.5</v>
      </c>
      <c r="HQ87" s="3">
        <v>163170.1</v>
      </c>
      <c r="HR87" s="3">
        <v>163253.4</v>
      </c>
      <c r="HS87" s="3">
        <v>163326.20000000001</v>
      </c>
      <c r="HT87" s="3">
        <v>163443.29999999999</v>
      </c>
      <c r="HU87" s="3">
        <v>163583.5</v>
      </c>
      <c r="HV87" s="3">
        <v>163732</v>
      </c>
      <c r="HW87" s="3">
        <v>163885</v>
      </c>
      <c r="HX87" s="3">
        <v>164042.1</v>
      </c>
      <c r="HY87" s="3">
        <v>164201.79999999999</v>
      </c>
      <c r="HZ87" s="3">
        <v>164363.70000000001</v>
      </c>
      <c r="IA87" s="3">
        <v>164528.4</v>
      </c>
      <c r="IB87" s="3">
        <v>164694.9</v>
      </c>
      <c r="IC87" s="3">
        <v>164864.9</v>
      </c>
      <c r="ID87" s="3">
        <v>165038.39999999999</v>
      </c>
      <c r="IE87" s="3">
        <v>165213</v>
      </c>
      <c r="IF87" s="3">
        <v>165391.1</v>
      </c>
      <c r="IG87" s="3">
        <v>165571.4</v>
      </c>
      <c r="IH87" s="3">
        <v>165748.79999999999</v>
      </c>
      <c r="II87" s="3">
        <v>165926.29999999999</v>
      </c>
      <c r="IJ87" s="3">
        <v>166106.1</v>
      </c>
      <c r="IK87" s="3">
        <v>166286</v>
      </c>
      <c r="IL87" s="3">
        <v>166467.9</v>
      </c>
      <c r="IM87" s="3">
        <v>166649.79999999999</v>
      </c>
      <c r="IN87" s="3">
        <v>166833.5</v>
      </c>
      <c r="IO87" s="3">
        <v>167018.9</v>
      </c>
      <c r="IP87" s="3">
        <v>167204</v>
      </c>
      <c r="IQ87" s="3">
        <v>167390</v>
      </c>
      <c r="IR87" s="3">
        <v>167576.9</v>
      </c>
      <c r="IS87" s="3">
        <v>167761.60000000001</v>
      </c>
      <c r="IT87" s="3">
        <v>167946.8</v>
      </c>
      <c r="IU87" s="3">
        <v>168132.9</v>
      </c>
      <c r="IV87" s="3">
        <v>168319.5</v>
      </c>
      <c r="IW87" s="3">
        <v>168505.7</v>
      </c>
      <c r="IX87" s="3">
        <v>168691.8</v>
      </c>
      <c r="IY87" s="3">
        <v>168876.9</v>
      </c>
      <c r="IZ87" s="3">
        <v>169061.9</v>
      </c>
      <c r="JA87" s="3">
        <v>169247.4</v>
      </c>
      <c r="JB87" s="3">
        <v>169432.6</v>
      </c>
      <c r="JC87" s="3">
        <v>169617.8</v>
      </c>
      <c r="JD87" s="3">
        <v>169802.8</v>
      </c>
      <c r="JE87" s="3">
        <v>169988.5</v>
      </c>
      <c r="JF87" s="3">
        <v>170174.2</v>
      </c>
      <c r="JG87" s="3">
        <v>170360.9</v>
      </c>
      <c r="JH87" s="3">
        <v>170550.6</v>
      </c>
      <c r="JI87" s="3">
        <v>170736.1</v>
      </c>
      <c r="JJ87" s="3">
        <v>170923.8</v>
      </c>
      <c r="JK87" s="3">
        <v>171108</v>
      </c>
      <c r="JL87" s="3">
        <v>171291.2</v>
      </c>
      <c r="JM87" s="3">
        <v>171475.9</v>
      </c>
      <c r="JN87" s="3">
        <v>171660.9</v>
      </c>
      <c r="JO87" s="3">
        <v>171840.9</v>
      </c>
      <c r="JP87" s="3">
        <v>172020.5</v>
      </c>
      <c r="JQ87" s="3">
        <v>172200</v>
      </c>
      <c r="JR87" s="3">
        <v>172379</v>
      </c>
      <c r="JS87" s="3">
        <v>172558.6</v>
      </c>
      <c r="JT87" s="3">
        <v>172738.4</v>
      </c>
      <c r="JU87" s="3">
        <v>172918.7</v>
      </c>
      <c r="JV87" s="3">
        <v>173099.1</v>
      </c>
      <c r="JW87" s="3">
        <v>173280</v>
      </c>
      <c r="JX87" s="3">
        <v>173460.9</v>
      </c>
      <c r="JY87" s="3">
        <v>173642.2</v>
      </c>
      <c r="JZ87" s="3">
        <v>173823.9</v>
      </c>
      <c r="KA87" s="3">
        <v>174006</v>
      </c>
      <c r="KB87" s="3">
        <v>174188</v>
      </c>
      <c r="KC87" s="3">
        <v>174370.2</v>
      </c>
      <c r="KD87" s="3">
        <v>174552.6</v>
      </c>
      <c r="KE87" s="3">
        <v>174731.8</v>
      </c>
      <c r="KF87" s="3">
        <v>174913.3</v>
      </c>
      <c r="KG87" s="3">
        <v>175093.5</v>
      </c>
      <c r="KH87" s="3">
        <v>175272.7</v>
      </c>
      <c r="KI87" s="3">
        <v>175450.9</v>
      </c>
      <c r="KJ87" s="3">
        <v>175625.3</v>
      </c>
      <c r="KK87" s="3">
        <v>175801.60000000001</v>
      </c>
      <c r="KL87" s="3">
        <v>175976.9</v>
      </c>
      <c r="KM87" s="3">
        <v>176151.1</v>
      </c>
      <c r="KN87" s="3">
        <v>176321.6</v>
      </c>
      <c r="KO87" s="3">
        <v>176493.9</v>
      </c>
      <c r="KP87" s="3">
        <v>176665.1</v>
      </c>
      <c r="KQ87" s="3">
        <v>176833.2</v>
      </c>
      <c r="KR87" s="3">
        <v>177003.6</v>
      </c>
      <c r="KS87" s="3">
        <v>177173.4</v>
      </c>
      <c r="KT87" s="3">
        <v>177339.5</v>
      </c>
      <c r="KU87" s="3">
        <v>177508.2</v>
      </c>
      <c r="KV87" s="3">
        <v>177673.3</v>
      </c>
      <c r="KW87" s="3">
        <v>177841.4</v>
      </c>
      <c r="KX87" s="3">
        <v>178008.2</v>
      </c>
      <c r="KY87" s="3">
        <v>178171.6</v>
      </c>
      <c r="KZ87" s="3">
        <v>178337.1</v>
      </c>
      <c r="LA87" s="3">
        <v>178498.8</v>
      </c>
      <c r="LB87" s="3">
        <v>178658</v>
      </c>
      <c r="LC87" s="3">
        <v>178818.9</v>
      </c>
      <c r="LD87" s="3">
        <v>178976.5</v>
      </c>
      <c r="LE87" s="3">
        <v>179136.9</v>
      </c>
      <c r="LF87" s="3">
        <v>179294.3</v>
      </c>
      <c r="LG87" s="3">
        <v>179454.8</v>
      </c>
      <c r="LH87" s="3">
        <v>179612.5</v>
      </c>
      <c r="LI87" s="3">
        <v>179770.6</v>
      </c>
      <c r="LJ87" s="3">
        <v>179931.7</v>
      </c>
      <c r="LK87" s="3">
        <v>180090.1</v>
      </c>
      <c r="LL87" s="3">
        <v>180251.7</v>
      </c>
      <c r="LM87" s="3">
        <v>180410.4</v>
      </c>
      <c r="LN87" s="3">
        <v>180572.2</v>
      </c>
      <c r="LO87" s="3">
        <v>180731.4</v>
      </c>
      <c r="LP87" s="3">
        <v>180890.8</v>
      </c>
      <c r="LQ87" s="3">
        <v>181053.1</v>
      </c>
      <c r="LR87" s="3">
        <v>181212.79999999999</v>
      </c>
      <c r="LS87" s="3">
        <v>181375.6</v>
      </c>
      <c r="LT87" s="3">
        <v>181535.8</v>
      </c>
      <c r="LU87" s="3">
        <v>181696.1</v>
      </c>
      <c r="LV87" s="3">
        <v>181859.5</v>
      </c>
      <c r="LW87" s="3">
        <v>182020.2</v>
      </c>
      <c r="LX87" s="3">
        <v>182183.9</v>
      </c>
      <c r="LY87" s="3">
        <v>182345</v>
      </c>
      <c r="LZ87" s="3">
        <v>182509.1</v>
      </c>
      <c r="MA87" s="3">
        <v>182670.7</v>
      </c>
      <c r="MB87" s="3">
        <v>182832.2</v>
      </c>
      <c r="MC87" s="3">
        <v>182997.1</v>
      </c>
      <c r="MD87" s="3">
        <v>183159</v>
      </c>
      <c r="ME87" s="3">
        <v>183324.2</v>
      </c>
      <c r="MF87" s="3">
        <v>183486.5</v>
      </c>
      <c r="MG87" s="3">
        <v>183649.1</v>
      </c>
      <c r="MH87" s="3">
        <v>183814.9</v>
      </c>
      <c r="MI87" s="3">
        <v>183977.8</v>
      </c>
      <c r="MJ87" s="3">
        <v>184143.8</v>
      </c>
      <c r="MK87" s="3">
        <v>184307</v>
      </c>
      <c r="ML87" s="3">
        <v>184473.5</v>
      </c>
      <c r="MM87" s="3">
        <v>184637.2</v>
      </c>
      <c r="MN87" s="3">
        <v>184801</v>
      </c>
      <c r="MO87" s="3">
        <v>184968</v>
      </c>
      <c r="MP87" s="3">
        <v>185132.1</v>
      </c>
      <c r="MQ87" s="3">
        <v>185299.5</v>
      </c>
      <c r="MR87" s="3">
        <v>185464.1</v>
      </c>
      <c r="MS87" s="3">
        <v>185628.9</v>
      </c>
      <c r="MT87" s="3">
        <v>185796.7</v>
      </c>
      <c r="MU87" t="s">
        <v>433</v>
      </c>
      <c r="MV87" t="b">
        <v>0</v>
      </c>
      <c r="MW87" t="s">
        <v>377</v>
      </c>
      <c r="MX87" t="s">
        <v>377</v>
      </c>
      <c r="MY87">
        <v>2024</v>
      </c>
      <c r="MZ87">
        <v>3</v>
      </c>
      <c r="NA87" t="s">
        <v>377</v>
      </c>
      <c r="NB87" s="1" t="s">
        <v>467</v>
      </c>
      <c r="NC87" t="s">
        <v>377</v>
      </c>
      <c r="ND87" t="s">
        <v>389</v>
      </c>
      <c r="NE87" t="s">
        <v>466</v>
      </c>
      <c r="NF87" s="1" t="s">
        <v>528</v>
      </c>
    </row>
    <row r="88" spans="1:370" x14ac:dyDescent="0.25">
      <c r="A88" t="s">
        <v>370</v>
      </c>
      <c r="B88" t="s">
        <v>468</v>
      </c>
      <c r="C88" s="1" t="s">
        <v>527</v>
      </c>
      <c r="D88" t="s">
        <v>469</v>
      </c>
      <c r="E88" t="s">
        <v>377</v>
      </c>
      <c r="F88" t="s">
        <v>374</v>
      </c>
      <c r="G88" s="2">
        <v>1E-3</v>
      </c>
      <c r="H88" s="2">
        <v>1E-3</v>
      </c>
      <c r="I88" s="2">
        <v>1E-3</v>
      </c>
      <c r="J88" s="2">
        <v>1E-3</v>
      </c>
      <c r="K88" s="2">
        <v>1E-3</v>
      </c>
      <c r="L88" s="2">
        <v>1E-3</v>
      </c>
      <c r="M88" s="2">
        <v>1E-3</v>
      </c>
      <c r="N88" s="2">
        <v>1E-3</v>
      </c>
      <c r="O88" s="2">
        <v>1E-3</v>
      </c>
      <c r="P88" s="2">
        <v>1E-3</v>
      </c>
      <c r="Q88" s="2">
        <v>1E-3</v>
      </c>
      <c r="R88" s="2">
        <v>1E-3</v>
      </c>
      <c r="S88" s="2">
        <v>1E-3</v>
      </c>
      <c r="T88" s="2">
        <v>1E-3</v>
      </c>
      <c r="U88" s="2">
        <v>1E-3</v>
      </c>
      <c r="V88" s="2">
        <v>1E-3</v>
      </c>
      <c r="W88" s="2">
        <v>1E-3</v>
      </c>
      <c r="X88" s="2">
        <v>1E-3</v>
      </c>
      <c r="Y88" s="2">
        <v>1E-3</v>
      </c>
      <c r="Z88" s="2">
        <v>1E-3</v>
      </c>
      <c r="AA88" s="2">
        <v>1E-3</v>
      </c>
      <c r="AB88" s="2">
        <v>1E-3</v>
      </c>
      <c r="AC88" s="2">
        <v>1E-3</v>
      </c>
      <c r="AD88" s="2">
        <v>1E-3</v>
      </c>
      <c r="AE88" s="2">
        <v>1E-3</v>
      </c>
      <c r="AF88" s="2">
        <v>1E-3</v>
      </c>
      <c r="AG88" s="2">
        <v>1E-3</v>
      </c>
      <c r="AH88" s="2">
        <v>1E-3</v>
      </c>
      <c r="AI88" s="2">
        <v>1E-3</v>
      </c>
      <c r="AJ88" s="2">
        <v>1E-3</v>
      </c>
      <c r="AK88" s="2">
        <v>1E-3</v>
      </c>
      <c r="AL88" s="2">
        <v>1E-3</v>
      </c>
      <c r="AM88" s="2">
        <v>1E-3</v>
      </c>
      <c r="AN88" s="2">
        <v>1E-3</v>
      </c>
      <c r="AO88" s="2">
        <v>1E-3</v>
      </c>
      <c r="AP88" s="2">
        <v>1E-3</v>
      </c>
      <c r="AQ88" s="2">
        <v>1E-3</v>
      </c>
      <c r="AR88" s="2">
        <v>1E-3</v>
      </c>
      <c r="AS88" s="2">
        <v>1E-3</v>
      </c>
      <c r="AT88" s="2">
        <v>1E-3</v>
      </c>
      <c r="AU88" s="2">
        <v>1E-3</v>
      </c>
      <c r="AV88" s="2">
        <v>1E-3</v>
      </c>
      <c r="AW88" s="2">
        <v>1E-3</v>
      </c>
      <c r="AX88" s="2">
        <v>1E-3</v>
      </c>
      <c r="AY88" s="2">
        <v>1E-3</v>
      </c>
      <c r="AZ88" s="2">
        <v>1E-3</v>
      </c>
      <c r="BA88" s="2">
        <v>1E-3</v>
      </c>
      <c r="BB88" s="2">
        <v>1E-3</v>
      </c>
      <c r="BC88" s="2">
        <v>1E-3</v>
      </c>
      <c r="BD88" s="2">
        <v>1E-3</v>
      </c>
      <c r="BE88" s="2">
        <v>1E-3</v>
      </c>
      <c r="BF88" s="2">
        <v>1E-3</v>
      </c>
      <c r="BG88" s="2">
        <v>33.56044</v>
      </c>
      <c r="BH88" s="2">
        <v>33.529319999999998</v>
      </c>
      <c r="BI88" s="2">
        <v>33.508580000000002</v>
      </c>
      <c r="BJ88" s="2">
        <v>33.49821</v>
      </c>
      <c r="BK88" s="2">
        <v>33.49821</v>
      </c>
      <c r="BL88" s="2">
        <v>33.508580000000002</v>
      </c>
      <c r="BM88" s="2">
        <v>33.529319999999998</v>
      </c>
      <c r="BN88" s="2">
        <v>33.56044</v>
      </c>
      <c r="BO88" s="2">
        <v>33.640830000000001</v>
      </c>
      <c r="BP88" s="2">
        <v>33.677129999999998</v>
      </c>
      <c r="BQ88" s="2">
        <v>33.708260000000003</v>
      </c>
      <c r="BR88" s="2">
        <v>33.734189999999998</v>
      </c>
      <c r="BS88" s="2">
        <v>33.780859999999997</v>
      </c>
      <c r="BT88" s="2">
        <v>33.786050000000003</v>
      </c>
      <c r="BU88" s="2">
        <v>33.775669999999998</v>
      </c>
      <c r="BV88" s="2">
        <v>33.749740000000003</v>
      </c>
      <c r="BW88" s="2">
        <v>33.708260000000003</v>
      </c>
      <c r="BX88" s="2">
        <v>33.651200000000003</v>
      </c>
      <c r="BY88" s="2">
        <v>33.578600000000002</v>
      </c>
      <c r="BZ88" s="2">
        <v>33.490430000000003</v>
      </c>
      <c r="CA88" s="2">
        <v>33.282980000000002</v>
      </c>
      <c r="CB88" s="2">
        <v>33.205179999999999</v>
      </c>
      <c r="CC88" s="2">
        <v>33.153320000000001</v>
      </c>
      <c r="CD88" s="2">
        <v>33.127389999999998</v>
      </c>
      <c r="CE88" s="2">
        <v>33.205179999999999</v>
      </c>
      <c r="CF88" s="2">
        <v>33.200000000000003</v>
      </c>
      <c r="CG88" s="2">
        <v>33</v>
      </c>
      <c r="CH88" s="2">
        <v>32.9</v>
      </c>
      <c r="CI88" s="2">
        <v>33</v>
      </c>
      <c r="CJ88" s="2">
        <v>33</v>
      </c>
      <c r="CK88" s="2">
        <v>33</v>
      </c>
      <c r="CL88" s="2">
        <v>33</v>
      </c>
      <c r="CM88" s="2">
        <v>33.1</v>
      </c>
      <c r="CN88" s="2">
        <v>33.1</v>
      </c>
      <c r="CO88" s="2">
        <v>33.200000000000003</v>
      </c>
      <c r="CP88" s="2">
        <v>33.5</v>
      </c>
      <c r="CQ88" s="2">
        <v>33.299999999999997</v>
      </c>
      <c r="CR88" s="2">
        <v>33.299999999999997</v>
      </c>
      <c r="CS88" s="2">
        <v>33.200000000000003</v>
      </c>
      <c r="CT88" s="2">
        <v>33.200000000000003</v>
      </c>
      <c r="CU88" s="2">
        <v>33.200000000000003</v>
      </c>
      <c r="CV88" s="2">
        <v>33.299999999999997</v>
      </c>
      <c r="CW88" s="2">
        <v>33.200000000000003</v>
      </c>
      <c r="CX88" s="2">
        <v>33.200000000000003</v>
      </c>
      <c r="CY88" s="2">
        <v>33.200000000000003</v>
      </c>
      <c r="CZ88" s="2">
        <v>33.200000000000003</v>
      </c>
      <c r="DA88" s="2">
        <v>33.200000000000003</v>
      </c>
      <c r="DB88" s="2">
        <v>33.1</v>
      </c>
      <c r="DC88" s="2">
        <v>33.200000000000003</v>
      </c>
      <c r="DD88" s="2">
        <v>33.200000000000003</v>
      </c>
      <c r="DE88" s="2">
        <v>33.1</v>
      </c>
      <c r="DF88" s="2">
        <v>32.799999999999997</v>
      </c>
      <c r="DG88" s="2">
        <v>32.9</v>
      </c>
      <c r="DH88" s="2">
        <v>32.9</v>
      </c>
      <c r="DI88" s="2">
        <v>32.9</v>
      </c>
      <c r="DJ88" s="2">
        <v>32.9</v>
      </c>
      <c r="DK88" s="2">
        <v>32.4</v>
      </c>
      <c r="DL88" s="2">
        <v>32.6</v>
      </c>
      <c r="DM88" s="2">
        <v>32.6</v>
      </c>
      <c r="DN88" s="2">
        <v>32.799999999999997</v>
      </c>
      <c r="DO88" s="2">
        <v>32.700000000000003</v>
      </c>
      <c r="DP88" s="2">
        <v>32.799999999999997</v>
      </c>
      <c r="DQ88" s="2">
        <v>32.700000000000003</v>
      </c>
      <c r="DR88" s="2">
        <v>32.5</v>
      </c>
      <c r="DS88" s="2">
        <v>32.5</v>
      </c>
      <c r="DT88" s="2">
        <v>32.200000000000003</v>
      </c>
      <c r="DU88" s="2">
        <v>32.4</v>
      </c>
      <c r="DV88" s="2">
        <v>32.200000000000003</v>
      </c>
      <c r="DW88" s="2">
        <v>32.200000000000003</v>
      </c>
      <c r="DX88" s="2">
        <v>32.200000000000003</v>
      </c>
      <c r="DY88" s="2">
        <v>32.200000000000003</v>
      </c>
      <c r="DZ88" s="2">
        <v>32</v>
      </c>
      <c r="EA88" s="2">
        <v>32.1</v>
      </c>
      <c r="EB88" s="2">
        <v>32</v>
      </c>
      <c r="EC88" s="2">
        <v>32</v>
      </c>
      <c r="ED88" s="2">
        <v>32.200000000000003</v>
      </c>
      <c r="EE88" s="2">
        <v>32.200000000000003</v>
      </c>
      <c r="EF88" s="2">
        <v>32.1</v>
      </c>
      <c r="EG88" s="2">
        <v>32.200000000000003</v>
      </c>
      <c r="EH88" s="2">
        <v>32.200000000000003</v>
      </c>
      <c r="EI88" s="2">
        <v>32.1</v>
      </c>
      <c r="EJ88" s="2">
        <v>32</v>
      </c>
      <c r="EK88" s="2">
        <v>32</v>
      </c>
      <c r="EL88" s="2">
        <v>32.1</v>
      </c>
      <c r="EM88" s="2">
        <v>32.1</v>
      </c>
      <c r="EN88" s="2">
        <v>32.200000000000003</v>
      </c>
      <c r="EO88" s="2">
        <v>32.1</v>
      </c>
      <c r="EP88" s="2">
        <v>31.9</v>
      </c>
      <c r="EQ88" s="2">
        <v>32.200000000000003</v>
      </c>
      <c r="ER88" s="2">
        <v>31.8</v>
      </c>
      <c r="ES88" s="2">
        <v>32</v>
      </c>
      <c r="ET88" s="2">
        <v>31.9</v>
      </c>
      <c r="EU88" s="2">
        <v>31.5</v>
      </c>
      <c r="EV88" s="2">
        <v>31.7</v>
      </c>
      <c r="EW88" s="2">
        <v>31.5</v>
      </c>
      <c r="EX88" s="2">
        <v>31.5</v>
      </c>
      <c r="EY88" s="2">
        <v>31.6</v>
      </c>
      <c r="EZ88" s="2">
        <v>31.6</v>
      </c>
      <c r="FA88" s="2">
        <v>31.6</v>
      </c>
      <c r="FB88" s="2">
        <v>31.8</v>
      </c>
      <c r="FC88" s="2">
        <v>31.7</v>
      </c>
      <c r="FD88" s="2">
        <v>31.3</v>
      </c>
      <c r="FE88" s="2">
        <v>31.7</v>
      </c>
      <c r="FF88" s="2">
        <v>31.6</v>
      </c>
      <c r="FG88" s="2">
        <v>31.7</v>
      </c>
      <c r="FH88" s="2">
        <v>31.7</v>
      </c>
      <c r="FI88" s="2">
        <v>32</v>
      </c>
      <c r="FJ88" s="2">
        <v>31.9</v>
      </c>
      <c r="FK88" s="2">
        <v>32</v>
      </c>
      <c r="FL88" s="2">
        <v>32</v>
      </c>
      <c r="FM88" s="2">
        <v>32.200000000000003</v>
      </c>
      <c r="FN88" s="2">
        <v>32</v>
      </c>
      <c r="FO88" s="2">
        <v>32.1</v>
      </c>
      <c r="FP88" s="2">
        <v>32.200000000000003</v>
      </c>
      <c r="FQ88" s="2">
        <v>32.200000000000003</v>
      </c>
      <c r="FR88" s="2">
        <v>32.200000000000003</v>
      </c>
      <c r="FS88" s="2">
        <v>32.1</v>
      </c>
      <c r="FT88" s="2">
        <v>32.1</v>
      </c>
      <c r="FU88" s="2">
        <v>31.9</v>
      </c>
      <c r="FV88" s="2">
        <v>32.299999999999997</v>
      </c>
      <c r="FW88" s="2">
        <v>32.1</v>
      </c>
      <c r="FX88" s="2">
        <v>32</v>
      </c>
      <c r="FY88" s="2">
        <v>32</v>
      </c>
      <c r="FZ88" s="2">
        <v>32.1</v>
      </c>
      <c r="GA88" s="2">
        <v>32.200000000000003</v>
      </c>
      <c r="GB88" s="2">
        <v>32.299999999999997</v>
      </c>
      <c r="GC88" s="2">
        <v>32</v>
      </c>
      <c r="GD88" s="2">
        <v>31.9</v>
      </c>
      <c r="GE88" s="2">
        <v>31.9</v>
      </c>
      <c r="GF88" s="2">
        <v>31.9</v>
      </c>
      <c r="GG88" s="2">
        <v>32.200000000000003</v>
      </c>
      <c r="GH88" s="2">
        <v>32</v>
      </c>
      <c r="GI88" s="2">
        <v>32.299999999999997</v>
      </c>
      <c r="GJ88" s="2">
        <v>32.1</v>
      </c>
      <c r="GK88" s="2">
        <v>32</v>
      </c>
      <c r="GL88" s="2">
        <v>31.8</v>
      </c>
      <c r="GM88" s="2">
        <v>31.2</v>
      </c>
      <c r="GN88" s="2">
        <v>25.9</v>
      </c>
      <c r="GO88" s="2">
        <v>28.2</v>
      </c>
      <c r="GP88" s="2">
        <v>30.2</v>
      </c>
      <c r="GQ88" s="2">
        <v>29.5</v>
      </c>
      <c r="GR88" s="2">
        <v>31</v>
      </c>
      <c r="GS88" s="2">
        <v>31.6</v>
      </c>
      <c r="GT88" s="2">
        <v>31.7</v>
      </c>
      <c r="GU88" s="2">
        <v>31.8</v>
      </c>
      <c r="GV88" s="2">
        <v>31.7</v>
      </c>
      <c r="GW88" s="2">
        <v>31.8</v>
      </c>
      <c r="GX88" s="2">
        <v>31.7</v>
      </c>
      <c r="GY88" s="2">
        <v>31.7</v>
      </c>
      <c r="GZ88" s="2">
        <v>31.7</v>
      </c>
      <c r="HA88" s="2">
        <v>31.5</v>
      </c>
      <c r="HB88" s="2">
        <v>31.6</v>
      </c>
      <c r="HC88" s="2">
        <v>32</v>
      </c>
      <c r="HD88" s="2">
        <v>32</v>
      </c>
      <c r="HE88" s="2">
        <v>32.1</v>
      </c>
      <c r="HF88" s="3">
        <v>32</v>
      </c>
      <c r="HG88" s="3">
        <v>32</v>
      </c>
      <c r="HH88" s="3">
        <v>32</v>
      </c>
      <c r="HI88" s="3">
        <v>32</v>
      </c>
      <c r="HJ88" s="3">
        <v>32</v>
      </c>
      <c r="HK88" s="3">
        <v>32</v>
      </c>
      <c r="HL88" s="3">
        <v>32</v>
      </c>
      <c r="HM88" s="3">
        <v>32</v>
      </c>
      <c r="HN88" s="3">
        <v>32</v>
      </c>
      <c r="HO88" s="3">
        <v>31.999790000000001</v>
      </c>
      <c r="HP88" s="3">
        <v>31.999580000000002</v>
      </c>
      <c r="HQ88" s="3">
        <v>31.999369999999999</v>
      </c>
      <c r="HR88" s="3">
        <v>31.999169999999999</v>
      </c>
      <c r="HS88" s="3">
        <v>31.99896</v>
      </c>
      <c r="HT88" s="3">
        <v>31.998750000000001</v>
      </c>
      <c r="HU88" s="3">
        <v>31.998539999999998</v>
      </c>
      <c r="HV88" s="3">
        <v>31.998329999999999</v>
      </c>
      <c r="HW88" s="3">
        <v>31.99813</v>
      </c>
      <c r="HX88" s="3">
        <v>31.997920000000001</v>
      </c>
      <c r="HY88" s="3">
        <v>31.997710000000001</v>
      </c>
      <c r="HZ88" s="3">
        <v>31.997499999999999</v>
      </c>
      <c r="IA88" s="3">
        <v>31.99729</v>
      </c>
      <c r="IB88" s="3">
        <v>31.99708</v>
      </c>
      <c r="IC88" s="3">
        <v>31.996880000000001</v>
      </c>
      <c r="ID88" s="3">
        <v>31.996670000000002</v>
      </c>
      <c r="IE88" s="3">
        <v>31.996459999999999</v>
      </c>
      <c r="IF88" s="3">
        <v>31.99625</v>
      </c>
      <c r="IG88" s="3">
        <v>31.996040000000001</v>
      </c>
      <c r="IH88" s="3">
        <v>31.995830000000002</v>
      </c>
      <c r="II88" s="3">
        <v>31.995619999999999</v>
      </c>
      <c r="IJ88" s="3">
        <v>31.995419999999999</v>
      </c>
      <c r="IK88" s="3">
        <v>31.99521</v>
      </c>
      <c r="IL88" s="3">
        <v>31.995000000000001</v>
      </c>
      <c r="IM88" s="3">
        <v>31.994430000000001</v>
      </c>
      <c r="IN88" s="3">
        <v>31.993849999999998</v>
      </c>
      <c r="IO88" s="3">
        <v>31.993279999999999</v>
      </c>
      <c r="IP88" s="3">
        <v>31.992709999999999</v>
      </c>
      <c r="IQ88" s="3">
        <v>31.992139999999999</v>
      </c>
      <c r="IR88" s="3">
        <v>31.99156</v>
      </c>
      <c r="IS88" s="3">
        <v>31.99099</v>
      </c>
      <c r="IT88" s="3">
        <v>31.99042</v>
      </c>
      <c r="IU88" s="3">
        <v>31.989840000000001</v>
      </c>
      <c r="IV88" s="3">
        <v>31.989270000000001</v>
      </c>
      <c r="IW88" s="3">
        <v>31.988700000000001</v>
      </c>
      <c r="IX88" s="3">
        <v>31.988119999999999</v>
      </c>
      <c r="IY88" s="3">
        <v>31.987549999999999</v>
      </c>
      <c r="IZ88" s="3">
        <v>31.986979999999999</v>
      </c>
      <c r="JA88" s="3">
        <v>31.986409999999999</v>
      </c>
      <c r="JB88" s="3">
        <v>31.98583</v>
      </c>
      <c r="JC88" s="3">
        <v>31.98526</v>
      </c>
      <c r="JD88" s="3">
        <v>31.984690000000001</v>
      </c>
      <c r="JE88" s="3">
        <v>31.984110000000001</v>
      </c>
      <c r="JF88" s="3">
        <v>31.983540000000001</v>
      </c>
      <c r="JG88" s="3">
        <v>31.982970000000002</v>
      </c>
      <c r="JH88" s="3">
        <v>31.982399999999998</v>
      </c>
      <c r="JI88" s="3">
        <v>31.981819999999999</v>
      </c>
      <c r="JJ88" s="3">
        <v>31.981249999999999</v>
      </c>
      <c r="JK88" s="3">
        <v>31.98068</v>
      </c>
      <c r="JL88" s="3">
        <v>31.9801</v>
      </c>
      <c r="JM88" s="3">
        <v>31.97953</v>
      </c>
      <c r="JN88" s="3">
        <v>31.978960000000001</v>
      </c>
      <c r="JO88" s="3">
        <v>31.978390000000001</v>
      </c>
      <c r="JP88" s="3">
        <v>31.977810000000002</v>
      </c>
      <c r="JQ88" s="3">
        <v>31.977239999999998</v>
      </c>
      <c r="JR88" s="3">
        <v>31.976669999999999</v>
      </c>
      <c r="JS88" s="3">
        <v>31.975919999999999</v>
      </c>
      <c r="JT88" s="3">
        <v>31.975169999999999</v>
      </c>
      <c r="JU88" s="3">
        <v>31.974419999999999</v>
      </c>
      <c r="JV88" s="3">
        <v>31.973669999999998</v>
      </c>
      <c r="JW88" s="3">
        <v>31.972919999999998</v>
      </c>
      <c r="JX88" s="3">
        <v>31.972169999999998</v>
      </c>
      <c r="JY88" s="3">
        <v>31.971419999999998</v>
      </c>
      <c r="JZ88" s="3">
        <v>31.970669999999998</v>
      </c>
      <c r="KA88" s="3">
        <v>31.969919999999998</v>
      </c>
      <c r="KB88" s="3">
        <v>31.969169999999998</v>
      </c>
      <c r="KC88" s="3">
        <v>31.968419999999998</v>
      </c>
      <c r="KD88" s="3">
        <v>31.967669999999998</v>
      </c>
      <c r="KE88" s="3">
        <v>31.966920000000002</v>
      </c>
      <c r="KF88" s="3">
        <v>31.966170000000002</v>
      </c>
      <c r="KG88" s="3">
        <v>31.965420000000002</v>
      </c>
      <c r="KH88" s="3">
        <v>31.964670000000002</v>
      </c>
      <c r="KI88" s="3">
        <v>31.963920000000002</v>
      </c>
      <c r="KJ88" s="3">
        <v>31.963170000000002</v>
      </c>
      <c r="KK88" s="3">
        <v>31.962420000000002</v>
      </c>
      <c r="KL88" s="3">
        <v>31.961670000000002</v>
      </c>
      <c r="KM88" s="3">
        <v>31.960920000000002</v>
      </c>
      <c r="KN88" s="3">
        <v>31.960170000000002</v>
      </c>
      <c r="KO88" s="3">
        <v>31.959420000000001</v>
      </c>
      <c r="KP88" s="3">
        <v>31.958670000000001</v>
      </c>
      <c r="KQ88" s="3">
        <v>31.957920000000001</v>
      </c>
      <c r="KR88" s="3">
        <v>31.957170000000001</v>
      </c>
      <c r="KS88" s="3">
        <v>31.956420000000001</v>
      </c>
      <c r="KT88" s="3">
        <v>31.955670000000001</v>
      </c>
      <c r="KU88" s="3">
        <v>31.954920000000001</v>
      </c>
      <c r="KV88" s="3">
        <v>31.954170000000001</v>
      </c>
      <c r="KW88" s="3">
        <v>31.953420000000001</v>
      </c>
      <c r="KX88" s="3">
        <v>31.952670000000001</v>
      </c>
      <c r="KY88" s="3">
        <v>31.951920000000001</v>
      </c>
      <c r="KZ88" s="3">
        <v>31.951170000000001</v>
      </c>
      <c r="LA88" s="3">
        <v>31.950420000000001</v>
      </c>
      <c r="LB88" s="3">
        <v>31.949670000000001</v>
      </c>
      <c r="LC88" s="3">
        <v>31.948920000000001</v>
      </c>
      <c r="LD88" s="3">
        <v>31.948170000000001</v>
      </c>
      <c r="LE88" s="3">
        <v>31.947420000000001</v>
      </c>
      <c r="LF88" s="3">
        <v>31.946670000000001</v>
      </c>
      <c r="LG88" s="3">
        <v>31.945920000000001</v>
      </c>
      <c r="LH88" s="3">
        <v>31.945170000000001</v>
      </c>
      <c r="LI88" s="3">
        <v>31.944420000000001</v>
      </c>
      <c r="LJ88" s="3">
        <v>31.943670000000001</v>
      </c>
      <c r="LK88" s="3">
        <v>31.942920000000001</v>
      </c>
      <c r="LL88" s="3">
        <v>31.942170000000001</v>
      </c>
      <c r="LM88" s="3">
        <v>31.941420000000001</v>
      </c>
      <c r="LN88" s="3">
        <v>31.940670000000001</v>
      </c>
      <c r="LO88" s="3">
        <v>31.939920000000001</v>
      </c>
      <c r="LP88" s="3">
        <v>31.939170000000001</v>
      </c>
      <c r="LQ88" s="3">
        <v>31.938420000000001</v>
      </c>
      <c r="LR88" s="3">
        <v>31.937670000000001</v>
      </c>
      <c r="LS88" s="3">
        <v>31.936920000000001</v>
      </c>
      <c r="LT88" s="3">
        <v>31.936170000000001</v>
      </c>
      <c r="LU88" s="3">
        <v>31.935420000000001</v>
      </c>
      <c r="LV88" s="3">
        <v>31.934670000000001</v>
      </c>
      <c r="LW88" s="3">
        <v>31.933920000000001</v>
      </c>
      <c r="LX88" s="3">
        <v>31.93317</v>
      </c>
      <c r="LY88" s="3">
        <v>31.93242</v>
      </c>
      <c r="LZ88" s="3">
        <v>31.93167</v>
      </c>
      <c r="MA88" s="3">
        <v>31.93092</v>
      </c>
      <c r="MB88" s="3">
        <v>31.93017</v>
      </c>
      <c r="MC88" s="3">
        <v>31.92942</v>
      </c>
      <c r="MD88" s="3">
        <v>31.92867</v>
      </c>
      <c r="ME88" s="3">
        <v>31.92792</v>
      </c>
      <c r="MF88" s="3">
        <v>31.92717</v>
      </c>
      <c r="MG88" s="3">
        <v>31.92642</v>
      </c>
      <c r="MH88" s="3">
        <v>31.92567</v>
      </c>
      <c r="MI88" s="3">
        <v>31.92492</v>
      </c>
      <c r="MJ88" s="3">
        <v>31.92417</v>
      </c>
      <c r="MK88" s="3">
        <v>31.92342</v>
      </c>
      <c r="ML88" s="3">
        <v>31.92267</v>
      </c>
      <c r="MM88" s="3">
        <v>31.92192</v>
      </c>
      <c r="MN88" s="3">
        <v>31.92117</v>
      </c>
      <c r="MO88" s="3">
        <v>31.92042</v>
      </c>
      <c r="MP88" s="3">
        <v>31.91967</v>
      </c>
      <c r="MQ88" s="3">
        <v>31.91892</v>
      </c>
      <c r="MR88" s="3">
        <v>31.91817</v>
      </c>
      <c r="MS88" s="3">
        <v>31.91742</v>
      </c>
      <c r="MT88" s="3">
        <v>31.91667</v>
      </c>
      <c r="MU88" t="s">
        <v>470</v>
      </c>
      <c r="MV88" t="b">
        <v>0</v>
      </c>
      <c r="MW88" t="s">
        <v>377</v>
      </c>
      <c r="MX88" t="s">
        <v>377</v>
      </c>
      <c r="MY88">
        <v>2024</v>
      </c>
      <c r="MZ88">
        <v>3</v>
      </c>
      <c r="NA88" t="s">
        <v>377</v>
      </c>
      <c r="NB88" t="s">
        <v>471</v>
      </c>
      <c r="NC88" t="s">
        <v>472</v>
      </c>
      <c r="ND88" t="s">
        <v>380</v>
      </c>
      <c r="NE88" t="s">
        <v>473</v>
      </c>
      <c r="NF88" s="1" t="s">
        <v>528</v>
      </c>
    </row>
    <row r="89" spans="1:370" x14ac:dyDescent="0.25">
      <c r="A89" t="s">
        <v>382</v>
      </c>
      <c r="B89" t="s">
        <v>468</v>
      </c>
      <c r="C89" s="1" t="s">
        <v>527</v>
      </c>
      <c r="D89" t="s">
        <v>469</v>
      </c>
      <c r="E89" t="s">
        <v>377</v>
      </c>
      <c r="F89" t="s">
        <v>374</v>
      </c>
      <c r="G89" s="2">
        <v>36.9</v>
      </c>
      <c r="H89" s="2">
        <v>36.9</v>
      </c>
      <c r="I89" s="2">
        <v>36.833329999999997</v>
      </c>
      <c r="J89" s="2">
        <v>36.766669999999998</v>
      </c>
      <c r="K89" s="2">
        <v>36.6</v>
      </c>
      <c r="L89" s="2">
        <v>36.5</v>
      </c>
      <c r="M89" s="2">
        <v>36.466670000000001</v>
      </c>
      <c r="N89" s="2">
        <v>36.166670000000003</v>
      </c>
      <c r="O89" s="2">
        <v>35.866660000000003</v>
      </c>
      <c r="P89" s="2">
        <v>35.866660000000003</v>
      </c>
      <c r="Q89" s="2">
        <v>36.033329999999999</v>
      </c>
      <c r="R89" s="2">
        <v>36.133339999999997</v>
      </c>
      <c r="S89" s="2">
        <v>36.233330000000002</v>
      </c>
      <c r="T89" s="2">
        <v>36.1</v>
      </c>
      <c r="U89" s="2">
        <v>36.066670000000002</v>
      </c>
      <c r="V89" s="2">
        <v>35.9</v>
      </c>
      <c r="W89" s="2">
        <v>35.833329999999997</v>
      </c>
      <c r="X89" s="2">
        <v>36</v>
      </c>
      <c r="Y89" s="2">
        <v>35.866660000000003</v>
      </c>
      <c r="Z89" s="2">
        <v>35.9</v>
      </c>
      <c r="AA89" s="2">
        <v>35.566670000000002</v>
      </c>
      <c r="AB89" s="2">
        <v>35.833329999999997</v>
      </c>
      <c r="AC89" s="2">
        <v>35.799999999999997</v>
      </c>
      <c r="AD89" s="2">
        <v>35.733330000000002</v>
      </c>
      <c r="AE89" s="2">
        <v>35.700000000000003</v>
      </c>
      <c r="AF89" s="2">
        <v>35.5</v>
      </c>
      <c r="AG89" s="2">
        <v>35.6</v>
      </c>
      <c r="AH89" s="2">
        <v>35.6</v>
      </c>
      <c r="AI89" s="2">
        <v>35.366660000000003</v>
      </c>
      <c r="AJ89" s="2">
        <v>35.1</v>
      </c>
      <c r="AK89" s="2">
        <v>35.033329999999999</v>
      </c>
      <c r="AL89" s="2">
        <v>35.266669999999998</v>
      </c>
      <c r="AM89" s="2">
        <v>35.299999999999997</v>
      </c>
      <c r="AN89" s="2">
        <v>35.266669999999998</v>
      </c>
      <c r="AO89" s="2">
        <v>35.133339999999997</v>
      </c>
      <c r="AP89" s="2">
        <v>35</v>
      </c>
      <c r="AQ89" s="2">
        <v>34.700000000000003</v>
      </c>
      <c r="AR89" s="2">
        <v>34.799999999999997</v>
      </c>
      <c r="AS89" s="2">
        <v>34.766669999999998</v>
      </c>
      <c r="AT89" s="2">
        <v>34.633339999999997</v>
      </c>
      <c r="AU89" s="2">
        <v>34.700000000000003</v>
      </c>
      <c r="AV89" s="2">
        <v>34.866660000000003</v>
      </c>
      <c r="AW89" s="2">
        <v>34.933329999999998</v>
      </c>
      <c r="AX89" s="2">
        <v>35.133339999999997</v>
      </c>
      <c r="AY89" s="2">
        <v>35.166670000000003</v>
      </c>
      <c r="AZ89" s="2">
        <v>35.133339999999997</v>
      </c>
      <c r="BA89" s="2">
        <v>35.066670000000002</v>
      </c>
      <c r="BB89" s="2">
        <v>35</v>
      </c>
      <c r="BC89" s="2">
        <v>34.866660000000003</v>
      </c>
      <c r="BD89" s="2">
        <v>34.9</v>
      </c>
      <c r="BE89" s="2">
        <v>34.799999999999997</v>
      </c>
      <c r="BF89" s="2">
        <v>34.833329999999997</v>
      </c>
      <c r="BG89" s="2">
        <v>34.833329999999997</v>
      </c>
      <c r="BH89" s="2">
        <v>34.633339999999997</v>
      </c>
      <c r="BI89" s="2">
        <v>34.633339999999997</v>
      </c>
      <c r="BJ89" s="2">
        <v>34.633339999999997</v>
      </c>
      <c r="BK89" s="2">
        <v>34.766669999999998</v>
      </c>
      <c r="BL89" s="2">
        <v>34.733330000000002</v>
      </c>
      <c r="BM89" s="2">
        <v>34.733330000000002</v>
      </c>
      <c r="BN89" s="2">
        <v>34.733330000000002</v>
      </c>
      <c r="BO89" s="2">
        <v>34.6</v>
      </c>
      <c r="BP89" s="2">
        <v>34.6</v>
      </c>
      <c r="BQ89" s="2">
        <v>34.533329999999999</v>
      </c>
      <c r="BR89" s="2">
        <v>34.6</v>
      </c>
      <c r="BS89" s="2">
        <v>34.566670000000002</v>
      </c>
      <c r="BT89" s="2">
        <v>34.466670000000001</v>
      </c>
      <c r="BU89" s="2">
        <v>34.466670000000001</v>
      </c>
      <c r="BV89" s="2">
        <v>34.433329999999998</v>
      </c>
      <c r="BW89" s="2">
        <v>34.433329999999998</v>
      </c>
      <c r="BX89" s="2">
        <v>34.299999999999997</v>
      </c>
      <c r="BY89" s="2">
        <v>34.233330000000002</v>
      </c>
      <c r="BZ89" s="2">
        <v>34.166670000000003</v>
      </c>
      <c r="CA89" s="2">
        <v>34.1</v>
      </c>
      <c r="CB89" s="2">
        <v>34.066670000000002</v>
      </c>
      <c r="CC89" s="2">
        <v>34.1</v>
      </c>
      <c r="CD89" s="2">
        <v>34.1</v>
      </c>
      <c r="CE89" s="2">
        <v>34.1</v>
      </c>
      <c r="CF89" s="2">
        <v>34.266669999999998</v>
      </c>
      <c r="CG89" s="2">
        <v>34.233330000000002</v>
      </c>
      <c r="CH89" s="2">
        <v>34.200000000000003</v>
      </c>
      <c r="CI89" s="2">
        <v>34.233330000000002</v>
      </c>
      <c r="CJ89" s="2">
        <v>34.333329999999997</v>
      </c>
      <c r="CK89" s="2">
        <v>34.366660000000003</v>
      </c>
      <c r="CL89" s="2">
        <v>34.433329999999998</v>
      </c>
      <c r="CM89" s="2">
        <v>34.366660000000003</v>
      </c>
      <c r="CN89" s="2">
        <v>34.5</v>
      </c>
      <c r="CO89" s="2">
        <v>34.533329999999999</v>
      </c>
      <c r="CP89" s="2">
        <v>34.5</v>
      </c>
      <c r="CQ89" s="2">
        <v>34.433329999999998</v>
      </c>
      <c r="CR89" s="2">
        <v>34.233330000000002</v>
      </c>
      <c r="CS89" s="2">
        <v>34.299999999999997</v>
      </c>
      <c r="CT89" s="2">
        <v>34.299999999999997</v>
      </c>
      <c r="CU89" s="2">
        <v>34.133339999999997</v>
      </c>
      <c r="CV89" s="2">
        <v>34.299999999999997</v>
      </c>
      <c r="CW89" s="2">
        <v>34.366660000000003</v>
      </c>
      <c r="CX89" s="2">
        <v>34.4</v>
      </c>
      <c r="CY89" s="2">
        <v>34.4</v>
      </c>
      <c r="CZ89" s="2">
        <v>34.466670000000001</v>
      </c>
      <c r="DA89" s="2">
        <v>34.566670000000002</v>
      </c>
      <c r="DB89" s="2">
        <v>34.566670000000002</v>
      </c>
      <c r="DC89" s="2">
        <v>34.5</v>
      </c>
      <c r="DD89" s="2">
        <v>34.433329999999998</v>
      </c>
      <c r="DE89" s="2">
        <v>34.433329999999998</v>
      </c>
      <c r="DF89" s="2">
        <v>34.466670000000001</v>
      </c>
      <c r="DG89" s="2">
        <v>34.4</v>
      </c>
      <c r="DH89" s="2">
        <v>34.333329999999997</v>
      </c>
      <c r="DI89" s="2">
        <v>34.366660000000003</v>
      </c>
      <c r="DJ89" s="2">
        <v>34.4</v>
      </c>
      <c r="DK89" s="2">
        <v>34.4</v>
      </c>
      <c r="DL89" s="2">
        <v>34.333329999999997</v>
      </c>
      <c r="DM89" s="2">
        <v>34.266669999999998</v>
      </c>
      <c r="DN89" s="2">
        <v>34.133339999999997</v>
      </c>
      <c r="DO89" s="2">
        <v>34.066670000000002</v>
      </c>
      <c r="DP89" s="2">
        <v>34</v>
      </c>
      <c r="DQ89" s="2">
        <v>33.9</v>
      </c>
      <c r="DR89" s="2">
        <v>33.766669999999998</v>
      </c>
      <c r="DS89" s="2">
        <v>33.799999999999997</v>
      </c>
      <c r="DT89" s="2">
        <v>33.9</v>
      </c>
      <c r="DU89" s="2">
        <v>33.866660000000003</v>
      </c>
      <c r="DV89" s="2">
        <v>33.799999999999997</v>
      </c>
      <c r="DW89" s="2">
        <v>33.666670000000003</v>
      </c>
      <c r="DX89" s="2">
        <v>33.633339999999997</v>
      </c>
      <c r="DY89" s="2">
        <v>33.633339999999997</v>
      </c>
      <c r="DZ89" s="2">
        <v>33.700000000000003</v>
      </c>
      <c r="EA89" s="2">
        <v>33.733330000000002</v>
      </c>
      <c r="EB89" s="2">
        <v>33.700000000000003</v>
      </c>
      <c r="EC89" s="2">
        <v>33.700000000000003</v>
      </c>
      <c r="ED89" s="2">
        <v>33.766669999999998</v>
      </c>
      <c r="EE89" s="2">
        <v>33.733330000000002</v>
      </c>
      <c r="EF89" s="2">
        <v>33.733330000000002</v>
      </c>
      <c r="EG89" s="2">
        <v>33.733330000000002</v>
      </c>
      <c r="EH89" s="2">
        <v>33.799999999999997</v>
      </c>
      <c r="EI89" s="2">
        <v>33.833329999999997</v>
      </c>
      <c r="EJ89" s="2">
        <v>33.833329999999997</v>
      </c>
      <c r="EK89" s="2">
        <v>33.833329999999997</v>
      </c>
      <c r="EL89" s="2">
        <v>33.866660000000003</v>
      </c>
      <c r="EM89" s="2">
        <v>33.799999999999997</v>
      </c>
      <c r="EN89" s="2">
        <v>33.833329999999997</v>
      </c>
      <c r="EO89" s="2">
        <v>33.799999999999997</v>
      </c>
      <c r="EP89" s="2">
        <v>33.799999999999997</v>
      </c>
      <c r="EQ89" s="2">
        <v>33.733330000000002</v>
      </c>
      <c r="ER89" s="2">
        <v>33.700000000000003</v>
      </c>
      <c r="ES89" s="2">
        <v>33.633339999999997</v>
      </c>
      <c r="ET89" s="2">
        <v>33.433329999999998</v>
      </c>
      <c r="EU89" s="2">
        <v>33.233330000000002</v>
      </c>
      <c r="EV89" s="2">
        <v>33.033329999999999</v>
      </c>
      <c r="EW89" s="2">
        <v>33.1</v>
      </c>
      <c r="EX89" s="2">
        <v>33.166670000000003</v>
      </c>
      <c r="EY89" s="2">
        <v>33.233330000000002</v>
      </c>
      <c r="EZ89" s="2">
        <v>33.366660000000003</v>
      </c>
      <c r="FA89" s="2">
        <v>33.466670000000001</v>
      </c>
      <c r="FB89" s="2">
        <v>33.533329999999999</v>
      </c>
      <c r="FC89" s="2">
        <v>33.466670000000001</v>
      </c>
      <c r="FD89" s="2">
        <v>33.6</v>
      </c>
      <c r="FE89" s="2">
        <v>33.6</v>
      </c>
      <c r="FF89" s="2">
        <v>33.666670000000003</v>
      </c>
      <c r="FG89" s="2">
        <v>33.733330000000002</v>
      </c>
      <c r="FH89" s="2">
        <v>33.666670000000003</v>
      </c>
      <c r="FI89" s="2">
        <v>33.666670000000003</v>
      </c>
      <c r="FJ89" s="2">
        <v>33.666670000000003</v>
      </c>
      <c r="FK89" s="2">
        <v>33.666670000000003</v>
      </c>
      <c r="FL89" s="2">
        <v>33.666670000000003</v>
      </c>
      <c r="FM89" s="2">
        <v>33.6</v>
      </c>
      <c r="FN89" s="2">
        <v>33.6</v>
      </c>
      <c r="FO89" s="2">
        <v>33.533329999999999</v>
      </c>
      <c r="FP89" s="2">
        <v>33.700000000000003</v>
      </c>
      <c r="FQ89" s="2">
        <v>33.700000000000003</v>
      </c>
      <c r="FR89" s="2">
        <v>33.766669999999998</v>
      </c>
      <c r="FS89" s="2">
        <v>33.733330000000002</v>
      </c>
      <c r="FT89" s="2">
        <v>33.6</v>
      </c>
      <c r="FU89" s="2">
        <v>33.733330000000002</v>
      </c>
      <c r="FV89" s="2">
        <v>33.733330000000002</v>
      </c>
      <c r="FW89" s="2">
        <v>33.633339999999997</v>
      </c>
      <c r="FX89" s="2">
        <v>33.6</v>
      </c>
      <c r="FY89" s="2">
        <v>33.566670000000002</v>
      </c>
      <c r="FZ89" s="2">
        <v>33.566670000000002</v>
      </c>
      <c r="GA89" s="2">
        <v>33.566670000000002</v>
      </c>
      <c r="GB89" s="2">
        <v>33.666670000000003</v>
      </c>
      <c r="GC89" s="2">
        <v>33.633339999999997</v>
      </c>
      <c r="GD89" s="2">
        <v>33.700000000000003</v>
      </c>
      <c r="GE89" s="2">
        <v>33.700000000000003</v>
      </c>
      <c r="GF89" s="2">
        <v>33.733330000000002</v>
      </c>
      <c r="GG89" s="2">
        <v>33.766669999999998</v>
      </c>
      <c r="GH89" s="2">
        <v>33.700000000000003</v>
      </c>
      <c r="GI89" s="2">
        <v>33.666670000000003</v>
      </c>
      <c r="GJ89" s="2">
        <v>33.666670000000003</v>
      </c>
      <c r="GK89" s="2">
        <v>33.6</v>
      </c>
      <c r="GL89" s="2">
        <v>33.566670000000002</v>
      </c>
      <c r="GM89" s="2">
        <v>33.5</v>
      </c>
      <c r="GN89" s="2">
        <v>33.866660000000003</v>
      </c>
      <c r="GO89" s="2">
        <v>34.133339999999997</v>
      </c>
      <c r="GP89" s="2">
        <v>34.233330000000002</v>
      </c>
      <c r="GQ89" s="2">
        <v>34.266669999999998</v>
      </c>
      <c r="GR89" s="2">
        <v>34.366660000000003</v>
      </c>
      <c r="GS89" s="2">
        <v>34.233330000000002</v>
      </c>
      <c r="GT89" s="2">
        <v>34.200000000000003</v>
      </c>
      <c r="GU89" s="2">
        <v>34.1</v>
      </c>
      <c r="GV89" s="2">
        <v>34.1</v>
      </c>
      <c r="GW89" s="2">
        <v>34</v>
      </c>
      <c r="GX89" s="2">
        <v>33.9</v>
      </c>
      <c r="GY89" s="2">
        <v>33.933329999999998</v>
      </c>
      <c r="GZ89" s="2">
        <v>33.799999999999997</v>
      </c>
      <c r="HA89" s="2">
        <v>33.799999999999997</v>
      </c>
      <c r="HB89" s="2">
        <v>33.766669999999998</v>
      </c>
      <c r="HC89" s="2">
        <v>33.700000000000003</v>
      </c>
      <c r="HD89" s="2">
        <v>33.700000000000003</v>
      </c>
      <c r="HE89" s="2">
        <v>33.700000000000003</v>
      </c>
      <c r="HF89" s="3">
        <v>33.798180000000002</v>
      </c>
      <c r="HG89" s="3">
        <v>33.793590000000002</v>
      </c>
      <c r="HH89" s="3">
        <v>33.789009999999998</v>
      </c>
      <c r="HI89" s="3">
        <v>33.784410000000001</v>
      </c>
      <c r="HJ89" s="3">
        <v>33.779820000000001</v>
      </c>
      <c r="HK89" s="3">
        <v>33.775239999999997</v>
      </c>
      <c r="HL89" s="3">
        <v>33.770659999999999</v>
      </c>
      <c r="HM89" s="3">
        <v>33.76605</v>
      </c>
      <c r="HN89" s="3">
        <v>33.762790000000003</v>
      </c>
      <c r="HO89" s="3">
        <v>33.759520000000002</v>
      </c>
      <c r="HP89" s="3">
        <v>33.756250000000001</v>
      </c>
      <c r="HQ89" s="3">
        <v>33.752980000000001</v>
      </c>
      <c r="HR89" s="3">
        <v>33.74971</v>
      </c>
      <c r="HS89" s="3">
        <v>33.74644</v>
      </c>
      <c r="HT89" s="3">
        <v>33.743169999999999</v>
      </c>
      <c r="HU89" s="3">
        <v>33.739899999999999</v>
      </c>
      <c r="HV89" s="3">
        <v>33.736620000000002</v>
      </c>
      <c r="HW89" s="3">
        <v>33.733350000000002</v>
      </c>
      <c r="HX89" s="3">
        <v>33.730089999999997</v>
      </c>
      <c r="HY89" s="3">
        <v>33.726819999999996</v>
      </c>
      <c r="HZ89" s="3">
        <v>33.723550000000003</v>
      </c>
      <c r="IA89" s="3">
        <v>33.720280000000002</v>
      </c>
      <c r="IB89" s="3">
        <v>33.717010000000002</v>
      </c>
      <c r="IC89" s="3">
        <v>33.713740000000001</v>
      </c>
      <c r="ID89" s="3">
        <v>33.710479999999997</v>
      </c>
      <c r="IE89" s="3">
        <v>33.7072</v>
      </c>
      <c r="IF89" s="3">
        <v>33.703949999999999</v>
      </c>
      <c r="IG89" s="3">
        <v>33.700690000000002</v>
      </c>
      <c r="IH89" s="3">
        <v>33.697420000000001</v>
      </c>
      <c r="II89" s="3">
        <v>33.69415</v>
      </c>
      <c r="IJ89" s="3">
        <v>33.690890000000003</v>
      </c>
      <c r="IK89" s="3">
        <v>33.687620000000003</v>
      </c>
      <c r="IL89" s="3">
        <v>33.684359999999998</v>
      </c>
      <c r="IM89" s="3">
        <v>33.681089999999998</v>
      </c>
      <c r="IN89" s="3">
        <v>33.677819999999997</v>
      </c>
      <c r="IO89" s="3">
        <v>33.67456</v>
      </c>
      <c r="IP89" s="3">
        <v>33.671300000000002</v>
      </c>
      <c r="IQ89" s="3">
        <v>33.668050000000001</v>
      </c>
      <c r="IR89" s="3">
        <v>33.66478</v>
      </c>
      <c r="IS89" s="3">
        <v>33.66151</v>
      </c>
      <c r="IT89" s="3">
        <v>33.658250000000002</v>
      </c>
      <c r="IU89" s="3">
        <v>33.654989999999998</v>
      </c>
      <c r="IV89" s="3">
        <v>33.651739999999997</v>
      </c>
      <c r="IW89" s="3">
        <v>33.648470000000003</v>
      </c>
      <c r="IX89" s="3">
        <v>33.645209999999999</v>
      </c>
      <c r="IY89" s="3">
        <v>33.641950000000001</v>
      </c>
      <c r="IZ89" s="3">
        <v>33.638689999999997</v>
      </c>
      <c r="JA89" s="3">
        <v>33.635440000000003</v>
      </c>
      <c r="JB89" s="3">
        <v>33.632179999999998</v>
      </c>
      <c r="JC89" s="3">
        <v>33.628909999999998</v>
      </c>
      <c r="JD89" s="3">
        <v>33.62565</v>
      </c>
      <c r="JE89" s="3">
        <v>33.622410000000002</v>
      </c>
      <c r="JF89" s="3">
        <v>33.619140000000002</v>
      </c>
      <c r="JG89" s="3">
        <v>33.615879999999997</v>
      </c>
      <c r="JH89" s="3">
        <v>33.612630000000003</v>
      </c>
      <c r="JI89" s="3">
        <v>33.609369999999998</v>
      </c>
      <c r="JJ89" s="3">
        <v>33.606119999999997</v>
      </c>
      <c r="JK89" s="3">
        <v>33.602870000000003</v>
      </c>
      <c r="JL89" s="3">
        <v>33.599600000000002</v>
      </c>
      <c r="JM89" s="3">
        <v>33.596350000000001</v>
      </c>
      <c r="JN89" s="3">
        <v>33.5931</v>
      </c>
      <c r="JO89" s="3">
        <v>33.589829999999999</v>
      </c>
      <c r="JP89" s="3">
        <v>33.586579999999998</v>
      </c>
      <c r="JQ89" s="3">
        <v>33.583320000000001</v>
      </c>
      <c r="JR89" s="3">
        <v>33.580060000000003</v>
      </c>
      <c r="JS89" s="3">
        <v>33.576819999999998</v>
      </c>
      <c r="JT89" s="3">
        <v>33.573569999999997</v>
      </c>
      <c r="JU89" s="3">
        <v>33.570300000000003</v>
      </c>
      <c r="JV89" s="3">
        <v>33.567070000000001</v>
      </c>
      <c r="JW89" s="3">
        <v>33.56382</v>
      </c>
      <c r="JX89" s="3">
        <v>33.560560000000002</v>
      </c>
      <c r="JY89" s="3">
        <v>33.557310000000001</v>
      </c>
      <c r="JZ89" s="3">
        <v>33.55406</v>
      </c>
      <c r="KA89" s="3">
        <v>33.550800000000002</v>
      </c>
      <c r="KB89" s="3">
        <v>33.547550000000001</v>
      </c>
      <c r="KC89" s="3">
        <v>33.5443</v>
      </c>
      <c r="KD89" s="3">
        <v>33.541040000000002</v>
      </c>
      <c r="KE89" s="3">
        <v>33.537790000000001</v>
      </c>
      <c r="KF89" s="3">
        <v>33.534550000000003</v>
      </c>
      <c r="KG89" s="3">
        <v>33.531280000000002</v>
      </c>
      <c r="KH89" s="3">
        <v>33.52805</v>
      </c>
      <c r="KI89" s="3">
        <v>33.524799999999999</v>
      </c>
      <c r="KJ89" s="3">
        <v>33.521540000000002</v>
      </c>
      <c r="KK89" s="3">
        <v>33.51829</v>
      </c>
      <c r="KL89" s="3">
        <v>33.515039999999999</v>
      </c>
      <c r="KM89" s="3">
        <v>33.511780000000002</v>
      </c>
      <c r="KN89" s="3">
        <v>33.50853</v>
      </c>
      <c r="KO89" s="3">
        <v>33.505270000000003</v>
      </c>
      <c r="KP89" s="3">
        <v>33.502020000000002</v>
      </c>
      <c r="KQ89" s="3">
        <v>33.49877</v>
      </c>
      <c r="KR89" s="3">
        <v>33.495519999999999</v>
      </c>
      <c r="KS89" s="3">
        <v>33.492260000000002</v>
      </c>
      <c r="KT89" s="3">
        <v>33.48903</v>
      </c>
      <c r="KU89" s="3">
        <v>33.485770000000002</v>
      </c>
      <c r="KV89" s="3">
        <v>33.482520000000001</v>
      </c>
      <c r="KW89" s="3">
        <v>33.47927</v>
      </c>
      <c r="KX89" s="3">
        <v>33.476019999999998</v>
      </c>
      <c r="KY89" s="3">
        <v>33.472760000000001</v>
      </c>
      <c r="KZ89" s="3">
        <v>33.46951</v>
      </c>
      <c r="LA89" s="3">
        <v>33.466250000000002</v>
      </c>
      <c r="LB89" s="3">
        <v>33.463000000000001</v>
      </c>
      <c r="LC89" s="3">
        <v>33.45975</v>
      </c>
      <c r="LD89" s="3">
        <v>33.456499999999998</v>
      </c>
      <c r="LE89" s="3">
        <v>33.453240000000001</v>
      </c>
      <c r="LF89" s="3">
        <v>33.44999</v>
      </c>
      <c r="LG89" s="3">
        <v>33.446739999999998</v>
      </c>
      <c r="LH89" s="3">
        <v>33.443489999999997</v>
      </c>
      <c r="LI89" s="3">
        <v>33.440240000000003</v>
      </c>
      <c r="LJ89" s="3">
        <v>33.436990000000002</v>
      </c>
      <c r="LK89" s="3">
        <v>33.43374</v>
      </c>
      <c r="LL89" s="3">
        <v>33.430489999999999</v>
      </c>
      <c r="LM89" s="3">
        <v>33.427239999999998</v>
      </c>
      <c r="LN89" s="3">
        <v>33.423990000000003</v>
      </c>
      <c r="LO89" s="3">
        <v>33.420740000000002</v>
      </c>
      <c r="LP89" s="3">
        <v>33.417490000000001</v>
      </c>
      <c r="LQ89" s="3">
        <v>33.414239999999999</v>
      </c>
      <c r="LR89" s="3">
        <v>33.410989999999998</v>
      </c>
      <c r="LS89" s="3">
        <v>33.407739999999997</v>
      </c>
      <c r="LT89" s="3">
        <v>33.404499999999999</v>
      </c>
      <c r="LU89" s="3">
        <v>33.401249999999997</v>
      </c>
      <c r="LV89" s="3">
        <v>33.398000000000003</v>
      </c>
      <c r="LW89" s="3">
        <v>33.394759999999998</v>
      </c>
      <c r="LX89" s="3">
        <v>33.391509999999997</v>
      </c>
      <c r="LY89" s="3">
        <v>33.388260000000002</v>
      </c>
      <c r="LZ89" s="3">
        <v>33.385019999999997</v>
      </c>
      <c r="MA89" s="3">
        <v>33.381770000000003</v>
      </c>
      <c r="MB89" s="3">
        <v>33.378520000000002</v>
      </c>
      <c r="MC89" s="3">
        <v>33.375279999999997</v>
      </c>
      <c r="MD89" s="3">
        <v>33.372030000000002</v>
      </c>
      <c r="ME89" s="3">
        <v>33.368789999999997</v>
      </c>
      <c r="MF89" s="3">
        <v>33.365549999999999</v>
      </c>
      <c r="MG89" s="3">
        <v>33.362299999999998</v>
      </c>
      <c r="MH89" s="3">
        <v>33.359059999999999</v>
      </c>
      <c r="MI89" s="3">
        <v>33.355820000000001</v>
      </c>
      <c r="MJ89" s="3">
        <v>33.352580000000003</v>
      </c>
      <c r="MK89" s="3">
        <v>33.349330000000002</v>
      </c>
      <c r="ML89" s="3">
        <v>33.346089999999997</v>
      </c>
      <c r="MM89" s="3">
        <v>33.342849999999999</v>
      </c>
      <c r="MN89" s="3">
        <v>33.33961</v>
      </c>
      <c r="MO89" s="3">
        <v>33.336359999999999</v>
      </c>
      <c r="MP89" s="3">
        <v>33.333120000000001</v>
      </c>
      <c r="MQ89" s="3">
        <v>33.329880000000003</v>
      </c>
      <c r="MR89" s="3">
        <v>33.326639999999998</v>
      </c>
      <c r="MS89" s="3">
        <v>33.323410000000003</v>
      </c>
      <c r="MT89" s="3">
        <v>33.320169999999997</v>
      </c>
      <c r="MU89" t="s">
        <v>421</v>
      </c>
      <c r="MV89" t="b">
        <v>1</v>
      </c>
      <c r="MW89" t="s">
        <v>377</v>
      </c>
      <c r="MX89" t="s">
        <v>377</v>
      </c>
      <c r="MY89">
        <v>2024</v>
      </c>
      <c r="MZ89">
        <v>3</v>
      </c>
      <c r="NA89" t="s">
        <v>377</v>
      </c>
      <c r="NB89" t="s">
        <v>474</v>
      </c>
      <c r="NC89" t="s">
        <v>475</v>
      </c>
      <c r="ND89" t="s">
        <v>389</v>
      </c>
      <c r="NE89" t="s">
        <v>473</v>
      </c>
      <c r="NF89" s="1" t="s">
        <v>528</v>
      </c>
    </row>
    <row r="90" spans="1:370" x14ac:dyDescent="0.25">
      <c r="A90" t="s">
        <v>370</v>
      </c>
      <c r="B90" t="s">
        <v>476</v>
      </c>
      <c r="C90" s="1" t="s">
        <v>527</v>
      </c>
      <c r="D90" t="s">
        <v>477</v>
      </c>
      <c r="E90" t="s">
        <v>377</v>
      </c>
      <c r="F90" t="s">
        <v>374</v>
      </c>
      <c r="G90" s="2">
        <v>284961.7</v>
      </c>
      <c r="H90" s="2">
        <v>285664.3</v>
      </c>
      <c r="I90" s="2">
        <v>286372.7</v>
      </c>
      <c r="J90" s="2">
        <v>287086.90000000002</v>
      </c>
      <c r="K90" s="2">
        <v>287816.59999999998</v>
      </c>
      <c r="L90" s="2">
        <v>288543.59999999998</v>
      </c>
      <c r="M90" s="2">
        <v>289232.5</v>
      </c>
      <c r="N90" s="2">
        <v>289883.3</v>
      </c>
      <c r="O90" s="2">
        <v>290563.3</v>
      </c>
      <c r="P90" s="2">
        <v>291258.2</v>
      </c>
      <c r="Q90" s="2">
        <v>291879.90000000002</v>
      </c>
      <c r="R90" s="2">
        <v>292428.59999999998</v>
      </c>
      <c r="S90" s="2">
        <v>292999.90000000002</v>
      </c>
      <c r="T90" s="2">
        <v>293600.3</v>
      </c>
      <c r="U90" s="2">
        <v>294143.09999999998</v>
      </c>
      <c r="V90" s="2">
        <v>294628.40000000002</v>
      </c>
      <c r="W90" s="2">
        <v>295115.2</v>
      </c>
      <c r="X90" s="2">
        <v>295625.2</v>
      </c>
      <c r="Y90" s="2">
        <v>296130.2</v>
      </c>
      <c r="Z90" s="2">
        <v>296630.2</v>
      </c>
      <c r="AA90" s="2">
        <v>297110.90000000002</v>
      </c>
      <c r="AB90" s="2">
        <v>297594.09999999998</v>
      </c>
      <c r="AC90" s="2">
        <v>298124.7</v>
      </c>
      <c r="AD90" s="2">
        <v>298702.8</v>
      </c>
      <c r="AE90" s="2">
        <v>299240.8</v>
      </c>
      <c r="AF90" s="2">
        <v>299760.5</v>
      </c>
      <c r="AG90" s="2">
        <v>300380.2</v>
      </c>
      <c r="AH90" s="2">
        <v>301099.8</v>
      </c>
      <c r="AI90" s="2">
        <v>305710.09999999998</v>
      </c>
      <c r="AJ90" s="2">
        <v>306399.5</v>
      </c>
      <c r="AK90" s="2">
        <v>307054.90000000002</v>
      </c>
      <c r="AL90" s="2">
        <v>307760.8</v>
      </c>
      <c r="AM90" s="2">
        <v>308462.7</v>
      </c>
      <c r="AN90" s="2">
        <v>309145.40000000002</v>
      </c>
      <c r="AO90" s="2">
        <v>309685.09999999998</v>
      </c>
      <c r="AP90" s="2">
        <v>310237.59999999998</v>
      </c>
      <c r="AQ90" s="2">
        <v>310773</v>
      </c>
      <c r="AR90" s="2">
        <v>311304.09999999998</v>
      </c>
      <c r="AS90" s="2">
        <v>312006</v>
      </c>
      <c r="AT90" s="2">
        <v>312752.59999999998</v>
      </c>
      <c r="AU90" s="2">
        <v>313469.8</v>
      </c>
      <c r="AV90" s="2">
        <v>314170.8</v>
      </c>
      <c r="AW90" s="2">
        <v>315042.90000000002</v>
      </c>
      <c r="AX90" s="2">
        <v>315991.8</v>
      </c>
      <c r="AY90" s="2">
        <v>316899.40000000002</v>
      </c>
      <c r="AZ90" s="2">
        <v>317778.5</v>
      </c>
      <c r="BA90" s="2">
        <v>318840.40000000002</v>
      </c>
      <c r="BB90" s="2">
        <v>320011.8</v>
      </c>
      <c r="BC90" s="2">
        <v>321121.7</v>
      </c>
      <c r="BD90" s="2">
        <v>322191.09999999998</v>
      </c>
      <c r="BE90" s="2">
        <v>323401.40000000002</v>
      </c>
      <c r="BF90" s="2">
        <v>324774</v>
      </c>
      <c r="BG90" s="2">
        <v>326094.3</v>
      </c>
      <c r="BH90" s="2">
        <v>327353.40000000002</v>
      </c>
      <c r="BI90" s="2">
        <v>328357.09999999998</v>
      </c>
      <c r="BJ90" s="2">
        <v>329500.79999999999</v>
      </c>
      <c r="BK90" s="2">
        <v>330621.3</v>
      </c>
      <c r="BL90" s="2">
        <v>331686.3</v>
      </c>
      <c r="BM90" s="2">
        <v>332802</v>
      </c>
      <c r="BN90" s="2">
        <v>333979.8</v>
      </c>
      <c r="BO90" s="2">
        <v>335165.2</v>
      </c>
      <c r="BP90" s="2">
        <v>336326.1</v>
      </c>
      <c r="BQ90" s="2">
        <v>337543.9</v>
      </c>
      <c r="BR90" s="2">
        <v>338746.7</v>
      </c>
      <c r="BS90" s="2">
        <v>339988.5</v>
      </c>
      <c r="BT90" s="2">
        <v>341236.8</v>
      </c>
      <c r="BU90" s="2">
        <v>342391.9</v>
      </c>
      <c r="BV90" s="2">
        <v>343453.9</v>
      </c>
      <c r="BW90" s="2">
        <v>344556.3</v>
      </c>
      <c r="BX90" s="2">
        <v>345697</v>
      </c>
      <c r="BY90" s="2">
        <v>346798.8</v>
      </c>
      <c r="BZ90" s="2">
        <v>347801.59999999998</v>
      </c>
      <c r="CA90" s="2">
        <v>348823.9</v>
      </c>
      <c r="CB90" s="2">
        <v>349887.5</v>
      </c>
      <c r="CC90" s="2">
        <v>350817.9</v>
      </c>
      <c r="CD90" s="2">
        <v>351700.9</v>
      </c>
      <c r="CE90" s="2">
        <v>352599.9</v>
      </c>
      <c r="CF90" s="2">
        <v>353518.7</v>
      </c>
      <c r="CG90" s="2">
        <v>354372.5</v>
      </c>
      <c r="CH90" s="2">
        <v>355187.5</v>
      </c>
      <c r="CI90" s="2">
        <v>356014.8</v>
      </c>
      <c r="CJ90" s="2">
        <v>356858.4</v>
      </c>
      <c r="CK90" s="2">
        <v>357701.2</v>
      </c>
      <c r="CL90" s="2">
        <v>358513.9</v>
      </c>
      <c r="CM90" s="2">
        <v>359335.7</v>
      </c>
      <c r="CN90" s="2">
        <v>360170.3</v>
      </c>
      <c r="CO90" s="2">
        <v>361006.9</v>
      </c>
      <c r="CP90" s="2">
        <v>361822.1</v>
      </c>
      <c r="CQ90" s="2">
        <v>362716.5</v>
      </c>
      <c r="CR90" s="2">
        <v>363618.8</v>
      </c>
      <c r="CS90" s="2">
        <v>364289.3</v>
      </c>
      <c r="CT90" s="2">
        <v>364765.5</v>
      </c>
      <c r="CU90" s="2">
        <v>365321.5</v>
      </c>
      <c r="CV90" s="2">
        <v>365954.9</v>
      </c>
      <c r="CW90" s="2">
        <v>366558.6</v>
      </c>
      <c r="CX90" s="2">
        <v>366961.8</v>
      </c>
      <c r="CY90" s="2">
        <v>367339.3</v>
      </c>
      <c r="CZ90" s="2">
        <v>367799.4</v>
      </c>
      <c r="DA90" s="2">
        <v>368335.6</v>
      </c>
      <c r="DB90" s="2">
        <v>368931.3</v>
      </c>
      <c r="DC90" s="2">
        <v>369398.2</v>
      </c>
      <c r="DD90" s="2">
        <v>369844.5</v>
      </c>
      <c r="DE90" s="2">
        <v>370802</v>
      </c>
      <c r="DF90" s="2">
        <v>372081.5</v>
      </c>
      <c r="DG90" s="2">
        <v>373129.6</v>
      </c>
      <c r="DH90" s="2">
        <v>374054.2</v>
      </c>
      <c r="DI90" s="2">
        <v>375671.4</v>
      </c>
      <c r="DJ90" s="2">
        <v>377878.1</v>
      </c>
      <c r="DK90" s="2">
        <v>379754.3</v>
      </c>
      <c r="DL90" s="2">
        <v>381403.9</v>
      </c>
      <c r="DM90" s="2">
        <v>383917.8</v>
      </c>
      <c r="DN90" s="2">
        <v>387283.8</v>
      </c>
      <c r="DO90" s="2">
        <v>390395</v>
      </c>
      <c r="DP90" s="2">
        <v>393176.9</v>
      </c>
      <c r="DQ90" s="2">
        <v>396657.2</v>
      </c>
      <c r="DR90" s="2">
        <v>400820.9</v>
      </c>
      <c r="DS90" s="2">
        <v>404886</v>
      </c>
      <c r="DT90" s="2">
        <v>408691.4</v>
      </c>
      <c r="DU90" s="2">
        <v>412809</v>
      </c>
      <c r="DV90" s="2">
        <v>417228.1</v>
      </c>
      <c r="DW90" s="2">
        <v>421703</v>
      </c>
      <c r="DX90" s="2">
        <v>426072.3</v>
      </c>
      <c r="DY90" s="2">
        <v>430408.7</v>
      </c>
      <c r="DZ90" s="2">
        <v>434658.5</v>
      </c>
      <c r="EA90" s="2">
        <v>439119.6</v>
      </c>
      <c r="EB90" s="2">
        <v>443630.4</v>
      </c>
      <c r="EC90" s="2">
        <v>448052.4</v>
      </c>
      <c r="ED90" s="2">
        <v>451995.5</v>
      </c>
      <c r="EE90" s="2">
        <v>456140.6</v>
      </c>
      <c r="EF90" s="2">
        <v>460499.9</v>
      </c>
      <c r="EG90" s="2">
        <v>464348.4</v>
      </c>
      <c r="EH90" s="2">
        <v>467732.7</v>
      </c>
      <c r="EI90" s="2">
        <v>471209.7</v>
      </c>
      <c r="EJ90" s="2">
        <v>474891.1</v>
      </c>
      <c r="EK90" s="2">
        <v>478299.1</v>
      </c>
      <c r="EL90" s="2">
        <v>481504.5</v>
      </c>
      <c r="EM90" s="2">
        <v>484819.3</v>
      </c>
      <c r="EN90" s="2">
        <v>488229</v>
      </c>
      <c r="EO90" s="2">
        <v>491140.7</v>
      </c>
      <c r="EP90" s="2">
        <v>493808</v>
      </c>
      <c r="EQ90" s="2">
        <v>496596.4</v>
      </c>
      <c r="ER90" s="2">
        <v>499491.3</v>
      </c>
      <c r="ES90" s="2">
        <v>501833.9</v>
      </c>
      <c r="ET90" s="2">
        <v>503890.9</v>
      </c>
      <c r="EU90" s="2">
        <v>506081.4</v>
      </c>
      <c r="EV90" s="2">
        <v>508390.9</v>
      </c>
      <c r="EW90" s="2">
        <v>510449.5</v>
      </c>
      <c r="EX90" s="2">
        <v>512183.3</v>
      </c>
      <c r="EY90" s="2">
        <v>513913.4</v>
      </c>
      <c r="EZ90" s="2">
        <v>515780.1</v>
      </c>
      <c r="FA90" s="2">
        <v>517750.8</v>
      </c>
      <c r="FB90" s="2">
        <v>519733.6</v>
      </c>
      <c r="FC90" s="3">
        <v>521714.2</v>
      </c>
      <c r="FD90" s="3">
        <v>523693.2</v>
      </c>
      <c r="FE90" s="3">
        <v>524728.5</v>
      </c>
      <c r="FF90" s="3">
        <v>525755.5</v>
      </c>
      <c r="FG90" s="3">
        <v>526774</v>
      </c>
      <c r="FH90" s="3">
        <v>527783.9</v>
      </c>
      <c r="FI90" s="3">
        <v>529038</v>
      </c>
      <c r="FJ90" s="3">
        <v>530285.6</v>
      </c>
      <c r="FK90" s="3">
        <v>531526.9</v>
      </c>
      <c r="FL90" s="3">
        <v>532761.80000000005</v>
      </c>
      <c r="FM90" s="3">
        <v>534300.9</v>
      </c>
      <c r="FN90" s="3">
        <v>535835.69999999995</v>
      </c>
      <c r="FO90" s="3">
        <v>537365.9</v>
      </c>
      <c r="FP90" s="3">
        <v>538891.4</v>
      </c>
      <c r="FQ90" s="3">
        <v>540637</v>
      </c>
      <c r="FR90" s="3">
        <v>542379.1</v>
      </c>
      <c r="FS90" s="3">
        <v>544117.5</v>
      </c>
      <c r="FT90" s="3">
        <v>545852.30000000005</v>
      </c>
      <c r="FU90" s="3">
        <v>547637.4</v>
      </c>
      <c r="FV90" s="3">
        <v>549419.80000000005</v>
      </c>
      <c r="FW90" s="3">
        <v>551200.30000000005</v>
      </c>
      <c r="FX90" s="3">
        <v>552979</v>
      </c>
      <c r="FY90" s="3">
        <v>554462.69999999995</v>
      </c>
      <c r="FZ90" s="3">
        <v>555943.9</v>
      </c>
      <c r="GA90" s="3">
        <v>557423</v>
      </c>
      <c r="GB90" s="3">
        <v>558899.9</v>
      </c>
      <c r="GC90" s="3">
        <v>560513.80000000005</v>
      </c>
      <c r="GD90" s="3">
        <v>562125.9</v>
      </c>
      <c r="GE90" s="3">
        <v>563736.6</v>
      </c>
      <c r="GF90" s="3">
        <v>565345.4</v>
      </c>
      <c r="GG90" s="3">
        <v>566909.9</v>
      </c>
      <c r="GH90" s="3">
        <v>568472.69999999995</v>
      </c>
      <c r="GI90" s="3">
        <v>570033.9</v>
      </c>
      <c r="GJ90" s="3">
        <v>571593.6</v>
      </c>
      <c r="GK90" s="3">
        <v>573134.1</v>
      </c>
      <c r="GL90" s="3">
        <v>574673.30000000005</v>
      </c>
      <c r="GM90" s="3">
        <v>576211.30000000005</v>
      </c>
      <c r="GN90" s="3">
        <v>577748.19999999995</v>
      </c>
      <c r="GO90" s="3">
        <v>578591.1</v>
      </c>
      <c r="GP90" s="3">
        <v>579431.1</v>
      </c>
      <c r="GQ90" s="3">
        <v>580268.4</v>
      </c>
      <c r="GR90" s="3">
        <v>581102.9</v>
      </c>
      <c r="GS90" s="3">
        <v>583171.1</v>
      </c>
      <c r="GT90" s="3">
        <v>585240</v>
      </c>
      <c r="GU90" s="3">
        <v>587309.80000000005</v>
      </c>
      <c r="GV90" s="3">
        <v>589380.30000000005</v>
      </c>
      <c r="GW90" s="3">
        <v>591841.19999999995</v>
      </c>
      <c r="GX90" s="3">
        <v>594303.80000000005</v>
      </c>
      <c r="GY90" s="3">
        <v>596768</v>
      </c>
      <c r="GZ90" s="3">
        <v>599234.1</v>
      </c>
      <c r="HA90" s="3">
        <v>603046.40000000002</v>
      </c>
      <c r="HB90" s="3">
        <v>606862.6</v>
      </c>
      <c r="HC90" s="3">
        <v>610684.1</v>
      </c>
      <c r="HD90" s="3">
        <v>614510.69999999995</v>
      </c>
      <c r="HE90" s="3">
        <v>616755.9</v>
      </c>
      <c r="HF90" s="3">
        <v>619001.9</v>
      </c>
      <c r="HG90" s="3">
        <v>621248.80000000005</v>
      </c>
      <c r="HH90" s="3">
        <v>623496.4</v>
      </c>
      <c r="HI90" s="3">
        <v>625450.30000000005</v>
      </c>
      <c r="HJ90" s="3">
        <v>627403.4</v>
      </c>
      <c r="HK90" s="3">
        <v>629354.6</v>
      </c>
      <c r="HL90" s="3">
        <v>631303.5</v>
      </c>
      <c r="HM90" s="3">
        <v>632906.4</v>
      </c>
      <c r="HN90" s="3">
        <v>634505.69999999995</v>
      </c>
      <c r="HO90" s="3">
        <v>636101.4</v>
      </c>
      <c r="HP90" s="3">
        <v>637693.4</v>
      </c>
      <c r="HQ90" s="3">
        <v>638904.19999999995</v>
      </c>
      <c r="HR90" s="3">
        <v>640109.5</v>
      </c>
      <c r="HS90" s="3">
        <v>641309.5</v>
      </c>
      <c r="HT90" s="3">
        <v>642504.1</v>
      </c>
      <c r="HU90" s="3">
        <v>643574.9</v>
      </c>
      <c r="HV90" s="3">
        <v>644639.5</v>
      </c>
      <c r="HW90" s="3">
        <v>645698</v>
      </c>
      <c r="HX90" s="3">
        <v>646750.30000000005</v>
      </c>
      <c r="HY90" s="3">
        <v>647756.9</v>
      </c>
      <c r="HZ90" s="3">
        <v>648756.6</v>
      </c>
      <c r="IA90" s="3">
        <v>649749.1</v>
      </c>
      <c r="IB90" s="3">
        <v>650734.6</v>
      </c>
      <c r="IC90" s="3">
        <v>651772.1</v>
      </c>
      <c r="ID90" s="3">
        <v>652802.9</v>
      </c>
      <c r="IE90" s="3">
        <v>653822.30000000005</v>
      </c>
      <c r="IF90" s="3">
        <v>654830</v>
      </c>
      <c r="IG90" s="3">
        <v>655750.30000000005</v>
      </c>
      <c r="IH90" s="3">
        <v>656657.69999999995</v>
      </c>
      <c r="II90" s="3">
        <v>657552.4</v>
      </c>
      <c r="IJ90" s="3">
        <v>658434.5</v>
      </c>
      <c r="IK90" s="3">
        <v>659276.4</v>
      </c>
      <c r="IL90" s="3">
        <v>660104.9</v>
      </c>
      <c r="IM90" s="3">
        <v>660920.30000000005</v>
      </c>
      <c r="IN90" s="3">
        <v>661722.30000000005</v>
      </c>
      <c r="IO90" s="3">
        <v>662482.30000000005</v>
      </c>
      <c r="IP90" s="3">
        <v>663228.19999999995</v>
      </c>
      <c r="IQ90" s="3">
        <v>663960.1</v>
      </c>
      <c r="IR90" s="3">
        <v>664677.9</v>
      </c>
      <c r="IS90" s="3">
        <v>665425.1</v>
      </c>
      <c r="IT90" s="3">
        <v>666158.6</v>
      </c>
      <c r="IU90" s="3">
        <v>666878.30000000005</v>
      </c>
      <c r="IV90" s="3">
        <v>667584.1</v>
      </c>
      <c r="IW90" s="3">
        <v>668117.4</v>
      </c>
      <c r="IX90" s="3">
        <v>668635.80000000005</v>
      </c>
      <c r="IY90" s="3">
        <v>669146.9</v>
      </c>
      <c r="IZ90" s="3">
        <v>669651.1</v>
      </c>
      <c r="JA90" s="3">
        <v>670319.9</v>
      </c>
      <c r="JB90" s="3">
        <v>670982.30000000005</v>
      </c>
      <c r="JC90" s="3">
        <v>671638.1</v>
      </c>
      <c r="JD90" s="3">
        <v>672287.6</v>
      </c>
      <c r="JE90" s="3">
        <v>672937.6</v>
      </c>
      <c r="JF90" s="3">
        <v>673582.2</v>
      </c>
      <c r="JG90" s="3">
        <v>674221.6</v>
      </c>
      <c r="JH90" s="3">
        <v>674855.9</v>
      </c>
      <c r="JI90" s="3">
        <v>675769.8</v>
      </c>
      <c r="JJ90" s="3">
        <v>676681.4</v>
      </c>
      <c r="JK90" s="3">
        <v>677590.3</v>
      </c>
      <c r="JL90" s="3">
        <v>678496.7</v>
      </c>
      <c r="JM90" s="3">
        <v>679462.6</v>
      </c>
      <c r="JN90" s="3">
        <v>680427.3</v>
      </c>
      <c r="JO90" s="3">
        <v>681390.6</v>
      </c>
      <c r="JP90" s="3">
        <v>682352.5</v>
      </c>
      <c r="JQ90" s="3">
        <v>683373.5</v>
      </c>
      <c r="JR90" s="3">
        <v>684393.5</v>
      </c>
      <c r="JS90" s="3">
        <v>685412.4</v>
      </c>
      <c r="JT90" s="3">
        <v>686430.5</v>
      </c>
      <c r="JU90" s="3">
        <v>687512.4</v>
      </c>
      <c r="JV90" s="3">
        <v>688593.7</v>
      </c>
      <c r="JW90" s="3">
        <v>689674</v>
      </c>
      <c r="JX90" s="3">
        <v>690753.9</v>
      </c>
      <c r="JY90" s="3">
        <v>691776.8</v>
      </c>
      <c r="JZ90" s="3">
        <v>692798.6</v>
      </c>
      <c r="KA90" s="3">
        <v>693819.1</v>
      </c>
      <c r="KB90" s="3">
        <v>694838.8</v>
      </c>
      <c r="KC90" s="3">
        <v>695641.9</v>
      </c>
      <c r="KD90" s="3">
        <v>696442.6</v>
      </c>
      <c r="KE90" s="3">
        <v>697240.5</v>
      </c>
      <c r="KF90" s="3">
        <v>698036.1</v>
      </c>
      <c r="KG90" s="3">
        <v>698692.4</v>
      </c>
      <c r="KH90" s="3">
        <v>699346</v>
      </c>
      <c r="KI90" s="3">
        <v>699996.9</v>
      </c>
      <c r="KJ90" s="3">
        <v>700644.9</v>
      </c>
      <c r="KK90" s="3">
        <v>701290.2</v>
      </c>
      <c r="KL90" s="3">
        <v>701933.1</v>
      </c>
      <c r="KM90" s="3">
        <v>702573.3</v>
      </c>
      <c r="KN90" s="3">
        <v>703210.7</v>
      </c>
      <c r="KO90" s="3">
        <v>703864.5</v>
      </c>
      <c r="KP90" s="3">
        <v>704516.3</v>
      </c>
      <c r="KQ90" s="3">
        <v>705165.8</v>
      </c>
      <c r="KR90" s="3">
        <v>705813.1</v>
      </c>
      <c r="KS90" s="3">
        <v>706434.6</v>
      </c>
      <c r="KT90" s="3">
        <v>707054.6</v>
      </c>
      <c r="KU90" s="3">
        <v>707672.6</v>
      </c>
      <c r="KV90" s="3">
        <v>708289</v>
      </c>
      <c r="KW90" s="3">
        <v>708891.9</v>
      </c>
      <c r="KX90" s="3">
        <v>709492.8</v>
      </c>
      <c r="KY90" s="3">
        <v>710092</v>
      </c>
      <c r="KZ90" s="3">
        <v>710689.1</v>
      </c>
      <c r="LA90" s="3">
        <v>711166.1</v>
      </c>
      <c r="LB90" s="3">
        <v>711640.5</v>
      </c>
      <c r="LC90" s="3">
        <v>712112.5</v>
      </c>
      <c r="LD90" s="3">
        <v>712582.2</v>
      </c>
      <c r="LE90" s="3">
        <v>713021.5</v>
      </c>
      <c r="LF90" s="3">
        <v>713458.4</v>
      </c>
      <c r="LG90" s="3">
        <v>713895.3</v>
      </c>
      <c r="LH90" s="3">
        <v>714332.1</v>
      </c>
      <c r="LI90" s="3">
        <v>714729.8</v>
      </c>
      <c r="LJ90" s="3">
        <v>715127.2</v>
      </c>
      <c r="LK90" s="3">
        <v>715524.2</v>
      </c>
      <c r="LL90" s="3">
        <v>715920.8</v>
      </c>
      <c r="LM90" s="3">
        <v>716225.8</v>
      </c>
      <c r="LN90" s="3">
        <v>716529.2</v>
      </c>
      <c r="LO90" s="3">
        <v>716830.9</v>
      </c>
      <c r="LP90" s="3">
        <v>717131.3</v>
      </c>
      <c r="LQ90" s="3">
        <v>717451.1</v>
      </c>
      <c r="LR90" s="3">
        <v>717769.7</v>
      </c>
      <c r="LS90" s="3">
        <v>718086.8</v>
      </c>
      <c r="LT90" s="3">
        <v>718402.6</v>
      </c>
      <c r="LU90" s="3">
        <v>718674.6</v>
      </c>
      <c r="LV90" s="3">
        <v>718944.6</v>
      </c>
      <c r="LW90" s="3">
        <v>719212.6</v>
      </c>
      <c r="LX90" s="3">
        <v>719478.2</v>
      </c>
      <c r="LY90" s="3">
        <v>719701.3</v>
      </c>
      <c r="LZ90" s="3">
        <v>719921.7</v>
      </c>
      <c r="MA90" s="3">
        <v>720139.6</v>
      </c>
      <c r="MB90" s="3">
        <v>720354.8</v>
      </c>
      <c r="MC90" s="3">
        <v>720579.1</v>
      </c>
      <c r="MD90" s="3">
        <v>720801.2</v>
      </c>
      <c r="ME90" s="3">
        <v>721021.1</v>
      </c>
      <c r="MF90" s="3">
        <v>721238.8</v>
      </c>
      <c r="MG90" s="3">
        <v>721526.8</v>
      </c>
      <c r="MH90" s="3">
        <v>721813</v>
      </c>
      <c r="MI90" s="3">
        <v>722097.1</v>
      </c>
      <c r="MJ90" s="3">
        <v>722379.3</v>
      </c>
      <c r="MK90" s="3">
        <v>722638.9</v>
      </c>
      <c r="ML90" s="3">
        <v>722896.5</v>
      </c>
      <c r="MM90" s="3">
        <v>723152.3</v>
      </c>
      <c r="MN90" s="3">
        <v>723405.9</v>
      </c>
      <c r="MO90" s="3">
        <v>723706.4</v>
      </c>
      <c r="MP90" s="3">
        <v>724005.1</v>
      </c>
      <c r="MQ90" s="3">
        <v>724301.6</v>
      </c>
      <c r="MR90" s="3">
        <v>724596.1</v>
      </c>
      <c r="MS90" s="3">
        <v>724888.8</v>
      </c>
      <c r="MT90" s="3">
        <v>725179.5</v>
      </c>
      <c r="MU90" s="1" t="s">
        <v>478</v>
      </c>
      <c r="MV90" t="b">
        <v>0</v>
      </c>
      <c r="MW90" t="s">
        <v>377</v>
      </c>
      <c r="MX90" t="s">
        <v>377</v>
      </c>
      <c r="MY90">
        <v>2010</v>
      </c>
      <c r="MZ90">
        <v>4</v>
      </c>
      <c r="NA90" t="s">
        <v>377</v>
      </c>
      <c r="NB90" s="1" t="s">
        <v>479</v>
      </c>
      <c r="NC90" t="s">
        <v>377</v>
      </c>
      <c r="ND90" t="s">
        <v>380</v>
      </c>
      <c r="NE90" t="s">
        <v>480</v>
      </c>
      <c r="NF90" s="1" t="s">
        <v>528</v>
      </c>
    </row>
    <row r="91" spans="1:370" x14ac:dyDescent="0.25">
      <c r="A91" t="s">
        <v>382</v>
      </c>
      <c r="B91" t="s">
        <v>476</v>
      </c>
      <c r="C91" s="1" t="s">
        <v>527</v>
      </c>
      <c r="D91" t="s">
        <v>477</v>
      </c>
      <c r="E91" t="s">
        <v>377</v>
      </c>
      <c r="F91" t="s">
        <v>374</v>
      </c>
      <c r="G91" s="2">
        <v>1517300</v>
      </c>
      <c r="H91" s="2">
        <v>1528430</v>
      </c>
      <c r="I91" s="2">
        <v>1539447</v>
      </c>
      <c r="J91" s="2">
        <v>1550380</v>
      </c>
      <c r="K91" s="2">
        <v>1561544</v>
      </c>
      <c r="L91" s="2">
        <v>1572618</v>
      </c>
      <c r="M91" s="2">
        <v>1583587</v>
      </c>
      <c r="N91" s="2">
        <v>1594368</v>
      </c>
      <c r="O91" s="2">
        <v>1604975</v>
      </c>
      <c r="P91" s="2">
        <v>1615876</v>
      </c>
      <c r="Q91" s="2">
        <v>1627595</v>
      </c>
      <c r="R91" s="2">
        <v>1639344</v>
      </c>
      <c r="S91" s="2">
        <v>1651186</v>
      </c>
      <c r="T91" s="2">
        <v>1662781</v>
      </c>
      <c r="U91" s="2">
        <v>1674600</v>
      </c>
      <c r="V91" s="2">
        <v>1685842</v>
      </c>
      <c r="W91" s="2">
        <v>1697415</v>
      </c>
      <c r="X91" s="2">
        <v>1709026</v>
      </c>
      <c r="Y91" s="2">
        <v>1720489</v>
      </c>
      <c r="Z91" s="2">
        <v>1731775</v>
      </c>
      <c r="AA91" s="2">
        <v>1743218</v>
      </c>
      <c r="AB91" s="2">
        <v>1754906</v>
      </c>
      <c r="AC91" s="2">
        <v>1766193</v>
      </c>
      <c r="AD91" s="2">
        <v>1776697</v>
      </c>
      <c r="AE91" s="2">
        <v>1787786</v>
      </c>
      <c r="AF91" s="2">
        <v>1799096</v>
      </c>
      <c r="AG91" s="2">
        <v>1809622</v>
      </c>
      <c r="AH91" s="2">
        <v>1818908</v>
      </c>
      <c r="AI91" s="2">
        <v>1828814</v>
      </c>
      <c r="AJ91" s="2">
        <v>1838838</v>
      </c>
      <c r="AK91" s="2">
        <v>1847637</v>
      </c>
      <c r="AL91" s="2">
        <v>1854505</v>
      </c>
      <c r="AM91" s="2">
        <v>1861262</v>
      </c>
      <c r="AN91" s="2">
        <v>1868527</v>
      </c>
      <c r="AO91" s="2">
        <v>1875074</v>
      </c>
      <c r="AP91" s="2">
        <v>1880176</v>
      </c>
      <c r="AQ91" s="2">
        <v>1885360</v>
      </c>
      <c r="AR91" s="2">
        <v>1890862</v>
      </c>
      <c r="AS91" s="2">
        <v>1895804</v>
      </c>
      <c r="AT91" s="2">
        <v>1900073</v>
      </c>
      <c r="AU91" s="2">
        <v>1904380</v>
      </c>
      <c r="AV91" s="2">
        <v>1908728</v>
      </c>
      <c r="AW91" s="2">
        <v>1913042</v>
      </c>
      <c r="AX91" s="2">
        <v>1917721</v>
      </c>
      <c r="AY91" s="2">
        <v>1922262</v>
      </c>
      <c r="AZ91" s="2">
        <v>1926825</v>
      </c>
      <c r="BA91" s="2">
        <v>1931784</v>
      </c>
      <c r="BB91" s="2">
        <v>1937304</v>
      </c>
      <c r="BC91" s="2">
        <v>1942438</v>
      </c>
      <c r="BD91" s="2">
        <v>1947545</v>
      </c>
      <c r="BE91" s="2">
        <v>1953338</v>
      </c>
      <c r="BF91" s="2">
        <v>1959846</v>
      </c>
      <c r="BG91" s="2">
        <v>1966232</v>
      </c>
      <c r="BH91" s="2">
        <v>1972343</v>
      </c>
      <c r="BI91" s="2">
        <v>1978625</v>
      </c>
      <c r="BJ91" s="2">
        <v>1983879</v>
      </c>
      <c r="BK91" s="2">
        <v>1989214</v>
      </c>
      <c r="BL91" s="2">
        <v>1994500</v>
      </c>
      <c r="BM91" s="2">
        <v>1999754</v>
      </c>
      <c r="BN91" s="2">
        <v>2004977</v>
      </c>
      <c r="BO91" s="2">
        <v>2010336</v>
      </c>
      <c r="BP91" s="2">
        <v>2015361</v>
      </c>
      <c r="BQ91" s="2">
        <v>2020636</v>
      </c>
      <c r="BR91" s="2">
        <v>2025547</v>
      </c>
      <c r="BS91" s="2">
        <v>2030535</v>
      </c>
      <c r="BT91" s="2">
        <v>2035419</v>
      </c>
      <c r="BU91" s="2">
        <v>2040520</v>
      </c>
      <c r="BV91" s="2">
        <v>2046066</v>
      </c>
      <c r="BW91" s="2">
        <v>2051657</v>
      </c>
      <c r="BX91" s="2">
        <v>2058355</v>
      </c>
      <c r="BY91" s="2">
        <v>2065193</v>
      </c>
      <c r="BZ91" s="2">
        <v>2072128</v>
      </c>
      <c r="CA91" s="2">
        <v>2078969</v>
      </c>
      <c r="CB91" s="2">
        <v>2086794</v>
      </c>
      <c r="CC91" s="2">
        <v>2094982</v>
      </c>
      <c r="CD91" s="2">
        <v>2103684</v>
      </c>
      <c r="CE91" s="2">
        <v>2112242</v>
      </c>
      <c r="CF91" s="2">
        <v>2120966</v>
      </c>
      <c r="CG91" s="2">
        <v>2129678</v>
      </c>
      <c r="CH91" s="2">
        <v>2138499</v>
      </c>
      <c r="CI91" s="2">
        <v>2147292</v>
      </c>
      <c r="CJ91" s="2">
        <v>2155566</v>
      </c>
      <c r="CK91" s="2">
        <v>2163878</v>
      </c>
      <c r="CL91" s="2">
        <v>2172937</v>
      </c>
      <c r="CM91" s="2">
        <v>2182001</v>
      </c>
      <c r="CN91" s="2">
        <v>2191041</v>
      </c>
      <c r="CO91" s="2">
        <v>2199857</v>
      </c>
      <c r="CP91" s="2">
        <v>2209330</v>
      </c>
      <c r="CQ91" s="2">
        <v>2219008</v>
      </c>
      <c r="CR91" s="2">
        <v>2228550</v>
      </c>
      <c r="CS91" s="2">
        <v>2238256</v>
      </c>
      <c r="CT91" s="2">
        <v>2248534</v>
      </c>
      <c r="CU91" s="2">
        <v>2258375</v>
      </c>
      <c r="CV91" s="2">
        <v>2268537</v>
      </c>
      <c r="CW91" s="2">
        <v>2278978</v>
      </c>
      <c r="CX91" s="2">
        <v>2290563</v>
      </c>
      <c r="CY91" s="2">
        <v>2302105</v>
      </c>
      <c r="CZ91" s="2">
        <v>2313620</v>
      </c>
      <c r="DA91" s="2">
        <v>2325132</v>
      </c>
      <c r="DB91" s="2">
        <v>2336570</v>
      </c>
      <c r="DC91" s="2">
        <v>2348016</v>
      </c>
      <c r="DD91" s="2">
        <v>2359426</v>
      </c>
      <c r="DE91" s="2">
        <v>2370437</v>
      </c>
      <c r="DF91" s="2">
        <v>2380888</v>
      </c>
      <c r="DG91" s="2">
        <v>2391732</v>
      </c>
      <c r="DH91" s="2">
        <v>2402668</v>
      </c>
      <c r="DI91" s="2">
        <v>2413076</v>
      </c>
      <c r="DJ91" s="2">
        <v>2422702</v>
      </c>
      <c r="DK91" s="2">
        <v>2432773</v>
      </c>
      <c r="DL91" s="2">
        <v>2442911</v>
      </c>
      <c r="DM91" s="2">
        <v>2451326</v>
      </c>
      <c r="DN91" s="2">
        <v>2458811</v>
      </c>
      <c r="DO91" s="2">
        <v>2466759</v>
      </c>
      <c r="DP91" s="2">
        <v>2475092</v>
      </c>
      <c r="DQ91" s="2">
        <v>2482132</v>
      </c>
      <c r="DR91" s="2">
        <v>2487682</v>
      </c>
      <c r="DS91" s="2">
        <v>2493975</v>
      </c>
      <c r="DT91" s="2">
        <v>2500526</v>
      </c>
      <c r="DU91" s="2">
        <v>2506532</v>
      </c>
      <c r="DV91" s="2">
        <v>2511770</v>
      </c>
      <c r="DW91" s="2">
        <v>2516441</v>
      </c>
      <c r="DX91" s="2">
        <v>2520432</v>
      </c>
      <c r="DY91" s="2">
        <v>2526653</v>
      </c>
      <c r="DZ91" s="2">
        <v>2533189</v>
      </c>
      <c r="EA91" s="2">
        <v>2538906</v>
      </c>
      <c r="EB91" s="2">
        <v>2544753</v>
      </c>
      <c r="EC91" s="2">
        <v>2551412</v>
      </c>
      <c r="ED91" s="2">
        <v>2559398</v>
      </c>
      <c r="EE91" s="2">
        <v>2566722</v>
      </c>
      <c r="EF91" s="2">
        <v>2573882</v>
      </c>
      <c r="EG91" s="2">
        <v>2582496</v>
      </c>
      <c r="EH91" s="2">
        <v>2591956</v>
      </c>
      <c r="EI91" s="2">
        <v>2601500</v>
      </c>
      <c r="EJ91" s="2">
        <v>2610340</v>
      </c>
      <c r="EK91" s="2">
        <v>2620021</v>
      </c>
      <c r="EL91" s="2">
        <v>2629582</v>
      </c>
      <c r="EM91" s="2">
        <v>2639225</v>
      </c>
      <c r="EN91" s="2">
        <v>2648220</v>
      </c>
      <c r="EO91" s="2">
        <v>2657782</v>
      </c>
      <c r="EP91" s="2">
        <v>2666627</v>
      </c>
      <c r="EQ91" s="2">
        <v>2675549</v>
      </c>
      <c r="ER91" s="2">
        <v>2684169</v>
      </c>
      <c r="ES91" s="2">
        <v>2692561</v>
      </c>
      <c r="ET91" s="2">
        <v>2700800</v>
      </c>
      <c r="EU91" s="2">
        <v>2709326</v>
      </c>
      <c r="EV91" s="2">
        <v>2717939</v>
      </c>
      <c r="EW91" s="2">
        <v>2725673</v>
      </c>
      <c r="EX91" s="2">
        <v>2732768</v>
      </c>
      <c r="EY91" s="2">
        <v>2739821</v>
      </c>
      <c r="EZ91" s="2">
        <v>2746964</v>
      </c>
      <c r="FA91" s="2">
        <v>2753561</v>
      </c>
      <c r="FB91" s="2">
        <v>2760984</v>
      </c>
      <c r="FC91" s="3">
        <v>2768077</v>
      </c>
      <c r="FD91" s="3">
        <v>2775369</v>
      </c>
      <c r="FE91" s="3">
        <v>2782699</v>
      </c>
      <c r="FF91" s="3">
        <v>2787066</v>
      </c>
      <c r="FG91" s="3">
        <v>2791733</v>
      </c>
      <c r="FH91" s="3">
        <v>2796335</v>
      </c>
      <c r="FI91" s="3">
        <v>2800901</v>
      </c>
      <c r="FJ91" s="3">
        <v>2806154</v>
      </c>
      <c r="FK91" s="3">
        <v>2811084</v>
      </c>
      <c r="FL91" s="3">
        <v>2816076</v>
      </c>
      <c r="FM91" s="3">
        <v>2821258</v>
      </c>
      <c r="FN91" s="3">
        <v>2826629</v>
      </c>
      <c r="FO91" s="3">
        <v>2832136</v>
      </c>
      <c r="FP91" s="3">
        <v>2837538</v>
      </c>
      <c r="FQ91" s="3">
        <v>2842993</v>
      </c>
      <c r="FR91" s="3">
        <v>2848845</v>
      </c>
      <c r="FS91" s="3">
        <v>2854528</v>
      </c>
      <c r="FT91" s="3">
        <v>2860149</v>
      </c>
      <c r="FU91" s="3">
        <v>2865769</v>
      </c>
      <c r="FV91" s="3">
        <v>2871078</v>
      </c>
      <c r="FW91" s="3">
        <v>2876402</v>
      </c>
      <c r="FX91" s="3">
        <v>2881791</v>
      </c>
      <c r="FY91" s="3">
        <v>2886868</v>
      </c>
      <c r="FZ91" s="3">
        <v>2891397</v>
      </c>
      <c r="GA91" s="3">
        <v>2895850</v>
      </c>
      <c r="GB91" s="3">
        <v>2899985</v>
      </c>
      <c r="GC91" s="3">
        <v>2904063</v>
      </c>
      <c r="GD91" s="3">
        <v>2907632</v>
      </c>
      <c r="GE91" s="3">
        <v>2910996</v>
      </c>
      <c r="GF91" s="3">
        <v>2914337</v>
      </c>
      <c r="GG91" s="3">
        <v>2917584</v>
      </c>
      <c r="GH91" s="3">
        <v>2920504</v>
      </c>
      <c r="GI91" s="3">
        <v>2923322</v>
      </c>
      <c r="GJ91" s="3">
        <v>2925998</v>
      </c>
      <c r="GK91" s="3">
        <v>2928782</v>
      </c>
      <c r="GL91" s="3">
        <v>2931636</v>
      </c>
      <c r="GM91" s="3">
        <v>2934303</v>
      </c>
      <c r="GN91" s="3">
        <v>2936420</v>
      </c>
      <c r="GO91" s="3">
        <v>2937541</v>
      </c>
      <c r="GP91" s="3">
        <v>2938346</v>
      </c>
      <c r="GQ91" s="3">
        <v>2938733</v>
      </c>
      <c r="GR91" s="3">
        <v>2939463</v>
      </c>
      <c r="GS91" s="3">
        <v>2941737</v>
      </c>
      <c r="GT91" s="3">
        <v>2943215</v>
      </c>
      <c r="GU91" s="3">
        <v>2945692</v>
      </c>
      <c r="GV91" s="3">
        <v>2947987</v>
      </c>
      <c r="GW91" s="3">
        <v>2951111</v>
      </c>
      <c r="GX91" s="3">
        <v>2954096</v>
      </c>
      <c r="GY91" s="3">
        <v>2957366</v>
      </c>
      <c r="GZ91" s="3">
        <v>2960772</v>
      </c>
      <c r="HA91" s="3">
        <v>2963731</v>
      </c>
      <c r="HB91" s="3">
        <v>2966606</v>
      </c>
      <c r="HC91" s="3">
        <v>2969748</v>
      </c>
      <c r="HD91" s="3">
        <v>2973152</v>
      </c>
      <c r="HE91" s="3">
        <v>2976671</v>
      </c>
      <c r="HF91" s="3">
        <v>2979896</v>
      </c>
      <c r="HG91" s="3">
        <v>2983039</v>
      </c>
      <c r="HH91" s="3">
        <v>2986112</v>
      </c>
      <c r="HI91" s="3">
        <v>2988784</v>
      </c>
      <c r="HJ91" s="3">
        <v>2991024</v>
      </c>
      <c r="HK91" s="3">
        <v>2993168</v>
      </c>
      <c r="HL91" s="3">
        <v>2995233</v>
      </c>
      <c r="HM91" s="3">
        <v>2997195</v>
      </c>
      <c r="HN91" s="3">
        <v>2999066</v>
      </c>
      <c r="HO91" s="3">
        <v>3000834</v>
      </c>
      <c r="HP91" s="3">
        <v>3002406</v>
      </c>
      <c r="HQ91" s="3">
        <v>3003903</v>
      </c>
      <c r="HR91" s="3">
        <v>3005582</v>
      </c>
      <c r="HS91" s="3">
        <v>3007226</v>
      </c>
      <c r="HT91" s="3">
        <v>3008865</v>
      </c>
      <c r="HU91" s="3">
        <v>3010507</v>
      </c>
      <c r="HV91" s="3">
        <v>3012507</v>
      </c>
      <c r="HW91" s="3">
        <v>3014540</v>
      </c>
      <c r="HX91" s="3">
        <v>3016664</v>
      </c>
      <c r="HY91" s="3">
        <v>3018849</v>
      </c>
      <c r="HZ91" s="3">
        <v>3021763</v>
      </c>
      <c r="IA91" s="3">
        <v>3024737</v>
      </c>
      <c r="IB91" s="3">
        <v>3027711</v>
      </c>
      <c r="IC91" s="3">
        <v>3030775</v>
      </c>
      <c r="ID91" s="3">
        <v>3034643</v>
      </c>
      <c r="IE91" s="3">
        <v>3038614</v>
      </c>
      <c r="IF91" s="3">
        <v>3042689</v>
      </c>
      <c r="IG91" s="3">
        <v>3046746</v>
      </c>
      <c r="IH91" s="3">
        <v>3050875</v>
      </c>
      <c r="II91" s="3">
        <v>3054999</v>
      </c>
      <c r="IJ91" s="3">
        <v>3059116</v>
      </c>
      <c r="IK91" s="3">
        <v>3063230</v>
      </c>
      <c r="IL91" s="3">
        <v>3067323</v>
      </c>
      <c r="IM91" s="3">
        <v>3071413</v>
      </c>
      <c r="IN91" s="3">
        <v>3075502</v>
      </c>
      <c r="IO91" s="3">
        <v>3079583</v>
      </c>
      <c r="IP91" s="3">
        <v>3083283</v>
      </c>
      <c r="IQ91" s="3">
        <v>3086979</v>
      </c>
      <c r="IR91" s="3">
        <v>3090673</v>
      </c>
      <c r="IS91" s="3">
        <v>3094362</v>
      </c>
      <c r="IT91" s="3">
        <v>3097585</v>
      </c>
      <c r="IU91" s="3">
        <v>3100801</v>
      </c>
      <c r="IV91" s="3">
        <v>3104009</v>
      </c>
      <c r="IW91" s="3">
        <v>3107210</v>
      </c>
      <c r="IX91" s="3">
        <v>3110050</v>
      </c>
      <c r="IY91" s="3">
        <v>3112876</v>
      </c>
      <c r="IZ91" s="3">
        <v>3115690</v>
      </c>
      <c r="JA91" s="3">
        <v>3118488</v>
      </c>
      <c r="JB91" s="3">
        <v>3122586</v>
      </c>
      <c r="JC91" s="3">
        <v>3126670</v>
      </c>
      <c r="JD91" s="3">
        <v>3130738</v>
      </c>
      <c r="JE91" s="3">
        <v>3134790</v>
      </c>
      <c r="JF91" s="3">
        <v>3139551</v>
      </c>
      <c r="JG91" s="3">
        <v>3144297</v>
      </c>
      <c r="JH91" s="3">
        <v>3149029</v>
      </c>
      <c r="JI91" s="3">
        <v>3153749</v>
      </c>
      <c r="JJ91" s="3">
        <v>3158448</v>
      </c>
      <c r="JK91" s="3">
        <v>3163134</v>
      </c>
      <c r="JL91" s="3">
        <v>3167810</v>
      </c>
      <c r="JM91" s="3">
        <v>3172470</v>
      </c>
      <c r="JN91" s="3">
        <v>3177170</v>
      </c>
      <c r="JO91" s="3">
        <v>3181854</v>
      </c>
      <c r="JP91" s="3">
        <v>3186526</v>
      </c>
      <c r="JQ91" s="3">
        <v>3191184</v>
      </c>
      <c r="JR91" s="3">
        <v>3196120</v>
      </c>
      <c r="JS91" s="3">
        <v>3201040</v>
      </c>
      <c r="JT91" s="3">
        <v>3205940</v>
      </c>
      <c r="JU91" s="3">
        <v>3210828</v>
      </c>
      <c r="JV91" s="3">
        <v>3215411</v>
      </c>
      <c r="JW91" s="3">
        <v>3219979</v>
      </c>
      <c r="JX91" s="3">
        <v>3224535</v>
      </c>
      <c r="JY91" s="3">
        <v>3229078</v>
      </c>
      <c r="JZ91" s="3">
        <v>3233584</v>
      </c>
      <c r="KA91" s="3">
        <v>3238081</v>
      </c>
      <c r="KB91" s="3">
        <v>3242561</v>
      </c>
      <c r="KC91" s="3">
        <v>3247027</v>
      </c>
      <c r="KD91" s="3">
        <v>3251313</v>
      </c>
      <c r="KE91" s="3">
        <v>3255585</v>
      </c>
      <c r="KF91" s="3">
        <v>3259841</v>
      </c>
      <c r="KG91" s="3">
        <v>3264081</v>
      </c>
      <c r="KH91" s="3">
        <v>3267870</v>
      </c>
      <c r="KI91" s="3">
        <v>3271648</v>
      </c>
      <c r="KJ91" s="3">
        <v>3275414</v>
      </c>
      <c r="KK91" s="3">
        <v>3279167</v>
      </c>
      <c r="KL91" s="3">
        <v>3282948</v>
      </c>
      <c r="KM91" s="3">
        <v>3286724</v>
      </c>
      <c r="KN91" s="3">
        <v>3290488</v>
      </c>
      <c r="KO91" s="3">
        <v>3294246</v>
      </c>
      <c r="KP91" s="3">
        <v>3297886</v>
      </c>
      <c r="KQ91" s="3">
        <v>3301520</v>
      </c>
      <c r="KR91" s="3">
        <v>3305148</v>
      </c>
      <c r="KS91" s="3">
        <v>3308770</v>
      </c>
      <c r="KT91" s="3">
        <v>3312431</v>
      </c>
      <c r="KU91" s="3">
        <v>3316088</v>
      </c>
      <c r="KV91" s="3">
        <v>3319741</v>
      </c>
      <c r="KW91" s="3">
        <v>3323390</v>
      </c>
      <c r="KX91" s="3">
        <v>3327291</v>
      </c>
      <c r="KY91" s="3">
        <v>3331190</v>
      </c>
      <c r="KZ91" s="3">
        <v>3335090</v>
      </c>
      <c r="LA91" s="3">
        <v>3338989</v>
      </c>
      <c r="LB91" s="3">
        <v>3342594</v>
      </c>
      <c r="LC91" s="3">
        <v>3346199</v>
      </c>
      <c r="LD91" s="3">
        <v>3349805</v>
      </c>
      <c r="LE91" s="3">
        <v>3353412</v>
      </c>
      <c r="LF91" s="3">
        <v>3356970</v>
      </c>
      <c r="LG91" s="3">
        <v>3360530</v>
      </c>
      <c r="LH91" s="3">
        <v>3364097</v>
      </c>
      <c r="LI91" s="3">
        <v>3367672</v>
      </c>
      <c r="LJ91" s="3">
        <v>3371214</v>
      </c>
      <c r="LK91" s="3">
        <v>3374764</v>
      </c>
      <c r="LL91" s="3">
        <v>3378324</v>
      </c>
      <c r="LM91" s="3">
        <v>3381892</v>
      </c>
      <c r="LN91" s="3">
        <v>3385228</v>
      </c>
      <c r="LO91" s="3">
        <v>3388572</v>
      </c>
      <c r="LP91" s="3">
        <v>3391924</v>
      </c>
      <c r="LQ91" s="3">
        <v>3395284</v>
      </c>
      <c r="LR91" s="3">
        <v>3398305</v>
      </c>
      <c r="LS91" s="3">
        <v>3401335</v>
      </c>
      <c r="LT91" s="3">
        <v>3404372</v>
      </c>
      <c r="LU91" s="3">
        <v>3407417</v>
      </c>
      <c r="LV91" s="3">
        <v>3409945</v>
      </c>
      <c r="LW91" s="3">
        <v>3412479</v>
      </c>
      <c r="LX91" s="3">
        <v>3415020</v>
      </c>
      <c r="LY91" s="3">
        <v>3417565</v>
      </c>
      <c r="LZ91" s="3">
        <v>3420064</v>
      </c>
      <c r="MA91" s="3">
        <v>3422568</v>
      </c>
      <c r="MB91" s="3">
        <v>3425079</v>
      </c>
      <c r="MC91" s="3">
        <v>3427593</v>
      </c>
      <c r="MD91" s="3">
        <v>3430229</v>
      </c>
      <c r="ME91" s="3">
        <v>3432871</v>
      </c>
      <c r="MF91" s="3">
        <v>3435519</v>
      </c>
      <c r="MG91" s="3">
        <v>3438172</v>
      </c>
      <c r="MH91" s="3">
        <v>3441050</v>
      </c>
      <c r="MI91" s="3">
        <v>3443936</v>
      </c>
      <c r="MJ91" s="3">
        <v>3446829</v>
      </c>
      <c r="MK91" s="3">
        <v>3449729</v>
      </c>
      <c r="ML91" s="3">
        <v>3452741</v>
      </c>
      <c r="MM91" s="3">
        <v>3455759</v>
      </c>
      <c r="MN91" s="3">
        <v>3458785</v>
      </c>
      <c r="MO91" s="3">
        <v>3461819</v>
      </c>
      <c r="MP91" s="3">
        <v>3465022</v>
      </c>
      <c r="MQ91" s="3">
        <v>3468232</v>
      </c>
      <c r="MR91" s="3">
        <v>3471452</v>
      </c>
      <c r="MS91" s="3">
        <v>3474679</v>
      </c>
      <c r="MT91" s="3">
        <v>3477916</v>
      </c>
      <c r="MU91" t="s">
        <v>481</v>
      </c>
      <c r="MV91" t="b">
        <v>0</v>
      </c>
      <c r="MW91" t="s">
        <v>377</v>
      </c>
      <c r="MX91" t="s">
        <v>377</v>
      </c>
      <c r="MY91">
        <v>2010</v>
      </c>
      <c r="MZ91">
        <v>4</v>
      </c>
      <c r="NA91" t="s">
        <v>377</v>
      </c>
      <c r="NB91" s="1" t="s">
        <v>479</v>
      </c>
      <c r="NC91" s="1" t="s">
        <v>482</v>
      </c>
      <c r="ND91" t="s">
        <v>389</v>
      </c>
      <c r="NE91" t="s">
        <v>480</v>
      </c>
      <c r="NF91" s="1" t="s">
        <v>528</v>
      </c>
    </row>
    <row r="92" spans="1:370" x14ac:dyDescent="0.25">
      <c r="A92" t="s">
        <v>370</v>
      </c>
      <c r="B92" s="1" t="s">
        <v>483</v>
      </c>
      <c r="C92" s="1" t="s">
        <v>527</v>
      </c>
      <c r="D92" t="s">
        <v>464</v>
      </c>
      <c r="E92" t="s">
        <v>465</v>
      </c>
      <c r="F92" t="s">
        <v>374</v>
      </c>
      <c r="G92" s="2">
        <v>35306.44</v>
      </c>
      <c r="H92" s="2">
        <v>35326.230000000003</v>
      </c>
      <c r="I92" s="2">
        <v>35328.269999999997</v>
      </c>
      <c r="J92" s="2">
        <v>35330.32</v>
      </c>
      <c r="K92" s="2">
        <v>35332.36</v>
      </c>
      <c r="L92" s="2">
        <v>35334.400000000001</v>
      </c>
      <c r="M92" s="2">
        <v>35332.83</v>
      </c>
      <c r="N92" s="2">
        <v>35331.26</v>
      </c>
      <c r="O92" s="2">
        <v>35329.69</v>
      </c>
      <c r="P92" s="2">
        <v>35328.120000000003</v>
      </c>
      <c r="Q92" s="2">
        <v>35326.550000000003</v>
      </c>
      <c r="R92" s="2">
        <v>35324.97</v>
      </c>
      <c r="S92" s="2">
        <v>35323.4</v>
      </c>
      <c r="T92" s="2">
        <v>35321.83</v>
      </c>
      <c r="U92" s="2">
        <v>35361.64</v>
      </c>
      <c r="V92" s="2">
        <v>35401.440000000002</v>
      </c>
      <c r="W92" s="2">
        <v>35441.24</v>
      </c>
      <c r="X92" s="2">
        <v>35481.040000000001</v>
      </c>
      <c r="Y92" s="2">
        <v>35520.99</v>
      </c>
      <c r="Z92" s="2">
        <v>35560.94</v>
      </c>
      <c r="AA92" s="2">
        <v>35600.879999999997</v>
      </c>
      <c r="AB92" s="2">
        <v>35640.83</v>
      </c>
      <c r="AC92" s="2">
        <v>35694.160000000003</v>
      </c>
      <c r="AD92" s="2">
        <v>35747.49</v>
      </c>
      <c r="AE92" s="2">
        <v>35800.82</v>
      </c>
      <c r="AF92" s="2">
        <v>35854.15</v>
      </c>
      <c r="AG92" s="2">
        <v>35910.339999999997</v>
      </c>
      <c r="AH92" s="2">
        <v>35966.53</v>
      </c>
      <c r="AI92" s="2">
        <v>36022.71</v>
      </c>
      <c r="AJ92" s="2">
        <v>36078.9</v>
      </c>
      <c r="AK92" s="2">
        <v>36128.85</v>
      </c>
      <c r="AL92" s="2">
        <v>36178.800000000003</v>
      </c>
      <c r="AM92" s="2">
        <v>36228.74</v>
      </c>
      <c r="AN92" s="2">
        <v>36278.69</v>
      </c>
      <c r="AO92" s="2">
        <v>36323.99</v>
      </c>
      <c r="AP92" s="2">
        <v>36369.29</v>
      </c>
      <c r="AQ92" s="2">
        <v>36414.58</v>
      </c>
      <c r="AR92" s="2">
        <v>36459.879999999997</v>
      </c>
      <c r="AS92" s="2">
        <v>36529.379999999997</v>
      </c>
      <c r="AT92" s="2">
        <v>36598.879999999997</v>
      </c>
      <c r="AU92" s="2">
        <v>36668.379999999997</v>
      </c>
      <c r="AV92" s="2">
        <v>36737.879999999997</v>
      </c>
      <c r="AW92" s="2">
        <v>36812.129999999997</v>
      </c>
      <c r="AX92" s="2">
        <v>36886.379999999997</v>
      </c>
      <c r="AY92" s="2">
        <v>36960.639999999999</v>
      </c>
      <c r="AZ92" s="2">
        <v>37034.89</v>
      </c>
      <c r="BA92" s="2">
        <v>37051.96</v>
      </c>
      <c r="BB92" s="2">
        <v>37069.040000000001</v>
      </c>
      <c r="BC92" s="2">
        <v>37086.11</v>
      </c>
      <c r="BD92" s="2">
        <v>37103.18</v>
      </c>
      <c r="BE92" s="2">
        <v>37127.25</v>
      </c>
      <c r="BF92" s="2">
        <v>37151.31</v>
      </c>
      <c r="BG92" s="2">
        <v>37175.379999999997</v>
      </c>
      <c r="BH92" s="2">
        <v>37199.440000000002</v>
      </c>
      <c r="BI92" s="2">
        <v>37215.519999999997</v>
      </c>
      <c r="BJ92" s="2">
        <v>37231.589999999997</v>
      </c>
      <c r="BK92" s="2">
        <v>37247.67</v>
      </c>
      <c r="BL92" s="2">
        <v>37263.75</v>
      </c>
      <c r="BM92" s="2">
        <v>37271.879999999997</v>
      </c>
      <c r="BN92" s="2">
        <v>37280.01</v>
      </c>
      <c r="BO92" s="2">
        <v>37288.14</v>
      </c>
      <c r="BP92" s="2">
        <v>37296.269999999997</v>
      </c>
      <c r="BQ92" s="2">
        <v>37302.879999999997</v>
      </c>
      <c r="BR92" s="2">
        <v>37309.5</v>
      </c>
      <c r="BS92" s="2">
        <v>37316.11</v>
      </c>
      <c r="BT92" s="2">
        <v>37322.720000000001</v>
      </c>
      <c r="BU92" s="2">
        <v>37331.61</v>
      </c>
      <c r="BV92" s="2">
        <v>37340.49</v>
      </c>
      <c r="BW92" s="2">
        <v>37349.370000000003</v>
      </c>
      <c r="BX92" s="2">
        <v>37358.25</v>
      </c>
      <c r="BY92" s="2">
        <v>37361.620000000003</v>
      </c>
      <c r="BZ92" s="2">
        <v>37364.980000000003</v>
      </c>
      <c r="CA92" s="2">
        <v>37368.35</v>
      </c>
      <c r="CB92" s="2">
        <v>37371.71</v>
      </c>
      <c r="CC92" s="2">
        <v>37363.21</v>
      </c>
      <c r="CD92" s="2">
        <v>37354.699999999997</v>
      </c>
      <c r="CE92" s="2">
        <v>37346.19</v>
      </c>
      <c r="CF92" s="2">
        <v>37337.68</v>
      </c>
      <c r="CG92" s="2">
        <v>37336.699999999997</v>
      </c>
      <c r="CH92" s="2">
        <v>37335.71</v>
      </c>
      <c r="CI92" s="2">
        <v>37334.730000000003</v>
      </c>
      <c r="CJ92" s="2">
        <v>37333.75</v>
      </c>
      <c r="CK92" s="2">
        <v>37354.300000000003</v>
      </c>
      <c r="CL92" s="2">
        <v>37374.86</v>
      </c>
      <c r="CM92" s="2">
        <v>37395.42</v>
      </c>
      <c r="CN92" s="2">
        <v>37415.980000000003</v>
      </c>
      <c r="CO92" s="2">
        <v>37446.46</v>
      </c>
      <c r="CP92" s="2">
        <v>37476.949999999997</v>
      </c>
      <c r="CQ92" s="2">
        <v>37507.440000000002</v>
      </c>
      <c r="CR92" s="2">
        <v>37537.93</v>
      </c>
      <c r="CS92" s="2">
        <v>37568.18</v>
      </c>
      <c r="CT92" s="2">
        <v>37598.43</v>
      </c>
      <c r="CU92" s="2">
        <v>37628.68</v>
      </c>
      <c r="CV92" s="2">
        <v>37658.92</v>
      </c>
      <c r="CW92" s="2">
        <v>37688.15</v>
      </c>
      <c r="CX92" s="2">
        <v>37717.370000000003</v>
      </c>
      <c r="CY92" s="2">
        <v>37746.6</v>
      </c>
      <c r="CZ92" s="2">
        <v>37775.82</v>
      </c>
      <c r="DA92" s="2">
        <v>37810.339999999997</v>
      </c>
      <c r="DB92" s="2">
        <v>37844.86</v>
      </c>
      <c r="DC92" s="2">
        <v>37879.370000000003</v>
      </c>
      <c r="DD92" s="2">
        <v>37913.89</v>
      </c>
      <c r="DE92" s="2">
        <v>37965.89</v>
      </c>
      <c r="DF92" s="2">
        <v>38017.89</v>
      </c>
      <c r="DG92" s="2">
        <v>38069.9</v>
      </c>
      <c r="DH92" s="2">
        <v>38121.9</v>
      </c>
      <c r="DI92" s="2">
        <v>38185.07</v>
      </c>
      <c r="DJ92" s="2">
        <v>38248.25</v>
      </c>
      <c r="DK92" s="2">
        <v>38311.42</v>
      </c>
      <c r="DL92" s="2">
        <v>38374.589999999997</v>
      </c>
      <c r="DM92" s="2">
        <v>38439.32</v>
      </c>
      <c r="DN92" s="2">
        <v>38504.06</v>
      </c>
      <c r="DO92" s="2">
        <v>38568.79</v>
      </c>
      <c r="DP92" s="2">
        <v>38633.53</v>
      </c>
      <c r="DQ92" s="2">
        <v>38700.120000000003</v>
      </c>
      <c r="DR92" s="2">
        <v>38766.71</v>
      </c>
      <c r="DS92" s="2">
        <v>38833.300000000003</v>
      </c>
      <c r="DT92" s="2">
        <v>38899.89</v>
      </c>
      <c r="DU92" s="2">
        <v>38967.660000000003</v>
      </c>
      <c r="DV92" s="2">
        <v>39035.449999999997</v>
      </c>
      <c r="DW92" s="2">
        <v>39103.230000000003</v>
      </c>
      <c r="DX92" s="2">
        <v>39171</v>
      </c>
      <c r="DY92" s="2">
        <v>39243.78</v>
      </c>
      <c r="DZ92" s="2">
        <v>39316.550000000003</v>
      </c>
      <c r="EA92" s="2">
        <v>39389.32</v>
      </c>
      <c r="EB92" s="2">
        <v>39462.089999999997</v>
      </c>
      <c r="EC92" s="2">
        <v>39569.49</v>
      </c>
      <c r="ED92" s="2">
        <v>39676.89</v>
      </c>
      <c r="EE92" s="2">
        <v>39784.29</v>
      </c>
      <c r="EF92" s="2">
        <v>39891.69</v>
      </c>
      <c r="EG92" s="2">
        <v>39994.71</v>
      </c>
      <c r="EH92" s="2">
        <v>40097.72</v>
      </c>
      <c r="EI92" s="2">
        <v>40200.74</v>
      </c>
      <c r="EJ92" s="2">
        <v>40303.760000000002</v>
      </c>
      <c r="EK92" s="2">
        <v>40400.61</v>
      </c>
      <c r="EL92" s="2">
        <v>40497.449999999997</v>
      </c>
      <c r="EM92" s="2">
        <v>40594.300000000003</v>
      </c>
      <c r="EN92" s="2">
        <v>40691.14</v>
      </c>
      <c r="EO92" s="2">
        <v>40766.639999999999</v>
      </c>
      <c r="EP92" s="2">
        <v>40842.14</v>
      </c>
      <c r="EQ92" s="2">
        <v>40917.64</v>
      </c>
      <c r="ER92" s="2">
        <v>40993.14</v>
      </c>
      <c r="ES92" s="2">
        <v>41046.550000000003</v>
      </c>
      <c r="ET92" s="2">
        <v>41099.949999999997</v>
      </c>
      <c r="EU92" s="2">
        <v>41153.360000000001</v>
      </c>
      <c r="EV92" s="2">
        <v>41206.769999999997</v>
      </c>
      <c r="EW92" s="2">
        <v>41266.04</v>
      </c>
      <c r="EX92" s="2">
        <v>41325.32</v>
      </c>
      <c r="EY92" s="2">
        <v>41384.6</v>
      </c>
      <c r="EZ92" s="2">
        <v>41443.879999999997</v>
      </c>
      <c r="FA92" s="2">
        <v>41510.57</v>
      </c>
      <c r="FB92" s="2">
        <v>41577.269999999997</v>
      </c>
      <c r="FC92" s="2">
        <v>41643.96</v>
      </c>
      <c r="FD92" s="2">
        <v>41710.660000000003</v>
      </c>
      <c r="FE92" s="2">
        <v>41702.699999999997</v>
      </c>
      <c r="FF92" s="2">
        <v>41694.75</v>
      </c>
      <c r="FG92" s="2">
        <v>41686.79</v>
      </c>
      <c r="FH92" s="2">
        <v>41678.83</v>
      </c>
      <c r="FI92" s="2">
        <v>41690.699999999997</v>
      </c>
      <c r="FJ92" s="2">
        <v>41702.559999999998</v>
      </c>
      <c r="FK92" s="2">
        <v>41714.43</v>
      </c>
      <c r="FL92" s="2">
        <v>41726.29</v>
      </c>
      <c r="FM92" s="2">
        <v>41762.39</v>
      </c>
      <c r="FN92" s="2">
        <v>41798.5</v>
      </c>
      <c r="FO92" s="2">
        <v>41834.6</v>
      </c>
      <c r="FP92" s="2">
        <v>41870.699999999997</v>
      </c>
      <c r="FQ92" s="2">
        <v>41924.199999999997</v>
      </c>
      <c r="FR92" s="2">
        <v>41977.71</v>
      </c>
      <c r="FS92" s="2">
        <v>42031.21</v>
      </c>
      <c r="FT92" s="2">
        <v>42084.71</v>
      </c>
      <c r="FU92" s="2">
        <v>42142.32</v>
      </c>
      <c r="FV92" s="2">
        <v>42199.92</v>
      </c>
      <c r="FW92" s="2">
        <v>42257.52</v>
      </c>
      <c r="FX92" s="2">
        <v>42315.13</v>
      </c>
      <c r="FY92" s="2">
        <v>42350.28</v>
      </c>
      <c r="FZ92" s="2">
        <v>42385.43</v>
      </c>
      <c r="GA92" s="2">
        <v>42420.58</v>
      </c>
      <c r="GB92" s="2">
        <v>42455.73</v>
      </c>
      <c r="GC92" s="2">
        <v>42501.440000000002</v>
      </c>
      <c r="GD92" s="2">
        <v>42547.14</v>
      </c>
      <c r="GE92" s="2">
        <v>42592.85</v>
      </c>
      <c r="GF92" s="2">
        <v>42638.559999999998</v>
      </c>
      <c r="GG92" s="2">
        <v>42681.03</v>
      </c>
      <c r="GH92" s="2">
        <v>42723.5</v>
      </c>
      <c r="GI92" s="2">
        <v>42765.97</v>
      </c>
      <c r="GJ92" s="2">
        <v>42808.44</v>
      </c>
      <c r="GK92" s="2">
        <v>42849.57</v>
      </c>
      <c r="GL92" s="2">
        <v>42890.7</v>
      </c>
      <c r="GM92" s="2">
        <v>42931.82</v>
      </c>
      <c r="GN92" s="2">
        <v>42972.95</v>
      </c>
      <c r="GO92" s="2">
        <v>42962.59</v>
      </c>
      <c r="GP92" s="2">
        <v>42952.22</v>
      </c>
      <c r="GQ92" s="2">
        <v>42941.86</v>
      </c>
      <c r="GR92" s="2">
        <v>42931.5</v>
      </c>
      <c r="GS92" s="2">
        <v>43012.37</v>
      </c>
      <c r="GT92" s="2">
        <v>43093.23</v>
      </c>
      <c r="GU92" s="2">
        <v>43174.1</v>
      </c>
      <c r="GV92" s="2">
        <v>43254.96</v>
      </c>
      <c r="GW92" s="2">
        <v>43364.39</v>
      </c>
      <c r="GX92" s="2">
        <v>43473.83</v>
      </c>
      <c r="GY92" s="2">
        <v>43583.26</v>
      </c>
      <c r="GZ92" s="2">
        <v>43692.7</v>
      </c>
      <c r="HA92" s="3">
        <v>43900.07</v>
      </c>
      <c r="HB92" s="3">
        <v>44107.32</v>
      </c>
      <c r="HC92" s="3">
        <v>44314.57</v>
      </c>
      <c r="HD92" s="3">
        <v>44521.82</v>
      </c>
      <c r="HE92" s="3">
        <v>44614.25</v>
      </c>
      <c r="HF92" s="3">
        <v>44706.68</v>
      </c>
      <c r="HG92" s="3">
        <v>44799.11</v>
      </c>
      <c r="HH92" s="3">
        <v>44891.54</v>
      </c>
      <c r="HI92" s="3">
        <v>44962.84</v>
      </c>
      <c r="HJ92" s="3">
        <v>45034.14</v>
      </c>
      <c r="HK92" s="3">
        <v>45105.440000000002</v>
      </c>
      <c r="HL92" s="3">
        <v>45176.73</v>
      </c>
      <c r="HM92" s="3">
        <v>45223.48</v>
      </c>
      <c r="HN92" s="3">
        <v>45270.23</v>
      </c>
      <c r="HO92" s="3">
        <v>45316.98</v>
      </c>
      <c r="HP92" s="3">
        <v>45363.73</v>
      </c>
      <c r="HQ92" s="3">
        <v>45383.69</v>
      </c>
      <c r="HR92" s="3">
        <v>45403.65</v>
      </c>
      <c r="HS92" s="3">
        <v>45423.61</v>
      </c>
      <c r="HT92" s="3">
        <v>45443.57</v>
      </c>
      <c r="HU92" s="3">
        <v>45455.19</v>
      </c>
      <c r="HV92" s="3">
        <v>45466.81</v>
      </c>
      <c r="HW92" s="3">
        <v>45478.43</v>
      </c>
      <c r="HX92" s="3">
        <v>45490.04</v>
      </c>
      <c r="HY92" s="3">
        <v>45498.94</v>
      </c>
      <c r="HZ92" s="3">
        <v>45507.839999999997</v>
      </c>
      <c r="IA92" s="3">
        <v>45516.74</v>
      </c>
      <c r="IB92" s="3">
        <v>45525.64</v>
      </c>
      <c r="IC92" s="3">
        <v>45538.62</v>
      </c>
      <c r="ID92" s="3">
        <v>45551.59</v>
      </c>
      <c r="IE92" s="3">
        <v>45564.57</v>
      </c>
      <c r="IF92" s="3">
        <v>45577.54</v>
      </c>
      <c r="IG92" s="3">
        <v>45585.3</v>
      </c>
      <c r="IH92" s="3">
        <v>45593.05</v>
      </c>
      <c r="II92" s="3">
        <v>45600.800000000003</v>
      </c>
      <c r="IJ92" s="3">
        <v>45608.55</v>
      </c>
      <c r="IK92" s="3">
        <v>45614.43</v>
      </c>
      <c r="IL92" s="3">
        <v>45620.31</v>
      </c>
      <c r="IM92" s="3">
        <v>45626.19</v>
      </c>
      <c r="IN92" s="3">
        <v>45632.07</v>
      </c>
      <c r="IO92" s="3">
        <v>45636.03</v>
      </c>
      <c r="IP92" s="3">
        <v>45639.99</v>
      </c>
      <c r="IQ92" s="3">
        <v>45643.95</v>
      </c>
      <c r="IR92" s="3">
        <v>45647.91</v>
      </c>
      <c r="IS92" s="3">
        <v>45654.84</v>
      </c>
      <c r="IT92" s="3">
        <v>45661.77</v>
      </c>
      <c r="IU92" s="3">
        <v>45668.7</v>
      </c>
      <c r="IV92" s="3">
        <v>45675.63</v>
      </c>
      <c r="IW92" s="3">
        <v>45671.75</v>
      </c>
      <c r="IX92" s="3">
        <v>45667.88</v>
      </c>
      <c r="IY92" s="3">
        <v>45664</v>
      </c>
      <c r="IZ92" s="3">
        <v>45660.13</v>
      </c>
      <c r="JA92" s="3">
        <v>45667.95</v>
      </c>
      <c r="JB92" s="3">
        <v>45675.76</v>
      </c>
      <c r="JC92" s="3">
        <v>45683.58</v>
      </c>
      <c r="JD92" s="3">
        <v>45691.4</v>
      </c>
      <c r="JE92" s="3">
        <v>45699.61</v>
      </c>
      <c r="JF92" s="3">
        <v>45707.81</v>
      </c>
      <c r="JG92" s="3">
        <v>45716.02</v>
      </c>
      <c r="JH92" s="3">
        <v>45724.23</v>
      </c>
      <c r="JI92" s="3">
        <v>45751.58</v>
      </c>
      <c r="JJ92" s="3">
        <v>45778.94</v>
      </c>
      <c r="JK92" s="3">
        <v>45806.3</v>
      </c>
      <c r="JL92" s="3">
        <v>45833.66</v>
      </c>
      <c r="JM92" s="3">
        <v>45865.14</v>
      </c>
      <c r="JN92" s="3">
        <v>45896.62</v>
      </c>
      <c r="JO92" s="3">
        <v>45928.1</v>
      </c>
      <c r="JP92" s="3">
        <v>45959.58</v>
      </c>
      <c r="JQ92" s="3">
        <v>45995.11</v>
      </c>
      <c r="JR92" s="3">
        <v>46030.63</v>
      </c>
      <c r="JS92" s="3">
        <v>46066.15</v>
      </c>
      <c r="JT92" s="3">
        <v>46101.68</v>
      </c>
      <c r="JU92" s="3">
        <v>46141.54</v>
      </c>
      <c r="JV92" s="3">
        <v>46181.41</v>
      </c>
      <c r="JW92" s="3">
        <v>46221.27</v>
      </c>
      <c r="JX92" s="3">
        <v>46261.14</v>
      </c>
      <c r="JY92" s="3">
        <v>46297.26</v>
      </c>
      <c r="JZ92" s="3">
        <v>46333.38</v>
      </c>
      <c r="KA92" s="3">
        <v>46369.49</v>
      </c>
      <c r="KB92" s="3">
        <v>46405.61</v>
      </c>
      <c r="KC92" s="3">
        <v>46427.43</v>
      </c>
      <c r="KD92" s="3">
        <v>46449.26</v>
      </c>
      <c r="KE92" s="3">
        <v>46471.08</v>
      </c>
      <c r="KF92" s="3">
        <v>46492.91</v>
      </c>
      <c r="KG92" s="3">
        <v>46505.65</v>
      </c>
      <c r="KH92" s="3">
        <v>46518.39</v>
      </c>
      <c r="KI92" s="3">
        <v>46531.14</v>
      </c>
      <c r="KJ92" s="3">
        <v>46543.89</v>
      </c>
      <c r="KK92" s="3">
        <v>46556.63</v>
      </c>
      <c r="KL92" s="3">
        <v>46569.38</v>
      </c>
      <c r="KM92" s="3">
        <v>46582.12</v>
      </c>
      <c r="KN92" s="3">
        <v>46594.86</v>
      </c>
      <c r="KO92" s="3">
        <v>46608.82</v>
      </c>
      <c r="KP92" s="3">
        <v>46622.79</v>
      </c>
      <c r="KQ92" s="3">
        <v>46636.75</v>
      </c>
      <c r="KR92" s="3">
        <v>46650.71</v>
      </c>
      <c r="KS92" s="3">
        <v>46663.07</v>
      </c>
      <c r="KT92" s="3">
        <v>46675.44</v>
      </c>
      <c r="KU92" s="3">
        <v>46687.8</v>
      </c>
      <c r="KV92" s="3">
        <v>46700.160000000003</v>
      </c>
      <c r="KW92" s="3">
        <v>46711.75</v>
      </c>
      <c r="KX92" s="3">
        <v>46723.33</v>
      </c>
      <c r="KY92" s="3">
        <v>46734.92</v>
      </c>
      <c r="KZ92" s="3">
        <v>46746.5</v>
      </c>
      <c r="LA92" s="3">
        <v>46750.32</v>
      </c>
      <c r="LB92" s="3">
        <v>46754.13</v>
      </c>
      <c r="LC92" s="3">
        <v>46757.94</v>
      </c>
      <c r="LD92" s="3">
        <v>46761.75</v>
      </c>
      <c r="LE92" s="3">
        <v>46763.72</v>
      </c>
      <c r="LF92" s="3">
        <v>46765.68</v>
      </c>
      <c r="LG92" s="3">
        <v>46767.64</v>
      </c>
      <c r="LH92" s="3">
        <v>46769.61</v>
      </c>
      <c r="LI92" s="3">
        <v>46769.04</v>
      </c>
      <c r="LJ92" s="3">
        <v>46768.480000000003</v>
      </c>
      <c r="LK92" s="3">
        <v>46767.92</v>
      </c>
      <c r="LL92" s="3">
        <v>46767.360000000001</v>
      </c>
      <c r="LM92" s="3">
        <v>46760.92</v>
      </c>
      <c r="LN92" s="3">
        <v>46754.48</v>
      </c>
      <c r="LO92" s="3">
        <v>46748.04</v>
      </c>
      <c r="LP92" s="3">
        <v>46741.61</v>
      </c>
      <c r="LQ92" s="3">
        <v>46736.54</v>
      </c>
      <c r="LR92" s="3">
        <v>46731.48</v>
      </c>
      <c r="LS92" s="3">
        <v>46726.42</v>
      </c>
      <c r="LT92" s="3">
        <v>46721.36</v>
      </c>
      <c r="LU92" s="3">
        <v>46713.59</v>
      </c>
      <c r="LV92" s="3">
        <v>46705.83</v>
      </c>
      <c r="LW92" s="3">
        <v>46698.07</v>
      </c>
      <c r="LX92" s="3">
        <v>46690.3</v>
      </c>
      <c r="LY92" s="3">
        <v>46679.94</v>
      </c>
      <c r="LZ92" s="3">
        <v>46669.57</v>
      </c>
      <c r="MA92" s="3">
        <v>46659.21</v>
      </c>
      <c r="MB92" s="3">
        <v>46648.84</v>
      </c>
      <c r="MC92" s="3">
        <v>46639.199999999997</v>
      </c>
      <c r="MD92" s="3">
        <v>46629.56</v>
      </c>
      <c r="ME92" s="3">
        <v>46619.92</v>
      </c>
      <c r="MF92" s="3">
        <v>46610.28</v>
      </c>
      <c r="MG92" s="3">
        <v>46605.31</v>
      </c>
      <c r="MH92" s="3">
        <v>46600.35</v>
      </c>
      <c r="MI92" s="3">
        <v>46595.38</v>
      </c>
      <c r="MJ92" s="3">
        <v>46590.41</v>
      </c>
      <c r="MK92" s="3">
        <v>46584.12</v>
      </c>
      <c r="ML92" s="3">
        <v>46577.82</v>
      </c>
      <c r="MM92" s="3">
        <v>46571.53</v>
      </c>
      <c r="MN92" s="3">
        <v>46565.24</v>
      </c>
      <c r="MO92" s="3">
        <v>46562.09</v>
      </c>
      <c r="MP92" s="3">
        <v>46558.95</v>
      </c>
      <c r="MQ92" s="3">
        <v>46555.8</v>
      </c>
      <c r="MR92" s="3">
        <v>46552.65</v>
      </c>
      <c r="MS92" s="3">
        <v>46549.5</v>
      </c>
      <c r="MT92" s="3">
        <v>46546.36</v>
      </c>
      <c r="MU92" s="1" t="s">
        <v>484</v>
      </c>
      <c r="MV92" t="b">
        <v>0</v>
      </c>
      <c r="MW92" t="s">
        <v>377</v>
      </c>
      <c r="MX92" t="s">
        <v>377</v>
      </c>
      <c r="MY92">
        <v>2023</v>
      </c>
      <c r="MZ92">
        <v>2</v>
      </c>
      <c r="NA92" t="s">
        <v>377</v>
      </c>
      <c r="NB92" s="1" t="s">
        <v>485</v>
      </c>
      <c r="NC92" t="s">
        <v>377</v>
      </c>
      <c r="ND92" t="s">
        <v>380</v>
      </c>
      <c r="NE92" s="1" t="s">
        <v>486</v>
      </c>
      <c r="NF92" s="1" t="s">
        <v>528</v>
      </c>
    </row>
    <row r="93" spans="1:370" x14ac:dyDescent="0.25">
      <c r="A93" t="s">
        <v>382</v>
      </c>
      <c r="B93" s="1" t="s">
        <v>483</v>
      </c>
      <c r="C93" s="1" t="s">
        <v>527</v>
      </c>
      <c r="D93" t="s">
        <v>464</v>
      </c>
      <c r="E93" t="s">
        <v>465</v>
      </c>
      <c r="F93" t="s">
        <v>374</v>
      </c>
      <c r="G93" s="2">
        <v>132604.29999999999</v>
      </c>
      <c r="H93" s="2">
        <v>133220.5</v>
      </c>
      <c r="I93" s="2">
        <v>133820.5</v>
      </c>
      <c r="J93" s="2">
        <v>134406.79999999999</v>
      </c>
      <c r="K93" s="2">
        <v>135005.5</v>
      </c>
      <c r="L93" s="2">
        <v>135594.79999999999</v>
      </c>
      <c r="M93" s="2">
        <v>136182.20000000001</v>
      </c>
      <c r="N93" s="2">
        <v>136760.79999999999</v>
      </c>
      <c r="O93" s="2">
        <v>137323.29999999999</v>
      </c>
      <c r="P93" s="2">
        <v>137903.9</v>
      </c>
      <c r="Q93" s="2">
        <v>138547</v>
      </c>
      <c r="R93" s="2">
        <v>139185.1</v>
      </c>
      <c r="S93" s="2">
        <v>139830.1</v>
      </c>
      <c r="T93" s="2">
        <v>140452.6</v>
      </c>
      <c r="U93" s="2">
        <v>141085.1</v>
      </c>
      <c r="V93" s="2">
        <v>141659.9</v>
      </c>
      <c r="W93" s="2">
        <v>142252.79999999999</v>
      </c>
      <c r="X93" s="2">
        <v>142848.20000000001</v>
      </c>
      <c r="Y93" s="2">
        <v>143444.6</v>
      </c>
      <c r="Z93" s="2">
        <v>144039.6</v>
      </c>
      <c r="AA93" s="2">
        <v>144629.29999999999</v>
      </c>
      <c r="AB93" s="2">
        <v>145230.1</v>
      </c>
      <c r="AC93" s="2">
        <v>145833.5</v>
      </c>
      <c r="AD93" s="2">
        <v>146408.70000000001</v>
      </c>
      <c r="AE93" s="2">
        <v>147005</v>
      </c>
      <c r="AF93" s="2">
        <v>147601.79999999999</v>
      </c>
      <c r="AG93" s="2">
        <v>148193.29999999999</v>
      </c>
      <c r="AH93" s="2">
        <v>148743.1</v>
      </c>
      <c r="AI93" s="2">
        <v>149307.79999999999</v>
      </c>
      <c r="AJ93" s="2">
        <v>149856</v>
      </c>
      <c r="AK93" s="2">
        <v>150388.5</v>
      </c>
      <c r="AL93" s="2">
        <v>150849.20000000001</v>
      </c>
      <c r="AM93" s="2">
        <v>151272.1</v>
      </c>
      <c r="AN93" s="2">
        <v>151701</v>
      </c>
      <c r="AO93" s="2">
        <v>152142.39999999999</v>
      </c>
      <c r="AP93" s="2">
        <v>152537.9</v>
      </c>
      <c r="AQ93" s="2">
        <v>152926.20000000001</v>
      </c>
      <c r="AR93" s="2">
        <v>153311.1</v>
      </c>
      <c r="AS93" s="2">
        <v>153686.1</v>
      </c>
      <c r="AT93" s="2">
        <v>154042.4</v>
      </c>
      <c r="AU93" s="2">
        <v>154402.29999999999</v>
      </c>
      <c r="AV93" s="2">
        <v>154751</v>
      </c>
      <c r="AW93" s="2">
        <v>155096.29999999999</v>
      </c>
      <c r="AX93" s="2">
        <v>155470.20000000001</v>
      </c>
      <c r="AY93" s="2">
        <v>155848.4</v>
      </c>
      <c r="AZ93" s="2">
        <v>156228.29999999999</v>
      </c>
      <c r="BA93" s="2">
        <v>156602.4</v>
      </c>
      <c r="BB93" s="2">
        <v>156983.70000000001</v>
      </c>
      <c r="BC93" s="2">
        <v>157349.5</v>
      </c>
      <c r="BD93" s="2">
        <v>157728.1</v>
      </c>
      <c r="BE93" s="2">
        <v>158121.20000000001</v>
      </c>
      <c r="BF93" s="2">
        <v>158531</v>
      </c>
      <c r="BG93" s="2">
        <v>158936.4</v>
      </c>
      <c r="BH93" s="2">
        <v>159335.5</v>
      </c>
      <c r="BI93" s="2">
        <v>159732</v>
      </c>
      <c r="BJ93" s="2">
        <v>160029.20000000001</v>
      </c>
      <c r="BK93" s="2">
        <v>160337.29999999999</v>
      </c>
      <c r="BL93" s="2">
        <v>160647.29999999999</v>
      </c>
      <c r="BM93" s="2">
        <v>160942.1</v>
      </c>
      <c r="BN93" s="2">
        <v>161221.6</v>
      </c>
      <c r="BO93" s="2">
        <v>161514.9</v>
      </c>
      <c r="BP93" s="2">
        <v>161785.9</v>
      </c>
      <c r="BQ93" s="2">
        <v>162067.9</v>
      </c>
      <c r="BR93" s="2">
        <v>162311.70000000001</v>
      </c>
      <c r="BS93" s="2">
        <v>162563</v>
      </c>
      <c r="BT93" s="2">
        <v>162809.1</v>
      </c>
      <c r="BU93" s="2">
        <v>163067.20000000001</v>
      </c>
      <c r="BV93" s="2">
        <v>163355.5</v>
      </c>
      <c r="BW93" s="2">
        <v>163649.79999999999</v>
      </c>
      <c r="BX93" s="2">
        <v>164033.70000000001</v>
      </c>
      <c r="BY93" s="2">
        <v>164420.6</v>
      </c>
      <c r="BZ93" s="2">
        <v>164807.1</v>
      </c>
      <c r="CA93" s="2">
        <v>165189.29999999999</v>
      </c>
      <c r="CB93" s="2">
        <v>165651.79999999999</v>
      </c>
      <c r="CC93" s="2">
        <v>166132.20000000001</v>
      </c>
      <c r="CD93" s="2">
        <v>166642.29999999999</v>
      </c>
      <c r="CE93" s="2">
        <v>167142.39999999999</v>
      </c>
      <c r="CF93" s="2">
        <v>167658.4</v>
      </c>
      <c r="CG93" s="2">
        <v>168166.39999999999</v>
      </c>
      <c r="CH93" s="2">
        <v>168675.7</v>
      </c>
      <c r="CI93" s="2">
        <v>169182.4</v>
      </c>
      <c r="CJ93" s="2">
        <v>169649.8</v>
      </c>
      <c r="CK93" s="2">
        <v>170116.8</v>
      </c>
      <c r="CL93" s="2">
        <v>170639.2</v>
      </c>
      <c r="CM93" s="2">
        <v>171160.1</v>
      </c>
      <c r="CN93" s="2">
        <v>171678.9</v>
      </c>
      <c r="CO93" s="2">
        <v>172180.7</v>
      </c>
      <c r="CP93" s="2">
        <v>172734.4</v>
      </c>
      <c r="CQ93" s="2">
        <v>173309.3</v>
      </c>
      <c r="CR93" s="2">
        <v>173871.4</v>
      </c>
      <c r="CS93" s="2">
        <v>174429.7</v>
      </c>
      <c r="CT93" s="2">
        <v>175015.6</v>
      </c>
      <c r="CU93" s="2">
        <v>175573.4</v>
      </c>
      <c r="CV93" s="2">
        <v>176161</v>
      </c>
      <c r="CW93" s="2">
        <v>176750.5</v>
      </c>
      <c r="CX93" s="2">
        <v>177408.8</v>
      </c>
      <c r="CY93" s="2">
        <v>178058.6</v>
      </c>
      <c r="CZ93" s="2">
        <v>178712.1</v>
      </c>
      <c r="DA93" s="2">
        <v>179371.5</v>
      </c>
      <c r="DB93" s="2">
        <v>180031.1</v>
      </c>
      <c r="DC93" s="2">
        <v>180676.1</v>
      </c>
      <c r="DD93" s="2">
        <v>181313.7</v>
      </c>
      <c r="DE93" s="2">
        <v>181953.3</v>
      </c>
      <c r="DF93" s="2">
        <v>182583</v>
      </c>
      <c r="DG93" s="2">
        <v>183217.1</v>
      </c>
      <c r="DH93" s="2">
        <v>183843.4</v>
      </c>
      <c r="DI93" s="2">
        <v>184489.3</v>
      </c>
      <c r="DJ93" s="2">
        <v>185136.2</v>
      </c>
      <c r="DK93" s="2">
        <v>185778.5</v>
      </c>
      <c r="DL93" s="2">
        <v>186400.7</v>
      </c>
      <c r="DM93" s="2">
        <v>186985.9</v>
      </c>
      <c r="DN93" s="2">
        <v>187595.4</v>
      </c>
      <c r="DO93" s="2">
        <v>188209.9</v>
      </c>
      <c r="DP93" s="2">
        <v>188815.4</v>
      </c>
      <c r="DQ93" s="2">
        <v>189400.4</v>
      </c>
      <c r="DR93" s="2">
        <v>189950.6</v>
      </c>
      <c r="DS93" s="2">
        <v>190547.7</v>
      </c>
      <c r="DT93" s="2">
        <v>191133.3</v>
      </c>
      <c r="DU93" s="2">
        <v>191706</v>
      </c>
      <c r="DV93" s="2">
        <v>192249</v>
      </c>
      <c r="DW93" s="2">
        <v>192759</v>
      </c>
      <c r="DX93" s="2">
        <v>193205.9</v>
      </c>
      <c r="DY93" s="2">
        <v>193801.2</v>
      </c>
      <c r="DZ93" s="2">
        <v>194398.1</v>
      </c>
      <c r="EA93" s="2">
        <v>194963.20000000001</v>
      </c>
      <c r="EB93" s="2">
        <v>195547.8</v>
      </c>
      <c r="EC93" s="2">
        <v>196119.4</v>
      </c>
      <c r="ED93" s="2">
        <v>196716.79999999999</v>
      </c>
      <c r="EE93" s="2">
        <v>197305.2</v>
      </c>
      <c r="EF93" s="2">
        <v>197911.3</v>
      </c>
      <c r="EG93" s="2">
        <v>198523.8</v>
      </c>
      <c r="EH93" s="2">
        <v>199095</v>
      </c>
      <c r="EI93" s="2">
        <v>199699.20000000001</v>
      </c>
      <c r="EJ93" s="2">
        <v>200291.3</v>
      </c>
      <c r="EK93" s="2">
        <v>200876.4</v>
      </c>
      <c r="EL93" s="2">
        <v>201380.4</v>
      </c>
      <c r="EM93" s="2">
        <v>201900.1</v>
      </c>
      <c r="EN93" s="2">
        <v>202397.7</v>
      </c>
      <c r="EO93" s="2">
        <v>202909.9</v>
      </c>
      <c r="EP93" s="2">
        <v>203338.6</v>
      </c>
      <c r="EQ93" s="2">
        <v>203765.4</v>
      </c>
      <c r="ER93" s="2">
        <v>204179.6</v>
      </c>
      <c r="ES93" s="2">
        <v>204591.3</v>
      </c>
      <c r="ET93" s="2">
        <v>205006.3</v>
      </c>
      <c r="EU93" s="2">
        <v>205418.1</v>
      </c>
      <c r="EV93" s="2">
        <v>205829.8</v>
      </c>
      <c r="EW93" s="2">
        <v>206233.7</v>
      </c>
      <c r="EX93" s="2">
        <v>206648.3</v>
      </c>
      <c r="EY93" s="2">
        <v>207059.9</v>
      </c>
      <c r="EZ93" s="2">
        <v>207453.6</v>
      </c>
      <c r="FA93" s="2">
        <v>207805.1</v>
      </c>
      <c r="FB93" s="2">
        <v>208207.6</v>
      </c>
      <c r="FC93" s="2">
        <v>208602.8</v>
      </c>
      <c r="FD93" s="2">
        <v>209001.2</v>
      </c>
      <c r="FE93" s="2">
        <v>209401.8</v>
      </c>
      <c r="FF93" s="2">
        <v>209578.8</v>
      </c>
      <c r="FG93" s="2">
        <v>209778</v>
      </c>
      <c r="FH93" s="2">
        <v>209972</v>
      </c>
      <c r="FI93" s="2">
        <v>210159.9</v>
      </c>
      <c r="FJ93" s="2">
        <v>210399.7</v>
      </c>
      <c r="FK93" s="2">
        <v>210615.3</v>
      </c>
      <c r="FL93" s="2">
        <v>210835.8</v>
      </c>
      <c r="FM93" s="2">
        <v>211070.7</v>
      </c>
      <c r="FN93" s="2">
        <v>211319.9</v>
      </c>
      <c r="FO93" s="2">
        <v>211579.6</v>
      </c>
      <c r="FP93" s="2">
        <v>211831.5</v>
      </c>
      <c r="FQ93" s="2">
        <v>212087.7</v>
      </c>
      <c r="FR93" s="2">
        <v>212373.7</v>
      </c>
      <c r="FS93" s="2">
        <v>212647.3</v>
      </c>
      <c r="FT93" s="2">
        <v>212916.5</v>
      </c>
      <c r="FU93" s="2">
        <v>213185.9</v>
      </c>
      <c r="FV93" s="2">
        <v>213432.2</v>
      </c>
      <c r="FW93" s="2">
        <v>213679.7</v>
      </c>
      <c r="FX93" s="2">
        <v>213933.2</v>
      </c>
      <c r="FY93" s="2">
        <v>214164.6</v>
      </c>
      <c r="FZ93" s="2">
        <v>214356.5</v>
      </c>
      <c r="GA93" s="2">
        <v>214543.6</v>
      </c>
      <c r="GB93" s="2">
        <v>214708.4</v>
      </c>
      <c r="GC93" s="2">
        <v>214869.9</v>
      </c>
      <c r="GD93" s="2">
        <v>214994.8</v>
      </c>
      <c r="GE93" s="2">
        <v>215105.8</v>
      </c>
      <c r="GF93" s="2">
        <v>215216.1</v>
      </c>
      <c r="GG93" s="2">
        <v>215320.5</v>
      </c>
      <c r="GH93" s="2">
        <v>215402.1</v>
      </c>
      <c r="GI93" s="2">
        <v>215477.3</v>
      </c>
      <c r="GJ93" s="2">
        <v>215543.1</v>
      </c>
      <c r="GK93" s="2">
        <v>215617.5</v>
      </c>
      <c r="GL93" s="2">
        <v>215697.2</v>
      </c>
      <c r="GM93" s="2">
        <v>215763.4</v>
      </c>
      <c r="GN93" s="2">
        <v>215789.5</v>
      </c>
      <c r="GO93" s="2">
        <v>215743</v>
      </c>
      <c r="GP93" s="2">
        <v>215673.8</v>
      </c>
      <c r="GQ93" s="2">
        <v>215574.6</v>
      </c>
      <c r="GR93" s="2">
        <v>215501.2</v>
      </c>
      <c r="GS93" s="2">
        <v>215541.7</v>
      </c>
      <c r="GT93" s="2">
        <v>215524.5</v>
      </c>
      <c r="GU93" s="2">
        <v>215581.3</v>
      </c>
      <c r="GV93" s="2">
        <v>215625.3</v>
      </c>
      <c r="GW93" s="3">
        <v>215730.9</v>
      </c>
      <c r="GX93" s="3">
        <v>215826.8</v>
      </c>
      <c r="GY93" s="3">
        <v>215944.2</v>
      </c>
      <c r="GZ93" s="3">
        <v>216072.1</v>
      </c>
      <c r="HA93" s="3">
        <v>216168</v>
      </c>
      <c r="HB93" s="3">
        <v>216258.3</v>
      </c>
      <c r="HC93" s="3">
        <v>216368.2</v>
      </c>
      <c r="HD93" s="3">
        <v>216497.7</v>
      </c>
      <c r="HE93" s="3">
        <v>216635.8</v>
      </c>
      <c r="HF93" s="3">
        <v>216752.9</v>
      </c>
      <c r="HG93" s="3">
        <v>216864.3</v>
      </c>
      <c r="HH93" s="3">
        <v>216970.8</v>
      </c>
      <c r="HI93" s="3">
        <v>217048.8</v>
      </c>
      <c r="HJ93" s="3">
        <v>217096</v>
      </c>
      <c r="HK93" s="3">
        <v>217136.5</v>
      </c>
      <c r="HL93" s="3">
        <v>217171.6</v>
      </c>
      <c r="HM93" s="3">
        <v>217200.1</v>
      </c>
      <c r="HN93" s="3">
        <v>217222.3</v>
      </c>
      <c r="HO93" s="3">
        <v>217237.5</v>
      </c>
      <c r="HP93" s="3">
        <v>217239</v>
      </c>
      <c r="HQ93" s="3">
        <v>217235.5</v>
      </c>
      <c r="HR93" s="3">
        <v>217245.6</v>
      </c>
      <c r="HS93" s="3">
        <v>217253.5</v>
      </c>
      <c r="HT93" s="3">
        <v>217261.6</v>
      </c>
      <c r="HU93" s="3">
        <v>217270.2</v>
      </c>
      <c r="HV93" s="3">
        <v>217305.2</v>
      </c>
      <c r="HW93" s="3">
        <v>217343</v>
      </c>
      <c r="HX93" s="3">
        <v>217387.9</v>
      </c>
      <c r="HY93" s="3">
        <v>217436.7</v>
      </c>
      <c r="HZ93" s="3">
        <v>217537.9</v>
      </c>
      <c r="IA93" s="3">
        <v>217643.1</v>
      </c>
      <c r="IB93" s="3">
        <v>217748.1</v>
      </c>
      <c r="IC93" s="3">
        <v>217859.1</v>
      </c>
      <c r="ID93" s="3">
        <v>218027.5</v>
      </c>
      <c r="IE93" s="3">
        <v>218202.9</v>
      </c>
      <c r="IF93" s="3">
        <v>218385.4</v>
      </c>
      <c r="IG93" s="3">
        <v>218566.1</v>
      </c>
      <c r="IH93" s="3">
        <v>218751.3</v>
      </c>
      <c r="II93" s="3">
        <v>218935.7</v>
      </c>
      <c r="IJ93" s="3">
        <v>219119</v>
      </c>
      <c r="IK93" s="3">
        <v>219301.4</v>
      </c>
      <c r="IL93" s="3">
        <v>219481.9</v>
      </c>
      <c r="IM93" s="3">
        <v>219661.4</v>
      </c>
      <c r="IN93" s="3">
        <v>219840</v>
      </c>
      <c r="IO93" s="3">
        <v>220017.6</v>
      </c>
      <c r="IP93" s="3">
        <v>220166.9</v>
      </c>
      <c r="IQ93" s="3">
        <v>220315.3</v>
      </c>
      <c r="IR93" s="3">
        <v>220462.6</v>
      </c>
      <c r="IS93" s="3">
        <v>220608.8</v>
      </c>
      <c r="IT93" s="3">
        <v>220720.9</v>
      </c>
      <c r="IU93" s="3">
        <v>220831.6</v>
      </c>
      <c r="IV93" s="3">
        <v>220940.9</v>
      </c>
      <c r="IW93" s="3">
        <v>221048.7</v>
      </c>
      <c r="IX93" s="3">
        <v>221130</v>
      </c>
      <c r="IY93" s="3">
        <v>221209.5</v>
      </c>
      <c r="IZ93" s="3">
        <v>221287.1</v>
      </c>
      <c r="JA93" s="3">
        <v>221362.8</v>
      </c>
      <c r="JB93" s="3">
        <v>221530.1</v>
      </c>
      <c r="JC93" s="3">
        <v>221695.6</v>
      </c>
      <c r="JD93" s="3">
        <v>221859.20000000001</v>
      </c>
      <c r="JE93" s="3">
        <v>222021</v>
      </c>
      <c r="JF93" s="3">
        <v>222232.2</v>
      </c>
      <c r="JG93" s="3">
        <v>222441.60000000001</v>
      </c>
      <c r="JH93" s="3">
        <v>222649.2</v>
      </c>
      <c r="JI93" s="3">
        <v>222855.2</v>
      </c>
      <c r="JJ93" s="3">
        <v>223058.9</v>
      </c>
      <c r="JK93" s="3">
        <v>223261</v>
      </c>
      <c r="JL93" s="3">
        <v>223461.4</v>
      </c>
      <c r="JM93" s="3">
        <v>223660.1</v>
      </c>
      <c r="JN93" s="3">
        <v>223860.8</v>
      </c>
      <c r="JO93" s="3">
        <v>224059.9</v>
      </c>
      <c r="JP93" s="3">
        <v>224257.5</v>
      </c>
      <c r="JQ93" s="3">
        <v>224453.6</v>
      </c>
      <c r="JR93" s="3">
        <v>224668.9</v>
      </c>
      <c r="JS93" s="3">
        <v>224882.7</v>
      </c>
      <c r="JT93" s="3">
        <v>225095</v>
      </c>
      <c r="JU93" s="3">
        <v>225306</v>
      </c>
      <c r="JV93" s="3">
        <v>225495.3</v>
      </c>
      <c r="JW93" s="3">
        <v>225683.4</v>
      </c>
      <c r="JX93" s="3">
        <v>225870.2</v>
      </c>
      <c r="JY93" s="3">
        <v>226055.7</v>
      </c>
      <c r="JZ93" s="3">
        <v>226238.7</v>
      </c>
      <c r="KA93" s="3">
        <v>226420.6</v>
      </c>
      <c r="KB93" s="3">
        <v>226601.4</v>
      </c>
      <c r="KC93" s="3">
        <v>226781</v>
      </c>
      <c r="KD93" s="3">
        <v>226948.1</v>
      </c>
      <c r="KE93" s="3">
        <v>227114.3</v>
      </c>
      <c r="KF93" s="3">
        <v>227279.6</v>
      </c>
      <c r="KG93" s="3">
        <v>227443.9</v>
      </c>
      <c r="KH93" s="3">
        <v>227576.8</v>
      </c>
      <c r="KI93" s="3">
        <v>227708.9</v>
      </c>
      <c r="KJ93" s="3">
        <v>227840.2</v>
      </c>
      <c r="KK93" s="3">
        <v>227970.8</v>
      </c>
      <c r="KL93" s="3">
        <v>228103.2</v>
      </c>
      <c r="KM93" s="3">
        <v>228235.1</v>
      </c>
      <c r="KN93" s="3">
        <v>228366.4</v>
      </c>
      <c r="KO93" s="3">
        <v>228497</v>
      </c>
      <c r="KP93" s="3">
        <v>228619.5</v>
      </c>
      <c r="KQ93" s="3">
        <v>228741.5</v>
      </c>
      <c r="KR93" s="3">
        <v>228863.1</v>
      </c>
      <c r="KS93" s="3">
        <v>228984.1</v>
      </c>
      <c r="KT93" s="3">
        <v>229107.8</v>
      </c>
      <c r="KU93" s="3">
        <v>229231.2</v>
      </c>
      <c r="KV93" s="3">
        <v>229354.2</v>
      </c>
      <c r="KW93" s="3">
        <v>229476.8</v>
      </c>
      <c r="KX93" s="3">
        <v>229616.5</v>
      </c>
      <c r="KY93" s="3">
        <v>229755.9</v>
      </c>
      <c r="KZ93" s="3">
        <v>229895.2</v>
      </c>
      <c r="LA93" s="3">
        <v>230034.3</v>
      </c>
      <c r="LB93" s="3">
        <v>230152.8</v>
      </c>
      <c r="LC93" s="3">
        <v>230271.2</v>
      </c>
      <c r="LD93" s="3">
        <v>230389.4</v>
      </c>
      <c r="LE93" s="3">
        <v>230507.4</v>
      </c>
      <c r="LF93" s="3">
        <v>230621.7</v>
      </c>
      <c r="LG93" s="3">
        <v>230735.8</v>
      </c>
      <c r="LH93" s="3">
        <v>230850.1</v>
      </c>
      <c r="LI93" s="3">
        <v>230964.6</v>
      </c>
      <c r="LJ93" s="3">
        <v>231076.5</v>
      </c>
      <c r="LK93" s="3">
        <v>231188.6</v>
      </c>
      <c r="LL93" s="3">
        <v>231301</v>
      </c>
      <c r="LM93" s="3">
        <v>231413.7</v>
      </c>
      <c r="LN93" s="3">
        <v>231510.2</v>
      </c>
      <c r="LO93" s="3">
        <v>231607</v>
      </c>
      <c r="LP93" s="3">
        <v>231704.1</v>
      </c>
      <c r="LQ93" s="3">
        <v>231801.5</v>
      </c>
      <c r="LR93" s="3">
        <v>231875.5</v>
      </c>
      <c r="LS93" s="3">
        <v>231949.9</v>
      </c>
      <c r="LT93" s="3">
        <v>232024.7</v>
      </c>
      <c r="LU93" s="3">
        <v>232099.8</v>
      </c>
      <c r="LV93" s="3">
        <v>232139.7</v>
      </c>
      <c r="LW93" s="3">
        <v>232180</v>
      </c>
      <c r="LX93" s="3">
        <v>232220.79999999999</v>
      </c>
      <c r="LY93" s="3">
        <v>232261.9</v>
      </c>
      <c r="LZ93" s="3">
        <v>232299.9</v>
      </c>
      <c r="MA93" s="3">
        <v>232338.3</v>
      </c>
      <c r="MB93" s="3">
        <v>232377.2</v>
      </c>
      <c r="MC93" s="3">
        <v>232416.4</v>
      </c>
      <c r="MD93" s="3">
        <v>232463.9</v>
      </c>
      <c r="ME93" s="3">
        <v>232511.8</v>
      </c>
      <c r="MF93" s="3">
        <v>232560.1</v>
      </c>
      <c r="MG93" s="3">
        <v>232608.8</v>
      </c>
      <c r="MH93" s="3">
        <v>232672.7</v>
      </c>
      <c r="MI93" s="3">
        <v>232737</v>
      </c>
      <c r="MJ93" s="3">
        <v>232801.8</v>
      </c>
      <c r="MK93" s="3">
        <v>232866.9</v>
      </c>
      <c r="ML93" s="3">
        <v>232939.5</v>
      </c>
      <c r="MM93" s="3">
        <v>233012.4</v>
      </c>
      <c r="MN93" s="3">
        <v>233085.7</v>
      </c>
      <c r="MO93" s="3">
        <v>233159.4</v>
      </c>
      <c r="MP93" s="3">
        <v>233244.2</v>
      </c>
      <c r="MQ93" s="3">
        <v>233329.3</v>
      </c>
      <c r="MR93" s="3">
        <v>233414.8</v>
      </c>
      <c r="MS93" s="3">
        <v>233500.5</v>
      </c>
      <c r="MT93" s="3">
        <v>233586.6</v>
      </c>
      <c r="MU93" t="s">
        <v>487</v>
      </c>
      <c r="MV93" t="b">
        <v>0</v>
      </c>
      <c r="MW93" t="s">
        <v>377</v>
      </c>
      <c r="MX93" t="s">
        <v>377</v>
      </c>
      <c r="MY93">
        <v>2022</v>
      </c>
      <c r="MZ93">
        <v>2</v>
      </c>
      <c r="NA93" t="s">
        <v>377</v>
      </c>
      <c r="NB93" s="1" t="s">
        <v>488</v>
      </c>
      <c r="NC93" s="1" t="s">
        <v>489</v>
      </c>
      <c r="ND93" t="s">
        <v>389</v>
      </c>
      <c r="NE93" s="1" t="s">
        <v>486</v>
      </c>
      <c r="NF93" s="1" t="s">
        <v>528</v>
      </c>
    </row>
    <row r="94" spans="1:370" x14ac:dyDescent="0.25">
      <c r="A94" t="s">
        <v>370</v>
      </c>
      <c r="B94" t="s">
        <v>490</v>
      </c>
      <c r="C94" s="1" t="s">
        <v>527</v>
      </c>
      <c r="D94" t="s">
        <v>372</v>
      </c>
      <c r="E94" t="s">
        <v>373</v>
      </c>
      <c r="F94" t="s">
        <v>374</v>
      </c>
      <c r="G94" s="2">
        <v>1059724</v>
      </c>
      <c r="H94" s="2">
        <v>1069549</v>
      </c>
      <c r="I94" s="2">
        <v>1079374</v>
      </c>
      <c r="J94" s="2">
        <v>1089199</v>
      </c>
      <c r="K94" s="2">
        <v>1096685</v>
      </c>
      <c r="L94" s="2">
        <v>1104171</v>
      </c>
      <c r="M94" s="2">
        <v>1111657</v>
      </c>
      <c r="N94" s="2">
        <v>1119143</v>
      </c>
      <c r="O94" s="2">
        <v>1126434</v>
      </c>
      <c r="P94" s="2">
        <v>1133725</v>
      </c>
      <c r="Q94" s="2">
        <v>1141016</v>
      </c>
      <c r="R94" s="2">
        <v>1148307</v>
      </c>
      <c r="S94" s="2">
        <v>1155052</v>
      </c>
      <c r="T94" s="2">
        <v>1161797</v>
      </c>
      <c r="U94" s="2">
        <v>1168542</v>
      </c>
      <c r="V94" s="2">
        <v>1175287</v>
      </c>
      <c r="W94" s="2">
        <v>1181448</v>
      </c>
      <c r="X94" s="2">
        <v>1187608</v>
      </c>
      <c r="Y94" s="2">
        <v>1193768</v>
      </c>
      <c r="Z94" s="2">
        <v>1199928</v>
      </c>
      <c r="AA94" s="2">
        <v>1207570</v>
      </c>
      <c r="AB94" s="2">
        <v>1215212</v>
      </c>
      <c r="AC94" s="2">
        <v>1222854</v>
      </c>
      <c r="AD94" s="2">
        <v>1230496</v>
      </c>
      <c r="AE94" s="2">
        <v>1236422</v>
      </c>
      <c r="AF94" s="2">
        <v>1242348</v>
      </c>
      <c r="AG94" s="2">
        <v>1248275</v>
      </c>
      <c r="AH94" s="2">
        <v>1254201</v>
      </c>
      <c r="AI94" s="2">
        <v>1258841</v>
      </c>
      <c r="AJ94" s="2">
        <v>1263481</v>
      </c>
      <c r="AK94" s="2">
        <v>1268120</v>
      </c>
      <c r="AL94" s="2">
        <v>1272760</v>
      </c>
      <c r="AM94" s="2">
        <v>1274943</v>
      </c>
      <c r="AN94" s="2">
        <v>1277127</v>
      </c>
      <c r="AO94" s="2">
        <v>1279310</v>
      </c>
      <c r="AP94" s="2">
        <v>1281494</v>
      </c>
      <c r="AQ94" s="2">
        <v>1284379</v>
      </c>
      <c r="AR94" s="2">
        <v>1287264</v>
      </c>
      <c r="AS94" s="2">
        <v>1290149</v>
      </c>
      <c r="AT94" s="2">
        <v>1293034</v>
      </c>
      <c r="AU94" s="2">
        <v>1296465</v>
      </c>
      <c r="AV94" s="2">
        <v>1299896</v>
      </c>
      <c r="AW94" s="2">
        <v>1303327</v>
      </c>
      <c r="AX94" s="2">
        <v>1306758</v>
      </c>
      <c r="AY94" s="2">
        <v>1312997</v>
      </c>
      <c r="AZ94" s="2">
        <v>1319235</v>
      </c>
      <c r="BA94" s="2">
        <v>1325473</v>
      </c>
      <c r="BB94" s="2">
        <v>1331712</v>
      </c>
      <c r="BC94" s="2">
        <v>1338418</v>
      </c>
      <c r="BD94" s="2">
        <v>1345124</v>
      </c>
      <c r="BE94" s="2">
        <v>1351830</v>
      </c>
      <c r="BF94" s="2">
        <v>1358536</v>
      </c>
      <c r="BG94" s="2">
        <v>1363956</v>
      </c>
      <c r="BH94" s="2">
        <v>1369375</v>
      </c>
      <c r="BI94" s="2">
        <v>1374794</v>
      </c>
      <c r="BJ94" s="2">
        <v>1380214</v>
      </c>
      <c r="BK94" s="2">
        <v>1387973</v>
      </c>
      <c r="BL94" s="2">
        <v>1395732</v>
      </c>
      <c r="BM94" s="2">
        <v>1403490</v>
      </c>
      <c r="BN94" s="2">
        <v>1411249</v>
      </c>
      <c r="BO94" s="2">
        <v>1422400</v>
      </c>
      <c r="BP94" s="2">
        <v>1433551</v>
      </c>
      <c r="BQ94" s="2">
        <v>1444702</v>
      </c>
      <c r="BR94" s="2">
        <v>1455853</v>
      </c>
      <c r="BS94" s="2">
        <v>1469148</v>
      </c>
      <c r="BT94" s="2">
        <v>1482443</v>
      </c>
      <c r="BU94" s="2">
        <v>1495739</v>
      </c>
      <c r="BV94" s="2">
        <v>1509034</v>
      </c>
      <c r="BW94" s="2">
        <v>1523928</v>
      </c>
      <c r="BX94" s="2">
        <v>1538822</v>
      </c>
      <c r="BY94" s="2">
        <v>1553715</v>
      </c>
      <c r="BZ94" s="2">
        <v>1568609</v>
      </c>
      <c r="CA94" s="2">
        <v>1581320</v>
      </c>
      <c r="CB94" s="2">
        <v>1594030</v>
      </c>
      <c r="CC94" s="2">
        <v>1606740</v>
      </c>
      <c r="CD94" s="2">
        <v>1619451</v>
      </c>
      <c r="CE94" s="2">
        <v>1627093</v>
      </c>
      <c r="CF94" s="2">
        <v>1634735</v>
      </c>
      <c r="CG94" s="2">
        <v>1642377</v>
      </c>
      <c r="CH94" s="2">
        <v>1650018</v>
      </c>
      <c r="CI94" s="2">
        <v>1657777</v>
      </c>
      <c r="CJ94" s="2">
        <v>1665536</v>
      </c>
      <c r="CK94" s="2">
        <v>1673295</v>
      </c>
      <c r="CL94" s="2">
        <v>1681054</v>
      </c>
      <c r="CM94" s="2">
        <v>1690294</v>
      </c>
      <c r="CN94" s="2">
        <v>1699535</v>
      </c>
      <c r="CO94" s="2">
        <v>1708775</v>
      </c>
      <c r="CP94" s="2">
        <v>1718015</v>
      </c>
      <c r="CQ94" s="2">
        <v>1728542</v>
      </c>
      <c r="CR94" s="2">
        <v>1739070</v>
      </c>
      <c r="CS94" s="2">
        <v>1749597</v>
      </c>
      <c r="CT94" s="2">
        <v>1760124</v>
      </c>
      <c r="CU94" s="2">
        <v>1770924</v>
      </c>
      <c r="CV94" s="2">
        <v>1781724</v>
      </c>
      <c r="CW94" s="2">
        <v>1792524</v>
      </c>
      <c r="CX94" s="2">
        <v>1803324</v>
      </c>
      <c r="CY94" s="2">
        <v>1817243</v>
      </c>
      <c r="CZ94" s="2">
        <v>1831162</v>
      </c>
      <c r="DA94" s="2">
        <v>1845081</v>
      </c>
      <c r="DB94" s="2">
        <v>1859000</v>
      </c>
      <c r="DC94" s="2">
        <v>1878500</v>
      </c>
      <c r="DD94" s="2">
        <v>1898000</v>
      </c>
      <c r="DE94" s="2">
        <v>1917500</v>
      </c>
      <c r="DF94" s="2">
        <v>1937000</v>
      </c>
      <c r="DG94" s="2">
        <v>1955250</v>
      </c>
      <c r="DH94" s="2">
        <v>1973500</v>
      </c>
      <c r="DI94" s="2">
        <v>1991750</v>
      </c>
      <c r="DJ94" s="2">
        <v>2010000</v>
      </c>
      <c r="DK94" s="2">
        <v>2031000</v>
      </c>
      <c r="DL94" s="2">
        <v>2052000</v>
      </c>
      <c r="DM94" s="2">
        <v>2073000</v>
      </c>
      <c r="DN94" s="2">
        <v>2094000</v>
      </c>
      <c r="DO94" s="2">
        <v>2112500</v>
      </c>
      <c r="DP94" s="2">
        <v>2131000</v>
      </c>
      <c r="DQ94" s="2">
        <v>2149500</v>
      </c>
      <c r="DR94" s="2">
        <v>2168000</v>
      </c>
      <c r="DS94" s="2">
        <v>2183500</v>
      </c>
      <c r="DT94" s="2">
        <v>2199000</v>
      </c>
      <c r="DU94" s="2">
        <v>2214500</v>
      </c>
      <c r="DV94" s="2">
        <v>2230000</v>
      </c>
      <c r="DW94" s="2">
        <v>2243250</v>
      </c>
      <c r="DX94" s="2">
        <v>2256500</v>
      </c>
      <c r="DY94" s="2">
        <v>2269750</v>
      </c>
      <c r="DZ94" s="2">
        <v>2283000</v>
      </c>
      <c r="EA94" s="2">
        <v>2297000</v>
      </c>
      <c r="EB94" s="2">
        <v>2311000</v>
      </c>
      <c r="EC94" s="2">
        <v>2325000</v>
      </c>
      <c r="ED94" s="2">
        <v>2339000</v>
      </c>
      <c r="EE94" s="2">
        <v>2354500</v>
      </c>
      <c r="EF94" s="2">
        <v>2370000</v>
      </c>
      <c r="EG94" s="2">
        <v>2385500</v>
      </c>
      <c r="EH94" s="2">
        <v>2401000</v>
      </c>
      <c r="EI94" s="2">
        <v>2418000</v>
      </c>
      <c r="EJ94" s="2">
        <v>2435000</v>
      </c>
      <c r="EK94" s="2">
        <v>2452000</v>
      </c>
      <c r="EL94" s="2">
        <v>2469000</v>
      </c>
      <c r="EM94" s="2">
        <v>2490000</v>
      </c>
      <c r="EN94" s="2">
        <v>2511000</v>
      </c>
      <c r="EO94" s="2">
        <v>2532000</v>
      </c>
      <c r="EP94" s="2">
        <v>2553000</v>
      </c>
      <c r="EQ94" s="2">
        <v>2570000</v>
      </c>
      <c r="ER94" s="2">
        <v>2587000</v>
      </c>
      <c r="ES94" s="2">
        <v>2604000</v>
      </c>
      <c r="ET94" s="2">
        <v>2621000</v>
      </c>
      <c r="EU94" s="2">
        <v>2627250</v>
      </c>
      <c r="EV94" s="2">
        <v>2633500</v>
      </c>
      <c r="EW94" s="2">
        <v>2639750</v>
      </c>
      <c r="EX94" s="2">
        <v>2646000</v>
      </c>
      <c r="EY94" s="2">
        <v>2654000</v>
      </c>
      <c r="EZ94" s="2">
        <v>2662000</v>
      </c>
      <c r="FA94" s="2">
        <v>2670000</v>
      </c>
      <c r="FB94" s="2">
        <v>2678000</v>
      </c>
      <c r="FC94" s="2">
        <v>2685500</v>
      </c>
      <c r="FD94" s="2">
        <v>2693000</v>
      </c>
      <c r="FE94" s="2">
        <v>2700500</v>
      </c>
      <c r="FF94" s="2">
        <v>2708000</v>
      </c>
      <c r="FG94" s="2">
        <v>2716000</v>
      </c>
      <c r="FH94" s="2">
        <v>2724000</v>
      </c>
      <c r="FI94" s="2">
        <v>2732000</v>
      </c>
      <c r="FJ94" s="2">
        <v>2740000</v>
      </c>
      <c r="FK94" s="2">
        <v>2749250</v>
      </c>
      <c r="FL94" s="2">
        <v>2758500</v>
      </c>
      <c r="FM94" s="2">
        <v>2767750</v>
      </c>
      <c r="FN94" s="2">
        <v>2777000</v>
      </c>
      <c r="FO94" s="2">
        <v>2789750</v>
      </c>
      <c r="FP94" s="2">
        <v>2802500</v>
      </c>
      <c r="FQ94" s="2">
        <v>2815250</v>
      </c>
      <c r="FR94" s="2">
        <v>2828000</v>
      </c>
      <c r="FS94" s="2">
        <v>2844250</v>
      </c>
      <c r="FT94" s="2">
        <v>2860500</v>
      </c>
      <c r="FU94" s="2">
        <v>2876750</v>
      </c>
      <c r="FV94" s="2">
        <v>2893000</v>
      </c>
      <c r="FW94" s="2">
        <v>2911750</v>
      </c>
      <c r="FX94" s="2">
        <v>2930500</v>
      </c>
      <c r="FY94" s="2">
        <v>2949250</v>
      </c>
      <c r="FZ94" s="2">
        <v>2968000</v>
      </c>
      <c r="GA94" s="2">
        <v>2985500</v>
      </c>
      <c r="GB94" s="2">
        <v>3003000</v>
      </c>
      <c r="GC94" s="2">
        <v>3020500</v>
      </c>
      <c r="GD94" s="2">
        <v>3038000</v>
      </c>
      <c r="GE94" s="2">
        <v>3052750</v>
      </c>
      <c r="GF94" s="2">
        <v>3067500</v>
      </c>
      <c r="GG94" s="2">
        <v>3082250</v>
      </c>
      <c r="GH94" s="2">
        <v>3097000</v>
      </c>
      <c r="GI94" s="2">
        <v>3111500</v>
      </c>
      <c r="GJ94" s="2">
        <v>3126000</v>
      </c>
      <c r="GK94" s="2">
        <v>3140500</v>
      </c>
      <c r="GL94" s="2">
        <v>3155000</v>
      </c>
      <c r="GM94" s="2">
        <v>3160000</v>
      </c>
      <c r="GN94" s="2">
        <v>3165000</v>
      </c>
      <c r="GO94" s="2">
        <v>3170000</v>
      </c>
      <c r="GP94" s="2">
        <v>3175000</v>
      </c>
      <c r="GQ94" s="2">
        <v>3182750</v>
      </c>
      <c r="GR94" s="2">
        <v>3190500</v>
      </c>
      <c r="GS94" s="2">
        <v>3198250</v>
      </c>
      <c r="GT94" s="2">
        <v>3206000</v>
      </c>
      <c r="GU94" s="2">
        <v>3218250</v>
      </c>
      <c r="GV94" s="2">
        <v>3230500</v>
      </c>
      <c r="GW94" s="2">
        <v>3242750</v>
      </c>
      <c r="GX94" s="2">
        <v>3255000</v>
      </c>
      <c r="GY94" s="2">
        <v>3266250</v>
      </c>
      <c r="GZ94" s="2">
        <v>3277500</v>
      </c>
      <c r="HA94" s="2">
        <v>3288750</v>
      </c>
      <c r="HB94" s="2">
        <v>3300000</v>
      </c>
      <c r="HC94" s="3">
        <v>3310266</v>
      </c>
      <c r="HD94" s="3">
        <v>3321589</v>
      </c>
      <c r="HE94" s="3">
        <v>3334717</v>
      </c>
      <c r="HF94" s="3">
        <v>3344673</v>
      </c>
      <c r="HG94" s="3">
        <v>3354482</v>
      </c>
      <c r="HH94" s="3">
        <v>3364602</v>
      </c>
      <c r="HI94" s="3">
        <v>3375331</v>
      </c>
      <c r="HJ94" s="3">
        <v>3386592</v>
      </c>
      <c r="HK94" s="3">
        <v>3398328</v>
      </c>
      <c r="HL94" s="3">
        <v>3410545</v>
      </c>
      <c r="HM94" s="3">
        <v>3423176</v>
      </c>
      <c r="HN94" s="3">
        <v>3436137</v>
      </c>
      <c r="HO94" s="3">
        <v>3449279</v>
      </c>
      <c r="HP94" s="3">
        <v>3462540</v>
      </c>
      <c r="HQ94" s="3">
        <v>3475938</v>
      </c>
      <c r="HR94" s="3">
        <v>3489390</v>
      </c>
      <c r="HS94" s="3">
        <v>3502903</v>
      </c>
      <c r="HT94" s="3">
        <v>3516455</v>
      </c>
      <c r="HU94" s="3">
        <v>3530038</v>
      </c>
      <c r="HV94" s="3">
        <v>3543667</v>
      </c>
      <c r="HW94" s="3">
        <v>3557376</v>
      </c>
      <c r="HX94" s="3">
        <v>3571172</v>
      </c>
      <c r="HY94" s="3">
        <v>3585056</v>
      </c>
      <c r="HZ94" s="3">
        <v>3599029</v>
      </c>
      <c r="IA94" s="3">
        <v>3613097</v>
      </c>
      <c r="IB94" s="3">
        <v>3627312</v>
      </c>
      <c r="IC94" s="3">
        <v>3641710</v>
      </c>
      <c r="ID94" s="3">
        <v>3656340</v>
      </c>
      <c r="IE94" s="3">
        <v>3671201</v>
      </c>
      <c r="IF94" s="3">
        <v>3686289</v>
      </c>
      <c r="IG94" s="3">
        <v>3701602</v>
      </c>
      <c r="IH94" s="3">
        <v>3717139</v>
      </c>
      <c r="II94" s="3">
        <v>3732899</v>
      </c>
      <c r="IJ94" s="3">
        <v>3748878</v>
      </c>
      <c r="IK94" s="3">
        <v>3765075</v>
      </c>
      <c r="IL94" s="3">
        <v>3781487</v>
      </c>
      <c r="IM94" s="3">
        <v>3798084</v>
      </c>
      <c r="IN94" s="3">
        <v>3814861</v>
      </c>
      <c r="IO94" s="3">
        <v>3831806</v>
      </c>
      <c r="IP94" s="3">
        <v>3848908</v>
      </c>
      <c r="IQ94" s="3">
        <v>3866184</v>
      </c>
      <c r="IR94" s="3">
        <v>3883613</v>
      </c>
      <c r="IS94" s="3">
        <v>3901190</v>
      </c>
      <c r="IT94" s="3">
        <v>3918902</v>
      </c>
      <c r="IU94" s="3">
        <v>3936759</v>
      </c>
      <c r="IV94" s="3">
        <v>3954761</v>
      </c>
      <c r="IW94" s="3">
        <v>3972905</v>
      </c>
      <c r="IX94" s="3">
        <v>3991193</v>
      </c>
      <c r="IY94" s="3">
        <v>4009631</v>
      </c>
      <c r="IZ94" s="3">
        <v>4028221</v>
      </c>
      <c r="JA94" s="3">
        <v>4046961</v>
      </c>
      <c r="JB94" s="3">
        <v>4065852</v>
      </c>
      <c r="JC94" s="3">
        <v>4084892</v>
      </c>
      <c r="JD94" s="3">
        <v>4104082</v>
      </c>
      <c r="JE94" s="3">
        <v>4123421</v>
      </c>
      <c r="JF94" s="3">
        <v>4142909</v>
      </c>
      <c r="JG94" s="3">
        <v>4162555</v>
      </c>
      <c r="JH94" s="3">
        <v>4182359</v>
      </c>
      <c r="JI94" s="3">
        <v>4202321</v>
      </c>
      <c r="JJ94" s="3">
        <v>4222440</v>
      </c>
      <c r="JK94" s="3">
        <v>4242717</v>
      </c>
      <c r="JL94" s="3">
        <v>4263151</v>
      </c>
      <c r="JM94" s="3">
        <v>4283743</v>
      </c>
      <c r="JN94" s="3">
        <v>4304491</v>
      </c>
      <c r="JO94" s="3">
        <v>4325376</v>
      </c>
      <c r="JP94" s="3">
        <v>4346398</v>
      </c>
      <c r="JQ94" s="3">
        <v>4367556</v>
      </c>
      <c r="JR94" s="3">
        <v>4388851</v>
      </c>
      <c r="JS94" s="3">
        <v>4410268</v>
      </c>
      <c r="JT94" s="3">
        <v>4431806</v>
      </c>
      <c r="JU94" s="3">
        <v>4453467</v>
      </c>
      <c r="JV94" s="3">
        <v>4475249</v>
      </c>
      <c r="JW94" s="3">
        <v>4497154</v>
      </c>
      <c r="JX94" s="3">
        <v>4519180</v>
      </c>
      <c r="JY94" s="3">
        <v>4541329</v>
      </c>
      <c r="JZ94" s="3">
        <v>4563601</v>
      </c>
      <c r="KA94" s="3">
        <v>4585995</v>
      </c>
      <c r="KB94" s="3">
        <v>4608512</v>
      </c>
      <c r="KC94" s="3">
        <v>4631153</v>
      </c>
      <c r="KD94" s="3">
        <v>4653916</v>
      </c>
      <c r="KE94" s="3">
        <v>4676802</v>
      </c>
      <c r="KF94" s="3">
        <v>4699812</v>
      </c>
      <c r="KG94" s="3">
        <v>4722945</v>
      </c>
      <c r="KH94" s="3">
        <v>4746201</v>
      </c>
      <c r="KI94" s="3">
        <v>4769581</v>
      </c>
      <c r="KJ94" s="3">
        <v>4793085</v>
      </c>
      <c r="KK94" s="3">
        <v>4816712</v>
      </c>
      <c r="KL94" s="3">
        <v>4840464</v>
      </c>
      <c r="KM94" s="3">
        <v>4864340</v>
      </c>
      <c r="KN94" s="3">
        <v>4888340</v>
      </c>
      <c r="KO94" s="3">
        <v>4912465</v>
      </c>
      <c r="KP94" s="3">
        <v>4936714</v>
      </c>
      <c r="KQ94" s="3">
        <v>4961087</v>
      </c>
      <c r="KR94" s="3">
        <v>4985586</v>
      </c>
      <c r="KS94" s="3">
        <v>5010211</v>
      </c>
      <c r="KT94" s="3">
        <v>5034960</v>
      </c>
      <c r="KU94" s="3">
        <v>5059836</v>
      </c>
      <c r="KV94" s="3">
        <v>5084837</v>
      </c>
      <c r="KW94" s="3">
        <v>5109964</v>
      </c>
      <c r="KX94" s="3">
        <v>5135217</v>
      </c>
      <c r="KY94" s="3">
        <v>5160597</v>
      </c>
      <c r="KZ94" s="3">
        <v>5186104</v>
      </c>
      <c r="LA94" s="3">
        <v>5211738</v>
      </c>
      <c r="LB94" s="3">
        <v>5237500</v>
      </c>
      <c r="LC94" s="3">
        <v>5263372</v>
      </c>
      <c r="LD94" s="3">
        <v>5289355</v>
      </c>
      <c r="LE94" s="3">
        <v>5315450</v>
      </c>
      <c r="LF94" s="3">
        <v>5341657</v>
      </c>
      <c r="LG94" s="3">
        <v>5367939</v>
      </c>
      <c r="LH94" s="3">
        <v>5394299</v>
      </c>
      <c r="LI94" s="3">
        <v>5420729</v>
      </c>
      <c r="LJ94" s="3">
        <v>5447232</v>
      </c>
      <c r="LK94" s="3">
        <v>5473807</v>
      </c>
      <c r="LL94" s="3">
        <v>5500456</v>
      </c>
      <c r="LM94" s="3">
        <v>5527167</v>
      </c>
      <c r="LN94" s="3">
        <v>5553940</v>
      </c>
      <c r="LO94" s="3">
        <v>5580778</v>
      </c>
      <c r="LP94" s="3">
        <v>5607680</v>
      </c>
      <c r="LQ94" s="3">
        <v>5634647</v>
      </c>
      <c r="LR94" s="3">
        <v>5661680</v>
      </c>
      <c r="LS94" s="3">
        <v>5688779</v>
      </c>
      <c r="LT94" s="3">
        <v>5715946</v>
      </c>
      <c r="LU94" s="3">
        <v>5743175</v>
      </c>
      <c r="LV94" s="3">
        <v>5770467</v>
      </c>
      <c r="LW94" s="3">
        <v>5797823</v>
      </c>
      <c r="LX94" s="3">
        <v>5825242</v>
      </c>
      <c r="LY94" s="3">
        <v>5852722</v>
      </c>
      <c r="LZ94" s="3">
        <v>5880263</v>
      </c>
      <c r="MA94" s="3">
        <v>5907866</v>
      </c>
      <c r="MB94" s="3">
        <v>5935531</v>
      </c>
      <c r="MC94" s="3">
        <v>5963258</v>
      </c>
      <c r="MD94" s="3">
        <v>5991049</v>
      </c>
      <c r="ME94" s="3">
        <v>6018904</v>
      </c>
      <c r="MF94" s="3">
        <v>6046824</v>
      </c>
      <c r="MG94" s="3">
        <v>6074815</v>
      </c>
      <c r="MH94" s="3">
        <v>6102878</v>
      </c>
      <c r="MI94" s="3">
        <v>6131013</v>
      </c>
      <c r="MJ94" s="3">
        <v>6159220</v>
      </c>
      <c r="MK94" s="3">
        <v>6187499</v>
      </c>
      <c r="ML94" s="3">
        <v>6215850</v>
      </c>
      <c r="MM94" s="3">
        <v>6244274</v>
      </c>
      <c r="MN94" s="3">
        <v>6272771</v>
      </c>
      <c r="MO94" s="3">
        <v>6301349</v>
      </c>
      <c r="MP94" s="3">
        <v>6330006</v>
      </c>
      <c r="MQ94" s="3">
        <v>6358745</v>
      </c>
      <c r="MR94" s="3">
        <v>6387565</v>
      </c>
      <c r="MS94" s="3">
        <v>6416468</v>
      </c>
      <c r="MT94" s="3">
        <v>6445453</v>
      </c>
      <c r="MU94" t="s">
        <v>375</v>
      </c>
      <c r="MV94" t="b">
        <v>0</v>
      </c>
      <c r="MW94" s="1" t="s">
        <v>376</v>
      </c>
      <c r="MX94" t="s">
        <v>377</v>
      </c>
      <c r="MY94">
        <v>2023</v>
      </c>
      <c r="MZ94">
        <v>4</v>
      </c>
      <c r="NA94" t="s">
        <v>377</v>
      </c>
      <c r="NB94" s="1" t="s">
        <v>491</v>
      </c>
      <c r="NC94" s="1" t="s">
        <v>492</v>
      </c>
      <c r="ND94" t="s">
        <v>380</v>
      </c>
      <c r="NE94" t="s">
        <v>493</v>
      </c>
      <c r="NF94" s="1" t="s">
        <v>528</v>
      </c>
    </row>
    <row r="95" spans="1:370" x14ac:dyDescent="0.25">
      <c r="A95" t="s">
        <v>382</v>
      </c>
      <c r="B95" t="s">
        <v>490</v>
      </c>
      <c r="C95" s="1" t="s">
        <v>527</v>
      </c>
      <c r="D95" t="s">
        <v>383</v>
      </c>
      <c r="E95" t="s">
        <v>384</v>
      </c>
      <c r="F95" t="s">
        <v>374</v>
      </c>
      <c r="G95" s="2">
        <v>7013.4080000000004</v>
      </c>
      <c r="H95" s="2">
        <v>7090.1989999999996</v>
      </c>
      <c r="I95" s="2">
        <v>7168.2569999999996</v>
      </c>
      <c r="J95" s="2">
        <v>7246</v>
      </c>
      <c r="K95" s="2">
        <v>7318.1</v>
      </c>
      <c r="L95" s="2">
        <v>7390.2</v>
      </c>
      <c r="M95" s="2">
        <v>7462.3</v>
      </c>
      <c r="N95" s="2">
        <v>7534.4</v>
      </c>
      <c r="O95" s="2">
        <v>7583.0249999999996</v>
      </c>
      <c r="P95" s="2">
        <v>7631.65</v>
      </c>
      <c r="Q95" s="2">
        <v>7680.2749999999996</v>
      </c>
      <c r="R95" s="2">
        <v>7728.9</v>
      </c>
      <c r="S95" s="2">
        <v>7781.5249999999996</v>
      </c>
      <c r="T95" s="2">
        <v>7834.15</v>
      </c>
      <c r="U95" s="2">
        <v>7886.7749999999996</v>
      </c>
      <c r="V95" s="2">
        <v>7939.4</v>
      </c>
      <c r="W95" s="2">
        <v>8005.05</v>
      </c>
      <c r="X95" s="2">
        <v>8070.7</v>
      </c>
      <c r="Y95" s="2">
        <v>8136.35</v>
      </c>
      <c r="Z95" s="2">
        <v>8202</v>
      </c>
      <c r="AA95" s="2">
        <v>8287.35</v>
      </c>
      <c r="AB95" s="2">
        <v>8372.7000000000007</v>
      </c>
      <c r="AC95" s="2">
        <v>8458.0499999999993</v>
      </c>
      <c r="AD95" s="2">
        <v>8543.4</v>
      </c>
      <c r="AE95" s="2">
        <v>8641.2250000000004</v>
      </c>
      <c r="AF95" s="2">
        <v>8739.0499999999993</v>
      </c>
      <c r="AG95" s="2">
        <v>8836.875</v>
      </c>
      <c r="AH95" s="2">
        <v>8934.7000000000007</v>
      </c>
      <c r="AI95" s="2">
        <v>9022.0249999999996</v>
      </c>
      <c r="AJ95" s="2">
        <v>9109.35</v>
      </c>
      <c r="AK95" s="2">
        <v>9196.6749999999993</v>
      </c>
      <c r="AL95" s="2">
        <v>9284</v>
      </c>
      <c r="AM95" s="2">
        <v>9377.5249999999996</v>
      </c>
      <c r="AN95" s="2">
        <v>9471.0499999999993</v>
      </c>
      <c r="AO95" s="2">
        <v>9564.5750000000007</v>
      </c>
      <c r="AP95" s="2">
        <v>9658.1</v>
      </c>
      <c r="AQ95" s="2">
        <v>9731.9750000000004</v>
      </c>
      <c r="AR95" s="2">
        <v>9805.85</v>
      </c>
      <c r="AS95" s="2">
        <v>9879.7250000000004</v>
      </c>
      <c r="AT95" s="2">
        <v>9953.6</v>
      </c>
      <c r="AU95" s="2">
        <v>10017.15</v>
      </c>
      <c r="AV95" s="2">
        <v>10080.700000000001</v>
      </c>
      <c r="AW95" s="2">
        <v>10144.25</v>
      </c>
      <c r="AX95" s="2">
        <v>10207.799999999999</v>
      </c>
      <c r="AY95" s="2">
        <v>10304.15</v>
      </c>
      <c r="AZ95" s="2">
        <v>10400.5</v>
      </c>
      <c r="BA95" s="2">
        <v>10496.85</v>
      </c>
      <c r="BB95" s="2">
        <v>10593.2</v>
      </c>
      <c r="BC95" s="2">
        <v>10696.47</v>
      </c>
      <c r="BD95" s="2">
        <v>10799.75</v>
      </c>
      <c r="BE95" s="2">
        <v>10903.03</v>
      </c>
      <c r="BF95" s="2">
        <v>11006.3</v>
      </c>
      <c r="BG95" s="2">
        <v>11090.83</v>
      </c>
      <c r="BH95" s="2">
        <v>11175.35</v>
      </c>
      <c r="BI95" s="2">
        <v>11259.88</v>
      </c>
      <c r="BJ95" s="2">
        <v>11344.4</v>
      </c>
      <c r="BK95" s="2">
        <v>11420.55</v>
      </c>
      <c r="BL95" s="2">
        <v>11496.7</v>
      </c>
      <c r="BM95" s="2">
        <v>11572.85</v>
      </c>
      <c r="BN95" s="2">
        <v>11649</v>
      </c>
      <c r="BO95" s="2">
        <v>11728.55</v>
      </c>
      <c r="BP95" s="2">
        <v>11808.1</v>
      </c>
      <c r="BQ95" s="2">
        <v>11887.65</v>
      </c>
      <c r="BR95" s="2">
        <v>11967.2</v>
      </c>
      <c r="BS95" s="2">
        <v>12050.28</v>
      </c>
      <c r="BT95" s="2">
        <v>12133.35</v>
      </c>
      <c r="BU95" s="2">
        <v>12216.42</v>
      </c>
      <c r="BV95" s="2">
        <v>12299.5</v>
      </c>
      <c r="BW95" s="2">
        <v>12378.88</v>
      </c>
      <c r="BX95" s="2">
        <v>12458.25</v>
      </c>
      <c r="BY95" s="2">
        <v>12537.63</v>
      </c>
      <c r="BZ95" s="2">
        <v>12617</v>
      </c>
      <c r="CA95" s="2">
        <v>12673.67</v>
      </c>
      <c r="CB95" s="2">
        <v>12730.35</v>
      </c>
      <c r="CC95" s="2">
        <v>12787.03</v>
      </c>
      <c r="CD95" s="2">
        <v>12843.7</v>
      </c>
      <c r="CE95" s="2">
        <v>12896.67</v>
      </c>
      <c r="CF95" s="2">
        <v>12949.65</v>
      </c>
      <c r="CG95" s="2">
        <v>13002.63</v>
      </c>
      <c r="CH95" s="2">
        <v>13055.6</v>
      </c>
      <c r="CI95" s="2">
        <v>13125</v>
      </c>
      <c r="CJ95" s="2">
        <v>13194.4</v>
      </c>
      <c r="CK95" s="2">
        <v>13263.8</v>
      </c>
      <c r="CL95" s="2">
        <v>13333.2</v>
      </c>
      <c r="CM95" s="2">
        <v>13412.28</v>
      </c>
      <c r="CN95" s="2">
        <v>13491.35</v>
      </c>
      <c r="CO95" s="2">
        <v>13570.42</v>
      </c>
      <c r="CP95" s="2">
        <v>13649.5</v>
      </c>
      <c r="CQ95" s="2">
        <v>13748.17</v>
      </c>
      <c r="CR95" s="2">
        <v>13846.85</v>
      </c>
      <c r="CS95" s="2">
        <v>13945.53</v>
      </c>
      <c r="CT95" s="2">
        <v>14044.2</v>
      </c>
      <c r="CU95" s="2">
        <v>14159.47</v>
      </c>
      <c r="CV95" s="2">
        <v>14274.75</v>
      </c>
      <c r="CW95" s="2">
        <v>14390.03</v>
      </c>
      <c r="CX95" s="2">
        <v>14505.3</v>
      </c>
      <c r="CY95" s="2">
        <v>14638.55</v>
      </c>
      <c r="CZ95" s="2">
        <v>14771.8</v>
      </c>
      <c r="DA95" s="2">
        <v>14905.05</v>
      </c>
      <c r="DB95" s="2">
        <v>15038.3</v>
      </c>
      <c r="DC95" s="2">
        <v>15189</v>
      </c>
      <c r="DD95" s="2">
        <v>15339.7</v>
      </c>
      <c r="DE95" s="2">
        <v>15490.4</v>
      </c>
      <c r="DF95" s="2">
        <v>15641.1</v>
      </c>
      <c r="DG95" s="2">
        <v>15804.33</v>
      </c>
      <c r="DH95" s="2">
        <v>15967.55</v>
      </c>
      <c r="DI95" s="2">
        <v>16130.78</v>
      </c>
      <c r="DJ95" s="2">
        <v>16294</v>
      </c>
      <c r="DK95" s="2">
        <v>16470.13</v>
      </c>
      <c r="DL95" s="2">
        <v>16646.25</v>
      </c>
      <c r="DM95" s="2">
        <v>16822.38</v>
      </c>
      <c r="DN95" s="2">
        <v>16998.5</v>
      </c>
      <c r="DO95" s="2">
        <v>17128.95</v>
      </c>
      <c r="DP95" s="2">
        <v>17259.400000000001</v>
      </c>
      <c r="DQ95" s="2">
        <v>17389.849999999999</v>
      </c>
      <c r="DR95" s="2">
        <v>17520.3</v>
      </c>
      <c r="DS95" s="2">
        <v>17602.18</v>
      </c>
      <c r="DT95" s="2">
        <v>17684.05</v>
      </c>
      <c r="DU95" s="2">
        <v>17765.93</v>
      </c>
      <c r="DV95" s="2">
        <v>17847.8</v>
      </c>
      <c r="DW95" s="2">
        <v>17926.650000000001</v>
      </c>
      <c r="DX95" s="2">
        <v>18005.5</v>
      </c>
      <c r="DY95" s="2">
        <v>18084.349999999999</v>
      </c>
      <c r="DZ95" s="2">
        <v>18163.2</v>
      </c>
      <c r="EA95" s="2">
        <v>18248.97</v>
      </c>
      <c r="EB95" s="2">
        <v>18334.75</v>
      </c>
      <c r="EC95" s="2">
        <v>18420.53</v>
      </c>
      <c r="ED95" s="2">
        <v>18506.3</v>
      </c>
      <c r="EE95" s="2">
        <v>18603.3</v>
      </c>
      <c r="EF95" s="2">
        <v>18700.3</v>
      </c>
      <c r="EG95" s="2">
        <v>18797.3</v>
      </c>
      <c r="EH95" s="2">
        <v>18894.3</v>
      </c>
      <c r="EI95" s="2">
        <v>19016.849999999999</v>
      </c>
      <c r="EJ95" s="2">
        <v>19139.400000000001</v>
      </c>
      <c r="EK95" s="2">
        <v>19261.95</v>
      </c>
      <c r="EL95" s="2">
        <v>19384.5</v>
      </c>
      <c r="EM95" s="2">
        <v>19520.8</v>
      </c>
      <c r="EN95" s="2">
        <v>19657.099999999999</v>
      </c>
      <c r="EO95" s="2">
        <v>19793.400000000001</v>
      </c>
      <c r="EP95" s="2">
        <v>19929.7</v>
      </c>
      <c r="EQ95" s="2">
        <v>20048.97</v>
      </c>
      <c r="ER95" s="2">
        <v>20168.25</v>
      </c>
      <c r="ES95" s="2">
        <v>20287.53</v>
      </c>
      <c r="ET95" s="2">
        <v>20406.8</v>
      </c>
      <c r="EU95" s="2">
        <v>20439.5</v>
      </c>
      <c r="EV95" s="2">
        <v>20472.2</v>
      </c>
      <c r="EW95" s="2">
        <v>20504.900000000001</v>
      </c>
      <c r="EX95" s="2">
        <v>20537.599999999999</v>
      </c>
      <c r="EY95" s="2">
        <v>20585.07</v>
      </c>
      <c r="EZ95" s="2">
        <v>20632.55</v>
      </c>
      <c r="FA95" s="2">
        <v>20680.03</v>
      </c>
      <c r="FB95" s="2">
        <v>20727.5</v>
      </c>
      <c r="FC95" s="2">
        <v>20803</v>
      </c>
      <c r="FD95" s="2">
        <v>20878.5</v>
      </c>
      <c r="FE95" s="2">
        <v>20954</v>
      </c>
      <c r="FF95" s="2">
        <v>21029.5</v>
      </c>
      <c r="FG95" s="2">
        <v>21129.97</v>
      </c>
      <c r="FH95" s="2">
        <v>21230.45</v>
      </c>
      <c r="FI95" s="2">
        <v>21330.93</v>
      </c>
      <c r="FJ95" s="2">
        <v>21431.4</v>
      </c>
      <c r="FK95" s="2">
        <v>21543.13</v>
      </c>
      <c r="FL95" s="2">
        <v>21654.85</v>
      </c>
      <c r="FM95" s="2">
        <v>21766.57</v>
      </c>
      <c r="FN95" s="2">
        <v>21878.3</v>
      </c>
      <c r="FO95" s="2">
        <v>22013.55</v>
      </c>
      <c r="FP95" s="2">
        <v>22148.799999999999</v>
      </c>
      <c r="FQ95" s="2">
        <v>22284.05</v>
      </c>
      <c r="FR95" s="2">
        <v>22419.3</v>
      </c>
      <c r="FS95" s="2">
        <v>22548.93</v>
      </c>
      <c r="FT95" s="2">
        <v>22678.55</v>
      </c>
      <c r="FU95" s="2">
        <v>22808.18</v>
      </c>
      <c r="FV95" s="2">
        <v>22937.8</v>
      </c>
      <c r="FW95" s="2">
        <v>23056.28</v>
      </c>
      <c r="FX95" s="2">
        <v>23174.75</v>
      </c>
      <c r="FY95" s="2">
        <v>23293.22</v>
      </c>
      <c r="FZ95" s="2">
        <v>23411.7</v>
      </c>
      <c r="GA95" s="2">
        <v>23531.4</v>
      </c>
      <c r="GB95" s="2">
        <v>23651.1</v>
      </c>
      <c r="GC95" s="2">
        <v>23770.799999999999</v>
      </c>
      <c r="GD95" s="2">
        <v>23890.5</v>
      </c>
      <c r="GE95" s="2">
        <v>24034.6</v>
      </c>
      <c r="GF95" s="2">
        <v>24178.7</v>
      </c>
      <c r="GG95" s="2">
        <v>24322.799999999999</v>
      </c>
      <c r="GH95" s="2">
        <v>24466.9</v>
      </c>
      <c r="GI95" s="2">
        <v>24612.22</v>
      </c>
      <c r="GJ95" s="2">
        <v>24757.55</v>
      </c>
      <c r="GK95" s="2">
        <v>24902.880000000001</v>
      </c>
      <c r="GL95" s="2">
        <v>25048.2</v>
      </c>
      <c r="GM95" s="2">
        <v>25139.07</v>
      </c>
      <c r="GN95" s="2">
        <v>25229.95</v>
      </c>
      <c r="GO95" s="2">
        <v>25320.82</v>
      </c>
      <c r="GP95" s="2">
        <v>25411.7</v>
      </c>
      <c r="GQ95" s="2">
        <v>25512.7</v>
      </c>
      <c r="GR95" s="2">
        <v>25613.7</v>
      </c>
      <c r="GS95" s="2">
        <v>25714.7</v>
      </c>
      <c r="GT95" s="2">
        <v>25815.7</v>
      </c>
      <c r="GU95" s="2">
        <v>25936.880000000001</v>
      </c>
      <c r="GV95" s="2">
        <v>26058.05</v>
      </c>
      <c r="GW95" s="2">
        <v>26179.22</v>
      </c>
      <c r="GX95" s="2">
        <v>26300.400000000001</v>
      </c>
      <c r="GY95" s="2">
        <v>26442</v>
      </c>
      <c r="GZ95" s="2">
        <v>26583.599999999999</v>
      </c>
      <c r="HA95" s="2">
        <v>26725.200000000001</v>
      </c>
      <c r="HB95" s="2">
        <v>26866.799999999999</v>
      </c>
      <c r="HC95" s="3">
        <v>27015.919999999998</v>
      </c>
      <c r="HD95" s="3">
        <v>27165.95</v>
      </c>
      <c r="HE95" s="3">
        <v>27317.25</v>
      </c>
      <c r="HF95" s="3">
        <v>27462.33</v>
      </c>
      <c r="HG95" s="3">
        <v>27608.68</v>
      </c>
      <c r="HH95" s="3">
        <v>27758.48</v>
      </c>
      <c r="HI95" s="3">
        <v>27914.21</v>
      </c>
      <c r="HJ95" s="3">
        <v>28076.12</v>
      </c>
      <c r="HK95" s="3">
        <v>28244.14</v>
      </c>
      <c r="HL95" s="3">
        <v>28417.51</v>
      </c>
      <c r="HM95" s="3">
        <v>28595.7</v>
      </c>
      <c r="HN95" s="3">
        <v>28778.11</v>
      </c>
      <c r="HO95" s="3">
        <v>28964.54</v>
      </c>
      <c r="HP95" s="3">
        <v>29154.59</v>
      </c>
      <c r="HQ95" s="3">
        <v>29347.54</v>
      </c>
      <c r="HR95" s="3">
        <v>29541.11</v>
      </c>
      <c r="HS95" s="3">
        <v>29731.759999999998</v>
      </c>
      <c r="HT95" s="3">
        <v>29917.79</v>
      </c>
      <c r="HU95" s="3">
        <v>30099.84</v>
      </c>
      <c r="HV95" s="3">
        <v>30279.43</v>
      </c>
      <c r="HW95" s="3">
        <v>30458.44</v>
      </c>
      <c r="HX95" s="3">
        <v>30637.94</v>
      </c>
      <c r="HY95" s="3">
        <v>30817.95</v>
      </c>
      <c r="HZ95" s="3">
        <v>30998.04</v>
      </c>
      <c r="IA95" s="3">
        <v>31177.59</v>
      </c>
      <c r="IB95" s="3">
        <v>31356.19</v>
      </c>
      <c r="IC95" s="3">
        <v>31533.58</v>
      </c>
      <c r="ID95" s="3">
        <v>31709.63</v>
      </c>
      <c r="IE95" s="3">
        <v>31884.19</v>
      </c>
      <c r="IF95" s="3">
        <v>32057.29</v>
      </c>
      <c r="IG95" s="3">
        <v>32229.06</v>
      </c>
      <c r="IH95" s="3">
        <v>32399.62</v>
      </c>
      <c r="II95" s="3">
        <v>32568.99</v>
      </c>
      <c r="IJ95" s="3">
        <v>32737.22</v>
      </c>
      <c r="IK95" s="3">
        <v>32904.29</v>
      </c>
      <c r="IL95" s="3">
        <v>33070.19</v>
      </c>
      <c r="IM95" s="3">
        <v>33234.9</v>
      </c>
      <c r="IN95" s="3">
        <v>33398.410000000003</v>
      </c>
      <c r="IO95" s="3">
        <v>33560.71</v>
      </c>
      <c r="IP95" s="3">
        <v>33721.769999999997</v>
      </c>
      <c r="IQ95" s="3">
        <v>33881.599999999999</v>
      </c>
      <c r="IR95" s="3">
        <v>34040.17</v>
      </c>
      <c r="IS95" s="3">
        <v>34197.46</v>
      </c>
      <c r="IT95" s="3">
        <v>34353.480000000003</v>
      </c>
      <c r="IU95" s="3">
        <v>34508.19</v>
      </c>
      <c r="IV95" s="3">
        <v>34661.599999999999</v>
      </c>
      <c r="IW95" s="3">
        <v>34813.71</v>
      </c>
      <c r="IX95" s="3">
        <v>34964.53</v>
      </c>
      <c r="IY95" s="3">
        <v>35114.07</v>
      </c>
      <c r="IZ95" s="3">
        <v>35262.410000000003</v>
      </c>
      <c r="JA95" s="3">
        <v>35409.57</v>
      </c>
      <c r="JB95" s="3">
        <v>35555.58</v>
      </c>
      <c r="JC95" s="3">
        <v>35700.480000000003</v>
      </c>
      <c r="JD95" s="3">
        <v>35844.300000000003</v>
      </c>
      <c r="JE95" s="3">
        <v>35987.11</v>
      </c>
      <c r="JF95" s="3">
        <v>36128.9</v>
      </c>
      <c r="JG95" s="3">
        <v>36269.72</v>
      </c>
      <c r="JH95" s="3">
        <v>36409.61</v>
      </c>
      <c r="JI95" s="3">
        <v>36548.6</v>
      </c>
      <c r="JJ95" s="3">
        <v>36686.730000000003</v>
      </c>
      <c r="JK95" s="3">
        <v>36824.06</v>
      </c>
      <c r="JL95" s="3">
        <v>36960.620000000003</v>
      </c>
      <c r="JM95" s="3">
        <v>37096.410000000003</v>
      </c>
      <c r="JN95" s="3">
        <v>37231.5</v>
      </c>
      <c r="JO95" s="3">
        <v>37365.910000000003</v>
      </c>
      <c r="JP95" s="3">
        <v>37499.68</v>
      </c>
      <c r="JQ95" s="3">
        <v>37632.82</v>
      </c>
      <c r="JR95" s="3">
        <v>37765.379999999997</v>
      </c>
      <c r="JS95" s="3">
        <v>37897.4</v>
      </c>
      <c r="JT95" s="3">
        <v>38028.910000000003</v>
      </c>
      <c r="JU95" s="3">
        <v>38159.94</v>
      </c>
      <c r="JV95" s="3">
        <v>38290.54</v>
      </c>
      <c r="JW95" s="3">
        <v>38420.720000000001</v>
      </c>
      <c r="JX95" s="3">
        <v>38550.53</v>
      </c>
      <c r="JY95" s="3">
        <v>38679.99</v>
      </c>
      <c r="JZ95" s="3">
        <v>38809.129999999997</v>
      </c>
      <c r="KA95" s="3">
        <v>38937.97</v>
      </c>
      <c r="KB95" s="3">
        <v>39066.550000000003</v>
      </c>
      <c r="KC95" s="3">
        <v>39194.86</v>
      </c>
      <c r="KD95" s="3">
        <v>39322.92</v>
      </c>
      <c r="KE95" s="3">
        <v>39450.75</v>
      </c>
      <c r="KF95" s="3">
        <v>39578.339999999997</v>
      </c>
      <c r="KG95" s="3">
        <v>39705.69</v>
      </c>
      <c r="KH95" s="3">
        <v>39832.82</v>
      </c>
      <c r="KI95" s="3">
        <v>39959.72</v>
      </c>
      <c r="KJ95" s="3">
        <v>40086.400000000001</v>
      </c>
      <c r="KK95" s="3">
        <v>40212.839999999997</v>
      </c>
      <c r="KL95" s="3">
        <v>40339.07</v>
      </c>
      <c r="KM95" s="3">
        <v>40465.089999999997</v>
      </c>
      <c r="KN95" s="3">
        <v>40590.9</v>
      </c>
      <c r="KO95" s="3">
        <v>40716.5</v>
      </c>
      <c r="KP95" s="3">
        <v>40841.919999999998</v>
      </c>
      <c r="KQ95" s="3">
        <v>40967.15</v>
      </c>
      <c r="KR95" s="3">
        <v>41092.18</v>
      </c>
      <c r="KS95" s="3">
        <v>41217.019999999997</v>
      </c>
      <c r="KT95" s="3">
        <v>41341.69</v>
      </c>
      <c r="KU95" s="3">
        <v>41466.18</v>
      </c>
      <c r="KV95" s="3">
        <v>41590.51</v>
      </c>
      <c r="KW95" s="3">
        <v>41714.65</v>
      </c>
      <c r="KX95" s="3">
        <v>41838.65</v>
      </c>
      <c r="KY95" s="3">
        <v>41962.5</v>
      </c>
      <c r="KZ95" s="3">
        <v>42086.15</v>
      </c>
      <c r="LA95" s="3">
        <v>42209.64</v>
      </c>
      <c r="LB95" s="3">
        <v>42332.959999999999</v>
      </c>
      <c r="LC95" s="3">
        <v>42456.160000000003</v>
      </c>
      <c r="LD95" s="3">
        <v>42579.21</v>
      </c>
      <c r="LE95" s="3">
        <v>42702.09</v>
      </c>
      <c r="LF95" s="3">
        <v>42824.86</v>
      </c>
      <c r="LG95" s="3">
        <v>42947.5</v>
      </c>
      <c r="LH95" s="3">
        <v>43070.03</v>
      </c>
      <c r="LI95" s="3">
        <v>43192.46</v>
      </c>
      <c r="LJ95" s="3">
        <v>43314.79</v>
      </c>
      <c r="LK95" s="3">
        <v>43437.06</v>
      </c>
      <c r="LL95" s="3">
        <v>43559.25</v>
      </c>
      <c r="LM95" s="3">
        <v>43681.39</v>
      </c>
      <c r="LN95" s="3">
        <v>43803.48</v>
      </c>
      <c r="LO95" s="3">
        <v>43925.54</v>
      </c>
      <c r="LP95" s="3">
        <v>44047.56</v>
      </c>
      <c r="LQ95" s="3">
        <v>44169.59</v>
      </c>
      <c r="LR95" s="3">
        <v>44291.6</v>
      </c>
      <c r="LS95" s="3">
        <v>44413.61</v>
      </c>
      <c r="LT95" s="3">
        <v>44535.61</v>
      </c>
      <c r="LU95" s="3">
        <v>44657.63</v>
      </c>
      <c r="LV95" s="3">
        <v>44779.66</v>
      </c>
      <c r="LW95" s="3">
        <v>44901.72</v>
      </c>
      <c r="LX95" s="3">
        <v>45023.83</v>
      </c>
      <c r="LY95" s="3">
        <v>45145.98</v>
      </c>
      <c r="LZ95" s="3">
        <v>45268.160000000003</v>
      </c>
      <c r="MA95" s="3">
        <v>45390.39</v>
      </c>
      <c r="MB95" s="3">
        <v>45512.68</v>
      </c>
      <c r="MC95" s="3">
        <v>45635.040000000001</v>
      </c>
      <c r="MD95" s="3">
        <v>45757.46</v>
      </c>
      <c r="ME95" s="3">
        <v>45879.97</v>
      </c>
      <c r="MF95" s="3">
        <v>46002.55</v>
      </c>
      <c r="MG95" s="3">
        <v>46125.23</v>
      </c>
      <c r="MH95" s="3">
        <v>46248.03</v>
      </c>
      <c r="MI95" s="3">
        <v>46370.93</v>
      </c>
      <c r="MJ95" s="3">
        <v>46493.94</v>
      </c>
      <c r="MK95" s="3">
        <v>46617.07</v>
      </c>
      <c r="ML95" s="3">
        <v>46740.34</v>
      </c>
      <c r="MM95" s="3">
        <v>46863.73</v>
      </c>
      <c r="MN95" s="3">
        <v>46987.27</v>
      </c>
      <c r="MO95" s="3">
        <v>47110.95</v>
      </c>
      <c r="MP95" s="3">
        <v>47234.78</v>
      </c>
      <c r="MQ95" s="3">
        <v>47358.77</v>
      </c>
      <c r="MR95" s="3">
        <v>47482.92</v>
      </c>
      <c r="MS95" s="3">
        <v>47607.23</v>
      </c>
      <c r="MT95" s="3">
        <v>47731.71</v>
      </c>
      <c r="MU95" t="s">
        <v>385</v>
      </c>
      <c r="MV95" t="b">
        <v>0</v>
      </c>
      <c r="MW95" s="1" t="s">
        <v>386</v>
      </c>
      <c r="MX95" t="s">
        <v>377</v>
      </c>
      <c r="MY95">
        <v>2023</v>
      </c>
      <c r="MZ95">
        <v>4</v>
      </c>
      <c r="NA95" t="s">
        <v>377</v>
      </c>
      <c r="NB95" t="s">
        <v>494</v>
      </c>
      <c r="NC95" s="1" t="s">
        <v>495</v>
      </c>
      <c r="ND95" t="s">
        <v>389</v>
      </c>
      <c r="NE95" t="s">
        <v>493</v>
      </c>
      <c r="NF95" s="1" t="s">
        <v>528</v>
      </c>
    </row>
    <row r="96" spans="1:370" x14ac:dyDescent="0.25">
      <c r="A96" t="s">
        <v>370</v>
      </c>
      <c r="B96" t="s">
        <v>496</v>
      </c>
      <c r="C96" s="1" t="s">
        <v>527</v>
      </c>
      <c r="D96" t="s">
        <v>497</v>
      </c>
      <c r="E96" t="s">
        <v>377</v>
      </c>
      <c r="F96" t="s">
        <v>374</v>
      </c>
      <c r="G96" s="2">
        <v>-1.921214</v>
      </c>
      <c r="H96" s="2">
        <v>-1.9221969999999999</v>
      </c>
      <c r="I96" s="2">
        <v>-1.9231799999999999</v>
      </c>
      <c r="J96" s="2">
        <v>-1.924164</v>
      </c>
      <c r="K96" s="2">
        <v>-1.925149</v>
      </c>
      <c r="L96" s="2">
        <v>-1.926134</v>
      </c>
      <c r="M96" s="2">
        <v>-1.927119</v>
      </c>
      <c r="N96" s="2">
        <v>-1.928105</v>
      </c>
      <c r="O96" s="2">
        <v>-1.929092</v>
      </c>
      <c r="P96" s="2">
        <v>-1.9300790000000001</v>
      </c>
      <c r="Q96" s="2">
        <v>-1.9310670000000001</v>
      </c>
      <c r="R96" s="2">
        <v>-1.9320550000000001</v>
      </c>
      <c r="S96" s="2">
        <v>-1.9330430000000001</v>
      </c>
      <c r="T96" s="2">
        <v>-1.934032</v>
      </c>
      <c r="U96" s="2">
        <v>-1.935022</v>
      </c>
      <c r="V96" s="2">
        <v>-1.9360120000000001</v>
      </c>
      <c r="W96" s="2">
        <v>-1.9370019999999999</v>
      </c>
      <c r="X96" s="2">
        <v>-1.9379930000000001</v>
      </c>
      <c r="Y96" s="2">
        <v>-1.938985</v>
      </c>
      <c r="Z96" s="2">
        <v>-1.9399770000000001</v>
      </c>
      <c r="AA96" s="2">
        <v>-1.9409700000000001</v>
      </c>
      <c r="AB96" s="2">
        <v>-1.9378249999999999</v>
      </c>
      <c r="AC96" s="2">
        <v>-1.9346859999999999</v>
      </c>
      <c r="AD96" s="2">
        <v>-1.9315519999999999</v>
      </c>
      <c r="AE96" s="2">
        <v>-1.928423</v>
      </c>
      <c r="AF96" s="2">
        <v>-1.9252990000000001</v>
      </c>
      <c r="AG96" s="2">
        <v>-1.92218</v>
      </c>
      <c r="AH96" s="2">
        <v>-1.9190659999999999</v>
      </c>
      <c r="AI96" s="2">
        <v>-1.915958</v>
      </c>
      <c r="AJ96" s="2">
        <v>-1.9128540000000001</v>
      </c>
      <c r="AK96" s="2">
        <v>-1.9097550000000001</v>
      </c>
      <c r="AL96" s="2">
        <v>-1.9066609999999999</v>
      </c>
      <c r="AM96" s="2">
        <v>-1.903573</v>
      </c>
      <c r="AN96" s="2">
        <v>-1.9004890000000001</v>
      </c>
      <c r="AO96" s="2">
        <v>-1.89741</v>
      </c>
      <c r="AP96" s="2">
        <v>-1.8943369999999999</v>
      </c>
      <c r="AQ96" s="2">
        <v>-1.8912679999999999</v>
      </c>
      <c r="AR96" s="2">
        <v>-1.888204</v>
      </c>
      <c r="AS96" s="2">
        <v>-1.8851450000000001</v>
      </c>
      <c r="AT96" s="2">
        <v>-1.882091</v>
      </c>
      <c r="AU96" s="2">
        <v>-1.879043</v>
      </c>
      <c r="AV96" s="2">
        <v>-1.8759980000000001</v>
      </c>
      <c r="AW96" s="2">
        <v>-1.872959</v>
      </c>
      <c r="AX96" s="2">
        <v>-1.8699250000000001</v>
      </c>
      <c r="AY96" s="2">
        <v>-1.8668960000000001</v>
      </c>
      <c r="AZ96" s="2">
        <v>-1.863872</v>
      </c>
      <c r="BA96" s="2">
        <v>-1.860852</v>
      </c>
      <c r="BB96" s="2">
        <v>-1.8578380000000001</v>
      </c>
      <c r="BC96" s="2">
        <v>-1.8548279999999999</v>
      </c>
      <c r="BD96" s="2">
        <v>-1.8518239999999999</v>
      </c>
      <c r="BE96" s="2">
        <v>-1.848824</v>
      </c>
      <c r="BF96" s="2">
        <v>-1.8458289999999999</v>
      </c>
      <c r="BG96" s="2">
        <v>-1.8428389999999999</v>
      </c>
      <c r="BH96" s="2">
        <v>-1.839853</v>
      </c>
      <c r="BI96" s="2">
        <v>-1.837037</v>
      </c>
      <c r="BJ96" s="2">
        <v>-1.8342240000000001</v>
      </c>
      <c r="BK96" s="2">
        <v>-1.8314159999999999</v>
      </c>
      <c r="BL96" s="2">
        <v>-1.8286119999999999</v>
      </c>
      <c r="BM96" s="2">
        <v>-1.8258129999999999</v>
      </c>
      <c r="BN96" s="2">
        <v>-1.823018</v>
      </c>
      <c r="BO96" s="2">
        <v>-1.820227</v>
      </c>
      <c r="BP96" s="2">
        <v>-1.8174399999999999</v>
      </c>
      <c r="BQ96" s="2">
        <v>-1.8146580000000001</v>
      </c>
      <c r="BR96" s="2">
        <v>-1.8118799999999999</v>
      </c>
      <c r="BS96" s="2">
        <v>-1.8091060000000001</v>
      </c>
      <c r="BT96" s="2">
        <v>-1.8063359999999999</v>
      </c>
      <c r="BU96" s="2">
        <v>-1.803571</v>
      </c>
      <c r="BV96" s="2">
        <v>-1.80081</v>
      </c>
      <c r="BW96" s="2">
        <v>-1.7980529999999999</v>
      </c>
      <c r="BX96" s="2">
        <v>-1.7952999999999999</v>
      </c>
      <c r="BY96" s="2">
        <v>-1.7925519999999999</v>
      </c>
      <c r="BZ96" s="2">
        <v>-1.7898069999999999</v>
      </c>
      <c r="CA96" s="2">
        <v>-1.787067</v>
      </c>
      <c r="CB96" s="2">
        <v>-1.7843309999999999</v>
      </c>
      <c r="CC96" s="2">
        <v>-1.7816000000000001</v>
      </c>
      <c r="CD96" s="2">
        <v>-1.778872</v>
      </c>
      <c r="CE96" s="2">
        <v>-1.776149</v>
      </c>
      <c r="CF96" s="2">
        <v>-1.7734300000000001</v>
      </c>
      <c r="CG96" s="2">
        <v>-1.770715</v>
      </c>
      <c r="CH96" s="2">
        <v>-1.7680039999999999</v>
      </c>
      <c r="CI96" s="2">
        <v>-1.7652969999999999</v>
      </c>
      <c r="CJ96" s="2">
        <v>-1.7625949999999999</v>
      </c>
      <c r="CK96" s="2">
        <v>-1.7598959999999999</v>
      </c>
      <c r="CL96" s="2">
        <v>-1.7572019999999999</v>
      </c>
      <c r="CM96" s="2">
        <v>-1.7545120000000001</v>
      </c>
      <c r="CN96" s="2">
        <v>-1.7518260000000001</v>
      </c>
      <c r="CO96" s="2">
        <v>-1.749144</v>
      </c>
      <c r="CP96" s="2">
        <v>-1.7464660000000001</v>
      </c>
      <c r="CQ96" s="2">
        <v>-1.743792</v>
      </c>
      <c r="CR96" s="2">
        <v>-1.741123</v>
      </c>
      <c r="CS96" s="2">
        <v>-1.7384569999999999</v>
      </c>
      <c r="CT96" s="2">
        <v>-1.735795</v>
      </c>
      <c r="CU96" s="2">
        <v>-1.7331380000000001</v>
      </c>
      <c r="CV96" s="2">
        <v>-1.7304850000000001</v>
      </c>
      <c r="CW96" s="2">
        <v>-1.7278359999999999</v>
      </c>
      <c r="CX96" s="2">
        <v>-1.72519</v>
      </c>
      <c r="CY96" s="2">
        <v>-1.7225490000000001</v>
      </c>
      <c r="CZ96" s="2">
        <v>-1.7199120000000001</v>
      </c>
      <c r="DA96" s="2">
        <v>-1.71888</v>
      </c>
      <c r="DB96" s="2">
        <v>-1.717849</v>
      </c>
      <c r="DC96" s="2">
        <v>-1.716818</v>
      </c>
      <c r="DD96" s="2">
        <v>-1.7157880000000001</v>
      </c>
      <c r="DE96" s="2">
        <v>-1.7147589999999999</v>
      </c>
      <c r="DF96" s="2">
        <v>-1.71373</v>
      </c>
      <c r="DG96" s="2">
        <v>-1.7127019999999999</v>
      </c>
      <c r="DH96" s="2">
        <v>-1.7116750000000001</v>
      </c>
      <c r="DI96" s="2">
        <v>-1.7106479999999999</v>
      </c>
      <c r="DJ96" s="2">
        <v>-1.709622</v>
      </c>
      <c r="DK96" s="2">
        <v>-1.708596</v>
      </c>
      <c r="DL96" s="2">
        <v>-1.7075709999999999</v>
      </c>
      <c r="DM96" s="2">
        <v>-1.7065459999999999</v>
      </c>
      <c r="DN96" s="2">
        <v>-1.7055229999999999</v>
      </c>
      <c r="DO96" s="2">
        <v>-1.704499</v>
      </c>
      <c r="DP96" s="2">
        <v>-1.7034769999999999</v>
      </c>
      <c r="DQ96" s="2">
        <v>-1.7024550000000001</v>
      </c>
      <c r="DR96" s="2">
        <v>-1.7014339999999999</v>
      </c>
      <c r="DS96" s="2">
        <v>-1.700413</v>
      </c>
      <c r="DT96" s="2">
        <v>-1.6993929999999999</v>
      </c>
      <c r="DU96" s="2">
        <v>-1.6983729999999999</v>
      </c>
      <c r="DV96" s="2">
        <v>-1.697354</v>
      </c>
      <c r="DW96" s="2">
        <v>-1.6963360000000001</v>
      </c>
      <c r="DX96" s="2">
        <v>-1.6953180000000001</v>
      </c>
      <c r="DY96" s="2">
        <v>-1.6943010000000001</v>
      </c>
      <c r="DZ96" s="2">
        <v>-1.6932849999999999</v>
      </c>
      <c r="EA96" s="2">
        <v>-1.692269</v>
      </c>
      <c r="EB96" s="2">
        <v>-1.691254</v>
      </c>
      <c r="EC96" s="2">
        <v>-1.690239</v>
      </c>
      <c r="ED96" s="2">
        <v>-1.689225</v>
      </c>
      <c r="EE96" s="2">
        <v>-1.6882109999999999</v>
      </c>
      <c r="EF96" s="2">
        <v>-1.6871989999999999</v>
      </c>
      <c r="EG96" s="2">
        <v>-1.686186</v>
      </c>
      <c r="EH96" s="2">
        <v>-1.6851750000000001</v>
      </c>
      <c r="EI96" s="2">
        <v>-1.684164</v>
      </c>
      <c r="EJ96" s="2">
        <v>-1.6831529999999999</v>
      </c>
      <c r="EK96" s="2">
        <v>-1.6821440000000001</v>
      </c>
      <c r="EL96" s="2">
        <v>-1.6811339999999999</v>
      </c>
      <c r="EM96" s="2">
        <v>-1.680966</v>
      </c>
      <c r="EN96" s="2">
        <v>-1.680798</v>
      </c>
      <c r="EO96" s="2">
        <v>-1.6806300000000001</v>
      </c>
      <c r="EP96" s="2">
        <v>-1.6804619999999999</v>
      </c>
      <c r="EQ96" s="2">
        <v>-1.6804619999999999</v>
      </c>
      <c r="ER96" s="2">
        <v>-1.6806300000000001</v>
      </c>
      <c r="ES96" s="2">
        <v>-1.680966</v>
      </c>
      <c r="ET96" s="2">
        <v>-1.6813020000000001</v>
      </c>
      <c r="EU96" s="2">
        <v>-1.6815549999999999</v>
      </c>
      <c r="EV96" s="2">
        <v>-1.681719</v>
      </c>
      <c r="EW96" s="2">
        <v>-1.681762</v>
      </c>
      <c r="EX96" s="2">
        <v>-1.681762</v>
      </c>
      <c r="EY96" s="2">
        <v>-1.6818040000000001</v>
      </c>
      <c r="EZ96" s="2">
        <v>-1.6818470000000001</v>
      </c>
      <c r="FA96" s="2">
        <v>-1.6818900000000001</v>
      </c>
      <c r="FB96" s="2">
        <v>-1.681932</v>
      </c>
      <c r="FC96" s="2">
        <v>-1.681975</v>
      </c>
      <c r="FD96" s="2">
        <v>-1.682018</v>
      </c>
      <c r="FE96" s="2">
        <v>-1.6820600000000001</v>
      </c>
      <c r="FF96" s="2">
        <v>-1.6821029999999999</v>
      </c>
      <c r="FG96" s="2">
        <v>-1.6821459999999999</v>
      </c>
      <c r="FH96" s="2">
        <v>-1.682188</v>
      </c>
      <c r="FI96" s="2">
        <v>-1.682231</v>
      </c>
      <c r="FJ96" s="2">
        <v>-1.682274</v>
      </c>
      <c r="FK96" s="2">
        <v>-1.6823159999999999</v>
      </c>
      <c r="FL96" s="2">
        <v>-1.6823589999999999</v>
      </c>
      <c r="FM96" s="2">
        <v>-1.682402</v>
      </c>
      <c r="FN96" s="2">
        <v>-1.6824440000000001</v>
      </c>
      <c r="FO96" s="2">
        <v>-1.6824870000000001</v>
      </c>
      <c r="FP96" s="2">
        <v>-1.6825300000000001</v>
      </c>
      <c r="FQ96" s="2">
        <v>-1.682572</v>
      </c>
      <c r="FR96" s="2">
        <v>-1.682615</v>
      </c>
      <c r="FS96" s="2">
        <v>-1.682658</v>
      </c>
      <c r="FT96" s="2">
        <v>-1.682701</v>
      </c>
      <c r="FU96" s="2">
        <v>-1.6827430000000001</v>
      </c>
      <c r="FV96" s="2">
        <v>-1.6827859999999999</v>
      </c>
      <c r="FW96" s="2">
        <v>-1.6828289999999999</v>
      </c>
      <c r="FX96" s="2">
        <v>-1.682871</v>
      </c>
      <c r="FY96" s="2">
        <v>-1.682914</v>
      </c>
      <c r="FZ96" s="2">
        <v>-1.682957</v>
      </c>
      <c r="GA96" s="2">
        <v>-1.6829989999999999</v>
      </c>
      <c r="GB96" s="2">
        <v>-1.6830419999999999</v>
      </c>
      <c r="GC96" s="2">
        <v>-1.6830849999999999</v>
      </c>
      <c r="GD96" s="2">
        <v>-1.683128</v>
      </c>
      <c r="GE96" s="2">
        <v>-1.6831700000000001</v>
      </c>
      <c r="GF96" s="2">
        <v>-1.6832130000000001</v>
      </c>
      <c r="GG96" s="2">
        <v>-1.6832560000000001</v>
      </c>
      <c r="GH96" s="2">
        <v>-1.683298</v>
      </c>
      <c r="GI96" s="2">
        <v>-1.683341</v>
      </c>
      <c r="GJ96" s="2">
        <v>-1.683384</v>
      </c>
      <c r="GK96" s="2">
        <v>-1.6834260000000001</v>
      </c>
      <c r="GL96" s="2">
        <v>-1.6834690000000001</v>
      </c>
      <c r="GM96" s="2">
        <v>-1.6843109999999999</v>
      </c>
      <c r="GN96" s="2">
        <v>-1.6885220000000001</v>
      </c>
      <c r="GO96" s="2">
        <v>-1.691899</v>
      </c>
      <c r="GP96" s="2">
        <v>-1.694437</v>
      </c>
      <c r="GQ96" s="2">
        <v>-1.6961310000000001</v>
      </c>
      <c r="GR96" s="2">
        <v>-1.697403</v>
      </c>
      <c r="GS96" s="2">
        <v>-1.6982520000000001</v>
      </c>
      <c r="GT96" s="2">
        <v>-1.6982520000000001</v>
      </c>
      <c r="GU96" s="2">
        <v>-1.6982520000000001</v>
      </c>
      <c r="GV96" s="2">
        <v>-1.698167</v>
      </c>
      <c r="GW96" s="2">
        <v>-1.6980820000000001</v>
      </c>
      <c r="GX96" s="2">
        <v>-1.697997</v>
      </c>
      <c r="GY96" s="2">
        <v>-1.697827</v>
      </c>
      <c r="GZ96" s="2">
        <v>-1.6976579999999999</v>
      </c>
      <c r="HA96" s="3">
        <v>-1.6974880000000001</v>
      </c>
      <c r="HB96" s="3">
        <v>-1.6973180000000001</v>
      </c>
      <c r="HC96" s="3">
        <v>-1.697149</v>
      </c>
      <c r="HD96" s="3">
        <v>-1.696979</v>
      </c>
      <c r="HE96" s="3">
        <v>-1.696809</v>
      </c>
      <c r="HF96" s="3">
        <v>-1.6966399999999999</v>
      </c>
      <c r="HG96" s="3">
        <v>-1.696385</v>
      </c>
      <c r="HH96" s="3">
        <v>-1.6961310000000001</v>
      </c>
      <c r="HI96" s="3">
        <v>-1.6958759999999999</v>
      </c>
      <c r="HJ96" s="3">
        <v>-1.695622</v>
      </c>
      <c r="HK96" s="3">
        <v>-1.6952830000000001</v>
      </c>
      <c r="HL96" s="3">
        <v>-1.694944</v>
      </c>
      <c r="HM96" s="3">
        <v>-1.6946049999999999</v>
      </c>
      <c r="HN96" s="3">
        <v>-1.694266</v>
      </c>
      <c r="HO96" s="3">
        <v>-1.693927</v>
      </c>
      <c r="HP96" s="3">
        <v>-1.6935880000000001</v>
      </c>
      <c r="HQ96" s="3">
        <v>-1.6932069999999999</v>
      </c>
      <c r="HR96" s="3">
        <v>-1.6928259999999999</v>
      </c>
      <c r="HS96" s="3">
        <v>-1.692445</v>
      </c>
      <c r="HT96" s="3">
        <v>-1.692064</v>
      </c>
      <c r="HU96" s="3">
        <v>-1.691641</v>
      </c>
      <c r="HV96" s="3">
        <v>-1.6912180000000001</v>
      </c>
      <c r="HW96" s="3">
        <v>-1.690796</v>
      </c>
      <c r="HX96" s="3">
        <v>-1.6903729999999999</v>
      </c>
      <c r="HY96" s="3">
        <v>-1.6898660000000001</v>
      </c>
      <c r="HZ96" s="3">
        <v>-1.6893590000000001</v>
      </c>
      <c r="IA96" s="3">
        <v>-1.688852</v>
      </c>
      <c r="IB96" s="3">
        <v>-1.6883459999999999</v>
      </c>
      <c r="IC96" s="3">
        <v>-1.6877549999999999</v>
      </c>
      <c r="ID96" s="3">
        <v>-1.6871640000000001</v>
      </c>
      <c r="IE96" s="3">
        <v>-1.6865730000000001</v>
      </c>
      <c r="IF96" s="3">
        <v>-1.685983</v>
      </c>
      <c r="IG96" s="3">
        <v>-1.6853089999999999</v>
      </c>
      <c r="IH96" s="3">
        <v>-1.6846350000000001</v>
      </c>
      <c r="II96" s="3">
        <v>-1.6838759999999999</v>
      </c>
      <c r="IJ96" s="3">
        <v>-1.6830350000000001</v>
      </c>
      <c r="IK96" s="3">
        <v>-1.682151</v>
      </c>
      <c r="IL96" s="3">
        <v>-1.6811799999999999</v>
      </c>
      <c r="IM96" s="3">
        <v>-1.6801710000000001</v>
      </c>
      <c r="IN96" s="3">
        <v>-1.679163</v>
      </c>
      <c r="IO96" s="3">
        <v>-1.6781550000000001</v>
      </c>
      <c r="IP96" s="3">
        <v>-1.6771480000000001</v>
      </c>
      <c r="IQ96" s="3">
        <v>-1.676058</v>
      </c>
      <c r="IR96" s="3">
        <v>-1.6749689999999999</v>
      </c>
      <c r="IS96" s="3">
        <v>-1.67388</v>
      </c>
      <c r="IT96" s="3">
        <v>-1.6727920000000001</v>
      </c>
      <c r="IU96" s="3">
        <v>-1.671621</v>
      </c>
      <c r="IV96" s="3">
        <v>-1.6704509999999999</v>
      </c>
      <c r="IW96" s="3">
        <v>-1.6692819999999999</v>
      </c>
      <c r="IX96" s="3">
        <v>-1.668113</v>
      </c>
      <c r="IY96" s="3">
        <v>-1.6668620000000001</v>
      </c>
      <c r="IZ96" s="3">
        <v>-1.6656120000000001</v>
      </c>
      <c r="JA96" s="3">
        <v>-1.664363</v>
      </c>
      <c r="JB96" s="3">
        <v>-1.663114</v>
      </c>
      <c r="JC96" s="3">
        <v>-1.661867</v>
      </c>
      <c r="JD96" s="3">
        <v>-1.6606209999999999</v>
      </c>
      <c r="JE96" s="3">
        <v>-1.659375</v>
      </c>
      <c r="JF96" s="3">
        <v>-1.658131</v>
      </c>
      <c r="JG96" s="3">
        <v>-1.6568039999999999</v>
      </c>
      <c r="JH96" s="3">
        <v>-1.6554789999999999</v>
      </c>
      <c r="JI96" s="3">
        <v>-1.6541539999999999</v>
      </c>
      <c r="JJ96" s="3">
        <v>-1.6528309999999999</v>
      </c>
      <c r="JK96" s="3">
        <v>-1.6515089999999999</v>
      </c>
      <c r="JL96" s="3">
        <v>-1.650188</v>
      </c>
      <c r="JM96" s="3">
        <v>-1.6488670000000001</v>
      </c>
      <c r="JN96" s="3">
        <v>-1.647548</v>
      </c>
      <c r="JO96" s="3">
        <v>-1.6462300000000001</v>
      </c>
      <c r="JP96" s="3">
        <v>-1.6449130000000001</v>
      </c>
      <c r="JQ96" s="3">
        <v>-1.643597</v>
      </c>
      <c r="JR96" s="3">
        <v>-1.642282</v>
      </c>
      <c r="JS96" s="3">
        <v>-1.6409689999999999</v>
      </c>
      <c r="JT96" s="3">
        <v>-1.639656</v>
      </c>
      <c r="JU96" s="3">
        <v>-1.638344</v>
      </c>
      <c r="JV96" s="3">
        <v>-1.6370340000000001</v>
      </c>
      <c r="JW96" s="3">
        <v>-1.635724</v>
      </c>
      <c r="JX96" s="3">
        <v>-1.634415</v>
      </c>
      <c r="JY96" s="3">
        <v>-1.633108</v>
      </c>
      <c r="JZ96" s="3">
        <v>-1.6318010000000001</v>
      </c>
      <c r="KA96" s="3">
        <v>-1.6304959999999999</v>
      </c>
      <c r="KB96" s="3">
        <v>-1.629192</v>
      </c>
      <c r="KC96" s="3">
        <v>-1.627888</v>
      </c>
      <c r="KD96" s="3">
        <v>-1.6265860000000001</v>
      </c>
      <c r="KE96" s="3">
        <v>-1.6252850000000001</v>
      </c>
      <c r="KF96" s="3">
        <v>-1.6239840000000001</v>
      </c>
      <c r="KG96" s="3">
        <v>-1.6226849999999999</v>
      </c>
      <c r="KH96" s="3">
        <v>-1.6213869999999999</v>
      </c>
      <c r="KI96" s="3">
        <v>-1.62009</v>
      </c>
      <c r="KJ96" s="3">
        <v>-1.6187940000000001</v>
      </c>
      <c r="KK96" s="3">
        <v>-1.617499</v>
      </c>
      <c r="KL96" s="3">
        <v>-1.6162049999999999</v>
      </c>
      <c r="KM96" s="3">
        <v>-1.6149119999999999</v>
      </c>
      <c r="KN96" s="3">
        <v>-1.6136200000000001</v>
      </c>
      <c r="KO96" s="3">
        <v>-1.6123289999999999</v>
      </c>
      <c r="KP96" s="3">
        <v>-1.6110390000000001</v>
      </c>
      <c r="KQ96" s="3">
        <v>-1.60975</v>
      </c>
      <c r="KR96" s="3">
        <v>-1.6084620000000001</v>
      </c>
      <c r="KS96" s="3">
        <v>-1.6071759999999999</v>
      </c>
      <c r="KT96" s="3">
        <v>-1.60589</v>
      </c>
      <c r="KU96" s="3">
        <v>-1.6046050000000001</v>
      </c>
      <c r="KV96" s="3">
        <v>-1.6033219999999999</v>
      </c>
      <c r="KW96" s="3">
        <v>-1.602039</v>
      </c>
      <c r="KX96" s="3">
        <v>-1.600757</v>
      </c>
      <c r="KY96" s="3">
        <v>-1.599477</v>
      </c>
      <c r="KZ96" s="3">
        <v>-1.5981970000000001</v>
      </c>
      <c r="LA96" s="3">
        <v>-1.596919</v>
      </c>
      <c r="LB96" s="3">
        <v>-1.5956410000000001</v>
      </c>
      <c r="LC96" s="3">
        <v>-1.594365</v>
      </c>
      <c r="LD96" s="3">
        <v>-1.593089</v>
      </c>
      <c r="LE96" s="3">
        <v>-1.591815</v>
      </c>
      <c r="LF96" s="3">
        <v>-1.590541</v>
      </c>
      <c r="LG96" s="3">
        <v>-1.589269</v>
      </c>
      <c r="LH96" s="3">
        <v>-1.5879970000000001</v>
      </c>
      <c r="LI96" s="3">
        <v>-1.586727</v>
      </c>
      <c r="LJ96" s="3">
        <v>-1.5854569999999999</v>
      </c>
      <c r="LK96" s="3">
        <v>-1.5841890000000001</v>
      </c>
      <c r="LL96" s="3">
        <v>-1.5829219999999999</v>
      </c>
      <c r="LM96" s="3">
        <v>-1.581655</v>
      </c>
      <c r="LN96" s="3">
        <v>-1.58039</v>
      </c>
      <c r="LO96" s="3">
        <v>-1.579126</v>
      </c>
      <c r="LP96" s="3">
        <v>-1.577863</v>
      </c>
      <c r="LQ96" s="3">
        <v>-1.5766</v>
      </c>
      <c r="LR96" s="3">
        <v>-1.575339</v>
      </c>
      <c r="LS96" s="3">
        <v>-1.574079</v>
      </c>
      <c r="LT96" s="3">
        <v>-1.572819</v>
      </c>
      <c r="LU96" s="3">
        <v>-1.571561</v>
      </c>
      <c r="LV96" s="3">
        <v>-1.5703039999999999</v>
      </c>
      <c r="LW96" s="3">
        <v>-1.569048</v>
      </c>
      <c r="LX96" s="3">
        <v>-1.5677920000000001</v>
      </c>
      <c r="LY96" s="3">
        <v>-1.566538</v>
      </c>
      <c r="LZ96" s="3">
        <v>-1.565285</v>
      </c>
      <c r="MA96" s="3">
        <v>-1.564033</v>
      </c>
      <c r="MB96" s="3">
        <v>-1.562781</v>
      </c>
      <c r="MC96" s="3">
        <v>-1.561531</v>
      </c>
      <c r="MD96" s="3">
        <v>-1.5602819999999999</v>
      </c>
      <c r="ME96" s="3">
        <v>-1.559034</v>
      </c>
      <c r="MF96" s="3">
        <v>-1.557787</v>
      </c>
      <c r="MG96" s="3">
        <v>-1.55654</v>
      </c>
      <c r="MH96" s="3">
        <v>-1.5552950000000001</v>
      </c>
      <c r="MI96" s="3">
        <v>-1.5540510000000001</v>
      </c>
      <c r="MJ96" s="3">
        <v>-1.552808</v>
      </c>
      <c r="MK96" s="3">
        <v>-1.5515650000000001</v>
      </c>
      <c r="ML96" s="3">
        <v>-1.550324</v>
      </c>
      <c r="MM96" s="3">
        <v>-1.5490839999999999</v>
      </c>
      <c r="MN96" s="3">
        <v>-1.5478449999999999</v>
      </c>
      <c r="MO96" s="3">
        <v>-1.5466059999999999</v>
      </c>
      <c r="MP96" s="3">
        <v>-1.545369</v>
      </c>
      <c r="MQ96" s="3">
        <v>-1.544133</v>
      </c>
      <c r="MR96" s="3">
        <v>-1.542897</v>
      </c>
      <c r="MS96" s="3">
        <v>-1.541663</v>
      </c>
      <c r="MT96" s="3">
        <v>-1.54043</v>
      </c>
      <c r="MU96" t="s">
        <v>498</v>
      </c>
      <c r="MV96" t="b">
        <v>0</v>
      </c>
      <c r="MW96" t="s">
        <v>377</v>
      </c>
      <c r="MX96" t="s">
        <v>377</v>
      </c>
      <c r="MY96">
        <v>2023</v>
      </c>
      <c r="MZ96">
        <v>2</v>
      </c>
      <c r="NA96" t="s">
        <v>377</v>
      </c>
      <c r="NB96" s="1" t="s">
        <v>499</v>
      </c>
      <c r="NC96" t="s">
        <v>377</v>
      </c>
      <c r="ND96" t="s">
        <v>380</v>
      </c>
      <c r="NE96" t="s">
        <v>500</v>
      </c>
      <c r="NF96" s="1" t="s">
        <v>528</v>
      </c>
    </row>
    <row r="97" spans="1:370" x14ac:dyDescent="0.25">
      <c r="A97" t="s">
        <v>382</v>
      </c>
      <c r="B97" t="s">
        <v>496</v>
      </c>
      <c r="C97" s="1" t="s">
        <v>527</v>
      </c>
      <c r="D97" t="s">
        <v>497</v>
      </c>
      <c r="E97" t="s">
        <v>377</v>
      </c>
      <c r="F97" t="s">
        <v>374</v>
      </c>
      <c r="G97" s="2">
        <v>-3.2320519999999999</v>
      </c>
      <c r="H97" s="2">
        <v>-6.307607</v>
      </c>
      <c r="I97" s="2">
        <v>-6.3057920000000003</v>
      </c>
      <c r="J97" s="2">
        <v>-6.3071820000000001</v>
      </c>
      <c r="K97" s="2">
        <v>-6.5312809999999999</v>
      </c>
      <c r="L97" s="2">
        <v>-6.5254960000000004</v>
      </c>
      <c r="M97" s="2">
        <v>-6.524311</v>
      </c>
      <c r="N97" s="2">
        <v>-6.5168419999999996</v>
      </c>
      <c r="O97" s="2">
        <v>-6.5088850000000003</v>
      </c>
      <c r="P97" s="2">
        <v>-6.5077699999999998</v>
      </c>
      <c r="Q97" s="2">
        <v>-6.5091789999999996</v>
      </c>
      <c r="R97" s="2">
        <v>-6.5071539999999999</v>
      </c>
      <c r="S97" s="2">
        <v>-6.5090709999999996</v>
      </c>
      <c r="T97" s="2">
        <v>-6.5069569999999999</v>
      </c>
      <c r="U97" s="2">
        <v>-6.5065770000000001</v>
      </c>
      <c r="V97" s="2">
        <v>-6.5015970000000003</v>
      </c>
      <c r="W97" s="2">
        <v>-6.4989509999999999</v>
      </c>
      <c r="X97" s="2">
        <v>-6.5032639999999997</v>
      </c>
      <c r="Y97" s="2">
        <v>-6.4990100000000002</v>
      </c>
      <c r="Z97" s="2">
        <v>-6.5008800000000004</v>
      </c>
      <c r="AA97" s="2">
        <v>-6.4932309999999998</v>
      </c>
      <c r="AB97" s="2">
        <v>-6.49932</v>
      </c>
      <c r="AC97" s="2">
        <v>-6.4971500000000004</v>
      </c>
      <c r="AD97" s="2">
        <v>-6.4960079999999998</v>
      </c>
      <c r="AE97" s="2">
        <v>-6.4951720000000002</v>
      </c>
      <c r="AF97" s="2">
        <v>-6.4861300000000002</v>
      </c>
      <c r="AG97" s="2">
        <v>-6.4880969999999998</v>
      </c>
      <c r="AH97" s="2">
        <v>-6.4884170000000001</v>
      </c>
      <c r="AI97" s="2">
        <v>-6.4426370000000004</v>
      </c>
      <c r="AJ97" s="2">
        <v>-6.4360819999999999</v>
      </c>
      <c r="AK97" s="2">
        <v>-6.4348089999999996</v>
      </c>
      <c r="AL97" s="2">
        <v>-6.438504</v>
      </c>
      <c r="AM97" s="2">
        <v>-6.4413640000000001</v>
      </c>
      <c r="AN97" s="2">
        <v>-6.4407259999999997</v>
      </c>
      <c r="AO97" s="2">
        <v>-6.4323680000000003</v>
      </c>
      <c r="AP97" s="2">
        <v>-6.4286370000000002</v>
      </c>
      <c r="AQ97" s="2">
        <v>-6.4202620000000001</v>
      </c>
      <c r="AR97" s="2">
        <v>-6.4213120000000004</v>
      </c>
      <c r="AS97" s="2">
        <v>-6.4176919999999997</v>
      </c>
      <c r="AT97" s="2">
        <v>-6.4121439999999996</v>
      </c>
      <c r="AU97" s="2">
        <v>-6.4059660000000003</v>
      </c>
      <c r="AV97" s="2">
        <v>-6.4063759999999998</v>
      </c>
      <c r="AW97" s="2">
        <v>-6.4070289999999996</v>
      </c>
      <c r="AX97" s="2">
        <v>-6.4048410000000002</v>
      </c>
      <c r="AY97" s="2">
        <v>-6.4009020000000003</v>
      </c>
      <c r="AZ97" s="2">
        <v>-6.3999829999999998</v>
      </c>
      <c r="BA97" s="2">
        <v>-6.3943640000000004</v>
      </c>
      <c r="BB97" s="2">
        <v>-6.3892730000000002</v>
      </c>
      <c r="BC97" s="2">
        <v>-6.3845850000000004</v>
      </c>
      <c r="BD97" s="2">
        <v>-6.3803539999999996</v>
      </c>
      <c r="BE97" s="2">
        <v>-6.3744909999999999</v>
      </c>
      <c r="BF97" s="2">
        <v>-6.3734080000000004</v>
      </c>
      <c r="BG97" s="2">
        <v>-6.371842</v>
      </c>
      <c r="BH97" s="2">
        <v>-6.3663439999999998</v>
      </c>
      <c r="BI97" s="2">
        <v>-6.3639549999999998</v>
      </c>
      <c r="BJ97" s="2">
        <v>-6.3604770000000004</v>
      </c>
      <c r="BK97" s="2">
        <v>-6.3602790000000002</v>
      </c>
      <c r="BL97" s="2">
        <v>-6.357424</v>
      </c>
      <c r="BM97" s="2">
        <v>-6.3543919999999998</v>
      </c>
      <c r="BN97" s="2">
        <v>-6.3519420000000002</v>
      </c>
      <c r="BO97" s="2">
        <v>-6.346546</v>
      </c>
      <c r="BP97" s="2">
        <v>-6.342657</v>
      </c>
      <c r="BQ97" s="2">
        <v>-6.3396990000000004</v>
      </c>
      <c r="BR97" s="2">
        <v>-6.338838</v>
      </c>
      <c r="BS97" s="2">
        <v>-6.3371300000000002</v>
      </c>
      <c r="BT97" s="2">
        <v>-6.3324499999999997</v>
      </c>
      <c r="BU97" s="2">
        <v>-6.3302160000000001</v>
      </c>
      <c r="BV97" s="2">
        <v>-6.3267350000000002</v>
      </c>
      <c r="BW97" s="2">
        <v>-6.3287659999999999</v>
      </c>
      <c r="BX97" s="2">
        <v>-6.321167</v>
      </c>
      <c r="BY97" s="2">
        <v>-6.3163629999999999</v>
      </c>
      <c r="BZ97" s="2">
        <v>-6.3119969999999999</v>
      </c>
      <c r="CA97" s="2">
        <v>-6.3068400000000002</v>
      </c>
      <c r="CB97" s="2">
        <v>-6.3035170000000003</v>
      </c>
      <c r="CC97" s="2">
        <v>-6.3000210000000001</v>
      </c>
      <c r="CD97" s="2">
        <v>-6.2979310000000002</v>
      </c>
      <c r="CE97" s="2">
        <v>-6.2975859999999999</v>
      </c>
      <c r="CF97" s="2">
        <v>-6.3007289999999996</v>
      </c>
      <c r="CG97" s="2">
        <v>-6.2981109999999996</v>
      </c>
      <c r="CH97" s="2">
        <v>-6.2922169999999999</v>
      </c>
      <c r="CI97" s="2">
        <v>-6.2893699999999999</v>
      </c>
      <c r="CJ97" s="2">
        <v>-6.290076</v>
      </c>
      <c r="CK97" s="2">
        <v>-6.2881450000000001</v>
      </c>
      <c r="CL97" s="2">
        <v>-6.2866309999999999</v>
      </c>
      <c r="CM97" s="2">
        <v>-6.28505</v>
      </c>
      <c r="CN97" s="2">
        <v>-6.2837100000000001</v>
      </c>
      <c r="CO97" s="2">
        <v>-6.2821689999999997</v>
      </c>
      <c r="CP97" s="2">
        <v>-6.280691</v>
      </c>
      <c r="CQ97" s="2">
        <v>-6.2759770000000001</v>
      </c>
      <c r="CR97" s="2">
        <v>-6.2680980000000002</v>
      </c>
      <c r="CS97" s="2">
        <v>-6.2665040000000003</v>
      </c>
      <c r="CT97" s="2">
        <v>-6.2629530000000004</v>
      </c>
      <c r="CU97" s="2">
        <v>-6.2566930000000003</v>
      </c>
      <c r="CV97" s="2">
        <v>-6.2584790000000003</v>
      </c>
      <c r="CW97" s="2">
        <v>-6.2579510000000003</v>
      </c>
      <c r="CX97" s="2">
        <v>-6.2565030000000004</v>
      </c>
      <c r="CY97" s="2">
        <v>-6.2531889999999999</v>
      </c>
      <c r="CZ97" s="2">
        <v>-6.2507469999999996</v>
      </c>
      <c r="DA97" s="2">
        <v>-6.2482150000000001</v>
      </c>
      <c r="DB97" s="2">
        <v>-6.2427549999999998</v>
      </c>
      <c r="DC97" s="2">
        <v>-6.2353360000000002</v>
      </c>
      <c r="DD97" s="2">
        <v>-6.227646</v>
      </c>
      <c r="DE97" s="2">
        <v>-6.2224469999999998</v>
      </c>
      <c r="DF97" s="2">
        <v>-6.2182209999999998</v>
      </c>
      <c r="DG97" s="2">
        <v>-6.2112730000000003</v>
      </c>
      <c r="DH97" s="2">
        <v>-6.2033550000000002</v>
      </c>
      <c r="DI97" s="2">
        <v>-6.1977909999999996</v>
      </c>
      <c r="DJ97" s="2">
        <v>-6.1926550000000002</v>
      </c>
      <c r="DK97" s="2">
        <v>-6.1860309999999998</v>
      </c>
      <c r="DL97" s="2">
        <v>-6.1783000000000001</v>
      </c>
      <c r="DM97" s="2">
        <v>-6.1694649999999998</v>
      </c>
      <c r="DN97" s="2">
        <v>-6.162757</v>
      </c>
      <c r="DO97" s="2">
        <v>-6.1595329999999997</v>
      </c>
      <c r="DP97" s="2">
        <v>-6.150703</v>
      </c>
      <c r="DQ97" s="2">
        <v>-6.1444380000000001</v>
      </c>
      <c r="DR97" s="2">
        <v>-6.1393820000000003</v>
      </c>
      <c r="DS97" s="2">
        <v>-6.1359469999999998</v>
      </c>
      <c r="DT97" s="2">
        <v>-6.1352289999999998</v>
      </c>
      <c r="DU97" s="2">
        <v>-6.1312110000000004</v>
      </c>
      <c r="DV97" s="2">
        <v>-6.1253780000000004</v>
      </c>
      <c r="DW97" s="2">
        <v>-6.1221209999999999</v>
      </c>
      <c r="DX97" s="2">
        <v>-6.1197689999999998</v>
      </c>
      <c r="DY97" s="2">
        <v>-6.1143520000000002</v>
      </c>
      <c r="DZ97" s="2">
        <v>-6.1124879999999999</v>
      </c>
      <c r="EA97" s="2">
        <v>-6.1084620000000003</v>
      </c>
      <c r="EB97" s="2">
        <v>-6.1043500000000002</v>
      </c>
      <c r="EC97" s="2">
        <v>-6.1014819999999999</v>
      </c>
      <c r="ED97" s="2">
        <v>-6.1000059999999996</v>
      </c>
      <c r="EE97" s="2">
        <v>-6.0958509999999997</v>
      </c>
      <c r="EF97" s="2">
        <v>-6.0952409999999997</v>
      </c>
      <c r="EG97" s="2">
        <v>-6.09361</v>
      </c>
      <c r="EH97" s="2">
        <v>-6.0924259999999997</v>
      </c>
      <c r="EI97" s="2">
        <v>-6.0916600000000001</v>
      </c>
      <c r="EJ97" s="2">
        <v>-6.0908069999999999</v>
      </c>
      <c r="EK97" s="2">
        <v>-6.0900689999999997</v>
      </c>
      <c r="EL97" s="2">
        <v>-6.0917450000000004</v>
      </c>
      <c r="EM97" s="2">
        <v>-6.0908290000000003</v>
      </c>
      <c r="EN97" s="2">
        <v>-6.0875839999999997</v>
      </c>
      <c r="EO97" s="2">
        <v>-6.0860000000000003</v>
      </c>
      <c r="EP97" s="2">
        <v>-6.0859959999999997</v>
      </c>
      <c r="EQ97" s="2">
        <v>-6.0833000000000004</v>
      </c>
      <c r="ER97" s="2">
        <v>-6.0813059999999997</v>
      </c>
      <c r="ES97" s="2">
        <v>-6.0795690000000002</v>
      </c>
      <c r="ET97" s="2">
        <v>-6.0743159999999996</v>
      </c>
      <c r="EU97" s="2">
        <v>-6.0669110000000002</v>
      </c>
      <c r="EV97" s="2">
        <v>-6.0621450000000001</v>
      </c>
      <c r="EW97" s="2">
        <v>-6.0593260000000004</v>
      </c>
      <c r="EX97" s="2">
        <v>-6.0557590000000001</v>
      </c>
      <c r="EY97" s="2">
        <v>-6.0552760000000001</v>
      </c>
      <c r="EZ97" s="2">
        <v>-6.057321</v>
      </c>
      <c r="FA97" s="2">
        <v>-6.0560499999999999</v>
      </c>
      <c r="FB97" s="2">
        <v>-6.0543519999999997</v>
      </c>
      <c r="FC97" s="2">
        <v>-6.0481930000000004</v>
      </c>
      <c r="FD97" s="2">
        <v>-6.0488970000000002</v>
      </c>
      <c r="FE97" s="2">
        <v>-6.047326</v>
      </c>
      <c r="FF97" s="2">
        <v>-6.0471089999999998</v>
      </c>
      <c r="FG97" s="2">
        <v>-6.0479640000000003</v>
      </c>
      <c r="FH97" s="2">
        <v>-6.0448550000000001</v>
      </c>
      <c r="FI97" s="2">
        <v>-6.0425560000000003</v>
      </c>
      <c r="FJ97" s="2">
        <v>-6.0419879999999999</v>
      </c>
      <c r="FK97" s="2">
        <v>-6.0384450000000003</v>
      </c>
      <c r="FL97" s="2">
        <v>-6.036397</v>
      </c>
      <c r="FM97" s="2">
        <v>-6.032508</v>
      </c>
      <c r="FN97" s="2">
        <v>-6.0270989999999998</v>
      </c>
      <c r="FO97" s="2">
        <v>-6.0252679999999996</v>
      </c>
      <c r="FP97" s="2">
        <v>-6.0255580000000002</v>
      </c>
      <c r="FQ97" s="2">
        <v>-6.0246620000000002</v>
      </c>
      <c r="FR97" s="2">
        <v>-6.0245309999999996</v>
      </c>
      <c r="FS97" s="2">
        <v>-6.0224609999999998</v>
      </c>
      <c r="FT97" s="2">
        <v>-6.0189630000000003</v>
      </c>
      <c r="FU97" s="2">
        <v>-6.0174240000000001</v>
      </c>
      <c r="FV97" s="2">
        <v>-6.0169790000000001</v>
      </c>
      <c r="FW97" s="2">
        <v>-6.0169110000000003</v>
      </c>
      <c r="FX97" s="2">
        <v>-6.0144409999999997</v>
      </c>
      <c r="FY97" s="2">
        <v>-6.0130660000000002</v>
      </c>
      <c r="FZ97" s="2">
        <v>-6.0106339999999996</v>
      </c>
      <c r="GA97" s="2">
        <v>-6.0088689999999998</v>
      </c>
      <c r="GB97" s="2">
        <v>-6.0092340000000002</v>
      </c>
      <c r="GC97" s="2">
        <v>-6.0076840000000002</v>
      </c>
      <c r="GD97" s="2">
        <v>-6.0047689999999996</v>
      </c>
      <c r="GE97" s="2">
        <v>-6.0054290000000004</v>
      </c>
      <c r="GF97" s="2">
        <v>-6.0048000000000004</v>
      </c>
      <c r="GG97" s="2">
        <v>-6.0025050000000002</v>
      </c>
      <c r="GH97" s="2">
        <v>-6.0013249999999996</v>
      </c>
      <c r="GI97" s="2">
        <v>-5.9976380000000002</v>
      </c>
      <c r="GJ97" s="2">
        <v>-5.9938390000000004</v>
      </c>
      <c r="GK97" s="2">
        <v>-5.9931640000000002</v>
      </c>
      <c r="GL97" s="2">
        <v>-5.9922170000000001</v>
      </c>
      <c r="GM97" s="2">
        <v>-5.9848410000000003</v>
      </c>
      <c r="GN97" s="2">
        <v>-5.9655930000000001</v>
      </c>
      <c r="GO97" s="2">
        <v>-5.9766599999999999</v>
      </c>
      <c r="GP97" s="2">
        <v>-5.9767619999999999</v>
      </c>
      <c r="GQ97" s="2">
        <v>-5.9719329999999999</v>
      </c>
      <c r="GR97" s="2">
        <v>-5.9740349999999998</v>
      </c>
      <c r="GS97" s="2">
        <v>-5.9706919999999997</v>
      </c>
      <c r="GT97" s="2">
        <v>-5.968953</v>
      </c>
      <c r="GU97" s="2">
        <v>-5.9703059999999999</v>
      </c>
      <c r="GV97" s="2">
        <v>-5.9675219999999998</v>
      </c>
      <c r="GW97" s="2">
        <v>-5.9634669999999996</v>
      </c>
      <c r="GX97" s="2">
        <v>-5.9588039999999998</v>
      </c>
      <c r="GY97" s="2">
        <v>-5.9620129999999998</v>
      </c>
      <c r="GZ97" s="2">
        <v>-5.9583380000000004</v>
      </c>
      <c r="HA97" s="2">
        <v>-5.9580960000000003</v>
      </c>
      <c r="HB97" s="2">
        <v>-5.9546700000000001</v>
      </c>
      <c r="HC97" s="2">
        <v>-5.9490720000000001</v>
      </c>
      <c r="HD97" s="2">
        <v>-5.9471769999999999</v>
      </c>
      <c r="HE97" s="2">
        <v>-5.9463140000000001</v>
      </c>
      <c r="HF97" s="3">
        <v>-5.9401169999999999</v>
      </c>
      <c r="HG97" s="3">
        <v>-5.9359820000000001</v>
      </c>
      <c r="HH97" s="3">
        <v>-5.9315899999999999</v>
      </c>
      <c r="HI97" s="3">
        <v>-5.9270019999999999</v>
      </c>
      <c r="HJ97" s="3">
        <v>-5.9225269999999997</v>
      </c>
      <c r="HK97" s="3">
        <v>-5.9179870000000001</v>
      </c>
      <c r="HL97" s="3">
        <v>-5.9135400000000002</v>
      </c>
      <c r="HM97" s="3">
        <v>-5.9090999999999996</v>
      </c>
      <c r="HN97" s="3">
        <v>-5.9047140000000002</v>
      </c>
      <c r="HO97" s="3">
        <v>-5.9004380000000003</v>
      </c>
      <c r="HP97" s="3">
        <v>-5.8962209999999997</v>
      </c>
      <c r="HQ97" s="3">
        <v>-5.8920529999999998</v>
      </c>
      <c r="HR97" s="3">
        <v>-5.8879619999999999</v>
      </c>
      <c r="HS97" s="3">
        <v>-5.883921</v>
      </c>
      <c r="HT97" s="3">
        <v>-5.8801170000000003</v>
      </c>
      <c r="HU97" s="3">
        <v>-5.8764419999999999</v>
      </c>
      <c r="HV97" s="3">
        <v>-5.8728759999999998</v>
      </c>
      <c r="HW97" s="3">
        <v>-5.8694110000000004</v>
      </c>
      <c r="HX97" s="3">
        <v>-5.8661079999999997</v>
      </c>
      <c r="HY97" s="3">
        <v>-5.8629939999999996</v>
      </c>
      <c r="HZ97" s="3">
        <v>-5.8600149999999998</v>
      </c>
      <c r="IA97" s="3">
        <v>-5.8572449999999998</v>
      </c>
      <c r="IB97" s="3">
        <v>-5.8545970000000001</v>
      </c>
      <c r="IC97" s="3">
        <v>-5.8519800000000002</v>
      </c>
      <c r="ID97" s="3">
        <v>-5.8494190000000001</v>
      </c>
      <c r="IE97" s="3">
        <v>-5.8469189999999998</v>
      </c>
      <c r="IF97" s="3">
        <v>-5.8444310000000002</v>
      </c>
      <c r="IG97" s="3">
        <v>-5.8419449999999999</v>
      </c>
      <c r="IH97" s="3">
        <v>-5.8394680000000001</v>
      </c>
      <c r="II97" s="3">
        <v>-5.8370259999999998</v>
      </c>
      <c r="IJ97" s="3">
        <v>-5.8345950000000002</v>
      </c>
      <c r="IK97" s="3">
        <v>-5.8322079999999996</v>
      </c>
      <c r="IL97" s="3">
        <v>-5.8298129999999997</v>
      </c>
      <c r="IM97" s="3">
        <v>-5.8274330000000001</v>
      </c>
      <c r="IN97" s="3">
        <v>-5.8250570000000002</v>
      </c>
      <c r="IO97" s="3">
        <v>-5.8226979999999999</v>
      </c>
      <c r="IP97" s="3">
        <v>-5.820322</v>
      </c>
      <c r="IQ97" s="3">
        <v>-5.8179780000000001</v>
      </c>
      <c r="IR97" s="3">
        <v>-5.8156369999999997</v>
      </c>
      <c r="IS97" s="3">
        <v>-5.813294</v>
      </c>
      <c r="IT97" s="3">
        <v>-5.8109599999999997</v>
      </c>
      <c r="IU97" s="3">
        <v>-5.8086270000000004</v>
      </c>
      <c r="IV97" s="3">
        <v>-5.8063039999999999</v>
      </c>
      <c r="IW97" s="3">
        <v>-5.8039909999999999</v>
      </c>
      <c r="IX97" s="3">
        <v>-5.8016420000000002</v>
      </c>
      <c r="IY97" s="3">
        <v>-5.7993170000000003</v>
      </c>
      <c r="IZ97" s="3">
        <v>-5.7969600000000003</v>
      </c>
      <c r="JA97" s="3">
        <v>-5.7946179999999998</v>
      </c>
      <c r="JB97" s="3">
        <v>-5.7922789999999997</v>
      </c>
      <c r="JC97" s="3">
        <v>-5.7899450000000003</v>
      </c>
      <c r="JD97" s="3">
        <v>-5.7876110000000001</v>
      </c>
      <c r="JE97" s="3">
        <v>-5.7852639999999997</v>
      </c>
      <c r="JF97" s="3">
        <v>-5.7829430000000004</v>
      </c>
      <c r="JG97" s="3">
        <v>-5.7806220000000001</v>
      </c>
      <c r="JH97" s="3">
        <v>-5.7783150000000001</v>
      </c>
      <c r="JI97" s="3">
        <v>-5.7759850000000004</v>
      </c>
      <c r="JJ97" s="3">
        <v>-5.7736640000000001</v>
      </c>
      <c r="JK97" s="3">
        <v>-5.771325</v>
      </c>
      <c r="JL97" s="3">
        <v>-5.7689789999999999</v>
      </c>
      <c r="JM97" s="3">
        <v>-5.7666639999999996</v>
      </c>
      <c r="JN97" s="3">
        <v>-5.7643319999999996</v>
      </c>
      <c r="JO97" s="3">
        <v>-5.761984</v>
      </c>
      <c r="JP97" s="3">
        <v>-5.7596410000000002</v>
      </c>
      <c r="JQ97" s="3">
        <v>-5.7573030000000003</v>
      </c>
      <c r="JR97" s="3">
        <v>-5.7549609999999998</v>
      </c>
      <c r="JS97" s="3">
        <v>-5.7526169999999999</v>
      </c>
      <c r="JT97" s="3">
        <v>-5.7502779999999998</v>
      </c>
      <c r="JU97" s="3">
        <v>-5.7479329999999997</v>
      </c>
      <c r="JV97" s="3">
        <v>-5.7455920000000003</v>
      </c>
      <c r="JW97" s="3">
        <v>-5.7432540000000003</v>
      </c>
      <c r="JX97" s="3">
        <v>-5.7409160000000004</v>
      </c>
      <c r="JY97" s="3">
        <v>-5.7385849999999996</v>
      </c>
      <c r="JZ97" s="3">
        <v>-5.7362520000000004</v>
      </c>
      <c r="KA97" s="3">
        <v>-5.7339089999999997</v>
      </c>
      <c r="KB97" s="3">
        <v>-5.7315639999999997</v>
      </c>
      <c r="KC97" s="3">
        <v>-5.7292240000000003</v>
      </c>
      <c r="KD97" s="3">
        <v>-5.7268780000000001</v>
      </c>
      <c r="KE97" s="3">
        <v>-5.7245200000000001</v>
      </c>
      <c r="KF97" s="3">
        <v>-5.7221789999999997</v>
      </c>
      <c r="KG97" s="3">
        <v>-5.7198310000000001</v>
      </c>
      <c r="KH97" s="3">
        <v>-5.7174769999999997</v>
      </c>
      <c r="KI97" s="3">
        <v>-5.7151350000000001</v>
      </c>
      <c r="KJ97" s="3">
        <v>-5.7127759999999999</v>
      </c>
      <c r="KK97" s="3">
        <v>-5.7104369999999998</v>
      </c>
      <c r="KL97" s="3">
        <v>-5.7080890000000002</v>
      </c>
      <c r="KM97" s="3">
        <v>-5.7057339999999996</v>
      </c>
      <c r="KN97" s="3">
        <v>-5.7033740000000002</v>
      </c>
      <c r="KO97" s="3">
        <v>-5.7010269999999998</v>
      </c>
      <c r="KP97" s="3">
        <v>-5.698664</v>
      </c>
      <c r="KQ97" s="3">
        <v>-5.6963010000000001</v>
      </c>
      <c r="KR97" s="3">
        <v>-5.6939539999999997</v>
      </c>
      <c r="KS97" s="3">
        <v>-5.691605</v>
      </c>
      <c r="KT97" s="3">
        <v>-5.6892399999999999</v>
      </c>
      <c r="KU97" s="3">
        <v>-5.6868910000000001</v>
      </c>
      <c r="KV97" s="3">
        <v>-5.6845189999999999</v>
      </c>
      <c r="KW97" s="3">
        <v>-5.6821869999999999</v>
      </c>
      <c r="KX97" s="3">
        <v>-5.6798250000000001</v>
      </c>
      <c r="KY97" s="3">
        <v>-5.6774639999999996</v>
      </c>
      <c r="KZ97" s="3">
        <v>-5.6751329999999998</v>
      </c>
      <c r="LA97" s="3">
        <v>-5.6727780000000001</v>
      </c>
      <c r="LB97" s="3">
        <v>-5.6704230000000004</v>
      </c>
      <c r="LC97" s="3">
        <v>-5.6680590000000004</v>
      </c>
      <c r="LD97" s="3">
        <v>-5.665692</v>
      </c>
      <c r="LE97" s="3">
        <v>-5.6633529999999999</v>
      </c>
      <c r="LF97" s="3">
        <v>-5.6609850000000002</v>
      </c>
      <c r="LG97" s="3">
        <v>-5.6586360000000004</v>
      </c>
      <c r="LH97" s="3">
        <v>-5.6562729999999997</v>
      </c>
      <c r="LI97" s="3">
        <v>-5.6539099999999998</v>
      </c>
      <c r="LJ97" s="3">
        <v>-5.6515589999999998</v>
      </c>
      <c r="LK97" s="3">
        <v>-5.6491899999999999</v>
      </c>
      <c r="LL97" s="3">
        <v>-5.6468389999999999</v>
      </c>
      <c r="LM97" s="3">
        <v>-5.6444669999999997</v>
      </c>
      <c r="LN97" s="3">
        <v>-5.6421099999999997</v>
      </c>
      <c r="LO97" s="3">
        <v>-5.6397440000000003</v>
      </c>
      <c r="LP97" s="3">
        <v>-5.6373740000000003</v>
      </c>
      <c r="LQ97" s="3">
        <v>-5.635008</v>
      </c>
      <c r="LR97" s="3">
        <v>-5.6326409999999996</v>
      </c>
      <c r="LS97" s="3">
        <v>-5.6302770000000004</v>
      </c>
      <c r="LT97" s="3">
        <v>-5.6279139999999996</v>
      </c>
      <c r="LU97" s="3">
        <v>-5.6255379999999997</v>
      </c>
      <c r="LV97" s="3">
        <v>-5.6231770000000001</v>
      </c>
      <c r="LW97" s="3">
        <v>-5.6208070000000001</v>
      </c>
      <c r="LX97" s="3">
        <v>-5.6184380000000003</v>
      </c>
      <c r="LY97" s="3">
        <v>-5.6160629999999996</v>
      </c>
      <c r="LZ97" s="3">
        <v>-5.6137059999999996</v>
      </c>
      <c r="MA97" s="3">
        <v>-5.6113289999999996</v>
      </c>
      <c r="MB97" s="3">
        <v>-5.6089580000000003</v>
      </c>
      <c r="MC97" s="3">
        <v>-5.6065909999999999</v>
      </c>
      <c r="MD97" s="3">
        <v>-5.6042139999999998</v>
      </c>
      <c r="ME97" s="3">
        <v>-5.6018480000000004</v>
      </c>
      <c r="MF97" s="3">
        <v>-5.599469</v>
      </c>
      <c r="MG97" s="3">
        <v>-5.5970880000000003</v>
      </c>
      <c r="MH97" s="3">
        <v>-5.5947139999999997</v>
      </c>
      <c r="MI97" s="3">
        <v>-5.5923319999999999</v>
      </c>
      <c r="MJ97" s="3">
        <v>-5.5899570000000001</v>
      </c>
      <c r="MK97" s="3">
        <v>-5.5875709999999996</v>
      </c>
      <c r="ML97" s="3">
        <v>-5.5851990000000002</v>
      </c>
      <c r="MM97" s="3">
        <v>-5.5828100000000003</v>
      </c>
      <c r="MN97" s="3">
        <v>-5.580425</v>
      </c>
      <c r="MO97" s="3">
        <v>-5.5780479999999999</v>
      </c>
      <c r="MP97" s="3">
        <v>-5.5756560000000004</v>
      </c>
      <c r="MQ97" s="3">
        <v>-5.5732790000000003</v>
      </c>
      <c r="MR97" s="3">
        <v>-5.5708900000000003</v>
      </c>
      <c r="MS97" s="3">
        <v>-5.5685019999999996</v>
      </c>
      <c r="MT97" s="3">
        <v>-5.5661250000000004</v>
      </c>
      <c r="MU97" t="s">
        <v>501</v>
      </c>
      <c r="MV97" t="b">
        <v>0</v>
      </c>
      <c r="MW97" t="s">
        <v>377</v>
      </c>
      <c r="MX97" t="s">
        <v>377</v>
      </c>
      <c r="MY97">
        <v>2024</v>
      </c>
      <c r="MZ97">
        <v>3</v>
      </c>
      <c r="NA97" t="s">
        <v>377</v>
      </c>
      <c r="NB97" s="1" t="s">
        <v>502</v>
      </c>
      <c r="NC97" t="s">
        <v>377</v>
      </c>
      <c r="ND97" t="s">
        <v>389</v>
      </c>
      <c r="NE97" t="s">
        <v>500</v>
      </c>
      <c r="NF97" s="1" t="s">
        <v>528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4A5E-1193-4CF1-99DC-423029C395EA}">
  <sheetPr>
    <tabColor rgb="FFC00000"/>
  </sheetPr>
  <dimension ref="A1"/>
  <sheetViews>
    <sheetView workbookViewId="0">
      <selection activeCell="L33" sqref="L3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8</vt:i4>
      </vt:variant>
    </vt:vector>
  </HeadingPairs>
  <TitlesOfParts>
    <vt:vector size="15" baseType="lpstr">
      <vt:lpstr>&gt;&gt; CHARTS</vt:lpstr>
      <vt:lpstr>&gt;&gt; DATA</vt:lpstr>
      <vt:lpstr>Chart Data</vt:lpstr>
      <vt:lpstr>Annual Data</vt:lpstr>
      <vt:lpstr>Quarterly Data</vt:lpstr>
      <vt:lpstr>GMW</vt:lpstr>
      <vt:lpstr>&gt;&gt; NOT USED</vt:lpstr>
      <vt:lpstr>Chart - GDP (£bn)</vt:lpstr>
      <vt:lpstr>Chart - IPNR (£bn)</vt:lpstr>
      <vt:lpstr>Chart - CPI</vt:lpstr>
      <vt:lpstr>Chart - GDP (index)</vt:lpstr>
      <vt:lpstr>Chart - XGNF (£bn)</vt:lpstr>
      <vt:lpstr>Chart - XGNF (index)</vt:lpstr>
      <vt:lpstr>Chart - IPNR</vt:lpstr>
      <vt:lpstr>Chart - 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2025-04-10T14:03:57Z</dcterms:created>
  <dcterms:modified xsi:type="dcterms:W3CDTF">2025-04-15T13:09:30Z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2025-04-10T14:04:20Z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07abb798-a182-4de1-b18b-b21abaafc910</vt:lpwstr>
  </property>
  <property fmtid="{D5CDD505-2E9C-101B-9397-08002B2CF9AE}" pid="8" name="MSIP_Label_3b83b38b-8e91-4f17-8371-95d3d41e26c0_ContentBits">
    <vt:lpwstr>0</vt:lpwstr>
  </property>
</Properties>
</file>